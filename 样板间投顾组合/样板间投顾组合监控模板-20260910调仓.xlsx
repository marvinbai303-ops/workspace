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-120" yWindow="-120" windowWidth="22920" windowHeight="14370" tabRatio="779" activeTab="1"/>
  </bookViews>
  <sheets>
    <sheet name="实盘持仓初始配置" sheetId="1" r:id="rId1"/>
    <sheet name="偏离度监控" sheetId="13" r:id="rId2"/>
    <sheet name="vs固收+对比（模拟数据）" sheetId="14" r:id="rId3"/>
    <sheet name="vs固收+对比（恒生实盘数据） " sheetId="17" r:id="rId4"/>
    <sheet name="恒生净值" sheetId="16" r:id="rId5"/>
    <sheet name="实盘净值数据(iFinD）" sheetId="2" r:id="rId6"/>
    <sheet name="实盘组合预估净值" sheetId="3" r:id="rId7"/>
    <sheet name="分期持仓明细" sheetId="4" r:id="rId8"/>
    <sheet name="看板-产业趋势" sheetId="5" r:id="rId9"/>
    <sheet name="看板-产业趋势基石" sheetId="6" r:id="rId10"/>
    <sheet name="看板-产业趋势2号" sheetId="7" r:id="rId11"/>
    <sheet name="看板-10-90" sheetId="8" r:id="rId12"/>
    <sheet name="看板-10-90基石" sheetId="9" r:id="rId13"/>
    <sheet name="看板-30-70" sheetId="10" r:id="rId14"/>
    <sheet name="说明" sheetId="11" r:id="rId15"/>
  </sheets>
  <externalReferences>
    <externalReference r:id="rId16"/>
    <externalReference r:id="rId17"/>
  </externalReferences>
  <definedNames>
    <definedName name="_ChartDates" localSheetId="11">实盘组合预估净值!$A$8:INDEX(实盘组合预估净值!$A$8:$A$1000,MATCH(9.99999999999999E+307,实盘组合预估净值!$A$8:$A$1000))</definedName>
    <definedName name="_ChartDates" localSheetId="12">实盘组合预估净值!$A$5:INDEX(实盘组合预估净值!$A$5:$A$1000,MATCH(9.99999999999999E+307,实盘组合预估净值!$A$5:$A$1000))</definedName>
    <definedName name="_ChartDates" localSheetId="13">实盘组合预估净值!$A$8:INDEX(实盘组合预估净值!$A$8:$A$1000,MATCH(9.99999999999999E+307,实盘组合预估净值!$A$8:$A$1000))</definedName>
    <definedName name="_ChartDates" localSheetId="8">实盘组合预估净值!$A$6:INDEX(实盘组合预估净值!$A$6:$A$1000,MATCH(9.99999999999999E+307,实盘组合预估净值!$A$6:$A$1000))</definedName>
    <definedName name="_ChartDates" localSheetId="10">实盘组合预估净值!$A$7:INDEX(实盘组合预估净值!$A$7:$A$1000,MATCH(9.99999999999999E+307,实盘组合预估净值!$A$7:$A$1000))</definedName>
    <definedName name="_ChartDates" localSheetId="9">实盘组合预估净值!$A$5:INDEX(实盘组合预估净值!$A$5:$A$1000,MATCH(9.99999999999999E+307,实盘组合预估净值!$A$5:$A$1000))</definedName>
    <definedName name="_ChartValues" localSheetId="11">实盘组合预估净值!$K$8:INDEX(实盘组合预估净值!$K$8:$K$1000,MATCH(9.99999999999999E+307,实盘组合预估净值!$A$8:$A$1000))</definedName>
    <definedName name="_ChartValues" localSheetId="12">实盘组合预估净值!$N$5:INDEX(实盘组合预估净值!$N$5:$N$1000,MATCH(9.99999999999999E+307,实盘组合预估净值!$A$5:$A$1000))</definedName>
    <definedName name="_ChartValues" localSheetId="13">实盘组合预估净值!$Q$8:INDEX(实盘组合预估净值!$Q$8:$Q$1000,MATCH(9.99999999999999E+307,实盘组合预估净值!$A$8:$A$1000))</definedName>
    <definedName name="_ChartValues" localSheetId="8">实盘组合预估净值!$B$6:INDEX(实盘组合预估净值!$B$6:$B$1000,MATCH(9.99999999999999E+307,实盘组合预估净值!$A$6:$A$1000))</definedName>
    <definedName name="_ChartValues" localSheetId="10">实盘组合预估净值!$H$7:INDEX(实盘组合预估净值!$H$7:$H$1000,MATCH(9.99999999999999E+307,实盘组合预估净值!$A$7:$A$1000))</definedName>
    <definedName name="_ChartValues" localSheetId="9">实盘组合预估净值!$E$5:INDEX(实盘组合预估净值!$E$5:$E$1000,MATCH(9.99999999999999E+307,实盘组合预估净值!$A$5:$A$1000))</definedName>
    <definedName name="_xlnm._FilterDatabase" localSheetId="3" hidden="1">'vs固收+对比（恒生实盘数据） '!$B$21:$L$21</definedName>
  </definedNames>
  <calcPr calcId="15251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5" i="16" l="1"/>
  <c r="F1" i="17" l="1"/>
  <c r="G1" i="17"/>
  <c r="H1" i="17"/>
  <c r="K1" i="17"/>
  <c r="E2" i="17"/>
  <c r="G2" i="17"/>
  <c r="E3" i="17"/>
  <c r="E1" i="17" s="1"/>
  <c r="E4" i="17"/>
  <c r="I4" i="17"/>
  <c r="F5" i="17"/>
  <c r="H5" i="17" s="1"/>
  <c r="H2" i="17" s="1"/>
  <c r="J5" i="17"/>
  <c r="J4" i="17" s="1"/>
  <c r="K5" i="17"/>
  <c r="K2" i="17" s="1"/>
  <c r="L8" i="17"/>
  <c r="H9" i="17"/>
  <c r="G10" i="17"/>
  <c r="F11" i="17"/>
  <c r="E12" i="17"/>
  <c r="D13" i="17"/>
  <c r="L13" i="17"/>
  <c r="K14" i="17"/>
  <c r="J15" i="17"/>
  <c r="I16" i="17"/>
  <c r="H17" i="17"/>
  <c r="G18" i="17"/>
  <c r="I9" i="17"/>
  <c r="H10" i="17"/>
  <c r="G11" i="17"/>
  <c r="F12" i="17"/>
  <c r="E13" i="17"/>
  <c r="D14" i="17"/>
  <c r="L14" i="17"/>
  <c r="K15" i="17"/>
  <c r="J16" i="17"/>
  <c r="I17" i="17"/>
  <c r="H18" i="17"/>
  <c r="F9" i="17"/>
  <c r="E10" i="17"/>
  <c r="D11" i="17"/>
  <c r="L11" i="17"/>
  <c r="K12" i="17"/>
  <c r="J13" i="17"/>
  <c r="I14" i="17"/>
  <c r="H15" i="17"/>
  <c r="G16" i="17"/>
  <c r="F17" i="17"/>
  <c r="E18" i="17"/>
  <c r="G9" i="17"/>
  <c r="F10" i="17"/>
  <c r="E11" i="17"/>
  <c r="D12" i="17"/>
  <c r="L12" i="17"/>
  <c r="K13" i="17"/>
  <c r="J14" i="17"/>
  <c r="I15" i="17"/>
  <c r="H16" i="17"/>
  <c r="G17" i="17"/>
  <c r="F18" i="17"/>
  <c r="J9" i="17"/>
  <c r="I10" i="17"/>
  <c r="H11" i="17"/>
  <c r="G12" i="17"/>
  <c r="F13" i="17"/>
  <c r="E14" i="17"/>
  <c r="D15" i="17"/>
  <c r="L15" i="17"/>
  <c r="K16" i="17"/>
  <c r="J17" i="17"/>
  <c r="I18" i="17"/>
  <c r="K9" i="17"/>
  <c r="J10" i="17"/>
  <c r="I11" i="17"/>
  <c r="H12" i="17"/>
  <c r="G13" i="17"/>
  <c r="F14" i="17"/>
  <c r="E15" i="17"/>
  <c r="D16" i="17"/>
  <c r="L16" i="17"/>
  <c r="K17" i="17"/>
  <c r="J18" i="17"/>
  <c r="D9" i="17"/>
  <c r="L9" i="17"/>
  <c r="K10" i="17"/>
  <c r="J11" i="17"/>
  <c r="I12" i="17"/>
  <c r="H13" i="17"/>
  <c r="G14" i="17"/>
  <c r="F15" i="17"/>
  <c r="E16" i="17"/>
  <c r="D17" i="17"/>
  <c r="L17" i="17"/>
  <c r="K18" i="17"/>
  <c r="E9" i="17"/>
  <c r="D10" i="17"/>
  <c r="L10" i="17"/>
  <c r="K11" i="17"/>
  <c r="J12" i="17"/>
  <c r="I13" i="17"/>
  <c r="H14" i="17"/>
  <c r="G15" i="17"/>
  <c r="F16" i="17"/>
  <c r="E17" i="17"/>
  <c r="D18" i="17"/>
  <c r="L18" i="17"/>
  <c r="G8" i="17" l="1"/>
  <c r="H8" i="17"/>
  <c r="E8" i="17"/>
  <c r="F2" i="17"/>
  <c r="F21" i="17" s="1"/>
  <c r="A20" i="17"/>
  <c r="B20" i="17"/>
  <c r="C20" i="17"/>
  <c r="E20" i="17"/>
  <c r="F20" i="17"/>
  <c r="G20" i="17"/>
  <c r="H20" i="17"/>
  <c r="L20" i="17"/>
  <c r="C21" i="17"/>
  <c r="E21" i="17"/>
  <c r="G21" i="17"/>
  <c r="H21" i="17"/>
  <c r="L21" i="17"/>
  <c r="K22" i="17"/>
  <c r="J23" i="17"/>
  <c r="I24" i="17"/>
  <c r="H25" i="17"/>
  <c r="G26" i="17"/>
  <c r="F27" i="17"/>
  <c r="E28" i="17"/>
  <c r="D29" i="17"/>
  <c r="L29" i="17"/>
  <c r="K30" i="17"/>
  <c r="J31" i="17"/>
  <c r="L30" i="17"/>
  <c r="L31" i="17"/>
  <c r="E23" i="17"/>
  <c r="D24" i="17"/>
  <c r="K25" i="17"/>
  <c r="H28" i="17"/>
  <c r="E31" i="17"/>
  <c r="J29" i="17"/>
  <c r="J22" i="17"/>
  <c r="E27" i="17"/>
  <c r="J30" i="17"/>
  <c r="D22" i="17"/>
  <c r="L22" i="17"/>
  <c r="K23" i="17"/>
  <c r="J24" i="17"/>
  <c r="I25" i="17"/>
  <c r="H26" i="17"/>
  <c r="G27" i="17"/>
  <c r="F28" i="17"/>
  <c r="E29" i="17"/>
  <c r="D30" i="17"/>
  <c r="K31" i="17"/>
  <c r="I27" i="17"/>
  <c r="F30" i="17"/>
  <c r="L27" i="17"/>
  <c r="E22" i="17"/>
  <c r="D23" i="17"/>
  <c r="L23" i="17"/>
  <c r="K24" i="17"/>
  <c r="J25" i="17"/>
  <c r="I26" i="17"/>
  <c r="H27" i="17"/>
  <c r="G28" i="17"/>
  <c r="F29" i="17"/>
  <c r="E30" i="17"/>
  <c r="D31" i="17"/>
  <c r="F22" i="17"/>
  <c r="L24" i="17"/>
  <c r="J26" i="17"/>
  <c r="G29" i="17"/>
  <c r="E26" i="17"/>
  <c r="I30" i="17"/>
  <c r="H24" i="17"/>
  <c r="D28" i="17"/>
  <c r="I31" i="17"/>
  <c r="G22" i="17"/>
  <c r="F23" i="17"/>
  <c r="E24" i="17"/>
  <c r="D25" i="17"/>
  <c r="L25" i="17"/>
  <c r="K26" i="17"/>
  <c r="J27" i="17"/>
  <c r="I28" i="17"/>
  <c r="H29" i="17"/>
  <c r="G30" i="17"/>
  <c r="F31" i="17"/>
  <c r="L26" i="17"/>
  <c r="J28" i="17"/>
  <c r="H30" i="17"/>
  <c r="I22" i="17"/>
  <c r="G24" i="17"/>
  <c r="D27" i="17"/>
  <c r="H31" i="17"/>
  <c r="I23" i="17"/>
  <c r="F26" i="17"/>
  <c r="K29" i="17"/>
  <c r="H22" i="17"/>
  <c r="G23" i="17"/>
  <c r="F24" i="17"/>
  <c r="E25" i="17"/>
  <c r="D26" i="17"/>
  <c r="K27" i="17"/>
  <c r="I29" i="17"/>
  <c r="G31" i="17"/>
  <c r="H23" i="17"/>
  <c r="F25" i="17"/>
  <c r="K28" i="17"/>
  <c r="G25" i="17"/>
  <c r="L28" i="17"/>
  <c r="L2" i="17" l="1"/>
  <c r="F8" i="17"/>
  <c r="A36" i="17"/>
  <c r="B36" i="17"/>
  <c r="C36" i="17"/>
  <c r="E36" i="17"/>
  <c r="F36" i="17"/>
  <c r="G36" i="17"/>
  <c r="H36" i="17"/>
  <c r="L36" i="17"/>
  <c r="C37" i="17"/>
  <c r="E37" i="17"/>
  <c r="F37" i="17"/>
  <c r="G37" i="17"/>
  <c r="H37" i="17"/>
  <c r="L37" i="17"/>
  <c r="E38" i="17"/>
  <c r="H39" i="17"/>
  <c r="F41" i="17"/>
  <c r="L42" i="17"/>
  <c r="G44" i="17"/>
  <c r="E46" i="17"/>
  <c r="H47" i="17"/>
  <c r="F46" i="17"/>
  <c r="H41" i="17"/>
  <c r="G46" i="17"/>
  <c r="G40" i="17"/>
  <c r="H43" i="17"/>
  <c r="F42" i="17"/>
  <c r="F38" i="17"/>
  <c r="L39" i="17"/>
  <c r="G41" i="17"/>
  <c r="E43" i="17"/>
  <c r="H44" i="17"/>
  <c r="L47" i="17"/>
  <c r="L44" i="17"/>
  <c r="L38" i="17"/>
  <c r="G53" i="17"/>
  <c r="E47" i="17"/>
  <c r="G39" i="17"/>
  <c r="G47" i="17"/>
  <c r="G38" i="17"/>
  <c r="E40" i="17"/>
  <c r="F43" i="17"/>
  <c r="E53" i="17"/>
  <c r="F45" i="17"/>
  <c r="G45" i="17"/>
  <c r="L53" i="17"/>
  <c r="E41" i="17"/>
  <c r="H38" i="17"/>
  <c r="F40" i="17"/>
  <c r="L41" i="17"/>
  <c r="G43" i="17"/>
  <c r="E45" i="17"/>
  <c r="H46" i="17"/>
  <c r="F53" i="17"/>
  <c r="E42" i="17"/>
  <c r="L46" i="17"/>
  <c r="L43" i="17"/>
  <c r="H53" i="17"/>
  <c r="H42" i="17"/>
  <c r="E39" i="17"/>
  <c r="H40" i="17"/>
  <c r="F44" i="17"/>
  <c r="F39" i="17"/>
  <c r="L40" i="17"/>
  <c r="G42" i="17"/>
  <c r="E44" i="17"/>
  <c r="H45" i="17"/>
  <c r="F47" i="17"/>
  <c r="L45" i="17"/>
  <c r="B3" i="10" l="1"/>
  <c r="B3" i="9"/>
  <c r="B3" i="8"/>
  <c r="B3" i="7"/>
  <c r="B3" i="6"/>
  <c r="B3" i="5"/>
  <c r="Z25" i="4"/>
  <c r="Z24" i="4"/>
  <c r="Z23" i="4"/>
  <c r="Z22" i="4"/>
  <c r="Z21" i="4"/>
  <c r="Z20" i="4"/>
  <c r="Z19" i="4"/>
  <c r="Z18" i="4"/>
  <c r="Z17" i="4"/>
  <c r="Z16" i="4"/>
  <c r="Z15" i="4"/>
  <c r="Z14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1000" i="3"/>
  <c r="A999" i="3"/>
  <c r="A998" i="3"/>
  <c r="A997" i="3"/>
  <c r="A996" i="3"/>
  <c r="A995" i="3"/>
  <c r="A994" i="3"/>
  <c r="A993" i="3"/>
  <c r="A992" i="3"/>
  <c r="A991" i="3"/>
  <c r="A990" i="3"/>
  <c r="A989" i="3"/>
  <c r="A988" i="3"/>
  <c r="A987" i="3"/>
  <c r="A986" i="3"/>
  <c r="A985" i="3"/>
  <c r="A984" i="3"/>
  <c r="A983" i="3"/>
  <c r="A982" i="3"/>
  <c r="A981" i="3"/>
  <c r="A980" i="3"/>
  <c r="A979" i="3"/>
  <c r="A978" i="3"/>
  <c r="A977" i="3"/>
  <c r="A976" i="3"/>
  <c r="A975" i="3"/>
  <c r="A974" i="3"/>
  <c r="A973" i="3"/>
  <c r="A972" i="3"/>
  <c r="A971" i="3"/>
  <c r="A970" i="3"/>
  <c r="A969" i="3"/>
  <c r="A968" i="3"/>
  <c r="A967" i="3"/>
  <c r="A966" i="3"/>
  <c r="A965" i="3"/>
  <c r="A964" i="3"/>
  <c r="A963" i="3"/>
  <c r="A962" i="3"/>
  <c r="A961" i="3"/>
  <c r="A960" i="3"/>
  <c r="A959" i="3"/>
  <c r="A958" i="3"/>
  <c r="A957" i="3"/>
  <c r="A956" i="3"/>
  <c r="A955" i="3"/>
  <c r="A954" i="3"/>
  <c r="A953" i="3"/>
  <c r="A952" i="3"/>
  <c r="A951" i="3"/>
  <c r="A950" i="3"/>
  <c r="A949" i="3"/>
  <c r="A948" i="3"/>
  <c r="A947" i="3"/>
  <c r="A946" i="3"/>
  <c r="A945" i="3"/>
  <c r="A944" i="3"/>
  <c r="A943" i="3"/>
  <c r="A942" i="3"/>
  <c r="A941" i="3"/>
  <c r="A940" i="3"/>
  <c r="A939" i="3"/>
  <c r="A938" i="3"/>
  <c r="A937" i="3"/>
  <c r="A936" i="3"/>
  <c r="A935" i="3"/>
  <c r="A934" i="3"/>
  <c r="A933" i="3"/>
  <c r="A932" i="3"/>
  <c r="A931" i="3"/>
  <c r="A930" i="3"/>
  <c r="A929" i="3"/>
  <c r="A928" i="3"/>
  <c r="A927" i="3"/>
  <c r="A926" i="3"/>
  <c r="A925" i="3"/>
  <c r="A924" i="3"/>
  <c r="A923" i="3"/>
  <c r="A922" i="3"/>
  <c r="A921" i="3"/>
  <c r="A920" i="3"/>
  <c r="A919" i="3"/>
  <c r="A918" i="3"/>
  <c r="A917" i="3"/>
  <c r="A916" i="3"/>
  <c r="A915" i="3"/>
  <c r="A914" i="3"/>
  <c r="A913" i="3"/>
  <c r="A912" i="3"/>
  <c r="A911" i="3"/>
  <c r="A910" i="3"/>
  <c r="A909" i="3"/>
  <c r="A908" i="3"/>
  <c r="A907" i="3"/>
  <c r="A906" i="3"/>
  <c r="A905" i="3"/>
  <c r="A904" i="3"/>
  <c r="A903" i="3"/>
  <c r="A902" i="3"/>
  <c r="A901" i="3"/>
  <c r="A900" i="3"/>
  <c r="A899" i="3"/>
  <c r="A898" i="3"/>
  <c r="A897" i="3"/>
  <c r="A896" i="3"/>
  <c r="A895" i="3"/>
  <c r="A894" i="3"/>
  <c r="A893" i="3"/>
  <c r="A892" i="3"/>
  <c r="A891" i="3"/>
  <c r="A890" i="3"/>
  <c r="A889" i="3"/>
  <c r="A888" i="3"/>
  <c r="A887" i="3"/>
  <c r="A886" i="3"/>
  <c r="A885" i="3"/>
  <c r="A884" i="3"/>
  <c r="A883" i="3"/>
  <c r="A882" i="3"/>
  <c r="A881" i="3"/>
  <c r="A880" i="3"/>
  <c r="A879" i="3"/>
  <c r="A878" i="3"/>
  <c r="A877" i="3"/>
  <c r="A876" i="3"/>
  <c r="A875" i="3"/>
  <c r="A874" i="3"/>
  <c r="A873" i="3"/>
  <c r="A872" i="3"/>
  <c r="A871" i="3"/>
  <c r="A870" i="3"/>
  <c r="A869" i="3"/>
  <c r="A868" i="3"/>
  <c r="A867" i="3"/>
  <c r="A866" i="3"/>
  <c r="A865" i="3"/>
  <c r="A864" i="3"/>
  <c r="A863" i="3"/>
  <c r="A862" i="3"/>
  <c r="A861" i="3"/>
  <c r="A860" i="3"/>
  <c r="A859" i="3"/>
  <c r="A858" i="3"/>
  <c r="A857" i="3"/>
  <c r="A856" i="3"/>
  <c r="A855" i="3"/>
  <c r="A854" i="3"/>
  <c r="A853" i="3"/>
  <c r="A852" i="3"/>
  <c r="A851" i="3"/>
  <c r="A850" i="3"/>
  <c r="A849" i="3"/>
  <c r="A848" i="3"/>
  <c r="A847" i="3"/>
  <c r="A846" i="3"/>
  <c r="A845" i="3"/>
  <c r="A844" i="3"/>
  <c r="A843" i="3"/>
  <c r="A842" i="3"/>
  <c r="A841" i="3"/>
  <c r="A840" i="3"/>
  <c r="A839" i="3"/>
  <c r="A838" i="3"/>
  <c r="A837" i="3"/>
  <c r="A836" i="3"/>
  <c r="A835" i="3"/>
  <c r="A834" i="3"/>
  <c r="A833" i="3"/>
  <c r="A832" i="3"/>
  <c r="A831" i="3"/>
  <c r="A830" i="3"/>
  <c r="A829" i="3"/>
  <c r="A828" i="3"/>
  <c r="A827" i="3"/>
  <c r="A826" i="3"/>
  <c r="A825" i="3"/>
  <c r="A824" i="3"/>
  <c r="A823" i="3"/>
  <c r="A822" i="3"/>
  <c r="A821" i="3"/>
  <c r="A820" i="3"/>
  <c r="A819" i="3"/>
  <c r="A818" i="3"/>
  <c r="A817" i="3"/>
  <c r="A816" i="3"/>
  <c r="A815" i="3"/>
  <c r="A814" i="3"/>
  <c r="A813" i="3"/>
  <c r="A812" i="3"/>
  <c r="A811" i="3"/>
  <c r="A810" i="3"/>
  <c r="A809" i="3"/>
  <c r="A808" i="3"/>
  <c r="A807" i="3"/>
  <c r="A806" i="3"/>
  <c r="A805" i="3"/>
  <c r="A804" i="3"/>
  <c r="A803" i="3"/>
  <c r="A802" i="3"/>
  <c r="A801" i="3"/>
  <c r="A800" i="3"/>
  <c r="A799" i="3"/>
  <c r="A798" i="3"/>
  <c r="A797" i="3"/>
  <c r="A796" i="3"/>
  <c r="A795" i="3"/>
  <c r="A794" i="3"/>
  <c r="A793" i="3"/>
  <c r="A792" i="3"/>
  <c r="A791" i="3"/>
  <c r="A790" i="3"/>
  <c r="A789" i="3"/>
  <c r="A788" i="3"/>
  <c r="A787" i="3"/>
  <c r="A786" i="3"/>
  <c r="A785" i="3"/>
  <c r="A784" i="3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P5" i="3"/>
  <c r="G5" i="3"/>
  <c r="A5" i="3"/>
  <c r="AB1000" i="2"/>
  <c r="AA1000" i="2"/>
  <c r="Z1000" i="2"/>
  <c r="Y1000" i="2"/>
  <c r="X1000" i="2"/>
  <c r="W1000" i="2"/>
  <c r="V1000" i="2"/>
  <c r="U1000" i="2"/>
  <c r="T1000" i="2"/>
  <c r="S1000" i="2"/>
  <c r="R1000" i="2"/>
  <c r="Q1000" i="2"/>
  <c r="P1000" i="2"/>
  <c r="O1000" i="2"/>
  <c r="N1000" i="2"/>
  <c r="M1000" i="2"/>
  <c r="L1000" i="2"/>
  <c r="K1000" i="2"/>
  <c r="J1000" i="2"/>
  <c r="I1000" i="2"/>
  <c r="H1000" i="2"/>
  <c r="G1000" i="2"/>
  <c r="F1000" i="2"/>
  <c r="E1000" i="2"/>
  <c r="D1000" i="2"/>
  <c r="C1000" i="2"/>
  <c r="B1000" i="2"/>
  <c r="AB999" i="2"/>
  <c r="AA999" i="2"/>
  <c r="Z999" i="2"/>
  <c r="Y999" i="2"/>
  <c r="X999" i="2"/>
  <c r="W999" i="2"/>
  <c r="V999" i="2"/>
  <c r="U999" i="2"/>
  <c r="T999" i="2"/>
  <c r="S999" i="2"/>
  <c r="R999" i="2"/>
  <c r="Q999" i="2"/>
  <c r="P999" i="2"/>
  <c r="O999" i="2"/>
  <c r="N999" i="2"/>
  <c r="M999" i="2"/>
  <c r="L999" i="2"/>
  <c r="K999" i="2"/>
  <c r="J999" i="2"/>
  <c r="I999" i="2"/>
  <c r="H999" i="2"/>
  <c r="G999" i="2"/>
  <c r="F999" i="2"/>
  <c r="E999" i="2"/>
  <c r="D999" i="2"/>
  <c r="C999" i="2"/>
  <c r="B999" i="2"/>
  <c r="AB998" i="2"/>
  <c r="AA998" i="2"/>
  <c r="Z998" i="2"/>
  <c r="Y998" i="2"/>
  <c r="X998" i="2"/>
  <c r="W998" i="2"/>
  <c r="V998" i="2"/>
  <c r="U998" i="2"/>
  <c r="T998" i="2"/>
  <c r="S998" i="2"/>
  <c r="R998" i="2"/>
  <c r="Q998" i="2"/>
  <c r="P998" i="2"/>
  <c r="O998" i="2"/>
  <c r="N998" i="2"/>
  <c r="M998" i="2"/>
  <c r="L998" i="2"/>
  <c r="K998" i="2"/>
  <c r="J998" i="2"/>
  <c r="I998" i="2"/>
  <c r="H998" i="2"/>
  <c r="G998" i="2"/>
  <c r="F998" i="2"/>
  <c r="E998" i="2"/>
  <c r="D998" i="2"/>
  <c r="C998" i="2"/>
  <c r="B998" i="2"/>
  <c r="AB997" i="2"/>
  <c r="AA997" i="2"/>
  <c r="Z997" i="2"/>
  <c r="Y997" i="2"/>
  <c r="X997" i="2"/>
  <c r="W997" i="2"/>
  <c r="V997" i="2"/>
  <c r="U997" i="2"/>
  <c r="T997" i="2"/>
  <c r="S997" i="2"/>
  <c r="R997" i="2"/>
  <c r="Q997" i="2"/>
  <c r="P997" i="2"/>
  <c r="O997" i="2"/>
  <c r="N997" i="2"/>
  <c r="M997" i="2"/>
  <c r="L997" i="2"/>
  <c r="K997" i="2"/>
  <c r="J997" i="2"/>
  <c r="I997" i="2"/>
  <c r="H997" i="2"/>
  <c r="G997" i="2"/>
  <c r="F997" i="2"/>
  <c r="E997" i="2"/>
  <c r="D997" i="2"/>
  <c r="C997" i="2"/>
  <c r="B997" i="2"/>
  <c r="AB996" i="2"/>
  <c r="AA996" i="2"/>
  <c r="Z996" i="2"/>
  <c r="Y996" i="2"/>
  <c r="X996" i="2"/>
  <c r="W996" i="2"/>
  <c r="V996" i="2"/>
  <c r="U996" i="2"/>
  <c r="T996" i="2"/>
  <c r="S996" i="2"/>
  <c r="R996" i="2"/>
  <c r="Q996" i="2"/>
  <c r="P996" i="2"/>
  <c r="O996" i="2"/>
  <c r="N996" i="2"/>
  <c r="M996" i="2"/>
  <c r="L996" i="2"/>
  <c r="K996" i="2"/>
  <c r="J996" i="2"/>
  <c r="I996" i="2"/>
  <c r="H996" i="2"/>
  <c r="G996" i="2"/>
  <c r="F996" i="2"/>
  <c r="E996" i="2"/>
  <c r="D996" i="2"/>
  <c r="C996" i="2"/>
  <c r="B996" i="2"/>
  <c r="AB995" i="2"/>
  <c r="AA995" i="2"/>
  <c r="Z995" i="2"/>
  <c r="Y995" i="2"/>
  <c r="X995" i="2"/>
  <c r="W995" i="2"/>
  <c r="V995" i="2"/>
  <c r="U995" i="2"/>
  <c r="T995" i="2"/>
  <c r="S995" i="2"/>
  <c r="R995" i="2"/>
  <c r="Q995" i="2"/>
  <c r="P995" i="2"/>
  <c r="O995" i="2"/>
  <c r="N995" i="2"/>
  <c r="M995" i="2"/>
  <c r="L995" i="2"/>
  <c r="K995" i="2"/>
  <c r="J995" i="2"/>
  <c r="I995" i="2"/>
  <c r="H995" i="2"/>
  <c r="G995" i="2"/>
  <c r="F995" i="2"/>
  <c r="E995" i="2"/>
  <c r="D995" i="2"/>
  <c r="C995" i="2"/>
  <c r="B995" i="2"/>
  <c r="AB994" i="2"/>
  <c r="AA994" i="2"/>
  <c r="Z994" i="2"/>
  <c r="Y994" i="2"/>
  <c r="X994" i="2"/>
  <c r="W994" i="2"/>
  <c r="V994" i="2"/>
  <c r="U994" i="2"/>
  <c r="T994" i="2"/>
  <c r="S994" i="2"/>
  <c r="R994" i="2"/>
  <c r="Q994" i="2"/>
  <c r="P994" i="2"/>
  <c r="O994" i="2"/>
  <c r="N994" i="2"/>
  <c r="M994" i="2"/>
  <c r="L994" i="2"/>
  <c r="K994" i="2"/>
  <c r="J994" i="2"/>
  <c r="I994" i="2"/>
  <c r="H994" i="2"/>
  <c r="G994" i="2"/>
  <c r="F994" i="2"/>
  <c r="E994" i="2"/>
  <c r="D994" i="2"/>
  <c r="C994" i="2"/>
  <c r="B994" i="2"/>
  <c r="AB993" i="2"/>
  <c r="AA993" i="2"/>
  <c r="Z993" i="2"/>
  <c r="Y993" i="2"/>
  <c r="X993" i="2"/>
  <c r="W993" i="2"/>
  <c r="V993" i="2"/>
  <c r="U993" i="2"/>
  <c r="T993" i="2"/>
  <c r="S993" i="2"/>
  <c r="R993" i="2"/>
  <c r="Q993" i="2"/>
  <c r="P993" i="2"/>
  <c r="O993" i="2"/>
  <c r="N993" i="2"/>
  <c r="M993" i="2"/>
  <c r="L993" i="2"/>
  <c r="K993" i="2"/>
  <c r="J993" i="2"/>
  <c r="I993" i="2"/>
  <c r="H993" i="2"/>
  <c r="G993" i="2"/>
  <c r="F993" i="2"/>
  <c r="E993" i="2"/>
  <c r="D993" i="2"/>
  <c r="C993" i="2"/>
  <c r="B993" i="2"/>
  <c r="AB992" i="2"/>
  <c r="AA992" i="2"/>
  <c r="Z992" i="2"/>
  <c r="Y992" i="2"/>
  <c r="X992" i="2"/>
  <c r="W992" i="2"/>
  <c r="V992" i="2"/>
  <c r="U992" i="2"/>
  <c r="T992" i="2"/>
  <c r="S992" i="2"/>
  <c r="R992" i="2"/>
  <c r="Q992" i="2"/>
  <c r="P992" i="2"/>
  <c r="O992" i="2"/>
  <c r="N992" i="2"/>
  <c r="M992" i="2"/>
  <c r="L992" i="2"/>
  <c r="K992" i="2"/>
  <c r="J992" i="2"/>
  <c r="I992" i="2"/>
  <c r="H992" i="2"/>
  <c r="G992" i="2"/>
  <c r="F992" i="2"/>
  <c r="E992" i="2"/>
  <c r="D992" i="2"/>
  <c r="C992" i="2"/>
  <c r="B992" i="2"/>
  <c r="AB991" i="2"/>
  <c r="AA991" i="2"/>
  <c r="Z991" i="2"/>
  <c r="Y991" i="2"/>
  <c r="X991" i="2"/>
  <c r="W991" i="2"/>
  <c r="V991" i="2"/>
  <c r="U991" i="2"/>
  <c r="T991" i="2"/>
  <c r="S991" i="2"/>
  <c r="R991" i="2"/>
  <c r="Q991" i="2"/>
  <c r="P991" i="2"/>
  <c r="O991" i="2"/>
  <c r="N991" i="2"/>
  <c r="M991" i="2"/>
  <c r="L991" i="2"/>
  <c r="K991" i="2"/>
  <c r="J991" i="2"/>
  <c r="I991" i="2"/>
  <c r="H991" i="2"/>
  <c r="G991" i="2"/>
  <c r="F991" i="2"/>
  <c r="E991" i="2"/>
  <c r="D991" i="2"/>
  <c r="C991" i="2"/>
  <c r="B991" i="2"/>
  <c r="AB990" i="2"/>
  <c r="AA990" i="2"/>
  <c r="Z990" i="2"/>
  <c r="Y990" i="2"/>
  <c r="X990" i="2"/>
  <c r="W990" i="2"/>
  <c r="V990" i="2"/>
  <c r="U990" i="2"/>
  <c r="T990" i="2"/>
  <c r="S990" i="2"/>
  <c r="R990" i="2"/>
  <c r="Q990" i="2"/>
  <c r="P990" i="2"/>
  <c r="O990" i="2"/>
  <c r="N990" i="2"/>
  <c r="M990" i="2"/>
  <c r="L990" i="2"/>
  <c r="K990" i="2"/>
  <c r="J990" i="2"/>
  <c r="I990" i="2"/>
  <c r="H990" i="2"/>
  <c r="G990" i="2"/>
  <c r="F990" i="2"/>
  <c r="E990" i="2"/>
  <c r="D990" i="2"/>
  <c r="C990" i="2"/>
  <c r="B990" i="2"/>
  <c r="AB989" i="2"/>
  <c r="AA989" i="2"/>
  <c r="Z989" i="2"/>
  <c r="Y989" i="2"/>
  <c r="X989" i="2"/>
  <c r="W989" i="2"/>
  <c r="V989" i="2"/>
  <c r="U989" i="2"/>
  <c r="T989" i="2"/>
  <c r="S989" i="2"/>
  <c r="R989" i="2"/>
  <c r="Q989" i="2"/>
  <c r="P989" i="2"/>
  <c r="O989" i="2"/>
  <c r="N989" i="2"/>
  <c r="M989" i="2"/>
  <c r="L989" i="2"/>
  <c r="K989" i="2"/>
  <c r="J989" i="2"/>
  <c r="I989" i="2"/>
  <c r="H989" i="2"/>
  <c r="G989" i="2"/>
  <c r="F989" i="2"/>
  <c r="E989" i="2"/>
  <c r="D989" i="2"/>
  <c r="C989" i="2"/>
  <c r="B989" i="2"/>
  <c r="AB988" i="2"/>
  <c r="AA988" i="2"/>
  <c r="Z988" i="2"/>
  <c r="Y988" i="2"/>
  <c r="X988" i="2"/>
  <c r="W988" i="2"/>
  <c r="V988" i="2"/>
  <c r="U988" i="2"/>
  <c r="T988" i="2"/>
  <c r="S988" i="2"/>
  <c r="R988" i="2"/>
  <c r="Q988" i="2"/>
  <c r="P988" i="2"/>
  <c r="O988" i="2"/>
  <c r="N988" i="2"/>
  <c r="M988" i="2"/>
  <c r="L988" i="2"/>
  <c r="K988" i="2"/>
  <c r="J988" i="2"/>
  <c r="I988" i="2"/>
  <c r="H988" i="2"/>
  <c r="G988" i="2"/>
  <c r="F988" i="2"/>
  <c r="E988" i="2"/>
  <c r="D988" i="2"/>
  <c r="C988" i="2"/>
  <c r="B988" i="2"/>
  <c r="AB987" i="2"/>
  <c r="AA987" i="2"/>
  <c r="Z987" i="2"/>
  <c r="Y987" i="2"/>
  <c r="X987" i="2"/>
  <c r="W987" i="2"/>
  <c r="V987" i="2"/>
  <c r="U987" i="2"/>
  <c r="T987" i="2"/>
  <c r="S987" i="2"/>
  <c r="R987" i="2"/>
  <c r="Q987" i="2"/>
  <c r="P987" i="2"/>
  <c r="O987" i="2"/>
  <c r="N987" i="2"/>
  <c r="M987" i="2"/>
  <c r="L987" i="2"/>
  <c r="K987" i="2"/>
  <c r="J987" i="2"/>
  <c r="I987" i="2"/>
  <c r="H987" i="2"/>
  <c r="G987" i="2"/>
  <c r="F987" i="2"/>
  <c r="E987" i="2"/>
  <c r="D987" i="2"/>
  <c r="C987" i="2"/>
  <c r="B987" i="2"/>
  <c r="AB986" i="2"/>
  <c r="AA986" i="2"/>
  <c r="Z986" i="2"/>
  <c r="Y986" i="2"/>
  <c r="X986" i="2"/>
  <c r="W986" i="2"/>
  <c r="V986" i="2"/>
  <c r="U986" i="2"/>
  <c r="T986" i="2"/>
  <c r="S986" i="2"/>
  <c r="R986" i="2"/>
  <c r="Q986" i="2"/>
  <c r="P986" i="2"/>
  <c r="O986" i="2"/>
  <c r="N986" i="2"/>
  <c r="M986" i="2"/>
  <c r="L986" i="2"/>
  <c r="K986" i="2"/>
  <c r="J986" i="2"/>
  <c r="I986" i="2"/>
  <c r="H986" i="2"/>
  <c r="G986" i="2"/>
  <c r="F986" i="2"/>
  <c r="E986" i="2"/>
  <c r="D986" i="2"/>
  <c r="C986" i="2"/>
  <c r="B986" i="2"/>
  <c r="AB985" i="2"/>
  <c r="AA985" i="2"/>
  <c r="Z985" i="2"/>
  <c r="Y985" i="2"/>
  <c r="X985" i="2"/>
  <c r="W985" i="2"/>
  <c r="V985" i="2"/>
  <c r="U985" i="2"/>
  <c r="T985" i="2"/>
  <c r="S985" i="2"/>
  <c r="R985" i="2"/>
  <c r="Q985" i="2"/>
  <c r="P985" i="2"/>
  <c r="O985" i="2"/>
  <c r="N985" i="2"/>
  <c r="M985" i="2"/>
  <c r="L985" i="2"/>
  <c r="K985" i="2"/>
  <c r="J985" i="2"/>
  <c r="I985" i="2"/>
  <c r="H985" i="2"/>
  <c r="G985" i="2"/>
  <c r="F985" i="2"/>
  <c r="E985" i="2"/>
  <c r="D985" i="2"/>
  <c r="C985" i="2"/>
  <c r="B985" i="2"/>
  <c r="AB984" i="2"/>
  <c r="AA984" i="2"/>
  <c r="Z984" i="2"/>
  <c r="Y984" i="2"/>
  <c r="X984" i="2"/>
  <c r="W984" i="2"/>
  <c r="V984" i="2"/>
  <c r="U984" i="2"/>
  <c r="T984" i="2"/>
  <c r="S984" i="2"/>
  <c r="R984" i="2"/>
  <c r="Q984" i="2"/>
  <c r="P984" i="2"/>
  <c r="O984" i="2"/>
  <c r="N984" i="2"/>
  <c r="M984" i="2"/>
  <c r="L984" i="2"/>
  <c r="K984" i="2"/>
  <c r="J984" i="2"/>
  <c r="I984" i="2"/>
  <c r="H984" i="2"/>
  <c r="G984" i="2"/>
  <c r="F984" i="2"/>
  <c r="E984" i="2"/>
  <c r="D984" i="2"/>
  <c r="C984" i="2"/>
  <c r="B984" i="2"/>
  <c r="AB983" i="2"/>
  <c r="AA983" i="2"/>
  <c r="Z983" i="2"/>
  <c r="Y983" i="2"/>
  <c r="X983" i="2"/>
  <c r="W983" i="2"/>
  <c r="V983" i="2"/>
  <c r="U983" i="2"/>
  <c r="T983" i="2"/>
  <c r="S983" i="2"/>
  <c r="R983" i="2"/>
  <c r="Q983" i="2"/>
  <c r="P983" i="2"/>
  <c r="O983" i="2"/>
  <c r="N983" i="2"/>
  <c r="M983" i="2"/>
  <c r="L983" i="2"/>
  <c r="K983" i="2"/>
  <c r="J983" i="2"/>
  <c r="I983" i="2"/>
  <c r="H983" i="2"/>
  <c r="G983" i="2"/>
  <c r="F983" i="2"/>
  <c r="E983" i="2"/>
  <c r="D983" i="2"/>
  <c r="C983" i="2"/>
  <c r="B983" i="2"/>
  <c r="AB982" i="2"/>
  <c r="AA982" i="2"/>
  <c r="Z982" i="2"/>
  <c r="Y982" i="2"/>
  <c r="X982" i="2"/>
  <c r="W982" i="2"/>
  <c r="V982" i="2"/>
  <c r="U982" i="2"/>
  <c r="T982" i="2"/>
  <c r="S982" i="2"/>
  <c r="R982" i="2"/>
  <c r="Q982" i="2"/>
  <c r="P982" i="2"/>
  <c r="O982" i="2"/>
  <c r="N982" i="2"/>
  <c r="M982" i="2"/>
  <c r="L982" i="2"/>
  <c r="K982" i="2"/>
  <c r="J982" i="2"/>
  <c r="I982" i="2"/>
  <c r="H982" i="2"/>
  <c r="G982" i="2"/>
  <c r="F982" i="2"/>
  <c r="E982" i="2"/>
  <c r="D982" i="2"/>
  <c r="C982" i="2"/>
  <c r="B982" i="2"/>
  <c r="AB981" i="2"/>
  <c r="AA981" i="2"/>
  <c r="Z981" i="2"/>
  <c r="Y981" i="2"/>
  <c r="X981" i="2"/>
  <c r="W981" i="2"/>
  <c r="V981" i="2"/>
  <c r="U981" i="2"/>
  <c r="T981" i="2"/>
  <c r="S981" i="2"/>
  <c r="R981" i="2"/>
  <c r="Q981" i="2"/>
  <c r="P981" i="2"/>
  <c r="O981" i="2"/>
  <c r="N981" i="2"/>
  <c r="M981" i="2"/>
  <c r="L981" i="2"/>
  <c r="K981" i="2"/>
  <c r="J981" i="2"/>
  <c r="I981" i="2"/>
  <c r="H981" i="2"/>
  <c r="G981" i="2"/>
  <c r="F981" i="2"/>
  <c r="E981" i="2"/>
  <c r="D981" i="2"/>
  <c r="C981" i="2"/>
  <c r="B981" i="2"/>
  <c r="AB980" i="2"/>
  <c r="AA980" i="2"/>
  <c r="Z980" i="2"/>
  <c r="Y980" i="2"/>
  <c r="X980" i="2"/>
  <c r="W980" i="2"/>
  <c r="V980" i="2"/>
  <c r="U980" i="2"/>
  <c r="T980" i="2"/>
  <c r="S980" i="2"/>
  <c r="R980" i="2"/>
  <c r="Q980" i="2"/>
  <c r="P980" i="2"/>
  <c r="O980" i="2"/>
  <c r="N980" i="2"/>
  <c r="M980" i="2"/>
  <c r="L980" i="2"/>
  <c r="K980" i="2"/>
  <c r="J980" i="2"/>
  <c r="I980" i="2"/>
  <c r="H980" i="2"/>
  <c r="G980" i="2"/>
  <c r="F980" i="2"/>
  <c r="E980" i="2"/>
  <c r="D980" i="2"/>
  <c r="C980" i="2"/>
  <c r="B980" i="2"/>
  <c r="AB979" i="2"/>
  <c r="AA979" i="2"/>
  <c r="Z979" i="2"/>
  <c r="Y979" i="2"/>
  <c r="X979" i="2"/>
  <c r="W979" i="2"/>
  <c r="V979" i="2"/>
  <c r="U979" i="2"/>
  <c r="T979" i="2"/>
  <c r="S979" i="2"/>
  <c r="R979" i="2"/>
  <c r="Q979" i="2"/>
  <c r="P979" i="2"/>
  <c r="O979" i="2"/>
  <c r="N979" i="2"/>
  <c r="M979" i="2"/>
  <c r="L979" i="2"/>
  <c r="K979" i="2"/>
  <c r="J979" i="2"/>
  <c r="I979" i="2"/>
  <c r="H979" i="2"/>
  <c r="G979" i="2"/>
  <c r="F979" i="2"/>
  <c r="E979" i="2"/>
  <c r="D979" i="2"/>
  <c r="C979" i="2"/>
  <c r="B979" i="2"/>
  <c r="AB978" i="2"/>
  <c r="AA978" i="2"/>
  <c r="Z978" i="2"/>
  <c r="Y978" i="2"/>
  <c r="X978" i="2"/>
  <c r="W978" i="2"/>
  <c r="V978" i="2"/>
  <c r="U978" i="2"/>
  <c r="T978" i="2"/>
  <c r="S978" i="2"/>
  <c r="R978" i="2"/>
  <c r="Q978" i="2"/>
  <c r="P978" i="2"/>
  <c r="O978" i="2"/>
  <c r="N978" i="2"/>
  <c r="M978" i="2"/>
  <c r="L978" i="2"/>
  <c r="K978" i="2"/>
  <c r="J978" i="2"/>
  <c r="I978" i="2"/>
  <c r="H978" i="2"/>
  <c r="G978" i="2"/>
  <c r="F978" i="2"/>
  <c r="E978" i="2"/>
  <c r="D978" i="2"/>
  <c r="C978" i="2"/>
  <c r="B978" i="2"/>
  <c r="AB977" i="2"/>
  <c r="AA977" i="2"/>
  <c r="Z977" i="2"/>
  <c r="Y977" i="2"/>
  <c r="X977" i="2"/>
  <c r="W977" i="2"/>
  <c r="V977" i="2"/>
  <c r="U977" i="2"/>
  <c r="T977" i="2"/>
  <c r="S977" i="2"/>
  <c r="R977" i="2"/>
  <c r="Q977" i="2"/>
  <c r="P977" i="2"/>
  <c r="O977" i="2"/>
  <c r="N977" i="2"/>
  <c r="M977" i="2"/>
  <c r="L977" i="2"/>
  <c r="K977" i="2"/>
  <c r="J977" i="2"/>
  <c r="I977" i="2"/>
  <c r="H977" i="2"/>
  <c r="G977" i="2"/>
  <c r="F977" i="2"/>
  <c r="E977" i="2"/>
  <c r="D977" i="2"/>
  <c r="C977" i="2"/>
  <c r="B977" i="2"/>
  <c r="AB976" i="2"/>
  <c r="AA976" i="2"/>
  <c r="Z976" i="2"/>
  <c r="Y976" i="2"/>
  <c r="X976" i="2"/>
  <c r="W976" i="2"/>
  <c r="V976" i="2"/>
  <c r="U976" i="2"/>
  <c r="T976" i="2"/>
  <c r="S976" i="2"/>
  <c r="R976" i="2"/>
  <c r="Q976" i="2"/>
  <c r="P976" i="2"/>
  <c r="O976" i="2"/>
  <c r="N976" i="2"/>
  <c r="M976" i="2"/>
  <c r="L976" i="2"/>
  <c r="K976" i="2"/>
  <c r="J976" i="2"/>
  <c r="I976" i="2"/>
  <c r="H976" i="2"/>
  <c r="G976" i="2"/>
  <c r="F976" i="2"/>
  <c r="E976" i="2"/>
  <c r="D976" i="2"/>
  <c r="C976" i="2"/>
  <c r="B976" i="2"/>
  <c r="AB975" i="2"/>
  <c r="AA975" i="2"/>
  <c r="Z975" i="2"/>
  <c r="Y975" i="2"/>
  <c r="X975" i="2"/>
  <c r="W975" i="2"/>
  <c r="V975" i="2"/>
  <c r="U975" i="2"/>
  <c r="T975" i="2"/>
  <c r="S975" i="2"/>
  <c r="R975" i="2"/>
  <c r="Q975" i="2"/>
  <c r="P975" i="2"/>
  <c r="O975" i="2"/>
  <c r="N975" i="2"/>
  <c r="M975" i="2"/>
  <c r="L975" i="2"/>
  <c r="K975" i="2"/>
  <c r="J975" i="2"/>
  <c r="I975" i="2"/>
  <c r="H975" i="2"/>
  <c r="G975" i="2"/>
  <c r="F975" i="2"/>
  <c r="E975" i="2"/>
  <c r="D975" i="2"/>
  <c r="C975" i="2"/>
  <c r="B975" i="2"/>
  <c r="AB974" i="2"/>
  <c r="AA974" i="2"/>
  <c r="Z974" i="2"/>
  <c r="Y974" i="2"/>
  <c r="X974" i="2"/>
  <c r="W974" i="2"/>
  <c r="V974" i="2"/>
  <c r="U974" i="2"/>
  <c r="T974" i="2"/>
  <c r="S974" i="2"/>
  <c r="R974" i="2"/>
  <c r="Q974" i="2"/>
  <c r="P974" i="2"/>
  <c r="O974" i="2"/>
  <c r="N974" i="2"/>
  <c r="M974" i="2"/>
  <c r="L974" i="2"/>
  <c r="K974" i="2"/>
  <c r="J974" i="2"/>
  <c r="I974" i="2"/>
  <c r="H974" i="2"/>
  <c r="G974" i="2"/>
  <c r="F974" i="2"/>
  <c r="E974" i="2"/>
  <c r="D974" i="2"/>
  <c r="C974" i="2"/>
  <c r="B974" i="2"/>
  <c r="AB973" i="2"/>
  <c r="AA973" i="2"/>
  <c r="Z973" i="2"/>
  <c r="Y973" i="2"/>
  <c r="X973" i="2"/>
  <c r="W973" i="2"/>
  <c r="V973" i="2"/>
  <c r="U973" i="2"/>
  <c r="T973" i="2"/>
  <c r="S973" i="2"/>
  <c r="R973" i="2"/>
  <c r="Q973" i="2"/>
  <c r="P973" i="2"/>
  <c r="O973" i="2"/>
  <c r="N973" i="2"/>
  <c r="M973" i="2"/>
  <c r="L973" i="2"/>
  <c r="K973" i="2"/>
  <c r="J973" i="2"/>
  <c r="I973" i="2"/>
  <c r="H973" i="2"/>
  <c r="G973" i="2"/>
  <c r="F973" i="2"/>
  <c r="E973" i="2"/>
  <c r="D973" i="2"/>
  <c r="C973" i="2"/>
  <c r="B973" i="2"/>
  <c r="AB972" i="2"/>
  <c r="AA972" i="2"/>
  <c r="Z972" i="2"/>
  <c r="Y972" i="2"/>
  <c r="X972" i="2"/>
  <c r="W972" i="2"/>
  <c r="V972" i="2"/>
  <c r="U972" i="2"/>
  <c r="T972" i="2"/>
  <c r="S972" i="2"/>
  <c r="R972" i="2"/>
  <c r="Q972" i="2"/>
  <c r="P972" i="2"/>
  <c r="O972" i="2"/>
  <c r="N972" i="2"/>
  <c r="M972" i="2"/>
  <c r="L972" i="2"/>
  <c r="K972" i="2"/>
  <c r="J972" i="2"/>
  <c r="I972" i="2"/>
  <c r="H972" i="2"/>
  <c r="G972" i="2"/>
  <c r="F972" i="2"/>
  <c r="E972" i="2"/>
  <c r="D972" i="2"/>
  <c r="C972" i="2"/>
  <c r="B972" i="2"/>
  <c r="AB971" i="2"/>
  <c r="AA971" i="2"/>
  <c r="Z971" i="2"/>
  <c r="Y971" i="2"/>
  <c r="X971" i="2"/>
  <c r="W971" i="2"/>
  <c r="V971" i="2"/>
  <c r="U971" i="2"/>
  <c r="T971" i="2"/>
  <c r="S971" i="2"/>
  <c r="R971" i="2"/>
  <c r="Q971" i="2"/>
  <c r="P971" i="2"/>
  <c r="O971" i="2"/>
  <c r="N971" i="2"/>
  <c r="M971" i="2"/>
  <c r="L971" i="2"/>
  <c r="K971" i="2"/>
  <c r="J971" i="2"/>
  <c r="I971" i="2"/>
  <c r="H971" i="2"/>
  <c r="G971" i="2"/>
  <c r="F971" i="2"/>
  <c r="E971" i="2"/>
  <c r="D971" i="2"/>
  <c r="C971" i="2"/>
  <c r="B971" i="2"/>
  <c r="AB970" i="2"/>
  <c r="AA970" i="2"/>
  <c r="Z970" i="2"/>
  <c r="Y970" i="2"/>
  <c r="X970" i="2"/>
  <c r="W970" i="2"/>
  <c r="V970" i="2"/>
  <c r="U970" i="2"/>
  <c r="T970" i="2"/>
  <c r="S970" i="2"/>
  <c r="R970" i="2"/>
  <c r="Q970" i="2"/>
  <c r="P970" i="2"/>
  <c r="O970" i="2"/>
  <c r="N970" i="2"/>
  <c r="M970" i="2"/>
  <c r="L970" i="2"/>
  <c r="K970" i="2"/>
  <c r="J970" i="2"/>
  <c r="I970" i="2"/>
  <c r="H970" i="2"/>
  <c r="G970" i="2"/>
  <c r="F970" i="2"/>
  <c r="E970" i="2"/>
  <c r="D970" i="2"/>
  <c r="C970" i="2"/>
  <c r="B970" i="2"/>
  <c r="AB969" i="2"/>
  <c r="AA969" i="2"/>
  <c r="Z969" i="2"/>
  <c r="Y969" i="2"/>
  <c r="X969" i="2"/>
  <c r="W969" i="2"/>
  <c r="V969" i="2"/>
  <c r="U969" i="2"/>
  <c r="T969" i="2"/>
  <c r="S969" i="2"/>
  <c r="R969" i="2"/>
  <c r="Q969" i="2"/>
  <c r="P969" i="2"/>
  <c r="O969" i="2"/>
  <c r="N969" i="2"/>
  <c r="M969" i="2"/>
  <c r="L969" i="2"/>
  <c r="K969" i="2"/>
  <c r="J969" i="2"/>
  <c r="I969" i="2"/>
  <c r="H969" i="2"/>
  <c r="G969" i="2"/>
  <c r="F969" i="2"/>
  <c r="E969" i="2"/>
  <c r="D969" i="2"/>
  <c r="C969" i="2"/>
  <c r="B969" i="2"/>
  <c r="AB968" i="2"/>
  <c r="AA968" i="2"/>
  <c r="Z968" i="2"/>
  <c r="Y968" i="2"/>
  <c r="X968" i="2"/>
  <c r="W968" i="2"/>
  <c r="V968" i="2"/>
  <c r="U968" i="2"/>
  <c r="T968" i="2"/>
  <c r="S968" i="2"/>
  <c r="R968" i="2"/>
  <c r="Q968" i="2"/>
  <c r="P968" i="2"/>
  <c r="O968" i="2"/>
  <c r="N968" i="2"/>
  <c r="M968" i="2"/>
  <c r="L968" i="2"/>
  <c r="K968" i="2"/>
  <c r="J968" i="2"/>
  <c r="I968" i="2"/>
  <c r="H968" i="2"/>
  <c r="G968" i="2"/>
  <c r="F968" i="2"/>
  <c r="E968" i="2"/>
  <c r="D968" i="2"/>
  <c r="C968" i="2"/>
  <c r="B968" i="2"/>
  <c r="AB967" i="2"/>
  <c r="AA967" i="2"/>
  <c r="Z967" i="2"/>
  <c r="Y967" i="2"/>
  <c r="X967" i="2"/>
  <c r="W967" i="2"/>
  <c r="V967" i="2"/>
  <c r="U967" i="2"/>
  <c r="T967" i="2"/>
  <c r="S967" i="2"/>
  <c r="R967" i="2"/>
  <c r="Q967" i="2"/>
  <c r="P967" i="2"/>
  <c r="O967" i="2"/>
  <c r="N967" i="2"/>
  <c r="M967" i="2"/>
  <c r="L967" i="2"/>
  <c r="K967" i="2"/>
  <c r="J967" i="2"/>
  <c r="I967" i="2"/>
  <c r="H967" i="2"/>
  <c r="G967" i="2"/>
  <c r="F967" i="2"/>
  <c r="E967" i="2"/>
  <c r="D967" i="2"/>
  <c r="C967" i="2"/>
  <c r="B967" i="2"/>
  <c r="AB966" i="2"/>
  <c r="AA966" i="2"/>
  <c r="Z966" i="2"/>
  <c r="Y966" i="2"/>
  <c r="X966" i="2"/>
  <c r="W966" i="2"/>
  <c r="V966" i="2"/>
  <c r="U966" i="2"/>
  <c r="T966" i="2"/>
  <c r="S966" i="2"/>
  <c r="R966" i="2"/>
  <c r="Q966" i="2"/>
  <c r="P966" i="2"/>
  <c r="O966" i="2"/>
  <c r="N966" i="2"/>
  <c r="M966" i="2"/>
  <c r="L966" i="2"/>
  <c r="K966" i="2"/>
  <c r="J966" i="2"/>
  <c r="I966" i="2"/>
  <c r="H966" i="2"/>
  <c r="G966" i="2"/>
  <c r="F966" i="2"/>
  <c r="E966" i="2"/>
  <c r="D966" i="2"/>
  <c r="C966" i="2"/>
  <c r="B966" i="2"/>
  <c r="AB965" i="2"/>
  <c r="AA965" i="2"/>
  <c r="Z965" i="2"/>
  <c r="Y965" i="2"/>
  <c r="X965" i="2"/>
  <c r="W965" i="2"/>
  <c r="V965" i="2"/>
  <c r="U965" i="2"/>
  <c r="T965" i="2"/>
  <c r="S965" i="2"/>
  <c r="R965" i="2"/>
  <c r="Q965" i="2"/>
  <c r="P965" i="2"/>
  <c r="O965" i="2"/>
  <c r="N965" i="2"/>
  <c r="M965" i="2"/>
  <c r="L965" i="2"/>
  <c r="K965" i="2"/>
  <c r="J965" i="2"/>
  <c r="I965" i="2"/>
  <c r="H965" i="2"/>
  <c r="G965" i="2"/>
  <c r="F965" i="2"/>
  <c r="E965" i="2"/>
  <c r="D965" i="2"/>
  <c r="C965" i="2"/>
  <c r="B965" i="2"/>
  <c r="AB964" i="2"/>
  <c r="AA964" i="2"/>
  <c r="Z964" i="2"/>
  <c r="Y964" i="2"/>
  <c r="X964" i="2"/>
  <c r="W964" i="2"/>
  <c r="V964" i="2"/>
  <c r="U964" i="2"/>
  <c r="T964" i="2"/>
  <c r="S964" i="2"/>
  <c r="R964" i="2"/>
  <c r="Q964" i="2"/>
  <c r="P964" i="2"/>
  <c r="O964" i="2"/>
  <c r="N964" i="2"/>
  <c r="M964" i="2"/>
  <c r="L964" i="2"/>
  <c r="K964" i="2"/>
  <c r="J964" i="2"/>
  <c r="I964" i="2"/>
  <c r="H964" i="2"/>
  <c r="G964" i="2"/>
  <c r="F964" i="2"/>
  <c r="E964" i="2"/>
  <c r="D964" i="2"/>
  <c r="C964" i="2"/>
  <c r="B964" i="2"/>
  <c r="AB963" i="2"/>
  <c r="AA963" i="2"/>
  <c r="Z963" i="2"/>
  <c r="Y963" i="2"/>
  <c r="X963" i="2"/>
  <c r="W963" i="2"/>
  <c r="V963" i="2"/>
  <c r="U963" i="2"/>
  <c r="T963" i="2"/>
  <c r="S963" i="2"/>
  <c r="R963" i="2"/>
  <c r="Q963" i="2"/>
  <c r="P963" i="2"/>
  <c r="O963" i="2"/>
  <c r="N963" i="2"/>
  <c r="M963" i="2"/>
  <c r="L963" i="2"/>
  <c r="K963" i="2"/>
  <c r="J963" i="2"/>
  <c r="I963" i="2"/>
  <c r="H963" i="2"/>
  <c r="G963" i="2"/>
  <c r="F963" i="2"/>
  <c r="E963" i="2"/>
  <c r="D963" i="2"/>
  <c r="C963" i="2"/>
  <c r="B963" i="2"/>
  <c r="AB962" i="2"/>
  <c r="AA962" i="2"/>
  <c r="Z962" i="2"/>
  <c r="Y962" i="2"/>
  <c r="X962" i="2"/>
  <c r="W962" i="2"/>
  <c r="V962" i="2"/>
  <c r="U962" i="2"/>
  <c r="T962" i="2"/>
  <c r="S962" i="2"/>
  <c r="R962" i="2"/>
  <c r="Q962" i="2"/>
  <c r="P962" i="2"/>
  <c r="O962" i="2"/>
  <c r="N962" i="2"/>
  <c r="M962" i="2"/>
  <c r="L962" i="2"/>
  <c r="K962" i="2"/>
  <c r="J962" i="2"/>
  <c r="I962" i="2"/>
  <c r="H962" i="2"/>
  <c r="G962" i="2"/>
  <c r="F962" i="2"/>
  <c r="E962" i="2"/>
  <c r="D962" i="2"/>
  <c r="C962" i="2"/>
  <c r="B962" i="2"/>
  <c r="AB961" i="2"/>
  <c r="AA961" i="2"/>
  <c r="Z961" i="2"/>
  <c r="Y961" i="2"/>
  <c r="X961" i="2"/>
  <c r="W961" i="2"/>
  <c r="V961" i="2"/>
  <c r="U961" i="2"/>
  <c r="T961" i="2"/>
  <c r="S961" i="2"/>
  <c r="R961" i="2"/>
  <c r="Q961" i="2"/>
  <c r="P961" i="2"/>
  <c r="O961" i="2"/>
  <c r="N961" i="2"/>
  <c r="M961" i="2"/>
  <c r="L961" i="2"/>
  <c r="K961" i="2"/>
  <c r="J961" i="2"/>
  <c r="I961" i="2"/>
  <c r="H961" i="2"/>
  <c r="G961" i="2"/>
  <c r="F961" i="2"/>
  <c r="E961" i="2"/>
  <c r="D961" i="2"/>
  <c r="C961" i="2"/>
  <c r="B961" i="2"/>
  <c r="AB960" i="2"/>
  <c r="AA960" i="2"/>
  <c r="Z960" i="2"/>
  <c r="Y960" i="2"/>
  <c r="X960" i="2"/>
  <c r="W960" i="2"/>
  <c r="V960" i="2"/>
  <c r="U960" i="2"/>
  <c r="T960" i="2"/>
  <c r="S960" i="2"/>
  <c r="R960" i="2"/>
  <c r="Q960" i="2"/>
  <c r="P960" i="2"/>
  <c r="O960" i="2"/>
  <c r="N960" i="2"/>
  <c r="M960" i="2"/>
  <c r="L960" i="2"/>
  <c r="K960" i="2"/>
  <c r="J960" i="2"/>
  <c r="I960" i="2"/>
  <c r="H960" i="2"/>
  <c r="G960" i="2"/>
  <c r="F960" i="2"/>
  <c r="E960" i="2"/>
  <c r="D960" i="2"/>
  <c r="C960" i="2"/>
  <c r="B960" i="2"/>
  <c r="AB959" i="2"/>
  <c r="AA959" i="2"/>
  <c r="Z959" i="2"/>
  <c r="Y959" i="2"/>
  <c r="X959" i="2"/>
  <c r="W959" i="2"/>
  <c r="V959" i="2"/>
  <c r="U959" i="2"/>
  <c r="T959" i="2"/>
  <c r="S959" i="2"/>
  <c r="R959" i="2"/>
  <c r="Q959" i="2"/>
  <c r="P959" i="2"/>
  <c r="O959" i="2"/>
  <c r="N959" i="2"/>
  <c r="M959" i="2"/>
  <c r="L959" i="2"/>
  <c r="K959" i="2"/>
  <c r="J959" i="2"/>
  <c r="I959" i="2"/>
  <c r="H959" i="2"/>
  <c r="G959" i="2"/>
  <c r="F959" i="2"/>
  <c r="E959" i="2"/>
  <c r="D959" i="2"/>
  <c r="C959" i="2"/>
  <c r="B959" i="2"/>
  <c r="AB958" i="2"/>
  <c r="AA958" i="2"/>
  <c r="Z958" i="2"/>
  <c r="Y958" i="2"/>
  <c r="X958" i="2"/>
  <c r="W958" i="2"/>
  <c r="V958" i="2"/>
  <c r="U958" i="2"/>
  <c r="T958" i="2"/>
  <c r="S958" i="2"/>
  <c r="R958" i="2"/>
  <c r="Q958" i="2"/>
  <c r="P958" i="2"/>
  <c r="O958" i="2"/>
  <c r="N958" i="2"/>
  <c r="M958" i="2"/>
  <c r="L958" i="2"/>
  <c r="K958" i="2"/>
  <c r="J958" i="2"/>
  <c r="I958" i="2"/>
  <c r="H958" i="2"/>
  <c r="G958" i="2"/>
  <c r="F958" i="2"/>
  <c r="E958" i="2"/>
  <c r="D958" i="2"/>
  <c r="C958" i="2"/>
  <c r="B958" i="2"/>
  <c r="AB957" i="2"/>
  <c r="AA957" i="2"/>
  <c r="Z957" i="2"/>
  <c r="Y957" i="2"/>
  <c r="X957" i="2"/>
  <c r="W957" i="2"/>
  <c r="V957" i="2"/>
  <c r="U957" i="2"/>
  <c r="T957" i="2"/>
  <c r="S957" i="2"/>
  <c r="R957" i="2"/>
  <c r="Q957" i="2"/>
  <c r="P957" i="2"/>
  <c r="O957" i="2"/>
  <c r="N957" i="2"/>
  <c r="M957" i="2"/>
  <c r="L957" i="2"/>
  <c r="K957" i="2"/>
  <c r="J957" i="2"/>
  <c r="I957" i="2"/>
  <c r="H957" i="2"/>
  <c r="G957" i="2"/>
  <c r="F957" i="2"/>
  <c r="E957" i="2"/>
  <c r="D957" i="2"/>
  <c r="C957" i="2"/>
  <c r="B957" i="2"/>
  <c r="AB956" i="2"/>
  <c r="AA956" i="2"/>
  <c r="Z956" i="2"/>
  <c r="Y956" i="2"/>
  <c r="X956" i="2"/>
  <c r="W956" i="2"/>
  <c r="V956" i="2"/>
  <c r="U956" i="2"/>
  <c r="T956" i="2"/>
  <c r="S956" i="2"/>
  <c r="R956" i="2"/>
  <c r="Q956" i="2"/>
  <c r="P956" i="2"/>
  <c r="O956" i="2"/>
  <c r="N956" i="2"/>
  <c r="M956" i="2"/>
  <c r="L956" i="2"/>
  <c r="K956" i="2"/>
  <c r="J956" i="2"/>
  <c r="I956" i="2"/>
  <c r="H956" i="2"/>
  <c r="G956" i="2"/>
  <c r="F956" i="2"/>
  <c r="E956" i="2"/>
  <c r="D956" i="2"/>
  <c r="C956" i="2"/>
  <c r="B956" i="2"/>
  <c r="AB955" i="2"/>
  <c r="AA955" i="2"/>
  <c r="Z955" i="2"/>
  <c r="Y955" i="2"/>
  <c r="X955" i="2"/>
  <c r="W955" i="2"/>
  <c r="V955" i="2"/>
  <c r="U955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H955" i="2"/>
  <c r="G955" i="2"/>
  <c r="F955" i="2"/>
  <c r="E955" i="2"/>
  <c r="D955" i="2"/>
  <c r="C955" i="2"/>
  <c r="B955" i="2"/>
  <c r="AB954" i="2"/>
  <c r="AA954" i="2"/>
  <c r="Z954" i="2"/>
  <c r="Y954" i="2"/>
  <c r="X954" i="2"/>
  <c r="W954" i="2"/>
  <c r="V954" i="2"/>
  <c r="U954" i="2"/>
  <c r="T954" i="2"/>
  <c r="S954" i="2"/>
  <c r="R954" i="2"/>
  <c r="Q954" i="2"/>
  <c r="P954" i="2"/>
  <c r="O954" i="2"/>
  <c r="N954" i="2"/>
  <c r="M954" i="2"/>
  <c r="L954" i="2"/>
  <c r="K954" i="2"/>
  <c r="J954" i="2"/>
  <c r="I954" i="2"/>
  <c r="H954" i="2"/>
  <c r="G954" i="2"/>
  <c r="F954" i="2"/>
  <c r="E954" i="2"/>
  <c r="D954" i="2"/>
  <c r="C954" i="2"/>
  <c r="B954" i="2"/>
  <c r="AB953" i="2"/>
  <c r="AA953" i="2"/>
  <c r="Z953" i="2"/>
  <c r="Y953" i="2"/>
  <c r="X953" i="2"/>
  <c r="W953" i="2"/>
  <c r="V953" i="2"/>
  <c r="U953" i="2"/>
  <c r="T953" i="2"/>
  <c r="S953" i="2"/>
  <c r="R953" i="2"/>
  <c r="Q953" i="2"/>
  <c r="P953" i="2"/>
  <c r="O953" i="2"/>
  <c r="N953" i="2"/>
  <c r="M953" i="2"/>
  <c r="L953" i="2"/>
  <c r="K953" i="2"/>
  <c r="J953" i="2"/>
  <c r="I953" i="2"/>
  <c r="H953" i="2"/>
  <c r="G953" i="2"/>
  <c r="F953" i="2"/>
  <c r="E953" i="2"/>
  <c r="D953" i="2"/>
  <c r="C953" i="2"/>
  <c r="B953" i="2"/>
  <c r="AB952" i="2"/>
  <c r="AA952" i="2"/>
  <c r="Z952" i="2"/>
  <c r="Y952" i="2"/>
  <c r="X952" i="2"/>
  <c r="W952" i="2"/>
  <c r="V952" i="2"/>
  <c r="U952" i="2"/>
  <c r="T952" i="2"/>
  <c r="S952" i="2"/>
  <c r="R952" i="2"/>
  <c r="Q952" i="2"/>
  <c r="P952" i="2"/>
  <c r="O952" i="2"/>
  <c r="N952" i="2"/>
  <c r="M952" i="2"/>
  <c r="L952" i="2"/>
  <c r="K952" i="2"/>
  <c r="J952" i="2"/>
  <c r="I952" i="2"/>
  <c r="H952" i="2"/>
  <c r="G952" i="2"/>
  <c r="F952" i="2"/>
  <c r="E952" i="2"/>
  <c r="D952" i="2"/>
  <c r="C952" i="2"/>
  <c r="B952" i="2"/>
  <c r="AB951" i="2"/>
  <c r="AA951" i="2"/>
  <c r="Z951" i="2"/>
  <c r="Y951" i="2"/>
  <c r="X951" i="2"/>
  <c r="W951" i="2"/>
  <c r="V951" i="2"/>
  <c r="U951" i="2"/>
  <c r="T951" i="2"/>
  <c r="S951" i="2"/>
  <c r="R951" i="2"/>
  <c r="Q951" i="2"/>
  <c r="P951" i="2"/>
  <c r="O951" i="2"/>
  <c r="N951" i="2"/>
  <c r="M951" i="2"/>
  <c r="L951" i="2"/>
  <c r="K951" i="2"/>
  <c r="J951" i="2"/>
  <c r="I951" i="2"/>
  <c r="H951" i="2"/>
  <c r="G951" i="2"/>
  <c r="F951" i="2"/>
  <c r="E951" i="2"/>
  <c r="D951" i="2"/>
  <c r="C951" i="2"/>
  <c r="B951" i="2"/>
  <c r="AB950" i="2"/>
  <c r="AA950" i="2"/>
  <c r="Z950" i="2"/>
  <c r="Y950" i="2"/>
  <c r="X950" i="2"/>
  <c r="W950" i="2"/>
  <c r="V950" i="2"/>
  <c r="U950" i="2"/>
  <c r="T950" i="2"/>
  <c r="S950" i="2"/>
  <c r="R950" i="2"/>
  <c r="Q950" i="2"/>
  <c r="P950" i="2"/>
  <c r="O950" i="2"/>
  <c r="N950" i="2"/>
  <c r="M950" i="2"/>
  <c r="L950" i="2"/>
  <c r="K950" i="2"/>
  <c r="J950" i="2"/>
  <c r="I950" i="2"/>
  <c r="H950" i="2"/>
  <c r="G950" i="2"/>
  <c r="F950" i="2"/>
  <c r="E950" i="2"/>
  <c r="D950" i="2"/>
  <c r="C950" i="2"/>
  <c r="B950" i="2"/>
  <c r="AB949" i="2"/>
  <c r="AA949" i="2"/>
  <c r="Z949" i="2"/>
  <c r="Y949" i="2"/>
  <c r="X949" i="2"/>
  <c r="W949" i="2"/>
  <c r="V949" i="2"/>
  <c r="U949" i="2"/>
  <c r="T949" i="2"/>
  <c r="S949" i="2"/>
  <c r="R949" i="2"/>
  <c r="Q949" i="2"/>
  <c r="P949" i="2"/>
  <c r="O949" i="2"/>
  <c r="N949" i="2"/>
  <c r="M949" i="2"/>
  <c r="L949" i="2"/>
  <c r="K949" i="2"/>
  <c r="J949" i="2"/>
  <c r="I949" i="2"/>
  <c r="H949" i="2"/>
  <c r="G949" i="2"/>
  <c r="F949" i="2"/>
  <c r="E949" i="2"/>
  <c r="D949" i="2"/>
  <c r="C949" i="2"/>
  <c r="B949" i="2"/>
  <c r="AB948" i="2"/>
  <c r="AA948" i="2"/>
  <c r="Z948" i="2"/>
  <c r="Y948" i="2"/>
  <c r="X948" i="2"/>
  <c r="W948" i="2"/>
  <c r="V948" i="2"/>
  <c r="U948" i="2"/>
  <c r="T948" i="2"/>
  <c r="S948" i="2"/>
  <c r="R948" i="2"/>
  <c r="Q948" i="2"/>
  <c r="P948" i="2"/>
  <c r="O948" i="2"/>
  <c r="N948" i="2"/>
  <c r="M948" i="2"/>
  <c r="L948" i="2"/>
  <c r="K948" i="2"/>
  <c r="J948" i="2"/>
  <c r="I948" i="2"/>
  <c r="H948" i="2"/>
  <c r="G948" i="2"/>
  <c r="F948" i="2"/>
  <c r="E948" i="2"/>
  <c r="D948" i="2"/>
  <c r="C948" i="2"/>
  <c r="B948" i="2"/>
  <c r="AB947" i="2"/>
  <c r="AA947" i="2"/>
  <c r="Z947" i="2"/>
  <c r="Y947" i="2"/>
  <c r="X947" i="2"/>
  <c r="W947" i="2"/>
  <c r="V947" i="2"/>
  <c r="U947" i="2"/>
  <c r="T947" i="2"/>
  <c r="S947" i="2"/>
  <c r="R947" i="2"/>
  <c r="Q947" i="2"/>
  <c r="P947" i="2"/>
  <c r="O947" i="2"/>
  <c r="N947" i="2"/>
  <c r="M947" i="2"/>
  <c r="L947" i="2"/>
  <c r="K947" i="2"/>
  <c r="J947" i="2"/>
  <c r="I947" i="2"/>
  <c r="H947" i="2"/>
  <c r="G947" i="2"/>
  <c r="F947" i="2"/>
  <c r="E947" i="2"/>
  <c r="D947" i="2"/>
  <c r="C947" i="2"/>
  <c r="B947" i="2"/>
  <c r="AB946" i="2"/>
  <c r="AA946" i="2"/>
  <c r="Z946" i="2"/>
  <c r="Y946" i="2"/>
  <c r="X946" i="2"/>
  <c r="W946" i="2"/>
  <c r="V946" i="2"/>
  <c r="U946" i="2"/>
  <c r="T946" i="2"/>
  <c r="S946" i="2"/>
  <c r="R946" i="2"/>
  <c r="Q946" i="2"/>
  <c r="P946" i="2"/>
  <c r="O946" i="2"/>
  <c r="N946" i="2"/>
  <c r="M946" i="2"/>
  <c r="L946" i="2"/>
  <c r="K946" i="2"/>
  <c r="J946" i="2"/>
  <c r="I946" i="2"/>
  <c r="H946" i="2"/>
  <c r="G946" i="2"/>
  <c r="F946" i="2"/>
  <c r="E946" i="2"/>
  <c r="D946" i="2"/>
  <c r="C946" i="2"/>
  <c r="B946" i="2"/>
  <c r="AB945" i="2"/>
  <c r="AA945" i="2"/>
  <c r="Z945" i="2"/>
  <c r="Y945" i="2"/>
  <c r="X945" i="2"/>
  <c r="W945" i="2"/>
  <c r="V945" i="2"/>
  <c r="U945" i="2"/>
  <c r="T945" i="2"/>
  <c r="S945" i="2"/>
  <c r="R945" i="2"/>
  <c r="Q945" i="2"/>
  <c r="P945" i="2"/>
  <c r="O945" i="2"/>
  <c r="N945" i="2"/>
  <c r="M945" i="2"/>
  <c r="L945" i="2"/>
  <c r="K945" i="2"/>
  <c r="J945" i="2"/>
  <c r="I945" i="2"/>
  <c r="H945" i="2"/>
  <c r="G945" i="2"/>
  <c r="F945" i="2"/>
  <c r="E945" i="2"/>
  <c r="D945" i="2"/>
  <c r="C945" i="2"/>
  <c r="B945" i="2"/>
  <c r="AB944" i="2"/>
  <c r="AA944" i="2"/>
  <c r="Z944" i="2"/>
  <c r="Y944" i="2"/>
  <c r="X944" i="2"/>
  <c r="W944" i="2"/>
  <c r="V944" i="2"/>
  <c r="U944" i="2"/>
  <c r="T944" i="2"/>
  <c r="S944" i="2"/>
  <c r="R944" i="2"/>
  <c r="Q944" i="2"/>
  <c r="P944" i="2"/>
  <c r="O944" i="2"/>
  <c r="N944" i="2"/>
  <c r="M944" i="2"/>
  <c r="L944" i="2"/>
  <c r="K944" i="2"/>
  <c r="J944" i="2"/>
  <c r="I944" i="2"/>
  <c r="H944" i="2"/>
  <c r="G944" i="2"/>
  <c r="F944" i="2"/>
  <c r="E944" i="2"/>
  <c r="D944" i="2"/>
  <c r="C944" i="2"/>
  <c r="B944" i="2"/>
  <c r="AB943" i="2"/>
  <c r="AA943" i="2"/>
  <c r="Z943" i="2"/>
  <c r="Y943" i="2"/>
  <c r="X943" i="2"/>
  <c r="W943" i="2"/>
  <c r="V943" i="2"/>
  <c r="U943" i="2"/>
  <c r="T943" i="2"/>
  <c r="S943" i="2"/>
  <c r="R943" i="2"/>
  <c r="Q943" i="2"/>
  <c r="P943" i="2"/>
  <c r="O943" i="2"/>
  <c r="N943" i="2"/>
  <c r="M943" i="2"/>
  <c r="L943" i="2"/>
  <c r="K943" i="2"/>
  <c r="J943" i="2"/>
  <c r="I943" i="2"/>
  <c r="H943" i="2"/>
  <c r="G943" i="2"/>
  <c r="F943" i="2"/>
  <c r="E943" i="2"/>
  <c r="D943" i="2"/>
  <c r="C943" i="2"/>
  <c r="B943" i="2"/>
  <c r="AB942" i="2"/>
  <c r="AA942" i="2"/>
  <c r="Z942" i="2"/>
  <c r="Y942" i="2"/>
  <c r="X942" i="2"/>
  <c r="W942" i="2"/>
  <c r="V942" i="2"/>
  <c r="U942" i="2"/>
  <c r="T942" i="2"/>
  <c r="S942" i="2"/>
  <c r="R942" i="2"/>
  <c r="Q942" i="2"/>
  <c r="P942" i="2"/>
  <c r="O942" i="2"/>
  <c r="N942" i="2"/>
  <c r="M942" i="2"/>
  <c r="L942" i="2"/>
  <c r="K942" i="2"/>
  <c r="J942" i="2"/>
  <c r="I942" i="2"/>
  <c r="H942" i="2"/>
  <c r="G942" i="2"/>
  <c r="F942" i="2"/>
  <c r="E942" i="2"/>
  <c r="D942" i="2"/>
  <c r="C942" i="2"/>
  <c r="B942" i="2"/>
  <c r="AB941" i="2"/>
  <c r="AA941" i="2"/>
  <c r="Z941" i="2"/>
  <c r="Y941" i="2"/>
  <c r="X941" i="2"/>
  <c r="W941" i="2"/>
  <c r="V941" i="2"/>
  <c r="U941" i="2"/>
  <c r="T941" i="2"/>
  <c r="S941" i="2"/>
  <c r="R941" i="2"/>
  <c r="Q941" i="2"/>
  <c r="P941" i="2"/>
  <c r="O941" i="2"/>
  <c r="N941" i="2"/>
  <c r="M941" i="2"/>
  <c r="L941" i="2"/>
  <c r="K941" i="2"/>
  <c r="J941" i="2"/>
  <c r="I941" i="2"/>
  <c r="H941" i="2"/>
  <c r="G941" i="2"/>
  <c r="F941" i="2"/>
  <c r="E941" i="2"/>
  <c r="D941" i="2"/>
  <c r="C941" i="2"/>
  <c r="B941" i="2"/>
  <c r="AB940" i="2"/>
  <c r="AA940" i="2"/>
  <c r="Z940" i="2"/>
  <c r="Y940" i="2"/>
  <c r="X940" i="2"/>
  <c r="W940" i="2"/>
  <c r="V940" i="2"/>
  <c r="U940" i="2"/>
  <c r="T940" i="2"/>
  <c r="S940" i="2"/>
  <c r="R940" i="2"/>
  <c r="Q940" i="2"/>
  <c r="P940" i="2"/>
  <c r="O940" i="2"/>
  <c r="N940" i="2"/>
  <c r="M940" i="2"/>
  <c r="L940" i="2"/>
  <c r="K940" i="2"/>
  <c r="J940" i="2"/>
  <c r="I940" i="2"/>
  <c r="H940" i="2"/>
  <c r="G940" i="2"/>
  <c r="F940" i="2"/>
  <c r="E940" i="2"/>
  <c r="D940" i="2"/>
  <c r="C940" i="2"/>
  <c r="B940" i="2"/>
  <c r="AB939" i="2"/>
  <c r="AA939" i="2"/>
  <c r="Z939" i="2"/>
  <c r="Y939" i="2"/>
  <c r="X939" i="2"/>
  <c r="W939" i="2"/>
  <c r="V939" i="2"/>
  <c r="U939" i="2"/>
  <c r="T939" i="2"/>
  <c r="S939" i="2"/>
  <c r="R939" i="2"/>
  <c r="Q939" i="2"/>
  <c r="P939" i="2"/>
  <c r="O939" i="2"/>
  <c r="N939" i="2"/>
  <c r="M939" i="2"/>
  <c r="L939" i="2"/>
  <c r="K939" i="2"/>
  <c r="J939" i="2"/>
  <c r="I939" i="2"/>
  <c r="H939" i="2"/>
  <c r="G939" i="2"/>
  <c r="F939" i="2"/>
  <c r="E939" i="2"/>
  <c r="D939" i="2"/>
  <c r="C939" i="2"/>
  <c r="B939" i="2"/>
  <c r="AB938" i="2"/>
  <c r="AA938" i="2"/>
  <c r="Z938" i="2"/>
  <c r="Y938" i="2"/>
  <c r="X938" i="2"/>
  <c r="W938" i="2"/>
  <c r="V938" i="2"/>
  <c r="U938" i="2"/>
  <c r="T938" i="2"/>
  <c r="S938" i="2"/>
  <c r="R938" i="2"/>
  <c r="Q938" i="2"/>
  <c r="P938" i="2"/>
  <c r="O938" i="2"/>
  <c r="N938" i="2"/>
  <c r="M938" i="2"/>
  <c r="L938" i="2"/>
  <c r="K938" i="2"/>
  <c r="J938" i="2"/>
  <c r="I938" i="2"/>
  <c r="H938" i="2"/>
  <c r="G938" i="2"/>
  <c r="F938" i="2"/>
  <c r="E938" i="2"/>
  <c r="D938" i="2"/>
  <c r="C938" i="2"/>
  <c r="B938" i="2"/>
  <c r="AB937" i="2"/>
  <c r="AA937" i="2"/>
  <c r="Z937" i="2"/>
  <c r="Y937" i="2"/>
  <c r="X937" i="2"/>
  <c r="W937" i="2"/>
  <c r="V937" i="2"/>
  <c r="U937" i="2"/>
  <c r="T937" i="2"/>
  <c r="S937" i="2"/>
  <c r="R937" i="2"/>
  <c r="Q937" i="2"/>
  <c r="P937" i="2"/>
  <c r="O937" i="2"/>
  <c r="N937" i="2"/>
  <c r="M937" i="2"/>
  <c r="L937" i="2"/>
  <c r="K937" i="2"/>
  <c r="J937" i="2"/>
  <c r="I937" i="2"/>
  <c r="H937" i="2"/>
  <c r="G937" i="2"/>
  <c r="F937" i="2"/>
  <c r="E937" i="2"/>
  <c r="D937" i="2"/>
  <c r="C937" i="2"/>
  <c r="B937" i="2"/>
  <c r="AB936" i="2"/>
  <c r="AA936" i="2"/>
  <c r="Z936" i="2"/>
  <c r="Y936" i="2"/>
  <c r="X936" i="2"/>
  <c r="W936" i="2"/>
  <c r="V936" i="2"/>
  <c r="U936" i="2"/>
  <c r="T936" i="2"/>
  <c r="S936" i="2"/>
  <c r="R936" i="2"/>
  <c r="Q936" i="2"/>
  <c r="P936" i="2"/>
  <c r="O936" i="2"/>
  <c r="N936" i="2"/>
  <c r="M936" i="2"/>
  <c r="L936" i="2"/>
  <c r="K936" i="2"/>
  <c r="J936" i="2"/>
  <c r="I936" i="2"/>
  <c r="H936" i="2"/>
  <c r="G936" i="2"/>
  <c r="F936" i="2"/>
  <c r="E936" i="2"/>
  <c r="D936" i="2"/>
  <c r="C936" i="2"/>
  <c r="B936" i="2"/>
  <c r="AB935" i="2"/>
  <c r="AA935" i="2"/>
  <c r="Z935" i="2"/>
  <c r="Y935" i="2"/>
  <c r="X935" i="2"/>
  <c r="W935" i="2"/>
  <c r="V935" i="2"/>
  <c r="U935" i="2"/>
  <c r="T935" i="2"/>
  <c r="S935" i="2"/>
  <c r="R935" i="2"/>
  <c r="Q935" i="2"/>
  <c r="P935" i="2"/>
  <c r="O935" i="2"/>
  <c r="N935" i="2"/>
  <c r="M935" i="2"/>
  <c r="L935" i="2"/>
  <c r="K935" i="2"/>
  <c r="J935" i="2"/>
  <c r="I935" i="2"/>
  <c r="H935" i="2"/>
  <c r="G935" i="2"/>
  <c r="F935" i="2"/>
  <c r="E935" i="2"/>
  <c r="D935" i="2"/>
  <c r="C935" i="2"/>
  <c r="B935" i="2"/>
  <c r="AB934" i="2"/>
  <c r="AA934" i="2"/>
  <c r="Z934" i="2"/>
  <c r="Y934" i="2"/>
  <c r="X934" i="2"/>
  <c r="W934" i="2"/>
  <c r="V934" i="2"/>
  <c r="U934" i="2"/>
  <c r="T934" i="2"/>
  <c r="S934" i="2"/>
  <c r="R934" i="2"/>
  <c r="Q934" i="2"/>
  <c r="P934" i="2"/>
  <c r="O934" i="2"/>
  <c r="N934" i="2"/>
  <c r="M934" i="2"/>
  <c r="L934" i="2"/>
  <c r="K934" i="2"/>
  <c r="J934" i="2"/>
  <c r="I934" i="2"/>
  <c r="H934" i="2"/>
  <c r="G934" i="2"/>
  <c r="F934" i="2"/>
  <c r="E934" i="2"/>
  <c r="D934" i="2"/>
  <c r="C934" i="2"/>
  <c r="B934" i="2"/>
  <c r="AB933" i="2"/>
  <c r="AA933" i="2"/>
  <c r="Z933" i="2"/>
  <c r="Y933" i="2"/>
  <c r="X933" i="2"/>
  <c r="W933" i="2"/>
  <c r="V933" i="2"/>
  <c r="U933" i="2"/>
  <c r="T933" i="2"/>
  <c r="S933" i="2"/>
  <c r="R933" i="2"/>
  <c r="Q933" i="2"/>
  <c r="P933" i="2"/>
  <c r="O933" i="2"/>
  <c r="N933" i="2"/>
  <c r="M933" i="2"/>
  <c r="L933" i="2"/>
  <c r="K933" i="2"/>
  <c r="J933" i="2"/>
  <c r="I933" i="2"/>
  <c r="H933" i="2"/>
  <c r="G933" i="2"/>
  <c r="F933" i="2"/>
  <c r="E933" i="2"/>
  <c r="D933" i="2"/>
  <c r="C933" i="2"/>
  <c r="B933" i="2"/>
  <c r="AB932" i="2"/>
  <c r="AA932" i="2"/>
  <c r="Z932" i="2"/>
  <c r="Y932" i="2"/>
  <c r="X932" i="2"/>
  <c r="W932" i="2"/>
  <c r="V932" i="2"/>
  <c r="U932" i="2"/>
  <c r="T932" i="2"/>
  <c r="S932" i="2"/>
  <c r="R932" i="2"/>
  <c r="Q932" i="2"/>
  <c r="P932" i="2"/>
  <c r="O932" i="2"/>
  <c r="N932" i="2"/>
  <c r="M932" i="2"/>
  <c r="L932" i="2"/>
  <c r="K932" i="2"/>
  <c r="J932" i="2"/>
  <c r="I932" i="2"/>
  <c r="H932" i="2"/>
  <c r="G932" i="2"/>
  <c r="F932" i="2"/>
  <c r="E932" i="2"/>
  <c r="D932" i="2"/>
  <c r="C932" i="2"/>
  <c r="B932" i="2"/>
  <c r="AB931" i="2"/>
  <c r="AA931" i="2"/>
  <c r="Z931" i="2"/>
  <c r="Y931" i="2"/>
  <c r="X931" i="2"/>
  <c r="W931" i="2"/>
  <c r="V931" i="2"/>
  <c r="U931" i="2"/>
  <c r="T931" i="2"/>
  <c r="S931" i="2"/>
  <c r="R931" i="2"/>
  <c r="Q931" i="2"/>
  <c r="P931" i="2"/>
  <c r="O931" i="2"/>
  <c r="N931" i="2"/>
  <c r="M931" i="2"/>
  <c r="L931" i="2"/>
  <c r="K931" i="2"/>
  <c r="J931" i="2"/>
  <c r="I931" i="2"/>
  <c r="H931" i="2"/>
  <c r="G931" i="2"/>
  <c r="F931" i="2"/>
  <c r="E931" i="2"/>
  <c r="D931" i="2"/>
  <c r="C931" i="2"/>
  <c r="B931" i="2"/>
  <c r="AB930" i="2"/>
  <c r="AA930" i="2"/>
  <c r="Z930" i="2"/>
  <c r="Y930" i="2"/>
  <c r="X930" i="2"/>
  <c r="W930" i="2"/>
  <c r="V930" i="2"/>
  <c r="U930" i="2"/>
  <c r="T930" i="2"/>
  <c r="S930" i="2"/>
  <c r="R930" i="2"/>
  <c r="Q930" i="2"/>
  <c r="P930" i="2"/>
  <c r="O930" i="2"/>
  <c r="N930" i="2"/>
  <c r="M930" i="2"/>
  <c r="L930" i="2"/>
  <c r="K930" i="2"/>
  <c r="J930" i="2"/>
  <c r="I930" i="2"/>
  <c r="H930" i="2"/>
  <c r="G930" i="2"/>
  <c r="F930" i="2"/>
  <c r="E930" i="2"/>
  <c r="D930" i="2"/>
  <c r="C930" i="2"/>
  <c r="B930" i="2"/>
  <c r="AB929" i="2"/>
  <c r="AA929" i="2"/>
  <c r="Z929" i="2"/>
  <c r="Y929" i="2"/>
  <c r="X929" i="2"/>
  <c r="W929" i="2"/>
  <c r="V929" i="2"/>
  <c r="U929" i="2"/>
  <c r="T929" i="2"/>
  <c r="S929" i="2"/>
  <c r="R929" i="2"/>
  <c r="Q929" i="2"/>
  <c r="P929" i="2"/>
  <c r="O929" i="2"/>
  <c r="N929" i="2"/>
  <c r="M929" i="2"/>
  <c r="L929" i="2"/>
  <c r="K929" i="2"/>
  <c r="J929" i="2"/>
  <c r="I929" i="2"/>
  <c r="H929" i="2"/>
  <c r="G929" i="2"/>
  <c r="F929" i="2"/>
  <c r="E929" i="2"/>
  <c r="D929" i="2"/>
  <c r="C929" i="2"/>
  <c r="B929" i="2"/>
  <c r="AB928" i="2"/>
  <c r="AA928" i="2"/>
  <c r="Z928" i="2"/>
  <c r="Y928" i="2"/>
  <c r="X928" i="2"/>
  <c r="W928" i="2"/>
  <c r="V928" i="2"/>
  <c r="U928" i="2"/>
  <c r="T928" i="2"/>
  <c r="S928" i="2"/>
  <c r="R928" i="2"/>
  <c r="Q928" i="2"/>
  <c r="P928" i="2"/>
  <c r="O928" i="2"/>
  <c r="N928" i="2"/>
  <c r="M928" i="2"/>
  <c r="L928" i="2"/>
  <c r="K928" i="2"/>
  <c r="J928" i="2"/>
  <c r="I928" i="2"/>
  <c r="H928" i="2"/>
  <c r="G928" i="2"/>
  <c r="F928" i="2"/>
  <c r="E928" i="2"/>
  <c r="D928" i="2"/>
  <c r="C928" i="2"/>
  <c r="B928" i="2"/>
  <c r="AB927" i="2"/>
  <c r="AA927" i="2"/>
  <c r="Z927" i="2"/>
  <c r="Y927" i="2"/>
  <c r="X927" i="2"/>
  <c r="W927" i="2"/>
  <c r="V927" i="2"/>
  <c r="U927" i="2"/>
  <c r="T927" i="2"/>
  <c r="S927" i="2"/>
  <c r="R927" i="2"/>
  <c r="Q927" i="2"/>
  <c r="P927" i="2"/>
  <c r="O927" i="2"/>
  <c r="N927" i="2"/>
  <c r="M927" i="2"/>
  <c r="L927" i="2"/>
  <c r="K927" i="2"/>
  <c r="J927" i="2"/>
  <c r="I927" i="2"/>
  <c r="H927" i="2"/>
  <c r="G927" i="2"/>
  <c r="F927" i="2"/>
  <c r="E927" i="2"/>
  <c r="D927" i="2"/>
  <c r="C927" i="2"/>
  <c r="B927" i="2"/>
  <c r="AB926" i="2"/>
  <c r="AA926" i="2"/>
  <c r="Z926" i="2"/>
  <c r="Y926" i="2"/>
  <c r="X926" i="2"/>
  <c r="W926" i="2"/>
  <c r="V926" i="2"/>
  <c r="U926" i="2"/>
  <c r="T926" i="2"/>
  <c r="S926" i="2"/>
  <c r="R926" i="2"/>
  <c r="Q926" i="2"/>
  <c r="P926" i="2"/>
  <c r="O926" i="2"/>
  <c r="N926" i="2"/>
  <c r="M926" i="2"/>
  <c r="L926" i="2"/>
  <c r="K926" i="2"/>
  <c r="J926" i="2"/>
  <c r="I926" i="2"/>
  <c r="H926" i="2"/>
  <c r="G926" i="2"/>
  <c r="F926" i="2"/>
  <c r="E926" i="2"/>
  <c r="D926" i="2"/>
  <c r="C926" i="2"/>
  <c r="B926" i="2"/>
  <c r="AB925" i="2"/>
  <c r="AA925" i="2"/>
  <c r="Z925" i="2"/>
  <c r="Y925" i="2"/>
  <c r="X925" i="2"/>
  <c r="W925" i="2"/>
  <c r="V925" i="2"/>
  <c r="U925" i="2"/>
  <c r="T925" i="2"/>
  <c r="S925" i="2"/>
  <c r="R925" i="2"/>
  <c r="Q925" i="2"/>
  <c r="P925" i="2"/>
  <c r="O925" i="2"/>
  <c r="N925" i="2"/>
  <c r="M925" i="2"/>
  <c r="L925" i="2"/>
  <c r="K925" i="2"/>
  <c r="J925" i="2"/>
  <c r="I925" i="2"/>
  <c r="H925" i="2"/>
  <c r="G925" i="2"/>
  <c r="F925" i="2"/>
  <c r="E925" i="2"/>
  <c r="D925" i="2"/>
  <c r="C925" i="2"/>
  <c r="B925" i="2"/>
  <c r="AB924" i="2"/>
  <c r="AA924" i="2"/>
  <c r="Z924" i="2"/>
  <c r="Y924" i="2"/>
  <c r="X924" i="2"/>
  <c r="W924" i="2"/>
  <c r="V924" i="2"/>
  <c r="U924" i="2"/>
  <c r="T924" i="2"/>
  <c r="S924" i="2"/>
  <c r="R924" i="2"/>
  <c r="Q924" i="2"/>
  <c r="P924" i="2"/>
  <c r="O924" i="2"/>
  <c r="N924" i="2"/>
  <c r="M924" i="2"/>
  <c r="L924" i="2"/>
  <c r="K924" i="2"/>
  <c r="J924" i="2"/>
  <c r="I924" i="2"/>
  <c r="H924" i="2"/>
  <c r="G924" i="2"/>
  <c r="F924" i="2"/>
  <c r="E924" i="2"/>
  <c r="D924" i="2"/>
  <c r="C924" i="2"/>
  <c r="B924" i="2"/>
  <c r="AB923" i="2"/>
  <c r="AA923" i="2"/>
  <c r="Z923" i="2"/>
  <c r="Y923" i="2"/>
  <c r="X923" i="2"/>
  <c r="W923" i="2"/>
  <c r="V923" i="2"/>
  <c r="U923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H923" i="2"/>
  <c r="G923" i="2"/>
  <c r="F923" i="2"/>
  <c r="E923" i="2"/>
  <c r="D923" i="2"/>
  <c r="C923" i="2"/>
  <c r="B923" i="2"/>
  <c r="AB922" i="2"/>
  <c r="AA922" i="2"/>
  <c r="Z922" i="2"/>
  <c r="Y922" i="2"/>
  <c r="X922" i="2"/>
  <c r="W922" i="2"/>
  <c r="V922" i="2"/>
  <c r="U922" i="2"/>
  <c r="T922" i="2"/>
  <c r="S922" i="2"/>
  <c r="R922" i="2"/>
  <c r="Q922" i="2"/>
  <c r="P922" i="2"/>
  <c r="O922" i="2"/>
  <c r="N922" i="2"/>
  <c r="M922" i="2"/>
  <c r="L922" i="2"/>
  <c r="K922" i="2"/>
  <c r="J922" i="2"/>
  <c r="I922" i="2"/>
  <c r="H922" i="2"/>
  <c r="G922" i="2"/>
  <c r="F922" i="2"/>
  <c r="E922" i="2"/>
  <c r="D922" i="2"/>
  <c r="C922" i="2"/>
  <c r="B922" i="2"/>
  <c r="AB921" i="2"/>
  <c r="AA921" i="2"/>
  <c r="Z921" i="2"/>
  <c r="Y921" i="2"/>
  <c r="X921" i="2"/>
  <c r="W921" i="2"/>
  <c r="V921" i="2"/>
  <c r="U921" i="2"/>
  <c r="T921" i="2"/>
  <c r="S921" i="2"/>
  <c r="R921" i="2"/>
  <c r="Q921" i="2"/>
  <c r="P921" i="2"/>
  <c r="O921" i="2"/>
  <c r="N921" i="2"/>
  <c r="M921" i="2"/>
  <c r="L921" i="2"/>
  <c r="K921" i="2"/>
  <c r="J921" i="2"/>
  <c r="I921" i="2"/>
  <c r="H921" i="2"/>
  <c r="G921" i="2"/>
  <c r="F921" i="2"/>
  <c r="E921" i="2"/>
  <c r="D921" i="2"/>
  <c r="C921" i="2"/>
  <c r="B921" i="2"/>
  <c r="AB920" i="2"/>
  <c r="AA920" i="2"/>
  <c r="Z920" i="2"/>
  <c r="Y920" i="2"/>
  <c r="X920" i="2"/>
  <c r="W920" i="2"/>
  <c r="V920" i="2"/>
  <c r="U920" i="2"/>
  <c r="T920" i="2"/>
  <c r="S920" i="2"/>
  <c r="R920" i="2"/>
  <c r="Q920" i="2"/>
  <c r="P920" i="2"/>
  <c r="O920" i="2"/>
  <c r="N920" i="2"/>
  <c r="M920" i="2"/>
  <c r="L920" i="2"/>
  <c r="K920" i="2"/>
  <c r="J920" i="2"/>
  <c r="I920" i="2"/>
  <c r="H920" i="2"/>
  <c r="G920" i="2"/>
  <c r="F920" i="2"/>
  <c r="E920" i="2"/>
  <c r="D920" i="2"/>
  <c r="C920" i="2"/>
  <c r="B920" i="2"/>
  <c r="AB919" i="2"/>
  <c r="AA919" i="2"/>
  <c r="Z919" i="2"/>
  <c r="Y919" i="2"/>
  <c r="X919" i="2"/>
  <c r="W919" i="2"/>
  <c r="V919" i="2"/>
  <c r="U919" i="2"/>
  <c r="T919" i="2"/>
  <c r="S919" i="2"/>
  <c r="R919" i="2"/>
  <c r="Q919" i="2"/>
  <c r="P919" i="2"/>
  <c r="O919" i="2"/>
  <c r="N919" i="2"/>
  <c r="M919" i="2"/>
  <c r="L919" i="2"/>
  <c r="K919" i="2"/>
  <c r="J919" i="2"/>
  <c r="I919" i="2"/>
  <c r="H919" i="2"/>
  <c r="G919" i="2"/>
  <c r="F919" i="2"/>
  <c r="E919" i="2"/>
  <c r="D919" i="2"/>
  <c r="C919" i="2"/>
  <c r="B919" i="2"/>
  <c r="AB918" i="2"/>
  <c r="AA918" i="2"/>
  <c r="Z918" i="2"/>
  <c r="Y918" i="2"/>
  <c r="X918" i="2"/>
  <c r="W918" i="2"/>
  <c r="V918" i="2"/>
  <c r="U918" i="2"/>
  <c r="T918" i="2"/>
  <c r="S918" i="2"/>
  <c r="R918" i="2"/>
  <c r="Q918" i="2"/>
  <c r="P918" i="2"/>
  <c r="O918" i="2"/>
  <c r="N918" i="2"/>
  <c r="M918" i="2"/>
  <c r="L918" i="2"/>
  <c r="K918" i="2"/>
  <c r="J918" i="2"/>
  <c r="I918" i="2"/>
  <c r="H918" i="2"/>
  <c r="G918" i="2"/>
  <c r="F918" i="2"/>
  <c r="E918" i="2"/>
  <c r="D918" i="2"/>
  <c r="C918" i="2"/>
  <c r="B918" i="2"/>
  <c r="AB917" i="2"/>
  <c r="AA917" i="2"/>
  <c r="Z917" i="2"/>
  <c r="Y917" i="2"/>
  <c r="X917" i="2"/>
  <c r="W917" i="2"/>
  <c r="V917" i="2"/>
  <c r="U917" i="2"/>
  <c r="T917" i="2"/>
  <c r="S917" i="2"/>
  <c r="R917" i="2"/>
  <c r="Q917" i="2"/>
  <c r="P917" i="2"/>
  <c r="O917" i="2"/>
  <c r="N917" i="2"/>
  <c r="M917" i="2"/>
  <c r="L917" i="2"/>
  <c r="K917" i="2"/>
  <c r="J917" i="2"/>
  <c r="I917" i="2"/>
  <c r="H917" i="2"/>
  <c r="G917" i="2"/>
  <c r="F917" i="2"/>
  <c r="E917" i="2"/>
  <c r="D917" i="2"/>
  <c r="C917" i="2"/>
  <c r="B917" i="2"/>
  <c r="AB916" i="2"/>
  <c r="AA916" i="2"/>
  <c r="Z916" i="2"/>
  <c r="Y916" i="2"/>
  <c r="X916" i="2"/>
  <c r="W916" i="2"/>
  <c r="V916" i="2"/>
  <c r="U916" i="2"/>
  <c r="T916" i="2"/>
  <c r="S916" i="2"/>
  <c r="R916" i="2"/>
  <c r="Q916" i="2"/>
  <c r="P916" i="2"/>
  <c r="O916" i="2"/>
  <c r="N916" i="2"/>
  <c r="M916" i="2"/>
  <c r="L916" i="2"/>
  <c r="K916" i="2"/>
  <c r="J916" i="2"/>
  <c r="I916" i="2"/>
  <c r="H916" i="2"/>
  <c r="G916" i="2"/>
  <c r="F916" i="2"/>
  <c r="E916" i="2"/>
  <c r="D916" i="2"/>
  <c r="C916" i="2"/>
  <c r="B916" i="2"/>
  <c r="AB915" i="2"/>
  <c r="AA915" i="2"/>
  <c r="Z915" i="2"/>
  <c r="Y915" i="2"/>
  <c r="X915" i="2"/>
  <c r="W915" i="2"/>
  <c r="V915" i="2"/>
  <c r="U915" i="2"/>
  <c r="T915" i="2"/>
  <c r="S915" i="2"/>
  <c r="R915" i="2"/>
  <c r="Q915" i="2"/>
  <c r="P915" i="2"/>
  <c r="O915" i="2"/>
  <c r="N915" i="2"/>
  <c r="M915" i="2"/>
  <c r="L915" i="2"/>
  <c r="K915" i="2"/>
  <c r="J915" i="2"/>
  <c r="I915" i="2"/>
  <c r="H915" i="2"/>
  <c r="G915" i="2"/>
  <c r="F915" i="2"/>
  <c r="E915" i="2"/>
  <c r="D915" i="2"/>
  <c r="C915" i="2"/>
  <c r="B915" i="2"/>
  <c r="AB914" i="2"/>
  <c r="AA914" i="2"/>
  <c r="Z914" i="2"/>
  <c r="Y914" i="2"/>
  <c r="X914" i="2"/>
  <c r="W914" i="2"/>
  <c r="V914" i="2"/>
  <c r="U914" i="2"/>
  <c r="T914" i="2"/>
  <c r="S914" i="2"/>
  <c r="R914" i="2"/>
  <c r="Q914" i="2"/>
  <c r="P914" i="2"/>
  <c r="O914" i="2"/>
  <c r="N914" i="2"/>
  <c r="M914" i="2"/>
  <c r="L914" i="2"/>
  <c r="K914" i="2"/>
  <c r="J914" i="2"/>
  <c r="I914" i="2"/>
  <c r="H914" i="2"/>
  <c r="G914" i="2"/>
  <c r="F914" i="2"/>
  <c r="E914" i="2"/>
  <c r="D914" i="2"/>
  <c r="C914" i="2"/>
  <c r="B914" i="2"/>
  <c r="AB913" i="2"/>
  <c r="AA913" i="2"/>
  <c r="Z913" i="2"/>
  <c r="Y913" i="2"/>
  <c r="X913" i="2"/>
  <c r="W913" i="2"/>
  <c r="V913" i="2"/>
  <c r="U913" i="2"/>
  <c r="T913" i="2"/>
  <c r="S913" i="2"/>
  <c r="R913" i="2"/>
  <c r="Q913" i="2"/>
  <c r="P913" i="2"/>
  <c r="O913" i="2"/>
  <c r="N913" i="2"/>
  <c r="M913" i="2"/>
  <c r="L913" i="2"/>
  <c r="K913" i="2"/>
  <c r="J913" i="2"/>
  <c r="I913" i="2"/>
  <c r="H913" i="2"/>
  <c r="G913" i="2"/>
  <c r="F913" i="2"/>
  <c r="E913" i="2"/>
  <c r="D913" i="2"/>
  <c r="C913" i="2"/>
  <c r="B913" i="2"/>
  <c r="AB912" i="2"/>
  <c r="AA912" i="2"/>
  <c r="Z912" i="2"/>
  <c r="Y912" i="2"/>
  <c r="X912" i="2"/>
  <c r="W912" i="2"/>
  <c r="V912" i="2"/>
  <c r="U912" i="2"/>
  <c r="T912" i="2"/>
  <c r="S912" i="2"/>
  <c r="R912" i="2"/>
  <c r="Q912" i="2"/>
  <c r="P912" i="2"/>
  <c r="O912" i="2"/>
  <c r="N912" i="2"/>
  <c r="M912" i="2"/>
  <c r="L912" i="2"/>
  <c r="K912" i="2"/>
  <c r="J912" i="2"/>
  <c r="I912" i="2"/>
  <c r="H912" i="2"/>
  <c r="G912" i="2"/>
  <c r="F912" i="2"/>
  <c r="E912" i="2"/>
  <c r="D912" i="2"/>
  <c r="C912" i="2"/>
  <c r="B912" i="2"/>
  <c r="AB911" i="2"/>
  <c r="AA911" i="2"/>
  <c r="Z911" i="2"/>
  <c r="Y911" i="2"/>
  <c r="X911" i="2"/>
  <c r="W911" i="2"/>
  <c r="V911" i="2"/>
  <c r="U911" i="2"/>
  <c r="T911" i="2"/>
  <c r="S911" i="2"/>
  <c r="R911" i="2"/>
  <c r="Q911" i="2"/>
  <c r="P911" i="2"/>
  <c r="O911" i="2"/>
  <c r="N911" i="2"/>
  <c r="M911" i="2"/>
  <c r="L911" i="2"/>
  <c r="K911" i="2"/>
  <c r="J911" i="2"/>
  <c r="I911" i="2"/>
  <c r="H911" i="2"/>
  <c r="G911" i="2"/>
  <c r="F911" i="2"/>
  <c r="E911" i="2"/>
  <c r="D911" i="2"/>
  <c r="C911" i="2"/>
  <c r="B911" i="2"/>
  <c r="AB910" i="2"/>
  <c r="AA910" i="2"/>
  <c r="Z910" i="2"/>
  <c r="Y910" i="2"/>
  <c r="X910" i="2"/>
  <c r="W910" i="2"/>
  <c r="V910" i="2"/>
  <c r="U910" i="2"/>
  <c r="T910" i="2"/>
  <c r="S910" i="2"/>
  <c r="R910" i="2"/>
  <c r="Q910" i="2"/>
  <c r="P910" i="2"/>
  <c r="O910" i="2"/>
  <c r="N910" i="2"/>
  <c r="M910" i="2"/>
  <c r="L910" i="2"/>
  <c r="K910" i="2"/>
  <c r="J910" i="2"/>
  <c r="I910" i="2"/>
  <c r="H910" i="2"/>
  <c r="G910" i="2"/>
  <c r="F910" i="2"/>
  <c r="E910" i="2"/>
  <c r="D910" i="2"/>
  <c r="C910" i="2"/>
  <c r="B910" i="2"/>
  <c r="AB909" i="2"/>
  <c r="AA909" i="2"/>
  <c r="Z909" i="2"/>
  <c r="Y909" i="2"/>
  <c r="X909" i="2"/>
  <c r="W909" i="2"/>
  <c r="V909" i="2"/>
  <c r="U909" i="2"/>
  <c r="T909" i="2"/>
  <c r="S909" i="2"/>
  <c r="R909" i="2"/>
  <c r="Q909" i="2"/>
  <c r="P909" i="2"/>
  <c r="O909" i="2"/>
  <c r="N909" i="2"/>
  <c r="M909" i="2"/>
  <c r="L909" i="2"/>
  <c r="K909" i="2"/>
  <c r="J909" i="2"/>
  <c r="I909" i="2"/>
  <c r="H909" i="2"/>
  <c r="G909" i="2"/>
  <c r="F909" i="2"/>
  <c r="E909" i="2"/>
  <c r="D909" i="2"/>
  <c r="C909" i="2"/>
  <c r="B909" i="2"/>
  <c r="AB908" i="2"/>
  <c r="AA908" i="2"/>
  <c r="Z908" i="2"/>
  <c r="Y908" i="2"/>
  <c r="X908" i="2"/>
  <c r="W908" i="2"/>
  <c r="V908" i="2"/>
  <c r="U908" i="2"/>
  <c r="T908" i="2"/>
  <c r="S908" i="2"/>
  <c r="R908" i="2"/>
  <c r="Q908" i="2"/>
  <c r="P908" i="2"/>
  <c r="O908" i="2"/>
  <c r="N908" i="2"/>
  <c r="M908" i="2"/>
  <c r="L908" i="2"/>
  <c r="K908" i="2"/>
  <c r="J908" i="2"/>
  <c r="I908" i="2"/>
  <c r="H908" i="2"/>
  <c r="G908" i="2"/>
  <c r="F908" i="2"/>
  <c r="E908" i="2"/>
  <c r="D908" i="2"/>
  <c r="C908" i="2"/>
  <c r="B908" i="2"/>
  <c r="AB907" i="2"/>
  <c r="AA907" i="2"/>
  <c r="Z907" i="2"/>
  <c r="Y907" i="2"/>
  <c r="X907" i="2"/>
  <c r="W907" i="2"/>
  <c r="V907" i="2"/>
  <c r="U907" i="2"/>
  <c r="T907" i="2"/>
  <c r="S907" i="2"/>
  <c r="R907" i="2"/>
  <c r="Q907" i="2"/>
  <c r="P907" i="2"/>
  <c r="O907" i="2"/>
  <c r="N907" i="2"/>
  <c r="M907" i="2"/>
  <c r="L907" i="2"/>
  <c r="K907" i="2"/>
  <c r="J907" i="2"/>
  <c r="I907" i="2"/>
  <c r="H907" i="2"/>
  <c r="G907" i="2"/>
  <c r="F907" i="2"/>
  <c r="E907" i="2"/>
  <c r="D907" i="2"/>
  <c r="C907" i="2"/>
  <c r="B907" i="2"/>
  <c r="AB906" i="2"/>
  <c r="AA906" i="2"/>
  <c r="Z906" i="2"/>
  <c r="Y906" i="2"/>
  <c r="X906" i="2"/>
  <c r="W906" i="2"/>
  <c r="V906" i="2"/>
  <c r="U906" i="2"/>
  <c r="T906" i="2"/>
  <c r="S906" i="2"/>
  <c r="R906" i="2"/>
  <c r="Q906" i="2"/>
  <c r="P906" i="2"/>
  <c r="O906" i="2"/>
  <c r="N906" i="2"/>
  <c r="M906" i="2"/>
  <c r="L906" i="2"/>
  <c r="K906" i="2"/>
  <c r="J906" i="2"/>
  <c r="I906" i="2"/>
  <c r="H906" i="2"/>
  <c r="G906" i="2"/>
  <c r="F906" i="2"/>
  <c r="E906" i="2"/>
  <c r="D906" i="2"/>
  <c r="C906" i="2"/>
  <c r="B906" i="2"/>
  <c r="AB905" i="2"/>
  <c r="AA905" i="2"/>
  <c r="Z905" i="2"/>
  <c r="Y905" i="2"/>
  <c r="X905" i="2"/>
  <c r="W905" i="2"/>
  <c r="V905" i="2"/>
  <c r="U905" i="2"/>
  <c r="T905" i="2"/>
  <c r="S905" i="2"/>
  <c r="R905" i="2"/>
  <c r="Q905" i="2"/>
  <c r="P905" i="2"/>
  <c r="O905" i="2"/>
  <c r="N905" i="2"/>
  <c r="M905" i="2"/>
  <c r="L905" i="2"/>
  <c r="K905" i="2"/>
  <c r="J905" i="2"/>
  <c r="I905" i="2"/>
  <c r="H905" i="2"/>
  <c r="G905" i="2"/>
  <c r="F905" i="2"/>
  <c r="E905" i="2"/>
  <c r="D905" i="2"/>
  <c r="C905" i="2"/>
  <c r="B905" i="2"/>
  <c r="AB904" i="2"/>
  <c r="AA904" i="2"/>
  <c r="Z904" i="2"/>
  <c r="Y904" i="2"/>
  <c r="X904" i="2"/>
  <c r="W904" i="2"/>
  <c r="V904" i="2"/>
  <c r="U904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H904" i="2"/>
  <c r="G904" i="2"/>
  <c r="F904" i="2"/>
  <c r="E904" i="2"/>
  <c r="D904" i="2"/>
  <c r="C904" i="2"/>
  <c r="B904" i="2"/>
  <c r="AB903" i="2"/>
  <c r="AA903" i="2"/>
  <c r="Z903" i="2"/>
  <c r="Y903" i="2"/>
  <c r="X903" i="2"/>
  <c r="W903" i="2"/>
  <c r="V903" i="2"/>
  <c r="U903" i="2"/>
  <c r="T903" i="2"/>
  <c r="S903" i="2"/>
  <c r="R903" i="2"/>
  <c r="Q903" i="2"/>
  <c r="P903" i="2"/>
  <c r="O903" i="2"/>
  <c r="N903" i="2"/>
  <c r="M903" i="2"/>
  <c r="L903" i="2"/>
  <c r="K903" i="2"/>
  <c r="J903" i="2"/>
  <c r="I903" i="2"/>
  <c r="H903" i="2"/>
  <c r="G903" i="2"/>
  <c r="F903" i="2"/>
  <c r="E903" i="2"/>
  <c r="D903" i="2"/>
  <c r="C903" i="2"/>
  <c r="B903" i="2"/>
  <c r="AB902" i="2"/>
  <c r="AA902" i="2"/>
  <c r="Z902" i="2"/>
  <c r="Y902" i="2"/>
  <c r="X902" i="2"/>
  <c r="W902" i="2"/>
  <c r="V902" i="2"/>
  <c r="U902" i="2"/>
  <c r="T902" i="2"/>
  <c r="S902" i="2"/>
  <c r="R902" i="2"/>
  <c r="Q902" i="2"/>
  <c r="P902" i="2"/>
  <c r="O902" i="2"/>
  <c r="N902" i="2"/>
  <c r="M902" i="2"/>
  <c r="L902" i="2"/>
  <c r="K902" i="2"/>
  <c r="J902" i="2"/>
  <c r="I902" i="2"/>
  <c r="H902" i="2"/>
  <c r="G902" i="2"/>
  <c r="F902" i="2"/>
  <c r="E902" i="2"/>
  <c r="D902" i="2"/>
  <c r="C902" i="2"/>
  <c r="B902" i="2"/>
  <c r="AB901" i="2"/>
  <c r="AA901" i="2"/>
  <c r="Z901" i="2"/>
  <c r="Y901" i="2"/>
  <c r="X901" i="2"/>
  <c r="W901" i="2"/>
  <c r="V901" i="2"/>
  <c r="U901" i="2"/>
  <c r="T901" i="2"/>
  <c r="S901" i="2"/>
  <c r="R901" i="2"/>
  <c r="Q901" i="2"/>
  <c r="P901" i="2"/>
  <c r="O901" i="2"/>
  <c r="N901" i="2"/>
  <c r="M901" i="2"/>
  <c r="L901" i="2"/>
  <c r="K901" i="2"/>
  <c r="J901" i="2"/>
  <c r="I901" i="2"/>
  <c r="H901" i="2"/>
  <c r="G901" i="2"/>
  <c r="F901" i="2"/>
  <c r="E901" i="2"/>
  <c r="D901" i="2"/>
  <c r="C901" i="2"/>
  <c r="B901" i="2"/>
  <c r="AB900" i="2"/>
  <c r="AA900" i="2"/>
  <c r="Z900" i="2"/>
  <c r="Y900" i="2"/>
  <c r="X900" i="2"/>
  <c r="W900" i="2"/>
  <c r="V900" i="2"/>
  <c r="U900" i="2"/>
  <c r="T900" i="2"/>
  <c r="S900" i="2"/>
  <c r="R900" i="2"/>
  <c r="Q900" i="2"/>
  <c r="P900" i="2"/>
  <c r="O900" i="2"/>
  <c r="N900" i="2"/>
  <c r="M900" i="2"/>
  <c r="L900" i="2"/>
  <c r="K900" i="2"/>
  <c r="J900" i="2"/>
  <c r="I900" i="2"/>
  <c r="H900" i="2"/>
  <c r="G900" i="2"/>
  <c r="F900" i="2"/>
  <c r="E900" i="2"/>
  <c r="D900" i="2"/>
  <c r="C900" i="2"/>
  <c r="B900" i="2"/>
  <c r="AB899" i="2"/>
  <c r="AA899" i="2"/>
  <c r="Z899" i="2"/>
  <c r="Y899" i="2"/>
  <c r="X899" i="2"/>
  <c r="W899" i="2"/>
  <c r="V899" i="2"/>
  <c r="U899" i="2"/>
  <c r="T899" i="2"/>
  <c r="S899" i="2"/>
  <c r="R899" i="2"/>
  <c r="Q899" i="2"/>
  <c r="P899" i="2"/>
  <c r="O899" i="2"/>
  <c r="N899" i="2"/>
  <c r="M899" i="2"/>
  <c r="L899" i="2"/>
  <c r="K899" i="2"/>
  <c r="J899" i="2"/>
  <c r="I899" i="2"/>
  <c r="H899" i="2"/>
  <c r="G899" i="2"/>
  <c r="F899" i="2"/>
  <c r="E899" i="2"/>
  <c r="D899" i="2"/>
  <c r="C899" i="2"/>
  <c r="B899" i="2"/>
  <c r="AB898" i="2"/>
  <c r="AA898" i="2"/>
  <c r="Z898" i="2"/>
  <c r="Y898" i="2"/>
  <c r="X898" i="2"/>
  <c r="W898" i="2"/>
  <c r="V898" i="2"/>
  <c r="U898" i="2"/>
  <c r="T898" i="2"/>
  <c r="S898" i="2"/>
  <c r="R898" i="2"/>
  <c r="Q898" i="2"/>
  <c r="P898" i="2"/>
  <c r="O898" i="2"/>
  <c r="N898" i="2"/>
  <c r="M898" i="2"/>
  <c r="L898" i="2"/>
  <c r="K898" i="2"/>
  <c r="J898" i="2"/>
  <c r="I898" i="2"/>
  <c r="H898" i="2"/>
  <c r="G898" i="2"/>
  <c r="F898" i="2"/>
  <c r="E898" i="2"/>
  <c r="D898" i="2"/>
  <c r="C898" i="2"/>
  <c r="B898" i="2"/>
  <c r="AB897" i="2"/>
  <c r="AA897" i="2"/>
  <c r="Z897" i="2"/>
  <c r="Y897" i="2"/>
  <c r="X897" i="2"/>
  <c r="W897" i="2"/>
  <c r="V897" i="2"/>
  <c r="U897" i="2"/>
  <c r="T897" i="2"/>
  <c r="S897" i="2"/>
  <c r="R897" i="2"/>
  <c r="Q897" i="2"/>
  <c r="P897" i="2"/>
  <c r="O897" i="2"/>
  <c r="N897" i="2"/>
  <c r="M897" i="2"/>
  <c r="L897" i="2"/>
  <c r="K897" i="2"/>
  <c r="J897" i="2"/>
  <c r="I897" i="2"/>
  <c r="H897" i="2"/>
  <c r="G897" i="2"/>
  <c r="F897" i="2"/>
  <c r="E897" i="2"/>
  <c r="D897" i="2"/>
  <c r="C897" i="2"/>
  <c r="B897" i="2"/>
  <c r="AB896" i="2"/>
  <c r="AA896" i="2"/>
  <c r="Z896" i="2"/>
  <c r="Y896" i="2"/>
  <c r="X896" i="2"/>
  <c r="W896" i="2"/>
  <c r="V896" i="2"/>
  <c r="U896" i="2"/>
  <c r="T896" i="2"/>
  <c r="S896" i="2"/>
  <c r="R896" i="2"/>
  <c r="Q896" i="2"/>
  <c r="P896" i="2"/>
  <c r="O896" i="2"/>
  <c r="N896" i="2"/>
  <c r="M896" i="2"/>
  <c r="L896" i="2"/>
  <c r="K896" i="2"/>
  <c r="J896" i="2"/>
  <c r="I896" i="2"/>
  <c r="H896" i="2"/>
  <c r="G896" i="2"/>
  <c r="F896" i="2"/>
  <c r="E896" i="2"/>
  <c r="D896" i="2"/>
  <c r="C896" i="2"/>
  <c r="B896" i="2"/>
  <c r="AB895" i="2"/>
  <c r="AA895" i="2"/>
  <c r="Z895" i="2"/>
  <c r="Y895" i="2"/>
  <c r="X895" i="2"/>
  <c r="W895" i="2"/>
  <c r="V895" i="2"/>
  <c r="U895" i="2"/>
  <c r="T895" i="2"/>
  <c r="S895" i="2"/>
  <c r="R895" i="2"/>
  <c r="Q895" i="2"/>
  <c r="P895" i="2"/>
  <c r="O895" i="2"/>
  <c r="N895" i="2"/>
  <c r="M895" i="2"/>
  <c r="L895" i="2"/>
  <c r="K895" i="2"/>
  <c r="J895" i="2"/>
  <c r="I895" i="2"/>
  <c r="H895" i="2"/>
  <c r="G895" i="2"/>
  <c r="F895" i="2"/>
  <c r="E895" i="2"/>
  <c r="D895" i="2"/>
  <c r="C895" i="2"/>
  <c r="B895" i="2"/>
  <c r="AB894" i="2"/>
  <c r="AA894" i="2"/>
  <c r="Z894" i="2"/>
  <c r="Y894" i="2"/>
  <c r="X894" i="2"/>
  <c r="W894" i="2"/>
  <c r="V894" i="2"/>
  <c r="U894" i="2"/>
  <c r="T894" i="2"/>
  <c r="S894" i="2"/>
  <c r="R894" i="2"/>
  <c r="Q894" i="2"/>
  <c r="P894" i="2"/>
  <c r="O894" i="2"/>
  <c r="N894" i="2"/>
  <c r="M894" i="2"/>
  <c r="L894" i="2"/>
  <c r="K894" i="2"/>
  <c r="J894" i="2"/>
  <c r="I894" i="2"/>
  <c r="H894" i="2"/>
  <c r="G894" i="2"/>
  <c r="F894" i="2"/>
  <c r="E894" i="2"/>
  <c r="D894" i="2"/>
  <c r="C894" i="2"/>
  <c r="B894" i="2"/>
  <c r="AB893" i="2"/>
  <c r="AA893" i="2"/>
  <c r="Z893" i="2"/>
  <c r="Y893" i="2"/>
  <c r="X893" i="2"/>
  <c r="W893" i="2"/>
  <c r="V893" i="2"/>
  <c r="U893" i="2"/>
  <c r="T893" i="2"/>
  <c r="S893" i="2"/>
  <c r="R893" i="2"/>
  <c r="Q893" i="2"/>
  <c r="P893" i="2"/>
  <c r="O893" i="2"/>
  <c r="N893" i="2"/>
  <c r="M893" i="2"/>
  <c r="L893" i="2"/>
  <c r="K893" i="2"/>
  <c r="J893" i="2"/>
  <c r="I893" i="2"/>
  <c r="H893" i="2"/>
  <c r="G893" i="2"/>
  <c r="F893" i="2"/>
  <c r="E893" i="2"/>
  <c r="D893" i="2"/>
  <c r="C893" i="2"/>
  <c r="B893" i="2"/>
  <c r="AB892" i="2"/>
  <c r="AA892" i="2"/>
  <c r="Z892" i="2"/>
  <c r="Y892" i="2"/>
  <c r="X892" i="2"/>
  <c r="W892" i="2"/>
  <c r="V892" i="2"/>
  <c r="U892" i="2"/>
  <c r="T892" i="2"/>
  <c r="S892" i="2"/>
  <c r="R892" i="2"/>
  <c r="Q892" i="2"/>
  <c r="P892" i="2"/>
  <c r="O892" i="2"/>
  <c r="N892" i="2"/>
  <c r="M892" i="2"/>
  <c r="L892" i="2"/>
  <c r="K892" i="2"/>
  <c r="J892" i="2"/>
  <c r="I892" i="2"/>
  <c r="H892" i="2"/>
  <c r="G892" i="2"/>
  <c r="F892" i="2"/>
  <c r="E892" i="2"/>
  <c r="D892" i="2"/>
  <c r="C892" i="2"/>
  <c r="B892" i="2"/>
  <c r="AB891" i="2"/>
  <c r="AA891" i="2"/>
  <c r="Z891" i="2"/>
  <c r="Y891" i="2"/>
  <c r="X891" i="2"/>
  <c r="W891" i="2"/>
  <c r="V891" i="2"/>
  <c r="U891" i="2"/>
  <c r="T891" i="2"/>
  <c r="S891" i="2"/>
  <c r="R891" i="2"/>
  <c r="Q891" i="2"/>
  <c r="P891" i="2"/>
  <c r="O891" i="2"/>
  <c r="N891" i="2"/>
  <c r="M891" i="2"/>
  <c r="L891" i="2"/>
  <c r="K891" i="2"/>
  <c r="J891" i="2"/>
  <c r="I891" i="2"/>
  <c r="H891" i="2"/>
  <c r="G891" i="2"/>
  <c r="F891" i="2"/>
  <c r="E891" i="2"/>
  <c r="D891" i="2"/>
  <c r="C891" i="2"/>
  <c r="B891" i="2"/>
  <c r="AB890" i="2"/>
  <c r="AA890" i="2"/>
  <c r="Z890" i="2"/>
  <c r="Y890" i="2"/>
  <c r="X890" i="2"/>
  <c r="W890" i="2"/>
  <c r="V890" i="2"/>
  <c r="U890" i="2"/>
  <c r="T890" i="2"/>
  <c r="S890" i="2"/>
  <c r="R890" i="2"/>
  <c r="Q890" i="2"/>
  <c r="P890" i="2"/>
  <c r="O890" i="2"/>
  <c r="N890" i="2"/>
  <c r="M890" i="2"/>
  <c r="L890" i="2"/>
  <c r="K890" i="2"/>
  <c r="J890" i="2"/>
  <c r="I890" i="2"/>
  <c r="H890" i="2"/>
  <c r="G890" i="2"/>
  <c r="F890" i="2"/>
  <c r="E890" i="2"/>
  <c r="D890" i="2"/>
  <c r="C890" i="2"/>
  <c r="B890" i="2"/>
  <c r="AB889" i="2"/>
  <c r="AA889" i="2"/>
  <c r="Z889" i="2"/>
  <c r="Y889" i="2"/>
  <c r="X889" i="2"/>
  <c r="W889" i="2"/>
  <c r="V889" i="2"/>
  <c r="U889" i="2"/>
  <c r="T889" i="2"/>
  <c r="S889" i="2"/>
  <c r="R889" i="2"/>
  <c r="Q889" i="2"/>
  <c r="P889" i="2"/>
  <c r="O889" i="2"/>
  <c r="N889" i="2"/>
  <c r="M889" i="2"/>
  <c r="L889" i="2"/>
  <c r="K889" i="2"/>
  <c r="J889" i="2"/>
  <c r="I889" i="2"/>
  <c r="H889" i="2"/>
  <c r="G889" i="2"/>
  <c r="F889" i="2"/>
  <c r="E889" i="2"/>
  <c r="D889" i="2"/>
  <c r="C889" i="2"/>
  <c r="B889" i="2"/>
  <c r="AB888" i="2"/>
  <c r="AA888" i="2"/>
  <c r="Z888" i="2"/>
  <c r="Y888" i="2"/>
  <c r="X888" i="2"/>
  <c r="W888" i="2"/>
  <c r="V888" i="2"/>
  <c r="U888" i="2"/>
  <c r="T888" i="2"/>
  <c r="S888" i="2"/>
  <c r="R888" i="2"/>
  <c r="Q888" i="2"/>
  <c r="P888" i="2"/>
  <c r="O888" i="2"/>
  <c r="N888" i="2"/>
  <c r="M888" i="2"/>
  <c r="L888" i="2"/>
  <c r="K888" i="2"/>
  <c r="J888" i="2"/>
  <c r="I888" i="2"/>
  <c r="H888" i="2"/>
  <c r="G888" i="2"/>
  <c r="F888" i="2"/>
  <c r="E888" i="2"/>
  <c r="D888" i="2"/>
  <c r="C888" i="2"/>
  <c r="B888" i="2"/>
  <c r="AB887" i="2"/>
  <c r="AA887" i="2"/>
  <c r="Z887" i="2"/>
  <c r="Y887" i="2"/>
  <c r="X887" i="2"/>
  <c r="W887" i="2"/>
  <c r="V887" i="2"/>
  <c r="U887" i="2"/>
  <c r="T887" i="2"/>
  <c r="S887" i="2"/>
  <c r="R887" i="2"/>
  <c r="Q887" i="2"/>
  <c r="P887" i="2"/>
  <c r="O887" i="2"/>
  <c r="N887" i="2"/>
  <c r="M887" i="2"/>
  <c r="L887" i="2"/>
  <c r="K887" i="2"/>
  <c r="J887" i="2"/>
  <c r="I887" i="2"/>
  <c r="H887" i="2"/>
  <c r="G887" i="2"/>
  <c r="F887" i="2"/>
  <c r="E887" i="2"/>
  <c r="D887" i="2"/>
  <c r="C887" i="2"/>
  <c r="B887" i="2"/>
  <c r="AB886" i="2"/>
  <c r="AA886" i="2"/>
  <c r="Z886" i="2"/>
  <c r="Y886" i="2"/>
  <c r="X886" i="2"/>
  <c r="W886" i="2"/>
  <c r="V886" i="2"/>
  <c r="U886" i="2"/>
  <c r="T886" i="2"/>
  <c r="S886" i="2"/>
  <c r="R886" i="2"/>
  <c r="Q886" i="2"/>
  <c r="P886" i="2"/>
  <c r="O886" i="2"/>
  <c r="N886" i="2"/>
  <c r="M886" i="2"/>
  <c r="L886" i="2"/>
  <c r="K886" i="2"/>
  <c r="J886" i="2"/>
  <c r="I886" i="2"/>
  <c r="H886" i="2"/>
  <c r="G886" i="2"/>
  <c r="F886" i="2"/>
  <c r="E886" i="2"/>
  <c r="D886" i="2"/>
  <c r="C886" i="2"/>
  <c r="B886" i="2"/>
  <c r="AB885" i="2"/>
  <c r="AA885" i="2"/>
  <c r="Z885" i="2"/>
  <c r="Y885" i="2"/>
  <c r="X885" i="2"/>
  <c r="W885" i="2"/>
  <c r="V885" i="2"/>
  <c r="U885" i="2"/>
  <c r="T885" i="2"/>
  <c r="S885" i="2"/>
  <c r="R885" i="2"/>
  <c r="Q885" i="2"/>
  <c r="P885" i="2"/>
  <c r="O885" i="2"/>
  <c r="N885" i="2"/>
  <c r="M885" i="2"/>
  <c r="L885" i="2"/>
  <c r="K885" i="2"/>
  <c r="J885" i="2"/>
  <c r="I885" i="2"/>
  <c r="H885" i="2"/>
  <c r="G885" i="2"/>
  <c r="F885" i="2"/>
  <c r="E885" i="2"/>
  <c r="D885" i="2"/>
  <c r="C885" i="2"/>
  <c r="B885" i="2"/>
  <c r="AB884" i="2"/>
  <c r="AA884" i="2"/>
  <c r="Z884" i="2"/>
  <c r="Y884" i="2"/>
  <c r="X884" i="2"/>
  <c r="W884" i="2"/>
  <c r="V884" i="2"/>
  <c r="U884" i="2"/>
  <c r="T884" i="2"/>
  <c r="S884" i="2"/>
  <c r="R884" i="2"/>
  <c r="Q884" i="2"/>
  <c r="P884" i="2"/>
  <c r="O884" i="2"/>
  <c r="N884" i="2"/>
  <c r="M884" i="2"/>
  <c r="L884" i="2"/>
  <c r="K884" i="2"/>
  <c r="J884" i="2"/>
  <c r="I884" i="2"/>
  <c r="H884" i="2"/>
  <c r="G884" i="2"/>
  <c r="F884" i="2"/>
  <c r="E884" i="2"/>
  <c r="D884" i="2"/>
  <c r="C884" i="2"/>
  <c r="B884" i="2"/>
  <c r="AB883" i="2"/>
  <c r="AA883" i="2"/>
  <c r="Z883" i="2"/>
  <c r="Y883" i="2"/>
  <c r="X883" i="2"/>
  <c r="W883" i="2"/>
  <c r="V883" i="2"/>
  <c r="U883" i="2"/>
  <c r="T883" i="2"/>
  <c r="S883" i="2"/>
  <c r="R883" i="2"/>
  <c r="Q883" i="2"/>
  <c r="P883" i="2"/>
  <c r="O883" i="2"/>
  <c r="N883" i="2"/>
  <c r="M883" i="2"/>
  <c r="L883" i="2"/>
  <c r="K883" i="2"/>
  <c r="J883" i="2"/>
  <c r="I883" i="2"/>
  <c r="H883" i="2"/>
  <c r="G883" i="2"/>
  <c r="F883" i="2"/>
  <c r="E883" i="2"/>
  <c r="D883" i="2"/>
  <c r="C883" i="2"/>
  <c r="B883" i="2"/>
  <c r="AB882" i="2"/>
  <c r="AA882" i="2"/>
  <c r="Z882" i="2"/>
  <c r="Y882" i="2"/>
  <c r="X882" i="2"/>
  <c r="W882" i="2"/>
  <c r="V882" i="2"/>
  <c r="U882" i="2"/>
  <c r="T882" i="2"/>
  <c r="S882" i="2"/>
  <c r="R882" i="2"/>
  <c r="Q882" i="2"/>
  <c r="P882" i="2"/>
  <c r="O882" i="2"/>
  <c r="N882" i="2"/>
  <c r="M882" i="2"/>
  <c r="L882" i="2"/>
  <c r="K882" i="2"/>
  <c r="J882" i="2"/>
  <c r="I882" i="2"/>
  <c r="H882" i="2"/>
  <c r="G882" i="2"/>
  <c r="F882" i="2"/>
  <c r="E882" i="2"/>
  <c r="D882" i="2"/>
  <c r="C882" i="2"/>
  <c r="B882" i="2"/>
  <c r="AB881" i="2"/>
  <c r="AA881" i="2"/>
  <c r="Z881" i="2"/>
  <c r="Y881" i="2"/>
  <c r="X881" i="2"/>
  <c r="W881" i="2"/>
  <c r="V881" i="2"/>
  <c r="U881" i="2"/>
  <c r="T881" i="2"/>
  <c r="S881" i="2"/>
  <c r="R881" i="2"/>
  <c r="Q881" i="2"/>
  <c r="P881" i="2"/>
  <c r="O881" i="2"/>
  <c r="N881" i="2"/>
  <c r="M881" i="2"/>
  <c r="L881" i="2"/>
  <c r="K881" i="2"/>
  <c r="J881" i="2"/>
  <c r="I881" i="2"/>
  <c r="H881" i="2"/>
  <c r="G881" i="2"/>
  <c r="F881" i="2"/>
  <c r="E881" i="2"/>
  <c r="D881" i="2"/>
  <c r="C881" i="2"/>
  <c r="B881" i="2"/>
  <c r="AB880" i="2"/>
  <c r="AA880" i="2"/>
  <c r="Z880" i="2"/>
  <c r="Y880" i="2"/>
  <c r="X880" i="2"/>
  <c r="W880" i="2"/>
  <c r="V880" i="2"/>
  <c r="U880" i="2"/>
  <c r="T880" i="2"/>
  <c r="S880" i="2"/>
  <c r="R880" i="2"/>
  <c r="Q880" i="2"/>
  <c r="P880" i="2"/>
  <c r="O880" i="2"/>
  <c r="N880" i="2"/>
  <c r="M880" i="2"/>
  <c r="L880" i="2"/>
  <c r="K880" i="2"/>
  <c r="J880" i="2"/>
  <c r="I880" i="2"/>
  <c r="H880" i="2"/>
  <c r="G880" i="2"/>
  <c r="F880" i="2"/>
  <c r="E880" i="2"/>
  <c r="D880" i="2"/>
  <c r="C880" i="2"/>
  <c r="B880" i="2"/>
  <c r="AB879" i="2"/>
  <c r="AA879" i="2"/>
  <c r="Z879" i="2"/>
  <c r="Y879" i="2"/>
  <c r="X879" i="2"/>
  <c r="W879" i="2"/>
  <c r="V879" i="2"/>
  <c r="U879" i="2"/>
  <c r="T879" i="2"/>
  <c r="S879" i="2"/>
  <c r="R879" i="2"/>
  <c r="Q879" i="2"/>
  <c r="P879" i="2"/>
  <c r="O879" i="2"/>
  <c r="N879" i="2"/>
  <c r="M879" i="2"/>
  <c r="L879" i="2"/>
  <c r="K879" i="2"/>
  <c r="J879" i="2"/>
  <c r="I879" i="2"/>
  <c r="H879" i="2"/>
  <c r="G879" i="2"/>
  <c r="F879" i="2"/>
  <c r="E879" i="2"/>
  <c r="D879" i="2"/>
  <c r="C879" i="2"/>
  <c r="B879" i="2"/>
  <c r="AB878" i="2"/>
  <c r="AA878" i="2"/>
  <c r="Z878" i="2"/>
  <c r="Y878" i="2"/>
  <c r="X878" i="2"/>
  <c r="W878" i="2"/>
  <c r="V878" i="2"/>
  <c r="U878" i="2"/>
  <c r="T878" i="2"/>
  <c r="S878" i="2"/>
  <c r="R878" i="2"/>
  <c r="Q878" i="2"/>
  <c r="P878" i="2"/>
  <c r="O878" i="2"/>
  <c r="N878" i="2"/>
  <c r="M878" i="2"/>
  <c r="L878" i="2"/>
  <c r="K878" i="2"/>
  <c r="J878" i="2"/>
  <c r="I878" i="2"/>
  <c r="H878" i="2"/>
  <c r="G878" i="2"/>
  <c r="F878" i="2"/>
  <c r="E878" i="2"/>
  <c r="D878" i="2"/>
  <c r="C878" i="2"/>
  <c r="B878" i="2"/>
  <c r="AB877" i="2"/>
  <c r="AA877" i="2"/>
  <c r="Z877" i="2"/>
  <c r="Y877" i="2"/>
  <c r="X877" i="2"/>
  <c r="W877" i="2"/>
  <c r="V877" i="2"/>
  <c r="U877" i="2"/>
  <c r="T877" i="2"/>
  <c r="S877" i="2"/>
  <c r="R877" i="2"/>
  <c r="Q877" i="2"/>
  <c r="P877" i="2"/>
  <c r="O877" i="2"/>
  <c r="N877" i="2"/>
  <c r="M877" i="2"/>
  <c r="L877" i="2"/>
  <c r="K877" i="2"/>
  <c r="J877" i="2"/>
  <c r="I877" i="2"/>
  <c r="H877" i="2"/>
  <c r="G877" i="2"/>
  <c r="F877" i="2"/>
  <c r="E877" i="2"/>
  <c r="D877" i="2"/>
  <c r="C877" i="2"/>
  <c r="B877" i="2"/>
  <c r="AB876" i="2"/>
  <c r="AA876" i="2"/>
  <c r="Z876" i="2"/>
  <c r="Y876" i="2"/>
  <c r="X876" i="2"/>
  <c r="W876" i="2"/>
  <c r="V876" i="2"/>
  <c r="U876" i="2"/>
  <c r="T876" i="2"/>
  <c r="S876" i="2"/>
  <c r="R876" i="2"/>
  <c r="Q876" i="2"/>
  <c r="P876" i="2"/>
  <c r="O876" i="2"/>
  <c r="N876" i="2"/>
  <c r="M876" i="2"/>
  <c r="L876" i="2"/>
  <c r="K876" i="2"/>
  <c r="J876" i="2"/>
  <c r="I876" i="2"/>
  <c r="H876" i="2"/>
  <c r="G876" i="2"/>
  <c r="F876" i="2"/>
  <c r="E876" i="2"/>
  <c r="D876" i="2"/>
  <c r="C876" i="2"/>
  <c r="B876" i="2"/>
  <c r="AB875" i="2"/>
  <c r="AA875" i="2"/>
  <c r="Z875" i="2"/>
  <c r="Y875" i="2"/>
  <c r="X875" i="2"/>
  <c r="W875" i="2"/>
  <c r="V875" i="2"/>
  <c r="U875" i="2"/>
  <c r="T875" i="2"/>
  <c r="S875" i="2"/>
  <c r="R875" i="2"/>
  <c r="Q875" i="2"/>
  <c r="P875" i="2"/>
  <c r="O875" i="2"/>
  <c r="N875" i="2"/>
  <c r="M875" i="2"/>
  <c r="L875" i="2"/>
  <c r="K875" i="2"/>
  <c r="J875" i="2"/>
  <c r="I875" i="2"/>
  <c r="H875" i="2"/>
  <c r="G875" i="2"/>
  <c r="F875" i="2"/>
  <c r="E875" i="2"/>
  <c r="D875" i="2"/>
  <c r="C875" i="2"/>
  <c r="B875" i="2"/>
  <c r="AB874" i="2"/>
  <c r="AA874" i="2"/>
  <c r="Z874" i="2"/>
  <c r="Y874" i="2"/>
  <c r="X874" i="2"/>
  <c r="W874" i="2"/>
  <c r="V874" i="2"/>
  <c r="U874" i="2"/>
  <c r="T874" i="2"/>
  <c r="S874" i="2"/>
  <c r="R874" i="2"/>
  <c r="Q874" i="2"/>
  <c r="P874" i="2"/>
  <c r="O874" i="2"/>
  <c r="N874" i="2"/>
  <c r="M874" i="2"/>
  <c r="L874" i="2"/>
  <c r="K874" i="2"/>
  <c r="J874" i="2"/>
  <c r="I874" i="2"/>
  <c r="H874" i="2"/>
  <c r="G874" i="2"/>
  <c r="F874" i="2"/>
  <c r="E874" i="2"/>
  <c r="D874" i="2"/>
  <c r="C874" i="2"/>
  <c r="B874" i="2"/>
  <c r="AB873" i="2"/>
  <c r="AA873" i="2"/>
  <c r="Z873" i="2"/>
  <c r="Y873" i="2"/>
  <c r="X873" i="2"/>
  <c r="W873" i="2"/>
  <c r="V873" i="2"/>
  <c r="U873" i="2"/>
  <c r="T873" i="2"/>
  <c r="S873" i="2"/>
  <c r="R873" i="2"/>
  <c r="Q873" i="2"/>
  <c r="P873" i="2"/>
  <c r="O873" i="2"/>
  <c r="N873" i="2"/>
  <c r="M873" i="2"/>
  <c r="L873" i="2"/>
  <c r="K873" i="2"/>
  <c r="J873" i="2"/>
  <c r="I873" i="2"/>
  <c r="H873" i="2"/>
  <c r="G873" i="2"/>
  <c r="F873" i="2"/>
  <c r="E873" i="2"/>
  <c r="D873" i="2"/>
  <c r="C873" i="2"/>
  <c r="B873" i="2"/>
  <c r="AB872" i="2"/>
  <c r="AA872" i="2"/>
  <c r="Z872" i="2"/>
  <c r="Y872" i="2"/>
  <c r="X872" i="2"/>
  <c r="W872" i="2"/>
  <c r="V872" i="2"/>
  <c r="U872" i="2"/>
  <c r="T872" i="2"/>
  <c r="S872" i="2"/>
  <c r="R872" i="2"/>
  <c r="Q872" i="2"/>
  <c r="P872" i="2"/>
  <c r="O872" i="2"/>
  <c r="N872" i="2"/>
  <c r="M872" i="2"/>
  <c r="L872" i="2"/>
  <c r="K872" i="2"/>
  <c r="J872" i="2"/>
  <c r="I872" i="2"/>
  <c r="H872" i="2"/>
  <c r="G872" i="2"/>
  <c r="F872" i="2"/>
  <c r="E872" i="2"/>
  <c r="D872" i="2"/>
  <c r="C872" i="2"/>
  <c r="B872" i="2"/>
  <c r="AB871" i="2"/>
  <c r="AA871" i="2"/>
  <c r="Z871" i="2"/>
  <c r="Y871" i="2"/>
  <c r="X871" i="2"/>
  <c r="W871" i="2"/>
  <c r="V871" i="2"/>
  <c r="U871" i="2"/>
  <c r="T871" i="2"/>
  <c r="S871" i="2"/>
  <c r="R871" i="2"/>
  <c r="Q871" i="2"/>
  <c r="P871" i="2"/>
  <c r="O871" i="2"/>
  <c r="N871" i="2"/>
  <c r="M871" i="2"/>
  <c r="L871" i="2"/>
  <c r="K871" i="2"/>
  <c r="J871" i="2"/>
  <c r="I871" i="2"/>
  <c r="H871" i="2"/>
  <c r="G871" i="2"/>
  <c r="F871" i="2"/>
  <c r="E871" i="2"/>
  <c r="D871" i="2"/>
  <c r="C871" i="2"/>
  <c r="B871" i="2"/>
  <c r="AB870" i="2"/>
  <c r="AA870" i="2"/>
  <c r="Z870" i="2"/>
  <c r="Y870" i="2"/>
  <c r="X870" i="2"/>
  <c r="W870" i="2"/>
  <c r="V870" i="2"/>
  <c r="U870" i="2"/>
  <c r="T870" i="2"/>
  <c r="S870" i="2"/>
  <c r="R870" i="2"/>
  <c r="Q870" i="2"/>
  <c r="P870" i="2"/>
  <c r="O870" i="2"/>
  <c r="N870" i="2"/>
  <c r="M870" i="2"/>
  <c r="L870" i="2"/>
  <c r="K870" i="2"/>
  <c r="J870" i="2"/>
  <c r="I870" i="2"/>
  <c r="H870" i="2"/>
  <c r="G870" i="2"/>
  <c r="F870" i="2"/>
  <c r="E870" i="2"/>
  <c r="D870" i="2"/>
  <c r="C870" i="2"/>
  <c r="B870" i="2"/>
  <c r="AB869" i="2"/>
  <c r="AA869" i="2"/>
  <c r="Z869" i="2"/>
  <c r="Y869" i="2"/>
  <c r="X869" i="2"/>
  <c r="W869" i="2"/>
  <c r="V869" i="2"/>
  <c r="U869" i="2"/>
  <c r="T869" i="2"/>
  <c r="S869" i="2"/>
  <c r="R869" i="2"/>
  <c r="Q869" i="2"/>
  <c r="P869" i="2"/>
  <c r="O869" i="2"/>
  <c r="N869" i="2"/>
  <c r="M869" i="2"/>
  <c r="L869" i="2"/>
  <c r="K869" i="2"/>
  <c r="J869" i="2"/>
  <c r="I869" i="2"/>
  <c r="H869" i="2"/>
  <c r="G869" i="2"/>
  <c r="F869" i="2"/>
  <c r="E869" i="2"/>
  <c r="D869" i="2"/>
  <c r="C869" i="2"/>
  <c r="B869" i="2"/>
  <c r="AB868" i="2"/>
  <c r="AA868" i="2"/>
  <c r="Z868" i="2"/>
  <c r="Y868" i="2"/>
  <c r="X868" i="2"/>
  <c r="W868" i="2"/>
  <c r="V868" i="2"/>
  <c r="U868" i="2"/>
  <c r="T868" i="2"/>
  <c r="S868" i="2"/>
  <c r="R868" i="2"/>
  <c r="Q868" i="2"/>
  <c r="P868" i="2"/>
  <c r="O868" i="2"/>
  <c r="N868" i="2"/>
  <c r="M868" i="2"/>
  <c r="L868" i="2"/>
  <c r="K868" i="2"/>
  <c r="J868" i="2"/>
  <c r="I868" i="2"/>
  <c r="H868" i="2"/>
  <c r="G868" i="2"/>
  <c r="F868" i="2"/>
  <c r="E868" i="2"/>
  <c r="D868" i="2"/>
  <c r="C868" i="2"/>
  <c r="B868" i="2"/>
  <c r="AB867" i="2"/>
  <c r="AA867" i="2"/>
  <c r="Z867" i="2"/>
  <c r="Y867" i="2"/>
  <c r="X867" i="2"/>
  <c r="W867" i="2"/>
  <c r="V867" i="2"/>
  <c r="U867" i="2"/>
  <c r="T867" i="2"/>
  <c r="S867" i="2"/>
  <c r="R867" i="2"/>
  <c r="Q867" i="2"/>
  <c r="P867" i="2"/>
  <c r="O867" i="2"/>
  <c r="N867" i="2"/>
  <c r="M867" i="2"/>
  <c r="L867" i="2"/>
  <c r="K867" i="2"/>
  <c r="J867" i="2"/>
  <c r="I867" i="2"/>
  <c r="H867" i="2"/>
  <c r="G867" i="2"/>
  <c r="F867" i="2"/>
  <c r="E867" i="2"/>
  <c r="D867" i="2"/>
  <c r="C867" i="2"/>
  <c r="B867" i="2"/>
  <c r="AB866" i="2"/>
  <c r="AA866" i="2"/>
  <c r="Z866" i="2"/>
  <c r="Y866" i="2"/>
  <c r="X866" i="2"/>
  <c r="W866" i="2"/>
  <c r="V866" i="2"/>
  <c r="U866" i="2"/>
  <c r="T866" i="2"/>
  <c r="S866" i="2"/>
  <c r="R866" i="2"/>
  <c r="Q866" i="2"/>
  <c r="P866" i="2"/>
  <c r="O866" i="2"/>
  <c r="N866" i="2"/>
  <c r="M866" i="2"/>
  <c r="L866" i="2"/>
  <c r="K866" i="2"/>
  <c r="J866" i="2"/>
  <c r="I866" i="2"/>
  <c r="H866" i="2"/>
  <c r="G866" i="2"/>
  <c r="F866" i="2"/>
  <c r="E866" i="2"/>
  <c r="D866" i="2"/>
  <c r="C866" i="2"/>
  <c r="B866" i="2"/>
  <c r="AB865" i="2"/>
  <c r="AA865" i="2"/>
  <c r="Z865" i="2"/>
  <c r="Y865" i="2"/>
  <c r="X865" i="2"/>
  <c r="W865" i="2"/>
  <c r="V865" i="2"/>
  <c r="U865" i="2"/>
  <c r="T865" i="2"/>
  <c r="S865" i="2"/>
  <c r="R865" i="2"/>
  <c r="Q865" i="2"/>
  <c r="P865" i="2"/>
  <c r="O865" i="2"/>
  <c r="N865" i="2"/>
  <c r="M865" i="2"/>
  <c r="L865" i="2"/>
  <c r="K865" i="2"/>
  <c r="J865" i="2"/>
  <c r="I865" i="2"/>
  <c r="H865" i="2"/>
  <c r="G865" i="2"/>
  <c r="F865" i="2"/>
  <c r="E865" i="2"/>
  <c r="D865" i="2"/>
  <c r="C865" i="2"/>
  <c r="B865" i="2"/>
  <c r="AB864" i="2"/>
  <c r="AA864" i="2"/>
  <c r="Z864" i="2"/>
  <c r="Y864" i="2"/>
  <c r="X864" i="2"/>
  <c r="W864" i="2"/>
  <c r="V864" i="2"/>
  <c r="U864" i="2"/>
  <c r="T864" i="2"/>
  <c r="S864" i="2"/>
  <c r="R864" i="2"/>
  <c r="Q864" i="2"/>
  <c r="P864" i="2"/>
  <c r="O864" i="2"/>
  <c r="N864" i="2"/>
  <c r="M864" i="2"/>
  <c r="L864" i="2"/>
  <c r="K864" i="2"/>
  <c r="J864" i="2"/>
  <c r="I864" i="2"/>
  <c r="H864" i="2"/>
  <c r="G864" i="2"/>
  <c r="F864" i="2"/>
  <c r="E864" i="2"/>
  <c r="D864" i="2"/>
  <c r="C864" i="2"/>
  <c r="B864" i="2"/>
  <c r="AB863" i="2"/>
  <c r="AA863" i="2"/>
  <c r="Z863" i="2"/>
  <c r="Y863" i="2"/>
  <c r="X863" i="2"/>
  <c r="W863" i="2"/>
  <c r="V863" i="2"/>
  <c r="U863" i="2"/>
  <c r="T863" i="2"/>
  <c r="S863" i="2"/>
  <c r="R863" i="2"/>
  <c r="Q863" i="2"/>
  <c r="P863" i="2"/>
  <c r="O863" i="2"/>
  <c r="N863" i="2"/>
  <c r="M863" i="2"/>
  <c r="L863" i="2"/>
  <c r="K863" i="2"/>
  <c r="J863" i="2"/>
  <c r="I863" i="2"/>
  <c r="H863" i="2"/>
  <c r="G863" i="2"/>
  <c r="F863" i="2"/>
  <c r="E863" i="2"/>
  <c r="D863" i="2"/>
  <c r="C863" i="2"/>
  <c r="B863" i="2"/>
  <c r="AB862" i="2"/>
  <c r="AA862" i="2"/>
  <c r="Z862" i="2"/>
  <c r="Y862" i="2"/>
  <c r="X862" i="2"/>
  <c r="W862" i="2"/>
  <c r="V862" i="2"/>
  <c r="U862" i="2"/>
  <c r="T862" i="2"/>
  <c r="S862" i="2"/>
  <c r="R862" i="2"/>
  <c r="Q862" i="2"/>
  <c r="P862" i="2"/>
  <c r="O862" i="2"/>
  <c r="N862" i="2"/>
  <c r="M862" i="2"/>
  <c r="L862" i="2"/>
  <c r="K862" i="2"/>
  <c r="J862" i="2"/>
  <c r="I862" i="2"/>
  <c r="H862" i="2"/>
  <c r="G862" i="2"/>
  <c r="F862" i="2"/>
  <c r="E862" i="2"/>
  <c r="D862" i="2"/>
  <c r="C862" i="2"/>
  <c r="B862" i="2"/>
  <c r="AB861" i="2"/>
  <c r="AA861" i="2"/>
  <c r="Z861" i="2"/>
  <c r="Y861" i="2"/>
  <c r="X861" i="2"/>
  <c r="W861" i="2"/>
  <c r="V861" i="2"/>
  <c r="U861" i="2"/>
  <c r="T861" i="2"/>
  <c r="S861" i="2"/>
  <c r="R861" i="2"/>
  <c r="Q861" i="2"/>
  <c r="P861" i="2"/>
  <c r="O861" i="2"/>
  <c r="N861" i="2"/>
  <c r="M861" i="2"/>
  <c r="L861" i="2"/>
  <c r="K861" i="2"/>
  <c r="J861" i="2"/>
  <c r="I861" i="2"/>
  <c r="H861" i="2"/>
  <c r="G861" i="2"/>
  <c r="F861" i="2"/>
  <c r="E861" i="2"/>
  <c r="D861" i="2"/>
  <c r="C861" i="2"/>
  <c r="B861" i="2"/>
  <c r="AB860" i="2"/>
  <c r="AA860" i="2"/>
  <c r="Z860" i="2"/>
  <c r="Y860" i="2"/>
  <c r="X860" i="2"/>
  <c r="W860" i="2"/>
  <c r="V860" i="2"/>
  <c r="U860" i="2"/>
  <c r="T860" i="2"/>
  <c r="S860" i="2"/>
  <c r="R860" i="2"/>
  <c r="Q860" i="2"/>
  <c r="P860" i="2"/>
  <c r="O860" i="2"/>
  <c r="N860" i="2"/>
  <c r="M860" i="2"/>
  <c r="L860" i="2"/>
  <c r="K860" i="2"/>
  <c r="J860" i="2"/>
  <c r="I860" i="2"/>
  <c r="H860" i="2"/>
  <c r="G860" i="2"/>
  <c r="F860" i="2"/>
  <c r="E860" i="2"/>
  <c r="D860" i="2"/>
  <c r="C860" i="2"/>
  <c r="B860" i="2"/>
  <c r="AB859" i="2"/>
  <c r="AA859" i="2"/>
  <c r="Z859" i="2"/>
  <c r="Y859" i="2"/>
  <c r="X859" i="2"/>
  <c r="W859" i="2"/>
  <c r="V859" i="2"/>
  <c r="U859" i="2"/>
  <c r="T859" i="2"/>
  <c r="S859" i="2"/>
  <c r="R859" i="2"/>
  <c r="Q859" i="2"/>
  <c r="P859" i="2"/>
  <c r="O859" i="2"/>
  <c r="N859" i="2"/>
  <c r="M859" i="2"/>
  <c r="L859" i="2"/>
  <c r="K859" i="2"/>
  <c r="J859" i="2"/>
  <c r="I859" i="2"/>
  <c r="H859" i="2"/>
  <c r="G859" i="2"/>
  <c r="F859" i="2"/>
  <c r="E859" i="2"/>
  <c r="D859" i="2"/>
  <c r="C859" i="2"/>
  <c r="B859" i="2"/>
  <c r="AB858" i="2"/>
  <c r="AA858" i="2"/>
  <c r="Z858" i="2"/>
  <c r="Y858" i="2"/>
  <c r="X858" i="2"/>
  <c r="W858" i="2"/>
  <c r="V858" i="2"/>
  <c r="U858" i="2"/>
  <c r="T858" i="2"/>
  <c r="S858" i="2"/>
  <c r="R858" i="2"/>
  <c r="Q858" i="2"/>
  <c r="P858" i="2"/>
  <c r="O858" i="2"/>
  <c r="N858" i="2"/>
  <c r="M858" i="2"/>
  <c r="L858" i="2"/>
  <c r="K858" i="2"/>
  <c r="J858" i="2"/>
  <c r="I858" i="2"/>
  <c r="H858" i="2"/>
  <c r="G858" i="2"/>
  <c r="F858" i="2"/>
  <c r="E858" i="2"/>
  <c r="D858" i="2"/>
  <c r="C858" i="2"/>
  <c r="B858" i="2"/>
  <c r="AB857" i="2"/>
  <c r="AA857" i="2"/>
  <c r="Z857" i="2"/>
  <c r="Y857" i="2"/>
  <c r="X857" i="2"/>
  <c r="W857" i="2"/>
  <c r="V857" i="2"/>
  <c r="U857" i="2"/>
  <c r="T857" i="2"/>
  <c r="S857" i="2"/>
  <c r="R857" i="2"/>
  <c r="Q857" i="2"/>
  <c r="P857" i="2"/>
  <c r="O857" i="2"/>
  <c r="N857" i="2"/>
  <c r="M857" i="2"/>
  <c r="L857" i="2"/>
  <c r="K857" i="2"/>
  <c r="J857" i="2"/>
  <c r="I857" i="2"/>
  <c r="H857" i="2"/>
  <c r="G857" i="2"/>
  <c r="F857" i="2"/>
  <c r="E857" i="2"/>
  <c r="D857" i="2"/>
  <c r="C857" i="2"/>
  <c r="B857" i="2"/>
  <c r="AB856" i="2"/>
  <c r="AA856" i="2"/>
  <c r="Z856" i="2"/>
  <c r="Y856" i="2"/>
  <c r="X856" i="2"/>
  <c r="W856" i="2"/>
  <c r="V856" i="2"/>
  <c r="U856" i="2"/>
  <c r="T856" i="2"/>
  <c r="S856" i="2"/>
  <c r="R856" i="2"/>
  <c r="Q856" i="2"/>
  <c r="P856" i="2"/>
  <c r="O856" i="2"/>
  <c r="N856" i="2"/>
  <c r="M856" i="2"/>
  <c r="L856" i="2"/>
  <c r="K856" i="2"/>
  <c r="J856" i="2"/>
  <c r="I856" i="2"/>
  <c r="H856" i="2"/>
  <c r="G856" i="2"/>
  <c r="F856" i="2"/>
  <c r="E856" i="2"/>
  <c r="D856" i="2"/>
  <c r="C856" i="2"/>
  <c r="B856" i="2"/>
  <c r="AB855" i="2"/>
  <c r="AA855" i="2"/>
  <c r="Z855" i="2"/>
  <c r="Y855" i="2"/>
  <c r="X855" i="2"/>
  <c r="W855" i="2"/>
  <c r="V855" i="2"/>
  <c r="U855" i="2"/>
  <c r="T855" i="2"/>
  <c r="S855" i="2"/>
  <c r="R855" i="2"/>
  <c r="Q855" i="2"/>
  <c r="P855" i="2"/>
  <c r="O855" i="2"/>
  <c r="N855" i="2"/>
  <c r="M855" i="2"/>
  <c r="L855" i="2"/>
  <c r="K855" i="2"/>
  <c r="J855" i="2"/>
  <c r="I855" i="2"/>
  <c r="H855" i="2"/>
  <c r="G855" i="2"/>
  <c r="F855" i="2"/>
  <c r="E855" i="2"/>
  <c r="D855" i="2"/>
  <c r="C855" i="2"/>
  <c r="B855" i="2"/>
  <c r="AB854" i="2"/>
  <c r="AA854" i="2"/>
  <c r="Z854" i="2"/>
  <c r="Y854" i="2"/>
  <c r="X854" i="2"/>
  <c r="W854" i="2"/>
  <c r="V854" i="2"/>
  <c r="U854" i="2"/>
  <c r="T854" i="2"/>
  <c r="S854" i="2"/>
  <c r="R854" i="2"/>
  <c r="Q854" i="2"/>
  <c r="P854" i="2"/>
  <c r="O854" i="2"/>
  <c r="N854" i="2"/>
  <c r="M854" i="2"/>
  <c r="L854" i="2"/>
  <c r="K854" i="2"/>
  <c r="J854" i="2"/>
  <c r="I854" i="2"/>
  <c r="H854" i="2"/>
  <c r="G854" i="2"/>
  <c r="F854" i="2"/>
  <c r="E854" i="2"/>
  <c r="D854" i="2"/>
  <c r="C854" i="2"/>
  <c r="B854" i="2"/>
  <c r="AB853" i="2"/>
  <c r="AA853" i="2"/>
  <c r="Z853" i="2"/>
  <c r="Y853" i="2"/>
  <c r="X853" i="2"/>
  <c r="W853" i="2"/>
  <c r="V853" i="2"/>
  <c r="U853" i="2"/>
  <c r="T853" i="2"/>
  <c r="S853" i="2"/>
  <c r="R853" i="2"/>
  <c r="Q853" i="2"/>
  <c r="P853" i="2"/>
  <c r="O853" i="2"/>
  <c r="N853" i="2"/>
  <c r="M853" i="2"/>
  <c r="L853" i="2"/>
  <c r="K853" i="2"/>
  <c r="J853" i="2"/>
  <c r="I853" i="2"/>
  <c r="H853" i="2"/>
  <c r="G853" i="2"/>
  <c r="F853" i="2"/>
  <c r="E853" i="2"/>
  <c r="D853" i="2"/>
  <c r="C853" i="2"/>
  <c r="B853" i="2"/>
  <c r="AB852" i="2"/>
  <c r="AA852" i="2"/>
  <c r="Z852" i="2"/>
  <c r="Y852" i="2"/>
  <c r="X852" i="2"/>
  <c r="W852" i="2"/>
  <c r="V852" i="2"/>
  <c r="U852" i="2"/>
  <c r="T852" i="2"/>
  <c r="S852" i="2"/>
  <c r="R852" i="2"/>
  <c r="Q852" i="2"/>
  <c r="P852" i="2"/>
  <c r="O852" i="2"/>
  <c r="N852" i="2"/>
  <c r="M852" i="2"/>
  <c r="L852" i="2"/>
  <c r="K852" i="2"/>
  <c r="J852" i="2"/>
  <c r="I852" i="2"/>
  <c r="H852" i="2"/>
  <c r="G852" i="2"/>
  <c r="F852" i="2"/>
  <c r="E852" i="2"/>
  <c r="D852" i="2"/>
  <c r="C852" i="2"/>
  <c r="B852" i="2"/>
  <c r="AB851" i="2"/>
  <c r="AA851" i="2"/>
  <c r="Z851" i="2"/>
  <c r="Y851" i="2"/>
  <c r="X851" i="2"/>
  <c r="W851" i="2"/>
  <c r="V851" i="2"/>
  <c r="U851" i="2"/>
  <c r="T851" i="2"/>
  <c r="S851" i="2"/>
  <c r="R851" i="2"/>
  <c r="Q851" i="2"/>
  <c r="P851" i="2"/>
  <c r="O851" i="2"/>
  <c r="N851" i="2"/>
  <c r="M851" i="2"/>
  <c r="L851" i="2"/>
  <c r="K851" i="2"/>
  <c r="J851" i="2"/>
  <c r="I851" i="2"/>
  <c r="H851" i="2"/>
  <c r="G851" i="2"/>
  <c r="F851" i="2"/>
  <c r="E851" i="2"/>
  <c r="D851" i="2"/>
  <c r="C851" i="2"/>
  <c r="B851" i="2"/>
  <c r="AB850" i="2"/>
  <c r="AA850" i="2"/>
  <c r="Z850" i="2"/>
  <c r="Y850" i="2"/>
  <c r="X850" i="2"/>
  <c r="W850" i="2"/>
  <c r="V850" i="2"/>
  <c r="U850" i="2"/>
  <c r="T850" i="2"/>
  <c r="S850" i="2"/>
  <c r="R850" i="2"/>
  <c r="Q850" i="2"/>
  <c r="P850" i="2"/>
  <c r="O850" i="2"/>
  <c r="N850" i="2"/>
  <c r="M850" i="2"/>
  <c r="L850" i="2"/>
  <c r="K850" i="2"/>
  <c r="J850" i="2"/>
  <c r="I850" i="2"/>
  <c r="H850" i="2"/>
  <c r="G850" i="2"/>
  <c r="F850" i="2"/>
  <c r="E850" i="2"/>
  <c r="D850" i="2"/>
  <c r="C850" i="2"/>
  <c r="B850" i="2"/>
  <c r="AB849" i="2"/>
  <c r="AA849" i="2"/>
  <c r="Z849" i="2"/>
  <c r="Y849" i="2"/>
  <c r="X849" i="2"/>
  <c r="W849" i="2"/>
  <c r="V849" i="2"/>
  <c r="U849" i="2"/>
  <c r="T849" i="2"/>
  <c r="S849" i="2"/>
  <c r="R849" i="2"/>
  <c r="Q849" i="2"/>
  <c r="P849" i="2"/>
  <c r="O849" i="2"/>
  <c r="N849" i="2"/>
  <c r="M849" i="2"/>
  <c r="L849" i="2"/>
  <c r="K849" i="2"/>
  <c r="J849" i="2"/>
  <c r="I849" i="2"/>
  <c r="H849" i="2"/>
  <c r="G849" i="2"/>
  <c r="F849" i="2"/>
  <c r="E849" i="2"/>
  <c r="D849" i="2"/>
  <c r="C849" i="2"/>
  <c r="B849" i="2"/>
  <c r="AB848" i="2"/>
  <c r="AA848" i="2"/>
  <c r="Z848" i="2"/>
  <c r="Y848" i="2"/>
  <c r="X848" i="2"/>
  <c r="W848" i="2"/>
  <c r="V848" i="2"/>
  <c r="U848" i="2"/>
  <c r="T848" i="2"/>
  <c r="S848" i="2"/>
  <c r="R848" i="2"/>
  <c r="Q848" i="2"/>
  <c r="P848" i="2"/>
  <c r="O848" i="2"/>
  <c r="N848" i="2"/>
  <c r="M848" i="2"/>
  <c r="L848" i="2"/>
  <c r="K848" i="2"/>
  <c r="J848" i="2"/>
  <c r="I848" i="2"/>
  <c r="H848" i="2"/>
  <c r="G848" i="2"/>
  <c r="F848" i="2"/>
  <c r="E848" i="2"/>
  <c r="D848" i="2"/>
  <c r="C848" i="2"/>
  <c r="B848" i="2"/>
  <c r="AB847" i="2"/>
  <c r="AA847" i="2"/>
  <c r="Z847" i="2"/>
  <c r="Y847" i="2"/>
  <c r="X847" i="2"/>
  <c r="W847" i="2"/>
  <c r="V847" i="2"/>
  <c r="U847" i="2"/>
  <c r="T847" i="2"/>
  <c r="S847" i="2"/>
  <c r="R847" i="2"/>
  <c r="Q847" i="2"/>
  <c r="P847" i="2"/>
  <c r="O847" i="2"/>
  <c r="N847" i="2"/>
  <c r="M847" i="2"/>
  <c r="L847" i="2"/>
  <c r="K847" i="2"/>
  <c r="J847" i="2"/>
  <c r="I847" i="2"/>
  <c r="H847" i="2"/>
  <c r="G847" i="2"/>
  <c r="F847" i="2"/>
  <c r="E847" i="2"/>
  <c r="D847" i="2"/>
  <c r="C847" i="2"/>
  <c r="B847" i="2"/>
  <c r="AB846" i="2"/>
  <c r="AA846" i="2"/>
  <c r="Z846" i="2"/>
  <c r="Y846" i="2"/>
  <c r="X846" i="2"/>
  <c r="W846" i="2"/>
  <c r="V846" i="2"/>
  <c r="U846" i="2"/>
  <c r="T846" i="2"/>
  <c r="S846" i="2"/>
  <c r="R846" i="2"/>
  <c r="Q846" i="2"/>
  <c r="P846" i="2"/>
  <c r="O846" i="2"/>
  <c r="N846" i="2"/>
  <c r="M846" i="2"/>
  <c r="L846" i="2"/>
  <c r="K846" i="2"/>
  <c r="J846" i="2"/>
  <c r="I846" i="2"/>
  <c r="H846" i="2"/>
  <c r="G846" i="2"/>
  <c r="F846" i="2"/>
  <c r="E846" i="2"/>
  <c r="D846" i="2"/>
  <c r="C846" i="2"/>
  <c r="B846" i="2"/>
  <c r="AB845" i="2"/>
  <c r="AA845" i="2"/>
  <c r="Z845" i="2"/>
  <c r="Y845" i="2"/>
  <c r="X845" i="2"/>
  <c r="W845" i="2"/>
  <c r="V845" i="2"/>
  <c r="U845" i="2"/>
  <c r="T845" i="2"/>
  <c r="S845" i="2"/>
  <c r="R845" i="2"/>
  <c r="Q845" i="2"/>
  <c r="P845" i="2"/>
  <c r="O845" i="2"/>
  <c r="N845" i="2"/>
  <c r="M845" i="2"/>
  <c r="L845" i="2"/>
  <c r="K845" i="2"/>
  <c r="J845" i="2"/>
  <c r="I845" i="2"/>
  <c r="H845" i="2"/>
  <c r="G845" i="2"/>
  <c r="F845" i="2"/>
  <c r="E845" i="2"/>
  <c r="D845" i="2"/>
  <c r="C845" i="2"/>
  <c r="B845" i="2"/>
  <c r="AB844" i="2"/>
  <c r="AA844" i="2"/>
  <c r="Z844" i="2"/>
  <c r="Y844" i="2"/>
  <c r="X844" i="2"/>
  <c r="W844" i="2"/>
  <c r="V844" i="2"/>
  <c r="U844" i="2"/>
  <c r="T844" i="2"/>
  <c r="S844" i="2"/>
  <c r="R844" i="2"/>
  <c r="Q844" i="2"/>
  <c r="P844" i="2"/>
  <c r="O844" i="2"/>
  <c r="N844" i="2"/>
  <c r="M844" i="2"/>
  <c r="L844" i="2"/>
  <c r="K844" i="2"/>
  <c r="J844" i="2"/>
  <c r="I844" i="2"/>
  <c r="H844" i="2"/>
  <c r="G844" i="2"/>
  <c r="F844" i="2"/>
  <c r="E844" i="2"/>
  <c r="D844" i="2"/>
  <c r="C844" i="2"/>
  <c r="B844" i="2"/>
  <c r="AB843" i="2"/>
  <c r="AA843" i="2"/>
  <c r="Z843" i="2"/>
  <c r="Y843" i="2"/>
  <c r="X843" i="2"/>
  <c r="W843" i="2"/>
  <c r="V843" i="2"/>
  <c r="U843" i="2"/>
  <c r="T843" i="2"/>
  <c r="S843" i="2"/>
  <c r="R843" i="2"/>
  <c r="Q843" i="2"/>
  <c r="P843" i="2"/>
  <c r="O843" i="2"/>
  <c r="N843" i="2"/>
  <c r="M843" i="2"/>
  <c r="L843" i="2"/>
  <c r="K843" i="2"/>
  <c r="J843" i="2"/>
  <c r="I843" i="2"/>
  <c r="H843" i="2"/>
  <c r="G843" i="2"/>
  <c r="F843" i="2"/>
  <c r="E843" i="2"/>
  <c r="D843" i="2"/>
  <c r="C843" i="2"/>
  <c r="B843" i="2"/>
  <c r="AB842" i="2"/>
  <c r="AA842" i="2"/>
  <c r="Z842" i="2"/>
  <c r="Y842" i="2"/>
  <c r="X842" i="2"/>
  <c r="W842" i="2"/>
  <c r="V842" i="2"/>
  <c r="U842" i="2"/>
  <c r="T842" i="2"/>
  <c r="S842" i="2"/>
  <c r="R842" i="2"/>
  <c r="Q842" i="2"/>
  <c r="P842" i="2"/>
  <c r="O842" i="2"/>
  <c r="N842" i="2"/>
  <c r="M842" i="2"/>
  <c r="L842" i="2"/>
  <c r="K842" i="2"/>
  <c r="J842" i="2"/>
  <c r="I842" i="2"/>
  <c r="H842" i="2"/>
  <c r="G842" i="2"/>
  <c r="F842" i="2"/>
  <c r="E842" i="2"/>
  <c r="D842" i="2"/>
  <c r="C842" i="2"/>
  <c r="B842" i="2"/>
  <c r="AB841" i="2"/>
  <c r="AA841" i="2"/>
  <c r="Z841" i="2"/>
  <c r="Y841" i="2"/>
  <c r="X841" i="2"/>
  <c r="W841" i="2"/>
  <c r="V841" i="2"/>
  <c r="U841" i="2"/>
  <c r="T841" i="2"/>
  <c r="S841" i="2"/>
  <c r="R841" i="2"/>
  <c r="Q841" i="2"/>
  <c r="P841" i="2"/>
  <c r="O841" i="2"/>
  <c r="N841" i="2"/>
  <c r="M841" i="2"/>
  <c r="L841" i="2"/>
  <c r="K841" i="2"/>
  <c r="J841" i="2"/>
  <c r="I841" i="2"/>
  <c r="H841" i="2"/>
  <c r="G841" i="2"/>
  <c r="F841" i="2"/>
  <c r="E841" i="2"/>
  <c r="D841" i="2"/>
  <c r="C841" i="2"/>
  <c r="B841" i="2"/>
  <c r="AB840" i="2"/>
  <c r="AA840" i="2"/>
  <c r="Z840" i="2"/>
  <c r="Y840" i="2"/>
  <c r="X840" i="2"/>
  <c r="W840" i="2"/>
  <c r="V840" i="2"/>
  <c r="U840" i="2"/>
  <c r="T840" i="2"/>
  <c r="S840" i="2"/>
  <c r="R840" i="2"/>
  <c r="Q840" i="2"/>
  <c r="P840" i="2"/>
  <c r="O840" i="2"/>
  <c r="N840" i="2"/>
  <c r="M840" i="2"/>
  <c r="L840" i="2"/>
  <c r="K840" i="2"/>
  <c r="J840" i="2"/>
  <c r="I840" i="2"/>
  <c r="H840" i="2"/>
  <c r="G840" i="2"/>
  <c r="F840" i="2"/>
  <c r="E840" i="2"/>
  <c r="D840" i="2"/>
  <c r="C840" i="2"/>
  <c r="B840" i="2"/>
  <c r="AB839" i="2"/>
  <c r="AA839" i="2"/>
  <c r="Z839" i="2"/>
  <c r="Y839" i="2"/>
  <c r="X839" i="2"/>
  <c r="W839" i="2"/>
  <c r="V839" i="2"/>
  <c r="U839" i="2"/>
  <c r="T839" i="2"/>
  <c r="S839" i="2"/>
  <c r="R839" i="2"/>
  <c r="Q839" i="2"/>
  <c r="P839" i="2"/>
  <c r="O839" i="2"/>
  <c r="N839" i="2"/>
  <c r="M839" i="2"/>
  <c r="L839" i="2"/>
  <c r="K839" i="2"/>
  <c r="J839" i="2"/>
  <c r="I839" i="2"/>
  <c r="H839" i="2"/>
  <c r="G839" i="2"/>
  <c r="F839" i="2"/>
  <c r="E839" i="2"/>
  <c r="D839" i="2"/>
  <c r="C839" i="2"/>
  <c r="B839" i="2"/>
  <c r="AB838" i="2"/>
  <c r="AA838" i="2"/>
  <c r="Z838" i="2"/>
  <c r="Y838" i="2"/>
  <c r="X838" i="2"/>
  <c r="W838" i="2"/>
  <c r="V838" i="2"/>
  <c r="U838" i="2"/>
  <c r="T838" i="2"/>
  <c r="S838" i="2"/>
  <c r="R838" i="2"/>
  <c r="Q838" i="2"/>
  <c r="P838" i="2"/>
  <c r="O838" i="2"/>
  <c r="N838" i="2"/>
  <c r="M838" i="2"/>
  <c r="L838" i="2"/>
  <c r="K838" i="2"/>
  <c r="J838" i="2"/>
  <c r="I838" i="2"/>
  <c r="H838" i="2"/>
  <c r="G838" i="2"/>
  <c r="F838" i="2"/>
  <c r="E838" i="2"/>
  <c r="D838" i="2"/>
  <c r="C838" i="2"/>
  <c r="B838" i="2"/>
  <c r="AB837" i="2"/>
  <c r="AA837" i="2"/>
  <c r="Z837" i="2"/>
  <c r="Y837" i="2"/>
  <c r="X837" i="2"/>
  <c r="W837" i="2"/>
  <c r="V837" i="2"/>
  <c r="U837" i="2"/>
  <c r="T837" i="2"/>
  <c r="S837" i="2"/>
  <c r="R837" i="2"/>
  <c r="Q837" i="2"/>
  <c r="P837" i="2"/>
  <c r="O837" i="2"/>
  <c r="N837" i="2"/>
  <c r="M837" i="2"/>
  <c r="L837" i="2"/>
  <c r="K837" i="2"/>
  <c r="J837" i="2"/>
  <c r="I837" i="2"/>
  <c r="H837" i="2"/>
  <c r="G837" i="2"/>
  <c r="F837" i="2"/>
  <c r="E837" i="2"/>
  <c r="D837" i="2"/>
  <c r="C837" i="2"/>
  <c r="B837" i="2"/>
  <c r="AB836" i="2"/>
  <c r="AA836" i="2"/>
  <c r="Z836" i="2"/>
  <c r="Y836" i="2"/>
  <c r="X836" i="2"/>
  <c r="W836" i="2"/>
  <c r="V836" i="2"/>
  <c r="U836" i="2"/>
  <c r="T836" i="2"/>
  <c r="S836" i="2"/>
  <c r="R836" i="2"/>
  <c r="Q836" i="2"/>
  <c r="P836" i="2"/>
  <c r="O836" i="2"/>
  <c r="N836" i="2"/>
  <c r="M836" i="2"/>
  <c r="L836" i="2"/>
  <c r="K836" i="2"/>
  <c r="J836" i="2"/>
  <c r="I836" i="2"/>
  <c r="H836" i="2"/>
  <c r="G836" i="2"/>
  <c r="F836" i="2"/>
  <c r="E836" i="2"/>
  <c r="D836" i="2"/>
  <c r="C836" i="2"/>
  <c r="B836" i="2"/>
  <c r="AB835" i="2"/>
  <c r="AA835" i="2"/>
  <c r="Z835" i="2"/>
  <c r="Y835" i="2"/>
  <c r="X835" i="2"/>
  <c r="W835" i="2"/>
  <c r="V835" i="2"/>
  <c r="U835" i="2"/>
  <c r="T835" i="2"/>
  <c r="S835" i="2"/>
  <c r="R835" i="2"/>
  <c r="Q835" i="2"/>
  <c r="P835" i="2"/>
  <c r="O835" i="2"/>
  <c r="N835" i="2"/>
  <c r="M835" i="2"/>
  <c r="L835" i="2"/>
  <c r="K835" i="2"/>
  <c r="J835" i="2"/>
  <c r="I835" i="2"/>
  <c r="H835" i="2"/>
  <c r="G835" i="2"/>
  <c r="F835" i="2"/>
  <c r="E835" i="2"/>
  <c r="D835" i="2"/>
  <c r="C835" i="2"/>
  <c r="B835" i="2"/>
  <c r="AB834" i="2"/>
  <c r="AA834" i="2"/>
  <c r="Z834" i="2"/>
  <c r="Y834" i="2"/>
  <c r="X834" i="2"/>
  <c r="W834" i="2"/>
  <c r="V834" i="2"/>
  <c r="U834" i="2"/>
  <c r="T834" i="2"/>
  <c r="S834" i="2"/>
  <c r="R834" i="2"/>
  <c r="Q834" i="2"/>
  <c r="P834" i="2"/>
  <c r="O834" i="2"/>
  <c r="N834" i="2"/>
  <c r="M834" i="2"/>
  <c r="L834" i="2"/>
  <c r="K834" i="2"/>
  <c r="J834" i="2"/>
  <c r="I834" i="2"/>
  <c r="H834" i="2"/>
  <c r="G834" i="2"/>
  <c r="F834" i="2"/>
  <c r="E834" i="2"/>
  <c r="D834" i="2"/>
  <c r="C834" i="2"/>
  <c r="B834" i="2"/>
  <c r="AB833" i="2"/>
  <c r="AA833" i="2"/>
  <c r="Z833" i="2"/>
  <c r="Y833" i="2"/>
  <c r="X833" i="2"/>
  <c r="W833" i="2"/>
  <c r="V833" i="2"/>
  <c r="U833" i="2"/>
  <c r="T833" i="2"/>
  <c r="S833" i="2"/>
  <c r="R833" i="2"/>
  <c r="Q833" i="2"/>
  <c r="P833" i="2"/>
  <c r="O833" i="2"/>
  <c r="N833" i="2"/>
  <c r="M833" i="2"/>
  <c r="L833" i="2"/>
  <c r="K833" i="2"/>
  <c r="J833" i="2"/>
  <c r="I833" i="2"/>
  <c r="H833" i="2"/>
  <c r="G833" i="2"/>
  <c r="F833" i="2"/>
  <c r="E833" i="2"/>
  <c r="D833" i="2"/>
  <c r="C833" i="2"/>
  <c r="B833" i="2"/>
  <c r="AB832" i="2"/>
  <c r="AA832" i="2"/>
  <c r="Z832" i="2"/>
  <c r="Y832" i="2"/>
  <c r="X832" i="2"/>
  <c r="W832" i="2"/>
  <c r="V832" i="2"/>
  <c r="U832" i="2"/>
  <c r="T832" i="2"/>
  <c r="S832" i="2"/>
  <c r="R832" i="2"/>
  <c r="Q832" i="2"/>
  <c r="P832" i="2"/>
  <c r="O832" i="2"/>
  <c r="N832" i="2"/>
  <c r="M832" i="2"/>
  <c r="L832" i="2"/>
  <c r="K832" i="2"/>
  <c r="J832" i="2"/>
  <c r="I832" i="2"/>
  <c r="H832" i="2"/>
  <c r="G832" i="2"/>
  <c r="F832" i="2"/>
  <c r="E832" i="2"/>
  <c r="D832" i="2"/>
  <c r="C832" i="2"/>
  <c r="B832" i="2"/>
  <c r="AB831" i="2"/>
  <c r="AA831" i="2"/>
  <c r="Z831" i="2"/>
  <c r="Y831" i="2"/>
  <c r="X831" i="2"/>
  <c r="W831" i="2"/>
  <c r="V831" i="2"/>
  <c r="U831" i="2"/>
  <c r="T831" i="2"/>
  <c r="S831" i="2"/>
  <c r="R831" i="2"/>
  <c r="Q831" i="2"/>
  <c r="P831" i="2"/>
  <c r="O831" i="2"/>
  <c r="N831" i="2"/>
  <c r="M831" i="2"/>
  <c r="L831" i="2"/>
  <c r="K831" i="2"/>
  <c r="J831" i="2"/>
  <c r="I831" i="2"/>
  <c r="H831" i="2"/>
  <c r="G831" i="2"/>
  <c r="F831" i="2"/>
  <c r="E831" i="2"/>
  <c r="D831" i="2"/>
  <c r="C831" i="2"/>
  <c r="B831" i="2"/>
  <c r="AB830" i="2"/>
  <c r="AA830" i="2"/>
  <c r="Z830" i="2"/>
  <c r="Y830" i="2"/>
  <c r="X830" i="2"/>
  <c r="W830" i="2"/>
  <c r="V830" i="2"/>
  <c r="U830" i="2"/>
  <c r="T830" i="2"/>
  <c r="S830" i="2"/>
  <c r="R830" i="2"/>
  <c r="Q830" i="2"/>
  <c r="P830" i="2"/>
  <c r="O830" i="2"/>
  <c r="N830" i="2"/>
  <c r="M830" i="2"/>
  <c r="L830" i="2"/>
  <c r="K830" i="2"/>
  <c r="J830" i="2"/>
  <c r="I830" i="2"/>
  <c r="H830" i="2"/>
  <c r="G830" i="2"/>
  <c r="F830" i="2"/>
  <c r="E830" i="2"/>
  <c r="D830" i="2"/>
  <c r="C830" i="2"/>
  <c r="B830" i="2"/>
  <c r="AB829" i="2"/>
  <c r="AA829" i="2"/>
  <c r="Z829" i="2"/>
  <c r="Y829" i="2"/>
  <c r="X829" i="2"/>
  <c r="W829" i="2"/>
  <c r="V829" i="2"/>
  <c r="U829" i="2"/>
  <c r="T829" i="2"/>
  <c r="S829" i="2"/>
  <c r="R829" i="2"/>
  <c r="Q829" i="2"/>
  <c r="P829" i="2"/>
  <c r="O829" i="2"/>
  <c r="N829" i="2"/>
  <c r="M829" i="2"/>
  <c r="L829" i="2"/>
  <c r="K829" i="2"/>
  <c r="J829" i="2"/>
  <c r="I829" i="2"/>
  <c r="H829" i="2"/>
  <c r="G829" i="2"/>
  <c r="F829" i="2"/>
  <c r="E829" i="2"/>
  <c r="D829" i="2"/>
  <c r="C829" i="2"/>
  <c r="B829" i="2"/>
  <c r="AB828" i="2"/>
  <c r="AA828" i="2"/>
  <c r="Z828" i="2"/>
  <c r="Y828" i="2"/>
  <c r="X828" i="2"/>
  <c r="W828" i="2"/>
  <c r="V828" i="2"/>
  <c r="U828" i="2"/>
  <c r="T828" i="2"/>
  <c r="S828" i="2"/>
  <c r="R828" i="2"/>
  <c r="Q828" i="2"/>
  <c r="P828" i="2"/>
  <c r="O828" i="2"/>
  <c r="N828" i="2"/>
  <c r="M828" i="2"/>
  <c r="L828" i="2"/>
  <c r="K828" i="2"/>
  <c r="J828" i="2"/>
  <c r="I828" i="2"/>
  <c r="H828" i="2"/>
  <c r="G828" i="2"/>
  <c r="F828" i="2"/>
  <c r="E828" i="2"/>
  <c r="D828" i="2"/>
  <c r="C828" i="2"/>
  <c r="B828" i="2"/>
  <c r="AB827" i="2"/>
  <c r="AA827" i="2"/>
  <c r="Z827" i="2"/>
  <c r="Y827" i="2"/>
  <c r="X827" i="2"/>
  <c r="W827" i="2"/>
  <c r="V827" i="2"/>
  <c r="U827" i="2"/>
  <c r="T827" i="2"/>
  <c r="S827" i="2"/>
  <c r="R827" i="2"/>
  <c r="Q827" i="2"/>
  <c r="P827" i="2"/>
  <c r="O827" i="2"/>
  <c r="N827" i="2"/>
  <c r="M827" i="2"/>
  <c r="L827" i="2"/>
  <c r="K827" i="2"/>
  <c r="J827" i="2"/>
  <c r="I827" i="2"/>
  <c r="H827" i="2"/>
  <c r="G827" i="2"/>
  <c r="F827" i="2"/>
  <c r="E827" i="2"/>
  <c r="D827" i="2"/>
  <c r="C827" i="2"/>
  <c r="B827" i="2"/>
  <c r="AB826" i="2"/>
  <c r="AA826" i="2"/>
  <c r="Z826" i="2"/>
  <c r="Y826" i="2"/>
  <c r="X826" i="2"/>
  <c r="W826" i="2"/>
  <c r="V826" i="2"/>
  <c r="U826" i="2"/>
  <c r="T826" i="2"/>
  <c r="S826" i="2"/>
  <c r="R826" i="2"/>
  <c r="Q826" i="2"/>
  <c r="P826" i="2"/>
  <c r="O826" i="2"/>
  <c r="N826" i="2"/>
  <c r="M826" i="2"/>
  <c r="L826" i="2"/>
  <c r="K826" i="2"/>
  <c r="J826" i="2"/>
  <c r="I826" i="2"/>
  <c r="H826" i="2"/>
  <c r="G826" i="2"/>
  <c r="F826" i="2"/>
  <c r="E826" i="2"/>
  <c r="D826" i="2"/>
  <c r="C826" i="2"/>
  <c r="B826" i="2"/>
  <c r="AB825" i="2"/>
  <c r="AA825" i="2"/>
  <c r="Z825" i="2"/>
  <c r="Y825" i="2"/>
  <c r="X825" i="2"/>
  <c r="W825" i="2"/>
  <c r="V825" i="2"/>
  <c r="U825" i="2"/>
  <c r="T825" i="2"/>
  <c r="S825" i="2"/>
  <c r="R825" i="2"/>
  <c r="Q825" i="2"/>
  <c r="P825" i="2"/>
  <c r="O825" i="2"/>
  <c r="N825" i="2"/>
  <c r="M825" i="2"/>
  <c r="L825" i="2"/>
  <c r="K825" i="2"/>
  <c r="J825" i="2"/>
  <c r="I825" i="2"/>
  <c r="H825" i="2"/>
  <c r="G825" i="2"/>
  <c r="F825" i="2"/>
  <c r="E825" i="2"/>
  <c r="D825" i="2"/>
  <c r="C825" i="2"/>
  <c r="B825" i="2"/>
  <c r="AB824" i="2"/>
  <c r="AA824" i="2"/>
  <c r="Z824" i="2"/>
  <c r="Y824" i="2"/>
  <c r="X824" i="2"/>
  <c r="W824" i="2"/>
  <c r="V824" i="2"/>
  <c r="U824" i="2"/>
  <c r="T824" i="2"/>
  <c r="S824" i="2"/>
  <c r="R824" i="2"/>
  <c r="Q824" i="2"/>
  <c r="P824" i="2"/>
  <c r="O824" i="2"/>
  <c r="N824" i="2"/>
  <c r="M824" i="2"/>
  <c r="L824" i="2"/>
  <c r="K824" i="2"/>
  <c r="J824" i="2"/>
  <c r="I824" i="2"/>
  <c r="H824" i="2"/>
  <c r="G824" i="2"/>
  <c r="F824" i="2"/>
  <c r="E824" i="2"/>
  <c r="D824" i="2"/>
  <c r="C824" i="2"/>
  <c r="B824" i="2"/>
  <c r="AB823" i="2"/>
  <c r="AA823" i="2"/>
  <c r="Z823" i="2"/>
  <c r="Y823" i="2"/>
  <c r="X823" i="2"/>
  <c r="W823" i="2"/>
  <c r="V823" i="2"/>
  <c r="U823" i="2"/>
  <c r="T823" i="2"/>
  <c r="S823" i="2"/>
  <c r="R823" i="2"/>
  <c r="Q823" i="2"/>
  <c r="P823" i="2"/>
  <c r="O823" i="2"/>
  <c r="N823" i="2"/>
  <c r="M823" i="2"/>
  <c r="L823" i="2"/>
  <c r="K823" i="2"/>
  <c r="J823" i="2"/>
  <c r="I823" i="2"/>
  <c r="H823" i="2"/>
  <c r="G823" i="2"/>
  <c r="F823" i="2"/>
  <c r="E823" i="2"/>
  <c r="D823" i="2"/>
  <c r="C823" i="2"/>
  <c r="B823" i="2"/>
  <c r="AB822" i="2"/>
  <c r="AA822" i="2"/>
  <c r="Z822" i="2"/>
  <c r="Y822" i="2"/>
  <c r="X822" i="2"/>
  <c r="W822" i="2"/>
  <c r="V822" i="2"/>
  <c r="U822" i="2"/>
  <c r="T822" i="2"/>
  <c r="S822" i="2"/>
  <c r="R822" i="2"/>
  <c r="Q822" i="2"/>
  <c r="P822" i="2"/>
  <c r="O822" i="2"/>
  <c r="N822" i="2"/>
  <c r="M822" i="2"/>
  <c r="L822" i="2"/>
  <c r="K822" i="2"/>
  <c r="J822" i="2"/>
  <c r="I822" i="2"/>
  <c r="H822" i="2"/>
  <c r="G822" i="2"/>
  <c r="F822" i="2"/>
  <c r="E822" i="2"/>
  <c r="D822" i="2"/>
  <c r="C822" i="2"/>
  <c r="B822" i="2"/>
  <c r="AB821" i="2"/>
  <c r="AA821" i="2"/>
  <c r="Z821" i="2"/>
  <c r="Y821" i="2"/>
  <c r="X821" i="2"/>
  <c r="W821" i="2"/>
  <c r="V821" i="2"/>
  <c r="U821" i="2"/>
  <c r="T821" i="2"/>
  <c r="S821" i="2"/>
  <c r="R821" i="2"/>
  <c r="Q821" i="2"/>
  <c r="P821" i="2"/>
  <c r="O821" i="2"/>
  <c r="N821" i="2"/>
  <c r="M821" i="2"/>
  <c r="L821" i="2"/>
  <c r="K821" i="2"/>
  <c r="J821" i="2"/>
  <c r="I821" i="2"/>
  <c r="H821" i="2"/>
  <c r="G821" i="2"/>
  <c r="F821" i="2"/>
  <c r="E821" i="2"/>
  <c r="D821" i="2"/>
  <c r="C821" i="2"/>
  <c r="B821" i="2"/>
  <c r="AB820" i="2"/>
  <c r="AA820" i="2"/>
  <c r="Z820" i="2"/>
  <c r="Y820" i="2"/>
  <c r="X820" i="2"/>
  <c r="W820" i="2"/>
  <c r="V820" i="2"/>
  <c r="U820" i="2"/>
  <c r="T820" i="2"/>
  <c r="S820" i="2"/>
  <c r="R820" i="2"/>
  <c r="Q820" i="2"/>
  <c r="P820" i="2"/>
  <c r="O820" i="2"/>
  <c r="N820" i="2"/>
  <c r="M820" i="2"/>
  <c r="L820" i="2"/>
  <c r="K820" i="2"/>
  <c r="J820" i="2"/>
  <c r="I820" i="2"/>
  <c r="H820" i="2"/>
  <c r="G820" i="2"/>
  <c r="F820" i="2"/>
  <c r="E820" i="2"/>
  <c r="D820" i="2"/>
  <c r="C820" i="2"/>
  <c r="B820" i="2"/>
  <c r="AB819" i="2"/>
  <c r="AA819" i="2"/>
  <c r="Z819" i="2"/>
  <c r="Y819" i="2"/>
  <c r="X819" i="2"/>
  <c r="W819" i="2"/>
  <c r="V819" i="2"/>
  <c r="U819" i="2"/>
  <c r="T819" i="2"/>
  <c r="S819" i="2"/>
  <c r="R819" i="2"/>
  <c r="Q819" i="2"/>
  <c r="P819" i="2"/>
  <c r="O819" i="2"/>
  <c r="N819" i="2"/>
  <c r="M819" i="2"/>
  <c r="L819" i="2"/>
  <c r="K819" i="2"/>
  <c r="J819" i="2"/>
  <c r="I819" i="2"/>
  <c r="H819" i="2"/>
  <c r="G819" i="2"/>
  <c r="F819" i="2"/>
  <c r="E819" i="2"/>
  <c r="D819" i="2"/>
  <c r="C819" i="2"/>
  <c r="B819" i="2"/>
  <c r="AB818" i="2"/>
  <c r="AA818" i="2"/>
  <c r="Z818" i="2"/>
  <c r="Y818" i="2"/>
  <c r="X818" i="2"/>
  <c r="W818" i="2"/>
  <c r="V818" i="2"/>
  <c r="U818" i="2"/>
  <c r="T818" i="2"/>
  <c r="S818" i="2"/>
  <c r="R818" i="2"/>
  <c r="Q818" i="2"/>
  <c r="P818" i="2"/>
  <c r="O818" i="2"/>
  <c r="N818" i="2"/>
  <c r="M818" i="2"/>
  <c r="L818" i="2"/>
  <c r="K818" i="2"/>
  <c r="J818" i="2"/>
  <c r="I818" i="2"/>
  <c r="H818" i="2"/>
  <c r="G818" i="2"/>
  <c r="F818" i="2"/>
  <c r="E818" i="2"/>
  <c r="D818" i="2"/>
  <c r="C818" i="2"/>
  <c r="B818" i="2"/>
  <c r="AB817" i="2"/>
  <c r="AA817" i="2"/>
  <c r="Z817" i="2"/>
  <c r="Y817" i="2"/>
  <c r="X817" i="2"/>
  <c r="W817" i="2"/>
  <c r="V817" i="2"/>
  <c r="U817" i="2"/>
  <c r="T817" i="2"/>
  <c r="S817" i="2"/>
  <c r="R817" i="2"/>
  <c r="Q817" i="2"/>
  <c r="P817" i="2"/>
  <c r="O817" i="2"/>
  <c r="N817" i="2"/>
  <c r="M817" i="2"/>
  <c r="L817" i="2"/>
  <c r="K817" i="2"/>
  <c r="J817" i="2"/>
  <c r="I817" i="2"/>
  <c r="H817" i="2"/>
  <c r="G817" i="2"/>
  <c r="F817" i="2"/>
  <c r="E817" i="2"/>
  <c r="D817" i="2"/>
  <c r="C817" i="2"/>
  <c r="B817" i="2"/>
  <c r="AB816" i="2"/>
  <c r="AA816" i="2"/>
  <c r="Z816" i="2"/>
  <c r="Y816" i="2"/>
  <c r="X816" i="2"/>
  <c r="W816" i="2"/>
  <c r="V816" i="2"/>
  <c r="U816" i="2"/>
  <c r="T816" i="2"/>
  <c r="S816" i="2"/>
  <c r="R816" i="2"/>
  <c r="Q816" i="2"/>
  <c r="P816" i="2"/>
  <c r="O816" i="2"/>
  <c r="N816" i="2"/>
  <c r="M816" i="2"/>
  <c r="L816" i="2"/>
  <c r="K816" i="2"/>
  <c r="J816" i="2"/>
  <c r="I816" i="2"/>
  <c r="H816" i="2"/>
  <c r="G816" i="2"/>
  <c r="F816" i="2"/>
  <c r="E816" i="2"/>
  <c r="D816" i="2"/>
  <c r="C816" i="2"/>
  <c r="B816" i="2"/>
  <c r="AB815" i="2"/>
  <c r="AA815" i="2"/>
  <c r="Z815" i="2"/>
  <c r="Y815" i="2"/>
  <c r="X815" i="2"/>
  <c r="W815" i="2"/>
  <c r="V815" i="2"/>
  <c r="U815" i="2"/>
  <c r="T815" i="2"/>
  <c r="S815" i="2"/>
  <c r="R815" i="2"/>
  <c r="Q815" i="2"/>
  <c r="P815" i="2"/>
  <c r="O815" i="2"/>
  <c r="N815" i="2"/>
  <c r="M815" i="2"/>
  <c r="L815" i="2"/>
  <c r="K815" i="2"/>
  <c r="J815" i="2"/>
  <c r="I815" i="2"/>
  <c r="H815" i="2"/>
  <c r="G815" i="2"/>
  <c r="F815" i="2"/>
  <c r="E815" i="2"/>
  <c r="D815" i="2"/>
  <c r="C815" i="2"/>
  <c r="B815" i="2"/>
  <c r="AB814" i="2"/>
  <c r="AA814" i="2"/>
  <c r="Z814" i="2"/>
  <c r="Y814" i="2"/>
  <c r="X814" i="2"/>
  <c r="W814" i="2"/>
  <c r="V814" i="2"/>
  <c r="U814" i="2"/>
  <c r="T814" i="2"/>
  <c r="S814" i="2"/>
  <c r="R814" i="2"/>
  <c r="Q814" i="2"/>
  <c r="P814" i="2"/>
  <c r="O814" i="2"/>
  <c r="N814" i="2"/>
  <c r="M814" i="2"/>
  <c r="L814" i="2"/>
  <c r="K814" i="2"/>
  <c r="J814" i="2"/>
  <c r="I814" i="2"/>
  <c r="H814" i="2"/>
  <c r="G814" i="2"/>
  <c r="F814" i="2"/>
  <c r="E814" i="2"/>
  <c r="D814" i="2"/>
  <c r="C814" i="2"/>
  <c r="B814" i="2"/>
  <c r="AB813" i="2"/>
  <c r="AA813" i="2"/>
  <c r="Z813" i="2"/>
  <c r="Y813" i="2"/>
  <c r="X813" i="2"/>
  <c r="W813" i="2"/>
  <c r="V813" i="2"/>
  <c r="U813" i="2"/>
  <c r="T813" i="2"/>
  <c r="S813" i="2"/>
  <c r="R813" i="2"/>
  <c r="Q813" i="2"/>
  <c r="P813" i="2"/>
  <c r="O813" i="2"/>
  <c r="N813" i="2"/>
  <c r="M813" i="2"/>
  <c r="L813" i="2"/>
  <c r="K813" i="2"/>
  <c r="J813" i="2"/>
  <c r="I813" i="2"/>
  <c r="H813" i="2"/>
  <c r="G813" i="2"/>
  <c r="F813" i="2"/>
  <c r="E813" i="2"/>
  <c r="D813" i="2"/>
  <c r="C813" i="2"/>
  <c r="B813" i="2"/>
  <c r="AB812" i="2"/>
  <c r="AA812" i="2"/>
  <c r="Z812" i="2"/>
  <c r="Y812" i="2"/>
  <c r="X812" i="2"/>
  <c r="W812" i="2"/>
  <c r="V812" i="2"/>
  <c r="U812" i="2"/>
  <c r="T812" i="2"/>
  <c r="S812" i="2"/>
  <c r="R812" i="2"/>
  <c r="Q812" i="2"/>
  <c r="P812" i="2"/>
  <c r="O812" i="2"/>
  <c r="N812" i="2"/>
  <c r="M812" i="2"/>
  <c r="L812" i="2"/>
  <c r="K812" i="2"/>
  <c r="J812" i="2"/>
  <c r="I812" i="2"/>
  <c r="H812" i="2"/>
  <c r="G812" i="2"/>
  <c r="F812" i="2"/>
  <c r="E812" i="2"/>
  <c r="D812" i="2"/>
  <c r="C812" i="2"/>
  <c r="B812" i="2"/>
  <c r="AB811" i="2"/>
  <c r="AA811" i="2"/>
  <c r="Z811" i="2"/>
  <c r="Y811" i="2"/>
  <c r="X811" i="2"/>
  <c r="W811" i="2"/>
  <c r="V811" i="2"/>
  <c r="U811" i="2"/>
  <c r="T811" i="2"/>
  <c r="S811" i="2"/>
  <c r="R811" i="2"/>
  <c r="Q811" i="2"/>
  <c r="P811" i="2"/>
  <c r="O811" i="2"/>
  <c r="N811" i="2"/>
  <c r="M811" i="2"/>
  <c r="L811" i="2"/>
  <c r="K811" i="2"/>
  <c r="J811" i="2"/>
  <c r="I811" i="2"/>
  <c r="H811" i="2"/>
  <c r="G811" i="2"/>
  <c r="F811" i="2"/>
  <c r="E811" i="2"/>
  <c r="D811" i="2"/>
  <c r="C811" i="2"/>
  <c r="B811" i="2"/>
  <c r="AB810" i="2"/>
  <c r="AA810" i="2"/>
  <c r="Z810" i="2"/>
  <c r="Y810" i="2"/>
  <c r="X810" i="2"/>
  <c r="W810" i="2"/>
  <c r="V810" i="2"/>
  <c r="U810" i="2"/>
  <c r="T810" i="2"/>
  <c r="S810" i="2"/>
  <c r="R810" i="2"/>
  <c r="Q810" i="2"/>
  <c r="P810" i="2"/>
  <c r="O810" i="2"/>
  <c r="N810" i="2"/>
  <c r="M810" i="2"/>
  <c r="L810" i="2"/>
  <c r="K810" i="2"/>
  <c r="J810" i="2"/>
  <c r="I810" i="2"/>
  <c r="H810" i="2"/>
  <c r="G810" i="2"/>
  <c r="F810" i="2"/>
  <c r="E810" i="2"/>
  <c r="D810" i="2"/>
  <c r="C810" i="2"/>
  <c r="B810" i="2"/>
  <c r="AB809" i="2"/>
  <c r="AA809" i="2"/>
  <c r="Z809" i="2"/>
  <c r="Y809" i="2"/>
  <c r="X809" i="2"/>
  <c r="W809" i="2"/>
  <c r="V809" i="2"/>
  <c r="U809" i="2"/>
  <c r="T809" i="2"/>
  <c r="S809" i="2"/>
  <c r="R809" i="2"/>
  <c r="Q809" i="2"/>
  <c r="P809" i="2"/>
  <c r="O809" i="2"/>
  <c r="N809" i="2"/>
  <c r="M809" i="2"/>
  <c r="L809" i="2"/>
  <c r="K809" i="2"/>
  <c r="J809" i="2"/>
  <c r="I809" i="2"/>
  <c r="H809" i="2"/>
  <c r="G809" i="2"/>
  <c r="F809" i="2"/>
  <c r="E809" i="2"/>
  <c r="D809" i="2"/>
  <c r="C809" i="2"/>
  <c r="B809" i="2"/>
  <c r="AB808" i="2"/>
  <c r="AA808" i="2"/>
  <c r="Z808" i="2"/>
  <c r="Y808" i="2"/>
  <c r="X808" i="2"/>
  <c r="W808" i="2"/>
  <c r="V808" i="2"/>
  <c r="U808" i="2"/>
  <c r="T808" i="2"/>
  <c r="S808" i="2"/>
  <c r="R808" i="2"/>
  <c r="Q808" i="2"/>
  <c r="P808" i="2"/>
  <c r="O808" i="2"/>
  <c r="N808" i="2"/>
  <c r="M808" i="2"/>
  <c r="L808" i="2"/>
  <c r="K808" i="2"/>
  <c r="J808" i="2"/>
  <c r="I808" i="2"/>
  <c r="H808" i="2"/>
  <c r="G808" i="2"/>
  <c r="F808" i="2"/>
  <c r="E808" i="2"/>
  <c r="D808" i="2"/>
  <c r="C808" i="2"/>
  <c r="B808" i="2"/>
  <c r="AB807" i="2"/>
  <c r="AA807" i="2"/>
  <c r="Z807" i="2"/>
  <c r="Y807" i="2"/>
  <c r="X807" i="2"/>
  <c r="W807" i="2"/>
  <c r="V807" i="2"/>
  <c r="U807" i="2"/>
  <c r="T807" i="2"/>
  <c r="S807" i="2"/>
  <c r="R807" i="2"/>
  <c r="Q807" i="2"/>
  <c r="P807" i="2"/>
  <c r="O807" i="2"/>
  <c r="N807" i="2"/>
  <c r="M807" i="2"/>
  <c r="L807" i="2"/>
  <c r="K807" i="2"/>
  <c r="J807" i="2"/>
  <c r="I807" i="2"/>
  <c r="H807" i="2"/>
  <c r="G807" i="2"/>
  <c r="F807" i="2"/>
  <c r="E807" i="2"/>
  <c r="D807" i="2"/>
  <c r="C807" i="2"/>
  <c r="B807" i="2"/>
  <c r="AB806" i="2"/>
  <c r="AA806" i="2"/>
  <c r="Z806" i="2"/>
  <c r="Y806" i="2"/>
  <c r="X806" i="2"/>
  <c r="W806" i="2"/>
  <c r="V806" i="2"/>
  <c r="U806" i="2"/>
  <c r="T806" i="2"/>
  <c r="S806" i="2"/>
  <c r="R806" i="2"/>
  <c r="Q806" i="2"/>
  <c r="P806" i="2"/>
  <c r="O806" i="2"/>
  <c r="N806" i="2"/>
  <c r="M806" i="2"/>
  <c r="L806" i="2"/>
  <c r="K806" i="2"/>
  <c r="J806" i="2"/>
  <c r="I806" i="2"/>
  <c r="H806" i="2"/>
  <c r="G806" i="2"/>
  <c r="F806" i="2"/>
  <c r="E806" i="2"/>
  <c r="D806" i="2"/>
  <c r="C806" i="2"/>
  <c r="B806" i="2"/>
  <c r="AB805" i="2"/>
  <c r="AA805" i="2"/>
  <c r="Z805" i="2"/>
  <c r="Y805" i="2"/>
  <c r="X805" i="2"/>
  <c r="W805" i="2"/>
  <c r="V805" i="2"/>
  <c r="U805" i="2"/>
  <c r="T805" i="2"/>
  <c r="S805" i="2"/>
  <c r="R805" i="2"/>
  <c r="Q805" i="2"/>
  <c r="P805" i="2"/>
  <c r="O805" i="2"/>
  <c r="N805" i="2"/>
  <c r="M805" i="2"/>
  <c r="L805" i="2"/>
  <c r="K805" i="2"/>
  <c r="J805" i="2"/>
  <c r="I805" i="2"/>
  <c r="H805" i="2"/>
  <c r="G805" i="2"/>
  <c r="F805" i="2"/>
  <c r="E805" i="2"/>
  <c r="D805" i="2"/>
  <c r="C805" i="2"/>
  <c r="B805" i="2"/>
  <c r="AB804" i="2"/>
  <c r="AA804" i="2"/>
  <c r="Z804" i="2"/>
  <c r="Y804" i="2"/>
  <c r="X804" i="2"/>
  <c r="W804" i="2"/>
  <c r="V804" i="2"/>
  <c r="U804" i="2"/>
  <c r="T804" i="2"/>
  <c r="S804" i="2"/>
  <c r="R804" i="2"/>
  <c r="Q804" i="2"/>
  <c r="P804" i="2"/>
  <c r="O804" i="2"/>
  <c r="N804" i="2"/>
  <c r="M804" i="2"/>
  <c r="L804" i="2"/>
  <c r="K804" i="2"/>
  <c r="J804" i="2"/>
  <c r="I804" i="2"/>
  <c r="H804" i="2"/>
  <c r="G804" i="2"/>
  <c r="F804" i="2"/>
  <c r="E804" i="2"/>
  <c r="D804" i="2"/>
  <c r="C804" i="2"/>
  <c r="B804" i="2"/>
  <c r="AB803" i="2"/>
  <c r="AA803" i="2"/>
  <c r="Z803" i="2"/>
  <c r="Y803" i="2"/>
  <c r="X803" i="2"/>
  <c r="W803" i="2"/>
  <c r="V803" i="2"/>
  <c r="U803" i="2"/>
  <c r="T803" i="2"/>
  <c r="S803" i="2"/>
  <c r="R803" i="2"/>
  <c r="Q803" i="2"/>
  <c r="P803" i="2"/>
  <c r="O803" i="2"/>
  <c r="N803" i="2"/>
  <c r="M803" i="2"/>
  <c r="L803" i="2"/>
  <c r="K803" i="2"/>
  <c r="J803" i="2"/>
  <c r="I803" i="2"/>
  <c r="H803" i="2"/>
  <c r="G803" i="2"/>
  <c r="F803" i="2"/>
  <c r="E803" i="2"/>
  <c r="D803" i="2"/>
  <c r="C803" i="2"/>
  <c r="B803" i="2"/>
  <c r="AB802" i="2"/>
  <c r="AA802" i="2"/>
  <c r="Z802" i="2"/>
  <c r="Y802" i="2"/>
  <c r="X802" i="2"/>
  <c r="W802" i="2"/>
  <c r="V802" i="2"/>
  <c r="U802" i="2"/>
  <c r="T802" i="2"/>
  <c r="S802" i="2"/>
  <c r="R802" i="2"/>
  <c r="Q802" i="2"/>
  <c r="P802" i="2"/>
  <c r="O802" i="2"/>
  <c r="N802" i="2"/>
  <c r="M802" i="2"/>
  <c r="L802" i="2"/>
  <c r="K802" i="2"/>
  <c r="J802" i="2"/>
  <c r="I802" i="2"/>
  <c r="H802" i="2"/>
  <c r="G802" i="2"/>
  <c r="F802" i="2"/>
  <c r="E802" i="2"/>
  <c r="D802" i="2"/>
  <c r="C802" i="2"/>
  <c r="B802" i="2"/>
  <c r="AB801" i="2"/>
  <c r="AA801" i="2"/>
  <c r="Z801" i="2"/>
  <c r="Y801" i="2"/>
  <c r="X801" i="2"/>
  <c r="W801" i="2"/>
  <c r="V801" i="2"/>
  <c r="U801" i="2"/>
  <c r="T801" i="2"/>
  <c r="S801" i="2"/>
  <c r="R801" i="2"/>
  <c r="Q801" i="2"/>
  <c r="P801" i="2"/>
  <c r="O801" i="2"/>
  <c r="N801" i="2"/>
  <c r="M801" i="2"/>
  <c r="L801" i="2"/>
  <c r="K801" i="2"/>
  <c r="J801" i="2"/>
  <c r="I801" i="2"/>
  <c r="H801" i="2"/>
  <c r="G801" i="2"/>
  <c r="F801" i="2"/>
  <c r="E801" i="2"/>
  <c r="D801" i="2"/>
  <c r="C801" i="2"/>
  <c r="B801" i="2"/>
  <c r="AB800" i="2"/>
  <c r="AA800" i="2"/>
  <c r="Z800" i="2"/>
  <c r="Y800" i="2"/>
  <c r="X800" i="2"/>
  <c r="W800" i="2"/>
  <c r="V800" i="2"/>
  <c r="U800" i="2"/>
  <c r="T800" i="2"/>
  <c r="S800" i="2"/>
  <c r="R800" i="2"/>
  <c r="Q800" i="2"/>
  <c r="P800" i="2"/>
  <c r="O800" i="2"/>
  <c r="N800" i="2"/>
  <c r="M800" i="2"/>
  <c r="L800" i="2"/>
  <c r="K800" i="2"/>
  <c r="J800" i="2"/>
  <c r="I800" i="2"/>
  <c r="H800" i="2"/>
  <c r="G800" i="2"/>
  <c r="F800" i="2"/>
  <c r="E800" i="2"/>
  <c r="D800" i="2"/>
  <c r="C800" i="2"/>
  <c r="B800" i="2"/>
  <c r="AB799" i="2"/>
  <c r="AA799" i="2"/>
  <c r="Z799" i="2"/>
  <c r="Y799" i="2"/>
  <c r="X799" i="2"/>
  <c r="W799" i="2"/>
  <c r="V799" i="2"/>
  <c r="U799" i="2"/>
  <c r="T799" i="2"/>
  <c r="S799" i="2"/>
  <c r="R799" i="2"/>
  <c r="Q799" i="2"/>
  <c r="P799" i="2"/>
  <c r="O799" i="2"/>
  <c r="N799" i="2"/>
  <c r="M799" i="2"/>
  <c r="L799" i="2"/>
  <c r="K799" i="2"/>
  <c r="J799" i="2"/>
  <c r="I799" i="2"/>
  <c r="H799" i="2"/>
  <c r="G799" i="2"/>
  <c r="F799" i="2"/>
  <c r="E799" i="2"/>
  <c r="D799" i="2"/>
  <c r="C799" i="2"/>
  <c r="B799" i="2"/>
  <c r="AB798" i="2"/>
  <c r="AA798" i="2"/>
  <c r="Z798" i="2"/>
  <c r="Y798" i="2"/>
  <c r="X798" i="2"/>
  <c r="W798" i="2"/>
  <c r="V798" i="2"/>
  <c r="U798" i="2"/>
  <c r="T798" i="2"/>
  <c r="S798" i="2"/>
  <c r="R798" i="2"/>
  <c r="Q798" i="2"/>
  <c r="P798" i="2"/>
  <c r="O798" i="2"/>
  <c r="N798" i="2"/>
  <c r="M798" i="2"/>
  <c r="L798" i="2"/>
  <c r="K798" i="2"/>
  <c r="J798" i="2"/>
  <c r="I798" i="2"/>
  <c r="H798" i="2"/>
  <c r="G798" i="2"/>
  <c r="F798" i="2"/>
  <c r="E798" i="2"/>
  <c r="D798" i="2"/>
  <c r="C798" i="2"/>
  <c r="B798" i="2"/>
  <c r="AB797" i="2"/>
  <c r="AA797" i="2"/>
  <c r="Z797" i="2"/>
  <c r="Y797" i="2"/>
  <c r="X797" i="2"/>
  <c r="W797" i="2"/>
  <c r="V797" i="2"/>
  <c r="U797" i="2"/>
  <c r="T797" i="2"/>
  <c r="S797" i="2"/>
  <c r="R797" i="2"/>
  <c r="Q797" i="2"/>
  <c r="P797" i="2"/>
  <c r="O797" i="2"/>
  <c r="N797" i="2"/>
  <c r="M797" i="2"/>
  <c r="L797" i="2"/>
  <c r="K797" i="2"/>
  <c r="J797" i="2"/>
  <c r="I797" i="2"/>
  <c r="H797" i="2"/>
  <c r="G797" i="2"/>
  <c r="F797" i="2"/>
  <c r="E797" i="2"/>
  <c r="D797" i="2"/>
  <c r="C797" i="2"/>
  <c r="B797" i="2"/>
  <c r="AB796" i="2"/>
  <c r="AA796" i="2"/>
  <c r="Z796" i="2"/>
  <c r="Y796" i="2"/>
  <c r="X796" i="2"/>
  <c r="W796" i="2"/>
  <c r="V796" i="2"/>
  <c r="U796" i="2"/>
  <c r="T796" i="2"/>
  <c r="S796" i="2"/>
  <c r="R796" i="2"/>
  <c r="Q796" i="2"/>
  <c r="P796" i="2"/>
  <c r="O796" i="2"/>
  <c r="N796" i="2"/>
  <c r="M796" i="2"/>
  <c r="L796" i="2"/>
  <c r="K796" i="2"/>
  <c r="J796" i="2"/>
  <c r="I796" i="2"/>
  <c r="H796" i="2"/>
  <c r="G796" i="2"/>
  <c r="F796" i="2"/>
  <c r="E796" i="2"/>
  <c r="D796" i="2"/>
  <c r="C796" i="2"/>
  <c r="B796" i="2"/>
  <c r="AB795" i="2"/>
  <c r="AA795" i="2"/>
  <c r="Z795" i="2"/>
  <c r="Y795" i="2"/>
  <c r="X795" i="2"/>
  <c r="W795" i="2"/>
  <c r="V795" i="2"/>
  <c r="U795" i="2"/>
  <c r="T795" i="2"/>
  <c r="S795" i="2"/>
  <c r="R795" i="2"/>
  <c r="Q795" i="2"/>
  <c r="P795" i="2"/>
  <c r="O795" i="2"/>
  <c r="N795" i="2"/>
  <c r="M795" i="2"/>
  <c r="L795" i="2"/>
  <c r="K795" i="2"/>
  <c r="J795" i="2"/>
  <c r="I795" i="2"/>
  <c r="H795" i="2"/>
  <c r="G795" i="2"/>
  <c r="F795" i="2"/>
  <c r="E795" i="2"/>
  <c r="D795" i="2"/>
  <c r="C795" i="2"/>
  <c r="B795" i="2"/>
  <c r="AB794" i="2"/>
  <c r="AA794" i="2"/>
  <c r="Z794" i="2"/>
  <c r="Y794" i="2"/>
  <c r="X794" i="2"/>
  <c r="W794" i="2"/>
  <c r="V794" i="2"/>
  <c r="U794" i="2"/>
  <c r="T794" i="2"/>
  <c r="S794" i="2"/>
  <c r="R794" i="2"/>
  <c r="Q794" i="2"/>
  <c r="P794" i="2"/>
  <c r="O794" i="2"/>
  <c r="N794" i="2"/>
  <c r="M794" i="2"/>
  <c r="L794" i="2"/>
  <c r="K794" i="2"/>
  <c r="J794" i="2"/>
  <c r="I794" i="2"/>
  <c r="H794" i="2"/>
  <c r="G794" i="2"/>
  <c r="F794" i="2"/>
  <c r="E794" i="2"/>
  <c r="D794" i="2"/>
  <c r="C794" i="2"/>
  <c r="B794" i="2"/>
  <c r="AB793" i="2"/>
  <c r="AA793" i="2"/>
  <c r="Z793" i="2"/>
  <c r="Y793" i="2"/>
  <c r="X793" i="2"/>
  <c r="W793" i="2"/>
  <c r="V793" i="2"/>
  <c r="U793" i="2"/>
  <c r="T793" i="2"/>
  <c r="S793" i="2"/>
  <c r="R793" i="2"/>
  <c r="Q793" i="2"/>
  <c r="P793" i="2"/>
  <c r="O793" i="2"/>
  <c r="N793" i="2"/>
  <c r="M793" i="2"/>
  <c r="L793" i="2"/>
  <c r="K793" i="2"/>
  <c r="J793" i="2"/>
  <c r="I793" i="2"/>
  <c r="H793" i="2"/>
  <c r="G793" i="2"/>
  <c r="F793" i="2"/>
  <c r="E793" i="2"/>
  <c r="D793" i="2"/>
  <c r="C793" i="2"/>
  <c r="B793" i="2"/>
  <c r="AB792" i="2"/>
  <c r="AA792" i="2"/>
  <c r="Z792" i="2"/>
  <c r="Y792" i="2"/>
  <c r="X792" i="2"/>
  <c r="W792" i="2"/>
  <c r="V792" i="2"/>
  <c r="U792" i="2"/>
  <c r="T792" i="2"/>
  <c r="S792" i="2"/>
  <c r="R792" i="2"/>
  <c r="Q792" i="2"/>
  <c r="P792" i="2"/>
  <c r="O792" i="2"/>
  <c r="N792" i="2"/>
  <c r="M792" i="2"/>
  <c r="L792" i="2"/>
  <c r="K792" i="2"/>
  <c r="J792" i="2"/>
  <c r="I792" i="2"/>
  <c r="H792" i="2"/>
  <c r="G792" i="2"/>
  <c r="F792" i="2"/>
  <c r="E792" i="2"/>
  <c r="D792" i="2"/>
  <c r="C792" i="2"/>
  <c r="B792" i="2"/>
  <c r="AB791" i="2"/>
  <c r="AA791" i="2"/>
  <c r="Z791" i="2"/>
  <c r="Y791" i="2"/>
  <c r="X791" i="2"/>
  <c r="W791" i="2"/>
  <c r="V791" i="2"/>
  <c r="U791" i="2"/>
  <c r="T791" i="2"/>
  <c r="S791" i="2"/>
  <c r="R791" i="2"/>
  <c r="Q791" i="2"/>
  <c r="P791" i="2"/>
  <c r="O791" i="2"/>
  <c r="N791" i="2"/>
  <c r="M791" i="2"/>
  <c r="L791" i="2"/>
  <c r="K791" i="2"/>
  <c r="J791" i="2"/>
  <c r="I791" i="2"/>
  <c r="H791" i="2"/>
  <c r="G791" i="2"/>
  <c r="F791" i="2"/>
  <c r="E791" i="2"/>
  <c r="D791" i="2"/>
  <c r="C791" i="2"/>
  <c r="B791" i="2"/>
  <c r="AB790" i="2"/>
  <c r="AA790" i="2"/>
  <c r="Z790" i="2"/>
  <c r="Y790" i="2"/>
  <c r="X790" i="2"/>
  <c r="W790" i="2"/>
  <c r="V790" i="2"/>
  <c r="U790" i="2"/>
  <c r="T790" i="2"/>
  <c r="S790" i="2"/>
  <c r="R790" i="2"/>
  <c r="Q790" i="2"/>
  <c r="P790" i="2"/>
  <c r="O790" i="2"/>
  <c r="N790" i="2"/>
  <c r="M790" i="2"/>
  <c r="L790" i="2"/>
  <c r="K790" i="2"/>
  <c r="J790" i="2"/>
  <c r="I790" i="2"/>
  <c r="H790" i="2"/>
  <c r="G790" i="2"/>
  <c r="F790" i="2"/>
  <c r="E790" i="2"/>
  <c r="D790" i="2"/>
  <c r="C790" i="2"/>
  <c r="B790" i="2"/>
  <c r="AB789" i="2"/>
  <c r="AA789" i="2"/>
  <c r="Z789" i="2"/>
  <c r="Y789" i="2"/>
  <c r="X789" i="2"/>
  <c r="W789" i="2"/>
  <c r="V789" i="2"/>
  <c r="U789" i="2"/>
  <c r="T789" i="2"/>
  <c r="S789" i="2"/>
  <c r="R789" i="2"/>
  <c r="Q789" i="2"/>
  <c r="P789" i="2"/>
  <c r="O789" i="2"/>
  <c r="N789" i="2"/>
  <c r="M789" i="2"/>
  <c r="L789" i="2"/>
  <c r="K789" i="2"/>
  <c r="J789" i="2"/>
  <c r="I789" i="2"/>
  <c r="H789" i="2"/>
  <c r="G789" i="2"/>
  <c r="F789" i="2"/>
  <c r="E789" i="2"/>
  <c r="D789" i="2"/>
  <c r="C789" i="2"/>
  <c r="B789" i="2"/>
  <c r="AB788" i="2"/>
  <c r="AA788" i="2"/>
  <c r="Z788" i="2"/>
  <c r="Y788" i="2"/>
  <c r="X788" i="2"/>
  <c r="W788" i="2"/>
  <c r="V788" i="2"/>
  <c r="U788" i="2"/>
  <c r="T788" i="2"/>
  <c r="S788" i="2"/>
  <c r="R788" i="2"/>
  <c r="Q788" i="2"/>
  <c r="P788" i="2"/>
  <c r="O788" i="2"/>
  <c r="N788" i="2"/>
  <c r="M788" i="2"/>
  <c r="L788" i="2"/>
  <c r="K788" i="2"/>
  <c r="J788" i="2"/>
  <c r="I788" i="2"/>
  <c r="H788" i="2"/>
  <c r="G788" i="2"/>
  <c r="F788" i="2"/>
  <c r="E788" i="2"/>
  <c r="D788" i="2"/>
  <c r="C788" i="2"/>
  <c r="B788" i="2"/>
  <c r="AB787" i="2"/>
  <c r="AA787" i="2"/>
  <c r="Z787" i="2"/>
  <c r="Y787" i="2"/>
  <c r="X787" i="2"/>
  <c r="W787" i="2"/>
  <c r="V787" i="2"/>
  <c r="U787" i="2"/>
  <c r="T787" i="2"/>
  <c r="S787" i="2"/>
  <c r="R787" i="2"/>
  <c r="Q787" i="2"/>
  <c r="P787" i="2"/>
  <c r="O787" i="2"/>
  <c r="N787" i="2"/>
  <c r="M787" i="2"/>
  <c r="L787" i="2"/>
  <c r="K787" i="2"/>
  <c r="J787" i="2"/>
  <c r="I787" i="2"/>
  <c r="H787" i="2"/>
  <c r="G787" i="2"/>
  <c r="F787" i="2"/>
  <c r="E787" i="2"/>
  <c r="D787" i="2"/>
  <c r="C787" i="2"/>
  <c r="B787" i="2"/>
  <c r="AB786" i="2"/>
  <c r="AA786" i="2"/>
  <c r="Z786" i="2"/>
  <c r="Y786" i="2"/>
  <c r="X786" i="2"/>
  <c r="W786" i="2"/>
  <c r="V786" i="2"/>
  <c r="U786" i="2"/>
  <c r="T786" i="2"/>
  <c r="S786" i="2"/>
  <c r="R786" i="2"/>
  <c r="Q786" i="2"/>
  <c r="P786" i="2"/>
  <c r="O786" i="2"/>
  <c r="N786" i="2"/>
  <c r="M786" i="2"/>
  <c r="L786" i="2"/>
  <c r="K786" i="2"/>
  <c r="J786" i="2"/>
  <c r="I786" i="2"/>
  <c r="H786" i="2"/>
  <c r="G786" i="2"/>
  <c r="F786" i="2"/>
  <c r="E786" i="2"/>
  <c r="D786" i="2"/>
  <c r="C786" i="2"/>
  <c r="B786" i="2"/>
  <c r="AB785" i="2"/>
  <c r="AA785" i="2"/>
  <c r="Z785" i="2"/>
  <c r="Y785" i="2"/>
  <c r="X785" i="2"/>
  <c r="W785" i="2"/>
  <c r="V785" i="2"/>
  <c r="U785" i="2"/>
  <c r="T785" i="2"/>
  <c r="S785" i="2"/>
  <c r="R785" i="2"/>
  <c r="Q785" i="2"/>
  <c r="P785" i="2"/>
  <c r="O785" i="2"/>
  <c r="N785" i="2"/>
  <c r="M785" i="2"/>
  <c r="L785" i="2"/>
  <c r="K785" i="2"/>
  <c r="J785" i="2"/>
  <c r="I785" i="2"/>
  <c r="H785" i="2"/>
  <c r="G785" i="2"/>
  <c r="F785" i="2"/>
  <c r="E785" i="2"/>
  <c r="D785" i="2"/>
  <c r="C785" i="2"/>
  <c r="B785" i="2"/>
  <c r="AB784" i="2"/>
  <c r="AA784" i="2"/>
  <c r="Z784" i="2"/>
  <c r="Y784" i="2"/>
  <c r="X784" i="2"/>
  <c r="W784" i="2"/>
  <c r="V784" i="2"/>
  <c r="U784" i="2"/>
  <c r="T784" i="2"/>
  <c r="S784" i="2"/>
  <c r="R784" i="2"/>
  <c r="Q784" i="2"/>
  <c r="P784" i="2"/>
  <c r="O784" i="2"/>
  <c r="N784" i="2"/>
  <c r="M784" i="2"/>
  <c r="L784" i="2"/>
  <c r="K784" i="2"/>
  <c r="J784" i="2"/>
  <c r="I784" i="2"/>
  <c r="H784" i="2"/>
  <c r="G784" i="2"/>
  <c r="F784" i="2"/>
  <c r="E784" i="2"/>
  <c r="D784" i="2"/>
  <c r="C784" i="2"/>
  <c r="B784" i="2"/>
  <c r="AB783" i="2"/>
  <c r="AA783" i="2"/>
  <c r="Z783" i="2"/>
  <c r="Y783" i="2"/>
  <c r="X783" i="2"/>
  <c r="W783" i="2"/>
  <c r="V783" i="2"/>
  <c r="U783" i="2"/>
  <c r="T783" i="2"/>
  <c r="S783" i="2"/>
  <c r="R783" i="2"/>
  <c r="Q783" i="2"/>
  <c r="P783" i="2"/>
  <c r="O783" i="2"/>
  <c r="N783" i="2"/>
  <c r="M783" i="2"/>
  <c r="L783" i="2"/>
  <c r="K783" i="2"/>
  <c r="J783" i="2"/>
  <c r="I783" i="2"/>
  <c r="H783" i="2"/>
  <c r="G783" i="2"/>
  <c r="F783" i="2"/>
  <c r="E783" i="2"/>
  <c r="D783" i="2"/>
  <c r="C783" i="2"/>
  <c r="B783" i="2"/>
  <c r="AB782" i="2"/>
  <c r="AA782" i="2"/>
  <c r="Z782" i="2"/>
  <c r="Y782" i="2"/>
  <c r="X782" i="2"/>
  <c r="W782" i="2"/>
  <c r="V782" i="2"/>
  <c r="U782" i="2"/>
  <c r="T782" i="2"/>
  <c r="S782" i="2"/>
  <c r="R782" i="2"/>
  <c r="Q782" i="2"/>
  <c r="P782" i="2"/>
  <c r="O782" i="2"/>
  <c r="N782" i="2"/>
  <c r="M782" i="2"/>
  <c r="L782" i="2"/>
  <c r="K782" i="2"/>
  <c r="J782" i="2"/>
  <c r="I782" i="2"/>
  <c r="H782" i="2"/>
  <c r="G782" i="2"/>
  <c r="F782" i="2"/>
  <c r="E782" i="2"/>
  <c r="D782" i="2"/>
  <c r="C782" i="2"/>
  <c r="B782" i="2"/>
  <c r="AB781" i="2"/>
  <c r="AA781" i="2"/>
  <c r="Z781" i="2"/>
  <c r="Y781" i="2"/>
  <c r="X781" i="2"/>
  <c r="W781" i="2"/>
  <c r="V781" i="2"/>
  <c r="U781" i="2"/>
  <c r="T781" i="2"/>
  <c r="S781" i="2"/>
  <c r="R781" i="2"/>
  <c r="Q781" i="2"/>
  <c r="P781" i="2"/>
  <c r="O781" i="2"/>
  <c r="N781" i="2"/>
  <c r="M781" i="2"/>
  <c r="L781" i="2"/>
  <c r="K781" i="2"/>
  <c r="J781" i="2"/>
  <c r="I781" i="2"/>
  <c r="H781" i="2"/>
  <c r="G781" i="2"/>
  <c r="F781" i="2"/>
  <c r="E781" i="2"/>
  <c r="D781" i="2"/>
  <c r="C781" i="2"/>
  <c r="B781" i="2"/>
  <c r="AB780" i="2"/>
  <c r="AA780" i="2"/>
  <c r="Z780" i="2"/>
  <c r="Y780" i="2"/>
  <c r="X780" i="2"/>
  <c r="W780" i="2"/>
  <c r="V780" i="2"/>
  <c r="U780" i="2"/>
  <c r="T780" i="2"/>
  <c r="S780" i="2"/>
  <c r="R780" i="2"/>
  <c r="Q780" i="2"/>
  <c r="P780" i="2"/>
  <c r="O780" i="2"/>
  <c r="N780" i="2"/>
  <c r="M780" i="2"/>
  <c r="L780" i="2"/>
  <c r="K780" i="2"/>
  <c r="J780" i="2"/>
  <c r="I780" i="2"/>
  <c r="H780" i="2"/>
  <c r="G780" i="2"/>
  <c r="F780" i="2"/>
  <c r="E780" i="2"/>
  <c r="D780" i="2"/>
  <c r="C780" i="2"/>
  <c r="B780" i="2"/>
  <c r="AB779" i="2"/>
  <c r="AA779" i="2"/>
  <c r="Z779" i="2"/>
  <c r="Y779" i="2"/>
  <c r="X779" i="2"/>
  <c r="W779" i="2"/>
  <c r="V779" i="2"/>
  <c r="U779" i="2"/>
  <c r="T779" i="2"/>
  <c r="S779" i="2"/>
  <c r="R779" i="2"/>
  <c r="Q779" i="2"/>
  <c r="P779" i="2"/>
  <c r="O779" i="2"/>
  <c r="N779" i="2"/>
  <c r="M779" i="2"/>
  <c r="L779" i="2"/>
  <c r="K779" i="2"/>
  <c r="J779" i="2"/>
  <c r="I779" i="2"/>
  <c r="H779" i="2"/>
  <c r="G779" i="2"/>
  <c r="F779" i="2"/>
  <c r="E779" i="2"/>
  <c r="D779" i="2"/>
  <c r="C779" i="2"/>
  <c r="B779" i="2"/>
  <c r="AB778" i="2"/>
  <c r="AA778" i="2"/>
  <c r="Z778" i="2"/>
  <c r="Y778" i="2"/>
  <c r="X778" i="2"/>
  <c r="W778" i="2"/>
  <c r="V778" i="2"/>
  <c r="U778" i="2"/>
  <c r="T778" i="2"/>
  <c r="S778" i="2"/>
  <c r="R778" i="2"/>
  <c r="Q778" i="2"/>
  <c r="P778" i="2"/>
  <c r="O778" i="2"/>
  <c r="N778" i="2"/>
  <c r="M778" i="2"/>
  <c r="L778" i="2"/>
  <c r="K778" i="2"/>
  <c r="J778" i="2"/>
  <c r="I778" i="2"/>
  <c r="H778" i="2"/>
  <c r="G778" i="2"/>
  <c r="F778" i="2"/>
  <c r="E778" i="2"/>
  <c r="D778" i="2"/>
  <c r="C778" i="2"/>
  <c r="B778" i="2"/>
  <c r="AB777" i="2"/>
  <c r="AA777" i="2"/>
  <c r="Z777" i="2"/>
  <c r="Y777" i="2"/>
  <c r="X777" i="2"/>
  <c r="W777" i="2"/>
  <c r="V777" i="2"/>
  <c r="U777" i="2"/>
  <c r="T777" i="2"/>
  <c r="S777" i="2"/>
  <c r="R777" i="2"/>
  <c r="Q777" i="2"/>
  <c r="P777" i="2"/>
  <c r="O777" i="2"/>
  <c r="N777" i="2"/>
  <c r="M777" i="2"/>
  <c r="L777" i="2"/>
  <c r="K777" i="2"/>
  <c r="J777" i="2"/>
  <c r="I777" i="2"/>
  <c r="H777" i="2"/>
  <c r="G777" i="2"/>
  <c r="F777" i="2"/>
  <c r="E777" i="2"/>
  <c r="D777" i="2"/>
  <c r="C777" i="2"/>
  <c r="B777" i="2"/>
  <c r="AB776" i="2"/>
  <c r="AA776" i="2"/>
  <c r="Z776" i="2"/>
  <c r="Y776" i="2"/>
  <c r="X776" i="2"/>
  <c r="W776" i="2"/>
  <c r="V776" i="2"/>
  <c r="U776" i="2"/>
  <c r="T776" i="2"/>
  <c r="S776" i="2"/>
  <c r="R776" i="2"/>
  <c r="Q776" i="2"/>
  <c r="P776" i="2"/>
  <c r="O776" i="2"/>
  <c r="N776" i="2"/>
  <c r="M776" i="2"/>
  <c r="L776" i="2"/>
  <c r="K776" i="2"/>
  <c r="J776" i="2"/>
  <c r="I776" i="2"/>
  <c r="H776" i="2"/>
  <c r="G776" i="2"/>
  <c r="F776" i="2"/>
  <c r="E776" i="2"/>
  <c r="D776" i="2"/>
  <c r="C776" i="2"/>
  <c r="B776" i="2"/>
  <c r="AB775" i="2"/>
  <c r="AA775" i="2"/>
  <c r="Z775" i="2"/>
  <c r="Y775" i="2"/>
  <c r="X775" i="2"/>
  <c r="W775" i="2"/>
  <c r="V775" i="2"/>
  <c r="U775" i="2"/>
  <c r="T775" i="2"/>
  <c r="S775" i="2"/>
  <c r="R775" i="2"/>
  <c r="Q775" i="2"/>
  <c r="P775" i="2"/>
  <c r="O775" i="2"/>
  <c r="N775" i="2"/>
  <c r="M775" i="2"/>
  <c r="L775" i="2"/>
  <c r="K775" i="2"/>
  <c r="J775" i="2"/>
  <c r="I775" i="2"/>
  <c r="H775" i="2"/>
  <c r="G775" i="2"/>
  <c r="F775" i="2"/>
  <c r="E775" i="2"/>
  <c r="D775" i="2"/>
  <c r="C775" i="2"/>
  <c r="B775" i="2"/>
  <c r="AB774" i="2"/>
  <c r="AA774" i="2"/>
  <c r="Z774" i="2"/>
  <c r="Y774" i="2"/>
  <c r="X774" i="2"/>
  <c r="W774" i="2"/>
  <c r="V774" i="2"/>
  <c r="U774" i="2"/>
  <c r="T774" i="2"/>
  <c r="S774" i="2"/>
  <c r="R774" i="2"/>
  <c r="Q774" i="2"/>
  <c r="P774" i="2"/>
  <c r="O774" i="2"/>
  <c r="N774" i="2"/>
  <c r="M774" i="2"/>
  <c r="L774" i="2"/>
  <c r="K774" i="2"/>
  <c r="J774" i="2"/>
  <c r="I774" i="2"/>
  <c r="H774" i="2"/>
  <c r="G774" i="2"/>
  <c r="F774" i="2"/>
  <c r="E774" i="2"/>
  <c r="D774" i="2"/>
  <c r="C774" i="2"/>
  <c r="B774" i="2"/>
  <c r="AB773" i="2"/>
  <c r="AA773" i="2"/>
  <c r="Z773" i="2"/>
  <c r="Y773" i="2"/>
  <c r="X773" i="2"/>
  <c r="W773" i="2"/>
  <c r="V773" i="2"/>
  <c r="U773" i="2"/>
  <c r="T773" i="2"/>
  <c r="S773" i="2"/>
  <c r="R773" i="2"/>
  <c r="Q773" i="2"/>
  <c r="P773" i="2"/>
  <c r="O773" i="2"/>
  <c r="N773" i="2"/>
  <c r="M773" i="2"/>
  <c r="L773" i="2"/>
  <c r="K773" i="2"/>
  <c r="J773" i="2"/>
  <c r="I773" i="2"/>
  <c r="H773" i="2"/>
  <c r="G773" i="2"/>
  <c r="F773" i="2"/>
  <c r="E773" i="2"/>
  <c r="D773" i="2"/>
  <c r="C773" i="2"/>
  <c r="B773" i="2"/>
  <c r="AB772" i="2"/>
  <c r="AA772" i="2"/>
  <c r="Z772" i="2"/>
  <c r="Y772" i="2"/>
  <c r="X772" i="2"/>
  <c r="W772" i="2"/>
  <c r="V772" i="2"/>
  <c r="U772" i="2"/>
  <c r="T772" i="2"/>
  <c r="S772" i="2"/>
  <c r="R772" i="2"/>
  <c r="Q772" i="2"/>
  <c r="P772" i="2"/>
  <c r="O772" i="2"/>
  <c r="N772" i="2"/>
  <c r="M772" i="2"/>
  <c r="L772" i="2"/>
  <c r="K772" i="2"/>
  <c r="J772" i="2"/>
  <c r="I772" i="2"/>
  <c r="H772" i="2"/>
  <c r="G772" i="2"/>
  <c r="F772" i="2"/>
  <c r="E772" i="2"/>
  <c r="D772" i="2"/>
  <c r="C772" i="2"/>
  <c r="B772" i="2"/>
  <c r="AB771" i="2"/>
  <c r="AA771" i="2"/>
  <c r="Z771" i="2"/>
  <c r="Y771" i="2"/>
  <c r="X771" i="2"/>
  <c r="W771" i="2"/>
  <c r="V771" i="2"/>
  <c r="U771" i="2"/>
  <c r="T771" i="2"/>
  <c r="S771" i="2"/>
  <c r="R771" i="2"/>
  <c r="Q771" i="2"/>
  <c r="P771" i="2"/>
  <c r="O771" i="2"/>
  <c r="N771" i="2"/>
  <c r="M771" i="2"/>
  <c r="L771" i="2"/>
  <c r="K771" i="2"/>
  <c r="J771" i="2"/>
  <c r="I771" i="2"/>
  <c r="H771" i="2"/>
  <c r="G771" i="2"/>
  <c r="F771" i="2"/>
  <c r="E771" i="2"/>
  <c r="D771" i="2"/>
  <c r="C771" i="2"/>
  <c r="B771" i="2"/>
  <c r="AB770" i="2"/>
  <c r="AA770" i="2"/>
  <c r="Z770" i="2"/>
  <c r="Y770" i="2"/>
  <c r="X770" i="2"/>
  <c r="W770" i="2"/>
  <c r="V770" i="2"/>
  <c r="U770" i="2"/>
  <c r="T770" i="2"/>
  <c r="S770" i="2"/>
  <c r="R770" i="2"/>
  <c r="Q770" i="2"/>
  <c r="P770" i="2"/>
  <c r="O770" i="2"/>
  <c r="N770" i="2"/>
  <c r="M770" i="2"/>
  <c r="L770" i="2"/>
  <c r="K770" i="2"/>
  <c r="J770" i="2"/>
  <c r="I770" i="2"/>
  <c r="H770" i="2"/>
  <c r="G770" i="2"/>
  <c r="F770" i="2"/>
  <c r="E770" i="2"/>
  <c r="D770" i="2"/>
  <c r="C770" i="2"/>
  <c r="B770" i="2"/>
  <c r="AB769" i="2"/>
  <c r="AA769" i="2"/>
  <c r="Z769" i="2"/>
  <c r="Y769" i="2"/>
  <c r="X769" i="2"/>
  <c r="W769" i="2"/>
  <c r="V769" i="2"/>
  <c r="U769" i="2"/>
  <c r="T769" i="2"/>
  <c r="S769" i="2"/>
  <c r="R769" i="2"/>
  <c r="Q769" i="2"/>
  <c r="P769" i="2"/>
  <c r="O769" i="2"/>
  <c r="N769" i="2"/>
  <c r="M769" i="2"/>
  <c r="L769" i="2"/>
  <c r="K769" i="2"/>
  <c r="J769" i="2"/>
  <c r="I769" i="2"/>
  <c r="H769" i="2"/>
  <c r="G769" i="2"/>
  <c r="F769" i="2"/>
  <c r="E769" i="2"/>
  <c r="D769" i="2"/>
  <c r="C769" i="2"/>
  <c r="B769" i="2"/>
  <c r="AB768" i="2"/>
  <c r="AA768" i="2"/>
  <c r="Z768" i="2"/>
  <c r="Y768" i="2"/>
  <c r="X768" i="2"/>
  <c r="W768" i="2"/>
  <c r="V768" i="2"/>
  <c r="U768" i="2"/>
  <c r="T768" i="2"/>
  <c r="S768" i="2"/>
  <c r="R768" i="2"/>
  <c r="Q768" i="2"/>
  <c r="P768" i="2"/>
  <c r="O768" i="2"/>
  <c r="N768" i="2"/>
  <c r="M768" i="2"/>
  <c r="L768" i="2"/>
  <c r="K768" i="2"/>
  <c r="J768" i="2"/>
  <c r="I768" i="2"/>
  <c r="H768" i="2"/>
  <c r="G768" i="2"/>
  <c r="F768" i="2"/>
  <c r="E768" i="2"/>
  <c r="D768" i="2"/>
  <c r="C768" i="2"/>
  <c r="B768" i="2"/>
  <c r="AB767" i="2"/>
  <c r="AA767" i="2"/>
  <c r="Z767" i="2"/>
  <c r="Y767" i="2"/>
  <c r="X767" i="2"/>
  <c r="W767" i="2"/>
  <c r="V767" i="2"/>
  <c r="U767" i="2"/>
  <c r="T767" i="2"/>
  <c r="S767" i="2"/>
  <c r="R767" i="2"/>
  <c r="Q767" i="2"/>
  <c r="P767" i="2"/>
  <c r="O767" i="2"/>
  <c r="N767" i="2"/>
  <c r="M767" i="2"/>
  <c r="L767" i="2"/>
  <c r="K767" i="2"/>
  <c r="J767" i="2"/>
  <c r="I767" i="2"/>
  <c r="H767" i="2"/>
  <c r="G767" i="2"/>
  <c r="F767" i="2"/>
  <c r="E767" i="2"/>
  <c r="D767" i="2"/>
  <c r="C767" i="2"/>
  <c r="B767" i="2"/>
  <c r="AB766" i="2"/>
  <c r="AA766" i="2"/>
  <c r="Z766" i="2"/>
  <c r="Y766" i="2"/>
  <c r="X766" i="2"/>
  <c r="W766" i="2"/>
  <c r="V766" i="2"/>
  <c r="U766" i="2"/>
  <c r="T766" i="2"/>
  <c r="S766" i="2"/>
  <c r="R766" i="2"/>
  <c r="Q766" i="2"/>
  <c r="P766" i="2"/>
  <c r="O766" i="2"/>
  <c r="N766" i="2"/>
  <c r="M766" i="2"/>
  <c r="L766" i="2"/>
  <c r="K766" i="2"/>
  <c r="J766" i="2"/>
  <c r="I766" i="2"/>
  <c r="H766" i="2"/>
  <c r="G766" i="2"/>
  <c r="F766" i="2"/>
  <c r="E766" i="2"/>
  <c r="D766" i="2"/>
  <c r="C766" i="2"/>
  <c r="B766" i="2"/>
  <c r="AB765" i="2"/>
  <c r="AA765" i="2"/>
  <c r="Z765" i="2"/>
  <c r="Y765" i="2"/>
  <c r="X765" i="2"/>
  <c r="W765" i="2"/>
  <c r="V765" i="2"/>
  <c r="U765" i="2"/>
  <c r="T765" i="2"/>
  <c r="S765" i="2"/>
  <c r="R765" i="2"/>
  <c r="Q765" i="2"/>
  <c r="P765" i="2"/>
  <c r="O765" i="2"/>
  <c r="N765" i="2"/>
  <c r="M765" i="2"/>
  <c r="L765" i="2"/>
  <c r="K765" i="2"/>
  <c r="J765" i="2"/>
  <c r="I765" i="2"/>
  <c r="H765" i="2"/>
  <c r="G765" i="2"/>
  <c r="F765" i="2"/>
  <c r="E765" i="2"/>
  <c r="D765" i="2"/>
  <c r="C765" i="2"/>
  <c r="B765" i="2"/>
  <c r="AB764" i="2"/>
  <c r="AA764" i="2"/>
  <c r="Z764" i="2"/>
  <c r="Y764" i="2"/>
  <c r="X764" i="2"/>
  <c r="W764" i="2"/>
  <c r="V764" i="2"/>
  <c r="U764" i="2"/>
  <c r="T764" i="2"/>
  <c r="S764" i="2"/>
  <c r="R764" i="2"/>
  <c r="Q764" i="2"/>
  <c r="P764" i="2"/>
  <c r="O764" i="2"/>
  <c r="N764" i="2"/>
  <c r="M764" i="2"/>
  <c r="L764" i="2"/>
  <c r="K764" i="2"/>
  <c r="J764" i="2"/>
  <c r="I764" i="2"/>
  <c r="H764" i="2"/>
  <c r="G764" i="2"/>
  <c r="F764" i="2"/>
  <c r="E764" i="2"/>
  <c r="D764" i="2"/>
  <c r="C764" i="2"/>
  <c r="B764" i="2"/>
  <c r="AB763" i="2"/>
  <c r="AA763" i="2"/>
  <c r="Z763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H763" i="2"/>
  <c r="G763" i="2"/>
  <c r="F763" i="2"/>
  <c r="E763" i="2"/>
  <c r="D763" i="2"/>
  <c r="C763" i="2"/>
  <c r="B763" i="2"/>
  <c r="AB762" i="2"/>
  <c r="AA762" i="2"/>
  <c r="Z762" i="2"/>
  <c r="Y762" i="2"/>
  <c r="X762" i="2"/>
  <c r="W762" i="2"/>
  <c r="V762" i="2"/>
  <c r="U762" i="2"/>
  <c r="T762" i="2"/>
  <c r="S762" i="2"/>
  <c r="R762" i="2"/>
  <c r="Q762" i="2"/>
  <c r="P762" i="2"/>
  <c r="O762" i="2"/>
  <c r="N762" i="2"/>
  <c r="M762" i="2"/>
  <c r="L762" i="2"/>
  <c r="K762" i="2"/>
  <c r="J762" i="2"/>
  <c r="I762" i="2"/>
  <c r="H762" i="2"/>
  <c r="G762" i="2"/>
  <c r="F762" i="2"/>
  <c r="E762" i="2"/>
  <c r="D762" i="2"/>
  <c r="C762" i="2"/>
  <c r="B762" i="2"/>
  <c r="AB761" i="2"/>
  <c r="AA761" i="2"/>
  <c r="Z761" i="2"/>
  <c r="Y761" i="2"/>
  <c r="X761" i="2"/>
  <c r="W761" i="2"/>
  <c r="V761" i="2"/>
  <c r="U761" i="2"/>
  <c r="T761" i="2"/>
  <c r="S761" i="2"/>
  <c r="R761" i="2"/>
  <c r="Q761" i="2"/>
  <c r="P761" i="2"/>
  <c r="O761" i="2"/>
  <c r="N761" i="2"/>
  <c r="M761" i="2"/>
  <c r="L761" i="2"/>
  <c r="K761" i="2"/>
  <c r="J761" i="2"/>
  <c r="I761" i="2"/>
  <c r="H761" i="2"/>
  <c r="G761" i="2"/>
  <c r="F761" i="2"/>
  <c r="E761" i="2"/>
  <c r="D761" i="2"/>
  <c r="C761" i="2"/>
  <c r="B761" i="2"/>
  <c r="AB760" i="2"/>
  <c r="AA760" i="2"/>
  <c r="Z760" i="2"/>
  <c r="Y760" i="2"/>
  <c r="X760" i="2"/>
  <c r="W760" i="2"/>
  <c r="V760" i="2"/>
  <c r="U760" i="2"/>
  <c r="T760" i="2"/>
  <c r="S760" i="2"/>
  <c r="R760" i="2"/>
  <c r="Q760" i="2"/>
  <c r="P760" i="2"/>
  <c r="O760" i="2"/>
  <c r="N760" i="2"/>
  <c r="M760" i="2"/>
  <c r="L760" i="2"/>
  <c r="K760" i="2"/>
  <c r="J760" i="2"/>
  <c r="I760" i="2"/>
  <c r="H760" i="2"/>
  <c r="G760" i="2"/>
  <c r="F760" i="2"/>
  <c r="E760" i="2"/>
  <c r="D760" i="2"/>
  <c r="C760" i="2"/>
  <c r="B760" i="2"/>
  <c r="AB759" i="2"/>
  <c r="AA759" i="2"/>
  <c r="Z759" i="2"/>
  <c r="Y759" i="2"/>
  <c r="X759" i="2"/>
  <c r="W759" i="2"/>
  <c r="V759" i="2"/>
  <c r="U759" i="2"/>
  <c r="T759" i="2"/>
  <c r="S759" i="2"/>
  <c r="R759" i="2"/>
  <c r="Q759" i="2"/>
  <c r="P759" i="2"/>
  <c r="O759" i="2"/>
  <c r="N759" i="2"/>
  <c r="M759" i="2"/>
  <c r="L759" i="2"/>
  <c r="K759" i="2"/>
  <c r="J759" i="2"/>
  <c r="I759" i="2"/>
  <c r="H759" i="2"/>
  <c r="G759" i="2"/>
  <c r="F759" i="2"/>
  <c r="E759" i="2"/>
  <c r="D759" i="2"/>
  <c r="C759" i="2"/>
  <c r="B759" i="2"/>
  <c r="AB758" i="2"/>
  <c r="AA758" i="2"/>
  <c r="Z758" i="2"/>
  <c r="Y758" i="2"/>
  <c r="X758" i="2"/>
  <c r="W758" i="2"/>
  <c r="V758" i="2"/>
  <c r="U758" i="2"/>
  <c r="T758" i="2"/>
  <c r="S758" i="2"/>
  <c r="R758" i="2"/>
  <c r="Q758" i="2"/>
  <c r="P758" i="2"/>
  <c r="O758" i="2"/>
  <c r="N758" i="2"/>
  <c r="M758" i="2"/>
  <c r="L758" i="2"/>
  <c r="K758" i="2"/>
  <c r="J758" i="2"/>
  <c r="I758" i="2"/>
  <c r="H758" i="2"/>
  <c r="G758" i="2"/>
  <c r="F758" i="2"/>
  <c r="E758" i="2"/>
  <c r="D758" i="2"/>
  <c r="C758" i="2"/>
  <c r="B758" i="2"/>
  <c r="AB757" i="2"/>
  <c r="AA757" i="2"/>
  <c r="Z757" i="2"/>
  <c r="Y757" i="2"/>
  <c r="X757" i="2"/>
  <c r="W757" i="2"/>
  <c r="V757" i="2"/>
  <c r="U757" i="2"/>
  <c r="T757" i="2"/>
  <c r="S757" i="2"/>
  <c r="R757" i="2"/>
  <c r="Q757" i="2"/>
  <c r="P757" i="2"/>
  <c r="O757" i="2"/>
  <c r="N757" i="2"/>
  <c r="M757" i="2"/>
  <c r="L757" i="2"/>
  <c r="K757" i="2"/>
  <c r="J757" i="2"/>
  <c r="I757" i="2"/>
  <c r="H757" i="2"/>
  <c r="G757" i="2"/>
  <c r="F757" i="2"/>
  <c r="E757" i="2"/>
  <c r="D757" i="2"/>
  <c r="C757" i="2"/>
  <c r="B757" i="2"/>
  <c r="AB756" i="2"/>
  <c r="AA756" i="2"/>
  <c r="Z756" i="2"/>
  <c r="Y756" i="2"/>
  <c r="X756" i="2"/>
  <c r="W756" i="2"/>
  <c r="V756" i="2"/>
  <c r="U756" i="2"/>
  <c r="T756" i="2"/>
  <c r="S756" i="2"/>
  <c r="R756" i="2"/>
  <c r="Q756" i="2"/>
  <c r="P756" i="2"/>
  <c r="O756" i="2"/>
  <c r="N756" i="2"/>
  <c r="M756" i="2"/>
  <c r="L756" i="2"/>
  <c r="K756" i="2"/>
  <c r="J756" i="2"/>
  <c r="I756" i="2"/>
  <c r="H756" i="2"/>
  <c r="G756" i="2"/>
  <c r="F756" i="2"/>
  <c r="E756" i="2"/>
  <c r="D756" i="2"/>
  <c r="C756" i="2"/>
  <c r="B756" i="2"/>
  <c r="AB755" i="2"/>
  <c r="AA755" i="2"/>
  <c r="Z755" i="2"/>
  <c r="Y755" i="2"/>
  <c r="X755" i="2"/>
  <c r="W755" i="2"/>
  <c r="V755" i="2"/>
  <c r="U755" i="2"/>
  <c r="T755" i="2"/>
  <c r="S755" i="2"/>
  <c r="R755" i="2"/>
  <c r="Q755" i="2"/>
  <c r="P755" i="2"/>
  <c r="O755" i="2"/>
  <c r="N755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AB754" i="2"/>
  <c r="AA754" i="2"/>
  <c r="Z754" i="2"/>
  <c r="Y754" i="2"/>
  <c r="X754" i="2"/>
  <c r="W754" i="2"/>
  <c r="V754" i="2"/>
  <c r="U754" i="2"/>
  <c r="T754" i="2"/>
  <c r="S754" i="2"/>
  <c r="R754" i="2"/>
  <c r="Q754" i="2"/>
  <c r="P754" i="2"/>
  <c r="O754" i="2"/>
  <c r="N754" i="2"/>
  <c r="M754" i="2"/>
  <c r="L754" i="2"/>
  <c r="K754" i="2"/>
  <c r="J754" i="2"/>
  <c r="I754" i="2"/>
  <c r="H754" i="2"/>
  <c r="G754" i="2"/>
  <c r="F754" i="2"/>
  <c r="E754" i="2"/>
  <c r="D754" i="2"/>
  <c r="C754" i="2"/>
  <c r="B754" i="2"/>
  <c r="AB753" i="2"/>
  <c r="AA753" i="2"/>
  <c r="Z753" i="2"/>
  <c r="Y753" i="2"/>
  <c r="X753" i="2"/>
  <c r="W753" i="2"/>
  <c r="V753" i="2"/>
  <c r="U753" i="2"/>
  <c r="T753" i="2"/>
  <c r="S753" i="2"/>
  <c r="R753" i="2"/>
  <c r="Q753" i="2"/>
  <c r="P753" i="2"/>
  <c r="O753" i="2"/>
  <c r="N753" i="2"/>
  <c r="M753" i="2"/>
  <c r="L753" i="2"/>
  <c r="K753" i="2"/>
  <c r="J753" i="2"/>
  <c r="I753" i="2"/>
  <c r="H753" i="2"/>
  <c r="G753" i="2"/>
  <c r="F753" i="2"/>
  <c r="E753" i="2"/>
  <c r="D753" i="2"/>
  <c r="C753" i="2"/>
  <c r="B753" i="2"/>
  <c r="AB752" i="2"/>
  <c r="AA752" i="2"/>
  <c r="Z752" i="2"/>
  <c r="Y752" i="2"/>
  <c r="X752" i="2"/>
  <c r="W752" i="2"/>
  <c r="V752" i="2"/>
  <c r="U752" i="2"/>
  <c r="T752" i="2"/>
  <c r="S752" i="2"/>
  <c r="R752" i="2"/>
  <c r="Q752" i="2"/>
  <c r="P752" i="2"/>
  <c r="O752" i="2"/>
  <c r="N752" i="2"/>
  <c r="M752" i="2"/>
  <c r="L752" i="2"/>
  <c r="K752" i="2"/>
  <c r="J752" i="2"/>
  <c r="I752" i="2"/>
  <c r="H752" i="2"/>
  <c r="G752" i="2"/>
  <c r="F752" i="2"/>
  <c r="E752" i="2"/>
  <c r="D752" i="2"/>
  <c r="C752" i="2"/>
  <c r="B752" i="2"/>
  <c r="AB751" i="2"/>
  <c r="AA751" i="2"/>
  <c r="Z751" i="2"/>
  <c r="Y751" i="2"/>
  <c r="X751" i="2"/>
  <c r="W751" i="2"/>
  <c r="V751" i="2"/>
  <c r="U751" i="2"/>
  <c r="T751" i="2"/>
  <c r="S751" i="2"/>
  <c r="R751" i="2"/>
  <c r="Q751" i="2"/>
  <c r="P751" i="2"/>
  <c r="O751" i="2"/>
  <c r="N751" i="2"/>
  <c r="M751" i="2"/>
  <c r="L751" i="2"/>
  <c r="K751" i="2"/>
  <c r="J751" i="2"/>
  <c r="I751" i="2"/>
  <c r="H751" i="2"/>
  <c r="G751" i="2"/>
  <c r="F751" i="2"/>
  <c r="E751" i="2"/>
  <c r="D751" i="2"/>
  <c r="C751" i="2"/>
  <c r="B751" i="2"/>
  <c r="AB750" i="2"/>
  <c r="AA750" i="2"/>
  <c r="Z750" i="2"/>
  <c r="Y750" i="2"/>
  <c r="X750" i="2"/>
  <c r="W750" i="2"/>
  <c r="V750" i="2"/>
  <c r="U750" i="2"/>
  <c r="T750" i="2"/>
  <c r="S750" i="2"/>
  <c r="R750" i="2"/>
  <c r="Q750" i="2"/>
  <c r="P750" i="2"/>
  <c r="O750" i="2"/>
  <c r="N750" i="2"/>
  <c r="M750" i="2"/>
  <c r="L750" i="2"/>
  <c r="K750" i="2"/>
  <c r="J750" i="2"/>
  <c r="I750" i="2"/>
  <c r="H750" i="2"/>
  <c r="G750" i="2"/>
  <c r="F750" i="2"/>
  <c r="E750" i="2"/>
  <c r="D750" i="2"/>
  <c r="C750" i="2"/>
  <c r="B750" i="2"/>
  <c r="AB749" i="2"/>
  <c r="AA749" i="2"/>
  <c r="Z749" i="2"/>
  <c r="Y749" i="2"/>
  <c r="X749" i="2"/>
  <c r="W749" i="2"/>
  <c r="V749" i="2"/>
  <c r="U749" i="2"/>
  <c r="T749" i="2"/>
  <c r="S749" i="2"/>
  <c r="R749" i="2"/>
  <c r="Q749" i="2"/>
  <c r="P749" i="2"/>
  <c r="O749" i="2"/>
  <c r="N749" i="2"/>
  <c r="M749" i="2"/>
  <c r="L749" i="2"/>
  <c r="K749" i="2"/>
  <c r="J749" i="2"/>
  <c r="I749" i="2"/>
  <c r="H749" i="2"/>
  <c r="G749" i="2"/>
  <c r="F749" i="2"/>
  <c r="E749" i="2"/>
  <c r="D749" i="2"/>
  <c r="C749" i="2"/>
  <c r="B749" i="2"/>
  <c r="AB748" i="2"/>
  <c r="AA748" i="2"/>
  <c r="Z748" i="2"/>
  <c r="Y748" i="2"/>
  <c r="X748" i="2"/>
  <c r="W748" i="2"/>
  <c r="V748" i="2"/>
  <c r="U748" i="2"/>
  <c r="T748" i="2"/>
  <c r="S748" i="2"/>
  <c r="R748" i="2"/>
  <c r="Q748" i="2"/>
  <c r="P748" i="2"/>
  <c r="O748" i="2"/>
  <c r="N748" i="2"/>
  <c r="M748" i="2"/>
  <c r="L748" i="2"/>
  <c r="K748" i="2"/>
  <c r="J748" i="2"/>
  <c r="I748" i="2"/>
  <c r="H748" i="2"/>
  <c r="G748" i="2"/>
  <c r="F748" i="2"/>
  <c r="E748" i="2"/>
  <c r="D748" i="2"/>
  <c r="C748" i="2"/>
  <c r="B748" i="2"/>
  <c r="AB747" i="2"/>
  <c r="AA747" i="2"/>
  <c r="Z747" i="2"/>
  <c r="Y747" i="2"/>
  <c r="X747" i="2"/>
  <c r="W747" i="2"/>
  <c r="V747" i="2"/>
  <c r="U747" i="2"/>
  <c r="T747" i="2"/>
  <c r="S747" i="2"/>
  <c r="R747" i="2"/>
  <c r="Q747" i="2"/>
  <c r="P747" i="2"/>
  <c r="O747" i="2"/>
  <c r="N747" i="2"/>
  <c r="M747" i="2"/>
  <c r="L747" i="2"/>
  <c r="K747" i="2"/>
  <c r="J747" i="2"/>
  <c r="I747" i="2"/>
  <c r="H747" i="2"/>
  <c r="G747" i="2"/>
  <c r="F747" i="2"/>
  <c r="E747" i="2"/>
  <c r="D747" i="2"/>
  <c r="C747" i="2"/>
  <c r="B747" i="2"/>
  <c r="AB746" i="2"/>
  <c r="AA746" i="2"/>
  <c r="Z746" i="2"/>
  <c r="Y746" i="2"/>
  <c r="X746" i="2"/>
  <c r="W746" i="2"/>
  <c r="V746" i="2"/>
  <c r="U746" i="2"/>
  <c r="T746" i="2"/>
  <c r="S746" i="2"/>
  <c r="R746" i="2"/>
  <c r="Q746" i="2"/>
  <c r="P746" i="2"/>
  <c r="O746" i="2"/>
  <c r="N746" i="2"/>
  <c r="M746" i="2"/>
  <c r="L746" i="2"/>
  <c r="K746" i="2"/>
  <c r="J746" i="2"/>
  <c r="I746" i="2"/>
  <c r="H746" i="2"/>
  <c r="G746" i="2"/>
  <c r="F746" i="2"/>
  <c r="E746" i="2"/>
  <c r="D746" i="2"/>
  <c r="C746" i="2"/>
  <c r="B746" i="2"/>
  <c r="AB745" i="2"/>
  <c r="AA745" i="2"/>
  <c r="Z745" i="2"/>
  <c r="Y745" i="2"/>
  <c r="X745" i="2"/>
  <c r="W745" i="2"/>
  <c r="V745" i="2"/>
  <c r="U745" i="2"/>
  <c r="T745" i="2"/>
  <c r="S745" i="2"/>
  <c r="R745" i="2"/>
  <c r="Q745" i="2"/>
  <c r="P745" i="2"/>
  <c r="O745" i="2"/>
  <c r="N745" i="2"/>
  <c r="M745" i="2"/>
  <c r="L745" i="2"/>
  <c r="K745" i="2"/>
  <c r="J745" i="2"/>
  <c r="I745" i="2"/>
  <c r="H745" i="2"/>
  <c r="G745" i="2"/>
  <c r="F745" i="2"/>
  <c r="E745" i="2"/>
  <c r="D745" i="2"/>
  <c r="C745" i="2"/>
  <c r="B745" i="2"/>
  <c r="AB744" i="2"/>
  <c r="AA744" i="2"/>
  <c r="Z744" i="2"/>
  <c r="Y744" i="2"/>
  <c r="X744" i="2"/>
  <c r="W744" i="2"/>
  <c r="V744" i="2"/>
  <c r="U744" i="2"/>
  <c r="T744" i="2"/>
  <c r="S744" i="2"/>
  <c r="R744" i="2"/>
  <c r="Q744" i="2"/>
  <c r="P744" i="2"/>
  <c r="O744" i="2"/>
  <c r="N744" i="2"/>
  <c r="M744" i="2"/>
  <c r="L744" i="2"/>
  <c r="K744" i="2"/>
  <c r="J744" i="2"/>
  <c r="I744" i="2"/>
  <c r="H744" i="2"/>
  <c r="G744" i="2"/>
  <c r="F744" i="2"/>
  <c r="E744" i="2"/>
  <c r="D744" i="2"/>
  <c r="C744" i="2"/>
  <c r="B744" i="2"/>
  <c r="AB743" i="2"/>
  <c r="AA743" i="2"/>
  <c r="Z743" i="2"/>
  <c r="Y743" i="2"/>
  <c r="X743" i="2"/>
  <c r="W743" i="2"/>
  <c r="V743" i="2"/>
  <c r="U743" i="2"/>
  <c r="T743" i="2"/>
  <c r="S743" i="2"/>
  <c r="R743" i="2"/>
  <c r="Q743" i="2"/>
  <c r="P743" i="2"/>
  <c r="O743" i="2"/>
  <c r="N743" i="2"/>
  <c r="M743" i="2"/>
  <c r="L743" i="2"/>
  <c r="K743" i="2"/>
  <c r="J743" i="2"/>
  <c r="I743" i="2"/>
  <c r="H743" i="2"/>
  <c r="G743" i="2"/>
  <c r="F743" i="2"/>
  <c r="E743" i="2"/>
  <c r="D743" i="2"/>
  <c r="C743" i="2"/>
  <c r="B743" i="2"/>
  <c r="AB742" i="2"/>
  <c r="AA742" i="2"/>
  <c r="Z742" i="2"/>
  <c r="Y742" i="2"/>
  <c r="X742" i="2"/>
  <c r="W742" i="2"/>
  <c r="V742" i="2"/>
  <c r="U742" i="2"/>
  <c r="T742" i="2"/>
  <c r="S742" i="2"/>
  <c r="R742" i="2"/>
  <c r="Q742" i="2"/>
  <c r="P742" i="2"/>
  <c r="O742" i="2"/>
  <c r="N742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AB741" i="2"/>
  <c r="AA741" i="2"/>
  <c r="Z741" i="2"/>
  <c r="Y741" i="2"/>
  <c r="X741" i="2"/>
  <c r="W741" i="2"/>
  <c r="V741" i="2"/>
  <c r="U741" i="2"/>
  <c r="T741" i="2"/>
  <c r="S741" i="2"/>
  <c r="R741" i="2"/>
  <c r="Q741" i="2"/>
  <c r="P741" i="2"/>
  <c r="O741" i="2"/>
  <c r="N741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AB740" i="2"/>
  <c r="AA740" i="2"/>
  <c r="Z740" i="2"/>
  <c r="Y740" i="2"/>
  <c r="X740" i="2"/>
  <c r="W740" i="2"/>
  <c r="V740" i="2"/>
  <c r="U740" i="2"/>
  <c r="T740" i="2"/>
  <c r="S740" i="2"/>
  <c r="R740" i="2"/>
  <c r="Q740" i="2"/>
  <c r="P740" i="2"/>
  <c r="O740" i="2"/>
  <c r="N740" i="2"/>
  <c r="M740" i="2"/>
  <c r="L740" i="2"/>
  <c r="K740" i="2"/>
  <c r="J740" i="2"/>
  <c r="I740" i="2"/>
  <c r="H740" i="2"/>
  <c r="G740" i="2"/>
  <c r="F740" i="2"/>
  <c r="E740" i="2"/>
  <c r="D740" i="2"/>
  <c r="C740" i="2"/>
  <c r="B740" i="2"/>
  <c r="AB739" i="2"/>
  <c r="AA739" i="2"/>
  <c r="Z739" i="2"/>
  <c r="Y739" i="2"/>
  <c r="X739" i="2"/>
  <c r="W739" i="2"/>
  <c r="V739" i="2"/>
  <c r="U739" i="2"/>
  <c r="T739" i="2"/>
  <c r="S739" i="2"/>
  <c r="R739" i="2"/>
  <c r="Q739" i="2"/>
  <c r="P739" i="2"/>
  <c r="O739" i="2"/>
  <c r="N739" i="2"/>
  <c r="M739" i="2"/>
  <c r="L739" i="2"/>
  <c r="K739" i="2"/>
  <c r="J739" i="2"/>
  <c r="I739" i="2"/>
  <c r="H739" i="2"/>
  <c r="G739" i="2"/>
  <c r="F739" i="2"/>
  <c r="E739" i="2"/>
  <c r="D739" i="2"/>
  <c r="C739" i="2"/>
  <c r="B739" i="2"/>
  <c r="AB738" i="2"/>
  <c r="AA738" i="2"/>
  <c r="Z738" i="2"/>
  <c r="Y738" i="2"/>
  <c r="X738" i="2"/>
  <c r="W738" i="2"/>
  <c r="V738" i="2"/>
  <c r="U738" i="2"/>
  <c r="T738" i="2"/>
  <c r="S738" i="2"/>
  <c r="R738" i="2"/>
  <c r="Q738" i="2"/>
  <c r="P738" i="2"/>
  <c r="O738" i="2"/>
  <c r="N738" i="2"/>
  <c r="M738" i="2"/>
  <c r="L738" i="2"/>
  <c r="K738" i="2"/>
  <c r="J738" i="2"/>
  <c r="I738" i="2"/>
  <c r="H738" i="2"/>
  <c r="G738" i="2"/>
  <c r="F738" i="2"/>
  <c r="E738" i="2"/>
  <c r="D738" i="2"/>
  <c r="C738" i="2"/>
  <c r="B738" i="2"/>
  <c r="AB737" i="2"/>
  <c r="AA737" i="2"/>
  <c r="Z737" i="2"/>
  <c r="Y737" i="2"/>
  <c r="X737" i="2"/>
  <c r="W737" i="2"/>
  <c r="V737" i="2"/>
  <c r="U737" i="2"/>
  <c r="T737" i="2"/>
  <c r="S737" i="2"/>
  <c r="R737" i="2"/>
  <c r="Q737" i="2"/>
  <c r="P737" i="2"/>
  <c r="O737" i="2"/>
  <c r="N737" i="2"/>
  <c r="M737" i="2"/>
  <c r="L737" i="2"/>
  <c r="K737" i="2"/>
  <c r="J737" i="2"/>
  <c r="I737" i="2"/>
  <c r="H737" i="2"/>
  <c r="G737" i="2"/>
  <c r="F737" i="2"/>
  <c r="E737" i="2"/>
  <c r="D737" i="2"/>
  <c r="C737" i="2"/>
  <c r="B737" i="2"/>
  <c r="AB736" i="2"/>
  <c r="AA736" i="2"/>
  <c r="Z736" i="2"/>
  <c r="Y736" i="2"/>
  <c r="X736" i="2"/>
  <c r="W736" i="2"/>
  <c r="V736" i="2"/>
  <c r="U736" i="2"/>
  <c r="T736" i="2"/>
  <c r="S736" i="2"/>
  <c r="R736" i="2"/>
  <c r="Q736" i="2"/>
  <c r="P736" i="2"/>
  <c r="O736" i="2"/>
  <c r="N736" i="2"/>
  <c r="M736" i="2"/>
  <c r="L736" i="2"/>
  <c r="K736" i="2"/>
  <c r="J736" i="2"/>
  <c r="I736" i="2"/>
  <c r="H736" i="2"/>
  <c r="G736" i="2"/>
  <c r="F736" i="2"/>
  <c r="E736" i="2"/>
  <c r="D736" i="2"/>
  <c r="C736" i="2"/>
  <c r="B736" i="2"/>
  <c r="AB735" i="2"/>
  <c r="AA735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N735" i="2"/>
  <c r="M735" i="2"/>
  <c r="L735" i="2"/>
  <c r="K735" i="2"/>
  <c r="J735" i="2"/>
  <c r="I735" i="2"/>
  <c r="H735" i="2"/>
  <c r="G735" i="2"/>
  <c r="F735" i="2"/>
  <c r="E735" i="2"/>
  <c r="D735" i="2"/>
  <c r="C735" i="2"/>
  <c r="B735" i="2"/>
  <c r="AB734" i="2"/>
  <c r="AA734" i="2"/>
  <c r="Z734" i="2"/>
  <c r="Y734" i="2"/>
  <c r="X734" i="2"/>
  <c r="W734" i="2"/>
  <c r="V734" i="2"/>
  <c r="U734" i="2"/>
  <c r="T734" i="2"/>
  <c r="S734" i="2"/>
  <c r="R734" i="2"/>
  <c r="Q734" i="2"/>
  <c r="P734" i="2"/>
  <c r="O734" i="2"/>
  <c r="N734" i="2"/>
  <c r="M734" i="2"/>
  <c r="L734" i="2"/>
  <c r="K734" i="2"/>
  <c r="J734" i="2"/>
  <c r="I734" i="2"/>
  <c r="H734" i="2"/>
  <c r="G734" i="2"/>
  <c r="F734" i="2"/>
  <c r="E734" i="2"/>
  <c r="D734" i="2"/>
  <c r="C734" i="2"/>
  <c r="B734" i="2"/>
  <c r="AB733" i="2"/>
  <c r="AA733" i="2"/>
  <c r="Z733" i="2"/>
  <c r="Y733" i="2"/>
  <c r="X733" i="2"/>
  <c r="W733" i="2"/>
  <c r="V733" i="2"/>
  <c r="U733" i="2"/>
  <c r="T733" i="2"/>
  <c r="S733" i="2"/>
  <c r="R733" i="2"/>
  <c r="Q733" i="2"/>
  <c r="P733" i="2"/>
  <c r="O733" i="2"/>
  <c r="N733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AB732" i="2"/>
  <c r="AA732" i="2"/>
  <c r="Z732" i="2"/>
  <c r="Y732" i="2"/>
  <c r="X732" i="2"/>
  <c r="W732" i="2"/>
  <c r="V732" i="2"/>
  <c r="U732" i="2"/>
  <c r="T732" i="2"/>
  <c r="S732" i="2"/>
  <c r="R732" i="2"/>
  <c r="Q732" i="2"/>
  <c r="P732" i="2"/>
  <c r="O732" i="2"/>
  <c r="N732" i="2"/>
  <c r="M732" i="2"/>
  <c r="L732" i="2"/>
  <c r="K732" i="2"/>
  <c r="J732" i="2"/>
  <c r="I732" i="2"/>
  <c r="H732" i="2"/>
  <c r="G732" i="2"/>
  <c r="F732" i="2"/>
  <c r="E732" i="2"/>
  <c r="D732" i="2"/>
  <c r="C732" i="2"/>
  <c r="B732" i="2"/>
  <c r="AB731" i="2"/>
  <c r="AA731" i="2"/>
  <c r="Z731" i="2"/>
  <c r="Y731" i="2"/>
  <c r="X731" i="2"/>
  <c r="W731" i="2"/>
  <c r="V731" i="2"/>
  <c r="U731" i="2"/>
  <c r="T731" i="2"/>
  <c r="S731" i="2"/>
  <c r="R731" i="2"/>
  <c r="Q731" i="2"/>
  <c r="P731" i="2"/>
  <c r="O731" i="2"/>
  <c r="N731" i="2"/>
  <c r="M731" i="2"/>
  <c r="L731" i="2"/>
  <c r="K731" i="2"/>
  <c r="J731" i="2"/>
  <c r="I731" i="2"/>
  <c r="H731" i="2"/>
  <c r="G731" i="2"/>
  <c r="F731" i="2"/>
  <c r="E731" i="2"/>
  <c r="D731" i="2"/>
  <c r="C731" i="2"/>
  <c r="B731" i="2"/>
  <c r="AB730" i="2"/>
  <c r="AA730" i="2"/>
  <c r="Z730" i="2"/>
  <c r="Y730" i="2"/>
  <c r="X730" i="2"/>
  <c r="W730" i="2"/>
  <c r="V730" i="2"/>
  <c r="U730" i="2"/>
  <c r="T730" i="2"/>
  <c r="S730" i="2"/>
  <c r="R730" i="2"/>
  <c r="Q730" i="2"/>
  <c r="P730" i="2"/>
  <c r="O730" i="2"/>
  <c r="N730" i="2"/>
  <c r="M730" i="2"/>
  <c r="L730" i="2"/>
  <c r="K730" i="2"/>
  <c r="J730" i="2"/>
  <c r="I730" i="2"/>
  <c r="H730" i="2"/>
  <c r="G730" i="2"/>
  <c r="F730" i="2"/>
  <c r="E730" i="2"/>
  <c r="D730" i="2"/>
  <c r="C730" i="2"/>
  <c r="B730" i="2"/>
  <c r="AB729" i="2"/>
  <c r="AA729" i="2"/>
  <c r="Z729" i="2"/>
  <c r="Y729" i="2"/>
  <c r="X729" i="2"/>
  <c r="W729" i="2"/>
  <c r="V729" i="2"/>
  <c r="U729" i="2"/>
  <c r="T729" i="2"/>
  <c r="S729" i="2"/>
  <c r="R729" i="2"/>
  <c r="Q729" i="2"/>
  <c r="P729" i="2"/>
  <c r="O729" i="2"/>
  <c r="N729" i="2"/>
  <c r="M729" i="2"/>
  <c r="L729" i="2"/>
  <c r="K729" i="2"/>
  <c r="J729" i="2"/>
  <c r="I729" i="2"/>
  <c r="H729" i="2"/>
  <c r="G729" i="2"/>
  <c r="F729" i="2"/>
  <c r="E729" i="2"/>
  <c r="D729" i="2"/>
  <c r="C729" i="2"/>
  <c r="B729" i="2"/>
  <c r="AB728" i="2"/>
  <c r="AA728" i="2"/>
  <c r="Z728" i="2"/>
  <c r="Y728" i="2"/>
  <c r="X728" i="2"/>
  <c r="W728" i="2"/>
  <c r="V728" i="2"/>
  <c r="U728" i="2"/>
  <c r="T728" i="2"/>
  <c r="S728" i="2"/>
  <c r="R728" i="2"/>
  <c r="Q728" i="2"/>
  <c r="P728" i="2"/>
  <c r="O728" i="2"/>
  <c r="N728" i="2"/>
  <c r="M728" i="2"/>
  <c r="L728" i="2"/>
  <c r="K728" i="2"/>
  <c r="J728" i="2"/>
  <c r="I728" i="2"/>
  <c r="H728" i="2"/>
  <c r="G728" i="2"/>
  <c r="F728" i="2"/>
  <c r="E728" i="2"/>
  <c r="D728" i="2"/>
  <c r="C728" i="2"/>
  <c r="B728" i="2"/>
  <c r="AB727" i="2"/>
  <c r="AA727" i="2"/>
  <c r="Z727" i="2"/>
  <c r="Y727" i="2"/>
  <c r="X727" i="2"/>
  <c r="W727" i="2"/>
  <c r="V727" i="2"/>
  <c r="U727" i="2"/>
  <c r="T727" i="2"/>
  <c r="S727" i="2"/>
  <c r="R727" i="2"/>
  <c r="Q727" i="2"/>
  <c r="P727" i="2"/>
  <c r="O727" i="2"/>
  <c r="N727" i="2"/>
  <c r="M727" i="2"/>
  <c r="L727" i="2"/>
  <c r="K727" i="2"/>
  <c r="J727" i="2"/>
  <c r="I727" i="2"/>
  <c r="H727" i="2"/>
  <c r="G727" i="2"/>
  <c r="F727" i="2"/>
  <c r="E727" i="2"/>
  <c r="D727" i="2"/>
  <c r="C727" i="2"/>
  <c r="B727" i="2"/>
  <c r="AB726" i="2"/>
  <c r="AA726" i="2"/>
  <c r="Z726" i="2"/>
  <c r="Y726" i="2"/>
  <c r="X726" i="2"/>
  <c r="W726" i="2"/>
  <c r="V726" i="2"/>
  <c r="U726" i="2"/>
  <c r="T726" i="2"/>
  <c r="S726" i="2"/>
  <c r="R726" i="2"/>
  <c r="Q726" i="2"/>
  <c r="P726" i="2"/>
  <c r="O726" i="2"/>
  <c r="N726" i="2"/>
  <c r="M726" i="2"/>
  <c r="L726" i="2"/>
  <c r="K726" i="2"/>
  <c r="J726" i="2"/>
  <c r="I726" i="2"/>
  <c r="H726" i="2"/>
  <c r="G726" i="2"/>
  <c r="F726" i="2"/>
  <c r="E726" i="2"/>
  <c r="D726" i="2"/>
  <c r="C726" i="2"/>
  <c r="B726" i="2"/>
  <c r="AB725" i="2"/>
  <c r="AA725" i="2"/>
  <c r="Z725" i="2"/>
  <c r="Y725" i="2"/>
  <c r="X725" i="2"/>
  <c r="W725" i="2"/>
  <c r="V725" i="2"/>
  <c r="U725" i="2"/>
  <c r="T725" i="2"/>
  <c r="S725" i="2"/>
  <c r="R725" i="2"/>
  <c r="Q725" i="2"/>
  <c r="P725" i="2"/>
  <c r="O725" i="2"/>
  <c r="N725" i="2"/>
  <c r="M725" i="2"/>
  <c r="L725" i="2"/>
  <c r="K725" i="2"/>
  <c r="J725" i="2"/>
  <c r="I725" i="2"/>
  <c r="H725" i="2"/>
  <c r="G725" i="2"/>
  <c r="F725" i="2"/>
  <c r="E725" i="2"/>
  <c r="D725" i="2"/>
  <c r="C725" i="2"/>
  <c r="B725" i="2"/>
  <c r="AB724" i="2"/>
  <c r="AA724" i="2"/>
  <c r="Z724" i="2"/>
  <c r="Y724" i="2"/>
  <c r="X724" i="2"/>
  <c r="W724" i="2"/>
  <c r="V724" i="2"/>
  <c r="U724" i="2"/>
  <c r="T724" i="2"/>
  <c r="S724" i="2"/>
  <c r="R724" i="2"/>
  <c r="Q724" i="2"/>
  <c r="P724" i="2"/>
  <c r="O724" i="2"/>
  <c r="N724" i="2"/>
  <c r="M724" i="2"/>
  <c r="L724" i="2"/>
  <c r="K724" i="2"/>
  <c r="J724" i="2"/>
  <c r="I724" i="2"/>
  <c r="H724" i="2"/>
  <c r="G724" i="2"/>
  <c r="F724" i="2"/>
  <c r="E724" i="2"/>
  <c r="D724" i="2"/>
  <c r="C724" i="2"/>
  <c r="B724" i="2"/>
  <c r="AB723" i="2"/>
  <c r="AA723" i="2"/>
  <c r="Z723" i="2"/>
  <c r="Y723" i="2"/>
  <c r="X723" i="2"/>
  <c r="W723" i="2"/>
  <c r="V723" i="2"/>
  <c r="U723" i="2"/>
  <c r="T723" i="2"/>
  <c r="S723" i="2"/>
  <c r="R723" i="2"/>
  <c r="Q723" i="2"/>
  <c r="P723" i="2"/>
  <c r="O723" i="2"/>
  <c r="N723" i="2"/>
  <c r="M723" i="2"/>
  <c r="L723" i="2"/>
  <c r="K723" i="2"/>
  <c r="J723" i="2"/>
  <c r="I723" i="2"/>
  <c r="H723" i="2"/>
  <c r="G723" i="2"/>
  <c r="F723" i="2"/>
  <c r="E723" i="2"/>
  <c r="D723" i="2"/>
  <c r="C723" i="2"/>
  <c r="B723" i="2"/>
  <c r="AB722" i="2"/>
  <c r="AA722" i="2"/>
  <c r="Z722" i="2"/>
  <c r="Y722" i="2"/>
  <c r="X722" i="2"/>
  <c r="W722" i="2"/>
  <c r="V722" i="2"/>
  <c r="U722" i="2"/>
  <c r="T722" i="2"/>
  <c r="S722" i="2"/>
  <c r="R722" i="2"/>
  <c r="Q722" i="2"/>
  <c r="P722" i="2"/>
  <c r="O722" i="2"/>
  <c r="N722" i="2"/>
  <c r="M722" i="2"/>
  <c r="L722" i="2"/>
  <c r="K722" i="2"/>
  <c r="J722" i="2"/>
  <c r="I722" i="2"/>
  <c r="H722" i="2"/>
  <c r="G722" i="2"/>
  <c r="F722" i="2"/>
  <c r="E722" i="2"/>
  <c r="D722" i="2"/>
  <c r="C722" i="2"/>
  <c r="B722" i="2"/>
  <c r="AB721" i="2"/>
  <c r="AA721" i="2"/>
  <c r="Z721" i="2"/>
  <c r="Y721" i="2"/>
  <c r="X721" i="2"/>
  <c r="W721" i="2"/>
  <c r="V721" i="2"/>
  <c r="U721" i="2"/>
  <c r="T721" i="2"/>
  <c r="S721" i="2"/>
  <c r="R721" i="2"/>
  <c r="Q721" i="2"/>
  <c r="P721" i="2"/>
  <c r="O721" i="2"/>
  <c r="N721" i="2"/>
  <c r="M721" i="2"/>
  <c r="L721" i="2"/>
  <c r="K721" i="2"/>
  <c r="J721" i="2"/>
  <c r="I721" i="2"/>
  <c r="H721" i="2"/>
  <c r="G721" i="2"/>
  <c r="F721" i="2"/>
  <c r="E721" i="2"/>
  <c r="D721" i="2"/>
  <c r="C721" i="2"/>
  <c r="B721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H720" i="2"/>
  <c r="G720" i="2"/>
  <c r="F720" i="2"/>
  <c r="E720" i="2"/>
  <c r="D720" i="2"/>
  <c r="C720" i="2"/>
  <c r="B720" i="2"/>
  <c r="AB719" i="2"/>
  <c r="AA719" i="2"/>
  <c r="Z719" i="2"/>
  <c r="Y719" i="2"/>
  <c r="X719" i="2"/>
  <c r="W719" i="2"/>
  <c r="V719" i="2"/>
  <c r="U719" i="2"/>
  <c r="T719" i="2"/>
  <c r="S719" i="2"/>
  <c r="R719" i="2"/>
  <c r="Q719" i="2"/>
  <c r="P719" i="2"/>
  <c r="O719" i="2"/>
  <c r="N719" i="2"/>
  <c r="M719" i="2"/>
  <c r="L719" i="2"/>
  <c r="K719" i="2"/>
  <c r="J719" i="2"/>
  <c r="I719" i="2"/>
  <c r="H719" i="2"/>
  <c r="G719" i="2"/>
  <c r="F719" i="2"/>
  <c r="E719" i="2"/>
  <c r="D719" i="2"/>
  <c r="C719" i="2"/>
  <c r="B719" i="2"/>
  <c r="AB718" i="2"/>
  <c r="AA718" i="2"/>
  <c r="Z718" i="2"/>
  <c r="Y718" i="2"/>
  <c r="X718" i="2"/>
  <c r="W718" i="2"/>
  <c r="V718" i="2"/>
  <c r="U718" i="2"/>
  <c r="T718" i="2"/>
  <c r="S718" i="2"/>
  <c r="R718" i="2"/>
  <c r="Q718" i="2"/>
  <c r="P718" i="2"/>
  <c r="O718" i="2"/>
  <c r="N718" i="2"/>
  <c r="M718" i="2"/>
  <c r="L718" i="2"/>
  <c r="K718" i="2"/>
  <c r="J718" i="2"/>
  <c r="I718" i="2"/>
  <c r="H718" i="2"/>
  <c r="G718" i="2"/>
  <c r="F718" i="2"/>
  <c r="E718" i="2"/>
  <c r="D718" i="2"/>
  <c r="C718" i="2"/>
  <c r="B718" i="2"/>
  <c r="AB717" i="2"/>
  <c r="AA717" i="2"/>
  <c r="Z717" i="2"/>
  <c r="Y717" i="2"/>
  <c r="X717" i="2"/>
  <c r="W717" i="2"/>
  <c r="V717" i="2"/>
  <c r="U717" i="2"/>
  <c r="T717" i="2"/>
  <c r="S717" i="2"/>
  <c r="R717" i="2"/>
  <c r="Q717" i="2"/>
  <c r="P717" i="2"/>
  <c r="O717" i="2"/>
  <c r="N717" i="2"/>
  <c r="M717" i="2"/>
  <c r="L717" i="2"/>
  <c r="K717" i="2"/>
  <c r="J717" i="2"/>
  <c r="I717" i="2"/>
  <c r="H717" i="2"/>
  <c r="G717" i="2"/>
  <c r="F717" i="2"/>
  <c r="E717" i="2"/>
  <c r="D717" i="2"/>
  <c r="C717" i="2"/>
  <c r="B717" i="2"/>
  <c r="AB716" i="2"/>
  <c r="AA716" i="2"/>
  <c r="Z716" i="2"/>
  <c r="Y716" i="2"/>
  <c r="X716" i="2"/>
  <c r="W716" i="2"/>
  <c r="V716" i="2"/>
  <c r="U716" i="2"/>
  <c r="T716" i="2"/>
  <c r="S716" i="2"/>
  <c r="R716" i="2"/>
  <c r="Q716" i="2"/>
  <c r="P716" i="2"/>
  <c r="O716" i="2"/>
  <c r="N716" i="2"/>
  <c r="M716" i="2"/>
  <c r="L716" i="2"/>
  <c r="K716" i="2"/>
  <c r="J716" i="2"/>
  <c r="I716" i="2"/>
  <c r="H716" i="2"/>
  <c r="G716" i="2"/>
  <c r="F716" i="2"/>
  <c r="E716" i="2"/>
  <c r="D716" i="2"/>
  <c r="C716" i="2"/>
  <c r="B716" i="2"/>
  <c r="AB715" i="2"/>
  <c r="AA715" i="2"/>
  <c r="Z715" i="2"/>
  <c r="Y715" i="2"/>
  <c r="X715" i="2"/>
  <c r="W715" i="2"/>
  <c r="V715" i="2"/>
  <c r="U715" i="2"/>
  <c r="T715" i="2"/>
  <c r="S715" i="2"/>
  <c r="R715" i="2"/>
  <c r="Q715" i="2"/>
  <c r="P715" i="2"/>
  <c r="O715" i="2"/>
  <c r="N715" i="2"/>
  <c r="M715" i="2"/>
  <c r="L715" i="2"/>
  <c r="K715" i="2"/>
  <c r="J715" i="2"/>
  <c r="I715" i="2"/>
  <c r="H715" i="2"/>
  <c r="G715" i="2"/>
  <c r="F715" i="2"/>
  <c r="E715" i="2"/>
  <c r="D715" i="2"/>
  <c r="C715" i="2"/>
  <c r="B715" i="2"/>
  <c r="AB714" i="2"/>
  <c r="AA714" i="2"/>
  <c r="Z714" i="2"/>
  <c r="Y714" i="2"/>
  <c r="X714" i="2"/>
  <c r="W714" i="2"/>
  <c r="V714" i="2"/>
  <c r="U714" i="2"/>
  <c r="T714" i="2"/>
  <c r="S714" i="2"/>
  <c r="R714" i="2"/>
  <c r="Q714" i="2"/>
  <c r="P714" i="2"/>
  <c r="O714" i="2"/>
  <c r="N714" i="2"/>
  <c r="M714" i="2"/>
  <c r="L714" i="2"/>
  <c r="K714" i="2"/>
  <c r="J714" i="2"/>
  <c r="I714" i="2"/>
  <c r="H714" i="2"/>
  <c r="G714" i="2"/>
  <c r="F714" i="2"/>
  <c r="E714" i="2"/>
  <c r="D714" i="2"/>
  <c r="C714" i="2"/>
  <c r="B714" i="2"/>
  <c r="AB713" i="2"/>
  <c r="AA713" i="2"/>
  <c r="Z713" i="2"/>
  <c r="Y713" i="2"/>
  <c r="X713" i="2"/>
  <c r="W713" i="2"/>
  <c r="V713" i="2"/>
  <c r="U713" i="2"/>
  <c r="T713" i="2"/>
  <c r="S713" i="2"/>
  <c r="R713" i="2"/>
  <c r="Q713" i="2"/>
  <c r="P713" i="2"/>
  <c r="O713" i="2"/>
  <c r="N713" i="2"/>
  <c r="M713" i="2"/>
  <c r="L713" i="2"/>
  <c r="K713" i="2"/>
  <c r="J713" i="2"/>
  <c r="I713" i="2"/>
  <c r="H713" i="2"/>
  <c r="G713" i="2"/>
  <c r="F713" i="2"/>
  <c r="E713" i="2"/>
  <c r="D713" i="2"/>
  <c r="C713" i="2"/>
  <c r="B713" i="2"/>
  <c r="AB712" i="2"/>
  <c r="AA712" i="2"/>
  <c r="Z712" i="2"/>
  <c r="Y712" i="2"/>
  <c r="X712" i="2"/>
  <c r="W712" i="2"/>
  <c r="V712" i="2"/>
  <c r="U712" i="2"/>
  <c r="T712" i="2"/>
  <c r="S712" i="2"/>
  <c r="R712" i="2"/>
  <c r="Q712" i="2"/>
  <c r="P712" i="2"/>
  <c r="O712" i="2"/>
  <c r="N712" i="2"/>
  <c r="M712" i="2"/>
  <c r="L712" i="2"/>
  <c r="K712" i="2"/>
  <c r="J712" i="2"/>
  <c r="I712" i="2"/>
  <c r="H712" i="2"/>
  <c r="G712" i="2"/>
  <c r="F712" i="2"/>
  <c r="E712" i="2"/>
  <c r="D712" i="2"/>
  <c r="C712" i="2"/>
  <c r="B712" i="2"/>
  <c r="AB711" i="2"/>
  <c r="AA711" i="2"/>
  <c r="Z711" i="2"/>
  <c r="Y711" i="2"/>
  <c r="X711" i="2"/>
  <c r="W711" i="2"/>
  <c r="V711" i="2"/>
  <c r="U711" i="2"/>
  <c r="T711" i="2"/>
  <c r="S711" i="2"/>
  <c r="R711" i="2"/>
  <c r="Q711" i="2"/>
  <c r="P711" i="2"/>
  <c r="O711" i="2"/>
  <c r="N711" i="2"/>
  <c r="M711" i="2"/>
  <c r="L711" i="2"/>
  <c r="K711" i="2"/>
  <c r="J711" i="2"/>
  <c r="I711" i="2"/>
  <c r="H711" i="2"/>
  <c r="G711" i="2"/>
  <c r="F711" i="2"/>
  <c r="E711" i="2"/>
  <c r="D711" i="2"/>
  <c r="C711" i="2"/>
  <c r="B711" i="2"/>
  <c r="AB710" i="2"/>
  <c r="AA710" i="2"/>
  <c r="Z710" i="2"/>
  <c r="Y710" i="2"/>
  <c r="X710" i="2"/>
  <c r="W710" i="2"/>
  <c r="V710" i="2"/>
  <c r="U710" i="2"/>
  <c r="T710" i="2"/>
  <c r="S710" i="2"/>
  <c r="R710" i="2"/>
  <c r="Q710" i="2"/>
  <c r="P710" i="2"/>
  <c r="O710" i="2"/>
  <c r="N710" i="2"/>
  <c r="M710" i="2"/>
  <c r="L710" i="2"/>
  <c r="K710" i="2"/>
  <c r="J710" i="2"/>
  <c r="I710" i="2"/>
  <c r="H710" i="2"/>
  <c r="G710" i="2"/>
  <c r="F710" i="2"/>
  <c r="E710" i="2"/>
  <c r="D710" i="2"/>
  <c r="C710" i="2"/>
  <c r="B710" i="2"/>
  <c r="AB709" i="2"/>
  <c r="AA709" i="2"/>
  <c r="Z709" i="2"/>
  <c r="Y709" i="2"/>
  <c r="X709" i="2"/>
  <c r="W709" i="2"/>
  <c r="V709" i="2"/>
  <c r="U709" i="2"/>
  <c r="T709" i="2"/>
  <c r="S709" i="2"/>
  <c r="R709" i="2"/>
  <c r="Q709" i="2"/>
  <c r="P709" i="2"/>
  <c r="O709" i="2"/>
  <c r="N709" i="2"/>
  <c r="M709" i="2"/>
  <c r="L709" i="2"/>
  <c r="K709" i="2"/>
  <c r="J709" i="2"/>
  <c r="I709" i="2"/>
  <c r="H709" i="2"/>
  <c r="G709" i="2"/>
  <c r="F709" i="2"/>
  <c r="E709" i="2"/>
  <c r="D709" i="2"/>
  <c r="C709" i="2"/>
  <c r="B709" i="2"/>
  <c r="AB708" i="2"/>
  <c r="AA708" i="2"/>
  <c r="Z708" i="2"/>
  <c r="Y708" i="2"/>
  <c r="X708" i="2"/>
  <c r="W708" i="2"/>
  <c r="V708" i="2"/>
  <c r="U708" i="2"/>
  <c r="T708" i="2"/>
  <c r="S708" i="2"/>
  <c r="R708" i="2"/>
  <c r="Q708" i="2"/>
  <c r="P708" i="2"/>
  <c r="O708" i="2"/>
  <c r="N708" i="2"/>
  <c r="M708" i="2"/>
  <c r="L708" i="2"/>
  <c r="K708" i="2"/>
  <c r="J708" i="2"/>
  <c r="I708" i="2"/>
  <c r="H708" i="2"/>
  <c r="G708" i="2"/>
  <c r="F708" i="2"/>
  <c r="E708" i="2"/>
  <c r="D708" i="2"/>
  <c r="C708" i="2"/>
  <c r="B708" i="2"/>
  <c r="AB707" i="2"/>
  <c r="AA707" i="2"/>
  <c r="Z707" i="2"/>
  <c r="Y707" i="2"/>
  <c r="X707" i="2"/>
  <c r="W707" i="2"/>
  <c r="V707" i="2"/>
  <c r="U707" i="2"/>
  <c r="T707" i="2"/>
  <c r="S707" i="2"/>
  <c r="R707" i="2"/>
  <c r="Q707" i="2"/>
  <c r="P707" i="2"/>
  <c r="O707" i="2"/>
  <c r="N707" i="2"/>
  <c r="M707" i="2"/>
  <c r="L707" i="2"/>
  <c r="K707" i="2"/>
  <c r="J707" i="2"/>
  <c r="I707" i="2"/>
  <c r="H707" i="2"/>
  <c r="G707" i="2"/>
  <c r="F707" i="2"/>
  <c r="E707" i="2"/>
  <c r="D707" i="2"/>
  <c r="C707" i="2"/>
  <c r="B707" i="2"/>
  <c r="AB706" i="2"/>
  <c r="AA706" i="2"/>
  <c r="Z706" i="2"/>
  <c r="Y706" i="2"/>
  <c r="X706" i="2"/>
  <c r="W706" i="2"/>
  <c r="V706" i="2"/>
  <c r="U706" i="2"/>
  <c r="T706" i="2"/>
  <c r="S706" i="2"/>
  <c r="R706" i="2"/>
  <c r="Q706" i="2"/>
  <c r="P706" i="2"/>
  <c r="O706" i="2"/>
  <c r="N706" i="2"/>
  <c r="M706" i="2"/>
  <c r="L706" i="2"/>
  <c r="K706" i="2"/>
  <c r="J706" i="2"/>
  <c r="I706" i="2"/>
  <c r="H706" i="2"/>
  <c r="G706" i="2"/>
  <c r="F706" i="2"/>
  <c r="E706" i="2"/>
  <c r="D706" i="2"/>
  <c r="C706" i="2"/>
  <c r="B706" i="2"/>
  <c r="AB705" i="2"/>
  <c r="AA705" i="2"/>
  <c r="Z705" i="2"/>
  <c r="Y705" i="2"/>
  <c r="X705" i="2"/>
  <c r="W705" i="2"/>
  <c r="V705" i="2"/>
  <c r="U705" i="2"/>
  <c r="T705" i="2"/>
  <c r="S705" i="2"/>
  <c r="R705" i="2"/>
  <c r="Q705" i="2"/>
  <c r="P705" i="2"/>
  <c r="O705" i="2"/>
  <c r="N705" i="2"/>
  <c r="M705" i="2"/>
  <c r="L705" i="2"/>
  <c r="K705" i="2"/>
  <c r="J705" i="2"/>
  <c r="I705" i="2"/>
  <c r="H705" i="2"/>
  <c r="G705" i="2"/>
  <c r="F705" i="2"/>
  <c r="E705" i="2"/>
  <c r="D705" i="2"/>
  <c r="C705" i="2"/>
  <c r="B705" i="2"/>
  <c r="AB704" i="2"/>
  <c r="AA704" i="2"/>
  <c r="Z704" i="2"/>
  <c r="Y704" i="2"/>
  <c r="X704" i="2"/>
  <c r="W704" i="2"/>
  <c r="V704" i="2"/>
  <c r="U704" i="2"/>
  <c r="T704" i="2"/>
  <c r="S704" i="2"/>
  <c r="R704" i="2"/>
  <c r="Q704" i="2"/>
  <c r="P704" i="2"/>
  <c r="O704" i="2"/>
  <c r="N704" i="2"/>
  <c r="M704" i="2"/>
  <c r="L704" i="2"/>
  <c r="K704" i="2"/>
  <c r="J704" i="2"/>
  <c r="I704" i="2"/>
  <c r="H704" i="2"/>
  <c r="G704" i="2"/>
  <c r="F704" i="2"/>
  <c r="E704" i="2"/>
  <c r="D704" i="2"/>
  <c r="C704" i="2"/>
  <c r="B704" i="2"/>
  <c r="AB703" i="2"/>
  <c r="AA703" i="2"/>
  <c r="Z703" i="2"/>
  <c r="Y703" i="2"/>
  <c r="X703" i="2"/>
  <c r="W703" i="2"/>
  <c r="V703" i="2"/>
  <c r="U703" i="2"/>
  <c r="T703" i="2"/>
  <c r="S703" i="2"/>
  <c r="R703" i="2"/>
  <c r="Q703" i="2"/>
  <c r="P703" i="2"/>
  <c r="O703" i="2"/>
  <c r="N703" i="2"/>
  <c r="M703" i="2"/>
  <c r="L703" i="2"/>
  <c r="K703" i="2"/>
  <c r="J703" i="2"/>
  <c r="I703" i="2"/>
  <c r="H703" i="2"/>
  <c r="G703" i="2"/>
  <c r="F703" i="2"/>
  <c r="E703" i="2"/>
  <c r="D703" i="2"/>
  <c r="C703" i="2"/>
  <c r="B703" i="2"/>
  <c r="AB702" i="2"/>
  <c r="AA702" i="2"/>
  <c r="Z702" i="2"/>
  <c r="Y702" i="2"/>
  <c r="X702" i="2"/>
  <c r="W702" i="2"/>
  <c r="V702" i="2"/>
  <c r="U702" i="2"/>
  <c r="T702" i="2"/>
  <c r="S702" i="2"/>
  <c r="R702" i="2"/>
  <c r="Q702" i="2"/>
  <c r="P702" i="2"/>
  <c r="O702" i="2"/>
  <c r="N702" i="2"/>
  <c r="M702" i="2"/>
  <c r="L702" i="2"/>
  <c r="K702" i="2"/>
  <c r="J702" i="2"/>
  <c r="I702" i="2"/>
  <c r="H702" i="2"/>
  <c r="G702" i="2"/>
  <c r="F702" i="2"/>
  <c r="E702" i="2"/>
  <c r="D702" i="2"/>
  <c r="C702" i="2"/>
  <c r="B702" i="2"/>
  <c r="AB701" i="2"/>
  <c r="AA701" i="2"/>
  <c r="Z701" i="2"/>
  <c r="Y701" i="2"/>
  <c r="X701" i="2"/>
  <c r="W701" i="2"/>
  <c r="V701" i="2"/>
  <c r="U701" i="2"/>
  <c r="T701" i="2"/>
  <c r="S701" i="2"/>
  <c r="R701" i="2"/>
  <c r="Q701" i="2"/>
  <c r="P701" i="2"/>
  <c r="O701" i="2"/>
  <c r="N701" i="2"/>
  <c r="M701" i="2"/>
  <c r="L701" i="2"/>
  <c r="K701" i="2"/>
  <c r="J701" i="2"/>
  <c r="I701" i="2"/>
  <c r="H701" i="2"/>
  <c r="G701" i="2"/>
  <c r="F701" i="2"/>
  <c r="E701" i="2"/>
  <c r="D701" i="2"/>
  <c r="C701" i="2"/>
  <c r="B701" i="2"/>
  <c r="AB700" i="2"/>
  <c r="AA700" i="2"/>
  <c r="Z700" i="2"/>
  <c r="Y700" i="2"/>
  <c r="X700" i="2"/>
  <c r="W700" i="2"/>
  <c r="V700" i="2"/>
  <c r="U700" i="2"/>
  <c r="T700" i="2"/>
  <c r="S700" i="2"/>
  <c r="R700" i="2"/>
  <c r="Q700" i="2"/>
  <c r="P700" i="2"/>
  <c r="O700" i="2"/>
  <c r="N700" i="2"/>
  <c r="M700" i="2"/>
  <c r="L700" i="2"/>
  <c r="K700" i="2"/>
  <c r="J700" i="2"/>
  <c r="I700" i="2"/>
  <c r="H700" i="2"/>
  <c r="G700" i="2"/>
  <c r="F700" i="2"/>
  <c r="E700" i="2"/>
  <c r="D700" i="2"/>
  <c r="C700" i="2"/>
  <c r="B700" i="2"/>
  <c r="AB699" i="2"/>
  <c r="AA699" i="2"/>
  <c r="Z699" i="2"/>
  <c r="Y699" i="2"/>
  <c r="X699" i="2"/>
  <c r="W699" i="2"/>
  <c r="V699" i="2"/>
  <c r="U699" i="2"/>
  <c r="T699" i="2"/>
  <c r="S699" i="2"/>
  <c r="R699" i="2"/>
  <c r="Q699" i="2"/>
  <c r="P699" i="2"/>
  <c r="O699" i="2"/>
  <c r="N699" i="2"/>
  <c r="M699" i="2"/>
  <c r="L699" i="2"/>
  <c r="K699" i="2"/>
  <c r="J699" i="2"/>
  <c r="I699" i="2"/>
  <c r="H699" i="2"/>
  <c r="G699" i="2"/>
  <c r="F699" i="2"/>
  <c r="E699" i="2"/>
  <c r="D699" i="2"/>
  <c r="C699" i="2"/>
  <c r="B699" i="2"/>
  <c r="AB698" i="2"/>
  <c r="AA698" i="2"/>
  <c r="Z698" i="2"/>
  <c r="Y698" i="2"/>
  <c r="X698" i="2"/>
  <c r="W698" i="2"/>
  <c r="V698" i="2"/>
  <c r="U698" i="2"/>
  <c r="T698" i="2"/>
  <c r="S698" i="2"/>
  <c r="R698" i="2"/>
  <c r="Q698" i="2"/>
  <c r="P698" i="2"/>
  <c r="O698" i="2"/>
  <c r="N698" i="2"/>
  <c r="M698" i="2"/>
  <c r="L698" i="2"/>
  <c r="K698" i="2"/>
  <c r="J698" i="2"/>
  <c r="I698" i="2"/>
  <c r="H698" i="2"/>
  <c r="G698" i="2"/>
  <c r="F698" i="2"/>
  <c r="E698" i="2"/>
  <c r="D698" i="2"/>
  <c r="C698" i="2"/>
  <c r="B698" i="2"/>
  <c r="AB697" i="2"/>
  <c r="AA697" i="2"/>
  <c r="Z697" i="2"/>
  <c r="Y697" i="2"/>
  <c r="X697" i="2"/>
  <c r="W697" i="2"/>
  <c r="V697" i="2"/>
  <c r="U697" i="2"/>
  <c r="T697" i="2"/>
  <c r="S697" i="2"/>
  <c r="R697" i="2"/>
  <c r="Q697" i="2"/>
  <c r="P697" i="2"/>
  <c r="O697" i="2"/>
  <c r="N697" i="2"/>
  <c r="M697" i="2"/>
  <c r="L697" i="2"/>
  <c r="K697" i="2"/>
  <c r="J697" i="2"/>
  <c r="I697" i="2"/>
  <c r="H697" i="2"/>
  <c r="G697" i="2"/>
  <c r="F697" i="2"/>
  <c r="E697" i="2"/>
  <c r="D697" i="2"/>
  <c r="C697" i="2"/>
  <c r="B697" i="2"/>
  <c r="AB696" i="2"/>
  <c r="AA696" i="2"/>
  <c r="Z696" i="2"/>
  <c r="Y696" i="2"/>
  <c r="X696" i="2"/>
  <c r="W696" i="2"/>
  <c r="V696" i="2"/>
  <c r="U696" i="2"/>
  <c r="T696" i="2"/>
  <c r="S696" i="2"/>
  <c r="R696" i="2"/>
  <c r="Q696" i="2"/>
  <c r="P696" i="2"/>
  <c r="O696" i="2"/>
  <c r="N696" i="2"/>
  <c r="M696" i="2"/>
  <c r="L696" i="2"/>
  <c r="K696" i="2"/>
  <c r="J696" i="2"/>
  <c r="I696" i="2"/>
  <c r="H696" i="2"/>
  <c r="G696" i="2"/>
  <c r="F696" i="2"/>
  <c r="E696" i="2"/>
  <c r="D696" i="2"/>
  <c r="C696" i="2"/>
  <c r="B696" i="2"/>
  <c r="AB695" i="2"/>
  <c r="AA695" i="2"/>
  <c r="Z695" i="2"/>
  <c r="Y695" i="2"/>
  <c r="X695" i="2"/>
  <c r="W695" i="2"/>
  <c r="V695" i="2"/>
  <c r="U695" i="2"/>
  <c r="T695" i="2"/>
  <c r="S695" i="2"/>
  <c r="R695" i="2"/>
  <c r="Q695" i="2"/>
  <c r="P695" i="2"/>
  <c r="O695" i="2"/>
  <c r="N695" i="2"/>
  <c r="M695" i="2"/>
  <c r="L695" i="2"/>
  <c r="K695" i="2"/>
  <c r="J695" i="2"/>
  <c r="I695" i="2"/>
  <c r="H695" i="2"/>
  <c r="G695" i="2"/>
  <c r="F695" i="2"/>
  <c r="E695" i="2"/>
  <c r="D695" i="2"/>
  <c r="C695" i="2"/>
  <c r="B695" i="2"/>
  <c r="AB694" i="2"/>
  <c r="AA694" i="2"/>
  <c r="Z694" i="2"/>
  <c r="Y694" i="2"/>
  <c r="X694" i="2"/>
  <c r="W694" i="2"/>
  <c r="V694" i="2"/>
  <c r="U694" i="2"/>
  <c r="T694" i="2"/>
  <c r="S694" i="2"/>
  <c r="R694" i="2"/>
  <c r="Q694" i="2"/>
  <c r="P694" i="2"/>
  <c r="O694" i="2"/>
  <c r="N694" i="2"/>
  <c r="M694" i="2"/>
  <c r="L694" i="2"/>
  <c r="K694" i="2"/>
  <c r="J694" i="2"/>
  <c r="I694" i="2"/>
  <c r="H694" i="2"/>
  <c r="G694" i="2"/>
  <c r="F694" i="2"/>
  <c r="E694" i="2"/>
  <c r="D694" i="2"/>
  <c r="C694" i="2"/>
  <c r="B694" i="2"/>
  <c r="AB693" i="2"/>
  <c r="AA693" i="2"/>
  <c r="Z693" i="2"/>
  <c r="Y693" i="2"/>
  <c r="X693" i="2"/>
  <c r="W693" i="2"/>
  <c r="V693" i="2"/>
  <c r="U693" i="2"/>
  <c r="T693" i="2"/>
  <c r="S693" i="2"/>
  <c r="R693" i="2"/>
  <c r="Q693" i="2"/>
  <c r="P693" i="2"/>
  <c r="O693" i="2"/>
  <c r="N693" i="2"/>
  <c r="M693" i="2"/>
  <c r="L693" i="2"/>
  <c r="K693" i="2"/>
  <c r="J693" i="2"/>
  <c r="I693" i="2"/>
  <c r="H693" i="2"/>
  <c r="G693" i="2"/>
  <c r="F693" i="2"/>
  <c r="E693" i="2"/>
  <c r="D693" i="2"/>
  <c r="C693" i="2"/>
  <c r="B693" i="2"/>
  <c r="AB692" i="2"/>
  <c r="AA692" i="2"/>
  <c r="Z692" i="2"/>
  <c r="Y692" i="2"/>
  <c r="X692" i="2"/>
  <c r="W692" i="2"/>
  <c r="V692" i="2"/>
  <c r="U692" i="2"/>
  <c r="T692" i="2"/>
  <c r="S692" i="2"/>
  <c r="R692" i="2"/>
  <c r="Q692" i="2"/>
  <c r="P692" i="2"/>
  <c r="O692" i="2"/>
  <c r="N692" i="2"/>
  <c r="M692" i="2"/>
  <c r="L692" i="2"/>
  <c r="K692" i="2"/>
  <c r="J692" i="2"/>
  <c r="I692" i="2"/>
  <c r="H692" i="2"/>
  <c r="G692" i="2"/>
  <c r="F692" i="2"/>
  <c r="E692" i="2"/>
  <c r="D692" i="2"/>
  <c r="C692" i="2"/>
  <c r="B692" i="2"/>
  <c r="AB691" i="2"/>
  <c r="AA691" i="2"/>
  <c r="Z691" i="2"/>
  <c r="Y691" i="2"/>
  <c r="X691" i="2"/>
  <c r="W691" i="2"/>
  <c r="V691" i="2"/>
  <c r="U691" i="2"/>
  <c r="T691" i="2"/>
  <c r="S691" i="2"/>
  <c r="R691" i="2"/>
  <c r="Q691" i="2"/>
  <c r="P691" i="2"/>
  <c r="O691" i="2"/>
  <c r="N691" i="2"/>
  <c r="M691" i="2"/>
  <c r="L691" i="2"/>
  <c r="K691" i="2"/>
  <c r="J691" i="2"/>
  <c r="I691" i="2"/>
  <c r="H691" i="2"/>
  <c r="G691" i="2"/>
  <c r="F691" i="2"/>
  <c r="E691" i="2"/>
  <c r="D691" i="2"/>
  <c r="C691" i="2"/>
  <c r="B691" i="2"/>
  <c r="AB690" i="2"/>
  <c r="AA690" i="2"/>
  <c r="Z690" i="2"/>
  <c r="Y690" i="2"/>
  <c r="X690" i="2"/>
  <c r="W690" i="2"/>
  <c r="V690" i="2"/>
  <c r="U690" i="2"/>
  <c r="T690" i="2"/>
  <c r="S690" i="2"/>
  <c r="R690" i="2"/>
  <c r="Q690" i="2"/>
  <c r="P690" i="2"/>
  <c r="O690" i="2"/>
  <c r="N690" i="2"/>
  <c r="M690" i="2"/>
  <c r="L690" i="2"/>
  <c r="K690" i="2"/>
  <c r="J690" i="2"/>
  <c r="I690" i="2"/>
  <c r="H690" i="2"/>
  <c r="G690" i="2"/>
  <c r="F690" i="2"/>
  <c r="E690" i="2"/>
  <c r="D690" i="2"/>
  <c r="C690" i="2"/>
  <c r="B690" i="2"/>
  <c r="AB689" i="2"/>
  <c r="AA689" i="2"/>
  <c r="Z689" i="2"/>
  <c r="Y689" i="2"/>
  <c r="X689" i="2"/>
  <c r="W689" i="2"/>
  <c r="V689" i="2"/>
  <c r="U689" i="2"/>
  <c r="T689" i="2"/>
  <c r="S689" i="2"/>
  <c r="R689" i="2"/>
  <c r="Q689" i="2"/>
  <c r="P689" i="2"/>
  <c r="O689" i="2"/>
  <c r="N689" i="2"/>
  <c r="M689" i="2"/>
  <c r="L689" i="2"/>
  <c r="K689" i="2"/>
  <c r="J689" i="2"/>
  <c r="I689" i="2"/>
  <c r="H689" i="2"/>
  <c r="G689" i="2"/>
  <c r="F689" i="2"/>
  <c r="E689" i="2"/>
  <c r="D689" i="2"/>
  <c r="C689" i="2"/>
  <c r="B689" i="2"/>
  <c r="AB688" i="2"/>
  <c r="AA688" i="2"/>
  <c r="Z688" i="2"/>
  <c r="Y688" i="2"/>
  <c r="X688" i="2"/>
  <c r="W688" i="2"/>
  <c r="V688" i="2"/>
  <c r="U688" i="2"/>
  <c r="T688" i="2"/>
  <c r="S688" i="2"/>
  <c r="R688" i="2"/>
  <c r="Q688" i="2"/>
  <c r="P688" i="2"/>
  <c r="O688" i="2"/>
  <c r="N688" i="2"/>
  <c r="M688" i="2"/>
  <c r="L688" i="2"/>
  <c r="K688" i="2"/>
  <c r="J688" i="2"/>
  <c r="I688" i="2"/>
  <c r="H688" i="2"/>
  <c r="G688" i="2"/>
  <c r="F688" i="2"/>
  <c r="E688" i="2"/>
  <c r="D688" i="2"/>
  <c r="C688" i="2"/>
  <c r="B688" i="2"/>
  <c r="AB687" i="2"/>
  <c r="AA687" i="2"/>
  <c r="Z687" i="2"/>
  <c r="Y687" i="2"/>
  <c r="X687" i="2"/>
  <c r="W687" i="2"/>
  <c r="V687" i="2"/>
  <c r="U687" i="2"/>
  <c r="T687" i="2"/>
  <c r="S687" i="2"/>
  <c r="R687" i="2"/>
  <c r="Q687" i="2"/>
  <c r="P687" i="2"/>
  <c r="O687" i="2"/>
  <c r="N687" i="2"/>
  <c r="M687" i="2"/>
  <c r="L687" i="2"/>
  <c r="K687" i="2"/>
  <c r="J687" i="2"/>
  <c r="I687" i="2"/>
  <c r="H687" i="2"/>
  <c r="G687" i="2"/>
  <c r="F687" i="2"/>
  <c r="E687" i="2"/>
  <c r="D687" i="2"/>
  <c r="C687" i="2"/>
  <c r="B687" i="2"/>
  <c r="AB686" i="2"/>
  <c r="AA686" i="2"/>
  <c r="Z686" i="2"/>
  <c r="Y686" i="2"/>
  <c r="X686" i="2"/>
  <c r="W686" i="2"/>
  <c r="V686" i="2"/>
  <c r="U686" i="2"/>
  <c r="T686" i="2"/>
  <c r="S686" i="2"/>
  <c r="R686" i="2"/>
  <c r="Q686" i="2"/>
  <c r="P686" i="2"/>
  <c r="O686" i="2"/>
  <c r="N686" i="2"/>
  <c r="M686" i="2"/>
  <c r="L686" i="2"/>
  <c r="K686" i="2"/>
  <c r="J686" i="2"/>
  <c r="I686" i="2"/>
  <c r="H686" i="2"/>
  <c r="G686" i="2"/>
  <c r="F686" i="2"/>
  <c r="E686" i="2"/>
  <c r="D686" i="2"/>
  <c r="C686" i="2"/>
  <c r="B686" i="2"/>
  <c r="AB685" i="2"/>
  <c r="AA685" i="2"/>
  <c r="Z685" i="2"/>
  <c r="Y685" i="2"/>
  <c r="X685" i="2"/>
  <c r="W685" i="2"/>
  <c r="V685" i="2"/>
  <c r="U685" i="2"/>
  <c r="T685" i="2"/>
  <c r="S685" i="2"/>
  <c r="R685" i="2"/>
  <c r="Q685" i="2"/>
  <c r="P685" i="2"/>
  <c r="O685" i="2"/>
  <c r="N685" i="2"/>
  <c r="M685" i="2"/>
  <c r="L685" i="2"/>
  <c r="K685" i="2"/>
  <c r="J685" i="2"/>
  <c r="I685" i="2"/>
  <c r="H685" i="2"/>
  <c r="G685" i="2"/>
  <c r="F685" i="2"/>
  <c r="E685" i="2"/>
  <c r="D685" i="2"/>
  <c r="C685" i="2"/>
  <c r="B685" i="2"/>
  <c r="AB684" i="2"/>
  <c r="AA684" i="2"/>
  <c r="Z684" i="2"/>
  <c r="Y684" i="2"/>
  <c r="X684" i="2"/>
  <c r="W684" i="2"/>
  <c r="V684" i="2"/>
  <c r="U684" i="2"/>
  <c r="T684" i="2"/>
  <c r="S684" i="2"/>
  <c r="R684" i="2"/>
  <c r="Q684" i="2"/>
  <c r="P684" i="2"/>
  <c r="O684" i="2"/>
  <c r="N684" i="2"/>
  <c r="M684" i="2"/>
  <c r="L684" i="2"/>
  <c r="K684" i="2"/>
  <c r="J684" i="2"/>
  <c r="I684" i="2"/>
  <c r="H684" i="2"/>
  <c r="G684" i="2"/>
  <c r="F684" i="2"/>
  <c r="E684" i="2"/>
  <c r="D684" i="2"/>
  <c r="C684" i="2"/>
  <c r="B684" i="2"/>
  <c r="AB683" i="2"/>
  <c r="AA683" i="2"/>
  <c r="Z683" i="2"/>
  <c r="Y683" i="2"/>
  <c r="X683" i="2"/>
  <c r="W683" i="2"/>
  <c r="V683" i="2"/>
  <c r="U683" i="2"/>
  <c r="T683" i="2"/>
  <c r="S683" i="2"/>
  <c r="R683" i="2"/>
  <c r="Q683" i="2"/>
  <c r="P683" i="2"/>
  <c r="O683" i="2"/>
  <c r="N683" i="2"/>
  <c r="M683" i="2"/>
  <c r="L683" i="2"/>
  <c r="K683" i="2"/>
  <c r="J683" i="2"/>
  <c r="I683" i="2"/>
  <c r="H683" i="2"/>
  <c r="G683" i="2"/>
  <c r="F683" i="2"/>
  <c r="E683" i="2"/>
  <c r="D683" i="2"/>
  <c r="C683" i="2"/>
  <c r="B683" i="2"/>
  <c r="AB682" i="2"/>
  <c r="AA682" i="2"/>
  <c r="Z682" i="2"/>
  <c r="Y682" i="2"/>
  <c r="X682" i="2"/>
  <c r="W682" i="2"/>
  <c r="V682" i="2"/>
  <c r="U682" i="2"/>
  <c r="T682" i="2"/>
  <c r="S682" i="2"/>
  <c r="R682" i="2"/>
  <c r="Q682" i="2"/>
  <c r="P682" i="2"/>
  <c r="O682" i="2"/>
  <c r="N682" i="2"/>
  <c r="M682" i="2"/>
  <c r="L682" i="2"/>
  <c r="K682" i="2"/>
  <c r="J682" i="2"/>
  <c r="I682" i="2"/>
  <c r="H682" i="2"/>
  <c r="G682" i="2"/>
  <c r="F682" i="2"/>
  <c r="E682" i="2"/>
  <c r="D682" i="2"/>
  <c r="C682" i="2"/>
  <c r="B682" i="2"/>
  <c r="AB681" i="2"/>
  <c r="AA681" i="2"/>
  <c r="Z681" i="2"/>
  <c r="Y681" i="2"/>
  <c r="X681" i="2"/>
  <c r="W681" i="2"/>
  <c r="V681" i="2"/>
  <c r="U681" i="2"/>
  <c r="T681" i="2"/>
  <c r="S681" i="2"/>
  <c r="R681" i="2"/>
  <c r="Q681" i="2"/>
  <c r="P681" i="2"/>
  <c r="O681" i="2"/>
  <c r="N681" i="2"/>
  <c r="M681" i="2"/>
  <c r="L681" i="2"/>
  <c r="K681" i="2"/>
  <c r="J681" i="2"/>
  <c r="I681" i="2"/>
  <c r="H681" i="2"/>
  <c r="G681" i="2"/>
  <c r="F681" i="2"/>
  <c r="E681" i="2"/>
  <c r="D681" i="2"/>
  <c r="C681" i="2"/>
  <c r="B681" i="2"/>
  <c r="AB680" i="2"/>
  <c r="AA680" i="2"/>
  <c r="Z680" i="2"/>
  <c r="Y680" i="2"/>
  <c r="X680" i="2"/>
  <c r="W680" i="2"/>
  <c r="V680" i="2"/>
  <c r="U680" i="2"/>
  <c r="T680" i="2"/>
  <c r="S680" i="2"/>
  <c r="R680" i="2"/>
  <c r="Q680" i="2"/>
  <c r="P680" i="2"/>
  <c r="O680" i="2"/>
  <c r="N680" i="2"/>
  <c r="M680" i="2"/>
  <c r="L680" i="2"/>
  <c r="K680" i="2"/>
  <c r="J680" i="2"/>
  <c r="I680" i="2"/>
  <c r="H680" i="2"/>
  <c r="G680" i="2"/>
  <c r="F680" i="2"/>
  <c r="E680" i="2"/>
  <c r="D680" i="2"/>
  <c r="C680" i="2"/>
  <c r="B680" i="2"/>
  <c r="AB679" i="2"/>
  <c r="AA679" i="2"/>
  <c r="Z679" i="2"/>
  <c r="Y679" i="2"/>
  <c r="X679" i="2"/>
  <c r="W679" i="2"/>
  <c r="V679" i="2"/>
  <c r="U679" i="2"/>
  <c r="T679" i="2"/>
  <c r="S679" i="2"/>
  <c r="R679" i="2"/>
  <c r="Q679" i="2"/>
  <c r="P679" i="2"/>
  <c r="O679" i="2"/>
  <c r="N679" i="2"/>
  <c r="M679" i="2"/>
  <c r="L679" i="2"/>
  <c r="K679" i="2"/>
  <c r="J679" i="2"/>
  <c r="I679" i="2"/>
  <c r="H679" i="2"/>
  <c r="G679" i="2"/>
  <c r="F679" i="2"/>
  <c r="E679" i="2"/>
  <c r="D679" i="2"/>
  <c r="C679" i="2"/>
  <c r="B679" i="2"/>
  <c r="AB678" i="2"/>
  <c r="AA678" i="2"/>
  <c r="Z678" i="2"/>
  <c r="Y678" i="2"/>
  <c r="X678" i="2"/>
  <c r="W678" i="2"/>
  <c r="V678" i="2"/>
  <c r="U678" i="2"/>
  <c r="T678" i="2"/>
  <c r="S678" i="2"/>
  <c r="R678" i="2"/>
  <c r="Q678" i="2"/>
  <c r="P678" i="2"/>
  <c r="O678" i="2"/>
  <c r="N678" i="2"/>
  <c r="M678" i="2"/>
  <c r="L678" i="2"/>
  <c r="K678" i="2"/>
  <c r="J678" i="2"/>
  <c r="I678" i="2"/>
  <c r="H678" i="2"/>
  <c r="G678" i="2"/>
  <c r="F678" i="2"/>
  <c r="E678" i="2"/>
  <c r="D678" i="2"/>
  <c r="C678" i="2"/>
  <c r="B678" i="2"/>
  <c r="AB677" i="2"/>
  <c r="AA677" i="2"/>
  <c r="Z677" i="2"/>
  <c r="Y677" i="2"/>
  <c r="X677" i="2"/>
  <c r="W677" i="2"/>
  <c r="V677" i="2"/>
  <c r="U677" i="2"/>
  <c r="T677" i="2"/>
  <c r="S677" i="2"/>
  <c r="R677" i="2"/>
  <c r="Q677" i="2"/>
  <c r="P677" i="2"/>
  <c r="O677" i="2"/>
  <c r="N677" i="2"/>
  <c r="M677" i="2"/>
  <c r="L677" i="2"/>
  <c r="K677" i="2"/>
  <c r="J677" i="2"/>
  <c r="I677" i="2"/>
  <c r="H677" i="2"/>
  <c r="G677" i="2"/>
  <c r="F677" i="2"/>
  <c r="E677" i="2"/>
  <c r="D677" i="2"/>
  <c r="C677" i="2"/>
  <c r="B677" i="2"/>
  <c r="AB676" i="2"/>
  <c r="AA676" i="2"/>
  <c r="Z676" i="2"/>
  <c r="Y676" i="2"/>
  <c r="X676" i="2"/>
  <c r="W676" i="2"/>
  <c r="V676" i="2"/>
  <c r="U676" i="2"/>
  <c r="T676" i="2"/>
  <c r="S676" i="2"/>
  <c r="R676" i="2"/>
  <c r="Q676" i="2"/>
  <c r="P676" i="2"/>
  <c r="O676" i="2"/>
  <c r="N676" i="2"/>
  <c r="M676" i="2"/>
  <c r="L676" i="2"/>
  <c r="K676" i="2"/>
  <c r="J676" i="2"/>
  <c r="I676" i="2"/>
  <c r="H676" i="2"/>
  <c r="G676" i="2"/>
  <c r="F676" i="2"/>
  <c r="E676" i="2"/>
  <c r="D676" i="2"/>
  <c r="C676" i="2"/>
  <c r="B676" i="2"/>
  <c r="AB675" i="2"/>
  <c r="AA675" i="2"/>
  <c r="Z675" i="2"/>
  <c r="Y675" i="2"/>
  <c r="X675" i="2"/>
  <c r="W675" i="2"/>
  <c r="V675" i="2"/>
  <c r="U675" i="2"/>
  <c r="T675" i="2"/>
  <c r="S675" i="2"/>
  <c r="R675" i="2"/>
  <c r="Q675" i="2"/>
  <c r="P675" i="2"/>
  <c r="O675" i="2"/>
  <c r="N675" i="2"/>
  <c r="M675" i="2"/>
  <c r="L675" i="2"/>
  <c r="K675" i="2"/>
  <c r="J675" i="2"/>
  <c r="I675" i="2"/>
  <c r="H675" i="2"/>
  <c r="G675" i="2"/>
  <c r="F675" i="2"/>
  <c r="E675" i="2"/>
  <c r="D675" i="2"/>
  <c r="C675" i="2"/>
  <c r="B675" i="2"/>
  <c r="AB674" i="2"/>
  <c r="AA674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N674" i="2"/>
  <c r="M674" i="2"/>
  <c r="L674" i="2"/>
  <c r="K674" i="2"/>
  <c r="J674" i="2"/>
  <c r="I674" i="2"/>
  <c r="H674" i="2"/>
  <c r="G674" i="2"/>
  <c r="F674" i="2"/>
  <c r="E674" i="2"/>
  <c r="D674" i="2"/>
  <c r="C674" i="2"/>
  <c r="B674" i="2"/>
  <c r="AB673" i="2"/>
  <c r="AA673" i="2"/>
  <c r="Z673" i="2"/>
  <c r="Y673" i="2"/>
  <c r="X673" i="2"/>
  <c r="W673" i="2"/>
  <c r="V673" i="2"/>
  <c r="U673" i="2"/>
  <c r="T673" i="2"/>
  <c r="S673" i="2"/>
  <c r="R673" i="2"/>
  <c r="Q673" i="2"/>
  <c r="P673" i="2"/>
  <c r="O673" i="2"/>
  <c r="N673" i="2"/>
  <c r="M673" i="2"/>
  <c r="L673" i="2"/>
  <c r="K673" i="2"/>
  <c r="J673" i="2"/>
  <c r="I673" i="2"/>
  <c r="H673" i="2"/>
  <c r="G673" i="2"/>
  <c r="F673" i="2"/>
  <c r="E673" i="2"/>
  <c r="D673" i="2"/>
  <c r="C673" i="2"/>
  <c r="B673" i="2"/>
  <c r="AB672" i="2"/>
  <c r="AA672" i="2"/>
  <c r="Z672" i="2"/>
  <c r="Y672" i="2"/>
  <c r="X672" i="2"/>
  <c r="W672" i="2"/>
  <c r="V672" i="2"/>
  <c r="U672" i="2"/>
  <c r="T672" i="2"/>
  <c r="S672" i="2"/>
  <c r="R672" i="2"/>
  <c r="Q672" i="2"/>
  <c r="P672" i="2"/>
  <c r="O672" i="2"/>
  <c r="N672" i="2"/>
  <c r="M672" i="2"/>
  <c r="L672" i="2"/>
  <c r="K672" i="2"/>
  <c r="J672" i="2"/>
  <c r="I672" i="2"/>
  <c r="H672" i="2"/>
  <c r="G672" i="2"/>
  <c r="F672" i="2"/>
  <c r="E672" i="2"/>
  <c r="D672" i="2"/>
  <c r="C672" i="2"/>
  <c r="B672" i="2"/>
  <c r="AB671" i="2"/>
  <c r="AA671" i="2"/>
  <c r="Z671" i="2"/>
  <c r="Y671" i="2"/>
  <c r="X671" i="2"/>
  <c r="W671" i="2"/>
  <c r="V671" i="2"/>
  <c r="U671" i="2"/>
  <c r="T671" i="2"/>
  <c r="S671" i="2"/>
  <c r="R671" i="2"/>
  <c r="Q671" i="2"/>
  <c r="P671" i="2"/>
  <c r="O671" i="2"/>
  <c r="N671" i="2"/>
  <c r="M671" i="2"/>
  <c r="L671" i="2"/>
  <c r="K671" i="2"/>
  <c r="J671" i="2"/>
  <c r="I671" i="2"/>
  <c r="H671" i="2"/>
  <c r="G671" i="2"/>
  <c r="F671" i="2"/>
  <c r="E671" i="2"/>
  <c r="D671" i="2"/>
  <c r="C671" i="2"/>
  <c r="B671" i="2"/>
  <c r="AB670" i="2"/>
  <c r="AA670" i="2"/>
  <c r="Z670" i="2"/>
  <c r="Y670" i="2"/>
  <c r="X670" i="2"/>
  <c r="W670" i="2"/>
  <c r="V670" i="2"/>
  <c r="U670" i="2"/>
  <c r="T670" i="2"/>
  <c r="S670" i="2"/>
  <c r="R670" i="2"/>
  <c r="Q670" i="2"/>
  <c r="P670" i="2"/>
  <c r="O670" i="2"/>
  <c r="N670" i="2"/>
  <c r="M670" i="2"/>
  <c r="L670" i="2"/>
  <c r="K670" i="2"/>
  <c r="J670" i="2"/>
  <c r="I670" i="2"/>
  <c r="H670" i="2"/>
  <c r="G670" i="2"/>
  <c r="F670" i="2"/>
  <c r="E670" i="2"/>
  <c r="D670" i="2"/>
  <c r="C670" i="2"/>
  <c r="B670" i="2"/>
  <c r="AB669" i="2"/>
  <c r="AA669" i="2"/>
  <c r="Z669" i="2"/>
  <c r="Y669" i="2"/>
  <c r="X669" i="2"/>
  <c r="W669" i="2"/>
  <c r="V669" i="2"/>
  <c r="U669" i="2"/>
  <c r="T669" i="2"/>
  <c r="S669" i="2"/>
  <c r="R669" i="2"/>
  <c r="Q669" i="2"/>
  <c r="P669" i="2"/>
  <c r="O669" i="2"/>
  <c r="N669" i="2"/>
  <c r="M669" i="2"/>
  <c r="L669" i="2"/>
  <c r="K669" i="2"/>
  <c r="J669" i="2"/>
  <c r="I669" i="2"/>
  <c r="H669" i="2"/>
  <c r="G669" i="2"/>
  <c r="F669" i="2"/>
  <c r="E669" i="2"/>
  <c r="D669" i="2"/>
  <c r="C669" i="2"/>
  <c r="B669" i="2"/>
  <c r="AB668" i="2"/>
  <c r="AA668" i="2"/>
  <c r="Z668" i="2"/>
  <c r="Y668" i="2"/>
  <c r="X668" i="2"/>
  <c r="W668" i="2"/>
  <c r="V668" i="2"/>
  <c r="U668" i="2"/>
  <c r="T668" i="2"/>
  <c r="S668" i="2"/>
  <c r="R668" i="2"/>
  <c r="Q668" i="2"/>
  <c r="P668" i="2"/>
  <c r="O668" i="2"/>
  <c r="N668" i="2"/>
  <c r="M668" i="2"/>
  <c r="L668" i="2"/>
  <c r="K668" i="2"/>
  <c r="J668" i="2"/>
  <c r="I668" i="2"/>
  <c r="H668" i="2"/>
  <c r="G668" i="2"/>
  <c r="F668" i="2"/>
  <c r="E668" i="2"/>
  <c r="D668" i="2"/>
  <c r="C668" i="2"/>
  <c r="B668" i="2"/>
  <c r="AB667" i="2"/>
  <c r="AA667" i="2"/>
  <c r="Z667" i="2"/>
  <c r="Y667" i="2"/>
  <c r="X667" i="2"/>
  <c r="W667" i="2"/>
  <c r="V667" i="2"/>
  <c r="U667" i="2"/>
  <c r="T667" i="2"/>
  <c r="S667" i="2"/>
  <c r="R667" i="2"/>
  <c r="Q667" i="2"/>
  <c r="P667" i="2"/>
  <c r="O667" i="2"/>
  <c r="N667" i="2"/>
  <c r="M667" i="2"/>
  <c r="L667" i="2"/>
  <c r="K667" i="2"/>
  <c r="J667" i="2"/>
  <c r="I667" i="2"/>
  <c r="H667" i="2"/>
  <c r="G667" i="2"/>
  <c r="F667" i="2"/>
  <c r="E667" i="2"/>
  <c r="D667" i="2"/>
  <c r="C667" i="2"/>
  <c r="B667" i="2"/>
  <c r="AB666" i="2"/>
  <c r="AA666" i="2"/>
  <c r="Z666" i="2"/>
  <c r="Y666" i="2"/>
  <c r="X666" i="2"/>
  <c r="W666" i="2"/>
  <c r="V666" i="2"/>
  <c r="U666" i="2"/>
  <c r="T666" i="2"/>
  <c r="S666" i="2"/>
  <c r="R666" i="2"/>
  <c r="Q666" i="2"/>
  <c r="P666" i="2"/>
  <c r="O666" i="2"/>
  <c r="N666" i="2"/>
  <c r="M666" i="2"/>
  <c r="L666" i="2"/>
  <c r="K666" i="2"/>
  <c r="J666" i="2"/>
  <c r="I666" i="2"/>
  <c r="H666" i="2"/>
  <c r="G666" i="2"/>
  <c r="F666" i="2"/>
  <c r="E666" i="2"/>
  <c r="D666" i="2"/>
  <c r="C666" i="2"/>
  <c r="B666" i="2"/>
  <c r="AB665" i="2"/>
  <c r="AA665" i="2"/>
  <c r="Z665" i="2"/>
  <c r="Y665" i="2"/>
  <c r="X665" i="2"/>
  <c r="W665" i="2"/>
  <c r="V665" i="2"/>
  <c r="U665" i="2"/>
  <c r="T665" i="2"/>
  <c r="S665" i="2"/>
  <c r="R665" i="2"/>
  <c r="Q665" i="2"/>
  <c r="P665" i="2"/>
  <c r="O665" i="2"/>
  <c r="N665" i="2"/>
  <c r="M665" i="2"/>
  <c r="L665" i="2"/>
  <c r="K665" i="2"/>
  <c r="J665" i="2"/>
  <c r="I665" i="2"/>
  <c r="H665" i="2"/>
  <c r="G665" i="2"/>
  <c r="F665" i="2"/>
  <c r="E665" i="2"/>
  <c r="D665" i="2"/>
  <c r="C665" i="2"/>
  <c r="B665" i="2"/>
  <c r="AB664" i="2"/>
  <c r="AA664" i="2"/>
  <c r="Z664" i="2"/>
  <c r="Y664" i="2"/>
  <c r="X664" i="2"/>
  <c r="W664" i="2"/>
  <c r="V664" i="2"/>
  <c r="U664" i="2"/>
  <c r="T664" i="2"/>
  <c r="S664" i="2"/>
  <c r="R664" i="2"/>
  <c r="Q664" i="2"/>
  <c r="P664" i="2"/>
  <c r="O664" i="2"/>
  <c r="N664" i="2"/>
  <c r="M664" i="2"/>
  <c r="L664" i="2"/>
  <c r="K664" i="2"/>
  <c r="J664" i="2"/>
  <c r="I664" i="2"/>
  <c r="H664" i="2"/>
  <c r="G664" i="2"/>
  <c r="F664" i="2"/>
  <c r="E664" i="2"/>
  <c r="D664" i="2"/>
  <c r="C664" i="2"/>
  <c r="B664" i="2"/>
  <c r="AB663" i="2"/>
  <c r="AA663" i="2"/>
  <c r="Z663" i="2"/>
  <c r="Y663" i="2"/>
  <c r="X663" i="2"/>
  <c r="W663" i="2"/>
  <c r="V663" i="2"/>
  <c r="U663" i="2"/>
  <c r="T663" i="2"/>
  <c r="S663" i="2"/>
  <c r="R663" i="2"/>
  <c r="Q663" i="2"/>
  <c r="P663" i="2"/>
  <c r="O663" i="2"/>
  <c r="N663" i="2"/>
  <c r="M663" i="2"/>
  <c r="L663" i="2"/>
  <c r="K663" i="2"/>
  <c r="J663" i="2"/>
  <c r="I663" i="2"/>
  <c r="H663" i="2"/>
  <c r="G663" i="2"/>
  <c r="F663" i="2"/>
  <c r="E663" i="2"/>
  <c r="D663" i="2"/>
  <c r="C663" i="2"/>
  <c r="B663" i="2"/>
  <c r="AB662" i="2"/>
  <c r="AA662" i="2"/>
  <c r="Z662" i="2"/>
  <c r="Y662" i="2"/>
  <c r="X662" i="2"/>
  <c r="W662" i="2"/>
  <c r="V662" i="2"/>
  <c r="U662" i="2"/>
  <c r="T662" i="2"/>
  <c r="S662" i="2"/>
  <c r="R662" i="2"/>
  <c r="Q662" i="2"/>
  <c r="P662" i="2"/>
  <c r="O662" i="2"/>
  <c r="N662" i="2"/>
  <c r="M662" i="2"/>
  <c r="L662" i="2"/>
  <c r="K662" i="2"/>
  <c r="J662" i="2"/>
  <c r="I662" i="2"/>
  <c r="H662" i="2"/>
  <c r="G662" i="2"/>
  <c r="F662" i="2"/>
  <c r="E662" i="2"/>
  <c r="D662" i="2"/>
  <c r="C662" i="2"/>
  <c r="B662" i="2"/>
  <c r="AB661" i="2"/>
  <c r="AA661" i="2"/>
  <c r="Z661" i="2"/>
  <c r="Y661" i="2"/>
  <c r="X661" i="2"/>
  <c r="W661" i="2"/>
  <c r="V661" i="2"/>
  <c r="U661" i="2"/>
  <c r="T661" i="2"/>
  <c r="S661" i="2"/>
  <c r="R661" i="2"/>
  <c r="Q661" i="2"/>
  <c r="P661" i="2"/>
  <c r="O661" i="2"/>
  <c r="N661" i="2"/>
  <c r="M661" i="2"/>
  <c r="L661" i="2"/>
  <c r="K661" i="2"/>
  <c r="J661" i="2"/>
  <c r="I661" i="2"/>
  <c r="H661" i="2"/>
  <c r="G661" i="2"/>
  <c r="F661" i="2"/>
  <c r="E661" i="2"/>
  <c r="D661" i="2"/>
  <c r="C661" i="2"/>
  <c r="B661" i="2"/>
  <c r="AB660" i="2"/>
  <c r="AA660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H660" i="2"/>
  <c r="G660" i="2"/>
  <c r="F660" i="2"/>
  <c r="E660" i="2"/>
  <c r="D660" i="2"/>
  <c r="C660" i="2"/>
  <c r="B660" i="2"/>
  <c r="AB659" i="2"/>
  <c r="AA659" i="2"/>
  <c r="Z659" i="2"/>
  <c r="Y659" i="2"/>
  <c r="X659" i="2"/>
  <c r="W659" i="2"/>
  <c r="V659" i="2"/>
  <c r="U659" i="2"/>
  <c r="T659" i="2"/>
  <c r="S659" i="2"/>
  <c r="R659" i="2"/>
  <c r="Q659" i="2"/>
  <c r="P659" i="2"/>
  <c r="O659" i="2"/>
  <c r="N659" i="2"/>
  <c r="M659" i="2"/>
  <c r="L659" i="2"/>
  <c r="K659" i="2"/>
  <c r="J659" i="2"/>
  <c r="I659" i="2"/>
  <c r="H659" i="2"/>
  <c r="G659" i="2"/>
  <c r="F659" i="2"/>
  <c r="E659" i="2"/>
  <c r="D659" i="2"/>
  <c r="C659" i="2"/>
  <c r="B659" i="2"/>
  <c r="AB658" i="2"/>
  <c r="AA658" i="2"/>
  <c r="Z658" i="2"/>
  <c r="Y658" i="2"/>
  <c r="X658" i="2"/>
  <c r="W658" i="2"/>
  <c r="V658" i="2"/>
  <c r="U658" i="2"/>
  <c r="T658" i="2"/>
  <c r="S658" i="2"/>
  <c r="R658" i="2"/>
  <c r="Q658" i="2"/>
  <c r="P658" i="2"/>
  <c r="O658" i="2"/>
  <c r="N658" i="2"/>
  <c r="M658" i="2"/>
  <c r="L658" i="2"/>
  <c r="K658" i="2"/>
  <c r="J658" i="2"/>
  <c r="I658" i="2"/>
  <c r="H658" i="2"/>
  <c r="G658" i="2"/>
  <c r="F658" i="2"/>
  <c r="E658" i="2"/>
  <c r="D658" i="2"/>
  <c r="C658" i="2"/>
  <c r="B658" i="2"/>
  <c r="AB657" i="2"/>
  <c r="AA657" i="2"/>
  <c r="Z657" i="2"/>
  <c r="Y657" i="2"/>
  <c r="X657" i="2"/>
  <c r="W657" i="2"/>
  <c r="V657" i="2"/>
  <c r="U657" i="2"/>
  <c r="T657" i="2"/>
  <c r="S657" i="2"/>
  <c r="R657" i="2"/>
  <c r="Q657" i="2"/>
  <c r="P657" i="2"/>
  <c r="O657" i="2"/>
  <c r="N657" i="2"/>
  <c r="M657" i="2"/>
  <c r="L657" i="2"/>
  <c r="K657" i="2"/>
  <c r="J657" i="2"/>
  <c r="I657" i="2"/>
  <c r="H657" i="2"/>
  <c r="G657" i="2"/>
  <c r="F657" i="2"/>
  <c r="E657" i="2"/>
  <c r="D657" i="2"/>
  <c r="C657" i="2"/>
  <c r="B657" i="2"/>
  <c r="AB656" i="2"/>
  <c r="AA656" i="2"/>
  <c r="Z656" i="2"/>
  <c r="Y656" i="2"/>
  <c r="X656" i="2"/>
  <c r="W656" i="2"/>
  <c r="V656" i="2"/>
  <c r="U656" i="2"/>
  <c r="T656" i="2"/>
  <c r="S656" i="2"/>
  <c r="R656" i="2"/>
  <c r="Q656" i="2"/>
  <c r="P656" i="2"/>
  <c r="O656" i="2"/>
  <c r="N656" i="2"/>
  <c r="M656" i="2"/>
  <c r="L656" i="2"/>
  <c r="K656" i="2"/>
  <c r="J656" i="2"/>
  <c r="I656" i="2"/>
  <c r="H656" i="2"/>
  <c r="G656" i="2"/>
  <c r="F656" i="2"/>
  <c r="E656" i="2"/>
  <c r="D656" i="2"/>
  <c r="C656" i="2"/>
  <c r="B656" i="2"/>
  <c r="AB655" i="2"/>
  <c r="AA655" i="2"/>
  <c r="Z655" i="2"/>
  <c r="Y655" i="2"/>
  <c r="X655" i="2"/>
  <c r="W655" i="2"/>
  <c r="V655" i="2"/>
  <c r="U655" i="2"/>
  <c r="T655" i="2"/>
  <c r="S655" i="2"/>
  <c r="R655" i="2"/>
  <c r="Q655" i="2"/>
  <c r="P655" i="2"/>
  <c r="O655" i="2"/>
  <c r="N655" i="2"/>
  <c r="M655" i="2"/>
  <c r="L655" i="2"/>
  <c r="K655" i="2"/>
  <c r="J655" i="2"/>
  <c r="I655" i="2"/>
  <c r="H655" i="2"/>
  <c r="G655" i="2"/>
  <c r="F655" i="2"/>
  <c r="E655" i="2"/>
  <c r="D655" i="2"/>
  <c r="C655" i="2"/>
  <c r="B655" i="2"/>
  <c r="AB654" i="2"/>
  <c r="AA654" i="2"/>
  <c r="Z654" i="2"/>
  <c r="Y654" i="2"/>
  <c r="X654" i="2"/>
  <c r="W654" i="2"/>
  <c r="V654" i="2"/>
  <c r="U654" i="2"/>
  <c r="T654" i="2"/>
  <c r="S654" i="2"/>
  <c r="R654" i="2"/>
  <c r="Q654" i="2"/>
  <c r="P654" i="2"/>
  <c r="O654" i="2"/>
  <c r="N654" i="2"/>
  <c r="M654" i="2"/>
  <c r="L654" i="2"/>
  <c r="K654" i="2"/>
  <c r="J654" i="2"/>
  <c r="I654" i="2"/>
  <c r="H654" i="2"/>
  <c r="G654" i="2"/>
  <c r="F654" i="2"/>
  <c r="E654" i="2"/>
  <c r="D654" i="2"/>
  <c r="C654" i="2"/>
  <c r="B654" i="2"/>
  <c r="AB653" i="2"/>
  <c r="AA653" i="2"/>
  <c r="Z653" i="2"/>
  <c r="Y653" i="2"/>
  <c r="X653" i="2"/>
  <c r="W653" i="2"/>
  <c r="V653" i="2"/>
  <c r="U653" i="2"/>
  <c r="T653" i="2"/>
  <c r="S653" i="2"/>
  <c r="R653" i="2"/>
  <c r="Q653" i="2"/>
  <c r="P653" i="2"/>
  <c r="O653" i="2"/>
  <c r="N653" i="2"/>
  <c r="M653" i="2"/>
  <c r="L653" i="2"/>
  <c r="K653" i="2"/>
  <c r="J653" i="2"/>
  <c r="I653" i="2"/>
  <c r="H653" i="2"/>
  <c r="G653" i="2"/>
  <c r="F653" i="2"/>
  <c r="E653" i="2"/>
  <c r="D653" i="2"/>
  <c r="C653" i="2"/>
  <c r="B653" i="2"/>
  <c r="AB652" i="2"/>
  <c r="AA652" i="2"/>
  <c r="Z652" i="2"/>
  <c r="Y652" i="2"/>
  <c r="X652" i="2"/>
  <c r="W652" i="2"/>
  <c r="V652" i="2"/>
  <c r="U652" i="2"/>
  <c r="T652" i="2"/>
  <c r="S652" i="2"/>
  <c r="R652" i="2"/>
  <c r="Q652" i="2"/>
  <c r="P652" i="2"/>
  <c r="O652" i="2"/>
  <c r="N652" i="2"/>
  <c r="M652" i="2"/>
  <c r="L652" i="2"/>
  <c r="K652" i="2"/>
  <c r="J652" i="2"/>
  <c r="I652" i="2"/>
  <c r="H652" i="2"/>
  <c r="G652" i="2"/>
  <c r="F652" i="2"/>
  <c r="E652" i="2"/>
  <c r="D652" i="2"/>
  <c r="C652" i="2"/>
  <c r="B652" i="2"/>
  <c r="AB651" i="2"/>
  <c r="AA651" i="2"/>
  <c r="Z651" i="2"/>
  <c r="Y651" i="2"/>
  <c r="X651" i="2"/>
  <c r="W651" i="2"/>
  <c r="V651" i="2"/>
  <c r="U651" i="2"/>
  <c r="T651" i="2"/>
  <c r="S651" i="2"/>
  <c r="R651" i="2"/>
  <c r="Q651" i="2"/>
  <c r="P651" i="2"/>
  <c r="O651" i="2"/>
  <c r="N651" i="2"/>
  <c r="M651" i="2"/>
  <c r="L651" i="2"/>
  <c r="K651" i="2"/>
  <c r="J651" i="2"/>
  <c r="I651" i="2"/>
  <c r="H651" i="2"/>
  <c r="G651" i="2"/>
  <c r="F651" i="2"/>
  <c r="E651" i="2"/>
  <c r="D651" i="2"/>
  <c r="C651" i="2"/>
  <c r="B651" i="2"/>
  <c r="AB650" i="2"/>
  <c r="AA650" i="2"/>
  <c r="Z650" i="2"/>
  <c r="Y650" i="2"/>
  <c r="X650" i="2"/>
  <c r="W650" i="2"/>
  <c r="V650" i="2"/>
  <c r="U650" i="2"/>
  <c r="T650" i="2"/>
  <c r="S650" i="2"/>
  <c r="R650" i="2"/>
  <c r="Q650" i="2"/>
  <c r="P650" i="2"/>
  <c r="O650" i="2"/>
  <c r="N650" i="2"/>
  <c r="M650" i="2"/>
  <c r="L650" i="2"/>
  <c r="K650" i="2"/>
  <c r="J650" i="2"/>
  <c r="I650" i="2"/>
  <c r="H650" i="2"/>
  <c r="G650" i="2"/>
  <c r="F650" i="2"/>
  <c r="E650" i="2"/>
  <c r="D650" i="2"/>
  <c r="C650" i="2"/>
  <c r="B650" i="2"/>
  <c r="AB649" i="2"/>
  <c r="AA649" i="2"/>
  <c r="Z649" i="2"/>
  <c r="Y649" i="2"/>
  <c r="X649" i="2"/>
  <c r="W649" i="2"/>
  <c r="V649" i="2"/>
  <c r="U649" i="2"/>
  <c r="T649" i="2"/>
  <c r="S649" i="2"/>
  <c r="R649" i="2"/>
  <c r="Q649" i="2"/>
  <c r="P649" i="2"/>
  <c r="O649" i="2"/>
  <c r="N649" i="2"/>
  <c r="M649" i="2"/>
  <c r="L649" i="2"/>
  <c r="K649" i="2"/>
  <c r="J649" i="2"/>
  <c r="I649" i="2"/>
  <c r="H649" i="2"/>
  <c r="G649" i="2"/>
  <c r="F649" i="2"/>
  <c r="E649" i="2"/>
  <c r="D649" i="2"/>
  <c r="C649" i="2"/>
  <c r="B649" i="2"/>
  <c r="AB648" i="2"/>
  <c r="AA648" i="2"/>
  <c r="Z648" i="2"/>
  <c r="Y648" i="2"/>
  <c r="X648" i="2"/>
  <c r="W648" i="2"/>
  <c r="V648" i="2"/>
  <c r="U648" i="2"/>
  <c r="T648" i="2"/>
  <c r="S648" i="2"/>
  <c r="R648" i="2"/>
  <c r="Q648" i="2"/>
  <c r="P648" i="2"/>
  <c r="O648" i="2"/>
  <c r="N648" i="2"/>
  <c r="M648" i="2"/>
  <c r="L648" i="2"/>
  <c r="K648" i="2"/>
  <c r="J648" i="2"/>
  <c r="I648" i="2"/>
  <c r="H648" i="2"/>
  <c r="G648" i="2"/>
  <c r="F648" i="2"/>
  <c r="E648" i="2"/>
  <c r="D648" i="2"/>
  <c r="C648" i="2"/>
  <c r="B648" i="2"/>
  <c r="AB647" i="2"/>
  <c r="AA647" i="2"/>
  <c r="Z647" i="2"/>
  <c r="Y647" i="2"/>
  <c r="X647" i="2"/>
  <c r="W647" i="2"/>
  <c r="V647" i="2"/>
  <c r="U647" i="2"/>
  <c r="T647" i="2"/>
  <c r="S647" i="2"/>
  <c r="R647" i="2"/>
  <c r="Q647" i="2"/>
  <c r="P647" i="2"/>
  <c r="O647" i="2"/>
  <c r="N647" i="2"/>
  <c r="M647" i="2"/>
  <c r="L647" i="2"/>
  <c r="K647" i="2"/>
  <c r="J647" i="2"/>
  <c r="I647" i="2"/>
  <c r="H647" i="2"/>
  <c r="G647" i="2"/>
  <c r="F647" i="2"/>
  <c r="E647" i="2"/>
  <c r="D647" i="2"/>
  <c r="C647" i="2"/>
  <c r="B647" i="2"/>
  <c r="AB646" i="2"/>
  <c r="AA646" i="2"/>
  <c r="Z646" i="2"/>
  <c r="Y646" i="2"/>
  <c r="X646" i="2"/>
  <c r="W646" i="2"/>
  <c r="V646" i="2"/>
  <c r="U646" i="2"/>
  <c r="T646" i="2"/>
  <c r="S646" i="2"/>
  <c r="R646" i="2"/>
  <c r="Q646" i="2"/>
  <c r="P646" i="2"/>
  <c r="O646" i="2"/>
  <c r="N646" i="2"/>
  <c r="M646" i="2"/>
  <c r="L646" i="2"/>
  <c r="K646" i="2"/>
  <c r="J646" i="2"/>
  <c r="I646" i="2"/>
  <c r="H646" i="2"/>
  <c r="G646" i="2"/>
  <c r="F646" i="2"/>
  <c r="E646" i="2"/>
  <c r="D646" i="2"/>
  <c r="C646" i="2"/>
  <c r="B646" i="2"/>
  <c r="AB645" i="2"/>
  <c r="AA645" i="2"/>
  <c r="Z645" i="2"/>
  <c r="Y645" i="2"/>
  <c r="X645" i="2"/>
  <c r="W645" i="2"/>
  <c r="V645" i="2"/>
  <c r="U645" i="2"/>
  <c r="T645" i="2"/>
  <c r="S645" i="2"/>
  <c r="R645" i="2"/>
  <c r="Q645" i="2"/>
  <c r="P645" i="2"/>
  <c r="O645" i="2"/>
  <c r="N645" i="2"/>
  <c r="M645" i="2"/>
  <c r="L645" i="2"/>
  <c r="K645" i="2"/>
  <c r="J645" i="2"/>
  <c r="I645" i="2"/>
  <c r="H645" i="2"/>
  <c r="G645" i="2"/>
  <c r="F645" i="2"/>
  <c r="E645" i="2"/>
  <c r="D645" i="2"/>
  <c r="C645" i="2"/>
  <c r="B645" i="2"/>
  <c r="AB644" i="2"/>
  <c r="AA644" i="2"/>
  <c r="Z644" i="2"/>
  <c r="Y644" i="2"/>
  <c r="X644" i="2"/>
  <c r="W644" i="2"/>
  <c r="V644" i="2"/>
  <c r="U644" i="2"/>
  <c r="T644" i="2"/>
  <c r="S644" i="2"/>
  <c r="R644" i="2"/>
  <c r="Q644" i="2"/>
  <c r="P644" i="2"/>
  <c r="O644" i="2"/>
  <c r="N644" i="2"/>
  <c r="M644" i="2"/>
  <c r="L644" i="2"/>
  <c r="K644" i="2"/>
  <c r="J644" i="2"/>
  <c r="I644" i="2"/>
  <c r="H644" i="2"/>
  <c r="G644" i="2"/>
  <c r="F644" i="2"/>
  <c r="E644" i="2"/>
  <c r="D644" i="2"/>
  <c r="C644" i="2"/>
  <c r="B644" i="2"/>
  <c r="AB643" i="2"/>
  <c r="AA643" i="2"/>
  <c r="Z643" i="2"/>
  <c r="Y643" i="2"/>
  <c r="X643" i="2"/>
  <c r="W643" i="2"/>
  <c r="V643" i="2"/>
  <c r="U643" i="2"/>
  <c r="T643" i="2"/>
  <c r="S643" i="2"/>
  <c r="R643" i="2"/>
  <c r="Q643" i="2"/>
  <c r="P643" i="2"/>
  <c r="O643" i="2"/>
  <c r="N643" i="2"/>
  <c r="M643" i="2"/>
  <c r="L643" i="2"/>
  <c r="K643" i="2"/>
  <c r="J643" i="2"/>
  <c r="I643" i="2"/>
  <c r="H643" i="2"/>
  <c r="G643" i="2"/>
  <c r="F643" i="2"/>
  <c r="E643" i="2"/>
  <c r="D643" i="2"/>
  <c r="C643" i="2"/>
  <c r="B643" i="2"/>
  <c r="AB642" i="2"/>
  <c r="AA642" i="2"/>
  <c r="Z642" i="2"/>
  <c r="Y642" i="2"/>
  <c r="X642" i="2"/>
  <c r="W642" i="2"/>
  <c r="V642" i="2"/>
  <c r="U642" i="2"/>
  <c r="T642" i="2"/>
  <c r="S642" i="2"/>
  <c r="R642" i="2"/>
  <c r="Q642" i="2"/>
  <c r="P642" i="2"/>
  <c r="O642" i="2"/>
  <c r="N642" i="2"/>
  <c r="M642" i="2"/>
  <c r="L642" i="2"/>
  <c r="K642" i="2"/>
  <c r="J642" i="2"/>
  <c r="I642" i="2"/>
  <c r="H642" i="2"/>
  <c r="G642" i="2"/>
  <c r="F642" i="2"/>
  <c r="E642" i="2"/>
  <c r="D642" i="2"/>
  <c r="C642" i="2"/>
  <c r="B642" i="2"/>
  <c r="AB641" i="2"/>
  <c r="AA641" i="2"/>
  <c r="Z641" i="2"/>
  <c r="Y641" i="2"/>
  <c r="X641" i="2"/>
  <c r="W641" i="2"/>
  <c r="V641" i="2"/>
  <c r="U641" i="2"/>
  <c r="T641" i="2"/>
  <c r="S641" i="2"/>
  <c r="R641" i="2"/>
  <c r="Q641" i="2"/>
  <c r="P641" i="2"/>
  <c r="O641" i="2"/>
  <c r="N641" i="2"/>
  <c r="M641" i="2"/>
  <c r="L641" i="2"/>
  <c r="K641" i="2"/>
  <c r="J641" i="2"/>
  <c r="I641" i="2"/>
  <c r="H641" i="2"/>
  <c r="G641" i="2"/>
  <c r="F641" i="2"/>
  <c r="E641" i="2"/>
  <c r="D641" i="2"/>
  <c r="C641" i="2"/>
  <c r="B641" i="2"/>
  <c r="AB640" i="2"/>
  <c r="AA640" i="2"/>
  <c r="Z640" i="2"/>
  <c r="Y640" i="2"/>
  <c r="X640" i="2"/>
  <c r="W640" i="2"/>
  <c r="V640" i="2"/>
  <c r="U640" i="2"/>
  <c r="T640" i="2"/>
  <c r="S640" i="2"/>
  <c r="R640" i="2"/>
  <c r="Q640" i="2"/>
  <c r="P640" i="2"/>
  <c r="O640" i="2"/>
  <c r="N640" i="2"/>
  <c r="M640" i="2"/>
  <c r="L640" i="2"/>
  <c r="K640" i="2"/>
  <c r="J640" i="2"/>
  <c r="I640" i="2"/>
  <c r="H640" i="2"/>
  <c r="G640" i="2"/>
  <c r="F640" i="2"/>
  <c r="E640" i="2"/>
  <c r="D640" i="2"/>
  <c r="C640" i="2"/>
  <c r="B640" i="2"/>
  <c r="AB639" i="2"/>
  <c r="AA639" i="2"/>
  <c r="Z639" i="2"/>
  <c r="Y639" i="2"/>
  <c r="X639" i="2"/>
  <c r="W639" i="2"/>
  <c r="V639" i="2"/>
  <c r="U639" i="2"/>
  <c r="T639" i="2"/>
  <c r="S639" i="2"/>
  <c r="R639" i="2"/>
  <c r="Q639" i="2"/>
  <c r="P639" i="2"/>
  <c r="O639" i="2"/>
  <c r="N639" i="2"/>
  <c r="M639" i="2"/>
  <c r="L639" i="2"/>
  <c r="K639" i="2"/>
  <c r="J639" i="2"/>
  <c r="I639" i="2"/>
  <c r="H639" i="2"/>
  <c r="G639" i="2"/>
  <c r="F639" i="2"/>
  <c r="E639" i="2"/>
  <c r="D639" i="2"/>
  <c r="C639" i="2"/>
  <c r="B639" i="2"/>
  <c r="AB638" i="2"/>
  <c r="AA638" i="2"/>
  <c r="Z638" i="2"/>
  <c r="Y638" i="2"/>
  <c r="X638" i="2"/>
  <c r="W638" i="2"/>
  <c r="V638" i="2"/>
  <c r="U638" i="2"/>
  <c r="T638" i="2"/>
  <c r="S638" i="2"/>
  <c r="R638" i="2"/>
  <c r="Q638" i="2"/>
  <c r="P638" i="2"/>
  <c r="O638" i="2"/>
  <c r="N638" i="2"/>
  <c r="M638" i="2"/>
  <c r="L638" i="2"/>
  <c r="K638" i="2"/>
  <c r="J638" i="2"/>
  <c r="I638" i="2"/>
  <c r="H638" i="2"/>
  <c r="G638" i="2"/>
  <c r="F638" i="2"/>
  <c r="E638" i="2"/>
  <c r="D638" i="2"/>
  <c r="C638" i="2"/>
  <c r="B638" i="2"/>
  <c r="AB637" i="2"/>
  <c r="AA637" i="2"/>
  <c r="Z637" i="2"/>
  <c r="Y637" i="2"/>
  <c r="X637" i="2"/>
  <c r="W637" i="2"/>
  <c r="V637" i="2"/>
  <c r="U637" i="2"/>
  <c r="T637" i="2"/>
  <c r="S637" i="2"/>
  <c r="R637" i="2"/>
  <c r="Q637" i="2"/>
  <c r="P637" i="2"/>
  <c r="O637" i="2"/>
  <c r="N637" i="2"/>
  <c r="M637" i="2"/>
  <c r="L637" i="2"/>
  <c r="K637" i="2"/>
  <c r="J637" i="2"/>
  <c r="I637" i="2"/>
  <c r="H637" i="2"/>
  <c r="G637" i="2"/>
  <c r="F637" i="2"/>
  <c r="E637" i="2"/>
  <c r="D637" i="2"/>
  <c r="C637" i="2"/>
  <c r="B637" i="2"/>
  <c r="AB636" i="2"/>
  <c r="AA636" i="2"/>
  <c r="Z636" i="2"/>
  <c r="Y636" i="2"/>
  <c r="X636" i="2"/>
  <c r="W636" i="2"/>
  <c r="V636" i="2"/>
  <c r="U636" i="2"/>
  <c r="T636" i="2"/>
  <c r="S636" i="2"/>
  <c r="R636" i="2"/>
  <c r="Q636" i="2"/>
  <c r="P636" i="2"/>
  <c r="O636" i="2"/>
  <c r="N636" i="2"/>
  <c r="M636" i="2"/>
  <c r="L636" i="2"/>
  <c r="K636" i="2"/>
  <c r="J636" i="2"/>
  <c r="I636" i="2"/>
  <c r="H636" i="2"/>
  <c r="G636" i="2"/>
  <c r="F636" i="2"/>
  <c r="E636" i="2"/>
  <c r="D636" i="2"/>
  <c r="C636" i="2"/>
  <c r="B636" i="2"/>
  <c r="AB635" i="2"/>
  <c r="AA635" i="2"/>
  <c r="Z635" i="2"/>
  <c r="Y635" i="2"/>
  <c r="X635" i="2"/>
  <c r="W635" i="2"/>
  <c r="V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H635" i="2"/>
  <c r="G635" i="2"/>
  <c r="F635" i="2"/>
  <c r="E635" i="2"/>
  <c r="D635" i="2"/>
  <c r="C635" i="2"/>
  <c r="B635" i="2"/>
  <c r="AB634" i="2"/>
  <c r="AA634" i="2"/>
  <c r="Z634" i="2"/>
  <c r="Y634" i="2"/>
  <c r="X634" i="2"/>
  <c r="W634" i="2"/>
  <c r="V634" i="2"/>
  <c r="U634" i="2"/>
  <c r="T634" i="2"/>
  <c r="S634" i="2"/>
  <c r="R634" i="2"/>
  <c r="Q634" i="2"/>
  <c r="P634" i="2"/>
  <c r="O634" i="2"/>
  <c r="N634" i="2"/>
  <c r="M634" i="2"/>
  <c r="L634" i="2"/>
  <c r="K634" i="2"/>
  <c r="J634" i="2"/>
  <c r="I634" i="2"/>
  <c r="H634" i="2"/>
  <c r="G634" i="2"/>
  <c r="F634" i="2"/>
  <c r="E634" i="2"/>
  <c r="D634" i="2"/>
  <c r="C634" i="2"/>
  <c r="B634" i="2"/>
  <c r="AB633" i="2"/>
  <c r="AA633" i="2"/>
  <c r="Z633" i="2"/>
  <c r="Y633" i="2"/>
  <c r="X633" i="2"/>
  <c r="W633" i="2"/>
  <c r="V633" i="2"/>
  <c r="U633" i="2"/>
  <c r="T633" i="2"/>
  <c r="S633" i="2"/>
  <c r="R633" i="2"/>
  <c r="Q633" i="2"/>
  <c r="P633" i="2"/>
  <c r="O633" i="2"/>
  <c r="N633" i="2"/>
  <c r="M633" i="2"/>
  <c r="L633" i="2"/>
  <c r="K633" i="2"/>
  <c r="J633" i="2"/>
  <c r="I633" i="2"/>
  <c r="H633" i="2"/>
  <c r="G633" i="2"/>
  <c r="F633" i="2"/>
  <c r="E633" i="2"/>
  <c r="D633" i="2"/>
  <c r="C633" i="2"/>
  <c r="B633" i="2"/>
  <c r="AB632" i="2"/>
  <c r="AA632" i="2"/>
  <c r="Z632" i="2"/>
  <c r="Y632" i="2"/>
  <c r="X632" i="2"/>
  <c r="W632" i="2"/>
  <c r="V632" i="2"/>
  <c r="U632" i="2"/>
  <c r="T632" i="2"/>
  <c r="S632" i="2"/>
  <c r="R632" i="2"/>
  <c r="Q632" i="2"/>
  <c r="P632" i="2"/>
  <c r="O632" i="2"/>
  <c r="N632" i="2"/>
  <c r="M632" i="2"/>
  <c r="L632" i="2"/>
  <c r="K632" i="2"/>
  <c r="J632" i="2"/>
  <c r="I632" i="2"/>
  <c r="H632" i="2"/>
  <c r="G632" i="2"/>
  <c r="F632" i="2"/>
  <c r="E632" i="2"/>
  <c r="D632" i="2"/>
  <c r="C632" i="2"/>
  <c r="B632" i="2"/>
  <c r="AB631" i="2"/>
  <c r="AA631" i="2"/>
  <c r="Z631" i="2"/>
  <c r="Y631" i="2"/>
  <c r="X631" i="2"/>
  <c r="W631" i="2"/>
  <c r="V631" i="2"/>
  <c r="U631" i="2"/>
  <c r="T631" i="2"/>
  <c r="S631" i="2"/>
  <c r="R631" i="2"/>
  <c r="Q631" i="2"/>
  <c r="P631" i="2"/>
  <c r="O631" i="2"/>
  <c r="N631" i="2"/>
  <c r="M631" i="2"/>
  <c r="L631" i="2"/>
  <c r="K631" i="2"/>
  <c r="J631" i="2"/>
  <c r="I631" i="2"/>
  <c r="H631" i="2"/>
  <c r="G631" i="2"/>
  <c r="F631" i="2"/>
  <c r="E631" i="2"/>
  <c r="D631" i="2"/>
  <c r="C631" i="2"/>
  <c r="B631" i="2"/>
  <c r="AB630" i="2"/>
  <c r="AA630" i="2"/>
  <c r="Z630" i="2"/>
  <c r="Y630" i="2"/>
  <c r="X630" i="2"/>
  <c r="W630" i="2"/>
  <c r="V630" i="2"/>
  <c r="U630" i="2"/>
  <c r="T630" i="2"/>
  <c r="S630" i="2"/>
  <c r="R630" i="2"/>
  <c r="Q630" i="2"/>
  <c r="P630" i="2"/>
  <c r="O630" i="2"/>
  <c r="N630" i="2"/>
  <c r="M630" i="2"/>
  <c r="L630" i="2"/>
  <c r="K630" i="2"/>
  <c r="J630" i="2"/>
  <c r="I630" i="2"/>
  <c r="H630" i="2"/>
  <c r="G630" i="2"/>
  <c r="F630" i="2"/>
  <c r="E630" i="2"/>
  <c r="D630" i="2"/>
  <c r="C630" i="2"/>
  <c r="B630" i="2"/>
  <c r="AB629" i="2"/>
  <c r="AA629" i="2"/>
  <c r="Z629" i="2"/>
  <c r="Y629" i="2"/>
  <c r="X629" i="2"/>
  <c r="W629" i="2"/>
  <c r="V629" i="2"/>
  <c r="U629" i="2"/>
  <c r="T629" i="2"/>
  <c r="S629" i="2"/>
  <c r="R629" i="2"/>
  <c r="Q629" i="2"/>
  <c r="P629" i="2"/>
  <c r="O629" i="2"/>
  <c r="N629" i="2"/>
  <c r="M629" i="2"/>
  <c r="L629" i="2"/>
  <c r="K629" i="2"/>
  <c r="J629" i="2"/>
  <c r="I629" i="2"/>
  <c r="H629" i="2"/>
  <c r="G629" i="2"/>
  <c r="F629" i="2"/>
  <c r="E629" i="2"/>
  <c r="D629" i="2"/>
  <c r="C629" i="2"/>
  <c r="B629" i="2"/>
  <c r="AB628" i="2"/>
  <c r="AA628" i="2"/>
  <c r="Z628" i="2"/>
  <c r="Y628" i="2"/>
  <c r="X628" i="2"/>
  <c r="W628" i="2"/>
  <c r="V628" i="2"/>
  <c r="U628" i="2"/>
  <c r="T628" i="2"/>
  <c r="S628" i="2"/>
  <c r="R628" i="2"/>
  <c r="Q628" i="2"/>
  <c r="P628" i="2"/>
  <c r="O628" i="2"/>
  <c r="N628" i="2"/>
  <c r="M628" i="2"/>
  <c r="L628" i="2"/>
  <c r="K628" i="2"/>
  <c r="J628" i="2"/>
  <c r="I628" i="2"/>
  <c r="H628" i="2"/>
  <c r="G628" i="2"/>
  <c r="F628" i="2"/>
  <c r="E628" i="2"/>
  <c r="D628" i="2"/>
  <c r="C628" i="2"/>
  <c r="B628" i="2"/>
  <c r="AB627" i="2"/>
  <c r="AA627" i="2"/>
  <c r="Z627" i="2"/>
  <c r="Y627" i="2"/>
  <c r="X627" i="2"/>
  <c r="W627" i="2"/>
  <c r="V627" i="2"/>
  <c r="U627" i="2"/>
  <c r="T627" i="2"/>
  <c r="S627" i="2"/>
  <c r="R627" i="2"/>
  <c r="Q627" i="2"/>
  <c r="P627" i="2"/>
  <c r="O627" i="2"/>
  <c r="N627" i="2"/>
  <c r="M627" i="2"/>
  <c r="L627" i="2"/>
  <c r="K627" i="2"/>
  <c r="J627" i="2"/>
  <c r="I627" i="2"/>
  <c r="H627" i="2"/>
  <c r="G627" i="2"/>
  <c r="F627" i="2"/>
  <c r="E627" i="2"/>
  <c r="D627" i="2"/>
  <c r="C627" i="2"/>
  <c r="B627" i="2"/>
  <c r="AB626" i="2"/>
  <c r="AA626" i="2"/>
  <c r="Z626" i="2"/>
  <c r="Y626" i="2"/>
  <c r="X626" i="2"/>
  <c r="W626" i="2"/>
  <c r="V626" i="2"/>
  <c r="U626" i="2"/>
  <c r="T626" i="2"/>
  <c r="S626" i="2"/>
  <c r="R626" i="2"/>
  <c r="Q626" i="2"/>
  <c r="P626" i="2"/>
  <c r="O626" i="2"/>
  <c r="N626" i="2"/>
  <c r="M626" i="2"/>
  <c r="L626" i="2"/>
  <c r="K626" i="2"/>
  <c r="J626" i="2"/>
  <c r="I626" i="2"/>
  <c r="H626" i="2"/>
  <c r="G626" i="2"/>
  <c r="F626" i="2"/>
  <c r="E626" i="2"/>
  <c r="D626" i="2"/>
  <c r="C626" i="2"/>
  <c r="B626" i="2"/>
  <c r="AB625" i="2"/>
  <c r="AA625" i="2"/>
  <c r="Z625" i="2"/>
  <c r="Y625" i="2"/>
  <c r="X625" i="2"/>
  <c r="W625" i="2"/>
  <c r="V625" i="2"/>
  <c r="U625" i="2"/>
  <c r="T625" i="2"/>
  <c r="S625" i="2"/>
  <c r="R625" i="2"/>
  <c r="Q625" i="2"/>
  <c r="P625" i="2"/>
  <c r="O625" i="2"/>
  <c r="N625" i="2"/>
  <c r="M625" i="2"/>
  <c r="L625" i="2"/>
  <c r="K625" i="2"/>
  <c r="J625" i="2"/>
  <c r="I625" i="2"/>
  <c r="H625" i="2"/>
  <c r="G625" i="2"/>
  <c r="F625" i="2"/>
  <c r="E625" i="2"/>
  <c r="D625" i="2"/>
  <c r="C625" i="2"/>
  <c r="B625" i="2"/>
  <c r="AB624" i="2"/>
  <c r="AA624" i="2"/>
  <c r="Z624" i="2"/>
  <c r="Y624" i="2"/>
  <c r="X624" i="2"/>
  <c r="W624" i="2"/>
  <c r="V624" i="2"/>
  <c r="U624" i="2"/>
  <c r="T624" i="2"/>
  <c r="S624" i="2"/>
  <c r="R624" i="2"/>
  <c r="Q624" i="2"/>
  <c r="P624" i="2"/>
  <c r="O624" i="2"/>
  <c r="N624" i="2"/>
  <c r="M624" i="2"/>
  <c r="L624" i="2"/>
  <c r="K624" i="2"/>
  <c r="J624" i="2"/>
  <c r="I624" i="2"/>
  <c r="H624" i="2"/>
  <c r="G624" i="2"/>
  <c r="F624" i="2"/>
  <c r="E624" i="2"/>
  <c r="D624" i="2"/>
  <c r="C624" i="2"/>
  <c r="B624" i="2"/>
  <c r="AB623" i="2"/>
  <c r="AA623" i="2"/>
  <c r="Z623" i="2"/>
  <c r="Y623" i="2"/>
  <c r="X623" i="2"/>
  <c r="W623" i="2"/>
  <c r="V623" i="2"/>
  <c r="U623" i="2"/>
  <c r="T623" i="2"/>
  <c r="S623" i="2"/>
  <c r="R623" i="2"/>
  <c r="Q623" i="2"/>
  <c r="P623" i="2"/>
  <c r="O623" i="2"/>
  <c r="N623" i="2"/>
  <c r="M623" i="2"/>
  <c r="L623" i="2"/>
  <c r="K623" i="2"/>
  <c r="J623" i="2"/>
  <c r="I623" i="2"/>
  <c r="H623" i="2"/>
  <c r="G623" i="2"/>
  <c r="F623" i="2"/>
  <c r="E623" i="2"/>
  <c r="D623" i="2"/>
  <c r="C623" i="2"/>
  <c r="B623" i="2"/>
  <c r="AB622" i="2"/>
  <c r="AA622" i="2"/>
  <c r="Z622" i="2"/>
  <c r="Y622" i="2"/>
  <c r="X622" i="2"/>
  <c r="W622" i="2"/>
  <c r="V622" i="2"/>
  <c r="U622" i="2"/>
  <c r="T622" i="2"/>
  <c r="S622" i="2"/>
  <c r="R622" i="2"/>
  <c r="Q622" i="2"/>
  <c r="P622" i="2"/>
  <c r="O622" i="2"/>
  <c r="N622" i="2"/>
  <c r="M622" i="2"/>
  <c r="L622" i="2"/>
  <c r="K622" i="2"/>
  <c r="J622" i="2"/>
  <c r="I622" i="2"/>
  <c r="H622" i="2"/>
  <c r="G622" i="2"/>
  <c r="F622" i="2"/>
  <c r="E622" i="2"/>
  <c r="D622" i="2"/>
  <c r="C622" i="2"/>
  <c r="B622" i="2"/>
  <c r="AB621" i="2"/>
  <c r="AA621" i="2"/>
  <c r="Z621" i="2"/>
  <c r="Y621" i="2"/>
  <c r="X621" i="2"/>
  <c r="W621" i="2"/>
  <c r="V621" i="2"/>
  <c r="U621" i="2"/>
  <c r="T621" i="2"/>
  <c r="S621" i="2"/>
  <c r="R621" i="2"/>
  <c r="Q621" i="2"/>
  <c r="P621" i="2"/>
  <c r="O621" i="2"/>
  <c r="N621" i="2"/>
  <c r="M621" i="2"/>
  <c r="L621" i="2"/>
  <c r="K621" i="2"/>
  <c r="J621" i="2"/>
  <c r="I621" i="2"/>
  <c r="H621" i="2"/>
  <c r="G621" i="2"/>
  <c r="F621" i="2"/>
  <c r="E621" i="2"/>
  <c r="D621" i="2"/>
  <c r="C621" i="2"/>
  <c r="B621" i="2"/>
  <c r="AB620" i="2"/>
  <c r="AA620" i="2"/>
  <c r="Z620" i="2"/>
  <c r="Y620" i="2"/>
  <c r="X620" i="2"/>
  <c r="W620" i="2"/>
  <c r="V620" i="2"/>
  <c r="U620" i="2"/>
  <c r="T620" i="2"/>
  <c r="S620" i="2"/>
  <c r="R620" i="2"/>
  <c r="Q620" i="2"/>
  <c r="P620" i="2"/>
  <c r="O620" i="2"/>
  <c r="N620" i="2"/>
  <c r="M620" i="2"/>
  <c r="L620" i="2"/>
  <c r="K620" i="2"/>
  <c r="J620" i="2"/>
  <c r="I620" i="2"/>
  <c r="H620" i="2"/>
  <c r="G620" i="2"/>
  <c r="F620" i="2"/>
  <c r="E620" i="2"/>
  <c r="D620" i="2"/>
  <c r="C620" i="2"/>
  <c r="B620" i="2"/>
  <c r="AB619" i="2"/>
  <c r="AA619" i="2"/>
  <c r="Z619" i="2"/>
  <c r="Y619" i="2"/>
  <c r="X619" i="2"/>
  <c r="W619" i="2"/>
  <c r="V619" i="2"/>
  <c r="U619" i="2"/>
  <c r="T619" i="2"/>
  <c r="S619" i="2"/>
  <c r="R619" i="2"/>
  <c r="Q619" i="2"/>
  <c r="P619" i="2"/>
  <c r="O619" i="2"/>
  <c r="N619" i="2"/>
  <c r="M619" i="2"/>
  <c r="L619" i="2"/>
  <c r="K619" i="2"/>
  <c r="J619" i="2"/>
  <c r="I619" i="2"/>
  <c r="H619" i="2"/>
  <c r="G619" i="2"/>
  <c r="F619" i="2"/>
  <c r="E619" i="2"/>
  <c r="D619" i="2"/>
  <c r="C619" i="2"/>
  <c r="B619" i="2"/>
  <c r="AB618" i="2"/>
  <c r="AA618" i="2"/>
  <c r="Z618" i="2"/>
  <c r="Y618" i="2"/>
  <c r="X618" i="2"/>
  <c r="W618" i="2"/>
  <c r="V618" i="2"/>
  <c r="U618" i="2"/>
  <c r="T618" i="2"/>
  <c r="S618" i="2"/>
  <c r="R618" i="2"/>
  <c r="Q618" i="2"/>
  <c r="P618" i="2"/>
  <c r="O618" i="2"/>
  <c r="N618" i="2"/>
  <c r="M618" i="2"/>
  <c r="L618" i="2"/>
  <c r="K618" i="2"/>
  <c r="J618" i="2"/>
  <c r="I618" i="2"/>
  <c r="H618" i="2"/>
  <c r="G618" i="2"/>
  <c r="F618" i="2"/>
  <c r="E618" i="2"/>
  <c r="D618" i="2"/>
  <c r="C618" i="2"/>
  <c r="B618" i="2"/>
  <c r="AB617" i="2"/>
  <c r="AA617" i="2"/>
  <c r="Z617" i="2"/>
  <c r="Y617" i="2"/>
  <c r="X617" i="2"/>
  <c r="W617" i="2"/>
  <c r="V617" i="2"/>
  <c r="U617" i="2"/>
  <c r="T617" i="2"/>
  <c r="S617" i="2"/>
  <c r="R617" i="2"/>
  <c r="Q617" i="2"/>
  <c r="P617" i="2"/>
  <c r="O617" i="2"/>
  <c r="N617" i="2"/>
  <c r="M617" i="2"/>
  <c r="L617" i="2"/>
  <c r="K617" i="2"/>
  <c r="J617" i="2"/>
  <c r="I617" i="2"/>
  <c r="H617" i="2"/>
  <c r="G617" i="2"/>
  <c r="F617" i="2"/>
  <c r="E617" i="2"/>
  <c r="D617" i="2"/>
  <c r="C617" i="2"/>
  <c r="B617" i="2"/>
  <c r="AB616" i="2"/>
  <c r="AA616" i="2"/>
  <c r="Z616" i="2"/>
  <c r="Y616" i="2"/>
  <c r="X616" i="2"/>
  <c r="W616" i="2"/>
  <c r="V616" i="2"/>
  <c r="U616" i="2"/>
  <c r="T616" i="2"/>
  <c r="S616" i="2"/>
  <c r="R616" i="2"/>
  <c r="Q616" i="2"/>
  <c r="P616" i="2"/>
  <c r="O616" i="2"/>
  <c r="N616" i="2"/>
  <c r="M616" i="2"/>
  <c r="L616" i="2"/>
  <c r="K616" i="2"/>
  <c r="J616" i="2"/>
  <c r="I616" i="2"/>
  <c r="H616" i="2"/>
  <c r="G616" i="2"/>
  <c r="F616" i="2"/>
  <c r="E616" i="2"/>
  <c r="D616" i="2"/>
  <c r="C616" i="2"/>
  <c r="B616" i="2"/>
  <c r="AB615" i="2"/>
  <c r="AA615" i="2"/>
  <c r="Z615" i="2"/>
  <c r="Y615" i="2"/>
  <c r="X615" i="2"/>
  <c r="W615" i="2"/>
  <c r="V615" i="2"/>
  <c r="U615" i="2"/>
  <c r="T615" i="2"/>
  <c r="S615" i="2"/>
  <c r="R615" i="2"/>
  <c r="Q615" i="2"/>
  <c r="P615" i="2"/>
  <c r="O615" i="2"/>
  <c r="N615" i="2"/>
  <c r="M615" i="2"/>
  <c r="L615" i="2"/>
  <c r="K615" i="2"/>
  <c r="J615" i="2"/>
  <c r="I615" i="2"/>
  <c r="H615" i="2"/>
  <c r="G615" i="2"/>
  <c r="F615" i="2"/>
  <c r="E615" i="2"/>
  <c r="D615" i="2"/>
  <c r="C615" i="2"/>
  <c r="B615" i="2"/>
  <c r="AB614" i="2"/>
  <c r="AA614" i="2"/>
  <c r="Z614" i="2"/>
  <c r="Y614" i="2"/>
  <c r="X614" i="2"/>
  <c r="W614" i="2"/>
  <c r="V614" i="2"/>
  <c r="U614" i="2"/>
  <c r="T614" i="2"/>
  <c r="S614" i="2"/>
  <c r="R614" i="2"/>
  <c r="Q614" i="2"/>
  <c r="P614" i="2"/>
  <c r="O614" i="2"/>
  <c r="N614" i="2"/>
  <c r="M614" i="2"/>
  <c r="L614" i="2"/>
  <c r="K614" i="2"/>
  <c r="J614" i="2"/>
  <c r="I614" i="2"/>
  <c r="H614" i="2"/>
  <c r="G614" i="2"/>
  <c r="F614" i="2"/>
  <c r="E614" i="2"/>
  <c r="D614" i="2"/>
  <c r="C614" i="2"/>
  <c r="B614" i="2"/>
  <c r="AB613" i="2"/>
  <c r="AA613" i="2"/>
  <c r="Z613" i="2"/>
  <c r="Y613" i="2"/>
  <c r="X613" i="2"/>
  <c r="W613" i="2"/>
  <c r="V613" i="2"/>
  <c r="U613" i="2"/>
  <c r="T613" i="2"/>
  <c r="S613" i="2"/>
  <c r="R613" i="2"/>
  <c r="Q613" i="2"/>
  <c r="P613" i="2"/>
  <c r="O613" i="2"/>
  <c r="N613" i="2"/>
  <c r="M613" i="2"/>
  <c r="L613" i="2"/>
  <c r="K613" i="2"/>
  <c r="J613" i="2"/>
  <c r="I613" i="2"/>
  <c r="H613" i="2"/>
  <c r="G613" i="2"/>
  <c r="F613" i="2"/>
  <c r="E613" i="2"/>
  <c r="D613" i="2"/>
  <c r="C613" i="2"/>
  <c r="B613" i="2"/>
  <c r="AB612" i="2"/>
  <c r="AA612" i="2"/>
  <c r="Z612" i="2"/>
  <c r="Y612" i="2"/>
  <c r="X612" i="2"/>
  <c r="W612" i="2"/>
  <c r="V612" i="2"/>
  <c r="U612" i="2"/>
  <c r="T612" i="2"/>
  <c r="S612" i="2"/>
  <c r="R612" i="2"/>
  <c r="Q612" i="2"/>
  <c r="P612" i="2"/>
  <c r="O612" i="2"/>
  <c r="N612" i="2"/>
  <c r="M612" i="2"/>
  <c r="L612" i="2"/>
  <c r="K612" i="2"/>
  <c r="J612" i="2"/>
  <c r="I612" i="2"/>
  <c r="H612" i="2"/>
  <c r="G612" i="2"/>
  <c r="F612" i="2"/>
  <c r="E612" i="2"/>
  <c r="D612" i="2"/>
  <c r="C612" i="2"/>
  <c r="B612" i="2"/>
  <c r="AB611" i="2"/>
  <c r="AA611" i="2"/>
  <c r="Z611" i="2"/>
  <c r="Y611" i="2"/>
  <c r="X611" i="2"/>
  <c r="W611" i="2"/>
  <c r="V611" i="2"/>
  <c r="U611" i="2"/>
  <c r="T611" i="2"/>
  <c r="S611" i="2"/>
  <c r="R611" i="2"/>
  <c r="Q611" i="2"/>
  <c r="P611" i="2"/>
  <c r="O611" i="2"/>
  <c r="N611" i="2"/>
  <c r="M611" i="2"/>
  <c r="L611" i="2"/>
  <c r="K611" i="2"/>
  <c r="J611" i="2"/>
  <c r="I611" i="2"/>
  <c r="H611" i="2"/>
  <c r="G611" i="2"/>
  <c r="F611" i="2"/>
  <c r="E611" i="2"/>
  <c r="D611" i="2"/>
  <c r="C611" i="2"/>
  <c r="B611" i="2"/>
  <c r="AB610" i="2"/>
  <c r="AA610" i="2"/>
  <c r="Z610" i="2"/>
  <c r="Y610" i="2"/>
  <c r="X610" i="2"/>
  <c r="W610" i="2"/>
  <c r="V610" i="2"/>
  <c r="U610" i="2"/>
  <c r="T610" i="2"/>
  <c r="S610" i="2"/>
  <c r="R610" i="2"/>
  <c r="Q610" i="2"/>
  <c r="P610" i="2"/>
  <c r="O610" i="2"/>
  <c r="N610" i="2"/>
  <c r="M610" i="2"/>
  <c r="L610" i="2"/>
  <c r="K610" i="2"/>
  <c r="J610" i="2"/>
  <c r="I610" i="2"/>
  <c r="H610" i="2"/>
  <c r="G610" i="2"/>
  <c r="F610" i="2"/>
  <c r="E610" i="2"/>
  <c r="D610" i="2"/>
  <c r="C610" i="2"/>
  <c r="B610" i="2"/>
  <c r="AB609" i="2"/>
  <c r="AA609" i="2"/>
  <c r="Z609" i="2"/>
  <c r="Y609" i="2"/>
  <c r="X609" i="2"/>
  <c r="W609" i="2"/>
  <c r="V609" i="2"/>
  <c r="U609" i="2"/>
  <c r="T609" i="2"/>
  <c r="S609" i="2"/>
  <c r="R609" i="2"/>
  <c r="Q609" i="2"/>
  <c r="P609" i="2"/>
  <c r="O609" i="2"/>
  <c r="N609" i="2"/>
  <c r="M609" i="2"/>
  <c r="L609" i="2"/>
  <c r="K609" i="2"/>
  <c r="J609" i="2"/>
  <c r="I609" i="2"/>
  <c r="H609" i="2"/>
  <c r="G609" i="2"/>
  <c r="F609" i="2"/>
  <c r="E609" i="2"/>
  <c r="D609" i="2"/>
  <c r="C609" i="2"/>
  <c r="B609" i="2"/>
  <c r="AB608" i="2"/>
  <c r="AA608" i="2"/>
  <c r="Z608" i="2"/>
  <c r="Y608" i="2"/>
  <c r="X608" i="2"/>
  <c r="W608" i="2"/>
  <c r="V608" i="2"/>
  <c r="U608" i="2"/>
  <c r="T608" i="2"/>
  <c r="S608" i="2"/>
  <c r="R608" i="2"/>
  <c r="Q608" i="2"/>
  <c r="P608" i="2"/>
  <c r="O608" i="2"/>
  <c r="N608" i="2"/>
  <c r="M608" i="2"/>
  <c r="L608" i="2"/>
  <c r="K608" i="2"/>
  <c r="J608" i="2"/>
  <c r="I608" i="2"/>
  <c r="H608" i="2"/>
  <c r="G608" i="2"/>
  <c r="F608" i="2"/>
  <c r="E608" i="2"/>
  <c r="D608" i="2"/>
  <c r="C608" i="2"/>
  <c r="B608" i="2"/>
  <c r="AB607" i="2"/>
  <c r="AA607" i="2"/>
  <c r="Z607" i="2"/>
  <c r="Y607" i="2"/>
  <c r="X607" i="2"/>
  <c r="W607" i="2"/>
  <c r="V607" i="2"/>
  <c r="U607" i="2"/>
  <c r="T607" i="2"/>
  <c r="S607" i="2"/>
  <c r="R607" i="2"/>
  <c r="Q607" i="2"/>
  <c r="P607" i="2"/>
  <c r="O607" i="2"/>
  <c r="N607" i="2"/>
  <c r="M607" i="2"/>
  <c r="L607" i="2"/>
  <c r="K607" i="2"/>
  <c r="J607" i="2"/>
  <c r="I607" i="2"/>
  <c r="H607" i="2"/>
  <c r="G607" i="2"/>
  <c r="F607" i="2"/>
  <c r="E607" i="2"/>
  <c r="D607" i="2"/>
  <c r="C607" i="2"/>
  <c r="B607" i="2"/>
  <c r="AB606" i="2"/>
  <c r="AA606" i="2"/>
  <c r="Z606" i="2"/>
  <c r="Y606" i="2"/>
  <c r="X606" i="2"/>
  <c r="W606" i="2"/>
  <c r="V606" i="2"/>
  <c r="U606" i="2"/>
  <c r="T606" i="2"/>
  <c r="S606" i="2"/>
  <c r="R606" i="2"/>
  <c r="Q606" i="2"/>
  <c r="P606" i="2"/>
  <c r="O606" i="2"/>
  <c r="N606" i="2"/>
  <c r="M606" i="2"/>
  <c r="L606" i="2"/>
  <c r="K606" i="2"/>
  <c r="J606" i="2"/>
  <c r="I606" i="2"/>
  <c r="H606" i="2"/>
  <c r="G606" i="2"/>
  <c r="F606" i="2"/>
  <c r="E606" i="2"/>
  <c r="D606" i="2"/>
  <c r="C606" i="2"/>
  <c r="B606" i="2"/>
  <c r="AB605" i="2"/>
  <c r="AA605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N605" i="2"/>
  <c r="M605" i="2"/>
  <c r="L605" i="2"/>
  <c r="K605" i="2"/>
  <c r="J605" i="2"/>
  <c r="I605" i="2"/>
  <c r="H605" i="2"/>
  <c r="G605" i="2"/>
  <c r="F605" i="2"/>
  <c r="E605" i="2"/>
  <c r="D605" i="2"/>
  <c r="C605" i="2"/>
  <c r="B605" i="2"/>
  <c r="AB604" i="2"/>
  <c r="AA604" i="2"/>
  <c r="Z604" i="2"/>
  <c r="Y604" i="2"/>
  <c r="X604" i="2"/>
  <c r="W604" i="2"/>
  <c r="V604" i="2"/>
  <c r="U604" i="2"/>
  <c r="T604" i="2"/>
  <c r="S604" i="2"/>
  <c r="R604" i="2"/>
  <c r="Q604" i="2"/>
  <c r="P604" i="2"/>
  <c r="O604" i="2"/>
  <c r="N604" i="2"/>
  <c r="M604" i="2"/>
  <c r="L604" i="2"/>
  <c r="K604" i="2"/>
  <c r="J604" i="2"/>
  <c r="I604" i="2"/>
  <c r="H604" i="2"/>
  <c r="G604" i="2"/>
  <c r="F604" i="2"/>
  <c r="E604" i="2"/>
  <c r="D604" i="2"/>
  <c r="C604" i="2"/>
  <c r="B604" i="2"/>
  <c r="AB603" i="2"/>
  <c r="AA603" i="2"/>
  <c r="Z603" i="2"/>
  <c r="Y603" i="2"/>
  <c r="X603" i="2"/>
  <c r="W603" i="2"/>
  <c r="V603" i="2"/>
  <c r="U603" i="2"/>
  <c r="T603" i="2"/>
  <c r="S603" i="2"/>
  <c r="R603" i="2"/>
  <c r="Q603" i="2"/>
  <c r="P603" i="2"/>
  <c r="O603" i="2"/>
  <c r="N603" i="2"/>
  <c r="M603" i="2"/>
  <c r="L603" i="2"/>
  <c r="K603" i="2"/>
  <c r="J603" i="2"/>
  <c r="I603" i="2"/>
  <c r="H603" i="2"/>
  <c r="G603" i="2"/>
  <c r="F603" i="2"/>
  <c r="E603" i="2"/>
  <c r="D603" i="2"/>
  <c r="C603" i="2"/>
  <c r="B603" i="2"/>
  <c r="AB602" i="2"/>
  <c r="AA602" i="2"/>
  <c r="Z602" i="2"/>
  <c r="Y602" i="2"/>
  <c r="X602" i="2"/>
  <c r="W602" i="2"/>
  <c r="V602" i="2"/>
  <c r="U602" i="2"/>
  <c r="T602" i="2"/>
  <c r="S602" i="2"/>
  <c r="R602" i="2"/>
  <c r="Q602" i="2"/>
  <c r="P602" i="2"/>
  <c r="O602" i="2"/>
  <c r="N602" i="2"/>
  <c r="M602" i="2"/>
  <c r="L602" i="2"/>
  <c r="K602" i="2"/>
  <c r="J602" i="2"/>
  <c r="I602" i="2"/>
  <c r="H602" i="2"/>
  <c r="G602" i="2"/>
  <c r="F602" i="2"/>
  <c r="E602" i="2"/>
  <c r="D602" i="2"/>
  <c r="C602" i="2"/>
  <c r="B602" i="2"/>
  <c r="AB601" i="2"/>
  <c r="AA601" i="2"/>
  <c r="Z601" i="2"/>
  <c r="Y601" i="2"/>
  <c r="X601" i="2"/>
  <c r="W601" i="2"/>
  <c r="V601" i="2"/>
  <c r="U601" i="2"/>
  <c r="T601" i="2"/>
  <c r="S601" i="2"/>
  <c r="R601" i="2"/>
  <c r="Q601" i="2"/>
  <c r="P601" i="2"/>
  <c r="O601" i="2"/>
  <c r="N601" i="2"/>
  <c r="M601" i="2"/>
  <c r="L601" i="2"/>
  <c r="K601" i="2"/>
  <c r="J601" i="2"/>
  <c r="I601" i="2"/>
  <c r="H601" i="2"/>
  <c r="G601" i="2"/>
  <c r="F601" i="2"/>
  <c r="E601" i="2"/>
  <c r="D601" i="2"/>
  <c r="C601" i="2"/>
  <c r="B601" i="2"/>
  <c r="AB600" i="2"/>
  <c r="AA600" i="2"/>
  <c r="Z600" i="2"/>
  <c r="Y600" i="2"/>
  <c r="X600" i="2"/>
  <c r="W600" i="2"/>
  <c r="V600" i="2"/>
  <c r="U600" i="2"/>
  <c r="T600" i="2"/>
  <c r="S600" i="2"/>
  <c r="R600" i="2"/>
  <c r="Q600" i="2"/>
  <c r="P600" i="2"/>
  <c r="O600" i="2"/>
  <c r="N600" i="2"/>
  <c r="M600" i="2"/>
  <c r="L600" i="2"/>
  <c r="K600" i="2"/>
  <c r="J600" i="2"/>
  <c r="I600" i="2"/>
  <c r="H600" i="2"/>
  <c r="G600" i="2"/>
  <c r="F600" i="2"/>
  <c r="E600" i="2"/>
  <c r="D600" i="2"/>
  <c r="C600" i="2"/>
  <c r="B600" i="2"/>
  <c r="AB599" i="2"/>
  <c r="AA599" i="2"/>
  <c r="Z599" i="2"/>
  <c r="Y599" i="2"/>
  <c r="X599" i="2"/>
  <c r="W599" i="2"/>
  <c r="V599" i="2"/>
  <c r="U599" i="2"/>
  <c r="T599" i="2"/>
  <c r="S599" i="2"/>
  <c r="R599" i="2"/>
  <c r="Q599" i="2"/>
  <c r="P599" i="2"/>
  <c r="O599" i="2"/>
  <c r="N599" i="2"/>
  <c r="M599" i="2"/>
  <c r="L599" i="2"/>
  <c r="K599" i="2"/>
  <c r="J599" i="2"/>
  <c r="I599" i="2"/>
  <c r="H599" i="2"/>
  <c r="G599" i="2"/>
  <c r="F599" i="2"/>
  <c r="E599" i="2"/>
  <c r="D599" i="2"/>
  <c r="C599" i="2"/>
  <c r="B599" i="2"/>
  <c r="AB598" i="2"/>
  <c r="AA598" i="2"/>
  <c r="Z598" i="2"/>
  <c r="Y598" i="2"/>
  <c r="X598" i="2"/>
  <c r="W598" i="2"/>
  <c r="V598" i="2"/>
  <c r="U598" i="2"/>
  <c r="T598" i="2"/>
  <c r="S598" i="2"/>
  <c r="R598" i="2"/>
  <c r="Q598" i="2"/>
  <c r="P598" i="2"/>
  <c r="O598" i="2"/>
  <c r="N598" i="2"/>
  <c r="M598" i="2"/>
  <c r="L598" i="2"/>
  <c r="K598" i="2"/>
  <c r="J598" i="2"/>
  <c r="I598" i="2"/>
  <c r="H598" i="2"/>
  <c r="G598" i="2"/>
  <c r="F598" i="2"/>
  <c r="E598" i="2"/>
  <c r="D598" i="2"/>
  <c r="C598" i="2"/>
  <c r="B598" i="2"/>
  <c r="AB597" i="2"/>
  <c r="AA597" i="2"/>
  <c r="Z597" i="2"/>
  <c r="Y597" i="2"/>
  <c r="X597" i="2"/>
  <c r="W597" i="2"/>
  <c r="V597" i="2"/>
  <c r="U597" i="2"/>
  <c r="T597" i="2"/>
  <c r="S597" i="2"/>
  <c r="R597" i="2"/>
  <c r="Q597" i="2"/>
  <c r="P597" i="2"/>
  <c r="O597" i="2"/>
  <c r="N597" i="2"/>
  <c r="M597" i="2"/>
  <c r="L597" i="2"/>
  <c r="K597" i="2"/>
  <c r="J597" i="2"/>
  <c r="I597" i="2"/>
  <c r="H597" i="2"/>
  <c r="G597" i="2"/>
  <c r="F597" i="2"/>
  <c r="E597" i="2"/>
  <c r="D597" i="2"/>
  <c r="C597" i="2"/>
  <c r="B597" i="2"/>
  <c r="AB596" i="2"/>
  <c r="AA596" i="2"/>
  <c r="Z596" i="2"/>
  <c r="Y596" i="2"/>
  <c r="X596" i="2"/>
  <c r="W596" i="2"/>
  <c r="V596" i="2"/>
  <c r="U596" i="2"/>
  <c r="T596" i="2"/>
  <c r="S596" i="2"/>
  <c r="R596" i="2"/>
  <c r="Q596" i="2"/>
  <c r="P596" i="2"/>
  <c r="O596" i="2"/>
  <c r="N596" i="2"/>
  <c r="M596" i="2"/>
  <c r="L596" i="2"/>
  <c r="K596" i="2"/>
  <c r="J596" i="2"/>
  <c r="I596" i="2"/>
  <c r="H596" i="2"/>
  <c r="G596" i="2"/>
  <c r="F596" i="2"/>
  <c r="E596" i="2"/>
  <c r="D596" i="2"/>
  <c r="C596" i="2"/>
  <c r="B596" i="2"/>
  <c r="AB595" i="2"/>
  <c r="AA595" i="2"/>
  <c r="Z595" i="2"/>
  <c r="Y595" i="2"/>
  <c r="X595" i="2"/>
  <c r="W595" i="2"/>
  <c r="V595" i="2"/>
  <c r="U595" i="2"/>
  <c r="T595" i="2"/>
  <c r="S595" i="2"/>
  <c r="R595" i="2"/>
  <c r="Q595" i="2"/>
  <c r="P595" i="2"/>
  <c r="O595" i="2"/>
  <c r="N595" i="2"/>
  <c r="M595" i="2"/>
  <c r="L595" i="2"/>
  <c r="K595" i="2"/>
  <c r="J595" i="2"/>
  <c r="I595" i="2"/>
  <c r="H595" i="2"/>
  <c r="G595" i="2"/>
  <c r="F595" i="2"/>
  <c r="E595" i="2"/>
  <c r="D595" i="2"/>
  <c r="C595" i="2"/>
  <c r="B595" i="2"/>
  <c r="AB594" i="2"/>
  <c r="AA594" i="2"/>
  <c r="Z594" i="2"/>
  <c r="Y594" i="2"/>
  <c r="X594" i="2"/>
  <c r="W594" i="2"/>
  <c r="V594" i="2"/>
  <c r="U594" i="2"/>
  <c r="T594" i="2"/>
  <c r="S594" i="2"/>
  <c r="R594" i="2"/>
  <c r="Q594" i="2"/>
  <c r="P594" i="2"/>
  <c r="O594" i="2"/>
  <c r="N594" i="2"/>
  <c r="M594" i="2"/>
  <c r="L594" i="2"/>
  <c r="K594" i="2"/>
  <c r="J594" i="2"/>
  <c r="I594" i="2"/>
  <c r="H594" i="2"/>
  <c r="G594" i="2"/>
  <c r="F594" i="2"/>
  <c r="E594" i="2"/>
  <c r="D594" i="2"/>
  <c r="C594" i="2"/>
  <c r="B594" i="2"/>
  <c r="AB593" i="2"/>
  <c r="AA593" i="2"/>
  <c r="Z593" i="2"/>
  <c r="Y593" i="2"/>
  <c r="X593" i="2"/>
  <c r="W593" i="2"/>
  <c r="V593" i="2"/>
  <c r="U593" i="2"/>
  <c r="T593" i="2"/>
  <c r="S593" i="2"/>
  <c r="R593" i="2"/>
  <c r="Q593" i="2"/>
  <c r="P593" i="2"/>
  <c r="O593" i="2"/>
  <c r="N593" i="2"/>
  <c r="M593" i="2"/>
  <c r="L593" i="2"/>
  <c r="K593" i="2"/>
  <c r="J593" i="2"/>
  <c r="I593" i="2"/>
  <c r="H593" i="2"/>
  <c r="G593" i="2"/>
  <c r="F593" i="2"/>
  <c r="E593" i="2"/>
  <c r="D593" i="2"/>
  <c r="C593" i="2"/>
  <c r="B593" i="2"/>
  <c r="AB592" i="2"/>
  <c r="AA592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H592" i="2"/>
  <c r="G592" i="2"/>
  <c r="F592" i="2"/>
  <c r="E592" i="2"/>
  <c r="D592" i="2"/>
  <c r="C592" i="2"/>
  <c r="B592" i="2"/>
  <c r="AB591" i="2"/>
  <c r="AA591" i="2"/>
  <c r="Z591" i="2"/>
  <c r="Y591" i="2"/>
  <c r="X591" i="2"/>
  <c r="W591" i="2"/>
  <c r="V591" i="2"/>
  <c r="U591" i="2"/>
  <c r="T591" i="2"/>
  <c r="S591" i="2"/>
  <c r="R591" i="2"/>
  <c r="Q591" i="2"/>
  <c r="P591" i="2"/>
  <c r="O591" i="2"/>
  <c r="N591" i="2"/>
  <c r="M591" i="2"/>
  <c r="L591" i="2"/>
  <c r="K591" i="2"/>
  <c r="J591" i="2"/>
  <c r="I591" i="2"/>
  <c r="H591" i="2"/>
  <c r="G591" i="2"/>
  <c r="F591" i="2"/>
  <c r="E591" i="2"/>
  <c r="D591" i="2"/>
  <c r="C591" i="2"/>
  <c r="B591" i="2"/>
  <c r="AB590" i="2"/>
  <c r="AA590" i="2"/>
  <c r="Z590" i="2"/>
  <c r="Y590" i="2"/>
  <c r="X590" i="2"/>
  <c r="W590" i="2"/>
  <c r="V590" i="2"/>
  <c r="U590" i="2"/>
  <c r="T590" i="2"/>
  <c r="S590" i="2"/>
  <c r="R590" i="2"/>
  <c r="Q590" i="2"/>
  <c r="P590" i="2"/>
  <c r="O590" i="2"/>
  <c r="N590" i="2"/>
  <c r="M590" i="2"/>
  <c r="L590" i="2"/>
  <c r="K590" i="2"/>
  <c r="J590" i="2"/>
  <c r="I590" i="2"/>
  <c r="H590" i="2"/>
  <c r="G590" i="2"/>
  <c r="F590" i="2"/>
  <c r="E590" i="2"/>
  <c r="D590" i="2"/>
  <c r="C590" i="2"/>
  <c r="B590" i="2"/>
  <c r="AB589" i="2"/>
  <c r="AA589" i="2"/>
  <c r="Z589" i="2"/>
  <c r="Y589" i="2"/>
  <c r="X589" i="2"/>
  <c r="W589" i="2"/>
  <c r="V589" i="2"/>
  <c r="U589" i="2"/>
  <c r="T589" i="2"/>
  <c r="S589" i="2"/>
  <c r="R589" i="2"/>
  <c r="Q589" i="2"/>
  <c r="P589" i="2"/>
  <c r="O589" i="2"/>
  <c r="N589" i="2"/>
  <c r="M589" i="2"/>
  <c r="L589" i="2"/>
  <c r="K589" i="2"/>
  <c r="J589" i="2"/>
  <c r="I589" i="2"/>
  <c r="H589" i="2"/>
  <c r="G589" i="2"/>
  <c r="F589" i="2"/>
  <c r="E589" i="2"/>
  <c r="D589" i="2"/>
  <c r="C589" i="2"/>
  <c r="B589" i="2"/>
  <c r="AB588" i="2"/>
  <c r="AA588" i="2"/>
  <c r="Z588" i="2"/>
  <c r="Y588" i="2"/>
  <c r="X588" i="2"/>
  <c r="W588" i="2"/>
  <c r="V588" i="2"/>
  <c r="U588" i="2"/>
  <c r="T588" i="2"/>
  <c r="S588" i="2"/>
  <c r="R588" i="2"/>
  <c r="Q588" i="2"/>
  <c r="P588" i="2"/>
  <c r="O588" i="2"/>
  <c r="N588" i="2"/>
  <c r="M588" i="2"/>
  <c r="L588" i="2"/>
  <c r="K588" i="2"/>
  <c r="J588" i="2"/>
  <c r="I588" i="2"/>
  <c r="H588" i="2"/>
  <c r="G588" i="2"/>
  <c r="F588" i="2"/>
  <c r="E588" i="2"/>
  <c r="D588" i="2"/>
  <c r="C588" i="2"/>
  <c r="B588" i="2"/>
  <c r="AB587" i="2"/>
  <c r="AA587" i="2"/>
  <c r="Z587" i="2"/>
  <c r="Y587" i="2"/>
  <c r="X587" i="2"/>
  <c r="W587" i="2"/>
  <c r="V587" i="2"/>
  <c r="U587" i="2"/>
  <c r="T587" i="2"/>
  <c r="S587" i="2"/>
  <c r="R587" i="2"/>
  <c r="Q587" i="2"/>
  <c r="P587" i="2"/>
  <c r="O587" i="2"/>
  <c r="N587" i="2"/>
  <c r="M587" i="2"/>
  <c r="L587" i="2"/>
  <c r="K587" i="2"/>
  <c r="J587" i="2"/>
  <c r="I587" i="2"/>
  <c r="H587" i="2"/>
  <c r="G587" i="2"/>
  <c r="F587" i="2"/>
  <c r="E587" i="2"/>
  <c r="D587" i="2"/>
  <c r="C587" i="2"/>
  <c r="B587" i="2"/>
  <c r="AB586" i="2"/>
  <c r="AA586" i="2"/>
  <c r="Z586" i="2"/>
  <c r="Y586" i="2"/>
  <c r="X586" i="2"/>
  <c r="W586" i="2"/>
  <c r="V586" i="2"/>
  <c r="U586" i="2"/>
  <c r="T586" i="2"/>
  <c r="S586" i="2"/>
  <c r="R586" i="2"/>
  <c r="Q586" i="2"/>
  <c r="P586" i="2"/>
  <c r="O586" i="2"/>
  <c r="N586" i="2"/>
  <c r="M586" i="2"/>
  <c r="L586" i="2"/>
  <c r="K586" i="2"/>
  <c r="J586" i="2"/>
  <c r="I586" i="2"/>
  <c r="H586" i="2"/>
  <c r="G586" i="2"/>
  <c r="F586" i="2"/>
  <c r="E586" i="2"/>
  <c r="D586" i="2"/>
  <c r="C586" i="2"/>
  <c r="B586" i="2"/>
  <c r="AB585" i="2"/>
  <c r="AA585" i="2"/>
  <c r="Z585" i="2"/>
  <c r="Y585" i="2"/>
  <c r="X585" i="2"/>
  <c r="W585" i="2"/>
  <c r="V585" i="2"/>
  <c r="U585" i="2"/>
  <c r="T585" i="2"/>
  <c r="S585" i="2"/>
  <c r="R585" i="2"/>
  <c r="Q585" i="2"/>
  <c r="P585" i="2"/>
  <c r="O585" i="2"/>
  <c r="N585" i="2"/>
  <c r="M585" i="2"/>
  <c r="L585" i="2"/>
  <c r="K585" i="2"/>
  <c r="J585" i="2"/>
  <c r="I585" i="2"/>
  <c r="H585" i="2"/>
  <c r="G585" i="2"/>
  <c r="F585" i="2"/>
  <c r="E585" i="2"/>
  <c r="D585" i="2"/>
  <c r="C585" i="2"/>
  <c r="B585" i="2"/>
  <c r="AB584" i="2"/>
  <c r="AA584" i="2"/>
  <c r="Z584" i="2"/>
  <c r="Y584" i="2"/>
  <c r="X584" i="2"/>
  <c r="W584" i="2"/>
  <c r="V584" i="2"/>
  <c r="U584" i="2"/>
  <c r="T584" i="2"/>
  <c r="S584" i="2"/>
  <c r="R584" i="2"/>
  <c r="Q584" i="2"/>
  <c r="P584" i="2"/>
  <c r="O584" i="2"/>
  <c r="N584" i="2"/>
  <c r="M584" i="2"/>
  <c r="L584" i="2"/>
  <c r="K584" i="2"/>
  <c r="J584" i="2"/>
  <c r="I584" i="2"/>
  <c r="H584" i="2"/>
  <c r="G584" i="2"/>
  <c r="F584" i="2"/>
  <c r="E584" i="2"/>
  <c r="D584" i="2"/>
  <c r="C584" i="2"/>
  <c r="B584" i="2"/>
  <c r="AB583" i="2"/>
  <c r="AA583" i="2"/>
  <c r="Z583" i="2"/>
  <c r="Y583" i="2"/>
  <c r="X583" i="2"/>
  <c r="W583" i="2"/>
  <c r="V583" i="2"/>
  <c r="U583" i="2"/>
  <c r="T583" i="2"/>
  <c r="S583" i="2"/>
  <c r="R583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E583" i="2"/>
  <c r="D583" i="2"/>
  <c r="C583" i="2"/>
  <c r="B583" i="2"/>
  <c r="AB582" i="2"/>
  <c r="AA582" i="2"/>
  <c r="Z582" i="2"/>
  <c r="Y582" i="2"/>
  <c r="X582" i="2"/>
  <c r="W582" i="2"/>
  <c r="V582" i="2"/>
  <c r="U582" i="2"/>
  <c r="T582" i="2"/>
  <c r="S582" i="2"/>
  <c r="R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E582" i="2"/>
  <c r="D582" i="2"/>
  <c r="C582" i="2"/>
  <c r="B582" i="2"/>
  <c r="AB581" i="2"/>
  <c r="AA581" i="2"/>
  <c r="Z581" i="2"/>
  <c r="Y581" i="2"/>
  <c r="X581" i="2"/>
  <c r="W581" i="2"/>
  <c r="V581" i="2"/>
  <c r="U581" i="2"/>
  <c r="T581" i="2"/>
  <c r="S581" i="2"/>
  <c r="R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C581" i="2"/>
  <c r="B581" i="2"/>
  <c r="AB580" i="2"/>
  <c r="AA580" i="2"/>
  <c r="Z580" i="2"/>
  <c r="Y580" i="2"/>
  <c r="X580" i="2"/>
  <c r="W580" i="2"/>
  <c r="V580" i="2"/>
  <c r="U580" i="2"/>
  <c r="T580" i="2"/>
  <c r="S580" i="2"/>
  <c r="R580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C580" i="2"/>
  <c r="B580" i="2"/>
  <c r="AB579" i="2"/>
  <c r="AA579" i="2"/>
  <c r="Z579" i="2"/>
  <c r="Y579" i="2"/>
  <c r="X579" i="2"/>
  <c r="W579" i="2"/>
  <c r="V579" i="2"/>
  <c r="U579" i="2"/>
  <c r="T579" i="2"/>
  <c r="S579" i="2"/>
  <c r="R579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C579" i="2"/>
  <c r="B579" i="2"/>
  <c r="AB578" i="2"/>
  <c r="AA578" i="2"/>
  <c r="Z578" i="2"/>
  <c r="Y578" i="2"/>
  <c r="X578" i="2"/>
  <c r="W578" i="2"/>
  <c r="V578" i="2"/>
  <c r="U578" i="2"/>
  <c r="T578" i="2"/>
  <c r="S578" i="2"/>
  <c r="R578" i="2"/>
  <c r="Q578" i="2"/>
  <c r="P578" i="2"/>
  <c r="O578" i="2"/>
  <c r="N578" i="2"/>
  <c r="M578" i="2"/>
  <c r="L578" i="2"/>
  <c r="K578" i="2"/>
  <c r="J578" i="2"/>
  <c r="I578" i="2"/>
  <c r="H578" i="2"/>
  <c r="G578" i="2"/>
  <c r="F578" i="2"/>
  <c r="E578" i="2"/>
  <c r="D578" i="2"/>
  <c r="C578" i="2"/>
  <c r="B578" i="2"/>
  <c r="AB577" i="2"/>
  <c r="AA577" i="2"/>
  <c r="Z577" i="2"/>
  <c r="Y577" i="2"/>
  <c r="X577" i="2"/>
  <c r="W577" i="2"/>
  <c r="V577" i="2"/>
  <c r="U577" i="2"/>
  <c r="T577" i="2"/>
  <c r="S577" i="2"/>
  <c r="R577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E577" i="2"/>
  <c r="D577" i="2"/>
  <c r="C577" i="2"/>
  <c r="B577" i="2"/>
  <c r="AB576" i="2"/>
  <c r="AA576" i="2"/>
  <c r="Z576" i="2"/>
  <c r="Y576" i="2"/>
  <c r="X576" i="2"/>
  <c r="W576" i="2"/>
  <c r="V576" i="2"/>
  <c r="U576" i="2"/>
  <c r="T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C576" i="2"/>
  <c r="B576" i="2"/>
  <c r="AB575" i="2"/>
  <c r="AA575" i="2"/>
  <c r="Z575" i="2"/>
  <c r="Y575" i="2"/>
  <c r="X575" i="2"/>
  <c r="W575" i="2"/>
  <c r="V575" i="2"/>
  <c r="U575" i="2"/>
  <c r="T575" i="2"/>
  <c r="S575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C575" i="2"/>
  <c r="B575" i="2"/>
  <c r="AB574" i="2"/>
  <c r="AA574" i="2"/>
  <c r="Z574" i="2"/>
  <c r="Y574" i="2"/>
  <c r="X574" i="2"/>
  <c r="W574" i="2"/>
  <c r="V574" i="2"/>
  <c r="U574" i="2"/>
  <c r="T574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C574" i="2"/>
  <c r="B574" i="2"/>
  <c r="AB573" i="2"/>
  <c r="AA573" i="2"/>
  <c r="Z573" i="2"/>
  <c r="Y573" i="2"/>
  <c r="X573" i="2"/>
  <c r="W573" i="2"/>
  <c r="V573" i="2"/>
  <c r="U573" i="2"/>
  <c r="T573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C573" i="2"/>
  <c r="B573" i="2"/>
  <c r="AB572" i="2"/>
  <c r="AA572" i="2"/>
  <c r="Z572" i="2"/>
  <c r="Y572" i="2"/>
  <c r="X572" i="2"/>
  <c r="W572" i="2"/>
  <c r="V572" i="2"/>
  <c r="U572" i="2"/>
  <c r="T572" i="2"/>
  <c r="S572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D572" i="2"/>
  <c r="C572" i="2"/>
  <c r="B572" i="2"/>
  <c r="AB571" i="2"/>
  <c r="AA571" i="2"/>
  <c r="Z571" i="2"/>
  <c r="Y571" i="2"/>
  <c r="X571" i="2"/>
  <c r="W571" i="2"/>
  <c r="V571" i="2"/>
  <c r="U571" i="2"/>
  <c r="T571" i="2"/>
  <c r="S571" i="2"/>
  <c r="R571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B571" i="2"/>
  <c r="AB570" i="2"/>
  <c r="AA570" i="2"/>
  <c r="Z570" i="2"/>
  <c r="Y570" i="2"/>
  <c r="X570" i="2"/>
  <c r="W570" i="2"/>
  <c r="V570" i="2"/>
  <c r="U570" i="2"/>
  <c r="T570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C570" i="2"/>
  <c r="B570" i="2"/>
  <c r="AB569" i="2"/>
  <c r="AA569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AB568" i="2"/>
  <c r="AA568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AB567" i="2"/>
  <c r="AA567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AB566" i="2"/>
  <c r="AA566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AB565" i="2"/>
  <c r="AA565" i="2"/>
  <c r="Z565" i="2"/>
  <c r="Y565" i="2"/>
  <c r="X565" i="2"/>
  <c r="W565" i="2"/>
  <c r="V565" i="2"/>
  <c r="U565" i="2"/>
  <c r="T565" i="2"/>
  <c r="S565" i="2"/>
  <c r="R565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AB564" i="2"/>
  <c r="AA564" i="2"/>
  <c r="Z564" i="2"/>
  <c r="Y564" i="2"/>
  <c r="X564" i="2"/>
  <c r="W564" i="2"/>
  <c r="V564" i="2"/>
  <c r="U564" i="2"/>
  <c r="T564" i="2"/>
  <c r="S564" i="2"/>
  <c r="R564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AB563" i="2"/>
  <c r="AA563" i="2"/>
  <c r="Z563" i="2"/>
  <c r="Y563" i="2"/>
  <c r="X563" i="2"/>
  <c r="W563" i="2"/>
  <c r="V563" i="2"/>
  <c r="U563" i="2"/>
  <c r="T563" i="2"/>
  <c r="S563" i="2"/>
  <c r="R563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AB562" i="2"/>
  <c r="AA562" i="2"/>
  <c r="Z562" i="2"/>
  <c r="Y562" i="2"/>
  <c r="X562" i="2"/>
  <c r="W562" i="2"/>
  <c r="V562" i="2"/>
  <c r="U562" i="2"/>
  <c r="T562" i="2"/>
  <c r="S562" i="2"/>
  <c r="R562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B562" i="2"/>
  <c r="AB561" i="2"/>
  <c r="AA561" i="2"/>
  <c r="Z561" i="2"/>
  <c r="Y561" i="2"/>
  <c r="X561" i="2"/>
  <c r="W561" i="2"/>
  <c r="V561" i="2"/>
  <c r="U561" i="2"/>
  <c r="T561" i="2"/>
  <c r="S561" i="2"/>
  <c r="R561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AB560" i="2"/>
  <c r="AA560" i="2"/>
  <c r="Z560" i="2"/>
  <c r="Y560" i="2"/>
  <c r="X560" i="2"/>
  <c r="W560" i="2"/>
  <c r="V560" i="2"/>
  <c r="U560" i="2"/>
  <c r="T560" i="2"/>
  <c r="S560" i="2"/>
  <c r="R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AB559" i="2"/>
  <c r="AA559" i="2"/>
  <c r="Z559" i="2"/>
  <c r="Y559" i="2"/>
  <c r="X559" i="2"/>
  <c r="W559" i="2"/>
  <c r="V559" i="2"/>
  <c r="U559" i="2"/>
  <c r="T559" i="2"/>
  <c r="S559" i="2"/>
  <c r="R559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AB558" i="2"/>
  <c r="AA558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AB557" i="2"/>
  <c r="AA557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AB556" i="2"/>
  <c r="AA556" i="2"/>
  <c r="Z556" i="2"/>
  <c r="Y556" i="2"/>
  <c r="X556" i="2"/>
  <c r="W556" i="2"/>
  <c r="V556" i="2"/>
  <c r="U556" i="2"/>
  <c r="T556" i="2"/>
  <c r="S556" i="2"/>
  <c r="R556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AB555" i="2"/>
  <c r="AA555" i="2"/>
  <c r="Z555" i="2"/>
  <c r="Y555" i="2"/>
  <c r="X555" i="2"/>
  <c r="W555" i="2"/>
  <c r="V555" i="2"/>
  <c r="U555" i="2"/>
  <c r="T555" i="2"/>
  <c r="S555" i="2"/>
  <c r="R555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AB554" i="2"/>
  <c r="AA554" i="2"/>
  <c r="Z554" i="2"/>
  <c r="Y554" i="2"/>
  <c r="X554" i="2"/>
  <c r="W554" i="2"/>
  <c r="V554" i="2"/>
  <c r="U554" i="2"/>
  <c r="T554" i="2"/>
  <c r="S554" i="2"/>
  <c r="R554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AB553" i="2"/>
  <c r="AA553" i="2"/>
  <c r="Z553" i="2"/>
  <c r="Y553" i="2"/>
  <c r="X553" i="2"/>
  <c r="W553" i="2"/>
  <c r="V553" i="2"/>
  <c r="U553" i="2"/>
  <c r="T553" i="2"/>
  <c r="S553" i="2"/>
  <c r="R553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AB552" i="2"/>
  <c r="AA552" i="2"/>
  <c r="Z552" i="2"/>
  <c r="Y552" i="2"/>
  <c r="X552" i="2"/>
  <c r="W552" i="2"/>
  <c r="V552" i="2"/>
  <c r="U552" i="2"/>
  <c r="T552" i="2"/>
  <c r="S552" i="2"/>
  <c r="R552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AB551" i="2"/>
  <c r="AA551" i="2"/>
  <c r="Z551" i="2"/>
  <c r="Y551" i="2"/>
  <c r="X551" i="2"/>
  <c r="W551" i="2"/>
  <c r="V551" i="2"/>
  <c r="U551" i="2"/>
  <c r="T551" i="2"/>
  <c r="S551" i="2"/>
  <c r="R551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AB550" i="2"/>
  <c r="AA550" i="2"/>
  <c r="Z550" i="2"/>
  <c r="Y550" i="2"/>
  <c r="X550" i="2"/>
  <c r="W550" i="2"/>
  <c r="V550" i="2"/>
  <c r="U550" i="2"/>
  <c r="T550" i="2"/>
  <c r="S550" i="2"/>
  <c r="R550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AB549" i="2"/>
  <c r="AA549" i="2"/>
  <c r="Z549" i="2"/>
  <c r="Y549" i="2"/>
  <c r="X549" i="2"/>
  <c r="W549" i="2"/>
  <c r="V549" i="2"/>
  <c r="U549" i="2"/>
  <c r="T549" i="2"/>
  <c r="S549" i="2"/>
  <c r="R549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B549" i="2"/>
  <c r="AB548" i="2"/>
  <c r="AA548" i="2"/>
  <c r="Z548" i="2"/>
  <c r="Y548" i="2"/>
  <c r="X548" i="2"/>
  <c r="W548" i="2"/>
  <c r="V548" i="2"/>
  <c r="U548" i="2"/>
  <c r="T548" i="2"/>
  <c r="S548" i="2"/>
  <c r="R548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AB547" i="2"/>
  <c r="AA547" i="2"/>
  <c r="Z547" i="2"/>
  <c r="Y547" i="2"/>
  <c r="X547" i="2"/>
  <c r="W547" i="2"/>
  <c r="V547" i="2"/>
  <c r="U547" i="2"/>
  <c r="T547" i="2"/>
  <c r="S547" i="2"/>
  <c r="R547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AB546" i="2"/>
  <c r="AA546" i="2"/>
  <c r="Z546" i="2"/>
  <c r="Y546" i="2"/>
  <c r="X546" i="2"/>
  <c r="W546" i="2"/>
  <c r="V546" i="2"/>
  <c r="U546" i="2"/>
  <c r="T546" i="2"/>
  <c r="S546" i="2"/>
  <c r="R546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AB544" i="2"/>
  <c r="AA544" i="2"/>
  <c r="Z544" i="2"/>
  <c r="Y544" i="2"/>
  <c r="X544" i="2"/>
  <c r="W544" i="2"/>
  <c r="V544" i="2"/>
  <c r="U544" i="2"/>
  <c r="T544" i="2"/>
  <c r="S544" i="2"/>
  <c r="R544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AB543" i="2"/>
  <c r="AA543" i="2"/>
  <c r="Z543" i="2"/>
  <c r="Y543" i="2"/>
  <c r="X543" i="2"/>
  <c r="W543" i="2"/>
  <c r="V543" i="2"/>
  <c r="U543" i="2"/>
  <c r="T543" i="2"/>
  <c r="S543" i="2"/>
  <c r="R543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AB542" i="2"/>
  <c r="AA542" i="2"/>
  <c r="Z542" i="2"/>
  <c r="Y542" i="2"/>
  <c r="X542" i="2"/>
  <c r="W542" i="2"/>
  <c r="V542" i="2"/>
  <c r="U542" i="2"/>
  <c r="T542" i="2"/>
  <c r="S542" i="2"/>
  <c r="R542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AB541" i="2"/>
  <c r="AA541" i="2"/>
  <c r="Z541" i="2"/>
  <c r="Y541" i="2"/>
  <c r="X541" i="2"/>
  <c r="W541" i="2"/>
  <c r="V541" i="2"/>
  <c r="U541" i="2"/>
  <c r="T541" i="2"/>
  <c r="S541" i="2"/>
  <c r="R541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B541" i="2"/>
  <c r="AB540" i="2"/>
  <c r="AA540" i="2"/>
  <c r="Z540" i="2"/>
  <c r="Y540" i="2"/>
  <c r="X540" i="2"/>
  <c r="W540" i="2"/>
  <c r="V540" i="2"/>
  <c r="U540" i="2"/>
  <c r="T540" i="2"/>
  <c r="S540" i="2"/>
  <c r="R540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E540" i="2"/>
  <c r="D540" i="2"/>
  <c r="C540" i="2"/>
  <c r="B540" i="2"/>
  <c r="AB539" i="2"/>
  <c r="AA539" i="2"/>
  <c r="Z539" i="2"/>
  <c r="Y539" i="2"/>
  <c r="X539" i="2"/>
  <c r="W539" i="2"/>
  <c r="V539" i="2"/>
  <c r="U539" i="2"/>
  <c r="T539" i="2"/>
  <c r="S539" i="2"/>
  <c r="R539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AB538" i="2"/>
  <c r="AA538" i="2"/>
  <c r="Z538" i="2"/>
  <c r="Y538" i="2"/>
  <c r="X538" i="2"/>
  <c r="W538" i="2"/>
  <c r="V538" i="2"/>
  <c r="U538" i="2"/>
  <c r="T538" i="2"/>
  <c r="S538" i="2"/>
  <c r="R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B538" i="2"/>
  <c r="AB537" i="2"/>
  <c r="AA537" i="2"/>
  <c r="Z537" i="2"/>
  <c r="Y537" i="2"/>
  <c r="X537" i="2"/>
  <c r="W537" i="2"/>
  <c r="V537" i="2"/>
  <c r="U537" i="2"/>
  <c r="T537" i="2"/>
  <c r="S537" i="2"/>
  <c r="R537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E537" i="2"/>
  <c r="D537" i="2"/>
  <c r="C537" i="2"/>
  <c r="B537" i="2"/>
  <c r="AB536" i="2"/>
  <c r="AA536" i="2"/>
  <c r="Z536" i="2"/>
  <c r="Y536" i="2"/>
  <c r="X536" i="2"/>
  <c r="W536" i="2"/>
  <c r="V536" i="2"/>
  <c r="U536" i="2"/>
  <c r="T536" i="2"/>
  <c r="S536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AB535" i="2"/>
  <c r="AA535" i="2"/>
  <c r="Z535" i="2"/>
  <c r="Y535" i="2"/>
  <c r="X535" i="2"/>
  <c r="W535" i="2"/>
  <c r="V535" i="2"/>
  <c r="U535" i="2"/>
  <c r="T535" i="2"/>
  <c r="S535" i="2"/>
  <c r="R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AB534" i="2"/>
  <c r="AA534" i="2"/>
  <c r="Z534" i="2"/>
  <c r="Y534" i="2"/>
  <c r="X534" i="2"/>
  <c r="W534" i="2"/>
  <c r="V534" i="2"/>
  <c r="U534" i="2"/>
  <c r="T534" i="2"/>
  <c r="S534" i="2"/>
  <c r="R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AB533" i="2"/>
  <c r="AA533" i="2"/>
  <c r="Z533" i="2"/>
  <c r="Y533" i="2"/>
  <c r="X533" i="2"/>
  <c r="W533" i="2"/>
  <c r="V533" i="2"/>
  <c r="U533" i="2"/>
  <c r="T533" i="2"/>
  <c r="S533" i="2"/>
  <c r="R533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AB532" i="2"/>
  <c r="AA532" i="2"/>
  <c r="Z532" i="2"/>
  <c r="Y532" i="2"/>
  <c r="X532" i="2"/>
  <c r="W532" i="2"/>
  <c r="V532" i="2"/>
  <c r="U532" i="2"/>
  <c r="T532" i="2"/>
  <c r="S532" i="2"/>
  <c r="R532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C532" i="2"/>
  <c r="B532" i="2"/>
  <c r="AB531" i="2"/>
  <c r="AA531" i="2"/>
  <c r="Z531" i="2"/>
  <c r="Y531" i="2"/>
  <c r="X531" i="2"/>
  <c r="W531" i="2"/>
  <c r="V531" i="2"/>
  <c r="U531" i="2"/>
  <c r="T531" i="2"/>
  <c r="S531" i="2"/>
  <c r="R531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AB530" i="2"/>
  <c r="AA530" i="2"/>
  <c r="Z530" i="2"/>
  <c r="Y530" i="2"/>
  <c r="X530" i="2"/>
  <c r="W530" i="2"/>
  <c r="V530" i="2"/>
  <c r="U530" i="2"/>
  <c r="T530" i="2"/>
  <c r="S530" i="2"/>
  <c r="R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AB529" i="2"/>
  <c r="AA529" i="2"/>
  <c r="Z529" i="2"/>
  <c r="Y529" i="2"/>
  <c r="X529" i="2"/>
  <c r="W529" i="2"/>
  <c r="V529" i="2"/>
  <c r="U529" i="2"/>
  <c r="T529" i="2"/>
  <c r="S529" i="2"/>
  <c r="R529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AB528" i="2"/>
  <c r="AA528" i="2"/>
  <c r="Z528" i="2"/>
  <c r="Y528" i="2"/>
  <c r="X528" i="2"/>
  <c r="W528" i="2"/>
  <c r="V528" i="2"/>
  <c r="U528" i="2"/>
  <c r="T528" i="2"/>
  <c r="S528" i="2"/>
  <c r="R528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AB527" i="2"/>
  <c r="AA527" i="2"/>
  <c r="Z527" i="2"/>
  <c r="Y527" i="2"/>
  <c r="X527" i="2"/>
  <c r="W527" i="2"/>
  <c r="V527" i="2"/>
  <c r="U527" i="2"/>
  <c r="T527" i="2"/>
  <c r="S527" i="2"/>
  <c r="R527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AB526" i="2"/>
  <c r="AA526" i="2"/>
  <c r="Z526" i="2"/>
  <c r="Y526" i="2"/>
  <c r="X526" i="2"/>
  <c r="W526" i="2"/>
  <c r="V526" i="2"/>
  <c r="U526" i="2"/>
  <c r="T526" i="2"/>
  <c r="S526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B526" i="2"/>
  <c r="AB525" i="2"/>
  <c r="AA525" i="2"/>
  <c r="Z525" i="2"/>
  <c r="Y525" i="2"/>
  <c r="X525" i="2"/>
  <c r="W525" i="2"/>
  <c r="V525" i="2"/>
  <c r="U525" i="2"/>
  <c r="T525" i="2"/>
  <c r="S525" i="2"/>
  <c r="R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AB524" i="2"/>
  <c r="AA524" i="2"/>
  <c r="Z524" i="2"/>
  <c r="Y524" i="2"/>
  <c r="X524" i="2"/>
  <c r="W524" i="2"/>
  <c r="V524" i="2"/>
  <c r="U524" i="2"/>
  <c r="T524" i="2"/>
  <c r="S524" i="2"/>
  <c r="R524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AB518" i="2"/>
  <c r="AA518" i="2"/>
  <c r="Z518" i="2"/>
  <c r="Y518" i="2"/>
  <c r="X518" i="2"/>
  <c r="W518" i="2"/>
  <c r="V518" i="2"/>
  <c r="U518" i="2"/>
  <c r="T518" i="2"/>
  <c r="S518" i="2"/>
  <c r="R518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D518" i="2"/>
  <c r="C518" i="2"/>
  <c r="B518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AB512" i="2"/>
  <c r="AA512" i="2"/>
  <c r="Z512" i="2"/>
  <c r="Y512" i="2"/>
  <c r="X512" i="2"/>
  <c r="W512" i="2"/>
  <c r="V512" i="2"/>
  <c r="U512" i="2"/>
  <c r="T512" i="2"/>
  <c r="S512" i="2"/>
  <c r="R512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B512" i="2"/>
  <c r="AB511" i="2"/>
  <c r="AA511" i="2"/>
  <c r="Z511" i="2"/>
  <c r="Y511" i="2"/>
  <c r="X511" i="2"/>
  <c r="W511" i="2"/>
  <c r="V511" i="2"/>
  <c r="U511" i="2"/>
  <c r="T511" i="2"/>
  <c r="S511" i="2"/>
  <c r="R511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AB510" i="2"/>
  <c r="AA510" i="2"/>
  <c r="Z510" i="2"/>
  <c r="Y510" i="2"/>
  <c r="X510" i="2"/>
  <c r="W510" i="2"/>
  <c r="V510" i="2"/>
  <c r="U510" i="2"/>
  <c r="T510" i="2"/>
  <c r="S510" i="2"/>
  <c r="R510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AB509" i="2"/>
  <c r="AA509" i="2"/>
  <c r="Z509" i="2"/>
  <c r="Y509" i="2"/>
  <c r="X509" i="2"/>
  <c r="W509" i="2"/>
  <c r="V509" i="2"/>
  <c r="U509" i="2"/>
  <c r="T509" i="2"/>
  <c r="S509" i="2"/>
  <c r="R509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AB508" i="2"/>
  <c r="AA508" i="2"/>
  <c r="Z508" i="2"/>
  <c r="Y508" i="2"/>
  <c r="X508" i="2"/>
  <c r="W508" i="2"/>
  <c r="V508" i="2"/>
  <c r="U508" i="2"/>
  <c r="T508" i="2"/>
  <c r="S508" i="2"/>
  <c r="R508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AB507" i="2"/>
  <c r="AA507" i="2"/>
  <c r="Z507" i="2"/>
  <c r="Y507" i="2"/>
  <c r="X507" i="2"/>
  <c r="W507" i="2"/>
  <c r="V507" i="2"/>
  <c r="U507" i="2"/>
  <c r="T507" i="2"/>
  <c r="S507" i="2"/>
  <c r="R507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AB506" i="2"/>
  <c r="AA506" i="2"/>
  <c r="Z506" i="2"/>
  <c r="Y506" i="2"/>
  <c r="X506" i="2"/>
  <c r="W506" i="2"/>
  <c r="V506" i="2"/>
  <c r="U506" i="2"/>
  <c r="T506" i="2"/>
  <c r="S506" i="2"/>
  <c r="R506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AB505" i="2"/>
  <c r="AA505" i="2"/>
  <c r="Z505" i="2"/>
  <c r="Y505" i="2"/>
  <c r="X505" i="2"/>
  <c r="W505" i="2"/>
  <c r="V505" i="2"/>
  <c r="U505" i="2"/>
  <c r="T505" i="2"/>
  <c r="S505" i="2"/>
  <c r="R505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AB504" i="2"/>
  <c r="AA504" i="2"/>
  <c r="Z504" i="2"/>
  <c r="Y504" i="2"/>
  <c r="X504" i="2"/>
  <c r="W504" i="2"/>
  <c r="V504" i="2"/>
  <c r="U504" i="2"/>
  <c r="T504" i="2"/>
  <c r="S504" i="2"/>
  <c r="R504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B504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AB500" i="2"/>
  <c r="AA500" i="2"/>
  <c r="Z500" i="2"/>
  <c r="Y500" i="2"/>
  <c r="X500" i="2"/>
  <c r="W500" i="2"/>
  <c r="V500" i="2"/>
  <c r="U500" i="2"/>
  <c r="T500" i="2"/>
  <c r="S500" i="2"/>
  <c r="R500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AB499" i="2"/>
  <c r="AA499" i="2"/>
  <c r="Z499" i="2"/>
  <c r="Y499" i="2"/>
  <c r="X499" i="2"/>
  <c r="W499" i="2"/>
  <c r="V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AB494" i="2"/>
  <c r="AA494" i="2"/>
  <c r="Z494" i="2"/>
  <c r="Y494" i="2"/>
  <c r="X494" i="2"/>
  <c r="W494" i="2"/>
  <c r="V494" i="2"/>
  <c r="U494" i="2"/>
  <c r="T494" i="2"/>
  <c r="S494" i="2"/>
  <c r="R494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H491" i="2"/>
  <c r="G491" i="2"/>
  <c r="F491" i="2"/>
  <c r="E491" i="2"/>
  <c r="D491" i="2"/>
  <c r="C491" i="2"/>
  <c r="B491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AB487" i="2"/>
  <c r="AA487" i="2"/>
  <c r="Z487" i="2"/>
  <c r="Y487" i="2"/>
  <c r="X487" i="2"/>
  <c r="W487" i="2"/>
  <c r="V487" i="2"/>
  <c r="U487" i="2"/>
  <c r="T487" i="2"/>
  <c r="S487" i="2"/>
  <c r="R487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AB481" i="2"/>
  <c r="AA481" i="2"/>
  <c r="Z481" i="2"/>
  <c r="Y481" i="2"/>
  <c r="X481" i="2"/>
  <c r="W481" i="2"/>
  <c r="V481" i="2"/>
  <c r="U481" i="2"/>
  <c r="T481" i="2"/>
  <c r="S481" i="2"/>
  <c r="R481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B481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AB478" i="2"/>
  <c r="AA478" i="2"/>
  <c r="Z478" i="2"/>
  <c r="Y478" i="2"/>
  <c r="X478" i="2"/>
  <c r="W478" i="2"/>
  <c r="V478" i="2"/>
  <c r="U478" i="2"/>
  <c r="T478" i="2"/>
  <c r="S478" i="2"/>
  <c r="R478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AB477" i="2"/>
  <c r="AA477" i="2"/>
  <c r="Z477" i="2"/>
  <c r="Y477" i="2"/>
  <c r="X477" i="2"/>
  <c r="W477" i="2"/>
  <c r="V477" i="2"/>
  <c r="U477" i="2"/>
  <c r="T477" i="2"/>
  <c r="S477" i="2"/>
  <c r="R477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AB476" i="2"/>
  <c r="AA476" i="2"/>
  <c r="Z476" i="2"/>
  <c r="Y476" i="2"/>
  <c r="X476" i="2"/>
  <c r="W476" i="2"/>
  <c r="V476" i="2"/>
  <c r="U476" i="2"/>
  <c r="T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AB475" i="2"/>
  <c r="AA475" i="2"/>
  <c r="Z475" i="2"/>
  <c r="Y475" i="2"/>
  <c r="X475" i="2"/>
  <c r="W475" i="2"/>
  <c r="V475" i="2"/>
  <c r="U475" i="2"/>
  <c r="T475" i="2"/>
  <c r="S475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AB474" i="2"/>
  <c r="AA474" i="2"/>
  <c r="Z474" i="2"/>
  <c r="Y474" i="2"/>
  <c r="X474" i="2"/>
  <c r="W474" i="2"/>
  <c r="V474" i="2"/>
  <c r="U474" i="2"/>
  <c r="T474" i="2"/>
  <c r="S474" i="2"/>
  <c r="R474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AB473" i="2"/>
  <c r="AA473" i="2"/>
  <c r="Z473" i="2"/>
  <c r="Y473" i="2"/>
  <c r="X473" i="2"/>
  <c r="W473" i="2"/>
  <c r="V473" i="2"/>
  <c r="U473" i="2"/>
  <c r="T473" i="2"/>
  <c r="S473" i="2"/>
  <c r="R473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AB472" i="2"/>
  <c r="AA472" i="2"/>
  <c r="Z472" i="2"/>
  <c r="Y472" i="2"/>
  <c r="X472" i="2"/>
  <c r="W472" i="2"/>
  <c r="V472" i="2"/>
  <c r="U472" i="2"/>
  <c r="T472" i="2"/>
  <c r="S472" i="2"/>
  <c r="R472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AB471" i="2"/>
  <c r="AA471" i="2"/>
  <c r="Z471" i="2"/>
  <c r="Y471" i="2"/>
  <c r="X471" i="2"/>
  <c r="W471" i="2"/>
  <c r="V471" i="2"/>
  <c r="U471" i="2"/>
  <c r="T471" i="2"/>
  <c r="S471" i="2"/>
  <c r="R471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AB470" i="2"/>
  <c r="AA470" i="2"/>
  <c r="Z470" i="2"/>
  <c r="Y470" i="2"/>
  <c r="X470" i="2"/>
  <c r="W470" i="2"/>
  <c r="V470" i="2"/>
  <c r="U470" i="2"/>
  <c r="T470" i="2"/>
  <c r="S470" i="2"/>
  <c r="R470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AB466" i="2"/>
  <c r="AA466" i="2"/>
  <c r="Z466" i="2"/>
  <c r="Y466" i="2"/>
  <c r="X466" i="2"/>
  <c r="W466" i="2"/>
  <c r="V466" i="2"/>
  <c r="U466" i="2"/>
  <c r="T466" i="2"/>
  <c r="S466" i="2"/>
  <c r="R466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AB460" i="2"/>
  <c r="AA460" i="2"/>
  <c r="Z460" i="2"/>
  <c r="Y460" i="2"/>
  <c r="X460" i="2"/>
  <c r="W460" i="2"/>
  <c r="V460" i="2"/>
  <c r="U460" i="2"/>
  <c r="T460" i="2"/>
  <c r="S460" i="2"/>
  <c r="R460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AB457" i="2"/>
  <c r="AA457" i="2"/>
  <c r="Z457" i="2"/>
  <c r="Y457" i="2"/>
  <c r="X457" i="2"/>
  <c r="W457" i="2"/>
  <c r="V457" i="2"/>
  <c r="U457" i="2"/>
  <c r="T457" i="2"/>
  <c r="S457" i="2"/>
  <c r="R457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AB453" i="2"/>
  <c r="AA453" i="2"/>
  <c r="Z453" i="2"/>
  <c r="Y453" i="2"/>
  <c r="X453" i="2"/>
  <c r="W453" i="2"/>
  <c r="V453" i="2"/>
  <c r="U453" i="2"/>
  <c r="T453" i="2"/>
  <c r="S453" i="2"/>
  <c r="R453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AB447" i="2"/>
  <c r="AA447" i="2"/>
  <c r="Z447" i="2"/>
  <c r="Y447" i="2"/>
  <c r="X447" i="2"/>
  <c r="W447" i="2"/>
  <c r="V447" i="2"/>
  <c r="U447" i="2"/>
  <c r="T447" i="2"/>
  <c r="S447" i="2"/>
  <c r="R447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AB444" i="2"/>
  <c r="AA444" i="2"/>
  <c r="Z444" i="2"/>
  <c r="Y444" i="2"/>
  <c r="X444" i="2"/>
  <c r="W444" i="2"/>
  <c r="V444" i="2"/>
  <c r="U444" i="2"/>
  <c r="T444" i="2"/>
  <c r="S444" i="2"/>
  <c r="R444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AB443" i="2"/>
  <c r="AA443" i="2"/>
  <c r="Z443" i="2"/>
  <c r="Y443" i="2"/>
  <c r="X443" i="2"/>
  <c r="W443" i="2"/>
  <c r="V443" i="2"/>
  <c r="U443" i="2"/>
  <c r="T443" i="2"/>
  <c r="S443" i="2"/>
  <c r="R443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AB442" i="2"/>
  <c r="AA442" i="2"/>
  <c r="Z442" i="2"/>
  <c r="Y442" i="2"/>
  <c r="X442" i="2"/>
  <c r="W442" i="2"/>
  <c r="V442" i="2"/>
  <c r="U442" i="2"/>
  <c r="T442" i="2"/>
  <c r="S442" i="2"/>
  <c r="R442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AB441" i="2"/>
  <c r="AA441" i="2"/>
  <c r="Z441" i="2"/>
  <c r="Y441" i="2"/>
  <c r="X441" i="2"/>
  <c r="W441" i="2"/>
  <c r="V441" i="2"/>
  <c r="U441" i="2"/>
  <c r="T441" i="2"/>
  <c r="S441" i="2"/>
  <c r="R441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AB440" i="2"/>
  <c r="AA440" i="2"/>
  <c r="Z440" i="2"/>
  <c r="Y440" i="2"/>
  <c r="X440" i="2"/>
  <c r="W440" i="2"/>
  <c r="V440" i="2"/>
  <c r="U440" i="2"/>
  <c r="T440" i="2"/>
  <c r="S440" i="2"/>
  <c r="R440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AB439" i="2"/>
  <c r="AA439" i="2"/>
  <c r="Z439" i="2"/>
  <c r="Y439" i="2"/>
  <c r="X439" i="2"/>
  <c r="W439" i="2"/>
  <c r="V439" i="2"/>
  <c r="U439" i="2"/>
  <c r="T439" i="2"/>
  <c r="S439" i="2"/>
  <c r="R439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AB438" i="2"/>
  <c r="AA438" i="2"/>
  <c r="Z438" i="2"/>
  <c r="Y438" i="2"/>
  <c r="X438" i="2"/>
  <c r="W438" i="2"/>
  <c r="V438" i="2"/>
  <c r="U438" i="2"/>
  <c r="T438" i="2"/>
  <c r="S438" i="2"/>
  <c r="R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AB437" i="2"/>
  <c r="AA437" i="2"/>
  <c r="Z437" i="2"/>
  <c r="Y437" i="2"/>
  <c r="X437" i="2"/>
  <c r="W437" i="2"/>
  <c r="V437" i="2"/>
  <c r="U437" i="2"/>
  <c r="T437" i="2"/>
  <c r="S437" i="2"/>
  <c r="R437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AB436" i="2"/>
  <c r="AA436" i="2"/>
  <c r="Z436" i="2"/>
  <c r="Y436" i="2"/>
  <c r="X436" i="2"/>
  <c r="W436" i="2"/>
  <c r="V436" i="2"/>
  <c r="U436" i="2"/>
  <c r="T436" i="2"/>
  <c r="S436" i="2"/>
  <c r="R436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AB435" i="2"/>
  <c r="AA435" i="2"/>
  <c r="Z435" i="2"/>
  <c r="Y435" i="2"/>
  <c r="X435" i="2"/>
  <c r="W435" i="2"/>
  <c r="V435" i="2"/>
  <c r="U435" i="2"/>
  <c r="T435" i="2"/>
  <c r="S435" i="2"/>
  <c r="R435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AB434" i="2"/>
  <c r="AA434" i="2"/>
  <c r="Z434" i="2"/>
  <c r="Y434" i="2"/>
  <c r="X434" i="2"/>
  <c r="W434" i="2"/>
  <c r="V434" i="2"/>
  <c r="U434" i="2"/>
  <c r="T434" i="2"/>
  <c r="S434" i="2"/>
  <c r="R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AB433" i="2"/>
  <c r="AA433" i="2"/>
  <c r="Z433" i="2"/>
  <c r="Y433" i="2"/>
  <c r="X433" i="2"/>
  <c r="W433" i="2"/>
  <c r="V433" i="2"/>
  <c r="U433" i="2"/>
  <c r="T433" i="2"/>
  <c r="S433" i="2"/>
  <c r="R433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AB432" i="2"/>
  <c r="AA432" i="2"/>
  <c r="Z432" i="2"/>
  <c r="Y432" i="2"/>
  <c r="X432" i="2"/>
  <c r="W432" i="2"/>
  <c r="V432" i="2"/>
  <c r="U432" i="2"/>
  <c r="T432" i="2"/>
  <c r="S432" i="2"/>
  <c r="R432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AB431" i="2"/>
  <c r="AA431" i="2"/>
  <c r="Z431" i="2"/>
  <c r="Y431" i="2"/>
  <c r="X431" i="2"/>
  <c r="W431" i="2"/>
  <c r="V431" i="2"/>
  <c r="U431" i="2"/>
  <c r="T431" i="2"/>
  <c r="S431" i="2"/>
  <c r="R431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AB430" i="2"/>
  <c r="AA430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AB429" i="2"/>
  <c r="AA429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AB428" i="2"/>
  <c r="AA428" i="2"/>
  <c r="Z428" i="2"/>
  <c r="Y428" i="2"/>
  <c r="X428" i="2"/>
  <c r="W428" i="2"/>
  <c r="V428" i="2"/>
  <c r="U428" i="2"/>
  <c r="T428" i="2"/>
  <c r="S428" i="2"/>
  <c r="R428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AB427" i="2"/>
  <c r="AA427" i="2"/>
  <c r="Z427" i="2"/>
  <c r="Y427" i="2"/>
  <c r="X427" i="2"/>
  <c r="W427" i="2"/>
  <c r="V427" i="2"/>
  <c r="U427" i="2"/>
  <c r="T427" i="2"/>
  <c r="S427" i="2"/>
  <c r="R427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AB426" i="2"/>
  <c r="AA426" i="2"/>
  <c r="Z426" i="2"/>
  <c r="Y426" i="2"/>
  <c r="X426" i="2"/>
  <c r="W426" i="2"/>
  <c r="V426" i="2"/>
  <c r="U426" i="2"/>
  <c r="T426" i="2"/>
  <c r="S426" i="2"/>
  <c r="R426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AB425" i="2"/>
  <c r="AA425" i="2"/>
  <c r="Z425" i="2"/>
  <c r="Y425" i="2"/>
  <c r="X425" i="2"/>
  <c r="W425" i="2"/>
  <c r="V425" i="2"/>
  <c r="U425" i="2"/>
  <c r="T425" i="2"/>
  <c r="S425" i="2"/>
  <c r="R425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AB424" i="2"/>
  <c r="AA424" i="2"/>
  <c r="Z424" i="2"/>
  <c r="Y424" i="2"/>
  <c r="X424" i="2"/>
  <c r="W424" i="2"/>
  <c r="V424" i="2"/>
  <c r="U424" i="2"/>
  <c r="T424" i="2"/>
  <c r="S424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AB423" i="2"/>
  <c r="AA423" i="2"/>
  <c r="Z423" i="2"/>
  <c r="Y423" i="2"/>
  <c r="X423" i="2"/>
  <c r="W423" i="2"/>
  <c r="V423" i="2"/>
  <c r="U423" i="2"/>
  <c r="T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AB422" i="2"/>
  <c r="AA422" i="2"/>
  <c r="Z422" i="2"/>
  <c r="Y422" i="2"/>
  <c r="X422" i="2"/>
  <c r="W422" i="2"/>
  <c r="V422" i="2"/>
  <c r="U422" i="2"/>
  <c r="T422" i="2"/>
  <c r="S422" i="2"/>
  <c r="R422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AB421" i="2"/>
  <c r="AA421" i="2"/>
  <c r="Z421" i="2"/>
  <c r="Y421" i="2"/>
  <c r="X421" i="2"/>
  <c r="W421" i="2"/>
  <c r="V421" i="2"/>
  <c r="U421" i="2"/>
  <c r="T421" i="2"/>
  <c r="S421" i="2"/>
  <c r="R421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H420" i="2"/>
  <c r="G420" i="2"/>
  <c r="F420" i="2"/>
  <c r="E420" i="2"/>
  <c r="D420" i="2"/>
  <c r="C420" i="2"/>
  <c r="B420" i="2"/>
  <c r="AB419" i="2"/>
  <c r="AA419" i="2"/>
  <c r="Z419" i="2"/>
  <c r="Y419" i="2"/>
  <c r="X419" i="2"/>
  <c r="W419" i="2"/>
  <c r="V419" i="2"/>
  <c r="U419" i="2"/>
  <c r="T419" i="2"/>
  <c r="S419" i="2"/>
  <c r="R419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B419" i="2"/>
  <c r="AB418" i="2"/>
  <c r="AA418" i="2"/>
  <c r="Z418" i="2"/>
  <c r="Y418" i="2"/>
  <c r="X418" i="2"/>
  <c r="W418" i="2"/>
  <c r="V418" i="2"/>
  <c r="U418" i="2"/>
  <c r="T418" i="2"/>
  <c r="S418" i="2"/>
  <c r="R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AB417" i="2"/>
  <c r="AA417" i="2"/>
  <c r="Z417" i="2"/>
  <c r="Y417" i="2"/>
  <c r="X417" i="2"/>
  <c r="W417" i="2"/>
  <c r="V417" i="2"/>
  <c r="U417" i="2"/>
  <c r="T417" i="2"/>
  <c r="S417" i="2"/>
  <c r="R417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B417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AB412" i="2"/>
  <c r="AA412" i="2"/>
  <c r="Z412" i="2"/>
  <c r="Y412" i="2"/>
  <c r="X412" i="2"/>
  <c r="W412" i="2"/>
  <c r="V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AB404" i="2"/>
  <c r="AA404" i="2"/>
  <c r="Z404" i="2"/>
  <c r="Y404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AB403" i="2"/>
  <c r="AA403" i="2"/>
  <c r="Z403" i="2"/>
  <c r="Y403" i="2"/>
  <c r="X403" i="2"/>
  <c r="W403" i="2"/>
  <c r="V403" i="2"/>
  <c r="U403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AB402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AB401" i="2"/>
  <c r="AA401" i="2"/>
  <c r="Z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AB400" i="2"/>
  <c r="AA400" i="2"/>
  <c r="Z400" i="2"/>
  <c r="Y400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AB398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AB397" i="2"/>
  <c r="AA397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AB396" i="2"/>
  <c r="AA396" i="2"/>
  <c r="Z396" i="2"/>
  <c r="Y396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AB395" i="2"/>
  <c r="AA395" i="2"/>
  <c r="Z395" i="2"/>
  <c r="Y395" i="2"/>
  <c r="X395" i="2"/>
  <c r="W395" i="2"/>
  <c r="V395" i="2"/>
  <c r="U395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AB394" i="2"/>
  <c r="AA394" i="2"/>
  <c r="Z394" i="2"/>
  <c r="Y394" i="2"/>
  <c r="X394" i="2"/>
  <c r="W394" i="2"/>
  <c r="V394" i="2"/>
  <c r="U394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AB393" i="2"/>
  <c r="AA393" i="2"/>
  <c r="Z393" i="2"/>
  <c r="Y393" i="2"/>
  <c r="X393" i="2"/>
  <c r="W393" i="2"/>
  <c r="V393" i="2"/>
  <c r="U393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AB392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AB390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AB388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AB387" i="2"/>
  <c r="AA387" i="2"/>
  <c r="Z387" i="2"/>
  <c r="Y387" i="2"/>
  <c r="X387" i="2"/>
  <c r="W387" i="2"/>
  <c r="V387" i="2"/>
  <c r="U387" i="2"/>
  <c r="T387" i="2"/>
  <c r="S387" i="2"/>
  <c r="R387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386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385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AB379" i="2"/>
  <c r="AA379" i="2"/>
  <c r="Z379" i="2"/>
  <c r="Y379" i="2"/>
  <c r="X379" i="2"/>
  <c r="W379" i="2"/>
  <c r="V379" i="2"/>
  <c r="U379" i="2"/>
  <c r="T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AB378" i="2"/>
  <c r="AA378" i="2"/>
  <c r="Z378" i="2"/>
  <c r="Y378" i="2"/>
  <c r="X378" i="2"/>
  <c r="W378" i="2"/>
  <c r="V378" i="2"/>
  <c r="U378" i="2"/>
  <c r="T378" i="2"/>
  <c r="S378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AB370" i="2"/>
  <c r="AA370" i="2"/>
  <c r="Z370" i="2"/>
  <c r="Y370" i="2"/>
  <c r="X370" i="2"/>
  <c r="W370" i="2"/>
  <c r="V370" i="2"/>
  <c r="U370" i="2"/>
  <c r="T370" i="2"/>
  <c r="S370" i="2"/>
  <c r="R370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B370" i="2"/>
  <c r="AB369" i="2"/>
  <c r="AA369" i="2"/>
  <c r="Z369" i="2"/>
  <c r="Y369" i="2"/>
  <c r="X369" i="2"/>
  <c r="W369" i="2"/>
  <c r="V369" i="2"/>
  <c r="U369" i="2"/>
  <c r="T369" i="2"/>
  <c r="S369" i="2"/>
  <c r="R369" i="2"/>
  <c r="Q369" i="2"/>
  <c r="P369" i="2"/>
  <c r="O369" i="2"/>
  <c r="N369" i="2"/>
  <c r="M369" i="2"/>
  <c r="L369" i="2"/>
  <c r="K369" i="2"/>
  <c r="J369" i="2"/>
  <c r="I369" i="2"/>
  <c r="H369" i="2"/>
  <c r="G369" i="2"/>
  <c r="F369" i="2"/>
  <c r="E369" i="2"/>
  <c r="D369" i="2"/>
  <c r="C369" i="2"/>
  <c r="B369" i="2"/>
  <c r="AB368" i="2"/>
  <c r="AA368" i="2"/>
  <c r="Z368" i="2"/>
  <c r="Y368" i="2"/>
  <c r="X368" i="2"/>
  <c r="W368" i="2"/>
  <c r="V368" i="2"/>
  <c r="U368" i="2"/>
  <c r="T368" i="2"/>
  <c r="S368" i="2"/>
  <c r="R368" i="2"/>
  <c r="Q368" i="2"/>
  <c r="P368" i="2"/>
  <c r="O368" i="2"/>
  <c r="N368" i="2"/>
  <c r="M368" i="2"/>
  <c r="L368" i="2"/>
  <c r="K368" i="2"/>
  <c r="J368" i="2"/>
  <c r="I368" i="2"/>
  <c r="H368" i="2"/>
  <c r="G368" i="2"/>
  <c r="F368" i="2"/>
  <c r="E368" i="2"/>
  <c r="D368" i="2"/>
  <c r="C368" i="2"/>
  <c r="B368" i="2"/>
  <c r="AB367" i="2"/>
  <c r="AA367" i="2"/>
  <c r="Z367" i="2"/>
  <c r="Y367" i="2"/>
  <c r="X367" i="2"/>
  <c r="W367" i="2"/>
  <c r="V367" i="2"/>
  <c r="U367" i="2"/>
  <c r="T367" i="2"/>
  <c r="S367" i="2"/>
  <c r="R367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AB366" i="2"/>
  <c r="AA366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B366" i="2"/>
  <c r="AB365" i="2"/>
  <c r="AA365" i="2"/>
  <c r="Z365" i="2"/>
  <c r="Y365" i="2"/>
  <c r="X365" i="2"/>
  <c r="W365" i="2"/>
  <c r="V365" i="2"/>
  <c r="U365" i="2"/>
  <c r="T365" i="2"/>
  <c r="S365" i="2"/>
  <c r="R365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AB364" i="2"/>
  <c r="AA364" i="2"/>
  <c r="Z364" i="2"/>
  <c r="Y364" i="2"/>
  <c r="X364" i="2"/>
  <c r="W364" i="2"/>
  <c r="V364" i="2"/>
  <c r="U364" i="2"/>
  <c r="T364" i="2"/>
  <c r="S364" i="2"/>
  <c r="R364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E364" i="2"/>
  <c r="D364" i="2"/>
  <c r="C364" i="2"/>
  <c r="B364" i="2"/>
  <c r="AB363" i="2"/>
  <c r="AA363" i="2"/>
  <c r="Z363" i="2"/>
  <c r="Y363" i="2"/>
  <c r="X363" i="2"/>
  <c r="W363" i="2"/>
  <c r="V363" i="2"/>
  <c r="U363" i="2"/>
  <c r="T363" i="2"/>
  <c r="S363" i="2"/>
  <c r="R363" i="2"/>
  <c r="Q363" i="2"/>
  <c r="P363" i="2"/>
  <c r="O363" i="2"/>
  <c r="N363" i="2"/>
  <c r="M363" i="2"/>
  <c r="L363" i="2"/>
  <c r="K363" i="2"/>
  <c r="J363" i="2"/>
  <c r="I363" i="2"/>
  <c r="H363" i="2"/>
  <c r="G363" i="2"/>
  <c r="F363" i="2"/>
  <c r="E363" i="2"/>
  <c r="D363" i="2"/>
  <c r="C363" i="2"/>
  <c r="B363" i="2"/>
  <c r="AB362" i="2"/>
  <c r="AA362" i="2"/>
  <c r="Z362" i="2"/>
  <c r="Y362" i="2"/>
  <c r="X362" i="2"/>
  <c r="W362" i="2"/>
  <c r="V362" i="2"/>
  <c r="U362" i="2"/>
  <c r="T362" i="2"/>
  <c r="S362" i="2"/>
  <c r="R362" i="2"/>
  <c r="Q362" i="2"/>
  <c r="P362" i="2"/>
  <c r="O362" i="2"/>
  <c r="N362" i="2"/>
  <c r="M362" i="2"/>
  <c r="L362" i="2"/>
  <c r="K362" i="2"/>
  <c r="J362" i="2"/>
  <c r="I362" i="2"/>
  <c r="H362" i="2"/>
  <c r="G362" i="2"/>
  <c r="F362" i="2"/>
  <c r="E362" i="2"/>
  <c r="D362" i="2"/>
  <c r="C362" i="2"/>
  <c r="B362" i="2"/>
  <c r="AB361" i="2"/>
  <c r="AA361" i="2"/>
  <c r="Z361" i="2"/>
  <c r="Y361" i="2"/>
  <c r="X361" i="2"/>
  <c r="W361" i="2"/>
  <c r="V361" i="2"/>
  <c r="U361" i="2"/>
  <c r="T361" i="2"/>
  <c r="S361" i="2"/>
  <c r="R361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AB360" i="2"/>
  <c r="AA360" i="2"/>
  <c r="Z360" i="2"/>
  <c r="Y360" i="2"/>
  <c r="X360" i="2"/>
  <c r="W360" i="2"/>
  <c r="V360" i="2"/>
  <c r="U360" i="2"/>
  <c r="T360" i="2"/>
  <c r="S360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AB338" i="2"/>
  <c r="AA338" i="2"/>
  <c r="Z338" i="2"/>
  <c r="Y338" i="2"/>
  <c r="X338" i="2"/>
  <c r="W338" i="2"/>
  <c r="V338" i="2"/>
  <c r="U338" i="2"/>
  <c r="T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B337" i="2"/>
  <c r="AB336" i="2"/>
  <c r="AA336" i="2"/>
  <c r="Z336" i="2"/>
  <c r="Y336" i="2"/>
  <c r="X336" i="2"/>
  <c r="W336" i="2"/>
  <c r="V336" i="2"/>
  <c r="U336" i="2"/>
  <c r="T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AB335" i="2"/>
  <c r="AA335" i="2"/>
  <c r="Z335" i="2"/>
  <c r="Y335" i="2"/>
  <c r="X335" i="2"/>
  <c r="W335" i="2"/>
  <c r="V335" i="2"/>
  <c r="U335" i="2"/>
  <c r="T335" i="2"/>
  <c r="S335" i="2"/>
  <c r="R335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AB334" i="2"/>
  <c r="AA334" i="2"/>
  <c r="Z334" i="2"/>
  <c r="Y334" i="2"/>
  <c r="X334" i="2"/>
  <c r="W334" i="2"/>
  <c r="V334" i="2"/>
  <c r="U334" i="2"/>
  <c r="T334" i="2"/>
  <c r="S334" i="2"/>
  <c r="R334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AB333" i="2"/>
  <c r="AA333" i="2"/>
  <c r="Z333" i="2"/>
  <c r="Y333" i="2"/>
  <c r="X333" i="2"/>
  <c r="W333" i="2"/>
  <c r="V333" i="2"/>
  <c r="U333" i="2"/>
  <c r="T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B333" i="2"/>
  <c r="AB332" i="2"/>
  <c r="AA332" i="2"/>
  <c r="Z332" i="2"/>
  <c r="Y332" i="2"/>
  <c r="X332" i="2"/>
  <c r="W332" i="2"/>
  <c r="V332" i="2"/>
  <c r="U332" i="2"/>
  <c r="T332" i="2"/>
  <c r="S332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B332" i="2"/>
  <c r="AB331" i="2"/>
  <c r="AA331" i="2"/>
  <c r="Z331" i="2"/>
  <c r="Y331" i="2"/>
  <c r="X331" i="2"/>
  <c r="W331" i="2"/>
  <c r="V331" i="2"/>
  <c r="U331" i="2"/>
  <c r="T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B331" i="2"/>
  <c r="AB330" i="2"/>
  <c r="AA330" i="2"/>
  <c r="Z330" i="2"/>
  <c r="Y330" i="2"/>
  <c r="X330" i="2"/>
  <c r="W330" i="2"/>
  <c r="V330" i="2"/>
  <c r="U330" i="2"/>
  <c r="T330" i="2"/>
  <c r="S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B330" i="2"/>
  <c r="AB329" i="2"/>
  <c r="AA329" i="2"/>
  <c r="Z329" i="2"/>
  <c r="Y329" i="2"/>
  <c r="X329" i="2"/>
  <c r="W329" i="2"/>
  <c r="V329" i="2"/>
  <c r="U329" i="2"/>
  <c r="T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B329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AB327" i="2"/>
  <c r="AA327" i="2"/>
  <c r="Z327" i="2"/>
  <c r="Y327" i="2"/>
  <c r="X327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AB326" i="2"/>
  <c r="AA326" i="2"/>
  <c r="Z326" i="2"/>
  <c r="Y326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AB321" i="2"/>
  <c r="AA321" i="2"/>
  <c r="Z321" i="2"/>
  <c r="Y321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AB320" i="2"/>
  <c r="AA320" i="2"/>
  <c r="Z320" i="2"/>
  <c r="Y320" i="2"/>
  <c r="X320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AB319" i="2"/>
  <c r="AA319" i="2"/>
  <c r="Z319" i="2"/>
  <c r="Y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AB316" i="2"/>
  <c r="AA316" i="2"/>
  <c r="Z316" i="2"/>
  <c r="Y316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AB315" i="2"/>
  <c r="AA315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AB314" i="2"/>
  <c r="AA314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AB312" i="2"/>
  <c r="AA312" i="2"/>
  <c r="Z312" i="2"/>
  <c r="Y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AB311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AB309" i="2"/>
  <c r="AA309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AB308" i="2"/>
  <c r="AA308" i="2"/>
  <c r="Z308" i="2"/>
  <c r="Y308" i="2"/>
  <c r="X308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AB307" i="2"/>
  <c r="AA307" i="2"/>
  <c r="Z307" i="2"/>
  <c r="Y307" i="2"/>
  <c r="X307" i="2"/>
  <c r="W307" i="2"/>
  <c r="V307" i="2"/>
  <c r="U307" i="2"/>
  <c r="T307" i="2"/>
  <c r="S307" i="2"/>
  <c r="R307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E307" i="2"/>
  <c r="D307" i="2"/>
  <c r="C307" i="2"/>
  <c r="B307" i="2"/>
  <c r="AB306" i="2"/>
  <c r="AA306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306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B305" i="2"/>
  <c r="AB304" i="2"/>
  <c r="AA304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304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AB302" i="2"/>
  <c r="AA302" i="2"/>
  <c r="Z302" i="2"/>
  <c r="Y302" i="2"/>
  <c r="X302" i="2"/>
  <c r="W302" i="2"/>
  <c r="V302" i="2"/>
  <c r="U302" i="2"/>
  <c r="T302" i="2"/>
  <c r="S302" i="2"/>
  <c r="R302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E302" i="2"/>
  <c r="D302" i="2"/>
  <c r="C302" i="2"/>
  <c r="B302" i="2"/>
  <c r="AB301" i="2"/>
  <c r="AA301" i="2"/>
  <c r="Z301" i="2"/>
  <c r="Y301" i="2"/>
  <c r="X301" i="2"/>
  <c r="W301" i="2"/>
  <c r="V301" i="2"/>
  <c r="U301" i="2"/>
  <c r="T301" i="2"/>
  <c r="S301" i="2"/>
  <c r="R301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298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AB296" i="2"/>
  <c r="AA296" i="2"/>
  <c r="Z296" i="2"/>
  <c r="Y296" i="2"/>
  <c r="X296" i="2"/>
  <c r="W296" i="2"/>
  <c r="V296" i="2"/>
  <c r="U296" i="2"/>
  <c r="T296" i="2"/>
  <c r="S296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AB295" i="2"/>
  <c r="AA295" i="2"/>
  <c r="Z295" i="2"/>
  <c r="Y295" i="2"/>
  <c r="X295" i="2"/>
  <c r="W295" i="2"/>
  <c r="V295" i="2"/>
  <c r="U295" i="2"/>
  <c r="T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B295" i="2"/>
  <c r="AB294" i="2"/>
  <c r="AA294" i="2"/>
  <c r="Z294" i="2"/>
  <c r="Y294" i="2"/>
  <c r="X294" i="2"/>
  <c r="W294" i="2"/>
  <c r="V294" i="2"/>
  <c r="U294" i="2"/>
  <c r="T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B294" i="2"/>
  <c r="AB293" i="2"/>
  <c r="AA293" i="2"/>
  <c r="Z293" i="2"/>
  <c r="Y293" i="2"/>
  <c r="X293" i="2"/>
  <c r="W293" i="2"/>
  <c r="V293" i="2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AB291" i="2"/>
  <c r="AA291" i="2"/>
  <c r="Z291" i="2"/>
  <c r="Y291" i="2"/>
  <c r="X291" i="2"/>
  <c r="W291" i="2"/>
  <c r="V291" i="2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AB289" i="2"/>
  <c r="AA289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AB288" i="2"/>
  <c r="AA288" i="2"/>
  <c r="Z288" i="2"/>
  <c r="Y288" i="2"/>
  <c r="X288" i="2"/>
  <c r="W288" i="2"/>
  <c r="V288" i="2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AB287" i="2"/>
  <c r="AA287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B287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AB285" i="2"/>
  <c r="AA285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AB283" i="2"/>
  <c r="AA283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AB282" i="2"/>
  <c r="AA282" i="2"/>
  <c r="Z282" i="2"/>
  <c r="Y282" i="2"/>
  <c r="X282" i="2"/>
  <c r="W282" i="2"/>
  <c r="V282" i="2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AB281" i="2"/>
  <c r="AA281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AB279" i="2"/>
  <c r="AA279" i="2"/>
  <c r="Z279" i="2"/>
  <c r="Y279" i="2"/>
  <c r="X279" i="2"/>
  <c r="W279" i="2"/>
  <c r="V279" i="2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AB278" i="2"/>
  <c r="AA278" i="2"/>
  <c r="Z278" i="2"/>
  <c r="Y278" i="2"/>
  <c r="X278" i="2"/>
  <c r="W278" i="2"/>
  <c r="V278" i="2"/>
  <c r="U278" i="2"/>
  <c r="T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AB270" i="2"/>
  <c r="AA270" i="2"/>
  <c r="Z270" i="2"/>
  <c r="Y270" i="2"/>
  <c r="X270" i="2"/>
  <c r="W270" i="2"/>
  <c r="V270" i="2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AB262" i="2"/>
  <c r="AA262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AB261" i="2"/>
  <c r="AA261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AB260" i="2"/>
  <c r="AA260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AB259" i="2"/>
  <c r="AA259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AB258" i="2"/>
  <c r="AA258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AB257" i="2"/>
  <c r="AA257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AB256" i="2"/>
  <c r="AA256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AB255" i="2"/>
  <c r="AA255" i="2"/>
  <c r="Z255" i="2"/>
  <c r="Y255" i="2"/>
  <c r="X255" i="2"/>
  <c r="W255" i="2"/>
  <c r="V255" i="2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AB254" i="2"/>
  <c r="AA254" i="2"/>
  <c r="Z254" i="2"/>
  <c r="Y254" i="2"/>
  <c r="X254" i="2"/>
  <c r="W254" i="2"/>
  <c r="V254" i="2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AB253" i="2"/>
  <c r="AA253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AB252" i="2"/>
  <c r="AA252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B252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AB244" i="2"/>
  <c r="AA244" i="2"/>
  <c r="Z244" i="2"/>
  <c r="Y244" i="2"/>
  <c r="X244" i="2"/>
  <c r="W244" i="2"/>
  <c r="V244" i="2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AB243" i="2"/>
  <c r="AA243" i="2"/>
  <c r="Z243" i="2"/>
  <c r="Y243" i="2"/>
  <c r="X243" i="2"/>
  <c r="W243" i="2"/>
  <c r="V243" i="2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AB235" i="2"/>
  <c r="AA235" i="2"/>
  <c r="Z235" i="2"/>
  <c r="Y235" i="2"/>
  <c r="X235" i="2"/>
  <c r="W235" i="2"/>
  <c r="V235" i="2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AB234" i="2"/>
  <c r="AA234" i="2"/>
  <c r="Z234" i="2"/>
  <c r="Y234" i="2"/>
  <c r="X234" i="2"/>
  <c r="W234" i="2"/>
  <c r="V234" i="2"/>
  <c r="U234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AB232" i="2"/>
  <c r="AA232" i="2"/>
  <c r="Z232" i="2"/>
  <c r="Y232" i="2"/>
  <c r="X232" i="2"/>
  <c r="W232" i="2"/>
  <c r="V232" i="2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AB231" i="2"/>
  <c r="AA231" i="2"/>
  <c r="Z231" i="2"/>
  <c r="Y231" i="2"/>
  <c r="X231" i="2"/>
  <c r="W231" i="2"/>
  <c r="V231" i="2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AB230" i="2"/>
  <c r="AA230" i="2"/>
  <c r="Z230" i="2"/>
  <c r="Y230" i="2"/>
  <c r="X230" i="2"/>
  <c r="W230" i="2"/>
  <c r="V230" i="2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AB229" i="2"/>
  <c r="AA229" i="2"/>
  <c r="Z229" i="2"/>
  <c r="Y229" i="2"/>
  <c r="X229" i="2"/>
  <c r="W229" i="2"/>
  <c r="V229" i="2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AB228" i="2"/>
  <c r="AA228" i="2"/>
  <c r="Z228" i="2"/>
  <c r="Y228" i="2"/>
  <c r="X228" i="2"/>
  <c r="W228" i="2"/>
  <c r="V228" i="2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AB227" i="2"/>
  <c r="AA227" i="2"/>
  <c r="Z227" i="2"/>
  <c r="Y227" i="2"/>
  <c r="X227" i="2"/>
  <c r="W227" i="2"/>
  <c r="V227" i="2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AB226" i="2"/>
  <c r="AA226" i="2"/>
  <c r="Z226" i="2"/>
  <c r="Y226" i="2"/>
  <c r="X226" i="2"/>
  <c r="W226" i="2"/>
  <c r="V226" i="2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AB225" i="2"/>
  <c r="AA225" i="2"/>
  <c r="Z225" i="2"/>
  <c r="Y225" i="2"/>
  <c r="X225" i="2"/>
  <c r="W225" i="2"/>
  <c r="V225" i="2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AB224" i="2"/>
  <c r="AA224" i="2"/>
  <c r="Z224" i="2"/>
  <c r="Y224" i="2"/>
  <c r="X224" i="2"/>
  <c r="W224" i="2"/>
  <c r="V224" i="2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AB223" i="2"/>
  <c r="AA223" i="2"/>
  <c r="Z223" i="2"/>
  <c r="Y223" i="2"/>
  <c r="X223" i="2"/>
  <c r="W223" i="2"/>
  <c r="V223" i="2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AB222" i="2"/>
  <c r="AA222" i="2"/>
  <c r="Z222" i="2"/>
  <c r="Y222" i="2"/>
  <c r="X222" i="2"/>
  <c r="W222" i="2"/>
  <c r="V222" i="2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AB221" i="2"/>
  <c r="AA221" i="2"/>
  <c r="Z221" i="2"/>
  <c r="Y221" i="2"/>
  <c r="X221" i="2"/>
  <c r="W221" i="2"/>
  <c r="V221" i="2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AB220" i="2"/>
  <c r="AA220" i="2"/>
  <c r="Z220" i="2"/>
  <c r="Y220" i="2"/>
  <c r="X220" i="2"/>
  <c r="W220" i="2"/>
  <c r="V220" i="2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AB219" i="2"/>
  <c r="AA219" i="2"/>
  <c r="Z219" i="2"/>
  <c r="Y219" i="2"/>
  <c r="X219" i="2"/>
  <c r="W219" i="2"/>
  <c r="V219" i="2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AB218" i="2"/>
  <c r="AA218" i="2"/>
  <c r="Z218" i="2"/>
  <c r="Y218" i="2"/>
  <c r="X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AB217" i="2"/>
  <c r="AA217" i="2"/>
  <c r="Z217" i="2"/>
  <c r="Y217" i="2"/>
  <c r="X217" i="2"/>
  <c r="W217" i="2"/>
  <c r="V217" i="2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AB161" i="2"/>
  <c r="AA161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E130" i="3" s="1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H121" i="3" s="1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H110" i="3" s="1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H102" i="3" s="1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H94" i="3" s="1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H86" i="3" s="1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H78" i="3" s="1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H70" i="3" s="1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A2" i="2"/>
  <c r="C38" i="14"/>
  <c r="C23" i="14"/>
  <c r="I22" i="14"/>
  <c r="I37" i="14" s="1"/>
  <c r="H22" i="14"/>
  <c r="H37" i="14" s="1"/>
  <c r="G22" i="14"/>
  <c r="G37" i="14" s="1"/>
  <c r="F22" i="14"/>
  <c r="F37" i="14" s="1"/>
  <c r="E22" i="14"/>
  <c r="E37" i="14" s="1"/>
  <c r="D22" i="14"/>
  <c r="C22" i="14"/>
  <c r="C37" i="14" s="1"/>
  <c r="B22" i="14"/>
  <c r="B37" i="14" s="1"/>
  <c r="A22" i="14"/>
  <c r="A37" i="14" s="1"/>
  <c r="E4" i="14"/>
  <c r="E3" i="14"/>
  <c r="R281" i="13"/>
  <c r="Q281" i="13"/>
  <c r="P281" i="13"/>
  <c r="O281" i="13"/>
  <c r="N281" i="13"/>
  <c r="M281" i="13"/>
  <c r="R280" i="13"/>
  <c r="Q280" i="13"/>
  <c r="P280" i="13"/>
  <c r="O280" i="13"/>
  <c r="N280" i="13"/>
  <c r="M280" i="13"/>
  <c r="R279" i="13"/>
  <c r="Q279" i="13"/>
  <c r="P279" i="13"/>
  <c r="O279" i="13"/>
  <c r="N279" i="13"/>
  <c r="M279" i="13"/>
  <c r="R278" i="13"/>
  <c r="Q278" i="13"/>
  <c r="P278" i="13"/>
  <c r="O278" i="13"/>
  <c r="N278" i="13"/>
  <c r="M278" i="13"/>
  <c r="R277" i="13"/>
  <c r="Q277" i="13"/>
  <c r="P277" i="13"/>
  <c r="O277" i="13"/>
  <c r="N277" i="13"/>
  <c r="M277" i="13"/>
  <c r="R276" i="13"/>
  <c r="Q276" i="13"/>
  <c r="P276" i="13"/>
  <c r="O276" i="13"/>
  <c r="N276" i="13"/>
  <c r="M276" i="13"/>
  <c r="R275" i="13"/>
  <c r="Q275" i="13"/>
  <c r="P275" i="13"/>
  <c r="O275" i="13"/>
  <c r="N275" i="13"/>
  <c r="M275" i="13"/>
  <c r="R274" i="13"/>
  <c r="Q274" i="13"/>
  <c r="P274" i="13"/>
  <c r="O274" i="13"/>
  <c r="N274" i="13"/>
  <c r="M274" i="13"/>
  <c r="R273" i="13"/>
  <c r="Q273" i="13"/>
  <c r="P273" i="13"/>
  <c r="O273" i="13"/>
  <c r="N273" i="13"/>
  <c r="M273" i="13"/>
  <c r="R272" i="13"/>
  <c r="Q272" i="13"/>
  <c r="P272" i="13"/>
  <c r="O272" i="13"/>
  <c r="N272" i="13"/>
  <c r="M272" i="13"/>
  <c r="R271" i="13"/>
  <c r="Q271" i="13"/>
  <c r="P271" i="13"/>
  <c r="O271" i="13"/>
  <c r="N271" i="13"/>
  <c r="M271" i="13"/>
  <c r="R270" i="13"/>
  <c r="Q270" i="13"/>
  <c r="P270" i="13"/>
  <c r="O270" i="13"/>
  <c r="N270" i="13"/>
  <c r="M270" i="13"/>
  <c r="R269" i="13"/>
  <c r="Q269" i="13"/>
  <c r="P269" i="13"/>
  <c r="O269" i="13"/>
  <c r="N269" i="13"/>
  <c r="M269" i="13"/>
  <c r="R268" i="13"/>
  <c r="Q268" i="13"/>
  <c r="P268" i="13"/>
  <c r="O268" i="13"/>
  <c r="N268" i="13"/>
  <c r="M268" i="13"/>
  <c r="R267" i="13"/>
  <c r="Q267" i="13"/>
  <c r="P267" i="13"/>
  <c r="O267" i="13"/>
  <c r="N267" i="13"/>
  <c r="M267" i="13"/>
  <c r="R266" i="13"/>
  <c r="Q266" i="13"/>
  <c r="P266" i="13"/>
  <c r="O266" i="13"/>
  <c r="N266" i="13"/>
  <c r="M266" i="13"/>
  <c r="R265" i="13"/>
  <c r="Q265" i="13"/>
  <c r="P265" i="13"/>
  <c r="O265" i="13"/>
  <c r="N265" i="13"/>
  <c r="M265" i="13"/>
  <c r="R264" i="13"/>
  <c r="Q264" i="13"/>
  <c r="P264" i="13"/>
  <c r="O264" i="13"/>
  <c r="N264" i="13"/>
  <c r="M264" i="13"/>
  <c r="R263" i="13"/>
  <c r="Q263" i="13"/>
  <c r="P263" i="13"/>
  <c r="O263" i="13"/>
  <c r="N263" i="13"/>
  <c r="M263" i="13"/>
  <c r="R262" i="13"/>
  <c r="Q262" i="13"/>
  <c r="P262" i="13"/>
  <c r="O262" i="13"/>
  <c r="N262" i="13"/>
  <c r="M262" i="13"/>
  <c r="R261" i="13"/>
  <c r="Q261" i="13"/>
  <c r="P261" i="13"/>
  <c r="O261" i="13"/>
  <c r="N261" i="13"/>
  <c r="M261" i="13"/>
  <c r="R260" i="13"/>
  <c r="Q260" i="13"/>
  <c r="P260" i="13"/>
  <c r="O260" i="13"/>
  <c r="N260" i="13"/>
  <c r="M260" i="13"/>
  <c r="R259" i="13"/>
  <c r="Q259" i="13"/>
  <c r="P259" i="13"/>
  <c r="O259" i="13"/>
  <c r="N259" i="13"/>
  <c r="M259" i="13"/>
  <c r="R258" i="13"/>
  <c r="Q258" i="13"/>
  <c r="P258" i="13"/>
  <c r="O258" i="13"/>
  <c r="N258" i="13"/>
  <c r="M258" i="13"/>
  <c r="R257" i="13"/>
  <c r="Q257" i="13"/>
  <c r="P257" i="13"/>
  <c r="O257" i="13"/>
  <c r="N257" i="13"/>
  <c r="M257" i="13"/>
  <c r="R256" i="13"/>
  <c r="Q256" i="13"/>
  <c r="P256" i="13"/>
  <c r="O256" i="13"/>
  <c r="N256" i="13"/>
  <c r="M256" i="13"/>
  <c r="R255" i="13"/>
  <c r="Q255" i="13"/>
  <c r="P255" i="13"/>
  <c r="O255" i="13"/>
  <c r="N255" i="13"/>
  <c r="M255" i="13"/>
  <c r="R254" i="13"/>
  <c r="Q254" i="13"/>
  <c r="P254" i="13"/>
  <c r="O254" i="13"/>
  <c r="N254" i="13"/>
  <c r="M254" i="13"/>
  <c r="R253" i="13"/>
  <c r="Q253" i="13"/>
  <c r="P253" i="13"/>
  <c r="O253" i="13"/>
  <c r="N253" i="13"/>
  <c r="M253" i="13"/>
  <c r="R252" i="13"/>
  <c r="Q252" i="13"/>
  <c r="P252" i="13"/>
  <c r="O252" i="13"/>
  <c r="N252" i="13"/>
  <c r="M252" i="13"/>
  <c r="R251" i="13"/>
  <c r="Q251" i="13"/>
  <c r="P251" i="13"/>
  <c r="O251" i="13"/>
  <c r="N251" i="13"/>
  <c r="M251" i="13"/>
  <c r="R250" i="13"/>
  <c r="Q250" i="13"/>
  <c r="P250" i="13"/>
  <c r="O250" i="13"/>
  <c r="N250" i="13"/>
  <c r="M250" i="13"/>
  <c r="R249" i="13"/>
  <c r="Q249" i="13"/>
  <c r="P249" i="13"/>
  <c r="O249" i="13"/>
  <c r="N249" i="13"/>
  <c r="M249" i="13"/>
  <c r="R248" i="13"/>
  <c r="Q248" i="13"/>
  <c r="P248" i="13"/>
  <c r="O248" i="13"/>
  <c r="N248" i="13"/>
  <c r="M248" i="13"/>
  <c r="R247" i="13"/>
  <c r="Q247" i="13"/>
  <c r="P247" i="13"/>
  <c r="O247" i="13"/>
  <c r="N247" i="13"/>
  <c r="M247" i="13"/>
  <c r="R246" i="13"/>
  <c r="Q246" i="13"/>
  <c r="P246" i="13"/>
  <c r="O246" i="13"/>
  <c r="N246" i="13"/>
  <c r="M246" i="13"/>
  <c r="R245" i="13"/>
  <c r="Q245" i="13"/>
  <c r="P245" i="13"/>
  <c r="O245" i="13"/>
  <c r="N245" i="13"/>
  <c r="M245" i="13"/>
  <c r="R244" i="13"/>
  <c r="Q244" i="13"/>
  <c r="P244" i="13"/>
  <c r="O244" i="13"/>
  <c r="N244" i="13"/>
  <c r="M244" i="13"/>
  <c r="R243" i="13"/>
  <c r="Q243" i="13"/>
  <c r="P243" i="13"/>
  <c r="O243" i="13"/>
  <c r="N243" i="13"/>
  <c r="M243" i="13"/>
  <c r="R242" i="13"/>
  <c r="Q242" i="13"/>
  <c r="P242" i="13"/>
  <c r="O242" i="13"/>
  <c r="N242" i="13"/>
  <c r="M242" i="13"/>
  <c r="R241" i="13"/>
  <c r="Q241" i="13"/>
  <c r="P241" i="13"/>
  <c r="O241" i="13"/>
  <c r="N241" i="13"/>
  <c r="M241" i="13"/>
  <c r="R240" i="13"/>
  <c r="Q240" i="13"/>
  <c r="P240" i="13"/>
  <c r="O240" i="13"/>
  <c r="N240" i="13"/>
  <c r="M240" i="13"/>
  <c r="R239" i="13"/>
  <c r="Q239" i="13"/>
  <c r="P239" i="13"/>
  <c r="O239" i="13"/>
  <c r="N239" i="13"/>
  <c r="M239" i="13"/>
  <c r="R238" i="13"/>
  <c r="Q238" i="13"/>
  <c r="P238" i="13"/>
  <c r="O238" i="13"/>
  <c r="N238" i="13"/>
  <c r="M238" i="13"/>
  <c r="R237" i="13"/>
  <c r="Q237" i="13"/>
  <c r="P237" i="13"/>
  <c r="O237" i="13"/>
  <c r="N237" i="13"/>
  <c r="M237" i="13"/>
  <c r="R236" i="13"/>
  <c r="Q236" i="13"/>
  <c r="P236" i="13"/>
  <c r="O236" i="13"/>
  <c r="N236" i="13"/>
  <c r="M236" i="13"/>
  <c r="R235" i="13"/>
  <c r="Q235" i="13"/>
  <c r="P235" i="13"/>
  <c r="O235" i="13"/>
  <c r="N235" i="13"/>
  <c r="M235" i="13"/>
  <c r="R234" i="13"/>
  <c r="Q234" i="13"/>
  <c r="P234" i="13"/>
  <c r="O234" i="13"/>
  <c r="N234" i="13"/>
  <c r="M234" i="13"/>
  <c r="R233" i="13"/>
  <c r="Q233" i="13"/>
  <c r="P233" i="13"/>
  <c r="O233" i="13"/>
  <c r="N233" i="13"/>
  <c r="M233" i="13"/>
  <c r="R232" i="13"/>
  <c r="Q232" i="13"/>
  <c r="P232" i="13"/>
  <c r="O232" i="13"/>
  <c r="N232" i="13"/>
  <c r="M232" i="13"/>
  <c r="R231" i="13"/>
  <c r="Q231" i="13"/>
  <c r="P231" i="13"/>
  <c r="O231" i="13"/>
  <c r="N231" i="13"/>
  <c r="M231" i="13"/>
  <c r="R230" i="13"/>
  <c r="Q230" i="13"/>
  <c r="P230" i="13"/>
  <c r="O230" i="13"/>
  <c r="N230" i="13"/>
  <c r="M230" i="13"/>
  <c r="R229" i="13"/>
  <c r="Q229" i="13"/>
  <c r="P229" i="13"/>
  <c r="O229" i="13"/>
  <c r="N229" i="13"/>
  <c r="M229" i="13"/>
  <c r="R228" i="13"/>
  <c r="Q228" i="13"/>
  <c r="P228" i="13"/>
  <c r="O228" i="13"/>
  <c r="N228" i="13"/>
  <c r="M228" i="13"/>
  <c r="R227" i="13"/>
  <c r="Q227" i="13"/>
  <c r="P227" i="13"/>
  <c r="O227" i="13"/>
  <c r="N227" i="13"/>
  <c r="M227" i="13"/>
  <c r="R226" i="13"/>
  <c r="Q226" i="13"/>
  <c r="P226" i="13"/>
  <c r="O226" i="13"/>
  <c r="N226" i="13"/>
  <c r="M226" i="13"/>
  <c r="R225" i="13"/>
  <c r="Q225" i="13"/>
  <c r="P225" i="13"/>
  <c r="O225" i="13"/>
  <c r="N225" i="13"/>
  <c r="M225" i="13"/>
  <c r="R224" i="13"/>
  <c r="Q224" i="13"/>
  <c r="P224" i="13"/>
  <c r="O224" i="13"/>
  <c r="N224" i="13"/>
  <c r="M224" i="13"/>
  <c r="R223" i="13"/>
  <c r="Q223" i="13"/>
  <c r="P223" i="13"/>
  <c r="O223" i="13"/>
  <c r="N223" i="13"/>
  <c r="M223" i="13"/>
  <c r="R222" i="13"/>
  <c r="Q222" i="13"/>
  <c r="P222" i="13"/>
  <c r="O222" i="13"/>
  <c r="N222" i="13"/>
  <c r="M222" i="13"/>
  <c r="R221" i="13"/>
  <c r="Q221" i="13"/>
  <c r="P221" i="13"/>
  <c r="O221" i="13"/>
  <c r="N221" i="13"/>
  <c r="M221" i="13"/>
  <c r="R220" i="13"/>
  <c r="Q220" i="13"/>
  <c r="P220" i="13"/>
  <c r="O220" i="13"/>
  <c r="N220" i="13"/>
  <c r="M220" i="13"/>
  <c r="R219" i="13"/>
  <c r="Q219" i="13"/>
  <c r="P219" i="13"/>
  <c r="O219" i="13"/>
  <c r="N219" i="13"/>
  <c r="M219" i="13"/>
  <c r="R218" i="13"/>
  <c r="Q218" i="13"/>
  <c r="P218" i="13"/>
  <c r="O218" i="13"/>
  <c r="N218" i="13"/>
  <c r="M218" i="13"/>
  <c r="R217" i="13"/>
  <c r="Q217" i="13"/>
  <c r="P217" i="13"/>
  <c r="O217" i="13"/>
  <c r="N217" i="13"/>
  <c r="M217" i="13"/>
  <c r="R216" i="13"/>
  <c r="Q216" i="13"/>
  <c r="P216" i="13"/>
  <c r="O216" i="13"/>
  <c r="N216" i="13"/>
  <c r="M216" i="13"/>
  <c r="R215" i="13"/>
  <c r="Q215" i="13"/>
  <c r="P215" i="13"/>
  <c r="O215" i="13"/>
  <c r="N215" i="13"/>
  <c r="M215" i="13"/>
  <c r="R214" i="13"/>
  <c r="Q214" i="13"/>
  <c r="P214" i="13"/>
  <c r="O214" i="13"/>
  <c r="N214" i="13"/>
  <c r="M214" i="13"/>
  <c r="R213" i="13"/>
  <c r="Q213" i="13"/>
  <c r="P213" i="13"/>
  <c r="O213" i="13"/>
  <c r="N213" i="13"/>
  <c r="M213" i="13"/>
  <c r="R212" i="13"/>
  <c r="Q212" i="13"/>
  <c r="P212" i="13"/>
  <c r="O212" i="13"/>
  <c r="N212" i="13"/>
  <c r="M212" i="13"/>
  <c r="R211" i="13"/>
  <c r="Q211" i="13"/>
  <c r="P211" i="13"/>
  <c r="O211" i="13"/>
  <c r="N211" i="13"/>
  <c r="M211" i="13"/>
  <c r="R210" i="13"/>
  <c r="Q210" i="13"/>
  <c r="P210" i="13"/>
  <c r="O210" i="13"/>
  <c r="N210" i="13"/>
  <c r="M210" i="13"/>
  <c r="R209" i="13"/>
  <c r="Q209" i="13"/>
  <c r="P209" i="13"/>
  <c r="O209" i="13"/>
  <c r="N209" i="13"/>
  <c r="M209" i="13"/>
  <c r="R208" i="13"/>
  <c r="Q208" i="13"/>
  <c r="P208" i="13"/>
  <c r="O208" i="13"/>
  <c r="N208" i="13"/>
  <c r="M208" i="13"/>
  <c r="R207" i="13"/>
  <c r="Q207" i="13"/>
  <c r="P207" i="13"/>
  <c r="O207" i="13"/>
  <c r="N207" i="13"/>
  <c r="M207" i="13"/>
  <c r="R206" i="13"/>
  <c r="Q206" i="13"/>
  <c r="P206" i="13"/>
  <c r="O206" i="13"/>
  <c r="N206" i="13"/>
  <c r="M206" i="13"/>
  <c r="R205" i="13"/>
  <c r="Q205" i="13"/>
  <c r="P205" i="13"/>
  <c r="O205" i="13"/>
  <c r="N205" i="13"/>
  <c r="M205" i="13"/>
  <c r="R204" i="13"/>
  <c r="Q204" i="13"/>
  <c r="P204" i="13"/>
  <c r="O204" i="13"/>
  <c r="N204" i="13"/>
  <c r="M204" i="13"/>
  <c r="R203" i="13"/>
  <c r="Q203" i="13"/>
  <c r="P203" i="13"/>
  <c r="O203" i="13"/>
  <c r="N203" i="13"/>
  <c r="M203" i="13"/>
  <c r="R202" i="13"/>
  <c r="Q202" i="13"/>
  <c r="P202" i="13"/>
  <c r="O202" i="13"/>
  <c r="N202" i="13"/>
  <c r="M202" i="13"/>
  <c r="R201" i="13"/>
  <c r="Q201" i="13"/>
  <c r="P201" i="13"/>
  <c r="O201" i="13"/>
  <c r="N201" i="13"/>
  <c r="M201" i="13"/>
  <c r="R200" i="13"/>
  <c r="Q200" i="13"/>
  <c r="P200" i="13"/>
  <c r="O200" i="13"/>
  <c r="N200" i="13"/>
  <c r="M200" i="13"/>
  <c r="R199" i="13"/>
  <c r="Q199" i="13"/>
  <c r="P199" i="13"/>
  <c r="O199" i="13"/>
  <c r="N199" i="13"/>
  <c r="M199" i="13"/>
  <c r="R198" i="13"/>
  <c r="Q198" i="13"/>
  <c r="P198" i="13"/>
  <c r="O198" i="13"/>
  <c r="N198" i="13"/>
  <c r="M198" i="13"/>
  <c r="R197" i="13"/>
  <c r="Q197" i="13"/>
  <c r="P197" i="13"/>
  <c r="O197" i="13"/>
  <c r="N197" i="13"/>
  <c r="M197" i="13"/>
  <c r="R196" i="13"/>
  <c r="Q196" i="13"/>
  <c r="P196" i="13"/>
  <c r="O196" i="13"/>
  <c r="N196" i="13"/>
  <c r="M196" i="13"/>
  <c r="R195" i="13"/>
  <c r="Q195" i="13"/>
  <c r="P195" i="13"/>
  <c r="O195" i="13"/>
  <c r="N195" i="13"/>
  <c r="M195" i="13"/>
  <c r="R194" i="13"/>
  <c r="Q194" i="13"/>
  <c r="P194" i="13"/>
  <c r="O194" i="13"/>
  <c r="N194" i="13"/>
  <c r="M194" i="13"/>
  <c r="R193" i="13"/>
  <c r="Q193" i="13"/>
  <c r="P193" i="13"/>
  <c r="O193" i="13"/>
  <c r="N193" i="13"/>
  <c r="M193" i="13"/>
  <c r="R192" i="13"/>
  <c r="Q192" i="13"/>
  <c r="P192" i="13"/>
  <c r="O192" i="13"/>
  <c r="N192" i="13"/>
  <c r="M192" i="13"/>
  <c r="R191" i="13"/>
  <c r="Q191" i="13"/>
  <c r="P191" i="13"/>
  <c r="O191" i="13"/>
  <c r="N191" i="13"/>
  <c r="M191" i="13"/>
  <c r="R190" i="13"/>
  <c r="Q190" i="13"/>
  <c r="P190" i="13"/>
  <c r="O190" i="13"/>
  <c r="N190" i="13"/>
  <c r="M190" i="13"/>
  <c r="R189" i="13"/>
  <c r="Q189" i="13"/>
  <c r="P189" i="13"/>
  <c r="O189" i="13"/>
  <c r="N189" i="13"/>
  <c r="M189" i="13"/>
  <c r="R188" i="13"/>
  <c r="Q188" i="13"/>
  <c r="P188" i="13"/>
  <c r="O188" i="13"/>
  <c r="N188" i="13"/>
  <c r="M188" i="13"/>
  <c r="R187" i="13"/>
  <c r="Q187" i="13"/>
  <c r="P187" i="13"/>
  <c r="O187" i="13"/>
  <c r="N187" i="13"/>
  <c r="M187" i="13"/>
  <c r="R186" i="13"/>
  <c r="Q186" i="13"/>
  <c r="P186" i="13"/>
  <c r="O186" i="13"/>
  <c r="N186" i="13"/>
  <c r="M186" i="13"/>
  <c r="R185" i="13"/>
  <c r="Q185" i="13"/>
  <c r="P185" i="13"/>
  <c r="O185" i="13"/>
  <c r="N185" i="13"/>
  <c r="M185" i="13"/>
  <c r="R184" i="13"/>
  <c r="Q184" i="13"/>
  <c r="P184" i="13"/>
  <c r="O184" i="13"/>
  <c r="N184" i="13"/>
  <c r="M184" i="13"/>
  <c r="R183" i="13"/>
  <c r="Q183" i="13"/>
  <c r="P183" i="13"/>
  <c r="O183" i="13"/>
  <c r="N183" i="13"/>
  <c r="M183" i="13"/>
  <c r="R182" i="13"/>
  <c r="Q182" i="13"/>
  <c r="P182" i="13"/>
  <c r="O182" i="13"/>
  <c r="N182" i="13"/>
  <c r="M182" i="13"/>
  <c r="R181" i="13"/>
  <c r="Q181" i="13"/>
  <c r="P181" i="13"/>
  <c r="O181" i="13"/>
  <c r="N181" i="13"/>
  <c r="M181" i="13"/>
  <c r="R180" i="13"/>
  <c r="Q180" i="13"/>
  <c r="P180" i="13"/>
  <c r="O180" i="13"/>
  <c r="N180" i="13"/>
  <c r="M180" i="13"/>
  <c r="R179" i="13"/>
  <c r="Q179" i="13"/>
  <c r="P179" i="13"/>
  <c r="O179" i="13"/>
  <c r="N179" i="13"/>
  <c r="M179" i="13"/>
  <c r="R178" i="13"/>
  <c r="Q178" i="13"/>
  <c r="P178" i="13"/>
  <c r="O178" i="13"/>
  <c r="N178" i="13"/>
  <c r="M178" i="13"/>
  <c r="R177" i="13"/>
  <c r="Q177" i="13"/>
  <c r="P177" i="13"/>
  <c r="O177" i="13"/>
  <c r="N177" i="13"/>
  <c r="M177" i="13"/>
  <c r="R176" i="13"/>
  <c r="Q176" i="13"/>
  <c r="P176" i="13"/>
  <c r="O176" i="13"/>
  <c r="N176" i="13"/>
  <c r="M176" i="13"/>
  <c r="R175" i="13"/>
  <c r="Q175" i="13"/>
  <c r="P175" i="13"/>
  <c r="O175" i="13"/>
  <c r="N175" i="13"/>
  <c r="M175" i="13"/>
  <c r="R174" i="13"/>
  <c r="Q174" i="13"/>
  <c r="P174" i="13"/>
  <c r="O174" i="13"/>
  <c r="N174" i="13"/>
  <c r="M174" i="13"/>
  <c r="R173" i="13"/>
  <c r="Q173" i="13"/>
  <c r="P173" i="13"/>
  <c r="O173" i="13"/>
  <c r="N173" i="13"/>
  <c r="M173" i="13"/>
  <c r="R172" i="13"/>
  <c r="Q172" i="13"/>
  <c r="P172" i="13"/>
  <c r="O172" i="13"/>
  <c r="N172" i="13"/>
  <c r="M172" i="13"/>
  <c r="R171" i="13"/>
  <c r="Q171" i="13"/>
  <c r="P171" i="13"/>
  <c r="O171" i="13"/>
  <c r="N171" i="13"/>
  <c r="M171" i="13"/>
  <c r="R170" i="13"/>
  <c r="Q170" i="13"/>
  <c r="P170" i="13"/>
  <c r="O170" i="13"/>
  <c r="N170" i="13"/>
  <c r="M170" i="13"/>
  <c r="R169" i="13"/>
  <c r="Q169" i="13"/>
  <c r="P169" i="13"/>
  <c r="O169" i="13"/>
  <c r="N169" i="13"/>
  <c r="M169" i="13"/>
  <c r="R168" i="13"/>
  <c r="Q168" i="13"/>
  <c r="P168" i="13"/>
  <c r="O168" i="13"/>
  <c r="N168" i="13"/>
  <c r="M168" i="13"/>
  <c r="R167" i="13"/>
  <c r="Q167" i="13"/>
  <c r="P167" i="13"/>
  <c r="O167" i="13"/>
  <c r="N167" i="13"/>
  <c r="M167" i="13"/>
  <c r="R166" i="13"/>
  <c r="Q166" i="13"/>
  <c r="P166" i="13"/>
  <c r="O166" i="13"/>
  <c r="N166" i="13"/>
  <c r="M166" i="13"/>
  <c r="R165" i="13"/>
  <c r="Q165" i="13"/>
  <c r="P165" i="13"/>
  <c r="O165" i="13"/>
  <c r="N165" i="13"/>
  <c r="M165" i="13"/>
  <c r="R164" i="13"/>
  <c r="Q164" i="13"/>
  <c r="P164" i="13"/>
  <c r="O164" i="13"/>
  <c r="N164" i="13"/>
  <c r="M164" i="13"/>
  <c r="R163" i="13"/>
  <c r="Q163" i="13"/>
  <c r="P163" i="13"/>
  <c r="O163" i="13"/>
  <c r="N163" i="13"/>
  <c r="M163" i="13"/>
  <c r="R162" i="13"/>
  <c r="Q162" i="13"/>
  <c r="P162" i="13"/>
  <c r="O162" i="13"/>
  <c r="N162" i="13"/>
  <c r="M162" i="13"/>
  <c r="R161" i="13"/>
  <c r="Q161" i="13"/>
  <c r="P161" i="13"/>
  <c r="O161" i="13"/>
  <c r="N161" i="13"/>
  <c r="M161" i="13"/>
  <c r="R160" i="13"/>
  <c r="Q160" i="13"/>
  <c r="P160" i="13"/>
  <c r="O160" i="13"/>
  <c r="N160" i="13"/>
  <c r="M160" i="13"/>
  <c r="R159" i="13"/>
  <c r="Q159" i="13"/>
  <c r="P159" i="13"/>
  <c r="O159" i="13"/>
  <c r="N159" i="13"/>
  <c r="M159" i="13"/>
  <c r="R158" i="13"/>
  <c r="Q158" i="13"/>
  <c r="P158" i="13"/>
  <c r="O158" i="13"/>
  <c r="N158" i="13"/>
  <c r="M158" i="13"/>
  <c r="R157" i="13"/>
  <c r="Q157" i="13"/>
  <c r="P157" i="13"/>
  <c r="O157" i="13"/>
  <c r="N157" i="13"/>
  <c r="M157" i="13"/>
  <c r="R156" i="13"/>
  <c r="Q156" i="13"/>
  <c r="P156" i="13"/>
  <c r="O156" i="13"/>
  <c r="N156" i="13"/>
  <c r="M156" i="13"/>
  <c r="R155" i="13"/>
  <c r="Q155" i="13"/>
  <c r="P155" i="13"/>
  <c r="O155" i="13"/>
  <c r="N155" i="13"/>
  <c r="M155" i="13"/>
  <c r="R154" i="13"/>
  <c r="Q154" i="13"/>
  <c r="P154" i="13"/>
  <c r="O154" i="13"/>
  <c r="N154" i="13"/>
  <c r="M154" i="13"/>
  <c r="R153" i="13"/>
  <c r="Q153" i="13"/>
  <c r="P153" i="13"/>
  <c r="O153" i="13"/>
  <c r="N153" i="13"/>
  <c r="M153" i="13"/>
  <c r="R152" i="13"/>
  <c r="Q152" i="13"/>
  <c r="P152" i="13"/>
  <c r="O152" i="13"/>
  <c r="N152" i="13"/>
  <c r="M152" i="13"/>
  <c r="R151" i="13"/>
  <c r="Q151" i="13"/>
  <c r="P151" i="13"/>
  <c r="O151" i="13"/>
  <c r="N151" i="13"/>
  <c r="M151" i="13"/>
  <c r="R150" i="13"/>
  <c r="Q150" i="13"/>
  <c r="P150" i="13"/>
  <c r="O150" i="13"/>
  <c r="N150" i="13"/>
  <c r="M150" i="13"/>
  <c r="R149" i="13"/>
  <c r="Q149" i="13"/>
  <c r="P149" i="13"/>
  <c r="O149" i="13"/>
  <c r="N149" i="13"/>
  <c r="M149" i="13"/>
  <c r="R148" i="13"/>
  <c r="Q148" i="13"/>
  <c r="P148" i="13"/>
  <c r="O148" i="13"/>
  <c r="N148" i="13"/>
  <c r="M148" i="13"/>
  <c r="R147" i="13"/>
  <c r="Q147" i="13"/>
  <c r="P147" i="13"/>
  <c r="O147" i="13"/>
  <c r="N147" i="13"/>
  <c r="M147" i="13"/>
  <c r="R146" i="13"/>
  <c r="Q146" i="13"/>
  <c r="P146" i="13"/>
  <c r="O146" i="13"/>
  <c r="N146" i="13"/>
  <c r="M146" i="13"/>
  <c r="R145" i="13"/>
  <c r="Q145" i="13"/>
  <c r="P145" i="13"/>
  <c r="O145" i="13"/>
  <c r="N145" i="13"/>
  <c r="M145" i="13"/>
  <c r="R144" i="13"/>
  <c r="Q144" i="13"/>
  <c r="P144" i="13"/>
  <c r="O144" i="13"/>
  <c r="N144" i="13"/>
  <c r="M144" i="13"/>
  <c r="R143" i="13"/>
  <c r="Q143" i="13"/>
  <c r="P143" i="13"/>
  <c r="O143" i="13"/>
  <c r="N143" i="13"/>
  <c r="M143" i="13"/>
  <c r="R142" i="13"/>
  <c r="Q142" i="13"/>
  <c r="P142" i="13"/>
  <c r="O142" i="13"/>
  <c r="N142" i="13"/>
  <c r="M142" i="13"/>
  <c r="R141" i="13"/>
  <c r="Q141" i="13"/>
  <c r="P141" i="13"/>
  <c r="O141" i="13"/>
  <c r="N141" i="13"/>
  <c r="M141" i="13"/>
  <c r="R140" i="13"/>
  <c r="Q140" i="13"/>
  <c r="P140" i="13"/>
  <c r="O140" i="13"/>
  <c r="N140" i="13"/>
  <c r="M140" i="13"/>
  <c r="R139" i="13"/>
  <c r="Q139" i="13"/>
  <c r="P139" i="13"/>
  <c r="O139" i="13"/>
  <c r="N139" i="13"/>
  <c r="M139" i="13"/>
  <c r="R138" i="13"/>
  <c r="Q138" i="13"/>
  <c r="P138" i="13"/>
  <c r="O138" i="13"/>
  <c r="N138" i="13"/>
  <c r="M138" i="13"/>
  <c r="R137" i="13"/>
  <c r="Q137" i="13"/>
  <c r="P137" i="13"/>
  <c r="O137" i="13"/>
  <c r="N137" i="13"/>
  <c r="M137" i="13"/>
  <c r="R136" i="13"/>
  <c r="Q136" i="13"/>
  <c r="P136" i="13"/>
  <c r="O136" i="13"/>
  <c r="N136" i="13"/>
  <c r="M136" i="13"/>
  <c r="R135" i="13"/>
  <c r="Q135" i="13"/>
  <c r="P135" i="13"/>
  <c r="O135" i="13"/>
  <c r="N135" i="13"/>
  <c r="M135" i="13"/>
  <c r="R134" i="13"/>
  <c r="Q134" i="13"/>
  <c r="P134" i="13"/>
  <c r="O134" i="13"/>
  <c r="N134" i="13"/>
  <c r="M134" i="13"/>
  <c r="R133" i="13"/>
  <c r="Q133" i="13"/>
  <c r="P133" i="13"/>
  <c r="O133" i="13"/>
  <c r="N133" i="13"/>
  <c r="M133" i="13"/>
  <c r="R132" i="13"/>
  <c r="Q132" i="13"/>
  <c r="P132" i="13"/>
  <c r="O132" i="13"/>
  <c r="N132" i="13"/>
  <c r="M132" i="13"/>
  <c r="R131" i="13"/>
  <c r="Q131" i="13"/>
  <c r="P131" i="13"/>
  <c r="O131" i="13"/>
  <c r="N131" i="13"/>
  <c r="M131" i="13"/>
  <c r="R130" i="13"/>
  <c r="Q130" i="13"/>
  <c r="P130" i="13"/>
  <c r="O130" i="13"/>
  <c r="N130" i="13"/>
  <c r="M130" i="13"/>
  <c r="R129" i="13"/>
  <c r="Q129" i="13"/>
  <c r="P129" i="13"/>
  <c r="O129" i="13"/>
  <c r="N129" i="13"/>
  <c r="M129" i="13"/>
  <c r="R128" i="13"/>
  <c r="Q128" i="13"/>
  <c r="P128" i="13"/>
  <c r="O128" i="13"/>
  <c r="N128" i="13"/>
  <c r="M128" i="13"/>
  <c r="R127" i="13"/>
  <c r="Q127" i="13"/>
  <c r="P127" i="13"/>
  <c r="O127" i="13"/>
  <c r="N127" i="13"/>
  <c r="M127" i="13"/>
  <c r="R126" i="13"/>
  <c r="Q126" i="13"/>
  <c r="P126" i="13"/>
  <c r="O126" i="13"/>
  <c r="N126" i="13"/>
  <c r="M126" i="13"/>
  <c r="R125" i="13"/>
  <c r="Q125" i="13"/>
  <c r="P125" i="13"/>
  <c r="O125" i="13"/>
  <c r="N125" i="13"/>
  <c r="M125" i="13"/>
  <c r="R124" i="13"/>
  <c r="Q124" i="13"/>
  <c r="P124" i="13"/>
  <c r="O124" i="13"/>
  <c r="N124" i="13"/>
  <c r="M124" i="13"/>
  <c r="R123" i="13"/>
  <c r="Q123" i="13"/>
  <c r="P123" i="13"/>
  <c r="O123" i="13"/>
  <c r="N123" i="13"/>
  <c r="M123" i="13"/>
  <c r="R122" i="13"/>
  <c r="Q122" i="13"/>
  <c r="P122" i="13"/>
  <c r="O122" i="13"/>
  <c r="N122" i="13"/>
  <c r="M122" i="13"/>
  <c r="R121" i="13"/>
  <c r="Q121" i="13"/>
  <c r="P121" i="13"/>
  <c r="O121" i="13"/>
  <c r="N121" i="13"/>
  <c r="M121" i="13"/>
  <c r="R120" i="13"/>
  <c r="Q120" i="13"/>
  <c r="P120" i="13"/>
  <c r="O120" i="13"/>
  <c r="N120" i="13"/>
  <c r="M120" i="13"/>
  <c r="R119" i="13"/>
  <c r="Q119" i="13"/>
  <c r="P119" i="13"/>
  <c r="O119" i="13"/>
  <c r="N119" i="13"/>
  <c r="M119" i="13"/>
  <c r="R118" i="13"/>
  <c r="Q118" i="13"/>
  <c r="P118" i="13"/>
  <c r="O118" i="13"/>
  <c r="N118" i="13"/>
  <c r="M118" i="13"/>
  <c r="R117" i="13"/>
  <c r="Q117" i="13"/>
  <c r="P117" i="13"/>
  <c r="O117" i="13"/>
  <c r="N117" i="13"/>
  <c r="M117" i="13"/>
  <c r="R116" i="13"/>
  <c r="Q116" i="13"/>
  <c r="P116" i="13"/>
  <c r="O116" i="13"/>
  <c r="N116" i="13"/>
  <c r="M116" i="13"/>
  <c r="R115" i="13"/>
  <c r="Q115" i="13"/>
  <c r="P115" i="13"/>
  <c r="O115" i="13"/>
  <c r="N115" i="13"/>
  <c r="M115" i="13"/>
  <c r="R114" i="13"/>
  <c r="Q114" i="13"/>
  <c r="P114" i="13"/>
  <c r="O114" i="13"/>
  <c r="N114" i="13"/>
  <c r="M114" i="13"/>
  <c r="R113" i="13"/>
  <c r="Q113" i="13"/>
  <c r="P113" i="13"/>
  <c r="O113" i="13"/>
  <c r="N113" i="13"/>
  <c r="M113" i="13"/>
  <c r="R112" i="13"/>
  <c r="Q112" i="13"/>
  <c r="P112" i="13"/>
  <c r="O112" i="13"/>
  <c r="N112" i="13"/>
  <c r="M112" i="13"/>
  <c r="R111" i="13"/>
  <c r="Q111" i="13"/>
  <c r="P111" i="13"/>
  <c r="O111" i="13"/>
  <c r="N111" i="13"/>
  <c r="M111" i="13"/>
  <c r="R110" i="13"/>
  <c r="Q110" i="13"/>
  <c r="P110" i="13"/>
  <c r="O110" i="13"/>
  <c r="N110" i="13"/>
  <c r="M110" i="13"/>
  <c r="R109" i="13"/>
  <c r="Q109" i="13"/>
  <c r="P109" i="13"/>
  <c r="O109" i="13"/>
  <c r="N109" i="13"/>
  <c r="M109" i="13"/>
  <c r="R108" i="13"/>
  <c r="Q108" i="13"/>
  <c r="P108" i="13"/>
  <c r="O108" i="13"/>
  <c r="N108" i="13"/>
  <c r="M108" i="13"/>
  <c r="R107" i="13"/>
  <c r="Q107" i="13"/>
  <c r="P107" i="13"/>
  <c r="O107" i="13"/>
  <c r="N107" i="13"/>
  <c r="M107" i="13"/>
  <c r="R106" i="13"/>
  <c r="Q106" i="13"/>
  <c r="P106" i="13"/>
  <c r="O106" i="13"/>
  <c r="N106" i="13"/>
  <c r="M106" i="13"/>
  <c r="R105" i="13"/>
  <c r="Q105" i="13"/>
  <c r="P105" i="13"/>
  <c r="O105" i="13"/>
  <c r="N105" i="13"/>
  <c r="M105" i="13"/>
  <c r="R104" i="13"/>
  <c r="Q104" i="13"/>
  <c r="P104" i="13"/>
  <c r="O104" i="13"/>
  <c r="N104" i="13"/>
  <c r="M104" i="13"/>
  <c r="R103" i="13"/>
  <c r="Q103" i="13"/>
  <c r="P103" i="13"/>
  <c r="O103" i="13"/>
  <c r="N103" i="13"/>
  <c r="M103" i="13"/>
  <c r="R102" i="13"/>
  <c r="Q102" i="13"/>
  <c r="P102" i="13"/>
  <c r="O102" i="13"/>
  <c r="N102" i="13"/>
  <c r="M102" i="13"/>
  <c r="R101" i="13"/>
  <c r="Q101" i="13"/>
  <c r="P101" i="13"/>
  <c r="O101" i="13"/>
  <c r="N101" i="13"/>
  <c r="M101" i="13"/>
  <c r="R100" i="13"/>
  <c r="Q100" i="13"/>
  <c r="P100" i="13"/>
  <c r="O100" i="13"/>
  <c r="N100" i="13"/>
  <c r="M100" i="13"/>
  <c r="R99" i="13"/>
  <c r="Q99" i="13"/>
  <c r="P99" i="13"/>
  <c r="O99" i="13"/>
  <c r="N99" i="13"/>
  <c r="M99" i="13"/>
  <c r="R98" i="13"/>
  <c r="Q98" i="13"/>
  <c r="P98" i="13"/>
  <c r="O98" i="13"/>
  <c r="N98" i="13"/>
  <c r="M98" i="13"/>
  <c r="R97" i="13"/>
  <c r="Q97" i="13"/>
  <c r="P97" i="13"/>
  <c r="O97" i="13"/>
  <c r="N97" i="13"/>
  <c r="M97" i="13"/>
  <c r="R96" i="13"/>
  <c r="Q96" i="13"/>
  <c r="P96" i="13"/>
  <c r="O96" i="13"/>
  <c r="N96" i="13"/>
  <c r="M96" i="13"/>
  <c r="R95" i="13"/>
  <c r="Q95" i="13"/>
  <c r="P95" i="13"/>
  <c r="O95" i="13"/>
  <c r="N95" i="13"/>
  <c r="M95" i="13"/>
  <c r="R94" i="13"/>
  <c r="Q94" i="13"/>
  <c r="P94" i="13"/>
  <c r="O94" i="13"/>
  <c r="N94" i="13"/>
  <c r="M94" i="13"/>
  <c r="R93" i="13"/>
  <c r="Q93" i="13"/>
  <c r="P93" i="13"/>
  <c r="O93" i="13"/>
  <c r="N93" i="13"/>
  <c r="M93" i="13"/>
  <c r="R92" i="13"/>
  <c r="Q92" i="13"/>
  <c r="P92" i="13"/>
  <c r="O92" i="13"/>
  <c r="N92" i="13"/>
  <c r="M92" i="13"/>
  <c r="R91" i="13"/>
  <c r="Q91" i="13"/>
  <c r="P91" i="13"/>
  <c r="O91" i="13"/>
  <c r="N91" i="13"/>
  <c r="M91" i="13"/>
  <c r="R90" i="13"/>
  <c r="Q90" i="13"/>
  <c r="P90" i="13"/>
  <c r="O90" i="13"/>
  <c r="N90" i="13"/>
  <c r="M90" i="13"/>
  <c r="R89" i="13"/>
  <c r="Q89" i="13"/>
  <c r="P89" i="13"/>
  <c r="O89" i="13"/>
  <c r="N89" i="13"/>
  <c r="M89" i="13"/>
  <c r="R88" i="13"/>
  <c r="Q88" i="13"/>
  <c r="P88" i="13"/>
  <c r="O88" i="13"/>
  <c r="N88" i="13"/>
  <c r="M88" i="13"/>
  <c r="R87" i="13"/>
  <c r="Q87" i="13"/>
  <c r="P87" i="13"/>
  <c r="O87" i="13"/>
  <c r="N87" i="13"/>
  <c r="M87" i="13"/>
  <c r="R86" i="13"/>
  <c r="Q86" i="13"/>
  <c r="P86" i="13"/>
  <c r="O86" i="13"/>
  <c r="N86" i="13"/>
  <c r="M86" i="13"/>
  <c r="B81" i="13"/>
  <c r="B82" i="13" s="1"/>
  <c r="E37" i="13"/>
  <c r="E36" i="13"/>
  <c r="E35" i="13"/>
  <c r="Y9" i="1"/>
  <c r="Y8" i="1"/>
  <c r="Y7" i="1"/>
  <c r="Y6" i="1"/>
  <c r="Y5" i="1"/>
  <c r="Y4" i="1"/>
  <c r="A4" i="2"/>
  <c r="A1" i="16"/>
  <c r="X69" i="2"/>
  <c r="V69" i="2"/>
  <c r="L69" i="2"/>
  <c r="N68" i="2"/>
  <c r="B66" i="2"/>
  <c r="P63" i="2"/>
  <c r="D61" i="2"/>
  <c r="R58" i="2"/>
  <c r="F56" i="2"/>
  <c r="T53" i="2"/>
  <c r="H51" i="2"/>
  <c r="V48" i="2"/>
  <c r="J46" i="2"/>
  <c r="X43" i="2"/>
  <c r="L41" i="2"/>
  <c r="Z38" i="2"/>
  <c r="N36" i="2"/>
  <c r="B34" i="2"/>
  <c r="P31" i="2"/>
  <c r="D29" i="2"/>
  <c r="R26" i="2"/>
  <c r="F24" i="2"/>
  <c r="T21" i="2"/>
  <c r="H19" i="2"/>
  <c r="V16" i="2"/>
  <c r="J14" i="2"/>
  <c r="X11" i="2"/>
  <c r="L9" i="2"/>
  <c r="Z6" i="2"/>
  <c r="G43" i="14"/>
  <c r="E68" i="2"/>
  <c r="S65" i="2"/>
  <c r="G63" i="2"/>
  <c r="U60" i="2"/>
  <c r="I58" i="2"/>
  <c r="W55" i="2"/>
  <c r="K53" i="2"/>
  <c r="Y50" i="2"/>
  <c r="M48" i="2"/>
  <c r="AA45" i="2"/>
  <c r="O43" i="2"/>
  <c r="C41" i="2"/>
  <c r="Q38" i="2"/>
  <c r="E36" i="2"/>
  <c r="S33" i="2"/>
  <c r="G31" i="2"/>
  <c r="U28" i="2"/>
  <c r="I26" i="2"/>
  <c r="W23" i="2"/>
  <c r="K21" i="2"/>
  <c r="Y18" i="2"/>
  <c r="M16" i="2"/>
  <c r="AA13" i="2"/>
  <c r="O11" i="2"/>
  <c r="C9" i="2"/>
  <c r="Q6" i="2"/>
  <c r="E40" i="14"/>
  <c r="D68" i="2"/>
  <c r="R65" i="2"/>
  <c r="F63" i="2"/>
  <c r="T60" i="2"/>
  <c r="H58" i="2"/>
  <c r="V55" i="2"/>
  <c r="J53" i="2"/>
  <c r="X50" i="2"/>
  <c r="L48" i="2"/>
  <c r="Z45" i="2"/>
  <c r="N43" i="2"/>
  <c r="B41" i="2"/>
  <c r="P38" i="2"/>
  <c r="D36" i="2"/>
  <c r="R33" i="2"/>
  <c r="F31" i="2"/>
  <c r="T28" i="2"/>
  <c r="H26" i="2"/>
  <c r="V23" i="2"/>
  <c r="J21" i="2"/>
  <c r="X18" i="2"/>
  <c r="L16" i="2"/>
  <c r="Z13" i="2"/>
  <c r="N11" i="2"/>
  <c r="B9" i="2"/>
  <c r="P6" i="2"/>
  <c r="E28" i="14"/>
  <c r="C68" i="2"/>
  <c r="Q65" i="2"/>
  <c r="E63" i="2"/>
  <c r="S60" i="2"/>
  <c r="G58" i="2"/>
  <c r="U55" i="2"/>
  <c r="I53" i="2"/>
  <c r="W50" i="2"/>
  <c r="K48" i="2"/>
  <c r="Y45" i="2"/>
  <c r="M43" i="2"/>
  <c r="AA40" i="2"/>
  <c r="O38" i="2"/>
  <c r="C36" i="2"/>
  <c r="Q33" i="2"/>
  <c r="E31" i="2"/>
  <c r="S28" i="2"/>
  <c r="G26" i="2"/>
  <c r="U23" i="2"/>
  <c r="I21" i="2"/>
  <c r="W18" i="2"/>
  <c r="K16" i="2"/>
  <c r="Y13" i="2"/>
  <c r="M11" i="2"/>
  <c r="AA8" i="2"/>
  <c r="O6" i="2"/>
  <c r="G29" i="14"/>
  <c r="K67" i="2"/>
  <c r="Y64" i="2"/>
  <c r="M62" i="2"/>
  <c r="AA59" i="2"/>
  <c r="O57" i="2"/>
  <c r="C55" i="2"/>
  <c r="Q52" i="2"/>
  <c r="E50" i="2"/>
  <c r="S47" i="2"/>
  <c r="G45" i="2"/>
  <c r="U42" i="2"/>
  <c r="I40" i="2"/>
  <c r="W37" i="2"/>
  <c r="K35" i="2"/>
  <c r="Y32" i="2"/>
  <c r="M30" i="2"/>
  <c r="P69" i="2"/>
  <c r="F69" i="2"/>
  <c r="S69" i="2"/>
  <c r="H67" i="2"/>
  <c r="N64" i="2"/>
  <c r="T61" i="2"/>
  <c r="Z58" i="2"/>
  <c r="X55" i="2"/>
  <c r="D53" i="2"/>
  <c r="J50" i="2"/>
  <c r="P47" i="2"/>
  <c r="V44" i="2"/>
  <c r="B42" i="2"/>
  <c r="H39" i="2"/>
  <c r="F36" i="2"/>
  <c r="L33" i="2"/>
  <c r="R30" i="2"/>
  <c r="X27" i="2"/>
  <c r="D25" i="2"/>
  <c r="J22" i="2"/>
  <c r="P19" i="2"/>
  <c r="N16" i="2"/>
  <c r="T13" i="2"/>
  <c r="Z10" i="2"/>
  <c r="F8" i="2"/>
  <c r="L5" i="2"/>
  <c r="U68" i="2"/>
  <c r="AA65" i="2"/>
  <c r="Y62" i="2"/>
  <c r="E60" i="2"/>
  <c r="K57" i="2"/>
  <c r="Q54" i="2"/>
  <c r="W51" i="2"/>
  <c r="C49" i="2"/>
  <c r="I46" i="2"/>
  <c r="G43" i="2"/>
  <c r="M40" i="2"/>
  <c r="S37" i="2"/>
  <c r="Y34" i="2"/>
  <c r="E32" i="2"/>
  <c r="K29" i="2"/>
  <c r="Q26" i="2"/>
  <c r="O23" i="2"/>
  <c r="U20" i="2"/>
  <c r="AA17" i="2"/>
  <c r="G15" i="2"/>
  <c r="M12" i="2"/>
  <c r="S9" i="2"/>
  <c r="Y6" i="2"/>
  <c r="E33" i="14"/>
  <c r="N67" i="2"/>
  <c r="T64" i="2"/>
  <c r="Z61" i="2"/>
  <c r="F59" i="2"/>
  <c r="L56" i="2"/>
  <c r="R53" i="2"/>
  <c r="P50" i="2"/>
  <c r="V47" i="2"/>
  <c r="B45" i="2"/>
  <c r="H42" i="2"/>
  <c r="N39" i="2"/>
  <c r="T36" i="2"/>
  <c r="Z33" i="2"/>
  <c r="X30" i="2"/>
  <c r="D28" i="2"/>
  <c r="J25" i="2"/>
  <c r="P22" i="2"/>
  <c r="V19" i="2"/>
  <c r="B17" i="2"/>
  <c r="H14" i="2"/>
  <c r="F11" i="2"/>
  <c r="L8" i="2"/>
  <c r="R5" i="2"/>
  <c r="E10" i="14"/>
  <c r="O66" i="2"/>
  <c r="U63" i="2"/>
  <c r="AA60" i="2"/>
  <c r="Y57" i="2"/>
  <c r="E55" i="2"/>
  <c r="K52" i="2"/>
  <c r="Q49" i="2"/>
  <c r="W46" i="2"/>
  <c r="C44" i="2"/>
  <c r="I41" i="2"/>
  <c r="G38" i="2"/>
  <c r="M35" i="2"/>
  <c r="S32" i="2"/>
  <c r="Y29" i="2"/>
  <c r="E27" i="2"/>
  <c r="K24" i="2"/>
  <c r="Q21" i="2"/>
  <c r="O18" i="2"/>
  <c r="U15" i="2"/>
  <c r="AA12" i="2"/>
  <c r="G10" i="2"/>
  <c r="M7" i="2"/>
  <c r="G44" i="14"/>
  <c r="S67" i="2"/>
  <c r="Q64" i="2"/>
  <c r="W61" i="2"/>
  <c r="C59" i="2"/>
  <c r="I56" i="2"/>
  <c r="O53" i="2"/>
  <c r="U50" i="2"/>
  <c r="AA47" i="2"/>
  <c r="Y44" i="2"/>
  <c r="E42" i="2"/>
  <c r="K39" i="2"/>
  <c r="Q36" i="2"/>
  <c r="W33" i="2"/>
  <c r="C31" i="2"/>
  <c r="I28" i="2"/>
  <c r="W25" i="2"/>
  <c r="K23" i="2"/>
  <c r="Y20" i="2"/>
  <c r="M18" i="2"/>
  <c r="AA15" i="2"/>
  <c r="O13" i="2"/>
  <c r="C11" i="2"/>
  <c r="Q8" i="2"/>
  <c r="E6" i="2"/>
  <c r="G17" i="14"/>
  <c r="J67" i="2"/>
  <c r="X64" i="2"/>
  <c r="L62" i="2"/>
  <c r="Z59" i="2"/>
  <c r="N57" i="2"/>
  <c r="W69" i="2"/>
  <c r="E69" i="2"/>
  <c r="F68" i="2"/>
  <c r="D65" i="2"/>
  <c r="B62" i="2"/>
  <c r="J58" i="2"/>
  <c r="H55" i="2"/>
  <c r="F52" i="2"/>
  <c r="D49" i="2"/>
  <c r="T45" i="2"/>
  <c r="R42" i="2"/>
  <c r="P39" i="2"/>
  <c r="X35" i="2"/>
  <c r="V32" i="2"/>
  <c r="T29" i="2"/>
  <c r="J26" i="2"/>
  <c r="H23" i="2"/>
  <c r="F20" i="2"/>
  <c r="D17" i="2"/>
  <c r="L13" i="2"/>
  <c r="J10" i="2"/>
  <c r="H7" i="2"/>
  <c r="G28" i="14"/>
  <c r="Y66" i="2"/>
  <c r="W63" i="2"/>
  <c r="M60" i="2"/>
  <c r="C57" i="2"/>
  <c r="AA53" i="2"/>
  <c r="Q50" i="2"/>
  <c r="O47" i="2"/>
  <c r="M44" i="2"/>
  <c r="K41" i="2"/>
  <c r="AA37" i="2"/>
  <c r="Q34" i="2"/>
  <c r="O31" i="2"/>
  <c r="E28" i="2"/>
  <c r="C25" i="2"/>
  <c r="AA21" i="2"/>
  <c r="Q18" i="2"/>
  <c r="O15" i="2"/>
  <c r="E12" i="2"/>
  <c r="U8" i="2"/>
  <c r="S5" i="2"/>
  <c r="G13" i="14"/>
  <c r="Z65" i="2"/>
  <c r="P62" i="2"/>
  <c r="N59" i="2"/>
  <c r="D56" i="2"/>
  <c r="T52" i="2"/>
  <c r="O69" i="2"/>
  <c r="T69" i="2"/>
  <c r="X67" i="2"/>
  <c r="V64" i="2"/>
  <c r="L61" i="2"/>
  <c r="B58" i="2"/>
  <c r="Z54" i="2"/>
  <c r="X51" i="2"/>
  <c r="N48" i="2"/>
  <c r="L45" i="2"/>
  <c r="J42" i="2"/>
  <c r="R38" i="2"/>
  <c r="P35" i="2"/>
  <c r="N32" i="2"/>
  <c r="L29" i="2"/>
  <c r="B26" i="2"/>
  <c r="Z22" i="2"/>
  <c r="X19" i="2"/>
  <c r="F16" i="2"/>
  <c r="D13" i="2"/>
  <c r="B10" i="2"/>
  <c r="R6" i="2"/>
  <c r="G18" i="14"/>
  <c r="Q66" i="2"/>
  <c r="O63" i="2"/>
  <c r="W59" i="2"/>
  <c r="U56" i="2"/>
  <c r="S53" i="2"/>
  <c r="I50" i="2"/>
  <c r="G47" i="2"/>
  <c r="E44" i="2"/>
  <c r="U40" i="2"/>
  <c r="K37" i="2"/>
  <c r="I34" i="2"/>
  <c r="Y30" i="2"/>
  <c r="W27" i="2"/>
  <c r="U24" i="2"/>
  <c r="S21" i="2"/>
  <c r="I18" i="2"/>
  <c r="Y14" i="2"/>
  <c r="W11" i="2"/>
  <c r="M8" i="2"/>
  <c r="K5" i="2"/>
  <c r="T68" i="2"/>
  <c r="J65" i="2"/>
  <c r="H62" i="2"/>
  <c r="X58" i="2"/>
  <c r="N55" i="2"/>
  <c r="L52" i="2"/>
  <c r="Q69" i="2"/>
  <c r="Z69" i="2"/>
  <c r="AA69" i="2"/>
  <c r="Z66" i="2"/>
  <c r="X63" i="2"/>
  <c r="N60" i="2"/>
  <c r="L57" i="2"/>
  <c r="J54" i="2"/>
  <c r="Z50" i="2"/>
  <c r="X47" i="2"/>
  <c r="N44" i="2"/>
  <c r="D41" i="2"/>
  <c r="B38" i="2"/>
  <c r="Z34" i="2"/>
  <c r="X31" i="2"/>
  <c r="N28" i="2"/>
  <c r="L25" i="2"/>
  <c r="B22" i="2"/>
  <c r="R18" i="2"/>
  <c r="P15" i="2"/>
  <c r="N12" i="2"/>
  <c r="D9" i="2"/>
  <c r="B6" i="2"/>
  <c r="G10" i="14"/>
  <c r="K65" i="2"/>
  <c r="I62" i="2"/>
  <c r="G59" i="2"/>
  <c r="E56" i="2"/>
  <c r="U52" i="2"/>
  <c r="S49" i="2"/>
  <c r="Q46" i="2"/>
  <c r="Y42" i="2"/>
  <c r="W39" i="2"/>
  <c r="U36" i="2"/>
  <c r="K33" i="2"/>
  <c r="I30" i="2"/>
  <c r="G27" i="2"/>
  <c r="E24" i="2"/>
  <c r="M20" i="2"/>
  <c r="K17" i="2"/>
  <c r="I14" i="2"/>
  <c r="Y10" i="2"/>
  <c r="W7" i="2"/>
  <c r="E48" i="14"/>
  <c r="V67" i="2"/>
  <c r="L64" i="2"/>
  <c r="J61" i="2"/>
  <c r="Z57" i="2"/>
  <c r="X54" i="2"/>
  <c r="V51" i="2"/>
  <c r="T48" i="2"/>
  <c r="J45" i="2"/>
  <c r="Z41" i="2"/>
  <c r="X38" i="2"/>
  <c r="N35" i="2"/>
  <c r="L32" i="2"/>
  <c r="J29" i="2"/>
  <c r="Z25" i="2"/>
  <c r="X22" i="2"/>
  <c r="N19" i="2"/>
  <c r="D16" i="2"/>
  <c r="B13" i="2"/>
  <c r="Z9" i="2"/>
  <c r="X6" i="2"/>
  <c r="E18" i="14"/>
  <c r="W66" i="2"/>
  <c r="M63" i="2"/>
  <c r="C60" i="2"/>
  <c r="AA56" i="2"/>
  <c r="Y53" i="2"/>
  <c r="O50" i="2"/>
  <c r="M47" i="2"/>
  <c r="K44" i="2"/>
  <c r="S40" i="2"/>
  <c r="Q37" i="2"/>
  <c r="O34" i="2"/>
  <c r="M31" i="2"/>
  <c r="C28" i="2"/>
  <c r="AA24" i="2"/>
  <c r="Y21" i="2"/>
  <c r="G18" i="2"/>
  <c r="E15" i="2"/>
  <c r="C12" i="2"/>
  <c r="S8" i="2"/>
  <c r="Q5" i="2"/>
  <c r="I68" i="2"/>
  <c r="G65" i="2"/>
  <c r="O61" i="2"/>
  <c r="M58" i="2"/>
  <c r="K55" i="2"/>
  <c r="AA51" i="2"/>
  <c r="Y48" i="2"/>
  <c r="W45" i="2"/>
  <c r="M42" i="2"/>
  <c r="C39" i="2"/>
  <c r="AA35" i="2"/>
  <c r="Q32" i="2"/>
  <c r="O29" i="2"/>
  <c r="U26" i="2"/>
  <c r="AA23" i="2"/>
  <c r="G21" i="2"/>
  <c r="E18" i="2"/>
  <c r="K15" i="2"/>
  <c r="Q12" i="2"/>
  <c r="W9" i="2"/>
  <c r="C7" i="2"/>
  <c r="E29" i="14"/>
  <c r="R67" i="2"/>
  <c r="P64" i="2"/>
  <c r="V61" i="2"/>
  <c r="B59" i="2"/>
  <c r="H56" i="2"/>
  <c r="V53" i="2"/>
  <c r="J51" i="2"/>
  <c r="X48" i="2"/>
  <c r="L46" i="2"/>
  <c r="Z43" i="2"/>
  <c r="N41" i="2"/>
  <c r="B39" i="2"/>
  <c r="P36" i="2"/>
  <c r="D34" i="2"/>
  <c r="R31" i="2"/>
  <c r="F29" i="2"/>
  <c r="T26" i="2"/>
  <c r="H24" i="2"/>
  <c r="V21" i="2"/>
  <c r="J19" i="2"/>
  <c r="I69" i="2"/>
  <c r="N69" i="2"/>
  <c r="K69" i="2"/>
  <c r="R66" i="2"/>
  <c r="H63" i="2"/>
  <c r="F60" i="2"/>
  <c r="D57" i="2"/>
  <c r="B54" i="2"/>
  <c r="R50" i="2"/>
  <c r="H47" i="2"/>
  <c r="F44" i="2"/>
  <c r="V40" i="2"/>
  <c r="T37" i="2"/>
  <c r="R34" i="2"/>
  <c r="H31" i="2"/>
  <c r="F28" i="2"/>
  <c r="V24" i="2"/>
  <c r="L21" i="2"/>
  <c r="J18" i="2"/>
  <c r="H15" i="2"/>
  <c r="F12" i="2"/>
  <c r="V8" i="2"/>
  <c r="T5" i="2"/>
  <c r="M68" i="2"/>
  <c r="C65" i="2"/>
  <c r="AA61" i="2"/>
  <c r="Y58" i="2"/>
  <c r="O55" i="2"/>
  <c r="M52" i="2"/>
  <c r="K49" i="2"/>
  <c r="S45" i="2"/>
  <c r="Q42" i="2"/>
  <c r="O39" i="2"/>
  <c r="M36" i="2"/>
  <c r="C33" i="2"/>
  <c r="AA29" i="2"/>
  <c r="Y26" i="2"/>
  <c r="G23" i="2"/>
  <c r="E20" i="2"/>
  <c r="C17" i="2"/>
  <c r="S13" i="2"/>
  <c r="Q10" i="2"/>
  <c r="O7" i="2"/>
  <c r="G46" i="14"/>
  <c r="F67" i="2"/>
  <c r="D64" i="2"/>
  <c r="B61" i="2"/>
  <c r="R57" i="2"/>
  <c r="P54" i="2"/>
  <c r="N51" i="2"/>
  <c r="D48" i="2"/>
  <c r="T44" i="2"/>
  <c r="R41" i="2"/>
  <c r="H38" i="2"/>
  <c r="F35" i="2"/>
  <c r="D32" i="2"/>
  <c r="B29" i="2"/>
  <c r="R25" i="2"/>
  <c r="H22" i="2"/>
  <c r="F19" i="2"/>
  <c r="V15" i="2"/>
  <c r="T12" i="2"/>
  <c r="R9" i="2"/>
  <c r="H6" i="2"/>
  <c r="G16" i="14"/>
  <c r="G66" i="2"/>
  <c r="W62" i="2"/>
  <c r="U59" i="2"/>
  <c r="S56" i="2"/>
  <c r="Q53" i="2"/>
  <c r="G50" i="2"/>
  <c r="E47" i="2"/>
  <c r="U43" i="2"/>
  <c r="K40" i="2"/>
  <c r="I37" i="2"/>
  <c r="G34" i="2"/>
  <c r="W30" i="2"/>
  <c r="U27" i="2"/>
  <c r="S24" i="2"/>
  <c r="AA20" i="2"/>
  <c r="Y17" i="2"/>
  <c r="W14" i="2"/>
  <c r="U11" i="2"/>
  <c r="K8" i="2"/>
  <c r="I5" i="2"/>
  <c r="AA67" i="2"/>
  <c r="I64" i="2"/>
  <c r="G61" i="2"/>
  <c r="E58" i="2"/>
  <c r="U54" i="2"/>
  <c r="S51" i="2"/>
  <c r="Q48" i="2"/>
  <c r="O45" i="2"/>
  <c r="W41" i="2"/>
  <c r="U38" i="2"/>
  <c r="S35" i="2"/>
  <c r="I32" i="2"/>
  <c r="G29" i="2"/>
  <c r="M26" i="2"/>
  <c r="S23" i="2"/>
  <c r="Q20" i="2"/>
  <c r="W17" i="2"/>
  <c r="C15" i="2"/>
  <c r="I12" i="2"/>
  <c r="O9" i="2"/>
  <c r="U6" i="2"/>
  <c r="G27" i="14"/>
  <c r="B67" i="2"/>
  <c r="H64" i="2"/>
  <c r="N61" i="2"/>
  <c r="T58" i="2"/>
  <c r="Z55" i="2"/>
  <c r="N53" i="2"/>
  <c r="B51" i="2"/>
  <c r="P48" i="2"/>
  <c r="D46" i="2"/>
  <c r="R43" i="2"/>
  <c r="F41" i="2"/>
  <c r="T38" i="2"/>
  <c r="H36" i="2"/>
  <c r="V33" i="2"/>
  <c r="J31" i="2"/>
  <c r="X28" i="2"/>
  <c r="L26" i="2"/>
  <c r="Z23" i="2"/>
  <c r="N21" i="2"/>
  <c r="B19" i="2"/>
  <c r="R69" i="2"/>
  <c r="M69" i="2"/>
  <c r="V68" i="2"/>
  <c r="L65" i="2"/>
  <c r="J62" i="2"/>
  <c r="H59" i="2"/>
  <c r="P55" i="2"/>
  <c r="N52" i="2"/>
  <c r="L49" i="2"/>
  <c r="B46" i="2"/>
  <c r="Z42" i="2"/>
  <c r="X39" i="2"/>
  <c r="V36" i="2"/>
  <c r="D33" i="2"/>
  <c r="B30" i="2"/>
  <c r="Z26" i="2"/>
  <c r="P23" i="2"/>
  <c r="N20" i="2"/>
  <c r="L17" i="2"/>
  <c r="B14" i="2"/>
  <c r="R10" i="2"/>
  <c r="P7" i="2"/>
  <c r="E30" i="14"/>
  <c r="G67" i="2"/>
  <c r="E64" i="2"/>
  <c r="C61" i="2"/>
  <c r="S57" i="2"/>
  <c r="I54" i="2"/>
  <c r="G51" i="2"/>
  <c r="W47" i="2"/>
  <c r="U44" i="2"/>
  <c r="S41" i="2"/>
  <c r="I38" i="2"/>
  <c r="G35" i="2"/>
  <c r="W31" i="2"/>
  <c r="M28" i="2"/>
  <c r="K25" i="2"/>
  <c r="I22" i="2"/>
  <c r="G19" i="2"/>
  <c r="W15" i="2"/>
  <c r="U12" i="2"/>
  <c r="K9" i="2"/>
  <c r="AA5" i="2"/>
  <c r="E15" i="14"/>
  <c r="H66" i="2"/>
  <c r="X62" i="2"/>
  <c r="V59" i="2"/>
  <c r="T56" i="2"/>
  <c r="B53" i="2"/>
  <c r="Z49" i="2"/>
  <c r="X46" i="2"/>
  <c r="V43" i="2"/>
  <c r="L40" i="2"/>
  <c r="J37" i="2"/>
  <c r="H34" i="2"/>
  <c r="P30" i="2"/>
  <c r="N27" i="2"/>
  <c r="L24" i="2"/>
  <c r="B21" i="2"/>
  <c r="Z17" i="2"/>
  <c r="X14" i="2"/>
  <c r="V11" i="2"/>
  <c r="D8" i="2"/>
  <c r="B5" i="2"/>
  <c r="K68" i="2"/>
  <c r="AA64" i="2"/>
  <c r="Y61" i="2"/>
  <c r="W58" i="2"/>
  <c r="M55" i="2"/>
  <c r="C52" i="2"/>
  <c r="AA48" i="2"/>
  <c r="Q45" i="2"/>
  <c r="O42" i="2"/>
  <c r="M39" i="2"/>
  <c r="K36" i="2"/>
  <c r="AA32" i="2"/>
  <c r="Q29" i="2"/>
  <c r="O26" i="2"/>
  <c r="E23" i="2"/>
  <c r="C20" i="2"/>
  <c r="AA16" i="2"/>
  <c r="Q13" i="2"/>
  <c r="O10" i="2"/>
  <c r="E7" i="2"/>
  <c r="E13" i="14"/>
  <c r="M66" i="2"/>
  <c r="K63" i="2"/>
  <c r="I60" i="2"/>
  <c r="Y56" i="2"/>
  <c r="W53" i="2"/>
  <c r="M50" i="2"/>
  <c r="C47" i="2"/>
  <c r="AA43" i="2"/>
  <c r="Y40" i="2"/>
  <c r="O37" i="2"/>
  <c r="M34" i="2"/>
  <c r="K31" i="2"/>
  <c r="AA27" i="2"/>
  <c r="G25" i="2"/>
  <c r="M22" i="2"/>
  <c r="S19" i="2"/>
  <c r="Y16" i="2"/>
  <c r="U69" i="2"/>
  <c r="Z62" i="2"/>
  <c r="R54" i="2"/>
  <c r="R46" i="2"/>
  <c r="L37" i="2"/>
  <c r="V28" i="2"/>
  <c r="V20" i="2"/>
  <c r="P11" i="2"/>
  <c r="E12" i="14"/>
  <c r="K61" i="2"/>
  <c r="E52" i="2"/>
  <c r="W43" i="2"/>
  <c r="O35" i="2"/>
  <c r="AA25" i="2"/>
  <c r="S17" i="2"/>
  <c r="AA9" i="2"/>
  <c r="X66" i="2"/>
  <c r="P58" i="2"/>
  <c r="H50" i="2"/>
  <c r="R45" i="2"/>
  <c r="D40" i="2"/>
  <c r="X34" i="2"/>
  <c r="Z29" i="2"/>
  <c r="T24" i="2"/>
  <c r="D20" i="2"/>
  <c r="P14" i="2"/>
  <c r="J9" i="2"/>
  <c r="G41" i="14"/>
  <c r="I65" i="2"/>
  <c r="K60" i="2"/>
  <c r="W54" i="2"/>
  <c r="Y49" i="2"/>
  <c r="AA44" i="2"/>
  <c r="U39" i="2"/>
  <c r="W34" i="2"/>
  <c r="I29" i="2"/>
  <c r="C24" i="2"/>
  <c r="M19" i="2"/>
  <c r="G14" i="2"/>
  <c r="I9" i="2"/>
  <c r="G11" i="14"/>
  <c r="AA63" i="2"/>
  <c r="K59" i="2"/>
  <c r="E54" i="2"/>
  <c r="G49" i="2"/>
  <c r="S43" i="2"/>
  <c r="M38" i="2"/>
  <c r="O33" i="2"/>
  <c r="Q28" i="2"/>
  <c r="I24" i="2"/>
  <c r="K19" i="2"/>
  <c r="U14" i="2"/>
  <c r="K11" i="2"/>
  <c r="S7" i="2"/>
  <c r="E11" i="14"/>
  <c r="D66" i="2"/>
  <c r="T62" i="2"/>
  <c r="L58" i="2"/>
  <c r="B55" i="2"/>
  <c r="Z51" i="2"/>
  <c r="H48" i="2"/>
  <c r="F45" i="2"/>
  <c r="D42" i="2"/>
  <c r="L38" i="2"/>
  <c r="J35" i="2"/>
  <c r="H32" i="2"/>
  <c r="P28" i="2"/>
  <c r="N25" i="2"/>
  <c r="L22" i="2"/>
  <c r="T18" i="2"/>
  <c r="H16" i="2"/>
  <c r="V13" i="2"/>
  <c r="J11" i="2"/>
  <c r="X8" i="2"/>
  <c r="L6" i="2"/>
  <c r="E32" i="14"/>
  <c r="Z64" i="2"/>
  <c r="D55" i="2"/>
  <c r="H45" i="2"/>
  <c r="L35" i="2"/>
  <c r="P25" i="2"/>
  <c r="T15" i="2"/>
  <c r="X5" i="2"/>
  <c r="T43" i="2"/>
  <c r="F14" i="2"/>
  <c r="K62" i="2"/>
  <c r="O52" i="2"/>
  <c r="S42" i="2"/>
  <c r="W32" i="2"/>
  <c r="AA22" i="2"/>
  <c r="E13" i="2"/>
  <c r="R64" i="2"/>
  <c r="P37" i="2"/>
  <c r="H9" i="2"/>
  <c r="V38" i="2"/>
  <c r="B8" i="2"/>
  <c r="Q59" i="2"/>
  <c r="U49" i="2"/>
  <c r="Y39" i="2"/>
  <c r="C30" i="2"/>
  <c r="G20" i="2"/>
  <c r="K10" i="2"/>
  <c r="E27" i="14"/>
  <c r="G44" i="2"/>
  <c r="Y15" i="2"/>
  <c r="D63" i="2"/>
  <c r="H53" i="2"/>
  <c r="L43" i="2"/>
  <c r="P33" i="2"/>
  <c r="T23" i="2"/>
  <c r="X13" i="2"/>
  <c r="G47" i="14"/>
  <c r="G64" i="2"/>
  <c r="K54" i="2"/>
  <c r="O44" i="2"/>
  <c r="S34" i="2"/>
  <c r="W24" i="2"/>
  <c r="AA14" i="2"/>
  <c r="E5" i="2"/>
  <c r="P61" i="2"/>
  <c r="T51" i="2"/>
  <c r="X41" i="2"/>
  <c r="B32" i="2"/>
  <c r="F22" i="2"/>
  <c r="J12" i="2"/>
  <c r="D69" i="2"/>
  <c r="R62" i="2"/>
  <c r="L53" i="2"/>
  <c r="D45" i="2"/>
  <c r="D37" i="2"/>
  <c r="P27" i="2"/>
  <c r="Z18" i="2"/>
  <c r="H11" i="2"/>
  <c r="W67" i="2"/>
  <c r="O59" i="2"/>
  <c r="O51" i="2"/>
  <c r="I42" i="2"/>
  <c r="AA33" i="2"/>
  <c r="S25" i="2"/>
  <c r="U16" i="2"/>
  <c r="E8" i="2"/>
  <c r="P66" i="2"/>
  <c r="J57" i="2"/>
  <c r="R49" i="2"/>
  <c r="L44" i="2"/>
  <c r="V39" i="2"/>
  <c r="P34" i="2"/>
  <c r="R29" i="2"/>
  <c r="D24" i="2"/>
  <c r="P18" i="2"/>
  <c r="R13" i="2"/>
  <c r="T8" i="2"/>
  <c r="G26" i="14"/>
  <c r="S64" i="2"/>
  <c r="M59" i="2"/>
  <c r="O54" i="2"/>
  <c r="I49" i="2"/>
  <c r="S44" i="2"/>
  <c r="E39" i="2"/>
  <c r="Y33" i="2"/>
  <c r="AA28" i="2"/>
  <c r="M23" i="2"/>
  <c r="E19" i="2"/>
  <c r="I13" i="2"/>
  <c r="C8" i="2"/>
  <c r="Y68" i="2"/>
  <c r="S63" i="2"/>
  <c r="U58" i="2"/>
  <c r="G53" i="2"/>
  <c r="I48" i="2"/>
  <c r="K43" i="2"/>
  <c r="E38" i="2"/>
  <c r="G33" i="2"/>
  <c r="S27" i="2"/>
  <c r="C23" i="2"/>
  <c r="C19" i="2"/>
  <c r="M14" i="2"/>
  <c r="U10" i="2"/>
  <c r="K7" i="2"/>
  <c r="G9" i="14"/>
  <c r="V65" i="2"/>
  <c r="D62" i="2"/>
  <c r="D58" i="2"/>
  <c r="T54" i="2"/>
  <c r="R51" i="2"/>
  <c r="Z47" i="2"/>
  <c r="X44" i="2"/>
  <c r="V41" i="2"/>
  <c r="D38" i="2"/>
  <c r="B35" i="2"/>
  <c r="Z31" i="2"/>
  <c r="H28" i="2"/>
  <c r="F25" i="2"/>
  <c r="D22" i="2"/>
  <c r="L18" i="2"/>
  <c r="Z15" i="2"/>
  <c r="N13" i="2"/>
  <c r="B11" i="2"/>
  <c r="P8" i="2"/>
  <c r="D6" i="2"/>
  <c r="G30" i="14"/>
  <c r="T63" i="2"/>
  <c r="X53" i="2"/>
  <c r="B44" i="2"/>
  <c r="F34" i="2"/>
  <c r="J24" i="2"/>
  <c r="N14" i="2"/>
  <c r="D67" i="2"/>
  <c r="B40" i="2"/>
  <c r="N10" i="2"/>
  <c r="E61" i="2"/>
  <c r="I51" i="2"/>
  <c r="M41" i="2"/>
  <c r="Q31" i="2"/>
  <c r="U21" i="2"/>
  <c r="Y11" i="2"/>
  <c r="F62" i="2"/>
  <c r="X33" i="2"/>
  <c r="P5" i="2"/>
  <c r="D35" i="2"/>
  <c r="G68" i="2"/>
  <c r="K58" i="2"/>
  <c r="O48" i="2"/>
  <c r="S38" i="2"/>
  <c r="W28" i="2"/>
  <c r="AA18" i="2"/>
  <c r="E9" i="2"/>
  <c r="W68" i="2"/>
  <c r="O40" i="2"/>
  <c r="G12" i="2"/>
  <c r="X61" i="2"/>
  <c r="B52" i="2"/>
  <c r="F42" i="2"/>
  <c r="J32" i="2"/>
  <c r="N22" i="2"/>
  <c r="R12" i="2"/>
  <c r="E41" i="14"/>
  <c r="AA62" i="2"/>
  <c r="E53" i="2"/>
  <c r="I43" i="2"/>
  <c r="M33" i="2"/>
  <c r="Q23" i="2"/>
  <c r="U13" i="2"/>
  <c r="G40" i="14"/>
  <c r="J60" i="2"/>
  <c r="N50" i="2"/>
  <c r="R40" i="2"/>
  <c r="V30" i="2"/>
  <c r="Z20" i="2"/>
  <c r="D11" i="2"/>
  <c r="K66" i="2"/>
  <c r="Q35" i="2"/>
  <c r="C69" i="2"/>
  <c r="V60" i="2"/>
  <c r="V52" i="2"/>
  <c r="P43" i="2"/>
  <c r="H35" i="2"/>
  <c r="H27" i="2"/>
  <c r="B18" i="2"/>
  <c r="T9" i="2"/>
  <c r="O67" i="2"/>
  <c r="Q58" i="2"/>
  <c r="AA49" i="2"/>
  <c r="AA41" i="2"/>
  <c r="U32" i="2"/>
  <c r="M24" i="2"/>
  <c r="E16" i="2"/>
  <c r="G7" i="2"/>
  <c r="B65" i="2"/>
  <c r="B57" i="2"/>
  <c r="J49" i="2"/>
  <c r="D44" i="2"/>
  <c r="F39" i="2"/>
  <c r="J33" i="2"/>
  <c r="L28" i="2"/>
  <c r="N23" i="2"/>
  <c r="H18" i="2"/>
  <c r="J13" i="2"/>
  <c r="V7" i="2"/>
  <c r="AA68" i="2"/>
  <c r="K64" i="2"/>
  <c r="E59" i="2"/>
  <c r="G54" i="2"/>
  <c r="S48" i="2"/>
  <c r="E43" i="2"/>
  <c r="W38" i="2"/>
  <c r="I33" i="2"/>
  <c r="K28" i="2"/>
  <c r="W22" i="2"/>
  <c r="Q17" i="2"/>
  <c r="S12" i="2"/>
  <c r="U7" i="2"/>
  <c r="Q68" i="2"/>
  <c r="C63" i="2"/>
  <c r="W57" i="2"/>
  <c r="Y52" i="2"/>
  <c r="K47" i="2"/>
  <c r="C43" i="2"/>
  <c r="G37" i="2"/>
  <c r="AA31" i="2"/>
  <c r="K27" i="2"/>
  <c r="U22" i="2"/>
  <c r="U18" i="2"/>
  <c r="E14" i="2"/>
  <c r="M10" i="2"/>
  <c r="M6" i="2"/>
  <c r="X68" i="2"/>
  <c r="N65" i="2"/>
  <c r="F61" i="2"/>
  <c r="V57" i="2"/>
  <c r="L54" i="2"/>
  <c r="T50" i="2"/>
  <c r="R47" i="2"/>
  <c r="P44" i="2"/>
  <c r="X40" i="2"/>
  <c r="V37" i="2"/>
  <c r="T34" i="2"/>
  <c r="B31" i="2"/>
  <c r="Z27" i="2"/>
  <c r="X24" i="2"/>
  <c r="F21" i="2"/>
  <c r="D18" i="2"/>
  <c r="R15" i="2"/>
  <c r="F13" i="2"/>
  <c r="T10" i="2"/>
  <c r="H8" i="2"/>
  <c r="V5" i="2"/>
  <c r="E24" i="14"/>
  <c r="N62" i="2"/>
  <c r="R52" i="2"/>
  <c r="V42" i="2"/>
  <c r="Z32" i="2"/>
  <c r="D23" i="2"/>
  <c r="H13" i="2"/>
  <c r="L63" i="2"/>
  <c r="J36" i="2"/>
  <c r="V6" i="2"/>
  <c r="Y59" i="2"/>
  <c r="C50" i="2"/>
  <c r="G40" i="2"/>
  <c r="K30" i="2"/>
  <c r="O20" i="2"/>
  <c r="S10" i="2"/>
  <c r="T59" i="2"/>
  <c r="F30" i="2"/>
  <c r="X65" i="2"/>
  <c r="L31" i="2"/>
  <c r="AA66" i="2"/>
  <c r="E57" i="2"/>
  <c r="I47" i="2"/>
  <c r="M37" i="2"/>
  <c r="Q27" i="2"/>
  <c r="U17" i="2"/>
  <c r="Y7" i="2"/>
  <c r="E65" i="2"/>
  <c r="W36" i="2"/>
  <c r="O8" i="2"/>
  <c r="R60" i="2"/>
  <c r="V50" i="2"/>
  <c r="Z40" i="2"/>
  <c r="D31" i="2"/>
  <c r="H21" i="2"/>
  <c r="L11" i="2"/>
  <c r="G32" i="14"/>
  <c r="U61" i="2"/>
  <c r="Y51" i="2"/>
  <c r="C42" i="2"/>
  <c r="G32" i="2"/>
  <c r="K22" i="2"/>
  <c r="O12" i="2"/>
  <c r="G25" i="14"/>
  <c r="D59" i="2"/>
  <c r="H49" i="2"/>
  <c r="L39" i="2"/>
  <c r="P29" i="2"/>
  <c r="T19" i="2"/>
  <c r="X9" i="2"/>
  <c r="S62" i="2"/>
  <c r="Y31" i="2"/>
  <c r="Z68" i="2"/>
  <c r="E49" i="2"/>
  <c r="K18" i="2"/>
  <c r="S58" i="2"/>
  <c r="I19" i="2"/>
  <c r="B56" i="2"/>
  <c r="N58" i="2"/>
  <c r="U65" i="2"/>
  <c r="C46" i="2"/>
  <c r="K26" i="2"/>
  <c r="S6" i="2"/>
  <c r="E33" i="2"/>
  <c r="G14" i="14"/>
  <c r="P49" i="2"/>
  <c r="X29" i="2"/>
  <c r="B20" i="2"/>
  <c r="E26" i="14"/>
  <c r="S50" i="2"/>
  <c r="AA30" i="2"/>
  <c r="I11" i="2"/>
  <c r="E16" i="14"/>
  <c r="B48" i="2"/>
  <c r="J28" i="2"/>
  <c r="R8" i="2"/>
  <c r="G28" i="2"/>
  <c r="T67" i="2"/>
  <c r="S14" i="2"/>
  <c r="Y69" i="2"/>
  <c r="J69" i="2"/>
  <c r="X59" i="2"/>
  <c r="P51" i="2"/>
  <c r="H43" i="2"/>
  <c r="J34" i="2"/>
  <c r="T25" i="2"/>
  <c r="T17" i="2"/>
  <c r="N8" i="2"/>
  <c r="I66" i="2"/>
  <c r="AA57" i="2"/>
  <c r="U48" i="2"/>
  <c r="E40" i="2"/>
  <c r="M32" i="2"/>
  <c r="Y22" i="2"/>
  <c r="Q14" i="2"/>
  <c r="I6" i="2"/>
  <c r="V63" i="2"/>
  <c r="F55" i="2"/>
  <c r="B49" i="2"/>
  <c r="F43" i="2"/>
  <c r="Z37" i="2"/>
  <c r="B33" i="2"/>
  <c r="V27" i="2"/>
  <c r="F23" i="2"/>
  <c r="R17" i="2"/>
  <c r="L12" i="2"/>
  <c r="N7" i="2"/>
  <c r="S68" i="2"/>
  <c r="C64" i="2"/>
  <c r="O58" i="2"/>
  <c r="AA52" i="2"/>
  <c r="C48" i="2"/>
  <c r="W42" i="2"/>
  <c r="Y37" i="2"/>
  <c r="K32" i="2"/>
  <c r="M27" i="2"/>
  <c r="O22" i="2"/>
  <c r="I17" i="2"/>
  <c r="K12" i="2"/>
  <c r="W6" i="2"/>
  <c r="C67" i="2"/>
  <c r="U62" i="2"/>
  <c r="G57" i="2"/>
  <c r="I52" i="2"/>
  <c r="U46" i="2"/>
  <c r="O41" i="2"/>
  <c r="Y36" i="2"/>
  <c r="S31" i="2"/>
  <c r="C27" i="2"/>
  <c r="E22" i="2"/>
  <c r="O17" i="2"/>
  <c r="W13" i="2"/>
  <c r="E10" i="2"/>
  <c r="W5" i="2"/>
  <c r="P68" i="2"/>
  <c r="F65" i="2"/>
  <c r="X60" i="2"/>
  <c r="F57" i="2"/>
  <c r="D54" i="2"/>
  <c r="L50" i="2"/>
  <c r="J47" i="2"/>
  <c r="H44" i="2"/>
  <c r="P40" i="2"/>
  <c r="N37" i="2"/>
  <c r="L34" i="2"/>
  <c r="T30" i="2"/>
  <c r="R27" i="2"/>
  <c r="P24" i="2"/>
  <c r="X20" i="2"/>
  <c r="V17" i="2"/>
  <c r="J15" i="2"/>
  <c r="X12" i="2"/>
  <c r="L10" i="2"/>
  <c r="Z7" i="2"/>
  <c r="N5" i="2"/>
  <c r="E14" i="14"/>
  <c r="H61" i="2"/>
  <c r="L51" i="2"/>
  <c r="P41" i="2"/>
  <c r="T31" i="2"/>
  <c r="X21" i="2"/>
  <c r="B12" i="2"/>
  <c r="Z60" i="2"/>
  <c r="R32" i="2"/>
  <c r="O68" i="2"/>
  <c r="W48" i="2"/>
  <c r="AA38" i="2"/>
  <c r="E29" i="2"/>
  <c r="M9" i="2"/>
  <c r="N26" i="2"/>
  <c r="T27" i="2"/>
  <c r="Y55" i="2"/>
  <c r="G36" i="2"/>
  <c r="O16" i="2"/>
  <c r="M61" i="2"/>
  <c r="L59" i="2"/>
  <c r="T39" i="2"/>
  <c r="F10" i="2"/>
  <c r="O60" i="2"/>
  <c r="W40" i="2"/>
  <c r="E21" i="2"/>
  <c r="X57" i="2"/>
  <c r="F38" i="2"/>
  <c r="N18" i="2"/>
  <c r="AA58" i="2"/>
  <c r="M45" i="2"/>
  <c r="G69" i="2"/>
  <c r="T65" i="2"/>
  <c r="V56" i="2"/>
  <c r="F48" i="2"/>
  <c r="F40" i="2"/>
  <c r="Z30" i="2"/>
  <c r="R22" i="2"/>
  <c r="R14" i="2"/>
  <c r="D5" i="2"/>
  <c r="Q62" i="2"/>
  <c r="Y54" i="2"/>
  <c r="K45" i="2"/>
  <c r="C37" i="2"/>
  <c r="C29" i="2"/>
  <c r="W19" i="2"/>
  <c r="G11" i="2"/>
  <c r="E25" i="14"/>
  <c r="L60" i="2"/>
  <c r="D52" i="2"/>
  <c r="P46" i="2"/>
  <c r="J41" i="2"/>
  <c r="L36" i="2"/>
  <c r="N31" i="2"/>
  <c r="P26" i="2"/>
  <c r="T20" i="2"/>
  <c r="N15" i="2"/>
  <c r="P10" i="2"/>
  <c r="J5" i="2"/>
  <c r="E67" i="2"/>
  <c r="Q61" i="2"/>
  <c r="K56" i="2"/>
  <c r="M51" i="2"/>
  <c r="G46" i="2"/>
  <c r="Q41" i="2"/>
  <c r="U35" i="2"/>
  <c r="O30" i="2"/>
  <c r="Q25" i="2"/>
  <c r="K20" i="2"/>
  <c r="M15" i="2"/>
  <c r="Y9" i="2"/>
  <c r="E46" i="14"/>
  <c r="W65" i="2"/>
  <c r="Q60" i="2"/>
  <c r="S55" i="2"/>
  <c r="W49" i="2"/>
  <c r="Q44" i="2"/>
  <c r="AA39" i="2"/>
  <c r="U34" i="2"/>
  <c r="W29" i="2"/>
  <c r="Y24" i="2"/>
  <c r="I20" i="2"/>
  <c r="I16" i="2"/>
  <c r="AA11" i="2"/>
  <c r="I8" i="2"/>
  <c r="E44" i="14"/>
  <c r="T66" i="2"/>
  <c r="J63" i="2"/>
  <c r="R59" i="2"/>
  <c r="R55" i="2"/>
  <c r="P52" i="2"/>
  <c r="N49" i="2"/>
  <c r="V45" i="2"/>
  <c r="T42" i="2"/>
  <c r="R39" i="2"/>
  <c r="Z35" i="2"/>
  <c r="X32" i="2"/>
  <c r="V29" i="2"/>
  <c r="D26" i="2"/>
  <c r="B23" i="2"/>
  <c r="Z19" i="2"/>
  <c r="X16" i="2"/>
  <c r="L14" i="2"/>
  <c r="Z11" i="2"/>
  <c r="N9" i="2"/>
  <c r="B7" i="2"/>
  <c r="G45" i="14"/>
  <c r="L67" i="2"/>
  <c r="P57" i="2"/>
  <c r="T47" i="2"/>
  <c r="X37" i="2"/>
  <c r="B28" i="2"/>
  <c r="F18" i="2"/>
  <c r="J8" i="2"/>
  <c r="D51" i="2"/>
  <c r="P21" i="2"/>
  <c r="W64" i="2"/>
  <c r="AA54" i="2"/>
  <c r="E45" i="2"/>
  <c r="I35" i="2"/>
  <c r="M25" i="2"/>
  <c r="Q15" i="2"/>
  <c r="U5" i="2"/>
  <c r="F46" i="2"/>
  <c r="L15" i="2"/>
  <c r="Z44" i="2"/>
  <c r="R16" i="2"/>
  <c r="C62" i="2"/>
  <c r="G52" i="2"/>
  <c r="K42" i="2"/>
  <c r="O32" i="2"/>
  <c r="S22" i="2"/>
  <c r="W12" i="2"/>
  <c r="E42" i="14"/>
  <c r="Q51" i="2"/>
  <c r="I23" i="2"/>
  <c r="P65" i="2"/>
  <c r="T55" i="2"/>
  <c r="X45" i="2"/>
  <c r="B36" i="2"/>
  <c r="F26" i="2"/>
  <c r="J16" i="2"/>
  <c r="N6" i="2"/>
  <c r="S66" i="2"/>
  <c r="W56" i="2"/>
  <c r="AA46" i="2"/>
  <c r="E37" i="2"/>
  <c r="I27" i="2"/>
  <c r="M17" i="2"/>
  <c r="Q7" i="2"/>
  <c r="B64" i="2"/>
  <c r="F54" i="2"/>
  <c r="J44" i="2"/>
  <c r="N34" i="2"/>
  <c r="R24" i="2"/>
  <c r="V14" i="2"/>
  <c r="G39" i="14"/>
  <c r="S46" i="2"/>
  <c r="E17" i="2"/>
  <c r="Y63" i="2"/>
  <c r="K34" i="2"/>
  <c r="J6" i="2"/>
  <c r="I61" i="2"/>
  <c r="Q56" i="2"/>
  <c r="AA7" i="2"/>
  <c r="J27" i="2"/>
  <c r="H57" i="2"/>
  <c r="I63" i="2"/>
  <c r="Y67" i="2"/>
  <c r="M13" i="2"/>
  <c r="B69" i="2"/>
  <c r="T49" i="2"/>
  <c r="N24" i="2"/>
  <c r="E45" i="14"/>
  <c r="Y46" i="2"/>
  <c r="Q22" i="2"/>
  <c r="L68" i="2"/>
  <c r="F47" i="2"/>
  <c r="T32" i="2"/>
  <c r="L20" i="2"/>
  <c r="Z5" i="2"/>
  <c r="Q57" i="2"/>
  <c r="I45" i="2"/>
  <c r="U31" i="2"/>
  <c r="S16" i="2"/>
  <c r="E31" i="14"/>
  <c r="AA55" i="2"/>
  <c r="G41" i="2"/>
  <c r="Y28" i="2"/>
  <c r="Q16" i="2"/>
  <c r="O5" i="2"/>
  <c r="B63" i="2"/>
  <c r="X52" i="2"/>
  <c r="J43" i="2"/>
  <c r="R35" i="2"/>
  <c r="B27" i="2"/>
  <c r="N17" i="2"/>
  <c r="R11" i="2"/>
  <c r="E47" i="14"/>
  <c r="F50" i="2"/>
  <c r="V26" i="2"/>
  <c r="V54" i="2"/>
  <c r="M57" i="2"/>
  <c r="C34" i="2"/>
  <c r="AA6" i="2"/>
  <c r="J52" i="2"/>
  <c r="W60" i="2"/>
  <c r="U33" i="2"/>
  <c r="M5" i="2"/>
  <c r="Q19" i="2"/>
  <c r="D47" i="2"/>
  <c r="V18" i="2"/>
  <c r="M65" i="2"/>
  <c r="K38" i="2"/>
  <c r="C10" i="2"/>
  <c r="Z52" i="2"/>
  <c r="X25" i="2"/>
  <c r="G15" i="14"/>
  <c r="U9" i="2"/>
  <c r="C38" i="2"/>
  <c r="C6" i="2"/>
  <c r="D21" i="2"/>
  <c r="M64" i="2"/>
  <c r="R61" i="2"/>
  <c r="X42" i="2"/>
  <c r="U67" i="2"/>
  <c r="W26" i="2"/>
  <c r="E66" i="2"/>
  <c r="S39" i="2"/>
  <c r="G42" i="14"/>
  <c r="L42" i="2"/>
  <c r="P16" i="2"/>
  <c r="G12" i="14"/>
  <c r="Z28" i="2"/>
  <c r="P53" i="2"/>
  <c r="M53" i="2"/>
  <c r="G33" i="14"/>
  <c r="N38" i="2"/>
  <c r="U29" i="2"/>
  <c r="P45" i="2"/>
  <c r="K50" i="2"/>
  <c r="O36" i="2"/>
  <c r="Q39" i="2"/>
  <c r="P67" i="2"/>
  <c r="Z46" i="2"/>
  <c r="X23" i="2"/>
  <c r="U64" i="2"/>
  <c r="C45" i="2"/>
  <c r="C21" i="2"/>
  <c r="N63" i="2"/>
  <c r="H46" i="2"/>
  <c r="V31" i="2"/>
  <c r="J17" i="2"/>
  <c r="E43" i="14"/>
  <c r="I57" i="2"/>
  <c r="G42" i="2"/>
  <c r="G30" i="2"/>
  <c r="C16" i="2"/>
  <c r="U66" i="2"/>
  <c r="M54" i="2"/>
  <c r="Q40" i="2"/>
  <c r="E26" i="2"/>
  <c r="S15" i="2"/>
  <c r="G5" i="2"/>
  <c r="P60" i="2"/>
  <c r="H52" i="2"/>
  <c r="B43" i="2"/>
  <c r="N33" i="2"/>
  <c r="V25" i="2"/>
  <c r="F17" i="2"/>
  <c r="D10" i="2"/>
  <c r="E39" i="14"/>
  <c r="Z48" i="2"/>
  <c r="R20" i="2"/>
  <c r="L47" i="2"/>
  <c r="G56" i="2"/>
  <c r="Y27" i="2"/>
  <c r="J68" i="2"/>
  <c r="R48" i="2"/>
  <c r="S54" i="2"/>
  <c r="I31" i="2"/>
  <c r="G48" i="14"/>
  <c r="B68" i="2"/>
  <c r="R44" i="2"/>
  <c r="P17" i="2"/>
  <c r="I59" i="2"/>
  <c r="Y35" i="2"/>
  <c r="W8" i="2"/>
  <c r="V46" i="2"/>
  <c r="L23" i="2"/>
  <c r="C54" i="2"/>
  <c r="S30" i="2"/>
  <c r="J66" i="2"/>
  <c r="G39" i="2"/>
  <c r="T16" i="2"/>
  <c r="Y41" i="2"/>
  <c r="K51" i="2"/>
  <c r="O25" i="2"/>
  <c r="H60" i="2"/>
  <c r="F33" i="2"/>
  <c r="V9" i="2"/>
  <c r="L19" i="2"/>
  <c r="S26" i="2"/>
  <c r="E25" i="2"/>
  <c r="D15" i="2"/>
  <c r="K6" i="2"/>
  <c r="E9" i="14"/>
  <c r="U25" i="2"/>
  <c r="D27" i="2"/>
  <c r="T41" i="2"/>
  <c r="O19" i="2"/>
  <c r="H30" i="2"/>
  <c r="C56" i="2"/>
  <c r="O14" i="2"/>
  <c r="G13" i="2"/>
  <c r="D50" i="2"/>
  <c r="R23" i="2"/>
  <c r="N46" i="2"/>
  <c r="U53" i="2"/>
  <c r="H41" i="2"/>
  <c r="V66" i="2"/>
  <c r="C58" i="2"/>
  <c r="H17" i="2"/>
  <c r="AA26" i="2"/>
  <c r="AA34" i="2"/>
  <c r="G16" i="2"/>
  <c r="U41" i="2"/>
  <c r="F64" i="2"/>
  <c r="N40" i="2"/>
  <c r="X15" i="2"/>
  <c r="S61" i="2"/>
  <c r="Y38" i="2"/>
  <c r="K13" i="2"/>
  <c r="D60" i="2"/>
  <c r="P42" i="2"/>
  <c r="F27" i="2"/>
  <c r="F15" i="2"/>
  <c r="M67" i="2"/>
  <c r="S52" i="2"/>
  <c r="C40" i="2"/>
  <c r="Y25" i="2"/>
  <c r="E11" i="2"/>
  <c r="O65" i="2"/>
  <c r="C51" i="2"/>
  <c r="I36" i="2"/>
  <c r="Q24" i="2"/>
  <c r="Y12" i="2"/>
  <c r="H68" i="2"/>
  <c r="J59" i="2"/>
  <c r="V49" i="2"/>
  <c r="H40" i="2"/>
  <c r="P32" i="2"/>
  <c r="J23" i="2"/>
  <c r="B15" i="2"/>
  <c r="F9" i="2"/>
  <c r="R68" i="2"/>
  <c r="J40" i="2"/>
  <c r="Z16" i="2"/>
  <c r="H25" i="2"/>
  <c r="Q47" i="2"/>
  <c r="G24" i="2"/>
  <c r="X49" i="2"/>
  <c r="B24" i="2"/>
  <c r="AA50" i="2"/>
  <c r="Y23" i="2"/>
  <c r="U57" i="2"/>
  <c r="J64" i="2"/>
  <c r="H37" i="2"/>
  <c r="Z8" i="2"/>
  <c r="Q55" i="2"/>
  <c r="O28" i="2"/>
  <c r="N66" i="2"/>
  <c r="D43" i="2"/>
  <c r="B16" i="2"/>
  <c r="AA42" i="2"/>
  <c r="Q67" i="2"/>
  <c r="C22" i="2"/>
  <c r="H65" i="2"/>
  <c r="P13" i="2"/>
  <c r="I39" i="2"/>
  <c r="AA10" i="2"/>
  <c r="T57" i="2"/>
  <c r="V12" i="2"/>
  <c r="Q30" i="2"/>
  <c r="Z53" i="2"/>
  <c r="R37" i="2"/>
  <c r="X10" i="2"/>
  <c r="E51" i="2"/>
  <c r="S36" i="2"/>
  <c r="Q9" i="2"/>
  <c r="M46" i="2"/>
  <c r="O21" i="2"/>
  <c r="L66" i="2"/>
  <c r="B47" i="2"/>
  <c r="D30" i="2"/>
  <c r="D14" i="2"/>
  <c r="B60" i="2"/>
  <c r="P9" i="2"/>
  <c r="Y43" i="2"/>
  <c r="V22" i="2"/>
  <c r="Q43" i="2"/>
  <c r="Y47" i="2"/>
  <c r="R28" i="2"/>
  <c r="G48" i="2"/>
  <c r="V62" i="2"/>
  <c r="L7" i="2"/>
  <c r="O56" i="2"/>
  <c r="H69" i="2"/>
  <c r="E48" i="2"/>
  <c r="N47" i="2"/>
  <c r="F7" i="2"/>
  <c r="U19" i="2"/>
  <c r="I44" i="2"/>
  <c r="R63" i="2"/>
  <c r="X36" i="2"/>
  <c r="F5" i="2"/>
  <c r="Q63" i="2"/>
  <c r="Q11" i="2"/>
  <c r="L55" i="2"/>
  <c r="P59" i="2"/>
  <c r="J38" i="2"/>
  <c r="Z14" i="2"/>
  <c r="M56" i="2"/>
  <c r="W35" i="2"/>
  <c r="C13" i="2"/>
  <c r="H54" i="2"/>
  <c r="T40" i="2"/>
  <c r="X26" i="2"/>
  <c r="D12" i="2"/>
  <c r="Y65" i="2"/>
  <c r="U51" i="2"/>
  <c r="AA36" i="2"/>
  <c r="I25" i="2"/>
  <c r="W10" i="2"/>
  <c r="E62" i="2"/>
  <c r="O49" i="2"/>
  <c r="C35" i="2"/>
  <c r="W21" i="2"/>
  <c r="S11" i="2"/>
  <c r="Z67" i="2"/>
  <c r="X56" i="2"/>
  <c r="F49" i="2"/>
  <c r="Z39" i="2"/>
  <c r="L30" i="2"/>
  <c r="T22" i="2"/>
  <c r="T14" i="2"/>
  <c r="R7" i="2"/>
  <c r="F66" i="2"/>
  <c r="D39" i="2"/>
  <c r="V10" i="2"/>
  <c r="X17" i="2"/>
  <c r="K46" i="2"/>
  <c r="C18" i="2"/>
  <c r="N42" i="2"/>
  <c r="J20" i="2"/>
  <c r="W44" i="2"/>
  <c r="M21" i="2"/>
  <c r="I55" i="2"/>
  <c r="F58" i="2"/>
  <c r="V34" i="2"/>
  <c r="T7" i="2"/>
  <c r="M49" i="2"/>
  <c r="C26" i="2"/>
  <c r="Z36" i="2"/>
  <c r="G60" i="2"/>
  <c r="T33" i="2"/>
  <c r="G55" i="2"/>
  <c r="I10" i="2"/>
  <c r="B25" i="2"/>
  <c r="O62" i="2"/>
  <c r="G22" i="2"/>
  <c r="Y60" i="2"/>
  <c r="E34" i="2"/>
  <c r="G9" i="2"/>
  <c r="P56" i="2"/>
  <c r="J39" i="2"/>
  <c r="P20" i="2"/>
  <c r="J7" i="2"/>
  <c r="R36" i="2"/>
  <c r="I67" i="2"/>
  <c r="W16" i="2"/>
  <c r="Z12" i="2"/>
  <c r="I15" i="2"/>
  <c r="Z56" i="2"/>
  <c r="H5" i="2"/>
  <c r="Y19" i="2"/>
  <c r="T35" i="2"/>
  <c r="O24" i="2"/>
  <c r="I7" i="2"/>
  <c r="B50" i="2"/>
  <c r="O27" i="2"/>
  <c r="V35" i="2"/>
  <c r="O46" i="2"/>
  <c r="Y5" i="2"/>
  <c r="E30" i="2"/>
  <c r="F53" i="2"/>
  <c r="R19" i="2"/>
  <c r="J56" i="2"/>
  <c r="G8" i="2"/>
  <c r="J48" i="2"/>
  <c r="G24" i="14"/>
  <c r="N56" i="2"/>
  <c r="F32" i="2"/>
  <c r="X7" i="2"/>
  <c r="C53" i="2"/>
  <c r="S29" i="2"/>
  <c r="C5" i="2"/>
  <c r="F51" i="2"/>
  <c r="B37" i="2"/>
  <c r="Z21" i="2"/>
  <c r="H10" i="2"/>
  <c r="G62" i="2"/>
  <c r="U47" i="2"/>
  <c r="E35" i="2"/>
  <c r="S20" i="2"/>
  <c r="G6" i="2"/>
  <c r="S59" i="2"/>
  <c r="E46" i="2"/>
  <c r="U30" i="2"/>
  <c r="AA19" i="2"/>
  <c r="Y8" i="2"/>
  <c r="Z63" i="2"/>
  <c r="J55" i="2"/>
  <c r="T46" i="2"/>
  <c r="F37" i="2"/>
  <c r="N29" i="2"/>
  <c r="H20" i="2"/>
  <c r="P12" i="2"/>
  <c r="T6" i="2"/>
  <c r="V58" i="2"/>
  <c r="N30" i="2"/>
  <c r="D7" i="2"/>
  <c r="C66" i="2"/>
  <c r="U37" i="2"/>
  <c r="K14" i="2"/>
  <c r="D19" i="2"/>
  <c r="O64" i="2"/>
  <c r="E41" i="2"/>
  <c r="C14" i="2"/>
  <c r="M29" i="2"/>
  <c r="N54" i="2"/>
  <c r="L27" i="2"/>
  <c r="E17" i="14"/>
  <c r="U45" i="2"/>
  <c r="S18" i="2"/>
  <c r="R56" i="2"/>
  <c r="H33" i="2"/>
  <c r="F6" i="2"/>
  <c r="W20" i="2"/>
  <c r="W52" i="2"/>
  <c r="J30" i="2"/>
  <c r="G31" i="14"/>
  <c r="R21" i="2"/>
  <c r="C32" i="2"/>
  <c r="G17" i="2"/>
  <c r="N45" i="2"/>
  <c r="H12" i="2"/>
  <c r="H29" i="2"/>
  <c r="T11" i="2"/>
  <c r="Z24" i="2"/>
  <c r="G5" i="13" l="1"/>
  <c r="K127" i="3"/>
  <c r="Q356" i="3"/>
  <c r="K85" i="3"/>
  <c r="M85" i="3" s="1"/>
  <c r="K93" i="3"/>
  <c r="M93" i="3" s="1"/>
  <c r="G82" i="13"/>
  <c r="G83" i="13" s="1"/>
  <c r="B2" i="13"/>
  <c r="H33" i="13"/>
  <c r="K82" i="13"/>
  <c r="K83" i="13" s="1"/>
  <c r="E40" i="13"/>
  <c r="K861" i="3"/>
  <c r="M861" i="3" s="1"/>
  <c r="J82" i="13"/>
  <c r="J84" i="13" s="1"/>
  <c r="Q198" i="3"/>
  <c r="S198" i="3" s="1"/>
  <c r="H82" i="13"/>
  <c r="H84" i="13" s="1"/>
  <c r="H85" i="13" s="1"/>
  <c r="H76" i="13" s="1"/>
  <c r="I82" i="13"/>
  <c r="I83" i="13" s="1"/>
  <c r="Z12" i="4"/>
  <c r="H16" i="3"/>
  <c r="E16" i="3"/>
  <c r="B16" i="3"/>
  <c r="AB19" i="4"/>
  <c r="H68" i="3" s="1"/>
  <c r="AB17" i="4"/>
  <c r="B64" i="3" s="1"/>
  <c r="AB18" i="4"/>
  <c r="E36" i="3" s="1"/>
  <c r="E20" i="3"/>
  <c r="B20" i="3"/>
  <c r="H20" i="3"/>
  <c r="I8" i="3"/>
  <c r="H8" i="3"/>
  <c r="N8" i="3"/>
  <c r="E8" i="3"/>
  <c r="B8" i="3"/>
  <c r="E12" i="3"/>
  <c r="K12" i="3"/>
  <c r="Q12" i="3"/>
  <c r="H12" i="3"/>
  <c r="N12" i="3"/>
  <c r="B12" i="3"/>
  <c r="B28" i="3"/>
  <c r="C7" i="3"/>
  <c r="K7" i="3"/>
  <c r="B7" i="3"/>
  <c r="Q7" i="3"/>
  <c r="N7" i="3"/>
  <c r="E7" i="3"/>
  <c r="H11" i="3"/>
  <c r="N11" i="3"/>
  <c r="K11" i="3"/>
  <c r="B11" i="3"/>
  <c r="E11" i="3"/>
  <c r="Q11" i="3"/>
  <c r="B15" i="3"/>
  <c r="H15" i="3"/>
  <c r="E15" i="3"/>
  <c r="H19" i="3"/>
  <c r="E19" i="3"/>
  <c r="B19" i="3"/>
  <c r="K5" i="3"/>
  <c r="H5" i="3"/>
  <c r="Q5" i="3"/>
  <c r="B5" i="3"/>
  <c r="E9" i="3"/>
  <c r="L9" i="3"/>
  <c r="R9" i="3"/>
  <c r="B9" i="3"/>
  <c r="Q9" i="3"/>
  <c r="H9" i="3"/>
  <c r="N9" i="3"/>
  <c r="K9" i="3"/>
  <c r="AB9" i="4"/>
  <c r="H9" i="4" s="1"/>
  <c r="AB11" i="4"/>
  <c r="X11" i="4" s="1"/>
  <c r="AB13" i="4"/>
  <c r="C13" i="4" s="1"/>
  <c r="B13" i="3"/>
  <c r="Q13" i="3"/>
  <c r="H13" i="3"/>
  <c r="N13" i="3"/>
  <c r="E13" i="3"/>
  <c r="K13" i="3"/>
  <c r="J11" i="4"/>
  <c r="E17" i="3"/>
  <c r="B17" i="3"/>
  <c r="H17" i="3"/>
  <c r="N6" i="3"/>
  <c r="F6" i="3"/>
  <c r="E6" i="3"/>
  <c r="K6" i="3"/>
  <c r="Q6" i="3"/>
  <c r="H6" i="3"/>
  <c r="O6" i="3"/>
  <c r="B10" i="3"/>
  <c r="Q10" i="3"/>
  <c r="N10" i="3"/>
  <c r="E10" i="3"/>
  <c r="K10" i="3"/>
  <c r="H10" i="3"/>
  <c r="E14" i="3"/>
  <c r="B14" i="3"/>
  <c r="H14" i="3"/>
  <c r="B18" i="3"/>
  <c r="E18" i="3"/>
  <c r="H18" i="3"/>
  <c r="Q72" i="3"/>
  <c r="H72" i="3"/>
  <c r="N72" i="3"/>
  <c r="E72" i="3"/>
  <c r="K72" i="3"/>
  <c r="B72" i="3"/>
  <c r="E84" i="3"/>
  <c r="K84" i="3"/>
  <c r="B84" i="3"/>
  <c r="Q84" i="3"/>
  <c r="H84" i="3"/>
  <c r="N84" i="3"/>
  <c r="Q96" i="3"/>
  <c r="H96" i="3"/>
  <c r="N96" i="3"/>
  <c r="E96" i="3"/>
  <c r="K96" i="3"/>
  <c r="B96" i="3"/>
  <c r="Q120" i="3"/>
  <c r="E120" i="3"/>
  <c r="N120" i="3"/>
  <c r="B120" i="3"/>
  <c r="K120" i="3"/>
  <c r="H120" i="3"/>
  <c r="N128" i="3"/>
  <c r="E128" i="3"/>
  <c r="B128" i="3"/>
  <c r="Q128" i="3"/>
  <c r="K128" i="3"/>
  <c r="H128" i="3"/>
  <c r="Q154" i="3"/>
  <c r="H154" i="3"/>
  <c r="N154" i="3"/>
  <c r="K154" i="3"/>
  <c r="E154" i="3"/>
  <c r="B154" i="3"/>
  <c r="Q178" i="3"/>
  <c r="H178" i="3"/>
  <c r="N178" i="3"/>
  <c r="K178" i="3"/>
  <c r="B178" i="3"/>
  <c r="Q202" i="3"/>
  <c r="H202" i="3"/>
  <c r="N202" i="3"/>
  <c r="K202" i="3"/>
  <c r="E202" i="3"/>
  <c r="B202" i="3"/>
  <c r="N234" i="3"/>
  <c r="E234" i="3"/>
  <c r="K234" i="3"/>
  <c r="Q234" i="3"/>
  <c r="H234" i="3"/>
  <c r="B234" i="3"/>
  <c r="N258" i="3"/>
  <c r="E258" i="3"/>
  <c r="K258" i="3"/>
  <c r="Q258" i="3"/>
  <c r="H258" i="3"/>
  <c r="B258" i="3"/>
  <c r="N266" i="3"/>
  <c r="E266" i="3"/>
  <c r="K266" i="3"/>
  <c r="Q266" i="3"/>
  <c r="H266" i="3"/>
  <c r="B266" i="3"/>
  <c r="N274" i="3"/>
  <c r="E274" i="3"/>
  <c r="K274" i="3"/>
  <c r="Q274" i="3"/>
  <c r="H274" i="3"/>
  <c r="B274" i="3"/>
  <c r="N322" i="3"/>
  <c r="E322" i="3"/>
  <c r="K322" i="3"/>
  <c r="Q322" i="3"/>
  <c r="H322" i="3"/>
  <c r="B322" i="3"/>
  <c r="E410" i="3"/>
  <c r="K410" i="3"/>
  <c r="B410" i="3"/>
  <c r="H410" i="3"/>
  <c r="Q410" i="3"/>
  <c r="N410" i="3"/>
  <c r="K434" i="3"/>
  <c r="B434" i="3"/>
  <c r="Q434" i="3"/>
  <c r="N434" i="3"/>
  <c r="H434" i="3"/>
  <c r="E434" i="3"/>
  <c r="N490" i="3"/>
  <c r="E490" i="3"/>
  <c r="B490" i="3"/>
  <c r="Q490" i="3"/>
  <c r="K490" i="3"/>
  <c r="H490" i="3"/>
  <c r="K554" i="3"/>
  <c r="B554" i="3"/>
  <c r="Q554" i="3"/>
  <c r="H554" i="3"/>
  <c r="N554" i="3"/>
  <c r="E554" i="3"/>
  <c r="K666" i="3"/>
  <c r="B666" i="3"/>
  <c r="Q666" i="3"/>
  <c r="H666" i="3"/>
  <c r="E666" i="3"/>
  <c r="N666" i="3"/>
  <c r="K674" i="3"/>
  <c r="B674" i="3"/>
  <c r="Q674" i="3"/>
  <c r="H674" i="3"/>
  <c r="N674" i="3"/>
  <c r="E674" i="3"/>
  <c r="K706" i="3"/>
  <c r="B706" i="3"/>
  <c r="Q706" i="3"/>
  <c r="H706" i="3"/>
  <c r="E706" i="3"/>
  <c r="N706" i="3"/>
  <c r="Q80" i="3"/>
  <c r="H80" i="3"/>
  <c r="N80" i="3"/>
  <c r="E80" i="3"/>
  <c r="K80" i="3"/>
  <c r="Q88" i="3"/>
  <c r="H88" i="3"/>
  <c r="N88" i="3"/>
  <c r="E88" i="3"/>
  <c r="K88" i="3"/>
  <c r="B88" i="3"/>
  <c r="E92" i="3"/>
  <c r="K92" i="3"/>
  <c r="B92" i="3"/>
  <c r="Q92" i="3"/>
  <c r="H92" i="3"/>
  <c r="E108" i="3"/>
  <c r="K108" i="3"/>
  <c r="B108" i="3"/>
  <c r="Q108" i="3"/>
  <c r="H108" i="3"/>
  <c r="N108" i="3"/>
  <c r="Q112" i="3"/>
  <c r="H112" i="3"/>
  <c r="N112" i="3"/>
  <c r="E112" i="3"/>
  <c r="K112" i="3"/>
  <c r="Q146" i="3"/>
  <c r="H146" i="3"/>
  <c r="N146" i="3"/>
  <c r="K146" i="3"/>
  <c r="B146" i="3"/>
  <c r="E146" i="3"/>
  <c r="Q186" i="3"/>
  <c r="H186" i="3"/>
  <c r="N186" i="3"/>
  <c r="K186" i="3"/>
  <c r="E186" i="3"/>
  <c r="B186" i="3"/>
  <c r="Q210" i="3"/>
  <c r="H210" i="3"/>
  <c r="N210" i="3"/>
  <c r="K210" i="3"/>
  <c r="B210" i="3"/>
  <c r="E210" i="3"/>
  <c r="Q218" i="3"/>
  <c r="H218" i="3"/>
  <c r="N218" i="3"/>
  <c r="K218" i="3"/>
  <c r="E218" i="3"/>
  <c r="B218" i="3"/>
  <c r="N306" i="3"/>
  <c r="E306" i="3"/>
  <c r="K306" i="3"/>
  <c r="Q306" i="3"/>
  <c r="H306" i="3"/>
  <c r="B306" i="3"/>
  <c r="N330" i="3"/>
  <c r="E330" i="3"/>
  <c r="K330" i="3"/>
  <c r="Q330" i="3"/>
  <c r="H330" i="3"/>
  <c r="B330" i="3"/>
  <c r="N338" i="3"/>
  <c r="E338" i="3"/>
  <c r="K338" i="3"/>
  <c r="Q338" i="3"/>
  <c r="H338" i="3"/>
  <c r="B338" i="3"/>
  <c r="E362" i="3"/>
  <c r="K362" i="3"/>
  <c r="B362" i="3"/>
  <c r="H362" i="3"/>
  <c r="Q362" i="3"/>
  <c r="N362" i="3"/>
  <c r="E386" i="3"/>
  <c r="K386" i="3"/>
  <c r="B386" i="3"/>
  <c r="H386" i="3"/>
  <c r="Q386" i="3"/>
  <c r="N386" i="3"/>
  <c r="Q418" i="3"/>
  <c r="N418" i="3"/>
  <c r="H418" i="3"/>
  <c r="E418" i="3"/>
  <c r="B418" i="3"/>
  <c r="K418" i="3"/>
  <c r="K442" i="3"/>
  <c r="B442" i="3"/>
  <c r="Q442" i="3"/>
  <c r="N442" i="3"/>
  <c r="H442" i="3"/>
  <c r="E442" i="3"/>
  <c r="Q466" i="3"/>
  <c r="K466" i="3"/>
  <c r="B466" i="3"/>
  <c r="N466" i="3"/>
  <c r="H466" i="3"/>
  <c r="E466" i="3"/>
  <c r="N498" i="3"/>
  <c r="E498" i="3"/>
  <c r="B498" i="3"/>
  <c r="Q498" i="3"/>
  <c r="H498" i="3"/>
  <c r="K498" i="3"/>
  <c r="K562" i="3"/>
  <c r="B562" i="3"/>
  <c r="Q562" i="3"/>
  <c r="H562" i="3"/>
  <c r="N562" i="3"/>
  <c r="E562" i="3"/>
  <c r="E634" i="3"/>
  <c r="K634" i="3"/>
  <c r="B634" i="3"/>
  <c r="Q634" i="3"/>
  <c r="H634" i="3"/>
  <c r="N634" i="3"/>
  <c r="E650" i="3"/>
  <c r="K650" i="3"/>
  <c r="B650" i="3"/>
  <c r="Q650" i="3"/>
  <c r="H650" i="3"/>
  <c r="N650" i="3"/>
  <c r="E658" i="3"/>
  <c r="K658" i="3"/>
  <c r="B658" i="3"/>
  <c r="Q658" i="3"/>
  <c r="H658" i="3"/>
  <c r="N658" i="3"/>
  <c r="K682" i="3"/>
  <c r="B682" i="3"/>
  <c r="Q682" i="3"/>
  <c r="H682" i="3"/>
  <c r="N682" i="3"/>
  <c r="E682" i="3"/>
  <c r="K714" i="3"/>
  <c r="B714" i="3"/>
  <c r="Q714" i="3"/>
  <c r="H714" i="3"/>
  <c r="E714" i="3"/>
  <c r="N714" i="3"/>
  <c r="J121" i="3"/>
  <c r="Q104" i="3"/>
  <c r="H104" i="3"/>
  <c r="N104" i="3"/>
  <c r="E104" i="3"/>
  <c r="K104" i="3"/>
  <c r="B104" i="3"/>
  <c r="K116" i="3"/>
  <c r="H116" i="3"/>
  <c r="Q116" i="3"/>
  <c r="E116" i="3"/>
  <c r="N116" i="3"/>
  <c r="B116" i="3"/>
  <c r="K124" i="3"/>
  <c r="H124" i="3"/>
  <c r="B124" i="3"/>
  <c r="Q124" i="3"/>
  <c r="E124" i="3"/>
  <c r="N124" i="3"/>
  <c r="K132" i="3"/>
  <c r="B132" i="3"/>
  <c r="Q132" i="3"/>
  <c r="H132" i="3"/>
  <c r="N132" i="3"/>
  <c r="E132" i="3"/>
  <c r="N242" i="3"/>
  <c r="E242" i="3"/>
  <c r="K242" i="3"/>
  <c r="Q242" i="3"/>
  <c r="H242" i="3"/>
  <c r="B242" i="3"/>
  <c r="N282" i="3"/>
  <c r="E282" i="3"/>
  <c r="K282" i="3"/>
  <c r="Q282" i="3"/>
  <c r="H282" i="3"/>
  <c r="B282" i="3"/>
  <c r="N298" i="3"/>
  <c r="E298" i="3"/>
  <c r="K298" i="3"/>
  <c r="Q298" i="3"/>
  <c r="H298" i="3"/>
  <c r="B298" i="3"/>
  <c r="N314" i="3"/>
  <c r="E314" i="3"/>
  <c r="K314" i="3"/>
  <c r="Q314" i="3"/>
  <c r="H314" i="3"/>
  <c r="B314" i="3"/>
  <c r="N354" i="3"/>
  <c r="E354" i="3"/>
  <c r="K354" i="3"/>
  <c r="Q354" i="3"/>
  <c r="H354" i="3"/>
  <c r="B354" i="3"/>
  <c r="E370" i="3"/>
  <c r="K370" i="3"/>
  <c r="B370" i="3"/>
  <c r="H370" i="3"/>
  <c r="Q370" i="3"/>
  <c r="N370" i="3"/>
  <c r="K450" i="3"/>
  <c r="B450" i="3"/>
  <c r="Q450" i="3"/>
  <c r="N450" i="3"/>
  <c r="H450" i="3"/>
  <c r="E450" i="3"/>
  <c r="K458" i="3"/>
  <c r="B458" i="3"/>
  <c r="Q458" i="3"/>
  <c r="N458" i="3"/>
  <c r="H458" i="3"/>
  <c r="E458" i="3"/>
  <c r="N482" i="3"/>
  <c r="E482" i="3"/>
  <c r="B482" i="3"/>
  <c r="Q482" i="3"/>
  <c r="H482" i="3"/>
  <c r="K482" i="3"/>
  <c r="N522" i="3"/>
  <c r="E522" i="3"/>
  <c r="B522" i="3"/>
  <c r="Q522" i="3"/>
  <c r="K522" i="3"/>
  <c r="H522" i="3"/>
  <c r="K546" i="3"/>
  <c r="B546" i="3"/>
  <c r="Q546" i="3"/>
  <c r="H546" i="3"/>
  <c r="N546" i="3"/>
  <c r="E546" i="3"/>
  <c r="K570" i="3"/>
  <c r="B570" i="3"/>
  <c r="Q570" i="3"/>
  <c r="H570" i="3"/>
  <c r="N570" i="3"/>
  <c r="E570" i="3"/>
  <c r="K578" i="3"/>
  <c r="B578" i="3"/>
  <c r="Q578" i="3"/>
  <c r="H578" i="3"/>
  <c r="N578" i="3"/>
  <c r="E578" i="3"/>
  <c r="E610" i="3"/>
  <c r="K610" i="3"/>
  <c r="B610" i="3"/>
  <c r="Q610" i="3"/>
  <c r="H610" i="3"/>
  <c r="N610" i="3"/>
  <c r="E626" i="3"/>
  <c r="K626" i="3"/>
  <c r="B626" i="3"/>
  <c r="Q626" i="3"/>
  <c r="H626" i="3"/>
  <c r="N626" i="3"/>
  <c r="E642" i="3"/>
  <c r="K642" i="3"/>
  <c r="B642" i="3"/>
  <c r="Q642" i="3"/>
  <c r="H642" i="3"/>
  <c r="N642" i="3"/>
  <c r="K722" i="3"/>
  <c r="B722" i="3"/>
  <c r="Q722" i="3"/>
  <c r="H722" i="3"/>
  <c r="E722" i="3"/>
  <c r="N722" i="3"/>
  <c r="G1" i="14"/>
  <c r="B80" i="3"/>
  <c r="N92" i="3"/>
  <c r="E76" i="3"/>
  <c r="K76" i="3"/>
  <c r="B76" i="3"/>
  <c r="Q76" i="3"/>
  <c r="H76" i="3"/>
  <c r="N76" i="3"/>
  <c r="E100" i="3"/>
  <c r="K100" i="3"/>
  <c r="B100" i="3"/>
  <c r="Q100" i="3"/>
  <c r="H100" i="3"/>
  <c r="N100" i="3"/>
  <c r="Q138" i="3"/>
  <c r="H138" i="3"/>
  <c r="N138" i="3"/>
  <c r="K138" i="3"/>
  <c r="E138" i="3"/>
  <c r="B138" i="3"/>
  <c r="Q162" i="3"/>
  <c r="H162" i="3"/>
  <c r="N162" i="3"/>
  <c r="K162" i="3"/>
  <c r="B162" i="3"/>
  <c r="E162" i="3"/>
  <c r="Q170" i="3"/>
  <c r="H170" i="3"/>
  <c r="N170" i="3"/>
  <c r="K170" i="3"/>
  <c r="E170" i="3"/>
  <c r="B170" i="3"/>
  <c r="Q194" i="3"/>
  <c r="H194" i="3"/>
  <c r="N194" i="3"/>
  <c r="K194" i="3"/>
  <c r="B194" i="3"/>
  <c r="E194" i="3"/>
  <c r="Q226" i="3"/>
  <c r="H226" i="3"/>
  <c r="N226" i="3"/>
  <c r="K226" i="3"/>
  <c r="B226" i="3"/>
  <c r="E226" i="3"/>
  <c r="N250" i="3"/>
  <c r="E250" i="3"/>
  <c r="K250" i="3"/>
  <c r="Q250" i="3"/>
  <c r="H250" i="3"/>
  <c r="B250" i="3"/>
  <c r="N290" i="3"/>
  <c r="E290" i="3"/>
  <c r="K290" i="3"/>
  <c r="Q290" i="3"/>
  <c r="H290" i="3"/>
  <c r="B290" i="3"/>
  <c r="N346" i="3"/>
  <c r="E346" i="3"/>
  <c r="K346" i="3"/>
  <c r="Q346" i="3"/>
  <c r="H346" i="3"/>
  <c r="B346" i="3"/>
  <c r="E378" i="3"/>
  <c r="K378" i="3"/>
  <c r="B378" i="3"/>
  <c r="H378" i="3"/>
  <c r="Q378" i="3"/>
  <c r="N378" i="3"/>
  <c r="E394" i="3"/>
  <c r="K394" i="3"/>
  <c r="B394" i="3"/>
  <c r="H394" i="3"/>
  <c r="Q394" i="3"/>
  <c r="N394" i="3"/>
  <c r="E402" i="3"/>
  <c r="K402" i="3"/>
  <c r="B402" i="3"/>
  <c r="H402" i="3"/>
  <c r="Q402" i="3"/>
  <c r="N402" i="3"/>
  <c r="K426" i="3"/>
  <c r="B426" i="3"/>
  <c r="Q426" i="3"/>
  <c r="N426" i="3"/>
  <c r="H426" i="3"/>
  <c r="E426" i="3"/>
  <c r="N474" i="3"/>
  <c r="E474" i="3"/>
  <c r="B474" i="3"/>
  <c r="Q474" i="3"/>
  <c r="K474" i="3"/>
  <c r="H474" i="3"/>
  <c r="N506" i="3"/>
  <c r="E506" i="3"/>
  <c r="B506" i="3"/>
  <c r="Q506" i="3"/>
  <c r="K506" i="3"/>
  <c r="H506" i="3"/>
  <c r="N514" i="3"/>
  <c r="E514" i="3"/>
  <c r="B514" i="3"/>
  <c r="Q514" i="3"/>
  <c r="H514" i="3"/>
  <c r="K514" i="3"/>
  <c r="N530" i="3"/>
  <c r="E530" i="3"/>
  <c r="B530" i="3"/>
  <c r="Q530" i="3"/>
  <c r="H530" i="3"/>
  <c r="K530" i="3"/>
  <c r="K538" i="3"/>
  <c r="B538" i="3"/>
  <c r="Q538" i="3"/>
  <c r="H538" i="3"/>
  <c r="N538" i="3"/>
  <c r="E538" i="3"/>
  <c r="K586" i="3"/>
  <c r="B586" i="3"/>
  <c r="Q586" i="3"/>
  <c r="H586" i="3"/>
  <c r="N586" i="3"/>
  <c r="E586" i="3"/>
  <c r="K594" i="3"/>
  <c r="B594" i="3"/>
  <c r="Q594" i="3"/>
  <c r="H594" i="3"/>
  <c r="N594" i="3"/>
  <c r="E594" i="3"/>
  <c r="E602" i="3"/>
  <c r="K602" i="3"/>
  <c r="B602" i="3"/>
  <c r="Q602" i="3"/>
  <c r="H602" i="3"/>
  <c r="N602" i="3"/>
  <c r="E618" i="3"/>
  <c r="K618" i="3"/>
  <c r="B618" i="3"/>
  <c r="Q618" i="3"/>
  <c r="H618" i="3"/>
  <c r="N618" i="3"/>
  <c r="K690" i="3"/>
  <c r="Q690" i="3"/>
  <c r="H690" i="3"/>
  <c r="B690" i="3"/>
  <c r="N690" i="3"/>
  <c r="E690" i="3"/>
  <c r="K698" i="3"/>
  <c r="B698" i="3"/>
  <c r="Q698" i="3"/>
  <c r="H698" i="3"/>
  <c r="E698" i="3"/>
  <c r="N698" i="3"/>
  <c r="F1" i="14"/>
  <c r="J78" i="3"/>
  <c r="J86" i="3"/>
  <c r="J94" i="3"/>
  <c r="J110" i="3"/>
  <c r="N118" i="3"/>
  <c r="G130" i="3"/>
  <c r="Q134" i="3"/>
  <c r="Q150" i="3"/>
  <c r="Q166" i="3"/>
  <c r="Q214" i="3"/>
  <c r="K169" i="3"/>
  <c r="B169" i="3"/>
  <c r="Q169" i="3"/>
  <c r="N169" i="3"/>
  <c r="H169" i="3"/>
  <c r="E169" i="3"/>
  <c r="K185" i="3"/>
  <c r="B185" i="3"/>
  <c r="Q185" i="3"/>
  <c r="N185" i="3"/>
  <c r="H185" i="3"/>
  <c r="E185" i="3"/>
  <c r="K201" i="3"/>
  <c r="B201" i="3"/>
  <c r="Q201" i="3"/>
  <c r="N201" i="3"/>
  <c r="H201" i="3"/>
  <c r="E201" i="3"/>
  <c r="Q233" i="3"/>
  <c r="H233" i="3"/>
  <c r="N233" i="3"/>
  <c r="K233" i="3"/>
  <c r="E233" i="3"/>
  <c r="B233" i="3"/>
  <c r="Q273" i="3"/>
  <c r="H273" i="3"/>
  <c r="N273" i="3"/>
  <c r="K273" i="3"/>
  <c r="E273" i="3"/>
  <c r="B273" i="3"/>
  <c r="Q313" i="3"/>
  <c r="H313" i="3"/>
  <c r="N313" i="3"/>
  <c r="K313" i="3"/>
  <c r="E313" i="3"/>
  <c r="B313" i="3"/>
  <c r="Q329" i="3"/>
  <c r="H329" i="3"/>
  <c r="N329" i="3"/>
  <c r="K329" i="3"/>
  <c r="E329" i="3"/>
  <c r="B329" i="3"/>
  <c r="Q337" i="3"/>
  <c r="H337" i="3"/>
  <c r="N337" i="3"/>
  <c r="K337" i="3"/>
  <c r="E337" i="3"/>
  <c r="B337" i="3"/>
  <c r="H377" i="3"/>
  <c r="N377" i="3"/>
  <c r="E377" i="3"/>
  <c r="K377" i="3"/>
  <c r="B377" i="3"/>
  <c r="Q377" i="3"/>
  <c r="N425" i="3"/>
  <c r="E425" i="3"/>
  <c r="B425" i="3"/>
  <c r="Q425" i="3"/>
  <c r="K425" i="3"/>
  <c r="H425" i="3"/>
  <c r="N449" i="3"/>
  <c r="E449" i="3"/>
  <c r="B449" i="3"/>
  <c r="Q449" i="3"/>
  <c r="K449" i="3"/>
  <c r="H449" i="3"/>
  <c r="N457" i="3"/>
  <c r="E457" i="3"/>
  <c r="B457" i="3"/>
  <c r="Q457" i="3"/>
  <c r="K457" i="3"/>
  <c r="H457" i="3"/>
  <c r="N465" i="3"/>
  <c r="E465" i="3"/>
  <c r="B465" i="3"/>
  <c r="Q465" i="3"/>
  <c r="K465" i="3"/>
  <c r="H465" i="3"/>
  <c r="B473" i="3"/>
  <c r="Q473" i="3"/>
  <c r="H473" i="3"/>
  <c r="E473" i="3"/>
  <c r="N473" i="3"/>
  <c r="K473" i="3"/>
  <c r="B489" i="3"/>
  <c r="Q489" i="3"/>
  <c r="H489" i="3"/>
  <c r="E489" i="3"/>
  <c r="N489" i="3"/>
  <c r="K489" i="3"/>
  <c r="N537" i="3"/>
  <c r="E537" i="3"/>
  <c r="K537" i="3"/>
  <c r="Q537" i="3"/>
  <c r="H537" i="3"/>
  <c r="B537" i="3"/>
  <c r="N545" i="3"/>
  <c r="E545" i="3"/>
  <c r="K545" i="3"/>
  <c r="B545" i="3"/>
  <c r="Q545" i="3"/>
  <c r="H545" i="3"/>
  <c r="N569" i="3"/>
  <c r="E569" i="3"/>
  <c r="K569" i="3"/>
  <c r="B569" i="3"/>
  <c r="Q569" i="3"/>
  <c r="H569" i="3"/>
  <c r="H601" i="3"/>
  <c r="N601" i="3"/>
  <c r="E601" i="3"/>
  <c r="K601" i="3"/>
  <c r="B601" i="3"/>
  <c r="Q601" i="3"/>
  <c r="H625" i="3"/>
  <c r="N625" i="3"/>
  <c r="E625" i="3"/>
  <c r="K625" i="3"/>
  <c r="B625" i="3"/>
  <c r="Q625" i="3"/>
  <c r="H633" i="3"/>
  <c r="N633" i="3"/>
  <c r="E633" i="3"/>
  <c r="K633" i="3"/>
  <c r="B633" i="3"/>
  <c r="Q633" i="3"/>
  <c r="H641" i="3"/>
  <c r="N641" i="3"/>
  <c r="E641" i="3"/>
  <c r="K641" i="3"/>
  <c r="B641" i="3"/>
  <c r="Q641" i="3"/>
  <c r="H649" i="3"/>
  <c r="N649" i="3"/>
  <c r="E649" i="3"/>
  <c r="K649" i="3"/>
  <c r="B649" i="3"/>
  <c r="Q649" i="3"/>
  <c r="N665" i="3"/>
  <c r="K665" i="3"/>
  <c r="H665" i="3"/>
  <c r="Q665" i="3"/>
  <c r="E665" i="3"/>
  <c r="B665" i="3"/>
  <c r="N673" i="3"/>
  <c r="E673" i="3"/>
  <c r="K673" i="3"/>
  <c r="B673" i="3"/>
  <c r="Q673" i="3"/>
  <c r="H673" i="3"/>
  <c r="N697" i="3"/>
  <c r="E697" i="3"/>
  <c r="K697" i="3"/>
  <c r="H697" i="3"/>
  <c r="Q697" i="3"/>
  <c r="B697" i="3"/>
  <c r="N713" i="3"/>
  <c r="E713" i="3"/>
  <c r="K713" i="3"/>
  <c r="H713" i="3"/>
  <c r="Q713" i="3"/>
  <c r="B713" i="3"/>
  <c r="N721" i="3"/>
  <c r="E721" i="3"/>
  <c r="K721" i="3"/>
  <c r="H721" i="3"/>
  <c r="Q721" i="3"/>
  <c r="B721" i="3"/>
  <c r="N729" i="3"/>
  <c r="E729" i="3"/>
  <c r="K729" i="3"/>
  <c r="H729" i="3"/>
  <c r="Q729" i="3"/>
  <c r="B729" i="3"/>
  <c r="N737" i="3"/>
  <c r="E737" i="3"/>
  <c r="K737" i="3"/>
  <c r="H737" i="3"/>
  <c r="Q737" i="3"/>
  <c r="B737" i="3"/>
  <c r="N745" i="3"/>
  <c r="E745" i="3"/>
  <c r="K745" i="3"/>
  <c r="H745" i="3"/>
  <c r="Q745" i="3"/>
  <c r="B745" i="3"/>
  <c r="N753" i="3"/>
  <c r="E753" i="3"/>
  <c r="K753" i="3"/>
  <c r="H753" i="3"/>
  <c r="Q753" i="3"/>
  <c r="B753" i="3"/>
  <c r="H761" i="3"/>
  <c r="N761" i="3"/>
  <c r="E761" i="3"/>
  <c r="K761" i="3"/>
  <c r="Q761" i="3"/>
  <c r="B761" i="3"/>
  <c r="H769" i="3"/>
  <c r="N769" i="3"/>
  <c r="E769" i="3"/>
  <c r="K769" i="3"/>
  <c r="Q769" i="3"/>
  <c r="B769" i="3"/>
  <c r="H777" i="3"/>
  <c r="N777" i="3"/>
  <c r="E777" i="3"/>
  <c r="K777" i="3"/>
  <c r="Q777" i="3"/>
  <c r="B777" i="3"/>
  <c r="H785" i="3"/>
  <c r="N785" i="3"/>
  <c r="E785" i="3"/>
  <c r="K785" i="3"/>
  <c r="Q785" i="3"/>
  <c r="B785" i="3"/>
  <c r="H793" i="3"/>
  <c r="N793" i="3"/>
  <c r="E793" i="3"/>
  <c r="K793" i="3"/>
  <c r="Q793" i="3"/>
  <c r="B793" i="3"/>
  <c r="H801" i="3"/>
  <c r="N801" i="3"/>
  <c r="E801" i="3"/>
  <c r="K801" i="3"/>
  <c r="Q801" i="3"/>
  <c r="B801" i="3"/>
  <c r="H809" i="3"/>
  <c r="N809" i="3"/>
  <c r="E809" i="3"/>
  <c r="K809" i="3"/>
  <c r="Q809" i="3"/>
  <c r="B809" i="3"/>
  <c r="H817" i="3"/>
  <c r="N817" i="3"/>
  <c r="E817" i="3"/>
  <c r="K817" i="3"/>
  <c r="Q817" i="3"/>
  <c r="B817" i="3"/>
  <c r="E825" i="3"/>
  <c r="K825" i="3"/>
  <c r="B825" i="3"/>
  <c r="Q825" i="3"/>
  <c r="H825" i="3"/>
  <c r="N825" i="3"/>
  <c r="E833" i="3"/>
  <c r="K833" i="3"/>
  <c r="B833" i="3"/>
  <c r="Q833" i="3"/>
  <c r="H833" i="3"/>
  <c r="N833" i="3"/>
  <c r="E841" i="3"/>
  <c r="K841" i="3"/>
  <c r="B841" i="3"/>
  <c r="Q841" i="3"/>
  <c r="H841" i="3"/>
  <c r="N841" i="3"/>
  <c r="E849" i="3"/>
  <c r="K849" i="3"/>
  <c r="B849" i="3"/>
  <c r="Q849" i="3"/>
  <c r="H849" i="3"/>
  <c r="N849" i="3"/>
  <c r="E857" i="3"/>
  <c r="K857" i="3"/>
  <c r="B857" i="3"/>
  <c r="Q857" i="3"/>
  <c r="H857" i="3"/>
  <c r="N857" i="3"/>
  <c r="E865" i="3"/>
  <c r="K865" i="3"/>
  <c r="B865" i="3"/>
  <c r="Q865" i="3"/>
  <c r="H865" i="3"/>
  <c r="N865" i="3"/>
  <c r="E873" i="3"/>
  <c r="K873" i="3"/>
  <c r="B873" i="3"/>
  <c r="Q873" i="3"/>
  <c r="H873" i="3"/>
  <c r="N873" i="3"/>
  <c r="E881" i="3"/>
  <c r="K881" i="3"/>
  <c r="B881" i="3"/>
  <c r="Q881" i="3"/>
  <c r="H881" i="3"/>
  <c r="N881" i="3"/>
  <c r="K889" i="3"/>
  <c r="B889" i="3"/>
  <c r="Q889" i="3"/>
  <c r="H889" i="3"/>
  <c r="E889" i="3"/>
  <c r="N889" i="3"/>
  <c r="K897" i="3"/>
  <c r="B897" i="3"/>
  <c r="Q897" i="3"/>
  <c r="H897" i="3"/>
  <c r="E897" i="3"/>
  <c r="N897" i="3"/>
  <c r="K905" i="3"/>
  <c r="B905" i="3"/>
  <c r="Q905" i="3"/>
  <c r="H905" i="3"/>
  <c r="E905" i="3"/>
  <c r="N905" i="3"/>
  <c r="Q913" i="3"/>
  <c r="K913" i="3"/>
  <c r="B913" i="3"/>
  <c r="H913" i="3"/>
  <c r="N913" i="3"/>
  <c r="E913" i="3"/>
  <c r="Q921" i="3"/>
  <c r="H921" i="3"/>
  <c r="N921" i="3"/>
  <c r="E921" i="3"/>
  <c r="K921" i="3"/>
  <c r="B921" i="3"/>
  <c r="Q929" i="3"/>
  <c r="H929" i="3"/>
  <c r="N929" i="3"/>
  <c r="E929" i="3"/>
  <c r="K929" i="3"/>
  <c r="B929" i="3"/>
  <c r="H937" i="3"/>
  <c r="N937" i="3"/>
  <c r="E937" i="3"/>
  <c r="Q937" i="3"/>
  <c r="B937" i="3"/>
  <c r="K937" i="3"/>
  <c r="H945" i="3"/>
  <c r="N945" i="3"/>
  <c r="Q945" i="3"/>
  <c r="B945" i="3"/>
  <c r="K945" i="3"/>
  <c r="E945" i="3"/>
  <c r="N953" i="3"/>
  <c r="Q953" i="3"/>
  <c r="B953" i="3"/>
  <c r="K953" i="3"/>
  <c r="H953" i="3"/>
  <c r="E953" i="3"/>
  <c r="K961" i="3"/>
  <c r="N961" i="3"/>
  <c r="E961" i="3"/>
  <c r="B961" i="3"/>
  <c r="H961" i="3"/>
  <c r="Q961" i="3"/>
  <c r="N969" i="3"/>
  <c r="B969" i="3"/>
  <c r="K969" i="3"/>
  <c r="H969" i="3"/>
  <c r="E969" i="3"/>
  <c r="Q969" i="3"/>
  <c r="K977" i="3"/>
  <c r="Q977" i="3"/>
  <c r="E977" i="3"/>
  <c r="B977" i="3"/>
  <c r="N977" i="3"/>
  <c r="H977" i="3"/>
  <c r="B985" i="3"/>
  <c r="N985" i="3"/>
  <c r="E985" i="3"/>
  <c r="K985" i="3"/>
  <c r="H985" i="3"/>
  <c r="Q985" i="3"/>
  <c r="B993" i="3"/>
  <c r="Q993" i="3"/>
  <c r="H993" i="3"/>
  <c r="N993" i="3"/>
  <c r="E993" i="3"/>
  <c r="K993" i="3"/>
  <c r="J70" i="3"/>
  <c r="B112" i="3"/>
  <c r="E178" i="3"/>
  <c r="K137" i="3"/>
  <c r="B137" i="3"/>
  <c r="Q137" i="3"/>
  <c r="N137" i="3"/>
  <c r="H137" i="3"/>
  <c r="E137" i="3"/>
  <c r="K145" i="3"/>
  <c r="B145" i="3"/>
  <c r="Q145" i="3"/>
  <c r="N145" i="3"/>
  <c r="H145" i="3"/>
  <c r="E145" i="3"/>
  <c r="K161" i="3"/>
  <c r="B161" i="3"/>
  <c r="Q161" i="3"/>
  <c r="N161" i="3"/>
  <c r="H161" i="3"/>
  <c r="E161" i="3"/>
  <c r="K193" i="3"/>
  <c r="B193" i="3"/>
  <c r="Q193" i="3"/>
  <c r="N193" i="3"/>
  <c r="H193" i="3"/>
  <c r="E193" i="3"/>
  <c r="K217" i="3"/>
  <c r="B217" i="3"/>
  <c r="Q217" i="3"/>
  <c r="N217" i="3"/>
  <c r="H217" i="3"/>
  <c r="E217" i="3"/>
  <c r="K225" i="3"/>
  <c r="B225" i="3"/>
  <c r="Q225" i="3"/>
  <c r="N225" i="3"/>
  <c r="H225" i="3"/>
  <c r="E225" i="3"/>
  <c r="Q241" i="3"/>
  <c r="H241" i="3"/>
  <c r="N241" i="3"/>
  <c r="K241" i="3"/>
  <c r="E241" i="3"/>
  <c r="B241" i="3"/>
  <c r="Q265" i="3"/>
  <c r="H265" i="3"/>
  <c r="N265" i="3"/>
  <c r="K265" i="3"/>
  <c r="E265" i="3"/>
  <c r="B265" i="3"/>
  <c r="Q289" i="3"/>
  <c r="H289" i="3"/>
  <c r="N289" i="3"/>
  <c r="K289" i="3"/>
  <c r="E289" i="3"/>
  <c r="B289" i="3"/>
  <c r="Q321" i="3"/>
  <c r="H321" i="3"/>
  <c r="N321" i="3"/>
  <c r="K321" i="3"/>
  <c r="E321" i="3"/>
  <c r="B321" i="3"/>
  <c r="Q345" i="3"/>
  <c r="H345" i="3"/>
  <c r="N345" i="3"/>
  <c r="K345" i="3"/>
  <c r="E345" i="3"/>
  <c r="B345" i="3"/>
  <c r="Q353" i="3"/>
  <c r="H353" i="3"/>
  <c r="N353" i="3"/>
  <c r="K353" i="3"/>
  <c r="E353" i="3"/>
  <c r="B353" i="3"/>
  <c r="H369" i="3"/>
  <c r="N369" i="3"/>
  <c r="E369" i="3"/>
  <c r="K369" i="3"/>
  <c r="B369" i="3"/>
  <c r="Q369" i="3"/>
  <c r="H385" i="3"/>
  <c r="N385" i="3"/>
  <c r="E385" i="3"/>
  <c r="K385" i="3"/>
  <c r="B385" i="3"/>
  <c r="Q385" i="3"/>
  <c r="H393" i="3"/>
  <c r="N393" i="3"/>
  <c r="E393" i="3"/>
  <c r="K393" i="3"/>
  <c r="B393" i="3"/>
  <c r="Q393" i="3"/>
  <c r="H401" i="3"/>
  <c r="N401" i="3"/>
  <c r="E401" i="3"/>
  <c r="K401" i="3"/>
  <c r="B401" i="3"/>
  <c r="Q401" i="3"/>
  <c r="E417" i="3"/>
  <c r="N417" i="3"/>
  <c r="B417" i="3"/>
  <c r="K417" i="3"/>
  <c r="H417" i="3"/>
  <c r="Q417" i="3"/>
  <c r="N441" i="3"/>
  <c r="E441" i="3"/>
  <c r="B441" i="3"/>
  <c r="Q441" i="3"/>
  <c r="K441" i="3"/>
  <c r="H441" i="3"/>
  <c r="B497" i="3"/>
  <c r="Q497" i="3"/>
  <c r="H497" i="3"/>
  <c r="E497" i="3"/>
  <c r="K497" i="3"/>
  <c r="N497" i="3"/>
  <c r="B513" i="3"/>
  <c r="Q513" i="3"/>
  <c r="H513" i="3"/>
  <c r="E513" i="3"/>
  <c r="K513" i="3"/>
  <c r="N513" i="3"/>
  <c r="N585" i="3"/>
  <c r="E585" i="3"/>
  <c r="K585" i="3"/>
  <c r="B585" i="3"/>
  <c r="Q585" i="3"/>
  <c r="H585" i="3"/>
  <c r="N593" i="3"/>
  <c r="E593" i="3"/>
  <c r="K593" i="3"/>
  <c r="B593" i="3"/>
  <c r="Q593" i="3"/>
  <c r="H593" i="3"/>
  <c r="H617" i="3"/>
  <c r="N617" i="3"/>
  <c r="E617" i="3"/>
  <c r="K617" i="3"/>
  <c r="B617" i="3"/>
  <c r="Q617" i="3"/>
  <c r="N705" i="3"/>
  <c r="E705" i="3"/>
  <c r="K705" i="3"/>
  <c r="H705" i="3"/>
  <c r="Q705" i="3"/>
  <c r="B705" i="3"/>
  <c r="K153" i="3"/>
  <c r="B153" i="3"/>
  <c r="Q153" i="3"/>
  <c r="N153" i="3"/>
  <c r="H153" i="3"/>
  <c r="E153" i="3"/>
  <c r="K177" i="3"/>
  <c r="B177" i="3"/>
  <c r="Q177" i="3"/>
  <c r="N177" i="3"/>
  <c r="H177" i="3"/>
  <c r="E177" i="3"/>
  <c r="K209" i="3"/>
  <c r="B209" i="3"/>
  <c r="Q209" i="3"/>
  <c r="N209" i="3"/>
  <c r="H209" i="3"/>
  <c r="E209" i="3"/>
  <c r="Q249" i="3"/>
  <c r="H249" i="3"/>
  <c r="N249" i="3"/>
  <c r="K249" i="3"/>
  <c r="E249" i="3"/>
  <c r="B249" i="3"/>
  <c r="Q257" i="3"/>
  <c r="H257" i="3"/>
  <c r="N257" i="3"/>
  <c r="K257" i="3"/>
  <c r="E257" i="3"/>
  <c r="B257" i="3"/>
  <c r="Q281" i="3"/>
  <c r="H281" i="3"/>
  <c r="N281" i="3"/>
  <c r="K281" i="3"/>
  <c r="E281" i="3"/>
  <c r="B281" i="3"/>
  <c r="Q297" i="3"/>
  <c r="H297" i="3"/>
  <c r="N297" i="3"/>
  <c r="K297" i="3"/>
  <c r="E297" i="3"/>
  <c r="B297" i="3"/>
  <c r="Q305" i="3"/>
  <c r="H305" i="3"/>
  <c r="N305" i="3"/>
  <c r="K305" i="3"/>
  <c r="E305" i="3"/>
  <c r="B305" i="3"/>
  <c r="H361" i="3"/>
  <c r="N361" i="3"/>
  <c r="E361" i="3"/>
  <c r="K361" i="3"/>
  <c r="Q361" i="3"/>
  <c r="B361" i="3"/>
  <c r="H409" i="3"/>
  <c r="N409" i="3"/>
  <c r="E409" i="3"/>
  <c r="K409" i="3"/>
  <c r="B409" i="3"/>
  <c r="Q409" i="3"/>
  <c r="N433" i="3"/>
  <c r="E433" i="3"/>
  <c r="B433" i="3"/>
  <c r="Q433" i="3"/>
  <c r="K433" i="3"/>
  <c r="H433" i="3"/>
  <c r="B481" i="3"/>
  <c r="Q481" i="3"/>
  <c r="H481" i="3"/>
  <c r="E481" i="3"/>
  <c r="K481" i="3"/>
  <c r="N481" i="3"/>
  <c r="B505" i="3"/>
  <c r="Q505" i="3"/>
  <c r="H505" i="3"/>
  <c r="E505" i="3"/>
  <c r="N505" i="3"/>
  <c r="K505" i="3"/>
  <c r="B521" i="3"/>
  <c r="Q521" i="3"/>
  <c r="H521" i="3"/>
  <c r="E521" i="3"/>
  <c r="N521" i="3"/>
  <c r="K521" i="3"/>
  <c r="B529" i="3"/>
  <c r="Q529" i="3"/>
  <c r="H529" i="3"/>
  <c r="E529" i="3"/>
  <c r="K529" i="3"/>
  <c r="N529" i="3"/>
  <c r="N553" i="3"/>
  <c r="E553" i="3"/>
  <c r="K553" i="3"/>
  <c r="B553" i="3"/>
  <c r="Q553" i="3"/>
  <c r="H553" i="3"/>
  <c r="N561" i="3"/>
  <c r="E561" i="3"/>
  <c r="K561" i="3"/>
  <c r="B561" i="3"/>
  <c r="Q561" i="3"/>
  <c r="H561" i="3"/>
  <c r="N577" i="3"/>
  <c r="E577" i="3"/>
  <c r="K577" i="3"/>
  <c r="B577" i="3"/>
  <c r="Q577" i="3"/>
  <c r="H577" i="3"/>
  <c r="H609" i="3"/>
  <c r="N609" i="3"/>
  <c r="E609" i="3"/>
  <c r="K609" i="3"/>
  <c r="B609" i="3"/>
  <c r="Q609" i="3"/>
  <c r="H657" i="3"/>
  <c r="N657" i="3"/>
  <c r="E657" i="3"/>
  <c r="K657" i="3"/>
  <c r="B657" i="3"/>
  <c r="Q657" i="3"/>
  <c r="N681" i="3"/>
  <c r="E681" i="3"/>
  <c r="K681" i="3"/>
  <c r="B681" i="3"/>
  <c r="Q681" i="3"/>
  <c r="H681" i="3"/>
  <c r="N689" i="3"/>
  <c r="E689" i="3"/>
  <c r="K689" i="3"/>
  <c r="B689" i="3"/>
  <c r="Q689" i="3"/>
  <c r="H689" i="3"/>
  <c r="L82" i="13"/>
  <c r="K143" i="3"/>
  <c r="J102" i="3"/>
  <c r="M127" i="3"/>
  <c r="K71" i="3"/>
  <c r="B71" i="3"/>
  <c r="Q71" i="3"/>
  <c r="H71" i="3"/>
  <c r="I71" i="3" s="1"/>
  <c r="N71" i="3"/>
  <c r="H75" i="3"/>
  <c r="N75" i="3"/>
  <c r="E75" i="3"/>
  <c r="K75" i="3"/>
  <c r="B75" i="3"/>
  <c r="K79" i="3"/>
  <c r="B79" i="3"/>
  <c r="Q79" i="3"/>
  <c r="H79" i="3"/>
  <c r="N79" i="3"/>
  <c r="H83" i="3"/>
  <c r="N83" i="3"/>
  <c r="E83" i="3"/>
  <c r="K83" i="3"/>
  <c r="B83" i="3"/>
  <c r="K87" i="3"/>
  <c r="B87" i="3"/>
  <c r="Q87" i="3"/>
  <c r="H87" i="3"/>
  <c r="I87" i="3" s="1"/>
  <c r="N87" i="3"/>
  <c r="H91" i="3"/>
  <c r="N91" i="3"/>
  <c r="E91" i="3"/>
  <c r="K91" i="3"/>
  <c r="B91" i="3"/>
  <c r="K95" i="3"/>
  <c r="B95" i="3"/>
  <c r="Q95" i="3"/>
  <c r="H95" i="3"/>
  <c r="N95" i="3"/>
  <c r="H99" i="3"/>
  <c r="N99" i="3"/>
  <c r="E99" i="3"/>
  <c r="K99" i="3"/>
  <c r="B99" i="3"/>
  <c r="K103" i="3"/>
  <c r="B103" i="3"/>
  <c r="Q103" i="3"/>
  <c r="H103" i="3"/>
  <c r="N103" i="3"/>
  <c r="H107" i="3"/>
  <c r="N107" i="3"/>
  <c r="E107" i="3"/>
  <c r="K107" i="3"/>
  <c r="B107" i="3"/>
  <c r="K111" i="3"/>
  <c r="B111" i="3"/>
  <c r="Q111" i="3"/>
  <c r="H111" i="3"/>
  <c r="N111" i="3"/>
  <c r="H115" i="3"/>
  <c r="N115" i="3"/>
  <c r="E115" i="3"/>
  <c r="K115" i="3"/>
  <c r="B115" i="3"/>
  <c r="B119" i="3"/>
  <c r="N119" i="3"/>
  <c r="K119" i="3"/>
  <c r="H119" i="3"/>
  <c r="Q119" i="3"/>
  <c r="N123" i="3"/>
  <c r="K123" i="3"/>
  <c r="H123" i="3"/>
  <c r="Q123" i="3"/>
  <c r="E123" i="3"/>
  <c r="B123" i="3"/>
  <c r="B127" i="3"/>
  <c r="Q127" i="3"/>
  <c r="H127" i="3"/>
  <c r="E127" i="3"/>
  <c r="N127" i="3"/>
  <c r="N131" i="3"/>
  <c r="E131" i="3"/>
  <c r="K131" i="3"/>
  <c r="Q131" i="3"/>
  <c r="H131" i="3"/>
  <c r="B131" i="3"/>
  <c r="K140" i="3"/>
  <c r="B140" i="3"/>
  <c r="Q140" i="3"/>
  <c r="H140" i="3"/>
  <c r="N140" i="3"/>
  <c r="E140" i="3"/>
  <c r="K148" i="3"/>
  <c r="B148" i="3"/>
  <c r="Q148" i="3"/>
  <c r="H148" i="3"/>
  <c r="N148" i="3"/>
  <c r="E148" i="3"/>
  <c r="K156" i="3"/>
  <c r="B156" i="3"/>
  <c r="Q156" i="3"/>
  <c r="H156" i="3"/>
  <c r="N156" i="3"/>
  <c r="E156" i="3"/>
  <c r="K164" i="3"/>
  <c r="B164" i="3"/>
  <c r="Q164" i="3"/>
  <c r="H164" i="3"/>
  <c r="N164" i="3"/>
  <c r="E164" i="3"/>
  <c r="K172" i="3"/>
  <c r="B172" i="3"/>
  <c r="Q172" i="3"/>
  <c r="H172" i="3"/>
  <c r="N172" i="3"/>
  <c r="E172" i="3"/>
  <c r="K180" i="3"/>
  <c r="B180" i="3"/>
  <c r="Q180" i="3"/>
  <c r="H180" i="3"/>
  <c r="N180" i="3"/>
  <c r="E180" i="3"/>
  <c r="K188" i="3"/>
  <c r="B188" i="3"/>
  <c r="Q188" i="3"/>
  <c r="H188" i="3"/>
  <c r="N188" i="3"/>
  <c r="E188" i="3"/>
  <c r="K196" i="3"/>
  <c r="B196" i="3"/>
  <c r="Q196" i="3"/>
  <c r="H196" i="3"/>
  <c r="N196" i="3"/>
  <c r="E196" i="3"/>
  <c r="K204" i="3"/>
  <c r="B204" i="3"/>
  <c r="Q204" i="3"/>
  <c r="H204" i="3"/>
  <c r="N204" i="3"/>
  <c r="E204" i="3"/>
  <c r="K212" i="3"/>
  <c r="B212" i="3"/>
  <c r="Q212" i="3"/>
  <c r="H212" i="3"/>
  <c r="N212" i="3"/>
  <c r="E212" i="3"/>
  <c r="K220" i="3"/>
  <c r="B220" i="3"/>
  <c r="Q220" i="3"/>
  <c r="H220" i="3"/>
  <c r="N220" i="3"/>
  <c r="E220" i="3"/>
  <c r="K228" i="3"/>
  <c r="B228" i="3"/>
  <c r="Q228" i="3"/>
  <c r="H228" i="3"/>
  <c r="N228" i="3"/>
  <c r="E228" i="3"/>
  <c r="H236" i="3"/>
  <c r="N236" i="3"/>
  <c r="E236" i="3"/>
  <c r="K236" i="3"/>
  <c r="B236" i="3"/>
  <c r="Q236" i="3"/>
  <c r="H244" i="3"/>
  <c r="N244" i="3"/>
  <c r="E244" i="3"/>
  <c r="K244" i="3"/>
  <c r="B244" i="3"/>
  <c r="Q244" i="3"/>
  <c r="H252" i="3"/>
  <c r="N252" i="3"/>
  <c r="E252" i="3"/>
  <c r="K252" i="3"/>
  <c r="B252" i="3"/>
  <c r="Q252" i="3"/>
  <c r="H260" i="3"/>
  <c r="N260" i="3"/>
  <c r="E260" i="3"/>
  <c r="K260" i="3"/>
  <c r="B260" i="3"/>
  <c r="Q260" i="3"/>
  <c r="H268" i="3"/>
  <c r="N268" i="3"/>
  <c r="E268" i="3"/>
  <c r="K268" i="3"/>
  <c r="B268" i="3"/>
  <c r="Q268" i="3"/>
  <c r="H276" i="3"/>
  <c r="N276" i="3"/>
  <c r="E276" i="3"/>
  <c r="K276" i="3"/>
  <c r="B276" i="3"/>
  <c r="Q276" i="3"/>
  <c r="H284" i="3"/>
  <c r="N284" i="3"/>
  <c r="E284" i="3"/>
  <c r="K284" i="3"/>
  <c r="B284" i="3"/>
  <c r="Q284" i="3"/>
  <c r="H292" i="3"/>
  <c r="N292" i="3"/>
  <c r="E292" i="3"/>
  <c r="K292" i="3"/>
  <c r="B292" i="3"/>
  <c r="H300" i="3"/>
  <c r="N300" i="3"/>
  <c r="E300" i="3"/>
  <c r="K300" i="3"/>
  <c r="B300" i="3"/>
  <c r="Q300" i="3"/>
  <c r="H308" i="3"/>
  <c r="N308" i="3"/>
  <c r="E308" i="3"/>
  <c r="K308" i="3"/>
  <c r="B308" i="3"/>
  <c r="Q308" i="3"/>
  <c r="H316" i="3"/>
  <c r="N316" i="3"/>
  <c r="E316" i="3"/>
  <c r="K316" i="3"/>
  <c r="B316" i="3"/>
  <c r="Q316" i="3"/>
  <c r="H324" i="3"/>
  <c r="N324" i="3"/>
  <c r="E324" i="3"/>
  <c r="K324" i="3"/>
  <c r="B324" i="3"/>
  <c r="Q324" i="3"/>
  <c r="H332" i="3"/>
  <c r="N332" i="3"/>
  <c r="E332" i="3"/>
  <c r="K332" i="3"/>
  <c r="B332" i="3"/>
  <c r="Q332" i="3"/>
  <c r="H340" i="3"/>
  <c r="N340" i="3"/>
  <c r="E340" i="3"/>
  <c r="K340" i="3"/>
  <c r="B340" i="3"/>
  <c r="Q340" i="3"/>
  <c r="H348" i="3"/>
  <c r="N348" i="3"/>
  <c r="E348" i="3"/>
  <c r="K348" i="3"/>
  <c r="B348" i="3"/>
  <c r="Q348" i="3"/>
  <c r="H356" i="3"/>
  <c r="N356" i="3"/>
  <c r="E356" i="3"/>
  <c r="K356" i="3"/>
  <c r="B356" i="3"/>
  <c r="N364" i="3"/>
  <c r="E364" i="3"/>
  <c r="B364" i="3"/>
  <c r="Q364" i="3"/>
  <c r="H364" i="3"/>
  <c r="K364" i="3"/>
  <c r="N372" i="3"/>
  <c r="E372" i="3"/>
  <c r="B372" i="3"/>
  <c r="Q372" i="3"/>
  <c r="K372" i="3"/>
  <c r="H372" i="3"/>
  <c r="N380" i="3"/>
  <c r="E380" i="3"/>
  <c r="B380" i="3"/>
  <c r="Q380" i="3"/>
  <c r="H380" i="3"/>
  <c r="K380" i="3"/>
  <c r="N388" i="3"/>
  <c r="E388" i="3"/>
  <c r="B388" i="3"/>
  <c r="Q388" i="3"/>
  <c r="K388" i="3"/>
  <c r="H388" i="3"/>
  <c r="N396" i="3"/>
  <c r="E396" i="3"/>
  <c r="B396" i="3"/>
  <c r="Q396" i="3"/>
  <c r="H396" i="3"/>
  <c r="K396" i="3"/>
  <c r="N404" i="3"/>
  <c r="E404" i="3"/>
  <c r="B404" i="3"/>
  <c r="Q404" i="3"/>
  <c r="K404" i="3"/>
  <c r="H404" i="3"/>
  <c r="N412" i="3"/>
  <c r="K412" i="3"/>
  <c r="B412" i="3"/>
  <c r="H412" i="3"/>
  <c r="Q412" i="3"/>
  <c r="E412" i="3"/>
  <c r="N420" i="3"/>
  <c r="E420" i="3"/>
  <c r="K420" i="3"/>
  <c r="Q420" i="3"/>
  <c r="H420" i="3"/>
  <c r="B420" i="3"/>
  <c r="N428" i="3"/>
  <c r="E428" i="3"/>
  <c r="K428" i="3"/>
  <c r="Q428" i="3"/>
  <c r="H428" i="3"/>
  <c r="B428" i="3"/>
  <c r="N436" i="3"/>
  <c r="E436" i="3"/>
  <c r="K436" i="3"/>
  <c r="Q436" i="3"/>
  <c r="H436" i="3"/>
  <c r="B436" i="3"/>
  <c r="N444" i="3"/>
  <c r="E444" i="3"/>
  <c r="K444" i="3"/>
  <c r="Q444" i="3"/>
  <c r="H444" i="3"/>
  <c r="B444" i="3"/>
  <c r="N452" i="3"/>
  <c r="E452" i="3"/>
  <c r="K452" i="3"/>
  <c r="Q452" i="3"/>
  <c r="H452" i="3"/>
  <c r="B452" i="3"/>
  <c r="N460" i="3"/>
  <c r="E460" i="3"/>
  <c r="K460" i="3"/>
  <c r="Q460" i="3"/>
  <c r="H460" i="3"/>
  <c r="B460" i="3"/>
  <c r="Q468" i="3"/>
  <c r="H468" i="3"/>
  <c r="N468" i="3"/>
  <c r="K468" i="3"/>
  <c r="B468" i="3"/>
  <c r="E468" i="3"/>
  <c r="Q476" i="3"/>
  <c r="H476" i="3"/>
  <c r="N476" i="3"/>
  <c r="K476" i="3"/>
  <c r="E476" i="3"/>
  <c r="B476" i="3"/>
  <c r="Q484" i="3"/>
  <c r="H484" i="3"/>
  <c r="N484" i="3"/>
  <c r="K484" i="3"/>
  <c r="E484" i="3"/>
  <c r="B484" i="3"/>
  <c r="Q492" i="3"/>
  <c r="H492" i="3"/>
  <c r="N492" i="3"/>
  <c r="K492" i="3"/>
  <c r="E492" i="3"/>
  <c r="B492" i="3"/>
  <c r="Q500" i="3"/>
  <c r="H500" i="3"/>
  <c r="N500" i="3"/>
  <c r="K500" i="3"/>
  <c r="E500" i="3"/>
  <c r="B500" i="3"/>
  <c r="Q508" i="3"/>
  <c r="H508" i="3"/>
  <c r="N508" i="3"/>
  <c r="K508" i="3"/>
  <c r="E508" i="3"/>
  <c r="B508" i="3"/>
  <c r="Q516" i="3"/>
  <c r="H516" i="3"/>
  <c r="N516" i="3"/>
  <c r="K516" i="3"/>
  <c r="E516" i="3"/>
  <c r="B516" i="3"/>
  <c r="Q524" i="3"/>
  <c r="H524" i="3"/>
  <c r="N524" i="3"/>
  <c r="K524" i="3"/>
  <c r="E524" i="3"/>
  <c r="B524" i="3"/>
  <c r="E532" i="3"/>
  <c r="B532" i="3"/>
  <c r="H532" i="3"/>
  <c r="Q532" i="3"/>
  <c r="N532" i="3"/>
  <c r="K532" i="3"/>
  <c r="E540" i="3"/>
  <c r="K540" i="3"/>
  <c r="B540" i="3"/>
  <c r="H540" i="3"/>
  <c r="Q540" i="3"/>
  <c r="N540" i="3"/>
  <c r="E548" i="3"/>
  <c r="K548" i="3"/>
  <c r="B548" i="3"/>
  <c r="Q548" i="3"/>
  <c r="H548" i="3"/>
  <c r="N548" i="3"/>
  <c r="E556" i="3"/>
  <c r="K556" i="3"/>
  <c r="B556" i="3"/>
  <c r="Q556" i="3"/>
  <c r="H556" i="3"/>
  <c r="N556" i="3"/>
  <c r="E564" i="3"/>
  <c r="K564" i="3"/>
  <c r="B564" i="3"/>
  <c r="Q564" i="3"/>
  <c r="H564" i="3"/>
  <c r="N564" i="3"/>
  <c r="E572" i="3"/>
  <c r="K572" i="3"/>
  <c r="B572" i="3"/>
  <c r="Q572" i="3"/>
  <c r="H572" i="3"/>
  <c r="N572" i="3"/>
  <c r="E580" i="3"/>
  <c r="K580" i="3"/>
  <c r="B580" i="3"/>
  <c r="Q580" i="3"/>
  <c r="H580" i="3"/>
  <c r="N580" i="3"/>
  <c r="E588" i="3"/>
  <c r="K588" i="3"/>
  <c r="B588" i="3"/>
  <c r="Q588" i="3"/>
  <c r="H588" i="3"/>
  <c r="N588" i="3"/>
  <c r="E596" i="3"/>
  <c r="K596" i="3"/>
  <c r="B596" i="3"/>
  <c r="Q596" i="3"/>
  <c r="H596" i="3"/>
  <c r="N596" i="3"/>
  <c r="N604" i="3"/>
  <c r="E604" i="3"/>
  <c r="K604" i="3"/>
  <c r="B604" i="3"/>
  <c r="Q604" i="3"/>
  <c r="H604" i="3"/>
  <c r="N612" i="3"/>
  <c r="E612" i="3"/>
  <c r="K612" i="3"/>
  <c r="B612" i="3"/>
  <c r="Q612" i="3"/>
  <c r="H612" i="3"/>
  <c r="N620" i="3"/>
  <c r="E620" i="3"/>
  <c r="K620" i="3"/>
  <c r="B620" i="3"/>
  <c r="Q620" i="3"/>
  <c r="H620" i="3"/>
  <c r="N628" i="3"/>
  <c r="E628" i="3"/>
  <c r="K628" i="3"/>
  <c r="B628" i="3"/>
  <c r="Q628" i="3"/>
  <c r="H628" i="3"/>
  <c r="N636" i="3"/>
  <c r="E636" i="3"/>
  <c r="K636" i="3"/>
  <c r="B636" i="3"/>
  <c r="Q636" i="3"/>
  <c r="H636" i="3"/>
  <c r="N644" i="3"/>
  <c r="E644" i="3"/>
  <c r="K644" i="3"/>
  <c r="B644" i="3"/>
  <c r="Q644" i="3"/>
  <c r="H644" i="3"/>
  <c r="N652" i="3"/>
  <c r="E652" i="3"/>
  <c r="K652" i="3"/>
  <c r="B652" i="3"/>
  <c r="Q652" i="3"/>
  <c r="H652" i="3"/>
  <c r="N660" i="3"/>
  <c r="E660" i="3"/>
  <c r="K660" i="3"/>
  <c r="B660" i="3"/>
  <c r="Q660" i="3"/>
  <c r="H660" i="3"/>
  <c r="N668" i="3"/>
  <c r="E668" i="3"/>
  <c r="K668" i="3"/>
  <c r="B668" i="3"/>
  <c r="Q668" i="3"/>
  <c r="H668" i="3"/>
  <c r="N676" i="3"/>
  <c r="E676" i="3"/>
  <c r="K676" i="3"/>
  <c r="B676" i="3"/>
  <c r="Q676" i="3"/>
  <c r="H676" i="3"/>
  <c r="N684" i="3"/>
  <c r="E684" i="3"/>
  <c r="K684" i="3"/>
  <c r="B684" i="3"/>
  <c r="Q684" i="3"/>
  <c r="H684" i="3"/>
  <c r="N692" i="3"/>
  <c r="E692" i="3"/>
  <c r="K692" i="3"/>
  <c r="B692" i="3"/>
  <c r="H692" i="3"/>
  <c r="Q692" i="3"/>
  <c r="N700" i="3"/>
  <c r="E700" i="3"/>
  <c r="K700" i="3"/>
  <c r="B700" i="3"/>
  <c r="Q700" i="3"/>
  <c r="H700" i="3"/>
  <c r="N708" i="3"/>
  <c r="E708" i="3"/>
  <c r="K708" i="3"/>
  <c r="B708" i="3"/>
  <c r="H708" i="3"/>
  <c r="Q708" i="3"/>
  <c r="N716" i="3"/>
  <c r="E716" i="3"/>
  <c r="K716" i="3"/>
  <c r="B716" i="3"/>
  <c r="Q716" i="3"/>
  <c r="H716" i="3"/>
  <c r="N724" i="3"/>
  <c r="E724" i="3"/>
  <c r="K724" i="3"/>
  <c r="B724" i="3"/>
  <c r="H724" i="3"/>
  <c r="Q724" i="3"/>
  <c r="N732" i="3"/>
  <c r="E732" i="3"/>
  <c r="K732" i="3"/>
  <c r="B732" i="3"/>
  <c r="Q732" i="3"/>
  <c r="H732" i="3"/>
  <c r="N740" i="3"/>
  <c r="E740" i="3"/>
  <c r="K740" i="3"/>
  <c r="B740" i="3"/>
  <c r="H740" i="3"/>
  <c r="Q740" i="3"/>
  <c r="N748" i="3"/>
  <c r="E748" i="3"/>
  <c r="K748" i="3"/>
  <c r="B748" i="3"/>
  <c r="Q748" i="3"/>
  <c r="H748" i="3"/>
  <c r="N756" i="3"/>
  <c r="E756" i="3"/>
  <c r="K756" i="3"/>
  <c r="H756" i="3"/>
  <c r="B756" i="3"/>
  <c r="Q756" i="3"/>
  <c r="N764" i="3"/>
  <c r="E764" i="3"/>
  <c r="K764" i="3"/>
  <c r="B764" i="3"/>
  <c r="H764" i="3"/>
  <c r="Q764" i="3"/>
  <c r="N772" i="3"/>
  <c r="E772" i="3"/>
  <c r="K772" i="3"/>
  <c r="B772" i="3"/>
  <c r="H772" i="3"/>
  <c r="Q772" i="3"/>
  <c r="N780" i="3"/>
  <c r="E780" i="3"/>
  <c r="K780" i="3"/>
  <c r="B780" i="3"/>
  <c r="H780" i="3"/>
  <c r="Q780" i="3"/>
  <c r="N788" i="3"/>
  <c r="E788" i="3"/>
  <c r="K788" i="3"/>
  <c r="B788" i="3"/>
  <c r="H788" i="3"/>
  <c r="Q788" i="3"/>
  <c r="N796" i="3"/>
  <c r="E796" i="3"/>
  <c r="K796" i="3"/>
  <c r="B796" i="3"/>
  <c r="H796" i="3"/>
  <c r="Q796" i="3"/>
  <c r="N804" i="3"/>
  <c r="E804" i="3"/>
  <c r="K804" i="3"/>
  <c r="B804" i="3"/>
  <c r="H804" i="3"/>
  <c r="Q804" i="3"/>
  <c r="N812" i="3"/>
  <c r="E812" i="3"/>
  <c r="K812" i="3"/>
  <c r="B812" i="3"/>
  <c r="H812" i="3"/>
  <c r="Q812" i="3"/>
  <c r="K820" i="3"/>
  <c r="B820" i="3"/>
  <c r="Q820" i="3"/>
  <c r="H820" i="3"/>
  <c r="E820" i="3"/>
  <c r="N820" i="3"/>
  <c r="K828" i="3"/>
  <c r="B828" i="3"/>
  <c r="Q828" i="3"/>
  <c r="H828" i="3"/>
  <c r="E828" i="3"/>
  <c r="N828" i="3"/>
  <c r="K836" i="3"/>
  <c r="B836" i="3"/>
  <c r="Q836" i="3"/>
  <c r="H836" i="3"/>
  <c r="E836" i="3"/>
  <c r="N836" i="3"/>
  <c r="K844" i="3"/>
  <c r="B844" i="3"/>
  <c r="Q844" i="3"/>
  <c r="H844" i="3"/>
  <c r="E844" i="3"/>
  <c r="N844" i="3"/>
  <c r="K852" i="3"/>
  <c r="B852" i="3"/>
  <c r="Q852" i="3"/>
  <c r="H852" i="3"/>
  <c r="E852" i="3"/>
  <c r="N852" i="3"/>
  <c r="K860" i="3"/>
  <c r="B860" i="3"/>
  <c r="Q860" i="3"/>
  <c r="H860" i="3"/>
  <c r="E860" i="3"/>
  <c r="N860" i="3"/>
  <c r="K868" i="3"/>
  <c r="B868" i="3"/>
  <c r="Q868" i="3"/>
  <c r="H868" i="3"/>
  <c r="E868" i="3"/>
  <c r="N868" i="3"/>
  <c r="K876" i="3"/>
  <c r="B876" i="3"/>
  <c r="Q876" i="3"/>
  <c r="H876" i="3"/>
  <c r="E876" i="3"/>
  <c r="N876" i="3"/>
  <c r="K884" i="3"/>
  <c r="B884" i="3"/>
  <c r="Q884" i="3"/>
  <c r="H884" i="3"/>
  <c r="E884" i="3"/>
  <c r="N884" i="3"/>
  <c r="K892" i="3"/>
  <c r="B892" i="3"/>
  <c r="Q892" i="3"/>
  <c r="H892" i="3"/>
  <c r="N892" i="3"/>
  <c r="E892" i="3"/>
  <c r="K900" i="3"/>
  <c r="B900" i="3"/>
  <c r="Q900" i="3"/>
  <c r="H900" i="3"/>
  <c r="N900" i="3"/>
  <c r="E900" i="3"/>
  <c r="K908" i="3"/>
  <c r="B908" i="3"/>
  <c r="Q908" i="3"/>
  <c r="H908" i="3"/>
  <c r="N908" i="3"/>
  <c r="E908" i="3"/>
  <c r="H916" i="3"/>
  <c r="N916" i="3"/>
  <c r="K916" i="3"/>
  <c r="E916" i="3"/>
  <c r="Q916" i="3"/>
  <c r="B916" i="3"/>
  <c r="H924" i="3"/>
  <c r="N924" i="3"/>
  <c r="E924" i="3"/>
  <c r="K924" i="3"/>
  <c r="Q924" i="3"/>
  <c r="B924" i="3"/>
  <c r="N932" i="3"/>
  <c r="E932" i="3"/>
  <c r="Q932" i="3"/>
  <c r="B932" i="3"/>
  <c r="K932" i="3"/>
  <c r="H932" i="3"/>
  <c r="N940" i="3"/>
  <c r="E940" i="3"/>
  <c r="K940" i="3"/>
  <c r="H940" i="3"/>
  <c r="B940" i="3"/>
  <c r="Q940" i="3"/>
  <c r="K948" i="3"/>
  <c r="H948" i="3"/>
  <c r="B948" i="3"/>
  <c r="N948" i="3"/>
  <c r="E948" i="3"/>
  <c r="Q948" i="3"/>
  <c r="E956" i="3"/>
  <c r="K956" i="3"/>
  <c r="B956" i="3"/>
  <c r="H956" i="3"/>
  <c r="N956" i="3"/>
  <c r="Q956" i="3"/>
  <c r="B964" i="3"/>
  <c r="N964" i="3"/>
  <c r="E964" i="3"/>
  <c r="K964" i="3"/>
  <c r="Q964" i="3"/>
  <c r="H964" i="3"/>
  <c r="K972" i="3"/>
  <c r="B972" i="3"/>
  <c r="E972" i="3"/>
  <c r="N972" i="3"/>
  <c r="H972" i="3"/>
  <c r="Q972" i="3"/>
  <c r="Q980" i="3"/>
  <c r="H980" i="3"/>
  <c r="K980" i="3"/>
  <c r="B980" i="3"/>
  <c r="N980" i="3"/>
  <c r="E980" i="3"/>
  <c r="Q988" i="3"/>
  <c r="K988" i="3"/>
  <c r="B988" i="3"/>
  <c r="E988" i="3"/>
  <c r="H988" i="3"/>
  <c r="N988" i="3"/>
  <c r="Q996" i="3"/>
  <c r="N996" i="3"/>
  <c r="E996" i="3"/>
  <c r="B996" i="3"/>
  <c r="K996" i="3"/>
  <c r="H996" i="3"/>
  <c r="Q75" i="3"/>
  <c r="E95" i="3"/>
  <c r="Q107" i="3"/>
  <c r="B135" i="3"/>
  <c r="Q135" i="3"/>
  <c r="H135" i="3"/>
  <c r="E135" i="3"/>
  <c r="N135" i="3"/>
  <c r="K135" i="3"/>
  <c r="B143" i="3"/>
  <c r="Q143" i="3"/>
  <c r="H143" i="3"/>
  <c r="E143" i="3"/>
  <c r="N143" i="3"/>
  <c r="B151" i="3"/>
  <c r="Q151" i="3"/>
  <c r="H151" i="3"/>
  <c r="E151" i="3"/>
  <c r="N151" i="3"/>
  <c r="K151" i="3"/>
  <c r="B159" i="3"/>
  <c r="Q159" i="3"/>
  <c r="H159" i="3"/>
  <c r="E159" i="3"/>
  <c r="N159" i="3"/>
  <c r="B167" i="3"/>
  <c r="Q167" i="3"/>
  <c r="H167" i="3"/>
  <c r="E167" i="3"/>
  <c r="N167" i="3"/>
  <c r="K167" i="3"/>
  <c r="B175" i="3"/>
  <c r="Q175" i="3"/>
  <c r="H175" i="3"/>
  <c r="E175" i="3"/>
  <c r="N175" i="3"/>
  <c r="B183" i="3"/>
  <c r="Q183" i="3"/>
  <c r="H183" i="3"/>
  <c r="E183" i="3"/>
  <c r="N183" i="3"/>
  <c r="K183" i="3"/>
  <c r="B191" i="3"/>
  <c r="Q191" i="3"/>
  <c r="H191" i="3"/>
  <c r="E191" i="3"/>
  <c r="N191" i="3"/>
  <c r="B199" i="3"/>
  <c r="Q199" i="3"/>
  <c r="H199" i="3"/>
  <c r="E199" i="3"/>
  <c r="N199" i="3"/>
  <c r="K199" i="3"/>
  <c r="B207" i="3"/>
  <c r="Q207" i="3"/>
  <c r="H207" i="3"/>
  <c r="E207" i="3"/>
  <c r="N207" i="3"/>
  <c r="B215" i="3"/>
  <c r="Q215" i="3"/>
  <c r="H215" i="3"/>
  <c r="E215" i="3"/>
  <c r="N215" i="3"/>
  <c r="K215" i="3"/>
  <c r="B223" i="3"/>
  <c r="Q223" i="3"/>
  <c r="H223" i="3"/>
  <c r="E223" i="3"/>
  <c r="N223" i="3"/>
  <c r="N231" i="3"/>
  <c r="B231" i="3"/>
  <c r="Q231" i="3"/>
  <c r="K231" i="3"/>
  <c r="H231" i="3"/>
  <c r="E231" i="3"/>
  <c r="N239" i="3"/>
  <c r="E239" i="3"/>
  <c r="B239" i="3"/>
  <c r="Q239" i="3"/>
  <c r="H239" i="3"/>
  <c r="K239" i="3"/>
  <c r="N247" i="3"/>
  <c r="E247" i="3"/>
  <c r="B247" i="3"/>
  <c r="Q247" i="3"/>
  <c r="K247" i="3"/>
  <c r="H247" i="3"/>
  <c r="N255" i="3"/>
  <c r="E255" i="3"/>
  <c r="B255" i="3"/>
  <c r="Q255" i="3"/>
  <c r="H255" i="3"/>
  <c r="K255" i="3"/>
  <c r="N263" i="3"/>
  <c r="E263" i="3"/>
  <c r="B263" i="3"/>
  <c r="Q263" i="3"/>
  <c r="K263" i="3"/>
  <c r="H263" i="3"/>
  <c r="N271" i="3"/>
  <c r="E271" i="3"/>
  <c r="B271" i="3"/>
  <c r="Q271" i="3"/>
  <c r="H271" i="3"/>
  <c r="K271" i="3"/>
  <c r="N279" i="3"/>
  <c r="E279" i="3"/>
  <c r="B279" i="3"/>
  <c r="Q279" i="3"/>
  <c r="K279" i="3"/>
  <c r="H279" i="3"/>
  <c r="N287" i="3"/>
  <c r="E287" i="3"/>
  <c r="B287" i="3"/>
  <c r="Q287" i="3"/>
  <c r="H287" i="3"/>
  <c r="K287" i="3"/>
  <c r="N295" i="3"/>
  <c r="E295" i="3"/>
  <c r="B295" i="3"/>
  <c r="Q295" i="3"/>
  <c r="K295" i="3"/>
  <c r="H295" i="3"/>
  <c r="N303" i="3"/>
  <c r="E303" i="3"/>
  <c r="B303" i="3"/>
  <c r="Q303" i="3"/>
  <c r="H303" i="3"/>
  <c r="K303" i="3"/>
  <c r="N311" i="3"/>
  <c r="E311" i="3"/>
  <c r="B311" i="3"/>
  <c r="Q311" i="3"/>
  <c r="K311" i="3"/>
  <c r="H311" i="3"/>
  <c r="N319" i="3"/>
  <c r="E319" i="3"/>
  <c r="B319" i="3"/>
  <c r="Q319" i="3"/>
  <c r="H319" i="3"/>
  <c r="K319" i="3"/>
  <c r="N327" i="3"/>
  <c r="E327" i="3"/>
  <c r="B327" i="3"/>
  <c r="Q327" i="3"/>
  <c r="K327" i="3"/>
  <c r="H327" i="3"/>
  <c r="N335" i="3"/>
  <c r="E335" i="3"/>
  <c r="B335" i="3"/>
  <c r="Q335" i="3"/>
  <c r="H335" i="3"/>
  <c r="K335" i="3"/>
  <c r="N343" i="3"/>
  <c r="E343" i="3"/>
  <c r="B343" i="3"/>
  <c r="Q343" i="3"/>
  <c r="K343" i="3"/>
  <c r="H343" i="3"/>
  <c r="N351" i="3"/>
  <c r="E351" i="3"/>
  <c r="B351" i="3"/>
  <c r="Q351" i="3"/>
  <c r="H351" i="3"/>
  <c r="K351" i="3"/>
  <c r="K359" i="3"/>
  <c r="Q359" i="3"/>
  <c r="H359" i="3"/>
  <c r="E359" i="3"/>
  <c r="N359" i="3"/>
  <c r="B359" i="3"/>
  <c r="N367" i="3"/>
  <c r="E367" i="3"/>
  <c r="K367" i="3"/>
  <c r="Q367" i="3"/>
  <c r="H367" i="3"/>
  <c r="B367" i="3"/>
  <c r="N375" i="3"/>
  <c r="E375" i="3"/>
  <c r="K375" i="3"/>
  <c r="Q375" i="3"/>
  <c r="H375" i="3"/>
  <c r="B375" i="3"/>
  <c r="N383" i="3"/>
  <c r="E383" i="3"/>
  <c r="K383" i="3"/>
  <c r="Q383" i="3"/>
  <c r="H383" i="3"/>
  <c r="B383" i="3"/>
  <c r="N391" i="3"/>
  <c r="E391" i="3"/>
  <c r="K391" i="3"/>
  <c r="Q391" i="3"/>
  <c r="H391" i="3"/>
  <c r="B391" i="3"/>
  <c r="N399" i="3"/>
  <c r="E399" i="3"/>
  <c r="K399" i="3"/>
  <c r="Q399" i="3"/>
  <c r="H399" i="3"/>
  <c r="B399" i="3"/>
  <c r="N407" i="3"/>
  <c r="E407" i="3"/>
  <c r="K407" i="3"/>
  <c r="Q407" i="3"/>
  <c r="H407" i="3"/>
  <c r="B407" i="3"/>
  <c r="E415" i="3"/>
  <c r="B415" i="3"/>
  <c r="K415" i="3"/>
  <c r="H415" i="3"/>
  <c r="Q415" i="3"/>
  <c r="N415" i="3"/>
  <c r="E423" i="3"/>
  <c r="K423" i="3"/>
  <c r="B423" i="3"/>
  <c r="H423" i="3"/>
  <c r="N423" i="3"/>
  <c r="Q423" i="3"/>
  <c r="E431" i="3"/>
  <c r="K431" i="3"/>
  <c r="B431" i="3"/>
  <c r="H431" i="3"/>
  <c r="Q431" i="3"/>
  <c r="N431" i="3"/>
  <c r="E439" i="3"/>
  <c r="K439" i="3"/>
  <c r="B439" i="3"/>
  <c r="H439" i="3"/>
  <c r="N439" i="3"/>
  <c r="Q439" i="3"/>
  <c r="E447" i="3"/>
  <c r="K447" i="3"/>
  <c r="B447" i="3"/>
  <c r="H447" i="3"/>
  <c r="Q447" i="3"/>
  <c r="N447" i="3"/>
  <c r="E455" i="3"/>
  <c r="K455" i="3"/>
  <c r="B455" i="3"/>
  <c r="H455" i="3"/>
  <c r="N455" i="3"/>
  <c r="Q455" i="3"/>
  <c r="E463" i="3"/>
  <c r="K463" i="3"/>
  <c r="B463" i="3"/>
  <c r="H463" i="3"/>
  <c r="Q463" i="3"/>
  <c r="N463" i="3"/>
  <c r="H471" i="3"/>
  <c r="N471" i="3"/>
  <c r="E471" i="3"/>
  <c r="K471" i="3"/>
  <c r="B471" i="3"/>
  <c r="Q471" i="3"/>
  <c r="H479" i="3"/>
  <c r="N479" i="3"/>
  <c r="E479" i="3"/>
  <c r="K479" i="3"/>
  <c r="B479" i="3"/>
  <c r="Q479" i="3"/>
  <c r="H487" i="3"/>
  <c r="N487" i="3"/>
  <c r="E487" i="3"/>
  <c r="K487" i="3"/>
  <c r="B487" i="3"/>
  <c r="Q487" i="3"/>
  <c r="H495" i="3"/>
  <c r="N495" i="3"/>
  <c r="E495" i="3"/>
  <c r="K495" i="3"/>
  <c r="B495" i="3"/>
  <c r="Q495" i="3"/>
  <c r="H503" i="3"/>
  <c r="N503" i="3"/>
  <c r="E503" i="3"/>
  <c r="K503" i="3"/>
  <c r="B503" i="3"/>
  <c r="Q503" i="3"/>
  <c r="H511" i="3"/>
  <c r="N511" i="3"/>
  <c r="E511" i="3"/>
  <c r="K511" i="3"/>
  <c r="B511" i="3"/>
  <c r="Q511" i="3"/>
  <c r="H519" i="3"/>
  <c r="N519" i="3"/>
  <c r="E519" i="3"/>
  <c r="K519" i="3"/>
  <c r="B519" i="3"/>
  <c r="Q519" i="3"/>
  <c r="H527" i="3"/>
  <c r="N527" i="3"/>
  <c r="E527" i="3"/>
  <c r="K527" i="3"/>
  <c r="B527" i="3"/>
  <c r="Q527" i="3"/>
  <c r="K535" i="3"/>
  <c r="Q535" i="3"/>
  <c r="N535" i="3"/>
  <c r="H535" i="3"/>
  <c r="E535" i="3"/>
  <c r="B535" i="3"/>
  <c r="K543" i="3"/>
  <c r="B543" i="3"/>
  <c r="Q543" i="3"/>
  <c r="H543" i="3"/>
  <c r="N543" i="3"/>
  <c r="E543" i="3"/>
  <c r="K551" i="3"/>
  <c r="B551" i="3"/>
  <c r="Q551" i="3"/>
  <c r="H551" i="3"/>
  <c r="N551" i="3"/>
  <c r="E551" i="3"/>
  <c r="K559" i="3"/>
  <c r="B559" i="3"/>
  <c r="Q559" i="3"/>
  <c r="H559" i="3"/>
  <c r="N559" i="3"/>
  <c r="E559" i="3"/>
  <c r="K567" i="3"/>
  <c r="B567" i="3"/>
  <c r="Q567" i="3"/>
  <c r="H567" i="3"/>
  <c r="N567" i="3"/>
  <c r="E567" i="3"/>
  <c r="K575" i="3"/>
  <c r="B575" i="3"/>
  <c r="Q575" i="3"/>
  <c r="H575" i="3"/>
  <c r="N575" i="3"/>
  <c r="E575" i="3"/>
  <c r="K583" i="3"/>
  <c r="B583" i="3"/>
  <c r="Q583" i="3"/>
  <c r="H583" i="3"/>
  <c r="N583" i="3"/>
  <c r="E583" i="3"/>
  <c r="K591" i="3"/>
  <c r="B591" i="3"/>
  <c r="Q591" i="3"/>
  <c r="H591" i="3"/>
  <c r="N591" i="3"/>
  <c r="E591" i="3"/>
  <c r="N599" i="3"/>
  <c r="E599" i="3"/>
  <c r="K599" i="3"/>
  <c r="B599" i="3"/>
  <c r="Q599" i="3"/>
  <c r="H599" i="3"/>
  <c r="N607" i="3"/>
  <c r="E607" i="3"/>
  <c r="K607" i="3"/>
  <c r="B607" i="3"/>
  <c r="Q607" i="3"/>
  <c r="H607" i="3"/>
  <c r="N615" i="3"/>
  <c r="E615" i="3"/>
  <c r="K615" i="3"/>
  <c r="B615" i="3"/>
  <c r="Q615" i="3"/>
  <c r="H615" i="3"/>
  <c r="N623" i="3"/>
  <c r="E623" i="3"/>
  <c r="K623" i="3"/>
  <c r="B623" i="3"/>
  <c r="Q623" i="3"/>
  <c r="H623" i="3"/>
  <c r="N631" i="3"/>
  <c r="E631" i="3"/>
  <c r="K631" i="3"/>
  <c r="B631" i="3"/>
  <c r="Q631" i="3"/>
  <c r="H631" i="3"/>
  <c r="N639" i="3"/>
  <c r="E639" i="3"/>
  <c r="K639" i="3"/>
  <c r="B639" i="3"/>
  <c r="Q639" i="3"/>
  <c r="H639" i="3"/>
  <c r="N647" i="3"/>
  <c r="E647" i="3"/>
  <c r="K647" i="3"/>
  <c r="B647" i="3"/>
  <c r="Q647" i="3"/>
  <c r="H647" i="3"/>
  <c r="N655" i="3"/>
  <c r="E655" i="3"/>
  <c r="K655" i="3"/>
  <c r="B655" i="3"/>
  <c r="Q655" i="3"/>
  <c r="H655" i="3"/>
  <c r="N663" i="3"/>
  <c r="E663" i="3"/>
  <c r="K663" i="3"/>
  <c r="B663" i="3"/>
  <c r="Q663" i="3"/>
  <c r="H663" i="3"/>
  <c r="E671" i="3"/>
  <c r="K671" i="3"/>
  <c r="B671" i="3"/>
  <c r="Q671" i="3"/>
  <c r="H671" i="3"/>
  <c r="N671" i="3"/>
  <c r="E679" i="3"/>
  <c r="K679" i="3"/>
  <c r="B679" i="3"/>
  <c r="Q679" i="3"/>
  <c r="H679" i="3"/>
  <c r="N679" i="3"/>
  <c r="E687" i="3"/>
  <c r="K687" i="3"/>
  <c r="B687" i="3"/>
  <c r="Q687" i="3"/>
  <c r="H687" i="3"/>
  <c r="N687" i="3"/>
  <c r="E695" i="3"/>
  <c r="K695" i="3"/>
  <c r="B695" i="3"/>
  <c r="Q695" i="3"/>
  <c r="N695" i="3"/>
  <c r="H695" i="3"/>
  <c r="E703" i="3"/>
  <c r="K703" i="3"/>
  <c r="B703" i="3"/>
  <c r="Q703" i="3"/>
  <c r="N703" i="3"/>
  <c r="H703" i="3"/>
  <c r="E711" i="3"/>
  <c r="K711" i="3"/>
  <c r="B711" i="3"/>
  <c r="Q711" i="3"/>
  <c r="N711" i="3"/>
  <c r="H711" i="3"/>
  <c r="E719" i="3"/>
  <c r="K719" i="3"/>
  <c r="B719" i="3"/>
  <c r="Q719" i="3"/>
  <c r="N719" i="3"/>
  <c r="H719" i="3"/>
  <c r="E727" i="3"/>
  <c r="K727" i="3"/>
  <c r="B727" i="3"/>
  <c r="Q727" i="3"/>
  <c r="N727" i="3"/>
  <c r="H727" i="3"/>
  <c r="E735" i="3"/>
  <c r="K735" i="3"/>
  <c r="B735" i="3"/>
  <c r="Q735" i="3"/>
  <c r="N735" i="3"/>
  <c r="H735" i="3"/>
  <c r="E743" i="3"/>
  <c r="K743" i="3"/>
  <c r="B743" i="3"/>
  <c r="Q743" i="3"/>
  <c r="N743" i="3"/>
  <c r="H743" i="3"/>
  <c r="E751" i="3"/>
  <c r="K751" i="3"/>
  <c r="B751" i="3"/>
  <c r="Q751" i="3"/>
  <c r="N751" i="3"/>
  <c r="H751" i="3"/>
  <c r="N759" i="3"/>
  <c r="E759" i="3"/>
  <c r="K759" i="3"/>
  <c r="B759" i="3"/>
  <c r="Q759" i="3"/>
  <c r="H759" i="3"/>
  <c r="N767" i="3"/>
  <c r="E767" i="3"/>
  <c r="K767" i="3"/>
  <c r="B767" i="3"/>
  <c r="Q767" i="3"/>
  <c r="H767" i="3"/>
  <c r="N775" i="3"/>
  <c r="E775" i="3"/>
  <c r="K775" i="3"/>
  <c r="B775" i="3"/>
  <c r="Q775" i="3"/>
  <c r="H775" i="3"/>
  <c r="N783" i="3"/>
  <c r="E783" i="3"/>
  <c r="K783" i="3"/>
  <c r="B783" i="3"/>
  <c r="Q783" i="3"/>
  <c r="H783" i="3"/>
  <c r="N791" i="3"/>
  <c r="E791" i="3"/>
  <c r="K791" i="3"/>
  <c r="B791" i="3"/>
  <c r="Q791" i="3"/>
  <c r="H791" i="3"/>
  <c r="N799" i="3"/>
  <c r="E799" i="3"/>
  <c r="K799" i="3"/>
  <c r="B799" i="3"/>
  <c r="Q799" i="3"/>
  <c r="H799" i="3"/>
  <c r="N807" i="3"/>
  <c r="E807" i="3"/>
  <c r="K807" i="3"/>
  <c r="B807" i="3"/>
  <c r="Q807" i="3"/>
  <c r="H807" i="3"/>
  <c r="N815" i="3"/>
  <c r="E815" i="3"/>
  <c r="K815" i="3"/>
  <c r="B815" i="3"/>
  <c r="Q815" i="3"/>
  <c r="H815" i="3"/>
  <c r="K823" i="3"/>
  <c r="B823" i="3"/>
  <c r="Q823" i="3"/>
  <c r="H823" i="3"/>
  <c r="N823" i="3"/>
  <c r="E823" i="3"/>
  <c r="K831" i="3"/>
  <c r="B831" i="3"/>
  <c r="Q831" i="3"/>
  <c r="H831" i="3"/>
  <c r="N831" i="3"/>
  <c r="E831" i="3"/>
  <c r="K839" i="3"/>
  <c r="B839" i="3"/>
  <c r="Q839" i="3"/>
  <c r="H839" i="3"/>
  <c r="N839" i="3"/>
  <c r="E839" i="3"/>
  <c r="K847" i="3"/>
  <c r="B847" i="3"/>
  <c r="Q847" i="3"/>
  <c r="H847" i="3"/>
  <c r="N847" i="3"/>
  <c r="E847" i="3"/>
  <c r="K855" i="3"/>
  <c r="B855" i="3"/>
  <c r="Q855" i="3"/>
  <c r="H855" i="3"/>
  <c r="N855" i="3"/>
  <c r="E855" i="3"/>
  <c r="K863" i="3"/>
  <c r="B863" i="3"/>
  <c r="Q863" i="3"/>
  <c r="H863" i="3"/>
  <c r="N863" i="3"/>
  <c r="E863" i="3"/>
  <c r="K871" i="3"/>
  <c r="B871" i="3"/>
  <c r="Q871" i="3"/>
  <c r="H871" i="3"/>
  <c r="N871" i="3"/>
  <c r="E871" i="3"/>
  <c r="K879" i="3"/>
  <c r="B879" i="3"/>
  <c r="Q879" i="3"/>
  <c r="H879" i="3"/>
  <c r="N879" i="3"/>
  <c r="E879" i="3"/>
  <c r="K887" i="3"/>
  <c r="B887" i="3"/>
  <c r="Q887" i="3"/>
  <c r="H887" i="3"/>
  <c r="N887" i="3"/>
  <c r="E887" i="3"/>
  <c r="B895" i="3"/>
  <c r="Q895" i="3"/>
  <c r="H895" i="3"/>
  <c r="N895" i="3"/>
  <c r="E895" i="3"/>
  <c r="K895" i="3"/>
  <c r="B903" i="3"/>
  <c r="Q903" i="3"/>
  <c r="H903" i="3"/>
  <c r="N903" i="3"/>
  <c r="E903" i="3"/>
  <c r="K903" i="3"/>
  <c r="B911" i="3"/>
  <c r="Q911" i="3"/>
  <c r="H911" i="3"/>
  <c r="N911" i="3"/>
  <c r="E911" i="3"/>
  <c r="K911" i="3"/>
  <c r="N919" i="3"/>
  <c r="E919" i="3"/>
  <c r="K919" i="3"/>
  <c r="B919" i="3"/>
  <c r="H919" i="3"/>
  <c r="Q919" i="3"/>
  <c r="N927" i="3"/>
  <c r="E927" i="3"/>
  <c r="K927" i="3"/>
  <c r="B927" i="3"/>
  <c r="Q927" i="3"/>
  <c r="H927" i="3"/>
  <c r="N935" i="3"/>
  <c r="E935" i="3"/>
  <c r="H935" i="3"/>
  <c r="Q935" i="3"/>
  <c r="B935" i="3"/>
  <c r="K935" i="3"/>
  <c r="N943" i="3"/>
  <c r="E943" i="3"/>
  <c r="Q943" i="3"/>
  <c r="B943" i="3"/>
  <c r="K943" i="3"/>
  <c r="H943" i="3"/>
  <c r="B951" i="3"/>
  <c r="H951" i="3"/>
  <c r="Q951" i="3"/>
  <c r="K951" i="3"/>
  <c r="E951" i="3"/>
  <c r="N951" i="3"/>
  <c r="Q959" i="3"/>
  <c r="H959" i="3"/>
  <c r="N959" i="3"/>
  <c r="E959" i="3"/>
  <c r="K959" i="3"/>
  <c r="B959" i="3"/>
  <c r="Q967" i="3"/>
  <c r="K967" i="3"/>
  <c r="B967" i="3"/>
  <c r="H967" i="3"/>
  <c r="N967" i="3"/>
  <c r="E967" i="3"/>
  <c r="B975" i="3"/>
  <c r="Q975" i="3"/>
  <c r="E975" i="3"/>
  <c r="N975" i="3"/>
  <c r="K975" i="3"/>
  <c r="H975" i="3"/>
  <c r="H983" i="3"/>
  <c r="Q983" i="3"/>
  <c r="N983" i="3"/>
  <c r="K983" i="3"/>
  <c r="E983" i="3"/>
  <c r="B983" i="3"/>
  <c r="H991" i="3"/>
  <c r="Q991" i="3"/>
  <c r="N991" i="3"/>
  <c r="B991" i="3"/>
  <c r="E991" i="3"/>
  <c r="K991" i="3"/>
  <c r="H999" i="3"/>
  <c r="K999" i="3"/>
  <c r="B999" i="3"/>
  <c r="N999" i="3"/>
  <c r="E999" i="3"/>
  <c r="Q999" i="3"/>
  <c r="K159" i="3"/>
  <c r="K730" i="3"/>
  <c r="B730" i="3"/>
  <c r="Q730" i="3"/>
  <c r="H730" i="3"/>
  <c r="E730" i="3"/>
  <c r="N730" i="3"/>
  <c r="K738" i="3"/>
  <c r="B738" i="3"/>
  <c r="Q738" i="3"/>
  <c r="H738" i="3"/>
  <c r="E738" i="3"/>
  <c r="N738" i="3"/>
  <c r="K746" i="3"/>
  <c r="B746" i="3"/>
  <c r="Q746" i="3"/>
  <c r="H746" i="3"/>
  <c r="E746" i="3"/>
  <c r="N746" i="3"/>
  <c r="K754" i="3"/>
  <c r="B754" i="3"/>
  <c r="Q754" i="3"/>
  <c r="H754" i="3"/>
  <c r="E754" i="3"/>
  <c r="N754" i="3"/>
  <c r="E762" i="3"/>
  <c r="K762" i="3"/>
  <c r="B762" i="3"/>
  <c r="Q762" i="3"/>
  <c r="H762" i="3"/>
  <c r="N762" i="3"/>
  <c r="E770" i="3"/>
  <c r="K770" i="3"/>
  <c r="B770" i="3"/>
  <c r="Q770" i="3"/>
  <c r="H770" i="3"/>
  <c r="N770" i="3"/>
  <c r="E778" i="3"/>
  <c r="K778" i="3"/>
  <c r="B778" i="3"/>
  <c r="Q778" i="3"/>
  <c r="H778" i="3"/>
  <c r="N778" i="3"/>
  <c r="E786" i="3"/>
  <c r="K786" i="3"/>
  <c r="B786" i="3"/>
  <c r="Q786" i="3"/>
  <c r="H786" i="3"/>
  <c r="N786" i="3"/>
  <c r="E794" i="3"/>
  <c r="K794" i="3"/>
  <c r="B794" i="3"/>
  <c r="Q794" i="3"/>
  <c r="H794" i="3"/>
  <c r="N794" i="3"/>
  <c r="E802" i="3"/>
  <c r="K802" i="3"/>
  <c r="B802" i="3"/>
  <c r="Q802" i="3"/>
  <c r="H802" i="3"/>
  <c r="N802" i="3"/>
  <c r="E810" i="3"/>
  <c r="K810" i="3"/>
  <c r="B810" i="3"/>
  <c r="Q810" i="3"/>
  <c r="H810" i="3"/>
  <c r="N810" i="3"/>
  <c r="E818" i="3"/>
  <c r="K818" i="3"/>
  <c r="B818" i="3"/>
  <c r="Q818" i="3"/>
  <c r="H818" i="3"/>
  <c r="N818" i="3"/>
  <c r="B826" i="3"/>
  <c r="Q826" i="3"/>
  <c r="H826" i="3"/>
  <c r="N826" i="3"/>
  <c r="E826" i="3"/>
  <c r="K826" i="3"/>
  <c r="B834" i="3"/>
  <c r="Q834" i="3"/>
  <c r="H834" i="3"/>
  <c r="N834" i="3"/>
  <c r="E834" i="3"/>
  <c r="K834" i="3"/>
  <c r="B842" i="3"/>
  <c r="Q842" i="3"/>
  <c r="H842" i="3"/>
  <c r="N842" i="3"/>
  <c r="E842" i="3"/>
  <c r="K842" i="3"/>
  <c r="B850" i="3"/>
  <c r="Q850" i="3"/>
  <c r="H850" i="3"/>
  <c r="N850" i="3"/>
  <c r="E850" i="3"/>
  <c r="K850" i="3"/>
  <c r="B858" i="3"/>
  <c r="Q858" i="3"/>
  <c r="H858" i="3"/>
  <c r="N858" i="3"/>
  <c r="E858" i="3"/>
  <c r="K858" i="3"/>
  <c r="B866" i="3"/>
  <c r="Q866" i="3"/>
  <c r="H866" i="3"/>
  <c r="N866" i="3"/>
  <c r="E866" i="3"/>
  <c r="K866" i="3"/>
  <c r="B874" i="3"/>
  <c r="Q874" i="3"/>
  <c r="H874" i="3"/>
  <c r="N874" i="3"/>
  <c r="E874" i="3"/>
  <c r="K874" i="3"/>
  <c r="B882" i="3"/>
  <c r="Q882" i="3"/>
  <c r="H882" i="3"/>
  <c r="N882" i="3"/>
  <c r="E882" i="3"/>
  <c r="K882" i="3"/>
  <c r="Q890" i="3"/>
  <c r="H890" i="3"/>
  <c r="N890" i="3"/>
  <c r="E890" i="3"/>
  <c r="B890" i="3"/>
  <c r="K890" i="3"/>
  <c r="Q898" i="3"/>
  <c r="H898" i="3"/>
  <c r="N898" i="3"/>
  <c r="E898" i="3"/>
  <c r="B898" i="3"/>
  <c r="K898" i="3"/>
  <c r="Q906" i="3"/>
  <c r="H906" i="3"/>
  <c r="N906" i="3"/>
  <c r="E906" i="3"/>
  <c r="B906" i="3"/>
  <c r="K906" i="3"/>
  <c r="N914" i="3"/>
  <c r="K914" i="3"/>
  <c r="B914" i="3"/>
  <c r="Q914" i="3"/>
  <c r="H914" i="3"/>
  <c r="E914" i="3"/>
  <c r="N922" i="3"/>
  <c r="E922" i="3"/>
  <c r="K922" i="3"/>
  <c r="B922" i="3"/>
  <c r="Q922" i="3"/>
  <c r="H922" i="3"/>
  <c r="N930" i="3"/>
  <c r="E930" i="3"/>
  <c r="K930" i="3"/>
  <c r="B930" i="3"/>
  <c r="Q930" i="3"/>
  <c r="H930" i="3"/>
  <c r="E938" i="3"/>
  <c r="K938" i="3"/>
  <c r="N938" i="3"/>
  <c r="H938" i="3"/>
  <c r="B938" i="3"/>
  <c r="Q938" i="3"/>
  <c r="E946" i="3"/>
  <c r="K946" i="3"/>
  <c r="H946" i="3"/>
  <c r="Q946" i="3"/>
  <c r="B946" i="3"/>
  <c r="N946" i="3"/>
  <c r="K954" i="3"/>
  <c r="Q954" i="3"/>
  <c r="H954" i="3"/>
  <c r="N954" i="3"/>
  <c r="E954" i="3"/>
  <c r="B954" i="3"/>
  <c r="H962" i="3"/>
  <c r="B962" i="3"/>
  <c r="Q962" i="3"/>
  <c r="N962" i="3"/>
  <c r="K962" i="3"/>
  <c r="E962" i="3"/>
  <c r="Q970" i="3"/>
  <c r="H970" i="3"/>
  <c r="E970" i="3"/>
  <c r="N970" i="3"/>
  <c r="B970" i="3"/>
  <c r="K970" i="3"/>
  <c r="K978" i="3"/>
  <c r="B978" i="3"/>
  <c r="Q978" i="3"/>
  <c r="E978" i="3"/>
  <c r="N978" i="3"/>
  <c r="H978" i="3"/>
  <c r="N986" i="3"/>
  <c r="E986" i="3"/>
  <c r="H986" i="3"/>
  <c r="Q986" i="3"/>
  <c r="B986" i="3"/>
  <c r="K986" i="3"/>
  <c r="Q994" i="3"/>
  <c r="H994" i="3"/>
  <c r="N994" i="3"/>
  <c r="B994" i="3"/>
  <c r="K994" i="3"/>
  <c r="E994" i="3"/>
  <c r="E71" i="3"/>
  <c r="Q83" i="3"/>
  <c r="E103" i="3"/>
  <c r="Q115" i="3"/>
  <c r="K175" i="3"/>
  <c r="S356" i="3"/>
  <c r="H141" i="3"/>
  <c r="N141" i="3"/>
  <c r="E141" i="3"/>
  <c r="K141" i="3"/>
  <c r="B141" i="3"/>
  <c r="Q141" i="3"/>
  <c r="H149" i="3"/>
  <c r="N149" i="3"/>
  <c r="E149" i="3"/>
  <c r="K149" i="3"/>
  <c r="B149" i="3"/>
  <c r="Q149" i="3"/>
  <c r="H157" i="3"/>
  <c r="N157" i="3"/>
  <c r="E157" i="3"/>
  <c r="K157" i="3"/>
  <c r="B157" i="3"/>
  <c r="Q157" i="3"/>
  <c r="H165" i="3"/>
  <c r="N165" i="3"/>
  <c r="E165" i="3"/>
  <c r="K165" i="3"/>
  <c r="B165" i="3"/>
  <c r="Q165" i="3"/>
  <c r="H173" i="3"/>
  <c r="N173" i="3"/>
  <c r="E173" i="3"/>
  <c r="K173" i="3"/>
  <c r="B173" i="3"/>
  <c r="Q173" i="3"/>
  <c r="H181" i="3"/>
  <c r="N181" i="3"/>
  <c r="E181" i="3"/>
  <c r="K181" i="3"/>
  <c r="B181" i="3"/>
  <c r="Q181" i="3"/>
  <c r="H189" i="3"/>
  <c r="N189" i="3"/>
  <c r="E189" i="3"/>
  <c r="K189" i="3"/>
  <c r="B189" i="3"/>
  <c r="Q189" i="3"/>
  <c r="H197" i="3"/>
  <c r="N197" i="3"/>
  <c r="E197" i="3"/>
  <c r="K197" i="3"/>
  <c r="B197" i="3"/>
  <c r="Q197" i="3"/>
  <c r="H205" i="3"/>
  <c r="N205" i="3"/>
  <c r="E205" i="3"/>
  <c r="K205" i="3"/>
  <c r="B205" i="3"/>
  <c r="Q205" i="3"/>
  <c r="H213" i="3"/>
  <c r="N213" i="3"/>
  <c r="E213" i="3"/>
  <c r="K213" i="3"/>
  <c r="B213" i="3"/>
  <c r="Q213" i="3"/>
  <c r="H221" i="3"/>
  <c r="N221" i="3"/>
  <c r="E221" i="3"/>
  <c r="K221" i="3"/>
  <c r="B221" i="3"/>
  <c r="Q221" i="3"/>
  <c r="E229" i="3"/>
  <c r="B229" i="3"/>
  <c r="H229" i="3"/>
  <c r="N229" i="3"/>
  <c r="K229" i="3"/>
  <c r="Q229" i="3"/>
  <c r="E237" i="3"/>
  <c r="K237" i="3"/>
  <c r="B237" i="3"/>
  <c r="H237" i="3"/>
  <c r="Q237" i="3"/>
  <c r="N237" i="3"/>
  <c r="E245" i="3"/>
  <c r="K245" i="3"/>
  <c r="B245" i="3"/>
  <c r="H245" i="3"/>
  <c r="Q245" i="3"/>
  <c r="N245" i="3"/>
  <c r="E253" i="3"/>
  <c r="K253" i="3"/>
  <c r="B253" i="3"/>
  <c r="H253" i="3"/>
  <c r="Q253" i="3"/>
  <c r="N253" i="3"/>
  <c r="E261" i="3"/>
  <c r="K261" i="3"/>
  <c r="B261" i="3"/>
  <c r="H261" i="3"/>
  <c r="Q261" i="3"/>
  <c r="N261" i="3"/>
  <c r="E269" i="3"/>
  <c r="K269" i="3"/>
  <c r="B269" i="3"/>
  <c r="H269" i="3"/>
  <c r="Q269" i="3"/>
  <c r="N269" i="3"/>
  <c r="E277" i="3"/>
  <c r="K277" i="3"/>
  <c r="B277" i="3"/>
  <c r="H277" i="3"/>
  <c r="Q277" i="3"/>
  <c r="N277" i="3"/>
  <c r="E285" i="3"/>
  <c r="K285" i="3"/>
  <c r="B285" i="3"/>
  <c r="H285" i="3"/>
  <c r="Q285" i="3"/>
  <c r="N285" i="3"/>
  <c r="E293" i="3"/>
  <c r="K293" i="3"/>
  <c r="B293" i="3"/>
  <c r="H293" i="3"/>
  <c r="Q293" i="3"/>
  <c r="N293" i="3"/>
  <c r="E301" i="3"/>
  <c r="K301" i="3"/>
  <c r="B301" i="3"/>
  <c r="H301" i="3"/>
  <c r="Q301" i="3"/>
  <c r="N301" i="3"/>
  <c r="E309" i="3"/>
  <c r="K309" i="3"/>
  <c r="B309" i="3"/>
  <c r="H309" i="3"/>
  <c r="Q309" i="3"/>
  <c r="N309" i="3"/>
  <c r="E317" i="3"/>
  <c r="K317" i="3"/>
  <c r="B317" i="3"/>
  <c r="H317" i="3"/>
  <c r="Q317" i="3"/>
  <c r="N317" i="3"/>
  <c r="E325" i="3"/>
  <c r="K325" i="3"/>
  <c r="B325" i="3"/>
  <c r="H325" i="3"/>
  <c r="Q325" i="3"/>
  <c r="N325" i="3"/>
  <c r="E333" i="3"/>
  <c r="K333" i="3"/>
  <c r="B333" i="3"/>
  <c r="H333" i="3"/>
  <c r="Q333" i="3"/>
  <c r="N333" i="3"/>
  <c r="E341" i="3"/>
  <c r="K341" i="3"/>
  <c r="B341" i="3"/>
  <c r="H341" i="3"/>
  <c r="Q341" i="3"/>
  <c r="N341" i="3"/>
  <c r="E349" i="3"/>
  <c r="K349" i="3"/>
  <c r="B349" i="3"/>
  <c r="H349" i="3"/>
  <c r="Q349" i="3"/>
  <c r="N349" i="3"/>
  <c r="E357" i="3"/>
  <c r="K357" i="3"/>
  <c r="B357" i="3"/>
  <c r="H357" i="3"/>
  <c r="Q357" i="3"/>
  <c r="N357" i="3"/>
  <c r="K365" i="3"/>
  <c r="B365" i="3"/>
  <c r="Q365" i="3"/>
  <c r="N365" i="3"/>
  <c r="H365" i="3"/>
  <c r="E365" i="3"/>
  <c r="K373" i="3"/>
  <c r="B373" i="3"/>
  <c r="Q373" i="3"/>
  <c r="N373" i="3"/>
  <c r="H373" i="3"/>
  <c r="E373" i="3"/>
  <c r="K381" i="3"/>
  <c r="B381" i="3"/>
  <c r="Q381" i="3"/>
  <c r="N381" i="3"/>
  <c r="H381" i="3"/>
  <c r="E381" i="3"/>
  <c r="K389" i="3"/>
  <c r="B389" i="3"/>
  <c r="Q389" i="3"/>
  <c r="N389" i="3"/>
  <c r="H389" i="3"/>
  <c r="E389" i="3"/>
  <c r="K397" i="3"/>
  <c r="B397" i="3"/>
  <c r="Q397" i="3"/>
  <c r="N397" i="3"/>
  <c r="H397" i="3"/>
  <c r="E397" i="3"/>
  <c r="K405" i="3"/>
  <c r="B405" i="3"/>
  <c r="Q405" i="3"/>
  <c r="N405" i="3"/>
  <c r="H405" i="3"/>
  <c r="E405" i="3"/>
  <c r="K413" i="3"/>
  <c r="H413" i="3"/>
  <c r="Q413" i="3"/>
  <c r="E413" i="3"/>
  <c r="N413" i="3"/>
  <c r="B413" i="3"/>
  <c r="K421" i="3"/>
  <c r="B421" i="3"/>
  <c r="Q421" i="3"/>
  <c r="H421" i="3"/>
  <c r="N421" i="3"/>
  <c r="E421" i="3"/>
  <c r="K429" i="3"/>
  <c r="B429" i="3"/>
  <c r="Q429" i="3"/>
  <c r="H429" i="3"/>
  <c r="N429" i="3"/>
  <c r="E429" i="3"/>
  <c r="K437" i="3"/>
  <c r="B437" i="3"/>
  <c r="Q437" i="3"/>
  <c r="H437" i="3"/>
  <c r="N437" i="3"/>
  <c r="E437" i="3"/>
  <c r="K445" i="3"/>
  <c r="B445" i="3"/>
  <c r="Q445" i="3"/>
  <c r="H445" i="3"/>
  <c r="N445" i="3"/>
  <c r="E445" i="3"/>
  <c r="K453" i="3"/>
  <c r="B453" i="3"/>
  <c r="Q453" i="3"/>
  <c r="H453" i="3"/>
  <c r="N453" i="3"/>
  <c r="E453" i="3"/>
  <c r="K461" i="3"/>
  <c r="B461" i="3"/>
  <c r="Q461" i="3"/>
  <c r="H461" i="3"/>
  <c r="N461" i="3"/>
  <c r="E461" i="3"/>
  <c r="N469" i="3"/>
  <c r="E469" i="3"/>
  <c r="K469" i="3"/>
  <c r="Q469" i="3"/>
  <c r="H469" i="3"/>
  <c r="B469" i="3"/>
  <c r="N477" i="3"/>
  <c r="E477" i="3"/>
  <c r="K477" i="3"/>
  <c r="Q477" i="3"/>
  <c r="H477" i="3"/>
  <c r="B477" i="3"/>
  <c r="N485" i="3"/>
  <c r="E485" i="3"/>
  <c r="K485" i="3"/>
  <c r="Q485" i="3"/>
  <c r="H485" i="3"/>
  <c r="B485" i="3"/>
  <c r="N493" i="3"/>
  <c r="E493" i="3"/>
  <c r="K493" i="3"/>
  <c r="Q493" i="3"/>
  <c r="H493" i="3"/>
  <c r="B493" i="3"/>
  <c r="N501" i="3"/>
  <c r="E501" i="3"/>
  <c r="K501" i="3"/>
  <c r="Q501" i="3"/>
  <c r="H501" i="3"/>
  <c r="B501" i="3"/>
  <c r="N509" i="3"/>
  <c r="E509" i="3"/>
  <c r="K509" i="3"/>
  <c r="Q509" i="3"/>
  <c r="H509" i="3"/>
  <c r="B509" i="3"/>
  <c r="N517" i="3"/>
  <c r="E517" i="3"/>
  <c r="K517" i="3"/>
  <c r="Q517" i="3"/>
  <c r="H517" i="3"/>
  <c r="B517" i="3"/>
  <c r="N525" i="3"/>
  <c r="E525" i="3"/>
  <c r="K525" i="3"/>
  <c r="Q525" i="3"/>
  <c r="H525" i="3"/>
  <c r="B525" i="3"/>
  <c r="B533" i="3"/>
  <c r="Q533" i="3"/>
  <c r="E533" i="3"/>
  <c r="H533" i="3"/>
  <c r="N533" i="3"/>
  <c r="K533" i="3"/>
  <c r="B541" i="3"/>
  <c r="Q541" i="3"/>
  <c r="H541" i="3"/>
  <c r="E541" i="3"/>
  <c r="N541" i="3"/>
  <c r="K541" i="3"/>
  <c r="B549" i="3"/>
  <c r="Q549" i="3"/>
  <c r="H549" i="3"/>
  <c r="N549" i="3"/>
  <c r="E549" i="3"/>
  <c r="K549" i="3"/>
  <c r="B557" i="3"/>
  <c r="Q557" i="3"/>
  <c r="H557" i="3"/>
  <c r="N557" i="3"/>
  <c r="E557" i="3"/>
  <c r="K557" i="3"/>
  <c r="B565" i="3"/>
  <c r="Q565" i="3"/>
  <c r="H565" i="3"/>
  <c r="N565" i="3"/>
  <c r="E565" i="3"/>
  <c r="K565" i="3"/>
  <c r="B573" i="3"/>
  <c r="Q573" i="3"/>
  <c r="H573" i="3"/>
  <c r="N573" i="3"/>
  <c r="E573" i="3"/>
  <c r="K573" i="3"/>
  <c r="B581" i="3"/>
  <c r="Q581" i="3"/>
  <c r="H581" i="3"/>
  <c r="N581" i="3"/>
  <c r="E581" i="3"/>
  <c r="K581" i="3"/>
  <c r="B589" i="3"/>
  <c r="Q589" i="3"/>
  <c r="H589" i="3"/>
  <c r="N589" i="3"/>
  <c r="E589" i="3"/>
  <c r="K589" i="3"/>
  <c r="K597" i="3"/>
  <c r="Q597" i="3"/>
  <c r="H597" i="3"/>
  <c r="N597" i="3"/>
  <c r="E597" i="3"/>
  <c r="B597" i="3"/>
  <c r="K605" i="3"/>
  <c r="B605" i="3"/>
  <c r="Q605" i="3"/>
  <c r="H605" i="3"/>
  <c r="N605" i="3"/>
  <c r="E605" i="3"/>
  <c r="K613" i="3"/>
  <c r="B613" i="3"/>
  <c r="Q613" i="3"/>
  <c r="H613" i="3"/>
  <c r="N613" i="3"/>
  <c r="E613" i="3"/>
  <c r="K621" i="3"/>
  <c r="B621" i="3"/>
  <c r="Q621" i="3"/>
  <c r="H621" i="3"/>
  <c r="N621" i="3"/>
  <c r="E621" i="3"/>
  <c r="K629" i="3"/>
  <c r="B629" i="3"/>
  <c r="Q629" i="3"/>
  <c r="H629" i="3"/>
  <c r="N629" i="3"/>
  <c r="E629" i="3"/>
  <c r="K637" i="3"/>
  <c r="B637" i="3"/>
  <c r="Q637" i="3"/>
  <c r="H637" i="3"/>
  <c r="N637" i="3"/>
  <c r="E637" i="3"/>
  <c r="K645" i="3"/>
  <c r="B645" i="3"/>
  <c r="Q645" i="3"/>
  <c r="H645" i="3"/>
  <c r="N645" i="3"/>
  <c r="E645" i="3"/>
  <c r="K653" i="3"/>
  <c r="B653" i="3"/>
  <c r="Q653" i="3"/>
  <c r="H653" i="3"/>
  <c r="N653" i="3"/>
  <c r="E653" i="3"/>
  <c r="K661" i="3"/>
  <c r="B661" i="3"/>
  <c r="Q661" i="3"/>
  <c r="H661" i="3"/>
  <c r="N661" i="3"/>
  <c r="E661" i="3"/>
  <c r="K669" i="3"/>
  <c r="B669" i="3"/>
  <c r="Q669" i="3"/>
  <c r="H669" i="3"/>
  <c r="N669" i="3"/>
  <c r="E669" i="3"/>
  <c r="K677" i="3"/>
  <c r="B677" i="3"/>
  <c r="Q677" i="3"/>
  <c r="H677" i="3"/>
  <c r="N677" i="3"/>
  <c r="E677" i="3"/>
  <c r="K685" i="3"/>
  <c r="B685" i="3"/>
  <c r="Q685" i="3"/>
  <c r="H685" i="3"/>
  <c r="N685" i="3"/>
  <c r="E685" i="3"/>
  <c r="K693" i="3"/>
  <c r="B693" i="3"/>
  <c r="Q693" i="3"/>
  <c r="H693" i="3"/>
  <c r="N693" i="3"/>
  <c r="E693" i="3"/>
  <c r="K701" i="3"/>
  <c r="B701" i="3"/>
  <c r="Q701" i="3"/>
  <c r="H701" i="3"/>
  <c r="E701" i="3"/>
  <c r="N701" i="3"/>
  <c r="K709" i="3"/>
  <c r="B709" i="3"/>
  <c r="Q709" i="3"/>
  <c r="H709" i="3"/>
  <c r="N709" i="3"/>
  <c r="E709" i="3"/>
  <c r="K717" i="3"/>
  <c r="B717" i="3"/>
  <c r="Q717" i="3"/>
  <c r="H717" i="3"/>
  <c r="E717" i="3"/>
  <c r="N717" i="3"/>
  <c r="K725" i="3"/>
  <c r="B725" i="3"/>
  <c r="Q725" i="3"/>
  <c r="H725" i="3"/>
  <c r="N725" i="3"/>
  <c r="E725" i="3"/>
  <c r="K733" i="3"/>
  <c r="B733" i="3"/>
  <c r="Q733" i="3"/>
  <c r="H733" i="3"/>
  <c r="E733" i="3"/>
  <c r="N733" i="3"/>
  <c r="K741" i="3"/>
  <c r="B741" i="3"/>
  <c r="Q741" i="3"/>
  <c r="H741" i="3"/>
  <c r="N741" i="3"/>
  <c r="E741" i="3"/>
  <c r="K749" i="3"/>
  <c r="B749" i="3"/>
  <c r="Q749" i="3"/>
  <c r="H749" i="3"/>
  <c r="E749" i="3"/>
  <c r="N749" i="3"/>
  <c r="K757" i="3"/>
  <c r="B757" i="3"/>
  <c r="Q757" i="3"/>
  <c r="H757" i="3"/>
  <c r="E757" i="3"/>
  <c r="N757" i="3"/>
  <c r="K765" i="3"/>
  <c r="B765" i="3"/>
  <c r="Q765" i="3"/>
  <c r="H765" i="3"/>
  <c r="E765" i="3"/>
  <c r="N765" i="3"/>
  <c r="K773" i="3"/>
  <c r="B773" i="3"/>
  <c r="Q773" i="3"/>
  <c r="H773" i="3"/>
  <c r="E773" i="3"/>
  <c r="N773" i="3"/>
  <c r="K781" i="3"/>
  <c r="B781" i="3"/>
  <c r="Q781" i="3"/>
  <c r="H781" i="3"/>
  <c r="E781" i="3"/>
  <c r="N781" i="3"/>
  <c r="K789" i="3"/>
  <c r="B789" i="3"/>
  <c r="Q789" i="3"/>
  <c r="H789" i="3"/>
  <c r="E789" i="3"/>
  <c r="N789" i="3"/>
  <c r="K797" i="3"/>
  <c r="B797" i="3"/>
  <c r="Q797" i="3"/>
  <c r="H797" i="3"/>
  <c r="E797" i="3"/>
  <c r="N797" i="3"/>
  <c r="K805" i="3"/>
  <c r="B805" i="3"/>
  <c r="Q805" i="3"/>
  <c r="H805" i="3"/>
  <c r="E805" i="3"/>
  <c r="N805" i="3"/>
  <c r="K813" i="3"/>
  <c r="B813" i="3"/>
  <c r="Q813" i="3"/>
  <c r="H813" i="3"/>
  <c r="E813" i="3"/>
  <c r="N813" i="3"/>
  <c r="Q821" i="3"/>
  <c r="H821" i="3"/>
  <c r="N821" i="3"/>
  <c r="E821" i="3"/>
  <c r="B821" i="3"/>
  <c r="K821" i="3"/>
  <c r="Q829" i="3"/>
  <c r="H829" i="3"/>
  <c r="N829" i="3"/>
  <c r="E829" i="3"/>
  <c r="B829" i="3"/>
  <c r="K829" i="3"/>
  <c r="Q837" i="3"/>
  <c r="H837" i="3"/>
  <c r="N837" i="3"/>
  <c r="E837" i="3"/>
  <c r="B837" i="3"/>
  <c r="K837" i="3"/>
  <c r="Q845" i="3"/>
  <c r="H845" i="3"/>
  <c r="N845" i="3"/>
  <c r="E845" i="3"/>
  <c r="B845" i="3"/>
  <c r="K845" i="3"/>
  <c r="Q853" i="3"/>
  <c r="H853" i="3"/>
  <c r="N853" i="3"/>
  <c r="E853" i="3"/>
  <c r="B853" i="3"/>
  <c r="K853" i="3"/>
  <c r="Q861" i="3"/>
  <c r="H861" i="3"/>
  <c r="N861" i="3"/>
  <c r="E861" i="3"/>
  <c r="B861" i="3"/>
  <c r="Q869" i="3"/>
  <c r="H869" i="3"/>
  <c r="N869" i="3"/>
  <c r="E869" i="3"/>
  <c r="B869" i="3"/>
  <c r="K869" i="3"/>
  <c r="Q877" i="3"/>
  <c r="H877" i="3"/>
  <c r="N877" i="3"/>
  <c r="E877" i="3"/>
  <c r="B877" i="3"/>
  <c r="K877" i="3"/>
  <c r="Q885" i="3"/>
  <c r="H885" i="3"/>
  <c r="N885" i="3"/>
  <c r="E885" i="3"/>
  <c r="B885" i="3"/>
  <c r="K885" i="3"/>
  <c r="H893" i="3"/>
  <c r="N893" i="3"/>
  <c r="E893" i="3"/>
  <c r="K893" i="3"/>
  <c r="Q893" i="3"/>
  <c r="B893" i="3"/>
  <c r="H901" i="3"/>
  <c r="N901" i="3"/>
  <c r="E901" i="3"/>
  <c r="K901" i="3"/>
  <c r="Q901" i="3"/>
  <c r="B901" i="3"/>
  <c r="H909" i="3"/>
  <c r="N909" i="3"/>
  <c r="E909" i="3"/>
  <c r="K909" i="3"/>
  <c r="Q909" i="3"/>
  <c r="B909" i="3"/>
  <c r="E917" i="3"/>
  <c r="K917" i="3"/>
  <c r="H917" i="3"/>
  <c r="N917" i="3"/>
  <c r="Q917" i="3"/>
  <c r="B917" i="3"/>
  <c r="E925" i="3"/>
  <c r="K925" i="3"/>
  <c r="B925" i="3"/>
  <c r="Q925" i="3"/>
  <c r="H925" i="3"/>
  <c r="N925" i="3"/>
  <c r="K933" i="3"/>
  <c r="B933" i="3"/>
  <c r="H933" i="3"/>
  <c r="Q933" i="3"/>
  <c r="E933" i="3"/>
  <c r="N933" i="3"/>
  <c r="K941" i="3"/>
  <c r="B941" i="3"/>
  <c r="Q941" i="3"/>
  <c r="E941" i="3"/>
  <c r="N941" i="3"/>
  <c r="H941" i="3"/>
  <c r="H949" i="3"/>
  <c r="E949" i="3"/>
  <c r="N949" i="3"/>
  <c r="B949" i="3"/>
  <c r="K949" i="3"/>
  <c r="Q949" i="3"/>
  <c r="K957" i="3"/>
  <c r="B957" i="3"/>
  <c r="Q957" i="3"/>
  <c r="H957" i="3"/>
  <c r="N957" i="3"/>
  <c r="E957" i="3"/>
  <c r="K965" i="3"/>
  <c r="B965" i="3"/>
  <c r="Q965" i="3"/>
  <c r="H965" i="3"/>
  <c r="N965" i="3"/>
  <c r="E965" i="3"/>
  <c r="H973" i="3"/>
  <c r="E973" i="3"/>
  <c r="N973" i="3"/>
  <c r="B973" i="3"/>
  <c r="K973" i="3"/>
  <c r="Q973" i="3"/>
  <c r="N981" i="3"/>
  <c r="Q981" i="3"/>
  <c r="H981" i="3"/>
  <c r="E981" i="3"/>
  <c r="B981" i="3"/>
  <c r="K981" i="3"/>
  <c r="N989" i="3"/>
  <c r="K989" i="3"/>
  <c r="B989" i="3"/>
  <c r="H989" i="3"/>
  <c r="Q989" i="3"/>
  <c r="E989" i="3"/>
  <c r="N997" i="3"/>
  <c r="K997" i="3"/>
  <c r="H997" i="3"/>
  <c r="Q997" i="3"/>
  <c r="B997" i="3"/>
  <c r="E997" i="3"/>
  <c r="E119" i="3"/>
  <c r="K191" i="3"/>
  <c r="N73" i="3"/>
  <c r="E73" i="3"/>
  <c r="K73" i="3"/>
  <c r="B73" i="3"/>
  <c r="Q73" i="3"/>
  <c r="H73" i="3"/>
  <c r="B77" i="3"/>
  <c r="Q77" i="3"/>
  <c r="H77" i="3"/>
  <c r="N77" i="3"/>
  <c r="E77" i="3"/>
  <c r="N81" i="3"/>
  <c r="E81" i="3"/>
  <c r="K81" i="3"/>
  <c r="B81" i="3"/>
  <c r="Q81" i="3"/>
  <c r="H81" i="3"/>
  <c r="B85" i="3"/>
  <c r="Q85" i="3"/>
  <c r="H85" i="3"/>
  <c r="N85" i="3"/>
  <c r="E85" i="3"/>
  <c r="N89" i="3"/>
  <c r="E89" i="3"/>
  <c r="K89" i="3"/>
  <c r="B89" i="3"/>
  <c r="Q89" i="3"/>
  <c r="H89" i="3"/>
  <c r="B93" i="3"/>
  <c r="Q93" i="3"/>
  <c r="H93" i="3"/>
  <c r="N93" i="3"/>
  <c r="E93" i="3"/>
  <c r="N97" i="3"/>
  <c r="E97" i="3"/>
  <c r="K97" i="3"/>
  <c r="B97" i="3"/>
  <c r="Q97" i="3"/>
  <c r="H97" i="3"/>
  <c r="B101" i="3"/>
  <c r="Q101" i="3"/>
  <c r="H101" i="3"/>
  <c r="N101" i="3"/>
  <c r="E101" i="3"/>
  <c r="N105" i="3"/>
  <c r="E105" i="3"/>
  <c r="K105" i="3"/>
  <c r="B105" i="3"/>
  <c r="Q105" i="3"/>
  <c r="H105" i="3"/>
  <c r="B109" i="3"/>
  <c r="Q109" i="3"/>
  <c r="H109" i="3"/>
  <c r="N109" i="3"/>
  <c r="E109" i="3"/>
  <c r="N113" i="3"/>
  <c r="E113" i="3"/>
  <c r="K113" i="3"/>
  <c r="B113" i="3"/>
  <c r="Q113" i="3"/>
  <c r="H113" i="3"/>
  <c r="H117" i="3"/>
  <c r="E117" i="3"/>
  <c r="Q117" i="3"/>
  <c r="N117" i="3"/>
  <c r="B117" i="3"/>
  <c r="Q121" i="3"/>
  <c r="E121" i="3"/>
  <c r="N121" i="3"/>
  <c r="B121" i="3"/>
  <c r="K121" i="3"/>
  <c r="H125" i="3"/>
  <c r="E125" i="3"/>
  <c r="B125" i="3"/>
  <c r="Q125" i="3"/>
  <c r="N125" i="3"/>
  <c r="K125" i="3"/>
  <c r="K129" i="3"/>
  <c r="B129" i="3"/>
  <c r="Q129" i="3"/>
  <c r="N129" i="3"/>
  <c r="H129" i="3"/>
  <c r="E129" i="3"/>
  <c r="H133" i="3"/>
  <c r="N133" i="3"/>
  <c r="E133" i="3"/>
  <c r="K133" i="3"/>
  <c r="B133" i="3"/>
  <c r="Q133" i="3"/>
  <c r="N136" i="3"/>
  <c r="E136" i="3"/>
  <c r="B136" i="3"/>
  <c r="Q136" i="3"/>
  <c r="K136" i="3"/>
  <c r="H136" i="3"/>
  <c r="N144" i="3"/>
  <c r="E144" i="3"/>
  <c r="B144" i="3"/>
  <c r="Q144" i="3"/>
  <c r="K144" i="3"/>
  <c r="H144" i="3"/>
  <c r="N152" i="3"/>
  <c r="E152" i="3"/>
  <c r="B152" i="3"/>
  <c r="Q152" i="3"/>
  <c r="K152" i="3"/>
  <c r="H152" i="3"/>
  <c r="N160" i="3"/>
  <c r="E160" i="3"/>
  <c r="B160" i="3"/>
  <c r="Q160" i="3"/>
  <c r="K160" i="3"/>
  <c r="H160" i="3"/>
  <c r="N168" i="3"/>
  <c r="E168" i="3"/>
  <c r="B168" i="3"/>
  <c r="Q168" i="3"/>
  <c r="K168" i="3"/>
  <c r="H168" i="3"/>
  <c r="N176" i="3"/>
  <c r="E176" i="3"/>
  <c r="B176" i="3"/>
  <c r="Q176" i="3"/>
  <c r="K176" i="3"/>
  <c r="H176" i="3"/>
  <c r="N184" i="3"/>
  <c r="E184" i="3"/>
  <c r="B184" i="3"/>
  <c r="Q184" i="3"/>
  <c r="K184" i="3"/>
  <c r="H184" i="3"/>
  <c r="N192" i="3"/>
  <c r="E192" i="3"/>
  <c r="B192" i="3"/>
  <c r="Q192" i="3"/>
  <c r="K192" i="3"/>
  <c r="H192" i="3"/>
  <c r="N200" i="3"/>
  <c r="E200" i="3"/>
  <c r="B200" i="3"/>
  <c r="Q200" i="3"/>
  <c r="K200" i="3"/>
  <c r="H200" i="3"/>
  <c r="N208" i="3"/>
  <c r="E208" i="3"/>
  <c r="B208" i="3"/>
  <c r="Q208" i="3"/>
  <c r="K208" i="3"/>
  <c r="H208" i="3"/>
  <c r="N216" i="3"/>
  <c r="E216" i="3"/>
  <c r="B216" i="3"/>
  <c r="Q216" i="3"/>
  <c r="K216" i="3"/>
  <c r="H216" i="3"/>
  <c r="N224" i="3"/>
  <c r="E224" i="3"/>
  <c r="B224" i="3"/>
  <c r="Q224" i="3"/>
  <c r="K224" i="3"/>
  <c r="H224" i="3"/>
  <c r="K232" i="3"/>
  <c r="B232" i="3"/>
  <c r="Q232" i="3"/>
  <c r="N232" i="3"/>
  <c r="H232" i="3"/>
  <c r="E232" i="3"/>
  <c r="K240" i="3"/>
  <c r="B240" i="3"/>
  <c r="Q240" i="3"/>
  <c r="N240" i="3"/>
  <c r="E240" i="3"/>
  <c r="H240" i="3"/>
  <c r="K248" i="3"/>
  <c r="B248" i="3"/>
  <c r="Q248" i="3"/>
  <c r="N248" i="3"/>
  <c r="H248" i="3"/>
  <c r="E248" i="3"/>
  <c r="K256" i="3"/>
  <c r="B256" i="3"/>
  <c r="Q256" i="3"/>
  <c r="N256" i="3"/>
  <c r="E256" i="3"/>
  <c r="H256" i="3"/>
  <c r="K264" i="3"/>
  <c r="B264" i="3"/>
  <c r="Q264" i="3"/>
  <c r="N264" i="3"/>
  <c r="H264" i="3"/>
  <c r="E264" i="3"/>
  <c r="K272" i="3"/>
  <c r="B272" i="3"/>
  <c r="Q272" i="3"/>
  <c r="N272" i="3"/>
  <c r="E272" i="3"/>
  <c r="H272" i="3"/>
  <c r="K280" i="3"/>
  <c r="B280" i="3"/>
  <c r="Q280" i="3"/>
  <c r="N280" i="3"/>
  <c r="H280" i="3"/>
  <c r="E280" i="3"/>
  <c r="K288" i="3"/>
  <c r="B288" i="3"/>
  <c r="Q288" i="3"/>
  <c r="N288" i="3"/>
  <c r="E288" i="3"/>
  <c r="H288" i="3"/>
  <c r="K296" i="3"/>
  <c r="B296" i="3"/>
  <c r="Q296" i="3"/>
  <c r="N296" i="3"/>
  <c r="H296" i="3"/>
  <c r="E296" i="3"/>
  <c r="K304" i="3"/>
  <c r="B304" i="3"/>
  <c r="Q304" i="3"/>
  <c r="N304" i="3"/>
  <c r="E304" i="3"/>
  <c r="H304" i="3"/>
  <c r="K312" i="3"/>
  <c r="B312" i="3"/>
  <c r="Q312" i="3"/>
  <c r="N312" i="3"/>
  <c r="H312" i="3"/>
  <c r="E312" i="3"/>
  <c r="K320" i="3"/>
  <c r="B320" i="3"/>
  <c r="Q320" i="3"/>
  <c r="N320" i="3"/>
  <c r="E320" i="3"/>
  <c r="H320" i="3"/>
  <c r="K328" i="3"/>
  <c r="B328" i="3"/>
  <c r="Q328" i="3"/>
  <c r="N328" i="3"/>
  <c r="H328" i="3"/>
  <c r="E328" i="3"/>
  <c r="K336" i="3"/>
  <c r="B336" i="3"/>
  <c r="Q336" i="3"/>
  <c r="N336" i="3"/>
  <c r="E336" i="3"/>
  <c r="H336" i="3"/>
  <c r="K344" i="3"/>
  <c r="B344" i="3"/>
  <c r="Q344" i="3"/>
  <c r="N344" i="3"/>
  <c r="H344" i="3"/>
  <c r="E344" i="3"/>
  <c r="K352" i="3"/>
  <c r="B352" i="3"/>
  <c r="Q352" i="3"/>
  <c r="N352" i="3"/>
  <c r="E352" i="3"/>
  <c r="H352" i="3"/>
  <c r="Q360" i="3"/>
  <c r="H360" i="3"/>
  <c r="N360" i="3"/>
  <c r="B360" i="3"/>
  <c r="K360" i="3"/>
  <c r="E360" i="3"/>
  <c r="K368" i="3"/>
  <c r="B368" i="3"/>
  <c r="Q368" i="3"/>
  <c r="H368" i="3"/>
  <c r="N368" i="3"/>
  <c r="E368" i="3"/>
  <c r="K376" i="3"/>
  <c r="B376" i="3"/>
  <c r="Q376" i="3"/>
  <c r="H376" i="3"/>
  <c r="N376" i="3"/>
  <c r="E376" i="3"/>
  <c r="K384" i="3"/>
  <c r="B384" i="3"/>
  <c r="Q384" i="3"/>
  <c r="H384" i="3"/>
  <c r="N384" i="3"/>
  <c r="E384" i="3"/>
  <c r="K392" i="3"/>
  <c r="B392" i="3"/>
  <c r="Q392" i="3"/>
  <c r="H392" i="3"/>
  <c r="N392" i="3"/>
  <c r="E392" i="3"/>
  <c r="K400" i="3"/>
  <c r="B400" i="3"/>
  <c r="Q400" i="3"/>
  <c r="H400" i="3"/>
  <c r="N400" i="3"/>
  <c r="E400" i="3"/>
  <c r="K408" i="3"/>
  <c r="B408" i="3"/>
  <c r="Q408" i="3"/>
  <c r="H408" i="3"/>
  <c r="N408" i="3"/>
  <c r="E408" i="3"/>
  <c r="B416" i="3"/>
  <c r="K416" i="3"/>
  <c r="Q416" i="3"/>
  <c r="E416" i="3"/>
  <c r="N416" i="3"/>
  <c r="H416" i="3"/>
  <c r="B424" i="3"/>
  <c r="Q424" i="3"/>
  <c r="H424" i="3"/>
  <c r="E424" i="3"/>
  <c r="K424" i="3"/>
  <c r="N424" i="3"/>
  <c r="B432" i="3"/>
  <c r="Q432" i="3"/>
  <c r="H432" i="3"/>
  <c r="E432" i="3"/>
  <c r="N432" i="3"/>
  <c r="K432" i="3"/>
  <c r="B440" i="3"/>
  <c r="Q440" i="3"/>
  <c r="H440" i="3"/>
  <c r="E440" i="3"/>
  <c r="K440" i="3"/>
  <c r="N440" i="3"/>
  <c r="B448" i="3"/>
  <c r="Q448" i="3"/>
  <c r="H448" i="3"/>
  <c r="E448" i="3"/>
  <c r="N448" i="3"/>
  <c r="K448" i="3"/>
  <c r="B456" i="3"/>
  <c r="Q456" i="3"/>
  <c r="H456" i="3"/>
  <c r="E456" i="3"/>
  <c r="K456" i="3"/>
  <c r="N456" i="3"/>
  <c r="B464" i="3"/>
  <c r="Q464" i="3"/>
  <c r="H464" i="3"/>
  <c r="E464" i="3"/>
  <c r="N464" i="3"/>
  <c r="K464" i="3"/>
  <c r="E472" i="3"/>
  <c r="K472" i="3"/>
  <c r="B472" i="3"/>
  <c r="H472" i="3"/>
  <c r="Q472" i="3"/>
  <c r="N472" i="3"/>
  <c r="E480" i="3"/>
  <c r="K480" i="3"/>
  <c r="B480" i="3"/>
  <c r="H480" i="3"/>
  <c r="Q480" i="3"/>
  <c r="N480" i="3"/>
  <c r="E488" i="3"/>
  <c r="K488" i="3"/>
  <c r="B488" i="3"/>
  <c r="H488" i="3"/>
  <c r="Q488" i="3"/>
  <c r="N488" i="3"/>
  <c r="E496" i="3"/>
  <c r="K496" i="3"/>
  <c r="B496" i="3"/>
  <c r="H496" i="3"/>
  <c r="Q496" i="3"/>
  <c r="N496" i="3"/>
  <c r="E504" i="3"/>
  <c r="K504" i="3"/>
  <c r="B504" i="3"/>
  <c r="H504" i="3"/>
  <c r="Q504" i="3"/>
  <c r="N504" i="3"/>
  <c r="E512" i="3"/>
  <c r="K512" i="3"/>
  <c r="B512" i="3"/>
  <c r="H512" i="3"/>
  <c r="Q512" i="3"/>
  <c r="N512" i="3"/>
  <c r="E520" i="3"/>
  <c r="K520" i="3"/>
  <c r="B520" i="3"/>
  <c r="H520" i="3"/>
  <c r="Q520" i="3"/>
  <c r="N520" i="3"/>
  <c r="E528" i="3"/>
  <c r="K528" i="3"/>
  <c r="B528" i="3"/>
  <c r="H528" i="3"/>
  <c r="Q528" i="3"/>
  <c r="N528" i="3"/>
  <c r="Q536" i="3"/>
  <c r="H536" i="3"/>
  <c r="N536" i="3"/>
  <c r="K536" i="3"/>
  <c r="E536" i="3"/>
  <c r="B536" i="3"/>
  <c r="Q544" i="3"/>
  <c r="H544" i="3"/>
  <c r="N544" i="3"/>
  <c r="E544" i="3"/>
  <c r="K544" i="3"/>
  <c r="B544" i="3"/>
  <c r="Q552" i="3"/>
  <c r="H552" i="3"/>
  <c r="N552" i="3"/>
  <c r="E552" i="3"/>
  <c r="K552" i="3"/>
  <c r="B552" i="3"/>
  <c r="Q560" i="3"/>
  <c r="H560" i="3"/>
  <c r="N560" i="3"/>
  <c r="E560" i="3"/>
  <c r="K560" i="3"/>
  <c r="B560" i="3"/>
  <c r="Q568" i="3"/>
  <c r="H568" i="3"/>
  <c r="N568" i="3"/>
  <c r="E568" i="3"/>
  <c r="K568" i="3"/>
  <c r="B568" i="3"/>
  <c r="Q576" i="3"/>
  <c r="H576" i="3"/>
  <c r="N576" i="3"/>
  <c r="E576" i="3"/>
  <c r="K576" i="3"/>
  <c r="B576" i="3"/>
  <c r="Q584" i="3"/>
  <c r="H584" i="3"/>
  <c r="N584" i="3"/>
  <c r="E584" i="3"/>
  <c r="K584" i="3"/>
  <c r="B584" i="3"/>
  <c r="Q592" i="3"/>
  <c r="H592" i="3"/>
  <c r="N592" i="3"/>
  <c r="E592" i="3"/>
  <c r="K592" i="3"/>
  <c r="B592" i="3"/>
  <c r="K600" i="3"/>
  <c r="B600" i="3"/>
  <c r="Q600" i="3"/>
  <c r="H600" i="3"/>
  <c r="N600" i="3"/>
  <c r="E600" i="3"/>
  <c r="K608" i="3"/>
  <c r="B608" i="3"/>
  <c r="Q608" i="3"/>
  <c r="H608" i="3"/>
  <c r="N608" i="3"/>
  <c r="E608" i="3"/>
  <c r="K616" i="3"/>
  <c r="B616" i="3"/>
  <c r="Q616" i="3"/>
  <c r="H616" i="3"/>
  <c r="N616" i="3"/>
  <c r="E616" i="3"/>
  <c r="K624" i="3"/>
  <c r="B624" i="3"/>
  <c r="Q624" i="3"/>
  <c r="H624" i="3"/>
  <c r="N624" i="3"/>
  <c r="E624" i="3"/>
  <c r="K632" i="3"/>
  <c r="B632" i="3"/>
  <c r="Q632" i="3"/>
  <c r="H632" i="3"/>
  <c r="N632" i="3"/>
  <c r="E632" i="3"/>
  <c r="K640" i="3"/>
  <c r="B640" i="3"/>
  <c r="Q640" i="3"/>
  <c r="H640" i="3"/>
  <c r="N640" i="3"/>
  <c r="E640" i="3"/>
  <c r="K648" i="3"/>
  <c r="B648" i="3"/>
  <c r="Q648" i="3"/>
  <c r="H648" i="3"/>
  <c r="N648" i="3"/>
  <c r="E648" i="3"/>
  <c r="K656" i="3"/>
  <c r="B656" i="3"/>
  <c r="Q656" i="3"/>
  <c r="H656" i="3"/>
  <c r="N656" i="3"/>
  <c r="E656" i="3"/>
  <c r="K664" i="3"/>
  <c r="B664" i="3"/>
  <c r="Q664" i="3"/>
  <c r="H664" i="3"/>
  <c r="N664" i="3"/>
  <c r="E664" i="3"/>
  <c r="B672" i="3"/>
  <c r="Q672" i="3"/>
  <c r="H672" i="3"/>
  <c r="N672" i="3"/>
  <c r="E672" i="3"/>
  <c r="K672" i="3"/>
  <c r="B680" i="3"/>
  <c r="Q680" i="3"/>
  <c r="H680" i="3"/>
  <c r="N680" i="3"/>
  <c r="E680" i="3"/>
  <c r="K680" i="3"/>
  <c r="B688" i="3"/>
  <c r="Q688" i="3"/>
  <c r="H688" i="3"/>
  <c r="N688" i="3"/>
  <c r="E688" i="3"/>
  <c r="K688" i="3"/>
  <c r="B696" i="3"/>
  <c r="Q696" i="3"/>
  <c r="H696" i="3"/>
  <c r="N696" i="3"/>
  <c r="K696" i="3"/>
  <c r="E696" i="3"/>
  <c r="B704" i="3"/>
  <c r="Q704" i="3"/>
  <c r="H704" i="3"/>
  <c r="N704" i="3"/>
  <c r="K704" i="3"/>
  <c r="E704" i="3"/>
  <c r="B712" i="3"/>
  <c r="Q712" i="3"/>
  <c r="H712" i="3"/>
  <c r="N712" i="3"/>
  <c r="K712" i="3"/>
  <c r="E712" i="3"/>
  <c r="B720" i="3"/>
  <c r="Q720" i="3"/>
  <c r="H720" i="3"/>
  <c r="N720" i="3"/>
  <c r="K720" i="3"/>
  <c r="E720" i="3"/>
  <c r="B728" i="3"/>
  <c r="Q728" i="3"/>
  <c r="H728" i="3"/>
  <c r="N728" i="3"/>
  <c r="K728" i="3"/>
  <c r="E728" i="3"/>
  <c r="B736" i="3"/>
  <c r="Q736" i="3"/>
  <c r="H736" i="3"/>
  <c r="N736" i="3"/>
  <c r="K736" i="3"/>
  <c r="E736" i="3"/>
  <c r="B744" i="3"/>
  <c r="Q744" i="3"/>
  <c r="H744" i="3"/>
  <c r="N744" i="3"/>
  <c r="K744" i="3"/>
  <c r="E744" i="3"/>
  <c r="B752" i="3"/>
  <c r="Q752" i="3"/>
  <c r="H752" i="3"/>
  <c r="N752" i="3"/>
  <c r="K752" i="3"/>
  <c r="E752" i="3"/>
  <c r="K760" i="3"/>
  <c r="B760" i="3"/>
  <c r="Q760" i="3"/>
  <c r="H760" i="3"/>
  <c r="N760" i="3"/>
  <c r="E760" i="3"/>
  <c r="K768" i="3"/>
  <c r="B768" i="3"/>
  <c r="Q768" i="3"/>
  <c r="H768" i="3"/>
  <c r="N768" i="3"/>
  <c r="E768" i="3"/>
  <c r="K776" i="3"/>
  <c r="B776" i="3"/>
  <c r="Q776" i="3"/>
  <c r="H776" i="3"/>
  <c r="N776" i="3"/>
  <c r="E776" i="3"/>
  <c r="K784" i="3"/>
  <c r="B784" i="3"/>
  <c r="Q784" i="3"/>
  <c r="H784" i="3"/>
  <c r="N784" i="3"/>
  <c r="E784" i="3"/>
  <c r="K792" i="3"/>
  <c r="B792" i="3"/>
  <c r="Q792" i="3"/>
  <c r="H792" i="3"/>
  <c r="N792" i="3"/>
  <c r="E792" i="3"/>
  <c r="K800" i="3"/>
  <c r="B800" i="3"/>
  <c r="Q800" i="3"/>
  <c r="H800" i="3"/>
  <c r="N800" i="3"/>
  <c r="E800" i="3"/>
  <c r="K808" i="3"/>
  <c r="B808" i="3"/>
  <c r="Q808" i="3"/>
  <c r="H808" i="3"/>
  <c r="N808" i="3"/>
  <c r="E808" i="3"/>
  <c r="K816" i="3"/>
  <c r="B816" i="3"/>
  <c r="Q816" i="3"/>
  <c r="H816" i="3"/>
  <c r="N816" i="3"/>
  <c r="E816" i="3"/>
  <c r="H824" i="3"/>
  <c r="N824" i="3"/>
  <c r="E824" i="3"/>
  <c r="K824" i="3"/>
  <c r="Q824" i="3"/>
  <c r="B824" i="3"/>
  <c r="H832" i="3"/>
  <c r="N832" i="3"/>
  <c r="E832" i="3"/>
  <c r="K832" i="3"/>
  <c r="Q832" i="3"/>
  <c r="B832" i="3"/>
  <c r="H840" i="3"/>
  <c r="N840" i="3"/>
  <c r="E840" i="3"/>
  <c r="K840" i="3"/>
  <c r="Q840" i="3"/>
  <c r="B840" i="3"/>
  <c r="H848" i="3"/>
  <c r="N848" i="3"/>
  <c r="E848" i="3"/>
  <c r="K848" i="3"/>
  <c r="Q848" i="3"/>
  <c r="B848" i="3"/>
  <c r="H856" i="3"/>
  <c r="N856" i="3"/>
  <c r="E856" i="3"/>
  <c r="K856" i="3"/>
  <c r="Q856" i="3"/>
  <c r="B856" i="3"/>
  <c r="H864" i="3"/>
  <c r="N864" i="3"/>
  <c r="E864" i="3"/>
  <c r="K864" i="3"/>
  <c r="Q864" i="3"/>
  <c r="B864" i="3"/>
  <c r="H872" i="3"/>
  <c r="N872" i="3"/>
  <c r="E872" i="3"/>
  <c r="K872" i="3"/>
  <c r="Q872" i="3"/>
  <c r="B872" i="3"/>
  <c r="H880" i="3"/>
  <c r="N880" i="3"/>
  <c r="E880" i="3"/>
  <c r="K880" i="3"/>
  <c r="Q880" i="3"/>
  <c r="B880" i="3"/>
  <c r="N888" i="3"/>
  <c r="H888" i="3"/>
  <c r="E888" i="3"/>
  <c r="Q888" i="3"/>
  <c r="K888" i="3"/>
  <c r="B888" i="3"/>
  <c r="N896" i="3"/>
  <c r="E896" i="3"/>
  <c r="K896" i="3"/>
  <c r="B896" i="3"/>
  <c r="H896" i="3"/>
  <c r="Q896" i="3"/>
  <c r="N904" i="3"/>
  <c r="E904" i="3"/>
  <c r="K904" i="3"/>
  <c r="B904" i="3"/>
  <c r="H904" i="3"/>
  <c r="Q904" i="3"/>
  <c r="N912" i="3"/>
  <c r="E912" i="3"/>
  <c r="K912" i="3"/>
  <c r="B912" i="3"/>
  <c r="H912" i="3"/>
  <c r="Q912" i="3"/>
  <c r="K920" i="3"/>
  <c r="B920" i="3"/>
  <c r="Q920" i="3"/>
  <c r="H920" i="3"/>
  <c r="N920" i="3"/>
  <c r="E920" i="3"/>
  <c r="K928" i="3"/>
  <c r="B928" i="3"/>
  <c r="Q928" i="3"/>
  <c r="H928" i="3"/>
  <c r="E928" i="3"/>
  <c r="N928" i="3"/>
  <c r="K936" i="3"/>
  <c r="B936" i="3"/>
  <c r="Q936" i="3"/>
  <c r="N936" i="3"/>
  <c r="H936" i="3"/>
  <c r="E936" i="3"/>
  <c r="K944" i="3"/>
  <c r="B944" i="3"/>
  <c r="Q944" i="3"/>
  <c r="H944" i="3"/>
  <c r="E944" i="3"/>
  <c r="N944" i="3"/>
  <c r="K952" i="3"/>
  <c r="E952" i="3"/>
  <c r="Q952" i="3"/>
  <c r="B952" i="3"/>
  <c r="N952" i="3"/>
  <c r="H952" i="3"/>
  <c r="N960" i="3"/>
  <c r="Q960" i="3"/>
  <c r="H960" i="3"/>
  <c r="E960" i="3"/>
  <c r="K960" i="3"/>
  <c r="B960" i="3"/>
  <c r="Q968" i="3"/>
  <c r="H968" i="3"/>
  <c r="B968" i="3"/>
  <c r="K968" i="3"/>
  <c r="E968" i="3"/>
  <c r="N968" i="3"/>
  <c r="N976" i="3"/>
  <c r="K976" i="3"/>
  <c r="H976" i="3"/>
  <c r="Q976" i="3"/>
  <c r="E976" i="3"/>
  <c r="B976" i="3"/>
  <c r="E984" i="3"/>
  <c r="Q984" i="3"/>
  <c r="B984" i="3"/>
  <c r="N984" i="3"/>
  <c r="K984" i="3"/>
  <c r="H984" i="3"/>
  <c r="E992" i="3"/>
  <c r="Q992" i="3"/>
  <c r="H992" i="3"/>
  <c r="K992" i="3"/>
  <c r="N992" i="3"/>
  <c r="B992" i="3"/>
  <c r="E1000" i="3"/>
  <c r="G1000" i="3" s="1"/>
  <c r="K1000" i="3"/>
  <c r="M1000" i="3" s="1"/>
  <c r="B1000" i="3"/>
  <c r="D1000" i="3" s="1"/>
  <c r="N1000" i="3"/>
  <c r="P1000" i="3" s="1"/>
  <c r="Q1000" i="3"/>
  <c r="S1000" i="3" s="1"/>
  <c r="H1000" i="3"/>
  <c r="J1000" i="3" s="1"/>
  <c r="E79" i="3"/>
  <c r="Q91" i="3"/>
  <c r="K101" i="3"/>
  <c r="E111" i="3"/>
  <c r="K207" i="3"/>
  <c r="Q292" i="3"/>
  <c r="N139" i="3"/>
  <c r="E139" i="3"/>
  <c r="K139" i="3"/>
  <c r="Q139" i="3"/>
  <c r="H139" i="3"/>
  <c r="B139" i="3"/>
  <c r="N147" i="3"/>
  <c r="E147" i="3"/>
  <c r="K147" i="3"/>
  <c r="Q147" i="3"/>
  <c r="H147" i="3"/>
  <c r="B147" i="3"/>
  <c r="N155" i="3"/>
  <c r="E155" i="3"/>
  <c r="K155" i="3"/>
  <c r="Q155" i="3"/>
  <c r="H155" i="3"/>
  <c r="B155" i="3"/>
  <c r="N163" i="3"/>
  <c r="E163" i="3"/>
  <c r="K163" i="3"/>
  <c r="Q163" i="3"/>
  <c r="H163" i="3"/>
  <c r="B163" i="3"/>
  <c r="N171" i="3"/>
  <c r="E171" i="3"/>
  <c r="K171" i="3"/>
  <c r="Q171" i="3"/>
  <c r="H171" i="3"/>
  <c r="B171" i="3"/>
  <c r="N179" i="3"/>
  <c r="E179" i="3"/>
  <c r="K179" i="3"/>
  <c r="Q179" i="3"/>
  <c r="H179" i="3"/>
  <c r="B179" i="3"/>
  <c r="N187" i="3"/>
  <c r="E187" i="3"/>
  <c r="K187" i="3"/>
  <c r="Q187" i="3"/>
  <c r="H187" i="3"/>
  <c r="B187" i="3"/>
  <c r="N195" i="3"/>
  <c r="E195" i="3"/>
  <c r="K195" i="3"/>
  <c r="Q195" i="3"/>
  <c r="H195" i="3"/>
  <c r="B195" i="3"/>
  <c r="N203" i="3"/>
  <c r="E203" i="3"/>
  <c r="K203" i="3"/>
  <c r="Q203" i="3"/>
  <c r="H203" i="3"/>
  <c r="B203" i="3"/>
  <c r="N211" i="3"/>
  <c r="E211" i="3"/>
  <c r="K211" i="3"/>
  <c r="Q211" i="3"/>
  <c r="H211" i="3"/>
  <c r="B211" i="3"/>
  <c r="N219" i="3"/>
  <c r="E219" i="3"/>
  <c r="K219" i="3"/>
  <c r="Q219" i="3"/>
  <c r="H219" i="3"/>
  <c r="B219" i="3"/>
  <c r="N227" i="3"/>
  <c r="E227" i="3"/>
  <c r="K227" i="3"/>
  <c r="Q227" i="3"/>
  <c r="H227" i="3"/>
  <c r="B227" i="3"/>
  <c r="K235" i="3"/>
  <c r="B235" i="3"/>
  <c r="Q235" i="3"/>
  <c r="H235" i="3"/>
  <c r="N235" i="3"/>
  <c r="E235" i="3"/>
  <c r="K243" i="3"/>
  <c r="B243" i="3"/>
  <c r="Q243" i="3"/>
  <c r="H243" i="3"/>
  <c r="N243" i="3"/>
  <c r="E243" i="3"/>
  <c r="K251" i="3"/>
  <c r="B251" i="3"/>
  <c r="Q251" i="3"/>
  <c r="H251" i="3"/>
  <c r="N251" i="3"/>
  <c r="E251" i="3"/>
  <c r="K259" i="3"/>
  <c r="B259" i="3"/>
  <c r="Q259" i="3"/>
  <c r="H259" i="3"/>
  <c r="N259" i="3"/>
  <c r="E259" i="3"/>
  <c r="K267" i="3"/>
  <c r="B267" i="3"/>
  <c r="Q267" i="3"/>
  <c r="H267" i="3"/>
  <c r="N267" i="3"/>
  <c r="E267" i="3"/>
  <c r="K275" i="3"/>
  <c r="B275" i="3"/>
  <c r="Q275" i="3"/>
  <c r="H275" i="3"/>
  <c r="N275" i="3"/>
  <c r="E275" i="3"/>
  <c r="K283" i="3"/>
  <c r="B283" i="3"/>
  <c r="Q283" i="3"/>
  <c r="H283" i="3"/>
  <c r="N283" i="3"/>
  <c r="E283" i="3"/>
  <c r="K291" i="3"/>
  <c r="B291" i="3"/>
  <c r="Q291" i="3"/>
  <c r="H291" i="3"/>
  <c r="N291" i="3"/>
  <c r="E291" i="3"/>
  <c r="K299" i="3"/>
  <c r="B299" i="3"/>
  <c r="Q299" i="3"/>
  <c r="H299" i="3"/>
  <c r="N299" i="3"/>
  <c r="E299" i="3"/>
  <c r="K307" i="3"/>
  <c r="B307" i="3"/>
  <c r="Q307" i="3"/>
  <c r="H307" i="3"/>
  <c r="N307" i="3"/>
  <c r="E307" i="3"/>
  <c r="K315" i="3"/>
  <c r="B315" i="3"/>
  <c r="Q315" i="3"/>
  <c r="H315" i="3"/>
  <c r="N315" i="3"/>
  <c r="E315" i="3"/>
  <c r="K323" i="3"/>
  <c r="B323" i="3"/>
  <c r="Q323" i="3"/>
  <c r="H323" i="3"/>
  <c r="N323" i="3"/>
  <c r="E323" i="3"/>
  <c r="K331" i="3"/>
  <c r="B331" i="3"/>
  <c r="Q331" i="3"/>
  <c r="H331" i="3"/>
  <c r="N331" i="3"/>
  <c r="E331" i="3"/>
  <c r="K339" i="3"/>
  <c r="B339" i="3"/>
  <c r="Q339" i="3"/>
  <c r="H339" i="3"/>
  <c r="N339" i="3"/>
  <c r="E339" i="3"/>
  <c r="K347" i="3"/>
  <c r="B347" i="3"/>
  <c r="Q347" i="3"/>
  <c r="H347" i="3"/>
  <c r="N347" i="3"/>
  <c r="E347" i="3"/>
  <c r="K355" i="3"/>
  <c r="B355" i="3"/>
  <c r="Q355" i="3"/>
  <c r="H355" i="3"/>
  <c r="N355" i="3"/>
  <c r="E355" i="3"/>
  <c r="B363" i="3"/>
  <c r="Q363" i="3"/>
  <c r="H363" i="3"/>
  <c r="E363" i="3"/>
  <c r="K363" i="3"/>
  <c r="N363" i="3"/>
  <c r="B371" i="3"/>
  <c r="Q371" i="3"/>
  <c r="H371" i="3"/>
  <c r="E371" i="3"/>
  <c r="N371" i="3"/>
  <c r="K371" i="3"/>
  <c r="B379" i="3"/>
  <c r="Q379" i="3"/>
  <c r="H379" i="3"/>
  <c r="E379" i="3"/>
  <c r="K379" i="3"/>
  <c r="N379" i="3"/>
  <c r="B387" i="3"/>
  <c r="Q387" i="3"/>
  <c r="H387" i="3"/>
  <c r="E387" i="3"/>
  <c r="N387" i="3"/>
  <c r="K387" i="3"/>
  <c r="B395" i="3"/>
  <c r="Q395" i="3"/>
  <c r="H395" i="3"/>
  <c r="E395" i="3"/>
  <c r="K395" i="3"/>
  <c r="N395" i="3"/>
  <c r="B403" i="3"/>
  <c r="Q403" i="3"/>
  <c r="H403" i="3"/>
  <c r="E403" i="3"/>
  <c r="N403" i="3"/>
  <c r="K403" i="3"/>
  <c r="Q411" i="3"/>
  <c r="N411" i="3"/>
  <c r="B411" i="3"/>
  <c r="K411" i="3"/>
  <c r="H411" i="3"/>
  <c r="E411" i="3"/>
  <c r="Q419" i="3"/>
  <c r="H419" i="3"/>
  <c r="N419" i="3"/>
  <c r="K419" i="3"/>
  <c r="B419" i="3"/>
  <c r="E419" i="3"/>
  <c r="Q427" i="3"/>
  <c r="H427" i="3"/>
  <c r="N427" i="3"/>
  <c r="K427" i="3"/>
  <c r="E427" i="3"/>
  <c r="B427" i="3"/>
  <c r="Q435" i="3"/>
  <c r="H435" i="3"/>
  <c r="N435" i="3"/>
  <c r="K435" i="3"/>
  <c r="B435" i="3"/>
  <c r="E435" i="3"/>
  <c r="Q443" i="3"/>
  <c r="H443" i="3"/>
  <c r="N443" i="3"/>
  <c r="K443" i="3"/>
  <c r="E443" i="3"/>
  <c r="B443" i="3"/>
  <c r="Q451" i="3"/>
  <c r="H451" i="3"/>
  <c r="N451" i="3"/>
  <c r="K451" i="3"/>
  <c r="B451" i="3"/>
  <c r="E451" i="3"/>
  <c r="Q459" i="3"/>
  <c r="H459" i="3"/>
  <c r="N459" i="3"/>
  <c r="K459" i="3"/>
  <c r="E459" i="3"/>
  <c r="B459" i="3"/>
  <c r="K467" i="3"/>
  <c r="Q467" i="3"/>
  <c r="N467" i="3"/>
  <c r="B467" i="3"/>
  <c r="H467" i="3"/>
  <c r="E467" i="3"/>
  <c r="K475" i="3"/>
  <c r="B475" i="3"/>
  <c r="Q475" i="3"/>
  <c r="N475" i="3"/>
  <c r="H475" i="3"/>
  <c r="E475" i="3"/>
  <c r="K483" i="3"/>
  <c r="B483" i="3"/>
  <c r="Q483" i="3"/>
  <c r="N483" i="3"/>
  <c r="H483" i="3"/>
  <c r="E483" i="3"/>
  <c r="K491" i="3"/>
  <c r="B491" i="3"/>
  <c r="Q491" i="3"/>
  <c r="N491" i="3"/>
  <c r="H491" i="3"/>
  <c r="E491" i="3"/>
  <c r="K499" i="3"/>
  <c r="B499" i="3"/>
  <c r="Q499" i="3"/>
  <c r="N499" i="3"/>
  <c r="H499" i="3"/>
  <c r="E499" i="3"/>
  <c r="K507" i="3"/>
  <c r="B507" i="3"/>
  <c r="Q507" i="3"/>
  <c r="N507" i="3"/>
  <c r="H507" i="3"/>
  <c r="E507" i="3"/>
  <c r="K515" i="3"/>
  <c r="B515" i="3"/>
  <c r="Q515" i="3"/>
  <c r="N515" i="3"/>
  <c r="H515" i="3"/>
  <c r="E515" i="3"/>
  <c r="K523" i="3"/>
  <c r="B523" i="3"/>
  <c r="Q523" i="3"/>
  <c r="N523" i="3"/>
  <c r="H523" i="3"/>
  <c r="E523" i="3"/>
  <c r="K531" i="3"/>
  <c r="B531" i="3"/>
  <c r="Q531" i="3"/>
  <c r="N531" i="3"/>
  <c r="H531" i="3"/>
  <c r="E531" i="3"/>
  <c r="H539" i="3"/>
  <c r="N539" i="3"/>
  <c r="E539" i="3"/>
  <c r="K539" i="3"/>
  <c r="B539" i="3"/>
  <c r="Q539" i="3"/>
  <c r="H547" i="3"/>
  <c r="N547" i="3"/>
  <c r="E547" i="3"/>
  <c r="K547" i="3"/>
  <c r="B547" i="3"/>
  <c r="Q547" i="3"/>
  <c r="H555" i="3"/>
  <c r="N555" i="3"/>
  <c r="E555" i="3"/>
  <c r="K555" i="3"/>
  <c r="B555" i="3"/>
  <c r="Q555" i="3"/>
  <c r="H563" i="3"/>
  <c r="N563" i="3"/>
  <c r="E563" i="3"/>
  <c r="K563" i="3"/>
  <c r="B563" i="3"/>
  <c r="Q563" i="3"/>
  <c r="H571" i="3"/>
  <c r="N571" i="3"/>
  <c r="E571" i="3"/>
  <c r="K571" i="3"/>
  <c r="B571" i="3"/>
  <c r="Q571" i="3"/>
  <c r="H579" i="3"/>
  <c r="N579" i="3"/>
  <c r="E579" i="3"/>
  <c r="K579" i="3"/>
  <c r="B579" i="3"/>
  <c r="Q579" i="3"/>
  <c r="H587" i="3"/>
  <c r="N587" i="3"/>
  <c r="E587" i="3"/>
  <c r="K587" i="3"/>
  <c r="B587" i="3"/>
  <c r="Q587" i="3"/>
  <c r="H595" i="3"/>
  <c r="N595" i="3"/>
  <c r="E595" i="3"/>
  <c r="K595" i="3"/>
  <c r="B595" i="3"/>
  <c r="Q595" i="3"/>
  <c r="B603" i="3"/>
  <c r="Q603" i="3"/>
  <c r="H603" i="3"/>
  <c r="N603" i="3"/>
  <c r="E603" i="3"/>
  <c r="K603" i="3"/>
  <c r="B611" i="3"/>
  <c r="Q611" i="3"/>
  <c r="H611" i="3"/>
  <c r="N611" i="3"/>
  <c r="E611" i="3"/>
  <c r="K611" i="3"/>
  <c r="B619" i="3"/>
  <c r="Q619" i="3"/>
  <c r="H619" i="3"/>
  <c r="N619" i="3"/>
  <c r="E619" i="3"/>
  <c r="K619" i="3"/>
  <c r="B627" i="3"/>
  <c r="Q627" i="3"/>
  <c r="H627" i="3"/>
  <c r="N627" i="3"/>
  <c r="E627" i="3"/>
  <c r="K627" i="3"/>
  <c r="B635" i="3"/>
  <c r="Q635" i="3"/>
  <c r="H635" i="3"/>
  <c r="N635" i="3"/>
  <c r="E635" i="3"/>
  <c r="K635" i="3"/>
  <c r="B643" i="3"/>
  <c r="Q643" i="3"/>
  <c r="H643" i="3"/>
  <c r="N643" i="3"/>
  <c r="E643" i="3"/>
  <c r="K643" i="3"/>
  <c r="B651" i="3"/>
  <c r="Q651" i="3"/>
  <c r="H651" i="3"/>
  <c r="N651" i="3"/>
  <c r="E651" i="3"/>
  <c r="K651" i="3"/>
  <c r="B659" i="3"/>
  <c r="Q659" i="3"/>
  <c r="H659" i="3"/>
  <c r="N659" i="3"/>
  <c r="E659" i="3"/>
  <c r="K659" i="3"/>
  <c r="Q667" i="3"/>
  <c r="H667" i="3"/>
  <c r="N667" i="3"/>
  <c r="E667" i="3"/>
  <c r="K667" i="3"/>
  <c r="B667" i="3"/>
  <c r="Q675" i="3"/>
  <c r="H675" i="3"/>
  <c r="N675" i="3"/>
  <c r="E675" i="3"/>
  <c r="K675" i="3"/>
  <c r="B675" i="3"/>
  <c r="Q683" i="3"/>
  <c r="H683" i="3"/>
  <c r="N683" i="3"/>
  <c r="E683" i="3"/>
  <c r="K683" i="3"/>
  <c r="B683" i="3"/>
  <c r="Q691" i="3"/>
  <c r="H691" i="3"/>
  <c r="N691" i="3"/>
  <c r="E691" i="3"/>
  <c r="B691" i="3"/>
  <c r="K691" i="3"/>
  <c r="Q699" i="3"/>
  <c r="H699" i="3"/>
  <c r="N699" i="3"/>
  <c r="E699" i="3"/>
  <c r="B699" i="3"/>
  <c r="K699" i="3"/>
  <c r="Q707" i="3"/>
  <c r="H707" i="3"/>
  <c r="N707" i="3"/>
  <c r="E707" i="3"/>
  <c r="B707" i="3"/>
  <c r="K707" i="3"/>
  <c r="Q715" i="3"/>
  <c r="H715" i="3"/>
  <c r="N715" i="3"/>
  <c r="E715" i="3"/>
  <c r="B715" i="3"/>
  <c r="K715" i="3"/>
  <c r="Q723" i="3"/>
  <c r="H723" i="3"/>
  <c r="N723" i="3"/>
  <c r="E723" i="3"/>
  <c r="B723" i="3"/>
  <c r="K723" i="3"/>
  <c r="Q731" i="3"/>
  <c r="H731" i="3"/>
  <c r="N731" i="3"/>
  <c r="E731" i="3"/>
  <c r="B731" i="3"/>
  <c r="K731" i="3"/>
  <c r="Q739" i="3"/>
  <c r="H739" i="3"/>
  <c r="N739" i="3"/>
  <c r="E739" i="3"/>
  <c r="B739" i="3"/>
  <c r="K739" i="3"/>
  <c r="Q747" i="3"/>
  <c r="H747" i="3"/>
  <c r="N747" i="3"/>
  <c r="E747" i="3"/>
  <c r="B747" i="3"/>
  <c r="K747" i="3"/>
  <c r="B755" i="3"/>
  <c r="Q755" i="3"/>
  <c r="H755" i="3"/>
  <c r="N755" i="3"/>
  <c r="K755" i="3"/>
  <c r="E755" i="3"/>
  <c r="B763" i="3"/>
  <c r="Q763" i="3"/>
  <c r="H763" i="3"/>
  <c r="N763" i="3"/>
  <c r="E763" i="3"/>
  <c r="K763" i="3"/>
  <c r="B771" i="3"/>
  <c r="Q771" i="3"/>
  <c r="H771" i="3"/>
  <c r="N771" i="3"/>
  <c r="E771" i="3"/>
  <c r="K771" i="3"/>
  <c r="B779" i="3"/>
  <c r="Q779" i="3"/>
  <c r="H779" i="3"/>
  <c r="N779" i="3"/>
  <c r="E779" i="3"/>
  <c r="K779" i="3"/>
  <c r="B787" i="3"/>
  <c r="Q787" i="3"/>
  <c r="H787" i="3"/>
  <c r="N787" i="3"/>
  <c r="E787" i="3"/>
  <c r="K787" i="3"/>
  <c r="B795" i="3"/>
  <c r="Q795" i="3"/>
  <c r="H795" i="3"/>
  <c r="N795" i="3"/>
  <c r="E795" i="3"/>
  <c r="K795" i="3"/>
  <c r="B803" i="3"/>
  <c r="Q803" i="3"/>
  <c r="H803" i="3"/>
  <c r="N803" i="3"/>
  <c r="E803" i="3"/>
  <c r="K803" i="3"/>
  <c r="B811" i="3"/>
  <c r="Q811" i="3"/>
  <c r="H811" i="3"/>
  <c r="N811" i="3"/>
  <c r="E811" i="3"/>
  <c r="K811" i="3"/>
  <c r="N819" i="3"/>
  <c r="E819" i="3"/>
  <c r="K819" i="3"/>
  <c r="H819" i="3"/>
  <c r="B819" i="3"/>
  <c r="Q819" i="3"/>
  <c r="N827" i="3"/>
  <c r="E827" i="3"/>
  <c r="K827" i="3"/>
  <c r="B827" i="3"/>
  <c r="H827" i="3"/>
  <c r="Q827" i="3"/>
  <c r="N835" i="3"/>
  <c r="E835" i="3"/>
  <c r="K835" i="3"/>
  <c r="B835" i="3"/>
  <c r="H835" i="3"/>
  <c r="Q835" i="3"/>
  <c r="N843" i="3"/>
  <c r="E843" i="3"/>
  <c r="K843" i="3"/>
  <c r="B843" i="3"/>
  <c r="H843" i="3"/>
  <c r="Q843" i="3"/>
  <c r="N851" i="3"/>
  <c r="E851" i="3"/>
  <c r="K851" i="3"/>
  <c r="B851" i="3"/>
  <c r="H851" i="3"/>
  <c r="Q851" i="3"/>
  <c r="N859" i="3"/>
  <c r="E859" i="3"/>
  <c r="K859" i="3"/>
  <c r="B859" i="3"/>
  <c r="H859" i="3"/>
  <c r="Q859" i="3"/>
  <c r="N867" i="3"/>
  <c r="E867" i="3"/>
  <c r="K867" i="3"/>
  <c r="B867" i="3"/>
  <c r="H867" i="3"/>
  <c r="Q867" i="3"/>
  <c r="N875" i="3"/>
  <c r="E875" i="3"/>
  <c r="K875" i="3"/>
  <c r="B875" i="3"/>
  <c r="H875" i="3"/>
  <c r="Q875" i="3"/>
  <c r="N883" i="3"/>
  <c r="E883" i="3"/>
  <c r="K883" i="3"/>
  <c r="B883" i="3"/>
  <c r="H883" i="3"/>
  <c r="Q883" i="3"/>
  <c r="N891" i="3"/>
  <c r="E891" i="3"/>
  <c r="K891" i="3"/>
  <c r="B891" i="3"/>
  <c r="Q891" i="3"/>
  <c r="H891" i="3"/>
  <c r="N899" i="3"/>
  <c r="E899" i="3"/>
  <c r="K899" i="3"/>
  <c r="B899" i="3"/>
  <c r="Q899" i="3"/>
  <c r="H899" i="3"/>
  <c r="N907" i="3"/>
  <c r="E907" i="3"/>
  <c r="K907" i="3"/>
  <c r="B907" i="3"/>
  <c r="Q907" i="3"/>
  <c r="H907" i="3"/>
  <c r="K915" i="3"/>
  <c r="Q915" i="3"/>
  <c r="N915" i="3"/>
  <c r="B915" i="3"/>
  <c r="H915" i="3"/>
  <c r="E915" i="3"/>
  <c r="K923" i="3"/>
  <c r="B923" i="3"/>
  <c r="Q923" i="3"/>
  <c r="H923" i="3"/>
  <c r="N923" i="3"/>
  <c r="E923" i="3"/>
  <c r="Q931" i="3"/>
  <c r="K931" i="3"/>
  <c r="B931" i="3"/>
  <c r="H931" i="3"/>
  <c r="N931" i="3"/>
  <c r="E931" i="3"/>
  <c r="B939" i="3"/>
  <c r="Q939" i="3"/>
  <c r="H939" i="3"/>
  <c r="E939" i="3"/>
  <c r="N939" i="3"/>
  <c r="K939" i="3"/>
  <c r="N947" i="3"/>
  <c r="K947" i="3"/>
  <c r="B947" i="3"/>
  <c r="H947" i="3"/>
  <c r="Q947" i="3"/>
  <c r="E947" i="3"/>
  <c r="H955" i="3"/>
  <c r="N955" i="3"/>
  <c r="E955" i="3"/>
  <c r="K955" i="3"/>
  <c r="B955" i="3"/>
  <c r="Q955" i="3"/>
  <c r="E963" i="3"/>
  <c r="K963" i="3"/>
  <c r="B963" i="3"/>
  <c r="Q963" i="3"/>
  <c r="N963" i="3"/>
  <c r="H963" i="3"/>
  <c r="N971" i="3"/>
  <c r="E971" i="3"/>
  <c r="K971" i="3"/>
  <c r="H971" i="3"/>
  <c r="Q971" i="3"/>
  <c r="B971" i="3"/>
  <c r="K979" i="3"/>
  <c r="B979" i="3"/>
  <c r="H979" i="3"/>
  <c r="Q979" i="3"/>
  <c r="E979" i="3"/>
  <c r="N979" i="3"/>
  <c r="N987" i="3"/>
  <c r="E987" i="3"/>
  <c r="K987" i="3"/>
  <c r="Q987" i="3"/>
  <c r="B987" i="3"/>
  <c r="H987" i="3"/>
  <c r="H995" i="3"/>
  <c r="E995" i="3"/>
  <c r="N995" i="3"/>
  <c r="Q995" i="3"/>
  <c r="K995" i="3"/>
  <c r="B995" i="3"/>
  <c r="K223" i="3"/>
  <c r="N70" i="3"/>
  <c r="E70" i="3"/>
  <c r="K70" i="3"/>
  <c r="B70" i="3"/>
  <c r="Q70" i="3"/>
  <c r="K74" i="3"/>
  <c r="B74" i="3"/>
  <c r="Q74" i="3"/>
  <c r="H74" i="3"/>
  <c r="N74" i="3"/>
  <c r="E74" i="3"/>
  <c r="N78" i="3"/>
  <c r="E78" i="3"/>
  <c r="K78" i="3"/>
  <c r="B78" i="3"/>
  <c r="Q78" i="3"/>
  <c r="K82" i="3"/>
  <c r="B82" i="3"/>
  <c r="Q82" i="3"/>
  <c r="H82" i="3"/>
  <c r="N82" i="3"/>
  <c r="E82" i="3"/>
  <c r="N86" i="3"/>
  <c r="E86" i="3"/>
  <c r="K86" i="3"/>
  <c r="B86" i="3"/>
  <c r="Q86" i="3"/>
  <c r="K90" i="3"/>
  <c r="B90" i="3"/>
  <c r="Q90" i="3"/>
  <c r="H90" i="3"/>
  <c r="N90" i="3"/>
  <c r="E90" i="3"/>
  <c r="N94" i="3"/>
  <c r="E94" i="3"/>
  <c r="K94" i="3"/>
  <c r="L94" i="3" s="1"/>
  <c r="B94" i="3"/>
  <c r="Q94" i="3"/>
  <c r="K98" i="3"/>
  <c r="B98" i="3"/>
  <c r="Q98" i="3"/>
  <c r="H98" i="3"/>
  <c r="N98" i="3"/>
  <c r="E98" i="3"/>
  <c r="N102" i="3"/>
  <c r="E102" i="3"/>
  <c r="K102" i="3"/>
  <c r="B102" i="3"/>
  <c r="Q102" i="3"/>
  <c r="K106" i="3"/>
  <c r="B106" i="3"/>
  <c r="Q106" i="3"/>
  <c r="H106" i="3"/>
  <c r="N106" i="3"/>
  <c r="E106" i="3"/>
  <c r="N110" i="3"/>
  <c r="E110" i="3"/>
  <c r="K110" i="3"/>
  <c r="B110" i="3"/>
  <c r="Q110" i="3"/>
  <c r="K114" i="3"/>
  <c r="B114" i="3"/>
  <c r="Q114" i="3"/>
  <c r="H114" i="3"/>
  <c r="N114" i="3"/>
  <c r="E114" i="3"/>
  <c r="E118" i="3"/>
  <c r="B118" i="3"/>
  <c r="K118" i="3"/>
  <c r="H118" i="3"/>
  <c r="Q118" i="3"/>
  <c r="Q122" i="3"/>
  <c r="N122" i="3"/>
  <c r="H122" i="3"/>
  <c r="E122" i="3"/>
  <c r="B122" i="3"/>
  <c r="K122" i="3"/>
  <c r="E126" i="3"/>
  <c r="K126" i="3"/>
  <c r="B126" i="3"/>
  <c r="H126" i="3"/>
  <c r="Q126" i="3"/>
  <c r="N126" i="3"/>
  <c r="Q130" i="3"/>
  <c r="H130" i="3"/>
  <c r="N130" i="3"/>
  <c r="K130" i="3"/>
  <c r="B130" i="3"/>
  <c r="E134" i="3"/>
  <c r="K134" i="3"/>
  <c r="B134" i="3"/>
  <c r="H134" i="3"/>
  <c r="N134" i="3"/>
  <c r="E142" i="3"/>
  <c r="K142" i="3"/>
  <c r="B142" i="3"/>
  <c r="H142" i="3"/>
  <c r="Q142" i="3"/>
  <c r="N142" i="3"/>
  <c r="E150" i="3"/>
  <c r="K150" i="3"/>
  <c r="B150" i="3"/>
  <c r="H150" i="3"/>
  <c r="N150" i="3"/>
  <c r="E158" i="3"/>
  <c r="K158" i="3"/>
  <c r="B158" i="3"/>
  <c r="H158" i="3"/>
  <c r="Q158" i="3"/>
  <c r="N158" i="3"/>
  <c r="E166" i="3"/>
  <c r="K166" i="3"/>
  <c r="B166" i="3"/>
  <c r="H166" i="3"/>
  <c r="N166" i="3"/>
  <c r="E174" i="3"/>
  <c r="K174" i="3"/>
  <c r="B174" i="3"/>
  <c r="H174" i="3"/>
  <c r="Q174" i="3"/>
  <c r="N174" i="3"/>
  <c r="E182" i="3"/>
  <c r="K182" i="3"/>
  <c r="B182" i="3"/>
  <c r="H182" i="3"/>
  <c r="N182" i="3"/>
  <c r="E190" i="3"/>
  <c r="K190" i="3"/>
  <c r="B190" i="3"/>
  <c r="H190" i="3"/>
  <c r="Q190" i="3"/>
  <c r="N190" i="3"/>
  <c r="E198" i="3"/>
  <c r="K198" i="3"/>
  <c r="B198" i="3"/>
  <c r="H198" i="3"/>
  <c r="N198" i="3"/>
  <c r="E206" i="3"/>
  <c r="K206" i="3"/>
  <c r="B206" i="3"/>
  <c r="H206" i="3"/>
  <c r="Q206" i="3"/>
  <c r="N206" i="3"/>
  <c r="E214" i="3"/>
  <c r="K214" i="3"/>
  <c r="B214" i="3"/>
  <c r="H214" i="3"/>
  <c r="N214" i="3"/>
  <c r="E222" i="3"/>
  <c r="K222" i="3"/>
  <c r="B222" i="3"/>
  <c r="H222" i="3"/>
  <c r="Q222" i="3"/>
  <c r="N222" i="3"/>
  <c r="B230" i="3"/>
  <c r="Q230" i="3"/>
  <c r="E230" i="3"/>
  <c r="N230" i="3"/>
  <c r="K230" i="3"/>
  <c r="H230" i="3"/>
  <c r="B238" i="3"/>
  <c r="Q238" i="3"/>
  <c r="H238" i="3"/>
  <c r="E238" i="3"/>
  <c r="N238" i="3"/>
  <c r="K238" i="3"/>
  <c r="B246" i="3"/>
  <c r="Q246" i="3"/>
  <c r="H246" i="3"/>
  <c r="E246" i="3"/>
  <c r="N246" i="3"/>
  <c r="K246" i="3"/>
  <c r="B254" i="3"/>
  <c r="Q254" i="3"/>
  <c r="H254" i="3"/>
  <c r="E254" i="3"/>
  <c r="N254" i="3"/>
  <c r="K254" i="3"/>
  <c r="B262" i="3"/>
  <c r="Q262" i="3"/>
  <c r="H262" i="3"/>
  <c r="E262" i="3"/>
  <c r="N262" i="3"/>
  <c r="K262" i="3"/>
  <c r="B270" i="3"/>
  <c r="Q270" i="3"/>
  <c r="H270" i="3"/>
  <c r="E270" i="3"/>
  <c r="N270" i="3"/>
  <c r="K270" i="3"/>
  <c r="B278" i="3"/>
  <c r="Q278" i="3"/>
  <c r="H278" i="3"/>
  <c r="E278" i="3"/>
  <c r="N278" i="3"/>
  <c r="K278" i="3"/>
  <c r="B286" i="3"/>
  <c r="Q286" i="3"/>
  <c r="H286" i="3"/>
  <c r="E286" i="3"/>
  <c r="N286" i="3"/>
  <c r="K286" i="3"/>
  <c r="B294" i="3"/>
  <c r="Q294" i="3"/>
  <c r="H294" i="3"/>
  <c r="E294" i="3"/>
  <c r="N294" i="3"/>
  <c r="K294" i="3"/>
  <c r="B302" i="3"/>
  <c r="Q302" i="3"/>
  <c r="H302" i="3"/>
  <c r="E302" i="3"/>
  <c r="N302" i="3"/>
  <c r="K302" i="3"/>
  <c r="B310" i="3"/>
  <c r="Q310" i="3"/>
  <c r="H310" i="3"/>
  <c r="E310" i="3"/>
  <c r="N310" i="3"/>
  <c r="K310" i="3"/>
  <c r="B318" i="3"/>
  <c r="Q318" i="3"/>
  <c r="H318" i="3"/>
  <c r="E318" i="3"/>
  <c r="N318" i="3"/>
  <c r="K318" i="3"/>
  <c r="B326" i="3"/>
  <c r="Q326" i="3"/>
  <c r="H326" i="3"/>
  <c r="E326" i="3"/>
  <c r="N326" i="3"/>
  <c r="K326" i="3"/>
  <c r="B334" i="3"/>
  <c r="Q334" i="3"/>
  <c r="H334" i="3"/>
  <c r="E334" i="3"/>
  <c r="N334" i="3"/>
  <c r="K334" i="3"/>
  <c r="B342" i="3"/>
  <c r="Q342" i="3"/>
  <c r="H342" i="3"/>
  <c r="E342" i="3"/>
  <c r="N342" i="3"/>
  <c r="K342" i="3"/>
  <c r="B350" i="3"/>
  <c r="Q350" i="3"/>
  <c r="H350" i="3"/>
  <c r="E350" i="3"/>
  <c r="N350" i="3"/>
  <c r="K350" i="3"/>
  <c r="N358" i="3"/>
  <c r="K358" i="3"/>
  <c r="B358" i="3"/>
  <c r="Q358" i="3"/>
  <c r="H358" i="3"/>
  <c r="E358" i="3"/>
  <c r="Q366" i="3"/>
  <c r="H366" i="3"/>
  <c r="N366" i="3"/>
  <c r="K366" i="3"/>
  <c r="E366" i="3"/>
  <c r="B366" i="3"/>
  <c r="Q374" i="3"/>
  <c r="H374" i="3"/>
  <c r="N374" i="3"/>
  <c r="K374" i="3"/>
  <c r="E374" i="3"/>
  <c r="B374" i="3"/>
  <c r="Q382" i="3"/>
  <c r="H382" i="3"/>
  <c r="N382" i="3"/>
  <c r="K382" i="3"/>
  <c r="E382" i="3"/>
  <c r="B382" i="3"/>
  <c r="Q390" i="3"/>
  <c r="H390" i="3"/>
  <c r="N390" i="3"/>
  <c r="K390" i="3"/>
  <c r="E390" i="3"/>
  <c r="B390" i="3"/>
  <c r="Q398" i="3"/>
  <c r="H398" i="3"/>
  <c r="N398" i="3"/>
  <c r="K398" i="3"/>
  <c r="E398" i="3"/>
  <c r="B398" i="3"/>
  <c r="Q406" i="3"/>
  <c r="H406" i="3"/>
  <c r="N406" i="3"/>
  <c r="K406" i="3"/>
  <c r="E406" i="3"/>
  <c r="B406" i="3"/>
  <c r="H414" i="3"/>
  <c r="E414" i="3"/>
  <c r="Q414" i="3"/>
  <c r="B414" i="3"/>
  <c r="K414" i="3"/>
  <c r="N414" i="3"/>
  <c r="H422" i="3"/>
  <c r="N422" i="3"/>
  <c r="E422" i="3"/>
  <c r="K422" i="3"/>
  <c r="B422" i="3"/>
  <c r="Q422" i="3"/>
  <c r="H430" i="3"/>
  <c r="N430" i="3"/>
  <c r="E430" i="3"/>
  <c r="K430" i="3"/>
  <c r="B430" i="3"/>
  <c r="Q430" i="3"/>
  <c r="H438" i="3"/>
  <c r="N438" i="3"/>
  <c r="E438" i="3"/>
  <c r="K438" i="3"/>
  <c r="B438" i="3"/>
  <c r="Q438" i="3"/>
  <c r="H446" i="3"/>
  <c r="N446" i="3"/>
  <c r="E446" i="3"/>
  <c r="K446" i="3"/>
  <c r="B446" i="3"/>
  <c r="Q446" i="3"/>
  <c r="H454" i="3"/>
  <c r="N454" i="3"/>
  <c r="E454" i="3"/>
  <c r="K454" i="3"/>
  <c r="B454" i="3"/>
  <c r="Q454" i="3"/>
  <c r="H462" i="3"/>
  <c r="N462" i="3"/>
  <c r="E462" i="3"/>
  <c r="K462" i="3"/>
  <c r="B462" i="3"/>
  <c r="Q462" i="3"/>
  <c r="K470" i="3"/>
  <c r="B470" i="3"/>
  <c r="Q470" i="3"/>
  <c r="H470" i="3"/>
  <c r="N470" i="3"/>
  <c r="E470" i="3"/>
  <c r="K478" i="3"/>
  <c r="B478" i="3"/>
  <c r="Q478" i="3"/>
  <c r="H478" i="3"/>
  <c r="N478" i="3"/>
  <c r="E478" i="3"/>
  <c r="K486" i="3"/>
  <c r="B486" i="3"/>
  <c r="Q486" i="3"/>
  <c r="H486" i="3"/>
  <c r="N486" i="3"/>
  <c r="E486" i="3"/>
  <c r="K494" i="3"/>
  <c r="B494" i="3"/>
  <c r="Q494" i="3"/>
  <c r="H494" i="3"/>
  <c r="N494" i="3"/>
  <c r="E494" i="3"/>
  <c r="K502" i="3"/>
  <c r="B502" i="3"/>
  <c r="Q502" i="3"/>
  <c r="H502" i="3"/>
  <c r="N502" i="3"/>
  <c r="E502" i="3"/>
  <c r="K510" i="3"/>
  <c r="B510" i="3"/>
  <c r="Q510" i="3"/>
  <c r="H510" i="3"/>
  <c r="N510" i="3"/>
  <c r="E510" i="3"/>
  <c r="K518" i="3"/>
  <c r="B518" i="3"/>
  <c r="Q518" i="3"/>
  <c r="H518" i="3"/>
  <c r="N518" i="3"/>
  <c r="E518" i="3"/>
  <c r="K526" i="3"/>
  <c r="B526" i="3"/>
  <c r="Q526" i="3"/>
  <c r="H526" i="3"/>
  <c r="N526" i="3"/>
  <c r="E526" i="3"/>
  <c r="N534" i="3"/>
  <c r="B534" i="3"/>
  <c r="Q534" i="3"/>
  <c r="H534" i="3"/>
  <c r="E534" i="3"/>
  <c r="K534" i="3"/>
  <c r="N542" i="3"/>
  <c r="E542" i="3"/>
  <c r="K542" i="3"/>
  <c r="B542" i="3"/>
  <c r="Q542" i="3"/>
  <c r="H542" i="3"/>
  <c r="N550" i="3"/>
  <c r="E550" i="3"/>
  <c r="K550" i="3"/>
  <c r="B550" i="3"/>
  <c r="Q550" i="3"/>
  <c r="H550" i="3"/>
  <c r="N558" i="3"/>
  <c r="E558" i="3"/>
  <c r="K558" i="3"/>
  <c r="B558" i="3"/>
  <c r="Q558" i="3"/>
  <c r="H558" i="3"/>
  <c r="N566" i="3"/>
  <c r="E566" i="3"/>
  <c r="K566" i="3"/>
  <c r="B566" i="3"/>
  <c r="Q566" i="3"/>
  <c r="H566" i="3"/>
  <c r="N574" i="3"/>
  <c r="E574" i="3"/>
  <c r="K574" i="3"/>
  <c r="B574" i="3"/>
  <c r="Q574" i="3"/>
  <c r="H574" i="3"/>
  <c r="N582" i="3"/>
  <c r="E582" i="3"/>
  <c r="K582" i="3"/>
  <c r="B582" i="3"/>
  <c r="Q582" i="3"/>
  <c r="H582" i="3"/>
  <c r="N590" i="3"/>
  <c r="E590" i="3"/>
  <c r="K590" i="3"/>
  <c r="B590" i="3"/>
  <c r="Q590" i="3"/>
  <c r="H590" i="3"/>
  <c r="Q598" i="3"/>
  <c r="H598" i="3"/>
  <c r="N598" i="3"/>
  <c r="E598" i="3"/>
  <c r="K598" i="3"/>
  <c r="B598" i="3"/>
  <c r="Q606" i="3"/>
  <c r="H606" i="3"/>
  <c r="N606" i="3"/>
  <c r="E606" i="3"/>
  <c r="K606" i="3"/>
  <c r="B606" i="3"/>
  <c r="Q614" i="3"/>
  <c r="H614" i="3"/>
  <c r="N614" i="3"/>
  <c r="E614" i="3"/>
  <c r="K614" i="3"/>
  <c r="B614" i="3"/>
  <c r="Q622" i="3"/>
  <c r="H622" i="3"/>
  <c r="N622" i="3"/>
  <c r="E622" i="3"/>
  <c r="K622" i="3"/>
  <c r="B622" i="3"/>
  <c r="Q630" i="3"/>
  <c r="H630" i="3"/>
  <c r="N630" i="3"/>
  <c r="E630" i="3"/>
  <c r="K630" i="3"/>
  <c r="B630" i="3"/>
  <c r="Q638" i="3"/>
  <c r="H638" i="3"/>
  <c r="N638" i="3"/>
  <c r="E638" i="3"/>
  <c r="K638" i="3"/>
  <c r="B638" i="3"/>
  <c r="Q646" i="3"/>
  <c r="H646" i="3"/>
  <c r="N646" i="3"/>
  <c r="E646" i="3"/>
  <c r="K646" i="3"/>
  <c r="B646" i="3"/>
  <c r="Q654" i="3"/>
  <c r="H654" i="3"/>
  <c r="N654" i="3"/>
  <c r="E654" i="3"/>
  <c r="K654" i="3"/>
  <c r="B654" i="3"/>
  <c r="Q662" i="3"/>
  <c r="H662" i="3"/>
  <c r="N662" i="3"/>
  <c r="E662" i="3"/>
  <c r="K662" i="3"/>
  <c r="B662" i="3"/>
  <c r="H670" i="3"/>
  <c r="N670" i="3"/>
  <c r="E670" i="3"/>
  <c r="K670" i="3"/>
  <c r="B670" i="3"/>
  <c r="Q670" i="3"/>
  <c r="H678" i="3"/>
  <c r="N678" i="3"/>
  <c r="E678" i="3"/>
  <c r="K678" i="3"/>
  <c r="B678" i="3"/>
  <c r="Q678" i="3"/>
  <c r="H686" i="3"/>
  <c r="N686" i="3"/>
  <c r="E686" i="3"/>
  <c r="K686" i="3"/>
  <c r="B686" i="3"/>
  <c r="Q686" i="3"/>
  <c r="H694" i="3"/>
  <c r="N694" i="3"/>
  <c r="E694" i="3"/>
  <c r="Q694" i="3"/>
  <c r="B694" i="3"/>
  <c r="K694" i="3"/>
  <c r="H702" i="3"/>
  <c r="N702" i="3"/>
  <c r="E702" i="3"/>
  <c r="Q702" i="3"/>
  <c r="K702" i="3"/>
  <c r="B702" i="3"/>
  <c r="H710" i="3"/>
  <c r="N710" i="3"/>
  <c r="E710" i="3"/>
  <c r="Q710" i="3"/>
  <c r="B710" i="3"/>
  <c r="K710" i="3"/>
  <c r="H718" i="3"/>
  <c r="N718" i="3"/>
  <c r="E718" i="3"/>
  <c r="Q718" i="3"/>
  <c r="K718" i="3"/>
  <c r="B718" i="3"/>
  <c r="H726" i="3"/>
  <c r="N726" i="3"/>
  <c r="E726" i="3"/>
  <c r="Q726" i="3"/>
  <c r="B726" i="3"/>
  <c r="K726" i="3"/>
  <c r="H734" i="3"/>
  <c r="N734" i="3"/>
  <c r="E734" i="3"/>
  <c r="Q734" i="3"/>
  <c r="K734" i="3"/>
  <c r="B734" i="3"/>
  <c r="H742" i="3"/>
  <c r="N742" i="3"/>
  <c r="E742" i="3"/>
  <c r="Q742" i="3"/>
  <c r="B742" i="3"/>
  <c r="K742" i="3"/>
  <c r="H750" i="3"/>
  <c r="N750" i="3"/>
  <c r="E750" i="3"/>
  <c r="Q750" i="3"/>
  <c r="K750" i="3"/>
  <c r="B750" i="3"/>
  <c r="Q758" i="3"/>
  <c r="H758" i="3"/>
  <c r="N758" i="3"/>
  <c r="E758" i="3"/>
  <c r="B758" i="3"/>
  <c r="K758" i="3"/>
  <c r="Q766" i="3"/>
  <c r="H766" i="3"/>
  <c r="N766" i="3"/>
  <c r="E766" i="3"/>
  <c r="B766" i="3"/>
  <c r="K766" i="3"/>
  <c r="Q774" i="3"/>
  <c r="H774" i="3"/>
  <c r="N774" i="3"/>
  <c r="E774" i="3"/>
  <c r="B774" i="3"/>
  <c r="K774" i="3"/>
  <c r="Q782" i="3"/>
  <c r="H782" i="3"/>
  <c r="N782" i="3"/>
  <c r="E782" i="3"/>
  <c r="B782" i="3"/>
  <c r="K782" i="3"/>
  <c r="Q790" i="3"/>
  <c r="H790" i="3"/>
  <c r="N790" i="3"/>
  <c r="E790" i="3"/>
  <c r="B790" i="3"/>
  <c r="K790" i="3"/>
  <c r="Q798" i="3"/>
  <c r="H798" i="3"/>
  <c r="N798" i="3"/>
  <c r="E798" i="3"/>
  <c r="B798" i="3"/>
  <c r="K798" i="3"/>
  <c r="Q806" i="3"/>
  <c r="H806" i="3"/>
  <c r="N806" i="3"/>
  <c r="E806" i="3"/>
  <c r="B806" i="3"/>
  <c r="K806" i="3"/>
  <c r="Q814" i="3"/>
  <c r="H814" i="3"/>
  <c r="N814" i="3"/>
  <c r="E814" i="3"/>
  <c r="B814" i="3"/>
  <c r="K814" i="3"/>
  <c r="N822" i="3"/>
  <c r="E822" i="3"/>
  <c r="K822" i="3"/>
  <c r="B822" i="3"/>
  <c r="Q822" i="3"/>
  <c r="H822" i="3"/>
  <c r="N830" i="3"/>
  <c r="E830" i="3"/>
  <c r="K830" i="3"/>
  <c r="B830" i="3"/>
  <c r="Q830" i="3"/>
  <c r="H830" i="3"/>
  <c r="N838" i="3"/>
  <c r="E838" i="3"/>
  <c r="K838" i="3"/>
  <c r="B838" i="3"/>
  <c r="Q838" i="3"/>
  <c r="H838" i="3"/>
  <c r="N846" i="3"/>
  <c r="E846" i="3"/>
  <c r="K846" i="3"/>
  <c r="B846" i="3"/>
  <c r="Q846" i="3"/>
  <c r="H846" i="3"/>
  <c r="N854" i="3"/>
  <c r="E854" i="3"/>
  <c r="K854" i="3"/>
  <c r="B854" i="3"/>
  <c r="Q854" i="3"/>
  <c r="H854" i="3"/>
  <c r="N862" i="3"/>
  <c r="E862" i="3"/>
  <c r="K862" i="3"/>
  <c r="L862" i="3" s="1"/>
  <c r="B862" i="3"/>
  <c r="Q862" i="3"/>
  <c r="H862" i="3"/>
  <c r="N870" i="3"/>
  <c r="E870" i="3"/>
  <c r="K870" i="3"/>
  <c r="B870" i="3"/>
  <c r="Q870" i="3"/>
  <c r="H870" i="3"/>
  <c r="N878" i="3"/>
  <c r="E878" i="3"/>
  <c r="K878" i="3"/>
  <c r="B878" i="3"/>
  <c r="Q878" i="3"/>
  <c r="H878" i="3"/>
  <c r="N886" i="3"/>
  <c r="E886" i="3"/>
  <c r="K886" i="3"/>
  <c r="B886" i="3"/>
  <c r="Q886" i="3"/>
  <c r="H886" i="3"/>
  <c r="E894" i="3"/>
  <c r="K894" i="3"/>
  <c r="B894" i="3"/>
  <c r="Q894" i="3"/>
  <c r="H894" i="3"/>
  <c r="N894" i="3"/>
  <c r="E902" i="3"/>
  <c r="K902" i="3"/>
  <c r="B902" i="3"/>
  <c r="Q902" i="3"/>
  <c r="H902" i="3"/>
  <c r="N902" i="3"/>
  <c r="E910" i="3"/>
  <c r="K910" i="3"/>
  <c r="B910" i="3"/>
  <c r="Q910" i="3"/>
  <c r="H910" i="3"/>
  <c r="N910" i="3"/>
  <c r="B918" i="3"/>
  <c r="Q918" i="3"/>
  <c r="H918" i="3"/>
  <c r="N918" i="3"/>
  <c r="E918" i="3"/>
  <c r="K918" i="3"/>
  <c r="B926" i="3"/>
  <c r="Q926" i="3"/>
  <c r="H926" i="3"/>
  <c r="N926" i="3"/>
  <c r="E926" i="3"/>
  <c r="K926" i="3"/>
  <c r="Q934" i="3"/>
  <c r="H934" i="3"/>
  <c r="N934" i="3"/>
  <c r="B934" i="3"/>
  <c r="K934" i="3"/>
  <c r="E934" i="3"/>
  <c r="Q942" i="3"/>
  <c r="H942" i="3"/>
  <c r="K942" i="3"/>
  <c r="E942" i="3"/>
  <c r="B942" i="3"/>
  <c r="N942" i="3"/>
  <c r="E950" i="3"/>
  <c r="B950" i="3"/>
  <c r="Q950" i="3"/>
  <c r="K950" i="3"/>
  <c r="H950" i="3"/>
  <c r="N950" i="3"/>
  <c r="Q958" i="3"/>
  <c r="H958" i="3"/>
  <c r="N958" i="3"/>
  <c r="E958" i="3"/>
  <c r="K958" i="3"/>
  <c r="B958" i="3"/>
  <c r="K966" i="3"/>
  <c r="B966" i="3"/>
  <c r="N966" i="3"/>
  <c r="H966" i="3"/>
  <c r="Q966" i="3"/>
  <c r="E966" i="3"/>
  <c r="E974" i="3"/>
  <c r="B974" i="3"/>
  <c r="N974" i="3"/>
  <c r="K974" i="3"/>
  <c r="H974" i="3"/>
  <c r="Q974" i="3"/>
  <c r="K982" i="3"/>
  <c r="Q982" i="3"/>
  <c r="H982" i="3"/>
  <c r="B982" i="3"/>
  <c r="N982" i="3"/>
  <c r="E982" i="3"/>
  <c r="K990" i="3"/>
  <c r="H990" i="3"/>
  <c r="Q990" i="3"/>
  <c r="E990" i="3"/>
  <c r="B990" i="3"/>
  <c r="N990" i="3"/>
  <c r="K998" i="3"/>
  <c r="B998" i="3"/>
  <c r="E998" i="3"/>
  <c r="Q998" i="3"/>
  <c r="H998" i="3"/>
  <c r="N998" i="3"/>
  <c r="K77" i="3"/>
  <c r="E87" i="3"/>
  <c r="Q99" i="3"/>
  <c r="K109" i="3"/>
  <c r="K117" i="3"/>
  <c r="Q182" i="3"/>
  <c r="G9" i="4"/>
  <c r="O9" i="4"/>
  <c r="W9" i="4"/>
  <c r="J13" i="4"/>
  <c r="E9" i="4"/>
  <c r="F9" i="4"/>
  <c r="N9" i="4"/>
  <c r="V9" i="4"/>
  <c r="E13" i="4"/>
  <c r="Z10" i="4"/>
  <c r="B9" i="4"/>
  <c r="J9" i="4"/>
  <c r="Z7" i="4"/>
  <c r="C9" i="4"/>
  <c r="K9" i="4"/>
  <c r="S9" i="4"/>
  <c r="Z6" i="4"/>
  <c r="L9" i="4"/>
  <c r="T9" i="4"/>
  <c r="Z5" i="4"/>
  <c r="U9" i="4"/>
  <c r="Z8" i="4"/>
  <c r="B69" i="3" l="1"/>
  <c r="B53" i="3"/>
  <c r="H83" i="13"/>
  <c r="B51" i="3"/>
  <c r="R11" i="4"/>
  <c r="Q11" i="4"/>
  <c r="L128" i="3"/>
  <c r="E47" i="3"/>
  <c r="X13" i="4"/>
  <c r="E65" i="3"/>
  <c r="E53" i="3"/>
  <c r="S13" i="4"/>
  <c r="K13" i="4"/>
  <c r="W11" i="4"/>
  <c r="W13" i="4"/>
  <c r="F13" i="4"/>
  <c r="G13" i="4"/>
  <c r="D11" i="4"/>
  <c r="B13" i="4"/>
  <c r="E58" i="3"/>
  <c r="P13" i="4"/>
  <c r="O13" i="4"/>
  <c r="R13" i="4"/>
  <c r="M11" i="4"/>
  <c r="D13" i="4"/>
  <c r="E38" i="3"/>
  <c r="E37" i="3"/>
  <c r="N13" i="4"/>
  <c r="V11" i="4"/>
  <c r="E26" i="3"/>
  <c r="E25" i="3"/>
  <c r="F26" i="3" s="1"/>
  <c r="I11" i="4"/>
  <c r="G11" i="4"/>
  <c r="U11" i="4"/>
  <c r="E66" i="3"/>
  <c r="E34" i="3"/>
  <c r="E61" i="3"/>
  <c r="E33" i="3"/>
  <c r="E35" i="3"/>
  <c r="F36" i="3" s="1"/>
  <c r="E62" i="3"/>
  <c r="E30" i="3"/>
  <c r="E57" i="3"/>
  <c r="E29" i="3"/>
  <c r="E11" i="4"/>
  <c r="E54" i="3"/>
  <c r="E22" i="3"/>
  <c r="E21" i="3"/>
  <c r="F22" i="3" s="1"/>
  <c r="E50" i="3"/>
  <c r="E49" i="3"/>
  <c r="N11" i="4"/>
  <c r="E69" i="3"/>
  <c r="F70" i="3" s="1"/>
  <c r="E46" i="3"/>
  <c r="E45" i="3"/>
  <c r="E67" i="3"/>
  <c r="G84" i="13"/>
  <c r="G85" i="13" s="1"/>
  <c r="G77" i="13" s="1"/>
  <c r="M77" i="13" s="1"/>
  <c r="E42" i="3"/>
  <c r="E41" i="3"/>
  <c r="E31" i="3"/>
  <c r="E63" i="3"/>
  <c r="E51" i="3"/>
  <c r="B33" i="3"/>
  <c r="B42" i="3"/>
  <c r="B49" i="3"/>
  <c r="B65" i="3"/>
  <c r="C65" i="3" s="1"/>
  <c r="B58" i="3"/>
  <c r="B21" i="3"/>
  <c r="C21" i="3" s="1"/>
  <c r="T11" i="4"/>
  <c r="B31" i="3"/>
  <c r="B37" i="3"/>
  <c r="B54" i="3"/>
  <c r="B38" i="3"/>
  <c r="B26" i="3"/>
  <c r="B67" i="3"/>
  <c r="B27" i="3"/>
  <c r="B22" i="3"/>
  <c r="B47" i="3"/>
  <c r="B23" i="3"/>
  <c r="B66" i="3"/>
  <c r="B61" i="3"/>
  <c r="B45" i="3"/>
  <c r="B29" i="3"/>
  <c r="C29" i="3" s="1"/>
  <c r="B43" i="3"/>
  <c r="B62" i="3"/>
  <c r="B50" i="3"/>
  <c r="B34" i="3"/>
  <c r="B57" i="3"/>
  <c r="B41" i="3"/>
  <c r="B25" i="3"/>
  <c r="C26" i="3" s="1"/>
  <c r="B63" i="3"/>
  <c r="B39" i="3"/>
  <c r="B46" i="3"/>
  <c r="H30" i="3"/>
  <c r="B59" i="3"/>
  <c r="B35" i="3"/>
  <c r="B60" i="3"/>
  <c r="B30" i="3"/>
  <c r="B55" i="3"/>
  <c r="B44" i="3"/>
  <c r="H58" i="3"/>
  <c r="K84" i="13"/>
  <c r="H36" i="13" s="1"/>
  <c r="S11" i="4"/>
  <c r="H57" i="3"/>
  <c r="L86" i="3"/>
  <c r="H69" i="3"/>
  <c r="I69" i="3" s="1"/>
  <c r="H42" i="3"/>
  <c r="H41" i="3"/>
  <c r="J83" i="13"/>
  <c r="H25" i="3"/>
  <c r="H62" i="3"/>
  <c r="H26" i="3"/>
  <c r="H46" i="3"/>
  <c r="I84" i="13"/>
  <c r="F5" i="14"/>
  <c r="H5" i="14" s="1"/>
  <c r="E44" i="3"/>
  <c r="L13" i="4"/>
  <c r="E59" i="3"/>
  <c r="E43" i="3"/>
  <c r="E27" i="3"/>
  <c r="B40" i="3"/>
  <c r="B68" i="3"/>
  <c r="E55" i="3"/>
  <c r="E39" i="3"/>
  <c r="F39" i="3" s="1"/>
  <c r="E23" i="3"/>
  <c r="E28" i="3"/>
  <c r="E40" i="3"/>
  <c r="B56" i="3"/>
  <c r="C57" i="3" s="1"/>
  <c r="H77" i="13"/>
  <c r="N77" i="13" s="1"/>
  <c r="H71" i="13"/>
  <c r="I13" i="4"/>
  <c r="H62" i="13"/>
  <c r="N62" i="13" s="1"/>
  <c r="C11" i="4"/>
  <c r="B24" i="3"/>
  <c r="B52" i="3"/>
  <c r="C52" i="3" s="1"/>
  <c r="B48" i="3"/>
  <c r="H78" i="13"/>
  <c r="N78" i="13" s="1"/>
  <c r="L11" i="4"/>
  <c r="E60" i="3"/>
  <c r="E24" i="3"/>
  <c r="B36" i="3"/>
  <c r="B32" i="3"/>
  <c r="R183" i="3"/>
  <c r="S182" i="3"/>
  <c r="P942" i="3"/>
  <c r="O943" i="3"/>
  <c r="C871" i="3"/>
  <c r="D870" i="3"/>
  <c r="L815" i="3"/>
  <c r="M814" i="3"/>
  <c r="C751" i="3"/>
  <c r="D750" i="3"/>
  <c r="R687" i="3"/>
  <c r="S686" i="3"/>
  <c r="I607" i="3"/>
  <c r="J606" i="3"/>
  <c r="C551" i="3"/>
  <c r="D550" i="3"/>
  <c r="J486" i="3"/>
  <c r="I487" i="3"/>
  <c r="L423" i="3"/>
  <c r="M422" i="3"/>
  <c r="I383" i="3"/>
  <c r="J382" i="3"/>
  <c r="L335" i="3"/>
  <c r="M334" i="3"/>
  <c r="F295" i="3"/>
  <c r="G294" i="3"/>
  <c r="L239" i="3"/>
  <c r="M238" i="3"/>
  <c r="O159" i="3"/>
  <c r="P158" i="3"/>
  <c r="O107" i="3"/>
  <c r="P106" i="3"/>
  <c r="L75" i="3"/>
  <c r="M74" i="3"/>
  <c r="O932" i="3"/>
  <c r="P931" i="3"/>
  <c r="O884" i="3"/>
  <c r="P883" i="3"/>
  <c r="P819" i="3"/>
  <c r="O820" i="3"/>
  <c r="J763" i="3"/>
  <c r="I764" i="3"/>
  <c r="R692" i="3"/>
  <c r="S691" i="3"/>
  <c r="F644" i="3"/>
  <c r="G643" i="3"/>
  <c r="C580" i="3"/>
  <c r="D579" i="3"/>
  <c r="G539" i="3"/>
  <c r="F540" i="3"/>
  <c r="L468" i="3"/>
  <c r="M467" i="3"/>
  <c r="O388" i="3"/>
  <c r="P387" i="3"/>
  <c r="S347" i="3"/>
  <c r="R348" i="3"/>
  <c r="M307" i="3"/>
  <c r="L308" i="3"/>
  <c r="M243" i="3"/>
  <c r="L244" i="3"/>
  <c r="I196" i="3"/>
  <c r="J195" i="3"/>
  <c r="I164" i="3"/>
  <c r="J163" i="3"/>
  <c r="R961" i="3"/>
  <c r="S960" i="3"/>
  <c r="G896" i="3"/>
  <c r="F897" i="3"/>
  <c r="C849" i="3"/>
  <c r="D848" i="3"/>
  <c r="F785" i="3"/>
  <c r="G784" i="3"/>
  <c r="S736" i="3"/>
  <c r="R737" i="3"/>
  <c r="S704" i="3"/>
  <c r="R705" i="3"/>
  <c r="C641" i="3"/>
  <c r="D640" i="3"/>
  <c r="F585" i="3"/>
  <c r="G584" i="3"/>
  <c r="I545" i="3"/>
  <c r="J544" i="3"/>
  <c r="M512" i="3"/>
  <c r="L513" i="3"/>
  <c r="L465" i="3"/>
  <c r="M464" i="3"/>
  <c r="L417" i="3"/>
  <c r="M416" i="3"/>
  <c r="F369" i="3"/>
  <c r="G368" i="3"/>
  <c r="I337" i="3"/>
  <c r="J336" i="3"/>
  <c r="O297" i="3"/>
  <c r="P296" i="3"/>
  <c r="I241" i="3"/>
  <c r="J240" i="3"/>
  <c r="I209" i="3"/>
  <c r="J208" i="3"/>
  <c r="I177" i="3"/>
  <c r="J176" i="3"/>
  <c r="I145" i="3"/>
  <c r="J144" i="3"/>
  <c r="L126" i="3"/>
  <c r="M125" i="3"/>
  <c r="J109" i="3"/>
  <c r="I110" i="3"/>
  <c r="C94" i="3"/>
  <c r="D93" i="3"/>
  <c r="R74" i="3"/>
  <c r="S73" i="3"/>
  <c r="C966" i="3"/>
  <c r="D965" i="3"/>
  <c r="L910" i="3"/>
  <c r="M909" i="3"/>
  <c r="P845" i="3"/>
  <c r="O846" i="3"/>
  <c r="C822" i="3"/>
  <c r="D821" i="3"/>
  <c r="S781" i="3"/>
  <c r="R782" i="3"/>
  <c r="O726" i="3"/>
  <c r="P725" i="3"/>
  <c r="S685" i="3"/>
  <c r="R686" i="3"/>
  <c r="S653" i="3"/>
  <c r="R654" i="3"/>
  <c r="L614" i="3"/>
  <c r="M613" i="3"/>
  <c r="F566" i="3"/>
  <c r="G565" i="3"/>
  <c r="M525" i="3"/>
  <c r="L526" i="3"/>
  <c r="P485" i="3"/>
  <c r="O486" i="3"/>
  <c r="O438" i="3"/>
  <c r="P437" i="3"/>
  <c r="S397" i="3"/>
  <c r="R398" i="3"/>
  <c r="I374" i="3"/>
  <c r="J373" i="3"/>
  <c r="D333" i="3"/>
  <c r="C334" i="3"/>
  <c r="D301" i="3"/>
  <c r="C302" i="3"/>
  <c r="R246" i="3"/>
  <c r="S245" i="3"/>
  <c r="G205" i="3"/>
  <c r="F206" i="3"/>
  <c r="G173" i="3"/>
  <c r="F174" i="3"/>
  <c r="G141" i="3"/>
  <c r="F142" i="3"/>
  <c r="I971" i="3"/>
  <c r="J970" i="3"/>
  <c r="S914" i="3"/>
  <c r="R915" i="3"/>
  <c r="R875" i="3"/>
  <c r="S874" i="3"/>
  <c r="R819" i="3"/>
  <c r="S818" i="3"/>
  <c r="M778" i="3"/>
  <c r="L779" i="3"/>
  <c r="O731" i="3"/>
  <c r="P730" i="3"/>
  <c r="O968" i="3"/>
  <c r="P967" i="3"/>
  <c r="C936" i="3"/>
  <c r="D935" i="3"/>
  <c r="F904" i="3"/>
  <c r="G903" i="3"/>
  <c r="O872" i="3"/>
  <c r="P871" i="3"/>
  <c r="O840" i="3"/>
  <c r="P839" i="3"/>
  <c r="L824" i="3"/>
  <c r="M823" i="3"/>
  <c r="O792" i="3"/>
  <c r="P791" i="3"/>
  <c r="M767" i="3"/>
  <c r="L768" i="3"/>
  <c r="O744" i="3"/>
  <c r="P743" i="3"/>
  <c r="O712" i="3"/>
  <c r="P711" i="3"/>
  <c r="F696" i="3"/>
  <c r="G695" i="3"/>
  <c r="O664" i="3"/>
  <c r="P663" i="3"/>
  <c r="R648" i="3"/>
  <c r="S647" i="3"/>
  <c r="R616" i="3"/>
  <c r="S615" i="3"/>
  <c r="O600" i="3"/>
  <c r="P599" i="3"/>
  <c r="S575" i="3"/>
  <c r="R576" i="3"/>
  <c r="O552" i="3"/>
  <c r="P551" i="3"/>
  <c r="L536" i="3"/>
  <c r="M535" i="3"/>
  <c r="G511" i="3"/>
  <c r="F512" i="3"/>
  <c r="C488" i="3"/>
  <c r="D487" i="3"/>
  <c r="O456" i="3"/>
  <c r="P455" i="3"/>
  <c r="G439" i="3"/>
  <c r="F440" i="3"/>
  <c r="P407" i="3"/>
  <c r="O408" i="3"/>
  <c r="M383" i="3"/>
  <c r="L384" i="3"/>
  <c r="O360" i="3"/>
  <c r="P359" i="3"/>
  <c r="O344" i="3"/>
  <c r="P343" i="3"/>
  <c r="C320" i="3"/>
  <c r="D319" i="3"/>
  <c r="L296" i="3"/>
  <c r="M295" i="3"/>
  <c r="O280" i="3"/>
  <c r="P279" i="3"/>
  <c r="O248" i="3"/>
  <c r="P247" i="3"/>
  <c r="O208" i="3"/>
  <c r="P207" i="3"/>
  <c r="L184" i="3"/>
  <c r="M183" i="3"/>
  <c r="D167" i="3"/>
  <c r="C168" i="3"/>
  <c r="R108" i="3"/>
  <c r="S107" i="3"/>
  <c r="O981" i="3"/>
  <c r="P980" i="3"/>
  <c r="D964" i="3"/>
  <c r="C965" i="3"/>
  <c r="L941" i="3"/>
  <c r="M940" i="3"/>
  <c r="S916" i="3"/>
  <c r="R917" i="3"/>
  <c r="L901" i="3"/>
  <c r="M900" i="3"/>
  <c r="S876" i="3"/>
  <c r="R877" i="3"/>
  <c r="F853" i="3"/>
  <c r="G852" i="3"/>
  <c r="F821" i="3"/>
  <c r="G820" i="3"/>
  <c r="O805" i="3"/>
  <c r="P804" i="3"/>
  <c r="L781" i="3"/>
  <c r="M780" i="3"/>
  <c r="C757" i="3"/>
  <c r="D756" i="3"/>
  <c r="O741" i="3"/>
  <c r="P740" i="3"/>
  <c r="M716" i="3"/>
  <c r="L717" i="3"/>
  <c r="I693" i="3"/>
  <c r="J692" i="3"/>
  <c r="M684" i="3"/>
  <c r="L685" i="3"/>
  <c r="L653" i="3"/>
  <c r="M652" i="3"/>
  <c r="M460" i="3"/>
  <c r="L461" i="3"/>
  <c r="R84" i="3"/>
  <c r="S83" i="3"/>
  <c r="G689" i="3"/>
  <c r="F690" i="3"/>
  <c r="R658" i="3"/>
  <c r="S657" i="3"/>
  <c r="L610" i="3"/>
  <c r="M609" i="3"/>
  <c r="F578" i="3"/>
  <c r="G577" i="3"/>
  <c r="I554" i="3"/>
  <c r="J553" i="3"/>
  <c r="F530" i="3"/>
  <c r="G529" i="3"/>
  <c r="R522" i="3"/>
  <c r="S521" i="3"/>
  <c r="O482" i="3"/>
  <c r="P481" i="3"/>
  <c r="R434" i="3"/>
  <c r="S433" i="3"/>
  <c r="P409" i="3"/>
  <c r="O410" i="3"/>
  <c r="C306" i="3"/>
  <c r="D305" i="3"/>
  <c r="L298" i="3"/>
  <c r="M297" i="3"/>
  <c r="I282" i="3"/>
  <c r="J281" i="3"/>
  <c r="C250" i="3"/>
  <c r="D249" i="3"/>
  <c r="O210" i="3"/>
  <c r="P209" i="3"/>
  <c r="D177" i="3"/>
  <c r="C178" i="3"/>
  <c r="I959" i="3"/>
  <c r="J958" i="3"/>
  <c r="I879" i="3"/>
  <c r="J878" i="3"/>
  <c r="L783" i="3"/>
  <c r="M782" i="3"/>
  <c r="L679" i="3"/>
  <c r="M678" i="3"/>
  <c r="F527" i="3"/>
  <c r="G526" i="3"/>
  <c r="G142" i="3"/>
  <c r="F143" i="3"/>
  <c r="J776" i="3"/>
  <c r="I777" i="3"/>
  <c r="C935" i="3"/>
  <c r="D934" i="3"/>
  <c r="I799" i="3"/>
  <c r="J798" i="3"/>
  <c r="P670" i="3"/>
  <c r="O671" i="3"/>
  <c r="I559" i="3"/>
  <c r="J558" i="3"/>
  <c r="R431" i="3"/>
  <c r="S430" i="3"/>
  <c r="F327" i="3"/>
  <c r="G326" i="3"/>
  <c r="M198" i="3"/>
  <c r="L199" i="3"/>
  <c r="R95" i="3"/>
  <c r="S94" i="3"/>
  <c r="O948" i="3"/>
  <c r="P947" i="3"/>
  <c r="I836" i="3"/>
  <c r="J835" i="3"/>
  <c r="R724" i="3"/>
  <c r="S723" i="3"/>
  <c r="J603" i="3"/>
  <c r="I604" i="3"/>
  <c r="L500" i="3"/>
  <c r="M499" i="3"/>
  <c r="D403" i="3"/>
  <c r="C404" i="3"/>
  <c r="O324" i="3"/>
  <c r="P323" i="3"/>
  <c r="S251" i="3"/>
  <c r="R252" i="3"/>
  <c r="P147" i="3"/>
  <c r="O148" i="3"/>
  <c r="R913" i="3"/>
  <c r="S912" i="3"/>
  <c r="P832" i="3"/>
  <c r="O833" i="3"/>
  <c r="C769" i="3"/>
  <c r="D768" i="3"/>
  <c r="F721" i="3"/>
  <c r="G720" i="3"/>
  <c r="O681" i="3"/>
  <c r="P680" i="3"/>
  <c r="J616" i="3"/>
  <c r="I617" i="3"/>
  <c r="F553" i="3"/>
  <c r="G552" i="3"/>
  <c r="O497" i="3"/>
  <c r="P496" i="3"/>
  <c r="F457" i="3"/>
  <c r="G456" i="3"/>
  <c r="F401" i="3"/>
  <c r="G400" i="3"/>
  <c r="O329" i="3"/>
  <c r="P328" i="3"/>
  <c r="I273" i="3"/>
  <c r="J272" i="3"/>
  <c r="R201" i="3"/>
  <c r="S200" i="3"/>
  <c r="G160" i="3"/>
  <c r="F161" i="3"/>
  <c r="P121" i="3"/>
  <c r="O122" i="3"/>
  <c r="C98" i="3"/>
  <c r="D97" i="3"/>
  <c r="R950" i="3"/>
  <c r="S949" i="3"/>
  <c r="D917" i="3"/>
  <c r="C918" i="3"/>
  <c r="I870" i="3"/>
  <c r="J869" i="3"/>
  <c r="L806" i="3"/>
  <c r="M805" i="3"/>
  <c r="S749" i="3"/>
  <c r="R750" i="3"/>
  <c r="O694" i="3"/>
  <c r="P693" i="3"/>
  <c r="L646" i="3"/>
  <c r="M645" i="3"/>
  <c r="F598" i="3"/>
  <c r="G597" i="3"/>
  <c r="C550" i="3"/>
  <c r="D549" i="3"/>
  <c r="M493" i="3"/>
  <c r="L494" i="3"/>
  <c r="M453" i="3"/>
  <c r="L454" i="3"/>
  <c r="I406" i="3"/>
  <c r="J405" i="3"/>
  <c r="R342" i="3"/>
  <c r="S341" i="3"/>
  <c r="R278" i="3"/>
  <c r="S277" i="3"/>
  <c r="C214" i="3"/>
  <c r="D213" i="3"/>
  <c r="C150" i="3"/>
  <c r="D149" i="3"/>
  <c r="R947" i="3"/>
  <c r="S946" i="3"/>
  <c r="I907" i="3"/>
  <c r="J906" i="3"/>
  <c r="L859" i="3"/>
  <c r="M858" i="3"/>
  <c r="M810" i="3"/>
  <c r="L811" i="3"/>
  <c r="O763" i="3"/>
  <c r="P762" i="3"/>
  <c r="P991" i="3"/>
  <c r="O992" i="3"/>
  <c r="L928" i="3"/>
  <c r="M927" i="3"/>
  <c r="M887" i="3"/>
  <c r="L888" i="3"/>
  <c r="R808" i="3"/>
  <c r="S807" i="3"/>
  <c r="O632" i="3"/>
  <c r="P631" i="3"/>
  <c r="S844" i="3"/>
  <c r="R845" i="3"/>
  <c r="S698" i="3"/>
  <c r="R699" i="3"/>
  <c r="M690" i="3"/>
  <c r="L691" i="3"/>
  <c r="I603" i="3"/>
  <c r="J602" i="3"/>
  <c r="S594" i="3"/>
  <c r="R595" i="3"/>
  <c r="L587" i="3"/>
  <c r="M586" i="3"/>
  <c r="I531" i="3"/>
  <c r="J530" i="3"/>
  <c r="C515" i="3"/>
  <c r="D514" i="3"/>
  <c r="O507" i="3"/>
  <c r="P506" i="3"/>
  <c r="I427" i="3"/>
  <c r="J426" i="3"/>
  <c r="D402" i="3"/>
  <c r="C403" i="3"/>
  <c r="G394" i="3"/>
  <c r="F395" i="3"/>
  <c r="I347" i="3"/>
  <c r="J346" i="3"/>
  <c r="M290" i="3"/>
  <c r="L291" i="3"/>
  <c r="P250" i="3"/>
  <c r="O251" i="3"/>
  <c r="C195" i="3"/>
  <c r="D194" i="3"/>
  <c r="P170" i="3"/>
  <c r="O171" i="3"/>
  <c r="S162" i="3"/>
  <c r="R163" i="3"/>
  <c r="I101" i="3"/>
  <c r="J100" i="3"/>
  <c r="D76" i="3"/>
  <c r="C77" i="3"/>
  <c r="O723" i="3"/>
  <c r="P722" i="3"/>
  <c r="R643" i="3"/>
  <c r="S642" i="3"/>
  <c r="M626" i="3"/>
  <c r="L627" i="3"/>
  <c r="F579" i="3"/>
  <c r="G578" i="3"/>
  <c r="J570" i="3"/>
  <c r="I571" i="3"/>
  <c r="C547" i="3"/>
  <c r="D546" i="3"/>
  <c r="L483" i="3"/>
  <c r="M482" i="3"/>
  <c r="O459" i="3"/>
  <c r="P458" i="3"/>
  <c r="D450" i="3"/>
  <c r="C451" i="3"/>
  <c r="C355" i="3"/>
  <c r="D354" i="3"/>
  <c r="R315" i="3"/>
  <c r="S314" i="3"/>
  <c r="F299" i="3"/>
  <c r="G298" i="3"/>
  <c r="C243" i="3"/>
  <c r="D242" i="3"/>
  <c r="J132" i="3"/>
  <c r="I133" i="3"/>
  <c r="J124" i="3"/>
  <c r="I125" i="3"/>
  <c r="C105" i="3"/>
  <c r="D104" i="3"/>
  <c r="I10" i="3"/>
  <c r="J9" i="3"/>
  <c r="J7" i="3"/>
  <c r="J5" i="3"/>
  <c r="I6" i="3"/>
  <c r="S998" i="3"/>
  <c r="R999" i="3"/>
  <c r="R927" i="3"/>
  <c r="S926" i="3"/>
  <c r="F863" i="3"/>
  <c r="G862" i="3"/>
  <c r="F807" i="3"/>
  <c r="G806" i="3"/>
  <c r="P734" i="3"/>
  <c r="O735" i="3"/>
  <c r="C655" i="3"/>
  <c r="D654" i="3"/>
  <c r="F615" i="3"/>
  <c r="G614" i="3"/>
  <c r="G542" i="3"/>
  <c r="F543" i="3"/>
  <c r="R463" i="3"/>
  <c r="S462" i="3"/>
  <c r="G414" i="3"/>
  <c r="F415" i="3"/>
  <c r="S358" i="3"/>
  <c r="R359" i="3"/>
  <c r="L271" i="3"/>
  <c r="M270" i="3"/>
  <c r="M222" i="3"/>
  <c r="L223" i="3"/>
  <c r="P130" i="3"/>
  <c r="O131" i="3"/>
  <c r="G102" i="3"/>
  <c r="F103" i="3"/>
  <c r="M995" i="3"/>
  <c r="L996" i="3"/>
  <c r="F956" i="3"/>
  <c r="G955" i="3"/>
  <c r="M891" i="3"/>
  <c r="L892" i="3"/>
  <c r="L828" i="3"/>
  <c r="M827" i="3"/>
  <c r="F772" i="3"/>
  <c r="G771" i="3"/>
  <c r="P699" i="3"/>
  <c r="O700" i="3"/>
  <c r="J635" i="3"/>
  <c r="I636" i="3"/>
  <c r="C548" i="3"/>
  <c r="D547" i="3"/>
  <c r="I516" i="3"/>
  <c r="J515" i="3"/>
  <c r="P443" i="3"/>
  <c r="O444" i="3"/>
  <c r="J379" i="3"/>
  <c r="I380" i="3"/>
  <c r="S315" i="3"/>
  <c r="R316" i="3"/>
  <c r="O260" i="3"/>
  <c r="P259" i="3"/>
  <c r="P211" i="3"/>
  <c r="O212" i="3"/>
  <c r="M155" i="3"/>
  <c r="L156" i="3"/>
  <c r="O945" i="3"/>
  <c r="P944" i="3"/>
  <c r="C881" i="3"/>
  <c r="D880" i="3"/>
  <c r="F817" i="3"/>
  <c r="G816" i="3"/>
  <c r="C593" i="3"/>
  <c r="D592" i="3"/>
  <c r="L710" i="3"/>
  <c r="M709" i="3"/>
  <c r="J14" i="3"/>
  <c r="I15" i="3"/>
  <c r="R100" i="3"/>
  <c r="S99" i="3"/>
  <c r="O983" i="3"/>
  <c r="P982" i="3"/>
  <c r="M966" i="3"/>
  <c r="L967" i="3"/>
  <c r="L943" i="3"/>
  <c r="M942" i="3"/>
  <c r="F919" i="3"/>
  <c r="G918" i="3"/>
  <c r="F903" i="3"/>
  <c r="G902" i="3"/>
  <c r="M878" i="3"/>
  <c r="L879" i="3"/>
  <c r="O871" i="3"/>
  <c r="P870" i="3"/>
  <c r="M846" i="3"/>
  <c r="L847" i="3"/>
  <c r="R823" i="3"/>
  <c r="S822" i="3"/>
  <c r="R807" i="3"/>
  <c r="S806" i="3"/>
  <c r="P782" i="3"/>
  <c r="O783" i="3"/>
  <c r="C759" i="3"/>
  <c r="D758" i="3"/>
  <c r="I743" i="3"/>
  <c r="J742" i="3"/>
  <c r="G718" i="3"/>
  <c r="F719" i="3"/>
  <c r="C695" i="3"/>
  <c r="D694" i="3"/>
  <c r="I679" i="3"/>
  <c r="J678" i="3"/>
  <c r="P654" i="3"/>
  <c r="O655" i="3"/>
  <c r="L631" i="3"/>
  <c r="M630" i="3"/>
  <c r="R615" i="3"/>
  <c r="S614" i="3"/>
  <c r="L599" i="3"/>
  <c r="M598" i="3"/>
  <c r="O583" i="3"/>
  <c r="P582" i="3"/>
  <c r="L559" i="3"/>
  <c r="M558" i="3"/>
  <c r="G534" i="3"/>
  <c r="F535" i="3"/>
  <c r="M518" i="3"/>
  <c r="L519" i="3"/>
  <c r="S494" i="3"/>
  <c r="R495" i="3"/>
  <c r="O471" i="3"/>
  <c r="P470" i="3"/>
  <c r="G462" i="3"/>
  <c r="F463" i="3"/>
  <c r="C439" i="3"/>
  <c r="D438" i="3"/>
  <c r="J422" i="3"/>
  <c r="I423" i="3"/>
  <c r="P398" i="3"/>
  <c r="O399" i="3"/>
  <c r="F375" i="3"/>
  <c r="G374" i="3"/>
  <c r="O359" i="3"/>
  <c r="P358" i="3"/>
  <c r="J334" i="3"/>
  <c r="I335" i="3"/>
  <c r="O311" i="3"/>
  <c r="P310" i="3"/>
  <c r="D294" i="3"/>
  <c r="C295" i="3"/>
  <c r="J270" i="3"/>
  <c r="I271" i="3"/>
  <c r="D262" i="3"/>
  <c r="C263" i="3"/>
  <c r="J238" i="3"/>
  <c r="I239" i="3"/>
  <c r="I215" i="3"/>
  <c r="J214" i="3"/>
  <c r="R191" i="3"/>
  <c r="S190" i="3"/>
  <c r="M182" i="3"/>
  <c r="L183" i="3"/>
  <c r="D158" i="3"/>
  <c r="C159" i="3"/>
  <c r="O127" i="3"/>
  <c r="P126" i="3"/>
  <c r="C111" i="3"/>
  <c r="D110" i="3"/>
  <c r="O99" i="3"/>
  <c r="P98" i="3"/>
  <c r="R87" i="3"/>
  <c r="S86" i="3"/>
  <c r="F75" i="3"/>
  <c r="G74" i="3"/>
  <c r="P979" i="3"/>
  <c r="O980" i="3"/>
  <c r="M963" i="3"/>
  <c r="L964" i="3"/>
  <c r="L932" i="3"/>
  <c r="M931" i="3"/>
  <c r="C908" i="3"/>
  <c r="D907" i="3"/>
  <c r="R884" i="3"/>
  <c r="S883" i="3"/>
  <c r="R852" i="3"/>
  <c r="S851" i="3"/>
  <c r="G835" i="3"/>
  <c r="F836" i="3"/>
  <c r="O812" i="3"/>
  <c r="P811" i="3"/>
  <c r="L788" i="3"/>
  <c r="M787" i="3"/>
  <c r="R772" i="3"/>
  <c r="S771" i="3"/>
  <c r="F748" i="3"/>
  <c r="G747" i="3"/>
  <c r="L724" i="3"/>
  <c r="M723" i="3"/>
  <c r="L692" i="3"/>
  <c r="M691" i="3"/>
  <c r="L660" i="3"/>
  <c r="M659" i="3"/>
  <c r="R644" i="3"/>
  <c r="S643" i="3"/>
  <c r="O620" i="3"/>
  <c r="P619" i="3"/>
  <c r="R596" i="3"/>
  <c r="S595" i="3"/>
  <c r="P579" i="3"/>
  <c r="O580" i="3"/>
  <c r="R564" i="3"/>
  <c r="S563" i="3"/>
  <c r="P547" i="3"/>
  <c r="O548" i="3"/>
  <c r="O524" i="3"/>
  <c r="P523" i="3"/>
  <c r="D515" i="3"/>
  <c r="C516" i="3"/>
  <c r="F500" i="3"/>
  <c r="G499" i="3"/>
  <c r="O492" i="3"/>
  <c r="P491" i="3"/>
  <c r="L460" i="3"/>
  <c r="M459" i="3"/>
  <c r="L428" i="3"/>
  <c r="M427" i="3"/>
  <c r="L404" i="3"/>
  <c r="M403" i="3"/>
  <c r="R388" i="3"/>
  <c r="S387" i="3"/>
  <c r="F364" i="3"/>
  <c r="G363" i="3"/>
  <c r="F340" i="3"/>
  <c r="G339" i="3"/>
  <c r="C324" i="3"/>
  <c r="D323" i="3"/>
  <c r="J299" i="3"/>
  <c r="I300" i="3"/>
  <c r="F276" i="3"/>
  <c r="G275" i="3"/>
  <c r="C260" i="3"/>
  <c r="D259" i="3"/>
  <c r="J235" i="3"/>
  <c r="I236" i="3"/>
  <c r="R204" i="3"/>
  <c r="S203" i="3"/>
  <c r="C180" i="3"/>
  <c r="D179" i="3"/>
  <c r="F164" i="3"/>
  <c r="G163" i="3"/>
  <c r="R140" i="3"/>
  <c r="S139" i="3"/>
  <c r="J976" i="3"/>
  <c r="I977" i="3"/>
  <c r="S944" i="3"/>
  <c r="R945" i="3"/>
  <c r="I873" i="3"/>
  <c r="J872" i="3"/>
  <c r="S272" i="3"/>
  <c r="R273" i="3"/>
  <c r="C11" i="3"/>
  <c r="D10" i="3"/>
  <c r="S13" i="3"/>
  <c r="I967" i="3"/>
  <c r="J966" i="3"/>
  <c r="M894" i="3"/>
  <c r="L895" i="3"/>
  <c r="F831" i="3"/>
  <c r="G830" i="3"/>
  <c r="R743" i="3"/>
  <c r="S742" i="3"/>
  <c r="C719" i="3"/>
  <c r="D718" i="3"/>
  <c r="F647" i="3"/>
  <c r="G646" i="3"/>
  <c r="I591" i="3"/>
  <c r="J590" i="3"/>
  <c r="J518" i="3"/>
  <c r="I519" i="3"/>
  <c r="P446" i="3"/>
  <c r="O447" i="3"/>
  <c r="C367" i="3"/>
  <c r="D366" i="3"/>
  <c r="R319" i="3"/>
  <c r="S318" i="3"/>
  <c r="F263" i="3"/>
  <c r="G262" i="3"/>
  <c r="O183" i="3"/>
  <c r="P182" i="3"/>
  <c r="J118" i="3"/>
  <c r="I119" i="3"/>
  <c r="L79" i="3"/>
  <c r="M78" i="3"/>
  <c r="O964" i="3"/>
  <c r="P963" i="3"/>
  <c r="R900" i="3"/>
  <c r="S899" i="3"/>
  <c r="I868" i="3"/>
  <c r="J867" i="3"/>
  <c r="F804" i="3"/>
  <c r="G803" i="3"/>
  <c r="C756" i="3"/>
  <c r="D755" i="3"/>
  <c r="L676" i="3"/>
  <c r="M675" i="3"/>
  <c r="C628" i="3"/>
  <c r="D627" i="3"/>
  <c r="G571" i="3"/>
  <c r="F572" i="3"/>
  <c r="S507" i="3"/>
  <c r="R508" i="3"/>
  <c r="C452" i="3"/>
  <c r="D451" i="3"/>
  <c r="C412" i="3"/>
  <c r="D411" i="3"/>
  <c r="D371" i="3"/>
  <c r="C372" i="3"/>
  <c r="S283" i="3"/>
  <c r="R284" i="3"/>
  <c r="M219" i="3"/>
  <c r="L220" i="3"/>
  <c r="P179" i="3"/>
  <c r="O180" i="3"/>
  <c r="R993" i="3"/>
  <c r="S992" i="3"/>
  <c r="O937" i="3"/>
  <c r="P936" i="3"/>
  <c r="L873" i="3"/>
  <c r="M872" i="3"/>
  <c r="C801" i="3"/>
  <c r="D800" i="3"/>
  <c r="O745" i="3"/>
  <c r="P744" i="3"/>
  <c r="L689" i="3"/>
  <c r="M688" i="3"/>
  <c r="F625" i="3"/>
  <c r="G624" i="3"/>
  <c r="I577" i="3"/>
  <c r="J576" i="3"/>
  <c r="O529" i="3"/>
  <c r="P528" i="3"/>
  <c r="I489" i="3"/>
  <c r="J488" i="3"/>
  <c r="R449" i="3"/>
  <c r="S448" i="3"/>
  <c r="F425" i="3"/>
  <c r="G424" i="3"/>
  <c r="C385" i="3"/>
  <c r="D384" i="3"/>
  <c r="C361" i="3"/>
  <c r="D360" i="3"/>
  <c r="D320" i="3"/>
  <c r="C321" i="3"/>
  <c r="D288" i="3"/>
  <c r="C289" i="3"/>
  <c r="D256" i="3"/>
  <c r="C257" i="3"/>
  <c r="G224" i="3"/>
  <c r="F225" i="3"/>
  <c r="R169" i="3"/>
  <c r="S168" i="3"/>
  <c r="P133" i="3"/>
  <c r="O134" i="3"/>
  <c r="O106" i="3"/>
  <c r="P105" i="3"/>
  <c r="F82" i="3"/>
  <c r="G81" i="3"/>
  <c r="L982" i="3"/>
  <c r="M981" i="3"/>
  <c r="G941" i="3"/>
  <c r="F942" i="3"/>
  <c r="P901" i="3"/>
  <c r="O902" i="3"/>
  <c r="F878" i="3"/>
  <c r="G877" i="3"/>
  <c r="R838" i="3"/>
  <c r="S837" i="3"/>
  <c r="F790" i="3"/>
  <c r="G789" i="3"/>
  <c r="L742" i="3"/>
  <c r="M741" i="3"/>
  <c r="L678" i="3"/>
  <c r="M677" i="3"/>
  <c r="O630" i="3"/>
  <c r="P629" i="3"/>
  <c r="J589" i="3"/>
  <c r="I590" i="3"/>
  <c r="J557" i="3"/>
  <c r="I558" i="3"/>
  <c r="P517" i="3"/>
  <c r="O518" i="3"/>
  <c r="I470" i="3"/>
  <c r="J469" i="3"/>
  <c r="S429" i="3"/>
  <c r="R430" i="3"/>
  <c r="L390" i="3"/>
  <c r="M389" i="3"/>
  <c r="F358" i="3"/>
  <c r="G357" i="3"/>
  <c r="R310" i="3"/>
  <c r="S309" i="3"/>
  <c r="D269" i="3"/>
  <c r="C270" i="3"/>
  <c r="D237" i="3"/>
  <c r="C238" i="3"/>
  <c r="J197" i="3"/>
  <c r="I198" i="3"/>
  <c r="J165" i="3"/>
  <c r="I166" i="3"/>
  <c r="G978" i="3"/>
  <c r="F979" i="3"/>
  <c r="M938" i="3"/>
  <c r="L939" i="3"/>
  <c r="L891" i="3"/>
  <c r="M890" i="3"/>
  <c r="O851" i="3"/>
  <c r="P850" i="3"/>
  <c r="L827" i="3"/>
  <c r="M826" i="3"/>
  <c r="R787" i="3"/>
  <c r="S786" i="3"/>
  <c r="D746" i="3"/>
  <c r="C747" i="3"/>
  <c r="O960" i="3"/>
  <c r="P959" i="3"/>
  <c r="L856" i="3"/>
  <c r="M855" i="3"/>
  <c r="O424" i="3"/>
  <c r="P423" i="3"/>
  <c r="L999" i="3"/>
  <c r="M998" i="3"/>
  <c r="P974" i="3"/>
  <c r="O975" i="3"/>
  <c r="J950" i="3"/>
  <c r="I951" i="3"/>
  <c r="R935" i="3"/>
  <c r="S934" i="3"/>
  <c r="D910" i="3"/>
  <c r="C911" i="3"/>
  <c r="R887" i="3"/>
  <c r="S886" i="3"/>
  <c r="R855" i="3"/>
  <c r="S854" i="3"/>
  <c r="O839" i="3"/>
  <c r="P838" i="3"/>
  <c r="P814" i="3"/>
  <c r="O815" i="3"/>
  <c r="C791" i="3"/>
  <c r="D790" i="3"/>
  <c r="R775" i="3"/>
  <c r="S774" i="3"/>
  <c r="G750" i="3"/>
  <c r="F751" i="3"/>
  <c r="C727" i="3"/>
  <c r="D726" i="3"/>
  <c r="I711" i="3"/>
  <c r="J710" i="3"/>
  <c r="G686" i="3"/>
  <c r="F687" i="3"/>
  <c r="L663" i="3"/>
  <c r="M662" i="3"/>
  <c r="R647" i="3"/>
  <c r="S646" i="3"/>
  <c r="P622" i="3"/>
  <c r="O623" i="3"/>
  <c r="L591" i="3"/>
  <c r="M590" i="3"/>
  <c r="R567" i="3"/>
  <c r="S566" i="3"/>
  <c r="O551" i="3"/>
  <c r="P550" i="3"/>
  <c r="S526" i="3"/>
  <c r="R527" i="3"/>
  <c r="O503" i="3"/>
  <c r="P502" i="3"/>
  <c r="M486" i="3"/>
  <c r="L487" i="3"/>
  <c r="J454" i="3"/>
  <c r="I455" i="3"/>
  <c r="G430" i="3"/>
  <c r="F431" i="3"/>
  <c r="F407" i="3"/>
  <c r="G406" i="3"/>
  <c r="S390" i="3"/>
  <c r="R391" i="3"/>
  <c r="P366" i="3"/>
  <c r="O367" i="3"/>
  <c r="O343" i="3"/>
  <c r="P342" i="3"/>
  <c r="D326" i="3"/>
  <c r="C327" i="3"/>
  <c r="J302" i="3"/>
  <c r="I303" i="3"/>
  <c r="O279" i="3"/>
  <c r="P278" i="3"/>
  <c r="O247" i="3"/>
  <c r="P246" i="3"/>
  <c r="D230" i="3"/>
  <c r="C231" i="3"/>
  <c r="M206" i="3"/>
  <c r="L207" i="3"/>
  <c r="O167" i="3"/>
  <c r="P166" i="3"/>
  <c r="O143" i="3"/>
  <c r="P142" i="3"/>
  <c r="D134" i="3"/>
  <c r="C135" i="3"/>
  <c r="F123" i="3"/>
  <c r="G122" i="3"/>
  <c r="G118" i="3"/>
  <c r="F119" i="3"/>
  <c r="C107" i="3"/>
  <c r="D106" i="3"/>
  <c r="G94" i="3"/>
  <c r="F95" i="3"/>
  <c r="S82" i="3"/>
  <c r="R83" i="3"/>
  <c r="L71" i="3"/>
  <c r="M70" i="3"/>
  <c r="G995" i="3"/>
  <c r="F996" i="3"/>
  <c r="J971" i="3"/>
  <c r="I972" i="3"/>
  <c r="F948" i="3"/>
  <c r="G947" i="3"/>
  <c r="F940" i="3"/>
  <c r="G939" i="3"/>
  <c r="F916" i="3"/>
  <c r="G915" i="3"/>
  <c r="F900" i="3"/>
  <c r="G899" i="3"/>
  <c r="C876" i="3"/>
  <c r="D875" i="3"/>
  <c r="G867" i="3"/>
  <c r="F868" i="3"/>
  <c r="C844" i="3"/>
  <c r="D843" i="3"/>
  <c r="R820" i="3"/>
  <c r="S819" i="3"/>
  <c r="R804" i="3"/>
  <c r="S803" i="3"/>
  <c r="O780" i="3"/>
  <c r="P779" i="3"/>
  <c r="F756" i="3"/>
  <c r="G755" i="3"/>
  <c r="J739" i="3"/>
  <c r="I740" i="3"/>
  <c r="F716" i="3"/>
  <c r="G715" i="3"/>
  <c r="J707" i="3"/>
  <c r="I708" i="3"/>
  <c r="F684" i="3"/>
  <c r="G683" i="3"/>
  <c r="I676" i="3"/>
  <c r="J675" i="3"/>
  <c r="O652" i="3"/>
  <c r="P651" i="3"/>
  <c r="L628" i="3"/>
  <c r="M627" i="3"/>
  <c r="R612" i="3"/>
  <c r="S611" i="3"/>
  <c r="L588" i="3"/>
  <c r="M587" i="3"/>
  <c r="L556" i="3"/>
  <c r="M555" i="3"/>
  <c r="F532" i="3"/>
  <c r="G531" i="3"/>
  <c r="D483" i="3"/>
  <c r="C484" i="3"/>
  <c r="F468" i="3"/>
  <c r="G467" i="3"/>
  <c r="I452" i="3"/>
  <c r="J451" i="3"/>
  <c r="F436" i="3"/>
  <c r="G435" i="3"/>
  <c r="I420" i="3"/>
  <c r="J419" i="3"/>
  <c r="F396" i="3"/>
  <c r="G395" i="3"/>
  <c r="L372" i="3"/>
  <c r="M371" i="3"/>
  <c r="C356" i="3"/>
  <c r="D355" i="3"/>
  <c r="J331" i="3"/>
  <c r="I332" i="3"/>
  <c r="F308" i="3"/>
  <c r="G307" i="3"/>
  <c r="C292" i="3"/>
  <c r="D291" i="3"/>
  <c r="J267" i="3"/>
  <c r="I268" i="3"/>
  <c r="F244" i="3"/>
  <c r="G243" i="3"/>
  <c r="F228" i="3"/>
  <c r="G227" i="3"/>
  <c r="C212" i="3"/>
  <c r="D211" i="3"/>
  <c r="F196" i="3"/>
  <c r="G195" i="3"/>
  <c r="R172" i="3"/>
  <c r="S171" i="3"/>
  <c r="C148" i="3"/>
  <c r="D147" i="3"/>
  <c r="R92" i="3"/>
  <c r="S91" i="3"/>
  <c r="M984" i="3"/>
  <c r="L985" i="3"/>
  <c r="S968" i="3"/>
  <c r="R969" i="3"/>
  <c r="O953" i="3"/>
  <c r="P952" i="3"/>
  <c r="M936" i="3"/>
  <c r="L937" i="3"/>
  <c r="O921" i="3"/>
  <c r="P920" i="3"/>
  <c r="L913" i="3"/>
  <c r="M912" i="3"/>
  <c r="O905" i="3"/>
  <c r="P904" i="3"/>
  <c r="L889" i="3"/>
  <c r="M888" i="3"/>
  <c r="G880" i="3"/>
  <c r="F881" i="3"/>
  <c r="R857" i="3"/>
  <c r="S856" i="3"/>
  <c r="G848" i="3"/>
  <c r="F849" i="3"/>
  <c r="I841" i="3"/>
  <c r="J840" i="3"/>
  <c r="R825" i="3"/>
  <c r="S824" i="3"/>
  <c r="S816" i="3"/>
  <c r="R817" i="3"/>
  <c r="L809" i="3"/>
  <c r="M808" i="3"/>
  <c r="O793" i="3"/>
  <c r="P792" i="3"/>
  <c r="S784" i="3"/>
  <c r="R785" i="3"/>
  <c r="L777" i="3"/>
  <c r="M776" i="3"/>
  <c r="O761" i="3"/>
  <c r="P760" i="3"/>
  <c r="J752" i="3"/>
  <c r="I753" i="3"/>
  <c r="C745" i="3"/>
  <c r="D744" i="3"/>
  <c r="L729" i="3"/>
  <c r="M728" i="3"/>
  <c r="J720" i="3"/>
  <c r="I721" i="3"/>
  <c r="C713" i="3"/>
  <c r="D712" i="3"/>
  <c r="L697" i="3"/>
  <c r="M696" i="3"/>
  <c r="J688" i="3"/>
  <c r="I689" i="3"/>
  <c r="C681" i="3"/>
  <c r="D680" i="3"/>
  <c r="P664" i="3"/>
  <c r="O665" i="3"/>
  <c r="S656" i="3"/>
  <c r="R657" i="3"/>
  <c r="L649" i="3"/>
  <c r="M648" i="3"/>
  <c r="O633" i="3"/>
  <c r="P632" i="3"/>
  <c r="S624" i="3"/>
  <c r="R625" i="3"/>
  <c r="L617" i="3"/>
  <c r="M616" i="3"/>
  <c r="O601" i="3"/>
  <c r="P600" i="3"/>
  <c r="P592" i="3"/>
  <c r="O593" i="3"/>
  <c r="R585" i="3"/>
  <c r="S584" i="3"/>
  <c r="L569" i="3"/>
  <c r="M568" i="3"/>
  <c r="P560" i="3"/>
  <c r="O561" i="3"/>
  <c r="R553" i="3"/>
  <c r="S552" i="3"/>
  <c r="F537" i="3"/>
  <c r="G536" i="3"/>
  <c r="D528" i="3"/>
  <c r="C529" i="3"/>
  <c r="G520" i="3"/>
  <c r="F521" i="3"/>
  <c r="R505" i="3"/>
  <c r="S504" i="3"/>
  <c r="D496" i="3"/>
  <c r="C497" i="3"/>
  <c r="G488" i="3"/>
  <c r="F489" i="3"/>
  <c r="R473" i="3"/>
  <c r="S472" i="3"/>
  <c r="J464" i="3"/>
  <c r="I465" i="3"/>
  <c r="D456" i="3"/>
  <c r="C457" i="3"/>
  <c r="L441" i="3"/>
  <c r="M440" i="3"/>
  <c r="J432" i="3"/>
  <c r="I433" i="3"/>
  <c r="D424" i="3"/>
  <c r="C425" i="3"/>
  <c r="O409" i="3"/>
  <c r="P408" i="3"/>
  <c r="S400" i="3"/>
  <c r="R401" i="3"/>
  <c r="M392" i="3"/>
  <c r="L393" i="3"/>
  <c r="O377" i="3"/>
  <c r="P376" i="3"/>
  <c r="S368" i="3"/>
  <c r="R369" i="3"/>
  <c r="R361" i="3"/>
  <c r="S360" i="3"/>
  <c r="I345" i="3"/>
  <c r="J344" i="3"/>
  <c r="S336" i="3"/>
  <c r="R337" i="3"/>
  <c r="L329" i="3"/>
  <c r="M328" i="3"/>
  <c r="I313" i="3"/>
  <c r="J312" i="3"/>
  <c r="S304" i="3"/>
  <c r="R305" i="3"/>
  <c r="L297" i="3"/>
  <c r="M296" i="3"/>
  <c r="I281" i="3"/>
  <c r="J280" i="3"/>
  <c r="L265" i="3"/>
  <c r="M264" i="3"/>
  <c r="I249" i="3"/>
  <c r="J248" i="3"/>
  <c r="S240" i="3"/>
  <c r="R241" i="3"/>
  <c r="L233" i="3"/>
  <c r="M232" i="3"/>
  <c r="L217" i="3"/>
  <c r="M216" i="3"/>
  <c r="C209" i="3"/>
  <c r="D208" i="3"/>
  <c r="O201" i="3"/>
  <c r="P200" i="3"/>
  <c r="L185" i="3"/>
  <c r="M184" i="3"/>
  <c r="C177" i="3"/>
  <c r="D176" i="3"/>
  <c r="O169" i="3"/>
  <c r="P168" i="3"/>
  <c r="L153" i="3"/>
  <c r="M152" i="3"/>
  <c r="C145" i="3"/>
  <c r="D144" i="3"/>
  <c r="O137" i="3"/>
  <c r="P136" i="3"/>
  <c r="I130" i="3"/>
  <c r="J129" i="3"/>
  <c r="C126" i="3"/>
  <c r="D125" i="3"/>
  <c r="D117" i="3"/>
  <c r="C118" i="3"/>
  <c r="M113" i="3"/>
  <c r="L114" i="3"/>
  <c r="I106" i="3"/>
  <c r="J105" i="3"/>
  <c r="J101" i="3"/>
  <c r="I102" i="3"/>
  <c r="O98" i="3"/>
  <c r="P97" i="3"/>
  <c r="C90" i="3"/>
  <c r="D89" i="3"/>
  <c r="C86" i="3"/>
  <c r="D85" i="3"/>
  <c r="O78" i="3"/>
  <c r="P77" i="3"/>
  <c r="F74" i="3"/>
  <c r="G73" i="3"/>
  <c r="G119" i="3"/>
  <c r="F120" i="3"/>
  <c r="R990" i="3"/>
  <c r="S989" i="3"/>
  <c r="J981" i="3"/>
  <c r="I982" i="3"/>
  <c r="J973" i="3"/>
  <c r="I974" i="3"/>
  <c r="P957" i="3"/>
  <c r="O958" i="3"/>
  <c r="P949" i="3"/>
  <c r="O950" i="3"/>
  <c r="L942" i="3"/>
  <c r="M941" i="3"/>
  <c r="I926" i="3"/>
  <c r="J925" i="3"/>
  <c r="I918" i="3"/>
  <c r="J917" i="3"/>
  <c r="I910" i="3"/>
  <c r="J909" i="3"/>
  <c r="R894" i="3"/>
  <c r="S893" i="3"/>
  <c r="P885" i="3"/>
  <c r="O886" i="3"/>
  <c r="R878" i="3"/>
  <c r="S877" i="3"/>
  <c r="F862" i="3"/>
  <c r="G861" i="3"/>
  <c r="I854" i="3"/>
  <c r="J853" i="3"/>
  <c r="L838" i="3"/>
  <c r="M837" i="3"/>
  <c r="F830" i="3"/>
  <c r="G829" i="3"/>
  <c r="I822" i="3"/>
  <c r="J821" i="3"/>
  <c r="O806" i="3"/>
  <c r="P805" i="3"/>
  <c r="I798" i="3"/>
  <c r="J797" i="3"/>
  <c r="D789" i="3"/>
  <c r="C790" i="3"/>
  <c r="O774" i="3"/>
  <c r="P773" i="3"/>
  <c r="I766" i="3"/>
  <c r="J765" i="3"/>
  <c r="D757" i="3"/>
  <c r="C758" i="3"/>
  <c r="F742" i="3"/>
  <c r="G741" i="3"/>
  <c r="J733" i="3"/>
  <c r="I734" i="3"/>
  <c r="D725" i="3"/>
  <c r="C726" i="3"/>
  <c r="F710" i="3"/>
  <c r="G709" i="3"/>
  <c r="J701" i="3"/>
  <c r="I702" i="3"/>
  <c r="D693" i="3"/>
  <c r="C694" i="3"/>
  <c r="F678" i="3"/>
  <c r="G677" i="3"/>
  <c r="J669" i="3"/>
  <c r="I670" i="3"/>
  <c r="D661" i="3"/>
  <c r="C662" i="3"/>
  <c r="F646" i="3"/>
  <c r="G645" i="3"/>
  <c r="I638" i="3"/>
  <c r="J637" i="3"/>
  <c r="D629" i="3"/>
  <c r="C630" i="3"/>
  <c r="F614" i="3"/>
  <c r="G613" i="3"/>
  <c r="I606" i="3"/>
  <c r="J605" i="3"/>
  <c r="S597" i="3"/>
  <c r="R598" i="3"/>
  <c r="L582" i="3"/>
  <c r="M581" i="3"/>
  <c r="O574" i="3"/>
  <c r="P573" i="3"/>
  <c r="R566" i="3"/>
  <c r="S565" i="3"/>
  <c r="L550" i="3"/>
  <c r="M549" i="3"/>
  <c r="F542" i="3"/>
  <c r="G541" i="3"/>
  <c r="R534" i="3"/>
  <c r="S533" i="3"/>
  <c r="C518" i="3"/>
  <c r="D517" i="3"/>
  <c r="R510" i="3"/>
  <c r="S509" i="3"/>
  <c r="F502" i="3"/>
  <c r="G501" i="3"/>
  <c r="C486" i="3"/>
  <c r="D485" i="3"/>
  <c r="R478" i="3"/>
  <c r="S477" i="3"/>
  <c r="F470" i="3"/>
  <c r="G469" i="3"/>
  <c r="F454" i="3"/>
  <c r="G453" i="3"/>
  <c r="J445" i="3"/>
  <c r="I446" i="3"/>
  <c r="C438" i="3"/>
  <c r="D437" i="3"/>
  <c r="F422" i="3"/>
  <c r="G421" i="3"/>
  <c r="F414" i="3"/>
  <c r="G413" i="3"/>
  <c r="D405" i="3"/>
  <c r="C406" i="3"/>
  <c r="F390" i="3"/>
  <c r="G389" i="3"/>
  <c r="O382" i="3"/>
  <c r="P381" i="3"/>
  <c r="D373" i="3"/>
  <c r="C374" i="3"/>
  <c r="O358" i="3"/>
  <c r="P357" i="3"/>
  <c r="I350" i="3"/>
  <c r="J349" i="3"/>
  <c r="M341" i="3"/>
  <c r="L342" i="3"/>
  <c r="O326" i="3"/>
  <c r="P325" i="3"/>
  <c r="I318" i="3"/>
  <c r="J317" i="3"/>
  <c r="M309" i="3"/>
  <c r="L310" i="3"/>
  <c r="O294" i="3"/>
  <c r="P293" i="3"/>
  <c r="I286" i="3"/>
  <c r="J285" i="3"/>
  <c r="M277" i="3"/>
  <c r="L278" i="3"/>
  <c r="O262" i="3"/>
  <c r="P261" i="3"/>
  <c r="I254" i="3"/>
  <c r="J253" i="3"/>
  <c r="M245" i="3"/>
  <c r="L246" i="3"/>
  <c r="R230" i="3"/>
  <c r="S229" i="3"/>
  <c r="L222" i="3"/>
  <c r="M221" i="3"/>
  <c r="P213" i="3"/>
  <c r="O214" i="3"/>
  <c r="R198" i="3"/>
  <c r="S197" i="3"/>
  <c r="L190" i="3"/>
  <c r="M189" i="3"/>
  <c r="P181" i="3"/>
  <c r="O182" i="3"/>
  <c r="R166" i="3"/>
  <c r="S165" i="3"/>
  <c r="L158" i="3"/>
  <c r="M157" i="3"/>
  <c r="P149" i="3"/>
  <c r="O150" i="3"/>
  <c r="L706" i="3"/>
  <c r="M705" i="3"/>
  <c r="I618" i="3"/>
  <c r="J617" i="3"/>
  <c r="R586" i="3"/>
  <c r="S585" i="3"/>
  <c r="J513" i="3"/>
  <c r="I514" i="3"/>
  <c r="D497" i="3"/>
  <c r="C498" i="3"/>
  <c r="I418" i="3"/>
  <c r="J417" i="3"/>
  <c r="G401" i="3"/>
  <c r="F402" i="3"/>
  <c r="J393" i="3"/>
  <c r="I394" i="3"/>
  <c r="C370" i="3"/>
  <c r="D369" i="3"/>
  <c r="P353" i="3"/>
  <c r="O354" i="3"/>
  <c r="S345" i="3"/>
  <c r="R346" i="3"/>
  <c r="F290" i="3"/>
  <c r="G289" i="3"/>
  <c r="P265" i="3"/>
  <c r="O266" i="3"/>
  <c r="S241" i="3"/>
  <c r="R242" i="3"/>
  <c r="I218" i="3"/>
  <c r="J217" i="3"/>
  <c r="S193" i="3"/>
  <c r="R194" i="3"/>
  <c r="L162" i="3"/>
  <c r="M161" i="3"/>
  <c r="I138" i="3"/>
  <c r="J137" i="3"/>
  <c r="J985" i="3"/>
  <c r="I986" i="3"/>
  <c r="F978" i="3"/>
  <c r="G977" i="3"/>
  <c r="P969" i="3"/>
  <c r="O970" i="3"/>
  <c r="I954" i="3"/>
  <c r="J953" i="3"/>
  <c r="R946" i="3"/>
  <c r="S945" i="3"/>
  <c r="I938" i="3"/>
  <c r="J937" i="3"/>
  <c r="L922" i="3"/>
  <c r="M921" i="3"/>
  <c r="C914" i="3"/>
  <c r="D913" i="3"/>
  <c r="L906" i="3"/>
  <c r="M905" i="3"/>
  <c r="F890" i="3"/>
  <c r="G889" i="3"/>
  <c r="D881" i="3"/>
  <c r="C882" i="3"/>
  <c r="F874" i="3"/>
  <c r="G873" i="3"/>
  <c r="I858" i="3"/>
  <c r="J857" i="3"/>
  <c r="D849" i="3"/>
  <c r="C850" i="3"/>
  <c r="F842" i="3"/>
  <c r="G841" i="3"/>
  <c r="I826" i="3"/>
  <c r="J825" i="3"/>
  <c r="G817" i="3"/>
  <c r="F818" i="3"/>
  <c r="I810" i="3"/>
  <c r="J809" i="3"/>
  <c r="R794" i="3"/>
  <c r="S793" i="3"/>
  <c r="G785" i="3"/>
  <c r="F786" i="3"/>
  <c r="I778" i="3"/>
  <c r="J777" i="3"/>
  <c r="R762" i="3"/>
  <c r="S761" i="3"/>
  <c r="L754" i="3"/>
  <c r="M753" i="3"/>
  <c r="P745" i="3"/>
  <c r="O746" i="3"/>
  <c r="R730" i="3"/>
  <c r="S729" i="3"/>
  <c r="L722" i="3"/>
  <c r="M721" i="3"/>
  <c r="P713" i="3"/>
  <c r="O714" i="3"/>
  <c r="R674" i="3"/>
  <c r="S673" i="3"/>
  <c r="I666" i="3"/>
  <c r="J665" i="3"/>
  <c r="I650" i="3"/>
  <c r="J649" i="3"/>
  <c r="C634" i="3"/>
  <c r="D633" i="3"/>
  <c r="G625" i="3"/>
  <c r="F626" i="3"/>
  <c r="I602" i="3"/>
  <c r="J601" i="3"/>
  <c r="R546" i="3"/>
  <c r="S545" i="3"/>
  <c r="M537" i="3"/>
  <c r="L538" i="3"/>
  <c r="D489" i="3"/>
  <c r="C490" i="3"/>
  <c r="L466" i="3"/>
  <c r="M465" i="3"/>
  <c r="C458" i="3"/>
  <c r="D457" i="3"/>
  <c r="O450" i="3"/>
  <c r="P449" i="3"/>
  <c r="C378" i="3"/>
  <c r="D377" i="3"/>
  <c r="P337" i="3"/>
  <c r="O338" i="3"/>
  <c r="S329" i="3"/>
  <c r="R330" i="3"/>
  <c r="F274" i="3"/>
  <c r="G273" i="3"/>
  <c r="P233" i="3"/>
  <c r="O234" i="3"/>
  <c r="L202" i="3"/>
  <c r="M201" i="3"/>
  <c r="I170" i="3"/>
  <c r="J169" i="3"/>
  <c r="R135" i="3"/>
  <c r="S134" i="3"/>
  <c r="R975" i="3"/>
  <c r="S974" i="3"/>
  <c r="R903" i="3"/>
  <c r="S902" i="3"/>
  <c r="C839" i="3"/>
  <c r="D838" i="3"/>
  <c r="F775" i="3"/>
  <c r="G774" i="3"/>
  <c r="P702" i="3"/>
  <c r="O703" i="3"/>
  <c r="C623" i="3"/>
  <c r="D622" i="3"/>
  <c r="C583" i="3"/>
  <c r="D582" i="3"/>
  <c r="F495" i="3"/>
  <c r="G494" i="3"/>
  <c r="L455" i="3"/>
  <c r="M454" i="3"/>
  <c r="C399" i="3"/>
  <c r="D398" i="3"/>
  <c r="R351" i="3"/>
  <c r="S350" i="3"/>
  <c r="R287" i="3"/>
  <c r="S286" i="3"/>
  <c r="O231" i="3"/>
  <c r="P230" i="3"/>
  <c r="D174" i="3"/>
  <c r="C175" i="3"/>
  <c r="G126" i="3"/>
  <c r="F127" i="3"/>
  <c r="S90" i="3"/>
  <c r="R91" i="3"/>
  <c r="L988" i="3"/>
  <c r="M987" i="3"/>
  <c r="S923" i="3"/>
  <c r="R924" i="3"/>
  <c r="L860" i="3"/>
  <c r="M859" i="3"/>
  <c r="C788" i="3"/>
  <c r="D787" i="3"/>
  <c r="C740" i="3"/>
  <c r="D739" i="3"/>
  <c r="P667" i="3"/>
  <c r="O668" i="3"/>
  <c r="F612" i="3"/>
  <c r="G611" i="3"/>
  <c r="I564" i="3"/>
  <c r="J563" i="3"/>
  <c r="S475" i="3"/>
  <c r="R476" i="3"/>
  <c r="C420" i="3"/>
  <c r="D419" i="3"/>
  <c r="O356" i="3"/>
  <c r="P355" i="3"/>
  <c r="O292" i="3"/>
  <c r="P291" i="3"/>
  <c r="I228" i="3"/>
  <c r="J227" i="3"/>
  <c r="C977" i="3"/>
  <c r="D976" i="3"/>
  <c r="D928" i="3"/>
  <c r="C929" i="3"/>
  <c r="L841" i="3"/>
  <c r="M840" i="3"/>
  <c r="J648" i="3"/>
  <c r="I649" i="3"/>
  <c r="F758" i="3"/>
  <c r="G757" i="3"/>
  <c r="O987" i="3"/>
  <c r="P986" i="3"/>
  <c r="M954" i="3"/>
  <c r="L955" i="3"/>
  <c r="L931" i="3"/>
  <c r="M930" i="3"/>
  <c r="C907" i="3"/>
  <c r="D906" i="3"/>
  <c r="P898" i="3"/>
  <c r="O899" i="3"/>
  <c r="F875" i="3"/>
  <c r="G874" i="3"/>
  <c r="F843" i="3"/>
  <c r="G842" i="3"/>
  <c r="C827" i="3"/>
  <c r="D826" i="3"/>
  <c r="D802" i="3"/>
  <c r="C803" i="3"/>
  <c r="I779" i="3"/>
  <c r="J778" i="3"/>
  <c r="F763" i="3"/>
  <c r="G762" i="3"/>
  <c r="S738" i="3"/>
  <c r="R739" i="3"/>
  <c r="L992" i="3"/>
  <c r="M991" i="3"/>
  <c r="S975" i="3"/>
  <c r="R976" i="3"/>
  <c r="L952" i="3"/>
  <c r="M951" i="3"/>
  <c r="I928" i="3"/>
  <c r="J927" i="3"/>
  <c r="R912" i="3"/>
  <c r="S911" i="3"/>
  <c r="I888" i="3"/>
  <c r="J887" i="3"/>
  <c r="F864" i="3"/>
  <c r="G863" i="3"/>
  <c r="F832" i="3"/>
  <c r="G831" i="3"/>
  <c r="J823" i="3"/>
  <c r="I824" i="3"/>
  <c r="C792" i="3"/>
  <c r="D791" i="3"/>
  <c r="I768" i="3"/>
  <c r="J767" i="3"/>
  <c r="C760" i="3"/>
  <c r="D759" i="3"/>
  <c r="I736" i="3"/>
  <c r="J735" i="3"/>
  <c r="M719" i="3"/>
  <c r="L720" i="3"/>
  <c r="I704" i="3"/>
  <c r="J703" i="3"/>
  <c r="M687" i="3"/>
  <c r="L688" i="3"/>
  <c r="C664" i="3"/>
  <c r="D663" i="3"/>
  <c r="I640" i="3"/>
  <c r="J639" i="3"/>
  <c r="F624" i="3"/>
  <c r="G623" i="3"/>
  <c r="C600" i="3"/>
  <c r="D599" i="3"/>
  <c r="F576" i="3"/>
  <c r="G575" i="3"/>
  <c r="D559" i="3"/>
  <c r="C560" i="3"/>
  <c r="I536" i="3"/>
  <c r="J535" i="3"/>
  <c r="R512" i="3"/>
  <c r="S511" i="3"/>
  <c r="P495" i="3"/>
  <c r="O496" i="3"/>
  <c r="L472" i="3"/>
  <c r="M471" i="3"/>
  <c r="O448" i="3"/>
  <c r="P447" i="3"/>
  <c r="M431" i="3"/>
  <c r="L432" i="3"/>
  <c r="R408" i="3"/>
  <c r="S407" i="3"/>
  <c r="R376" i="3"/>
  <c r="S375" i="3"/>
  <c r="L352" i="3"/>
  <c r="M351" i="3"/>
  <c r="G335" i="3"/>
  <c r="F336" i="3"/>
  <c r="R312" i="3"/>
  <c r="S311" i="3"/>
  <c r="L288" i="3"/>
  <c r="M287" i="3"/>
  <c r="G271" i="3"/>
  <c r="F272" i="3"/>
  <c r="R248" i="3"/>
  <c r="S247" i="3"/>
  <c r="G239" i="3"/>
  <c r="F240" i="3"/>
  <c r="L200" i="3"/>
  <c r="M199" i="3"/>
  <c r="D183" i="3"/>
  <c r="C184" i="3"/>
  <c r="D159" i="3"/>
  <c r="C160" i="3"/>
  <c r="F144" i="3"/>
  <c r="G143" i="3"/>
  <c r="L989" i="3"/>
  <c r="M988" i="3"/>
  <c r="L965" i="3"/>
  <c r="M964" i="3"/>
  <c r="M956" i="3"/>
  <c r="L957" i="3"/>
  <c r="P924" i="3"/>
  <c r="O925" i="3"/>
  <c r="J900" i="3"/>
  <c r="I901" i="3"/>
  <c r="O877" i="3"/>
  <c r="P876" i="3"/>
  <c r="O845" i="3"/>
  <c r="P844" i="3"/>
  <c r="R813" i="3"/>
  <c r="S812" i="3"/>
  <c r="C805" i="3"/>
  <c r="D804" i="3"/>
  <c r="R781" i="3"/>
  <c r="S780" i="3"/>
  <c r="G764" i="3"/>
  <c r="F765" i="3"/>
  <c r="C741" i="3"/>
  <c r="D740" i="3"/>
  <c r="I717" i="3"/>
  <c r="J716" i="3"/>
  <c r="G700" i="3"/>
  <c r="F701" i="3"/>
  <c r="C677" i="3"/>
  <c r="D676" i="3"/>
  <c r="I653" i="3"/>
  <c r="J652" i="3"/>
  <c r="G636" i="3"/>
  <c r="F637" i="3"/>
  <c r="C613" i="3"/>
  <c r="D612" i="3"/>
  <c r="O589" i="3"/>
  <c r="P588" i="3"/>
  <c r="M572" i="3"/>
  <c r="L573" i="3"/>
  <c r="R549" i="3"/>
  <c r="S548" i="3"/>
  <c r="C525" i="3"/>
  <c r="D524" i="3"/>
  <c r="I509" i="3"/>
  <c r="J508" i="3"/>
  <c r="C493" i="3"/>
  <c r="D492" i="3"/>
  <c r="I477" i="3"/>
  <c r="J476" i="3"/>
  <c r="C461" i="3"/>
  <c r="D460" i="3"/>
  <c r="F445" i="3"/>
  <c r="G444" i="3"/>
  <c r="R421" i="3"/>
  <c r="S420" i="3"/>
  <c r="L397" i="3"/>
  <c r="M396" i="3"/>
  <c r="G380" i="3"/>
  <c r="F381" i="3"/>
  <c r="G356" i="3"/>
  <c r="F357" i="3"/>
  <c r="C333" i="3"/>
  <c r="D332" i="3"/>
  <c r="J316" i="3"/>
  <c r="I317" i="3"/>
  <c r="P292" i="3"/>
  <c r="O293" i="3"/>
  <c r="L269" i="3"/>
  <c r="M268" i="3"/>
  <c r="R245" i="3"/>
  <c r="S244" i="3"/>
  <c r="C229" i="3"/>
  <c r="D228" i="3"/>
  <c r="J204" i="3"/>
  <c r="I205" i="3"/>
  <c r="J172" i="3"/>
  <c r="I173" i="3"/>
  <c r="F149" i="3"/>
  <c r="G148" i="3"/>
  <c r="F132" i="3"/>
  <c r="G131" i="3"/>
  <c r="F131" i="3"/>
  <c r="O120" i="3"/>
  <c r="P119" i="3"/>
  <c r="I108" i="3"/>
  <c r="J107" i="3"/>
  <c r="C92" i="3"/>
  <c r="D91" i="3"/>
  <c r="I80" i="3"/>
  <c r="J79" i="3"/>
  <c r="I79" i="3"/>
  <c r="I76" i="3"/>
  <c r="J75" i="3"/>
  <c r="S706" i="3"/>
  <c r="R707" i="3"/>
  <c r="O555" i="3"/>
  <c r="P554" i="3"/>
  <c r="L435" i="3"/>
  <c r="M434" i="3"/>
  <c r="M274" i="3"/>
  <c r="L275" i="3"/>
  <c r="P266" i="3"/>
  <c r="O267" i="3"/>
  <c r="I235" i="3"/>
  <c r="J234" i="3"/>
  <c r="P202" i="3"/>
  <c r="O203" i="3"/>
  <c r="C155" i="3"/>
  <c r="D154" i="3"/>
  <c r="R129" i="3"/>
  <c r="S128" i="3"/>
  <c r="G120" i="3"/>
  <c r="F121" i="3"/>
  <c r="O85" i="3"/>
  <c r="P84" i="3"/>
  <c r="F73" i="3"/>
  <c r="G72" i="3"/>
  <c r="F18" i="3"/>
  <c r="G17" i="3"/>
  <c r="J990" i="3"/>
  <c r="I991" i="3"/>
  <c r="O911" i="3"/>
  <c r="P910" i="3"/>
  <c r="I847" i="3"/>
  <c r="J846" i="3"/>
  <c r="I767" i="3"/>
  <c r="J766" i="3"/>
  <c r="R711" i="3"/>
  <c r="S710" i="3"/>
  <c r="I639" i="3"/>
  <c r="J638" i="3"/>
  <c r="G574" i="3"/>
  <c r="F575" i="3"/>
  <c r="C511" i="3"/>
  <c r="D510" i="3"/>
  <c r="C479" i="3"/>
  <c r="D478" i="3"/>
  <c r="L391" i="3"/>
  <c r="M390" i="3"/>
  <c r="L303" i="3"/>
  <c r="M302" i="3"/>
  <c r="R255" i="3"/>
  <c r="S254" i="3"/>
  <c r="R207" i="3"/>
  <c r="S206" i="3"/>
  <c r="D150" i="3"/>
  <c r="C151" i="3"/>
  <c r="C115" i="3"/>
  <c r="D114" i="3"/>
  <c r="F83" i="3"/>
  <c r="G82" i="3"/>
  <c r="L980" i="3"/>
  <c r="M979" i="3"/>
  <c r="L916" i="3"/>
  <c r="M915" i="3"/>
  <c r="O852" i="3"/>
  <c r="P851" i="3"/>
  <c r="J795" i="3"/>
  <c r="I796" i="3"/>
  <c r="P731" i="3"/>
  <c r="O732" i="3"/>
  <c r="C708" i="3"/>
  <c r="D707" i="3"/>
  <c r="C660" i="3"/>
  <c r="D659" i="3"/>
  <c r="I596" i="3"/>
  <c r="J595" i="3"/>
  <c r="L532" i="3"/>
  <c r="M531" i="3"/>
  <c r="I484" i="3"/>
  <c r="J483" i="3"/>
  <c r="S435" i="3"/>
  <c r="R436" i="3"/>
  <c r="M339" i="3"/>
  <c r="L340" i="3"/>
  <c r="M275" i="3"/>
  <c r="L276" i="3"/>
  <c r="M187" i="3"/>
  <c r="L188" i="3"/>
  <c r="L208" i="3"/>
  <c r="M207" i="3"/>
  <c r="L969" i="3"/>
  <c r="M968" i="3"/>
  <c r="C905" i="3"/>
  <c r="D904" i="3"/>
  <c r="P864" i="3"/>
  <c r="O865" i="3"/>
  <c r="J808" i="3"/>
  <c r="I809" i="3"/>
  <c r="F753" i="3"/>
  <c r="G752" i="3"/>
  <c r="O713" i="3"/>
  <c r="P712" i="3"/>
  <c r="R673" i="3"/>
  <c r="S672" i="3"/>
  <c r="F657" i="3"/>
  <c r="G656" i="3"/>
  <c r="C609" i="3"/>
  <c r="D608" i="3"/>
  <c r="C561" i="3"/>
  <c r="D560" i="3"/>
  <c r="I521" i="3"/>
  <c r="J520" i="3"/>
  <c r="M480" i="3"/>
  <c r="L481" i="3"/>
  <c r="L433" i="3"/>
  <c r="M432" i="3"/>
  <c r="J392" i="3"/>
  <c r="I393" i="3"/>
  <c r="D352" i="3"/>
  <c r="C353" i="3"/>
  <c r="I305" i="3"/>
  <c r="J304" i="3"/>
  <c r="O265" i="3"/>
  <c r="P264" i="3"/>
  <c r="O233" i="3"/>
  <c r="P232" i="3"/>
  <c r="G192" i="3"/>
  <c r="F193" i="3"/>
  <c r="R137" i="3"/>
  <c r="S136" i="3"/>
  <c r="I114" i="3"/>
  <c r="J113" i="3"/>
  <c r="O86" i="3"/>
  <c r="P85" i="3"/>
  <c r="M997" i="3"/>
  <c r="L998" i="3"/>
  <c r="D973" i="3"/>
  <c r="C974" i="3"/>
  <c r="D933" i="3"/>
  <c r="C934" i="3"/>
  <c r="L886" i="3"/>
  <c r="M885" i="3"/>
  <c r="C854" i="3"/>
  <c r="D853" i="3"/>
  <c r="S813" i="3"/>
  <c r="R814" i="3"/>
  <c r="L774" i="3"/>
  <c r="M773" i="3"/>
  <c r="S717" i="3"/>
  <c r="R718" i="3"/>
  <c r="O662" i="3"/>
  <c r="P661" i="3"/>
  <c r="S621" i="3"/>
  <c r="R622" i="3"/>
  <c r="C582" i="3"/>
  <c r="D581" i="3"/>
  <c r="O534" i="3"/>
  <c r="P533" i="3"/>
  <c r="I502" i="3"/>
  <c r="J501" i="3"/>
  <c r="S461" i="3"/>
  <c r="R462" i="3"/>
  <c r="M421" i="3"/>
  <c r="L422" i="3"/>
  <c r="S365" i="3"/>
  <c r="R366" i="3"/>
  <c r="G325" i="3"/>
  <c r="F326" i="3"/>
  <c r="G293" i="3"/>
  <c r="F294" i="3"/>
  <c r="G261" i="3"/>
  <c r="F262" i="3"/>
  <c r="G229" i="3"/>
  <c r="F230" i="3"/>
  <c r="C182" i="3"/>
  <c r="D181" i="3"/>
  <c r="L987" i="3"/>
  <c r="M986" i="3"/>
  <c r="C955" i="3"/>
  <c r="D954" i="3"/>
  <c r="I923" i="3"/>
  <c r="J922" i="3"/>
  <c r="O883" i="3"/>
  <c r="P882" i="3"/>
  <c r="R843" i="3"/>
  <c r="S842" i="3"/>
  <c r="O795" i="3"/>
  <c r="P794" i="3"/>
  <c r="I755" i="3"/>
  <c r="J754" i="3"/>
  <c r="F1000" i="3"/>
  <c r="G999" i="3"/>
  <c r="I984" i="3"/>
  <c r="J983" i="3"/>
  <c r="C952" i="3"/>
  <c r="D951" i="3"/>
  <c r="O920" i="3"/>
  <c r="P919" i="3"/>
  <c r="J895" i="3"/>
  <c r="I896" i="3"/>
  <c r="S863" i="3"/>
  <c r="R864" i="3"/>
  <c r="S831" i="3"/>
  <c r="R832" i="3"/>
  <c r="M799" i="3"/>
  <c r="L800" i="3"/>
  <c r="R776" i="3"/>
  <c r="S775" i="3"/>
  <c r="O760" i="3"/>
  <c r="P759" i="3"/>
  <c r="D735" i="3"/>
  <c r="C736" i="3"/>
  <c r="F728" i="3"/>
  <c r="G727" i="3"/>
  <c r="D703" i="3"/>
  <c r="C704" i="3"/>
  <c r="I680" i="3"/>
  <c r="J679" i="3"/>
  <c r="D671" i="3"/>
  <c r="C672" i="3"/>
  <c r="M639" i="3"/>
  <c r="L640" i="3"/>
  <c r="M607" i="3"/>
  <c r="L608" i="3"/>
  <c r="O584" i="3"/>
  <c r="P583" i="3"/>
  <c r="L568" i="3"/>
  <c r="M567" i="3"/>
  <c r="S543" i="3"/>
  <c r="R544" i="3"/>
  <c r="C520" i="3"/>
  <c r="D519" i="3"/>
  <c r="J503" i="3"/>
  <c r="I504" i="3"/>
  <c r="G479" i="3"/>
  <c r="F480" i="3"/>
  <c r="J471" i="3"/>
  <c r="I472" i="3"/>
  <c r="D447" i="3"/>
  <c r="C448" i="3"/>
  <c r="M415" i="3"/>
  <c r="L416" i="3"/>
  <c r="I392" i="3"/>
  <c r="J391" i="3"/>
  <c r="P375" i="3"/>
  <c r="O376" i="3"/>
  <c r="C352" i="3"/>
  <c r="D351" i="3"/>
  <c r="L328" i="3"/>
  <c r="M327" i="3"/>
  <c r="O312" i="3"/>
  <c r="P311" i="3"/>
  <c r="C288" i="3"/>
  <c r="D287" i="3"/>
  <c r="L264" i="3"/>
  <c r="M263" i="3"/>
  <c r="C256" i="3"/>
  <c r="D255" i="3"/>
  <c r="I232" i="3"/>
  <c r="J231" i="3"/>
  <c r="R224" i="3"/>
  <c r="S223" i="3"/>
  <c r="J199" i="3"/>
  <c r="I200" i="3"/>
  <c r="J175" i="3"/>
  <c r="I176" i="3"/>
  <c r="F152" i="3"/>
  <c r="G151" i="3"/>
  <c r="D143" i="3"/>
  <c r="C144" i="3"/>
  <c r="R997" i="3"/>
  <c r="S996" i="3"/>
  <c r="F973" i="3"/>
  <c r="G972" i="3"/>
  <c r="G948" i="3"/>
  <c r="F949" i="3"/>
  <c r="P932" i="3"/>
  <c r="O933" i="3"/>
  <c r="S908" i="3"/>
  <c r="R909" i="3"/>
  <c r="F885" i="3"/>
  <c r="G884" i="3"/>
  <c r="L869" i="3"/>
  <c r="M868" i="3"/>
  <c r="L837" i="3"/>
  <c r="M836" i="3"/>
  <c r="L813" i="3"/>
  <c r="M812" i="3"/>
  <c r="I789" i="3"/>
  <c r="J788" i="3"/>
  <c r="O773" i="3"/>
  <c r="P772" i="3"/>
  <c r="M748" i="3"/>
  <c r="L749" i="3"/>
  <c r="I725" i="3"/>
  <c r="J724" i="3"/>
  <c r="O709" i="3"/>
  <c r="P708" i="3"/>
  <c r="O677" i="3"/>
  <c r="P676" i="3"/>
  <c r="R661" i="3"/>
  <c r="S660" i="3"/>
  <c r="O645" i="3"/>
  <c r="P644" i="3"/>
  <c r="R629" i="3"/>
  <c r="S628" i="3"/>
  <c r="L621" i="3"/>
  <c r="M620" i="3"/>
  <c r="O613" i="3"/>
  <c r="P612" i="3"/>
  <c r="I597" i="3"/>
  <c r="J596" i="3"/>
  <c r="D588" i="3"/>
  <c r="C589" i="3"/>
  <c r="F581" i="3"/>
  <c r="G580" i="3"/>
  <c r="I565" i="3"/>
  <c r="J564" i="3"/>
  <c r="D556" i="3"/>
  <c r="C557" i="3"/>
  <c r="F549" i="3"/>
  <c r="G548" i="3"/>
  <c r="O533" i="3"/>
  <c r="P532" i="3"/>
  <c r="P524" i="3"/>
  <c r="O525" i="3"/>
  <c r="S516" i="3"/>
  <c r="R517" i="3"/>
  <c r="F501" i="3"/>
  <c r="G500" i="3"/>
  <c r="P492" i="3"/>
  <c r="O493" i="3"/>
  <c r="S484" i="3"/>
  <c r="R485" i="3"/>
  <c r="C469" i="3"/>
  <c r="D468" i="3"/>
  <c r="P452" i="3"/>
  <c r="O453" i="3"/>
  <c r="I437" i="3"/>
  <c r="J436" i="3"/>
  <c r="M428" i="3"/>
  <c r="L429" i="3"/>
  <c r="P420" i="3"/>
  <c r="O421" i="3"/>
  <c r="L405" i="3"/>
  <c r="M404" i="3"/>
  <c r="C397" i="3"/>
  <c r="D396" i="3"/>
  <c r="O389" i="3"/>
  <c r="P388" i="3"/>
  <c r="L373" i="3"/>
  <c r="M372" i="3"/>
  <c r="C365" i="3"/>
  <c r="D364" i="3"/>
  <c r="R349" i="3"/>
  <c r="S348" i="3"/>
  <c r="L341" i="3"/>
  <c r="M340" i="3"/>
  <c r="P332" i="3"/>
  <c r="O333" i="3"/>
  <c r="R317" i="3"/>
  <c r="S316" i="3"/>
  <c r="L309" i="3"/>
  <c r="M308" i="3"/>
  <c r="P300" i="3"/>
  <c r="O301" i="3"/>
  <c r="C285" i="3"/>
  <c r="D284" i="3"/>
  <c r="G276" i="3"/>
  <c r="F277" i="3"/>
  <c r="J268" i="3"/>
  <c r="I269" i="3"/>
  <c r="C253" i="3"/>
  <c r="D252" i="3"/>
  <c r="G244" i="3"/>
  <c r="F245" i="3"/>
  <c r="J236" i="3"/>
  <c r="I237" i="3"/>
  <c r="O221" i="3"/>
  <c r="P220" i="3"/>
  <c r="S212" i="3"/>
  <c r="R213" i="3"/>
  <c r="M204" i="3"/>
  <c r="L205" i="3"/>
  <c r="D714" i="3"/>
  <c r="C715" i="3"/>
  <c r="O659" i="3"/>
  <c r="P658" i="3"/>
  <c r="R651" i="3"/>
  <c r="S650" i="3"/>
  <c r="M634" i="3"/>
  <c r="L635" i="3"/>
  <c r="L499" i="3"/>
  <c r="M498" i="3"/>
  <c r="O467" i="3"/>
  <c r="P466" i="3"/>
  <c r="D442" i="3"/>
  <c r="C443" i="3"/>
  <c r="O387" i="3"/>
  <c r="P386" i="3"/>
  <c r="I363" i="3"/>
  <c r="J362" i="3"/>
  <c r="F339" i="3"/>
  <c r="G338" i="3"/>
  <c r="C307" i="3"/>
  <c r="D306" i="3"/>
  <c r="L219" i="3"/>
  <c r="M218" i="3"/>
  <c r="I211" i="3"/>
  <c r="J210" i="3"/>
  <c r="F147" i="3"/>
  <c r="G146" i="3"/>
  <c r="P112" i="3"/>
  <c r="O113" i="3"/>
  <c r="F109" i="3"/>
  <c r="G108" i="3"/>
  <c r="F89" i="3"/>
  <c r="G88" i="3"/>
  <c r="R81" i="3"/>
  <c r="S80" i="3"/>
  <c r="O995" i="3"/>
  <c r="P994" i="3"/>
  <c r="D970" i="3"/>
  <c r="C971" i="3"/>
  <c r="R963" i="3"/>
  <c r="S962" i="3"/>
  <c r="D938" i="3"/>
  <c r="C939" i="3"/>
  <c r="O923" i="3"/>
  <c r="P922" i="3"/>
  <c r="R891" i="3"/>
  <c r="S890" i="3"/>
  <c r="J866" i="3"/>
  <c r="I867" i="3"/>
  <c r="C859" i="3"/>
  <c r="D858" i="3"/>
  <c r="J834" i="3"/>
  <c r="I835" i="3"/>
  <c r="I811" i="3"/>
  <c r="J810" i="3"/>
  <c r="F795" i="3"/>
  <c r="G794" i="3"/>
  <c r="D770" i="3"/>
  <c r="C771" i="3"/>
  <c r="F747" i="3"/>
  <c r="G746" i="3"/>
  <c r="M730" i="3"/>
  <c r="L731" i="3"/>
  <c r="L984" i="3"/>
  <c r="M983" i="3"/>
  <c r="C960" i="3"/>
  <c r="D959" i="3"/>
  <c r="G943" i="3"/>
  <c r="F944" i="3"/>
  <c r="C920" i="3"/>
  <c r="D919" i="3"/>
  <c r="L896" i="3"/>
  <c r="M895" i="3"/>
  <c r="C880" i="3"/>
  <c r="D879" i="3"/>
  <c r="J855" i="3"/>
  <c r="I856" i="3"/>
  <c r="C848" i="3"/>
  <c r="D847" i="3"/>
  <c r="F816" i="3"/>
  <c r="G815" i="3"/>
  <c r="I800" i="3"/>
  <c r="J799" i="3"/>
  <c r="F784" i="3"/>
  <c r="G783" i="3"/>
  <c r="M751" i="3"/>
  <c r="L752" i="3"/>
  <c r="R728" i="3"/>
  <c r="S727" i="3"/>
  <c r="R696" i="3"/>
  <c r="S695" i="3"/>
  <c r="O672" i="3"/>
  <c r="P671" i="3"/>
  <c r="F656" i="3"/>
  <c r="G655" i="3"/>
  <c r="C632" i="3"/>
  <c r="D631" i="3"/>
  <c r="I608" i="3"/>
  <c r="J607" i="3"/>
  <c r="D591" i="3"/>
  <c r="C592" i="3"/>
  <c r="I568" i="3"/>
  <c r="J567" i="3"/>
  <c r="F544" i="3"/>
  <c r="G543" i="3"/>
  <c r="P527" i="3"/>
  <c r="O528" i="3"/>
  <c r="L504" i="3"/>
  <c r="M503" i="3"/>
  <c r="R480" i="3"/>
  <c r="S479" i="3"/>
  <c r="M463" i="3"/>
  <c r="L464" i="3"/>
  <c r="I440" i="3"/>
  <c r="J439" i="3"/>
  <c r="O416" i="3"/>
  <c r="P415" i="3"/>
  <c r="F400" i="3"/>
  <c r="G399" i="3"/>
  <c r="C384" i="3"/>
  <c r="D383" i="3"/>
  <c r="F368" i="3"/>
  <c r="G367" i="3"/>
  <c r="R344" i="3"/>
  <c r="S343" i="3"/>
  <c r="L320" i="3"/>
  <c r="M319" i="3"/>
  <c r="G303" i="3"/>
  <c r="F304" i="3"/>
  <c r="R280" i="3"/>
  <c r="S279" i="3"/>
  <c r="L256" i="3"/>
  <c r="M255" i="3"/>
  <c r="O224" i="3"/>
  <c r="P223" i="3"/>
  <c r="J215" i="3"/>
  <c r="I216" i="3"/>
  <c r="J191" i="3"/>
  <c r="I192" i="3"/>
  <c r="F168" i="3"/>
  <c r="G167" i="3"/>
  <c r="R136" i="3"/>
  <c r="S135" i="3"/>
  <c r="C997" i="3"/>
  <c r="D996" i="3"/>
  <c r="S972" i="3"/>
  <c r="R973" i="3"/>
  <c r="R941" i="3"/>
  <c r="S940" i="3"/>
  <c r="C933" i="3"/>
  <c r="D932" i="3"/>
  <c r="F909" i="3"/>
  <c r="G908" i="3"/>
  <c r="C893" i="3"/>
  <c r="D892" i="3"/>
  <c r="I869" i="3"/>
  <c r="J868" i="3"/>
  <c r="D860" i="3"/>
  <c r="C861" i="3"/>
  <c r="I837" i="3"/>
  <c r="J836" i="3"/>
  <c r="D828" i="3"/>
  <c r="C829" i="3"/>
  <c r="G796" i="3"/>
  <c r="F797" i="3"/>
  <c r="C773" i="3"/>
  <c r="D772" i="3"/>
  <c r="I749" i="3"/>
  <c r="J748" i="3"/>
  <c r="G732" i="3"/>
  <c r="F733" i="3"/>
  <c r="C709" i="3"/>
  <c r="D708" i="3"/>
  <c r="I685" i="3"/>
  <c r="J684" i="3"/>
  <c r="F669" i="3"/>
  <c r="G668" i="3"/>
  <c r="C645" i="3"/>
  <c r="D644" i="3"/>
  <c r="I621" i="3"/>
  <c r="J620" i="3"/>
  <c r="G604" i="3"/>
  <c r="F605" i="3"/>
  <c r="R581" i="3"/>
  <c r="S580" i="3"/>
  <c r="O557" i="3"/>
  <c r="P556" i="3"/>
  <c r="M540" i="3"/>
  <c r="L541" i="3"/>
  <c r="L517" i="3"/>
  <c r="M516" i="3"/>
  <c r="L485" i="3"/>
  <c r="M484" i="3"/>
  <c r="R453" i="3"/>
  <c r="S452" i="3"/>
  <c r="C429" i="3"/>
  <c r="D428" i="3"/>
  <c r="M412" i="3"/>
  <c r="L413" i="3"/>
  <c r="R389" i="3"/>
  <c r="S388" i="3"/>
  <c r="L365" i="3"/>
  <c r="M364" i="3"/>
  <c r="J348" i="3"/>
  <c r="I349" i="3"/>
  <c r="G324" i="3"/>
  <c r="F325" i="3"/>
  <c r="C301" i="3"/>
  <c r="D300" i="3"/>
  <c r="R277" i="3"/>
  <c r="S276" i="3"/>
  <c r="P260" i="3"/>
  <c r="O261" i="3"/>
  <c r="L237" i="3"/>
  <c r="M236" i="3"/>
  <c r="F213" i="3"/>
  <c r="G212" i="3"/>
  <c r="C197" i="3"/>
  <c r="D196" i="3"/>
  <c r="F181" i="3"/>
  <c r="G180" i="3"/>
  <c r="C165" i="3"/>
  <c r="D164" i="3"/>
  <c r="J140" i="3"/>
  <c r="I141" i="3"/>
  <c r="G123" i="3"/>
  <c r="F124" i="3"/>
  <c r="I112" i="3"/>
  <c r="J111" i="3"/>
  <c r="I111" i="3"/>
  <c r="G99" i="3"/>
  <c r="F100" i="3"/>
  <c r="D87" i="3"/>
  <c r="C88" i="3"/>
  <c r="L675" i="3"/>
  <c r="M674" i="3"/>
  <c r="C491" i="3"/>
  <c r="D490" i="3"/>
  <c r="I323" i="3"/>
  <c r="J322" i="3"/>
  <c r="O93" i="3"/>
  <c r="P92" i="3"/>
  <c r="K85" i="13"/>
  <c r="K75" i="13" s="1"/>
  <c r="S11" i="3"/>
  <c r="R12" i="3"/>
  <c r="S7" i="3"/>
  <c r="R8" i="3"/>
  <c r="H64" i="3"/>
  <c r="M117" i="3"/>
  <c r="L118" i="3"/>
  <c r="G998" i="3"/>
  <c r="F999" i="3"/>
  <c r="M990" i="3"/>
  <c r="L991" i="3"/>
  <c r="I975" i="3"/>
  <c r="J974" i="3"/>
  <c r="P966" i="3"/>
  <c r="O967" i="3"/>
  <c r="R959" i="3"/>
  <c r="S958" i="3"/>
  <c r="C943" i="3"/>
  <c r="D942" i="3"/>
  <c r="P934" i="3"/>
  <c r="O935" i="3"/>
  <c r="C927" i="3"/>
  <c r="D926" i="3"/>
  <c r="I911" i="3"/>
  <c r="J910" i="3"/>
  <c r="D902" i="3"/>
  <c r="C903" i="3"/>
  <c r="F895" i="3"/>
  <c r="G894" i="3"/>
  <c r="R879" i="3"/>
  <c r="S878" i="3"/>
  <c r="M870" i="3"/>
  <c r="L871" i="3"/>
  <c r="O863" i="3"/>
  <c r="P862" i="3"/>
  <c r="R847" i="3"/>
  <c r="S846" i="3"/>
  <c r="M838" i="3"/>
  <c r="L839" i="3"/>
  <c r="O831" i="3"/>
  <c r="P830" i="3"/>
  <c r="C815" i="3"/>
  <c r="D814" i="3"/>
  <c r="P806" i="3"/>
  <c r="O807" i="3"/>
  <c r="R799" i="3"/>
  <c r="S798" i="3"/>
  <c r="C783" i="3"/>
  <c r="D782" i="3"/>
  <c r="P774" i="3"/>
  <c r="O775" i="3"/>
  <c r="R767" i="3"/>
  <c r="S766" i="3"/>
  <c r="L751" i="3"/>
  <c r="M750" i="3"/>
  <c r="G742" i="3"/>
  <c r="F743" i="3"/>
  <c r="I735" i="3"/>
  <c r="J734" i="3"/>
  <c r="L719" i="3"/>
  <c r="M718" i="3"/>
  <c r="G710" i="3"/>
  <c r="F711" i="3"/>
  <c r="I703" i="3"/>
  <c r="J702" i="3"/>
  <c r="C687" i="3"/>
  <c r="D686" i="3"/>
  <c r="G678" i="3"/>
  <c r="F679" i="3"/>
  <c r="I671" i="3"/>
  <c r="J670" i="3"/>
  <c r="L655" i="3"/>
  <c r="M654" i="3"/>
  <c r="P646" i="3"/>
  <c r="O647" i="3"/>
  <c r="R639" i="3"/>
  <c r="S638" i="3"/>
  <c r="L623" i="3"/>
  <c r="M622" i="3"/>
  <c r="P614" i="3"/>
  <c r="O615" i="3"/>
  <c r="R607" i="3"/>
  <c r="S606" i="3"/>
  <c r="R591" i="3"/>
  <c r="S590" i="3"/>
  <c r="L583" i="3"/>
  <c r="M582" i="3"/>
  <c r="O575" i="3"/>
  <c r="P574" i="3"/>
  <c r="R559" i="3"/>
  <c r="S558" i="3"/>
  <c r="L551" i="3"/>
  <c r="M550" i="3"/>
  <c r="O543" i="3"/>
  <c r="P542" i="3"/>
  <c r="O527" i="3"/>
  <c r="P526" i="3"/>
  <c r="S518" i="3"/>
  <c r="R519" i="3"/>
  <c r="M510" i="3"/>
  <c r="L511" i="3"/>
  <c r="O495" i="3"/>
  <c r="P494" i="3"/>
  <c r="S486" i="3"/>
  <c r="R487" i="3"/>
  <c r="M478" i="3"/>
  <c r="L479" i="3"/>
  <c r="C463" i="3"/>
  <c r="D462" i="3"/>
  <c r="G454" i="3"/>
  <c r="F455" i="3"/>
  <c r="J446" i="3"/>
  <c r="I447" i="3"/>
  <c r="C431" i="3"/>
  <c r="D430" i="3"/>
  <c r="G422" i="3"/>
  <c r="F423" i="3"/>
  <c r="I415" i="3"/>
  <c r="J414" i="3"/>
  <c r="F399" i="3"/>
  <c r="G398" i="3"/>
  <c r="P390" i="3"/>
  <c r="O391" i="3"/>
  <c r="S382" i="3"/>
  <c r="R383" i="3"/>
  <c r="F367" i="3"/>
  <c r="G366" i="3"/>
  <c r="C359" i="3"/>
  <c r="D358" i="3"/>
  <c r="D350" i="3"/>
  <c r="C351" i="3"/>
  <c r="O335" i="3"/>
  <c r="P334" i="3"/>
  <c r="J326" i="3"/>
  <c r="I327" i="3"/>
  <c r="D318" i="3"/>
  <c r="C319" i="3"/>
  <c r="O303" i="3"/>
  <c r="P302" i="3"/>
  <c r="J294" i="3"/>
  <c r="I295" i="3"/>
  <c r="D286" i="3"/>
  <c r="C287" i="3"/>
  <c r="O271" i="3"/>
  <c r="P270" i="3"/>
  <c r="J262" i="3"/>
  <c r="I263" i="3"/>
  <c r="D254" i="3"/>
  <c r="C255" i="3"/>
  <c r="O239" i="3"/>
  <c r="P238" i="3"/>
  <c r="F231" i="3"/>
  <c r="G230" i="3"/>
  <c r="G222" i="3"/>
  <c r="F223" i="3"/>
  <c r="I207" i="3"/>
  <c r="J206" i="3"/>
  <c r="G198" i="3"/>
  <c r="F199" i="3"/>
  <c r="I183" i="3"/>
  <c r="J182" i="3"/>
  <c r="M174" i="3"/>
  <c r="L175" i="3"/>
  <c r="R159" i="3"/>
  <c r="S158" i="3"/>
  <c r="M150" i="3"/>
  <c r="L151" i="3"/>
  <c r="O135" i="3"/>
  <c r="P134" i="3"/>
  <c r="I131" i="3"/>
  <c r="J130" i="3"/>
  <c r="M122" i="3"/>
  <c r="L123" i="3"/>
  <c r="M118" i="3"/>
  <c r="L119" i="3"/>
  <c r="L115" i="3"/>
  <c r="M114" i="3"/>
  <c r="J106" i="3"/>
  <c r="I107" i="3"/>
  <c r="O103" i="3"/>
  <c r="P102" i="3"/>
  <c r="C95" i="3"/>
  <c r="D94" i="3"/>
  <c r="C91" i="3"/>
  <c r="D90" i="3"/>
  <c r="O83" i="3"/>
  <c r="P82" i="3"/>
  <c r="G78" i="3"/>
  <c r="F79" i="3"/>
  <c r="R71" i="3"/>
  <c r="S70" i="3"/>
  <c r="R996" i="3"/>
  <c r="S995" i="3"/>
  <c r="F988" i="3"/>
  <c r="G987" i="3"/>
  <c r="C972" i="3"/>
  <c r="D971" i="3"/>
  <c r="R964" i="3"/>
  <c r="S963" i="3"/>
  <c r="P955" i="3"/>
  <c r="O956" i="3"/>
  <c r="L940" i="3"/>
  <c r="M939" i="3"/>
  <c r="J931" i="3"/>
  <c r="I932" i="3"/>
  <c r="C924" i="3"/>
  <c r="D923" i="3"/>
  <c r="I908" i="3"/>
  <c r="J907" i="3"/>
  <c r="C900" i="3"/>
  <c r="D899" i="3"/>
  <c r="F892" i="3"/>
  <c r="G891" i="3"/>
  <c r="R876" i="3"/>
  <c r="S875" i="3"/>
  <c r="C868" i="3"/>
  <c r="D867" i="3"/>
  <c r="G859" i="3"/>
  <c r="F860" i="3"/>
  <c r="R844" i="3"/>
  <c r="S843" i="3"/>
  <c r="C836" i="3"/>
  <c r="D835" i="3"/>
  <c r="G827" i="3"/>
  <c r="F828" i="3"/>
  <c r="L812" i="3"/>
  <c r="M811" i="3"/>
  <c r="O804" i="3"/>
  <c r="P803" i="3"/>
  <c r="R796" i="3"/>
  <c r="S795" i="3"/>
  <c r="L780" i="3"/>
  <c r="M779" i="3"/>
  <c r="O772" i="3"/>
  <c r="P771" i="3"/>
  <c r="R764" i="3"/>
  <c r="S763" i="3"/>
  <c r="L748" i="3"/>
  <c r="M747" i="3"/>
  <c r="F740" i="3"/>
  <c r="G739" i="3"/>
  <c r="J731" i="3"/>
  <c r="I732" i="3"/>
  <c r="L716" i="3"/>
  <c r="M715" i="3"/>
  <c r="F708" i="3"/>
  <c r="G707" i="3"/>
  <c r="J699" i="3"/>
  <c r="I700" i="3"/>
  <c r="C684" i="3"/>
  <c r="D683" i="3"/>
  <c r="F676" i="3"/>
  <c r="G675" i="3"/>
  <c r="I668" i="3"/>
  <c r="J667" i="3"/>
  <c r="L652" i="3"/>
  <c r="M651" i="3"/>
  <c r="O644" i="3"/>
  <c r="P643" i="3"/>
  <c r="R636" i="3"/>
  <c r="S635" i="3"/>
  <c r="L620" i="3"/>
  <c r="M619" i="3"/>
  <c r="O612" i="3"/>
  <c r="P611" i="3"/>
  <c r="R604" i="3"/>
  <c r="S603" i="3"/>
  <c r="R588" i="3"/>
  <c r="S587" i="3"/>
  <c r="L580" i="3"/>
  <c r="M579" i="3"/>
  <c r="P571" i="3"/>
  <c r="O572" i="3"/>
  <c r="R556" i="3"/>
  <c r="S555" i="3"/>
  <c r="L548" i="3"/>
  <c r="M547" i="3"/>
  <c r="P539" i="3"/>
  <c r="O540" i="3"/>
  <c r="F524" i="3"/>
  <c r="G523" i="3"/>
  <c r="O516" i="3"/>
  <c r="P515" i="3"/>
  <c r="D507" i="3"/>
  <c r="C508" i="3"/>
  <c r="F492" i="3"/>
  <c r="G491" i="3"/>
  <c r="O484" i="3"/>
  <c r="P483" i="3"/>
  <c r="D475" i="3"/>
  <c r="C476" i="3"/>
  <c r="C460" i="3"/>
  <c r="D459" i="3"/>
  <c r="L452" i="3"/>
  <c r="M451" i="3"/>
  <c r="I444" i="3"/>
  <c r="J443" i="3"/>
  <c r="C428" i="3"/>
  <c r="D427" i="3"/>
  <c r="L420" i="3"/>
  <c r="M419" i="3"/>
  <c r="O412" i="3"/>
  <c r="P411" i="3"/>
  <c r="O396" i="3"/>
  <c r="P395" i="3"/>
  <c r="F388" i="3"/>
  <c r="G387" i="3"/>
  <c r="R380" i="3"/>
  <c r="S379" i="3"/>
  <c r="O364" i="3"/>
  <c r="P363" i="3"/>
  <c r="J355" i="3"/>
  <c r="I356" i="3"/>
  <c r="C348" i="3"/>
  <c r="D347" i="3"/>
  <c r="F332" i="3"/>
  <c r="G331" i="3"/>
  <c r="J323" i="3"/>
  <c r="I324" i="3"/>
  <c r="C316" i="3"/>
  <c r="D315" i="3"/>
  <c r="F300" i="3"/>
  <c r="G299" i="3"/>
  <c r="J291" i="3"/>
  <c r="I292" i="3"/>
  <c r="C284" i="3"/>
  <c r="D283" i="3"/>
  <c r="F268" i="3"/>
  <c r="G267" i="3"/>
  <c r="J259" i="3"/>
  <c r="I260" i="3"/>
  <c r="C252" i="3"/>
  <c r="D251" i="3"/>
  <c r="F236" i="3"/>
  <c r="G235" i="3"/>
  <c r="R228" i="3"/>
  <c r="S227" i="3"/>
  <c r="F220" i="3"/>
  <c r="G219" i="3"/>
  <c r="C204" i="3"/>
  <c r="D203" i="3"/>
  <c r="R196" i="3"/>
  <c r="S195" i="3"/>
  <c r="F188" i="3"/>
  <c r="G187" i="3"/>
  <c r="C172" i="3"/>
  <c r="D171" i="3"/>
  <c r="R164" i="3"/>
  <c r="S163" i="3"/>
  <c r="F156" i="3"/>
  <c r="G155" i="3"/>
  <c r="C140" i="3"/>
  <c r="D139" i="3"/>
  <c r="F112" i="3"/>
  <c r="G111" i="3"/>
  <c r="F993" i="3"/>
  <c r="G992" i="3"/>
  <c r="G976" i="3"/>
  <c r="F977" i="3"/>
  <c r="C969" i="3"/>
  <c r="D968" i="3"/>
  <c r="O961" i="3"/>
  <c r="P960" i="3"/>
  <c r="F945" i="3"/>
  <c r="G944" i="3"/>
  <c r="S936" i="3"/>
  <c r="R937" i="3"/>
  <c r="L929" i="3"/>
  <c r="M928" i="3"/>
  <c r="I913" i="3"/>
  <c r="J912" i="3"/>
  <c r="L905" i="3"/>
  <c r="M904" i="3"/>
  <c r="O897" i="3"/>
  <c r="P896" i="3"/>
  <c r="R881" i="3"/>
  <c r="S880" i="3"/>
  <c r="G872" i="3"/>
  <c r="F873" i="3"/>
  <c r="I865" i="3"/>
  <c r="J864" i="3"/>
  <c r="R849" i="3"/>
  <c r="S848" i="3"/>
  <c r="G840" i="3"/>
  <c r="F841" i="3"/>
  <c r="I833" i="3"/>
  <c r="J832" i="3"/>
  <c r="O817" i="3"/>
  <c r="P816" i="3"/>
  <c r="S808" i="3"/>
  <c r="R809" i="3"/>
  <c r="L801" i="3"/>
  <c r="M800" i="3"/>
  <c r="O785" i="3"/>
  <c r="P784" i="3"/>
  <c r="S776" i="3"/>
  <c r="R777" i="3"/>
  <c r="L769" i="3"/>
  <c r="M768" i="3"/>
  <c r="L753" i="3"/>
  <c r="M752" i="3"/>
  <c r="J744" i="3"/>
  <c r="I745" i="3"/>
  <c r="C737" i="3"/>
  <c r="D736" i="3"/>
  <c r="L721" i="3"/>
  <c r="M720" i="3"/>
  <c r="J712" i="3"/>
  <c r="I713" i="3"/>
  <c r="C705" i="3"/>
  <c r="D704" i="3"/>
  <c r="F689" i="3"/>
  <c r="G688" i="3"/>
  <c r="J680" i="3"/>
  <c r="I681" i="3"/>
  <c r="C673" i="3"/>
  <c r="D672" i="3"/>
  <c r="O657" i="3"/>
  <c r="P656" i="3"/>
  <c r="S648" i="3"/>
  <c r="R649" i="3"/>
  <c r="L641" i="3"/>
  <c r="M640" i="3"/>
  <c r="O625" i="3"/>
  <c r="P624" i="3"/>
  <c r="S616" i="3"/>
  <c r="R617" i="3"/>
  <c r="L609" i="3"/>
  <c r="M608" i="3"/>
  <c r="L593" i="3"/>
  <c r="M592" i="3"/>
  <c r="P584" i="3"/>
  <c r="O585" i="3"/>
  <c r="R577" i="3"/>
  <c r="S576" i="3"/>
  <c r="L561" i="3"/>
  <c r="M560" i="3"/>
  <c r="P552" i="3"/>
  <c r="O553" i="3"/>
  <c r="R545" i="3"/>
  <c r="S544" i="3"/>
  <c r="R529" i="3"/>
  <c r="S528" i="3"/>
  <c r="D520" i="3"/>
  <c r="C521" i="3"/>
  <c r="G512" i="3"/>
  <c r="F513" i="3"/>
  <c r="R497" i="3"/>
  <c r="S496" i="3"/>
  <c r="D488" i="3"/>
  <c r="C489" i="3"/>
  <c r="G480" i="3"/>
  <c r="F481" i="3"/>
  <c r="O465" i="3"/>
  <c r="P464" i="3"/>
  <c r="J456" i="3"/>
  <c r="I457" i="3"/>
  <c r="D448" i="3"/>
  <c r="C449" i="3"/>
  <c r="O433" i="3"/>
  <c r="P432" i="3"/>
  <c r="J424" i="3"/>
  <c r="I425" i="3"/>
  <c r="C417" i="3"/>
  <c r="D416" i="3"/>
  <c r="O401" i="3"/>
  <c r="P400" i="3"/>
  <c r="S392" i="3"/>
  <c r="R393" i="3"/>
  <c r="M384" i="3"/>
  <c r="L385" i="3"/>
  <c r="O369" i="3"/>
  <c r="P368" i="3"/>
  <c r="O361" i="3"/>
  <c r="P360" i="3"/>
  <c r="L353" i="3"/>
  <c r="M352" i="3"/>
  <c r="F337" i="3"/>
  <c r="G336" i="3"/>
  <c r="S328" i="3"/>
  <c r="R329" i="3"/>
  <c r="L321" i="3"/>
  <c r="M320" i="3"/>
  <c r="F305" i="3"/>
  <c r="G304" i="3"/>
  <c r="S296" i="3"/>
  <c r="R297" i="3"/>
  <c r="L289" i="3"/>
  <c r="M288" i="3"/>
  <c r="F273" i="3"/>
  <c r="G272" i="3"/>
  <c r="S264" i="3"/>
  <c r="R265" i="3"/>
  <c r="L257" i="3"/>
  <c r="M256" i="3"/>
  <c r="F241" i="3"/>
  <c r="G240" i="3"/>
  <c r="S232" i="3"/>
  <c r="R233" i="3"/>
  <c r="O225" i="3"/>
  <c r="P224" i="3"/>
  <c r="L209" i="3"/>
  <c r="M208" i="3"/>
  <c r="C201" i="3"/>
  <c r="D200" i="3"/>
  <c r="O193" i="3"/>
  <c r="P192" i="3"/>
  <c r="L177" i="3"/>
  <c r="M176" i="3"/>
  <c r="C169" i="3"/>
  <c r="D168" i="3"/>
  <c r="O161" i="3"/>
  <c r="P160" i="3"/>
  <c r="L145" i="3"/>
  <c r="M144" i="3"/>
  <c r="C137" i="3"/>
  <c r="D136" i="3"/>
  <c r="J133" i="3"/>
  <c r="I134" i="3"/>
  <c r="P125" i="3"/>
  <c r="O126" i="3"/>
  <c r="F122" i="3"/>
  <c r="G121" i="3"/>
  <c r="R114" i="3"/>
  <c r="S113" i="3"/>
  <c r="R110" i="3"/>
  <c r="S109" i="3"/>
  <c r="F102" i="3"/>
  <c r="G101" i="3"/>
  <c r="M97" i="3"/>
  <c r="L98" i="3"/>
  <c r="I90" i="3"/>
  <c r="J89" i="3"/>
  <c r="J85" i="3"/>
  <c r="I86" i="3"/>
  <c r="O82" i="3"/>
  <c r="P81" i="3"/>
  <c r="C74" i="3"/>
  <c r="D73" i="3"/>
  <c r="C70" i="3"/>
  <c r="O998" i="3"/>
  <c r="P997" i="3"/>
  <c r="C982" i="3"/>
  <c r="D981" i="3"/>
  <c r="P973" i="3"/>
  <c r="O974" i="3"/>
  <c r="L966" i="3"/>
  <c r="M965" i="3"/>
  <c r="M949" i="3"/>
  <c r="L950" i="3"/>
  <c r="S941" i="3"/>
  <c r="R942" i="3"/>
  <c r="L934" i="3"/>
  <c r="M933" i="3"/>
  <c r="R918" i="3"/>
  <c r="S917" i="3"/>
  <c r="G909" i="3"/>
  <c r="F910" i="3"/>
  <c r="I902" i="3"/>
  <c r="J901" i="3"/>
  <c r="C886" i="3"/>
  <c r="D885" i="3"/>
  <c r="P877" i="3"/>
  <c r="O878" i="3"/>
  <c r="R870" i="3"/>
  <c r="S869" i="3"/>
  <c r="F854" i="3"/>
  <c r="G853" i="3"/>
  <c r="I846" i="3"/>
  <c r="J845" i="3"/>
  <c r="L830" i="3"/>
  <c r="M829" i="3"/>
  <c r="F822" i="3"/>
  <c r="G821" i="3"/>
  <c r="D813" i="3"/>
  <c r="C814" i="3"/>
  <c r="O798" i="3"/>
  <c r="P797" i="3"/>
  <c r="I790" i="3"/>
  <c r="J789" i="3"/>
  <c r="D781" i="3"/>
  <c r="C782" i="3"/>
  <c r="O766" i="3"/>
  <c r="P765" i="3"/>
  <c r="I758" i="3"/>
  <c r="J757" i="3"/>
  <c r="D749" i="3"/>
  <c r="C750" i="3"/>
  <c r="O734" i="3"/>
  <c r="P733" i="3"/>
  <c r="J725" i="3"/>
  <c r="I726" i="3"/>
  <c r="D717" i="3"/>
  <c r="C718" i="3"/>
  <c r="O702" i="3"/>
  <c r="P701" i="3"/>
  <c r="J693" i="3"/>
  <c r="I694" i="3"/>
  <c r="C686" i="3"/>
  <c r="D685" i="3"/>
  <c r="F670" i="3"/>
  <c r="G669" i="3"/>
  <c r="I662" i="3"/>
  <c r="J661" i="3"/>
  <c r="D653" i="3"/>
  <c r="C654" i="3"/>
  <c r="F638" i="3"/>
  <c r="G637" i="3"/>
  <c r="I630" i="3"/>
  <c r="J629" i="3"/>
  <c r="D621" i="3"/>
  <c r="C622" i="3"/>
  <c r="F606" i="3"/>
  <c r="G605" i="3"/>
  <c r="O598" i="3"/>
  <c r="P597" i="3"/>
  <c r="R590" i="3"/>
  <c r="S589" i="3"/>
  <c r="L574" i="3"/>
  <c r="M573" i="3"/>
  <c r="O566" i="3"/>
  <c r="P565" i="3"/>
  <c r="R558" i="3"/>
  <c r="S557" i="3"/>
  <c r="L542" i="3"/>
  <c r="M541" i="3"/>
  <c r="J533" i="3"/>
  <c r="I534" i="3"/>
  <c r="F526" i="3"/>
  <c r="G525" i="3"/>
  <c r="C510" i="3"/>
  <c r="D509" i="3"/>
  <c r="R502" i="3"/>
  <c r="S501" i="3"/>
  <c r="F494" i="3"/>
  <c r="G493" i="3"/>
  <c r="C478" i="3"/>
  <c r="D477" i="3"/>
  <c r="R470" i="3"/>
  <c r="S469" i="3"/>
  <c r="C462" i="3"/>
  <c r="D461" i="3"/>
  <c r="F446" i="3"/>
  <c r="G445" i="3"/>
  <c r="J437" i="3"/>
  <c r="I438" i="3"/>
  <c r="C430" i="3"/>
  <c r="D429" i="3"/>
  <c r="D413" i="3"/>
  <c r="C414" i="3"/>
  <c r="O406" i="3"/>
  <c r="P405" i="3"/>
  <c r="D397" i="3"/>
  <c r="C398" i="3"/>
  <c r="F382" i="3"/>
  <c r="G381" i="3"/>
  <c r="O374" i="3"/>
  <c r="P373" i="3"/>
  <c r="D365" i="3"/>
  <c r="C366" i="3"/>
  <c r="O350" i="3"/>
  <c r="P349" i="3"/>
  <c r="I342" i="3"/>
  <c r="J341" i="3"/>
  <c r="M333" i="3"/>
  <c r="L334" i="3"/>
  <c r="O318" i="3"/>
  <c r="P317" i="3"/>
  <c r="I310" i="3"/>
  <c r="J309" i="3"/>
  <c r="M301" i="3"/>
  <c r="L302" i="3"/>
  <c r="O286" i="3"/>
  <c r="P285" i="3"/>
  <c r="I278" i="3"/>
  <c r="J277" i="3"/>
  <c r="M269" i="3"/>
  <c r="L270" i="3"/>
  <c r="O254" i="3"/>
  <c r="P253" i="3"/>
  <c r="I246" i="3"/>
  <c r="J245" i="3"/>
  <c r="M237" i="3"/>
  <c r="L238" i="3"/>
  <c r="R222" i="3"/>
  <c r="S221" i="3"/>
  <c r="L214" i="3"/>
  <c r="M213" i="3"/>
  <c r="P205" i="3"/>
  <c r="O206" i="3"/>
  <c r="R190" i="3"/>
  <c r="S189" i="3"/>
  <c r="L182" i="3"/>
  <c r="M181" i="3"/>
  <c r="P173" i="3"/>
  <c r="O174" i="3"/>
  <c r="R158" i="3"/>
  <c r="S157" i="3"/>
  <c r="L150" i="3"/>
  <c r="M149" i="3"/>
  <c r="P141" i="3"/>
  <c r="O142" i="3"/>
  <c r="F72" i="3"/>
  <c r="G71" i="3"/>
  <c r="I995" i="3"/>
  <c r="J994" i="3"/>
  <c r="J978" i="3"/>
  <c r="I979" i="3"/>
  <c r="P970" i="3"/>
  <c r="O971" i="3"/>
  <c r="C963" i="3"/>
  <c r="D962" i="3"/>
  <c r="O947" i="3"/>
  <c r="P946" i="3"/>
  <c r="I939" i="3"/>
  <c r="J938" i="3"/>
  <c r="F931" i="3"/>
  <c r="G930" i="3"/>
  <c r="F915" i="3"/>
  <c r="G914" i="3"/>
  <c r="F907" i="3"/>
  <c r="G906" i="3"/>
  <c r="I899" i="3"/>
  <c r="J898" i="3"/>
  <c r="L883" i="3"/>
  <c r="M882" i="3"/>
  <c r="O875" i="3"/>
  <c r="P874" i="3"/>
  <c r="R867" i="3"/>
  <c r="S866" i="3"/>
  <c r="L851" i="3"/>
  <c r="M850" i="3"/>
  <c r="O843" i="3"/>
  <c r="P842" i="3"/>
  <c r="R835" i="3"/>
  <c r="S834" i="3"/>
  <c r="O819" i="3"/>
  <c r="P818" i="3"/>
  <c r="R811" i="3"/>
  <c r="S810" i="3"/>
  <c r="M802" i="3"/>
  <c r="L803" i="3"/>
  <c r="O787" i="3"/>
  <c r="P786" i="3"/>
  <c r="R779" i="3"/>
  <c r="S778" i="3"/>
  <c r="M770" i="3"/>
  <c r="L771" i="3"/>
  <c r="O755" i="3"/>
  <c r="P754" i="3"/>
  <c r="I747" i="3"/>
  <c r="J746" i="3"/>
  <c r="D738" i="3"/>
  <c r="C739" i="3"/>
  <c r="L160" i="3"/>
  <c r="M159" i="3"/>
  <c r="F992" i="3"/>
  <c r="G991" i="3"/>
  <c r="P983" i="3"/>
  <c r="O984" i="3"/>
  <c r="D975" i="3"/>
  <c r="C976" i="3"/>
  <c r="L960" i="3"/>
  <c r="M959" i="3"/>
  <c r="S951" i="3"/>
  <c r="R952" i="3"/>
  <c r="P943" i="3"/>
  <c r="O944" i="3"/>
  <c r="R928" i="3"/>
  <c r="S927" i="3"/>
  <c r="L920" i="3"/>
  <c r="M919" i="3"/>
  <c r="C912" i="3"/>
  <c r="D911" i="3"/>
  <c r="F896" i="3"/>
  <c r="G895" i="3"/>
  <c r="R888" i="3"/>
  <c r="S887" i="3"/>
  <c r="L880" i="3"/>
  <c r="M879" i="3"/>
  <c r="O864" i="3"/>
  <c r="P863" i="3"/>
  <c r="S855" i="3"/>
  <c r="R856" i="3"/>
  <c r="L848" i="3"/>
  <c r="M847" i="3"/>
  <c r="O832" i="3"/>
  <c r="P831" i="3"/>
  <c r="S823" i="3"/>
  <c r="R824" i="3"/>
  <c r="O816" i="3"/>
  <c r="P815" i="3"/>
  <c r="R800" i="3"/>
  <c r="S799" i="3"/>
  <c r="M791" i="3"/>
  <c r="L792" i="3"/>
  <c r="O784" i="3"/>
  <c r="P783" i="3"/>
  <c r="R768" i="3"/>
  <c r="S767" i="3"/>
  <c r="M759" i="3"/>
  <c r="L760" i="3"/>
  <c r="F752" i="3"/>
  <c r="G751" i="3"/>
  <c r="O736" i="3"/>
  <c r="P735" i="3"/>
  <c r="D727" i="3"/>
  <c r="C728" i="3"/>
  <c r="F720" i="3"/>
  <c r="G719" i="3"/>
  <c r="O704" i="3"/>
  <c r="P703" i="3"/>
  <c r="D695" i="3"/>
  <c r="C696" i="3"/>
  <c r="F688" i="3"/>
  <c r="G687" i="3"/>
  <c r="I672" i="3"/>
  <c r="J671" i="3"/>
  <c r="M663" i="3"/>
  <c r="L664" i="3"/>
  <c r="O656" i="3"/>
  <c r="P655" i="3"/>
  <c r="R640" i="3"/>
  <c r="S639" i="3"/>
  <c r="M631" i="3"/>
  <c r="L632" i="3"/>
  <c r="O624" i="3"/>
  <c r="P623" i="3"/>
  <c r="R608" i="3"/>
  <c r="S607" i="3"/>
  <c r="M599" i="3"/>
  <c r="L600" i="3"/>
  <c r="L592" i="3"/>
  <c r="M591" i="3"/>
  <c r="O576" i="3"/>
  <c r="P575" i="3"/>
  <c r="S567" i="3"/>
  <c r="R568" i="3"/>
  <c r="L560" i="3"/>
  <c r="M559" i="3"/>
  <c r="O544" i="3"/>
  <c r="P543" i="3"/>
  <c r="O536" i="3"/>
  <c r="P535" i="3"/>
  <c r="J527" i="3"/>
  <c r="I528" i="3"/>
  <c r="C512" i="3"/>
  <c r="D511" i="3"/>
  <c r="G503" i="3"/>
  <c r="F504" i="3"/>
  <c r="J495" i="3"/>
  <c r="I496" i="3"/>
  <c r="C480" i="3"/>
  <c r="D479" i="3"/>
  <c r="G471" i="3"/>
  <c r="F472" i="3"/>
  <c r="G463" i="3"/>
  <c r="F464" i="3"/>
  <c r="R448" i="3"/>
  <c r="S447" i="3"/>
  <c r="D439" i="3"/>
  <c r="C440" i="3"/>
  <c r="G431" i="3"/>
  <c r="F432" i="3"/>
  <c r="R416" i="3"/>
  <c r="S415" i="3"/>
  <c r="M407" i="3"/>
  <c r="L408" i="3"/>
  <c r="P399" i="3"/>
  <c r="O400" i="3"/>
  <c r="I384" i="3"/>
  <c r="J383" i="3"/>
  <c r="M375" i="3"/>
  <c r="L376" i="3"/>
  <c r="P367" i="3"/>
  <c r="O368" i="3"/>
  <c r="I352" i="3"/>
  <c r="J351" i="3"/>
  <c r="C344" i="3"/>
  <c r="D343" i="3"/>
  <c r="O336" i="3"/>
  <c r="P335" i="3"/>
  <c r="I320" i="3"/>
  <c r="J319" i="3"/>
  <c r="C312" i="3"/>
  <c r="D311" i="3"/>
  <c r="O304" i="3"/>
  <c r="P303" i="3"/>
  <c r="I288" i="3"/>
  <c r="J287" i="3"/>
  <c r="C280" i="3"/>
  <c r="D279" i="3"/>
  <c r="O272" i="3"/>
  <c r="P271" i="3"/>
  <c r="I256" i="3"/>
  <c r="J255" i="3"/>
  <c r="C248" i="3"/>
  <c r="D247" i="3"/>
  <c r="O240" i="3"/>
  <c r="P239" i="3"/>
  <c r="F224" i="3"/>
  <c r="G223" i="3"/>
  <c r="R216" i="3"/>
  <c r="S215" i="3"/>
  <c r="O200" i="3"/>
  <c r="P199" i="3"/>
  <c r="R192" i="3"/>
  <c r="S191" i="3"/>
  <c r="O176" i="3"/>
  <c r="P175" i="3"/>
  <c r="J167" i="3"/>
  <c r="I168" i="3"/>
  <c r="L152" i="3"/>
  <c r="M151" i="3"/>
  <c r="J143" i="3"/>
  <c r="I144" i="3"/>
  <c r="D135" i="3"/>
  <c r="C136" i="3"/>
  <c r="F997" i="3"/>
  <c r="G996" i="3"/>
  <c r="S988" i="3"/>
  <c r="R989" i="3"/>
  <c r="J972" i="3"/>
  <c r="I973" i="3"/>
  <c r="F965" i="3"/>
  <c r="G964" i="3"/>
  <c r="F957" i="3"/>
  <c r="G956" i="3"/>
  <c r="C941" i="3"/>
  <c r="D940" i="3"/>
  <c r="R933" i="3"/>
  <c r="S932" i="3"/>
  <c r="I925" i="3"/>
  <c r="J924" i="3"/>
  <c r="O909" i="3"/>
  <c r="P908" i="3"/>
  <c r="S900" i="3"/>
  <c r="R901" i="3"/>
  <c r="L893" i="3"/>
  <c r="M892" i="3"/>
  <c r="F877" i="3"/>
  <c r="G876" i="3"/>
  <c r="S868" i="3"/>
  <c r="R869" i="3"/>
  <c r="L861" i="3"/>
  <c r="M860" i="3"/>
  <c r="F845" i="3"/>
  <c r="G844" i="3"/>
  <c r="S836" i="3"/>
  <c r="R837" i="3"/>
  <c r="L829" i="3"/>
  <c r="M828" i="3"/>
  <c r="I813" i="3"/>
  <c r="J812" i="3"/>
  <c r="L805" i="3"/>
  <c r="M804" i="3"/>
  <c r="O797" i="3"/>
  <c r="P796" i="3"/>
  <c r="I781" i="3"/>
  <c r="J780" i="3"/>
  <c r="L773" i="3"/>
  <c r="M772" i="3"/>
  <c r="O765" i="3"/>
  <c r="P764" i="3"/>
  <c r="R749" i="3"/>
  <c r="S748" i="3"/>
  <c r="M740" i="3"/>
  <c r="L741" i="3"/>
  <c r="O733" i="3"/>
  <c r="P732" i="3"/>
  <c r="R717" i="3"/>
  <c r="S716" i="3"/>
  <c r="M708" i="3"/>
  <c r="L709" i="3"/>
  <c r="O701" i="3"/>
  <c r="P700" i="3"/>
  <c r="R685" i="3"/>
  <c r="S684" i="3"/>
  <c r="M676" i="3"/>
  <c r="L677" i="3"/>
  <c r="O669" i="3"/>
  <c r="P668" i="3"/>
  <c r="R653" i="3"/>
  <c r="S652" i="3"/>
  <c r="L645" i="3"/>
  <c r="M644" i="3"/>
  <c r="O637" i="3"/>
  <c r="P636" i="3"/>
  <c r="R621" i="3"/>
  <c r="S620" i="3"/>
  <c r="L613" i="3"/>
  <c r="M612" i="3"/>
  <c r="O605" i="3"/>
  <c r="P604" i="3"/>
  <c r="I589" i="3"/>
  <c r="J588" i="3"/>
  <c r="D580" i="3"/>
  <c r="C581" i="3"/>
  <c r="F573" i="3"/>
  <c r="G572" i="3"/>
  <c r="I557" i="3"/>
  <c r="J556" i="3"/>
  <c r="D548" i="3"/>
  <c r="C549" i="3"/>
  <c r="G540" i="3"/>
  <c r="F541" i="3"/>
  <c r="F525" i="3"/>
  <c r="G524" i="3"/>
  <c r="P516" i="3"/>
  <c r="O517" i="3"/>
  <c r="S508" i="3"/>
  <c r="R509" i="3"/>
  <c r="F493" i="3"/>
  <c r="G492" i="3"/>
  <c r="P484" i="3"/>
  <c r="O485" i="3"/>
  <c r="S476" i="3"/>
  <c r="R477" i="3"/>
  <c r="I461" i="3"/>
  <c r="J460" i="3"/>
  <c r="M452" i="3"/>
  <c r="L453" i="3"/>
  <c r="P444" i="3"/>
  <c r="O445" i="3"/>
  <c r="I429" i="3"/>
  <c r="J428" i="3"/>
  <c r="M420" i="3"/>
  <c r="L421" i="3"/>
  <c r="O413" i="3"/>
  <c r="P412" i="3"/>
  <c r="I397" i="3"/>
  <c r="J396" i="3"/>
  <c r="C389" i="3"/>
  <c r="D388" i="3"/>
  <c r="O381" i="3"/>
  <c r="P380" i="3"/>
  <c r="I365" i="3"/>
  <c r="J364" i="3"/>
  <c r="P356" i="3"/>
  <c r="O357" i="3"/>
  <c r="R341" i="3"/>
  <c r="S340" i="3"/>
  <c r="L333" i="3"/>
  <c r="M332" i="3"/>
  <c r="P324" i="3"/>
  <c r="O325" i="3"/>
  <c r="R309" i="3"/>
  <c r="S308" i="3"/>
  <c r="L301" i="3"/>
  <c r="M300" i="3"/>
  <c r="J292" i="3"/>
  <c r="I293" i="3"/>
  <c r="C277" i="3"/>
  <c r="D276" i="3"/>
  <c r="G268" i="3"/>
  <c r="F269" i="3"/>
  <c r="J260" i="3"/>
  <c r="I261" i="3"/>
  <c r="C245" i="3"/>
  <c r="D244" i="3"/>
  <c r="G236" i="3"/>
  <c r="F237" i="3"/>
  <c r="L229" i="3"/>
  <c r="M228" i="3"/>
  <c r="O213" i="3"/>
  <c r="P212" i="3"/>
  <c r="S204" i="3"/>
  <c r="R205" i="3"/>
  <c r="M196" i="3"/>
  <c r="L197" i="3"/>
  <c r="O181" i="3"/>
  <c r="P180" i="3"/>
  <c r="S172" i="3"/>
  <c r="R173" i="3"/>
  <c r="M164" i="3"/>
  <c r="L165" i="3"/>
  <c r="O149" i="3"/>
  <c r="P148" i="3"/>
  <c r="S140" i="3"/>
  <c r="R141" i="3"/>
  <c r="P131" i="3"/>
  <c r="O132" i="3"/>
  <c r="S123" i="3"/>
  <c r="R124" i="3"/>
  <c r="D119" i="3"/>
  <c r="C120" i="3"/>
  <c r="S111" i="3"/>
  <c r="R112" i="3"/>
  <c r="O104" i="3"/>
  <c r="P103" i="3"/>
  <c r="P99" i="3"/>
  <c r="O100" i="3"/>
  <c r="L92" i="3"/>
  <c r="M91" i="3"/>
  <c r="L88" i="3"/>
  <c r="M87" i="3"/>
  <c r="S79" i="3"/>
  <c r="R80" i="3"/>
  <c r="O72" i="3"/>
  <c r="P71" i="3"/>
  <c r="L83" i="13"/>
  <c r="L84" i="13"/>
  <c r="O690" i="3"/>
  <c r="P689" i="3"/>
  <c r="C658" i="3"/>
  <c r="D657" i="3"/>
  <c r="G609" i="3"/>
  <c r="F610" i="3"/>
  <c r="O578" i="3"/>
  <c r="P577" i="3"/>
  <c r="R554" i="3"/>
  <c r="S553" i="3"/>
  <c r="J529" i="3"/>
  <c r="I530" i="3"/>
  <c r="D521" i="3"/>
  <c r="C522" i="3"/>
  <c r="L482" i="3"/>
  <c r="M481" i="3"/>
  <c r="C434" i="3"/>
  <c r="D433" i="3"/>
  <c r="J409" i="3"/>
  <c r="I410" i="3"/>
  <c r="F306" i="3"/>
  <c r="G305" i="3"/>
  <c r="P297" i="3"/>
  <c r="O298" i="3"/>
  <c r="S281" i="3"/>
  <c r="R282" i="3"/>
  <c r="F250" i="3"/>
  <c r="G249" i="3"/>
  <c r="S209" i="3"/>
  <c r="R210" i="3"/>
  <c r="L178" i="3"/>
  <c r="M177" i="3"/>
  <c r="G705" i="3"/>
  <c r="F706" i="3"/>
  <c r="I594" i="3"/>
  <c r="J593" i="3"/>
  <c r="C586" i="3"/>
  <c r="D585" i="3"/>
  <c r="R514" i="3"/>
  <c r="S513" i="3"/>
  <c r="I442" i="3"/>
  <c r="J441" i="3"/>
  <c r="L418" i="3"/>
  <c r="M417" i="3"/>
  <c r="P401" i="3"/>
  <c r="O402" i="3"/>
  <c r="R386" i="3"/>
  <c r="S385" i="3"/>
  <c r="L370" i="3"/>
  <c r="M369" i="3"/>
  <c r="I354" i="3"/>
  <c r="J353" i="3"/>
  <c r="C322" i="3"/>
  <c r="D321" i="3"/>
  <c r="L290" i="3"/>
  <c r="M289" i="3"/>
  <c r="I266" i="3"/>
  <c r="J265" i="3"/>
  <c r="F226" i="3"/>
  <c r="G225" i="3"/>
  <c r="O218" i="3"/>
  <c r="P217" i="3"/>
  <c r="D193" i="3"/>
  <c r="C194" i="3"/>
  <c r="F146" i="3"/>
  <c r="G145" i="3"/>
  <c r="O138" i="3"/>
  <c r="P137" i="3"/>
  <c r="L994" i="3"/>
  <c r="M993" i="3"/>
  <c r="M985" i="3"/>
  <c r="L986" i="3"/>
  <c r="S977" i="3"/>
  <c r="R978" i="3"/>
  <c r="S961" i="3"/>
  <c r="R962" i="3"/>
  <c r="M953" i="3"/>
  <c r="L954" i="3"/>
  <c r="P945" i="3"/>
  <c r="O946" i="3"/>
  <c r="C930" i="3"/>
  <c r="D929" i="3"/>
  <c r="F922" i="3"/>
  <c r="G921" i="3"/>
  <c r="L914" i="3"/>
  <c r="M913" i="3"/>
  <c r="O898" i="3"/>
  <c r="P897" i="3"/>
  <c r="I890" i="3"/>
  <c r="J889" i="3"/>
  <c r="M881" i="3"/>
  <c r="L882" i="3"/>
  <c r="O866" i="3"/>
  <c r="P865" i="3"/>
  <c r="R858" i="3"/>
  <c r="S857" i="3"/>
  <c r="M849" i="3"/>
  <c r="L850" i="3"/>
  <c r="O834" i="3"/>
  <c r="P833" i="3"/>
  <c r="R826" i="3"/>
  <c r="S825" i="3"/>
  <c r="P817" i="3"/>
  <c r="O818" i="3"/>
  <c r="C802" i="3"/>
  <c r="D801" i="3"/>
  <c r="L794" i="3"/>
  <c r="M793" i="3"/>
  <c r="P785" i="3"/>
  <c r="O786" i="3"/>
  <c r="C770" i="3"/>
  <c r="D769" i="3"/>
  <c r="L762" i="3"/>
  <c r="M761" i="3"/>
  <c r="G753" i="3"/>
  <c r="F754" i="3"/>
  <c r="C738" i="3"/>
  <c r="D737" i="3"/>
  <c r="I730" i="3"/>
  <c r="J729" i="3"/>
  <c r="G721" i="3"/>
  <c r="F722" i="3"/>
  <c r="C698" i="3"/>
  <c r="D697" i="3"/>
  <c r="C674" i="3"/>
  <c r="D673" i="3"/>
  <c r="L666" i="3"/>
  <c r="M665" i="3"/>
  <c r="R642" i="3"/>
  <c r="S641" i="3"/>
  <c r="L634" i="3"/>
  <c r="M633" i="3"/>
  <c r="P625" i="3"/>
  <c r="O626" i="3"/>
  <c r="I570" i="3"/>
  <c r="J569" i="3"/>
  <c r="C546" i="3"/>
  <c r="D545" i="3"/>
  <c r="F538" i="3"/>
  <c r="G537" i="3"/>
  <c r="L474" i="3"/>
  <c r="M473" i="3"/>
  <c r="R466" i="3"/>
  <c r="S465" i="3"/>
  <c r="G457" i="3"/>
  <c r="F458" i="3"/>
  <c r="I426" i="3"/>
  <c r="J425" i="3"/>
  <c r="L378" i="3"/>
  <c r="M377" i="3"/>
  <c r="I338" i="3"/>
  <c r="J337" i="3"/>
  <c r="C314" i="3"/>
  <c r="D313" i="3"/>
  <c r="L274" i="3"/>
  <c r="M273" i="3"/>
  <c r="I234" i="3"/>
  <c r="J233" i="3"/>
  <c r="F186" i="3"/>
  <c r="G185" i="3"/>
  <c r="O170" i="3"/>
  <c r="P169" i="3"/>
  <c r="D698" i="3"/>
  <c r="C699" i="3"/>
  <c r="O619" i="3"/>
  <c r="P618" i="3"/>
  <c r="R603" i="3"/>
  <c r="S602" i="3"/>
  <c r="C595" i="3"/>
  <c r="D594" i="3"/>
  <c r="F539" i="3"/>
  <c r="G538" i="3"/>
  <c r="R531" i="3"/>
  <c r="S530" i="3"/>
  <c r="G514" i="3"/>
  <c r="F515" i="3"/>
  <c r="I475" i="3"/>
  <c r="J474" i="3"/>
  <c r="O427" i="3"/>
  <c r="P426" i="3"/>
  <c r="M402" i="3"/>
  <c r="L403" i="3"/>
  <c r="O379" i="3"/>
  <c r="P378" i="3"/>
  <c r="R347" i="3"/>
  <c r="S346" i="3"/>
  <c r="F291" i="3"/>
  <c r="G290" i="3"/>
  <c r="F227" i="3"/>
  <c r="G226" i="3"/>
  <c r="L195" i="3"/>
  <c r="M194" i="3"/>
  <c r="I171" i="3"/>
  <c r="J170" i="3"/>
  <c r="C139" i="3"/>
  <c r="D138" i="3"/>
  <c r="R101" i="3"/>
  <c r="S100" i="3"/>
  <c r="M76" i="3"/>
  <c r="L77" i="3"/>
  <c r="C81" i="3"/>
  <c r="D80" i="3"/>
  <c r="F723" i="3"/>
  <c r="G722" i="3"/>
  <c r="D642" i="3"/>
  <c r="C643" i="3"/>
  <c r="F627" i="3"/>
  <c r="G626" i="3"/>
  <c r="O579" i="3"/>
  <c r="P578" i="3"/>
  <c r="S570" i="3"/>
  <c r="R571" i="3"/>
  <c r="L547" i="3"/>
  <c r="M546" i="3"/>
  <c r="I483" i="3"/>
  <c r="J482" i="3"/>
  <c r="S458" i="3"/>
  <c r="R459" i="3"/>
  <c r="L451" i="3"/>
  <c r="M450" i="3"/>
  <c r="I355" i="3"/>
  <c r="J354" i="3"/>
  <c r="M314" i="3"/>
  <c r="L315" i="3"/>
  <c r="P298" i="3"/>
  <c r="O299" i="3"/>
  <c r="I243" i="3"/>
  <c r="J242" i="3"/>
  <c r="S132" i="3"/>
  <c r="R133" i="3"/>
  <c r="M124" i="3"/>
  <c r="L125" i="3"/>
  <c r="L105" i="3"/>
  <c r="M104" i="3"/>
  <c r="M714" i="3"/>
  <c r="L715" i="3"/>
  <c r="I659" i="3"/>
  <c r="J658" i="3"/>
  <c r="D650" i="3"/>
  <c r="C651" i="3"/>
  <c r="F635" i="3"/>
  <c r="G634" i="3"/>
  <c r="I499" i="3"/>
  <c r="J498" i="3"/>
  <c r="C467" i="3"/>
  <c r="D466" i="3"/>
  <c r="L443" i="3"/>
  <c r="M442" i="3"/>
  <c r="R387" i="3"/>
  <c r="S386" i="3"/>
  <c r="D362" i="3"/>
  <c r="C363" i="3"/>
  <c r="P338" i="3"/>
  <c r="O339" i="3"/>
  <c r="I307" i="3"/>
  <c r="J306" i="3"/>
  <c r="P218" i="3"/>
  <c r="O219" i="3"/>
  <c r="S210" i="3"/>
  <c r="R211" i="3"/>
  <c r="C147" i="3"/>
  <c r="D146" i="3"/>
  <c r="I113" i="3"/>
  <c r="J112" i="3"/>
  <c r="I93" i="3"/>
  <c r="J92" i="3"/>
  <c r="P88" i="3"/>
  <c r="O89" i="3"/>
  <c r="D706" i="3"/>
  <c r="C707" i="3"/>
  <c r="O667" i="3"/>
  <c r="P666" i="3"/>
  <c r="J554" i="3"/>
  <c r="I555" i="3"/>
  <c r="G490" i="3"/>
  <c r="F491" i="3"/>
  <c r="P410" i="3"/>
  <c r="O411" i="3"/>
  <c r="R323" i="3"/>
  <c r="S322" i="3"/>
  <c r="F275" i="3"/>
  <c r="G274" i="3"/>
  <c r="C259" i="3"/>
  <c r="D258" i="3"/>
  <c r="R235" i="3"/>
  <c r="S234" i="3"/>
  <c r="I203" i="3"/>
  <c r="J202" i="3"/>
  <c r="F155" i="3"/>
  <c r="G154" i="3"/>
  <c r="C129" i="3"/>
  <c r="D128" i="3"/>
  <c r="R121" i="3"/>
  <c r="S120" i="3"/>
  <c r="I85" i="3"/>
  <c r="J84" i="3"/>
  <c r="P72" i="3"/>
  <c r="O73" i="3"/>
  <c r="H59" i="13"/>
  <c r="N59" i="13" s="1"/>
  <c r="H69" i="13"/>
  <c r="N69" i="13" s="1"/>
  <c r="H64" i="13"/>
  <c r="N64" i="13" s="1"/>
  <c r="K11" i="4"/>
  <c r="H53" i="3"/>
  <c r="H37" i="3"/>
  <c r="H21" i="3"/>
  <c r="I21" i="3" s="1"/>
  <c r="C14" i="3"/>
  <c r="D13" i="3"/>
  <c r="R10" i="3"/>
  <c r="S9" i="3"/>
  <c r="M5" i="3"/>
  <c r="L6" i="3"/>
  <c r="M8" i="3"/>
  <c r="O11" i="4"/>
  <c r="G15" i="3"/>
  <c r="F16" i="3"/>
  <c r="G11" i="3"/>
  <c r="F12" i="3"/>
  <c r="C8" i="3"/>
  <c r="D7" i="3"/>
  <c r="H28" i="3"/>
  <c r="D12" i="3"/>
  <c r="C13" i="3"/>
  <c r="H56" i="3"/>
  <c r="D8" i="3"/>
  <c r="C9" i="3"/>
  <c r="E52" i="3"/>
  <c r="J20" i="3"/>
  <c r="X9" i="4"/>
  <c r="F17" i="3"/>
  <c r="G16" i="3"/>
  <c r="L110" i="3"/>
  <c r="M109" i="3"/>
  <c r="C999" i="3"/>
  <c r="D998" i="3"/>
  <c r="F983" i="3"/>
  <c r="G982" i="3"/>
  <c r="M974" i="3"/>
  <c r="L975" i="3"/>
  <c r="D966" i="3"/>
  <c r="C967" i="3"/>
  <c r="O951" i="3"/>
  <c r="P950" i="3"/>
  <c r="F943" i="3"/>
  <c r="G942" i="3"/>
  <c r="I935" i="3"/>
  <c r="J934" i="3"/>
  <c r="M918" i="3"/>
  <c r="L919" i="3"/>
  <c r="R911" i="3"/>
  <c r="S910" i="3"/>
  <c r="M902" i="3"/>
  <c r="L903" i="3"/>
  <c r="I887" i="3"/>
  <c r="J886" i="3"/>
  <c r="C879" i="3"/>
  <c r="D878" i="3"/>
  <c r="F871" i="3"/>
  <c r="G870" i="3"/>
  <c r="I855" i="3"/>
  <c r="J854" i="3"/>
  <c r="C847" i="3"/>
  <c r="D846" i="3"/>
  <c r="F839" i="3"/>
  <c r="G838" i="3"/>
  <c r="I823" i="3"/>
  <c r="J822" i="3"/>
  <c r="F815" i="3"/>
  <c r="G814" i="3"/>
  <c r="I807" i="3"/>
  <c r="J806" i="3"/>
  <c r="L791" i="3"/>
  <c r="M790" i="3"/>
  <c r="F783" i="3"/>
  <c r="G782" i="3"/>
  <c r="I775" i="3"/>
  <c r="J774" i="3"/>
  <c r="L759" i="3"/>
  <c r="M758" i="3"/>
  <c r="R751" i="3"/>
  <c r="S750" i="3"/>
  <c r="P742" i="3"/>
  <c r="O743" i="3"/>
  <c r="L727" i="3"/>
  <c r="M726" i="3"/>
  <c r="R719" i="3"/>
  <c r="S718" i="3"/>
  <c r="P710" i="3"/>
  <c r="O711" i="3"/>
  <c r="L695" i="3"/>
  <c r="M694" i="3"/>
  <c r="L687" i="3"/>
  <c r="M686" i="3"/>
  <c r="P678" i="3"/>
  <c r="O679" i="3"/>
  <c r="C663" i="3"/>
  <c r="D662" i="3"/>
  <c r="F655" i="3"/>
  <c r="G654" i="3"/>
  <c r="I647" i="3"/>
  <c r="J646" i="3"/>
  <c r="C631" i="3"/>
  <c r="D630" i="3"/>
  <c r="F623" i="3"/>
  <c r="G622" i="3"/>
  <c r="I615" i="3"/>
  <c r="J614" i="3"/>
  <c r="C599" i="3"/>
  <c r="D598" i="3"/>
  <c r="C591" i="3"/>
  <c r="D590" i="3"/>
  <c r="G582" i="3"/>
  <c r="F583" i="3"/>
  <c r="I567" i="3"/>
  <c r="J566" i="3"/>
  <c r="C559" i="3"/>
  <c r="D558" i="3"/>
  <c r="G550" i="3"/>
  <c r="F551" i="3"/>
  <c r="L535" i="3"/>
  <c r="M534" i="3"/>
  <c r="J526" i="3"/>
  <c r="I527" i="3"/>
  <c r="C519" i="3"/>
  <c r="D518" i="3"/>
  <c r="F503" i="3"/>
  <c r="G502" i="3"/>
  <c r="J494" i="3"/>
  <c r="I495" i="3"/>
  <c r="C487" i="3"/>
  <c r="D486" i="3"/>
  <c r="F471" i="3"/>
  <c r="G470" i="3"/>
  <c r="L463" i="3"/>
  <c r="M462" i="3"/>
  <c r="P454" i="3"/>
  <c r="O455" i="3"/>
  <c r="R439" i="3"/>
  <c r="S438" i="3"/>
  <c r="L431" i="3"/>
  <c r="M430" i="3"/>
  <c r="P422" i="3"/>
  <c r="O423" i="3"/>
  <c r="C407" i="3"/>
  <c r="D406" i="3"/>
  <c r="L399" i="3"/>
  <c r="M398" i="3"/>
  <c r="I391" i="3"/>
  <c r="J390" i="3"/>
  <c r="C375" i="3"/>
  <c r="D374" i="3"/>
  <c r="L367" i="3"/>
  <c r="M366" i="3"/>
  <c r="L359" i="3"/>
  <c r="M358" i="3"/>
  <c r="L343" i="3"/>
  <c r="M342" i="3"/>
  <c r="F335" i="3"/>
  <c r="G334" i="3"/>
  <c r="R327" i="3"/>
  <c r="S326" i="3"/>
  <c r="L311" i="3"/>
  <c r="M310" i="3"/>
  <c r="F303" i="3"/>
  <c r="G302" i="3"/>
  <c r="R295" i="3"/>
  <c r="S294" i="3"/>
  <c r="L279" i="3"/>
  <c r="M278" i="3"/>
  <c r="F271" i="3"/>
  <c r="G270" i="3"/>
  <c r="R263" i="3"/>
  <c r="S262" i="3"/>
  <c r="L247" i="3"/>
  <c r="M246" i="3"/>
  <c r="F239" i="3"/>
  <c r="G238" i="3"/>
  <c r="R231" i="3"/>
  <c r="S230" i="3"/>
  <c r="O215" i="3"/>
  <c r="P214" i="3"/>
  <c r="D206" i="3"/>
  <c r="C207" i="3"/>
  <c r="O191" i="3"/>
  <c r="P190" i="3"/>
  <c r="D182" i="3"/>
  <c r="C183" i="3"/>
  <c r="G174" i="3"/>
  <c r="F175" i="3"/>
  <c r="I159" i="3"/>
  <c r="J158" i="3"/>
  <c r="G150" i="3"/>
  <c r="F151" i="3"/>
  <c r="I135" i="3"/>
  <c r="J134" i="3"/>
  <c r="S130" i="3"/>
  <c r="R131" i="3"/>
  <c r="C123" i="3"/>
  <c r="D122" i="3"/>
  <c r="C119" i="3"/>
  <c r="D118" i="3"/>
  <c r="R111" i="3"/>
  <c r="S110" i="3"/>
  <c r="S106" i="3"/>
  <c r="R107" i="3"/>
  <c r="F99" i="3"/>
  <c r="G98" i="3"/>
  <c r="L95" i="3"/>
  <c r="M94" i="3"/>
  <c r="L91" i="3"/>
  <c r="M90" i="3"/>
  <c r="J82" i="3"/>
  <c r="I83" i="3"/>
  <c r="O79" i="3"/>
  <c r="P78" i="3"/>
  <c r="C71" i="3"/>
  <c r="D70" i="3"/>
  <c r="P995" i="3"/>
  <c r="O996" i="3"/>
  <c r="P987" i="3"/>
  <c r="O988" i="3"/>
  <c r="R972" i="3"/>
  <c r="S971" i="3"/>
  <c r="C964" i="3"/>
  <c r="D963" i="3"/>
  <c r="J955" i="3"/>
  <c r="I956" i="3"/>
  <c r="O940" i="3"/>
  <c r="P939" i="3"/>
  <c r="C932" i="3"/>
  <c r="D931" i="3"/>
  <c r="L924" i="3"/>
  <c r="M923" i="3"/>
  <c r="R908" i="3"/>
  <c r="S907" i="3"/>
  <c r="M899" i="3"/>
  <c r="L900" i="3"/>
  <c r="O892" i="3"/>
  <c r="P891" i="3"/>
  <c r="I876" i="3"/>
  <c r="J875" i="3"/>
  <c r="L868" i="3"/>
  <c r="M867" i="3"/>
  <c r="O860" i="3"/>
  <c r="P859" i="3"/>
  <c r="I844" i="3"/>
  <c r="J843" i="3"/>
  <c r="L836" i="3"/>
  <c r="M835" i="3"/>
  <c r="O828" i="3"/>
  <c r="P827" i="3"/>
  <c r="F812" i="3"/>
  <c r="G811" i="3"/>
  <c r="J803" i="3"/>
  <c r="I804" i="3"/>
  <c r="C796" i="3"/>
  <c r="D795" i="3"/>
  <c r="F780" i="3"/>
  <c r="G779" i="3"/>
  <c r="J771" i="3"/>
  <c r="I772" i="3"/>
  <c r="C764" i="3"/>
  <c r="D763" i="3"/>
  <c r="C748" i="3"/>
  <c r="D747" i="3"/>
  <c r="P739" i="3"/>
  <c r="O740" i="3"/>
  <c r="R732" i="3"/>
  <c r="S731" i="3"/>
  <c r="C716" i="3"/>
  <c r="D715" i="3"/>
  <c r="P707" i="3"/>
  <c r="O708" i="3"/>
  <c r="R700" i="3"/>
  <c r="S699" i="3"/>
  <c r="L684" i="3"/>
  <c r="M683" i="3"/>
  <c r="P675" i="3"/>
  <c r="O676" i="3"/>
  <c r="R668" i="3"/>
  <c r="S667" i="3"/>
  <c r="F652" i="3"/>
  <c r="G651" i="3"/>
  <c r="J643" i="3"/>
  <c r="I644" i="3"/>
  <c r="C636" i="3"/>
  <c r="D635" i="3"/>
  <c r="F620" i="3"/>
  <c r="G619" i="3"/>
  <c r="J611" i="3"/>
  <c r="I612" i="3"/>
  <c r="C604" i="3"/>
  <c r="D603" i="3"/>
  <c r="C588" i="3"/>
  <c r="D587" i="3"/>
  <c r="G579" i="3"/>
  <c r="F580" i="3"/>
  <c r="I572" i="3"/>
  <c r="J571" i="3"/>
  <c r="C556" i="3"/>
  <c r="D555" i="3"/>
  <c r="G547" i="3"/>
  <c r="F548" i="3"/>
  <c r="J539" i="3"/>
  <c r="I540" i="3"/>
  <c r="I524" i="3"/>
  <c r="J523" i="3"/>
  <c r="S515" i="3"/>
  <c r="R516" i="3"/>
  <c r="L508" i="3"/>
  <c r="M507" i="3"/>
  <c r="I492" i="3"/>
  <c r="J491" i="3"/>
  <c r="S483" i="3"/>
  <c r="R484" i="3"/>
  <c r="L476" i="3"/>
  <c r="M475" i="3"/>
  <c r="F460" i="3"/>
  <c r="G459" i="3"/>
  <c r="P451" i="3"/>
  <c r="O452" i="3"/>
  <c r="S443" i="3"/>
  <c r="R444" i="3"/>
  <c r="F428" i="3"/>
  <c r="G427" i="3"/>
  <c r="P419" i="3"/>
  <c r="O420" i="3"/>
  <c r="S411" i="3"/>
  <c r="R412" i="3"/>
  <c r="L396" i="3"/>
  <c r="M395" i="3"/>
  <c r="J387" i="3"/>
  <c r="I388" i="3"/>
  <c r="D379" i="3"/>
  <c r="C380" i="3"/>
  <c r="L364" i="3"/>
  <c r="M363" i="3"/>
  <c r="S355" i="3"/>
  <c r="R356" i="3"/>
  <c r="M347" i="3"/>
  <c r="L348" i="3"/>
  <c r="O332" i="3"/>
  <c r="P331" i="3"/>
  <c r="S323" i="3"/>
  <c r="R324" i="3"/>
  <c r="M315" i="3"/>
  <c r="L316" i="3"/>
  <c r="O300" i="3"/>
  <c r="P299" i="3"/>
  <c r="S291" i="3"/>
  <c r="R292" i="3"/>
  <c r="M283" i="3"/>
  <c r="L284" i="3"/>
  <c r="O268" i="3"/>
  <c r="P267" i="3"/>
  <c r="S259" i="3"/>
  <c r="R260" i="3"/>
  <c r="M251" i="3"/>
  <c r="L252" i="3"/>
  <c r="O236" i="3"/>
  <c r="P235" i="3"/>
  <c r="M227" i="3"/>
  <c r="L228" i="3"/>
  <c r="P219" i="3"/>
  <c r="O220" i="3"/>
  <c r="I204" i="3"/>
  <c r="J203" i="3"/>
  <c r="M195" i="3"/>
  <c r="L196" i="3"/>
  <c r="P187" i="3"/>
  <c r="O188" i="3"/>
  <c r="I172" i="3"/>
  <c r="J171" i="3"/>
  <c r="M163" i="3"/>
  <c r="L164" i="3"/>
  <c r="P155" i="3"/>
  <c r="O156" i="3"/>
  <c r="I140" i="3"/>
  <c r="J139" i="3"/>
  <c r="L102" i="3"/>
  <c r="M101" i="3"/>
  <c r="I985" i="3"/>
  <c r="J984" i="3"/>
  <c r="R977" i="3"/>
  <c r="S976" i="3"/>
  <c r="J968" i="3"/>
  <c r="I969" i="3"/>
  <c r="I953" i="3"/>
  <c r="J952" i="3"/>
  <c r="J944" i="3"/>
  <c r="I945" i="3"/>
  <c r="C937" i="3"/>
  <c r="D936" i="3"/>
  <c r="F921" i="3"/>
  <c r="G920" i="3"/>
  <c r="C913" i="3"/>
  <c r="D912" i="3"/>
  <c r="G904" i="3"/>
  <c r="F905" i="3"/>
  <c r="C889" i="3"/>
  <c r="D888" i="3"/>
  <c r="L881" i="3"/>
  <c r="M880" i="3"/>
  <c r="P872" i="3"/>
  <c r="O873" i="3"/>
  <c r="C857" i="3"/>
  <c r="D856" i="3"/>
  <c r="L849" i="3"/>
  <c r="M848" i="3"/>
  <c r="P840" i="3"/>
  <c r="O841" i="3"/>
  <c r="C825" i="3"/>
  <c r="D824" i="3"/>
  <c r="J816" i="3"/>
  <c r="I817" i="3"/>
  <c r="C809" i="3"/>
  <c r="D808" i="3"/>
  <c r="F793" i="3"/>
  <c r="G792" i="3"/>
  <c r="J784" i="3"/>
  <c r="I785" i="3"/>
  <c r="C777" i="3"/>
  <c r="D776" i="3"/>
  <c r="F761" i="3"/>
  <c r="G760" i="3"/>
  <c r="O753" i="3"/>
  <c r="P752" i="3"/>
  <c r="S744" i="3"/>
  <c r="R745" i="3"/>
  <c r="F729" i="3"/>
  <c r="G728" i="3"/>
  <c r="O721" i="3"/>
  <c r="P720" i="3"/>
  <c r="S712" i="3"/>
  <c r="R713" i="3"/>
  <c r="F697" i="3"/>
  <c r="G696" i="3"/>
  <c r="O689" i="3"/>
  <c r="P688" i="3"/>
  <c r="R681" i="3"/>
  <c r="S680" i="3"/>
  <c r="F665" i="3"/>
  <c r="G664" i="3"/>
  <c r="J656" i="3"/>
  <c r="I657" i="3"/>
  <c r="C649" i="3"/>
  <c r="D648" i="3"/>
  <c r="F633" i="3"/>
  <c r="G632" i="3"/>
  <c r="J624" i="3"/>
  <c r="I625" i="3"/>
  <c r="C617" i="3"/>
  <c r="D616" i="3"/>
  <c r="F601" i="3"/>
  <c r="G600" i="3"/>
  <c r="F593" i="3"/>
  <c r="G592" i="3"/>
  <c r="I585" i="3"/>
  <c r="J584" i="3"/>
  <c r="C569" i="3"/>
  <c r="D568" i="3"/>
  <c r="F561" i="3"/>
  <c r="G560" i="3"/>
  <c r="I553" i="3"/>
  <c r="J552" i="3"/>
  <c r="C537" i="3"/>
  <c r="D536" i="3"/>
  <c r="I529" i="3"/>
  <c r="J528" i="3"/>
  <c r="M520" i="3"/>
  <c r="L521" i="3"/>
  <c r="O505" i="3"/>
  <c r="P504" i="3"/>
  <c r="I497" i="3"/>
  <c r="J496" i="3"/>
  <c r="M488" i="3"/>
  <c r="L489" i="3"/>
  <c r="O473" i="3"/>
  <c r="P472" i="3"/>
  <c r="F465" i="3"/>
  <c r="G464" i="3"/>
  <c r="R457" i="3"/>
  <c r="S456" i="3"/>
  <c r="O441" i="3"/>
  <c r="P440" i="3"/>
  <c r="F433" i="3"/>
  <c r="G432" i="3"/>
  <c r="R425" i="3"/>
  <c r="S424" i="3"/>
  <c r="F409" i="3"/>
  <c r="G408" i="3"/>
  <c r="J400" i="3"/>
  <c r="I401" i="3"/>
  <c r="C393" i="3"/>
  <c r="D392" i="3"/>
  <c r="F377" i="3"/>
  <c r="G376" i="3"/>
  <c r="J368" i="3"/>
  <c r="I369" i="3"/>
  <c r="I361" i="3"/>
  <c r="J360" i="3"/>
  <c r="F345" i="3"/>
  <c r="G344" i="3"/>
  <c r="O337" i="3"/>
  <c r="P336" i="3"/>
  <c r="D328" i="3"/>
  <c r="C329" i="3"/>
  <c r="F313" i="3"/>
  <c r="G312" i="3"/>
  <c r="O305" i="3"/>
  <c r="P304" i="3"/>
  <c r="D296" i="3"/>
  <c r="C297" i="3"/>
  <c r="F281" i="3"/>
  <c r="G280" i="3"/>
  <c r="O273" i="3"/>
  <c r="P272" i="3"/>
  <c r="D264" i="3"/>
  <c r="C265" i="3"/>
  <c r="F249" i="3"/>
  <c r="G248" i="3"/>
  <c r="O241" i="3"/>
  <c r="P240" i="3"/>
  <c r="D232" i="3"/>
  <c r="C233" i="3"/>
  <c r="I217" i="3"/>
  <c r="J216" i="3"/>
  <c r="R209" i="3"/>
  <c r="S208" i="3"/>
  <c r="G200" i="3"/>
  <c r="F201" i="3"/>
  <c r="I185" i="3"/>
  <c r="J184" i="3"/>
  <c r="R177" i="3"/>
  <c r="S176" i="3"/>
  <c r="G168" i="3"/>
  <c r="F169" i="3"/>
  <c r="I153" i="3"/>
  <c r="J152" i="3"/>
  <c r="R145" i="3"/>
  <c r="S144" i="3"/>
  <c r="G136" i="3"/>
  <c r="F137" i="3"/>
  <c r="F130" i="3"/>
  <c r="G129" i="3"/>
  <c r="R126" i="3"/>
  <c r="S125" i="3"/>
  <c r="R122" i="3"/>
  <c r="S121" i="3"/>
  <c r="C114" i="3"/>
  <c r="D113" i="3"/>
  <c r="C110" i="3"/>
  <c r="D109" i="3"/>
  <c r="O102" i="3"/>
  <c r="P101" i="3"/>
  <c r="F98" i="3"/>
  <c r="G97" i="3"/>
  <c r="R90" i="3"/>
  <c r="S89" i="3"/>
  <c r="R86" i="3"/>
  <c r="S85" i="3"/>
  <c r="F78" i="3"/>
  <c r="G77" i="3"/>
  <c r="M73" i="3"/>
  <c r="L74" i="3"/>
  <c r="L192" i="3"/>
  <c r="M191" i="3"/>
  <c r="F990" i="3"/>
  <c r="G989" i="3"/>
  <c r="G981" i="3"/>
  <c r="F982" i="3"/>
  <c r="G973" i="3"/>
  <c r="F974" i="3"/>
  <c r="G957" i="3"/>
  <c r="F958" i="3"/>
  <c r="D949" i="3"/>
  <c r="C950" i="3"/>
  <c r="D941" i="3"/>
  <c r="C942" i="3"/>
  <c r="O926" i="3"/>
  <c r="P925" i="3"/>
  <c r="P917" i="3"/>
  <c r="O918" i="3"/>
  <c r="P909" i="3"/>
  <c r="O910" i="3"/>
  <c r="C894" i="3"/>
  <c r="D893" i="3"/>
  <c r="F886" i="3"/>
  <c r="G885" i="3"/>
  <c r="I878" i="3"/>
  <c r="J877" i="3"/>
  <c r="C862" i="3"/>
  <c r="D861" i="3"/>
  <c r="P853" i="3"/>
  <c r="O854" i="3"/>
  <c r="R846" i="3"/>
  <c r="S845" i="3"/>
  <c r="C830" i="3"/>
  <c r="D829" i="3"/>
  <c r="P821" i="3"/>
  <c r="O822" i="3"/>
  <c r="L814" i="3"/>
  <c r="M813" i="3"/>
  <c r="F798" i="3"/>
  <c r="G797" i="3"/>
  <c r="S789" i="3"/>
  <c r="R790" i="3"/>
  <c r="L782" i="3"/>
  <c r="M781" i="3"/>
  <c r="F766" i="3"/>
  <c r="G765" i="3"/>
  <c r="S757" i="3"/>
  <c r="R758" i="3"/>
  <c r="L750" i="3"/>
  <c r="M749" i="3"/>
  <c r="F734" i="3"/>
  <c r="G733" i="3"/>
  <c r="S725" i="3"/>
  <c r="R726" i="3"/>
  <c r="L718" i="3"/>
  <c r="M717" i="3"/>
  <c r="F702" i="3"/>
  <c r="G701" i="3"/>
  <c r="S693" i="3"/>
  <c r="R694" i="3"/>
  <c r="L686" i="3"/>
  <c r="M685" i="3"/>
  <c r="O670" i="3"/>
  <c r="P669" i="3"/>
  <c r="S661" i="3"/>
  <c r="R662" i="3"/>
  <c r="L654" i="3"/>
  <c r="M653" i="3"/>
  <c r="O638" i="3"/>
  <c r="P637" i="3"/>
  <c r="S629" i="3"/>
  <c r="R630" i="3"/>
  <c r="L622" i="3"/>
  <c r="M621" i="3"/>
  <c r="O606" i="3"/>
  <c r="P605" i="3"/>
  <c r="I598" i="3"/>
  <c r="J597" i="3"/>
  <c r="C590" i="3"/>
  <c r="D589" i="3"/>
  <c r="F574" i="3"/>
  <c r="G573" i="3"/>
  <c r="J565" i="3"/>
  <c r="I566" i="3"/>
  <c r="C558" i="3"/>
  <c r="D557" i="3"/>
  <c r="O542" i="3"/>
  <c r="P541" i="3"/>
  <c r="F534" i="3"/>
  <c r="G533" i="3"/>
  <c r="P525" i="3"/>
  <c r="O526" i="3"/>
  <c r="I510" i="3"/>
  <c r="J509" i="3"/>
  <c r="M501" i="3"/>
  <c r="L502" i="3"/>
  <c r="P493" i="3"/>
  <c r="O494" i="3"/>
  <c r="I478" i="3"/>
  <c r="J477" i="3"/>
  <c r="M469" i="3"/>
  <c r="L470" i="3"/>
  <c r="M461" i="3"/>
  <c r="L462" i="3"/>
  <c r="O446" i="3"/>
  <c r="P445" i="3"/>
  <c r="S437" i="3"/>
  <c r="R438" i="3"/>
  <c r="M429" i="3"/>
  <c r="L430" i="3"/>
  <c r="P413" i="3"/>
  <c r="O414" i="3"/>
  <c r="S405" i="3"/>
  <c r="R406" i="3"/>
  <c r="L398" i="3"/>
  <c r="M397" i="3"/>
  <c r="I382" i="3"/>
  <c r="J381" i="3"/>
  <c r="S373" i="3"/>
  <c r="R374" i="3"/>
  <c r="L366" i="3"/>
  <c r="M365" i="3"/>
  <c r="R350" i="3"/>
  <c r="S349" i="3"/>
  <c r="D341" i="3"/>
  <c r="C342" i="3"/>
  <c r="G333" i="3"/>
  <c r="F334" i="3"/>
  <c r="R318" i="3"/>
  <c r="S317" i="3"/>
  <c r="D309" i="3"/>
  <c r="C310" i="3"/>
  <c r="G301" i="3"/>
  <c r="F302" i="3"/>
  <c r="R286" i="3"/>
  <c r="S285" i="3"/>
  <c r="D277" i="3"/>
  <c r="C278" i="3"/>
  <c r="G269" i="3"/>
  <c r="F270" i="3"/>
  <c r="R254" i="3"/>
  <c r="S253" i="3"/>
  <c r="D245" i="3"/>
  <c r="C246" i="3"/>
  <c r="G237" i="3"/>
  <c r="F238" i="3"/>
  <c r="C222" i="3"/>
  <c r="D221" i="3"/>
  <c r="G213" i="3"/>
  <c r="F214" i="3"/>
  <c r="J205" i="3"/>
  <c r="I206" i="3"/>
  <c r="C190" i="3"/>
  <c r="D189" i="3"/>
  <c r="G181" i="3"/>
  <c r="F182" i="3"/>
  <c r="J173" i="3"/>
  <c r="I174" i="3"/>
  <c r="C158" i="3"/>
  <c r="D157" i="3"/>
  <c r="G149" i="3"/>
  <c r="F150" i="3"/>
  <c r="J141" i="3"/>
  <c r="I142" i="3"/>
  <c r="R995" i="3"/>
  <c r="S994" i="3"/>
  <c r="O979" i="3"/>
  <c r="P978" i="3"/>
  <c r="F971" i="3"/>
  <c r="G970" i="3"/>
  <c r="I963" i="3"/>
  <c r="J962" i="3"/>
  <c r="D946" i="3"/>
  <c r="C947" i="3"/>
  <c r="O939" i="3"/>
  <c r="P938" i="3"/>
  <c r="O931" i="3"/>
  <c r="P930" i="3"/>
  <c r="I915" i="3"/>
  <c r="J914" i="3"/>
  <c r="P906" i="3"/>
  <c r="O907" i="3"/>
  <c r="R899" i="3"/>
  <c r="S898" i="3"/>
  <c r="F883" i="3"/>
  <c r="G882" i="3"/>
  <c r="J874" i="3"/>
  <c r="I875" i="3"/>
  <c r="C867" i="3"/>
  <c r="D866" i="3"/>
  <c r="F851" i="3"/>
  <c r="G850" i="3"/>
  <c r="J842" i="3"/>
  <c r="I843" i="3"/>
  <c r="C835" i="3"/>
  <c r="D834" i="3"/>
  <c r="J818" i="3"/>
  <c r="I819" i="3"/>
  <c r="D810" i="3"/>
  <c r="C811" i="3"/>
  <c r="F803" i="3"/>
  <c r="G802" i="3"/>
  <c r="I787" i="3"/>
  <c r="J786" i="3"/>
  <c r="D778" i="3"/>
  <c r="C779" i="3"/>
  <c r="F771" i="3"/>
  <c r="G770" i="3"/>
  <c r="F755" i="3"/>
  <c r="G754" i="3"/>
  <c r="S746" i="3"/>
  <c r="R747" i="3"/>
  <c r="M738" i="3"/>
  <c r="L739" i="3"/>
  <c r="R1000" i="3"/>
  <c r="S999" i="3"/>
  <c r="D991" i="3"/>
  <c r="C992" i="3"/>
  <c r="R984" i="3"/>
  <c r="S983" i="3"/>
  <c r="G967" i="3"/>
  <c r="F968" i="3"/>
  <c r="F960" i="3"/>
  <c r="G959" i="3"/>
  <c r="J951" i="3"/>
  <c r="I952" i="3"/>
  <c r="M935" i="3"/>
  <c r="L936" i="3"/>
  <c r="C928" i="3"/>
  <c r="D927" i="3"/>
  <c r="G919" i="3"/>
  <c r="F920" i="3"/>
  <c r="L904" i="3"/>
  <c r="M903" i="3"/>
  <c r="O896" i="3"/>
  <c r="P895" i="3"/>
  <c r="C888" i="3"/>
  <c r="D887" i="3"/>
  <c r="F872" i="3"/>
  <c r="G871" i="3"/>
  <c r="J863" i="3"/>
  <c r="I864" i="3"/>
  <c r="C856" i="3"/>
  <c r="D855" i="3"/>
  <c r="F840" i="3"/>
  <c r="G839" i="3"/>
  <c r="J831" i="3"/>
  <c r="I832" i="3"/>
  <c r="C824" i="3"/>
  <c r="D823" i="3"/>
  <c r="I808" i="3"/>
  <c r="J807" i="3"/>
  <c r="C800" i="3"/>
  <c r="D799" i="3"/>
  <c r="F792" i="3"/>
  <c r="G791" i="3"/>
  <c r="I776" i="3"/>
  <c r="J775" i="3"/>
  <c r="C768" i="3"/>
  <c r="D767" i="3"/>
  <c r="F760" i="3"/>
  <c r="G759" i="3"/>
  <c r="I744" i="3"/>
  <c r="J743" i="3"/>
  <c r="R736" i="3"/>
  <c r="S735" i="3"/>
  <c r="M727" i="3"/>
  <c r="L728" i="3"/>
  <c r="I712" i="3"/>
  <c r="J711" i="3"/>
  <c r="R704" i="3"/>
  <c r="S703" i="3"/>
  <c r="M695" i="3"/>
  <c r="L696" i="3"/>
  <c r="O680" i="3"/>
  <c r="P679" i="3"/>
  <c r="R672" i="3"/>
  <c r="S671" i="3"/>
  <c r="F664" i="3"/>
  <c r="G663" i="3"/>
  <c r="I648" i="3"/>
  <c r="J647" i="3"/>
  <c r="C640" i="3"/>
  <c r="D639" i="3"/>
  <c r="F632" i="3"/>
  <c r="G631" i="3"/>
  <c r="I616" i="3"/>
  <c r="J615" i="3"/>
  <c r="C608" i="3"/>
  <c r="D607" i="3"/>
  <c r="F600" i="3"/>
  <c r="G599" i="3"/>
  <c r="F584" i="3"/>
  <c r="G583" i="3"/>
  <c r="I576" i="3"/>
  <c r="J575" i="3"/>
  <c r="D567" i="3"/>
  <c r="C568" i="3"/>
  <c r="F552" i="3"/>
  <c r="G551" i="3"/>
  <c r="I544" i="3"/>
  <c r="J543" i="3"/>
  <c r="S535" i="3"/>
  <c r="R536" i="3"/>
  <c r="R520" i="3"/>
  <c r="S519" i="3"/>
  <c r="L512" i="3"/>
  <c r="M511" i="3"/>
  <c r="P503" i="3"/>
  <c r="O504" i="3"/>
  <c r="R488" i="3"/>
  <c r="S487" i="3"/>
  <c r="L480" i="3"/>
  <c r="M479" i="3"/>
  <c r="P471" i="3"/>
  <c r="O472" i="3"/>
  <c r="R456" i="3"/>
  <c r="S455" i="3"/>
  <c r="I448" i="3"/>
  <c r="J447" i="3"/>
  <c r="M439" i="3"/>
  <c r="L440" i="3"/>
  <c r="R424" i="3"/>
  <c r="S423" i="3"/>
  <c r="J415" i="3"/>
  <c r="I416" i="3"/>
  <c r="F408" i="3"/>
  <c r="G407" i="3"/>
  <c r="C392" i="3"/>
  <c r="D391" i="3"/>
  <c r="R384" i="3"/>
  <c r="S383" i="3"/>
  <c r="F376" i="3"/>
  <c r="G375" i="3"/>
  <c r="C360" i="3"/>
  <c r="D359" i="3"/>
  <c r="R352" i="3"/>
  <c r="S351" i="3"/>
  <c r="G343" i="3"/>
  <c r="F344" i="3"/>
  <c r="I328" i="3"/>
  <c r="J327" i="3"/>
  <c r="R320" i="3"/>
  <c r="S319" i="3"/>
  <c r="G311" i="3"/>
  <c r="F312" i="3"/>
  <c r="I296" i="3"/>
  <c r="J295" i="3"/>
  <c r="R288" i="3"/>
  <c r="S287" i="3"/>
  <c r="G279" i="3"/>
  <c r="F280" i="3"/>
  <c r="I264" i="3"/>
  <c r="J263" i="3"/>
  <c r="R256" i="3"/>
  <c r="S255" i="3"/>
  <c r="G247" i="3"/>
  <c r="F248" i="3"/>
  <c r="G231" i="3"/>
  <c r="F232" i="3"/>
  <c r="J223" i="3"/>
  <c r="I224" i="3"/>
  <c r="D215" i="3"/>
  <c r="C216" i="3"/>
  <c r="F200" i="3"/>
  <c r="G199" i="3"/>
  <c r="D191" i="3"/>
  <c r="C192" i="3"/>
  <c r="F176" i="3"/>
  <c r="G175" i="3"/>
  <c r="R168" i="3"/>
  <c r="S167" i="3"/>
  <c r="O152" i="3"/>
  <c r="P151" i="3"/>
  <c r="R144" i="3"/>
  <c r="S143" i="3"/>
  <c r="P996" i="3"/>
  <c r="O997" i="3"/>
  <c r="F981" i="3"/>
  <c r="G980" i="3"/>
  <c r="O973" i="3"/>
  <c r="P972" i="3"/>
  <c r="O965" i="3"/>
  <c r="P964" i="3"/>
  <c r="S948" i="3"/>
  <c r="R949" i="3"/>
  <c r="J940" i="3"/>
  <c r="I941" i="3"/>
  <c r="G932" i="3"/>
  <c r="F933" i="3"/>
  <c r="C917" i="3"/>
  <c r="D916" i="3"/>
  <c r="J908" i="3"/>
  <c r="I909" i="3"/>
  <c r="C901" i="3"/>
  <c r="D900" i="3"/>
  <c r="O885" i="3"/>
  <c r="P884" i="3"/>
  <c r="I877" i="3"/>
  <c r="J876" i="3"/>
  <c r="D868" i="3"/>
  <c r="C869" i="3"/>
  <c r="O853" i="3"/>
  <c r="P852" i="3"/>
  <c r="I845" i="3"/>
  <c r="J844" i="3"/>
  <c r="D836" i="3"/>
  <c r="C837" i="3"/>
  <c r="O821" i="3"/>
  <c r="P820" i="3"/>
  <c r="C813" i="3"/>
  <c r="D812" i="3"/>
  <c r="G804" i="3"/>
  <c r="F805" i="3"/>
  <c r="R789" i="3"/>
  <c r="S788" i="3"/>
  <c r="C781" i="3"/>
  <c r="D780" i="3"/>
  <c r="G772" i="3"/>
  <c r="F773" i="3"/>
  <c r="R757" i="3"/>
  <c r="S756" i="3"/>
  <c r="C749" i="3"/>
  <c r="D748" i="3"/>
  <c r="G740" i="3"/>
  <c r="F741" i="3"/>
  <c r="R725" i="3"/>
  <c r="S724" i="3"/>
  <c r="C717" i="3"/>
  <c r="D716" i="3"/>
  <c r="G708" i="3"/>
  <c r="F709" i="3"/>
  <c r="R693" i="3"/>
  <c r="S692" i="3"/>
  <c r="C685" i="3"/>
  <c r="D684" i="3"/>
  <c r="F677" i="3"/>
  <c r="G676" i="3"/>
  <c r="I661" i="3"/>
  <c r="J660" i="3"/>
  <c r="C653" i="3"/>
  <c r="D652" i="3"/>
  <c r="G644" i="3"/>
  <c r="F645" i="3"/>
  <c r="I629" i="3"/>
  <c r="J628" i="3"/>
  <c r="C621" i="3"/>
  <c r="D620" i="3"/>
  <c r="G612" i="3"/>
  <c r="F613" i="3"/>
  <c r="O597" i="3"/>
  <c r="P596" i="3"/>
  <c r="R589" i="3"/>
  <c r="S588" i="3"/>
  <c r="M580" i="3"/>
  <c r="L581" i="3"/>
  <c r="O565" i="3"/>
  <c r="P564" i="3"/>
  <c r="R557" i="3"/>
  <c r="S556" i="3"/>
  <c r="M548" i="3"/>
  <c r="L549" i="3"/>
  <c r="M532" i="3"/>
  <c r="L533" i="3"/>
  <c r="L525" i="3"/>
  <c r="M524" i="3"/>
  <c r="I517" i="3"/>
  <c r="J516" i="3"/>
  <c r="C501" i="3"/>
  <c r="D500" i="3"/>
  <c r="L493" i="3"/>
  <c r="M492" i="3"/>
  <c r="I485" i="3"/>
  <c r="J484" i="3"/>
  <c r="F469" i="3"/>
  <c r="G468" i="3"/>
  <c r="R461" i="3"/>
  <c r="S460" i="3"/>
  <c r="F453" i="3"/>
  <c r="G452" i="3"/>
  <c r="C437" i="3"/>
  <c r="D436" i="3"/>
  <c r="R429" i="3"/>
  <c r="S428" i="3"/>
  <c r="F421" i="3"/>
  <c r="G420" i="3"/>
  <c r="I405" i="3"/>
  <c r="J404" i="3"/>
  <c r="R397" i="3"/>
  <c r="S396" i="3"/>
  <c r="G388" i="3"/>
  <c r="F389" i="3"/>
  <c r="I373" i="3"/>
  <c r="J372" i="3"/>
  <c r="R365" i="3"/>
  <c r="S364" i="3"/>
  <c r="J356" i="3"/>
  <c r="I357" i="3"/>
  <c r="C341" i="3"/>
  <c r="D340" i="3"/>
  <c r="G332" i="3"/>
  <c r="F333" i="3"/>
  <c r="J324" i="3"/>
  <c r="I325" i="3"/>
  <c r="C309" i="3"/>
  <c r="D308" i="3"/>
  <c r="G300" i="3"/>
  <c r="F301" i="3"/>
  <c r="R285" i="3"/>
  <c r="S284" i="3"/>
  <c r="L277" i="3"/>
  <c r="M276" i="3"/>
  <c r="P268" i="3"/>
  <c r="O269" i="3"/>
  <c r="R253" i="3"/>
  <c r="S252" i="3"/>
  <c r="L245" i="3"/>
  <c r="M244" i="3"/>
  <c r="P236" i="3"/>
  <c r="O237" i="3"/>
  <c r="F221" i="3"/>
  <c r="G220" i="3"/>
  <c r="J212" i="3"/>
  <c r="I213" i="3"/>
  <c r="C205" i="3"/>
  <c r="D204" i="3"/>
  <c r="F189" i="3"/>
  <c r="G188" i="3"/>
  <c r="J180" i="3"/>
  <c r="I181" i="3"/>
  <c r="C173" i="3"/>
  <c r="D172" i="3"/>
  <c r="F157" i="3"/>
  <c r="G156" i="3"/>
  <c r="J148" i="3"/>
  <c r="I149" i="3"/>
  <c r="C141" i="3"/>
  <c r="D140" i="3"/>
  <c r="O128" i="3"/>
  <c r="P127" i="3"/>
  <c r="J123" i="3"/>
  <c r="I124" i="3"/>
  <c r="C116" i="3"/>
  <c r="D115" i="3"/>
  <c r="D111" i="3"/>
  <c r="C112" i="3"/>
  <c r="I104" i="3"/>
  <c r="J103" i="3"/>
  <c r="I100" i="3"/>
  <c r="J99" i="3"/>
  <c r="G91" i="3"/>
  <c r="F92" i="3"/>
  <c r="C84" i="3"/>
  <c r="D83" i="3"/>
  <c r="D79" i="3"/>
  <c r="C80" i="3"/>
  <c r="I72" i="3"/>
  <c r="J71" i="3"/>
  <c r="I103" i="3"/>
  <c r="I682" i="3"/>
  <c r="J681" i="3"/>
  <c r="L658" i="3"/>
  <c r="M657" i="3"/>
  <c r="P609" i="3"/>
  <c r="O610" i="3"/>
  <c r="I562" i="3"/>
  <c r="J561" i="3"/>
  <c r="C554" i="3"/>
  <c r="D553" i="3"/>
  <c r="R530" i="3"/>
  <c r="S529" i="3"/>
  <c r="L506" i="3"/>
  <c r="M505" i="3"/>
  <c r="F482" i="3"/>
  <c r="G481" i="3"/>
  <c r="G433" i="3"/>
  <c r="F434" i="3"/>
  <c r="C362" i="3"/>
  <c r="D361" i="3"/>
  <c r="L306" i="3"/>
  <c r="M305" i="3"/>
  <c r="I298" i="3"/>
  <c r="J297" i="3"/>
  <c r="C258" i="3"/>
  <c r="D257" i="3"/>
  <c r="L250" i="3"/>
  <c r="M249" i="3"/>
  <c r="D209" i="3"/>
  <c r="C210" i="3"/>
  <c r="F154" i="3"/>
  <c r="G153" i="3"/>
  <c r="P705" i="3"/>
  <c r="O706" i="3"/>
  <c r="R594" i="3"/>
  <c r="S593" i="3"/>
  <c r="M585" i="3"/>
  <c r="L586" i="3"/>
  <c r="D513" i="3"/>
  <c r="C514" i="3"/>
  <c r="L442" i="3"/>
  <c r="M441" i="3"/>
  <c r="D417" i="3"/>
  <c r="C418" i="3"/>
  <c r="J401" i="3"/>
  <c r="I402" i="3"/>
  <c r="C386" i="3"/>
  <c r="D385" i="3"/>
  <c r="G369" i="3"/>
  <c r="F370" i="3"/>
  <c r="S353" i="3"/>
  <c r="R354" i="3"/>
  <c r="F322" i="3"/>
  <c r="G321" i="3"/>
  <c r="P289" i="3"/>
  <c r="O290" i="3"/>
  <c r="S265" i="3"/>
  <c r="R266" i="3"/>
  <c r="I226" i="3"/>
  <c r="J225" i="3"/>
  <c r="S217" i="3"/>
  <c r="R218" i="3"/>
  <c r="L194" i="3"/>
  <c r="M193" i="3"/>
  <c r="I146" i="3"/>
  <c r="J145" i="3"/>
  <c r="S137" i="3"/>
  <c r="R138" i="3"/>
  <c r="F994" i="3"/>
  <c r="G993" i="3"/>
  <c r="F986" i="3"/>
  <c r="G985" i="3"/>
  <c r="L978" i="3"/>
  <c r="M977" i="3"/>
  <c r="J961" i="3"/>
  <c r="I962" i="3"/>
  <c r="C954" i="3"/>
  <c r="D953" i="3"/>
  <c r="I946" i="3"/>
  <c r="J945" i="3"/>
  <c r="L930" i="3"/>
  <c r="M929" i="3"/>
  <c r="P921" i="3"/>
  <c r="O922" i="3"/>
  <c r="R914" i="3"/>
  <c r="S913" i="3"/>
  <c r="F898" i="3"/>
  <c r="G897" i="3"/>
  <c r="S889" i="3"/>
  <c r="R890" i="3"/>
  <c r="F882" i="3"/>
  <c r="G881" i="3"/>
  <c r="I866" i="3"/>
  <c r="J865" i="3"/>
  <c r="D857" i="3"/>
  <c r="C858" i="3"/>
  <c r="F850" i="3"/>
  <c r="G849" i="3"/>
  <c r="I834" i="3"/>
  <c r="J833" i="3"/>
  <c r="D825" i="3"/>
  <c r="C826" i="3"/>
  <c r="I818" i="3"/>
  <c r="J817" i="3"/>
  <c r="R802" i="3"/>
  <c r="S801" i="3"/>
  <c r="G793" i="3"/>
  <c r="F794" i="3"/>
  <c r="I786" i="3"/>
  <c r="J785" i="3"/>
  <c r="R770" i="3"/>
  <c r="S769" i="3"/>
  <c r="G761" i="3"/>
  <c r="F762" i="3"/>
  <c r="P753" i="3"/>
  <c r="O754" i="3"/>
  <c r="R738" i="3"/>
  <c r="S737" i="3"/>
  <c r="L730" i="3"/>
  <c r="M729" i="3"/>
  <c r="P721" i="3"/>
  <c r="O722" i="3"/>
  <c r="R698" i="3"/>
  <c r="S697" i="3"/>
  <c r="L674" i="3"/>
  <c r="M673" i="3"/>
  <c r="O666" i="3"/>
  <c r="P665" i="3"/>
  <c r="C642" i="3"/>
  <c r="D641" i="3"/>
  <c r="G633" i="3"/>
  <c r="F634" i="3"/>
  <c r="I626" i="3"/>
  <c r="J625" i="3"/>
  <c r="R570" i="3"/>
  <c r="S569" i="3"/>
  <c r="M545" i="3"/>
  <c r="L546" i="3"/>
  <c r="P537" i="3"/>
  <c r="O538" i="3"/>
  <c r="O474" i="3"/>
  <c r="P473" i="3"/>
  <c r="C466" i="3"/>
  <c r="D465" i="3"/>
  <c r="O458" i="3"/>
  <c r="P457" i="3"/>
  <c r="L426" i="3"/>
  <c r="M425" i="3"/>
  <c r="G377" i="3"/>
  <c r="F378" i="3"/>
  <c r="S337" i="3"/>
  <c r="R338" i="3"/>
  <c r="F314" i="3"/>
  <c r="G313" i="3"/>
  <c r="P273" i="3"/>
  <c r="O274" i="3"/>
  <c r="S233" i="3"/>
  <c r="R234" i="3"/>
  <c r="I186" i="3"/>
  <c r="J185" i="3"/>
  <c r="S169" i="3"/>
  <c r="R170" i="3"/>
  <c r="M698" i="3"/>
  <c r="L699" i="3"/>
  <c r="I619" i="3"/>
  <c r="J618" i="3"/>
  <c r="D602" i="3"/>
  <c r="C603" i="3"/>
  <c r="L595" i="3"/>
  <c r="M594" i="3"/>
  <c r="O539" i="3"/>
  <c r="P538" i="3"/>
  <c r="C531" i="3"/>
  <c r="D530" i="3"/>
  <c r="O515" i="3"/>
  <c r="P514" i="3"/>
  <c r="L475" i="3"/>
  <c r="M474" i="3"/>
  <c r="S426" i="3"/>
  <c r="R427" i="3"/>
  <c r="G402" i="3"/>
  <c r="F403" i="3"/>
  <c r="R379" i="3"/>
  <c r="S378" i="3"/>
  <c r="M346" i="3"/>
  <c r="L347" i="3"/>
  <c r="P290" i="3"/>
  <c r="O291" i="3"/>
  <c r="C227" i="3"/>
  <c r="D226" i="3"/>
  <c r="P194" i="3"/>
  <c r="O195" i="3"/>
  <c r="S170" i="3"/>
  <c r="R171" i="3"/>
  <c r="F139" i="3"/>
  <c r="G138" i="3"/>
  <c r="D100" i="3"/>
  <c r="C101" i="3"/>
  <c r="F77" i="3"/>
  <c r="G76" i="3"/>
  <c r="I723" i="3"/>
  <c r="J722" i="3"/>
  <c r="M642" i="3"/>
  <c r="L643" i="3"/>
  <c r="O611" i="3"/>
  <c r="P610" i="3"/>
  <c r="J578" i="3"/>
  <c r="I579" i="3"/>
  <c r="C571" i="3"/>
  <c r="D570" i="3"/>
  <c r="I523" i="3"/>
  <c r="J522" i="3"/>
  <c r="R483" i="3"/>
  <c r="S482" i="3"/>
  <c r="D458" i="3"/>
  <c r="C459" i="3"/>
  <c r="O371" i="3"/>
  <c r="P370" i="3"/>
  <c r="R355" i="3"/>
  <c r="S354" i="3"/>
  <c r="F315" i="3"/>
  <c r="G314" i="3"/>
  <c r="C283" i="3"/>
  <c r="D282" i="3"/>
  <c r="R243" i="3"/>
  <c r="S242" i="3"/>
  <c r="C133" i="3"/>
  <c r="D132" i="3"/>
  <c r="D116" i="3"/>
  <c r="C117" i="3"/>
  <c r="F105" i="3"/>
  <c r="G104" i="3"/>
  <c r="F683" i="3"/>
  <c r="G682" i="3"/>
  <c r="R659" i="3"/>
  <c r="S658" i="3"/>
  <c r="M650" i="3"/>
  <c r="L651" i="3"/>
  <c r="F563" i="3"/>
  <c r="G562" i="3"/>
  <c r="R499" i="3"/>
  <c r="S498" i="3"/>
  <c r="L467" i="3"/>
  <c r="M466" i="3"/>
  <c r="L419" i="3"/>
  <c r="M418" i="3"/>
  <c r="I387" i="3"/>
  <c r="J386" i="3"/>
  <c r="M362" i="3"/>
  <c r="L363" i="3"/>
  <c r="C331" i="3"/>
  <c r="D330" i="3"/>
  <c r="R307" i="3"/>
  <c r="S306" i="3"/>
  <c r="I219" i="3"/>
  <c r="J218" i="3"/>
  <c r="C187" i="3"/>
  <c r="D186" i="3"/>
  <c r="L147" i="3"/>
  <c r="M146" i="3"/>
  <c r="R113" i="3"/>
  <c r="S112" i="3"/>
  <c r="R93" i="3"/>
  <c r="S92" i="3"/>
  <c r="I89" i="3"/>
  <c r="J88" i="3"/>
  <c r="M706" i="3"/>
  <c r="L707" i="3"/>
  <c r="F667" i="3"/>
  <c r="G666" i="3"/>
  <c r="S554" i="3"/>
  <c r="R555" i="3"/>
  <c r="O491" i="3"/>
  <c r="P490" i="3"/>
  <c r="S410" i="3"/>
  <c r="R411" i="3"/>
  <c r="M322" i="3"/>
  <c r="L323" i="3"/>
  <c r="P274" i="3"/>
  <c r="O275" i="3"/>
  <c r="I259" i="3"/>
  <c r="J258" i="3"/>
  <c r="M234" i="3"/>
  <c r="L235" i="3"/>
  <c r="S202" i="3"/>
  <c r="R203" i="3"/>
  <c r="L155" i="3"/>
  <c r="M154" i="3"/>
  <c r="G128" i="3"/>
  <c r="F129" i="3"/>
  <c r="C97" i="3"/>
  <c r="D96" i="3"/>
  <c r="R85" i="3"/>
  <c r="S84" i="3"/>
  <c r="I73" i="3"/>
  <c r="J72" i="3"/>
  <c r="H75" i="13"/>
  <c r="N75" i="13" s="1"/>
  <c r="H67" i="13"/>
  <c r="H66" i="13"/>
  <c r="N66" i="13" s="1"/>
  <c r="J18" i="3"/>
  <c r="I19" i="3"/>
  <c r="C15" i="3"/>
  <c r="D14" i="3"/>
  <c r="D9" i="4"/>
  <c r="I7" i="3"/>
  <c r="J6" i="3"/>
  <c r="R9" i="4"/>
  <c r="B11" i="4"/>
  <c r="D9" i="3"/>
  <c r="C10" i="3"/>
  <c r="Y9" i="4"/>
  <c r="H63" i="3"/>
  <c r="H47" i="3"/>
  <c r="H31" i="3"/>
  <c r="C12" i="3"/>
  <c r="D11" i="3"/>
  <c r="L8" i="3"/>
  <c r="M7" i="3"/>
  <c r="P12" i="3"/>
  <c r="O13" i="3"/>
  <c r="G8" i="3"/>
  <c r="F9" i="3"/>
  <c r="E32" i="3"/>
  <c r="I17" i="3"/>
  <c r="J16" i="3"/>
  <c r="H65" i="13"/>
  <c r="N65" i="13" s="1"/>
  <c r="H68" i="13"/>
  <c r="F19" i="3"/>
  <c r="G18" i="3"/>
  <c r="J10" i="3"/>
  <c r="I11" i="3"/>
  <c r="R7" i="3"/>
  <c r="S6" i="3"/>
  <c r="C54" i="3"/>
  <c r="Y13" i="4"/>
  <c r="H59" i="3"/>
  <c r="H43" i="3"/>
  <c r="H27" i="3"/>
  <c r="C20" i="3"/>
  <c r="D19" i="3"/>
  <c r="I16" i="3"/>
  <c r="J15" i="3"/>
  <c r="L12" i="3"/>
  <c r="M11" i="3"/>
  <c r="H44" i="3"/>
  <c r="I13" i="3"/>
  <c r="J12" i="3"/>
  <c r="H40" i="3"/>
  <c r="O9" i="3"/>
  <c r="P8" i="3"/>
  <c r="E68" i="3"/>
  <c r="H36" i="3"/>
  <c r="D20" i="3"/>
  <c r="U13" i="4"/>
  <c r="M172" i="3"/>
  <c r="L173" i="3"/>
  <c r="S148" i="3"/>
  <c r="R149" i="3"/>
  <c r="L124" i="3"/>
  <c r="M123" i="3"/>
  <c r="L112" i="3"/>
  <c r="M111" i="3"/>
  <c r="P91" i="3"/>
  <c r="O92" i="3"/>
  <c r="L80" i="3"/>
  <c r="M79" i="3"/>
  <c r="R682" i="3"/>
  <c r="S681" i="3"/>
  <c r="R562" i="3"/>
  <c r="S561" i="3"/>
  <c r="D529" i="3"/>
  <c r="C530" i="3"/>
  <c r="O434" i="3"/>
  <c r="P433" i="3"/>
  <c r="S297" i="3"/>
  <c r="R298" i="3"/>
  <c r="F258" i="3"/>
  <c r="G257" i="3"/>
  <c r="I154" i="3"/>
  <c r="J153" i="3"/>
  <c r="C594" i="3"/>
  <c r="D593" i="3"/>
  <c r="R442" i="3"/>
  <c r="S441" i="3"/>
  <c r="L386" i="3"/>
  <c r="M385" i="3"/>
  <c r="L322" i="3"/>
  <c r="M321" i="3"/>
  <c r="O226" i="3"/>
  <c r="P225" i="3"/>
  <c r="D217" i="3"/>
  <c r="C218" i="3"/>
  <c r="D137" i="3"/>
  <c r="C138" i="3"/>
  <c r="O986" i="3"/>
  <c r="P985" i="3"/>
  <c r="R954" i="3"/>
  <c r="S953" i="3"/>
  <c r="F930" i="3"/>
  <c r="G929" i="3"/>
  <c r="I898" i="3"/>
  <c r="J897" i="3"/>
  <c r="O874" i="3"/>
  <c r="P873" i="3"/>
  <c r="M857" i="3"/>
  <c r="L858" i="3"/>
  <c r="M825" i="3"/>
  <c r="L826" i="3"/>
  <c r="P793" i="3"/>
  <c r="O794" i="3"/>
  <c r="P761" i="3"/>
  <c r="O762" i="3"/>
  <c r="I738" i="3"/>
  <c r="J737" i="3"/>
  <c r="C714" i="3"/>
  <c r="D713" i="3"/>
  <c r="R650" i="3"/>
  <c r="S649" i="3"/>
  <c r="P633" i="3"/>
  <c r="O634" i="3"/>
  <c r="C570" i="3"/>
  <c r="D569" i="3"/>
  <c r="L490" i="3"/>
  <c r="M489" i="3"/>
  <c r="F474" i="3"/>
  <c r="G473" i="3"/>
  <c r="I450" i="3"/>
  <c r="J449" i="3"/>
  <c r="R426" i="3"/>
  <c r="S425" i="3"/>
  <c r="P377" i="3"/>
  <c r="O378" i="3"/>
  <c r="C330" i="3"/>
  <c r="D329" i="3"/>
  <c r="I274" i="3"/>
  <c r="J273" i="3"/>
  <c r="F202" i="3"/>
  <c r="G201" i="3"/>
  <c r="O186" i="3"/>
  <c r="P185" i="3"/>
  <c r="D169" i="3"/>
  <c r="C170" i="3"/>
  <c r="O119" i="3"/>
  <c r="P118" i="3"/>
  <c r="F691" i="3"/>
  <c r="G690" i="3"/>
  <c r="R619" i="3"/>
  <c r="S618" i="3"/>
  <c r="M602" i="3"/>
  <c r="L603" i="3"/>
  <c r="F587" i="3"/>
  <c r="G586" i="3"/>
  <c r="J538" i="3"/>
  <c r="I539" i="3"/>
  <c r="G530" i="3"/>
  <c r="F531" i="3"/>
  <c r="I507" i="3"/>
  <c r="J506" i="3"/>
  <c r="R475" i="3"/>
  <c r="S474" i="3"/>
  <c r="D426" i="3"/>
  <c r="C427" i="3"/>
  <c r="O395" i="3"/>
  <c r="P394" i="3"/>
  <c r="I379" i="3"/>
  <c r="J378" i="3"/>
  <c r="F347" i="3"/>
  <c r="G346" i="3"/>
  <c r="C251" i="3"/>
  <c r="D250" i="3"/>
  <c r="L227" i="3"/>
  <c r="M226" i="3"/>
  <c r="I195" i="3"/>
  <c r="J194" i="3"/>
  <c r="F163" i="3"/>
  <c r="G162" i="3"/>
  <c r="L139" i="3"/>
  <c r="M138" i="3"/>
  <c r="M100" i="3"/>
  <c r="L101" i="3"/>
  <c r="S722" i="3"/>
  <c r="R723" i="3"/>
  <c r="F643" i="3"/>
  <c r="G642" i="3"/>
  <c r="I611" i="3"/>
  <c r="J610" i="3"/>
  <c r="S578" i="3"/>
  <c r="R579" i="3"/>
  <c r="L571" i="3"/>
  <c r="M570" i="3"/>
  <c r="L523" i="3"/>
  <c r="M522" i="3"/>
  <c r="C483" i="3"/>
  <c r="D482" i="3"/>
  <c r="L459" i="3"/>
  <c r="M458" i="3"/>
  <c r="R371" i="3"/>
  <c r="S370" i="3"/>
  <c r="M354" i="3"/>
  <c r="L355" i="3"/>
  <c r="P314" i="3"/>
  <c r="O315" i="3"/>
  <c r="I283" i="3"/>
  <c r="J282" i="3"/>
  <c r="M242" i="3"/>
  <c r="L243" i="3"/>
  <c r="M132" i="3"/>
  <c r="L133" i="3"/>
  <c r="P116" i="3"/>
  <c r="O117" i="3"/>
  <c r="P104" i="3"/>
  <c r="O105" i="3"/>
  <c r="O683" i="3"/>
  <c r="P682" i="3"/>
  <c r="D658" i="3"/>
  <c r="C659" i="3"/>
  <c r="F651" i="3"/>
  <c r="G650" i="3"/>
  <c r="O563" i="3"/>
  <c r="P562" i="3"/>
  <c r="C499" i="3"/>
  <c r="D498" i="3"/>
  <c r="D418" i="3"/>
  <c r="C419" i="3"/>
  <c r="D386" i="3"/>
  <c r="C387" i="3"/>
  <c r="G362" i="3"/>
  <c r="F363" i="3"/>
  <c r="I331" i="3"/>
  <c r="J330" i="3"/>
  <c r="M306" i="3"/>
  <c r="L307" i="3"/>
  <c r="S218" i="3"/>
  <c r="R219" i="3"/>
  <c r="F187" i="3"/>
  <c r="G186" i="3"/>
  <c r="P146" i="3"/>
  <c r="O147" i="3"/>
  <c r="O109" i="3"/>
  <c r="P108" i="3"/>
  <c r="D92" i="3"/>
  <c r="C93" i="3"/>
  <c r="R89" i="3"/>
  <c r="S88" i="3"/>
  <c r="I667" i="3"/>
  <c r="J666" i="3"/>
  <c r="C555" i="3"/>
  <c r="D554" i="3"/>
  <c r="F435" i="3"/>
  <c r="G434" i="3"/>
  <c r="I411" i="3"/>
  <c r="J410" i="3"/>
  <c r="F323" i="3"/>
  <c r="G322" i="3"/>
  <c r="C267" i="3"/>
  <c r="D266" i="3"/>
  <c r="R259" i="3"/>
  <c r="S258" i="3"/>
  <c r="F235" i="3"/>
  <c r="G234" i="3"/>
  <c r="C179" i="3"/>
  <c r="D178" i="3"/>
  <c r="P154" i="3"/>
  <c r="O155" i="3"/>
  <c r="O129" i="3"/>
  <c r="P128" i="3"/>
  <c r="L97" i="3"/>
  <c r="M96" i="3"/>
  <c r="D84" i="3"/>
  <c r="C85" i="3"/>
  <c r="R73" i="3"/>
  <c r="S72" i="3"/>
  <c r="F88" i="3"/>
  <c r="G87" i="3"/>
  <c r="O991" i="3"/>
  <c r="P990" i="3"/>
  <c r="C983" i="3"/>
  <c r="D982" i="3"/>
  <c r="D974" i="3"/>
  <c r="C975" i="3"/>
  <c r="D958" i="3"/>
  <c r="C959" i="3"/>
  <c r="M950" i="3"/>
  <c r="L951" i="3"/>
  <c r="J942" i="3"/>
  <c r="I943" i="3"/>
  <c r="L927" i="3"/>
  <c r="M926" i="3"/>
  <c r="O919" i="3"/>
  <c r="P918" i="3"/>
  <c r="M910" i="3"/>
  <c r="L911" i="3"/>
  <c r="O895" i="3"/>
  <c r="P894" i="3"/>
  <c r="C887" i="3"/>
  <c r="D886" i="3"/>
  <c r="F879" i="3"/>
  <c r="G878" i="3"/>
  <c r="I863" i="3"/>
  <c r="J862" i="3"/>
  <c r="C855" i="3"/>
  <c r="D854" i="3"/>
  <c r="F847" i="3"/>
  <c r="G846" i="3"/>
  <c r="I831" i="3"/>
  <c r="J830" i="3"/>
  <c r="C823" i="3"/>
  <c r="D822" i="3"/>
  <c r="I815" i="3"/>
  <c r="J814" i="3"/>
  <c r="L799" i="3"/>
  <c r="M798" i="3"/>
  <c r="F791" i="3"/>
  <c r="G790" i="3"/>
  <c r="I783" i="3"/>
  <c r="J782" i="3"/>
  <c r="L767" i="3"/>
  <c r="M766" i="3"/>
  <c r="F759" i="3"/>
  <c r="G758" i="3"/>
  <c r="P750" i="3"/>
  <c r="O751" i="3"/>
  <c r="C735" i="3"/>
  <c r="D734" i="3"/>
  <c r="R727" i="3"/>
  <c r="S726" i="3"/>
  <c r="P718" i="3"/>
  <c r="O719" i="3"/>
  <c r="C703" i="3"/>
  <c r="D702" i="3"/>
  <c r="R695" i="3"/>
  <c r="S694" i="3"/>
  <c r="P686" i="3"/>
  <c r="O687" i="3"/>
  <c r="R671" i="3"/>
  <c r="S670" i="3"/>
  <c r="F663" i="3"/>
  <c r="G662" i="3"/>
  <c r="I655" i="3"/>
  <c r="J654" i="3"/>
  <c r="C639" i="3"/>
  <c r="D638" i="3"/>
  <c r="F631" i="3"/>
  <c r="G630" i="3"/>
  <c r="I623" i="3"/>
  <c r="J622" i="3"/>
  <c r="C607" i="3"/>
  <c r="D606" i="3"/>
  <c r="F599" i="3"/>
  <c r="G598" i="3"/>
  <c r="G590" i="3"/>
  <c r="F591" i="3"/>
  <c r="I575" i="3"/>
  <c r="J574" i="3"/>
  <c r="C567" i="3"/>
  <c r="D566" i="3"/>
  <c r="G558" i="3"/>
  <c r="F559" i="3"/>
  <c r="I543" i="3"/>
  <c r="J542" i="3"/>
  <c r="I535" i="3"/>
  <c r="J534" i="3"/>
  <c r="C527" i="3"/>
  <c r="D526" i="3"/>
  <c r="F511" i="3"/>
  <c r="G510" i="3"/>
  <c r="J502" i="3"/>
  <c r="I503" i="3"/>
  <c r="C495" i="3"/>
  <c r="D494" i="3"/>
  <c r="F479" i="3"/>
  <c r="G478" i="3"/>
  <c r="J470" i="3"/>
  <c r="I471" i="3"/>
  <c r="P462" i="3"/>
  <c r="O463" i="3"/>
  <c r="R447" i="3"/>
  <c r="S446" i="3"/>
  <c r="L439" i="3"/>
  <c r="M438" i="3"/>
  <c r="P430" i="3"/>
  <c r="O431" i="3"/>
  <c r="P414" i="3"/>
  <c r="O415" i="3"/>
  <c r="L407" i="3"/>
  <c r="M406" i="3"/>
  <c r="I399" i="3"/>
  <c r="J398" i="3"/>
  <c r="C383" i="3"/>
  <c r="D382" i="3"/>
  <c r="L375" i="3"/>
  <c r="M374" i="3"/>
  <c r="I367" i="3"/>
  <c r="J366" i="3"/>
  <c r="L351" i="3"/>
  <c r="M350" i="3"/>
  <c r="F343" i="3"/>
  <c r="G342" i="3"/>
  <c r="R335" i="3"/>
  <c r="S334" i="3"/>
  <c r="L319" i="3"/>
  <c r="M318" i="3"/>
  <c r="F311" i="3"/>
  <c r="G310" i="3"/>
  <c r="R303" i="3"/>
  <c r="S302" i="3"/>
  <c r="L287" i="3"/>
  <c r="M286" i="3"/>
  <c r="F279" i="3"/>
  <c r="G278" i="3"/>
  <c r="R271" i="3"/>
  <c r="S270" i="3"/>
  <c r="L255" i="3"/>
  <c r="M254" i="3"/>
  <c r="F247" i="3"/>
  <c r="G246" i="3"/>
  <c r="R239" i="3"/>
  <c r="S238" i="3"/>
  <c r="O223" i="3"/>
  <c r="P222" i="3"/>
  <c r="D214" i="3"/>
  <c r="C215" i="3"/>
  <c r="G206" i="3"/>
  <c r="F207" i="3"/>
  <c r="I191" i="3"/>
  <c r="J190" i="3"/>
  <c r="G182" i="3"/>
  <c r="F183" i="3"/>
  <c r="I167" i="3"/>
  <c r="J166" i="3"/>
  <c r="M158" i="3"/>
  <c r="L159" i="3"/>
  <c r="R143" i="3"/>
  <c r="S142" i="3"/>
  <c r="M134" i="3"/>
  <c r="L135" i="3"/>
  <c r="R127" i="3"/>
  <c r="S126" i="3"/>
  <c r="I123" i="3"/>
  <c r="J122" i="3"/>
  <c r="F115" i="3"/>
  <c r="G114" i="3"/>
  <c r="L111" i="3"/>
  <c r="M110" i="3"/>
  <c r="L107" i="3"/>
  <c r="M106" i="3"/>
  <c r="J98" i="3"/>
  <c r="I99" i="3"/>
  <c r="O95" i="3"/>
  <c r="P94" i="3"/>
  <c r="C87" i="3"/>
  <c r="D86" i="3"/>
  <c r="C83" i="3"/>
  <c r="D82" i="3"/>
  <c r="O75" i="3"/>
  <c r="P74" i="3"/>
  <c r="G70" i="3"/>
  <c r="F71" i="3"/>
  <c r="I996" i="3"/>
  <c r="J995" i="3"/>
  <c r="G979" i="3"/>
  <c r="F980" i="3"/>
  <c r="M971" i="3"/>
  <c r="L972" i="3"/>
  <c r="F964" i="3"/>
  <c r="G963" i="3"/>
  <c r="S947" i="3"/>
  <c r="R948" i="3"/>
  <c r="J939" i="3"/>
  <c r="I940" i="3"/>
  <c r="S931" i="3"/>
  <c r="R932" i="3"/>
  <c r="J915" i="3"/>
  <c r="I916" i="3"/>
  <c r="M907" i="3"/>
  <c r="L908" i="3"/>
  <c r="O900" i="3"/>
  <c r="P899" i="3"/>
  <c r="I884" i="3"/>
  <c r="J883" i="3"/>
  <c r="L876" i="3"/>
  <c r="M875" i="3"/>
  <c r="O868" i="3"/>
  <c r="P867" i="3"/>
  <c r="I852" i="3"/>
  <c r="J851" i="3"/>
  <c r="L844" i="3"/>
  <c r="M843" i="3"/>
  <c r="O836" i="3"/>
  <c r="P835" i="3"/>
  <c r="C820" i="3"/>
  <c r="D819" i="3"/>
  <c r="J811" i="3"/>
  <c r="I812" i="3"/>
  <c r="C804" i="3"/>
  <c r="D803" i="3"/>
  <c r="F788" i="3"/>
  <c r="G787" i="3"/>
  <c r="J779" i="3"/>
  <c r="I780" i="3"/>
  <c r="C772" i="3"/>
  <c r="D771" i="3"/>
  <c r="L756" i="3"/>
  <c r="M755" i="3"/>
  <c r="P747" i="3"/>
  <c r="O748" i="3"/>
  <c r="R740" i="3"/>
  <c r="S739" i="3"/>
  <c r="C724" i="3"/>
  <c r="D723" i="3"/>
  <c r="P715" i="3"/>
  <c r="O716" i="3"/>
  <c r="R708" i="3"/>
  <c r="S707" i="3"/>
  <c r="C692" i="3"/>
  <c r="D691" i="3"/>
  <c r="P683" i="3"/>
  <c r="O684" i="3"/>
  <c r="R676" i="3"/>
  <c r="S675" i="3"/>
  <c r="F660" i="3"/>
  <c r="G659" i="3"/>
  <c r="J651" i="3"/>
  <c r="I652" i="3"/>
  <c r="C644" i="3"/>
  <c r="D643" i="3"/>
  <c r="F628" i="3"/>
  <c r="G627" i="3"/>
  <c r="J619" i="3"/>
  <c r="I620" i="3"/>
  <c r="C612" i="3"/>
  <c r="D611" i="3"/>
  <c r="C596" i="3"/>
  <c r="D595" i="3"/>
  <c r="G587" i="3"/>
  <c r="F588" i="3"/>
  <c r="I580" i="3"/>
  <c r="J579" i="3"/>
  <c r="C564" i="3"/>
  <c r="D563" i="3"/>
  <c r="G555" i="3"/>
  <c r="F556" i="3"/>
  <c r="I548" i="3"/>
  <c r="J547" i="3"/>
  <c r="I532" i="3"/>
  <c r="J531" i="3"/>
  <c r="S523" i="3"/>
  <c r="R524" i="3"/>
  <c r="L516" i="3"/>
  <c r="M515" i="3"/>
  <c r="I500" i="3"/>
  <c r="J499" i="3"/>
  <c r="S491" i="3"/>
  <c r="R492" i="3"/>
  <c r="L484" i="3"/>
  <c r="M483" i="3"/>
  <c r="I468" i="3"/>
  <c r="J467" i="3"/>
  <c r="P459" i="3"/>
  <c r="O460" i="3"/>
  <c r="S451" i="3"/>
  <c r="R452" i="3"/>
  <c r="C436" i="3"/>
  <c r="D435" i="3"/>
  <c r="P427" i="3"/>
  <c r="O428" i="3"/>
  <c r="S419" i="3"/>
  <c r="R420" i="3"/>
  <c r="O404" i="3"/>
  <c r="P403" i="3"/>
  <c r="J395" i="3"/>
  <c r="I396" i="3"/>
  <c r="D387" i="3"/>
  <c r="C388" i="3"/>
  <c r="O372" i="3"/>
  <c r="P371" i="3"/>
  <c r="J363" i="3"/>
  <c r="I364" i="3"/>
  <c r="M355" i="3"/>
  <c r="L356" i="3"/>
  <c r="O340" i="3"/>
  <c r="P339" i="3"/>
  <c r="S331" i="3"/>
  <c r="R332" i="3"/>
  <c r="M323" i="3"/>
  <c r="L324" i="3"/>
  <c r="O308" i="3"/>
  <c r="P307" i="3"/>
  <c r="S299" i="3"/>
  <c r="R300" i="3"/>
  <c r="M291" i="3"/>
  <c r="L292" i="3"/>
  <c r="O276" i="3"/>
  <c r="P275" i="3"/>
  <c r="S267" i="3"/>
  <c r="R268" i="3"/>
  <c r="M259" i="3"/>
  <c r="L260" i="3"/>
  <c r="O244" i="3"/>
  <c r="P243" i="3"/>
  <c r="S235" i="3"/>
  <c r="R236" i="3"/>
  <c r="P227" i="3"/>
  <c r="O228" i="3"/>
  <c r="I212" i="3"/>
  <c r="J211" i="3"/>
  <c r="M203" i="3"/>
  <c r="L204" i="3"/>
  <c r="P195" i="3"/>
  <c r="O196" i="3"/>
  <c r="I180" i="3"/>
  <c r="J179" i="3"/>
  <c r="M171" i="3"/>
  <c r="L172" i="3"/>
  <c r="P163" i="3"/>
  <c r="O164" i="3"/>
  <c r="I148" i="3"/>
  <c r="J147" i="3"/>
  <c r="M139" i="3"/>
  <c r="L140" i="3"/>
  <c r="F80" i="3"/>
  <c r="G79" i="3"/>
  <c r="C993" i="3"/>
  <c r="D992" i="3"/>
  <c r="O985" i="3"/>
  <c r="P984" i="3"/>
  <c r="L977" i="3"/>
  <c r="M976" i="3"/>
  <c r="C961" i="3"/>
  <c r="D960" i="3"/>
  <c r="D952" i="3"/>
  <c r="C953" i="3"/>
  <c r="C945" i="3"/>
  <c r="D944" i="3"/>
  <c r="O929" i="3"/>
  <c r="P928" i="3"/>
  <c r="I921" i="3"/>
  <c r="J920" i="3"/>
  <c r="G912" i="3"/>
  <c r="F913" i="3"/>
  <c r="R897" i="3"/>
  <c r="S896" i="3"/>
  <c r="R889" i="3"/>
  <c r="S888" i="3"/>
  <c r="P880" i="3"/>
  <c r="O881" i="3"/>
  <c r="C865" i="3"/>
  <c r="D864" i="3"/>
  <c r="L857" i="3"/>
  <c r="M856" i="3"/>
  <c r="P848" i="3"/>
  <c r="O849" i="3"/>
  <c r="C833" i="3"/>
  <c r="D832" i="3"/>
  <c r="L825" i="3"/>
  <c r="M824" i="3"/>
  <c r="C817" i="3"/>
  <c r="D816" i="3"/>
  <c r="F801" i="3"/>
  <c r="G800" i="3"/>
  <c r="J792" i="3"/>
  <c r="I793" i="3"/>
  <c r="C785" i="3"/>
  <c r="D784" i="3"/>
  <c r="F769" i="3"/>
  <c r="G768" i="3"/>
  <c r="J760" i="3"/>
  <c r="I761" i="3"/>
  <c r="S752" i="3"/>
  <c r="R753" i="3"/>
  <c r="F737" i="3"/>
  <c r="G736" i="3"/>
  <c r="O729" i="3"/>
  <c r="P728" i="3"/>
  <c r="S720" i="3"/>
  <c r="R721" i="3"/>
  <c r="F705" i="3"/>
  <c r="G704" i="3"/>
  <c r="O697" i="3"/>
  <c r="P696" i="3"/>
  <c r="R689" i="3"/>
  <c r="S688" i="3"/>
  <c r="L673" i="3"/>
  <c r="M672" i="3"/>
  <c r="J664" i="3"/>
  <c r="I665" i="3"/>
  <c r="C657" i="3"/>
  <c r="D656" i="3"/>
  <c r="F641" i="3"/>
  <c r="G640" i="3"/>
  <c r="J632" i="3"/>
  <c r="I633" i="3"/>
  <c r="C625" i="3"/>
  <c r="D624" i="3"/>
  <c r="F609" i="3"/>
  <c r="G608" i="3"/>
  <c r="J600" i="3"/>
  <c r="I601" i="3"/>
  <c r="I593" i="3"/>
  <c r="J592" i="3"/>
  <c r="C577" i="3"/>
  <c r="D576" i="3"/>
  <c r="F569" i="3"/>
  <c r="G568" i="3"/>
  <c r="I561" i="3"/>
  <c r="J560" i="3"/>
  <c r="C545" i="3"/>
  <c r="D544" i="3"/>
  <c r="L537" i="3"/>
  <c r="M536" i="3"/>
  <c r="M528" i="3"/>
  <c r="L529" i="3"/>
  <c r="O513" i="3"/>
  <c r="P512" i="3"/>
  <c r="I505" i="3"/>
  <c r="J504" i="3"/>
  <c r="M496" i="3"/>
  <c r="L497" i="3"/>
  <c r="O481" i="3"/>
  <c r="P480" i="3"/>
  <c r="I473" i="3"/>
  <c r="J472" i="3"/>
  <c r="R465" i="3"/>
  <c r="S464" i="3"/>
  <c r="L449" i="3"/>
  <c r="M448" i="3"/>
  <c r="F441" i="3"/>
  <c r="G440" i="3"/>
  <c r="R433" i="3"/>
  <c r="S432" i="3"/>
  <c r="J416" i="3"/>
  <c r="I417" i="3"/>
  <c r="J408" i="3"/>
  <c r="I409" i="3"/>
  <c r="C401" i="3"/>
  <c r="D400" i="3"/>
  <c r="F385" i="3"/>
  <c r="G384" i="3"/>
  <c r="J376" i="3"/>
  <c r="I377" i="3"/>
  <c r="C369" i="3"/>
  <c r="D368" i="3"/>
  <c r="I353" i="3"/>
  <c r="J352" i="3"/>
  <c r="O345" i="3"/>
  <c r="P344" i="3"/>
  <c r="D336" i="3"/>
  <c r="C337" i="3"/>
  <c r="I321" i="3"/>
  <c r="J320" i="3"/>
  <c r="O313" i="3"/>
  <c r="P312" i="3"/>
  <c r="D304" i="3"/>
  <c r="C305" i="3"/>
  <c r="I289" i="3"/>
  <c r="J288" i="3"/>
  <c r="O281" i="3"/>
  <c r="P280" i="3"/>
  <c r="D272" i="3"/>
  <c r="C273" i="3"/>
  <c r="I257" i="3"/>
  <c r="J256" i="3"/>
  <c r="O249" i="3"/>
  <c r="P248" i="3"/>
  <c r="D240" i="3"/>
  <c r="C241" i="3"/>
  <c r="I225" i="3"/>
  <c r="J224" i="3"/>
  <c r="R217" i="3"/>
  <c r="S216" i="3"/>
  <c r="G208" i="3"/>
  <c r="F209" i="3"/>
  <c r="I193" i="3"/>
  <c r="J192" i="3"/>
  <c r="R185" i="3"/>
  <c r="S184" i="3"/>
  <c r="G176" i="3"/>
  <c r="F177" i="3"/>
  <c r="I161" i="3"/>
  <c r="J160" i="3"/>
  <c r="R153" i="3"/>
  <c r="S152" i="3"/>
  <c r="G144" i="3"/>
  <c r="F145" i="3"/>
  <c r="R134" i="3"/>
  <c r="S133" i="3"/>
  <c r="O130" i="3"/>
  <c r="P129" i="3"/>
  <c r="F126" i="3"/>
  <c r="G125" i="3"/>
  <c r="P117" i="3"/>
  <c r="O118" i="3"/>
  <c r="F114" i="3"/>
  <c r="G113" i="3"/>
  <c r="R106" i="3"/>
  <c r="S105" i="3"/>
  <c r="R102" i="3"/>
  <c r="S101" i="3"/>
  <c r="F94" i="3"/>
  <c r="G93" i="3"/>
  <c r="M89" i="3"/>
  <c r="L90" i="3"/>
  <c r="I82" i="3"/>
  <c r="J81" i="3"/>
  <c r="J77" i="3"/>
  <c r="I78" i="3"/>
  <c r="O74" i="3"/>
  <c r="P73" i="3"/>
  <c r="F998" i="3"/>
  <c r="G997" i="3"/>
  <c r="I990" i="3"/>
  <c r="J989" i="3"/>
  <c r="S981" i="3"/>
  <c r="R982" i="3"/>
  <c r="G965" i="3"/>
  <c r="F966" i="3"/>
  <c r="I958" i="3"/>
  <c r="J957" i="3"/>
  <c r="F950" i="3"/>
  <c r="G949" i="3"/>
  <c r="O934" i="3"/>
  <c r="P933" i="3"/>
  <c r="R926" i="3"/>
  <c r="S925" i="3"/>
  <c r="M917" i="3"/>
  <c r="L918" i="3"/>
  <c r="C902" i="3"/>
  <c r="D901" i="3"/>
  <c r="L894" i="3"/>
  <c r="M893" i="3"/>
  <c r="I886" i="3"/>
  <c r="J885" i="3"/>
  <c r="L870" i="3"/>
  <c r="M869" i="3"/>
  <c r="P861" i="3"/>
  <c r="O862" i="3"/>
  <c r="R854" i="3"/>
  <c r="S853" i="3"/>
  <c r="C838" i="3"/>
  <c r="D837" i="3"/>
  <c r="P829" i="3"/>
  <c r="O830" i="3"/>
  <c r="R822" i="3"/>
  <c r="S821" i="3"/>
  <c r="F806" i="3"/>
  <c r="G805" i="3"/>
  <c r="S797" i="3"/>
  <c r="R798" i="3"/>
  <c r="L790" i="3"/>
  <c r="M789" i="3"/>
  <c r="F774" i="3"/>
  <c r="G773" i="3"/>
  <c r="S765" i="3"/>
  <c r="R766" i="3"/>
  <c r="L758" i="3"/>
  <c r="M757" i="3"/>
  <c r="O742" i="3"/>
  <c r="P741" i="3"/>
  <c r="S733" i="3"/>
  <c r="R734" i="3"/>
  <c r="L726" i="3"/>
  <c r="M725" i="3"/>
  <c r="O710" i="3"/>
  <c r="P709" i="3"/>
  <c r="S701" i="3"/>
  <c r="R702" i="3"/>
  <c r="L694" i="3"/>
  <c r="M693" i="3"/>
  <c r="O678" i="3"/>
  <c r="P677" i="3"/>
  <c r="S669" i="3"/>
  <c r="R670" i="3"/>
  <c r="L662" i="3"/>
  <c r="M661" i="3"/>
  <c r="O646" i="3"/>
  <c r="P645" i="3"/>
  <c r="S637" i="3"/>
  <c r="R638" i="3"/>
  <c r="L630" i="3"/>
  <c r="M629" i="3"/>
  <c r="O614" i="3"/>
  <c r="P613" i="3"/>
  <c r="S605" i="3"/>
  <c r="R606" i="3"/>
  <c r="L598" i="3"/>
  <c r="M597" i="3"/>
  <c r="F582" i="3"/>
  <c r="G581" i="3"/>
  <c r="J573" i="3"/>
  <c r="I574" i="3"/>
  <c r="C566" i="3"/>
  <c r="D565" i="3"/>
  <c r="F550" i="3"/>
  <c r="G549" i="3"/>
  <c r="J541" i="3"/>
  <c r="I542" i="3"/>
  <c r="D533" i="3"/>
  <c r="C534" i="3"/>
  <c r="I518" i="3"/>
  <c r="J517" i="3"/>
  <c r="M509" i="3"/>
  <c r="L510" i="3"/>
  <c r="P501" i="3"/>
  <c r="O502" i="3"/>
  <c r="I486" i="3"/>
  <c r="J485" i="3"/>
  <c r="M477" i="3"/>
  <c r="L478" i="3"/>
  <c r="P469" i="3"/>
  <c r="O470" i="3"/>
  <c r="O454" i="3"/>
  <c r="P453" i="3"/>
  <c r="S445" i="3"/>
  <c r="R446" i="3"/>
  <c r="M437" i="3"/>
  <c r="L438" i="3"/>
  <c r="O422" i="3"/>
  <c r="P421" i="3"/>
  <c r="S413" i="3"/>
  <c r="R414" i="3"/>
  <c r="L406" i="3"/>
  <c r="M405" i="3"/>
  <c r="I390" i="3"/>
  <c r="J389" i="3"/>
  <c r="S381" i="3"/>
  <c r="R382" i="3"/>
  <c r="L374" i="3"/>
  <c r="M373" i="3"/>
  <c r="R358" i="3"/>
  <c r="S357" i="3"/>
  <c r="D349" i="3"/>
  <c r="C350" i="3"/>
  <c r="G341" i="3"/>
  <c r="F342" i="3"/>
  <c r="R326" i="3"/>
  <c r="S325" i="3"/>
  <c r="D317" i="3"/>
  <c r="C318" i="3"/>
  <c r="G309" i="3"/>
  <c r="F310" i="3"/>
  <c r="R294" i="3"/>
  <c r="S293" i="3"/>
  <c r="D285" i="3"/>
  <c r="C286" i="3"/>
  <c r="G277" i="3"/>
  <c r="F278" i="3"/>
  <c r="R262" i="3"/>
  <c r="S261" i="3"/>
  <c r="D253" i="3"/>
  <c r="C254" i="3"/>
  <c r="G245" i="3"/>
  <c r="F246" i="3"/>
  <c r="M229" i="3"/>
  <c r="L230" i="3"/>
  <c r="G221" i="3"/>
  <c r="F222" i="3"/>
  <c r="J213" i="3"/>
  <c r="I214" i="3"/>
  <c r="C198" i="3"/>
  <c r="D197" i="3"/>
  <c r="G189" i="3"/>
  <c r="F190" i="3"/>
  <c r="J181" i="3"/>
  <c r="I182" i="3"/>
  <c r="C166" i="3"/>
  <c r="D165" i="3"/>
  <c r="G157" i="3"/>
  <c r="F158" i="3"/>
  <c r="J149" i="3"/>
  <c r="I150" i="3"/>
  <c r="R357" i="3"/>
  <c r="C987" i="3"/>
  <c r="D986" i="3"/>
  <c r="R979" i="3"/>
  <c r="S978" i="3"/>
  <c r="S970" i="3"/>
  <c r="R971" i="3"/>
  <c r="F955" i="3"/>
  <c r="G954" i="3"/>
  <c r="I947" i="3"/>
  <c r="J946" i="3"/>
  <c r="F939" i="3"/>
  <c r="G938" i="3"/>
  <c r="R923" i="3"/>
  <c r="S922" i="3"/>
  <c r="C915" i="3"/>
  <c r="D914" i="3"/>
  <c r="R907" i="3"/>
  <c r="S906" i="3"/>
  <c r="C891" i="3"/>
  <c r="D890" i="3"/>
  <c r="J882" i="3"/>
  <c r="I883" i="3"/>
  <c r="C875" i="3"/>
  <c r="D874" i="3"/>
  <c r="F859" i="3"/>
  <c r="G858" i="3"/>
  <c r="J850" i="3"/>
  <c r="I851" i="3"/>
  <c r="C843" i="3"/>
  <c r="D842" i="3"/>
  <c r="F827" i="3"/>
  <c r="G826" i="3"/>
  <c r="C819" i="3"/>
  <c r="D818" i="3"/>
  <c r="F811" i="3"/>
  <c r="G810" i="3"/>
  <c r="I795" i="3"/>
  <c r="J794" i="3"/>
  <c r="D786" i="3"/>
  <c r="C787" i="3"/>
  <c r="F779" i="3"/>
  <c r="G778" i="3"/>
  <c r="I763" i="3"/>
  <c r="J762" i="3"/>
  <c r="R755" i="3"/>
  <c r="S754" i="3"/>
  <c r="M746" i="3"/>
  <c r="L747" i="3"/>
  <c r="F731" i="3"/>
  <c r="G730" i="3"/>
  <c r="P999" i="3"/>
  <c r="O1000" i="3"/>
  <c r="R992" i="3"/>
  <c r="S991" i="3"/>
  <c r="J975" i="3"/>
  <c r="I976" i="3"/>
  <c r="J967" i="3"/>
  <c r="I968" i="3"/>
  <c r="I960" i="3"/>
  <c r="J959" i="3"/>
  <c r="I944" i="3"/>
  <c r="J943" i="3"/>
  <c r="R936" i="3"/>
  <c r="S935" i="3"/>
  <c r="G927" i="3"/>
  <c r="F928" i="3"/>
  <c r="L912" i="3"/>
  <c r="M911" i="3"/>
  <c r="O904" i="3"/>
  <c r="P903" i="3"/>
  <c r="R896" i="3"/>
  <c r="S895" i="3"/>
  <c r="F880" i="3"/>
  <c r="G879" i="3"/>
  <c r="J871" i="3"/>
  <c r="I872" i="3"/>
  <c r="C864" i="3"/>
  <c r="D863" i="3"/>
  <c r="F848" i="3"/>
  <c r="G847" i="3"/>
  <c r="J839" i="3"/>
  <c r="I840" i="3"/>
  <c r="C832" i="3"/>
  <c r="D831" i="3"/>
  <c r="I816" i="3"/>
  <c r="J815" i="3"/>
  <c r="C808" i="3"/>
  <c r="D807" i="3"/>
  <c r="F800" i="3"/>
  <c r="G799" i="3"/>
  <c r="I784" i="3"/>
  <c r="J783" i="3"/>
  <c r="C776" i="3"/>
  <c r="D775" i="3"/>
  <c r="F768" i="3"/>
  <c r="G767" i="3"/>
  <c r="I752" i="3"/>
  <c r="J751" i="3"/>
  <c r="R744" i="3"/>
  <c r="S743" i="3"/>
  <c r="M735" i="3"/>
  <c r="L736" i="3"/>
  <c r="I720" i="3"/>
  <c r="J719" i="3"/>
  <c r="R712" i="3"/>
  <c r="S711" i="3"/>
  <c r="M703" i="3"/>
  <c r="L704" i="3"/>
  <c r="O688" i="3"/>
  <c r="P687" i="3"/>
  <c r="R680" i="3"/>
  <c r="S679" i="3"/>
  <c r="M671" i="3"/>
  <c r="L672" i="3"/>
  <c r="I656" i="3"/>
  <c r="J655" i="3"/>
  <c r="C648" i="3"/>
  <c r="D647" i="3"/>
  <c r="F640" i="3"/>
  <c r="G639" i="3"/>
  <c r="I624" i="3"/>
  <c r="J623" i="3"/>
  <c r="C616" i="3"/>
  <c r="D615" i="3"/>
  <c r="F608" i="3"/>
  <c r="G607" i="3"/>
  <c r="F592" i="3"/>
  <c r="G591" i="3"/>
  <c r="I584" i="3"/>
  <c r="J583" i="3"/>
  <c r="D575" i="3"/>
  <c r="C576" i="3"/>
  <c r="F560" i="3"/>
  <c r="G559" i="3"/>
  <c r="I552" i="3"/>
  <c r="J551" i="3"/>
  <c r="D543" i="3"/>
  <c r="C544" i="3"/>
  <c r="R528" i="3"/>
  <c r="S527" i="3"/>
  <c r="L520" i="3"/>
  <c r="M519" i="3"/>
  <c r="P511" i="3"/>
  <c r="O512" i="3"/>
  <c r="R496" i="3"/>
  <c r="S495" i="3"/>
  <c r="L488" i="3"/>
  <c r="M487" i="3"/>
  <c r="P479" i="3"/>
  <c r="O480" i="3"/>
  <c r="O464" i="3"/>
  <c r="P463" i="3"/>
  <c r="I456" i="3"/>
  <c r="J455" i="3"/>
  <c r="M447" i="3"/>
  <c r="L448" i="3"/>
  <c r="O432" i="3"/>
  <c r="P431" i="3"/>
  <c r="I424" i="3"/>
  <c r="J423" i="3"/>
  <c r="C416" i="3"/>
  <c r="D415" i="3"/>
  <c r="C400" i="3"/>
  <c r="D399" i="3"/>
  <c r="R392" i="3"/>
  <c r="S391" i="3"/>
  <c r="F384" i="3"/>
  <c r="G383" i="3"/>
  <c r="C368" i="3"/>
  <c r="D367" i="3"/>
  <c r="F360" i="3"/>
  <c r="G359" i="3"/>
  <c r="G351" i="3"/>
  <c r="F352" i="3"/>
  <c r="L336" i="3"/>
  <c r="M335" i="3"/>
  <c r="R328" i="3"/>
  <c r="S327" i="3"/>
  <c r="G319" i="3"/>
  <c r="F320" i="3"/>
  <c r="L304" i="3"/>
  <c r="M303" i="3"/>
  <c r="R296" i="3"/>
  <c r="S295" i="3"/>
  <c r="G287" i="3"/>
  <c r="F288" i="3"/>
  <c r="L272" i="3"/>
  <c r="M271" i="3"/>
  <c r="R264" i="3"/>
  <c r="S263" i="3"/>
  <c r="G255" i="3"/>
  <c r="F256" i="3"/>
  <c r="L240" i="3"/>
  <c r="M239" i="3"/>
  <c r="L232" i="3"/>
  <c r="M231" i="3"/>
  <c r="D223" i="3"/>
  <c r="C224" i="3"/>
  <c r="F208" i="3"/>
  <c r="G207" i="3"/>
  <c r="R200" i="3"/>
  <c r="S199" i="3"/>
  <c r="O184" i="3"/>
  <c r="P183" i="3"/>
  <c r="R176" i="3"/>
  <c r="S175" i="3"/>
  <c r="O160" i="3"/>
  <c r="P159" i="3"/>
  <c r="J151" i="3"/>
  <c r="I152" i="3"/>
  <c r="L136" i="3"/>
  <c r="M135" i="3"/>
  <c r="F96" i="3"/>
  <c r="G95" i="3"/>
  <c r="P988" i="3"/>
  <c r="O989" i="3"/>
  <c r="C981" i="3"/>
  <c r="D980" i="3"/>
  <c r="C973" i="3"/>
  <c r="D972" i="3"/>
  <c r="R957" i="3"/>
  <c r="S956" i="3"/>
  <c r="P948" i="3"/>
  <c r="O949" i="3"/>
  <c r="G940" i="3"/>
  <c r="F941" i="3"/>
  <c r="C925" i="3"/>
  <c r="D924" i="3"/>
  <c r="F917" i="3"/>
  <c r="G916" i="3"/>
  <c r="C909" i="3"/>
  <c r="D908" i="3"/>
  <c r="F893" i="3"/>
  <c r="G892" i="3"/>
  <c r="I885" i="3"/>
  <c r="J884" i="3"/>
  <c r="D876" i="3"/>
  <c r="C877" i="3"/>
  <c r="O861" i="3"/>
  <c r="P860" i="3"/>
  <c r="I853" i="3"/>
  <c r="J852" i="3"/>
  <c r="D844" i="3"/>
  <c r="C845" i="3"/>
  <c r="O829" i="3"/>
  <c r="P828" i="3"/>
  <c r="I821" i="3"/>
  <c r="J820" i="3"/>
  <c r="G812" i="3"/>
  <c r="F813" i="3"/>
  <c r="R797" i="3"/>
  <c r="S796" i="3"/>
  <c r="C789" i="3"/>
  <c r="D788" i="3"/>
  <c r="G780" i="3"/>
  <c r="F781" i="3"/>
  <c r="R765" i="3"/>
  <c r="S764" i="3"/>
  <c r="I757" i="3"/>
  <c r="J756" i="3"/>
  <c r="G748" i="3"/>
  <c r="F749" i="3"/>
  <c r="I733" i="3"/>
  <c r="J732" i="3"/>
  <c r="C725" i="3"/>
  <c r="D724" i="3"/>
  <c r="G716" i="3"/>
  <c r="F717" i="3"/>
  <c r="I701" i="3"/>
  <c r="J700" i="3"/>
  <c r="C693" i="3"/>
  <c r="D692" i="3"/>
  <c r="F685" i="3"/>
  <c r="G684" i="3"/>
  <c r="I669" i="3"/>
  <c r="J668" i="3"/>
  <c r="C661" i="3"/>
  <c r="D660" i="3"/>
  <c r="G652" i="3"/>
  <c r="F653" i="3"/>
  <c r="I637" i="3"/>
  <c r="J636" i="3"/>
  <c r="C629" i="3"/>
  <c r="D628" i="3"/>
  <c r="G620" i="3"/>
  <c r="F621" i="3"/>
  <c r="I605" i="3"/>
  <c r="J604" i="3"/>
  <c r="R597" i="3"/>
  <c r="S596" i="3"/>
  <c r="M588" i="3"/>
  <c r="L589" i="3"/>
  <c r="O573" i="3"/>
  <c r="P572" i="3"/>
  <c r="R565" i="3"/>
  <c r="S564" i="3"/>
  <c r="M556" i="3"/>
  <c r="L557" i="3"/>
  <c r="O541" i="3"/>
  <c r="P540" i="3"/>
  <c r="R533" i="3"/>
  <c r="S532" i="3"/>
  <c r="I525" i="3"/>
  <c r="J524" i="3"/>
  <c r="C509" i="3"/>
  <c r="D508" i="3"/>
  <c r="L501" i="3"/>
  <c r="M500" i="3"/>
  <c r="I493" i="3"/>
  <c r="J492" i="3"/>
  <c r="C477" i="3"/>
  <c r="D476" i="3"/>
  <c r="L469" i="3"/>
  <c r="M468" i="3"/>
  <c r="F461" i="3"/>
  <c r="G460" i="3"/>
  <c r="C445" i="3"/>
  <c r="D444" i="3"/>
  <c r="R437" i="3"/>
  <c r="S436" i="3"/>
  <c r="F429" i="3"/>
  <c r="G428" i="3"/>
  <c r="F413" i="3"/>
  <c r="G412" i="3"/>
  <c r="R405" i="3"/>
  <c r="S404" i="3"/>
  <c r="G396" i="3"/>
  <c r="F397" i="3"/>
  <c r="L381" i="3"/>
  <c r="M380" i="3"/>
  <c r="R373" i="3"/>
  <c r="S372" i="3"/>
  <c r="G364" i="3"/>
  <c r="F365" i="3"/>
  <c r="C349" i="3"/>
  <c r="D348" i="3"/>
  <c r="G340" i="3"/>
  <c r="F341" i="3"/>
  <c r="J332" i="3"/>
  <c r="I333" i="3"/>
  <c r="C317" i="3"/>
  <c r="D316" i="3"/>
  <c r="G308" i="3"/>
  <c r="F309" i="3"/>
  <c r="J300" i="3"/>
  <c r="I301" i="3"/>
  <c r="L285" i="3"/>
  <c r="M284" i="3"/>
  <c r="P276" i="3"/>
  <c r="O277" i="3"/>
  <c r="R261" i="3"/>
  <c r="S260" i="3"/>
  <c r="L253" i="3"/>
  <c r="M252" i="3"/>
  <c r="P244" i="3"/>
  <c r="O245" i="3"/>
  <c r="G228" i="3"/>
  <c r="F229" i="3"/>
  <c r="J220" i="3"/>
  <c r="I221" i="3"/>
  <c r="C213" i="3"/>
  <c r="D212" i="3"/>
  <c r="F197" i="3"/>
  <c r="G196" i="3"/>
  <c r="J188" i="3"/>
  <c r="I189" i="3"/>
  <c r="C181" i="3"/>
  <c r="D180" i="3"/>
  <c r="F165" i="3"/>
  <c r="G164" i="3"/>
  <c r="J156" i="3"/>
  <c r="I157" i="3"/>
  <c r="C149" i="3"/>
  <c r="D148" i="3"/>
  <c r="C132" i="3"/>
  <c r="D131" i="3"/>
  <c r="J127" i="3"/>
  <c r="I128" i="3"/>
  <c r="P123" i="3"/>
  <c r="O124" i="3"/>
  <c r="F116" i="3"/>
  <c r="G115" i="3"/>
  <c r="C108" i="3"/>
  <c r="D107" i="3"/>
  <c r="D103" i="3"/>
  <c r="C104" i="3"/>
  <c r="I96" i="3"/>
  <c r="J95" i="3"/>
  <c r="I92" i="3"/>
  <c r="J91" i="3"/>
  <c r="G83" i="3"/>
  <c r="F84" i="3"/>
  <c r="C76" i="3"/>
  <c r="D75" i="3"/>
  <c r="D71" i="3"/>
  <c r="C72" i="3"/>
  <c r="I690" i="3"/>
  <c r="J689" i="3"/>
  <c r="C682" i="3"/>
  <c r="D681" i="3"/>
  <c r="P657" i="3"/>
  <c r="O658" i="3"/>
  <c r="I578" i="3"/>
  <c r="J577" i="3"/>
  <c r="C562" i="3"/>
  <c r="D561" i="3"/>
  <c r="F554" i="3"/>
  <c r="G553" i="3"/>
  <c r="L522" i="3"/>
  <c r="M521" i="3"/>
  <c r="F506" i="3"/>
  <c r="G505" i="3"/>
  <c r="R482" i="3"/>
  <c r="S481" i="3"/>
  <c r="R410" i="3"/>
  <c r="S409" i="3"/>
  <c r="L362" i="3"/>
  <c r="M361" i="3"/>
  <c r="I306" i="3"/>
  <c r="J305" i="3"/>
  <c r="C282" i="3"/>
  <c r="D281" i="3"/>
  <c r="L258" i="3"/>
  <c r="M257" i="3"/>
  <c r="I250" i="3"/>
  <c r="J249" i="3"/>
  <c r="F178" i="3"/>
  <c r="G177" i="3"/>
  <c r="O154" i="3"/>
  <c r="P153" i="3"/>
  <c r="C618" i="3"/>
  <c r="D617" i="3"/>
  <c r="M593" i="3"/>
  <c r="L594" i="3"/>
  <c r="O586" i="3"/>
  <c r="P585" i="3"/>
  <c r="L498" i="3"/>
  <c r="M497" i="3"/>
  <c r="C442" i="3"/>
  <c r="D441" i="3"/>
  <c r="G417" i="3"/>
  <c r="F418" i="3"/>
  <c r="C394" i="3"/>
  <c r="D393" i="3"/>
  <c r="G385" i="3"/>
  <c r="F386" i="3"/>
  <c r="J369" i="3"/>
  <c r="I370" i="3"/>
  <c r="F346" i="3"/>
  <c r="G345" i="3"/>
  <c r="P321" i="3"/>
  <c r="O322" i="3"/>
  <c r="S289" i="3"/>
  <c r="R290" i="3"/>
  <c r="F242" i="3"/>
  <c r="G241" i="3"/>
  <c r="S225" i="3"/>
  <c r="R226" i="3"/>
  <c r="L218" i="3"/>
  <c r="M217" i="3"/>
  <c r="I162" i="3"/>
  <c r="J161" i="3"/>
  <c r="S145" i="3"/>
  <c r="R146" i="3"/>
  <c r="L138" i="3"/>
  <c r="M137" i="3"/>
  <c r="J993" i="3"/>
  <c r="I994" i="3"/>
  <c r="C986" i="3"/>
  <c r="D985" i="3"/>
  <c r="F970" i="3"/>
  <c r="G969" i="3"/>
  <c r="F962" i="3"/>
  <c r="G961" i="3"/>
  <c r="O954" i="3"/>
  <c r="P953" i="3"/>
  <c r="C938" i="3"/>
  <c r="D937" i="3"/>
  <c r="P929" i="3"/>
  <c r="O930" i="3"/>
  <c r="R922" i="3"/>
  <c r="S921" i="3"/>
  <c r="F906" i="3"/>
  <c r="G905" i="3"/>
  <c r="S897" i="3"/>
  <c r="R898" i="3"/>
  <c r="L890" i="3"/>
  <c r="M889" i="3"/>
  <c r="I874" i="3"/>
  <c r="J873" i="3"/>
  <c r="D865" i="3"/>
  <c r="C866" i="3"/>
  <c r="F858" i="3"/>
  <c r="G857" i="3"/>
  <c r="I842" i="3"/>
  <c r="J841" i="3"/>
  <c r="D833" i="3"/>
  <c r="C834" i="3"/>
  <c r="F826" i="3"/>
  <c r="G825" i="3"/>
  <c r="R810" i="3"/>
  <c r="S809" i="3"/>
  <c r="G801" i="3"/>
  <c r="F802" i="3"/>
  <c r="I794" i="3"/>
  <c r="J793" i="3"/>
  <c r="R778" i="3"/>
  <c r="S777" i="3"/>
  <c r="G769" i="3"/>
  <c r="F770" i="3"/>
  <c r="I762" i="3"/>
  <c r="J761" i="3"/>
  <c r="R746" i="3"/>
  <c r="S745" i="3"/>
  <c r="L738" i="3"/>
  <c r="M737" i="3"/>
  <c r="P729" i="3"/>
  <c r="O730" i="3"/>
  <c r="R714" i="3"/>
  <c r="S713" i="3"/>
  <c r="L698" i="3"/>
  <c r="M697" i="3"/>
  <c r="O674" i="3"/>
  <c r="P673" i="3"/>
  <c r="C650" i="3"/>
  <c r="D649" i="3"/>
  <c r="G641" i="3"/>
  <c r="F642" i="3"/>
  <c r="I634" i="3"/>
  <c r="J633" i="3"/>
  <c r="C602" i="3"/>
  <c r="D601" i="3"/>
  <c r="M569" i="3"/>
  <c r="L570" i="3"/>
  <c r="O546" i="3"/>
  <c r="P545" i="3"/>
  <c r="O490" i="3"/>
  <c r="P489" i="3"/>
  <c r="J473" i="3"/>
  <c r="I474" i="3"/>
  <c r="O466" i="3"/>
  <c r="P465" i="3"/>
  <c r="L450" i="3"/>
  <c r="M449" i="3"/>
  <c r="C426" i="3"/>
  <c r="D425" i="3"/>
  <c r="J377" i="3"/>
  <c r="I378" i="3"/>
  <c r="F330" i="3"/>
  <c r="G329" i="3"/>
  <c r="P313" i="3"/>
  <c r="O314" i="3"/>
  <c r="S273" i="3"/>
  <c r="R274" i="3"/>
  <c r="I202" i="3"/>
  <c r="J201" i="3"/>
  <c r="S185" i="3"/>
  <c r="R186" i="3"/>
  <c r="L170" i="3"/>
  <c r="M169" i="3"/>
  <c r="O691" i="3"/>
  <c r="P690" i="3"/>
  <c r="D618" i="3"/>
  <c r="C619" i="3"/>
  <c r="F603" i="3"/>
  <c r="G602" i="3"/>
  <c r="O587" i="3"/>
  <c r="P586" i="3"/>
  <c r="S538" i="3"/>
  <c r="R539" i="3"/>
  <c r="O531" i="3"/>
  <c r="P530" i="3"/>
  <c r="L507" i="3"/>
  <c r="M506" i="3"/>
  <c r="C475" i="3"/>
  <c r="D474" i="3"/>
  <c r="L427" i="3"/>
  <c r="M426" i="3"/>
  <c r="R395" i="3"/>
  <c r="S394" i="3"/>
  <c r="D378" i="3"/>
  <c r="C379" i="3"/>
  <c r="P346" i="3"/>
  <c r="O347" i="3"/>
  <c r="I251" i="3"/>
  <c r="J250" i="3"/>
  <c r="P226" i="3"/>
  <c r="O227" i="3"/>
  <c r="S194" i="3"/>
  <c r="R195" i="3"/>
  <c r="C163" i="3"/>
  <c r="D162" i="3"/>
  <c r="P138" i="3"/>
  <c r="O139" i="3"/>
  <c r="F101" i="3"/>
  <c r="G100" i="3"/>
  <c r="D722" i="3"/>
  <c r="C723" i="3"/>
  <c r="O627" i="3"/>
  <c r="P626" i="3"/>
  <c r="R611" i="3"/>
  <c r="S610" i="3"/>
  <c r="C579" i="3"/>
  <c r="D578" i="3"/>
  <c r="F547" i="3"/>
  <c r="G546" i="3"/>
  <c r="R523" i="3"/>
  <c r="S522" i="3"/>
  <c r="G482" i="3"/>
  <c r="F483" i="3"/>
  <c r="F451" i="3"/>
  <c r="G450" i="3"/>
  <c r="I371" i="3"/>
  <c r="J370" i="3"/>
  <c r="F355" i="3"/>
  <c r="G354" i="3"/>
  <c r="C299" i="3"/>
  <c r="D298" i="3"/>
  <c r="R283" i="3"/>
  <c r="S282" i="3"/>
  <c r="F243" i="3"/>
  <c r="G242" i="3"/>
  <c r="P124" i="3"/>
  <c r="O125" i="3"/>
  <c r="G116" i="3"/>
  <c r="F117" i="3"/>
  <c r="I105" i="3"/>
  <c r="J104" i="3"/>
  <c r="O715" i="3"/>
  <c r="P714" i="3"/>
  <c r="I683" i="3"/>
  <c r="J682" i="3"/>
  <c r="M658" i="3"/>
  <c r="L659" i="3"/>
  <c r="O635" i="3"/>
  <c r="P634" i="3"/>
  <c r="J562" i="3"/>
  <c r="I563" i="3"/>
  <c r="G498" i="3"/>
  <c r="F499" i="3"/>
  <c r="F443" i="3"/>
  <c r="G442" i="3"/>
  <c r="F419" i="3"/>
  <c r="G418" i="3"/>
  <c r="M386" i="3"/>
  <c r="L387" i="3"/>
  <c r="C339" i="3"/>
  <c r="D338" i="3"/>
  <c r="R331" i="3"/>
  <c r="S330" i="3"/>
  <c r="F307" i="3"/>
  <c r="G306" i="3"/>
  <c r="F211" i="3"/>
  <c r="G210" i="3"/>
  <c r="L187" i="3"/>
  <c r="M186" i="3"/>
  <c r="I147" i="3"/>
  <c r="J146" i="3"/>
  <c r="I109" i="3"/>
  <c r="J108" i="3"/>
  <c r="M92" i="3"/>
  <c r="L93" i="3"/>
  <c r="L81" i="3"/>
  <c r="M80" i="3"/>
  <c r="O675" i="3"/>
  <c r="P674" i="3"/>
  <c r="S666" i="3"/>
  <c r="R667" i="3"/>
  <c r="L555" i="3"/>
  <c r="M554" i="3"/>
  <c r="I435" i="3"/>
  <c r="J434" i="3"/>
  <c r="D410" i="3"/>
  <c r="C411" i="3"/>
  <c r="P322" i="3"/>
  <c r="O323" i="3"/>
  <c r="I267" i="3"/>
  <c r="J266" i="3"/>
  <c r="M258" i="3"/>
  <c r="L259" i="3"/>
  <c r="P234" i="3"/>
  <c r="O235" i="3"/>
  <c r="L179" i="3"/>
  <c r="M178" i="3"/>
  <c r="I155" i="3"/>
  <c r="J154" i="3"/>
  <c r="I121" i="3"/>
  <c r="J120" i="3"/>
  <c r="F97" i="3"/>
  <c r="G96" i="3"/>
  <c r="M84" i="3"/>
  <c r="L85" i="3"/>
  <c r="H53" i="13"/>
  <c r="H54" i="13"/>
  <c r="H70" i="13"/>
  <c r="N70" i="13" s="1"/>
  <c r="R199" i="3"/>
  <c r="H66" i="3"/>
  <c r="H54" i="3"/>
  <c r="H50" i="3"/>
  <c r="H38" i="3"/>
  <c r="H34" i="3"/>
  <c r="H22" i="3"/>
  <c r="G14" i="3"/>
  <c r="F15" i="3"/>
  <c r="L11" i="3"/>
  <c r="M10" i="3"/>
  <c r="L7" i="3"/>
  <c r="M6" i="3"/>
  <c r="H65" i="3"/>
  <c r="H49" i="3"/>
  <c r="H33" i="3"/>
  <c r="M13" i="3"/>
  <c r="Y11" i="4"/>
  <c r="D15" i="3"/>
  <c r="C16" i="3"/>
  <c r="P11" i="3"/>
  <c r="O12" i="3"/>
  <c r="R13" i="3"/>
  <c r="S12" i="3"/>
  <c r="I9" i="3"/>
  <c r="J8" i="3"/>
  <c r="E48" i="3"/>
  <c r="H32" i="3"/>
  <c r="P11" i="4"/>
  <c r="O189" i="3"/>
  <c r="P188" i="3"/>
  <c r="O157" i="3"/>
  <c r="P156" i="3"/>
  <c r="F128" i="3"/>
  <c r="G127" i="3"/>
  <c r="S103" i="3"/>
  <c r="R104" i="3"/>
  <c r="L84" i="3"/>
  <c r="M83" i="3"/>
  <c r="G657" i="3"/>
  <c r="F658" i="3"/>
  <c r="M553" i="3"/>
  <c r="L554" i="3"/>
  <c r="J481" i="3"/>
  <c r="I482" i="3"/>
  <c r="P305" i="3"/>
  <c r="O306" i="3"/>
  <c r="P249" i="3"/>
  <c r="O250" i="3"/>
  <c r="F586" i="3"/>
  <c r="G585" i="3"/>
  <c r="O418" i="3"/>
  <c r="P417" i="3"/>
  <c r="P369" i="3"/>
  <c r="O370" i="3"/>
  <c r="I290" i="3"/>
  <c r="J289" i="3"/>
  <c r="O146" i="3"/>
  <c r="P145" i="3"/>
  <c r="S969" i="3"/>
  <c r="R970" i="3"/>
  <c r="L938" i="3"/>
  <c r="M937" i="3"/>
  <c r="I922" i="3"/>
  <c r="J921" i="3"/>
  <c r="D889" i="3"/>
  <c r="C890" i="3"/>
  <c r="O842" i="3"/>
  <c r="P841" i="3"/>
  <c r="C810" i="3"/>
  <c r="D809" i="3"/>
  <c r="L770" i="3"/>
  <c r="M769" i="3"/>
  <c r="L642" i="3"/>
  <c r="M641" i="3"/>
  <c r="R467" i="3"/>
  <c r="S466" i="3"/>
  <c r="C991" i="3"/>
  <c r="D990" i="3"/>
  <c r="F975" i="3"/>
  <c r="G974" i="3"/>
  <c r="R951" i="3"/>
  <c r="S950" i="3"/>
  <c r="J918" i="3"/>
  <c r="I919" i="3"/>
  <c r="I895" i="3"/>
  <c r="J894" i="3"/>
  <c r="O879" i="3"/>
  <c r="P878" i="3"/>
  <c r="M854" i="3"/>
  <c r="L855" i="3"/>
  <c r="R831" i="3"/>
  <c r="S830" i="3"/>
  <c r="R815" i="3"/>
  <c r="S814" i="3"/>
  <c r="P790" i="3"/>
  <c r="O791" i="3"/>
  <c r="P758" i="3"/>
  <c r="O759" i="3"/>
  <c r="L735" i="3"/>
  <c r="M734" i="3"/>
  <c r="L703" i="3"/>
  <c r="M702" i="3"/>
  <c r="I687" i="3"/>
  <c r="J686" i="3"/>
  <c r="P662" i="3"/>
  <c r="O663" i="3"/>
  <c r="L639" i="3"/>
  <c r="M638" i="3"/>
  <c r="L607" i="3"/>
  <c r="M606" i="3"/>
  <c r="O591" i="3"/>
  <c r="P590" i="3"/>
  <c r="L567" i="3"/>
  <c r="M566" i="3"/>
  <c r="R543" i="3"/>
  <c r="S542" i="3"/>
  <c r="O511" i="3"/>
  <c r="P510" i="3"/>
  <c r="M494" i="3"/>
  <c r="L495" i="3"/>
  <c r="S470" i="3"/>
  <c r="R471" i="3"/>
  <c r="C447" i="3"/>
  <c r="D446" i="3"/>
  <c r="G438" i="3"/>
  <c r="F439" i="3"/>
  <c r="J430" i="3"/>
  <c r="I431" i="3"/>
  <c r="P406" i="3"/>
  <c r="O407" i="3"/>
  <c r="P374" i="3"/>
  <c r="O375" i="3"/>
  <c r="O351" i="3"/>
  <c r="P350" i="3"/>
  <c r="O319" i="3"/>
  <c r="P318" i="3"/>
  <c r="D302" i="3"/>
  <c r="C303" i="3"/>
  <c r="J278" i="3"/>
  <c r="I279" i="3"/>
  <c r="O255" i="3"/>
  <c r="P254" i="3"/>
  <c r="D238" i="3"/>
  <c r="C239" i="3"/>
  <c r="M214" i="3"/>
  <c r="L215" i="3"/>
  <c r="D190" i="3"/>
  <c r="C191" i="3"/>
  <c r="D166" i="3"/>
  <c r="C167" i="3"/>
  <c r="G134" i="3"/>
  <c r="F135" i="3"/>
  <c r="P122" i="3"/>
  <c r="O123" i="3"/>
  <c r="R103" i="3"/>
  <c r="S102" i="3"/>
  <c r="F91" i="3"/>
  <c r="G90" i="3"/>
  <c r="L83" i="3"/>
  <c r="M82" i="3"/>
  <c r="O71" i="3"/>
  <c r="P70" i="3"/>
  <c r="I988" i="3"/>
  <c r="J987" i="3"/>
  <c r="G971" i="3"/>
  <c r="F972" i="3"/>
  <c r="J947" i="3"/>
  <c r="I948" i="3"/>
  <c r="C916" i="3"/>
  <c r="D915" i="3"/>
  <c r="R828" i="3"/>
  <c r="S827" i="3"/>
  <c r="R812" i="3"/>
  <c r="S811" i="3"/>
  <c r="O788" i="3"/>
  <c r="P787" i="3"/>
  <c r="L764" i="3"/>
  <c r="M763" i="3"/>
  <c r="L732" i="3"/>
  <c r="M731" i="3"/>
  <c r="J715" i="3"/>
  <c r="I716" i="3"/>
  <c r="F692" i="3"/>
  <c r="G691" i="3"/>
  <c r="C668" i="3"/>
  <c r="D667" i="3"/>
  <c r="R652" i="3"/>
  <c r="S651" i="3"/>
  <c r="L636" i="3"/>
  <c r="M635" i="3"/>
  <c r="R620" i="3"/>
  <c r="S619" i="3"/>
  <c r="L596" i="3"/>
  <c r="M595" i="3"/>
  <c r="R572" i="3"/>
  <c r="S571" i="3"/>
  <c r="P555" i="3"/>
  <c r="O556" i="3"/>
  <c r="P531" i="3"/>
  <c r="O532" i="3"/>
  <c r="F508" i="3"/>
  <c r="G507" i="3"/>
  <c r="F476" i="3"/>
  <c r="G475" i="3"/>
  <c r="I460" i="3"/>
  <c r="J459" i="3"/>
  <c r="L436" i="3"/>
  <c r="M435" i="3"/>
  <c r="F412" i="3"/>
  <c r="G411" i="3"/>
  <c r="R396" i="3"/>
  <c r="S395" i="3"/>
  <c r="F372" i="3"/>
  <c r="G371" i="3"/>
  <c r="J339" i="3"/>
  <c r="I340" i="3"/>
  <c r="F316" i="3"/>
  <c r="G315" i="3"/>
  <c r="C300" i="3"/>
  <c r="D299" i="3"/>
  <c r="J275" i="3"/>
  <c r="I276" i="3"/>
  <c r="J243" i="3"/>
  <c r="I244" i="3"/>
  <c r="R212" i="3"/>
  <c r="S211" i="3"/>
  <c r="R180" i="3"/>
  <c r="S179" i="3"/>
  <c r="C156" i="3"/>
  <c r="D155" i="3"/>
  <c r="F140" i="3"/>
  <c r="G139" i="3"/>
  <c r="O993" i="3"/>
  <c r="P992" i="3"/>
  <c r="O977" i="3"/>
  <c r="P976" i="3"/>
  <c r="L945" i="3"/>
  <c r="M944" i="3"/>
  <c r="S920" i="3"/>
  <c r="R921" i="3"/>
  <c r="I897" i="3"/>
  <c r="J896" i="3"/>
  <c r="R865" i="3"/>
  <c r="S864" i="3"/>
  <c r="R833" i="3"/>
  <c r="S832" i="3"/>
  <c r="L817" i="3"/>
  <c r="M816" i="3"/>
  <c r="S792" i="3"/>
  <c r="R793" i="3"/>
  <c r="O769" i="3"/>
  <c r="P768" i="3"/>
  <c r="L737" i="3"/>
  <c r="M736" i="3"/>
  <c r="L705" i="3"/>
  <c r="M704" i="3"/>
  <c r="C689" i="3"/>
  <c r="D688" i="3"/>
  <c r="R665" i="3"/>
  <c r="S664" i="3"/>
  <c r="O641" i="3"/>
  <c r="P640" i="3"/>
  <c r="O609" i="3"/>
  <c r="P608" i="3"/>
  <c r="R593" i="3"/>
  <c r="S592" i="3"/>
  <c r="P568" i="3"/>
  <c r="O569" i="3"/>
  <c r="L545" i="3"/>
  <c r="M544" i="3"/>
  <c r="G528" i="3"/>
  <c r="F529" i="3"/>
  <c r="D504" i="3"/>
  <c r="C505" i="3"/>
  <c r="R481" i="3"/>
  <c r="S480" i="3"/>
  <c r="D464" i="3"/>
  <c r="C465" i="3"/>
  <c r="J440" i="3"/>
  <c r="I441" i="3"/>
  <c r="O417" i="3"/>
  <c r="P416" i="3"/>
  <c r="M400" i="3"/>
  <c r="L401" i="3"/>
  <c r="S376" i="3"/>
  <c r="R377" i="3"/>
  <c r="F353" i="3"/>
  <c r="G352" i="3"/>
  <c r="L337" i="3"/>
  <c r="M336" i="3"/>
  <c r="S312" i="3"/>
  <c r="R313" i="3"/>
  <c r="S280" i="3"/>
  <c r="R281" i="3"/>
  <c r="F257" i="3"/>
  <c r="G256" i="3"/>
  <c r="L241" i="3"/>
  <c r="M240" i="3"/>
  <c r="C217" i="3"/>
  <c r="D216" i="3"/>
  <c r="L193" i="3"/>
  <c r="M192" i="3"/>
  <c r="O177" i="3"/>
  <c r="P176" i="3"/>
  <c r="C153" i="3"/>
  <c r="D152" i="3"/>
  <c r="S129" i="3"/>
  <c r="R130" i="3"/>
  <c r="O114" i="3"/>
  <c r="P113" i="3"/>
  <c r="C102" i="3"/>
  <c r="D101" i="3"/>
  <c r="F90" i="3"/>
  <c r="G89" i="3"/>
  <c r="R78" i="3"/>
  <c r="S77" i="3"/>
  <c r="C990" i="3"/>
  <c r="D989" i="3"/>
  <c r="P981" i="3"/>
  <c r="O982" i="3"/>
  <c r="O966" i="3"/>
  <c r="P965" i="3"/>
  <c r="R958" i="3"/>
  <c r="S957" i="3"/>
  <c r="I950" i="3"/>
  <c r="J949" i="3"/>
  <c r="G933" i="3"/>
  <c r="F934" i="3"/>
  <c r="D925" i="3"/>
  <c r="C926" i="3"/>
  <c r="F918" i="3"/>
  <c r="G917" i="3"/>
  <c r="R902" i="3"/>
  <c r="S901" i="3"/>
  <c r="G893" i="3"/>
  <c r="F894" i="3"/>
  <c r="R886" i="3"/>
  <c r="S885" i="3"/>
  <c r="C870" i="3"/>
  <c r="D869" i="3"/>
  <c r="I862" i="3"/>
  <c r="J861" i="3"/>
  <c r="L846" i="3"/>
  <c r="M845" i="3"/>
  <c r="F838" i="3"/>
  <c r="G837" i="3"/>
  <c r="I830" i="3"/>
  <c r="J829" i="3"/>
  <c r="O814" i="3"/>
  <c r="P813" i="3"/>
  <c r="I806" i="3"/>
  <c r="J805" i="3"/>
  <c r="D797" i="3"/>
  <c r="C798" i="3"/>
  <c r="O782" i="3"/>
  <c r="P781" i="3"/>
  <c r="I774" i="3"/>
  <c r="J773" i="3"/>
  <c r="D765" i="3"/>
  <c r="C766" i="3"/>
  <c r="J741" i="3"/>
  <c r="I742" i="3"/>
  <c r="D733" i="3"/>
  <c r="C734" i="3"/>
  <c r="O718" i="3"/>
  <c r="P717" i="3"/>
  <c r="J709" i="3"/>
  <c r="I710" i="3"/>
  <c r="D701" i="3"/>
  <c r="C702" i="3"/>
  <c r="F686" i="3"/>
  <c r="G685" i="3"/>
  <c r="J677" i="3"/>
  <c r="I678" i="3"/>
  <c r="C670" i="3"/>
  <c r="D669" i="3"/>
  <c r="F654" i="3"/>
  <c r="G653" i="3"/>
  <c r="I646" i="3"/>
  <c r="J645" i="3"/>
  <c r="D637" i="3"/>
  <c r="C638" i="3"/>
  <c r="F622" i="3"/>
  <c r="G621" i="3"/>
  <c r="I614" i="3"/>
  <c r="J613" i="3"/>
  <c r="D605" i="3"/>
  <c r="C606" i="3"/>
  <c r="L590" i="3"/>
  <c r="M589" i="3"/>
  <c r="O582" i="3"/>
  <c r="P581" i="3"/>
  <c r="R574" i="3"/>
  <c r="S573" i="3"/>
  <c r="L558" i="3"/>
  <c r="M557" i="3"/>
  <c r="O550" i="3"/>
  <c r="P549" i="3"/>
  <c r="R542" i="3"/>
  <c r="S541" i="3"/>
  <c r="C526" i="3"/>
  <c r="D525" i="3"/>
  <c r="R518" i="3"/>
  <c r="S517" i="3"/>
  <c r="F510" i="3"/>
  <c r="G509" i="3"/>
  <c r="C494" i="3"/>
  <c r="D493" i="3"/>
  <c r="R486" i="3"/>
  <c r="S485" i="3"/>
  <c r="F478" i="3"/>
  <c r="G477" i="3"/>
  <c r="F462" i="3"/>
  <c r="G461" i="3"/>
  <c r="J453" i="3"/>
  <c r="I454" i="3"/>
  <c r="C446" i="3"/>
  <c r="D445" i="3"/>
  <c r="F430" i="3"/>
  <c r="G429" i="3"/>
  <c r="J421" i="3"/>
  <c r="I422" i="3"/>
  <c r="I414" i="3"/>
  <c r="J413" i="3"/>
  <c r="F398" i="3"/>
  <c r="G397" i="3"/>
  <c r="O390" i="3"/>
  <c r="P389" i="3"/>
  <c r="D381" i="3"/>
  <c r="C382" i="3"/>
  <c r="F366" i="3"/>
  <c r="G365" i="3"/>
  <c r="I358" i="3"/>
  <c r="J357" i="3"/>
  <c r="M349" i="3"/>
  <c r="L350" i="3"/>
  <c r="O334" i="3"/>
  <c r="P333" i="3"/>
  <c r="I326" i="3"/>
  <c r="J325" i="3"/>
  <c r="M317" i="3"/>
  <c r="L318" i="3"/>
  <c r="O302" i="3"/>
  <c r="P301" i="3"/>
  <c r="I294" i="3"/>
  <c r="J293" i="3"/>
  <c r="M285" i="3"/>
  <c r="L286" i="3"/>
  <c r="O270" i="3"/>
  <c r="P269" i="3"/>
  <c r="I262" i="3"/>
  <c r="J261" i="3"/>
  <c r="M253" i="3"/>
  <c r="L254" i="3"/>
  <c r="O238" i="3"/>
  <c r="P237" i="3"/>
  <c r="O230" i="3"/>
  <c r="P229" i="3"/>
  <c r="P221" i="3"/>
  <c r="O222" i="3"/>
  <c r="R206" i="3"/>
  <c r="S205" i="3"/>
  <c r="L198" i="3"/>
  <c r="M197" i="3"/>
  <c r="P189" i="3"/>
  <c r="O190" i="3"/>
  <c r="R174" i="3"/>
  <c r="S173" i="3"/>
  <c r="L166" i="3"/>
  <c r="M165" i="3"/>
  <c r="P157" i="3"/>
  <c r="O158" i="3"/>
  <c r="R142" i="3"/>
  <c r="S141" i="3"/>
  <c r="L176" i="3"/>
  <c r="M175" i="3"/>
  <c r="G994" i="3"/>
  <c r="F995" i="3"/>
  <c r="S986" i="3"/>
  <c r="R987" i="3"/>
  <c r="C979" i="3"/>
  <c r="D978" i="3"/>
  <c r="F963" i="3"/>
  <c r="G962" i="3"/>
  <c r="P954" i="3"/>
  <c r="O955" i="3"/>
  <c r="M946" i="3"/>
  <c r="L947" i="3"/>
  <c r="I931" i="3"/>
  <c r="J930" i="3"/>
  <c r="C923" i="3"/>
  <c r="D922" i="3"/>
  <c r="L915" i="3"/>
  <c r="M914" i="3"/>
  <c r="L899" i="3"/>
  <c r="M898" i="3"/>
  <c r="F891" i="3"/>
  <c r="G890" i="3"/>
  <c r="R883" i="3"/>
  <c r="S882" i="3"/>
  <c r="L867" i="3"/>
  <c r="M866" i="3"/>
  <c r="O859" i="3"/>
  <c r="P858" i="3"/>
  <c r="R851" i="3"/>
  <c r="S850" i="3"/>
  <c r="L835" i="3"/>
  <c r="M834" i="3"/>
  <c r="O827" i="3"/>
  <c r="P826" i="3"/>
  <c r="M818" i="3"/>
  <c r="L819" i="3"/>
  <c r="O803" i="3"/>
  <c r="P802" i="3"/>
  <c r="R795" i="3"/>
  <c r="S794" i="3"/>
  <c r="M786" i="3"/>
  <c r="L787" i="3"/>
  <c r="O771" i="3"/>
  <c r="P770" i="3"/>
  <c r="R763" i="3"/>
  <c r="S762" i="3"/>
  <c r="C755" i="3"/>
  <c r="D754" i="3"/>
  <c r="O739" i="3"/>
  <c r="P738" i="3"/>
  <c r="I731" i="3"/>
  <c r="J730" i="3"/>
  <c r="C1000" i="3"/>
  <c r="D999" i="3"/>
  <c r="I992" i="3"/>
  <c r="J991" i="3"/>
  <c r="L976" i="3"/>
  <c r="M975" i="3"/>
  <c r="D967" i="3"/>
  <c r="C968" i="3"/>
  <c r="S959" i="3"/>
  <c r="R960" i="3"/>
  <c r="M943" i="3"/>
  <c r="L944" i="3"/>
  <c r="I936" i="3"/>
  <c r="J935" i="3"/>
  <c r="O928" i="3"/>
  <c r="P927" i="3"/>
  <c r="F912" i="3"/>
  <c r="G911" i="3"/>
  <c r="J903" i="3"/>
  <c r="I904" i="3"/>
  <c r="C896" i="3"/>
  <c r="D895" i="3"/>
  <c r="O880" i="3"/>
  <c r="P879" i="3"/>
  <c r="S871" i="3"/>
  <c r="R872" i="3"/>
  <c r="L864" i="3"/>
  <c r="M863" i="3"/>
  <c r="O848" i="3"/>
  <c r="P847" i="3"/>
  <c r="S839" i="3"/>
  <c r="R840" i="3"/>
  <c r="L832" i="3"/>
  <c r="M831" i="3"/>
  <c r="R816" i="3"/>
  <c r="S815" i="3"/>
  <c r="M807" i="3"/>
  <c r="L808" i="3"/>
  <c r="O800" i="3"/>
  <c r="P799" i="3"/>
  <c r="R784" i="3"/>
  <c r="S783" i="3"/>
  <c r="M775" i="3"/>
  <c r="L776" i="3"/>
  <c r="O768" i="3"/>
  <c r="P767" i="3"/>
  <c r="O752" i="3"/>
  <c r="P751" i="3"/>
  <c r="D743" i="3"/>
  <c r="C744" i="3"/>
  <c r="F736" i="3"/>
  <c r="G735" i="3"/>
  <c r="O720" i="3"/>
  <c r="P719" i="3"/>
  <c r="D711" i="3"/>
  <c r="C712" i="3"/>
  <c r="F704" i="3"/>
  <c r="G703" i="3"/>
  <c r="I688" i="3"/>
  <c r="J687" i="3"/>
  <c r="D679" i="3"/>
  <c r="C680" i="3"/>
  <c r="F672" i="3"/>
  <c r="G671" i="3"/>
  <c r="R656" i="3"/>
  <c r="S655" i="3"/>
  <c r="M647" i="3"/>
  <c r="L648" i="3"/>
  <c r="O640" i="3"/>
  <c r="P639" i="3"/>
  <c r="R624" i="3"/>
  <c r="S623" i="3"/>
  <c r="M615" i="3"/>
  <c r="L616" i="3"/>
  <c r="O608" i="3"/>
  <c r="P607" i="3"/>
  <c r="O592" i="3"/>
  <c r="P591" i="3"/>
  <c r="S583" i="3"/>
  <c r="R584" i="3"/>
  <c r="L576" i="3"/>
  <c r="M575" i="3"/>
  <c r="O560" i="3"/>
  <c r="P559" i="3"/>
  <c r="S551" i="3"/>
  <c r="R552" i="3"/>
  <c r="L544" i="3"/>
  <c r="M543" i="3"/>
  <c r="C528" i="3"/>
  <c r="D527" i="3"/>
  <c r="G519" i="3"/>
  <c r="F520" i="3"/>
  <c r="J511" i="3"/>
  <c r="I512" i="3"/>
  <c r="C496" i="3"/>
  <c r="D495" i="3"/>
  <c r="G487" i="3"/>
  <c r="F488" i="3"/>
  <c r="J479" i="3"/>
  <c r="I480" i="3"/>
  <c r="R464" i="3"/>
  <c r="S463" i="3"/>
  <c r="D455" i="3"/>
  <c r="C456" i="3"/>
  <c r="G447" i="3"/>
  <c r="F448" i="3"/>
  <c r="R432" i="3"/>
  <c r="S431" i="3"/>
  <c r="D423" i="3"/>
  <c r="C424" i="3"/>
  <c r="G415" i="3"/>
  <c r="F416" i="3"/>
  <c r="I400" i="3"/>
  <c r="J399" i="3"/>
  <c r="M391" i="3"/>
  <c r="L392" i="3"/>
  <c r="P383" i="3"/>
  <c r="O384" i="3"/>
  <c r="I368" i="3"/>
  <c r="J367" i="3"/>
  <c r="I360" i="3"/>
  <c r="J359" i="3"/>
  <c r="O352" i="3"/>
  <c r="P351" i="3"/>
  <c r="I336" i="3"/>
  <c r="J335" i="3"/>
  <c r="C328" i="3"/>
  <c r="D327" i="3"/>
  <c r="O320" i="3"/>
  <c r="P319" i="3"/>
  <c r="I304" i="3"/>
  <c r="J303" i="3"/>
  <c r="C296" i="3"/>
  <c r="D295" i="3"/>
  <c r="O288" i="3"/>
  <c r="P287" i="3"/>
  <c r="I272" i="3"/>
  <c r="J271" i="3"/>
  <c r="C264" i="3"/>
  <c r="D263" i="3"/>
  <c r="O256" i="3"/>
  <c r="P255" i="3"/>
  <c r="I240" i="3"/>
  <c r="J239" i="3"/>
  <c r="R232" i="3"/>
  <c r="S231" i="3"/>
  <c r="L216" i="3"/>
  <c r="M215" i="3"/>
  <c r="J207" i="3"/>
  <c r="I208" i="3"/>
  <c r="D199" i="3"/>
  <c r="C200" i="3"/>
  <c r="F184" i="3"/>
  <c r="G183" i="3"/>
  <c r="D175" i="3"/>
  <c r="C176" i="3"/>
  <c r="F160" i="3"/>
  <c r="G159" i="3"/>
  <c r="R152" i="3"/>
  <c r="S151" i="3"/>
  <c r="O136" i="3"/>
  <c r="P135" i="3"/>
  <c r="R76" i="3"/>
  <c r="S75" i="3"/>
  <c r="J988" i="3"/>
  <c r="I989" i="3"/>
  <c r="M980" i="3"/>
  <c r="L981" i="3"/>
  <c r="M972" i="3"/>
  <c r="L973" i="3"/>
  <c r="O957" i="3"/>
  <c r="P956" i="3"/>
  <c r="C949" i="3"/>
  <c r="D948" i="3"/>
  <c r="O941" i="3"/>
  <c r="P940" i="3"/>
  <c r="R925" i="3"/>
  <c r="S924" i="3"/>
  <c r="L917" i="3"/>
  <c r="M916" i="3"/>
  <c r="L909" i="3"/>
  <c r="M908" i="3"/>
  <c r="O893" i="3"/>
  <c r="P892" i="3"/>
  <c r="S884" i="3"/>
  <c r="R885" i="3"/>
  <c r="L877" i="3"/>
  <c r="M876" i="3"/>
  <c r="F861" i="3"/>
  <c r="G860" i="3"/>
  <c r="S852" i="3"/>
  <c r="R853" i="3"/>
  <c r="L845" i="3"/>
  <c r="M844" i="3"/>
  <c r="F829" i="3"/>
  <c r="G828" i="3"/>
  <c r="S820" i="3"/>
  <c r="R821" i="3"/>
  <c r="O813" i="3"/>
  <c r="P812" i="3"/>
  <c r="I797" i="3"/>
  <c r="J796" i="3"/>
  <c r="L789" i="3"/>
  <c r="M788" i="3"/>
  <c r="O781" i="3"/>
  <c r="P780" i="3"/>
  <c r="I765" i="3"/>
  <c r="J764" i="3"/>
  <c r="L757" i="3"/>
  <c r="M756" i="3"/>
  <c r="O749" i="3"/>
  <c r="P748" i="3"/>
  <c r="R733" i="3"/>
  <c r="S732" i="3"/>
  <c r="M724" i="3"/>
  <c r="L725" i="3"/>
  <c r="O717" i="3"/>
  <c r="P716" i="3"/>
  <c r="R701" i="3"/>
  <c r="S700" i="3"/>
  <c r="M692" i="3"/>
  <c r="L693" i="3"/>
  <c r="O685" i="3"/>
  <c r="P684" i="3"/>
  <c r="R669" i="3"/>
  <c r="S668" i="3"/>
  <c r="L661" i="3"/>
  <c r="M660" i="3"/>
  <c r="O653" i="3"/>
  <c r="P652" i="3"/>
  <c r="R637" i="3"/>
  <c r="S636" i="3"/>
  <c r="L629" i="3"/>
  <c r="M628" i="3"/>
  <c r="O621" i="3"/>
  <c r="P620" i="3"/>
  <c r="R605" i="3"/>
  <c r="S604" i="3"/>
  <c r="C597" i="3"/>
  <c r="D596" i="3"/>
  <c r="F589" i="3"/>
  <c r="G588" i="3"/>
  <c r="I573" i="3"/>
  <c r="J572" i="3"/>
  <c r="D564" i="3"/>
  <c r="C565" i="3"/>
  <c r="F557" i="3"/>
  <c r="G556" i="3"/>
  <c r="R541" i="3"/>
  <c r="S540" i="3"/>
  <c r="I533" i="3"/>
  <c r="J532" i="3"/>
  <c r="S524" i="3"/>
  <c r="R525" i="3"/>
  <c r="F509" i="3"/>
  <c r="G508" i="3"/>
  <c r="P500" i="3"/>
  <c r="O501" i="3"/>
  <c r="S492" i="3"/>
  <c r="R493" i="3"/>
  <c r="F477" i="3"/>
  <c r="G476" i="3"/>
  <c r="P468" i="3"/>
  <c r="O469" i="3"/>
  <c r="P460" i="3"/>
  <c r="O461" i="3"/>
  <c r="I445" i="3"/>
  <c r="J444" i="3"/>
  <c r="M436" i="3"/>
  <c r="L437" i="3"/>
  <c r="P428" i="3"/>
  <c r="O429" i="3"/>
  <c r="S412" i="3"/>
  <c r="R413" i="3"/>
  <c r="C405" i="3"/>
  <c r="D404" i="3"/>
  <c r="O397" i="3"/>
  <c r="P396" i="3"/>
  <c r="I381" i="3"/>
  <c r="J380" i="3"/>
  <c r="C373" i="3"/>
  <c r="D372" i="3"/>
  <c r="O365" i="3"/>
  <c r="P364" i="3"/>
  <c r="L349" i="3"/>
  <c r="M348" i="3"/>
  <c r="P340" i="3"/>
  <c r="O341" i="3"/>
  <c r="R325" i="3"/>
  <c r="S324" i="3"/>
  <c r="L317" i="3"/>
  <c r="M316" i="3"/>
  <c r="P308" i="3"/>
  <c r="O309" i="3"/>
  <c r="C293" i="3"/>
  <c r="D292" i="3"/>
  <c r="G284" i="3"/>
  <c r="F285" i="3"/>
  <c r="J276" i="3"/>
  <c r="I277" i="3"/>
  <c r="C261" i="3"/>
  <c r="D260" i="3"/>
  <c r="G252" i="3"/>
  <c r="F253" i="3"/>
  <c r="J244" i="3"/>
  <c r="I245" i="3"/>
  <c r="O229" i="3"/>
  <c r="P228" i="3"/>
  <c r="S220" i="3"/>
  <c r="R221" i="3"/>
  <c r="M212" i="3"/>
  <c r="L213" i="3"/>
  <c r="O197" i="3"/>
  <c r="P196" i="3"/>
  <c r="S188" i="3"/>
  <c r="R189" i="3"/>
  <c r="M180" i="3"/>
  <c r="L181" i="3"/>
  <c r="O165" i="3"/>
  <c r="P164" i="3"/>
  <c r="S156" i="3"/>
  <c r="R157" i="3"/>
  <c r="M148" i="3"/>
  <c r="L149" i="3"/>
  <c r="I132" i="3"/>
  <c r="J131" i="3"/>
  <c r="R128" i="3"/>
  <c r="S127" i="3"/>
  <c r="S119" i="3"/>
  <c r="R120" i="3"/>
  <c r="P115" i="3"/>
  <c r="O116" i="3"/>
  <c r="L108" i="3"/>
  <c r="M107" i="3"/>
  <c r="L104" i="3"/>
  <c r="M103" i="3"/>
  <c r="S95" i="3"/>
  <c r="R96" i="3"/>
  <c r="O88" i="3"/>
  <c r="P87" i="3"/>
  <c r="P83" i="3"/>
  <c r="O84" i="3"/>
  <c r="L76" i="3"/>
  <c r="M75" i="3"/>
  <c r="L72" i="3"/>
  <c r="M71" i="3"/>
  <c r="R690" i="3"/>
  <c r="S689" i="3"/>
  <c r="L682" i="3"/>
  <c r="M681" i="3"/>
  <c r="I658" i="3"/>
  <c r="J657" i="3"/>
  <c r="R578" i="3"/>
  <c r="S577" i="3"/>
  <c r="M561" i="3"/>
  <c r="L562" i="3"/>
  <c r="O554" i="3"/>
  <c r="P553" i="3"/>
  <c r="O522" i="3"/>
  <c r="P521" i="3"/>
  <c r="J505" i="3"/>
  <c r="I506" i="3"/>
  <c r="D481" i="3"/>
  <c r="C482" i="3"/>
  <c r="C410" i="3"/>
  <c r="D409" i="3"/>
  <c r="G361" i="3"/>
  <c r="F362" i="3"/>
  <c r="S305" i="3"/>
  <c r="R306" i="3"/>
  <c r="F282" i="3"/>
  <c r="G281" i="3"/>
  <c r="P257" i="3"/>
  <c r="O258" i="3"/>
  <c r="S249" i="3"/>
  <c r="R250" i="3"/>
  <c r="I178" i="3"/>
  <c r="J177" i="3"/>
  <c r="S153" i="3"/>
  <c r="R154" i="3"/>
  <c r="C706" i="3"/>
  <c r="D705" i="3"/>
  <c r="L618" i="3"/>
  <c r="M617" i="3"/>
  <c r="F594" i="3"/>
  <c r="G593" i="3"/>
  <c r="O514" i="3"/>
  <c r="P513" i="3"/>
  <c r="F498" i="3"/>
  <c r="G497" i="3"/>
  <c r="G441" i="3"/>
  <c r="F442" i="3"/>
  <c r="R402" i="3"/>
  <c r="S401" i="3"/>
  <c r="L394" i="3"/>
  <c r="M393" i="3"/>
  <c r="P385" i="3"/>
  <c r="O386" i="3"/>
  <c r="C354" i="3"/>
  <c r="D353" i="3"/>
  <c r="L346" i="3"/>
  <c r="M345" i="3"/>
  <c r="I322" i="3"/>
  <c r="J321" i="3"/>
  <c r="C266" i="3"/>
  <c r="D265" i="3"/>
  <c r="L242" i="3"/>
  <c r="M241" i="3"/>
  <c r="D225" i="3"/>
  <c r="C226" i="3"/>
  <c r="F194" i="3"/>
  <c r="G193" i="3"/>
  <c r="O162" i="3"/>
  <c r="P161" i="3"/>
  <c r="D145" i="3"/>
  <c r="C146" i="3"/>
  <c r="F179" i="3"/>
  <c r="G178" i="3"/>
  <c r="S993" i="3"/>
  <c r="R994" i="3"/>
  <c r="J977" i="3"/>
  <c r="I978" i="3"/>
  <c r="I970" i="3"/>
  <c r="J969" i="3"/>
  <c r="O962" i="3"/>
  <c r="P961" i="3"/>
  <c r="G945" i="3"/>
  <c r="F946" i="3"/>
  <c r="S937" i="3"/>
  <c r="R938" i="3"/>
  <c r="I930" i="3"/>
  <c r="J929" i="3"/>
  <c r="F914" i="3"/>
  <c r="G913" i="3"/>
  <c r="I906" i="3"/>
  <c r="J905" i="3"/>
  <c r="D897" i="3"/>
  <c r="C898" i="3"/>
  <c r="O882" i="3"/>
  <c r="P881" i="3"/>
  <c r="R874" i="3"/>
  <c r="S873" i="3"/>
  <c r="M865" i="3"/>
  <c r="L866" i="3"/>
  <c r="O850" i="3"/>
  <c r="P849" i="3"/>
  <c r="R842" i="3"/>
  <c r="S841" i="3"/>
  <c r="M833" i="3"/>
  <c r="L834" i="3"/>
  <c r="C818" i="3"/>
  <c r="D817" i="3"/>
  <c r="L810" i="3"/>
  <c r="M809" i="3"/>
  <c r="P801" i="3"/>
  <c r="O802" i="3"/>
  <c r="C786" i="3"/>
  <c r="D785" i="3"/>
  <c r="L778" i="3"/>
  <c r="M777" i="3"/>
  <c r="P769" i="3"/>
  <c r="O770" i="3"/>
  <c r="C754" i="3"/>
  <c r="D753" i="3"/>
  <c r="I746" i="3"/>
  <c r="J745" i="3"/>
  <c r="G737" i="3"/>
  <c r="F738" i="3"/>
  <c r="C722" i="3"/>
  <c r="D721" i="3"/>
  <c r="I714" i="3"/>
  <c r="J713" i="3"/>
  <c r="G697" i="3"/>
  <c r="F698" i="3"/>
  <c r="C666" i="3"/>
  <c r="D665" i="3"/>
  <c r="L650" i="3"/>
  <c r="M649" i="3"/>
  <c r="P641" i="3"/>
  <c r="O642" i="3"/>
  <c r="R626" i="3"/>
  <c r="S625" i="3"/>
  <c r="L602" i="3"/>
  <c r="M601" i="3"/>
  <c r="F570" i="3"/>
  <c r="G569" i="3"/>
  <c r="C538" i="3"/>
  <c r="D537" i="3"/>
  <c r="F490" i="3"/>
  <c r="G489" i="3"/>
  <c r="R474" i="3"/>
  <c r="S473" i="3"/>
  <c r="I458" i="3"/>
  <c r="J457" i="3"/>
  <c r="R450" i="3"/>
  <c r="S449" i="3"/>
  <c r="G425" i="3"/>
  <c r="F426" i="3"/>
  <c r="C338" i="3"/>
  <c r="D337" i="3"/>
  <c r="L330" i="3"/>
  <c r="M329" i="3"/>
  <c r="I314" i="3"/>
  <c r="J313" i="3"/>
  <c r="C234" i="3"/>
  <c r="D233" i="3"/>
  <c r="O202" i="3"/>
  <c r="P201" i="3"/>
  <c r="D185" i="3"/>
  <c r="C186" i="3"/>
  <c r="R215" i="3"/>
  <c r="S214" i="3"/>
  <c r="O699" i="3"/>
  <c r="P698" i="3"/>
  <c r="C691" i="3"/>
  <c r="D690" i="3"/>
  <c r="M618" i="3"/>
  <c r="L619" i="3"/>
  <c r="F595" i="3"/>
  <c r="G594" i="3"/>
  <c r="J586" i="3"/>
  <c r="I587" i="3"/>
  <c r="C539" i="3"/>
  <c r="D538" i="3"/>
  <c r="L515" i="3"/>
  <c r="M514" i="3"/>
  <c r="R507" i="3"/>
  <c r="S506" i="3"/>
  <c r="G474" i="3"/>
  <c r="F475" i="3"/>
  <c r="O403" i="3"/>
  <c r="P402" i="3"/>
  <c r="I395" i="3"/>
  <c r="J394" i="3"/>
  <c r="M378" i="3"/>
  <c r="L379" i="3"/>
  <c r="C291" i="3"/>
  <c r="D290" i="3"/>
  <c r="R251" i="3"/>
  <c r="S250" i="3"/>
  <c r="I227" i="3"/>
  <c r="J226" i="3"/>
  <c r="C171" i="3"/>
  <c r="D170" i="3"/>
  <c r="L163" i="3"/>
  <c r="M162" i="3"/>
  <c r="I139" i="3"/>
  <c r="J138" i="3"/>
  <c r="O77" i="3"/>
  <c r="P76" i="3"/>
  <c r="M722" i="3"/>
  <c r="L723" i="3"/>
  <c r="I627" i="3"/>
  <c r="J626" i="3"/>
  <c r="D610" i="3"/>
  <c r="C611" i="3"/>
  <c r="L579" i="3"/>
  <c r="M578" i="3"/>
  <c r="O547" i="3"/>
  <c r="P546" i="3"/>
  <c r="C523" i="3"/>
  <c r="D522" i="3"/>
  <c r="O483" i="3"/>
  <c r="P482" i="3"/>
  <c r="I451" i="3"/>
  <c r="J450" i="3"/>
  <c r="D370" i="3"/>
  <c r="C371" i="3"/>
  <c r="P354" i="3"/>
  <c r="O355" i="3"/>
  <c r="I299" i="3"/>
  <c r="J298" i="3"/>
  <c r="M282" i="3"/>
  <c r="L283" i="3"/>
  <c r="P242" i="3"/>
  <c r="O243" i="3"/>
  <c r="F125" i="3"/>
  <c r="G124" i="3"/>
  <c r="S116" i="3"/>
  <c r="R117" i="3"/>
  <c r="R105" i="3"/>
  <c r="S104" i="3"/>
  <c r="F715" i="3"/>
  <c r="G714" i="3"/>
  <c r="S682" i="3"/>
  <c r="R683" i="3"/>
  <c r="F659" i="3"/>
  <c r="G658" i="3"/>
  <c r="I635" i="3"/>
  <c r="J634" i="3"/>
  <c r="S562" i="3"/>
  <c r="R563" i="3"/>
  <c r="O499" i="3"/>
  <c r="P498" i="3"/>
  <c r="I443" i="3"/>
  <c r="J442" i="3"/>
  <c r="I419" i="3"/>
  <c r="J418" i="3"/>
  <c r="G386" i="3"/>
  <c r="F387" i="3"/>
  <c r="I339" i="3"/>
  <c r="J338" i="3"/>
  <c r="M330" i="3"/>
  <c r="L331" i="3"/>
  <c r="P306" i="3"/>
  <c r="O307" i="3"/>
  <c r="C211" i="3"/>
  <c r="D210" i="3"/>
  <c r="P186" i="3"/>
  <c r="O187" i="3"/>
  <c r="S146" i="3"/>
  <c r="R147" i="3"/>
  <c r="R109" i="3"/>
  <c r="S108" i="3"/>
  <c r="F93" i="3"/>
  <c r="G92" i="3"/>
  <c r="F81" i="3"/>
  <c r="G80" i="3"/>
  <c r="O707" i="3"/>
  <c r="P706" i="3"/>
  <c r="I675" i="3"/>
  <c r="J674" i="3"/>
  <c r="D666" i="3"/>
  <c r="C667" i="3"/>
  <c r="I491" i="3"/>
  <c r="J490" i="3"/>
  <c r="O435" i="3"/>
  <c r="P434" i="3"/>
  <c r="L411" i="3"/>
  <c r="M410" i="3"/>
  <c r="C275" i="3"/>
  <c r="D274" i="3"/>
  <c r="R267" i="3"/>
  <c r="S266" i="3"/>
  <c r="F259" i="3"/>
  <c r="G258" i="3"/>
  <c r="C203" i="3"/>
  <c r="D202" i="3"/>
  <c r="P178" i="3"/>
  <c r="O179" i="3"/>
  <c r="S154" i="3"/>
  <c r="R155" i="3"/>
  <c r="L121" i="3"/>
  <c r="M120" i="3"/>
  <c r="P96" i="3"/>
  <c r="O97" i="3"/>
  <c r="F85" i="3"/>
  <c r="G84" i="3"/>
  <c r="E42" i="13"/>
  <c r="H35" i="13"/>
  <c r="H57" i="13"/>
  <c r="N57" i="13" s="1"/>
  <c r="H56" i="13"/>
  <c r="N56" i="13" s="1"/>
  <c r="H72" i="13"/>
  <c r="N72" i="13" s="1"/>
  <c r="F11" i="3"/>
  <c r="G10" i="3"/>
  <c r="F7" i="3"/>
  <c r="G6" i="3"/>
  <c r="H61" i="3"/>
  <c r="H45" i="3"/>
  <c r="H29" i="3"/>
  <c r="I18" i="3"/>
  <c r="J17" i="3"/>
  <c r="F14" i="3"/>
  <c r="G13" i="3"/>
  <c r="F10" i="3"/>
  <c r="G9" i="3"/>
  <c r="Q13" i="4"/>
  <c r="G19" i="3"/>
  <c r="F20" i="3"/>
  <c r="I12" i="3"/>
  <c r="J11" i="3"/>
  <c r="H60" i="3"/>
  <c r="M12" i="3"/>
  <c r="L13" i="3"/>
  <c r="H52" i="3"/>
  <c r="G20" i="3"/>
  <c r="P9" i="4"/>
  <c r="S180" i="3"/>
  <c r="R181" i="3"/>
  <c r="M140" i="3"/>
  <c r="L141" i="3"/>
  <c r="M115" i="3"/>
  <c r="L116" i="3"/>
  <c r="O96" i="3"/>
  <c r="P95" i="3"/>
  <c r="S71" i="3"/>
  <c r="R72" i="3"/>
  <c r="I610" i="3"/>
  <c r="J609" i="3"/>
  <c r="O506" i="3"/>
  <c r="P505" i="3"/>
  <c r="R362" i="3"/>
  <c r="S361" i="3"/>
  <c r="L210" i="3"/>
  <c r="M209" i="3"/>
  <c r="R618" i="3"/>
  <c r="S617" i="3"/>
  <c r="O498" i="3"/>
  <c r="P497" i="3"/>
  <c r="R394" i="3"/>
  <c r="S393" i="3"/>
  <c r="C346" i="3"/>
  <c r="D345" i="3"/>
  <c r="C242" i="3"/>
  <c r="D241" i="3"/>
  <c r="F162" i="3"/>
  <c r="G161" i="3"/>
  <c r="O994" i="3"/>
  <c r="P993" i="3"/>
  <c r="C962" i="3"/>
  <c r="D961" i="3"/>
  <c r="O906" i="3"/>
  <c r="P905" i="3"/>
  <c r="R866" i="3"/>
  <c r="S865" i="3"/>
  <c r="R834" i="3"/>
  <c r="S833" i="3"/>
  <c r="L802" i="3"/>
  <c r="M801" i="3"/>
  <c r="C778" i="3"/>
  <c r="D777" i="3"/>
  <c r="C746" i="3"/>
  <c r="D745" i="3"/>
  <c r="G729" i="3"/>
  <c r="F730" i="3"/>
  <c r="I698" i="3"/>
  <c r="J697" i="3"/>
  <c r="G673" i="3"/>
  <c r="F674" i="3"/>
  <c r="R602" i="3"/>
  <c r="S601" i="3"/>
  <c r="F546" i="3"/>
  <c r="G545" i="3"/>
  <c r="G465" i="3"/>
  <c r="F466" i="3"/>
  <c r="L314" i="3"/>
  <c r="M313" i="3"/>
  <c r="F675" i="3"/>
  <c r="G674" i="3"/>
  <c r="L78" i="3"/>
  <c r="M77" i="3"/>
  <c r="J982" i="3"/>
  <c r="I983" i="3"/>
  <c r="L959" i="3"/>
  <c r="M958" i="3"/>
  <c r="R943" i="3"/>
  <c r="S942" i="3"/>
  <c r="F927" i="3"/>
  <c r="G926" i="3"/>
  <c r="F911" i="3"/>
  <c r="G910" i="3"/>
  <c r="M886" i="3"/>
  <c r="L887" i="3"/>
  <c r="R863" i="3"/>
  <c r="S862" i="3"/>
  <c r="O847" i="3"/>
  <c r="P846" i="3"/>
  <c r="M822" i="3"/>
  <c r="L823" i="3"/>
  <c r="C799" i="3"/>
  <c r="D798" i="3"/>
  <c r="R783" i="3"/>
  <c r="S782" i="3"/>
  <c r="C767" i="3"/>
  <c r="D766" i="3"/>
  <c r="I751" i="3"/>
  <c r="J750" i="3"/>
  <c r="G726" i="3"/>
  <c r="F727" i="3"/>
  <c r="I719" i="3"/>
  <c r="J718" i="3"/>
  <c r="G694" i="3"/>
  <c r="F695" i="3"/>
  <c r="C671" i="3"/>
  <c r="D670" i="3"/>
  <c r="R655" i="3"/>
  <c r="S654" i="3"/>
  <c r="P630" i="3"/>
  <c r="O631" i="3"/>
  <c r="R623" i="3"/>
  <c r="S622" i="3"/>
  <c r="P598" i="3"/>
  <c r="O599" i="3"/>
  <c r="R575" i="3"/>
  <c r="S574" i="3"/>
  <c r="O559" i="3"/>
  <c r="P558" i="3"/>
  <c r="R535" i="3"/>
  <c r="S534" i="3"/>
  <c r="M526" i="3"/>
  <c r="L527" i="3"/>
  <c r="S502" i="3"/>
  <c r="R503" i="3"/>
  <c r="O479" i="3"/>
  <c r="P478" i="3"/>
  <c r="J462" i="3"/>
  <c r="I463" i="3"/>
  <c r="M414" i="3"/>
  <c r="L415" i="3"/>
  <c r="S398" i="3"/>
  <c r="R399" i="3"/>
  <c r="F383" i="3"/>
  <c r="G382" i="3"/>
  <c r="S366" i="3"/>
  <c r="R367" i="3"/>
  <c r="J342" i="3"/>
  <c r="I343" i="3"/>
  <c r="D334" i="3"/>
  <c r="C335" i="3"/>
  <c r="J310" i="3"/>
  <c r="I311" i="3"/>
  <c r="O287" i="3"/>
  <c r="P286" i="3"/>
  <c r="D270" i="3"/>
  <c r="C271" i="3"/>
  <c r="J246" i="3"/>
  <c r="I247" i="3"/>
  <c r="R223" i="3"/>
  <c r="S222" i="3"/>
  <c r="O199" i="3"/>
  <c r="P198" i="3"/>
  <c r="O175" i="3"/>
  <c r="P174" i="3"/>
  <c r="G158" i="3"/>
  <c r="F159" i="3"/>
  <c r="I143" i="3"/>
  <c r="J142" i="3"/>
  <c r="I127" i="3"/>
  <c r="J126" i="3"/>
  <c r="O115" i="3"/>
  <c r="P114" i="3"/>
  <c r="G110" i="3"/>
  <c r="F111" i="3"/>
  <c r="S98" i="3"/>
  <c r="R99" i="3"/>
  <c r="L87" i="3"/>
  <c r="M86" i="3"/>
  <c r="J74" i="3"/>
  <c r="I75" i="3"/>
  <c r="R980" i="3"/>
  <c r="S979" i="3"/>
  <c r="R956" i="3"/>
  <c r="S955" i="3"/>
  <c r="S939" i="3"/>
  <c r="R940" i="3"/>
  <c r="F924" i="3"/>
  <c r="G923" i="3"/>
  <c r="F908" i="3"/>
  <c r="G907" i="3"/>
  <c r="I892" i="3"/>
  <c r="J891" i="3"/>
  <c r="C884" i="3"/>
  <c r="D883" i="3"/>
  <c r="G875" i="3"/>
  <c r="F876" i="3"/>
  <c r="R860" i="3"/>
  <c r="S859" i="3"/>
  <c r="C852" i="3"/>
  <c r="D851" i="3"/>
  <c r="G843" i="3"/>
  <c r="F844" i="3"/>
  <c r="I820" i="3"/>
  <c r="J819" i="3"/>
  <c r="L796" i="3"/>
  <c r="M795" i="3"/>
  <c r="R780" i="3"/>
  <c r="S779" i="3"/>
  <c r="O756" i="3"/>
  <c r="P755" i="3"/>
  <c r="J747" i="3"/>
  <c r="I748" i="3"/>
  <c r="F724" i="3"/>
  <c r="G723" i="3"/>
  <c r="L700" i="3"/>
  <c r="M699" i="3"/>
  <c r="I684" i="3"/>
  <c r="J683" i="3"/>
  <c r="O660" i="3"/>
  <c r="P659" i="3"/>
  <c r="O628" i="3"/>
  <c r="P627" i="3"/>
  <c r="L604" i="3"/>
  <c r="M603" i="3"/>
  <c r="P587" i="3"/>
  <c r="O588" i="3"/>
  <c r="L564" i="3"/>
  <c r="M563" i="3"/>
  <c r="R540" i="3"/>
  <c r="S539" i="3"/>
  <c r="D523" i="3"/>
  <c r="C524" i="3"/>
  <c r="O500" i="3"/>
  <c r="P499" i="3"/>
  <c r="D491" i="3"/>
  <c r="C492" i="3"/>
  <c r="D467" i="3"/>
  <c r="C468" i="3"/>
  <c r="C444" i="3"/>
  <c r="D443" i="3"/>
  <c r="I428" i="3"/>
  <c r="J427" i="3"/>
  <c r="F404" i="3"/>
  <c r="G403" i="3"/>
  <c r="O380" i="3"/>
  <c r="P379" i="3"/>
  <c r="R364" i="3"/>
  <c r="S363" i="3"/>
  <c r="F348" i="3"/>
  <c r="G347" i="3"/>
  <c r="C332" i="3"/>
  <c r="D331" i="3"/>
  <c r="J307" i="3"/>
  <c r="I308" i="3"/>
  <c r="F284" i="3"/>
  <c r="G283" i="3"/>
  <c r="C268" i="3"/>
  <c r="D267" i="3"/>
  <c r="F252" i="3"/>
  <c r="G251" i="3"/>
  <c r="C236" i="3"/>
  <c r="D235" i="3"/>
  <c r="C220" i="3"/>
  <c r="D219" i="3"/>
  <c r="F204" i="3"/>
  <c r="G203" i="3"/>
  <c r="C188" i="3"/>
  <c r="D187" i="3"/>
  <c r="F172" i="3"/>
  <c r="G171" i="3"/>
  <c r="R148" i="3"/>
  <c r="S147" i="3"/>
  <c r="D984" i="3"/>
  <c r="C985" i="3"/>
  <c r="M960" i="3"/>
  <c r="L961" i="3"/>
  <c r="S952" i="3"/>
  <c r="R953" i="3"/>
  <c r="F929" i="3"/>
  <c r="G928" i="3"/>
  <c r="P912" i="3"/>
  <c r="O913" i="3"/>
  <c r="G888" i="3"/>
  <c r="F889" i="3"/>
  <c r="I881" i="3"/>
  <c r="J880" i="3"/>
  <c r="G856" i="3"/>
  <c r="F857" i="3"/>
  <c r="I849" i="3"/>
  <c r="J848" i="3"/>
  <c r="G824" i="3"/>
  <c r="F825" i="3"/>
  <c r="O801" i="3"/>
  <c r="P800" i="3"/>
  <c r="L785" i="3"/>
  <c r="M784" i="3"/>
  <c r="S760" i="3"/>
  <c r="R761" i="3"/>
  <c r="C753" i="3"/>
  <c r="D752" i="3"/>
  <c r="J728" i="3"/>
  <c r="I729" i="3"/>
  <c r="C721" i="3"/>
  <c r="D720" i="3"/>
  <c r="J696" i="3"/>
  <c r="I697" i="3"/>
  <c r="F673" i="3"/>
  <c r="G672" i="3"/>
  <c r="L657" i="3"/>
  <c r="M656" i="3"/>
  <c r="S632" i="3"/>
  <c r="R633" i="3"/>
  <c r="L625" i="3"/>
  <c r="M624" i="3"/>
  <c r="S600" i="3"/>
  <c r="R601" i="3"/>
  <c r="L577" i="3"/>
  <c r="M576" i="3"/>
  <c r="R561" i="3"/>
  <c r="S560" i="3"/>
  <c r="P536" i="3"/>
  <c r="O537" i="3"/>
  <c r="R513" i="3"/>
  <c r="S512" i="3"/>
  <c r="G496" i="3"/>
  <c r="F497" i="3"/>
  <c r="D472" i="3"/>
  <c r="C473" i="3"/>
  <c r="O449" i="3"/>
  <c r="P448" i="3"/>
  <c r="D432" i="3"/>
  <c r="C433" i="3"/>
  <c r="S408" i="3"/>
  <c r="R409" i="3"/>
  <c r="O385" i="3"/>
  <c r="P384" i="3"/>
  <c r="M368" i="3"/>
  <c r="L369" i="3"/>
  <c r="S344" i="3"/>
  <c r="R345" i="3"/>
  <c r="F321" i="3"/>
  <c r="G320" i="3"/>
  <c r="L305" i="3"/>
  <c r="M304" i="3"/>
  <c r="F289" i="3"/>
  <c r="G288" i="3"/>
  <c r="L273" i="3"/>
  <c r="M272" i="3"/>
  <c r="S248" i="3"/>
  <c r="R249" i="3"/>
  <c r="L225" i="3"/>
  <c r="M224" i="3"/>
  <c r="O209" i="3"/>
  <c r="P208" i="3"/>
  <c r="C185" i="3"/>
  <c r="D184" i="3"/>
  <c r="L161" i="3"/>
  <c r="M160" i="3"/>
  <c r="O145" i="3"/>
  <c r="P144" i="3"/>
  <c r="C134" i="3"/>
  <c r="D133" i="3"/>
  <c r="J125" i="3"/>
  <c r="I126" i="3"/>
  <c r="R118" i="3"/>
  <c r="S117" i="3"/>
  <c r="C106" i="3"/>
  <c r="D105" i="3"/>
  <c r="O94" i="3"/>
  <c r="P93" i="3"/>
  <c r="R82" i="3"/>
  <c r="S81" i="3"/>
  <c r="C998" i="3"/>
  <c r="D997" i="3"/>
  <c r="O750" i="3"/>
  <c r="P749" i="3"/>
  <c r="P998" i="3"/>
  <c r="O999" i="3"/>
  <c r="G990" i="3"/>
  <c r="F991" i="3"/>
  <c r="S982" i="3"/>
  <c r="R983" i="3"/>
  <c r="G966" i="3"/>
  <c r="F967" i="3"/>
  <c r="F959" i="3"/>
  <c r="G958" i="3"/>
  <c r="D950" i="3"/>
  <c r="C951" i="3"/>
  <c r="F935" i="3"/>
  <c r="G934" i="3"/>
  <c r="O927" i="3"/>
  <c r="P926" i="3"/>
  <c r="R919" i="3"/>
  <c r="S918" i="3"/>
  <c r="O903" i="3"/>
  <c r="P902" i="3"/>
  <c r="R895" i="3"/>
  <c r="S894" i="3"/>
  <c r="F887" i="3"/>
  <c r="G886" i="3"/>
  <c r="I871" i="3"/>
  <c r="J870" i="3"/>
  <c r="C863" i="3"/>
  <c r="D862" i="3"/>
  <c r="F855" i="3"/>
  <c r="G854" i="3"/>
  <c r="I839" i="3"/>
  <c r="J838" i="3"/>
  <c r="C831" i="3"/>
  <c r="D830" i="3"/>
  <c r="F823" i="3"/>
  <c r="G822" i="3"/>
  <c r="L807" i="3"/>
  <c r="M806" i="3"/>
  <c r="F799" i="3"/>
  <c r="G798" i="3"/>
  <c r="I791" i="3"/>
  <c r="J790" i="3"/>
  <c r="L775" i="3"/>
  <c r="M774" i="3"/>
  <c r="F767" i="3"/>
  <c r="G766" i="3"/>
  <c r="I759" i="3"/>
  <c r="J758" i="3"/>
  <c r="L743" i="3"/>
  <c r="M742" i="3"/>
  <c r="R735" i="3"/>
  <c r="S734" i="3"/>
  <c r="P726" i="3"/>
  <c r="O727" i="3"/>
  <c r="L711" i="3"/>
  <c r="M710" i="3"/>
  <c r="R703" i="3"/>
  <c r="S702" i="3"/>
  <c r="P694" i="3"/>
  <c r="O695" i="3"/>
  <c r="R679" i="3"/>
  <c r="S678" i="3"/>
  <c r="L671" i="3"/>
  <c r="M670" i="3"/>
  <c r="I663" i="3"/>
  <c r="J662" i="3"/>
  <c r="C647" i="3"/>
  <c r="D646" i="3"/>
  <c r="F639" i="3"/>
  <c r="G638" i="3"/>
  <c r="I631" i="3"/>
  <c r="J630" i="3"/>
  <c r="C615" i="3"/>
  <c r="D614" i="3"/>
  <c r="F607" i="3"/>
  <c r="G606" i="3"/>
  <c r="I599" i="3"/>
  <c r="J598" i="3"/>
  <c r="I583" i="3"/>
  <c r="J582" i="3"/>
  <c r="C575" i="3"/>
  <c r="D574" i="3"/>
  <c r="G566" i="3"/>
  <c r="F567" i="3"/>
  <c r="I551" i="3"/>
  <c r="J550" i="3"/>
  <c r="C543" i="3"/>
  <c r="D542" i="3"/>
  <c r="C535" i="3"/>
  <c r="D534" i="3"/>
  <c r="F519" i="3"/>
  <c r="G518" i="3"/>
  <c r="J510" i="3"/>
  <c r="I511" i="3"/>
  <c r="C12" i="5"/>
  <c r="D12" i="5"/>
  <c r="D14" i="5"/>
  <c r="C503" i="3"/>
  <c r="D502" i="3"/>
  <c r="F487" i="3"/>
  <c r="G486" i="3"/>
  <c r="J478" i="3"/>
  <c r="I479" i="3"/>
  <c r="C471" i="3"/>
  <c r="D470" i="3"/>
  <c r="R455" i="3"/>
  <c r="S454" i="3"/>
  <c r="L447" i="3"/>
  <c r="M446" i="3"/>
  <c r="P438" i="3"/>
  <c r="O439" i="3"/>
  <c r="R423" i="3"/>
  <c r="S422" i="3"/>
  <c r="D414" i="3"/>
  <c r="C415" i="3"/>
  <c r="I407" i="3"/>
  <c r="J406" i="3"/>
  <c r="C391" i="3"/>
  <c r="D390" i="3"/>
  <c r="L383" i="3"/>
  <c r="M382" i="3"/>
  <c r="I375" i="3"/>
  <c r="J374" i="3"/>
  <c r="F359" i="3"/>
  <c r="G358" i="3"/>
  <c r="F351" i="3"/>
  <c r="G350" i="3"/>
  <c r="R343" i="3"/>
  <c r="S342" i="3"/>
  <c r="L327" i="3"/>
  <c r="M326" i="3"/>
  <c r="F319" i="3"/>
  <c r="G318" i="3"/>
  <c r="R311" i="3"/>
  <c r="S310" i="3"/>
  <c r="L295" i="3"/>
  <c r="M294" i="3"/>
  <c r="F287" i="3"/>
  <c r="G286" i="3"/>
  <c r="R279" i="3"/>
  <c r="S278" i="3"/>
  <c r="L263" i="3"/>
  <c r="M262" i="3"/>
  <c r="F255" i="3"/>
  <c r="G254" i="3"/>
  <c r="R247" i="3"/>
  <c r="S246" i="3"/>
  <c r="J230" i="3"/>
  <c r="I231" i="3"/>
  <c r="I223" i="3"/>
  <c r="J222" i="3"/>
  <c r="G214" i="3"/>
  <c r="F215" i="3"/>
  <c r="I199" i="3"/>
  <c r="J198" i="3"/>
  <c r="M190" i="3"/>
  <c r="L191" i="3"/>
  <c r="R175" i="3"/>
  <c r="S174" i="3"/>
  <c r="M166" i="3"/>
  <c r="L167" i="3"/>
  <c r="O151" i="3"/>
  <c r="P150" i="3"/>
  <c r="D142" i="3"/>
  <c r="C143" i="3"/>
  <c r="C131" i="3"/>
  <c r="D130" i="3"/>
  <c r="C127" i="3"/>
  <c r="D126" i="3"/>
  <c r="S122" i="3"/>
  <c r="R123" i="3"/>
  <c r="J114" i="3"/>
  <c r="I115" i="3"/>
  <c r="O111" i="3"/>
  <c r="P110" i="3"/>
  <c r="C103" i="3"/>
  <c r="D102" i="3"/>
  <c r="C99" i="3"/>
  <c r="D98" i="3"/>
  <c r="O91" i="3"/>
  <c r="P90" i="3"/>
  <c r="G86" i="3"/>
  <c r="F87" i="3"/>
  <c r="R79" i="3"/>
  <c r="S78" i="3"/>
  <c r="S74" i="3"/>
  <c r="R75" i="3"/>
  <c r="L224" i="3"/>
  <c r="M223" i="3"/>
  <c r="D987" i="3"/>
  <c r="C988" i="3"/>
  <c r="I980" i="3"/>
  <c r="J979" i="3"/>
  <c r="O972" i="3"/>
  <c r="P971" i="3"/>
  <c r="C956" i="3"/>
  <c r="D955" i="3"/>
  <c r="C948" i="3"/>
  <c r="D947" i="3"/>
  <c r="D939" i="3"/>
  <c r="C940" i="3"/>
  <c r="O924" i="3"/>
  <c r="P923" i="3"/>
  <c r="O916" i="3"/>
  <c r="P915" i="3"/>
  <c r="O908" i="3"/>
  <c r="P907" i="3"/>
  <c r="R892" i="3"/>
  <c r="S891" i="3"/>
  <c r="L884" i="3"/>
  <c r="M883" i="3"/>
  <c r="O876" i="3"/>
  <c r="P875" i="3"/>
  <c r="I860" i="3"/>
  <c r="J859" i="3"/>
  <c r="L852" i="3"/>
  <c r="M851" i="3"/>
  <c r="O844" i="3"/>
  <c r="P843" i="3"/>
  <c r="I828" i="3"/>
  <c r="J827" i="3"/>
  <c r="L820" i="3"/>
  <c r="M819" i="3"/>
  <c r="C812" i="3"/>
  <c r="D811" i="3"/>
  <c r="F796" i="3"/>
  <c r="G795" i="3"/>
  <c r="J787" i="3"/>
  <c r="I788" i="3"/>
  <c r="C780" i="3"/>
  <c r="D779" i="3"/>
  <c r="F764" i="3"/>
  <c r="G763" i="3"/>
  <c r="J755" i="3"/>
  <c r="I756" i="3"/>
  <c r="R748" i="3"/>
  <c r="S747" i="3"/>
  <c r="C732" i="3"/>
  <c r="D731" i="3"/>
  <c r="P723" i="3"/>
  <c r="O724" i="3"/>
  <c r="R716" i="3"/>
  <c r="S715" i="3"/>
  <c r="C700" i="3"/>
  <c r="D699" i="3"/>
  <c r="P691" i="3"/>
  <c r="O692" i="3"/>
  <c r="R684" i="3"/>
  <c r="S683" i="3"/>
  <c r="L668" i="3"/>
  <c r="M667" i="3"/>
  <c r="J659" i="3"/>
  <c r="I660" i="3"/>
  <c r="C652" i="3"/>
  <c r="D651" i="3"/>
  <c r="F636" i="3"/>
  <c r="G635" i="3"/>
  <c r="J627" i="3"/>
  <c r="I628" i="3"/>
  <c r="C620" i="3"/>
  <c r="D619" i="3"/>
  <c r="F604" i="3"/>
  <c r="G603" i="3"/>
  <c r="G595" i="3"/>
  <c r="F596" i="3"/>
  <c r="I588" i="3"/>
  <c r="J587" i="3"/>
  <c r="C572" i="3"/>
  <c r="D571" i="3"/>
  <c r="G563" i="3"/>
  <c r="F564" i="3"/>
  <c r="I556" i="3"/>
  <c r="J555" i="3"/>
  <c r="C540" i="3"/>
  <c r="D539" i="3"/>
  <c r="R532" i="3"/>
  <c r="S531" i="3"/>
  <c r="L524" i="3"/>
  <c r="M523" i="3"/>
  <c r="I508" i="3"/>
  <c r="J507" i="3"/>
  <c r="S499" i="3"/>
  <c r="R500" i="3"/>
  <c r="L492" i="3"/>
  <c r="M491" i="3"/>
  <c r="I476" i="3"/>
  <c r="J475" i="3"/>
  <c r="O468" i="3"/>
  <c r="P467" i="3"/>
  <c r="S459" i="3"/>
  <c r="R460" i="3"/>
  <c r="F444" i="3"/>
  <c r="G443" i="3"/>
  <c r="P435" i="3"/>
  <c r="O436" i="3"/>
  <c r="S427" i="3"/>
  <c r="R428" i="3"/>
  <c r="J411" i="3"/>
  <c r="I412" i="3"/>
  <c r="J403" i="3"/>
  <c r="I404" i="3"/>
  <c r="D395" i="3"/>
  <c r="C396" i="3"/>
  <c r="L380" i="3"/>
  <c r="M379" i="3"/>
  <c r="J371" i="3"/>
  <c r="I372" i="3"/>
  <c r="D363" i="3"/>
  <c r="C364" i="3"/>
  <c r="O348" i="3"/>
  <c r="P347" i="3"/>
  <c r="S339" i="3"/>
  <c r="R340" i="3"/>
  <c r="M331" i="3"/>
  <c r="L332" i="3"/>
  <c r="O316" i="3"/>
  <c r="P315" i="3"/>
  <c r="S307" i="3"/>
  <c r="R308" i="3"/>
  <c r="M299" i="3"/>
  <c r="L300" i="3"/>
  <c r="O284" i="3"/>
  <c r="P283" i="3"/>
  <c r="S275" i="3"/>
  <c r="R276" i="3"/>
  <c r="M267" i="3"/>
  <c r="L268" i="3"/>
  <c r="O252" i="3"/>
  <c r="P251" i="3"/>
  <c r="S243" i="3"/>
  <c r="R244" i="3"/>
  <c r="M235" i="3"/>
  <c r="L236" i="3"/>
  <c r="I220" i="3"/>
  <c r="J219" i="3"/>
  <c r="M211" i="3"/>
  <c r="L212" i="3"/>
  <c r="P203" i="3"/>
  <c r="O204" i="3"/>
  <c r="I188" i="3"/>
  <c r="J187" i="3"/>
  <c r="M179" i="3"/>
  <c r="L180" i="3"/>
  <c r="P171" i="3"/>
  <c r="O172" i="3"/>
  <c r="I156" i="3"/>
  <c r="J155" i="3"/>
  <c r="M147" i="3"/>
  <c r="L148" i="3"/>
  <c r="P139" i="3"/>
  <c r="O140" i="3"/>
  <c r="M992" i="3"/>
  <c r="L993" i="3"/>
  <c r="R985" i="3"/>
  <c r="S984" i="3"/>
  <c r="P968" i="3"/>
  <c r="O969" i="3"/>
  <c r="F961" i="3"/>
  <c r="G960" i="3"/>
  <c r="G952" i="3"/>
  <c r="F953" i="3"/>
  <c r="F937" i="3"/>
  <c r="G936" i="3"/>
  <c r="I929" i="3"/>
  <c r="J928" i="3"/>
  <c r="D920" i="3"/>
  <c r="C921" i="3"/>
  <c r="R905" i="3"/>
  <c r="S904" i="3"/>
  <c r="C897" i="3"/>
  <c r="D896" i="3"/>
  <c r="I889" i="3"/>
  <c r="J888" i="3"/>
  <c r="C873" i="3"/>
  <c r="D872" i="3"/>
  <c r="L865" i="3"/>
  <c r="M864" i="3"/>
  <c r="P856" i="3"/>
  <c r="O857" i="3"/>
  <c r="C841" i="3"/>
  <c r="D840" i="3"/>
  <c r="L833" i="3"/>
  <c r="M832" i="3"/>
  <c r="P824" i="3"/>
  <c r="O825" i="3"/>
  <c r="F809" i="3"/>
  <c r="G808" i="3"/>
  <c r="J800" i="3"/>
  <c r="I801" i="3"/>
  <c r="C793" i="3"/>
  <c r="D792" i="3"/>
  <c r="F777" i="3"/>
  <c r="G776" i="3"/>
  <c r="J768" i="3"/>
  <c r="I769" i="3"/>
  <c r="C761" i="3"/>
  <c r="D760" i="3"/>
  <c r="F745" i="3"/>
  <c r="G744" i="3"/>
  <c r="O737" i="3"/>
  <c r="P736" i="3"/>
  <c r="S728" i="3"/>
  <c r="R729" i="3"/>
  <c r="F713" i="3"/>
  <c r="G712" i="3"/>
  <c r="O705" i="3"/>
  <c r="P704" i="3"/>
  <c r="S696" i="3"/>
  <c r="R697" i="3"/>
  <c r="L681" i="3"/>
  <c r="M680" i="3"/>
  <c r="O673" i="3"/>
  <c r="P672" i="3"/>
  <c r="C665" i="3"/>
  <c r="D664" i="3"/>
  <c r="F649" i="3"/>
  <c r="G648" i="3"/>
  <c r="J640" i="3"/>
  <c r="I641" i="3"/>
  <c r="C633" i="3"/>
  <c r="D632" i="3"/>
  <c r="F617" i="3"/>
  <c r="G616" i="3"/>
  <c r="J608" i="3"/>
  <c r="I609" i="3"/>
  <c r="C601" i="3"/>
  <c r="D600" i="3"/>
  <c r="C585" i="3"/>
  <c r="D584" i="3"/>
  <c r="F577" i="3"/>
  <c r="G576" i="3"/>
  <c r="I569" i="3"/>
  <c r="J568" i="3"/>
  <c r="C553" i="3"/>
  <c r="D552" i="3"/>
  <c r="F545" i="3"/>
  <c r="G544" i="3"/>
  <c r="I537" i="3"/>
  <c r="J536" i="3"/>
  <c r="O521" i="3"/>
  <c r="P520" i="3"/>
  <c r="I513" i="3"/>
  <c r="J512" i="3"/>
  <c r="M504" i="3"/>
  <c r="L505" i="3"/>
  <c r="O489" i="3"/>
  <c r="P488" i="3"/>
  <c r="I481" i="3"/>
  <c r="J480" i="3"/>
  <c r="M472" i="3"/>
  <c r="L473" i="3"/>
  <c r="O457" i="3"/>
  <c r="P456" i="3"/>
  <c r="F449" i="3"/>
  <c r="G448" i="3"/>
  <c r="R441" i="3"/>
  <c r="S440" i="3"/>
  <c r="O425" i="3"/>
  <c r="P424" i="3"/>
  <c r="G416" i="3"/>
  <c r="F417" i="3"/>
  <c r="C409" i="3"/>
  <c r="D408" i="3"/>
  <c r="F393" i="3"/>
  <c r="G392" i="3"/>
  <c r="J384" i="3"/>
  <c r="I385" i="3"/>
  <c r="C377" i="3"/>
  <c r="D376" i="3"/>
  <c r="F361" i="3"/>
  <c r="G360" i="3"/>
  <c r="O353" i="3"/>
  <c r="P352" i="3"/>
  <c r="D344" i="3"/>
  <c r="C345" i="3"/>
  <c r="F329" i="3"/>
  <c r="G328" i="3"/>
  <c r="O321" i="3"/>
  <c r="P320" i="3"/>
  <c r="D312" i="3"/>
  <c r="C313" i="3"/>
  <c r="F297" i="3"/>
  <c r="G296" i="3"/>
  <c r="O289" i="3"/>
  <c r="P288" i="3"/>
  <c r="D280" i="3"/>
  <c r="C281" i="3"/>
  <c r="F265" i="3"/>
  <c r="G264" i="3"/>
  <c r="O257" i="3"/>
  <c r="P256" i="3"/>
  <c r="D248" i="3"/>
  <c r="C249" i="3"/>
  <c r="F233" i="3"/>
  <c r="G232" i="3"/>
  <c r="R225" i="3"/>
  <c r="S224" i="3"/>
  <c r="G216" i="3"/>
  <c r="F217" i="3"/>
  <c r="I201" i="3"/>
  <c r="J200" i="3"/>
  <c r="R193" i="3"/>
  <c r="S192" i="3"/>
  <c r="G184" i="3"/>
  <c r="F185" i="3"/>
  <c r="I169" i="3"/>
  <c r="J168" i="3"/>
  <c r="R161" i="3"/>
  <c r="S160" i="3"/>
  <c r="G152" i="3"/>
  <c r="F153" i="3"/>
  <c r="I137" i="3"/>
  <c r="J136" i="3"/>
  <c r="L134" i="3"/>
  <c r="M133" i="3"/>
  <c r="D129" i="3"/>
  <c r="C130" i="3"/>
  <c r="M121" i="3"/>
  <c r="L122" i="3"/>
  <c r="G117" i="3"/>
  <c r="F118" i="3"/>
  <c r="F110" i="3"/>
  <c r="G109" i="3"/>
  <c r="M105" i="3"/>
  <c r="L106" i="3"/>
  <c r="I98" i="3"/>
  <c r="J97" i="3"/>
  <c r="J93" i="3"/>
  <c r="I94" i="3"/>
  <c r="O90" i="3"/>
  <c r="P89" i="3"/>
  <c r="C82" i="3"/>
  <c r="D81" i="3"/>
  <c r="C78" i="3"/>
  <c r="D77" i="3"/>
  <c r="R998" i="3"/>
  <c r="S997" i="3"/>
  <c r="M989" i="3"/>
  <c r="L990" i="3"/>
  <c r="S973" i="3"/>
  <c r="R974" i="3"/>
  <c r="I966" i="3"/>
  <c r="J965" i="3"/>
  <c r="D957" i="3"/>
  <c r="C958" i="3"/>
  <c r="I942" i="3"/>
  <c r="J941" i="3"/>
  <c r="S933" i="3"/>
  <c r="R934" i="3"/>
  <c r="M925" i="3"/>
  <c r="L926" i="3"/>
  <c r="C910" i="3"/>
  <c r="D909" i="3"/>
  <c r="L902" i="3"/>
  <c r="M901" i="3"/>
  <c r="P893" i="3"/>
  <c r="O894" i="3"/>
  <c r="L878" i="3"/>
  <c r="M877" i="3"/>
  <c r="F870" i="3"/>
  <c r="G869" i="3"/>
  <c r="R862" i="3"/>
  <c r="S861" i="3"/>
  <c r="C846" i="3"/>
  <c r="D845" i="3"/>
  <c r="P837" i="3"/>
  <c r="O838" i="3"/>
  <c r="R830" i="3"/>
  <c r="S829" i="3"/>
  <c r="F814" i="3"/>
  <c r="G813" i="3"/>
  <c r="S805" i="3"/>
  <c r="R806" i="3"/>
  <c r="L798" i="3"/>
  <c r="M797" i="3"/>
  <c r="F782" i="3"/>
  <c r="G781" i="3"/>
  <c r="S773" i="3"/>
  <c r="R774" i="3"/>
  <c r="L766" i="3"/>
  <c r="M765" i="3"/>
  <c r="F750" i="3"/>
  <c r="G749" i="3"/>
  <c r="S741" i="3"/>
  <c r="R742" i="3"/>
  <c r="L734" i="3"/>
  <c r="M733" i="3"/>
  <c r="F718" i="3"/>
  <c r="G717" i="3"/>
  <c r="S709" i="3"/>
  <c r="R710" i="3"/>
  <c r="L702" i="3"/>
  <c r="M701" i="3"/>
  <c r="O686" i="3"/>
  <c r="P685" i="3"/>
  <c r="S677" i="3"/>
  <c r="R678" i="3"/>
  <c r="L670" i="3"/>
  <c r="M669" i="3"/>
  <c r="O654" i="3"/>
  <c r="P653" i="3"/>
  <c r="S645" i="3"/>
  <c r="R646" i="3"/>
  <c r="L638" i="3"/>
  <c r="M637" i="3"/>
  <c r="O622" i="3"/>
  <c r="P621" i="3"/>
  <c r="S613" i="3"/>
  <c r="R614" i="3"/>
  <c r="L606" i="3"/>
  <c r="M605" i="3"/>
  <c r="F590" i="3"/>
  <c r="G589" i="3"/>
  <c r="J581" i="3"/>
  <c r="I582" i="3"/>
  <c r="C574" i="3"/>
  <c r="D573" i="3"/>
  <c r="F558" i="3"/>
  <c r="G557" i="3"/>
  <c r="J549" i="3"/>
  <c r="I550" i="3"/>
  <c r="D541" i="3"/>
  <c r="C542" i="3"/>
  <c r="I526" i="3"/>
  <c r="J525" i="3"/>
  <c r="M517" i="3"/>
  <c r="L518" i="3"/>
  <c r="P509" i="3"/>
  <c r="O510" i="3"/>
  <c r="I494" i="3"/>
  <c r="J493" i="3"/>
  <c r="M485" i="3"/>
  <c r="L486" i="3"/>
  <c r="P477" i="3"/>
  <c r="O478" i="3"/>
  <c r="O462" i="3"/>
  <c r="P461" i="3"/>
  <c r="S453" i="3"/>
  <c r="R454" i="3"/>
  <c r="M445" i="3"/>
  <c r="L446" i="3"/>
  <c r="O430" i="3"/>
  <c r="P429" i="3"/>
  <c r="S421" i="3"/>
  <c r="R422" i="3"/>
  <c r="M413" i="3"/>
  <c r="L414" i="3"/>
  <c r="I398" i="3"/>
  <c r="J397" i="3"/>
  <c r="S389" i="3"/>
  <c r="R390" i="3"/>
  <c r="L382" i="3"/>
  <c r="M381" i="3"/>
  <c r="I366" i="3"/>
  <c r="J365" i="3"/>
  <c r="D357" i="3"/>
  <c r="C358" i="3"/>
  <c r="G349" i="3"/>
  <c r="F350" i="3"/>
  <c r="R334" i="3"/>
  <c r="S333" i="3"/>
  <c r="D325" i="3"/>
  <c r="C326" i="3"/>
  <c r="G317" i="3"/>
  <c r="F318" i="3"/>
  <c r="R302" i="3"/>
  <c r="S301" i="3"/>
  <c r="D293" i="3"/>
  <c r="C294" i="3"/>
  <c r="G285" i="3"/>
  <c r="F286" i="3"/>
  <c r="R270" i="3"/>
  <c r="S269" i="3"/>
  <c r="D261" i="3"/>
  <c r="C262" i="3"/>
  <c r="G253" i="3"/>
  <c r="F254" i="3"/>
  <c r="R238" i="3"/>
  <c r="S237" i="3"/>
  <c r="I230" i="3"/>
  <c r="J229" i="3"/>
  <c r="J221" i="3"/>
  <c r="I222" i="3"/>
  <c r="C206" i="3"/>
  <c r="D205" i="3"/>
  <c r="G197" i="3"/>
  <c r="F198" i="3"/>
  <c r="J189" i="3"/>
  <c r="I190" i="3"/>
  <c r="C174" i="3"/>
  <c r="D173" i="3"/>
  <c r="G165" i="3"/>
  <c r="F166" i="3"/>
  <c r="J157" i="3"/>
  <c r="I158" i="3"/>
  <c r="C142" i="3"/>
  <c r="D141" i="3"/>
  <c r="S115" i="3"/>
  <c r="R116" i="3"/>
  <c r="L995" i="3"/>
  <c r="M994" i="3"/>
  <c r="J986" i="3"/>
  <c r="I987" i="3"/>
  <c r="L979" i="3"/>
  <c r="M978" i="3"/>
  <c r="L963" i="3"/>
  <c r="M962" i="3"/>
  <c r="J954" i="3"/>
  <c r="I955" i="3"/>
  <c r="G946" i="3"/>
  <c r="F947" i="3"/>
  <c r="R931" i="3"/>
  <c r="S930" i="3"/>
  <c r="M922" i="3"/>
  <c r="L923" i="3"/>
  <c r="P914" i="3"/>
  <c r="O915" i="3"/>
  <c r="C899" i="3"/>
  <c r="D898" i="3"/>
  <c r="P890" i="3"/>
  <c r="O891" i="3"/>
  <c r="C883" i="3"/>
  <c r="D882" i="3"/>
  <c r="F867" i="3"/>
  <c r="G866" i="3"/>
  <c r="J858" i="3"/>
  <c r="I859" i="3"/>
  <c r="C851" i="3"/>
  <c r="D850" i="3"/>
  <c r="F835" i="3"/>
  <c r="G834" i="3"/>
  <c r="J826" i="3"/>
  <c r="I827" i="3"/>
  <c r="F819" i="3"/>
  <c r="G818" i="3"/>
  <c r="I803" i="3"/>
  <c r="J802" i="3"/>
  <c r="D794" i="3"/>
  <c r="C795" i="3"/>
  <c r="F787" i="3"/>
  <c r="G786" i="3"/>
  <c r="I771" i="3"/>
  <c r="J770" i="3"/>
  <c r="D762" i="3"/>
  <c r="C763" i="3"/>
  <c r="M754" i="3"/>
  <c r="L755" i="3"/>
  <c r="F739" i="3"/>
  <c r="G738" i="3"/>
  <c r="S730" i="3"/>
  <c r="R731" i="3"/>
  <c r="M999" i="3"/>
  <c r="L1000" i="3"/>
  <c r="C984" i="3"/>
  <c r="D983" i="3"/>
  <c r="O976" i="3"/>
  <c r="P975" i="3"/>
  <c r="L968" i="3"/>
  <c r="M967" i="3"/>
  <c r="O952" i="3"/>
  <c r="P951" i="3"/>
  <c r="C944" i="3"/>
  <c r="D943" i="3"/>
  <c r="G935" i="3"/>
  <c r="F936" i="3"/>
  <c r="R920" i="3"/>
  <c r="S919" i="3"/>
  <c r="O912" i="3"/>
  <c r="P911" i="3"/>
  <c r="R904" i="3"/>
  <c r="S903" i="3"/>
  <c r="F888" i="3"/>
  <c r="G887" i="3"/>
  <c r="J879" i="3"/>
  <c r="I880" i="3"/>
  <c r="C872" i="3"/>
  <c r="D871" i="3"/>
  <c r="F856" i="3"/>
  <c r="G855" i="3"/>
  <c r="J847" i="3"/>
  <c r="I848" i="3"/>
  <c r="C840" i="3"/>
  <c r="D839" i="3"/>
  <c r="F824" i="3"/>
  <c r="G823" i="3"/>
  <c r="C816" i="3"/>
  <c r="D815" i="3"/>
  <c r="F808" i="3"/>
  <c r="G807" i="3"/>
  <c r="I792" i="3"/>
  <c r="J791" i="3"/>
  <c r="C784" i="3"/>
  <c r="D783" i="3"/>
  <c r="F776" i="3"/>
  <c r="G775" i="3"/>
  <c r="I760" i="3"/>
  <c r="J759" i="3"/>
  <c r="R752" i="3"/>
  <c r="S751" i="3"/>
  <c r="M743" i="3"/>
  <c r="L744" i="3"/>
  <c r="I728" i="3"/>
  <c r="J727" i="3"/>
  <c r="R720" i="3"/>
  <c r="S719" i="3"/>
  <c r="M711" i="3"/>
  <c r="L712" i="3"/>
  <c r="I696" i="3"/>
  <c r="J695" i="3"/>
  <c r="R688" i="3"/>
  <c r="S687" i="3"/>
  <c r="M679" i="3"/>
  <c r="L680" i="3"/>
  <c r="I664" i="3"/>
  <c r="J663" i="3"/>
  <c r="C656" i="3"/>
  <c r="D655" i="3"/>
  <c r="F648" i="3"/>
  <c r="G647" i="3"/>
  <c r="I632" i="3"/>
  <c r="J631" i="3"/>
  <c r="C624" i="3"/>
  <c r="D623" i="3"/>
  <c r="F616" i="3"/>
  <c r="G615" i="3"/>
  <c r="I600" i="3"/>
  <c r="J599" i="3"/>
  <c r="I592" i="3"/>
  <c r="J591" i="3"/>
  <c r="D583" i="3"/>
  <c r="C584" i="3"/>
  <c r="F568" i="3"/>
  <c r="G567" i="3"/>
  <c r="I560" i="3"/>
  <c r="J559" i="3"/>
  <c r="D551" i="3"/>
  <c r="C552" i="3"/>
  <c r="D535" i="3"/>
  <c r="C536" i="3"/>
  <c r="L528" i="3"/>
  <c r="M527" i="3"/>
  <c r="P519" i="3"/>
  <c r="O520" i="3"/>
  <c r="R504" i="3"/>
  <c r="S503" i="3"/>
  <c r="L496" i="3"/>
  <c r="M495" i="3"/>
  <c r="P487" i="3"/>
  <c r="O488" i="3"/>
  <c r="R472" i="3"/>
  <c r="S471" i="3"/>
  <c r="I464" i="3"/>
  <c r="J463" i="3"/>
  <c r="M455" i="3"/>
  <c r="L456" i="3"/>
  <c r="R440" i="3"/>
  <c r="S439" i="3"/>
  <c r="I432" i="3"/>
  <c r="J431" i="3"/>
  <c r="M423" i="3"/>
  <c r="L424" i="3"/>
  <c r="C408" i="3"/>
  <c r="D407" i="3"/>
  <c r="R400" i="3"/>
  <c r="S399" i="3"/>
  <c r="F392" i="3"/>
  <c r="G391" i="3"/>
  <c r="C376" i="3"/>
  <c r="D375" i="3"/>
  <c r="R368" i="3"/>
  <c r="S367" i="3"/>
  <c r="S359" i="3"/>
  <c r="R360" i="3"/>
  <c r="I344" i="3"/>
  <c r="J343" i="3"/>
  <c r="R336" i="3"/>
  <c r="S335" i="3"/>
  <c r="G327" i="3"/>
  <c r="F328" i="3"/>
  <c r="I312" i="3"/>
  <c r="J311" i="3"/>
  <c r="R304" i="3"/>
  <c r="S303" i="3"/>
  <c r="G295" i="3"/>
  <c r="F296" i="3"/>
  <c r="I280" i="3"/>
  <c r="J279" i="3"/>
  <c r="R272" i="3"/>
  <c r="S271" i="3"/>
  <c r="G263" i="3"/>
  <c r="F264" i="3"/>
  <c r="I248" i="3"/>
  <c r="J247" i="3"/>
  <c r="R240" i="3"/>
  <c r="S239" i="3"/>
  <c r="C232" i="3"/>
  <c r="D231" i="3"/>
  <c r="O216" i="3"/>
  <c r="P215" i="3"/>
  <c r="R208" i="3"/>
  <c r="S207" i="3"/>
  <c r="O192" i="3"/>
  <c r="P191" i="3"/>
  <c r="J183" i="3"/>
  <c r="I184" i="3"/>
  <c r="L168" i="3"/>
  <c r="M167" i="3"/>
  <c r="J159" i="3"/>
  <c r="I160" i="3"/>
  <c r="D151" i="3"/>
  <c r="C152" i="3"/>
  <c r="F136" i="3"/>
  <c r="G135" i="3"/>
  <c r="I997" i="3"/>
  <c r="J996" i="3"/>
  <c r="F989" i="3"/>
  <c r="G988" i="3"/>
  <c r="I981" i="3"/>
  <c r="J980" i="3"/>
  <c r="J964" i="3"/>
  <c r="I965" i="3"/>
  <c r="I957" i="3"/>
  <c r="J956" i="3"/>
  <c r="J948" i="3"/>
  <c r="I949" i="3"/>
  <c r="I933" i="3"/>
  <c r="J932" i="3"/>
  <c r="L925" i="3"/>
  <c r="M924" i="3"/>
  <c r="P916" i="3"/>
  <c r="O917" i="3"/>
  <c r="F901" i="3"/>
  <c r="G900" i="3"/>
  <c r="J892" i="3"/>
  <c r="I893" i="3"/>
  <c r="D884" i="3"/>
  <c r="C885" i="3"/>
  <c r="O869" i="3"/>
  <c r="P868" i="3"/>
  <c r="I861" i="3"/>
  <c r="J860" i="3"/>
  <c r="D852" i="3"/>
  <c r="C853" i="3"/>
  <c r="O837" i="3"/>
  <c r="P836" i="3"/>
  <c r="I829" i="3"/>
  <c r="J828" i="3"/>
  <c r="D820" i="3"/>
  <c r="C821" i="3"/>
  <c r="R805" i="3"/>
  <c r="S804" i="3"/>
  <c r="C797" i="3"/>
  <c r="D796" i="3"/>
  <c r="G788" i="3"/>
  <c r="F789" i="3"/>
  <c r="R773" i="3"/>
  <c r="S772" i="3"/>
  <c r="C765" i="3"/>
  <c r="D764" i="3"/>
  <c r="G756" i="3"/>
  <c r="F757" i="3"/>
  <c r="R741" i="3"/>
  <c r="S740" i="3"/>
  <c r="C733" i="3"/>
  <c r="D732" i="3"/>
  <c r="G724" i="3"/>
  <c r="F725" i="3"/>
  <c r="R709" i="3"/>
  <c r="S708" i="3"/>
  <c r="C701" i="3"/>
  <c r="D700" i="3"/>
  <c r="G692" i="3"/>
  <c r="F693" i="3"/>
  <c r="I677" i="3"/>
  <c r="J676" i="3"/>
  <c r="C669" i="3"/>
  <c r="D668" i="3"/>
  <c r="G660" i="3"/>
  <c r="F661" i="3"/>
  <c r="I645" i="3"/>
  <c r="J644" i="3"/>
  <c r="C637" i="3"/>
  <c r="D636" i="3"/>
  <c r="G628" i="3"/>
  <c r="F629" i="3"/>
  <c r="I613" i="3"/>
  <c r="J612" i="3"/>
  <c r="C605" i="3"/>
  <c r="D604" i="3"/>
  <c r="L597" i="3"/>
  <c r="M596" i="3"/>
  <c r="O581" i="3"/>
  <c r="P580" i="3"/>
  <c r="R573" i="3"/>
  <c r="S572" i="3"/>
  <c r="M564" i="3"/>
  <c r="L565" i="3"/>
  <c r="O549" i="3"/>
  <c r="P548" i="3"/>
  <c r="I541" i="3"/>
  <c r="J540" i="3"/>
  <c r="D532" i="3"/>
  <c r="C533" i="3"/>
  <c r="C517" i="3"/>
  <c r="D516" i="3"/>
  <c r="L509" i="3"/>
  <c r="M508" i="3"/>
  <c r="I501" i="3"/>
  <c r="J500" i="3"/>
  <c r="C485" i="3"/>
  <c r="D484" i="3"/>
  <c r="L477" i="3"/>
  <c r="M476" i="3"/>
  <c r="I469" i="3"/>
  <c r="J468" i="3"/>
  <c r="C453" i="3"/>
  <c r="D452" i="3"/>
  <c r="R445" i="3"/>
  <c r="S444" i="3"/>
  <c r="F437" i="3"/>
  <c r="G436" i="3"/>
  <c r="C421" i="3"/>
  <c r="D420" i="3"/>
  <c r="J412" i="3"/>
  <c r="I413" i="3"/>
  <c r="G404" i="3"/>
  <c r="F405" i="3"/>
  <c r="I389" i="3"/>
  <c r="J388" i="3"/>
  <c r="R381" i="3"/>
  <c r="S380" i="3"/>
  <c r="G372" i="3"/>
  <c r="F373" i="3"/>
  <c r="C357" i="3"/>
  <c r="D356" i="3"/>
  <c r="G348" i="3"/>
  <c r="F349" i="3"/>
  <c r="J340" i="3"/>
  <c r="I341" i="3"/>
  <c r="C325" i="3"/>
  <c r="D324" i="3"/>
  <c r="G316" i="3"/>
  <c r="F317" i="3"/>
  <c r="J308" i="3"/>
  <c r="I309" i="3"/>
  <c r="L293" i="3"/>
  <c r="M292" i="3"/>
  <c r="P284" i="3"/>
  <c r="O285" i="3"/>
  <c r="R269" i="3"/>
  <c r="S268" i="3"/>
  <c r="L261" i="3"/>
  <c r="M260" i="3"/>
  <c r="P252" i="3"/>
  <c r="O253" i="3"/>
  <c r="R237" i="3"/>
  <c r="S236" i="3"/>
  <c r="J228" i="3"/>
  <c r="I229" i="3"/>
  <c r="C221" i="3"/>
  <c r="D220" i="3"/>
  <c r="F205" i="3"/>
  <c r="G204" i="3"/>
  <c r="J196" i="3"/>
  <c r="I197" i="3"/>
  <c r="C189" i="3"/>
  <c r="D188" i="3"/>
  <c r="F173" i="3"/>
  <c r="G172" i="3"/>
  <c r="J164" i="3"/>
  <c r="I165" i="3"/>
  <c r="C157" i="3"/>
  <c r="D156" i="3"/>
  <c r="F141" i="3"/>
  <c r="G140" i="3"/>
  <c r="R132" i="3"/>
  <c r="S131" i="3"/>
  <c r="D127" i="3"/>
  <c r="C128" i="3"/>
  <c r="J119" i="3"/>
  <c r="I120" i="3"/>
  <c r="J115" i="3"/>
  <c r="I116" i="3"/>
  <c r="G107" i="3"/>
  <c r="F108" i="3"/>
  <c r="C100" i="3"/>
  <c r="D99" i="3"/>
  <c r="D95" i="3"/>
  <c r="C96" i="3"/>
  <c r="I88" i="3"/>
  <c r="J87" i="3"/>
  <c r="I84" i="3"/>
  <c r="J83" i="3"/>
  <c r="G75" i="3"/>
  <c r="F76" i="3"/>
  <c r="L144" i="3"/>
  <c r="M143" i="3"/>
  <c r="C690" i="3"/>
  <c r="D689" i="3"/>
  <c r="G681" i="3"/>
  <c r="F682" i="3"/>
  <c r="R610" i="3"/>
  <c r="S609" i="3"/>
  <c r="C578" i="3"/>
  <c r="D577" i="3"/>
  <c r="F562" i="3"/>
  <c r="G561" i="3"/>
  <c r="O530" i="3"/>
  <c r="P529" i="3"/>
  <c r="F522" i="3"/>
  <c r="G521" i="3"/>
  <c r="R506" i="3"/>
  <c r="S505" i="3"/>
  <c r="I434" i="3"/>
  <c r="J433" i="3"/>
  <c r="L410" i="3"/>
  <c r="M409" i="3"/>
  <c r="P361" i="3"/>
  <c r="O362" i="3"/>
  <c r="C298" i="3"/>
  <c r="D297" i="3"/>
  <c r="L282" i="3"/>
  <c r="M281" i="3"/>
  <c r="I258" i="3"/>
  <c r="J257" i="3"/>
  <c r="F210" i="3"/>
  <c r="G209" i="3"/>
  <c r="O178" i="3"/>
  <c r="P177" i="3"/>
  <c r="D153" i="3"/>
  <c r="C154" i="3"/>
  <c r="R706" i="3"/>
  <c r="S705" i="3"/>
  <c r="G617" i="3"/>
  <c r="F618" i="3"/>
  <c r="O594" i="3"/>
  <c r="P593" i="3"/>
  <c r="L514" i="3"/>
  <c r="M513" i="3"/>
  <c r="J497" i="3"/>
  <c r="I498" i="3"/>
  <c r="O442" i="3"/>
  <c r="P441" i="3"/>
  <c r="C402" i="3"/>
  <c r="D401" i="3"/>
  <c r="G393" i="3"/>
  <c r="F394" i="3"/>
  <c r="J385" i="3"/>
  <c r="I386" i="3"/>
  <c r="F354" i="3"/>
  <c r="G353" i="3"/>
  <c r="P345" i="3"/>
  <c r="O346" i="3"/>
  <c r="S321" i="3"/>
  <c r="R322" i="3"/>
  <c r="F266" i="3"/>
  <c r="G265" i="3"/>
  <c r="P241" i="3"/>
  <c r="O242" i="3"/>
  <c r="L226" i="3"/>
  <c r="M225" i="3"/>
  <c r="I194" i="3"/>
  <c r="J193" i="3"/>
  <c r="S161" i="3"/>
  <c r="R162" i="3"/>
  <c r="L146" i="3"/>
  <c r="M145" i="3"/>
  <c r="C113" i="3"/>
  <c r="D112" i="3"/>
  <c r="D993" i="3"/>
  <c r="C994" i="3"/>
  <c r="O978" i="3"/>
  <c r="P977" i="3"/>
  <c r="M969" i="3"/>
  <c r="L970" i="3"/>
  <c r="L962" i="3"/>
  <c r="M961" i="3"/>
  <c r="L946" i="3"/>
  <c r="M945" i="3"/>
  <c r="G937" i="3"/>
  <c r="F938" i="3"/>
  <c r="R930" i="3"/>
  <c r="S929" i="3"/>
  <c r="P913" i="3"/>
  <c r="O914" i="3"/>
  <c r="S905" i="3"/>
  <c r="R906" i="3"/>
  <c r="L898" i="3"/>
  <c r="M897" i="3"/>
  <c r="I882" i="3"/>
  <c r="J881" i="3"/>
  <c r="D873" i="3"/>
  <c r="C874" i="3"/>
  <c r="F866" i="3"/>
  <c r="G865" i="3"/>
  <c r="I850" i="3"/>
  <c r="J849" i="3"/>
  <c r="D841" i="3"/>
  <c r="C842" i="3"/>
  <c r="F834" i="3"/>
  <c r="G833" i="3"/>
  <c r="R818" i="3"/>
  <c r="S817" i="3"/>
  <c r="G809" i="3"/>
  <c r="F810" i="3"/>
  <c r="I802" i="3"/>
  <c r="J801" i="3"/>
  <c r="R786" i="3"/>
  <c r="S785" i="3"/>
  <c r="G777" i="3"/>
  <c r="F778" i="3"/>
  <c r="I770" i="3"/>
  <c r="J769" i="3"/>
  <c r="R754" i="3"/>
  <c r="S753" i="3"/>
  <c r="L746" i="3"/>
  <c r="M745" i="3"/>
  <c r="P737" i="3"/>
  <c r="O738" i="3"/>
  <c r="R722" i="3"/>
  <c r="S721" i="3"/>
  <c r="L714" i="3"/>
  <c r="M713" i="3"/>
  <c r="P697" i="3"/>
  <c r="O698" i="3"/>
  <c r="G665" i="3"/>
  <c r="F666" i="3"/>
  <c r="G649" i="3"/>
  <c r="F650" i="3"/>
  <c r="I642" i="3"/>
  <c r="J641" i="3"/>
  <c r="C626" i="3"/>
  <c r="D625" i="3"/>
  <c r="G601" i="3"/>
  <c r="F602" i="3"/>
  <c r="O570" i="3"/>
  <c r="P569" i="3"/>
  <c r="I538" i="3"/>
  <c r="J537" i="3"/>
  <c r="J489" i="3"/>
  <c r="I490" i="3"/>
  <c r="D473" i="3"/>
  <c r="C474" i="3"/>
  <c r="L458" i="3"/>
  <c r="M457" i="3"/>
  <c r="C450" i="3"/>
  <c r="D449" i="3"/>
  <c r="O426" i="3"/>
  <c r="P425" i="3"/>
  <c r="F338" i="3"/>
  <c r="G337" i="3"/>
  <c r="P329" i="3"/>
  <c r="O330" i="3"/>
  <c r="S313" i="3"/>
  <c r="R314" i="3"/>
  <c r="F234" i="3"/>
  <c r="G233" i="3"/>
  <c r="S201" i="3"/>
  <c r="R202" i="3"/>
  <c r="L186" i="3"/>
  <c r="M185" i="3"/>
  <c r="R167" i="3"/>
  <c r="S166" i="3"/>
  <c r="F699" i="3"/>
  <c r="G698" i="3"/>
  <c r="I691" i="3"/>
  <c r="J690" i="3"/>
  <c r="F619" i="3"/>
  <c r="G618" i="3"/>
  <c r="O595" i="3"/>
  <c r="P594" i="3"/>
  <c r="S586" i="3"/>
  <c r="R587" i="3"/>
  <c r="M538" i="3"/>
  <c r="L539" i="3"/>
  <c r="I515" i="3"/>
  <c r="J514" i="3"/>
  <c r="C507" i="3"/>
  <c r="D506" i="3"/>
  <c r="O475" i="3"/>
  <c r="P474" i="3"/>
  <c r="R403" i="3"/>
  <c r="S402" i="3"/>
  <c r="D394" i="3"/>
  <c r="C395" i="3"/>
  <c r="G378" i="3"/>
  <c r="F379" i="3"/>
  <c r="I291" i="3"/>
  <c r="J290" i="3"/>
  <c r="M250" i="3"/>
  <c r="L251" i="3"/>
  <c r="S226" i="3"/>
  <c r="R227" i="3"/>
  <c r="F171" i="3"/>
  <c r="G170" i="3"/>
  <c r="P162" i="3"/>
  <c r="O163" i="3"/>
  <c r="S138" i="3"/>
  <c r="R139" i="3"/>
  <c r="I77" i="3"/>
  <c r="J76" i="3"/>
  <c r="O643" i="3"/>
  <c r="P642" i="3"/>
  <c r="R627" i="3"/>
  <c r="S626" i="3"/>
  <c r="M610" i="3"/>
  <c r="L611" i="3"/>
  <c r="F571" i="3"/>
  <c r="G570" i="3"/>
  <c r="J546" i="3"/>
  <c r="I547" i="3"/>
  <c r="G522" i="3"/>
  <c r="F523" i="3"/>
  <c r="F459" i="3"/>
  <c r="G458" i="3"/>
  <c r="O451" i="3"/>
  <c r="P450" i="3"/>
  <c r="M370" i="3"/>
  <c r="L371" i="3"/>
  <c r="C315" i="3"/>
  <c r="D314" i="3"/>
  <c r="R299" i="3"/>
  <c r="S298" i="3"/>
  <c r="F283" i="3"/>
  <c r="G282" i="3"/>
  <c r="F133" i="3"/>
  <c r="G132" i="3"/>
  <c r="S124" i="3"/>
  <c r="R125" i="3"/>
  <c r="I117" i="3"/>
  <c r="J116" i="3"/>
  <c r="I715" i="3"/>
  <c r="J714" i="3"/>
  <c r="D682" i="3"/>
  <c r="C683" i="3"/>
  <c r="O651" i="3"/>
  <c r="P650" i="3"/>
  <c r="R635" i="3"/>
  <c r="S634" i="3"/>
  <c r="C563" i="3"/>
  <c r="D562" i="3"/>
  <c r="F467" i="3"/>
  <c r="G466" i="3"/>
  <c r="O443" i="3"/>
  <c r="P442" i="3"/>
  <c r="O419" i="3"/>
  <c r="P418" i="3"/>
  <c r="O363" i="3"/>
  <c r="P362" i="3"/>
  <c r="R339" i="3"/>
  <c r="S338" i="3"/>
  <c r="F331" i="3"/>
  <c r="G330" i="3"/>
  <c r="C219" i="3"/>
  <c r="D218" i="3"/>
  <c r="L211" i="3"/>
  <c r="M210" i="3"/>
  <c r="I187" i="3"/>
  <c r="J186" i="3"/>
  <c r="L113" i="3"/>
  <c r="M112" i="3"/>
  <c r="D108" i="3"/>
  <c r="C109" i="3"/>
  <c r="C89" i="3"/>
  <c r="D88" i="3"/>
  <c r="P80" i="3"/>
  <c r="O81" i="3"/>
  <c r="F707" i="3"/>
  <c r="G706" i="3"/>
  <c r="S674" i="3"/>
  <c r="R675" i="3"/>
  <c r="L667" i="3"/>
  <c r="M666" i="3"/>
  <c r="L491" i="3"/>
  <c r="M490" i="3"/>
  <c r="S434" i="3"/>
  <c r="R435" i="3"/>
  <c r="F411" i="3"/>
  <c r="G410" i="3"/>
  <c r="I275" i="3"/>
  <c r="J274" i="3"/>
  <c r="M266" i="3"/>
  <c r="L267" i="3"/>
  <c r="P258" i="3"/>
  <c r="O259" i="3"/>
  <c r="F203" i="3"/>
  <c r="G202" i="3"/>
  <c r="I179" i="3"/>
  <c r="J178" i="3"/>
  <c r="I129" i="3"/>
  <c r="J128" i="3"/>
  <c r="D120" i="3"/>
  <c r="C121" i="3"/>
  <c r="I97" i="3"/>
  <c r="J96" i="3"/>
  <c r="C73" i="3"/>
  <c r="D72" i="3"/>
  <c r="H63" i="13"/>
  <c r="N63" i="13" s="1"/>
  <c r="H73" i="13"/>
  <c r="N73" i="13" s="1"/>
  <c r="H58" i="13"/>
  <c r="N58" i="13" s="1"/>
  <c r="H74" i="13"/>
  <c r="N74" i="13" s="1"/>
  <c r="C51" i="3"/>
  <c r="C19" i="3"/>
  <c r="D18" i="3"/>
  <c r="T13" i="4"/>
  <c r="O11" i="3"/>
  <c r="P10" i="3"/>
  <c r="P13" i="3"/>
  <c r="M9" i="3"/>
  <c r="L10" i="3"/>
  <c r="D6" i="3"/>
  <c r="C6" i="3"/>
  <c r="D5" i="3"/>
  <c r="Q9" i="4"/>
  <c r="H55" i="3"/>
  <c r="H39" i="3"/>
  <c r="H23" i="3"/>
  <c r="V13" i="4"/>
  <c r="F8" i="3"/>
  <c r="G7" i="3"/>
  <c r="H13" i="4"/>
  <c r="F13" i="3"/>
  <c r="G12" i="3"/>
  <c r="E64" i="3"/>
  <c r="H48" i="3"/>
  <c r="D16" i="3"/>
  <c r="C17" i="3"/>
  <c r="M9" i="4"/>
  <c r="I999" i="3"/>
  <c r="J998" i="3"/>
  <c r="S990" i="3"/>
  <c r="R991" i="3"/>
  <c r="M982" i="3"/>
  <c r="L983" i="3"/>
  <c r="R967" i="3"/>
  <c r="S966" i="3"/>
  <c r="O959" i="3"/>
  <c r="P958" i="3"/>
  <c r="G950" i="3"/>
  <c r="F951" i="3"/>
  <c r="L935" i="3"/>
  <c r="M934" i="3"/>
  <c r="J926" i="3"/>
  <c r="I927" i="3"/>
  <c r="C919" i="3"/>
  <c r="D918" i="3"/>
  <c r="I903" i="3"/>
  <c r="J902" i="3"/>
  <c r="D894" i="3"/>
  <c r="C895" i="3"/>
  <c r="O887" i="3"/>
  <c r="P886" i="3"/>
  <c r="R871" i="3"/>
  <c r="S870" i="3"/>
  <c r="M862" i="3"/>
  <c r="L863" i="3"/>
  <c r="O855" i="3"/>
  <c r="P854" i="3"/>
  <c r="R839" i="3"/>
  <c r="S838" i="3"/>
  <c r="M830" i="3"/>
  <c r="L831" i="3"/>
  <c r="O823" i="3"/>
  <c r="P822" i="3"/>
  <c r="C807" i="3"/>
  <c r="D806" i="3"/>
  <c r="P798" i="3"/>
  <c r="O799" i="3"/>
  <c r="R791" i="3"/>
  <c r="S790" i="3"/>
  <c r="C775" i="3"/>
  <c r="D774" i="3"/>
  <c r="P766" i="3"/>
  <c r="O767" i="3"/>
  <c r="R759" i="3"/>
  <c r="S758" i="3"/>
  <c r="C743" i="3"/>
  <c r="D742" i="3"/>
  <c r="G734" i="3"/>
  <c r="F735" i="3"/>
  <c r="I727" i="3"/>
  <c r="J726" i="3"/>
  <c r="C711" i="3"/>
  <c r="D710" i="3"/>
  <c r="G702" i="3"/>
  <c r="F703" i="3"/>
  <c r="I695" i="3"/>
  <c r="J694" i="3"/>
  <c r="C679" i="3"/>
  <c r="D678" i="3"/>
  <c r="G670" i="3"/>
  <c r="F671" i="3"/>
  <c r="R663" i="3"/>
  <c r="S662" i="3"/>
  <c r="L647" i="3"/>
  <c r="M646" i="3"/>
  <c r="P638" i="3"/>
  <c r="O639" i="3"/>
  <c r="R631" i="3"/>
  <c r="S630" i="3"/>
  <c r="L615" i="3"/>
  <c r="M614" i="3"/>
  <c r="P606" i="3"/>
  <c r="O607" i="3"/>
  <c r="R599" i="3"/>
  <c r="S598" i="3"/>
  <c r="R583" i="3"/>
  <c r="S582" i="3"/>
  <c r="L575" i="3"/>
  <c r="M574" i="3"/>
  <c r="O567" i="3"/>
  <c r="P566" i="3"/>
  <c r="R551" i="3"/>
  <c r="S550" i="3"/>
  <c r="L543" i="3"/>
  <c r="M542" i="3"/>
  <c r="O535" i="3"/>
  <c r="P534" i="3"/>
  <c r="O519" i="3"/>
  <c r="P518" i="3"/>
  <c r="S510" i="3"/>
  <c r="R511" i="3"/>
  <c r="M502" i="3"/>
  <c r="L503" i="3"/>
  <c r="O487" i="3"/>
  <c r="P486" i="3"/>
  <c r="S478" i="3"/>
  <c r="R479" i="3"/>
  <c r="M470" i="3"/>
  <c r="L471" i="3"/>
  <c r="C455" i="3"/>
  <c r="D454" i="3"/>
  <c r="G446" i="3"/>
  <c r="F447" i="3"/>
  <c r="J438" i="3"/>
  <c r="I439" i="3"/>
  <c r="C423" i="3"/>
  <c r="D422" i="3"/>
  <c r="R415" i="3"/>
  <c r="S414" i="3"/>
  <c r="S406" i="3"/>
  <c r="R407" i="3"/>
  <c r="F391" i="3"/>
  <c r="G390" i="3"/>
  <c r="P382" i="3"/>
  <c r="O383" i="3"/>
  <c r="S374" i="3"/>
  <c r="R375" i="3"/>
  <c r="I359" i="3"/>
  <c r="J358" i="3"/>
  <c r="J350" i="3"/>
  <c r="I351" i="3"/>
  <c r="D342" i="3"/>
  <c r="C343" i="3"/>
  <c r="O327" i="3"/>
  <c r="P326" i="3"/>
  <c r="J318" i="3"/>
  <c r="I319" i="3"/>
  <c r="D310" i="3"/>
  <c r="C311" i="3"/>
  <c r="O295" i="3"/>
  <c r="P294" i="3"/>
  <c r="J286" i="3"/>
  <c r="I287" i="3"/>
  <c r="D278" i="3"/>
  <c r="C279" i="3"/>
  <c r="O263" i="3"/>
  <c r="P262" i="3"/>
  <c r="J254" i="3"/>
  <c r="I255" i="3"/>
  <c r="D246" i="3"/>
  <c r="C247" i="3"/>
  <c r="L231" i="3"/>
  <c r="M230" i="3"/>
  <c r="D222" i="3"/>
  <c r="C223" i="3"/>
  <c r="O207" i="3"/>
  <c r="P206" i="3"/>
  <c r="D198" i="3"/>
  <c r="C199" i="3"/>
  <c r="G190" i="3"/>
  <c r="F191" i="3"/>
  <c r="I175" i="3"/>
  <c r="J174" i="3"/>
  <c r="G166" i="3"/>
  <c r="F167" i="3"/>
  <c r="I151" i="3"/>
  <c r="J150" i="3"/>
  <c r="M142" i="3"/>
  <c r="L143" i="3"/>
  <c r="L131" i="3"/>
  <c r="M130" i="3"/>
  <c r="M126" i="3"/>
  <c r="L127" i="3"/>
  <c r="R119" i="3"/>
  <c r="S118" i="3"/>
  <c r="S114" i="3"/>
  <c r="R115" i="3"/>
  <c r="F107" i="3"/>
  <c r="G106" i="3"/>
  <c r="L103" i="3"/>
  <c r="M102" i="3"/>
  <c r="L99" i="3"/>
  <c r="M98" i="3"/>
  <c r="J90" i="3"/>
  <c r="I91" i="3"/>
  <c r="O87" i="3"/>
  <c r="P86" i="3"/>
  <c r="C79" i="3"/>
  <c r="D78" i="3"/>
  <c r="C75" i="3"/>
  <c r="D74" i="3"/>
  <c r="D995" i="3"/>
  <c r="C996" i="3"/>
  <c r="S987" i="3"/>
  <c r="R988" i="3"/>
  <c r="D979" i="3"/>
  <c r="C980" i="3"/>
  <c r="J963" i="3"/>
  <c r="I964" i="3"/>
  <c r="M955" i="3"/>
  <c r="L956" i="3"/>
  <c r="L948" i="3"/>
  <c r="M947" i="3"/>
  <c r="F932" i="3"/>
  <c r="G931" i="3"/>
  <c r="J923" i="3"/>
  <c r="I924" i="3"/>
  <c r="S915" i="3"/>
  <c r="R916" i="3"/>
  <c r="I900" i="3"/>
  <c r="J899" i="3"/>
  <c r="C892" i="3"/>
  <c r="D891" i="3"/>
  <c r="G883" i="3"/>
  <c r="F884" i="3"/>
  <c r="R868" i="3"/>
  <c r="S867" i="3"/>
  <c r="C860" i="3"/>
  <c r="D859" i="3"/>
  <c r="G851" i="3"/>
  <c r="F852" i="3"/>
  <c r="R836" i="3"/>
  <c r="S835" i="3"/>
  <c r="C828" i="3"/>
  <c r="D827" i="3"/>
  <c r="G819" i="3"/>
  <c r="F820" i="3"/>
  <c r="L804" i="3"/>
  <c r="M803" i="3"/>
  <c r="O796" i="3"/>
  <c r="P795" i="3"/>
  <c r="R788" i="3"/>
  <c r="S787" i="3"/>
  <c r="L772" i="3"/>
  <c r="M771" i="3"/>
  <c r="O764" i="3"/>
  <c r="P763" i="3"/>
  <c r="R756" i="3"/>
  <c r="S755" i="3"/>
  <c r="L740" i="3"/>
  <c r="M739" i="3"/>
  <c r="F732" i="3"/>
  <c r="G731" i="3"/>
  <c r="J723" i="3"/>
  <c r="I724" i="3"/>
  <c r="L708" i="3"/>
  <c r="M707" i="3"/>
  <c r="F700" i="3"/>
  <c r="G699" i="3"/>
  <c r="J691" i="3"/>
  <c r="I692" i="3"/>
  <c r="C676" i="3"/>
  <c r="D675" i="3"/>
  <c r="F668" i="3"/>
  <c r="G667" i="3"/>
  <c r="R660" i="3"/>
  <c r="S659" i="3"/>
  <c r="L644" i="3"/>
  <c r="M643" i="3"/>
  <c r="O636" i="3"/>
  <c r="P635" i="3"/>
  <c r="R628" i="3"/>
  <c r="S627" i="3"/>
  <c r="L612" i="3"/>
  <c r="M611" i="3"/>
  <c r="O604" i="3"/>
  <c r="P603" i="3"/>
  <c r="P595" i="3"/>
  <c r="O596" i="3"/>
  <c r="R580" i="3"/>
  <c r="S579" i="3"/>
  <c r="L572" i="3"/>
  <c r="M571" i="3"/>
  <c r="P563" i="3"/>
  <c r="O564" i="3"/>
  <c r="R548" i="3"/>
  <c r="S547" i="3"/>
  <c r="L540" i="3"/>
  <c r="M539" i="3"/>
  <c r="D531" i="3"/>
  <c r="C532" i="3"/>
  <c r="F516" i="3"/>
  <c r="G515" i="3"/>
  <c r="O508" i="3"/>
  <c r="P507" i="3"/>
  <c r="D499" i="3"/>
  <c r="C500" i="3"/>
  <c r="F484" i="3"/>
  <c r="G483" i="3"/>
  <c r="O476" i="3"/>
  <c r="P475" i="3"/>
  <c r="S467" i="3"/>
  <c r="R468" i="3"/>
  <c r="F452" i="3"/>
  <c r="G451" i="3"/>
  <c r="L444" i="3"/>
  <c r="M443" i="3"/>
  <c r="I436" i="3"/>
  <c r="J435" i="3"/>
  <c r="F420" i="3"/>
  <c r="G419" i="3"/>
  <c r="L412" i="3"/>
  <c r="M411" i="3"/>
  <c r="R404" i="3"/>
  <c r="S403" i="3"/>
  <c r="L388" i="3"/>
  <c r="M387" i="3"/>
  <c r="F380" i="3"/>
  <c r="G379" i="3"/>
  <c r="R372" i="3"/>
  <c r="S371" i="3"/>
  <c r="F356" i="3"/>
  <c r="G355" i="3"/>
  <c r="J347" i="3"/>
  <c r="I348" i="3"/>
  <c r="C340" i="3"/>
  <c r="D339" i="3"/>
  <c r="F324" i="3"/>
  <c r="G323" i="3"/>
  <c r="J315" i="3"/>
  <c r="I316" i="3"/>
  <c r="C308" i="3"/>
  <c r="D307" i="3"/>
  <c r="F292" i="3"/>
  <c r="G291" i="3"/>
  <c r="J283" i="3"/>
  <c r="I284" i="3"/>
  <c r="C276" i="3"/>
  <c r="D275" i="3"/>
  <c r="F260" i="3"/>
  <c r="G259" i="3"/>
  <c r="J251" i="3"/>
  <c r="I252" i="3"/>
  <c r="C244" i="3"/>
  <c r="D243" i="3"/>
  <c r="C228" i="3"/>
  <c r="D227" i="3"/>
  <c r="R220" i="3"/>
  <c r="S219" i="3"/>
  <c r="F212" i="3"/>
  <c r="G211" i="3"/>
  <c r="C196" i="3"/>
  <c r="D195" i="3"/>
  <c r="R188" i="3"/>
  <c r="S187" i="3"/>
  <c r="F180" i="3"/>
  <c r="G179" i="3"/>
  <c r="C164" i="3"/>
  <c r="D163" i="3"/>
  <c r="R156" i="3"/>
  <c r="S155" i="3"/>
  <c r="F148" i="3"/>
  <c r="G147" i="3"/>
  <c r="R293" i="3"/>
  <c r="S292" i="3"/>
  <c r="J992" i="3"/>
  <c r="I993" i="3"/>
  <c r="F985" i="3"/>
  <c r="G984" i="3"/>
  <c r="G968" i="3"/>
  <c r="F969" i="3"/>
  <c r="J960" i="3"/>
  <c r="I961" i="3"/>
  <c r="L953" i="3"/>
  <c r="M952" i="3"/>
  <c r="J936" i="3"/>
  <c r="I937" i="3"/>
  <c r="S928" i="3"/>
  <c r="R929" i="3"/>
  <c r="L921" i="3"/>
  <c r="M920" i="3"/>
  <c r="I905" i="3"/>
  <c r="J904" i="3"/>
  <c r="L897" i="3"/>
  <c r="M896" i="3"/>
  <c r="O889" i="3"/>
  <c r="P888" i="3"/>
  <c r="R873" i="3"/>
  <c r="S872" i="3"/>
  <c r="G864" i="3"/>
  <c r="F865" i="3"/>
  <c r="I857" i="3"/>
  <c r="J856" i="3"/>
  <c r="R841" i="3"/>
  <c r="S840" i="3"/>
  <c r="G832" i="3"/>
  <c r="F833" i="3"/>
  <c r="I825" i="3"/>
  <c r="J824" i="3"/>
  <c r="O809" i="3"/>
  <c r="P808" i="3"/>
  <c r="S800" i="3"/>
  <c r="R801" i="3"/>
  <c r="L793" i="3"/>
  <c r="M792" i="3"/>
  <c r="O777" i="3"/>
  <c r="P776" i="3"/>
  <c r="S768" i="3"/>
  <c r="R769" i="3"/>
  <c r="L761" i="3"/>
  <c r="M760" i="3"/>
  <c r="L745" i="3"/>
  <c r="M744" i="3"/>
  <c r="J736" i="3"/>
  <c r="I737" i="3"/>
  <c r="C729" i="3"/>
  <c r="D728" i="3"/>
  <c r="L713" i="3"/>
  <c r="M712" i="3"/>
  <c r="J704" i="3"/>
  <c r="I705" i="3"/>
  <c r="C697" i="3"/>
  <c r="D696" i="3"/>
  <c r="F681" i="3"/>
  <c r="G680" i="3"/>
  <c r="J672" i="3"/>
  <c r="I673" i="3"/>
  <c r="L665" i="3"/>
  <c r="M664" i="3"/>
  <c r="O649" i="3"/>
  <c r="P648" i="3"/>
  <c r="S640" i="3"/>
  <c r="R641" i="3"/>
  <c r="L633" i="3"/>
  <c r="M632" i="3"/>
  <c r="O617" i="3"/>
  <c r="P616" i="3"/>
  <c r="S608" i="3"/>
  <c r="R609" i="3"/>
  <c r="L601" i="3"/>
  <c r="M600" i="3"/>
  <c r="L585" i="3"/>
  <c r="M584" i="3"/>
  <c r="P576" i="3"/>
  <c r="O577" i="3"/>
  <c r="R569" i="3"/>
  <c r="S568" i="3"/>
  <c r="L553" i="3"/>
  <c r="M552" i="3"/>
  <c r="P544" i="3"/>
  <c r="O545" i="3"/>
  <c r="S536" i="3"/>
  <c r="R537" i="3"/>
  <c r="R521" i="3"/>
  <c r="S520" i="3"/>
  <c r="D512" i="3"/>
  <c r="C513" i="3"/>
  <c r="G504" i="3"/>
  <c r="F505" i="3"/>
  <c r="R489" i="3"/>
  <c r="S488" i="3"/>
  <c r="D480" i="3"/>
  <c r="C481" i="3"/>
  <c r="G472" i="3"/>
  <c r="F473" i="3"/>
  <c r="L457" i="3"/>
  <c r="M456" i="3"/>
  <c r="J448" i="3"/>
  <c r="I449" i="3"/>
  <c r="D440" i="3"/>
  <c r="C441" i="3"/>
  <c r="L425" i="3"/>
  <c r="M424" i="3"/>
  <c r="R417" i="3"/>
  <c r="S416" i="3"/>
  <c r="M408" i="3"/>
  <c r="L409" i="3"/>
  <c r="O393" i="3"/>
  <c r="P392" i="3"/>
  <c r="S384" i="3"/>
  <c r="R385" i="3"/>
  <c r="M376" i="3"/>
  <c r="L377" i="3"/>
  <c r="L361" i="3"/>
  <c r="M360" i="3"/>
  <c r="S352" i="3"/>
  <c r="R353" i="3"/>
  <c r="L345" i="3"/>
  <c r="M344" i="3"/>
  <c r="I329" i="3"/>
  <c r="J328" i="3"/>
  <c r="S320" i="3"/>
  <c r="R321" i="3"/>
  <c r="L313" i="3"/>
  <c r="M312" i="3"/>
  <c r="I297" i="3"/>
  <c r="J296" i="3"/>
  <c r="S288" i="3"/>
  <c r="R289" i="3"/>
  <c r="L281" i="3"/>
  <c r="M280" i="3"/>
  <c r="I265" i="3"/>
  <c r="J264" i="3"/>
  <c r="S256" i="3"/>
  <c r="R257" i="3"/>
  <c r="L249" i="3"/>
  <c r="M248" i="3"/>
  <c r="I233" i="3"/>
  <c r="J232" i="3"/>
  <c r="C225" i="3"/>
  <c r="D224" i="3"/>
  <c r="O217" i="3"/>
  <c r="P216" i="3"/>
  <c r="L201" i="3"/>
  <c r="M200" i="3"/>
  <c r="C193" i="3"/>
  <c r="D192" i="3"/>
  <c r="O185" i="3"/>
  <c r="P184" i="3"/>
  <c r="L169" i="3"/>
  <c r="M168" i="3"/>
  <c r="C161" i="3"/>
  <c r="D160" i="3"/>
  <c r="O153" i="3"/>
  <c r="P152" i="3"/>
  <c r="L137" i="3"/>
  <c r="M136" i="3"/>
  <c r="G133" i="3"/>
  <c r="F134" i="3"/>
  <c r="L130" i="3"/>
  <c r="M129" i="3"/>
  <c r="D121" i="3"/>
  <c r="C122" i="3"/>
  <c r="J117" i="3"/>
  <c r="I118" i="3"/>
  <c r="O110" i="3"/>
  <c r="P109" i="3"/>
  <c r="F106" i="3"/>
  <c r="G105" i="3"/>
  <c r="R98" i="3"/>
  <c r="S97" i="3"/>
  <c r="R94" i="3"/>
  <c r="S93" i="3"/>
  <c r="F86" i="3"/>
  <c r="G85" i="3"/>
  <c r="M81" i="3"/>
  <c r="L82" i="3"/>
  <c r="I74" i="3"/>
  <c r="J73" i="3"/>
  <c r="J997" i="3"/>
  <c r="I998" i="3"/>
  <c r="P989" i="3"/>
  <c r="O990" i="3"/>
  <c r="L974" i="3"/>
  <c r="M973" i="3"/>
  <c r="R966" i="3"/>
  <c r="S965" i="3"/>
  <c r="L958" i="3"/>
  <c r="M957" i="3"/>
  <c r="O942" i="3"/>
  <c r="P941" i="3"/>
  <c r="I934" i="3"/>
  <c r="J933" i="3"/>
  <c r="F926" i="3"/>
  <c r="G925" i="3"/>
  <c r="R910" i="3"/>
  <c r="S909" i="3"/>
  <c r="G901" i="3"/>
  <c r="F902" i="3"/>
  <c r="I894" i="3"/>
  <c r="J893" i="3"/>
  <c r="C878" i="3"/>
  <c r="D877" i="3"/>
  <c r="P869" i="3"/>
  <c r="O870" i="3"/>
  <c r="L854" i="3"/>
  <c r="M853" i="3"/>
  <c r="F846" i="3"/>
  <c r="G845" i="3"/>
  <c r="I838" i="3"/>
  <c r="J837" i="3"/>
  <c r="L822" i="3"/>
  <c r="M821" i="3"/>
  <c r="I814" i="3"/>
  <c r="J813" i="3"/>
  <c r="D805" i="3"/>
  <c r="C806" i="3"/>
  <c r="O790" i="3"/>
  <c r="P789" i="3"/>
  <c r="I782" i="3"/>
  <c r="J781" i="3"/>
  <c r="D773" i="3"/>
  <c r="C774" i="3"/>
  <c r="O758" i="3"/>
  <c r="P757" i="3"/>
  <c r="J749" i="3"/>
  <c r="I750" i="3"/>
  <c r="D741" i="3"/>
  <c r="C742" i="3"/>
  <c r="F726" i="3"/>
  <c r="G725" i="3"/>
  <c r="J717" i="3"/>
  <c r="I718" i="3"/>
  <c r="D709" i="3"/>
  <c r="C710" i="3"/>
  <c r="F694" i="3"/>
  <c r="G693" i="3"/>
  <c r="J685" i="3"/>
  <c r="I686" i="3"/>
  <c r="C678" i="3"/>
  <c r="D677" i="3"/>
  <c r="F662" i="3"/>
  <c r="G661" i="3"/>
  <c r="I654" i="3"/>
  <c r="J653" i="3"/>
  <c r="D645" i="3"/>
  <c r="C646" i="3"/>
  <c r="F630" i="3"/>
  <c r="G629" i="3"/>
  <c r="I622" i="3"/>
  <c r="J621" i="3"/>
  <c r="D613" i="3"/>
  <c r="C614" i="3"/>
  <c r="D597" i="3"/>
  <c r="C598" i="3"/>
  <c r="O590" i="3"/>
  <c r="P589" i="3"/>
  <c r="R582" i="3"/>
  <c r="S581" i="3"/>
  <c r="L566" i="3"/>
  <c r="M565" i="3"/>
  <c r="O558" i="3"/>
  <c r="P557" i="3"/>
  <c r="R550" i="3"/>
  <c r="S549" i="3"/>
  <c r="L534" i="3"/>
  <c r="M533" i="3"/>
  <c r="R526" i="3"/>
  <c r="S525" i="3"/>
  <c r="F518" i="3"/>
  <c r="G517" i="3"/>
  <c r="C502" i="3"/>
  <c r="D501" i="3"/>
  <c r="R494" i="3"/>
  <c r="S493" i="3"/>
  <c r="F486" i="3"/>
  <c r="G485" i="3"/>
  <c r="C470" i="3"/>
  <c r="D469" i="3"/>
  <c r="J461" i="3"/>
  <c r="I462" i="3"/>
  <c r="C454" i="3"/>
  <c r="D453" i="3"/>
  <c r="F438" i="3"/>
  <c r="G437" i="3"/>
  <c r="J429" i="3"/>
  <c r="I430" i="3"/>
  <c r="C422" i="3"/>
  <c r="D421" i="3"/>
  <c r="F406" i="3"/>
  <c r="G405" i="3"/>
  <c r="O398" i="3"/>
  <c r="P397" i="3"/>
  <c r="D389" i="3"/>
  <c r="C390" i="3"/>
  <c r="F374" i="3"/>
  <c r="G373" i="3"/>
  <c r="O366" i="3"/>
  <c r="P365" i="3"/>
  <c r="M357" i="3"/>
  <c r="L358" i="3"/>
  <c r="O342" i="3"/>
  <c r="P341" i="3"/>
  <c r="I334" i="3"/>
  <c r="J333" i="3"/>
  <c r="M325" i="3"/>
  <c r="L326" i="3"/>
  <c r="O310" i="3"/>
  <c r="P309" i="3"/>
  <c r="I302" i="3"/>
  <c r="J301" i="3"/>
  <c r="M293" i="3"/>
  <c r="L294" i="3"/>
  <c r="O278" i="3"/>
  <c r="P277" i="3"/>
  <c r="I270" i="3"/>
  <c r="J269" i="3"/>
  <c r="M261" i="3"/>
  <c r="L262" i="3"/>
  <c r="O246" i="3"/>
  <c r="P245" i="3"/>
  <c r="I238" i="3"/>
  <c r="J237" i="3"/>
  <c r="D229" i="3"/>
  <c r="C230" i="3"/>
  <c r="R214" i="3"/>
  <c r="S213" i="3"/>
  <c r="L206" i="3"/>
  <c r="M205" i="3"/>
  <c r="P197" i="3"/>
  <c r="O198" i="3"/>
  <c r="R182" i="3"/>
  <c r="S181" i="3"/>
  <c r="L174" i="3"/>
  <c r="M173" i="3"/>
  <c r="P165" i="3"/>
  <c r="O166" i="3"/>
  <c r="R150" i="3"/>
  <c r="S149" i="3"/>
  <c r="L142" i="3"/>
  <c r="M141" i="3"/>
  <c r="F104" i="3"/>
  <c r="G103" i="3"/>
  <c r="C995" i="3"/>
  <c r="D994" i="3"/>
  <c r="G986" i="3"/>
  <c r="F987" i="3"/>
  <c r="M970" i="3"/>
  <c r="L971" i="3"/>
  <c r="P962" i="3"/>
  <c r="O963" i="3"/>
  <c r="S954" i="3"/>
  <c r="R955" i="3"/>
  <c r="R939" i="3"/>
  <c r="S938" i="3"/>
  <c r="C931" i="3"/>
  <c r="D930" i="3"/>
  <c r="F923" i="3"/>
  <c r="G922" i="3"/>
  <c r="L907" i="3"/>
  <c r="M906" i="3"/>
  <c r="F899" i="3"/>
  <c r="G898" i="3"/>
  <c r="I891" i="3"/>
  <c r="J890" i="3"/>
  <c r="L875" i="3"/>
  <c r="M874" i="3"/>
  <c r="O867" i="3"/>
  <c r="P866" i="3"/>
  <c r="R859" i="3"/>
  <c r="S858" i="3"/>
  <c r="L843" i="3"/>
  <c r="M842" i="3"/>
  <c r="O835" i="3"/>
  <c r="P834" i="3"/>
  <c r="R827" i="3"/>
  <c r="S826" i="3"/>
  <c r="O811" i="3"/>
  <c r="P810" i="3"/>
  <c r="R803" i="3"/>
  <c r="S802" i="3"/>
  <c r="M794" i="3"/>
  <c r="L795" i="3"/>
  <c r="O779" i="3"/>
  <c r="P778" i="3"/>
  <c r="R771" i="3"/>
  <c r="S770" i="3"/>
  <c r="M762" i="3"/>
  <c r="L763" i="3"/>
  <c r="O747" i="3"/>
  <c r="P746" i="3"/>
  <c r="I739" i="3"/>
  <c r="J738" i="3"/>
  <c r="D730" i="3"/>
  <c r="C731" i="3"/>
  <c r="J999" i="3"/>
  <c r="I1000" i="3"/>
  <c r="G983" i="3"/>
  <c r="F984" i="3"/>
  <c r="F976" i="3"/>
  <c r="G975" i="3"/>
  <c r="S967" i="3"/>
  <c r="R968" i="3"/>
  <c r="G951" i="3"/>
  <c r="F952" i="3"/>
  <c r="R944" i="3"/>
  <c r="S943" i="3"/>
  <c r="P935" i="3"/>
  <c r="O936" i="3"/>
  <c r="I920" i="3"/>
  <c r="J919" i="3"/>
  <c r="J911" i="3"/>
  <c r="I912" i="3"/>
  <c r="C904" i="3"/>
  <c r="D903" i="3"/>
  <c r="O888" i="3"/>
  <c r="P887" i="3"/>
  <c r="S879" i="3"/>
  <c r="R880" i="3"/>
  <c r="L872" i="3"/>
  <c r="M871" i="3"/>
  <c r="O856" i="3"/>
  <c r="P855" i="3"/>
  <c r="S847" i="3"/>
  <c r="R848" i="3"/>
  <c r="L840" i="3"/>
  <c r="M839" i="3"/>
  <c r="O824" i="3"/>
  <c r="P823" i="3"/>
  <c r="M815" i="3"/>
  <c r="L816" i="3"/>
  <c r="O808" i="3"/>
  <c r="P807" i="3"/>
  <c r="R792" i="3"/>
  <c r="S791" i="3"/>
  <c r="M783" i="3"/>
  <c r="L784" i="3"/>
  <c r="O776" i="3"/>
  <c r="P775" i="3"/>
  <c r="R760" i="3"/>
  <c r="S759" i="3"/>
  <c r="D751" i="3"/>
  <c r="C752" i="3"/>
  <c r="F744" i="3"/>
  <c r="G743" i="3"/>
  <c r="O728" i="3"/>
  <c r="P727" i="3"/>
  <c r="D719" i="3"/>
  <c r="C720" i="3"/>
  <c r="F712" i="3"/>
  <c r="G711" i="3"/>
  <c r="O696" i="3"/>
  <c r="P695" i="3"/>
  <c r="D687" i="3"/>
  <c r="C688" i="3"/>
  <c r="F680" i="3"/>
  <c r="G679" i="3"/>
  <c r="R664" i="3"/>
  <c r="S663" i="3"/>
  <c r="M655" i="3"/>
  <c r="L656" i="3"/>
  <c r="O648" i="3"/>
  <c r="P647" i="3"/>
  <c r="R632" i="3"/>
  <c r="S631" i="3"/>
  <c r="M623" i="3"/>
  <c r="L624" i="3"/>
  <c r="O616" i="3"/>
  <c r="P615" i="3"/>
  <c r="R600" i="3"/>
  <c r="S599" i="3"/>
  <c r="S591" i="3"/>
  <c r="R592" i="3"/>
  <c r="L584" i="3"/>
  <c r="M583" i="3"/>
  <c r="O568" i="3"/>
  <c r="P567" i="3"/>
  <c r="S559" i="3"/>
  <c r="R560" i="3"/>
  <c r="L552" i="3"/>
  <c r="M551" i="3"/>
  <c r="F536" i="3"/>
  <c r="G535" i="3"/>
  <c r="G527" i="3"/>
  <c r="F528" i="3"/>
  <c r="J519" i="3"/>
  <c r="I520" i="3"/>
  <c r="C504" i="3"/>
  <c r="D503" i="3"/>
  <c r="G495" i="3"/>
  <c r="F496" i="3"/>
  <c r="J487" i="3"/>
  <c r="I488" i="3"/>
  <c r="C472" i="3"/>
  <c r="D471" i="3"/>
  <c r="D463" i="3"/>
  <c r="C464" i="3"/>
  <c r="G455" i="3"/>
  <c r="F456" i="3"/>
  <c r="O440" i="3"/>
  <c r="P439" i="3"/>
  <c r="D431" i="3"/>
  <c r="C432" i="3"/>
  <c r="G423" i="3"/>
  <c r="F424" i="3"/>
  <c r="I408" i="3"/>
  <c r="J407" i="3"/>
  <c r="M399" i="3"/>
  <c r="L400" i="3"/>
  <c r="P391" i="3"/>
  <c r="O392" i="3"/>
  <c r="I376" i="3"/>
  <c r="J375" i="3"/>
  <c r="M367" i="3"/>
  <c r="L368" i="3"/>
  <c r="L360" i="3"/>
  <c r="M359" i="3"/>
  <c r="L344" i="3"/>
  <c r="M343" i="3"/>
  <c r="C336" i="3"/>
  <c r="D335" i="3"/>
  <c r="O328" i="3"/>
  <c r="P327" i="3"/>
  <c r="L312" i="3"/>
  <c r="M311" i="3"/>
  <c r="C304" i="3"/>
  <c r="D303" i="3"/>
  <c r="O296" i="3"/>
  <c r="P295" i="3"/>
  <c r="L280" i="3"/>
  <c r="M279" i="3"/>
  <c r="C272" i="3"/>
  <c r="D271" i="3"/>
  <c r="O264" i="3"/>
  <c r="P263" i="3"/>
  <c r="L248" i="3"/>
  <c r="M247" i="3"/>
  <c r="C240" i="3"/>
  <c r="D239" i="3"/>
  <c r="O232" i="3"/>
  <c r="P231" i="3"/>
  <c r="F216" i="3"/>
  <c r="G215" i="3"/>
  <c r="D207" i="3"/>
  <c r="C208" i="3"/>
  <c r="F192" i="3"/>
  <c r="G191" i="3"/>
  <c r="R184" i="3"/>
  <c r="S183" i="3"/>
  <c r="O168" i="3"/>
  <c r="P167" i="3"/>
  <c r="R160" i="3"/>
  <c r="S159" i="3"/>
  <c r="O144" i="3"/>
  <c r="P143" i="3"/>
  <c r="J135" i="3"/>
  <c r="I136" i="3"/>
  <c r="L997" i="3"/>
  <c r="M996" i="3"/>
  <c r="C989" i="3"/>
  <c r="D988" i="3"/>
  <c r="R981" i="3"/>
  <c r="S980" i="3"/>
  <c r="S964" i="3"/>
  <c r="R965" i="3"/>
  <c r="D956" i="3"/>
  <c r="C957" i="3"/>
  <c r="M948" i="3"/>
  <c r="L949" i="3"/>
  <c r="L933" i="3"/>
  <c r="M932" i="3"/>
  <c r="G924" i="3"/>
  <c r="F925" i="3"/>
  <c r="I917" i="3"/>
  <c r="J916" i="3"/>
  <c r="O901" i="3"/>
  <c r="P900" i="3"/>
  <c r="S892" i="3"/>
  <c r="R893" i="3"/>
  <c r="L885" i="3"/>
  <c r="M884" i="3"/>
  <c r="F869" i="3"/>
  <c r="G868" i="3"/>
  <c r="S860" i="3"/>
  <c r="R861" i="3"/>
  <c r="L853" i="3"/>
  <c r="M852" i="3"/>
  <c r="F837" i="3"/>
  <c r="G836" i="3"/>
  <c r="S828" i="3"/>
  <c r="R829" i="3"/>
  <c r="L821" i="3"/>
  <c r="M820" i="3"/>
  <c r="I805" i="3"/>
  <c r="J804" i="3"/>
  <c r="L797" i="3"/>
  <c r="M796" i="3"/>
  <c r="O789" i="3"/>
  <c r="P788" i="3"/>
  <c r="I773" i="3"/>
  <c r="J772" i="3"/>
  <c r="L765" i="3"/>
  <c r="M764" i="3"/>
  <c r="O757" i="3"/>
  <c r="P756" i="3"/>
  <c r="I741" i="3"/>
  <c r="J740" i="3"/>
  <c r="M732" i="3"/>
  <c r="L733" i="3"/>
  <c r="O725" i="3"/>
  <c r="P724" i="3"/>
  <c r="I709" i="3"/>
  <c r="J708" i="3"/>
  <c r="M700" i="3"/>
  <c r="L701" i="3"/>
  <c r="O693" i="3"/>
  <c r="P692" i="3"/>
  <c r="R677" i="3"/>
  <c r="S676" i="3"/>
  <c r="M668" i="3"/>
  <c r="L669" i="3"/>
  <c r="O661" i="3"/>
  <c r="P660" i="3"/>
  <c r="R645" i="3"/>
  <c r="S644" i="3"/>
  <c r="L637" i="3"/>
  <c r="M636" i="3"/>
  <c r="O629" i="3"/>
  <c r="P628" i="3"/>
  <c r="R613" i="3"/>
  <c r="S612" i="3"/>
  <c r="L605" i="3"/>
  <c r="M604" i="3"/>
  <c r="F597" i="3"/>
  <c r="G596" i="3"/>
  <c r="I581" i="3"/>
  <c r="J580" i="3"/>
  <c r="D572" i="3"/>
  <c r="C573" i="3"/>
  <c r="F565" i="3"/>
  <c r="G564" i="3"/>
  <c r="I549" i="3"/>
  <c r="J548" i="3"/>
  <c r="D540" i="3"/>
  <c r="C541" i="3"/>
  <c r="G532" i="3"/>
  <c r="F533" i="3"/>
  <c r="F517" i="3"/>
  <c r="G516" i="3"/>
  <c r="P508" i="3"/>
  <c r="O509" i="3"/>
  <c r="S500" i="3"/>
  <c r="R501" i="3"/>
  <c r="F485" i="3"/>
  <c r="G484" i="3"/>
  <c r="P476" i="3"/>
  <c r="O477" i="3"/>
  <c r="S468" i="3"/>
  <c r="R469" i="3"/>
  <c r="I453" i="3"/>
  <c r="J452" i="3"/>
  <c r="M444" i="3"/>
  <c r="L445" i="3"/>
  <c r="P436" i="3"/>
  <c r="O437" i="3"/>
  <c r="I421" i="3"/>
  <c r="J420" i="3"/>
  <c r="C413" i="3"/>
  <c r="D412" i="3"/>
  <c r="O405" i="3"/>
  <c r="P404" i="3"/>
  <c r="L389" i="3"/>
  <c r="M388" i="3"/>
  <c r="C381" i="3"/>
  <c r="D380" i="3"/>
  <c r="O373" i="3"/>
  <c r="P372" i="3"/>
  <c r="L357" i="3"/>
  <c r="M356" i="3"/>
  <c r="P348" i="3"/>
  <c r="O349" i="3"/>
  <c r="R333" i="3"/>
  <c r="S332" i="3"/>
  <c r="L325" i="3"/>
  <c r="M324" i="3"/>
  <c r="P316" i="3"/>
  <c r="O317" i="3"/>
  <c r="R301" i="3"/>
  <c r="S300" i="3"/>
  <c r="G292" i="3"/>
  <c r="F293" i="3"/>
  <c r="J284" i="3"/>
  <c r="I285" i="3"/>
  <c r="C269" i="3"/>
  <c r="D268" i="3"/>
  <c r="G260" i="3"/>
  <c r="F261" i="3"/>
  <c r="J252" i="3"/>
  <c r="I253" i="3"/>
  <c r="C237" i="3"/>
  <c r="D236" i="3"/>
  <c r="R229" i="3"/>
  <c r="S228" i="3"/>
  <c r="M220" i="3"/>
  <c r="L221" i="3"/>
  <c r="O205" i="3"/>
  <c r="P204" i="3"/>
  <c r="S196" i="3"/>
  <c r="R197" i="3"/>
  <c r="M188" i="3"/>
  <c r="L189" i="3"/>
  <c r="O173" i="3"/>
  <c r="P172" i="3"/>
  <c r="S164" i="3"/>
  <c r="R165" i="3"/>
  <c r="M156" i="3"/>
  <c r="L157" i="3"/>
  <c r="O141" i="3"/>
  <c r="P140" i="3"/>
  <c r="M131" i="3"/>
  <c r="L132" i="3"/>
  <c r="C124" i="3"/>
  <c r="D123" i="3"/>
  <c r="L120" i="3"/>
  <c r="M119" i="3"/>
  <c r="O112" i="3"/>
  <c r="P111" i="3"/>
  <c r="P107" i="3"/>
  <c r="O108" i="3"/>
  <c r="L100" i="3"/>
  <c r="M99" i="3"/>
  <c r="L96" i="3"/>
  <c r="M95" i="3"/>
  <c r="S87" i="3"/>
  <c r="R88" i="3"/>
  <c r="O80" i="3"/>
  <c r="P79" i="3"/>
  <c r="P75" i="3"/>
  <c r="O76" i="3"/>
  <c r="M689" i="3"/>
  <c r="L690" i="3"/>
  <c r="O682" i="3"/>
  <c r="P681" i="3"/>
  <c r="C610" i="3"/>
  <c r="D609" i="3"/>
  <c r="M577" i="3"/>
  <c r="L578" i="3"/>
  <c r="O562" i="3"/>
  <c r="P561" i="3"/>
  <c r="L530" i="3"/>
  <c r="M529" i="3"/>
  <c r="J521" i="3"/>
  <c r="I522" i="3"/>
  <c r="D505" i="3"/>
  <c r="C506" i="3"/>
  <c r="L434" i="3"/>
  <c r="M433" i="3"/>
  <c r="G409" i="3"/>
  <c r="F410" i="3"/>
  <c r="J361" i="3"/>
  <c r="I362" i="3"/>
  <c r="F298" i="3"/>
  <c r="G297" i="3"/>
  <c r="P281" i="3"/>
  <c r="O282" i="3"/>
  <c r="S257" i="3"/>
  <c r="R258" i="3"/>
  <c r="I210" i="3"/>
  <c r="J209" i="3"/>
  <c r="S177" i="3"/>
  <c r="R178" i="3"/>
  <c r="L154" i="3"/>
  <c r="M153" i="3"/>
  <c r="I706" i="3"/>
  <c r="J705" i="3"/>
  <c r="P617" i="3"/>
  <c r="O618" i="3"/>
  <c r="I586" i="3"/>
  <c r="J585" i="3"/>
  <c r="F514" i="3"/>
  <c r="G513" i="3"/>
  <c r="R498" i="3"/>
  <c r="S497" i="3"/>
  <c r="R418" i="3"/>
  <c r="S417" i="3"/>
  <c r="L402" i="3"/>
  <c r="M401" i="3"/>
  <c r="P393" i="3"/>
  <c r="O394" i="3"/>
  <c r="R370" i="3"/>
  <c r="S369" i="3"/>
  <c r="L354" i="3"/>
  <c r="M353" i="3"/>
  <c r="I346" i="3"/>
  <c r="J345" i="3"/>
  <c r="C290" i="3"/>
  <c r="D289" i="3"/>
  <c r="L266" i="3"/>
  <c r="M265" i="3"/>
  <c r="I242" i="3"/>
  <c r="J241" i="3"/>
  <c r="F218" i="3"/>
  <c r="G217" i="3"/>
  <c r="O194" i="3"/>
  <c r="P193" i="3"/>
  <c r="D161" i="3"/>
  <c r="C162" i="3"/>
  <c r="F138" i="3"/>
  <c r="G137" i="3"/>
  <c r="R986" i="3"/>
  <c r="S985" i="3"/>
  <c r="C978" i="3"/>
  <c r="D977" i="3"/>
  <c r="D969" i="3"/>
  <c r="C970" i="3"/>
  <c r="F954" i="3"/>
  <c r="G953" i="3"/>
  <c r="C946" i="3"/>
  <c r="D945" i="3"/>
  <c r="P937" i="3"/>
  <c r="O938" i="3"/>
  <c r="C922" i="3"/>
  <c r="D921" i="3"/>
  <c r="I914" i="3"/>
  <c r="J913" i="3"/>
  <c r="D905" i="3"/>
  <c r="C906" i="3"/>
  <c r="O890" i="3"/>
  <c r="P889" i="3"/>
  <c r="R882" i="3"/>
  <c r="S881" i="3"/>
  <c r="M873" i="3"/>
  <c r="L874" i="3"/>
  <c r="O858" i="3"/>
  <c r="P857" i="3"/>
  <c r="R850" i="3"/>
  <c r="S849" i="3"/>
  <c r="M841" i="3"/>
  <c r="L842" i="3"/>
  <c r="O826" i="3"/>
  <c r="P825" i="3"/>
  <c r="L818" i="3"/>
  <c r="M817" i="3"/>
  <c r="P809" i="3"/>
  <c r="O810" i="3"/>
  <c r="C794" i="3"/>
  <c r="D793" i="3"/>
  <c r="L786" i="3"/>
  <c r="M785" i="3"/>
  <c r="P777" i="3"/>
  <c r="O778" i="3"/>
  <c r="C762" i="3"/>
  <c r="D761" i="3"/>
  <c r="I754" i="3"/>
  <c r="J753" i="3"/>
  <c r="G745" i="3"/>
  <c r="F746" i="3"/>
  <c r="C730" i="3"/>
  <c r="D729" i="3"/>
  <c r="I722" i="3"/>
  <c r="J721" i="3"/>
  <c r="G713" i="3"/>
  <c r="F714" i="3"/>
  <c r="I674" i="3"/>
  <c r="J673" i="3"/>
  <c r="R666" i="3"/>
  <c r="S665" i="3"/>
  <c r="P649" i="3"/>
  <c r="O650" i="3"/>
  <c r="R634" i="3"/>
  <c r="S633" i="3"/>
  <c r="L626" i="3"/>
  <c r="M625" i="3"/>
  <c r="P601" i="3"/>
  <c r="O602" i="3"/>
  <c r="I546" i="3"/>
  <c r="J545" i="3"/>
  <c r="R538" i="3"/>
  <c r="S537" i="3"/>
  <c r="R490" i="3"/>
  <c r="S489" i="3"/>
  <c r="I466" i="3"/>
  <c r="J465" i="3"/>
  <c r="R458" i="3"/>
  <c r="S457" i="3"/>
  <c r="G449" i="3"/>
  <c r="F450" i="3"/>
  <c r="R378" i="3"/>
  <c r="S377" i="3"/>
  <c r="L338" i="3"/>
  <c r="M337" i="3"/>
  <c r="I330" i="3"/>
  <c r="J329" i="3"/>
  <c r="C274" i="3"/>
  <c r="D273" i="3"/>
  <c r="L234" i="3"/>
  <c r="M233" i="3"/>
  <c r="D201" i="3"/>
  <c r="C202" i="3"/>
  <c r="F170" i="3"/>
  <c r="G169" i="3"/>
  <c r="R151" i="3"/>
  <c r="S150" i="3"/>
  <c r="I95" i="3"/>
  <c r="I699" i="3"/>
  <c r="J698" i="3"/>
  <c r="S690" i="3"/>
  <c r="R691" i="3"/>
  <c r="O603" i="3"/>
  <c r="P602" i="3"/>
  <c r="J594" i="3"/>
  <c r="I595" i="3"/>
  <c r="C587" i="3"/>
  <c r="D586" i="3"/>
  <c r="L531" i="3"/>
  <c r="M530" i="3"/>
  <c r="R515" i="3"/>
  <c r="S514" i="3"/>
  <c r="G506" i="3"/>
  <c r="F507" i="3"/>
  <c r="F427" i="3"/>
  <c r="G426" i="3"/>
  <c r="I403" i="3"/>
  <c r="J402" i="3"/>
  <c r="M394" i="3"/>
  <c r="L395" i="3"/>
  <c r="C347" i="3"/>
  <c r="D346" i="3"/>
  <c r="R291" i="3"/>
  <c r="S290" i="3"/>
  <c r="F251" i="3"/>
  <c r="G250" i="3"/>
  <c r="F195" i="3"/>
  <c r="G194" i="3"/>
  <c r="L171" i="3"/>
  <c r="M170" i="3"/>
  <c r="I163" i="3"/>
  <c r="J162" i="3"/>
  <c r="O101" i="3"/>
  <c r="P100" i="3"/>
  <c r="R77" i="3"/>
  <c r="S76" i="3"/>
  <c r="I643" i="3"/>
  <c r="J642" i="3"/>
  <c r="D626" i="3"/>
  <c r="C627" i="3"/>
  <c r="F611" i="3"/>
  <c r="G610" i="3"/>
  <c r="O571" i="3"/>
  <c r="P570" i="3"/>
  <c r="S546" i="3"/>
  <c r="R547" i="3"/>
  <c r="O523" i="3"/>
  <c r="P522" i="3"/>
  <c r="I459" i="3"/>
  <c r="J458" i="3"/>
  <c r="S450" i="3"/>
  <c r="R451" i="3"/>
  <c r="G370" i="3"/>
  <c r="F371" i="3"/>
  <c r="I315" i="3"/>
  <c r="J314" i="3"/>
  <c r="M298" i="3"/>
  <c r="L299" i="3"/>
  <c r="P282" i="3"/>
  <c r="O283" i="3"/>
  <c r="O133" i="3"/>
  <c r="P132" i="3"/>
  <c r="C125" i="3"/>
  <c r="D124" i="3"/>
  <c r="M116" i="3"/>
  <c r="L117" i="3"/>
  <c r="I122" i="3"/>
  <c r="S714" i="3"/>
  <c r="R715" i="3"/>
  <c r="L683" i="3"/>
  <c r="M682" i="3"/>
  <c r="I651" i="3"/>
  <c r="J650" i="3"/>
  <c r="D634" i="3"/>
  <c r="C635" i="3"/>
  <c r="L563" i="3"/>
  <c r="M562" i="3"/>
  <c r="I467" i="3"/>
  <c r="J466" i="3"/>
  <c r="S442" i="3"/>
  <c r="R443" i="3"/>
  <c r="R419" i="3"/>
  <c r="S418" i="3"/>
  <c r="R363" i="3"/>
  <c r="S362" i="3"/>
  <c r="M338" i="3"/>
  <c r="L339" i="3"/>
  <c r="P330" i="3"/>
  <c r="O331" i="3"/>
  <c r="F219" i="3"/>
  <c r="G218" i="3"/>
  <c r="P210" i="3"/>
  <c r="O211" i="3"/>
  <c r="S186" i="3"/>
  <c r="R187" i="3"/>
  <c r="F113" i="3"/>
  <c r="G112" i="3"/>
  <c r="M108" i="3"/>
  <c r="L109" i="3"/>
  <c r="L89" i="3"/>
  <c r="M88" i="3"/>
  <c r="I81" i="3"/>
  <c r="J80" i="3"/>
  <c r="I707" i="3"/>
  <c r="J706" i="3"/>
  <c r="D674" i="3"/>
  <c r="C675" i="3"/>
  <c r="F555" i="3"/>
  <c r="G554" i="3"/>
  <c r="R491" i="3"/>
  <c r="S490" i="3"/>
  <c r="D434" i="3"/>
  <c r="C435" i="3"/>
  <c r="C323" i="3"/>
  <c r="D322" i="3"/>
  <c r="R275" i="3"/>
  <c r="S274" i="3"/>
  <c r="F267" i="3"/>
  <c r="G266" i="3"/>
  <c r="C235" i="3"/>
  <c r="D234" i="3"/>
  <c r="L203" i="3"/>
  <c r="M202" i="3"/>
  <c r="S178" i="3"/>
  <c r="R179" i="3"/>
  <c r="L129" i="3"/>
  <c r="M128" i="3"/>
  <c r="P120" i="3"/>
  <c r="O121" i="3"/>
  <c r="R97" i="3"/>
  <c r="S96" i="3"/>
  <c r="L73" i="3"/>
  <c r="M72" i="3"/>
  <c r="J85" i="13"/>
  <c r="J74" i="13" s="1"/>
  <c r="H61" i="13"/>
  <c r="H55" i="13"/>
  <c r="H60" i="13"/>
  <c r="N60" i="13" s="1"/>
  <c r="S10" i="3"/>
  <c r="R11" i="3"/>
  <c r="O7" i="3"/>
  <c r="P6" i="3"/>
  <c r="F54" i="3"/>
  <c r="C18" i="3"/>
  <c r="D17" i="3"/>
  <c r="J13" i="3"/>
  <c r="I14" i="3"/>
  <c r="O10" i="3"/>
  <c r="P9" i="3"/>
  <c r="S8" i="3"/>
  <c r="R6" i="3"/>
  <c r="S5" i="3"/>
  <c r="I9" i="4"/>
  <c r="H67" i="3"/>
  <c r="H51" i="3"/>
  <c r="H35" i="3"/>
  <c r="I20" i="3"/>
  <c r="J19" i="3"/>
  <c r="F11" i="4"/>
  <c r="O8" i="3"/>
  <c r="P7" i="3"/>
  <c r="C61" i="3"/>
  <c r="H11" i="4"/>
  <c r="E56" i="3"/>
  <c r="H24" i="3"/>
  <c r="M13" i="4"/>
  <c r="I41" i="14"/>
  <c r="I39" i="14"/>
  <c r="F39" i="14"/>
  <c r="F29" i="14"/>
  <c r="H42" i="14"/>
  <c r="H11" i="14"/>
  <c r="F15" i="14"/>
  <c r="F14" i="14"/>
  <c r="H18" i="14"/>
  <c r="H39" i="14"/>
  <c r="F40" i="14"/>
  <c r="I29" i="14"/>
  <c r="I32" i="14"/>
  <c r="F26" i="14"/>
  <c r="I33" i="14"/>
  <c r="I28" i="14"/>
  <c r="I13" i="14"/>
  <c r="I30" i="14"/>
  <c r="H28" i="14"/>
  <c r="H30" i="14"/>
  <c r="H29" i="14"/>
  <c r="F25" i="14"/>
  <c r="I11" i="14"/>
  <c r="I14" i="14"/>
  <c r="I9" i="14"/>
  <c r="F24" i="14"/>
  <c r="F11" i="14"/>
  <c r="H25" i="14"/>
  <c r="H26" i="14"/>
  <c r="I47" i="14"/>
  <c r="F33" i="14"/>
  <c r="F28" i="14"/>
  <c r="F31" i="14"/>
  <c r="I17" i="14"/>
  <c r="F32" i="14"/>
  <c r="F27" i="14"/>
  <c r="I12" i="14"/>
  <c r="F45" i="14"/>
  <c r="H43" i="14"/>
  <c r="H45" i="14"/>
  <c r="H44" i="14"/>
  <c r="F10" i="14"/>
  <c r="F13" i="14"/>
  <c r="I15" i="14"/>
  <c r="I10" i="14"/>
  <c r="H17" i="14"/>
  <c r="H32" i="14"/>
  <c r="F9" i="14"/>
  <c r="I26" i="14"/>
  <c r="F18" i="14"/>
  <c r="I24" i="14"/>
  <c r="F16" i="14"/>
  <c r="I25" i="14"/>
  <c r="I18" i="14"/>
  <c r="F12" i="14"/>
  <c r="H9" i="14"/>
  <c r="H15" i="14"/>
  <c r="H14" i="14"/>
  <c r="H16" i="14"/>
  <c r="F17" i="14"/>
  <c r="H24" i="14"/>
  <c r="H10" i="14"/>
  <c r="I48" i="14"/>
  <c r="F30" i="14"/>
  <c r="H33" i="14"/>
  <c r="F47" i="14"/>
  <c r="I16" i="14"/>
  <c r="H41" i="14"/>
  <c r="F48" i="14"/>
  <c r="I44" i="14"/>
  <c r="F46" i="14"/>
  <c r="F41" i="14"/>
  <c r="I40" i="14"/>
  <c r="I43" i="14"/>
  <c r="F44" i="14"/>
  <c r="I31" i="14"/>
  <c r="H27" i="14"/>
  <c r="H48" i="14"/>
  <c r="H47" i="14"/>
  <c r="H31" i="14"/>
  <c r="F43" i="14"/>
  <c r="I27" i="14"/>
  <c r="F42" i="14"/>
  <c r="I45" i="14"/>
  <c r="H12" i="14"/>
  <c r="H46" i="14"/>
  <c r="I42" i="14"/>
  <c r="I46" i="14"/>
  <c r="H40" i="14"/>
  <c r="H13" i="14"/>
  <c r="F21" i="3" l="1"/>
  <c r="G22" i="3"/>
  <c r="G21" i="3"/>
  <c r="I47" i="3"/>
  <c r="F25" i="3"/>
  <c r="F31" i="3"/>
  <c r="D21" i="3"/>
  <c r="F32" i="3"/>
  <c r="C30" i="3"/>
  <c r="G25" i="3"/>
  <c r="D22" i="3"/>
  <c r="F30" i="3"/>
  <c r="F42" i="3"/>
  <c r="F41" i="3"/>
  <c r="G23" i="3"/>
  <c r="C22" i="3"/>
  <c r="F64" i="3"/>
  <c r="F45" i="3"/>
  <c r="F29" i="3"/>
  <c r="C60" i="3"/>
  <c r="C35" i="3"/>
  <c r="F50" i="3"/>
  <c r="C34" i="3"/>
  <c r="I63" i="3"/>
  <c r="C42" i="3"/>
  <c r="F38" i="3"/>
  <c r="C46" i="3"/>
  <c r="F62" i="3"/>
  <c r="C37" i="3"/>
  <c r="F55" i="3"/>
  <c r="C7" i="5"/>
  <c r="C50" i="3"/>
  <c r="F34" i="3"/>
  <c r="F23" i="3"/>
  <c r="I58" i="3"/>
  <c r="F67" i="3"/>
  <c r="C55" i="3"/>
  <c r="C38" i="3"/>
  <c r="C33" i="3"/>
  <c r="C31" i="3"/>
  <c r="F51" i="3"/>
  <c r="F46" i="3"/>
  <c r="F59" i="3"/>
  <c r="C47" i="3"/>
  <c r="C23" i="3"/>
  <c r="F63" i="3"/>
  <c r="F61" i="3"/>
  <c r="I42" i="3"/>
  <c r="F66" i="3"/>
  <c r="F43" i="3"/>
  <c r="F47" i="3"/>
  <c r="I31" i="3"/>
  <c r="E43" i="13"/>
  <c r="C45" i="3"/>
  <c r="F35" i="3"/>
  <c r="F52" i="3"/>
  <c r="F37" i="3"/>
  <c r="D23" i="3"/>
  <c r="C63" i="3"/>
  <c r="F24" i="3"/>
  <c r="F58" i="3"/>
  <c r="G26" i="3"/>
  <c r="G24" i="3"/>
  <c r="I26" i="3"/>
  <c r="C67" i="3"/>
  <c r="C59" i="3"/>
  <c r="C58" i="3"/>
  <c r="C64" i="3"/>
  <c r="C62" i="3"/>
  <c r="G27" i="3"/>
  <c r="D42" i="3"/>
  <c r="C66" i="3"/>
  <c r="F27" i="3"/>
  <c r="C41" i="3"/>
  <c r="C36" i="3"/>
  <c r="C39" i="3"/>
  <c r="C44" i="3"/>
  <c r="C27" i="3"/>
  <c r="F40" i="3"/>
  <c r="C43" i="3"/>
  <c r="C28" i="3"/>
  <c r="D34" i="3"/>
  <c r="D47" i="3"/>
  <c r="D44" i="3"/>
  <c r="F44" i="3"/>
  <c r="C40" i="3"/>
  <c r="C53" i="3"/>
  <c r="D52" i="3"/>
  <c r="C56" i="3"/>
  <c r="G55" i="13"/>
  <c r="G78" i="13"/>
  <c r="M78" i="13" s="1"/>
  <c r="F60" i="3"/>
  <c r="G53" i="3"/>
  <c r="I70" i="3"/>
  <c r="D67" i="3"/>
  <c r="D41" i="3"/>
  <c r="D39" i="3"/>
  <c r="D60" i="3"/>
  <c r="G58" i="3"/>
  <c r="D43" i="3"/>
  <c r="D38" i="3"/>
  <c r="D46" i="3"/>
  <c r="D40" i="3"/>
  <c r="D61" i="3"/>
  <c r="D33" i="3"/>
  <c r="D28" i="3"/>
  <c r="D26" i="3"/>
  <c r="D29" i="3"/>
  <c r="D35" i="3"/>
  <c r="D30" i="3"/>
  <c r="G44" i="3"/>
  <c r="D54" i="3"/>
  <c r="D31" i="3"/>
  <c r="D24" i="3"/>
  <c r="D37" i="3"/>
  <c r="D48" i="3"/>
  <c r="D59" i="3"/>
  <c r="D27" i="3"/>
  <c r="D45" i="3"/>
  <c r="D36" i="3"/>
  <c r="D25" i="3"/>
  <c r="N54" i="13"/>
  <c r="D68" i="3"/>
  <c r="J69" i="3"/>
  <c r="G71" i="13"/>
  <c r="I85" i="13"/>
  <c r="I55" i="13" s="1"/>
  <c r="O55" i="13" s="1"/>
  <c r="D57" i="3"/>
  <c r="G29" i="3"/>
  <c r="AB14" i="4"/>
  <c r="K19" i="3" s="1"/>
  <c r="C68" i="3"/>
  <c r="C69" i="3"/>
  <c r="D50" i="3"/>
  <c r="D56" i="3"/>
  <c r="G51" i="3"/>
  <c r="G39" i="3"/>
  <c r="G30" i="3"/>
  <c r="F28" i="3"/>
  <c r="D69" i="3"/>
  <c r="C48" i="3"/>
  <c r="C49" i="3"/>
  <c r="D58" i="3"/>
  <c r="G41" i="3"/>
  <c r="D53" i="3"/>
  <c r="D55" i="3"/>
  <c r="G37" i="3"/>
  <c r="G28" i="3"/>
  <c r="G50" i="3"/>
  <c r="G46" i="3"/>
  <c r="D62" i="3"/>
  <c r="G31" i="3"/>
  <c r="Q17" i="3"/>
  <c r="D49" i="3"/>
  <c r="D66" i="3"/>
  <c r="D63" i="3"/>
  <c r="G42" i="3"/>
  <c r="G35" i="3"/>
  <c r="D51" i="3"/>
  <c r="D65" i="3"/>
  <c r="G69" i="3"/>
  <c r="G34" i="3"/>
  <c r="J62" i="3"/>
  <c r="G45" i="3"/>
  <c r="K65" i="13"/>
  <c r="Q16" i="3"/>
  <c r="Z9" i="4"/>
  <c r="K66" i="13"/>
  <c r="Q66" i="13" s="1"/>
  <c r="G62" i="3"/>
  <c r="Q14" i="3"/>
  <c r="R14" i="3" s="1"/>
  <c r="G36" i="3"/>
  <c r="G55" i="3"/>
  <c r="G61" i="3"/>
  <c r="K55" i="13"/>
  <c r="J25" i="3"/>
  <c r="J46" i="3"/>
  <c r="Q15" i="3"/>
  <c r="J68" i="3"/>
  <c r="G54" i="3"/>
  <c r="G60" i="3"/>
  <c r="Z13" i="4"/>
  <c r="J68" i="13"/>
  <c r="P68" i="13" s="1"/>
  <c r="G67" i="3"/>
  <c r="J58" i="3"/>
  <c r="K16" i="3"/>
  <c r="G33" i="3"/>
  <c r="G63" i="3"/>
  <c r="K15" i="3"/>
  <c r="G49" i="3"/>
  <c r="G47" i="3"/>
  <c r="K14" i="3"/>
  <c r="L14" i="3" s="1"/>
  <c r="J57" i="3"/>
  <c r="K17" i="3"/>
  <c r="G57" i="3"/>
  <c r="G66" i="3"/>
  <c r="G40" i="3"/>
  <c r="G43" i="3"/>
  <c r="G65" i="3"/>
  <c r="J41" i="3"/>
  <c r="D64" i="3"/>
  <c r="J42" i="3"/>
  <c r="AB16" i="4"/>
  <c r="Q23" i="3" s="1"/>
  <c r="N15" i="3"/>
  <c r="G38" i="3"/>
  <c r="J26" i="3"/>
  <c r="G59" i="3"/>
  <c r="J30" i="3"/>
  <c r="C15" i="5"/>
  <c r="C12" i="7"/>
  <c r="C25" i="3"/>
  <c r="K74" i="13"/>
  <c r="Q74" i="13" s="1"/>
  <c r="D15" i="5"/>
  <c r="C32" i="3"/>
  <c r="K72" i="13"/>
  <c r="Q72" i="13" s="1"/>
  <c r="C24" i="3"/>
  <c r="B7" i="5"/>
  <c r="AB15" i="4"/>
  <c r="AB21" i="4" s="1"/>
  <c r="E3" i="5"/>
  <c r="C13" i="5"/>
  <c r="C12" i="6"/>
  <c r="D32" i="3"/>
  <c r="K67" i="13"/>
  <c r="K69" i="13"/>
  <c r="Q69" i="13" s="1"/>
  <c r="D13" i="5"/>
  <c r="C11" i="5"/>
  <c r="J57" i="13"/>
  <c r="D14" i="6"/>
  <c r="J65" i="13"/>
  <c r="P65" i="13" s="1"/>
  <c r="K71" i="13"/>
  <c r="C14" i="5"/>
  <c r="K62" i="13"/>
  <c r="Q62" i="13" s="1"/>
  <c r="I36" i="3"/>
  <c r="J35" i="3"/>
  <c r="I61" i="3"/>
  <c r="J60" i="3"/>
  <c r="D14" i="7"/>
  <c r="I33" i="3"/>
  <c r="J32" i="3"/>
  <c r="J50" i="3"/>
  <c r="I51" i="3"/>
  <c r="N53" i="13"/>
  <c r="H79" i="13"/>
  <c r="C7" i="7"/>
  <c r="I41" i="3"/>
  <c r="J40" i="3"/>
  <c r="C15" i="6"/>
  <c r="C7" i="6"/>
  <c r="F53" i="3"/>
  <c r="G52" i="3"/>
  <c r="G57" i="13"/>
  <c r="M57" i="13" s="1"/>
  <c r="G67" i="13"/>
  <c r="G56" i="13"/>
  <c r="M56" i="13" s="1"/>
  <c r="G60" i="13"/>
  <c r="M60" i="13" s="1"/>
  <c r="G69" i="13"/>
  <c r="M69" i="13" s="1"/>
  <c r="G63" i="13"/>
  <c r="M63" i="13" s="1"/>
  <c r="G73" i="13"/>
  <c r="M73" i="13" s="1"/>
  <c r="G72" i="13"/>
  <c r="M72" i="13" s="1"/>
  <c r="G68" i="13"/>
  <c r="G59" i="13"/>
  <c r="M59" i="13" s="1"/>
  <c r="G76" i="13"/>
  <c r="G61" i="13"/>
  <c r="G65" i="13"/>
  <c r="M65" i="13" s="1"/>
  <c r="G75" i="13"/>
  <c r="M75" i="13" s="1"/>
  <c r="G62" i="13"/>
  <c r="M62" i="13" s="1"/>
  <c r="G58" i="13"/>
  <c r="M58" i="13" s="1"/>
  <c r="G64" i="13"/>
  <c r="M64" i="13" s="1"/>
  <c r="G66" i="13"/>
  <c r="M66" i="13" s="1"/>
  <c r="G53" i="13"/>
  <c r="G70" i="13"/>
  <c r="M70" i="13" s="1"/>
  <c r="K61" i="13"/>
  <c r="K53" i="13"/>
  <c r="K63" i="13"/>
  <c r="I44" i="3"/>
  <c r="J43" i="3"/>
  <c r="Z11" i="4"/>
  <c r="N14" i="3"/>
  <c r="N71" i="13"/>
  <c r="F57" i="3"/>
  <c r="G56" i="3"/>
  <c r="N55" i="13"/>
  <c r="F68" i="3"/>
  <c r="F49" i="3"/>
  <c r="G48" i="3"/>
  <c r="I23" i="3"/>
  <c r="J22" i="3"/>
  <c r="I55" i="3"/>
  <c r="J54" i="3"/>
  <c r="J62" i="13"/>
  <c r="N68" i="13"/>
  <c r="I32" i="3"/>
  <c r="J31" i="3"/>
  <c r="N67" i="13"/>
  <c r="N17" i="3"/>
  <c r="G74" i="13"/>
  <c r="M74" i="13" s="1"/>
  <c r="L85" i="13"/>
  <c r="L74" i="13" s="1"/>
  <c r="K73" i="13"/>
  <c r="K60" i="13"/>
  <c r="Q60" i="13" s="1"/>
  <c r="K54" i="13"/>
  <c r="F48" i="3"/>
  <c r="I43" i="3"/>
  <c r="I25" i="3"/>
  <c r="J24" i="3"/>
  <c r="N61" i="13"/>
  <c r="D12" i="7"/>
  <c r="D15" i="7"/>
  <c r="I37" i="3"/>
  <c r="J36" i="3"/>
  <c r="I60" i="3"/>
  <c r="J59" i="3"/>
  <c r="I48" i="3"/>
  <c r="J47" i="3"/>
  <c r="B7" i="6"/>
  <c r="D15" i="6"/>
  <c r="I29" i="3"/>
  <c r="J28" i="3"/>
  <c r="J21" i="3"/>
  <c r="I22" i="3"/>
  <c r="I65" i="3"/>
  <c r="J64" i="3"/>
  <c r="M14" i="3"/>
  <c r="I52" i="3"/>
  <c r="J51" i="3"/>
  <c r="J29" i="3"/>
  <c r="I30" i="3"/>
  <c r="F56" i="3"/>
  <c r="J67" i="13"/>
  <c r="P67" i="13" s="1"/>
  <c r="C13" i="7"/>
  <c r="F69" i="3"/>
  <c r="G68" i="3"/>
  <c r="I64" i="3"/>
  <c r="J63" i="3"/>
  <c r="J37" i="3"/>
  <c r="I38" i="3"/>
  <c r="N76" i="13"/>
  <c r="J64" i="13"/>
  <c r="J53" i="13"/>
  <c r="J61" i="13"/>
  <c r="P61" i="13" s="1"/>
  <c r="J76" i="13"/>
  <c r="J60" i="13"/>
  <c r="J71" i="13"/>
  <c r="P71" i="13" s="1"/>
  <c r="J75" i="13"/>
  <c r="J70" i="13"/>
  <c r="J54" i="13"/>
  <c r="I49" i="3"/>
  <c r="J48" i="3"/>
  <c r="I24" i="3"/>
  <c r="J23" i="3"/>
  <c r="J66" i="13"/>
  <c r="I53" i="3"/>
  <c r="J52" i="3"/>
  <c r="J45" i="3"/>
  <c r="I46" i="3"/>
  <c r="I34" i="3"/>
  <c r="J33" i="3"/>
  <c r="J34" i="3"/>
  <c r="I35" i="3"/>
  <c r="J66" i="3"/>
  <c r="I67" i="3"/>
  <c r="C14" i="7"/>
  <c r="D13" i="7"/>
  <c r="I28" i="3"/>
  <c r="J27" i="3"/>
  <c r="J58" i="13"/>
  <c r="P58" i="13" s="1"/>
  <c r="C13" i="6"/>
  <c r="E3" i="6"/>
  <c r="J53" i="3"/>
  <c r="I54" i="3"/>
  <c r="J72" i="13"/>
  <c r="G54" i="13"/>
  <c r="K58" i="13"/>
  <c r="Q58" i="13" s="1"/>
  <c r="K59" i="13"/>
  <c r="Q59" i="13" s="1"/>
  <c r="K56" i="13"/>
  <c r="I50" i="3"/>
  <c r="J49" i="3"/>
  <c r="I68" i="3"/>
  <c r="J67" i="3"/>
  <c r="J59" i="13"/>
  <c r="P59" i="13" s="1"/>
  <c r="I40" i="3"/>
  <c r="J39" i="3"/>
  <c r="J69" i="13"/>
  <c r="J61" i="3"/>
  <c r="I62" i="3"/>
  <c r="I39" i="3"/>
  <c r="J38" i="3"/>
  <c r="E3" i="7"/>
  <c r="C11" i="7"/>
  <c r="I45" i="3"/>
  <c r="J44" i="3"/>
  <c r="F33" i="3"/>
  <c r="G32" i="3"/>
  <c r="J55" i="13"/>
  <c r="D13" i="6"/>
  <c r="D12" i="6"/>
  <c r="I57" i="3"/>
  <c r="J56" i="3"/>
  <c r="J56" i="13"/>
  <c r="E44" i="13"/>
  <c r="H37" i="13"/>
  <c r="K70" i="13"/>
  <c r="Q70" i="13" s="1"/>
  <c r="K78" i="13"/>
  <c r="I59" i="3"/>
  <c r="J78" i="13"/>
  <c r="I66" i="3"/>
  <c r="J65" i="3"/>
  <c r="N16" i="3"/>
  <c r="F65" i="3"/>
  <c r="G64" i="3"/>
  <c r="I56" i="3"/>
  <c r="J55" i="3"/>
  <c r="J77" i="13"/>
  <c r="AB20" i="4"/>
  <c r="K20" i="3"/>
  <c r="K24" i="3"/>
  <c r="C15" i="7"/>
  <c r="B7" i="7"/>
  <c r="J63" i="13"/>
  <c r="P63" i="13" s="1"/>
  <c r="C14" i="6"/>
  <c r="C11" i="6"/>
  <c r="J73" i="13"/>
  <c r="P73" i="13" s="1"/>
  <c r="K57" i="13"/>
  <c r="Q57" i="13" s="1"/>
  <c r="K76" i="13"/>
  <c r="K64" i="13"/>
  <c r="Q64" i="13" s="1"/>
  <c r="K77" i="13"/>
  <c r="K68" i="13"/>
  <c r="I27" i="3"/>
  <c r="AB22" i="4" l="1"/>
  <c r="I71" i="13"/>
  <c r="O71" i="13" s="1"/>
  <c r="I73" i="13"/>
  <c r="O73" i="13" s="1"/>
  <c r="N21" i="3"/>
  <c r="K22" i="3"/>
  <c r="K21" i="3"/>
  <c r="K18" i="3"/>
  <c r="L18" i="3" s="1"/>
  <c r="S16" i="3"/>
  <c r="Q24" i="3"/>
  <c r="R24" i="3" s="1"/>
  <c r="Q19" i="3"/>
  <c r="Q21" i="3"/>
  <c r="S14" i="3"/>
  <c r="Q20" i="3"/>
  <c r="R15" i="3"/>
  <c r="Q22" i="3"/>
  <c r="M54" i="13"/>
  <c r="I68" i="13"/>
  <c r="O68" i="13" s="1"/>
  <c r="I57" i="13"/>
  <c r="O57" i="13" s="1"/>
  <c r="I61" i="13"/>
  <c r="O61" i="13" s="1"/>
  <c r="I66" i="13"/>
  <c r="O66" i="13" s="1"/>
  <c r="I63" i="13"/>
  <c r="O63" i="13" s="1"/>
  <c r="I69" i="13"/>
  <c r="I53" i="13"/>
  <c r="O53" i="13" s="1"/>
  <c r="I76" i="13"/>
  <c r="I67" i="13"/>
  <c r="O67" i="13" s="1"/>
  <c r="K23" i="3"/>
  <c r="M24" i="3" s="1"/>
  <c r="L68" i="13"/>
  <c r="R68" i="13" s="1"/>
  <c r="L17" i="3"/>
  <c r="S17" i="3"/>
  <c r="S15" i="3"/>
  <c r="I78" i="13"/>
  <c r="O78" i="13" s="1"/>
  <c r="I62" i="13"/>
  <c r="I60" i="13"/>
  <c r="I64" i="13"/>
  <c r="O64" i="13" s="1"/>
  <c r="Q18" i="3"/>
  <c r="R18" i="3" s="1"/>
  <c r="I65" i="13"/>
  <c r="O65" i="13" s="1"/>
  <c r="I72" i="13"/>
  <c r="I70" i="13"/>
  <c r="I54" i="13"/>
  <c r="O54" i="13" s="1"/>
  <c r="I58" i="13"/>
  <c r="O58" i="13" s="1"/>
  <c r="I75" i="13"/>
  <c r="O75" i="13" s="1"/>
  <c r="I56" i="13"/>
  <c r="O56" i="13" s="1"/>
  <c r="I74" i="13"/>
  <c r="O74" i="13" s="1"/>
  <c r="R16" i="3"/>
  <c r="R17" i="3"/>
  <c r="G12" i="5"/>
  <c r="O16" i="3"/>
  <c r="P15" i="3"/>
  <c r="M15" i="3"/>
  <c r="L63" i="13"/>
  <c r="R63" i="13" s="1"/>
  <c r="L16" i="3"/>
  <c r="L15" i="3"/>
  <c r="M17" i="3"/>
  <c r="M16" i="3"/>
  <c r="I77" i="13"/>
  <c r="O77" i="13" s="1"/>
  <c r="I59" i="13"/>
  <c r="O59" i="13" s="1"/>
  <c r="G15" i="5"/>
  <c r="G11" i="5"/>
  <c r="G14" i="7"/>
  <c r="E7" i="7"/>
  <c r="Q55" i="13"/>
  <c r="L71" i="13"/>
  <c r="R71" i="13" s="1"/>
  <c r="L55" i="13"/>
  <c r="R55" i="13" s="1"/>
  <c r="G11" i="7"/>
  <c r="L57" i="13"/>
  <c r="L58" i="13"/>
  <c r="R58" i="13" s="1"/>
  <c r="G11" i="6"/>
  <c r="L56" i="13"/>
  <c r="R56" i="13" s="1"/>
  <c r="G16" i="7"/>
  <c r="Q77" i="13"/>
  <c r="F7" i="6"/>
  <c r="E7" i="5"/>
  <c r="G13" i="5"/>
  <c r="G14" i="5"/>
  <c r="G16" i="5"/>
  <c r="D11" i="5"/>
  <c r="Q78" i="13"/>
  <c r="P77" i="13"/>
  <c r="F7" i="7"/>
  <c r="P78" i="13"/>
  <c r="D7" i="5"/>
  <c r="L73" i="13"/>
  <c r="R73" i="13" s="1"/>
  <c r="F7" i="5"/>
  <c r="G7" i="6"/>
  <c r="E7" i="6"/>
  <c r="G14" i="6"/>
  <c r="G12" i="6"/>
  <c r="N20" i="3"/>
  <c r="O21" i="3" s="1"/>
  <c r="L53" i="13"/>
  <c r="R53" i="13" s="1"/>
  <c r="Q54" i="13"/>
  <c r="N22" i="3"/>
  <c r="G13" i="7"/>
  <c r="G7" i="5"/>
  <c r="N18" i="3"/>
  <c r="P18" i="3" s="1"/>
  <c r="N23" i="3"/>
  <c r="N19" i="3"/>
  <c r="O20" i="3" s="1"/>
  <c r="P74" i="13"/>
  <c r="G12" i="7"/>
  <c r="N24" i="3"/>
  <c r="D43" i="13"/>
  <c r="P54" i="13"/>
  <c r="G7" i="7"/>
  <c r="P66" i="13"/>
  <c r="G16" i="6"/>
  <c r="Q73" i="13"/>
  <c r="E20" i="13"/>
  <c r="D19" i="13"/>
  <c r="C18" i="13"/>
  <c r="B17" i="13"/>
  <c r="C22" i="13"/>
  <c r="D18" i="13"/>
  <c r="B22" i="13"/>
  <c r="E19" i="13"/>
  <c r="B18" i="13"/>
  <c r="E15" i="13"/>
  <c r="D20" i="13"/>
  <c r="B19" i="13"/>
  <c r="E16" i="13"/>
  <c r="C15" i="13"/>
  <c r="D22" i="13"/>
  <c r="B21" i="13"/>
  <c r="E18" i="13"/>
  <c r="C17" i="13"/>
  <c r="E21" i="13"/>
  <c r="C20" i="13"/>
  <c r="D16" i="13"/>
  <c r="B15" i="13"/>
  <c r="E22" i="13"/>
  <c r="D17" i="13"/>
  <c r="B16" i="13"/>
  <c r="D21" i="13"/>
  <c r="B20" i="13"/>
  <c r="E17" i="13"/>
  <c r="C16" i="13"/>
  <c r="C21" i="13"/>
  <c r="D15" i="13"/>
  <c r="C19" i="13"/>
  <c r="G13" i="6"/>
  <c r="L21" i="3"/>
  <c r="D42" i="13"/>
  <c r="B42" i="13"/>
  <c r="C35" i="13"/>
  <c r="D35" i="13" s="1"/>
  <c r="P55" i="13"/>
  <c r="P72" i="13"/>
  <c r="P60" i="13"/>
  <c r="D7" i="6"/>
  <c r="Q71" i="13"/>
  <c r="D7" i="7"/>
  <c r="L67" i="13"/>
  <c r="R67" i="13" s="1"/>
  <c r="L70" i="13"/>
  <c r="L60" i="13"/>
  <c r="L65" i="13"/>
  <c r="R65" i="13" s="1"/>
  <c r="L54" i="13"/>
  <c r="L78" i="13"/>
  <c r="L75" i="13"/>
  <c r="L72" i="13"/>
  <c r="L66" i="13"/>
  <c r="L59" i="13"/>
  <c r="R59" i="13" s="1"/>
  <c r="L64" i="13"/>
  <c r="L22" i="3"/>
  <c r="P76" i="13"/>
  <c r="Q67" i="13"/>
  <c r="M61" i="13"/>
  <c r="M71" i="13"/>
  <c r="G15" i="7"/>
  <c r="AB23" i="4"/>
  <c r="K69" i="3" s="1"/>
  <c r="K33" i="3"/>
  <c r="K49" i="3"/>
  <c r="K34" i="3"/>
  <c r="K38" i="3"/>
  <c r="K50" i="3"/>
  <c r="K54" i="3"/>
  <c r="K36" i="3"/>
  <c r="K56" i="3"/>
  <c r="K44" i="3"/>
  <c r="K37" i="3"/>
  <c r="K53" i="3"/>
  <c r="K64" i="3"/>
  <c r="K31" i="3"/>
  <c r="K47" i="3"/>
  <c r="K63" i="3"/>
  <c r="K28" i="3"/>
  <c r="K35" i="3"/>
  <c r="K51" i="3"/>
  <c r="K48" i="3"/>
  <c r="K25" i="3"/>
  <c r="L25" i="3" s="1"/>
  <c r="K41" i="3"/>
  <c r="K57" i="3"/>
  <c r="K26" i="3"/>
  <c r="K30" i="3"/>
  <c r="K42" i="3"/>
  <c r="K46" i="3"/>
  <c r="K58" i="3"/>
  <c r="K62" i="3"/>
  <c r="K29" i="3"/>
  <c r="K45" i="3"/>
  <c r="K61" i="3"/>
  <c r="K32" i="3"/>
  <c r="K39" i="3"/>
  <c r="K55" i="3"/>
  <c r="K52" i="3"/>
  <c r="K40" i="3"/>
  <c r="K60" i="3"/>
  <c r="K27" i="3"/>
  <c r="K43" i="3"/>
  <c r="K59" i="3"/>
  <c r="R21" i="3"/>
  <c r="P56" i="13"/>
  <c r="C42" i="13"/>
  <c r="Q56" i="13"/>
  <c r="C43" i="13"/>
  <c r="L62" i="13"/>
  <c r="D11" i="7"/>
  <c r="M55" i="13"/>
  <c r="Q63" i="13"/>
  <c r="M53" i="13"/>
  <c r="G79" i="13"/>
  <c r="M76" i="13"/>
  <c r="Q68" i="13"/>
  <c r="R23" i="3"/>
  <c r="J79" i="13"/>
  <c r="P53" i="13"/>
  <c r="F35" i="13"/>
  <c r="G35" i="13" s="1"/>
  <c r="P57" i="13"/>
  <c r="B43" i="13"/>
  <c r="P62" i="13"/>
  <c r="O15" i="3"/>
  <c r="P14" i="3"/>
  <c r="O14" i="3"/>
  <c r="F36" i="13"/>
  <c r="G36" i="13" s="1"/>
  <c r="K79" i="13"/>
  <c r="Q53" i="13"/>
  <c r="M67" i="13"/>
  <c r="S18" i="3"/>
  <c r="P69" i="13"/>
  <c r="P64" i="13"/>
  <c r="C36" i="13"/>
  <c r="D36" i="13" s="1"/>
  <c r="P17" i="3"/>
  <c r="Q61" i="13"/>
  <c r="M68" i="13"/>
  <c r="P16" i="3"/>
  <c r="O17" i="3"/>
  <c r="Q76" i="13"/>
  <c r="P70" i="13"/>
  <c r="Q65" i="13"/>
  <c r="G15" i="6"/>
  <c r="D11" i="6"/>
  <c r="L77" i="13"/>
  <c r="AB25" i="4"/>
  <c r="Q69" i="3" s="1"/>
  <c r="Q48" i="3"/>
  <c r="Q39" i="3"/>
  <c r="Q55" i="3"/>
  <c r="Q52" i="3"/>
  <c r="Q60" i="3"/>
  <c r="Q27" i="3"/>
  <c r="Q43" i="3"/>
  <c r="Q59" i="3"/>
  <c r="Q29" i="3"/>
  <c r="Q45" i="3"/>
  <c r="Q61" i="3"/>
  <c r="Q32" i="3"/>
  <c r="Q33" i="3"/>
  <c r="Q49" i="3"/>
  <c r="Q34" i="3"/>
  <c r="Q38" i="3"/>
  <c r="Q50" i="3"/>
  <c r="Q54" i="3"/>
  <c r="Q36" i="3"/>
  <c r="Q40" i="3"/>
  <c r="Q44" i="3"/>
  <c r="Q31" i="3"/>
  <c r="Q47" i="3"/>
  <c r="Q63" i="3"/>
  <c r="Q56" i="3"/>
  <c r="Q28" i="3"/>
  <c r="Q35" i="3"/>
  <c r="Q51" i="3"/>
  <c r="Q37" i="3"/>
  <c r="Q53" i="3"/>
  <c r="Q64" i="3"/>
  <c r="Q25" i="3"/>
  <c r="Q41" i="3"/>
  <c r="Q57" i="3"/>
  <c r="Q26" i="3"/>
  <c r="Q30" i="3"/>
  <c r="Q42" i="3"/>
  <c r="Q46" i="3"/>
  <c r="Q58" i="3"/>
  <c r="Q62" i="3"/>
  <c r="L20" i="3"/>
  <c r="AB24" i="4"/>
  <c r="N69" i="3" s="1"/>
  <c r="N64" i="3"/>
  <c r="N26" i="3"/>
  <c r="N42" i="3"/>
  <c r="N58" i="3"/>
  <c r="N35" i="3"/>
  <c r="N51" i="3"/>
  <c r="N48" i="3"/>
  <c r="N39" i="3"/>
  <c r="N55" i="3"/>
  <c r="N25" i="3"/>
  <c r="N41" i="3"/>
  <c r="N57" i="3"/>
  <c r="N30" i="3"/>
  <c r="N46" i="3"/>
  <c r="N62" i="3"/>
  <c r="N52" i="3"/>
  <c r="N60" i="3"/>
  <c r="N29" i="3"/>
  <c r="N45" i="3"/>
  <c r="N61" i="3"/>
  <c r="N32" i="3"/>
  <c r="N34" i="3"/>
  <c r="N50" i="3"/>
  <c r="N36" i="3"/>
  <c r="N40" i="3"/>
  <c r="N44" i="3"/>
  <c r="N27" i="3"/>
  <c r="N43" i="3"/>
  <c r="N59" i="3"/>
  <c r="N31" i="3"/>
  <c r="N47" i="3"/>
  <c r="N63" i="3"/>
  <c r="N33" i="3"/>
  <c r="N49" i="3"/>
  <c r="N38" i="3"/>
  <c r="N54" i="3"/>
  <c r="N56" i="3"/>
  <c r="N28" i="3"/>
  <c r="N53" i="3"/>
  <c r="N37" i="3"/>
  <c r="L76" i="13"/>
  <c r="P75" i="13"/>
  <c r="L61" i="13"/>
  <c r="R61" i="13" s="1"/>
  <c r="L69" i="13"/>
  <c r="Q75" i="13"/>
  <c r="M23" i="3" l="1"/>
  <c r="R25" i="3"/>
  <c r="R20" i="3"/>
  <c r="S22" i="3"/>
  <c r="M19" i="3"/>
  <c r="M18" i="3"/>
  <c r="M22" i="3"/>
  <c r="M21" i="3"/>
  <c r="L19" i="3"/>
  <c r="M20" i="3"/>
  <c r="R22" i="3"/>
  <c r="L23" i="3"/>
  <c r="L24" i="3"/>
  <c r="R19" i="3"/>
  <c r="S19" i="3"/>
  <c r="S24" i="3"/>
  <c r="S23" i="3"/>
  <c r="O62" i="13"/>
  <c r="S21" i="3"/>
  <c r="S20" i="3"/>
  <c r="O18" i="3"/>
  <c r="P19" i="3"/>
  <c r="O69" i="13"/>
  <c r="O70" i="13"/>
  <c r="O60" i="13"/>
  <c r="C24" i="13" s="1"/>
  <c r="O72" i="13"/>
  <c r="O19" i="3"/>
  <c r="I79" i="13"/>
  <c r="O76" i="13"/>
  <c r="P24" i="3"/>
  <c r="P20" i="3"/>
  <c r="P22" i="3"/>
  <c r="P21" i="3"/>
  <c r="L70" i="3"/>
  <c r="R78" i="13"/>
  <c r="R70" i="3"/>
  <c r="R54" i="13"/>
  <c r="O22" i="3"/>
  <c r="O70" i="3"/>
  <c r="R77" i="13"/>
  <c r="P23" i="3"/>
  <c r="R69" i="13"/>
  <c r="O23" i="3"/>
  <c r="O24" i="3"/>
  <c r="R76" i="13"/>
  <c r="F37" i="13"/>
  <c r="G37" i="13" s="1"/>
  <c r="R60" i="13"/>
  <c r="R63" i="3"/>
  <c r="S62" i="3"/>
  <c r="O29" i="3"/>
  <c r="P28" i="3"/>
  <c r="O32" i="3"/>
  <c r="P31" i="3"/>
  <c r="O35" i="3"/>
  <c r="P34" i="3"/>
  <c r="G2" i="14"/>
  <c r="O47" i="3"/>
  <c r="P46" i="3"/>
  <c r="P51" i="3"/>
  <c r="O52" i="3"/>
  <c r="R42" i="3"/>
  <c r="S41" i="3"/>
  <c r="R57" i="3"/>
  <c r="S56" i="3"/>
  <c r="S50" i="3"/>
  <c r="R51" i="3"/>
  <c r="R30" i="3"/>
  <c r="S29" i="3"/>
  <c r="R49" i="3"/>
  <c r="S48" i="3"/>
  <c r="L60" i="3"/>
  <c r="M59" i="3"/>
  <c r="L33" i="3"/>
  <c r="M32" i="3"/>
  <c r="L31" i="3"/>
  <c r="M30" i="3"/>
  <c r="M28" i="3"/>
  <c r="L29" i="3"/>
  <c r="L57" i="3"/>
  <c r="M56" i="3"/>
  <c r="K65" i="3"/>
  <c r="K66" i="3"/>
  <c r="K67" i="3"/>
  <c r="K68" i="3"/>
  <c r="R64" i="13"/>
  <c r="P56" i="3"/>
  <c r="O57" i="3"/>
  <c r="S63" i="3"/>
  <c r="R64" i="3"/>
  <c r="L62" i="3"/>
  <c r="M61" i="3"/>
  <c r="O55" i="3"/>
  <c r="P54" i="3"/>
  <c r="P43" i="3"/>
  <c r="O44" i="3"/>
  <c r="O62" i="3"/>
  <c r="P61" i="3"/>
  <c r="O58" i="3"/>
  <c r="P57" i="3"/>
  <c r="O59" i="3"/>
  <c r="P58" i="3"/>
  <c r="S58" i="3"/>
  <c r="R59" i="3"/>
  <c r="S64" i="3"/>
  <c r="S47" i="3"/>
  <c r="R48" i="3"/>
  <c r="S34" i="3"/>
  <c r="R35" i="3"/>
  <c r="R44" i="3"/>
  <c r="S43" i="3"/>
  <c r="L28" i="3"/>
  <c r="M27" i="3"/>
  <c r="L46" i="3"/>
  <c r="M45" i="3"/>
  <c r="M57" i="3"/>
  <c r="L58" i="3"/>
  <c r="L48" i="3"/>
  <c r="M47" i="3"/>
  <c r="L55" i="3"/>
  <c r="M54" i="3"/>
  <c r="R70" i="13"/>
  <c r="F20" i="13"/>
  <c r="G20" i="13"/>
  <c r="A20" i="13"/>
  <c r="O31" i="3"/>
  <c r="P30" i="3"/>
  <c r="L44" i="3"/>
  <c r="M43" i="3"/>
  <c r="M36" i="3"/>
  <c r="L37" i="3"/>
  <c r="O39" i="3"/>
  <c r="P38" i="3"/>
  <c r="P27" i="3"/>
  <c r="O28" i="3"/>
  <c r="O46" i="3"/>
  <c r="P45" i="3"/>
  <c r="E1" i="14"/>
  <c r="O42" i="3"/>
  <c r="P41" i="3"/>
  <c r="O43" i="3"/>
  <c r="P42" i="3"/>
  <c r="R47" i="3"/>
  <c r="S46" i="3"/>
  <c r="R54" i="3"/>
  <c r="S53" i="3"/>
  <c r="S31" i="3"/>
  <c r="R32" i="3"/>
  <c r="R50" i="3"/>
  <c r="S49" i="3"/>
  <c r="R28" i="3"/>
  <c r="S27" i="3"/>
  <c r="M60" i="3"/>
  <c r="L61" i="3"/>
  <c r="L30" i="3"/>
  <c r="M29" i="3"/>
  <c r="M41" i="3"/>
  <c r="L42" i="3"/>
  <c r="L32" i="3"/>
  <c r="M31" i="3"/>
  <c r="L51" i="3"/>
  <c r="M50" i="3"/>
  <c r="R66" i="13"/>
  <c r="P35" i="3"/>
  <c r="O36" i="3"/>
  <c r="H1" i="14"/>
  <c r="R60" i="3"/>
  <c r="S59" i="3"/>
  <c r="L27" i="3"/>
  <c r="M26" i="3"/>
  <c r="F19" i="13"/>
  <c r="G19" i="13"/>
  <c r="A19" i="13"/>
  <c r="A17" i="13"/>
  <c r="G17" i="13"/>
  <c r="F17" i="13"/>
  <c r="B44" i="13"/>
  <c r="C37" i="13"/>
  <c r="D37" i="13" s="1"/>
  <c r="O50" i="3"/>
  <c r="P49" i="3"/>
  <c r="O45" i="3"/>
  <c r="P44" i="3"/>
  <c r="O30" i="3"/>
  <c r="P29" i="3"/>
  <c r="O26" i="3"/>
  <c r="P25" i="3"/>
  <c r="O27" i="3"/>
  <c r="P26" i="3"/>
  <c r="S42" i="3"/>
  <c r="R43" i="3"/>
  <c r="R38" i="3"/>
  <c r="S37" i="3"/>
  <c r="R45" i="3"/>
  <c r="S44" i="3"/>
  <c r="R34" i="3"/>
  <c r="S33" i="3"/>
  <c r="R61" i="3"/>
  <c r="S60" i="3"/>
  <c r="L41" i="3"/>
  <c r="M40" i="3"/>
  <c r="L63" i="3"/>
  <c r="M62" i="3"/>
  <c r="M25" i="3"/>
  <c r="L26" i="3"/>
  <c r="M64" i="3"/>
  <c r="L39" i="3"/>
  <c r="M38" i="3"/>
  <c r="R72" i="13"/>
  <c r="A16" i="13"/>
  <c r="F16" i="13"/>
  <c r="G16" i="13"/>
  <c r="A18" i="13"/>
  <c r="F18" i="13"/>
  <c r="G18" i="13"/>
  <c r="P59" i="3"/>
  <c r="O60" i="3"/>
  <c r="R39" i="3"/>
  <c r="S38" i="3"/>
  <c r="L64" i="3"/>
  <c r="M63" i="3"/>
  <c r="D44" i="13"/>
  <c r="O34" i="3"/>
  <c r="P33" i="3"/>
  <c r="P40" i="3"/>
  <c r="O41" i="3"/>
  <c r="O61" i="3"/>
  <c r="P60" i="3"/>
  <c r="O56" i="3"/>
  <c r="P55" i="3"/>
  <c r="P64" i="3"/>
  <c r="R31" i="3"/>
  <c r="S30" i="3"/>
  <c r="R52" i="3"/>
  <c r="S51" i="3"/>
  <c r="R41" i="3"/>
  <c r="S40" i="3"/>
  <c r="R33" i="3"/>
  <c r="S32" i="3"/>
  <c r="R53" i="3"/>
  <c r="S52" i="3"/>
  <c r="R62" i="13"/>
  <c r="M52" i="3"/>
  <c r="L53" i="3"/>
  <c r="L59" i="3"/>
  <c r="M58" i="3"/>
  <c r="L49" i="3"/>
  <c r="M48" i="3"/>
  <c r="L54" i="3"/>
  <c r="M53" i="3"/>
  <c r="L35" i="3"/>
  <c r="M34" i="3"/>
  <c r="C44" i="13"/>
  <c r="R75" i="13"/>
  <c r="R57" i="13"/>
  <c r="F21" i="13"/>
  <c r="A21" i="13"/>
  <c r="G21" i="13"/>
  <c r="R26" i="3"/>
  <c r="S25" i="3"/>
  <c r="E12" i="13"/>
  <c r="D11" i="13"/>
  <c r="C10" i="13"/>
  <c r="B9" i="13"/>
  <c r="D14" i="13"/>
  <c r="B13" i="13"/>
  <c r="E10" i="13"/>
  <c r="C9" i="13"/>
  <c r="B14" i="13"/>
  <c r="E7" i="13"/>
  <c r="C14" i="13"/>
  <c r="D10" i="13"/>
  <c r="C11" i="13"/>
  <c r="D7" i="13"/>
  <c r="E14" i="13"/>
  <c r="C13" i="13"/>
  <c r="D9" i="13"/>
  <c r="B8" i="13"/>
  <c r="D12" i="13"/>
  <c r="B11" i="13"/>
  <c r="E8" i="13"/>
  <c r="C7" i="13"/>
  <c r="D13" i="13"/>
  <c r="C8" i="13"/>
  <c r="E13" i="13"/>
  <c r="C12" i="13"/>
  <c r="D8" i="13"/>
  <c r="B7" i="13"/>
  <c r="B12" i="13"/>
  <c r="E9" i="13"/>
  <c r="E11" i="13"/>
  <c r="B10" i="13"/>
  <c r="O38" i="3"/>
  <c r="P37" i="3"/>
  <c r="O37" i="3"/>
  <c r="P36" i="3"/>
  <c r="O53" i="3"/>
  <c r="P52" i="3"/>
  <c r="O40" i="3"/>
  <c r="P39" i="3"/>
  <c r="N68" i="3"/>
  <c r="N67" i="3"/>
  <c r="N66" i="3"/>
  <c r="N65" i="3"/>
  <c r="S26" i="3"/>
  <c r="R27" i="3"/>
  <c r="R36" i="3"/>
  <c r="S35" i="3"/>
  <c r="R37" i="3"/>
  <c r="S36" i="3"/>
  <c r="R62" i="3"/>
  <c r="S61" i="3"/>
  <c r="S55" i="3"/>
  <c r="R56" i="3"/>
  <c r="L79" i="13"/>
  <c r="L56" i="3"/>
  <c r="M55" i="3"/>
  <c r="L47" i="3"/>
  <c r="M46" i="3"/>
  <c r="L52" i="3"/>
  <c r="M51" i="3"/>
  <c r="L38" i="3"/>
  <c r="M37" i="3"/>
  <c r="M49" i="3"/>
  <c r="L50" i="3"/>
  <c r="D23" i="13"/>
  <c r="E23" i="13"/>
  <c r="C23" i="13"/>
  <c r="B23" i="13"/>
  <c r="G22" i="13"/>
  <c r="F22" i="13"/>
  <c r="A22" i="13"/>
  <c r="P32" i="3"/>
  <c r="O33" i="3"/>
  <c r="Q65" i="3"/>
  <c r="Q66" i="3"/>
  <c r="Q67" i="3"/>
  <c r="Q68" i="3"/>
  <c r="O64" i="3"/>
  <c r="P63" i="3"/>
  <c r="O54" i="3"/>
  <c r="P53" i="3"/>
  <c r="O48" i="3"/>
  <c r="P47" i="3"/>
  <c r="O51" i="3"/>
  <c r="P50" i="3"/>
  <c r="E2" i="14"/>
  <c r="O63" i="3"/>
  <c r="P62" i="3"/>
  <c r="P48" i="3"/>
  <c r="O49" i="3"/>
  <c r="R58" i="3"/>
  <c r="S57" i="3"/>
  <c r="R29" i="3"/>
  <c r="S28" i="3"/>
  <c r="R55" i="3"/>
  <c r="S54" i="3"/>
  <c r="R46" i="3"/>
  <c r="S45" i="3"/>
  <c r="S39" i="3"/>
  <c r="R40" i="3"/>
  <c r="O25" i="3"/>
  <c r="L40" i="3"/>
  <c r="M39" i="3"/>
  <c r="L43" i="3"/>
  <c r="M42" i="3"/>
  <c r="L36" i="3"/>
  <c r="M35" i="3"/>
  <c r="M44" i="3"/>
  <c r="L45" i="3"/>
  <c r="M33" i="3"/>
  <c r="L34" i="3"/>
  <c r="F15" i="13"/>
  <c r="G15" i="13"/>
  <c r="A15" i="13"/>
  <c r="R74" i="13"/>
  <c r="B26" i="13" l="1"/>
  <c r="G26" i="13" s="1"/>
  <c r="E27" i="13"/>
  <c r="C27" i="13"/>
  <c r="D26" i="13"/>
  <c r="C28" i="13"/>
  <c r="B27" i="13"/>
  <c r="A27" i="13" s="1"/>
  <c r="C25" i="13"/>
  <c r="D28" i="13"/>
  <c r="B28" i="13"/>
  <c r="G28" i="13" s="1"/>
  <c r="E24" i="13"/>
  <c r="C26" i="13"/>
  <c r="B25" i="13"/>
  <c r="A25" i="13" s="1"/>
  <c r="B24" i="13"/>
  <c r="A24" i="13" s="1"/>
  <c r="E26" i="13"/>
  <c r="D27" i="13"/>
  <c r="E25" i="13"/>
  <c r="D25" i="13"/>
  <c r="E28" i="13"/>
  <c r="D24" i="13"/>
  <c r="B30" i="13"/>
  <c r="G30" i="13" s="1"/>
  <c r="C30" i="13"/>
  <c r="D29" i="13"/>
  <c r="C29" i="13"/>
  <c r="B29" i="13"/>
  <c r="G29" i="13" s="1"/>
  <c r="E30" i="13"/>
  <c r="D30" i="13"/>
  <c r="E29" i="13"/>
  <c r="M69" i="3"/>
  <c r="S69" i="3"/>
  <c r="P69" i="3"/>
  <c r="R66" i="3"/>
  <c r="S65" i="3"/>
  <c r="A28" i="13"/>
  <c r="F13" i="13"/>
  <c r="A13" i="13"/>
  <c r="G13" i="13"/>
  <c r="M68" i="3"/>
  <c r="L69" i="3"/>
  <c r="R68" i="3"/>
  <c r="S67" i="3"/>
  <c r="A26" i="13"/>
  <c r="G12" i="13"/>
  <c r="F12" i="13"/>
  <c r="A12" i="13"/>
  <c r="L68" i="3"/>
  <c r="M67" i="3"/>
  <c r="O66" i="3"/>
  <c r="P65" i="3"/>
  <c r="G7" i="13"/>
  <c r="F7" i="13"/>
  <c r="A7" i="13"/>
  <c r="G11" i="13"/>
  <c r="F11" i="13"/>
  <c r="A11" i="13"/>
  <c r="A9" i="13"/>
  <c r="G9" i="13"/>
  <c r="F9" i="13"/>
  <c r="L67" i="3"/>
  <c r="M66" i="3"/>
  <c r="C13" i="8"/>
  <c r="C14" i="8"/>
  <c r="D12" i="8"/>
  <c r="D14" i="8"/>
  <c r="D15" i="8"/>
  <c r="C12" i="8"/>
  <c r="E3" i="8"/>
  <c r="C15" i="8"/>
  <c r="C7" i="8"/>
  <c r="D13" i="8"/>
  <c r="B7" i="8"/>
  <c r="C11" i="8"/>
  <c r="O67" i="3"/>
  <c r="P66" i="3"/>
  <c r="D15" i="9"/>
  <c r="C14" i="9"/>
  <c r="C15" i="9"/>
  <c r="D12" i="9"/>
  <c r="C12" i="9"/>
  <c r="E3" i="9"/>
  <c r="D13" i="9"/>
  <c r="C7" i="9"/>
  <c r="D14" i="9"/>
  <c r="C13" i="9"/>
  <c r="B7" i="9"/>
  <c r="C11" i="9"/>
  <c r="O65" i="3"/>
  <c r="M65" i="3"/>
  <c r="L66" i="3"/>
  <c r="P67" i="3"/>
  <c r="O68" i="3"/>
  <c r="A8" i="13"/>
  <c r="G8" i="13"/>
  <c r="F8" i="13"/>
  <c r="R65" i="3"/>
  <c r="G38" i="14"/>
  <c r="G23" i="14"/>
  <c r="G8" i="14"/>
  <c r="E38" i="14"/>
  <c r="E23" i="14"/>
  <c r="E8" i="14"/>
  <c r="G23" i="13"/>
  <c r="F23" i="13"/>
  <c r="A23" i="13"/>
  <c r="O69" i="3"/>
  <c r="P68" i="3"/>
  <c r="F2" i="14"/>
  <c r="H2" i="14"/>
  <c r="G14" i="13"/>
  <c r="A14" i="13"/>
  <c r="F14" i="13"/>
  <c r="R69" i="3"/>
  <c r="S68" i="3"/>
  <c r="S66" i="3"/>
  <c r="R67" i="3"/>
  <c r="C15" i="10"/>
  <c r="C11" i="10"/>
  <c r="D12" i="10"/>
  <c r="E3" i="10"/>
  <c r="D15" i="10"/>
  <c r="D13" i="10"/>
  <c r="C12" i="10"/>
  <c r="C7" i="10"/>
  <c r="D14" i="10"/>
  <c r="C14" i="10"/>
  <c r="C13" i="10"/>
  <c r="B7" i="10"/>
  <c r="A10" i="13"/>
  <c r="F10" i="13"/>
  <c r="G10" i="13"/>
  <c r="L65" i="3"/>
  <c r="G27" i="13" l="1"/>
  <c r="F27" i="13"/>
  <c r="F28" i="13"/>
  <c r="F26" i="13"/>
  <c r="F29" i="13"/>
  <c r="G25" i="13"/>
  <c r="F24" i="13"/>
  <c r="F25" i="13"/>
  <c r="G24" i="13"/>
  <c r="A30" i="13"/>
  <c r="F30" i="13"/>
  <c r="A29" i="13"/>
  <c r="G15" i="10"/>
  <c r="E7" i="8"/>
  <c r="G11" i="10"/>
  <c r="G11" i="8"/>
  <c r="G12" i="9"/>
  <c r="F7" i="10"/>
  <c r="G11" i="9"/>
  <c r="G14" i="8"/>
  <c r="E7" i="10"/>
  <c r="F7" i="8"/>
  <c r="G14" i="10"/>
  <c r="G7" i="9"/>
  <c r="F7" i="9"/>
  <c r="G7" i="10"/>
  <c r="G12" i="8"/>
  <c r="G14" i="9"/>
  <c r="G12" i="10"/>
  <c r="G13" i="9"/>
  <c r="D11" i="9"/>
  <c r="E7" i="9"/>
  <c r="G13" i="10"/>
  <c r="D11" i="8"/>
  <c r="G16" i="10"/>
  <c r="G16" i="9"/>
  <c r="G15" i="9"/>
  <c r="G7" i="8"/>
  <c r="D11" i="10"/>
  <c r="G15" i="8"/>
  <c r="G16" i="8"/>
  <c r="D7" i="8"/>
  <c r="G13" i="8"/>
  <c r="H38" i="14"/>
  <c r="H23" i="14"/>
  <c r="H8" i="14"/>
  <c r="F38" i="14"/>
  <c r="F23" i="14"/>
  <c r="F8" i="14"/>
  <c r="D7" i="9"/>
  <c r="D7" i="10"/>
  <c r="I23" i="14" l="1"/>
  <c r="I38" i="14"/>
  <c r="I8" i="14"/>
</calcChain>
</file>

<file path=xl/sharedStrings.xml><?xml version="1.0" encoding="utf-8"?>
<sst xmlns="http://schemas.openxmlformats.org/spreadsheetml/2006/main" count="1350" uniqueCount="582">
  <si>
    <r>
      <rPr>
        <b/>
        <sz val="15"/>
        <color rgb="FFFFFFFF"/>
        <rFont val="Linux Libertine G"/>
        <family val="2"/>
      </rPr>
      <t>持仓配置（实盘</t>
    </r>
    <r>
      <rPr>
        <b/>
        <sz val="15"/>
        <color rgb="FFFFFFFF"/>
        <rFont val="Arial"/>
        <family val="2"/>
      </rPr>
      <t>·</t>
    </r>
    <r>
      <rPr>
        <b/>
        <sz val="15"/>
        <color rgb="FFFFFFFF"/>
        <rFont val="Linux Libertine G"/>
        <family val="2"/>
      </rPr>
      <t>初始权重）</t>
    </r>
  </si>
  <si>
    <t>基金简称</t>
  </si>
  <si>
    <r>
      <rPr>
        <b/>
        <sz val="10"/>
        <color rgb="FF000000"/>
        <rFont val="Linux Libertine G"/>
        <family val="2"/>
      </rPr>
      <t>华安黄金</t>
    </r>
    <r>
      <rPr>
        <b/>
        <sz val="10"/>
        <color rgb="FF000000"/>
        <rFont val="Arial"/>
        <family val="2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</si>
  <si>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嘉实快线货币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</si>
  <si>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宏利复兴混合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</si>
  <si>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</rPr>
      <t>300</t>
    </r>
    <r>
      <rPr>
        <b/>
        <sz val="10"/>
        <color rgb="FF000000"/>
        <rFont val="Linux Libertine G"/>
        <family val="2"/>
      </rPr>
      <t>增强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</si>
  <si>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</rPr>
      <t>300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</si>
  <si>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</si>
  <si>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</rPr>
      <t>C</t>
    </r>
  </si>
  <si>
    <t>嘉实前沿科技创新</t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</si>
  <si>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</si>
  <si>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</si>
  <si>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</si>
  <si>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</si>
  <si>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</si>
  <si>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</si>
  <si>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信澳业绩驱动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</si>
  <si>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</si>
  <si>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</si>
  <si>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宏利复兴伟业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</si>
  <si>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</si>
  <si>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</si>
  <si>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</si>
  <si>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</si>
  <si>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易方达中债新综指</t>
    </r>
    <r>
      <rPr>
        <b/>
        <sz val="10"/>
        <color rgb="FF000000"/>
        <rFont val="Arial"/>
        <family val="2"/>
      </rPr>
      <t>LOFA</t>
    </r>
  </si>
  <si>
    <t>合计</t>
  </si>
  <si>
    <t>年化费率</t>
  </si>
  <si>
    <t>净值起始日</t>
  </si>
  <si>
    <t>基金代码</t>
  </si>
  <si>
    <t>000216.OF</t>
  </si>
  <si>
    <t>000917.OF</t>
  </si>
  <si>
    <t>001170.OF</t>
  </si>
  <si>
    <t>007044.OF</t>
  </si>
  <si>
    <t>007045.OF</t>
  </si>
  <si>
    <t>007817.OF</t>
  </si>
  <si>
    <t>007818.OF</t>
  </si>
  <si>
    <t>009993.OF</t>
  </si>
  <si>
    <t>013840.OF</t>
  </si>
  <si>
    <t>013841.OF</t>
  </si>
  <si>
    <t>014201.OF</t>
  </si>
  <si>
    <t>014202.OF</t>
  </si>
  <si>
    <t>015453.OF</t>
  </si>
  <si>
    <t>015454.OF</t>
  </si>
  <si>
    <t>016370.OF</t>
  </si>
  <si>
    <t>017488.OF</t>
  </si>
  <si>
    <t>017489.OF</t>
  </si>
  <si>
    <t>017612.OF</t>
  </si>
  <si>
    <t>019632.OF</t>
  </si>
  <si>
    <t>019633.OF</t>
  </si>
  <si>
    <t>019923.OF</t>
  </si>
  <si>
    <t>019924.OF</t>
  </si>
  <si>
    <t>161119.OF</t>
  </si>
  <si>
    <t>产业趋势 权重</t>
  </si>
  <si>
    <t>产业趋势基石 权重</t>
  </si>
  <si>
    <r>
      <rPr>
        <b/>
        <sz val="10"/>
        <color rgb="FF000000"/>
        <rFont val="Linux Libertine G"/>
        <family val="2"/>
      </rPr>
      <t>产业趋势</t>
    </r>
    <r>
      <rPr>
        <b/>
        <sz val="10"/>
        <color rgb="FF000000"/>
        <rFont val="Arial"/>
        <family val="2"/>
      </rPr>
      <t>2</t>
    </r>
    <r>
      <rPr>
        <b/>
        <sz val="10"/>
        <color rgb="FF000000"/>
        <rFont val="Linux Libertine G"/>
        <family val="2"/>
      </rPr>
      <t>号 权重</t>
    </r>
  </si>
  <si>
    <r>
      <rPr>
        <b/>
        <sz val="10"/>
        <color rgb="FF000000"/>
        <rFont val="Arial"/>
        <family val="2"/>
      </rPr>
      <t xml:space="preserve">10-90 </t>
    </r>
    <r>
      <rPr>
        <b/>
        <sz val="10"/>
        <color rgb="FF000000"/>
        <rFont val="Linux Libertine G"/>
        <family val="2"/>
      </rPr>
      <t>权重</t>
    </r>
  </si>
  <si>
    <r>
      <rPr>
        <b/>
        <sz val="10"/>
        <color rgb="FF000000"/>
        <rFont val="Arial"/>
        <family val="2"/>
      </rPr>
      <t>10-90</t>
    </r>
    <r>
      <rPr>
        <b/>
        <sz val="10"/>
        <color rgb="FF000000"/>
        <rFont val="Linux Libertine G"/>
        <family val="2"/>
      </rPr>
      <t>基石 权重</t>
    </r>
  </si>
  <si>
    <r>
      <rPr>
        <b/>
        <sz val="10"/>
        <color rgb="FF000000"/>
        <rFont val="Arial"/>
        <family val="2"/>
      </rPr>
      <t xml:space="preserve">30-70 </t>
    </r>
    <r>
      <rPr>
        <b/>
        <sz val="10"/>
        <color rgb="FF000000"/>
        <rFont val="Linux Libertine G"/>
        <family val="2"/>
      </rPr>
      <t>权重</t>
    </r>
  </si>
  <si>
    <r>
      <rPr>
        <i/>
        <sz val="9"/>
        <color rgb="FF595959"/>
        <rFont val="Linux Libertine G"/>
        <family val="2"/>
      </rPr>
      <t>权重蓝色输入；</t>
    </r>
    <r>
      <rPr>
        <i/>
        <sz val="9"/>
        <color rgb="FF595959"/>
        <rFont val="Arial"/>
        <family val="2"/>
      </rPr>
      <t>Z</t>
    </r>
    <r>
      <rPr>
        <i/>
        <sz val="9"/>
        <color rgb="FF595959"/>
        <rFont val="Linux Libertine G"/>
        <family val="2"/>
      </rPr>
      <t>列为各组合年化费率、</t>
    </r>
    <r>
      <rPr>
        <i/>
        <sz val="9"/>
        <color rgb="FF595959"/>
        <rFont val="Arial"/>
        <family val="2"/>
      </rPr>
      <t>AA</t>
    </r>
    <r>
      <rPr>
        <i/>
        <sz val="9"/>
        <color rgb="FF595959"/>
        <rFont val="Linux Libertine G"/>
        <family val="2"/>
      </rPr>
      <t>列为各组合净值起始日</t>
    </r>
    <r>
      <rPr>
        <i/>
        <sz val="9"/>
        <color rgb="FF595959"/>
        <rFont val="Arial"/>
        <family val="2"/>
      </rPr>
      <t>(</t>
    </r>
    <r>
      <rPr>
        <i/>
        <sz val="9"/>
        <color rgb="FF595959"/>
        <rFont val="Linux Libertine G"/>
        <family val="2"/>
      </rPr>
      <t>当日净值</t>
    </r>
    <r>
      <rPr>
        <i/>
        <sz val="9"/>
        <color rgb="FF595959"/>
        <rFont val="Arial"/>
        <family val="2"/>
      </rPr>
      <t>=1)</t>
    </r>
    <r>
      <rPr>
        <i/>
        <sz val="9"/>
        <color rgb="FF595959"/>
        <rFont val="Linux Libertine G"/>
        <family val="2"/>
      </rPr>
      <t>。新增交易日下拉填充，下游净值与看板自动重算。</t>
    </r>
  </si>
  <si>
    <r>
      <rPr>
        <b/>
        <sz val="15"/>
        <color rgb="FFFFFFFF"/>
        <rFont val="Linux Libertine G"/>
        <family val="2"/>
      </rPr>
      <t xml:space="preserve">净值数据 </t>
    </r>
    <r>
      <rPr>
        <b/>
        <sz val="15"/>
        <color rgb="FFFFFFFF"/>
        <rFont val="Arial"/>
        <family val="2"/>
      </rPr>
      <t xml:space="preserve">* </t>
    </r>
    <r>
      <rPr>
        <b/>
        <sz val="15"/>
        <color rgb="FFFFFFFF"/>
        <rFont val="Linux Libertine G"/>
        <family val="2"/>
      </rPr>
      <t>实盘</t>
    </r>
  </si>
  <si>
    <t>基金代码→</t>
  </si>
  <si>
    <t>162214.OF</t>
  </si>
  <si>
    <t>宏利领先中小盘混合</t>
  </si>
  <si>
    <r>
      <rPr>
        <b/>
        <sz val="15"/>
        <color rgb="FFFFFFFF"/>
        <rFont val="宋体"/>
        <family val="3"/>
      </rPr>
      <t>组合净值</t>
    </r>
    <r>
      <rPr>
        <b/>
        <sz val="15"/>
        <color rgb="FFFFFFFF"/>
        <rFont val="Arial"/>
        <family val="2"/>
      </rPr>
      <t/>
    </r>
  </si>
  <si>
    <t>组合 产业趋势</t>
  </si>
  <si>
    <t>组合 产业趋势基石</t>
  </si>
  <si>
    <r>
      <rPr>
        <b/>
        <sz val="11"/>
        <color rgb="FFFFFFFF"/>
        <rFont val="Linux Libertine G"/>
        <family val="2"/>
      </rPr>
      <t>组合 产业趋势</t>
    </r>
    <r>
      <rPr>
        <b/>
        <sz val="11"/>
        <color rgb="FFFFFFFF"/>
        <rFont val="Arial"/>
        <family val="2"/>
      </rPr>
      <t>2</t>
    </r>
    <r>
      <rPr>
        <b/>
        <sz val="11"/>
        <color rgb="FFFFFFFF"/>
        <rFont val="Linux Libertine G"/>
        <family val="2"/>
      </rPr>
      <t>号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</si>
  <si>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</rPr>
      <t>10-90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</si>
  <si>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</rPr>
      <t>10-90</t>
    </r>
    <r>
      <rPr>
        <b/>
        <sz val="11"/>
        <color rgb="FFFFFFFF"/>
        <rFont val="Linux Libertine G"/>
        <family val="2"/>
      </rPr>
      <t>基石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</si>
  <si>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</rPr>
      <t>30-70</t>
    </r>
  </si>
  <si>
    <t>日期</t>
  </si>
  <si>
    <t>净值</t>
  </si>
  <si>
    <t>日收益</t>
  </si>
  <si>
    <t>回撤</t>
  </si>
  <si>
    <r>
      <rPr>
        <sz val="10"/>
        <rFont val="Linux Libertine G"/>
        <family val="2"/>
      </rPr>
      <t>分期持仓明细（每次调仓后的组合权重；</t>
    </r>
    <r>
      <rPr>
        <sz val="10"/>
        <rFont val="Arial"/>
        <family val="2"/>
      </rPr>
      <t>P0=</t>
    </r>
    <r>
      <rPr>
        <sz val="10"/>
        <rFont val="Linux Libertine G"/>
        <family val="2"/>
      </rPr>
      <t>初始建仓，</t>
    </r>
    <r>
      <rPr>
        <sz val="10"/>
        <rFont val="Arial"/>
        <family val="2"/>
      </rPr>
      <t>P1=7/1</t>
    </r>
    <r>
      <rPr>
        <sz val="10"/>
        <rFont val="Linux Libertine G"/>
        <family val="2"/>
      </rPr>
      <t>调仓后…</t>
    </r>
    <r>
      <rPr>
        <sz val="10"/>
        <rFont val="Arial"/>
        <family val="2"/>
      </rPr>
      <t>P3=7/17</t>
    </r>
    <r>
      <rPr>
        <sz val="10"/>
        <rFont val="Linux Libertine G"/>
        <family val="2"/>
      </rPr>
      <t>调仓后）</t>
    </r>
  </si>
  <si>
    <r>
      <rPr>
        <sz val="11"/>
        <color theme="1"/>
        <rFont val="Linux Libertine G"/>
        <family val="2"/>
      </rPr>
      <t>华安黄金</t>
    </r>
    <r>
      <rPr>
        <sz val="11"/>
        <color theme="1"/>
        <rFont val="宋体"/>
        <family val="2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</si>
  <si>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嘉实快线货币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</si>
  <si>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宏利复兴混合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</si>
  <si>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</rPr>
      <t>300</t>
    </r>
    <r>
      <rPr>
        <sz val="11"/>
        <color theme="1"/>
        <rFont val="Linux Libertine G"/>
        <family val="2"/>
      </rPr>
      <t>增强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</si>
  <si>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</rPr>
      <t>300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</si>
  <si>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</si>
  <si>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</si>
  <si>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</si>
  <si>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</si>
  <si>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</si>
  <si>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</si>
  <si>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</si>
  <si>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</si>
  <si>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信澳业绩驱动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</si>
  <si>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</si>
  <si>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</si>
  <si>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宏利复兴伟业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</si>
  <si>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</si>
  <si>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</si>
  <si>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</si>
  <si>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</si>
  <si>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易方达中债新综指</t>
    </r>
    <r>
      <rPr>
        <sz val="11"/>
        <color theme="1"/>
        <rFont val="宋体"/>
        <family val="2"/>
      </rPr>
      <t>LOFA</t>
    </r>
  </si>
  <si>
    <t>生效日</t>
  </si>
  <si>
    <r>
      <rPr>
        <sz val="11"/>
        <color theme="1"/>
        <rFont val="Linux Libertine G"/>
        <family val="2"/>
      </rPr>
      <t>累计因子</t>
    </r>
    <r>
      <rPr>
        <sz val="11"/>
        <color theme="1"/>
        <rFont val="宋体"/>
        <family val="2"/>
      </rPr>
      <t>(</t>
    </r>
    <r>
      <rPr>
        <sz val="11"/>
        <color theme="1"/>
        <rFont val="Linux Libertine G"/>
        <family val="2"/>
      </rPr>
      <t>自动</t>
    </r>
    <r>
      <rPr>
        <sz val="11"/>
        <color theme="1"/>
        <rFont val="宋体"/>
        <family val="2"/>
      </rPr>
      <t>)</t>
    </r>
  </si>
  <si>
    <t>000216</t>
  </si>
  <si>
    <t>000917</t>
  </si>
  <si>
    <t>001170</t>
  </si>
  <si>
    <t>007044</t>
  </si>
  <si>
    <t>007045</t>
  </si>
  <si>
    <t>007817</t>
  </si>
  <si>
    <t>007818</t>
  </si>
  <si>
    <t>009993</t>
  </si>
  <si>
    <t>013840</t>
  </si>
  <si>
    <t>013841</t>
  </si>
  <si>
    <t>014201</t>
  </si>
  <si>
    <t>014202</t>
  </si>
  <si>
    <t>015453</t>
  </si>
  <si>
    <t>015454</t>
  </si>
  <si>
    <t>016370</t>
  </si>
  <si>
    <t>017488</t>
  </si>
  <si>
    <t>017489</t>
  </si>
  <si>
    <t>017612</t>
  </si>
  <si>
    <t>019632</t>
  </si>
  <si>
    <t>019633</t>
  </si>
  <si>
    <t>019923</t>
  </si>
  <si>
    <t>019924</t>
  </si>
  <si>
    <t>161119</t>
  </si>
  <si>
    <t>162214</t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</si>
  <si>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</si>
  <si>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</si>
  <si>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</si>
  <si>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</rPr>
      <t>10-90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</si>
  <si>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</rPr>
      <t>10-90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</si>
  <si>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</si>
  <si>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</rPr>
      <t>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</si>
  <si>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30-70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</si>
  <si>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</rPr>
      <t>30-70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</si>
  <si>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10-90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</si>
  <si>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</rPr>
      <t>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</si>
  <si>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30-70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</si>
  <si>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</si>
  <si>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</si>
  <si>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</si>
  <si>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0"/>
        <rFont val="Arial"/>
        <family val="2"/>
      </rPr>
      <t>10-90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</si>
  <si>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10-90</t>
    </r>
    <r>
      <rPr>
        <sz val="10"/>
        <rFont val="Linux Libertine G"/>
        <family val="2"/>
      </rPr>
      <t xml:space="preserve">基石 </t>
    </r>
    <r>
      <rPr>
        <sz val="10"/>
        <rFont val="Arial"/>
        <family val="2"/>
      </rPr>
      <t>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</si>
  <si>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30-70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</si>
  <si>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t>样板间组合走势看板（产业趋势组合）</t>
  </si>
  <si>
    <t>产品业绩表现（历史表现不代表未来收益承诺）</t>
  </si>
  <si>
    <t>最新净值</t>
  </si>
  <si>
    <t>累计收益</t>
  </si>
  <si>
    <t>年化收益</t>
  </si>
  <si>
    <t>年化波动率</t>
  </si>
  <si>
    <t>最大回撤</t>
  </si>
  <si>
    <t>夏普比率</t>
  </si>
  <si>
    <t>收益表现</t>
  </si>
  <si>
    <t>风险特征</t>
  </si>
  <si>
    <t>区间</t>
  </si>
  <si>
    <t>指标</t>
  </si>
  <si>
    <t>数值</t>
  </si>
  <si>
    <t>起始以来</t>
  </si>
  <si>
    <t>2026YTD</t>
  </si>
  <si>
    <r>
      <rPr>
        <b/>
        <sz val="16"/>
        <color rgb="FF000000"/>
        <rFont val="Linux Libertine G"/>
        <family val="2"/>
      </rPr>
      <t>回撤修复天数</t>
    </r>
    <r>
      <rPr>
        <b/>
        <sz val="16"/>
        <color rgb="FF000000"/>
        <rFont val="微软雅黑"/>
        <family val="2"/>
      </rPr>
      <t>(</t>
    </r>
    <r>
      <rPr>
        <b/>
        <sz val="16"/>
        <color rgb="FF000000"/>
        <rFont val="Linux Libertine G"/>
        <family val="2"/>
      </rPr>
      <t>未创新高</t>
    </r>
    <r>
      <rPr>
        <b/>
        <sz val="16"/>
        <color rgb="FF000000"/>
        <rFont val="微软雅黑"/>
        <family val="2"/>
      </rPr>
      <t>)</t>
    </r>
  </si>
  <si>
    <r>
      <rPr>
        <b/>
        <sz val="16"/>
        <color rgb="FF000000"/>
        <rFont val="Linux Libertine G"/>
        <family val="2"/>
      </rPr>
      <t>近</t>
    </r>
    <r>
      <rPr>
        <b/>
        <sz val="16"/>
        <color rgb="FF000000"/>
        <rFont val="微软雅黑"/>
        <family val="2"/>
      </rPr>
      <t>3</t>
    </r>
    <r>
      <rPr>
        <b/>
        <sz val="16"/>
        <color rgb="FF000000"/>
        <rFont val="Linux Libertine G"/>
        <family val="2"/>
      </rPr>
      <t>个月</t>
    </r>
  </si>
  <si>
    <t>正收益占比</t>
  </si>
  <si>
    <r>
      <rPr>
        <b/>
        <sz val="16"/>
        <color rgb="FF000000"/>
        <rFont val="Linux Libertine G"/>
        <family val="2"/>
      </rPr>
      <t>近</t>
    </r>
    <r>
      <rPr>
        <b/>
        <sz val="16"/>
        <color rgb="FF000000"/>
        <rFont val="微软雅黑"/>
        <family val="2"/>
      </rPr>
      <t>6</t>
    </r>
    <r>
      <rPr>
        <b/>
        <sz val="16"/>
        <color rgb="FF000000"/>
        <rFont val="Linux Libertine G"/>
        <family val="2"/>
      </rPr>
      <t>个月</t>
    </r>
  </si>
  <si>
    <r>
      <rPr>
        <b/>
        <sz val="16"/>
        <color rgb="FF000000"/>
        <rFont val="Linux Libertine G"/>
        <family val="2"/>
      </rPr>
      <t>近</t>
    </r>
    <r>
      <rPr>
        <b/>
        <sz val="16"/>
        <color rgb="FF000000"/>
        <rFont val="微软雅黑"/>
        <family val="2"/>
      </rPr>
      <t>1</t>
    </r>
    <r>
      <rPr>
        <b/>
        <sz val="16"/>
        <color rgb="FF000000"/>
        <rFont val="Linux Libertine G"/>
        <family val="2"/>
      </rPr>
      <t>年</t>
    </r>
  </si>
  <si>
    <t>卡玛比率</t>
  </si>
  <si>
    <r>
      <rPr>
        <b/>
        <sz val="11"/>
        <color rgb="FFFFFFFF"/>
        <rFont val="Linux Libertine G"/>
        <family val="2"/>
      </rPr>
      <t xml:space="preserve">产品运作情况 </t>
    </r>
    <r>
      <rPr>
        <b/>
        <sz val="11"/>
        <color rgb="FFFFFFFF"/>
        <rFont val="Arial"/>
        <family val="2"/>
      </rPr>
      <t xml:space="preserve">· </t>
    </r>
    <r>
      <rPr>
        <b/>
        <sz val="11"/>
        <color rgb="FFFFFFFF"/>
        <rFont val="Linux Libertine G"/>
        <family val="2"/>
      </rPr>
      <t>组合净值曲线</t>
    </r>
  </si>
  <si>
    <r>
      <rPr>
        <i/>
        <sz val="9"/>
        <color rgb="FF595959"/>
        <rFont val="Linux Libertine G"/>
        <family val="2"/>
      </rPr>
      <t>统计区间自</t>
    </r>
    <r>
      <rPr>
        <i/>
        <sz val="9"/>
        <color rgb="FF595959"/>
        <rFont val="Arial"/>
        <family val="2"/>
      </rPr>
      <t>2026/6/1</t>
    </r>
    <r>
      <rPr>
        <i/>
        <sz val="9"/>
        <color rgb="FF595959"/>
        <rFont val="Linux Libertine G"/>
        <family val="2"/>
      </rPr>
      <t>起；运作初期样本少，年化类指标仅供参考。新增交易日后请同步扩展本图数据区。</t>
    </r>
  </si>
  <si>
    <t>样板间组合走势看板（产业趋势基石组合）</t>
  </si>
  <si>
    <r>
      <rPr>
        <b/>
        <sz val="17"/>
        <color rgb="FFFFFFFF"/>
        <rFont val="Linux Libertine G"/>
        <family val="2"/>
      </rPr>
      <t>样板间组合走势看板（产业趋势</t>
    </r>
    <r>
      <rPr>
        <b/>
        <sz val="17"/>
        <color rgb="FFFFFFFF"/>
        <rFont val="Arial"/>
        <family val="2"/>
      </rPr>
      <t>2</t>
    </r>
    <r>
      <rPr>
        <b/>
        <sz val="17"/>
        <color rgb="FFFFFFFF"/>
        <rFont val="Linux Libertine G"/>
        <family val="2"/>
      </rPr>
      <t>号组合）</t>
    </r>
  </si>
  <si>
    <r>
      <rPr>
        <b/>
        <sz val="17"/>
        <color rgb="FFFFFFFF"/>
        <rFont val="Linux Libertine G"/>
        <family val="2"/>
      </rPr>
      <t>样板间组合走势看板（</t>
    </r>
    <r>
      <rPr>
        <b/>
        <sz val="17"/>
        <color rgb="FFFFFFFF"/>
        <rFont val="Arial"/>
        <family val="2"/>
      </rPr>
      <t>10-90</t>
    </r>
    <r>
      <rPr>
        <b/>
        <sz val="17"/>
        <color rgb="FFFFFFFF"/>
        <rFont val="Linux Libertine G"/>
        <family val="2"/>
      </rPr>
      <t>组合）</t>
    </r>
  </si>
  <si>
    <r>
      <rPr>
        <b/>
        <sz val="17"/>
        <color rgb="FFFFFFFF"/>
        <rFont val="Linux Libertine G"/>
        <family val="2"/>
      </rPr>
      <t>样板间组合走势看板（</t>
    </r>
    <r>
      <rPr>
        <b/>
        <sz val="17"/>
        <color rgb="FFFFFFFF"/>
        <rFont val="Arial"/>
        <family val="2"/>
      </rPr>
      <t>10-90</t>
    </r>
    <r>
      <rPr>
        <b/>
        <sz val="17"/>
        <color rgb="FFFFFFFF"/>
        <rFont val="Linux Libertine G"/>
        <family val="2"/>
      </rPr>
      <t>基石组合）</t>
    </r>
  </si>
  <si>
    <r>
      <rPr>
        <b/>
        <sz val="17"/>
        <color rgb="FFFFFFFF"/>
        <rFont val="Linux Libertine G"/>
        <family val="2"/>
      </rPr>
      <t>样板间组合走势看板（</t>
    </r>
    <r>
      <rPr>
        <b/>
        <sz val="17"/>
        <color rgb="FFFFFFFF"/>
        <rFont val="Arial"/>
        <family val="2"/>
      </rPr>
      <t>30-70</t>
    </r>
    <r>
      <rPr>
        <b/>
        <sz val="17"/>
        <color rgb="FFFFFFFF"/>
        <rFont val="Linux Libertine G"/>
        <family val="2"/>
      </rPr>
      <t>组合）</t>
    </r>
  </si>
  <si>
    <r>
      <rPr>
        <b/>
        <sz val="18"/>
        <color rgb="FF1F3864"/>
        <rFont val="Linux Libertine G"/>
        <family val="2"/>
      </rPr>
      <t xml:space="preserve">样板间投顾组合 </t>
    </r>
    <r>
      <rPr>
        <b/>
        <sz val="18"/>
        <color rgb="FF1F3864"/>
        <rFont val="Arial"/>
        <family val="2"/>
      </rPr>
      <t xml:space="preserve">· </t>
    </r>
    <r>
      <rPr>
        <b/>
        <sz val="18"/>
        <color rgb="FF1F3864"/>
        <rFont val="Linux Libertine G"/>
        <family val="2"/>
      </rPr>
      <t>净值监控模板</t>
    </r>
  </si>
  <si>
    <r>
      <rPr>
        <i/>
        <sz val="9"/>
        <color rgb="FF595959"/>
        <rFont val="Linux Libertine G"/>
        <family val="2"/>
      </rPr>
      <t>运作起始日（实盘）：产业趋势基石</t>
    </r>
    <r>
      <rPr>
        <i/>
        <sz val="9"/>
        <color rgb="FF595959"/>
        <rFont val="Arial"/>
        <family val="2"/>
      </rPr>
      <t>/10-90</t>
    </r>
    <r>
      <rPr>
        <i/>
        <sz val="9"/>
        <color rgb="FF595959"/>
        <rFont val="Linux Libertine G"/>
        <family val="2"/>
      </rPr>
      <t xml:space="preserve">基石 </t>
    </r>
    <r>
      <rPr>
        <i/>
        <sz val="9"/>
        <color rgb="FF595959"/>
        <rFont val="Arial"/>
        <family val="2"/>
      </rPr>
      <t xml:space="preserve">2026/6/18 · </t>
    </r>
    <r>
      <rPr>
        <i/>
        <sz val="9"/>
        <color rgb="FF595959"/>
        <rFont val="Linux Libertine G"/>
        <family val="2"/>
      </rPr>
      <t xml:space="preserve">产业趋势 </t>
    </r>
    <r>
      <rPr>
        <i/>
        <sz val="9"/>
        <color rgb="FF595959"/>
        <rFont val="Arial"/>
        <family val="2"/>
      </rPr>
      <t xml:space="preserve">6/22 · </t>
    </r>
    <r>
      <rPr>
        <i/>
        <sz val="9"/>
        <color rgb="FF595959"/>
        <rFont val="Linux Libertine G"/>
        <family val="2"/>
      </rPr>
      <t>产业趋势</t>
    </r>
    <r>
      <rPr>
        <i/>
        <sz val="9"/>
        <color rgb="FF595959"/>
        <rFont val="Arial"/>
        <family val="2"/>
      </rPr>
      <t>2</t>
    </r>
    <r>
      <rPr>
        <i/>
        <sz val="9"/>
        <color rgb="FF595959"/>
        <rFont val="Linux Libertine G"/>
        <family val="2"/>
      </rPr>
      <t xml:space="preserve">号 </t>
    </r>
    <r>
      <rPr>
        <i/>
        <sz val="9"/>
        <color rgb="FF595959"/>
        <rFont val="Arial"/>
        <family val="2"/>
      </rPr>
      <t xml:space="preserve">6/23 · 10-90/30-70 6/24 </t>
    </r>
    <r>
      <rPr>
        <i/>
        <sz val="9"/>
        <color rgb="FF595959"/>
        <rFont val="Linux Libertine G"/>
        <family val="2"/>
      </rPr>
      <t>｜ 净值口径：复权单位净值</t>
    </r>
    <r>
      <rPr>
        <i/>
        <sz val="9"/>
        <color rgb="FF595959"/>
        <rFont val="Arial"/>
        <family val="2"/>
      </rPr>
      <t xml:space="preserve">(iFinD) </t>
    </r>
    <r>
      <rPr>
        <i/>
        <sz val="9"/>
        <color rgb="FF595959"/>
        <rFont val="Linux Libertine G"/>
        <family val="2"/>
      </rPr>
      <t>｜ 买入持有</t>
    </r>
    <r>
      <rPr>
        <i/>
        <sz val="9"/>
        <color rgb="FF595959"/>
        <rFont val="Arial"/>
        <family val="2"/>
      </rPr>
      <t>(</t>
    </r>
    <r>
      <rPr>
        <i/>
        <sz val="9"/>
        <color rgb="FF595959"/>
        <rFont val="Linux Libertine G"/>
        <family val="2"/>
      </rPr>
      <t>权重漂移</t>
    </r>
    <r>
      <rPr>
        <i/>
        <sz val="9"/>
        <color rgb="FF595959"/>
        <rFont val="Arial"/>
        <family val="2"/>
      </rPr>
      <t>)</t>
    </r>
    <r>
      <rPr>
        <i/>
        <sz val="9"/>
        <color rgb="FF595959"/>
        <rFont val="Linux Libertine G"/>
        <family val="2"/>
      </rPr>
      <t>，各组合自其起始日净值</t>
    </r>
    <r>
      <rPr>
        <i/>
        <sz val="9"/>
        <color rgb="FF595959"/>
        <rFont val="Arial"/>
        <family val="2"/>
      </rPr>
      <t>=1</t>
    </r>
  </si>
  <si>
    <t>一、模板结构</t>
  </si>
  <si>
    <t>持仓配置</t>
  </si>
  <si>
    <r>
      <rPr>
        <sz val="10"/>
        <color rgb="FF000000"/>
        <rFont val="Linux Libertine G"/>
        <family val="2"/>
      </rPr>
      <t>实盘</t>
    </r>
    <r>
      <rPr>
        <sz val="10"/>
        <color rgb="FF000000"/>
        <rFont val="微软雅黑"/>
        <family val="2"/>
      </rPr>
      <t>6</t>
    </r>
    <r>
      <rPr>
        <sz val="10"/>
        <color rgb="FF000000"/>
        <rFont val="Linux Libertine G"/>
        <family val="2"/>
      </rPr>
      <t>组合</t>
    </r>
    <r>
      <rPr>
        <sz val="10"/>
        <color rgb="FF000000"/>
        <rFont val="微软雅黑"/>
        <family val="2"/>
      </rPr>
      <t>(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</rPr>
      <t>/</t>
    </r>
    <r>
      <rPr>
        <sz val="10"/>
        <color rgb="FF000000"/>
        <rFont val="Linux Libertine G"/>
        <family val="2"/>
      </rPr>
      <t>产业趋势基石</t>
    </r>
    <r>
      <rPr>
        <sz val="10"/>
        <color rgb="FF000000"/>
        <rFont val="微软雅黑"/>
        <family val="2"/>
      </rPr>
      <t>/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</rPr>
      <t>2</t>
    </r>
    <r>
      <rPr>
        <sz val="10"/>
        <color rgb="FF000000"/>
        <rFont val="Linux Libertine G"/>
        <family val="2"/>
      </rPr>
      <t>号</t>
    </r>
    <r>
      <rPr>
        <sz val="10"/>
        <color rgb="FF000000"/>
        <rFont val="微软雅黑"/>
        <family val="2"/>
      </rPr>
      <t>/10-90/10-90</t>
    </r>
    <r>
      <rPr>
        <sz val="10"/>
        <color rgb="FF000000"/>
        <rFont val="Linux Libertine G"/>
        <family val="2"/>
      </rPr>
      <t>基石</t>
    </r>
    <r>
      <rPr>
        <sz val="10"/>
        <color rgb="FF000000"/>
        <rFont val="微软雅黑"/>
        <family val="2"/>
      </rPr>
      <t>/30-70)</t>
    </r>
    <r>
      <rPr>
        <sz val="10"/>
        <color rgb="FF000000"/>
        <rFont val="Linux Libertine G"/>
        <family val="2"/>
      </rPr>
      <t>成份基金、代码、初始权重、年化费率、净值起始日，可直接编辑。</t>
    </r>
  </si>
  <si>
    <r>
      <rPr>
        <b/>
        <sz val="10"/>
        <color rgb="FF000000"/>
        <rFont val="Linux Libertine G"/>
        <family val="2"/>
      </rPr>
      <t>净值数据</t>
    </r>
    <r>
      <rPr>
        <b/>
        <sz val="10"/>
        <color rgb="FF000000"/>
        <rFont val="Arial"/>
        <family val="2"/>
      </rPr>
      <t>(iFinD</t>
    </r>
    <r>
      <rPr>
        <b/>
        <sz val="10"/>
        <color rgb="FF000000"/>
        <rFont val="Linux Libertine G"/>
        <family val="2"/>
      </rPr>
      <t>公式</t>
    </r>
    <r>
      <rPr>
        <b/>
        <sz val="10"/>
        <color rgb="FF000000"/>
        <rFont val="Arial"/>
        <family val="2"/>
      </rPr>
      <t>)</t>
    </r>
  </si>
  <si>
    <t>同花顺公式拉取复权单位净值</t>
  </si>
  <si>
    <t>组合净值</t>
  </si>
  <si>
    <r>
      <rPr>
        <sz val="10"/>
        <color rgb="FF000000"/>
        <rFont val="Linux Libertine G"/>
        <family val="2"/>
      </rPr>
      <t>按买入持有逐日计算四组合净值、日收益与回撤；净值已按年化费率折每日扣费</t>
    </r>
    <r>
      <rPr>
        <sz val="10"/>
        <color rgb="FF000000"/>
        <rFont val="微软雅黑"/>
        <family val="2"/>
      </rPr>
      <t>(</t>
    </r>
    <r>
      <rPr>
        <sz val="10"/>
        <color rgb="FF000000"/>
        <rFont val="Linux Libertine G"/>
        <family val="2"/>
      </rPr>
      <t>扣费后口径</t>
    </r>
    <r>
      <rPr>
        <sz val="10"/>
        <color rgb="FF000000"/>
        <rFont val="微软雅黑"/>
        <family val="2"/>
      </rPr>
      <t>)</t>
    </r>
    <r>
      <rPr>
        <sz val="10"/>
        <color rgb="FF000000"/>
        <rFont val="Linux Libertine G"/>
        <family val="2"/>
      </rPr>
      <t>。</t>
    </r>
  </si>
  <si>
    <r>
      <rPr>
        <b/>
        <sz val="10"/>
        <color rgb="FF000000"/>
        <rFont val="Linux Libertine G"/>
        <family val="2"/>
      </rPr>
      <t>看板</t>
    </r>
    <r>
      <rPr>
        <b/>
        <sz val="10"/>
        <color rgb="FF000000"/>
        <rFont val="Arial"/>
        <family val="2"/>
      </rPr>
      <t>-10/20/30/</t>
    </r>
    <r>
      <rPr>
        <b/>
        <sz val="10"/>
        <color rgb="FF000000"/>
        <rFont val="Linux Libertine G"/>
        <family val="2"/>
      </rPr>
      <t>增值</t>
    </r>
  </si>
  <si>
    <r>
      <rPr>
        <sz val="10"/>
        <color rgb="FF000000"/>
        <rFont val="微软雅黑"/>
        <family val="2"/>
      </rPr>
      <t>6</t>
    </r>
    <r>
      <rPr>
        <sz val="10"/>
        <color rgb="FF000000"/>
        <rFont val="Linux Libertine G"/>
        <family val="2"/>
      </rPr>
      <t>个组合各一页：业绩</t>
    </r>
    <r>
      <rPr>
        <sz val="10"/>
        <color rgb="FF000000"/>
        <rFont val="微软雅黑"/>
        <family val="2"/>
      </rPr>
      <t>KPI</t>
    </r>
    <r>
      <rPr>
        <sz val="10"/>
        <color rgb="FF000000"/>
        <rFont val="Linux Libertine G"/>
        <family val="2"/>
      </rPr>
      <t>＋收益表现＋风险特征＋净值曲线。</t>
    </r>
  </si>
  <si>
    <t>二、使用说明</t>
  </si>
  <si>
    <t>每日更新</t>
  </si>
  <si>
    <r>
      <rPr>
        <sz val="10"/>
        <color rgb="FF000000"/>
        <rFont val="Linux Libertine G"/>
        <family val="2"/>
      </rPr>
      <t>在『净值数据』『组合净值』底部按日期顺序新增一行</t>
    </r>
    <r>
      <rPr>
        <sz val="10"/>
        <color rgb="FF000000"/>
        <rFont val="微软雅黑"/>
        <family val="2"/>
      </rPr>
      <t>(</t>
    </r>
    <r>
      <rPr>
        <sz val="10"/>
        <color rgb="FF000000"/>
        <rFont val="Linux Libertine G"/>
        <family val="2"/>
      </rPr>
      <t>公式可下拉</t>
    </r>
    <r>
      <rPr>
        <sz val="10"/>
        <color rgb="FF000000"/>
        <rFont val="微软雅黑"/>
        <family val="2"/>
      </rPr>
      <t>)</t>
    </r>
    <r>
      <rPr>
        <sz val="10"/>
        <color rgb="FF000000"/>
        <rFont val="Linux Libertine G"/>
        <family val="2"/>
      </rPr>
      <t>，看板自动刷新。</t>
    </r>
  </si>
  <si>
    <r>
      <rPr>
        <b/>
        <sz val="10"/>
        <color rgb="FF000000"/>
        <rFont val="Arial"/>
        <family val="2"/>
      </rPr>
      <t>iFinD</t>
    </r>
    <r>
      <rPr>
        <b/>
        <sz val="10"/>
        <color rgb="FF000000"/>
        <rFont val="Linux Libertine G"/>
        <family val="2"/>
      </rPr>
      <t>指标</t>
    </r>
  </si>
  <si>
    <r>
      <rPr>
        <sz val="10"/>
        <color rgb="FF000000"/>
        <rFont val="Linux Libertine G"/>
        <family val="2"/>
      </rPr>
      <t>复权净值指标代码集中在『净值数据』</t>
    </r>
    <r>
      <rPr>
        <sz val="10"/>
        <color rgb="FF000000"/>
        <rFont val="微软雅黑"/>
        <family val="2"/>
      </rPr>
      <t>B2</t>
    </r>
    <r>
      <rPr>
        <sz val="10"/>
        <color rgb="FF000000"/>
        <rFont val="Linux Libertine G"/>
        <family val="2"/>
      </rPr>
      <t>，与本地版本不符时只改此处。</t>
    </r>
  </si>
  <si>
    <t>买入持有口径</t>
  </si>
  <si>
    <r>
      <rPr>
        <sz val="10"/>
        <color rgb="FF000000"/>
        <rFont val="Linux Libertine G"/>
        <family val="2"/>
      </rPr>
      <t>起始日按初始权重买入后持有，权重随涨跌漂移；组合起始净值</t>
    </r>
    <r>
      <rPr>
        <sz val="10"/>
        <color rgb="FF000000"/>
        <rFont val="微软雅黑"/>
        <family val="2"/>
      </rPr>
      <t>=1.0000</t>
    </r>
    <r>
      <rPr>
        <sz val="10"/>
        <color rgb="FF000000"/>
        <rFont val="Linux Libertine G"/>
        <family val="2"/>
      </rPr>
      <t>。</t>
    </r>
  </si>
  <si>
    <t>扣费方式</t>
  </si>
  <si>
    <r>
      <rPr>
        <sz val="10"/>
        <color rgb="FF000000"/>
        <rFont val="Linux Libertine G"/>
        <family val="2"/>
      </rPr>
      <t>各组合年化费率见『实盘持仓配置』</t>
    </r>
    <r>
      <rPr>
        <sz val="10"/>
        <color rgb="FF000000"/>
        <rFont val="微软雅黑"/>
        <family val="2"/>
      </rPr>
      <t>Z</t>
    </r>
    <r>
      <rPr>
        <sz val="10"/>
        <color rgb="FF000000"/>
        <rFont val="Linux Libertine G"/>
        <family val="2"/>
      </rPr>
      <t>列；按 净值</t>
    </r>
    <r>
      <rPr>
        <sz val="10"/>
        <color rgb="FF000000"/>
        <rFont val="微软雅黑"/>
        <family val="2"/>
      </rPr>
      <t>×(1-</t>
    </r>
    <r>
      <rPr>
        <sz val="10"/>
        <color rgb="FF000000"/>
        <rFont val="Linux Libertine G"/>
        <family val="2"/>
      </rPr>
      <t>费率</t>
    </r>
    <r>
      <rPr>
        <sz val="10"/>
        <color rgb="FF000000"/>
        <rFont val="微软雅黑"/>
        <family val="2"/>
      </rPr>
      <t>)^(</t>
    </r>
    <r>
      <rPr>
        <sz val="10"/>
        <color rgb="FF000000"/>
        <rFont val="Linux Libertine G"/>
        <family val="2"/>
      </rPr>
      <t>已运作交易日数</t>
    </r>
    <r>
      <rPr>
        <sz val="10"/>
        <color rgb="FF000000"/>
        <rFont val="微软雅黑"/>
        <family val="2"/>
      </rPr>
      <t>/</t>
    </r>
    <r>
      <rPr>
        <sz val="10"/>
        <color rgb="FF000000"/>
        <rFont val="Linux Libertine G"/>
        <family val="2"/>
      </rPr>
      <t>年化交易日数</t>
    </r>
    <r>
      <rPr>
        <sz val="10"/>
        <color rgb="FF000000"/>
        <rFont val="微软雅黑"/>
        <family val="2"/>
      </rPr>
      <t xml:space="preserve">) </t>
    </r>
    <r>
      <rPr>
        <sz val="10"/>
        <color rgb="FF000000"/>
        <rFont val="Linux Libertine G"/>
        <family val="2"/>
      </rPr>
      <t>折每日计入，看板均为扣费后口径。</t>
    </r>
  </si>
  <si>
    <r>
      <rPr>
        <b/>
        <sz val="10"/>
        <color rgb="FF000000"/>
        <rFont val="Linux Libertine G"/>
        <family val="2"/>
      </rPr>
      <t>参数：无风险利率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inux Libertine G"/>
        <family val="2"/>
      </rPr>
      <t>年化</t>
    </r>
    <r>
      <rPr>
        <b/>
        <sz val="10"/>
        <color rgb="FF000000"/>
        <rFont val="Arial"/>
        <family val="2"/>
      </rPr>
      <t>)</t>
    </r>
  </si>
  <si>
    <t>参数：年化交易日数</t>
  </si>
  <si>
    <t>净值曲线</t>
  </si>
  <si>
    <r>
      <rPr>
        <sz val="10"/>
        <color rgb="FF000000"/>
        <rFont val="Linux Libertine G"/>
        <family val="2"/>
      </rPr>
      <t>净值曲线改用日期轴</t>
    </r>
    <r>
      <rPr>
        <sz val="10"/>
        <color rgb="FF000000"/>
        <rFont val="微软雅黑"/>
        <family val="2"/>
      </rPr>
      <t>+</t>
    </r>
    <r>
      <rPr>
        <sz val="10"/>
        <color rgb="FF000000"/>
        <rFont val="Linux Libertine G"/>
        <family val="2"/>
      </rPr>
      <t>直接区域引用，横轴自起始日起、自动延伸到最新交易日，无需手改图表数据区。</t>
    </r>
  </si>
  <si>
    <r>
      <rPr>
        <i/>
        <sz val="9"/>
        <color rgb="FF595959"/>
        <rFont val="Linux Libertine G"/>
        <family val="2"/>
      </rPr>
      <t xml:space="preserve">数据来源：同花顺 </t>
    </r>
    <r>
      <rPr>
        <i/>
        <sz val="9"/>
        <color rgb="FF595959"/>
        <rFont val="Arial"/>
        <family val="2"/>
      </rPr>
      <t>iFinD(</t>
    </r>
    <r>
      <rPr>
        <i/>
        <sz val="9"/>
        <color rgb="FF595959"/>
        <rFont val="Linux Libertine G"/>
        <family val="2"/>
      </rPr>
      <t>复权单位净值</t>
    </r>
    <r>
      <rPr>
        <i/>
        <sz val="9"/>
        <color rgb="FF595959"/>
        <rFont val="Arial"/>
        <family val="2"/>
      </rPr>
      <t>)</t>
    </r>
  </si>
  <si>
    <t>样板间投顾组合 · 偏离度监控</t>
  </si>
  <si>
    <t>净值截止日</t>
  </si>
  <si>
    <t>权重口径</t>
  </si>
  <si>
    <t>上一完整交易日（避免当日净值更新不同步）</t>
  </si>
  <si>
    <t>配比预警阈值</t>
  </si>
  <si>
    <t>主动基金上限</t>
  </si>
  <si>
    <t>三个产业趋势组合展示全部最新持仓；10-90（含基石）及30-70的结构偏离按目标配比监控。红色表示超过约束或预警阈值。</t>
  </si>
  <si>
    <t>数据截止日</t>
  </si>
  <si>
    <t>组合</t>
  </si>
  <si>
    <t>基金类型</t>
  </si>
  <si>
    <t>当前权重</t>
  </si>
  <si>
    <t>是否超限</t>
  </si>
  <si>
    <t>调仓生效日</t>
  </si>
  <si>
    <t>约束口径：仅“主动”基金适用单只20%上限；主题指数、指增、货币、债券及保障基金不纳入该上限。超限基金整行标红。</t>
  </si>
  <si>
    <t>增值目标</t>
  </si>
  <si>
    <t>增值当前</t>
  </si>
  <si>
    <t>偏离度</t>
  </si>
  <si>
    <t>生息目标</t>
  </si>
  <si>
    <t>生息当前</t>
  </si>
  <si>
    <t>10-90</t>
  </si>
  <si>
    <t>10-90基石</t>
  </si>
  <si>
    <t>30-70</t>
  </si>
  <si>
    <t>生息含债券、货币及保障类基金；默认预警阈值为±2个百分点，可在J2直接修改。偏离度=当前配比−目标配比。</t>
  </si>
  <si>
    <t>3. 增值部分内部产业趋势 / 指增当前配比</t>
  </si>
  <si>
    <t>产业趋势当前权重</t>
  </si>
  <si>
    <t>指增部分当前权重</t>
  </si>
  <si>
    <t>增值部分总权重</t>
  </si>
  <si>
    <t>产业趋势与指增的当前权重均以“增值部分总权重”为分母。</t>
  </si>
  <si>
    <t>核验：原模板8月10日当日行仅货币基金先更新，最大混频差为0.00044个百分点；改用2026-08-07完整净值后，与系统导出最大残差降至0.00010个百分点（约0.01bp，仅为6位小数舍入）。</t>
  </si>
  <si>
    <t>分类映射与自动计算明细（维护区）</t>
  </si>
  <si>
    <t>分类参考《增值_生息+产业趋势_指增.xlsx》；A/C份额继承同一基金分类。000917、009993及部分C份额为现持仓补充映射。</t>
  </si>
  <si>
    <t>大类</t>
  </si>
  <si>
    <t>增值细分</t>
  </si>
  <si>
    <t>管理方式</t>
  </si>
  <si>
    <t>分类依据</t>
  </si>
  <si>
    <t>产业趋势</t>
  </si>
  <si>
    <t>产业趋势基石</t>
  </si>
  <si>
    <t>产业趋势2号</t>
  </si>
  <si>
    <t>华安黄金ETF联接A</t>
  </si>
  <si>
    <t>生息</t>
  </si>
  <si>
    <t>-</t>
  </si>
  <si>
    <t>保障</t>
  </si>
  <si>
    <t>债券&amp;保障池子（保障）</t>
  </si>
  <si>
    <t>嘉实快线货币A</t>
  </si>
  <si>
    <t>货币</t>
  </si>
  <si>
    <t>现持仓补充</t>
  </si>
  <si>
    <t>宏利复兴混合A</t>
  </si>
  <si>
    <t>增值</t>
  </si>
  <si>
    <t>主动</t>
  </si>
  <si>
    <t>产业趋势产品池</t>
  </si>
  <si>
    <t>博道沪深300增强A</t>
  </si>
  <si>
    <t>指增</t>
  </si>
  <si>
    <t>宽基&amp;指增池</t>
  </si>
  <si>
    <t>博道沪深300指增C</t>
  </si>
  <si>
    <t>同基金A/C</t>
  </si>
  <si>
    <t>国泰通信设备ETF联接A</t>
  </si>
  <si>
    <t>指数</t>
  </si>
  <si>
    <t>国泰通信设备C</t>
  </si>
  <si>
    <t>银华集成电路混合A</t>
  </si>
  <si>
    <t>银华集成电路混合C</t>
  </si>
  <si>
    <t>天弘中证1000指增A</t>
  </si>
  <si>
    <t>天弘中证1000指增C</t>
  </si>
  <si>
    <t>中欧中证500指增A</t>
  </si>
  <si>
    <t>中欧中证500指增C</t>
  </si>
  <si>
    <t>信澳业绩驱动A</t>
  </si>
  <si>
    <t>嘉实信息产业A</t>
  </si>
  <si>
    <t>嘉实信息产业C</t>
  </si>
  <si>
    <t>宏利复兴伟业C</t>
  </si>
  <si>
    <t>国泰半导体材料设备ETF联接A</t>
  </si>
  <si>
    <t>国泰半导体材料设备C</t>
  </si>
  <si>
    <t>华泰柏瑞中证2000指增A</t>
  </si>
  <si>
    <t>华泰柏瑞中证2000指增C</t>
  </si>
  <si>
    <t>易方达中债新综指LOFA</t>
  </si>
  <si>
    <t>债券</t>
  </si>
  <si>
    <t>债券&amp;保障池子（生息）</t>
  </si>
  <si>
    <t>自动计算参数（公式区）</t>
  </si>
  <si>
    <t>最新完整净值行(相对A5)</t>
  </si>
  <si>
    <t>最新完整净值日期</t>
  </si>
  <si>
    <t>最新阶段行</t>
  </si>
  <si>
    <t>阶段标签</t>
  </si>
  <si>
    <t>归一化因子</t>
  </si>
  <si>
    <t>最近完整快照（2026-08-07，由模板净值和分期持仓重算；非系统导入）</t>
  </si>
  <si>
    <t>1. 产业趋势组合详细持仓及集中度风险</t>
    <phoneticPr fontId="35" type="noConversion"/>
  </si>
  <si>
    <t>2. 组合内部增值 / 生息配比偏离（10-90/30-70）</t>
    <phoneticPr fontId="35" type="noConversion"/>
  </si>
  <si>
    <t>序号</t>
  </si>
  <si>
    <t>产品/基金名称</t>
  </si>
  <si>
    <t>003504.OF</t>
  </si>
  <si>
    <t>000143.OF</t>
  </si>
  <si>
    <t>000385.OF</t>
  </si>
  <si>
    <t>002065.OF</t>
  </si>
  <si>
    <t>002969.OF</t>
  </si>
  <si>
    <t>014088.OF</t>
  </si>
  <si>
    <t>001751.OF</t>
  </si>
  <si>
    <t>014846.OF</t>
  </si>
  <si>
    <t>000171.OF</t>
  </si>
  <si>
    <t>202101.OF</t>
  </si>
  <si>
    <t>470010.OF</t>
  </si>
  <si>
    <t>000406.OF</t>
  </si>
  <si>
    <t>018595.OF</t>
  </si>
  <si>
    <t>020218.OF</t>
  </si>
  <si>
    <t>009355.OF</t>
  </si>
  <si>
    <t>024057.OF</t>
  </si>
  <si>
    <t>011168.OF</t>
  </si>
  <si>
    <t>嘉实睿享安久双利18个月持有期债券</t>
  </si>
  <si>
    <t>014738.OF</t>
  </si>
  <si>
    <t>006307.OF</t>
  </si>
  <si>
    <t>003458.OF</t>
  </si>
  <si>
    <t>110027.OF</t>
  </si>
  <si>
    <t>005221.OF</t>
  </si>
  <si>
    <t>160718.OF</t>
  </si>
  <si>
    <t>数据源：同花顺 iFinD；基金净值明细覆盖 2026-06-18 至 2026-08-10。</t>
  </si>
  <si>
    <t>景顺长城景颐丰利债券</t>
  </si>
  <si>
    <t>鹏华双债加利债券</t>
  </si>
  <si>
    <t>景顺长城景颐双利债券</t>
  </si>
  <si>
    <t>景顺长城景盛双息收益债券</t>
  </si>
  <si>
    <t>易方达丰和债券</t>
  </si>
  <si>
    <t>永赢稳健增强债券</t>
  </si>
  <si>
    <t>华商信用增强债券</t>
  </si>
  <si>
    <t>博时恒乐债券</t>
  </si>
  <si>
    <t>易方达裕丰回报债券</t>
  </si>
  <si>
    <t>南方宝元债券</t>
  </si>
  <si>
    <t>上线以来</t>
    <phoneticPr fontId="35" type="noConversion"/>
  </si>
  <si>
    <t>汇添富多元收益债券</t>
  </si>
  <si>
    <t>汇添富双利增强债券</t>
  </si>
  <si>
    <t>华商利欣回报债券</t>
  </si>
  <si>
    <t>万家锦利债券发起式</t>
  </si>
  <si>
    <t>宏利泰和稳健养老目标一年持有期混合(FOF)</t>
  </si>
  <si>
    <t>宏利鼎森稳健3个月持有期混合(FOF)</t>
  </si>
  <si>
    <t>广发恒祥债券</t>
  </si>
  <si>
    <t>嘉实养老目标日期2040五年持有期混合(FOF)</t>
  </si>
  <si>
    <t>嘉实稳宏债券</t>
  </si>
  <si>
    <t>易方达安心回报债券</t>
  </si>
  <si>
    <t>宏利全能优选混合(FOF)</t>
  </si>
  <si>
    <t>嘉实多利收益债券</t>
  </si>
  <si>
    <t>最大回撤按页首“上线以来”起止日计算；日期参数需选择净值明细中存在的日期，否则相应收益率留空。</t>
    <phoneticPr fontId="35" type="noConversion"/>
  </si>
  <si>
    <t>说明：基金收益率按复权单位净值计算；1090净值通过公式直接链接实盘净值数据</t>
    <phoneticPr fontId="35" type="noConversion"/>
  </si>
  <si>
    <t>26Q2规模（亿元）</t>
    <phoneticPr fontId="35" type="noConversion"/>
  </si>
  <si>
    <t>最大回撤（上线以来）</t>
    <phoneticPr fontId="35" type="noConversion"/>
  </si>
  <si>
    <t>公募固收+Q2规模增长前十基金表现</t>
    <phoneticPr fontId="35" type="noConversion"/>
  </si>
  <si>
    <t>公司公募固收+保有前十基金表现（2026Q2）</t>
    <phoneticPr fontId="35" type="noConversion"/>
  </si>
  <si>
    <t>公募固收+规模前十（2026Q2）基金表现</t>
    <phoneticPr fontId="35" type="noConversion"/>
  </si>
  <si>
    <t>6/22-7/30</t>
    <phoneticPr fontId="35" type="noConversion"/>
  </si>
  <si>
    <t>7.31至今</t>
    <phoneticPr fontId="35" type="noConversion"/>
  </si>
  <si>
    <t>10/90基石投顾组合</t>
    <phoneticPr fontId="35" type="noConversion"/>
  </si>
  <si>
    <t>公司固收加保有前十（万元）</t>
    <phoneticPr fontId="35" type="noConversion"/>
  </si>
  <si>
    <t>上周</t>
    <phoneticPr fontId="35" type="noConversion"/>
  </si>
  <si>
    <t>1090基石</t>
    <phoneticPr fontId="35" type="noConversion"/>
  </si>
  <si>
    <t>指标名称</t>
  </si>
  <si>
    <t>本周</t>
  </si>
  <si>
    <t>本月</t>
  </si>
  <si>
    <t>本季度</t>
  </si>
  <si>
    <t>本年</t>
  </si>
  <si>
    <t>近1周</t>
  </si>
  <si>
    <t>近1月</t>
  </si>
  <si>
    <t>近3月</t>
  </si>
  <si>
    <t>近6月</t>
  </si>
  <si>
    <t>近1年</t>
  </si>
  <si>
    <t>近3年</t>
  </si>
  <si>
    <t>近5年</t>
  </si>
  <si>
    <t>成立至今</t>
  </si>
  <si>
    <t>选择区间</t>
  </si>
  <si>
    <t>累计收益率</t>
  </si>
  <si>
    <t>-0.030252%</t>
  </si>
  <si>
    <t>1.799740%</t>
  </si>
  <si>
    <t>-0.804632%</t>
  </si>
  <si>
    <t>-0.535747%</t>
  </si>
  <si>
    <t>-0.387552%</t>
  </si>
  <si>
    <t>1.335983%</t>
  </si>
  <si>
    <t>基准收益率</t>
  </si>
  <si>
    <t>-0.028625%</t>
  </si>
  <si>
    <t>0.963579%</t>
  </si>
  <si>
    <t>-0.045171%</t>
  </si>
  <si>
    <t>0.236847%</t>
  </si>
  <si>
    <t>-0.218682%</t>
  </si>
  <si>
    <t>0.933315%</t>
  </si>
  <si>
    <t>年化收益率</t>
  </si>
  <si>
    <t>-10.455690%</t>
  </si>
  <si>
    <t>31.163777%</t>
  </si>
  <si>
    <t>-5.220241%</t>
  </si>
  <si>
    <t>-2.842259%</t>
  </si>
  <si>
    <t>-18.329155%</t>
  </si>
  <si>
    <t>16.912980%</t>
  </si>
  <si>
    <t>基准年化收益率</t>
  </si>
  <si>
    <t>-9.922182%</t>
  </si>
  <si>
    <t>15.701421%</t>
  </si>
  <si>
    <t>-0.299392%</t>
  </si>
  <si>
    <t>1.277906%</t>
  </si>
  <si>
    <t>-10.787738%</t>
  </si>
  <si>
    <t>11.558700%</t>
  </si>
  <si>
    <t>回撤率</t>
  </si>
  <si>
    <t>-0.472383%</t>
  </si>
  <si>
    <t>-0.771982%</t>
  </si>
  <si>
    <t>-2.886915%</t>
  </si>
  <si>
    <t>-1.157256%</t>
  </si>
  <si>
    <t>区间最大涨幅</t>
  </si>
  <si>
    <t>0.000000%</t>
  </si>
  <si>
    <t>2.282907%</t>
  </si>
  <si>
    <t>0.271066%</t>
  </si>
  <si>
    <t>1.816949%</t>
  </si>
  <si>
    <t>回撤最长修复时间</t>
  </si>
  <si>
    <t>3*</t>
  </si>
  <si>
    <t>4</t>
  </si>
  <si>
    <t>55*</t>
  </si>
  <si>
    <t>5</t>
  </si>
  <si>
    <t>6*</t>
  </si>
  <si>
    <t>10</t>
  </si>
  <si>
    <t>最大回撤修复时间</t>
  </si>
  <si>
    <t>未修复</t>
  </si>
  <si>
    <t>7</t>
  </si>
  <si>
    <t>基准回撤率</t>
  </si>
  <si>
    <t>-0.252567%</t>
  </si>
  <si>
    <t>基准最大回撤</t>
  </si>
  <si>
    <t>-0.444646%</t>
  </si>
  <si>
    <t>-1.357488%</t>
  </si>
  <si>
    <t>-0.470584%</t>
  </si>
  <si>
    <t>波动率</t>
  </si>
  <si>
    <t>--</t>
  </si>
  <si>
    <t>0.321241%</t>
  </si>
  <si>
    <t>0.383270%</t>
  </si>
  <si>
    <t>0.357635%</t>
  </si>
  <si>
    <t>0.397820%</t>
  </si>
  <si>
    <t>0.357248%</t>
  </si>
  <si>
    <t>基准波动率</t>
  </si>
  <si>
    <t>0.184951%</t>
  </si>
  <si>
    <t>0.220195%</t>
  </si>
  <si>
    <t>0.217573%</t>
  </si>
  <si>
    <t>0.233125%</t>
  </si>
  <si>
    <t>0.198592%</t>
  </si>
  <si>
    <t>5.099549%</t>
  </si>
  <si>
    <t>6.084215%</t>
  </si>
  <si>
    <t>5.677277%</t>
  </si>
  <si>
    <t>6.315191%</t>
  </si>
  <si>
    <t>5.671142%</t>
  </si>
  <si>
    <t>基准年化波动率</t>
  </si>
  <si>
    <t>2.935999%</t>
  </si>
  <si>
    <t>3.495492%</t>
  </si>
  <si>
    <t>3.453859%</t>
  </si>
  <si>
    <t>3.700744%</t>
  </si>
  <si>
    <t>3.152554%</t>
  </si>
  <si>
    <t>5.91628799</t>
  </si>
  <si>
    <t>-1.10453702</t>
  </si>
  <si>
    <t>-0.76484890</t>
  </si>
  <si>
    <t>-3.13991383</t>
  </si>
  <si>
    <t>2.76570661</t>
  </si>
  <si>
    <t>基准夏普比率</t>
  </si>
  <si>
    <t>4.90073388</t>
  </si>
  <si>
    <t>-0.51477497</t>
  </si>
  <si>
    <t>-0.06430301</t>
  </si>
  <si>
    <t>-3.32034300</t>
  </si>
  <si>
    <t>3.13216255</t>
  </si>
  <si>
    <t>-34561.950050%</t>
  </si>
  <si>
    <t>4036.851361%</t>
  </si>
  <si>
    <t>-180.824209%</t>
  </si>
  <si>
    <t>-98.453165%</t>
  </si>
  <si>
    <t>-2374.297336%</t>
  </si>
  <si>
    <t>1461.472250%</t>
  </si>
  <si>
    <t>赫斯特指数</t>
  </si>
  <si>
    <t>索提诺比率</t>
  </si>
  <si>
    <t>1819.659538%</t>
  </si>
  <si>
    <t>-307.872701%</t>
  </si>
  <si>
    <t>-272.716134%</t>
  </si>
  <si>
    <t>-1620.500417%</t>
  </si>
  <si>
    <t>963.037161%</t>
  </si>
  <si>
    <t>信息比率</t>
  </si>
  <si>
    <t>835.383163%</t>
  </si>
  <si>
    <t>-163.663076%</t>
  </si>
  <si>
    <t>-149.296442%</t>
  </si>
  <si>
    <t>-286.027835%</t>
  </si>
  <si>
    <t>249.670288%</t>
  </si>
  <si>
    <t>周转换手率</t>
  </si>
  <si>
    <t>6.601800%</t>
  </si>
  <si>
    <t>季度正收益</t>
  </si>
  <si>
    <t>50.000000%</t>
  </si>
  <si>
    <t>粘系统最新净值序列与绩效表</t>
    <phoneticPr fontId="35" type="noConversion"/>
  </si>
  <si>
    <t>003376.OF</t>
  </si>
  <si>
    <t>广发中债7-10年国开债A</t>
  </si>
  <si>
    <t>008015.OF</t>
  </si>
  <si>
    <t>嘉实中债3-5年国开债A</t>
  </si>
  <si>
    <t>各组合自其净值起始日起=1.0000；调仓日净值连续衔接；净值已按各自年化费率折每日扣费。净值源刷新后，本表与看板自动更新至最新净值日。</t>
  </si>
  <si>
    <t>003376</t>
  </si>
  <si>
    <t>008015</t>
  </si>
  <si>
    <t>10-90 · P4(9/11调仓及动平衡后)</t>
  </si>
  <si>
    <t>10-90基石 · P4(9/11调仓及动平衡后)</t>
  </si>
  <si>
    <t>30-70 · P4(9/11调仓及动平衡后)</t>
  </si>
  <si>
    <t>162210.OF</t>
    <phoneticPr fontId="35" type="noConversion"/>
  </si>
  <si>
    <t>最大回撤按页首“上线以来”起止日计算；日期参数需选择净值明细中存在的日期，否则相应收益率留空。</t>
    <phoneticPr fontId="35" type="noConversion"/>
  </si>
  <si>
    <t>公司固收加保有前十（万元）</t>
    <phoneticPr fontId="35" type="noConversion"/>
  </si>
  <si>
    <t>公司公募固收+保有前十基金表现（2026Q2）</t>
    <phoneticPr fontId="35" type="noConversion"/>
  </si>
  <si>
    <t>数据源：同花顺 iFinD</t>
    <phoneticPr fontId="35" type="noConversion"/>
  </si>
  <si>
    <t>博时恒乐债券</t>
    <phoneticPr fontId="35" type="noConversion"/>
  </si>
  <si>
    <t>华商信用增强债券</t>
    <phoneticPr fontId="35" type="noConversion"/>
  </si>
  <si>
    <t>易方达裕丰回报债券</t>
    <phoneticPr fontId="35" type="noConversion"/>
  </si>
  <si>
    <t>鹏华双债加利债券</t>
    <phoneticPr fontId="35" type="noConversion"/>
  </si>
  <si>
    <t>易方达丰和债券</t>
    <phoneticPr fontId="35" type="noConversion"/>
  </si>
  <si>
    <t>近一年最大回撤</t>
    <phoneticPr fontId="35" type="noConversion"/>
  </si>
  <si>
    <t>近一年</t>
    <phoneticPr fontId="35" type="noConversion"/>
  </si>
  <si>
    <t>近六月</t>
    <phoneticPr fontId="35" type="noConversion"/>
  </si>
  <si>
    <t>26Q2增长（亿元）</t>
    <phoneticPr fontId="35" type="noConversion"/>
  </si>
  <si>
    <t>公募固收+Q2规模增长前十基金表现</t>
    <phoneticPr fontId="35" type="noConversion"/>
  </si>
  <si>
    <t>10/90基石投顾组合</t>
    <phoneticPr fontId="35" type="noConversion"/>
  </si>
  <si>
    <t>最大回撤（6/22以来）</t>
    <phoneticPr fontId="35" type="noConversion"/>
  </si>
  <si>
    <t>近一年</t>
    <phoneticPr fontId="35" type="noConversion"/>
  </si>
  <si>
    <t>7/31以来</t>
    <phoneticPr fontId="35" type="noConversion"/>
  </si>
  <si>
    <t>6/22-7/30</t>
    <phoneticPr fontId="35" type="noConversion"/>
  </si>
  <si>
    <t>6/22以来</t>
    <phoneticPr fontId="35" type="noConversion"/>
  </si>
  <si>
    <t>上周</t>
    <phoneticPr fontId="35" type="noConversion"/>
  </si>
  <si>
    <t>26Q2规模（亿元）</t>
    <phoneticPr fontId="35" type="noConversion"/>
  </si>
  <si>
    <t>8/24-8/28</t>
    <phoneticPr fontId="35" type="noConversion"/>
  </si>
  <si>
    <t>序号</t>
    <phoneticPr fontId="35" type="noConversion"/>
  </si>
  <si>
    <t>公募固收+规模前十（2026Q2）基金表现</t>
    <phoneticPr fontId="35" type="noConversion"/>
  </si>
  <si>
    <t>0.99418940</t>
  </si>
  <si>
    <t>0.99480681</t>
  </si>
  <si>
    <t>0.99667116</t>
  </si>
  <si>
    <t>0.99535692</t>
  </si>
  <si>
    <t>0.99458440</t>
  </si>
  <si>
    <t>0.99283612</t>
  </si>
  <si>
    <t>0.98988810</t>
  </si>
  <si>
    <t>0.99127837</t>
  </si>
  <si>
    <t>0.98987515</t>
  </si>
  <si>
    <t>0.99250019</t>
  </si>
  <si>
    <t>0.99210689</t>
  </si>
  <si>
    <t>0.99205849</t>
  </si>
  <si>
    <t>0.99143685</t>
  </si>
  <si>
    <t>0.98923312</t>
  </si>
  <si>
    <t>0.98814586</t>
  </si>
  <si>
    <t>0.98836418</t>
  </si>
  <si>
    <t>0.99193955</t>
  </si>
  <si>
    <t>1.00000000</t>
  </si>
  <si>
    <t>1.00141431</t>
  </si>
  <si>
    <t>0.99948240</t>
  </si>
  <si>
    <t>1.00138192</t>
  </si>
  <si>
    <t>1.00327268</t>
  </si>
  <si>
    <t>1.00086493</t>
  </si>
  <si>
    <t>0.99528176</t>
  </si>
  <si>
    <t>0.99645158</t>
  </si>
  <si>
    <t>0.99563225</t>
  </si>
  <si>
    <t>0.99480363</t>
  </si>
  <si>
    <t>0.99491291</t>
  </si>
  <si>
    <t>0.99993265</t>
  </si>
  <si>
    <t>0.99608736</t>
  </si>
  <si>
    <t>0.99082824</t>
  </si>
  <si>
    <t>0.99325571</t>
  </si>
  <si>
    <t>0.99062576</t>
  </si>
  <si>
    <t>0.98667073</t>
  </si>
  <si>
    <t>0.98008903</t>
  </si>
  <si>
    <t>0.97683759</t>
  </si>
  <si>
    <t>0.98586080</t>
  </si>
  <si>
    <t>0.98570780</t>
  </si>
  <si>
    <t>0.98438731</t>
  </si>
  <si>
    <t>0.98336003</t>
  </si>
  <si>
    <t>0.98687417</t>
  </si>
  <si>
    <t>0.98060895</t>
  </si>
  <si>
    <t>0.98017950</t>
  </si>
  <si>
    <t>0.97603230</t>
  </si>
  <si>
    <t>0.97918283</t>
  </si>
  <si>
    <t>0.97636941</t>
  </si>
  <si>
    <t>0.98084157</t>
  </si>
  <si>
    <t>0.98566565</t>
  </si>
  <si>
    <t>0.98799038</t>
  </si>
  <si>
    <t>0.99109277</t>
  </si>
  <si>
    <t>0.99331943</t>
  </si>
  <si>
    <t>0.99195087</t>
  </si>
  <si>
    <t>0.99435477</t>
  </si>
  <si>
    <t>0.99365888</t>
  </si>
  <si>
    <t>0.99402653</t>
  </si>
  <si>
    <t>0.99886999</t>
  </si>
  <si>
    <t>0.99969241</t>
  </si>
  <si>
    <t>0.99205678</t>
  </si>
  <si>
    <t>0.99394669</t>
  </si>
  <si>
    <t>0.99530294</t>
  </si>
  <si>
    <t>0.99503994</t>
  </si>
  <si>
    <t>0.99388641</t>
  </si>
  <si>
    <t>0.99442932</t>
  </si>
  <si>
    <t>0.99653170</t>
  </si>
  <si>
    <t>0.99520286</t>
  </si>
  <si>
    <t>0.99440435</t>
  </si>
  <si>
    <t>0.99258334</t>
  </si>
  <si>
    <t>0.98972344</t>
  </si>
  <si>
    <t>0.99114790</t>
  </si>
  <si>
    <t>0.98978372</t>
  </si>
  <si>
    <t>0.99274662</t>
  </si>
  <si>
    <t>0.99237577</t>
  </si>
  <si>
    <t>0.99244161</t>
  </si>
  <si>
    <t>0.99194646</t>
  </si>
  <si>
    <t>0.98973237</t>
  </si>
  <si>
    <t>0.98869677</t>
  </si>
  <si>
    <t>0.98896197</t>
  </si>
  <si>
    <t>0.99271053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</si>
</sst>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3" formatCode="_ * #,##0.00_ ;_ * \-#,##0.00_ ;_ * &quot;-&quot;??_ ;_ @_ "/>
    <numFmt numFmtId="176" formatCode="_ * #,##0.00_ ;_ * \-#,##0.00_ ;_ * \-??_ ;_ @_ "/>
    <numFmt numFmtId="177" formatCode="_ * #,##0_ ;_ * \-#,##0_ ;_ * \-_ ;_ @_ "/>
    <numFmt numFmtId="178" formatCode="_ \￥* #,##0.00_ ;_ \￥* \-#,##0.00_ ;_ \￥* \-??_ ;_ @_ "/>
    <numFmt numFmtId="179" formatCode="_ \￥* #,##0_ ;_ \￥* \-#,##0_ ;_ \￥* \-_ ;_ @_ "/>
    <numFmt numFmtId="180" formatCode="0.0%"/>
    <numFmt numFmtId="181" formatCode="yyyy\-mm\-dd"/>
    <numFmt numFmtId="182" formatCode="yyyy\-m\-d"/>
    <numFmt numFmtId="183" formatCode="0.0000"/>
    <numFmt numFmtId="184" formatCode="0.00000000%"/>
    <numFmt numFmtId="185" formatCode="yyyy\-mm\-dd\ h:mm:ss"/>
    <numFmt numFmtId="186" formatCode="0.00%;[Red]\(0.00%\);\-"/>
    <numFmt numFmtId="187" formatCode="0.00%;\(0.00%\);\-"/>
    <numFmt numFmtId="188" formatCode="0.000000"/>
    <numFmt numFmtId="189" formatCode="0.00_);[Red]\(0.00\)"/>
    <numFmt numFmtId="190" formatCode="_ * #,##0_ ;_ * \-#,##0_ ;_ * &quot;-&quot;??_ ;_ @_ "/>
    <numFmt numFmtId="191" formatCode="yyyy/mm/dd"/>
    <numFmt numFmtId="192" formatCode="#,##0.0000"/>
    <numFmt numFmtId="193" formatCode="0.00000%"/>
    <numFmt numFmtId="194" formatCode="_ * #,##0.0000_ ;_ * \-#,##0.0000_ ;_ * &quot;-&quot;??_ ;_ @_ "/>
  </numFmts>
  <fonts count="70">
    <font>
      <sz val="10"/>
      <name val="Linux Libertine G"/>
    </font>
    <font>
      <sz val="10"/>
      <name val="Arial"/>
      <family val="2"/>
    </font>
    <font>
      <sz val="10"/>
      <name val="Arial"/>
      <family val="2"/>
    </font>
    <font>
      <sz val="11"/>
      <color theme="1"/>
      <name val="Linux Libertine G"/>
    </font>
    <font>
      <b/>
      <sz val="15"/>
      <color rgb="FFFFFFFF"/>
      <name val="Linux Libertine G"/>
    </font>
    <font>
      <b/>
      <sz val="15"/>
      <color rgb="FFFFFFFF"/>
      <name val="Arial"/>
      <family val="2"/>
    </font>
    <font>
      <b/>
      <sz val="10"/>
      <color rgb="FFFFFFFF"/>
      <name val="Linux Libertine G"/>
    </font>
    <font>
      <b/>
      <sz val="10"/>
      <color rgb="FF000000"/>
      <name val="Linux Libertine G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i/>
      <sz val="9"/>
      <color rgb="FF595959"/>
      <name val="Linux Libertine G"/>
    </font>
    <font>
      <i/>
      <sz val="9"/>
      <color rgb="FF595959"/>
      <name val="Arial"/>
      <family val="2"/>
    </font>
    <font>
      <sz val="11"/>
      <color theme="1"/>
      <name val="宋体"/>
      <family val="3"/>
      <charset val="134"/>
    </font>
    <font>
      <sz val="10"/>
      <color rgb="FF006100"/>
      <name val="Arial"/>
      <family val="2"/>
    </font>
    <font>
      <b/>
      <sz val="11"/>
      <color rgb="FFFFFFFF"/>
      <name val="Linux Libertine G"/>
    </font>
    <font>
      <b/>
      <sz val="11"/>
      <color rgb="FFFFFFFF"/>
      <name val="Arial"/>
      <family val="2"/>
    </font>
    <font>
      <sz val="10"/>
      <color rgb="FF000000"/>
      <name val="Linux Libertine G"/>
    </font>
    <font>
      <sz val="11"/>
      <color theme="1"/>
      <name val="Linux Libertine G"/>
    </font>
    <font>
      <sz val="10"/>
      <name val="Arial"/>
      <family val="2"/>
    </font>
    <font>
      <sz val="11"/>
      <color theme="1"/>
      <name val="宋体"/>
      <family val="3"/>
      <charset val="134"/>
    </font>
    <font>
      <b/>
      <sz val="17"/>
      <color rgb="FFFFFFFF"/>
      <name val="Linux Libertine G"/>
    </font>
    <font>
      <b/>
      <sz val="20"/>
      <color rgb="FF1F3864"/>
      <name val="微软雅黑"/>
      <family val="2"/>
      <charset val="134"/>
    </font>
    <font>
      <b/>
      <sz val="20"/>
      <color rgb="FFC00000"/>
      <name val="微软雅黑"/>
      <family val="2"/>
      <charset val="134"/>
    </font>
    <font>
      <b/>
      <sz val="16"/>
      <color rgb="FF000000"/>
      <name val="Linux Libertine G"/>
    </font>
    <font>
      <sz val="16"/>
      <color rgb="FF000000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sz val="16"/>
      <color theme="1"/>
      <name val="Linux Libertine G"/>
    </font>
    <font>
      <b/>
      <sz val="17"/>
      <color rgb="FFFFFFFF"/>
      <name val="Arial"/>
      <family val="2"/>
    </font>
    <font>
      <b/>
      <sz val="18"/>
      <color rgb="FF1F3864"/>
      <name val="Linux Libertine G"/>
    </font>
    <font>
      <b/>
      <sz val="18"/>
      <color rgb="FF1F3864"/>
      <name val="Arial"/>
      <family val="2"/>
    </font>
    <font>
      <b/>
      <sz val="12"/>
      <color rgb="FF1F3864"/>
      <name val="Linux Libertine G"/>
    </font>
    <font>
      <sz val="10"/>
      <color rgb="FF000000"/>
      <name val="微软雅黑"/>
      <family val="2"/>
      <charset val="134"/>
    </font>
    <font>
      <sz val="9"/>
      <name val="宋体"/>
      <family val="3"/>
      <charset val="134"/>
    </font>
    <font>
      <b/>
      <sz val="16"/>
      <color rgb="FFFFFFFF"/>
      <name val="微软雅黑"/>
      <family val="2"/>
      <charset val="134"/>
    </font>
    <font>
      <b/>
      <sz val="9"/>
      <color rgb="FF1F3864"/>
      <name val="微软雅黑"/>
      <family val="2"/>
      <charset val="134"/>
    </font>
    <font>
      <b/>
      <sz val="9"/>
      <color rgb="FF0000FF"/>
      <name val="Arial"/>
      <family val="2"/>
    </font>
    <font>
      <i/>
      <sz val="9"/>
      <color rgb="FF595959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9"/>
      <color rgb="FFFFFFFF"/>
      <name val="微软雅黑"/>
      <family val="2"/>
      <charset val="134"/>
    </font>
    <font>
      <sz val="9"/>
      <color rgb="FF000000"/>
      <name val="微软雅黑"/>
      <family val="2"/>
      <charset val="134"/>
    </font>
    <font>
      <i/>
      <sz val="8"/>
      <color rgb="FF595959"/>
      <name val="微软雅黑"/>
      <family val="2"/>
      <charset val="134"/>
    </font>
    <font>
      <sz val="8"/>
      <color rgb="FF595959"/>
      <name val="微软雅黑"/>
      <family val="2"/>
      <charset val="134"/>
    </font>
    <font>
      <b/>
      <sz val="8"/>
      <color rgb="FF1F3864"/>
      <name val="微软雅黑"/>
      <family val="2"/>
      <charset val="134"/>
    </font>
    <font>
      <sz val="7"/>
      <color rgb="FF000000"/>
      <name val="微软雅黑"/>
      <family val="2"/>
      <charset val="134"/>
    </font>
    <font>
      <b/>
      <sz val="15"/>
      <color rgb="FFFFFFFF"/>
      <name val="Linux Libertine G"/>
      <family val="2"/>
    </font>
    <font>
      <b/>
      <sz val="10"/>
      <color rgb="FF000000"/>
      <name val="Linux Libertine G"/>
      <family val="2"/>
    </font>
    <font>
      <i/>
      <sz val="9"/>
      <color rgb="FF595959"/>
      <name val="Linux Libertine G"/>
      <family val="2"/>
    </font>
    <font>
      <b/>
      <sz val="15"/>
      <color rgb="FFFFFFFF"/>
      <name val="宋体"/>
      <family val="3"/>
    </font>
    <font>
      <b/>
      <sz val="11"/>
      <color rgb="FFFFFFFF"/>
      <name val="Linux Libertine G"/>
      <family val="2"/>
    </font>
    <font>
      <sz val="10"/>
      <name val="Linux Libertine G"/>
      <family val="2"/>
    </font>
    <font>
      <sz val="11"/>
      <color theme="1"/>
      <name val="Linux Libertine G"/>
      <family val="2"/>
    </font>
    <font>
      <sz val="11"/>
      <color theme="1"/>
      <name val="宋体"/>
      <family val="2"/>
    </font>
    <font>
      <b/>
      <sz val="16"/>
      <color rgb="FF000000"/>
      <name val="Linux Libertine G"/>
      <family val="2"/>
    </font>
    <font>
      <b/>
      <sz val="16"/>
      <color rgb="FF000000"/>
      <name val="微软雅黑"/>
      <family val="2"/>
    </font>
    <font>
      <b/>
      <sz val="17"/>
      <color rgb="FFFFFFFF"/>
      <name val="Linux Libertine G"/>
      <family val="2"/>
    </font>
    <font>
      <b/>
      <sz val="18"/>
      <color rgb="FF1F3864"/>
      <name val="Linux Libertine G"/>
      <family val="2"/>
    </font>
    <font>
      <sz val="10"/>
      <color rgb="FF000000"/>
      <name val="Linux Libertine G"/>
      <family val="2"/>
    </font>
    <font>
      <sz val="10"/>
      <color rgb="FF000000"/>
      <name val="微软雅黑"/>
      <family val="2"/>
    </font>
    <font>
      <sz val="10"/>
      <name val="Linux Libertine G"/>
    </font>
    <font>
      <b/>
      <sz val="11"/>
      <color rgb="FFFFFFFF"/>
      <name val="微软雅黑"/>
      <family val="2"/>
      <charset val="134"/>
    </font>
    <font>
      <b/>
      <sz val="11"/>
      <color rgb="FF1F1F1F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666666"/>
      <name val="微软雅黑"/>
      <family val="2"/>
      <charset val="134"/>
    </font>
    <font>
      <b/>
      <sz val="10"/>
      <color rgb="FF1F1F1F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宋体"/>
      <family val="3"/>
      <charset val="134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F2F4F8"/>
      </patternFill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EAF0F8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D9E2F3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EAF2F8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355E84"/>
      </left>
      <right style="thin">
        <color rgb="FF355E84"/>
      </right>
      <top style="thin">
        <color rgb="FF355E84"/>
      </top>
      <bottom style="thin">
        <color rgb="FF355E84"/>
      </bottom>
      <diagonal/>
    </border>
    <border>
      <left style="thin">
        <color rgb="FFA6A6A6"/>
      </left>
      <right style="thin">
        <color rgb="FFD9E2F3"/>
      </right>
      <top style="thin">
        <color rgb="FFA6A6A6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A6A6A6"/>
      </top>
      <bottom style="thin">
        <color rgb="FFB4C6E7"/>
      </bottom>
      <diagonal/>
    </border>
    <border>
      <left style="thin">
        <color rgb="FFA6A6A6"/>
      </left>
      <right style="thin">
        <color rgb="FFD9E2F3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B4C6E7"/>
      </top>
      <bottom style="thin">
        <color rgb="FFB4C6E7"/>
      </bottom>
      <diagonal/>
    </border>
    <border>
      <left style="thin">
        <color rgb="FFA6A6A6"/>
      </left>
      <right style="thin">
        <color rgb="FFD9E2F3"/>
      </right>
      <top style="thin">
        <color rgb="FFB4C6E7"/>
      </top>
      <bottom style="thin">
        <color rgb="FFA6A6A6"/>
      </bottom>
      <diagonal/>
    </border>
    <border>
      <left style="thin">
        <color rgb="FFD9E2F3"/>
      </left>
      <right style="thin">
        <color rgb="FFD9E2F3"/>
      </right>
      <top style="thin">
        <color rgb="FFB4C6E7"/>
      </top>
      <bottom style="thin">
        <color rgb="FFA6A6A6"/>
      </bottom>
      <diagonal/>
    </border>
    <border>
      <left style="thin">
        <color rgb="FFA6A6A6"/>
      </left>
      <right style="thin">
        <color rgb="FFD9E2F3"/>
      </right>
      <top style="thin">
        <color rgb="FFB4C6E7"/>
      </top>
      <bottom/>
      <diagonal/>
    </border>
    <border>
      <left style="thin">
        <color rgb="FFD9E2F3"/>
      </left>
      <right style="thin">
        <color rgb="FFD9E2F3"/>
      </right>
      <top style="thin">
        <color rgb="FFB4C6E7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/>
      <bottom style="thin">
        <color rgb="FF355E84"/>
      </bottom>
      <diagonal/>
    </border>
    <border>
      <left style="thin">
        <color rgb="FF355E84"/>
      </left>
      <right style="thin">
        <color rgb="FF355E84"/>
      </right>
      <top/>
      <bottom style="thin">
        <color rgb="FF355E84"/>
      </bottom>
      <diagonal/>
    </border>
    <border>
      <left/>
      <right/>
      <top style="thin">
        <color theme="4"/>
      </top>
      <bottom style="thin">
        <color rgb="FFA6A6A6"/>
      </bottom>
      <diagonal/>
    </border>
    <border>
      <left style="thin">
        <color rgb="FFD9E2F3"/>
      </left>
      <right/>
      <top style="thin">
        <color rgb="FFA6A6A6"/>
      </top>
      <bottom style="thin">
        <color rgb="FFB4C6E7"/>
      </bottom>
      <diagonal/>
    </border>
    <border>
      <left style="thin">
        <color rgb="FFD9E2F3"/>
      </left>
      <right/>
      <top style="thin">
        <color rgb="FFB4C6E7"/>
      </top>
      <bottom style="thin">
        <color rgb="FFB4C6E7"/>
      </bottom>
      <diagonal/>
    </border>
    <border>
      <left style="thin">
        <color rgb="FFD9E2F3"/>
      </left>
      <right/>
      <top style="thin">
        <color rgb="FFB4C6E7"/>
      </top>
      <bottom/>
      <diagonal/>
    </border>
    <border>
      <left/>
      <right style="thin">
        <color rgb="FFA6A6A6"/>
      </right>
      <top style="thin">
        <color rgb="FFA6A6A6"/>
      </top>
      <bottom style="thin">
        <color rgb="FFB4C6E7"/>
      </bottom>
      <diagonal/>
    </border>
    <border>
      <left style="thin">
        <color rgb="FF355E84"/>
      </left>
      <right style="thin">
        <color rgb="FF355E84"/>
      </right>
      <top/>
      <bottom/>
      <diagonal/>
    </border>
    <border>
      <left/>
      <right style="thin">
        <color theme="4"/>
      </right>
      <top style="thin">
        <color theme="4"/>
      </top>
      <bottom style="thin">
        <color rgb="FFA6A6A6"/>
      </bottom>
      <diagonal/>
    </border>
    <border>
      <left style="thin">
        <color rgb="FF355E84"/>
      </left>
      <right style="thin">
        <color rgb="FF355E84"/>
      </right>
      <top style="thin">
        <color rgb="FF355E84"/>
      </top>
      <bottom/>
      <diagonal/>
    </border>
    <border>
      <left style="thin">
        <color rgb="FFD9E2F3"/>
      </left>
      <right/>
      <top style="thin">
        <color rgb="FFB4C6E7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</borders>
  <cellStyleXfs count="9">
    <xf numFmtId="0" fontId="0" fillId="0" borderId="0"/>
    <xf numFmtId="176" fontId="2" fillId="0" borderId="0" applyBorder="0" applyAlignment="0" applyProtection="0"/>
    <xf numFmtId="177" fontId="2" fillId="0" borderId="0" applyBorder="0" applyAlignment="0" applyProtection="0"/>
    <xf numFmtId="178" fontId="2" fillId="0" borderId="0" applyBorder="0" applyAlignment="0" applyProtection="0"/>
    <xf numFmtId="179" fontId="2" fillId="0" borderId="0" applyBorder="0" applyAlignment="0" applyProtection="0"/>
    <xf numFmtId="0" fontId="3" fillId="0" borderId="0"/>
    <xf numFmtId="9" fontId="2" fillId="0" borderId="0" applyBorder="0" applyAlignment="0" applyProtection="0"/>
    <xf numFmtId="9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</cellStyleXfs>
  <cellXfs count="175">
    <xf numFmtId="0" fontId="0" fillId="0" borderId="0" xfId="0"/>
    <xf numFmtId="0" fontId="6" fillId="3" borderId="2" xfId="5" applyFont="1" applyFill="1" applyBorder="1" applyAlignment="1">
      <alignment horizontal="center" vertical="center" wrapText="1"/>
    </xf>
    <xf numFmtId="0" fontId="7" fillId="4" borderId="2" xfId="5" applyFont="1" applyFill="1" applyBorder="1" applyAlignment="1">
      <alignment horizontal="center" vertical="center" wrapText="1"/>
    </xf>
    <xf numFmtId="0" fontId="9" fillId="5" borderId="2" xfId="5" applyFont="1" applyFill="1" applyBorder="1" applyAlignment="1">
      <alignment horizontal="center" vertical="center" wrapText="1"/>
    </xf>
    <xf numFmtId="0" fontId="7" fillId="4" borderId="2" xfId="5" applyFont="1" applyFill="1" applyBorder="1" applyAlignment="1">
      <alignment horizontal="left" vertical="center"/>
    </xf>
    <xf numFmtId="10" fontId="10" fillId="0" borderId="2" xfId="5" applyNumberFormat="1" applyFont="1" applyBorder="1" applyAlignment="1">
      <alignment horizontal="center" vertical="center" wrapText="1"/>
    </xf>
    <xf numFmtId="180" fontId="11" fillId="5" borderId="2" xfId="5" applyNumberFormat="1" applyFont="1" applyFill="1" applyBorder="1" applyAlignment="1">
      <alignment horizontal="center" vertical="center" wrapText="1"/>
    </xf>
    <xf numFmtId="180" fontId="12" fillId="6" borderId="2" xfId="5" applyNumberFormat="1" applyFont="1" applyFill="1" applyBorder="1" applyAlignment="1">
      <alignment horizontal="center" vertical="center"/>
    </xf>
    <xf numFmtId="181" fontId="10" fillId="5" borderId="2" xfId="5" applyNumberFormat="1" applyFont="1" applyFill="1" applyBorder="1" applyAlignment="1">
      <alignment horizontal="center" vertical="center" wrapText="1"/>
    </xf>
    <xf numFmtId="0" fontId="8" fillId="4" borderId="2" xfId="5" applyFont="1" applyFill="1" applyBorder="1" applyAlignment="1">
      <alignment horizontal="left" vertical="center"/>
    </xf>
    <xf numFmtId="0" fontId="13" fillId="0" borderId="0" xfId="5" applyFont="1"/>
    <xf numFmtId="182" fontId="15" fillId="0" borderId="0" xfId="5" applyNumberFormat="1" applyFont="1"/>
    <xf numFmtId="0" fontId="16" fillId="5" borderId="2" xfId="5" applyFont="1" applyFill="1" applyBorder="1" applyAlignment="1">
      <alignment horizontal="center" vertical="center" wrapText="1"/>
    </xf>
    <xf numFmtId="183" fontId="9" fillId="0" borderId="2" xfId="5" applyNumberFormat="1" applyFont="1" applyBorder="1" applyAlignment="1">
      <alignment horizontal="center" vertical="center" wrapText="1"/>
    </xf>
    <xf numFmtId="0" fontId="17" fillId="3" borderId="2" xfId="5" applyFont="1" applyFill="1" applyBorder="1" applyAlignment="1">
      <alignment horizontal="center" vertical="center" wrapText="1"/>
    </xf>
    <xf numFmtId="181" fontId="16" fillId="5" borderId="2" xfId="5" applyNumberFormat="1" applyFont="1" applyFill="1" applyBorder="1" applyAlignment="1">
      <alignment horizontal="center" vertical="center" wrapText="1"/>
    </xf>
    <xf numFmtId="10" fontId="19" fillId="0" borderId="2" xfId="5" applyNumberFormat="1" applyFont="1" applyBorder="1" applyAlignment="1">
      <alignment horizontal="center" vertical="center" wrapText="1"/>
    </xf>
    <xf numFmtId="10" fontId="20" fillId="0" borderId="0" xfId="5" applyNumberFormat="1" applyFont="1"/>
    <xf numFmtId="184" fontId="20" fillId="0" borderId="0" xfId="5" applyNumberFormat="1" applyFont="1"/>
    <xf numFmtId="0" fontId="20" fillId="0" borderId="0" xfId="0" applyFont="1"/>
    <xf numFmtId="0" fontId="15" fillId="0" borderId="0" xfId="5" applyFont="1"/>
    <xf numFmtId="10" fontId="21" fillId="0" borderId="0" xfId="0" applyNumberFormat="1" applyFont="1"/>
    <xf numFmtId="185" fontId="15" fillId="0" borderId="0" xfId="5" applyNumberFormat="1" applyFont="1"/>
    <xf numFmtId="0" fontId="22" fillId="0" borderId="0" xfId="5" applyFont="1"/>
    <xf numFmtId="0" fontId="21" fillId="0" borderId="0" xfId="0" applyFont="1"/>
    <xf numFmtId="181" fontId="3" fillId="0" borderId="0" xfId="5" applyNumberFormat="1"/>
    <xf numFmtId="0" fontId="7" fillId="5" borderId="2" xfId="5" applyFont="1" applyFill="1" applyBorder="1" applyAlignment="1">
      <alignment horizontal="center" vertical="center" wrapText="1"/>
    </xf>
    <xf numFmtId="183" fontId="24" fillId="0" borderId="2" xfId="5" applyNumberFormat="1" applyFont="1" applyBorder="1" applyAlignment="1">
      <alignment horizontal="center" vertical="center" wrapText="1"/>
    </xf>
    <xf numFmtId="10" fontId="25" fillId="0" borderId="2" xfId="5" applyNumberFormat="1" applyFont="1" applyBorder="1" applyAlignment="1">
      <alignment horizontal="center" vertical="center" wrapText="1"/>
    </xf>
    <xf numFmtId="10" fontId="24" fillId="0" borderId="2" xfId="5" applyNumberFormat="1" applyFont="1" applyBorder="1" applyAlignment="1">
      <alignment horizontal="center" vertical="center" wrapText="1"/>
    </xf>
    <xf numFmtId="2" fontId="24" fillId="0" borderId="2" xfId="5" applyNumberFormat="1" applyFont="1" applyBorder="1" applyAlignment="1">
      <alignment horizontal="center" vertical="center" wrapText="1"/>
    </xf>
    <xf numFmtId="0" fontId="26" fillId="0" borderId="2" xfId="5" applyFont="1" applyBorder="1" applyAlignment="1">
      <alignment horizontal="left" vertical="center"/>
    </xf>
    <xf numFmtId="10" fontId="27" fillId="0" borderId="2" xfId="5" applyNumberFormat="1" applyFont="1" applyBorder="1" applyAlignment="1">
      <alignment horizontal="center" vertical="center" wrapText="1"/>
    </xf>
    <xf numFmtId="0" fontId="28" fillId="0" borderId="2" xfId="5" applyFont="1" applyBorder="1" applyAlignment="1">
      <alignment horizontal="left" vertical="center"/>
    </xf>
    <xf numFmtId="1" fontId="27" fillId="0" borderId="2" xfId="5" applyNumberFormat="1" applyFont="1" applyBorder="1" applyAlignment="1">
      <alignment horizontal="center" vertical="center" wrapText="1"/>
    </xf>
    <xf numFmtId="180" fontId="27" fillId="0" borderId="2" xfId="5" applyNumberFormat="1" applyFont="1" applyBorder="1" applyAlignment="1">
      <alignment horizontal="center" vertical="center" wrapText="1"/>
    </xf>
    <xf numFmtId="2" fontId="27" fillId="0" borderId="2" xfId="5" applyNumberFormat="1" applyFont="1" applyBorder="1" applyAlignment="1">
      <alignment horizontal="center" vertical="center" wrapText="1"/>
    </xf>
    <xf numFmtId="0" fontId="29" fillId="0" borderId="0" xfId="5" applyFont="1"/>
    <xf numFmtId="0" fontId="31" fillId="0" borderId="0" xfId="5" applyFont="1"/>
    <xf numFmtId="0" fontId="33" fillId="0" borderId="0" xfId="5" applyFont="1" applyAlignment="1">
      <alignment vertical="center"/>
    </xf>
    <xf numFmtId="0" fontId="7" fillId="0" borderId="0" xfId="5" applyFont="1" applyAlignment="1">
      <alignment vertical="center"/>
    </xf>
    <xf numFmtId="0" fontId="19" fillId="0" borderId="0" xfId="5" applyFont="1" applyAlignment="1">
      <alignment vertical="center"/>
    </xf>
    <xf numFmtId="0" fontId="20" fillId="0" borderId="0" xfId="5" applyFont="1" applyAlignment="1">
      <alignment vertical="center"/>
    </xf>
    <xf numFmtId="0" fontId="8" fillId="0" borderId="0" xfId="5" applyFont="1" applyAlignment="1">
      <alignment vertical="center"/>
    </xf>
    <xf numFmtId="180" fontId="10" fillId="6" borderId="2" xfId="5" applyNumberFormat="1" applyFont="1" applyFill="1" applyBorder="1"/>
    <xf numFmtId="0" fontId="10" fillId="6" borderId="2" xfId="5" applyFont="1" applyFill="1" applyBorder="1"/>
    <xf numFmtId="0" fontId="37" fillId="8" borderId="2" xfId="0" applyFont="1" applyFill="1" applyBorder="1" applyAlignment="1">
      <alignment horizontal="center" vertical="center"/>
    </xf>
    <xf numFmtId="181" fontId="37" fillId="8" borderId="2" xfId="0" applyNumberFormat="1" applyFont="1" applyFill="1" applyBorder="1" applyAlignment="1">
      <alignment horizontal="center" vertical="center"/>
    </xf>
    <xf numFmtId="186" fontId="38" fillId="9" borderId="2" xfId="0" applyNumberFormat="1" applyFont="1" applyFill="1" applyBorder="1" applyAlignment="1">
      <alignment horizontal="center" vertical="center"/>
    </xf>
    <xf numFmtId="0" fontId="40" fillId="10" borderId="0" xfId="0" applyFont="1" applyFill="1" applyAlignment="1">
      <alignment horizontal="left" vertical="center"/>
    </xf>
    <xf numFmtId="181" fontId="37" fillId="11" borderId="2" xfId="0" applyNumberFormat="1" applyFont="1" applyFill="1" applyBorder="1" applyAlignment="1">
      <alignment horizontal="center" vertical="center"/>
    </xf>
    <xf numFmtId="0" fontId="41" fillId="12" borderId="2" xfId="0" applyFont="1" applyFill="1" applyBorder="1" applyAlignment="1">
      <alignment horizontal="center" vertical="center" wrapText="1"/>
    </xf>
    <xf numFmtId="0" fontId="42" fillId="0" borderId="2" xfId="0" applyFont="1" applyBorder="1" applyAlignment="1">
      <alignment vertical="center"/>
    </xf>
    <xf numFmtId="181" fontId="42" fillId="0" borderId="2" xfId="0" applyNumberFormat="1" applyFont="1" applyBorder="1" applyAlignment="1">
      <alignment vertical="center"/>
    </xf>
    <xf numFmtId="0" fontId="42" fillId="0" borderId="2" xfId="0" applyFont="1" applyBorder="1" applyAlignment="1">
      <alignment horizontal="center" vertical="center"/>
    </xf>
    <xf numFmtId="186" fontId="42" fillId="0" borderId="2" xfId="0" applyNumberFormat="1" applyFont="1" applyBorder="1" applyAlignment="1">
      <alignment horizontal="right" vertical="center"/>
    </xf>
    <xf numFmtId="181" fontId="42" fillId="0" borderId="2" xfId="0" applyNumberFormat="1" applyFont="1" applyBorder="1" applyAlignment="1">
      <alignment horizontal="center" vertical="center"/>
    </xf>
    <xf numFmtId="187" fontId="42" fillId="0" borderId="2" xfId="0" applyNumberFormat="1" applyFont="1" applyBorder="1" applyAlignment="1">
      <alignment horizontal="right" vertical="center"/>
    </xf>
    <xf numFmtId="0" fontId="37" fillId="11" borderId="2" xfId="0" applyFont="1" applyFill="1" applyBorder="1" applyAlignment="1">
      <alignment vertical="center"/>
    </xf>
    <xf numFmtId="186" fontId="37" fillId="11" borderId="2" xfId="0" applyNumberFormat="1" applyFont="1" applyFill="1" applyBorder="1" applyAlignment="1">
      <alignment horizontal="right" vertical="center"/>
    </xf>
    <xf numFmtId="1" fontId="42" fillId="0" borderId="2" xfId="0" applyNumberFormat="1" applyFont="1" applyBorder="1" applyAlignment="1">
      <alignment vertical="center"/>
    </xf>
    <xf numFmtId="188" fontId="42" fillId="0" borderId="2" xfId="0" applyNumberFormat="1" applyFont="1" applyBorder="1" applyAlignment="1">
      <alignment vertical="center"/>
    </xf>
    <xf numFmtId="0" fontId="45" fillId="8" borderId="2" xfId="0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 vertical="center" wrapText="1"/>
    </xf>
    <xf numFmtId="0" fontId="62" fillId="14" borderId="4" xfId="0" applyFont="1" applyFill="1" applyBorder="1" applyAlignment="1">
      <alignment horizontal="center" vertical="center" wrapText="1"/>
    </xf>
    <xf numFmtId="0" fontId="63" fillId="15" borderId="5" xfId="0" applyFont="1" applyFill="1" applyBorder="1" applyAlignment="1">
      <alignment horizontal="center" vertical="center"/>
    </xf>
    <xf numFmtId="0" fontId="63" fillId="15" borderId="6" xfId="0" applyFont="1" applyFill="1" applyBorder="1" applyAlignment="1">
      <alignment horizontal="center" vertical="center"/>
    </xf>
    <xf numFmtId="0" fontId="63" fillId="15" borderId="6" xfId="0" applyFont="1" applyFill="1" applyBorder="1" applyAlignment="1">
      <alignment horizontal="left" vertical="center"/>
    </xf>
    <xf numFmtId="0" fontId="64" fillId="0" borderId="7" xfId="0" applyFont="1" applyBorder="1" applyAlignment="1">
      <alignment horizontal="center" vertical="center"/>
    </xf>
    <xf numFmtId="0" fontId="64" fillId="0" borderId="8" xfId="0" applyFont="1" applyBorder="1" applyAlignment="1">
      <alignment horizontal="center" vertical="center"/>
    </xf>
    <xf numFmtId="0" fontId="64" fillId="0" borderId="8" xfId="0" applyFont="1" applyBorder="1" applyAlignment="1">
      <alignment horizontal="left" vertical="center"/>
    </xf>
    <xf numFmtId="0" fontId="64" fillId="16" borderId="7" xfId="0" applyFont="1" applyFill="1" applyBorder="1" applyAlignment="1">
      <alignment horizontal="center" vertical="center"/>
    </xf>
    <xf numFmtId="0" fontId="64" fillId="16" borderId="8" xfId="0" applyFont="1" applyFill="1" applyBorder="1" applyAlignment="1">
      <alignment horizontal="center" vertical="center"/>
    </xf>
    <xf numFmtId="0" fontId="64" fillId="16" borderId="8" xfId="0" applyFont="1" applyFill="1" applyBorder="1" applyAlignment="1">
      <alignment horizontal="left" vertical="center"/>
    </xf>
    <xf numFmtId="0" fontId="64" fillId="16" borderId="9" xfId="0" applyFont="1" applyFill="1" applyBorder="1" applyAlignment="1">
      <alignment horizontal="center" vertical="center"/>
    </xf>
    <xf numFmtId="0" fontId="64" fillId="16" borderId="10" xfId="0" applyFont="1" applyFill="1" applyBorder="1" applyAlignment="1">
      <alignment horizontal="center" vertical="center"/>
    </xf>
    <xf numFmtId="0" fontId="64" fillId="16" borderId="10" xfId="0" applyFont="1" applyFill="1" applyBorder="1" applyAlignment="1">
      <alignment horizontal="left" vertical="center"/>
    </xf>
    <xf numFmtId="0" fontId="64" fillId="16" borderId="11" xfId="0" applyFont="1" applyFill="1" applyBorder="1" applyAlignment="1">
      <alignment horizontal="center" vertical="center"/>
    </xf>
    <xf numFmtId="0" fontId="64" fillId="16" borderId="12" xfId="0" applyFont="1" applyFill="1" applyBorder="1" applyAlignment="1">
      <alignment horizontal="center" vertical="center"/>
    </xf>
    <xf numFmtId="0" fontId="64" fillId="16" borderId="12" xfId="0" applyFont="1" applyFill="1" applyBorder="1" applyAlignment="1">
      <alignment horizontal="left" vertical="center"/>
    </xf>
    <xf numFmtId="0" fontId="62" fillId="14" borderId="16" xfId="0" applyFont="1" applyFill="1" applyBorder="1" applyAlignment="1">
      <alignment horizontal="center" vertical="center" wrapText="1"/>
    </xf>
    <xf numFmtId="14" fontId="0" fillId="0" borderId="0" xfId="0" applyNumberFormat="1"/>
    <xf numFmtId="0" fontId="62" fillId="14" borderId="22" xfId="0" applyFont="1" applyFill="1" applyBorder="1" applyAlignment="1">
      <alignment horizontal="center" vertical="center" wrapText="1"/>
    </xf>
    <xf numFmtId="189" fontId="0" fillId="0" borderId="0" xfId="0" applyNumberFormat="1"/>
    <xf numFmtId="0" fontId="63" fillId="15" borderId="6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63" fillId="15" borderId="18" xfId="0" applyFont="1" applyFill="1" applyBorder="1" applyAlignment="1">
      <alignment horizontal="center" vertical="center"/>
    </xf>
    <xf numFmtId="0" fontId="64" fillId="0" borderId="19" xfId="0" applyFont="1" applyBorder="1" applyAlignment="1">
      <alignment horizontal="center" vertical="center"/>
    </xf>
    <xf numFmtId="0" fontId="64" fillId="16" borderId="19" xfId="0" applyFont="1" applyFill="1" applyBorder="1" applyAlignment="1">
      <alignment horizontal="center" vertical="center"/>
    </xf>
    <xf numFmtId="0" fontId="64" fillId="16" borderId="20" xfId="0" applyFont="1" applyFill="1" applyBorder="1" applyAlignment="1">
      <alignment horizontal="center" vertical="center"/>
    </xf>
    <xf numFmtId="0" fontId="62" fillId="14" borderId="4" xfId="0" applyFont="1" applyFill="1" applyBorder="1" applyAlignment="1">
      <alignment horizontal="left" vertical="center"/>
    </xf>
    <xf numFmtId="0" fontId="62" fillId="13" borderId="15" xfId="0" applyFont="1" applyFill="1" applyBorder="1" applyAlignment="1">
      <alignment vertical="center"/>
    </xf>
    <xf numFmtId="0" fontId="62" fillId="13" borderId="0" xfId="0" applyFont="1" applyFill="1" applyAlignment="1">
      <alignment vertical="center"/>
    </xf>
    <xf numFmtId="0" fontId="62" fillId="14" borderId="22" xfId="0" applyFont="1" applyFill="1" applyBorder="1" applyAlignment="1">
      <alignment horizontal="left" vertical="center"/>
    </xf>
    <xf numFmtId="190" fontId="64" fillId="0" borderId="8" xfId="8" applyNumberFormat="1" applyFont="1" applyBorder="1" applyAlignment="1">
      <alignment vertical="center"/>
    </xf>
    <xf numFmtId="190" fontId="64" fillId="16" borderId="8" xfId="8" applyNumberFormat="1" applyFont="1" applyFill="1" applyBorder="1" applyAlignment="1">
      <alignment vertical="center"/>
    </xf>
    <xf numFmtId="190" fontId="64" fillId="16" borderId="10" xfId="8" applyNumberFormat="1" applyFont="1" applyFill="1" applyBorder="1" applyAlignment="1">
      <alignment vertical="center"/>
    </xf>
    <xf numFmtId="10" fontId="66" fillId="15" borderId="0" xfId="0" applyNumberFormat="1" applyFont="1" applyFill="1" applyAlignment="1">
      <alignment horizontal="center" vertical="center"/>
    </xf>
    <xf numFmtId="10" fontId="67" fillId="0" borderId="0" xfId="7" applyNumberFormat="1" applyFont="1" applyBorder="1" applyAlignment="1">
      <alignment horizontal="center" vertical="center"/>
    </xf>
    <xf numFmtId="10" fontId="68" fillId="16" borderId="0" xfId="0" applyNumberFormat="1" applyFont="1" applyFill="1" applyAlignment="1">
      <alignment horizontal="center" vertical="center"/>
    </xf>
    <xf numFmtId="10" fontId="68" fillId="0" borderId="13" xfId="7" applyNumberFormat="1" applyFont="1" applyBorder="1" applyAlignment="1">
      <alignment horizontal="right" vertical="center"/>
    </xf>
    <xf numFmtId="10" fontId="68" fillId="16" borderId="17" xfId="0" applyNumberFormat="1" applyFont="1" applyFill="1" applyBorder="1" applyAlignment="1">
      <alignment horizontal="right" vertical="center"/>
    </xf>
    <xf numFmtId="10" fontId="66" fillId="15" borderId="13" xfId="0" applyNumberFormat="1" applyFont="1" applyFill="1" applyBorder="1" applyAlignment="1">
      <alignment horizontal="center" vertical="center"/>
    </xf>
    <xf numFmtId="10" fontId="66" fillId="15" borderId="21" xfId="0" applyNumberFormat="1" applyFont="1" applyFill="1" applyBorder="1" applyAlignment="1">
      <alignment horizontal="center" vertical="center"/>
    </xf>
    <xf numFmtId="10" fontId="68" fillId="0" borderId="13" xfId="7" applyNumberFormat="1" applyFont="1" applyBorder="1" applyAlignment="1">
      <alignment horizontal="center" vertical="center"/>
    </xf>
    <xf numFmtId="10" fontId="68" fillId="0" borderId="14" xfId="7" applyNumberFormat="1" applyFont="1" applyBorder="1" applyAlignment="1">
      <alignment horizontal="center" vertical="center"/>
    </xf>
    <xf numFmtId="10" fontId="68" fillId="16" borderId="13" xfId="0" applyNumberFormat="1" applyFont="1" applyFill="1" applyBorder="1" applyAlignment="1">
      <alignment horizontal="center" vertical="center"/>
    </xf>
    <xf numFmtId="10" fontId="68" fillId="16" borderId="14" xfId="0" applyNumberFormat="1" applyFont="1" applyFill="1" applyBorder="1" applyAlignment="1">
      <alignment horizontal="center" vertical="center"/>
    </xf>
    <xf numFmtId="10" fontId="68" fillId="16" borderId="17" xfId="0" applyNumberFormat="1" applyFont="1" applyFill="1" applyBorder="1" applyAlignment="1">
      <alignment horizontal="center" vertical="center"/>
    </xf>
    <xf numFmtId="10" fontId="68" fillId="16" borderId="23" xfId="0" applyNumberFormat="1" applyFont="1" applyFill="1" applyBorder="1" applyAlignment="1">
      <alignment horizontal="center" vertical="center"/>
    </xf>
    <xf numFmtId="10" fontId="66" fillId="15" borderId="13" xfId="0" applyNumberFormat="1" applyFont="1" applyFill="1" applyBorder="1" applyAlignment="1">
      <alignment vertical="center"/>
    </xf>
    <xf numFmtId="10" fontId="68" fillId="0" borderId="13" xfId="7" applyNumberFormat="1" applyFont="1" applyBorder="1" applyAlignment="1">
      <alignment vertical="center"/>
    </xf>
    <xf numFmtId="10" fontId="68" fillId="16" borderId="13" xfId="0" applyNumberFormat="1" applyFont="1" applyFill="1" applyBorder="1" applyAlignment="1">
      <alignment vertical="center"/>
    </xf>
    <xf numFmtId="14" fontId="0" fillId="18" borderId="0" xfId="0" applyNumberFormat="1" applyFill="1"/>
    <xf numFmtId="14" fontId="0" fillId="0" borderId="0" xfId="0" applyNumberFormat="1" applyAlignment="1">
      <alignment horizontal="center"/>
    </xf>
    <xf numFmtId="14" fontId="0" fillId="18" borderId="0" xfId="0" applyNumberFormat="1" applyFill="1" applyAlignment="1">
      <alignment horizontal="center"/>
    </xf>
    <xf numFmtId="0" fontId="67" fillId="0" borderId="0" xfId="0" applyFont="1"/>
    <xf numFmtId="0" fontId="0" fillId="0" borderId="0" xfId="0" applyNumberFormat="1"/>
    <xf numFmtId="191" fontId="0" fillId="0" borderId="0" xfId="0" applyNumberFormat="1"/>
    <xf numFmtId="0" fontId="69" fillId="18" borderId="0" xfId="0" applyFont="1" applyFill="1"/>
    <xf numFmtId="10" fontId="0" fillId="18" borderId="0" xfId="0" applyNumberFormat="1" applyFill="1" applyAlignment="1">
      <alignment horizontal="left" indent="3"/>
    </xf>
    <xf numFmtId="0" fontId="65" fillId="17" borderId="0" xfId="0" applyFont="1" applyFill="1" applyAlignment="1">
      <alignment vertical="center" wrapText="1"/>
    </xf>
    <xf numFmtId="10" fontId="66" fillId="15" borderId="0" xfId="0" applyNumberFormat="1" applyFont="1" applyFill="1" applyBorder="1" applyAlignment="1">
      <alignment horizontal="center" vertical="center"/>
    </xf>
    <xf numFmtId="0" fontId="65" fillId="17" borderId="26" xfId="0" applyFont="1" applyFill="1" applyBorder="1" applyAlignment="1">
      <alignment vertical="center"/>
    </xf>
    <xf numFmtId="1" fontId="68" fillId="16" borderId="25" xfId="0" applyNumberFormat="1" applyFont="1" applyFill="1" applyBorder="1" applyAlignment="1">
      <alignment horizontal="center" vertical="center"/>
    </xf>
    <xf numFmtId="0" fontId="68" fillId="16" borderId="10" xfId="0" applyFont="1" applyFill="1" applyBorder="1" applyAlignment="1">
      <alignment horizontal="left" vertical="center"/>
    </xf>
    <xf numFmtId="0" fontId="68" fillId="16" borderId="10" xfId="0" applyFont="1" applyFill="1" applyBorder="1" applyAlignment="1">
      <alignment horizontal="center" vertical="center"/>
    </xf>
    <xf numFmtId="1" fontId="68" fillId="0" borderId="19" xfId="0" applyNumberFormat="1" applyFont="1" applyBorder="1" applyAlignment="1">
      <alignment horizontal="center" vertical="center"/>
    </xf>
    <xf numFmtId="0" fontId="68" fillId="0" borderId="8" xfId="0" applyFont="1" applyBorder="1" applyAlignment="1">
      <alignment horizontal="left" vertical="center"/>
    </xf>
    <xf numFmtId="0" fontId="68" fillId="0" borderId="8" xfId="0" applyFont="1" applyBorder="1" applyAlignment="1">
      <alignment horizontal="center" vertical="center"/>
    </xf>
    <xf numFmtId="1" fontId="68" fillId="16" borderId="19" xfId="0" applyNumberFormat="1" applyFont="1" applyFill="1" applyBorder="1" applyAlignment="1">
      <alignment horizontal="center" vertical="center"/>
    </xf>
    <xf numFmtId="0" fontId="68" fillId="16" borderId="8" xfId="0" applyFont="1" applyFill="1" applyBorder="1" applyAlignment="1">
      <alignment horizontal="left" vertical="center"/>
    </xf>
    <xf numFmtId="0" fontId="68" fillId="16" borderId="8" xfId="0" applyFont="1" applyFill="1" applyBorder="1" applyAlignment="1">
      <alignment horizontal="center" vertical="center"/>
    </xf>
    <xf numFmtId="192" fontId="0" fillId="0" borderId="0" xfId="0" applyNumberFormat="1" applyAlignment="1">
      <alignment horizontal="right"/>
    </xf>
    <xf numFmtId="0" fontId="40" fillId="14" borderId="24" xfId="0" applyFont="1" applyFill="1" applyBorder="1" applyAlignment="1">
      <alignment horizontal="center" vertical="center" wrapText="1"/>
    </xf>
    <xf numFmtId="0" fontId="40" fillId="14" borderId="4" xfId="0" applyFont="1" applyFill="1" applyBorder="1" applyAlignment="1">
      <alignment horizontal="center" vertical="center" wrapText="1"/>
    </xf>
    <xf numFmtId="0" fontId="62" fillId="13" borderId="0" xfId="0" applyFont="1" applyFill="1" applyBorder="1" applyAlignment="1">
      <alignment vertical="center"/>
    </xf>
    <xf numFmtId="0" fontId="68" fillId="16" borderId="12" xfId="0" applyFont="1" applyFill="1" applyBorder="1" applyAlignment="1">
      <alignment horizontal="left" vertical="center"/>
    </xf>
    <xf numFmtId="0" fontId="68" fillId="16" borderId="12" xfId="0" applyFont="1" applyFill="1" applyBorder="1" applyAlignment="1">
      <alignment horizontal="center" vertical="center"/>
    </xf>
    <xf numFmtId="0" fontId="68" fillId="16" borderId="11" xfId="0" applyFont="1" applyFill="1" applyBorder="1" applyAlignment="1">
      <alignment horizontal="center" vertical="center"/>
    </xf>
    <xf numFmtId="0" fontId="68" fillId="0" borderId="7" xfId="0" applyFont="1" applyBorder="1" applyAlignment="1">
      <alignment horizontal="center" vertical="center"/>
    </xf>
    <xf numFmtId="0" fontId="68" fillId="16" borderId="7" xfId="0" applyFont="1" applyFill="1" applyBorder="1" applyAlignment="1">
      <alignment horizontal="center" vertical="center"/>
    </xf>
    <xf numFmtId="0" fontId="66" fillId="15" borderId="18" xfId="0" applyFont="1" applyFill="1" applyBorder="1" applyAlignment="1">
      <alignment horizontal="center" vertical="center"/>
    </xf>
    <xf numFmtId="0" fontId="66" fillId="15" borderId="6" xfId="0" applyFont="1" applyFill="1" applyBorder="1" applyAlignment="1">
      <alignment horizontal="left" vertical="center"/>
    </xf>
    <xf numFmtId="0" fontId="66" fillId="15" borderId="6" xfId="0" applyFont="1" applyFill="1" applyBorder="1" applyAlignment="1">
      <alignment horizontal="center" vertical="center"/>
    </xf>
    <xf numFmtId="0" fontId="66" fillId="15" borderId="5" xfId="0" applyFont="1" applyFill="1" applyBorder="1" applyAlignment="1">
      <alignment horizontal="center" vertical="center"/>
    </xf>
    <xf numFmtId="0" fontId="0" fillId="0" borderId="0" xfId="0" applyFont="1"/>
    <xf numFmtId="0" fontId="40" fillId="14" borderId="22" xfId="0" applyFont="1" applyFill="1" applyBorder="1" applyAlignment="1">
      <alignment horizontal="left" vertical="center"/>
    </xf>
    <xf numFmtId="0" fontId="40" fillId="14" borderId="22" xfId="0" applyFont="1" applyFill="1" applyBorder="1" applyAlignment="1">
      <alignment horizontal="center" vertical="center" wrapText="1"/>
    </xf>
    <xf numFmtId="0" fontId="40" fillId="14" borderId="16" xfId="0" applyFont="1" applyFill="1" applyBorder="1" applyAlignment="1">
      <alignment horizontal="center" vertical="center" wrapText="1"/>
    </xf>
    <xf numFmtId="193" fontId="0" fillId="0" borderId="0" xfId="7" applyNumberFormat="1" applyFont="1" applyAlignment="1"/>
    <xf numFmtId="194" fontId="0" fillId="0" borderId="0" xfId="8" applyNumberFormat="1" applyFont="1" applyAlignment="1"/>
    <xf numFmtId="10" fontId="0" fillId="0" borderId="0" xfId="7" applyNumberFormat="1" applyFont="1" applyAlignment="1"/>
    <xf numFmtId="0" fontId="4" fillId="2" borderId="1" xfId="5" applyFont="1" applyFill="1" applyBorder="1" applyAlignment="1">
      <alignment horizontal="center"/>
    </xf>
    <xf numFmtId="0" fontId="40" fillId="10" borderId="0" xfId="0" applyFont="1" applyFill="1" applyAlignment="1">
      <alignment horizontal="left" vertical="center"/>
    </xf>
    <xf numFmtId="0" fontId="43" fillId="8" borderId="0" xfId="0" applyFont="1" applyFill="1"/>
    <xf numFmtId="0" fontId="40" fillId="10" borderId="1" xfId="0" applyFont="1" applyFill="1" applyBorder="1" applyAlignment="1">
      <alignment horizontal="left" vertical="center"/>
    </xf>
    <xf numFmtId="0" fontId="40" fillId="10" borderId="3" xfId="0" applyFont="1" applyFill="1" applyBorder="1" applyAlignment="1">
      <alignment horizontal="left" vertical="center"/>
    </xf>
    <xf numFmtId="0" fontId="44" fillId="9" borderId="0" xfId="0" applyFont="1" applyFill="1" applyAlignment="1">
      <alignment vertical="center" wrapText="1"/>
    </xf>
    <xf numFmtId="0" fontId="36" fillId="7" borderId="0" xfId="0" applyFont="1" applyFill="1" applyAlignment="1">
      <alignment horizontal="center" vertical="center"/>
    </xf>
    <xf numFmtId="0" fontId="37" fillId="8" borderId="2" xfId="0" applyFont="1" applyFill="1" applyBorder="1" applyAlignment="1">
      <alignment horizontal="center" vertical="center"/>
    </xf>
    <xf numFmtId="0" fontId="39" fillId="0" borderId="0" xfId="0" applyFont="1" applyAlignment="1">
      <alignment vertical="center" wrapText="1"/>
    </xf>
    <xf numFmtId="0" fontId="43" fillId="8" borderId="0" xfId="0" applyFont="1" applyFill="1" applyAlignment="1">
      <alignment wrapText="1"/>
    </xf>
    <xf numFmtId="0" fontId="65" fillId="17" borderId="0" xfId="0" applyFont="1" applyFill="1" applyAlignment="1">
      <alignment horizontal="left" vertical="center" wrapText="1"/>
    </xf>
    <xf numFmtId="0" fontId="62" fillId="13" borderId="15" xfId="0" applyFont="1" applyFill="1" applyBorder="1" applyAlignment="1">
      <alignment horizontal="center" vertical="center"/>
    </xf>
    <xf numFmtId="0" fontId="4" fillId="2" borderId="0" xfId="5" applyFont="1" applyFill="1" applyAlignment="1">
      <alignment horizontal="center"/>
    </xf>
    <xf numFmtId="0" fontId="4" fillId="2" borderId="0" xfId="5" applyFont="1" applyFill="1" applyAlignment="1">
      <alignment horizontal="center" vertical="center"/>
    </xf>
    <xf numFmtId="0" fontId="23" fillId="2" borderId="0" xfId="5" applyFont="1" applyFill="1" applyAlignment="1">
      <alignment horizontal="center" vertical="center" wrapText="1"/>
    </xf>
    <xf numFmtId="0" fontId="13" fillId="0" borderId="0" xfId="5" applyFont="1"/>
    <xf numFmtId="0" fontId="7" fillId="0" borderId="0" xfId="5" applyFont="1" applyAlignment="1">
      <alignment horizontal="right"/>
    </xf>
    <xf numFmtId="0" fontId="17" fillId="3" borderId="0" xfId="5" applyFont="1" applyFill="1" applyAlignment="1">
      <alignment horizontal="left" vertical="center"/>
    </xf>
    <xf numFmtId="0" fontId="26" fillId="0" borderId="2" xfId="5" applyFont="1" applyBorder="1" applyAlignment="1">
      <alignment horizontal="left" vertical="center"/>
    </xf>
    <xf numFmtId="0" fontId="6" fillId="3" borderId="2" xfId="5" applyFont="1" applyFill="1" applyBorder="1" applyAlignment="1">
      <alignment horizontal="center" vertical="center" wrapText="1"/>
    </xf>
    <xf numFmtId="0" fontId="19" fillId="0" borderId="0" xfId="5" applyFont="1" applyAlignment="1">
      <alignment vertical="center" wrapText="1"/>
    </xf>
    <xf numFmtId="0" fontId="34" fillId="0" borderId="0" xfId="5" applyFont="1" applyAlignment="1">
      <alignment vertical="center" wrapText="1"/>
    </xf>
  </cellXfs>
  <cellStyles count="9">
    <cellStyle name="Comma" xfId="1"/>
    <cellStyle name="Comma [0]" xfId="2"/>
    <cellStyle name="Currency" xfId="3"/>
    <cellStyle name="Currency [0]" xfId="4"/>
    <cellStyle name="Normal" xfId="5"/>
    <cellStyle name="Percent" xfId="6"/>
    <cellStyle name="百分比" xfId="7" builtinId="5"/>
    <cellStyle name="常规" xfId="0" builtinId="0"/>
    <cellStyle name="千位分隔" xfId="8" builtinId="3"/>
  </cellStyles>
  <dxfs count="5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E2F3"/>
        </left>
        <right/>
        <top style="thin">
          <color rgb="FFB4C6E7"/>
        </top>
        <bottom style="thin">
          <color rgb="FFB4C6E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D9E2F3"/>
        </left>
        <right style="thin">
          <color rgb="FFD9E2F3"/>
        </right>
        <top style="thin">
          <color rgb="FFB4C6E7"/>
        </top>
        <bottom style="thin">
          <color rgb="FFB4C6E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E2F3"/>
        </left>
        <right style="thin">
          <color rgb="FFD9E2F3"/>
        </right>
        <top style="thin">
          <color rgb="FFB4C6E7"/>
        </top>
        <bottom style="thin">
          <color rgb="FFB4C6E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A6A6A6"/>
        </left>
        <right style="thin">
          <color rgb="FFD9E2F3"/>
        </right>
        <top style="thin">
          <color rgb="FFB4C6E7"/>
        </top>
        <bottom style="thin">
          <color rgb="FFB4C6E7"/>
        </bottom>
      </border>
    </dxf>
    <dxf>
      <border outline="0">
        <top style="thin">
          <color rgb="FF355E84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微软雅黑"/>
        <scheme val="none"/>
      </font>
      <fill>
        <patternFill patternType="solid">
          <fgColor rgb="FF000000"/>
          <bgColor rgb="FFEAF2F8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rgb="FF355E8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微软雅黑"/>
        <scheme val="none"/>
      </font>
      <numFmt numFmtId="0" formatCode="General"/>
      <fill>
        <patternFill patternType="solid">
          <fgColor indexed="64"/>
          <bgColor rgb="FF4F81B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355E84"/>
        </left>
        <right style="thin">
          <color rgb="FF355E84"/>
        </right>
        <top/>
        <bottom/>
      </border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E2F3"/>
        </left>
        <right/>
        <top style="thin">
          <color rgb="FFB4C6E7"/>
        </top>
        <bottom style="thin">
          <color rgb="FFB4C6E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6A6A6"/>
        </left>
        <right style="thin">
          <color rgb="FFD9E2F3"/>
        </right>
        <top style="thin">
          <color rgb="FFB4C6E7"/>
        </top>
        <bottom style="thin">
          <color rgb="FFB4C6E7"/>
        </bottom>
        <vertical/>
        <horizontal/>
      </border>
    </dxf>
    <dxf>
      <border outline="0">
        <top style="thin">
          <color rgb="FF355E84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rgb="FFEAF2F8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rgb="FF355E8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微软雅黑"/>
        <scheme val="none"/>
      </font>
      <numFmt numFmtId="0" formatCode="General"/>
      <fill>
        <patternFill patternType="solid">
          <fgColor indexed="64"/>
          <bgColor rgb="FF4F81B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355E84"/>
        </left>
        <right style="thin">
          <color rgb="FF355E84"/>
        </right>
        <top/>
        <bottom/>
      </border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4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zh-CN" altLang="en-US"/>
              <a:t>产业趋势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'看板-产业趋势'!_ChartDates</c:f>
              <c:numCache>
                <c:formatCode>yyyy\-mm\-dd</c:formatCode>
                <c:ptCount val="64"/>
                <c:pt idx="0">
                  <c:v>46195</c:v>
                </c:pt>
                <c:pt idx="1">
                  <c:v>46196</c:v>
                </c:pt>
                <c:pt idx="2">
                  <c:v>46197</c:v>
                </c:pt>
                <c:pt idx="3">
                  <c:v>46198</c:v>
                </c:pt>
                <c:pt idx="4">
                  <c:v>46199</c:v>
                </c:pt>
                <c:pt idx="5">
                  <c:v>46202</c:v>
                </c:pt>
                <c:pt idx="6">
                  <c:v>46203</c:v>
                </c:pt>
                <c:pt idx="7">
                  <c:v>46204</c:v>
                </c:pt>
                <c:pt idx="8">
                  <c:v>46205</c:v>
                </c:pt>
                <c:pt idx="9">
                  <c:v>46206</c:v>
                </c:pt>
                <c:pt idx="10">
                  <c:v>46209</c:v>
                </c:pt>
                <c:pt idx="11">
                  <c:v>46210</c:v>
                </c:pt>
                <c:pt idx="12">
                  <c:v>46211</c:v>
                </c:pt>
                <c:pt idx="13">
                  <c:v>46212</c:v>
                </c:pt>
                <c:pt idx="14">
                  <c:v>46213</c:v>
                </c:pt>
                <c:pt idx="15">
                  <c:v>46216</c:v>
                </c:pt>
                <c:pt idx="16">
                  <c:v>46217</c:v>
                </c:pt>
                <c:pt idx="17">
                  <c:v>46218</c:v>
                </c:pt>
                <c:pt idx="18">
                  <c:v>46219</c:v>
                </c:pt>
                <c:pt idx="19">
                  <c:v>46220</c:v>
                </c:pt>
                <c:pt idx="20">
                  <c:v>46223</c:v>
                </c:pt>
                <c:pt idx="21">
                  <c:v>46224</c:v>
                </c:pt>
                <c:pt idx="22">
                  <c:v>46225</c:v>
                </c:pt>
                <c:pt idx="23">
                  <c:v>46226</c:v>
                </c:pt>
                <c:pt idx="24">
                  <c:v>46227</c:v>
                </c:pt>
                <c:pt idx="25">
                  <c:v>46230</c:v>
                </c:pt>
                <c:pt idx="26">
                  <c:v>46231</c:v>
                </c:pt>
                <c:pt idx="27">
                  <c:v>46232</c:v>
                </c:pt>
                <c:pt idx="28">
                  <c:v>46233</c:v>
                </c:pt>
                <c:pt idx="29">
                  <c:v>46234</c:v>
                </c:pt>
                <c:pt idx="30">
                  <c:v>46237</c:v>
                </c:pt>
                <c:pt idx="31">
                  <c:v>46238</c:v>
                </c:pt>
                <c:pt idx="32">
                  <c:v>46239</c:v>
                </c:pt>
                <c:pt idx="33">
                  <c:v>46240</c:v>
                </c:pt>
                <c:pt idx="34">
                  <c:v>46241</c:v>
                </c:pt>
                <c:pt idx="35">
                  <c:v>46244</c:v>
                </c:pt>
                <c:pt idx="36">
                  <c:v>46245</c:v>
                </c:pt>
                <c:pt idx="37">
                  <c:v>46246</c:v>
                </c:pt>
                <c:pt idx="38">
                  <c:v>46247</c:v>
                </c:pt>
                <c:pt idx="39">
                  <c:v>46248</c:v>
                </c:pt>
                <c:pt idx="40">
                  <c:v>46251</c:v>
                </c:pt>
                <c:pt idx="41">
                  <c:v>46252</c:v>
                </c:pt>
                <c:pt idx="42">
                  <c:v>46253</c:v>
                </c:pt>
                <c:pt idx="43">
                  <c:v>46254</c:v>
                </c:pt>
                <c:pt idx="44">
                  <c:v>46255</c:v>
                </c:pt>
                <c:pt idx="45">
                  <c:v>46258</c:v>
                </c:pt>
                <c:pt idx="46">
                  <c:v>46259</c:v>
                </c:pt>
                <c:pt idx="47">
                  <c:v>46260</c:v>
                </c:pt>
                <c:pt idx="48">
                  <c:v>46261</c:v>
                </c:pt>
                <c:pt idx="49">
                  <c:v>46262</c:v>
                </c:pt>
                <c:pt idx="50">
                  <c:v>46265</c:v>
                </c:pt>
                <c:pt idx="51">
                  <c:v>46266</c:v>
                </c:pt>
                <c:pt idx="52">
                  <c:v>46267</c:v>
                </c:pt>
                <c:pt idx="53">
                  <c:v>46268</c:v>
                </c:pt>
                <c:pt idx="54">
                  <c:v>46269</c:v>
                </c:pt>
                <c:pt idx="55">
                  <c:v>46272</c:v>
                </c:pt>
                <c:pt idx="56">
                  <c:v>46273</c:v>
                </c:pt>
                <c:pt idx="57">
                  <c:v>46274</c:v>
                </c:pt>
                <c:pt idx="58">
                  <c:v>46275</c:v>
                </c:pt>
                <c:pt idx="59">
                  <c:v>46276</c:v>
                </c:pt>
                <c:pt idx="60">
                  <c:v>46279</c:v>
                </c:pt>
                <c:pt idx="61">
                  <c:v>46280</c:v>
                </c:pt>
                <c:pt idx="62">
                  <c:v>46281</c:v>
                </c:pt>
                <c:pt idx="63">
                  <c:v>46282</c:v>
                </c:pt>
              </c:numCache>
            </c:numRef>
          </c:cat>
          <c:val>
            <c:numRef>
              <c:f>'看板-产业趋势'!_ChartValues</c:f>
              <c:numCache>
                <c:formatCode>0.0000</c:formatCode>
                <c:ptCount val="64"/>
                <c:pt idx="0">
                  <c:v>1</c:v>
                </c:pt>
                <c:pt idx="1">
                  <c:v>0.98042318811773688</c:v>
                </c:pt>
                <c:pt idx="2">
                  <c:v>1.0160197208922743</c:v>
                </c:pt>
                <c:pt idx="3">
                  <c:v>1.0494431551246099</c:v>
                </c:pt>
                <c:pt idx="4">
                  <c:v>1.0194457362958647</c:v>
                </c:pt>
                <c:pt idx="5">
                  <c:v>1.0294386648056562</c:v>
                </c:pt>
                <c:pt idx="6">
                  <c:v>1.0748479117145109</c:v>
                </c:pt>
                <c:pt idx="7">
                  <c:v>1.0416673271387726</c:v>
                </c:pt>
                <c:pt idx="8">
                  <c:v>0.9502400516447862</c:v>
                </c:pt>
                <c:pt idx="9">
                  <c:v>0.94321899538470466</c:v>
                </c:pt>
                <c:pt idx="10">
                  <c:v>0.92459185139429301</c:v>
                </c:pt>
                <c:pt idx="11">
                  <c:v>0.93094051945631884</c:v>
                </c:pt>
                <c:pt idx="12">
                  <c:v>0.93624162720445936</c:v>
                </c:pt>
                <c:pt idx="13">
                  <c:v>1.000119640739735</c:v>
                </c:pt>
                <c:pt idx="14">
                  <c:v>0.95179417704073732</c:v>
                </c:pt>
                <c:pt idx="15">
                  <c:v>0.91697362913212932</c:v>
                </c:pt>
                <c:pt idx="16">
                  <c:v>0.94637062365446645</c:v>
                </c:pt>
                <c:pt idx="17">
                  <c:v>0.91699688948477942</c:v>
                </c:pt>
                <c:pt idx="18">
                  <c:v>0.87559563769905591</c:v>
                </c:pt>
                <c:pt idx="19">
                  <c:v>0.80395186275888708</c:v>
                </c:pt>
                <c:pt idx="20">
                  <c:v>0.7725846198142714</c:v>
                </c:pt>
                <c:pt idx="21">
                  <c:v>0.85977786369144249</c:v>
                </c:pt>
                <c:pt idx="22">
                  <c:v>0.83406264853237666</c:v>
                </c:pt>
                <c:pt idx="23">
                  <c:v>0.81192392134913194</c:v>
                </c:pt>
                <c:pt idx="24">
                  <c:v>0.81167965590769986</c:v>
                </c:pt>
                <c:pt idx="25">
                  <c:v>0.83469124014895102</c:v>
                </c:pt>
                <c:pt idx="26">
                  <c:v>0.76869284885503608</c:v>
                </c:pt>
                <c:pt idx="27">
                  <c:v>0.75909621549224715</c:v>
                </c:pt>
                <c:pt idx="28">
                  <c:v>0.70197151091105148</c:v>
                </c:pt>
                <c:pt idx="29">
                  <c:v>0.72624632001160483</c:v>
                </c:pt>
                <c:pt idx="30">
                  <c:v>0.6962683081309522</c:v>
                </c:pt>
                <c:pt idx="31">
                  <c:v>0.74614458366388403</c:v>
                </c:pt>
                <c:pt idx="32">
                  <c:v>0.77896150349312188</c:v>
                </c:pt>
                <c:pt idx="33">
                  <c:v>0.79001227829138299</c:v>
                </c:pt>
                <c:pt idx="34">
                  <c:v>0.81131379383137059</c:v>
                </c:pt>
                <c:pt idx="35">
                  <c:v>0.81333484775718323</c:v>
                </c:pt>
                <c:pt idx="36">
                  <c:v>0.80390380258733718</c:v>
                </c:pt>
                <c:pt idx="37">
                  <c:v>0.82830533304129883</c:v>
                </c:pt>
                <c:pt idx="38">
                  <c:v>0.82438313522875573</c:v>
                </c:pt>
                <c:pt idx="39">
                  <c:v>0.83551715435720697</c:v>
                </c:pt>
                <c:pt idx="40">
                  <c:v>0.87689411795961425</c:v>
                </c:pt>
                <c:pt idx="41">
                  <c:v>0.87902436130755246</c:v>
                </c:pt>
                <c:pt idx="42">
                  <c:v>0.81673011277623475</c:v>
                </c:pt>
                <c:pt idx="43">
                  <c:v>0.82583566974225264</c:v>
                </c:pt>
                <c:pt idx="44">
                  <c:v>0.83068821536380733</c:v>
                </c:pt>
                <c:pt idx="45">
                  <c:v>0.81091217806369975</c:v>
                </c:pt>
                <c:pt idx="46">
                  <c:v>0.80387297499360533</c:v>
                </c:pt>
                <c:pt idx="47">
                  <c:v>0.81172592191144455</c:v>
                </c:pt>
                <c:pt idx="48">
                  <c:v>0.84253183479133931</c:v>
                </c:pt>
                <c:pt idx="49">
                  <c:v>0.82529512213198775</c:v>
                </c:pt>
                <c:pt idx="50">
                  <c:v>0.82921309797789811</c:v>
                </c:pt>
                <c:pt idx="51">
                  <c:v>0.80431702740255684</c:v>
                </c:pt>
                <c:pt idx="52">
                  <c:v>0.79223521178555889</c:v>
                </c:pt>
                <c:pt idx="53">
                  <c:v>0.78846776908562322</c:v>
                </c:pt>
                <c:pt idx="54">
                  <c:v>0.76892611058517346</c:v>
                </c:pt>
                <c:pt idx="55">
                  <c:v>0.81281403528418172</c:v>
                </c:pt>
                <c:pt idx="56">
                  <c:v>0.80503419454881331</c:v>
                </c:pt>
                <c:pt idx="57">
                  <c:v>0.80617970266413785</c:v>
                </c:pt>
                <c:pt idx="58">
                  <c:v>0.80517626903228889</c:v>
                </c:pt>
                <c:pt idx="59">
                  <c:v>0.80038083972554597</c:v>
                </c:pt>
                <c:pt idx="60">
                  <c:v>0.78748331494314971</c:v>
                </c:pt>
                <c:pt idx="61">
                  <c:v>0.79629168130557926</c:v>
                </c:pt>
                <c:pt idx="62">
                  <c:v>0.83169100485561154</c:v>
                </c:pt>
                <c:pt idx="63">
                  <c:v>0.83165656755046369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648-406B-857D-FFC7DCCFB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7717488"/>
        <c:axId val="1277721296"/>
      </c:lineChart>
      <c:dateAx>
        <c:axId val="1277717488"/>
        <c:scaling>
          <c:orientation val="minMax"/>
          <c:min val="46195"/>
        </c:scaling>
        <c:delete val="0"/>
        <c:axPos val="b"/>
        <c:numFmt formatCode="mm\-dd" sourceLinked="0"/>
        <c:majorTickMark val="none"/>
        <c:minorTickMark val="none"/>
        <c:tickLblPos val="nextTo"/>
        <c:crossAx val="1277721296"/>
        <c:crosses val="autoZero"/>
        <c:auto val="1"/>
        <c:lblOffset val="100"/>
        <c:baseTimeUnit val="days"/>
        <c:majorTimeUnit val="days"/>
      </c:dateAx>
      <c:valAx>
        <c:axId val="1277721296"/>
        <c:scaling>
          <c:orientation val="minMax"/>
          <c:min val="0.60000000000000009"/>
        </c:scaling>
        <c:delete val="0"/>
        <c:axPos val="l"/>
        <c:numFmt formatCode="0.0000" sourceLinked="0"/>
        <c:majorTickMark val="none"/>
        <c:minorTickMark val="none"/>
        <c:tickLblPos val="nextTo"/>
        <c:crossAx val="127771748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zh-CN" altLang="en-US"/>
              <a:t>产业趋势基石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'看板-产业趋势基石'!_ChartDates</c:f>
              <c:numCache>
                <c:formatCode>yyyy\-mm\-dd</c:formatCode>
                <c:ptCount val="65"/>
                <c:pt idx="0">
                  <c:v>46191</c:v>
                </c:pt>
                <c:pt idx="1">
                  <c:v>46195</c:v>
                </c:pt>
                <c:pt idx="2">
                  <c:v>46196</c:v>
                </c:pt>
                <c:pt idx="3">
                  <c:v>46197</c:v>
                </c:pt>
                <c:pt idx="4">
                  <c:v>46198</c:v>
                </c:pt>
                <c:pt idx="5">
                  <c:v>46199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46209</c:v>
                </c:pt>
                <c:pt idx="12">
                  <c:v>46210</c:v>
                </c:pt>
                <c:pt idx="13">
                  <c:v>46211</c:v>
                </c:pt>
                <c:pt idx="14">
                  <c:v>46212</c:v>
                </c:pt>
                <c:pt idx="15">
                  <c:v>46213</c:v>
                </c:pt>
                <c:pt idx="16">
                  <c:v>46216</c:v>
                </c:pt>
                <c:pt idx="17">
                  <c:v>46217</c:v>
                </c:pt>
                <c:pt idx="18">
                  <c:v>46218</c:v>
                </c:pt>
                <c:pt idx="19">
                  <c:v>46219</c:v>
                </c:pt>
                <c:pt idx="20">
                  <c:v>46220</c:v>
                </c:pt>
                <c:pt idx="21">
                  <c:v>46223</c:v>
                </c:pt>
                <c:pt idx="22">
                  <c:v>46224</c:v>
                </c:pt>
                <c:pt idx="23">
                  <c:v>46225</c:v>
                </c:pt>
                <c:pt idx="24">
                  <c:v>46226</c:v>
                </c:pt>
                <c:pt idx="25">
                  <c:v>46227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46237</c:v>
                </c:pt>
                <c:pt idx="32">
                  <c:v>46238</c:v>
                </c:pt>
                <c:pt idx="33">
                  <c:v>46239</c:v>
                </c:pt>
                <c:pt idx="34">
                  <c:v>46240</c:v>
                </c:pt>
                <c:pt idx="35">
                  <c:v>46241</c:v>
                </c:pt>
                <c:pt idx="36">
                  <c:v>46244</c:v>
                </c:pt>
                <c:pt idx="37">
                  <c:v>46245</c:v>
                </c:pt>
                <c:pt idx="38">
                  <c:v>46246</c:v>
                </c:pt>
                <c:pt idx="39">
                  <c:v>46247</c:v>
                </c:pt>
                <c:pt idx="40">
                  <c:v>46248</c:v>
                </c:pt>
                <c:pt idx="41">
                  <c:v>46251</c:v>
                </c:pt>
                <c:pt idx="42">
                  <c:v>46252</c:v>
                </c:pt>
                <c:pt idx="43">
                  <c:v>46253</c:v>
                </c:pt>
                <c:pt idx="44">
                  <c:v>46254</c:v>
                </c:pt>
                <c:pt idx="45">
                  <c:v>46255</c:v>
                </c:pt>
                <c:pt idx="46">
                  <c:v>46258</c:v>
                </c:pt>
                <c:pt idx="47">
                  <c:v>46259</c:v>
                </c:pt>
                <c:pt idx="48">
                  <c:v>46260</c:v>
                </c:pt>
                <c:pt idx="49">
                  <c:v>46261</c:v>
                </c:pt>
                <c:pt idx="50">
                  <c:v>46262</c:v>
                </c:pt>
                <c:pt idx="51">
                  <c:v>46265</c:v>
                </c:pt>
                <c:pt idx="52">
                  <c:v>46266</c:v>
                </c:pt>
                <c:pt idx="53">
                  <c:v>46267</c:v>
                </c:pt>
                <c:pt idx="54">
                  <c:v>46268</c:v>
                </c:pt>
                <c:pt idx="55">
                  <c:v>46269</c:v>
                </c:pt>
                <c:pt idx="56">
                  <c:v>46272</c:v>
                </c:pt>
                <c:pt idx="57">
                  <c:v>46273</c:v>
                </c:pt>
                <c:pt idx="58">
                  <c:v>46274</c:v>
                </c:pt>
                <c:pt idx="59">
                  <c:v>46275</c:v>
                </c:pt>
                <c:pt idx="60">
                  <c:v>46276</c:v>
                </c:pt>
                <c:pt idx="61">
                  <c:v>46279</c:v>
                </c:pt>
                <c:pt idx="62">
                  <c:v>46280</c:v>
                </c:pt>
                <c:pt idx="63">
                  <c:v>46281</c:v>
                </c:pt>
                <c:pt idx="64">
                  <c:v>46282</c:v>
                </c:pt>
              </c:numCache>
            </c:numRef>
          </c:cat>
          <c:val>
            <c:numRef>
              <c:f>'看板-产业趋势基石'!_ChartValues</c:f>
              <c:numCache>
                <c:formatCode>0.0000</c:formatCode>
                <c:ptCount val="65"/>
                <c:pt idx="0">
                  <c:v>1</c:v>
                </c:pt>
                <c:pt idx="1">
                  <c:v>1.0234374728432394</c:v>
                </c:pt>
                <c:pt idx="2">
                  <c:v>1.0033378905556949</c:v>
                </c:pt>
                <c:pt idx="3">
                  <c:v>1.0397126768191969</c:v>
                </c:pt>
                <c:pt idx="4">
                  <c:v>1.0739445334901312</c:v>
                </c:pt>
                <c:pt idx="5">
                  <c:v>1.0431451846332738</c:v>
                </c:pt>
                <c:pt idx="6">
                  <c:v>1.0532583926143868</c:v>
                </c:pt>
                <c:pt idx="7">
                  <c:v>1.0997368712958928</c:v>
                </c:pt>
                <c:pt idx="8">
                  <c:v>1.0657543280201871</c:v>
                </c:pt>
                <c:pt idx="9">
                  <c:v>0.97222777037242381</c:v>
                </c:pt>
                <c:pt idx="10">
                  <c:v>0.9650764877591137</c:v>
                </c:pt>
                <c:pt idx="11">
                  <c:v>0.94597775731161959</c:v>
                </c:pt>
                <c:pt idx="12">
                  <c:v>0.95247542928901296</c:v>
                </c:pt>
                <c:pt idx="13">
                  <c:v>0.9578161514912864</c:v>
                </c:pt>
                <c:pt idx="14">
                  <c:v>1.0231939223043951</c:v>
                </c:pt>
                <c:pt idx="15">
                  <c:v>0.9737422822209042</c:v>
                </c:pt>
                <c:pt idx="16">
                  <c:v>0.93808139669337876</c:v>
                </c:pt>
                <c:pt idx="17">
                  <c:v>0.96830009922126759</c:v>
                </c:pt>
                <c:pt idx="18">
                  <c:v>0.93822864166205733</c:v>
                </c:pt>
                <c:pt idx="19">
                  <c:v>0.89587465029610514</c:v>
                </c:pt>
                <c:pt idx="20">
                  <c:v>0.82248092101937031</c:v>
                </c:pt>
                <c:pt idx="21">
                  <c:v>0.79035973856508246</c:v>
                </c:pt>
                <c:pt idx="22">
                  <c:v>0.87956638034701318</c:v>
                </c:pt>
                <c:pt idx="23">
                  <c:v>0.85321196799992882</c:v>
                </c:pt>
                <c:pt idx="24">
                  <c:v>0.83060416834710382</c:v>
                </c:pt>
                <c:pt idx="25">
                  <c:v>0.83029356330213822</c:v>
                </c:pt>
                <c:pt idx="26">
                  <c:v>0.85390475841332225</c:v>
                </c:pt>
                <c:pt idx="27">
                  <c:v>0.7862607541617691</c:v>
                </c:pt>
                <c:pt idx="28">
                  <c:v>0.77644814898918524</c:v>
                </c:pt>
                <c:pt idx="29">
                  <c:v>0.71793541970282437</c:v>
                </c:pt>
                <c:pt idx="30">
                  <c:v>0.74282726366224527</c:v>
                </c:pt>
                <c:pt idx="31">
                  <c:v>0.71222410579163131</c:v>
                </c:pt>
                <c:pt idx="32">
                  <c:v>0.76336947663905597</c:v>
                </c:pt>
                <c:pt idx="33">
                  <c:v>0.79692340056760913</c:v>
                </c:pt>
                <c:pt idx="34">
                  <c:v>0.80826511012075786</c:v>
                </c:pt>
                <c:pt idx="35">
                  <c:v>0.83008467669236141</c:v>
                </c:pt>
                <c:pt idx="36">
                  <c:v>0.83211163195446736</c:v>
                </c:pt>
                <c:pt idx="37">
                  <c:v>0.82249407267954855</c:v>
                </c:pt>
                <c:pt idx="38">
                  <c:v>0.84749604001398571</c:v>
                </c:pt>
                <c:pt idx="39">
                  <c:v>0.84350945139145028</c:v>
                </c:pt>
                <c:pt idx="40">
                  <c:v>0.85496078801066921</c:v>
                </c:pt>
                <c:pt idx="41">
                  <c:v>0.89736673193518768</c:v>
                </c:pt>
                <c:pt idx="42">
                  <c:v>0.89952242814841865</c:v>
                </c:pt>
                <c:pt idx="43">
                  <c:v>0.83570045037146312</c:v>
                </c:pt>
                <c:pt idx="44">
                  <c:v>0.8450321202494574</c:v>
                </c:pt>
                <c:pt idx="45">
                  <c:v>0.85004474222692461</c:v>
                </c:pt>
                <c:pt idx="46">
                  <c:v>0.82976181971860674</c:v>
                </c:pt>
                <c:pt idx="47">
                  <c:v>0.822580041822354</c:v>
                </c:pt>
                <c:pt idx="48">
                  <c:v>0.83058903659412076</c:v>
                </c:pt>
                <c:pt idx="49">
                  <c:v>0.86217768714604248</c:v>
                </c:pt>
                <c:pt idx="50">
                  <c:v>0.84453319404594596</c:v>
                </c:pt>
                <c:pt idx="51">
                  <c:v>0.84858335858677658</c:v>
                </c:pt>
                <c:pt idx="52">
                  <c:v>0.82310644044768921</c:v>
                </c:pt>
                <c:pt idx="53">
                  <c:v>0.81072712133576563</c:v>
                </c:pt>
                <c:pt idx="54">
                  <c:v>0.80688850106442223</c:v>
                </c:pt>
                <c:pt idx="55">
                  <c:v>0.78689307916126394</c:v>
                </c:pt>
                <c:pt idx="56">
                  <c:v>0.83193295898880537</c:v>
                </c:pt>
                <c:pt idx="57">
                  <c:v>0.82398386294683612</c:v>
                </c:pt>
                <c:pt idx="58">
                  <c:v>0.82518255775218696</c:v>
                </c:pt>
                <c:pt idx="59">
                  <c:v>0.82415304352344354</c:v>
                </c:pt>
                <c:pt idx="60">
                  <c:v>0.81927586744682934</c:v>
                </c:pt>
                <c:pt idx="61">
                  <c:v>0.80607282528132818</c:v>
                </c:pt>
                <c:pt idx="62">
                  <c:v>0.81506942507388946</c:v>
                </c:pt>
                <c:pt idx="63">
                  <c:v>0.85134100942334767</c:v>
                </c:pt>
                <c:pt idx="64">
                  <c:v>0.85131285130410705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6AF-4641-B79E-01CB1C340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7720208"/>
        <c:axId val="1277722384"/>
      </c:lineChart>
      <c:dateAx>
        <c:axId val="1277720208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1277722384"/>
        <c:crosses val="autoZero"/>
        <c:auto val="1"/>
        <c:lblOffset val="100"/>
        <c:baseTimeUnit val="days"/>
        <c:majorTimeUnit val="days"/>
      </c:dateAx>
      <c:valAx>
        <c:axId val="1277722384"/>
        <c:scaling>
          <c:orientation val="minMax"/>
          <c:min val="0.70000000000000007"/>
        </c:scaling>
        <c:delete val="0"/>
        <c:axPos val="l"/>
        <c:numFmt formatCode="0.0000" sourceLinked="0"/>
        <c:majorTickMark val="none"/>
        <c:minorTickMark val="none"/>
        <c:tickLblPos val="nextTo"/>
        <c:crossAx val="127772020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zh-CN" altLang="en-US"/>
              <a:t>产业趋势</a:t>
            </a:r>
            <a:r>
              <a:rPr lang="en-US" altLang="zh-CN"/>
              <a:t>2</a:t>
            </a:r>
            <a:r>
              <a:rPr lang="zh-CN" altLang="en-US"/>
              <a:t>号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'看板-产业趋势2号'!_ChartDates</c:f>
              <c:numCache>
                <c:formatCode>yyyy\-mm\-dd</c:formatCode>
                <c:ptCount val="63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46202</c:v>
                </c:pt>
                <c:pt idx="5">
                  <c:v>46203</c:v>
                </c:pt>
                <c:pt idx="6">
                  <c:v>46204</c:v>
                </c:pt>
                <c:pt idx="7">
                  <c:v>46205</c:v>
                </c:pt>
                <c:pt idx="8">
                  <c:v>46206</c:v>
                </c:pt>
                <c:pt idx="9">
                  <c:v>46209</c:v>
                </c:pt>
                <c:pt idx="10">
                  <c:v>46210</c:v>
                </c:pt>
                <c:pt idx="11">
                  <c:v>46211</c:v>
                </c:pt>
                <c:pt idx="12">
                  <c:v>46212</c:v>
                </c:pt>
                <c:pt idx="13">
                  <c:v>46213</c:v>
                </c:pt>
                <c:pt idx="14">
                  <c:v>46216</c:v>
                </c:pt>
                <c:pt idx="15">
                  <c:v>46217</c:v>
                </c:pt>
                <c:pt idx="16">
                  <c:v>46218</c:v>
                </c:pt>
                <c:pt idx="17">
                  <c:v>46219</c:v>
                </c:pt>
                <c:pt idx="18">
                  <c:v>46220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46230</c:v>
                </c:pt>
                <c:pt idx="25">
                  <c:v>46231</c:v>
                </c:pt>
                <c:pt idx="26">
                  <c:v>46232</c:v>
                </c:pt>
                <c:pt idx="27">
                  <c:v>46233</c:v>
                </c:pt>
                <c:pt idx="28">
                  <c:v>46234</c:v>
                </c:pt>
                <c:pt idx="29">
                  <c:v>46237</c:v>
                </c:pt>
                <c:pt idx="30">
                  <c:v>46238</c:v>
                </c:pt>
                <c:pt idx="31">
                  <c:v>46239</c:v>
                </c:pt>
                <c:pt idx="32">
                  <c:v>46240</c:v>
                </c:pt>
                <c:pt idx="33">
                  <c:v>46241</c:v>
                </c:pt>
                <c:pt idx="34">
                  <c:v>46244</c:v>
                </c:pt>
                <c:pt idx="35">
                  <c:v>46245</c:v>
                </c:pt>
                <c:pt idx="36">
                  <c:v>46246</c:v>
                </c:pt>
                <c:pt idx="37">
                  <c:v>46247</c:v>
                </c:pt>
                <c:pt idx="38">
                  <c:v>46248</c:v>
                </c:pt>
                <c:pt idx="39">
                  <c:v>46251</c:v>
                </c:pt>
                <c:pt idx="40">
                  <c:v>46252</c:v>
                </c:pt>
                <c:pt idx="41">
                  <c:v>46253</c:v>
                </c:pt>
                <c:pt idx="42">
                  <c:v>46254</c:v>
                </c:pt>
                <c:pt idx="43">
                  <c:v>46255</c:v>
                </c:pt>
                <c:pt idx="44">
                  <c:v>46258</c:v>
                </c:pt>
                <c:pt idx="45">
                  <c:v>46259</c:v>
                </c:pt>
                <c:pt idx="46">
                  <c:v>46260</c:v>
                </c:pt>
                <c:pt idx="47">
                  <c:v>46261</c:v>
                </c:pt>
                <c:pt idx="48">
                  <c:v>46262</c:v>
                </c:pt>
                <c:pt idx="49">
                  <c:v>46265</c:v>
                </c:pt>
                <c:pt idx="50">
                  <c:v>46266</c:v>
                </c:pt>
                <c:pt idx="51">
                  <c:v>46267</c:v>
                </c:pt>
                <c:pt idx="52">
                  <c:v>46268</c:v>
                </c:pt>
                <c:pt idx="53">
                  <c:v>46269</c:v>
                </c:pt>
                <c:pt idx="54">
                  <c:v>46272</c:v>
                </c:pt>
                <c:pt idx="55">
                  <c:v>46273</c:v>
                </c:pt>
                <c:pt idx="56">
                  <c:v>46274</c:v>
                </c:pt>
                <c:pt idx="57">
                  <c:v>46275</c:v>
                </c:pt>
                <c:pt idx="58">
                  <c:v>46276</c:v>
                </c:pt>
                <c:pt idx="59">
                  <c:v>46279</c:v>
                </c:pt>
                <c:pt idx="60">
                  <c:v>46280</c:v>
                </c:pt>
                <c:pt idx="61">
                  <c:v>46281</c:v>
                </c:pt>
                <c:pt idx="62">
                  <c:v>46282</c:v>
                </c:pt>
              </c:numCache>
            </c:numRef>
          </c:cat>
          <c:val>
            <c:numRef>
              <c:f>'看板-产业趋势2号'!_ChartValues</c:f>
              <c:numCache>
                <c:formatCode>0.0000</c:formatCode>
                <c:ptCount val="63"/>
                <c:pt idx="0">
                  <c:v>1</c:v>
                </c:pt>
                <c:pt idx="1">
                  <c:v>1.039202963297934</c:v>
                </c:pt>
                <c:pt idx="2">
                  <c:v>1.0741076445723305</c:v>
                </c:pt>
                <c:pt idx="3">
                  <c:v>1.050645670240649</c:v>
                </c:pt>
                <c:pt idx="4">
                  <c:v>1.0685098764526948</c:v>
                </c:pt>
                <c:pt idx="5">
                  <c:v>1.1117066956825354</c:v>
                </c:pt>
                <c:pt idx="6">
                  <c:v>1.0836174881519127</c:v>
                </c:pt>
                <c:pt idx="7">
                  <c:v>0.9917522529182049</c:v>
                </c:pt>
                <c:pt idx="8">
                  <c:v>0.98876258967330444</c:v>
                </c:pt>
                <c:pt idx="9">
                  <c:v>0.97195202442112383</c:v>
                </c:pt>
                <c:pt idx="10">
                  <c:v>0.97477427077798739</c:v>
                </c:pt>
                <c:pt idx="11">
                  <c:v>0.98001297325673131</c:v>
                </c:pt>
                <c:pt idx="12">
                  <c:v>1.0473336640835054</c:v>
                </c:pt>
                <c:pt idx="13">
                  <c:v>0.99344026231902305</c:v>
                </c:pt>
                <c:pt idx="14">
                  <c:v>0.95546551536216096</c:v>
                </c:pt>
                <c:pt idx="15">
                  <c:v>0.98122069665460177</c:v>
                </c:pt>
                <c:pt idx="16">
                  <c:v>0.9454808705016986</c:v>
                </c:pt>
                <c:pt idx="17">
                  <c:v>0.90360617948177735</c:v>
                </c:pt>
                <c:pt idx="18">
                  <c:v>0.83721468119835341</c:v>
                </c:pt>
                <c:pt idx="19">
                  <c:v>0.80811386650276029</c:v>
                </c:pt>
                <c:pt idx="20">
                  <c:v>0.90141211983560632</c:v>
                </c:pt>
                <c:pt idx="21">
                  <c:v>0.87692454413373422</c:v>
                </c:pt>
                <c:pt idx="22">
                  <c:v>0.85192377866811053</c:v>
                </c:pt>
                <c:pt idx="23">
                  <c:v>0.85634618908665328</c:v>
                </c:pt>
                <c:pt idx="24">
                  <c:v>0.87898017619041946</c:v>
                </c:pt>
                <c:pt idx="25">
                  <c:v>0.81331518475104281</c:v>
                </c:pt>
                <c:pt idx="26">
                  <c:v>0.80514197361881068</c:v>
                </c:pt>
                <c:pt idx="27">
                  <c:v>0.74787436802830576</c:v>
                </c:pt>
                <c:pt idx="28">
                  <c:v>0.77133249538722459</c:v>
                </c:pt>
                <c:pt idx="29">
                  <c:v>0.73222495499610107</c:v>
                </c:pt>
                <c:pt idx="30">
                  <c:v>0.77918745072942763</c:v>
                </c:pt>
                <c:pt idx="31">
                  <c:v>0.81627637308703827</c:v>
                </c:pt>
                <c:pt idx="32">
                  <c:v>0.82647704725758364</c:v>
                </c:pt>
                <c:pt idx="33">
                  <c:v>0.84783459383647197</c:v>
                </c:pt>
                <c:pt idx="34">
                  <c:v>0.85249753265663131</c:v>
                </c:pt>
                <c:pt idx="35">
                  <c:v>0.84046441743138178</c:v>
                </c:pt>
                <c:pt idx="36">
                  <c:v>0.86079932414595484</c:v>
                </c:pt>
                <c:pt idx="37">
                  <c:v>0.85324518033636265</c:v>
                </c:pt>
                <c:pt idx="38">
                  <c:v>0.85968862851962957</c:v>
                </c:pt>
                <c:pt idx="39">
                  <c:v>0.90237415611570237</c:v>
                </c:pt>
                <c:pt idx="40">
                  <c:v>0.9042710753133324</c:v>
                </c:pt>
                <c:pt idx="41">
                  <c:v>0.83953438942791037</c:v>
                </c:pt>
                <c:pt idx="42">
                  <c:v>0.845698974359399</c:v>
                </c:pt>
                <c:pt idx="43">
                  <c:v>0.85225365760008931</c:v>
                </c:pt>
                <c:pt idx="44">
                  <c:v>0.83142419341260654</c:v>
                </c:pt>
                <c:pt idx="45">
                  <c:v>0.82257588327730524</c:v>
                </c:pt>
                <c:pt idx="46">
                  <c:v>0.83243030315140709</c:v>
                </c:pt>
                <c:pt idx="47">
                  <c:v>0.86188107725695751</c:v>
                </c:pt>
                <c:pt idx="48">
                  <c:v>0.84381856004176514</c:v>
                </c:pt>
                <c:pt idx="49">
                  <c:v>0.85026427200012245</c:v>
                </c:pt>
                <c:pt idx="50">
                  <c:v>0.8251553271521076</c:v>
                </c:pt>
                <c:pt idx="51">
                  <c:v>0.81178658007148585</c:v>
                </c:pt>
                <c:pt idx="52">
                  <c:v>0.8064983248125529</c:v>
                </c:pt>
                <c:pt idx="53">
                  <c:v>0.78467341959258174</c:v>
                </c:pt>
                <c:pt idx="54">
                  <c:v>0.82687940469607291</c:v>
                </c:pt>
                <c:pt idx="55">
                  <c:v>0.81827818348174886</c:v>
                </c:pt>
                <c:pt idx="56">
                  <c:v>0.81774477209477714</c:v>
                </c:pt>
                <c:pt idx="57">
                  <c:v>0.81463138321165651</c:v>
                </c:pt>
                <c:pt idx="58">
                  <c:v>0.81020461492280371</c:v>
                </c:pt>
                <c:pt idx="59">
                  <c:v>0.797318385314013</c:v>
                </c:pt>
                <c:pt idx="60">
                  <c:v>0.80809182063580631</c:v>
                </c:pt>
                <c:pt idx="61">
                  <c:v>0.84193341491630336</c:v>
                </c:pt>
                <c:pt idx="62">
                  <c:v>0.84189855351013876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775-4C3E-AA25-3AD48E780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5559456"/>
        <c:axId val="845564352"/>
      </c:lineChart>
      <c:dateAx>
        <c:axId val="845559456"/>
        <c:scaling>
          <c:orientation val="minMax"/>
          <c:min val="46196"/>
        </c:scaling>
        <c:delete val="0"/>
        <c:axPos val="b"/>
        <c:numFmt formatCode="mm\-dd" sourceLinked="0"/>
        <c:majorTickMark val="none"/>
        <c:minorTickMark val="none"/>
        <c:tickLblPos val="nextTo"/>
        <c:crossAx val="845564352"/>
        <c:crosses val="autoZero"/>
        <c:auto val="1"/>
        <c:lblOffset val="100"/>
        <c:baseTimeUnit val="days"/>
        <c:majorTimeUnit val="days"/>
      </c:dateAx>
      <c:valAx>
        <c:axId val="845564352"/>
        <c:scaling>
          <c:orientation val="minMax"/>
          <c:min val="0.60000000000000009"/>
        </c:scaling>
        <c:delete val="0"/>
        <c:axPos val="l"/>
        <c:numFmt formatCode="0.0000" sourceLinked="0"/>
        <c:majorTickMark val="none"/>
        <c:minorTickMark val="none"/>
        <c:tickLblPos val="nextTo"/>
        <c:crossAx val="84555945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en-US" altLang="zh-CN"/>
              <a:t>10-90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'看板-10-90'!_ChartDates</c:f>
              <c:numCache>
                <c:formatCode>yyyy\-mm\-dd</c:formatCode>
                <c:ptCount val="62"/>
                <c:pt idx="0">
                  <c:v>46197</c:v>
                </c:pt>
                <c:pt idx="1">
                  <c:v>46198</c:v>
                </c:pt>
                <c:pt idx="2">
                  <c:v>46199</c:v>
                </c:pt>
                <c:pt idx="3">
                  <c:v>46202</c:v>
                </c:pt>
                <c:pt idx="4">
                  <c:v>46203</c:v>
                </c:pt>
                <c:pt idx="5">
                  <c:v>46204</c:v>
                </c:pt>
                <c:pt idx="6">
                  <c:v>46205</c:v>
                </c:pt>
                <c:pt idx="7">
                  <c:v>46206</c:v>
                </c:pt>
                <c:pt idx="8">
                  <c:v>46209</c:v>
                </c:pt>
                <c:pt idx="9">
                  <c:v>46210</c:v>
                </c:pt>
                <c:pt idx="10">
                  <c:v>46211</c:v>
                </c:pt>
                <c:pt idx="11">
                  <c:v>46212</c:v>
                </c:pt>
                <c:pt idx="12">
                  <c:v>46213</c:v>
                </c:pt>
                <c:pt idx="13">
                  <c:v>46216</c:v>
                </c:pt>
                <c:pt idx="14">
                  <c:v>46217</c:v>
                </c:pt>
                <c:pt idx="15">
                  <c:v>46218</c:v>
                </c:pt>
                <c:pt idx="16">
                  <c:v>46219</c:v>
                </c:pt>
                <c:pt idx="17">
                  <c:v>46220</c:v>
                </c:pt>
                <c:pt idx="18">
                  <c:v>46223</c:v>
                </c:pt>
                <c:pt idx="19">
                  <c:v>46224</c:v>
                </c:pt>
                <c:pt idx="20">
                  <c:v>46225</c:v>
                </c:pt>
                <c:pt idx="21">
                  <c:v>46226</c:v>
                </c:pt>
                <c:pt idx="22">
                  <c:v>46227</c:v>
                </c:pt>
                <c:pt idx="23">
                  <c:v>46230</c:v>
                </c:pt>
                <c:pt idx="24">
                  <c:v>46231</c:v>
                </c:pt>
                <c:pt idx="25">
                  <c:v>46232</c:v>
                </c:pt>
                <c:pt idx="26">
                  <c:v>46233</c:v>
                </c:pt>
                <c:pt idx="27">
                  <c:v>46234</c:v>
                </c:pt>
                <c:pt idx="28">
                  <c:v>46237</c:v>
                </c:pt>
                <c:pt idx="29">
                  <c:v>46238</c:v>
                </c:pt>
                <c:pt idx="30">
                  <c:v>46239</c:v>
                </c:pt>
                <c:pt idx="31">
                  <c:v>46240</c:v>
                </c:pt>
                <c:pt idx="32">
                  <c:v>46241</c:v>
                </c:pt>
                <c:pt idx="33">
                  <c:v>46244</c:v>
                </c:pt>
                <c:pt idx="34">
                  <c:v>46245</c:v>
                </c:pt>
                <c:pt idx="35">
                  <c:v>46246</c:v>
                </c:pt>
                <c:pt idx="36">
                  <c:v>46247</c:v>
                </c:pt>
                <c:pt idx="37">
                  <c:v>46248</c:v>
                </c:pt>
                <c:pt idx="38">
                  <c:v>46251</c:v>
                </c:pt>
                <c:pt idx="39">
                  <c:v>46252</c:v>
                </c:pt>
                <c:pt idx="40">
                  <c:v>46253</c:v>
                </c:pt>
                <c:pt idx="41">
                  <c:v>46254</c:v>
                </c:pt>
                <c:pt idx="42">
                  <c:v>46255</c:v>
                </c:pt>
                <c:pt idx="43">
                  <c:v>46258</c:v>
                </c:pt>
                <c:pt idx="44">
                  <c:v>46259</c:v>
                </c:pt>
                <c:pt idx="45">
                  <c:v>46260</c:v>
                </c:pt>
                <c:pt idx="46">
                  <c:v>46261</c:v>
                </c:pt>
                <c:pt idx="47">
                  <c:v>46262</c:v>
                </c:pt>
                <c:pt idx="48">
                  <c:v>46265</c:v>
                </c:pt>
                <c:pt idx="49">
                  <c:v>46266</c:v>
                </c:pt>
                <c:pt idx="50">
                  <c:v>46267</c:v>
                </c:pt>
                <c:pt idx="51">
                  <c:v>46268</c:v>
                </c:pt>
                <c:pt idx="52">
                  <c:v>46269</c:v>
                </c:pt>
                <c:pt idx="53">
                  <c:v>46272</c:v>
                </c:pt>
                <c:pt idx="54">
                  <c:v>46273</c:v>
                </c:pt>
                <c:pt idx="55">
                  <c:v>46274</c:v>
                </c:pt>
                <c:pt idx="56">
                  <c:v>46275</c:v>
                </c:pt>
                <c:pt idx="57">
                  <c:v>46276</c:v>
                </c:pt>
                <c:pt idx="58">
                  <c:v>46279</c:v>
                </c:pt>
                <c:pt idx="59">
                  <c:v>46280</c:v>
                </c:pt>
                <c:pt idx="60">
                  <c:v>46281</c:v>
                </c:pt>
                <c:pt idx="61">
                  <c:v>46282</c:v>
                </c:pt>
              </c:numCache>
            </c:numRef>
          </c:cat>
          <c:val>
            <c:numRef>
              <c:f>'看板-10-90'!_ChartValues</c:f>
              <c:numCache>
                <c:formatCode>0.0000</c:formatCode>
                <c:ptCount val="62"/>
                <c:pt idx="0">
                  <c:v>1</c:v>
                </c:pt>
                <c:pt idx="1">
                  <c:v>1.0014141946107082</c:v>
                </c:pt>
                <c:pt idx="2">
                  <c:v>0.999482233533317</c:v>
                </c:pt>
                <c:pt idx="3">
                  <c:v>1.0013813603515529</c:v>
                </c:pt>
                <c:pt idx="4">
                  <c:v>1.0032719936317975</c:v>
                </c:pt>
                <c:pt idx="5">
                  <c:v>1.0008642071384042</c:v>
                </c:pt>
                <c:pt idx="6">
                  <c:v>0.9953694470930653</c:v>
                </c:pt>
                <c:pt idx="7">
                  <c:v>0.99652454720825456</c:v>
                </c:pt>
                <c:pt idx="8">
                  <c:v>0.99573236628105344</c:v>
                </c:pt>
                <c:pt idx="9">
                  <c:v>0.99489593645290364</c:v>
                </c:pt>
                <c:pt idx="10">
                  <c:v>0.9950051524362421</c:v>
                </c:pt>
                <c:pt idx="11">
                  <c:v>1.0000251971614045</c:v>
                </c:pt>
                <c:pt idx="12">
                  <c:v>0.996179521171354</c:v>
                </c:pt>
                <c:pt idx="13">
                  <c:v>0.99091999764701377</c:v>
                </c:pt>
                <c:pt idx="14">
                  <c:v>0.99334753088252004</c:v>
                </c:pt>
                <c:pt idx="15">
                  <c:v>0.99071728198972964</c:v>
                </c:pt>
                <c:pt idx="16">
                  <c:v>0.98676187132227156</c:v>
                </c:pt>
                <c:pt idx="17">
                  <c:v>0.9801796358017143</c:v>
                </c:pt>
                <c:pt idx="18">
                  <c:v>0.97692785405628013</c:v>
                </c:pt>
                <c:pt idx="19">
                  <c:v>0.98595161384431096</c:v>
                </c:pt>
                <c:pt idx="20">
                  <c:v>0.98579850868578778</c:v>
                </c:pt>
                <c:pt idx="21">
                  <c:v>0.98447784718233267</c:v>
                </c:pt>
                <c:pt idx="22">
                  <c:v>0.98345040579106224</c:v>
                </c:pt>
                <c:pt idx="23">
                  <c:v>0.98696437228355804</c:v>
                </c:pt>
                <c:pt idx="24">
                  <c:v>0.9806986308480341</c:v>
                </c:pt>
                <c:pt idx="25">
                  <c:v>0.98026906419805526</c:v>
                </c:pt>
                <c:pt idx="26">
                  <c:v>0.9761214913199201</c:v>
                </c:pt>
                <c:pt idx="27">
                  <c:v>0.97927214944896834</c:v>
                </c:pt>
                <c:pt idx="28">
                  <c:v>0.97645840479381407</c:v>
                </c:pt>
                <c:pt idx="29">
                  <c:v>0.9809307866654694</c:v>
                </c:pt>
                <c:pt idx="30">
                  <c:v>0.98575511215025358</c:v>
                </c:pt>
                <c:pt idx="31">
                  <c:v>0.98807991531029082</c:v>
                </c:pt>
                <c:pt idx="32">
                  <c:v>0.99118243223928182</c:v>
                </c:pt>
                <c:pt idx="33">
                  <c:v>0.99340887946259904</c:v>
                </c:pt>
                <c:pt idx="34">
                  <c:v>0.99204013612030795</c:v>
                </c:pt>
                <c:pt idx="35">
                  <c:v>0.99444411358789253</c:v>
                </c:pt>
                <c:pt idx="36">
                  <c:v>0.99374808320021091</c:v>
                </c:pt>
                <c:pt idx="37">
                  <c:v>0.994115670668685</c:v>
                </c:pt>
                <c:pt idx="38">
                  <c:v>0.99895898030685437</c:v>
                </c:pt>
                <c:pt idx="39">
                  <c:v>0.99978136728927813</c:v>
                </c:pt>
                <c:pt idx="40">
                  <c:v>0.99214513915581581</c:v>
                </c:pt>
                <c:pt idx="41">
                  <c:v>0.99403509454319372</c:v>
                </c:pt>
                <c:pt idx="42">
                  <c:v>0.99539134647786609</c:v>
                </c:pt>
                <c:pt idx="43">
                  <c:v>0.99512807000945391</c:v>
                </c:pt>
                <c:pt idx="44">
                  <c:v>0.99427738526118392</c:v>
                </c:pt>
                <c:pt idx="45">
                  <c:v>0.99489475437294561</c:v>
                </c:pt>
                <c:pt idx="46">
                  <c:v>0.99675913946805039</c:v>
                </c:pt>
                <c:pt idx="47">
                  <c:v>0.99544472257449301</c:v>
                </c:pt>
                <c:pt idx="48">
                  <c:v>0.99467191549696121</c:v>
                </c:pt>
                <c:pt idx="49">
                  <c:v>0.9929234386719451</c:v>
                </c:pt>
                <c:pt idx="50">
                  <c:v>0.98997513143231231</c:v>
                </c:pt>
                <c:pt idx="51">
                  <c:v>0.99136541199745853</c:v>
                </c:pt>
                <c:pt idx="52">
                  <c:v>0.98996201248663152</c:v>
                </c:pt>
                <c:pt idx="53">
                  <c:v>0.99258684475046999</c:v>
                </c:pt>
                <c:pt idx="54">
                  <c:v>0.99219342573655611</c:v>
                </c:pt>
                <c:pt idx="55">
                  <c:v>0.99214494133809417</c:v>
                </c:pt>
                <c:pt idx="56">
                  <c:v>0.99152316494789294</c:v>
                </c:pt>
                <c:pt idx="57">
                  <c:v>0.98931920629143588</c:v>
                </c:pt>
                <c:pt idx="58">
                  <c:v>0.98823166354882208</c:v>
                </c:pt>
                <c:pt idx="59">
                  <c:v>0.98844991210941446</c:v>
                </c:pt>
                <c:pt idx="60">
                  <c:v>0.99202541693513502</c:v>
                </c:pt>
                <c:pt idx="61">
                  <c:v>0.99200358671375266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D0-406D-A14D-76E7D9A75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5564896"/>
        <c:axId val="845567072"/>
      </c:lineChart>
      <c:dateAx>
        <c:axId val="845564896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845567072"/>
        <c:crosses val="autoZero"/>
        <c:auto val="1"/>
        <c:lblOffset val="100"/>
        <c:baseTimeUnit val="days"/>
        <c:majorTimeUnit val="days"/>
      </c:dateAx>
      <c:valAx>
        <c:axId val="845567072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84556489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en-US" altLang="zh-CN"/>
              <a:t>10-90</a:t>
            </a:r>
            <a:r>
              <a:rPr lang="zh-CN" altLang="en-US"/>
              <a:t>基石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'看板-10-90基石'!_ChartDates</c:f>
              <c:numCache>
                <c:formatCode>yyyy\-mm\-dd</c:formatCode>
                <c:ptCount val="65"/>
                <c:pt idx="0">
                  <c:v>46191</c:v>
                </c:pt>
                <c:pt idx="1">
                  <c:v>46195</c:v>
                </c:pt>
                <c:pt idx="2">
                  <c:v>46196</c:v>
                </c:pt>
                <c:pt idx="3">
                  <c:v>46197</c:v>
                </c:pt>
                <c:pt idx="4">
                  <c:v>46198</c:v>
                </c:pt>
                <c:pt idx="5">
                  <c:v>46199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46209</c:v>
                </c:pt>
                <c:pt idx="12">
                  <c:v>46210</c:v>
                </c:pt>
                <c:pt idx="13">
                  <c:v>46211</c:v>
                </c:pt>
                <c:pt idx="14">
                  <c:v>46212</c:v>
                </c:pt>
                <c:pt idx="15">
                  <c:v>46213</c:v>
                </c:pt>
                <c:pt idx="16">
                  <c:v>46216</c:v>
                </c:pt>
                <c:pt idx="17">
                  <c:v>46217</c:v>
                </c:pt>
                <c:pt idx="18">
                  <c:v>46218</c:v>
                </c:pt>
                <c:pt idx="19">
                  <c:v>46219</c:v>
                </c:pt>
                <c:pt idx="20">
                  <c:v>46220</c:v>
                </c:pt>
                <c:pt idx="21">
                  <c:v>46223</c:v>
                </c:pt>
                <c:pt idx="22">
                  <c:v>46224</c:v>
                </c:pt>
                <c:pt idx="23">
                  <c:v>46225</c:v>
                </c:pt>
                <c:pt idx="24">
                  <c:v>46226</c:v>
                </c:pt>
                <c:pt idx="25">
                  <c:v>46227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46237</c:v>
                </c:pt>
                <c:pt idx="32">
                  <c:v>46238</c:v>
                </c:pt>
                <c:pt idx="33">
                  <c:v>46239</c:v>
                </c:pt>
                <c:pt idx="34">
                  <c:v>46240</c:v>
                </c:pt>
                <c:pt idx="35">
                  <c:v>46241</c:v>
                </c:pt>
                <c:pt idx="36">
                  <c:v>46244</c:v>
                </c:pt>
                <c:pt idx="37">
                  <c:v>46245</c:v>
                </c:pt>
                <c:pt idx="38">
                  <c:v>46246</c:v>
                </c:pt>
                <c:pt idx="39">
                  <c:v>46247</c:v>
                </c:pt>
                <c:pt idx="40">
                  <c:v>46248</c:v>
                </c:pt>
                <c:pt idx="41">
                  <c:v>46251</c:v>
                </c:pt>
                <c:pt idx="42">
                  <c:v>46252</c:v>
                </c:pt>
                <c:pt idx="43">
                  <c:v>46253</c:v>
                </c:pt>
                <c:pt idx="44">
                  <c:v>46254</c:v>
                </c:pt>
                <c:pt idx="45">
                  <c:v>46255</c:v>
                </c:pt>
                <c:pt idx="46">
                  <c:v>46258</c:v>
                </c:pt>
                <c:pt idx="47">
                  <c:v>46259</c:v>
                </c:pt>
                <c:pt idx="48">
                  <c:v>46260</c:v>
                </c:pt>
                <c:pt idx="49">
                  <c:v>46261</c:v>
                </c:pt>
                <c:pt idx="50">
                  <c:v>46262</c:v>
                </c:pt>
                <c:pt idx="51">
                  <c:v>46265</c:v>
                </c:pt>
                <c:pt idx="52">
                  <c:v>46266</c:v>
                </c:pt>
                <c:pt idx="53">
                  <c:v>46267</c:v>
                </c:pt>
                <c:pt idx="54">
                  <c:v>46268</c:v>
                </c:pt>
                <c:pt idx="55">
                  <c:v>46269</c:v>
                </c:pt>
                <c:pt idx="56">
                  <c:v>46272</c:v>
                </c:pt>
                <c:pt idx="57">
                  <c:v>46273</c:v>
                </c:pt>
                <c:pt idx="58">
                  <c:v>46274</c:v>
                </c:pt>
                <c:pt idx="59">
                  <c:v>46275</c:v>
                </c:pt>
                <c:pt idx="60">
                  <c:v>46276</c:v>
                </c:pt>
                <c:pt idx="61">
                  <c:v>46279</c:v>
                </c:pt>
                <c:pt idx="62">
                  <c:v>46280</c:v>
                </c:pt>
                <c:pt idx="63">
                  <c:v>46281</c:v>
                </c:pt>
                <c:pt idx="64">
                  <c:v>46282</c:v>
                </c:pt>
              </c:numCache>
            </c:numRef>
          </c:cat>
          <c:val>
            <c:numRef>
              <c:f>'看板-10-90基石'!_ChartValues</c:f>
              <c:numCache>
                <c:formatCode>0.0000</c:formatCode>
                <c:ptCount val="65"/>
                <c:pt idx="0">
                  <c:v>1</c:v>
                </c:pt>
                <c:pt idx="1">
                  <c:v>1.0008955316407739</c:v>
                </c:pt>
                <c:pt idx="2">
                  <c:v>0.99782263840516405</c:v>
                </c:pt>
                <c:pt idx="3">
                  <c:v>0.99977056884376803</c:v>
                </c:pt>
                <c:pt idx="4">
                  <c:v>1.0012779820956512</c:v>
                </c:pt>
                <c:pt idx="5">
                  <c:v>0.99892980064356218</c:v>
                </c:pt>
                <c:pt idx="6">
                  <c:v>1.0005210497548791</c:v>
                </c:pt>
                <c:pt idx="7">
                  <c:v>1.0027101391424882</c:v>
                </c:pt>
                <c:pt idx="8">
                  <c:v>0.99998436731801976</c:v>
                </c:pt>
                <c:pt idx="9">
                  <c:v>0.99415279612394647</c:v>
                </c:pt>
                <c:pt idx="10">
                  <c:v>0.9950266275137456</c:v>
                </c:pt>
                <c:pt idx="11">
                  <c:v>0.99412575303434447</c:v>
                </c:pt>
                <c:pt idx="12">
                  <c:v>0.99350804574205498</c:v>
                </c:pt>
                <c:pt idx="13">
                  <c:v>0.99365826895890297</c:v>
                </c:pt>
                <c:pt idx="14">
                  <c:v>0.99875367924501923</c:v>
                </c:pt>
                <c:pt idx="15">
                  <c:v>0.99502796314950503</c:v>
                </c:pt>
                <c:pt idx="16">
                  <c:v>0.98984401811572498</c:v>
                </c:pt>
                <c:pt idx="17">
                  <c:v>0.99259572537929164</c:v>
                </c:pt>
                <c:pt idx="18">
                  <c:v>0.99020099872472989</c:v>
                </c:pt>
                <c:pt idx="19">
                  <c:v>0.9861176198208752</c:v>
                </c:pt>
                <c:pt idx="20">
                  <c:v>0.9790047810904865</c:v>
                </c:pt>
                <c:pt idx="21">
                  <c:v>0.97551609956302554</c:v>
                </c:pt>
                <c:pt idx="22">
                  <c:v>0.98451181946051036</c:v>
                </c:pt>
                <c:pt idx="23">
                  <c:v>0.98416489616962055</c:v>
                </c:pt>
                <c:pt idx="24">
                  <c:v>0.98294067506944183</c:v>
                </c:pt>
                <c:pt idx="25">
                  <c:v>0.98167072753263529</c:v>
                </c:pt>
                <c:pt idx="26">
                  <c:v>0.98530566690705634</c:v>
                </c:pt>
                <c:pt idx="27">
                  <c:v>0.97879642351182894</c:v>
                </c:pt>
                <c:pt idx="28">
                  <c:v>0.9782589797667538</c:v>
                </c:pt>
                <c:pt idx="29">
                  <c:v>0.97390321005734459</c:v>
                </c:pt>
                <c:pt idx="30">
                  <c:v>0.97719837247619623</c:v>
                </c:pt>
                <c:pt idx="31">
                  <c:v>0.97483599855662972</c:v>
                </c:pt>
                <c:pt idx="32">
                  <c:v>0.97968557339554074</c:v>
                </c:pt>
                <c:pt idx="33">
                  <c:v>0.98435681211622128</c:v>
                </c:pt>
                <c:pt idx="34">
                  <c:v>0.98673128064354332</c:v>
                </c:pt>
                <c:pt idx="35">
                  <c:v>0.98991772635449637</c:v>
                </c:pt>
                <c:pt idx="36">
                  <c:v>0.9919944749306091</c:v>
                </c:pt>
                <c:pt idx="37">
                  <c:v>0.99073929663758642</c:v>
                </c:pt>
                <c:pt idx="38">
                  <c:v>0.99347449449349057</c:v>
                </c:pt>
                <c:pt idx="39">
                  <c:v>0.99299759081711703</c:v>
                </c:pt>
                <c:pt idx="40">
                  <c:v>0.99372212189107401</c:v>
                </c:pt>
                <c:pt idx="41">
                  <c:v>0.99865469890573955</c:v>
                </c:pt>
                <c:pt idx="42">
                  <c:v>0.99950584672572562</c:v>
                </c:pt>
                <c:pt idx="43">
                  <c:v>0.99178991023315655</c:v>
                </c:pt>
                <c:pt idx="44">
                  <c:v>0.99384685157613673</c:v>
                </c:pt>
                <c:pt idx="45">
                  <c:v>0.99508534181085639</c:v>
                </c:pt>
                <c:pt idx="46">
                  <c:v>0.9947842173581124</c:v>
                </c:pt>
                <c:pt idx="47">
                  <c:v>0.99402797023660394</c:v>
                </c:pt>
                <c:pt idx="48">
                  <c:v>0.99457091931146535</c:v>
                </c:pt>
                <c:pt idx="49">
                  <c:v>0.99667352594592551</c:v>
                </c:pt>
                <c:pt idx="50">
                  <c:v>0.99534449010760007</c:v>
                </c:pt>
                <c:pt idx="51">
                  <c:v>0.99454579473662941</c:v>
                </c:pt>
                <c:pt idx="52">
                  <c:v>0.99272451228945513</c:v>
                </c:pt>
                <c:pt idx="53">
                  <c:v>0.98986420962271293</c:v>
                </c:pt>
                <c:pt idx="54">
                  <c:v>0.99128882275518337</c:v>
                </c:pt>
                <c:pt idx="55">
                  <c:v>0.98992443341714009</c:v>
                </c:pt>
                <c:pt idx="56">
                  <c:v>0.99288752592822493</c:v>
                </c:pt>
                <c:pt idx="57">
                  <c:v>0.99251659085007748</c:v>
                </c:pt>
                <c:pt idx="58">
                  <c:v>0.99258240976083978</c:v>
                </c:pt>
                <c:pt idx="59">
                  <c:v>0.99208715983738782</c:v>
                </c:pt>
                <c:pt idx="60">
                  <c:v>0.98987275511258466</c:v>
                </c:pt>
                <c:pt idx="61">
                  <c:v>0.98883694954010737</c:v>
                </c:pt>
                <c:pt idx="62">
                  <c:v>0.9891021485330691</c:v>
                </c:pt>
                <c:pt idx="63">
                  <c:v>0.99285115141066649</c:v>
                </c:pt>
                <c:pt idx="64">
                  <c:v>0.99283751668806741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8A4-4548-A5EC-9D1B8FCEA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5567616"/>
        <c:axId val="845568704"/>
      </c:lineChart>
      <c:dateAx>
        <c:axId val="845567616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845568704"/>
        <c:crosses val="autoZero"/>
        <c:auto val="1"/>
        <c:lblOffset val="100"/>
        <c:baseTimeUnit val="days"/>
        <c:majorTimeUnit val="days"/>
      </c:dateAx>
      <c:valAx>
        <c:axId val="845568704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84556761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en-US" altLang="zh-CN"/>
              <a:t>30-70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'看板-30-70'!_ChartDates</c:f>
              <c:numCache>
                <c:formatCode>yyyy\-mm\-dd</c:formatCode>
                <c:ptCount val="62"/>
                <c:pt idx="0">
                  <c:v>46197</c:v>
                </c:pt>
                <c:pt idx="1">
                  <c:v>46198</c:v>
                </c:pt>
                <c:pt idx="2">
                  <c:v>46199</c:v>
                </c:pt>
                <c:pt idx="3">
                  <c:v>46202</c:v>
                </c:pt>
                <c:pt idx="4">
                  <c:v>46203</c:v>
                </c:pt>
                <c:pt idx="5">
                  <c:v>46204</c:v>
                </c:pt>
                <c:pt idx="6">
                  <c:v>46205</c:v>
                </c:pt>
                <c:pt idx="7">
                  <c:v>46206</c:v>
                </c:pt>
                <c:pt idx="8">
                  <c:v>46209</c:v>
                </c:pt>
                <c:pt idx="9">
                  <c:v>46210</c:v>
                </c:pt>
                <c:pt idx="10">
                  <c:v>46211</c:v>
                </c:pt>
                <c:pt idx="11">
                  <c:v>46212</c:v>
                </c:pt>
                <c:pt idx="12">
                  <c:v>46213</c:v>
                </c:pt>
                <c:pt idx="13">
                  <c:v>46216</c:v>
                </c:pt>
                <c:pt idx="14">
                  <c:v>46217</c:v>
                </c:pt>
                <c:pt idx="15">
                  <c:v>46218</c:v>
                </c:pt>
                <c:pt idx="16">
                  <c:v>46219</c:v>
                </c:pt>
                <c:pt idx="17">
                  <c:v>46220</c:v>
                </c:pt>
                <c:pt idx="18">
                  <c:v>46223</c:v>
                </c:pt>
                <c:pt idx="19">
                  <c:v>46224</c:v>
                </c:pt>
                <c:pt idx="20">
                  <c:v>46225</c:v>
                </c:pt>
                <c:pt idx="21">
                  <c:v>46226</c:v>
                </c:pt>
                <c:pt idx="22">
                  <c:v>46227</c:v>
                </c:pt>
                <c:pt idx="23">
                  <c:v>46230</c:v>
                </c:pt>
                <c:pt idx="24">
                  <c:v>46231</c:v>
                </c:pt>
                <c:pt idx="25">
                  <c:v>46232</c:v>
                </c:pt>
                <c:pt idx="26">
                  <c:v>46233</c:v>
                </c:pt>
                <c:pt idx="27">
                  <c:v>46234</c:v>
                </c:pt>
                <c:pt idx="28">
                  <c:v>46237</c:v>
                </c:pt>
                <c:pt idx="29">
                  <c:v>46238</c:v>
                </c:pt>
                <c:pt idx="30">
                  <c:v>46239</c:v>
                </c:pt>
                <c:pt idx="31">
                  <c:v>46240</c:v>
                </c:pt>
                <c:pt idx="32">
                  <c:v>46241</c:v>
                </c:pt>
                <c:pt idx="33">
                  <c:v>46244</c:v>
                </c:pt>
                <c:pt idx="34">
                  <c:v>46245</c:v>
                </c:pt>
                <c:pt idx="35">
                  <c:v>46246</c:v>
                </c:pt>
                <c:pt idx="36">
                  <c:v>46247</c:v>
                </c:pt>
                <c:pt idx="37">
                  <c:v>46248</c:v>
                </c:pt>
                <c:pt idx="38">
                  <c:v>46251</c:v>
                </c:pt>
                <c:pt idx="39">
                  <c:v>46252</c:v>
                </c:pt>
                <c:pt idx="40">
                  <c:v>46253</c:v>
                </c:pt>
                <c:pt idx="41">
                  <c:v>46254</c:v>
                </c:pt>
                <c:pt idx="42">
                  <c:v>46255</c:v>
                </c:pt>
                <c:pt idx="43">
                  <c:v>46258</c:v>
                </c:pt>
                <c:pt idx="44">
                  <c:v>46259</c:v>
                </c:pt>
                <c:pt idx="45">
                  <c:v>46260</c:v>
                </c:pt>
                <c:pt idx="46">
                  <c:v>46261</c:v>
                </c:pt>
                <c:pt idx="47">
                  <c:v>46262</c:v>
                </c:pt>
                <c:pt idx="48">
                  <c:v>46265</c:v>
                </c:pt>
                <c:pt idx="49">
                  <c:v>46266</c:v>
                </c:pt>
                <c:pt idx="50">
                  <c:v>46267</c:v>
                </c:pt>
                <c:pt idx="51">
                  <c:v>46268</c:v>
                </c:pt>
                <c:pt idx="52">
                  <c:v>46269</c:v>
                </c:pt>
                <c:pt idx="53">
                  <c:v>46272</c:v>
                </c:pt>
                <c:pt idx="54">
                  <c:v>46273</c:v>
                </c:pt>
                <c:pt idx="55">
                  <c:v>46274</c:v>
                </c:pt>
                <c:pt idx="56">
                  <c:v>46275</c:v>
                </c:pt>
                <c:pt idx="57">
                  <c:v>46276</c:v>
                </c:pt>
                <c:pt idx="58">
                  <c:v>46279</c:v>
                </c:pt>
                <c:pt idx="59">
                  <c:v>46280</c:v>
                </c:pt>
                <c:pt idx="60">
                  <c:v>46281</c:v>
                </c:pt>
                <c:pt idx="61">
                  <c:v>46282</c:v>
                </c:pt>
              </c:numCache>
            </c:numRef>
          </c:cat>
          <c:val>
            <c:numRef>
              <c:f>'看板-30-70'!_ChartValues</c:f>
              <c:numCache>
                <c:formatCode>0.0000</c:formatCode>
                <c:ptCount val="62"/>
                <c:pt idx="0">
                  <c:v>1</c:v>
                </c:pt>
                <c:pt idx="1">
                  <c:v>1.0039732082294279</c:v>
                </c:pt>
                <c:pt idx="2">
                  <c:v>0.99720804304745392</c:v>
                </c:pt>
                <c:pt idx="3">
                  <c:v>1.0009806053834995</c:v>
                </c:pt>
                <c:pt idx="4">
                  <c:v>1.0087618711402628</c:v>
                </c:pt>
                <c:pt idx="5">
                  <c:v>1.0039155476418373</c:v>
                </c:pt>
                <c:pt idx="6">
                  <c:v>0.98752211337914908</c:v>
                </c:pt>
                <c:pt idx="7">
                  <c:v>0.99030293727219687</c:v>
                </c:pt>
                <c:pt idx="8">
                  <c:v>0.98670140137911</c:v>
                </c:pt>
                <c:pt idx="9">
                  <c:v>0.98405318400777231</c:v>
                </c:pt>
                <c:pt idx="10">
                  <c:v>0.98291598797716351</c:v>
                </c:pt>
                <c:pt idx="11">
                  <c:v>0.99677409001455453</c:v>
                </c:pt>
                <c:pt idx="12">
                  <c:v>0.9860201572522912</c:v>
                </c:pt>
                <c:pt idx="13">
                  <c:v>0.97202141801703834</c:v>
                </c:pt>
                <c:pt idx="14">
                  <c:v>0.97923592239467783</c:v>
                </c:pt>
                <c:pt idx="15">
                  <c:v>0.97194176165457125</c:v>
                </c:pt>
                <c:pt idx="16">
                  <c:v>0.96152631831469659</c:v>
                </c:pt>
                <c:pt idx="17">
                  <c:v>0.94210028710651716</c:v>
                </c:pt>
                <c:pt idx="18">
                  <c:v>0.93309057637493542</c:v>
                </c:pt>
                <c:pt idx="19">
                  <c:v>0.95862869099830639</c:v>
                </c:pt>
                <c:pt idx="20">
                  <c:v>0.95473536714260399</c:v>
                </c:pt>
                <c:pt idx="21">
                  <c:v>0.95057923744523387</c:v>
                </c:pt>
                <c:pt idx="22">
                  <c:v>0.94741055273696939</c:v>
                </c:pt>
                <c:pt idx="23">
                  <c:v>0.95708142162899978</c:v>
                </c:pt>
                <c:pt idx="24">
                  <c:v>0.93946694791941554</c:v>
                </c:pt>
                <c:pt idx="25">
                  <c:v>0.93860410362572089</c:v>
                </c:pt>
                <c:pt idx="26">
                  <c:v>0.92445284206535505</c:v>
                </c:pt>
                <c:pt idx="27">
                  <c:v>0.93264826644668219</c:v>
                </c:pt>
                <c:pt idx="28">
                  <c:v>0.92408565948164412</c:v>
                </c:pt>
                <c:pt idx="29">
                  <c:v>0.93652463834702993</c:v>
                </c:pt>
                <c:pt idx="30">
                  <c:v>0.94971573113282171</c:v>
                </c:pt>
                <c:pt idx="31">
                  <c:v>0.95513401394071007</c:v>
                </c:pt>
                <c:pt idx="32">
                  <c:v>0.96277386059938297</c:v>
                </c:pt>
                <c:pt idx="33">
                  <c:v>0.96690387122170962</c:v>
                </c:pt>
                <c:pt idx="34">
                  <c:v>0.9636551856543506</c:v>
                </c:pt>
                <c:pt idx="35">
                  <c:v>0.97013061127071021</c:v>
                </c:pt>
                <c:pt idx="36">
                  <c:v>0.96690757815179629</c:v>
                </c:pt>
                <c:pt idx="37">
                  <c:v>0.9682286227764374</c:v>
                </c:pt>
                <c:pt idx="38">
                  <c:v>0.98134194706126798</c:v>
                </c:pt>
                <c:pt idx="39">
                  <c:v>0.98234070097590909</c:v>
                </c:pt>
                <c:pt idx="40">
                  <c:v>0.96178627410995754</c:v>
                </c:pt>
                <c:pt idx="41">
                  <c:v>0.96654590706912602</c:v>
                </c:pt>
                <c:pt idx="42">
                  <c:v>0.96996762115645929</c:v>
                </c:pt>
                <c:pt idx="43">
                  <c:v>0.96680658683041598</c:v>
                </c:pt>
                <c:pt idx="44">
                  <c:v>0.96469905375962695</c:v>
                </c:pt>
                <c:pt idx="45">
                  <c:v>0.96704981847960669</c:v>
                </c:pt>
                <c:pt idx="46">
                  <c:v>0.97444448491427305</c:v>
                </c:pt>
                <c:pt idx="47">
                  <c:v>0.9706880520372988</c:v>
                </c:pt>
                <c:pt idx="48">
                  <c:v>0.96984713116383037</c:v>
                </c:pt>
                <c:pt idx="49">
                  <c:v>0.96365593560167917</c:v>
                </c:pt>
                <c:pt idx="50">
                  <c:v>0.95663921437228283</c:v>
                </c:pt>
                <c:pt idx="51">
                  <c:v>0.95835822684860839</c:v>
                </c:pt>
                <c:pt idx="52">
                  <c:v>0.95353177722050331</c:v>
                </c:pt>
                <c:pt idx="53">
                  <c:v>0.96164033211582012</c:v>
                </c:pt>
                <c:pt idx="54">
                  <c:v>0.96048641830304904</c:v>
                </c:pt>
                <c:pt idx="55">
                  <c:v>0.96037426203200194</c:v>
                </c:pt>
                <c:pt idx="56">
                  <c:v>0.95881996225332244</c:v>
                </c:pt>
                <c:pt idx="57">
                  <c:v>0.95367520054577093</c:v>
                </c:pt>
                <c:pt idx="58">
                  <c:v>0.95086502536399697</c:v>
                </c:pt>
                <c:pt idx="59">
                  <c:v>0.95140352169494435</c:v>
                </c:pt>
                <c:pt idx="60">
                  <c:v>0.9608856821856866</c:v>
                </c:pt>
                <c:pt idx="61">
                  <c:v>0.96085390087441869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7DF-4AC4-9EBB-8B7B9670C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5569248"/>
        <c:axId val="845569792"/>
      </c:lineChart>
      <c:dateAx>
        <c:axId val="845569248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845569792"/>
        <c:crosses val="autoZero"/>
        <c:auto val="1"/>
        <c:lblOffset val="100"/>
        <c:baseTimeUnit val="days"/>
        <c:majorTimeUnit val="days"/>
      </c:dateAx>
      <c:valAx>
        <c:axId val="845569792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84556924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478842</xdr:colOff>
      <xdr:row>9</xdr:row>
      <xdr:rowOff>149943</xdr:rowOff>
    </xdr:from>
    <xdr:ext cx="5058234" cy="972510"/>
    <xdr:sp macro="" textlink="">
      <xdr:nvSpPr>
        <xdr:cNvPr id="2" name="矩形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SpPr/>
      </xdr:nvSpPr>
      <xdr:spPr>
        <a:xfrm rot="20843636">
          <a:off x="1088442" y="1578693"/>
          <a:ext cx="5058234" cy="97251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zh-CN" altLang="en-US" sz="40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内部材料，请勿外发</a:t>
          </a:r>
        </a:p>
      </xdr:txBody>
    </xdr:sp>
    <xdr:clientData/>
  </xdr:oneCellAnchor>
  <xdr:oneCellAnchor>
    <xdr:from>
      <xdr:col>1</xdr:col>
      <xdr:colOff>406752</xdr:colOff>
      <xdr:row>23</xdr:row>
      <xdr:rowOff>38742</xdr:rowOff>
    </xdr:from>
    <xdr:ext cx="4801315" cy="972510"/>
    <xdr:sp macro="" textlink="">
      <xdr:nvSpPr>
        <xdr:cNvPr id="3" name="矩形 2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SpPr/>
      </xdr:nvSpPr>
      <xdr:spPr>
        <a:xfrm rot="20843636">
          <a:off x="1016352" y="3689992"/>
          <a:ext cx="4801315" cy="97251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40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内部材料，请勿外发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8</xdr:col>
      <xdr:colOff>74160</xdr:colOff>
      <xdr:row>33</xdr:row>
      <xdr:rowOff>146050</xdr:rowOff>
    </xdr:to>
    <xdr:graphicFrame macro="">
      <xdr:nvGraphicFramePr>
        <xdr:cNvPr id="2" name="Chart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1069700</xdr:colOff>
      <xdr:row>33</xdr:row>
      <xdr:rowOff>133350</xdr:rowOff>
    </xdr:to>
    <xdr:graphicFrame macro="">
      <xdr:nvGraphicFramePr>
        <xdr:cNvPr id="2" name="Chart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822240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91800</xdr:colOff>
      <xdr:row>33</xdr:row>
      <xdr:rowOff>107950</xdr:rowOff>
    </xdr:to>
    <xdr:graphicFrame macro="">
      <xdr:nvGraphicFramePr>
        <xdr:cNvPr id="2" name="Chart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8</xdr:col>
      <xdr:colOff>144720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56160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26679;&#26495;&#38388;&#25237;&#39038;&#32452;&#21512;&#30417;&#25511;&#27169;&#26495;-20260716&#35843;&#20179;_&#20559;&#31163;&#30417;&#25511;_vs&#22266;&#25910;&#65288;1)(1)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实盘持仓初始配置"/>
      <sheetName val="偏离度监控"/>
      <sheetName val="vs固收+对比（模拟数据）"/>
      <sheetName val="vs固收+对比（实盘数据）"/>
      <sheetName val="恒生净值"/>
      <sheetName val="实盘净值数据(iFinD公式)"/>
      <sheetName val="实盘组合净值"/>
      <sheetName val="分期持仓明细"/>
      <sheetName val="看板-产业趋势"/>
      <sheetName val="看板-产业趋势基石"/>
      <sheetName val="看板-产业趋势2号"/>
      <sheetName val="看板-10-90"/>
      <sheetName val="看板-10-90基石"/>
      <sheetName val="看板-30-70"/>
      <sheetName val="说明"/>
    </sheetNames>
    <sheetDataSet>
      <sheetData sheetId="0" refreshError="1"/>
      <sheetData sheetId="1" refreshError="1"/>
      <sheetData sheetId="2" refreshError="1"/>
      <sheetData sheetId="3"/>
      <sheetData sheetId="4">
        <row r="1">
          <cell r="A1" t="str">
            <v>日期</v>
          </cell>
          <cell r="B1" t="str">
            <v>1090基石</v>
          </cell>
          <cell r="C1">
            <v>1090</v>
          </cell>
        </row>
        <row r="2">
          <cell r="A2">
            <v>46191</v>
          </cell>
          <cell r="B2">
            <v>1</v>
          </cell>
        </row>
        <row r="3">
          <cell r="A3">
            <v>46195</v>
          </cell>
          <cell r="B3">
            <v>1.00089571</v>
          </cell>
        </row>
        <row r="4">
          <cell r="A4">
            <v>46196</v>
          </cell>
          <cell r="B4">
            <v>0.99782280999999995</v>
          </cell>
        </row>
        <row r="5">
          <cell r="A5">
            <v>46197</v>
          </cell>
          <cell r="B5">
            <v>0.99977079999999996</v>
          </cell>
          <cell r="C5" t="str">
            <v>1.00000000</v>
          </cell>
        </row>
        <row r="6">
          <cell r="A6">
            <v>46198</v>
          </cell>
          <cell r="B6">
            <v>1.00127827</v>
          </cell>
          <cell r="C6" t="str">
            <v>1.00141431</v>
          </cell>
        </row>
        <row r="7">
          <cell r="A7">
            <v>46199</v>
          </cell>
          <cell r="B7">
            <v>0.99893008999999999</v>
          </cell>
          <cell r="C7" t="str">
            <v>0.99948240</v>
          </cell>
        </row>
        <row r="8">
          <cell r="A8">
            <v>46202</v>
          </cell>
          <cell r="B8">
            <v>1.00052151</v>
          </cell>
          <cell r="C8" t="str">
            <v>1.00138192</v>
          </cell>
        </row>
        <row r="9">
          <cell r="A9">
            <v>46203</v>
          </cell>
          <cell r="B9">
            <v>1.00271066</v>
          </cell>
          <cell r="C9" t="str">
            <v>1.00327268</v>
          </cell>
        </row>
        <row r="10">
          <cell r="A10">
            <v>46204</v>
          </cell>
          <cell r="B10">
            <v>0.99998487999999996</v>
          </cell>
          <cell r="C10" t="str">
            <v>1.00086493</v>
          </cell>
        </row>
        <row r="11">
          <cell r="A11">
            <v>46205</v>
          </cell>
          <cell r="B11">
            <v>0.99402933000000004</v>
          </cell>
          <cell r="C11" t="str">
            <v>0.99528176</v>
          </cell>
        </row>
        <row r="12">
          <cell r="A12">
            <v>46206</v>
          </cell>
          <cell r="B12">
            <v>0.99491236999999999</v>
          </cell>
          <cell r="C12" t="str">
            <v>0.99645158</v>
          </cell>
        </row>
        <row r="13">
          <cell r="A13">
            <v>46209</v>
          </cell>
          <cell r="B13">
            <v>0.99396983999999999</v>
          </cell>
          <cell r="C13" t="str">
            <v>0.99563225</v>
          </cell>
        </row>
        <row r="14">
          <cell r="A14">
            <v>46210</v>
          </cell>
          <cell r="B14">
            <v>0.99336489000000006</v>
          </cell>
          <cell r="C14" t="str">
            <v>0.99480363</v>
          </cell>
        </row>
        <row r="15">
          <cell r="A15">
            <v>46211</v>
          </cell>
          <cell r="B15">
            <v>0.99351509000000005</v>
          </cell>
          <cell r="C15" t="str">
            <v>0.99491291</v>
          </cell>
        </row>
        <row r="16">
          <cell r="A16">
            <v>46212</v>
          </cell>
          <cell r="B16">
            <v>0.99860981999999998</v>
          </cell>
          <cell r="C16" t="str">
            <v>0.99993265</v>
          </cell>
        </row>
        <row r="17">
          <cell r="A17">
            <v>46213</v>
          </cell>
          <cell r="B17">
            <v>0.99488465999999998</v>
          </cell>
          <cell r="C17" t="str">
            <v>0.99608736</v>
          </cell>
        </row>
        <row r="18">
          <cell r="A18">
            <v>46216</v>
          </cell>
          <cell r="B18">
            <v>0.98970133999999998</v>
          </cell>
          <cell r="C18" t="str">
            <v>0.99082824</v>
          </cell>
        </row>
        <row r="19">
          <cell r="A19">
            <v>46217</v>
          </cell>
          <cell r="B19">
            <v>0.99245271000000002</v>
          </cell>
          <cell r="C19" t="str">
            <v>0.99325571</v>
          </cell>
        </row>
        <row r="20">
          <cell r="A20">
            <v>46218</v>
          </cell>
          <cell r="B20">
            <v>0.99005834000000004</v>
          </cell>
          <cell r="C20" t="str">
            <v>0.99062576</v>
          </cell>
        </row>
        <row r="21">
          <cell r="A21">
            <v>46219</v>
          </cell>
          <cell r="B21">
            <v>0.98597555999999997</v>
          </cell>
          <cell r="C21" t="str">
            <v>0.98667073</v>
          </cell>
        </row>
        <row r="22">
          <cell r="A22">
            <v>46220</v>
          </cell>
          <cell r="B22">
            <v>0.97886371999999999</v>
          </cell>
          <cell r="C22" t="str">
            <v>0.98008903</v>
          </cell>
        </row>
        <row r="23">
          <cell r="A23">
            <v>46223</v>
          </cell>
          <cell r="B23">
            <v>0.97537549999999995</v>
          </cell>
          <cell r="C23" t="str">
            <v>0.97683759</v>
          </cell>
        </row>
        <row r="24">
          <cell r="A24">
            <v>46224</v>
          </cell>
          <cell r="B24">
            <v>0.98437008000000004</v>
          </cell>
          <cell r="C24" t="str">
            <v>0.98586080</v>
          </cell>
        </row>
        <row r="25">
          <cell r="A25">
            <v>46225</v>
          </cell>
          <cell r="B25">
            <v>0.98402323999999997</v>
          </cell>
          <cell r="C25" t="str">
            <v>0.98570780</v>
          </cell>
          <cell r="S25">
            <v>-2.8899999999999999E-2</v>
          </cell>
        </row>
        <row r="26">
          <cell r="A26">
            <v>46226</v>
          </cell>
          <cell r="B26">
            <v>0.98279921000000003</v>
          </cell>
          <cell r="C26" t="str">
            <v>0.98438731</v>
          </cell>
        </row>
        <row r="27">
          <cell r="A27">
            <v>46227</v>
          </cell>
          <cell r="B27">
            <v>0.98152945999999996</v>
          </cell>
          <cell r="C27" t="str">
            <v>0.98336003</v>
          </cell>
        </row>
        <row r="28">
          <cell r="A28">
            <v>46230</v>
          </cell>
          <cell r="B28">
            <v>0.98516413000000003</v>
          </cell>
          <cell r="C28" t="str">
            <v>0.98687417</v>
          </cell>
        </row>
        <row r="29">
          <cell r="A29">
            <v>46231</v>
          </cell>
          <cell r="B29">
            <v>0.97865577000000004</v>
          </cell>
          <cell r="C29" t="str">
            <v>0.98060895</v>
          </cell>
        </row>
        <row r="30">
          <cell r="A30">
            <v>46232</v>
          </cell>
          <cell r="B30">
            <v>0.97811842999999998</v>
          </cell>
          <cell r="C30" t="str">
            <v>0.98017950</v>
          </cell>
        </row>
        <row r="31">
          <cell r="A31">
            <v>46233</v>
          </cell>
          <cell r="B31">
            <v>0.97376326000000002</v>
          </cell>
          <cell r="C31" t="str">
            <v>0.97603230</v>
          </cell>
        </row>
        <row r="32">
          <cell r="A32">
            <v>46234</v>
          </cell>
          <cell r="B32">
            <v>0.97705801999999997</v>
          </cell>
          <cell r="C32" t="str">
            <v>0.97918283</v>
          </cell>
        </row>
        <row r="33">
          <cell r="A33">
            <v>46237</v>
          </cell>
          <cell r="B33">
            <v>0.97469598999999996</v>
          </cell>
          <cell r="C33" t="str">
            <v>0.97636941</v>
          </cell>
        </row>
        <row r="34">
          <cell r="A34">
            <v>46238</v>
          </cell>
          <cell r="B34">
            <v>0.97954496999999996</v>
          </cell>
          <cell r="C34" t="str">
            <v>0.98084157</v>
          </cell>
        </row>
        <row r="35">
          <cell r="A35">
            <v>46239</v>
          </cell>
          <cell r="B35">
            <v>0.98421563999999995</v>
          </cell>
          <cell r="C35" t="str">
            <v>0.98566565</v>
          </cell>
        </row>
        <row r="36">
          <cell r="A36">
            <v>46240</v>
          </cell>
          <cell r="B36">
            <v>0.98658983</v>
          </cell>
          <cell r="C36" t="str">
            <v>0.98799038</v>
          </cell>
        </row>
        <row r="37">
          <cell r="A37">
            <v>46241</v>
          </cell>
          <cell r="B37">
            <v>0.98977590000000004</v>
          </cell>
          <cell r="C37" t="str">
            <v>0.99109277</v>
          </cell>
        </row>
        <row r="38">
          <cell r="A38">
            <v>46244</v>
          </cell>
          <cell r="B38">
            <v>0.99185254</v>
          </cell>
          <cell r="C38" t="str">
            <v>0.99331943</v>
          </cell>
        </row>
        <row r="39">
          <cell r="A39">
            <v>46245</v>
          </cell>
          <cell r="B39">
            <v>0.99059755999999999</v>
          </cell>
          <cell r="C39" t="str">
            <v>0.99195087</v>
          </cell>
        </row>
        <row r="40">
          <cell r="A40">
            <v>46246</v>
          </cell>
          <cell r="B40">
            <v>0.99333243999999998</v>
          </cell>
          <cell r="C40" t="str">
            <v>0.99435477</v>
          </cell>
        </row>
        <row r="41">
          <cell r="A41">
            <v>46247</v>
          </cell>
          <cell r="B41">
            <v>0.99285562999999999</v>
          </cell>
          <cell r="C41" t="str">
            <v>0.99365888</v>
          </cell>
        </row>
        <row r="42">
          <cell r="A42">
            <v>46248</v>
          </cell>
          <cell r="B42">
            <v>0.99358009999999997</v>
          </cell>
          <cell r="C42" t="str">
            <v>0.99402653</v>
          </cell>
        </row>
        <row r="43">
          <cell r="A43">
            <v>46251</v>
          </cell>
          <cell r="B43">
            <v>0.99851228000000003</v>
          </cell>
          <cell r="C43" t="str">
            <v>0.99886999</v>
          </cell>
        </row>
        <row r="44">
          <cell r="A44">
            <v>46252</v>
          </cell>
          <cell r="B44">
            <v>0.99936334999999998</v>
          </cell>
          <cell r="C44" t="str">
            <v>0.99969241</v>
          </cell>
        </row>
        <row r="45">
          <cell r="A45">
            <v>46253</v>
          </cell>
          <cell r="B45">
            <v>0.99164843999999996</v>
          </cell>
          <cell r="C45" t="str">
            <v>0.99205678</v>
          </cell>
        </row>
        <row r="46">
          <cell r="A46">
            <v>46254</v>
          </cell>
          <cell r="B46">
            <v>0.99370515000000004</v>
          </cell>
          <cell r="C46" t="str">
            <v>0.99394669</v>
          </cell>
        </row>
        <row r="47">
          <cell r="A47">
            <v>46255</v>
          </cell>
          <cell r="B47">
            <v>0.99494351999999997</v>
          </cell>
          <cell r="C47" t="str">
            <v>0.99530294</v>
          </cell>
        </row>
        <row r="48">
          <cell r="A48">
            <v>46258</v>
          </cell>
          <cell r="B48">
            <v>0.99464253000000002</v>
          </cell>
          <cell r="C48" t="str">
            <v>0.99503994</v>
          </cell>
        </row>
        <row r="49">
          <cell r="A49">
            <v>46259</v>
          </cell>
          <cell r="B49">
            <v>0.99388641</v>
          </cell>
        </row>
        <row r="50">
          <cell r="A50">
            <v>46260</v>
          </cell>
          <cell r="B50">
            <v>0.99442931999999995</v>
          </cell>
        </row>
        <row r="51">
          <cell r="A51">
            <v>46261</v>
          </cell>
          <cell r="B51">
            <v>0.99653170000000002</v>
          </cell>
        </row>
        <row r="52">
          <cell r="A52">
            <v>46262</v>
          </cell>
          <cell r="B52">
            <v>0.99520286000000002</v>
          </cell>
        </row>
        <row r="53">
          <cell r="A53">
            <v>46265</v>
          </cell>
        </row>
        <row r="54">
          <cell r="A54">
            <v>46266</v>
          </cell>
        </row>
        <row r="55">
          <cell r="A55">
            <v>46267</v>
          </cell>
        </row>
        <row r="56">
          <cell r="A56">
            <v>46268</v>
          </cell>
        </row>
        <row r="57">
          <cell r="A57">
            <v>46269</v>
          </cell>
        </row>
        <row r="58">
          <cell r="A58">
            <v>46272</v>
          </cell>
        </row>
        <row r="59">
          <cell r="A59">
            <v>46273</v>
          </cell>
        </row>
        <row r="60">
          <cell r="A60">
            <v>46274</v>
          </cell>
        </row>
        <row r="61">
          <cell r="A61">
            <v>46275</v>
          </cell>
        </row>
        <row r="62">
          <cell r="A62">
            <v>46276</v>
          </cell>
        </row>
        <row r="63">
          <cell r="A63">
            <v>46279</v>
          </cell>
        </row>
        <row r="64">
          <cell r="A64">
            <v>46280</v>
          </cell>
        </row>
        <row r="65">
          <cell r="A65">
            <v>46281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ables/table1.xml><?xml version="1.0" encoding="utf-8"?>
<table xmlns="http://schemas.openxmlformats.org/spreadsheetml/2006/main" id="3" name="表3" displayName="表3" ref="A7:I18" totalsRowShown="0" headerRowDxfId="41" dataDxfId="39" headerRowBorderDxfId="40" tableBorderDxfId="38">
  <autoFilter ref="A7:I18"/>
  <tableColumns count="9">
    <tableColumn id="1" name="序号" dataDxfId="37"/>
    <tableColumn id="2" name="基金代码" dataDxfId="36"/>
    <tableColumn id="3" name="产品/基金名称" dataDxfId="35"/>
    <tableColumn id="4" name="26Q2规模（亿元）" dataDxfId="34"/>
    <tableColumn id="9" name="上周" dataDxfId="33"/>
    <tableColumn id="5" name="上线以来" dataDxfId="32"/>
    <tableColumn id="6" name="6/22-7/30" dataDxfId="31"/>
    <tableColumn id="7" name="7.31至今" dataDxfId="30"/>
    <tableColumn id="8" name="最大回撤（上线以来）" dataDxfId="2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表3_23" displayName="表3_23" ref="A7:L18" totalsRowShown="0" headerRowDxfId="15" dataDxfId="13" headerRowBorderDxfId="14" tableBorderDxfId="12">
  <tableColumns count="12">
    <tableColumn id="1" name="序号" dataDxfId="11"/>
    <tableColumn id="2" name="基金代码" dataDxfId="10"/>
    <tableColumn id="3" name="8/24-8/28" dataDxfId="9"/>
    <tableColumn id="4" name="26Q2规模（亿元）" dataDxfId="8"/>
    <tableColumn id="9" name="上周" dataDxfId="7"/>
    <tableColumn id="5" name="6/22以来" dataDxfId="6"/>
    <tableColumn id="6" name="6/22-7/30" dataDxfId="5"/>
    <tableColumn id="7" name="7/31以来" dataDxfId="4"/>
    <tableColumn id="12" name="近六月" dataDxfId="3"/>
    <tableColumn id="11" name="近一年" dataDxfId="2"/>
    <tableColumn id="10" name="近一年最大回撤" dataDxfId="1"/>
    <tableColumn id="8" name="最大回撤（6/22以来）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showGridLines="0" workbookViewId="0">
      <selection sqref="A1:C1"/>
    </sheetView>
  </sheetViews>
  <sheetFormatPr defaultColWidth="9.453125" defaultRowHeight="12.5"/>
  <cols>
    <col min="1" max="1" width="17.453125" customWidth="1"/>
    <col min="2" max="24" width="12.1796875" customWidth="1"/>
    <col min="25" max="26" width="9.81640625" customWidth="1"/>
    <col min="27" max="27" width="13.1796875" customWidth="1"/>
  </cols>
  <sheetData>
    <row r="1" spans="1:27" ht="18.75" customHeight="1">
      <c r="A1" s="153" t="s">
        <v>0</v>
      </c>
      <c r="B1" s="153"/>
      <c r="C1" s="153"/>
    </row>
    <row r="2" spans="1:27" ht="39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1" t="s">
        <v>26</v>
      </c>
      <c r="AA2" s="1" t="s">
        <v>27</v>
      </c>
    </row>
    <row r="3" spans="1:27" ht="13">
      <c r="A3" s="1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44</v>
      </c>
      <c r="R3" s="3" t="s">
        <v>45</v>
      </c>
      <c r="S3" s="3" t="s">
        <v>46</v>
      </c>
      <c r="T3" s="3" t="s">
        <v>47</v>
      </c>
      <c r="U3" s="3" t="s">
        <v>48</v>
      </c>
      <c r="V3" s="3" t="s">
        <v>49</v>
      </c>
      <c r="W3" s="3" t="s">
        <v>50</v>
      </c>
      <c r="X3" s="3" t="s">
        <v>51</v>
      </c>
      <c r="Y3" s="3"/>
      <c r="Z3" s="3"/>
      <c r="AA3" s="3"/>
    </row>
    <row r="4" spans="1:27" ht="13">
      <c r="A4" s="4" t="s">
        <v>52</v>
      </c>
      <c r="B4" s="5">
        <v>0</v>
      </c>
      <c r="C4" s="5">
        <v>0.02</v>
      </c>
      <c r="D4" s="5">
        <v>0.19</v>
      </c>
      <c r="E4" s="5">
        <v>0</v>
      </c>
      <c r="F4" s="5">
        <v>0</v>
      </c>
      <c r="G4" s="5">
        <v>0.11</v>
      </c>
      <c r="H4" s="5">
        <v>0</v>
      </c>
      <c r="I4" s="5">
        <v>0</v>
      </c>
      <c r="J4" s="5">
        <v>0.19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0.19</v>
      </c>
      <c r="Q4" s="5">
        <v>0.19</v>
      </c>
      <c r="R4" s="5">
        <v>0</v>
      </c>
      <c r="S4" s="5">
        <v>0</v>
      </c>
      <c r="T4" s="5">
        <v>0.11</v>
      </c>
      <c r="U4" s="5">
        <v>0</v>
      </c>
      <c r="V4" s="5">
        <v>0</v>
      </c>
      <c r="W4" s="5">
        <v>0</v>
      </c>
      <c r="X4" s="5">
        <v>0</v>
      </c>
      <c r="Y4" s="6">
        <f t="shared" ref="Y4:Y9" si="0">SUM(B4:X4)</f>
        <v>0.99999999999999989</v>
      </c>
      <c r="Z4" s="7">
        <v>1.4999999999999999E-2</v>
      </c>
      <c r="AA4" s="8">
        <v>46195</v>
      </c>
    </row>
    <row r="5" spans="1:27" ht="13">
      <c r="A5" s="4" t="s">
        <v>53</v>
      </c>
      <c r="B5" s="5">
        <v>0</v>
      </c>
      <c r="C5" s="5">
        <v>0.02</v>
      </c>
      <c r="D5" s="5">
        <v>0.19</v>
      </c>
      <c r="E5" s="5">
        <v>0</v>
      </c>
      <c r="F5" s="5">
        <v>0</v>
      </c>
      <c r="G5" s="5">
        <v>0.11</v>
      </c>
      <c r="H5" s="5">
        <v>0</v>
      </c>
      <c r="I5" s="5">
        <v>0</v>
      </c>
      <c r="J5" s="5">
        <v>0.19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0.19</v>
      </c>
      <c r="Q5" s="5">
        <v>0.19</v>
      </c>
      <c r="R5" s="5">
        <v>0</v>
      </c>
      <c r="S5" s="5">
        <v>0</v>
      </c>
      <c r="T5" s="5">
        <v>0.11</v>
      </c>
      <c r="U5" s="5">
        <v>0</v>
      </c>
      <c r="V5" s="5">
        <v>0</v>
      </c>
      <c r="W5" s="5">
        <v>0</v>
      </c>
      <c r="X5" s="5">
        <v>0</v>
      </c>
      <c r="Y5" s="6">
        <f t="shared" si="0"/>
        <v>0.99999999999999989</v>
      </c>
      <c r="Z5" s="7">
        <v>1.2E-2</v>
      </c>
      <c r="AA5" s="8">
        <v>46191</v>
      </c>
    </row>
    <row r="6" spans="1:27" ht="13">
      <c r="A6" s="4" t="s">
        <v>54</v>
      </c>
      <c r="B6" s="5">
        <v>0</v>
      </c>
      <c r="C6" s="5">
        <v>0.02</v>
      </c>
      <c r="D6" s="5">
        <v>0</v>
      </c>
      <c r="E6" s="5">
        <v>0</v>
      </c>
      <c r="F6" s="5">
        <v>0</v>
      </c>
      <c r="G6" s="5">
        <v>0</v>
      </c>
      <c r="H6" s="5">
        <v>0.11</v>
      </c>
      <c r="I6" s="5">
        <v>0.19</v>
      </c>
      <c r="J6" s="5">
        <v>0</v>
      </c>
      <c r="K6" s="5">
        <v>0.19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0.19</v>
      </c>
      <c r="S6" s="5">
        <v>0.19</v>
      </c>
      <c r="T6" s="5">
        <v>0</v>
      </c>
      <c r="U6" s="5">
        <v>0.11</v>
      </c>
      <c r="V6" s="5">
        <v>0</v>
      </c>
      <c r="W6" s="5">
        <v>0</v>
      </c>
      <c r="X6" s="5">
        <v>0</v>
      </c>
      <c r="Y6" s="6">
        <f t="shared" si="0"/>
        <v>0.99999999999999989</v>
      </c>
      <c r="Z6" s="7">
        <v>1.4999999999999999E-2</v>
      </c>
      <c r="AA6" s="8">
        <v>46196</v>
      </c>
    </row>
    <row r="7" spans="1:27" ht="13">
      <c r="A7" s="9" t="s">
        <v>55</v>
      </c>
      <c r="B7" s="5">
        <v>0.05</v>
      </c>
      <c r="C7" s="5">
        <v>0.02</v>
      </c>
      <c r="D7" s="5">
        <v>0</v>
      </c>
      <c r="E7" s="5">
        <v>0</v>
      </c>
      <c r="F7" s="5">
        <v>1.2500000000000001E-2</v>
      </c>
      <c r="G7" s="5">
        <v>0</v>
      </c>
      <c r="H7" s="5">
        <v>5.0000000000000001E-3</v>
      </c>
      <c r="I7" s="5">
        <v>0.01</v>
      </c>
      <c r="J7" s="5">
        <v>0</v>
      </c>
      <c r="K7" s="5">
        <v>0.01</v>
      </c>
      <c r="L7" s="5">
        <v>0</v>
      </c>
      <c r="M7" s="5">
        <v>1.2500000000000001E-2</v>
      </c>
      <c r="N7" s="5">
        <v>0</v>
      </c>
      <c r="O7" s="5">
        <v>1.2500000000000001E-2</v>
      </c>
      <c r="P7" s="5">
        <v>0</v>
      </c>
      <c r="Q7" s="5">
        <v>0</v>
      </c>
      <c r="R7" s="5">
        <v>0.01</v>
      </c>
      <c r="S7" s="5">
        <v>0.01</v>
      </c>
      <c r="T7" s="5">
        <v>0</v>
      </c>
      <c r="U7" s="5">
        <v>5.0000000000000001E-3</v>
      </c>
      <c r="V7" s="5">
        <v>0</v>
      </c>
      <c r="W7" s="5">
        <v>1.2500000000000001E-2</v>
      </c>
      <c r="X7" s="5">
        <v>0.83</v>
      </c>
      <c r="Y7" s="6">
        <f t="shared" si="0"/>
        <v>1</v>
      </c>
      <c r="Z7" s="7">
        <v>8.0000000000000002E-3</v>
      </c>
      <c r="AA7" s="8">
        <v>46197</v>
      </c>
    </row>
    <row r="8" spans="1:27" ht="13">
      <c r="A8" s="9" t="s">
        <v>56</v>
      </c>
      <c r="B8" s="5">
        <v>0.05</v>
      </c>
      <c r="C8" s="5">
        <v>0.02</v>
      </c>
      <c r="D8" s="5">
        <v>0.01</v>
      </c>
      <c r="E8" s="5">
        <v>1.2500000000000001E-2</v>
      </c>
      <c r="F8" s="5">
        <v>0</v>
      </c>
      <c r="G8" s="5">
        <v>5.0000000000000001E-3</v>
      </c>
      <c r="H8" s="5">
        <v>0</v>
      </c>
      <c r="I8" s="5">
        <v>0</v>
      </c>
      <c r="J8" s="5">
        <v>0.01</v>
      </c>
      <c r="K8" s="5">
        <v>0</v>
      </c>
      <c r="L8" s="5">
        <v>1.2500000000000001E-2</v>
      </c>
      <c r="M8" s="5">
        <v>0</v>
      </c>
      <c r="N8" s="5">
        <v>1.2500000000000001E-2</v>
      </c>
      <c r="O8" s="5">
        <v>0</v>
      </c>
      <c r="P8" s="5">
        <v>0.01</v>
      </c>
      <c r="Q8" s="5">
        <v>0.01</v>
      </c>
      <c r="R8" s="5">
        <v>0</v>
      </c>
      <c r="S8" s="5">
        <v>0</v>
      </c>
      <c r="T8" s="5">
        <v>5.0000000000000001E-3</v>
      </c>
      <c r="U8" s="5">
        <v>0</v>
      </c>
      <c r="V8" s="5">
        <v>1.2500000000000001E-2</v>
      </c>
      <c r="W8" s="5">
        <v>0</v>
      </c>
      <c r="X8" s="5">
        <v>0.83</v>
      </c>
      <c r="Y8" s="6">
        <f t="shared" si="0"/>
        <v>1</v>
      </c>
      <c r="Z8" s="7">
        <v>5.0000000000000001E-3</v>
      </c>
      <c r="AA8" s="8">
        <v>46191</v>
      </c>
    </row>
    <row r="9" spans="1:27" ht="13">
      <c r="A9" s="9" t="s">
        <v>57</v>
      </c>
      <c r="B9" s="5">
        <v>0.1</v>
      </c>
      <c r="C9" s="5">
        <v>0.02</v>
      </c>
      <c r="D9" s="5">
        <v>0</v>
      </c>
      <c r="E9" s="5">
        <v>0</v>
      </c>
      <c r="F9" s="5">
        <v>3.7499999999999999E-2</v>
      </c>
      <c r="G9" s="5">
        <v>0</v>
      </c>
      <c r="H9" s="5">
        <v>1.4999999999999999E-2</v>
      </c>
      <c r="I9" s="5">
        <v>0.03</v>
      </c>
      <c r="J9" s="5">
        <v>0</v>
      </c>
      <c r="K9" s="5">
        <v>0.03</v>
      </c>
      <c r="L9" s="5">
        <v>0</v>
      </c>
      <c r="M9" s="5">
        <v>3.7499999999999999E-2</v>
      </c>
      <c r="N9" s="5">
        <v>0</v>
      </c>
      <c r="O9" s="5">
        <v>3.7499999999999999E-2</v>
      </c>
      <c r="P9" s="5">
        <v>0</v>
      </c>
      <c r="Q9" s="5">
        <v>0</v>
      </c>
      <c r="R9" s="5">
        <v>0.03</v>
      </c>
      <c r="S9" s="5">
        <v>0.03</v>
      </c>
      <c r="T9" s="5">
        <v>0</v>
      </c>
      <c r="U9" s="5">
        <v>1.4999999999999999E-2</v>
      </c>
      <c r="V9" s="5">
        <v>0</v>
      </c>
      <c r="W9" s="5">
        <v>3.7499999999999999E-2</v>
      </c>
      <c r="X9" s="5">
        <v>0.57999999999999996</v>
      </c>
      <c r="Y9" s="6">
        <f t="shared" si="0"/>
        <v>0.99999999999999989</v>
      </c>
      <c r="Z9" s="7">
        <v>1.2E-2</v>
      </c>
      <c r="AA9" s="8">
        <v>46197</v>
      </c>
    </row>
    <row r="11" spans="1:27" ht="14.25" customHeight="1">
      <c r="A11" s="10" t="s">
        <v>58</v>
      </c>
    </row>
  </sheetData>
  <mergeCells count="1">
    <mergeCell ref="A1:C1"/>
  </mergeCells>
  <phoneticPr fontId="3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R281"/>
  <sheetViews>
    <sheetView showGridLines="0" tabSelected="1" workbookViewId="0">
      <selection activeCell="I16" sqref="I16"/>
    </sheetView>
  </sheetViews>
  <sheetFormatPr defaultRowHeight="12.5"/>
  <cols>
    <col min="1" max="1" width="18" customWidth="1"/>
    <col min="2" max="2" width="17" customWidth="1"/>
    <col min="3" max="3" width="29" customWidth="1"/>
    <col min="4" max="5" width="14" customWidth="1"/>
    <col min="6" max="6" width="15" customWidth="1"/>
    <col min="7" max="7" width="13" customWidth="1"/>
    <col min="8" max="10" width="15" customWidth="1"/>
    <col min="11" max="12" width="14" customWidth="1"/>
    <col min="13" max="18" width="0.1796875" customWidth="1"/>
  </cols>
  <sheetData>
    <row r="1" spans="1:12" ht="28" customHeight="1">
      <c r="A1" s="159" t="s">
        <v>194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</row>
    <row r="2" spans="1:12" ht="24" customHeight="1">
      <c r="A2" s="46" t="s">
        <v>195</v>
      </c>
      <c r="B2" s="47">
        <f ca="1">$B$82</f>
        <v>46281</v>
      </c>
      <c r="C2" s="46" t="s">
        <v>196</v>
      </c>
      <c r="D2" s="160" t="s">
        <v>197</v>
      </c>
      <c r="E2" s="160"/>
      <c r="F2" s="160"/>
      <c r="G2" s="160"/>
      <c r="H2" s="160"/>
      <c r="I2" s="46" t="s">
        <v>198</v>
      </c>
      <c r="J2" s="48">
        <v>0.02</v>
      </c>
      <c r="K2" s="46" t="s">
        <v>199</v>
      </c>
      <c r="L2" s="48">
        <v>0.2</v>
      </c>
    </row>
    <row r="3" spans="1:12" ht="28" customHeight="1">
      <c r="A3" s="161" t="s">
        <v>200</v>
      </c>
      <c r="B3" s="161"/>
      <c r="C3" s="161"/>
      <c r="D3" s="161"/>
      <c r="E3" s="161"/>
      <c r="F3" s="161"/>
      <c r="G3" s="161"/>
      <c r="H3" s="161"/>
      <c r="I3" s="161"/>
      <c r="J3" s="161"/>
      <c r="K3" s="161"/>
      <c r="L3" s="161"/>
    </row>
    <row r="5" spans="1:12" ht="21" customHeight="1">
      <c r="A5" s="154" t="s">
        <v>276</v>
      </c>
      <c r="B5" s="154"/>
      <c r="C5" s="154"/>
      <c r="D5" s="154"/>
      <c r="E5" s="154"/>
      <c r="F5" s="49" t="s">
        <v>201</v>
      </c>
      <c r="G5" s="50">
        <f ca="1">$B$82</f>
        <v>46281</v>
      </c>
    </row>
    <row r="6" spans="1:12" ht="28" customHeight="1">
      <c r="A6" s="51" t="s">
        <v>202</v>
      </c>
      <c r="B6" s="51" t="s">
        <v>28</v>
      </c>
      <c r="C6" s="51" t="s">
        <v>1</v>
      </c>
      <c r="D6" s="51" t="s">
        <v>203</v>
      </c>
      <c r="E6" s="51" t="s">
        <v>204</v>
      </c>
      <c r="F6" s="51" t="s">
        <v>205</v>
      </c>
      <c r="G6" s="51" t="s">
        <v>206</v>
      </c>
    </row>
    <row r="7" spans="1:12" ht="13.5">
      <c r="A7" s="46" t="str">
        <f t="shared" ref="A7:A14" ca="1" si="0">IF(B7&lt;&gt;"","产业趋势","")</f>
        <v>产业趋势</v>
      </c>
      <c r="B7" s="54" t="str">
        <f ca="1">IFERROR(INDEX($A$53:$A$78,MATCH(1,M$53:M$78,0)),"")</f>
        <v>000917.OF</v>
      </c>
      <c r="C7" s="54" t="str">
        <f ca="1">IFERROR(INDEX($B$53:$B$78,MATCH(1,M$53:M$78,0)),"")</f>
        <v>嘉实快线货币A</v>
      </c>
      <c r="D7" s="54" t="str">
        <f ca="1">IFERROR(INDEX($E$53:$E$78,MATCH(1,M$53:M$78,0)),"")</f>
        <v>货币</v>
      </c>
      <c r="E7" s="55">
        <f ca="1">IFERROR(INDEX(G$53:G$78,MATCH(1,M$53:M$78,0)),"")</f>
        <v>5.2989790874918001E-2</v>
      </c>
      <c r="F7" s="54" t="str">
        <f t="shared" ref="F7:F30" ca="1" si="1">IF(B7="","",IF(D7&lt;&gt;"主动","不适用",IF(E7&gt;$L$2,"超限","正常")))</f>
        <v>不适用</v>
      </c>
      <c r="G7" s="56">
        <f t="shared" ref="G7:G14" ca="1" si="2">IF(B7&lt;&gt;"",G$84,"")</f>
        <v>46213</v>
      </c>
    </row>
    <row r="8" spans="1:12" ht="13.5">
      <c r="A8" s="46" t="str">
        <f t="shared" ca="1" si="0"/>
        <v>产业趋势</v>
      </c>
      <c r="B8" s="54" t="str">
        <f ca="1">IFERROR(INDEX($A$53:$A$78,MATCH(2,M$53:M$78,0)),"")</f>
        <v>001170.OF</v>
      </c>
      <c r="C8" s="54" t="str">
        <f ca="1">IFERROR(INDEX($B$53:$B$78,MATCH(2,M$53:M$78,0)),"")</f>
        <v>宏利复兴混合A</v>
      </c>
      <c r="D8" s="54" t="str">
        <f ca="1">IFERROR(INDEX($E$53:$E$78,MATCH(2,M$53:M$78,0)),"")</f>
        <v>主动</v>
      </c>
      <c r="E8" s="55">
        <f ca="1">IFERROR(INDEX(G$53:G$78,MATCH(2,M$53:M$78,0)),"")</f>
        <v>0.16906267069334552</v>
      </c>
      <c r="F8" s="54" t="str">
        <f t="shared" ca="1" si="1"/>
        <v>正常</v>
      </c>
      <c r="G8" s="56">
        <f t="shared" ca="1" si="2"/>
        <v>46213</v>
      </c>
    </row>
    <row r="9" spans="1:12" ht="13.5">
      <c r="A9" s="46" t="str">
        <f t="shared" ca="1" si="0"/>
        <v>产业趋势</v>
      </c>
      <c r="B9" s="54" t="str">
        <f ca="1">IFERROR(INDEX($A$53:$A$78,MATCH(3,M$53:M$78,0)),"")</f>
        <v>013840.OF</v>
      </c>
      <c r="C9" s="54" t="str">
        <f ca="1">IFERROR(INDEX($B$53:$B$78,MATCH(3,M$53:M$78,0)),"")</f>
        <v>银华集成电路混合A</v>
      </c>
      <c r="D9" s="54" t="str">
        <f ca="1">IFERROR(INDEX($E$53:$E$78,MATCH(3,M$53:M$78,0)),"")</f>
        <v>主动</v>
      </c>
      <c r="E9" s="55">
        <f ca="1">IFERROR(INDEX(G$53:G$78,MATCH(3,M$53:M$78,0)),"")</f>
        <v>0.22850885598707532</v>
      </c>
      <c r="F9" s="54" t="str">
        <f t="shared" ca="1" si="1"/>
        <v>超限</v>
      </c>
      <c r="G9" s="56">
        <f t="shared" ca="1" si="2"/>
        <v>46213</v>
      </c>
    </row>
    <row r="10" spans="1:12" ht="13.5">
      <c r="A10" s="46" t="str">
        <f t="shared" ca="1" si="0"/>
        <v>产业趋势</v>
      </c>
      <c r="B10" s="54" t="str">
        <f ca="1">IFERROR(INDEX($A$53:$A$78,MATCH(4,M$53:M$78,0)),"")</f>
        <v>016370.OF</v>
      </c>
      <c r="C10" s="54" t="str">
        <f ca="1">IFERROR(INDEX($B$53:$B$78,MATCH(4,M$53:M$78,0)),"")</f>
        <v>信澳业绩驱动A</v>
      </c>
      <c r="D10" s="54" t="str">
        <f ca="1">IFERROR(INDEX($E$53:$E$78,MATCH(4,M$53:M$78,0)),"")</f>
        <v>主动</v>
      </c>
      <c r="E10" s="55">
        <f ca="1">IFERROR(INDEX(G$53:G$78,MATCH(4,M$53:M$78,0)),"")</f>
        <v>0.18172911441119791</v>
      </c>
      <c r="F10" s="54" t="str">
        <f t="shared" ca="1" si="1"/>
        <v>正常</v>
      </c>
      <c r="G10" s="56">
        <f t="shared" ca="1" si="2"/>
        <v>46213</v>
      </c>
    </row>
    <row r="11" spans="1:12" ht="13.5">
      <c r="A11" s="46" t="str">
        <f t="shared" ca="1" si="0"/>
        <v>产业趋势</v>
      </c>
      <c r="B11" s="54" t="str">
        <f ca="1">IFERROR(INDEX($A$53:$A$78,MATCH(5,M$53:M$78,0)),"")</f>
        <v>017488.OF</v>
      </c>
      <c r="C11" s="54" t="str">
        <f ca="1">IFERROR(INDEX($B$53:$B$78,MATCH(5,M$53:M$78,0)),"")</f>
        <v>嘉实信息产业A</v>
      </c>
      <c r="D11" s="54" t="str">
        <f ca="1">IFERROR(INDEX($E$53:$E$78,MATCH(5,M$53:M$78,0)),"")</f>
        <v>主动</v>
      </c>
      <c r="E11" s="55">
        <f ca="1">IFERROR(INDEX(G$53:G$78,MATCH(5,M$53:M$78,0)),"")</f>
        <v>0.18060504419672324</v>
      </c>
      <c r="F11" s="54" t="str">
        <f t="shared" ca="1" si="1"/>
        <v>正常</v>
      </c>
      <c r="G11" s="56">
        <f t="shared" ca="1" si="2"/>
        <v>46213</v>
      </c>
    </row>
    <row r="12" spans="1:12" ht="13.5">
      <c r="A12" s="46" t="str">
        <f t="shared" ca="1" si="0"/>
        <v>产业趋势</v>
      </c>
      <c r="B12" s="54" t="str">
        <f ca="1">IFERROR(INDEX($A$53:$A$78,MATCH(6,M$53:M$78,0)),"")</f>
        <v>019632.OF</v>
      </c>
      <c r="C12" s="54" t="str">
        <f ca="1">IFERROR(INDEX($B$53:$B$78,MATCH(6,M$53:M$78,0)),"")</f>
        <v>国泰半导体材料设备ETF联接A</v>
      </c>
      <c r="D12" s="54" t="str">
        <f ca="1">IFERROR(INDEX($E$53:$E$78,MATCH(6,M$53:M$78,0)),"")</f>
        <v>指数</v>
      </c>
      <c r="E12" s="55">
        <f ca="1">IFERROR(INDEX(G$53:G$78,MATCH(6,M$53:M$78,0)),"")</f>
        <v>0.12236001431676956</v>
      </c>
      <c r="F12" s="54" t="str">
        <f t="shared" ca="1" si="1"/>
        <v>不适用</v>
      </c>
      <c r="G12" s="56">
        <f t="shared" ca="1" si="2"/>
        <v>46213</v>
      </c>
    </row>
    <row r="13" spans="1:12" ht="13.5">
      <c r="A13" s="46" t="str">
        <f t="shared" ca="1" si="0"/>
        <v>产业趋势</v>
      </c>
      <c r="B13" s="54" t="str">
        <f ca="1">IFERROR(INDEX($A$53:$A$78,MATCH(7,M$53:M$78,0)),"")</f>
        <v>162214.OF</v>
      </c>
      <c r="C13" s="54" t="str">
        <f ca="1">IFERROR(INDEX($B$53:$B$78,MATCH(7,M$53:M$78,0)),"")</f>
        <v>宏利领先中小盘混合</v>
      </c>
      <c r="D13" s="54" t="str">
        <f ca="1">IFERROR(INDEX($E$53:$E$78,MATCH(7,M$53:M$78,0)),"")</f>
        <v>主动</v>
      </c>
      <c r="E13" s="55">
        <f ca="1">IFERROR(INDEX(G$53:G$78,MATCH(7,M$53:M$78,0)),"")</f>
        <v>6.4744509519970544E-2</v>
      </c>
      <c r="F13" s="54" t="str">
        <f t="shared" ca="1" si="1"/>
        <v>正常</v>
      </c>
      <c r="G13" s="56">
        <f t="shared" ca="1" si="2"/>
        <v>46213</v>
      </c>
    </row>
    <row r="14" spans="1:12" ht="13.5">
      <c r="A14" s="46" t="str">
        <f t="shared" ca="1" si="0"/>
        <v/>
      </c>
      <c r="B14" s="54" t="str">
        <f ca="1">IFERROR(INDEX($A$53:$A$78,MATCH(8,M$53:M$78,0)),"")</f>
        <v/>
      </c>
      <c r="C14" s="54" t="str">
        <f ca="1">IFERROR(INDEX($B$53:$B$78,MATCH(8,M$53:M$78,0)),"")</f>
        <v/>
      </c>
      <c r="D14" s="54" t="str">
        <f ca="1">IFERROR(INDEX($E$53:$E$78,MATCH(8,M$53:M$78,0)),"")</f>
        <v/>
      </c>
      <c r="E14" s="55" t="str">
        <f ca="1">IFERROR(INDEX(G$53:G$78,MATCH(8,M$53:M$78,0)),"")</f>
        <v/>
      </c>
      <c r="F14" s="54" t="str">
        <f t="shared" ca="1" si="1"/>
        <v/>
      </c>
      <c r="G14" s="56" t="str">
        <f t="shared" ca="1" si="2"/>
        <v/>
      </c>
    </row>
    <row r="15" spans="1:12" ht="13.5">
      <c r="A15" s="46" t="str">
        <f t="shared" ref="A15:A22" ca="1" si="3">IF(B15&lt;&gt;"","产业趋势基石","")</f>
        <v>产业趋势基石</v>
      </c>
      <c r="B15" s="54" t="str">
        <f ca="1">IFERROR(INDEX($A$53:$A$78,MATCH(1,N$53:N$78,0)),"")</f>
        <v>000917.OF</v>
      </c>
      <c r="C15" s="54" t="str">
        <f ca="1">IFERROR(INDEX($B$53:$B$78,MATCH(1,N$53:N$78,0)),"")</f>
        <v>嘉实快线货币A</v>
      </c>
      <c r="D15" s="54" t="str">
        <f ca="1">IFERROR(INDEX($E$53:$E$78,MATCH(1,N$53:N$78,0)),"")</f>
        <v>货币</v>
      </c>
      <c r="E15" s="55">
        <f ca="1">IFERROR(INDEX(H$53:H$78,MATCH(1,N$53:N$78,0)),"")</f>
        <v>5.1806842553265689E-2</v>
      </c>
      <c r="F15" s="54" t="str">
        <f t="shared" ca="1" si="1"/>
        <v>不适用</v>
      </c>
      <c r="G15" s="56">
        <f t="shared" ref="G15:G22" ca="1" si="4">IF(B15&lt;&gt;"",H$84,"")</f>
        <v>46213</v>
      </c>
    </row>
    <row r="16" spans="1:12" ht="13.5">
      <c r="A16" s="46" t="str">
        <f t="shared" ca="1" si="3"/>
        <v>产业趋势基石</v>
      </c>
      <c r="B16" s="54" t="str">
        <f ca="1">IFERROR(INDEX($A$53:$A$78,MATCH(2,N$53:N$78,0)),"")</f>
        <v>001170.OF</v>
      </c>
      <c r="C16" s="54" t="str">
        <f ca="1">IFERROR(INDEX($B$53:$B$78,MATCH(2,N$53:N$78,0)),"")</f>
        <v>宏利复兴混合A</v>
      </c>
      <c r="D16" s="54" t="str">
        <f ca="1">IFERROR(INDEX($E$53:$E$78,MATCH(2,N$53:N$78,0)),"")</f>
        <v>主动</v>
      </c>
      <c r="E16" s="55">
        <f ca="1">IFERROR(INDEX(H$53:H$78,MATCH(2,N$53:N$78,0)),"")</f>
        <v>0.17062274066013433</v>
      </c>
      <c r="F16" s="54" t="str">
        <f t="shared" ca="1" si="1"/>
        <v>正常</v>
      </c>
      <c r="G16" s="56">
        <f t="shared" ca="1" si="4"/>
        <v>46213</v>
      </c>
    </row>
    <row r="17" spans="1:7" ht="13.5">
      <c r="A17" s="46" t="str">
        <f t="shared" ca="1" si="3"/>
        <v>产业趋势基石</v>
      </c>
      <c r="B17" s="54" t="str">
        <f ca="1">IFERROR(INDEX($A$53:$A$78,MATCH(3,N$53:N$78,0)),"")</f>
        <v>013840.OF</v>
      </c>
      <c r="C17" s="54" t="str">
        <f ca="1">IFERROR(INDEX($B$53:$B$78,MATCH(3,N$53:N$78,0)),"")</f>
        <v>银华集成电路混合A</v>
      </c>
      <c r="D17" s="54" t="str">
        <f ca="1">IFERROR(INDEX($E$53:$E$78,MATCH(3,N$53:N$78,0)),"")</f>
        <v>主动</v>
      </c>
      <c r="E17" s="55">
        <f ca="1">IFERROR(INDEX(H$53:H$78,MATCH(3,N$53:N$78,0)),"")</f>
        <v>0.22686937672232452</v>
      </c>
      <c r="F17" s="54" t="str">
        <f t="shared" ca="1" si="1"/>
        <v>超限</v>
      </c>
      <c r="G17" s="56">
        <f t="shared" ca="1" si="4"/>
        <v>46213</v>
      </c>
    </row>
    <row r="18" spans="1:7" ht="13.5">
      <c r="A18" s="46" t="str">
        <f t="shared" ca="1" si="3"/>
        <v>产业趋势基石</v>
      </c>
      <c r="B18" s="54" t="str">
        <f ca="1">IFERROR(INDEX($A$53:$A$78,MATCH(4,N$53:N$78,0)),"")</f>
        <v>016370.OF</v>
      </c>
      <c r="C18" s="54" t="str">
        <f ca="1">IFERROR(INDEX($B$53:$B$78,MATCH(4,N$53:N$78,0)),"")</f>
        <v>信澳业绩驱动A</v>
      </c>
      <c r="D18" s="54" t="str">
        <f ca="1">IFERROR(INDEX($E$53:$E$78,MATCH(4,N$53:N$78,0)),"")</f>
        <v>主动</v>
      </c>
      <c r="E18" s="55">
        <f ca="1">IFERROR(INDEX(H$53:H$78,MATCH(4,N$53:N$78,0)),"")</f>
        <v>0.18158867687903726</v>
      </c>
      <c r="F18" s="54" t="str">
        <f t="shared" ca="1" si="1"/>
        <v>正常</v>
      </c>
      <c r="G18" s="56">
        <f t="shared" ca="1" si="4"/>
        <v>46213</v>
      </c>
    </row>
    <row r="19" spans="1:7" ht="13.5">
      <c r="A19" s="46" t="str">
        <f t="shared" ca="1" si="3"/>
        <v>产业趋势基石</v>
      </c>
      <c r="B19" s="54" t="str">
        <f ca="1">IFERROR(INDEX($A$53:$A$78,MATCH(5,N$53:N$78,0)),"")</f>
        <v>017488.OF</v>
      </c>
      <c r="C19" s="54" t="str">
        <f ca="1">IFERROR(INDEX($B$53:$B$78,MATCH(5,N$53:N$78,0)),"")</f>
        <v>嘉实信息产业A</v>
      </c>
      <c r="D19" s="54" t="str">
        <f ca="1">IFERROR(INDEX($E$53:$E$78,MATCH(5,N$53:N$78,0)),"")</f>
        <v>主动</v>
      </c>
      <c r="E19" s="55">
        <f ca="1">IFERROR(INDEX(H$53:H$78,MATCH(5,N$53:N$78,0)),"")</f>
        <v>0.18142231345201873</v>
      </c>
      <c r="F19" s="54" t="str">
        <f t="shared" ca="1" si="1"/>
        <v>正常</v>
      </c>
      <c r="G19" s="56">
        <f t="shared" ca="1" si="4"/>
        <v>46213</v>
      </c>
    </row>
    <row r="20" spans="1:7" ht="13.5">
      <c r="A20" s="46" t="str">
        <f t="shared" ca="1" si="3"/>
        <v>产业趋势基石</v>
      </c>
      <c r="B20" s="54" t="str">
        <f ca="1">IFERROR(INDEX($A$53:$A$78,MATCH(6,N$53:N$78,0)),"")</f>
        <v>019632.OF</v>
      </c>
      <c r="C20" s="54" t="str">
        <f ca="1">IFERROR(INDEX($B$53:$B$78,MATCH(6,N$53:N$78,0)),"")</f>
        <v>国泰半导体材料设备ETF联接A</v>
      </c>
      <c r="D20" s="54" t="str">
        <f ca="1">IFERROR(INDEX($E$53:$E$78,MATCH(6,N$53:N$78,0)),"")</f>
        <v>指数</v>
      </c>
      <c r="E20" s="55">
        <f ca="1">IFERROR(INDEX(H$53:H$78,MATCH(6,N$53:N$78,0)),"")</f>
        <v>0.12294522904647806</v>
      </c>
      <c r="F20" s="54" t="str">
        <f t="shared" ca="1" si="1"/>
        <v>不适用</v>
      </c>
      <c r="G20" s="56">
        <f t="shared" ca="1" si="4"/>
        <v>46213</v>
      </c>
    </row>
    <row r="21" spans="1:7" ht="13.5">
      <c r="A21" s="46" t="str">
        <f t="shared" ca="1" si="3"/>
        <v>产业趋势基石</v>
      </c>
      <c r="B21" s="54" t="str">
        <f ca="1">IFERROR(INDEX($A$53:$A$78,MATCH(7,N$53:N$78,0)),"")</f>
        <v>162214.OF</v>
      </c>
      <c r="C21" s="54" t="str">
        <f ca="1">IFERROR(INDEX($B$53:$B$78,MATCH(7,N$53:N$78,0)),"")</f>
        <v>宏利领先中小盘混合</v>
      </c>
      <c r="D21" s="54" t="str">
        <f ca="1">IFERROR(INDEX($E$53:$E$78,MATCH(7,N$53:N$78,0)),"")</f>
        <v>主动</v>
      </c>
      <c r="E21" s="55">
        <f ca="1">IFERROR(INDEX(H$53:H$78,MATCH(7,N$53:N$78,0)),"")</f>
        <v>6.474482068674145E-2</v>
      </c>
      <c r="F21" s="54" t="str">
        <f t="shared" ca="1" si="1"/>
        <v>正常</v>
      </c>
      <c r="G21" s="56">
        <f t="shared" ca="1" si="4"/>
        <v>46213</v>
      </c>
    </row>
    <row r="22" spans="1:7" ht="13.5">
      <c r="A22" s="46" t="str">
        <f t="shared" ca="1" si="3"/>
        <v/>
      </c>
      <c r="B22" s="54" t="str">
        <f ca="1">IFERROR(INDEX($A$53:$A$78,MATCH(8,N$53:N$78,0)),"")</f>
        <v/>
      </c>
      <c r="C22" s="54" t="str">
        <f ca="1">IFERROR(INDEX($B$53:$B$78,MATCH(8,N$53:N$78,0)),"")</f>
        <v/>
      </c>
      <c r="D22" s="54" t="str">
        <f ca="1">IFERROR(INDEX($E$53:$E$78,MATCH(8,N$53:N$78,0)),"")</f>
        <v/>
      </c>
      <c r="E22" s="55" t="str">
        <f ca="1">IFERROR(INDEX(H$53:H$78,MATCH(8,N$53:N$78,0)),"")</f>
        <v/>
      </c>
      <c r="F22" s="54" t="str">
        <f t="shared" ca="1" si="1"/>
        <v/>
      </c>
      <c r="G22" s="56" t="str">
        <f t="shared" ca="1" si="4"/>
        <v/>
      </c>
    </row>
    <row r="23" spans="1:7" ht="13.5">
      <c r="A23" s="46" t="str">
        <f t="shared" ref="A23:A30" ca="1" si="5">IF(B23&lt;&gt;"","产业趋势2号","")</f>
        <v>产业趋势2号</v>
      </c>
      <c r="B23" s="54" t="str">
        <f ca="1">IFERROR(INDEX($A$53:$A$78,MATCH(1,O$53:O$78,0)),"")</f>
        <v>000917.OF</v>
      </c>
      <c r="C23" s="54" t="str">
        <f ca="1">IFERROR(INDEX($B$53:$B$78,MATCH(1,O$53:O$78,0)),"")</f>
        <v>嘉实快线货币A</v>
      </c>
      <c r="D23" s="54" t="str">
        <f ca="1">IFERROR(INDEX($E$53:$E$78,MATCH(1,O$53:O$78,0)),"")</f>
        <v>货币</v>
      </c>
      <c r="E23" s="55">
        <f ca="1">IFERROR(INDEX(I$53:I$78,MATCH(1,O$53:O$78,0)),"")</f>
        <v>5.1622784143376982E-2</v>
      </c>
      <c r="F23" s="54" t="str">
        <f t="shared" ca="1" si="1"/>
        <v>不适用</v>
      </c>
      <c r="G23" s="56">
        <f t="shared" ref="G23:G30" ca="1" si="6">IF(B23&lt;&gt;"",I$84,"")</f>
        <v>46213</v>
      </c>
    </row>
    <row r="24" spans="1:7" ht="13.5">
      <c r="A24" s="46" t="str">
        <f t="shared" ca="1" si="5"/>
        <v>产业趋势2号</v>
      </c>
      <c r="B24" s="54" t="str">
        <f ca="1">IFERROR(INDEX($A$53:$A$78,MATCH(2,O$53:O$78,0)),"")</f>
        <v>009993.OF</v>
      </c>
      <c r="C24" s="54" t="str">
        <f ca="1">IFERROR(INDEX($B$53:$B$78,MATCH(2,O$53:O$78,0)),"")</f>
        <v>嘉实前沿科技创新</v>
      </c>
      <c r="D24" s="54" t="str">
        <f ca="1">IFERROR(INDEX($E$53:$E$78,MATCH(2,O$53:O$78,0)),"")</f>
        <v>主动</v>
      </c>
      <c r="E24" s="55">
        <f ca="1">IFERROR(INDEX(I$53:I$78,MATCH(2,O$53:O$78,0)),"")</f>
        <v>0.18241829548000416</v>
      </c>
      <c r="F24" s="54" t="str">
        <f t="shared" ca="1" si="1"/>
        <v>正常</v>
      </c>
      <c r="G24" s="56">
        <f t="shared" ca="1" si="6"/>
        <v>46213</v>
      </c>
    </row>
    <row r="25" spans="1:7" ht="13.5">
      <c r="A25" s="46" t="str">
        <f t="shared" ca="1" si="5"/>
        <v>产业趋势2号</v>
      </c>
      <c r="B25" s="54" t="str">
        <f ca="1">IFERROR(INDEX($A$53:$A$78,MATCH(3,O$53:O$78,0)),"")</f>
        <v>013841.OF</v>
      </c>
      <c r="C25" s="54" t="str">
        <f ca="1">IFERROR(INDEX($B$53:$B$78,MATCH(3,O$53:O$78,0)),"")</f>
        <v>银华集成电路混合C</v>
      </c>
      <c r="D25" s="54" t="str">
        <f ca="1">IFERROR(INDEX($E$53:$E$78,MATCH(3,O$53:O$78,0)),"")</f>
        <v>主动</v>
      </c>
      <c r="E25" s="55">
        <f ca="1">IFERROR(INDEX(I$53:I$78,MATCH(3,O$53:O$78,0)),"")</f>
        <v>0.22325300845298773</v>
      </c>
      <c r="F25" s="54" t="str">
        <f t="shared" ca="1" si="1"/>
        <v>超限</v>
      </c>
      <c r="G25" s="56">
        <f t="shared" ca="1" si="6"/>
        <v>46213</v>
      </c>
    </row>
    <row r="26" spans="1:7" ht="13.5">
      <c r="A26" s="46" t="str">
        <f t="shared" ca="1" si="5"/>
        <v>产业趋势2号</v>
      </c>
      <c r="B26" s="54" t="str">
        <f ca="1">IFERROR(INDEX($A$53:$A$78,MATCH(4,O$53:O$78,0)),"")</f>
        <v>017489.OF</v>
      </c>
      <c r="C26" s="54" t="str">
        <f ca="1">IFERROR(INDEX($B$53:$B$78,MATCH(4,O$53:O$78,0)),"")</f>
        <v>嘉实信息产业C</v>
      </c>
      <c r="D26" s="54" t="str">
        <f ca="1">IFERROR(INDEX($E$53:$E$78,MATCH(4,O$53:O$78,0)),"")</f>
        <v>主动</v>
      </c>
      <c r="E26" s="55">
        <f ca="1">IFERROR(INDEX(I$53:I$78,MATCH(4,O$53:O$78,0)),"")</f>
        <v>0.18181808508439318</v>
      </c>
      <c r="F26" s="54" t="str">
        <f t="shared" ca="1" si="1"/>
        <v>正常</v>
      </c>
      <c r="G26" s="56">
        <f t="shared" ca="1" si="6"/>
        <v>46213</v>
      </c>
    </row>
    <row r="27" spans="1:7" ht="13.5">
      <c r="A27" s="46" t="str">
        <f t="shared" ca="1" si="5"/>
        <v>产业趋势2号</v>
      </c>
      <c r="B27" s="54" t="str">
        <f ca="1">IFERROR(INDEX($A$53:$A$78,MATCH(5,O$53:O$78,0)),"")</f>
        <v>017612.OF</v>
      </c>
      <c r="C27" s="54" t="str">
        <f ca="1">IFERROR(INDEX($B$53:$B$78,MATCH(5,O$53:O$78,0)),"")</f>
        <v>宏利复兴伟业C</v>
      </c>
      <c r="D27" s="54" t="str">
        <f ca="1">IFERROR(INDEX($E$53:$E$78,MATCH(5,O$53:O$78,0)),"")</f>
        <v>主动</v>
      </c>
      <c r="E27" s="55">
        <f ca="1">IFERROR(INDEX(I$53:I$78,MATCH(5,O$53:O$78,0)),"")</f>
        <v>0.17368419525353884</v>
      </c>
      <c r="F27" s="54" t="str">
        <f t="shared" ca="1" si="1"/>
        <v>正常</v>
      </c>
      <c r="G27" s="56">
        <f t="shared" ca="1" si="6"/>
        <v>46213</v>
      </c>
    </row>
    <row r="28" spans="1:7" ht="13.5">
      <c r="A28" s="46" t="str">
        <f t="shared" ca="1" si="5"/>
        <v>产业趋势2号</v>
      </c>
      <c r="B28" s="54" t="str">
        <f ca="1">IFERROR(INDEX($A$53:$A$78,MATCH(6,O$53:O$78,0)),"")</f>
        <v>019633.OF</v>
      </c>
      <c r="C28" s="54" t="str">
        <f ca="1">IFERROR(INDEX($B$53:$B$78,MATCH(6,O$53:O$78,0)),"")</f>
        <v>国泰半导体材料设备C</v>
      </c>
      <c r="D28" s="54" t="str">
        <f ca="1">IFERROR(INDEX($E$53:$E$78,MATCH(6,O$53:O$78,0)),"")</f>
        <v>指数</v>
      </c>
      <c r="E28" s="55">
        <f ca="1">IFERROR(INDEX(I$53:I$78,MATCH(6,O$53:O$78,0)),"")</f>
        <v>0.12044903947061661</v>
      </c>
      <c r="F28" s="54" t="str">
        <f t="shared" ca="1" si="1"/>
        <v>不适用</v>
      </c>
      <c r="G28" s="56">
        <f t="shared" ca="1" si="6"/>
        <v>46213</v>
      </c>
    </row>
    <row r="29" spans="1:7" ht="13.5">
      <c r="A29" s="46" t="str">
        <f t="shared" ca="1" si="5"/>
        <v>产业趋势2号</v>
      </c>
      <c r="B29" s="54" t="str">
        <f ca="1">IFERROR(INDEX($A$53:$A$78,MATCH(7,O$53:O$78,0)),"")</f>
        <v>162214.OF</v>
      </c>
      <c r="C29" s="54" t="str">
        <f ca="1">IFERROR(INDEX($B$53:$B$78,MATCH(7,O$53:O$78,0)),"")</f>
        <v>宏利领先中小盘混合</v>
      </c>
      <c r="D29" s="54" t="str">
        <f ca="1">IFERROR(INDEX($E$53:$E$78,MATCH(7,O$53:O$78,0)),"")</f>
        <v>主动</v>
      </c>
      <c r="E29" s="55">
        <f ca="1">IFERROR(INDEX(I$53:I$78,MATCH(7,O$53:O$78,0)),"")</f>
        <v>6.6754592115082598E-2</v>
      </c>
      <c r="F29" s="54" t="str">
        <f t="shared" ca="1" si="1"/>
        <v>正常</v>
      </c>
      <c r="G29" s="56">
        <f t="shared" ca="1" si="6"/>
        <v>46213</v>
      </c>
    </row>
    <row r="30" spans="1:7" ht="13.5">
      <c r="A30" s="46" t="str">
        <f t="shared" ca="1" si="5"/>
        <v/>
      </c>
      <c r="B30" s="54" t="str">
        <f ca="1">IFERROR(INDEX($A$53:$A$78,MATCH(8,O$53:O$78,0)),"")</f>
        <v/>
      </c>
      <c r="C30" s="54" t="str">
        <f ca="1">IFERROR(INDEX($B$53:$B$78,MATCH(8,O$53:O$78,0)),"")</f>
        <v/>
      </c>
      <c r="D30" s="54" t="str">
        <f ca="1">IFERROR(INDEX($E$53:$E$78,MATCH(8,O$53:O$78,0)),"")</f>
        <v/>
      </c>
      <c r="E30" s="55" t="str">
        <f ca="1">IFERROR(INDEX(I$53:I$78,MATCH(8,O$53:O$78,0)),"")</f>
        <v/>
      </c>
      <c r="F30" s="54" t="str">
        <f t="shared" ca="1" si="1"/>
        <v/>
      </c>
      <c r="G30" s="56" t="str">
        <f t="shared" ca="1" si="6"/>
        <v/>
      </c>
    </row>
    <row r="31" spans="1:7" ht="13">
      <c r="A31" s="162" t="s">
        <v>207</v>
      </c>
      <c r="B31" s="162"/>
      <c r="C31" s="162"/>
      <c r="D31" s="162"/>
      <c r="E31" s="162"/>
      <c r="F31" s="162"/>
      <c r="G31" s="162"/>
    </row>
    <row r="33" spans="1:8" ht="21" customHeight="1">
      <c r="A33" s="154" t="s">
        <v>277</v>
      </c>
      <c r="B33" s="154"/>
      <c r="C33" s="154"/>
      <c r="D33" s="154"/>
      <c r="E33" s="154"/>
      <c r="F33" s="154"/>
      <c r="G33" s="49" t="s">
        <v>201</v>
      </c>
      <c r="H33" s="50">
        <f ca="1">$B$82</f>
        <v>46281</v>
      </c>
    </row>
    <row r="34" spans="1:8" ht="28" customHeight="1">
      <c r="A34" s="51" t="s">
        <v>202</v>
      </c>
      <c r="B34" s="51" t="s">
        <v>208</v>
      </c>
      <c r="C34" s="51" t="s">
        <v>209</v>
      </c>
      <c r="D34" s="51" t="s">
        <v>210</v>
      </c>
      <c r="E34" s="51" t="s">
        <v>211</v>
      </c>
      <c r="F34" s="51" t="s">
        <v>212</v>
      </c>
      <c r="G34" s="51" t="s">
        <v>210</v>
      </c>
      <c r="H34" s="51" t="s">
        <v>206</v>
      </c>
    </row>
    <row r="35" spans="1:8" ht="13">
      <c r="A35" s="54" t="s">
        <v>213</v>
      </c>
      <c r="B35" s="55">
        <v>0.1</v>
      </c>
      <c r="C35" s="55">
        <f ca="1">SUMIF($C$53:$C$78,"增值",J$53:J$78)</f>
        <v>0.10220212176567947</v>
      </c>
      <c r="D35" s="57">
        <f ca="1">C35-B35</f>
        <v>2.2021217656794656E-3</v>
      </c>
      <c r="E35" s="55">
        <f>1-B35</f>
        <v>0.9</v>
      </c>
      <c r="F35" s="55">
        <f ca="1">SUMIF($C$53:$C$78,"生息",J$53:J$78)</f>
        <v>0.89779787823432056</v>
      </c>
      <c r="G35" s="57">
        <f ca="1">F35-E35</f>
        <v>-2.2021217656794656E-3</v>
      </c>
      <c r="H35" s="56">
        <f>J$84</f>
        <v>46276</v>
      </c>
    </row>
    <row r="36" spans="1:8" ht="13">
      <c r="A36" s="54" t="s">
        <v>214</v>
      </c>
      <c r="B36" s="55">
        <v>0.1</v>
      </c>
      <c r="C36" s="55">
        <f ca="1">SUMIF($C$53:$C$78,"增值",K$53:K$78)</f>
        <v>0.10240975190103893</v>
      </c>
      <c r="D36" s="57">
        <f ca="1">C36-B36</f>
        <v>2.4097519010389257E-3</v>
      </c>
      <c r="E36" s="55">
        <f>1-B36</f>
        <v>0.9</v>
      </c>
      <c r="F36" s="55">
        <f ca="1">SUMIF($C$53:$C$78,"生息",K$53:K$78)</f>
        <v>0.89759024809896093</v>
      </c>
      <c r="G36" s="57">
        <f ca="1">F36-E36</f>
        <v>-2.4097519010390922E-3</v>
      </c>
      <c r="H36" s="56">
        <f>K$84</f>
        <v>46276</v>
      </c>
    </row>
    <row r="37" spans="1:8" ht="13">
      <c r="A37" s="54" t="s">
        <v>215</v>
      </c>
      <c r="B37" s="55">
        <v>0.3</v>
      </c>
      <c r="C37" s="55">
        <f ca="1">SUMIF($C$53:$C$78,"增值",L$53:L$78)</f>
        <v>0.30536333532589888</v>
      </c>
      <c r="D37" s="57">
        <f ca="1">C37-B37</f>
        <v>5.3633353258988881E-3</v>
      </c>
      <c r="E37" s="55">
        <f>1-B37</f>
        <v>0.7</v>
      </c>
      <c r="F37" s="55">
        <f ca="1">SUMIF($C$53:$C$78,"生息",L$53:L$78)</f>
        <v>0.69463666467410101</v>
      </c>
      <c r="G37" s="57">
        <f ca="1">F37-E37</f>
        <v>-5.3633353258989436E-3</v>
      </c>
      <c r="H37" s="56">
        <f>L$84</f>
        <v>46276</v>
      </c>
    </row>
    <row r="38" spans="1:8" ht="13">
      <c r="A38" s="155" t="s">
        <v>216</v>
      </c>
      <c r="B38" s="155"/>
      <c r="C38" s="155"/>
      <c r="D38" s="155"/>
      <c r="E38" s="155"/>
      <c r="F38" s="155"/>
      <c r="G38" s="155"/>
      <c r="H38" s="155"/>
    </row>
    <row r="40" spans="1:8" ht="21" customHeight="1">
      <c r="A40" s="154" t="s">
        <v>217</v>
      </c>
      <c r="B40" s="154"/>
      <c r="C40" s="154"/>
      <c r="D40" s="49" t="s">
        <v>201</v>
      </c>
      <c r="E40" s="50">
        <f ca="1">$B$82</f>
        <v>46281</v>
      </c>
    </row>
    <row r="41" spans="1:8" ht="28" customHeight="1">
      <c r="A41" s="51" t="s">
        <v>202</v>
      </c>
      <c r="B41" s="51" t="s">
        <v>218</v>
      </c>
      <c r="C41" s="51" t="s">
        <v>219</v>
      </c>
      <c r="D41" s="51" t="s">
        <v>220</v>
      </c>
      <c r="E41" s="51" t="s">
        <v>206</v>
      </c>
    </row>
    <row r="42" spans="1:8" ht="13">
      <c r="A42" s="54" t="s">
        <v>213</v>
      </c>
      <c r="B42" s="55">
        <f ca="1">IFERROR(SUMIF($D$53:$D$78,"产业趋势",J$53:J$78)/SUMIF($C$53:$C$78,"增值",J$53:J$78),0)</f>
        <v>0.50531175504985104</v>
      </c>
      <c r="C42" s="55">
        <f ca="1">IFERROR(SUMIF($D$53:$D$78,"指增",J$53:J$78)/SUMIF($C$53:$C$78,"增值",J$53:J$78),0)</f>
        <v>0.49468824495014896</v>
      </c>
      <c r="D42" s="55">
        <f ca="1">SUMIF($C$53:$C$78,"增值",J$53:J$78)</f>
        <v>0.10220212176567947</v>
      </c>
      <c r="E42" s="56">
        <f>J$84</f>
        <v>46276</v>
      </c>
    </row>
    <row r="43" spans="1:8" ht="13">
      <c r="A43" s="54" t="s">
        <v>214</v>
      </c>
      <c r="B43" s="55">
        <f ca="1">IFERROR(SUMIF($D$53:$D$78,"产业趋势",K$53:K$78)/SUMIF($C$53:$C$78,"增值",K$53:K$78),0)</f>
        <v>0.50641319457828293</v>
      </c>
      <c r="C43" s="55">
        <f ca="1">IFERROR(SUMIF($D$53:$D$78,"指增",K$53:K$78)/SUMIF($C$53:$C$78,"增值",K$53:K$78),0)</f>
        <v>0.49358680542171718</v>
      </c>
      <c r="D43" s="55">
        <f ca="1">SUMIF($C$53:$C$78,"增值",K$53:K$78)</f>
        <v>0.10240975190103893</v>
      </c>
      <c r="E43" s="56">
        <f>K$84</f>
        <v>46276</v>
      </c>
    </row>
    <row r="44" spans="1:8" ht="13">
      <c r="A44" s="54" t="s">
        <v>215</v>
      </c>
      <c r="B44" s="55">
        <f ca="1">IFERROR(SUMIF($D$53:$D$78,"产业趋势",L$53:L$78)/SUMIF($C$53:$C$78,"增值",L$53:L$78),0)</f>
        <v>0.50570415974787586</v>
      </c>
      <c r="C44" s="55">
        <f ca="1">IFERROR(SUMIF($D$53:$D$78,"指增",L$53:L$78)/SUMIF($C$53:$C$78,"增值",L$53:L$78),0)</f>
        <v>0.49429584025212403</v>
      </c>
      <c r="D44" s="55">
        <f ca="1">SUMIF($C$53:$C$78,"增值",L$53:L$78)</f>
        <v>0.30536333532589888</v>
      </c>
      <c r="E44" s="56">
        <f>L$84</f>
        <v>46276</v>
      </c>
    </row>
    <row r="45" spans="1:8" ht="13">
      <c r="A45" s="155" t="s">
        <v>221</v>
      </c>
      <c r="B45" s="155"/>
      <c r="C45" s="155"/>
      <c r="D45" s="155"/>
      <c r="E45" s="155"/>
    </row>
    <row r="47" spans="1:8" ht="34" customHeight="1">
      <c r="A47" s="158" t="s">
        <v>222</v>
      </c>
      <c r="B47" s="158"/>
      <c r="C47" s="158"/>
      <c r="D47" s="158"/>
      <c r="E47" s="158"/>
      <c r="F47" s="158"/>
      <c r="G47" s="158"/>
      <c r="H47" s="158"/>
    </row>
    <row r="50" spans="1:18" ht="21" customHeight="1">
      <c r="A50" s="154" t="s">
        <v>223</v>
      </c>
      <c r="B50" s="154"/>
      <c r="C50" s="154"/>
      <c r="D50" s="154"/>
      <c r="E50" s="154"/>
      <c r="F50" s="154"/>
      <c r="G50" s="154"/>
      <c r="H50" s="154"/>
      <c r="I50" s="154"/>
      <c r="J50" s="154"/>
      <c r="K50" s="154"/>
      <c r="L50" s="154"/>
    </row>
    <row r="51" spans="1:18" ht="24" customHeight="1">
      <c r="A51" s="155" t="s">
        <v>224</v>
      </c>
      <c r="B51" s="155"/>
      <c r="C51" s="155"/>
      <c r="D51" s="155"/>
      <c r="E51" s="155"/>
      <c r="F51" s="155"/>
      <c r="G51" s="155"/>
      <c r="H51" s="155"/>
      <c r="I51" s="155"/>
      <c r="J51" s="155"/>
      <c r="K51" s="155"/>
      <c r="L51" s="155"/>
    </row>
    <row r="52" spans="1:18" ht="28" customHeight="1">
      <c r="A52" s="51" t="s">
        <v>28</v>
      </c>
      <c r="B52" s="51" t="s">
        <v>1</v>
      </c>
      <c r="C52" s="51" t="s">
        <v>225</v>
      </c>
      <c r="D52" s="51" t="s">
        <v>226</v>
      </c>
      <c r="E52" s="51" t="s">
        <v>227</v>
      </c>
      <c r="F52" s="51" t="s">
        <v>228</v>
      </c>
      <c r="G52" s="51" t="s">
        <v>229</v>
      </c>
      <c r="H52" s="51" t="s">
        <v>230</v>
      </c>
      <c r="I52" s="51" t="s">
        <v>231</v>
      </c>
      <c r="J52" s="51" t="s">
        <v>213</v>
      </c>
      <c r="K52" s="51" t="s">
        <v>214</v>
      </c>
      <c r="L52" s="51" t="s">
        <v>215</v>
      </c>
    </row>
    <row r="53" spans="1:18" ht="13">
      <c r="A53" s="54" t="s">
        <v>29</v>
      </c>
      <c r="B53" s="52" t="s">
        <v>232</v>
      </c>
      <c r="C53" s="54" t="s">
        <v>233</v>
      </c>
      <c r="D53" s="54" t="s">
        <v>234</v>
      </c>
      <c r="E53" s="54" t="s">
        <v>235</v>
      </c>
      <c r="F53" s="54" t="s">
        <v>236</v>
      </c>
      <c r="G53" s="55">
        <f ca="1">IFERROR(INDEX(分期持仓明细!$B$5:$Y$200,G$82-4,MATCH(LEFT($A53,6),分期持仓明细!$B$3:$Y$3,0))*INDEX('实盘净值数据(iFinD）'!$B$5:$Y$1000,$B$81,MATCH($A53,'实盘净值数据(iFinD）'!$B$3:$Y$3,0))/INDEX('实盘净值数据(iFinD）'!$B$5:$Y$1000,MATCH(G$84,'实盘净值数据(iFinD）'!$A$5:$A$1000,0),MATCH($A53,'实盘净值数据(iFinD）'!$B$3:$Y$3,0))/G$85,G89)</f>
        <v>0</v>
      </c>
      <c r="H53" s="55">
        <f ca="1">IFERROR(INDEX(分期持仓明细!$B$5:$Y$200,H$82-4,MATCH(LEFT($A53,6),分期持仓明细!$B$3:$Y$3,0))*INDEX('实盘净值数据(iFinD）'!$B$5:$Y$1000,$B$81,MATCH($A53,'实盘净值数据(iFinD）'!$B$3:$Y$3,0))/INDEX('实盘净值数据(iFinD）'!$B$5:$Y$1000,MATCH(H$84,'实盘净值数据(iFinD）'!$A$5:$A$1000,0),MATCH($A53,'实盘净值数据(iFinD）'!$B$3:$Y$3,0))/H$85,H89)</f>
        <v>0</v>
      </c>
      <c r="I53" s="55">
        <f ca="1">IFERROR(INDEX(分期持仓明细!$B$5:$Y$200,I$82-4,MATCH(LEFT($A53,6),分期持仓明细!$B$3:$Y$3,0))*INDEX('实盘净值数据(iFinD）'!$B$5:$Y$1000,$B$81,MATCH($A53,'实盘净值数据(iFinD）'!$B$3:$Y$3,0))/INDEX('实盘净值数据(iFinD）'!$B$5:$Y$1000,MATCH(I$84,'实盘净值数据(iFinD）'!$A$5:$A$1000,0),MATCH($A53,'实盘净值数据(iFinD）'!$B$3:$Y$3,0))/I$85,I89)</f>
        <v>0</v>
      </c>
      <c r="J53" s="55">
        <f ca="1">IFERROR(INDEX(分期持仓明细!$B$5:$Y$200,J$82-4,MATCH(LEFT($A53,6),分期持仓明细!$B$3:$Y$3,0))*INDEX('实盘净值数据(iFinD）'!$B$5:$Y$1000,$B$81,MATCH($A53,'实盘净值数据(iFinD）'!$B$3:$Y$3,0))/INDEX('实盘净值数据(iFinD）'!$B$5:$Y$1000,MATCH(J$84,'实盘净值数据(iFinD）'!$A$5:$A$1000,0),MATCH($A53,'实盘净值数据(iFinD）'!$B$3:$Y$3,0))/J$85,J89)</f>
        <v>4.9692407724061527E-2</v>
      </c>
      <c r="K53" s="55">
        <f ca="1">IFERROR(INDEX(分期持仓明细!$B$5:$Y$200,K$82-4,MATCH(LEFT($A53,6),分期持仓明细!$B$3:$Y$3,0))*INDEX('实盘净值数据(iFinD）'!$B$5:$Y$1000,$B$81,MATCH($A53,'实盘净值数据(iFinD）'!$B$3:$Y$3,0))/INDEX('实盘净值数据(iFinD）'!$B$5:$Y$1000,MATCH(K$84,'实盘净值数据(iFinD）'!$A$5:$A$1000,0),MATCH($A53,'实盘净值数据(iFinD）'!$B$3:$Y$3,0))/K$85,K89)</f>
        <v>4.9680915559074043E-2</v>
      </c>
      <c r="L53" s="55">
        <f ca="1">IFERROR(INDEX(分期持仓明细!$B$5:$Y$200,L$82-4,MATCH(LEFT($A53,6),分期持仓明细!$B$3:$Y$3,0))*INDEX('实盘净值数据(iFinD）'!$B$5:$Y$1000,$B$81,MATCH($A53,'实盘净值数据(iFinD）'!$B$3:$Y$3,0))/INDEX('实盘净值数据(iFinD）'!$B$5:$Y$1000,MATCH(L$84,'实盘净值数据(iFinD）'!$A$5:$A$1000,0),MATCH($A53,'实盘净值数据(iFinD）'!$B$3:$Y$3,0))/L$85,L89)</f>
        <v>9.890337788683537E-2</v>
      </c>
      <c r="M53" t="str">
        <f ca="1">IF(G53&gt;0,COUNTIF(G$53:G53,"&gt;0"),"")</f>
        <v/>
      </c>
      <c r="N53" t="str">
        <f ca="1">IF(H53&gt;0,COUNTIF(H$53:H53,"&gt;0"),"")</f>
        <v/>
      </c>
      <c r="O53" t="str">
        <f ca="1">IF(I53&gt;0,COUNTIF(I$53:I53,"&gt;0"),"")</f>
        <v/>
      </c>
      <c r="P53">
        <f ca="1">IF(J53&gt;0,COUNTIF(J$53:J53,"&gt;0"),"")</f>
        <v>1</v>
      </c>
      <c r="Q53">
        <f ca="1">IF(K53&gt;0,COUNTIF(K$53:K53,"&gt;0"),"")</f>
        <v>1</v>
      </c>
      <c r="R53">
        <f ca="1">IF(L53&gt;0,COUNTIF(L$53:L53,"&gt;0"),"")</f>
        <v>1</v>
      </c>
    </row>
    <row r="54" spans="1:18" ht="13">
      <c r="A54" s="54" t="s">
        <v>30</v>
      </c>
      <c r="B54" s="52" t="s">
        <v>237</v>
      </c>
      <c r="C54" s="54" t="s">
        <v>233</v>
      </c>
      <c r="D54" s="54" t="s">
        <v>234</v>
      </c>
      <c r="E54" s="54" t="s">
        <v>238</v>
      </c>
      <c r="F54" s="54" t="s">
        <v>239</v>
      </c>
      <c r="G54" s="55">
        <f ca="1">IFERROR(INDEX(分期持仓明细!$B$5:$Y$200,G$82-4,MATCH(LEFT($A54,6),分期持仓明细!$B$3:$Y$3,0))*INDEX('实盘净值数据(iFinD）'!$B$5:$Y$1000,$B$81,MATCH($A54,'实盘净值数据(iFinD）'!$B$3:$Y$3,0))/INDEX('实盘净值数据(iFinD）'!$B$5:$Y$1000,MATCH(G$84,'实盘净值数据(iFinD）'!$A$5:$A$1000,0),MATCH($A54,'实盘净值数据(iFinD）'!$B$3:$Y$3,0))/G$85,G90)</f>
        <v>5.2989790874918001E-2</v>
      </c>
      <c r="H54" s="55">
        <f ca="1">IFERROR(INDEX(分期持仓明细!$B$5:$Y$200,H$82-4,MATCH(LEFT($A54,6),分期持仓明细!$B$3:$Y$3,0))*INDEX('实盘净值数据(iFinD）'!$B$5:$Y$1000,$B$81,MATCH($A54,'实盘净值数据(iFinD）'!$B$3:$Y$3,0))/INDEX('实盘净值数据(iFinD）'!$B$5:$Y$1000,MATCH(H$84,'实盘净值数据(iFinD）'!$A$5:$A$1000,0),MATCH($A54,'实盘净值数据(iFinD）'!$B$3:$Y$3,0))/H$85,H90)</f>
        <v>5.1806842553265689E-2</v>
      </c>
      <c r="I54" s="55">
        <f ca="1">IFERROR(INDEX(分期持仓明细!$B$5:$Y$200,I$82-4,MATCH(LEFT($A54,6),分期持仓明细!$B$3:$Y$3,0))*INDEX('实盘净值数据(iFinD）'!$B$5:$Y$1000,$B$81,MATCH($A54,'实盘净值数据(iFinD）'!$B$3:$Y$3,0))/INDEX('实盘净值数据(iFinD）'!$B$5:$Y$1000,MATCH(I$84,'实盘净值数据(iFinD）'!$A$5:$A$1000,0),MATCH($A54,'实盘净值数据(iFinD）'!$B$3:$Y$3,0))/I$85,I90)</f>
        <v>5.1622784143376982E-2</v>
      </c>
      <c r="J54" s="55">
        <f ca="1">IFERROR(INDEX(分期持仓明细!$B$5:$Y$200,J$82-4,MATCH(LEFT($A54,6),分期持仓明细!$B$3:$Y$3,0))*INDEX('实盘净值数据(iFinD）'!$B$5:$Y$1000,$B$81,MATCH($A54,'实盘净值数据(iFinD）'!$B$3:$Y$3,0))/INDEX('实盘净值数据(iFinD）'!$B$5:$Y$1000,MATCH(J$84,'实盘净值数据(iFinD）'!$A$5:$A$1000,0),MATCH($A54,'实盘净值数据(iFinD）'!$B$3:$Y$3,0))/J$85,J90)</f>
        <v>4.9866413508874316E-2</v>
      </c>
      <c r="K54" s="55">
        <f ca="1">IFERROR(INDEX(分期持仓明细!$B$5:$Y$200,K$82-4,MATCH(LEFT($A54,6),分期持仓明细!$B$3:$Y$3,0))*INDEX('实盘净值数据(iFinD）'!$B$5:$Y$1000,$B$81,MATCH($A54,'实盘净值数据(iFinD）'!$B$3:$Y$3,0))/INDEX('实盘净值数据(iFinD）'!$B$5:$Y$1000,MATCH(K$84,'实盘净值数据(iFinD）'!$A$5:$A$1000,0),MATCH($A54,'实盘净值数据(iFinD）'!$B$3:$Y$3,0))/K$85,K90)</f>
        <v>4.985488110226282E-2</v>
      </c>
      <c r="L54" s="55">
        <f ca="1">IFERROR(INDEX(分期持仓明细!$B$5:$Y$200,L$82-4,MATCH(LEFT($A54,6),分期持仓明细!$B$3:$Y$3,0))*INDEX('实盘净值数据(iFinD）'!$B$5:$Y$1000,$B$81,MATCH($A54,'实盘净值数据(iFinD）'!$B$3:$Y$3,0))/INDEX('实盘净值数据(iFinD）'!$B$5:$Y$1000,MATCH(L$84,'实盘净值数据(iFinD）'!$A$5:$A$1000,0),MATCH($A54,'实盘净值数据(iFinD）'!$B$3:$Y$3,0))/L$85,L90)</f>
        <v>9.9249703627085253E-2</v>
      </c>
      <c r="M54">
        <f ca="1">IF(G54&gt;0,COUNTIF(G$53:G54,"&gt;0"),"")</f>
        <v>1</v>
      </c>
      <c r="N54">
        <f ca="1">IF(H54&gt;0,COUNTIF(H$53:H54,"&gt;0"),"")</f>
        <v>1</v>
      </c>
      <c r="O54">
        <f ca="1">IF(I54&gt;0,COUNTIF(I$53:I54,"&gt;0"),"")</f>
        <v>1</v>
      </c>
      <c r="P54">
        <f ca="1">IF(J54&gt;0,COUNTIF(J$53:J54,"&gt;0"),"")</f>
        <v>2</v>
      </c>
      <c r="Q54">
        <f ca="1">IF(K54&gt;0,COUNTIF(K$53:K54,"&gt;0"),"")</f>
        <v>2</v>
      </c>
      <c r="R54">
        <f ca="1">IF(L54&gt;0,COUNTIF(L$53:L54,"&gt;0"),"")</f>
        <v>2</v>
      </c>
    </row>
    <row r="55" spans="1:18" ht="13">
      <c r="A55" s="54" t="s">
        <v>31</v>
      </c>
      <c r="B55" s="52" t="s">
        <v>240</v>
      </c>
      <c r="C55" s="54" t="s">
        <v>241</v>
      </c>
      <c r="D55" s="54" t="s">
        <v>229</v>
      </c>
      <c r="E55" s="54" t="s">
        <v>242</v>
      </c>
      <c r="F55" s="54" t="s">
        <v>243</v>
      </c>
      <c r="G55" s="55">
        <f ca="1">IFERROR(INDEX(分期持仓明细!$B$5:$Y$200,G$82-4,MATCH(LEFT($A55,6),分期持仓明细!$B$3:$Y$3,0))*INDEX('实盘净值数据(iFinD）'!$B$5:$Y$1000,$B$81,MATCH($A55,'实盘净值数据(iFinD）'!$B$3:$Y$3,0))/INDEX('实盘净值数据(iFinD）'!$B$5:$Y$1000,MATCH(G$84,'实盘净值数据(iFinD）'!$A$5:$A$1000,0),MATCH($A55,'实盘净值数据(iFinD）'!$B$3:$Y$3,0))/G$85,G91)</f>
        <v>0.16906267069334552</v>
      </c>
      <c r="H55" s="55">
        <f ca="1">IFERROR(INDEX(分期持仓明细!$B$5:$Y$200,H$82-4,MATCH(LEFT($A55,6),分期持仓明细!$B$3:$Y$3,0))*INDEX('实盘净值数据(iFinD）'!$B$5:$Y$1000,$B$81,MATCH($A55,'实盘净值数据(iFinD）'!$B$3:$Y$3,0))/INDEX('实盘净值数据(iFinD）'!$B$5:$Y$1000,MATCH(H$84,'实盘净值数据(iFinD）'!$A$5:$A$1000,0),MATCH($A55,'实盘净值数据(iFinD）'!$B$3:$Y$3,0))/H$85,H91)</f>
        <v>0.17062274066013433</v>
      </c>
      <c r="I55" s="55">
        <f ca="1">IFERROR(INDEX(分期持仓明细!$B$5:$Y$200,I$82-4,MATCH(LEFT($A55,6),分期持仓明细!$B$3:$Y$3,0))*INDEX('实盘净值数据(iFinD）'!$B$5:$Y$1000,$B$81,MATCH($A55,'实盘净值数据(iFinD）'!$B$3:$Y$3,0))/INDEX('实盘净值数据(iFinD）'!$B$5:$Y$1000,MATCH(I$84,'实盘净值数据(iFinD）'!$A$5:$A$1000,0),MATCH($A55,'实盘净值数据(iFinD）'!$B$3:$Y$3,0))/I$85,I91)</f>
        <v>0</v>
      </c>
      <c r="J55" s="55">
        <f ca="1">IFERROR(INDEX(分期持仓明细!$B$5:$Y$200,J$82-4,MATCH(LEFT($A55,6),分期持仓明细!$B$3:$Y$3,0))*INDEX('实盘净值数据(iFinD）'!$B$5:$Y$1000,$B$81,MATCH($A55,'实盘净值数据(iFinD）'!$B$3:$Y$3,0))/INDEX('实盘净值数据(iFinD）'!$B$5:$Y$1000,MATCH(J$84,'实盘净值数据(iFinD）'!$A$5:$A$1000,0),MATCH($A55,'实盘净值数据(iFinD）'!$B$3:$Y$3,0))/J$85,J91)</f>
        <v>0</v>
      </c>
      <c r="K55" s="55">
        <f ca="1">IFERROR(INDEX(分期持仓明细!$B$5:$Y$200,K$82-4,MATCH(LEFT($A55,6),分期持仓明细!$B$3:$Y$3,0))*INDEX('实盘净值数据(iFinD）'!$B$5:$Y$1000,$B$81,MATCH($A55,'实盘净值数据(iFinD）'!$B$3:$Y$3,0))/INDEX('实盘净值数据(iFinD）'!$B$5:$Y$1000,MATCH(K$84,'实盘净值数据(iFinD）'!$A$5:$A$1000,0),MATCH($A55,'实盘净值数据(iFinD）'!$B$3:$Y$3,0))/K$85,K91)</f>
        <v>1.0168222486621673E-2</v>
      </c>
      <c r="L55" s="55">
        <f ca="1">IFERROR(INDEX(分期持仓明细!$B$5:$Y$200,L$82-4,MATCH(LEFT($A55,6),分期持仓明细!$B$3:$Y$3,0))*INDEX('实盘净值数据(iFinD）'!$B$5:$Y$1000,$B$81,MATCH($A55,'实盘净值数据(iFinD）'!$B$3:$Y$3,0))/INDEX('实盘净值数据(iFinD）'!$B$5:$Y$1000,MATCH(L$84,'实盘净值数据(iFinD）'!$A$5:$A$1000,0),MATCH($A55,'实盘净值数据(iFinD）'!$B$3:$Y$3,0))/L$85,L91)</f>
        <v>0</v>
      </c>
      <c r="M55">
        <f ca="1">IF(G55&gt;0,COUNTIF(G$53:G55,"&gt;0"),"")</f>
        <v>2</v>
      </c>
      <c r="N55">
        <f ca="1">IF(H55&gt;0,COUNTIF(H$53:H55,"&gt;0"),"")</f>
        <v>2</v>
      </c>
      <c r="O55" t="str">
        <f ca="1">IF(I55&gt;0,COUNTIF(I$53:I55,"&gt;0"),"")</f>
        <v/>
      </c>
      <c r="P55" t="str">
        <f ca="1">IF(J55&gt;0,COUNTIF(J$53:J55,"&gt;0"),"")</f>
        <v/>
      </c>
      <c r="Q55">
        <f ca="1">IF(K55&gt;0,COUNTIF(K$53:K55,"&gt;0"),"")</f>
        <v>3</v>
      </c>
      <c r="R55" t="str">
        <f ca="1">IF(L55&gt;0,COUNTIF(L$53:L55,"&gt;0"),"")</f>
        <v/>
      </c>
    </row>
    <row r="56" spans="1:18" ht="13">
      <c r="A56" s="54" t="s">
        <v>32</v>
      </c>
      <c r="B56" s="52" t="s">
        <v>244</v>
      </c>
      <c r="C56" s="54" t="s">
        <v>241</v>
      </c>
      <c r="D56" s="54" t="s">
        <v>245</v>
      </c>
      <c r="E56" s="54" t="s">
        <v>245</v>
      </c>
      <c r="F56" s="54" t="s">
        <v>246</v>
      </c>
      <c r="G56" s="55">
        <f ca="1">IFERROR(INDEX(分期持仓明细!$B$5:$Y$200,G$82-4,MATCH(LEFT($A56,6),分期持仓明细!$B$3:$Y$3,0))*INDEX('实盘净值数据(iFinD）'!$B$5:$Y$1000,$B$81,MATCH($A56,'实盘净值数据(iFinD）'!$B$3:$Y$3,0))/INDEX('实盘净值数据(iFinD）'!$B$5:$Y$1000,MATCH(G$84,'实盘净值数据(iFinD）'!$A$5:$A$1000,0),MATCH($A56,'实盘净值数据(iFinD）'!$B$3:$Y$3,0))/G$85,G92)</f>
        <v>0</v>
      </c>
      <c r="H56" s="55">
        <f ca="1">IFERROR(INDEX(分期持仓明细!$B$5:$Y$200,H$82-4,MATCH(LEFT($A56,6),分期持仓明细!$B$3:$Y$3,0))*INDEX('实盘净值数据(iFinD）'!$B$5:$Y$1000,$B$81,MATCH($A56,'实盘净值数据(iFinD）'!$B$3:$Y$3,0))/INDEX('实盘净值数据(iFinD）'!$B$5:$Y$1000,MATCH(H$84,'实盘净值数据(iFinD）'!$A$5:$A$1000,0),MATCH($A56,'实盘净值数据(iFinD）'!$B$3:$Y$3,0))/H$85,H92)</f>
        <v>0</v>
      </c>
      <c r="I56" s="55">
        <f ca="1">IFERROR(INDEX(分期持仓明细!$B$5:$Y$200,I$82-4,MATCH(LEFT($A56,6),分期持仓明细!$B$3:$Y$3,0))*INDEX('实盘净值数据(iFinD）'!$B$5:$Y$1000,$B$81,MATCH($A56,'实盘净值数据(iFinD）'!$B$3:$Y$3,0))/INDEX('实盘净值数据(iFinD）'!$B$5:$Y$1000,MATCH(I$84,'实盘净值数据(iFinD）'!$A$5:$A$1000,0),MATCH($A56,'实盘净值数据(iFinD）'!$B$3:$Y$3,0))/I$85,I92)</f>
        <v>0</v>
      </c>
      <c r="J56" s="55">
        <f ca="1">IFERROR(INDEX(分期持仓明细!$B$5:$Y$200,J$82-4,MATCH(LEFT($A56,6),分期持仓明细!$B$3:$Y$3,0))*INDEX('实盘净值数据(iFinD）'!$B$5:$Y$1000,$B$81,MATCH($A56,'实盘净值数据(iFinD）'!$B$3:$Y$3,0))/INDEX('实盘净值数据(iFinD）'!$B$5:$Y$1000,MATCH(J$84,'实盘净值数据(iFinD）'!$A$5:$A$1000,0),MATCH($A56,'实盘净值数据(iFinD）'!$B$3:$Y$3,0))/J$85,J92)</f>
        <v>0</v>
      </c>
      <c r="K56" s="55">
        <f ca="1">IFERROR(INDEX(分期持仓明细!$B$5:$Y$200,K$82-4,MATCH(LEFT($A56,6),分期持仓明细!$B$3:$Y$3,0))*INDEX('实盘净值数据(iFinD）'!$B$5:$Y$1000,$B$81,MATCH($A56,'实盘净值数据(iFinD）'!$B$3:$Y$3,0))/INDEX('实盘净值数据(iFinD）'!$B$5:$Y$1000,MATCH(K$84,'实盘净值数据(iFinD）'!$A$5:$A$1000,0),MATCH($A56,'实盘净值数据(iFinD）'!$B$3:$Y$3,0))/K$85,K92)</f>
        <v>1.2452350498878243E-2</v>
      </c>
      <c r="L56" s="55">
        <f ca="1">IFERROR(INDEX(分期持仓明细!$B$5:$Y$200,L$82-4,MATCH(LEFT($A56,6),分期持仓明细!$B$3:$Y$3,0))*INDEX('实盘净值数据(iFinD）'!$B$5:$Y$1000,$B$81,MATCH($A56,'实盘净值数据(iFinD）'!$B$3:$Y$3,0))/INDEX('实盘净值数据(iFinD）'!$B$5:$Y$1000,MATCH(L$84,'实盘净值数据(iFinD）'!$A$5:$A$1000,0),MATCH($A56,'实盘净值数据(iFinD）'!$B$3:$Y$3,0))/L$85,L92)</f>
        <v>0</v>
      </c>
      <c r="M56" t="str">
        <f ca="1">IF(G56&gt;0,COUNTIF(G$53:G56,"&gt;0"),"")</f>
        <v/>
      </c>
      <c r="N56" t="str">
        <f ca="1">IF(H56&gt;0,COUNTIF(H$53:H56,"&gt;0"),"")</f>
        <v/>
      </c>
      <c r="O56" t="str">
        <f ca="1">IF(I56&gt;0,COUNTIF(I$53:I56,"&gt;0"),"")</f>
        <v/>
      </c>
      <c r="P56" t="str">
        <f ca="1">IF(J56&gt;0,COUNTIF(J$53:J56,"&gt;0"),"")</f>
        <v/>
      </c>
      <c r="Q56">
        <f ca="1">IF(K56&gt;0,COUNTIF(K$53:K56,"&gt;0"),"")</f>
        <v>4</v>
      </c>
      <c r="R56" t="str">
        <f ca="1">IF(L56&gt;0,COUNTIF(L$53:L56,"&gt;0"),"")</f>
        <v/>
      </c>
    </row>
    <row r="57" spans="1:18" ht="13">
      <c r="A57" s="54" t="s">
        <v>33</v>
      </c>
      <c r="B57" s="52" t="s">
        <v>247</v>
      </c>
      <c r="C57" s="54" t="s">
        <v>241</v>
      </c>
      <c r="D57" s="54" t="s">
        <v>245</v>
      </c>
      <c r="E57" s="54" t="s">
        <v>245</v>
      </c>
      <c r="F57" s="54" t="s">
        <v>248</v>
      </c>
      <c r="G57" s="55">
        <f ca="1">IFERROR(INDEX(分期持仓明细!$B$5:$Y$200,G$82-4,MATCH(LEFT($A57,6),分期持仓明细!$B$3:$Y$3,0))*INDEX('实盘净值数据(iFinD）'!$B$5:$Y$1000,$B$81,MATCH($A57,'实盘净值数据(iFinD）'!$B$3:$Y$3,0))/INDEX('实盘净值数据(iFinD）'!$B$5:$Y$1000,MATCH(G$84,'实盘净值数据(iFinD）'!$A$5:$A$1000,0),MATCH($A57,'实盘净值数据(iFinD）'!$B$3:$Y$3,0))/G$85,G93)</f>
        <v>0</v>
      </c>
      <c r="H57" s="55">
        <f ca="1">IFERROR(INDEX(分期持仓明细!$B$5:$Y$200,H$82-4,MATCH(LEFT($A57,6),分期持仓明细!$B$3:$Y$3,0))*INDEX('实盘净值数据(iFinD）'!$B$5:$Y$1000,$B$81,MATCH($A57,'实盘净值数据(iFinD）'!$B$3:$Y$3,0))/INDEX('实盘净值数据(iFinD）'!$B$5:$Y$1000,MATCH(H$84,'实盘净值数据(iFinD）'!$A$5:$A$1000,0),MATCH($A57,'实盘净值数据(iFinD）'!$B$3:$Y$3,0))/H$85,H93)</f>
        <v>0</v>
      </c>
      <c r="I57" s="55">
        <f ca="1">IFERROR(INDEX(分期持仓明细!$B$5:$Y$200,I$82-4,MATCH(LEFT($A57,6),分期持仓明细!$B$3:$Y$3,0))*INDEX('实盘净值数据(iFinD）'!$B$5:$Y$1000,$B$81,MATCH($A57,'实盘净值数据(iFinD）'!$B$3:$Y$3,0))/INDEX('实盘净值数据(iFinD）'!$B$5:$Y$1000,MATCH(I$84,'实盘净值数据(iFinD）'!$A$5:$A$1000,0),MATCH($A57,'实盘净值数据(iFinD）'!$B$3:$Y$3,0))/I$85,I93)</f>
        <v>0</v>
      </c>
      <c r="J57" s="55">
        <f ca="1">IFERROR(INDEX(分期持仓明细!$B$5:$Y$200,J$82-4,MATCH(LEFT($A57,6),分期持仓明细!$B$3:$Y$3,0))*INDEX('实盘净值数据(iFinD）'!$B$5:$Y$1000,$B$81,MATCH($A57,'实盘净值数据(iFinD）'!$B$3:$Y$3,0))/INDEX('实盘净值数据(iFinD）'!$B$5:$Y$1000,MATCH(J$84,'实盘净值数据(iFinD）'!$A$5:$A$1000,0),MATCH($A57,'实盘净值数据(iFinD）'!$B$3:$Y$3,0))/J$85,J93)</f>
        <v>1.2454952895101712E-2</v>
      </c>
      <c r="K57" s="55">
        <f ca="1">IFERROR(INDEX(分期持仓明细!$B$5:$Y$200,K$82-4,MATCH(LEFT($A57,6),分期持仓明细!$B$3:$Y$3,0))*INDEX('实盘净值数据(iFinD）'!$B$5:$Y$1000,$B$81,MATCH($A57,'实盘净值数据(iFinD）'!$B$3:$Y$3,0))/INDEX('实盘净值数据(iFinD）'!$B$5:$Y$1000,MATCH(K$84,'实盘净值数据(iFinD）'!$A$5:$A$1000,0),MATCH($A57,'实盘净值数据(iFinD）'!$B$3:$Y$3,0))/K$85,K93)</f>
        <v>0</v>
      </c>
      <c r="L57" s="55">
        <f ca="1">IFERROR(INDEX(分期持仓明细!$B$5:$Y$200,L$82-4,MATCH(LEFT($A57,6),分期持仓明细!$B$3:$Y$3,0))*INDEX('实盘净值数据(iFinD）'!$B$5:$Y$1000,$B$81,MATCH($A57,'实盘净值数据(iFinD）'!$B$3:$Y$3,0))/INDEX('实盘净值数据(iFinD）'!$B$5:$Y$1000,MATCH(L$84,'实盘净值数据(iFinD）'!$A$5:$A$1000,0),MATCH($A57,'实盘净值数据(iFinD）'!$B$3:$Y$3,0))/L$85,L93)</f>
        <v>3.7183856724772209E-2</v>
      </c>
      <c r="M57" t="str">
        <f ca="1">IF(G57&gt;0,COUNTIF(G$53:G57,"&gt;0"),"")</f>
        <v/>
      </c>
      <c r="N57" t="str">
        <f ca="1">IF(H57&gt;0,COUNTIF(H$53:H57,"&gt;0"),"")</f>
        <v/>
      </c>
      <c r="O57" t="str">
        <f ca="1">IF(I57&gt;0,COUNTIF(I$53:I57,"&gt;0"),"")</f>
        <v/>
      </c>
      <c r="P57">
        <f ca="1">IF(J57&gt;0,COUNTIF(J$53:J57,"&gt;0"),"")</f>
        <v>3</v>
      </c>
      <c r="Q57" t="str">
        <f ca="1">IF(K57&gt;0,COUNTIF(K$53:K57,"&gt;0"),"")</f>
        <v/>
      </c>
      <c r="R57">
        <f ca="1">IF(L57&gt;0,COUNTIF(L$53:L57,"&gt;0"),"")</f>
        <v>3</v>
      </c>
    </row>
    <row r="58" spans="1:18" ht="13">
      <c r="A58" s="54" t="s">
        <v>34</v>
      </c>
      <c r="B58" s="52" t="s">
        <v>249</v>
      </c>
      <c r="C58" s="54" t="s">
        <v>241</v>
      </c>
      <c r="D58" s="54" t="s">
        <v>229</v>
      </c>
      <c r="E58" s="54" t="s">
        <v>250</v>
      </c>
      <c r="F58" s="54" t="s">
        <v>243</v>
      </c>
      <c r="G58" s="55">
        <f ca="1">IFERROR(INDEX(分期持仓明细!$B$5:$Y$200,G$82-4,MATCH(LEFT($A58,6),分期持仓明细!$B$3:$Y$3,0))*INDEX('实盘净值数据(iFinD）'!$B$5:$Y$1000,$B$81,MATCH($A58,'实盘净值数据(iFinD）'!$B$3:$Y$3,0))/INDEX('实盘净值数据(iFinD）'!$B$5:$Y$1000,MATCH(G$84,'实盘净值数据(iFinD）'!$A$5:$A$1000,0),MATCH($A58,'实盘净值数据(iFinD）'!$B$3:$Y$3,0))/G$85,G94)</f>
        <v>0</v>
      </c>
      <c r="H58" s="55">
        <f ca="1">IFERROR(INDEX(分期持仓明细!$B$5:$Y$200,H$82-4,MATCH(LEFT($A58,6),分期持仓明细!$B$3:$Y$3,0))*INDEX('实盘净值数据(iFinD）'!$B$5:$Y$1000,$B$81,MATCH($A58,'实盘净值数据(iFinD）'!$B$3:$Y$3,0))/INDEX('实盘净值数据(iFinD）'!$B$5:$Y$1000,MATCH(H$84,'实盘净值数据(iFinD）'!$A$5:$A$1000,0),MATCH($A58,'实盘净值数据(iFinD）'!$B$3:$Y$3,0))/H$85,H94)</f>
        <v>0</v>
      </c>
      <c r="I58" s="55">
        <f ca="1">IFERROR(INDEX(分期持仓明细!$B$5:$Y$200,I$82-4,MATCH(LEFT($A58,6),分期持仓明细!$B$3:$Y$3,0))*INDEX('实盘净值数据(iFinD）'!$B$5:$Y$1000,$B$81,MATCH($A58,'实盘净值数据(iFinD）'!$B$3:$Y$3,0))/INDEX('实盘净值数据(iFinD）'!$B$5:$Y$1000,MATCH(I$84,'实盘净值数据(iFinD）'!$A$5:$A$1000,0),MATCH($A58,'实盘净值数据(iFinD）'!$B$3:$Y$3,0))/I$85,I94)</f>
        <v>0</v>
      </c>
      <c r="J58" s="55">
        <f ca="1">IFERROR(INDEX(分期持仓明细!$B$5:$Y$200,J$82-4,MATCH(LEFT($A58,6),分期持仓明细!$B$3:$Y$3,0))*INDEX('实盘净值数据(iFinD）'!$B$5:$Y$1000,$B$81,MATCH($A58,'实盘净值数据(iFinD）'!$B$3:$Y$3,0))/INDEX('实盘净值数据(iFinD）'!$B$5:$Y$1000,MATCH(J$84,'实盘净值数据(iFinD）'!$A$5:$A$1000,0),MATCH($A58,'实盘净值数据(iFinD）'!$B$3:$Y$3,0))/J$85,J94)</f>
        <v>0</v>
      </c>
      <c r="K58" s="55">
        <f ca="1">IFERROR(INDEX(分期持仓明细!$B$5:$Y$200,K$82-4,MATCH(LEFT($A58,6),分期持仓明细!$B$3:$Y$3,0))*INDEX('实盘净值数据(iFinD）'!$B$5:$Y$1000,$B$81,MATCH($A58,'实盘净值数据(iFinD）'!$B$3:$Y$3,0))/INDEX('实盘净值数据(iFinD）'!$B$5:$Y$1000,MATCH(K$84,'实盘净值数据(iFinD）'!$A$5:$A$1000,0),MATCH($A58,'实盘净值数据(iFinD）'!$B$3:$Y$3,0))/K$85,K94)</f>
        <v>0</v>
      </c>
      <c r="L58" s="55">
        <f ca="1">IFERROR(INDEX(分期持仓明细!$B$5:$Y$200,L$82-4,MATCH(LEFT($A58,6),分期持仓明细!$B$3:$Y$3,0))*INDEX('实盘净值数据(iFinD）'!$B$5:$Y$1000,$B$81,MATCH($A58,'实盘净值数据(iFinD）'!$B$3:$Y$3,0))/INDEX('实盘净值数据(iFinD）'!$B$5:$Y$1000,MATCH(L$84,'实盘净值数据(iFinD）'!$A$5:$A$1000,0),MATCH($A58,'实盘净值数据(iFinD）'!$B$3:$Y$3,0))/L$85,L94)</f>
        <v>0</v>
      </c>
      <c r="M58" t="str">
        <f ca="1">IF(G58&gt;0,COUNTIF(G$53:G58,"&gt;0"),"")</f>
        <v/>
      </c>
      <c r="N58" t="str">
        <f ca="1">IF(H58&gt;0,COUNTIF(H$53:H58,"&gt;0"),"")</f>
        <v/>
      </c>
      <c r="O58" t="str">
        <f ca="1">IF(I58&gt;0,COUNTIF(I$53:I58,"&gt;0"),"")</f>
        <v/>
      </c>
      <c r="P58" t="str">
        <f ca="1">IF(J58&gt;0,COUNTIF(J$53:J58,"&gt;0"),"")</f>
        <v/>
      </c>
      <c r="Q58" t="str">
        <f ca="1">IF(K58&gt;0,COUNTIF(K$53:K58,"&gt;0"),"")</f>
        <v/>
      </c>
      <c r="R58" t="str">
        <f ca="1">IF(L58&gt;0,COUNTIF(L$53:L58,"&gt;0"),"")</f>
        <v/>
      </c>
    </row>
    <row r="59" spans="1:18" ht="13">
      <c r="A59" s="54" t="s">
        <v>35</v>
      </c>
      <c r="B59" s="52" t="s">
        <v>251</v>
      </c>
      <c r="C59" s="54" t="s">
        <v>241</v>
      </c>
      <c r="D59" s="54" t="s">
        <v>229</v>
      </c>
      <c r="E59" s="54" t="s">
        <v>250</v>
      </c>
      <c r="F59" s="54" t="s">
        <v>248</v>
      </c>
      <c r="G59" s="55">
        <f ca="1">IFERROR(INDEX(分期持仓明细!$B$5:$Y$200,G$82-4,MATCH(LEFT($A59,6),分期持仓明细!$B$3:$Y$3,0))*INDEX('实盘净值数据(iFinD）'!$B$5:$Y$1000,$B$81,MATCH($A59,'实盘净值数据(iFinD）'!$B$3:$Y$3,0))/INDEX('实盘净值数据(iFinD）'!$B$5:$Y$1000,MATCH(G$84,'实盘净值数据(iFinD）'!$A$5:$A$1000,0),MATCH($A59,'实盘净值数据(iFinD）'!$B$3:$Y$3,0))/G$85,G95)</f>
        <v>0</v>
      </c>
      <c r="H59" s="55">
        <f ca="1">IFERROR(INDEX(分期持仓明细!$B$5:$Y$200,H$82-4,MATCH(LEFT($A59,6),分期持仓明细!$B$3:$Y$3,0))*INDEX('实盘净值数据(iFinD）'!$B$5:$Y$1000,$B$81,MATCH($A59,'实盘净值数据(iFinD）'!$B$3:$Y$3,0))/INDEX('实盘净值数据(iFinD）'!$B$5:$Y$1000,MATCH(H$84,'实盘净值数据(iFinD）'!$A$5:$A$1000,0),MATCH($A59,'实盘净值数据(iFinD）'!$B$3:$Y$3,0))/H$85,H95)</f>
        <v>0</v>
      </c>
      <c r="I59" s="55">
        <f ca="1">IFERROR(INDEX(分期持仓明细!$B$5:$Y$200,I$82-4,MATCH(LEFT($A59,6),分期持仓明细!$B$3:$Y$3,0))*INDEX('实盘净值数据(iFinD）'!$B$5:$Y$1000,$B$81,MATCH($A59,'实盘净值数据(iFinD）'!$B$3:$Y$3,0))/INDEX('实盘净值数据(iFinD）'!$B$5:$Y$1000,MATCH(I$84,'实盘净值数据(iFinD）'!$A$5:$A$1000,0),MATCH($A59,'实盘净值数据(iFinD）'!$B$3:$Y$3,0))/I$85,I95)</f>
        <v>0</v>
      </c>
      <c r="J59" s="55">
        <f ca="1">IFERROR(INDEX(分期持仓明细!$B$5:$Y$200,J$82-4,MATCH(LEFT($A59,6),分期持仓明细!$B$3:$Y$3,0))*INDEX('实盘净值数据(iFinD）'!$B$5:$Y$1000,$B$81,MATCH($A59,'实盘净值数据(iFinD）'!$B$3:$Y$3,0))/INDEX('实盘净值数据(iFinD）'!$B$5:$Y$1000,MATCH(J$84,'实盘净值数据(iFinD）'!$A$5:$A$1000,0),MATCH($A59,'实盘净值数据(iFinD）'!$B$3:$Y$3,0))/J$85,J95)</f>
        <v>0</v>
      </c>
      <c r="K59" s="55">
        <f ca="1">IFERROR(INDEX(分期持仓明细!$B$5:$Y$200,K$82-4,MATCH(LEFT($A59,6),分期持仓明细!$B$3:$Y$3,0))*INDEX('实盘净值数据(iFinD）'!$B$5:$Y$1000,$B$81,MATCH($A59,'实盘净值数据(iFinD）'!$B$3:$Y$3,0))/INDEX('实盘净值数据(iFinD）'!$B$5:$Y$1000,MATCH(K$84,'实盘净值数据(iFinD）'!$A$5:$A$1000,0),MATCH($A59,'实盘净值数据(iFinD）'!$B$3:$Y$3,0))/K$85,K95)</f>
        <v>0</v>
      </c>
      <c r="L59" s="55">
        <f ca="1">IFERROR(INDEX(分期持仓明细!$B$5:$Y$200,L$82-4,MATCH(LEFT($A59,6),分期持仓明细!$B$3:$Y$3,0))*INDEX('实盘净值数据(iFinD）'!$B$5:$Y$1000,$B$81,MATCH($A59,'实盘净值数据(iFinD）'!$B$3:$Y$3,0))/INDEX('实盘净值数据(iFinD）'!$B$5:$Y$1000,MATCH(L$84,'实盘净值数据(iFinD）'!$A$5:$A$1000,0),MATCH($A59,'实盘净值数据(iFinD）'!$B$3:$Y$3,0))/L$85,L95)</f>
        <v>0</v>
      </c>
      <c r="M59" t="str">
        <f ca="1">IF(G59&gt;0,COUNTIF(G$53:G59,"&gt;0"),"")</f>
        <v/>
      </c>
      <c r="N59" t="str">
        <f ca="1">IF(H59&gt;0,COUNTIF(H$53:H59,"&gt;0"),"")</f>
        <v/>
      </c>
      <c r="O59" t="str">
        <f ca="1">IF(I59&gt;0,COUNTIF(I$53:I59,"&gt;0"),"")</f>
        <v/>
      </c>
      <c r="P59" t="str">
        <f ca="1">IF(J59&gt;0,COUNTIF(J$53:J59,"&gt;0"),"")</f>
        <v/>
      </c>
      <c r="Q59" t="str">
        <f ca="1">IF(K59&gt;0,COUNTIF(K$53:K59,"&gt;0"),"")</f>
        <v/>
      </c>
      <c r="R59" t="str">
        <f ca="1">IF(L59&gt;0,COUNTIF(L$53:L59,"&gt;0"),"")</f>
        <v/>
      </c>
    </row>
    <row r="60" spans="1:18" ht="13">
      <c r="A60" s="54" t="s">
        <v>36</v>
      </c>
      <c r="B60" s="52" t="s">
        <v>9</v>
      </c>
      <c r="C60" s="54" t="s">
        <v>241</v>
      </c>
      <c r="D60" s="54" t="s">
        <v>229</v>
      </c>
      <c r="E60" s="54" t="s">
        <v>242</v>
      </c>
      <c r="F60" s="54" t="s">
        <v>239</v>
      </c>
      <c r="G60" s="55">
        <f ca="1">IFERROR(INDEX(分期持仓明细!$B$5:$Y$200,G$82-4,MATCH(LEFT($A60,6),分期持仓明细!$B$3:$Y$3,0))*INDEX('实盘净值数据(iFinD）'!$B$5:$Y$1000,$B$81,MATCH($A60,'实盘净值数据(iFinD）'!$B$3:$Y$3,0))/INDEX('实盘净值数据(iFinD）'!$B$5:$Y$1000,MATCH(G$84,'实盘净值数据(iFinD）'!$A$5:$A$1000,0),MATCH($A60,'实盘净值数据(iFinD）'!$B$3:$Y$3,0))/G$85,G96)</f>
        <v>0</v>
      </c>
      <c r="H60" s="55">
        <f ca="1">IFERROR(INDEX(分期持仓明细!$B$5:$Y$200,H$82-4,MATCH(LEFT($A60,6),分期持仓明细!$B$3:$Y$3,0))*INDEX('实盘净值数据(iFinD）'!$B$5:$Y$1000,$B$81,MATCH($A60,'实盘净值数据(iFinD）'!$B$3:$Y$3,0))/INDEX('实盘净值数据(iFinD）'!$B$5:$Y$1000,MATCH(H$84,'实盘净值数据(iFinD）'!$A$5:$A$1000,0),MATCH($A60,'实盘净值数据(iFinD）'!$B$3:$Y$3,0))/H$85,H96)</f>
        <v>0</v>
      </c>
      <c r="I60" s="55">
        <f ca="1">IFERROR(INDEX(分期持仓明细!$B$5:$Y$200,I$82-4,MATCH(LEFT($A60,6),分期持仓明细!$B$3:$Y$3,0))*INDEX('实盘净值数据(iFinD）'!$B$5:$Y$1000,$B$81,MATCH($A60,'实盘净值数据(iFinD）'!$B$3:$Y$3,0))/INDEX('实盘净值数据(iFinD）'!$B$5:$Y$1000,MATCH(I$84,'实盘净值数据(iFinD）'!$A$5:$A$1000,0),MATCH($A60,'实盘净值数据(iFinD）'!$B$3:$Y$3,0))/I$85,I96)</f>
        <v>0.18241829548000416</v>
      </c>
      <c r="J60" s="55">
        <f ca="1">IFERROR(INDEX(分期持仓明细!$B$5:$Y$200,J$82-4,MATCH(LEFT($A60,6),分期持仓明细!$B$3:$Y$3,0))*INDEX('实盘净值数据(iFinD）'!$B$5:$Y$1000,$B$81,MATCH($A60,'实盘净值数据(iFinD）'!$B$3:$Y$3,0))/INDEX('实盘净值数据(iFinD）'!$B$5:$Y$1000,MATCH(J$84,'实盘净值数据(iFinD）'!$A$5:$A$1000,0),MATCH($A60,'实盘净值数据(iFinD）'!$B$3:$Y$3,0))/J$85,J96)</f>
        <v>1.0208193675624259E-2</v>
      </c>
      <c r="K60" s="55">
        <f ca="1">IFERROR(INDEX(分期持仓明细!$B$5:$Y$200,K$82-4,MATCH(LEFT($A60,6),分期持仓明细!$B$3:$Y$3,0))*INDEX('实盘净值数据(iFinD）'!$B$5:$Y$1000,$B$81,MATCH($A60,'实盘净值数据(iFinD）'!$B$3:$Y$3,0))/INDEX('实盘净值数据(iFinD）'!$B$5:$Y$1000,MATCH(K$84,'实盘净值数据(iFinD）'!$A$5:$A$1000,0),MATCH($A60,'实盘净值数据(iFinD）'!$B$3:$Y$3,0))/K$85,K96)</f>
        <v>0</v>
      </c>
      <c r="L60" s="55">
        <f ca="1">IFERROR(INDEX(分期持仓明细!$B$5:$Y$200,L$82-4,MATCH(LEFT($A60,6),分期持仓明细!$B$3:$Y$3,0))*INDEX('实盘净值数据(iFinD）'!$B$5:$Y$1000,$B$81,MATCH($A60,'实盘净值数据(iFinD）'!$B$3:$Y$3,0))/INDEX('实盘净值数据(iFinD）'!$B$5:$Y$1000,MATCH(L$84,'实盘净值数据(iFinD）'!$A$5:$A$1000,0),MATCH($A60,'实盘净值数据(iFinD）'!$B$3:$Y$3,0))/L$85,L96)</f>
        <v>3.0476230159201943E-2</v>
      </c>
      <c r="M60" t="str">
        <f ca="1">IF(G60&gt;0,COUNTIF(G$53:G60,"&gt;0"),"")</f>
        <v/>
      </c>
      <c r="N60" t="str">
        <f ca="1">IF(H60&gt;0,COUNTIF(H$53:H60,"&gt;0"),"")</f>
        <v/>
      </c>
      <c r="O60">
        <f ca="1">IF(I60&gt;0,COUNTIF(I$53:I60,"&gt;0"),"")</f>
        <v>2</v>
      </c>
      <c r="P60">
        <f ca="1">IF(J60&gt;0,COUNTIF(J$53:J60,"&gt;0"),"")</f>
        <v>4</v>
      </c>
      <c r="Q60" t="str">
        <f ca="1">IF(K60&gt;0,COUNTIF(K$53:K60,"&gt;0"),"")</f>
        <v/>
      </c>
      <c r="R60">
        <f ca="1">IF(L60&gt;0,COUNTIF(L$53:L60,"&gt;0"),"")</f>
        <v>4</v>
      </c>
    </row>
    <row r="61" spans="1:18" ht="13">
      <c r="A61" s="54" t="s">
        <v>37</v>
      </c>
      <c r="B61" s="52" t="s">
        <v>252</v>
      </c>
      <c r="C61" s="54" t="s">
        <v>241</v>
      </c>
      <c r="D61" s="54" t="s">
        <v>229</v>
      </c>
      <c r="E61" s="54" t="s">
        <v>242</v>
      </c>
      <c r="F61" s="54" t="s">
        <v>243</v>
      </c>
      <c r="G61" s="55">
        <f ca="1">IFERROR(INDEX(分期持仓明细!$B$5:$Y$200,G$82-4,MATCH(LEFT($A61,6),分期持仓明细!$B$3:$Y$3,0))*INDEX('实盘净值数据(iFinD）'!$B$5:$Y$1000,$B$81,MATCH($A61,'实盘净值数据(iFinD）'!$B$3:$Y$3,0))/INDEX('实盘净值数据(iFinD）'!$B$5:$Y$1000,MATCH(G$84,'实盘净值数据(iFinD）'!$A$5:$A$1000,0),MATCH($A61,'实盘净值数据(iFinD）'!$B$3:$Y$3,0))/G$85,G97)</f>
        <v>0.22850885598707532</v>
      </c>
      <c r="H61" s="55">
        <f ca="1">IFERROR(INDEX(分期持仓明细!$B$5:$Y$200,H$82-4,MATCH(LEFT($A61,6),分期持仓明细!$B$3:$Y$3,0))*INDEX('实盘净值数据(iFinD）'!$B$5:$Y$1000,$B$81,MATCH($A61,'实盘净值数据(iFinD）'!$B$3:$Y$3,0))/INDEX('实盘净值数据(iFinD）'!$B$5:$Y$1000,MATCH(H$84,'实盘净值数据(iFinD）'!$A$5:$A$1000,0),MATCH($A61,'实盘净值数据(iFinD）'!$B$3:$Y$3,0))/H$85,H97)</f>
        <v>0.22686937672232452</v>
      </c>
      <c r="I61" s="55">
        <f ca="1">IFERROR(INDEX(分期持仓明细!$B$5:$Y$200,I$82-4,MATCH(LEFT($A61,6),分期持仓明细!$B$3:$Y$3,0))*INDEX('实盘净值数据(iFinD）'!$B$5:$Y$1000,$B$81,MATCH($A61,'实盘净值数据(iFinD）'!$B$3:$Y$3,0))/INDEX('实盘净值数据(iFinD）'!$B$5:$Y$1000,MATCH(I$84,'实盘净值数据(iFinD）'!$A$5:$A$1000,0),MATCH($A61,'实盘净值数据(iFinD）'!$B$3:$Y$3,0))/I$85,I97)</f>
        <v>0</v>
      </c>
      <c r="J61" s="55">
        <f ca="1">IFERROR(INDEX(分期持仓明细!$B$5:$Y$200,J$82-4,MATCH(LEFT($A61,6),分期持仓明细!$B$3:$Y$3,0))*INDEX('实盘净值数据(iFinD）'!$B$5:$Y$1000,$B$81,MATCH($A61,'实盘净值数据(iFinD）'!$B$3:$Y$3,0))/INDEX('实盘净值数据(iFinD）'!$B$5:$Y$1000,MATCH(J$84,'实盘净值数据(iFinD）'!$A$5:$A$1000,0),MATCH($A61,'实盘净值数据(iFinD）'!$B$3:$Y$3,0))/J$85,J97)</f>
        <v>0</v>
      </c>
      <c r="K61" s="55">
        <f ca="1">IFERROR(INDEX(分期持仓明细!$B$5:$Y$200,K$82-4,MATCH(LEFT($A61,6),分期持仓明细!$B$3:$Y$3,0))*INDEX('实盘净值数据(iFinD）'!$B$5:$Y$1000,$B$81,MATCH($A61,'实盘净值数据(iFinD）'!$B$3:$Y$3,0))/INDEX('实盘净值数据(iFinD）'!$B$5:$Y$1000,MATCH(K$84,'实盘净值数据(iFinD）'!$A$5:$A$1000,0),MATCH($A61,'实盘净值数据(iFinD）'!$B$3:$Y$3,0))/K$85,K97)</f>
        <v>1.0648734350821042E-2</v>
      </c>
      <c r="L61" s="55">
        <f ca="1">IFERROR(INDEX(分期持仓明细!$B$5:$Y$200,L$82-4,MATCH(LEFT($A61,6),分期持仓明细!$B$3:$Y$3,0))*INDEX('实盘净值数据(iFinD）'!$B$5:$Y$1000,$B$81,MATCH($A61,'实盘净值数据(iFinD）'!$B$3:$Y$3,0))/INDEX('实盘净值数据(iFinD）'!$B$5:$Y$1000,MATCH(L$84,'实盘净值数据(iFinD）'!$A$5:$A$1000,0),MATCH($A61,'实盘净值数据(iFinD）'!$B$3:$Y$3,0))/L$85,L97)</f>
        <v>0</v>
      </c>
      <c r="M61">
        <f ca="1">IF(G61&gt;0,COUNTIF(G$53:G61,"&gt;0"),"")</f>
        <v>3</v>
      </c>
      <c r="N61">
        <f ca="1">IF(H61&gt;0,COUNTIF(H$53:H61,"&gt;0"),"")</f>
        <v>3</v>
      </c>
      <c r="O61" t="str">
        <f ca="1">IF(I61&gt;0,COUNTIF(I$53:I61,"&gt;0"),"")</f>
        <v/>
      </c>
      <c r="P61" t="str">
        <f ca="1">IF(J61&gt;0,COUNTIF(J$53:J61,"&gt;0"),"")</f>
        <v/>
      </c>
      <c r="Q61">
        <f ca="1">IF(K61&gt;0,COUNTIF(K$53:K61,"&gt;0"),"")</f>
        <v>5</v>
      </c>
      <c r="R61" t="str">
        <f ca="1">IF(L61&gt;0,COUNTIF(L$53:L61,"&gt;0"),"")</f>
        <v/>
      </c>
    </row>
    <row r="62" spans="1:18" ht="13">
      <c r="A62" s="54" t="s">
        <v>38</v>
      </c>
      <c r="B62" s="52" t="s">
        <v>253</v>
      </c>
      <c r="C62" s="54" t="s">
        <v>241</v>
      </c>
      <c r="D62" s="54" t="s">
        <v>229</v>
      </c>
      <c r="E62" s="54" t="s">
        <v>242</v>
      </c>
      <c r="F62" s="54" t="s">
        <v>248</v>
      </c>
      <c r="G62" s="55">
        <f ca="1">IFERROR(INDEX(分期持仓明细!$B$5:$Y$200,G$82-4,MATCH(LEFT($A62,6),分期持仓明细!$B$3:$Y$3,0))*INDEX('实盘净值数据(iFinD）'!$B$5:$Y$1000,$B$81,MATCH($A62,'实盘净值数据(iFinD）'!$B$3:$Y$3,0))/INDEX('实盘净值数据(iFinD）'!$B$5:$Y$1000,MATCH(G$84,'实盘净值数据(iFinD）'!$A$5:$A$1000,0),MATCH($A62,'实盘净值数据(iFinD）'!$B$3:$Y$3,0))/G$85,G98)</f>
        <v>0</v>
      </c>
      <c r="H62" s="55">
        <f ca="1">IFERROR(INDEX(分期持仓明细!$B$5:$Y$200,H$82-4,MATCH(LEFT($A62,6),分期持仓明细!$B$3:$Y$3,0))*INDEX('实盘净值数据(iFinD）'!$B$5:$Y$1000,$B$81,MATCH($A62,'实盘净值数据(iFinD）'!$B$3:$Y$3,0))/INDEX('实盘净值数据(iFinD）'!$B$5:$Y$1000,MATCH(H$84,'实盘净值数据(iFinD）'!$A$5:$A$1000,0),MATCH($A62,'实盘净值数据(iFinD）'!$B$3:$Y$3,0))/H$85,H98)</f>
        <v>0</v>
      </c>
      <c r="I62" s="55">
        <f ca="1">IFERROR(INDEX(分期持仓明细!$B$5:$Y$200,I$82-4,MATCH(LEFT($A62,6),分期持仓明细!$B$3:$Y$3,0))*INDEX('实盘净值数据(iFinD）'!$B$5:$Y$1000,$B$81,MATCH($A62,'实盘净值数据(iFinD）'!$B$3:$Y$3,0))/INDEX('实盘净值数据(iFinD）'!$B$5:$Y$1000,MATCH(I$84,'实盘净值数据(iFinD）'!$A$5:$A$1000,0),MATCH($A62,'实盘净值数据(iFinD）'!$B$3:$Y$3,0))/I$85,I98)</f>
        <v>0.22325300845298773</v>
      </c>
      <c r="J62" s="55">
        <f ca="1">IFERROR(INDEX(分期持仓明细!$B$5:$Y$200,J$82-4,MATCH(LEFT($A62,6),分期持仓明细!$B$3:$Y$3,0))*INDEX('实盘净值数据(iFinD）'!$B$5:$Y$1000,$B$81,MATCH($A62,'实盘净值数据(iFinD）'!$B$3:$Y$3,0))/INDEX('实盘净值数据(iFinD）'!$B$5:$Y$1000,MATCH(J$84,'实盘净值数据(iFinD）'!$A$5:$A$1000,0),MATCH($A62,'实盘净值数据(iFinD）'!$B$3:$Y$3,0))/J$85,J98)</f>
        <v>7.9882760376892899E-3</v>
      </c>
      <c r="K62" s="55">
        <f ca="1">IFERROR(INDEX(分期持仓明细!$B$5:$Y$200,K$82-4,MATCH(LEFT($A62,6),分期持仓明细!$B$3:$Y$3,0))*INDEX('实盘净值数据(iFinD）'!$B$5:$Y$1000,$B$81,MATCH($A62,'实盘净值数据(iFinD）'!$B$3:$Y$3,0))/INDEX('实盘净值数据(iFinD）'!$B$5:$Y$1000,MATCH(K$84,'实盘净值数据(iFinD）'!$A$5:$A$1000,0),MATCH($A62,'实盘净值数据(iFinD）'!$B$3:$Y$3,0))/K$85,K98)</f>
        <v>0</v>
      </c>
      <c r="L62" s="55">
        <f ca="1">IFERROR(INDEX(分期持仓明细!$B$5:$Y$200,L$82-4,MATCH(LEFT($A62,6),分期持仓明细!$B$3:$Y$3,0))*INDEX('实盘净值数据(iFinD）'!$B$5:$Y$1000,$B$81,MATCH($A62,'实盘净值数据(iFinD）'!$B$3:$Y$3,0))/INDEX('实盘净值数据(iFinD）'!$B$5:$Y$1000,MATCH(L$84,'实盘净值数据(iFinD）'!$A$5:$A$1000,0),MATCH($A62,'实盘净值数据(iFinD）'!$B$3:$Y$3,0))/L$85,L98)</f>
        <v>2.6498598069116364E-2</v>
      </c>
      <c r="M62" t="str">
        <f ca="1">IF(G62&gt;0,COUNTIF(G$53:G62,"&gt;0"),"")</f>
        <v/>
      </c>
      <c r="N62" t="str">
        <f ca="1">IF(H62&gt;0,COUNTIF(H$53:H62,"&gt;0"),"")</f>
        <v/>
      </c>
      <c r="O62">
        <f ca="1">IF(I62&gt;0,COUNTIF(I$53:I62,"&gt;0"),"")</f>
        <v>3</v>
      </c>
      <c r="P62">
        <f ca="1">IF(J62&gt;0,COUNTIF(J$53:J62,"&gt;0"),"")</f>
        <v>5</v>
      </c>
      <c r="Q62" t="str">
        <f ca="1">IF(K62&gt;0,COUNTIF(K$53:K62,"&gt;0"),"")</f>
        <v/>
      </c>
      <c r="R62">
        <f ca="1">IF(L62&gt;0,COUNTIF(L$53:L62,"&gt;0"),"")</f>
        <v>5</v>
      </c>
    </row>
    <row r="63" spans="1:18" ht="13">
      <c r="A63" s="54" t="s">
        <v>39</v>
      </c>
      <c r="B63" s="52" t="s">
        <v>254</v>
      </c>
      <c r="C63" s="54" t="s">
        <v>241</v>
      </c>
      <c r="D63" s="54" t="s">
        <v>245</v>
      </c>
      <c r="E63" s="54" t="s">
        <v>245</v>
      </c>
      <c r="F63" s="54" t="s">
        <v>246</v>
      </c>
      <c r="G63" s="55">
        <f ca="1">IFERROR(INDEX(分期持仓明细!$B$5:$Y$200,G$82-4,MATCH(LEFT($A63,6),分期持仓明细!$B$3:$Y$3,0))*INDEX('实盘净值数据(iFinD）'!$B$5:$Y$1000,$B$81,MATCH($A63,'实盘净值数据(iFinD）'!$B$3:$Y$3,0))/INDEX('实盘净值数据(iFinD）'!$B$5:$Y$1000,MATCH(G$84,'实盘净值数据(iFinD）'!$A$5:$A$1000,0),MATCH($A63,'实盘净值数据(iFinD）'!$B$3:$Y$3,0))/G$85,G99)</f>
        <v>0</v>
      </c>
      <c r="H63" s="55">
        <f ca="1">IFERROR(INDEX(分期持仓明细!$B$5:$Y$200,H$82-4,MATCH(LEFT($A63,6),分期持仓明细!$B$3:$Y$3,0))*INDEX('实盘净值数据(iFinD）'!$B$5:$Y$1000,$B$81,MATCH($A63,'实盘净值数据(iFinD）'!$B$3:$Y$3,0))/INDEX('实盘净值数据(iFinD）'!$B$5:$Y$1000,MATCH(H$84,'实盘净值数据(iFinD）'!$A$5:$A$1000,0),MATCH($A63,'实盘净值数据(iFinD）'!$B$3:$Y$3,0))/H$85,H99)</f>
        <v>0</v>
      </c>
      <c r="I63" s="55">
        <f ca="1">IFERROR(INDEX(分期持仓明细!$B$5:$Y$200,I$82-4,MATCH(LEFT($A63,6),分期持仓明细!$B$3:$Y$3,0))*INDEX('实盘净值数据(iFinD）'!$B$5:$Y$1000,$B$81,MATCH($A63,'实盘净值数据(iFinD）'!$B$3:$Y$3,0))/INDEX('实盘净值数据(iFinD）'!$B$5:$Y$1000,MATCH(I$84,'实盘净值数据(iFinD）'!$A$5:$A$1000,0),MATCH($A63,'实盘净值数据(iFinD）'!$B$3:$Y$3,0))/I$85,I99)</f>
        <v>0</v>
      </c>
      <c r="J63" s="55">
        <f ca="1">IFERROR(INDEX(分期持仓明细!$B$5:$Y$200,J$82-4,MATCH(LEFT($A63,6),分期持仓明细!$B$3:$Y$3,0))*INDEX('实盘净值数据(iFinD）'!$B$5:$Y$1000,$B$81,MATCH($A63,'实盘净值数据(iFinD）'!$B$3:$Y$3,0))/INDEX('实盘净值数据(iFinD）'!$B$5:$Y$1000,MATCH(J$84,'实盘净值数据(iFinD）'!$A$5:$A$1000,0),MATCH($A63,'实盘净值数据(iFinD）'!$B$3:$Y$3,0))/J$85,J99)</f>
        <v>0</v>
      </c>
      <c r="K63" s="55">
        <f ca="1">IFERROR(INDEX(分期持仓明细!$B$5:$Y$200,K$82-4,MATCH(LEFT($A63,6),分期持仓明细!$B$3:$Y$3,0))*INDEX('实盘净值数据(iFinD）'!$B$5:$Y$1000,$B$81,MATCH($A63,'实盘净值数据(iFinD）'!$B$3:$Y$3,0))/INDEX('实盘净值数据(iFinD）'!$B$5:$Y$1000,MATCH(K$84,'实盘净值数据(iFinD）'!$A$5:$A$1000,0),MATCH($A63,'实盘净值数据(iFinD）'!$B$3:$Y$3,0))/K$85,K99)</f>
        <v>1.271450573326293E-2</v>
      </c>
      <c r="L63" s="55">
        <f ca="1">IFERROR(INDEX(分期持仓明细!$B$5:$Y$200,L$82-4,MATCH(LEFT($A63,6),分期持仓明细!$B$3:$Y$3,0))*INDEX('实盘净值数据(iFinD）'!$B$5:$Y$1000,$B$81,MATCH($A63,'实盘净值数据(iFinD）'!$B$3:$Y$3,0))/INDEX('实盘净值数据(iFinD）'!$B$5:$Y$1000,MATCH(L$84,'实盘净值数据(iFinD）'!$A$5:$A$1000,0),MATCH($A63,'实盘净值数据(iFinD）'!$B$3:$Y$3,0))/L$85,L99)</f>
        <v>0</v>
      </c>
      <c r="M63" t="str">
        <f ca="1">IF(G63&gt;0,COUNTIF(G$53:G63,"&gt;0"),"")</f>
        <v/>
      </c>
      <c r="N63" t="str">
        <f ca="1">IF(H63&gt;0,COUNTIF(H$53:H63,"&gt;0"),"")</f>
        <v/>
      </c>
      <c r="O63" t="str">
        <f ca="1">IF(I63&gt;0,COUNTIF(I$53:I63,"&gt;0"),"")</f>
        <v/>
      </c>
      <c r="P63" t="str">
        <f ca="1">IF(J63&gt;0,COUNTIF(J$53:J63,"&gt;0"),"")</f>
        <v/>
      </c>
      <c r="Q63">
        <f ca="1">IF(K63&gt;0,COUNTIF(K$53:K63,"&gt;0"),"")</f>
        <v>6</v>
      </c>
      <c r="R63" t="str">
        <f ca="1">IF(L63&gt;0,COUNTIF(L$53:L63,"&gt;0"),"")</f>
        <v/>
      </c>
    </row>
    <row r="64" spans="1:18" ht="13">
      <c r="A64" s="54" t="s">
        <v>40</v>
      </c>
      <c r="B64" s="52" t="s">
        <v>255</v>
      </c>
      <c r="C64" s="54" t="s">
        <v>241</v>
      </c>
      <c r="D64" s="54" t="s">
        <v>245</v>
      </c>
      <c r="E64" s="54" t="s">
        <v>245</v>
      </c>
      <c r="F64" s="54" t="s">
        <v>248</v>
      </c>
      <c r="G64" s="55">
        <f ca="1">IFERROR(INDEX(分期持仓明细!$B$5:$Y$200,G$82-4,MATCH(LEFT($A64,6),分期持仓明细!$B$3:$Y$3,0))*INDEX('实盘净值数据(iFinD）'!$B$5:$Y$1000,$B$81,MATCH($A64,'实盘净值数据(iFinD）'!$B$3:$Y$3,0))/INDEX('实盘净值数据(iFinD）'!$B$5:$Y$1000,MATCH(G$84,'实盘净值数据(iFinD）'!$A$5:$A$1000,0),MATCH($A64,'实盘净值数据(iFinD）'!$B$3:$Y$3,0))/G$85,G100)</f>
        <v>0</v>
      </c>
      <c r="H64" s="55">
        <f ca="1">IFERROR(INDEX(分期持仓明细!$B$5:$Y$200,H$82-4,MATCH(LEFT($A64,6),分期持仓明细!$B$3:$Y$3,0))*INDEX('实盘净值数据(iFinD）'!$B$5:$Y$1000,$B$81,MATCH($A64,'实盘净值数据(iFinD）'!$B$3:$Y$3,0))/INDEX('实盘净值数据(iFinD）'!$B$5:$Y$1000,MATCH(H$84,'实盘净值数据(iFinD）'!$A$5:$A$1000,0),MATCH($A64,'实盘净值数据(iFinD）'!$B$3:$Y$3,0))/H$85,H100)</f>
        <v>0</v>
      </c>
      <c r="I64" s="55">
        <f ca="1">IFERROR(INDEX(分期持仓明细!$B$5:$Y$200,I$82-4,MATCH(LEFT($A64,6),分期持仓明细!$B$3:$Y$3,0))*INDEX('实盘净值数据(iFinD）'!$B$5:$Y$1000,$B$81,MATCH($A64,'实盘净值数据(iFinD）'!$B$3:$Y$3,0))/INDEX('实盘净值数据(iFinD）'!$B$5:$Y$1000,MATCH(I$84,'实盘净值数据(iFinD）'!$A$5:$A$1000,0),MATCH($A64,'实盘净值数据(iFinD）'!$B$3:$Y$3,0))/I$85,I100)</f>
        <v>0</v>
      </c>
      <c r="J64" s="55">
        <f ca="1">IFERROR(INDEX(分期持仓明细!$B$5:$Y$200,J$82-4,MATCH(LEFT($A64,6),分期持仓明细!$B$3:$Y$3,0))*INDEX('实盘净值数据(iFinD）'!$B$5:$Y$1000,$B$81,MATCH($A64,'实盘净值数据(iFinD）'!$B$3:$Y$3,0))/INDEX('实盘净值数据(iFinD）'!$B$5:$Y$1000,MATCH(J$84,'实盘净值数据(iFinD）'!$A$5:$A$1000,0),MATCH($A64,'实盘净值数据(iFinD）'!$B$3:$Y$3,0))/J$85,J100)</f>
        <v>1.2716789224305252E-2</v>
      </c>
      <c r="K64" s="55">
        <f ca="1">IFERROR(INDEX(分期持仓明细!$B$5:$Y$200,K$82-4,MATCH(LEFT($A64,6),分期持仓明细!$B$3:$Y$3,0))*INDEX('实盘净值数据(iFinD）'!$B$5:$Y$1000,$B$81,MATCH($A64,'实盘净值数据(iFinD）'!$B$3:$Y$3,0))/INDEX('实盘净值数据(iFinD）'!$B$5:$Y$1000,MATCH(K$84,'实盘净值数据(iFinD）'!$A$5:$A$1000,0),MATCH($A64,'实盘净值数据(iFinD）'!$B$3:$Y$3,0))/K$85,K100)</f>
        <v>0</v>
      </c>
      <c r="L64" s="55">
        <f ca="1">IFERROR(INDEX(分期持仓明细!$B$5:$Y$200,L$82-4,MATCH(LEFT($A64,6),分期持仓明细!$B$3:$Y$3,0))*INDEX('实盘净值数据(iFinD）'!$B$5:$Y$1000,$B$81,MATCH($A64,'实盘净值数据(iFinD）'!$B$3:$Y$3,0))/INDEX('实盘净值数据(iFinD）'!$B$5:$Y$1000,MATCH(L$84,'实盘净值数据(iFinD）'!$A$5:$A$1000,0),MATCH($A64,'实盘净值数据(iFinD）'!$B$3:$Y$3,0))/L$85,L100)</f>
        <v>3.7965560568411293E-2</v>
      </c>
      <c r="M64" t="str">
        <f ca="1">IF(G64&gt;0,COUNTIF(G$53:G64,"&gt;0"),"")</f>
        <v/>
      </c>
      <c r="N64" t="str">
        <f ca="1">IF(H64&gt;0,COUNTIF(H$53:H64,"&gt;0"),"")</f>
        <v/>
      </c>
      <c r="O64" t="str">
        <f ca="1">IF(I64&gt;0,COUNTIF(I$53:I64,"&gt;0"),"")</f>
        <v/>
      </c>
      <c r="P64">
        <f ca="1">IF(J64&gt;0,COUNTIF(J$53:J64,"&gt;0"),"")</f>
        <v>6</v>
      </c>
      <c r="Q64" t="str">
        <f ca="1">IF(K64&gt;0,COUNTIF(K$53:K64,"&gt;0"),"")</f>
        <v/>
      </c>
      <c r="R64">
        <f ca="1">IF(L64&gt;0,COUNTIF(L$53:L64,"&gt;0"),"")</f>
        <v>6</v>
      </c>
    </row>
    <row r="65" spans="1:18" ht="13">
      <c r="A65" s="54" t="s">
        <v>41</v>
      </c>
      <c r="B65" s="52" t="s">
        <v>256</v>
      </c>
      <c r="C65" s="54" t="s">
        <v>241</v>
      </c>
      <c r="D65" s="54" t="s">
        <v>245</v>
      </c>
      <c r="E65" s="54" t="s">
        <v>245</v>
      </c>
      <c r="F65" s="54" t="s">
        <v>246</v>
      </c>
      <c r="G65" s="55">
        <f ca="1">IFERROR(INDEX(分期持仓明细!$B$5:$Y$200,G$82-4,MATCH(LEFT($A65,6),分期持仓明细!$B$3:$Y$3,0))*INDEX('实盘净值数据(iFinD）'!$B$5:$Y$1000,$B$81,MATCH($A65,'实盘净值数据(iFinD）'!$B$3:$Y$3,0))/INDEX('实盘净值数据(iFinD）'!$B$5:$Y$1000,MATCH(G$84,'实盘净值数据(iFinD）'!$A$5:$A$1000,0),MATCH($A65,'实盘净值数据(iFinD）'!$B$3:$Y$3,0))/G$85,G101)</f>
        <v>0</v>
      </c>
      <c r="H65" s="55">
        <f ca="1">IFERROR(INDEX(分期持仓明细!$B$5:$Y$200,H$82-4,MATCH(LEFT($A65,6),分期持仓明细!$B$3:$Y$3,0))*INDEX('实盘净值数据(iFinD）'!$B$5:$Y$1000,$B$81,MATCH($A65,'实盘净值数据(iFinD）'!$B$3:$Y$3,0))/INDEX('实盘净值数据(iFinD）'!$B$5:$Y$1000,MATCH(H$84,'实盘净值数据(iFinD）'!$A$5:$A$1000,0),MATCH($A65,'实盘净值数据(iFinD）'!$B$3:$Y$3,0))/H$85,H101)</f>
        <v>0</v>
      </c>
      <c r="I65" s="55">
        <f ca="1">IFERROR(INDEX(分期持仓明细!$B$5:$Y$200,I$82-4,MATCH(LEFT($A65,6),分期持仓明细!$B$3:$Y$3,0))*INDEX('实盘净值数据(iFinD）'!$B$5:$Y$1000,$B$81,MATCH($A65,'实盘净值数据(iFinD）'!$B$3:$Y$3,0))/INDEX('实盘净值数据(iFinD）'!$B$5:$Y$1000,MATCH(I$84,'实盘净值数据(iFinD）'!$A$5:$A$1000,0),MATCH($A65,'实盘净值数据(iFinD）'!$B$3:$Y$3,0))/I$85,I101)</f>
        <v>0</v>
      </c>
      <c r="J65" s="55">
        <f ca="1">IFERROR(INDEX(分期持仓明细!$B$5:$Y$200,J$82-4,MATCH(LEFT($A65,6),分期持仓明细!$B$3:$Y$3,0))*INDEX('实盘净值数据(iFinD）'!$B$5:$Y$1000,$B$81,MATCH($A65,'实盘净值数据(iFinD）'!$B$3:$Y$3,0))/INDEX('实盘净值数据(iFinD）'!$B$5:$Y$1000,MATCH(J$84,'实盘净值数据(iFinD）'!$A$5:$A$1000,0),MATCH($A65,'实盘净值数据(iFinD）'!$B$3:$Y$3,0))/J$85,J101)</f>
        <v>0</v>
      </c>
      <c r="K65" s="55">
        <f ca="1">IFERROR(INDEX(分期持仓明细!$B$5:$Y$200,K$82-4,MATCH(LEFT($A65,6),分期持仓明细!$B$3:$Y$3,0))*INDEX('实盘净值数据(iFinD）'!$B$5:$Y$1000,$B$81,MATCH($A65,'实盘净值数据(iFinD）'!$B$3:$Y$3,0))/INDEX('实盘净值数据(iFinD）'!$B$5:$Y$1000,MATCH(K$84,'实盘净值数据(iFinD）'!$A$5:$A$1000,0),MATCH($A65,'实盘净值数据(iFinD）'!$B$3:$Y$3,0))/K$85,K101)</f>
        <v>1.2651221665084684E-2</v>
      </c>
      <c r="L65" s="55">
        <f ca="1">IFERROR(INDEX(分期持仓明细!$B$5:$Y$200,L$82-4,MATCH(LEFT($A65,6),分期持仓明细!$B$3:$Y$3,0))*INDEX('实盘净值数据(iFinD）'!$B$5:$Y$1000,$B$81,MATCH($A65,'实盘净值数据(iFinD）'!$B$3:$Y$3,0))/INDEX('实盘净值数据(iFinD）'!$B$5:$Y$1000,MATCH(L$84,'实盘净值数据(iFinD）'!$A$5:$A$1000,0),MATCH($A65,'实盘净值数据(iFinD）'!$B$3:$Y$3,0))/L$85,L101)</f>
        <v>0</v>
      </c>
      <c r="M65" t="str">
        <f ca="1">IF(G65&gt;0,COUNTIF(G$53:G65,"&gt;0"),"")</f>
        <v/>
      </c>
      <c r="N65" t="str">
        <f ca="1">IF(H65&gt;0,COUNTIF(H$53:H65,"&gt;0"),"")</f>
        <v/>
      </c>
      <c r="O65" t="str">
        <f ca="1">IF(I65&gt;0,COUNTIF(I$53:I65,"&gt;0"),"")</f>
        <v/>
      </c>
      <c r="P65" t="str">
        <f ca="1">IF(J65&gt;0,COUNTIF(J$53:J65,"&gt;0"),"")</f>
        <v/>
      </c>
      <c r="Q65">
        <f ca="1">IF(K65&gt;0,COUNTIF(K$53:K65,"&gt;0"),"")</f>
        <v>7</v>
      </c>
      <c r="R65" t="str">
        <f ca="1">IF(L65&gt;0,COUNTIF(L$53:L65,"&gt;0"),"")</f>
        <v/>
      </c>
    </row>
    <row r="66" spans="1:18" ht="13">
      <c r="A66" s="54" t="s">
        <v>42</v>
      </c>
      <c r="B66" s="52" t="s">
        <v>257</v>
      </c>
      <c r="C66" s="54" t="s">
        <v>241</v>
      </c>
      <c r="D66" s="54" t="s">
        <v>245</v>
      </c>
      <c r="E66" s="54" t="s">
        <v>245</v>
      </c>
      <c r="F66" s="54" t="s">
        <v>248</v>
      </c>
      <c r="G66" s="55">
        <f ca="1">IFERROR(INDEX(分期持仓明细!$B$5:$Y$200,G$82-4,MATCH(LEFT($A66,6),分期持仓明细!$B$3:$Y$3,0))*INDEX('实盘净值数据(iFinD）'!$B$5:$Y$1000,$B$81,MATCH($A66,'实盘净值数据(iFinD）'!$B$3:$Y$3,0))/INDEX('实盘净值数据(iFinD）'!$B$5:$Y$1000,MATCH(G$84,'实盘净值数据(iFinD）'!$A$5:$A$1000,0),MATCH($A66,'实盘净值数据(iFinD）'!$B$3:$Y$3,0))/G$85,G102)</f>
        <v>0</v>
      </c>
      <c r="H66" s="55">
        <f ca="1">IFERROR(INDEX(分期持仓明细!$B$5:$Y$200,H$82-4,MATCH(LEFT($A66,6),分期持仓明细!$B$3:$Y$3,0))*INDEX('实盘净值数据(iFinD）'!$B$5:$Y$1000,$B$81,MATCH($A66,'实盘净值数据(iFinD）'!$B$3:$Y$3,0))/INDEX('实盘净值数据(iFinD）'!$B$5:$Y$1000,MATCH(H$84,'实盘净值数据(iFinD）'!$A$5:$A$1000,0),MATCH($A66,'实盘净值数据(iFinD）'!$B$3:$Y$3,0))/H$85,H102)</f>
        <v>0</v>
      </c>
      <c r="I66" s="55">
        <f ca="1">IFERROR(INDEX(分期持仓明细!$B$5:$Y$200,I$82-4,MATCH(LEFT($A66,6),分期持仓明细!$B$3:$Y$3,0))*INDEX('实盘净值数据(iFinD）'!$B$5:$Y$1000,$B$81,MATCH($A66,'实盘净值数据(iFinD）'!$B$3:$Y$3,0))/INDEX('实盘净值数据(iFinD）'!$B$5:$Y$1000,MATCH(I$84,'实盘净值数据(iFinD）'!$A$5:$A$1000,0),MATCH($A66,'实盘净值数据(iFinD）'!$B$3:$Y$3,0))/I$85,I102)</f>
        <v>0</v>
      </c>
      <c r="J66" s="55">
        <f ca="1">IFERROR(INDEX(分期持仓明细!$B$5:$Y$200,J$82-4,MATCH(LEFT($A66,6),分期持仓明细!$B$3:$Y$3,0))*INDEX('实盘净值数据(iFinD）'!$B$5:$Y$1000,$B$81,MATCH($A66,'实盘净值数据(iFinD）'!$B$3:$Y$3,0))/INDEX('实盘净值数据(iFinD）'!$B$5:$Y$1000,MATCH(J$84,'实盘净值数据(iFinD）'!$A$5:$A$1000,0),MATCH($A66,'实盘净值数据(iFinD）'!$B$3:$Y$3,0))/J$85,J102)</f>
        <v>1.2653985598282919E-2</v>
      </c>
      <c r="K66" s="55">
        <f ca="1">IFERROR(INDEX(分期持仓明细!$B$5:$Y$200,K$82-4,MATCH(LEFT($A66,6),分期持仓明细!$B$3:$Y$3,0))*INDEX('实盘净值数据(iFinD）'!$B$5:$Y$1000,$B$81,MATCH($A66,'实盘净值数据(iFinD）'!$B$3:$Y$3,0))/INDEX('实盘净值数据(iFinD）'!$B$5:$Y$1000,MATCH(K$84,'实盘净值数据(iFinD）'!$A$5:$A$1000,0),MATCH($A66,'实盘净值数据(iFinD）'!$B$3:$Y$3,0))/K$85,K102)</f>
        <v>0</v>
      </c>
      <c r="L66" s="55">
        <f ca="1">IFERROR(INDEX(分期持仓明细!$B$5:$Y$200,L$82-4,MATCH(LEFT($A66,6),分期持仓明细!$B$3:$Y$3,0))*INDEX('实盘净值数据(iFinD）'!$B$5:$Y$1000,$B$81,MATCH($A66,'实盘净值数据(iFinD）'!$B$3:$Y$3,0))/INDEX('实盘净值数据(iFinD）'!$B$5:$Y$1000,MATCH(L$84,'实盘净值数据(iFinD）'!$A$5:$A$1000,0),MATCH($A66,'实盘净值数据(iFinD）'!$B$3:$Y$3,0))/L$85,L102)</f>
        <v>3.7778062385842581E-2</v>
      </c>
      <c r="M66" t="str">
        <f ca="1">IF(G66&gt;0,COUNTIF(G$53:G66,"&gt;0"),"")</f>
        <v/>
      </c>
      <c r="N66" t="str">
        <f ca="1">IF(H66&gt;0,COUNTIF(H$53:H66,"&gt;0"),"")</f>
        <v/>
      </c>
      <c r="O66" t="str">
        <f ca="1">IF(I66&gt;0,COUNTIF(I$53:I66,"&gt;0"),"")</f>
        <v/>
      </c>
      <c r="P66">
        <f ca="1">IF(J66&gt;0,COUNTIF(J$53:J66,"&gt;0"),"")</f>
        <v>7</v>
      </c>
      <c r="Q66" t="str">
        <f ca="1">IF(K66&gt;0,COUNTIF(K$53:K66,"&gt;0"),"")</f>
        <v/>
      </c>
      <c r="R66">
        <f ca="1">IF(L66&gt;0,COUNTIF(L$53:L66,"&gt;0"),"")</f>
        <v>7</v>
      </c>
    </row>
    <row r="67" spans="1:18" ht="13">
      <c r="A67" s="54" t="s">
        <v>43</v>
      </c>
      <c r="B67" s="52" t="s">
        <v>258</v>
      </c>
      <c r="C67" s="54" t="s">
        <v>241</v>
      </c>
      <c r="D67" s="54" t="s">
        <v>229</v>
      </c>
      <c r="E67" s="54" t="s">
        <v>242</v>
      </c>
      <c r="F67" s="54" t="s">
        <v>243</v>
      </c>
      <c r="G67" s="55">
        <f ca="1">IFERROR(INDEX(分期持仓明细!$B$5:$Y$200,G$82-4,MATCH(LEFT($A67,6),分期持仓明细!$B$3:$Y$3,0))*INDEX('实盘净值数据(iFinD）'!$B$5:$Y$1000,$B$81,MATCH($A67,'实盘净值数据(iFinD）'!$B$3:$Y$3,0))/INDEX('实盘净值数据(iFinD）'!$B$5:$Y$1000,MATCH(G$84,'实盘净值数据(iFinD）'!$A$5:$A$1000,0),MATCH($A67,'实盘净值数据(iFinD）'!$B$3:$Y$3,0))/G$85,G103)</f>
        <v>0.18172911441119791</v>
      </c>
      <c r="H67" s="55">
        <f ca="1">IFERROR(INDEX(分期持仓明细!$B$5:$Y$200,H$82-4,MATCH(LEFT($A67,6),分期持仓明细!$B$3:$Y$3,0))*INDEX('实盘净值数据(iFinD）'!$B$5:$Y$1000,$B$81,MATCH($A67,'实盘净值数据(iFinD）'!$B$3:$Y$3,0))/INDEX('实盘净值数据(iFinD）'!$B$5:$Y$1000,MATCH(H$84,'实盘净值数据(iFinD）'!$A$5:$A$1000,0),MATCH($A67,'实盘净值数据(iFinD）'!$B$3:$Y$3,0))/H$85,H103)</f>
        <v>0.18158867687903726</v>
      </c>
      <c r="I67" s="55">
        <f ca="1">IFERROR(INDEX(分期持仓明细!$B$5:$Y$200,I$82-4,MATCH(LEFT($A67,6),分期持仓明细!$B$3:$Y$3,0))*INDEX('实盘净值数据(iFinD）'!$B$5:$Y$1000,$B$81,MATCH($A67,'实盘净值数据(iFinD）'!$B$3:$Y$3,0))/INDEX('实盘净值数据(iFinD）'!$B$5:$Y$1000,MATCH(I$84,'实盘净值数据(iFinD）'!$A$5:$A$1000,0),MATCH($A67,'实盘净值数据(iFinD）'!$B$3:$Y$3,0))/I$85,I103)</f>
        <v>0</v>
      </c>
      <c r="J67" s="55">
        <f ca="1">IFERROR(INDEX(分期持仓明细!$B$5:$Y$200,J$82-4,MATCH(LEFT($A67,6),分期持仓明细!$B$3:$Y$3,0))*INDEX('实盘净值数据(iFinD）'!$B$5:$Y$1000,$B$81,MATCH($A67,'实盘净值数据(iFinD）'!$B$3:$Y$3,0))/INDEX('实盘净值数据(iFinD）'!$B$5:$Y$1000,MATCH(J$84,'实盘净值数据(iFinD）'!$A$5:$A$1000,0),MATCH($A67,'实盘净值数据(iFinD）'!$B$3:$Y$3,0))/J$85,J103)</f>
        <v>0</v>
      </c>
      <c r="K67" s="55">
        <f ca="1">IFERROR(INDEX(分期持仓明细!$B$5:$Y$200,K$82-4,MATCH(LEFT($A67,6),分期持仓明细!$B$3:$Y$3,0))*INDEX('实盘净值数据(iFinD）'!$B$5:$Y$1000,$B$81,MATCH($A67,'实盘净值数据(iFinD）'!$B$3:$Y$3,0))/INDEX('实盘净值数据(iFinD）'!$B$5:$Y$1000,MATCH(K$84,'实盘净值数据(iFinD）'!$A$5:$A$1000,0),MATCH($A67,'实盘净值数据(iFinD）'!$B$3:$Y$3,0))/K$85,K103)</f>
        <v>1.0191168845753355E-2</v>
      </c>
      <c r="L67" s="55">
        <f ca="1">IFERROR(INDEX(分期持仓明细!$B$5:$Y$200,L$82-4,MATCH(LEFT($A67,6),分期持仓明细!$B$3:$Y$3,0))*INDEX('实盘净值数据(iFinD）'!$B$5:$Y$1000,$B$81,MATCH($A67,'实盘净值数据(iFinD）'!$B$3:$Y$3,0))/INDEX('实盘净值数据(iFinD）'!$B$5:$Y$1000,MATCH(L$84,'实盘净值数据(iFinD）'!$A$5:$A$1000,0),MATCH($A67,'实盘净值数据(iFinD）'!$B$3:$Y$3,0))/L$85,L103)</f>
        <v>0</v>
      </c>
      <c r="M67">
        <f ca="1">IF(G67&gt;0,COUNTIF(G$53:G67,"&gt;0"),"")</f>
        <v>4</v>
      </c>
      <c r="N67">
        <f ca="1">IF(H67&gt;0,COUNTIF(H$53:H67,"&gt;0"),"")</f>
        <v>4</v>
      </c>
      <c r="O67" t="str">
        <f ca="1">IF(I67&gt;0,COUNTIF(I$53:I67,"&gt;0"),"")</f>
        <v/>
      </c>
      <c r="P67" t="str">
        <f ca="1">IF(J67&gt;0,COUNTIF(J$53:J67,"&gt;0"),"")</f>
        <v/>
      </c>
      <c r="Q67">
        <f ca="1">IF(K67&gt;0,COUNTIF(K$53:K67,"&gt;0"),"")</f>
        <v>8</v>
      </c>
      <c r="R67" t="str">
        <f ca="1">IF(L67&gt;0,COUNTIF(L$53:L67,"&gt;0"),"")</f>
        <v/>
      </c>
    </row>
    <row r="68" spans="1:18" ht="13">
      <c r="A68" s="54" t="s">
        <v>44</v>
      </c>
      <c r="B68" s="52" t="s">
        <v>259</v>
      </c>
      <c r="C68" s="54" t="s">
        <v>241</v>
      </c>
      <c r="D68" s="54" t="s">
        <v>229</v>
      </c>
      <c r="E68" s="54" t="s">
        <v>242</v>
      </c>
      <c r="F68" s="54" t="s">
        <v>243</v>
      </c>
      <c r="G68" s="55">
        <f ca="1">IFERROR(INDEX(分期持仓明细!$B$5:$Y$200,G$82-4,MATCH(LEFT($A68,6),分期持仓明细!$B$3:$Y$3,0))*INDEX('实盘净值数据(iFinD）'!$B$5:$Y$1000,$B$81,MATCH($A68,'实盘净值数据(iFinD）'!$B$3:$Y$3,0))/INDEX('实盘净值数据(iFinD）'!$B$5:$Y$1000,MATCH(G$84,'实盘净值数据(iFinD）'!$A$5:$A$1000,0),MATCH($A68,'实盘净值数据(iFinD）'!$B$3:$Y$3,0))/G$85,G104)</f>
        <v>0.18060504419672324</v>
      </c>
      <c r="H68" s="55">
        <f ca="1">IFERROR(INDEX(分期持仓明细!$B$5:$Y$200,H$82-4,MATCH(LEFT($A68,6),分期持仓明细!$B$3:$Y$3,0))*INDEX('实盘净值数据(iFinD）'!$B$5:$Y$1000,$B$81,MATCH($A68,'实盘净值数据(iFinD）'!$B$3:$Y$3,0))/INDEX('实盘净值数据(iFinD）'!$B$5:$Y$1000,MATCH(H$84,'实盘净值数据(iFinD）'!$A$5:$A$1000,0),MATCH($A68,'实盘净值数据(iFinD）'!$B$3:$Y$3,0))/H$85,H104)</f>
        <v>0.18142231345201873</v>
      </c>
      <c r="I68" s="55">
        <f ca="1">IFERROR(INDEX(分期持仓明细!$B$5:$Y$200,I$82-4,MATCH(LEFT($A68,6),分期持仓明细!$B$3:$Y$3,0))*INDEX('实盘净值数据(iFinD）'!$B$5:$Y$1000,$B$81,MATCH($A68,'实盘净值数据(iFinD）'!$B$3:$Y$3,0))/INDEX('实盘净值数据(iFinD）'!$B$5:$Y$1000,MATCH(I$84,'实盘净值数据(iFinD）'!$A$5:$A$1000,0),MATCH($A68,'实盘净值数据(iFinD）'!$B$3:$Y$3,0))/I$85,I104)</f>
        <v>0</v>
      </c>
      <c r="J68" s="55">
        <f ca="1">IFERROR(INDEX(分期持仓明细!$B$5:$Y$200,J$82-4,MATCH(LEFT($A68,6),分期持仓明细!$B$3:$Y$3,0))*INDEX('实盘净值数据(iFinD）'!$B$5:$Y$1000,$B$81,MATCH($A68,'实盘净值数据(iFinD）'!$B$3:$Y$3,0))/INDEX('实盘净值数据(iFinD）'!$B$5:$Y$1000,MATCH(J$84,'实盘净值数据(iFinD）'!$A$5:$A$1000,0),MATCH($A68,'实盘净值数据(iFinD）'!$B$3:$Y$3,0))/J$85,J104)</f>
        <v>0</v>
      </c>
      <c r="K68" s="55">
        <f ca="1">IFERROR(INDEX(分期持仓明细!$B$5:$Y$200,K$82-4,MATCH(LEFT($A68,6),分期持仓明细!$B$3:$Y$3,0))*INDEX('实盘净值数据(iFinD）'!$B$5:$Y$1000,$B$81,MATCH($A68,'实盘净值数据(iFinD）'!$B$3:$Y$3,0))/INDEX('实盘净值数据(iFinD）'!$B$5:$Y$1000,MATCH(K$84,'实盘净值数据(iFinD）'!$A$5:$A$1000,0),MATCH($A68,'实盘净值数据(iFinD）'!$B$3:$Y$3,0))/K$85,K104)</f>
        <v>1.0180646594242037E-2</v>
      </c>
      <c r="L68" s="55">
        <f ca="1">IFERROR(INDEX(分期持仓明细!$B$5:$Y$200,L$82-4,MATCH(LEFT($A68,6),分期持仓明细!$B$3:$Y$3,0))*INDEX('实盘净值数据(iFinD）'!$B$5:$Y$1000,$B$81,MATCH($A68,'实盘净值数据(iFinD）'!$B$3:$Y$3,0))/INDEX('实盘净值数据(iFinD）'!$B$5:$Y$1000,MATCH(L$84,'实盘净值数据(iFinD）'!$A$5:$A$1000,0),MATCH($A68,'实盘净值数据(iFinD）'!$B$3:$Y$3,0))/L$85,L104)</f>
        <v>0</v>
      </c>
      <c r="M68">
        <f ca="1">IF(G68&gt;0,COUNTIF(G$53:G68,"&gt;0"),"")</f>
        <v>5</v>
      </c>
      <c r="N68">
        <f ca="1">IF(H68&gt;0,COUNTIF(H$53:H68,"&gt;0"),"")</f>
        <v>5</v>
      </c>
      <c r="O68" t="str">
        <f ca="1">IF(I68&gt;0,COUNTIF(I$53:I68,"&gt;0"),"")</f>
        <v/>
      </c>
      <c r="P68" t="str">
        <f ca="1">IF(J68&gt;0,COUNTIF(J$53:J68,"&gt;0"),"")</f>
        <v/>
      </c>
      <c r="Q68">
        <f ca="1">IF(K68&gt;0,COUNTIF(K$53:K68,"&gt;0"),"")</f>
        <v>9</v>
      </c>
      <c r="R68" t="str">
        <f ca="1">IF(L68&gt;0,COUNTIF(L$53:L68,"&gt;0"),"")</f>
        <v/>
      </c>
    </row>
    <row r="69" spans="1:18" ht="13">
      <c r="A69" s="54" t="s">
        <v>45</v>
      </c>
      <c r="B69" s="52" t="s">
        <v>260</v>
      </c>
      <c r="C69" s="54" t="s">
        <v>241</v>
      </c>
      <c r="D69" s="54" t="s">
        <v>229</v>
      </c>
      <c r="E69" s="54" t="s">
        <v>242</v>
      </c>
      <c r="F69" s="54" t="s">
        <v>248</v>
      </c>
      <c r="G69" s="55">
        <f ca="1">IFERROR(INDEX(分期持仓明细!$B$5:$Y$200,G$82-4,MATCH(LEFT($A69,6),分期持仓明细!$B$3:$Y$3,0))*INDEX('实盘净值数据(iFinD）'!$B$5:$Y$1000,$B$81,MATCH($A69,'实盘净值数据(iFinD）'!$B$3:$Y$3,0))/INDEX('实盘净值数据(iFinD）'!$B$5:$Y$1000,MATCH(G$84,'实盘净值数据(iFinD）'!$A$5:$A$1000,0),MATCH($A69,'实盘净值数据(iFinD）'!$B$3:$Y$3,0))/G$85,G105)</f>
        <v>0</v>
      </c>
      <c r="H69" s="55">
        <f ca="1">IFERROR(INDEX(分期持仓明细!$B$5:$Y$200,H$82-4,MATCH(LEFT($A69,6),分期持仓明细!$B$3:$Y$3,0))*INDEX('实盘净值数据(iFinD）'!$B$5:$Y$1000,$B$81,MATCH($A69,'实盘净值数据(iFinD）'!$B$3:$Y$3,0))/INDEX('实盘净值数据(iFinD）'!$B$5:$Y$1000,MATCH(H$84,'实盘净值数据(iFinD）'!$A$5:$A$1000,0),MATCH($A69,'实盘净值数据(iFinD）'!$B$3:$Y$3,0))/H$85,H105)</f>
        <v>0</v>
      </c>
      <c r="I69" s="55">
        <f ca="1">IFERROR(INDEX(分期持仓明细!$B$5:$Y$200,I$82-4,MATCH(LEFT($A69,6),分期持仓明细!$B$3:$Y$3,0))*INDEX('实盘净值数据(iFinD）'!$B$5:$Y$1000,$B$81,MATCH($A69,'实盘净值数据(iFinD）'!$B$3:$Y$3,0))/INDEX('实盘净值数据(iFinD）'!$B$5:$Y$1000,MATCH(I$84,'实盘净值数据(iFinD）'!$A$5:$A$1000,0),MATCH($A69,'实盘净值数据(iFinD）'!$B$3:$Y$3,0))/I$85,I105)</f>
        <v>0.18181808508439318</v>
      </c>
      <c r="J69" s="55">
        <f ca="1">IFERROR(INDEX(分期持仓明细!$B$5:$Y$200,J$82-4,MATCH(LEFT($A69,6),分期持仓明细!$B$3:$Y$3,0))*INDEX('实盘净值数据(iFinD）'!$B$5:$Y$1000,$B$81,MATCH($A69,'实盘净值数据(iFinD）'!$B$3:$Y$3,0))/INDEX('实盘净值数据(iFinD）'!$B$5:$Y$1000,MATCH(J$84,'实盘净值数据(iFinD）'!$A$5:$A$1000,0),MATCH($A69,'实盘净值数据(iFinD）'!$B$3:$Y$3,0))/J$85,J105)</f>
        <v>1.2727797704597232E-2</v>
      </c>
      <c r="K69" s="55">
        <f ca="1">IFERROR(INDEX(分期持仓明细!$B$5:$Y$200,K$82-4,MATCH(LEFT($A69,6),分期持仓明细!$B$3:$Y$3,0))*INDEX('实盘净值数据(iFinD）'!$B$5:$Y$1000,$B$81,MATCH($A69,'实盘净值数据(iFinD）'!$B$3:$Y$3,0))/INDEX('实盘净值数据(iFinD）'!$B$5:$Y$1000,MATCH(K$84,'实盘净值数据(iFinD）'!$A$5:$A$1000,0),MATCH($A69,'实盘净值数据(iFinD）'!$B$3:$Y$3,0))/K$85,K105)</f>
        <v>0</v>
      </c>
      <c r="L69" s="55">
        <f ca="1">IFERROR(INDEX(分期持仓明细!$B$5:$Y$200,L$82-4,MATCH(LEFT($A69,6),分期持仓明细!$B$3:$Y$3,0))*INDEX('实盘净值数据(iFinD）'!$B$5:$Y$1000,$B$81,MATCH($A69,'实盘净值数据(iFinD）'!$B$3:$Y$3,0))/INDEX('实盘净值数据(iFinD）'!$B$5:$Y$1000,MATCH(L$84,'实盘净值数据(iFinD）'!$A$5:$A$1000,0),MATCH($A69,'实盘净值数据(iFinD）'!$B$3:$Y$3,0))/L$85,L105)</f>
        <v>3.5465197626349261E-2</v>
      </c>
      <c r="M69" t="str">
        <f ca="1">IF(G69&gt;0,COUNTIF(G$53:G69,"&gt;0"),"")</f>
        <v/>
      </c>
      <c r="N69" t="str">
        <f ca="1">IF(H69&gt;0,COUNTIF(H$53:H69,"&gt;0"),"")</f>
        <v/>
      </c>
      <c r="O69">
        <f ca="1">IF(I69&gt;0,COUNTIF(I$53:I69,"&gt;0"),"")</f>
        <v>4</v>
      </c>
      <c r="P69">
        <f ca="1">IF(J69&gt;0,COUNTIF(J$53:J69,"&gt;0"),"")</f>
        <v>8</v>
      </c>
      <c r="Q69" t="str">
        <f ca="1">IF(K69&gt;0,COUNTIF(K$53:K69,"&gt;0"),"")</f>
        <v/>
      </c>
      <c r="R69">
        <f ca="1">IF(L69&gt;0,COUNTIF(L$53:L69,"&gt;0"),"")</f>
        <v>8</v>
      </c>
    </row>
    <row r="70" spans="1:18" ht="13">
      <c r="A70" s="54" t="s">
        <v>46</v>
      </c>
      <c r="B70" s="52" t="s">
        <v>261</v>
      </c>
      <c r="C70" s="54" t="s">
        <v>241</v>
      </c>
      <c r="D70" s="54" t="s">
        <v>229</v>
      </c>
      <c r="E70" s="54" t="s">
        <v>242</v>
      </c>
      <c r="F70" s="54" t="s">
        <v>248</v>
      </c>
      <c r="G70" s="55">
        <f ca="1">IFERROR(INDEX(分期持仓明细!$B$5:$Y$200,G$82-4,MATCH(LEFT($A70,6),分期持仓明细!$B$3:$Y$3,0))*INDEX('实盘净值数据(iFinD）'!$B$5:$Y$1000,$B$81,MATCH($A70,'实盘净值数据(iFinD）'!$B$3:$Y$3,0))/INDEX('实盘净值数据(iFinD）'!$B$5:$Y$1000,MATCH(G$84,'实盘净值数据(iFinD）'!$A$5:$A$1000,0),MATCH($A70,'实盘净值数据(iFinD）'!$B$3:$Y$3,0))/G$85,G106)</f>
        <v>0</v>
      </c>
      <c r="H70" s="55">
        <f ca="1">IFERROR(INDEX(分期持仓明细!$B$5:$Y$200,H$82-4,MATCH(LEFT($A70,6),分期持仓明细!$B$3:$Y$3,0))*INDEX('实盘净值数据(iFinD）'!$B$5:$Y$1000,$B$81,MATCH($A70,'实盘净值数据(iFinD）'!$B$3:$Y$3,0))/INDEX('实盘净值数据(iFinD）'!$B$5:$Y$1000,MATCH(H$84,'实盘净值数据(iFinD）'!$A$5:$A$1000,0),MATCH($A70,'实盘净值数据(iFinD）'!$B$3:$Y$3,0))/H$85,H106)</f>
        <v>0</v>
      </c>
      <c r="I70" s="55">
        <f ca="1">IFERROR(INDEX(分期持仓明细!$B$5:$Y$200,I$82-4,MATCH(LEFT($A70,6),分期持仓明细!$B$3:$Y$3,0))*INDEX('实盘净值数据(iFinD）'!$B$5:$Y$1000,$B$81,MATCH($A70,'实盘净值数据(iFinD）'!$B$3:$Y$3,0))/INDEX('实盘净值数据(iFinD）'!$B$5:$Y$1000,MATCH(I$84,'实盘净值数据(iFinD）'!$A$5:$A$1000,0),MATCH($A70,'实盘净值数据(iFinD）'!$B$3:$Y$3,0))/I$85,I106)</f>
        <v>0.17368419525353884</v>
      </c>
      <c r="J70" s="55">
        <f ca="1">IFERROR(INDEX(分期持仓明细!$B$5:$Y$200,J$82-4,MATCH(LEFT($A70,6),分期持仓明细!$B$3:$Y$3,0))*INDEX('实盘净值数据(iFinD）'!$B$5:$Y$1000,$B$81,MATCH($A70,'实盘净值数据(iFinD）'!$B$3:$Y$3,0))/INDEX('实盘净值数据(iFinD）'!$B$5:$Y$1000,MATCH(J$84,'实盘净值数据(iFinD）'!$A$5:$A$1000,0),MATCH($A70,'实盘净值数据(iFinD）'!$B$3:$Y$3,0))/J$85,J106)</f>
        <v>1.2713156463712804E-2</v>
      </c>
      <c r="K70" s="55">
        <f ca="1">IFERROR(INDEX(分期持仓明细!$B$5:$Y$200,K$82-4,MATCH(LEFT($A70,6),分期持仓明细!$B$3:$Y$3,0))*INDEX('实盘净值数据(iFinD）'!$B$5:$Y$1000,$B$81,MATCH($A70,'实盘净值数据(iFinD）'!$B$3:$Y$3,0))/INDEX('实盘净值数据(iFinD）'!$B$5:$Y$1000,MATCH(K$84,'实盘净值数据(iFinD）'!$A$5:$A$1000,0),MATCH($A70,'实盘净值数据(iFinD）'!$B$3:$Y$3,0))/K$85,K106)</f>
        <v>0</v>
      </c>
      <c r="L70" s="55">
        <f ca="1">IFERROR(INDEX(分期持仓明细!$B$5:$Y$200,L$82-4,MATCH(LEFT($A70,6),分期持仓明细!$B$3:$Y$3,0))*INDEX('实盘净值数据(iFinD）'!$B$5:$Y$1000,$B$81,MATCH($A70,'实盘净值数据(iFinD）'!$B$3:$Y$3,0))/INDEX('实盘净值数据(iFinD）'!$B$5:$Y$1000,MATCH(L$84,'实盘净值数据(iFinD）'!$A$5:$A$1000,0),MATCH($A70,'实盘净值数据(iFinD）'!$B$3:$Y$3,0))/L$85,L106)</f>
        <v>3.5424400741176129E-2</v>
      </c>
      <c r="M70" t="str">
        <f ca="1">IF(G70&gt;0,COUNTIF(G$53:G70,"&gt;0"),"")</f>
        <v/>
      </c>
      <c r="N70" t="str">
        <f ca="1">IF(H70&gt;0,COUNTIF(H$53:H70,"&gt;0"),"")</f>
        <v/>
      </c>
      <c r="O70">
        <f ca="1">IF(I70&gt;0,COUNTIF(I$53:I70,"&gt;0"),"")</f>
        <v>5</v>
      </c>
      <c r="P70">
        <f ca="1">IF(J70&gt;0,COUNTIF(J$53:J70,"&gt;0"),"")</f>
        <v>9</v>
      </c>
      <c r="Q70" t="str">
        <f ca="1">IF(K70&gt;0,COUNTIF(K$53:K70,"&gt;0"),"")</f>
        <v/>
      </c>
      <c r="R70">
        <f ca="1">IF(L70&gt;0,COUNTIF(L$53:L70,"&gt;0"),"")</f>
        <v>9</v>
      </c>
    </row>
    <row r="71" spans="1:18" ht="13">
      <c r="A71" s="54" t="s">
        <v>47</v>
      </c>
      <c r="B71" s="52" t="s">
        <v>262</v>
      </c>
      <c r="C71" s="54" t="s">
        <v>241</v>
      </c>
      <c r="D71" s="54" t="s">
        <v>229</v>
      </c>
      <c r="E71" s="54" t="s">
        <v>250</v>
      </c>
      <c r="F71" s="54" t="s">
        <v>243</v>
      </c>
      <c r="G71" s="55">
        <f ca="1">IFERROR(INDEX(分期持仓明细!$B$5:$Y$200,G$82-4,MATCH(LEFT($A71,6),分期持仓明细!$B$3:$Y$3,0))*INDEX('实盘净值数据(iFinD）'!$B$5:$Y$1000,$B$81,MATCH($A71,'实盘净值数据(iFinD）'!$B$3:$Y$3,0))/INDEX('实盘净值数据(iFinD）'!$B$5:$Y$1000,MATCH(G$84,'实盘净值数据(iFinD）'!$A$5:$A$1000,0),MATCH($A71,'实盘净值数据(iFinD）'!$B$3:$Y$3,0))/G$85,G107)</f>
        <v>0.12236001431676956</v>
      </c>
      <c r="H71" s="55">
        <f ca="1">IFERROR(INDEX(分期持仓明细!$B$5:$Y$200,H$82-4,MATCH(LEFT($A71,6),分期持仓明细!$B$3:$Y$3,0))*INDEX('实盘净值数据(iFinD）'!$B$5:$Y$1000,$B$81,MATCH($A71,'实盘净值数据(iFinD）'!$B$3:$Y$3,0))/INDEX('实盘净值数据(iFinD）'!$B$5:$Y$1000,MATCH(H$84,'实盘净值数据(iFinD）'!$A$5:$A$1000,0),MATCH($A71,'实盘净值数据(iFinD）'!$B$3:$Y$3,0))/H$85,H107)</f>
        <v>0.12294522904647806</v>
      </c>
      <c r="I71" s="55">
        <f ca="1">IFERROR(INDEX(分期持仓明细!$B$5:$Y$200,I$82-4,MATCH(LEFT($A71,6),分期持仓明细!$B$3:$Y$3,0))*INDEX('实盘净值数据(iFinD）'!$B$5:$Y$1000,$B$81,MATCH($A71,'实盘净值数据(iFinD）'!$B$3:$Y$3,0))/INDEX('实盘净值数据(iFinD）'!$B$5:$Y$1000,MATCH(I$84,'实盘净值数据(iFinD）'!$A$5:$A$1000,0),MATCH($A71,'实盘净值数据(iFinD）'!$B$3:$Y$3,0))/I$85,I107)</f>
        <v>0</v>
      </c>
      <c r="J71" s="55">
        <f ca="1">IFERROR(INDEX(分期持仓明细!$B$5:$Y$200,J$82-4,MATCH(LEFT($A71,6),分期持仓明细!$B$3:$Y$3,0))*INDEX('实盘净值数据(iFinD）'!$B$5:$Y$1000,$B$81,MATCH($A71,'实盘净值数据(iFinD）'!$B$3:$Y$3,0))/INDEX('实盘净值数据(iFinD）'!$B$5:$Y$1000,MATCH(J$84,'实盘净值数据(iFinD）'!$A$5:$A$1000,0),MATCH($A71,'实盘净值数据(iFinD）'!$B$3:$Y$3,0))/J$85,J107)</f>
        <v>0</v>
      </c>
      <c r="K71" s="55">
        <f ca="1">IFERROR(INDEX(分期持仓明细!$B$5:$Y$200,K$82-4,MATCH(LEFT($A71,6),分期持仓明细!$B$3:$Y$3,0))*INDEX('实盘净值数据(iFinD）'!$B$5:$Y$1000,$B$81,MATCH($A71,'实盘净值数据(iFinD）'!$B$3:$Y$3,0))/INDEX('实盘净值数据(iFinD）'!$B$5:$Y$1000,MATCH(K$84,'实盘净值数据(iFinD）'!$A$5:$A$1000,0),MATCH($A71,'实盘净值数据(iFinD）'!$B$3:$Y$3,0))/K$85,K107)</f>
        <v>0</v>
      </c>
      <c r="L71" s="55">
        <f ca="1">IFERROR(INDEX(分期持仓明细!$B$5:$Y$200,L$82-4,MATCH(LEFT($A71,6),分期持仓明细!$B$3:$Y$3,0))*INDEX('实盘净值数据(iFinD）'!$B$5:$Y$1000,$B$81,MATCH($A71,'实盘净值数据(iFinD）'!$B$3:$Y$3,0))/INDEX('实盘净值数据(iFinD）'!$B$5:$Y$1000,MATCH(L$84,'实盘净值数据(iFinD）'!$A$5:$A$1000,0),MATCH($A71,'实盘净值数据(iFinD）'!$B$3:$Y$3,0))/L$85,L107)</f>
        <v>0</v>
      </c>
      <c r="M71">
        <f ca="1">IF(G71&gt;0,COUNTIF(G$53:G71,"&gt;0"),"")</f>
        <v>6</v>
      </c>
      <c r="N71">
        <f ca="1">IF(H71&gt;0,COUNTIF(H$53:H71,"&gt;0"),"")</f>
        <v>6</v>
      </c>
      <c r="O71" t="str">
        <f ca="1">IF(I71&gt;0,COUNTIF(I$53:I71,"&gt;0"),"")</f>
        <v/>
      </c>
      <c r="P71" t="str">
        <f ca="1">IF(J71&gt;0,COUNTIF(J$53:J71,"&gt;0"),"")</f>
        <v/>
      </c>
      <c r="Q71" t="str">
        <f ca="1">IF(K71&gt;0,COUNTIF(K$53:K71,"&gt;0"),"")</f>
        <v/>
      </c>
      <c r="R71" t="str">
        <f ca="1">IF(L71&gt;0,COUNTIF(L$53:L71,"&gt;0"),"")</f>
        <v/>
      </c>
    </row>
    <row r="72" spans="1:18" ht="13">
      <c r="A72" s="54" t="s">
        <v>48</v>
      </c>
      <c r="B72" s="52" t="s">
        <v>263</v>
      </c>
      <c r="C72" s="54" t="s">
        <v>241</v>
      </c>
      <c r="D72" s="54" t="s">
        <v>229</v>
      </c>
      <c r="E72" s="54" t="s">
        <v>250</v>
      </c>
      <c r="F72" s="54" t="s">
        <v>248</v>
      </c>
      <c r="G72" s="55">
        <f ca="1">IFERROR(INDEX(分期持仓明细!$B$5:$Y$200,G$82-4,MATCH(LEFT($A72,6),分期持仓明细!$B$3:$Y$3,0))*INDEX('实盘净值数据(iFinD）'!$B$5:$Y$1000,$B$81,MATCH($A72,'实盘净值数据(iFinD）'!$B$3:$Y$3,0))/INDEX('实盘净值数据(iFinD）'!$B$5:$Y$1000,MATCH(G$84,'实盘净值数据(iFinD）'!$A$5:$A$1000,0),MATCH($A72,'实盘净值数据(iFinD）'!$B$3:$Y$3,0))/G$85,G108)</f>
        <v>0</v>
      </c>
      <c r="H72" s="55">
        <f ca="1">IFERROR(INDEX(分期持仓明细!$B$5:$Y$200,H$82-4,MATCH(LEFT($A72,6),分期持仓明细!$B$3:$Y$3,0))*INDEX('实盘净值数据(iFinD）'!$B$5:$Y$1000,$B$81,MATCH($A72,'实盘净值数据(iFinD）'!$B$3:$Y$3,0))/INDEX('实盘净值数据(iFinD）'!$B$5:$Y$1000,MATCH(H$84,'实盘净值数据(iFinD）'!$A$5:$A$1000,0),MATCH($A72,'实盘净值数据(iFinD）'!$B$3:$Y$3,0))/H$85,H108)</f>
        <v>0</v>
      </c>
      <c r="I72" s="55">
        <f ca="1">IFERROR(INDEX(分期持仓明细!$B$5:$Y$200,I$82-4,MATCH(LEFT($A72,6),分期持仓明细!$B$3:$Y$3,0))*INDEX('实盘净值数据(iFinD）'!$B$5:$Y$1000,$B$81,MATCH($A72,'实盘净值数据(iFinD）'!$B$3:$Y$3,0))/INDEX('实盘净值数据(iFinD）'!$B$5:$Y$1000,MATCH(I$84,'实盘净值数据(iFinD）'!$A$5:$A$1000,0),MATCH($A72,'实盘净值数据(iFinD）'!$B$3:$Y$3,0))/I$85,I108)</f>
        <v>0.12044903947061661</v>
      </c>
      <c r="J72" s="55">
        <f ca="1">IFERROR(INDEX(分期持仓明细!$B$5:$Y$200,J$82-4,MATCH(LEFT($A72,6),分期持仓明细!$B$3:$Y$3,0))*INDEX('实盘净值数据(iFinD）'!$B$5:$Y$1000,$B$81,MATCH($A72,'实盘净值数据(iFinD）'!$B$3:$Y$3,0))/INDEX('实盘净值数据(iFinD）'!$B$5:$Y$1000,MATCH(J$84,'实盘净值数据(iFinD）'!$A$5:$A$1000,0),MATCH($A72,'实盘净值数据(iFinD）'!$B$3:$Y$3,0))/J$85,J108)</f>
        <v>0</v>
      </c>
      <c r="K72" s="55">
        <f ca="1">IFERROR(INDEX(分期持仓明细!$B$5:$Y$200,K$82-4,MATCH(LEFT($A72,6),分期持仓明细!$B$3:$Y$3,0))*INDEX('实盘净值数据(iFinD）'!$B$5:$Y$1000,$B$81,MATCH($A72,'实盘净值数据(iFinD）'!$B$3:$Y$3,0))/INDEX('实盘净值数据(iFinD）'!$B$5:$Y$1000,MATCH(K$84,'实盘净值数据(iFinD）'!$A$5:$A$1000,0),MATCH($A72,'实盘净值数据(iFinD）'!$B$3:$Y$3,0))/K$85,K108)</f>
        <v>0</v>
      </c>
      <c r="L72" s="55">
        <f ca="1">IFERROR(INDEX(分期持仓明细!$B$5:$Y$200,L$82-4,MATCH(LEFT($A72,6),分期持仓明细!$B$3:$Y$3,0))*INDEX('实盘净值数据(iFinD）'!$B$5:$Y$1000,$B$81,MATCH($A72,'实盘净值数据(iFinD）'!$B$3:$Y$3,0))/INDEX('实盘净值数据(iFinD）'!$B$5:$Y$1000,MATCH(L$84,'实盘净值数据(iFinD）'!$A$5:$A$1000,0),MATCH($A72,'实盘净值数据(iFinD）'!$B$3:$Y$3,0))/L$85,L108)</f>
        <v>0</v>
      </c>
      <c r="M72" t="str">
        <f ca="1">IF(G72&gt;0,COUNTIF(G$53:G72,"&gt;0"),"")</f>
        <v/>
      </c>
      <c r="N72" t="str">
        <f ca="1">IF(H72&gt;0,COUNTIF(H$53:H72,"&gt;0"),"")</f>
        <v/>
      </c>
      <c r="O72">
        <f ca="1">IF(I72&gt;0,COUNTIF(I$53:I72,"&gt;0"),"")</f>
        <v>6</v>
      </c>
      <c r="P72" t="str">
        <f ca="1">IF(J72&gt;0,COUNTIF(J$53:J72,"&gt;0"),"")</f>
        <v/>
      </c>
      <c r="Q72" t="str">
        <f ca="1">IF(K72&gt;0,COUNTIF(K$53:K72,"&gt;0"),"")</f>
        <v/>
      </c>
      <c r="R72" t="str">
        <f ca="1">IF(L72&gt;0,COUNTIF(L$53:L72,"&gt;0"),"")</f>
        <v/>
      </c>
    </row>
    <row r="73" spans="1:18" ht="13">
      <c r="A73" s="54" t="s">
        <v>49</v>
      </c>
      <c r="B73" s="52" t="s">
        <v>264</v>
      </c>
      <c r="C73" s="54" t="s">
        <v>241</v>
      </c>
      <c r="D73" s="54" t="s">
        <v>245</v>
      </c>
      <c r="E73" s="54" t="s">
        <v>245</v>
      </c>
      <c r="F73" s="54" t="s">
        <v>246</v>
      </c>
      <c r="G73" s="55">
        <f ca="1">IFERROR(INDEX(分期持仓明细!$B$5:$Y$200,G$82-4,MATCH(LEFT($A73,6),分期持仓明细!$B$3:$Y$3,0))*INDEX('实盘净值数据(iFinD）'!$B$5:$Y$1000,$B$81,MATCH($A73,'实盘净值数据(iFinD）'!$B$3:$Y$3,0))/INDEX('实盘净值数据(iFinD）'!$B$5:$Y$1000,MATCH(G$84,'实盘净值数据(iFinD）'!$A$5:$A$1000,0),MATCH($A73,'实盘净值数据(iFinD）'!$B$3:$Y$3,0))/G$85,G109)</f>
        <v>0</v>
      </c>
      <c r="H73" s="55">
        <f ca="1">IFERROR(INDEX(分期持仓明细!$B$5:$Y$200,H$82-4,MATCH(LEFT($A73,6),分期持仓明细!$B$3:$Y$3,0))*INDEX('实盘净值数据(iFinD）'!$B$5:$Y$1000,$B$81,MATCH($A73,'实盘净值数据(iFinD）'!$B$3:$Y$3,0))/INDEX('实盘净值数据(iFinD）'!$B$5:$Y$1000,MATCH(H$84,'实盘净值数据(iFinD）'!$A$5:$A$1000,0),MATCH($A73,'实盘净值数据(iFinD）'!$B$3:$Y$3,0))/H$85,H109)</f>
        <v>0</v>
      </c>
      <c r="I73" s="55">
        <f ca="1">IFERROR(INDEX(分期持仓明细!$B$5:$Y$200,I$82-4,MATCH(LEFT($A73,6),分期持仓明细!$B$3:$Y$3,0))*INDEX('实盘净值数据(iFinD）'!$B$5:$Y$1000,$B$81,MATCH($A73,'实盘净值数据(iFinD）'!$B$3:$Y$3,0))/INDEX('实盘净值数据(iFinD）'!$B$5:$Y$1000,MATCH(I$84,'实盘净值数据(iFinD）'!$A$5:$A$1000,0),MATCH($A73,'实盘净值数据(iFinD）'!$B$3:$Y$3,0))/I$85,I109)</f>
        <v>0</v>
      </c>
      <c r="J73" s="55">
        <f ca="1">IFERROR(INDEX(分期持仓明细!$B$5:$Y$200,J$82-4,MATCH(LEFT($A73,6),分期持仓明细!$B$3:$Y$3,0))*INDEX('实盘净值数据(iFinD）'!$B$5:$Y$1000,$B$81,MATCH($A73,'实盘净值数据(iFinD）'!$B$3:$Y$3,0))/INDEX('实盘净值数据(iFinD）'!$B$5:$Y$1000,MATCH(J$84,'实盘净值数据(iFinD）'!$A$5:$A$1000,0),MATCH($A73,'实盘净值数据(iFinD）'!$B$3:$Y$3,0))/J$85,J109)</f>
        <v>0</v>
      </c>
      <c r="K73" s="55">
        <f ca="1">IFERROR(INDEX(分期持仓明细!$B$5:$Y$200,K$82-4,MATCH(LEFT($A73,6),分期持仓明细!$B$3:$Y$3,0))*INDEX('实盘净值数据(iFinD）'!$B$5:$Y$1000,$B$81,MATCH($A73,'实盘净值数据(iFinD）'!$B$3:$Y$3,0))/INDEX('实盘净值数据(iFinD）'!$B$5:$Y$1000,MATCH(K$84,'实盘净值数据(iFinD）'!$A$5:$A$1000,0),MATCH($A73,'实盘净值数据(iFinD）'!$B$3:$Y$3,0))/K$85,K109)</f>
        <v>1.2730024387638575E-2</v>
      </c>
      <c r="L73" s="55">
        <f ca="1">IFERROR(INDEX(分期持仓明细!$B$5:$Y$200,L$82-4,MATCH(LEFT($A73,6),分期持仓明细!$B$3:$Y$3,0))*INDEX('实盘净值数据(iFinD）'!$B$5:$Y$1000,$B$81,MATCH($A73,'实盘净值数据(iFinD）'!$B$3:$Y$3,0))/INDEX('实盘净值数据(iFinD）'!$B$5:$Y$1000,MATCH(L$84,'实盘净值数据(iFinD）'!$A$5:$A$1000,0),MATCH($A73,'实盘净值数据(iFinD）'!$B$3:$Y$3,0))/L$85,L109)</f>
        <v>0</v>
      </c>
      <c r="M73" t="str">
        <f ca="1">IF(G73&gt;0,COUNTIF(G$53:G73,"&gt;0"),"")</f>
        <v/>
      </c>
      <c r="N73" t="str">
        <f ca="1">IF(H73&gt;0,COUNTIF(H$53:H73,"&gt;0"),"")</f>
        <v/>
      </c>
      <c r="O73" t="str">
        <f ca="1">IF(I73&gt;0,COUNTIF(I$53:I73,"&gt;0"),"")</f>
        <v/>
      </c>
      <c r="P73" t="str">
        <f ca="1">IF(J73&gt;0,COUNTIF(J$53:J73,"&gt;0"),"")</f>
        <v/>
      </c>
      <c r="Q73">
        <f ca="1">IF(K73&gt;0,COUNTIF(K$53:K73,"&gt;0"),"")</f>
        <v>10</v>
      </c>
      <c r="R73" t="str">
        <f ca="1">IF(L73&gt;0,COUNTIF(L$53:L73,"&gt;0"),"")</f>
        <v/>
      </c>
    </row>
    <row r="74" spans="1:18" ht="13">
      <c r="A74" s="54" t="s">
        <v>50</v>
      </c>
      <c r="B74" s="52" t="s">
        <v>265</v>
      </c>
      <c r="C74" s="54" t="s">
        <v>241</v>
      </c>
      <c r="D74" s="54" t="s">
        <v>245</v>
      </c>
      <c r="E74" s="54" t="s">
        <v>245</v>
      </c>
      <c r="F74" s="54" t="s">
        <v>248</v>
      </c>
      <c r="G74" s="55">
        <f ca="1">IFERROR(INDEX(分期持仓明细!$B$5:$Y$200,G$82-4,MATCH(LEFT($A74,6),分期持仓明细!$B$3:$Y$3,0))*INDEX('实盘净值数据(iFinD）'!$B$5:$Y$1000,$B$81,MATCH($A74,'实盘净值数据(iFinD）'!$B$3:$Y$3,0))/INDEX('实盘净值数据(iFinD）'!$B$5:$Y$1000,MATCH(G$84,'实盘净值数据(iFinD）'!$A$5:$A$1000,0),MATCH($A74,'实盘净值数据(iFinD）'!$B$3:$Y$3,0))/G$85,G110)</f>
        <v>0</v>
      </c>
      <c r="H74" s="55">
        <f ca="1">IFERROR(INDEX(分期持仓明细!$B$5:$Y$200,H$82-4,MATCH(LEFT($A74,6),分期持仓明细!$B$3:$Y$3,0))*INDEX('实盘净值数据(iFinD）'!$B$5:$Y$1000,$B$81,MATCH($A74,'实盘净值数据(iFinD）'!$B$3:$Y$3,0))/INDEX('实盘净值数据(iFinD）'!$B$5:$Y$1000,MATCH(H$84,'实盘净值数据(iFinD）'!$A$5:$A$1000,0),MATCH($A74,'实盘净值数据(iFinD）'!$B$3:$Y$3,0))/H$85,H110)</f>
        <v>0</v>
      </c>
      <c r="I74" s="55">
        <f ca="1">IFERROR(INDEX(分期持仓明细!$B$5:$Y$200,I$82-4,MATCH(LEFT($A74,6),分期持仓明细!$B$3:$Y$3,0))*INDEX('实盘净值数据(iFinD）'!$B$5:$Y$1000,$B$81,MATCH($A74,'实盘净值数据(iFinD）'!$B$3:$Y$3,0))/INDEX('实盘净值数据(iFinD）'!$B$5:$Y$1000,MATCH(I$84,'实盘净值数据(iFinD）'!$A$5:$A$1000,0),MATCH($A74,'实盘净值数据(iFinD）'!$B$3:$Y$3,0))/I$85,I110)</f>
        <v>0</v>
      </c>
      <c r="J74" s="55">
        <f ca="1">IFERROR(INDEX(分期持仓明细!$B$5:$Y$200,J$82-4,MATCH(LEFT($A74,6),分期持仓明细!$B$3:$Y$3,0))*INDEX('实盘净值数据(iFinD）'!$B$5:$Y$1000,$B$81,MATCH($A74,'实盘净值数据(iFinD）'!$B$3:$Y$3,0))/INDEX('实盘净值数据(iFinD）'!$B$5:$Y$1000,MATCH(J$84,'实盘净值数据(iFinD）'!$A$5:$A$1000,0),MATCH($A74,'实盘净值数据(iFinD）'!$B$3:$Y$3,0))/J$85,J110)</f>
        <v>1.2732460528755509E-2</v>
      </c>
      <c r="K74" s="55">
        <f ca="1">IFERROR(INDEX(分期持仓明细!$B$5:$Y$200,K$82-4,MATCH(LEFT($A74,6),分期持仓明细!$B$3:$Y$3,0))*INDEX('实盘净值数据(iFinD）'!$B$5:$Y$1000,$B$81,MATCH($A74,'实盘净值数据(iFinD）'!$B$3:$Y$3,0))/INDEX('实盘净值数据(iFinD）'!$B$5:$Y$1000,MATCH(K$84,'实盘净值数据(iFinD）'!$A$5:$A$1000,0),MATCH($A74,'实盘净值数据(iFinD）'!$B$3:$Y$3,0))/K$85,K110)</f>
        <v>0</v>
      </c>
      <c r="L74" s="55">
        <f ca="1">IFERROR(INDEX(分期持仓明细!$B$5:$Y$200,L$82-4,MATCH(LEFT($A74,6),分期持仓明细!$B$3:$Y$3,0))*INDEX('实盘净值数据(iFinD）'!$B$5:$Y$1000,$B$81,MATCH($A74,'实盘净值数据(iFinD）'!$B$3:$Y$3,0))/INDEX('实盘净值数据(iFinD）'!$B$5:$Y$1000,MATCH(L$84,'实盘净值数据(iFinD）'!$A$5:$A$1000,0),MATCH($A74,'实盘净值数据(iFinD）'!$B$3:$Y$3,0))/L$85,L110)</f>
        <v>3.8012346738080217E-2</v>
      </c>
      <c r="M74" t="str">
        <f ca="1">IF(G74&gt;0,COUNTIF(G$53:G74,"&gt;0"),"")</f>
        <v/>
      </c>
      <c r="N74" t="str">
        <f ca="1">IF(H74&gt;0,COUNTIF(H$53:H74,"&gt;0"),"")</f>
        <v/>
      </c>
      <c r="O74" t="str">
        <f ca="1">IF(I74&gt;0,COUNTIF(I$53:I74,"&gt;0"),"")</f>
        <v/>
      </c>
      <c r="P74">
        <f ca="1">IF(J74&gt;0,COUNTIF(J$53:J74,"&gt;0"),"")</f>
        <v>10</v>
      </c>
      <c r="Q74" t="str">
        <f ca="1">IF(K74&gt;0,COUNTIF(K$53:K74,"&gt;0"),"")</f>
        <v/>
      </c>
      <c r="R74">
        <f ca="1">IF(L74&gt;0,COUNTIF(L$53:L74,"&gt;0"),"")</f>
        <v>10</v>
      </c>
    </row>
    <row r="75" spans="1:18" ht="13">
      <c r="A75" s="54" t="s">
        <v>51</v>
      </c>
      <c r="B75" s="52" t="s">
        <v>266</v>
      </c>
      <c r="C75" s="54" t="s">
        <v>233</v>
      </c>
      <c r="D75" s="54" t="s">
        <v>234</v>
      </c>
      <c r="E75" s="54" t="s">
        <v>267</v>
      </c>
      <c r="F75" s="54" t="s">
        <v>268</v>
      </c>
      <c r="G75" s="55">
        <f ca="1">IFERROR(INDEX(分期持仓明细!$B$5:$Y$200,G$82-4,MATCH(LEFT($A75,6),分期持仓明细!$B$3:$Y$3,0))*INDEX('实盘净值数据(iFinD）'!$B$5:$Y$1000,$B$81,MATCH($A75,'实盘净值数据(iFinD）'!$B$3:$Y$3,0))/INDEX('实盘净值数据(iFinD）'!$B$5:$Y$1000,MATCH(G$84,'实盘净值数据(iFinD）'!$A$5:$A$1000,0),MATCH($A75,'实盘净值数据(iFinD）'!$B$3:$Y$3,0))/G$85,G111)</f>
        <v>0</v>
      </c>
      <c r="H75" s="55">
        <f ca="1">IFERROR(INDEX(分期持仓明细!$B$5:$Y$200,H$82-4,MATCH(LEFT($A75,6),分期持仓明细!$B$3:$Y$3,0))*INDEX('实盘净值数据(iFinD）'!$B$5:$Y$1000,$B$81,MATCH($A75,'实盘净值数据(iFinD）'!$B$3:$Y$3,0))/INDEX('实盘净值数据(iFinD）'!$B$5:$Y$1000,MATCH(H$84,'实盘净值数据(iFinD）'!$A$5:$A$1000,0),MATCH($A75,'实盘净值数据(iFinD）'!$B$3:$Y$3,0))/H$85,H111)</f>
        <v>0</v>
      </c>
      <c r="I75" s="55">
        <f ca="1">IFERROR(INDEX(分期持仓明细!$B$5:$Y$200,I$82-4,MATCH(LEFT($A75,6),分期持仓明细!$B$3:$Y$3,0))*INDEX('实盘净值数据(iFinD）'!$B$5:$Y$1000,$B$81,MATCH($A75,'实盘净值数据(iFinD）'!$B$3:$Y$3,0))/INDEX('实盘净值数据(iFinD）'!$B$5:$Y$1000,MATCH(I$84,'实盘净值数据(iFinD）'!$A$5:$A$1000,0),MATCH($A75,'实盘净值数据(iFinD）'!$B$3:$Y$3,0))/I$85,I111)</f>
        <v>0</v>
      </c>
      <c r="J75" s="55">
        <f ca="1">IFERROR(INDEX(分期持仓明细!$B$5:$Y$200,J$82-4,MATCH(LEFT($A75,6),分期持仓明细!$B$3:$Y$3,0))*INDEX('实盘净值数据(iFinD）'!$B$5:$Y$1000,$B$81,MATCH($A75,'实盘净值数据(iFinD）'!$B$3:$Y$3,0))/INDEX('实盘净值数据(iFinD）'!$B$5:$Y$1000,MATCH(J$84,'实盘净值数据(iFinD）'!$A$5:$A$1000,0),MATCH($A75,'实盘净值数据(iFinD）'!$B$3:$Y$3,0))/J$85,J111)</f>
        <v>0.49888540472182757</v>
      </c>
      <c r="K75" s="55">
        <f ca="1">IFERROR(INDEX(分期持仓明细!$B$5:$Y$200,K$82-4,MATCH(LEFT($A75,6),分期持仓明细!$B$3:$Y$3,0))*INDEX('实盘净值数据(iFinD）'!$B$5:$Y$1000,$B$81,MATCH($A75,'实盘净值数据(iFinD）'!$B$3:$Y$3,0))/INDEX('实盘净值数据(iFinD）'!$B$5:$Y$1000,MATCH(K$84,'实盘净值数据(iFinD）'!$A$5:$A$1000,0),MATCH($A75,'实盘净值数据(iFinD）'!$B$3:$Y$3,0))/K$85,K111)</f>
        <v>0.49877002948356686</v>
      </c>
      <c r="L75" s="55">
        <f ca="1">IFERROR(INDEX(分期持仓明细!$B$5:$Y$200,L$82-4,MATCH(LEFT($A75,6),分期持仓明细!$B$3:$Y$3,0))*INDEX('实盘净值数据(iFinD）'!$B$5:$Y$1000,$B$81,MATCH($A75,'实盘净值数据(iFinD）'!$B$3:$Y$3,0))/INDEX('实盘净值数据(iFinD）'!$B$5:$Y$1000,MATCH(L$84,'实盘净值数据(iFinD）'!$A$5:$A$1000,0),MATCH($A75,'实盘净值数据(iFinD）'!$B$3:$Y$3,0))/L$85,L111)</f>
        <v>0.29788122953964724</v>
      </c>
      <c r="M75" t="str">
        <f ca="1">IF(G75&gt;0,COUNTIF(G$53:G75,"&gt;0"),"")</f>
        <v/>
      </c>
      <c r="N75" t="str">
        <f ca="1">IF(H75&gt;0,COUNTIF(H$53:H75,"&gt;0"),"")</f>
        <v/>
      </c>
      <c r="O75" t="str">
        <f ca="1">IF(I75&gt;0,COUNTIF(I$53:I75,"&gt;0"),"")</f>
        <v/>
      </c>
      <c r="P75">
        <f ca="1">IF(J75&gt;0,COUNTIF(J$53:J75,"&gt;0"),"")</f>
        <v>11</v>
      </c>
      <c r="Q75">
        <f ca="1">IF(K75&gt;0,COUNTIF(K$53:K75,"&gt;0"),"")</f>
        <v>11</v>
      </c>
      <c r="R75">
        <f ca="1">IF(L75&gt;0,COUNTIF(L$53:L75,"&gt;0"),"")</f>
        <v>11</v>
      </c>
    </row>
    <row r="76" spans="1:18" ht="13">
      <c r="A76" s="54" t="s">
        <v>61</v>
      </c>
      <c r="B76" s="52" t="s">
        <v>62</v>
      </c>
      <c r="C76" s="54" t="s">
        <v>241</v>
      </c>
      <c r="D76" s="54" t="s">
        <v>229</v>
      </c>
      <c r="E76" s="54" t="s">
        <v>242</v>
      </c>
      <c r="F76" s="54" t="s">
        <v>243</v>
      </c>
      <c r="G76" s="55">
        <f ca="1">IFERROR(INDEX(分期持仓明细!$B$5:$Y$200,G$82-4,MATCH(LEFT($A76,6),分期持仓明细!$B$3:$Y$3,0))*INDEX('实盘净值数据(iFinD）'!$B$5:$Y$1000,$B$81,MATCH($A76,'实盘净值数据(iFinD）'!$B$3:$Y$3,0))/INDEX('实盘净值数据(iFinD）'!$B$5:$Y$1000,MATCH(G$84,'实盘净值数据(iFinD）'!$A$5:$A$1000,0),MATCH($A76,'实盘净值数据(iFinD）'!$B$3:$Y$3,0))/G$85,G112)</f>
        <v>6.4744509519970544E-2</v>
      </c>
      <c r="H76" s="55">
        <f ca="1">IFERROR(INDEX(分期持仓明细!$B$5:$Y$200,H$82-4,MATCH(LEFT($A76,6),分期持仓明细!$B$3:$Y$3,0))*INDEX('实盘净值数据(iFinD）'!$B$5:$Y$1000,$B$81,MATCH($A76,'实盘净值数据(iFinD）'!$B$3:$Y$3,0))/INDEX('实盘净值数据(iFinD）'!$B$5:$Y$1000,MATCH(H$84,'实盘净值数据(iFinD）'!$A$5:$A$1000,0),MATCH($A76,'实盘净值数据(iFinD）'!$B$3:$Y$3,0))/H$85,H112)</f>
        <v>6.474482068674145E-2</v>
      </c>
      <c r="I76" s="55">
        <f ca="1">IFERROR(INDEX(分期持仓明细!$B$5:$Y$200,I$82-4,MATCH(LEFT($A76,6),分期持仓明细!$B$3:$Y$3,0))*INDEX('实盘净值数据(iFinD）'!$B$5:$Y$1000,$B$81,MATCH($A76,'实盘净值数据(iFinD）'!$B$3:$Y$3,0))/INDEX('实盘净值数据(iFinD）'!$B$5:$Y$1000,MATCH(I$84,'实盘净值数据(iFinD）'!$A$5:$A$1000,0),MATCH($A76,'实盘净值数据(iFinD）'!$B$3:$Y$3,0))/I$85,I112)</f>
        <v>6.6754592115082598E-2</v>
      </c>
      <c r="J76" s="55">
        <f ca="1">IFERROR(INDEX(分期持仓明细!$B$5:$Y$200,J$82-4,MATCH(LEFT($A76,6),分期持仓明细!$B$3:$Y$3,0))*INDEX('实盘净值数据(iFinD）'!$B$5:$Y$1000,$B$81,MATCH($A76,'实盘净值数据(iFinD）'!$B$3:$Y$3,0))/INDEX('实盘净值数据(iFinD）'!$B$5:$Y$1000,MATCH(J$84,'实盘净值数据(iFinD）'!$A$5:$A$1000,0),MATCH($A76,'实盘净值数据(iFinD）'!$B$3:$Y$3,0))/J$85,J112)</f>
        <v>8.0065096376104889E-3</v>
      </c>
      <c r="K76" s="55">
        <f ca="1">IFERROR(INDEX(分期持仓明细!$B$5:$Y$200,K$82-4,MATCH(LEFT($A76,6),分期持仓明细!$B$3:$Y$3,0))*INDEX('实盘净值数据(iFinD）'!$B$5:$Y$1000,$B$81,MATCH($A76,'实盘净值数据(iFinD）'!$B$3:$Y$3,0))/INDEX('实盘净值数据(iFinD）'!$B$5:$Y$1000,MATCH(K$84,'实盘净值数据(iFinD）'!$A$5:$A$1000,0),MATCH($A76,'实盘净值数据(iFinD）'!$B$3:$Y$3,0))/K$85,K112)</f>
        <v>1.0672877338736396E-2</v>
      </c>
      <c r="L76" s="55">
        <f ca="1">IFERROR(INDEX(分期持仓明细!$B$5:$Y$200,L$82-4,MATCH(LEFT($A76,6),分期持仓明细!$B$3:$Y$3,0))*INDEX('实盘净值数据(iFinD）'!$B$5:$Y$1000,$B$81,MATCH($A76,'实盘净值数据(iFinD）'!$B$3:$Y$3,0))/INDEX('实盘净值数据(iFinD）'!$B$5:$Y$1000,MATCH(L$84,'实盘净值数据(iFinD）'!$A$5:$A$1000,0),MATCH($A76,'实盘净值数据(iFinD）'!$B$3:$Y$3,0))/L$85,L112)</f>
        <v>2.6559082312948862E-2</v>
      </c>
      <c r="M76">
        <f ca="1">IF(G76&gt;0,COUNTIF(G$53:G76,"&gt;0"),"")</f>
        <v>7</v>
      </c>
      <c r="N76">
        <f ca="1">IF(H76&gt;0,COUNTIF(H$53:H76,"&gt;0"),"")</f>
        <v>7</v>
      </c>
      <c r="O76">
        <f ca="1">IF(I76&gt;0,COUNTIF(I$53:I76,"&gt;0"),"")</f>
        <v>7</v>
      </c>
      <c r="P76">
        <f ca="1">IF(J76&gt;0,COUNTIF(J$53:J76,"&gt;0"),"")</f>
        <v>12</v>
      </c>
      <c r="Q76">
        <f ca="1">IF(K76&gt;0,COUNTIF(K$53:K76,"&gt;0"),"")</f>
        <v>12</v>
      </c>
      <c r="R76">
        <f ca="1">IF(L76&gt;0,COUNTIF(L$53:L76,"&gt;0"),"")</f>
        <v>12</v>
      </c>
    </row>
    <row r="77" spans="1:18" ht="13">
      <c r="A77" s="54" t="s">
        <v>468</v>
      </c>
      <c r="B77" s="52" t="s">
        <v>469</v>
      </c>
      <c r="C77" s="54" t="s">
        <v>233</v>
      </c>
      <c r="D77" s="54" t="s">
        <v>234</v>
      </c>
      <c r="E77" s="54" t="s">
        <v>267</v>
      </c>
      <c r="F77" s="54" t="s">
        <v>268</v>
      </c>
      <c r="G77" s="55">
        <f ca="1">IFERROR(INDEX(分期持仓明细!$AC$5:$AC$200,G$82-4)*INDEX('实盘净值数据(iFinD）'!$Z$5:$Z$1000,$B$81)/INDEX('实盘净值数据(iFinD）'!$Z$5:$Z$1000,MATCH(G$84,'实盘净值数据(iFinD）'!$A$5:$A$1000,0))/G$85,0)</f>
        <v>0</v>
      </c>
      <c r="H77" s="55">
        <f ca="1">IFERROR(INDEX(分期持仓明细!$AC$5:$AC$200,H$82-4)*INDEX('实盘净值数据(iFinD）'!$Z$5:$Z$1000,$B$81)/INDEX('实盘净值数据(iFinD）'!$Z$5:$Z$1000,MATCH(H$84,'实盘净值数据(iFinD）'!$A$5:$A$1000,0))/H$85,0)</f>
        <v>0</v>
      </c>
      <c r="I77" s="55">
        <f ca="1">IFERROR(INDEX(分期持仓明细!$AC$5:$AC$200,I$82-4)*INDEX('实盘净值数据(iFinD）'!$Z$5:$Z$1000,$B$81)/INDEX('实盘净值数据(iFinD）'!$Z$5:$Z$1000,MATCH(I$84,'实盘净值数据(iFinD）'!$A$5:$A$1000,0))/I$85,0)</f>
        <v>0</v>
      </c>
      <c r="J77" s="55">
        <f ca="1">IFERROR(INDEX(分期持仓明细!$AC$5:$AC$200,J$82-4)*INDEX('实盘净值数据(iFinD）'!$Z$5:$Z$1000,$B$81)/INDEX('实盘净值数据(iFinD）'!$Z$5:$Z$1000,MATCH(J$84,'实盘净值数据(iFinD）'!$A$5:$A$1000,0))/J$85,0)</f>
        <v>0.14969341733671523</v>
      </c>
      <c r="K77" s="55">
        <f ca="1">IFERROR(INDEX(分期持仓明细!$AC$5:$AC$200,K$82-4)*INDEX('实盘净值数据(iFinD）'!$Z$5:$Z$1000,$B$81)/INDEX('实盘净值数据(iFinD）'!$Z$5:$Z$1000,MATCH(K$84,'实盘净值数据(iFinD）'!$A$5:$A$1000,0))/K$85,0)</f>
        <v>0.14965879833698539</v>
      </c>
      <c r="L77" s="55">
        <f ca="1">IFERROR(INDEX(分期持仓明细!$AC$5:$AC$200,L$82-4)*INDEX('实盘净值数据(iFinD）'!$Z$5:$Z$1000,$B$81)/INDEX('实盘净值数据(iFinD）'!$Z$5:$Z$1000,MATCH(L$84,'实盘净值数据(iFinD）'!$A$5:$A$1000,0))/L$85,0)</f>
        <v>9.931218402776977E-2</v>
      </c>
      <c r="M77" t="str">
        <f ca="1">IF(G77&gt;0,COUNTIF(G$53:G77,"&gt;0"),"")</f>
        <v/>
      </c>
      <c r="N77" t="str">
        <f ca="1">IF(H77&gt;0,COUNTIF(H$53:H77,"&gt;0"),"")</f>
        <v/>
      </c>
      <c r="O77" t="str">
        <f ca="1">IF(I77&gt;0,COUNTIF(I$53:I77,"&gt;0"),"")</f>
        <v/>
      </c>
      <c r="P77">
        <f ca="1">IF(J77&gt;0,COUNTIF(J$53:J77,"&gt;0"),"")</f>
        <v>13</v>
      </c>
      <c r="Q77">
        <f ca="1">IF(K77&gt;0,COUNTIF(K$53:K77,"&gt;0"),"")</f>
        <v>13</v>
      </c>
      <c r="R77">
        <f ca="1">IF(L77&gt;0,COUNTIF(L$53:L77,"&gt;0"),"")</f>
        <v>13</v>
      </c>
    </row>
    <row r="78" spans="1:18" ht="13">
      <c r="A78" s="54" t="s">
        <v>470</v>
      </c>
      <c r="B78" s="52" t="s">
        <v>471</v>
      </c>
      <c r="C78" s="54" t="s">
        <v>233</v>
      </c>
      <c r="D78" s="54" t="s">
        <v>234</v>
      </c>
      <c r="E78" s="54" t="s">
        <v>267</v>
      </c>
      <c r="F78" s="54" t="s">
        <v>268</v>
      </c>
      <c r="G78" s="55">
        <f ca="1">IFERROR(INDEX(分期持仓明细!$AD$5:$AD$200,G$82-4)*INDEX('实盘净值数据(iFinD）'!$AA$5:$AA$1000,$B$81)/INDEX('实盘净值数据(iFinD）'!$AA$5:$AA$1000,MATCH(G$84,'实盘净值数据(iFinD）'!$A$5:$A$1000,0))/G$85,0)</f>
        <v>0</v>
      </c>
      <c r="H78" s="55">
        <f ca="1">IFERROR(INDEX(分期持仓明细!$AD$5:$AD$200,H$82-4)*INDEX('实盘净值数据(iFinD）'!$AA$5:$AA$1000,$B$81)/INDEX('实盘净值数据(iFinD）'!$AA$5:$AA$1000,MATCH(H$84,'实盘净值数据(iFinD）'!$A$5:$A$1000,0))/H$85,0)</f>
        <v>0</v>
      </c>
      <c r="I78" s="55">
        <f ca="1">IFERROR(INDEX(分期持仓明细!$AD$5:$AD$200,I$82-4)*INDEX('实盘净值数据(iFinD）'!$AA$5:$AA$1000,$B$81)/INDEX('实盘净值数据(iFinD）'!$AA$5:$AA$1000,MATCH(I$84,'实盘净值数据(iFinD）'!$A$5:$A$1000,0))/I$85,0)</f>
        <v>0</v>
      </c>
      <c r="J78" s="55">
        <f ca="1">IFERROR(INDEX(分期持仓明细!$AD$5:$AD$200,J$82-4)*INDEX('实盘净值数据(iFinD）'!$AA$5:$AA$1000,$B$81)/INDEX('实盘净值数据(iFinD）'!$AA$5:$AA$1000,MATCH(J$84,'实盘净值数据(iFinD）'!$A$5:$A$1000,0))/J$85,0)</f>
        <v>0.14966023494284184</v>
      </c>
      <c r="K78" s="55">
        <f ca="1">IFERROR(INDEX(分期持仓明细!$AD$5:$AD$200,K$82-4)*INDEX('实盘净值数据(iFinD）'!$AA$5:$AA$1000,$B$81)/INDEX('实盘净值数据(iFinD）'!$AA$5:$AA$1000,MATCH(K$84,'实盘净值数据(iFinD）'!$A$5:$A$1000,0))/K$85,0)</f>
        <v>0.14962562361707191</v>
      </c>
      <c r="L78" s="55">
        <f ca="1">IFERROR(INDEX(分期持仓明细!$AD$5:$AD$200,L$82-4)*INDEX('实盘净值数据(iFinD）'!$AA$5:$AA$1000,$B$81)/INDEX('实盘净值数据(iFinD）'!$AA$5:$AA$1000,MATCH(L$84,'实盘净值数据(iFinD）'!$A$5:$A$1000,0))/L$85,0)</f>
        <v>9.9290169592763419E-2</v>
      </c>
      <c r="M78" t="str">
        <f ca="1">IF(G78&gt;0,COUNTIF(G$53:G78,"&gt;0"),"")</f>
        <v/>
      </c>
      <c r="N78" t="str">
        <f ca="1">IF(H78&gt;0,COUNTIF(H$53:H78,"&gt;0"),"")</f>
        <v/>
      </c>
      <c r="O78" t="str">
        <f ca="1">IF(I78&gt;0,COUNTIF(I$53:I78,"&gt;0"),"")</f>
        <v/>
      </c>
      <c r="P78">
        <f ca="1">IF(J78&gt;0,COUNTIF(J$53:J78,"&gt;0"),"")</f>
        <v>14</v>
      </c>
      <c r="Q78">
        <f ca="1">IF(K78&gt;0,COUNTIF(K$53:K78,"&gt;0"),"")</f>
        <v>14</v>
      </c>
      <c r="R78">
        <f ca="1">IF(L78&gt;0,COUNTIF(L$53:L78,"&gt;0"),"")</f>
        <v>14</v>
      </c>
    </row>
    <row r="79" spans="1:18" ht="13.5">
      <c r="A79" s="58" t="s">
        <v>25</v>
      </c>
      <c r="G79" s="59">
        <f t="shared" ref="G79:L79" ca="1" si="7">SUM(G53:G78)</f>
        <v>1.0000000000000002</v>
      </c>
      <c r="H79" s="59">
        <f t="shared" ca="1" si="7"/>
        <v>1</v>
      </c>
      <c r="I79" s="59">
        <f t="shared" ca="1" si="7"/>
        <v>1</v>
      </c>
      <c r="J79" s="59">
        <f t="shared" ca="1" si="7"/>
        <v>1</v>
      </c>
      <c r="K79" s="59">
        <f t="shared" ca="1" si="7"/>
        <v>0.99999999999999989</v>
      </c>
      <c r="L79" s="59">
        <f t="shared" ca="1" si="7"/>
        <v>0.99999999999999989</v>
      </c>
    </row>
    <row r="80" spans="1:18" ht="21" customHeight="1">
      <c r="A80" s="154" t="s">
        <v>269</v>
      </c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</row>
    <row r="81" spans="1:18" ht="28" customHeight="1">
      <c r="A81" s="52" t="s">
        <v>270</v>
      </c>
      <c r="B81" s="60">
        <f ca="1">IFERROR(MATCH(TODAY()-1,'实盘净值数据(iFinD）'!$A$5:$A$1000,1),0)</f>
        <v>64</v>
      </c>
      <c r="G81" s="51" t="s">
        <v>229</v>
      </c>
      <c r="H81" s="51" t="s">
        <v>230</v>
      </c>
      <c r="I81" s="51" t="s">
        <v>231</v>
      </c>
      <c r="J81" s="51" t="s">
        <v>213</v>
      </c>
      <c r="K81" s="51" t="s">
        <v>214</v>
      </c>
      <c r="L81" s="51" t="s">
        <v>215</v>
      </c>
    </row>
    <row r="82" spans="1:18" ht="13">
      <c r="A82" s="52" t="s">
        <v>271</v>
      </c>
      <c r="B82" s="53">
        <f ca="1">IF($B$81=0,"",INDEX('实盘净值数据(iFinD）'!$A$5:$A$1000,$B$81))</f>
        <v>46281</v>
      </c>
      <c r="F82" s="62" t="s">
        <v>272</v>
      </c>
      <c r="G82" s="52">
        <f t="shared" ref="G82:L82" si="8">IFERROR(MAX(M$86:M$281),0)</f>
        <v>17</v>
      </c>
      <c r="H82" s="52">
        <f t="shared" si="8"/>
        <v>18</v>
      </c>
      <c r="I82" s="52">
        <f t="shared" si="8"/>
        <v>19</v>
      </c>
      <c r="J82" s="52">
        <f t="shared" si="8"/>
        <v>23</v>
      </c>
      <c r="K82" s="52">
        <f t="shared" si="8"/>
        <v>24</v>
      </c>
      <c r="L82" s="52">
        <f t="shared" si="8"/>
        <v>25</v>
      </c>
    </row>
    <row r="83" spans="1:18" ht="32.15" customHeight="1">
      <c r="A83" s="52"/>
      <c r="B83" s="52"/>
      <c r="F83" s="62" t="s">
        <v>273</v>
      </c>
      <c r="G83" s="63" t="str">
        <f>IF(G$82=0,"",INDEX(分期持仓明细!$A$5:$A$200,G$82-4))</f>
        <v>产业趋势 · P1(7/10调仓后)</v>
      </c>
      <c r="H83" s="63" t="str">
        <f>IF(H$82=0,"",INDEX(分期持仓明细!$A$5:$A$200,H$82-4))</f>
        <v>产业趋势基石 · P1(7/10调仓后)</v>
      </c>
      <c r="I83" s="63" t="str">
        <f>IF(I$82=0,"",INDEX(分期持仓明细!$A$5:$A$200,I$82-4))</f>
        <v>产业趋势2号 · P1(7/10调仓后)</v>
      </c>
      <c r="J83" s="63" t="str">
        <f>IF(J$82=0,"",INDEX(分期持仓明细!$A$5:$A$200,J$82-4))</f>
        <v>10-90 · P4(9/11调仓及动平衡后)</v>
      </c>
      <c r="K83" s="63" t="str">
        <f>IF(K$82=0,"",INDEX(分期持仓明细!$A$5:$A$200,K$82-4))</f>
        <v>10-90基石 · P4(9/11调仓及动平衡后)</v>
      </c>
      <c r="L83" s="63" t="str">
        <f>IF(L$82=0,"",INDEX(分期持仓明细!$A$5:$A$200,L$82-4))</f>
        <v>30-70 · P4(9/11调仓及动平衡后)</v>
      </c>
    </row>
    <row r="84" spans="1:18" ht="13">
      <c r="A84" s="52"/>
      <c r="B84" s="52"/>
      <c r="F84" s="62" t="s">
        <v>97</v>
      </c>
      <c r="G84" s="53">
        <f>IF(G$82=0,"",INDEX(分期持仓明细!$AA$5:$AA$200,G$82-4))</f>
        <v>46213</v>
      </c>
      <c r="H84" s="53">
        <f>IF(H$82=0,"",INDEX(分期持仓明细!$AA$5:$AA$200,H$82-4))</f>
        <v>46213</v>
      </c>
      <c r="I84" s="53">
        <f>IF(I$82=0,"",INDEX(分期持仓明细!$AA$5:$AA$200,I$82-4))</f>
        <v>46213</v>
      </c>
      <c r="J84" s="53">
        <f>IF(J$82=0,"",INDEX(分期持仓明细!$AA$5:$AA$200,J$82-4))</f>
        <v>46276</v>
      </c>
      <c r="K84" s="53">
        <f>IF(K$82=0,"",INDEX(分期持仓明细!$AA$5:$AA$200,K$82-4))</f>
        <v>46276</v>
      </c>
      <c r="L84" s="53">
        <f>IF(L$82=0,"",INDEX(分期持仓明细!$AA$5:$AA$200,L$82-4))</f>
        <v>46276</v>
      </c>
    </row>
    <row r="85" spans="1:18" ht="13">
      <c r="A85" s="52"/>
      <c r="B85" s="52"/>
      <c r="F85" s="62" t="s">
        <v>274</v>
      </c>
      <c r="G85" s="61">
        <f ca="1">IFERROR(SUMPRODUCT(INDEX(分期持仓明细!$B$5:$Y$200,G$82-4,0),INDEX('实盘净值数据(iFinD）'!$B$5:$Y$1000,$B$81,0)/INDEX('实盘净值数据(iFinD）'!$B$5:$Y$1000,MATCH(G$84,'实盘净值数据(iFinD）'!$A$5:$A$1000,0),0))+SUMPRODUCT(INDEX(分期持仓明细!$AC$5:$AD$200,G$82-4,0),INDEX('实盘净值数据(iFinD）'!$Z$5:$AA$1000,$B$81,0)/INDEX('实盘净值数据(iFinD）'!$Z$5:$AA$1000,MATCH(G$84,'实盘净值数据(iFinD）'!$A$5:$A$1000,0),0)),0)</f>
        <v>0.87627778166321635</v>
      </c>
      <c r="H85" s="61">
        <f ca="1">IFERROR(SUMPRODUCT(INDEX(分期持仓明细!$B$5:$Y$200,H$82-4,0),INDEX('实盘净值数据(iFinD）'!$B$5:$Y$1000,$B$81,0)/INDEX('实盘净值数据(iFinD）'!$B$5:$Y$1000,MATCH(H$84,'实盘净值数据(iFinD）'!$A$5:$A$1000,0),0))+SUMPRODUCT(INDEX(分期持仓明细!$AC$5:$AD$200,H$82-4,0),INDEX('实盘净值数据(iFinD）'!$Z$5:$AA$1000,$B$81,0)/INDEX('实盘净值数据(iFinD）'!$Z$5:$AA$1000,MATCH(H$84,'实盘净值数据(iFinD）'!$A$5:$A$1000,0),0)),0)</f>
        <v>0.87626671214654139</v>
      </c>
      <c r="I85" s="61">
        <f ca="1">IFERROR(SUMPRODUCT(INDEX(分期持仓明细!$B$5:$Y$200,I$82-4,0),INDEX('实盘净值数据(iFinD）'!$B$5:$Y$1000,$B$81,0)/INDEX('实盘净值数据(iFinD）'!$B$5:$Y$1000,MATCH(I$84,'实盘净值数据(iFinD）'!$A$5:$A$1000,0),0))+SUMPRODUCT(INDEX(分期持仓明细!$AC$5:$AD$200,I$82-4,0),INDEX('实盘净值数据(iFinD）'!$Z$5:$AA$1000,$B$81,0)/INDEX('实盘净值数据(iFinD）'!$Z$5:$AA$1000,MATCH(I$84,'实盘净值数据(iFinD）'!$A$5:$A$1000,0),0)),0)</f>
        <v>0.84988238573387154</v>
      </c>
      <c r="J85" s="61">
        <f ca="1">IFERROR(SUMPRODUCT(INDEX(分期持仓明细!$B$5:$Y$200,J$82-4,0),INDEX('实盘净值数据(iFinD）'!$B$5:$Y$1000,$B$81,0)/INDEX('实盘净值数据(iFinD）'!$B$5:$Y$1000,MATCH(J$84,'实盘净值数据(iFinD）'!$A$5:$A$1000,0),0))+SUMPRODUCT(INDEX(分期持仓明细!$AC$5:$AD$200,J$82-4,0),INDEX('实盘净值数据(iFinD）'!$Z$5:$AA$1000,$B$81,0)/INDEX('实盘净值数据(iFinD）'!$Z$5:$AA$1000,MATCH(J$84,'实盘净值数据(iFinD）'!$A$5:$A$1000,0),0)),0)</f>
        <v>1.0028457639747801</v>
      </c>
      <c r="K85" s="61">
        <f ca="1">IFERROR(SUMPRODUCT(INDEX(分期持仓明细!$B$5:$Y$200,K$82-4,0),INDEX('实盘净值数据(iFinD）'!$B$5:$Y$1000,$B$81,0)/INDEX('实盘净值数据(iFinD）'!$B$5:$Y$1000,MATCH(K$84,'实盘净值数据(iFinD）'!$A$5:$A$1000,0),0))+SUMPRODUCT(INDEX(分期持仓明细!$AC$5:$AD$200,K$82-4,0),INDEX('实盘净值数据(iFinD）'!$Z$5:$AA$1000,$B$81,0)/INDEX('实盘净值数据(iFinD）'!$Z$5:$AA$1000,MATCH(K$84,'实盘净值数据(iFinD）'!$A$5:$A$1000,0),0)),0)</f>
        <v>1.0030777417643781</v>
      </c>
      <c r="L85" s="61">
        <f ca="1">IFERROR(SUMPRODUCT(INDEX(分期持仓明细!$B$5:$Y$200,L$82-4,0),INDEX('实盘净值数据(iFinD）'!$B$5:$Y$1000,$B$81,0)/INDEX('实盘净值数据(iFinD）'!$B$5:$Y$1000,MATCH(L$84,'实盘净值数据(iFinD）'!$A$5:$A$1000,0),0))+SUMPRODUCT(INDEX(分期持仓明细!$AC$5:$AD$200,L$82-4,0),INDEX('实盘净值数据(iFinD）'!$Z$5:$AA$1000,$B$81,0)/INDEX('实盘净值数据(iFinD）'!$Z$5:$AA$1000,MATCH(L$84,'实盘净值数据(iFinD）'!$A$5:$A$1000,0),0)),0)</f>
        <v>1.0077273729680354</v>
      </c>
    </row>
    <row r="86" spans="1:18">
      <c r="M86">
        <f>IF(LEFT(分期持仓明细!$A$5,LEN(G$81)+2)=G$81&amp;" ·",ROW(分期持仓明细!$A$5),0)</f>
        <v>5</v>
      </c>
      <c r="N86">
        <f>IF(LEFT(分期持仓明细!$A$5,LEN(H$81)+2)=H$81&amp;" ·",ROW(分期持仓明细!$A$5),0)</f>
        <v>0</v>
      </c>
      <c r="O86">
        <f>IF(LEFT(分期持仓明细!$A$5,LEN(I$81)+2)=I$81&amp;" ·",ROW(分期持仓明细!$A$5),0)</f>
        <v>0</v>
      </c>
      <c r="P86">
        <f>IF(LEFT(分期持仓明细!$A$5,LEN(J$81)+2)=J$81&amp;" ·",ROW(分期持仓明细!$A$5),0)</f>
        <v>0</v>
      </c>
      <c r="Q86">
        <f>IF(LEFT(分期持仓明细!$A$5,LEN(K$81)+2)=K$81&amp;" ·",ROW(分期持仓明细!$A$5),0)</f>
        <v>0</v>
      </c>
      <c r="R86">
        <f>IF(LEFT(分期持仓明细!$A$5,LEN(L$81)+2)=L$81&amp;" ·",ROW(分期持仓明细!$A$5),0)</f>
        <v>0</v>
      </c>
    </row>
    <row r="87" spans="1:18">
      <c r="M87">
        <f>IF(LEFT(分期持仓明细!$A$6,LEN(G$81)+2)=G$81&amp;" ·",ROW(分期持仓明细!$A$6),0)</f>
        <v>0</v>
      </c>
      <c r="N87">
        <f>IF(LEFT(分期持仓明细!$A$6,LEN(H$81)+2)=H$81&amp;" ·",ROW(分期持仓明细!$A$6),0)</f>
        <v>6</v>
      </c>
      <c r="O87">
        <f>IF(LEFT(分期持仓明细!$A$6,LEN(I$81)+2)=I$81&amp;" ·",ROW(分期持仓明细!$A$6),0)</f>
        <v>0</v>
      </c>
      <c r="P87">
        <f>IF(LEFT(分期持仓明细!$A$6,LEN(J$81)+2)=J$81&amp;" ·",ROW(分期持仓明细!$A$6),0)</f>
        <v>0</v>
      </c>
      <c r="Q87">
        <f>IF(LEFT(分期持仓明细!$A$6,LEN(K$81)+2)=K$81&amp;" ·",ROW(分期持仓明细!$A$6),0)</f>
        <v>0</v>
      </c>
      <c r="R87">
        <f>IF(LEFT(分期持仓明细!$A$6,LEN(L$81)+2)=L$81&amp;" ·",ROW(分期持仓明细!$A$6),0)</f>
        <v>0</v>
      </c>
    </row>
    <row r="88" spans="1:18" ht="14.5">
      <c r="A88" s="156" t="s">
        <v>275</v>
      </c>
      <c r="B88" s="156"/>
      <c r="C88" s="156"/>
      <c r="D88" s="156"/>
      <c r="E88" s="156"/>
      <c r="F88" s="157"/>
      <c r="G88" s="51" t="s">
        <v>229</v>
      </c>
      <c r="H88" s="51" t="s">
        <v>230</v>
      </c>
      <c r="I88" s="51" t="s">
        <v>231</v>
      </c>
      <c r="J88" s="51" t="s">
        <v>213</v>
      </c>
      <c r="K88" s="51" t="s">
        <v>214</v>
      </c>
      <c r="L88" s="51" t="s">
        <v>215</v>
      </c>
      <c r="M88">
        <f>IF(LEFT(分期持仓明细!$A$7,LEN(G$81)+2)=G$81&amp;" ·",ROW(分期持仓明细!$A$7),0)</f>
        <v>0</v>
      </c>
      <c r="N88">
        <f>IF(LEFT(分期持仓明细!$A$7,LEN(H$81)+2)=H$81&amp;" ·",ROW(分期持仓明细!$A$7),0)</f>
        <v>0</v>
      </c>
      <c r="O88">
        <f>IF(LEFT(分期持仓明细!$A$7,LEN(I$81)+2)=I$81&amp;" ·",ROW(分期持仓明细!$A$7),0)</f>
        <v>7</v>
      </c>
      <c r="P88">
        <f>IF(LEFT(分期持仓明细!$A$7,LEN(J$81)+2)=J$81&amp;" ·",ROW(分期持仓明细!$A$7),0)</f>
        <v>0</v>
      </c>
      <c r="Q88">
        <f>IF(LEFT(分期持仓明细!$A$7,LEN(K$81)+2)=K$81&amp;" ·",ROW(分期持仓明细!$A$7),0)</f>
        <v>0</v>
      </c>
      <c r="R88">
        <f>IF(LEFT(分期持仓明细!$A$7,LEN(L$81)+2)=L$81&amp;" ·",ROW(分期持仓明细!$A$7),0)</f>
        <v>0</v>
      </c>
    </row>
    <row r="89" spans="1:18" ht="13">
      <c r="A89" s="54" t="s">
        <v>29</v>
      </c>
      <c r="B89" s="52" t="s">
        <v>232</v>
      </c>
      <c r="C89" s="54" t="s">
        <v>233</v>
      </c>
      <c r="D89" s="54" t="s">
        <v>234</v>
      </c>
      <c r="E89" s="54" t="s">
        <v>235</v>
      </c>
      <c r="F89" s="54" t="s">
        <v>236</v>
      </c>
      <c r="G89" s="55">
        <v>0</v>
      </c>
      <c r="H89" s="55">
        <v>0</v>
      </c>
      <c r="I89" s="55">
        <v>0</v>
      </c>
      <c r="J89" s="55">
        <v>5.4143474472245108E-2</v>
      </c>
      <c r="K89" s="55">
        <v>5.1794493820263125E-2</v>
      </c>
      <c r="L89" s="55">
        <v>0.10785060309605504</v>
      </c>
      <c r="M89">
        <f>IF(LEFT(分期持仓明细!$A$8,LEN(G$81)+2)=G$81&amp;" ·",ROW(分期持仓明细!$A$8),0)</f>
        <v>0</v>
      </c>
      <c r="N89">
        <f>IF(LEFT(分期持仓明细!$A$8,LEN(H$81)+2)=H$81&amp;" ·",ROW(分期持仓明细!$A$8),0)</f>
        <v>0</v>
      </c>
      <c r="O89">
        <f>IF(LEFT(分期持仓明细!$A$8,LEN(I$81)+2)=I$81&amp;" ·",ROW(分期持仓明细!$A$8),0)</f>
        <v>0</v>
      </c>
      <c r="P89">
        <f>IF(LEFT(分期持仓明细!$A$8,LEN(J$81)+2)=J$81&amp;" ·",ROW(分期持仓明细!$A$8),0)</f>
        <v>8</v>
      </c>
      <c r="Q89">
        <f>IF(LEFT(分期持仓明细!$A$8,LEN(K$81)+2)=K$81&amp;" ·",ROW(分期持仓明细!$A$8),0)</f>
        <v>0</v>
      </c>
      <c r="R89">
        <f>IF(LEFT(分期持仓明细!$A$8,LEN(L$81)+2)=L$81&amp;" ·",ROW(分期持仓明细!$A$8),0)</f>
        <v>0</v>
      </c>
    </row>
    <row r="90" spans="1:18" ht="13">
      <c r="A90" s="54" t="s">
        <v>30</v>
      </c>
      <c r="B90" s="52" t="s">
        <v>237</v>
      </c>
      <c r="C90" s="54" t="s">
        <v>233</v>
      </c>
      <c r="D90" s="54" t="s">
        <v>234</v>
      </c>
      <c r="E90" s="54" t="s">
        <v>238</v>
      </c>
      <c r="F90" s="54" t="s">
        <v>239</v>
      </c>
      <c r="G90" s="55">
        <v>5.4338345878986755E-2</v>
      </c>
      <c r="H90" s="55">
        <v>5.3133033237809359E-2</v>
      </c>
      <c r="I90" s="55">
        <v>5.1280127993777687E-2</v>
      </c>
      <c r="J90" s="55">
        <v>4.3923928891400975E-2</v>
      </c>
      <c r="K90" s="55">
        <v>4.395376124085798E-2</v>
      </c>
      <c r="L90" s="55">
        <v>8.5304372068088219E-2</v>
      </c>
      <c r="M90">
        <f>IF(LEFT(分期持仓明细!$A$9,LEN(G$81)+2)=G$81&amp;" ·",ROW(分期持仓明细!$A$9),0)</f>
        <v>0</v>
      </c>
      <c r="N90">
        <f>IF(LEFT(分期持仓明细!$A$9,LEN(H$81)+2)=H$81&amp;" ·",ROW(分期持仓明细!$A$9),0)</f>
        <v>0</v>
      </c>
      <c r="O90">
        <f>IF(LEFT(分期持仓明细!$A$9,LEN(I$81)+2)=I$81&amp;" ·",ROW(分期持仓明细!$A$9),0)</f>
        <v>0</v>
      </c>
      <c r="P90">
        <f>IF(LEFT(分期持仓明细!$A$9,LEN(J$81)+2)=J$81&amp;" ·",ROW(分期持仓明细!$A$9),0)</f>
        <v>9</v>
      </c>
      <c r="Q90">
        <f>IF(LEFT(分期持仓明细!$A$9,LEN(K$81)+2)=K$81&amp;" ·",ROW(分期持仓明细!$A$9),0)</f>
        <v>0</v>
      </c>
      <c r="R90">
        <f>IF(LEFT(分期持仓明细!$A$9,LEN(L$81)+2)=L$81&amp;" ·",ROW(分期持仓明细!$A$9),0)</f>
        <v>0</v>
      </c>
    </row>
    <row r="91" spans="1:18" ht="13">
      <c r="A91" s="54" t="s">
        <v>31</v>
      </c>
      <c r="B91" s="52" t="s">
        <v>240</v>
      </c>
      <c r="C91" s="54" t="s">
        <v>241</v>
      </c>
      <c r="D91" s="54" t="s">
        <v>229</v>
      </c>
      <c r="E91" s="54" t="s">
        <v>242</v>
      </c>
      <c r="F91" s="54" t="s">
        <v>243</v>
      </c>
      <c r="G91" s="55">
        <v>0.1681479854041161</v>
      </c>
      <c r="H91" s="55">
        <v>0.16972434194387825</v>
      </c>
      <c r="I91" s="55">
        <v>0</v>
      </c>
      <c r="J91" s="55">
        <v>0</v>
      </c>
      <c r="K91" s="55">
        <v>8.7369099448945005E-3</v>
      </c>
      <c r="L91" s="55">
        <v>0</v>
      </c>
      <c r="M91">
        <f>IF(LEFT(分期持仓明细!$A$10,LEN(G$81)+2)=G$81&amp;" ·",ROW(分期持仓明细!$A$10),0)</f>
        <v>0</v>
      </c>
      <c r="N91">
        <f>IF(LEFT(分期持仓明细!$A$10,LEN(H$81)+2)=H$81&amp;" ·",ROW(分期持仓明细!$A$10),0)</f>
        <v>0</v>
      </c>
      <c r="O91">
        <f>IF(LEFT(分期持仓明细!$A$10,LEN(I$81)+2)=I$81&amp;" ·",ROW(分期持仓明细!$A$10),0)</f>
        <v>0</v>
      </c>
      <c r="P91">
        <f>IF(LEFT(分期持仓明细!$A$10,LEN(J$81)+2)=J$81&amp;" ·",ROW(分期持仓明细!$A$10),0)</f>
        <v>0</v>
      </c>
      <c r="Q91">
        <f>IF(LEFT(分期持仓明细!$A$10,LEN(K$81)+2)=K$81&amp;" ·",ROW(分期持仓明细!$A$10),0)</f>
        <v>10</v>
      </c>
      <c r="R91">
        <f>IF(LEFT(分期持仓明细!$A$10,LEN(L$81)+2)=L$81&amp;" ·",ROW(分期持仓明细!$A$10),0)</f>
        <v>0</v>
      </c>
    </row>
    <row r="92" spans="1:18" ht="13">
      <c r="A92" s="54" t="s">
        <v>32</v>
      </c>
      <c r="B92" s="52" t="s">
        <v>244</v>
      </c>
      <c r="C92" s="54" t="s">
        <v>241</v>
      </c>
      <c r="D92" s="54" t="s">
        <v>245</v>
      </c>
      <c r="E92" s="54" t="s">
        <v>245</v>
      </c>
      <c r="F92" s="54" t="s">
        <v>246</v>
      </c>
      <c r="G92" s="55">
        <v>0</v>
      </c>
      <c r="H92" s="55">
        <v>0</v>
      </c>
      <c r="I92" s="55">
        <v>0</v>
      </c>
      <c r="J92" s="55">
        <v>0</v>
      </c>
      <c r="K92" s="55">
        <v>1.28975499557758E-2</v>
      </c>
      <c r="L92" s="55">
        <v>0</v>
      </c>
      <c r="M92">
        <f>IF(LEFT(分期持仓明细!$A$11,LEN(G$81)+2)=G$81&amp;" ·",ROW(分期持仓明细!$A$11),0)</f>
        <v>0</v>
      </c>
      <c r="N92">
        <f>IF(LEFT(分期持仓明细!$A$11,LEN(H$81)+2)=H$81&amp;" ·",ROW(分期持仓明细!$A$11),0)</f>
        <v>0</v>
      </c>
      <c r="O92">
        <f>IF(LEFT(分期持仓明细!$A$11,LEN(I$81)+2)=I$81&amp;" ·",ROW(分期持仓明细!$A$11),0)</f>
        <v>0</v>
      </c>
      <c r="P92">
        <f>IF(LEFT(分期持仓明细!$A$11,LEN(J$81)+2)=J$81&amp;" ·",ROW(分期持仓明细!$A$11),0)</f>
        <v>0</v>
      </c>
      <c r="Q92">
        <f>IF(LEFT(分期持仓明细!$A$11,LEN(K$81)+2)=K$81&amp;" ·",ROW(分期持仓明细!$A$11),0)</f>
        <v>11</v>
      </c>
      <c r="R92">
        <f>IF(LEFT(分期持仓明细!$A$11,LEN(L$81)+2)=L$81&amp;" ·",ROW(分期持仓明细!$A$11),0)</f>
        <v>0</v>
      </c>
    </row>
    <row r="93" spans="1:18" ht="13">
      <c r="A93" s="54" t="s">
        <v>33</v>
      </c>
      <c r="B93" s="52" t="s">
        <v>247</v>
      </c>
      <c r="C93" s="54" t="s">
        <v>241</v>
      </c>
      <c r="D93" s="54" t="s">
        <v>245</v>
      </c>
      <c r="E93" s="54" t="s">
        <v>245</v>
      </c>
      <c r="F93" s="54" t="s">
        <v>248</v>
      </c>
      <c r="G93" s="55">
        <v>0</v>
      </c>
      <c r="H93" s="55">
        <v>0</v>
      </c>
      <c r="I93" s="55">
        <v>0</v>
      </c>
      <c r="J93" s="55">
        <v>1.2855558252454736E-2</v>
      </c>
      <c r="K93" s="55">
        <v>0</v>
      </c>
      <c r="L93" s="55">
        <v>3.8410341115140779E-2</v>
      </c>
      <c r="M93">
        <f>IF(LEFT(分期持仓明细!$A$12,LEN(G$81)+2)=G$81&amp;" ·",ROW(分期持仓明细!$A$12),0)</f>
        <v>0</v>
      </c>
      <c r="N93">
        <f>IF(LEFT(分期持仓明细!$A$12,LEN(H$81)+2)=H$81&amp;" ·",ROW(分期持仓明细!$A$12),0)</f>
        <v>0</v>
      </c>
      <c r="O93">
        <f>IF(LEFT(分期持仓明细!$A$12,LEN(I$81)+2)=I$81&amp;" ·",ROW(分期持仓明细!$A$12),0)</f>
        <v>0</v>
      </c>
      <c r="P93">
        <f>IF(LEFT(分期持仓明细!$A$12,LEN(J$81)+2)=J$81&amp;" ·",ROW(分期持仓明细!$A$12),0)</f>
        <v>0</v>
      </c>
      <c r="Q93">
        <f>IF(LEFT(分期持仓明细!$A$12,LEN(K$81)+2)=K$81&amp;" ·",ROW(分期持仓明细!$A$12),0)</f>
        <v>0</v>
      </c>
      <c r="R93">
        <f>IF(LEFT(分期持仓明细!$A$12,LEN(L$81)+2)=L$81&amp;" ·",ROW(分期持仓明细!$A$12),0)</f>
        <v>12</v>
      </c>
    </row>
    <row r="94" spans="1:18" ht="13">
      <c r="A94" s="54" t="s">
        <v>34</v>
      </c>
      <c r="B94" s="52" t="s">
        <v>249</v>
      </c>
      <c r="C94" s="54" t="s">
        <v>241</v>
      </c>
      <c r="D94" s="54" t="s">
        <v>229</v>
      </c>
      <c r="E94" s="54" t="s">
        <v>250</v>
      </c>
      <c r="F94" s="54" t="s">
        <v>243</v>
      </c>
      <c r="G94" s="55">
        <v>0</v>
      </c>
      <c r="H94" s="55">
        <v>0</v>
      </c>
      <c r="I94" s="55">
        <v>0</v>
      </c>
      <c r="J94" s="55">
        <v>0</v>
      </c>
      <c r="K94" s="55">
        <v>0</v>
      </c>
      <c r="L94" s="55">
        <v>0</v>
      </c>
      <c r="M94">
        <f>IF(LEFT(分期持仓明细!$A$13,LEN(G$81)+2)=G$81&amp;" ·",ROW(分期持仓明细!$A$13),0)</f>
        <v>0</v>
      </c>
      <c r="N94">
        <f>IF(LEFT(分期持仓明细!$A$13,LEN(H$81)+2)=H$81&amp;" ·",ROW(分期持仓明细!$A$13),0)</f>
        <v>0</v>
      </c>
      <c r="O94">
        <f>IF(LEFT(分期持仓明细!$A$13,LEN(I$81)+2)=I$81&amp;" ·",ROW(分期持仓明细!$A$13),0)</f>
        <v>0</v>
      </c>
      <c r="P94">
        <f>IF(LEFT(分期持仓明细!$A$13,LEN(J$81)+2)=J$81&amp;" ·",ROW(分期持仓明细!$A$13),0)</f>
        <v>0</v>
      </c>
      <c r="Q94">
        <f>IF(LEFT(分期持仓明细!$A$13,LEN(K$81)+2)=K$81&amp;" ·",ROW(分期持仓明细!$A$13),0)</f>
        <v>0</v>
      </c>
      <c r="R94">
        <f>IF(LEFT(分期持仓明细!$A$13,LEN(L$81)+2)=L$81&amp;" ·",ROW(分期持仓明细!$A$13),0)</f>
        <v>13</v>
      </c>
    </row>
    <row r="95" spans="1:18" ht="13">
      <c r="A95" s="54" t="s">
        <v>35</v>
      </c>
      <c r="B95" s="52" t="s">
        <v>251</v>
      </c>
      <c r="C95" s="54" t="s">
        <v>241</v>
      </c>
      <c r="D95" s="54" t="s">
        <v>229</v>
      </c>
      <c r="E95" s="54" t="s">
        <v>250</v>
      </c>
      <c r="F95" s="54" t="s">
        <v>248</v>
      </c>
      <c r="G95" s="55">
        <v>0</v>
      </c>
      <c r="H95" s="55">
        <v>0</v>
      </c>
      <c r="I95" s="55">
        <v>0</v>
      </c>
      <c r="J95" s="55">
        <v>0</v>
      </c>
      <c r="K95" s="55">
        <v>0</v>
      </c>
      <c r="L95" s="55">
        <v>0</v>
      </c>
      <c r="M95">
        <f>IF(LEFT(分期持仓明细!$A$14,LEN(G$81)+2)=G$81&amp;" ·",ROW(分期持仓明细!$A$14),0)</f>
        <v>0</v>
      </c>
      <c r="N95">
        <f>IF(LEFT(分期持仓明细!$A$14,LEN(H$81)+2)=H$81&amp;" ·",ROW(分期持仓明细!$A$14),0)</f>
        <v>0</v>
      </c>
      <c r="O95">
        <f>IF(LEFT(分期持仓明细!$A$14,LEN(I$81)+2)=I$81&amp;" ·",ROW(分期持仓明细!$A$14),0)</f>
        <v>0</v>
      </c>
      <c r="P95">
        <f>IF(LEFT(分期持仓明细!$A$14,LEN(J$81)+2)=J$81&amp;" ·",ROW(分期持仓明细!$A$14),0)</f>
        <v>14</v>
      </c>
      <c r="Q95">
        <f>IF(LEFT(分期持仓明细!$A$14,LEN(K$81)+2)=K$81&amp;" ·",ROW(分期持仓明细!$A$14),0)</f>
        <v>0</v>
      </c>
      <c r="R95">
        <f>IF(LEFT(分期持仓明细!$A$14,LEN(L$81)+2)=L$81&amp;" ·",ROW(分期持仓明细!$A$14),0)</f>
        <v>0</v>
      </c>
    </row>
    <row r="96" spans="1:18" ht="13">
      <c r="A96" s="54" t="s">
        <v>36</v>
      </c>
      <c r="B96" s="52" t="s">
        <v>9</v>
      </c>
      <c r="C96" s="54" t="s">
        <v>241</v>
      </c>
      <c r="D96" s="54" t="s">
        <v>229</v>
      </c>
      <c r="E96" s="54" t="s">
        <v>242</v>
      </c>
      <c r="F96" s="54" t="s">
        <v>239</v>
      </c>
      <c r="G96" s="55">
        <v>0</v>
      </c>
      <c r="H96" s="55">
        <v>0</v>
      </c>
      <c r="I96" s="55">
        <v>0.18643460253095584</v>
      </c>
      <c r="J96" s="55">
        <v>9.6300294724422451E-3</v>
      </c>
      <c r="K96" s="55">
        <v>0</v>
      </c>
      <c r="L96" s="55">
        <v>2.8773694107794432E-2</v>
      </c>
      <c r="M96">
        <f>IF(LEFT(分期持仓明细!$A$15,LEN(G$81)+2)=G$81&amp;" ·",ROW(分期持仓明细!$A$15),0)</f>
        <v>0</v>
      </c>
      <c r="N96">
        <f>IF(LEFT(分期持仓明细!$A$15,LEN(H$81)+2)=H$81&amp;" ·",ROW(分期持仓明细!$A$15),0)</f>
        <v>0</v>
      </c>
      <c r="O96">
        <f>IF(LEFT(分期持仓明细!$A$15,LEN(I$81)+2)=I$81&amp;" ·",ROW(分期持仓明细!$A$15),0)</f>
        <v>0</v>
      </c>
      <c r="P96">
        <f>IF(LEFT(分期持仓明细!$A$15,LEN(J$81)+2)=J$81&amp;" ·",ROW(分期持仓明细!$A$15),0)</f>
        <v>0</v>
      </c>
      <c r="Q96">
        <f>IF(LEFT(分期持仓明细!$A$15,LEN(K$81)+2)=K$81&amp;" ·",ROW(分期持仓明细!$A$15),0)</f>
        <v>15</v>
      </c>
      <c r="R96">
        <f>IF(LEFT(分期持仓明细!$A$15,LEN(L$81)+2)=L$81&amp;" ·",ROW(分期持仓明细!$A$15),0)</f>
        <v>0</v>
      </c>
    </row>
    <row r="97" spans="1:18" ht="13">
      <c r="A97" s="54" t="s">
        <v>37</v>
      </c>
      <c r="B97" s="52" t="s">
        <v>252</v>
      </c>
      <c r="C97" s="54" t="s">
        <v>241</v>
      </c>
      <c r="D97" s="54" t="s">
        <v>229</v>
      </c>
      <c r="E97" s="54" t="s">
        <v>242</v>
      </c>
      <c r="F97" s="54" t="s">
        <v>243</v>
      </c>
      <c r="G97" s="55">
        <v>0.24648996572257403</v>
      </c>
      <c r="H97" s="55">
        <v>0.24475713621132436</v>
      </c>
      <c r="I97" s="55">
        <v>0</v>
      </c>
      <c r="J97" s="55">
        <v>0</v>
      </c>
      <c r="K97" s="55">
        <v>1.2259140073502661E-2</v>
      </c>
      <c r="L97" s="55">
        <v>0</v>
      </c>
      <c r="M97">
        <f>IF(LEFT(分期持仓明细!$A$16,LEN(G$81)+2)=G$81&amp;" ·",ROW(分期持仓明细!$A$16),0)</f>
        <v>0</v>
      </c>
      <c r="N97">
        <f>IF(LEFT(分期持仓明细!$A$16,LEN(H$81)+2)=H$81&amp;" ·",ROW(分期持仓明细!$A$16),0)</f>
        <v>0</v>
      </c>
      <c r="O97">
        <f>IF(LEFT(分期持仓明细!$A$16,LEN(I$81)+2)=I$81&amp;" ·",ROW(分期持仓明细!$A$16),0)</f>
        <v>0</v>
      </c>
      <c r="P97">
        <f>IF(LEFT(分期持仓明细!$A$16,LEN(J$81)+2)=J$81&amp;" ·",ROW(分期持仓明细!$A$16),0)</f>
        <v>0</v>
      </c>
      <c r="Q97">
        <f>IF(LEFT(分期持仓明细!$A$16,LEN(K$81)+2)=K$81&amp;" ·",ROW(分期持仓明细!$A$16),0)</f>
        <v>0</v>
      </c>
      <c r="R97">
        <f>IF(LEFT(分期持仓明细!$A$16,LEN(L$81)+2)=L$81&amp;" ·",ROW(分期持仓明细!$A$16),0)</f>
        <v>16</v>
      </c>
    </row>
    <row r="98" spans="1:18" ht="13">
      <c r="A98" s="54" t="s">
        <v>38</v>
      </c>
      <c r="B98" s="52" t="s">
        <v>253</v>
      </c>
      <c r="C98" s="54" t="s">
        <v>241</v>
      </c>
      <c r="D98" s="54" t="s">
        <v>229</v>
      </c>
      <c r="E98" s="54" t="s">
        <v>242</v>
      </c>
      <c r="F98" s="54" t="s">
        <v>248</v>
      </c>
      <c r="G98" s="55">
        <v>0</v>
      </c>
      <c r="H98" s="55">
        <v>0</v>
      </c>
      <c r="I98" s="55">
        <v>0.23333425378822176</v>
      </c>
      <c r="J98" s="55">
        <v>1.1060670436649926E-2</v>
      </c>
      <c r="K98" s="55">
        <v>0</v>
      </c>
      <c r="L98" s="55">
        <v>3.3047210898090498E-2</v>
      </c>
      <c r="M98">
        <f>IF(LEFT(分期持仓明细!$A$17,LEN(G$81)+2)=G$81&amp;" ·",ROW(分期持仓明细!$A$17),0)</f>
        <v>17</v>
      </c>
      <c r="N98">
        <f>IF(LEFT(分期持仓明细!$A$17,LEN(H$81)+2)=H$81&amp;" ·",ROW(分期持仓明细!$A$17),0)</f>
        <v>0</v>
      </c>
      <c r="O98">
        <f>IF(LEFT(分期持仓明细!$A$17,LEN(I$81)+2)=I$81&amp;" ·",ROW(分期持仓明细!$A$17),0)</f>
        <v>0</v>
      </c>
      <c r="P98">
        <f>IF(LEFT(分期持仓明细!$A$17,LEN(J$81)+2)=J$81&amp;" ·",ROW(分期持仓明细!$A$17),0)</f>
        <v>0</v>
      </c>
      <c r="Q98">
        <f>IF(LEFT(分期持仓明细!$A$17,LEN(K$81)+2)=K$81&amp;" ·",ROW(分期持仓明细!$A$17),0)</f>
        <v>0</v>
      </c>
      <c r="R98">
        <f>IF(LEFT(分期持仓明细!$A$17,LEN(L$81)+2)=L$81&amp;" ·",ROW(分期持仓明细!$A$17),0)</f>
        <v>0</v>
      </c>
    </row>
    <row r="99" spans="1:18" ht="13">
      <c r="A99" s="54" t="s">
        <v>39</v>
      </c>
      <c r="B99" s="52" t="s">
        <v>254</v>
      </c>
      <c r="C99" s="54" t="s">
        <v>241</v>
      </c>
      <c r="D99" s="54" t="s">
        <v>245</v>
      </c>
      <c r="E99" s="54" t="s">
        <v>245</v>
      </c>
      <c r="F99" s="54" t="s">
        <v>246</v>
      </c>
      <c r="G99" s="55">
        <v>0</v>
      </c>
      <c r="H99" s="55">
        <v>0</v>
      </c>
      <c r="I99" s="55">
        <v>0</v>
      </c>
      <c r="J99" s="55">
        <v>0</v>
      </c>
      <c r="K99" s="55">
        <v>1.305811206863005E-2</v>
      </c>
      <c r="L99" s="55">
        <v>0</v>
      </c>
      <c r="M99">
        <f>IF(LEFT(分期持仓明细!$A$18,LEN(G$81)+2)=G$81&amp;" ·",ROW(分期持仓明细!$A$18),0)</f>
        <v>0</v>
      </c>
      <c r="N99">
        <f>IF(LEFT(分期持仓明细!$A$18,LEN(H$81)+2)=H$81&amp;" ·",ROW(分期持仓明细!$A$18),0)</f>
        <v>18</v>
      </c>
      <c r="O99">
        <f>IF(LEFT(分期持仓明细!$A$18,LEN(I$81)+2)=I$81&amp;" ·",ROW(分期持仓明细!$A$18),0)</f>
        <v>0</v>
      </c>
      <c r="P99">
        <f>IF(LEFT(分期持仓明细!$A$18,LEN(J$81)+2)=J$81&amp;" ·",ROW(分期持仓明细!$A$18),0)</f>
        <v>0</v>
      </c>
      <c r="Q99">
        <f>IF(LEFT(分期持仓明细!$A$18,LEN(K$81)+2)=K$81&amp;" ·",ROW(分期持仓明细!$A$18),0)</f>
        <v>0</v>
      </c>
      <c r="R99">
        <f>IF(LEFT(分期持仓明细!$A$18,LEN(L$81)+2)=L$81&amp;" ·",ROW(分期持仓明细!$A$18),0)</f>
        <v>0</v>
      </c>
    </row>
    <row r="100" spans="1:18" ht="13">
      <c r="A100" s="54" t="s">
        <v>40</v>
      </c>
      <c r="B100" s="52" t="s">
        <v>255</v>
      </c>
      <c r="C100" s="54" t="s">
        <v>241</v>
      </c>
      <c r="D100" s="54" t="s">
        <v>245</v>
      </c>
      <c r="E100" s="54" t="s">
        <v>245</v>
      </c>
      <c r="F100" s="54" t="s">
        <v>248</v>
      </c>
      <c r="G100" s="55">
        <v>0</v>
      </c>
      <c r="H100" s="55">
        <v>0</v>
      </c>
      <c r="I100" s="55">
        <v>0</v>
      </c>
      <c r="J100" s="55">
        <v>1.2881708223882951E-2</v>
      </c>
      <c r="K100" s="55">
        <v>0</v>
      </c>
      <c r="L100" s="55">
        <v>3.8491146166847352E-2</v>
      </c>
      <c r="M100">
        <f>IF(LEFT(分期持仓明细!$A$19,LEN(G$81)+2)=G$81&amp;" ·",ROW(分期持仓明细!$A$19),0)</f>
        <v>0</v>
      </c>
      <c r="N100">
        <f>IF(LEFT(分期持仓明细!$A$19,LEN(H$81)+2)=H$81&amp;" ·",ROW(分期持仓明细!$A$19),0)</f>
        <v>0</v>
      </c>
      <c r="O100">
        <f>IF(LEFT(分期持仓明细!$A$19,LEN(I$81)+2)=I$81&amp;" ·",ROW(分期持仓明细!$A$19),0)</f>
        <v>19</v>
      </c>
      <c r="P100">
        <f>IF(LEFT(分期持仓明细!$A$19,LEN(J$81)+2)=J$81&amp;" ·",ROW(分期持仓明细!$A$19),0)</f>
        <v>0</v>
      </c>
      <c r="Q100">
        <f>IF(LEFT(分期持仓明细!$A$19,LEN(K$81)+2)=K$81&amp;" ·",ROW(分期持仓明细!$A$19),0)</f>
        <v>0</v>
      </c>
      <c r="R100">
        <f>IF(LEFT(分期持仓明细!$A$19,LEN(L$81)+2)=L$81&amp;" ·",ROW(分期持仓明细!$A$19),0)</f>
        <v>0</v>
      </c>
    </row>
    <row r="101" spans="1:18" ht="13">
      <c r="A101" s="54" t="s">
        <v>41</v>
      </c>
      <c r="B101" s="52" t="s">
        <v>256</v>
      </c>
      <c r="C101" s="54" t="s">
        <v>241</v>
      </c>
      <c r="D101" s="54" t="s">
        <v>245</v>
      </c>
      <c r="E101" s="54" t="s">
        <v>245</v>
      </c>
      <c r="F101" s="54" t="s">
        <v>246</v>
      </c>
      <c r="G101" s="55">
        <v>0</v>
      </c>
      <c r="H101" s="55">
        <v>0</v>
      </c>
      <c r="I101" s="55">
        <v>0</v>
      </c>
      <c r="J101" s="55">
        <v>0</v>
      </c>
      <c r="K101" s="55">
        <v>1.3311355660962931E-2</v>
      </c>
      <c r="L101" s="55">
        <v>0</v>
      </c>
      <c r="M101">
        <f>IF(LEFT(分期持仓明细!$A$20,LEN(G$81)+2)=G$81&amp;" ·",ROW(分期持仓明细!$A$20),0)</f>
        <v>0</v>
      </c>
      <c r="N101">
        <f>IF(LEFT(分期持仓明细!$A$20,LEN(H$81)+2)=H$81&amp;" ·",ROW(分期持仓明细!$A$20),0)</f>
        <v>0</v>
      </c>
      <c r="O101">
        <f>IF(LEFT(分期持仓明细!$A$20,LEN(I$81)+2)=I$81&amp;" ·",ROW(分期持仓明细!$A$20),0)</f>
        <v>0</v>
      </c>
      <c r="P101">
        <f>IF(LEFT(分期持仓明细!$A$20,LEN(J$81)+2)=J$81&amp;" ·",ROW(分期持仓明细!$A$20),0)</f>
        <v>20</v>
      </c>
      <c r="Q101">
        <f>IF(LEFT(分期持仓明细!$A$20,LEN(K$81)+2)=K$81&amp;" ·",ROW(分期持仓明细!$A$20),0)</f>
        <v>0</v>
      </c>
      <c r="R101">
        <f>IF(LEFT(分期持仓明细!$A$20,LEN(L$81)+2)=L$81&amp;" ·",ROW(分期持仓明细!$A$20),0)</f>
        <v>0</v>
      </c>
    </row>
    <row r="102" spans="1:18" ht="13">
      <c r="A102" s="54" t="s">
        <v>42</v>
      </c>
      <c r="B102" s="52" t="s">
        <v>257</v>
      </c>
      <c r="C102" s="54" t="s">
        <v>241</v>
      </c>
      <c r="D102" s="54" t="s">
        <v>245</v>
      </c>
      <c r="E102" s="54" t="s">
        <v>245</v>
      </c>
      <c r="F102" s="54" t="s">
        <v>248</v>
      </c>
      <c r="G102" s="55">
        <v>0</v>
      </c>
      <c r="H102" s="55">
        <v>0</v>
      </c>
      <c r="I102" s="55">
        <v>0</v>
      </c>
      <c r="J102" s="55">
        <v>1.300899943471813E-2</v>
      </c>
      <c r="K102" s="55">
        <v>0</v>
      </c>
      <c r="L102" s="55">
        <v>3.886861841160838E-2</v>
      </c>
      <c r="M102">
        <f>IF(LEFT(分期持仓明细!$A$21,LEN(G$81)+2)=G$81&amp;" ·",ROW(分期持仓明细!$A$21),0)</f>
        <v>0</v>
      </c>
      <c r="N102">
        <f>IF(LEFT(分期持仓明细!$A$21,LEN(H$81)+2)=H$81&amp;" ·",ROW(分期持仓明细!$A$21),0)</f>
        <v>0</v>
      </c>
      <c r="O102">
        <f>IF(LEFT(分期持仓明细!$A$21,LEN(I$81)+2)=I$81&amp;" ·",ROW(分期持仓明细!$A$21),0)</f>
        <v>0</v>
      </c>
      <c r="P102">
        <f>IF(LEFT(分期持仓明细!$A$21,LEN(J$81)+2)=J$81&amp;" ·",ROW(分期持仓明细!$A$21),0)</f>
        <v>0</v>
      </c>
      <c r="Q102">
        <f>IF(LEFT(分期持仓明细!$A$21,LEN(K$81)+2)=K$81&amp;" ·",ROW(分期持仓明细!$A$21),0)</f>
        <v>21</v>
      </c>
      <c r="R102">
        <f>IF(LEFT(分期持仓明细!$A$21,LEN(L$81)+2)=L$81&amp;" ·",ROW(分期持仓明细!$A$21),0)</f>
        <v>0</v>
      </c>
    </row>
    <row r="103" spans="1:18" ht="13">
      <c r="A103" s="54" t="s">
        <v>43</v>
      </c>
      <c r="B103" s="52" t="s">
        <v>258</v>
      </c>
      <c r="C103" s="54" t="s">
        <v>241</v>
      </c>
      <c r="D103" s="54" t="s">
        <v>229</v>
      </c>
      <c r="E103" s="54" t="s">
        <v>242</v>
      </c>
      <c r="F103" s="54" t="s">
        <v>243</v>
      </c>
      <c r="G103" s="55">
        <v>0.15912488007417924</v>
      </c>
      <c r="H103" s="55">
        <v>0.15902507905426536</v>
      </c>
      <c r="I103" s="55">
        <v>0</v>
      </c>
      <c r="J103" s="55">
        <v>0</v>
      </c>
      <c r="K103" s="55">
        <v>8.4098558006694794E-3</v>
      </c>
      <c r="L103" s="55">
        <v>0</v>
      </c>
      <c r="M103">
        <f>IF(LEFT(分期持仓明细!$A$22,LEN(G$81)+2)=G$81&amp;" ·",ROW(分期持仓明细!$A$22),0)</f>
        <v>0</v>
      </c>
      <c r="N103">
        <f>IF(LEFT(分期持仓明细!$A$22,LEN(H$81)+2)=H$81&amp;" ·",ROW(分期持仓明细!$A$22),0)</f>
        <v>0</v>
      </c>
      <c r="O103">
        <f>IF(LEFT(分期持仓明细!$A$22,LEN(I$81)+2)=I$81&amp;" ·",ROW(分期持仓明细!$A$22),0)</f>
        <v>0</v>
      </c>
      <c r="P103">
        <f>IF(LEFT(分期持仓明细!$A$22,LEN(J$81)+2)=J$81&amp;" ·",ROW(分期持仓明细!$A$22),0)</f>
        <v>0</v>
      </c>
      <c r="Q103">
        <f>IF(LEFT(分期持仓明细!$A$22,LEN(K$81)+2)=K$81&amp;" ·",ROW(分期持仓明细!$A$22),0)</f>
        <v>0</v>
      </c>
      <c r="R103">
        <f>IF(LEFT(分期持仓明细!$A$22,LEN(L$81)+2)=L$81&amp;" ·",ROW(分期持仓明细!$A$22),0)</f>
        <v>22</v>
      </c>
    </row>
    <row r="104" spans="1:18" ht="13">
      <c r="A104" s="54" t="s">
        <v>44</v>
      </c>
      <c r="B104" s="52" t="s">
        <v>259</v>
      </c>
      <c r="C104" s="54" t="s">
        <v>241</v>
      </c>
      <c r="D104" s="54" t="s">
        <v>229</v>
      </c>
      <c r="E104" s="54" t="s">
        <v>242</v>
      </c>
      <c r="F104" s="54" t="s">
        <v>243</v>
      </c>
      <c r="G104" s="55">
        <v>0.17230499151577977</v>
      </c>
      <c r="H104" s="55">
        <v>0.17310992190249347</v>
      </c>
      <c r="I104" s="55">
        <v>0</v>
      </c>
      <c r="J104" s="55">
        <v>0</v>
      </c>
      <c r="K104" s="55">
        <v>8.980180698834838E-3</v>
      </c>
      <c r="L104" s="55">
        <v>0</v>
      </c>
      <c r="M104">
        <f>IF(LEFT(分期持仓明细!$A$23,LEN(G$81)+2)=G$81&amp;" ·",ROW(分期持仓明细!$A$23),0)</f>
        <v>0</v>
      </c>
      <c r="N104">
        <f>IF(LEFT(分期持仓明细!$A$23,LEN(H$81)+2)=H$81&amp;" ·",ROW(分期持仓明细!$A$23),0)</f>
        <v>0</v>
      </c>
      <c r="O104">
        <f>IF(LEFT(分期持仓明细!$A$23,LEN(I$81)+2)=I$81&amp;" ·",ROW(分期持仓明细!$A$23),0)</f>
        <v>0</v>
      </c>
      <c r="P104">
        <f>IF(LEFT(分期持仓明细!$A$23,LEN(J$81)+2)=J$81&amp;" ·",ROW(分期持仓明细!$A$23),0)</f>
        <v>23</v>
      </c>
      <c r="Q104">
        <f>IF(LEFT(分期持仓明细!$A$23,LEN(K$81)+2)=K$81&amp;" ·",ROW(分期持仓明细!$A$23),0)</f>
        <v>0</v>
      </c>
      <c r="R104">
        <f>IF(LEFT(分期持仓明细!$A$23,LEN(L$81)+2)=L$81&amp;" ·",ROW(分期持仓明细!$A$23),0)</f>
        <v>0</v>
      </c>
    </row>
    <row r="105" spans="1:18" ht="13">
      <c r="A105" s="54" t="s">
        <v>45</v>
      </c>
      <c r="B105" s="52" t="s">
        <v>260</v>
      </c>
      <c r="C105" s="54" t="s">
        <v>241</v>
      </c>
      <c r="D105" s="54" t="s">
        <v>229</v>
      </c>
      <c r="E105" s="54" t="s">
        <v>242</v>
      </c>
      <c r="F105" s="54" t="s">
        <v>248</v>
      </c>
      <c r="G105" s="55">
        <v>0</v>
      </c>
      <c r="H105" s="55">
        <v>0</v>
      </c>
      <c r="I105" s="55">
        <v>0.16814227790813516</v>
      </c>
      <c r="J105" s="55">
        <v>8.7136919526273112E-3</v>
      </c>
      <c r="K105" s="55">
        <v>0</v>
      </c>
      <c r="L105" s="55">
        <v>2.6036449968919718E-2</v>
      </c>
      <c r="M105">
        <f>IF(LEFT(分期持仓明细!$A$24,LEN(G$81)+2)=G$81&amp;" ·",ROW(分期持仓明细!$A$24),0)</f>
        <v>0</v>
      </c>
      <c r="N105">
        <f>IF(LEFT(分期持仓明细!$A$24,LEN(H$81)+2)=H$81&amp;" ·",ROW(分期持仓明细!$A$24),0)</f>
        <v>0</v>
      </c>
      <c r="O105">
        <f>IF(LEFT(分期持仓明细!$A$24,LEN(I$81)+2)=I$81&amp;" ·",ROW(分期持仓明细!$A$24),0)</f>
        <v>0</v>
      </c>
      <c r="P105">
        <f>IF(LEFT(分期持仓明细!$A$24,LEN(J$81)+2)=J$81&amp;" ·",ROW(分期持仓明细!$A$24),0)</f>
        <v>0</v>
      </c>
      <c r="Q105">
        <f>IF(LEFT(分期持仓明细!$A$24,LEN(K$81)+2)=K$81&amp;" ·",ROW(分期持仓明细!$A$24),0)</f>
        <v>24</v>
      </c>
      <c r="R105">
        <f>IF(LEFT(分期持仓明细!$A$24,LEN(L$81)+2)=L$81&amp;" ·",ROW(分期持仓明细!$A$24),0)</f>
        <v>0</v>
      </c>
    </row>
    <row r="106" spans="1:18" ht="13">
      <c r="A106" s="54" t="s">
        <v>46</v>
      </c>
      <c r="B106" s="52" t="s">
        <v>261</v>
      </c>
      <c r="C106" s="54" t="s">
        <v>241</v>
      </c>
      <c r="D106" s="54" t="s">
        <v>229</v>
      </c>
      <c r="E106" s="54" t="s">
        <v>242</v>
      </c>
      <c r="F106" s="54" t="s">
        <v>248</v>
      </c>
      <c r="G106" s="55">
        <v>0</v>
      </c>
      <c r="H106" s="55">
        <v>0</v>
      </c>
      <c r="I106" s="55">
        <v>0.16735538109816184</v>
      </c>
      <c r="J106" s="55">
        <v>8.6456671485469483E-3</v>
      </c>
      <c r="K106" s="55">
        <v>0</v>
      </c>
      <c r="L106" s="55">
        <v>2.5834049605666629E-2</v>
      </c>
      <c r="M106">
        <f>IF(LEFT(分期持仓明细!$A$25,LEN(G$81)+2)=G$81&amp;" ·",ROW(分期持仓明细!$A$25),0)</f>
        <v>0</v>
      </c>
      <c r="N106">
        <f>IF(LEFT(分期持仓明细!$A$25,LEN(H$81)+2)=H$81&amp;" ·",ROW(分期持仓明细!$A$25),0)</f>
        <v>0</v>
      </c>
      <c r="O106">
        <f>IF(LEFT(分期持仓明细!$A$25,LEN(I$81)+2)=I$81&amp;" ·",ROW(分期持仓明细!$A$25),0)</f>
        <v>0</v>
      </c>
      <c r="P106">
        <f>IF(LEFT(分期持仓明细!$A$25,LEN(J$81)+2)=J$81&amp;" ·",ROW(分期持仓明细!$A$25),0)</f>
        <v>0</v>
      </c>
      <c r="Q106">
        <f>IF(LEFT(分期持仓明细!$A$25,LEN(K$81)+2)=K$81&amp;" ·",ROW(分期持仓明细!$A$25),0)</f>
        <v>0</v>
      </c>
      <c r="R106">
        <f>IF(LEFT(分期持仓明细!$A$25,LEN(L$81)+2)=L$81&amp;" ·",ROW(分期持仓明细!$A$25),0)</f>
        <v>25</v>
      </c>
    </row>
    <row r="107" spans="1:18" ht="13">
      <c r="A107" s="54" t="s">
        <v>47</v>
      </c>
      <c r="B107" s="52" t="s">
        <v>262</v>
      </c>
      <c r="C107" s="54" t="s">
        <v>241</v>
      </c>
      <c r="D107" s="54" t="s">
        <v>229</v>
      </c>
      <c r="E107" s="54" t="s">
        <v>250</v>
      </c>
      <c r="F107" s="54" t="s">
        <v>243</v>
      </c>
      <c r="G107" s="55">
        <v>0.13112866075668961</v>
      </c>
      <c r="H107" s="55">
        <v>0.1317750117897416</v>
      </c>
      <c r="I107" s="55">
        <v>0</v>
      </c>
      <c r="J107" s="55">
        <v>0</v>
      </c>
      <c r="K107" s="55">
        <v>5.8560968181895854E-3</v>
      </c>
      <c r="L107" s="55">
        <v>0</v>
      </c>
      <c r="M107">
        <f>IF(LEFT(分期持仓明细!$A$26,LEN(G$81)+2)=G$81&amp;" ·",ROW(分期持仓明细!$A$26),0)</f>
        <v>0</v>
      </c>
      <c r="N107">
        <f>IF(LEFT(分期持仓明细!$A$26,LEN(H$81)+2)=H$81&amp;" ·",ROW(分期持仓明细!$A$26),0)</f>
        <v>0</v>
      </c>
      <c r="O107">
        <f>IF(LEFT(分期持仓明细!$A$26,LEN(I$81)+2)=I$81&amp;" ·",ROW(分期持仓明细!$A$26),0)</f>
        <v>0</v>
      </c>
      <c r="P107">
        <f>IF(LEFT(分期持仓明细!$A$26,LEN(J$81)+2)=J$81&amp;" ·",ROW(分期持仓明细!$A$26),0)</f>
        <v>0</v>
      </c>
      <c r="Q107">
        <f>IF(LEFT(分期持仓明细!$A$26,LEN(K$81)+2)=K$81&amp;" ·",ROW(分期持仓明细!$A$26),0)</f>
        <v>0</v>
      </c>
      <c r="R107">
        <f>IF(LEFT(分期持仓明细!$A$26,LEN(L$81)+2)=L$81&amp;" ·",ROW(分期持仓明细!$A$26),0)</f>
        <v>0</v>
      </c>
    </row>
    <row r="108" spans="1:18" ht="13">
      <c r="A108" s="54" t="s">
        <v>48</v>
      </c>
      <c r="B108" s="52" t="s">
        <v>263</v>
      </c>
      <c r="C108" s="54" t="s">
        <v>241</v>
      </c>
      <c r="D108" s="54" t="s">
        <v>229</v>
      </c>
      <c r="E108" s="54" t="s">
        <v>250</v>
      </c>
      <c r="F108" s="54" t="s">
        <v>248</v>
      </c>
      <c r="G108" s="55">
        <v>0</v>
      </c>
      <c r="H108" s="55">
        <v>0</v>
      </c>
      <c r="I108" s="55">
        <v>0.12507142493000778</v>
      </c>
      <c r="J108" s="55">
        <v>5.4133908101450853E-3</v>
      </c>
      <c r="K108" s="55">
        <v>0</v>
      </c>
      <c r="L108" s="55">
        <v>1.6174800858502231E-2</v>
      </c>
      <c r="M108">
        <f>IF(LEFT(分期持仓明细!$A$27,LEN(G$81)+2)=G$81&amp;" ·",ROW(分期持仓明细!$A$27),0)</f>
        <v>0</v>
      </c>
      <c r="N108">
        <f>IF(LEFT(分期持仓明细!$A$27,LEN(H$81)+2)=H$81&amp;" ·",ROW(分期持仓明细!$A$27),0)</f>
        <v>0</v>
      </c>
      <c r="O108">
        <f>IF(LEFT(分期持仓明细!$A$27,LEN(I$81)+2)=I$81&amp;" ·",ROW(分期持仓明细!$A$27),0)</f>
        <v>0</v>
      </c>
      <c r="P108">
        <f>IF(LEFT(分期持仓明细!$A$27,LEN(J$81)+2)=J$81&amp;" ·",ROW(分期持仓明细!$A$27),0)</f>
        <v>0</v>
      </c>
      <c r="Q108">
        <f>IF(LEFT(分期持仓明细!$A$27,LEN(K$81)+2)=K$81&amp;" ·",ROW(分期持仓明细!$A$27),0)</f>
        <v>0</v>
      </c>
      <c r="R108">
        <f>IF(LEFT(分期持仓明细!$A$27,LEN(L$81)+2)=L$81&amp;" ·",ROW(分期持仓明细!$A$27),0)</f>
        <v>0</v>
      </c>
    </row>
    <row r="109" spans="1:18" ht="13">
      <c r="A109" s="54" t="s">
        <v>49</v>
      </c>
      <c r="B109" s="52" t="s">
        <v>264</v>
      </c>
      <c r="C109" s="54" t="s">
        <v>241</v>
      </c>
      <c r="D109" s="54" t="s">
        <v>245</v>
      </c>
      <c r="E109" s="54" t="s">
        <v>245</v>
      </c>
      <c r="F109" s="54" t="s">
        <v>246</v>
      </c>
      <c r="G109" s="55">
        <v>0</v>
      </c>
      <c r="H109" s="55">
        <v>0</v>
      </c>
      <c r="I109" s="55">
        <v>0</v>
      </c>
      <c r="J109" s="55">
        <v>0</v>
      </c>
      <c r="K109" s="55">
        <v>1.2743977694171382E-2</v>
      </c>
      <c r="L109" s="55">
        <v>0</v>
      </c>
      <c r="M109">
        <f>IF(LEFT(分期持仓明细!$A$28,LEN(G$81)+2)=G$81&amp;" ·",ROW(分期持仓明细!$A$28),0)</f>
        <v>0</v>
      </c>
      <c r="N109">
        <f>IF(LEFT(分期持仓明细!$A$28,LEN(H$81)+2)=H$81&amp;" ·",ROW(分期持仓明细!$A$28),0)</f>
        <v>0</v>
      </c>
      <c r="O109">
        <f>IF(LEFT(分期持仓明细!$A$28,LEN(I$81)+2)=I$81&amp;" ·",ROW(分期持仓明细!$A$28),0)</f>
        <v>0</v>
      </c>
      <c r="P109">
        <f>IF(LEFT(分期持仓明细!$A$28,LEN(J$81)+2)=J$81&amp;" ·",ROW(分期持仓明细!$A$28),0)</f>
        <v>0</v>
      </c>
      <c r="Q109">
        <f>IF(LEFT(分期持仓明细!$A$28,LEN(K$81)+2)=K$81&amp;" ·",ROW(分期持仓明细!$A$28),0)</f>
        <v>0</v>
      </c>
      <c r="R109">
        <f>IF(LEFT(分期持仓明细!$A$28,LEN(L$81)+2)=L$81&amp;" ·",ROW(分期持仓明细!$A$28),0)</f>
        <v>0</v>
      </c>
    </row>
    <row r="110" spans="1:18" ht="13">
      <c r="A110" s="54" t="s">
        <v>50</v>
      </c>
      <c r="B110" s="52" t="s">
        <v>265</v>
      </c>
      <c r="C110" s="54" t="s">
        <v>241</v>
      </c>
      <c r="D110" s="54" t="s">
        <v>245</v>
      </c>
      <c r="E110" s="54" t="s">
        <v>245</v>
      </c>
      <c r="F110" s="54" t="s">
        <v>248</v>
      </c>
      <c r="G110" s="55">
        <v>0</v>
      </c>
      <c r="H110" s="55">
        <v>0</v>
      </c>
      <c r="I110" s="55">
        <v>0</v>
      </c>
      <c r="J110" s="55">
        <v>1.2762048562637551E-2</v>
      </c>
      <c r="K110" s="55">
        <v>0</v>
      </c>
      <c r="L110" s="55">
        <v>3.8132571431769798E-2</v>
      </c>
      <c r="M110">
        <f>IF(LEFT(分期持仓明细!$A$29,LEN(G$81)+2)=G$81&amp;" ·",ROW(分期持仓明细!$A$29),0)</f>
        <v>0</v>
      </c>
      <c r="N110">
        <f>IF(LEFT(分期持仓明细!$A$29,LEN(H$81)+2)=H$81&amp;" ·",ROW(分期持仓明细!$A$29),0)</f>
        <v>0</v>
      </c>
      <c r="O110">
        <f>IF(LEFT(分期持仓明细!$A$29,LEN(I$81)+2)=I$81&amp;" ·",ROW(分期持仓明细!$A$29),0)</f>
        <v>0</v>
      </c>
      <c r="P110">
        <f>IF(LEFT(分期持仓明细!$A$29,LEN(J$81)+2)=J$81&amp;" ·",ROW(分期持仓明细!$A$29),0)</f>
        <v>0</v>
      </c>
      <c r="Q110">
        <f>IF(LEFT(分期持仓明细!$A$29,LEN(K$81)+2)=K$81&amp;" ·",ROW(分期持仓明细!$A$29),0)</f>
        <v>0</v>
      </c>
      <c r="R110">
        <f>IF(LEFT(分期持仓明细!$A$29,LEN(L$81)+2)=L$81&amp;" ·",ROW(分期持仓明细!$A$29),0)</f>
        <v>0</v>
      </c>
    </row>
    <row r="111" spans="1:18" ht="13">
      <c r="A111" s="54" t="s">
        <v>51</v>
      </c>
      <c r="B111" s="52" t="s">
        <v>266</v>
      </c>
      <c r="C111" s="54" t="s">
        <v>233</v>
      </c>
      <c r="D111" s="54" t="s">
        <v>234</v>
      </c>
      <c r="E111" s="54" t="s">
        <v>267</v>
      </c>
      <c r="F111" s="54" t="s">
        <v>268</v>
      </c>
      <c r="G111" s="55">
        <v>0</v>
      </c>
      <c r="H111" s="55">
        <v>0</v>
      </c>
      <c r="I111" s="55">
        <v>0</v>
      </c>
      <c r="J111" s="55">
        <v>0.79745009544564527</v>
      </c>
      <c r="K111" s="55">
        <v>0.79847502055174235</v>
      </c>
      <c r="L111" s="55">
        <v>0.49216006002582735</v>
      </c>
      <c r="M111">
        <f>IF(LEFT(分期持仓明细!$A$30,LEN(G$81)+2)=G$81&amp;" ·",ROW(分期持仓明细!$A$30),0)</f>
        <v>0</v>
      </c>
      <c r="N111">
        <f>IF(LEFT(分期持仓明细!$A$30,LEN(H$81)+2)=H$81&amp;" ·",ROW(分期持仓明细!$A$30),0)</f>
        <v>0</v>
      </c>
      <c r="O111">
        <f>IF(LEFT(分期持仓明细!$A$30,LEN(I$81)+2)=I$81&amp;" ·",ROW(分期持仓明细!$A$30),0)</f>
        <v>0</v>
      </c>
      <c r="P111">
        <f>IF(LEFT(分期持仓明细!$A$30,LEN(J$81)+2)=J$81&amp;" ·",ROW(分期持仓明细!$A$30),0)</f>
        <v>0</v>
      </c>
      <c r="Q111">
        <f>IF(LEFT(分期持仓明细!$A$30,LEN(K$81)+2)=K$81&amp;" ·",ROW(分期持仓明细!$A$30),0)</f>
        <v>0</v>
      </c>
      <c r="R111">
        <f>IF(LEFT(分期持仓明细!$A$30,LEN(L$81)+2)=L$81&amp;" ·",ROW(分期持仓明细!$A$30),0)</f>
        <v>0</v>
      </c>
    </row>
    <row r="112" spans="1:18" ht="13">
      <c r="A112" s="54" t="s">
        <v>61</v>
      </c>
      <c r="B112" s="52" t="s">
        <v>62</v>
      </c>
      <c r="C112" s="54" t="s">
        <v>241</v>
      </c>
      <c r="D112" s="54" t="s">
        <v>229</v>
      </c>
      <c r="E112" s="54" t="s">
        <v>242</v>
      </c>
      <c r="F112" s="54" t="s">
        <v>243</v>
      </c>
      <c r="G112" s="55">
        <v>6.8465170647674434E-2</v>
      </c>
      <c r="H112" s="55">
        <v>6.8475475860487661E-2</v>
      </c>
      <c r="I112" s="55">
        <v>6.8381931750740005E-2</v>
      </c>
      <c r="J112" s="55">
        <v>9.5107368966037675E-3</v>
      </c>
      <c r="K112" s="55">
        <v>9.5235456715052746E-3</v>
      </c>
      <c r="L112" s="55">
        <v>3.0916082245689688E-2</v>
      </c>
      <c r="M112">
        <f>IF(LEFT(分期持仓明细!$A$31,LEN(G$81)+2)=G$81&amp;" ·",ROW(分期持仓明细!$A$31),0)</f>
        <v>0</v>
      </c>
      <c r="N112">
        <f>IF(LEFT(分期持仓明细!$A$31,LEN(H$81)+2)=H$81&amp;" ·",ROW(分期持仓明细!$A$31),0)</f>
        <v>0</v>
      </c>
      <c r="O112">
        <f>IF(LEFT(分期持仓明细!$A$31,LEN(I$81)+2)=I$81&amp;" ·",ROW(分期持仓明细!$A$31),0)</f>
        <v>0</v>
      </c>
      <c r="P112">
        <f>IF(LEFT(分期持仓明细!$A$31,LEN(J$81)+2)=J$81&amp;" ·",ROW(分期持仓明细!$A$31),0)</f>
        <v>0</v>
      </c>
      <c r="Q112">
        <f>IF(LEFT(分期持仓明细!$A$31,LEN(K$81)+2)=K$81&amp;" ·",ROW(分期持仓明细!$A$31),0)</f>
        <v>0</v>
      </c>
      <c r="R112">
        <f>IF(LEFT(分期持仓明细!$A$31,LEN(L$81)+2)=L$81&amp;" ·",ROW(分期持仓明细!$A$31),0)</f>
        <v>0</v>
      </c>
    </row>
    <row r="113" spans="13:18">
      <c r="M113">
        <f>IF(LEFT(分期持仓明细!$A$32,LEN(G$81)+2)=G$81&amp;" ·",ROW(分期持仓明细!$A$32),0)</f>
        <v>0</v>
      </c>
      <c r="N113">
        <f>IF(LEFT(分期持仓明细!$A$32,LEN(H$81)+2)=H$81&amp;" ·",ROW(分期持仓明细!$A$32),0)</f>
        <v>0</v>
      </c>
      <c r="O113">
        <f>IF(LEFT(分期持仓明细!$A$32,LEN(I$81)+2)=I$81&amp;" ·",ROW(分期持仓明细!$A$32),0)</f>
        <v>0</v>
      </c>
      <c r="P113">
        <f>IF(LEFT(分期持仓明细!$A$32,LEN(J$81)+2)=J$81&amp;" ·",ROW(分期持仓明细!$A$32),0)</f>
        <v>0</v>
      </c>
      <c r="Q113">
        <f>IF(LEFT(分期持仓明细!$A$32,LEN(K$81)+2)=K$81&amp;" ·",ROW(分期持仓明细!$A$32),0)</f>
        <v>0</v>
      </c>
      <c r="R113">
        <f>IF(LEFT(分期持仓明细!$A$32,LEN(L$81)+2)=L$81&amp;" ·",ROW(分期持仓明细!$A$32),0)</f>
        <v>0</v>
      </c>
    </row>
    <row r="114" spans="13:18">
      <c r="M114">
        <f>IF(LEFT(分期持仓明细!$A$33,LEN(G$81)+2)=G$81&amp;" ·",ROW(分期持仓明细!$A$33),0)</f>
        <v>0</v>
      </c>
      <c r="N114">
        <f>IF(LEFT(分期持仓明细!$A$33,LEN(H$81)+2)=H$81&amp;" ·",ROW(分期持仓明细!$A$33),0)</f>
        <v>0</v>
      </c>
      <c r="O114">
        <f>IF(LEFT(分期持仓明细!$A$33,LEN(I$81)+2)=I$81&amp;" ·",ROW(分期持仓明细!$A$33),0)</f>
        <v>0</v>
      </c>
      <c r="P114">
        <f>IF(LEFT(分期持仓明细!$A$33,LEN(J$81)+2)=J$81&amp;" ·",ROW(分期持仓明细!$A$33),0)</f>
        <v>0</v>
      </c>
      <c r="Q114">
        <f>IF(LEFT(分期持仓明细!$A$33,LEN(K$81)+2)=K$81&amp;" ·",ROW(分期持仓明细!$A$33),0)</f>
        <v>0</v>
      </c>
      <c r="R114">
        <f>IF(LEFT(分期持仓明细!$A$33,LEN(L$81)+2)=L$81&amp;" ·",ROW(分期持仓明细!$A$33),0)</f>
        <v>0</v>
      </c>
    </row>
    <row r="115" spans="13:18">
      <c r="M115">
        <f>IF(LEFT(分期持仓明细!$A$34,LEN(G$81)+2)=G$81&amp;" ·",ROW(分期持仓明细!$A$34),0)</f>
        <v>0</v>
      </c>
      <c r="N115">
        <f>IF(LEFT(分期持仓明细!$A$34,LEN(H$81)+2)=H$81&amp;" ·",ROW(分期持仓明细!$A$34),0)</f>
        <v>0</v>
      </c>
      <c r="O115">
        <f>IF(LEFT(分期持仓明细!$A$34,LEN(I$81)+2)=I$81&amp;" ·",ROW(分期持仓明细!$A$34),0)</f>
        <v>0</v>
      </c>
      <c r="P115">
        <f>IF(LEFT(分期持仓明细!$A$34,LEN(J$81)+2)=J$81&amp;" ·",ROW(分期持仓明细!$A$34),0)</f>
        <v>0</v>
      </c>
      <c r="Q115">
        <f>IF(LEFT(分期持仓明细!$A$34,LEN(K$81)+2)=K$81&amp;" ·",ROW(分期持仓明细!$A$34),0)</f>
        <v>0</v>
      </c>
      <c r="R115">
        <f>IF(LEFT(分期持仓明细!$A$34,LEN(L$81)+2)=L$81&amp;" ·",ROW(分期持仓明细!$A$34),0)</f>
        <v>0</v>
      </c>
    </row>
    <row r="116" spans="13:18">
      <c r="M116">
        <f>IF(LEFT(分期持仓明细!$A$35,LEN(G$81)+2)=G$81&amp;" ·",ROW(分期持仓明细!$A$35),0)</f>
        <v>0</v>
      </c>
      <c r="N116">
        <f>IF(LEFT(分期持仓明细!$A$35,LEN(H$81)+2)=H$81&amp;" ·",ROW(分期持仓明细!$A$35),0)</f>
        <v>0</v>
      </c>
      <c r="O116">
        <f>IF(LEFT(分期持仓明细!$A$35,LEN(I$81)+2)=I$81&amp;" ·",ROW(分期持仓明细!$A$35),0)</f>
        <v>0</v>
      </c>
      <c r="P116">
        <f>IF(LEFT(分期持仓明细!$A$35,LEN(J$81)+2)=J$81&amp;" ·",ROW(分期持仓明细!$A$35),0)</f>
        <v>0</v>
      </c>
      <c r="Q116">
        <f>IF(LEFT(分期持仓明细!$A$35,LEN(K$81)+2)=K$81&amp;" ·",ROW(分期持仓明细!$A$35),0)</f>
        <v>0</v>
      </c>
      <c r="R116">
        <f>IF(LEFT(分期持仓明细!$A$35,LEN(L$81)+2)=L$81&amp;" ·",ROW(分期持仓明细!$A$35),0)</f>
        <v>0</v>
      </c>
    </row>
    <row r="117" spans="13:18">
      <c r="M117">
        <f>IF(LEFT(分期持仓明细!$A$36,LEN(G$81)+2)=G$81&amp;" ·",ROW(分期持仓明细!$A$36),0)</f>
        <v>0</v>
      </c>
      <c r="N117">
        <f>IF(LEFT(分期持仓明细!$A$36,LEN(H$81)+2)=H$81&amp;" ·",ROW(分期持仓明细!$A$36),0)</f>
        <v>0</v>
      </c>
      <c r="O117">
        <f>IF(LEFT(分期持仓明细!$A$36,LEN(I$81)+2)=I$81&amp;" ·",ROW(分期持仓明细!$A$36),0)</f>
        <v>0</v>
      </c>
      <c r="P117">
        <f>IF(LEFT(分期持仓明细!$A$36,LEN(J$81)+2)=J$81&amp;" ·",ROW(分期持仓明细!$A$36),0)</f>
        <v>0</v>
      </c>
      <c r="Q117">
        <f>IF(LEFT(分期持仓明细!$A$36,LEN(K$81)+2)=K$81&amp;" ·",ROW(分期持仓明细!$A$36),0)</f>
        <v>0</v>
      </c>
      <c r="R117">
        <f>IF(LEFT(分期持仓明细!$A$36,LEN(L$81)+2)=L$81&amp;" ·",ROW(分期持仓明细!$A$36),0)</f>
        <v>0</v>
      </c>
    </row>
    <row r="118" spans="13:18">
      <c r="M118">
        <f>IF(LEFT(分期持仓明细!$A$37,LEN(G$81)+2)=G$81&amp;" ·",ROW(分期持仓明细!$A$37),0)</f>
        <v>0</v>
      </c>
      <c r="N118">
        <f>IF(LEFT(分期持仓明细!$A$37,LEN(H$81)+2)=H$81&amp;" ·",ROW(分期持仓明细!$A$37),0)</f>
        <v>0</v>
      </c>
      <c r="O118">
        <f>IF(LEFT(分期持仓明细!$A$37,LEN(I$81)+2)=I$81&amp;" ·",ROW(分期持仓明细!$A$37),0)</f>
        <v>0</v>
      </c>
      <c r="P118">
        <f>IF(LEFT(分期持仓明细!$A$37,LEN(J$81)+2)=J$81&amp;" ·",ROW(分期持仓明细!$A$37),0)</f>
        <v>0</v>
      </c>
      <c r="Q118">
        <f>IF(LEFT(分期持仓明细!$A$37,LEN(K$81)+2)=K$81&amp;" ·",ROW(分期持仓明细!$A$37),0)</f>
        <v>0</v>
      </c>
      <c r="R118">
        <f>IF(LEFT(分期持仓明细!$A$37,LEN(L$81)+2)=L$81&amp;" ·",ROW(分期持仓明细!$A$37),0)</f>
        <v>0</v>
      </c>
    </row>
    <row r="119" spans="13:18">
      <c r="M119">
        <f>IF(LEFT(分期持仓明细!$A$38,LEN(G$81)+2)=G$81&amp;" ·",ROW(分期持仓明细!$A$38),0)</f>
        <v>0</v>
      </c>
      <c r="N119">
        <f>IF(LEFT(分期持仓明细!$A$38,LEN(H$81)+2)=H$81&amp;" ·",ROW(分期持仓明细!$A$38),0)</f>
        <v>0</v>
      </c>
      <c r="O119">
        <f>IF(LEFT(分期持仓明细!$A$38,LEN(I$81)+2)=I$81&amp;" ·",ROW(分期持仓明细!$A$38),0)</f>
        <v>0</v>
      </c>
      <c r="P119">
        <f>IF(LEFT(分期持仓明细!$A$38,LEN(J$81)+2)=J$81&amp;" ·",ROW(分期持仓明细!$A$38),0)</f>
        <v>0</v>
      </c>
      <c r="Q119">
        <f>IF(LEFT(分期持仓明细!$A$38,LEN(K$81)+2)=K$81&amp;" ·",ROW(分期持仓明细!$A$38),0)</f>
        <v>0</v>
      </c>
      <c r="R119">
        <f>IF(LEFT(分期持仓明细!$A$38,LEN(L$81)+2)=L$81&amp;" ·",ROW(分期持仓明细!$A$38),0)</f>
        <v>0</v>
      </c>
    </row>
    <row r="120" spans="13:18">
      <c r="M120">
        <f>IF(LEFT(分期持仓明细!$A$39,LEN(G$81)+2)=G$81&amp;" ·",ROW(分期持仓明细!$A$39),0)</f>
        <v>0</v>
      </c>
      <c r="N120">
        <f>IF(LEFT(分期持仓明细!$A$39,LEN(H$81)+2)=H$81&amp;" ·",ROW(分期持仓明细!$A$39),0)</f>
        <v>0</v>
      </c>
      <c r="O120">
        <f>IF(LEFT(分期持仓明细!$A$39,LEN(I$81)+2)=I$81&amp;" ·",ROW(分期持仓明细!$A$39),0)</f>
        <v>0</v>
      </c>
      <c r="P120">
        <f>IF(LEFT(分期持仓明细!$A$39,LEN(J$81)+2)=J$81&amp;" ·",ROW(分期持仓明细!$A$39),0)</f>
        <v>0</v>
      </c>
      <c r="Q120">
        <f>IF(LEFT(分期持仓明细!$A$39,LEN(K$81)+2)=K$81&amp;" ·",ROW(分期持仓明细!$A$39),0)</f>
        <v>0</v>
      </c>
      <c r="R120">
        <f>IF(LEFT(分期持仓明细!$A$39,LEN(L$81)+2)=L$81&amp;" ·",ROW(分期持仓明细!$A$39),0)</f>
        <v>0</v>
      </c>
    </row>
    <row r="121" spans="13:18">
      <c r="M121">
        <f>IF(LEFT(分期持仓明细!$A$40,LEN(G$81)+2)=G$81&amp;" ·",ROW(分期持仓明细!$A$40),0)</f>
        <v>0</v>
      </c>
      <c r="N121">
        <f>IF(LEFT(分期持仓明细!$A$40,LEN(H$81)+2)=H$81&amp;" ·",ROW(分期持仓明细!$A$40),0)</f>
        <v>0</v>
      </c>
      <c r="O121">
        <f>IF(LEFT(分期持仓明细!$A$40,LEN(I$81)+2)=I$81&amp;" ·",ROW(分期持仓明细!$A$40),0)</f>
        <v>0</v>
      </c>
      <c r="P121">
        <f>IF(LEFT(分期持仓明细!$A$40,LEN(J$81)+2)=J$81&amp;" ·",ROW(分期持仓明细!$A$40),0)</f>
        <v>0</v>
      </c>
      <c r="Q121">
        <f>IF(LEFT(分期持仓明细!$A$40,LEN(K$81)+2)=K$81&amp;" ·",ROW(分期持仓明细!$A$40),0)</f>
        <v>0</v>
      </c>
      <c r="R121">
        <f>IF(LEFT(分期持仓明细!$A$40,LEN(L$81)+2)=L$81&amp;" ·",ROW(分期持仓明细!$A$40),0)</f>
        <v>0</v>
      </c>
    </row>
    <row r="122" spans="13:18">
      <c r="M122">
        <f>IF(LEFT(分期持仓明细!$A$41,LEN(G$81)+2)=G$81&amp;" ·",ROW(分期持仓明细!$A$41),0)</f>
        <v>0</v>
      </c>
      <c r="N122">
        <f>IF(LEFT(分期持仓明细!$A$41,LEN(H$81)+2)=H$81&amp;" ·",ROW(分期持仓明细!$A$41),0)</f>
        <v>0</v>
      </c>
      <c r="O122">
        <f>IF(LEFT(分期持仓明细!$A$41,LEN(I$81)+2)=I$81&amp;" ·",ROW(分期持仓明细!$A$41),0)</f>
        <v>0</v>
      </c>
      <c r="P122">
        <f>IF(LEFT(分期持仓明细!$A$41,LEN(J$81)+2)=J$81&amp;" ·",ROW(分期持仓明细!$A$41),0)</f>
        <v>0</v>
      </c>
      <c r="Q122">
        <f>IF(LEFT(分期持仓明细!$A$41,LEN(K$81)+2)=K$81&amp;" ·",ROW(分期持仓明细!$A$41),0)</f>
        <v>0</v>
      </c>
      <c r="R122">
        <f>IF(LEFT(分期持仓明细!$A$41,LEN(L$81)+2)=L$81&amp;" ·",ROW(分期持仓明细!$A$41),0)</f>
        <v>0</v>
      </c>
    </row>
    <row r="123" spans="13:18">
      <c r="M123">
        <f>IF(LEFT(分期持仓明细!$A$42,LEN(G$81)+2)=G$81&amp;" ·",ROW(分期持仓明细!$A$42),0)</f>
        <v>0</v>
      </c>
      <c r="N123">
        <f>IF(LEFT(分期持仓明细!$A$42,LEN(H$81)+2)=H$81&amp;" ·",ROW(分期持仓明细!$A$42),0)</f>
        <v>0</v>
      </c>
      <c r="O123">
        <f>IF(LEFT(分期持仓明细!$A$42,LEN(I$81)+2)=I$81&amp;" ·",ROW(分期持仓明细!$A$42),0)</f>
        <v>0</v>
      </c>
      <c r="P123">
        <f>IF(LEFT(分期持仓明细!$A$42,LEN(J$81)+2)=J$81&amp;" ·",ROW(分期持仓明细!$A$42),0)</f>
        <v>0</v>
      </c>
      <c r="Q123">
        <f>IF(LEFT(分期持仓明细!$A$42,LEN(K$81)+2)=K$81&amp;" ·",ROW(分期持仓明细!$A$42),0)</f>
        <v>0</v>
      </c>
      <c r="R123">
        <f>IF(LEFT(分期持仓明细!$A$42,LEN(L$81)+2)=L$81&amp;" ·",ROW(分期持仓明细!$A$42),0)</f>
        <v>0</v>
      </c>
    </row>
    <row r="124" spans="13:18">
      <c r="M124">
        <f>IF(LEFT(分期持仓明细!$A$43,LEN(G$81)+2)=G$81&amp;" ·",ROW(分期持仓明细!$A$43),0)</f>
        <v>0</v>
      </c>
      <c r="N124">
        <f>IF(LEFT(分期持仓明细!$A$43,LEN(H$81)+2)=H$81&amp;" ·",ROW(分期持仓明细!$A$43),0)</f>
        <v>0</v>
      </c>
      <c r="O124">
        <f>IF(LEFT(分期持仓明细!$A$43,LEN(I$81)+2)=I$81&amp;" ·",ROW(分期持仓明细!$A$43),0)</f>
        <v>0</v>
      </c>
      <c r="P124">
        <f>IF(LEFT(分期持仓明细!$A$43,LEN(J$81)+2)=J$81&amp;" ·",ROW(分期持仓明细!$A$43),0)</f>
        <v>0</v>
      </c>
      <c r="Q124">
        <f>IF(LEFT(分期持仓明细!$A$43,LEN(K$81)+2)=K$81&amp;" ·",ROW(分期持仓明细!$A$43),0)</f>
        <v>0</v>
      </c>
      <c r="R124">
        <f>IF(LEFT(分期持仓明细!$A$43,LEN(L$81)+2)=L$81&amp;" ·",ROW(分期持仓明细!$A$43),0)</f>
        <v>0</v>
      </c>
    </row>
    <row r="125" spans="13:18">
      <c r="M125">
        <f>IF(LEFT(分期持仓明细!$A$44,LEN(G$81)+2)=G$81&amp;" ·",ROW(分期持仓明细!$A$44),0)</f>
        <v>0</v>
      </c>
      <c r="N125">
        <f>IF(LEFT(分期持仓明细!$A$44,LEN(H$81)+2)=H$81&amp;" ·",ROW(分期持仓明细!$A$44),0)</f>
        <v>0</v>
      </c>
      <c r="O125">
        <f>IF(LEFT(分期持仓明细!$A$44,LEN(I$81)+2)=I$81&amp;" ·",ROW(分期持仓明细!$A$44),0)</f>
        <v>0</v>
      </c>
      <c r="P125">
        <f>IF(LEFT(分期持仓明细!$A$44,LEN(J$81)+2)=J$81&amp;" ·",ROW(分期持仓明细!$A$44),0)</f>
        <v>0</v>
      </c>
      <c r="Q125">
        <f>IF(LEFT(分期持仓明细!$A$44,LEN(K$81)+2)=K$81&amp;" ·",ROW(分期持仓明细!$A$44),0)</f>
        <v>0</v>
      </c>
      <c r="R125">
        <f>IF(LEFT(分期持仓明细!$A$44,LEN(L$81)+2)=L$81&amp;" ·",ROW(分期持仓明细!$A$44),0)</f>
        <v>0</v>
      </c>
    </row>
    <row r="126" spans="13:18">
      <c r="M126">
        <f>IF(LEFT(分期持仓明细!$A$45,LEN(G$81)+2)=G$81&amp;" ·",ROW(分期持仓明细!$A$45),0)</f>
        <v>0</v>
      </c>
      <c r="N126">
        <f>IF(LEFT(分期持仓明细!$A$45,LEN(H$81)+2)=H$81&amp;" ·",ROW(分期持仓明细!$A$45),0)</f>
        <v>0</v>
      </c>
      <c r="O126">
        <f>IF(LEFT(分期持仓明细!$A$45,LEN(I$81)+2)=I$81&amp;" ·",ROW(分期持仓明细!$A$45),0)</f>
        <v>0</v>
      </c>
      <c r="P126">
        <f>IF(LEFT(分期持仓明细!$A$45,LEN(J$81)+2)=J$81&amp;" ·",ROW(分期持仓明细!$A$45),0)</f>
        <v>0</v>
      </c>
      <c r="Q126">
        <f>IF(LEFT(分期持仓明细!$A$45,LEN(K$81)+2)=K$81&amp;" ·",ROW(分期持仓明细!$A$45),0)</f>
        <v>0</v>
      </c>
      <c r="R126">
        <f>IF(LEFT(分期持仓明细!$A$45,LEN(L$81)+2)=L$81&amp;" ·",ROW(分期持仓明细!$A$45),0)</f>
        <v>0</v>
      </c>
    </row>
    <row r="127" spans="13:18">
      <c r="M127">
        <f>IF(LEFT(分期持仓明细!$A$46,LEN(G$81)+2)=G$81&amp;" ·",ROW(分期持仓明细!$A$46),0)</f>
        <v>0</v>
      </c>
      <c r="N127">
        <f>IF(LEFT(分期持仓明细!$A$46,LEN(H$81)+2)=H$81&amp;" ·",ROW(分期持仓明细!$A$46),0)</f>
        <v>0</v>
      </c>
      <c r="O127">
        <f>IF(LEFT(分期持仓明细!$A$46,LEN(I$81)+2)=I$81&amp;" ·",ROW(分期持仓明细!$A$46),0)</f>
        <v>0</v>
      </c>
      <c r="P127">
        <f>IF(LEFT(分期持仓明细!$A$46,LEN(J$81)+2)=J$81&amp;" ·",ROW(分期持仓明细!$A$46),0)</f>
        <v>0</v>
      </c>
      <c r="Q127">
        <f>IF(LEFT(分期持仓明细!$A$46,LEN(K$81)+2)=K$81&amp;" ·",ROW(分期持仓明细!$A$46),0)</f>
        <v>0</v>
      </c>
      <c r="R127">
        <f>IF(LEFT(分期持仓明细!$A$46,LEN(L$81)+2)=L$81&amp;" ·",ROW(分期持仓明细!$A$46),0)</f>
        <v>0</v>
      </c>
    </row>
    <row r="128" spans="13:18">
      <c r="M128">
        <f>IF(LEFT(分期持仓明细!$A$47,LEN(G$81)+2)=G$81&amp;" ·",ROW(分期持仓明细!$A$47),0)</f>
        <v>0</v>
      </c>
      <c r="N128">
        <f>IF(LEFT(分期持仓明细!$A$47,LEN(H$81)+2)=H$81&amp;" ·",ROW(分期持仓明细!$A$47),0)</f>
        <v>0</v>
      </c>
      <c r="O128">
        <f>IF(LEFT(分期持仓明细!$A$47,LEN(I$81)+2)=I$81&amp;" ·",ROW(分期持仓明细!$A$47),0)</f>
        <v>0</v>
      </c>
      <c r="P128">
        <f>IF(LEFT(分期持仓明细!$A$47,LEN(J$81)+2)=J$81&amp;" ·",ROW(分期持仓明细!$A$47),0)</f>
        <v>0</v>
      </c>
      <c r="Q128">
        <f>IF(LEFT(分期持仓明细!$A$47,LEN(K$81)+2)=K$81&amp;" ·",ROW(分期持仓明细!$A$47),0)</f>
        <v>0</v>
      </c>
      <c r="R128">
        <f>IF(LEFT(分期持仓明细!$A$47,LEN(L$81)+2)=L$81&amp;" ·",ROW(分期持仓明细!$A$47),0)</f>
        <v>0</v>
      </c>
    </row>
    <row r="129" spans="13:18">
      <c r="M129">
        <f>IF(LEFT(分期持仓明细!$A$48,LEN(G$81)+2)=G$81&amp;" ·",ROW(分期持仓明细!$A$48),0)</f>
        <v>0</v>
      </c>
      <c r="N129">
        <f>IF(LEFT(分期持仓明细!$A$48,LEN(H$81)+2)=H$81&amp;" ·",ROW(分期持仓明细!$A$48),0)</f>
        <v>0</v>
      </c>
      <c r="O129">
        <f>IF(LEFT(分期持仓明细!$A$48,LEN(I$81)+2)=I$81&amp;" ·",ROW(分期持仓明细!$A$48),0)</f>
        <v>0</v>
      </c>
      <c r="P129">
        <f>IF(LEFT(分期持仓明细!$A$48,LEN(J$81)+2)=J$81&amp;" ·",ROW(分期持仓明细!$A$48),0)</f>
        <v>0</v>
      </c>
      <c r="Q129">
        <f>IF(LEFT(分期持仓明细!$A$48,LEN(K$81)+2)=K$81&amp;" ·",ROW(分期持仓明细!$A$48),0)</f>
        <v>0</v>
      </c>
      <c r="R129">
        <f>IF(LEFT(分期持仓明细!$A$48,LEN(L$81)+2)=L$81&amp;" ·",ROW(分期持仓明细!$A$48),0)</f>
        <v>0</v>
      </c>
    </row>
    <row r="130" spans="13:18">
      <c r="M130">
        <f>IF(LEFT(分期持仓明细!$A$49,LEN(G$81)+2)=G$81&amp;" ·",ROW(分期持仓明细!$A$49),0)</f>
        <v>0</v>
      </c>
      <c r="N130">
        <f>IF(LEFT(分期持仓明细!$A$49,LEN(H$81)+2)=H$81&amp;" ·",ROW(分期持仓明细!$A$49),0)</f>
        <v>0</v>
      </c>
      <c r="O130">
        <f>IF(LEFT(分期持仓明细!$A$49,LEN(I$81)+2)=I$81&amp;" ·",ROW(分期持仓明细!$A$49),0)</f>
        <v>0</v>
      </c>
      <c r="P130">
        <f>IF(LEFT(分期持仓明细!$A$49,LEN(J$81)+2)=J$81&amp;" ·",ROW(分期持仓明细!$A$49),0)</f>
        <v>0</v>
      </c>
      <c r="Q130">
        <f>IF(LEFT(分期持仓明细!$A$49,LEN(K$81)+2)=K$81&amp;" ·",ROW(分期持仓明细!$A$49),0)</f>
        <v>0</v>
      </c>
      <c r="R130">
        <f>IF(LEFT(分期持仓明细!$A$49,LEN(L$81)+2)=L$81&amp;" ·",ROW(分期持仓明细!$A$49),0)</f>
        <v>0</v>
      </c>
    </row>
    <row r="131" spans="13:18">
      <c r="M131">
        <f>IF(LEFT(分期持仓明细!$A$50,LEN(G$81)+2)=G$81&amp;" ·",ROW(分期持仓明细!$A$50),0)</f>
        <v>0</v>
      </c>
      <c r="N131">
        <f>IF(LEFT(分期持仓明细!$A$50,LEN(H$81)+2)=H$81&amp;" ·",ROW(分期持仓明细!$A$50),0)</f>
        <v>0</v>
      </c>
      <c r="O131">
        <f>IF(LEFT(分期持仓明细!$A$50,LEN(I$81)+2)=I$81&amp;" ·",ROW(分期持仓明细!$A$50),0)</f>
        <v>0</v>
      </c>
      <c r="P131">
        <f>IF(LEFT(分期持仓明细!$A$50,LEN(J$81)+2)=J$81&amp;" ·",ROW(分期持仓明细!$A$50),0)</f>
        <v>0</v>
      </c>
      <c r="Q131">
        <f>IF(LEFT(分期持仓明细!$A$50,LEN(K$81)+2)=K$81&amp;" ·",ROW(分期持仓明细!$A$50),0)</f>
        <v>0</v>
      </c>
      <c r="R131">
        <f>IF(LEFT(分期持仓明细!$A$50,LEN(L$81)+2)=L$81&amp;" ·",ROW(分期持仓明细!$A$50),0)</f>
        <v>0</v>
      </c>
    </row>
    <row r="132" spans="13:18">
      <c r="M132">
        <f>IF(LEFT(分期持仓明细!$A$51,LEN(G$81)+2)=G$81&amp;" ·",ROW(分期持仓明细!$A$51),0)</f>
        <v>0</v>
      </c>
      <c r="N132">
        <f>IF(LEFT(分期持仓明细!$A$51,LEN(H$81)+2)=H$81&amp;" ·",ROW(分期持仓明细!$A$51),0)</f>
        <v>0</v>
      </c>
      <c r="O132">
        <f>IF(LEFT(分期持仓明细!$A$51,LEN(I$81)+2)=I$81&amp;" ·",ROW(分期持仓明细!$A$51),0)</f>
        <v>0</v>
      </c>
      <c r="P132">
        <f>IF(LEFT(分期持仓明细!$A$51,LEN(J$81)+2)=J$81&amp;" ·",ROW(分期持仓明细!$A$51),0)</f>
        <v>0</v>
      </c>
      <c r="Q132">
        <f>IF(LEFT(分期持仓明细!$A$51,LEN(K$81)+2)=K$81&amp;" ·",ROW(分期持仓明细!$A$51),0)</f>
        <v>0</v>
      </c>
      <c r="R132">
        <f>IF(LEFT(分期持仓明细!$A$51,LEN(L$81)+2)=L$81&amp;" ·",ROW(分期持仓明细!$A$51),0)</f>
        <v>0</v>
      </c>
    </row>
    <row r="133" spans="13:18">
      <c r="M133">
        <f>IF(LEFT(分期持仓明细!$A$52,LEN(G$81)+2)=G$81&amp;" ·",ROW(分期持仓明细!$A$52),0)</f>
        <v>0</v>
      </c>
      <c r="N133">
        <f>IF(LEFT(分期持仓明细!$A$52,LEN(H$81)+2)=H$81&amp;" ·",ROW(分期持仓明细!$A$52),0)</f>
        <v>0</v>
      </c>
      <c r="O133">
        <f>IF(LEFT(分期持仓明细!$A$52,LEN(I$81)+2)=I$81&amp;" ·",ROW(分期持仓明细!$A$52),0)</f>
        <v>0</v>
      </c>
      <c r="P133">
        <f>IF(LEFT(分期持仓明细!$A$52,LEN(J$81)+2)=J$81&amp;" ·",ROW(分期持仓明细!$A$52),0)</f>
        <v>0</v>
      </c>
      <c r="Q133">
        <f>IF(LEFT(分期持仓明细!$A$52,LEN(K$81)+2)=K$81&amp;" ·",ROW(分期持仓明细!$A$52),0)</f>
        <v>0</v>
      </c>
      <c r="R133">
        <f>IF(LEFT(分期持仓明细!$A$52,LEN(L$81)+2)=L$81&amp;" ·",ROW(分期持仓明细!$A$52),0)</f>
        <v>0</v>
      </c>
    </row>
    <row r="134" spans="13:18">
      <c r="M134">
        <f>IF(LEFT(分期持仓明细!$A$53,LEN(G$81)+2)=G$81&amp;" ·",ROW(分期持仓明细!$A$53),0)</f>
        <v>0</v>
      </c>
      <c r="N134">
        <f>IF(LEFT(分期持仓明细!$A$53,LEN(H$81)+2)=H$81&amp;" ·",ROW(分期持仓明细!$A$53),0)</f>
        <v>0</v>
      </c>
      <c r="O134">
        <f>IF(LEFT(分期持仓明细!$A$53,LEN(I$81)+2)=I$81&amp;" ·",ROW(分期持仓明细!$A$53),0)</f>
        <v>0</v>
      </c>
      <c r="P134">
        <f>IF(LEFT(分期持仓明细!$A$53,LEN(J$81)+2)=J$81&amp;" ·",ROW(分期持仓明细!$A$53),0)</f>
        <v>0</v>
      </c>
      <c r="Q134">
        <f>IF(LEFT(分期持仓明细!$A$53,LEN(K$81)+2)=K$81&amp;" ·",ROW(分期持仓明细!$A$53),0)</f>
        <v>0</v>
      </c>
      <c r="R134">
        <f>IF(LEFT(分期持仓明细!$A$53,LEN(L$81)+2)=L$81&amp;" ·",ROW(分期持仓明细!$A$53),0)</f>
        <v>0</v>
      </c>
    </row>
    <row r="135" spans="13:18">
      <c r="M135">
        <f>IF(LEFT(分期持仓明细!$A$54,LEN(G$81)+2)=G$81&amp;" ·",ROW(分期持仓明细!$A$54),0)</f>
        <v>0</v>
      </c>
      <c r="N135">
        <f>IF(LEFT(分期持仓明细!$A$54,LEN(H$81)+2)=H$81&amp;" ·",ROW(分期持仓明细!$A$54),0)</f>
        <v>0</v>
      </c>
      <c r="O135">
        <f>IF(LEFT(分期持仓明细!$A$54,LEN(I$81)+2)=I$81&amp;" ·",ROW(分期持仓明细!$A$54),0)</f>
        <v>0</v>
      </c>
      <c r="P135">
        <f>IF(LEFT(分期持仓明细!$A$54,LEN(J$81)+2)=J$81&amp;" ·",ROW(分期持仓明细!$A$54),0)</f>
        <v>0</v>
      </c>
      <c r="Q135">
        <f>IF(LEFT(分期持仓明细!$A$54,LEN(K$81)+2)=K$81&amp;" ·",ROW(分期持仓明细!$A$54),0)</f>
        <v>0</v>
      </c>
      <c r="R135">
        <f>IF(LEFT(分期持仓明细!$A$54,LEN(L$81)+2)=L$81&amp;" ·",ROW(分期持仓明细!$A$54),0)</f>
        <v>0</v>
      </c>
    </row>
    <row r="136" spans="13:18">
      <c r="M136">
        <f>IF(LEFT(分期持仓明细!$A$55,LEN(G$81)+2)=G$81&amp;" ·",ROW(分期持仓明细!$A$55),0)</f>
        <v>0</v>
      </c>
      <c r="N136">
        <f>IF(LEFT(分期持仓明细!$A$55,LEN(H$81)+2)=H$81&amp;" ·",ROW(分期持仓明细!$A$55),0)</f>
        <v>0</v>
      </c>
      <c r="O136">
        <f>IF(LEFT(分期持仓明细!$A$55,LEN(I$81)+2)=I$81&amp;" ·",ROW(分期持仓明细!$A$55),0)</f>
        <v>0</v>
      </c>
      <c r="P136">
        <f>IF(LEFT(分期持仓明细!$A$55,LEN(J$81)+2)=J$81&amp;" ·",ROW(分期持仓明细!$A$55),0)</f>
        <v>0</v>
      </c>
      <c r="Q136">
        <f>IF(LEFT(分期持仓明细!$A$55,LEN(K$81)+2)=K$81&amp;" ·",ROW(分期持仓明细!$A$55),0)</f>
        <v>0</v>
      </c>
      <c r="R136">
        <f>IF(LEFT(分期持仓明细!$A$55,LEN(L$81)+2)=L$81&amp;" ·",ROW(分期持仓明细!$A$55),0)</f>
        <v>0</v>
      </c>
    </row>
    <row r="137" spans="13:18">
      <c r="M137">
        <f>IF(LEFT(分期持仓明细!$A$56,LEN(G$81)+2)=G$81&amp;" ·",ROW(分期持仓明细!$A$56),0)</f>
        <v>0</v>
      </c>
      <c r="N137">
        <f>IF(LEFT(分期持仓明细!$A$56,LEN(H$81)+2)=H$81&amp;" ·",ROW(分期持仓明细!$A$56),0)</f>
        <v>0</v>
      </c>
      <c r="O137">
        <f>IF(LEFT(分期持仓明细!$A$56,LEN(I$81)+2)=I$81&amp;" ·",ROW(分期持仓明细!$A$56),0)</f>
        <v>0</v>
      </c>
      <c r="P137">
        <f>IF(LEFT(分期持仓明细!$A$56,LEN(J$81)+2)=J$81&amp;" ·",ROW(分期持仓明细!$A$56),0)</f>
        <v>0</v>
      </c>
      <c r="Q137">
        <f>IF(LEFT(分期持仓明细!$A$56,LEN(K$81)+2)=K$81&amp;" ·",ROW(分期持仓明细!$A$56),0)</f>
        <v>0</v>
      </c>
      <c r="R137">
        <f>IF(LEFT(分期持仓明细!$A$56,LEN(L$81)+2)=L$81&amp;" ·",ROW(分期持仓明细!$A$56),0)</f>
        <v>0</v>
      </c>
    </row>
    <row r="138" spans="13:18">
      <c r="M138">
        <f>IF(LEFT(分期持仓明细!$A$57,LEN(G$81)+2)=G$81&amp;" ·",ROW(分期持仓明细!$A$57),0)</f>
        <v>0</v>
      </c>
      <c r="N138">
        <f>IF(LEFT(分期持仓明细!$A$57,LEN(H$81)+2)=H$81&amp;" ·",ROW(分期持仓明细!$A$57),0)</f>
        <v>0</v>
      </c>
      <c r="O138">
        <f>IF(LEFT(分期持仓明细!$A$57,LEN(I$81)+2)=I$81&amp;" ·",ROW(分期持仓明细!$A$57),0)</f>
        <v>0</v>
      </c>
      <c r="P138">
        <f>IF(LEFT(分期持仓明细!$A$57,LEN(J$81)+2)=J$81&amp;" ·",ROW(分期持仓明细!$A$57),0)</f>
        <v>0</v>
      </c>
      <c r="Q138">
        <f>IF(LEFT(分期持仓明细!$A$57,LEN(K$81)+2)=K$81&amp;" ·",ROW(分期持仓明细!$A$57),0)</f>
        <v>0</v>
      </c>
      <c r="R138">
        <f>IF(LEFT(分期持仓明细!$A$57,LEN(L$81)+2)=L$81&amp;" ·",ROW(分期持仓明细!$A$57),0)</f>
        <v>0</v>
      </c>
    </row>
    <row r="139" spans="13:18">
      <c r="M139">
        <f>IF(LEFT(分期持仓明细!$A$58,LEN(G$81)+2)=G$81&amp;" ·",ROW(分期持仓明细!$A$58),0)</f>
        <v>0</v>
      </c>
      <c r="N139">
        <f>IF(LEFT(分期持仓明细!$A$58,LEN(H$81)+2)=H$81&amp;" ·",ROW(分期持仓明细!$A$58),0)</f>
        <v>0</v>
      </c>
      <c r="O139">
        <f>IF(LEFT(分期持仓明细!$A$58,LEN(I$81)+2)=I$81&amp;" ·",ROW(分期持仓明细!$A$58),0)</f>
        <v>0</v>
      </c>
      <c r="P139">
        <f>IF(LEFT(分期持仓明细!$A$58,LEN(J$81)+2)=J$81&amp;" ·",ROW(分期持仓明细!$A$58),0)</f>
        <v>0</v>
      </c>
      <c r="Q139">
        <f>IF(LEFT(分期持仓明细!$A$58,LEN(K$81)+2)=K$81&amp;" ·",ROW(分期持仓明细!$A$58),0)</f>
        <v>0</v>
      </c>
      <c r="R139">
        <f>IF(LEFT(分期持仓明细!$A$58,LEN(L$81)+2)=L$81&amp;" ·",ROW(分期持仓明细!$A$58),0)</f>
        <v>0</v>
      </c>
    </row>
    <row r="140" spans="13:18">
      <c r="M140">
        <f>IF(LEFT(分期持仓明细!$A$59,LEN(G$81)+2)=G$81&amp;" ·",ROW(分期持仓明细!$A$59),0)</f>
        <v>0</v>
      </c>
      <c r="N140">
        <f>IF(LEFT(分期持仓明细!$A$59,LEN(H$81)+2)=H$81&amp;" ·",ROW(分期持仓明细!$A$59),0)</f>
        <v>0</v>
      </c>
      <c r="O140">
        <f>IF(LEFT(分期持仓明细!$A$59,LEN(I$81)+2)=I$81&amp;" ·",ROW(分期持仓明细!$A$59),0)</f>
        <v>0</v>
      </c>
      <c r="P140">
        <f>IF(LEFT(分期持仓明细!$A$59,LEN(J$81)+2)=J$81&amp;" ·",ROW(分期持仓明细!$A$59),0)</f>
        <v>0</v>
      </c>
      <c r="Q140">
        <f>IF(LEFT(分期持仓明细!$A$59,LEN(K$81)+2)=K$81&amp;" ·",ROW(分期持仓明细!$A$59),0)</f>
        <v>0</v>
      </c>
      <c r="R140">
        <f>IF(LEFT(分期持仓明细!$A$59,LEN(L$81)+2)=L$81&amp;" ·",ROW(分期持仓明细!$A$59),0)</f>
        <v>0</v>
      </c>
    </row>
    <row r="141" spans="13:18">
      <c r="M141">
        <f>IF(LEFT(分期持仓明细!$A$60,LEN(G$81)+2)=G$81&amp;" ·",ROW(分期持仓明细!$A$60),0)</f>
        <v>0</v>
      </c>
      <c r="N141">
        <f>IF(LEFT(分期持仓明细!$A$60,LEN(H$81)+2)=H$81&amp;" ·",ROW(分期持仓明细!$A$60),0)</f>
        <v>0</v>
      </c>
      <c r="O141">
        <f>IF(LEFT(分期持仓明细!$A$60,LEN(I$81)+2)=I$81&amp;" ·",ROW(分期持仓明细!$A$60),0)</f>
        <v>0</v>
      </c>
      <c r="P141">
        <f>IF(LEFT(分期持仓明细!$A$60,LEN(J$81)+2)=J$81&amp;" ·",ROW(分期持仓明细!$A$60),0)</f>
        <v>0</v>
      </c>
      <c r="Q141">
        <f>IF(LEFT(分期持仓明细!$A$60,LEN(K$81)+2)=K$81&amp;" ·",ROW(分期持仓明细!$A$60),0)</f>
        <v>0</v>
      </c>
      <c r="R141">
        <f>IF(LEFT(分期持仓明细!$A$60,LEN(L$81)+2)=L$81&amp;" ·",ROW(分期持仓明细!$A$60),0)</f>
        <v>0</v>
      </c>
    </row>
    <row r="142" spans="13:18">
      <c r="M142">
        <f>IF(LEFT(分期持仓明细!$A$61,LEN(G$81)+2)=G$81&amp;" ·",ROW(分期持仓明细!$A$61),0)</f>
        <v>0</v>
      </c>
      <c r="N142">
        <f>IF(LEFT(分期持仓明细!$A$61,LEN(H$81)+2)=H$81&amp;" ·",ROW(分期持仓明细!$A$61),0)</f>
        <v>0</v>
      </c>
      <c r="O142">
        <f>IF(LEFT(分期持仓明细!$A$61,LEN(I$81)+2)=I$81&amp;" ·",ROW(分期持仓明细!$A$61),0)</f>
        <v>0</v>
      </c>
      <c r="P142">
        <f>IF(LEFT(分期持仓明细!$A$61,LEN(J$81)+2)=J$81&amp;" ·",ROW(分期持仓明细!$A$61),0)</f>
        <v>0</v>
      </c>
      <c r="Q142">
        <f>IF(LEFT(分期持仓明细!$A$61,LEN(K$81)+2)=K$81&amp;" ·",ROW(分期持仓明细!$A$61),0)</f>
        <v>0</v>
      </c>
      <c r="R142">
        <f>IF(LEFT(分期持仓明细!$A$61,LEN(L$81)+2)=L$81&amp;" ·",ROW(分期持仓明细!$A$61),0)</f>
        <v>0</v>
      </c>
    </row>
    <row r="143" spans="13:18">
      <c r="M143">
        <f>IF(LEFT(分期持仓明细!$A$62,LEN(G$81)+2)=G$81&amp;" ·",ROW(分期持仓明细!$A$62),0)</f>
        <v>0</v>
      </c>
      <c r="N143">
        <f>IF(LEFT(分期持仓明细!$A$62,LEN(H$81)+2)=H$81&amp;" ·",ROW(分期持仓明细!$A$62),0)</f>
        <v>0</v>
      </c>
      <c r="O143">
        <f>IF(LEFT(分期持仓明细!$A$62,LEN(I$81)+2)=I$81&amp;" ·",ROW(分期持仓明细!$A$62),0)</f>
        <v>0</v>
      </c>
      <c r="P143">
        <f>IF(LEFT(分期持仓明细!$A$62,LEN(J$81)+2)=J$81&amp;" ·",ROW(分期持仓明细!$A$62),0)</f>
        <v>0</v>
      </c>
      <c r="Q143">
        <f>IF(LEFT(分期持仓明细!$A$62,LEN(K$81)+2)=K$81&amp;" ·",ROW(分期持仓明细!$A$62),0)</f>
        <v>0</v>
      </c>
      <c r="R143">
        <f>IF(LEFT(分期持仓明细!$A$62,LEN(L$81)+2)=L$81&amp;" ·",ROW(分期持仓明细!$A$62),0)</f>
        <v>0</v>
      </c>
    </row>
    <row r="144" spans="13:18">
      <c r="M144">
        <f>IF(LEFT(分期持仓明细!$A$63,LEN(G$81)+2)=G$81&amp;" ·",ROW(分期持仓明细!$A$63),0)</f>
        <v>0</v>
      </c>
      <c r="N144">
        <f>IF(LEFT(分期持仓明细!$A$63,LEN(H$81)+2)=H$81&amp;" ·",ROW(分期持仓明细!$A$63),0)</f>
        <v>0</v>
      </c>
      <c r="O144">
        <f>IF(LEFT(分期持仓明细!$A$63,LEN(I$81)+2)=I$81&amp;" ·",ROW(分期持仓明细!$A$63),0)</f>
        <v>0</v>
      </c>
      <c r="P144">
        <f>IF(LEFT(分期持仓明细!$A$63,LEN(J$81)+2)=J$81&amp;" ·",ROW(分期持仓明细!$A$63),0)</f>
        <v>0</v>
      </c>
      <c r="Q144">
        <f>IF(LEFT(分期持仓明细!$A$63,LEN(K$81)+2)=K$81&amp;" ·",ROW(分期持仓明细!$A$63),0)</f>
        <v>0</v>
      </c>
      <c r="R144">
        <f>IF(LEFT(分期持仓明细!$A$63,LEN(L$81)+2)=L$81&amp;" ·",ROW(分期持仓明细!$A$63),0)</f>
        <v>0</v>
      </c>
    </row>
    <row r="145" spans="13:18">
      <c r="M145">
        <f>IF(LEFT(分期持仓明细!$A$64,LEN(G$81)+2)=G$81&amp;" ·",ROW(分期持仓明细!$A$64),0)</f>
        <v>0</v>
      </c>
      <c r="N145">
        <f>IF(LEFT(分期持仓明细!$A$64,LEN(H$81)+2)=H$81&amp;" ·",ROW(分期持仓明细!$A$64),0)</f>
        <v>0</v>
      </c>
      <c r="O145">
        <f>IF(LEFT(分期持仓明细!$A$64,LEN(I$81)+2)=I$81&amp;" ·",ROW(分期持仓明细!$A$64),0)</f>
        <v>0</v>
      </c>
      <c r="P145">
        <f>IF(LEFT(分期持仓明细!$A$64,LEN(J$81)+2)=J$81&amp;" ·",ROW(分期持仓明细!$A$64),0)</f>
        <v>0</v>
      </c>
      <c r="Q145">
        <f>IF(LEFT(分期持仓明细!$A$64,LEN(K$81)+2)=K$81&amp;" ·",ROW(分期持仓明细!$A$64),0)</f>
        <v>0</v>
      </c>
      <c r="R145">
        <f>IF(LEFT(分期持仓明细!$A$64,LEN(L$81)+2)=L$81&amp;" ·",ROW(分期持仓明细!$A$64),0)</f>
        <v>0</v>
      </c>
    </row>
    <row r="146" spans="13:18">
      <c r="M146">
        <f>IF(LEFT(分期持仓明细!$A$65,LEN(G$81)+2)=G$81&amp;" ·",ROW(分期持仓明细!$A$65),0)</f>
        <v>0</v>
      </c>
      <c r="N146">
        <f>IF(LEFT(分期持仓明细!$A$65,LEN(H$81)+2)=H$81&amp;" ·",ROW(分期持仓明细!$A$65),0)</f>
        <v>0</v>
      </c>
      <c r="O146">
        <f>IF(LEFT(分期持仓明细!$A$65,LEN(I$81)+2)=I$81&amp;" ·",ROW(分期持仓明细!$A$65),0)</f>
        <v>0</v>
      </c>
      <c r="P146">
        <f>IF(LEFT(分期持仓明细!$A$65,LEN(J$81)+2)=J$81&amp;" ·",ROW(分期持仓明细!$A$65),0)</f>
        <v>0</v>
      </c>
      <c r="Q146">
        <f>IF(LEFT(分期持仓明细!$A$65,LEN(K$81)+2)=K$81&amp;" ·",ROW(分期持仓明细!$A$65),0)</f>
        <v>0</v>
      </c>
      <c r="R146">
        <f>IF(LEFT(分期持仓明细!$A$65,LEN(L$81)+2)=L$81&amp;" ·",ROW(分期持仓明细!$A$65),0)</f>
        <v>0</v>
      </c>
    </row>
    <row r="147" spans="13:18">
      <c r="M147">
        <f>IF(LEFT(分期持仓明细!$A$66,LEN(G$81)+2)=G$81&amp;" ·",ROW(分期持仓明细!$A$66),0)</f>
        <v>0</v>
      </c>
      <c r="N147">
        <f>IF(LEFT(分期持仓明细!$A$66,LEN(H$81)+2)=H$81&amp;" ·",ROW(分期持仓明细!$A$66),0)</f>
        <v>0</v>
      </c>
      <c r="O147">
        <f>IF(LEFT(分期持仓明细!$A$66,LEN(I$81)+2)=I$81&amp;" ·",ROW(分期持仓明细!$A$66),0)</f>
        <v>0</v>
      </c>
      <c r="P147">
        <f>IF(LEFT(分期持仓明细!$A$66,LEN(J$81)+2)=J$81&amp;" ·",ROW(分期持仓明细!$A$66),0)</f>
        <v>0</v>
      </c>
      <c r="Q147">
        <f>IF(LEFT(分期持仓明细!$A$66,LEN(K$81)+2)=K$81&amp;" ·",ROW(分期持仓明细!$A$66),0)</f>
        <v>0</v>
      </c>
      <c r="R147">
        <f>IF(LEFT(分期持仓明细!$A$66,LEN(L$81)+2)=L$81&amp;" ·",ROW(分期持仓明细!$A$66),0)</f>
        <v>0</v>
      </c>
    </row>
    <row r="148" spans="13:18">
      <c r="M148">
        <f>IF(LEFT(分期持仓明细!$A$67,LEN(G$81)+2)=G$81&amp;" ·",ROW(分期持仓明细!$A$67),0)</f>
        <v>0</v>
      </c>
      <c r="N148">
        <f>IF(LEFT(分期持仓明细!$A$67,LEN(H$81)+2)=H$81&amp;" ·",ROW(分期持仓明细!$A$67),0)</f>
        <v>0</v>
      </c>
      <c r="O148">
        <f>IF(LEFT(分期持仓明细!$A$67,LEN(I$81)+2)=I$81&amp;" ·",ROW(分期持仓明细!$A$67),0)</f>
        <v>0</v>
      </c>
      <c r="P148">
        <f>IF(LEFT(分期持仓明细!$A$67,LEN(J$81)+2)=J$81&amp;" ·",ROW(分期持仓明细!$A$67),0)</f>
        <v>0</v>
      </c>
      <c r="Q148">
        <f>IF(LEFT(分期持仓明细!$A$67,LEN(K$81)+2)=K$81&amp;" ·",ROW(分期持仓明细!$A$67),0)</f>
        <v>0</v>
      </c>
      <c r="R148">
        <f>IF(LEFT(分期持仓明细!$A$67,LEN(L$81)+2)=L$81&amp;" ·",ROW(分期持仓明细!$A$67),0)</f>
        <v>0</v>
      </c>
    </row>
    <row r="149" spans="13:18">
      <c r="M149">
        <f>IF(LEFT(分期持仓明细!$A$68,LEN(G$81)+2)=G$81&amp;" ·",ROW(分期持仓明细!$A$68),0)</f>
        <v>0</v>
      </c>
      <c r="N149">
        <f>IF(LEFT(分期持仓明细!$A$68,LEN(H$81)+2)=H$81&amp;" ·",ROW(分期持仓明细!$A$68),0)</f>
        <v>0</v>
      </c>
      <c r="O149">
        <f>IF(LEFT(分期持仓明细!$A$68,LEN(I$81)+2)=I$81&amp;" ·",ROW(分期持仓明细!$A$68),0)</f>
        <v>0</v>
      </c>
      <c r="P149">
        <f>IF(LEFT(分期持仓明细!$A$68,LEN(J$81)+2)=J$81&amp;" ·",ROW(分期持仓明细!$A$68),0)</f>
        <v>0</v>
      </c>
      <c r="Q149">
        <f>IF(LEFT(分期持仓明细!$A$68,LEN(K$81)+2)=K$81&amp;" ·",ROW(分期持仓明细!$A$68),0)</f>
        <v>0</v>
      </c>
      <c r="R149">
        <f>IF(LEFT(分期持仓明细!$A$68,LEN(L$81)+2)=L$81&amp;" ·",ROW(分期持仓明细!$A$68),0)</f>
        <v>0</v>
      </c>
    </row>
    <row r="150" spans="13:18">
      <c r="M150">
        <f>IF(LEFT(分期持仓明细!$A$69,LEN(G$81)+2)=G$81&amp;" ·",ROW(分期持仓明细!$A$69),0)</f>
        <v>0</v>
      </c>
      <c r="N150">
        <f>IF(LEFT(分期持仓明细!$A$69,LEN(H$81)+2)=H$81&amp;" ·",ROW(分期持仓明细!$A$69),0)</f>
        <v>0</v>
      </c>
      <c r="O150">
        <f>IF(LEFT(分期持仓明细!$A$69,LEN(I$81)+2)=I$81&amp;" ·",ROW(分期持仓明细!$A$69),0)</f>
        <v>0</v>
      </c>
      <c r="P150">
        <f>IF(LEFT(分期持仓明细!$A$69,LEN(J$81)+2)=J$81&amp;" ·",ROW(分期持仓明细!$A$69),0)</f>
        <v>0</v>
      </c>
      <c r="Q150">
        <f>IF(LEFT(分期持仓明细!$A$69,LEN(K$81)+2)=K$81&amp;" ·",ROW(分期持仓明细!$A$69),0)</f>
        <v>0</v>
      </c>
      <c r="R150">
        <f>IF(LEFT(分期持仓明细!$A$69,LEN(L$81)+2)=L$81&amp;" ·",ROW(分期持仓明细!$A$69),0)</f>
        <v>0</v>
      </c>
    </row>
    <row r="151" spans="13:18">
      <c r="M151">
        <f>IF(LEFT(分期持仓明细!$A$70,LEN(G$81)+2)=G$81&amp;" ·",ROW(分期持仓明细!$A$70),0)</f>
        <v>0</v>
      </c>
      <c r="N151">
        <f>IF(LEFT(分期持仓明细!$A$70,LEN(H$81)+2)=H$81&amp;" ·",ROW(分期持仓明细!$A$70),0)</f>
        <v>0</v>
      </c>
      <c r="O151">
        <f>IF(LEFT(分期持仓明细!$A$70,LEN(I$81)+2)=I$81&amp;" ·",ROW(分期持仓明细!$A$70),0)</f>
        <v>0</v>
      </c>
      <c r="P151">
        <f>IF(LEFT(分期持仓明细!$A$70,LEN(J$81)+2)=J$81&amp;" ·",ROW(分期持仓明细!$A$70),0)</f>
        <v>0</v>
      </c>
      <c r="Q151">
        <f>IF(LEFT(分期持仓明细!$A$70,LEN(K$81)+2)=K$81&amp;" ·",ROW(分期持仓明细!$A$70),0)</f>
        <v>0</v>
      </c>
      <c r="R151">
        <f>IF(LEFT(分期持仓明细!$A$70,LEN(L$81)+2)=L$81&amp;" ·",ROW(分期持仓明细!$A$70),0)</f>
        <v>0</v>
      </c>
    </row>
    <row r="152" spans="13:18">
      <c r="M152">
        <f>IF(LEFT(分期持仓明细!$A$71,LEN(G$81)+2)=G$81&amp;" ·",ROW(分期持仓明细!$A$71),0)</f>
        <v>0</v>
      </c>
      <c r="N152">
        <f>IF(LEFT(分期持仓明细!$A$71,LEN(H$81)+2)=H$81&amp;" ·",ROW(分期持仓明细!$A$71),0)</f>
        <v>0</v>
      </c>
      <c r="O152">
        <f>IF(LEFT(分期持仓明细!$A$71,LEN(I$81)+2)=I$81&amp;" ·",ROW(分期持仓明细!$A$71),0)</f>
        <v>0</v>
      </c>
      <c r="P152">
        <f>IF(LEFT(分期持仓明细!$A$71,LEN(J$81)+2)=J$81&amp;" ·",ROW(分期持仓明细!$A$71),0)</f>
        <v>0</v>
      </c>
      <c r="Q152">
        <f>IF(LEFT(分期持仓明细!$A$71,LEN(K$81)+2)=K$81&amp;" ·",ROW(分期持仓明细!$A$71),0)</f>
        <v>0</v>
      </c>
      <c r="R152">
        <f>IF(LEFT(分期持仓明细!$A$71,LEN(L$81)+2)=L$81&amp;" ·",ROW(分期持仓明细!$A$71),0)</f>
        <v>0</v>
      </c>
    </row>
    <row r="153" spans="13:18">
      <c r="M153">
        <f>IF(LEFT(分期持仓明细!$A$72,LEN(G$81)+2)=G$81&amp;" ·",ROW(分期持仓明细!$A$72),0)</f>
        <v>0</v>
      </c>
      <c r="N153">
        <f>IF(LEFT(分期持仓明细!$A$72,LEN(H$81)+2)=H$81&amp;" ·",ROW(分期持仓明细!$A$72),0)</f>
        <v>0</v>
      </c>
      <c r="O153">
        <f>IF(LEFT(分期持仓明细!$A$72,LEN(I$81)+2)=I$81&amp;" ·",ROW(分期持仓明细!$A$72),0)</f>
        <v>0</v>
      </c>
      <c r="P153">
        <f>IF(LEFT(分期持仓明细!$A$72,LEN(J$81)+2)=J$81&amp;" ·",ROW(分期持仓明细!$A$72),0)</f>
        <v>0</v>
      </c>
      <c r="Q153">
        <f>IF(LEFT(分期持仓明细!$A$72,LEN(K$81)+2)=K$81&amp;" ·",ROW(分期持仓明细!$A$72),0)</f>
        <v>0</v>
      </c>
      <c r="R153">
        <f>IF(LEFT(分期持仓明细!$A$72,LEN(L$81)+2)=L$81&amp;" ·",ROW(分期持仓明细!$A$72),0)</f>
        <v>0</v>
      </c>
    </row>
    <row r="154" spans="13:18">
      <c r="M154">
        <f>IF(LEFT(分期持仓明细!$A$73,LEN(G$81)+2)=G$81&amp;" ·",ROW(分期持仓明细!$A$73),0)</f>
        <v>0</v>
      </c>
      <c r="N154">
        <f>IF(LEFT(分期持仓明细!$A$73,LEN(H$81)+2)=H$81&amp;" ·",ROW(分期持仓明细!$A$73),0)</f>
        <v>0</v>
      </c>
      <c r="O154">
        <f>IF(LEFT(分期持仓明细!$A$73,LEN(I$81)+2)=I$81&amp;" ·",ROW(分期持仓明细!$A$73),0)</f>
        <v>0</v>
      </c>
      <c r="P154">
        <f>IF(LEFT(分期持仓明细!$A$73,LEN(J$81)+2)=J$81&amp;" ·",ROW(分期持仓明细!$A$73),0)</f>
        <v>0</v>
      </c>
      <c r="Q154">
        <f>IF(LEFT(分期持仓明细!$A$73,LEN(K$81)+2)=K$81&amp;" ·",ROW(分期持仓明细!$A$73),0)</f>
        <v>0</v>
      </c>
      <c r="R154">
        <f>IF(LEFT(分期持仓明细!$A$73,LEN(L$81)+2)=L$81&amp;" ·",ROW(分期持仓明细!$A$73),0)</f>
        <v>0</v>
      </c>
    </row>
    <row r="155" spans="13:18">
      <c r="M155">
        <f>IF(LEFT(分期持仓明细!$A$74,LEN(G$81)+2)=G$81&amp;" ·",ROW(分期持仓明细!$A$74),0)</f>
        <v>0</v>
      </c>
      <c r="N155">
        <f>IF(LEFT(分期持仓明细!$A$74,LEN(H$81)+2)=H$81&amp;" ·",ROW(分期持仓明细!$A$74),0)</f>
        <v>0</v>
      </c>
      <c r="O155">
        <f>IF(LEFT(分期持仓明细!$A$74,LEN(I$81)+2)=I$81&amp;" ·",ROW(分期持仓明细!$A$74),0)</f>
        <v>0</v>
      </c>
      <c r="P155">
        <f>IF(LEFT(分期持仓明细!$A$74,LEN(J$81)+2)=J$81&amp;" ·",ROW(分期持仓明细!$A$74),0)</f>
        <v>0</v>
      </c>
      <c r="Q155">
        <f>IF(LEFT(分期持仓明细!$A$74,LEN(K$81)+2)=K$81&amp;" ·",ROW(分期持仓明细!$A$74),0)</f>
        <v>0</v>
      </c>
      <c r="R155">
        <f>IF(LEFT(分期持仓明细!$A$74,LEN(L$81)+2)=L$81&amp;" ·",ROW(分期持仓明细!$A$74),0)</f>
        <v>0</v>
      </c>
    </row>
    <row r="156" spans="13:18">
      <c r="M156">
        <f>IF(LEFT(分期持仓明细!$A$75,LEN(G$81)+2)=G$81&amp;" ·",ROW(分期持仓明细!$A$75),0)</f>
        <v>0</v>
      </c>
      <c r="N156">
        <f>IF(LEFT(分期持仓明细!$A$75,LEN(H$81)+2)=H$81&amp;" ·",ROW(分期持仓明细!$A$75),0)</f>
        <v>0</v>
      </c>
      <c r="O156">
        <f>IF(LEFT(分期持仓明细!$A$75,LEN(I$81)+2)=I$81&amp;" ·",ROW(分期持仓明细!$A$75),0)</f>
        <v>0</v>
      </c>
      <c r="P156">
        <f>IF(LEFT(分期持仓明细!$A$75,LEN(J$81)+2)=J$81&amp;" ·",ROW(分期持仓明细!$A$75),0)</f>
        <v>0</v>
      </c>
      <c r="Q156">
        <f>IF(LEFT(分期持仓明细!$A$75,LEN(K$81)+2)=K$81&amp;" ·",ROW(分期持仓明细!$A$75),0)</f>
        <v>0</v>
      </c>
      <c r="R156">
        <f>IF(LEFT(分期持仓明细!$A$75,LEN(L$81)+2)=L$81&amp;" ·",ROW(分期持仓明细!$A$75),0)</f>
        <v>0</v>
      </c>
    </row>
    <row r="157" spans="13:18">
      <c r="M157">
        <f>IF(LEFT(分期持仓明细!$A$76,LEN(G$81)+2)=G$81&amp;" ·",ROW(分期持仓明细!$A$76),0)</f>
        <v>0</v>
      </c>
      <c r="N157">
        <f>IF(LEFT(分期持仓明细!$A$76,LEN(H$81)+2)=H$81&amp;" ·",ROW(分期持仓明细!$A$76),0)</f>
        <v>0</v>
      </c>
      <c r="O157">
        <f>IF(LEFT(分期持仓明细!$A$76,LEN(I$81)+2)=I$81&amp;" ·",ROW(分期持仓明细!$A$76),0)</f>
        <v>0</v>
      </c>
      <c r="P157">
        <f>IF(LEFT(分期持仓明细!$A$76,LEN(J$81)+2)=J$81&amp;" ·",ROW(分期持仓明细!$A$76),0)</f>
        <v>0</v>
      </c>
      <c r="Q157">
        <f>IF(LEFT(分期持仓明细!$A$76,LEN(K$81)+2)=K$81&amp;" ·",ROW(分期持仓明细!$A$76),0)</f>
        <v>0</v>
      </c>
      <c r="R157">
        <f>IF(LEFT(分期持仓明细!$A$76,LEN(L$81)+2)=L$81&amp;" ·",ROW(分期持仓明细!$A$76),0)</f>
        <v>0</v>
      </c>
    </row>
    <row r="158" spans="13:18">
      <c r="M158">
        <f>IF(LEFT(分期持仓明细!$A$77,LEN(G$81)+2)=G$81&amp;" ·",ROW(分期持仓明细!$A$77),0)</f>
        <v>0</v>
      </c>
      <c r="N158">
        <f>IF(LEFT(分期持仓明细!$A$77,LEN(H$81)+2)=H$81&amp;" ·",ROW(分期持仓明细!$A$77),0)</f>
        <v>0</v>
      </c>
      <c r="O158">
        <f>IF(LEFT(分期持仓明细!$A$77,LEN(I$81)+2)=I$81&amp;" ·",ROW(分期持仓明细!$A$77),0)</f>
        <v>0</v>
      </c>
      <c r="P158">
        <f>IF(LEFT(分期持仓明细!$A$77,LEN(J$81)+2)=J$81&amp;" ·",ROW(分期持仓明细!$A$77),0)</f>
        <v>0</v>
      </c>
      <c r="Q158">
        <f>IF(LEFT(分期持仓明细!$A$77,LEN(K$81)+2)=K$81&amp;" ·",ROW(分期持仓明细!$A$77),0)</f>
        <v>0</v>
      </c>
      <c r="R158">
        <f>IF(LEFT(分期持仓明细!$A$77,LEN(L$81)+2)=L$81&amp;" ·",ROW(分期持仓明细!$A$77),0)</f>
        <v>0</v>
      </c>
    </row>
    <row r="159" spans="13:18">
      <c r="M159">
        <f>IF(LEFT(分期持仓明细!$A$78,LEN(G$81)+2)=G$81&amp;" ·",ROW(分期持仓明细!$A$78),0)</f>
        <v>0</v>
      </c>
      <c r="N159">
        <f>IF(LEFT(分期持仓明细!$A$78,LEN(H$81)+2)=H$81&amp;" ·",ROW(分期持仓明细!$A$78),0)</f>
        <v>0</v>
      </c>
      <c r="O159">
        <f>IF(LEFT(分期持仓明细!$A$78,LEN(I$81)+2)=I$81&amp;" ·",ROW(分期持仓明细!$A$78),0)</f>
        <v>0</v>
      </c>
      <c r="P159">
        <f>IF(LEFT(分期持仓明细!$A$78,LEN(J$81)+2)=J$81&amp;" ·",ROW(分期持仓明细!$A$78),0)</f>
        <v>0</v>
      </c>
      <c r="Q159">
        <f>IF(LEFT(分期持仓明细!$A$78,LEN(K$81)+2)=K$81&amp;" ·",ROW(分期持仓明细!$A$78),0)</f>
        <v>0</v>
      </c>
      <c r="R159">
        <f>IF(LEFT(分期持仓明细!$A$78,LEN(L$81)+2)=L$81&amp;" ·",ROW(分期持仓明细!$A$78),0)</f>
        <v>0</v>
      </c>
    </row>
    <row r="160" spans="13:18">
      <c r="M160">
        <f>IF(LEFT(分期持仓明细!$A$79,LEN(G$81)+2)=G$81&amp;" ·",ROW(分期持仓明细!$A$79),0)</f>
        <v>0</v>
      </c>
      <c r="N160">
        <f>IF(LEFT(分期持仓明细!$A$79,LEN(H$81)+2)=H$81&amp;" ·",ROW(分期持仓明细!$A$79),0)</f>
        <v>0</v>
      </c>
      <c r="O160">
        <f>IF(LEFT(分期持仓明细!$A$79,LEN(I$81)+2)=I$81&amp;" ·",ROW(分期持仓明细!$A$79),0)</f>
        <v>0</v>
      </c>
      <c r="P160">
        <f>IF(LEFT(分期持仓明细!$A$79,LEN(J$81)+2)=J$81&amp;" ·",ROW(分期持仓明细!$A$79),0)</f>
        <v>0</v>
      </c>
      <c r="Q160">
        <f>IF(LEFT(分期持仓明细!$A$79,LEN(K$81)+2)=K$81&amp;" ·",ROW(分期持仓明细!$A$79),0)</f>
        <v>0</v>
      </c>
      <c r="R160">
        <f>IF(LEFT(分期持仓明细!$A$79,LEN(L$81)+2)=L$81&amp;" ·",ROW(分期持仓明细!$A$79),0)</f>
        <v>0</v>
      </c>
    </row>
    <row r="161" spans="13:18">
      <c r="M161">
        <f>IF(LEFT(分期持仓明细!$A$80,LEN(G$81)+2)=G$81&amp;" ·",ROW(分期持仓明细!$A$80),0)</f>
        <v>0</v>
      </c>
      <c r="N161">
        <f>IF(LEFT(分期持仓明细!$A$80,LEN(H$81)+2)=H$81&amp;" ·",ROW(分期持仓明细!$A$80),0)</f>
        <v>0</v>
      </c>
      <c r="O161">
        <f>IF(LEFT(分期持仓明细!$A$80,LEN(I$81)+2)=I$81&amp;" ·",ROW(分期持仓明细!$A$80),0)</f>
        <v>0</v>
      </c>
      <c r="P161">
        <f>IF(LEFT(分期持仓明细!$A$80,LEN(J$81)+2)=J$81&amp;" ·",ROW(分期持仓明细!$A$80),0)</f>
        <v>0</v>
      </c>
      <c r="Q161">
        <f>IF(LEFT(分期持仓明细!$A$80,LEN(K$81)+2)=K$81&amp;" ·",ROW(分期持仓明细!$A$80),0)</f>
        <v>0</v>
      </c>
      <c r="R161">
        <f>IF(LEFT(分期持仓明细!$A$80,LEN(L$81)+2)=L$81&amp;" ·",ROW(分期持仓明细!$A$80),0)</f>
        <v>0</v>
      </c>
    </row>
    <row r="162" spans="13:18">
      <c r="M162">
        <f>IF(LEFT(分期持仓明细!$A$81,LEN(G$81)+2)=G$81&amp;" ·",ROW(分期持仓明细!$A$81),0)</f>
        <v>0</v>
      </c>
      <c r="N162">
        <f>IF(LEFT(分期持仓明细!$A$81,LEN(H$81)+2)=H$81&amp;" ·",ROW(分期持仓明细!$A$81),0)</f>
        <v>0</v>
      </c>
      <c r="O162">
        <f>IF(LEFT(分期持仓明细!$A$81,LEN(I$81)+2)=I$81&amp;" ·",ROW(分期持仓明细!$A$81),0)</f>
        <v>0</v>
      </c>
      <c r="P162">
        <f>IF(LEFT(分期持仓明细!$A$81,LEN(J$81)+2)=J$81&amp;" ·",ROW(分期持仓明细!$A$81),0)</f>
        <v>0</v>
      </c>
      <c r="Q162">
        <f>IF(LEFT(分期持仓明细!$A$81,LEN(K$81)+2)=K$81&amp;" ·",ROW(分期持仓明细!$A$81),0)</f>
        <v>0</v>
      </c>
      <c r="R162">
        <f>IF(LEFT(分期持仓明细!$A$81,LEN(L$81)+2)=L$81&amp;" ·",ROW(分期持仓明细!$A$81),0)</f>
        <v>0</v>
      </c>
    </row>
    <row r="163" spans="13:18">
      <c r="M163">
        <f>IF(LEFT(分期持仓明细!$A$82,LEN(G$81)+2)=G$81&amp;" ·",ROW(分期持仓明细!$A$82),0)</f>
        <v>0</v>
      </c>
      <c r="N163">
        <f>IF(LEFT(分期持仓明细!$A$82,LEN(H$81)+2)=H$81&amp;" ·",ROW(分期持仓明细!$A$82),0)</f>
        <v>0</v>
      </c>
      <c r="O163">
        <f>IF(LEFT(分期持仓明细!$A$82,LEN(I$81)+2)=I$81&amp;" ·",ROW(分期持仓明细!$A$82),0)</f>
        <v>0</v>
      </c>
      <c r="P163">
        <f>IF(LEFT(分期持仓明细!$A$82,LEN(J$81)+2)=J$81&amp;" ·",ROW(分期持仓明细!$A$82),0)</f>
        <v>0</v>
      </c>
      <c r="Q163">
        <f>IF(LEFT(分期持仓明细!$A$82,LEN(K$81)+2)=K$81&amp;" ·",ROW(分期持仓明细!$A$82),0)</f>
        <v>0</v>
      </c>
      <c r="R163">
        <f>IF(LEFT(分期持仓明细!$A$82,LEN(L$81)+2)=L$81&amp;" ·",ROW(分期持仓明细!$A$82),0)</f>
        <v>0</v>
      </c>
    </row>
    <row r="164" spans="13:18">
      <c r="M164">
        <f>IF(LEFT(分期持仓明细!$A$83,LEN(G$81)+2)=G$81&amp;" ·",ROW(分期持仓明细!$A$83),0)</f>
        <v>0</v>
      </c>
      <c r="N164">
        <f>IF(LEFT(分期持仓明细!$A$83,LEN(H$81)+2)=H$81&amp;" ·",ROW(分期持仓明细!$A$83),0)</f>
        <v>0</v>
      </c>
      <c r="O164">
        <f>IF(LEFT(分期持仓明细!$A$83,LEN(I$81)+2)=I$81&amp;" ·",ROW(分期持仓明细!$A$83),0)</f>
        <v>0</v>
      </c>
      <c r="P164">
        <f>IF(LEFT(分期持仓明细!$A$83,LEN(J$81)+2)=J$81&amp;" ·",ROW(分期持仓明细!$A$83),0)</f>
        <v>0</v>
      </c>
      <c r="Q164">
        <f>IF(LEFT(分期持仓明细!$A$83,LEN(K$81)+2)=K$81&amp;" ·",ROW(分期持仓明细!$A$83),0)</f>
        <v>0</v>
      </c>
      <c r="R164">
        <f>IF(LEFT(分期持仓明细!$A$83,LEN(L$81)+2)=L$81&amp;" ·",ROW(分期持仓明细!$A$83),0)</f>
        <v>0</v>
      </c>
    </row>
    <row r="165" spans="13:18">
      <c r="M165">
        <f>IF(LEFT(分期持仓明细!$A$84,LEN(G$81)+2)=G$81&amp;" ·",ROW(分期持仓明细!$A$84),0)</f>
        <v>0</v>
      </c>
      <c r="N165">
        <f>IF(LEFT(分期持仓明细!$A$84,LEN(H$81)+2)=H$81&amp;" ·",ROW(分期持仓明细!$A$84),0)</f>
        <v>0</v>
      </c>
      <c r="O165">
        <f>IF(LEFT(分期持仓明细!$A$84,LEN(I$81)+2)=I$81&amp;" ·",ROW(分期持仓明细!$A$84),0)</f>
        <v>0</v>
      </c>
      <c r="P165">
        <f>IF(LEFT(分期持仓明细!$A$84,LEN(J$81)+2)=J$81&amp;" ·",ROW(分期持仓明细!$A$84),0)</f>
        <v>0</v>
      </c>
      <c r="Q165">
        <f>IF(LEFT(分期持仓明细!$A$84,LEN(K$81)+2)=K$81&amp;" ·",ROW(分期持仓明细!$A$84),0)</f>
        <v>0</v>
      </c>
      <c r="R165">
        <f>IF(LEFT(分期持仓明细!$A$84,LEN(L$81)+2)=L$81&amp;" ·",ROW(分期持仓明细!$A$84),0)</f>
        <v>0</v>
      </c>
    </row>
    <row r="166" spans="13:18">
      <c r="M166">
        <f>IF(LEFT(分期持仓明细!$A$85,LEN(G$81)+2)=G$81&amp;" ·",ROW(分期持仓明细!$A$85),0)</f>
        <v>0</v>
      </c>
      <c r="N166">
        <f>IF(LEFT(分期持仓明细!$A$85,LEN(H$81)+2)=H$81&amp;" ·",ROW(分期持仓明细!$A$85),0)</f>
        <v>0</v>
      </c>
      <c r="O166">
        <f>IF(LEFT(分期持仓明细!$A$85,LEN(I$81)+2)=I$81&amp;" ·",ROW(分期持仓明细!$A$85),0)</f>
        <v>0</v>
      </c>
      <c r="P166">
        <f>IF(LEFT(分期持仓明细!$A$85,LEN(J$81)+2)=J$81&amp;" ·",ROW(分期持仓明细!$A$85),0)</f>
        <v>0</v>
      </c>
      <c r="Q166">
        <f>IF(LEFT(分期持仓明细!$A$85,LEN(K$81)+2)=K$81&amp;" ·",ROW(分期持仓明细!$A$85),0)</f>
        <v>0</v>
      </c>
      <c r="R166">
        <f>IF(LEFT(分期持仓明细!$A$85,LEN(L$81)+2)=L$81&amp;" ·",ROW(分期持仓明细!$A$85),0)</f>
        <v>0</v>
      </c>
    </row>
    <row r="167" spans="13:18">
      <c r="M167">
        <f>IF(LEFT(分期持仓明细!$A$86,LEN(G$81)+2)=G$81&amp;" ·",ROW(分期持仓明细!$A$86),0)</f>
        <v>0</v>
      </c>
      <c r="N167">
        <f>IF(LEFT(分期持仓明细!$A$86,LEN(H$81)+2)=H$81&amp;" ·",ROW(分期持仓明细!$A$86),0)</f>
        <v>0</v>
      </c>
      <c r="O167">
        <f>IF(LEFT(分期持仓明细!$A$86,LEN(I$81)+2)=I$81&amp;" ·",ROW(分期持仓明细!$A$86),0)</f>
        <v>0</v>
      </c>
      <c r="P167">
        <f>IF(LEFT(分期持仓明细!$A$86,LEN(J$81)+2)=J$81&amp;" ·",ROW(分期持仓明细!$A$86),0)</f>
        <v>0</v>
      </c>
      <c r="Q167">
        <f>IF(LEFT(分期持仓明细!$A$86,LEN(K$81)+2)=K$81&amp;" ·",ROW(分期持仓明细!$A$86),0)</f>
        <v>0</v>
      </c>
      <c r="R167">
        <f>IF(LEFT(分期持仓明细!$A$86,LEN(L$81)+2)=L$81&amp;" ·",ROW(分期持仓明细!$A$86),0)</f>
        <v>0</v>
      </c>
    </row>
    <row r="168" spans="13:18">
      <c r="M168">
        <f>IF(LEFT(分期持仓明细!$A$87,LEN(G$81)+2)=G$81&amp;" ·",ROW(分期持仓明细!$A$87),0)</f>
        <v>0</v>
      </c>
      <c r="N168">
        <f>IF(LEFT(分期持仓明细!$A$87,LEN(H$81)+2)=H$81&amp;" ·",ROW(分期持仓明细!$A$87),0)</f>
        <v>0</v>
      </c>
      <c r="O168">
        <f>IF(LEFT(分期持仓明细!$A$87,LEN(I$81)+2)=I$81&amp;" ·",ROW(分期持仓明细!$A$87),0)</f>
        <v>0</v>
      </c>
      <c r="P168">
        <f>IF(LEFT(分期持仓明细!$A$87,LEN(J$81)+2)=J$81&amp;" ·",ROW(分期持仓明细!$A$87),0)</f>
        <v>0</v>
      </c>
      <c r="Q168">
        <f>IF(LEFT(分期持仓明细!$A$87,LEN(K$81)+2)=K$81&amp;" ·",ROW(分期持仓明细!$A$87),0)</f>
        <v>0</v>
      </c>
      <c r="R168">
        <f>IF(LEFT(分期持仓明细!$A$87,LEN(L$81)+2)=L$81&amp;" ·",ROW(分期持仓明细!$A$87),0)</f>
        <v>0</v>
      </c>
    </row>
    <row r="169" spans="13:18">
      <c r="M169">
        <f>IF(LEFT(分期持仓明细!$A$88,LEN(G$81)+2)=G$81&amp;" ·",ROW(分期持仓明细!$A$88),0)</f>
        <v>0</v>
      </c>
      <c r="N169">
        <f>IF(LEFT(分期持仓明细!$A$88,LEN(H$81)+2)=H$81&amp;" ·",ROW(分期持仓明细!$A$88),0)</f>
        <v>0</v>
      </c>
      <c r="O169">
        <f>IF(LEFT(分期持仓明细!$A$88,LEN(I$81)+2)=I$81&amp;" ·",ROW(分期持仓明细!$A$88),0)</f>
        <v>0</v>
      </c>
      <c r="P169">
        <f>IF(LEFT(分期持仓明细!$A$88,LEN(J$81)+2)=J$81&amp;" ·",ROW(分期持仓明细!$A$88),0)</f>
        <v>0</v>
      </c>
      <c r="Q169">
        <f>IF(LEFT(分期持仓明细!$A$88,LEN(K$81)+2)=K$81&amp;" ·",ROW(分期持仓明细!$A$88),0)</f>
        <v>0</v>
      </c>
      <c r="R169">
        <f>IF(LEFT(分期持仓明细!$A$88,LEN(L$81)+2)=L$81&amp;" ·",ROW(分期持仓明细!$A$88),0)</f>
        <v>0</v>
      </c>
    </row>
    <row r="170" spans="13:18">
      <c r="M170">
        <f>IF(LEFT(分期持仓明细!$A$89,LEN(G$81)+2)=G$81&amp;" ·",ROW(分期持仓明细!$A$89),0)</f>
        <v>0</v>
      </c>
      <c r="N170">
        <f>IF(LEFT(分期持仓明细!$A$89,LEN(H$81)+2)=H$81&amp;" ·",ROW(分期持仓明细!$A$89),0)</f>
        <v>0</v>
      </c>
      <c r="O170">
        <f>IF(LEFT(分期持仓明细!$A$89,LEN(I$81)+2)=I$81&amp;" ·",ROW(分期持仓明细!$A$89),0)</f>
        <v>0</v>
      </c>
      <c r="P170">
        <f>IF(LEFT(分期持仓明细!$A$89,LEN(J$81)+2)=J$81&amp;" ·",ROW(分期持仓明细!$A$89),0)</f>
        <v>0</v>
      </c>
      <c r="Q170">
        <f>IF(LEFT(分期持仓明细!$A$89,LEN(K$81)+2)=K$81&amp;" ·",ROW(分期持仓明细!$A$89),0)</f>
        <v>0</v>
      </c>
      <c r="R170">
        <f>IF(LEFT(分期持仓明细!$A$89,LEN(L$81)+2)=L$81&amp;" ·",ROW(分期持仓明细!$A$89),0)</f>
        <v>0</v>
      </c>
    </row>
    <row r="171" spans="13:18">
      <c r="M171">
        <f>IF(LEFT(分期持仓明细!$A$90,LEN(G$81)+2)=G$81&amp;" ·",ROW(分期持仓明细!$A$90),0)</f>
        <v>0</v>
      </c>
      <c r="N171">
        <f>IF(LEFT(分期持仓明细!$A$90,LEN(H$81)+2)=H$81&amp;" ·",ROW(分期持仓明细!$A$90),0)</f>
        <v>0</v>
      </c>
      <c r="O171">
        <f>IF(LEFT(分期持仓明细!$A$90,LEN(I$81)+2)=I$81&amp;" ·",ROW(分期持仓明细!$A$90),0)</f>
        <v>0</v>
      </c>
      <c r="P171">
        <f>IF(LEFT(分期持仓明细!$A$90,LEN(J$81)+2)=J$81&amp;" ·",ROW(分期持仓明细!$A$90),0)</f>
        <v>0</v>
      </c>
      <c r="Q171">
        <f>IF(LEFT(分期持仓明细!$A$90,LEN(K$81)+2)=K$81&amp;" ·",ROW(分期持仓明细!$A$90),0)</f>
        <v>0</v>
      </c>
      <c r="R171">
        <f>IF(LEFT(分期持仓明细!$A$90,LEN(L$81)+2)=L$81&amp;" ·",ROW(分期持仓明细!$A$90),0)</f>
        <v>0</v>
      </c>
    </row>
    <row r="172" spans="13:18">
      <c r="M172">
        <f>IF(LEFT(分期持仓明细!$A$91,LEN(G$81)+2)=G$81&amp;" ·",ROW(分期持仓明细!$A$91),0)</f>
        <v>0</v>
      </c>
      <c r="N172">
        <f>IF(LEFT(分期持仓明细!$A$91,LEN(H$81)+2)=H$81&amp;" ·",ROW(分期持仓明细!$A$91),0)</f>
        <v>0</v>
      </c>
      <c r="O172">
        <f>IF(LEFT(分期持仓明细!$A$91,LEN(I$81)+2)=I$81&amp;" ·",ROW(分期持仓明细!$A$91),0)</f>
        <v>0</v>
      </c>
      <c r="P172">
        <f>IF(LEFT(分期持仓明细!$A$91,LEN(J$81)+2)=J$81&amp;" ·",ROW(分期持仓明细!$A$91),0)</f>
        <v>0</v>
      </c>
      <c r="Q172">
        <f>IF(LEFT(分期持仓明细!$A$91,LEN(K$81)+2)=K$81&amp;" ·",ROW(分期持仓明细!$A$91),0)</f>
        <v>0</v>
      </c>
      <c r="R172">
        <f>IF(LEFT(分期持仓明细!$A$91,LEN(L$81)+2)=L$81&amp;" ·",ROW(分期持仓明细!$A$91),0)</f>
        <v>0</v>
      </c>
    </row>
    <row r="173" spans="13:18">
      <c r="M173">
        <f>IF(LEFT(分期持仓明细!$A$92,LEN(G$81)+2)=G$81&amp;" ·",ROW(分期持仓明细!$A$92),0)</f>
        <v>0</v>
      </c>
      <c r="N173">
        <f>IF(LEFT(分期持仓明细!$A$92,LEN(H$81)+2)=H$81&amp;" ·",ROW(分期持仓明细!$A$92),0)</f>
        <v>0</v>
      </c>
      <c r="O173">
        <f>IF(LEFT(分期持仓明细!$A$92,LEN(I$81)+2)=I$81&amp;" ·",ROW(分期持仓明细!$A$92),0)</f>
        <v>0</v>
      </c>
      <c r="P173">
        <f>IF(LEFT(分期持仓明细!$A$92,LEN(J$81)+2)=J$81&amp;" ·",ROW(分期持仓明细!$A$92),0)</f>
        <v>0</v>
      </c>
      <c r="Q173">
        <f>IF(LEFT(分期持仓明细!$A$92,LEN(K$81)+2)=K$81&amp;" ·",ROW(分期持仓明细!$A$92),0)</f>
        <v>0</v>
      </c>
      <c r="R173">
        <f>IF(LEFT(分期持仓明细!$A$92,LEN(L$81)+2)=L$81&amp;" ·",ROW(分期持仓明细!$A$92),0)</f>
        <v>0</v>
      </c>
    </row>
    <row r="174" spans="13:18">
      <c r="M174">
        <f>IF(LEFT(分期持仓明细!$A$93,LEN(G$81)+2)=G$81&amp;" ·",ROW(分期持仓明细!$A$93),0)</f>
        <v>0</v>
      </c>
      <c r="N174">
        <f>IF(LEFT(分期持仓明细!$A$93,LEN(H$81)+2)=H$81&amp;" ·",ROW(分期持仓明细!$A$93),0)</f>
        <v>0</v>
      </c>
      <c r="O174">
        <f>IF(LEFT(分期持仓明细!$A$93,LEN(I$81)+2)=I$81&amp;" ·",ROW(分期持仓明细!$A$93),0)</f>
        <v>0</v>
      </c>
      <c r="P174">
        <f>IF(LEFT(分期持仓明细!$A$93,LEN(J$81)+2)=J$81&amp;" ·",ROW(分期持仓明细!$A$93),0)</f>
        <v>0</v>
      </c>
      <c r="Q174">
        <f>IF(LEFT(分期持仓明细!$A$93,LEN(K$81)+2)=K$81&amp;" ·",ROW(分期持仓明细!$A$93),0)</f>
        <v>0</v>
      </c>
      <c r="R174">
        <f>IF(LEFT(分期持仓明细!$A$93,LEN(L$81)+2)=L$81&amp;" ·",ROW(分期持仓明细!$A$93),0)</f>
        <v>0</v>
      </c>
    </row>
    <row r="175" spans="13:18">
      <c r="M175">
        <f>IF(LEFT(分期持仓明细!$A$94,LEN(G$81)+2)=G$81&amp;" ·",ROW(分期持仓明细!$A$94),0)</f>
        <v>0</v>
      </c>
      <c r="N175">
        <f>IF(LEFT(分期持仓明细!$A$94,LEN(H$81)+2)=H$81&amp;" ·",ROW(分期持仓明细!$A$94),0)</f>
        <v>0</v>
      </c>
      <c r="O175">
        <f>IF(LEFT(分期持仓明细!$A$94,LEN(I$81)+2)=I$81&amp;" ·",ROW(分期持仓明细!$A$94),0)</f>
        <v>0</v>
      </c>
      <c r="P175">
        <f>IF(LEFT(分期持仓明细!$A$94,LEN(J$81)+2)=J$81&amp;" ·",ROW(分期持仓明细!$A$94),0)</f>
        <v>0</v>
      </c>
      <c r="Q175">
        <f>IF(LEFT(分期持仓明细!$A$94,LEN(K$81)+2)=K$81&amp;" ·",ROW(分期持仓明细!$A$94),0)</f>
        <v>0</v>
      </c>
      <c r="R175">
        <f>IF(LEFT(分期持仓明细!$A$94,LEN(L$81)+2)=L$81&amp;" ·",ROW(分期持仓明细!$A$94),0)</f>
        <v>0</v>
      </c>
    </row>
    <row r="176" spans="13:18">
      <c r="M176">
        <f>IF(LEFT(分期持仓明细!$A$95,LEN(G$81)+2)=G$81&amp;" ·",ROW(分期持仓明细!$A$95),0)</f>
        <v>0</v>
      </c>
      <c r="N176">
        <f>IF(LEFT(分期持仓明细!$A$95,LEN(H$81)+2)=H$81&amp;" ·",ROW(分期持仓明细!$A$95),0)</f>
        <v>0</v>
      </c>
      <c r="O176">
        <f>IF(LEFT(分期持仓明细!$A$95,LEN(I$81)+2)=I$81&amp;" ·",ROW(分期持仓明细!$A$95),0)</f>
        <v>0</v>
      </c>
      <c r="P176">
        <f>IF(LEFT(分期持仓明细!$A$95,LEN(J$81)+2)=J$81&amp;" ·",ROW(分期持仓明细!$A$95),0)</f>
        <v>0</v>
      </c>
      <c r="Q176">
        <f>IF(LEFT(分期持仓明细!$A$95,LEN(K$81)+2)=K$81&amp;" ·",ROW(分期持仓明细!$A$95),0)</f>
        <v>0</v>
      </c>
      <c r="R176">
        <f>IF(LEFT(分期持仓明细!$A$95,LEN(L$81)+2)=L$81&amp;" ·",ROW(分期持仓明细!$A$95),0)</f>
        <v>0</v>
      </c>
    </row>
    <row r="177" spans="13:18">
      <c r="M177">
        <f>IF(LEFT(分期持仓明细!$A$96,LEN(G$81)+2)=G$81&amp;" ·",ROW(分期持仓明细!$A$96),0)</f>
        <v>0</v>
      </c>
      <c r="N177">
        <f>IF(LEFT(分期持仓明细!$A$96,LEN(H$81)+2)=H$81&amp;" ·",ROW(分期持仓明细!$A$96),0)</f>
        <v>0</v>
      </c>
      <c r="O177">
        <f>IF(LEFT(分期持仓明细!$A$96,LEN(I$81)+2)=I$81&amp;" ·",ROW(分期持仓明细!$A$96),0)</f>
        <v>0</v>
      </c>
      <c r="P177">
        <f>IF(LEFT(分期持仓明细!$A$96,LEN(J$81)+2)=J$81&amp;" ·",ROW(分期持仓明细!$A$96),0)</f>
        <v>0</v>
      </c>
      <c r="Q177">
        <f>IF(LEFT(分期持仓明细!$A$96,LEN(K$81)+2)=K$81&amp;" ·",ROW(分期持仓明细!$A$96),0)</f>
        <v>0</v>
      </c>
      <c r="R177">
        <f>IF(LEFT(分期持仓明细!$A$96,LEN(L$81)+2)=L$81&amp;" ·",ROW(分期持仓明细!$A$96),0)</f>
        <v>0</v>
      </c>
    </row>
    <row r="178" spans="13:18">
      <c r="M178">
        <f>IF(LEFT(分期持仓明细!$A$97,LEN(G$81)+2)=G$81&amp;" ·",ROW(分期持仓明细!$A$97),0)</f>
        <v>0</v>
      </c>
      <c r="N178">
        <f>IF(LEFT(分期持仓明细!$A$97,LEN(H$81)+2)=H$81&amp;" ·",ROW(分期持仓明细!$A$97),0)</f>
        <v>0</v>
      </c>
      <c r="O178">
        <f>IF(LEFT(分期持仓明细!$A$97,LEN(I$81)+2)=I$81&amp;" ·",ROW(分期持仓明细!$A$97),0)</f>
        <v>0</v>
      </c>
      <c r="P178">
        <f>IF(LEFT(分期持仓明细!$A$97,LEN(J$81)+2)=J$81&amp;" ·",ROW(分期持仓明细!$A$97),0)</f>
        <v>0</v>
      </c>
      <c r="Q178">
        <f>IF(LEFT(分期持仓明细!$A$97,LEN(K$81)+2)=K$81&amp;" ·",ROW(分期持仓明细!$A$97),0)</f>
        <v>0</v>
      </c>
      <c r="R178">
        <f>IF(LEFT(分期持仓明细!$A$97,LEN(L$81)+2)=L$81&amp;" ·",ROW(分期持仓明细!$A$97),0)</f>
        <v>0</v>
      </c>
    </row>
    <row r="179" spans="13:18">
      <c r="M179">
        <f>IF(LEFT(分期持仓明细!$A$98,LEN(G$81)+2)=G$81&amp;" ·",ROW(分期持仓明细!$A$98),0)</f>
        <v>0</v>
      </c>
      <c r="N179">
        <f>IF(LEFT(分期持仓明细!$A$98,LEN(H$81)+2)=H$81&amp;" ·",ROW(分期持仓明细!$A$98),0)</f>
        <v>0</v>
      </c>
      <c r="O179">
        <f>IF(LEFT(分期持仓明细!$A$98,LEN(I$81)+2)=I$81&amp;" ·",ROW(分期持仓明细!$A$98),0)</f>
        <v>0</v>
      </c>
      <c r="P179">
        <f>IF(LEFT(分期持仓明细!$A$98,LEN(J$81)+2)=J$81&amp;" ·",ROW(分期持仓明细!$A$98),0)</f>
        <v>0</v>
      </c>
      <c r="Q179">
        <f>IF(LEFT(分期持仓明细!$A$98,LEN(K$81)+2)=K$81&amp;" ·",ROW(分期持仓明细!$A$98),0)</f>
        <v>0</v>
      </c>
      <c r="R179">
        <f>IF(LEFT(分期持仓明细!$A$98,LEN(L$81)+2)=L$81&amp;" ·",ROW(分期持仓明细!$A$98),0)</f>
        <v>0</v>
      </c>
    </row>
    <row r="180" spans="13:18">
      <c r="M180">
        <f>IF(LEFT(分期持仓明细!$A$99,LEN(G$81)+2)=G$81&amp;" ·",ROW(分期持仓明细!$A$99),0)</f>
        <v>0</v>
      </c>
      <c r="N180">
        <f>IF(LEFT(分期持仓明细!$A$99,LEN(H$81)+2)=H$81&amp;" ·",ROW(分期持仓明细!$A$99),0)</f>
        <v>0</v>
      </c>
      <c r="O180">
        <f>IF(LEFT(分期持仓明细!$A$99,LEN(I$81)+2)=I$81&amp;" ·",ROW(分期持仓明细!$A$99),0)</f>
        <v>0</v>
      </c>
      <c r="P180">
        <f>IF(LEFT(分期持仓明细!$A$99,LEN(J$81)+2)=J$81&amp;" ·",ROW(分期持仓明细!$A$99),0)</f>
        <v>0</v>
      </c>
      <c r="Q180">
        <f>IF(LEFT(分期持仓明细!$A$99,LEN(K$81)+2)=K$81&amp;" ·",ROW(分期持仓明细!$A$99),0)</f>
        <v>0</v>
      </c>
      <c r="R180">
        <f>IF(LEFT(分期持仓明细!$A$99,LEN(L$81)+2)=L$81&amp;" ·",ROW(分期持仓明细!$A$99),0)</f>
        <v>0</v>
      </c>
    </row>
    <row r="181" spans="13:18">
      <c r="M181">
        <f>IF(LEFT(分期持仓明细!$A$100,LEN(G$81)+2)=G$81&amp;" ·",ROW(分期持仓明细!$A$100),0)</f>
        <v>0</v>
      </c>
      <c r="N181">
        <f>IF(LEFT(分期持仓明细!$A$100,LEN(H$81)+2)=H$81&amp;" ·",ROW(分期持仓明细!$A$100),0)</f>
        <v>0</v>
      </c>
      <c r="O181">
        <f>IF(LEFT(分期持仓明细!$A$100,LEN(I$81)+2)=I$81&amp;" ·",ROW(分期持仓明细!$A$100),0)</f>
        <v>0</v>
      </c>
      <c r="P181">
        <f>IF(LEFT(分期持仓明细!$A$100,LEN(J$81)+2)=J$81&amp;" ·",ROW(分期持仓明细!$A$100),0)</f>
        <v>0</v>
      </c>
      <c r="Q181">
        <f>IF(LEFT(分期持仓明细!$A$100,LEN(K$81)+2)=K$81&amp;" ·",ROW(分期持仓明细!$A$100),0)</f>
        <v>0</v>
      </c>
      <c r="R181">
        <f>IF(LEFT(分期持仓明细!$A$100,LEN(L$81)+2)=L$81&amp;" ·",ROW(分期持仓明细!$A$100),0)</f>
        <v>0</v>
      </c>
    </row>
    <row r="182" spans="13:18">
      <c r="M182">
        <f>IF(LEFT(分期持仓明细!$A$101,LEN(G$81)+2)=G$81&amp;" ·",ROW(分期持仓明细!$A$101),0)</f>
        <v>0</v>
      </c>
      <c r="N182">
        <f>IF(LEFT(分期持仓明细!$A$101,LEN(H$81)+2)=H$81&amp;" ·",ROW(分期持仓明细!$A$101),0)</f>
        <v>0</v>
      </c>
      <c r="O182">
        <f>IF(LEFT(分期持仓明细!$A$101,LEN(I$81)+2)=I$81&amp;" ·",ROW(分期持仓明细!$A$101),0)</f>
        <v>0</v>
      </c>
      <c r="P182">
        <f>IF(LEFT(分期持仓明细!$A$101,LEN(J$81)+2)=J$81&amp;" ·",ROW(分期持仓明细!$A$101),0)</f>
        <v>0</v>
      </c>
      <c r="Q182">
        <f>IF(LEFT(分期持仓明细!$A$101,LEN(K$81)+2)=K$81&amp;" ·",ROW(分期持仓明细!$A$101),0)</f>
        <v>0</v>
      </c>
      <c r="R182">
        <f>IF(LEFT(分期持仓明细!$A$101,LEN(L$81)+2)=L$81&amp;" ·",ROW(分期持仓明细!$A$101),0)</f>
        <v>0</v>
      </c>
    </row>
    <row r="183" spans="13:18">
      <c r="M183">
        <f>IF(LEFT(分期持仓明细!$A$102,LEN(G$81)+2)=G$81&amp;" ·",ROW(分期持仓明细!$A$102),0)</f>
        <v>0</v>
      </c>
      <c r="N183">
        <f>IF(LEFT(分期持仓明细!$A$102,LEN(H$81)+2)=H$81&amp;" ·",ROW(分期持仓明细!$A$102),0)</f>
        <v>0</v>
      </c>
      <c r="O183">
        <f>IF(LEFT(分期持仓明细!$A$102,LEN(I$81)+2)=I$81&amp;" ·",ROW(分期持仓明细!$A$102),0)</f>
        <v>0</v>
      </c>
      <c r="P183">
        <f>IF(LEFT(分期持仓明细!$A$102,LEN(J$81)+2)=J$81&amp;" ·",ROW(分期持仓明细!$A$102),0)</f>
        <v>0</v>
      </c>
      <c r="Q183">
        <f>IF(LEFT(分期持仓明细!$A$102,LEN(K$81)+2)=K$81&amp;" ·",ROW(分期持仓明细!$A$102),0)</f>
        <v>0</v>
      </c>
      <c r="R183">
        <f>IF(LEFT(分期持仓明细!$A$102,LEN(L$81)+2)=L$81&amp;" ·",ROW(分期持仓明细!$A$102),0)</f>
        <v>0</v>
      </c>
    </row>
    <row r="184" spans="13:18">
      <c r="M184">
        <f>IF(LEFT(分期持仓明细!$A$103,LEN(G$81)+2)=G$81&amp;" ·",ROW(分期持仓明细!$A$103),0)</f>
        <v>0</v>
      </c>
      <c r="N184">
        <f>IF(LEFT(分期持仓明细!$A$103,LEN(H$81)+2)=H$81&amp;" ·",ROW(分期持仓明细!$A$103),0)</f>
        <v>0</v>
      </c>
      <c r="O184">
        <f>IF(LEFT(分期持仓明细!$A$103,LEN(I$81)+2)=I$81&amp;" ·",ROW(分期持仓明细!$A$103),0)</f>
        <v>0</v>
      </c>
      <c r="P184">
        <f>IF(LEFT(分期持仓明细!$A$103,LEN(J$81)+2)=J$81&amp;" ·",ROW(分期持仓明细!$A$103),0)</f>
        <v>0</v>
      </c>
      <c r="Q184">
        <f>IF(LEFT(分期持仓明细!$A$103,LEN(K$81)+2)=K$81&amp;" ·",ROW(分期持仓明细!$A$103),0)</f>
        <v>0</v>
      </c>
      <c r="R184">
        <f>IF(LEFT(分期持仓明细!$A$103,LEN(L$81)+2)=L$81&amp;" ·",ROW(分期持仓明细!$A$103),0)</f>
        <v>0</v>
      </c>
    </row>
    <row r="185" spans="13:18">
      <c r="M185">
        <f>IF(LEFT(分期持仓明细!$A$104,LEN(G$81)+2)=G$81&amp;" ·",ROW(分期持仓明细!$A$104),0)</f>
        <v>0</v>
      </c>
      <c r="N185">
        <f>IF(LEFT(分期持仓明细!$A$104,LEN(H$81)+2)=H$81&amp;" ·",ROW(分期持仓明细!$A$104),0)</f>
        <v>0</v>
      </c>
      <c r="O185">
        <f>IF(LEFT(分期持仓明细!$A$104,LEN(I$81)+2)=I$81&amp;" ·",ROW(分期持仓明细!$A$104),0)</f>
        <v>0</v>
      </c>
      <c r="P185">
        <f>IF(LEFT(分期持仓明细!$A$104,LEN(J$81)+2)=J$81&amp;" ·",ROW(分期持仓明细!$A$104),0)</f>
        <v>0</v>
      </c>
      <c r="Q185">
        <f>IF(LEFT(分期持仓明细!$A$104,LEN(K$81)+2)=K$81&amp;" ·",ROW(分期持仓明细!$A$104),0)</f>
        <v>0</v>
      </c>
      <c r="R185">
        <f>IF(LEFT(分期持仓明细!$A$104,LEN(L$81)+2)=L$81&amp;" ·",ROW(分期持仓明细!$A$104),0)</f>
        <v>0</v>
      </c>
    </row>
    <row r="186" spans="13:18">
      <c r="M186">
        <f>IF(LEFT(分期持仓明细!$A$105,LEN(G$81)+2)=G$81&amp;" ·",ROW(分期持仓明细!$A$105),0)</f>
        <v>0</v>
      </c>
      <c r="N186">
        <f>IF(LEFT(分期持仓明细!$A$105,LEN(H$81)+2)=H$81&amp;" ·",ROW(分期持仓明细!$A$105),0)</f>
        <v>0</v>
      </c>
      <c r="O186">
        <f>IF(LEFT(分期持仓明细!$A$105,LEN(I$81)+2)=I$81&amp;" ·",ROW(分期持仓明细!$A$105),0)</f>
        <v>0</v>
      </c>
      <c r="P186">
        <f>IF(LEFT(分期持仓明细!$A$105,LEN(J$81)+2)=J$81&amp;" ·",ROW(分期持仓明细!$A$105),0)</f>
        <v>0</v>
      </c>
      <c r="Q186">
        <f>IF(LEFT(分期持仓明细!$A$105,LEN(K$81)+2)=K$81&amp;" ·",ROW(分期持仓明细!$A$105),0)</f>
        <v>0</v>
      </c>
      <c r="R186">
        <f>IF(LEFT(分期持仓明细!$A$105,LEN(L$81)+2)=L$81&amp;" ·",ROW(分期持仓明细!$A$105),0)</f>
        <v>0</v>
      </c>
    </row>
    <row r="187" spans="13:18">
      <c r="M187">
        <f>IF(LEFT(分期持仓明细!$A$106,LEN(G$81)+2)=G$81&amp;" ·",ROW(分期持仓明细!$A$106),0)</f>
        <v>0</v>
      </c>
      <c r="N187">
        <f>IF(LEFT(分期持仓明细!$A$106,LEN(H$81)+2)=H$81&amp;" ·",ROW(分期持仓明细!$A$106),0)</f>
        <v>0</v>
      </c>
      <c r="O187">
        <f>IF(LEFT(分期持仓明细!$A$106,LEN(I$81)+2)=I$81&amp;" ·",ROW(分期持仓明细!$A$106),0)</f>
        <v>0</v>
      </c>
      <c r="P187">
        <f>IF(LEFT(分期持仓明细!$A$106,LEN(J$81)+2)=J$81&amp;" ·",ROW(分期持仓明细!$A$106),0)</f>
        <v>0</v>
      </c>
      <c r="Q187">
        <f>IF(LEFT(分期持仓明细!$A$106,LEN(K$81)+2)=K$81&amp;" ·",ROW(分期持仓明细!$A$106),0)</f>
        <v>0</v>
      </c>
      <c r="R187">
        <f>IF(LEFT(分期持仓明细!$A$106,LEN(L$81)+2)=L$81&amp;" ·",ROW(分期持仓明细!$A$106),0)</f>
        <v>0</v>
      </c>
    </row>
    <row r="188" spans="13:18">
      <c r="M188">
        <f>IF(LEFT(分期持仓明细!$A$107,LEN(G$81)+2)=G$81&amp;" ·",ROW(分期持仓明细!$A$107),0)</f>
        <v>0</v>
      </c>
      <c r="N188">
        <f>IF(LEFT(分期持仓明细!$A$107,LEN(H$81)+2)=H$81&amp;" ·",ROW(分期持仓明细!$A$107),0)</f>
        <v>0</v>
      </c>
      <c r="O188">
        <f>IF(LEFT(分期持仓明细!$A$107,LEN(I$81)+2)=I$81&amp;" ·",ROW(分期持仓明细!$A$107),0)</f>
        <v>0</v>
      </c>
      <c r="P188">
        <f>IF(LEFT(分期持仓明细!$A$107,LEN(J$81)+2)=J$81&amp;" ·",ROW(分期持仓明细!$A$107),0)</f>
        <v>0</v>
      </c>
      <c r="Q188">
        <f>IF(LEFT(分期持仓明细!$A$107,LEN(K$81)+2)=K$81&amp;" ·",ROW(分期持仓明细!$A$107),0)</f>
        <v>0</v>
      </c>
      <c r="R188">
        <f>IF(LEFT(分期持仓明细!$A$107,LEN(L$81)+2)=L$81&amp;" ·",ROW(分期持仓明细!$A$107),0)</f>
        <v>0</v>
      </c>
    </row>
    <row r="189" spans="13:18">
      <c r="M189">
        <f>IF(LEFT(分期持仓明细!$A$108,LEN(G$81)+2)=G$81&amp;" ·",ROW(分期持仓明细!$A$108),0)</f>
        <v>0</v>
      </c>
      <c r="N189">
        <f>IF(LEFT(分期持仓明细!$A$108,LEN(H$81)+2)=H$81&amp;" ·",ROW(分期持仓明细!$A$108),0)</f>
        <v>0</v>
      </c>
      <c r="O189">
        <f>IF(LEFT(分期持仓明细!$A$108,LEN(I$81)+2)=I$81&amp;" ·",ROW(分期持仓明细!$A$108),0)</f>
        <v>0</v>
      </c>
      <c r="P189">
        <f>IF(LEFT(分期持仓明细!$A$108,LEN(J$81)+2)=J$81&amp;" ·",ROW(分期持仓明细!$A$108),0)</f>
        <v>0</v>
      </c>
      <c r="Q189">
        <f>IF(LEFT(分期持仓明细!$A$108,LEN(K$81)+2)=K$81&amp;" ·",ROW(分期持仓明细!$A$108),0)</f>
        <v>0</v>
      </c>
      <c r="R189">
        <f>IF(LEFT(分期持仓明细!$A$108,LEN(L$81)+2)=L$81&amp;" ·",ROW(分期持仓明细!$A$108),0)</f>
        <v>0</v>
      </c>
    </row>
    <row r="190" spans="13:18">
      <c r="M190">
        <f>IF(LEFT(分期持仓明细!$A$109,LEN(G$81)+2)=G$81&amp;" ·",ROW(分期持仓明细!$A$109),0)</f>
        <v>0</v>
      </c>
      <c r="N190">
        <f>IF(LEFT(分期持仓明细!$A$109,LEN(H$81)+2)=H$81&amp;" ·",ROW(分期持仓明细!$A$109),0)</f>
        <v>0</v>
      </c>
      <c r="O190">
        <f>IF(LEFT(分期持仓明细!$A$109,LEN(I$81)+2)=I$81&amp;" ·",ROW(分期持仓明细!$A$109),0)</f>
        <v>0</v>
      </c>
      <c r="P190">
        <f>IF(LEFT(分期持仓明细!$A$109,LEN(J$81)+2)=J$81&amp;" ·",ROW(分期持仓明细!$A$109),0)</f>
        <v>0</v>
      </c>
      <c r="Q190">
        <f>IF(LEFT(分期持仓明细!$A$109,LEN(K$81)+2)=K$81&amp;" ·",ROW(分期持仓明细!$A$109),0)</f>
        <v>0</v>
      </c>
      <c r="R190">
        <f>IF(LEFT(分期持仓明细!$A$109,LEN(L$81)+2)=L$81&amp;" ·",ROW(分期持仓明细!$A$109),0)</f>
        <v>0</v>
      </c>
    </row>
    <row r="191" spans="13:18">
      <c r="M191">
        <f>IF(LEFT(分期持仓明细!$A$110,LEN(G$81)+2)=G$81&amp;" ·",ROW(分期持仓明细!$A$110),0)</f>
        <v>0</v>
      </c>
      <c r="N191">
        <f>IF(LEFT(分期持仓明细!$A$110,LEN(H$81)+2)=H$81&amp;" ·",ROW(分期持仓明细!$A$110),0)</f>
        <v>0</v>
      </c>
      <c r="O191">
        <f>IF(LEFT(分期持仓明细!$A$110,LEN(I$81)+2)=I$81&amp;" ·",ROW(分期持仓明细!$A$110),0)</f>
        <v>0</v>
      </c>
      <c r="P191">
        <f>IF(LEFT(分期持仓明细!$A$110,LEN(J$81)+2)=J$81&amp;" ·",ROW(分期持仓明细!$A$110),0)</f>
        <v>0</v>
      </c>
      <c r="Q191">
        <f>IF(LEFT(分期持仓明细!$A$110,LEN(K$81)+2)=K$81&amp;" ·",ROW(分期持仓明细!$A$110),0)</f>
        <v>0</v>
      </c>
      <c r="R191">
        <f>IF(LEFT(分期持仓明细!$A$110,LEN(L$81)+2)=L$81&amp;" ·",ROW(分期持仓明细!$A$110),0)</f>
        <v>0</v>
      </c>
    </row>
    <row r="192" spans="13:18">
      <c r="M192">
        <f>IF(LEFT(分期持仓明细!$A$111,LEN(G$81)+2)=G$81&amp;" ·",ROW(分期持仓明细!$A$111),0)</f>
        <v>0</v>
      </c>
      <c r="N192">
        <f>IF(LEFT(分期持仓明细!$A$111,LEN(H$81)+2)=H$81&amp;" ·",ROW(分期持仓明细!$A$111),0)</f>
        <v>0</v>
      </c>
      <c r="O192">
        <f>IF(LEFT(分期持仓明细!$A$111,LEN(I$81)+2)=I$81&amp;" ·",ROW(分期持仓明细!$A$111),0)</f>
        <v>0</v>
      </c>
      <c r="P192">
        <f>IF(LEFT(分期持仓明细!$A$111,LEN(J$81)+2)=J$81&amp;" ·",ROW(分期持仓明细!$A$111),0)</f>
        <v>0</v>
      </c>
      <c r="Q192">
        <f>IF(LEFT(分期持仓明细!$A$111,LEN(K$81)+2)=K$81&amp;" ·",ROW(分期持仓明细!$A$111),0)</f>
        <v>0</v>
      </c>
      <c r="R192">
        <f>IF(LEFT(分期持仓明细!$A$111,LEN(L$81)+2)=L$81&amp;" ·",ROW(分期持仓明细!$A$111),0)</f>
        <v>0</v>
      </c>
    </row>
    <row r="193" spans="13:18">
      <c r="M193">
        <f>IF(LEFT(分期持仓明细!$A$112,LEN(G$81)+2)=G$81&amp;" ·",ROW(分期持仓明细!$A$112),0)</f>
        <v>0</v>
      </c>
      <c r="N193">
        <f>IF(LEFT(分期持仓明细!$A$112,LEN(H$81)+2)=H$81&amp;" ·",ROW(分期持仓明细!$A$112),0)</f>
        <v>0</v>
      </c>
      <c r="O193">
        <f>IF(LEFT(分期持仓明细!$A$112,LEN(I$81)+2)=I$81&amp;" ·",ROW(分期持仓明细!$A$112),0)</f>
        <v>0</v>
      </c>
      <c r="P193">
        <f>IF(LEFT(分期持仓明细!$A$112,LEN(J$81)+2)=J$81&amp;" ·",ROW(分期持仓明细!$A$112),0)</f>
        <v>0</v>
      </c>
      <c r="Q193">
        <f>IF(LEFT(分期持仓明细!$A$112,LEN(K$81)+2)=K$81&amp;" ·",ROW(分期持仓明细!$A$112),0)</f>
        <v>0</v>
      </c>
      <c r="R193">
        <f>IF(LEFT(分期持仓明细!$A$112,LEN(L$81)+2)=L$81&amp;" ·",ROW(分期持仓明细!$A$112),0)</f>
        <v>0</v>
      </c>
    </row>
    <row r="194" spans="13:18">
      <c r="M194">
        <f>IF(LEFT(分期持仓明细!$A$113,LEN(G$81)+2)=G$81&amp;" ·",ROW(分期持仓明细!$A$113),0)</f>
        <v>0</v>
      </c>
      <c r="N194">
        <f>IF(LEFT(分期持仓明细!$A$113,LEN(H$81)+2)=H$81&amp;" ·",ROW(分期持仓明细!$A$113),0)</f>
        <v>0</v>
      </c>
      <c r="O194">
        <f>IF(LEFT(分期持仓明细!$A$113,LEN(I$81)+2)=I$81&amp;" ·",ROW(分期持仓明细!$A$113),0)</f>
        <v>0</v>
      </c>
      <c r="P194">
        <f>IF(LEFT(分期持仓明细!$A$113,LEN(J$81)+2)=J$81&amp;" ·",ROW(分期持仓明细!$A$113),0)</f>
        <v>0</v>
      </c>
      <c r="Q194">
        <f>IF(LEFT(分期持仓明细!$A$113,LEN(K$81)+2)=K$81&amp;" ·",ROW(分期持仓明细!$A$113),0)</f>
        <v>0</v>
      </c>
      <c r="R194">
        <f>IF(LEFT(分期持仓明细!$A$113,LEN(L$81)+2)=L$81&amp;" ·",ROW(分期持仓明细!$A$113),0)</f>
        <v>0</v>
      </c>
    </row>
    <row r="195" spans="13:18">
      <c r="M195">
        <f>IF(LEFT(分期持仓明细!$A$114,LEN(G$81)+2)=G$81&amp;" ·",ROW(分期持仓明细!$A$114),0)</f>
        <v>0</v>
      </c>
      <c r="N195">
        <f>IF(LEFT(分期持仓明细!$A$114,LEN(H$81)+2)=H$81&amp;" ·",ROW(分期持仓明细!$A$114),0)</f>
        <v>0</v>
      </c>
      <c r="O195">
        <f>IF(LEFT(分期持仓明细!$A$114,LEN(I$81)+2)=I$81&amp;" ·",ROW(分期持仓明细!$A$114),0)</f>
        <v>0</v>
      </c>
      <c r="P195">
        <f>IF(LEFT(分期持仓明细!$A$114,LEN(J$81)+2)=J$81&amp;" ·",ROW(分期持仓明细!$A$114),0)</f>
        <v>0</v>
      </c>
      <c r="Q195">
        <f>IF(LEFT(分期持仓明细!$A$114,LEN(K$81)+2)=K$81&amp;" ·",ROW(分期持仓明细!$A$114),0)</f>
        <v>0</v>
      </c>
      <c r="R195">
        <f>IF(LEFT(分期持仓明细!$A$114,LEN(L$81)+2)=L$81&amp;" ·",ROW(分期持仓明细!$A$114),0)</f>
        <v>0</v>
      </c>
    </row>
    <row r="196" spans="13:18">
      <c r="M196">
        <f>IF(LEFT(分期持仓明细!$A$115,LEN(G$81)+2)=G$81&amp;" ·",ROW(分期持仓明细!$A$115),0)</f>
        <v>0</v>
      </c>
      <c r="N196">
        <f>IF(LEFT(分期持仓明细!$A$115,LEN(H$81)+2)=H$81&amp;" ·",ROW(分期持仓明细!$A$115),0)</f>
        <v>0</v>
      </c>
      <c r="O196">
        <f>IF(LEFT(分期持仓明细!$A$115,LEN(I$81)+2)=I$81&amp;" ·",ROW(分期持仓明细!$A$115),0)</f>
        <v>0</v>
      </c>
      <c r="P196">
        <f>IF(LEFT(分期持仓明细!$A$115,LEN(J$81)+2)=J$81&amp;" ·",ROW(分期持仓明细!$A$115),0)</f>
        <v>0</v>
      </c>
      <c r="Q196">
        <f>IF(LEFT(分期持仓明细!$A$115,LEN(K$81)+2)=K$81&amp;" ·",ROW(分期持仓明细!$A$115),0)</f>
        <v>0</v>
      </c>
      <c r="R196">
        <f>IF(LEFT(分期持仓明细!$A$115,LEN(L$81)+2)=L$81&amp;" ·",ROW(分期持仓明细!$A$115),0)</f>
        <v>0</v>
      </c>
    </row>
    <row r="197" spans="13:18">
      <c r="M197">
        <f>IF(LEFT(分期持仓明细!$A$116,LEN(G$81)+2)=G$81&amp;" ·",ROW(分期持仓明细!$A$116),0)</f>
        <v>0</v>
      </c>
      <c r="N197">
        <f>IF(LEFT(分期持仓明细!$A$116,LEN(H$81)+2)=H$81&amp;" ·",ROW(分期持仓明细!$A$116),0)</f>
        <v>0</v>
      </c>
      <c r="O197">
        <f>IF(LEFT(分期持仓明细!$A$116,LEN(I$81)+2)=I$81&amp;" ·",ROW(分期持仓明细!$A$116),0)</f>
        <v>0</v>
      </c>
      <c r="P197">
        <f>IF(LEFT(分期持仓明细!$A$116,LEN(J$81)+2)=J$81&amp;" ·",ROW(分期持仓明细!$A$116),0)</f>
        <v>0</v>
      </c>
      <c r="Q197">
        <f>IF(LEFT(分期持仓明细!$A$116,LEN(K$81)+2)=K$81&amp;" ·",ROW(分期持仓明细!$A$116),0)</f>
        <v>0</v>
      </c>
      <c r="R197">
        <f>IF(LEFT(分期持仓明细!$A$116,LEN(L$81)+2)=L$81&amp;" ·",ROW(分期持仓明细!$A$116),0)</f>
        <v>0</v>
      </c>
    </row>
    <row r="198" spans="13:18">
      <c r="M198">
        <f>IF(LEFT(分期持仓明细!$A$117,LEN(G$81)+2)=G$81&amp;" ·",ROW(分期持仓明细!$A$117),0)</f>
        <v>0</v>
      </c>
      <c r="N198">
        <f>IF(LEFT(分期持仓明细!$A$117,LEN(H$81)+2)=H$81&amp;" ·",ROW(分期持仓明细!$A$117),0)</f>
        <v>0</v>
      </c>
      <c r="O198">
        <f>IF(LEFT(分期持仓明细!$A$117,LEN(I$81)+2)=I$81&amp;" ·",ROW(分期持仓明细!$A$117),0)</f>
        <v>0</v>
      </c>
      <c r="P198">
        <f>IF(LEFT(分期持仓明细!$A$117,LEN(J$81)+2)=J$81&amp;" ·",ROW(分期持仓明细!$A$117),0)</f>
        <v>0</v>
      </c>
      <c r="Q198">
        <f>IF(LEFT(分期持仓明细!$A$117,LEN(K$81)+2)=K$81&amp;" ·",ROW(分期持仓明细!$A$117),0)</f>
        <v>0</v>
      </c>
      <c r="R198">
        <f>IF(LEFT(分期持仓明细!$A$117,LEN(L$81)+2)=L$81&amp;" ·",ROW(分期持仓明细!$A$117),0)</f>
        <v>0</v>
      </c>
    </row>
    <row r="199" spans="13:18">
      <c r="M199">
        <f>IF(LEFT(分期持仓明细!$A$118,LEN(G$81)+2)=G$81&amp;" ·",ROW(分期持仓明细!$A$118),0)</f>
        <v>0</v>
      </c>
      <c r="N199">
        <f>IF(LEFT(分期持仓明细!$A$118,LEN(H$81)+2)=H$81&amp;" ·",ROW(分期持仓明细!$A$118),0)</f>
        <v>0</v>
      </c>
      <c r="O199">
        <f>IF(LEFT(分期持仓明细!$A$118,LEN(I$81)+2)=I$81&amp;" ·",ROW(分期持仓明细!$A$118),0)</f>
        <v>0</v>
      </c>
      <c r="P199">
        <f>IF(LEFT(分期持仓明细!$A$118,LEN(J$81)+2)=J$81&amp;" ·",ROW(分期持仓明细!$A$118),0)</f>
        <v>0</v>
      </c>
      <c r="Q199">
        <f>IF(LEFT(分期持仓明细!$A$118,LEN(K$81)+2)=K$81&amp;" ·",ROW(分期持仓明细!$A$118),0)</f>
        <v>0</v>
      </c>
      <c r="R199">
        <f>IF(LEFT(分期持仓明细!$A$118,LEN(L$81)+2)=L$81&amp;" ·",ROW(分期持仓明细!$A$118),0)</f>
        <v>0</v>
      </c>
    </row>
    <row r="200" spans="13:18">
      <c r="M200">
        <f>IF(LEFT(分期持仓明细!$A$119,LEN(G$81)+2)=G$81&amp;" ·",ROW(分期持仓明细!$A$119),0)</f>
        <v>0</v>
      </c>
      <c r="N200">
        <f>IF(LEFT(分期持仓明细!$A$119,LEN(H$81)+2)=H$81&amp;" ·",ROW(分期持仓明细!$A$119),0)</f>
        <v>0</v>
      </c>
      <c r="O200">
        <f>IF(LEFT(分期持仓明细!$A$119,LEN(I$81)+2)=I$81&amp;" ·",ROW(分期持仓明细!$A$119),0)</f>
        <v>0</v>
      </c>
      <c r="P200">
        <f>IF(LEFT(分期持仓明细!$A$119,LEN(J$81)+2)=J$81&amp;" ·",ROW(分期持仓明细!$A$119),0)</f>
        <v>0</v>
      </c>
      <c r="Q200">
        <f>IF(LEFT(分期持仓明细!$A$119,LEN(K$81)+2)=K$81&amp;" ·",ROW(分期持仓明细!$A$119),0)</f>
        <v>0</v>
      </c>
      <c r="R200">
        <f>IF(LEFT(分期持仓明细!$A$119,LEN(L$81)+2)=L$81&amp;" ·",ROW(分期持仓明细!$A$119),0)</f>
        <v>0</v>
      </c>
    </row>
    <row r="201" spans="13:18">
      <c r="M201">
        <f>IF(LEFT(分期持仓明细!$A$120,LEN(G$81)+2)=G$81&amp;" ·",ROW(分期持仓明细!$A$120),0)</f>
        <v>0</v>
      </c>
      <c r="N201">
        <f>IF(LEFT(分期持仓明细!$A$120,LEN(H$81)+2)=H$81&amp;" ·",ROW(分期持仓明细!$A$120),0)</f>
        <v>0</v>
      </c>
      <c r="O201">
        <f>IF(LEFT(分期持仓明细!$A$120,LEN(I$81)+2)=I$81&amp;" ·",ROW(分期持仓明细!$A$120),0)</f>
        <v>0</v>
      </c>
      <c r="P201">
        <f>IF(LEFT(分期持仓明细!$A$120,LEN(J$81)+2)=J$81&amp;" ·",ROW(分期持仓明细!$A$120),0)</f>
        <v>0</v>
      </c>
      <c r="Q201">
        <f>IF(LEFT(分期持仓明细!$A$120,LEN(K$81)+2)=K$81&amp;" ·",ROW(分期持仓明细!$A$120),0)</f>
        <v>0</v>
      </c>
      <c r="R201">
        <f>IF(LEFT(分期持仓明细!$A$120,LEN(L$81)+2)=L$81&amp;" ·",ROW(分期持仓明细!$A$120),0)</f>
        <v>0</v>
      </c>
    </row>
    <row r="202" spans="13:18">
      <c r="M202">
        <f>IF(LEFT(分期持仓明细!$A$121,LEN(G$81)+2)=G$81&amp;" ·",ROW(分期持仓明细!$A$121),0)</f>
        <v>0</v>
      </c>
      <c r="N202">
        <f>IF(LEFT(分期持仓明细!$A$121,LEN(H$81)+2)=H$81&amp;" ·",ROW(分期持仓明细!$A$121),0)</f>
        <v>0</v>
      </c>
      <c r="O202">
        <f>IF(LEFT(分期持仓明细!$A$121,LEN(I$81)+2)=I$81&amp;" ·",ROW(分期持仓明细!$A$121),0)</f>
        <v>0</v>
      </c>
      <c r="P202">
        <f>IF(LEFT(分期持仓明细!$A$121,LEN(J$81)+2)=J$81&amp;" ·",ROW(分期持仓明细!$A$121),0)</f>
        <v>0</v>
      </c>
      <c r="Q202">
        <f>IF(LEFT(分期持仓明细!$A$121,LEN(K$81)+2)=K$81&amp;" ·",ROW(分期持仓明细!$A$121),0)</f>
        <v>0</v>
      </c>
      <c r="R202">
        <f>IF(LEFT(分期持仓明细!$A$121,LEN(L$81)+2)=L$81&amp;" ·",ROW(分期持仓明细!$A$121),0)</f>
        <v>0</v>
      </c>
    </row>
    <row r="203" spans="13:18">
      <c r="M203">
        <f>IF(LEFT(分期持仓明细!$A$122,LEN(G$81)+2)=G$81&amp;" ·",ROW(分期持仓明细!$A$122),0)</f>
        <v>0</v>
      </c>
      <c r="N203">
        <f>IF(LEFT(分期持仓明细!$A$122,LEN(H$81)+2)=H$81&amp;" ·",ROW(分期持仓明细!$A$122),0)</f>
        <v>0</v>
      </c>
      <c r="O203">
        <f>IF(LEFT(分期持仓明细!$A$122,LEN(I$81)+2)=I$81&amp;" ·",ROW(分期持仓明细!$A$122),0)</f>
        <v>0</v>
      </c>
      <c r="P203">
        <f>IF(LEFT(分期持仓明细!$A$122,LEN(J$81)+2)=J$81&amp;" ·",ROW(分期持仓明细!$A$122),0)</f>
        <v>0</v>
      </c>
      <c r="Q203">
        <f>IF(LEFT(分期持仓明细!$A$122,LEN(K$81)+2)=K$81&amp;" ·",ROW(分期持仓明细!$A$122),0)</f>
        <v>0</v>
      </c>
      <c r="R203">
        <f>IF(LEFT(分期持仓明细!$A$122,LEN(L$81)+2)=L$81&amp;" ·",ROW(分期持仓明细!$A$122),0)</f>
        <v>0</v>
      </c>
    </row>
    <row r="204" spans="13:18">
      <c r="M204">
        <f>IF(LEFT(分期持仓明细!$A$123,LEN(G$81)+2)=G$81&amp;" ·",ROW(分期持仓明细!$A$123),0)</f>
        <v>0</v>
      </c>
      <c r="N204">
        <f>IF(LEFT(分期持仓明细!$A$123,LEN(H$81)+2)=H$81&amp;" ·",ROW(分期持仓明细!$A$123),0)</f>
        <v>0</v>
      </c>
      <c r="O204">
        <f>IF(LEFT(分期持仓明细!$A$123,LEN(I$81)+2)=I$81&amp;" ·",ROW(分期持仓明细!$A$123),0)</f>
        <v>0</v>
      </c>
      <c r="P204">
        <f>IF(LEFT(分期持仓明细!$A$123,LEN(J$81)+2)=J$81&amp;" ·",ROW(分期持仓明细!$A$123),0)</f>
        <v>0</v>
      </c>
      <c r="Q204">
        <f>IF(LEFT(分期持仓明细!$A$123,LEN(K$81)+2)=K$81&amp;" ·",ROW(分期持仓明细!$A$123),0)</f>
        <v>0</v>
      </c>
      <c r="R204">
        <f>IF(LEFT(分期持仓明细!$A$123,LEN(L$81)+2)=L$81&amp;" ·",ROW(分期持仓明细!$A$123),0)</f>
        <v>0</v>
      </c>
    </row>
    <row r="205" spans="13:18">
      <c r="M205">
        <f>IF(LEFT(分期持仓明细!$A$124,LEN(G$81)+2)=G$81&amp;" ·",ROW(分期持仓明细!$A$124),0)</f>
        <v>0</v>
      </c>
      <c r="N205">
        <f>IF(LEFT(分期持仓明细!$A$124,LEN(H$81)+2)=H$81&amp;" ·",ROW(分期持仓明细!$A$124),0)</f>
        <v>0</v>
      </c>
      <c r="O205">
        <f>IF(LEFT(分期持仓明细!$A$124,LEN(I$81)+2)=I$81&amp;" ·",ROW(分期持仓明细!$A$124),0)</f>
        <v>0</v>
      </c>
      <c r="P205">
        <f>IF(LEFT(分期持仓明细!$A$124,LEN(J$81)+2)=J$81&amp;" ·",ROW(分期持仓明细!$A$124),0)</f>
        <v>0</v>
      </c>
      <c r="Q205">
        <f>IF(LEFT(分期持仓明细!$A$124,LEN(K$81)+2)=K$81&amp;" ·",ROW(分期持仓明细!$A$124),0)</f>
        <v>0</v>
      </c>
      <c r="R205">
        <f>IF(LEFT(分期持仓明细!$A$124,LEN(L$81)+2)=L$81&amp;" ·",ROW(分期持仓明细!$A$124),0)</f>
        <v>0</v>
      </c>
    </row>
    <row r="206" spans="13:18">
      <c r="M206">
        <f>IF(LEFT(分期持仓明细!$A$125,LEN(G$81)+2)=G$81&amp;" ·",ROW(分期持仓明细!$A$125),0)</f>
        <v>0</v>
      </c>
      <c r="N206">
        <f>IF(LEFT(分期持仓明细!$A$125,LEN(H$81)+2)=H$81&amp;" ·",ROW(分期持仓明细!$A$125),0)</f>
        <v>0</v>
      </c>
      <c r="O206">
        <f>IF(LEFT(分期持仓明细!$A$125,LEN(I$81)+2)=I$81&amp;" ·",ROW(分期持仓明细!$A$125),0)</f>
        <v>0</v>
      </c>
      <c r="P206">
        <f>IF(LEFT(分期持仓明细!$A$125,LEN(J$81)+2)=J$81&amp;" ·",ROW(分期持仓明细!$A$125),0)</f>
        <v>0</v>
      </c>
      <c r="Q206">
        <f>IF(LEFT(分期持仓明细!$A$125,LEN(K$81)+2)=K$81&amp;" ·",ROW(分期持仓明细!$A$125),0)</f>
        <v>0</v>
      </c>
      <c r="R206">
        <f>IF(LEFT(分期持仓明细!$A$125,LEN(L$81)+2)=L$81&amp;" ·",ROW(分期持仓明细!$A$125),0)</f>
        <v>0</v>
      </c>
    </row>
    <row r="207" spans="13:18">
      <c r="M207">
        <f>IF(LEFT(分期持仓明细!$A$126,LEN(G$81)+2)=G$81&amp;" ·",ROW(分期持仓明细!$A$126),0)</f>
        <v>0</v>
      </c>
      <c r="N207">
        <f>IF(LEFT(分期持仓明细!$A$126,LEN(H$81)+2)=H$81&amp;" ·",ROW(分期持仓明细!$A$126),0)</f>
        <v>0</v>
      </c>
      <c r="O207">
        <f>IF(LEFT(分期持仓明细!$A$126,LEN(I$81)+2)=I$81&amp;" ·",ROW(分期持仓明细!$A$126),0)</f>
        <v>0</v>
      </c>
      <c r="P207">
        <f>IF(LEFT(分期持仓明细!$A$126,LEN(J$81)+2)=J$81&amp;" ·",ROW(分期持仓明细!$A$126),0)</f>
        <v>0</v>
      </c>
      <c r="Q207">
        <f>IF(LEFT(分期持仓明细!$A$126,LEN(K$81)+2)=K$81&amp;" ·",ROW(分期持仓明细!$A$126),0)</f>
        <v>0</v>
      </c>
      <c r="R207">
        <f>IF(LEFT(分期持仓明细!$A$126,LEN(L$81)+2)=L$81&amp;" ·",ROW(分期持仓明细!$A$126),0)</f>
        <v>0</v>
      </c>
    </row>
    <row r="208" spans="13:18">
      <c r="M208">
        <f>IF(LEFT(分期持仓明细!$A$127,LEN(G$81)+2)=G$81&amp;" ·",ROW(分期持仓明细!$A$127),0)</f>
        <v>0</v>
      </c>
      <c r="N208">
        <f>IF(LEFT(分期持仓明细!$A$127,LEN(H$81)+2)=H$81&amp;" ·",ROW(分期持仓明细!$A$127),0)</f>
        <v>0</v>
      </c>
      <c r="O208">
        <f>IF(LEFT(分期持仓明细!$A$127,LEN(I$81)+2)=I$81&amp;" ·",ROW(分期持仓明细!$A$127),0)</f>
        <v>0</v>
      </c>
      <c r="P208">
        <f>IF(LEFT(分期持仓明细!$A$127,LEN(J$81)+2)=J$81&amp;" ·",ROW(分期持仓明细!$A$127),0)</f>
        <v>0</v>
      </c>
      <c r="Q208">
        <f>IF(LEFT(分期持仓明细!$A$127,LEN(K$81)+2)=K$81&amp;" ·",ROW(分期持仓明细!$A$127),0)</f>
        <v>0</v>
      </c>
      <c r="R208">
        <f>IF(LEFT(分期持仓明细!$A$127,LEN(L$81)+2)=L$81&amp;" ·",ROW(分期持仓明细!$A$127),0)</f>
        <v>0</v>
      </c>
    </row>
    <row r="209" spans="13:18">
      <c r="M209">
        <f>IF(LEFT(分期持仓明细!$A$128,LEN(G$81)+2)=G$81&amp;" ·",ROW(分期持仓明细!$A$128),0)</f>
        <v>0</v>
      </c>
      <c r="N209">
        <f>IF(LEFT(分期持仓明细!$A$128,LEN(H$81)+2)=H$81&amp;" ·",ROW(分期持仓明细!$A$128),0)</f>
        <v>0</v>
      </c>
      <c r="O209">
        <f>IF(LEFT(分期持仓明细!$A$128,LEN(I$81)+2)=I$81&amp;" ·",ROW(分期持仓明细!$A$128),0)</f>
        <v>0</v>
      </c>
      <c r="P209">
        <f>IF(LEFT(分期持仓明细!$A$128,LEN(J$81)+2)=J$81&amp;" ·",ROW(分期持仓明细!$A$128),0)</f>
        <v>0</v>
      </c>
      <c r="Q209">
        <f>IF(LEFT(分期持仓明细!$A$128,LEN(K$81)+2)=K$81&amp;" ·",ROW(分期持仓明细!$A$128),0)</f>
        <v>0</v>
      </c>
      <c r="R209">
        <f>IF(LEFT(分期持仓明细!$A$128,LEN(L$81)+2)=L$81&amp;" ·",ROW(分期持仓明细!$A$128),0)</f>
        <v>0</v>
      </c>
    </row>
    <row r="210" spans="13:18">
      <c r="M210">
        <f>IF(LEFT(分期持仓明细!$A$129,LEN(G$81)+2)=G$81&amp;" ·",ROW(分期持仓明细!$A$129),0)</f>
        <v>0</v>
      </c>
      <c r="N210">
        <f>IF(LEFT(分期持仓明细!$A$129,LEN(H$81)+2)=H$81&amp;" ·",ROW(分期持仓明细!$A$129),0)</f>
        <v>0</v>
      </c>
      <c r="O210">
        <f>IF(LEFT(分期持仓明细!$A$129,LEN(I$81)+2)=I$81&amp;" ·",ROW(分期持仓明细!$A$129),0)</f>
        <v>0</v>
      </c>
      <c r="P210">
        <f>IF(LEFT(分期持仓明细!$A$129,LEN(J$81)+2)=J$81&amp;" ·",ROW(分期持仓明细!$A$129),0)</f>
        <v>0</v>
      </c>
      <c r="Q210">
        <f>IF(LEFT(分期持仓明细!$A$129,LEN(K$81)+2)=K$81&amp;" ·",ROW(分期持仓明细!$A$129),0)</f>
        <v>0</v>
      </c>
      <c r="R210">
        <f>IF(LEFT(分期持仓明细!$A$129,LEN(L$81)+2)=L$81&amp;" ·",ROW(分期持仓明细!$A$129),0)</f>
        <v>0</v>
      </c>
    </row>
    <row r="211" spans="13:18">
      <c r="M211">
        <f>IF(LEFT(分期持仓明细!$A$130,LEN(G$81)+2)=G$81&amp;" ·",ROW(分期持仓明细!$A$130),0)</f>
        <v>0</v>
      </c>
      <c r="N211">
        <f>IF(LEFT(分期持仓明细!$A$130,LEN(H$81)+2)=H$81&amp;" ·",ROW(分期持仓明细!$A$130),0)</f>
        <v>0</v>
      </c>
      <c r="O211">
        <f>IF(LEFT(分期持仓明细!$A$130,LEN(I$81)+2)=I$81&amp;" ·",ROW(分期持仓明细!$A$130),0)</f>
        <v>0</v>
      </c>
      <c r="P211">
        <f>IF(LEFT(分期持仓明细!$A$130,LEN(J$81)+2)=J$81&amp;" ·",ROW(分期持仓明细!$A$130),0)</f>
        <v>0</v>
      </c>
      <c r="Q211">
        <f>IF(LEFT(分期持仓明细!$A$130,LEN(K$81)+2)=K$81&amp;" ·",ROW(分期持仓明细!$A$130),0)</f>
        <v>0</v>
      </c>
      <c r="R211">
        <f>IF(LEFT(分期持仓明细!$A$130,LEN(L$81)+2)=L$81&amp;" ·",ROW(分期持仓明细!$A$130),0)</f>
        <v>0</v>
      </c>
    </row>
    <row r="212" spans="13:18">
      <c r="M212">
        <f>IF(LEFT(分期持仓明细!$A$131,LEN(G$81)+2)=G$81&amp;" ·",ROW(分期持仓明细!$A$131),0)</f>
        <v>0</v>
      </c>
      <c r="N212">
        <f>IF(LEFT(分期持仓明细!$A$131,LEN(H$81)+2)=H$81&amp;" ·",ROW(分期持仓明细!$A$131),0)</f>
        <v>0</v>
      </c>
      <c r="O212">
        <f>IF(LEFT(分期持仓明细!$A$131,LEN(I$81)+2)=I$81&amp;" ·",ROW(分期持仓明细!$A$131),0)</f>
        <v>0</v>
      </c>
      <c r="P212">
        <f>IF(LEFT(分期持仓明细!$A$131,LEN(J$81)+2)=J$81&amp;" ·",ROW(分期持仓明细!$A$131),0)</f>
        <v>0</v>
      </c>
      <c r="Q212">
        <f>IF(LEFT(分期持仓明细!$A$131,LEN(K$81)+2)=K$81&amp;" ·",ROW(分期持仓明细!$A$131),0)</f>
        <v>0</v>
      </c>
      <c r="R212">
        <f>IF(LEFT(分期持仓明细!$A$131,LEN(L$81)+2)=L$81&amp;" ·",ROW(分期持仓明细!$A$131),0)</f>
        <v>0</v>
      </c>
    </row>
    <row r="213" spans="13:18">
      <c r="M213">
        <f>IF(LEFT(分期持仓明细!$A$132,LEN(G$81)+2)=G$81&amp;" ·",ROW(分期持仓明细!$A$132),0)</f>
        <v>0</v>
      </c>
      <c r="N213">
        <f>IF(LEFT(分期持仓明细!$A$132,LEN(H$81)+2)=H$81&amp;" ·",ROW(分期持仓明细!$A$132),0)</f>
        <v>0</v>
      </c>
      <c r="O213">
        <f>IF(LEFT(分期持仓明细!$A$132,LEN(I$81)+2)=I$81&amp;" ·",ROW(分期持仓明细!$A$132),0)</f>
        <v>0</v>
      </c>
      <c r="P213">
        <f>IF(LEFT(分期持仓明细!$A$132,LEN(J$81)+2)=J$81&amp;" ·",ROW(分期持仓明细!$A$132),0)</f>
        <v>0</v>
      </c>
      <c r="Q213">
        <f>IF(LEFT(分期持仓明细!$A$132,LEN(K$81)+2)=K$81&amp;" ·",ROW(分期持仓明细!$A$132),0)</f>
        <v>0</v>
      </c>
      <c r="R213">
        <f>IF(LEFT(分期持仓明细!$A$132,LEN(L$81)+2)=L$81&amp;" ·",ROW(分期持仓明细!$A$132),0)</f>
        <v>0</v>
      </c>
    </row>
    <row r="214" spans="13:18">
      <c r="M214">
        <f>IF(LEFT(分期持仓明细!$A$133,LEN(G$81)+2)=G$81&amp;" ·",ROW(分期持仓明细!$A$133),0)</f>
        <v>0</v>
      </c>
      <c r="N214">
        <f>IF(LEFT(分期持仓明细!$A$133,LEN(H$81)+2)=H$81&amp;" ·",ROW(分期持仓明细!$A$133),0)</f>
        <v>0</v>
      </c>
      <c r="O214">
        <f>IF(LEFT(分期持仓明细!$A$133,LEN(I$81)+2)=I$81&amp;" ·",ROW(分期持仓明细!$A$133),0)</f>
        <v>0</v>
      </c>
      <c r="P214">
        <f>IF(LEFT(分期持仓明细!$A$133,LEN(J$81)+2)=J$81&amp;" ·",ROW(分期持仓明细!$A$133),0)</f>
        <v>0</v>
      </c>
      <c r="Q214">
        <f>IF(LEFT(分期持仓明细!$A$133,LEN(K$81)+2)=K$81&amp;" ·",ROW(分期持仓明细!$A$133),0)</f>
        <v>0</v>
      </c>
      <c r="R214">
        <f>IF(LEFT(分期持仓明细!$A$133,LEN(L$81)+2)=L$81&amp;" ·",ROW(分期持仓明细!$A$133),0)</f>
        <v>0</v>
      </c>
    </row>
    <row r="215" spans="13:18">
      <c r="M215">
        <f>IF(LEFT(分期持仓明细!$A$134,LEN(G$81)+2)=G$81&amp;" ·",ROW(分期持仓明细!$A$134),0)</f>
        <v>0</v>
      </c>
      <c r="N215">
        <f>IF(LEFT(分期持仓明细!$A$134,LEN(H$81)+2)=H$81&amp;" ·",ROW(分期持仓明细!$A$134),0)</f>
        <v>0</v>
      </c>
      <c r="O215">
        <f>IF(LEFT(分期持仓明细!$A$134,LEN(I$81)+2)=I$81&amp;" ·",ROW(分期持仓明细!$A$134),0)</f>
        <v>0</v>
      </c>
      <c r="P215">
        <f>IF(LEFT(分期持仓明细!$A$134,LEN(J$81)+2)=J$81&amp;" ·",ROW(分期持仓明细!$A$134),0)</f>
        <v>0</v>
      </c>
      <c r="Q215">
        <f>IF(LEFT(分期持仓明细!$A$134,LEN(K$81)+2)=K$81&amp;" ·",ROW(分期持仓明细!$A$134),0)</f>
        <v>0</v>
      </c>
      <c r="R215">
        <f>IF(LEFT(分期持仓明细!$A$134,LEN(L$81)+2)=L$81&amp;" ·",ROW(分期持仓明细!$A$134),0)</f>
        <v>0</v>
      </c>
    </row>
    <row r="216" spans="13:18">
      <c r="M216">
        <f>IF(LEFT(分期持仓明细!$A$135,LEN(G$81)+2)=G$81&amp;" ·",ROW(分期持仓明细!$A$135),0)</f>
        <v>0</v>
      </c>
      <c r="N216">
        <f>IF(LEFT(分期持仓明细!$A$135,LEN(H$81)+2)=H$81&amp;" ·",ROW(分期持仓明细!$A$135),0)</f>
        <v>0</v>
      </c>
      <c r="O216">
        <f>IF(LEFT(分期持仓明细!$A$135,LEN(I$81)+2)=I$81&amp;" ·",ROW(分期持仓明细!$A$135),0)</f>
        <v>0</v>
      </c>
      <c r="P216">
        <f>IF(LEFT(分期持仓明细!$A$135,LEN(J$81)+2)=J$81&amp;" ·",ROW(分期持仓明细!$A$135),0)</f>
        <v>0</v>
      </c>
      <c r="Q216">
        <f>IF(LEFT(分期持仓明细!$A$135,LEN(K$81)+2)=K$81&amp;" ·",ROW(分期持仓明细!$A$135),0)</f>
        <v>0</v>
      </c>
      <c r="R216">
        <f>IF(LEFT(分期持仓明细!$A$135,LEN(L$81)+2)=L$81&amp;" ·",ROW(分期持仓明细!$A$135),0)</f>
        <v>0</v>
      </c>
    </row>
    <row r="217" spans="13:18">
      <c r="M217">
        <f>IF(LEFT(分期持仓明细!$A$136,LEN(G$81)+2)=G$81&amp;" ·",ROW(分期持仓明细!$A$136),0)</f>
        <v>0</v>
      </c>
      <c r="N217">
        <f>IF(LEFT(分期持仓明细!$A$136,LEN(H$81)+2)=H$81&amp;" ·",ROW(分期持仓明细!$A$136),0)</f>
        <v>0</v>
      </c>
      <c r="O217">
        <f>IF(LEFT(分期持仓明细!$A$136,LEN(I$81)+2)=I$81&amp;" ·",ROW(分期持仓明细!$A$136),0)</f>
        <v>0</v>
      </c>
      <c r="P217">
        <f>IF(LEFT(分期持仓明细!$A$136,LEN(J$81)+2)=J$81&amp;" ·",ROW(分期持仓明细!$A$136),0)</f>
        <v>0</v>
      </c>
      <c r="Q217">
        <f>IF(LEFT(分期持仓明细!$A$136,LEN(K$81)+2)=K$81&amp;" ·",ROW(分期持仓明细!$A$136),0)</f>
        <v>0</v>
      </c>
      <c r="R217">
        <f>IF(LEFT(分期持仓明细!$A$136,LEN(L$81)+2)=L$81&amp;" ·",ROW(分期持仓明细!$A$136),0)</f>
        <v>0</v>
      </c>
    </row>
    <row r="218" spans="13:18">
      <c r="M218">
        <f>IF(LEFT(分期持仓明细!$A$137,LEN(G$81)+2)=G$81&amp;" ·",ROW(分期持仓明细!$A$137),0)</f>
        <v>0</v>
      </c>
      <c r="N218">
        <f>IF(LEFT(分期持仓明细!$A$137,LEN(H$81)+2)=H$81&amp;" ·",ROW(分期持仓明细!$A$137),0)</f>
        <v>0</v>
      </c>
      <c r="O218">
        <f>IF(LEFT(分期持仓明细!$A$137,LEN(I$81)+2)=I$81&amp;" ·",ROW(分期持仓明细!$A$137),0)</f>
        <v>0</v>
      </c>
      <c r="P218">
        <f>IF(LEFT(分期持仓明细!$A$137,LEN(J$81)+2)=J$81&amp;" ·",ROW(分期持仓明细!$A$137),0)</f>
        <v>0</v>
      </c>
      <c r="Q218">
        <f>IF(LEFT(分期持仓明细!$A$137,LEN(K$81)+2)=K$81&amp;" ·",ROW(分期持仓明细!$A$137),0)</f>
        <v>0</v>
      </c>
      <c r="R218">
        <f>IF(LEFT(分期持仓明细!$A$137,LEN(L$81)+2)=L$81&amp;" ·",ROW(分期持仓明细!$A$137),0)</f>
        <v>0</v>
      </c>
    </row>
    <row r="219" spans="13:18">
      <c r="M219">
        <f>IF(LEFT(分期持仓明细!$A$138,LEN(G$81)+2)=G$81&amp;" ·",ROW(分期持仓明细!$A$138),0)</f>
        <v>0</v>
      </c>
      <c r="N219">
        <f>IF(LEFT(分期持仓明细!$A$138,LEN(H$81)+2)=H$81&amp;" ·",ROW(分期持仓明细!$A$138),0)</f>
        <v>0</v>
      </c>
      <c r="O219">
        <f>IF(LEFT(分期持仓明细!$A$138,LEN(I$81)+2)=I$81&amp;" ·",ROW(分期持仓明细!$A$138),0)</f>
        <v>0</v>
      </c>
      <c r="P219">
        <f>IF(LEFT(分期持仓明细!$A$138,LEN(J$81)+2)=J$81&amp;" ·",ROW(分期持仓明细!$A$138),0)</f>
        <v>0</v>
      </c>
      <c r="Q219">
        <f>IF(LEFT(分期持仓明细!$A$138,LEN(K$81)+2)=K$81&amp;" ·",ROW(分期持仓明细!$A$138),0)</f>
        <v>0</v>
      </c>
      <c r="R219">
        <f>IF(LEFT(分期持仓明细!$A$138,LEN(L$81)+2)=L$81&amp;" ·",ROW(分期持仓明细!$A$138),0)</f>
        <v>0</v>
      </c>
    </row>
    <row r="220" spans="13:18">
      <c r="M220">
        <f>IF(LEFT(分期持仓明细!$A$139,LEN(G$81)+2)=G$81&amp;" ·",ROW(分期持仓明细!$A$139),0)</f>
        <v>0</v>
      </c>
      <c r="N220">
        <f>IF(LEFT(分期持仓明细!$A$139,LEN(H$81)+2)=H$81&amp;" ·",ROW(分期持仓明细!$A$139),0)</f>
        <v>0</v>
      </c>
      <c r="O220">
        <f>IF(LEFT(分期持仓明细!$A$139,LEN(I$81)+2)=I$81&amp;" ·",ROW(分期持仓明细!$A$139),0)</f>
        <v>0</v>
      </c>
      <c r="P220">
        <f>IF(LEFT(分期持仓明细!$A$139,LEN(J$81)+2)=J$81&amp;" ·",ROW(分期持仓明细!$A$139),0)</f>
        <v>0</v>
      </c>
      <c r="Q220">
        <f>IF(LEFT(分期持仓明细!$A$139,LEN(K$81)+2)=K$81&amp;" ·",ROW(分期持仓明细!$A$139),0)</f>
        <v>0</v>
      </c>
      <c r="R220">
        <f>IF(LEFT(分期持仓明细!$A$139,LEN(L$81)+2)=L$81&amp;" ·",ROW(分期持仓明细!$A$139),0)</f>
        <v>0</v>
      </c>
    </row>
    <row r="221" spans="13:18">
      <c r="M221">
        <f>IF(LEFT(分期持仓明细!$A$140,LEN(G$81)+2)=G$81&amp;" ·",ROW(分期持仓明细!$A$140),0)</f>
        <v>0</v>
      </c>
      <c r="N221">
        <f>IF(LEFT(分期持仓明细!$A$140,LEN(H$81)+2)=H$81&amp;" ·",ROW(分期持仓明细!$A$140),0)</f>
        <v>0</v>
      </c>
      <c r="O221">
        <f>IF(LEFT(分期持仓明细!$A$140,LEN(I$81)+2)=I$81&amp;" ·",ROW(分期持仓明细!$A$140),0)</f>
        <v>0</v>
      </c>
      <c r="P221">
        <f>IF(LEFT(分期持仓明细!$A$140,LEN(J$81)+2)=J$81&amp;" ·",ROW(分期持仓明细!$A$140),0)</f>
        <v>0</v>
      </c>
      <c r="Q221">
        <f>IF(LEFT(分期持仓明细!$A$140,LEN(K$81)+2)=K$81&amp;" ·",ROW(分期持仓明细!$A$140),0)</f>
        <v>0</v>
      </c>
      <c r="R221">
        <f>IF(LEFT(分期持仓明细!$A$140,LEN(L$81)+2)=L$81&amp;" ·",ROW(分期持仓明细!$A$140),0)</f>
        <v>0</v>
      </c>
    </row>
    <row r="222" spans="13:18">
      <c r="M222">
        <f>IF(LEFT(分期持仓明细!$A$141,LEN(G$81)+2)=G$81&amp;" ·",ROW(分期持仓明细!$A$141),0)</f>
        <v>0</v>
      </c>
      <c r="N222">
        <f>IF(LEFT(分期持仓明细!$A$141,LEN(H$81)+2)=H$81&amp;" ·",ROW(分期持仓明细!$A$141),0)</f>
        <v>0</v>
      </c>
      <c r="O222">
        <f>IF(LEFT(分期持仓明细!$A$141,LEN(I$81)+2)=I$81&amp;" ·",ROW(分期持仓明细!$A$141),0)</f>
        <v>0</v>
      </c>
      <c r="P222">
        <f>IF(LEFT(分期持仓明细!$A$141,LEN(J$81)+2)=J$81&amp;" ·",ROW(分期持仓明细!$A$141),0)</f>
        <v>0</v>
      </c>
      <c r="Q222">
        <f>IF(LEFT(分期持仓明细!$A$141,LEN(K$81)+2)=K$81&amp;" ·",ROW(分期持仓明细!$A$141),0)</f>
        <v>0</v>
      </c>
      <c r="R222">
        <f>IF(LEFT(分期持仓明细!$A$141,LEN(L$81)+2)=L$81&amp;" ·",ROW(分期持仓明细!$A$141),0)</f>
        <v>0</v>
      </c>
    </row>
    <row r="223" spans="13:18">
      <c r="M223">
        <f>IF(LEFT(分期持仓明细!$A$142,LEN(G$81)+2)=G$81&amp;" ·",ROW(分期持仓明细!$A$142),0)</f>
        <v>0</v>
      </c>
      <c r="N223">
        <f>IF(LEFT(分期持仓明细!$A$142,LEN(H$81)+2)=H$81&amp;" ·",ROW(分期持仓明细!$A$142),0)</f>
        <v>0</v>
      </c>
      <c r="O223">
        <f>IF(LEFT(分期持仓明细!$A$142,LEN(I$81)+2)=I$81&amp;" ·",ROW(分期持仓明细!$A$142),0)</f>
        <v>0</v>
      </c>
      <c r="P223">
        <f>IF(LEFT(分期持仓明细!$A$142,LEN(J$81)+2)=J$81&amp;" ·",ROW(分期持仓明细!$A$142),0)</f>
        <v>0</v>
      </c>
      <c r="Q223">
        <f>IF(LEFT(分期持仓明细!$A$142,LEN(K$81)+2)=K$81&amp;" ·",ROW(分期持仓明细!$A$142),0)</f>
        <v>0</v>
      </c>
      <c r="R223">
        <f>IF(LEFT(分期持仓明细!$A$142,LEN(L$81)+2)=L$81&amp;" ·",ROW(分期持仓明细!$A$142),0)</f>
        <v>0</v>
      </c>
    </row>
    <row r="224" spans="13:18">
      <c r="M224">
        <f>IF(LEFT(分期持仓明细!$A$143,LEN(G$81)+2)=G$81&amp;" ·",ROW(分期持仓明细!$A$143),0)</f>
        <v>0</v>
      </c>
      <c r="N224">
        <f>IF(LEFT(分期持仓明细!$A$143,LEN(H$81)+2)=H$81&amp;" ·",ROW(分期持仓明细!$A$143),0)</f>
        <v>0</v>
      </c>
      <c r="O224">
        <f>IF(LEFT(分期持仓明细!$A$143,LEN(I$81)+2)=I$81&amp;" ·",ROW(分期持仓明细!$A$143),0)</f>
        <v>0</v>
      </c>
      <c r="P224">
        <f>IF(LEFT(分期持仓明细!$A$143,LEN(J$81)+2)=J$81&amp;" ·",ROW(分期持仓明细!$A$143),0)</f>
        <v>0</v>
      </c>
      <c r="Q224">
        <f>IF(LEFT(分期持仓明细!$A$143,LEN(K$81)+2)=K$81&amp;" ·",ROW(分期持仓明细!$A$143),0)</f>
        <v>0</v>
      </c>
      <c r="R224">
        <f>IF(LEFT(分期持仓明细!$A$143,LEN(L$81)+2)=L$81&amp;" ·",ROW(分期持仓明细!$A$143),0)</f>
        <v>0</v>
      </c>
    </row>
    <row r="225" spans="13:18">
      <c r="M225">
        <f>IF(LEFT(分期持仓明细!$A$144,LEN(G$81)+2)=G$81&amp;" ·",ROW(分期持仓明细!$A$144),0)</f>
        <v>0</v>
      </c>
      <c r="N225">
        <f>IF(LEFT(分期持仓明细!$A$144,LEN(H$81)+2)=H$81&amp;" ·",ROW(分期持仓明细!$A$144),0)</f>
        <v>0</v>
      </c>
      <c r="O225">
        <f>IF(LEFT(分期持仓明细!$A$144,LEN(I$81)+2)=I$81&amp;" ·",ROW(分期持仓明细!$A$144),0)</f>
        <v>0</v>
      </c>
      <c r="P225">
        <f>IF(LEFT(分期持仓明细!$A$144,LEN(J$81)+2)=J$81&amp;" ·",ROW(分期持仓明细!$A$144),0)</f>
        <v>0</v>
      </c>
      <c r="Q225">
        <f>IF(LEFT(分期持仓明细!$A$144,LEN(K$81)+2)=K$81&amp;" ·",ROW(分期持仓明细!$A$144),0)</f>
        <v>0</v>
      </c>
      <c r="R225">
        <f>IF(LEFT(分期持仓明细!$A$144,LEN(L$81)+2)=L$81&amp;" ·",ROW(分期持仓明细!$A$144),0)</f>
        <v>0</v>
      </c>
    </row>
    <row r="226" spans="13:18">
      <c r="M226">
        <f>IF(LEFT(分期持仓明细!$A$145,LEN(G$81)+2)=G$81&amp;" ·",ROW(分期持仓明细!$A$145),0)</f>
        <v>0</v>
      </c>
      <c r="N226">
        <f>IF(LEFT(分期持仓明细!$A$145,LEN(H$81)+2)=H$81&amp;" ·",ROW(分期持仓明细!$A$145),0)</f>
        <v>0</v>
      </c>
      <c r="O226">
        <f>IF(LEFT(分期持仓明细!$A$145,LEN(I$81)+2)=I$81&amp;" ·",ROW(分期持仓明细!$A$145),0)</f>
        <v>0</v>
      </c>
      <c r="P226">
        <f>IF(LEFT(分期持仓明细!$A$145,LEN(J$81)+2)=J$81&amp;" ·",ROW(分期持仓明细!$A$145),0)</f>
        <v>0</v>
      </c>
      <c r="Q226">
        <f>IF(LEFT(分期持仓明细!$A$145,LEN(K$81)+2)=K$81&amp;" ·",ROW(分期持仓明细!$A$145),0)</f>
        <v>0</v>
      </c>
      <c r="R226">
        <f>IF(LEFT(分期持仓明细!$A$145,LEN(L$81)+2)=L$81&amp;" ·",ROW(分期持仓明细!$A$145),0)</f>
        <v>0</v>
      </c>
    </row>
    <row r="227" spans="13:18">
      <c r="M227">
        <f>IF(LEFT(分期持仓明细!$A$146,LEN(G$81)+2)=G$81&amp;" ·",ROW(分期持仓明细!$A$146),0)</f>
        <v>0</v>
      </c>
      <c r="N227">
        <f>IF(LEFT(分期持仓明细!$A$146,LEN(H$81)+2)=H$81&amp;" ·",ROW(分期持仓明细!$A$146),0)</f>
        <v>0</v>
      </c>
      <c r="O227">
        <f>IF(LEFT(分期持仓明细!$A$146,LEN(I$81)+2)=I$81&amp;" ·",ROW(分期持仓明细!$A$146),0)</f>
        <v>0</v>
      </c>
      <c r="P227">
        <f>IF(LEFT(分期持仓明细!$A$146,LEN(J$81)+2)=J$81&amp;" ·",ROW(分期持仓明细!$A$146),0)</f>
        <v>0</v>
      </c>
      <c r="Q227">
        <f>IF(LEFT(分期持仓明细!$A$146,LEN(K$81)+2)=K$81&amp;" ·",ROW(分期持仓明细!$A$146),0)</f>
        <v>0</v>
      </c>
      <c r="R227">
        <f>IF(LEFT(分期持仓明细!$A$146,LEN(L$81)+2)=L$81&amp;" ·",ROW(分期持仓明细!$A$146),0)</f>
        <v>0</v>
      </c>
    </row>
    <row r="228" spans="13:18">
      <c r="M228">
        <f>IF(LEFT(分期持仓明细!$A$147,LEN(G$81)+2)=G$81&amp;" ·",ROW(分期持仓明细!$A$147),0)</f>
        <v>0</v>
      </c>
      <c r="N228">
        <f>IF(LEFT(分期持仓明细!$A$147,LEN(H$81)+2)=H$81&amp;" ·",ROW(分期持仓明细!$A$147),0)</f>
        <v>0</v>
      </c>
      <c r="O228">
        <f>IF(LEFT(分期持仓明细!$A$147,LEN(I$81)+2)=I$81&amp;" ·",ROW(分期持仓明细!$A$147),0)</f>
        <v>0</v>
      </c>
      <c r="P228">
        <f>IF(LEFT(分期持仓明细!$A$147,LEN(J$81)+2)=J$81&amp;" ·",ROW(分期持仓明细!$A$147),0)</f>
        <v>0</v>
      </c>
      <c r="Q228">
        <f>IF(LEFT(分期持仓明细!$A$147,LEN(K$81)+2)=K$81&amp;" ·",ROW(分期持仓明细!$A$147),0)</f>
        <v>0</v>
      </c>
      <c r="R228">
        <f>IF(LEFT(分期持仓明细!$A$147,LEN(L$81)+2)=L$81&amp;" ·",ROW(分期持仓明细!$A$147),0)</f>
        <v>0</v>
      </c>
    </row>
    <row r="229" spans="13:18">
      <c r="M229">
        <f>IF(LEFT(分期持仓明细!$A$148,LEN(G$81)+2)=G$81&amp;" ·",ROW(分期持仓明细!$A$148),0)</f>
        <v>0</v>
      </c>
      <c r="N229">
        <f>IF(LEFT(分期持仓明细!$A$148,LEN(H$81)+2)=H$81&amp;" ·",ROW(分期持仓明细!$A$148),0)</f>
        <v>0</v>
      </c>
      <c r="O229">
        <f>IF(LEFT(分期持仓明细!$A$148,LEN(I$81)+2)=I$81&amp;" ·",ROW(分期持仓明细!$A$148),0)</f>
        <v>0</v>
      </c>
      <c r="P229">
        <f>IF(LEFT(分期持仓明细!$A$148,LEN(J$81)+2)=J$81&amp;" ·",ROW(分期持仓明细!$A$148),0)</f>
        <v>0</v>
      </c>
      <c r="Q229">
        <f>IF(LEFT(分期持仓明细!$A$148,LEN(K$81)+2)=K$81&amp;" ·",ROW(分期持仓明细!$A$148),0)</f>
        <v>0</v>
      </c>
      <c r="R229">
        <f>IF(LEFT(分期持仓明细!$A$148,LEN(L$81)+2)=L$81&amp;" ·",ROW(分期持仓明细!$A$148),0)</f>
        <v>0</v>
      </c>
    </row>
    <row r="230" spans="13:18">
      <c r="M230">
        <f>IF(LEFT(分期持仓明细!$A$149,LEN(G$81)+2)=G$81&amp;" ·",ROW(分期持仓明细!$A$149),0)</f>
        <v>0</v>
      </c>
      <c r="N230">
        <f>IF(LEFT(分期持仓明细!$A$149,LEN(H$81)+2)=H$81&amp;" ·",ROW(分期持仓明细!$A$149),0)</f>
        <v>0</v>
      </c>
      <c r="O230">
        <f>IF(LEFT(分期持仓明细!$A$149,LEN(I$81)+2)=I$81&amp;" ·",ROW(分期持仓明细!$A$149),0)</f>
        <v>0</v>
      </c>
      <c r="P230">
        <f>IF(LEFT(分期持仓明细!$A$149,LEN(J$81)+2)=J$81&amp;" ·",ROW(分期持仓明细!$A$149),0)</f>
        <v>0</v>
      </c>
      <c r="Q230">
        <f>IF(LEFT(分期持仓明细!$A$149,LEN(K$81)+2)=K$81&amp;" ·",ROW(分期持仓明细!$A$149),0)</f>
        <v>0</v>
      </c>
      <c r="R230">
        <f>IF(LEFT(分期持仓明细!$A$149,LEN(L$81)+2)=L$81&amp;" ·",ROW(分期持仓明细!$A$149),0)</f>
        <v>0</v>
      </c>
    </row>
    <row r="231" spans="13:18">
      <c r="M231">
        <f>IF(LEFT(分期持仓明细!$A$150,LEN(G$81)+2)=G$81&amp;" ·",ROW(分期持仓明细!$A$150),0)</f>
        <v>0</v>
      </c>
      <c r="N231">
        <f>IF(LEFT(分期持仓明细!$A$150,LEN(H$81)+2)=H$81&amp;" ·",ROW(分期持仓明细!$A$150),0)</f>
        <v>0</v>
      </c>
      <c r="O231">
        <f>IF(LEFT(分期持仓明细!$A$150,LEN(I$81)+2)=I$81&amp;" ·",ROW(分期持仓明细!$A$150),0)</f>
        <v>0</v>
      </c>
      <c r="P231">
        <f>IF(LEFT(分期持仓明细!$A$150,LEN(J$81)+2)=J$81&amp;" ·",ROW(分期持仓明细!$A$150),0)</f>
        <v>0</v>
      </c>
      <c r="Q231">
        <f>IF(LEFT(分期持仓明细!$A$150,LEN(K$81)+2)=K$81&amp;" ·",ROW(分期持仓明细!$A$150),0)</f>
        <v>0</v>
      </c>
      <c r="R231">
        <f>IF(LEFT(分期持仓明细!$A$150,LEN(L$81)+2)=L$81&amp;" ·",ROW(分期持仓明细!$A$150),0)</f>
        <v>0</v>
      </c>
    </row>
    <row r="232" spans="13:18">
      <c r="M232">
        <f>IF(LEFT(分期持仓明细!$A$151,LEN(G$81)+2)=G$81&amp;" ·",ROW(分期持仓明细!$A$151),0)</f>
        <v>0</v>
      </c>
      <c r="N232">
        <f>IF(LEFT(分期持仓明细!$A$151,LEN(H$81)+2)=H$81&amp;" ·",ROW(分期持仓明细!$A$151),0)</f>
        <v>0</v>
      </c>
      <c r="O232">
        <f>IF(LEFT(分期持仓明细!$A$151,LEN(I$81)+2)=I$81&amp;" ·",ROW(分期持仓明细!$A$151),0)</f>
        <v>0</v>
      </c>
      <c r="P232">
        <f>IF(LEFT(分期持仓明细!$A$151,LEN(J$81)+2)=J$81&amp;" ·",ROW(分期持仓明细!$A$151),0)</f>
        <v>0</v>
      </c>
      <c r="Q232">
        <f>IF(LEFT(分期持仓明细!$A$151,LEN(K$81)+2)=K$81&amp;" ·",ROW(分期持仓明细!$A$151),0)</f>
        <v>0</v>
      </c>
      <c r="R232">
        <f>IF(LEFT(分期持仓明细!$A$151,LEN(L$81)+2)=L$81&amp;" ·",ROW(分期持仓明细!$A$151),0)</f>
        <v>0</v>
      </c>
    </row>
    <row r="233" spans="13:18">
      <c r="M233">
        <f>IF(LEFT(分期持仓明细!$A$152,LEN(G$81)+2)=G$81&amp;" ·",ROW(分期持仓明细!$A$152),0)</f>
        <v>0</v>
      </c>
      <c r="N233">
        <f>IF(LEFT(分期持仓明细!$A$152,LEN(H$81)+2)=H$81&amp;" ·",ROW(分期持仓明细!$A$152),0)</f>
        <v>0</v>
      </c>
      <c r="O233">
        <f>IF(LEFT(分期持仓明细!$A$152,LEN(I$81)+2)=I$81&amp;" ·",ROW(分期持仓明细!$A$152),0)</f>
        <v>0</v>
      </c>
      <c r="P233">
        <f>IF(LEFT(分期持仓明细!$A$152,LEN(J$81)+2)=J$81&amp;" ·",ROW(分期持仓明细!$A$152),0)</f>
        <v>0</v>
      </c>
      <c r="Q233">
        <f>IF(LEFT(分期持仓明细!$A$152,LEN(K$81)+2)=K$81&amp;" ·",ROW(分期持仓明细!$A$152),0)</f>
        <v>0</v>
      </c>
      <c r="R233">
        <f>IF(LEFT(分期持仓明细!$A$152,LEN(L$81)+2)=L$81&amp;" ·",ROW(分期持仓明细!$A$152),0)</f>
        <v>0</v>
      </c>
    </row>
    <row r="234" spans="13:18">
      <c r="M234">
        <f>IF(LEFT(分期持仓明细!$A$153,LEN(G$81)+2)=G$81&amp;" ·",ROW(分期持仓明细!$A$153),0)</f>
        <v>0</v>
      </c>
      <c r="N234">
        <f>IF(LEFT(分期持仓明细!$A$153,LEN(H$81)+2)=H$81&amp;" ·",ROW(分期持仓明细!$A$153),0)</f>
        <v>0</v>
      </c>
      <c r="O234">
        <f>IF(LEFT(分期持仓明细!$A$153,LEN(I$81)+2)=I$81&amp;" ·",ROW(分期持仓明细!$A$153),0)</f>
        <v>0</v>
      </c>
      <c r="P234">
        <f>IF(LEFT(分期持仓明细!$A$153,LEN(J$81)+2)=J$81&amp;" ·",ROW(分期持仓明细!$A$153),0)</f>
        <v>0</v>
      </c>
      <c r="Q234">
        <f>IF(LEFT(分期持仓明细!$A$153,LEN(K$81)+2)=K$81&amp;" ·",ROW(分期持仓明细!$A$153),0)</f>
        <v>0</v>
      </c>
      <c r="R234">
        <f>IF(LEFT(分期持仓明细!$A$153,LEN(L$81)+2)=L$81&amp;" ·",ROW(分期持仓明细!$A$153),0)</f>
        <v>0</v>
      </c>
    </row>
    <row r="235" spans="13:18">
      <c r="M235">
        <f>IF(LEFT(分期持仓明细!$A$154,LEN(G$81)+2)=G$81&amp;" ·",ROW(分期持仓明细!$A$154),0)</f>
        <v>0</v>
      </c>
      <c r="N235">
        <f>IF(LEFT(分期持仓明细!$A$154,LEN(H$81)+2)=H$81&amp;" ·",ROW(分期持仓明细!$A$154),0)</f>
        <v>0</v>
      </c>
      <c r="O235">
        <f>IF(LEFT(分期持仓明细!$A$154,LEN(I$81)+2)=I$81&amp;" ·",ROW(分期持仓明细!$A$154),0)</f>
        <v>0</v>
      </c>
      <c r="P235">
        <f>IF(LEFT(分期持仓明细!$A$154,LEN(J$81)+2)=J$81&amp;" ·",ROW(分期持仓明细!$A$154),0)</f>
        <v>0</v>
      </c>
      <c r="Q235">
        <f>IF(LEFT(分期持仓明细!$A$154,LEN(K$81)+2)=K$81&amp;" ·",ROW(分期持仓明细!$A$154),0)</f>
        <v>0</v>
      </c>
      <c r="R235">
        <f>IF(LEFT(分期持仓明细!$A$154,LEN(L$81)+2)=L$81&amp;" ·",ROW(分期持仓明细!$A$154),0)</f>
        <v>0</v>
      </c>
    </row>
    <row r="236" spans="13:18">
      <c r="M236">
        <f>IF(LEFT(分期持仓明细!$A$155,LEN(G$81)+2)=G$81&amp;" ·",ROW(分期持仓明细!$A$155),0)</f>
        <v>0</v>
      </c>
      <c r="N236">
        <f>IF(LEFT(分期持仓明细!$A$155,LEN(H$81)+2)=H$81&amp;" ·",ROW(分期持仓明细!$A$155),0)</f>
        <v>0</v>
      </c>
      <c r="O236">
        <f>IF(LEFT(分期持仓明细!$A$155,LEN(I$81)+2)=I$81&amp;" ·",ROW(分期持仓明细!$A$155),0)</f>
        <v>0</v>
      </c>
      <c r="P236">
        <f>IF(LEFT(分期持仓明细!$A$155,LEN(J$81)+2)=J$81&amp;" ·",ROW(分期持仓明细!$A$155),0)</f>
        <v>0</v>
      </c>
      <c r="Q236">
        <f>IF(LEFT(分期持仓明细!$A$155,LEN(K$81)+2)=K$81&amp;" ·",ROW(分期持仓明细!$A$155),0)</f>
        <v>0</v>
      </c>
      <c r="R236">
        <f>IF(LEFT(分期持仓明细!$A$155,LEN(L$81)+2)=L$81&amp;" ·",ROW(分期持仓明细!$A$155),0)</f>
        <v>0</v>
      </c>
    </row>
    <row r="237" spans="13:18">
      <c r="M237">
        <f>IF(LEFT(分期持仓明细!$A$156,LEN(G$81)+2)=G$81&amp;" ·",ROW(分期持仓明细!$A$156),0)</f>
        <v>0</v>
      </c>
      <c r="N237">
        <f>IF(LEFT(分期持仓明细!$A$156,LEN(H$81)+2)=H$81&amp;" ·",ROW(分期持仓明细!$A$156),0)</f>
        <v>0</v>
      </c>
      <c r="O237">
        <f>IF(LEFT(分期持仓明细!$A$156,LEN(I$81)+2)=I$81&amp;" ·",ROW(分期持仓明细!$A$156),0)</f>
        <v>0</v>
      </c>
      <c r="P237">
        <f>IF(LEFT(分期持仓明细!$A$156,LEN(J$81)+2)=J$81&amp;" ·",ROW(分期持仓明细!$A$156),0)</f>
        <v>0</v>
      </c>
      <c r="Q237">
        <f>IF(LEFT(分期持仓明细!$A$156,LEN(K$81)+2)=K$81&amp;" ·",ROW(分期持仓明细!$A$156),0)</f>
        <v>0</v>
      </c>
      <c r="R237">
        <f>IF(LEFT(分期持仓明细!$A$156,LEN(L$81)+2)=L$81&amp;" ·",ROW(分期持仓明细!$A$156),0)</f>
        <v>0</v>
      </c>
    </row>
    <row r="238" spans="13:18">
      <c r="M238">
        <f>IF(LEFT(分期持仓明细!$A$157,LEN(G$81)+2)=G$81&amp;" ·",ROW(分期持仓明细!$A$157),0)</f>
        <v>0</v>
      </c>
      <c r="N238">
        <f>IF(LEFT(分期持仓明细!$A$157,LEN(H$81)+2)=H$81&amp;" ·",ROW(分期持仓明细!$A$157),0)</f>
        <v>0</v>
      </c>
      <c r="O238">
        <f>IF(LEFT(分期持仓明细!$A$157,LEN(I$81)+2)=I$81&amp;" ·",ROW(分期持仓明细!$A$157),0)</f>
        <v>0</v>
      </c>
      <c r="P238">
        <f>IF(LEFT(分期持仓明细!$A$157,LEN(J$81)+2)=J$81&amp;" ·",ROW(分期持仓明细!$A$157),0)</f>
        <v>0</v>
      </c>
      <c r="Q238">
        <f>IF(LEFT(分期持仓明细!$A$157,LEN(K$81)+2)=K$81&amp;" ·",ROW(分期持仓明细!$A$157),0)</f>
        <v>0</v>
      </c>
      <c r="R238">
        <f>IF(LEFT(分期持仓明细!$A$157,LEN(L$81)+2)=L$81&amp;" ·",ROW(分期持仓明细!$A$157),0)</f>
        <v>0</v>
      </c>
    </row>
    <row r="239" spans="13:18">
      <c r="M239">
        <f>IF(LEFT(分期持仓明细!$A$158,LEN(G$81)+2)=G$81&amp;" ·",ROW(分期持仓明细!$A$158),0)</f>
        <v>0</v>
      </c>
      <c r="N239">
        <f>IF(LEFT(分期持仓明细!$A$158,LEN(H$81)+2)=H$81&amp;" ·",ROW(分期持仓明细!$A$158),0)</f>
        <v>0</v>
      </c>
      <c r="O239">
        <f>IF(LEFT(分期持仓明细!$A$158,LEN(I$81)+2)=I$81&amp;" ·",ROW(分期持仓明细!$A$158),0)</f>
        <v>0</v>
      </c>
      <c r="P239">
        <f>IF(LEFT(分期持仓明细!$A$158,LEN(J$81)+2)=J$81&amp;" ·",ROW(分期持仓明细!$A$158),0)</f>
        <v>0</v>
      </c>
      <c r="Q239">
        <f>IF(LEFT(分期持仓明细!$A$158,LEN(K$81)+2)=K$81&amp;" ·",ROW(分期持仓明细!$A$158),0)</f>
        <v>0</v>
      </c>
      <c r="R239">
        <f>IF(LEFT(分期持仓明细!$A$158,LEN(L$81)+2)=L$81&amp;" ·",ROW(分期持仓明细!$A$158),0)</f>
        <v>0</v>
      </c>
    </row>
    <row r="240" spans="13:18">
      <c r="M240">
        <f>IF(LEFT(分期持仓明细!$A$159,LEN(G$81)+2)=G$81&amp;" ·",ROW(分期持仓明细!$A$159),0)</f>
        <v>0</v>
      </c>
      <c r="N240">
        <f>IF(LEFT(分期持仓明细!$A$159,LEN(H$81)+2)=H$81&amp;" ·",ROW(分期持仓明细!$A$159),0)</f>
        <v>0</v>
      </c>
      <c r="O240">
        <f>IF(LEFT(分期持仓明细!$A$159,LEN(I$81)+2)=I$81&amp;" ·",ROW(分期持仓明细!$A$159),0)</f>
        <v>0</v>
      </c>
      <c r="P240">
        <f>IF(LEFT(分期持仓明细!$A$159,LEN(J$81)+2)=J$81&amp;" ·",ROW(分期持仓明细!$A$159),0)</f>
        <v>0</v>
      </c>
      <c r="Q240">
        <f>IF(LEFT(分期持仓明细!$A$159,LEN(K$81)+2)=K$81&amp;" ·",ROW(分期持仓明细!$A$159),0)</f>
        <v>0</v>
      </c>
      <c r="R240">
        <f>IF(LEFT(分期持仓明细!$A$159,LEN(L$81)+2)=L$81&amp;" ·",ROW(分期持仓明细!$A$159),0)</f>
        <v>0</v>
      </c>
    </row>
    <row r="241" spans="13:18">
      <c r="M241">
        <f>IF(LEFT(分期持仓明细!$A$160,LEN(G$81)+2)=G$81&amp;" ·",ROW(分期持仓明细!$A$160),0)</f>
        <v>0</v>
      </c>
      <c r="N241">
        <f>IF(LEFT(分期持仓明细!$A$160,LEN(H$81)+2)=H$81&amp;" ·",ROW(分期持仓明细!$A$160),0)</f>
        <v>0</v>
      </c>
      <c r="O241">
        <f>IF(LEFT(分期持仓明细!$A$160,LEN(I$81)+2)=I$81&amp;" ·",ROW(分期持仓明细!$A$160),0)</f>
        <v>0</v>
      </c>
      <c r="P241">
        <f>IF(LEFT(分期持仓明细!$A$160,LEN(J$81)+2)=J$81&amp;" ·",ROW(分期持仓明细!$A$160),0)</f>
        <v>0</v>
      </c>
      <c r="Q241">
        <f>IF(LEFT(分期持仓明细!$A$160,LEN(K$81)+2)=K$81&amp;" ·",ROW(分期持仓明细!$A$160),0)</f>
        <v>0</v>
      </c>
      <c r="R241">
        <f>IF(LEFT(分期持仓明细!$A$160,LEN(L$81)+2)=L$81&amp;" ·",ROW(分期持仓明细!$A$160),0)</f>
        <v>0</v>
      </c>
    </row>
    <row r="242" spans="13:18">
      <c r="M242">
        <f>IF(LEFT(分期持仓明细!$A$161,LEN(G$81)+2)=G$81&amp;" ·",ROW(分期持仓明细!$A$161),0)</f>
        <v>0</v>
      </c>
      <c r="N242">
        <f>IF(LEFT(分期持仓明细!$A$161,LEN(H$81)+2)=H$81&amp;" ·",ROW(分期持仓明细!$A$161),0)</f>
        <v>0</v>
      </c>
      <c r="O242">
        <f>IF(LEFT(分期持仓明细!$A$161,LEN(I$81)+2)=I$81&amp;" ·",ROW(分期持仓明细!$A$161),0)</f>
        <v>0</v>
      </c>
      <c r="P242">
        <f>IF(LEFT(分期持仓明细!$A$161,LEN(J$81)+2)=J$81&amp;" ·",ROW(分期持仓明细!$A$161),0)</f>
        <v>0</v>
      </c>
      <c r="Q242">
        <f>IF(LEFT(分期持仓明细!$A$161,LEN(K$81)+2)=K$81&amp;" ·",ROW(分期持仓明细!$A$161),0)</f>
        <v>0</v>
      </c>
      <c r="R242">
        <f>IF(LEFT(分期持仓明细!$A$161,LEN(L$81)+2)=L$81&amp;" ·",ROW(分期持仓明细!$A$161),0)</f>
        <v>0</v>
      </c>
    </row>
    <row r="243" spans="13:18">
      <c r="M243">
        <f>IF(LEFT(分期持仓明细!$A$162,LEN(G$81)+2)=G$81&amp;" ·",ROW(分期持仓明细!$A$162),0)</f>
        <v>0</v>
      </c>
      <c r="N243">
        <f>IF(LEFT(分期持仓明细!$A$162,LEN(H$81)+2)=H$81&amp;" ·",ROW(分期持仓明细!$A$162),0)</f>
        <v>0</v>
      </c>
      <c r="O243">
        <f>IF(LEFT(分期持仓明细!$A$162,LEN(I$81)+2)=I$81&amp;" ·",ROW(分期持仓明细!$A$162),0)</f>
        <v>0</v>
      </c>
      <c r="P243">
        <f>IF(LEFT(分期持仓明细!$A$162,LEN(J$81)+2)=J$81&amp;" ·",ROW(分期持仓明细!$A$162),0)</f>
        <v>0</v>
      </c>
      <c r="Q243">
        <f>IF(LEFT(分期持仓明细!$A$162,LEN(K$81)+2)=K$81&amp;" ·",ROW(分期持仓明细!$A$162),0)</f>
        <v>0</v>
      </c>
      <c r="R243">
        <f>IF(LEFT(分期持仓明细!$A$162,LEN(L$81)+2)=L$81&amp;" ·",ROW(分期持仓明细!$A$162),0)</f>
        <v>0</v>
      </c>
    </row>
    <row r="244" spans="13:18">
      <c r="M244">
        <f>IF(LEFT(分期持仓明细!$A$163,LEN(G$81)+2)=G$81&amp;" ·",ROW(分期持仓明细!$A$163),0)</f>
        <v>0</v>
      </c>
      <c r="N244">
        <f>IF(LEFT(分期持仓明细!$A$163,LEN(H$81)+2)=H$81&amp;" ·",ROW(分期持仓明细!$A$163),0)</f>
        <v>0</v>
      </c>
      <c r="O244">
        <f>IF(LEFT(分期持仓明细!$A$163,LEN(I$81)+2)=I$81&amp;" ·",ROW(分期持仓明细!$A$163),0)</f>
        <v>0</v>
      </c>
      <c r="P244">
        <f>IF(LEFT(分期持仓明细!$A$163,LEN(J$81)+2)=J$81&amp;" ·",ROW(分期持仓明细!$A$163),0)</f>
        <v>0</v>
      </c>
      <c r="Q244">
        <f>IF(LEFT(分期持仓明细!$A$163,LEN(K$81)+2)=K$81&amp;" ·",ROW(分期持仓明细!$A$163),0)</f>
        <v>0</v>
      </c>
      <c r="R244">
        <f>IF(LEFT(分期持仓明细!$A$163,LEN(L$81)+2)=L$81&amp;" ·",ROW(分期持仓明细!$A$163),0)</f>
        <v>0</v>
      </c>
    </row>
    <row r="245" spans="13:18">
      <c r="M245">
        <f>IF(LEFT(分期持仓明细!$A$164,LEN(G$81)+2)=G$81&amp;" ·",ROW(分期持仓明细!$A$164),0)</f>
        <v>0</v>
      </c>
      <c r="N245">
        <f>IF(LEFT(分期持仓明细!$A$164,LEN(H$81)+2)=H$81&amp;" ·",ROW(分期持仓明细!$A$164),0)</f>
        <v>0</v>
      </c>
      <c r="O245">
        <f>IF(LEFT(分期持仓明细!$A$164,LEN(I$81)+2)=I$81&amp;" ·",ROW(分期持仓明细!$A$164),0)</f>
        <v>0</v>
      </c>
      <c r="P245">
        <f>IF(LEFT(分期持仓明细!$A$164,LEN(J$81)+2)=J$81&amp;" ·",ROW(分期持仓明细!$A$164),0)</f>
        <v>0</v>
      </c>
      <c r="Q245">
        <f>IF(LEFT(分期持仓明细!$A$164,LEN(K$81)+2)=K$81&amp;" ·",ROW(分期持仓明细!$A$164),0)</f>
        <v>0</v>
      </c>
      <c r="R245">
        <f>IF(LEFT(分期持仓明细!$A$164,LEN(L$81)+2)=L$81&amp;" ·",ROW(分期持仓明细!$A$164),0)</f>
        <v>0</v>
      </c>
    </row>
    <row r="246" spans="13:18">
      <c r="M246">
        <f>IF(LEFT(分期持仓明细!$A$165,LEN(G$81)+2)=G$81&amp;" ·",ROW(分期持仓明细!$A$165),0)</f>
        <v>0</v>
      </c>
      <c r="N246">
        <f>IF(LEFT(分期持仓明细!$A$165,LEN(H$81)+2)=H$81&amp;" ·",ROW(分期持仓明细!$A$165),0)</f>
        <v>0</v>
      </c>
      <c r="O246">
        <f>IF(LEFT(分期持仓明细!$A$165,LEN(I$81)+2)=I$81&amp;" ·",ROW(分期持仓明细!$A$165),0)</f>
        <v>0</v>
      </c>
      <c r="P246">
        <f>IF(LEFT(分期持仓明细!$A$165,LEN(J$81)+2)=J$81&amp;" ·",ROW(分期持仓明细!$A$165),0)</f>
        <v>0</v>
      </c>
      <c r="Q246">
        <f>IF(LEFT(分期持仓明细!$A$165,LEN(K$81)+2)=K$81&amp;" ·",ROW(分期持仓明细!$A$165),0)</f>
        <v>0</v>
      </c>
      <c r="R246">
        <f>IF(LEFT(分期持仓明细!$A$165,LEN(L$81)+2)=L$81&amp;" ·",ROW(分期持仓明细!$A$165),0)</f>
        <v>0</v>
      </c>
    </row>
    <row r="247" spans="13:18">
      <c r="M247">
        <f>IF(LEFT(分期持仓明细!$A$166,LEN(G$81)+2)=G$81&amp;" ·",ROW(分期持仓明细!$A$166),0)</f>
        <v>0</v>
      </c>
      <c r="N247">
        <f>IF(LEFT(分期持仓明细!$A$166,LEN(H$81)+2)=H$81&amp;" ·",ROW(分期持仓明细!$A$166),0)</f>
        <v>0</v>
      </c>
      <c r="O247">
        <f>IF(LEFT(分期持仓明细!$A$166,LEN(I$81)+2)=I$81&amp;" ·",ROW(分期持仓明细!$A$166),0)</f>
        <v>0</v>
      </c>
      <c r="P247">
        <f>IF(LEFT(分期持仓明细!$A$166,LEN(J$81)+2)=J$81&amp;" ·",ROW(分期持仓明细!$A$166),0)</f>
        <v>0</v>
      </c>
      <c r="Q247">
        <f>IF(LEFT(分期持仓明细!$A$166,LEN(K$81)+2)=K$81&amp;" ·",ROW(分期持仓明细!$A$166),0)</f>
        <v>0</v>
      </c>
      <c r="R247">
        <f>IF(LEFT(分期持仓明细!$A$166,LEN(L$81)+2)=L$81&amp;" ·",ROW(分期持仓明细!$A$166),0)</f>
        <v>0</v>
      </c>
    </row>
    <row r="248" spans="13:18">
      <c r="M248">
        <f>IF(LEFT(分期持仓明细!$A$167,LEN(G$81)+2)=G$81&amp;" ·",ROW(分期持仓明细!$A$167),0)</f>
        <v>0</v>
      </c>
      <c r="N248">
        <f>IF(LEFT(分期持仓明细!$A$167,LEN(H$81)+2)=H$81&amp;" ·",ROW(分期持仓明细!$A$167),0)</f>
        <v>0</v>
      </c>
      <c r="O248">
        <f>IF(LEFT(分期持仓明细!$A$167,LEN(I$81)+2)=I$81&amp;" ·",ROW(分期持仓明细!$A$167),0)</f>
        <v>0</v>
      </c>
      <c r="P248">
        <f>IF(LEFT(分期持仓明细!$A$167,LEN(J$81)+2)=J$81&amp;" ·",ROW(分期持仓明细!$A$167),0)</f>
        <v>0</v>
      </c>
      <c r="Q248">
        <f>IF(LEFT(分期持仓明细!$A$167,LEN(K$81)+2)=K$81&amp;" ·",ROW(分期持仓明细!$A$167),0)</f>
        <v>0</v>
      </c>
      <c r="R248">
        <f>IF(LEFT(分期持仓明细!$A$167,LEN(L$81)+2)=L$81&amp;" ·",ROW(分期持仓明细!$A$167),0)</f>
        <v>0</v>
      </c>
    </row>
    <row r="249" spans="13:18">
      <c r="M249">
        <f>IF(LEFT(分期持仓明细!$A$168,LEN(G$81)+2)=G$81&amp;" ·",ROW(分期持仓明细!$A$168),0)</f>
        <v>0</v>
      </c>
      <c r="N249">
        <f>IF(LEFT(分期持仓明细!$A$168,LEN(H$81)+2)=H$81&amp;" ·",ROW(分期持仓明细!$A$168),0)</f>
        <v>0</v>
      </c>
      <c r="O249">
        <f>IF(LEFT(分期持仓明细!$A$168,LEN(I$81)+2)=I$81&amp;" ·",ROW(分期持仓明细!$A$168),0)</f>
        <v>0</v>
      </c>
      <c r="P249">
        <f>IF(LEFT(分期持仓明细!$A$168,LEN(J$81)+2)=J$81&amp;" ·",ROW(分期持仓明细!$A$168),0)</f>
        <v>0</v>
      </c>
      <c r="Q249">
        <f>IF(LEFT(分期持仓明细!$A$168,LEN(K$81)+2)=K$81&amp;" ·",ROW(分期持仓明细!$A$168),0)</f>
        <v>0</v>
      </c>
      <c r="R249">
        <f>IF(LEFT(分期持仓明细!$A$168,LEN(L$81)+2)=L$81&amp;" ·",ROW(分期持仓明细!$A$168),0)</f>
        <v>0</v>
      </c>
    </row>
    <row r="250" spans="13:18">
      <c r="M250">
        <f>IF(LEFT(分期持仓明细!$A$169,LEN(G$81)+2)=G$81&amp;" ·",ROW(分期持仓明细!$A$169),0)</f>
        <v>0</v>
      </c>
      <c r="N250">
        <f>IF(LEFT(分期持仓明细!$A$169,LEN(H$81)+2)=H$81&amp;" ·",ROW(分期持仓明细!$A$169),0)</f>
        <v>0</v>
      </c>
      <c r="O250">
        <f>IF(LEFT(分期持仓明细!$A$169,LEN(I$81)+2)=I$81&amp;" ·",ROW(分期持仓明细!$A$169),0)</f>
        <v>0</v>
      </c>
      <c r="P250">
        <f>IF(LEFT(分期持仓明细!$A$169,LEN(J$81)+2)=J$81&amp;" ·",ROW(分期持仓明细!$A$169),0)</f>
        <v>0</v>
      </c>
      <c r="Q250">
        <f>IF(LEFT(分期持仓明细!$A$169,LEN(K$81)+2)=K$81&amp;" ·",ROW(分期持仓明细!$A$169),0)</f>
        <v>0</v>
      </c>
      <c r="R250">
        <f>IF(LEFT(分期持仓明细!$A$169,LEN(L$81)+2)=L$81&amp;" ·",ROW(分期持仓明细!$A$169),0)</f>
        <v>0</v>
      </c>
    </row>
    <row r="251" spans="13:18">
      <c r="M251">
        <f>IF(LEFT(分期持仓明细!$A$170,LEN(G$81)+2)=G$81&amp;" ·",ROW(分期持仓明细!$A$170),0)</f>
        <v>0</v>
      </c>
      <c r="N251">
        <f>IF(LEFT(分期持仓明细!$A$170,LEN(H$81)+2)=H$81&amp;" ·",ROW(分期持仓明细!$A$170),0)</f>
        <v>0</v>
      </c>
      <c r="O251">
        <f>IF(LEFT(分期持仓明细!$A$170,LEN(I$81)+2)=I$81&amp;" ·",ROW(分期持仓明细!$A$170),0)</f>
        <v>0</v>
      </c>
      <c r="P251">
        <f>IF(LEFT(分期持仓明细!$A$170,LEN(J$81)+2)=J$81&amp;" ·",ROW(分期持仓明细!$A$170),0)</f>
        <v>0</v>
      </c>
      <c r="Q251">
        <f>IF(LEFT(分期持仓明细!$A$170,LEN(K$81)+2)=K$81&amp;" ·",ROW(分期持仓明细!$A$170),0)</f>
        <v>0</v>
      </c>
      <c r="R251">
        <f>IF(LEFT(分期持仓明细!$A$170,LEN(L$81)+2)=L$81&amp;" ·",ROW(分期持仓明细!$A$170),0)</f>
        <v>0</v>
      </c>
    </row>
    <row r="252" spans="13:18">
      <c r="M252">
        <f>IF(LEFT(分期持仓明细!$A$171,LEN(G$81)+2)=G$81&amp;" ·",ROW(分期持仓明细!$A$171),0)</f>
        <v>0</v>
      </c>
      <c r="N252">
        <f>IF(LEFT(分期持仓明细!$A$171,LEN(H$81)+2)=H$81&amp;" ·",ROW(分期持仓明细!$A$171),0)</f>
        <v>0</v>
      </c>
      <c r="O252">
        <f>IF(LEFT(分期持仓明细!$A$171,LEN(I$81)+2)=I$81&amp;" ·",ROW(分期持仓明细!$A$171),0)</f>
        <v>0</v>
      </c>
      <c r="P252">
        <f>IF(LEFT(分期持仓明细!$A$171,LEN(J$81)+2)=J$81&amp;" ·",ROW(分期持仓明细!$A$171),0)</f>
        <v>0</v>
      </c>
      <c r="Q252">
        <f>IF(LEFT(分期持仓明细!$A$171,LEN(K$81)+2)=K$81&amp;" ·",ROW(分期持仓明细!$A$171),0)</f>
        <v>0</v>
      </c>
      <c r="R252">
        <f>IF(LEFT(分期持仓明细!$A$171,LEN(L$81)+2)=L$81&amp;" ·",ROW(分期持仓明细!$A$171),0)</f>
        <v>0</v>
      </c>
    </row>
    <row r="253" spans="13:18">
      <c r="M253">
        <f>IF(LEFT(分期持仓明细!$A$172,LEN(G$81)+2)=G$81&amp;" ·",ROW(分期持仓明细!$A$172),0)</f>
        <v>0</v>
      </c>
      <c r="N253">
        <f>IF(LEFT(分期持仓明细!$A$172,LEN(H$81)+2)=H$81&amp;" ·",ROW(分期持仓明细!$A$172),0)</f>
        <v>0</v>
      </c>
      <c r="O253">
        <f>IF(LEFT(分期持仓明细!$A$172,LEN(I$81)+2)=I$81&amp;" ·",ROW(分期持仓明细!$A$172),0)</f>
        <v>0</v>
      </c>
      <c r="P253">
        <f>IF(LEFT(分期持仓明细!$A$172,LEN(J$81)+2)=J$81&amp;" ·",ROW(分期持仓明细!$A$172),0)</f>
        <v>0</v>
      </c>
      <c r="Q253">
        <f>IF(LEFT(分期持仓明细!$A$172,LEN(K$81)+2)=K$81&amp;" ·",ROW(分期持仓明细!$A$172),0)</f>
        <v>0</v>
      </c>
      <c r="R253">
        <f>IF(LEFT(分期持仓明细!$A$172,LEN(L$81)+2)=L$81&amp;" ·",ROW(分期持仓明细!$A$172),0)</f>
        <v>0</v>
      </c>
    </row>
    <row r="254" spans="13:18">
      <c r="M254">
        <f>IF(LEFT(分期持仓明细!$A$173,LEN(G$81)+2)=G$81&amp;" ·",ROW(分期持仓明细!$A$173),0)</f>
        <v>0</v>
      </c>
      <c r="N254">
        <f>IF(LEFT(分期持仓明细!$A$173,LEN(H$81)+2)=H$81&amp;" ·",ROW(分期持仓明细!$A$173),0)</f>
        <v>0</v>
      </c>
      <c r="O254">
        <f>IF(LEFT(分期持仓明细!$A$173,LEN(I$81)+2)=I$81&amp;" ·",ROW(分期持仓明细!$A$173),0)</f>
        <v>0</v>
      </c>
      <c r="P254">
        <f>IF(LEFT(分期持仓明细!$A$173,LEN(J$81)+2)=J$81&amp;" ·",ROW(分期持仓明细!$A$173),0)</f>
        <v>0</v>
      </c>
      <c r="Q254">
        <f>IF(LEFT(分期持仓明细!$A$173,LEN(K$81)+2)=K$81&amp;" ·",ROW(分期持仓明细!$A$173),0)</f>
        <v>0</v>
      </c>
      <c r="R254">
        <f>IF(LEFT(分期持仓明细!$A$173,LEN(L$81)+2)=L$81&amp;" ·",ROW(分期持仓明细!$A$173),0)</f>
        <v>0</v>
      </c>
    </row>
    <row r="255" spans="13:18">
      <c r="M255">
        <f>IF(LEFT(分期持仓明细!$A$174,LEN(G$81)+2)=G$81&amp;" ·",ROW(分期持仓明细!$A$174),0)</f>
        <v>0</v>
      </c>
      <c r="N255">
        <f>IF(LEFT(分期持仓明细!$A$174,LEN(H$81)+2)=H$81&amp;" ·",ROW(分期持仓明细!$A$174),0)</f>
        <v>0</v>
      </c>
      <c r="O255">
        <f>IF(LEFT(分期持仓明细!$A$174,LEN(I$81)+2)=I$81&amp;" ·",ROW(分期持仓明细!$A$174),0)</f>
        <v>0</v>
      </c>
      <c r="P255">
        <f>IF(LEFT(分期持仓明细!$A$174,LEN(J$81)+2)=J$81&amp;" ·",ROW(分期持仓明细!$A$174),0)</f>
        <v>0</v>
      </c>
      <c r="Q255">
        <f>IF(LEFT(分期持仓明细!$A$174,LEN(K$81)+2)=K$81&amp;" ·",ROW(分期持仓明细!$A$174),0)</f>
        <v>0</v>
      </c>
      <c r="R255">
        <f>IF(LEFT(分期持仓明细!$A$174,LEN(L$81)+2)=L$81&amp;" ·",ROW(分期持仓明细!$A$174),0)</f>
        <v>0</v>
      </c>
    </row>
    <row r="256" spans="13:18">
      <c r="M256">
        <f>IF(LEFT(分期持仓明细!$A$175,LEN(G$81)+2)=G$81&amp;" ·",ROW(分期持仓明细!$A$175),0)</f>
        <v>0</v>
      </c>
      <c r="N256">
        <f>IF(LEFT(分期持仓明细!$A$175,LEN(H$81)+2)=H$81&amp;" ·",ROW(分期持仓明细!$A$175),0)</f>
        <v>0</v>
      </c>
      <c r="O256">
        <f>IF(LEFT(分期持仓明细!$A$175,LEN(I$81)+2)=I$81&amp;" ·",ROW(分期持仓明细!$A$175),0)</f>
        <v>0</v>
      </c>
      <c r="P256">
        <f>IF(LEFT(分期持仓明细!$A$175,LEN(J$81)+2)=J$81&amp;" ·",ROW(分期持仓明细!$A$175),0)</f>
        <v>0</v>
      </c>
      <c r="Q256">
        <f>IF(LEFT(分期持仓明细!$A$175,LEN(K$81)+2)=K$81&amp;" ·",ROW(分期持仓明细!$A$175),0)</f>
        <v>0</v>
      </c>
      <c r="R256">
        <f>IF(LEFT(分期持仓明细!$A$175,LEN(L$81)+2)=L$81&amp;" ·",ROW(分期持仓明细!$A$175),0)</f>
        <v>0</v>
      </c>
    </row>
    <row r="257" spans="13:18">
      <c r="M257">
        <f>IF(LEFT(分期持仓明细!$A$176,LEN(G$81)+2)=G$81&amp;" ·",ROW(分期持仓明细!$A$176),0)</f>
        <v>0</v>
      </c>
      <c r="N257">
        <f>IF(LEFT(分期持仓明细!$A$176,LEN(H$81)+2)=H$81&amp;" ·",ROW(分期持仓明细!$A$176),0)</f>
        <v>0</v>
      </c>
      <c r="O257">
        <f>IF(LEFT(分期持仓明细!$A$176,LEN(I$81)+2)=I$81&amp;" ·",ROW(分期持仓明细!$A$176),0)</f>
        <v>0</v>
      </c>
      <c r="P257">
        <f>IF(LEFT(分期持仓明细!$A$176,LEN(J$81)+2)=J$81&amp;" ·",ROW(分期持仓明细!$A$176),0)</f>
        <v>0</v>
      </c>
      <c r="Q257">
        <f>IF(LEFT(分期持仓明细!$A$176,LEN(K$81)+2)=K$81&amp;" ·",ROW(分期持仓明细!$A$176),0)</f>
        <v>0</v>
      </c>
      <c r="R257">
        <f>IF(LEFT(分期持仓明细!$A$176,LEN(L$81)+2)=L$81&amp;" ·",ROW(分期持仓明细!$A$176),0)</f>
        <v>0</v>
      </c>
    </row>
    <row r="258" spans="13:18">
      <c r="M258">
        <f>IF(LEFT(分期持仓明细!$A$177,LEN(G$81)+2)=G$81&amp;" ·",ROW(分期持仓明细!$A$177),0)</f>
        <v>0</v>
      </c>
      <c r="N258">
        <f>IF(LEFT(分期持仓明细!$A$177,LEN(H$81)+2)=H$81&amp;" ·",ROW(分期持仓明细!$A$177),0)</f>
        <v>0</v>
      </c>
      <c r="O258">
        <f>IF(LEFT(分期持仓明细!$A$177,LEN(I$81)+2)=I$81&amp;" ·",ROW(分期持仓明细!$A$177),0)</f>
        <v>0</v>
      </c>
      <c r="P258">
        <f>IF(LEFT(分期持仓明细!$A$177,LEN(J$81)+2)=J$81&amp;" ·",ROW(分期持仓明细!$A$177),0)</f>
        <v>0</v>
      </c>
      <c r="Q258">
        <f>IF(LEFT(分期持仓明细!$A$177,LEN(K$81)+2)=K$81&amp;" ·",ROW(分期持仓明细!$A$177),0)</f>
        <v>0</v>
      </c>
      <c r="R258">
        <f>IF(LEFT(分期持仓明细!$A$177,LEN(L$81)+2)=L$81&amp;" ·",ROW(分期持仓明细!$A$177),0)</f>
        <v>0</v>
      </c>
    </row>
    <row r="259" spans="13:18">
      <c r="M259">
        <f>IF(LEFT(分期持仓明细!$A$178,LEN(G$81)+2)=G$81&amp;" ·",ROW(分期持仓明细!$A$178),0)</f>
        <v>0</v>
      </c>
      <c r="N259">
        <f>IF(LEFT(分期持仓明细!$A$178,LEN(H$81)+2)=H$81&amp;" ·",ROW(分期持仓明细!$A$178),0)</f>
        <v>0</v>
      </c>
      <c r="O259">
        <f>IF(LEFT(分期持仓明细!$A$178,LEN(I$81)+2)=I$81&amp;" ·",ROW(分期持仓明细!$A$178),0)</f>
        <v>0</v>
      </c>
      <c r="P259">
        <f>IF(LEFT(分期持仓明细!$A$178,LEN(J$81)+2)=J$81&amp;" ·",ROW(分期持仓明细!$A$178),0)</f>
        <v>0</v>
      </c>
      <c r="Q259">
        <f>IF(LEFT(分期持仓明细!$A$178,LEN(K$81)+2)=K$81&amp;" ·",ROW(分期持仓明细!$A$178),0)</f>
        <v>0</v>
      </c>
      <c r="R259">
        <f>IF(LEFT(分期持仓明细!$A$178,LEN(L$81)+2)=L$81&amp;" ·",ROW(分期持仓明细!$A$178),0)</f>
        <v>0</v>
      </c>
    </row>
    <row r="260" spans="13:18">
      <c r="M260">
        <f>IF(LEFT(分期持仓明细!$A$179,LEN(G$81)+2)=G$81&amp;" ·",ROW(分期持仓明细!$A$179),0)</f>
        <v>0</v>
      </c>
      <c r="N260">
        <f>IF(LEFT(分期持仓明细!$A$179,LEN(H$81)+2)=H$81&amp;" ·",ROW(分期持仓明细!$A$179),0)</f>
        <v>0</v>
      </c>
      <c r="O260">
        <f>IF(LEFT(分期持仓明细!$A$179,LEN(I$81)+2)=I$81&amp;" ·",ROW(分期持仓明细!$A$179),0)</f>
        <v>0</v>
      </c>
      <c r="P260">
        <f>IF(LEFT(分期持仓明细!$A$179,LEN(J$81)+2)=J$81&amp;" ·",ROW(分期持仓明细!$A$179),0)</f>
        <v>0</v>
      </c>
      <c r="Q260">
        <f>IF(LEFT(分期持仓明细!$A$179,LEN(K$81)+2)=K$81&amp;" ·",ROW(分期持仓明细!$A$179),0)</f>
        <v>0</v>
      </c>
      <c r="R260">
        <f>IF(LEFT(分期持仓明细!$A$179,LEN(L$81)+2)=L$81&amp;" ·",ROW(分期持仓明细!$A$179),0)</f>
        <v>0</v>
      </c>
    </row>
    <row r="261" spans="13:18">
      <c r="M261">
        <f>IF(LEFT(分期持仓明细!$A$180,LEN(G$81)+2)=G$81&amp;" ·",ROW(分期持仓明细!$A$180),0)</f>
        <v>0</v>
      </c>
      <c r="N261">
        <f>IF(LEFT(分期持仓明细!$A$180,LEN(H$81)+2)=H$81&amp;" ·",ROW(分期持仓明细!$A$180),0)</f>
        <v>0</v>
      </c>
      <c r="O261">
        <f>IF(LEFT(分期持仓明细!$A$180,LEN(I$81)+2)=I$81&amp;" ·",ROW(分期持仓明细!$A$180),0)</f>
        <v>0</v>
      </c>
      <c r="P261">
        <f>IF(LEFT(分期持仓明细!$A$180,LEN(J$81)+2)=J$81&amp;" ·",ROW(分期持仓明细!$A$180),0)</f>
        <v>0</v>
      </c>
      <c r="Q261">
        <f>IF(LEFT(分期持仓明细!$A$180,LEN(K$81)+2)=K$81&amp;" ·",ROW(分期持仓明细!$A$180),0)</f>
        <v>0</v>
      </c>
      <c r="R261">
        <f>IF(LEFT(分期持仓明细!$A$180,LEN(L$81)+2)=L$81&amp;" ·",ROW(分期持仓明细!$A$180),0)</f>
        <v>0</v>
      </c>
    </row>
    <row r="262" spans="13:18">
      <c r="M262">
        <f>IF(LEFT(分期持仓明细!$A$181,LEN(G$81)+2)=G$81&amp;" ·",ROW(分期持仓明细!$A$181),0)</f>
        <v>0</v>
      </c>
      <c r="N262">
        <f>IF(LEFT(分期持仓明细!$A$181,LEN(H$81)+2)=H$81&amp;" ·",ROW(分期持仓明细!$A$181),0)</f>
        <v>0</v>
      </c>
      <c r="O262">
        <f>IF(LEFT(分期持仓明细!$A$181,LEN(I$81)+2)=I$81&amp;" ·",ROW(分期持仓明细!$A$181),0)</f>
        <v>0</v>
      </c>
      <c r="P262">
        <f>IF(LEFT(分期持仓明细!$A$181,LEN(J$81)+2)=J$81&amp;" ·",ROW(分期持仓明细!$A$181),0)</f>
        <v>0</v>
      </c>
      <c r="Q262">
        <f>IF(LEFT(分期持仓明细!$A$181,LEN(K$81)+2)=K$81&amp;" ·",ROW(分期持仓明细!$A$181),0)</f>
        <v>0</v>
      </c>
      <c r="R262">
        <f>IF(LEFT(分期持仓明细!$A$181,LEN(L$81)+2)=L$81&amp;" ·",ROW(分期持仓明细!$A$181),0)</f>
        <v>0</v>
      </c>
    </row>
    <row r="263" spans="13:18">
      <c r="M263">
        <f>IF(LEFT(分期持仓明细!$A$182,LEN(G$81)+2)=G$81&amp;" ·",ROW(分期持仓明细!$A$182),0)</f>
        <v>0</v>
      </c>
      <c r="N263">
        <f>IF(LEFT(分期持仓明细!$A$182,LEN(H$81)+2)=H$81&amp;" ·",ROW(分期持仓明细!$A$182),0)</f>
        <v>0</v>
      </c>
      <c r="O263">
        <f>IF(LEFT(分期持仓明细!$A$182,LEN(I$81)+2)=I$81&amp;" ·",ROW(分期持仓明细!$A$182),0)</f>
        <v>0</v>
      </c>
      <c r="P263">
        <f>IF(LEFT(分期持仓明细!$A$182,LEN(J$81)+2)=J$81&amp;" ·",ROW(分期持仓明细!$A$182),0)</f>
        <v>0</v>
      </c>
      <c r="Q263">
        <f>IF(LEFT(分期持仓明细!$A$182,LEN(K$81)+2)=K$81&amp;" ·",ROW(分期持仓明细!$A$182),0)</f>
        <v>0</v>
      </c>
      <c r="R263">
        <f>IF(LEFT(分期持仓明细!$A$182,LEN(L$81)+2)=L$81&amp;" ·",ROW(分期持仓明细!$A$182),0)</f>
        <v>0</v>
      </c>
    </row>
    <row r="264" spans="13:18">
      <c r="M264">
        <f>IF(LEFT(分期持仓明细!$A$183,LEN(G$81)+2)=G$81&amp;" ·",ROW(分期持仓明细!$A$183),0)</f>
        <v>0</v>
      </c>
      <c r="N264">
        <f>IF(LEFT(分期持仓明细!$A$183,LEN(H$81)+2)=H$81&amp;" ·",ROW(分期持仓明细!$A$183),0)</f>
        <v>0</v>
      </c>
      <c r="O264">
        <f>IF(LEFT(分期持仓明细!$A$183,LEN(I$81)+2)=I$81&amp;" ·",ROW(分期持仓明细!$A$183),0)</f>
        <v>0</v>
      </c>
      <c r="P264">
        <f>IF(LEFT(分期持仓明细!$A$183,LEN(J$81)+2)=J$81&amp;" ·",ROW(分期持仓明细!$A$183),0)</f>
        <v>0</v>
      </c>
      <c r="Q264">
        <f>IF(LEFT(分期持仓明细!$A$183,LEN(K$81)+2)=K$81&amp;" ·",ROW(分期持仓明细!$A$183),0)</f>
        <v>0</v>
      </c>
      <c r="R264">
        <f>IF(LEFT(分期持仓明细!$A$183,LEN(L$81)+2)=L$81&amp;" ·",ROW(分期持仓明细!$A$183),0)</f>
        <v>0</v>
      </c>
    </row>
    <row r="265" spans="13:18">
      <c r="M265">
        <f>IF(LEFT(分期持仓明细!$A$184,LEN(G$81)+2)=G$81&amp;" ·",ROW(分期持仓明细!$A$184),0)</f>
        <v>0</v>
      </c>
      <c r="N265">
        <f>IF(LEFT(分期持仓明细!$A$184,LEN(H$81)+2)=H$81&amp;" ·",ROW(分期持仓明细!$A$184),0)</f>
        <v>0</v>
      </c>
      <c r="O265">
        <f>IF(LEFT(分期持仓明细!$A$184,LEN(I$81)+2)=I$81&amp;" ·",ROW(分期持仓明细!$A$184),0)</f>
        <v>0</v>
      </c>
      <c r="P265">
        <f>IF(LEFT(分期持仓明细!$A$184,LEN(J$81)+2)=J$81&amp;" ·",ROW(分期持仓明细!$A$184),0)</f>
        <v>0</v>
      </c>
      <c r="Q265">
        <f>IF(LEFT(分期持仓明细!$A$184,LEN(K$81)+2)=K$81&amp;" ·",ROW(分期持仓明细!$A$184),0)</f>
        <v>0</v>
      </c>
      <c r="R265">
        <f>IF(LEFT(分期持仓明细!$A$184,LEN(L$81)+2)=L$81&amp;" ·",ROW(分期持仓明细!$A$184),0)</f>
        <v>0</v>
      </c>
    </row>
    <row r="266" spans="13:18">
      <c r="M266">
        <f>IF(LEFT(分期持仓明细!$A$185,LEN(G$81)+2)=G$81&amp;" ·",ROW(分期持仓明细!$A$185),0)</f>
        <v>0</v>
      </c>
      <c r="N266">
        <f>IF(LEFT(分期持仓明细!$A$185,LEN(H$81)+2)=H$81&amp;" ·",ROW(分期持仓明细!$A$185),0)</f>
        <v>0</v>
      </c>
      <c r="O266">
        <f>IF(LEFT(分期持仓明细!$A$185,LEN(I$81)+2)=I$81&amp;" ·",ROW(分期持仓明细!$A$185),0)</f>
        <v>0</v>
      </c>
      <c r="P266">
        <f>IF(LEFT(分期持仓明细!$A$185,LEN(J$81)+2)=J$81&amp;" ·",ROW(分期持仓明细!$A$185),0)</f>
        <v>0</v>
      </c>
      <c r="Q266">
        <f>IF(LEFT(分期持仓明细!$A$185,LEN(K$81)+2)=K$81&amp;" ·",ROW(分期持仓明细!$A$185),0)</f>
        <v>0</v>
      </c>
      <c r="R266">
        <f>IF(LEFT(分期持仓明细!$A$185,LEN(L$81)+2)=L$81&amp;" ·",ROW(分期持仓明细!$A$185),0)</f>
        <v>0</v>
      </c>
    </row>
    <row r="267" spans="13:18">
      <c r="M267">
        <f>IF(LEFT(分期持仓明细!$A$186,LEN(G$81)+2)=G$81&amp;" ·",ROW(分期持仓明细!$A$186),0)</f>
        <v>0</v>
      </c>
      <c r="N267">
        <f>IF(LEFT(分期持仓明细!$A$186,LEN(H$81)+2)=H$81&amp;" ·",ROW(分期持仓明细!$A$186),0)</f>
        <v>0</v>
      </c>
      <c r="O267">
        <f>IF(LEFT(分期持仓明细!$A$186,LEN(I$81)+2)=I$81&amp;" ·",ROW(分期持仓明细!$A$186),0)</f>
        <v>0</v>
      </c>
      <c r="P267">
        <f>IF(LEFT(分期持仓明细!$A$186,LEN(J$81)+2)=J$81&amp;" ·",ROW(分期持仓明细!$A$186),0)</f>
        <v>0</v>
      </c>
      <c r="Q267">
        <f>IF(LEFT(分期持仓明细!$A$186,LEN(K$81)+2)=K$81&amp;" ·",ROW(分期持仓明细!$A$186),0)</f>
        <v>0</v>
      </c>
      <c r="R267">
        <f>IF(LEFT(分期持仓明细!$A$186,LEN(L$81)+2)=L$81&amp;" ·",ROW(分期持仓明细!$A$186),0)</f>
        <v>0</v>
      </c>
    </row>
    <row r="268" spans="13:18">
      <c r="M268">
        <f>IF(LEFT(分期持仓明细!$A$187,LEN(G$81)+2)=G$81&amp;" ·",ROW(分期持仓明细!$A$187),0)</f>
        <v>0</v>
      </c>
      <c r="N268">
        <f>IF(LEFT(分期持仓明细!$A$187,LEN(H$81)+2)=H$81&amp;" ·",ROW(分期持仓明细!$A$187),0)</f>
        <v>0</v>
      </c>
      <c r="O268">
        <f>IF(LEFT(分期持仓明细!$A$187,LEN(I$81)+2)=I$81&amp;" ·",ROW(分期持仓明细!$A$187),0)</f>
        <v>0</v>
      </c>
      <c r="P268">
        <f>IF(LEFT(分期持仓明细!$A$187,LEN(J$81)+2)=J$81&amp;" ·",ROW(分期持仓明细!$A$187),0)</f>
        <v>0</v>
      </c>
      <c r="Q268">
        <f>IF(LEFT(分期持仓明细!$A$187,LEN(K$81)+2)=K$81&amp;" ·",ROW(分期持仓明细!$A$187),0)</f>
        <v>0</v>
      </c>
      <c r="R268">
        <f>IF(LEFT(分期持仓明细!$A$187,LEN(L$81)+2)=L$81&amp;" ·",ROW(分期持仓明细!$A$187),0)</f>
        <v>0</v>
      </c>
    </row>
    <row r="269" spans="13:18">
      <c r="M269">
        <f>IF(LEFT(分期持仓明细!$A$188,LEN(G$81)+2)=G$81&amp;" ·",ROW(分期持仓明细!$A$188),0)</f>
        <v>0</v>
      </c>
      <c r="N269">
        <f>IF(LEFT(分期持仓明细!$A$188,LEN(H$81)+2)=H$81&amp;" ·",ROW(分期持仓明细!$A$188),0)</f>
        <v>0</v>
      </c>
      <c r="O269">
        <f>IF(LEFT(分期持仓明细!$A$188,LEN(I$81)+2)=I$81&amp;" ·",ROW(分期持仓明细!$A$188),0)</f>
        <v>0</v>
      </c>
      <c r="P269">
        <f>IF(LEFT(分期持仓明细!$A$188,LEN(J$81)+2)=J$81&amp;" ·",ROW(分期持仓明细!$A$188),0)</f>
        <v>0</v>
      </c>
      <c r="Q269">
        <f>IF(LEFT(分期持仓明细!$A$188,LEN(K$81)+2)=K$81&amp;" ·",ROW(分期持仓明细!$A$188),0)</f>
        <v>0</v>
      </c>
      <c r="R269">
        <f>IF(LEFT(分期持仓明细!$A$188,LEN(L$81)+2)=L$81&amp;" ·",ROW(分期持仓明细!$A$188),0)</f>
        <v>0</v>
      </c>
    </row>
    <row r="270" spans="13:18">
      <c r="M270">
        <f>IF(LEFT(分期持仓明细!$A$189,LEN(G$81)+2)=G$81&amp;" ·",ROW(分期持仓明细!$A$189),0)</f>
        <v>0</v>
      </c>
      <c r="N270">
        <f>IF(LEFT(分期持仓明细!$A$189,LEN(H$81)+2)=H$81&amp;" ·",ROW(分期持仓明细!$A$189),0)</f>
        <v>0</v>
      </c>
      <c r="O270">
        <f>IF(LEFT(分期持仓明细!$A$189,LEN(I$81)+2)=I$81&amp;" ·",ROW(分期持仓明细!$A$189),0)</f>
        <v>0</v>
      </c>
      <c r="P270">
        <f>IF(LEFT(分期持仓明细!$A$189,LEN(J$81)+2)=J$81&amp;" ·",ROW(分期持仓明细!$A$189),0)</f>
        <v>0</v>
      </c>
      <c r="Q270">
        <f>IF(LEFT(分期持仓明细!$A$189,LEN(K$81)+2)=K$81&amp;" ·",ROW(分期持仓明细!$A$189),0)</f>
        <v>0</v>
      </c>
      <c r="R270">
        <f>IF(LEFT(分期持仓明细!$A$189,LEN(L$81)+2)=L$81&amp;" ·",ROW(分期持仓明细!$A$189),0)</f>
        <v>0</v>
      </c>
    </row>
    <row r="271" spans="13:18">
      <c r="M271">
        <f>IF(LEFT(分期持仓明细!$A$190,LEN(G$81)+2)=G$81&amp;" ·",ROW(分期持仓明细!$A$190),0)</f>
        <v>0</v>
      </c>
      <c r="N271">
        <f>IF(LEFT(分期持仓明细!$A$190,LEN(H$81)+2)=H$81&amp;" ·",ROW(分期持仓明细!$A$190),0)</f>
        <v>0</v>
      </c>
      <c r="O271">
        <f>IF(LEFT(分期持仓明细!$A$190,LEN(I$81)+2)=I$81&amp;" ·",ROW(分期持仓明细!$A$190),0)</f>
        <v>0</v>
      </c>
      <c r="P271">
        <f>IF(LEFT(分期持仓明细!$A$190,LEN(J$81)+2)=J$81&amp;" ·",ROW(分期持仓明细!$A$190),0)</f>
        <v>0</v>
      </c>
      <c r="Q271">
        <f>IF(LEFT(分期持仓明细!$A$190,LEN(K$81)+2)=K$81&amp;" ·",ROW(分期持仓明细!$A$190),0)</f>
        <v>0</v>
      </c>
      <c r="R271">
        <f>IF(LEFT(分期持仓明细!$A$190,LEN(L$81)+2)=L$81&amp;" ·",ROW(分期持仓明细!$A$190),0)</f>
        <v>0</v>
      </c>
    </row>
    <row r="272" spans="13:18">
      <c r="M272">
        <f>IF(LEFT(分期持仓明细!$A$191,LEN(G$81)+2)=G$81&amp;" ·",ROW(分期持仓明细!$A$191),0)</f>
        <v>0</v>
      </c>
      <c r="N272">
        <f>IF(LEFT(分期持仓明细!$A$191,LEN(H$81)+2)=H$81&amp;" ·",ROW(分期持仓明细!$A$191),0)</f>
        <v>0</v>
      </c>
      <c r="O272">
        <f>IF(LEFT(分期持仓明细!$A$191,LEN(I$81)+2)=I$81&amp;" ·",ROW(分期持仓明细!$A$191),0)</f>
        <v>0</v>
      </c>
      <c r="P272">
        <f>IF(LEFT(分期持仓明细!$A$191,LEN(J$81)+2)=J$81&amp;" ·",ROW(分期持仓明细!$A$191),0)</f>
        <v>0</v>
      </c>
      <c r="Q272">
        <f>IF(LEFT(分期持仓明细!$A$191,LEN(K$81)+2)=K$81&amp;" ·",ROW(分期持仓明细!$A$191),0)</f>
        <v>0</v>
      </c>
      <c r="R272">
        <f>IF(LEFT(分期持仓明细!$A$191,LEN(L$81)+2)=L$81&amp;" ·",ROW(分期持仓明细!$A$191),0)</f>
        <v>0</v>
      </c>
    </row>
    <row r="273" spans="13:18">
      <c r="M273">
        <f>IF(LEFT(分期持仓明细!$A$192,LEN(G$81)+2)=G$81&amp;" ·",ROW(分期持仓明细!$A$192),0)</f>
        <v>0</v>
      </c>
      <c r="N273">
        <f>IF(LEFT(分期持仓明细!$A$192,LEN(H$81)+2)=H$81&amp;" ·",ROW(分期持仓明细!$A$192),0)</f>
        <v>0</v>
      </c>
      <c r="O273">
        <f>IF(LEFT(分期持仓明细!$A$192,LEN(I$81)+2)=I$81&amp;" ·",ROW(分期持仓明细!$A$192),0)</f>
        <v>0</v>
      </c>
      <c r="P273">
        <f>IF(LEFT(分期持仓明细!$A$192,LEN(J$81)+2)=J$81&amp;" ·",ROW(分期持仓明细!$A$192),0)</f>
        <v>0</v>
      </c>
      <c r="Q273">
        <f>IF(LEFT(分期持仓明细!$A$192,LEN(K$81)+2)=K$81&amp;" ·",ROW(分期持仓明细!$A$192),0)</f>
        <v>0</v>
      </c>
      <c r="R273">
        <f>IF(LEFT(分期持仓明细!$A$192,LEN(L$81)+2)=L$81&amp;" ·",ROW(分期持仓明细!$A$192),0)</f>
        <v>0</v>
      </c>
    </row>
    <row r="274" spans="13:18">
      <c r="M274">
        <f>IF(LEFT(分期持仓明细!$A$193,LEN(G$81)+2)=G$81&amp;" ·",ROW(分期持仓明细!$A$193),0)</f>
        <v>0</v>
      </c>
      <c r="N274">
        <f>IF(LEFT(分期持仓明细!$A$193,LEN(H$81)+2)=H$81&amp;" ·",ROW(分期持仓明细!$A$193),0)</f>
        <v>0</v>
      </c>
      <c r="O274">
        <f>IF(LEFT(分期持仓明细!$A$193,LEN(I$81)+2)=I$81&amp;" ·",ROW(分期持仓明细!$A$193),0)</f>
        <v>0</v>
      </c>
      <c r="P274">
        <f>IF(LEFT(分期持仓明细!$A$193,LEN(J$81)+2)=J$81&amp;" ·",ROW(分期持仓明细!$A$193),0)</f>
        <v>0</v>
      </c>
      <c r="Q274">
        <f>IF(LEFT(分期持仓明细!$A$193,LEN(K$81)+2)=K$81&amp;" ·",ROW(分期持仓明细!$A$193),0)</f>
        <v>0</v>
      </c>
      <c r="R274">
        <f>IF(LEFT(分期持仓明细!$A$193,LEN(L$81)+2)=L$81&amp;" ·",ROW(分期持仓明细!$A$193),0)</f>
        <v>0</v>
      </c>
    </row>
    <row r="275" spans="13:18">
      <c r="M275">
        <f>IF(LEFT(分期持仓明细!$A$194,LEN(G$81)+2)=G$81&amp;" ·",ROW(分期持仓明细!$A$194),0)</f>
        <v>0</v>
      </c>
      <c r="N275">
        <f>IF(LEFT(分期持仓明细!$A$194,LEN(H$81)+2)=H$81&amp;" ·",ROW(分期持仓明细!$A$194),0)</f>
        <v>0</v>
      </c>
      <c r="O275">
        <f>IF(LEFT(分期持仓明细!$A$194,LEN(I$81)+2)=I$81&amp;" ·",ROW(分期持仓明细!$A$194),0)</f>
        <v>0</v>
      </c>
      <c r="P275">
        <f>IF(LEFT(分期持仓明细!$A$194,LEN(J$81)+2)=J$81&amp;" ·",ROW(分期持仓明细!$A$194),0)</f>
        <v>0</v>
      </c>
      <c r="Q275">
        <f>IF(LEFT(分期持仓明细!$A$194,LEN(K$81)+2)=K$81&amp;" ·",ROW(分期持仓明细!$A$194),0)</f>
        <v>0</v>
      </c>
      <c r="R275">
        <f>IF(LEFT(分期持仓明细!$A$194,LEN(L$81)+2)=L$81&amp;" ·",ROW(分期持仓明细!$A$194),0)</f>
        <v>0</v>
      </c>
    </row>
    <row r="276" spans="13:18">
      <c r="M276">
        <f>IF(LEFT(分期持仓明细!$A$195,LEN(G$81)+2)=G$81&amp;" ·",ROW(分期持仓明细!$A$195),0)</f>
        <v>0</v>
      </c>
      <c r="N276">
        <f>IF(LEFT(分期持仓明细!$A$195,LEN(H$81)+2)=H$81&amp;" ·",ROW(分期持仓明细!$A$195),0)</f>
        <v>0</v>
      </c>
      <c r="O276">
        <f>IF(LEFT(分期持仓明细!$A$195,LEN(I$81)+2)=I$81&amp;" ·",ROW(分期持仓明细!$A$195),0)</f>
        <v>0</v>
      </c>
      <c r="P276">
        <f>IF(LEFT(分期持仓明细!$A$195,LEN(J$81)+2)=J$81&amp;" ·",ROW(分期持仓明细!$A$195),0)</f>
        <v>0</v>
      </c>
      <c r="Q276">
        <f>IF(LEFT(分期持仓明细!$A$195,LEN(K$81)+2)=K$81&amp;" ·",ROW(分期持仓明细!$A$195),0)</f>
        <v>0</v>
      </c>
      <c r="R276">
        <f>IF(LEFT(分期持仓明细!$A$195,LEN(L$81)+2)=L$81&amp;" ·",ROW(分期持仓明细!$A$195),0)</f>
        <v>0</v>
      </c>
    </row>
    <row r="277" spans="13:18">
      <c r="M277">
        <f>IF(LEFT(分期持仓明细!$A$196,LEN(G$81)+2)=G$81&amp;" ·",ROW(分期持仓明细!$A$196),0)</f>
        <v>0</v>
      </c>
      <c r="N277">
        <f>IF(LEFT(分期持仓明细!$A$196,LEN(H$81)+2)=H$81&amp;" ·",ROW(分期持仓明细!$A$196),0)</f>
        <v>0</v>
      </c>
      <c r="O277">
        <f>IF(LEFT(分期持仓明细!$A$196,LEN(I$81)+2)=I$81&amp;" ·",ROW(分期持仓明细!$A$196),0)</f>
        <v>0</v>
      </c>
      <c r="P277">
        <f>IF(LEFT(分期持仓明细!$A$196,LEN(J$81)+2)=J$81&amp;" ·",ROW(分期持仓明细!$A$196),0)</f>
        <v>0</v>
      </c>
      <c r="Q277">
        <f>IF(LEFT(分期持仓明细!$A$196,LEN(K$81)+2)=K$81&amp;" ·",ROW(分期持仓明细!$A$196),0)</f>
        <v>0</v>
      </c>
      <c r="R277">
        <f>IF(LEFT(分期持仓明细!$A$196,LEN(L$81)+2)=L$81&amp;" ·",ROW(分期持仓明细!$A$196),0)</f>
        <v>0</v>
      </c>
    </row>
    <row r="278" spans="13:18">
      <c r="M278">
        <f>IF(LEFT(分期持仓明细!$A$197,LEN(G$81)+2)=G$81&amp;" ·",ROW(分期持仓明细!$A$197),0)</f>
        <v>0</v>
      </c>
      <c r="N278">
        <f>IF(LEFT(分期持仓明细!$A$197,LEN(H$81)+2)=H$81&amp;" ·",ROW(分期持仓明细!$A$197),0)</f>
        <v>0</v>
      </c>
      <c r="O278">
        <f>IF(LEFT(分期持仓明细!$A$197,LEN(I$81)+2)=I$81&amp;" ·",ROW(分期持仓明细!$A$197),0)</f>
        <v>0</v>
      </c>
      <c r="P278">
        <f>IF(LEFT(分期持仓明细!$A$197,LEN(J$81)+2)=J$81&amp;" ·",ROW(分期持仓明细!$A$197),0)</f>
        <v>0</v>
      </c>
      <c r="Q278">
        <f>IF(LEFT(分期持仓明细!$A$197,LEN(K$81)+2)=K$81&amp;" ·",ROW(分期持仓明细!$A$197),0)</f>
        <v>0</v>
      </c>
      <c r="R278">
        <f>IF(LEFT(分期持仓明细!$A$197,LEN(L$81)+2)=L$81&amp;" ·",ROW(分期持仓明细!$A$197),0)</f>
        <v>0</v>
      </c>
    </row>
    <row r="279" spans="13:18">
      <c r="M279">
        <f>IF(LEFT(分期持仓明细!$A$198,LEN(G$81)+2)=G$81&amp;" ·",ROW(分期持仓明细!$A$198),0)</f>
        <v>0</v>
      </c>
      <c r="N279">
        <f>IF(LEFT(分期持仓明细!$A$198,LEN(H$81)+2)=H$81&amp;" ·",ROW(分期持仓明细!$A$198),0)</f>
        <v>0</v>
      </c>
      <c r="O279">
        <f>IF(LEFT(分期持仓明细!$A$198,LEN(I$81)+2)=I$81&amp;" ·",ROW(分期持仓明细!$A$198),0)</f>
        <v>0</v>
      </c>
      <c r="P279">
        <f>IF(LEFT(分期持仓明细!$A$198,LEN(J$81)+2)=J$81&amp;" ·",ROW(分期持仓明细!$A$198),0)</f>
        <v>0</v>
      </c>
      <c r="Q279">
        <f>IF(LEFT(分期持仓明细!$A$198,LEN(K$81)+2)=K$81&amp;" ·",ROW(分期持仓明细!$A$198),0)</f>
        <v>0</v>
      </c>
      <c r="R279">
        <f>IF(LEFT(分期持仓明细!$A$198,LEN(L$81)+2)=L$81&amp;" ·",ROW(分期持仓明细!$A$198),0)</f>
        <v>0</v>
      </c>
    </row>
    <row r="280" spans="13:18">
      <c r="M280">
        <f>IF(LEFT(分期持仓明细!$A$199,LEN(G$81)+2)=G$81&amp;" ·",ROW(分期持仓明细!$A$199),0)</f>
        <v>0</v>
      </c>
      <c r="N280">
        <f>IF(LEFT(分期持仓明细!$A$199,LEN(H$81)+2)=H$81&amp;" ·",ROW(分期持仓明细!$A$199),0)</f>
        <v>0</v>
      </c>
      <c r="O280">
        <f>IF(LEFT(分期持仓明细!$A$199,LEN(I$81)+2)=I$81&amp;" ·",ROW(分期持仓明细!$A$199),0)</f>
        <v>0</v>
      </c>
      <c r="P280">
        <f>IF(LEFT(分期持仓明细!$A$199,LEN(J$81)+2)=J$81&amp;" ·",ROW(分期持仓明细!$A$199),0)</f>
        <v>0</v>
      </c>
      <c r="Q280">
        <f>IF(LEFT(分期持仓明细!$A$199,LEN(K$81)+2)=K$81&amp;" ·",ROW(分期持仓明细!$A$199),0)</f>
        <v>0</v>
      </c>
      <c r="R280">
        <f>IF(LEFT(分期持仓明细!$A$199,LEN(L$81)+2)=L$81&amp;" ·",ROW(分期持仓明细!$A$199),0)</f>
        <v>0</v>
      </c>
    </row>
    <row r="281" spans="13:18">
      <c r="M281">
        <f>IF(LEFT(分期持仓明细!$A$200,LEN(G$81)+2)=G$81&amp;" ·",ROW(分期持仓明细!$A$200),0)</f>
        <v>0</v>
      </c>
      <c r="N281">
        <f>IF(LEFT(分期持仓明细!$A$200,LEN(H$81)+2)=H$81&amp;" ·",ROW(分期持仓明细!$A$200),0)</f>
        <v>0</v>
      </c>
      <c r="O281">
        <f>IF(LEFT(分期持仓明细!$A$200,LEN(I$81)+2)=I$81&amp;" ·",ROW(分期持仓明细!$A$200),0)</f>
        <v>0</v>
      </c>
      <c r="P281">
        <f>IF(LEFT(分期持仓明细!$A$200,LEN(J$81)+2)=J$81&amp;" ·",ROW(分期持仓明细!$A$200),0)</f>
        <v>0</v>
      </c>
      <c r="Q281">
        <f>IF(LEFT(分期持仓明细!$A$200,LEN(K$81)+2)=K$81&amp;" ·",ROW(分期持仓明细!$A$200),0)</f>
        <v>0</v>
      </c>
      <c r="R281">
        <f>IF(LEFT(分期持仓明细!$A$200,LEN(L$81)+2)=L$81&amp;" ·",ROW(分期持仓明细!$A$200),0)</f>
        <v>0</v>
      </c>
    </row>
  </sheetData>
  <mergeCells count="14">
    <mergeCell ref="A1:L1"/>
    <mergeCell ref="D2:H2"/>
    <mergeCell ref="A3:L3"/>
    <mergeCell ref="A5:E5"/>
    <mergeCell ref="A31:G31"/>
    <mergeCell ref="A50:L50"/>
    <mergeCell ref="A51:L51"/>
    <mergeCell ref="A80:L80"/>
    <mergeCell ref="A88:F88"/>
    <mergeCell ref="A33:F33"/>
    <mergeCell ref="A38:H38"/>
    <mergeCell ref="A40:C40"/>
    <mergeCell ref="A45:E45"/>
    <mergeCell ref="A47:H47"/>
  </mergeCells>
  <phoneticPr fontId="35" type="noConversion"/>
  <conditionalFormatting sqref="A7:G30">
    <cfRule type="expression" dxfId="54" priority="1">
      <formula>AND($D7="主动",$E7&gt;$L$2)</formula>
    </cfRule>
  </conditionalFormatting>
  <conditionalFormatting sqref="D35:D37">
    <cfRule type="expression" dxfId="53" priority="3">
      <formula>ABS(D35)&gt;$J$2</formula>
    </cfRule>
  </conditionalFormatting>
  <conditionalFormatting sqref="F7:F30">
    <cfRule type="containsText" dxfId="52" priority="2" operator="containsText" text="正常"/>
  </conditionalFormatting>
  <conditionalFormatting sqref="G35:G37">
    <cfRule type="expression" dxfId="51" priority="4">
      <formula>ABS(G35)&gt;$J$2</formula>
    </cfRule>
  </conditionalFormatting>
  <dataValidations count="3">
    <dataValidation type="list" sqref="C53:C78">
      <formula1>"增值,生息"</formula1>
    </dataValidation>
    <dataValidation type="list" sqref="D53:D78">
      <formula1>"产业趋势,指增,-"</formula1>
    </dataValidation>
    <dataValidation type="list" sqref="E53:E78">
      <formula1>"主动,指数,指增,货币,债券,保障"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I52"/>
  <sheetViews>
    <sheetView topLeftCell="A19" workbookViewId="0">
      <selection activeCell="G22" sqref="G22"/>
    </sheetView>
  </sheetViews>
  <sheetFormatPr defaultRowHeight="12.5"/>
  <cols>
    <col min="1" max="1" width="8" customWidth="1"/>
    <col min="2" max="2" width="16" customWidth="1"/>
    <col min="3" max="3" width="25.36328125" customWidth="1"/>
    <col min="4" max="5" width="12.54296875" style="85" customWidth="1"/>
    <col min="6" max="6" width="12" customWidth="1"/>
    <col min="7" max="7" width="15.26953125" customWidth="1"/>
    <col min="8" max="8" width="12.54296875" customWidth="1"/>
    <col min="9" max="9" width="21.1796875" customWidth="1"/>
  </cols>
  <sheetData>
    <row r="1" spans="1:9">
      <c r="E1" s="83">
        <f>VLOOKUP(E3,实盘组合预估净值!$A:$P,14)</f>
        <v>0.99372212189107401</v>
      </c>
      <c r="F1" s="83">
        <f>VLOOKUP(F3,实盘组合预估净值!$A:$P,14)</f>
        <v>1</v>
      </c>
      <c r="G1" s="83">
        <f>VLOOKUP(G3,实盘组合预估净值!$A:$P,14)</f>
        <v>1</v>
      </c>
      <c r="H1" s="83">
        <f>VLOOKUP(H3,实盘组合预估净值!$A:$P,14)</f>
        <v>0.97719837247619623</v>
      </c>
    </row>
    <row r="2" spans="1:9">
      <c r="E2" s="83">
        <f>VLOOKUP(E5,实盘组合预估净值!$A:$P,14)</f>
        <v>0.99508534181085639</v>
      </c>
      <c r="F2" s="83">
        <f ca="1">VLOOKUP(F5,实盘组合预估净值!$A:$P,14)</f>
        <v>0.99285115141066649</v>
      </c>
      <c r="G2" s="83">
        <f>VLOOKUP(G5,实盘组合预估净值!$A:$P,14)</f>
        <v>0.97390321005734459</v>
      </c>
      <c r="H2" s="83">
        <f ca="1">VLOOKUP(H5,实盘组合预估净值!$A:$P,14)</f>
        <v>0.99285115141066649</v>
      </c>
    </row>
    <row r="3" spans="1:9">
      <c r="E3" s="114">
        <f>E5-7</f>
        <v>46248</v>
      </c>
      <c r="F3" s="81">
        <v>46191</v>
      </c>
      <c r="G3" s="81">
        <v>46191</v>
      </c>
      <c r="H3" s="81">
        <v>46234</v>
      </c>
    </row>
    <row r="4" spans="1:9">
      <c r="E4" s="114">
        <f>E5-5</f>
        <v>46250</v>
      </c>
      <c r="F4" s="81">
        <v>46195</v>
      </c>
      <c r="G4" s="81">
        <v>46195</v>
      </c>
      <c r="H4" s="81">
        <v>46237</v>
      </c>
    </row>
    <row r="5" spans="1:9">
      <c r="E5" s="115">
        <v>46255</v>
      </c>
      <c r="F5" s="113">
        <f ca="1">偏离度监控!B2</f>
        <v>46281</v>
      </c>
      <c r="G5" s="81">
        <v>46233</v>
      </c>
      <c r="H5" s="81">
        <f ca="1">F5</f>
        <v>46281</v>
      </c>
    </row>
    <row r="6" spans="1:9" ht="33.65" customHeight="1">
      <c r="A6" s="91"/>
      <c r="B6" s="91"/>
      <c r="C6" s="164" t="s">
        <v>334</v>
      </c>
      <c r="D6" s="164"/>
      <c r="E6" s="164"/>
      <c r="F6" s="164"/>
      <c r="G6" s="164"/>
      <c r="H6" s="164"/>
      <c r="I6" s="164"/>
    </row>
    <row r="7" spans="1:9" ht="33">
      <c r="A7" s="80" t="s">
        <v>278</v>
      </c>
      <c r="B7" s="80" t="s">
        <v>28</v>
      </c>
      <c r="C7" s="80" t="s">
        <v>279</v>
      </c>
      <c r="D7" s="80" t="s">
        <v>330</v>
      </c>
      <c r="E7" s="82" t="s">
        <v>339</v>
      </c>
      <c r="F7" s="82" t="s">
        <v>315</v>
      </c>
      <c r="G7" s="82" t="s">
        <v>335</v>
      </c>
      <c r="H7" s="82" t="s">
        <v>336</v>
      </c>
      <c r="I7" s="93" t="s">
        <v>331</v>
      </c>
    </row>
    <row r="8" spans="1:9" ht="16.5">
      <c r="A8" s="65" t="s">
        <v>202</v>
      </c>
      <c r="B8" s="66"/>
      <c r="C8" s="67" t="s">
        <v>337</v>
      </c>
      <c r="D8" s="86"/>
      <c r="E8" s="97">
        <f>E$2/E$1-1</f>
        <v>1.3718321145836931E-3</v>
      </c>
      <c r="F8" s="97">
        <f ca="1">F$2/F$1-1</f>
        <v>-7.1488485893335119E-3</v>
      </c>
      <c r="G8" s="97">
        <f>G$2/G$1-1</f>
        <v>-2.6096789942655407E-2</v>
      </c>
      <c r="H8" s="97">
        <f ca="1">H$2/H$1-1</f>
        <v>1.6018015763581861E-2</v>
      </c>
      <c r="I8" s="97">
        <f>'看板-10-90基石'!$F$7</f>
        <v>-2.8729069309879618E-2</v>
      </c>
    </row>
    <row r="9" spans="1:9" ht="16.5">
      <c r="A9" s="68">
        <v>1</v>
      </c>
      <c r="B9" s="69" t="s">
        <v>280</v>
      </c>
      <c r="C9" s="70" t="s">
        <v>305</v>
      </c>
      <c r="D9" s="87">
        <v>712</v>
      </c>
      <c r="E9" s="98">
        <f>[1]!thsiFinD("ths_adjustment_nvg_ratio_fund",$B9,E$4,E$5,101)/100</f>
        <v>-3.7683097239203998E-3</v>
      </c>
      <c r="F9" s="98">
        <f ca="1">[1]!thsiFinD("ths_adjustment_nvg_ratio_fund",$B9,F$4,F$5,101)/100</f>
        <v>-4.8934306571334997E-2</v>
      </c>
      <c r="G9" s="98">
        <f>[1]!thsiFinD("ths_adjustment_nvg_ratio_fund",$B9,G$4,G$5,101)/100</f>
        <v>-7.3401459857001999E-2</v>
      </c>
      <c r="H9" s="98">
        <f ca="1">[1]!thsiFinD("ths_adjustment_nvg_ratio_fund",$B9,H$4,H$5,101)/100</f>
        <v>1.6857089383376E-2</v>
      </c>
      <c r="I9" s="98">
        <f ca="1">-[1]!thsiFinD("ths_max_retrace_rate_all_fund",$B9,F$3,F$5)/100</f>
        <v>-7.8192169154790991E-2</v>
      </c>
    </row>
    <row r="10" spans="1:9" ht="16.5">
      <c r="A10" s="71">
        <v>2</v>
      </c>
      <c r="B10" s="72" t="s">
        <v>281</v>
      </c>
      <c r="C10" s="73" t="s">
        <v>306</v>
      </c>
      <c r="D10" s="88">
        <v>584</v>
      </c>
      <c r="E10" s="99">
        <f>[1]!thsiFinD("ths_adjustment_nvg_ratio_fund",$B10,E$4,E$5,101)/100</f>
        <v>4.9961394061405994E-4</v>
      </c>
      <c r="F10" s="99">
        <f ca="1">[1]!thsiFinD("ths_adjustment_nvg_ratio_fund",$B10,F$4,F$5,101)/100</f>
        <v>-2.8313971442841999E-2</v>
      </c>
      <c r="G10" s="99">
        <f>[1]!thsiFinD("ths_adjustment_nvg_ratio_fund",$B10,G$4,G$5,101)/100</f>
        <v>-5.1945757323097003E-2</v>
      </c>
      <c r="H10" s="99">
        <f ca="1">[1]!thsiFinD("ths_adjustment_nvg_ratio_fund",$B10,H$4,H$5,101)/100</f>
        <v>1.7719176512922E-2</v>
      </c>
      <c r="I10" s="99">
        <f ca="1">-[1]!thsiFinD("ths_max_retrace_rate_all_fund",$B10,F$3,F$5)/100</f>
        <v>-6.0905709922503999E-2</v>
      </c>
    </row>
    <row r="11" spans="1:9" ht="16.5">
      <c r="A11" s="68">
        <v>3</v>
      </c>
      <c r="B11" s="69" t="s">
        <v>282</v>
      </c>
      <c r="C11" s="70" t="s">
        <v>307</v>
      </c>
      <c r="D11" s="87">
        <v>576</v>
      </c>
      <c r="E11" s="98">
        <f>[1]!thsiFinD("ths_adjustment_nvg_ratio_fund",$B11,E$4,E$5,101)/100</f>
        <v>5.2714815037344001E-4</v>
      </c>
      <c r="F11" s="98">
        <f ca="1">[1]!thsiFinD("ths_adjustment_nvg_ratio_fund",$B11,F$4,F$5,101)/100</f>
        <v>-9.9632931045803997E-3</v>
      </c>
      <c r="G11" s="98">
        <f>[1]!thsiFinD("ths_adjustment_nvg_ratio_fund",$B11,G$4,G$5,101)/100</f>
        <v>-1.3633980067752001E-2</v>
      </c>
      <c r="H11" s="98">
        <f ca="1">[1]!thsiFinD("ths_adjustment_nvg_ratio_fund",$B11,H$4,H$5,101)/100</f>
        <v>2.1231422495914002E-3</v>
      </c>
      <c r="I11" s="98">
        <f ca="1">-[1]!thsiFinD("ths_max_retrace_rate_all_fund",$B11,F$3,F$5)/100</f>
        <v>-2.4530271409826998E-2</v>
      </c>
    </row>
    <row r="12" spans="1:9" ht="16.5">
      <c r="A12" s="71">
        <v>4</v>
      </c>
      <c r="B12" s="72" t="s">
        <v>283</v>
      </c>
      <c r="C12" s="73" t="s">
        <v>308</v>
      </c>
      <c r="D12" s="88">
        <v>393</v>
      </c>
      <c r="E12" s="99">
        <f>[1]!thsiFinD("ths_adjustment_nvg_ratio_fund",$B12,E$4,E$5,101)/100</f>
        <v>3.1128404289693999E-3</v>
      </c>
      <c r="F12" s="99">
        <f ca="1">[1]!thsiFinD("ths_adjustment_nvg_ratio_fund",$B12,F$4,F$5,101)/100</f>
        <v>2.0750199545974998E-2</v>
      </c>
      <c r="G12" s="99">
        <f>[1]!thsiFinD("ths_adjustment_nvg_ratio_fund",$B12,G$4,G$5,101)/100</f>
        <v>1.5961691953112998E-2</v>
      </c>
      <c r="H12" s="99">
        <f ca="1">[1]!thsiFinD("ths_adjustment_nvg_ratio_fund",$B12,H$4,H$5,101)/100</f>
        <v>2.3510971840681998E-3</v>
      </c>
      <c r="I12" s="99">
        <f ca="1">-[1]!thsiFinD("ths_max_retrace_rate_all_fund",$B12,F$3,F$5)/100</f>
        <v>-1.9857029388075001E-2</v>
      </c>
    </row>
    <row r="13" spans="1:9" ht="16.5">
      <c r="A13" s="68">
        <v>5</v>
      </c>
      <c r="B13" s="69" t="s">
        <v>284</v>
      </c>
      <c r="C13" s="70" t="s">
        <v>309</v>
      </c>
      <c r="D13" s="87">
        <v>391</v>
      </c>
      <c r="E13" s="98">
        <f>[1]!thsiFinD("ths_adjustment_nvg_ratio_fund",$B13,E$4,E$5,101)/100</f>
        <v>-3.4575260493082001E-3</v>
      </c>
      <c r="F13" s="98">
        <f ca="1">[1]!thsiFinD("ths_adjustment_nvg_ratio_fund",$B13,F$4,F$5,101)/100</f>
        <v>-2.1272865434053E-2</v>
      </c>
      <c r="G13" s="98">
        <f>[1]!thsiFinD("ths_adjustment_nvg_ratio_fund",$B13,G$4,G$5,101)/100</f>
        <v>-5.6454912032351999E-2</v>
      </c>
      <c r="H13" s="98">
        <f ca="1">[1]!thsiFinD("ths_adjustment_nvg_ratio_fund",$B13,H$4,H$5,101)/100</f>
        <v>2.7990915231616998E-2</v>
      </c>
      <c r="I13" s="98">
        <f ca="1">-[1]!thsiFinD("ths_max_retrace_rate_all_fund",$B13,F$3,F$5)/100</f>
        <v>-7.0577399089732998E-2</v>
      </c>
    </row>
    <row r="14" spans="1:9" ht="16.5">
      <c r="A14" s="71">
        <v>6</v>
      </c>
      <c r="B14" s="72" t="s">
        <v>285</v>
      </c>
      <c r="C14" s="73" t="s">
        <v>310</v>
      </c>
      <c r="D14" s="88">
        <v>365</v>
      </c>
      <c r="E14" s="99">
        <f>[1]!thsiFinD("ths_adjustment_nvg_ratio_fund",$B14,E$4,E$5,101)/100</f>
        <v>1.4783180026281002E-3</v>
      </c>
      <c r="F14" s="99">
        <f ca="1">[1]!thsiFinD("ths_adjustment_nvg_ratio_fund",$B14,F$4,F$5,101)/100</f>
        <v>-3.3877943296491998E-2</v>
      </c>
      <c r="G14" s="99">
        <f>[1]!thsiFinD("ths_adjustment_nvg_ratio_fund",$B14,G$4,G$5,101)/100</f>
        <v>-3.9484222329008001E-2</v>
      </c>
      <c r="H14" s="99">
        <f ca="1">[1]!thsiFinD("ths_adjustment_nvg_ratio_fund",$B14,H$4,H$5,101)/100</f>
        <v>4.9763622791734003E-4</v>
      </c>
      <c r="I14" s="99">
        <f ca="1">-[1]!thsiFinD("ths_max_retrace_rate_all_fund",$B14,F$3,F$5)/100</f>
        <v>-4.5758395670858001E-2</v>
      </c>
    </row>
    <row r="15" spans="1:9" ht="16.5">
      <c r="A15" s="68">
        <v>7</v>
      </c>
      <c r="B15" s="69" t="s">
        <v>286</v>
      </c>
      <c r="C15" s="70" t="s">
        <v>311</v>
      </c>
      <c r="D15" s="87">
        <v>361</v>
      </c>
      <c r="E15" s="98">
        <f>[1]!thsiFinD("ths_adjustment_nvg_ratio_fund",$B15,E$4,E$5,101)/100</f>
        <v>-1.0653753026634001E-2</v>
      </c>
      <c r="F15" s="98">
        <f ca="1">[1]!thsiFinD("ths_adjustment_nvg_ratio_fund",$B15,F$4,F$5,101)/100</f>
        <v>-6.3291139240505999E-3</v>
      </c>
      <c r="G15" s="98">
        <f>[1]!thsiFinD("ths_adjustment_nvg_ratio_fund",$B15,G$4,G$5,101)/100</f>
        <v>-2.8724440116844999E-2</v>
      </c>
      <c r="H15" s="98">
        <f ca="1">[1]!thsiFinD("ths_adjustment_nvg_ratio_fund",$B15,H$4,H$5,101)/100</f>
        <v>1.4413518886679999E-2</v>
      </c>
      <c r="I15" s="98">
        <f ca="1">-[1]!thsiFinD("ths_max_retrace_rate_all_fund",$B15,F$3,F$5)/100</f>
        <v>-5.2405907575036006E-2</v>
      </c>
    </row>
    <row r="16" spans="1:9" ht="16.5">
      <c r="A16" s="71">
        <v>8</v>
      </c>
      <c r="B16" s="72" t="s">
        <v>287</v>
      </c>
      <c r="C16" s="73" t="s">
        <v>312</v>
      </c>
      <c r="D16" s="88">
        <v>359</v>
      </c>
      <c r="E16" s="99">
        <f>[1]!thsiFinD("ths_adjustment_nvg_ratio_fund",$B16,E$4,E$5,101)/100</f>
        <v>-9.6688419521130003E-4</v>
      </c>
      <c r="F16" s="99">
        <f ca="1">[1]!thsiFinD("ths_adjustment_nvg_ratio_fund",$B16,F$4,F$5,101)/100</f>
        <v>-1.6941064183989E-2</v>
      </c>
      <c r="G16" s="99">
        <f>[1]!thsiFinD("ths_adjustment_nvg_ratio_fund",$B16,G$4,G$5,101)/100</f>
        <v>-1.6463851118404999E-2</v>
      </c>
      <c r="H16" s="99">
        <f ca="1">[1]!thsiFinD("ths_adjustment_nvg_ratio_fund",$B16,H$4,H$5,101)/100</f>
        <v>-1.4541929725168001E-3</v>
      </c>
      <c r="I16" s="99">
        <f ca="1">-[1]!thsiFinD("ths_max_retrace_rate_all_fund",$B16,F$3,F$5)/100</f>
        <v>-3.2053291496394E-2</v>
      </c>
    </row>
    <row r="17" spans="1:9" ht="16.5">
      <c r="A17" s="68">
        <v>9</v>
      </c>
      <c r="B17" s="69" t="s">
        <v>288</v>
      </c>
      <c r="C17" s="70" t="s">
        <v>313</v>
      </c>
      <c r="D17" s="87">
        <v>342</v>
      </c>
      <c r="E17" s="98">
        <f>[1]!thsiFinD("ths_adjustment_nvg_ratio_fund",$B17,E$4,E$5,101)/100</f>
        <v>-4.7732696671885996E-3</v>
      </c>
      <c r="F17" s="98">
        <f ca="1">[1]!thsiFinD("ths_adjustment_nvg_ratio_fund",$B17,F$4,F$5,101)/100</f>
        <v>-3.4385150802950001E-2</v>
      </c>
      <c r="G17" s="98">
        <f>[1]!thsiFinD("ths_adjustment_nvg_ratio_fund",$B17,G$4,G$5,101)/100</f>
        <v>-4.8259860808042995E-2</v>
      </c>
      <c r="H17" s="98">
        <f ca="1">[1]!thsiFinD("ths_adjustment_nvg_ratio_fund",$B17,H$4,H$5,101)/100</f>
        <v>9.1658583990458006E-3</v>
      </c>
      <c r="I17" s="98">
        <f ca="1">-[1]!thsiFinD("ths_max_retrace_rate_all_fund",$B17,F$3,F$5)/100</f>
        <v>-6.3470319649836002E-2</v>
      </c>
    </row>
    <row r="18" spans="1:9" ht="16.5">
      <c r="A18" s="77">
        <v>10</v>
      </c>
      <c r="B18" s="78" t="s">
        <v>289</v>
      </c>
      <c r="C18" s="79" t="s">
        <v>314</v>
      </c>
      <c r="D18" s="89">
        <v>314</v>
      </c>
      <c r="E18" s="99">
        <f>[1]!thsiFinD("ths_adjustment_nvg_ratio_fund",$B18,E$4,E$5,101)/100</f>
        <v>-8.9652080380039001E-4</v>
      </c>
      <c r="F18" s="99">
        <f ca="1">[1]!thsiFinD("ths_adjustment_nvg_ratio_fund",$B18,F$4,F$5,101)/100</f>
        <v>-9.4385118883519008E-3</v>
      </c>
      <c r="G18" s="99">
        <f>[1]!thsiFinD("ths_adjustment_nvg_ratio_fund",$B18,G$4,G$5,101)/100</f>
        <v>-7.2338959456968999E-4</v>
      </c>
      <c r="H18" s="99">
        <f ca="1">[1]!thsiFinD("ths_adjustment_nvg_ratio_fund",$B18,H$4,H$5,101)/100</f>
        <v>-9.0971743615118998E-3</v>
      </c>
      <c r="I18" s="99">
        <f ca="1">-[1]!thsiFinD("ths_max_retrace_rate_all_fund",$B18,F$3,F$5)/100</f>
        <v>-2.6377751246695998E-2</v>
      </c>
    </row>
    <row r="21" spans="1:9" ht="39" customHeight="1">
      <c r="A21" s="92"/>
      <c r="B21" s="92"/>
      <c r="C21" s="164" t="s">
        <v>332</v>
      </c>
      <c r="D21" s="164"/>
      <c r="E21" s="164"/>
      <c r="F21" s="164"/>
      <c r="G21" s="164"/>
      <c r="H21" s="164"/>
      <c r="I21" s="164"/>
    </row>
    <row r="22" spans="1:9" ht="36" customHeight="1">
      <c r="A22" s="64" t="str">
        <f>表3[[#Headers],[序号]]</f>
        <v>序号</v>
      </c>
      <c r="B22" s="64" t="str">
        <f>表3[[#Headers],[基金代码]]</f>
        <v>基金代码</v>
      </c>
      <c r="C22" s="64" t="str">
        <f>表3[[#Headers],[产品/基金名称]]</f>
        <v>产品/基金名称</v>
      </c>
      <c r="D22" s="64" t="str">
        <f>表3[[#Headers],[26Q2规模（亿元）]]</f>
        <v>26Q2规模（亿元）</v>
      </c>
      <c r="E22" s="64" t="str">
        <f>表3[[#Headers],[上周]]</f>
        <v>上周</v>
      </c>
      <c r="F22" s="64" t="str">
        <f>表3[[#Headers],[上线以来]]</f>
        <v>上线以来</v>
      </c>
      <c r="G22" s="64" t="str">
        <f>表3[[#Headers],[6/22-7/30]]</f>
        <v>6/22-7/30</v>
      </c>
      <c r="H22" s="64" t="str">
        <f>表3[[#Headers],[7.31至今]]</f>
        <v>7.31至今</v>
      </c>
      <c r="I22" s="90" t="str">
        <f>表3[[#Headers],[最大回撤（上线以来）]]</f>
        <v>最大回撤（上线以来）</v>
      </c>
    </row>
    <row r="23" spans="1:9" ht="16.5">
      <c r="A23" s="65" t="s">
        <v>202</v>
      </c>
      <c r="B23" s="66"/>
      <c r="C23" s="67" t="str">
        <f>C8</f>
        <v>10/90基石投顾组合</v>
      </c>
      <c r="D23" s="66"/>
      <c r="E23" s="102">
        <f>E$2/E$1-1</f>
        <v>1.3718321145836931E-3</v>
      </c>
      <c r="F23" s="102">
        <f ca="1">F$2/F$1-1</f>
        <v>-7.1488485893335119E-3</v>
      </c>
      <c r="G23" s="102">
        <f t="shared" ref="G23:H23" si="0">G$2/G$1-1</f>
        <v>-2.6096789942655407E-2</v>
      </c>
      <c r="H23" s="102">
        <f t="shared" ca="1" si="0"/>
        <v>1.6018015763581861E-2</v>
      </c>
      <c r="I23" s="103">
        <f>'看板-10-90基石'!$F$7</f>
        <v>-2.8729069309879618E-2</v>
      </c>
    </row>
    <row r="24" spans="1:9" ht="16.5">
      <c r="A24" s="68">
        <v>1</v>
      </c>
      <c r="B24" s="69" t="s">
        <v>280</v>
      </c>
      <c r="C24" s="70" t="s">
        <v>305</v>
      </c>
      <c r="D24" s="69">
        <v>391</v>
      </c>
      <c r="E24" s="104">
        <f>[1]!thsiFinD("ths_adjustment_nvg_ratio_fund",$B24,E$4,E$5,101)/100</f>
        <v>-3.7683097239203998E-3</v>
      </c>
      <c r="F24" s="104">
        <f ca="1">[1]!thsiFinD("ths_adjustment_nvg_ratio_fund",$B24,F$4,F$5,101)/100</f>
        <v>-4.8934306571334997E-2</v>
      </c>
      <c r="G24" s="104">
        <f>[1]!thsiFinD("ths_adjustment_nvg_ratio_fund",$B24,G$4,G$5,101)/100</f>
        <v>-7.3401459857001999E-2</v>
      </c>
      <c r="H24" s="104">
        <f ca="1">[1]!thsiFinD("ths_adjustment_nvg_ratio_fund",$B24,H$4,H$5,101)/100</f>
        <v>1.6857089383376E-2</v>
      </c>
      <c r="I24" s="105">
        <f ca="1">-[1]!thsiFinD("ths_max_retrace_rate_all_fund",$B24,F$3,F$5)/100</f>
        <v>-7.8192169154790991E-2</v>
      </c>
    </row>
    <row r="25" spans="1:9" ht="16.5">
      <c r="A25" s="71">
        <v>2</v>
      </c>
      <c r="B25" s="72" t="s">
        <v>284</v>
      </c>
      <c r="C25" s="73" t="s">
        <v>309</v>
      </c>
      <c r="D25" s="72">
        <v>347</v>
      </c>
      <c r="E25" s="106">
        <f>[1]!thsiFinD("ths_adjustment_nvg_ratio_fund",$B25,E$4,E$5,101)/100</f>
        <v>-3.4575260493082001E-3</v>
      </c>
      <c r="F25" s="106">
        <f ca="1">[1]!thsiFinD("ths_adjustment_nvg_ratio_fund",$B25,F$4,F$5,101)/100</f>
        <v>-2.1272865434053E-2</v>
      </c>
      <c r="G25" s="106">
        <f>[1]!thsiFinD("ths_adjustment_nvg_ratio_fund",$B25,G$4,G$5,101)/100</f>
        <v>-5.6454912032351999E-2</v>
      </c>
      <c r="H25" s="106">
        <f ca="1">[1]!thsiFinD("ths_adjustment_nvg_ratio_fund",$B25,H$4,H$5,101)/100</f>
        <v>2.7990915231616998E-2</v>
      </c>
      <c r="I25" s="107">
        <f ca="1">-[1]!thsiFinD("ths_max_retrace_rate_all_fund",$B25,F$3,F$5)/100</f>
        <v>-7.0577399089732998E-2</v>
      </c>
    </row>
    <row r="26" spans="1:9" ht="16.5">
      <c r="A26" s="68">
        <v>3</v>
      </c>
      <c r="B26" s="69" t="s">
        <v>290</v>
      </c>
      <c r="C26" s="70" t="s">
        <v>316</v>
      </c>
      <c r="D26" s="69">
        <v>255</v>
      </c>
      <c r="E26" s="104">
        <f>[1]!thsiFinD("ths_adjustment_nvg_ratio_fund",$B26,E$4,E$5,101)/100</f>
        <v>-4.2573006099081998E-3</v>
      </c>
      <c r="F26" s="104">
        <f ca="1">[1]!thsiFinD("ths_adjustment_nvg_ratio_fund",$B26,F$4,F$5,101)/100</f>
        <v>-4.8628908267164005E-2</v>
      </c>
      <c r="G26" s="104">
        <f>[1]!thsiFinD("ths_adjustment_nvg_ratio_fund",$B26,G$4,G$5,101)/100</f>
        <v>-5.3754484891249996E-2</v>
      </c>
      <c r="H26" s="104">
        <f ca="1">[1]!thsiFinD("ths_adjustment_nvg_ratio_fund",$B26,H$4,H$5,101)/100</f>
        <v>-1.2107351900323999E-3</v>
      </c>
      <c r="I26" s="105">
        <f ca="1">-[1]!thsiFinD("ths_max_retrace_rate_all_fund",$B26,F$3,F$5)/100</f>
        <v>-6.6641375828729005E-2</v>
      </c>
    </row>
    <row r="27" spans="1:9" ht="16.5">
      <c r="A27" s="71">
        <v>4</v>
      </c>
      <c r="B27" s="72" t="s">
        <v>281</v>
      </c>
      <c r="C27" s="73" t="s">
        <v>306</v>
      </c>
      <c r="D27" s="72">
        <v>228</v>
      </c>
      <c r="E27" s="106">
        <f>[1]!thsiFinD("ths_adjustment_nvg_ratio_fund",$B27,E$4,E$5,101)/100</f>
        <v>4.9961394061405994E-4</v>
      </c>
      <c r="F27" s="106">
        <f ca="1">[1]!thsiFinD("ths_adjustment_nvg_ratio_fund",$B27,F$4,F$5,101)/100</f>
        <v>-2.8313971442841999E-2</v>
      </c>
      <c r="G27" s="106">
        <f>[1]!thsiFinD("ths_adjustment_nvg_ratio_fund",$B27,G$4,G$5,101)/100</f>
        <v>-5.1945757323097003E-2</v>
      </c>
      <c r="H27" s="106">
        <f ca="1">[1]!thsiFinD("ths_adjustment_nvg_ratio_fund",$B27,H$4,H$5,101)/100</f>
        <v>1.7719176512922E-2</v>
      </c>
      <c r="I27" s="107">
        <f ca="1">-[1]!thsiFinD("ths_max_retrace_rate_all_fund",$B27,F$3,F$5)/100</f>
        <v>-6.0905709922503999E-2</v>
      </c>
    </row>
    <row r="28" spans="1:9" ht="16.5">
      <c r="A28" s="68">
        <v>5</v>
      </c>
      <c r="B28" s="69" t="s">
        <v>291</v>
      </c>
      <c r="C28" s="70" t="s">
        <v>317</v>
      </c>
      <c r="D28" s="69">
        <v>172</v>
      </c>
      <c r="E28" s="104">
        <f>[1]!thsiFinD("ths_adjustment_nvg_ratio_fund",$B28,E$4,E$5,101)/100</f>
        <v>-7.3800738133511E-3</v>
      </c>
      <c r="F28" s="104">
        <f ca="1">[1]!thsiFinD("ths_adjustment_nvg_ratio_fund",$B28,F$4,F$5,101)/100</f>
        <v>-2.3905821187082E-2</v>
      </c>
      <c r="G28" s="104">
        <f>[1]!thsiFinD("ths_adjustment_nvg_ratio_fund",$B28,G$4,G$5,101)/100</f>
        <v>-4.0589339891791996E-2</v>
      </c>
      <c r="H28" s="104">
        <f ca="1">[1]!thsiFinD("ths_adjustment_nvg_ratio_fund",$B28,H$4,H$5,101)/100</f>
        <v>1.5630870972894999E-2</v>
      </c>
      <c r="I28" s="105">
        <f ca="1">-[1]!thsiFinD("ths_max_retrace_rate_all_fund",$B28,F$3,F$5)/100</f>
        <v>-5.0897343862490001E-2</v>
      </c>
    </row>
    <row r="29" spans="1:9" ht="16.5">
      <c r="A29" s="71">
        <v>6</v>
      </c>
      <c r="B29" s="72" t="s">
        <v>288</v>
      </c>
      <c r="C29" s="73" t="s">
        <v>313</v>
      </c>
      <c r="D29" s="72">
        <v>146</v>
      </c>
      <c r="E29" s="106">
        <f>[1]!thsiFinD("ths_adjustment_nvg_ratio_fund",$B29,E$4,E$5,101)/100</f>
        <v>-4.7732696671885996E-3</v>
      </c>
      <c r="F29" s="106">
        <f ca="1">[1]!thsiFinD("ths_adjustment_nvg_ratio_fund",$B29,F$4,F$5,101)/100</f>
        <v>-3.4385150802950001E-2</v>
      </c>
      <c r="G29" s="106">
        <f>[1]!thsiFinD("ths_adjustment_nvg_ratio_fund",$B29,G$4,G$5,101)/100</f>
        <v>-4.8259860808042995E-2</v>
      </c>
      <c r="H29" s="106">
        <f ca="1">[1]!thsiFinD("ths_adjustment_nvg_ratio_fund",$B29,H$4,H$5,101)/100</f>
        <v>9.1658583990458006E-3</v>
      </c>
      <c r="I29" s="107">
        <f ca="1">-[1]!thsiFinD("ths_max_retrace_rate_all_fund",$B29,F$3,F$5)/100</f>
        <v>-6.3470319649836002E-2</v>
      </c>
    </row>
    <row r="30" spans="1:9" ht="16.5">
      <c r="A30" s="68">
        <v>7</v>
      </c>
      <c r="B30" s="69" t="s">
        <v>292</v>
      </c>
      <c r="C30" s="70" t="s">
        <v>318</v>
      </c>
      <c r="D30" s="69">
        <v>130</v>
      </c>
      <c r="E30" s="104">
        <f>[1]!thsiFinD("ths_adjustment_nvg_ratio_fund",$B30,E$4,E$5,101)/100</f>
        <v>-8.6125900407139997E-3</v>
      </c>
      <c r="F30" s="104">
        <f ca="1">[1]!thsiFinD("ths_adjustment_nvg_ratio_fund",$B30,F$4,F$5,101)/100</f>
        <v>4.2789223454833998E-3</v>
      </c>
      <c r="G30" s="104">
        <f>[1]!thsiFinD("ths_adjustment_nvg_ratio_fund",$B30,G$4,G$5,101)/100</f>
        <v>-2.2028526148969999E-2</v>
      </c>
      <c r="H30" s="104">
        <f ca="1">[1]!thsiFinD("ths_adjustment_nvg_ratio_fund",$B30,H$4,H$5,101)/100</f>
        <v>2.0286588311061001E-2</v>
      </c>
      <c r="I30" s="105">
        <f ca="1">-[1]!thsiFinD("ths_max_retrace_rate_all_fund",$B30,F$3,F$5)/100</f>
        <v>-4.6444909668915006E-2</v>
      </c>
    </row>
    <row r="31" spans="1:9" ht="16.5">
      <c r="A31" s="71">
        <v>8</v>
      </c>
      <c r="B31" s="72" t="s">
        <v>286</v>
      </c>
      <c r="C31" s="73" t="s">
        <v>311</v>
      </c>
      <c r="D31" s="72">
        <v>123</v>
      </c>
      <c r="E31" s="106">
        <f>[1]!thsiFinD("ths_adjustment_nvg_ratio_fund",$B31,E$4,E$5,101)/100</f>
        <v>-1.0653753026634001E-2</v>
      </c>
      <c r="F31" s="106">
        <f ca="1">[1]!thsiFinD("ths_adjustment_nvg_ratio_fund",$B31,F$4,F$5,101)/100</f>
        <v>-6.3291139240505999E-3</v>
      </c>
      <c r="G31" s="106">
        <f>[1]!thsiFinD("ths_adjustment_nvg_ratio_fund",$B31,G$4,G$5,101)/100</f>
        <v>-2.8724440116844999E-2</v>
      </c>
      <c r="H31" s="106">
        <f ca="1">[1]!thsiFinD("ths_adjustment_nvg_ratio_fund",$B31,H$4,H$5,101)/100</f>
        <v>1.4413518886679999E-2</v>
      </c>
      <c r="I31" s="107">
        <f ca="1">-[1]!thsiFinD("ths_max_retrace_rate_all_fund",$B31,F$3,F$5)/100</f>
        <v>-5.2405907575036006E-2</v>
      </c>
    </row>
    <row r="32" spans="1:9" ht="16.5">
      <c r="A32" s="68">
        <v>9</v>
      </c>
      <c r="B32" s="69" t="s">
        <v>293</v>
      </c>
      <c r="C32" s="70" t="s">
        <v>319</v>
      </c>
      <c r="D32" s="69">
        <v>120</v>
      </c>
      <c r="E32" s="104">
        <f>[1]!thsiFinD("ths_adjustment_nvg_ratio_fund",$B32,E$4,E$5,101)/100</f>
        <v>-1.5971755211835999E-3</v>
      </c>
      <c r="F32" s="104">
        <f ca="1">[1]!thsiFinD("ths_adjustment_nvg_ratio_fund",$B32,F$4,F$5,101)/100</f>
        <v>-4.0185094982951995E-2</v>
      </c>
      <c r="G32" s="104">
        <f>[1]!thsiFinD("ths_adjustment_nvg_ratio_fund",$B32,G$4,G$5,101)/100</f>
        <v>-4.7978567949341994E-2</v>
      </c>
      <c r="H32" s="104">
        <f ca="1">[1]!thsiFinD("ths_adjustment_nvg_ratio_fund",$B32,H$4,H$5,101)/100</f>
        <v>4.1617122473245E-3</v>
      </c>
      <c r="I32" s="105">
        <f ca="1">-[1]!thsiFinD("ths_max_retrace_rate_all_fund",$B32,F$3,F$5)/100</f>
        <v>-5.7478666881338999E-2</v>
      </c>
    </row>
    <row r="33" spans="1:9" ht="16.5">
      <c r="A33" s="74">
        <v>10</v>
      </c>
      <c r="B33" s="75" t="s">
        <v>287</v>
      </c>
      <c r="C33" s="76" t="s">
        <v>312</v>
      </c>
      <c r="D33" s="75">
        <v>114</v>
      </c>
      <c r="E33" s="108">
        <f>[1]!thsiFinD("ths_adjustment_nvg_ratio_fund",$B33,E$4,E$5,101)/100</f>
        <v>-9.6688419521130003E-4</v>
      </c>
      <c r="F33" s="108">
        <f ca="1">[1]!thsiFinD("ths_adjustment_nvg_ratio_fund",$B33,F$4,F$5,101)/100</f>
        <v>-1.6941064183989E-2</v>
      </c>
      <c r="G33" s="108">
        <f>[1]!thsiFinD("ths_adjustment_nvg_ratio_fund",$B33,G$4,G$5,101)/100</f>
        <v>-1.6463851118404999E-2</v>
      </c>
      <c r="H33" s="108">
        <f ca="1">[1]!thsiFinD("ths_adjustment_nvg_ratio_fund",$B33,H$4,H$5,101)/100</f>
        <v>-1.4541929725168001E-3</v>
      </c>
      <c r="I33" s="109">
        <f ca="1">-[1]!thsiFinD("ths_max_retrace_rate_all_fund",$B33,F$3,F$5)/100</f>
        <v>-3.2053291496394E-2</v>
      </c>
    </row>
    <row r="36" spans="1:9" ht="36" customHeight="1">
      <c r="A36" s="91"/>
      <c r="B36" s="91"/>
      <c r="C36" s="164" t="s">
        <v>333</v>
      </c>
      <c r="D36" s="164"/>
      <c r="E36" s="164"/>
      <c r="F36" s="164"/>
      <c r="G36" s="164"/>
      <c r="H36" s="164"/>
      <c r="I36" s="164"/>
    </row>
    <row r="37" spans="1:9" ht="43" customHeight="1">
      <c r="A37" s="64" t="str">
        <f>A22</f>
        <v>序号</v>
      </c>
      <c r="B37" s="64" t="str">
        <f t="shared" ref="B37:I37" si="1">B22</f>
        <v>基金代码</v>
      </c>
      <c r="C37" s="64" t="str">
        <f t="shared" si="1"/>
        <v>产品/基金名称</v>
      </c>
      <c r="D37" s="64" t="s">
        <v>338</v>
      </c>
      <c r="E37" s="64" t="str">
        <f>E22</f>
        <v>上周</v>
      </c>
      <c r="F37" s="64" t="str">
        <f t="shared" si="1"/>
        <v>上线以来</v>
      </c>
      <c r="G37" s="64" t="str">
        <f t="shared" si="1"/>
        <v>6/22-7/30</v>
      </c>
      <c r="H37" s="64" t="str">
        <f t="shared" si="1"/>
        <v>7.31至今</v>
      </c>
      <c r="I37" s="90" t="str">
        <f t="shared" si="1"/>
        <v>最大回撤（上线以来）</v>
      </c>
    </row>
    <row r="38" spans="1:9" ht="16.5">
      <c r="A38" s="65" t="s">
        <v>202</v>
      </c>
      <c r="B38" s="66"/>
      <c r="C38" s="67" t="str">
        <f>C8</f>
        <v>10/90基石投顾组合</v>
      </c>
      <c r="D38" s="84"/>
      <c r="E38" s="110">
        <f>E$2/E$1-1</f>
        <v>1.3718321145836931E-3</v>
      </c>
      <c r="F38" s="110">
        <f ca="1">F$2/F$1-1</f>
        <v>-7.1488485893335119E-3</v>
      </c>
      <c r="G38" s="102">
        <f t="shared" ref="G38:H38" si="2">G$2/G$1-1</f>
        <v>-2.6096789942655407E-2</v>
      </c>
      <c r="H38" s="102">
        <f t="shared" ca="1" si="2"/>
        <v>1.6018015763581861E-2</v>
      </c>
      <c r="I38" s="103">
        <f>'看板-10-90基石'!$F$7</f>
        <v>-2.8729069309879618E-2</v>
      </c>
    </row>
    <row r="39" spans="1:9" ht="16.5">
      <c r="A39" s="68">
        <v>1</v>
      </c>
      <c r="B39" s="69" t="s">
        <v>294</v>
      </c>
      <c r="C39" s="70" t="s">
        <v>320</v>
      </c>
      <c r="D39" s="94">
        <v>5265</v>
      </c>
      <c r="E39" s="111">
        <f>[1]!thsiFinD("ths_adjustment_nvg_ratio_fund",$B39,E$4,E$5,101)/100</f>
        <v>-4.4835011684140003E-4</v>
      </c>
      <c r="F39" s="111">
        <f ca="1">[1]!thsiFinD("ths_adjustment_nvg_ratio_fund",$B39,F$4,F$5,101)/100</f>
        <v>-1.1957788984068001E-2</v>
      </c>
      <c r="G39" s="104">
        <f>[1]!thsiFinD("ths_adjustment_nvg_ratio_fund",$B39,G$4,G$5,101)/100</f>
        <v>-1.8110759418334E-2</v>
      </c>
      <c r="H39" s="104">
        <f ca="1">[1]!thsiFinD("ths_adjustment_nvg_ratio_fund",$B39,H$4,H$5,101)/100</f>
        <v>2.6241969389981003E-3</v>
      </c>
      <c r="I39" s="105">
        <f ca="1">-[1]!thsiFinD("ths_max_retrace_rate_all_fund",$B39,F$3,F$5)/100</f>
        <v>-1.8873622199938999E-2</v>
      </c>
    </row>
    <row r="40" spans="1:9" ht="16.5">
      <c r="A40" s="71">
        <v>2</v>
      </c>
      <c r="B40" s="72" t="s">
        <v>295</v>
      </c>
      <c r="C40" s="73" t="s">
        <v>321</v>
      </c>
      <c r="D40" s="95">
        <v>896</v>
      </c>
      <c r="E40" s="112">
        <f>[1]!thsiFinD("ths_adjustment_nvg_ratio_fund",$B40,E$4,E$5,101)/100</f>
        <v>-2.9460866149462001E-4</v>
      </c>
      <c r="F40" s="112">
        <f ca="1">[1]!thsiFinD("ths_adjustment_nvg_ratio_fund",$B40,F$4,F$5,101)/100</f>
        <v>-2.1647151431664E-3</v>
      </c>
      <c r="G40" s="106">
        <f>[1]!thsiFinD("ths_adjustment_nvg_ratio_fund",$B40,G$4,G$5,101)/100</f>
        <v>-1.2397914001770999E-2</v>
      </c>
      <c r="H40" s="106">
        <f ca="1">[1]!thsiFinD("ths_adjustment_nvg_ratio_fund",$B40,H$4,H$5,101)/100</f>
        <v>7.3507499751664998E-3</v>
      </c>
      <c r="I40" s="107">
        <f ca="1">-[1]!thsiFinD("ths_max_retrace_rate_all_fund",$B40,F$3,F$5)/100</f>
        <v>-1.3283479287611999E-2</v>
      </c>
    </row>
    <row r="41" spans="1:9" ht="16.5">
      <c r="A41" s="68">
        <v>3</v>
      </c>
      <c r="B41" s="69" t="s">
        <v>296</v>
      </c>
      <c r="C41" s="70" t="s">
        <v>297</v>
      </c>
      <c r="D41" s="94">
        <v>239</v>
      </c>
      <c r="E41" s="111">
        <f>[1]!thsiFinD("ths_adjustment_nvg_ratio_fund",$B41,E$4,E$5,101)/100</f>
        <v>1.6557662058115999E-4</v>
      </c>
      <c r="F41" s="111">
        <f ca="1">[1]!thsiFinD("ths_adjustment_nvg_ratio_fund",$B41,F$4,F$5,101)/100</f>
        <v>-2.5409969150835997E-2</v>
      </c>
      <c r="G41" s="104">
        <f>[1]!thsiFinD("ths_adjustment_nvg_ratio_fund",$B41,G$4,G$5,101)/100</f>
        <v>-2.6627699301834999E-2</v>
      </c>
      <c r="H41" s="104">
        <f ca="1">[1]!thsiFinD("ths_adjustment_nvg_ratio_fund",$B41,H$4,H$5,101)/100</f>
        <v>-7.4912601964384994E-4</v>
      </c>
      <c r="I41" s="105">
        <f ca="1">-[1]!thsiFinD("ths_max_retrace_rate_all_fund",$B41,F$3,F$5)/100</f>
        <v>-4.9419990465597002E-2</v>
      </c>
    </row>
    <row r="42" spans="1:9" ht="16.5">
      <c r="A42" s="71">
        <v>4</v>
      </c>
      <c r="B42" s="72" t="s">
        <v>284</v>
      </c>
      <c r="C42" s="73" t="s">
        <v>309</v>
      </c>
      <c r="D42" s="95">
        <v>225</v>
      </c>
      <c r="E42" s="112">
        <f>[1]!thsiFinD("ths_adjustment_nvg_ratio_fund",$B42,E$4,E$5,101)/100</f>
        <v>-3.4575260493082001E-3</v>
      </c>
      <c r="F42" s="112">
        <f ca="1">[1]!thsiFinD("ths_adjustment_nvg_ratio_fund",$B42,F$4,F$5,101)/100</f>
        <v>-2.1272865434053E-2</v>
      </c>
      <c r="G42" s="106">
        <f>[1]!thsiFinD("ths_adjustment_nvg_ratio_fund",$B42,G$4,G$5,101)/100</f>
        <v>-5.6454912032351999E-2</v>
      </c>
      <c r="H42" s="106">
        <f ca="1">[1]!thsiFinD("ths_adjustment_nvg_ratio_fund",$B42,H$4,H$5,101)/100</f>
        <v>2.7990915231616998E-2</v>
      </c>
      <c r="I42" s="107">
        <f ca="1">-[1]!thsiFinD("ths_max_retrace_rate_all_fund",$B42,F$3,F$5)/100</f>
        <v>-7.0577399089732998E-2</v>
      </c>
    </row>
    <row r="43" spans="1:9" ht="16.5">
      <c r="A43" s="68">
        <v>5</v>
      </c>
      <c r="B43" s="69" t="s">
        <v>298</v>
      </c>
      <c r="C43" s="70" t="s">
        <v>322</v>
      </c>
      <c r="D43" s="94">
        <v>205</v>
      </c>
      <c r="E43" s="111">
        <f>[1]!thsiFinD("ths_adjustment_nvg_ratio_fund",$B43,E$4,E$5,101)/100</f>
        <v>-3.3681971281688001E-3</v>
      </c>
      <c r="F43" s="111">
        <f ca="1">[1]!thsiFinD("ths_adjustment_nvg_ratio_fund",$B43,F$4,F$5,101)/100</f>
        <v>-3.9284793260552002E-2</v>
      </c>
      <c r="G43" s="104">
        <f>[1]!thsiFinD("ths_adjustment_nvg_ratio_fund",$B43,G$4,G$5,101)/100</f>
        <v>-2.9313160835554002E-2</v>
      </c>
      <c r="H43" s="104">
        <f ca="1">[1]!thsiFinD("ths_adjustment_nvg_ratio_fund",$B43,H$4,H$5,101)/100</f>
        <v>-8.1647142350018999E-3</v>
      </c>
      <c r="I43" s="105">
        <f ca="1">-[1]!thsiFinD("ths_max_retrace_rate_all_fund",$B43,F$3,F$5)/100</f>
        <v>-6.5861229968956991E-2</v>
      </c>
    </row>
    <row r="44" spans="1:9" ht="16.5">
      <c r="A44" s="71">
        <v>6</v>
      </c>
      <c r="B44" s="72" t="s">
        <v>299</v>
      </c>
      <c r="C44" s="73" t="s">
        <v>323</v>
      </c>
      <c r="D44" s="95">
        <v>190</v>
      </c>
      <c r="E44" s="112">
        <f>[1]!thsiFinD("ths_adjustment_nvg_ratio_fund",$B44,E$4,E$5,101)/100</f>
        <v>-4.7773417505545005E-3</v>
      </c>
      <c r="F44" s="112">
        <f ca="1">[1]!thsiFinD("ths_adjustment_nvg_ratio_fund",$B44,F$4,F$5,101)/100</f>
        <v>-5.9972565157749999E-2</v>
      </c>
      <c r="G44" s="106">
        <f>[1]!thsiFinD("ths_adjustment_nvg_ratio_fund",$B44,G$4,G$5,101)/100</f>
        <v>-9.3443072702332E-2</v>
      </c>
      <c r="H44" s="106">
        <f ca="1">[1]!thsiFinD("ths_adjustment_nvg_ratio_fund",$B44,H$4,H$5,101)/100</f>
        <v>2.4886336444124999E-2</v>
      </c>
      <c r="I44" s="107">
        <f ca="1">-[1]!thsiFinD("ths_max_retrace_rate_all_fund",$B44,F$3,F$5)/100</f>
        <v>-0.11736738073615</v>
      </c>
    </row>
    <row r="45" spans="1:9" ht="16.5">
      <c r="A45" s="68">
        <v>7</v>
      </c>
      <c r="B45" s="69" t="s">
        <v>300</v>
      </c>
      <c r="C45" s="70" t="s">
        <v>324</v>
      </c>
      <c r="D45" s="94">
        <v>189</v>
      </c>
      <c r="E45" s="111">
        <f>[1]!thsiFinD("ths_adjustment_nvg_ratio_fund",$B45,E$4,E$5,101)/100</f>
        <v>0</v>
      </c>
      <c r="F45" s="111">
        <f ca="1">[1]!thsiFinD("ths_adjustment_nvg_ratio_fund",$B45,F$4,F$5,101)/100</f>
        <v>-9.9150849150848999E-2</v>
      </c>
      <c r="G45" s="104">
        <f>[1]!thsiFinD("ths_adjustment_nvg_ratio_fund",$B45,G$4,G$5,101)/100</f>
        <v>-0.12207792207792</v>
      </c>
      <c r="H45" s="104">
        <f ca="1">[1]!thsiFinD("ths_adjustment_nvg_ratio_fund",$B45,H$4,H$5,101)/100</f>
        <v>1.4284910859907001E-2</v>
      </c>
      <c r="I45" s="105">
        <f ca="1">-[1]!thsiFinD("ths_max_retrace_rate_all_fund",$B45,F$3,F$5)/100</f>
        <v>-0.14870700111591001</v>
      </c>
    </row>
    <row r="46" spans="1:9" ht="16.5">
      <c r="A46" s="71">
        <v>8</v>
      </c>
      <c r="B46" s="72" t="s">
        <v>301</v>
      </c>
      <c r="C46" s="73" t="s">
        <v>325</v>
      </c>
      <c r="D46" s="95">
        <v>184</v>
      </c>
      <c r="E46" s="112">
        <f>[1]!thsiFinD("ths_adjustment_nvg_ratio_fund",$B46,E$4,E$5,101)/100</f>
        <v>-5.2772731250187999E-3</v>
      </c>
      <c r="F46" s="112">
        <f ca="1">[1]!thsiFinD("ths_adjustment_nvg_ratio_fund",$B46,F$4,F$5,101)/100</f>
        <v>-3.9155486407278998E-2</v>
      </c>
      <c r="G46" s="106">
        <f>[1]!thsiFinD("ths_adjustment_nvg_ratio_fund",$B46,G$4,G$5,101)/100</f>
        <v>-4.5842621036721001E-2</v>
      </c>
      <c r="H46" s="106">
        <f ca="1">[1]!thsiFinD("ths_adjustment_nvg_ratio_fund",$B46,H$4,H$5,101)/100</f>
        <v>-8.753502571138E-5</v>
      </c>
      <c r="I46" s="107">
        <f ca="1">-[1]!thsiFinD("ths_max_retrace_rate_all_fund",$B46,F$3,F$5)/100</f>
        <v>-6.5808474655131011E-2</v>
      </c>
    </row>
    <row r="47" spans="1:9" ht="16.5">
      <c r="A47" s="68">
        <v>9</v>
      </c>
      <c r="B47" s="69" t="s">
        <v>302</v>
      </c>
      <c r="C47" s="70" t="s">
        <v>326</v>
      </c>
      <c r="D47" s="94">
        <v>174</v>
      </c>
      <c r="E47" s="100">
        <f>[1]!thsiFinD("ths_adjustment_nvg_ratio_fund",$B47,E$4,E$5,101)/100</f>
        <v>-5.2854122621558998E-4</v>
      </c>
      <c r="F47" s="100">
        <f ca="1">[1]!thsiFinD("ths_adjustment_nvg_ratio_fund",$B47,F$4,F$5,101)/100</f>
        <v>1.2880739505984002E-3</v>
      </c>
      <c r="G47" s="104">
        <f>[1]!thsiFinD("ths_adjustment_nvg_ratio_fund",$B47,G$4,G$5,101)/100</f>
        <v>-2.4246097893620999E-3</v>
      </c>
      <c r="H47" s="104">
        <f ca="1">[1]!thsiFinD("ths_adjustment_nvg_ratio_fund",$B47,H$4,H$5,101)/100</f>
        <v>2.2753128555176002E-3</v>
      </c>
      <c r="I47" s="105">
        <f ca="1">-[1]!thsiFinD("ths_max_retrace_rate_all_fund",$B47,F$3,F$5)/100</f>
        <v>-4.3188361873011004E-3</v>
      </c>
    </row>
    <row r="48" spans="1:9" ht="16.5">
      <c r="A48" s="74">
        <v>10</v>
      </c>
      <c r="B48" s="75" t="s">
        <v>303</v>
      </c>
      <c r="C48" s="76" t="s">
        <v>327</v>
      </c>
      <c r="D48" s="96">
        <v>170</v>
      </c>
      <c r="E48" s="101">
        <f>[1]!thsiFinD("ths_adjustment_nvg_ratio_fund",$B48,E$4,E$5,101)/100</f>
        <v>-5.8668228257992999E-4</v>
      </c>
      <c r="F48" s="101">
        <f ca="1">[1]!thsiFinD("ths_adjustment_nvg_ratio_fund",$B48,F$4,F$5,101)/100</f>
        <v>-3.5613073890170002E-2</v>
      </c>
      <c r="G48" s="108">
        <f>[1]!thsiFinD("ths_adjustment_nvg_ratio_fund",$B48,G$4,G$5,101)/100</f>
        <v>-6.8297751744840998E-2</v>
      </c>
      <c r="H48" s="108">
        <f ca="1">[1]!thsiFinD("ths_adjustment_nvg_ratio_fund",$B48,H$4,H$5,101)/100</f>
        <v>2.6030150780685001E-2</v>
      </c>
      <c r="I48" s="109">
        <f ca="1">-[1]!thsiFinD("ths_max_retrace_rate_all_fund",$B48,F$3,F$5)/100</f>
        <v>-7.9686479412252001E-2</v>
      </c>
    </row>
    <row r="50" spans="1:9" ht="16.5">
      <c r="A50" s="163" t="s">
        <v>329</v>
      </c>
      <c r="B50" s="163"/>
      <c r="C50" s="163"/>
      <c r="D50" s="163"/>
      <c r="E50" s="163"/>
      <c r="F50" s="163"/>
      <c r="G50" s="163"/>
      <c r="H50" s="163"/>
      <c r="I50" s="163"/>
    </row>
    <row r="51" spans="1:9" ht="16.5">
      <c r="A51" s="163" t="s">
        <v>328</v>
      </c>
      <c r="B51" s="163"/>
      <c r="C51" s="163"/>
      <c r="D51" s="163"/>
      <c r="E51" s="163"/>
      <c r="F51" s="163"/>
      <c r="G51" s="163"/>
      <c r="H51" s="163"/>
      <c r="I51" s="163"/>
    </row>
    <row r="52" spans="1:9" ht="16.5">
      <c r="A52" s="163" t="s">
        <v>304</v>
      </c>
      <c r="B52" s="163"/>
      <c r="C52" s="163"/>
      <c r="D52" s="163"/>
      <c r="E52" s="163"/>
      <c r="F52" s="163"/>
      <c r="G52" s="163"/>
      <c r="H52" s="163"/>
      <c r="I52" s="163"/>
    </row>
  </sheetData>
  <mergeCells count="6">
    <mergeCell ref="A52:I52"/>
    <mergeCell ref="A50:I50"/>
    <mergeCell ref="A51:I51"/>
    <mergeCell ref="C6:I6"/>
    <mergeCell ref="C21:I21"/>
    <mergeCell ref="C36:I36"/>
  </mergeCells>
  <phoneticPr fontId="35" type="noConversion"/>
  <conditionalFormatting sqref="E8:I8">
    <cfRule type="cellIs" dxfId="50" priority="10" operator="greaterThan">
      <formula>0</formula>
    </cfRule>
    <cfRule type="cellIs" dxfId="49" priority="11" operator="lessThan">
      <formula>0</formula>
    </cfRule>
  </conditionalFormatting>
  <conditionalFormatting sqref="E9:I18">
    <cfRule type="cellIs" dxfId="48" priority="7" operator="greaterThan">
      <formula>0</formula>
    </cfRule>
  </conditionalFormatting>
  <conditionalFormatting sqref="E23:I23">
    <cfRule type="cellIs" dxfId="47" priority="5" operator="greaterThan">
      <formula>0</formula>
    </cfRule>
    <cfRule type="cellIs" dxfId="46" priority="6" operator="lessThan">
      <formula>0</formula>
    </cfRule>
  </conditionalFormatting>
  <conditionalFormatting sqref="E24:I33">
    <cfRule type="cellIs" dxfId="45" priority="4" operator="greaterThan">
      <formula>0</formula>
    </cfRule>
  </conditionalFormatting>
  <conditionalFormatting sqref="E38:I38">
    <cfRule type="cellIs" dxfId="44" priority="2" operator="greaterThan">
      <formula>0</formula>
    </cfRule>
    <cfRule type="cellIs" dxfId="43" priority="3" operator="lessThan">
      <formula>0</formula>
    </cfRule>
  </conditionalFormatting>
  <conditionalFormatting sqref="E39:I48">
    <cfRule type="cellIs" dxfId="42" priority="1" operator="greater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N53"/>
  <sheetViews>
    <sheetView workbookViewId="0">
      <selection activeCell="P35" sqref="P35"/>
    </sheetView>
  </sheetViews>
  <sheetFormatPr defaultRowHeight="12.5"/>
  <cols>
    <col min="1" max="1" width="8" customWidth="1"/>
    <col min="2" max="2" width="16" customWidth="1"/>
    <col min="3" max="3" width="20.36328125" customWidth="1"/>
    <col min="4" max="4" width="16.453125" style="85" customWidth="1"/>
    <col min="5" max="5" width="12.54296875" style="85" hidden="1" customWidth="1"/>
    <col min="6" max="6" width="10.1796875" hidden="1" customWidth="1"/>
    <col min="7" max="7" width="12" hidden="1" customWidth="1"/>
    <col min="8" max="8" width="10.1796875" hidden="1" customWidth="1"/>
    <col min="9" max="10" width="10.1796875" customWidth="1"/>
    <col min="11" max="11" width="14.36328125" bestFit="1" customWidth="1"/>
    <col min="12" max="12" width="14" hidden="1" customWidth="1"/>
  </cols>
  <sheetData>
    <row r="1" spans="1:12">
      <c r="E1" s="151">
        <f>VLOOKUP(E3,[2]恒生净值!$A:$C,2)</f>
        <v>0.99494351999999997</v>
      </c>
      <c r="F1" s="151">
        <f>VLOOKUP(F3,[2]恒生净值!$A:$C,2)</f>
        <v>1</v>
      </c>
      <c r="G1" s="151">
        <f>VLOOKUP(G3,[2]恒生净值!$A:$C,2)</f>
        <v>1</v>
      </c>
      <c r="H1" s="151">
        <f>VLOOKUP(H3,[2]恒生净值!$A:$C,2)</f>
        <v>0.97705801999999997</v>
      </c>
      <c r="I1" s="151"/>
      <c r="J1" s="151"/>
      <c r="K1" s="151">
        <f>VLOOKUP(K3,[2]恒生净值!$A:$C,2)</f>
        <v>0.97705801999999997</v>
      </c>
    </row>
    <row r="2" spans="1:12">
      <c r="E2" s="151">
        <f>VLOOKUP(E5,[2]恒生净值!$A:$C,2)</f>
        <v>0.99520286000000002</v>
      </c>
      <c r="F2" s="151">
        <f>VLOOKUP(F5,[2]恒生净值!$A:$C,2)</f>
        <v>0.99520286000000002</v>
      </c>
      <c r="G2" s="151">
        <f>VLOOKUP(G5,[2]恒生净值!$A:$C,2)</f>
        <v>0.97376326000000002</v>
      </c>
      <c r="H2" s="151">
        <f>VLOOKUP(H5,[2]恒生净值!$A:$C,2)</f>
        <v>0.99520286000000002</v>
      </c>
      <c r="I2" s="151"/>
      <c r="J2" s="151"/>
      <c r="K2" s="151">
        <f>VLOOKUP(K5,[2]恒生净值!$A:$C,2)</f>
        <v>0</v>
      </c>
      <c r="L2" s="150">
        <f>1-F2</f>
        <v>4.7971399999999775E-3</v>
      </c>
    </row>
    <row r="3" spans="1:12">
      <c r="E3" s="114">
        <f>E5-7</f>
        <v>46255</v>
      </c>
      <c r="F3" s="81">
        <v>46191</v>
      </c>
      <c r="G3" s="81">
        <v>46191</v>
      </c>
      <c r="H3" s="81">
        <v>46234</v>
      </c>
      <c r="I3" s="81"/>
      <c r="J3" s="81"/>
      <c r="K3" s="81">
        <v>46234</v>
      </c>
    </row>
    <row r="4" spans="1:12">
      <c r="E4" s="114">
        <f>E5-4</f>
        <v>46258</v>
      </c>
      <c r="F4" s="81">
        <v>46195</v>
      </c>
      <c r="G4" s="81">
        <v>46195</v>
      </c>
      <c r="H4" s="81">
        <v>46237</v>
      </c>
      <c r="I4" s="81">
        <f>DATE(YEAR(I5),MONTH(I5)-6,DAY(I5))</f>
        <v>46096</v>
      </c>
      <c r="J4" s="81">
        <f>DATE(YEAR(J5)-1,MONTH(J5),DAY(J5))</f>
        <v>45915</v>
      </c>
      <c r="K4" s="81">
        <v>46237</v>
      </c>
    </row>
    <row r="5" spans="1:12">
      <c r="E5" s="115">
        <v>46262</v>
      </c>
      <c r="F5" s="113">
        <f>E5</f>
        <v>46262</v>
      </c>
      <c r="G5" s="81">
        <v>46233</v>
      </c>
      <c r="H5" s="81">
        <f>F5</f>
        <v>46262</v>
      </c>
      <c r="I5" s="113">
        <v>46280</v>
      </c>
      <c r="J5" s="81">
        <f>I5</f>
        <v>46280</v>
      </c>
      <c r="K5" s="81">
        <f>I5</f>
        <v>46280</v>
      </c>
    </row>
    <row r="6" spans="1:12" ht="27" customHeight="1">
      <c r="A6" s="164" t="s">
        <v>503</v>
      </c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91"/>
    </row>
    <row r="7" spans="1:12" s="146" customFormat="1" ht="14.5">
      <c r="A7" s="149" t="s">
        <v>502</v>
      </c>
      <c r="B7" s="149" t="s">
        <v>28</v>
      </c>
      <c r="C7" s="149" t="s">
        <v>501</v>
      </c>
      <c r="D7" s="149" t="s">
        <v>500</v>
      </c>
      <c r="E7" s="148" t="s">
        <v>499</v>
      </c>
      <c r="F7" s="148" t="s">
        <v>498</v>
      </c>
      <c r="G7" s="148" t="s">
        <v>497</v>
      </c>
      <c r="H7" s="148" t="s">
        <v>496</v>
      </c>
      <c r="I7" s="148" t="s">
        <v>490</v>
      </c>
      <c r="J7" s="148" t="s">
        <v>495</v>
      </c>
      <c r="K7" s="148" t="s">
        <v>488</v>
      </c>
      <c r="L7" s="147" t="s">
        <v>494</v>
      </c>
    </row>
    <row r="8" spans="1:12" ht="14.5">
      <c r="A8" s="145"/>
      <c r="B8" s="144"/>
      <c r="C8" s="143" t="s">
        <v>493</v>
      </c>
      <c r="D8" s="142"/>
      <c r="E8" s="97">
        <f>E$2/E$1-1</f>
        <v>2.6065801202479477E-4</v>
      </c>
      <c r="F8" s="97">
        <f>F$2/F$1-1</f>
        <v>-4.7971399999999775E-3</v>
      </c>
      <c r="G8" s="97">
        <f>G$2/G$1-1</f>
        <v>-2.6236739999999981E-2</v>
      </c>
      <c r="H8" s="97">
        <f>H$2/H$1-1</f>
        <v>1.8570893057098026E-2</v>
      </c>
      <c r="I8" s="97"/>
      <c r="J8" s="97"/>
      <c r="K8" s="97"/>
      <c r="L8" s="97">
        <f>[2]恒生净值!S25</f>
        <v>-2.8899999999999999E-2</v>
      </c>
    </row>
    <row r="9" spans="1:12" ht="14.5">
      <c r="A9" s="140">
        <v>1</v>
      </c>
      <c r="B9" s="129" t="s">
        <v>280</v>
      </c>
      <c r="C9" s="128" t="s">
        <v>305</v>
      </c>
      <c r="D9" s="127">
        <f>[1]!thsiFinD("ths_mergesize_fund",$B9,"2026-06-30")/100000000</f>
        <v>712.08736087429997</v>
      </c>
      <c r="E9" s="98">
        <f>[1]!thsiFinD("ths_adjustment_nvg_ratio_fund",$B9,E$4,E$5,101)/100</f>
        <v>-9.3343908194245991E-3</v>
      </c>
      <c r="F9" s="98">
        <f>[1]!thsiFinD("ths_adjustment_nvg_ratio_fund",$B9,F$4,F$5,101)/100</f>
        <v>-5.1795620440991993E-2</v>
      </c>
      <c r="G9" s="98">
        <f>[1]!thsiFinD("ths_adjustment_nvg_ratio_fund",$B9,G$4,G$5,101)/100</f>
        <v>-7.3401459857001999E-2</v>
      </c>
      <c r="H9" s="98">
        <f>[1]!thsiFinD("ths_adjustment_nvg_ratio_fund",$B9,H$4,H$5,101)/100</f>
        <v>1.3797839834773999E-2</v>
      </c>
      <c r="I9" s="98">
        <f>[1]!thsiFinD("ths_adjustment_nvg_ratio_fund",$B9,I$4,I$5,101)/100</f>
        <v>6.7190284524301008E-2</v>
      </c>
      <c r="J9" s="98">
        <f>[1]!thsiFinD("ths_adjustment_nvg_ratio_fund",$B9,J$4,J$5,101)/100</f>
        <v>0.110889728629</v>
      </c>
      <c r="K9" s="98">
        <f>-[1]!thsiFinD("ths_max_retrace_rate_all_fund",$B9,J$4,J$5)/100</f>
        <v>-7.8192169154790991E-2</v>
      </c>
      <c r="L9" s="98">
        <f>-[1]!thsiFinD("ths_max_retrace_rate_all_fund",$B9,F$3,F$5)/100</f>
        <v>-7.8192169154790991E-2</v>
      </c>
    </row>
    <row r="10" spans="1:12" ht="14.5">
      <c r="A10" s="141">
        <v>2</v>
      </c>
      <c r="B10" s="132" t="s">
        <v>281</v>
      </c>
      <c r="C10" s="131" t="s">
        <v>306</v>
      </c>
      <c r="D10" s="130">
        <f>[1]!thsiFinD("ths_mergesize_fund",$B10,"2026-06-30")/100000000</f>
        <v>584.43201761959995</v>
      </c>
      <c r="E10" s="99">
        <f>[1]!thsiFinD("ths_adjustment_nvg_ratio_fund",$B10,E$4,E$5,101)/100</f>
        <v>-3.0415834319961E-3</v>
      </c>
      <c r="F10" s="99">
        <f>[1]!thsiFinD("ths_adjustment_nvg_ratio_fund",$B10,F$4,F$5,101)/100</f>
        <v>-2.9948319255067003E-2</v>
      </c>
      <c r="G10" s="99">
        <f>[1]!thsiFinD("ths_adjustment_nvg_ratio_fund",$B10,G$4,G$5,101)/100</f>
        <v>-5.1945757323097003E-2</v>
      </c>
      <c r="H10" s="99">
        <f>[1]!thsiFinD("ths_adjustment_nvg_ratio_fund",$B10,H$4,H$5,101)/100</f>
        <v>1.6007402276481997E-2</v>
      </c>
      <c r="I10" s="99">
        <f>[1]!thsiFinD("ths_adjustment_nvg_ratio_fund",$B10,I$4,I$5,101)/100</f>
        <v>2.6313320809483998E-2</v>
      </c>
      <c r="J10" s="99">
        <f>[1]!thsiFinD("ths_adjustment_nvg_ratio_fund",$B10,J$4,J$5,101)/100</f>
        <v>7.6714890241055003E-2</v>
      </c>
      <c r="K10" s="99">
        <f>-[1]!thsiFinD("ths_max_retrace_rate_all_fund",$B10,J$4,J$5)/100</f>
        <v>-6.0905709922503999E-2</v>
      </c>
      <c r="L10" s="99">
        <f>-[1]!thsiFinD("ths_max_retrace_rate_all_fund",$B10,F$3,F$5)/100</f>
        <v>-6.0905709922503999E-2</v>
      </c>
    </row>
    <row r="11" spans="1:12" ht="14.5">
      <c r="A11" s="140">
        <v>3</v>
      </c>
      <c r="B11" s="129" t="s">
        <v>282</v>
      </c>
      <c r="C11" s="128" t="s">
        <v>307</v>
      </c>
      <c r="D11" s="127">
        <f>[1]!thsiFinD("ths_mergesize_fund",$B11,"2026-06-30")/100000000</f>
        <v>575.96586382800001</v>
      </c>
      <c r="E11" s="98">
        <f>[1]!thsiFinD("ths_adjustment_nvg_ratio_fund",$B11,E$4,E$5,101)/100</f>
        <v>0</v>
      </c>
      <c r="F11" s="98">
        <f>[1]!thsiFinD("ths_adjustment_nvg_ratio_fund",$B11,F$4,F$5,101)/100</f>
        <v>-4.7194546169833001E-3</v>
      </c>
      <c r="G11" s="98">
        <f>[1]!thsiFinD("ths_adjustment_nvg_ratio_fund",$B11,G$4,G$5,101)/100</f>
        <v>-1.3633980067752001E-2</v>
      </c>
      <c r="H11" s="98">
        <f>[1]!thsiFinD("ths_adjustment_nvg_ratio_fund",$B11,H$4,H$5,101)/100</f>
        <v>7.4309978735700999E-3</v>
      </c>
      <c r="I11" s="98">
        <f>[1]!thsiFinD("ths_adjustment_nvg_ratio_fund",$B11,I$4,I$5,101)/100</f>
        <v>-2.1197668247595999E-3</v>
      </c>
      <c r="J11" s="98">
        <f>[1]!thsiFinD("ths_adjustment_nvg_ratio_fund",$B11,J$4,J$5,101)/100</f>
        <v>3.6323610330895997E-2</v>
      </c>
      <c r="K11" s="98">
        <f>-[1]!thsiFinD("ths_max_retrace_rate_all_fund",$B11,J$4,J$5)/100</f>
        <v>-2.4530271409826998E-2</v>
      </c>
      <c r="L11" s="98">
        <f>-[1]!thsiFinD("ths_max_retrace_rate_all_fund",$B11,F$3,F$5)/100</f>
        <v>-2.4530271409826998E-2</v>
      </c>
    </row>
    <row r="12" spans="1:12" ht="14.5">
      <c r="A12" s="141">
        <v>4</v>
      </c>
      <c r="B12" s="132" t="s">
        <v>283</v>
      </c>
      <c r="C12" s="131" t="s">
        <v>308</v>
      </c>
      <c r="D12" s="130">
        <f>[1]!thsiFinD("ths_mergesize_fund",$B12,"2026-06-30")/100000000</f>
        <v>393.16064691279996</v>
      </c>
      <c r="E12" s="99">
        <f>[1]!thsiFinD("ths_adjustment_nvg_ratio_fund",$B12,E$4,E$5,101)/100</f>
        <v>3.1031807899026E-3</v>
      </c>
      <c r="F12" s="99">
        <f>[1]!thsiFinD("ths_adjustment_nvg_ratio_fund",$B12,F$4,F$5,101)/100</f>
        <v>3.1923383906225997E-2</v>
      </c>
      <c r="G12" s="99">
        <f>[1]!thsiFinD("ths_adjustment_nvg_ratio_fund",$B12,G$4,G$5,101)/100</f>
        <v>1.5961691953112998E-2</v>
      </c>
      <c r="H12" s="99">
        <f>[1]!thsiFinD("ths_adjustment_nvg_ratio_fund",$B12,H$4,H$5,101)/100</f>
        <v>1.3322884020376999E-2</v>
      </c>
      <c r="I12" s="99">
        <f>[1]!thsiFinD("ths_adjustment_nvg_ratio_fund",$B12,I$4,I$5,101)/100</f>
        <v>3.1372549319178002E-3</v>
      </c>
      <c r="J12" s="99">
        <f>[1]!thsiFinD("ths_adjustment_nvg_ratio_fund",$B12,J$4,J$5,101)/100</f>
        <v>5.5280528060133005E-2</v>
      </c>
      <c r="K12" s="99">
        <f>-[1]!thsiFinD("ths_max_retrace_rate_all_fund",$B12,J$4,J$5)/100</f>
        <v>-3.9688715976018002E-2</v>
      </c>
      <c r="L12" s="99">
        <f>-[1]!thsiFinD("ths_max_retrace_rate_all_fund",$B12,F$3,F$5)/100</f>
        <v>-1.9857029388075001E-2</v>
      </c>
    </row>
    <row r="13" spans="1:12" ht="14.5">
      <c r="A13" s="140">
        <v>5</v>
      </c>
      <c r="B13" s="129" t="s">
        <v>284</v>
      </c>
      <c r="C13" s="128" t="s">
        <v>309</v>
      </c>
      <c r="D13" s="127">
        <f>[1]!thsiFinD("ths_mergesize_fund",$B13,"2026-06-30")/100000000</f>
        <v>390.92893805019997</v>
      </c>
      <c r="E13" s="98">
        <f>[1]!thsiFinD("ths_adjustment_nvg_ratio_fund",$B13,E$4,E$5,101)/100</f>
        <v>-5.6230184791096005E-3</v>
      </c>
      <c r="F13" s="98">
        <f>[1]!thsiFinD("ths_adjustment_nvg_ratio_fund",$B13,F$4,F$5,101)/100</f>
        <v>-2.8519665700411999E-2</v>
      </c>
      <c r="G13" s="98">
        <f>[1]!thsiFinD("ths_adjustment_nvg_ratio_fund",$B13,G$4,G$5,101)/100</f>
        <v>-5.6454912032351999E-2</v>
      </c>
      <c r="H13" s="98">
        <f>[1]!thsiFinD("ths_adjustment_nvg_ratio_fund",$B13,H$4,H$5,101)/100</f>
        <v>2.0379350603219999E-2</v>
      </c>
      <c r="I13" s="98">
        <f>[1]!thsiFinD("ths_adjustment_nvg_ratio_fund",$B13,I$4,I$5,101)/100</f>
        <v>9.3405149814373992E-2</v>
      </c>
      <c r="J13" s="98">
        <f>[1]!thsiFinD("ths_adjustment_nvg_ratio_fund",$B13,J$4,J$5,101)/100</f>
        <v>0.13207290535282001</v>
      </c>
      <c r="K13" s="98">
        <f>-[1]!thsiFinD("ths_max_retrace_rate_all_fund",$B13,J$4,J$5)/100</f>
        <v>-7.0577399089732998E-2</v>
      </c>
      <c r="L13" s="98">
        <f>-[1]!thsiFinD("ths_max_retrace_rate_all_fund",$B13,F$3,F$5)/100</f>
        <v>-7.0577399089732998E-2</v>
      </c>
    </row>
    <row r="14" spans="1:12" ht="14.5">
      <c r="A14" s="141">
        <v>6</v>
      </c>
      <c r="B14" s="132" t="s">
        <v>285</v>
      </c>
      <c r="C14" s="131" t="s">
        <v>310</v>
      </c>
      <c r="D14" s="130">
        <f>[1]!thsiFinD("ths_mergesize_fund",$B14,"2026-06-30")/100000000</f>
        <v>364.61856926730002</v>
      </c>
      <c r="E14" s="99">
        <f>[1]!thsiFinD("ths_adjustment_nvg_ratio_fund",$B14,E$4,E$5,101)/100</f>
        <v>-3.1162866983762997E-3</v>
      </c>
      <c r="F14" s="99">
        <f>[1]!thsiFinD("ths_adjustment_nvg_ratio_fund",$B14,F$4,F$5,101)/100</f>
        <v>-2.6429601153292001E-2</v>
      </c>
      <c r="G14" s="99">
        <f>[1]!thsiFinD("ths_adjustment_nvg_ratio_fund",$B14,G$4,G$5,101)/100</f>
        <v>-3.9484222329008001E-2</v>
      </c>
      <c r="H14" s="99">
        <f>[1]!thsiFinD("ths_adjustment_nvg_ratio_fund",$B14,H$4,H$5,101)/100</f>
        <v>8.2109977606370007E-3</v>
      </c>
      <c r="I14" s="99">
        <f>[1]!thsiFinD("ths_adjustment_nvg_ratio_fund",$B14,I$4,I$5,101)/100</f>
        <v>2.9176392130710999E-3</v>
      </c>
      <c r="J14" s="99">
        <f>[1]!thsiFinD("ths_adjustment_nvg_ratio_fund",$B14,J$4,J$5,101)/100</f>
        <v>3.4124118961664E-2</v>
      </c>
      <c r="K14" s="99">
        <f>-[1]!thsiFinD("ths_max_retrace_rate_all_fund",$B14,J$4,J$5)/100</f>
        <v>-4.5758395670858001E-2</v>
      </c>
      <c r="L14" s="99">
        <f>-[1]!thsiFinD("ths_max_retrace_rate_all_fund",$B14,F$3,F$5)/100</f>
        <v>-4.5758395670858001E-2</v>
      </c>
    </row>
    <row r="15" spans="1:12" ht="14.5">
      <c r="A15" s="140">
        <v>7</v>
      </c>
      <c r="B15" s="129" t="s">
        <v>286</v>
      </c>
      <c r="C15" s="128" t="s">
        <v>311</v>
      </c>
      <c r="D15" s="127">
        <f>[1]!thsiFinD("ths_mergesize_fund",$B15,"2026-06-30")/100000000</f>
        <v>360.54340489449999</v>
      </c>
      <c r="E15" s="98">
        <f>[1]!thsiFinD("ths_adjustment_nvg_ratio_fund",$B15,E$4,E$5,101)/100</f>
        <v>1.9579050416055001E-3</v>
      </c>
      <c r="F15" s="98">
        <f>[1]!thsiFinD("ths_adjustment_nvg_ratio_fund",$B15,F$4,F$5,101)/100</f>
        <v>-3.4079844206424998E-3</v>
      </c>
      <c r="G15" s="98">
        <f>[1]!thsiFinD("ths_adjustment_nvg_ratio_fund",$B15,G$4,G$5,101)/100</f>
        <v>-2.8724440116844999E-2</v>
      </c>
      <c r="H15" s="98">
        <f>[1]!thsiFinD("ths_adjustment_nvg_ratio_fund",$B15,H$4,H$5,101)/100</f>
        <v>1.7395626242544999E-2</v>
      </c>
      <c r="I15" s="98">
        <f>[1]!thsiFinD("ths_adjustment_nvg_ratio_fund",$B15,I$4,I$5,101)/100</f>
        <v>3.7493579866460999E-2</v>
      </c>
      <c r="J15" s="98">
        <f>[1]!thsiFinD("ths_adjustment_nvg_ratio_fund",$B15,J$4,J$5,101)/100</f>
        <v>0.12849162011172999</v>
      </c>
      <c r="K15" s="98">
        <f>-[1]!thsiFinD("ths_max_retrace_rate_all_fund",$B15,J$4,J$5)/100</f>
        <v>-5.2405907575036006E-2</v>
      </c>
      <c r="L15" s="98">
        <f>-[1]!thsiFinD("ths_max_retrace_rate_all_fund",$B15,F$3,F$5)/100</f>
        <v>-5.2405907575036006E-2</v>
      </c>
    </row>
    <row r="16" spans="1:12" ht="14.5">
      <c r="A16" s="141">
        <v>8</v>
      </c>
      <c r="B16" s="132" t="s">
        <v>287</v>
      </c>
      <c r="C16" s="131" t="s">
        <v>312</v>
      </c>
      <c r="D16" s="130">
        <f>[1]!thsiFinD("ths_mergesize_fund",$B16,"2026-06-30")/100000000</f>
        <v>359.1130168821</v>
      </c>
      <c r="E16" s="99">
        <f>[1]!thsiFinD("ths_adjustment_nvg_ratio_fund",$B16,E$4,E$5,101)/100</f>
        <v>-8.8716836808915001E-4</v>
      </c>
      <c r="F16" s="99">
        <f>[1]!thsiFinD("ths_adjustment_nvg_ratio_fund",$B16,F$4,F$5,101)/100</f>
        <v>-1.4714069825226E-2</v>
      </c>
      <c r="G16" s="99">
        <f>[1]!thsiFinD("ths_adjustment_nvg_ratio_fund",$B16,G$4,G$5,101)/100</f>
        <v>-1.6463851118404999E-2</v>
      </c>
      <c r="H16" s="99">
        <f>[1]!thsiFinD("ths_adjustment_nvg_ratio_fund",$B16,H$4,H$5,101)/100</f>
        <v>8.0788491335382999E-4</v>
      </c>
      <c r="I16" s="99">
        <f>[1]!thsiFinD("ths_adjustment_nvg_ratio_fund",$B16,I$4,I$5,101)/100</f>
        <v>1.3123359520353E-2</v>
      </c>
      <c r="J16" s="99">
        <f>[1]!thsiFinD("ths_adjustment_nvg_ratio_fund",$B16,J$4,J$5,101)/100</f>
        <v>3.2241890771658996E-2</v>
      </c>
      <c r="K16" s="99">
        <f>-[1]!thsiFinD("ths_max_retrace_rate_all_fund",$B16,J$4,J$5)/100</f>
        <v>-3.2053291496394E-2</v>
      </c>
      <c r="L16" s="99">
        <f>-[1]!thsiFinD("ths_max_retrace_rate_all_fund",$B16,F$3,F$5)/100</f>
        <v>-3.0877742970785001E-2</v>
      </c>
    </row>
    <row r="17" spans="1:14" ht="14.5">
      <c r="A17" s="140">
        <v>9</v>
      </c>
      <c r="B17" s="129" t="s">
        <v>288</v>
      </c>
      <c r="C17" s="128" t="s">
        <v>313</v>
      </c>
      <c r="D17" s="127">
        <f>[1]!thsiFinD("ths_mergesize_fund",$B17,"2026-06-30")/100000000</f>
        <v>341.58069268150001</v>
      </c>
      <c r="E17" s="98">
        <f>[1]!thsiFinD("ths_adjustment_nvg_ratio_fund",$B17,E$4,E$5,101)/100</f>
        <v>-6.2350119834154007E-3</v>
      </c>
      <c r="F17" s="98">
        <f>[1]!thsiFinD("ths_adjustment_nvg_ratio_fund",$B17,F$4,F$5,101)/100</f>
        <v>-3.8515081191663997E-2</v>
      </c>
      <c r="G17" s="98">
        <f>[1]!thsiFinD("ths_adjustment_nvg_ratio_fund",$B17,G$4,G$5,101)/100</f>
        <v>-4.8259860808042995E-2</v>
      </c>
      <c r="H17" s="98">
        <f>[1]!thsiFinD("ths_adjustment_nvg_ratio_fund",$B17,H$4,H$5,101)/100</f>
        <v>4.8496605388745001E-3</v>
      </c>
      <c r="I17" s="98">
        <f>[1]!thsiFinD("ths_adjustment_nvg_ratio_fund",$B17,I$4,I$5,101)/100</f>
        <v>5.7749360588322002E-2</v>
      </c>
      <c r="J17" s="98">
        <f>[1]!thsiFinD("ths_adjustment_nvg_ratio_fund",$B17,J$4,J$5,101)/100</f>
        <v>8.4942287479927991E-2</v>
      </c>
      <c r="K17" s="98">
        <f>-[1]!thsiFinD("ths_max_retrace_rate_all_fund",$B17,J$4,J$5)/100</f>
        <v>-6.3470319649836002E-2</v>
      </c>
      <c r="L17" s="98">
        <f>-[1]!thsiFinD("ths_max_retrace_rate_all_fund",$B17,F$3,F$5)/100</f>
        <v>-6.3470319649836002E-2</v>
      </c>
    </row>
    <row r="18" spans="1:14" ht="14.5">
      <c r="A18" s="139">
        <v>10</v>
      </c>
      <c r="B18" s="138" t="s">
        <v>289</v>
      </c>
      <c r="C18" s="137" t="s">
        <v>314</v>
      </c>
      <c r="D18" s="124">
        <f>[1]!thsiFinD("ths_mergesize_fund",$B18,"2026-06-30")/100000000</f>
        <v>313.5988336108</v>
      </c>
      <c r="E18" s="99">
        <f>[1]!thsiFinD("ths_adjustment_nvg_ratio_fund",$B18,E$4,E$5,101)/100</f>
        <v>2.8990508963341001E-3</v>
      </c>
      <c r="F18" s="99">
        <f>[1]!thsiFinD("ths_adjustment_nvg_ratio_fund",$B18,F$4,F$5,101)/100</f>
        <v>9.9896657841002994E-4</v>
      </c>
      <c r="G18" s="99">
        <f>[1]!thsiFinD("ths_adjustment_nvg_ratio_fund",$B18,G$4,G$5,101)/100</f>
        <v>-7.2338959456968999E-4</v>
      </c>
      <c r="H18" s="99">
        <f>[1]!thsiFinD("ths_adjustment_nvg_ratio_fund",$B18,H$4,H$5,101)/100</f>
        <v>1.3439007553612001E-3</v>
      </c>
      <c r="I18" s="99">
        <f>[1]!thsiFinD("ths_adjustment_nvg_ratio_fund",$B18,I$4,I$5,101)/100</f>
        <v>-1.3849370949565001E-2</v>
      </c>
      <c r="J18" s="99">
        <f>[1]!thsiFinD("ths_adjustment_nvg_ratio_fund",$B18,J$4,J$5,101)/100</f>
        <v>5.6106202195788005E-2</v>
      </c>
      <c r="K18" s="99">
        <f>-[1]!thsiFinD("ths_max_retrace_rate_all_fund",$B18,J$4,J$5)/100</f>
        <v>-3.3252700081150999E-2</v>
      </c>
      <c r="L18" s="99">
        <f>-[1]!thsiFinD("ths_max_retrace_rate_all_fund",$B18,F$3,F$5)/100</f>
        <v>-2.6377751246695998E-2</v>
      </c>
    </row>
    <row r="19" spans="1:14" ht="30" customHeight="1">
      <c r="A19" s="136"/>
      <c r="B19" s="136"/>
      <c r="C19" s="91" t="s">
        <v>492</v>
      </c>
      <c r="D19" s="91"/>
      <c r="E19" s="91"/>
      <c r="F19" s="91"/>
      <c r="G19" s="91"/>
      <c r="H19" s="91"/>
      <c r="I19" s="91"/>
      <c r="J19" s="91"/>
      <c r="K19" s="91"/>
      <c r="L19" s="91"/>
    </row>
    <row r="20" spans="1:14" ht="14.5" customHeight="1">
      <c r="A20" s="64" t="str">
        <f>表3_23[[#Headers],[序号]]</f>
        <v>序号</v>
      </c>
      <c r="B20" s="64" t="str">
        <f>表3_23[[#Headers],[基金代码]]</f>
        <v>基金代码</v>
      </c>
      <c r="C20" s="64" t="str">
        <f>表3_23[[#Headers],[8/24-8/28]]</f>
        <v>8/24-8/28</v>
      </c>
      <c r="D20" s="135" t="s">
        <v>491</v>
      </c>
      <c r="E20" s="64" t="str">
        <f>表3_23[[#Headers],[上周]]</f>
        <v>上周</v>
      </c>
      <c r="F20" s="64" t="str">
        <f>表3_23[[#Headers],[6/22以来]]</f>
        <v>6/22以来</v>
      </c>
      <c r="G20" s="64" t="str">
        <f>表3_23[[#Headers],[6/22-7/30]]</f>
        <v>6/22-7/30</v>
      </c>
      <c r="H20" s="64" t="str">
        <f>表3_23[[#Headers],[7/31以来]]</f>
        <v>7/31以来</v>
      </c>
      <c r="I20" s="134" t="s">
        <v>490</v>
      </c>
      <c r="J20" s="134" t="s">
        <v>489</v>
      </c>
      <c r="K20" s="134" t="s">
        <v>488</v>
      </c>
      <c r="L20" s="90" t="str">
        <f>表3_23[[#Headers],[最大回撤（6/22以来）]]</f>
        <v>最大回撤（6/22以来）</v>
      </c>
    </row>
    <row r="21" spans="1:14" ht="16.5">
      <c r="A21" s="65" t="s">
        <v>202</v>
      </c>
      <c r="B21" s="66"/>
      <c r="C21" s="67" t="str">
        <f>C8</f>
        <v>10/90基石投顾组合</v>
      </c>
      <c r="D21" s="66"/>
      <c r="E21" s="102">
        <f>E$2/E$1-1</f>
        <v>2.6065801202479477E-4</v>
      </c>
      <c r="F21" s="102">
        <f>F$2/F$1-1</f>
        <v>-4.7971399999999775E-3</v>
      </c>
      <c r="G21" s="102">
        <f>G$2/G$1-1</f>
        <v>-2.6236739999999981E-2</v>
      </c>
      <c r="H21" s="102">
        <f>H$2/H$1-1</f>
        <v>1.8570893057098026E-2</v>
      </c>
      <c r="I21" s="102"/>
      <c r="J21" s="102"/>
      <c r="K21" s="102"/>
      <c r="L21" s="103">
        <f>L8</f>
        <v>-2.8899999999999999E-2</v>
      </c>
    </row>
    <row r="22" spans="1:14" ht="16.5">
      <c r="A22" s="68">
        <v>1</v>
      </c>
      <c r="B22" s="129" t="s">
        <v>280</v>
      </c>
      <c r="C22" s="128" t="s">
        <v>305</v>
      </c>
      <c r="D22" s="127">
        <f>[1]!thsiFinD("ths_mergesize_fund",$B22,"2026-06-30")/100000000-[1]!thsiFinD("ths_mergesize_fund",$B22,"2026-03-31")/100000000</f>
        <v>390.9686369515</v>
      </c>
      <c r="E22" s="104">
        <f>[1]!thsiFinD("ths_adjustment_nvg_ratio_fund",$B22,E$4,E$5,101)/100</f>
        <v>-9.3343908194245991E-3</v>
      </c>
      <c r="F22" s="104">
        <f>[1]!thsiFinD("ths_adjustment_nvg_ratio_fund",$B22,F$4,F$5,101)/100</f>
        <v>-5.1795620440991993E-2</v>
      </c>
      <c r="G22" s="104">
        <f>[1]!thsiFinD("ths_adjustment_nvg_ratio_fund",$B22,G$4,G$5,101)/100</f>
        <v>-7.3401459857001999E-2</v>
      </c>
      <c r="H22" s="104">
        <f>[1]!thsiFinD("ths_adjustment_nvg_ratio_fund",$B22,H$4,H$5,101)/100</f>
        <v>1.3797839834773999E-2</v>
      </c>
      <c r="I22" s="104">
        <f>[1]!thsiFinD("ths_adjustment_nvg_ratio_fund",$B22,I$4,I$5,101)/100</f>
        <v>6.7190284524301008E-2</v>
      </c>
      <c r="J22" s="104">
        <f>[1]!thsiFinD("ths_adjustment_nvg_ratio_fund",$B22,J$4,J$5,101)/100</f>
        <v>0.110889728629</v>
      </c>
      <c r="K22" s="104">
        <f>-[1]!thsiFinD("ths_max_retrace_rate_all_fund",$B22,J$4,J$5)/100</f>
        <v>-7.8192169154790991E-2</v>
      </c>
      <c r="L22" s="105">
        <f>-[1]!thsiFinD("ths_max_retrace_rate_all_fund",$B22,F$3,F$5)/100</f>
        <v>-7.8192169154790991E-2</v>
      </c>
      <c r="N22" s="133"/>
    </row>
    <row r="23" spans="1:14" ht="16.5">
      <c r="A23" s="71">
        <v>2</v>
      </c>
      <c r="B23" s="132" t="s">
        <v>284</v>
      </c>
      <c r="C23" s="131" t="s">
        <v>487</v>
      </c>
      <c r="D23" s="130">
        <f>[1]!thsiFinD("ths_mergesize_fund",$B23,"2026-06-30")/100000000-[1]!thsiFinD("ths_mergesize_fund",$B23,"2026-03-31")/100000000</f>
        <v>347.40493853379996</v>
      </c>
      <c r="E23" s="106">
        <f>[1]!thsiFinD("ths_adjustment_nvg_ratio_fund",$B23,E$4,E$5,101)/100</f>
        <v>-5.6230184791096005E-3</v>
      </c>
      <c r="F23" s="106">
        <f>[1]!thsiFinD("ths_adjustment_nvg_ratio_fund",$B23,F$4,F$5,101)/100</f>
        <v>-2.8519665700411999E-2</v>
      </c>
      <c r="G23" s="106">
        <f>[1]!thsiFinD("ths_adjustment_nvg_ratio_fund",$B23,G$4,G$5,101)/100</f>
        <v>-5.6454912032351999E-2</v>
      </c>
      <c r="H23" s="106">
        <f>[1]!thsiFinD("ths_adjustment_nvg_ratio_fund",$B23,H$4,H$5,101)/100</f>
        <v>2.0379350603219999E-2</v>
      </c>
      <c r="I23" s="106">
        <f>[1]!thsiFinD("ths_adjustment_nvg_ratio_fund",$B23,I$4,I$5,101)/100</f>
        <v>9.3405149814373992E-2</v>
      </c>
      <c r="J23" s="106">
        <f>[1]!thsiFinD("ths_adjustment_nvg_ratio_fund",$B23,J$4,J$5,101)/100</f>
        <v>0.13207290535282001</v>
      </c>
      <c r="K23" s="106">
        <f>-[1]!thsiFinD("ths_max_retrace_rate_all_fund",$B23,J$4,J$5)/100</f>
        <v>-7.0577399089732998E-2</v>
      </c>
      <c r="L23" s="107">
        <f>-[1]!thsiFinD("ths_max_retrace_rate_all_fund",$B23,F$3,F$5)/100</f>
        <v>-7.0577399089732998E-2</v>
      </c>
    </row>
    <row r="24" spans="1:14" ht="16.5">
      <c r="A24" s="68">
        <v>3</v>
      </c>
      <c r="B24" s="129" t="s">
        <v>290</v>
      </c>
      <c r="C24" s="128" t="s">
        <v>316</v>
      </c>
      <c r="D24" s="127">
        <f>[1]!thsiFinD("ths_mergesize_fund",$B24,"2026-06-30")/100000000-[1]!thsiFinD("ths_mergesize_fund",$B24,"2026-03-31")/100000000</f>
        <v>254.64495321139995</v>
      </c>
      <c r="E24" s="104">
        <f>[1]!thsiFinD("ths_adjustment_nvg_ratio_fund",$B24,E$4,E$5,101)/100</f>
        <v>-4.2755027102040002E-3</v>
      </c>
      <c r="F24" s="104">
        <f>[1]!thsiFinD("ths_adjustment_nvg_ratio_fund",$B24,F$4,F$5,101)/100</f>
        <v>-4.5041004637270995E-2</v>
      </c>
      <c r="G24" s="104">
        <f>[1]!thsiFinD("ths_adjustment_nvg_ratio_fund",$B24,G$4,G$5,101)/100</f>
        <v>-5.3754484891249996E-2</v>
      </c>
      <c r="H24" s="104">
        <f>[1]!thsiFinD("ths_adjustment_nvg_ratio_fund",$B24,H$4,H$5,101)/100</f>
        <v>2.5559964879114001E-3</v>
      </c>
      <c r="I24" s="104">
        <f>[1]!thsiFinD("ths_adjustment_nvg_ratio_fund",$B24,I$4,I$5,101)/100</f>
        <v>8.8491010874772E-2</v>
      </c>
      <c r="J24" s="104">
        <f>[1]!thsiFinD("ths_adjustment_nvg_ratio_fund",$B24,J$4,J$5,101)/100</f>
        <v>0.12081575728235</v>
      </c>
      <c r="K24" s="104">
        <f>-[1]!thsiFinD("ths_max_retrace_rate_all_fund",$B24,J$4,J$5)/100</f>
        <v>-6.6641375828729005E-2</v>
      </c>
      <c r="L24" s="105">
        <f>-[1]!thsiFinD("ths_max_retrace_rate_all_fund",$B24,F$3,F$5)/100</f>
        <v>-6.6198786055969003E-2</v>
      </c>
    </row>
    <row r="25" spans="1:14" ht="16.5">
      <c r="A25" s="71">
        <v>4</v>
      </c>
      <c r="B25" s="132" t="s">
        <v>281</v>
      </c>
      <c r="C25" s="131" t="s">
        <v>486</v>
      </c>
      <c r="D25" s="130">
        <f>[1]!thsiFinD("ths_mergesize_fund",$B25,"2026-06-30")/100000000-[1]!thsiFinD("ths_mergesize_fund",$B25,"2026-03-31")/100000000</f>
        <v>227.51174090889992</v>
      </c>
      <c r="E25" s="106">
        <f>[1]!thsiFinD("ths_adjustment_nvg_ratio_fund",$B25,E$4,E$5,101)/100</f>
        <v>-3.0415834319961E-3</v>
      </c>
      <c r="F25" s="106">
        <f>[1]!thsiFinD("ths_adjustment_nvg_ratio_fund",$B25,F$4,F$5,101)/100</f>
        <v>-2.9948319255067003E-2</v>
      </c>
      <c r="G25" s="106">
        <f>[1]!thsiFinD("ths_adjustment_nvg_ratio_fund",$B25,G$4,G$5,101)/100</f>
        <v>-5.1945757323097003E-2</v>
      </c>
      <c r="H25" s="106">
        <f>[1]!thsiFinD("ths_adjustment_nvg_ratio_fund",$B25,H$4,H$5,101)/100</f>
        <v>1.6007402276481997E-2</v>
      </c>
      <c r="I25" s="106">
        <f>[1]!thsiFinD("ths_adjustment_nvg_ratio_fund",$B25,I$4,I$5,101)/100</f>
        <v>2.6313320809483998E-2</v>
      </c>
      <c r="J25" s="106">
        <f>[1]!thsiFinD("ths_adjustment_nvg_ratio_fund",$B25,J$4,J$5,101)/100</f>
        <v>7.6714890241055003E-2</v>
      </c>
      <c r="K25" s="106">
        <f>-[1]!thsiFinD("ths_max_retrace_rate_all_fund",$B25,J$4,J$5)/100</f>
        <v>-6.0905709922503999E-2</v>
      </c>
      <c r="L25" s="107">
        <f>-[1]!thsiFinD("ths_max_retrace_rate_all_fund",$B25,F$3,F$5)/100</f>
        <v>-6.0905709922503999E-2</v>
      </c>
    </row>
    <row r="26" spans="1:14" ht="16.5">
      <c r="A26" s="68">
        <v>5</v>
      </c>
      <c r="B26" s="129" t="s">
        <v>291</v>
      </c>
      <c r="C26" s="128" t="s">
        <v>317</v>
      </c>
      <c r="D26" s="127">
        <f>[1]!thsiFinD("ths_mergesize_fund",$B26,"2026-06-30")/100000000-[1]!thsiFinD("ths_mergesize_fund",$B26,"2026-03-31")/100000000</f>
        <v>171.69679059780003</v>
      </c>
      <c r="E26" s="104">
        <f>[1]!thsiFinD("ths_adjustment_nvg_ratio_fund",$B26,E$4,E$5,101)/100</f>
        <v>1.9330855021928001E-3</v>
      </c>
      <c r="F26" s="104">
        <f>[1]!thsiFinD("ths_adjustment_nvg_ratio_fund",$B26,F$4,F$5,101)/100</f>
        <v>-2.6722519150845E-2</v>
      </c>
      <c r="G26" s="104">
        <f>[1]!thsiFinD("ths_adjustment_nvg_ratio_fund",$B26,G$4,G$5,101)/100</f>
        <v>-4.0589339891791996E-2</v>
      </c>
      <c r="H26" s="104">
        <f>[1]!thsiFinD("ths_adjustment_nvg_ratio_fund",$B26,H$4,H$5,101)/100</f>
        <v>1.2700082665478001E-2</v>
      </c>
      <c r="I26" s="104">
        <f>[1]!thsiFinD("ths_adjustment_nvg_ratio_fund",$B26,I$4,I$5,101)/100</f>
        <v>6.5844597257849996E-2</v>
      </c>
      <c r="J26" s="104">
        <f>[1]!thsiFinD("ths_adjustment_nvg_ratio_fund",$B26,J$4,J$5,101)/100</f>
        <v>0.11557872096815</v>
      </c>
      <c r="K26" s="104">
        <f>-[1]!thsiFinD("ths_max_retrace_rate_all_fund",$B26,J$4,J$5)/100</f>
        <v>-5.0897343862490001E-2</v>
      </c>
      <c r="L26" s="105">
        <f>-[1]!thsiFinD("ths_max_retrace_rate_all_fund",$B26,F$3,F$5)/100</f>
        <v>-5.0897343862490001E-2</v>
      </c>
    </row>
    <row r="27" spans="1:14" ht="16.5">
      <c r="A27" s="71">
        <v>6</v>
      </c>
      <c r="B27" s="132" t="s">
        <v>288</v>
      </c>
      <c r="C27" s="131" t="s">
        <v>485</v>
      </c>
      <c r="D27" s="130">
        <f>[1]!thsiFinD("ths_mergesize_fund",$B27,"2026-06-30")/100000000-[1]!thsiFinD("ths_mergesize_fund",$B27,"2026-03-31")/100000000</f>
        <v>146.24504735390002</v>
      </c>
      <c r="E27" s="106">
        <f>[1]!thsiFinD("ths_adjustment_nvg_ratio_fund",$B27,E$4,E$5,101)/100</f>
        <v>-6.2350119834154007E-3</v>
      </c>
      <c r="F27" s="106">
        <f>[1]!thsiFinD("ths_adjustment_nvg_ratio_fund",$B27,F$4,F$5,101)/100</f>
        <v>-3.8515081191663997E-2</v>
      </c>
      <c r="G27" s="106">
        <f>[1]!thsiFinD("ths_adjustment_nvg_ratio_fund",$B27,G$4,G$5,101)/100</f>
        <v>-4.8259860808042995E-2</v>
      </c>
      <c r="H27" s="106">
        <f>[1]!thsiFinD("ths_adjustment_nvg_ratio_fund",$B27,H$4,H$5,101)/100</f>
        <v>4.8496605388745001E-3</v>
      </c>
      <c r="I27" s="106">
        <f>[1]!thsiFinD("ths_adjustment_nvg_ratio_fund",$B27,I$4,I$5,101)/100</f>
        <v>5.7749360588322002E-2</v>
      </c>
      <c r="J27" s="106">
        <f>[1]!thsiFinD("ths_adjustment_nvg_ratio_fund",$B27,J$4,J$5,101)/100</f>
        <v>8.4942287479927991E-2</v>
      </c>
      <c r="K27" s="106">
        <f>-[1]!thsiFinD("ths_max_retrace_rate_all_fund",$B27,J$4,J$5)/100</f>
        <v>-6.3470319649836002E-2</v>
      </c>
      <c r="L27" s="107">
        <f>-[1]!thsiFinD("ths_max_retrace_rate_all_fund",$B27,F$3,F$5)/100</f>
        <v>-6.3470319649836002E-2</v>
      </c>
    </row>
    <row r="28" spans="1:14" ht="16.5">
      <c r="A28" s="68">
        <v>7</v>
      </c>
      <c r="B28" s="129" t="s">
        <v>292</v>
      </c>
      <c r="C28" s="128" t="s">
        <v>318</v>
      </c>
      <c r="D28" s="127">
        <f>[1]!thsiFinD("ths_mergesize_fund",$B28,"2026-06-30")/100000000-[1]!thsiFinD("ths_mergesize_fund",$B28,"2026-03-31")/100000000</f>
        <v>129.5839891018</v>
      </c>
      <c r="E28" s="104">
        <f>[1]!thsiFinD("ths_adjustment_nvg_ratio_fund",$B28,E$4,E$5,101)/100</f>
        <v>-3.9488232506708999E-4</v>
      </c>
      <c r="F28" s="104">
        <f>[1]!thsiFinD("ths_adjustment_nvg_ratio_fund",$B28,F$4,F$5,101)/100</f>
        <v>2.9318541996830997E-3</v>
      </c>
      <c r="G28" s="104">
        <f>[1]!thsiFinD("ths_adjustment_nvg_ratio_fund",$B28,G$4,G$5,101)/100</f>
        <v>-2.2028526148969999E-2</v>
      </c>
      <c r="H28" s="104">
        <f>[1]!thsiFinD("ths_adjustment_nvg_ratio_fund",$B28,H$4,H$5,101)/100</f>
        <v>1.8918048623410001E-2</v>
      </c>
      <c r="I28" s="104">
        <f>[1]!thsiFinD("ths_adjustment_nvg_ratio_fund",$B28,I$4,I$5,101)/100</f>
        <v>4.6082182665114005E-2</v>
      </c>
      <c r="J28" s="104">
        <f>[1]!thsiFinD("ths_adjustment_nvg_ratio_fund",$B28,J$4,J$5,101)/100</f>
        <v>0.10879915358843001</v>
      </c>
      <c r="K28" s="104">
        <f>-[1]!thsiFinD("ths_max_retrace_rate_all_fund",$B28,J$4,J$5)/100</f>
        <v>-4.6444909668915006E-2</v>
      </c>
      <c r="L28" s="105">
        <f>-[1]!thsiFinD("ths_max_retrace_rate_all_fund",$B28,F$3,F$5)/100</f>
        <v>-4.6444909668915006E-2</v>
      </c>
    </row>
    <row r="29" spans="1:14" ht="16.5">
      <c r="A29" s="71">
        <v>8</v>
      </c>
      <c r="B29" s="132" t="s">
        <v>286</v>
      </c>
      <c r="C29" s="131" t="s">
        <v>484</v>
      </c>
      <c r="D29" s="130">
        <f>[1]!thsiFinD("ths_mergesize_fund",$B29,"2026-06-30")/100000000-[1]!thsiFinD("ths_mergesize_fund",$B29,"2026-03-31")/100000000</f>
        <v>123.13430734049996</v>
      </c>
      <c r="E29" s="106">
        <f>[1]!thsiFinD("ths_adjustment_nvg_ratio_fund",$B29,E$4,E$5,101)/100</f>
        <v>1.9579050416055001E-3</v>
      </c>
      <c r="F29" s="106">
        <f>[1]!thsiFinD("ths_adjustment_nvg_ratio_fund",$B29,F$4,F$5,101)/100</f>
        <v>-3.4079844206424998E-3</v>
      </c>
      <c r="G29" s="106">
        <f>[1]!thsiFinD("ths_adjustment_nvg_ratio_fund",$B29,G$4,G$5,101)/100</f>
        <v>-2.8724440116844999E-2</v>
      </c>
      <c r="H29" s="106">
        <f>[1]!thsiFinD("ths_adjustment_nvg_ratio_fund",$B29,H$4,H$5,101)/100</f>
        <v>1.7395626242544999E-2</v>
      </c>
      <c r="I29" s="106">
        <f>[1]!thsiFinD("ths_adjustment_nvg_ratio_fund",$B29,I$4,I$5,101)/100</f>
        <v>3.7493579866460999E-2</v>
      </c>
      <c r="J29" s="106">
        <f>[1]!thsiFinD("ths_adjustment_nvg_ratio_fund",$B29,J$4,J$5,101)/100</f>
        <v>0.12849162011172999</v>
      </c>
      <c r="K29" s="106">
        <f>-[1]!thsiFinD("ths_max_retrace_rate_all_fund",$B29,J$4,J$5)/100</f>
        <v>-5.2405907575036006E-2</v>
      </c>
      <c r="L29" s="107">
        <f>-[1]!thsiFinD("ths_max_retrace_rate_all_fund",$B29,F$3,F$5)/100</f>
        <v>-5.2405907575036006E-2</v>
      </c>
    </row>
    <row r="30" spans="1:14" ht="16.5">
      <c r="A30" s="68">
        <v>9</v>
      </c>
      <c r="B30" s="129" t="s">
        <v>293</v>
      </c>
      <c r="C30" s="128" t="s">
        <v>319</v>
      </c>
      <c r="D30" s="127">
        <f>[1]!thsiFinD("ths_mergesize_fund",$B30,"2026-06-30")/100000000-[1]!thsiFinD("ths_mergesize_fund",$B30,"2026-03-31")/100000000</f>
        <v>120.11024650360001</v>
      </c>
      <c r="E30" s="104">
        <f>[1]!thsiFinD("ths_adjustment_nvg_ratio_fund",$B30,E$4,E$5,101)/100</f>
        <v>-7.5776711290721993E-4</v>
      </c>
      <c r="F30" s="104">
        <f>[1]!thsiFinD("ths_adjustment_nvg_ratio_fund",$B30,F$4,F$5,101)/100</f>
        <v>-3.6531904529956E-2</v>
      </c>
      <c r="G30" s="104">
        <f>[1]!thsiFinD("ths_adjustment_nvg_ratio_fund",$B30,G$4,G$5,101)/100</f>
        <v>-4.7978567949341994E-2</v>
      </c>
      <c r="H30" s="104">
        <f>[1]!thsiFinD("ths_adjustment_nvg_ratio_fund",$B30,H$4,H$5,101)/100</f>
        <v>7.9836928826228001E-3</v>
      </c>
      <c r="I30" s="104">
        <f>[1]!thsiFinD("ths_adjustment_nvg_ratio_fund",$B30,I$4,I$5,101)/100</f>
        <v>2.1341198924265E-2</v>
      </c>
      <c r="J30" s="104">
        <f>[1]!thsiFinD("ths_adjustment_nvg_ratio_fund",$B30,J$4,J$5,101)/100</f>
        <v>6.1108607480846996E-2</v>
      </c>
      <c r="K30" s="104">
        <f>-[1]!thsiFinD("ths_max_retrace_rate_all_fund",$B30,J$4,J$5)/100</f>
        <v>-5.7478666881338999E-2</v>
      </c>
      <c r="L30" s="105">
        <f>-[1]!thsiFinD("ths_max_retrace_rate_all_fund",$B30,F$3,F$5)/100</f>
        <v>-5.7478666881338999E-2</v>
      </c>
    </row>
    <row r="31" spans="1:14" ht="16.5">
      <c r="A31" s="71">
        <v>10</v>
      </c>
      <c r="B31" s="126" t="s">
        <v>287</v>
      </c>
      <c r="C31" s="125" t="s">
        <v>483</v>
      </c>
      <c r="D31" s="124">
        <f>[1]!thsiFinD("ths_mergesize_fund",$B31,"2026-06-30")/100000000-[1]!thsiFinD("ths_mergesize_fund",$B31,"2026-03-31")/100000000</f>
        <v>113.87927757099999</v>
      </c>
      <c r="E31" s="108">
        <f>[1]!thsiFinD("ths_adjustment_nvg_ratio_fund",$B31,E$4,E$5,101)/100</f>
        <v>-8.8716836808915001E-4</v>
      </c>
      <c r="F31" s="108">
        <f>[1]!thsiFinD("ths_adjustment_nvg_ratio_fund",$B31,F$4,F$5,101)/100</f>
        <v>-1.4714069825226E-2</v>
      </c>
      <c r="G31" s="108">
        <f>[1]!thsiFinD("ths_adjustment_nvg_ratio_fund",$B31,G$4,G$5,101)/100</f>
        <v>-1.6463851118404999E-2</v>
      </c>
      <c r="H31" s="108">
        <f>[1]!thsiFinD("ths_adjustment_nvg_ratio_fund",$B31,H$4,H$5,101)/100</f>
        <v>8.0788491335382999E-4</v>
      </c>
      <c r="I31" s="108">
        <f>[1]!thsiFinD("ths_adjustment_nvg_ratio_fund",$B31,I$4,I$5,101)/100</f>
        <v>1.3123359520353E-2</v>
      </c>
      <c r="J31" s="108">
        <f>[1]!thsiFinD("ths_adjustment_nvg_ratio_fund",$B31,J$4,J$5,101)/100</f>
        <v>3.2241890771658996E-2</v>
      </c>
      <c r="K31" s="108">
        <f>-[1]!thsiFinD("ths_max_retrace_rate_all_fund",$B31,J$4,J$5)/100</f>
        <v>-3.2053291496394E-2</v>
      </c>
      <c r="L31" s="109">
        <f>-[1]!thsiFinD("ths_max_retrace_rate_all_fund",$B31,F$3,F$5)/100</f>
        <v>-3.0877742970785001E-2</v>
      </c>
    </row>
    <row r="32" spans="1:14" ht="16.5" customHeight="1">
      <c r="A32" s="121"/>
      <c r="B32" s="121"/>
      <c r="C32" s="123" t="s">
        <v>482</v>
      </c>
      <c r="D32" s="123"/>
      <c r="E32" s="123"/>
      <c r="F32" s="123"/>
      <c r="G32" s="123"/>
      <c r="H32" s="123"/>
      <c r="I32" s="123"/>
      <c r="J32" s="123"/>
      <c r="K32" s="123"/>
      <c r="L32" s="123"/>
    </row>
    <row r="35" spans="1:12" ht="36" customHeight="1">
      <c r="A35" s="91"/>
      <c r="B35" s="91"/>
      <c r="C35" s="91" t="s">
        <v>481</v>
      </c>
      <c r="D35" s="91"/>
      <c r="E35" s="91"/>
      <c r="F35" s="91"/>
      <c r="G35" s="91"/>
      <c r="H35" s="91"/>
      <c r="I35" s="91"/>
      <c r="J35" s="91"/>
      <c r="K35" s="91"/>
      <c r="L35" s="91"/>
    </row>
    <row r="36" spans="1:12" ht="43" customHeight="1">
      <c r="A36" s="64" t="str">
        <f>A20</f>
        <v>序号</v>
      </c>
      <c r="B36" s="64" t="str">
        <f>B20</f>
        <v>基金代码</v>
      </c>
      <c r="C36" s="64" t="str">
        <f>C20</f>
        <v>8/24-8/28</v>
      </c>
      <c r="D36" s="64" t="s">
        <v>480</v>
      </c>
      <c r="E36" s="64" t="str">
        <f>E20</f>
        <v>上周</v>
      </c>
      <c r="F36" s="64" t="str">
        <f>F20</f>
        <v>6/22以来</v>
      </c>
      <c r="G36" s="64" t="str">
        <f>G20</f>
        <v>6/22-7/30</v>
      </c>
      <c r="H36" s="64" t="str">
        <f>H20</f>
        <v>7/31以来</v>
      </c>
      <c r="I36" s="64"/>
      <c r="J36" s="64"/>
      <c r="K36" s="64"/>
      <c r="L36" s="90" t="str">
        <f>L20</f>
        <v>最大回撤（6/22以来）</v>
      </c>
    </row>
    <row r="37" spans="1:12" ht="16.5">
      <c r="A37" s="65" t="s">
        <v>202</v>
      </c>
      <c r="B37" s="66"/>
      <c r="C37" s="67" t="str">
        <f>C8</f>
        <v>10/90基石投顾组合</v>
      </c>
      <c r="D37" s="84"/>
      <c r="E37" s="110">
        <f>E$2/E$1-1</f>
        <v>2.6065801202479477E-4</v>
      </c>
      <c r="F37" s="110">
        <f>F$2/F$1-1</f>
        <v>-4.7971399999999775E-3</v>
      </c>
      <c r="G37" s="102">
        <f>G$2/G$1-1</f>
        <v>-2.6236739999999981E-2</v>
      </c>
      <c r="H37" s="102">
        <f>H$2/H$1-1</f>
        <v>1.8570893057098026E-2</v>
      </c>
      <c r="I37" s="122"/>
      <c r="J37" s="122"/>
      <c r="K37" s="122"/>
      <c r="L37" s="103">
        <f>L8</f>
        <v>-2.8899999999999999E-2</v>
      </c>
    </row>
    <row r="38" spans="1:12" ht="16.5">
      <c r="A38" s="68">
        <v>1</v>
      </c>
      <c r="B38" s="69" t="s">
        <v>294</v>
      </c>
      <c r="C38" s="70" t="s">
        <v>320</v>
      </c>
      <c r="D38" s="94">
        <v>5265</v>
      </c>
      <c r="E38" s="111">
        <f>[1]!thsiFinD("ths_adjustment_nvg_ratio_fund",$B38,E$4,E$5,101)/100</f>
        <v>2.6913068594001997E-4</v>
      </c>
      <c r="F38" s="111">
        <f>[1]!thsiFinD("ths_adjustment_nvg_ratio_fund",$B38,F$4,F$5,101)/100</f>
        <v>-5.7156450723018001E-3</v>
      </c>
      <c r="G38" s="104">
        <f>[1]!thsiFinD("ths_adjustment_nvg_ratio_fund",$B38,G$4,G$5,101)/100</f>
        <v>-1.8110759418334E-2</v>
      </c>
      <c r="H38" s="104">
        <f>[1]!thsiFinD("ths_adjustment_nvg_ratio_fund",$B38,H$4,H$5,101)/100</f>
        <v>8.9584653102628004E-3</v>
      </c>
      <c r="I38" s="104"/>
      <c r="J38" s="104"/>
      <c r="K38" s="104"/>
      <c r="L38" s="105">
        <f>-[1]!thsiFinD("ths_max_retrace_rate_all_fund",$B38,F$3,F$5)/100</f>
        <v>-1.8873622199938999E-2</v>
      </c>
    </row>
    <row r="39" spans="1:12" ht="16.5">
      <c r="A39" s="71">
        <v>2</v>
      </c>
      <c r="B39" s="72" t="s">
        <v>295</v>
      </c>
      <c r="C39" s="73" t="s">
        <v>321</v>
      </c>
      <c r="D39" s="95">
        <v>896</v>
      </c>
      <c r="E39" s="112">
        <f>[1]!thsiFinD("ths_adjustment_nvg_ratio_fund",$B39,E$4,E$5,101)/100</f>
        <v>5.8939096267184E-4</v>
      </c>
      <c r="F39" s="112">
        <f>[1]!thsiFinD("ths_adjustment_nvg_ratio_fund",$B39,F$4,F$5,101)/100</f>
        <v>2.2631112860375998E-3</v>
      </c>
      <c r="G39" s="106">
        <f>[1]!thsiFinD("ths_adjustment_nvg_ratio_fund",$B39,G$4,G$5,101)/100</f>
        <v>-1.2397914001770999E-2</v>
      </c>
      <c r="H39" s="106">
        <f>[1]!thsiFinD("ths_adjustment_nvg_ratio_fund",$B39,H$4,H$5,101)/100</f>
        <v>1.1820800635741001E-2</v>
      </c>
      <c r="I39" s="106"/>
      <c r="J39" s="106"/>
      <c r="K39" s="106"/>
      <c r="L39" s="107">
        <f>-[1]!thsiFinD("ths_max_retrace_rate_all_fund",$B39,F$3,F$5)/100</f>
        <v>-1.3283479287611999E-2</v>
      </c>
    </row>
    <row r="40" spans="1:12" ht="16.5">
      <c r="A40" s="68">
        <v>3</v>
      </c>
      <c r="B40" s="69" t="s">
        <v>296</v>
      </c>
      <c r="C40" s="70" t="s">
        <v>297</v>
      </c>
      <c r="D40" s="94">
        <v>239</v>
      </c>
      <c r="E40" s="111">
        <f>[1]!thsiFinD("ths_adjustment_nvg_ratio_fund",$B40,E$4,E$5,101)/100</f>
        <v>-9.9329525701504005E-4</v>
      </c>
      <c r="F40" s="111">
        <f>[1]!thsiFinD("ths_adjustment_nvg_ratio_fund",$B40,F$4,F$5,101)/100</f>
        <v>-2.0214320506575997E-2</v>
      </c>
      <c r="G40" s="104">
        <f>[1]!thsiFinD("ths_adjustment_nvg_ratio_fund",$B40,G$4,G$5,101)/100</f>
        <v>-2.6627699301834999E-2</v>
      </c>
      <c r="H40" s="104">
        <f>[1]!thsiFinD("ths_adjustment_nvg_ratio_fund",$B40,H$4,H$5,101)/100</f>
        <v>4.5779923422674005E-3</v>
      </c>
      <c r="I40" s="104"/>
      <c r="J40" s="104"/>
      <c r="K40" s="104"/>
      <c r="L40" s="105">
        <f>-[1]!thsiFinD("ths_max_retrace_rate_all_fund",$B40,F$3,F$5)/100</f>
        <v>-4.9419990465597002E-2</v>
      </c>
    </row>
    <row r="41" spans="1:12" ht="16.5">
      <c r="A41" s="71">
        <v>4</v>
      </c>
      <c r="B41" s="72" t="s">
        <v>284</v>
      </c>
      <c r="C41" s="73" t="s">
        <v>309</v>
      </c>
      <c r="D41" s="95">
        <v>225</v>
      </c>
      <c r="E41" s="112">
        <f>[1]!thsiFinD("ths_adjustment_nvg_ratio_fund",$B41,E$4,E$5,101)/100</f>
        <v>-5.6230184791096005E-3</v>
      </c>
      <c r="F41" s="112">
        <f>[1]!thsiFinD("ths_adjustment_nvg_ratio_fund",$B41,F$4,F$5,101)/100</f>
        <v>-2.8519665700411999E-2</v>
      </c>
      <c r="G41" s="106">
        <f>[1]!thsiFinD("ths_adjustment_nvg_ratio_fund",$B41,G$4,G$5,101)/100</f>
        <v>-5.6454912032351999E-2</v>
      </c>
      <c r="H41" s="106">
        <f>[1]!thsiFinD("ths_adjustment_nvg_ratio_fund",$B41,H$4,H$5,101)/100</f>
        <v>2.0379350603219999E-2</v>
      </c>
      <c r="I41" s="106"/>
      <c r="J41" s="106"/>
      <c r="K41" s="106"/>
      <c r="L41" s="107">
        <f>-[1]!thsiFinD("ths_max_retrace_rate_all_fund",$B41,F$3,F$5)/100</f>
        <v>-7.0577399089732998E-2</v>
      </c>
    </row>
    <row r="42" spans="1:12" ht="16.5">
      <c r="A42" s="68">
        <v>5</v>
      </c>
      <c r="B42" s="69" t="s">
        <v>298</v>
      </c>
      <c r="C42" s="70" t="s">
        <v>322</v>
      </c>
      <c r="D42" s="94">
        <v>205</v>
      </c>
      <c r="E42" s="111">
        <f>[1]!thsiFinD("ths_adjustment_nvg_ratio_fund",$B42,E$4,E$5,101)/100</f>
        <v>-3.735325506937E-3</v>
      </c>
      <c r="F42" s="111">
        <f>[1]!thsiFinD("ths_adjustment_nvg_ratio_fund",$B42,F$4,F$5,101)/100</f>
        <v>-3.7049772199776003E-2</v>
      </c>
      <c r="G42" s="104">
        <f>[1]!thsiFinD("ths_adjustment_nvg_ratio_fund",$B42,G$4,G$5,101)/100</f>
        <v>-2.9313160835554002E-2</v>
      </c>
      <c r="H42" s="104">
        <f>[1]!thsiFinD("ths_adjustment_nvg_ratio_fund",$B42,H$4,H$5,101)/100</f>
        <v>-5.8572949946751E-3</v>
      </c>
      <c r="I42" s="104"/>
      <c r="J42" s="104"/>
      <c r="K42" s="104"/>
      <c r="L42" s="105">
        <f>-[1]!thsiFinD("ths_max_retrace_rate_all_fund",$B42,F$3,F$5)/100</f>
        <v>-6.0827250608272994E-2</v>
      </c>
    </row>
    <row r="43" spans="1:12" ht="16.5">
      <c r="A43" s="71">
        <v>6</v>
      </c>
      <c r="B43" s="72" t="s">
        <v>299</v>
      </c>
      <c r="C43" s="73" t="s">
        <v>323</v>
      </c>
      <c r="D43" s="95">
        <v>190</v>
      </c>
      <c r="E43" s="112">
        <f>[1]!thsiFinD("ths_adjustment_nvg_ratio_fund",$B43,E$4,E$5,101)/100</f>
        <v>6.2860734899129994E-4</v>
      </c>
      <c r="F43" s="112">
        <f>[1]!thsiFinD("ths_adjustment_nvg_ratio_fund",$B43,F$4,F$5,101)/100</f>
        <v>-3.9231824417010001E-2</v>
      </c>
      <c r="G43" s="106">
        <f>[1]!thsiFinD("ths_adjustment_nvg_ratio_fund",$B43,G$4,G$5,101)/100</f>
        <v>-9.3443072702332E-2</v>
      </c>
      <c r="H43" s="106">
        <f>[1]!thsiFinD("ths_adjustment_nvg_ratio_fund",$B43,H$4,H$5,101)/100</f>
        <v>4.7499401770759002E-2</v>
      </c>
      <c r="I43" s="106"/>
      <c r="J43" s="106"/>
      <c r="K43" s="106"/>
      <c r="L43" s="107">
        <f>-[1]!thsiFinD("ths_max_retrace_rate_all_fund",$B43,F$3,F$5)/100</f>
        <v>-0.11736738073615</v>
      </c>
    </row>
    <row r="44" spans="1:12" ht="16.5">
      <c r="A44" s="68">
        <v>7</v>
      </c>
      <c r="B44" s="69" t="s">
        <v>300</v>
      </c>
      <c r="C44" s="70" t="s">
        <v>324</v>
      </c>
      <c r="D44" s="94">
        <v>189</v>
      </c>
      <c r="E44" s="111">
        <f>[1]!thsiFinD("ths_adjustment_nvg_ratio_fund",$B44,E$4,E$5,101)/100</f>
        <v>5.4297659770864001E-3</v>
      </c>
      <c r="F44" s="111">
        <f>[1]!thsiFinD("ths_adjustment_nvg_ratio_fund",$B44,F$4,F$5,101)/100</f>
        <v>-7.5074925074924997E-2</v>
      </c>
      <c r="G44" s="104">
        <f>[1]!thsiFinD("ths_adjustment_nvg_ratio_fund",$B44,G$4,G$5,101)/100</f>
        <v>-0.12207792207792</v>
      </c>
      <c r="H44" s="104">
        <f>[1]!thsiFinD("ths_adjustment_nvg_ratio_fund",$B44,H$4,H$5,101)/100</f>
        <v>4.1392497609807996E-2</v>
      </c>
      <c r="I44" s="104"/>
      <c r="J44" s="104"/>
      <c r="K44" s="104"/>
      <c r="L44" s="105">
        <f>-[1]!thsiFinD("ths_max_retrace_rate_all_fund",$B44,F$3,F$5)/100</f>
        <v>-0.14870700111591001</v>
      </c>
    </row>
    <row r="45" spans="1:12" ht="16.5">
      <c r="A45" s="71">
        <v>8</v>
      </c>
      <c r="B45" s="72" t="s">
        <v>301</v>
      </c>
      <c r="C45" s="73" t="s">
        <v>325</v>
      </c>
      <c r="D45" s="95">
        <v>184</v>
      </c>
      <c r="E45" s="112">
        <f>[1]!thsiFinD("ths_adjustment_nvg_ratio_fund",$B45,E$4,E$5,101)/100</f>
        <v>-3.1744651282128999E-3</v>
      </c>
      <c r="F45" s="112">
        <f>[1]!thsiFinD("ths_adjustment_nvg_ratio_fund",$B45,F$4,F$5,101)/100</f>
        <v>-3.5917062716316998E-2</v>
      </c>
      <c r="G45" s="106">
        <f>[1]!thsiFinD("ths_adjustment_nvg_ratio_fund",$B45,G$4,G$5,101)/100</f>
        <v>-4.5842621036721001E-2</v>
      </c>
      <c r="H45" s="106">
        <f>[1]!thsiFinD("ths_adjustment_nvg_ratio_fund",$B45,H$4,H$5,101)/100</f>
        <v>3.2825630178867997E-3</v>
      </c>
      <c r="I45" s="106"/>
      <c r="J45" s="106"/>
      <c r="K45" s="106"/>
      <c r="L45" s="107">
        <f>-[1]!thsiFinD("ths_max_retrace_rate_all_fund",$B45,F$3,F$5)/100</f>
        <v>-6.3951809226055992E-2</v>
      </c>
    </row>
    <row r="46" spans="1:12" ht="16.5">
      <c r="A46" s="68">
        <v>9</v>
      </c>
      <c r="B46" s="69" t="s">
        <v>302</v>
      </c>
      <c r="C46" s="70" t="s">
        <v>326</v>
      </c>
      <c r="D46" s="94">
        <v>174</v>
      </c>
      <c r="E46" s="100">
        <f>[1]!thsiFinD("ths_adjustment_nvg_ratio_fund",$B46,E$4,E$5,101)/100</f>
        <v>7.5545818538936009E-5</v>
      </c>
      <c r="F46" s="100">
        <f>[1]!thsiFinD("ths_adjustment_nvg_ratio_fund",$B46,F$4,F$5,101)/100</f>
        <v>3.0307622367024998E-3</v>
      </c>
      <c r="G46" s="104">
        <f>[1]!thsiFinD("ths_adjustment_nvg_ratio_fund",$B46,G$4,G$5,101)/100</f>
        <v>-2.4246097893620999E-3</v>
      </c>
      <c r="H46" s="104">
        <f>[1]!thsiFinD("ths_adjustment_nvg_ratio_fund",$B46,H$4,H$5,101)/100</f>
        <v>4.0197193780811998E-3</v>
      </c>
      <c r="I46" s="104"/>
      <c r="J46" s="104"/>
      <c r="K46" s="104"/>
      <c r="L46" s="105">
        <f>-[1]!thsiFinD("ths_max_retrace_rate_all_fund",$B46,F$3,F$5)/100</f>
        <v>-4.3188361873011004E-3</v>
      </c>
    </row>
    <row r="47" spans="1:12" ht="16.5">
      <c r="A47" s="74">
        <v>10</v>
      </c>
      <c r="B47" s="75" t="s">
        <v>303</v>
      </c>
      <c r="C47" s="76" t="s">
        <v>327</v>
      </c>
      <c r="D47" s="96">
        <v>170</v>
      </c>
      <c r="E47" s="101">
        <f>[1]!thsiFinD("ths_adjustment_nvg_ratio_fund",$B47,E$4,E$5,101)/100</f>
        <v>-5.3810781665087001E-3</v>
      </c>
      <c r="F47" s="101">
        <f>[1]!thsiFinD("ths_adjustment_nvg_ratio_fund",$B47,F$4,F$5,101)/100</f>
        <v>-3.9675042512806E-2</v>
      </c>
      <c r="G47" s="108">
        <f>[1]!thsiFinD("ths_adjustment_nvg_ratio_fund",$B47,G$4,G$5,101)/100</f>
        <v>-6.8297751744840998E-2</v>
      </c>
      <c r="H47" s="108">
        <f>[1]!thsiFinD("ths_adjustment_nvg_ratio_fund",$B47,H$4,H$5,101)/100</f>
        <v>2.1708542756444002E-2</v>
      </c>
      <c r="I47" s="108"/>
      <c r="J47" s="108"/>
      <c r="K47" s="108"/>
      <c r="L47" s="109">
        <f>-[1]!thsiFinD("ths_max_retrace_rate_all_fund",$B47,F$3,F$5)/100</f>
        <v>-7.9686479412252001E-2</v>
      </c>
    </row>
    <row r="49" spans="1:12" ht="16.5" customHeight="1">
      <c r="A49" s="121" t="s">
        <v>329</v>
      </c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</row>
    <row r="50" spans="1:12" ht="16.5" customHeight="1">
      <c r="A50" s="121" t="s">
        <v>479</v>
      </c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</row>
    <row r="51" spans="1:12" ht="16.5" customHeight="1">
      <c r="A51" s="121" t="s">
        <v>304</v>
      </c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</row>
    <row r="53" spans="1:12" ht="14.5">
      <c r="B53" t="s">
        <v>478</v>
      </c>
      <c r="E53" s="111">
        <f>[1]!thsiFinD("ths_adjustment_nvg_ratio_fund",$B53,E$4,E$5,101)/100</f>
        <v>3.3640485404383001E-3</v>
      </c>
      <c r="F53" s="111">
        <f>[1]!thsiFinD("ths_adjustment_nvg_ratio_fund",$B53,F$4,F$5,101)/100</f>
        <v>9.4842051129568001E-4</v>
      </c>
      <c r="G53" s="104">
        <f>[1]!thsiFinD("ths_adjustment_nvg_ratio_fund",$B53,G$4,G$5,101)/100</f>
        <v>-2.2616181515638E-2</v>
      </c>
      <c r="H53" s="104">
        <f>[1]!thsiFinD("ths_adjustment_nvg_ratio_fund",$B53,H$4,H$5,101)/100</f>
        <v>1.6823538105079E-2</v>
      </c>
      <c r="I53" s="104"/>
      <c r="J53" s="104"/>
      <c r="K53" s="104"/>
      <c r="L53" s="105">
        <f>-[1]!thsiFinD("ths_max_retrace_rate_all_fund",$B53,F$3,F$5)/100</f>
        <v>-3.9228341946104001E-2</v>
      </c>
    </row>
  </sheetData>
  <mergeCells count="1">
    <mergeCell ref="A6:K6"/>
  </mergeCells>
  <phoneticPr fontId="35" type="noConversion"/>
  <conditionalFormatting sqref="E8:L8">
    <cfRule type="cellIs" dxfId="28" priority="12" operator="greaterThan">
      <formula>0</formula>
    </cfRule>
    <cfRule type="cellIs" dxfId="27" priority="13" operator="lessThan">
      <formula>0</formula>
    </cfRule>
  </conditionalFormatting>
  <conditionalFormatting sqref="E9:L18">
    <cfRule type="cellIs" dxfId="26" priority="11" operator="greaterThan">
      <formula>0</formula>
    </cfRule>
  </conditionalFormatting>
  <conditionalFormatting sqref="E21:H21 L21">
    <cfRule type="cellIs" dxfId="25" priority="9" operator="greaterThan">
      <formula>0</formula>
    </cfRule>
    <cfRule type="cellIs" dxfId="24" priority="10" operator="lessThan">
      <formula>0</formula>
    </cfRule>
  </conditionalFormatting>
  <conditionalFormatting sqref="E37:L37">
    <cfRule type="cellIs" dxfId="23" priority="7" operator="greaterThan">
      <formula>0</formula>
    </cfRule>
    <cfRule type="cellIs" dxfId="22" priority="8" operator="lessThan">
      <formula>0</formula>
    </cfRule>
  </conditionalFormatting>
  <conditionalFormatting sqref="E38:L47">
    <cfRule type="cellIs" dxfId="21" priority="6" operator="greaterThan">
      <formula>0</formula>
    </cfRule>
  </conditionalFormatting>
  <conditionalFormatting sqref="E53:L53">
    <cfRule type="cellIs" dxfId="20" priority="5" operator="greaterThan">
      <formula>0</formula>
    </cfRule>
  </conditionalFormatting>
  <conditionalFormatting sqref="E22:H31 L22:L31">
    <cfRule type="cellIs" dxfId="19" priority="4" operator="greaterThan">
      <formula>0</formula>
    </cfRule>
  </conditionalFormatting>
  <conditionalFormatting sqref="I22:K31">
    <cfRule type="cellIs" dxfId="18" priority="1" operator="greaterThan">
      <formula>0</formula>
    </cfRule>
  </conditionalFormatting>
  <conditionalFormatting sqref="I21:K21">
    <cfRule type="cellIs" dxfId="17" priority="2" operator="greaterThan">
      <formula>0</formula>
    </cfRule>
    <cfRule type="cellIs" dxfId="16" priority="3" operator="lessThan">
      <formula>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"/>
  <sheetViews>
    <sheetView topLeftCell="A25" workbookViewId="0">
      <selection activeCell="F60" sqref="F60"/>
    </sheetView>
  </sheetViews>
  <sheetFormatPr defaultRowHeight="12.5"/>
  <cols>
    <col min="1" max="1" width="10.6328125" bestFit="1" customWidth="1"/>
    <col min="19" max="19" width="12.1796875" bestFit="1" customWidth="1"/>
  </cols>
  <sheetData>
    <row r="1" spans="1:7" ht="14.5">
      <c r="A1" t="str">
        <f ca="1">[1]!HX_AutoDate(1,"2026-06-18",偏离度监控!B82,-1,-1,0,1,0,0,0,"SSE",64,0)</f>
        <v>日期</v>
      </c>
      <c r="B1" s="116" t="s">
        <v>340</v>
      </c>
      <c r="C1" s="116">
        <v>1090</v>
      </c>
    </row>
    <row r="2" spans="1:7">
      <c r="A2" s="118">
        <v>46191</v>
      </c>
      <c r="B2">
        <v>1</v>
      </c>
    </row>
    <row r="3" spans="1:7">
      <c r="A3" s="118">
        <v>46195</v>
      </c>
      <c r="B3">
        <v>1.00089571</v>
      </c>
    </row>
    <row r="4" spans="1:7">
      <c r="A4" s="118">
        <v>46196</v>
      </c>
      <c r="B4">
        <v>0.99782280999999995</v>
      </c>
    </row>
    <row r="5" spans="1:7" ht="13">
      <c r="A5" s="118">
        <v>46197</v>
      </c>
      <c r="B5">
        <v>0.99977079999999996</v>
      </c>
      <c r="C5" s="117" t="s">
        <v>521</v>
      </c>
      <c r="G5" s="119" t="s">
        <v>467</v>
      </c>
    </row>
    <row r="6" spans="1:7">
      <c r="A6" s="118">
        <v>46198</v>
      </c>
      <c r="B6">
        <v>1.00127827</v>
      </c>
      <c r="C6" s="117" t="s">
        <v>522</v>
      </c>
    </row>
    <row r="7" spans="1:7">
      <c r="A7" s="118">
        <v>46199</v>
      </c>
      <c r="B7">
        <v>0.99893008999999999</v>
      </c>
      <c r="C7" s="117" t="s">
        <v>523</v>
      </c>
    </row>
    <row r="8" spans="1:7">
      <c r="A8" s="118">
        <v>46202</v>
      </c>
      <c r="B8">
        <v>1.00052151</v>
      </c>
      <c r="C8" s="117" t="s">
        <v>524</v>
      </c>
    </row>
    <row r="9" spans="1:7">
      <c r="A9" s="118">
        <v>46203</v>
      </c>
      <c r="B9">
        <v>1.00271066</v>
      </c>
      <c r="C9" s="117" t="s">
        <v>525</v>
      </c>
    </row>
    <row r="10" spans="1:7">
      <c r="A10" s="118">
        <v>46204</v>
      </c>
      <c r="B10">
        <v>0.99998487999999996</v>
      </c>
      <c r="C10" s="117" t="s">
        <v>526</v>
      </c>
    </row>
    <row r="11" spans="1:7">
      <c r="A11" s="118">
        <v>46205</v>
      </c>
      <c r="B11">
        <v>0.99402933000000004</v>
      </c>
      <c r="C11" s="117" t="s">
        <v>527</v>
      </c>
    </row>
    <row r="12" spans="1:7">
      <c r="A12" s="118">
        <v>46206</v>
      </c>
      <c r="B12">
        <v>0.99491236999999999</v>
      </c>
      <c r="C12" s="117" t="s">
        <v>528</v>
      </c>
    </row>
    <row r="13" spans="1:7">
      <c r="A13" s="118">
        <v>46209</v>
      </c>
      <c r="B13">
        <v>0.99396983999999999</v>
      </c>
      <c r="C13" s="117" t="s">
        <v>529</v>
      </c>
    </row>
    <row r="14" spans="1:7">
      <c r="A14" s="118">
        <v>46210</v>
      </c>
      <c r="B14">
        <v>0.99336488999999994</v>
      </c>
      <c r="C14" s="117" t="s">
        <v>530</v>
      </c>
    </row>
    <row r="15" spans="1:7">
      <c r="A15" s="118">
        <v>46211</v>
      </c>
      <c r="B15">
        <v>0.99351509000000005</v>
      </c>
      <c r="C15" s="117" t="s">
        <v>531</v>
      </c>
    </row>
    <row r="16" spans="1:7">
      <c r="A16" s="118">
        <v>46212</v>
      </c>
      <c r="B16">
        <v>0.99860981999999998</v>
      </c>
      <c r="C16" s="117" t="s">
        <v>532</v>
      </c>
    </row>
    <row r="17" spans="1:20">
      <c r="A17" s="118">
        <v>46213</v>
      </c>
      <c r="B17">
        <v>0.99488465999999998</v>
      </c>
      <c r="C17" s="117" t="s">
        <v>533</v>
      </c>
    </row>
    <row r="18" spans="1:20">
      <c r="A18" s="118">
        <v>46216</v>
      </c>
      <c r="B18">
        <v>0.98970133999999998</v>
      </c>
      <c r="C18" s="117" t="s">
        <v>534</v>
      </c>
    </row>
    <row r="19" spans="1:20">
      <c r="A19" s="118">
        <v>46217</v>
      </c>
      <c r="B19">
        <v>0.99245271000000002</v>
      </c>
      <c r="C19" s="117" t="s">
        <v>535</v>
      </c>
      <c r="G19" s="117" t="s">
        <v>341</v>
      </c>
      <c r="H19" s="117" t="s">
        <v>342</v>
      </c>
      <c r="I19" s="117" t="s">
        <v>343</v>
      </c>
      <c r="J19" s="117" t="s">
        <v>344</v>
      </c>
      <c r="K19" s="117" t="s">
        <v>345</v>
      </c>
      <c r="L19" s="117" t="s">
        <v>346</v>
      </c>
      <c r="M19" s="117" t="s">
        <v>347</v>
      </c>
      <c r="N19" s="117" t="s">
        <v>348</v>
      </c>
      <c r="O19" s="117" t="s">
        <v>349</v>
      </c>
      <c r="P19" s="117" t="s">
        <v>350</v>
      </c>
      <c r="Q19" s="117" t="s">
        <v>351</v>
      </c>
      <c r="R19" s="117" t="s">
        <v>352</v>
      </c>
      <c r="S19" s="117" t="s">
        <v>353</v>
      </c>
      <c r="T19" s="117" t="s">
        <v>354</v>
      </c>
    </row>
    <row r="20" spans="1:20">
      <c r="A20" s="118">
        <v>46218</v>
      </c>
      <c r="B20">
        <v>0.99005834000000004</v>
      </c>
      <c r="C20" s="117" t="s">
        <v>536</v>
      </c>
      <c r="G20" s="117" t="s">
        <v>355</v>
      </c>
      <c r="H20" s="117" t="s">
        <v>356</v>
      </c>
      <c r="I20" s="117" t="s">
        <v>357</v>
      </c>
      <c r="J20" s="117" t="s">
        <v>358</v>
      </c>
      <c r="K20" s="117" t="s">
        <v>359</v>
      </c>
      <c r="L20" s="117" t="s">
        <v>360</v>
      </c>
      <c r="M20" s="117" t="s">
        <v>361</v>
      </c>
      <c r="N20" s="117" t="s">
        <v>359</v>
      </c>
      <c r="O20" s="117" t="s">
        <v>359</v>
      </c>
      <c r="P20" s="117" t="s">
        <v>359</v>
      </c>
      <c r="Q20" s="117" t="s">
        <v>359</v>
      </c>
      <c r="R20" s="117" t="s">
        <v>359</v>
      </c>
      <c r="S20" s="117" t="s">
        <v>359</v>
      </c>
      <c r="T20" s="117" t="s">
        <v>359</v>
      </c>
    </row>
    <row r="21" spans="1:20">
      <c r="A21" s="118">
        <v>46219</v>
      </c>
      <c r="B21">
        <v>0.98597555999999997</v>
      </c>
      <c r="C21" s="117" t="s">
        <v>537</v>
      </c>
      <c r="G21" s="117" t="s">
        <v>362</v>
      </c>
      <c r="H21" s="117" t="s">
        <v>363</v>
      </c>
      <c r="I21" s="117" t="s">
        <v>364</v>
      </c>
      <c r="J21" s="117" t="s">
        <v>365</v>
      </c>
      <c r="K21" s="117" t="s">
        <v>366</v>
      </c>
      <c r="L21" s="117" t="s">
        <v>367</v>
      </c>
      <c r="M21" s="117" t="s">
        <v>368</v>
      </c>
      <c r="N21" s="117" t="s">
        <v>366</v>
      </c>
      <c r="O21" s="117" t="s">
        <v>366</v>
      </c>
      <c r="P21" s="117" t="s">
        <v>366</v>
      </c>
      <c r="Q21" s="117" t="s">
        <v>366</v>
      </c>
      <c r="R21" s="117" t="s">
        <v>366</v>
      </c>
      <c r="S21" s="117" t="s">
        <v>366</v>
      </c>
      <c r="T21" s="117" t="s">
        <v>366</v>
      </c>
    </row>
    <row r="22" spans="1:20">
      <c r="A22" s="118">
        <v>46220</v>
      </c>
      <c r="B22">
        <v>0.97886371999999999</v>
      </c>
      <c r="C22" s="117" t="s">
        <v>538</v>
      </c>
      <c r="G22" s="117" t="s">
        <v>369</v>
      </c>
      <c r="H22" s="117" t="s">
        <v>370</v>
      </c>
      <c r="I22" s="117" t="s">
        <v>371</v>
      </c>
      <c r="J22" s="117" t="s">
        <v>372</v>
      </c>
      <c r="K22" s="117" t="s">
        <v>373</v>
      </c>
      <c r="L22" s="117" t="s">
        <v>374</v>
      </c>
      <c r="M22" s="117" t="s">
        <v>375</v>
      </c>
      <c r="N22" s="117" t="s">
        <v>373</v>
      </c>
      <c r="O22" s="117" t="s">
        <v>373</v>
      </c>
      <c r="P22" s="117" t="s">
        <v>373</v>
      </c>
      <c r="Q22" s="117" t="s">
        <v>373</v>
      </c>
      <c r="R22" s="117" t="s">
        <v>373</v>
      </c>
      <c r="S22" s="117" t="s">
        <v>373</v>
      </c>
      <c r="T22" s="117" t="s">
        <v>373</v>
      </c>
    </row>
    <row r="23" spans="1:20">
      <c r="A23" s="118">
        <v>46223</v>
      </c>
      <c r="B23">
        <v>0.97537549999999995</v>
      </c>
      <c r="C23" s="117" t="s">
        <v>539</v>
      </c>
      <c r="G23" s="117" t="s">
        <v>376</v>
      </c>
      <c r="H23" s="117" t="s">
        <v>377</v>
      </c>
      <c r="I23" s="117" t="s">
        <v>378</v>
      </c>
      <c r="J23" s="117" t="s">
        <v>379</v>
      </c>
      <c r="K23" s="117" t="s">
        <v>380</v>
      </c>
      <c r="L23" s="117" t="s">
        <v>381</v>
      </c>
      <c r="M23" s="117" t="s">
        <v>382</v>
      </c>
      <c r="N23" s="117" t="s">
        <v>380</v>
      </c>
      <c r="O23" s="117" t="s">
        <v>380</v>
      </c>
      <c r="P23" s="117" t="s">
        <v>380</v>
      </c>
      <c r="Q23" s="117" t="s">
        <v>380</v>
      </c>
      <c r="R23" s="117" t="s">
        <v>380</v>
      </c>
      <c r="S23" s="117" t="s">
        <v>380</v>
      </c>
      <c r="T23" s="117" t="s">
        <v>380</v>
      </c>
    </row>
    <row r="24" spans="1:20">
      <c r="A24" s="118">
        <v>46224</v>
      </c>
      <c r="B24">
        <v>0.98437008000000004</v>
      </c>
      <c r="C24" s="117" t="s">
        <v>540</v>
      </c>
      <c r="G24" s="117" t="s">
        <v>383</v>
      </c>
      <c r="H24" s="117" t="s">
        <v>356</v>
      </c>
      <c r="I24" s="117" t="s">
        <v>384</v>
      </c>
      <c r="J24" s="117" t="s">
        <v>358</v>
      </c>
      <c r="K24" s="117" t="s">
        <v>358</v>
      </c>
      <c r="L24" s="117" t="s">
        <v>384</v>
      </c>
      <c r="M24" s="117" t="s">
        <v>384</v>
      </c>
      <c r="N24" s="117" t="s">
        <v>358</v>
      </c>
      <c r="O24" s="117" t="s">
        <v>358</v>
      </c>
      <c r="P24" s="117" t="s">
        <v>358</v>
      </c>
      <c r="Q24" s="117" t="s">
        <v>358</v>
      </c>
      <c r="R24" s="117" t="s">
        <v>358</v>
      </c>
      <c r="S24" s="117" t="s">
        <v>358</v>
      </c>
      <c r="T24" s="117" t="s">
        <v>358</v>
      </c>
    </row>
    <row r="25" spans="1:20">
      <c r="A25" s="118">
        <v>46225</v>
      </c>
      <c r="B25">
        <v>0.98402323999999997</v>
      </c>
      <c r="C25" s="117" t="s">
        <v>541</v>
      </c>
      <c r="G25" s="117" t="s">
        <v>147</v>
      </c>
      <c r="H25" s="117" t="s">
        <v>356</v>
      </c>
      <c r="I25" s="117" t="s">
        <v>385</v>
      </c>
      <c r="J25" s="117" t="s">
        <v>386</v>
      </c>
      <c r="K25" s="117" t="s">
        <v>386</v>
      </c>
      <c r="L25" s="117" t="s">
        <v>385</v>
      </c>
      <c r="M25" s="117" t="s">
        <v>387</v>
      </c>
      <c r="N25" s="117" t="s">
        <v>386</v>
      </c>
      <c r="O25" s="117" t="s">
        <v>386</v>
      </c>
      <c r="P25" s="117" t="s">
        <v>386</v>
      </c>
      <c r="Q25" s="117" t="s">
        <v>386</v>
      </c>
      <c r="R25" s="117" t="s">
        <v>386</v>
      </c>
      <c r="S25" s="120">
        <v>-2.8899999999999999E-2</v>
      </c>
      <c r="T25" s="117" t="s">
        <v>386</v>
      </c>
    </row>
    <row r="26" spans="1:20">
      <c r="A26" s="118">
        <v>46226</v>
      </c>
      <c r="B26">
        <v>0.98279921000000003</v>
      </c>
      <c r="C26" s="117" t="s">
        <v>542</v>
      </c>
      <c r="G26" s="117" t="s">
        <v>388</v>
      </c>
      <c r="H26" s="117" t="s">
        <v>389</v>
      </c>
      <c r="I26" s="117" t="s">
        <v>390</v>
      </c>
      <c r="J26" s="117" t="s">
        <v>389</v>
      </c>
      <c r="K26" s="117" t="s">
        <v>391</v>
      </c>
      <c r="L26" s="117" t="s">
        <v>389</v>
      </c>
      <c r="M26" s="117" t="s">
        <v>392</v>
      </c>
      <c r="N26" s="117" t="s">
        <v>391</v>
      </c>
      <c r="O26" s="117" t="s">
        <v>391</v>
      </c>
      <c r="P26" s="117" t="s">
        <v>391</v>
      </c>
      <c r="Q26" s="117" t="s">
        <v>391</v>
      </c>
      <c r="R26" s="117" t="s">
        <v>391</v>
      </c>
      <c r="S26" s="117" t="s">
        <v>391</v>
      </c>
      <c r="T26" s="117" t="s">
        <v>391</v>
      </c>
    </row>
    <row r="27" spans="1:20">
      <c r="A27" s="118">
        <v>46227</v>
      </c>
      <c r="B27">
        <v>0.98152945999999996</v>
      </c>
      <c r="C27" s="117" t="s">
        <v>543</v>
      </c>
      <c r="G27" s="117" t="s">
        <v>393</v>
      </c>
      <c r="H27" s="117" t="s">
        <v>394</v>
      </c>
      <c r="I27" s="117" t="s">
        <v>395</v>
      </c>
      <c r="J27" s="117" t="s">
        <v>396</v>
      </c>
      <c r="K27" s="117" t="s">
        <v>397</v>
      </c>
      <c r="L27" s="117" t="s">
        <v>398</v>
      </c>
      <c r="M27" s="117" t="s">
        <v>399</v>
      </c>
      <c r="N27" s="117" t="s">
        <v>397</v>
      </c>
      <c r="O27" s="117" t="s">
        <v>397</v>
      </c>
      <c r="P27" s="117" t="s">
        <v>397</v>
      </c>
      <c r="Q27" s="117" t="s">
        <v>397</v>
      </c>
      <c r="R27" s="117" t="s">
        <v>397</v>
      </c>
      <c r="S27" s="117" t="s">
        <v>397</v>
      </c>
      <c r="T27" s="117" t="s">
        <v>397</v>
      </c>
    </row>
    <row r="28" spans="1:20">
      <c r="A28" s="118">
        <v>46230</v>
      </c>
      <c r="B28">
        <v>0.98516413000000003</v>
      </c>
      <c r="C28" s="117" t="s">
        <v>544</v>
      </c>
      <c r="G28" s="117" t="s">
        <v>400</v>
      </c>
      <c r="H28" s="117" t="s">
        <v>401</v>
      </c>
      <c r="I28" s="117" t="s">
        <v>401</v>
      </c>
      <c r="J28" s="117" t="s">
        <v>401</v>
      </c>
      <c r="K28" s="117" t="s">
        <v>401</v>
      </c>
      <c r="L28" s="117" t="s">
        <v>401</v>
      </c>
      <c r="M28" s="117" t="s">
        <v>402</v>
      </c>
      <c r="N28" s="117" t="s">
        <v>401</v>
      </c>
      <c r="O28" s="117" t="s">
        <v>401</v>
      </c>
      <c r="P28" s="117" t="s">
        <v>401</v>
      </c>
      <c r="Q28" s="117" t="s">
        <v>401</v>
      </c>
      <c r="R28" s="117" t="s">
        <v>401</v>
      </c>
      <c r="S28" s="117" t="s">
        <v>401</v>
      </c>
      <c r="T28" s="117" t="s">
        <v>401</v>
      </c>
    </row>
    <row r="29" spans="1:20">
      <c r="A29" s="118">
        <v>46231</v>
      </c>
      <c r="B29">
        <v>0.97865577000000004</v>
      </c>
      <c r="C29" s="117" t="s">
        <v>545</v>
      </c>
      <c r="G29" s="117" t="s">
        <v>403</v>
      </c>
      <c r="H29" s="117" t="s">
        <v>363</v>
      </c>
      <c r="I29" s="117" t="s">
        <v>404</v>
      </c>
      <c r="J29" s="117" t="s">
        <v>404</v>
      </c>
      <c r="K29" s="117" t="s">
        <v>404</v>
      </c>
      <c r="L29" s="117" t="s">
        <v>404</v>
      </c>
      <c r="M29" s="117" t="s">
        <v>404</v>
      </c>
      <c r="N29" s="117" t="s">
        <v>404</v>
      </c>
      <c r="O29" s="117" t="s">
        <v>404</v>
      </c>
      <c r="P29" s="117" t="s">
        <v>404</v>
      </c>
      <c r="Q29" s="117" t="s">
        <v>404</v>
      </c>
      <c r="R29" s="117" t="s">
        <v>404</v>
      </c>
      <c r="S29" s="117" t="s">
        <v>404</v>
      </c>
      <c r="T29" s="117" t="s">
        <v>404</v>
      </c>
    </row>
    <row r="30" spans="1:20">
      <c r="A30" s="118">
        <v>46232</v>
      </c>
      <c r="B30">
        <v>0.97811842999999998</v>
      </c>
      <c r="C30" s="117" t="s">
        <v>546</v>
      </c>
      <c r="G30" s="117" t="s">
        <v>405</v>
      </c>
      <c r="H30" s="117" t="s">
        <v>363</v>
      </c>
      <c r="I30" s="117" t="s">
        <v>406</v>
      </c>
      <c r="J30" s="117" t="s">
        <v>407</v>
      </c>
      <c r="K30" s="117" t="s">
        <v>407</v>
      </c>
      <c r="L30" s="117" t="s">
        <v>406</v>
      </c>
      <c r="M30" s="117" t="s">
        <v>408</v>
      </c>
      <c r="N30" s="117" t="s">
        <v>407</v>
      </c>
      <c r="O30" s="117" t="s">
        <v>407</v>
      </c>
      <c r="P30" s="117" t="s">
        <v>407</v>
      </c>
      <c r="Q30" s="117" t="s">
        <v>407</v>
      </c>
      <c r="R30" s="117" t="s">
        <v>407</v>
      </c>
      <c r="S30" s="117" t="s">
        <v>407</v>
      </c>
      <c r="T30" s="117" t="s">
        <v>407</v>
      </c>
    </row>
    <row r="31" spans="1:20">
      <c r="A31" s="118">
        <v>46233</v>
      </c>
      <c r="B31">
        <v>0.97376326000000002</v>
      </c>
      <c r="C31" s="117" t="s">
        <v>547</v>
      </c>
      <c r="G31" s="117" t="s">
        <v>409</v>
      </c>
      <c r="H31" s="117" t="s">
        <v>410</v>
      </c>
      <c r="I31" s="117" t="s">
        <v>411</v>
      </c>
      <c r="J31" s="117" t="s">
        <v>412</v>
      </c>
      <c r="K31" s="117" t="s">
        <v>413</v>
      </c>
      <c r="L31" s="117" t="s">
        <v>414</v>
      </c>
      <c r="M31" s="117" t="s">
        <v>415</v>
      </c>
      <c r="N31" s="117" t="s">
        <v>413</v>
      </c>
      <c r="O31" s="117" t="s">
        <v>413</v>
      </c>
      <c r="P31" s="117" t="s">
        <v>413</v>
      </c>
      <c r="Q31" s="117" t="s">
        <v>413</v>
      </c>
      <c r="R31" s="117" t="s">
        <v>413</v>
      </c>
      <c r="S31" s="117" t="s">
        <v>413</v>
      </c>
      <c r="T31" s="117" t="s">
        <v>413</v>
      </c>
    </row>
    <row r="32" spans="1:20">
      <c r="A32" s="118">
        <v>46234</v>
      </c>
      <c r="B32">
        <v>0.97705801999999997</v>
      </c>
      <c r="C32" s="117" t="s">
        <v>548</v>
      </c>
      <c r="G32" s="117" t="s">
        <v>416</v>
      </c>
      <c r="H32" s="117" t="s">
        <v>410</v>
      </c>
      <c r="I32" s="117" t="s">
        <v>417</v>
      </c>
      <c r="J32" s="117" t="s">
        <v>418</v>
      </c>
      <c r="K32" s="117" t="s">
        <v>419</v>
      </c>
      <c r="L32" s="117" t="s">
        <v>420</v>
      </c>
      <c r="M32" s="117" t="s">
        <v>421</v>
      </c>
      <c r="N32" s="117" t="s">
        <v>419</v>
      </c>
      <c r="O32" s="117" t="s">
        <v>419</v>
      </c>
      <c r="P32" s="117" t="s">
        <v>419</v>
      </c>
      <c r="Q32" s="117" t="s">
        <v>419</v>
      </c>
      <c r="R32" s="117" t="s">
        <v>419</v>
      </c>
      <c r="S32" s="117" t="s">
        <v>419</v>
      </c>
      <c r="T32" s="117" t="s">
        <v>419</v>
      </c>
    </row>
    <row r="33" spans="1:20">
      <c r="A33" s="118">
        <v>46237</v>
      </c>
      <c r="B33">
        <v>0.97469598999999996</v>
      </c>
      <c r="C33" s="117" t="s">
        <v>549</v>
      </c>
      <c r="G33" s="117" t="s">
        <v>146</v>
      </c>
      <c r="H33" s="117" t="s">
        <v>410</v>
      </c>
      <c r="I33" s="117" t="s">
        <v>422</v>
      </c>
      <c r="J33" s="117" t="s">
        <v>423</v>
      </c>
      <c r="K33" s="117" t="s">
        <v>424</v>
      </c>
      <c r="L33" s="117" t="s">
        <v>425</v>
      </c>
      <c r="M33" s="117" t="s">
        <v>426</v>
      </c>
      <c r="N33" s="117" t="s">
        <v>424</v>
      </c>
      <c r="O33" s="117" t="s">
        <v>424</v>
      </c>
      <c r="P33" s="117" t="s">
        <v>424</v>
      </c>
      <c r="Q33" s="117" t="s">
        <v>424</v>
      </c>
      <c r="R33" s="117" t="s">
        <v>424</v>
      </c>
      <c r="S33" s="117" t="s">
        <v>424</v>
      </c>
      <c r="T33" s="117" t="s">
        <v>424</v>
      </c>
    </row>
    <row r="34" spans="1:20">
      <c r="A34" s="118">
        <v>46238</v>
      </c>
      <c r="B34">
        <v>0.97954496999999996</v>
      </c>
      <c r="C34" s="117" t="s">
        <v>550</v>
      </c>
      <c r="G34" s="117" t="s">
        <v>427</v>
      </c>
      <c r="H34" s="117" t="s">
        <v>410</v>
      </c>
      <c r="I34" s="117" t="s">
        <v>428</v>
      </c>
      <c r="J34" s="117" t="s">
        <v>429</v>
      </c>
      <c r="K34" s="117" t="s">
        <v>430</v>
      </c>
      <c r="L34" s="117" t="s">
        <v>431</v>
      </c>
      <c r="M34" s="117" t="s">
        <v>432</v>
      </c>
      <c r="N34" s="117" t="s">
        <v>430</v>
      </c>
      <c r="O34" s="117" t="s">
        <v>430</v>
      </c>
      <c r="P34" s="117" t="s">
        <v>430</v>
      </c>
      <c r="Q34" s="117" t="s">
        <v>430</v>
      </c>
      <c r="R34" s="117" t="s">
        <v>430</v>
      </c>
      <c r="S34" s="117" t="s">
        <v>430</v>
      </c>
      <c r="T34" s="117" t="s">
        <v>430</v>
      </c>
    </row>
    <row r="35" spans="1:20">
      <c r="A35" s="118">
        <v>46239</v>
      </c>
      <c r="B35">
        <v>0.98421563999999995</v>
      </c>
      <c r="C35" s="117" t="s">
        <v>551</v>
      </c>
      <c r="G35" s="117" t="s">
        <v>148</v>
      </c>
      <c r="H35" s="117" t="s">
        <v>410</v>
      </c>
      <c r="I35" s="117" t="s">
        <v>433</v>
      </c>
      <c r="J35" s="117" t="s">
        <v>434</v>
      </c>
      <c r="K35" s="117" t="s">
        <v>435</v>
      </c>
      <c r="L35" s="117" t="s">
        <v>436</v>
      </c>
      <c r="M35" s="117" t="s">
        <v>437</v>
      </c>
      <c r="N35" s="117" t="s">
        <v>435</v>
      </c>
      <c r="O35" s="117" t="s">
        <v>435</v>
      </c>
      <c r="P35" s="117" t="s">
        <v>435</v>
      </c>
      <c r="Q35" s="117" t="s">
        <v>435</v>
      </c>
      <c r="R35" s="117" t="s">
        <v>435</v>
      </c>
      <c r="S35" s="117" t="s">
        <v>435</v>
      </c>
      <c r="T35" s="117" t="s">
        <v>435</v>
      </c>
    </row>
    <row r="36" spans="1:20">
      <c r="A36" s="118">
        <v>46240</v>
      </c>
      <c r="B36">
        <v>0.98658983</v>
      </c>
      <c r="C36" s="117" t="s">
        <v>552</v>
      </c>
      <c r="G36" s="117" t="s">
        <v>438</v>
      </c>
      <c r="H36" s="117" t="s">
        <v>410</v>
      </c>
      <c r="I36" s="117" t="s">
        <v>439</v>
      </c>
      <c r="J36" s="117" t="s">
        <v>440</v>
      </c>
      <c r="K36" s="117" t="s">
        <v>441</v>
      </c>
      <c r="L36" s="117" t="s">
        <v>442</v>
      </c>
      <c r="M36" s="117" t="s">
        <v>443</v>
      </c>
      <c r="N36" s="117" t="s">
        <v>441</v>
      </c>
      <c r="O36" s="117" t="s">
        <v>441</v>
      </c>
      <c r="P36" s="117" t="s">
        <v>441</v>
      </c>
      <c r="Q36" s="117" t="s">
        <v>441</v>
      </c>
      <c r="R36" s="117" t="s">
        <v>441</v>
      </c>
      <c r="S36" s="117" t="s">
        <v>441</v>
      </c>
      <c r="T36" s="117" t="s">
        <v>441</v>
      </c>
    </row>
    <row r="37" spans="1:20">
      <c r="A37" s="118">
        <v>46241</v>
      </c>
      <c r="B37">
        <v>0.98977590000000004</v>
      </c>
      <c r="C37" s="117" t="s">
        <v>553</v>
      </c>
      <c r="G37" s="117" t="s">
        <v>161</v>
      </c>
      <c r="H37" s="117" t="s">
        <v>444</v>
      </c>
      <c r="I37" s="117" t="s">
        <v>445</v>
      </c>
      <c r="J37" s="117" t="s">
        <v>446</v>
      </c>
      <c r="K37" s="117" t="s">
        <v>447</v>
      </c>
      <c r="L37" s="117" t="s">
        <v>448</v>
      </c>
      <c r="M37" s="117" t="s">
        <v>449</v>
      </c>
      <c r="N37" s="117" t="s">
        <v>447</v>
      </c>
      <c r="O37" s="117" t="s">
        <v>447</v>
      </c>
      <c r="P37" s="117" t="s">
        <v>447</v>
      </c>
      <c r="Q37" s="117" t="s">
        <v>447</v>
      </c>
      <c r="R37" s="117" t="s">
        <v>447</v>
      </c>
      <c r="S37" s="117" t="s">
        <v>447</v>
      </c>
      <c r="T37" s="117" t="s">
        <v>447</v>
      </c>
    </row>
    <row r="38" spans="1:20">
      <c r="A38" s="118">
        <v>46244</v>
      </c>
      <c r="B38">
        <v>0.99185254</v>
      </c>
      <c r="C38" s="117" t="s">
        <v>554</v>
      </c>
      <c r="G38" s="117" t="s">
        <v>450</v>
      </c>
      <c r="H38" s="117" t="s">
        <v>410</v>
      </c>
      <c r="I38" s="117" t="s">
        <v>410</v>
      </c>
      <c r="J38" s="117" t="s">
        <v>410</v>
      </c>
      <c r="K38" s="117" t="s">
        <v>410</v>
      </c>
      <c r="L38" s="117" t="s">
        <v>410</v>
      </c>
      <c r="M38" s="117" t="s">
        <v>410</v>
      </c>
      <c r="N38" s="117" t="s">
        <v>410</v>
      </c>
      <c r="O38" s="117" t="s">
        <v>410</v>
      </c>
      <c r="P38" s="117" t="s">
        <v>410</v>
      </c>
      <c r="Q38" s="117" t="s">
        <v>410</v>
      </c>
      <c r="R38" s="117" t="s">
        <v>410</v>
      </c>
      <c r="S38" s="117" t="s">
        <v>410</v>
      </c>
      <c r="T38" s="117" t="s">
        <v>410</v>
      </c>
    </row>
    <row r="39" spans="1:20">
      <c r="A39" s="118">
        <v>46245</v>
      </c>
      <c r="B39">
        <v>0.99059755999999999</v>
      </c>
      <c r="C39" s="117" t="s">
        <v>555</v>
      </c>
      <c r="G39" s="117" t="s">
        <v>451</v>
      </c>
      <c r="H39" s="117" t="s">
        <v>410</v>
      </c>
      <c r="I39" s="117" t="s">
        <v>452</v>
      </c>
      <c r="J39" s="117" t="s">
        <v>453</v>
      </c>
      <c r="K39" s="117" t="s">
        <v>454</v>
      </c>
      <c r="L39" s="117" t="s">
        <v>455</v>
      </c>
      <c r="M39" s="117" t="s">
        <v>456</v>
      </c>
      <c r="N39" s="117" t="s">
        <v>454</v>
      </c>
      <c r="O39" s="117" t="s">
        <v>454</v>
      </c>
      <c r="P39" s="117" t="s">
        <v>454</v>
      </c>
      <c r="Q39" s="117" t="s">
        <v>454</v>
      </c>
      <c r="R39" s="117" t="s">
        <v>454</v>
      </c>
      <c r="S39" s="117" t="s">
        <v>454</v>
      </c>
      <c r="T39" s="117" t="s">
        <v>454</v>
      </c>
    </row>
    <row r="40" spans="1:20">
      <c r="A40" s="118">
        <v>46246</v>
      </c>
      <c r="B40">
        <v>0.99333243999999998</v>
      </c>
      <c r="C40" s="117" t="s">
        <v>556</v>
      </c>
      <c r="G40" s="117" t="s">
        <v>457</v>
      </c>
      <c r="H40" s="117" t="s">
        <v>410</v>
      </c>
      <c r="I40" s="117" t="s">
        <v>458</v>
      </c>
      <c r="J40" s="117" t="s">
        <v>459</v>
      </c>
      <c r="K40" s="117" t="s">
        <v>460</v>
      </c>
      <c r="L40" s="117" t="s">
        <v>461</v>
      </c>
      <c r="M40" s="117" t="s">
        <v>462</v>
      </c>
      <c r="N40" s="117" t="s">
        <v>460</v>
      </c>
      <c r="O40" s="117" t="s">
        <v>460</v>
      </c>
      <c r="P40" s="117" t="s">
        <v>460</v>
      </c>
      <c r="Q40" s="117" t="s">
        <v>460</v>
      </c>
      <c r="R40" s="117" t="s">
        <v>460</v>
      </c>
      <c r="S40" s="117" t="s">
        <v>460</v>
      </c>
      <c r="T40" s="117" t="s">
        <v>460</v>
      </c>
    </row>
    <row r="41" spans="1:20">
      <c r="A41" s="118">
        <v>46247</v>
      </c>
      <c r="B41">
        <v>0.99285562999999999</v>
      </c>
      <c r="C41" s="117" t="s">
        <v>557</v>
      </c>
      <c r="G41" s="117" t="s">
        <v>463</v>
      </c>
      <c r="H41" s="117" t="s">
        <v>389</v>
      </c>
      <c r="I41" s="117" t="s">
        <v>389</v>
      </c>
      <c r="J41" s="117" t="s">
        <v>464</v>
      </c>
      <c r="K41" s="117" t="s">
        <v>464</v>
      </c>
      <c r="L41" s="117" t="s">
        <v>389</v>
      </c>
      <c r="M41" s="117" t="s">
        <v>389</v>
      </c>
      <c r="N41" s="117" t="s">
        <v>464</v>
      </c>
      <c r="O41" s="117" t="s">
        <v>464</v>
      </c>
      <c r="P41" s="117" t="s">
        <v>464</v>
      </c>
      <c r="Q41" s="117" t="s">
        <v>464</v>
      </c>
      <c r="R41" s="117" t="s">
        <v>464</v>
      </c>
      <c r="S41" s="117" t="s">
        <v>464</v>
      </c>
      <c r="T41" s="117" t="s">
        <v>464</v>
      </c>
    </row>
    <row r="42" spans="1:20">
      <c r="A42" s="118">
        <v>46248</v>
      </c>
      <c r="B42">
        <v>0.99358009999999997</v>
      </c>
      <c r="C42" s="117" t="s">
        <v>558</v>
      </c>
      <c r="G42" s="117" t="s">
        <v>465</v>
      </c>
      <c r="H42" s="117" t="s">
        <v>410</v>
      </c>
      <c r="I42" s="117" t="s">
        <v>410</v>
      </c>
      <c r="J42" s="117" t="s">
        <v>389</v>
      </c>
      <c r="K42" s="117" t="s">
        <v>466</v>
      </c>
      <c r="L42" s="117" t="s">
        <v>410</v>
      </c>
      <c r="M42" s="117" t="s">
        <v>410</v>
      </c>
      <c r="N42" s="117" t="s">
        <v>466</v>
      </c>
      <c r="O42" s="117" t="s">
        <v>466</v>
      </c>
      <c r="P42" s="117" t="s">
        <v>466</v>
      </c>
      <c r="Q42" s="117" t="s">
        <v>466</v>
      </c>
      <c r="R42" s="117" t="s">
        <v>466</v>
      </c>
      <c r="S42" s="117" t="s">
        <v>466</v>
      </c>
      <c r="T42" s="117" t="s">
        <v>466</v>
      </c>
    </row>
    <row r="43" spans="1:20">
      <c r="A43" s="118">
        <v>46251</v>
      </c>
      <c r="B43">
        <v>0.99851228000000003</v>
      </c>
      <c r="C43" s="117" t="s">
        <v>559</v>
      </c>
    </row>
    <row r="44" spans="1:20">
      <c r="A44" s="118">
        <v>46252</v>
      </c>
      <c r="B44">
        <v>0.99936334999999998</v>
      </c>
      <c r="C44" s="117" t="s">
        <v>560</v>
      </c>
    </row>
    <row r="45" spans="1:20">
      <c r="A45" s="118">
        <v>46253</v>
      </c>
      <c r="B45">
        <v>0.99164843999999996</v>
      </c>
      <c r="C45" s="117" t="s">
        <v>561</v>
      </c>
    </row>
    <row r="46" spans="1:20">
      <c r="A46" s="118">
        <v>46254</v>
      </c>
      <c r="B46">
        <v>0.99370515000000004</v>
      </c>
      <c r="C46" s="117" t="s">
        <v>562</v>
      </c>
    </row>
    <row r="47" spans="1:20">
      <c r="A47" s="118">
        <v>46255</v>
      </c>
      <c r="B47">
        <v>0.99494351999999997</v>
      </c>
      <c r="C47" s="117" t="s">
        <v>563</v>
      </c>
    </row>
    <row r="48" spans="1:20">
      <c r="A48" s="118">
        <v>46258</v>
      </c>
      <c r="B48">
        <v>0.99464253000000002</v>
      </c>
      <c r="C48" s="117" t="s">
        <v>564</v>
      </c>
    </row>
    <row r="49" spans="1:3">
      <c r="A49" s="118">
        <v>46259</v>
      </c>
      <c r="B49" s="117" t="s">
        <v>565</v>
      </c>
      <c r="C49" s="117" t="s">
        <v>504</v>
      </c>
    </row>
    <row r="50" spans="1:3">
      <c r="A50" s="118">
        <v>46260</v>
      </c>
      <c r="B50" s="117" t="s">
        <v>566</v>
      </c>
      <c r="C50" s="117" t="s">
        <v>505</v>
      </c>
    </row>
    <row r="51" spans="1:3">
      <c r="A51" s="118">
        <v>46261</v>
      </c>
      <c r="B51" s="117" t="s">
        <v>567</v>
      </c>
      <c r="C51" s="117" t="s">
        <v>506</v>
      </c>
    </row>
    <row r="52" spans="1:3">
      <c r="A52" s="118">
        <v>46262</v>
      </c>
      <c r="B52" s="117" t="s">
        <v>568</v>
      </c>
      <c r="C52" s="117" t="s">
        <v>507</v>
      </c>
    </row>
    <row r="53" spans="1:3">
      <c r="A53" s="118">
        <v>46265</v>
      </c>
      <c r="B53" s="117" t="s">
        <v>569</v>
      </c>
      <c r="C53" s="117" t="s">
        <v>508</v>
      </c>
    </row>
    <row r="54" spans="1:3">
      <c r="A54" s="118">
        <v>46266</v>
      </c>
      <c r="B54" s="117" t="s">
        <v>570</v>
      </c>
      <c r="C54" s="117" t="s">
        <v>509</v>
      </c>
    </row>
    <row r="55" spans="1:3">
      <c r="A55" s="118">
        <v>46267</v>
      </c>
      <c r="B55" s="117" t="s">
        <v>571</v>
      </c>
      <c r="C55" s="117" t="s">
        <v>510</v>
      </c>
    </row>
    <row r="56" spans="1:3">
      <c r="A56" s="118">
        <v>46268</v>
      </c>
      <c r="B56" s="117" t="s">
        <v>572</v>
      </c>
      <c r="C56" s="117" t="s">
        <v>511</v>
      </c>
    </row>
    <row r="57" spans="1:3">
      <c r="A57" s="118">
        <v>46269</v>
      </c>
      <c r="B57" s="117" t="s">
        <v>573</v>
      </c>
      <c r="C57" s="117" t="s">
        <v>512</v>
      </c>
    </row>
    <row r="58" spans="1:3">
      <c r="A58" s="118">
        <v>46272</v>
      </c>
      <c r="B58" s="117" t="s">
        <v>574</v>
      </c>
      <c r="C58" s="117" t="s">
        <v>513</v>
      </c>
    </row>
    <row r="59" spans="1:3">
      <c r="A59" s="118">
        <v>46273</v>
      </c>
      <c r="B59" s="117" t="s">
        <v>575</v>
      </c>
      <c r="C59" s="117" t="s">
        <v>514</v>
      </c>
    </row>
    <row r="60" spans="1:3">
      <c r="A60" s="118">
        <v>46274</v>
      </c>
      <c r="B60" s="117" t="s">
        <v>576</v>
      </c>
      <c r="C60" s="117" t="s">
        <v>515</v>
      </c>
    </row>
    <row r="61" spans="1:3">
      <c r="A61" s="118">
        <v>46275</v>
      </c>
      <c r="B61" s="117" t="s">
        <v>577</v>
      </c>
      <c r="C61" s="117" t="s">
        <v>516</v>
      </c>
    </row>
    <row r="62" spans="1:3">
      <c r="A62" s="118">
        <v>46276</v>
      </c>
      <c r="B62" s="117" t="s">
        <v>578</v>
      </c>
      <c r="C62" s="117" t="s">
        <v>517</v>
      </c>
    </row>
    <row r="63" spans="1:3">
      <c r="A63" s="118">
        <v>46279</v>
      </c>
      <c r="B63" s="117" t="s">
        <v>579</v>
      </c>
      <c r="C63" s="117" t="s">
        <v>518</v>
      </c>
    </row>
    <row r="64" spans="1:3">
      <c r="A64" s="118">
        <v>46280</v>
      </c>
      <c r="B64" s="117" t="s">
        <v>580</v>
      </c>
      <c r="C64" s="117" t="s">
        <v>519</v>
      </c>
    </row>
    <row r="65" spans="1:4">
      <c r="A65" s="118">
        <v>46281</v>
      </c>
      <c r="B65" s="117" t="s">
        <v>581</v>
      </c>
      <c r="C65" s="117" t="s">
        <v>520</v>
      </c>
      <c r="D65" s="152">
        <f>B65/B64-1</f>
        <v>3.7903985327161216E-3</v>
      </c>
    </row>
  </sheetData>
  <phoneticPr fontId="3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00"/>
  <sheetViews>
    <sheetView showGridLines="0" topLeftCell="A22" workbookViewId="0">
      <selection activeCell="E46" sqref="E46"/>
    </sheetView>
  </sheetViews>
  <sheetFormatPr defaultColWidth="9.453125" defaultRowHeight="12.5"/>
  <cols>
    <col min="1" max="1" width="13.1796875" customWidth="1"/>
  </cols>
  <sheetData>
    <row r="1" spans="1:27" ht="19.5" customHeight="1">
      <c r="A1" s="165" t="s">
        <v>59</v>
      </c>
      <c r="B1" s="165"/>
      <c r="C1" s="165"/>
      <c r="D1" s="165"/>
    </row>
    <row r="2" spans="1:27" ht="14">
      <c r="A2" s="11">
        <f ca="1">TODAY()</f>
        <v>46282</v>
      </c>
    </row>
    <row r="3" spans="1:27" ht="24.75" customHeight="1">
      <c r="A3" s="1" t="s">
        <v>60</v>
      </c>
      <c r="B3" s="12" t="str">
        <f>实盘持仓初始配置!B3</f>
        <v>000216.OF</v>
      </c>
      <c r="C3" s="12" t="str">
        <f>实盘持仓初始配置!C3</f>
        <v>000917.OF</v>
      </c>
      <c r="D3" s="12" t="str">
        <f>实盘持仓初始配置!D3</f>
        <v>001170.OF</v>
      </c>
      <c r="E3" s="12" t="str">
        <f>实盘持仓初始配置!E3</f>
        <v>007044.OF</v>
      </c>
      <c r="F3" s="12" t="str">
        <f>实盘持仓初始配置!F3</f>
        <v>007045.OF</v>
      </c>
      <c r="G3" s="12" t="str">
        <f>实盘持仓初始配置!G3</f>
        <v>007817.OF</v>
      </c>
      <c r="H3" s="12" t="str">
        <f>实盘持仓初始配置!H3</f>
        <v>007818.OF</v>
      </c>
      <c r="I3" s="12" t="str">
        <f>实盘持仓初始配置!I3</f>
        <v>009993.OF</v>
      </c>
      <c r="J3" s="12" t="str">
        <f>实盘持仓初始配置!J3</f>
        <v>013840.OF</v>
      </c>
      <c r="K3" s="12" t="str">
        <f>实盘持仓初始配置!K3</f>
        <v>013841.OF</v>
      </c>
      <c r="L3" s="12" t="str">
        <f>实盘持仓初始配置!L3</f>
        <v>014201.OF</v>
      </c>
      <c r="M3" s="12" t="str">
        <f>实盘持仓初始配置!M3</f>
        <v>014202.OF</v>
      </c>
      <c r="N3" s="12" t="str">
        <f>实盘持仓初始配置!N3</f>
        <v>015453.OF</v>
      </c>
      <c r="O3" s="12" t="str">
        <f>实盘持仓初始配置!O3</f>
        <v>015454.OF</v>
      </c>
      <c r="P3" s="12" t="str">
        <f>实盘持仓初始配置!P3</f>
        <v>016370.OF</v>
      </c>
      <c r="Q3" s="12" t="str">
        <f>实盘持仓初始配置!Q3</f>
        <v>017488.OF</v>
      </c>
      <c r="R3" s="12" t="str">
        <f>实盘持仓初始配置!R3</f>
        <v>017489.OF</v>
      </c>
      <c r="S3" s="12" t="str">
        <f>实盘持仓初始配置!S3</f>
        <v>017612.OF</v>
      </c>
      <c r="T3" s="12" t="str">
        <f>实盘持仓初始配置!T3</f>
        <v>019632.OF</v>
      </c>
      <c r="U3" s="12" t="str">
        <f>实盘持仓初始配置!U3</f>
        <v>019633.OF</v>
      </c>
      <c r="V3" s="12" t="str">
        <f>实盘持仓初始配置!V3</f>
        <v>019923.OF</v>
      </c>
      <c r="W3" s="12" t="str">
        <f>实盘持仓初始配置!W3</f>
        <v>019924.OF</v>
      </c>
      <c r="X3" s="12" t="str">
        <f>实盘持仓初始配置!X3</f>
        <v>161119.OF</v>
      </c>
      <c r="Y3" s="12" t="s">
        <v>61</v>
      </c>
      <c r="Z3" s="12" t="s">
        <v>468</v>
      </c>
      <c r="AA3" s="12" t="s">
        <v>470</v>
      </c>
    </row>
    <row r="4" spans="1:27" ht="51.75" customHeight="1">
      <c r="A4" s="1" t="str">
        <f ca="1">[1]!HX_AutoDate(1,"2026-06-18",A2,-1,-1,0,0,0,0,0,"SSE",65,0)</f>
        <v>日期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62</v>
      </c>
      <c r="Z4" s="2" t="s">
        <v>469</v>
      </c>
      <c r="AA4" s="2" t="s">
        <v>471</v>
      </c>
    </row>
    <row r="5" spans="1:27">
      <c r="A5" s="8">
        <v>46191</v>
      </c>
      <c r="B5" s="13">
        <f>IF($A5="","",[1]!thsiFinD("ths_adjustment_nv_fund",B$3,$A5))</f>
        <v>3.2441</v>
      </c>
      <c r="C5" s="13">
        <f>IF($A5="","",[1]!thsiFinD("ths_adjustment_nv_fund",C$3,$A5))</f>
        <v>1.3172784822000001</v>
      </c>
      <c r="D5" s="13">
        <f>IF($A5="","",[1]!thsiFinD("ths_adjustment_nv_fund",D$3,$A5))</f>
        <v>6.0620000000000003</v>
      </c>
      <c r="E5" s="13">
        <f>IF($A5="","",[1]!thsiFinD("ths_adjustment_nv_fund",E$3,$A5))</f>
        <v>1.9903999999999999</v>
      </c>
      <c r="F5" s="13">
        <f>IF($A5="","",[1]!thsiFinD("ths_adjustment_nv_fund",F$3,$A5))</f>
        <v>1.9343999999999999</v>
      </c>
      <c r="G5" s="13">
        <f>IF($A5="","",[1]!thsiFinD("ths_adjustment_nv_fund",G$3,$A5))</f>
        <v>5.0274999999999999</v>
      </c>
      <c r="H5" s="13">
        <f>IF($A5="","",[1]!thsiFinD("ths_adjustment_nv_fund",H$3,$A5))</f>
        <v>4.9215</v>
      </c>
      <c r="I5" s="13">
        <f>IF($A5="","",[1]!thsiFinD("ths_adjustment_nv_fund",I$3,$A5))</f>
        <v>2.9226000000000001</v>
      </c>
      <c r="J5" s="13">
        <f>IF($A5="","",[1]!thsiFinD("ths_adjustment_nv_fund",J$3,$A5))</f>
        <v>3.0303</v>
      </c>
      <c r="K5" s="13">
        <f>IF($A5="","",[1]!thsiFinD("ths_adjustment_nv_fund",K$3,$A5))</f>
        <v>3.0028999999999999</v>
      </c>
      <c r="L5" s="13">
        <f>IF($A5="","",[1]!thsiFinD("ths_adjustment_nv_fund",L$3,$A5))</f>
        <v>1.7014</v>
      </c>
      <c r="M5" s="13">
        <f>IF($A5="","",[1]!thsiFinD("ths_adjustment_nv_fund",M$3,$A5))</f>
        <v>1.679</v>
      </c>
      <c r="N5" s="13">
        <f>IF($A5="","",[1]!thsiFinD("ths_adjustment_nv_fund",N$3,$A5))</f>
        <v>1.6274999999999999</v>
      </c>
      <c r="O5" s="13">
        <f>IF($A5="","",[1]!thsiFinD("ths_adjustment_nv_fund",O$3,$A5))</f>
        <v>1.5879000000000001</v>
      </c>
      <c r="P5" s="13">
        <f>IF($A5="","",[1]!thsiFinD("ths_adjustment_nv_fund",P$3,$A5))</f>
        <v>3.6402000000000001</v>
      </c>
      <c r="Q5" s="13">
        <f>IF($A5="","",[1]!thsiFinD("ths_adjustment_nv_fund",Q$3,$A5))</f>
        <v>4.3864000000000001</v>
      </c>
      <c r="R5" s="13">
        <f>IF($A5="","",[1]!thsiFinD("ths_adjustment_nv_fund",R$3,$A5))</f>
        <v>4.2961999999999998</v>
      </c>
      <c r="S5" s="13">
        <f>IF($A5="","",[1]!thsiFinD("ths_adjustment_nv_fund",S$3,$A5))</f>
        <v>6.0010000000000003</v>
      </c>
      <c r="T5" s="13">
        <f>IF($A5="","",[1]!thsiFinD("ths_adjustment_nv_fund",T$3,$A5))</f>
        <v>2.9918</v>
      </c>
      <c r="U5" s="13">
        <f>IF($A5="","",[1]!thsiFinD("ths_adjustment_nv_fund",U$3,$A5))</f>
        <v>2.9763999999999999</v>
      </c>
      <c r="V5" s="13">
        <f>IF($A5="","",[1]!thsiFinD("ths_adjustment_nv_fund",V$3,$A5))</f>
        <v>2.1385999999999998</v>
      </c>
      <c r="W5" s="13">
        <f>IF($A5="","",[1]!thsiFinD("ths_adjustment_nv_fund",W$3,$A5))</f>
        <v>2.1181000000000001</v>
      </c>
      <c r="X5" s="13">
        <f>IF($A5="","",[1]!thsiFinD("ths_adjustment_nv_fund",X$3,$A5))</f>
        <v>1.7868999999999999</v>
      </c>
      <c r="Y5" s="13">
        <f>IF($A5="","",[1]!thsiFinD("ths_adjustment_nv_fund",Y$3,$A5))</f>
        <v>2.39</v>
      </c>
      <c r="Z5" s="13">
        <f>IF($A5="","",[1]!thsiFinD("ths_adjustment_nv_fund",Z$3,$A5))</f>
        <v>1.513124479</v>
      </c>
      <c r="AA5" s="13">
        <f>IF($A5="","",[1]!thsiFinD("ths_adjustment_nv_fund",AA$3,$A5))</f>
        <v>1.2319147792</v>
      </c>
    </row>
    <row r="6" spans="1:27">
      <c r="A6" s="8">
        <v>46195</v>
      </c>
      <c r="B6" s="13">
        <f>IF($A6="","",[1]!thsiFinD("ths_adjustment_nv_fund",B$3,$A6))</f>
        <v>3.1680000000000001</v>
      </c>
      <c r="C6" s="13">
        <f>IF($A6="","",[1]!thsiFinD("ths_adjustment_nv_fund",C$3,$A6))</f>
        <v>1.3174603815000001</v>
      </c>
      <c r="D6" s="13">
        <f>IF($A6="","",[1]!thsiFinD("ths_adjustment_nv_fund",D$3,$A6))</f>
        <v>6.2590000000000003</v>
      </c>
      <c r="E6" s="13">
        <f>IF($A6="","",[1]!thsiFinD("ths_adjustment_nv_fund",E$3,$A6))</f>
        <v>2.0345</v>
      </c>
      <c r="F6" s="13">
        <f>IF($A6="","",[1]!thsiFinD("ths_adjustment_nv_fund",F$3,$A6))</f>
        <v>1.9772000000000001</v>
      </c>
      <c r="G6" s="13">
        <f>IF($A6="","",[1]!thsiFinD("ths_adjustment_nv_fund",G$3,$A6))</f>
        <v>5.1120999999999999</v>
      </c>
      <c r="H6" s="13">
        <f>IF($A6="","",[1]!thsiFinD("ths_adjustment_nv_fund",H$3,$A6))</f>
        <v>5.0042</v>
      </c>
      <c r="I6" s="13">
        <f>IF($A6="","",[1]!thsiFinD("ths_adjustment_nv_fund",I$3,$A6))</f>
        <v>2.9904999999999999</v>
      </c>
      <c r="J6" s="13">
        <f>IF($A6="","",[1]!thsiFinD("ths_adjustment_nv_fund",J$3,$A6))</f>
        <v>3.0779000000000001</v>
      </c>
      <c r="K6" s="13">
        <f>IF($A6="","",[1]!thsiFinD("ths_adjustment_nv_fund",K$3,$A6))</f>
        <v>3.05</v>
      </c>
      <c r="L6" s="13">
        <f>IF($A6="","",[1]!thsiFinD("ths_adjustment_nv_fund",L$3,$A6))</f>
        <v>1.7336</v>
      </c>
      <c r="M6" s="13">
        <f>IF($A6="","",[1]!thsiFinD("ths_adjustment_nv_fund",M$3,$A6))</f>
        <v>1.7107000000000001</v>
      </c>
      <c r="N6" s="13">
        <f>IF($A6="","",[1]!thsiFinD("ths_adjustment_nv_fund",N$3,$A6))</f>
        <v>1.6669</v>
      </c>
      <c r="O6" s="13">
        <f>IF($A6="","",[1]!thsiFinD("ths_adjustment_nv_fund",O$3,$A6))</f>
        <v>1.6263000000000001</v>
      </c>
      <c r="P6" s="13">
        <f>IF($A6="","",[1]!thsiFinD("ths_adjustment_nv_fund",P$3,$A6))</f>
        <v>3.7212000000000001</v>
      </c>
      <c r="Q6" s="13">
        <f>IF($A6="","",[1]!thsiFinD("ths_adjustment_nv_fund",Q$3,$A6))</f>
        <v>4.5077999999999996</v>
      </c>
      <c r="R6" s="13">
        <f>IF($A6="","",[1]!thsiFinD("ths_adjustment_nv_fund",R$3,$A6))</f>
        <v>4.4147999999999996</v>
      </c>
      <c r="S6" s="13">
        <f>IF($A6="","",[1]!thsiFinD("ths_adjustment_nv_fund",S$3,$A6))</f>
        <v>6.1959999999999997</v>
      </c>
      <c r="T6" s="13">
        <f>IF($A6="","",[1]!thsiFinD("ths_adjustment_nv_fund",T$3,$A6))</f>
        <v>3.0754000000000001</v>
      </c>
      <c r="U6" s="13">
        <f>IF($A6="","",[1]!thsiFinD("ths_adjustment_nv_fund",U$3,$A6))</f>
        <v>3.0594999999999999</v>
      </c>
      <c r="V6" s="13">
        <f>IF($A6="","",[1]!thsiFinD("ths_adjustment_nv_fund",V$3,$A6))</f>
        <v>2.1396999999999999</v>
      </c>
      <c r="W6" s="13">
        <f>IF($A6="","",[1]!thsiFinD("ths_adjustment_nv_fund",W$3,$A6))</f>
        <v>2.1191</v>
      </c>
      <c r="X6" s="13">
        <f>IF($A6="","",[1]!thsiFinD("ths_adjustment_nv_fund",X$3,$A6))</f>
        <v>1.7870999999999999</v>
      </c>
      <c r="Y6" s="13">
        <f>IF($A6="","",[1]!thsiFinD("ths_adjustment_nv_fund",Y$3,$A6))</f>
        <v>2.4279999999999999</v>
      </c>
      <c r="Z6" s="13">
        <f>IF($A6="","",[1]!thsiFinD("ths_adjustment_nv_fund",Z$3,$A6))</f>
        <v>1.5124635335000001</v>
      </c>
      <c r="AA6" s="13">
        <f>IF($A6="","",[1]!thsiFinD("ths_adjustment_nv_fund",AA$3,$A6))</f>
        <v>1.2316790285999999</v>
      </c>
    </row>
    <row r="7" spans="1:27">
      <c r="A7" s="8">
        <v>46196</v>
      </c>
      <c r="B7" s="13">
        <f>IF($A7="","",[1]!thsiFinD("ths_adjustment_nv_fund",B$3,$A7))</f>
        <v>3.1160000000000001</v>
      </c>
      <c r="C7" s="13">
        <f>IF($A7="","",[1]!thsiFinD("ths_adjustment_nv_fund",C$3,$A7))</f>
        <v>1.3175125002000001</v>
      </c>
      <c r="D7" s="13">
        <f>IF($A7="","",[1]!thsiFinD("ths_adjustment_nv_fund",D$3,$A7))</f>
        <v>5.9960000000000004</v>
      </c>
      <c r="E7" s="13">
        <f>IF($A7="","",[1]!thsiFinD("ths_adjustment_nv_fund",E$3,$A7))</f>
        <v>1.9837</v>
      </c>
      <c r="F7" s="13">
        <f>IF($A7="","",[1]!thsiFinD("ths_adjustment_nv_fund",F$3,$A7))</f>
        <v>1.9278</v>
      </c>
      <c r="G7" s="13">
        <f>IF($A7="","",[1]!thsiFinD("ths_adjustment_nv_fund",G$3,$A7))</f>
        <v>4.9664999999999999</v>
      </c>
      <c r="H7" s="13">
        <f>IF($A7="","",[1]!thsiFinD("ths_adjustment_nv_fund",H$3,$A7))</f>
        <v>4.8616000000000001</v>
      </c>
      <c r="I7" s="13">
        <f>IF($A7="","",[1]!thsiFinD("ths_adjustment_nv_fund",I$3,$A7))</f>
        <v>2.9276</v>
      </c>
      <c r="J7" s="13">
        <f>IF($A7="","",[1]!thsiFinD("ths_adjustment_nv_fund",J$3,$A7))</f>
        <v>3.1004999999999998</v>
      </c>
      <c r="K7" s="13">
        <f>IF($A7="","",[1]!thsiFinD("ths_adjustment_nv_fund",K$3,$A7))</f>
        <v>3.0724</v>
      </c>
      <c r="L7" s="13">
        <f>IF($A7="","",[1]!thsiFinD("ths_adjustment_nv_fund",L$3,$A7))</f>
        <v>1.6997</v>
      </c>
      <c r="M7" s="13">
        <f>IF($A7="","",[1]!thsiFinD("ths_adjustment_nv_fund",M$3,$A7))</f>
        <v>1.6772</v>
      </c>
      <c r="N7" s="13">
        <f>IF($A7="","",[1]!thsiFinD("ths_adjustment_nv_fund",N$3,$A7))</f>
        <v>1.6389</v>
      </c>
      <c r="O7" s="13">
        <f>IF($A7="","",[1]!thsiFinD("ths_adjustment_nv_fund",O$3,$A7))</f>
        <v>1.5989</v>
      </c>
      <c r="P7" s="13">
        <f>IF($A7="","",[1]!thsiFinD("ths_adjustment_nv_fund",P$3,$A7))</f>
        <v>3.6162000000000001</v>
      </c>
      <c r="Q7" s="13">
        <f>IF($A7="","",[1]!thsiFinD("ths_adjustment_nv_fund",Q$3,$A7))</f>
        <v>4.4028</v>
      </c>
      <c r="R7" s="13">
        <f>IF($A7="","",[1]!thsiFinD("ths_adjustment_nv_fund",R$3,$A7))</f>
        <v>4.3118999999999996</v>
      </c>
      <c r="S7" s="13">
        <f>IF($A7="","",[1]!thsiFinD("ths_adjustment_nv_fund",S$3,$A7))</f>
        <v>5.9349999999999996</v>
      </c>
      <c r="T7" s="13">
        <f>IF($A7="","",[1]!thsiFinD("ths_adjustment_nv_fund",T$3,$A7))</f>
        <v>3.0746000000000002</v>
      </c>
      <c r="U7" s="13">
        <f>IF($A7="","",[1]!thsiFinD("ths_adjustment_nv_fund",U$3,$A7))</f>
        <v>3.0587</v>
      </c>
      <c r="V7" s="13">
        <f>IF($A7="","",[1]!thsiFinD("ths_adjustment_nv_fund",V$3,$A7))</f>
        <v>2.1276000000000002</v>
      </c>
      <c r="W7" s="13">
        <f>IF($A7="","",[1]!thsiFinD("ths_adjustment_nv_fund",W$3,$A7))</f>
        <v>2.1071</v>
      </c>
      <c r="X7" s="13">
        <f>IF($A7="","",[1]!thsiFinD("ths_adjustment_nv_fund",X$3,$A7))</f>
        <v>1.7863</v>
      </c>
      <c r="Y7" s="13">
        <f>IF($A7="","",[1]!thsiFinD("ths_adjustment_nv_fund",Y$3,$A7))</f>
        <v>2.4580000000000002</v>
      </c>
      <c r="Z7" s="13">
        <f>IF($A7="","",[1]!thsiFinD("ths_adjustment_nv_fund",Z$3,$A7))</f>
        <v>1.5115822728999999</v>
      </c>
      <c r="AA7" s="13">
        <f>IF($A7="","",[1]!thsiFinD("ths_adjustment_nv_fund",AA$3,$A7))</f>
        <v>1.2313254027</v>
      </c>
    </row>
    <row r="8" spans="1:27">
      <c r="A8" s="8">
        <v>46197</v>
      </c>
      <c r="B8" s="13">
        <f>IF($A8="","",[1]!thsiFinD("ths_adjustment_nv_fund",B$3,$A8))</f>
        <v>3.0983999999999998</v>
      </c>
      <c r="C8" s="13">
        <f>IF($A8="","",[1]!thsiFinD("ths_adjustment_nv_fund",C$3,$A8))</f>
        <v>1.3175573088000001</v>
      </c>
      <c r="D8" s="13">
        <f>IF($A8="","",[1]!thsiFinD("ths_adjustment_nv_fund",D$3,$A8))</f>
        <v>6.1130000000000004</v>
      </c>
      <c r="E8" s="13">
        <f>IF($A8="","",[1]!thsiFinD("ths_adjustment_nv_fund",E$3,$A8))</f>
        <v>1.9931000000000001</v>
      </c>
      <c r="F8" s="13">
        <f>IF($A8="","",[1]!thsiFinD("ths_adjustment_nv_fund",F$3,$A8))</f>
        <v>1.9369000000000001</v>
      </c>
      <c r="G8" s="13">
        <f>IF($A8="","",[1]!thsiFinD("ths_adjustment_nv_fund",G$3,$A8))</f>
        <v>5.0423</v>
      </c>
      <c r="H8" s="13">
        <f>IF($A8="","",[1]!thsiFinD("ths_adjustment_nv_fund",H$3,$A8))</f>
        <v>4.9356999999999998</v>
      </c>
      <c r="I8" s="13">
        <f>IF($A8="","",[1]!thsiFinD("ths_adjustment_nv_fund",I$3,$A8))</f>
        <v>3.0529000000000002</v>
      </c>
      <c r="J8" s="13">
        <f>IF($A8="","",[1]!thsiFinD("ths_adjustment_nv_fund",J$3,$A8))</f>
        <v>3.3530000000000002</v>
      </c>
      <c r="K8" s="13">
        <f>IF($A8="","",[1]!thsiFinD("ths_adjustment_nv_fund",K$3,$A8))</f>
        <v>3.3226</v>
      </c>
      <c r="L8" s="13">
        <f>IF($A8="","",[1]!thsiFinD("ths_adjustment_nv_fund",L$3,$A8))</f>
        <v>1.7213000000000001</v>
      </c>
      <c r="M8" s="13">
        <f>IF($A8="","",[1]!thsiFinD("ths_adjustment_nv_fund",M$3,$A8))</f>
        <v>1.6984999999999999</v>
      </c>
      <c r="N8" s="13">
        <f>IF($A8="","",[1]!thsiFinD("ths_adjustment_nv_fund",N$3,$A8))</f>
        <v>1.6618999999999999</v>
      </c>
      <c r="O8" s="13">
        <f>IF($A8="","",[1]!thsiFinD("ths_adjustment_nv_fund",O$3,$A8))</f>
        <v>1.6214</v>
      </c>
      <c r="P8" s="13">
        <f>IF($A8="","",[1]!thsiFinD("ths_adjustment_nv_fund",P$3,$A8))</f>
        <v>3.7086999999999999</v>
      </c>
      <c r="Q8" s="13">
        <f>IF($A8="","",[1]!thsiFinD("ths_adjustment_nv_fund",Q$3,$A8))</f>
        <v>4.5109000000000004</v>
      </c>
      <c r="R8" s="13">
        <f>IF($A8="","",[1]!thsiFinD("ths_adjustment_nv_fund",R$3,$A8))</f>
        <v>4.4177</v>
      </c>
      <c r="S8" s="13">
        <f>IF($A8="","",[1]!thsiFinD("ths_adjustment_nv_fund",S$3,$A8))</f>
        <v>6.0510000000000002</v>
      </c>
      <c r="T8" s="13">
        <f>IF($A8="","",[1]!thsiFinD("ths_adjustment_nv_fund",T$3,$A8))</f>
        <v>3.2309000000000001</v>
      </c>
      <c r="U8" s="13">
        <f>IF($A8="","",[1]!thsiFinD("ths_adjustment_nv_fund",U$3,$A8))</f>
        <v>3.2141000000000002</v>
      </c>
      <c r="V8" s="13">
        <f>IF($A8="","",[1]!thsiFinD("ths_adjustment_nv_fund",V$3,$A8))</f>
        <v>2.1312000000000002</v>
      </c>
      <c r="W8" s="13">
        <f>IF($A8="","",[1]!thsiFinD("ths_adjustment_nv_fund",W$3,$A8))</f>
        <v>2.1107</v>
      </c>
      <c r="X8" s="13">
        <f>IF($A8="","",[1]!thsiFinD("ths_adjustment_nv_fund",X$3,$A8))</f>
        <v>1.7862</v>
      </c>
      <c r="Y8" s="13">
        <f>IF($A8="","",[1]!thsiFinD("ths_adjustment_nv_fund",Y$3,$A8))</f>
        <v>2.633</v>
      </c>
      <c r="Z8" s="13">
        <f>IF($A8="","",[1]!thsiFinD("ths_adjustment_nv_fund",Z$3,$A8))</f>
        <v>1.5119127456999999</v>
      </c>
      <c r="AA8" s="13">
        <f>IF($A8="","",[1]!thsiFinD("ths_adjustment_nv_fund",AA$3,$A8))</f>
        <v>1.2316790285999999</v>
      </c>
    </row>
    <row r="9" spans="1:27">
      <c r="A9" s="8">
        <v>46198</v>
      </c>
      <c r="B9" s="13">
        <f>IF($A9="","",[1]!thsiFinD("ths_adjustment_nv_fund",B$3,$A9))</f>
        <v>3.0308999999999999</v>
      </c>
      <c r="C9" s="13">
        <f>IF($A9="","",[1]!thsiFinD("ths_adjustment_nv_fund",C$3,$A9))</f>
        <v>1.3176050703</v>
      </c>
      <c r="D9" s="13">
        <f>IF($A9="","",[1]!thsiFinD("ths_adjustment_nv_fund",D$3,$A9))</f>
        <v>6.3120000000000003</v>
      </c>
      <c r="E9" s="13">
        <f>IF($A9="","",[1]!thsiFinD("ths_adjustment_nv_fund",E$3,$A9))</f>
        <v>2.0205000000000002</v>
      </c>
      <c r="F9" s="13">
        <f>IF($A9="","",[1]!thsiFinD("ths_adjustment_nv_fund",F$3,$A9))</f>
        <v>1.9635</v>
      </c>
      <c r="G9" s="13">
        <f>IF($A9="","",[1]!thsiFinD("ths_adjustment_nv_fund",G$3,$A9))</f>
        <v>5.1944999999999997</v>
      </c>
      <c r="H9" s="13">
        <f>IF($A9="","",[1]!thsiFinD("ths_adjustment_nv_fund",H$3,$A9))</f>
        <v>5.0848000000000004</v>
      </c>
      <c r="I9" s="13">
        <f>IF($A9="","",[1]!thsiFinD("ths_adjustment_nv_fund",I$3,$A9))</f>
        <v>3.1735000000000002</v>
      </c>
      <c r="J9" s="13">
        <f>IF($A9="","",[1]!thsiFinD("ths_adjustment_nv_fund",J$3,$A9))</f>
        <v>3.4601999999999999</v>
      </c>
      <c r="K9" s="13">
        <f>IF($A9="","",[1]!thsiFinD("ths_adjustment_nv_fund",K$3,$A9))</f>
        <v>3.4287000000000001</v>
      </c>
      <c r="L9" s="13">
        <f>IF($A9="","",[1]!thsiFinD("ths_adjustment_nv_fund",L$3,$A9))</f>
        <v>1.7283999999999999</v>
      </c>
      <c r="M9" s="13">
        <f>IF($A9="","",[1]!thsiFinD("ths_adjustment_nv_fund",M$3,$A9))</f>
        <v>1.7056</v>
      </c>
      <c r="N9" s="13">
        <f>IF($A9="","",[1]!thsiFinD("ths_adjustment_nv_fund",N$3,$A9))</f>
        <v>1.6739999999999999</v>
      </c>
      <c r="O9" s="13">
        <f>IF($A9="","",[1]!thsiFinD("ths_adjustment_nv_fund",O$3,$A9))</f>
        <v>1.6331</v>
      </c>
      <c r="P9" s="13">
        <f>IF($A9="","",[1]!thsiFinD("ths_adjustment_nv_fund",P$3,$A9))</f>
        <v>3.8424</v>
      </c>
      <c r="Q9" s="13">
        <f>IF($A9="","",[1]!thsiFinD("ths_adjustment_nv_fund",Q$3,$A9))</f>
        <v>4.6886000000000001</v>
      </c>
      <c r="R9" s="13">
        <f>IF($A9="","",[1]!thsiFinD("ths_adjustment_nv_fund",R$3,$A9))</f>
        <v>4.5915999999999997</v>
      </c>
      <c r="S9" s="13">
        <f>IF($A9="","",[1]!thsiFinD("ths_adjustment_nv_fund",S$3,$A9))</f>
        <v>6.2480000000000002</v>
      </c>
      <c r="T9" s="13">
        <f>IF($A9="","",[1]!thsiFinD("ths_adjustment_nv_fund",T$3,$A9))</f>
        <v>3.3209</v>
      </c>
      <c r="U9" s="13">
        <f>IF($A9="","",[1]!thsiFinD("ths_adjustment_nv_fund",U$3,$A9))</f>
        <v>3.3035999999999999</v>
      </c>
      <c r="V9" s="13">
        <f>IF($A9="","",[1]!thsiFinD("ths_adjustment_nv_fund",V$3,$A9))</f>
        <v>2.1113</v>
      </c>
      <c r="W9" s="13">
        <f>IF($A9="","",[1]!thsiFinD("ths_adjustment_nv_fund",W$3,$A9))</f>
        <v>2.0909</v>
      </c>
      <c r="X9" s="13">
        <f>IF($A9="","",[1]!thsiFinD("ths_adjustment_nv_fund",X$3,$A9))</f>
        <v>1.7875000000000001</v>
      </c>
      <c r="Y9" s="13">
        <f>IF($A9="","",[1]!thsiFinD("ths_adjustment_nv_fund",Y$3,$A9))</f>
        <v>2.6920000000000002</v>
      </c>
      <c r="Z9" s="13">
        <f>IF($A9="","",[1]!thsiFinD("ths_adjustment_nv_fund",Z$3,$A9))</f>
        <v>1.5136752669</v>
      </c>
      <c r="AA9" s="13">
        <f>IF($A9="","",[1]!thsiFinD("ths_adjustment_nv_fund",AA$3,$A9))</f>
        <v>1.232622031</v>
      </c>
    </row>
    <row r="10" spans="1:27">
      <c r="A10" s="8">
        <v>46199</v>
      </c>
      <c r="B10" s="13">
        <f>IF($A10="","",[1]!thsiFinD("ths_adjustment_nv_fund",B$3,$A10))</f>
        <v>3.0598000000000001</v>
      </c>
      <c r="C10" s="13">
        <f>IF($A10="","",[1]!thsiFinD("ths_adjustment_nv_fund",C$3,$A10))</f>
        <v>1.3176496975</v>
      </c>
      <c r="D10" s="13">
        <f>IF($A10="","",[1]!thsiFinD("ths_adjustment_nv_fund",D$3,$A10))</f>
        <v>5.99</v>
      </c>
      <c r="E10" s="13">
        <f>IF($A10="","",[1]!thsiFinD("ths_adjustment_nv_fund",E$3,$A10))</f>
        <v>1.9618</v>
      </c>
      <c r="F10" s="13">
        <f>IF($A10="","",[1]!thsiFinD("ths_adjustment_nv_fund",F$3,$A10))</f>
        <v>1.9065000000000001</v>
      </c>
      <c r="G10" s="13">
        <f>IF($A10="","",[1]!thsiFinD("ths_adjustment_nv_fund",G$3,$A10))</f>
        <v>4.8685</v>
      </c>
      <c r="H10" s="13">
        <f>IF($A10="","",[1]!thsiFinD("ths_adjustment_nv_fund",H$3,$A10))</f>
        <v>4.7655000000000003</v>
      </c>
      <c r="I10" s="13">
        <f>IF($A10="","",[1]!thsiFinD("ths_adjustment_nv_fund",I$3,$A10))</f>
        <v>3.0956000000000001</v>
      </c>
      <c r="J10" s="13">
        <f>IF($A10="","",[1]!thsiFinD("ths_adjustment_nv_fund",J$3,$A10))</f>
        <v>3.5710000000000002</v>
      </c>
      <c r="K10" s="13">
        <f>IF($A10="","",[1]!thsiFinD("ths_adjustment_nv_fund",K$3,$A10))</f>
        <v>3.5386000000000002</v>
      </c>
      <c r="L10" s="13">
        <f>IF($A10="","",[1]!thsiFinD("ths_adjustment_nv_fund",L$3,$A10))</f>
        <v>1.6812</v>
      </c>
      <c r="M10" s="13">
        <f>IF($A10="","",[1]!thsiFinD("ths_adjustment_nv_fund",M$3,$A10))</f>
        <v>1.6589</v>
      </c>
      <c r="N10" s="13">
        <f>IF($A10="","",[1]!thsiFinD("ths_adjustment_nv_fund",N$3,$A10))</f>
        <v>1.6269</v>
      </c>
      <c r="O10" s="13">
        <f>IF($A10="","",[1]!thsiFinD("ths_adjustment_nv_fund",O$3,$A10))</f>
        <v>1.5871</v>
      </c>
      <c r="P10" s="13">
        <f>IF($A10="","",[1]!thsiFinD("ths_adjustment_nv_fund",P$3,$A10))</f>
        <v>3.5971000000000002</v>
      </c>
      <c r="Q10" s="13">
        <f>IF($A10="","",[1]!thsiFinD("ths_adjustment_nv_fund",Q$3,$A10))</f>
        <v>4.4157999999999999</v>
      </c>
      <c r="R10" s="13">
        <f>IF($A10="","",[1]!thsiFinD("ths_adjustment_nv_fund",R$3,$A10))</f>
        <v>4.3243999999999998</v>
      </c>
      <c r="S10" s="13">
        <f>IF($A10="","",[1]!thsiFinD("ths_adjustment_nv_fund",S$3,$A10))</f>
        <v>5.93</v>
      </c>
      <c r="T10" s="13">
        <f>IF($A10="","",[1]!thsiFinD("ths_adjustment_nv_fund",T$3,$A10))</f>
        <v>3.4331</v>
      </c>
      <c r="U10" s="13">
        <f>IF($A10="","",[1]!thsiFinD("ths_adjustment_nv_fund",U$3,$A10))</f>
        <v>3.4152999999999998</v>
      </c>
      <c r="V10" s="13">
        <f>IF($A10="","",[1]!thsiFinD("ths_adjustment_nv_fund",V$3,$A10))</f>
        <v>2.0535000000000001</v>
      </c>
      <c r="W10" s="13">
        <f>IF($A10="","",[1]!thsiFinD("ths_adjustment_nv_fund",W$3,$A10))</f>
        <v>2.0337000000000001</v>
      </c>
      <c r="X10" s="13">
        <f>IF($A10="","",[1]!thsiFinD("ths_adjustment_nv_fund",X$3,$A10))</f>
        <v>1.788</v>
      </c>
      <c r="Y10" s="13">
        <f>IF($A10="","",[1]!thsiFinD("ths_adjustment_nv_fund",Y$3,$A10))</f>
        <v>2.7669999999999999</v>
      </c>
      <c r="Z10" s="13">
        <f>IF($A10="","",[1]!thsiFinD("ths_adjustment_nv_fund",Z$3,$A10))</f>
        <v>1.5141158971999999</v>
      </c>
      <c r="AA10" s="13">
        <f>IF($A10="","",[1]!thsiFinD("ths_adjustment_nv_fund",AA$3,$A10))</f>
        <v>1.2329756569000001</v>
      </c>
    </row>
    <row r="11" spans="1:27">
      <c r="A11" s="8">
        <v>46202</v>
      </c>
      <c r="B11" s="13">
        <f>IF($A11="","",[1]!thsiFinD("ths_adjustment_nv_fund",B$3,$A11))</f>
        <v>3.0722999999999998</v>
      </c>
      <c r="C11" s="13">
        <f>IF($A11="","",[1]!thsiFinD("ths_adjustment_nv_fund",C$3,$A11))</f>
        <v>1.3177907965</v>
      </c>
      <c r="D11" s="13">
        <f>IF($A11="","",[1]!thsiFinD("ths_adjustment_nv_fund",D$3,$A11))</f>
        <v>5.7949999999999999</v>
      </c>
      <c r="E11" s="13">
        <f>IF($A11="","",[1]!thsiFinD("ths_adjustment_nv_fund",E$3,$A11))</f>
        <v>1.9811000000000001</v>
      </c>
      <c r="F11" s="13">
        <f>IF($A11="","",[1]!thsiFinD("ths_adjustment_nv_fund",F$3,$A11))</f>
        <v>1.9252</v>
      </c>
      <c r="G11" s="13">
        <f>IF($A11="","",[1]!thsiFinD("ths_adjustment_nv_fund",G$3,$A11))</f>
        <v>4.7591999999999999</v>
      </c>
      <c r="H11" s="13">
        <f>IF($A11="","",[1]!thsiFinD("ths_adjustment_nv_fund",H$3,$A11))</f>
        <v>4.6585000000000001</v>
      </c>
      <c r="I11" s="13">
        <f>IF($A11="","",[1]!thsiFinD("ths_adjustment_nv_fund",I$3,$A11))</f>
        <v>3.1442000000000001</v>
      </c>
      <c r="J11" s="13">
        <f>IF($A11="","",[1]!thsiFinD("ths_adjustment_nv_fund",J$3,$A11))</f>
        <v>3.8559000000000001</v>
      </c>
      <c r="K11" s="13">
        <f>IF($A11="","",[1]!thsiFinD("ths_adjustment_nv_fund",K$3,$A11))</f>
        <v>3.8208000000000002</v>
      </c>
      <c r="L11" s="13">
        <f>IF($A11="","",[1]!thsiFinD("ths_adjustment_nv_fund",L$3,$A11))</f>
        <v>1.6827000000000001</v>
      </c>
      <c r="M11" s="13">
        <f>IF($A11="","",[1]!thsiFinD("ths_adjustment_nv_fund",M$3,$A11))</f>
        <v>1.6604000000000001</v>
      </c>
      <c r="N11" s="13">
        <f>IF($A11="","",[1]!thsiFinD("ths_adjustment_nv_fund",N$3,$A11))</f>
        <v>1.6415</v>
      </c>
      <c r="O11" s="13">
        <f>IF($A11="","",[1]!thsiFinD("ths_adjustment_nv_fund",O$3,$A11))</f>
        <v>1.6012999999999999</v>
      </c>
      <c r="P11" s="13">
        <f>IF($A11="","",[1]!thsiFinD("ths_adjustment_nv_fund",P$3,$A11))</f>
        <v>3.4931000000000001</v>
      </c>
      <c r="Q11" s="13">
        <f>IF($A11="","",[1]!thsiFinD("ths_adjustment_nv_fund",Q$3,$A11))</f>
        <v>4.3342999999999998</v>
      </c>
      <c r="R11" s="13">
        <f>IF($A11="","",[1]!thsiFinD("ths_adjustment_nv_fund",R$3,$A11))</f>
        <v>4.2443999999999997</v>
      </c>
      <c r="S11" s="13">
        <f>IF($A11="","",[1]!thsiFinD("ths_adjustment_nv_fund",S$3,$A11))</f>
        <v>5.7359999999999998</v>
      </c>
      <c r="T11" s="13">
        <f>IF($A11="","",[1]!thsiFinD("ths_adjustment_nv_fund",T$3,$A11))</f>
        <v>3.7000999999999999</v>
      </c>
      <c r="U11" s="13">
        <f>IF($A11="","",[1]!thsiFinD("ths_adjustment_nv_fund",U$3,$A11))</f>
        <v>3.6808000000000001</v>
      </c>
      <c r="V11" s="13">
        <f>IF($A11="","",[1]!thsiFinD("ths_adjustment_nv_fund",V$3,$A11))</f>
        <v>2.0396999999999998</v>
      </c>
      <c r="W11" s="13">
        <f>IF($A11="","",[1]!thsiFinD("ths_adjustment_nv_fund",W$3,$A11))</f>
        <v>2.02</v>
      </c>
      <c r="X11" s="13">
        <f>IF($A11="","",[1]!thsiFinD("ths_adjustment_nv_fund",X$3,$A11))</f>
        <v>1.7897000000000001</v>
      </c>
      <c r="Y11" s="13">
        <f>IF($A11="","",[1]!thsiFinD("ths_adjustment_nv_fund",Y$3,$A11))</f>
        <v>2.968</v>
      </c>
      <c r="Z11" s="13">
        <f>IF($A11="","",[1]!thsiFinD("ths_adjustment_nv_fund",Z$3,$A11))</f>
        <v>1.5164292063</v>
      </c>
      <c r="AA11" s="13">
        <f>IF($A11="","",[1]!thsiFinD("ths_adjustment_nv_fund",AA$3,$A11))</f>
        <v>1.2343901606000001</v>
      </c>
    </row>
    <row r="12" spans="1:27">
      <c r="A12" s="8">
        <v>46203</v>
      </c>
      <c r="B12" s="13">
        <f>IF($A12="","",[1]!thsiFinD("ths_adjustment_nv_fund",B$3,$A12))</f>
        <v>3.0428999999999999</v>
      </c>
      <c r="C12" s="13">
        <f>IF($A12="","",[1]!thsiFinD("ths_adjustment_nv_fund",C$3,$A12))</f>
        <v>1.3178317665999999</v>
      </c>
      <c r="D12" s="13">
        <f>IF($A12="","",[1]!thsiFinD("ths_adjustment_nv_fund",D$3,$A12))</f>
        <v>6.024</v>
      </c>
      <c r="E12" s="13">
        <f>IF($A12="","",[1]!thsiFinD("ths_adjustment_nv_fund",E$3,$A12))</f>
        <v>2.0032000000000001</v>
      </c>
      <c r="F12" s="13">
        <f>IF($A12="","",[1]!thsiFinD("ths_adjustment_nv_fund",F$3,$A12))</f>
        <v>1.9466000000000001</v>
      </c>
      <c r="G12" s="13">
        <f>IF($A12="","",[1]!thsiFinD("ths_adjustment_nv_fund",G$3,$A12))</f>
        <v>4.9737</v>
      </c>
      <c r="H12" s="13">
        <f>IF($A12="","",[1]!thsiFinD("ths_adjustment_nv_fund",H$3,$A12))</f>
        <v>4.8684000000000003</v>
      </c>
      <c r="I12" s="13">
        <f>IF($A12="","",[1]!thsiFinD("ths_adjustment_nv_fund",I$3,$A12))</f>
        <v>3.2498999999999998</v>
      </c>
      <c r="J12" s="13">
        <f>IF($A12="","",[1]!thsiFinD("ths_adjustment_nv_fund",J$3,$A12))</f>
        <v>4.0259</v>
      </c>
      <c r="K12" s="13">
        <f>IF($A12="","",[1]!thsiFinD("ths_adjustment_nv_fund",K$3,$A12))</f>
        <v>3.9891999999999999</v>
      </c>
      <c r="L12" s="13">
        <f>IF($A12="","",[1]!thsiFinD("ths_adjustment_nv_fund",L$3,$A12))</f>
        <v>1.7173</v>
      </c>
      <c r="M12" s="13">
        <f>IF($A12="","",[1]!thsiFinD("ths_adjustment_nv_fund",M$3,$A12))</f>
        <v>1.6944999999999999</v>
      </c>
      <c r="N12" s="13">
        <f>IF($A12="","",[1]!thsiFinD("ths_adjustment_nv_fund",N$3,$A12))</f>
        <v>1.6697</v>
      </c>
      <c r="O12" s="13">
        <f>IF($A12="","",[1]!thsiFinD("ths_adjustment_nv_fund",O$3,$A12))</f>
        <v>1.6287</v>
      </c>
      <c r="P12" s="13">
        <f>IF($A12="","",[1]!thsiFinD("ths_adjustment_nv_fund",P$3,$A12))</f>
        <v>3.6819999999999999</v>
      </c>
      <c r="Q12" s="13">
        <f>IF($A12="","",[1]!thsiFinD("ths_adjustment_nv_fund",Q$3,$A12))</f>
        <v>4.5731000000000002</v>
      </c>
      <c r="R12" s="13">
        <f>IF($A12="","",[1]!thsiFinD("ths_adjustment_nv_fund",R$3,$A12))</f>
        <v>4.4781000000000004</v>
      </c>
      <c r="S12" s="13">
        <f>IF($A12="","",[1]!thsiFinD("ths_adjustment_nv_fund",S$3,$A12))</f>
        <v>5.9619999999999997</v>
      </c>
      <c r="T12" s="13">
        <f>IF($A12="","",[1]!thsiFinD("ths_adjustment_nv_fund",T$3,$A12))</f>
        <v>3.8033999999999999</v>
      </c>
      <c r="U12" s="13">
        <f>IF($A12="","",[1]!thsiFinD("ths_adjustment_nv_fund",U$3,$A12))</f>
        <v>3.7835999999999999</v>
      </c>
      <c r="V12" s="13">
        <f>IF($A12="","",[1]!thsiFinD("ths_adjustment_nv_fund",V$3,$A12))</f>
        <v>2.1004</v>
      </c>
      <c r="W12" s="13">
        <f>IF($A12="","",[1]!thsiFinD("ths_adjustment_nv_fund",W$3,$A12))</f>
        <v>2.08</v>
      </c>
      <c r="X12" s="13">
        <f>IF($A12="","",[1]!thsiFinD("ths_adjustment_nv_fund",X$3,$A12))</f>
        <v>1.7882</v>
      </c>
      <c r="Y12" s="13">
        <f>IF($A12="","",[1]!thsiFinD("ths_adjustment_nv_fund",Y$3,$A12))</f>
        <v>3.0870000000000002</v>
      </c>
      <c r="Z12" s="13">
        <f>IF($A12="","",[1]!thsiFinD("ths_adjustment_nv_fund",Z$3,$A12))</f>
        <v>1.5149971578000001</v>
      </c>
      <c r="AA12" s="13">
        <f>IF($A12="","",[1]!thsiFinD("ths_adjustment_nv_fund",AA$3,$A12))</f>
        <v>1.2338007841</v>
      </c>
    </row>
    <row r="13" spans="1:27">
      <c r="A13" s="8">
        <v>46204</v>
      </c>
      <c r="B13" s="13">
        <f>IF($A13="","",[1]!thsiFinD("ths_adjustment_nv_fund",B$3,$A13))</f>
        <v>3.0102000000000002</v>
      </c>
      <c r="C13" s="13">
        <f>IF($A13="","",[1]!thsiFinD("ths_adjustment_nv_fund",C$3,$A13))</f>
        <v>1.3178766124000001</v>
      </c>
      <c r="D13" s="13">
        <f>IF($A13="","",[1]!thsiFinD("ths_adjustment_nv_fund",D$3,$A13))</f>
        <v>5.7770000000000001</v>
      </c>
      <c r="E13" s="13">
        <f>IF($A13="","",[1]!thsiFinD("ths_adjustment_nv_fund",E$3,$A13))</f>
        <v>1.9953000000000001</v>
      </c>
      <c r="F13" s="13">
        <f>IF($A13="","",[1]!thsiFinD("ths_adjustment_nv_fund",F$3,$A13))</f>
        <v>1.9389000000000001</v>
      </c>
      <c r="G13" s="13">
        <f>IF($A13="","",[1]!thsiFinD("ths_adjustment_nv_fund",G$3,$A13))</f>
        <v>4.7699999999999996</v>
      </c>
      <c r="H13" s="13">
        <f>IF($A13="","",[1]!thsiFinD("ths_adjustment_nv_fund",H$3,$A13))</f>
        <v>4.6688999999999998</v>
      </c>
      <c r="I13" s="13">
        <f>IF($A13="","",[1]!thsiFinD("ths_adjustment_nv_fund",I$3,$A13))</f>
        <v>3.1869000000000001</v>
      </c>
      <c r="J13" s="13">
        <f>IF($A13="","",[1]!thsiFinD("ths_adjustment_nv_fund",J$3,$A13))</f>
        <v>3.9714999999999998</v>
      </c>
      <c r="K13" s="13">
        <f>IF($A13="","",[1]!thsiFinD("ths_adjustment_nv_fund",K$3,$A13))</f>
        <v>3.9352999999999998</v>
      </c>
      <c r="L13" s="13">
        <f>IF($A13="","",[1]!thsiFinD("ths_adjustment_nv_fund",L$3,$A13))</f>
        <v>1.7427999999999999</v>
      </c>
      <c r="M13" s="13">
        <f>IF($A13="","",[1]!thsiFinD("ths_adjustment_nv_fund",M$3,$A13))</f>
        <v>1.7196</v>
      </c>
      <c r="N13" s="13">
        <f>IF($A13="","",[1]!thsiFinD("ths_adjustment_nv_fund",N$3,$A13))</f>
        <v>1.6754</v>
      </c>
      <c r="O13" s="13">
        <f>IF($A13="","",[1]!thsiFinD("ths_adjustment_nv_fund",O$3,$A13))</f>
        <v>1.6342000000000001</v>
      </c>
      <c r="P13" s="13">
        <f>IF($A13="","",[1]!thsiFinD("ths_adjustment_nv_fund",P$3,$A13))</f>
        <v>3.4897</v>
      </c>
      <c r="Q13" s="13">
        <f>IF($A13="","",[1]!thsiFinD("ths_adjustment_nv_fund",Q$3,$A13))</f>
        <v>4.3589000000000002</v>
      </c>
      <c r="R13" s="13">
        <f>IF($A13="","",[1]!thsiFinD("ths_adjustment_nv_fund",R$3,$A13))</f>
        <v>4.2683</v>
      </c>
      <c r="S13" s="13">
        <f>IF($A13="","",[1]!thsiFinD("ths_adjustment_nv_fund",S$3,$A13))</f>
        <v>5.718</v>
      </c>
      <c r="T13" s="13">
        <f>IF($A13="","",[1]!thsiFinD("ths_adjustment_nv_fund",T$3,$A13))</f>
        <v>3.8296000000000001</v>
      </c>
      <c r="U13" s="13">
        <f>IF($A13="","",[1]!thsiFinD("ths_adjustment_nv_fund",U$3,$A13))</f>
        <v>3.8096999999999999</v>
      </c>
      <c r="V13" s="13">
        <f>IF($A13="","",[1]!thsiFinD("ths_adjustment_nv_fund",V$3,$A13))</f>
        <v>2.1280000000000001</v>
      </c>
      <c r="W13" s="13">
        <f>IF($A13="","",[1]!thsiFinD("ths_adjustment_nv_fund",W$3,$A13))</f>
        <v>2.1073</v>
      </c>
      <c r="X13" s="13">
        <f>IF($A13="","",[1]!thsiFinD("ths_adjustment_nv_fund",X$3,$A13))</f>
        <v>1.7865</v>
      </c>
      <c r="Y13" s="13">
        <f>IF($A13="","",[1]!thsiFinD("ths_adjustment_nv_fund",Y$3,$A13))</f>
        <v>3.0369999999999999</v>
      </c>
      <c r="Z13" s="13">
        <f>IF($A13="","",[1]!thsiFinD("ths_adjustment_nv_fund",Z$3,$A13))</f>
        <v>1.5130143214</v>
      </c>
      <c r="AA13" s="13">
        <f>IF($A13="","",[1]!thsiFinD("ths_adjustment_nv_fund",AA$3,$A13))</f>
        <v>1.2327399063</v>
      </c>
    </row>
    <row r="14" spans="1:27">
      <c r="A14" s="8">
        <v>46205</v>
      </c>
      <c r="B14" s="13">
        <f>IF($A14="","",[1]!thsiFinD("ths_adjustment_nv_fund",B$3,$A14))</f>
        <v>3.0728</v>
      </c>
      <c r="C14" s="13">
        <f>IF($A14="","",[1]!thsiFinD("ths_adjustment_nv_fund",C$3,$A14))</f>
        <v>1.3179214992999999</v>
      </c>
      <c r="D14" s="13">
        <f>IF($A14="","",[1]!thsiFinD("ths_adjustment_nv_fund",D$3,$A14))</f>
        <v>5.3630000000000004</v>
      </c>
      <c r="E14" s="13">
        <f>IF($A14="","",[1]!thsiFinD("ths_adjustment_nv_fund",E$3,$A14))</f>
        <v>1.9340999999999999</v>
      </c>
      <c r="F14" s="13">
        <f>IF($A14="","",[1]!thsiFinD("ths_adjustment_nv_fund",F$3,$A14))</f>
        <v>1.8794999999999999</v>
      </c>
      <c r="G14" s="13">
        <f>IF($A14="","",[1]!thsiFinD("ths_adjustment_nv_fund",G$3,$A14))</f>
        <v>4.4048999999999996</v>
      </c>
      <c r="H14" s="13">
        <f>IF($A14="","",[1]!thsiFinD("ths_adjustment_nv_fund",H$3,$A14))</f>
        <v>4.3114999999999997</v>
      </c>
      <c r="I14" s="13">
        <f>IF($A14="","",[1]!thsiFinD("ths_adjustment_nv_fund",I$3,$A14))</f>
        <v>2.9270999999999998</v>
      </c>
      <c r="J14" s="13">
        <f>IF($A14="","",[1]!thsiFinD("ths_adjustment_nv_fund",J$3,$A14))</f>
        <v>3.5630000000000002</v>
      </c>
      <c r="K14" s="13">
        <f>IF($A14="","",[1]!thsiFinD("ths_adjustment_nv_fund",K$3,$A14))</f>
        <v>3.5305</v>
      </c>
      <c r="L14" s="13">
        <f>IF($A14="","",[1]!thsiFinD("ths_adjustment_nv_fund",L$3,$A14))</f>
        <v>1.7058</v>
      </c>
      <c r="M14" s="13">
        <f>IF($A14="","",[1]!thsiFinD("ths_adjustment_nv_fund",M$3,$A14))</f>
        <v>1.6831</v>
      </c>
      <c r="N14" s="13">
        <f>IF($A14="","",[1]!thsiFinD("ths_adjustment_nv_fund",N$3,$A14))</f>
        <v>1.6240000000000001</v>
      </c>
      <c r="O14" s="13">
        <f>IF($A14="","",[1]!thsiFinD("ths_adjustment_nv_fund",O$3,$A14))</f>
        <v>1.5841000000000001</v>
      </c>
      <c r="P14" s="13">
        <f>IF($A14="","",[1]!thsiFinD("ths_adjustment_nv_fund",P$3,$A14))</f>
        <v>3.149</v>
      </c>
      <c r="Q14" s="13">
        <f>IF($A14="","",[1]!thsiFinD("ths_adjustment_nv_fund",Q$3,$A14))</f>
        <v>3.9685999999999999</v>
      </c>
      <c r="R14" s="13">
        <f>IF($A14="","",[1]!thsiFinD("ths_adjustment_nv_fund",R$3,$A14))</f>
        <v>3.8860999999999999</v>
      </c>
      <c r="S14" s="13">
        <f>IF($A14="","",[1]!thsiFinD("ths_adjustment_nv_fund",S$3,$A14))</f>
        <v>5.3090000000000002</v>
      </c>
      <c r="T14" s="13">
        <f>IF($A14="","",[1]!thsiFinD("ths_adjustment_nv_fund",T$3,$A14))</f>
        <v>3.4958999999999998</v>
      </c>
      <c r="U14" s="13">
        <f>IF($A14="","",[1]!thsiFinD("ths_adjustment_nv_fund",U$3,$A14))</f>
        <v>3.4777</v>
      </c>
      <c r="V14" s="13">
        <f>IF($A14="","",[1]!thsiFinD("ths_adjustment_nv_fund",V$3,$A14))</f>
        <v>2.0951</v>
      </c>
      <c r="W14" s="13">
        <f>IF($A14="","",[1]!thsiFinD("ths_adjustment_nv_fund",W$3,$A14))</f>
        <v>2.0747</v>
      </c>
      <c r="X14" s="13">
        <f>IF($A14="","",[1]!thsiFinD("ths_adjustment_nv_fund",X$3,$A14))</f>
        <v>1.7867</v>
      </c>
      <c r="Y14" s="13">
        <f>IF($A14="","",[1]!thsiFinD("ths_adjustment_nv_fund",Y$3,$A14))</f>
        <v>2.7770000000000001</v>
      </c>
      <c r="Z14" s="13">
        <f>IF($A14="","",[1]!thsiFinD("ths_adjustment_nv_fund",Z$3,$A14))</f>
        <v>1.5135651093</v>
      </c>
      <c r="AA14" s="13">
        <f>IF($A14="","",[1]!thsiFinD("ths_adjustment_nv_fund",AA$3,$A14))</f>
        <v>1.2329756569000001</v>
      </c>
    </row>
    <row r="15" spans="1:27">
      <c r="A15" s="8">
        <v>46206</v>
      </c>
      <c r="B15" s="13">
        <f>IF($A15="","",[1]!thsiFinD("ths_adjustment_nv_fund",B$3,$A15))</f>
        <v>3.1547000000000001</v>
      </c>
      <c r="C15" s="13">
        <f>IF($A15="","",[1]!thsiFinD("ths_adjustment_nv_fund",C$3,$A15))</f>
        <v>1.3179684832</v>
      </c>
      <c r="D15" s="13">
        <f>IF($A15="","",[1]!thsiFinD("ths_adjustment_nv_fund",D$3,$A15))</f>
        <v>5.4050000000000002</v>
      </c>
      <c r="E15" s="13">
        <f>IF($A15="","",[1]!thsiFinD("ths_adjustment_nv_fund",E$3,$A15))</f>
        <v>1.9475</v>
      </c>
      <c r="F15" s="13">
        <f>IF($A15="","",[1]!thsiFinD("ths_adjustment_nv_fund",F$3,$A15))</f>
        <v>1.8924000000000001</v>
      </c>
      <c r="G15" s="13">
        <f>IF($A15="","",[1]!thsiFinD("ths_adjustment_nv_fund",G$3,$A15))</f>
        <v>4.4032999999999998</v>
      </c>
      <c r="H15" s="13">
        <f>IF($A15="","",[1]!thsiFinD("ths_adjustment_nv_fund",H$3,$A15))</f>
        <v>4.3098999999999998</v>
      </c>
      <c r="I15" s="13">
        <f>IF($A15="","",[1]!thsiFinD("ths_adjustment_nv_fund",I$3,$A15))</f>
        <v>2.9794</v>
      </c>
      <c r="J15" s="13">
        <f>IF($A15="","",[1]!thsiFinD("ths_adjustment_nv_fund",J$3,$A15))</f>
        <v>3.4994999999999998</v>
      </c>
      <c r="K15" s="13">
        <f>IF($A15="","",[1]!thsiFinD("ths_adjustment_nv_fund",K$3,$A15))</f>
        <v>3.4676</v>
      </c>
      <c r="L15" s="13">
        <f>IF($A15="","",[1]!thsiFinD("ths_adjustment_nv_fund",L$3,$A15))</f>
        <v>1.7109000000000001</v>
      </c>
      <c r="M15" s="13">
        <f>IF($A15="","",[1]!thsiFinD("ths_adjustment_nv_fund",M$3,$A15))</f>
        <v>1.6881999999999999</v>
      </c>
      <c r="N15" s="13">
        <f>IF($A15="","",[1]!thsiFinD("ths_adjustment_nv_fund",N$3,$A15))</f>
        <v>1.6383000000000001</v>
      </c>
      <c r="O15" s="13">
        <f>IF($A15="","",[1]!thsiFinD("ths_adjustment_nv_fund",O$3,$A15))</f>
        <v>1.5980000000000001</v>
      </c>
      <c r="P15" s="13">
        <f>IF($A15="","",[1]!thsiFinD("ths_adjustment_nv_fund",P$3,$A15))</f>
        <v>3.1377000000000002</v>
      </c>
      <c r="Q15" s="13">
        <f>IF($A15="","",[1]!thsiFinD("ths_adjustment_nv_fund",Q$3,$A15))</f>
        <v>3.9687999999999999</v>
      </c>
      <c r="R15" s="13">
        <f>IF($A15="","",[1]!thsiFinD("ths_adjustment_nv_fund",R$3,$A15))</f>
        <v>3.8862999999999999</v>
      </c>
      <c r="S15" s="13">
        <f>IF($A15="","",[1]!thsiFinD("ths_adjustment_nv_fund",S$3,$A15))</f>
        <v>5.35</v>
      </c>
      <c r="T15" s="13">
        <f>IF($A15="","",[1]!thsiFinD("ths_adjustment_nv_fund",T$3,$A15))</f>
        <v>3.3914</v>
      </c>
      <c r="U15" s="13">
        <f>IF($A15="","",[1]!thsiFinD("ths_adjustment_nv_fund",U$3,$A15))</f>
        <v>3.3736999999999999</v>
      </c>
      <c r="V15" s="13">
        <f>IF($A15="","",[1]!thsiFinD("ths_adjustment_nv_fund",V$3,$A15))</f>
        <v>2.1027999999999998</v>
      </c>
      <c r="W15" s="13">
        <f>IF($A15="","",[1]!thsiFinD("ths_adjustment_nv_fund",W$3,$A15))</f>
        <v>2.0823</v>
      </c>
      <c r="X15" s="13">
        <f>IF($A15="","",[1]!thsiFinD("ths_adjustment_nv_fund",X$3,$A15))</f>
        <v>1.7863</v>
      </c>
      <c r="Y15" s="13">
        <f>IF($A15="","",[1]!thsiFinD("ths_adjustment_nv_fund",Y$3,$A15))</f>
        <v>2.7410000000000001</v>
      </c>
      <c r="Z15" s="13">
        <f>IF($A15="","",[1]!thsiFinD("ths_adjustment_nv_fund",Z$3,$A15))</f>
        <v>1.5133447942</v>
      </c>
      <c r="AA15" s="13">
        <f>IF($A15="","",[1]!thsiFinD("ths_adjustment_nv_fund",AA$3,$A15))</f>
        <v>1.2330935322000001</v>
      </c>
    </row>
    <row r="16" spans="1:27">
      <c r="A16" s="8">
        <v>46209</v>
      </c>
      <c r="B16" s="13">
        <f>IF($A16="","",[1]!thsiFinD("ths_adjustment_nv_fund",B$3,$A16))</f>
        <v>3.145</v>
      </c>
      <c r="C16" s="13">
        <f>IF($A16="","",[1]!thsiFinD("ths_adjustment_nv_fund",C$3,$A16))</f>
        <v>1.3181064792999999</v>
      </c>
      <c r="D16" s="13">
        <f>IF($A16="","",[1]!thsiFinD("ths_adjustment_nv_fund",D$3,$A16))</f>
        <v>5.234</v>
      </c>
      <c r="E16" s="13">
        <f>IF($A16="","",[1]!thsiFinD("ths_adjustment_nv_fund",E$3,$A16))</f>
        <v>1.9455</v>
      </c>
      <c r="F16" s="13">
        <f>IF($A16="","",[1]!thsiFinD("ths_adjustment_nv_fund",F$3,$A16))</f>
        <v>1.8904000000000001</v>
      </c>
      <c r="G16" s="13">
        <f>IF($A16="","",[1]!thsiFinD("ths_adjustment_nv_fund",G$3,$A16))</f>
        <v>4.2538999999999998</v>
      </c>
      <c r="H16" s="13">
        <f>IF($A16="","",[1]!thsiFinD("ths_adjustment_nv_fund",H$3,$A16))</f>
        <v>4.1635999999999997</v>
      </c>
      <c r="I16" s="13">
        <f>IF($A16="","",[1]!thsiFinD("ths_adjustment_nv_fund",I$3,$A16))</f>
        <v>2.9167999999999998</v>
      </c>
      <c r="J16" s="13">
        <f>IF($A16="","",[1]!thsiFinD("ths_adjustment_nv_fund",J$3,$A16))</f>
        <v>3.5333999999999999</v>
      </c>
      <c r="K16" s="13">
        <f>IF($A16="","",[1]!thsiFinD("ths_adjustment_nv_fund",K$3,$A16))</f>
        <v>3.5011999999999999</v>
      </c>
      <c r="L16" s="13">
        <f>IF($A16="","",[1]!thsiFinD("ths_adjustment_nv_fund",L$3,$A16))</f>
        <v>1.6875</v>
      </c>
      <c r="M16" s="13">
        <f>IF($A16="","",[1]!thsiFinD("ths_adjustment_nv_fund",M$3,$A16))</f>
        <v>1.665</v>
      </c>
      <c r="N16" s="13">
        <f>IF($A16="","",[1]!thsiFinD("ths_adjustment_nv_fund",N$3,$A16))</f>
        <v>1.6289</v>
      </c>
      <c r="O16" s="13">
        <f>IF($A16="","",[1]!thsiFinD("ths_adjustment_nv_fund",O$3,$A16))</f>
        <v>1.5888</v>
      </c>
      <c r="P16" s="13">
        <f>IF($A16="","",[1]!thsiFinD("ths_adjustment_nv_fund",P$3,$A16))</f>
        <v>3.0129000000000001</v>
      </c>
      <c r="Q16" s="13">
        <f>IF($A16="","",[1]!thsiFinD("ths_adjustment_nv_fund",Q$3,$A16))</f>
        <v>3.8572000000000002</v>
      </c>
      <c r="R16" s="13">
        <f>IF($A16="","",[1]!thsiFinD("ths_adjustment_nv_fund",R$3,$A16))</f>
        <v>3.7768000000000002</v>
      </c>
      <c r="S16" s="13">
        <f>IF($A16="","",[1]!thsiFinD("ths_adjustment_nv_fund",S$3,$A16))</f>
        <v>5.18</v>
      </c>
      <c r="T16" s="13">
        <f>IF($A16="","",[1]!thsiFinD("ths_adjustment_nv_fund",T$3,$A16))</f>
        <v>3.3597000000000001</v>
      </c>
      <c r="U16" s="13">
        <f>IF($A16="","",[1]!thsiFinD("ths_adjustment_nv_fund",U$3,$A16))</f>
        <v>3.3420999999999998</v>
      </c>
      <c r="V16" s="13">
        <f>IF($A16="","",[1]!thsiFinD("ths_adjustment_nv_fund",V$3,$A16))</f>
        <v>2.0773000000000001</v>
      </c>
      <c r="W16" s="13">
        <f>IF($A16="","",[1]!thsiFinD("ths_adjustment_nv_fund",W$3,$A16))</f>
        <v>2.0569999999999999</v>
      </c>
      <c r="X16" s="13">
        <f>IF($A16="","",[1]!thsiFinD("ths_adjustment_nv_fund",X$3,$A16))</f>
        <v>1.7876000000000001</v>
      </c>
      <c r="Y16" s="13">
        <f>IF($A16="","",[1]!thsiFinD("ths_adjustment_nv_fund",Y$3,$A16))</f>
        <v>2.7589999999999999</v>
      </c>
      <c r="Z16" s="13">
        <f>IF($A16="","",[1]!thsiFinD("ths_adjustment_nv_fund",Z$3,$A16))</f>
        <v>1.5151073154000001</v>
      </c>
      <c r="AA16" s="13">
        <f>IF($A16="","",[1]!thsiFinD("ths_adjustment_nv_fund",AA$3,$A16))</f>
        <v>1.2338007841</v>
      </c>
    </row>
    <row r="17" spans="1:27">
      <c r="A17" s="8">
        <v>46210</v>
      </c>
      <c r="B17" s="13">
        <f>IF($A17="","",[1]!thsiFinD("ths_adjustment_nv_fund",B$3,$A17))</f>
        <v>3.1265000000000001</v>
      </c>
      <c r="C17" s="13">
        <f>IF($A17="","",[1]!thsiFinD("ths_adjustment_nv_fund",C$3,$A17))</f>
        <v>1.3181508468000001</v>
      </c>
      <c r="D17" s="13">
        <f>IF($A17="","",[1]!thsiFinD("ths_adjustment_nv_fund",D$3,$A17))</f>
        <v>5.26</v>
      </c>
      <c r="E17" s="13">
        <f>IF($A17="","",[1]!thsiFinD("ths_adjustment_nv_fund",E$3,$A17))</f>
        <v>1.9216</v>
      </c>
      <c r="F17" s="13">
        <f>IF($A17="","",[1]!thsiFinD("ths_adjustment_nv_fund",F$3,$A17))</f>
        <v>1.8671</v>
      </c>
      <c r="G17" s="13">
        <f>IF($A17="","",[1]!thsiFinD("ths_adjustment_nv_fund",G$3,$A17))</f>
        <v>4.2548000000000004</v>
      </c>
      <c r="H17" s="13">
        <f>IF($A17="","",[1]!thsiFinD("ths_adjustment_nv_fund",H$3,$A17))</f>
        <v>4.1645000000000003</v>
      </c>
      <c r="I17" s="13">
        <f>IF($A17="","",[1]!thsiFinD("ths_adjustment_nv_fund",I$3,$A17))</f>
        <v>2.8730000000000002</v>
      </c>
      <c r="J17" s="13">
        <f>IF($A17="","",[1]!thsiFinD("ths_adjustment_nv_fund",J$3,$A17))</f>
        <v>3.5808</v>
      </c>
      <c r="K17" s="13">
        <f>IF($A17="","",[1]!thsiFinD("ths_adjustment_nv_fund",K$3,$A17))</f>
        <v>3.548</v>
      </c>
      <c r="L17" s="13">
        <f>IF($A17="","",[1]!thsiFinD("ths_adjustment_nv_fund",L$3,$A17))</f>
        <v>1.6537999999999999</v>
      </c>
      <c r="M17" s="13">
        <f>IF($A17="","",[1]!thsiFinD("ths_adjustment_nv_fund",M$3,$A17))</f>
        <v>1.6316999999999999</v>
      </c>
      <c r="N17" s="13">
        <f>IF($A17="","",[1]!thsiFinD("ths_adjustment_nv_fund",N$3,$A17))</f>
        <v>1.6016999999999999</v>
      </c>
      <c r="O17" s="13">
        <f>IF($A17="","",[1]!thsiFinD("ths_adjustment_nv_fund",O$3,$A17))</f>
        <v>1.5623</v>
      </c>
      <c r="P17" s="13">
        <f>IF($A17="","",[1]!thsiFinD("ths_adjustment_nv_fund",P$3,$A17))</f>
        <v>3.0265</v>
      </c>
      <c r="Q17" s="13">
        <f>IF($A17="","",[1]!thsiFinD("ths_adjustment_nv_fund",Q$3,$A17))</f>
        <v>3.8613</v>
      </c>
      <c r="R17" s="13">
        <f>IF($A17="","",[1]!thsiFinD("ths_adjustment_nv_fund",R$3,$A17))</f>
        <v>3.7806999999999999</v>
      </c>
      <c r="S17" s="13">
        <f>IF($A17="","",[1]!thsiFinD("ths_adjustment_nv_fund",S$3,$A17))</f>
        <v>5.2060000000000004</v>
      </c>
      <c r="T17" s="13">
        <f>IF($A17="","",[1]!thsiFinD("ths_adjustment_nv_fund",T$3,$A17))</f>
        <v>3.4097</v>
      </c>
      <c r="U17" s="13">
        <f>IF($A17="","",[1]!thsiFinD("ths_adjustment_nv_fund",U$3,$A17))</f>
        <v>3.3917999999999999</v>
      </c>
      <c r="V17" s="13">
        <f>IF($A17="","",[1]!thsiFinD("ths_adjustment_nv_fund",V$3,$A17))</f>
        <v>2.0247000000000002</v>
      </c>
      <c r="W17" s="13">
        <f>IF($A17="","",[1]!thsiFinD("ths_adjustment_nv_fund",W$3,$A17))</f>
        <v>2.0049000000000001</v>
      </c>
      <c r="X17" s="13">
        <f>IF($A17="","",[1]!thsiFinD("ths_adjustment_nv_fund",X$3,$A17))</f>
        <v>1.7878000000000001</v>
      </c>
      <c r="Y17" s="13">
        <f>IF($A17="","",[1]!thsiFinD("ths_adjustment_nv_fund",Y$3,$A17))</f>
        <v>2.8109999999999999</v>
      </c>
      <c r="Z17" s="13">
        <f>IF($A17="","",[1]!thsiFinD("ths_adjustment_nv_fund",Z$3,$A17))</f>
        <v>1.5156581033000001</v>
      </c>
      <c r="AA17" s="13">
        <f>IF($A17="","",[1]!thsiFinD("ths_adjustment_nv_fund",AA$3,$A17))</f>
        <v>1.2338007841</v>
      </c>
    </row>
    <row r="18" spans="1:27">
      <c r="A18" s="8">
        <v>46211</v>
      </c>
      <c r="B18" s="13">
        <f>IF($A18="","",[1]!thsiFinD("ths_adjustment_nv_fund",B$3,$A18))</f>
        <v>3.1217999999999999</v>
      </c>
      <c r="C18" s="13">
        <f>IF($A18="","",[1]!thsiFinD("ths_adjustment_nv_fund",C$3,$A18))</f>
        <v>1.3181960462</v>
      </c>
      <c r="D18" s="13">
        <f>IF($A18="","",[1]!thsiFinD("ths_adjustment_nv_fund",D$3,$A18))</f>
        <v>5.1440000000000001</v>
      </c>
      <c r="E18" s="13">
        <f>IF($A18="","",[1]!thsiFinD("ths_adjustment_nv_fund",E$3,$A18))</f>
        <v>1.9080999999999999</v>
      </c>
      <c r="F18" s="13">
        <f>IF($A18="","",[1]!thsiFinD("ths_adjustment_nv_fund",F$3,$A18))</f>
        <v>1.8541000000000001</v>
      </c>
      <c r="G18" s="13">
        <f>IF($A18="","",[1]!thsiFinD("ths_adjustment_nv_fund",G$3,$A18))</f>
        <v>4.2332999999999998</v>
      </c>
      <c r="H18" s="13">
        <f>IF($A18="","",[1]!thsiFinD("ths_adjustment_nv_fund",H$3,$A18))</f>
        <v>4.1433999999999997</v>
      </c>
      <c r="I18" s="13">
        <f>IF($A18="","",[1]!thsiFinD("ths_adjustment_nv_fund",I$3,$A18))</f>
        <v>2.8494000000000002</v>
      </c>
      <c r="J18" s="13">
        <f>IF($A18="","",[1]!thsiFinD("ths_adjustment_nv_fund",J$3,$A18))</f>
        <v>3.7338</v>
      </c>
      <c r="K18" s="13">
        <f>IF($A18="","",[1]!thsiFinD("ths_adjustment_nv_fund",K$3,$A18))</f>
        <v>3.6997</v>
      </c>
      <c r="L18" s="13">
        <f>IF($A18="","",[1]!thsiFinD("ths_adjustment_nv_fund",L$3,$A18))</f>
        <v>1.6147</v>
      </c>
      <c r="M18" s="13">
        <f>IF($A18="","",[1]!thsiFinD("ths_adjustment_nv_fund",M$3,$A18))</f>
        <v>1.5931</v>
      </c>
      <c r="N18" s="13">
        <f>IF($A18="","",[1]!thsiFinD("ths_adjustment_nv_fund",N$3,$A18))</f>
        <v>1.5797000000000001</v>
      </c>
      <c r="O18" s="13">
        <f>IF($A18="","",[1]!thsiFinD("ths_adjustment_nv_fund",O$3,$A18))</f>
        <v>1.5407999999999999</v>
      </c>
      <c r="P18" s="13">
        <f>IF($A18="","",[1]!thsiFinD("ths_adjustment_nv_fund",P$3,$A18))</f>
        <v>2.9929999999999999</v>
      </c>
      <c r="Q18" s="13">
        <f>IF($A18="","",[1]!thsiFinD("ths_adjustment_nv_fund",Q$3,$A18))</f>
        <v>3.8597000000000001</v>
      </c>
      <c r="R18" s="13">
        <f>IF($A18="","",[1]!thsiFinD("ths_adjustment_nv_fund",R$3,$A18))</f>
        <v>3.7791000000000001</v>
      </c>
      <c r="S18" s="13">
        <f>IF($A18="","",[1]!thsiFinD("ths_adjustment_nv_fund",S$3,$A18))</f>
        <v>5.0910000000000002</v>
      </c>
      <c r="T18" s="13">
        <f>IF($A18="","",[1]!thsiFinD("ths_adjustment_nv_fund",T$3,$A18))</f>
        <v>3.4561000000000002</v>
      </c>
      <c r="U18" s="13">
        <f>IF($A18="","",[1]!thsiFinD("ths_adjustment_nv_fund",U$3,$A18))</f>
        <v>3.4380000000000002</v>
      </c>
      <c r="V18" s="13">
        <f>IF($A18="","",[1]!thsiFinD("ths_adjustment_nv_fund",V$3,$A18))</f>
        <v>1.9785999999999999</v>
      </c>
      <c r="W18" s="13">
        <f>IF($A18="","",[1]!thsiFinD("ths_adjustment_nv_fund",W$3,$A18))</f>
        <v>1.9592000000000001</v>
      </c>
      <c r="X18" s="13">
        <f>IF($A18="","",[1]!thsiFinD("ths_adjustment_nv_fund",X$3,$A18))</f>
        <v>1.7887999999999999</v>
      </c>
      <c r="Y18" s="13">
        <f>IF($A18="","",[1]!thsiFinD("ths_adjustment_nv_fund",Y$3,$A18))</f>
        <v>2.92</v>
      </c>
      <c r="Z18" s="13">
        <f>IF($A18="","",[1]!thsiFinD("ths_adjustment_nv_fund",Z$3,$A18))</f>
        <v>1.5162088912</v>
      </c>
      <c r="AA18" s="13">
        <f>IF($A18="","",[1]!thsiFinD("ths_adjustment_nv_fund",AA$3,$A18))</f>
        <v>1.2339186594</v>
      </c>
    </row>
    <row r="19" spans="1:27">
      <c r="A19" s="8">
        <v>46212</v>
      </c>
      <c r="B19" s="13">
        <f>IF($A19="","",[1]!thsiFinD("ths_adjustment_nv_fund",B$3,$A19))</f>
        <v>3.1112000000000002</v>
      </c>
      <c r="C19" s="13">
        <f>IF($A19="","",[1]!thsiFinD("ths_adjustment_nv_fund",C$3,$A19))</f>
        <v>1.3182393620999999</v>
      </c>
      <c r="D19" s="13">
        <f>IF($A19="","",[1]!thsiFinD("ths_adjustment_nv_fund",D$3,$A19))</f>
        <v>5.4260000000000002</v>
      </c>
      <c r="E19" s="13">
        <f>IF($A19="","",[1]!thsiFinD("ths_adjustment_nv_fund",E$3,$A19))</f>
        <v>1.9578</v>
      </c>
      <c r="F19" s="13">
        <f>IF($A19="","",[1]!thsiFinD("ths_adjustment_nv_fund",F$3,$A19))</f>
        <v>1.9023000000000001</v>
      </c>
      <c r="G19" s="13">
        <f>IF($A19="","",[1]!thsiFinD("ths_adjustment_nv_fund",G$3,$A19))</f>
        <v>4.4805999999999999</v>
      </c>
      <c r="H19" s="13">
        <f>IF($A19="","",[1]!thsiFinD("ths_adjustment_nv_fund",H$3,$A19))</f>
        <v>4.3853999999999997</v>
      </c>
      <c r="I19" s="13">
        <f>IF($A19="","",[1]!thsiFinD("ths_adjustment_nv_fund",I$3,$A19))</f>
        <v>3.0668000000000002</v>
      </c>
      <c r="J19" s="13">
        <f>IF($A19="","",[1]!thsiFinD("ths_adjustment_nv_fund",J$3,$A19))</f>
        <v>4.0079000000000002</v>
      </c>
      <c r="K19" s="13">
        <f>IF($A19="","",[1]!thsiFinD("ths_adjustment_nv_fund",K$3,$A19))</f>
        <v>3.9712000000000001</v>
      </c>
      <c r="L19" s="13">
        <f>IF($A19="","",[1]!thsiFinD("ths_adjustment_nv_fund",L$3,$A19))</f>
        <v>1.6453</v>
      </c>
      <c r="M19" s="13">
        <f>IF($A19="","",[1]!thsiFinD("ths_adjustment_nv_fund",M$3,$A19))</f>
        <v>1.6233</v>
      </c>
      <c r="N19" s="13">
        <f>IF($A19="","",[1]!thsiFinD("ths_adjustment_nv_fund",N$3,$A19))</f>
        <v>1.6208</v>
      </c>
      <c r="O19" s="13">
        <f>IF($A19="","",[1]!thsiFinD("ths_adjustment_nv_fund",O$3,$A19))</f>
        <v>1.5808</v>
      </c>
      <c r="P19" s="13">
        <f>IF($A19="","",[1]!thsiFinD("ths_adjustment_nv_fund",P$3,$A19))</f>
        <v>3.2141999999999999</v>
      </c>
      <c r="Q19" s="13">
        <f>IF($A19="","",[1]!thsiFinD("ths_adjustment_nv_fund",Q$3,$A19))</f>
        <v>4.0995999999999997</v>
      </c>
      <c r="R19" s="13">
        <f>IF($A19="","",[1]!thsiFinD("ths_adjustment_nv_fund",R$3,$A19))</f>
        <v>4.0138999999999996</v>
      </c>
      <c r="S19" s="13">
        <f>IF($A19="","",[1]!thsiFinD("ths_adjustment_nv_fund",S$3,$A19))</f>
        <v>5.37</v>
      </c>
      <c r="T19" s="13">
        <f>IF($A19="","",[1]!thsiFinD("ths_adjustment_nv_fund",T$3,$A19))</f>
        <v>3.7847</v>
      </c>
      <c r="U19" s="13">
        <f>IF($A19="","",[1]!thsiFinD("ths_adjustment_nv_fund",U$3,$A19))</f>
        <v>3.7648000000000001</v>
      </c>
      <c r="V19" s="13">
        <f>IF($A19="","",[1]!thsiFinD("ths_adjustment_nv_fund",V$3,$A19))</f>
        <v>2.0093000000000001</v>
      </c>
      <c r="W19" s="13">
        <f>IF($A19="","",[1]!thsiFinD("ths_adjustment_nv_fund",W$3,$A19))</f>
        <v>1.9896</v>
      </c>
      <c r="X19" s="13">
        <f>IF($A19="","",[1]!thsiFinD("ths_adjustment_nv_fund",X$3,$A19))</f>
        <v>1.7889999999999999</v>
      </c>
      <c r="Y19" s="13">
        <f>IF($A19="","",[1]!thsiFinD("ths_adjustment_nv_fund",Y$3,$A19))</f>
        <v>3.1560000000000001</v>
      </c>
      <c r="Z19" s="13">
        <f>IF($A19="","",[1]!thsiFinD("ths_adjustment_nv_fund",Z$3,$A19))</f>
        <v>1.5162088912</v>
      </c>
      <c r="AA19" s="13">
        <f>IF($A19="","",[1]!thsiFinD("ths_adjustment_nv_fund",AA$3,$A19))</f>
        <v>1.2338007841</v>
      </c>
    </row>
    <row r="20" spans="1:27">
      <c r="A20" s="8">
        <v>46213</v>
      </c>
      <c r="B20" s="13">
        <f>IF($A20="","",[1]!thsiFinD("ths_adjustment_nv_fund",B$3,$A20))</f>
        <v>3.1082000000000001</v>
      </c>
      <c r="C20" s="13">
        <f>IF($A20="","",[1]!thsiFinD("ths_adjustment_nv_fund",C$3,$A20))</f>
        <v>1.3182847491</v>
      </c>
      <c r="D20" s="13">
        <f>IF($A20="","",[1]!thsiFinD("ths_adjustment_nv_fund",D$3,$A20))</f>
        <v>5.1680000000000001</v>
      </c>
      <c r="E20" s="13">
        <f>IF($A20="","",[1]!thsiFinD("ths_adjustment_nv_fund",E$3,$A20))</f>
        <v>1.917</v>
      </c>
      <c r="F20" s="13">
        <f>IF($A20="","",[1]!thsiFinD("ths_adjustment_nv_fund",F$3,$A20))</f>
        <v>1.8627</v>
      </c>
      <c r="G20" s="13">
        <f>IF($A20="","",[1]!thsiFinD("ths_adjustment_nv_fund",G$3,$A20))</f>
        <v>4.3510999999999997</v>
      </c>
      <c r="H20" s="13">
        <f>IF($A20="","",[1]!thsiFinD("ths_adjustment_nv_fund",H$3,$A20))</f>
        <v>4.2586000000000004</v>
      </c>
      <c r="I20" s="13">
        <f>IF($A20="","",[1]!thsiFinD("ths_adjustment_nv_fund",I$3,$A20))</f>
        <v>2.8755000000000002</v>
      </c>
      <c r="J20" s="13">
        <f>IF($A20="","",[1]!thsiFinD("ths_adjustment_nv_fund",J$3,$A20))</f>
        <v>3.7732000000000001</v>
      </c>
      <c r="K20" s="13">
        <f>IF($A20="","",[1]!thsiFinD("ths_adjustment_nv_fund",K$3,$A20))</f>
        <v>3.7385999999999999</v>
      </c>
      <c r="L20" s="13">
        <f>IF($A20="","",[1]!thsiFinD("ths_adjustment_nv_fund",L$3,$A20))</f>
        <v>1.6301000000000001</v>
      </c>
      <c r="M20" s="13">
        <f>IF($A20="","",[1]!thsiFinD("ths_adjustment_nv_fund",M$3,$A20))</f>
        <v>1.6083000000000001</v>
      </c>
      <c r="N20" s="13">
        <f>IF($A20="","",[1]!thsiFinD("ths_adjustment_nv_fund",N$3,$A20))</f>
        <v>1.5962000000000001</v>
      </c>
      <c r="O20" s="13">
        <f>IF($A20="","",[1]!thsiFinD("ths_adjustment_nv_fund",O$3,$A20))</f>
        <v>1.5568</v>
      </c>
      <c r="P20" s="13">
        <f>IF($A20="","",[1]!thsiFinD("ths_adjustment_nv_fund",P$3,$A20))</f>
        <v>3.0699000000000001</v>
      </c>
      <c r="Q20" s="13">
        <f>IF($A20="","",[1]!thsiFinD("ths_adjustment_nv_fund",Q$3,$A20))</f>
        <v>3.9205999999999999</v>
      </c>
      <c r="R20" s="13">
        <f>IF($A20="","",[1]!thsiFinD("ths_adjustment_nv_fund",R$3,$A20))</f>
        <v>3.8386</v>
      </c>
      <c r="S20" s="13">
        <f>IF($A20="","",[1]!thsiFinD("ths_adjustment_nv_fund",S$3,$A20))</f>
        <v>5.1139999999999999</v>
      </c>
      <c r="T20" s="13">
        <f>IF($A20="","",[1]!thsiFinD("ths_adjustment_nv_fund",T$3,$A20))</f>
        <v>3.5526</v>
      </c>
      <c r="U20" s="13">
        <f>IF($A20="","",[1]!thsiFinD("ths_adjustment_nv_fund",U$3,$A20))</f>
        <v>3.5339999999999998</v>
      </c>
      <c r="V20" s="13">
        <f>IF($A20="","",[1]!thsiFinD("ths_adjustment_nv_fund",V$3,$A20))</f>
        <v>2.0015000000000001</v>
      </c>
      <c r="W20" s="13">
        <f>IF($A20="","",[1]!thsiFinD("ths_adjustment_nv_fund",W$3,$A20))</f>
        <v>1.9818</v>
      </c>
      <c r="X20" s="13">
        <f>IF($A20="","",[1]!thsiFinD("ths_adjustment_nv_fund",X$3,$A20))</f>
        <v>1.7891999999999999</v>
      </c>
      <c r="Y20" s="13">
        <f>IF($A20="","",[1]!thsiFinD("ths_adjustment_nv_fund",Y$3,$A20))</f>
        <v>2.976</v>
      </c>
      <c r="Z20" s="13">
        <f>IF($A20="","",[1]!thsiFinD("ths_adjustment_nv_fund",Z$3,$A20))</f>
        <v>1.5160987336</v>
      </c>
      <c r="AA20" s="13">
        <f>IF($A20="","",[1]!thsiFinD("ths_adjustment_nv_fund",AA$3,$A20))</f>
        <v>1.2336829088000001</v>
      </c>
    </row>
    <row r="21" spans="1:27">
      <c r="A21" s="8">
        <v>46216</v>
      </c>
      <c r="B21" s="13">
        <f>IF($A21="","",[1]!thsiFinD("ths_adjustment_nv_fund",B$3,$A21))</f>
        <v>3.0707</v>
      </c>
      <c r="C21" s="13">
        <f>IF($A21="","",[1]!thsiFinD("ths_adjustment_nv_fund",C$3,$A21))</f>
        <v>1.3184211698999999</v>
      </c>
      <c r="D21" s="13">
        <f>IF($A21="","",[1]!thsiFinD("ths_adjustment_nv_fund",D$3,$A21))</f>
        <v>4.9359999999999999</v>
      </c>
      <c r="E21" s="13">
        <f>IF($A21="","",[1]!thsiFinD("ths_adjustment_nv_fund",E$3,$A21))</f>
        <v>1.869</v>
      </c>
      <c r="F21" s="13">
        <f>IF($A21="","",[1]!thsiFinD("ths_adjustment_nv_fund",F$3,$A21))</f>
        <v>1.8159000000000001</v>
      </c>
      <c r="G21" s="13">
        <f>IF($A21="","",[1]!thsiFinD("ths_adjustment_nv_fund",G$3,$A21))</f>
        <v>4.1528</v>
      </c>
      <c r="H21" s="13">
        <f>IF($A21="","",[1]!thsiFinD("ths_adjustment_nv_fund",H$3,$A21))</f>
        <v>4.0644</v>
      </c>
      <c r="I21" s="13">
        <f>IF($A21="","",[1]!thsiFinD("ths_adjustment_nv_fund",I$3,$A21))</f>
        <v>2.7240000000000002</v>
      </c>
      <c r="J21" s="13">
        <f>IF($A21="","",[1]!thsiFinD("ths_adjustment_nv_fund",J$3,$A21))</f>
        <v>3.6587000000000001</v>
      </c>
      <c r="K21" s="13">
        <f>IF($A21="","",[1]!thsiFinD("ths_adjustment_nv_fund",K$3,$A21))</f>
        <v>3.6252</v>
      </c>
      <c r="L21" s="13">
        <f>IF($A21="","",[1]!thsiFinD("ths_adjustment_nv_fund",L$3,$A21))</f>
        <v>1.5486</v>
      </c>
      <c r="M21" s="13">
        <f>IF($A21="","",[1]!thsiFinD("ths_adjustment_nv_fund",M$3,$A21))</f>
        <v>1.5279</v>
      </c>
      <c r="N21" s="13">
        <f>IF($A21="","",[1]!thsiFinD("ths_adjustment_nv_fund",N$3,$A21))</f>
        <v>1.5275000000000001</v>
      </c>
      <c r="O21" s="13">
        <f>IF($A21="","",[1]!thsiFinD("ths_adjustment_nv_fund",O$3,$A21))</f>
        <v>1.4897</v>
      </c>
      <c r="P21" s="13">
        <f>IF($A21="","",[1]!thsiFinD("ths_adjustment_nv_fund",P$3,$A21))</f>
        <v>2.9287000000000001</v>
      </c>
      <c r="Q21" s="13">
        <f>IF($A21="","",[1]!thsiFinD("ths_adjustment_nv_fund",Q$3,$A21))</f>
        <v>3.7904</v>
      </c>
      <c r="R21" s="13">
        <f>IF($A21="","",[1]!thsiFinD("ths_adjustment_nv_fund",R$3,$A21))</f>
        <v>3.7109999999999999</v>
      </c>
      <c r="S21" s="13">
        <f>IF($A21="","",[1]!thsiFinD("ths_adjustment_nv_fund",S$3,$A21))</f>
        <v>4.8849999999999998</v>
      </c>
      <c r="T21" s="13">
        <f>IF($A21="","",[1]!thsiFinD("ths_adjustment_nv_fund",T$3,$A21))</f>
        <v>3.3969</v>
      </c>
      <c r="U21" s="13">
        <f>IF($A21="","",[1]!thsiFinD("ths_adjustment_nv_fund",U$3,$A21))</f>
        <v>3.379</v>
      </c>
      <c r="V21" s="13">
        <f>IF($A21="","",[1]!thsiFinD("ths_adjustment_nv_fund",V$3,$A21))</f>
        <v>1.8946000000000001</v>
      </c>
      <c r="W21" s="13">
        <f>IF($A21="","",[1]!thsiFinD("ths_adjustment_nv_fund",W$3,$A21))</f>
        <v>1.8758999999999999</v>
      </c>
      <c r="X21" s="13">
        <f>IF($A21="","",[1]!thsiFinD("ths_adjustment_nv_fund",X$3,$A21))</f>
        <v>1.7887</v>
      </c>
      <c r="Y21" s="13">
        <f>IF($A21="","",[1]!thsiFinD("ths_adjustment_nv_fund",Y$3,$A21))</f>
        <v>2.875</v>
      </c>
      <c r="Z21" s="13">
        <f>IF($A21="","",[1]!thsiFinD("ths_adjustment_nv_fund",Z$3,$A21))</f>
        <v>1.5158784184</v>
      </c>
      <c r="AA21" s="13">
        <f>IF($A21="","",[1]!thsiFinD("ths_adjustment_nv_fund",AA$3,$A21))</f>
        <v>1.2335650334999999</v>
      </c>
    </row>
    <row r="22" spans="1:27">
      <c r="A22" s="8">
        <v>46217</v>
      </c>
      <c r="B22" s="13">
        <f>IF($A22="","",[1]!thsiFinD("ths_adjustment_nv_fund",B$3,$A22))</f>
        <v>3.0468000000000002</v>
      </c>
      <c r="C22" s="13">
        <f>IF($A22="","",[1]!thsiFinD("ths_adjustment_nv_fund",C$3,$A22))</f>
        <v>1.3184655611</v>
      </c>
      <c r="D22" s="13">
        <f>IF($A22="","",[1]!thsiFinD("ths_adjustment_nv_fund",D$3,$A22))</f>
        <v>5.3049999999999997</v>
      </c>
      <c r="E22" s="13">
        <f>IF($A22="","",[1]!thsiFinD("ths_adjustment_nv_fund",E$3,$A22))</f>
        <v>1.9198</v>
      </c>
      <c r="F22" s="13">
        <f>IF($A22="","",[1]!thsiFinD("ths_adjustment_nv_fund",F$3,$A22))</f>
        <v>1.8653</v>
      </c>
      <c r="G22" s="13">
        <f>IF($A22="","",[1]!thsiFinD("ths_adjustment_nv_fund",G$3,$A22))</f>
        <v>4.3559000000000001</v>
      </c>
      <c r="H22" s="13">
        <f>IF($A22="","",[1]!thsiFinD("ths_adjustment_nv_fund",H$3,$A22))</f>
        <v>4.2632000000000003</v>
      </c>
      <c r="I22" s="13">
        <f>IF($A22="","",[1]!thsiFinD("ths_adjustment_nv_fund",I$3,$A22))</f>
        <v>2.8344</v>
      </c>
      <c r="J22" s="13">
        <f>IF($A22="","",[1]!thsiFinD("ths_adjustment_nv_fund",J$3,$A22))</f>
        <v>3.6471</v>
      </c>
      <c r="K22" s="13">
        <f>IF($A22="","",[1]!thsiFinD("ths_adjustment_nv_fund",K$3,$A22))</f>
        <v>3.6135999999999999</v>
      </c>
      <c r="L22" s="13">
        <f>IF($A22="","",[1]!thsiFinD("ths_adjustment_nv_fund",L$3,$A22))</f>
        <v>1.5827</v>
      </c>
      <c r="M22" s="13">
        <f>IF($A22="","",[1]!thsiFinD("ths_adjustment_nv_fund",M$3,$A22))</f>
        <v>1.5615000000000001</v>
      </c>
      <c r="N22" s="13">
        <f>IF($A22="","",[1]!thsiFinD("ths_adjustment_nv_fund",N$3,$A22))</f>
        <v>1.5615000000000001</v>
      </c>
      <c r="O22" s="13">
        <f>IF($A22="","",[1]!thsiFinD("ths_adjustment_nv_fund",O$3,$A22))</f>
        <v>1.5228999999999999</v>
      </c>
      <c r="P22" s="13">
        <f>IF($A22="","",[1]!thsiFinD("ths_adjustment_nv_fund",P$3,$A22))</f>
        <v>3.1547999999999998</v>
      </c>
      <c r="Q22" s="13">
        <f>IF($A22="","",[1]!thsiFinD("ths_adjustment_nv_fund",Q$3,$A22))</f>
        <v>3.9815</v>
      </c>
      <c r="R22" s="13">
        <f>IF($A22="","",[1]!thsiFinD("ths_adjustment_nv_fund",R$3,$A22))</f>
        <v>3.8978999999999999</v>
      </c>
      <c r="S22" s="13">
        <f>IF($A22="","",[1]!thsiFinD("ths_adjustment_nv_fund",S$3,$A22))</f>
        <v>5.25</v>
      </c>
      <c r="T22" s="13">
        <f>IF($A22="","",[1]!thsiFinD("ths_adjustment_nv_fund",T$3,$A22))</f>
        <v>3.3774000000000002</v>
      </c>
      <c r="U22" s="13">
        <f>IF($A22="","",[1]!thsiFinD("ths_adjustment_nv_fund",U$3,$A22))</f>
        <v>3.3595999999999999</v>
      </c>
      <c r="V22" s="13">
        <f>IF($A22="","",[1]!thsiFinD("ths_adjustment_nv_fund",V$3,$A22))</f>
        <v>1.9322999999999999</v>
      </c>
      <c r="W22" s="13">
        <f>IF($A22="","",[1]!thsiFinD("ths_adjustment_nv_fund",W$3,$A22))</f>
        <v>1.9133</v>
      </c>
      <c r="X22" s="13">
        <f>IF($A22="","",[1]!thsiFinD("ths_adjustment_nv_fund",X$3,$A22))</f>
        <v>1.7890999999999999</v>
      </c>
      <c r="Y22" s="13">
        <f>IF($A22="","",[1]!thsiFinD("ths_adjustment_nv_fund",Y$3,$A22))</f>
        <v>2.883</v>
      </c>
      <c r="Z22" s="13">
        <f>IF($A22="","",[1]!thsiFinD("ths_adjustment_nv_fund",Z$3,$A22))</f>
        <v>1.5160987336</v>
      </c>
      <c r="AA22" s="13">
        <f>IF($A22="","",[1]!thsiFinD("ths_adjustment_nv_fund",AA$3,$A22))</f>
        <v>1.2335650334999999</v>
      </c>
    </row>
    <row r="23" spans="1:27">
      <c r="A23" s="8">
        <v>46218</v>
      </c>
      <c r="B23" s="13">
        <f>IF($A23="","",[1]!thsiFinD("ths_adjustment_nv_fund",B$3,$A23))</f>
        <v>3.0423</v>
      </c>
      <c r="C23" s="13">
        <f>IF($A23="","",[1]!thsiFinD("ths_adjustment_nv_fund",C$3,$A23))</f>
        <v>1.3185105867</v>
      </c>
      <c r="D23" s="13">
        <f>IF($A23="","",[1]!thsiFinD("ths_adjustment_nv_fund",D$3,$A23))</f>
        <v>5.1820000000000004</v>
      </c>
      <c r="E23" s="13">
        <f>IF($A23="","",[1]!thsiFinD("ths_adjustment_nv_fund",E$3,$A23))</f>
        <v>1.9069</v>
      </c>
      <c r="F23" s="13">
        <f>IF($A23="","",[1]!thsiFinD("ths_adjustment_nv_fund",F$3,$A23))</f>
        <v>1.8527</v>
      </c>
      <c r="G23" s="13">
        <f>IF($A23="","",[1]!thsiFinD("ths_adjustment_nv_fund",G$3,$A23))</f>
        <v>4.2525000000000004</v>
      </c>
      <c r="H23" s="13">
        <f>IF($A23="","",[1]!thsiFinD("ths_adjustment_nv_fund",H$3,$A23))</f>
        <v>4.1619999999999999</v>
      </c>
      <c r="I23" s="13">
        <f>IF($A23="","",[1]!thsiFinD("ths_adjustment_nv_fund",I$3,$A23))</f>
        <v>2.7046000000000001</v>
      </c>
      <c r="J23" s="13">
        <f>IF($A23="","",[1]!thsiFinD("ths_adjustment_nv_fund",J$3,$A23))</f>
        <v>3.5152000000000001</v>
      </c>
      <c r="K23" s="13">
        <f>IF($A23="","",[1]!thsiFinD("ths_adjustment_nv_fund",K$3,$A23))</f>
        <v>3.4828999999999999</v>
      </c>
      <c r="L23" s="13">
        <f>IF($A23="","",[1]!thsiFinD("ths_adjustment_nv_fund",L$3,$A23))</f>
        <v>1.5634999999999999</v>
      </c>
      <c r="M23" s="13">
        <f>IF($A23="","",[1]!thsiFinD("ths_adjustment_nv_fund",M$3,$A23))</f>
        <v>1.5425</v>
      </c>
      <c r="N23" s="13">
        <f>IF($A23="","",[1]!thsiFinD("ths_adjustment_nv_fund",N$3,$A23))</f>
        <v>1.5436000000000001</v>
      </c>
      <c r="O23" s="13">
        <f>IF($A23="","",[1]!thsiFinD("ths_adjustment_nv_fund",O$3,$A23))</f>
        <v>1.5054000000000001</v>
      </c>
      <c r="P23" s="13">
        <f>IF($A23="","",[1]!thsiFinD("ths_adjustment_nv_fund",P$3,$A23))</f>
        <v>3.1074000000000002</v>
      </c>
      <c r="Q23" s="13">
        <f>IF($A23="","",[1]!thsiFinD("ths_adjustment_nv_fund",Q$3,$A23))</f>
        <v>3.8858000000000001</v>
      </c>
      <c r="R23" s="13">
        <f>IF($A23="","",[1]!thsiFinD("ths_adjustment_nv_fund",R$3,$A23))</f>
        <v>3.8041999999999998</v>
      </c>
      <c r="S23" s="13">
        <f>IF($A23="","",[1]!thsiFinD("ths_adjustment_nv_fund",S$3,$A23))</f>
        <v>5.1289999999999996</v>
      </c>
      <c r="T23" s="13">
        <f>IF($A23="","",[1]!thsiFinD("ths_adjustment_nv_fund",T$3,$A23))</f>
        <v>3.1741999999999999</v>
      </c>
      <c r="U23" s="13">
        <f>IF($A23="","",[1]!thsiFinD("ths_adjustment_nv_fund",U$3,$A23))</f>
        <v>3.1574</v>
      </c>
      <c r="V23" s="13">
        <f>IF($A23="","",[1]!thsiFinD("ths_adjustment_nv_fund",V$3,$A23))</f>
        <v>1.9125000000000001</v>
      </c>
      <c r="W23" s="13">
        <f>IF($A23="","",[1]!thsiFinD("ths_adjustment_nv_fund",W$3,$A23))</f>
        <v>1.8935999999999999</v>
      </c>
      <c r="X23" s="13">
        <f>IF($A23="","",[1]!thsiFinD("ths_adjustment_nv_fund",X$3,$A23))</f>
        <v>1.7894000000000001</v>
      </c>
      <c r="Y23" s="13">
        <f>IF($A23="","",[1]!thsiFinD("ths_adjustment_nv_fund",Y$3,$A23))</f>
        <v>2.722</v>
      </c>
      <c r="Z23" s="13">
        <f>IF($A23="","",[1]!thsiFinD("ths_adjustment_nv_fund",Z$3,$A23))</f>
        <v>1.5166495215</v>
      </c>
      <c r="AA23" s="13">
        <f>IF($A23="","",[1]!thsiFinD("ths_adjustment_nv_fund",AA$3,$A23))</f>
        <v>1.2338007841</v>
      </c>
    </row>
    <row r="24" spans="1:27">
      <c r="A24" s="8">
        <v>46219</v>
      </c>
      <c r="B24" s="13">
        <f>IF($A24="","",[1]!thsiFinD("ths_adjustment_nv_fund",B$3,$A24))</f>
        <v>3.0390999999999999</v>
      </c>
      <c r="C24" s="13">
        <f>IF($A24="","",[1]!thsiFinD("ths_adjustment_nv_fund",C$3,$A24))</f>
        <v>1.3185543744999999</v>
      </c>
      <c r="D24" s="13">
        <f>IF($A24="","",[1]!thsiFinD("ths_adjustment_nv_fund",D$3,$A24))</f>
        <v>5.0339999999999998</v>
      </c>
      <c r="E24" s="13">
        <f>IF($A24="","",[1]!thsiFinD("ths_adjustment_nv_fund",E$3,$A24))</f>
        <v>1.8633999999999999</v>
      </c>
      <c r="F24" s="13">
        <f>IF($A24="","",[1]!thsiFinD("ths_adjustment_nv_fund",F$3,$A24))</f>
        <v>1.8105</v>
      </c>
      <c r="G24" s="13">
        <f>IF($A24="","",[1]!thsiFinD("ths_adjustment_nv_fund",G$3,$A24))</f>
        <v>4.1052999999999997</v>
      </c>
      <c r="H24" s="13">
        <f>IF($A24="","",[1]!thsiFinD("ths_adjustment_nv_fund",H$3,$A24))</f>
        <v>4.0179</v>
      </c>
      <c r="I24" s="13">
        <f>IF($A24="","",[1]!thsiFinD("ths_adjustment_nv_fund",I$3,$A24))</f>
        <v>2.5937999999999999</v>
      </c>
      <c r="J24" s="13">
        <f>IF($A24="","",[1]!thsiFinD("ths_adjustment_nv_fund",J$3,$A24))</f>
        <v>3.3100999999999998</v>
      </c>
      <c r="K24" s="13">
        <f>IF($A24="","",[1]!thsiFinD("ths_adjustment_nv_fund",K$3,$A24))</f>
        <v>3.2797000000000001</v>
      </c>
      <c r="L24" s="13">
        <f>IF($A24="","",[1]!thsiFinD("ths_adjustment_nv_fund",L$3,$A24))</f>
        <v>1.5208999999999999</v>
      </c>
      <c r="M24" s="13">
        <f>IF($A24="","",[1]!thsiFinD("ths_adjustment_nv_fund",M$3,$A24))</f>
        <v>1.5004999999999999</v>
      </c>
      <c r="N24" s="13">
        <f>IF($A24="","",[1]!thsiFinD("ths_adjustment_nv_fund",N$3,$A24))</f>
        <v>1.5054000000000001</v>
      </c>
      <c r="O24" s="13">
        <f>IF($A24="","",[1]!thsiFinD("ths_adjustment_nv_fund",O$3,$A24))</f>
        <v>1.4681</v>
      </c>
      <c r="P24" s="13">
        <f>IF($A24="","",[1]!thsiFinD("ths_adjustment_nv_fund",P$3,$A24))</f>
        <v>2.9674999999999998</v>
      </c>
      <c r="Q24" s="13">
        <f>IF($A24="","",[1]!thsiFinD("ths_adjustment_nv_fund",Q$3,$A24))</f>
        <v>3.7713000000000001</v>
      </c>
      <c r="R24" s="13">
        <f>IF($A24="","",[1]!thsiFinD("ths_adjustment_nv_fund",R$3,$A24))</f>
        <v>3.6920999999999999</v>
      </c>
      <c r="S24" s="13">
        <f>IF($A24="","",[1]!thsiFinD("ths_adjustment_nv_fund",S$3,$A24))</f>
        <v>4.9820000000000002</v>
      </c>
      <c r="T24" s="13">
        <f>IF($A24="","",[1]!thsiFinD("ths_adjustment_nv_fund",T$3,$A24))</f>
        <v>2.9533999999999998</v>
      </c>
      <c r="U24" s="13">
        <f>IF($A24="","",[1]!thsiFinD("ths_adjustment_nv_fund",U$3,$A24))</f>
        <v>2.9378000000000002</v>
      </c>
      <c r="V24" s="13">
        <f>IF($A24="","",[1]!thsiFinD("ths_adjustment_nv_fund",V$3,$A24))</f>
        <v>1.8716999999999999</v>
      </c>
      <c r="W24" s="13">
        <f>IF($A24="","",[1]!thsiFinD("ths_adjustment_nv_fund",W$3,$A24))</f>
        <v>1.8532</v>
      </c>
      <c r="X24" s="13">
        <f>IF($A24="","",[1]!thsiFinD("ths_adjustment_nv_fund",X$3,$A24))</f>
        <v>1.7889999999999999</v>
      </c>
      <c r="Y24" s="13">
        <f>IF($A24="","",[1]!thsiFinD("ths_adjustment_nv_fund",Y$3,$A24))</f>
        <v>2.5350000000000001</v>
      </c>
      <c r="Z24" s="13">
        <f>IF($A24="","",[1]!thsiFinD("ths_adjustment_nv_fund",Z$3,$A24))</f>
        <v>1.5163190487</v>
      </c>
      <c r="AA24" s="13">
        <f>IF($A24="","",[1]!thsiFinD("ths_adjustment_nv_fund",AA$3,$A24))</f>
        <v>1.2336829088000001</v>
      </c>
    </row>
    <row r="25" spans="1:27">
      <c r="A25" s="8">
        <v>46220</v>
      </c>
      <c r="B25" s="13">
        <f>IF($A25="","",[1]!thsiFinD("ths_adjustment_nv_fund",B$3,$A25))</f>
        <v>3.0211000000000001</v>
      </c>
      <c r="C25" s="13">
        <f>IF($A25="","",[1]!thsiFinD("ths_adjustment_nv_fund",C$3,$A25))</f>
        <v>1.3185997327000001</v>
      </c>
      <c r="D25" s="13">
        <f>IF($A25="","",[1]!thsiFinD("ths_adjustment_nv_fund",D$3,$A25))</f>
        <v>4.6050000000000004</v>
      </c>
      <c r="E25" s="13">
        <f>IF($A25="","",[1]!thsiFinD("ths_adjustment_nv_fund",E$3,$A25))</f>
        <v>1.7847999999999999</v>
      </c>
      <c r="F25" s="13">
        <f>IF($A25="","",[1]!thsiFinD("ths_adjustment_nv_fund",F$3,$A25))</f>
        <v>1.7341</v>
      </c>
      <c r="G25" s="13">
        <f>IF($A25="","",[1]!thsiFinD("ths_adjustment_nv_fund",G$3,$A25))</f>
        <v>3.7046000000000001</v>
      </c>
      <c r="H25" s="13">
        <f>IF($A25="","",[1]!thsiFinD("ths_adjustment_nv_fund",H$3,$A25))</f>
        <v>3.6257000000000001</v>
      </c>
      <c r="I25" s="13">
        <f>IF($A25="","",[1]!thsiFinD("ths_adjustment_nv_fund",I$3,$A25))</f>
        <v>2.4161999999999999</v>
      </c>
      <c r="J25" s="13">
        <f>IF($A25="","",[1]!thsiFinD("ths_adjustment_nv_fund",J$3,$A25))</f>
        <v>3.07</v>
      </c>
      <c r="K25" s="13">
        <f>IF($A25="","",[1]!thsiFinD("ths_adjustment_nv_fund",K$3,$A25))</f>
        <v>3.0417999999999998</v>
      </c>
      <c r="L25" s="13">
        <f>IF($A25="","",[1]!thsiFinD("ths_adjustment_nv_fund",L$3,$A25))</f>
        <v>1.4256</v>
      </c>
      <c r="M25" s="13">
        <f>IF($A25="","",[1]!thsiFinD("ths_adjustment_nv_fund",M$3,$A25))</f>
        <v>1.4065000000000001</v>
      </c>
      <c r="N25" s="13">
        <f>IF($A25="","",[1]!thsiFinD("ths_adjustment_nv_fund",N$3,$A25))</f>
        <v>1.4274</v>
      </c>
      <c r="O25" s="13">
        <f>IF($A25="","",[1]!thsiFinD("ths_adjustment_nv_fund",O$3,$A25))</f>
        <v>1.3919999999999999</v>
      </c>
      <c r="P25" s="13">
        <f>IF($A25="","",[1]!thsiFinD("ths_adjustment_nv_fund",P$3,$A25))</f>
        <v>2.6181999999999999</v>
      </c>
      <c r="Q25" s="13">
        <f>IF($A25="","",[1]!thsiFinD("ths_adjustment_nv_fund",Q$3,$A25))</f>
        <v>3.4020000000000001</v>
      </c>
      <c r="R25" s="13">
        <f>IF($A25="","",[1]!thsiFinD("ths_adjustment_nv_fund",R$3,$A25))</f>
        <v>3.3304999999999998</v>
      </c>
      <c r="S25" s="13">
        <f>IF($A25="","",[1]!thsiFinD("ths_adjustment_nv_fund",S$3,$A25))</f>
        <v>4.5570000000000004</v>
      </c>
      <c r="T25" s="13">
        <f>IF($A25="","",[1]!thsiFinD("ths_adjustment_nv_fund",T$3,$A25))</f>
        <v>2.7759</v>
      </c>
      <c r="U25" s="13">
        <f>IF($A25="","",[1]!thsiFinD("ths_adjustment_nv_fund",U$3,$A25))</f>
        <v>2.7612000000000001</v>
      </c>
      <c r="V25" s="13">
        <f>IF($A25="","",[1]!thsiFinD("ths_adjustment_nv_fund",V$3,$A25))</f>
        <v>1.7484</v>
      </c>
      <c r="W25" s="13">
        <f>IF($A25="","",[1]!thsiFinD("ths_adjustment_nv_fund",W$3,$A25))</f>
        <v>1.7311000000000001</v>
      </c>
      <c r="X25" s="13">
        <f>IF($A25="","",[1]!thsiFinD("ths_adjustment_nv_fund",X$3,$A25))</f>
        <v>1.7899</v>
      </c>
      <c r="Y25" s="13">
        <f>IF($A25="","",[1]!thsiFinD("ths_adjustment_nv_fund",Y$3,$A25))</f>
        <v>2.3570000000000002</v>
      </c>
      <c r="Z25" s="13">
        <f>IF($A25="","",[1]!thsiFinD("ths_adjustment_nv_fund",Z$3,$A25))</f>
        <v>1.5169799942</v>
      </c>
      <c r="AA25" s="13">
        <f>IF($A25="","",[1]!thsiFinD("ths_adjustment_nv_fund",AA$3,$A25))</f>
        <v>1.2338007841</v>
      </c>
    </row>
    <row r="26" spans="1:27">
      <c r="A26" s="8">
        <v>46223</v>
      </c>
      <c r="B26" s="13">
        <f>IF($A26="","",[1]!thsiFinD("ths_adjustment_nv_fund",B$3,$A26))</f>
        <v>3.0230000000000001</v>
      </c>
      <c r="C26" s="13">
        <f>IF($A26="","",[1]!thsiFinD("ths_adjustment_nv_fund",C$3,$A26))</f>
        <v>1.3187334169</v>
      </c>
      <c r="D26" s="13">
        <f>IF($A26="","",[1]!thsiFinD("ths_adjustment_nv_fund",D$3,$A26))</f>
        <v>4.3789999999999996</v>
      </c>
      <c r="E26" s="13">
        <f>IF($A26="","",[1]!thsiFinD("ths_adjustment_nv_fund",E$3,$A26))</f>
        <v>1.7935000000000001</v>
      </c>
      <c r="F26" s="13">
        <f>IF($A26="","",[1]!thsiFinD("ths_adjustment_nv_fund",F$3,$A26))</f>
        <v>1.7424999999999999</v>
      </c>
      <c r="G26" s="13">
        <f>IF($A26="","",[1]!thsiFinD("ths_adjustment_nv_fund",G$3,$A26))</f>
        <v>3.6558000000000002</v>
      </c>
      <c r="H26" s="13">
        <f>IF($A26="","",[1]!thsiFinD("ths_adjustment_nv_fund",H$3,$A26))</f>
        <v>3.5777999999999999</v>
      </c>
      <c r="I26" s="13">
        <f>IF($A26="","",[1]!thsiFinD("ths_adjustment_nv_fund",I$3,$A26))</f>
        <v>2.3675999999999999</v>
      </c>
      <c r="J26" s="13">
        <f>IF($A26="","",[1]!thsiFinD("ths_adjustment_nv_fund",J$3,$A26))</f>
        <v>2.9571000000000001</v>
      </c>
      <c r="K26" s="13">
        <f>IF($A26="","",[1]!thsiFinD("ths_adjustment_nv_fund",K$3,$A26))</f>
        <v>2.9298999999999999</v>
      </c>
      <c r="L26" s="13">
        <f>IF($A26="","",[1]!thsiFinD("ths_adjustment_nv_fund",L$3,$A26))</f>
        <v>1.3858999999999999</v>
      </c>
      <c r="M26" s="13">
        <f>IF($A26="","",[1]!thsiFinD("ths_adjustment_nv_fund",M$3,$A26))</f>
        <v>1.3672</v>
      </c>
      <c r="N26" s="13">
        <f>IF($A26="","",[1]!thsiFinD("ths_adjustment_nv_fund",N$3,$A26))</f>
        <v>1.4021999999999999</v>
      </c>
      <c r="O26" s="13">
        <f>IF($A26="","",[1]!thsiFinD("ths_adjustment_nv_fund",O$3,$A26))</f>
        <v>1.3673</v>
      </c>
      <c r="P26" s="13">
        <f>IF($A26="","",[1]!thsiFinD("ths_adjustment_nv_fund",P$3,$A26))</f>
        <v>2.5034999999999998</v>
      </c>
      <c r="Q26" s="13">
        <f>IF($A26="","",[1]!thsiFinD("ths_adjustment_nv_fund",Q$3,$A26))</f>
        <v>3.3285999999999998</v>
      </c>
      <c r="R26" s="13">
        <f>IF($A26="","",[1]!thsiFinD("ths_adjustment_nv_fund",R$3,$A26))</f>
        <v>3.2585000000000002</v>
      </c>
      <c r="S26" s="13">
        <f>IF($A26="","",[1]!thsiFinD("ths_adjustment_nv_fund",S$3,$A26))</f>
        <v>4.3339999999999996</v>
      </c>
      <c r="T26" s="13">
        <f>IF($A26="","",[1]!thsiFinD("ths_adjustment_nv_fund",T$3,$A26))</f>
        <v>2.6282000000000001</v>
      </c>
      <c r="U26" s="13">
        <f>IF($A26="","",[1]!thsiFinD("ths_adjustment_nv_fund",U$3,$A26))</f>
        <v>2.6143000000000001</v>
      </c>
      <c r="V26" s="13">
        <f>IF($A26="","",[1]!thsiFinD("ths_adjustment_nv_fund",V$3,$A26))</f>
        <v>1.6716</v>
      </c>
      <c r="W26" s="13">
        <f>IF($A26="","",[1]!thsiFinD("ths_adjustment_nv_fund",W$3,$A26))</f>
        <v>1.655</v>
      </c>
      <c r="X26" s="13">
        <f>IF($A26="","",[1]!thsiFinD("ths_adjustment_nv_fund",X$3,$A26))</f>
        <v>1.7894000000000001</v>
      </c>
      <c r="Y26" s="13">
        <f>IF($A26="","",[1]!thsiFinD("ths_adjustment_nv_fund",Y$3,$A26))</f>
        <v>2.2170000000000001</v>
      </c>
      <c r="Z26" s="13">
        <f>IF($A26="","",[1]!thsiFinD("ths_adjustment_nv_fund",Z$3,$A26))</f>
        <v>1.5167596791</v>
      </c>
      <c r="AA26" s="13">
        <f>IF($A26="","",[1]!thsiFinD("ths_adjustment_nv_fund",AA$3,$A26))</f>
        <v>1.2338007841</v>
      </c>
    </row>
    <row r="27" spans="1:27">
      <c r="A27" s="8">
        <v>46224</v>
      </c>
      <c r="B27" s="13">
        <f>IF($A27="","",[1]!thsiFinD("ths_adjustment_nv_fund",B$3,$A27))</f>
        <v>3.0701999999999998</v>
      </c>
      <c r="C27" s="13">
        <f>IF($A27="","",[1]!thsiFinD("ths_adjustment_nv_fund",C$3,$A27))</f>
        <v>1.3187775417000001</v>
      </c>
      <c r="D27" s="13">
        <f>IF($A27="","",[1]!thsiFinD("ths_adjustment_nv_fund",D$3,$A27))</f>
        <v>4.7220000000000004</v>
      </c>
      <c r="E27" s="13">
        <f>IF($A27="","",[1]!thsiFinD("ths_adjustment_nv_fund",E$3,$A27))</f>
        <v>1.8593999999999999</v>
      </c>
      <c r="F27" s="13">
        <f>IF($A27="","",[1]!thsiFinD("ths_adjustment_nv_fund",F$3,$A27))</f>
        <v>1.8065</v>
      </c>
      <c r="G27" s="13">
        <f>IF($A27="","",[1]!thsiFinD("ths_adjustment_nv_fund",G$3,$A27))</f>
        <v>3.9375</v>
      </c>
      <c r="H27" s="13">
        <f>IF($A27="","",[1]!thsiFinD("ths_adjustment_nv_fund",H$3,$A27))</f>
        <v>3.8534999999999999</v>
      </c>
      <c r="I27" s="13">
        <f>IF($A27="","",[1]!thsiFinD("ths_adjustment_nv_fund",I$3,$A27))</f>
        <v>2.6269999999999998</v>
      </c>
      <c r="J27" s="13">
        <f>IF($A27="","",[1]!thsiFinD("ths_adjustment_nv_fund",J$3,$A27))</f>
        <v>3.4468000000000001</v>
      </c>
      <c r="K27" s="13">
        <f>IF($A27="","",[1]!thsiFinD("ths_adjustment_nv_fund",K$3,$A27))</f>
        <v>3.415</v>
      </c>
      <c r="L27" s="13">
        <f>IF($A27="","",[1]!thsiFinD("ths_adjustment_nv_fund",L$3,$A27))</f>
        <v>1.4433</v>
      </c>
      <c r="M27" s="13">
        <f>IF($A27="","",[1]!thsiFinD("ths_adjustment_nv_fund",M$3,$A27))</f>
        <v>1.4238</v>
      </c>
      <c r="N27" s="13">
        <f>IF($A27="","",[1]!thsiFinD("ths_adjustment_nv_fund",N$3,$A27))</f>
        <v>1.4735</v>
      </c>
      <c r="O27" s="13">
        <f>IF($A27="","",[1]!thsiFinD("ths_adjustment_nv_fund",O$3,$A27))</f>
        <v>1.4369000000000001</v>
      </c>
      <c r="P27" s="13">
        <f>IF($A27="","",[1]!thsiFinD("ths_adjustment_nv_fund",P$3,$A27))</f>
        <v>2.7307000000000001</v>
      </c>
      <c r="Q27" s="13">
        <f>IF($A27="","",[1]!thsiFinD("ths_adjustment_nv_fund",Q$3,$A27))</f>
        <v>3.6114000000000002</v>
      </c>
      <c r="R27" s="13">
        <f>IF($A27="","",[1]!thsiFinD("ths_adjustment_nv_fund",R$3,$A27))</f>
        <v>3.5352000000000001</v>
      </c>
      <c r="S27" s="13">
        <f>IF($A27="","",[1]!thsiFinD("ths_adjustment_nv_fund",S$3,$A27))</f>
        <v>4.673</v>
      </c>
      <c r="T27" s="13">
        <f>IF($A27="","",[1]!thsiFinD("ths_adjustment_nv_fund",T$3,$A27))</f>
        <v>3.0192999999999999</v>
      </c>
      <c r="U27" s="13">
        <f>IF($A27="","",[1]!thsiFinD("ths_adjustment_nv_fund",U$3,$A27))</f>
        <v>3.0032000000000001</v>
      </c>
      <c r="V27" s="13">
        <f>IF($A27="","",[1]!thsiFinD("ths_adjustment_nv_fund",V$3,$A27))</f>
        <v>1.7194</v>
      </c>
      <c r="W27" s="13">
        <f>IF($A27="","",[1]!thsiFinD("ths_adjustment_nv_fund",W$3,$A27))</f>
        <v>1.7023999999999999</v>
      </c>
      <c r="X27" s="13">
        <f>IF($A27="","",[1]!thsiFinD("ths_adjustment_nv_fund",X$3,$A27))</f>
        <v>1.7897000000000001</v>
      </c>
      <c r="Y27" s="13">
        <f>IF($A27="","",[1]!thsiFinD("ths_adjustment_nv_fund",Y$3,$A27))</f>
        <v>2.6080000000000001</v>
      </c>
      <c r="Z27" s="13">
        <f>IF($A27="","",[1]!thsiFinD("ths_adjustment_nv_fund",Z$3,$A27))</f>
        <v>1.5167596791</v>
      </c>
      <c r="AA27" s="13">
        <f>IF($A27="","",[1]!thsiFinD("ths_adjustment_nv_fund",AA$3,$A27))</f>
        <v>1.2338007841</v>
      </c>
    </row>
    <row r="28" spans="1:27">
      <c r="A28" s="8">
        <v>46225</v>
      </c>
      <c r="B28" s="13">
        <f>IF($A28="","",[1]!thsiFinD("ths_adjustment_nv_fund",B$3,$A28))</f>
        <v>3.1126999999999998</v>
      </c>
      <c r="C28" s="13">
        <f>IF($A28="","",[1]!thsiFinD("ths_adjustment_nv_fund",C$3,$A28))</f>
        <v>1.3188229868000001</v>
      </c>
      <c r="D28" s="13">
        <f>IF($A28="","",[1]!thsiFinD("ths_adjustment_nv_fund",D$3,$A28))</f>
        <v>4.54</v>
      </c>
      <c r="E28" s="13">
        <f>IF($A28="","",[1]!thsiFinD("ths_adjustment_nv_fund",E$3,$A28))</f>
        <v>1.8446</v>
      </c>
      <c r="F28" s="13">
        <f>IF($A28="","",[1]!thsiFinD("ths_adjustment_nv_fund",F$3,$A28))</f>
        <v>1.7921</v>
      </c>
      <c r="G28" s="13">
        <f>IF($A28="","",[1]!thsiFinD("ths_adjustment_nv_fund",G$3,$A28))</f>
        <v>3.7907999999999999</v>
      </c>
      <c r="H28" s="13">
        <f>IF($A28="","",[1]!thsiFinD("ths_adjustment_nv_fund",H$3,$A28))</f>
        <v>3.7098</v>
      </c>
      <c r="I28" s="13">
        <f>IF($A28="","",[1]!thsiFinD("ths_adjustment_nv_fund",I$3,$A28))</f>
        <v>2.5409999999999999</v>
      </c>
      <c r="J28" s="13">
        <f>IF($A28="","",[1]!thsiFinD("ths_adjustment_nv_fund",J$3,$A28))</f>
        <v>3.3807</v>
      </c>
      <c r="K28" s="13">
        <f>IF($A28="","",[1]!thsiFinD("ths_adjustment_nv_fund",K$3,$A28))</f>
        <v>3.3494999999999999</v>
      </c>
      <c r="L28" s="13">
        <f>IF($A28="","",[1]!thsiFinD("ths_adjustment_nv_fund",L$3,$A28))</f>
        <v>1.4241999999999999</v>
      </c>
      <c r="M28" s="13">
        <f>IF($A28="","",[1]!thsiFinD("ths_adjustment_nv_fund",M$3,$A28))</f>
        <v>1.405</v>
      </c>
      <c r="N28" s="13">
        <f>IF($A28="","",[1]!thsiFinD("ths_adjustment_nv_fund",N$3,$A28))</f>
        <v>1.4686999999999999</v>
      </c>
      <c r="O28" s="13">
        <f>IF($A28="","",[1]!thsiFinD("ths_adjustment_nv_fund",O$3,$A28))</f>
        <v>1.4320999999999999</v>
      </c>
      <c r="P28" s="13">
        <f>IF($A28="","",[1]!thsiFinD("ths_adjustment_nv_fund",P$3,$A28))</f>
        <v>2.5888</v>
      </c>
      <c r="Q28" s="13">
        <f>IF($A28="","",[1]!thsiFinD("ths_adjustment_nv_fund",Q$3,$A28))</f>
        <v>3.4780000000000002</v>
      </c>
      <c r="R28" s="13">
        <f>IF($A28="","",[1]!thsiFinD("ths_adjustment_nv_fund",R$3,$A28))</f>
        <v>3.4045999999999998</v>
      </c>
      <c r="S28" s="13">
        <f>IF($A28="","",[1]!thsiFinD("ths_adjustment_nv_fund",S$3,$A28))</f>
        <v>4.4930000000000003</v>
      </c>
      <c r="T28" s="13">
        <f>IF($A28="","",[1]!thsiFinD("ths_adjustment_nv_fund",T$3,$A28))</f>
        <v>2.9672999999999998</v>
      </c>
      <c r="U28" s="13">
        <f>IF($A28="","",[1]!thsiFinD("ths_adjustment_nv_fund",U$3,$A28))</f>
        <v>2.9514999999999998</v>
      </c>
      <c r="V28" s="13">
        <f>IF($A28="","",[1]!thsiFinD("ths_adjustment_nv_fund",V$3,$A28))</f>
        <v>1.6980999999999999</v>
      </c>
      <c r="W28" s="13">
        <f>IF($A28="","",[1]!thsiFinD("ths_adjustment_nv_fund",W$3,$A28))</f>
        <v>1.6812</v>
      </c>
      <c r="X28" s="13">
        <f>IF($A28="","",[1]!thsiFinD("ths_adjustment_nv_fund",X$3,$A28))</f>
        <v>1.7924</v>
      </c>
      <c r="Y28" s="13">
        <f>IF($A28="","",[1]!thsiFinD("ths_adjustment_nv_fund",Y$3,$A28))</f>
        <v>2.5470000000000002</v>
      </c>
      <c r="Z28" s="13">
        <f>IF($A28="","",[1]!thsiFinD("ths_adjustment_nv_fund",Z$3,$A28))</f>
        <v>1.5181917276000001</v>
      </c>
      <c r="AA28" s="13">
        <f>IF($A28="","",[1]!thsiFinD("ths_adjustment_nv_fund",AA$3,$A28))</f>
        <v>1.2342722853000001</v>
      </c>
    </row>
    <row r="29" spans="1:27">
      <c r="A29" s="8">
        <v>46226</v>
      </c>
      <c r="B29" s="13">
        <f>IF($A29="","",[1]!thsiFinD("ths_adjustment_nv_fund",B$3,$A29))</f>
        <v>3.1029</v>
      </c>
      <c r="C29" s="13">
        <f>IF($A29="","",[1]!thsiFinD("ths_adjustment_nv_fund",C$3,$A29))</f>
        <v>1.3188669036</v>
      </c>
      <c r="D29" s="13">
        <f>IF($A29="","",[1]!thsiFinD("ths_adjustment_nv_fund",D$3,$A29))</f>
        <v>4.5209999999999999</v>
      </c>
      <c r="E29" s="13">
        <f>IF($A29="","",[1]!thsiFinD("ths_adjustment_nv_fund",E$3,$A29))</f>
        <v>1.8546</v>
      </c>
      <c r="F29" s="13">
        <f>IF($A29="","",[1]!thsiFinD("ths_adjustment_nv_fund",F$3,$A29))</f>
        <v>1.8017000000000001</v>
      </c>
      <c r="G29" s="13">
        <f>IF($A29="","",[1]!thsiFinD("ths_adjustment_nv_fund",G$3,$A29))</f>
        <v>3.7839</v>
      </c>
      <c r="H29" s="13">
        <f>IF($A29="","",[1]!thsiFinD("ths_adjustment_nv_fund",H$3,$A29))</f>
        <v>3.7031000000000001</v>
      </c>
      <c r="I29" s="13">
        <f>IF($A29="","",[1]!thsiFinD("ths_adjustment_nv_fund",I$3,$A29))</f>
        <v>2.4803999999999999</v>
      </c>
      <c r="J29" s="13">
        <f>IF($A29="","",[1]!thsiFinD("ths_adjustment_nv_fund",J$3,$A29))</f>
        <v>3.2132000000000001</v>
      </c>
      <c r="K29" s="13">
        <f>IF($A29="","",[1]!thsiFinD("ths_adjustment_nv_fund",K$3,$A29))</f>
        <v>3.1836000000000002</v>
      </c>
      <c r="L29" s="13">
        <f>IF($A29="","",[1]!thsiFinD("ths_adjustment_nv_fund",L$3,$A29))</f>
        <v>1.4338</v>
      </c>
      <c r="M29" s="13">
        <f>IF($A29="","",[1]!thsiFinD("ths_adjustment_nv_fund",M$3,$A29))</f>
        <v>1.4145000000000001</v>
      </c>
      <c r="N29" s="13">
        <f>IF($A29="","",[1]!thsiFinD("ths_adjustment_nv_fund",N$3,$A29))</f>
        <v>1.4743999999999999</v>
      </c>
      <c r="O29" s="13">
        <f>IF($A29="","",[1]!thsiFinD("ths_adjustment_nv_fund",O$3,$A29))</f>
        <v>1.4377</v>
      </c>
      <c r="P29" s="13">
        <f>IF($A29="","",[1]!thsiFinD("ths_adjustment_nv_fund",P$3,$A29))</f>
        <v>2.5653000000000001</v>
      </c>
      <c r="Q29" s="13">
        <f>IF($A29="","",[1]!thsiFinD("ths_adjustment_nv_fund",Q$3,$A29))</f>
        <v>3.3975</v>
      </c>
      <c r="R29" s="13">
        <f>IF($A29="","",[1]!thsiFinD("ths_adjustment_nv_fund",R$3,$A29))</f>
        <v>3.3256999999999999</v>
      </c>
      <c r="S29" s="13">
        <f>IF($A29="","",[1]!thsiFinD("ths_adjustment_nv_fund",S$3,$A29))</f>
        <v>4.4740000000000002</v>
      </c>
      <c r="T29" s="13">
        <f>IF($A29="","",[1]!thsiFinD("ths_adjustment_nv_fund",T$3,$A29))</f>
        <v>2.8544999999999998</v>
      </c>
      <c r="U29" s="13">
        <f>IF($A29="","",[1]!thsiFinD("ths_adjustment_nv_fund",U$3,$A29))</f>
        <v>2.8393000000000002</v>
      </c>
      <c r="V29" s="13">
        <f>IF($A29="","",[1]!thsiFinD("ths_adjustment_nv_fund",V$3,$A29))</f>
        <v>1.7231000000000001</v>
      </c>
      <c r="W29" s="13">
        <f>IF($A29="","",[1]!thsiFinD("ths_adjustment_nv_fund",W$3,$A29))</f>
        <v>1.706</v>
      </c>
      <c r="X29" s="13">
        <f>IF($A29="","",[1]!thsiFinD("ths_adjustment_nv_fund",X$3,$A29))</f>
        <v>1.7927999999999999</v>
      </c>
      <c r="Y29" s="13">
        <f>IF($A29="","",[1]!thsiFinD("ths_adjustment_nv_fund",Y$3,$A29))</f>
        <v>2.4380000000000002</v>
      </c>
      <c r="Z29" s="13">
        <f>IF($A29="","",[1]!thsiFinD("ths_adjustment_nv_fund",Z$3,$A29))</f>
        <v>1.5173104668999999</v>
      </c>
      <c r="AA29" s="13">
        <f>IF($A29="","",[1]!thsiFinD("ths_adjustment_nv_fund",AA$3,$A29))</f>
        <v>1.2339186594</v>
      </c>
    </row>
    <row r="30" spans="1:27">
      <c r="A30" s="8">
        <v>46227</v>
      </c>
      <c r="B30" s="13">
        <f>IF($A30="","",[1]!thsiFinD("ths_adjustment_nv_fund",B$3,$A30))</f>
        <v>3.0590000000000002</v>
      </c>
      <c r="C30" s="13">
        <f>IF($A30="","",[1]!thsiFinD("ths_adjustment_nv_fund",C$3,$A30))</f>
        <v>1.3189122067000001</v>
      </c>
      <c r="D30" s="13">
        <f>IF($A30="","",[1]!thsiFinD("ths_adjustment_nv_fund",D$3,$A30))</f>
        <v>4.4160000000000004</v>
      </c>
      <c r="E30" s="13">
        <f>IF($A30="","",[1]!thsiFinD("ths_adjustment_nv_fund",E$3,$A30))</f>
        <v>1.8241000000000001</v>
      </c>
      <c r="F30" s="13">
        <f>IF($A30="","",[1]!thsiFinD("ths_adjustment_nv_fund",F$3,$A30))</f>
        <v>1.7721</v>
      </c>
      <c r="G30" s="13">
        <f>IF($A30="","",[1]!thsiFinD("ths_adjustment_nv_fund",G$3,$A30))</f>
        <v>3.6581999999999999</v>
      </c>
      <c r="H30" s="13">
        <f>IF($A30="","",[1]!thsiFinD("ths_adjustment_nv_fund",H$3,$A30))</f>
        <v>3.58</v>
      </c>
      <c r="I30" s="13">
        <f>IF($A30="","",[1]!thsiFinD("ths_adjustment_nv_fund",I$3,$A30))</f>
        <v>2.4868999999999999</v>
      </c>
      <c r="J30" s="13">
        <f>IF($A30="","",[1]!thsiFinD("ths_adjustment_nv_fund",J$3,$A30))</f>
        <v>3.3025000000000002</v>
      </c>
      <c r="K30" s="13">
        <f>IF($A30="","",[1]!thsiFinD("ths_adjustment_nv_fund",K$3,$A30))</f>
        <v>3.2719999999999998</v>
      </c>
      <c r="L30" s="13">
        <f>IF($A30="","",[1]!thsiFinD("ths_adjustment_nv_fund",L$3,$A30))</f>
        <v>1.3917999999999999</v>
      </c>
      <c r="M30" s="13">
        <f>IF($A30="","",[1]!thsiFinD("ths_adjustment_nv_fund",M$3,$A30))</f>
        <v>1.3731</v>
      </c>
      <c r="N30" s="13">
        <f>IF($A30="","",[1]!thsiFinD("ths_adjustment_nv_fund",N$3,$A30))</f>
        <v>1.4372</v>
      </c>
      <c r="O30" s="13">
        <f>IF($A30="","",[1]!thsiFinD("ths_adjustment_nv_fund",O$3,$A30))</f>
        <v>1.4014</v>
      </c>
      <c r="P30" s="13">
        <f>IF($A30="","",[1]!thsiFinD("ths_adjustment_nv_fund",P$3,$A30))</f>
        <v>2.4782000000000002</v>
      </c>
      <c r="Q30" s="13">
        <f>IF($A30="","",[1]!thsiFinD("ths_adjustment_nv_fund",Q$3,$A30))</f>
        <v>3.3233000000000001</v>
      </c>
      <c r="R30" s="13">
        <f>IF($A30="","",[1]!thsiFinD("ths_adjustment_nv_fund",R$3,$A30))</f>
        <v>3.2530000000000001</v>
      </c>
      <c r="S30" s="13">
        <f>IF($A30="","",[1]!thsiFinD("ths_adjustment_nv_fund",S$3,$A30))</f>
        <v>4.37</v>
      </c>
      <c r="T30" s="13">
        <f>IF($A30="","",[1]!thsiFinD("ths_adjustment_nv_fund",T$3,$A30))</f>
        <v>2.9346000000000001</v>
      </c>
      <c r="U30" s="13">
        <f>IF($A30="","",[1]!thsiFinD("ths_adjustment_nv_fund",U$3,$A30))</f>
        <v>2.9188999999999998</v>
      </c>
      <c r="V30" s="13">
        <f>IF($A30="","",[1]!thsiFinD("ths_adjustment_nv_fund",V$3,$A30))</f>
        <v>1.6819999999999999</v>
      </c>
      <c r="W30" s="13">
        <f>IF($A30="","",[1]!thsiFinD("ths_adjustment_nv_fund",W$3,$A30))</f>
        <v>1.6652</v>
      </c>
      <c r="X30" s="13">
        <f>IF($A30="","",[1]!thsiFinD("ths_adjustment_nv_fund",X$3,$A30))</f>
        <v>1.7938000000000001</v>
      </c>
      <c r="Y30" s="13">
        <f>IF($A30="","",[1]!thsiFinD("ths_adjustment_nv_fund",Y$3,$A30))</f>
        <v>2.5289999999999999</v>
      </c>
      <c r="Z30" s="13">
        <f>IF($A30="","",[1]!thsiFinD("ths_adjustment_nv_fund",Z$3,$A30))</f>
        <v>1.5173104668999999</v>
      </c>
      <c r="AA30" s="13">
        <f>IF($A30="","",[1]!thsiFinD("ths_adjustment_nv_fund",AA$3,$A30))</f>
        <v>1.2339186594</v>
      </c>
    </row>
    <row r="31" spans="1:27">
      <c r="A31" s="8">
        <v>46230</v>
      </c>
      <c r="B31" s="13">
        <f>IF($A31="","",[1]!thsiFinD("ths_adjustment_nv_fund",B$3,$A31))</f>
        <v>3.0947</v>
      </c>
      <c r="C31" s="13">
        <f>IF($A31="","",[1]!thsiFinD("ths_adjustment_nv_fund",C$3,$A31))</f>
        <v>1.3190456983000001</v>
      </c>
      <c r="D31" s="13">
        <f>IF($A31="","",[1]!thsiFinD("ths_adjustment_nv_fund",D$3,$A31))</f>
        <v>4.577</v>
      </c>
      <c r="E31" s="13">
        <f>IF($A31="","",[1]!thsiFinD("ths_adjustment_nv_fund",E$3,$A31))</f>
        <v>1.8586</v>
      </c>
      <c r="F31" s="13">
        <f>IF($A31="","",[1]!thsiFinD("ths_adjustment_nv_fund",F$3,$A31))</f>
        <v>1.8056000000000001</v>
      </c>
      <c r="G31" s="13">
        <f>IF($A31="","",[1]!thsiFinD("ths_adjustment_nv_fund",G$3,$A31))</f>
        <v>3.7648999999999999</v>
      </c>
      <c r="H31" s="13">
        <f>IF($A31="","",[1]!thsiFinD("ths_adjustment_nv_fund",H$3,$A31))</f>
        <v>3.6844000000000001</v>
      </c>
      <c r="I31" s="13">
        <f>IF($A31="","",[1]!thsiFinD("ths_adjustment_nv_fund",I$3,$A31))</f>
        <v>2.552</v>
      </c>
      <c r="J31" s="13">
        <f>IF($A31="","",[1]!thsiFinD("ths_adjustment_nv_fund",J$3,$A31))</f>
        <v>3.3740000000000001</v>
      </c>
      <c r="K31" s="13">
        <f>IF($A31="","",[1]!thsiFinD("ths_adjustment_nv_fund",K$3,$A31))</f>
        <v>3.3428</v>
      </c>
      <c r="L31" s="13">
        <f>IF($A31="","",[1]!thsiFinD("ths_adjustment_nv_fund",L$3,$A31))</f>
        <v>1.4456</v>
      </c>
      <c r="M31" s="13">
        <f>IF($A31="","",[1]!thsiFinD("ths_adjustment_nv_fund",M$3,$A31))</f>
        <v>1.4260999999999999</v>
      </c>
      <c r="N31" s="13">
        <f>IF($A31="","",[1]!thsiFinD("ths_adjustment_nv_fund",N$3,$A31))</f>
        <v>1.4791000000000001</v>
      </c>
      <c r="O31" s="13">
        <f>IF($A31="","",[1]!thsiFinD("ths_adjustment_nv_fund",O$3,$A31))</f>
        <v>1.4421999999999999</v>
      </c>
      <c r="P31" s="13">
        <f>IF($A31="","",[1]!thsiFinD("ths_adjustment_nv_fund",P$3,$A31))</f>
        <v>2.5747</v>
      </c>
      <c r="Q31" s="13">
        <f>IF($A31="","",[1]!thsiFinD("ths_adjustment_nv_fund",Q$3,$A31))</f>
        <v>3.4195000000000002</v>
      </c>
      <c r="R31" s="13">
        <f>IF($A31="","",[1]!thsiFinD("ths_adjustment_nv_fund",R$3,$A31))</f>
        <v>3.3471000000000002</v>
      </c>
      <c r="S31" s="13">
        <f>IF($A31="","",[1]!thsiFinD("ths_adjustment_nv_fund",S$3,$A31))</f>
        <v>4.5289999999999999</v>
      </c>
      <c r="T31" s="13">
        <f>IF($A31="","",[1]!thsiFinD("ths_adjustment_nv_fund",T$3,$A31))</f>
        <v>3.0312999999999999</v>
      </c>
      <c r="U31" s="13">
        <f>IF($A31="","",[1]!thsiFinD("ths_adjustment_nv_fund",U$3,$A31))</f>
        <v>3.0150999999999999</v>
      </c>
      <c r="V31" s="13">
        <f>IF($A31="","",[1]!thsiFinD("ths_adjustment_nv_fund",V$3,$A31))</f>
        <v>1.7479</v>
      </c>
      <c r="W31" s="13">
        <f>IF($A31="","",[1]!thsiFinD("ths_adjustment_nv_fund",W$3,$A31))</f>
        <v>1.7303999999999999</v>
      </c>
      <c r="X31" s="13">
        <f>IF($A31="","",[1]!thsiFinD("ths_adjustment_nv_fund",X$3,$A31))</f>
        <v>1.7939000000000001</v>
      </c>
      <c r="Y31" s="13">
        <f>IF($A31="","",[1]!thsiFinD("ths_adjustment_nv_fund",Y$3,$A31))</f>
        <v>2.589</v>
      </c>
      <c r="Z31" s="13">
        <f>IF($A31="","",[1]!thsiFinD("ths_adjustment_nv_fund",Z$3,$A31))</f>
        <v>1.5167596791</v>
      </c>
      <c r="AA31" s="13">
        <f>IF($A31="","",[1]!thsiFinD("ths_adjustment_nv_fund",AA$3,$A31))</f>
        <v>1.2338007841</v>
      </c>
    </row>
    <row r="32" spans="1:27">
      <c r="A32" s="8">
        <v>46231</v>
      </c>
      <c r="B32" s="13">
        <f>IF($A32="","",[1]!thsiFinD("ths_adjustment_nv_fund",B$3,$A32))</f>
        <v>3.0579000000000001</v>
      </c>
      <c r="C32" s="13">
        <f>IF($A32="","",[1]!thsiFinD("ths_adjustment_nv_fund",C$3,$A32))</f>
        <v>1.3190894114</v>
      </c>
      <c r="D32" s="13">
        <f>IF($A32="","",[1]!thsiFinD("ths_adjustment_nv_fund",D$3,$A32))</f>
        <v>4.1360000000000001</v>
      </c>
      <c r="E32" s="13">
        <f>IF($A32="","",[1]!thsiFinD("ths_adjustment_nv_fund",E$3,$A32))</f>
        <v>1.8013999999999999</v>
      </c>
      <c r="F32" s="13">
        <f>IF($A32="","",[1]!thsiFinD("ths_adjustment_nv_fund",F$3,$A32))</f>
        <v>1.75</v>
      </c>
      <c r="G32" s="13">
        <f>IF($A32="","",[1]!thsiFinD("ths_adjustment_nv_fund",G$3,$A32))</f>
        <v>3.4058000000000002</v>
      </c>
      <c r="H32" s="13">
        <f>IF($A32="","",[1]!thsiFinD("ths_adjustment_nv_fund",H$3,$A32))</f>
        <v>3.3329</v>
      </c>
      <c r="I32" s="13">
        <f>IF($A32="","",[1]!thsiFinD("ths_adjustment_nv_fund",I$3,$A32))</f>
        <v>2.3229000000000002</v>
      </c>
      <c r="J32" s="13">
        <f>IF($A32="","",[1]!thsiFinD("ths_adjustment_nv_fund",J$3,$A32))</f>
        <v>3.1785000000000001</v>
      </c>
      <c r="K32" s="13">
        <f>IF($A32="","",[1]!thsiFinD("ths_adjustment_nv_fund",K$3,$A32))</f>
        <v>3.1490999999999998</v>
      </c>
      <c r="L32" s="13">
        <f>IF($A32="","",[1]!thsiFinD("ths_adjustment_nv_fund",L$3,$A32))</f>
        <v>1.409</v>
      </c>
      <c r="M32" s="13">
        <f>IF($A32="","",[1]!thsiFinD("ths_adjustment_nv_fund",M$3,$A32))</f>
        <v>1.39</v>
      </c>
      <c r="N32" s="13">
        <f>IF($A32="","",[1]!thsiFinD("ths_adjustment_nv_fund",N$3,$A32))</f>
        <v>1.4274</v>
      </c>
      <c r="O32" s="13">
        <f>IF($A32="","",[1]!thsiFinD("ths_adjustment_nv_fund",O$3,$A32))</f>
        <v>1.3916999999999999</v>
      </c>
      <c r="P32" s="13">
        <f>IF($A32="","",[1]!thsiFinD("ths_adjustment_nv_fund",P$3,$A32))</f>
        <v>2.2561</v>
      </c>
      <c r="Q32" s="13">
        <f>IF($A32="","",[1]!thsiFinD("ths_adjustment_nv_fund",Q$3,$A32))</f>
        <v>3.0731999999999999</v>
      </c>
      <c r="R32" s="13">
        <f>IF($A32="","",[1]!thsiFinD("ths_adjustment_nv_fund",R$3,$A32))</f>
        <v>3.008</v>
      </c>
      <c r="S32" s="13">
        <f>IF($A32="","",[1]!thsiFinD("ths_adjustment_nv_fund",S$3,$A32))</f>
        <v>4.093</v>
      </c>
      <c r="T32" s="13">
        <f>IF($A32="","",[1]!thsiFinD("ths_adjustment_nv_fund",T$3,$A32))</f>
        <v>2.8593999999999999</v>
      </c>
      <c r="U32" s="13">
        <f>IF($A32="","",[1]!thsiFinD("ths_adjustment_nv_fund",U$3,$A32))</f>
        <v>2.8439999999999999</v>
      </c>
      <c r="V32" s="13">
        <f>IF($A32="","",[1]!thsiFinD("ths_adjustment_nv_fund",V$3,$A32))</f>
        <v>1.7117</v>
      </c>
      <c r="W32" s="13">
        <f>IF($A32="","",[1]!thsiFinD("ths_adjustment_nv_fund",W$3,$A32))</f>
        <v>1.6946000000000001</v>
      </c>
      <c r="X32" s="13">
        <f>IF($A32="","",[1]!thsiFinD("ths_adjustment_nv_fund",X$3,$A32))</f>
        <v>1.7938000000000001</v>
      </c>
      <c r="Y32" s="13">
        <f>IF($A32="","",[1]!thsiFinD("ths_adjustment_nv_fund",Y$3,$A32))</f>
        <v>2.4319999999999999</v>
      </c>
      <c r="Z32" s="13">
        <f>IF($A32="","",[1]!thsiFinD("ths_adjustment_nv_fund",Z$3,$A32))</f>
        <v>1.515988576</v>
      </c>
      <c r="AA32" s="13">
        <f>IF($A32="","",[1]!thsiFinD("ths_adjustment_nv_fund",AA$3,$A32))</f>
        <v>1.2336829088000001</v>
      </c>
    </row>
    <row r="33" spans="1:27">
      <c r="A33" s="8">
        <v>46232</v>
      </c>
      <c r="B33" s="13">
        <f>IF($A33="","",[1]!thsiFinD("ths_adjustment_nv_fund",B$3,$A33))</f>
        <v>3.0528</v>
      </c>
      <c r="C33" s="13">
        <f>IF($A33="","",[1]!thsiFinD("ths_adjustment_nv_fund",C$3,$A33))</f>
        <v>1.3191353025999999</v>
      </c>
      <c r="D33" s="13">
        <f>IF($A33="","",[1]!thsiFinD("ths_adjustment_nv_fund",D$3,$A33))</f>
        <v>4.1230000000000002</v>
      </c>
      <c r="E33" s="13">
        <f>IF($A33="","",[1]!thsiFinD("ths_adjustment_nv_fund",E$3,$A33))</f>
        <v>1.8154999999999999</v>
      </c>
      <c r="F33" s="13">
        <f>IF($A33="","",[1]!thsiFinD("ths_adjustment_nv_fund",F$3,$A33))</f>
        <v>1.7636000000000001</v>
      </c>
      <c r="G33" s="13">
        <f>IF($A33="","",[1]!thsiFinD("ths_adjustment_nv_fund",G$3,$A33))</f>
        <v>3.4272999999999998</v>
      </c>
      <c r="H33" s="13">
        <f>IF($A33="","",[1]!thsiFinD("ths_adjustment_nv_fund",H$3,$A33))</f>
        <v>3.3538999999999999</v>
      </c>
      <c r="I33" s="13">
        <f>IF($A33="","",[1]!thsiFinD("ths_adjustment_nv_fund",I$3,$A33))</f>
        <v>2.3229000000000002</v>
      </c>
      <c r="J33" s="13">
        <f>IF($A33="","",[1]!thsiFinD("ths_adjustment_nv_fund",J$3,$A33))</f>
        <v>3.1309</v>
      </c>
      <c r="K33" s="13">
        <f>IF($A33="","",[1]!thsiFinD("ths_adjustment_nv_fund",K$3,$A33))</f>
        <v>3.1019000000000001</v>
      </c>
      <c r="L33" s="13">
        <f>IF($A33="","",[1]!thsiFinD("ths_adjustment_nv_fund",L$3,$A33))</f>
        <v>1.4198999999999999</v>
      </c>
      <c r="M33" s="13">
        <f>IF($A33="","",[1]!thsiFinD("ths_adjustment_nv_fund",M$3,$A33))</f>
        <v>1.4007000000000001</v>
      </c>
      <c r="N33" s="13">
        <f>IF($A33="","",[1]!thsiFinD("ths_adjustment_nv_fund",N$3,$A33))</f>
        <v>1.4406000000000001</v>
      </c>
      <c r="O33" s="13">
        <f>IF($A33="","",[1]!thsiFinD("ths_adjustment_nv_fund",O$3,$A33))</f>
        <v>1.4046000000000001</v>
      </c>
      <c r="P33" s="13">
        <f>IF($A33="","",[1]!thsiFinD("ths_adjustment_nv_fund",P$3,$A33))</f>
        <v>2.2269000000000001</v>
      </c>
      <c r="Q33" s="13">
        <f>IF($A33="","",[1]!thsiFinD("ths_adjustment_nv_fund",Q$3,$A33))</f>
        <v>3.0274999999999999</v>
      </c>
      <c r="R33" s="13">
        <f>IF($A33="","",[1]!thsiFinD("ths_adjustment_nv_fund",R$3,$A33))</f>
        <v>2.9632000000000001</v>
      </c>
      <c r="S33" s="13">
        <f>IF($A33="","",[1]!thsiFinD("ths_adjustment_nv_fund",S$3,$A33))</f>
        <v>4.08</v>
      </c>
      <c r="T33" s="13">
        <f>IF($A33="","",[1]!thsiFinD("ths_adjustment_nv_fund",T$3,$A33))</f>
        <v>2.8022</v>
      </c>
      <c r="U33" s="13">
        <f>IF($A33="","",[1]!thsiFinD("ths_adjustment_nv_fund",U$3,$A33))</f>
        <v>2.7871000000000001</v>
      </c>
      <c r="V33" s="13">
        <f>IF($A33="","",[1]!thsiFinD("ths_adjustment_nv_fund",V$3,$A33))</f>
        <v>1.7188000000000001</v>
      </c>
      <c r="W33" s="13">
        <f>IF($A33="","",[1]!thsiFinD("ths_adjustment_nv_fund",W$3,$A33))</f>
        <v>1.7016</v>
      </c>
      <c r="X33" s="13">
        <f>IF($A33="","",[1]!thsiFinD("ths_adjustment_nv_fund",X$3,$A33))</f>
        <v>1.7935000000000001</v>
      </c>
      <c r="Y33" s="13">
        <f>IF($A33="","",[1]!thsiFinD("ths_adjustment_nv_fund",Y$3,$A33))</f>
        <v>2.399</v>
      </c>
      <c r="Z33" s="13">
        <f>IF($A33="","",[1]!thsiFinD("ths_adjustment_nv_fund",Z$3,$A33))</f>
        <v>1.5165393639</v>
      </c>
      <c r="AA33" s="13">
        <f>IF($A33="","",[1]!thsiFinD("ths_adjustment_nv_fund",AA$3,$A33))</f>
        <v>1.2338007841</v>
      </c>
    </row>
    <row r="34" spans="1:27">
      <c r="A34" s="8">
        <v>46233</v>
      </c>
      <c r="B34" s="13">
        <f>IF($A34="","",[1]!thsiFinD("ths_adjustment_nv_fund",B$3,$A34))</f>
        <v>3.0495000000000001</v>
      </c>
      <c r="C34" s="13">
        <f>IF($A34="","",[1]!thsiFinD("ths_adjustment_nv_fund",C$3,$A34))</f>
        <v>1.3191793221000001</v>
      </c>
      <c r="D34" s="13">
        <f>IF($A34="","",[1]!thsiFinD("ths_adjustment_nv_fund",D$3,$A34))</f>
        <v>3.81</v>
      </c>
      <c r="E34" s="13">
        <f>IF($A34="","",[1]!thsiFinD("ths_adjustment_nv_fund",E$3,$A34))</f>
        <v>1.7921</v>
      </c>
      <c r="F34" s="13">
        <f>IF($A34="","",[1]!thsiFinD("ths_adjustment_nv_fund",F$3,$A34))</f>
        <v>1.7408999999999999</v>
      </c>
      <c r="G34" s="13">
        <f>IF($A34="","",[1]!thsiFinD("ths_adjustment_nv_fund",G$3,$A34))</f>
        <v>3.1764999999999999</v>
      </c>
      <c r="H34" s="13">
        <f>IF($A34="","",[1]!thsiFinD("ths_adjustment_nv_fund",H$3,$A34))</f>
        <v>3.1084999999999998</v>
      </c>
      <c r="I34" s="13">
        <f>IF($A34="","",[1]!thsiFinD("ths_adjustment_nv_fund",I$3,$A34))</f>
        <v>2.1554000000000002</v>
      </c>
      <c r="J34" s="13">
        <f>IF($A34="","",[1]!thsiFinD("ths_adjustment_nv_fund",J$3,$A34))</f>
        <v>2.9123000000000001</v>
      </c>
      <c r="K34" s="13">
        <f>IF($A34="","",[1]!thsiFinD("ths_adjustment_nv_fund",K$3,$A34))</f>
        <v>2.8853</v>
      </c>
      <c r="L34" s="13">
        <f>IF($A34="","",[1]!thsiFinD("ths_adjustment_nv_fund",L$3,$A34))</f>
        <v>1.3827</v>
      </c>
      <c r="M34" s="13">
        <f>IF($A34="","",[1]!thsiFinD("ths_adjustment_nv_fund",M$3,$A34))</f>
        <v>1.3638999999999999</v>
      </c>
      <c r="N34" s="13">
        <f>IF($A34="","",[1]!thsiFinD("ths_adjustment_nv_fund",N$3,$A34))</f>
        <v>1.3997999999999999</v>
      </c>
      <c r="O34" s="13">
        <f>IF($A34="","",[1]!thsiFinD("ths_adjustment_nv_fund",O$3,$A34))</f>
        <v>1.3648</v>
      </c>
      <c r="P34" s="13">
        <f>IF($A34="","",[1]!thsiFinD("ths_adjustment_nv_fund",P$3,$A34))</f>
        <v>2.0009999999999999</v>
      </c>
      <c r="Q34" s="13">
        <f>IF($A34="","",[1]!thsiFinD("ths_adjustment_nv_fund",Q$3,$A34))</f>
        <v>2.7465000000000002</v>
      </c>
      <c r="R34" s="13">
        <f>IF($A34="","",[1]!thsiFinD("ths_adjustment_nv_fund",R$3,$A34))</f>
        <v>2.6880999999999999</v>
      </c>
      <c r="S34" s="13">
        <f>IF($A34="","",[1]!thsiFinD("ths_adjustment_nv_fund",S$3,$A34))</f>
        <v>3.77</v>
      </c>
      <c r="T34" s="13">
        <f>IF($A34="","",[1]!thsiFinD("ths_adjustment_nv_fund",T$3,$A34))</f>
        <v>2.6145999999999998</v>
      </c>
      <c r="U34" s="13">
        <f>IF($A34="","",[1]!thsiFinD("ths_adjustment_nv_fund",U$3,$A34))</f>
        <v>2.6004999999999998</v>
      </c>
      <c r="V34" s="13">
        <f>IF($A34="","",[1]!thsiFinD("ths_adjustment_nv_fund",V$3,$A34))</f>
        <v>1.6605000000000001</v>
      </c>
      <c r="W34" s="13">
        <f>IF($A34="","",[1]!thsiFinD("ths_adjustment_nv_fund",W$3,$A34))</f>
        <v>1.6437999999999999</v>
      </c>
      <c r="X34" s="13">
        <f>IF($A34="","",[1]!thsiFinD("ths_adjustment_nv_fund",X$3,$A34))</f>
        <v>1.7955000000000001</v>
      </c>
      <c r="Y34" s="13">
        <f>IF($A34="","",[1]!thsiFinD("ths_adjustment_nv_fund",Y$3,$A34))</f>
        <v>2.222</v>
      </c>
      <c r="Z34" s="13">
        <f>IF($A34="","",[1]!thsiFinD("ths_adjustment_nv_fund",Z$3,$A34))</f>
        <v>1.5178612547999999</v>
      </c>
      <c r="AA34" s="13">
        <f>IF($A34="","",[1]!thsiFinD("ths_adjustment_nv_fund",AA$3,$A34))</f>
        <v>1.2343901606000001</v>
      </c>
    </row>
    <row r="35" spans="1:27">
      <c r="A35" s="8">
        <v>46234</v>
      </c>
      <c r="B35" s="13">
        <f>IF($A35="","",[1]!thsiFinD("ths_adjustment_nv_fund",B$3,$A35))</f>
        <v>3.0642999999999998</v>
      </c>
      <c r="C35" s="13">
        <f>IF($A35="","",[1]!thsiFinD("ths_adjustment_nv_fund",C$3,$A35))</f>
        <v>1.3192249393</v>
      </c>
      <c r="D35" s="13">
        <f>IF($A35="","",[1]!thsiFinD("ths_adjustment_nv_fund",D$3,$A35))</f>
        <v>3.9750000000000001</v>
      </c>
      <c r="E35" s="13">
        <f>IF($A35="","",[1]!thsiFinD("ths_adjustment_nv_fund",E$3,$A35))</f>
        <v>1.8093999999999999</v>
      </c>
      <c r="F35" s="13">
        <f>IF($A35="","",[1]!thsiFinD("ths_adjustment_nv_fund",F$3,$A35))</f>
        <v>1.7577</v>
      </c>
      <c r="G35" s="13">
        <f>IF($A35="","",[1]!thsiFinD("ths_adjustment_nv_fund",G$3,$A35))</f>
        <v>3.3206000000000002</v>
      </c>
      <c r="H35" s="13">
        <f>IF($A35="","",[1]!thsiFinD("ths_adjustment_nv_fund",H$3,$A35))</f>
        <v>3.2494999999999998</v>
      </c>
      <c r="I35" s="13">
        <f>IF($A35="","",[1]!thsiFinD("ths_adjustment_nv_fund",I$3,$A35))</f>
        <v>2.2254999999999998</v>
      </c>
      <c r="J35" s="13">
        <f>IF($A35="","",[1]!thsiFinD("ths_adjustment_nv_fund",J$3,$A35))</f>
        <v>2.9811999999999999</v>
      </c>
      <c r="K35" s="13">
        <f>IF($A35="","",[1]!thsiFinD("ths_adjustment_nv_fund",K$3,$A35))</f>
        <v>2.9535999999999998</v>
      </c>
      <c r="L35" s="13">
        <f>IF($A35="","",[1]!thsiFinD("ths_adjustment_nv_fund",L$3,$A35))</f>
        <v>1.4158999999999999</v>
      </c>
      <c r="M35" s="13">
        <f>IF($A35="","",[1]!thsiFinD("ths_adjustment_nv_fund",M$3,$A35))</f>
        <v>1.3967000000000001</v>
      </c>
      <c r="N35" s="13">
        <f>IF($A35="","",[1]!thsiFinD("ths_adjustment_nv_fund",N$3,$A35))</f>
        <v>1.4318</v>
      </c>
      <c r="O35" s="13">
        <f>IF($A35="","",[1]!thsiFinD("ths_adjustment_nv_fund",O$3,$A35))</f>
        <v>1.3959999999999999</v>
      </c>
      <c r="P35" s="13">
        <f>IF($A35="","",[1]!thsiFinD("ths_adjustment_nv_fund",P$3,$A35))</f>
        <v>2.1139000000000001</v>
      </c>
      <c r="Q35" s="13">
        <f>IF($A35="","",[1]!thsiFinD("ths_adjustment_nv_fund",Q$3,$A35))</f>
        <v>2.8824000000000001</v>
      </c>
      <c r="R35" s="13">
        <f>IF($A35="","",[1]!thsiFinD("ths_adjustment_nv_fund",R$3,$A35))</f>
        <v>2.8210999999999999</v>
      </c>
      <c r="S35" s="13">
        <f>IF($A35="","",[1]!thsiFinD("ths_adjustment_nv_fund",S$3,$A35))</f>
        <v>3.9329999999999998</v>
      </c>
      <c r="T35" s="13">
        <f>IF($A35="","",[1]!thsiFinD("ths_adjustment_nv_fund",T$3,$A35))</f>
        <v>2.6698</v>
      </c>
      <c r="U35" s="13">
        <f>IF($A35="","",[1]!thsiFinD("ths_adjustment_nv_fund",U$3,$A35))</f>
        <v>2.6554000000000002</v>
      </c>
      <c r="V35" s="13">
        <f>IF($A35="","",[1]!thsiFinD("ths_adjustment_nv_fund",V$3,$A35))</f>
        <v>1.7142999999999999</v>
      </c>
      <c r="W35" s="13">
        <f>IF($A35="","",[1]!thsiFinD("ths_adjustment_nv_fund",W$3,$A35))</f>
        <v>1.6970000000000001</v>
      </c>
      <c r="X35" s="13">
        <f>IF($A35="","",[1]!thsiFinD("ths_adjustment_nv_fund",X$3,$A35))</f>
        <v>1.7963</v>
      </c>
      <c r="Y35" s="13">
        <f>IF($A35="","",[1]!thsiFinD("ths_adjustment_nv_fund",Y$3,$A35))</f>
        <v>2.2930000000000001</v>
      </c>
      <c r="Z35" s="13">
        <f>IF($A35="","",[1]!thsiFinD("ths_adjustment_nv_fund",Z$3,$A35))</f>
        <v>1.5186323579000001</v>
      </c>
      <c r="AA35" s="13">
        <f>IF($A35="","",[1]!thsiFinD("ths_adjustment_nv_fund",AA$3,$A35))</f>
        <v>1.2346259112</v>
      </c>
    </row>
    <row r="36" spans="1:27">
      <c r="A36" s="8">
        <v>46237</v>
      </c>
      <c r="B36" s="13">
        <f>IF($A36="","",[1]!thsiFinD("ths_adjustment_nv_fund",B$3,$A36))</f>
        <v>3.0567000000000002</v>
      </c>
      <c r="C36" s="13">
        <f>IF($A36="","",[1]!thsiFinD("ths_adjustment_nv_fund",C$3,$A36))</f>
        <v>1.3193583834</v>
      </c>
      <c r="D36" s="13">
        <f>IF($A36="","",[1]!thsiFinD("ths_adjustment_nv_fund",D$3,$A36))</f>
        <v>3.923</v>
      </c>
      <c r="E36" s="13">
        <f>IF($A36="","",[1]!thsiFinD("ths_adjustment_nv_fund",E$3,$A36))</f>
        <v>1.7925</v>
      </c>
      <c r="F36" s="13">
        <f>IF($A36="","",[1]!thsiFinD("ths_adjustment_nv_fund",F$3,$A36))</f>
        <v>1.7412000000000001</v>
      </c>
      <c r="G36" s="13">
        <f>IF($A36="","",[1]!thsiFinD("ths_adjustment_nv_fund",G$3,$A36))</f>
        <v>3.3317000000000001</v>
      </c>
      <c r="H36" s="13">
        <f>IF($A36="","",[1]!thsiFinD("ths_adjustment_nv_fund",H$3,$A36))</f>
        <v>3.2602000000000002</v>
      </c>
      <c r="I36" s="13">
        <f>IF($A36="","",[1]!thsiFinD("ths_adjustment_nv_fund",I$3,$A36))</f>
        <v>2.1049000000000002</v>
      </c>
      <c r="J36" s="13">
        <f>IF($A36="","",[1]!thsiFinD("ths_adjustment_nv_fund",J$3,$A36))</f>
        <v>2.7321</v>
      </c>
      <c r="K36" s="13">
        <f>IF($A36="","",[1]!thsiFinD("ths_adjustment_nv_fund",K$3,$A36))</f>
        <v>2.7067000000000001</v>
      </c>
      <c r="L36" s="13">
        <f>IF($A36="","",[1]!thsiFinD("ths_adjustment_nv_fund",L$3,$A36))</f>
        <v>1.4174</v>
      </c>
      <c r="M36" s="13">
        <f>IF($A36="","",[1]!thsiFinD("ths_adjustment_nv_fund",M$3,$A36))</f>
        <v>1.3982000000000001</v>
      </c>
      <c r="N36" s="13">
        <f>IF($A36="","",[1]!thsiFinD("ths_adjustment_nv_fund",N$3,$A36))</f>
        <v>1.4220999999999999</v>
      </c>
      <c r="O36" s="13">
        <f>IF($A36="","",[1]!thsiFinD("ths_adjustment_nv_fund",O$3,$A36))</f>
        <v>1.3865000000000001</v>
      </c>
      <c r="P36" s="13">
        <f>IF($A36="","",[1]!thsiFinD("ths_adjustment_nv_fund",P$3,$A36))</f>
        <v>2.1360000000000001</v>
      </c>
      <c r="Q36" s="13">
        <f>IF($A36="","",[1]!thsiFinD("ths_adjustment_nv_fund",Q$3,$A36))</f>
        <v>2.8574000000000002</v>
      </c>
      <c r="R36" s="13">
        <f>IF($A36="","",[1]!thsiFinD("ths_adjustment_nv_fund",R$3,$A36))</f>
        <v>2.7965</v>
      </c>
      <c r="S36" s="13">
        <f>IF($A36="","",[1]!thsiFinD("ths_adjustment_nv_fund",S$3,$A36))</f>
        <v>3.8820000000000001</v>
      </c>
      <c r="T36" s="13">
        <f>IF($A36="","",[1]!thsiFinD("ths_adjustment_nv_fund",T$3,$A36))</f>
        <v>2.4445000000000001</v>
      </c>
      <c r="U36" s="13">
        <f>IF($A36="","",[1]!thsiFinD("ths_adjustment_nv_fund",U$3,$A36))</f>
        <v>2.4312999999999998</v>
      </c>
      <c r="V36" s="13">
        <f>IF($A36="","",[1]!thsiFinD("ths_adjustment_nv_fund",V$3,$A36))</f>
        <v>1.7267999999999999</v>
      </c>
      <c r="W36" s="13">
        <f>IF($A36="","",[1]!thsiFinD("ths_adjustment_nv_fund",W$3,$A36))</f>
        <v>1.7094</v>
      </c>
      <c r="X36" s="13">
        <f>IF($A36="","",[1]!thsiFinD("ths_adjustment_nv_fund",X$3,$A36))</f>
        <v>1.7967</v>
      </c>
      <c r="Y36" s="13">
        <f>IF($A36="","",[1]!thsiFinD("ths_adjustment_nv_fund",Y$3,$A36))</f>
        <v>2.0819999999999999</v>
      </c>
      <c r="Z36" s="13">
        <f>IF($A36="","",[1]!thsiFinD("ths_adjustment_nv_fund",Z$3,$A36))</f>
        <v>1.5185222003000001</v>
      </c>
      <c r="AA36" s="13">
        <f>IF($A36="","",[1]!thsiFinD("ths_adjustment_nv_fund",AA$3,$A36))</f>
        <v>1.2346259112</v>
      </c>
    </row>
    <row r="37" spans="1:27">
      <c r="A37" s="8">
        <v>46238</v>
      </c>
      <c r="B37" s="13">
        <f>IF($A37="","",[1]!thsiFinD("ths_adjustment_nv_fund",B$3,$A37))</f>
        <v>3.0604</v>
      </c>
      <c r="C37" s="13">
        <f>IF($A37="","",[1]!thsiFinD("ths_adjustment_nv_fund",C$3,$A37))</f>
        <v>1.3194026215000001</v>
      </c>
      <c r="D37" s="13">
        <f>IF($A37="","",[1]!thsiFinD("ths_adjustment_nv_fund",D$3,$A37))</f>
        <v>4.2619999999999996</v>
      </c>
      <c r="E37" s="13">
        <f>IF($A37="","",[1]!thsiFinD("ths_adjustment_nv_fund",E$3,$A37))</f>
        <v>1.8268</v>
      </c>
      <c r="F37" s="13">
        <f>IF($A37="","",[1]!thsiFinD("ths_adjustment_nv_fund",F$3,$A37))</f>
        <v>1.7745</v>
      </c>
      <c r="G37" s="13">
        <f>IF($A37="","",[1]!thsiFinD("ths_adjustment_nv_fund",G$3,$A37))</f>
        <v>3.6164000000000001</v>
      </c>
      <c r="H37" s="13">
        <f>IF($A37="","",[1]!thsiFinD("ths_adjustment_nv_fund",H$3,$A37))</f>
        <v>3.5388000000000002</v>
      </c>
      <c r="I37" s="13">
        <f>IF($A37="","",[1]!thsiFinD("ths_adjustment_nv_fund",I$3,$A37))</f>
        <v>2.2496</v>
      </c>
      <c r="J37" s="13">
        <f>IF($A37="","",[1]!thsiFinD("ths_adjustment_nv_fund",J$3,$A37))</f>
        <v>2.8633000000000002</v>
      </c>
      <c r="K37" s="13">
        <f>IF($A37="","",[1]!thsiFinD("ths_adjustment_nv_fund",K$3,$A37))</f>
        <v>2.8365999999999998</v>
      </c>
      <c r="L37" s="13">
        <f>IF($A37="","",[1]!thsiFinD("ths_adjustment_nv_fund",L$3,$A37))</f>
        <v>1.4543999999999999</v>
      </c>
      <c r="M37" s="13">
        <f>IF($A37="","",[1]!thsiFinD("ths_adjustment_nv_fund",M$3,$A37))</f>
        <v>1.4347000000000001</v>
      </c>
      <c r="N37" s="13">
        <f>IF($A37="","",[1]!thsiFinD("ths_adjustment_nv_fund",N$3,$A37))</f>
        <v>1.4601</v>
      </c>
      <c r="O37" s="13">
        <f>IF($A37="","",[1]!thsiFinD("ths_adjustment_nv_fund",O$3,$A37))</f>
        <v>1.4235</v>
      </c>
      <c r="P37" s="13">
        <f>IF($A37="","",[1]!thsiFinD("ths_adjustment_nv_fund",P$3,$A37))</f>
        <v>2.3923000000000001</v>
      </c>
      <c r="Q37" s="13">
        <f>IF($A37="","",[1]!thsiFinD("ths_adjustment_nv_fund",Q$3,$A37))</f>
        <v>3.1415000000000002</v>
      </c>
      <c r="R37" s="13">
        <f>IF($A37="","",[1]!thsiFinD("ths_adjustment_nv_fund",R$3,$A37))</f>
        <v>3.0745</v>
      </c>
      <c r="S37" s="13">
        <f>IF($A37="","",[1]!thsiFinD("ths_adjustment_nv_fund",S$3,$A37))</f>
        <v>4.2169999999999996</v>
      </c>
      <c r="T37" s="13">
        <f>IF($A37="","",[1]!thsiFinD("ths_adjustment_nv_fund",T$3,$A37))</f>
        <v>2.5649999999999999</v>
      </c>
      <c r="U37" s="13">
        <f>IF($A37="","",[1]!thsiFinD("ths_adjustment_nv_fund",U$3,$A37))</f>
        <v>2.5510999999999999</v>
      </c>
      <c r="V37" s="13">
        <f>IF($A37="","",[1]!thsiFinD("ths_adjustment_nv_fund",V$3,$A37))</f>
        <v>1.7741</v>
      </c>
      <c r="W37" s="13">
        <f>IF($A37="","",[1]!thsiFinD("ths_adjustment_nv_fund",W$3,$A37))</f>
        <v>1.7562</v>
      </c>
      <c r="X37" s="13">
        <f>IF($A37="","",[1]!thsiFinD("ths_adjustment_nv_fund",X$3,$A37))</f>
        <v>1.7972999999999999</v>
      </c>
      <c r="Y37" s="13">
        <f>IF($A37="","",[1]!thsiFinD("ths_adjustment_nv_fund",Y$3,$A37))</f>
        <v>2.1800000000000002</v>
      </c>
      <c r="Z37" s="13">
        <f>IF($A37="","",[1]!thsiFinD("ths_adjustment_nv_fund",Z$3,$A37))</f>
        <v>1.5190729882</v>
      </c>
      <c r="AA37" s="13">
        <f>IF($A37="","",[1]!thsiFinD("ths_adjustment_nv_fund",AA$3,$A37))</f>
        <v>1.2348616617999999</v>
      </c>
    </row>
    <row r="38" spans="1:27">
      <c r="A38" s="8">
        <v>46239</v>
      </c>
      <c r="B38" s="13">
        <f>IF($A38="","",[1]!thsiFinD("ths_adjustment_nv_fund",B$3,$A38))</f>
        <v>3.13</v>
      </c>
      <c r="C38" s="13">
        <f>IF($A38="","",[1]!thsiFinD("ths_adjustment_nv_fund",C$3,$A38))</f>
        <v>1.3194468346999999</v>
      </c>
      <c r="D38" s="13">
        <f>IF($A38="","",[1]!thsiFinD("ths_adjustment_nv_fund",D$3,$A38))</f>
        <v>4.327</v>
      </c>
      <c r="E38" s="13">
        <f>IF($A38="","",[1]!thsiFinD("ths_adjustment_nv_fund",E$3,$A38))</f>
        <v>1.8555999999999999</v>
      </c>
      <c r="F38" s="13">
        <f>IF($A38="","",[1]!thsiFinD("ths_adjustment_nv_fund",F$3,$A38))</f>
        <v>1.8025</v>
      </c>
      <c r="G38" s="13">
        <f>IF($A38="","",[1]!thsiFinD("ths_adjustment_nv_fund",G$3,$A38))</f>
        <v>3.6436999999999999</v>
      </c>
      <c r="H38" s="13">
        <f>IF($A38="","",[1]!thsiFinD("ths_adjustment_nv_fund",H$3,$A38))</f>
        <v>3.5653999999999999</v>
      </c>
      <c r="I38" s="13">
        <f>IF($A38="","",[1]!thsiFinD("ths_adjustment_nv_fund",I$3,$A38))</f>
        <v>2.3281999999999998</v>
      </c>
      <c r="J38" s="13">
        <f>IF($A38="","",[1]!thsiFinD("ths_adjustment_nv_fund",J$3,$A38))</f>
        <v>3.0939999999999999</v>
      </c>
      <c r="K38" s="13">
        <f>IF($A38="","",[1]!thsiFinD("ths_adjustment_nv_fund",K$3,$A38))</f>
        <v>3.0651999999999999</v>
      </c>
      <c r="L38" s="13">
        <f>IF($A38="","",[1]!thsiFinD("ths_adjustment_nv_fund",L$3,$A38))</f>
        <v>1.4952000000000001</v>
      </c>
      <c r="M38" s="13">
        <f>IF($A38="","",[1]!thsiFinD("ths_adjustment_nv_fund",M$3,$A38))</f>
        <v>1.4749000000000001</v>
      </c>
      <c r="N38" s="13">
        <f>IF($A38="","",[1]!thsiFinD("ths_adjustment_nv_fund",N$3,$A38))</f>
        <v>1.5001</v>
      </c>
      <c r="O38" s="13">
        <f>IF($A38="","",[1]!thsiFinD("ths_adjustment_nv_fund",O$3,$A38))</f>
        <v>1.4624999999999999</v>
      </c>
      <c r="P38" s="13">
        <f>IF($A38="","",[1]!thsiFinD("ths_adjustment_nv_fund",P$3,$A38))</f>
        <v>2.4121000000000001</v>
      </c>
      <c r="Q38" s="13">
        <f>IF($A38="","",[1]!thsiFinD("ths_adjustment_nv_fund",Q$3,$A38))</f>
        <v>3.2088000000000001</v>
      </c>
      <c r="R38" s="13">
        <f>IF($A38="","",[1]!thsiFinD("ths_adjustment_nv_fund",R$3,$A38))</f>
        <v>3.1402999999999999</v>
      </c>
      <c r="S38" s="13">
        <f>IF($A38="","",[1]!thsiFinD("ths_adjustment_nv_fund",S$3,$A38))</f>
        <v>4.2809999999999997</v>
      </c>
      <c r="T38" s="13">
        <f>IF($A38="","",[1]!thsiFinD("ths_adjustment_nv_fund",T$3,$A38))</f>
        <v>2.8005</v>
      </c>
      <c r="U38" s="13">
        <f>IF($A38="","",[1]!thsiFinD("ths_adjustment_nv_fund",U$3,$A38))</f>
        <v>2.7854000000000001</v>
      </c>
      <c r="V38" s="13">
        <f>IF($A38="","",[1]!thsiFinD("ths_adjustment_nv_fund",V$3,$A38))</f>
        <v>1.8227</v>
      </c>
      <c r="W38" s="13">
        <f>IF($A38="","",[1]!thsiFinD("ths_adjustment_nv_fund",W$3,$A38))</f>
        <v>1.8043</v>
      </c>
      <c r="X38" s="13">
        <f>IF($A38="","",[1]!thsiFinD("ths_adjustment_nv_fund",X$3,$A38))</f>
        <v>1.7971999999999999</v>
      </c>
      <c r="Y38" s="13">
        <f>IF($A38="","",[1]!thsiFinD("ths_adjustment_nv_fund",Y$3,$A38))</f>
        <v>2.3660000000000001</v>
      </c>
      <c r="Z38" s="13">
        <f>IF($A38="","",[1]!thsiFinD("ths_adjustment_nv_fund",Z$3,$A38))</f>
        <v>1.5191831457</v>
      </c>
      <c r="AA38" s="13">
        <f>IF($A38="","",[1]!thsiFinD("ths_adjustment_nv_fund",AA$3,$A38))</f>
        <v>1.2349795371000001</v>
      </c>
    </row>
    <row r="39" spans="1:27">
      <c r="A39" s="8">
        <v>46240</v>
      </c>
      <c r="B39" s="13">
        <f>IF($A39="","",[1]!thsiFinD("ths_adjustment_nv_fund",B$3,$A39))</f>
        <v>3.2039</v>
      </c>
      <c r="C39" s="13">
        <f>IF($A39="","",[1]!thsiFinD("ths_adjustment_nv_fund",C$3,$A39))</f>
        <v>1.3194908778000001</v>
      </c>
      <c r="D39" s="13">
        <f>IF($A39="","",[1]!thsiFinD("ths_adjustment_nv_fund",D$3,$A39))</f>
        <v>4.3879999999999999</v>
      </c>
      <c r="E39" s="13">
        <f>IF($A39="","",[1]!thsiFinD("ths_adjustment_nv_fund",E$3,$A39))</f>
        <v>1.8642000000000001</v>
      </c>
      <c r="F39" s="13">
        <f>IF($A39="","",[1]!thsiFinD("ths_adjustment_nv_fund",F$3,$A39))</f>
        <v>1.8108</v>
      </c>
      <c r="G39" s="13">
        <f>IF($A39="","",[1]!thsiFinD("ths_adjustment_nv_fund",G$3,$A39))</f>
        <v>3.7075</v>
      </c>
      <c r="H39" s="13">
        <f>IF($A39="","",[1]!thsiFinD("ths_adjustment_nv_fund",H$3,$A39))</f>
        <v>3.6278999999999999</v>
      </c>
      <c r="I39" s="13">
        <f>IF($A39="","",[1]!thsiFinD("ths_adjustment_nv_fund",I$3,$A39))</f>
        <v>2.3582000000000001</v>
      </c>
      <c r="J39" s="13">
        <f>IF($A39="","",[1]!thsiFinD("ths_adjustment_nv_fund",J$3,$A39))</f>
        <v>3.1126999999999998</v>
      </c>
      <c r="K39" s="13">
        <f>IF($A39="","",[1]!thsiFinD("ths_adjustment_nv_fund",K$3,$A39))</f>
        <v>3.0836999999999999</v>
      </c>
      <c r="L39" s="13">
        <f>IF($A39="","",[1]!thsiFinD("ths_adjustment_nv_fund",L$3,$A39))</f>
        <v>1.5024999999999999</v>
      </c>
      <c r="M39" s="13">
        <f>IF($A39="","",[1]!thsiFinD("ths_adjustment_nv_fund",M$3,$A39))</f>
        <v>1.482</v>
      </c>
      <c r="N39" s="13">
        <f>IF($A39="","",[1]!thsiFinD("ths_adjustment_nv_fund",N$3,$A39))</f>
        <v>1.5098</v>
      </c>
      <c r="O39" s="13">
        <f>IF($A39="","",[1]!thsiFinD("ths_adjustment_nv_fund",O$3,$A39))</f>
        <v>1.4719</v>
      </c>
      <c r="P39" s="13">
        <f>IF($A39="","",[1]!thsiFinD("ths_adjustment_nv_fund",P$3,$A39))</f>
        <v>2.4704000000000002</v>
      </c>
      <c r="Q39" s="13">
        <f>IF($A39="","",[1]!thsiFinD("ths_adjustment_nv_fund",Q$3,$A39))</f>
        <v>3.2561</v>
      </c>
      <c r="R39" s="13">
        <f>IF($A39="","",[1]!thsiFinD("ths_adjustment_nv_fund",R$3,$A39))</f>
        <v>3.1865999999999999</v>
      </c>
      <c r="S39" s="13">
        <f>IF($A39="","",[1]!thsiFinD("ths_adjustment_nv_fund",S$3,$A39))</f>
        <v>4.3419999999999996</v>
      </c>
      <c r="T39" s="13">
        <f>IF($A39="","",[1]!thsiFinD("ths_adjustment_nv_fund",T$3,$A39))</f>
        <v>2.8647</v>
      </c>
      <c r="U39" s="13">
        <f>IF($A39="","",[1]!thsiFinD("ths_adjustment_nv_fund",U$3,$A39))</f>
        <v>2.8492000000000002</v>
      </c>
      <c r="V39" s="13">
        <f>IF($A39="","",[1]!thsiFinD("ths_adjustment_nv_fund",V$3,$A39))</f>
        <v>1.8452</v>
      </c>
      <c r="W39" s="13">
        <f>IF($A39="","",[1]!thsiFinD("ths_adjustment_nv_fund",W$3,$A39))</f>
        <v>1.8265</v>
      </c>
      <c r="X39" s="13">
        <f>IF($A39="","",[1]!thsiFinD("ths_adjustment_nv_fund",X$3,$A39))</f>
        <v>1.7974000000000001</v>
      </c>
      <c r="Y39" s="13">
        <f>IF($A39="","",[1]!thsiFinD("ths_adjustment_nv_fund",Y$3,$A39))</f>
        <v>2.4020000000000001</v>
      </c>
      <c r="Z39" s="13">
        <f>IF($A39="","",[1]!thsiFinD("ths_adjustment_nv_fund",Z$3,$A39))</f>
        <v>1.5202847214999999</v>
      </c>
      <c r="AA39" s="13">
        <f>IF($A39="","",[1]!thsiFinD("ths_adjustment_nv_fund",AA$3,$A39))</f>
        <v>1.235333163</v>
      </c>
    </row>
    <row r="40" spans="1:27">
      <c r="A40" s="8">
        <v>46241</v>
      </c>
      <c r="B40" s="13">
        <f>IF($A40="","",[1]!thsiFinD("ths_adjustment_nv_fund",B$3,$A40))</f>
        <v>3.22</v>
      </c>
      <c r="C40" s="13">
        <f>IF($A40="","",[1]!thsiFinD("ths_adjustment_nv_fund",C$3,$A40))</f>
        <v>1.3195356482</v>
      </c>
      <c r="D40" s="13">
        <f>IF($A40="","",[1]!thsiFinD("ths_adjustment_nv_fund",D$3,$A40))</f>
        <v>4.5060000000000002</v>
      </c>
      <c r="E40" s="13">
        <f>IF($A40="","",[1]!thsiFinD("ths_adjustment_nv_fund",E$3,$A40))</f>
        <v>1.8923000000000001</v>
      </c>
      <c r="F40" s="13">
        <f>IF($A40="","",[1]!thsiFinD("ths_adjustment_nv_fund",F$3,$A40))</f>
        <v>1.8381000000000001</v>
      </c>
      <c r="G40" s="13">
        <f>IF($A40="","",[1]!thsiFinD("ths_adjustment_nv_fund",G$3,$A40))</f>
        <v>3.7456999999999998</v>
      </c>
      <c r="H40" s="13">
        <f>IF($A40="","",[1]!thsiFinD("ths_adjustment_nv_fund",H$3,$A40))</f>
        <v>3.6652</v>
      </c>
      <c r="I40" s="13">
        <f>IF($A40="","",[1]!thsiFinD("ths_adjustment_nv_fund",I$3,$A40))</f>
        <v>2.4119000000000002</v>
      </c>
      <c r="J40" s="13">
        <f>IF($A40="","",[1]!thsiFinD("ths_adjustment_nv_fund",J$3,$A40))</f>
        <v>3.2107000000000001</v>
      </c>
      <c r="K40" s="13">
        <f>IF($A40="","",[1]!thsiFinD("ths_adjustment_nv_fund",K$3,$A40))</f>
        <v>3.1808000000000001</v>
      </c>
      <c r="L40" s="13">
        <f>IF($A40="","",[1]!thsiFinD("ths_adjustment_nv_fund",L$3,$A40))</f>
        <v>1.5364</v>
      </c>
      <c r="M40" s="13">
        <f>IF($A40="","",[1]!thsiFinD("ths_adjustment_nv_fund",M$3,$A40))</f>
        <v>1.5155000000000001</v>
      </c>
      <c r="N40" s="13">
        <f>IF($A40="","",[1]!thsiFinD("ths_adjustment_nv_fund",N$3,$A40))</f>
        <v>1.5367</v>
      </c>
      <c r="O40" s="13">
        <f>IF($A40="","",[1]!thsiFinD("ths_adjustment_nv_fund",O$3,$A40))</f>
        <v>1.4981</v>
      </c>
      <c r="P40" s="13">
        <f>IF($A40="","",[1]!thsiFinD("ths_adjustment_nv_fund",P$3,$A40))</f>
        <v>2.5423</v>
      </c>
      <c r="Q40" s="13">
        <f>IF($A40="","",[1]!thsiFinD("ths_adjustment_nv_fund",Q$3,$A40))</f>
        <v>3.3391000000000002</v>
      </c>
      <c r="R40" s="13">
        <f>IF($A40="","",[1]!thsiFinD("ths_adjustment_nv_fund",R$3,$A40))</f>
        <v>3.2677</v>
      </c>
      <c r="S40" s="13">
        <f>IF($A40="","",[1]!thsiFinD("ths_adjustment_nv_fund",S$3,$A40))</f>
        <v>4.4580000000000002</v>
      </c>
      <c r="T40" s="13">
        <f>IF($A40="","",[1]!thsiFinD("ths_adjustment_nv_fund",T$3,$A40))</f>
        <v>2.9392</v>
      </c>
      <c r="U40" s="13">
        <f>IF($A40="","",[1]!thsiFinD("ths_adjustment_nv_fund",U$3,$A40))</f>
        <v>2.9232999999999998</v>
      </c>
      <c r="V40" s="13">
        <f>IF($A40="","",[1]!thsiFinD("ths_adjustment_nv_fund",V$3,$A40))</f>
        <v>1.8746</v>
      </c>
      <c r="W40" s="13">
        <f>IF($A40="","",[1]!thsiFinD("ths_adjustment_nv_fund",W$3,$A40))</f>
        <v>1.8555999999999999</v>
      </c>
      <c r="X40" s="13">
        <f>IF($A40="","",[1]!thsiFinD("ths_adjustment_nv_fund",X$3,$A40))</f>
        <v>1.7986</v>
      </c>
      <c r="Y40" s="13">
        <f>IF($A40="","",[1]!thsiFinD("ths_adjustment_nv_fund",Y$3,$A40))</f>
        <v>2.484</v>
      </c>
      <c r="Z40" s="13">
        <f>IF($A40="","",[1]!thsiFinD("ths_adjustment_nv_fund",Z$3,$A40))</f>
        <v>1.5212761397000001</v>
      </c>
      <c r="AA40" s="13">
        <f>IF($A40="","",[1]!thsiFinD("ths_adjustment_nv_fund",AA$3,$A40))</f>
        <v>1.2356867889000001</v>
      </c>
    </row>
    <row r="41" spans="1:27">
      <c r="A41" s="8">
        <v>46244</v>
      </c>
      <c r="B41" s="13">
        <f>IF($A41="","",[1]!thsiFinD("ths_adjustment_nv_fund",B$3,$A41))</f>
        <v>3.2692000000000001</v>
      </c>
      <c r="C41" s="13">
        <f>IF($A41="","",[1]!thsiFinD("ths_adjustment_nv_fund",C$3,$A41))</f>
        <v>1.3196677777000001</v>
      </c>
      <c r="D41" s="13">
        <f>IF($A41="","",[1]!thsiFinD("ths_adjustment_nv_fund",D$3,$A41))</f>
        <v>4.4139999999999997</v>
      </c>
      <c r="E41" s="13">
        <f>IF($A41="","",[1]!thsiFinD("ths_adjustment_nv_fund",E$3,$A41))</f>
        <v>1.8927</v>
      </c>
      <c r="F41" s="13">
        <f>IF($A41="","",[1]!thsiFinD("ths_adjustment_nv_fund",F$3,$A41))</f>
        <v>1.8384</v>
      </c>
      <c r="G41" s="13">
        <f>IF($A41="","",[1]!thsiFinD("ths_adjustment_nv_fund",G$3,$A41))</f>
        <v>3.6669999999999998</v>
      </c>
      <c r="H41" s="13">
        <f>IF($A41="","",[1]!thsiFinD("ths_adjustment_nv_fund",H$3,$A41))</f>
        <v>3.5880999999999998</v>
      </c>
      <c r="I41" s="13">
        <f>IF($A41="","",[1]!thsiFinD("ths_adjustment_nv_fund",I$3,$A41))</f>
        <v>2.4055</v>
      </c>
      <c r="J41" s="13">
        <f>IF($A41="","",[1]!thsiFinD("ths_adjustment_nv_fund",J$3,$A41))</f>
        <v>3.3</v>
      </c>
      <c r="K41" s="13">
        <f>IF($A41="","",[1]!thsiFinD("ths_adjustment_nv_fund",K$3,$A41))</f>
        <v>3.2692000000000001</v>
      </c>
      <c r="L41" s="13">
        <f>IF($A41="","",[1]!thsiFinD("ths_adjustment_nv_fund",L$3,$A41))</f>
        <v>1.5450999999999999</v>
      </c>
      <c r="M41" s="13">
        <f>IF($A41="","",[1]!thsiFinD("ths_adjustment_nv_fund",M$3,$A41))</f>
        <v>1.524</v>
      </c>
      <c r="N41" s="13">
        <f>IF($A41="","",[1]!thsiFinD("ths_adjustment_nv_fund",N$3,$A41))</f>
        <v>1.5436000000000001</v>
      </c>
      <c r="O41" s="13">
        <f>IF($A41="","",[1]!thsiFinD("ths_adjustment_nv_fund",O$3,$A41))</f>
        <v>1.5046999999999999</v>
      </c>
      <c r="P41" s="13">
        <f>IF($A41="","",[1]!thsiFinD("ths_adjustment_nv_fund",P$3,$A41))</f>
        <v>2.4794999999999998</v>
      </c>
      <c r="Q41" s="13">
        <f>IF($A41="","",[1]!thsiFinD("ths_adjustment_nv_fund",Q$3,$A41))</f>
        <v>3.2721</v>
      </c>
      <c r="R41" s="13">
        <f>IF($A41="","",[1]!thsiFinD("ths_adjustment_nv_fund",R$3,$A41))</f>
        <v>3.202</v>
      </c>
      <c r="S41" s="13">
        <f>IF($A41="","",[1]!thsiFinD("ths_adjustment_nv_fund",S$3,$A41))</f>
        <v>4.3680000000000003</v>
      </c>
      <c r="T41" s="13">
        <f>IF($A41="","",[1]!thsiFinD("ths_adjustment_nv_fund",T$3,$A41))</f>
        <v>3.0278999999999998</v>
      </c>
      <c r="U41" s="13">
        <f>IF($A41="","",[1]!thsiFinD("ths_adjustment_nv_fund",U$3,$A41))</f>
        <v>3.0114999999999998</v>
      </c>
      <c r="V41" s="13">
        <f>IF($A41="","",[1]!thsiFinD("ths_adjustment_nv_fund",V$3,$A41))</f>
        <v>1.8947000000000001</v>
      </c>
      <c r="W41" s="13">
        <f>IF($A41="","",[1]!thsiFinD("ths_adjustment_nv_fund",W$3,$A41))</f>
        <v>1.8754</v>
      </c>
      <c r="X41" s="13">
        <f>IF($A41="","",[1]!thsiFinD("ths_adjustment_nv_fund",X$3,$A41))</f>
        <v>1.8003</v>
      </c>
      <c r="Y41" s="13">
        <f>IF($A41="","",[1]!thsiFinD("ths_adjustment_nv_fund",Y$3,$A41))</f>
        <v>2.5790000000000002</v>
      </c>
      <c r="Z41" s="13">
        <f>IF($A41="","",[1]!thsiFinD("ths_adjustment_nv_fund",Z$3,$A41))</f>
        <v>1.5222675579</v>
      </c>
      <c r="AA41" s="13">
        <f>IF($A41="","",[1]!thsiFinD("ths_adjustment_nv_fund",AA$3,$A41))</f>
        <v>1.2359225395</v>
      </c>
    </row>
    <row r="42" spans="1:27">
      <c r="A42" s="8">
        <v>46245</v>
      </c>
      <c r="B42" s="13">
        <f>IF($A42="","",[1]!thsiFinD("ths_adjustment_nv_fund",B$3,$A42))</f>
        <v>3.2787000000000002</v>
      </c>
      <c r="C42" s="13">
        <f>IF($A42="","",[1]!thsiFinD("ths_adjustment_nv_fund",C$3,$A42))</f>
        <v>1.3197122901</v>
      </c>
      <c r="D42" s="13">
        <f>IF($A42="","",[1]!thsiFinD("ths_adjustment_nv_fund",D$3,$A42))</f>
        <v>4.4210000000000003</v>
      </c>
      <c r="E42" s="13">
        <f>IF($A42="","",[1]!thsiFinD("ths_adjustment_nv_fund",E$3,$A42))</f>
        <v>1.8844000000000001</v>
      </c>
      <c r="F42" s="13">
        <f>IF($A42="","",[1]!thsiFinD("ths_adjustment_nv_fund",F$3,$A42))</f>
        <v>1.8303</v>
      </c>
      <c r="G42" s="13">
        <f>IF($A42="","",[1]!thsiFinD("ths_adjustment_nv_fund",G$3,$A42))</f>
        <v>3.6686999999999999</v>
      </c>
      <c r="H42" s="13">
        <f>IF($A42="","",[1]!thsiFinD("ths_adjustment_nv_fund",H$3,$A42))</f>
        <v>3.5897000000000001</v>
      </c>
      <c r="I42" s="13">
        <f>IF($A42="","",[1]!thsiFinD("ths_adjustment_nv_fund",I$3,$A42))</f>
        <v>2.3744999999999998</v>
      </c>
      <c r="J42" s="13">
        <f>IF($A42="","",[1]!thsiFinD("ths_adjustment_nv_fund",J$3,$A42))</f>
        <v>3.2113999999999998</v>
      </c>
      <c r="K42" s="13">
        <f>IF($A42="","",[1]!thsiFinD("ths_adjustment_nv_fund",K$3,$A42))</f>
        <v>3.1814</v>
      </c>
      <c r="L42" s="13">
        <f>IF($A42="","",[1]!thsiFinD("ths_adjustment_nv_fund",L$3,$A42))</f>
        <v>1.5367999999999999</v>
      </c>
      <c r="M42" s="13">
        <f>IF($A42="","",[1]!thsiFinD("ths_adjustment_nv_fund",M$3,$A42))</f>
        <v>1.5158</v>
      </c>
      <c r="N42" s="13">
        <f>IF($A42="","",[1]!thsiFinD("ths_adjustment_nv_fund",N$3,$A42))</f>
        <v>1.5301</v>
      </c>
      <c r="O42" s="13">
        <f>IF($A42="","",[1]!thsiFinD("ths_adjustment_nv_fund",O$3,$A42))</f>
        <v>1.4915</v>
      </c>
      <c r="P42" s="13">
        <f>IF($A42="","",[1]!thsiFinD("ths_adjustment_nv_fund",P$3,$A42))</f>
        <v>2.4908000000000001</v>
      </c>
      <c r="Q42" s="13">
        <f>IF($A42="","",[1]!thsiFinD("ths_adjustment_nv_fund",Q$3,$A42))</f>
        <v>3.2652000000000001</v>
      </c>
      <c r="R42" s="13">
        <f>IF($A42="","",[1]!thsiFinD("ths_adjustment_nv_fund",R$3,$A42))</f>
        <v>3.1951999999999998</v>
      </c>
      <c r="S42" s="13">
        <f>IF($A42="","",[1]!thsiFinD("ths_adjustment_nv_fund",S$3,$A42))</f>
        <v>4.375</v>
      </c>
      <c r="T42" s="13">
        <f>IF($A42="","",[1]!thsiFinD("ths_adjustment_nv_fund",T$3,$A42))</f>
        <v>2.9477000000000002</v>
      </c>
      <c r="U42" s="13">
        <f>IF($A42="","",[1]!thsiFinD("ths_adjustment_nv_fund",U$3,$A42))</f>
        <v>2.9317000000000002</v>
      </c>
      <c r="V42" s="13">
        <f>IF($A42="","",[1]!thsiFinD("ths_adjustment_nv_fund",V$3,$A42))</f>
        <v>1.8878999999999999</v>
      </c>
      <c r="W42" s="13">
        <f>IF($A42="","",[1]!thsiFinD("ths_adjustment_nv_fund",W$3,$A42))</f>
        <v>1.8687</v>
      </c>
      <c r="X42" s="13">
        <f>IF($A42="","",[1]!thsiFinD("ths_adjustment_nv_fund",X$3,$A42))</f>
        <v>1.7994000000000001</v>
      </c>
      <c r="Y42" s="13">
        <f>IF($A42="","",[1]!thsiFinD("ths_adjustment_nv_fund",Y$3,$A42))</f>
        <v>2.5129999999999999</v>
      </c>
      <c r="Z42" s="13">
        <f>IF($A42="","",[1]!thsiFinD("ths_adjustment_nv_fund",Z$3,$A42))</f>
        <v>1.5209456669999999</v>
      </c>
      <c r="AA42" s="13">
        <f>IF($A42="","",[1]!thsiFinD("ths_adjustment_nv_fund",AA$3,$A42))</f>
        <v>1.2355689136000001</v>
      </c>
    </row>
    <row r="43" spans="1:27">
      <c r="A43" s="8">
        <v>46246</v>
      </c>
      <c r="B43" s="13">
        <f>IF($A43="","",[1]!thsiFinD("ths_adjustment_nv_fund",B$3,$A43))</f>
        <v>3.3079000000000001</v>
      </c>
      <c r="C43" s="13">
        <f>IF($A43="","",[1]!thsiFinD("ths_adjustment_nv_fund",C$3,$A43))</f>
        <v>1.3197565136</v>
      </c>
      <c r="D43" s="13">
        <f>IF($A43="","",[1]!thsiFinD("ths_adjustment_nv_fund",D$3,$A43))</f>
        <v>4.55</v>
      </c>
      <c r="E43" s="13">
        <f>IF($A43="","",[1]!thsiFinD("ths_adjustment_nv_fund",E$3,$A43))</f>
        <v>1.9013</v>
      </c>
      <c r="F43" s="13">
        <f>IF($A43="","",[1]!thsiFinD("ths_adjustment_nv_fund",F$3,$A43))</f>
        <v>1.8467</v>
      </c>
      <c r="G43" s="13">
        <f>IF($A43="","",[1]!thsiFinD("ths_adjustment_nv_fund",G$3,$A43))</f>
        <v>3.7749000000000001</v>
      </c>
      <c r="H43" s="13">
        <f>IF($A43="","",[1]!thsiFinD("ths_adjustment_nv_fund",H$3,$A43))</f>
        <v>3.6936</v>
      </c>
      <c r="I43" s="13">
        <f>IF($A43="","",[1]!thsiFinD("ths_adjustment_nv_fund",I$3,$A43))</f>
        <v>2.4182999999999999</v>
      </c>
      <c r="J43" s="13">
        <f>IF($A43="","",[1]!thsiFinD("ths_adjustment_nv_fund",J$3,$A43))</f>
        <v>3.2988</v>
      </c>
      <c r="K43" s="13">
        <f>IF($A43="","",[1]!thsiFinD("ths_adjustment_nv_fund",K$3,$A43))</f>
        <v>3.2679999999999998</v>
      </c>
      <c r="L43" s="13">
        <f>IF($A43="","",[1]!thsiFinD("ths_adjustment_nv_fund",L$3,$A43))</f>
        <v>1.5569999999999999</v>
      </c>
      <c r="M43" s="13">
        <f>IF($A43="","",[1]!thsiFinD("ths_adjustment_nv_fund",M$3,$A43))</f>
        <v>1.5357000000000001</v>
      </c>
      <c r="N43" s="13">
        <f>IF($A43="","",[1]!thsiFinD("ths_adjustment_nv_fund",N$3,$A43))</f>
        <v>1.5461</v>
      </c>
      <c r="O43" s="13">
        <f>IF($A43="","",[1]!thsiFinD("ths_adjustment_nv_fund",O$3,$A43))</f>
        <v>1.5072000000000001</v>
      </c>
      <c r="P43" s="13">
        <f>IF($A43="","",[1]!thsiFinD("ths_adjustment_nv_fund",P$3,$A43))</f>
        <v>2.6313</v>
      </c>
      <c r="Q43" s="13">
        <f>IF($A43="","",[1]!thsiFinD("ths_adjustment_nv_fund",Q$3,$A43))</f>
        <v>3.3769999999999998</v>
      </c>
      <c r="R43" s="13">
        <f>IF($A43="","",[1]!thsiFinD("ths_adjustment_nv_fund",R$3,$A43))</f>
        <v>3.3045</v>
      </c>
      <c r="S43" s="13">
        <f>IF($A43="","",[1]!thsiFinD("ths_adjustment_nv_fund",S$3,$A43))</f>
        <v>4.5019999999999998</v>
      </c>
      <c r="T43" s="13">
        <f>IF($A43="","",[1]!thsiFinD("ths_adjustment_nv_fund",T$3,$A43))</f>
        <v>3.0122</v>
      </c>
      <c r="U43" s="13">
        <f>IF($A43="","",[1]!thsiFinD("ths_adjustment_nv_fund",U$3,$A43))</f>
        <v>2.9958</v>
      </c>
      <c r="V43" s="13">
        <f>IF($A43="","",[1]!thsiFinD("ths_adjustment_nv_fund",V$3,$A43))</f>
        <v>1.9169</v>
      </c>
      <c r="W43" s="13">
        <f>IF($A43="","",[1]!thsiFinD("ths_adjustment_nv_fund",W$3,$A43))</f>
        <v>1.8974</v>
      </c>
      <c r="X43" s="13">
        <f>IF($A43="","",[1]!thsiFinD("ths_adjustment_nv_fund",X$3,$A43))</f>
        <v>1.7995000000000001</v>
      </c>
      <c r="Y43" s="13">
        <f>IF($A43="","",[1]!thsiFinD("ths_adjustment_nv_fund",Y$3,$A43))</f>
        <v>2.5550000000000002</v>
      </c>
      <c r="Z43" s="13">
        <f>IF($A43="","",[1]!thsiFinD("ths_adjustment_nv_fund",Z$3,$A43))</f>
        <v>1.5209456669999999</v>
      </c>
      <c r="AA43" s="13">
        <f>IF($A43="","",[1]!thsiFinD("ths_adjustment_nv_fund",AA$3,$A43))</f>
        <v>1.2355689136000001</v>
      </c>
    </row>
    <row r="44" spans="1:27">
      <c r="A44" s="8">
        <v>46247</v>
      </c>
      <c r="B44" s="13">
        <f>IF($A44="","",[1]!thsiFinD("ths_adjustment_nv_fund",B$3,$A44))</f>
        <v>3.2873000000000001</v>
      </c>
      <c r="C44" s="13">
        <f>IF($A44="","",[1]!thsiFinD("ths_adjustment_nv_fund",C$3,$A44))</f>
        <v>1.3198005802999999</v>
      </c>
      <c r="D44" s="13">
        <f>IF($A44="","",[1]!thsiFinD("ths_adjustment_nv_fund",D$3,$A44))</f>
        <v>4.5599999999999996</v>
      </c>
      <c r="E44" s="13">
        <f>IF($A44="","",[1]!thsiFinD("ths_adjustment_nv_fund",E$3,$A44))</f>
        <v>1.8914</v>
      </c>
      <c r="F44" s="13">
        <f>IF($A44="","",[1]!thsiFinD("ths_adjustment_nv_fund",F$3,$A44))</f>
        <v>1.8371</v>
      </c>
      <c r="G44" s="13">
        <f>IF($A44="","",[1]!thsiFinD("ths_adjustment_nv_fund",G$3,$A44))</f>
        <v>3.7816000000000001</v>
      </c>
      <c r="H44" s="13">
        <f>IF($A44="","",[1]!thsiFinD("ths_adjustment_nv_fund",H$3,$A44))</f>
        <v>3.7000999999999999</v>
      </c>
      <c r="I44" s="13">
        <f>IF($A44="","",[1]!thsiFinD("ths_adjustment_nv_fund",I$3,$A44))</f>
        <v>2.3976999999999999</v>
      </c>
      <c r="J44" s="13">
        <f>IF($A44="","",[1]!thsiFinD("ths_adjustment_nv_fund",J$3,$A44))</f>
        <v>3.2385999999999999</v>
      </c>
      <c r="K44" s="13">
        <f>IF($A44="","",[1]!thsiFinD("ths_adjustment_nv_fund",K$3,$A44))</f>
        <v>3.2082999999999999</v>
      </c>
      <c r="L44" s="13">
        <f>IF($A44="","",[1]!thsiFinD("ths_adjustment_nv_fund",L$3,$A44))</f>
        <v>1.5418000000000001</v>
      </c>
      <c r="M44" s="13">
        <f>IF($A44="","",[1]!thsiFinD("ths_adjustment_nv_fund",M$3,$A44))</f>
        <v>1.5207999999999999</v>
      </c>
      <c r="N44" s="13">
        <f>IF($A44="","",[1]!thsiFinD("ths_adjustment_nv_fund",N$3,$A44))</f>
        <v>1.5304</v>
      </c>
      <c r="O44" s="13">
        <f>IF($A44="","",[1]!thsiFinD("ths_adjustment_nv_fund",O$3,$A44))</f>
        <v>1.4918</v>
      </c>
      <c r="P44" s="13">
        <f>IF($A44="","",[1]!thsiFinD("ths_adjustment_nv_fund",P$3,$A44))</f>
        <v>2.6768999999999998</v>
      </c>
      <c r="Q44" s="13">
        <f>IF($A44="","",[1]!thsiFinD("ths_adjustment_nv_fund",Q$3,$A44))</f>
        <v>3.4041000000000001</v>
      </c>
      <c r="R44" s="13">
        <f>IF($A44="","",[1]!thsiFinD("ths_adjustment_nv_fund",R$3,$A44))</f>
        <v>3.331</v>
      </c>
      <c r="S44" s="13">
        <f>IF($A44="","",[1]!thsiFinD("ths_adjustment_nv_fund",S$3,$A44))</f>
        <v>4.5119999999999996</v>
      </c>
      <c r="T44" s="13">
        <f>IF($A44="","",[1]!thsiFinD("ths_adjustment_nv_fund",T$3,$A44))</f>
        <v>2.9348999999999998</v>
      </c>
      <c r="U44" s="13">
        <f>IF($A44="","",[1]!thsiFinD("ths_adjustment_nv_fund",U$3,$A44))</f>
        <v>2.9188999999999998</v>
      </c>
      <c r="V44" s="13">
        <f>IF($A44="","",[1]!thsiFinD("ths_adjustment_nv_fund",V$3,$A44))</f>
        <v>1.8958999999999999</v>
      </c>
      <c r="W44" s="13">
        <f>IF($A44="","",[1]!thsiFinD("ths_adjustment_nv_fund",W$3,$A44))</f>
        <v>1.8766</v>
      </c>
      <c r="X44" s="13">
        <f>IF($A44="","",[1]!thsiFinD("ths_adjustment_nv_fund",X$3,$A44))</f>
        <v>1.8009999999999999</v>
      </c>
      <c r="Y44" s="13">
        <f>IF($A44="","",[1]!thsiFinD("ths_adjustment_nv_fund",Y$3,$A44))</f>
        <v>2.5059999999999998</v>
      </c>
      <c r="Z44" s="13">
        <f>IF($A44="","",[1]!thsiFinD("ths_adjustment_nv_fund",Z$3,$A44))</f>
        <v>1.5217167700000001</v>
      </c>
      <c r="AA44" s="13">
        <f>IF($A44="","",[1]!thsiFinD("ths_adjustment_nv_fund",AA$3,$A44))</f>
        <v>1.2359225395</v>
      </c>
    </row>
    <row r="45" spans="1:27">
      <c r="A45" s="8">
        <v>46248</v>
      </c>
      <c r="B45" s="13">
        <f>IF($A45="","",[1]!thsiFinD("ths_adjustment_nv_fund",B$3,$A45))</f>
        <v>3.2557</v>
      </c>
      <c r="C45" s="13">
        <f>IF($A45="","",[1]!thsiFinD("ths_adjustment_nv_fund",C$3,$A45))</f>
        <v>1.3198457571</v>
      </c>
      <c r="D45" s="13">
        <f>IF($A45="","",[1]!thsiFinD("ths_adjustment_nv_fund",D$3,$A45))</f>
        <v>4.6639999999999997</v>
      </c>
      <c r="E45" s="13">
        <f>IF($A45="","",[1]!thsiFinD("ths_adjustment_nv_fund",E$3,$A45))</f>
        <v>1.8996</v>
      </c>
      <c r="F45" s="13">
        <f>IF($A45="","",[1]!thsiFinD("ths_adjustment_nv_fund",F$3,$A45))</f>
        <v>1.845</v>
      </c>
      <c r="G45" s="13">
        <f>IF($A45="","",[1]!thsiFinD("ths_adjustment_nv_fund",G$3,$A45))</f>
        <v>3.9045999999999998</v>
      </c>
      <c r="H45" s="13">
        <f>IF($A45="","",[1]!thsiFinD("ths_adjustment_nv_fund",H$3,$A45))</f>
        <v>3.8205</v>
      </c>
      <c r="I45" s="13">
        <f>IF($A45="","",[1]!thsiFinD("ths_adjustment_nv_fund",I$3,$A45))</f>
        <v>2.4058000000000002</v>
      </c>
      <c r="J45" s="13">
        <f>IF($A45="","",[1]!thsiFinD("ths_adjustment_nv_fund",J$3,$A45))</f>
        <v>3.2187999999999999</v>
      </c>
      <c r="K45" s="13">
        <f>IF($A45="","",[1]!thsiFinD("ths_adjustment_nv_fund",K$3,$A45))</f>
        <v>3.1886999999999999</v>
      </c>
      <c r="L45" s="13">
        <f>IF($A45="","",[1]!thsiFinD("ths_adjustment_nv_fund",L$3,$A45))</f>
        <v>1.5521</v>
      </c>
      <c r="M45" s="13">
        <f>IF($A45="","",[1]!thsiFinD("ths_adjustment_nv_fund",M$3,$A45))</f>
        <v>1.5308999999999999</v>
      </c>
      <c r="N45" s="13">
        <f>IF($A45="","",[1]!thsiFinD("ths_adjustment_nv_fund",N$3,$A45))</f>
        <v>1.5391999999999999</v>
      </c>
      <c r="O45" s="13">
        <f>IF($A45="","",[1]!thsiFinD("ths_adjustment_nv_fund",O$3,$A45))</f>
        <v>1.5003</v>
      </c>
      <c r="P45" s="13">
        <f>IF($A45="","",[1]!thsiFinD("ths_adjustment_nv_fund",P$3,$A45))</f>
        <v>2.7839</v>
      </c>
      <c r="Q45" s="13">
        <f>IF($A45="","",[1]!thsiFinD("ths_adjustment_nv_fund",Q$3,$A45))</f>
        <v>3.4681000000000002</v>
      </c>
      <c r="R45" s="13">
        <f>IF($A45="","",[1]!thsiFinD("ths_adjustment_nv_fund",R$3,$A45))</f>
        <v>3.3936000000000002</v>
      </c>
      <c r="S45" s="13">
        <f>IF($A45="","",[1]!thsiFinD("ths_adjustment_nv_fund",S$3,$A45))</f>
        <v>4.6150000000000002</v>
      </c>
      <c r="T45" s="13">
        <f>IF($A45="","",[1]!thsiFinD("ths_adjustment_nv_fund",T$3,$A45))</f>
        <v>2.9546999999999999</v>
      </c>
      <c r="U45" s="13">
        <f>IF($A45="","",[1]!thsiFinD("ths_adjustment_nv_fund",U$3,$A45))</f>
        <v>2.9386000000000001</v>
      </c>
      <c r="V45" s="13">
        <f>IF($A45="","",[1]!thsiFinD("ths_adjustment_nv_fund",V$3,$A45))</f>
        <v>1.9157999999999999</v>
      </c>
      <c r="W45" s="13">
        <f>IF($A45="","",[1]!thsiFinD("ths_adjustment_nv_fund",W$3,$A45))</f>
        <v>1.8962000000000001</v>
      </c>
      <c r="X45" s="13">
        <f>IF($A45="","",[1]!thsiFinD("ths_adjustment_nv_fund",X$3,$A45))</f>
        <v>1.8012999999999999</v>
      </c>
      <c r="Y45" s="13">
        <f>IF($A45="","",[1]!thsiFinD("ths_adjustment_nv_fund",Y$3,$A45))</f>
        <v>2.5249999999999999</v>
      </c>
      <c r="Z45" s="13">
        <f>IF($A45="","",[1]!thsiFinD("ths_adjustment_nv_fund",Z$3,$A45))</f>
        <v>1.5218269276</v>
      </c>
      <c r="AA45" s="13">
        <f>IF($A45="","",[1]!thsiFinD("ths_adjustment_nv_fund",AA$3,$A45))</f>
        <v>1.2359225395</v>
      </c>
    </row>
    <row r="46" spans="1:27">
      <c r="A46" s="8">
        <v>46251</v>
      </c>
      <c r="B46" s="13">
        <f>IF($A46="","",[1]!thsiFinD("ths_adjustment_nv_fund",B$3,$A46))</f>
        <v>3.2961999999999998</v>
      </c>
      <c r="C46" s="13">
        <f>IF($A46="","",[1]!thsiFinD("ths_adjustment_nv_fund",C$3,$A46))</f>
        <v>1.3199769937000001</v>
      </c>
      <c r="D46" s="13">
        <f>IF($A46="","",[1]!thsiFinD("ths_adjustment_nv_fund",D$3,$A46))</f>
        <v>4.9039999999999999</v>
      </c>
      <c r="E46" s="13">
        <f>IF($A46="","",[1]!thsiFinD("ths_adjustment_nv_fund",E$3,$A46))</f>
        <v>1.9380999999999999</v>
      </c>
      <c r="F46" s="13">
        <f>IF($A46="","",[1]!thsiFinD("ths_adjustment_nv_fund",F$3,$A46))</f>
        <v>1.8823000000000001</v>
      </c>
      <c r="G46" s="13">
        <f>IF($A46="","",[1]!thsiFinD("ths_adjustment_nv_fund",G$3,$A46))</f>
        <v>4.0640999999999998</v>
      </c>
      <c r="H46" s="13">
        <f>IF($A46="","",[1]!thsiFinD("ths_adjustment_nv_fund",H$3,$A46))</f>
        <v>3.9763999999999999</v>
      </c>
      <c r="I46" s="13">
        <f>IF($A46="","",[1]!thsiFinD("ths_adjustment_nv_fund",I$3,$A46))</f>
        <v>2.5301</v>
      </c>
      <c r="J46" s="13">
        <f>IF($A46="","",[1]!thsiFinD("ths_adjustment_nv_fund",J$3,$A46))</f>
        <v>3.3996</v>
      </c>
      <c r="K46" s="13">
        <f>IF($A46="","",[1]!thsiFinD("ths_adjustment_nv_fund",K$3,$A46))</f>
        <v>3.3677999999999999</v>
      </c>
      <c r="L46" s="13">
        <f>IF($A46="","",[1]!thsiFinD("ths_adjustment_nv_fund",L$3,$A46))</f>
        <v>1.5899000000000001</v>
      </c>
      <c r="M46" s="13">
        <f>IF($A46="","",[1]!thsiFinD("ths_adjustment_nv_fund",M$3,$A46))</f>
        <v>1.5681</v>
      </c>
      <c r="N46" s="13">
        <f>IF($A46="","",[1]!thsiFinD("ths_adjustment_nv_fund",N$3,$A46))</f>
        <v>1.5815999999999999</v>
      </c>
      <c r="O46" s="13">
        <f>IF($A46="","",[1]!thsiFinD("ths_adjustment_nv_fund",O$3,$A46))</f>
        <v>1.5417000000000001</v>
      </c>
      <c r="P46" s="13">
        <f>IF($A46="","",[1]!thsiFinD("ths_adjustment_nv_fund",P$3,$A46))</f>
        <v>2.927</v>
      </c>
      <c r="Q46" s="13">
        <f>IF($A46="","",[1]!thsiFinD("ths_adjustment_nv_fund",Q$3,$A46))</f>
        <v>3.6488</v>
      </c>
      <c r="R46" s="13">
        <f>IF($A46="","",[1]!thsiFinD("ths_adjustment_nv_fund",R$3,$A46))</f>
        <v>3.5701999999999998</v>
      </c>
      <c r="S46" s="13">
        <f>IF($A46="","",[1]!thsiFinD("ths_adjustment_nv_fund",S$3,$A46))</f>
        <v>4.8529999999999998</v>
      </c>
      <c r="T46" s="13">
        <f>IF($A46="","",[1]!thsiFinD("ths_adjustment_nv_fund",T$3,$A46))</f>
        <v>3.0985</v>
      </c>
      <c r="U46" s="13">
        <f>IF($A46="","",[1]!thsiFinD("ths_adjustment_nv_fund",U$3,$A46))</f>
        <v>3.0815000000000001</v>
      </c>
      <c r="V46" s="13">
        <f>IF($A46="","",[1]!thsiFinD("ths_adjustment_nv_fund",V$3,$A46))</f>
        <v>1.9588000000000001</v>
      </c>
      <c r="W46" s="13">
        <f>IF($A46="","",[1]!thsiFinD("ths_adjustment_nv_fund",W$3,$A46))</f>
        <v>1.9387000000000001</v>
      </c>
      <c r="X46" s="13">
        <f>IF($A46="","",[1]!thsiFinD("ths_adjustment_nv_fund",X$3,$A46))</f>
        <v>1.8018000000000001</v>
      </c>
      <c r="Y46" s="13">
        <f>IF($A46="","",[1]!thsiFinD("ths_adjustment_nv_fund",Y$3,$A46))</f>
        <v>2.6560000000000001</v>
      </c>
      <c r="Z46" s="13">
        <f>IF($A46="","",[1]!thsiFinD("ths_adjustment_nv_fund",Z$3,$A46))</f>
        <v>1.5230386609</v>
      </c>
      <c r="AA46" s="13">
        <f>IF($A46="","",[1]!thsiFinD("ths_adjustment_nv_fund",AA$3,$A46))</f>
        <v>1.2368655419000001</v>
      </c>
    </row>
    <row r="47" spans="1:27">
      <c r="A47" s="8">
        <v>46252</v>
      </c>
      <c r="B47" s="13">
        <f>IF($A47="","",[1]!thsiFinD("ths_adjustment_nv_fund",B$3,$A47))</f>
        <v>3.3054999999999999</v>
      </c>
      <c r="C47" s="13">
        <f>IF($A47="","",[1]!thsiFinD("ths_adjustment_nv_fund",C$3,$A47))</f>
        <v>1.3200210413</v>
      </c>
      <c r="D47" s="13">
        <f>IF($A47="","",[1]!thsiFinD("ths_adjustment_nv_fund",D$3,$A47))</f>
        <v>4.8479999999999999</v>
      </c>
      <c r="E47" s="13">
        <f>IF($A47="","",[1]!thsiFinD("ths_adjustment_nv_fund",E$3,$A47))</f>
        <v>1.9369000000000001</v>
      </c>
      <c r="F47" s="13">
        <f>IF($A47="","",[1]!thsiFinD("ths_adjustment_nv_fund",F$3,$A47))</f>
        <v>1.8812</v>
      </c>
      <c r="G47" s="13">
        <f>IF($A47="","",[1]!thsiFinD("ths_adjustment_nv_fund",G$3,$A47))</f>
        <v>4.0156999999999998</v>
      </c>
      <c r="H47" s="13">
        <f>IF($A47="","",[1]!thsiFinD("ths_adjustment_nv_fund",H$3,$A47))</f>
        <v>3.9289999999999998</v>
      </c>
      <c r="I47" s="13">
        <f>IF($A47="","",[1]!thsiFinD("ths_adjustment_nv_fund",I$3,$A47))</f>
        <v>2.5223</v>
      </c>
      <c r="J47" s="13">
        <f>IF($A47="","",[1]!thsiFinD("ths_adjustment_nv_fund",J$3,$A47))</f>
        <v>3.4416000000000002</v>
      </c>
      <c r="K47" s="13">
        <f>IF($A47="","",[1]!thsiFinD("ths_adjustment_nv_fund",K$3,$A47))</f>
        <v>3.4093</v>
      </c>
      <c r="L47" s="13">
        <f>IF($A47="","",[1]!thsiFinD("ths_adjustment_nv_fund",L$3,$A47))</f>
        <v>1.5879000000000001</v>
      </c>
      <c r="M47" s="13">
        <f>IF($A47="","",[1]!thsiFinD("ths_adjustment_nv_fund",M$3,$A47))</f>
        <v>1.5661</v>
      </c>
      <c r="N47" s="13">
        <f>IF($A47="","",[1]!thsiFinD("ths_adjustment_nv_fund",N$3,$A47))</f>
        <v>1.577</v>
      </c>
      <c r="O47" s="13">
        <f>IF($A47="","",[1]!thsiFinD("ths_adjustment_nv_fund",O$3,$A47))</f>
        <v>1.5370999999999999</v>
      </c>
      <c r="P47" s="13">
        <f>IF($A47="","",[1]!thsiFinD("ths_adjustment_nv_fund",P$3,$A47))</f>
        <v>2.9192999999999998</v>
      </c>
      <c r="Q47" s="13">
        <f>IF($A47="","",[1]!thsiFinD("ths_adjustment_nv_fund",Q$3,$A47))</f>
        <v>3.6082000000000001</v>
      </c>
      <c r="R47" s="13">
        <f>IF($A47="","",[1]!thsiFinD("ths_adjustment_nv_fund",R$3,$A47))</f>
        <v>3.5305</v>
      </c>
      <c r="S47" s="13">
        <f>IF($A47="","",[1]!thsiFinD("ths_adjustment_nv_fund",S$3,$A47))</f>
        <v>4.7969999999999997</v>
      </c>
      <c r="T47" s="13">
        <f>IF($A47="","",[1]!thsiFinD("ths_adjustment_nv_fund",T$3,$A47))</f>
        <v>3.1604000000000001</v>
      </c>
      <c r="U47" s="13">
        <f>IF($A47="","",[1]!thsiFinD("ths_adjustment_nv_fund",U$3,$A47))</f>
        <v>3.1431</v>
      </c>
      <c r="V47" s="13">
        <f>IF($A47="","",[1]!thsiFinD("ths_adjustment_nv_fund",V$3,$A47))</f>
        <v>1.9561999999999999</v>
      </c>
      <c r="W47" s="13">
        <f>IF($A47="","",[1]!thsiFinD("ths_adjustment_nv_fund",W$3,$A47))</f>
        <v>1.9360999999999999</v>
      </c>
      <c r="X47" s="13">
        <f>IF($A47="","",[1]!thsiFinD("ths_adjustment_nv_fund",X$3,$A47))</f>
        <v>1.8030999999999999</v>
      </c>
      <c r="Y47" s="13">
        <f>IF($A47="","",[1]!thsiFinD("ths_adjustment_nv_fund",Y$3,$A47))</f>
        <v>2.7050000000000001</v>
      </c>
      <c r="Z47" s="13">
        <f>IF($A47="","",[1]!thsiFinD("ths_adjustment_nv_fund",Z$3,$A47))</f>
        <v>1.5243605519000001</v>
      </c>
      <c r="AA47" s="13">
        <f>IF($A47="","",[1]!thsiFinD("ths_adjustment_nv_fund",AA$3,$A47))</f>
        <v>1.2373370430999999</v>
      </c>
    </row>
    <row r="48" spans="1:27">
      <c r="A48" s="8">
        <v>46253</v>
      </c>
      <c r="B48" s="13">
        <f>IF($A48="","",[1]!thsiFinD("ths_adjustment_nv_fund",B$3,$A48))</f>
        <v>3.2709999999999999</v>
      </c>
      <c r="C48" s="13">
        <f>IF($A48="","",[1]!thsiFinD("ths_adjustment_nv_fund",C$3,$A48))</f>
        <v>1.3200657767999999</v>
      </c>
      <c r="D48" s="13">
        <f>IF($A48="","",[1]!thsiFinD("ths_adjustment_nv_fund",D$3,$A48))</f>
        <v>4.4660000000000002</v>
      </c>
      <c r="E48" s="13">
        <f>IF($A48="","",[1]!thsiFinD("ths_adjustment_nv_fund",E$3,$A48))</f>
        <v>1.8806</v>
      </c>
      <c r="F48" s="13">
        <f>IF($A48="","",[1]!thsiFinD("ths_adjustment_nv_fund",F$3,$A48))</f>
        <v>1.8265</v>
      </c>
      <c r="G48" s="13">
        <f>IF($A48="","",[1]!thsiFinD("ths_adjustment_nv_fund",G$3,$A48))</f>
        <v>3.7111000000000001</v>
      </c>
      <c r="H48" s="13">
        <f>IF($A48="","",[1]!thsiFinD("ths_adjustment_nv_fund",H$3,$A48))</f>
        <v>3.6309999999999998</v>
      </c>
      <c r="I48" s="13">
        <f>IF($A48="","",[1]!thsiFinD("ths_adjustment_nv_fund",I$3,$A48))</f>
        <v>2.3227000000000002</v>
      </c>
      <c r="J48" s="13">
        <f>IF($A48="","",[1]!thsiFinD("ths_adjustment_nv_fund",J$3,$A48))</f>
        <v>3.1926999999999999</v>
      </c>
      <c r="K48" s="13">
        <f>IF($A48="","",[1]!thsiFinD("ths_adjustment_nv_fund",K$3,$A48))</f>
        <v>3.1627000000000001</v>
      </c>
      <c r="L48" s="13">
        <f>IF($A48="","",[1]!thsiFinD("ths_adjustment_nv_fund",L$3,$A48))</f>
        <v>1.5081</v>
      </c>
      <c r="M48" s="13">
        <f>IF($A48="","",[1]!thsiFinD("ths_adjustment_nv_fund",M$3,$A48))</f>
        <v>1.4875</v>
      </c>
      <c r="N48" s="13">
        <f>IF($A48="","",[1]!thsiFinD("ths_adjustment_nv_fund",N$3,$A48))</f>
        <v>1.5073000000000001</v>
      </c>
      <c r="O48" s="13">
        <f>IF($A48="","",[1]!thsiFinD("ths_adjustment_nv_fund",O$3,$A48))</f>
        <v>1.4692000000000001</v>
      </c>
      <c r="P48" s="13">
        <f>IF($A48="","",[1]!thsiFinD("ths_adjustment_nv_fund",P$3,$A48))</f>
        <v>2.6960000000000002</v>
      </c>
      <c r="Q48" s="13">
        <f>IF($A48="","",[1]!thsiFinD("ths_adjustment_nv_fund",Q$3,$A48))</f>
        <v>3.3334000000000001</v>
      </c>
      <c r="R48" s="13">
        <f>IF($A48="","",[1]!thsiFinD("ths_adjustment_nv_fund",R$3,$A48))</f>
        <v>3.2614999999999998</v>
      </c>
      <c r="S48" s="13">
        <f>IF($A48="","",[1]!thsiFinD("ths_adjustment_nv_fund",S$3,$A48))</f>
        <v>4.4189999999999996</v>
      </c>
      <c r="T48" s="13">
        <f>IF($A48="","",[1]!thsiFinD("ths_adjustment_nv_fund",T$3,$A48))</f>
        <v>2.9426000000000001</v>
      </c>
      <c r="U48" s="13">
        <f>IF($A48="","",[1]!thsiFinD("ths_adjustment_nv_fund",U$3,$A48))</f>
        <v>2.9264999999999999</v>
      </c>
      <c r="V48" s="13">
        <f>IF($A48="","",[1]!thsiFinD("ths_adjustment_nv_fund",V$3,$A48))</f>
        <v>1.8595999999999999</v>
      </c>
      <c r="W48" s="13">
        <f>IF($A48="","",[1]!thsiFinD("ths_adjustment_nv_fund",W$3,$A48))</f>
        <v>1.8405</v>
      </c>
      <c r="X48" s="13">
        <f>IF($A48="","",[1]!thsiFinD("ths_adjustment_nv_fund",X$3,$A48))</f>
        <v>1.8019000000000001</v>
      </c>
      <c r="Y48" s="13">
        <f>IF($A48="","",[1]!thsiFinD("ths_adjustment_nv_fund",Y$3,$A48))</f>
        <v>2.504</v>
      </c>
      <c r="Z48" s="13">
        <f>IF($A48="","",[1]!thsiFinD("ths_adjustment_nv_fund",Z$3,$A48))</f>
        <v>1.5229285034</v>
      </c>
      <c r="AA48" s="13">
        <f>IF($A48="","",[1]!thsiFinD("ths_adjustment_nv_fund",AA$3,$A48))</f>
        <v>1.2369834172</v>
      </c>
    </row>
    <row r="49" spans="1:27">
      <c r="A49" s="8">
        <v>46254</v>
      </c>
      <c r="B49" s="13">
        <f>IF($A49="","",[1]!thsiFinD("ths_adjustment_nv_fund",B$3,$A49))</f>
        <v>3.35</v>
      </c>
      <c r="C49" s="13">
        <f>IF($A49="","",[1]!thsiFinD("ths_adjustment_nv_fund",C$3,$A49))</f>
        <v>1.3201100254</v>
      </c>
      <c r="D49" s="13">
        <f>IF($A49="","",[1]!thsiFinD("ths_adjustment_nv_fund",D$3,$A49))</f>
        <v>4.5119999999999996</v>
      </c>
      <c r="E49" s="13">
        <f>IF($A49="","",[1]!thsiFinD("ths_adjustment_nv_fund",E$3,$A49))</f>
        <v>1.8814</v>
      </c>
      <c r="F49" s="13">
        <f>IF($A49="","",[1]!thsiFinD("ths_adjustment_nv_fund",F$3,$A49))</f>
        <v>1.8271999999999999</v>
      </c>
      <c r="G49" s="13">
        <f>IF($A49="","",[1]!thsiFinD("ths_adjustment_nv_fund",G$3,$A49))</f>
        <v>3.7732999999999999</v>
      </c>
      <c r="H49" s="13">
        <f>IF($A49="","",[1]!thsiFinD("ths_adjustment_nv_fund",H$3,$A49))</f>
        <v>3.6918000000000002</v>
      </c>
      <c r="I49" s="13">
        <f>IF($A49="","",[1]!thsiFinD("ths_adjustment_nv_fund",I$3,$A49))</f>
        <v>2.3370000000000002</v>
      </c>
      <c r="J49" s="13">
        <f>IF($A49="","",[1]!thsiFinD("ths_adjustment_nv_fund",J$3,$A49))</f>
        <v>3.2193999999999998</v>
      </c>
      <c r="K49" s="13">
        <f>IF($A49="","",[1]!thsiFinD("ths_adjustment_nv_fund",K$3,$A49))</f>
        <v>3.1892</v>
      </c>
      <c r="L49" s="13">
        <f>IF($A49="","",[1]!thsiFinD("ths_adjustment_nv_fund",L$3,$A49))</f>
        <v>1.5259</v>
      </c>
      <c r="M49" s="13">
        <f>IF($A49="","",[1]!thsiFinD("ths_adjustment_nv_fund",M$3,$A49))</f>
        <v>1.5049999999999999</v>
      </c>
      <c r="N49" s="13">
        <f>IF($A49="","",[1]!thsiFinD("ths_adjustment_nv_fund",N$3,$A49))</f>
        <v>1.5164</v>
      </c>
      <c r="O49" s="13">
        <f>IF($A49="","",[1]!thsiFinD("ths_adjustment_nv_fund",O$3,$A49))</f>
        <v>1.478</v>
      </c>
      <c r="P49" s="13">
        <f>IF($A49="","",[1]!thsiFinD("ths_adjustment_nv_fund",P$3,$A49))</f>
        <v>2.774</v>
      </c>
      <c r="Q49" s="13">
        <f>IF($A49="","",[1]!thsiFinD("ths_adjustment_nv_fund",Q$3,$A49))</f>
        <v>3.3921999999999999</v>
      </c>
      <c r="R49" s="13">
        <f>IF($A49="","",[1]!thsiFinD("ths_adjustment_nv_fund",R$3,$A49))</f>
        <v>3.3189000000000002</v>
      </c>
      <c r="S49" s="13">
        <f>IF($A49="","",[1]!thsiFinD("ths_adjustment_nv_fund",S$3,$A49))</f>
        <v>4.4640000000000004</v>
      </c>
      <c r="T49" s="13">
        <f>IF($A49="","",[1]!thsiFinD("ths_adjustment_nv_fund",T$3,$A49))</f>
        <v>2.9253</v>
      </c>
      <c r="U49" s="13">
        <f>IF($A49="","",[1]!thsiFinD("ths_adjustment_nv_fund",U$3,$A49))</f>
        <v>2.9093</v>
      </c>
      <c r="V49" s="13">
        <f>IF($A49="","",[1]!thsiFinD("ths_adjustment_nv_fund",V$3,$A49))</f>
        <v>1.8866000000000001</v>
      </c>
      <c r="W49" s="13">
        <f>IF($A49="","",[1]!thsiFinD("ths_adjustment_nv_fund",W$3,$A49))</f>
        <v>1.8672</v>
      </c>
      <c r="X49" s="13">
        <f>IF($A49="","",[1]!thsiFinD("ths_adjustment_nv_fund",X$3,$A49))</f>
        <v>1.8013999999999999</v>
      </c>
      <c r="Y49" s="13">
        <f>IF($A49="","",[1]!thsiFinD("ths_adjustment_nv_fund",Y$3,$A49))</f>
        <v>2.5169999999999999</v>
      </c>
      <c r="Z49" s="13">
        <f>IF($A49="","",[1]!thsiFinD("ths_adjustment_nv_fund",Z$3,$A49))</f>
        <v>1.5224878731</v>
      </c>
      <c r="AA49" s="13">
        <f>IF($A49="","",[1]!thsiFinD("ths_adjustment_nv_fund",AA$3,$A49))</f>
        <v>1.2368655419000001</v>
      </c>
    </row>
    <row r="50" spans="1:27">
      <c r="A50" s="8">
        <v>46255</v>
      </c>
      <c r="B50" s="13">
        <f>IF($A50="","",[1]!thsiFinD("ths_adjustment_nv_fund",B$3,$A50))</f>
        <v>3.4020999999999999</v>
      </c>
      <c r="C50" s="13">
        <f>IF($A50="","",[1]!thsiFinD("ths_adjustment_nv_fund",C$3,$A50))</f>
        <v>1.3201548035999999</v>
      </c>
      <c r="D50" s="13">
        <f>IF($A50="","",[1]!thsiFinD("ths_adjustment_nv_fund",D$3,$A50))</f>
        <v>4.609</v>
      </c>
      <c r="E50" s="13">
        <f>IF($A50="","",[1]!thsiFinD("ths_adjustment_nv_fund",E$3,$A50))</f>
        <v>1.8985000000000001</v>
      </c>
      <c r="F50" s="13">
        <f>IF($A50="","",[1]!thsiFinD("ths_adjustment_nv_fund",F$3,$A50))</f>
        <v>1.8439000000000001</v>
      </c>
      <c r="G50" s="13">
        <f>IF($A50="","",[1]!thsiFinD("ths_adjustment_nv_fund",G$3,$A50))</f>
        <v>3.8466999999999998</v>
      </c>
      <c r="H50" s="13">
        <f>IF($A50="","",[1]!thsiFinD("ths_adjustment_nv_fund",H$3,$A50))</f>
        <v>3.7637</v>
      </c>
      <c r="I50" s="13">
        <f>IF($A50="","",[1]!thsiFinD("ths_adjustment_nv_fund",I$3,$A50))</f>
        <v>2.3757999999999999</v>
      </c>
      <c r="J50" s="13">
        <f>IF($A50="","",[1]!thsiFinD("ths_adjustment_nv_fund",J$3,$A50))</f>
        <v>3.2094</v>
      </c>
      <c r="K50" s="13">
        <f>IF($A50="","",[1]!thsiFinD("ths_adjustment_nv_fund",K$3,$A50))</f>
        <v>3.1793</v>
      </c>
      <c r="L50" s="13">
        <f>IF($A50="","",[1]!thsiFinD("ths_adjustment_nv_fund",L$3,$A50))</f>
        <v>1.5293000000000001</v>
      </c>
      <c r="M50" s="13">
        <f>IF($A50="","",[1]!thsiFinD("ths_adjustment_nv_fund",M$3,$A50))</f>
        <v>1.5084</v>
      </c>
      <c r="N50" s="13">
        <f>IF($A50="","",[1]!thsiFinD("ths_adjustment_nv_fund",N$3,$A50))</f>
        <v>1.5251999999999999</v>
      </c>
      <c r="O50" s="13">
        <f>IF($A50="","",[1]!thsiFinD("ths_adjustment_nv_fund",O$3,$A50))</f>
        <v>1.4864999999999999</v>
      </c>
      <c r="P50" s="13">
        <f>IF($A50="","",[1]!thsiFinD("ths_adjustment_nv_fund",P$3,$A50))</f>
        <v>2.7936999999999999</v>
      </c>
      <c r="Q50" s="13">
        <f>IF($A50="","",[1]!thsiFinD("ths_adjustment_nv_fund",Q$3,$A50))</f>
        <v>3.4447000000000001</v>
      </c>
      <c r="R50" s="13">
        <f>IF($A50="","",[1]!thsiFinD("ths_adjustment_nv_fund",R$3,$A50))</f>
        <v>3.3702999999999999</v>
      </c>
      <c r="S50" s="13">
        <f>IF($A50="","",[1]!thsiFinD("ths_adjustment_nv_fund",S$3,$A50))</f>
        <v>4.5599999999999996</v>
      </c>
      <c r="T50" s="13">
        <f>IF($A50="","",[1]!thsiFinD("ths_adjustment_nv_fund",T$3,$A50))</f>
        <v>2.9129999999999998</v>
      </c>
      <c r="U50" s="13">
        <f>IF($A50="","",[1]!thsiFinD("ths_adjustment_nv_fund",U$3,$A50))</f>
        <v>2.8969999999999998</v>
      </c>
      <c r="V50" s="13">
        <f>IF($A50="","",[1]!thsiFinD("ths_adjustment_nv_fund",V$3,$A50))</f>
        <v>1.8918999999999999</v>
      </c>
      <c r="W50" s="13">
        <f>IF($A50="","",[1]!thsiFinD("ths_adjustment_nv_fund",W$3,$A50))</f>
        <v>1.8725000000000001</v>
      </c>
      <c r="X50" s="13">
        <f>IF($A50="","",[1]!thsiFinD("ths_adjustment_nv_fund",X$3,$A50))</f>
        <v>1.8010999999999999</v>
      </c>
      <c r="Y50" s="13">
        <f>IF($A50="","",[1]!thsiFinD("ths_adjustment_nv_fund",Y$3,$A50))</f>
        <v>2.5089999999999999</v>
      </c>
      <c r="Z50" s="13">
        <f>IF($A50="","",[1]!thsiFinD("ths_adjustment_nv_fund",Z$3,$A50))</f>
        <v>1.5221574003</v>
      </c>
      <c r="AA50" s="13">
        <f>IF($A50="","",[1]!thsiFinD("ths_adjustment_nv_fund",AA$3,$A50))</f>
        <v>1.2367476665999999</v>
      </c>
    </row>
    <row r="51" spans="1:27">
      <c r="A51" s="8">
        <v>46258</v>
      </c>
      <c r="B51" s="13">
        <f>IF($A51="","",[1]!thsiFinD("ths_adjustment_nv_fund",B$3,$A51))</f>
        <v>3.4737</v>
      </c>
      <c r="C51" s="13">
        <f>IF($A51="","",[1]!thsiFinD("ths_adjustment_nv_fund",C$3,$A51))</f>
        <v>1.3202856087999999</v>
      </c>
      <c r="D51" s="13">
        <f>IF($A51="","",[1]!thsiFinD("ths_adjustment_nv_fund",D$3,$A51))</f>
        <v>4.3959999999999999</v>
      </c>
      <c r="E51" s="13">
        <f>IF($A51="","",[1]!thsiFinD("ths_adjustment_nv_fund",E$3,$A51))</f>
        <v>1.8776999999999999</v>
      </c>
      <c r="F51" s="13">
        <f>IF($A51="","",[1]!thsiFinD("ths_adjustment_nv_fund",F$3,$A51))</f>
        <v>1.8234999999999999</v>
      </c>
      <c r="G51" s="13">
        <f>IF($A51="","",[1]!thsiFinD("ths_adjustment_nv_fund",G$3,$A51))</f>
        <v>3.6869999999999998</v>
      </c>
      <c r="H51" s="13">
        <f>IF($A51="","",[1]!thsiFinD("ths_adjustment_nv_fund",H$3,$A51))</f>
        <v>3.6072000000000002</v>
      </c>
      <c r="I51" s="13">
        <f>IF($A51="","",[1]!thsiFinD("ths_adjustment_nv_fund",I$3,$A51))</f>
        <v>2.2959999999999998</v>
      </c>
      <c r="J51" s="13">
        <f>IF($A51="","",[1]!thsiFinD("ths_adjustment_nv_fund",J$3,$A51))</f>
        <v>3.1677</v>
      </c>
      <c r="K51" s="13">
        <f>IF($A51="","",[1]!thsiFinD("ths_adjustment_nv_fund",K$3,$A51))</f>
        <v>3.1379000000000001</v>
      </c>
      <c r="L51" s="13">
        <f>IF($A51="","",[1]!thsiFinD("ths_adjustment_nv_fund",L$3,$A51))</f>
        <v>1.5079</v>
      </c>
      <c r="M51" s="13">
        <f>IF($A51="","",[1]!thsiFinD("ths_adjustment_nv_fund",M$3,$A51))</f>
        <v>1.4872000000000001</v>
      </c>
      <c r="N51" s="13">
        <f>IF($A51="","",[1]!thsiFinD("ths_adjustment_nv_fund",N$3,$A51))</f>
        <v>1.5015000000000001</v>
      </c>
      <c r="O51" s="13">
        <f>IF($A51="","",[1]!thsiFinD("ths_adjustment_nv_fund",O$3,$A51))</f>
        <v>1.4633</v>
      </c>
      <c r="P51" s="13">
        <f>IF($A51="","",[1]!thsiFinD("ths_adjustment_nv_fund",P$3,$A51))</f>
        <v>2.7042000000000002</v>
      </c>
      <c r="Q51" s="13">
        <f>IF($A51="","",[1]!thsiFinD("ths_adjustment_nv_fund",Q$3,$A51))</f>
        <v>3.3279000000000001</v>
      </c>
      <c r="R51" s="13">
        <f>IF($A51="","",[1]!thsiFinD("ths_adjustment_nv_fund",R$3,$A51))</f>
        <v>3.2557999999999998</v>
      </c>
      <c r="S51" s="13">
        <f>IF($A51="","",[1]!thsiFinD("ths_adjustment_nv_fund",S$3,$A51))</f>
        <v>4.3490000000000002</v>
      </c>
      <c r="T51" s="13">
        <f>IF($A51="","",[1]!thsiFinD("ths_adjustment_nv_fund",T$3,$A51))</f>
        <v>2.8913000000000002</v>
      </c>
      <c r="U51" s="13">
        <f>IF($A51="","",[1]!thsiFinD("ths_adjustment_nv_fund",U$3,$A51))</f>
        <v>2.8754</v>
      </c>
      <c r="V51" s="13">
        <f>IF($A51="","",[1]!thsiFinD("ths_adjustment_nv_fund",V$3,$A51))</f>
        <v>1.8671</v>
      </c>
      <c r="W51" s="13">
        <f>IF($A51="","",[1]!thsiFinD("ths_adjustment_nv_fund",W$3,$A51))</f>
        <v>1.8478000000000001</v>
      </c>
      <c r="X51" s="13">
        <f>IF($A51="","",[1]!thsiFinD("ths_adjustment_nv_fund",X$3,$A51))</f>
        <v>1.8024</v>
      </c>
      <c r="Y51" s="13">
        <f>IF($A51="","",[1]!thsiFinD("ths_adjustment_nv_fund",Y$3,$A51))</f>
        <v>2.4900000000000002</v>
      </c>
      <c r="Z51" s="13">
        <f>IF($A51="","",[1]!thsiFinD("ths_adjustment_nv_fund",Z$3,$A51))</f>
        <v>1.5232589760999999</v>
      </c>
      <c r="AA51" s="13">
        <f>IF($A51="","",[1]!thsiFinD("ths_adjustment_nv_fund",AA$3,$A51))</f>
        <v>1.2372191678</v>
      </c>
    </row>
    <row r="52" spans="1:27">
      <c r="A52" s="8">
        <v>46259</v>
      </c>
      <c r="B52" s="13">
        <f>IF($A52="","",[1]!thsiFinD("ths_adjustment_nv_fund",B$3,$A52))</f>
        <v>3.4613999999999998</v>
      </c>
      <c r="C52" s="13">
        <f>IF($A52="","",[1]!thsiFinD("ths_adjustment_nv_fund",C$3,$A52))</f>
        <v>1.3203302213000001</v>
      </c>
      <c r="D52" s="13">
        <f>IF($A52="","",[1]!thsiFinD("ths_adjustment_nv_fund",D$3,$A52))</f>
        <v>4.3789999999999996</v>
      </c>
      <c r="E52" s="13">
        <f>IF($A52="","",[1]!thsiFinD("ths_adjustment_nv_fund",E$3,$A52))</f>
        <v>1.8754999999999999</v>
      </c>
      <c r="F52" s="13">
        <f>IF($A52="","",[1]!thsiFinD("ths_adjustment_nv_fund",F$3,$A52))</f>
        <v>1.8213999999999999</v>
      </c>
      <c r="G52" s="13">
        <f>IF($A52="","",[1]!thsiFinD("ths_adjustment_nv_fund",G$3,$A52))</f>
        <v>3.6919</v>
      </c>
      <c r="H52" s="13">
        <f>IF($A52="","",[1]!thsiFinD("ths_adjustment_nv_fund",H$3,$A52))</f>
        <v>3.6120999999999999</v>
      </c>
      <c r="I52" s="13">
        <f>IF($A52="","",[1]!thsiFinD("ths_adjustment_nv_fund",I$3,$A52))</f>
        <v>2.2728999999999999</v>
      </c>
      <c r="J52" s="13">
        <f>IF($A52="","",[1]!thsiFinD("ths_adjustment_nv_fund",J$3,$A52))</f>
        <v>3.1072000000000002</v>
      </c>
      <c r="K52" s="13">
        <f>IF($A52="","",[1]!thsiFinD("ths_adjustment_nv_fund",K$3,$A52))</f>
        <v>3.0779999999999998</v>
      </c>
      <c r="L52" s="13">
        <f>IF($A52="","",[1]!thsiFinD("ths_adjustment_nv_fund",L$3,$A52))</f>
        <v>1.5133000000000001</v>
      </c>
      <c r="M52" s="13">
        <f>IF($A52="","",[1]!thsiFinD("ths_adjustment_nv_fund",M$3,$A52))</f>
        <v>1.4924999999999999</v>
      </c>
      <c r="N52" s="13">
        <f>IF($A52="","",[1]!thsiFinD("ths_adjustment_nv_fund",N$3,$A52))</f>
        <v>1.4951000000000001</v>
      </c>
      <c r="O52" s="13">
        <f>IF($A52="","",[1]!thsiFinD("ths_adjustment_nv_fund",O$3,$A52))</f>
        <v>1.4571000000000001</v>
      </c>
      <c r="P52" s="13">
        <f>IF($A52="","",[1]!thsiFinD("ths_adjustment_nv_fund",P$3,$A52))</f>
        <v>2.7094999999999998</v>
      </c>
      <c r="Q52" s="13">
        <f>IF($A52="","",[1]!thsiFinD("ths_adjustment_nv_fund",Q$3,$A52))</f>
        <v>3.3504999999999998</v>
      </c>
      <c r="R52" s="13">
        <f>IF($A52="","",[1]!thsiFinD("ths_adjustment_nv_fund",R$3,$A52))</f>
        <v>3.2778999999999998</v>
      </c>
      <c r="S52" s="13">
        <f>IF($A52="","",[1]!thsiFinD("ths_adjustment_nv_fund",S$3,$A52))</f>
        <v>4.3319999999999999</v>
      </c>
      <c r="T52" s="13">
        <f>IF($A52="","",[1]!thsiFinD("ths_adjustment_nv_fund",T$3,$A52))</f>
        <v>2.8268</v>
      </c>
      <c r="U52" s="13">
        <f>IF($A52="","",[1]!thsiFinD("ths_adjustment_nv_fund",U$3,$A52))</f>
        <v>2.8113000000000001</v>
      </c>
      <c r="V52" s="13">
        <f>IF($A52="","",[1]!thsiFinD("ths_adjustment_nv_fund",V$3,$A52))</f>
        <v>1.8891</v>
      </c>
      <c r="W52" s="13">
        <f>IF($A52="","",[1]!thsiFinD("ths_adjustment_nv_fund",W$3,$A52))</f>
        <v>1.8695999999999999</v>
      </c>
      <c r="X52" s="13">
        <f>IF($A52="","",[1]!thsiFinD("ths_adjustment_nv_fund",X$3,$A52))</f>
        <v>1.8022</v>
      </c>
      <c r="Y52" s="13">
        <f>IF($A52="","",[1]!thsiFinD("ths_adjustment_nv_fund",Y$3,$A52))</f>
        <v>2.4180000000000001</v>
      </c>
      <c r="Z52" s="13">
        <f>IF($A52="","",[1]!thsiFinD("ths_adjustment_nv_fund",Z$3,$A52))</f>
        <v>1.5227081882</v>
      </c>
      <c r="AA52" s="13">
        <f>IF($A52="","",[1]!thsiFinD("ths_adjustment_nv_fund",AA$3,$A52))</f>
        <v>1.2369834172</v>
      </c>
    </row>
    <row r="53" spans="1:27">
      <c r="A53" s="8">
        <v>46260</v>
      </c>
      <c r="B53" s="13">
        <f>IF($A53="","",[1]!thsiFinD("ths_adjustment_nv_fund",B$3,$A53))</f>
        <v>3.4626999999999999</v>
      </c>
      <c r="C53" s="13">
        <f>IF($A53="","",[1]!thsiFinD("ths_adjustment_nv_fund",C$3,$A53))</f>
        <v>1.3203728547</v>
      </c>
      <c r="D53" s="13">
        <f>IF($A53="","",[1]!thsiFinD("ths_adjustment_nv_fund",D$3,$A53))</f>
        <v>4.375</v>
      </c>
      <c r="E53" s="13">
        <f>IF($A53="","",[1]!thsiFinD("ths_adjustment_nv_fund",E$3,$A53))</f>
        <v>1.8876999999999999</v>
      </c>
      <c r="F53" s="13">
        <f>IF($A53="","",[1]!thsiFinD("ths_adjustment_nv_fund",F$3,$A53))</f>
        <v>1.8332999999999999</v>
      </c>
      <c r="G53" s="13">
        <f>IF($A53="","",[1]!thsiFinD("ths_adjustment_nv_fund",G$3,$A53))</f>
        <v>3.6886999999999999</v>
      </c>
      <c r="H53" s="13">
        <f>IF($A53="","",[1]!thsiFinD("ths_adjustment_nv_fund",H$3,$A53))</f>
        <v>3.6089000000000002</v>
      </c>
      <c r="I53" s="13">
        <f>IF($A53="","",[1]!thsiFinD("ths_adjustment_nv_fund",I$3,$A53))</f>
        <v>2.3079000000000001</v>
      </c>
      <c r="J53" s="13">
        <f>IF($A53="","",[1]!thsiFinD("ths_adjustment_nv_fund",J$3,$A53))</f>
        <v>3.1945999999999999</v>
      </c>
      <c r="K53" s="13">
        <f>IF($A53="","",[1]!thsiFinD("ths_adjustment_nv_fund",K$3,$A53))</f>
        <v>3.1644999999999999</v>
      </c>
      <c r="L53" s="13">
        <f>IF($A53="","",[1]!thsiFinD("ths_adjustment_nv_fund",L$3,$A53))</f>
        <v>1.5162</v>
      </c>
      <c r="M53" s="13">
        <f>IF($A53="","",[1]!thsiFinD("ths_adjustment_nv_fund",M$3,$A53))</f>
        <v>1.4954000000000001</v>
      </c>
      <c r="N53" s="13">
        <f>IF($A53="","",[1]!thsiFinD("ths_adjustment_nv_fund",N$3,$A53))</f>
        <v>1.5056</v>
      </c>
      <c r="O53" s="13">
        <f>IF($A53="","",[1]!thsiFinD("ths_adjustment_nv_fund",O$3,$A53))</f>
        <v>1.4673</v>
      </c>
      <c r="P53" s="13">
        <f>IF($A53="","",[1]!thsiFinD("ths_adjustment_nv_fund",P$3,$A53))</f>
        <v>2.7143999999999999</v>
      </c>
      <c r="Q53" s="13">
        <f>IF($A53="","",[1]!thsiFinD("ths_adjustment_nv_fund",Q$3,$A53))</f>
        <v>3.3458000000000001</v>
      </c>
      <c r="R53" s="13">
        <f>IF($A53="","",[1]!thsiFinD("ths_adjustment_nv_fund",R$3,$A53))</f>
        <v>3.2732000000000001</v>
      </c>
      <c r="S53" s="13">
        <f>IF($A53="","",[1]!thsiFinD("ths_adjustment_nv_fund",S$3,$A53))</f>
        <v>4.3280000000000003</v>
      </c>
      <c r="T53" s="13">
        <f>IF($A53="","",[1]!thsiFinD("ths_adjustment_nv_fund",T$3,$A53))</f>
        <v>2.8679000000000001</v>
      </c>
      <c r="U53" s="13">
        <f>IF($A53="","",[1]!thsiFinD("ths_adjustment_nv_fund",U$3,$A53))</f>
        <v>2.8521000000000001</v>
      </c>
      <c r="V53" s="13">
        <f>IF($A53="","",[1]!thsiFinD("ths_adjustment_nv_fund",V$3,$A53))</f>
        <v>1.8855</v>
      </c>
      <c r="W53" s="13">
        <f>IF($A53="","",[1]!thsiFinD("ths_adjustment_nv_fund",W$3,$A53))</f>
        <v>1.8660000000000001</v>
      </c>
      <c r="X53" s="13">
        <f>IF($A53="","",[1]!thsiFinD("ths_adjustment_nv_fund",X$3,$A53))</f>
        <v>1.8017000000000001</v>
      </c>
      <c r="Y53" s="13">
        <f>IF($A53="","",[1]!thsiFinD("ths_adjustment_nv_fund",Y$3,$A53))</f>
        <v>2.464</v>
      </c>
      <c r="Z53" s="13">
        <f>IF($A53="","",[1]!thsiFinD("ths_adjustment_nv_fund",Z$3,$A53))</f>
        <v>1.5219370852</v>
      </c>
      <c r="AA53" s="13">
        <f>IF($A53="","",[1]!thsiFinD("ths_adjustment_nv_fund",AA$3,$A53))</f>
        <v>1.236511916</v>
      </c>
    </row>
    <row r="54" spans="1:27">
      <c r="A54" s="8">
        <v>46261</v>
      </c>
      <c r="B54" s="13">
        <f>IF($A54="","",[1]!thsiFinD("ths_adjustment_nv_fund",B$3,$A54))</f>
        <v>3.4346000000000001</v>
      </c>
      <c r="C54" s="13">
        <f>IF($A54="","",[1]!thsiFinD("ths_adjustment_nv_fund",C$3,$A54))</f>
        <v>1.3204170740000001</v>
      </c>
      <c r="D54" s="13">
        <f>IF($A54="","",[1]!thsiFinD("ths_adjustment_nv_fund",D$3,$A54))</f>
        <v>4.5510000000000002</v>
      </c>
      <c r="E54" s="13">
        <f>IF($A54="","",[1]!thsiFinD("ths_adjustment_nv_fund",E$3,$A54))</f>
        <v>1.9118999999999999</v>
      </c>
      <c r="F54" s="13">
        <f>IF($A54="","",[1]!thsiFinD("ths_adjustment_nv_fund",F$3,$A54))</f>
        <v>1.8567</v>
      </c>
      <c r="G54" s="13">
        <f>IF($A54="","",[1]!thsiFinD("ths_adjustment_nv_fund",G$3,$A54))</f>
        <v>3.8449</v>
      </c>
      <c r="H54" s="13">
        <f>IF($A54="","",[1]!thsiFinD("ths_adjustment_nv_fund",H$3,$A54))</f>
        <v>3.7616999999999998</v>
      </c>
      <c r="I54" s="13">
        <f>IF($A54="","",[1]!thsiFinD("ths_adjustment_nv_fund",I$3,$A54))</f>
        <v>2.3946999999999998</v>
      </c>
      <c r="J54" s="13">
        <f>IF($A54="","",[1]!thsiFinD("ths_adjustment_nv_fund",J$3,$A54))</f>
        <v>3.2839999999999998</v>
      </c>
      <c r="K54" s="13">
        <f>IF($A54="","",[1]!thsiFinD("ths_adjustment_nv_fund",K$3,$A54))</f>
        <v>3.2530000000000001</v>
      </c>
      <c r="L54" s="13">
        <f>IF($A54="","",[1]!thsiFinD("ths_adjustment_nv_fund",L$3,$A54))</f>
        <v>1.5505</v>
      </c>
      <c r="M54" s="13">
        <f>IF($A54="","",[1]!thsiFinD("ths_adjustment_nv_fund",M$3,$A54))</f>
        <v>1.5291999999999999</v>
      </c>
      <c r="N54" s="13">
        <f>IF($A54="","",[1]!thsiFinD("ths_adjustment_nv_fund",N$3,$A54))</f>
        <v>1.5455000000000001</v>
      </c>
      <c r="O54" s="13">
        <f>IF($A54="","",[1]!thsiFinD("ths_adjustment_nv_fund",O$3,$A54))</f>
        <v>1.5062</v>
      </c>
      <c r="P54" s="13">
        <f>IF($A54="","",[1]!thsiFinD("ths_adjustment_nv_fund",P$3,$A54))</f>
        <v>2.8607999999999998</v>
      </c>
      <c r="Q54" s="13">
        <f>IF($A54="","",[1]!thsiFinD("ths_adjustment_nv_fund",Q$3,$A54))</f>
        <v>3.5146999999999999</v>
      </c>
      <c r="R54" s="13">
        <f>IF($A54="","",[1]!thsiFinD("ths_adjustment_nv_fund",R$3,$A54))</f>
        <v>3.4384999999999999</v>
      </c>
      <c r="S54" s="13">
        <f>IF($A54="","",[1]!thsiFinD("ths_adjustment_nv_fund",S$3,$A54))</f>
        <v>4.5030000000000001</v>
      </c>
      <c r="T54" s="13">
        <f>IF($A54="","",[1]!thsiFinD("ths_adjustment_nv_fund",T$3,$A54))</f>
        <v>2.9638</v>
      </c>
      <c r="U54" s="13">
        <f>IF($A54="","",[1]!thsiFinD("ths_adjustment_nv_fund",U$3,$A54))</f>
        <v>2.9474</v>
      </c>
      <c r="V54" s="13">
        <f>IF($A54="","",[1]!thsiFinD("ths_adjustment_nv_fund",V$3,$A54))</f>
        <v>1.923</v>
      </c>
      <c r="W54" s="13">
        <f>IF($A54="","",[1]!thsiFinD("ths_adjustment_nv_fund",W$3,$A54))</f>
        <v>1.9031</v>
      </c>
      <c r="X54" s="13">
        <f>IF($A54="","",[1]!thsiFinD("ths_adjustment_nv_fund",X$3,$A54))</f>
        <v>1.8003</v>
      </c>
      <c r="Y54" s="13">
        <f>IF($A54="","",[1]!thsiFinD("ths_adjustment_nv_fund",Y$3,$A54))</f>
        <v>2.5529999999999999</v>
      </c>
      <c r="Z54" s="13">
        <f>IF($A54="","",[1]!thsiFinD("ths_adjustment_nv_fund",Z$3,$A54))</f>
        <v>1.5201745638999999</v>
      </c>
      <c r="AA54" s="13">
        <f>IF($A54="","",[1]!thsiFinD("ths_adjustment_nv_fund",AA$3,$A54))</f>
        <v>1.2358046642</v>
      </c>
    </row>
    <row r="55" spans="1:27">
      <c r="A55" s="8">
        <v>46262</v>
      </c>
      <c r="B55" s="13">
        <f>IF($A55="","",[1]!thsiFinD("ths_adjustment_nv_fund",B$3,$A55))</f>
        <v>3.4416000000000002</v>
      </c>
      <c r="C55" s="13">
        <f>IF($A55="","",[1]!thsiFinD("ths_adjustment_nv_fund",C$3,$A55))</f>
        <v>1.3204607533999999</v>
      </c>
      <c r="D55" s="13">
        <f>IF($A55="","",[1]!thsiFinD("ths_adjustment_nv_fund",D$3,$A55))</f>
        <v>4.4800000000000004</v>
      </c>
      <c r="E55" s="13">
        <f>IF($A55="","",[1]!thsiFinD("ths_adjustment_nv_fund",E$3,$A55))</f>
        <v>1.9029</v>
      </c>
      <c r="F55" s="13">
        <f>IF($A55="","",[1]!thsiFinD("ths_adjustment_nv_fund",F$3,$A55))</f>
        <v>1.8480000000000001</v>
      </c>
      <c r="G55" s="13">
        <f>IF($A55="","",[1]!thsiFinD("ths_adjustment_nv_fund",G$3,$A55))</f>
        <v>3.7961999999999998</v>
      </c>
      <c r="H55" s="13">
        <f>IF($A55="","",[1]!thsiFinD("ths_adjustment_nv_fund",H$3,$A55))</f>
        <v>3.714</v>
      </c>
      <c r="I55" s="13">
        <f>IF($A55="","",[1]!thsiFinD("ths_adjustment_nv_fund",I$3,$A55))</f>
        <v>2.3496000000000001</v>
      </c>
      <c r="J55" s="13">
        <f>IF($A55="","",[1]!thsiFinD("ths_adjustment_nv_fund",J$3,$A55))</f>
        <v>3.2017000000000002</v>
      </c>
      <c r="K55" s="13">
        <f>IF($A55="","",[1]!thsiFinD("ths_adjustment_nv_fund",K$3,$A55))</f>
        <v>3.1715</v>
      </c>
      <c r="L55" s="13">
        <f>IF($A55="","",[1]!thsiFinD("ths_adjustment_nv_fund",L$3,$A55))</f>
        <v>1.5538000000000001</v>
      </c>
      <c r="M55" s="13">
        <f>IF($A55="","",[1]!thsiFinD("ths_adjustment_nv_fund",M$3,$A55))</f>
        <v>1.5324</v>
      </c>
      <c r="N55" s="13">
        <f>IF($A55="","",[1]!thsiFinD("ths_adjustment_nv_fund",N$3,$A55))</f>
        <v>1.5366</v>
      </c>
      <c r="O55" s="13">
        <f>IF($A55="","",[1]!thsiFinD("ths_adjustment_nv_fund",O$3,$A55))</f>
        <v>1.4974000000000001</v>
      </c>
      <c r="P55" s="13">
        <f>IF($A55="","",[1]!thsiFinD("ths_adjustment_nv_fund",P$3,$A55))</f>
        <v>2.8159999999999998</v>
      </c>
      <c r="Q55" s="13">
        <f>IF($A55="","",[1]!thsiFinD("ths_adjustment_nv_fund",Q$3,$A55))</f>
        <v>3.4329999999999998</v>
      </c>
      <c r="R55" s="13">
        <f>IF($A55="","",[1]!thsiFinD("ths_adjustment_nv_fund",R$3,$A55))</f>
        <v>3.3584999999999998</v>
      </c>
      <c r="S55" s="13">
        <f>IF($A55="","",[1]!thsiFinD("ths_adjustment_nv_fund",S$3,$A55))</f>
        <v>4.4329999999999998</v>
      </c>
      <c r="T55" s="13">
        <f>IF($A55="","",[1]!thsiFinD("ths_adjustment_nv_fund",T$3,$A55))</f>
        <v>2.8860000000000001</v>
      </c>
      <c r="U55" s="13">
        <f>IF($A55="","",[1]!thsiFinD("ths_adjustment_nv_fund",U$3,$A55))</f>
        <v>2.87</v>
      </c>
      <c r="V55" s="13">
        <f>IF($A55="","",[1]!thsiFinD("ths_adjustment_nv_fund",V$3,$A55))</f>
        <v>1.9195</v>
      </c>
      <c r="W55" s="13">
        <f>IF($A55="","",[1]!thsiFinD("ths_adjustment_nv_fund",W$3,$A55))</f>
        <v>1.8996</v>
      </c>
      <c r="X55" s="13">
        <f>IF($A55="","",[1]!thsiFinD("ths_adjustment_nv_fund",X$3,$A55))</f>
        <v>1.8001</v>
      </c>
      <c r="Y55" s="13">
        <f>IF($A55="","",[1]!thsiFinD("ths_adjustment_nv_fund",Y$3,$A55))</f>
        <v>2.4889999999999999</v>
      </c>
      <c r="Z55" s="13">
        <f>IF($A55="","",[1]!thsiFinD("ths_adjustment_nv_fund",Z$3,$A55))</f>
        <v>1.5202847214999999</v>
      </c>
      <c r="AA55" s="13">
        <f>IF($A55="","",[1]!thsiFinD("ths_adjustment_nv_fund",AA$3,$A55))</f>
        <v>1.2360404147999999</v>
      </c>
    </row>
    <row r="56" spans="1:27">
      <c r="A56" s="8">
        <v>46265</v>
      </c>
      <c r="B56" s="13">
        <f>IF($A56="","",[1]!thsiFinD("ths_adjustment_nv_fund",B$3,$A56))</f>
        <v>3.3302</v>
      </c>
      <c r="C56" s="13">
        <f>IF($A56="","",[1]!thsiFinD("ths_adjustment_nv_fund",C$3,$A56))</f>
        <v>1.3205923417000001</v>
      </c>
      <c r="D56" s="13">
        <f>IF($A56="","",[1]!thsiFinD("ths_adjustment_nv_fund",D$3,$A56))</f>
        <v>4.5330000000000004</v>
      </c>
      <c r="E56" s="13">
        <f>IF($A56="","",[1]!thsiFinD("ths_adjustment_nv_fund",E$3,$A56))</f>
        <v>1.9157</v>
      </c>
      <c r="F56" s="13">
        <f>IF($A56="","",[1]!thsiFinD("ths_adjustment_nv_fund",F$3,$A56))</f>
        <v>1.8603000000000001</v>
      </c>
      <c r="G56" s="13">
        <f>IF($A56="","",[1]!thsiFinD("ths_adjustment_nv_fund",G$3,$A56))</f>
        <v>3.8214999999999999</v>
      </c>
      <c r="H56" s="13">
        <f>IF($A56="","",[1]!thsiFinD("ths_adjustment_nv_fund",H$3,$A56))</f>
        <v>3.7385999999999999</v>
      </c>
      <c r="I56" s="13">
        <f>IF($A56="","",[1]!thsiFinD("ths_adjustment_nv_fund",I$3,$A56))</f>
        <v>2.3885999999999998</v>
      </c>
      <c r="J56" s="13">
        <f>IF($A56="","",[1]!thsiFinD("ths_adjustment_nv_fund",J$3,$A56))</f>
        <v>3.2078000000000002</v>
      </c>
      <c r="K56" s="13">
        <f>IF($A56="","",[1]!thsiFinD("ths_adjustment_nv_fund",K$3,$A56))</f>
        <v>3.1775000000000002</v>
      </c>
      <c r="L56" s="13">
        <f>IF($A56="","",[1]!thsiFinD("ths_adjustment_nv_fund",L$3,$A56))</f>
        <v>1.5679000000000001</v>
      </c>
      <c r="M56" s="13">
        <f>IF($A56="","",[1]!thsiFinD("ths_adjustment_nv_fund",M$3,$A56))</f>
        <v>1.5462</v>
      </c>
      <c r="N56" s="13">
        <f>IF($A56="","",[1]!thsiFinD("ths_adjustment_nv_fund",N$3,$A56))</f>
        <v>1.5526</v>
      </c>
      <c r="O56" s="13">
        <f>IF($A56="","",[1]!thsiFinD("ths_adjustment_nv_fund",O$3,$A56))</f>
        <v>1.5129999999999999</v>
      </c>
      <c r="P56" s="13">
        <f>IF($A56="","",[1]!thsiFinD("ths_adjustment_nv_fund",P$3,$A56))</f>
        <v>2.8172999999999999</v>
      </c>
      <c r="Q56" s="13">
        <f>IF($A56="","",[1]!thsiFinD("ths_adjustment_nv_fund",Q$3,$A56))</f>
        <v>3.4592000000000001</v>
      </c>
      <c r="R56" s="13">
        <f>IF($A56="","",[1]!thsiFinD("ths_adjustment_nv_fund",R$3,$A56))</f>
        <v>3.3839000000000001</v>
      </c>
      <c r="S56" s="13">
        <f>IF($A56="","",[1]!thsiFinD("ths_adjustment_nv_fund",S$3,$A56))</f>
        <v>4.484</v>
      </c>
      <c r="T56" s="13">
        <f>IF($A56="","",[1]!thsiFinD("ths_adjustment_nv_fund",T$3,$A56))</f>
        <v>2.8959000000000001</v>
      </c>
      <c r="U56" s="13">
        <f>IF($A56="","",[1]!thsiFinD("ths_adjustment_nv_fund",U$3,$A56))</f>
        <v>2.8797999999999999</v>
      </c>
      <c r="V56" s="13">
        <f>IF($A56="","",[1]!thsiFinD("ths_adjustment_nv_fund",V$3,$A56))</f>
        <v>1.9409000000000001</v>
      </c>
      <c r="W56" s="13">
        <f>IF($A56="","",[1]!thsiFinD("ths_adjustment_nv_fund",W$3,$A56))</f>
        <v>1.9207000000000001</v>
      </c>
      <c r="X56" s="13">
        <f>IF($A56="","",[1]!thsiFinD("ths_adjustment_nv_fund",X$3,$A56))</f>
        <v>1.8006</v>
      </c>
      <c r="Y56" s="13">
        <f>IF($A56="","",[1]!thsiFinD("ths_adjustment_nv_fund",Y$3,$A56))</f>
        <v>2.512</v>
      </c>
      <c r="Z56" s="13">
        <f>IF($A56="","",[1]!thsiFinD("ths_adjustment_nv_fund",Z$3,$A56))</f>
        <v>1.5210558246000001</v>
      </c>
      <c r="AA56" s="13">
        <f>IF($A56="","",[1]!thsiFinD("ths_adjustment_nv_fund",AA$3,$A56))</f>
        <v>1.2362761654000001</v>
      </c>
    </row>
    <row r="57" spans="1:27">
      <c r="A57" s="8">
        <v>46266</v>
      </c>
      <c r="B57" s="13">
        <f>IF($A57="","",[1]!thsiFinD("ths_adjustment_nv_fund",B$3,$A57))</f>
        <v>3.3144</v>
      </c>
      <c r="C57" s="13">
        <f>IF($A57="","",[1]!thsiFinD("ths_adjustment_nv_fund",C$3,$A57))</f>
        <v>1.3206350364999999</v>
      </c>
      <c r="D57" s="13">
        <f>IF($A57="","",[1]!thsiFinD("ths_adjustment_nv_fund",D$3,$A57))</f>
        <v>4.4180000000000001</v>
      </c>
      <c r="E57" s="13">
        <f>IF($A57="","",[1]!thsiFinD("ths_adjustment_nv_fund",E$3,$A57))</f>
        <v>1.9057999999999999</v>
      </c>
      <c r="F57" s="13">
        <f>IF($A57="","",[1]!thsiFinD("ths_adjustment_nv_fund",F$3,$A57))</f>
        <v>1.8507</v>
      </c>
      <c r="G57" s="13">
        <f>IF($A57="","",[1]!thsiFinD("ths_adjustment_nv_fund",G$3,$A57))</f>
        <v>3.7669999999999999</v>
      </c>
      <c r="H57" s="13">
        <f>IF($A57="","",[1]!thsiFinD("ths_adjustment_nv_fund",H$3,$A57))</f>
        <v>3.6852999999999998</v>
      </c>
      <c r="I57" s="13">
        <f>IF($A57="","",[1]!thsiFinD("ths_adjustment_nv_fund",I$3,$A57))</f>
        <v>2.3300999999999998</v>
      </c>
      <c r="J57" s="13">
        <f>IF($A57="","",[1]!thsiFinD("ths_adjustment_nv_fund",J$3,$A57))</f>
        <v>3.0737000000000001</v>
      </c>
      <c r="K57" s="13">
        <f>IF($A57="","",[1]!thsiFinD("ths_adjustment_nv_fund",K$3,$A57))</f>
        <v>3.0447000000000002</v>
      </c>
      <c r="L57" s="13">
        <f>IF($A57="","",[1]!thsiFinD("ths_adjustment_nv_fund",L$3,$A57))</f>
        <v>1.5539000000000001</v>
      </c>
      <c r="M57" s="13">
        <f>IF($A57="","",[1]!thsiFinD("ths_adjustment_nv_fund",M$3,$A57))</f>
        <v>1.5325</v>
      </c>
      <c r="N57" s="13">
        <f>IF($A57="","",[1]!thsiFinD("ths_adjustment_nv_fund",N$3,$A57))</f>
        <v>1.5357000000000001</v>
      </c>
      <c r="O57" s="13">
        <f>IF($A57="","",[1]!thsiFinD("ths_adjustment_nv_fund",O$3,$A57))</f>
        <v>1.4964999999999999</v>
      </c>
      <c r="P57" s="13">
        <f>IF($A57="","",[1]!thsiFinD("ths_adjustment_nv_fund",P$3,$A57))</f>
        <v>2.7421000000000002</v>
      </c>
      <c r="Q57" s="13">
        <f>IF($A57="","",[1]!thsiFinD("ths_adjustment_nv_fund",Q$3,$A57))</f>
        <v>3.3759000000000001</v>
      </c>
      <c r="R57" s="13">
        <f>IF($A57="","",[1]!thsiFinD("ths_adjustment_nv_fund",R$3,$A57))</f>
        <v>3.3024</v>
      </c>
      <c r="S57" s="13">
        <f>IF($A57="","",[1]!thsiFinD("ths_adjustment_nv_fund",S$3,$A57))</f>
        <v>4.37</v>
      </c>
      <c r="T57" s="13">
        <f>IF($A57="","",[1]!thsiFinD("ths_adjustment_nv_fund",T$3,$A57))</f>
        <v>2.7932999999999999</v>
      </c>
      <c r="U57" s="13">
        <f>IF($A57="","",[1]!thsiFinD("ths_adjustment_nv_fund",U$3,$A57))</f>
        <v>2.7778</v>
      </c>
      <c r="V57" s="13">
        <f>IF($A57="","",[1]!thsiFinD("ths_adjustment_nv_fund",V$3,$A57))</f>
        <v>1.9325000000000001</v>
      </c>
      <c r="W57" s="13">
        <f>IF($A57="","",[1]!thsiFinD("ths_adjustment_nv_fund",W$3,$A57))</f>
        <v>1.9124000000000001</v>
      </c>
      <c r="X57" s="13">
        <f>IF($A57="","",[1]!thsiFinD("ths_adjustment_nv_fund",X$3,$A57))</f>
        <v>1.8019000000000001</v>
      </c>
      <c r="Y57" s="13">
        <f>IF($A57="","",[1]!thsiFinD("ths_adjustment_nv_fund",Y$3,$A57))</f>
        <v>2.4209999999999998</v>
      </c>
      <c r="Z57" s="13">
        <f>IF($A57="","",[1]!thsiFinD("ths_adjustment_nv_fund",Z$3,$A57))</f>
        <v>1.5223777155</v>
      </c>
      <c r="AA57" s="13">
        <f>IF($A57="","",[1]!thsiFinD("ths_adjustment_nv_fund",AA$3,$A57))</f>
        <v>1.2368655419000001</v>
      </c>
    </row>
    <row r="58" spans="1:27">
      <c r="A58" s="8">
        <v>46267</v>
      </c>
      <c r="B58" s="13">
        <f>IF($A58="","",[1]!thsiFinD("ths_adjustment_nv_fund",B$3,$A58))</f>
        <v>3.2431000000000001</v>
      </c>
      <c r="C58" s="13">
        <f>IF($A58="","",[1]!thsiFinD("ths_adjustment_nv_fund",C$3,$A58))</f>
        <v>1.3206790796000001</v>
      </c>
      <c r="D58" s="13">
        <f>IF($A58="","",[1]!thsiFinD("ths_adjustment_nv_fund",D$3,$A58))</f>
        <v>4.3330000000000002</v>
      </c>
      <c r="E58" s="13">
        <f>IF($A58="","",[1]!thsiFinD("ths_adjustment_nv_fund",E$3,$A58))</f>
        <v>1.8818999999999999</v>
      </c>
      <c r="F58" s="13">
        <f>IF($A58="","",[1]!thsiFinD("ths_adjustment_nv_fund",F$3,$A58))</f>
        <v>1.8273999999999999</v>
      </c>
      <c r="G58" s="13">
        <f>IF($A58="","",[1]!thsiFinD("ths_adjustment_nv_fund",G$3,$A58))</f>
        <v>3.6920999999999999</v>
      </c>
      <c r="H58" s="13">
        <f>IF($A58="","",[1]!thsiFinD("ths_adjustment_nv_fund",H$3,$A58))</f>
        <v>3.6120000000000001</v>
      </c>
      <c r="I58" s="13">
        <f>IF($A58="","",[1]!thsiFinD("ths_adjustment_nv_fund",I$3,$A58))</f>
        <v>2.2863000000000002</v>
      </c>
      <c r="J58" s="13">
        <f>IF($A58="","",[1]!thsiFinD("ths_adjustment_nv_fund",J$3,$A58))</f>
        <v>3.0280999999999998</v>
      </c>
      <c r="K58" s="13">
        <f>IF($A58="","",[1]!thsiFinD("ths_adjustment_nv_fund",K$3,$A58))</f>
        <v>2.9994999999999998</v>
      </c>
      <c r="L58" s="13">
        <f>IF($A58="","",[1]!thsiFinD("ths_adjustment_nv_fund",L$3,$A58))</f>
        <v>1.5303</v>
      </c>
      <c r="M58" s="13">
        <f>IF($A58="","",[1]!thsiFinD("ths_adjustment_nv_fund",M$3,$A58))</f>
        <v>1.5091000000000001</v>
      </c>
      <c r="N58" s="13">
        <f>IF($A58="","",[1]!thsiFinD("ths_adjustment_nv_fund",N$3,$A58))</f>
        <v>1.5087999999999999</v>
      </c>
      <c r="O58" s="13">
        <f>IF($A58="","",[1]!thsiFinD("ths_adjustment_nv_fund",O$3,$A58))</f>
        <v>1.4702</v>
      </c>
      <c r="P58" s="13">
        <f>IF($A58="","",[1]!thsiFinD("ths_adjustment_nv_fund",P$3,$A58))</f>
        <v>2.7078000000000002</v>
      </c>
      <c r="Q58" s="13">
        <f>IF($A58="","",[1]!thsiFinD("ths_adjustment_nv_fund",Q$3,$A58))</f>
        <v>3.3207</v>
      </c>
      <c r="R58" s="13">
        <f>IF($A58="","",[1]!thsiFinD("ths_adjustment_nv_fund",R$3,$A58))</f>
        <v>3.2483</v>
      </c>
      <c r="S58" s="13">
        <f>IF($A58="","",[1]!thsiFinD("ths_adjustment_nv_fund",S$3,$A58))</f>
        <v>4.2859999999999996</v>
      </c>
      <c r="T58" s="13">
        <f>IF($A58="","",[1]!thsiFinD("ths_adjustment_nv_fund",T$3,$A58))</f>
        <v>2.7505999999999999</v>
      </c>
      <c r="U58" s="13">
        <f>IF($A58="","",[1]!thsiFinD("ths_adjustment_nv_fund",U$3,$A58))</f>
        <v>2.7353999999999998</v>
      </c>
      <c r="V58" s="13">
        <f>IF($A58="","",[1]!thsiFinD("ths_adjustment_nv_fund",V$3,$A58))</f>
        <v>1.9191</v>
      </c>
      <c r="W58" s="13">
        <f>IF($A58="","",[1]!thsiFinD("ths_adjustment_nv_fund",W$3,$A58))</f>
        <v>1.8991</v>
      </c>
      <c r="X58" s="13">
        <f>IF($A58="","",[1]!thsiFinD("ths_adjustment_nv_fund",X$3,$A58))</f>
        <v>1.8015000000000001</v>
      </c>
      <c r="Y58" s="13">
        <f>IF($A58="","",[1]!thsiFinD("ths_adjustment_nv_fund",Y$3,$A58))</f>
        <v>2.3740000000000001</v>
      </c>
      <c r="Z58" s="13">
        <f>IF($A58="","",[1]!thsiFinD("ths_adjustment_nv_fund",Z$3,$A58))</f>
        <v>1.5219370852</v>
      </c>
      <c r="AA58" s="13">
        <f>IF($A58="","",[1]!thsiFinD("ths_adjustment_nv_fund",AA$3,$A58))</f>
        <v>1.2367471362</v>
      </c>
    </row>
    <row r="59" spans="1:27">
      <c r="A59" s="8">
        <v>46268</v>
      </c>
      <c r="B59" s="13">
        <f>IF($A59="","",[1]!thsiFinD("ths_adjustment_nv_fund",B$3,$A59))</f>
        <v>3.3109999999999999</v>
      </c>
      <c r="C59" s="13">
        <f>IF($A59="","",[1]!thsiFinD("ths_adjustment_nv_fund",C$3,$A59))</f>
        <v>1.3207232828</v>
      </c>
      <c r="D59" s="13">
        <f>IF($A59="","",[1]!thsiFinD("ths_adjustment_nv_fund",D$3,$A59))</f>
        <v>4.3380000000000001</v>
      </c>
      <c r="E59" s="13">
        <f>IF($A59="","",[1]!thsiFinD("ths_adjustment_nv_fund",E$3,$A59))</f>
        <v>1.8842000000000001</v>
      </c>
      <c r="F59" s="13">
        <f>IF($A59="","",[1]!thsiFinD("ths_adjustment_nv_fund",F$3,$A59))</f>
        <v>1.8297000000000001</v>
      </c>
      <c r="G59" s="13">
        <f>IF($A59="","",[1]!thsiFinD("ths_adjustment_nv_fund",G$3,$A59))</f>
        <v>3.6829999999999998</v>
      </c>
      <c r="H59" s="13">
        <f>IF($A59="","",[1]!thsiFinD("ths_adjustment_nv_fund",H$3,$A59))</f>
        <v>3.6031</v>
      </c>
      <c r="I59" s="13">
        <f>IF($A59="","",[1]!thsiFinD("ths_adjustment_nv_fund",I$3,$A59))</f>
        <v>2.2692999999999999</v>
      </c>
      <c r="J59" s="13">
        <f>IF($A59="","",[1]!thsiFinD("ths_adjustment_nv_fund",J$3,$A59))</f>
        <v>2.9937</v>
      </c>
      <c r="K59" s="13">
        <f>IF($A59="","",[1]!thsiFinD("ths_adjustment_nv_fund",K$3,$A59))</f>
        <v>2.9653999999999998</v>
      </c>
      <c r="L59" s="13">
        <f>IF($A59="","",[1]!thsiFinD("ths_adjustment_nv_fund",L$3,$A59))</f>
        <v>1.5382</v>
      </c>
      <c r="M59" s="13">
        <f>IF($A59="","",[1]!thsiFinD("ths_adjustment_nv_fund",M$3,$A59))</f>
        <v>1.5169999999999999</v>
      </c>
      <c r="N59" s="13">
        <f>IF($A59="","",[1]!thsiFinD("ths_adjustment_nv_fund",N$3,$A59))</f>
        <v>1.5130999999999999</v>
      </c>
      <c r="O59" s="13">
        <f>IF($A59="","",[1]!thsiFinD("ths_adjustment_nv_fund",O$3,$A59))</f>
        <v>1.4743999999999999</v>
      </c>
      <c r="P59" s="13">
        <f>IF($A59="","",[1]!thsiFinD("ths_adjustment_nv_fund",P$3,$A59))</f>
        <v>2.7155</v>
      </c>
      <c r="Q59" s="13">
        <f>IF($A59="","",[1]!thsiFinD("ths_adjustment_nv_fund",Q$3,$A59))</f>
        <v>3.3153999999999999</v>
      </c>
      <c r="R59" s="13">
        <f>IF($A59="","",[1]!thsiFinD("ths_adjustment_nv_fund",R$3,$A59))</f>
        <v>3.2429999999999999</v>
      </c>
      <c r="S59" s="13">
        <f>IF($A59="","",[1]!thsiFinD("ths_adjustment_nv_fund",S$3,$A59))</f>
        <v>4.2910000000000004</v>
      </c>
      <c r="T59" s="13">
        <f>IF($A59="","",[1]!thsiFinD("ths_adjustment_nv_fund",T$3,$A59))</f>
        <v>2.7216999999999998</v>
      </c>
      <c r="U59" s="13">
        <f>IF($A59="","",[1]!thsiFinD("ths_adjustment_nv_fund",U$3,$A59))</f>
        <v>2.7065999999999999</v>
      </c>
      <c r="V59" s="13">
        <f>IF($A59="","",[1]!thsiFinD("ths_adjustment_nv_fund",V$3,$A59))</f>
        <v>1.9227000000000001</v>
      </c>
      <c r="W59" s="13">
        <f>IF($A59="","",[1]!thsiFinD("ths_adjustment_nv_fund",W$3,$A59))</f>
        <v>1.9026000000000001</v>
      </c>
      <c r="X59" s="13">
        <f>IF($A59="","",[1]!thsiFinD("ths_adjustment_nv_fund",X$3,$A59))</f>
        <v>1.8027</v>
      </c>
      <c r="Y59" s="13">
        <f>IF($A59="","",[1]!thsiFinD("ths_adjustment_nv_fund",Y$3,$A59))</f>
        <v>2.335</v>
      </c>
      <c r="Z59" s="13">
        <f>IF($A59="","",[1]!thsiFinD("ths_adjustment_nv_fund",Z$3,$A59))</f>
        <v>1.5231488184999999</v>
      </c>
      <c r="AA59" s="13">
        <f>IF($A59="","",[1]!thsiFinD("ths_adjustment_nv_fund",AA$3,$A59))</f>
        <v>1.2372207588999999</v>
      </c>
    </row>
    <row r="60" spans="1:27">
      <c r="A60" s="8">
        <v>46269</v>
      </c>
      <c r="B60" s="13">
        <f>IF($A60="","",[1]!thsiFinD("ths_adjustment_nv_fund",B$3,$A60))</f>
        <v>3.3416999999999999</v>
      </c>
      <c r="C60" s="13">
        <f>IF($A60="","",[1]!thsiFinD("ths_adjustment_nv_fund",C$3,$A60))</f>
        <v>1.3207664572</v>
      </c>
      <c r="D60" s="13">
        <f>IF($A60="","",[1]!thsiFinD("ths_adjustment_nv_fund",D$3,$A60))</f>
        <v>4.2519999999999998</v>
      </c>
      <c r="E60" s="13">
        <f>IF($A60="","",[1]!thsiFinD("ths_adjustment_nv_fund",E$3,$A60))</f>
        <v>1.8740000000000001</v>
      </c>
      <c r="F60" s="13">
        <f>IF($A60="","",[1]!thsiFinD("ths_adjustment_nv_fund",F$3,$A60))</f>
        <v>1.8197000000000001</v>
      </c>
      <c r="G60" s="13">
        <f>IF($A60="","",[1]!thsiFinD("ths_adjustment_nv_fund",G$3,$A60))</f>
        <v>3.6410999999999998</v>
      </c>
      <c r="H60" s="13">
        <f>IF($A60="","",[1]!thsiFinD("ths_adjustment_nv_fund",H$3,$A60))</f>
        <v>3.5619999999999998</v>
      </c>
      <c r="I60" s="13">
        <f>IF($A60="","",[1]!thsiFinD("ths_adjustment_nv_fund",I$3,$A60))</f>
        <v>2.2035</v>
      </c>
      <c r="J60" s="13">
        <f>IF($A60="","",[1]!thsiFinD("ths_adjustment_nv_fund",J$3,$A60))</f>
        <v>2.8837999999999999</v>
      </c>
      <c r="K60" s="13">
        <f>IF($A60="","",[1]!thsiFinD("ths_adjustment_nv_fund",K$3,$A60))</f>
        <v>2.8565</v>
      </c>
      <c r="L60" s="13">
        <f>IF($A60="","",[1]!thsiFinD("ths_adjustment_nv_fund",L$3,$A60))</f>
        <v>1.5219</v>
      </c>
      <c r="M60" s="13">
        <f>IF($A60="","",[1]!thsiFinD("ths_adjustment_nv_fund",M$3,$A60))</f>
        <v>1.5008999999999999</v>
      </c>
      <c r="N60" s="13">
        <f>IF($A60="","",[1]!thsiFinD("ths_adjustment_nv_fund",N$3,$A60))</f>
        <v>1.4919</v>
      </c>
      <c r="O60" s="13">
        <f>IF($A60="","",[1]!thsiFinD("ths_adjustment_nv_fund",O$3,$A60))</f>
        <v>1.4538</v>
      </c>
      <c r="P60" s="13">
        <f>IF($A60="","",[1]!thsiFinD("ths_adjustment_nv_fund",P$3,$A60))</f>
        <v>2.673</v>
      </c>
      <c r="Q60" s="13">
        <f>IF($A60="","",[1]!thsiFinD("ths_adjustment_nv_fund",Q$3,$A60))</f>
        <v>3.2511999999999999</v>
      </c>
      <c r="R60" s="13">
        <f>IF($A60="","",[1]!thsiFinD("ths_adjustment_nv_fund",R$3,$A60))</f>
        <v>3.1802000000000001</v>
      </c>
      <c r="S60" s="13">
        <f>IF($A60="","",[1]!thsiFinD("ths_adjustment_nv_fund",S$3,$A60))</f>
        <v>4.2069999999999999</v>
      </c>
      <c r="T60" s="13">
        <f>IF($A60="","",[1]!thsiFinD("ths_adjustment_nv_fund",T$3,$A60))</f>
        <v>2.6332</v>
      </c>
      <c r="U60" s="13">
        <f>IF($A60="","",[1]!thsiFinD("ths_adjustment_nv_fund",U$3,$A60))</f>
        <v>2.6185</v>
      </c>
      <c r="V60" s="13">
        <f>IF($A60="","",[1]!thsiFinD("ths_adjustment_nv_fund",V$3,$A60))</f>
        <v>1.9032</v>
      </c>
      <c r="W60" s="13">
        <f>IF($A60="","",[1]!thsiFinD("ths_adjustment_nv_fund",W$3,$A60))</f>
        <v>1.8834</v>
      </c>
      <c r="X60" s="13">
        <f>IF($A60="","",[1]!thsiFinD("ths_adjustment_nv_fund",X$3,$A60))</f>
        <v>1.8028999999999999</v>
      </c>
      <c r="Y60" s="13">
        <f>IF($A60="","",[1]!thsiFinD("ths_adjustment_nv_fund",Y$3,$A60))</f>
        <v>2.2440000000000002</v>
      </c>
      <c r="Z60" s="13">
        <f>IF($A60="","",[1]!thsiFinD("ths_adjustment_nv_fund",Z$3,$A60))</f>
        <v>1.5230386609</v>
      </c>
      <c r="AA60" s="13">
        <f>IF($A60="","",[1]!thsiFinD("ths_adjustment_nv_fund",AA$3,$A60))</f>
        <v>1.2372207588999999</v>
      </c>
    </row>
    <row r="61" spans="1:27">
      <c r="A61" s="8">
        <v>46272</v>
      </c>
      <c r="B61" s="13">
        <f>IF($A61="","",[1]!thsiFinD("ths_adjustment_nv_fund",B$3,$A61))</f>
        <v>3.2850000000000001</v>
      </c>
      <c r="C61" s="13">
        <f>IF($A61="","",[1]!thsiFinD("ths_adjustment_nv_fund",C$3,$A61))</f>
        <v>1.3208985911</v>
      </c>
      <c r="D61" s="13">
        <f>IF($A61="","",[1]!thsiFinD("ths_adjustment_nv_fund",D$3,$A61))</f>
        <v>4.5599999999999996</v>
      </c>
      <c r="E61" s="13">
        <f>IF($A61="","",[1]!thsiFinD("ths_adjustment_nv_fund",E$3,$A61))</f>
        <v>1.8894</v>
      </c>
      <c r="F61" s="13">
        <f>IF($A61="","",[1]!thsiFinD("ths_adjustment_nv_fund",F$3,$A61))</f>
        <v>1.8347</v>
      </c>
      <c r="G61" s="13">
        <f>IF($A61="","",[1]!thsiFinD("ths_adjustment_nv_fund",G$3,$A61))</f>
        <v>3.8414000000000001</v>
      </c>
      <c r="H61" s="13">
        <f>IF($A61="","",[1]!thsiFinD("ths_adjustment_nv_fund",H$3,$A61))</f>
        <v>3.7578999999999998</v>
      </c>
      <c r="I61" s="13">
        <f>IF($A61="","",[1]!thsiFinD("ths_adjustment_nv_fund",I$3,$A61))</f>
        <v>2.3371</v>
      </c>
      <c r="J61" s="13">
        <f>IF($A61="","",[1]!thsiFinD("ths_adjustment_nv_fund",J$3,$A61))</f>
        <v>2.9923000000000002</v>
      </c>
      <c r="K61" s="13">
        <f>IF($A61="","",[1]!thsiFinD("ths_adjustment_nv_fund",K$3,$A61))</f>
        <v>2.9639000000000002</v>
      </c>
      <c r="L61" s="13">
        <f>IF($A61="","",[1]!thsiFinD("ths_adjustment_nv_fund",L$3,$A61))</f>
        <v>1.5425</v>
      </c>
      <c r="M61" s="13">
        <f>IF($A61="","",[1]!thsiFinD("ths_adjustment_nv_fund",M$3,$A61))</f>
        <v>1.5212000000000001</v>
      </c>
      <c r="N61" s="13">
        <f>IF($A61="","",[1]!thsiFinD("ths_adjustment_nv_fund",N$3,$A61))</f>
        <v>1.5146999999999999</v>
      </c>
      <c r="O61" s="13">
        <f>IF($A61="","",[1]!thsiFinD("ths_adjustment_nv_fund",O$3,$A61))</f>
        <v>1.4759</v>
      </c>
      <c r="P61" s="13">
        <f>IF($A61="","",[1]!thsiFinD("ths_adjustment_nv_fund",P$3,$A61))</f>
        <v>2.8896999999999999</v>
      </c>
      <c r="Q61" s="13">
        <f>IF($A61="","",[1]!thsiFinD("ths_adjustment_nv_fund",Q$3,$A61))</f>
        <v>3.5173000000000001</v>
      </c>
      <c r="R61" s="13">
        <f>IF($A61="","",[1]!thsiFinD("ths_adjustment_nv_fund",R$3,$A61))</f>
        <v>3.4403999999999999</v>
      </c>
      <c r="S61" s="13">
        <f>IF($A61="","",[1]!thsiFinD("ths_adjustment_nv_fund",S$3,$A61))</f>
        <v>4.5110000000000001</v>
      </c>
      <c r="T61" s="13">
        <f>IF($A61="","",[1]!thsiFinD("ths_adjustment_nv_fund",T$3,$A61))</f>
        <v>2.7324999999999999</v>
      </c>
      <c r="U61" s="13">
        <f>IF($A61="","",[1]!thsiFinD("ths_adjustment_nv_fund",U$3,$A61))</f>
        <v>2.7172000000000001</v>
      </c>
      <c r="V61" s="13">
        <f>IF($A61="","",[1]!thsiFinD("ths_adjustment_nv_fund",V$3,$A61))</f>
        <v>1.9294</v>
      </c>
      <c r="W61" s="13">
        <f>IF($A61="","",[1]!thsiFinD("ths_adjustment_nv_fund",W$3,$A61))</f>
        <v>1.9092</v>
      </c>
      <c r="X61" s="13">
        <f>IF($A61="","",[1]!thsiFinD("ths_adjustment_nv_fund",X$3,$A61))</f>
        <v>1.8035000000000001</v>
      </c>
      <c r="Y61" s="13">
        <f>IF($A61="","",[1]!thsiFinD("ths_adjustment_nv_fund",Y$3,$A61))</f>
        <v>2.343</v>
      </c>
      <c r="Z61" s="13">
        <f>IF($A61="","",[1]!thsiFinD("ths_adjustment_nv_fund",Z$3,$A61))</f>
        <v>1.5234792912999999</v>
      </c>
      <c r="AA61" s="13">
        <f>IF($A61="","",[1]!thsiFinD("ths_adjustment_nv_fund",AA$3,$A61))</f>
        <v>1.2374575701999999</v>
      </c>
    </row>
    <row r="62" spans="1:27">
      <c r="A62" s="8">
        <v>46273</v>
      </c>
      <c r="B62" s="13">
        <f>IF($A62="","",[1]!thsiFinD("ths_adjustment_nv_fund",B$3,$A62))</f>
        <v>3.2919999999999998</v>
      </c>
      <c r="C62" s="13">
        <f>IF($A62="","",[1]!thsiFinD("ths_adjustment_nv_fund",C$3,$A62))</f>
        <v>1.3209424845</v>
      </c>
      <c r="D62" s="13">
        <f>IF($A62="","",[1]!thsiFinD("ths_adjustment_nv_fund",D$3,$A62))</f>
        <v>4.5430000000000001</v>
      </c>
      <c r="E62" s="13">
        <f>IF($A62="","",[1]!thsiFinD("ths_adjustment_nv_fund",E$3,$A62))</f>
        <v>1.8861000000000001</v>
      </c>
      <c r="F62" s="13">
        <f>IF($A62="","",[1]!thsiFinD("ths_adjustment_nv_fund",F$3,$A62))</f>
        <v>1.8313999999999999</v>
      </c>
      <c r="G62" s="13">
        <f>IF($A62="","",[1]!thsiFinD("ths_adjustment_nv_fund",G$3,$A62))</f>
        <v>3.8163999999999998</v>
      </c>
      <c r="H62" s="13">
        <f>IF($A62="","",[1]!thsiFinD("ths_adjustment_nv_fund",H$3,$A62))</f>
        <v>3.7334000000000001</v>
      </c>
      <c r="I62" s="13">
        <f>IF($A62="","",[1]!thsiFinD("ths_adjustment_nv_fund",I$3,$A62))</f>
        <v>2.319</v>
      </c>
      <c r="J62" s="13">
        <f>IF($A62="","",[1]!thsiFinD("ths_adjustment_nv_fund",J$3,$A62))</f>
        <v>2.9380999999999999</v>
      </c>
      <c r="K62" s="13">
        <f>IF($A62="","",[1]!thsiFinD("ths_adjustment_nv_fund",K$3,$A62))</f>
        <v>2.9102999999999999</v>
      </c>
      <c r="L62" s="13">
        <f>IF($A62="","",[1]!thsiFinD("ths_adjustment_nv_fund",L$3,$A62))</f>
        <v>1.5467</v>
      </c>
      <c r="M62" s="13">
        <f>IF($A62="","",[1]!thsiFinD("ths_adjustment_nv_fund",M$3,$A62))</f>
        <v>1.5251999999999999</v>
      </c>
      <c r="N62" s="13">
        <f>IF($A62="","",[1]!thsiFinD("ths_adjustment_nv_fund",N$3,$A62))</f>
        <v>1.5203</v>
      </c>
      <c r="O62" s="13">
        <f>IF($A62="","",[1]!thsiFinD("ths_adjustment_nv_fund",O$3,$A62))</f>
        <v>1.4814000000000001</v>
      </c>
      <c r="P62" s="13">
        <f>IF($A62="","",[1]!thsiFinD("ths_adjustment_nv_fund",P$3,$A62))</f>
        <v>2.8816999999999999</v>
      </c>
      <c r="Q62" s="13">
        <f>IF($A62="","",[1]!thsiFinD("ths_adjustment_nv_fund",Q$3,$A62))</f>
        <v>3.4876</v>
      </c>
      <c r="R62" s="13">
        <f>IF($A62="","",[1]!thsiFinD("ths_adjustment_nv_fund",R$3,$A62))</f>
        <v>3.4112</v>
      </c>
      <c r="S62" s="13">
        <f>IF($A62="","",[1]!thsiFinD("ths_adjustment_nv_fund",S$3,$A62))</f>
        <v>4.4939999999999998</v>
      </c>
      <c r="T62" s="13">
        <f>IF($A62="","",[1]!thsiFinD("ths_adjustment_nv_fund",T$3,$A62))</f>
        <v>2.6909999999999998</v>
      </c>
      <c r="U62" s="13">
        <f>IF($A62="","",[1]!thsiFinD("ths_adjustment_nv_fund",U$3,$A62))</f>
        <v>2.6758999999999999</v>
      </c>
      <c r="V62" s="13">
        <f>IF($A62="","",[1]!thsiFinD("ths_adjustment_nv_fund",V$3,$A62))</f>
        <v>1.9380999999999999</v>
      </c>
      <c r="W62" s="13">
        <f>IF($A62="","",[1]!thsiFinD("ths_adjustment_nv_fund",W$3,$A62))</f>
        <v>1.9178999999999999</v>
      </c>
      <c r="X62" s="13">
        <f>IF($A62="","",[1]!thsiFinD("ths_adjustment_nv_fund",X$3,$A62))</f>
        <v>1.8033999999999999</v>
      </c>
      <c r="Y62" s="13">
        <f>IF($A62="","",[1]!thsiFinD("ths_adjustment_nv_fund",Y$3,$A62))</f>
        <v>2.3109999999999999</v>
      </c>
      <c r="Z62" s="13">
        <f>IF($A62="","",[1]!thsiFinD("ths_adjustment_nv_fund",Z$3,$A62))</f>
        <v>1.5230386609</v>
      </c>
      <c r="AA62" s="13">
        <f>IF($A62="","",[1]!thsiFinD("ths_adjustment_nv_fund",AA$3,$A62))</f>
        <v>1.2373391646</v>
      </c>
    </row>
    <row r="63" spans="1:27">
      <c r="A63" s="8">
        <v>46274</v>
      </c>
      <c r="B63" s="13">
        <f>IF($A63="","",[1]!thsiFinD("ths_adjustment_nv_fund",B$3,$A63))</f>
        <v>3.2909000000000002</v>
      </c>
      <c r="C63" s="13">
        <f>IF($A63="","",[1]!thsiFinD("ths_adjustment_nv_fund",C$3,$A63))</f>
        <v>1.3209858775000001</v>
      </c>
      <c r="D63" s="13">
        <f>IF($A63="","",[1]!thsiFinD("ths_adjustment_nv_fund",D$3,$A63))</f>
        <v>4.5650000000000004</v>
      </c>
      <c r="E63" s="13">
        <f>IF($A63="","",[1]!thsiFinD("ths_adjustment_nv_fund",E$3,$A63))</f>
        <v>1.8955</v>
      </c>
      <c r="F63" s="13">
        <f>IF($A63="","",[1]!thsiFinD("ths_adjustment_nv_fund",F$3,$A63))</f>
        <v>1.8405</v>
      </c>
      <c r="G63" s="13">
        <f>IF($A63="","",[1]!thsiFinD("ths_adjustment_nv_fund",G$3,$A63))</f>
        <v>3.8445999999999998</v>
      </c>
      <c r="H63" s="13">
        <f>IF($A63="","",[1]!thsiFinD("ths_adjustment_nv_fund",H$3,$A63))</f>
        <v>3.7610000000000001</v>
      </c>
      <c r="I63" s="13">
        <f>IF($A63="","",[1]!thsiFinD("ths_adjustment_nv_fund",I$3,$A63))</f>
        <v>2.3167</v>
      </c>
      <c r="J63" s="13">
        <f>IF($A63="","",[1]!thsiFinD("ths_adjustment_nv_fund",J$3,$A63))</f>
        <v>2.9146999999999998</v>
      </c>
      <c r="K63" s="13">
        <f>IF($A63="","",[1]!thsiFinD("ths_adjustment_nv_fund",K$3,$A63))</f>
        <v>2.8871000000000002</v>
      </c>
      <c r="L63" s="13">
        <f>IF($A63="","",[1]!thsiFinD("ths_adjustment_nv_fund",L$3,$A63))</f>
        <v>1.5474000000000001</v>
      </c>
      <c r="M63" s="13">
        <f>IF($A63="","",[1]!thsiFinD("ths_adjustment_nv_fund",M$3,$A63))</f>
        <v>1.5259</v>
      </c>
      <c r="N63" s="13">
        <f>IF($A63="","",[1]!thsiFinD("ths_adjustment_nv_fund",N$3,$A63))</f>
        <v>1.5213000000000001</v>
      </c>
      <c r="O63" s="13">
        <f>IF($A63="","",[1]!thsiFinD("ths_adjustment_nv_fund",O$3,$A63))</f>
        <v>1.4823</v>
      </c>
      <c r="P63" s="13">
        <f>IF($A63="","",[1]!thsiFinD("ths_adjustment_nv_fund",P$3,$A63))</f>
        <v>2.9131</v>
      </c>
      <c r="Q63" s="13">
        <f>IF($A63="","",[1]!thsiFinD("ths_adjustment_nv_fund",Q$3,$A63))</f>
        <v>3.5217000000000001</v>
      </c>
      <c r="R63" s="13">
        <f>IF($A63="","",[1]!thsiFinD("ths_adjustment_nv_fund",R$3,$A63))</f>
        <v>3.4445999999999999</v>
      </c>
      <c r="S63" s="13">
        <f>IF($A63="","",[1]!thsiFinD("ths_adjustment_nv_fund",S$3,$A63))</f>
        <v>4.516</v>
      </c>
      <c r="T63" s="13">
        <f>IF($A63="","",[1]!thsiFinD("ths_adjustment_nv_fund",T$3,$A63))</f>
        <v>2.6743000000000001</v>
      </c>
      <c r="U63" s="13">
        <f>IF($A63="","",[1]!thsiFinD("ths_adjustment_nv_fund",U$3,$A63))</f>
        <v>2.6594000000000002</v>
      </c>
      <c r="V63" s="13">
        <f>IF($A63="","",[1]!thsiFinD("ths_adjustment_nv_fund",V$3,$A63))</f>
        <v>1.9350000000000001</v>
      </c>
      <c r="W63" s="13">
        <f>IF($A63="","",[1]!thsiFinD("ths_adjustment_nv_fund",W$3,$A63))</f>
        <v>1.9147000000000001</v>
      </c>
      <c r="X63" s="13">
        <f>IF($A63="","",[1]!thsiFinD("ths_adjustment_nv_fund",X$3,$A63))</f>
        <v>1.8033999999999999</v>
      </c>
      <c r="Y63" s="13">
        <f>IF($A63="","",[1]!thsiFinD("ths_adjustment_nv_fund",Y$3,$A63))</f>
        <v>2.2909999999999999</v>
      </c>
      <c r="Z63" s="13">
        <f>IF($A63="","",[1]!thsiFinD("ths_adjustment_nv_fund",Z$3,$A63))</f>
        <v>1.5229285034</v>
      </c>
      <c r="AA63" s="13">
        <f>IF($A63="","",[1]!thsiFinD("ths_adjustment_nv_fund",AA$3,$A63))</f>
        <v>1.2373391646</v>
      </c>
    </row>
    <row r="64" spans="1:27">
      <c r="A64" s="8">
        <v>46275</v>
      </c>
      <c r="B64" s="13">
        <f>IF($A64="","",[1]!thsiFinD("ths_adjustment_nv_fund",B$3,$A64))</f>
        <v>3.2964000000000002</v>
      </c>
      <c r="C64" s="13">
        <f>IF($A64="","",[1]!thsiFinD("ths_adjustment_nv_fund",C$3,$A64))</f>
        <v>1.3210299720000001</v>
      </c>
      <c r="D64" s="13">
        <f>IF($A64="","",[1]!thsiFinD("ths_adjustment_nv_fund",D$3,$A64))</f>
        <v>4.5369999999999999</v>
      </c>
      <c r="E64" s="13">
        <f>IF($A64="","",[1]!thsiFinD("ths_adjustment_nv_fund",E$3,$A64))</f>
        <v>1.8902000000000001</v>
      </c>
      <c r="F64" s="13">
        <f>IF($A64="","",[1]!thsiFinD("ths_adjustment_nv_fund",F$3,$A64))</f>
        <v>1.8352999999999999</v>
      </c>
      <c r="G64" s="13">
        <f>IF($A64="","",[1]!thsiFinD("ths_adjustment_nv_fund",G$3,$A64))</f>
        <v>3.8149999999999999</v>
      </c>
      <c r="H64" s="13">
        <f>IF($A64="","",[1]!thsiFinD("ths_adjustment_nv_fund",H$3,$A64))</f>
        <v>3.7320000000000002</v>
      </c>
      <c r="I64" s="13">
        <f>IF($A64="","",[1]!thsiFinD("ths_adjustment_nv_fund",I$3,$A64))</f>
        <v>2.2999000000000001</v>
      </c>
      <c r="J64" s="13">
        <f>IF($A64="","",[1]!thsiFinD("ths_adjustment_nv_fund",J$3,$A64))</f>
        <v>2.9077999999999999</v>
      </c>
      <c r="K64" s="13">
        <f>IF($A64="","",[1]!thsiFinD("ths_adjustment_nv_fund",K$3,$A64))</f>
        <v>2.8801000000000001</v>
      </c>
      <c r="L64" s="13">
        <f>IF($A64="","",[1]!thsiFinD("ths_adjustment_nv_fund",L$3,$A64))</f>
        <v>1.5318000000000001</v>
      </c>
      <c r="M64" s="13">
        <f>IF($A64="","",[1]!thsiFinD("ths_adjustment_nv_fund",M$3,$A64))</f>
        <v>1.5105</v>
      </c>
      <c r="N64" s="13">
        <f>IF($A64="","",[1]!thsiFinD("ths_adjustment_nv_fund",N$3,$A64))</f>
        <v>1.5134000000000001</v>
      </c>
      <c r="O64" s="13">
        <f>IF($A64="","",[1]!thsiFinD("ths_adjustment_nv_fund",O$3,$A64))</f>
        <v>1.4745999999999999</v>
      </c>
      <c r="P64" s="13">
        <f>IF($A64="","",[1]!thsiFinD("ths_adjustment_nv_fund",P$3,$A64))</f>
        <v>2.9323999999999999</v>
      </c>
      <c r="Q64" s="13">
        <f>IF($A64="","",[1]!thsiFinD("ths_adjustment_nv_fund",Q$3,$A64))</f>
        <v>3.5034999999999998</v>
      </c>
      <c r="R64" s="13">
        <f>IF($A64="","",[1]!thsiFinD("ths_adjustment_nv_fund",R$3,$A64))</f>
        <v>3.4266999999999999</v>
      </c>
      <c r="S64" s="13">
        <f>IF($A64="","",[1]!thsiFinD("ths_adjustment_nv_fund",S$3,$A64))</f>
        <v>4.4889999999999999</v>
      </c>
      <c r="T64" s="13">
        <f>IF($A64="","",[1]!thsiFinD("ths_adjustment_nv_fund",T$3,$A64))</f>
        <v>2.6736</v>
      </c>
      <c r="U64" s="13">
        <f>IF($A64="","",[1]!thsiFinD("ths_adjustment_nv_fund",U$3,$A64))</f>
        <v>2.6587000000000001</v>
      </c>
      <c r="V64" s="13">
        <f>IF($A64="","",[1]!thsiFinD("ths_adjustment_nv_fund",V$3,$A64))</f>
        <v>1.9117</v>
      </c>
      <c r="W64" s="13">
        <f>IF($A64="","",[1]!thsiFinD("ths_adjustment_nv_fund",W$3,$A64))</f>
        <v>1.8915999999999999</v>
      </c>
      <c r="X64" s="13">
        <f>IF($A64="","",[1]!thsiFinD("ths_adjustment_nv_fund",X$3,$A64))</f>
        <v>1.8030999999999999</v>
      </c>
      <c r="Y64" s="13">
        <f>IF($A64="","",[1]!thsiFinD("ths_adjustment_nv_fund",Y$3,$A64))</f>
        <v>2.2959999999999998</v>
      </c>
      <c r="Z64" s="13">
        <f>IF($A64="","",[1]!thsiFinD("ths_adjustment_nv_fund",Z$3,$A64))</f>
        <v>1.5228183458</v>
      </c>
      <c r="AA64" s="13">
        <f>IF($A64="","",[1]!thsiFinD("ths_adjustment_nv_fund",AA$3,$A64))</f>
        <v>1.2373391646</v>
      </c>
    </row>
    <row r="65" spans="1:27">
      <c r="A65" s="8">
        <v>46276</v>
      </c>
      <c r="B65" s="13">
        <f>IF($A65="","",[1]!thsiFinD("ths_adjustment_nv_fund",B$3,$A65))</f>
        <v>3.2494999999999998</v>
      </c>
      <c r="C65" s="13">
        <f>IF($A65="","",[1]!thsiFinD("ths_adjustment_nv_fund",C$3,$A65))</f>
        <v>1.3210738831</v>
      </c>
      <c r="D65" s="13">
        <f>IF($A65="","",[1]!thsiFinD("ths_adjustment_nv_fund",D$3,$A65))</f>
        <v>4.5609999999999999</v>
      </c>
      <c r="E65" s="13">
        <f>IF($A65="","",[1]!thsiFinD("ths_adjustment_nv_fund",E$3,$A65))</f>
        <v>1.8768</v>
      </c>
      <c r="F65" s="13">
        <f>IF($A65="","",[1]!thsiFinD("ths_adjustment_nv_fund",F$3,$A65))</f>
        <v>1.8223</v>
      </c>
      <c r="G65" s="13">
        <f>IF($A65="","",[1]!thsiFinD("ths_adjustment_nv_fund",G$3,$A65))</f>
        <v>3.8414000000000001</v>
      </c>
      <c r="H65" s="13">
        <f>IF($A65="","",[1]!thsiFinD("ths_adjustment_nv_fund",H$3,$A65))</f>
        <v>3.7578</v>
      </c>
      <c r="I65" s="13">
        <f>IF($A65="","",[1]!thsiFinD("ths_adjustment_nv_fund",I$3,$A65))</f>
        <v>2.2930000000000001</v>
      </c>
      <c r="J65" s="13">
        <f>IF($A65="","",[1]!thsiFinD("ths_adjustment_nv_fund",J$3,$A65))</f>
        <v>2.8613</v>
      </c>
      <c r="K65" s="13">
        <f>IF($A65="","",[1]!thsiFinD("ths_adjustment_nv_fund",K$3,$A65))</f>
        <v>2.8340999999999998</v>
      </c>
      <c r="L65" s="13">
        <f>IF($A65="","",[1]!thsiFinD("ths_adjustment_nv_fund",L$3,$A65))</f>
        <v>1.4982</v>
      </c>
      <c r="M65" s="13">
        <f>IF($A65="","",[1]!thsiFinD("ths_adjustment_nv_fund",M$3,$A65))</f>
        <v>1.4774</v>
      </c>
      <c r="N65" s="13">
        <f>IF($A65="","",[1]!thsiFinD("ths_adjustment_nv_fund",N$3,$A65))</f>
        <v>1.4856</v>
      </c>
      <c r="O65" s="13">
        <f>IF($A65="","",[1]!thsiFinD("ths_adjustment_nv_fund",O$3,$A65))</f>
        <v>1.4474</v>
      </c>
      <c r="P65" s="13">
        <f>IF($A65="","",[1]!thsiFinD("ths_adjustment_nv_fund",P$3,$A65))</f>
        <v>2.9163999999999999</v>
      </c>
      <c r="Q65" s="13">
        <f>IF($A65="","",[1]!thsiFinD("ths_adjustment_nv_fund",Q$3,$A65))</f>
        <v>3.5192000000000001</v>
      </c>
      <c r="R65" s="13">
        <f>IF($A65="","",[1]!thsiFinD("ths_adjustment_nv_fund",R$3,$A65))</f>
        <v>3.4420000000000002</v>
      </c>
      <c r="S65" s="13">
        <f>IF($A65="","",[1]!thsiFinD("ths_adjustment_nv_fund",S$3,$A65))</f>
        <v>4.5119999999999996</v>
      </c>
      <c r="T65" s="13">
        <f>IF($A65="","",[1]!thsiFinD("ths_adjustment_nv_fund",T$3,$A65))</f>
        <v>2.6326000000000001</v>
      </c>
      <c r="U65" s="13">
        <f>IF($A65="","",[1]!thsiFinD("ths_adjustment_nv_fund",U$3,$A65))</f>
        <v>2.6177999999999999</v>
      </c>
      <c r="V65" s="13">
        <f>IF($A65="","",[1]!thsiFinD("ths_adjustment_nv_fund",V$3,$A65))</f>
        <v>1.8758999999999999</v>
      </c>
      <c r="W65" s="13">
        <f>IF($A65="","",[1]!thsiFinD("ths_adjustment_nv_fund",W$3,$A65))</f>
        <v>1.8562000000000001</v>
      </c>
      <c r="X65" s="13">
        <f>IF($A65="","",[1]!thsiFinD("ths_adjustment_nv_fund",X$3,$A65))</f>
        <v>1.8026</v>
      </c>
      <c r="Y65" s="13">
        <f>IF($A65="","",[1]!thsiFinD("ths_adjustment_nv_fund",Y$3,$A65))</f>
        <v>2.2530000000000001</v>
      </c>
      <c r="Z65" s="13">
        <f>IF($A65="","",[1]!thsiFinD("ths_adjustment_nv_fund",Z$3,$A65))</f>
        <v>1.5221574003</v>
      </c>
      <c r="AA65" s="13">
        <f>IF($A65="","",[1]!thsiFinD("ths_adjustment_nv_fund",AA$3,$A65))</f>
        <v>1.2372207588999999</v>
      </c>
    </row>
    <row r="66" spans="1:27">
      <c r="A66" s="8">
        <v>46279</v>
      </c>
      <c r="B66" s="13">
        <f>IF($A66="","",[1]!thsiFinD("ths_adjustment_nv_fund",B$3,$A66))</f>
        <v>3.2277999999999998</v>
      </c>
      <c r="C66" s="13">
        <f>IF($A66="","",[1]!thsiFinD("ths_adjustment_nv_fund",C$3,$A66))</f>
        <v>1.3212055853</v>
      </c>
      <c r="D66" s="13">
        <f>IF($A66="","",[1]!thsiFinD("ths_adjustment_nv_fund",D$3,$A66))</f>
        <v>4.468</v>
      </c>
      <c r="E66" s="13">
        <f>IF($A66="","",[1]!thsiFinD("ths_adjustment_nv_fund",E$3,$A66))</f>
        <v>1.8689</v>
      </c>
      <c r="F66" s="13">
        <f>IF($A66="","",[1]!thsiFinD("ths_adjustment_nv_fund",F$3,$A66))</f>
        <v>1.8146</v>
      </c>
      <c r="G66" s="13">
        <f>IF($A66="","",[1]!thsiFinD("ths_adjustment_nv_fund",G$3,$A66))</f>
        <v>3.7404000000000002</v>
      </c>
      <c r="H66" s="13">
        <f>IF($A66="","",[1]!thsiFinD("ths_adjustment_nv_fund",H$3,$A66))</f>
        <v>3.6589</v>
      </c>
      <c r="I66" s="13">
        <f>IF($A66="","",[1]!thsiFinD("ths_adjustment_nv_fund",I$3,$A66))</f>
        <v>2.2393999999999998</v>
      </c>
      <c r="J66" s="13">
        <f>IF($A66="","",[1]!thsiFinD("ths_adjustment_nv_fund",J$3,$A66))</f>
        <v>2.8212999999999999</v>
      </c>
      <c r="K66" s="13">
        <f>IF($A66="","",[1]!thsiFinD("ths_adjustment_nv_fund",K$3,$A66))</f>
        <v>2.7944</v>
      </c>
      <c r="L66" s="13">
        <f>IF($A66="","",[1]!thsiFinD("ths_adjustment_nv_fund",L$3,$A66))</f>
        <v>1.5061</v>
      </c>
      <c r="M66" s="13">
        <f>IF($A66="","",[1]!thsiFinD("ths_adjustment_nv_fund",M$3,$A66))</f>
        <v>1.4851000000000001</v>
      </c>
      <c r="N66" s="13">
        <f>IF($A66="","",[1]!thsiFinD("ths_adjustment_nv_fund",N$3,$A66))</f>
        <v>1.484</v>
      </c>
      <c r="O66" s="13">
        <f>IF($A66="","",[1]!thsiFinD("ths_adjustment_nv_fund",O$3,$A66))</f>
        <v>1.4458</v>
      </c>
      <c r="P66" s="13">
        <f>IF($A66="","",[1]!thsiFinD("ths_adjustment_nv_fund",P$3,$A66))</f>
        <v>2.8431999999999999</v>
      </c>
      <c r="Q66" s="13">
        <f>IF($A66="","",[1]!thsiFinD("ths_adjustment_nv_fund",Q$3,$A66))</f>
        <v>3.4582999999999999</v>
      </c>
      <c r="R66" s="13">
        <f>IF($A66="","",[1]!thsiFinD("ths_adjustment_nv_fund",R$3,$A66))</f>
        <v>3.3822999999999999</v>
      </c>
      <c r="S66" s="13">
        <f>IF($A66="","",[1]!thsiFinD("ths_adjustment_nv_fund",S$3,$A66))</f>
        <v>4.4189999999999996</v>
      </c>
      <c r="T66" s="13">
        <f>IF($A66="","",[1]!thsiFinD("ths_adjustment_nv_fund",T$3,$A66))</f>
        <v>2.6086</v>
      </c>
      <c r="U66" s="13">
        <f>IF($A66="","",[1]!thsiFinD("ths_adjustment_nv_fund",U$3,$A66))</f>
        <v>2.5939000000000001</v>
      </c>
      <c r="V66" s="13">
        <f>IF($A66="","",[1]!thsiFinD("ths_adjustment_nv_fund",V$3,$A66))</f>
        <v>1.8934</v>
      </c>
      <c r="W66" s="13">
        <f>IF($A66="","",[1]!thsiFinD("ths_adjustment_nv_fund",W$3,$A66))</f>
        <v>1.8734999999999999</v>
      </c>
      <c r="X66" s="13">
        <f>IF($A66="","",[1]!thsiFinD("ths_adjustment_nv_fund",X$3,$A66))</f>
        <v>1.8026</v>
      </c>
      <c r="Y66" s="13">
        <f>IF($A66="","",[1]!thsiFinD("ths_adjustment_nv_fund",Y$3,$A66))</f>
        <v>2.2360000000000002</v>
      </c>
      <c r="Z66" s="13">
        <f>IF($A66="","",[1]!thsiFinD("ths_adjustment_nv_fund",Z$3,$A66))</f>
        <v>1.5223777155</v>
      </c>
      <c r="AA66" s="13">
        <f>IF($A66="","",[1]!thsiFinD("ths_adjustment_nv_fund",AA$3,$A66))</f>
        <v>1.2374575701999999</v>
      </c>
    </row>
    <row r="67" spans="1:27">
      <c r="A67" s="8">
        <v>46280</v>
      </c>
      <c r="B67" s="13">
        <f>IF($A67="","",[1]!thsiFinD("ths_adjustment_nv_fund",B$3,$A67))</f>
        <v>3.2103000000000002</v>
      </c>
      <c r="C67" s="13">
        <f>IF($A67="","",[1]!thsiFinD("ths_adjustment_nv_fund",C$3,$A67))</f>
        <v>1.3212497268000001</v>
      </c>
      <c r="D67" s="13">
        <f>IF($A67="","",[1]!thsiFinD("ths_adjustment_nv_fund",D$3,$A67))</f>
        <v>4.4770000000000003</v>
      </c>
      <c r="E67" s="13">
        <f>IF($A67="","",[1]!thsiFinD("ths_adjustment_nv_fund",E$3,$A67))</f>
        <v>1.8591</v>
      </c>
      <c r="F67" s="13">
        <f>IF($A67="","",[1]!thsiFinD("ths_adjustment_nv_fund",F$3,$A67))</f>
        <v>1.8050999999999999</v>
      </c>
      <c r="G67" s="13">
        <f>IF($A67="","",[1]!thsiFinD("ths_adjustment_nv_fund",G$3,$A67))</f>
        <v>3.7189999999999999</v>
      </c>
      <c r="H67" s="13">
        <f>IF($A67="","",[1]!thsiFinD("ths_adjustment_nv_fund",H$3,$A67))</f>
        <v>3.6379000000000001</v>
      </c>
      <c r="I67" s="13">
        <f>IF($A67="","",[1]!thsiFinD("ths_adjustment_nv_fund",I$3,$A67))</f>
        <v>2.2629999999999999</v>
      </c>
      <c r="J67" s="13">
        <f>IF($A67="","",[1]!thsiFinD("ths_adjustment_nv_fund",J$3,$A67))</f>
        <v>2.9068999999999998</v>
      </c>
      <c r="K67" s="13">
        <f>IF($A67="","",[1]!thsiFinD("ths_adjustment_nv_fund",K$3,$A67))</f>
        <v>2.8793000000000002</v>
      </c>
      <c r="L67" s="13">
        <f>IF($A67="","",[1]!thsiFinD("ths_adjustment_nv_fund",L$3,$A67))</f>
        <v>1.4976</v>
      </c>
      <c r="M67" s="13">
        <f>IF($A67="","",[1]!thsiFinD("ths_adjustment_nv_fund",M$3,$A67))</f>
        <v>1.4766999999999999</v>
      </c>
      <c r="N67" s="13">
        <f>IF($A67="","",[1]!thsiFinD("ths_adjustment_nv_fund",N$3,$A67))</f>
        <v>1.4816</v>
      </c>
      <c r="O67" s="13">
        <f>IF($A67="","",[1]!thsiFinD("ths_adjustment_nv_fund",O$3,$A67))</f>
        <v>1.4435</v>
      </c>
      <c r="P67" s="13">
        <f>IF($A67="","",[1]!thsiFinD("ths_adjustment_nv_fund",P$3,$A67))</f>
        <v>2.8351000000000002</v>
      </c>
      <c r="Q67" s="13">
        <f>IF($A67="","",[1]!thsiFinD("ths_adjustment_nv_fund",Q$3,$A67))</f>
        <v>3.4377</v>
      </c>
      <c r="R67" s="13">
        <f>IF($A67="","",[1]!thsiFinD("ths_adjustment_nv_fund",R$3,$A67))</f>
        <v>3.3620999999999999</v>
      </c>
      <c r="S67" s="13">
        <f>IF($A67="","",[1]!thsiFinD("ths_adjustment_nv_fund",S$3,$A67))</f>
        <v>4.4279999999999999</v>
      </c>
      <c r="T67" s="13">
        <f>IF($A67="","",[1]!thsiFinD("ths_adjustment_nv_fund",T$3,$A67))</f>
        <v>2.6859999999999999</v>
      </c>
      <c r="U67" s="13">
        <f>IF($A67="","",[1]!thsiFinD("ths_adjustment_nv_fund",U$3,$A67))</f>
        <v>2.6709000000000001</v>
      </c>
      <c r="V67" s="13">
        <f>IF($A67="","",[1]!thsiFinD("ths_adjustment_nv_fund",V$3,$A67))</f>
        <v>1.8773</v>
      </c>
      <c r="W67" s="13">
        <f>IF($A67="","",[1]!thsiFinD("ths_adjustment_nv_fund",W$3,$A67))</f>
        <v>1.8574999999999999</v>
      </c>
      <c r="X67" s="13">
        <f>IF($A67="","",[1]!thsiFinD("ths_adjustment_nv_fund",X$3,$A67))</f>
        <v>1.8031999999999999</v>
      </c>
      <c r="Y67" s="13">
        <f>IF($A67="","",[1]!thsiFinD("ths_adjustment_nv_fund",Y$3,$A67))</f>
        <v>2.3130000000000002</v>
      </c>
      <c r="Z67" s="13">
        <f>IF($A67="","",[1]!thsiFinD("ths_adjustment_nv_fund",Z$3,$A67))</f>
        <v>1.5228183458</v>
      </c>
      <c r="AA67" s="13">
        <f>IF($A67="","",[1]!thsiFinD("ths_adjustment_nv_fund",AA$3,$A67))</f>
        <v>1.2376943815000001</v>
      </c>
    </row>
    <row r="68" spans="1:27">
      <c r="A68" s="8">
        <v>46281</v>
      </c>
      <c r="B68" s="13">
        <f>IF($A68="","",[1]!thsiFinD("ths_adjustment_nv_fund",B$3,$A68))</f>
        <v>3.2387000000000001</v>
      </c>
      <c r="C68" s="13">
        <f>IF($A68="","",[1]!thsiFinD("ths_adjustment_nv_fund",C$3,$A68))</f>
        <v>1.3212937508</v>
      </c>
      <c r="D68" s="13">
        <f>IF($A68="","",[1]!thsiFinD("ths_adjustment_nv_fund",D$3,$A68))</f>
        <v>4.6520000000000001</v>
      </c>
      <c r="E68" s="13">
        <f>IF($A68="","",[1]!thsiFinD("ths_adjustment_nv_fund",E$3,$A68))</f>
        <v>1.8754</v>
      </c>
      <c r="F68" s="13">
        <f>IF($A68="","",[1]!thsiFinD("ths_adjustment_nv_fund",F$3,$A68))</f>
        <v>1.8209</v>
      </c>
      <c r="G68" s="13">
        <f>IF($A68="","",[1]!thsiFinD("ths_adjustment_nv_fund",G$3,$A68))</f>
        <v>3.8841000000000001</v>
      </c>
      <c r="H68" s="13">
        <f>IF($A68="","",[1]!thsiFinD("ths_adjustment_nv_fund",H$3,$A68))</f>
        <v>3.7993999999999999</v>
      </c>
      <c r="I68" s="13">
        <f>IF($A68="","",[1]!thsiFinD("ths_adjustment_nv_fund",I$3,$A68))</f>
        <v>2.3473999999999999</v>
      </c>
      <c r="J68" s="13">
        <f>IF($A68="","",[1]!thsiFinD("ths_adjustment_nv_fund",J$3,$A68))</f>
        <v>3.0562999999999998</v>
      </c>
      <c r="K68" s="13">
        <f>IF($A68="","",[1]!thsiFinD("ths_adjustment_nv_fund",K$3,$A68))</f>
        <v>3.0272000000000001</v>
      </c>
      <c r="L68" s="13">
        <f>IF($A68="","",[1]!thsiFinD("ths_adjustment_nv_fund",L$3,$A68))</f>
        <v>1.5286</v>
      </c>
      <c r="M68" s="13">
        <f>IF($A68="","",[1]!thsiFinD("ths_adjustment_nv_fund",M$3,$A68))</f>
        <v>1.5073000000000001</v>
      </c>
      <c r="N68" s="13">
        <f>IF($A68="","",[1]!thsiFinD("ths_adjustment_nv_fund",N$3,$A68))</f>
        <v>1.5082</v>
      </c>
      <c r="O68" s="13">
        <f>IF($A68="","",[1]!thsiFinD("ths_adjustment_nv_fund",O$3,$A68))</f>
        <v>1.4694</v>
      </c>
      <c r="P68" s="13">
        <f>IF($A68="","",[1]!thsiFinD("ths_adjustment_nv_fund",P$3,$A68))</f>
        <v>2.9813000000000001</v>
      </c>
      <c r="Q68" s="13">
        <f>IF($A68="","",[1]!thsiFinD("ths_adjustment_nv_fund",Q$3,$A68))</f>
        <v>3.5937999999999999</v>
      </c>
      <c r="R68" s="13">
        <f>IF($A68="","",[1]!thsiFinD("ths_adjustment_nv_fund",R$3,$A68))</f>
        <v>3.5146999999999999</v>
      </c>
      <c r="S68" s="13">
        <f>IF($A68="","",[1]!thsiFinD("ths_adjustment_nv_fund",S$3,$A68))</f>
        <v>4.6020000000000003</v>
      </c>
      <c r="T68" s="13">
        <f>IF($A68="","",[1]!thsiFinD("ths_adjustment_nv_fund",T$3,$A68))</f>
        <v>2.8161999999999998</v>
      </c>
      <c r="U68" s="13">
        <f>IF($A68="","",[1]!thsiFinD("ths_adjustment_nv_fund",U$3,$A68))</f>
        <v>2.8003</v>
      </c>
      <c r="V68" s="13">
        <f>IF($A68="","",[1]!thsiFinD("ths_adjustment_nv_fund",V$3,$A68))</f>
        <v>1.9162999999999999</v>
      </c>
      <c r="W68" s="13">
        <f>IF($A68="","",[1]!thsiFinD("ths_adjustment_nv_fund",W$3,$A68))</f>
        <v>1.8960999999999999</v>
      </c>
      <c r="X68" s="13">
        <f>IF($A68="","",[1]!thsiFinD("ths_adjustment_nv_fund",X$3,$A68))</f>
        <v>1.8037000000000001</v>
      </c>
      <c r="Y68" s="13">
        <f>IF($A68="","",[1]!thsiFinD("ths_adjustment_nv_fund",Y$3,$A68))</f>
        <v>2.4119999999999999</v>
      </c>
      <c r="Z68" s="13">
        <f>IF($A68="","",[1]!thsiFinD("ths_adjustment_nv_fund",Z$3,$A68))</f>
        <v>1.5233691336999999</v>
      </c>
      <c r="AA68" s="13">
        <f>IF($A68="","",[1]!thsiFinD("ths_adjustment_nv_fund",AA$3,$A68))</f>
        <v>1.2379311929000001</v>
      </c>
    </row>
    <row r="69" spans="1:27">
      <c r="A69" s="8">
        <v>46282</v>
      </c>
      <c r="B69" s="13">
        <f>IF($A69="","",[1]!thsiFinD("ths_adjustment_nv_fund",B$3,$A69))</f>
        <v>3.2387000000000001</v>
      </c>
      <c r="C69" s="13">
        <f>IF($A69="","",[1]!thsiFinD("ths_adjustment_nv_fund",C$3,$A69))</f>
        <v>1.3212937508</v>
      </c>
      <c r="D69" s="13">
        <f>IF($A69="","",[1]!thsiFinD("ths_adjustment_nv_fund",D$3,$A69))</f>
        <v>4.6520000000000001</v>
      </c>
      <c r="E69" s="13">
        <f>IF($A69="","",[1]!thsiFinD("ths_adjustment_nv_fund",E$3,$A69))</f>
        <v>1.8754</v>
      </c>
      <c r="F69" s="13">
        <f>IF($A69="","",[1]!thsiFinD("ths_adjustment_nv_fund",F$3,$A69))</f>
        <v>1.8209</v>
      </c>
      <c r="G69" s="13">
        <f>IF($A69="","",[1]!thsiFinD("ths_adjustment_nv_fund",G$3,$A69))</f>
        <v>3.8841000000000001</v>
      </c>
      <c r="H69" s="13">
        <f>IF($A69="","",[1]!thsiFinD("ths_adjustment_nv_fund",H$3,$A69))</f>
        <v>3.7993999999999999</v>
      </c>
      <c r="I69" s="13">
        <f>IF($A69="","",[1]!thsiFinD("ths_adjustment_nv_fund",I$3,$A69))</f>
        <v>2.3473999999999999</v>
      </c>
      <c r="J69" s="13">
        <f>IF($A69="","",[1]!thsiFinD("ths_adjustment_nv_fund",J$3,$A69))</f>
        <v>3.0562999999999998</v>
      </c>
      <c r="K69" s="13">
        <f>IF($A69="","",[1]!thsiFinD("ths_adjustment_nv_fund",K$3,$A69))</f>
        <v>3.0272000000000001</v>
      </c>
      <c r="L69" s="13">
        <f>IF($A69="","",[1]!thsiFinD("ths_adjustment_nv_fund",L$3,$A69))</f>
        <v>1.5286</v>
      </c>
      <c r="M69" s="13">
        <f>IF($A69="","",[1]!thsiFinD("ths_adjustment_nv_fund",M$3,$A69))</f>
        <v>1.5073000000000001</v>
      </c>
      <c r="N69" s="13">
        <f>IF($A69="","",[1]!thsiFinD("ths_adjustment_nv_fund",N$3,$A69))</f>
        <v>1.5082</v>
      </c>
      <c r="O69" s="13">
        <f>IF($A69="","",[1]!thsiFinD("ths_adjustment_nv_fund",O$3,$A69))</f>
        <v>1.4694</v>
      </c>
      <c r="P69" s="13">
        <f>IF($A69="","",[1]!thsiFinD("ths_adjustment_nv_fund",P$3,$A69))</f>
        <v>2.9813000000000001</v>
      </c>
      <c r="Q69" s="13">
        <f>IF($A69="","",[1]!thsiFinD("ths_adjustment_nv_fund",Q$3,$A69))</f>
        <v>3.5937999999999999</v>
      </c>
      <c r="R69" s="13">
        <f>IF($A69="","",[1]!thsiFinD("ths_adjustment_nv_fund",R$3,$A69))</f>
        <v>3.5146999999999999</v>
      </c>
      <c r="S69" s="13">
        <f>IF($A69="","",[1]!thsiFinD("ths_adjustment_nv_fund",S$3,$A69))</f>
        <v>4.6020000000000003</v>
      </c>
      <c r="T69" s="13">
        <f>IF($A69="","",[1]!thsiFinD("ths_adjustment_nv_fund",T$3,$A69))</f>
        <v>2.8161999999999998</v>
      </c>
      <c r="U69" s="13">
        <f>IF($A69="","",[1]!thsiFinD("ths_adjustment_nv_fund",U$3,$A69))</f>
        <v>2.8003</v>
      </c>
      <c r="V69" s="13">
        <f>IF($A69="","",[1]!thsiFinD("ths_adjustment_nv_fund",V$3,$A69))</f>
        <v>1.9162999999999999</v>
      </c>
      <c r="W69" s="13">
        <f>IF($A69="","",[1]!thsiFinD("ths_adjustment_nv_fund",W$3,$A69))</f>
        <v>1.8960999999999999</v>
      </c>
      <c r="X69" s="13">
        <f>IF($A69="","",[1]!thsiFinD("ths_adjustment_nv_fund",X$3,$A69))</f>
        <v>1.8037000000000001</v>
      </c>
      <c r="Y69" s="13">
        <f>IF($A69="","",[1]!thsiFinD("ths_adjustment_nv_fund",Y$3,$A69))</f>
        <v>2.4119999999999999</v>
      </c>
      <c r="Z69" s="13">
        <f>IF($A69="","",[1]!thsiFinD("ths_adjustment_nv_fund",Z$3,$A69))</f>
        <v>1.5233691336999999</v>
      </c>
      <c r="AA69" s="13">
        <f>IF($A69="","",[1]!thsiFinD("ths_adjustment_nv_fund",AA$3,$A69))</f>
        <v>1.2379311929000001</v>
      </c>
    </row>
    <row r="70" spans="1:27">
      <c r="A70" s="8"/>
      <c r="B70" s="13" t="str">
        <f>IF($A70="","",[1]!thsiFinD("ths_adjustment_nv_fund",B$3,$A70))</f>
        <v/>
      </c>
      <c r="C70" s="13" t="str">
        <f>IF($A70="","",[1]!thsiFinD("ths_adjustment_nv_fund",C$3,$A70))</f>
        <v/>
      </c>
      <c r="D70" s="13" t="str">
        <f>IF($A70="","",[1]!thsiFinD("ths_adjustment_nv_fund",D$3,$A70))</f>
        <v/>
      </c>
      <c r="E70" s="13" t="str">
        <f>IF($A70="","",[1]!thsiFinD("ths_adjustment_nv_fund",E$3,$A70))</f>
        <v/>
      </c>
      <c r="F70" s="13" t="str">
        <f>IF($A70="","",[1]!thsiFinD("ths_adjustment_nv_fund",F$3,$A70))</f>
        <v/>
      </c>
      <c r="G70" s="13" t="str">
        <f>IF($A70="","",[1]!thsiFinD("ths_adjustment_nv_fund",G$3,$A70))</f>
        <v/>
      </c>
      <c r="H70" s="13" t="str">
        <f>IF($A70="","",[1]!thsiFinD("ths_adjustment_nv_fund",H$3,$A70))</f>
        <v/>
      </c>
      <c r="I70" s="13" t="str">
        <f>IF($A70="","",[1]!thsiFinD("ths_adjustment_nv_fund",I$3,$A70))</f>
        <v/>
      </c>
      <c r="J70" s="13" t="str">
        <f>IF($A70="","",[1]!thsiFinD("ths_adjustment_nv_fund",J$3,$A70))</f>
        <v/>
      </c>
      <c r="K70" s="13" t="str">
        <f>IF($A70="","",[1]!thsiFinD("ths_adjustment_nv_fund",K$3,$A70))</f>
        <v/>
      </c>
      <c r="L70" s="13" t="str">
        <f>IF($A70="","",[1]!thsiFinD("ths_adjustment_nv_fund",L$3,$A70))</f>
        <v/>
      </c>
      <c r="M70" s="13" t="str">
        <f>IF($A70="","",[1]!thsiFinD("ths_adjustment_nv_fund",M$3,$A70))</f>
        <v/>
      </c>
      <c r="N70" s="13" t="str">
        <f>IF($A70="","",[1]!thsiFinD("ths_adjustment_nv_fund",N$3,$A70))</f>
        <v/>
      </c>
      <c r="O70" s="13" t="str">
        <f>IF($A70="","",[1]!thsiFinD("ths_adjustment_nv_fund",O$3,$A70))</f>
        <v/>
      </c>
      <c r="P70" s="13" t="str">
        <f>IF($A70="","",[1]!thsiFinD("ths_adjustment_nv_fund",P$3,$A70))</f>
        <v/>
      </c>
      <c r="Q70" s="13" t="str">
        <f>IF($A70="","",[1]!thsiFinD("ths_adjustment_nv_fund",Q$3,$A70))</f>
        <v/>
      </c>
      <c r="R70" s="13" t="str">
        <f>IF($A70="","",[1]!thsiFinD("ths_adjustment_nv_fund",R$3,$A70))</f>
        <v/>
      </c>
      <c r="S70" s="13" t="str">
        <f>IF($A70="","",[1]!thsiFinD("ths_adjustment_nv_fund",S$3,$A70))</f>
        <v/>
      </c>
      <c r="T70" s="13" t="str">
        <f>IF($A70="","",[1]!thsiFinD("ths_adjustment_nv_fund",T$3,$A70))</f>
        <v/>
      </c>
      <c r="U70" s="13" t="str">
        <f>IF($A70="","",[1]!thsiFinD("ths_adjustment_nv_fund",U$3,$A70))</f>
        <v/>
      </c>
      <c r="V70" s="13" t="str">
        <f>IF($A70="","",[1]!thsiFinD("ths_adjustment_nv_fund",V$3,$A70))</f>
        <v/>
      </c>
      <c r="W70" s="13" t="str">
        <f>IF($A70="","",[1]!thsiFinD("ths_adjustment_nv_fund",W$3,$A70))</f>
        <v/>
      </c>
      <c r="X70" s="13" t="str">
        <f>IF($A70="","",[1]!thsiFinD("ths_adjustment_nv_fund",X$3,$A70))</f>
        <v/>
      </c>
      <c r="Y70" s="13" t="str">
        <f>IF($A70="","",[1]!thsiFinD("ths_adjustment_nv_fund",Y$3,$A70))</f>
        <v/>
      </c>
      <c r="Z70" s="13" t="str">
        <f>IF($A70="","",[1]!thsiFinD("ths_adjustment_nv_fund",Z$3,$A70))</f>
        <v/>
      </c>
      <c r="AA70" s="13" t="str">
        <f>IF($A70="","",[1]!thsiFinD("ths_adjustment_nv_fund",AA$3,$A70))</f>
        <v/>
      </c>
    </row>
    <row r="71" spans="1:27">
      <c r="A71" s="8"/>
      <c r="B71" s="13" t="str">
        <f>IF($A71="","",[1]!thsiFinD("ths_adjustment_nv_fund",B$3,$A71))</f>
        <v/>
      </c>
      <c r="C71" s="13" t="str">
        <f>IF($A71="","",[1]!thsiFinD("ths_adjustment_nv_fund",C$3,$A71))</f>
        <v/>
      </c>
      <c r="D71" s="13" t="str">
        <f>IF($A71="","",[1]!thsiFinD("ths_adjustment_nv_fund",D$3,$A71))</f>
        <v/>
      </c>
      <c r="E71" s="13" t="str">
        <f>IF($A71="","",[1]!thsiFinD("ths_adjustment_nv_fund",E$3,$A71))</f>
        <v/>
      </c>
      <c r="F71" s="13" t="str">
        <f>IF($A71="","",[1]!thsiFinD("ths_adjustment_nv_fund",F$3,$A71))</f>
        <v/>
      </c>
      <c r="G71" s="13" t="str">
        <f>IF($A71="","",[1]!thsiFinD("ths_adjustment_nv_fund",G$3,$A71))</f>
        <v/>
      </c>
      <c r="H71" s="13" t="str">
        <f>IF($A71="","",[1]!thsiFinD("ths_adjustment_nv_fund",H$3,$A71))</f>
        <v/>
      </c>
      <c r="I71" s="13" t="str">
        <f>IF($A71="","",[1]!thsiFinD("ths_adjustment_nv_fund",I$3,$A71))</f>
        <v/>
      </c>
      <c r="J71" s="13" t="str">
        <f>IF($A71="","",[1]!thsiFinD("ths_adjustment_nv_fund",J$3,$A71))</f>
        <v/>
      </c>
      <c r="K71" s="13" t="str">
        <f>IF($A71="","",[1]!thsiFinD("ths_adjustment_nv_fund",K$3,$A71))</f>
        <v/>
      </c>
      <c r="L71" s="13" t="str">
        <f>IF($A71="","",[1]!thsiFinD("ths_adjustment_nv_fund",L$3,$A71))</f>
        <v/>
      </c>
      <c r="M71" s="13" t="str">
        <f>IF($A71="","",[1]!thsiFinD("ths_adjustment_nv_fund",M$3,$A71))</f>
        <v/>
      </c>
      <c r="N71" s="13" t="str">
        <f>IF($A71="","",[1]!thsiFinD("ths_adjustment_nv_fund",N$3,$A71))</f>
        <v/>
      </c>
      <c r="O71" s="13" t="str">
        <f>IF($A71="","",[1]!thsiFinD("ths_adjustment_nv_fund",O$3,$A71))</f>
        <v/>
      </c>
      <c r="P71" s="13" t="str">
        <f>IF($A71="","",[1]!thsiFinD("ths_adjustment_nv_fund",P$3,$A71))</f>
        <v/>
      </c>
      <c r="Q71" s="13" t="str">
        <f>IF($A71="","",[1]!thsiFinD("ths_adjustment_nv_fund",Q$3,$A71))</f>
        <v/>
      </c>
      <c r="R71" s="13" t="str">
        <f>IF($A71="","",[1]!thsiFinD("ths_adjustment_nv_fund",R$3,$A71))</f>
        <v/>
      </c>
      <c r="S71" s="13" t="str">
        <f>IF($A71="","",[1]!thsiFinD("ths_adjustment_nv_fund",S$3,$A71))</f>
        <v/>
      </c>
      <c r="T71" s="13" t="str">
        <f>IF($A71="","",[1]!thsiFinD("ths_adjustment_nv_fund",T$3,$A71))</f>
        <v/>
      </c>
      <c r="U71" s="13" t="str">
        <f>IF($A71="","",[1]!thsiFinD("ths_adjustment_nv_fund",U$3,$A71))</f>
        <v/>
      </c>
      <c r="V71" s="13" t="str">
        <f>IF($A71="","",[1]!thsiFinD("ths_adjustment_nv_fund",V$3,$A71))</f>
        <v/>
      </c>
      <c r="W71" s="13" t="str">
        <f>IF($A71="","",[1]!thsiFinD("ths_adjustment_nv_fund",W$3,$A71))</f>
        <v/>
      </c>
      <c r="X71" s="13" t="str">
        <f>IF($A71="","",[1]!thsiFinD("ths_adjustment_nv_fund",X$3,$A71))</f>
        <v/>
      </c>
      <c r="Y71" s="13" t="str">
        <f>IF($A71="","",[1]!thsiFinD("ths_adjustment_nv_fund",Y$3,$A71))</f>
        <v/>
      </c>
      <c r="Z71" s="13" t="str">
        <f>IF($A71="","",[1]!thsiFinD("ths_adjustment_nv_fund",Z$3,$A71))</f>
        <v/>
      </c>
      <c r="AA71" s="13" t="str">
        <f>IF($A71="","",[1]!thsiFinD("ths_adjustment_nv_fund",AA$3,$A71))</f>
        <v/>
      </c>
    </row>
    <row r="72" spans="1:27">
      <c r="A72" s="8"/>
      <c r="B72" s="13" t="str">
        <f>IF($A72="","",[1]!thsiFinD("ths_adjustment_nv_fund",B$3,$A72))</f>
        <v/>
      </c>
      <c r="C72" s="13" t="str">
        <f>IF($A72="","",[1]!thsiFinD("ths_adjustment_nv_fund",C$3,$A72))</f>
        <v/>
      </c>
      <c r="D72" s="13" t="str">
        <f>IF($A72="","",[1]!thsiFinD("ths_adjustment_nv_fund",D$3,$A72))</f>
        <v/>
      </c>
      <c r="E72" s="13" t="str">
        <f>IF($A72="","",[1]!thsiFinD("ths_adjustment_nv_fund",E$3,$A72))</f>
        <v/>
      </c>
      <c r="F72" s="13" t="str">
        <f>IF($A72="","",[1]!thsiFinD("ths_adjustment_nv_fund",F$3,$A72))</f>
        <v/>
      </c>
      <c r="G72" s="13" t="str">
        <f>IF($A72="","",[1]!thsiFinD("ths_adjustment_nv_fund",G$3,$A72))</f>
        <v/>
      </c>
      <c r="H72" s="13" t="str">
        <f>IF($A72="","",[1]!thsiFinD("ths_adjustment_nv_fund",H$3,$A72))</f>
        <v/>
      </c>
      <c r="I72" s="13" t="str">
        <f>IF($A72="","",[1]!thsiFinD("ths_adjustment_nv_fund",I$3,$A72))</f>
        <v/>
      </c>
      <c r="J72" s="13" t="str">
        <f>IF($A72="","",[1]!thsiFinD("ths_adjustment_nv_fund",J$3,$A72))</f>
        <v/>
      </c>
      <c r="K72" s="13" t="str">
        <f>IF($A72="","",[1]!thsiFinD("ths_adjustment_nv_fund",K$3,$A72))</f>
        <v/>
      </c>
      <c r="L72" s="13" t="str">
        <f>IF($A72="","",[1]!thsiFinD("ths_adjustment_nv_fund",L$3,$A72))</f>
        <v/>
      </c>
      <c r="M72" s="13" t="str">
        <f>IF($A72="","",[1]!thsiFinD("ths_adjustment_nv_fund",M$3,$A72))</f>
        <v/>
      </c>
      <c r="N72" s="13" t="str">
        <f>IF($A72="","",[1]!thsiFinD("ths_adjustment_nv_fund",N$3,$A72))</f>
        <v/>
      </c>
      <c r="O72" s="13" t="str">
        <f>IF($A72="","",[1]!thsiFinD("ths_adjustment_nv_fund",O$3,$A72))</f>
        <v/>
      </c>
      <c r="P72" s="13" t="str">
        <f>IF($A72="","",[1]!thsiFinD("ths_adjustment_nv_fund",P$3,$A72))</f>
        <v/>
      </c>
      <c r="Q72" s="13" t="str">
        <f>IF($A72="","",[1]!thsiFinD("ths_adjustment_nv_fund",Q$3,$A72))</f>
        <v/>
      </c>
      <c r="R72" s="13" t="str">
        <f>IF($A72="","",[1]!thsiFinD("ths_adjustment_nv_fund",R$3,$A72))</f>
        <v/>
      </c>
      <c r="S72" s="13" t="str">
        <f>IF($A72="","",[1]!thsiFinD("ths_adjustment_nv_fund",S$3,$A72))</f>
        <v/>
      </c>
      <c r="T72" s="13" t="str">
        <f>IF($A72="","",[1]!thsiFinD("ths_adjustment_nv_fund",T$3,$A72))</f>
        <v/>
      </c>
      <c r="U72" s="13" t="str">
        <f>IF($A72="","",[1]!thsiFinD("ths_adjustment_nv_fund",U$3,$A72))</f>
        <v/>
      </c>
      <c r="V72" s="13" t="str">
        <f>IF($A72="","",[1]!thsiFinD("ths_adjustment_nv_fund",V$3,$A72))</f>
        <v/>
      </c>
      <c r="W72" s="13" t="str">
        <f>IF($A72="","",[1]!thsiFinD("ths_adjustment_nv_fund",W$3,$A72))</f>
        <v/>
      </c>
      <c r="X72" s="13" t="str">
        <f>IF($A72="","",[1]!thsiFinD("ths_adjustment_nv_fund",X$3,$A72))</f>
        <v/>
      </c>
      <c r="Y72" s="13" t="str">
        <f>IF($A72="","",[1]!thsiFinD("ths_adjustment_nv_fund",Y$3,$A72))</f>
        <v/>
      </c>
      <c r="Z72" s="13" t="str">
        <f>IF($A72="","",[1]!thsiFinD("ths_adjustment_nv_fund",Z$3,$A72))</f>
        <v/>
      </c>
      <c r="AA72" s="13" t="str">
        <f>IF($A72="","",[1]!thsiFinD("ths_adjustment_nv_fund",AA$3,$A72))</f>
        <v/>
      </c>
    </row>
    <row r="73" spans="1:27">
      <c r="A73" s="8"/>
      <c r="B73" s="13" t="str">
        <f>IF($A73="","",[1]!thsiFinD("ths_adjustment_nv_fund",B$3,$A73))</f>
        <v/>
      </c>
      <c r="C73" s="13" t="str">
        <f>IF($A73="","",[1]!thsiFinD("ths_adjustment_nv_fund",C$3,$A73))</f>
        <v/>
      </c>
      <c r="D73" s="13" t="str">
        <f>IF($A73="","",[1]!thsiFinD("ths_adjustment_nv_fund",D$3,$A73))</f>
        <v/>
      </c>
      <c r="E73" s="13" t="str">
        <f>IF($A73="","",[1]!thsiFinD("ths_adjustment_nv_fund",E$3,$A73))</f>
        <v/>
      </c>
      <c r="F73" s="13" t="str">
        <f>IF($A73="","",[1]!thsiFinD("ths_adjustment_nv_fund",F$3,$A73))</f>
        <v/>
      </c>
      <c r="G73" s="13" t="str">
        <f>IF($A73="","",[1]!thsiFinD("ths_adjustment_nv_fund",G$3,$A73))</f>
        <v/>
      </c>
      <c r="H73" s="13" t="str">
        <f>IF($A73="","",[1]!thsiFinD("ths_adjustment_nv_fund",H$3,$A73))</f>
        <v/>
      </c>
      <c r="I73" s="13" t="str">
        <f>IF($A73="","",[1]!thsiFinD("ths_adjustment_nv_fund",I$3,$A73))</f>
        <v/>
      </c>
      <c r="J73" s="13" t="str">
        <f>IF($A73="","",[1]!thsiFinD("ths_adjustment_nv_fund",J$3,$A73))</f>
        <v/>
      </c>
      <c r="K73" s="13" t="str">
        <f>IF($A73="","",[1]!thsiFinD("ths_adjustment_nv_fund",K$3,$A73))</f>
        <v/>
      </c>
      <c r="L73" s="13" t="str">
        <f>IF($A73="","",[1]!thsiFinD("ths_adjustment_nv_fund",L$3,$A73))</f>
        <v/>
      </c>
      <c r="M73" s="13" t="str">
        <f>IF($A73="","",[1]!thsiFinD("ths_adjustment_nv_fund",M$3,$A73))</f>
        <v/>
      </c>
      <c r="N73" s="13" t="str">
        <f>IF($A73="","",[1]!thsiFinD("ths_adjustment_nv_fund",N$3,$A73))</f>
        <v/>
      </c>
      <c r="O73" s="13" t="str">
        <f>IF($A73="","",[1]!thsiFinD("ths_adjustment_nv_fund",O$3,$A73))</f>
        <v/>
      </c>
      <c r="P73" s="13" t="str">
        <f>IF($A73="","",[1]!thsiFinD("ths_adjustment_nv_fund",P$3,$A73))</f>
        <v/>
      </c>
      <c r="Q73" s="13" t="str">
        <f>IF($A73="","",[1]!thsiFinD("ths_adjustment_nv_fund",Q$3,$A73))</f>
        <v/>
      </c>
      <c r="R73" s="13" t="str">
        <f>IF($A73="","",[1]!thsiFinD("ths_adjustment_nv_fund",R$3,$A73))</f>
        <v/>
      </c>
      <c r="S73" s="13" t="str">
        <f>IF($A73="","",[1]!thsiFinD("ths_adjustment_nv_fund",S$3,$A73))</f>
        <v/>
      </c>
      <c r="T73" s="13" t="str">
        <f>IF($A73="","",[1]!thsiFinD("ths_adjustment_nv_fund",T$3,$A73))</f>
        <v/>
      </c>
      <c r="U73" s="13" t="str">
        <f>IF($A73="","",[1]!thsiFinD("ths_adjustment_nv_fund",U$3,$A73))</f>
        <v/>
      </c>
      <c r="V73" s="13" t="str">
        <f>IF($A73="","",[1]!thsiFinD("ths_adjustment_nv_fund",V$3,$A73))</f>
        <v/>
      </c>
      <c r="W73" s="13" t="str">
        <f>IF($A73="","",[1]!thsiFinD("ths_adjustment_nv_fund",W$3,$A73))</f>
        <v/>
      </c>
      <c r="X73" s="13" t="str">
        <f>IF($A73="","",[1]!thsiFinD("ths_adjustment_nv_fund",X$3,$A73))</f>
        <v/>
      </c>
      <c r="Y73" s="13" t="str">
        <f>IF($A73="","",[1]!thsiFinD("ths_adjustment_nv_fund",Y$3,$A73))</f>
        <v/>
      </c>
      <c r="Z73" s="13" t="str">
        <f>IF($A73="","",[1]!thsiFinD("ths_adjustment_nv_fund",Z$3,$A73))</f>
        <v/>
      </c>
      <c r="AA73" s="13" t="str">
        <f>IF($A73="","",[1]!thsiFinD("ths_adjustment_nv_fund",AA$3,$A73))</f>
        <v/>
      </c>
    </row>
    <row r="74" spans="1:27">
      <c r="A74" s="8"/>
      <c r="B74" s="13" t="str">
        <f>IF($A74="","",[1]!thsiFinD("ths_adjustment_nv_fund",B$3,$A74))</f>
        <v/>
      </c>
      <c r="C74" s="13" t="str">
        <f>IF($A74="","",[1]!thsiFinD("ths_adjustment_nv_fund",C$3,$A74))</f>
        <v/>
      </c>
      <c r="D74" s="13" t="str">
        <f>IF($A74="","",[1]!thsiFinD("ths_adjustment_nv_fund",D$3,$A74))</f>
        <v/>
      </c>
      <c r="E74" s="13" t="str">
        <f>IF($A74="","",[1]!thsiFinD("ths_adjustment_nv_fund",E$3,$A74))</f>
        <v/>
      </c>
      <c r="F74" s="13" t="str">
        <f>IF($A74="","",[1]!thsiFinD("ths_adjustment_nv_fund",F$3,$A74))</f>
        <v/>
      </c>
      <c r="G74" s="13" t="str">
        <f>IF($A74="","",[1]!thsiFinD("ths_adjustment_nv_fund",G$3,$A74))</f>
        <v/>
      </c>
      <c r="H74" s="13" t="str">
        <f>IF($A74="","",[1]!thsiFinD("ths_adjustment_nv_fund",H$3,$A74))</f>
        <v/>
      </c>
      <c r="I74" s="13" t="str">
        <f>IF($A74="","",[1]!thsiFinD("ths_adjustment_nv_fund",I$3,$A74))</f>
        <v/>
      </c>
      <c r="J74" s="13" t="str">
        <f>IF($A74="","",[1]!thsiFinD("ths_adjustment_nv_fund",J$3,$A74))</f>
        <v/>
      </c>
      <c r="K74" s="13" t="str">
        <f>IF($A74="","",[1]!thsiFinD("ths_adjustment_nv_fund",K$3,$A74))</f>
        <v/>
      </c>
      <c r="L74" s="13" t="str">
        <f>IF($A74="","",[1]!thsiFinD("ths_adjustment_nv_fund",L$3,$A74))</f>
        <v/>
      </c>
      <c r="M74" s="13" t="str">
        <f>IF($A74="","",[1]!thsiFinD("ths_adjustment_nv_fund",M$3,$A74))</f>
        <v/>
      </c>
      <c r="N74" s="13" t="str">
        <f>IF($A74="","",[1]!thsiFinD("ths_adjustment_nv_fund",N$3,$A74))</f>
        <v/>
      </c>
      <c r="O74" s="13" t="str">
        <f>IF($A74="","",[1]!thsiFinD("ths_adjustment_nv_fund",O$3,$A74))</f>
        <v/>
      </c>
      <c r="P74" s="13" t="str">
        <f>IF($A74="","",[1]!thsiFinD("ths_adjustment_nv_fund",P$3,$A74))</f>
        <v/>
      </c>
      <c r="Q74" s="13" t="str">
        <f>IF($A74="","",[1]!thsiFinD("ths_adjustment_nv_fund",Q$3,$A74))</f>
        <v/>
      </c>
      <c r="R74" s="13" t="str">
        <f>IF($A74="","",[1]!thsiFinD("ths_adjustment_nv_fund",R$3,$A74))</f>
        <v/>
      </c>
      <c r="S74" s="13" t="str">
        <f>IF($A74="","",[1]!thsiFinD("ths_adjustment_nv_fund",S$3,$A74))</f>
        <v/>
      </c>
      <c r="T74" s="13" t="str">
        <f>IF($A74="","",[1]!thsiFinD("ths_adjustment_nv_fund",T$3,$A74))</f>
        <v/>
      </c>
      <c r="U74" s="13" t="str">
        <f>IF($A74="","",[1]!thsiFinD("ths_adjustment_nv_fund",U$3,$A74))</f>
        <v/>
      </c>
      <c r="V74" s="13" t="str">
        <f>IF($A74="","",[1]!thsiFinD("ths_adjustment_nv_fund",V$3,$A74))</f>
        <v/>
      </c>
      <c r="W74" s="13" t="str">
        <f>IF($A74="","",[1]!thsiFinD("ths_adjustment_nv_fund",W$3,$A74))</f>
        <v/>
      </c>
      <c r="X74" s="13" t="str">
        <f>IF($A74="","",[1]!thsiFinD("ths_adjustment_nv_fund",X$3,$A74))</f>
        <v/>
      </c>
      <c r="Y74" s="13" t="str">
        <f>IF($A74="","",[1]!thsiFinD("ths_adjustment_nv_fund",Y$3,$A74))</f>
        <v/>
      </c>
      <c r="Z74" s="13" t="str">
        <f>IF($A74="","",[1]!thsiFinD("ths_adjustment_nv_fund",Z$3,$A74))</f>
        <v/>
      </c>
      <c r="AA74" s="13" t="str">
        <f>IF($A74="","",[1]!thsiFinD("ths_adjustment_nv_fund",AA$3,$A74))</f>
        <v/>
      </c>
    </row>
    <row r="75" spans="1:27">
      <c r="A75" s="8"/>
      <c r="B75" s="13" t="str">
        <f>IF($A75="","",[1]!thsiFinD("ths_adjustment_nv_fund",B$3,$A75))</f>
        <v/>
      </c>
      <c r="C75" s="13" t="str">
        <f>IF($A75="","",[1]!thsiFinD("ths_adjustment_nv_fund",C$3,$A75))</f>
        <v/>
      </c>
      <c r="D75" s="13" t="str">
        <f>IF($A75="","",[1]!thsiFinD("ths_adjustment_nv_fund",D$3,$A75))</f>
        <v/>
      </c>
      <c r="E75" s="13" t="str">
        <f>IF($A75="","",[1]!thsiFinD("ths_adjustment_nv_fund",E$3,$A75))</f>
        <v/>
      </c>
      <c r="F75" s="13" t="str">
        <f>IF($A75="","",[1]!thsiFinD("ths_adjustment_nv_fund",F$3,$A75))</f>
        <v/>
      </c>
      <c r="G75" s="13" t="str">
        <f>IF($A75="","",[1]!thsiFinD("ths_adjustment_nv_fund",G$3,$A75))</f>
        <v/>
      </c>
      <c r="H75" s="13" t="str">
        <f>IF($A75="","",[1]!thsiFinD("ths_adjustment_nv_fund",H$3,$A75))</f>
        <v/>
      </c>
      <c r="I75" s="13" t="str">
        <f>IF($A75="","",[1]!thsiFinD("ths_adjustment_nv_fund",I$3,$A75))</f>
        <v/>
      </c>
      <c r="J75" s="13" t="str">
        <f>IF($A75="","",[1]!thsiFinD("ths_adjustment_nv_fund",J$3,$A75))</f>
        <v/>
      </c>
      <c r="K75" s="13" t="str">
        <f>IF($A75="","",[1]!thsiFinD("ths_adjustment_nv_fund",K$3,$A75))</f>
        <v/>
      </c>
      <c r="L75" s="13" t="str">
        <f>IF($A75="","",[1]!thsiFinD("ths_adjustment_nv_fund",L$3,$A75))</f>
        <v/>
      </c>
      <c r="M75" s="13" t="str">
        <f>IF($A75="","",[1]!thsiFinD("ths_adjustment_nv_fund",M$3,$A75))</f>
        <v/>
      </c>
      <c r="N75" s="13" t="str">
        <f>IF($A75="","",[1]!thsiFinD("ths_adjustment_nv_fund",N$3,$A75))</f>
        <v/>
      </c>
      <c r="O75" s="13" t="str">
        <f>IF($A75="","",[1]!thsiFinD("ths_adjustment_nv_fund",O$3,$A75))</f>
        <v/>
      </c>
      <c r="P75" s="13" t="str">
        <f>IF($A75="","",[1]!thsiFinD("ths_adjustment_nv_fund",P$3,$A75))</f>
        <v/>
      </c>
      <c r="Q75" s="13" t="str">
        <f>IF($A75="","",[1]!thsiFinD("ths_adjustment_nv_fund",Q$3,$A75))</f>
        <v/>
      </c>
      <c r="R75" s="13" t="str">
        <f>IF($A75="","",[1]!thsiFinD("ths_adjustment_nv_fund",R$3,$A75))</f>
        <v/>
      </c>
      <c r="S75" s="13" t="str">
        <f>IF($A75="","",[1]!thsiFinD("ths_adjustment_nv_fund",S$3,$A75))</f>
        <v/>
      </c>
      <c r="T75" s="13" t="str">
        <f>IF($A75="","",[1]!thsiFinD("ths_adjustment_nv_fund",T$3,$A75))</f>
        <v/>
      </c>
      <c r="U75" s="13" t="str">
        <f>IF($A75="","",[1]!thsiFinD("ths_adjustment_nv_fund",U$3,$A75))</f>
        <v/>
      </c>
      <c r="V75" s="13" t="str">
        <f>IF($A75="","",[1]!thsiFinD("ths_adjustment_nv_fund",V$3,$A75))</f>
        <v/>
      </c>
      <c r="W75" s="13" t="str">
        <f>IF($A75="","",[1]!thsiFinD("ths_adjustment_nv_fund",W$3,$A75))</f>
        <v/>
      </c>
      <c r="X75" s="13" t="str">
        <f>IF($A75="","",[1]!thsiFinD("ths_adjustment_nv_fund",X$3,$A75))</f>
        <v/>
      </c>
      <c r="Y75" s="13" t="str">
        <f>IF($A75="","",[1]!thsiFinD("ths_adjustment_nv_fund",Y$3,$A75))</f>
        <v/>
      </c>
      <c r="Z75" s="13" t="str">
        <f>IF($A75="","",[1]!thsiFinD("ths_adjustment_nv_fund",Z$3,$A75))</f>
        <v/>
      </c>
      <c r="AA75" s="13" t="str">
        <f>IF($A75="","",[1]!thsiFinD("ths_adjustment_nv_fund",AA$3,$A75))</f>
        <v/>
      </c>
    </row>
    <row r="76" spans="1:27">
      <c r="A76" s="8"/>
      <c r="B76" s="13" t="str">
        <f>IF($A76="","",[1]!thsiFinD("ths_adjustment_nv_fund",B$3,$A76))</f>
        <v/>
      </c>
      <c r="C76" s="13" t="str">
        <f>IF($A76="","",[1]!thsiFinD("ths_adjustment_nv_fund",C$3,$A76))</f>
        <v/>
      </c>
      <c r="D76" s="13" t="str">
        <f>IF($A76="","",[1]!thsiFinD("ths_adjustment_nv_fund",D$3,$A76))</f>
        <v/>
      </c>
      <c r="E76" s="13" t="str">
        <f>IF($A76="","",[1]!thsiFinD("ths_adjustment_nv_fund",E$3,$A76))</f>
        <v/>
      </c>
      <c r="F76" s="13" t="str">
        <f>IF($A76="","",[1]!thsiFinD("ths_adjustment_nv_fund",F$3,$A76))</f>
        <v/>
      </c>
      <c r="G76" s="13" t="str">
        <f>IF($A76="","",[1]!thsiFinD("ths_adjustment_nv_fund",G$3,$A76))</f>
        <v/>
      </c>
      <c r="H76" s="13" t="str">
        <f>IF($A76="","",[1]!thsiFinD("ths_adjustment_nv_fund",H$3,$A76))</f>
        <v/>
      </c>
      <c r="I76" s="13" t="str">
        <f>IF($A76="","",[1]!thsiFinD("ths_adjustment_nv_fund",I$3,$A76))</f>
        <v/>
      </c>
      <c r="J76" s="13" t="str">
        <f>IF($A76="","",[1]!thsiFinD("ths_adjustment_nv_fund",J$3,$A76))</f>
        <v/>
      </c>
      <c r="K76" s="13" t="str">
        <f>IF($A76="","",[1]!thsiFinD("ths_adjustment_nv_fund",K$3,$A76))</f>
        <v/>
      </c>
      <c r="L76" s="13" t="str">
        <f>IF($A76="","",[1]!thsiFinD("ths_adjustment_nv_fund",L$3,$A76))</f>
        <v/>
      </c>
      <c r="M76" s="13" t="str">
        <f>IF($A76="","",[1]!thsiFinD("ths_adjustment_nv_fund",M$3,$A76))</f>
        <v/>
      </c>
      <c r="N76" s="13" t="str">
        <f>IF($A76="","",[1]!thsiFinD("ths_adjustment_nv_fund",N$3,$A76))</f>
        <v/>
      </c>
      <c r="O76" s="13" t="str">
        <f>IF($A76="","",[1]!thsiFinD("ths_adjustment_nv_fund",O$3,$A76))</f>
        <v/>
      </c>
      <c r="P76" s="13" t="str">
        <f>IF($A76="","",[1]!thsiFinD("ths_adjustment_nv_fund",P$3,$A76))</f>
        <v/>
      </c>
      <c r="Q76" s="13" t="str">
        <f>IF($A76="","",[1]!thsiFinD("ths_adjustment_nv_fund",Q$3,$A76))</f>
        <v/>
      </c>
      <c r="R76" s="13" t="str">
        <f>IF($A76="","",[1]!thsiFinD("ths_adjustment_nv_fund",R$3,$A76))</f>
        <v/>
      </c>
      <c r="S76" s="13" t="str">
        <f>IF($A76="","",[1]!thsiFinD("ths_adjustment_nv_fund",S$3,$A76))</f>
        <v/>
      </c>
      <c r="T76" s="13" t="str">
        <f>IF($A76="","",[1]!thsiFinD("ths_adjustment_nv_fund",T$3,$A76))</f>
        <v/>
      </c>
      <c r="U76" s="13" t="str">
        <f>IF($A76="","",[1]!thsiFinD("ths_adjustment_nv_fund",U$3,$A76))</f>
        <v/>
      </c>
      <c r="V76" s="13" t="str">
        <f>IF($A76="","",[1]!thsiFinD("ths_adjustment_nv_fund",V$3,$A76))</f>
        <v/>
      </c>
      <c r="W76" s="13" t="str">
        <f>IF($A76="","",[1]!thsiFinD("ths_adjustment_nv_fund",W$3,$A76))</f>
        <v/>
      </c>
      <c r="X76" s="13" t="str">
        <f>IF($A76="","",[1]!thsiFinD("ths_adjustment_nv_fund",X$3,$A76))</f>
        <v/>
      </c>
      <c r="Y76" s="13" t="str">
        <f>IF($A76="","",[1]!thsiFinD("ths_adjustment_nv_fund",Y$3,$A76))</f>
        <v/>
      </c>
      <c r="Z76" s="13" t="str">
        <f>IF($A76="","",[1]!thsiFinD("ths_adjustment_nv_fund",Z$3,$A76))</f>
        <v/>
      </c>
      <c r="AA76" s="13" t="str">
        <f>IF($A76="","",[1]!thsiFinD("ths_adjustment_nv_fund",AA$3,$A76))</f>
        <v/>
      </c>
    </row>
    <row r="77" spans="1:27">
      <c r="A77" s="8"/>
      <c r="B77" s="13" t="str">
        <f>IF($A77="","",[1]!thsiFinD("ths_adjustment_nv_fund",B$3,$A77))</f>
        <v/>
      </c>
      <c r="C77" s="13" t="str">
        <f>IF($A77="","",[1]!thsiFinD("ths_adjustment_nv_fund",C$3,$A77))</f>
        <v/>
      </c>
      <c r="D77" s="13" t="str">
        <f>IF($A77="","",[1]!thsiFinD("ths_adjustment_nv_fund",D$3,$A77))</f>
        <v/>
      </c>
      <c r="E77" s="13" t="str">
        <f>IF($A77="","",[1]!thsiFinD("ths_adjustment_nv_fund",E$3,$A77))</f>
        <v/>
      </c>
      <c r="F77" s="13" t="str">
        <f>IF($A77="","",[1]!thsiFinD("ths_adjustment_nv_fund",F$3,$A77))</f>
        <v/>
      </c>
      <c r="G77" s="13" t="str">
        <f>IF($A77="","",[1]!thsiFinD("ths_adjustment_nv_fund",G$3,$A77))</f>
        <v/>
      </c>
      <c r="H77" s="13" t="str">
        <f>IF($A77="","",[1]!thsiFinD("ths_adjustment_nv_fund",H$3,$A77))</f>
        <v/>
      </c>
      <c r="I77" s="13" t="str">
        <f>IF($A77="","",[1]!thsiFinD("ths_adjustment_nv_fund",I$3,$A77))</f>
        <v/>
      </c>
      <c r="J77" s="13" t="str">
        <f>IF($A77="","",[1]!thsiFinD("ths_adjustment_nv_fund",J$3,$A77))</f>
        <v/>
      </c>
      <c r="K77" s="13" t="str">
        <f>IF($A77="","",[1]!thsiFinD("ths_adjustment_nv_fund",K$3,$A77))</f>
        <v/>
      </c>
      <c r="L77" s="13" t="str">
        <f>IF($A77="","",[1]!thsiFinD("ths_adjustment_nv_fund",L$3,$A77))</f>
        <v/>
      </c>
      <c r="M77" s="13" t="str">
        <f>IF($A77="","",[1]!thsiFinD("ths_adjustment_nv_fund",M$3,$A77))</f>
        <v/>
      </c>
      <c r="N77" s="13" t="str">
        <f>IF($A77="","",[1]!thsiFinD("ths_adjustment_nv_fund",N$3,$A77))</f>
        <v/>
      </c>
      <c r="O77" s="13" t="str">
        <f>IF($A77="","",[1]!thsiFinD("ths_adjustment_nv_fund",O$3,$A77))</f>
        <v/>
      </c>
      <c r="P77" s="13" t="str">
        <f>IF($A77="","",[1]!thsiFinD("ths_adjustment_nv_fund",P$3,$A77))</f>
        <v/>
      </c>
      <c r="Q77" s="13" t="str">
        <f>IF($A77="","",[1]!thsiFinD("ths_adjustment_nv_fund",Q$3,$A77))</f>
        <v/>
      </c>
      <c r="R77" s="13" t="str">
        <f>IF($A77="","",[1]!thsiFinD("ths_adjustment_nv_fund",R$3,$A77))</f>
        <v/>
      </c>
      <c r="S77" s="13" t="str">
        <f>IF($A77="","",[1]!thsiFinD("ths_adjustment_nv_fund",S$3,$A77))</f>
        <v/>
      </c>
      <c r="T77" s="13" t="str">
        <f>IF($A77="","",[1]!thsiFinD("ths_adjustment_nv_fund",T$3,$A77))</f>
        <v/>
      </c>
      <c r="U77" s="13" t="str">
        <f>IF($A77="","",[1]!thsiFinD("ths_adjustment_nv_fund",U$3,$A77))</f>
        <v/>
      </c>
      <c r="V77" s="13" t="str">
        <f>IF($A77="","",[1]!thsiFinD("ths_adjustment_nv_fund",V$3,$A77))</f>
        <v/>
      </c>
      <c r="W77" s="13" t="str">
        <f>IF($A77="","",[1]!thsiFinD("ths_adjustment_nv_fund",W$3,$A77))</f>
        <v/>
      </c>
      <c r="X77" s="13" t="str">
        <f>IF($A77="","",[1]!thsiFinD("ths_adjustment_nv_fund",X$3,$A77))</f>
        <v/>
      </c>
      <c r="Y77" s="13" t="str">
        <f>IF($A77="","",[1]!thsiFinD("ths_adjustment_nv_fund",Y$3,$A77))</f>
        <v/>
      </c>
      <c r="Z77" s="13" t="str">
        <f>IF($A77="","",[1]!thsiFinD("ths_adjustment_nv_fund",Z$3,$A77))</f>
        <v/>
      </c>
      <c r="AA77" s="13" t="str">
        <f>IF($A77="","",[1]!thsiFinD("ths_adjustment_nv_fund",AA$3,$A77))</f>
        <v/>
      </c>
    </row>
    <row r="78" spans="1:27">
      <c r="A78" s="8"/>
      <c r="B78" s="13" t="str">
        <f>IF($A78="","",[1]!thsiFinD("ths_adjustment_nv_fund",B$3,$A78))</f>
        <v/>
      </c>
      <c r="C78" s="13" t="str">
        <f>IF($A78="","",[1]!thsiFinD("ths_adjustment_nv_fund",C$3,$A78))</f>
        <v/>
      </c>
      <c r="D78" s="13" t="str">
        <f>IF($A78="","",[1]!thsiFinD("ths_adjustment_nv_fund",D$3,$A78))</f>
        <v/>
      </c>
      <c r="E78" s="13" t="str">
        <f>IF($A78="","",[1]!thsiFinD("ths_adjustment_nv_fund",E$3,$A78))</f>
        <v/>
      </c>
      <c r="F78" s="13" t="str">
        <f>IF($A78="","",[1]!thsiFinD("ths_adjustment_nv_fund",F$3,$A78))</f>
        <v/>
      </c>
      <c r="G78" s="13" t="str">
        <f>IF($A78="","",[1]!thsiFinD("ths_adjustment_nv_fund",G$3,$A78))</f>
        <v/>
      </c>
      <c r="H78" s="13" t="str">
        <f>IF($A78="","",[1]!thsiFinD("ths_adjustment_nv_fund",H$3,$A78))</f>
        <v/>
      </c>
      <c r="I78" s="13" t="str">
        <f>IF($A78="","",[1]!thsiFinD("ths_adjustment_nv_fund",I$3,$A78))</f>
        <v/>
      </c>
      <c r="J78" s="13" t="str">
        <f>IF($A78="","",[1]!thsiFinD("ths_adjustment_nv_fund",J$3,$A78))</f>
        <v/>
      </c>
      <c r="K78" s="13" t="str">
        <f>IF($A78="","",[1]!thsiFinD("ths_adjustment_nv_fund",K$3,$A78))</f>
        <v/>
      </c>
      <c r="L78" s="13" t="str">
        <f>IF($A78="","",[1]!thsiFinD("ths_adjustment_nv_fund",L$3,$A78))</f>
        <v/>
      </c>
      <c r="M78" s="13" t="str">
        <f>IF($A78="","",[1]!thsiFinD("ths_adjustment_nv_fund",M$3,$A78))</f>
        <v/>
      </c>
      <c r="N78" s="13" t="str">
        <f>IF($A78="","",[1]!thsiFinD("ths_adjustment_nv_fund",N$3,$A78))</f>
        <v/>
      </c>
      <c r="O78" s="13" t="str">
        <f>IF($A78="","",[1]!thsiFinD("ths_adjustment_nv_fund",O$3,$A78))</f>
        <v/>
      </c>
      <c r="P78" s="13" t="str">
        <f>IF($A78="","",[1]!thsiFinD("ths_adjustment_nv_fund",P$3,$A78))</f>
        <v/>
      </c>
      <c r="Q78" s="13" t="str">
        <f>IF($A78="","",[1]!thsiFinD("ths_adjustment_nv_fund",Q$3,$A78))</f>
        <v/>
      </c>
      <c r="R78" s="13" t="str">
        <f>IF($A78="","",[1]!thsiFinD("ths_adjustment_nv_fund",R$3,$A78))</f>
        <v/>
      </c>
      <c r="S78" s="13" t="str">
        <f>IF($A78="","",[1]!thsiFinD("ths_adjustment_nv_fund",S$3,$A78))</f>
        <v/>
      </c>
      <c r="T78" s="13" t="str">
        <f>IF($A78="","",[1]!thsiFinD("ths_adjustment_nv_fund",T$3,$A78))</f>
        <v/>
      </c>
      <c r="U78" s="13" t="str">
        <f>IF($A78="","",[1]!thsiFinD("ths_adjustment_nv_fund",U$3,$A78))</f>
        <v/>
      </c>
      <c r="V78" s="13" t="str">
        <f>IF($A78="","",[1]!thsiFinD("ths_adjustment_nv_fund",V$3,$A78))</f>
        <v/>
      </c>
      <c r="W78" s="13" t="str">
        <f>IF($A78="","",[1]!thsiFinD("ths_adjustment_nv_fund",W$3,$A78))</f>
        <v/>
      </c>
      <c r="X78" s="13" t="str">
        <f>IF($A78="","",[1]!thsiFinD("ths_adjustment_nv_fund",X$3,$A78))</f>
        <v/>
      </c>
      <c r="Y78" s="13" t="str">
        <f>IF($A78="","",[1]!thsiFinD("ths_adjustment_nv_fund",Y$3,$A78))</f>
        <v/>
      </c>
      <c r="Z78" s="13" t="str">
        <f>IF($A78="","",[1]!thsiFinD("ths_adjustment_nv_fund",Z$3,$A78))</f>
        <v/>
      </c>
      <c r="AA78" s="13" t="str">
        <f>IF($A78="","",[1]!thsiFinD("ths_adjustment_nv_fund",AA$3,$A78))</f>
        <v/>
      </c>
    </row>
    <row r="79" spans="1:27">
      <c r="A79" s="8"/>
      <c r="B79" s="13" t="str">
        <f>IF($A79="","",[1]!thsiFinD("ths_adjustment_nv_fund",B$3,$A79))</f>
        <v/>
      </c>
      <c r="C79" s="13" t="str">
        <f>IF($A79="","",[1]!thsiFinD("ths_adjustment_nv_fund",C$3,$A79))</f>
        <v/>
      </c>
      <c r="D79" s="13" t="str">
        <f>IF($A79="","",[1]!thsiFinD("ths_adjustment_nv_fund",D$3,$A79))</f>
        <v/>
      </c>
      <c r="E79" s="13" t="str">
        <f>IF($A79="","",[1]!thsiFinD("ths_adjustment_nv_fund",E$3,$A79))</f>
        <v/>
      </c>
      <c r="F79" s="13" t="str">
        <f>IF($A79="","",[1]!thsiFinD("ths_adjustment_nv_fund",F$3,$A79))</f>
        <v/>
      </c>
      <c r="G79" s="13" t="str">
        <f>IF($A79="","",[1]!thsiFinD("ths_adjustment_nv_fund",G$3,$A79))</f>
        <v/>
      </c>
      <c r="H79" s="13" t="str">
        <f>IF($A79="","",[1]!thsiFinD("ths_adjustment_nv_fund",H$3,$A79))</f>
        <v/>
      </c>
      <c r="I79" s="13" t="str">
        <f>IF($A79="","",[1]!thsiFinD("ths_adjustment_nv_fund",I$3,$A79))</f>
        <v/>
      </c>
      <c r="J79" s="13" t="str">
        <f>IF($A79="","",[1]!thsiFinD("ths_adjustment_nv_fund",J$3,$A79))</f>
        <v/>
      </c>
      <c r="K79" s="13" t="str">
        <f>IF($A79="","",[1]!thsiFinD("ths_adjustment_nv_fund",K$3,$A79))</f>
        <v/>
      </c>
      <c r="L79" s="13" t="str">
        <f>IF($A79="","",[1]!thsiFinD("ths_adjustment_nv_fund",L$3,$A79))</f>
        <v/>
      </c>
      <c r="M79" s="13" t="str">
        <f>IF($A79="","",[1]!thsiFinD("ths_adjustment_nv_fund",M$3,$A79))</f>
        <v/>
      </c>
      <c r="N79" s="13" t="str">
        <f>IF($A79="","",[1]!thsiFinD("ths_adjustment_nv_fund",N$3,$A79))</f>
        <v/>
      </c>
      <c r="O79" s="13" t="str">
        <f>IF($A79="","",[1]!thsiFinD("ths_adjustment_nv_fund",O$3,$A79))</f>
        <v/>
      </c>
      <c r="P79" s="13" t="str">
        <f>IF($A79="","",[1]!thsiFinD("ths_adjustment_nv_fund",P$3,$A79))</f>
        <v/>
      </c>
      <c r="Q79" s="13" t="str">
        <f>IF($A79="","",[1]!thsiFinD("ths_adjustment_nv_fund",Q$3,$A79))</f>
        <v/>
      </c>
      <c r="R79" s="13" t="str">
        <f>IF($A79="","",[1]!thsiFinD("ths_adjustment_nv_fund",R$3,$A79))</f>
        <v/>
      </c>
      <c r="S79" s="13" t="str">
        <f>IF($A79="","",[1]!thsiFinD("ths_adjustment_nv_fund",S$3,$A79))</f>
        <v/>
      </c>
      <c r="T79" s="13" t="str">
        <f>IF($A79="","",[1]!thsiFinD("ths_adjustment_nv_fund",T$3,$A79))</f>
        <v/>
      </c>
      <c r="U79" s="13" t="str">
        <f>IF($A79="","",[1]!thsiFinD("ths_adjustment_nv_fund",U$3,$A79))</f>
        <v/>
      </c>
      <c r="V79" s="13" t="str">
        <f>IF($A79="","",[1]!thsiFinD("ths_adjustment_nv_fund",V$3,$A79))</f>
        <v/>
      </c>
      <c r="W79" s="13" t="str">
        <f>IF($A79="","",[1]!thsiFinD("ths_adjustment_nv_fund",W$3,$A79))</f>
        <v/>
      </c>
      <c r="X79" s="13" t="str">
        <f>IF($A79="","",[1]!thsiFinD("ths_adjustment_nv_fund",X$3,$A79))</f>
        <v/>
      </c>
      <c r="Y79" s="13" t="str">
        <f>IF($A79="","",[1]!thsiFinD("ths_adjustment_nv_fund",Y$3,$A79))</f>
        <v/>
      </c>
      <c r="Z79" s="13" t="str">
        <f>IF($A79="","",[1]!thsiFinD("ths_adjustment_nv_fund",Z$3,$A79))</f>
        <v/>
      </c>
      <c r="AA79" s="13" t="str">
        <f>IF($A79="","",[1]!thsiFinD("ths_adjustment_nv_fund",AA$3,$A79))</f>
        <v/>
      </c>
    </row>
    <row r="80" spans="1:27">
      <c r="A80" s="8"/>
      <c r="B80" s="13" t="str">
        <f>IF($A80="","",[1]!thsiFinD("ths_adjustment_nv_fund",B$3,$A80))</f>
        <v/>
      </c>
      <c r="C80" s="13" t="str">
        <f>IF($A80="","",[1]!thsiFinD("ths_adjustment_nv_fund",C$3,$A80))</f>
        <v/>
      </c>
      <c r="D80" s="13" t="str">
        <f>IF($A80="","",[1]!thsiFinD("ths_adjustment_nv_fund",D$3,$A80))</f>
        <v/>
      </c>
      <c r="E80" s="13" t="str">
        <f>IF($A80="","",[1]!thsiFinD("ths_adjustment_nv_fund",E$3,$A80))</f>
        <v/>
      </c>
      <c r="F80" s="13" t="str">
        <f>IF($A80="","",[1]!thsiFinD("ths_adjustment_nv_fund",F$3,$A80))</f>
        <v/>
      </c>
      <c r="G80" s="13" t="str">
        <f>IF($A80="","",[1]!thsiFinD("ths_adjustment_nv_fund",G$3,$A80))</f>
        <v/>
      </c>
      <c r="H80" s="13" t="str">
        <f>IF($A80="","",[1]!thsiFinD("ths_adjustment_nv_fund",H$3,$A80))</f>
        <v/>
      </c>
      <c r="I80" s="13" t="str">
        <f>IF($A80="","",[1]!thsiFinD("ths_adjustment_nv_fund",I$3,$A80))</f>
        <v/>
      </c>
      <c r="J80" s="13" t="str">
        <f>IF($A80="","",[1]!thsiFinD("ths_adjustment_nv_fund",J$3,$A80))</f>
        <v/>
      </c>
      <c r="K80" s="13" t="str">
        <f>IF($A80="","",[1]!thsiFinD("ths_adjustment_nv_fund",K$3,$A80))</f>
        <v/>
      </c>
      <c r="L80" s="13" t="str">
        <f>IF($A80="","",[1]!thsiFinD("ths_adjustment_nv_fund",L$3,$A80))</f>
        <v/>
      </c>
      <c r="M80" s="13" t="str">
        <f>IF($A80="","",[1]!thsiFinD("ths_adjustment_nv_fund",M$3,$A80))</f>
        <v/>
      </c>
      <c r="N80" s="13" t="str">
        <f>IF($A80="","",[1]!thsiFinD("ths_adjustment_nv_fund",N$3,$A80))</f>
        <v/>
      </c>
      <c r="O80" s="13" t="str">
        <f>IF($A80="","",[1]!thsiFinD("ths_adjustment_nv_fund",O$3,$A80))</f>
        <v/>
      </c>
      <c r="P80" s="13" t="str">
        <f>IF($A80="","",[1]!thsiFinD("ths_adjustment_nv_fund",P$3,$A80))</f>
        <v/>
      </c>
      <c r="Q80" s="13" t="str">
        <f>IF($A80="","",[1]!thsiFinD("ths_adjustment_nv_fund",Q$3,$A80))</f>
        <v/>
      </c>
      <c r="R80" s="13" t="str">
        <f>IF($A80="","",[1]!thsiFinD("ths_adjustment_nv_fund",R$3,$A80))</f>
        <v/>
      </c>
      <c r="S80" s="13" t="str">
        <f>IF($A80="","",[1]!thsiFinD("ths_adjustment_nv_fund",S$3,$A80))</f>
        <v/>
      </c>
      <c r="T80" s="13" t="str">
        <f>IF($A80="","",[1]!thsiFinD("ths_adjustment_nv_fund",T$3,$A80))</f>
        <v/>
      </c>
      <c r="U80" s="13" t="str">
        <f>IF($A80="","",[1]!thsiFinD("ths_adjustment_nv_fund",U$3,$A80))</f>
        <v/>
      </c>
      <c r="V80" s="13" t="str">
        <f>IF($A80="","",[1]!thsiFinD("ths_adjustment_nv_fund",V$3,$A80))</f>
        <v/>
      </c>
      <c r="W80" s="13" t="str">
        <f>IF($A80="","",[1]!thsiFinD("ths_adjustment_nv_fund",W$3,$A80))</f>
        <v/>
      </c>
      <c r="X80" s="13" t="str">
        <f>IF($A80="","",[1]!thsiFinD("ths_adjustment_nv_fund",X$3,$A80))</f>
        <v/>
      </c>
      <c r="Y80" s="13" t="str">
        <f>IF($A80="","",[1]!thsiFinD("ths_adjustment_nv_fund",Y$3,$A80))</f>
        <v/>
      </c>
      <c r="Z80" s="13" t="str">
        <f>IF($A80="","",[1]!thsiFinD("ths_adjustment_nv_fund",Z$3,$A80))</f>
        <v/>
      </c>
      <c r="AA80" s="13" t="str">
        <f>IF($A80="","",[1]!thsiFinD("ths_adjustment_nv_fund",AA$3,$A80))</f>
        <v/>
      </c>
    </row>
    <row r="81" spans="1:27">
      <c r="A81" s="8"/>
      <c r="B81" s="13" t="str">
        <f>IF($A81="","",[1]!thsiFinD("ths_adjustment_nv_fund",B$3,$A81))</f>
        <v/>
      </c>
      <c r="C81" s="13" t="str">
        <f>IF($A81="","",[1]!thsiFinD("ths_adjustment_nv_fund",C$3,$A81))</f>
        <v/>
      </c>
      <c r="D81" s="13" t="str">
        <f>IF($A81="","",[1]!thsiFinD("ths_adjustment_nv_fund",D$3,$A81))</f>
        <v/>
      </c>
      <c r="E81" s="13" t="str">
        <f>IF($A81="","",[1]!thsiFinD("ths_adjustment_nv_fund",E$3,$A81))</f>
        <v/>
      </c>
      <c r="F81" s="13" t="str">
        <f>IF($A81="","",[1]!thsiFinD("ths_adjustment_nv_fund",F$3,$A81))</f>
        <v/>
      </c>
      <c r="G81" s="13" t="str">
        <f>IF($A81="","",[1]!thsiFinD("ths_adjustment_nv_fund",G$3,$A81))</f>
        <v/>
      </c>
      <c r="H81" s="13" t="str">
        <f>IF($A81="","",[1]!thsiFinD("ths_adjustment_nv_fund",H$3,$A81))</f>
        <v/>
      </c>
      <c r="I81" s="13" t="str">
        <f>IF($A81="","",[1]!thsiFinD("ths_adjustment_nv_fund",I$3,$A81))</f>
        <v/>
      </c>
      <c r="J81" s="13" t="str">
        <f>IF($A81="","",[1]!thsiFinD("ths_adjustment_nv_fund",J$3,$A81))</f>
        <v/>
      </c>
      <c r="K81" s="13" t="str">
        <f>IF($A81="","",[1]!thsiFinD("ths_adjustment_nv_fund",K$3,$A81))</f>
        <v/>
      </c>
      <c r="L81" s="13" t="str">
        <f>IF($A81="","",[1]!thsiFinD("ths_adjustment_nv_fund",L$3,$A81))</f>
        <v/>
      </c>
      <c r="M81" s="13" t="str">
        <f>IF($A81="","",[1]!thsiFinD("ths_adjustment_nv_fund",M$3,$A81))</f>
        <v/>
      </c>
      <c r="N81" s="13" t="str">
        <f>IF($A81="","",[1]!thsiFinD("ths_adjustment_nv_fund",N$3,$A81))</f>
        <v/>
      </c>
      <c r="O81" s="13" t="str">
        <f>IF($A81="","",[1]!thsiFinD("ths_adjustment_nv_fund",O$3,$A81))</f>
        <v/>
      </c>
      <c r="P81" s="13" t="str">
        <f>IF($A81="","",[1]!thsiFinD("ths_adjustment_nv_fund",P$3,$A81))</f>
        <v/>
      </c>
      <c r="Q81" s="13" t="str">
        <f>IF($A81="","",[1]!thsiFinD("ths_adjustment_nv_fund",Q$3,$A81))</f>
        <v/>
      </c>
      <c r="R81" s="13" t="str">
        <f>IF($A81="","",[1]!thsiFinD("ths_adjustment_nv_fund",R$3,$A81))</f>
        <v/>
      </c>
      <c r="S81" s="13" t="str">
        <f>IF($A81="","",[1]!thsiFinD("ths_adjustment_nv_fund",S$3,$A81))</f>
        <v/>
      </c>
      <c r="T81" s="13" t="str">
        <f>IF($A81="","",[1]!thsiFinD("ths_adjustment_nv_fund",T$3,$A81))</f>
        <v/>
      </c>
      <c r="U81" s="13" t="str">
        <f>IF($A81="","",[1]!thsiFinD("ths_adjustment_nv_fund",U$3,$A81))</f>
        <v/>
      </c>
      <c r="V81" s="13" t="str">
        <f>IF($A81="","",[1]!thsiFinD("ths_adjustment_nv_fund",V$3,$A81))</f>
        <v/>
      </c>
      <c r="W81" s="13" t="str">
        <f>IF($A81="","",[1]!thsiFinD("ths_adjustment_nv_fund",W$3,$A81))</f>
        <v/>
      </c>
      <c r="X81" s="13" t="str">
        <f>IF($A81="","",[1]!thsiFinD("ths_adjustment_nv_fund",X$3,$A81))</f>
        <v/>
      </c>
      <c r="Y81" s="13" t="str">
        <f>IF($A81="","",[1]!thsiFinD("ths_adjustment_nv_fund",Y$3,$A81))</f>
        <v/>
      </c>
      <c r="Z81" s="13" t="str">
        <f>IF($A81="","",[1]!thsiFinD("ths_adjustment_nv_fund",Z$3,$A81))</f>
        <v/>
      </c>
      <c r="AA81" s="13" t="str">
        <f>IF($A81="","",[1]!thsiFinD("ths_adjustment_nv_fund",AA$3,$A81))</f>
        <v/>
      </c>
    </row>
    <row r="82" spans="1:27">
      <c r="A82" s="8"/>
      <c r="B82" s="13" t="str">
        <f>IF($A82="","",[1]!thsiFinD("ths_adjustment_nv_fund",B$3,$A82))</f>
        <v/>
      </c>
      <c r="C82" s="13" t="str">
        <f>IF($A82="","",[1]!thsiFinD("ths_adjustment_nv_fund",C$3,$A82))</f>
        <v/>
      </c>
      <c r="D82" s="13" t="str">
        <f>IF($A82="","",[1]!thsiFinD("ths_adjustment_nv_fund",D$3,$A82))</f>
        <v/>
      </c>
      <c r="E82" s="13" t="str">
        <f>IF($A82="","",[1]!thsiFinD("ths_adjustment_nv_fund",E$3,$A82))</f>
        <v/>
      </c>
      <c r="F82" s="13" t="str">
        <f>IF($A82="","",[1]!thsiFinD("ths_adjustment_nv_fund",F$3,$A82))</f>
        <v/>
      </c>
      <c r="G82" s="13" t="str">
        <f>IF($A82="","",[1]!thsiFinD("ths_adjustment_nv_fund",G$3,$A82))</f>
        <v/>
      </c>
      <c r="H82" s="13" t="str">
        <f>IF($A82="","",[1]!thsiFinD("ths_adjustment_nv_fund",H$3,$A82))</f>
        <v/>
      </c>
      <c r="I82" s="13" t="str">
        <f>IF($A82="","",[1]!thsiFinD("ths_adjustment_nv_fund",I$3,$A82))</f>
        <v/>
      </c>
      <c r="J82" s="13" t="str">
        <f>IF($A82="","",[1]!thsiFinD("ths_adjustment_nv_fund",J$3,$A82))</f>
        <v/>
      </c>
      <c r="K82" s="13" t="str">
        <f>IF($A82="","",[1]!thsiFinD("ths_adjustment_nv_fund",K$3,$A82))</f>
        <v/>
      </c>
      <c r="L82" s="13" t="str">
        <f>IF($A82="","",[1]!thsiFinD("ths_adjustment_nv_fund",L$3,$A82))</f>
        <v/>
      </c>
      <c r="M82" s="13" t="str">
        <f>IF($A82="","",[1]!thsiFinD("ths_adjustment_nv_fund",M$3,$A82))</f>
        <v/>
      </c>
      <c r="N82" s="13" t="str">
        <f>IF($A82="","",[1]!thsiFinD("ths_adjustment_nv_fund",N$3,$A82))</f>
        <v/>
      </c>
      <c r="O82" s="13" t="str">
        <f>IF($A82="","",[1]!thsiFinD("ths_adjustment_nv_fund",O$3,$A82))</f>
        <v/>
      </c>
      <c r="P82" s="13" t="str">
        <f>IF($A82="","",[1]!thsiFinD("ths_adjustment_nv_fund",P$3,$A82))</f>
        <v/>
      </c>
      <c r="Q82" s="13" t="str">
        <f>IF($A82="","",[1]!thsiFinD("ths_adjustment_nv_fund",Q$3,$A82))</f>
        <v/>
      </c>
      <c r="R82" s="13" t="str">
        <f>IF($A82="","",[1]!thsiFinD("ths_adjustment_nv_fund",R$3,$A82))</f>
        <v/>
      </c>
      <c r="S82" s="13" t="str">
        <f>IF($A82="","",[1]!thsiFinD("ths_adjustment_nv_fund",S$3,$A82))</f>
        <v/>
      </c>
      <c r="T82" s="13" t="str">
        <f>IF($A82="","",[1]!thsiFinD("ths_adjustment_nv_fund",T$3,$A82))</f>
        <v/>
      </c>
      <c r="U82" s="13" t="str">
        <f>IF($A82="","",[1]!thsiFinD("ths_adjustment_nv_fund",U$3,$A82))</f>
        <v/>
      </c>
      <c r="V82" s="13" t="str">
        <f>IF($A82="","",[1]!thsiFinD("ths_adjustment_nv_fund",V$3,$A82))</f>
        <v/>
      </c>
      <c r="W82" s="13" t="str">
        <f>IF($A82="","",[1]!thsiFinD("ths_adjustment_nv_fund",W$3,$A82))</f>
        <v/>
      </c>
      <c r="X82" s="13" t="str">
        <f>IF($A82="","",[1]!thsiFinD("ths_adjustment_nv_fund",X$3,$A82))</f>
        <v/>
      </c>
      <c r="Y82" s="13" t="str">
        <f>IF($A82="","",[1]!thsiFinD("ths_adjustment_nv_fund",Y$3,$A82))</f>
        <v/>
      </c>
      <c r="Z82" s="13" t="str">
        <f>IF($A82="","",[1]!thsiFinD("ths_adjustment_nv_fund",Z$3,$A82))</f>
        <v/>
      </c>
      <c r="AA82" s="13" t="str">
        <f>IF($A82="","",[1]!thsiFinD("ths_adjustment_nv_fund",AA$3,$A82))</f>
        <v/>
      </c>
    </row>
    <row r="83" spans="1:27">
      <c r="A83" s="8"/>
      <c r="B83" s="13" t="str">
        <f>IF($A83="","",[1]!thsiFinD("ths_adjustment_nv_fund",B$3,$A83))</f>
        <v/>
      </c>
      <c r="C83" s="13" t="str">
        <f>IF($A83="","",[1]!thsiFinD("ths_adjustment_nv_fund",C$3,$A83))</f>
        <v/>
      </c>
      <c r="D83" s="13" t="str">
        <f>IF($A83="","",[1]!thsiFinD("ths_adjustment_nv_fund",D$3,$A83))</f>
        <v/>
      </c>
      <c r="E83" s="13" t="str">
        <f>IF($A83="","",[1]!thsiFinD("ths_adjustment_nv_fund",E$3,$A83))</f>
        <v/>
      </c>
      <c r="F83" s="13" t="str">
        <f>IF($A83="","",[1]!thsiFinD("ths_adjustment_nv_fund",F$3,$A83))</f>
        <v/>
      </c>
      <c r="G83" s="13" t="str">
        <f>IF($A83="","",[1]!thsiFinD("ths_adjustment_nv_fund",G$3,$A83))</f>
        <v/>
      </c>
      <c r="H83" s="13" t="str">
        <f>IF($A83="","",[1]!thsiFinD("ths_adjustment_nv_fund",H$3,$A83))</f>
        <v/>
      </c>
      <c r="I83" s="13" t="str">
        <f>IF($A83="","",[1]!thsiFinD("ths_adjustment_nv_fund",I$3,$A83))</f>
        <v/>
      </c>
      <c r="J83" s="13" t="str">
        <f>IF($A83="","",[1]!thsiFinD("ths_adjustment_nv_fund",J$3,$A83))</f>
        <v/>
      </c>
      <c r="K83" s="13" t="str">
        <f>IF($A83="","",[1]!thsiFinD("ths_adjustment_nv_fund",K$3,$A83))</f>
        <v/>
      </c>
      <c r="L83" s="13" t="str">
        <f>IF($A83="","",[1]!thsiFinD("ths_adjustment_nv_fund",L$3,$A83))</f>
        <v/>
      </c>
      <c r="M83" s="13" t="str">
        <f>IF($A83="","",[1]!thsiFinD("ths_adjustment_nv_fund",M$3,$A83))</f>
        <v/>
      </c>
      <c r="N83" s="13" t="str">
        <f>IF($A83="","",[1]!thsiFinD("ths_adjustment_nv_fund",N$3,$A83))</f>
        <v/>
      </c>
      <c r="O83" s="13" t="str">
        <f>IF($A83="","",[1]!thsiFinD("ths_adjustment_nv_fund",O$3,$A83))</f>
        <v/>
      </c>
      <c r="P83" s="13" t="str">
        <f>IF($A83="","",[1]!thsiFinD("ths_adjustment_nv_fund",P$3,$A83))</f>
        <v/>
      </c>
      <c r="Q83" s="13" t="str">
        <f>IF($A83="","",[1]!thsiFinD("ths_adjustment_nv_fund",Q$3,$A83))</f>
        <v/>
      </c>
      <c r="R83" s="13" t="str">
        <f>IF($A83="","",[1]!thsiFinD("ths_adjustment_nv_fund",R$3,$A83))</f>
        <v/>
      </c>
      <c r="S83" s="13" t="str">
        <f>IF($A83="","",[1]!thsiFinD("ths_adjustment_nv_fund",S$3,$A83))</f>
        <v/>
      </c>
      <c r="T83" s="13" t="str">
        <f>IF($A83="","",[1]!thsiFinD("ths_adjustment_nv_fund",T$3,$A83))</f>
        <v/>
      </c>
      <c r="U83" s="13" t="str">
        <f>IF($A83="","",[1]!thsiFinD("ths_adjustment_nv_fund",U$3,$A83))</f>
        <v/>
      </c>
      <c r="V83" s="13" t="str">
        <f>IF($A83="","",[1]!thsiFinD("ths_adjustment_nv_fund",V$3,$A83))</f>
        <v/>
      </c>
      <c r="W83" s="13" t="str">
        <f>IF($A83="","",[1]!thsiFinD("ths_adjustment_nv_fund",W$3,$A83))</f>
        <v/>
      </c>
      <c r="X83" s="13" t="str">
        <f>IF($A83="","",[1]!thsiFinD("ths_adjustment_nv_fund",X$3,$A83))</f>
        <v/>
      </c>
      <c r="Y83" s="13" t="str">
        <f>IF($A83="","",[1]!thsiFinD("ths_adjustment_nv_fund",Y$3,$A83))</f>
        <v/>
      </c>
      <c r="Z83" s="13" t="str">
        <f>IF($A83="","",[1]!thsiFinD("ths_adjustment_nv_fund",Z$3,$A83))</f>
        <v/>
      </c>
      <c r="AA83" s="13" t="str">
        <f>IF($A83="","",[1]!thsiFinD("ths_adjustment_nv_fund",AA$3,$A83))</f>
        <v/>
      </c>
    </row>
    <row r="84" spans="1:27">
      <c r="A84" s="8"/>
      <c r="B84" s="13" t="str">
        <f>IF($A84="","",[1]!thsiFinD("ths_adjustment_nv_fund",B$3,$A84))</f>
        <v/>
      </c>
      <c r="C84" s="13" t="str">
        <f>IF($A84="","",[1]!thsiFinD("ths_adjustment_nv_fund",C$3,$A84))</f>
        <v/>
      </c>
      <c r="D84" s="13" t="str">
        <f>IF($A84="","",[1]!thsiFinD("ths_adjustment_nv_fund",D$3,$A84))</f>
        <v/>
      </c>
      <c r="E84" s="13" t="str">
        <f>IF($A84="","",[1]!thsiFinD("ths_adjustment_nv_fund",E$3,$A84))</f>
        <v/>
      </c>
      <c r="F84" s="13" t="str">
        <f>IF($A84="","",[1]!thsiFinD("ths_adjustment_nv_fund",F$3,$A84))</f>
        <v/>
      </c>
      <c r="G84" s="13" t="str">
        <f>IF($A84="","",[1]!thsiFinD("ths_adjustment_nv_fund",G$3,$A84))</f>
        <v/>
      </c>
      <c r="H84" s="13" t="str">
        <f>IF($A84="","",[1]!thsiFinD("ths_adjustment_nv_fund",H$3,$A84))</f>
        <v/>
      </c>
      <c r="I84" s="13" t="str">
        <f>IF($A84="","",[1]!thsiFinD("ths_adjustment_nv_fund",I$3,$A84))</f>
        <v/>
      </c>
      <c r="J84" s="13" t="str">
        <f>IF($A84="","",[1]!thsiFinD("ths_adjustment_nv_fund",J$3,$A84))</f>
        <v/>
      </c>
      <c r="K84" s="13" t="str">
        <f>IF($A84="","",[1]!thsiFinD("ths_adjustment_nv_fund",K$3,$A84))</f>
        <v/>
      </c>
      <c r="L84" s="13" t="str">
        <f>IF($A84="","",[1]!thsiFinD("ths_adjustment_nv_fund",L$3,$A84))</f>
        <v/>
      </c>
      <c r="M84" s="13" t="str">
        <f>IF($A84="","",[1]!thsiFinD("ths_adjustment_nv_fund",M$3,$A84))</f>
        <v/>
      </c>
      <c r="N84" s="13" t="str">
        <f>IF($A84="","",[1]!thsiFinD("ths_adjustment_nv_fund",N$3,$A84))</f>
        <v/>
      </c>
      <c r="O84" s="13" t="str">
        <f>IF($A84="","",[1]!thsiFinD("ths_adjustment_nv_fund",O$3,$A84))</f>
        <v/>
      </c>
      <c r="P84" s="13" t="str">
        <f>IF($A84="","",[1]!thsiFinD("ths_adjustment_nv_fund",P$3,$A84))</f>
        <v/>
      </c>
      <c r="Q84" s="13" t="str">
        <f>IF($A84="","",[1]!thsiFinD("ths_adjustment_nv_fund",Q$3,$A84))</f>
        <v/>
      </c>
      <c r="R84" s="13" t="str">
        <f>IF($A84="","",[1]!thsiFinD("ths_adjustment_nv_fund",R$3,$A84))</f>
        <v/>
      </c>
      <c r="S84" s="13" t="str">
        <f>IF($A84="","",[1]!thsiFinD("ths_adjustment_nv_fund",S$3,$A84))</f>
        <v/>
      </c>
      <c r="T84" s="13" t="str">
        <f>IF($A84="","",[1]!thsiFinD("ths_adjustment_nv_fund",T$3,$A84))</f>
        <v/>
      </c>
      <c r="U84" s="13" t="str">
        <f>IF($A84="","",[1]!thsiFinD("ths_adjustment_nv_fund",U$3,$A84))</f>
        <v/>
      </c>
      <c r="V84" s="13" t="str">
        <f>IF($A84="","",[1]!thsiFinD("ths_adjustment_nv_fund",V$3,$A84))</f>
        <v/>
      </c>
      <c r="W84" s="13" t="str">
        <f>IF($A84="","",[1]!thsiFinD("ths_adjustment_nv_fund",W$3,$A84))</f>
        <v/>
      </c>
      <c r="X84" s="13" t="str">
        <f>IF($A84="","",[1]!thsiFinD("ths_adjustment_nv_fund",X$3,$A84))</f>
        <v/>
      </c>
      <c r="Y84" s="13" t="str">
        <f>IF($A84="","",[1]!thsiFinD("ths_adjustment_nv_fund",Y$3,$A84))</f>
        <v/>
      </c>
      <c r="Z84" s="13" t="str">
        <f>IF($A84="","",[1]!thsiFinD("ths_adjustment_nv_fund",Z$3,$A84))</f>
        <v/>
      </c>
      <c r="AA84" s="13" t="str">
        <f>IF($A84="","",[1]!thsiFinD("ths_adjustment_nv_fund",AA$3,$A84))</f>
        <v/>
      </c>
    </row>
    <row r="85" spans="1:27">
      <c r="A85" s="8"/>
      <c r="B85" s="13" t="str">
        <f>IF($A85="","",[1]!thsiFinD("ths_adjustment_nv_fund",B$3,$A85))</f>
        <v/>
      </c>
      <c r="C85" s="13" t="str">
        <f>IF($A85="","",[1]!thsiFinD("ths_adjustment_nv_fund",C$3,$A85))</f>
        <v/>
      </c>
      <c r="D85" s="13" t="str">
        <f>IF($A85="","",[1]!thsiFinD("ths_adjustment_nv_fund",D$3,$A85))</f>
        <v/>
      </c>
      <c r="E85" s="13" t="str">
        <f>IF($A85="","",[1]!thsiFinD("ths_adjustment_nv_fund",E$3,$A85))</f>
        <v/>
      </c>
      <c r="F85" s="13" t="str">
        <f>IF($A85="","",[1]!thsiFinD("ths_adjustment_nv_fund",F$3,$A85))</f>
        <v/>
      </c>
      <c r="G85" s="13" t="str">
        <f>IF($A85="","",[1]!thsiFinD("ths_adjustment_nv_fund",G$3,$A85))</f>
        <v/>
      </c>
      <c r="H85" s="13" t="str">
        <f>IF($A85="","",[1]!thsiFinD("ths_adjustment_nv_fund",H$3,$A85))</f>
        <v/>
      </c>
      <c r="I85" s="13" t="str">
        <f>IF($A85="","",[1]!thsiFinD("ths_adjustment_nv_fund",I$3,$A85))</f>
        <v/>
      </c>
      <c r="J85" s="13" t="str">
        <f>IF($A85="","",[1]!thsiFinD("ths_adjustment_nv_fund",J$3,$A85))</f>
        <v/>
      </c>
      <c r="K85" s="13" t="str">
        <f>IF($A85="","",[1]!thsiFinD("ths_adjustment_nv_fund",K$3,$A85))</f>
        <v/>
      </c>
      <c r="L85" s="13" t="str">
        <f>IF($A85="","",[1]!thsiFinD("ths_adjustment_nv_fund",L$3,$A85))</f>
        <v/>
      </c>
      <c r="M85" s="13" t="str">
        <f>IF($A85="","",[1]!thsiFinD("ths_adjustment_nv_fund",M$3,$A85))</f>
        <v/>
      </c>
      <c r="N85" s="13" t="str">
        <f>IF($A85="","",[1]!thsiFinD("ths_adjustment_nv_fund",N$3,$A85))</f>
        <v/>
      </c>
      <c r="O85" s="13" t="str">
        <f>IF($A85="","",[1]!thsiFinD("ths_adjustment_nv_fund",O$3,$A85))</f>
        <v/>
      </c>
      <c r="P85" s="13" t="str">
        <f>IF($A85="","",[1]!thsiFinD("ths_adjustment_nv_fund",P$3,$A85))</f>
        <v/>
      </c>
      <c r="Q85" s="13" t="str">
        <f>IF($A85="","",[1]!thsiFinD("ths_adjustment_nv_fund",Q$3,$A85))</f>
        <v/>
      </c>
      <c r="R85" s="13" t="str">
        <f>IF($A85="","",[1]!thsiFinD("ths_adjustment_nv_fund",R$3,$A85))</f>
        <v/>
      </c>
      <c r="S85" s="13" t="str">
        <f>IF($A85="","",[1]!thsiFinD("ths_adjustment_nv_fund",S$3,$A85))</f>
        <v/>
      </c>
      <c r="T85" s="13" t="str">
        <f>IF($A85="","",[1]!thsiFinD("ths_adjustment_nv_fund",T$3,$A85))</f>
        <v/>
      </c>
      <c r="U85" s="13" t="str">
        <f>IF($A85="","",[1]!thsiFinD("ths_adjustment_nv_fund",U$3,$A85))</f>
        <v/>
      </c>
      <c r="V85" s="13" t="str">
        <f>IF($A85="","",[1]!thsiFinD("ths_adjustment_nv_fund",V$3,$A85))</f>
        <v/>
      </c>
      <c r="W85" s="13" t="str">
        <f>IF($A85="","",[1]!thsiFinD("ths_adjustment_nv_fund",W$3,$A85))</f>
        <v/>
      </c>
      <c r="X85" s="13" t="str">
        <f>IF($A85="","",[1]!thsiFinD("ths_adjustment_nv_fund",X$3,$A85))</f>
        <v/>
      </c>
      <c r="Y85" s="13" t="str">
        <f>IF($A85="","",[1]!thsiFinD("ths_adjustment_nv_fund",Y$3,$A85))</f>
        <v/>
      </c>
      <c r="Z85" s="13" t="str">
        <f>IF($A85="","",[1]!thsiFinD("ths_adjustment_nv_fund",Z$3,$A85))</f>
        <v/>
      </c>
      <c r="AA85" s="13" t="str">
        <f>IF($A85="","",[1]!thsiFinD("ths_adjustment_nv_fund",AA$3,$A85))</f>
        <v/>
      </c>
    </row>
    <row r="86" spans="1:27">
      <c r="A86" s="8"/>
      <c r="B86" s="13" t="str">
        <f>IF($A86="","",[1]!thsiFinD("ths_adjustment_nv_fund",B$3,$A86))</f>
        <v/>
      </c>
      <c r="C86" s="13" t="str">
        <f>IF($A86="","",[1]!thsiFinD("ths_adjustment_nv_fund",C$3,$A86))</f>
        <v/>
      </c>
      <c r="D86" s="13" t="str">
        <f>IF($A86="","",[1]!thsiFinD("ths_adjustment_nv_fund",D$3,$A86))</f>
        <v/>
      </c>
      <c r="E86" s="13" t="str">
        <f>IF($A86="","",[1]!thsiFinD("ths_adjustment_nv_fund",E$3,$A86))</f>
        <v/>
      </c>
      <c r="F86" s="13" t="str">
        <f>IF($A86="","",[1]!thsiFinD("ths_adjustment_nv_fund",F$3,$A86))</f>
        <v/>
      </c>
      <c r="G86" s="13" t="str">
        <f>IF($A86="","",[1]!thsiFinD("ths_adjustment_nv_fund",G$3,$A86))</f>
        <v/>
      </c>
      <c r="H86" s="13" t="str">
        <f>IF($A86="","",[1]!thsiFinD("ths_adjustment_nv_fund",H$3,$A86))</f>
        <v/>
      </c>
      <c r="I86" s="13" t="str">
        <f>IF($A86="","",[1]!thsiFinD("ths_adjustment_nv_fund",I$3,$A86))</f>
        <v/>
      </c>
      <c r="J86" s="13" t="str">
        <f>IF($A86="","",[1]!thsiFinD("ths_adjustment_nv_fund",J$3,$A86))</f>
        <v/>
      </c>
      <c r="K86" s="13" t="str">
        <f>IF($A86="","",[1]!thsiFinD("ths_adjustment_nv_fund",K$3,$A86))</f>
        <v/>
      </c>
      <c r="L86" s="13" t="str">
        <f>IF($A86="","",[1]!thsiFinD("ths_adjustment_nv_fund",L$3,$A86))</f>
        <v/>
      </c>
      <c r="M86" s="13" t="str">
        <f>IF($A86="","",[1]!thsiFinD("ths_adjustment_nv_fund",M$3,$A86))</f>
        <v/>
      </c>
      <c r="N86" s="13" t="str">
        <f>IF($A86="","",[1]!thsiFinD("ths_adjustment_nv_fund",N$3,$A86))</f>
        <v/>
      </c>
      <c r="O86" s="13" t="str">
        <f>IF($A86="","",[1]!thsiFinD("ths_adjustment_nv_fund",O$3,$A86))</f>
        <v/>
      </c>
      <c r="P86" s="13" t="str">
        <f>IF($A86="","",[1]!thsiFinD("ths_adjustment_nv_fund",P$3,$A86))</f>
        <v/>
      </c>
      <c r="Q86" s="13" t="str">
        <f>IF($A86="","",[1]!thsiFinD("ths_adjustment_nv_fund",Q$3,$A86))</f>
        <v/>
      </c>
      <c r="R86" s="13" t="str">
        <f>IF($A86="","",[1]!thsiFinD("ths_adjustment_nv_fund",R$3,$A86))</f>
        <v/>
      </c>
      <c r="S86" s="13" t="str">
        <f>IF($A86="","",[1]!thsiFinD("ths_adjustment_nv_fund",S$3,$A86))</f>
        <v/>
      </c>
      <c r="T86" s="13" t="str">
        <f>IF($A86="","",[1]!thsiFinD("ths_adjustment_nv_fund",T$3,$A86))</f>
        <v/>
      </c>
      <c r="U86" s="13" t="str">
        <f>IF($A86="","",[1]!thsiFinD("ths_adjustment_nv_fund",U$3,$A86))</f>
        <v/>
      </c>
      <c r="V86" s="13" t="str">
        <f>IF($A86="","",[1]!thsiFinD("ths_adjustment_nv_fund",V$3,$A86))</f>
        <v/>
      </c>
      <c r="W86" s="13" t="str">
        <f>IF($A86="","",[1]!thsiFinD("ths_adjustment_nv_fund",W$3,$A86))</f>
        <v/>
      </c>
      <c r="X86" s="13" t="str">
        <f>IF($A86="","",[1]!thsiFinD("ths_adjustment_nv_fund",X$3,$A86))</f>
        <v/>
      </c>
      <c r="Y86" s="13" t="str">
        <f>IF($A86="","",[1]!thsiFinD("ths_adjustment_nv_fund",Y$3,$A86))</f>
        <v/>
      </c>
      <c r="Z86" s="13" t="str">
        <f>IF($A86="","",[1]!thsiFinD("ths_adjustment_nv_fund",Z$3,$A86))</f>
        <v/>
      </c>
      <c r="AA86" s="13" t="str">
        <f>IF($A86="","",[1]!thsiFinD("ths_adjustment_nv_fund",AA$3,$A86))</f>
        <v/>
      </c>
    </row>
    <row r="87" spans="1:27">
      <c r="A87" s="8"/>
      <c r="B87" s="13" t="str">
        <f>IF($A87="","",[1]!thsiFinD("ths_adjustment_nv_fund",B$3,$A87))</f>
        <v/>
      </c>
      <c r="C87" s="13" t="str">
        <f>IF($A87="","",[1]!thsiFinD("ths_adjustment_nv_fund",C$3,$A87))</f>
        <v/>
      </c>
      <c r="D87" s="13" t="str">
        <f>IF($A87="","",[1]!thsiFinD("ths_adjustment_nv_fund",D$3,$A87))</f>
        <v/>
      </c>
      <c r="E87" s="13" t="str">
        <f>IF($A87="","",[1]!thsiFinD("ths_adjustment_nv_fund",E$3,$A87))</f>
        <v/>
      </c>
      <c r="F87" s="13" t="str">
        <f>IF($A87="","",[1]!thsiFinD("ths_adjustment_nv_fund",F$3,$A87))</f>
        <v/>
      </c>
      <c r="G87" s="13" t="str">
        <f>IF($A87="","",[1]!thsiFinD("ths_adjustment_nv_fund",G$3,$A87))</f>
        <v/>
      </c>
      <c r="H87" s="13" t="str">
        <f>IF($A87="","",[1]!thsiFinD("ths_adjustment_nv_fund",H$3,$A87))</f>
        <v/>
      </c>
      <c r="I87" s="13" t="str">
        <f>IF($A87="","",[1]!thsiFinD("ths_adjustment_nv_fund",I$3,$A87))</f>
        <v/>
      </c>
      <c r="J87" s="13" t="str">
        <f>IF($A87="","",[1]!thsiFinD("ths_adjustment_nv_fund",J$3,$A87))</f>
        <v/>
      </c>
      <c r="K87" s="13" t="str">
        <f>IF($A87="","",[1]!thsiFinD("ths_adjustment_nv_fund",K$3,$A87))</f>
        <v/>
      </c>
      <c r="L87" s="13" t="str">
        <f>IF($A87="","",[1]!thsiFinD("ths_adjustment_nv_fund",L$3,$A87))</f>
        <v/>
      </c>
      <c r="M87" s="13" t="str">
        <f>IF($A87="","",[1]!thsiFinD("ths_adjustment_nv_fund",M$3,$A87))</f>
        <v/>
      </c>
      <c r="N87" s="13" t="str">
        <f>IF($A87="","",[1]!thsiFinD("ths_adjustment_nv_fund",N$3,$A87))</f>
        <v/>
      </c>
      <c r="O87" s="13" t="str">
        <f>IF($A87="","",[1]!thsiFinD("ths_adjustment_nv_fund",O$3,$A87))</f>
        <v/>
      </c>
      <c r="P87" s="13" t="str">
        <f>IF($A87="","",[1]!thsiFinD("ths_adjustment_nv_fund",P$3,$A87))</f>
        <v/>
      </c>
      <c r="Q87" s="13" t="str">
        <f>IF($A87="","",[1]!thsiFinD("ths_adjustment_nv_fund",Q$3,$A87))</f>
        <v/>
      </c>
      <c r="R87" s="13" t="str">
        <f>IF($A87="","",[1]!thsiFinD("ths_adjustment_nv_fund",R$3,$A87))</f>
        <v/>
      </c>
      <c r="S87" s="13" t="str">
        <f>IF($A87="","",[1]!thsiFinD("ths_adjustment_nv_fund",S$3,$A87))</f>
        <v/>
      </c>
      <c r="T87" s="13" t="str">
        <f>IF($A87="","",[1]!thsiFinD("ths_adjustment_nv_fund",T$3,$A87))</f>
        <v/>
      </c>
      <c r="U87" s="13" t="str">
        <f>IF($A87="","",[1]!thsiFinD("ths_adjustment_nv_fund",U$3,$A87))</f>
        <v/>
      </c>
      <c r="V87" s="13" t="str">
        <f>IF($A87="","",[1]!thsiFinD("ths_adjustment_nv_fund",V$3,$A87))</f>
        <v/>
      </c>
      <c r="W87" s="13" t="str">
        <f>IF($A87="","",[1]!thsiFinD("ths_adjustment_nv_fund",W$3,$A87))</f>
        <v/>
      </c>
      <c r="X87" s="13" t="str">
        <f>IF($A87="","",[1]!thsiFinD("ths_adjustment_nv_fund",X$3,$A87))</f>
        <v/>
      </c>
      <c r="Y87" s="13" t="str">
        <f>IF($A87="","",[1]!thsiFinD("ths_adjustment_nv_fund",Y$3,$A87))</f>
        <v/>
      </c>
      <c r="Z87" s="13" t="str">
        <f>IF($A87="","",[1]!thsiFinD("ths_adjustment_nv_fund",Z$3,$A87))</f>
        <v/>
      </c>
      <c r="AA87" s="13" t="str">
        <f>IF($A87="","",[1]!thsiFinD("ths_adjustment_nv_fund",AA$3,$A87))</f>
        <v/>
      </c>
    </row>
    <row r="88" spans="1:27">
      <c r="A88" s="8"/>
      <c r="B88" s="13" t="str">
        <f>IF($A88="","",[1]!thsiFinD("ths_adjustment_nv_fund",B$3,$A88))</f>
        <v/>
      </c>
      <c r="C88" s="13" t="str">
        <f>IF($A88="","",[1]!thsiFinD("ths_adjustment_nv_fund",C$3,$A88))</f>
        <v/>
      </c>
      <c r="D88" s="13" t="str">
        <f>IF($A88="","",[1]!thsiFinD("ths_adjustment_nv_fund",D$3,$A88))</f>
        <v/>
      </c>
      <c r="E88" s="13" t="str">
        <f>IF($A88="","",[1]!thsiFinD("ths_adjustment_nv_fund",E$3,$A88))</f>
        <v/>
      </c>
      <c r="F88" s="13" t="str">
        <f>IF($A88="","",[1]!thsiFinD("ths_adjustment_nv_fund",F$3,$A88))</f>
        <v/>
      </c>
      <c r="G88" s="13" t="str">
        <f>IF($A88="","",[1]!thsiFinD("ths_adjustment_nv_fund",G$3,$A88))</f>
        <v/>
      </c>
      <c r="H88" s="13" t="str">
        <f>IF($A88="","",[1]!thsiFinD("ths_adjustment_nv_fund",H$3,$A88))</f>
        <v/>
      </c>
      <c r="I88" s="13" t="str">
        <f>IF($A88="","",[1]!thsiFinD("ths_adjustment_nv_fund",I$3,$A88))</f>
        <v/>
      </c>
      <c r="J88" s="13" t="str">
        <f>IF($A88="","",[1]!thsiFinD("ths_adjustment_nv_fund",J$3,$A88))</f>
        <v/>
      </c>
      <c r="K88" s="13" t="str">
        <f>IF($A88="","",[1]!thsiFinD("ths_adjustment_nv_fund",K$3,$A88))</f>
        <v/>
      </c>
      <c r="L88" s="13" t="str">
        <f>IF($A88="","",[1]!thsiFinD("ths_adjustment_nv_fund",L$3,$A88))</f>
        <v/>
      </c>
      <c r="M88" s="13" t="str">
        <f>IF($A88="","",[1]!thsiFinD("ths_adjustment_nv_fund",M$3,$A88))</f>
        <v/>
      </c>
      <c r="N88" s="13" t="str">
        <f>IF($A88="","",[1]!thsiFinD("ths_adjustment_nv_fund",N$3,$A88))</f>
        <v/>
      </c>
      <c r="O88" s="13" t="str">
        <f>IF($A88="","",[1]!thsiFinD("ths_adjustment_nv_fund",O$3,$A88))</f>
        <v/>
      </c>
      <c r="P88" s="13" t="str">
        <f>IF($A88="","",[1]!thsiFinD("ths_adjustment_nv_fund",P$3,$A88))</f>
        <v/>
      </c>
      <c r="Q88" s="13" t="str">
        <f>IF($A88="","",[1]!thsiFinD("ths_adjustment_nv_fund",Q$3,$A88))</f>
        <v/>
      </c>
      <c r="R88" s="13" t="str">
        <f>IF($A88="","",[1]!thsiFinD("ths_adjustment_nv_fund",R$3,$A88))</f>
        <v/>
      </c>
      <c r="S88" s="13" t="str">
        <f>IF($A88="","",[1]!thsiFinD("ths_adjustment_nv_fund",S$3,$A88))</f>
        <v/>
      </c>
      <c r="T88" s="13" t="str">
        <f>IF($A88="","",[1]!thsiFinD("ths_adjustment_nv_fund",T$3,$A88))</f>
        <v/>
      </c>
      <c r="U88" s="13" t="str">
        <f>IF($A88="","",[1]!thsiFinD("ths_adjustment_nv_fund",U$3,$A88))</f>
        <v/>
      </c>
      <c r="V88" s="13" t="str">
        <f>IF($A88="","",[1]!thsiFinD("ths_adjustment_nv_fund",V$3,$A88))</f>
        <v/>
      </c>
      <c r="W88" s="13" t="str">
        <f>IF($A88="","",[1]!thsiFinD("ths_adjustment_nv_fund",W$3,$A88))</f>
        <v/>
      </c>
      <c r="X88" s="13" t="str">
        <f>IF($A88="","",[1]!thsiFinD("ths_adjustment_nv_fund",X$3,$A88))</f>
        <v/>
      </c>
      <c r="Y88" s="13" t="str">
        <f>IF($A88="","",[1]!thsiFinD("ths_adjustment_nv_fund",Y$3,$A88))</f>
        <v/>
      </c>
      <c r="Z88" s="13" t="str">
        <f>IF($A88="","",[1]!thsiFinD("ths_adjustment_nv_fund",Z$3,$A88))</f>
        <v/>
      </c>
      <c r="AA88" s="13" t="str">
        <f>IF($A88="","",[1]!thsiFinD("ths_adjustment_nv_fund",AA$3,$A88))</f>
        <v/>
      </c>
    </row>
    <row r="89" spans="1:27">
      <c r="A89" s="8"/>
      <c r="B89" s="13" t="str">
        <f>IF($A89="","",[1]!thsiFinD("ths_adjustment_nv_fund",B$3,$A89))</f>
        <v/>
      </c>
      <c r="C89" s="13" t="str">
        <f>IF($A89="","",[1]!thsiFinD("ths_adjustment_nv_fund",C$3,$A89))</f>
        <v/>
      </c>
      <c r="D89" s="13" t="str">
        <f>IF($A89="","",[1]!thsiFinD("ths_adjustment_nv_fund",D$3,$A89))</f>
        <v/>
      </c>
      <c r="E89" s="13" t="str">
        <f>IF($A89="","",[1]!thsiFinD("ths_adjustment_nv_fund",E$3,$A89))</f>
        <v/>
      </c>
      <c r="F89" s="13" t="str">
        <f>IF($A89="","",[1]!thsiFinD("ths_adjustment_nv_fund",F$3,$A89))</f>
        <v/>
      </c>
      <c r="G89" s="13" t="str">
        <f>IF($A89="","",[1]!thsiFinD("ths_adjustment_nv_fund",G$3,$A89))</f>
        <v/>
      </c>
      <c r="H89" s="13" t="str">
        <f>IF($A89="","",[1]!thsiFinD("ths_adjustment_nv_fund",H$3,$A89))</f>
        <v/>
      </c>
      <c r="I89" s="13" t="str">
        <f>IF($A89="","",[1]!thsiFinD("ths_adjustment_nv_fund",I$3,$A89))</f>
        <v/>
      </c>
      <c r="J89" s="13" t="str">
        <f>IF($A89="","",[1]!thsiFinD("ths_adjustment_nv_fund",J$3,$A89))</f>
        <v/>
      </c>
      <c r="K89" s="13" t="str">
        <f>IF($A89="","",[1]!thsiFinD("ths_adjustment_nv_fund",K$3,$A89))</f>
        <v/>
      </c>
      <c r="L89" s="13" t="str">
        <f>IF($A89="","",[1]!thsiFinD("ths_adjustment_nv_fund",L$3,$A89))</f>
        <v/>
      </c>
      <c r="M89" s="13" t="str">
        <f>IF($A89="","",[1]!thsiFinD("ths_adjustment_nv_fund",M$3,$A89))</f>
        <v/>
      </c>
      <c r="N89" s="13" t="str">
        <f>IF($A89="","",[1]!thsiFinD("ths_adjustment_nv_fund",N$3,$A89))</f>
        <v/>
      </c>
      <c r="O89" s="13" t="str">
        <f>IF($A89="","",[1]!thsiFinD("ths_adjustment_nv_fund",O$3,$A89))</f>
        <v/>
      </c>
      <c r="P89" s="13" t="str">
        <f>IF($A89="","",[1]!thsiFinD("ths_adjustment_nv_fund",P$3,$A89))</f>
        <v/>
      </c>
      <c r="Q89" s="13" t="str">
        <f>IF($A89="","",[1]!thsiFinD("ths_adjustment_nv_fund",Q$3,$A89))</f>
        <v/>
      </c>
      <c r="R89" s="13" t="str">
        <f>IF($A89="","",[1]!thsiFinD("ths_adjustment_nv_fund",R$3,$A89))</f>
        <v/>
      </c>
      <c r="S89" s="13" t="str">
        <f>IF($A89="","",[1]!thsiFinD("ths_adjustment_nv_fund",S$3,$A89))</f>
        <v/>
      </c>
      <c r="T89" s="13" t="str">
        <f>IF($A89="","",[1]!thsiFinD("ths_adjustment_nv_fund",T$3,$A89))</f>
        <v/>
      </c>
      <c r="U89" s="13" t="str">
        <f>IF($A89="","",[1]!thsiFinD("ths_adjustment_nv_fund",U$3,$A89))</f>
        <v/>
      </c>
      <c r="V89" s="13" t="str">
        <f>IF($A89="","",[1]!thsiFinD("ths_adjustment_nv_fund",V$3,$A89))</f>
        <v/>
      </c>
      <c r="W89" s="13" t="str">
        <f>IF($A89="","",[1]!thsiFinD("ths_adjustment_nv_fund",W$3,$A89))</f>
        <v/>
      </c>
      <c r="X89" s="13" t="str">
        <f>IF($A89="","",[1]!thsiFinD("ths_adjustment_nv_fund",X$3,$A89))</f>
        <v/>
      </c>
      <c r="Y89" s="13" t="str">
        <f>IF($A89="","",[1]!thsiFinD("ths_adjustment_nv_fund",Y$3,$A89))</f>
        <v/>
      </c>
      <c r="Z89" s="13" t="str">
        <f>IF($A89="","",[1]!thsiFinD("ths_adjustment_nv_fund",Z$3,$A89))</f>
        <v/>
      </c>
      <c r="AA89" s="13" t="str">
        <f>IF($A89="","",[1]!thsiFinD("ths_adjustment_nv_fund",AA$3,$A89))</f>
        <v/>
      </c>
    </row>
    <row r="90" spans="1:27">
      <c r="A90" s="8"/>
      <c r="B90" s="13" t="str">
        <f>IF($A90="","",[1]!thsiFinD("ths_adjustment_nv_fund",B$3,$A90))</f>
        <v/>
      </c>
      <c r="C90" s="13" t="str">
        <f>IF($A90="","",[1]!thsiFinD("ths_adjustment_nv_fund",C$3,$A90))</f>
        <v/>
      </c>
      <c r="D90" s="13" t="str">
        <f>IF($A90="","",[1]!thsiFinD("ths_adjustment_nv_fund",D$3,$A90))</f>
        <v/>
      </c>
      <c r="E90" s="13" t="str">
        <f>IF($A90="","",[1]!thsiFinD("ths_adjustment_nv_fund",E$3,$A90))</f>
        <v/>
      </c>
      <c r="F90" s="13" t="str">
        <f>IF($A90="","",[1]!thsiFinD("ths_adjustment_nv_fund",F$3,$A90))</f>
        <v/>
      </c>
      <c r="G90" s="13" t="str">
        <f>IF($A90="","",[1]!thsiFinD("ths_adjustment_nv_fund",G$3,$A90))</f>
        <v/>
      </c>
      <c r="H90" s="13" t="str">
        <f>IF($A90="","",[1]!thsiFinD("ths_adjustment_nv_fund",H$3,$A90))</f>
        <v/>
      </c>
      <c r="I90" s="13" t="str">
        <f>IF($A90="","",[1]!thsiFinD("ths_adjustment_nv_fund",I$3,$A90))</f>
        <v/>
      </c>
      <c r="J90" s="13" t="str">
        <f>IF($A90="","",[1]!thsiFinD("ths_adjustment_nv_fund",J$3,$A90))</f>
        <v/>
      </c>
      <c r="K90" s="13" t="str">
        <f>IF($A90="","",[1]!thsiFinD("ths_adjustment_nv_fund",K$3,$A90))</f>
        <v/>
      </c>
      <c r="L90" s="13" t="str">
        <f>IF($A90="","",[1]!thsiFinD("ths_adjustment_nv_fund",L$3,$A90))</f>
        <v/>
      </c>
      <c r="M90" s="13" t="str">
        <f>IF($A90="","",[1]!thsiFinD("ths_adjustment_nv_fund",M$3,$A90))</f>
        <v/>
      </c>
      <c r="N90" s="13" t="str">
        <f>IF($A90="","",[1]!thsiFinD("ths_adjustment_nv_fund",N$3,$A90))</f>
        <v/>
      </c>
      <c r="O90" s="13" t="str">
        <f>IF($A90="","",[1]!thsiFinD("ths_adjustment_nv_fund",O$3,$A90))</f>
        <v/>
      </c>
      <c r="P90" s="13" t="str">
        <f>IF($A90="","",[1]!thsiFinD("ths_adjustment_nv_fund",P$3,$A90))</f>
        <v/>
      </c>
      <c r="Q90" s="13" t="str">
        <f>IF($A90="","",[1]!thsiFinD("ths_adjustment_nv_fund",Q$3,$A90))</f>
        <v/>
      </c>
      <c r="R90" s="13" t="str">
        <f>IF($A90="","",[1]!thsiFinD("ths_adjustment_nv_fund",R$3,$A90))</f>
        <v/>
      </c>
      <c r="S90" s="13" t="str">
        <f>IF($A90="","",[1]!thsiFinD("ths_adjustment_nv_fund",S$3,$A90))</f>
        <v/>
      </c>
      <c r="T90" s="13" t="str">
        <f>IF($A90="","",[1]!thsiFinD("ths_adjustment_nv_fund",T$3,$A90))</f>
        <v/>
      </c>
      <c r="U90" s="13" t="str">
        <f>IF($A90="","",[1]!thsiFinD("ths_adjustment_nv_fund",U$3,$A90))</f>
        <v/>
      </c>
      <c r="V90" s="13" t="str">
        <f>IF($A90="","",[1]!thsiFinD("ths_adjustment_nv_fund",V$3,$A90))</f>
        <v/>
      </c>
      <c r="W90" s="13" t="str">
        <f>IF($A90="","",[1]!thsiFinD("ths_adjustment_nv_fund",W$3,$A90))</f>
        <v/>
      </c>
      <c r="X90" s="13" t="str">
        <f>IF($A90="","",[1]!thsiFinD("ths_adjustment_nv_fund",X$3,$A90))</f>
        <v/>
      </c>
      <c r="Y90" s="13" t="str">
        <f>IF($A90="","",[1]!thsiFinD("ths_adjustment_nv_fund",Y$3,$A90))</f>
        <v/>
      </c>
      <c r="Z90" s="13" t="str">
        <f>IF($A90="","",[1]!thsiFinD("ths_adjustment_nv_fund",Z$3,$A90))</f>
        <v/>
      </c>
      <c r="AA90" s="13" t="str">
        <f>IF($A90="","",[1]!thsiFinD("ths_adjustment_nv_fund",AA$3,$A90))</f>
        <v/>
      </c>
    </row>
    <row r="91" spans="1:27">
      <c r="A91" s="8"/>
      <c r="B91" s="13" t="str">
        <f>IF($A91="","",[1]!thsiFinD("ths_adjustment_nv_fund",B$3,$A91))</f>
        <v/>
      </c>
      <c r="C91" s="13" t="str">
        <f>IF($A91="","",[1]!thsiFinD("ths_adjustment_nv_fund",C$3,$A91))</f>
        <v/>
      </c>
      <c r="D91" s="13" t="str">
        <f>IF($A91="","",[1]!thsiFinD("ths_adjustment_nv_fund",D$3,$A91))</f>
        <v/>
      </c>
      <c r="E91" s="13" t="str">
        <f>IF($A91="","",[1]!thsiFinD("ths_adjustment_nv_fund",E$3,$A91))</f>
        <v/>
      </c>
      <c r="F91" s="13" t="str">
        <f>IF($A91="","",[1]!thsiFinD("ths_adjustment_nv_fund",F$3,$A91))</f>
        <v/>
      </c>
      <c r="G91" s="13" t="str">
        <f>IF($A91="","",[1]!thsiFinD("ths_adjustment_nv_fund",G$3,$A91))</f>
        <v/>
      </c>
      <c r="H91" s="13" t="str">
        <f>IF($A91="","",[1]!thsiFinD("ths_adjustment_nv_fund",H$3,$A91))</f>
        <v/>
      </c>
      <c r="I91" s="13" t="str">
        <f>IF($A91="","",[1]!thsiFinD("ths_adjustment_nv_fund",I$3,$A91))</f>
        <v/>
      </c>
      <c r="J91" s="13" t="str">
        <f>IF($A91="","",[1]!thsiFinD("ths_adjustment_nv_fund",J$3,$A91))</f>
        <v/>
      </c>
      <c r="K91" s="13" t="str">
        <f>IF($A91="","",[1]!thsiFinD("ths_adjustment_nv_fund",K$3,$A91))</f>
        <v/>
      </c>
      <c r="L91" s="13" t="str">
        <f>IF($A91="","",[1]!thsiFinD("ths_adjustment_nv_fund",L$3,$A91))</f>
        <v/>
      </c>
      <c r="M91" s="13" t="str">
        <f>IF($A91="","",[1]!thsiFinD("ths_adjustment_nv_fund",M$3,$A91))</f>
        <v/>
      </c>
      <c r="N91" s="13" t="str">
        <f>IF($A91="","",[1]!thsiFinD("ths_adjustment_nv_fund",N$3,$A91))</f>
        <v/>
      </c>
      <c r="O91" s="13" t="str">
        <f>IF($A91="","",[1]!thsiFinD("ths_adjustment_nv_fund",O$3,$A91))</f>
        <v/>
      </c>
      <c r="P91" s="13" t="str">
        <f>IF($A91="","",[1]!thsiFinD("ths_adjustment_nv_fund",P$3,$A91))</f>
        <v/>
      </c>
      <c r="Q91" s="13" t="str">
        <f>IF($A91="","",[1]!thsiFinD("ths_adjustment_nv_fund",Q$3,$A91))</f>
        <v/>
      </c>
      <c r="R91" s="13" t="str">
        <f>IF($A91="","",[1]!thsiFinD("ths_adjustment_nv_fund",R$3,$A91))</f>
        <v/>
      </c>
      <c r="S91" s="13" t="str">
        <f>IF($A91="","",[1]!thsiFinD("ths_adjustment_nv_fund",S$3,$A91))</f>
        <v/>
      </c>
      <c r="T91" s="13" t="str">
        <f>IF($A91="","",[1]!thsiFinD("ths_adjustment_nv_fund",T$3,$A91))</f>
        <v/>
      </c>
      <c r="U91" s="13" t="str">
        <f>IF($A91="","",[1]!thsiFinD("ths_adjustment_nv_fund",U$3,$A91))</f>
        <v/>
      </c>
      <c r="V91" s="13" t="str">
        <f>IF($A91="","",[1]!thsiFinD("ths_adjustment_nv_fund",V$3,$A91))</f>
        <v/>
      </c>
      <c r="W91" s="13" t="str">
        <f>IF($A91="","",[1]!thsiFinD("ths_adjustment_nv_fund",W$3,$A91))</f>
        <v/>
      </c>
      <c r="X91" s="13" t="str">
        <f>IF($A91="","",[1]!thsiFinD("ths_adjustment_nv_fund",X$3,$A91))</f>
        <v/>
      </c>
      <c r="Y91" s="13" t="str">
        <f>IF($A91="","",[1]!thsiFinD("ths_adjustment_nv_fund",Y$3,$A91))</f>
        <v/>
      </c>
      <c r="Z91" s="13" t="str">
        <f>IF($A91="","",[1]!thsiFinD("ths_adjustment_nv_fund",Z$3,$A91))</f>
        <v/>
      </c>
      <c r="AA91" s="13" t="str">
        <f>IF($A91="","",[1]!thsiFinD("ths_adjustment_nv_fund",AA$3,$A91))</f>
        <v/>
      </c>
    </row>
    <row r="92" spans="1:27">
      <c r="A92" s="8"/>
      <c r="B92" s="13" t="str">
        <f>IF($A92="","",[1]!thsiFinD("ths_adjustment_nv_fund",B$3,$A92))</f>
        <v/>
      </c>
      <c r="C92" s="13" t="str">
        <f>IF($A92="","",[1]!thsiFinD("ths_adjustment_nv_fund",C$3,$A92))</f>
        <v/>
      </c>
      <c r="D92" s="13" t="str">
        <f>IF($A92="","",[1]!thsiFinD("ths_adjustment_nv_fund",D$3,$A92))</f>
        <v/>
      </c>
      <c r="E92" s="13" t="str">
        <f>IF($A92="","",[1]!thsiFinD("ths_adjustment_nv_fund",E$3,$A92))</f>
        <v/>
      </c>
      <c r="F92" s="13" t="str">
        <f>IF($A92="","",[1]!thsiFinD("ths_adjustment_nv_fund",F$3,$A92))</f>
        <v/>
      </c>
      <c r="G92" s="13" t="str">
        <f>IF($A92="","",[1]!thsiFinD("ths_adjustment_nv_fund",G$3,$A92))</f>
        <v/>
      </c>
      <c r="H92" s="13" t="str">
        <f>IF($A92="","",[1]!thsiFinD("ths_adjustment_nv_fund",H$3,$A92))</f>
        <v/>
      </c>
      <c r="I92" s="13" t="str">
        <f>IF($A92="","",[1]!thsiFinD("ths_adjustment_nv_fund",I$3,$A92))</f>
        <v/>
      </c>
      <c r="J92" s="13" t="str">
        <f>IF($A92="","",[1]!thsiFinD("ths_adjustment_nv_fund",J$3,$A92))</f>
        <v/>
      </c>
      <c r="K92" s="13" t="str">
        <f>IF($A92="","",[1]!thsiFinD("ths_adjustment_nv_fund",K$3,$A92))</f>
        <v/>
      </c>
      <c r="L92" s="13" t="str">
        <f>IF($A92="","",[1]!thsiFinD("ths_adjustment_nv_fund",L$3,$A92))</f>
        <v/>
      </c>
      <c r="M92" s="13" t="str">
        <f>IF($A92="","",[1]!thsiFinD("ths_adjustment_nv_fund",M$3,$A92))</f>
        <v/>
      </c>
      <c r="N92" s="13" t="str">
        <f>IF($A92="","",[1]!thsiFinD("ths_adjustment_nv_fund",N$3,$A92))</f>
        <v/>
      </c>
      <c r="O92" s="13" t="str">
        <f>IF($A92="","",[1]!thsiFinD("ths_adjustment_nv_fund",O$3,$A92))</f>
        <v/>
      </c>
      <c r="P92" s="13" t="str">
        <f>IF($A92="","",[1]!thsiFinD("ths_adjustment_nv_fund",P$3,$A92))</f>
        <v/>
      </c>
      <c r="Q92" s="13" t="str">
        <f>IF($A92="","",[1]!thsiFinD("ths_adjustment_nv_fund",Q$3,$A92))</f>
        <v/>
      </c>
      <c r="R92" s="13" t="str">
        <f>IF($A92="","",[1]!thsiFinD("ths_adjustment_nv_fund",R$3,$A92))</f>
        <v/>
      </c>
      <c r="S92" s="13" t="str">
        <f>IF($A92="","",[1]!thsiFinD("ths_adjustment_nv_fund",S$3,$A92))</f>
        <v/>
      </c>
      <c r="T92" s="13" t="str">
        <f>IF($A92="","",[1]!thsiFinD("ths_adjustment_nv_fund",T$3,$A92))</f>
        <v/>
      </c>
      <c r="U92" s="13" t="str">
        <f>IF($A92="","",[1]!thsiFinD("ths_adjustment_nv_fund",U$3,$A92))</f>
        <v/>
      </c>
      <c r="V92" s="13" t="str">
        <f>IF($A92="","",[1]!thsiFinD("ths_adjustment_nv_fund",V$3,$A92))</f>
        <v/>
      </c>
      <c r="W92" s="13" t="str">
        <f>IF($A92="","",[1]!thsiFinD("ths_adjustment_nv_fund",W$3,$A92))</f>
        <v/>
      </c>
      <c r="X92" s="13" t="str">
        <f>IF($A92="","",[1]!thsiFinD("ths_adjustment_nv_fund",X$3,$A92))</f>
        <v/>
      </c>
      <c r="Y92" s="13" t="str">
        <f>IF($A92="","",[1]!thsiFinD("ths_adjustment_nv_fund",Y$3,$A92))</f>
        <v/>
      </c>
      <c r="Z92" s="13" t="str">
        <f>IF($A92="","",[1]!thsiFinD("ths_adjustment_nv_fund",Z$3,$A92))</f>
        <v/>
      </c>
      <c r="AA92" s="13" t="str">
        <f>IF($A92="","",[1]!thsiFinD("ths_adjustment_nv_fund",AA$3,$A92))</f>
        <v/>
      </c>
    </row>
    <row r="93" spans="1:27">
      <c r="A93" s="8"/>
      <c r="B93" s="13" t="str">
        <f>IF($A93="","",[1]!thsiFinD("ths_adjustment_nv_fund",B$3,$A93))</f>
        <v/>
      </c>
      <c r="C93" s="13" t="str">
        <f>IF($A93="","",[1]!thsiFinD("ths_adjustment_nv_fund",C$3,$A93))</f>
        <v/>
      </c>
      <c r="D93" s="13" t="str">
        <f>IF($A93="","",[1]!thsiFinD("ths_adjustment_nv_fund",D$3,$A93))</f>
        <v/>
      </c>
      <c r="E93" s="13" t="str">
        <f>IF($A93="","",[1]!thsiFinD("ths_adjustment_nv_fund",E$3,$A93))</f>
        <v/>
      </c>
      <c r="F93" s="13" t="str">
        <f>IF($A93="","",[1]!thsiFinD("ths_adjustment_nv_fund",F$3,$A93))</f>
        <v/>
      </c>
      <c r="G93" s="13" t="str">
        <f>IF($A93="","",[1]!thsiFinD("ths_adjustment_nv_fund",G$3,$A93))</f>
        <v/>
      </c>
      <c r="H93" s="13" t="str">
        <f>IF($A93="","",[1]!thsiFinD("ths_adjustment_nv_fund",H$3,$A93))</f>
        <v/>
      </c>
      <c r="I93" s="13" t="str">
        <f>IF($A93="","",[1]!thsiFinD("ths_adjustment_nv_fund",I$3,$A93))</f>
        <v/>
      </c>
      <c r="J93" s="13" t="str">
        <f>IF($A93="","",[1]!thsiFinD("ths_adjustment_nv_fund",J$3,$A93))</f>
        <v/>
      </c>
      <c r="K93" s="13" t="str">
        <f>IF($A93="","",[1]!thsiFinD("ths_adjustment_nv_fund",K$3,$A93))</f>
        <v/>
      </c>
      <c r="L93" s="13" t="str">
        <f>IF($A93="","",[1]!thsiFinD("ths_adjustment_nv_fund",L$3,$A93))</f>
        <v/>
      </c>
      <c r="M93" s="13" t="str">
        <f>IF($A93="","",[1]!thsiFinD("ths_adjustment_nv_fund",M$3,$A93))</f>
        <v/>
      </c>
      <c r="N93" s="13" t="str">
        <f>IF($A93="","",[1]!thsiFinD("ths_adjustment_nv_fund",N$3,$A93))</f>
        <v/>
      </c>
      <c r="O93" s="13" t="str">
        <f>IF($A93="","",[1]!thsiFinD("ths_adjustment_nv_fund",O$3,$A93))</f>
        <v/>
      </c>
      <c r="P93" s="13" t="str">
        <f>IF($A93="","",[1]!thsiFinD("ths_adjustment_nv_fund",P$3,$A93))</f>
        <v/>
      </c>
      <c r="Q93" s="13" t="str">
        <f>IF($A93="","",[1]!thsiFinD("ths_adjustment_nv_fund",Q$3,$A93))</f>
        <v/>
      </c>
      <c r="R93" s="13" t="str">
        <f>IF($A93="","",[1]!thsiFinD("ths_adjustment_nv_fund",R$3,$A93))</f>
        <v/>
      </c>
      <c r="S93" s="13" t="str">
        <f>IF($A93="","",[1]!thsiFinD("ths_adjustment_nv_fund",S$3,$A93))</f>
        <v/>
      </c>
      <c r="T93" s="13" t="str">
        <f>IF($A93="","",[1]!thsiFinD("ths_adjustment_nv_fund",T$3,$A93))</f>
        <v/>
      </c>
      <c r="U93" s="13" t="str">
        <f>IF($A93="","",[1]!thsiFinD("ths_adjustment_nv_fund",U$3,$A93))</f>
        <v/>
      </c>
      <c r="V93" s="13" t="str">
        <f>IF($A93="","",[1]!thsiFinD("ths_adjustment_nv_fund",V$3,$A93))</f>
        <v/>
      </c>
      <c r="W93" s="13" t="str">
        <f>IF($A93="","",[1]!thsiFinD("ths_adjustment_nv_fund",W$3,$A93))</f>
        <v/>
      </c>
      <c r="X93" s="13" t="str">
        <f>IF($A93="","",[1]!thsiFinD("ths_adjustment_nv_fund",X$3,$A93))</f>
        <v/>
      </c>
      <c r="Y93" s="13" t="str">
        <f>IF($A93="","",[1]!thsiFinD("ths_adjustment_nv_fund",Y$3,$A93))</f>
        <v/>
      </c>
      <c r="Z93" s="13" t="str">
        <f>IF($A93="","",[1]!thsiFinD("ths_adjustment_nv_fund",Z$3,$A93))</f>
        <v/>
      </c>
      <c r="AA93" s="13" t="str">
        <f>IF($A93="","",[1]!thsiFinD("ths_adjustment_nv_fund",AA$3,$A93))</f>
        <v/>
      </c>
    </row>
    <row r="94" spans="1:27">
      <c r="A94" s="8"/>
      <c r="B94" s="13" t="str">
        <f>IF($A94="","",[1]!thsiFinD("ths_adjustment_nv_fund",B$3,$A94))</f>
        <v/>
      </c>
      <c r="C94" s="13" t="str">
        <f>IF($A94="","",[1]!thsiFinD("ths_adjustment_nv_fund",C$3,$A94))</f>
        <v/>
      </c>
      <c r="D94" s="13" t="str">
        <f>IF($A94="","",[1]!thsiFinD("ths_adjustment_nv_fund",D$3,$A94))</f>
        <v/>
      </c>
      <c r="E94" s="13" t="str">
        <f>IF($A94="","",[1]!thsiFinD("ths_adjustment_nv_fund",E$3,$A94))</f>
        <v/>
      </c>
      <c r="F94" s="13" t="str">
        <f>IF($A94="","",[1]!thsiFinD("ths_adjustment_nv_fund",F$3,$A94))</f>
        <v/>
      </c>
      <c r="G94" s="13" t="str">
        <f>IF($A94="","",[1]!thsiFinD("ths_adjustment_nv_fund",G$3,$A94))</f>
        <v/>
      </c>
      <c r="H94" s="13" t="str">
        <f>IF($A94="","",[1]!thsiFinD("ths_adjustment_nv_fund",H$3,$A94))</f>
        <v/>
      </c>
      <c r="I94" s="13" t="str">
        <f>IF($A94="","",[1]!thsiFinD("ths_adjustment_nv_fund",I$3,$A94))</f>
        <v/>
      </c>
      <c r="J94" s="13" t="str">
        <f>IF($A94="","",[1]!thsiFinD("ths_adjustment_nv_fund",J$3,$A94))</f>
        <v/>
      </c>
      <c r="K94" s="13" t="str">
        <f>IF($A94="","",[1]!thsiFinD("ths_adjustment_nv_fund",K$3,$A94))</f>
        <v/>
      </c>
      <c r="L94" s="13" t="str">
        <f>IF($A94="","",[1]!thsiFinD("ths_adjustment_nv_fund",L$3,$A94))</f>
        <v/>
      </c>
      <c r="M94" s="13" t="str">
        <f>IF($A94="","",[1]!thsiFinD("ths_adjustment_nv_fund",M$3,$A94))</f>
        <v/>
      </c>
      <c r="N94" s="13" t="str">
        <f>IF($A94="","",[1]!thsiFinD("ths_adjustment_nv_fund",N$3,$A94))</f>
        <v/>
      </c>
      <c r="O94" s="13" t="str">
        <f>IF($A94="","",[1]!thsiFinD("ths_adjustment_nv_fund",O$3,$A94))</f>
        <v/>
      </c>
      <c r="P94" s="13" t="str">
        <f>IF($A94="","",[1]!thsiFinD("ths_adjustment_nv_fund",P$3,$A94))</f>
        <v/>
      </c>
      <c r="Q94" s="13" t="str">
        <f>IF($A94="","",[1]!thsiFinD("ths_adjustment_nv_fund",Q$3,$A94))</f>
        <v/>
      </c>
      <c r="R94" s="13" t="str">
        <f>IF($A94="","",[1]!thsiFinD("ths_adjustment_nv_fund",R$3,$A94))</f>
        <v/>
      </c>
      <c r="S94" s="13" t="str">
        <f>IF($A94="","",[1]!thsiFinD("ths_adjustment_nv_fund",S$3,$A94))</f>
        <v/>
      </c>
      <c r="T94" s="13" t="str">
        <f>IF($A94="","",[1]!thsiFinD("ths_adjustment_nv_fund",T$3,$A94))</f>
        <v/>
      </c>
      <c r="U94" s="13" t="str">
        <f>IF($A94="","",[1]!thsiFinD("ths_adjustment_nv_fund",U$3,$A94))</f>
        <v/>
      </c>
      <c r="V94" s="13" t="str">
        <f>IF($A94="","",[1]!thsiFinD("ths_adjustment_nv_fund",V$3,$A94))</f>
        <v/>
      </c>
      <c r="W94" s="13" t="str">
        <f>IF($A94="","",[1]!thsiFinD("ths_adjustment_nv_fund",W$3,$A94))</f>
        <v/>
      </c>
      <c r="X94" s="13" t="str">
        <f>IF($A94="","",[1]!thsiFinD("ths_adjustment_nv_fund",X$3,$A94))</f>
        <v/>
      </c>
      <c r="Y94" s="13" t="str">
        <f>IF($A94="","",[1]!thsiFinD("ths_adjustment_nv_fund",Y$3,$A94))</f>
        <v/>
      </c>
      <c r="Z94" s="13" t="str">
        <f>IF($A94="","",[1]!thsiFinD("ths_adjustment_nv_fund",Z$3,$A94))</f>
        <v/>
      </c>
      <c r="AA94" s="13" t="str">
        <f>IF($A94="","",[1]!thsiFinD("ths_adjustment_nv_fund",AA$3,$A94))</f>
        <v/>
      </c>
    </row>
    <row r="95" spans="1:27">
      <c r="A95" s="8"/>
      <c r="B95" s="13" t="str">
        <f>IF($A95="","",[1]!thsiFinD("ths_adjustment_nv_fund",B$3,$A95))</f>
        <v/>
      </c>
      <c r="C95" s="13" t="str">
        <f>IF($A95="","",[1]!thsiFinD("ths_adjustment_nv_fund",C$3,$A95))</f>
        <v/>
      </c>
      <c r="D95" s="13" t="str">
        <f>IF($A95="","",[1]!thsiFinD("ths_adjustment_nv_fund",D$3,$A95))</f>
        <v/>
      </c>
      <c r="E95" s="13" t="str">
        <f>IF($A95="","",[1]!thsiFinD("ths_adjustment_nv_fund",E$3,$A95))</f>
        <v/>
      </c>
      <c r="F95" s="13" t="str">
        <f>IF($A95="","",[1]!thsiFinD("ths_adjustment_nv_fund",F$3,$A95))</f>
        <v/>
      </c>
      <c r="G95" s="13" t="str">
        <f>IF($A95="","",[1]!thsiFinD("ths_adjustment_nv_fund",G$3,$A95))</f>
        <v/>
      </c>
      <c r="H95" s="13" t="str">
        <f>IF($A95="","",[1]!thsiFinD("ths_adjustment_nv_fund",H$3,$A95))</f>
        <v/>
      </c>
      <c r="I95" s="13" t="str">
        <f>IF($A95="","",[1]!thsiFinD("ths_adjustment_nv_fund",I$3,$A95))</f>
        <v/>
      </c>
      <c r="J95" s="13" t="str">
        <f>IF($A95="","",[1]!thsiFinD("ths_adjustment_nv_fund",J$3,$A95))</f>
        <v/>
      </c>
      <c r="K95" s="13" t="str">
        <f>IF($A95="","",[1]!thsiFinD("ths_adjustment_nv_fund",K$3,$A95))</f>
        <v/>
      </c>
      <c r="L95" s="13" t="str">
        <f>IF($A95="","",[1]!thsiFinD("ths_adjustment_nv_fund",L$3,$A95))</f>
        <v/>
      </c>
      <c r="M95" s="13" t="str">
        <f>IF($A95="","",[1]!thsiFinD("ths_adjustment_nv_fund",M$3,$A95))</f>
        <v/>
      </c>
      <c r="N95" s="13" t="str">
        <f>IF($A95="","",[1]!thsiFinD("ths_adjustment_nv_fund",N$3,$A95))</f>
        <v/>
      </c>
      <c r="O95" s="13" t="str">
        <f>IF($A95="","",[1]!thsiFinD("ths_adjustment_nv_fund",O$3,$A95))</f>
        <v/>
      </c>
      <c r="P95" s="13" t="str">
        <f>IF($A95="","",[1]!thsiFinD("ths_adjustment_nv_fund",P$3,$A95))</f>
        <v/>
      </c>
      <c r="Q95" s="13" t="str">
        <f>IF($A95="","",[1]!thsiFinD("ths_adjustment_nv_fund",Q$3,$A95))</f>
        <v/>
      </c>
      <c r="R95" s="13" t="str">
        <f>IF($A95="","",[1]!thsiFinD("ths_adjustment_nv_fund",R$3,$A95))</f>
        <v/>
      </c>
      <c r="S95" s="13" t="str">
        <f>IF($A95="","",[1]!thsiFinD("ths_adjustment_nv_fund",S$3,$A95))</f>
        <v/>
      </c>
      <c r="T95" s="13" t="str">
        <f>IF($A95="","",[1]!thsiFinD("ths_adjustment_nv_fund",T$3,$A95))</f>
        <v/>
      </c>
      <c r="U95" s="13" t="str">
        <f>IF($A95="","",[1]!thsiFinD("ths_adjustment_nv_fund",U$3,$A95))</f>
        <v/>
      </c>
      <c r="V95" s="13" t="str">
        <f>IF($A95="","",[1]!thsiFinD("ths_adjustment_nv_fund",V$3,$A95))</f>
        <v/>
      </c>
      <c r="W95" s="13" t="str">
        <f>IF($A95="","",[1]!thsiFinD("ths_adjustment_nv_fund",W$3,$A95))</f>
        <v/>
      </c>
      <c r="X95" s="13" t="str">
        <f>IF($A95="","",[1]!thsiFinD("ths_adjustment_nv_fund",X$3,$A95))</f>
        <v/>
      </c>
      <c r="Y95" s="13" t="str">
        <f>IF($A95="","",[1]!thsiFinD("ths_adjustment_nv_fund",Y$3,$A95))</f>
        <v/>
      </c>
      <c r="Z95" s="13" t="str">
        <f>IF($A95="","",[1]!thsiFinD("ths_adjustment_nv_fund",Z$3,$A95))</f>
        <v/>
      </c>
      <c r="AA95" s="13" t="str">
        <f>IF($A95="","",[1]!thsiFinD("ths_adjustment_nv_fund",AA$3,$A95))</f>
        <v/>
      </c>
    </row>
    <row r="96" spans="1:27">
      <c r="A96" s="8"/>
      <c r="B96" s="13" t="str">
        <f>IF($A96="","",[1]!thsiFinD("ths_adjustment_nv_fund",B$3,$A96))</f>
        <v/>
      </c>
      <c r="C96" s="13" t="str">
        <f>IF($A96="","",[1]!thsiFinD("ths_adjustment_nv_fund",C$3,$A96))</f>
        <v/>
      </c>
      <c r="D96" s="13" t="str">
        <f>IF($A96="","",[1]!thsiFinD("ths_adjustment_nv_fund",D$3,$A96))</f>
        <v/>
      </c>
      <c r="E96" s="13" t="str">
        <f>IF($A96="","",[1]!thsiFinD("ths_adjustment_nv_fund",E$3,$A96))</f>
        <v/>
      </c>
      <c r="F96" s="13" t="str">
        <f>IF($A96="","",[1]!thsiFinD("ths_adjustment_nv_fund",F$3,$A96))</f>
        <v/>
      </c>
      <c r="G96" s="13" t="str">
        <f>IF($A96="","",[1]!thsiFinD("ths_adjustment_nv_fund",G$3,$A96))</f>
        <v/>
      </c>
      <c r="H96" s="13" t="str">
        <f>IF($A96="","",[1]!thsiFinD("ths_adjustment_nv_fund",H$3,$A96))</f>
        <v/>
      </c>
      <c r="I96" s="13" t="str">
        <f>IF($A96="","",[1]!thsiFinD("ths_adjustment_nv_fund",I$3,$A96))</f>
        <v/>
      </c>
      <c r="J96" s="13" t="str">
        <f>IF($A96="","",[1]!thsiFinD("ths_adjustment_nv_fund",J$3,$A96))</f>
        <v/>
      </c>
      <c r="K96" s="13" t="str">
        <f>IF($A96="","",[1]!thsiFinD("ths_adjustment_nv_fund",K$3,$A96))</f>
        <v/>
      </c>
      <c r="L96" s="13" t="str">
        <f>IF($A96="","",[1]!thsiFinD("ths_adjustment_nv_fund",L$3,$A96))</f>
        <v/>
      </c>
      <c r="M96" s="13" t="str">
        <f>IF($A96="","",[1]!thsiFinD("ths_adjustment_nv_fund",M$3,$A96))</f>
        <v/>
      </c>
      <c r="N96" s="13" t="str">
        <f>IF($A96="","",[1]!thsiFinD("ths_adjustment_nv_fund",N$3,$A96))</f>
        <v/>
      </c>
      <c r="O96" s="13" t="str">
        <f>IF($A96="","",[1]!thsiFinD("ths_adjustment_nv_fund",O$3,$A96))</f>
        <v/>
      </c>
      <c r="P96" s="13" t="str">
        <f>IF($A96="","",[1]!thsiFinD("ths_adjustment_nv_fund",P$3,$A96))</f>
        <v/>
      </c>
      <c r="Q96" s="13" t="str">
        <f>IF($A96="","",[1]!thsiFinD("ths_adjustment_nv_fund",Q$3,$A96))</f>
        <v/>
      </c>
      <c r="R96" s="13" t="str">
        <f>IF($A96="","",[1]!thsiFinD("ths_adjustment_nv_fund",R$3,$A96))</f>
        <v/>
      </c>
      <c r="S96" s="13" t="str">
        <f>IF($A96="","",[1]!thsiFinD("ths_adjustment_nv_fund",S$3,$A96))</f>
        <v/>
      </c>
      <c r="T96" s="13" t="str">
        <f>IF($A96="","",[1]!thsiFinD("ths_adjustment_nv_fund",T$3,$A96))</f>
        <v/>
      </c>
      <c r="U96" s="13" t="str">
        <f>IF($A96="","",[1]!thsiFinD("ths_adjustment_nv_fund",U$3,$A96))</f>
        <v/>
      </c>
      <c r="V96" s="13" t="str">
        <f>IF($A96="","",[1]!thsiFinD("ths_adjustment_nv_fund",V$3,$A96))</f>
        <v/>
      </c>
      <c r="W96" s="13" t="str">
        <f>IF($A96="","",[1]!thsiFinD("ths_adjustment_nv_fund",W$3,$A96))</f>
        <v/>
      </c>
      <c r="X96" s="13" t="str">
        <f>IF($A96="","",[1]!thsiFinD("ths_adjustment_nv_fund",X$3,$A96))</f>
        <v/>
      </c>
      <c r="Y96" s="13" t="str">
        <f>IF($A96="","",[1]!thsiFinD("ths_adjustment_nv_fund",Y$3,$A96))</f>
        <v/>
      </c>
      <c r="Z96" s="13" t="str">
        <f>IF($A96="","",[1]!thsiFinD("ths_adjustment_nv_fund",Z$3,$A96))</f>
        <v/>
      </c>
      <c r="AA96" s="13" t="str">
        <f>IF($A96="","",[1]!thsiFinD("ths_adjustment_nv_fund",AA$3,$A96))</f>
        <v/>
      </c>
    </row>
    <row r="97" spans="1:27">
      <c r="A97" s="8"/>
      <c r="B97" s="13" t="str">
        <f>IF($A97="","",[1]!thsiFinD("ths_adjustment_nv_fund",B$3,$A97))</f>
        <v/>
      </c>
      <c r="C97" s="13" t="str">
        <f>IF($A97="","",[1]!thsiFinD("ths_adjustment_nv_fund",C$3,$A97))</f>
        <v/>
      </c>
      <c r="D97" s="13" t="str">
        <f>IF($A97="","",[1]!thsiFinD("ths_adjustment_nv_fund",D$3,$A97))</f>
        <v/>
      </c>
      <c r="E97" s="13" t="str">
        <f>IF($A97="","",[1]!thsiFinD("ths_adjustment_nv_fund",E$3,$A97))</f>
        <v/>
      </c>
      <c r="F97" s="13" t="str">
        <f>IF($A97="","",[1]!thsiFinD("ths_adjustment_nv_fund",F$3,$A97))</f>
        <v/>
      </c>
      <c r="G97" s="13" t="str">
        <f>IF($A97="","",[1]!thsiFinD("ths_adjustment_nv_fund",G$3,$A97))</f>
        <v/>
      </c>
      <c r="H97" s="13" t="str">
        <f>IF($A97="","",[1]!thsiFinD("ths_adjustment_nv_fund",H$3,$A97))</f>
        <v/>
      </c>
      <c r="I97" s="13" t="str">
        <f>IF($A97="","",[1]!thsiFinD("ths_adjustment_nv_fund",I$3,$A97))</f>
        <v/>
      </c>
      <c r="J97" s="13" t="str">
        <f>IF($A97="","",[1]!thsiFinD("ths_adjustment_nv_fund",J$3,$A97))</f>
        <v/>
      </c>
      <c r="K97" s="13" t="str">
        <f>IF($A97="","",[1]!thsiFinD("ths_adjustment_nv_fund",K$3,$A97))</f>
        <v/>
      </c>
      <c r="L97" s="13" t="str">
        <f>IF($A97="","",[1]!thsiFinD("ths_adjustment_nv_fund",L$3,$A97))</f>
        <v/>
      </c>
      <c r="M97" s="13" t="str">
        <f>IF($A97="","",[1]!thsiFinD("ths_adjustment_nv_fund",M$3,$A97))</f>
        <v/>
      </c>
      <c r="N97" s="13" t="str">
        <f>IF($A97="","",[1]!thsiFinD("ths_adjustment_nv_fund",N$3,$A97))</f>
        <v/>
      </c>
      <c r="O97" s="13" t="str">
        <f>IF($A97="","",[1]!thsiFinD("ths_adjustment_nv_fund",O$3,$A97))</f>
        <v/>
      </c>
      <c r="P97" s="13" t="str">
        <f>IF($A97="","",[1]!thsiFinD("ths_adjustment_nv_fund",P$3,$A97))</f>
        <v/>
      </c>
      <c r="Q97" s="13" t="str">
        <f>IF($A97="","",[1]!thsiFinD("ths_adjustment_nv_fund",Q$3,$A97))</f>
        <v/>
      </c>
      <c r="R97" s="13" t="str">
        <f>IF($A97="","",[1]!thsiFinD("ths_adjustment_nv_fund",R$3,$A97))</f>
        <v/>
      </c>
      <c r="S97" s="13" t="str">
        <f>IF($A97="","",[1]!thsiFinD("ths_adjustment_nv_fund",S$3,$A97))</f>
        <v/>
      </c>
      <c r="T97" s="13" t="str">
        <f>IF($A97="","",[1]!thsiFinD("ths_adjustment_nv_fund",T$3,$A97))</f>
        <v/>
      </c>
      <c r="U97" s="13" t="str">
        <f>IF($A97="","",[1]!thsiFinD("ths_adjustment_nv_fund",U$3,$A97))</f>
        <v/>
      </c>
      <c r="V97" s="13" t="str">
        <f>IF($A97="","",[1]!thsiFinD("ths_adjustment_nv_fund",V$3,$A97))</f>
        <v/>
      </c>
      <c r="W97" s="13" t="str">
        <f>IF($A97="","",[1]!thsiFinD("ths_adjustment_nv_fund",W$3,$A97))</f>
        <v/>
      </c>
      <c r="X97" s="13" t="str">
        <f>IF($A97="","",[1]!thsiFinD("ths_adjustment_nv_fund",X$3,$A97))</f>
        <v/>
      </c>
      <c r="Y97" s="13" t="str">
        <f>IF($A97="","",[1]!thsiFinD("ths_adjustment_nv_fund",Y$3,$A97))</f>
        <v/>
      </c>
      <c r="Z97" s="13" t="str">
        <f>IF($A97="","",[1]!thsiFinD("ths_adjustment_nv_fund",Z$3,$A97))</f>
        <v/>
      </c>
      <c r="AA97" s="13" t="str">
        <f>IF($A97="","",[1]!thsiFinD("ths_adjustment_nv_fund",AA$3,$A97))</f>
        <v/>
      </c>
    </row>
    <row r="98" spans="1:27">
      <c r="A98" s="8"/>
      <c r="B98" s="13" t="str">
        <f>IF($A98="","",[1]!thsiFinD("ths_adjustment_nv_fund",B$3,$A98))</f>
        <v/>
      </c>
      <c r="C98" s="13" t="str">
        <f>IF($A98="","",[1]!thsiFinD("ths_adjustment_nv_fund",C$3,$A98))</f>
        <v/>
      </c>
      <c r="D98" s="13" t="str">
        <f>IF($A98="","",[1]!thsiFinD("ths_adjustment_nv_fund",D$3,$A98))</f>
        <v/>
      </c>
      <c r="E98" s="13" t="str">
        <f>IF($A98="","",[1]!thsiFinD("ths_adjustment_nv_fund",E$3,$A98))</f>
        <v/>
      </c>
      <c r="F98" s="13" t="str">
        <f>IF($A98="","",[1]!thsiFinD("ths_adjustment_nv_fund",F$3,$A98))</f>
        <v/>
      </c>
      <c r="G98" s="13" t="str">
        <f>IF($A98="","",[1]!thsiFinD("ths_adjustment_nv_fund",G$3,$A98))</f>
        <v/>
      </c>
      <c r="H98" s="13" t="str">
        <f>IF($A98="","",[1]!thsiFinD("ths_adjustment_nv_fund",H$3,$A98))</f>
        <v/>
      </c>
      <c r="I98" s="13" t="str">
        <f>IF($A98="","",[1]!thsiFinD("ths_adjustment_nv_fund",I$3,$A98))</f>
        <v/>
      </c>
      <c r="J98" s="13" t="str">
        <f>IF($A98="","",[1]!thsiFinD("ths_adjustment_nv_fund",J$3,$A98))</f>
        <v/>
      </c>
      <c r="K98" s="13" t="str">
        <f>IF($A98="","",[1]!thsiFinD("ths_adjustment_nv_fund",K$3,$A98))</f>
        <v/>
      </c>
      <c r="L98" s="13" t="str">
        <f>IF($A98="","",[1]!thsiFinD("ths_adjustment_nv_fund",L$3,$A98))</f>
        <v/>
      </c>
      <c r="M98" s="13" t="str">
        <f>IF($A98="","",[1]!thsiFinD("ths_adjustment_nv_fund",M$3,$A98))</f>
        <v/>
      </c>
      <c r="N98" s="13" t="str">
        <f>IF($A98="","",[1]!thsiFinD("ths_adjustment_nv_fund",N$3,$A98))</f>
        <v/>
      </c>
      <c r="O98" s="13" t="str">
        <f>IF($A98="","",[1]!thsiFinD("ths_adjustment_nv_fund",O$3,$A98))</f>
        <v/>
      </c>
      <c r="P98" s="13" t="str">
        <f>IF($A98="","",[1]!thsiFinD("ths_adjustment_nv_fund",P$3,$A98))</f>
        <v/>
      </c>
      <c r="Q98" s="13" t="str">
        <f>IF($A98="","",[1]!thsiFinD("ths_adjustment_nv_fund",Q$3,$A98))</f>
        <v/>
      </c>
      <c r="R98" s="13" t="str">
        <f>IF($A98="","",[1]!thsiFinD("ths_adjustment_nv_fund",R$3,$A98))</f>
        <v/>
      </c>
      <c r="S98" s="13" t="str">
        <f>IF($A98="","",[1]!thsiFinD("ths_adjustment_nv_fund",S$3,$A98))</f>
        <v/>
      </c>
      <c r="T98" s="13" t="str">
        <f>IF($A98="","",[1]!thsiFinD("ths_adjustment_nv_fund",T$3,$A98))</f>
        <v/>
      </c>
      <c r="U98" s="13" t="str">
        <f>IF($A98="","",[1]!thsiFinD("ths_adjustment_nv_fund",U$3,$A98))</f>
        <v/>
      </c>
      <c r="V98" s="13" t="str">
        <f>IF($A98="","",[1]!thsiFinD("ths_adjustment_nv_fund",V$3,$A98))</f>
        <v/>
      </c>
      <c r="W98" s="13" t="str">
        <f>IF($A98="","",[1]!thsiFinD("ths_adjustment_nv_fund",W$3,$A98))</f>
        <v/>
      </c>
      <c r="X98" s="13" t="str">
        <f>IF($A98="","",[1]!thsiFinD("ths_adjustment_nv_fund",X$3,$A98))</f>
        <v/>
      </c>
      <c r="Y98" s="13" t="str">
        <f>IF($A98="","",[1]!thsiFinD("ths_adjustment_nv_fund",Y$3,$A98))</f>
        <v/>
      </c>
      <c r="Z98" s="13" t="str">
        <f>IF($A98="","",[1]!thsiFinD("ths_adjustment_nv_fund",Z$3,$A98))</f>
        <v/>
      </c>
      <c r="AA98" s="13" t="str">
        <f>IF($A98="","",[1]!thsiFinD("ths_adjustment_nv_fund",AA$3,$A98))</f>
        <v/>
      </c>
    </row>
    <row r="99" spans="1:27">
      <c r="A99" s="8"/>
      <c r="B99" s="13" t="str">
        <f>IF($A99="","",[1]!thsiFinD("ths_adjustment_nv_fund",B$3,$A99))</f>
        <v/>
      </c>
      <c r="C99" s="13" t="str">
        <f>IF($A99="","",[1]!thsiFinD("ths_adjustment_nv_fund",C$3,$A99))</f>
        <v/>
      </c>
      <c r="D99" s="13" t="str">
        <f>IF($A99="","",[1]!thsiFinD("ths_adjustment_nv_fund",D$3,$A99))</f>
        <v/>
      </c>
      <c r="E99" s="13" t="str">
        <f>IF($A99="","",[1]!thsiFinD("ths_adjustment_nv_fund",E$3,$A99))</f>
        <v/>
      </c>
      <c r="F99" s="13" t="str">
        <f>IF($A99="","",[1]!thsiFinD("ths_adjustment_nv_fund",F$3,$A99))</f>
        <v/>
      </c>
      <c r="G99" s="13" t="str">
        <f>IF($A99="","",[1]!thsiFinD("ths_adjustment_nv_fund",G$3,$A99))</f>
        <v/>
      </c>
      <c r="H99" s="13" t="str">
        <f>IF($A99="","",[1]!thsiFinD("ths_adjustment_nv_fund",H$3,$A99))</f>
        <v/>
      </c>
      <c r="I99" s="13" t="str">
        <f>IF($A99="","",[1]!thsiFinD("ths_adjustment_nv_fund",I$3,$A99))</f>
        <v/>
      </c>
      <c r="J99" s="13" t="str">
        <f>IF($A99="","",[1]!thsiFinD("ths_adjustment_nv_fund",J$3,$A99))</f>
        <v/>
      </c>
      <c r="K99" s="13" t="str">
        <f>IF($A99="","",[1]!thsiFinD("ths_adjustment_nv_fund",K$3,$A99))</f>
        <v/>
      </c>
      <c r="L99" s="13" t="str">
        <f>IF($A99="","",[1]!thsiFinD("ths_adjustment_nv_fund",L$3,$A99))</f>
        <v/>
      </c>
      <c r="M99" s="13" t="str">
        <f>IF($A99="","",[1]!thsiFinD("ths_adjustment_nv_fund",M$3,$A99))</f>
        <v/>
      </c>
      <c r="N99" s="13" t="str">
        <f>IF($A99="","",[1]!thsiFinD("ths_adjustment_nv_fund",N$3,$A99))</f>
        <v/>
      </c>
      <c r="O99" s="13" t="str">
        <f>IF($A99="","",[1]!thsiFinD("ths_adjustment_nv_fund",O$3,$A99))</f>
        <v/>
      </c>
      <c r="P99" s="13" t="str">
        <f>IF($A99="","",[1]!thsiFinD("ths_adjustment_nv_fund",P$3,$A99))</f>
        <v/>
      </c>
      <c r="Q99" s="13" t="str">
        <f>IF($A99="","",[1]!thsiFinD("ths_adjustment_nv_fund",Q$3,$A99))</f>
        <v/>
      </c>
      <c r="R99" s="13" t="str">
        <f>IF($A99="","",[1]!thsiFinD("ths_adjustment_nv_fund",R$3,$A99))</f>
        <v/>
      </c>
      <c r="S99" s="13" t="str">
        <f>IF($A99="","",[1]!thsiFinD("ths_adjustment_nv_fund",S$3,$A99))</f>
        <v/>
      </c>
      <c r="T99" s="13" t="str">
        <f>IF($A99="","",[1]!thsiFinD("ths_adjustment_nv_fund",T$3,$A99))</f>
        <v/>
      </c>
      <c r="U99" s="13" t="str">
        <f>IF($A99="","",[1]!thsiFinD("ths_adjustment_nv_fund",U$3,$A99))</f>
        <v/>
      </c>
      <c r="V99" s="13" t="str">
        <f>IF($A99="","",[1]!thsiFinD("ths_adjustment_nv_fund",V$3,$A99))</f>
        <v/>
      </c>
      <c r="W99" s="13" t="str">
        <f>IF($A99="","",[1]!thsiFinD("ths_adjustment_nv_fund",W$3,$A99))</f>
        <v/>
      </c>
      <c r="X99" s="13" t="str">
        <f>IF($A99="","",[1]!thsiFinD("ths_adjustment_nv_fund",X$3,$A99))</f>
        <v/>
      </c>
      <c r="Y99" s="13" t="str">
        <f>IF($A99="","",[1]!thsiFinD("ths_adjustment_nv_fund",Y$3,$A99))</f>
        <v/>
      </c>
      <c r="Z99" s="13" t="str">
        <f>IF($A99="","",[1]!thsiFinD("ths_adjustment_nv_fund",Z$3,$A99))</f>
        <v/>
      </c>
      <c r="AA99" s="13" t="str">
        <f>IF($A99="","",[1]!thsiFinD("ths_adjustment_nv_fund",AA$3,$A99))</f>
        <v/>
      </c>
    </row>
    <row r="100" spans="1:27">
      <c r="A100" s="8"/>
      <c r="B100" s="13" t="str">
        <f>IF($A100="","",[1]!thsiFinD("ths_adjustment_nv_fund",B$3,$A100))</f>
        <v/>
      </c>
      <c r="C100" s="13" t="str">
        <f>IF($A100="","",[1]!thsiFinD("ths_adjustment_nv_fund",C$3,$A100))</f>
        <v/>
      </c>
      <c r="D100" s="13" t="str">
        <f>IF($A100="","",[1]!thsiFinD("ths_adjustment_nv_fund",D$3,$A100))</f>
        <v/>
      </c>
      <c r="E100" s="13" t="str">
        <f>IF($A100="","",[1]!thsiFinD("ths_adjustment_nv_fund",E$3,$A100))</f>
        <v/>
      </c>
      <c r="F100" s="13" t="str">
        <f>IF($A100="","",[1]!thsiFinD("ths_adjustment_nv_fund",F$3,$A100))</f>
        <v/>
      </c>
      <c r="G100" s="13" t="str">
        <f>IF($A100="","",[1]!thsiFinD("ths_adjustment_nv_fund",G$3,$A100))</f>
        <v/>
      </c>
      <c r="H100" s="13" t="str">
        <f>IF($A100="","",[1]!thsiFinD("ths_adjustment_nv_fund",H$3,$A100))</f>
        <v/>
      </c>
      <c r="I100" s="13" t="str">
        <f>IF($A100="","",[1]!thsiFinD("ths_adjustment_nv_fund",I$3,$A100))</f>
        <v/>
      </c>
      <c r="J100" s="13" t="str">
        <f>IF($A100="","",[1]!thsiFinD("ths_adjustment_nv_fund",J$3,$A100))</f>
        <v/>
      </c>
      <c r="K100" s="13" t="str">
        <f>IF($A100="","",[1]!thsiFinD("ths_adjustment_nv_fund",K$3,$A100))</f>
        <v/>
      </c>
      <c r="L100" s="13" t="str">
        <f>IF($A100="","",[1]!thsiFinD("ths_adjustment_nv_fund",L$3,$A100))</f>
        <v/>
      </c>
      <c r="M100" s="13" t="str">
        <f>IF($A100="","",[1]!thsiFinD("ths_adjustment_nv_fund",M$3,$A100))</f>
        <v/>
      </c>
      <c r="N100" s="13" t="str">
        <f>IF($A100="","",[1]!thsiFinD("ths_adjustment_nv_fund",N$3,$A100))</f>
        <v/>
      </c>
      <c r="O100" s="13" t="str">
        <f>IF($A100="","",[1]!thsiFinD("ths_adjustment_nv_fund",O$3,$A100))</f>
        <v/>
      </c>
      <c r="P100" s="13" t="str">
        <f>IF($A100="","",[1]!thsiFinD("ths_adjustment_nv_fund",P$3,$A100))</f>
        <v/>
      </c>
      <c r="Q100" s="13" t="str">
        <f>IF($A100="","",[1]!thsiFinD("ths_adjustment_nv_fund",Q$3,$A100))</f>
        <v/>
      </c>
      <c r="R100" s="13" t="str">
        <f>IF($A100="","",[1]!thsiFinD("ths_adjustment_nv_fund",R$3,$A100))</f>
        <v/>
      </c>
      <c r="S100" s="13" t="str">
        <f>IF($A100="","",[1]!thsiFinD("ths_adjustment_nv_fund",S$3,$A100))</f>
        <v/>
      </c>
      <c r="T100" s="13" t="str">
        <f>IF($A100="","",[1]!thsiFinD("ths_adjustment_nv_fund",T$3,$A100))</f>
        <v/>
      </c>
      <c r="U100" s="13" t="str">
        <f>IF($A100="","",[1]!thsiFinD("ths_adjustment_nv_fund",U$3,$A100))</f>
        <v/>
      </c>
      <c r="V100" s="13" t="str">
        <f>IF($A100="","",[1]!thsiFinD("ths_adjustment_nv_fund",V$3,$A100))</f>
        <v/>
      </c>
      <c r="W100" s="13" t="str">
        <f>IF($A100="","",[1]!thsiFinD("ths_adjustment_nv_fund",W$3,$A100))</f>
        <v/>
      </c>
      <c r="X100" s="13" t="str">
        <f>IF($A100="","",[1]!thsiFinD("ths_adjustment_nv_fund",X$3,$A100))</f>
        <v/>
      </c>
      <c r="Y100" s="13" t="str">
        <f>IF($A100="","",[1]!thsiFinD("ths_adjustment_nv_fund",Y$3,$A100))</f>
        <v/>
      </c>
      <c r="Z100" s="13" t="str">
        <f>IF($A100="","",[1]!thsiFinD("ths_adjustment_nv_fund",Z$3,$A100))</f>
        <v/>
      </c>
      <c r="AA100" s="13" t="str">
        <f>IF($A100="","",[1]!thsiFinD("ths_adjustment_nv_fund",AA$3,$A100))</f>
        <v/>
      </c>
    </row>
    <row r="101" spans="1:27">
      <c r="A101" s="8"/>
      <c r="B101" s="13" t="str">
        <f>IF($A101="","",[1]!thsiFinD("ths_adjustment_nv_fund",B$3,$A101))</f>
        <v/>
      </c>
      <c r="C101" s="13" t="str">
        <f>IF($A101="","",[1]!thsiFinD("ths_adjustment_nv_fund",C$3,$A101))</f>
        <v/>
      </c>
      <c r="D101" s="13" t="str">
        <f>IF($A101="","",[1]!thsiFinD("ths_adjustment_nv_fund",D$3,$A101))</f>
        <v/>
      </c>
      <c r="E101" s="13" t="str">
        <f>IF($A101="","",[1]!thsiFinD("ths_adjustment_nv_fund",E$3,$A101))</f>
        <v/>
      </c>
      <c r="F101" s="13" t="str">
        <f>IF($A101="","",[1]!thsiFinD("ths_adjustment_nv_fund",F$3,$A101))</f>
        <v/>
      </c>
      <c r="G101" s="13" t="str">
        <f>IF($A101="","",[1]!thsiFinD("ths_adjustment_nv_fund",G$3,$A101))</f>
        <v/>
      </c>
      <c r="H101" s="13" t="str">
        <f>IF($A101="","",[1]!thsiFinD("ths_adjustment_nv_fund",H$3,$A101))</f>
        <v/>
      </c>
      <c r="I101" s="13" t="str">
        <f>IF($A101="","",[1]!thsiFinD("ths_adjustment_nv_fund",I$3,$A101))</f>
        <v/>
      </c>
      <c r="J101" s="13" t="str">
        <f>IF($A101="","",[1]!thsiFinD("ths_adjustment_nv_fund",J$3,$A101))</f>
        <v/>
      </c>
      <c r="K101" s="13" t="str">
        <f>IF($A101="","",[1]!thsiFinD("ths_adjustment_nv_fund",K$3,$A101))</f>
        <v/>
      </c>
      <c r="L101" s="13" t="str">
        <f>IF($A101="","",[1]!thsiFinD("ths_adjustment_nv_fund",L$3,$A101))</f>
        <v/>
      </c>
      <c r="M101" s="13" t="str">
        <f>IF($A101="","",[1]!thsiFinD("ths_adjustment_nv_fund",M$3,$A101))</f>
        <v/>
      </c>
      <c r="N101" s="13" t="str">
        <f>IF($A101="","",[1]!thsiFinD("ths_adjustment_nv_fund",N$3,$A101))</f>
        <v/>
      </c>
      <c r="O101" s="13" t="str">
        <f>IF($A101="","",[1]!thsiFinD("ths_adjustment_nv_fund",O$3,$A101))</f>
        <v/>
      </c>
      <c r="P101" s="13" t="str">
        <f>IF($A101="","",[1]!thsiFinD("ths_adjustment_nv_fund",P$3,$A101))</f>
        <v/>
      </c>
      <c r="Q101" s="13" t="str">
        <f>IF($A101="","",[1]!thsiFinD("ths_adjustment_nv_fund",Q$3,$A101))</f>
        <v/>
      </c>
      <c r="R101" s="13" t="str">
        <f>IF($A101="","",[1]!thsiFinD("ths_adjustment_nv_fund",R$3,$A101))</f>
        <v/>
      </c>
      <c r="S101" s="13" t="str">
        <f>IF($A101="","",[1]!thsiFinD("ths_adjustment_nv_fund",S$3,$A101))</f>
        <v/>
      </c>
      <c r="T101" s="13" t="str">
        <f>IF($A101="","",[1]!thsiFinD("ths_adjustment_nv_fund",T$3,$A101))</f>
        <v/>
      </c>
      <c r="U101" s="13" t="str">
        <f>IF($A101="","",[1]!thsiFinD("ths_adjustment_nv_fund",U$3,$A101))</f>
        <v/>
      </c>
      <c r="V101" s="13" t="str">
        <f>IF($A101="","",[1]!thsiFinD("ths_adjustment_nv_fund",V$3,$A101))</f>
        <v/>
      </c>
      <c r="W101" s="13" t="str">
        <f>IF($A101="","",[1]!thsiFinD("ths_adjustment_nv_fund",W$3,$A101))</f>
        <v/>
      </c>
      <c r="X101" s="13" t="str">
        <f>IF($A101="","",[1]!thsiFinD("ths_adjustment_nv_fund",X$3,$A101))</f>
        <v/>
      </c>
      <c r="Y101" s="13" t="str">
        <f>IF($A101="","",[1]!thsiFinD("ths_adjustment_nv_fund",Y$3,$A101))</f>
        <v/>
      </c>
      <c r="Z101" s="13" t="str">
        <f>IF($A101="","",[1]!thsiFinD("ths_adjustment_nv_fund",Z$3,$A101))</f>
        <v/>
      </c>
      <c r="AA101" s="13" t="str">
        <f>IF($A101="","",[1]!thsiFinD("ths_adjustment_nv_fund",AA$3,$A101))</f>
        <v/>
      </c>
    </row>
    <row r="102" spans="1:27">
      <c r="A102" s="8"/>
      <c r="B102" s="13" t="str">
        <f>IF($A102="","",[1]!thsiFinD("ths_adjustment_nv_fund",B$3,$A102))</f>
        <v/>
      </c>
      <c r="C102" s="13" t="str">
        <f>IF($A102="","",[1]!thsiFinD("ths_adjustment_nv_fund",C$3,$A102))</f>
        <v/>
      </c>
      <c r="D102" s="13" t="str">
        <f>IF($A102="","",[1]!thsiFinD("ths_adjustment_nv_fund",D$3,$A102))</f>
        <v/>
      </c>
      <c r="E102" s="13" t="str">
        <f>IF($A102="","",[1]!thsiFinD("ths_adjustment_nv_fund",E$3,$A102))</f>
        <v/>
      </c>
      <c r="F102" s="13" t="str">
        <f>IF($A102="","",[1]!thsiFinD("ths_adjustment_nv_fund",F$3,$A102))</f>
        <v/>
      </c>
      <c r="G102" s="13" t="str">
        <f>IF($A102="","",[1]!thsiFinD("ths_adjustment_nv_fund",G$3,$A102))</f>
        <v/>
      </c>
      <c r="H102" s="13" t="str">
        <f>IF($A102="","",[1]!thsiFinD("ths_adjustment_nv_fund",H$3,$A102))</f>
        <v/>
      </c>
      <c r="I102" s="13" t="str">
        <f>IF($A102="","",[1]!thsiFinD("ths_adjustment_nv_fund",I$3,$A102))</f>
        <v/>
      </c>
      <c r="J102" s="13" t="str">
        <f>IF($A102="","",[1]!thsiFinD("ths_adjustment_nv_fund",J$3,$A102))</f>
        <v/>
      </c>
      <c r="K102" s="13" t="str">
        <f>IF($A102="","",[1]!thsiFinD("ths_adjustment_nv_fund",K$3,$A102))</f>
        <v/>
      </c>
      <c r="L102" s="13" t="str">
        <f>IF($A102="","",[1]!thsiFinD("ths_adjustment_nv_fund",L$3,$A102))</f>
        <v/>
      </c>
      <c r="M102" s="13" t="str">
        <f>IF($A102="","",[1]!thsiFinD("ths_adjustment_nv_fund",M$3,$A102))</f>
        <v/>
      </c>
      <c r="N102" s="13" t="str">
        <f>IF($A102="","",[1]!thsiFinD("ths_adjustment_nv_fund",N$3,$A102))</f>
        <v/>
      </c>
      <c r="O102" s="13" t="str">
        <f>IF($A102="","",[1]!thsiFinD("ths_adjustment_nv_fund",O$3,$A102))</f>
        <v/>
      </c>
      <c r="P102" s="13" t="str">
        <f>IF($A102="","",[1]!thsiFinD("ths_adjustment_nv_fund",P$3,$A102))</f>
        <v/>
      </c>
      <c r="Q102" s="13" t="str">
        <f>IF($A102="","",[1]!thsiFinD("ths_adjustment_nv_fund",Q$3,$A102))</f>
        <v/>
      </c>
      <c r="R102" s="13" t="str">
        <f>IF($A102="","",[1]!thsiFinD("ths_adjustment_nv_fund",R$3,$A102))</f>
        <v/>
      </c>
      <c r="S102" s="13" t="str">
        <f>IF($A102="","",[1]!thsiFinD("ths_adjustment_nv_fund",S$3,$A102))</f>
        <v/>
      </c>
      <c r="T102" s="13" t="str">
        <f>IF($A102="","",[1]!thsiFinD("ths_adjustment_nv_fund",T$3,$A102))</f>
        <v/>
      </c>
      <c r="U102" s="13" t="str">
        <f>IF($A102="","",[1]!thsiFinD("ths_adjustment_nv_fund",U$3,$A102))</f>
        <v/>
      </c>
      <c r="V102" s="13" t="str">
        <f>IF($A102="","",[1]!thsiFinD("ths_adjustment_nv_fund",V$3,$A102))</f>
        <v/>
      </c>
      <c r="W102" s="13" t="str">
        <f>IF($A102="","",[1]!thsiFinD("ths_adjustment_nv_fund",W$3,$A102))</f>
        <v/>
      </c>
      <c r="X102" s="13" t="str">
        <f>IF($A102="","",[1]!thsiFinD("ths_adjustment_nv_fund",X$3,$A102))</f>
        <v/>
      </c>
      <c r="Y102" s="13" t="str">
        <f>IF($A102="","",[1]!thsiFinD("ths_adjustment_nv_fund",Y$3,$A102))</f>
        <v/>
      </c>
      <c r="Z102" s="13" t="str">
        <f>IF($A102="","",[1]!thsiFinD("ths_adjustment_nv_fund",Z$3,$A102))</f>
        <v/>
      </c>
      <c r="AA102" s="13" t="str">
        <f>IF($A102="","",[1]!thsiFinD("ths_adjustment_nv_fund",AA$3,$A102))</f>
        <v/>
      </c>
    </row>
    <row r="103" spans="1:27">
      <c r="A103" s="8"/>
      <c r="B103" s="13" t="str">
        <f>IF($A103="","",[1]!thsiFinD("ths_adjustment_nv_fund",B$3,$A103))</f>
        <v/>
      </c>
      <c r="C103" s="13" t="str">
        <f>IF($A103="","",[1]!thsiFinD("ths_adjustment_nv_fund",C$3,$A103))</f>
        <v/>
      </c>
      <c r="D103" s="13" t="str">
        <f>IF($A103="","",[1]!thsiFinD("ths_adjustment_nv_fund",D$3,$A103))</f>
        <v/>
      </c>
      <c r="E103" s="13" t="str">
        <f>IF($A103="","",[1]!thsiFinD("ths_adjustment_nv_fund",E$3,$A103))</f>
        <v/>
      </c>
      <c r="F103" s="13" t="str">
        <f>IF($A103="","",[1]!thsiFinD("ths_adjustment_nv_fund",F$3,$A103))</f>
        <v/>
      </c>
      <c r="G103" s="13" t="str">
        <f>IF($A103="","",[1]!thsiFinD("ths_adjustment_nv_fund",G$3,$A103))</f>
        <v/>
      </c>
      <c r="H103" s="13" t="str">
        <f>IF($A103="","",[1]!thsiFinD("ths_adjustment_nv_fund",H$3,$A103))</f>
        <v/>
      </c>
      <c r="I103" s="13" t="str">
        <f>IF($A103="","",[1]!thsiFinD("ths_adjustment_nv_fund",I$3,$A103))</f>
        <v/>
      </c>
      <c r="J103" s="13" t="str">
        <f>IF($A103="","",[1]!thsiFinD("ths_adjustment_nv_fund",J$3,$A103))</f>
        <v/>
      </c>
      <c r="K103" s="13" t="str">
        <f>IF($A103="","",[1]!thsiFinD("ths_adjustment_nv_fund",K$3,$A103))</f>
        <v/>
      </c>
      <c r="L103" s="13" t="str">
        <f>IF($A103="","",[1]!thsiFinD("ths_adjustment_nv_fund",L$3,$A103))</f>
        <v/>
      </c>
      <c r="M103" s="13" t="str">
        <f>IF($A103="","",[1]!thsiFinD("ths_adjustment_nv_fund",M$3,$A103))</f>
        <v/>
      </c>
      <c r="N103" s="13" t="str">
        <f>IF($A103="","",[1]!thsiFinD("ths_adjustment_nv_fund",N$3,$A103))</f>
        <v/>
      </c>
      <c r="O103" s="13" t="str">
        <f>IF($A103="","",[1]!thsiFinD("ths_adjustment_nv_fund",O$3,$A103))</f>
        <v/>
      </c>
      <c r="P103" s="13" t="str">
        <f>IF($A103="","",[1]!thsiFinD("ths_adjustment_nv_fund",P$3,$A103))</f>
        <v/>
      </c>
      <c r="Q103" s="13" t="str">
        <f>IF($A103="","",[1]!thsiFinD("ths_adjustment_nv_fund",Q$3,$A103))</f>
        <v/>
      </c>
      <c r="R103" s="13" t="str">
        <f>IF($A103="","",[1]!thsiFinD("ths_adjustment_nv_fund",R$3,$A103))</f>
        <v/>
      </c>
      <c r="S103" s="13" t="str">
        <f>IF($A103="","",[1]!thsiFinD("ths_adjustment_nv_fund",S$3,$A103))</f>
        <v/>
      </c>
      <c r="T103" s="13" t="str">
        <f>IF($A103="","",[1]!thsiFinD("ths_adjustment_nv_fund",T$3,$A103))</f>
        <v/>
      </c>
      <c r="U103" s="13" t="str">
        <f>IF($A103="","",[1]!thsiFinD("ths_adjustment_nv_fund",U$3,$A103))</f>
        <v/>
      </c>
      <c r="V103" s="13" t="str">
        <f>IF($A103="","",[1]!thsiFinD("ths_adjustment_nv_fund",V$3,$A103))</f>
        <v/>
      </c>
      <c r="W103" s="13" t="str">
        <f>IF($A103="","",[1]!thsiFinD("ths_adjustment_nv_fund",W$3,$A103))</f>
        <v/>
      </c>
      <c r="X103" s="13" t="str">
        <f>IF($A103="","",[1]!thsiFinD("ths_adjustment_nv_fund",X$3,$A103))</f>
        <v/>
      </c>
      <c r="Y103" s="13" t="str">
        <f>IF($A103="","",[1]!thsiFinD("ths_adjustment_nv_fund",Y$3,$A103))</f>
        <v/>
      </c>
      <c r="Z103" s="13" t="str">
        <f>IF($A103="","",[1]!thsiFinD("ths_adjustment_nv_fund",Z$3,$A103))</f>
        <v/>
      </c>
      <c r="AA103" s="13" t="str">
        <f>IF($A103="","",[1]!thsiFinD("ths_adjustment_nv_fund",AA$3,$A103))</f>
        <v/>
      </c>
    </row>
    <row r="104" spans="1:27">
      <c r="A104" s="8"/>
      <c r="B104" s="13" t="str">
        <f>IF($A104="","",[1]!thsiFinD("ths_adjustment_nv_fund",B$3,$A104))</f>
        <v/>
      </c>
      <c r="C104" s="13" t="str">
        <f>IF($A104="","",[1]!thsiFinD("ths_adjustment_nv_fund",C$3,$A104))</f>
        <v/>
      </c>
      <c r="D104" s="13" t="str">
        <f>IF($A104="","",[1]!thsiFinD("ths_adjustment_nv_fund",D$3,$A104))</f>
        <v/>
      </c>
      <c r="E104" s="13" t="str">
        <f>IF($A104="","",[1]!thsiFinD("ths_adjustment_nv_fund",E$3,$A104))</f>
        <v/>
      </c>
      <c r="F104" s="13" t="str">
        <f>IF($A104="","",[1]!thsiFinD("ths_adjustment_nv_fund",F$3,$A104))</f>
        <v/>
      </c>
      <c r="G104" s="13" t="str">
        <f>IF($A104="","",[1]!thsiFinD("ths_adjustment_nv_fund",G$3,$A104))</f>
        <v/>
      </c>
      <c r="H104" s="13" t="str">
        <f>IF($A104="","",[1]!thsiFinD("ths_adjustment_nv_fund",H$3,$A104))</f>
        <v/>
      </c>
      <c r="I104" s="13" t="str">
        <f>IF($A104="","",[1]!thsiFinD("ths_adjustment_nv_fund",I$3,$A104))</f>
        <v/>
      </c>
      <c r="J104" s="13" t="str">
        <f>IF($A104="","",[1]!thsiFinD("ths_adjustment_nv_fund",J$3,$A104))</f>
        <v/>
      </c>
      <c r="K104" s="13" t="str">
        <f>IF($A104="","",[1]!thsiFinD("ths_adjustment_nv_fund",K$3,$A104))</f>
        <v/>
      </c>
      <c r="L104" s="13" t="str">
        <f>IF($A104="","",[1]!thsiFinD("ths_adjustment_nv_fund",L$3,$A104))</f>
        <v/>
      </c>
      <c r="M104" s="13" t="str">
        <f>IF($A104="","",[1]!thsiFinD("ths_adjustment_nv_fund",M$3,$A104))</f>
        <v/>
      </c>
      <c r="N104" s="13" t="str">
        <f>IF($A104="","",[1]!thsiFinD("ths_adjustment_nv_fund",N$3,$A104))</f>
        <v/>
      </c>
      <c r="O104" s="13" t="str">
        <f>IF($A104="","",[1]!thsiFinD("ths_adjustment_nv_fund",O$3,$A104))</f>
        <v/>
      </c>
      <c r="P104" s="13" t="str">
        <f>IF($A104="","",[1]!thsiFinD("ths_adjustment_nv_fund",P$3,$A104))</f>
        <v/>
      </c>
      <c r="Q104" s="13" t="str">
        <f>IF($A104="","",[1]!thsiFinD("ths_adjustment_nv_fund",Q$3,$A104))</f>
        <v/>
      </c>
      <c r="R104" s="13" t="str">
        <f>IF($A104="","",[1]!thsiFinD("ths_adjustment_nv_fund",R$3,$A104))</f>
        <v/>
      </c>
      <c r="S104" s="13" t="str">
        <f>IF($A104="","",[1]!thsiFinD("ths_adjustment_nv_fund",S$3,$A104))</f>
        <v/>
      </c>
      <c r="T104" s="13" t="str">
        <f>IF($A104="","",[1]!thsiFinD("ths_adjustment_nv_fund",T$3,$A104))</f>
        <v/>
      </c>
      <c r="U104" s="13" t="str">
        <f>IF($A104="","",[1]!thsiFinD("ths_adjustment_nv_fund",U$3,$A104))</f>
        <v/>
      </c>
      <c r="V104" s="13" t="str">
        <f>IF($A104="","",[1]!thsiFinD("ths_adjustment_nv_fund",V$3,$A104))</f>
        <v/>
      </c>
      <c r="W104" s="13" t="str">
        <f>IF($A104="","",[1]!thsiFinD("ths_adjustment_nv_fund",W$3,$A104))</f>
        <v/>
      </c>
      <c r="X104" s="13" t="str">
        <f>IF($A104="","",[1]!thsiFinD("ths_adjustment_nv_fund",X$3,$A104))</f>
        <v/>
      </c>
      <c r="Y104" s="13" t="str">
        <f>IF($A104="","",[1]!thsiFinD("ths_adjustment_nv_fund",Y$3,$A104))</f>
        <v/>
      </c>
      <c r="Z104" s="13" t="str">
        <f>IF($A104="","",[1]!thsiFinD("ths_adjustment_nv_fund",Z$3,$A104))</f>
        <v/>
      </c>
      <c r="AA104" s="13" t="str">
        <f>IF($A104="","",[1]!thsiFinD("ths_adjustment_nv_fund",AA$3,$A104))</f>
        <v/>
      </c>
    </row>
    <row r="105" spans="1:27">
      <c r="A105" s="8"/>
      <c r="B105" s="13" t="str">
        <f>IF($A105="","",[1]!thsiFinD("ths_adjustment_nv_fund",B$3,$A105))</f>
        <v/>
      </c>
      <c r="C105" s="13" t="str">
        <f>IF($A105="","",[1]!thsiFinD("ths_adjustment_nv_fund",C$3,$A105))</f>
        <v/>
      </c>
      <c r="D105" s="13" t="str">
        <f>IF($A105="","",[1]!thsiFinD("ths_adjustment_nv_fund",D$3,$A105))</f>
        <v/>
      </c>
      <c r="E105" s="13" t="str">
        <f>IF($A105="","",[1]!thsiFinD("ths_adjustment_nv_fund",E$3,$A105))</f>
        <v/>
      </c>
      <c r="F105" s="13" t="str">
        <f>IF($A105="","",[1]!thsiFinD("ths_adjustment_nv_fund",F$3,$A105))</f>
        <v/>
      </c>
      <c r="G105" s="13" t="str">
        <f>IF($A105="","",[1]!thsiFinD("ths_adjustment_nv_fund",G$3,$A105))</f>
        <v/>
      </c>
      <c r="H105" s="13" t="str">
        <f>IF($A105="","",[1]!thsiFinD("ths_adjustment_nv_fund",H$3,$A105))</f>
        <v/>
      </c>
      <c r="I105" s="13" t="str">
        <f>IF($A105="","",[1]!thsiFinD("ths_adjustment_nv_fund",I$3,$A105))</f>
        <v/>
      </c>
      <c r="J105" s="13" t="str">
        <f>IF($A105="","",[1]!thsiFinD("ths_adjustment_nv_fund",J$3,$A105))</f>
        <v/>
      </c>
      <c r="K105" s="13" t="str">
        <f>IF($A105="","",[1]!thsiFinD("ths_adjustment_nv_fund",K$3,$A105))</f>
        <v/>
      </c>
      <c r="L105" s="13" t="str">
        <f>IF($A105="","",[1]!thsiFinD("ths_adjustment_nv_fund",L$3,$A105))</f>
        <v/>
      </c>
      <c r="M105" s="13" t="str">
        <f>IF($A105="","",[1]!thsiFinD("ths_adjustment_nv_fund",M$3,$A105))</f>
        <v/>
      </c>
      <c r="N105" s="13" t="str">
        <f>IF($A105="","",[1]!thsiFinD("ths_adjustment_nv_fund",N$3,$A105))</f>
        <v/>
      </c>
      <c r="O105" s="13" t="str">
        <f>IF($A105="","",[1]!thsiFinD("ths_adjustment_nv_fund",O$3,$A105))</f>
        <v/>
      </c>
      <c r="P105" s="13" t="str">
        <f>IF($A105="","",[1]!thsiFinD("ths_adjustment_nv_fund",P$3,$A105))</f>
        <v/>
      </c>
      <c r="Q105" s="13" t="str">
        <f>IF($A105="","",[1]!thsiFinD("ths_adjustment_nv_fund",Q$3,$A105))</f>
        <v/>
      </c>
      <c r="R105" s="13" t="str">
        <f>IF($A105="","",[1]!thsiFinD("ths_adjustment_nv_fund",R$3,$A105))</f>
        <v/>
      </c>
      <c r="S105" s="13" t="str">
        <f>IF($A105="","",[1]!thsiFinD("ths_adjustment_nv_fund",S$3,$A105))</f>
        <v/>
      </c>
      <c r="T105" s="13" t="str">
        <f>IF($A105="","",[1]!thsiFinD("ths_adjustment_nv_fund",T$3,$A105))</f>
        <v/>
      </c>
      <c r="U105" s="13" t="str">
        <f>IF($A105="","",[1]!thsiFinD("ths_adjustment_nv_fund",U$3,$A105))</f>
        <v/>
      </c>
      <c r="V105" s="13" t="str">
        <f>IF($A105="","",[1]!thsiFinD("ths_adjustment_nv_fund",V$3,$A105))</f>
        <v/>
      </c>
      <c r="W105" s="13" t="str">
        <f>IF($A105="","",[1]!thsiFinD("ths_adjustment_nv_fund",W$3,$A105))</f>
        <v/>
      </c>
      <c r="X105" s="13" t="str">
        <f>IF($A105="","",[1]!thsiFinD("ths_adjustment_nv_fund",X$3,$A105))</f>
        <v/>
      </c>
      <c r="Y105" s="13" t="str">
        <f>IF($A105="","",[1]!thsiFinD("ths_adjustment_nv_fund",Y$3,$A105))</f>
        <v/>
      </c>
      <c r="Z105" s="13" t="str">
        <f>IF($A105="","",[1]!thsiFinD("ths_adjustment_nv_fund",Z$3,$A105))</f>
        <v/>
      </c>
      <c r="AA105" s="13" t="str">
        <f>IF($A105="","",[1]!thsiFinD("ths_adjustment_nv_fund",AA$3,$A105))</f>
        <v/>
      </c>
    </row>
    <row r="106" spans="1:27">
      <c r="A106" s="8"/>
      <c r="B106" s="13" t="str">
        <f>IF($A106="","",[1]!thsiFinD("ths_adjustment_nv_fund",B$3,$A106))</f>
        <v/>
      </c>
      <c r="C106" s="13" t="str">
        <f>IF($A106="","",[1]!thsiFinD("ths_adjustment_nv_fund",C$3,$A106))</f>
        <v/>
      </c>
      <c r="D106" s="13" t="str">
        <f>IF($A106="","",[1]!thsiFinD("ths_adjustment_nv_fund",D$3,$A106))</f>
        <v/>
      </c>
      <c r="E106" s="13" t="str">
        <f>IF($A106="","",[1]!thsiFinD("ths_adjustment_nv_fund",E$3,$A106))</f>
        <v/>
      </c>
      <c r="F106" s="13" t="str">
        <f>IF($A106="","",[1]!thsiFinD("ths_adjustment_nv_fund",F$3,$A106))</f>
        <v/>
      </c>
      <c r="G106" s="13" t="str">
        <f>IF($A106="","",[1]!thsiFinD("ths_adjustment_nv_fund",G$3,$A106))</f>
        <v/>
      </c>
      <c r="H106" s="13" t="str">
        <f>IF($A106="","",[1]!thsiFinD("ths_adjustment_nv_fund",H$3,$A106))</f>
        <v/>
      </c>
      <c r="I106" s="13" t="str">
        <f>IF($A106="","",[1]!thsiFinD("ths_adjustment_nv_fund",I$3,$A106))</f>
        <v/>
      </c>
      <c r="J106" s="13" t="str">
        <f>IF($A106="","",[1]!thsiFinD("ths_adjustment_nv_fund",J$3,$A106))</f>
        <v/>
      </c>
      <c r="K106" s="13" t="str">
        <f>IF($A106="","",[1]!thsiFinD("ths_adjustment_nv_fund",K$3,$A106))</f>
        <v/>
      </c>
      <c r="L106" s="13" t="str">
        <f>IF($A106="","",[1]!thsiFinD("ths_adjustment_nv_fund",L$3,$A106))</f>
        <v/>
      </c>
      <c r="M106" s="13" t="str">
        <f>IF($A106="","",[1]!thsiFinD("ths_adjustment_nv_fund",M$3,$A106))</f>
        <v/>
      </c>
      <c r="N106" s="13" t="str">
        <f>IF($A106="","",[1]!thsiFinD("ths_adjustment_nv_fund",N$3,$A106))</f>
        <v/>
      </c>
      <c r="O106" s="13" t="str">
        <f>IF($A106="","",[1]!thsiFinD("ths_adjustment_nv_fund",O$3,$A106))</f>
        <v/>
      </c>
      <c r="P106" s="13" t="str">
        <f>IF($A106="","",[1]!thsiFinD("ths_adjustment_nv_fund",P$3,$A106))</f>
        <v/>
      </c>
      <c r="Q106" s="13" t="str">
        <f>IF($A106="","",[1]!thsiFinD("ths_adjustment_nv_fund",Q$3,$A106))</f>
        <v/>
      </c>
      <c r="R106" s="13" t="str">
        <f>IF($A106="","",[1]!thsiFinD("ths_adjustment_nv_fund",R$3,$A106))</f>
        <v/>
      </c>
      <c r="S106" s="13" t="str">
        <f>IF($A106="","",[1]!thsiFinD("ths_adjustment_nv_fund",S$3,$A106))</f>
        <v/>
      </c>
      <c r="T106" s="13" t="str">
        <f>IF($A106="","",[1]!thsiFinD("ths_adjustment_nv_fund",T$3,$A106))</f>
        <v/>
      </c>
      <c r="U106" s="13" t="str">
        <f>IF($A106="","",[1]!thsiFinD("ths_adjustment_nv_fund",U$3,$A106))</f>
        <v/>
      </c>
      <c r="V106" s="13" t="str">
        <f>IF($A106="","",[1]!thsiFinD("ths_adjustment_nv_fund",V$3,$A106))</f>
        <v/>
      </c>
      <c r="W106" s="13" t="str">
        <f>IF($A106="","",[1]!thsiFinD("ths_adjustment_nv_fund",W$3,$A106))</f>
        <v/>
      </c>
      <c r="X106" s="13" t="str">
        <f>IF($A106="","",[1]!thsiFinD("ths_adjustment_nv_fund",X$3,$A106))</f>
        <v/>
      </c>
      <c r="Y106" s="13" t="str">
        <f>IF($A106="","",[1]!thsiFinD("ths_adjustment_nv_fund",Y$3,$A106))</f>
        <v/>
      </c>
      <c r="Z106" s="13" t="str">
        <f>IF($A106="","",[1]!thsiFinD("ths_adjustment_nv_fund",Z$3,$A106))</f>
        <v/>
      </c>
      <c r="AA106" s="13" t="str">
        <f>IF($A106="","",[1]!thsiFinD("ths_adjustment_nv_fund",AA$3,$A106))</f>
        <v/>
      </c>
    </row>
    <row r="107" spans="1:27">
      <c r="A107" s="8"/>
      <c r="B107" s="13" t="str">
        <f>IF($A107="","",[1]!thsiFinD("ths_adjustment_nv_fund",B$3,$A107))</f>
        <v/>
      </c>
      <c r="C107" s="13" t="str">
        <f>IF($A107="","",[1]!thsiFinD("ths_adjustment_nv_fund",C$3,$A107))</f>
        <v/>
      </c>
      <c r="D107" s="13" t="str">
        <f>IF($A107="","",[1]!thsiFinD("ths_adjustment_nv_fund",D$3,$A107))</f>
        <v/>
      </c>
      <c r="E107" s="13" t="str">
        <f>IF($A107="","",[1]!thsiFinD("ths_adjustment_nv_fund",E$3,$A107))</f>
        <v/>
      </c>
      <c r="F107" s="13" t="str">
        <f>IF($A107="","",[1]!thsiFinD("ths_adjustment_nv_fund",F$3,$A107))</f>
        <v/>
      </c>
      <c r="G107" s="13" t="str">
        <f>IF($A107="","",[1]!thsiFinD("ths_adjustment_nv_fund",G$3,$A107))</f>
        <v/>
      </c>
      <c r="H107" s="13" t="str">
        <f>IF($A107="","",[1]!thsiFinD("ths_adjustment_nv_fund",H$3,$A107))</f>
        <v/>
      </c>
      <c r="I107" s="13" t="str">
        <f>IF($A107="","",[1]!thsiFinD("ths_adjustment_nv_fund",I$3,$A107))</f>
        <v/>
      </c>
      <c r="J107" s="13" t="str">
        <f>IF($A107="","",[1]!thsiFinD("ths_adjustment_nv_fund",J$3,$A107))</f>
        <v/>
      </c>
      <c r="K107" s="13" t="str">
        <f>IF($A107="","",[1]!thsiFinD("ths_adjustment_nv_fund",K$3,$A107))</f>
        <v/>
      </c>
      <c r="L107" s="13" t="str">
        <f>IF($A107="","",[1]!thsiFinD("ths_adjustment_nv_fund",L$3,$A107))</f>
        <v/>
      </c>
      <c r="M107" s="13" t="str">
        <f>IF($A107="","",[1]!thsiFinD("ths_adjustment_nv_fund",M$3,$A107))</f>
        <v/>
      </c>
      <c r="N107" s="13" t="str">
        <f>IF($A107="","",[1]!thsiFinD("ths_adjustment_nv_fund",N$3,$A107))</f>
        <v/>
      </c>
      <c r="O107" s="13" t="str">
        <f>IF($A107="","",[1]!thsiFinD("ths_adjustment_nv_fund",O$3,$A107))</f>
        <v/>
      </c>
      <c r="P107" s="13" t="str">
        <f>IF($A107="","",[1]!thsiFinD("ths_adjustment_nv_fund",P$3,$A107))</f>
        <v/>
      </c>
      <c r="Q107" s="13" t="str">
        <f>IF($A107="","",[1]!thsiFinD("ths_adjustment_nv_fund",Q$3,$A107))</f>
        <v/>
      </c>
      <c r="R107" s="13" t="str">
        <f>IF($A107="","",[1]!thsiFinD("ths_adjustment_nv_fund",R$3,$A107))</f>
        <v/>
      </c>
      <c r="S107" s="13" t="str">
        <f>IF($A107="","",[1]!thsiFinD("ths_adjustment_nv_fund",S$3,$A107))</f>
        <v/>
      </c>
      <c r="T107" s="13" t="str">
        <f>IF($A107="","",[1]!thsiFinD("ths_adjustment_nv_fund",T$3,$A107))</f>
        <v/>
      </c>
      <c r="U107" s="13" t="str">
        <f>IF($A107="","",[1]!thsiFinD("ths_adjustment_nv_fund",U$3,$A107))</f>
        <v/>
      </c>
      <c r="V107" s="13" t="str">
        <f>IF($A107="","",[1]!thsiFinD("ths_adjustment_nv_fund",V$3,$A107))</f>
        <v/>
      </c>
      <c r="W107" s="13" t="str">
        <f>IF($A107="","",[1]!thsiFinD("ths_adjustment_nv_fund",W$3,$A107))</f>
        <v/>
      </c>
      <c r="X107" s="13" t="str">
        <f>IF($A107="","",[1]!thsiFinD("ths_adjustment_nv_fund",X$3,$A107))</f>
        <v/>
      </c>
      <c r="Y107" s="13" t="str">
        <f>IF($A107="","",[1]!thsiFinD("ths_adjustment_nv_fund",Y$3,$A107))</f>
        <v/>
      </c>
      <c r="Z107" s="13" t="str">
        <f>IF($A107="","",[1]!thsiFinD("ths_adjustment_nv_fund",Z$3,$A107))</f>
        <v/>
      </c>
      <c r="AA107" s="13" t="str">
        <f>IF($A107="","",[1]!thsiFinD("ths_adjustment_nv_fund",AA$3,$A107))</f>
        <v/>
      </c>
    </row>
    <row r="108" spans="1:27">
      <c r="A108" s="8"/>
      <c r="B108" s="13" t="str">
        <f>IF($A108="","",[1]!thsiFinD("ths_adjustment_nv_fund",B$3,$A108))</f>
        <v/>
      </c>
      <c r="C108" s="13" t="str">
        <f>IF($A108="","",[1]!thsiFinD("ths_adjustment_nv_fund",C$3,$A108))</f>
        <v/>
      </c>
      <c r="D108" s="13" t="str">
        <f>IF($A108="","",[1]!thsiFinD("ths_adjustment_nv_fund",D$3,$A108))</f>
        <v/>
      </c>
      <c r="E108" s="13" t="str">
        <f>IF($A108="","",[1]!thsiFinD("ths_adjustment_nv_fund",E$3,$A108))</f>
        <v/>
      </c>
      <c r="F108" s="13" t="str">
        <f>IF($A108="","",[1]!thsiFinD("ths_adjustment_nv_fund",F$3,$A108))</f>
        <v/>
      </c>
      <c r="G108" s="13" t="str">
        <f>IF($A108="","",[1]!thsiFinD("ths_adjustment_nv_fund",G$3,$A108))</f>
        <v/>
      </c>
      <c r="H108" s="13" t="str">
        <f>IF($A108="","",[1]!thsiFinD("ths_adjustment_nv_fund",H$3,$A108))</f>
        <v/>
      </c>
      <c r="I108" s="13" t="str">
        <f>IF($A108="","",[1]!thsiFinD("ths_adjustment_nv_fund",I$3,$A108))</f>
        <v/>
      </c>
      <c r="J108" s="13" t="str">
        <f>IF($A108="","",[1]!thsiFinD("ths_adjustment_nv_fund",J$3,$A108))</f>
        <v/>
      </c>
      <c r="K108" s="13" t="str">
        <f>IF($A108="","",[1]!thsiFinD("ths_adjustment_nv_fund",K$3,$A108))</f>
        <v/>
      </c>
      <c r="L108" s="13" t="str">
        <f>IF($A108="","",[1]!thsiFinD("ths_adjustment_nv_fund",L$3,$A108))</f>
        <v/>
      </c>
      <c r="M108" s="13" t="str">
        <f>IF($A108="","",[1]!thsiFinD("ths_adjustment_nv_fund",M$3,$A108))</f>
        <v/>
      </c>
      <c r="N108" s="13" t="str">
        <f>IF($A108="","",[1]!thsiFinD("ths_adjustment_nv_fund",N$3,$A108))</f>
        <v/>
      </c>
      <c r="O108" s="13" t="str">
        <f>IF($A108="","",[1]!thsiFinD("ths_adjustment_nv_fund",O$3,$A108))</f>
        <v/>
      </c>
      <c r="P108" s="13" t="str">
        <f>IF($A108="","",[1]!thsiFinD("ths_adjustment_nv_fund",P$3,$A108))</f>
        <v/>
      </c>
      <c r="Q108" s="13" t="str">
        <f>IF($A108="","",[1]!thsiFinD("ths_adjustment_nv_fund",Q$3,$A108))</f>
        <v/>
      </c>
      <c r="R108" s="13" t="str">
        <f>IF($A108="","",[1]!thsiFinD("ths_adjustment_nv_fund",R$3,$A108))</f>
        <v/>
      </c>
      <c r="S108" s="13" t="str">
        <f>IF($A108="","",[1]!thsiFinD("ths_adjustment_nv_fund",S$3,$A108))</f>
        <v/>
      </c>
      <c r="T108" s="13" t="str">
        <f>IF($A108="","",[1]!thsiFinD("ths_adjustment_nv_fund",T$3,$A108))</f>
        <v/>
      </c>
      <c r="U108" s="13" t="str">
        <f>IF($A108="","",[1]!thsiFinD("ths_adjustment_nv_fund",U$3,$A108))</f>
        <v/>
      </c>
      <c r="V108" s="13" t="str">
        <f>IF($A108="","",[1]!thsiFinD("ths_adjustment_nv_fund",V$3,$A108))</f>
        <v/>
      </c>
      <c r="W108" s="13" t="str">
        <f>IF($A108="","",[1]!thsiFinD("ths_adjustment_nv_fund",W$3,$A108))</f>
        <v/>
      </c>
      <c r="X108" s="13" t="str">
        <f>IF($A108="","",[1]!thsiFinD("ths_adjustment_nv_fund",X$3,$A108))</f>
        <v/>
      </c>
      <c r="Y108" s="13" t="str">
        <f>IF($A108="","",[1]!thsiFinD("ths_adjustment_nv_fund",Y$3,$A108))</f>
        <v/>
      </c>
      <c r="Z108" s="13" t="str">
        <f>IF($A108="","",[1]!thsiFinD("ths_adjustment_nv_fund",Z$3,$A108))</f>
        <v/>
      </c>
      <c r="AA108" s="13" t="str">
        <f>IF($A108="","",[1]!thsiFinD("ths_adjustment_nv_fund",AA$3,$A108))</f>
        <v/>
      </c>
    </row>
    <row r="109" spans="1:27">
      <c r="A109" s="8"/>
      <c r="B109" s="13" t="str">
        <f>IF($A109="","",[1]!thsiFinD("ths_adjustment_nv_fund",B$3,$A109))</f>
        <v/>
      </c>
      <c r="C109" s="13" t="str">
        <f>IF($A109="","",[1]!thsiFinD("ths_adjustment_nv_fund",C$3,$A109))</f>
        <v/>
      </c>
      <c r="D109" s="13" t="str">
        <f>IF($A109="","",[1]!thsiFinD("ths_adjustment_nv_fund",D$3,$A109))</f>
        <v/>
      </c>
      <c r="E109" s="13" t="str">
        <f>IF($A109="","",[1]!thsiFinD("ths_adjustment_nv_fund",E$3,$A109))</f>
        <v/>
      </c>
      <c r="F109" s="13" t="str">
        <f>IF($A109="","",[1]!thsiFinD("ths_adjustment_nv_fund",F$3,$A109))</f>
        <v/>
      </c>
      <c r="G109" s="13" t="str">
        <f>IF($A109="","",[1]!thsiFinD("ths_adjustment_nv_fund",G$3,$A109))</f>
        <v/>
      </c>
      <c r="H109" s="13" t="str">
        <f>IF($A109="","",[1]!thsiFinD("ths_adjustment_nv_fund",H$3,$A109))</f>
        <v/>
      </c>
      <c r="I109" s="13" t="str">
        <f>IF($A109="","",[1]!thsiFinD("ths_adjustment_nv_fund",I$3,$A109))</f>
        <v/>
      </c>
      <c r="J109" s="13" t="str">
        <f>IF($A109="","",[1]!thsiFinD("ths_adjustment_nv_fund",J$3,$A109))</f>
        <v/>
      </c>
      <c r="K109" s="13" t="str">
        <f>IF($A109="","",[1]!thsiFinD("ths_adjustment_nv_fund",K$3,$A109))</f>
        <v/>
      </c>
      <c r="L109" s="13" t="str">
        <f>IF($A109="","",[1]!thsiFinD("ths_adjustment_nv_fund",L$3,$A109))</f>
        <v/>
      </c>
      <c r="M109" s="13" t="str">
        <f>IF($A109="","",[1]!thsiFinD("ths_adjustment_nv_fund",M$3,$A109))</f>
        <v/>
      </c>
      <c r="N109" s="13" t="str">
        <f>IF($A109="","",[1]!thsiFinD("ths_adjustment_nv_fund",N$3,$A109))</f>
        <v/>
      </c>
      <c r="O109" s="13" t="str">
        <f>IF($A109="","",[1]!thsiFinD("ths_adjustment_nv_fund",O$3,$A109))</f>
        <v/>
      </c>
      <c r="P109" s="13" t="str">
        <f>IF($A109="","",[1]!thsiFinD("ths_adjustment_nv_fund",P$3,$A109))</f>
        <v/>
      </c>
      <c r="Q109" s="13" t="str">
        <f>IF($A109="","",[1]!thsiFinD("ths_adjustment_nv_fund",Q$3,$A109))</f>
        <v/>
      </c>
      <c r="R109" s="13" t="str">
        <f>IF($A109="","",[1]!thsiFinD("ths_adjustment_nv_fund",R$3,$A109))</f>
        <v/>
      </c>
      <c r="S109" s="13" t="str">
        <f>IF($A109="","",[1]!thsiFinD("ths_adjustment_nv_fund",S$3,$A109))</f>
        <v/>
      </c>
      <c r="T109" s="13" t="str">
        <f>IF($A109="","",[1]!thsiFinD("ths_adjustment_nv_fund",T$3,$A109))</f>
        <v/>
      </c>
      <c r="U109" s="13" t="str">
        <f>IF($A109="","",[1]!thsiFinD("ths_adjustment_nv_fund",U$3,$A109))</f>
        <v/>
      </c>
      <c r="V109" s="13" t="str">
        <f>IF($A109="","",[1]!thsiFinD("ths_adjustment_nv_fund",V$3,$A109))</f>
        <v/>
      </c>
      <c r="W109" s="13" t="str">
        <f>IF($A109="","",[1]!thsiFinD("ths_adjustment_nv_fund",W$3,$A109))</f>
        <v/>
      </c>
      <c r="X109" s="13" t="str">
        <f>IF($A109="","",[1]!thsiFinD("ths_adjustment_nv_fund",X$3,$A109))</f>
        <v/>
      </c>
      <c r="Y109" s="13" t="str">
        <f>IF($A109="","",[1]!thsiFinD("ths_adjustment_nv_fund",Y$3,$A109))</f>
        <v/>
      </c>
      <c r="Z109" s="13" t="str">
        <f>IF($A109="","",[1]!thsiFinD("ths_adjustment_nv_fund",Z$3,$A109))</f>
        <v/>
      </c>
      <c r="AA109" s="13" t="str">
        <f>IF($A109="","",[1]!thsiFinD("ths_adjustment_nv_fund",AA$3,$A109))</f>
        <v/>
      </c>
    </row>
    <row r="110" spans="1:27">
      <c r="A110" s="8"/>
      <c r="B110" s="13" t="str">
        <f>IF($A110="","",[1]!thsiFinD("ths_adjustment_nv_fund",B$3,$A110))</f>
        <v/>
      </c>
      <c r="C110" s="13" t="str">
        <f>IF($A110="","",[1]!thsiFinD("ths_adjustment_nv_fund",C$3,$A110))</f>
        <v/>
      </c>
      <c r="D110" s="13" t="str">
        <f>IF($A110="","",[1]!thsiFinD("ths_adjustment_nv_fund",D$3,$A110))</f>
        <v/>
      </c>
      <c r="E110" s="13" t="str">
        <f>IF($A110="","",[1]!thsiFinD("ths_adjustment_nv_fund",E$3,$A110))</f>
        <v/>
      </c>
      <c r="F110" s="13" t="str">
        <f>IF($A110="","",[1]!thsiFinD("ths_adjustment_nv_fund",F$3,$A110))</f>
        <v/>
      </c>
      <c r="G110" s="13" t="str">
        <f>IF($A110="","",[1]!thsiFinD("ths_adjustment_nv_fund",G$3,$A110))</f>
        <v/>
      </c>
      <c r="H110" s="13" t="str">
        <f>IF($A110="","",[1]!thsiFinD("ths_adjustment_nv_fund",H$3,$A110))</f>
        <v/>
      </c>
      <c r="I110" s="13" t="str">
        <f>IF($A110="","",[1]!thsiFinD("ths_adjustment_nv_fund",I$3,$A110))</f>
        <v/>
      </c>
      <c r="J110" s="13" t="str">
        <f>IF($A110="","",[1]!thsiFinD("ths_adjustment_nv_fund",J$3,$A110))</f>
        <v/>
      </c>
      <c r="K110" s="13" t="str">
        <f>IF($A110="","",[1]!thsiFinD("ths_adjustment_nv_fund",K$3,$A110))</f>
        <v/>
      </c>
      <c r="L110" s="13" t="str">
        <f>IF($A110="","",[1]!thsiFinD("ths_adjustment_nv_fund",L$3,$A110))</f>
        <v/>
      </c>
      <c r="M110" s="13" t="str">
        <f>IF($A110="","",[1]!thsiFinD("ths_adjustment_nv_fund",M$3,$A110))</f>
        <v/>
      </c>
      <c r="N110" s="13" t="str">
        <f>IF($A110="","",[1]!thsiFinD("ths_adjustment_nv_fund",N$3,$A110))</f>
        <v/>
      </c>
      <c r="O110" s="13" t="str">
        <f>IF($A110="","",[1]!thsiFinD("ths_adjustment_nv_fund",O$3,$A110))</f>
        <v/>
      </c>
      <c r="P110" s="13" t="str">
        <f>IF($A110="","",[1]!thsiFinD("ths_adjustment_nv_fund",P$3,$A110))</f>
        <v/>
      </c>
      <c r="Q110" s="13" t="str">
        <f>IF($A110="","",[1]!thsiFinD("ths_adjustment_nv_fund",Q$3,$A110))</f>
        <v/>
      </c>
      <c r="R110" s="13" t="str">
        <f>IF($A110="","",[1]!thsiFinD("ths_adjustment_nv_fund",R$3,$A110))</f>
        <v/>
      </c>
      <c r="S110" s="13" t="str">
        <f>IF($A110="","",[1]!thsiFinD("ths_adjustment_nv_fund",S$3,$A110))</f>
        <v/>
      </c>
      <c r="T110" s="13" t="str">
        <f>IF($A110="","",[1]!thsiFinD("ths_adjustment_nv_fund",T$3,$A110))</f>
        <v/>
      </c>
      <c r="U110" s="13" t="str">
        <f>IF($A110="","",[1]!thsiFinD("ths_adjustment_nv_fund",U$3,$A110))</f>
        <v/>
      </c>
      <c r="V110" s="13" t="str">
        <f>IF($A110="","",[1]!thsiFinD("ths_adjustment_nv_fund",V$3,$A110))</f>
        <v/>
      </c>
      <c r="W110" s="13" t="str">
        <f>IF($A110="","",[1]!thsiFinD("ths_adjustment_nv_fund",W$3,$A110))</f>
        <v/>
      </c>
      <c r="X110" s="13" t="str">
        <f>IF($A110="","",[1]!thsiFinD("ths_adjustment_nv_fund",X$3,$A110))</f>
        <v/>
      </c>
      <c r="Y110" s="13" t="str">
        <f>IF($A110="","",[1]!thsiFinD("ths_adjustment_nv_fund",Y$3,$A110))</f>
        <v/>
      </c>
      <c r="Z110" s="13" t="str">
        <f>IF($A110="","",[1]!thsiFinD("ths_adjustment_nv_fund",Z$3,$A110))</f>
        <v/>
      </c>
      <c r="AA110" s="13" t="str">
        <f>IF($A110="","",[1]!thsiFinD("ths_adjustment_nv_fund",AA$3,$A110))</f>
        <v/>
      </c>
    </row>
    <row r="111" spans="1:27">
      <c r="A111" s="8"/>
      <c r="B111" s="13" t="str">
        <f>IF($A111="","",[1]!thsiFinD("ths_adjustment_nv_fund",B$3,$A111))</f>
        <v/>
      </c>
      <c r="C111" s="13" t="str">
        <f>IF($A111="","",[1]!thsiFinD("ths_adjustment_nv_fund",C$3,$A111))</f>
        <v/>
      </c>
      <c r="D111" s="13" t="str">
        <f>IF($A111="","",[1]!thsiFinD("ths_adjustment_nv_fund",D$3,$A111))</f>
        <v/>
      </c>
      <c r="E111" s="13" t="str">
        <f>IF($A111="","",[1]!thsiFinD("ths_adjustment_nv_fund",E$3,$A111))</f>
        <v/>
      </c>
      <c r="F111" s="13" t="str">
        <f>IF($A111="","",[1]!thsiFinD("ths_adjustment_nv_fund",F$3,$A111))</f>
        <v/>
      </c>
      <c r="G111" s="13" t="str">
        <f>IF($A111="","",[1]!thsiFinD("ths_adjustment_nv_fund",G$3,$A111))</f>
        <v/>
      </c>
      <c r="H111" s="13" t="str">
        <f>IF($A111="","",[1]!thsiFinD("ths_adjustment_nv_fund",H$3,$A111))</f>
        <v/>
      </c>
      <c r="I111" s="13" t="str">
        <f>IF($A111="","",[1]!thsiFinD("ths_adjustment_nv_fund",I$3,$A111))</f>
        <v/>
      </c>
      <c r="J111" s="13" t="str">
        <f>IF($A111="","",[1]!thsiFinD("ths_adjustment_nv_fund",J$3,$A111))</f>
        <v/>
      </c>
      <c r="K111" s="13" t="str">
        <f>IF($A111="","",[1]!thsiFinD("ths_adjustment_nv_fund",K$3,$A111))</f>
        <v/>
      </c>
      <c r="L111" s="13" t="str">
        <f>IF($A111="","",[1]!thsiFinD("ths_adjustment_nv_fund",L$3,$A111))</f>
        <v/>
      </c>
      <c r="M111" s="13" t="str">
        <f>IF($A111="","",[1]!thsiFinD("ths_adjustment_nv_fund",M$3,$A111))</f>
        <v/>
      </c>
      <c r="N111" s="13" t="str">
        <f>IF($A111="","",[1]!thsiFinD("ths_adjustment_nv_fund",N$3,$A111))</f>
        <v/>
      </c>
      <c r="O111" s="13" t="str">
        <f>IF($A111="","",[1]!thsiFinD("ths_adjustment_nv_fund",O$3,$A111))</f>
        <v/>
      </c>
      <c r="P111" s="13" t="str">
        <f>IF($A111="","",[1]!thsiFinD("ths_adjustment_nv_fund",P$3,$A111))</f>
        <v/>
      </c>
      <c r="Q111" s="13" t="str">
        <f>IF($A111="","",[1]!thsiFinD("ths_adjustment_nv_fund",Q$3,$A111))</f>
        <v/>
      </c>
      <c r="R111" s="13" t="str">
        <f>IF($A111="","",[1]!thsiFinD("ths_adjustment_nv_fund",R$3,$A111))</f>
        <v/>
      </c>
      <c r="S111" s="13" t="str">
        <f>IF($A111="","",[1]!thsiFinD("ths_adjustment_nv_fund",S$3,$A111))</f>
        <v/>
      </c>
      <c r="T111" s="13" t="str">
        <f>IF($A111="","",[1]!thsiFinD("ths_adjustment_nv_fund",T$3,$A111))</f>
        <v/>
      </c>
      <c r="U111" s="13" t="str">
        <f>IF($A111="","",[1]!thsiFinD("ths_adjustment_nv_fund",U$3,$A111))</f>
        <v/>
      </c>
      <c r="V111" s="13" t="str">
        <f>IF($A111="","",[1]!thsiFinD("ths_adjustment_nv_fund",V$3,$A111))</f>
        <v/>
      </c>
      <c r="W111" s="13" t="str">
        <f>IF($A111="","",[1]!thsiFinD("ths_adjustment_nv_fund",W$3,$A111))</f>
        <v/>
      </c>
      <c r="X111" s="13" t="str">
        <f>IF($A111="","",[1]!thsiFinD("ths_adjustment_nv_fund",X$3,$A111))</f>
        <v/>
      </c>
      <c r="Y111" s="13" t="str">
        <f>IF($A111="","",[1]!thsiFinD("ths_adjustment_nv_fund",Y$3,$A111))</f>
        <v/>
      </c>
      <c r="Z111" s="13" t="str">
        <f>IF($A111="","",[1]!thsiFinD("ths_adjustment_nv_fund",Z$3,$A111))</f>
        <v/>
      </c>
      <c r="AA111" s="13" t="str">
        <f>IF($A111="","",[1]!thsiFinD("ths_adjustment_nv_fund",AA$3,$A111))</f>
        <v/>
      </c>
    </row>
    <row r="112" spans="1:27">
      <c r="A112" s="8"/>
      <c r="B112" s="13" t="str">
        <f>IF($A112="","",[1]!thsiFinD("ths_adjustment_nv_fund",B$3,$A112))</f>
        <v/>
      </c>
      <c r="C112" s="13" t="str">
        <f>IF($A112="","",[1]!thsiFinD("ths_adjustment_nv_fund",C$3,$A112))</f>
        <v/>
      </c>
      <c r="D112" s="13" t="str">
        <f>IF($A112="","",[1]!thsiFinD("ths_adjustment_nv_fund",D$3,$A112))</f>
        <v/>
      </c>
      <c r="E112" s="13" t="str">
        <f>IF($A112="","",[1]!thsiFinD("ths_adjustment_nv_fund",E$3,$A112))</f>
        <v/>
      </c>
      <c r="F112" s="13" t="str">
        <f>IF($A112="","",[1]!thsiFinD("ths_adjustment_nv_fund",F$3,$A112))</f>
        <v/>
      </c>
      <c r="G112" s="13" t="str">
        <f>IF($A112="","",[1]!thsiFinD("ths_adjustment_nv_fund",G$3,$A112))</f>
        <v/>
      </c>
      <c r="H112" s="13" t="str">
        <f>IF($A112="","",[1]!thsiFinD("ths_adjustment_nv_fund",H$3,$A112))</f>
        <v/>
      </c>
      <c r="I112" s="13" t="str">
        <f>IF($A112="","",[1]!thsiFinD("ths_adjustment_nv_fund",I$3,$A112))</f>
        <v/>
      </c>
      <c r="J112" s="13" t="str">
        <f>IF($A112="","",[1]!thsiFinD("ths_adjustment_nv_fund",J$3,$A112))</f>
        <v/>
      </c>
      <c r="K112" s="13" t="str">
        <f>IF($A112="","",[1]!thsiFinD("ths_adjustment_nv_fund",K$3,$A112))</f>
        <v/>
      </c>
      <c r="L112" s="13" t="str">
        <f>IF($A112="","",[1]!thsiFinD("ths_adjustment_nv_fund",L$3,$A112))</f>
        <v/>
      </c>
      <c r="M112" s="13" t="str">
        <f>IF($A112="","",[1]!thsiFinD("ths_adjustment_nv_fund",M$3,$A112))</f>
        <v/>
      </c>
      <c r="N112" s="13" t="str">
        <f>IF($A112="","",[1]!thsiFinD("ths_adjustment_nv_fund",N$3,$A112))</f>
        <v/>
      </c>
      <c r="O112" s="13" t="str">
        <f>IF($A112="","",[1]!thsiFinD("ths_adjustment_nv_fund",O$3,$A112))</f>
        <v/>
      </c>
      <c r="P112" s="13" t="str">
        <f>IF($A112="","",[1]!thsiFinD("ths_adjustment_nv_fund",P$3,$A112))</f>
        <v/>
      </c>
      <c r="Q112" s="13" t="str">
        <f>IF($A112="","",[1]!thsiFinD("ths_adjustment_nv_fund",Q$3,$A112))</f>
        <v/>
      </c>
      <c r="R112" s="13" t="str">
        <f>IF($A112="","",[1]!thsiFinD("ths_adjustment_nv_fund",R$3,$A112))</f>
        <v/>
      </c>
      <c r="S112" s="13" t="str">
        <f>IF($A112="","",[1]!thsiFinD("ths_adjustment_nv_fund",S$3,$A112))</f>
        <v/>
      </c>
      <c r="T112" s="13" t="str">
        <f>IF($A112="","",[1]!thsiFinD("ths_adjustment_nv_fund",T$3,$A112))</f>
        <v/>
      </c>
      <c r="U112" s="13" t="str">
        <f>IF($A112="","",[1]!thsiFinD("ths_adjustment_nv_fund",U$3,$A112))</f>
        <v/>
      </c>
      <c r="V112" s="13" t="str">
        <f>IF($A112="","",[1]!thsiFinD("ths_adjustment_nv_fund",V$3,$A112))</f>
        <v/>
      </c>
      <c r="W112" s="13" t="str">
        <f>IF($A112="","",[1]!thsiFinD("ths_adjustment_nv_fund",W$3,$A112))</f>
        <v/>
      </c>
      <c r="X112" s="13" t="str">
        <f>IF($A112="","",[1]!thsiFinD("ths_adjustment_nv_fund",X$3,$A112))</f>
        <v/>
      </c>
      <c r="Y112" s="13" t="str">
        <f>IF($A112="","",[1]!thsiFinD("ths_adjustment_nv_fund",Y$3,$A112))</f>
        <v/>
      </c>
      <c r="Z112" s="13" t="str">
        <f>IF($A112="","",[1]!thsiFinD("ths_adjustment_nv_fund",Z$3,$A112))</f>
        <v/>
      </c>
      <c r="AA112" s="13" t="str">
        <f>IF($A112="","",[1]!thsiFinD("ths_adjustment_nv_fund",AA$3,$A112))</f>
        <v/>
      </c>
    </row>
    <row r="113" spans="1:27">
      <c r="A113" s="8"/>
      <c r="B113" s="13" t="str">
        <f>IF($A113="","",[1]!thsiFinD("ths_adjustment_nv_fund",B$3,$A113))</f>
        <v/>
      </c>
      <c r="C113" s="13" t="str">
        <f>IF($A113="","",[1]!thsiFinD("ths_adjustment_nv_fund",C$3,$A113))</f>
        <v/>
      </c>
      <c r="D113" s="13" t="str">
        <f>IF($A113="","",[1]!thsiFinD("ths_adjustment_nv_fund",D$3,$A113))</f>
        <v/>
      </c>
      <c r="E113" s="13" t="str">
        <f>IF($A113="","",[1]!thsiFinD("ths_adjustment_nv_fund",E$3,$A113))</f>
        <v/>
      </c>
      <c r="F113" s="13" t="str">
        <f>IF($A113="","",[1]!thsiFinD("ths_adjustment_nv_fund",F$3,$A113))</f>
        <v/>
      </c>
      <c r="G113" s="13" t="str">
        <f>IF($A113="","",[1]!thsiFinD("ths_adjustment_nv_fund",G$3,$A113))</f>
        <v/>
      </c>
      <c r="H113" s="13" t="str">
        <f>IF($A113="","",[1]!thsiFinD("ths_adjustment_nv_fund",H$3,$A113))</f>
        <v/>
      </c>
      <c r="I113" s="13" t="str">
        <f>IF($A113="","",[1]!thsiFinD("ths_adjustment_nv_fund",I$3,$A113))</f>
        <v/>
      </c>
      <c r="J113" s="13" t="str">
        <f>IF($A113="","",[1]!thsiFinD("ths_adjustment_nv_fund",J$3,$A113))</f>
        <v/>
      </c>
      <c r="K113" s="13" t="str">
        <f>IF($A113="","",[1]!thsiFinD("ths_adjustment_nv_fund",K$3,$A113))</f>
        <v/>
      </c>
      <c r="L113" s="13" t="str">
        <f>IF($A113="","",[1]!thsiFinD("ths_adjustment_nv_fund",L$3,$A113))</f>
        <v/>
      </c>
      <c r="M113" s="13" t="str">
        <f>IF($A113="","",[1]!thsiFinD("ths_adjustment_nv_fund",M$3,$A113))</f>
        <v/>
      </c>
      <c r="N113" s="13" t="str">
        <f>IF($A113="","",[1]!thsiFinD("ths_adjustment_nv_fund",N$3,$A113))</f>
        <v/>
      </c>
      <c r="O113" s="13" t="str">
        <f>IF($A113="","",[1]!thsiFinD("ths_adjustment_nv_fund",O$3,$A113))</f>
        <v/>
      </c>
      <c r="P113" s="13" t="str">
        <f>IF($A113="","",[1]!thsiFinD("ths_adjustment_nv_fund",P$3,$A113))</f>
        <v/>
      </c>
      <c r="Q113" s="13" t="str">
        <f>IF($A113="","",[1]!thsiFinD("ths_adjustment_nv_fund",Q$3,$A113))</f>
        <v/>
      </c>
      <c r="R113" s="13" t="str">
        <f>IF($A113="","",[1]!thsiFinD("ths_adjustment_nv_fund",R$3,$A113))</f>
        <v/>
      </c>
      <c r="S113" s="13" t="str">
        <f>IF($A113="","",[1]!thsiFinD("ths_adjustment_nv_fund",S$3,$A113))</f>
        <v/>
      </c>
      <c r="T113" s="13" t="str">
        <f>IF($A113="","",[1]!thsiFinD("ths_adjustment_nv_fund",T$3,$A113))</f>
        <v/>
      </c>
      <c r="U113" s="13" t="str">
        <f>IF($A113="","",[1]!thsiFinD("ths_adjustment_nv_fund",U$3,$A113))</f>
        <v/>
      </c>
      <c r="V113" s="13" t="str">
        <f>IF($A113="","",[1]!thsiFinD("ths_adjustment_nv_fund",V$3,$A113))</f>
        <v/>
      </c>
      <c r="W113" s="13" t="str">
        <f>IF($A113="","",[1]!thsiFinD("ths_adjustment_nv_fund",W$3,$A113))</f>
        <v/>
      </c>
      <c r="X113" s="13" t="str">
        <f>IF($A113="","",[1]!thsiFinD("ths_adjustment_nv_fund",X$3,$A113))</f>
        <v/>
      </c>
      <c r="Y113" s="13" t="str">
        <f>IF($A113="","",[1]!thsiFinD("ths_adjustment_nv_fund",Y$3,$A113))</f>
        <v/>
      </c>
      <c r="Z113" s="13" t="str">
        <f>IF($A113="","",[1]!thsiFinD("ths_adjustment_nv_fund",Z$3,$A113))</f>
        <v/>
      </c>
      <c r="AA113" s="13" t="str">
        <f>IF($A113="","",[1]!thsiFinD("ths_adjustment_nv_fund",AA$3,$A113))</f>
        <v/>
      </c>
    </row>
    <row r="114" spans="1:27">
      <c r="A114" s="8"/>
      <c r="B114" s="13" t="str">
        <f>IF($A114="","",[1]!thsiFinD("ths_adjustment_nv_fund",B$3,$A114))</f>
        <v/>
      </c>
      <c r="C114" s="13" t="str">
        <f>IF($A114="","",[1]!thsiFinD("ths_adjustment_nv_fund",C$3,$A114))</f>
        <v/>
      </c>
      <c r="D114" s="13" t="str">
        <f>IF($A114="","",[1]!thsiFinD("ths_adjustment_nv_fund",D$3,$A114))</f>
        <v/>
      </c>
      <c r="E114" s="13" t="str">
        <f>IF($A114="","",[1]!thsiFinD("ths_adjustment_nv_fund",E$3,$A114))</f>
        <v/>
      </c>
      <c r="F114" s="13" t="str">
        <f>IF($A114="","",[1]!thsiFinD("ths_adjustment_nv_fund",F$3,$A114))</f>
        <v/>
      </c>
      <c r="G114" s="13" t="str">
        <f>IF($A114="","",[1]!thsiFinD("ths_adjustment_nv_fund",G$3,$A114))</f>
        <v/>
      </c>
      <c r="H114" s="13" t="str">
        <f>IF($A114="","",[1]!thsiFinD("ths_adjustment_nv_fund",H$3,$A114))</f>
        <v/>
      </c>
      <c r="I114" s="13" t="str">
        <f>IF($A114="","",[1]!thsiFinD("ths_adjustment_nv_fund",I$3,$A114))</f>
        <v/>
      </c>
      <c r="J114" s="13" t="str">
        <f>IF($A114="","",[1]!thsiFinD("ths_adjustment_nv_fund",J$3,$A114))</f>
        <v/>
      </c>
      <c r="K114" s="13" t="str">
        <f>IF($A114="","",[1]!thsiFinD("ths_adjustment_nv_fund",K$3,$A114))</f>
        <v/>
      </c>
      <c r="L114" s="13" t="str">
        <f>IF($A114="","",[1]!thsiFinD("ths_adjustment_nv_fund",L$3,$A114))</f>
        <v/>
      </c>
      <c r="M114" s="13" t="str">
        <f>IF($A114="","",[1]!thsiFinD("ths_adjustment_nv_fund",M$3,$A114))</f>
        <v/>
      </c>
      <c r="N114" s="13" t="str">
        <f>IF($A114="","",[1]!thsiFinD("ths_adjustment_nv_fund",N$3,$A114))</f>
        <v/>
      </c>
      <c r="O114" s="13" t="str">
        <f>IF($A114="","",[1]!thsiFinD("ths_adjustment_nv_fund",O$3,$A114))</f>
        <v/>
      </c>
      <c r="P114" s="13" t="str">
        <f>IF($A114="","",[1]!thsiFinD("ths_adjustment_nv_fund",P$3,$A114))</f>
        <v/>
      </c>
      <c r="Q114" s="13" t="str">
        <f>IF($A114="","",[1]!thsiFinD("ths_adjustment_nv_fund",Q$3,$A114))</f>
        <v/>
      </c>
      <c r="R114" s="13" t="str">
        <f>IF($A114="","",[1]!thsiFinD("ths_adjustment_nv_fund",R$3,$A114))</f>
        <v/>
      </c>
      <c r="S114" s="13" t="str">
        <f>IF($A114="","",[1]!thsiFinD("ths_adjustment_nv_fund",S$3,$A114))</f>
        <v/>
      </c>
      <c r="T114" s="13" t="str">
        <f>IF($A114="","",[1]!thsiFinD("ths_adjustment_nv_fund",T$3,$A114))</f>
        <v/>
      </c>
      <c r="U114" s="13" t="str">
        <f>IF($A114="","",[1]!thsiFinD("ths_adjustment_nv_fund",U$3,$A114))</f>
        <v/>
      </c>
      <c r="V114" s="13" t="str">
        <f>IF($A114="","",[1]!thsiFinD("ths_adjustment_nv_fund",V$3,$A114))</f>
        <v/>
      </c>
      <c r="W114" s="13" t="str">
        <f>IF($A114="","",[1]!thsiFinD("ths_adjustment_nv_fund",W$3,$A114))</f>
        <v/>
      </c>
      <c r="X114" s="13" t="str">
        <f>IF($A114="","",[1]!thsiFinD("ths_adjustment_nv_fund",X$3,$A114))</f>
        <v/>
      </c>
      <c r="Y114" s="13" t="str">
        <f>IF($A114="","",[1]!thsiFinD("ths_adjustment_nv_fund",Y$3,$A114))</f>
        <v/>
      </c>
      <c r="Z114" s="13" t="str">
        <f>IF($A114="","",[1]!thsiFinD("ths_adjustment_nv_fund",Z$3,$A114))</f>
        <v/>
      </c>
      <c r="AA114" s="13" t="str">
        <f>IF($A114="","",[1]!thsiFinD("ths_adjustment_nv_fund",AA$3,$A114))</f>
        <v/>
      </c>
    </row>
    <row r="115" spans="1:27">
      <c r="A115" s="8"/>
      <c r="B115" s="13" t="str">
        <f>IF($A115="","",[1]!thsiFinD("ths_adjustment_nv_fund",B$3,$A115))</f>
        <v/>
      </c>
      <c r="C115" s="13" t="str">
        <f>IF($A115="","",[1]!thsiFinD("ths_adjustment_nv_fund",C$3,$A115))</f>
        <v/>
      </c>
      <c r="D115" s="13" t="str">
        <f>IF($A115="","",[1]!thsiFinD("ths_adjustment_nv_fund",D$3,$A115))</f>
        <v/>
      </c>
      <c r="E115" s="13" t="str">
        <f>IF($A115="","",[1]!thsiFinD("ths_adjustment_nv_fund",E$3,$A115))</f>
        <v/>
      </c>
      <c r="F115" s="13" t="str">
        <f>IF($A115="","",[1]!thsiFinD("ths_adjustment_nv_fund",F$3,$A115))</f>
        <v/>
      </c>
      <c r="G115" s="13" t="str">
        <f>IF($A115="","",[1]!thsiFinD("ths_adjustment_nv_fund",G$3,$A115))</f>
        <v/>
      </c>
      <c r="H115" s="13" t="str">
        <f>IF($A115="","",[1]!thsiFinD("ths_adjustment_nv_fund",H$3,$A115))</f>
        <v/>
      </c>
      <c r="I115" s="13" t="str">
        <f>IF($A115="","",[1]!thsiFinD("ths_adjustment_nv_fund",I$3,$A115))</f>
        <v/>
      </c>
      <c r="J115" s="13" t="str">
        <f>IF($A115="","",[1]!thsiFinD("ths_adjustment_nv_fund",J$3,$A115))</f>
        <v/>
      </c>
      <c r="K115" s="13" t="str">
        <f>IF($A115="","",[1]!thsiFinD("ths_adjustment_nv_fund",K$3,$A115))</f>
        <v/>
      </c>
      <c r="L115" s="13" t="str">
        <f>IF($A115="","",[1]!thsiFinD("ths_adjustment_nv_fund",L$3,$A115))</f>
        <v/>
      </c>
      <c r="M115" s="13" t="str">
        <f>IF($A115="","",[1]!thsiFinD("ths_adjustment_nv_fund",M$3,$A115))</f>
        <v/>
      </c>
      <c r="N115" s="13" t="str">
        <f>IF($A115="","",[1]!thsiFinD("ths_adjustment_nv_fund",N$3,$A115))</f>
        <v/>
      </c>
      <c r="O115" s="13" t="str">
        <f>IF($A115="","",[1]!thsiFinD("ths_adjustment_nv_fund",O$3,$A115))</f>
        <v/>
      </c>
      <c r="P115" s="13" t="str">
        <f>IF($A115="","",[1]!thsiFinD("ths_adjustment_nv_fund",P$3,$A115))</f>
        <v/>
      </c>
      <c r="Q115" s="13" t="str">
        <f>IF($A115="","",[1]!thsiFinD("ths_adjustment_nv_fund",Q$3,$A115))</f>
        <v/>
      </c>
      <c r="R115" s="13" t="str">
        <f>IF($A115="","",[1]!thsiFinD("ths_adjustment_nv_fund",R$3,$A115))</f>
        <v/>
      </c>
      <c r="S115" s="13" t="str">
        <f>IF($A115="","",[1]!thsiFinD("ths_adjustment_nv_fund",S$3,$A115))</f>
        <v/>
      </c>
      <c r="T115" s="13" t="str">
        <f>IF($A115="","",[1]!thsiFinD("ths_adjustment_nv_fund",T$3,$A115))</f>
        <v/>
      </c>
      <c r="U115" s="13" t="str">
        <f>IF($A115="","",[1]!thsiFinD("ths_adjustment_nv_fund",U$3,$A115))</f>
        <v/>
      </c>
      <c r="V115" s="13" t="str">
        <f>IF($A115="","",[1]!thsiFinD("ths_adjustment_nv_fund",V$3,$A115))</f>
        <v/>
      </c>
      <c r="W115" s="13" t="str">
        <f>IF($A115="","",[1]!thsiFinD("ths_adjustment_nv_fund",W$3,$A115))</f>
        <v/>
      </c>
      <c r="X115" s="13" t="str">
        <f>IF($A115="","",[1]!thsiFinD("ths_adjustment_nv_fund",X$3,$A115))</f>
        <v/>
      </c>
      <c r="Y115" s="13" t="str">
        <f>IF($A115="","",[1]!thsiFinD("ths_adjustment_nv_fund",Y$3,$A115))</f>
        <v/>
      </c>
      <c r="Z115" s="13" t="str">
        <f>IF($A115="","",[1]!thsiFinD("ths_adjustment_nv_fund",Z$3,$A115))</f>
        <v/>
      </c>
      <c r="AA115" s="13" t="str">
        <f>IF($A115="","",[1]!thsiFinD("ths_adjustment_nv_fund",AA$3,$A115))</f>
        <v/>
      </c>
    </row>
    <row r="116" spans="1:27">
      <c r="A116" s="8"/>
      <c r="B116" s="13" t="str">
        <f>IF($A116="","",[1]!thsiFinD("ths_adjustment_nv_fund",B$3,$A116))</f>
        <v/>
      </c>
      <c r="C116" s="13" t="str">
        <f>IF($A116="","",[1]!thsiFinD("ths_adjustment_nv_fund",C$3,$A116))</f>
        <v/>
      </c>
      <c r="D116" s="13" t="str">
        <f>IF($A116="","",[1]!thsiFinD("ths_adjustment_nv_fund",D$3,$A116))</f>
        <v/>
      </c>
      <c r="E116" s="13" t="str">
        <f>IF($A116="","",[1]!thsiFinD("ths_adjustment_nv_fund",E$3,$A116))</f>
        <v/>
      </c>
      <c r="F116" s="13" t="str">
        <f>IF($A116="","",[1]!thsiFinD("ths_adjustment_nv_fund",F$3,$A116))</f>
        <v/>
      </c>
      <c r="G116" s="13" t="str">
        <f>IF($A116="","",[1]!thsiFinD("ths_adjustment_nv_fund",G$3,$A116))</f>
        <v/>
      </c>
      <c r="H116" s="13" t="str">
        <f>IF($A116="","",[1]!thsiFinD("ths_adjustment_nv_fund",H$3,$A116))</f>
        <v/>
      </c>
      <c r="I116" s="13" t="str">
        <f>IF($A116="","",[1]!thsiFinD("ths_adjustment_nv_fund",I$3,$A116))</f>
        <v/>
      </c>
      <c r="J116" s="13" t="str">
        <f>IF($A116="","",[1]!thsiFinD("ths_adjustment_nv_fund",J$3,$A116))</f>
        <v/>
      </c>
      <c r="K116" s="13" t="str">
        <f>IF($A116="","",[1]!thsiFinD("ths_adjustment_nv_fund",K$3,$A116))</f>
        <v/>
      </c>
      <c r="L116" s="13" t="str">
        <f>IF($A116="","",[1]!thsiFinD("ths_adjustment_nv_fund",L$3,$A116))</f>
        <v/>
      </c>
      <c r="M116" s="13" t="str">
        <f>IF($A116="","",[1]!thsiFinD("ths_adjustment_nv_fund",M$3,$A116))</f>
        <v/>
      </c>
      <c r="N116" s="13" t="str">
        <f>IF($A116="","",[1]!thsiFinD("ths_adjustment_nv_fund",N$3,$A116))</f>
        <v/>
      </c>
      <c r="O116" s="13" t="str">
        <f>IF($A116="","",[1]!thsiFinD("ths_adjustment_nv_fund",O$3,$A116))</f>
        <v/>
      </c>
      <c r="P116" s="13" t="str">
        <f>IF($A116="","",[1]!thsiFinD("ths_adjustment_nv_fund",P$3,$A116))</f>
        <v/>
      </c>
      <c r="Q116" s="13" t="str">
        <f>IF($A116="","",[1]!thsiFinD("ths_adjustment_nv_fund",Q$3,$A116))</f>
        <v/>
      </c>
      <c r="R116" s="13" t="str">
        <f>IF($A116="","",[1]!thsiFinD("ths_adjustment_nv_fund",R$3,$A116))</f>
        <v/>
      </c>
      <c r="S116" s="13" t="str">
        <f>IF($A116="","",[1]!thsiFinD("ths_adjustment_nv_fund",S$3,$A116))</f>
        <v/>
      </c>
      <c r="T116" s="13" t="str">
        <f>IF($A116="","",[1]!thsiFinD("ths_adjustment_nv_fund",T$3,$A116))</f>
        <v/>
      </c>
      <c r="U116" s="13" t="str">
        <f>IF($A116="","",[1]!thsiFinD("ths_adjustment_nv_fund",U$3,$A116))</f>
        <v/>
      </c>
      <c r="V116" s="13" t="str">
        <f>IF($A116="","",[1]!thsiFinD("ths_adjustment_nv_fund",V$3,$A116))</f>
        <v/>
      </c>
      <c r="W116" s="13" t="str">
        <f>IF($A116="","",[1]!thsiFinD("ths_adjustment_nv_fund",W$3,$A116))</f>
        <v/>
      </c>
      <c r="X116" s="13" t="str">
        <f>IF($A116="","",[1]!thsiFinD("ths_adjustment_nv_fund",X$3,$A116))</f>
        <v/>
      </c>
      <c r="Y116" s="13" t="str">
        <f>IF($A116="","",[1]!thsiFinD("ths_adjustment_nv_fund",Y$3,$A116))</f>
        <v/>
      </c>
      <c r="Z116" s="13" t="str">
        <f>IF($A116="","",[1]!thsiFinD("ths_adjustment_nv_fund",Z$3,$A116))</f>
        <v/>
      </c>
      <c r="AA116" s="13" t="str">
        <f>IF($A116="","",[1]!thsiFinD("ths_adjustment_nv_fund",AA$3,$A116))</f>
        <v/>
      </c>
    </row>
    <row r="117" spans="1:27">
      <c r="A117" s="8"/>
      <c r="B117" s="13" t="str">
        <f>IF($A117="","",[1]!thsiFinD("ths_adjustment_nv_fund",B$3,$A117))</f>
        <v/>
      </c>
      <c r="C117" s="13" t="str">
        <f>IF($A117="","",[1]!thsiFinD("ths_adjustment_nv_fund",C$3,$A117))</f>
        <v/>
      </c>
      <c r="D117" s="13" t="str">
        <f>IF($A117="","",[1]!thsiFinD("ths_adjustment_nv_fund",D$3,$A117))</f>
        <v/>
      </c>
      <c r="E117" s="13" t="str">
        <f>IF($A117="","",[1]!thsiFinD("ths_adjustment_nv_fund",E$3,$A117))</f>
        <v/>
      </c>
      <c r="F117" s="13" t="str">
        <f>IF($A117="","",[1]!thsiFinD("ths_adjustment_nv_fund",F$3,$A117))</f>
        <v/>
      </c>
      <c r="G117" s="13" t="str">
        <f>IF($A117="","",[1]!thsiFinD("ths_adjustment_nv_fund",G$3,$A117))</f>
        <v/>
      </c>
      <c r="H117" s="13" t="str">
        <f>IF($A117="","",[1]!thsiFinD("ths_adjustment_nv_fund",H$3,$A117))</f>
        <v/>
      </c>
      <c r="I117" s="13" t="str">
        <f>IF($A117="","",[1]!thsiFinD("ths_adjustment_nv_fund",I$3,$A117))</f>
        <v/>
      </c>
      <c r="J117" s="13" t="str">
        <f>IF($A117="","",[1]!thsiFinD("ths_adjustment_nv_fund",J$3,$A117))</f>
        <v/>
      </c>
      <c r="K117" s="13" t="str">
        <f>IF($A117="","",[1]!thsiFinD("ths_adjustment_nv_fund",K$3,$A117))</f>
        <v/>
      </c>
      <c r="L117" s="13" t="str">
        <f>IF($A117="","",[1]!thsiFinD("ths_adjustment_nv_fund",L$3,$A117))</f>
        <v/>
      </c>
      <c r="M117" s="13" t="str">
        <f>IF($A117="","",[1]!thsiFinD("ths_adjustment_nv_fund",M$3,$A117))</f>
        <v/>
      </c>
      <c r="N117" s="13" t="str">
        <f>IF($A117="","",[1]!thsiFinD("ths_adjustment_nv_fund",N$3,$A117))</f>
        <v/>
      </c>
      <c r="O117" s="13" t="str">
        <f>IF($A117="","",[1]!thsiFinD("ths_adjustment_nv_fund",O$3,$A117))</f>
        <v/>
      </c>
      <c r="P117" s="13" t="str">
        <f>IF($A117="","",[1]!thsiFinD("ths_adjustment_nv_fund",P$3,$A117))</f>
        <v/>
      </c>
      <c r="Q117" s="13" t="str">
        <f>IF($A117="","",[1]!thsiFinD("ths_adjustment_nv_fund",Q$3,$A117))</f>
        <v/>
      </c>
      <c r="R117" s="13" t="str">
        <f>IF($A117="","",[1]!thsiFinD("ths_adjustment_nv_fund",R$3,$A117))</f>
        <v/>
      </c>
      <c r="S117" s="13" t="str">
        <f>IF($A117="","",[1]!thsiFinD("ths_adjustment_nv_fund",S$3,$A117))</f>
        <v/>
      </c>
      <c r="T117" s="13" t="str">
        <f>IF($A117="","",[1]!thsiFinD("ths_adjustment_nv_fund",T$3,$A117))</f>
        <v/>
      </c>
      <c r="U117" s="13" t="str">
        <f>IF($A117="","",[1]!thsiFinD("ths_adjustment_nv_fund",U$3,$A117))</f>
        <v/>
      </c>
      <c r="V117" s="13" t="str">
        <f>IF($A117="","",[1]!thsiFinD("ths_adjustment_nv_fund",V$3,$A117))</f>
        <v/>
      </c>
      <c r="W117" s="13" t="str">
        <f>IF($A117="","",[1]!thsiFinD("ths_adjustment_nv_fund",W$3,$A117))</f>
        <v/>
      </c>
      <c r="X117" s="13" t="str">
        <f>IF($A117="","",[1]!thsiFinD("ths_adjustment_nv_fund",X$3,$A117))</f>
        <v/>
      </c>
      <c r="Y117" s="13" t="str">
        <f>IF($A117="","",[1]!thsiFinD("ths_adjustment_nv_fund",Y$3,$A117))</f>
        <v/>
      </c>
      <c r="Z117" s="13" t="str">
        <f>IF($A117="","",[1]!thsiFinD("ths_adjustment_nv_fund",Z$3,$A117))</f>
        <v/>
      </c>
      <c r="AA117" s="13" t="str">
        <f>IF($A117="","",[1]!thsiFinD("ths_adjustment_nv_fund",AA$3,$A117))</f>
        <v/>
      </c>
    </row>
    <row r="118" spans="1:27">
      <c r="A118" s="8"/>
      <c r="B118" s="13" t="str">
        <f>IF($A118="","",[1]!thsiFinD("ths_adjustment_nv_fund",B$3,$A118))</f>
        <v/>
      </c>
      <c r="C118" s="13" t="str">
        <f>IF($A118="","",[1]!thsiFinD("ths_adjustment_nv_fund",C$3,$A118))</f>
        <v/>
      </c>
      <c r="D118" s="13" t="str">
        <f>IF($A118="","",[1]!thsiFinD("ths_adjustment_nv_fund",D$3,$A118))</f>
        <v/>
      </c>
      <c r="E118" s="13" t="str">
        <f>IF($A118="","",[1]!thsiFinD("ths_adjustment_nv_fund",E$3,$A118))</f>
        <v/>
      </c>
      <c r="F118" s="13" t="str">
        <f>IF($A118="","",[1]!thsiFinD("ths_adjustment_nv_fund",F$3,$A118))</f>
        <v/>
      </c>
      <c r="G118" s="13" t="str">
        <f>IF($A118="","",[1]!thsiFinD("ths_adjustment_nv_fund",G$3,$A118))</f>
        <v/>
      </c>
      <c r="H118" s="13" t="str">
        <f>IF($A118="","",[1]!thsiFinD("ths_adjustment_nv_fund",H$3,$A118))</f>
        <v/>
      </c>
      <c r="I118" s="13" t="str">
        <f>IF($A118="","",[1]!thsiFinD("ths_adjustment_nv_fund",I$3,$A118))</f>
        <v/>
      </c>
      <c r="J118" s="13" t="str">
        <f>IF($A118="","",[1]!thsiFinD("ths_adjustment_nv_fund",J$3,$A118))</f>
        <v/>
      </c>
      <c r="K118" s="13" t="str">
        <f>IF($A118="","",[1]!thsiFinD("ths_adjustment_nv_fund",K$3,$A118))</f>
        <v/>
      </c>
      <c r="L118" s="13" t="str">
        <f>IF($A118="","",[1]!thsiFinD("ths_adjustment_nv_fund",L$3,$A118))</f>
        <v/>
      </c>
      <c r="M118" s="13" t="str">
        <f>IF($A118="","",[1]!thsiFinD("ths_adjustment_nv_fund",M$3,$A118))</f>
        <v/>
      </c>
      <c r="N118" s="13" t="str">
        <f>IF($A118="","",[1]!thsiFinD("ths_adjustment_nv_fund",N$3,$A118))</f>
        <v/>
      </c>
      <c r="O118" s="13" t="str">
        <f>IF($A118="","",[1]!thsiFinD("ths_adjustment_nv_fund",O$3,$A118))</f>
        <v/>
      </c>
      <c r="P118" s="13" t="str">
        <f>IF($A118="","",[1]!thsiFinD("ths_adjustment_nv_fund",P$3,$A118))</f>
        <v/>
      </c>
      <c r="Q118" s="13" t="str">
        <f>IF($A118="","",[1]!thsiFinD("ths_adjustment_nv_fund",Q$3,$A118))</f>
        <v/>
      </c>
      <c r="R118" s="13" t="str">
        <f>IF($A118="","",[1]!thsiFinD("ths_adjustment_nv_fund",R$3,$A118))</f>
        <v/>
      </c>
      <c r="S118" s="13" t="str">
        <f>IF($A118="","",[1]!thsiFinD("ths_adjustment_nv_fund",S$3,$A118))</f>
        <v/>
      </c>
      <c r="T118" s="13" t="str">
        <f>IF($A118="","",[1]!thsiFinD("ths_adjustment_nv_fund",T$3,$A118))</f>
        <v/>
      </c>
      <c r="U118" s="13" t="str">
        <f>IF($A118="","",[1]!thsiFinD("ths_adjustment_nv_fund",U$3,$A118))</f>
        <v/>
      </c>
      <c r="V118" s="13" t="str">
        <f>IF($A118="","",[1]!thsiFinD("ths_adjustment_nv_fund",V$3,$A118))</f>
        <v/>
      </c>
      <c r="W118" s="13" t="str">
        <f>IF($A118="","",[1]!thsiFinD("ths_adjustment_nv_fund",W$3,$A118))</f>
        <v/>
      </c>
      <c r="X118" s="13" t="str">
        <f>IF($A118="","",[1]!thsiFinD("ths_adjustment_nv_fund",X$3,$A118))</f>
        <v/>
      </c>
      <c r="Y118" s="13" t="str">
        <f>IF($A118="","",[1]!thsiFinD("ths_adjustment_nv_fund",Y$3,$A118))</f>
        <v/>
      </c>
      <c r="Z118" s="13" t="str">
        <f>IF($A118="","",[1]!thsiFinD("ths_adjustment_nv_fund",Z$3,$A118))</f>
        <v/>
      </c>
      <c r="AA118" s="13" t="str">
        <f>IF($A118="","",[1]!thsiFinD("ths_adjustment_nv_fund",AA$3,$A118))</f>
        <v/>
      </c>
    </row>
    <row r="119" spans="1:27">
      <c r="A119" s="8"/>
      <c r="B119" s="13" t="str">
        <f>IF($A119="","",[1]!thsiFinD("ths_adjustment_nv_fund",B$3,$A119))</f>
        <v/>
      </c>
      <c r="C119" s="13" t="str">
        <f>IF($A119="","",[1]!thsiFinD("ths_adjustment_nv_fund",C$3,$A119))</f>
        <v/>
      </c>
      <c r="D119" s="13" t="str">
        <f>IF($A119="","",[1]!thsiFinD("ths_adjustment_nv_fund",D$3,$A119))</f>
        <v/>
      </c>
      <c r="E119" s="13" t="str">
        <f>IF($A119="","",[1]!thsiFinD("ths_adjustment_nv_fund",E$3,$A119))</f>
        <v/>
      </c>
      <c r="F119" s="13" t="str">
        <f>IF($A119="","",[1]!thsiFinD("ths_adjustment_nv_fund",F$3,$A119))</f>
        <v/>
      </c>
      <c r="G119" s="13" t="str">
        <f>IF($A119="","",[1]!thsiFinD("ths_adjustment_nv_fund",G$3,$A119))</f>
        <v/>
      </c>
      <c r="H119" s="13" t="str">
        <f>IF($A119="","",[1]!thsiFinD("ths_adjustment_nv_fund",H$3,$A119))</f>
        <v/>
      </c>
      <c r="I119" s="13" t="str">
        <f>IF($A119="","",[1]!thsiFinD("ths_adjustment_nv_fund",I$3,$A119))</f>
        <v/>
      </c>
      <c r="J119" s="13" t="str">
        <f>IF($A119="","",[1]!thsiFinD("ths_adjustment_nv_fund",J$3,$A119))</f>
        <v/>
      </c>
      <c r="K119" s="13" t="str">
        <f>IF($A119="","",[1]!thsiFinD("ths_adjustment_nv_fund",K$3,$A119))</f>
        <v/>
      </c>
      <c r="L119" s="13" t="str">
        <f>IF($A119="","",[1]!thsiFinD("ths_adjustment_nv_fund",L$3,$A119))</f>
        <v/>
      </c>
      <c r="M119" s="13" t="str">
        <f>IF($A119="","",[1]!thsiFinD("ths_adjustment_nv_fund",M$3,$A119))</f>
        <v/>
      </c>
      <c r="N119" s="13" t="str">
        <f>IF($A119="","",[1]!thsiFinD("ths_adjustment_nv_fund",N$3,$A119))</f>
        <v/>
      </c>
      <c r="O119" s="13" t="str">
        <f>IF($A119="","",[1]!thsiFinD("ths_adjustment_nv_fund",O$3,$A119))</f>
        <v/>
      </c>
      <c r="P119" s="13" t="str">
        <f>IF($A119="","",[1]!thsiFinD("ths_adjustment_nv_fund",P$3,$A119))</f>
        <v/>
      </c>
      <c r="Q119" s="13" t="str">
        <f>IF($A119="","",[1]!thsiFinD("ths_adjustment_nv_fund",Q$3,$A119))</f>
        <v/>
      </c>
      <c r="R119" s="13" t="str">
        <f>IF($A119="","",[1]!thsiFinD("ths_adjustment_nv_fund",R$3,$A119))</f>
        <v/>
      </c>
      <c r="S119" s="13" t="str">
        <f>IF($A119="","",[1]!thsiFinD("ths_adjustment_nv_fund",S$3,$A119))</f>
        <v/>
      </c>
      <c r="T119" s="13" t="str">
        <f>IF($A119="","",[1]!thsiFinD("ths_adjustment_nv_fund",T$3,$A119))</f>
        <v/>
      </c>
      <c r="U119" s="13" t="str">
        <f>IF($A119="","",[1]!thsiFinD("ths_adjustment_nv_fund",U$3,$A119))</f>
        <v/>
      </c>
      <c r="V119" s="13" t="str">
        <f>IF($A119="","",[1]!thsiFinD("ths_adjustment_nv_fund",V$3,$A119))</f>
        <v/>
      </c>
      <c r="W119" s="13" t="str">
        <f>IF($A119="","",[1]!thsiFinD("ths_adjustment_nv_fund",W$3,$A119))</f>
        <v/>
      </c>
      <c r="X119" s="13" t="str">
        <f>IF($A119="","",[1]!thsiFinD("ths_adjustment_nv_fund",X$3,$A119))</f>
        <v/>
      </c>
      <c r="Y119" s="13" t="str">
        <f>IF($A119="","",[1]!thsiFinD("ths_adjustment_nv_fund",Y$3,$A119))</f>
        <v/>
      </c>
      <c r="Z119" s="13" t="str">
        <f>IF($A119="","",[1]!thsiFinD("ths_adjustment_nv_fund",Z$3,$A119))</f>
        <v/>
      </c>
      <c r="AA119" s="13" t="str">
        <f>IF($A119="","",[1]!thsiFinD("ths_adjustment_nv_fund",AA$3,$A119))</f>
        <v/>
      </c>
    </row>
    <row r="120" spans="1:27">
      <c r="A120" s="8"/>
      <c r="B120" s="13" t="str">
        <f>IF($A120="","",[1]!thsiFinD("ths_adjustment_nv_fund",B$3,$A120))</f>
        <v/>
      </c>
      <c r="C120" s="13" t="str">
        <f>IF($A120="","",[1]!thsiFinD("ths_adjustment_nv_fund",C$3,$A120))</f>
        <v/>
      </c>
      <c r="D120" s="13" t="str">
        <f>IF($A120="","",[1]!thsiFinD("ths_adjustment_nv_fund",D$3,$A120))</f>
        <v/>
      </c>
      <c r="E120" s="13" t="str">
        <f>IF($A120="","",[1]!thsiFinD("ths_adjustment_nv_fund",E$3,$A120))</f>
        <v/>
      </c>
      <c r="F120" s="13" t="str">
        <f>IF($A120="","",[1]!thsiFinD("ths_adjustment_nv_fund",F$3,$A120))</f>
        <v/>
      </c>
      <c r="G120" s="13" t="str">
        <f>IF($A120="","",[1]!thsiFinD("ths_adjustment_nv_fund",G$3,$A120))</f>
        <v/>
      </c>
      <c r="H120" s="13" t="str">
        <f>IF($A120="","",[1]!thsiFinD("ths_adjustment_nv_fund",H$3,$A120))</f>
        <v/>
      </c>
      <c r="I120" s="13" t="str">
        <f>IF($A120="","",[1]!thsiFinD("ths_adjustment_nv_fund",I$3,$A120))</f>
        <v/>
      </c>
      <c r="J120" s="13" t="str">
        <f>IF($A120="","",[1]!thsiFinD("ths_adjustment_nv_fund",J$3,$A120))</f>
        <v/>
      </c>
      <c r="K120" s="13" t="str">
        <f>IF($A120="","",[1]!thsiFinD("ths_adjustment_nv_fund",K$3,$A120))</f>
        <v/>
      </c>
      <c r="L120" s="13" t="str">
        <f>IF($A120="","",[1]!thsiFinD("ths_adjustment_nv_fund",L$3,$A120))</f>
        <v/>
      </c>
      <c r="M120" s="13" t="str">
        <f>IF($A120="","",[1]!thsiFinD("ths_adjustment_nv_fund",M$3,$A120))</f>
        <v/>
      </c>
      <c r="N120" s="13" t="str">
        <f>IF($A120="","",[1]!thsiFinD("ths_adjustment_nv_fund",N$3,$A120))</f>
        <v/>
      </c>
      <c r="O120" s="13" t="str">
        <f>IF($A120="","",[1]!thsiFinD("ths_adjustment_nv_fund",O$3,$A120))</f>
        <v/>
      </c>
      <c r="P120" s="13" t="str">
        <f>IF($A120="","",[1]!thsiFinD("ths_adjustment_nv_fund",P$3,$A120))</f>
        <v/>
      </c>
      <c r="Q120" s="13" t="str">
        <f>IF($A120="","",[1]!thsiFinD("ths_adjustment_nv_fund",Q$3,$A120))</f>
        <v/>
      </c>
      <c r="R120" s="13" t="str">
        <f>IF($A120="","",[1]!thsiFinD("ths_adjustment_nv_fund",R$3,$A120))</f>
        <v/>
      </c>
      <c r="S120" s="13" t="str">
        <f>IF($A120="","",[1]!thsiFinD("ths_adjustment_nv_fund",S$3,$A120))</f>
        <v/>
      </c>
      <c r="T120" s="13" t="str">
        <f>IF($A120="","",[1]!thsiFinD("ths_adjustment_nv_fund",T$3,$A120))</f>
        <v/>
      </c>
      <c r="U120" s="13" t="str">
        <f>IF($A120="","",[1]!thsiFinD("ths_adjustment_nv_fund",U$3,$A120))</f>
        <v/>
      </c>
      <c r="V120" s="13" t="str">
        <f>IF($A120="","",[1]!thsiFinD("ths_adjustment_nv_fund",V$3,$A120))</f>
        <v/>
      </c>
      <c r="W120" s="13" t="str">
        <f>IF($A120="","",[1]!thsiFinD("ths_adjustment_nv_fund",W$3,$A120))</f>
        <v/>
      </c>
      <c r="X120" s="13" t="str">
        <f>IF($A120="","",[1]!thsiFinD("ths_adjustment_nv_fund",X$3,$A120))</f>
        <v/>
      </c>
      <c r="Y120" s="13" t="str">
        <f>IF($A120="","",[1]!thsiFinD("ths_adjustment_nv_fund",Y$3,$A120))</f>
        <v/>
      </c>
      <c r="Z120" s="13" t="str">
        <f>IF($A120="","",[1]!thsiFinD("ths_adjustment_nv_fund",Z$3,$A120))</f>
        <v/>
      </c>
      <c r="AA120" s="13" t="str">
        <f>IF($A120="","",[1]!thsiFinD("ths_adjustment_nv_fund",AA$3,$A120))</f>
        <v/>
      </c>
    </row>
    <row r="121" spans="1:27">
      <c r="A121" s="8"/>
      <c r="B121" s="13" t="str">
        <f>IF($A121="","",[1]!thsiFinD("ths_adjustment_nv_fund",B$3,$A121))</f>
        <v/>
      </c>
      <c r="C121" s="13" t="str">
        <f>IF($A121="","",[1]!thsiFinD("ths_adjustment_nv_fund",C$3,$A121))</f>
        <v/>
      </c>
      <c r="D121" s="13" t="str">
        <f>IF($A121="","",[1]!thsiFinD("ths_adjustment_nv_fund",D$3,$A121))</f>
        <v/>
      </c>
      <c r="E121" s="13" t="str">
        <f>IF($A121="","",[1]!thsiFinD("ths_adjustment_nv_fund",E$3,$A121))</f>
        <v/>
      </c>
      <c r="F121" s="13" t="str">
        <f>IF($A121="","",[1]!thsiFinD("ths_adjustment_nv_fund",F$3,$A121))</f>
        <v/>
      </c>
      <c r="G121" s="13" t="str">
        <f>IF($A121="","",[1]!thsiFinD("ths_adjustment_nv_fund",G$3,$A121))</f>
        <v/>
      </c>
      <c r="H121" s="13" t="str">
        <f>IF($A121="","",[1]!thsiFinD("ths_adjustment_nv_fund",H$3,$A121))</f>
        <v/>
      </c>
      <c r="I121" s="13" t="str">
        <f>IF($A121="","",[1]!thsiFinD("ths_adjustment_nv_fund",I$3,$A121))</f>
        <v/>
      </c>
      <c r="J121" s="13" t="str">
        <f>IF($A121="","",[1]!thsiFinD("ths_adjustment_nv_fund",J$3,$A121))</f>
        <v/>
      </c>
      <c r="K121" s="13" t="str">
        <f>IF($A121="","",[1]!thsiFinD("ths_adjustment_nv_fund",K$3,$A121))</f>
        <v/>
      </c>
      <c r="L121" s="13" t="str">
        <f>IF($A121="","",[1]!thsiFinD("ths_adjustment_nv_fund",L$3,$A121))</f>
        <v/>
      </c>
      <c r="M121" s="13" t="str">
        <f>IF($A121="","",[1]!thsiFinD("ths_adjustment_nv_fund",M$3,$A121))</f>
        <v/>
      </c>
      <c r="N121" s="13" t="str">
        <f>IF($A121="","",[1]!thsiFinD("ths_adjustment_nv_fund",N$3,$A121))</f>
        <v/>
      </c>
      <c r="O121" s="13" t="str">
        <f>IF($A121="","",[1]!thsiFinD("ths_adjustment_nv_fund",O$3,$A121))</f>
        <v/>
      </c>
      <c r="P121" s="13" t="str">
        <f>IF($A121="","",[1]!thsiFinD("ths_adjustment_nv_fund",P$3,$A121))</f>
        <v/>
      </c>
      <c r="Q121" s="13" t="str">
        <f>IF($A121="","",[1]!thsiFinD("ths_adjustment_nv_fund",Q$3,$A121))</f>
        <v/>
      </c>
      <c r="R121" s="13" t="str">
        <f>IF($A121="","",[1]!thsiFinD("ths_adjustment_nv_fund",R$3,$A121))</f>
        <v/>
      </c>
      <c r="S121" s="13" t="str">
        <f>IF($A121="","",[1]!thsiFinD("ths_adjustment_nv_fund",S$3,$A121))</f>
        <v/>
      </c>
      <c r="T121" s="13" t="str">
        <f>IF($A121="","",[1]!thsiFinD("ths_adjustment_nv_fund",T$3,$A121))</f>
        <v/>
      </c>
      <c r="U121" s="13" t="str">
        <f>IF($A121="","",[1]!thsiFinD("ths_adjustment_nv_fund",U$3,$A121))</f>
        <v/>
      </c>
      <c r="V121" s="13" t="str">
        <f>IF($A121="","",[1]!thsiFinD("ths_adjustment_nv_fund",V$3,$A121))</f>
        <v/>
      </c>
      <c r="W121" s="13" t="str">
        <f>IF($A121="","",[1]!thsiFinD("ths_adjustment_nv_fund",W$3,$A121))</f>
        <v/>
      </c>
      <c r="X121" s="13" t="str">
        <f>IF($A121="","",[1]!thsiFinD("ths_adjustment_nv_fund",X$3,$A121))</f>
        <v/>
      </c>
      <c r="Y121" s="13" t="str">
        <f>IF($A121="","",[1]!thsiFinD("ths_adjustment_nv_fund",Y$3,$A121))</f>
        <v/>
      </c>
      <c r="Z121" s="13" t="str">
        <f>IF($A121="","",[1]!thsiFinD("ths_adjustment_nv_fund",Z$3,$A121))</f>
        <v/>
      </c>
      <c r="AA121" s="13" t="str">
        <f>IF($A121="","",[1]!thsiFinD("ths_adjustment_nv_fund",AA$3,$A121))</f>
        <v/>
      </c>
    </row>
    <row r="122" spans="1:27">
      <c r="A122" s="8"/>
      <c r="B122" s="13" t="str">
        <f>IF($A122="","",[1]!thsiFinD("ths_adjustment_nv_fund",B$3,$A122))</f>
        <v/>
      </c>
      <c r="C122" s="13" t="str">
        <f>IF($A122="","",[1]!thsiFinD("ths_adjustment_nv_fund",C$3,$A122))</f>
        <v/>
      </c>
      <c r="D122" s="13" t="str">
        <f>IF($A122="","",[1]!thsiFinD("ths_adjustment_nv_fund",D$3,$A122))</f>
        <v/>
      </c>
      <c r="E122" s="13" t="str">
        <f>IF($A122="","",[1]!thsiFinD("ths_adjustment_nv_fund",E$3,$A122))</f>
        <v/>
      </c>
      <c r="F122" s="13" t="str">
        <f>IF($A122="","",[1]!thsiFinD("ths_adjustment_nv_fund",F$3,$A122))</f>
        <v/>
      </c>
      <c r="G122" s="13" t="str">
        <f>IF($A122="","",[1]!thsiFinD("ths_adjustment_nv_fund",G$3,$A122))</f>
        <v/>
      </c>
      <c r="H122" s="13" t="str">
        <f>IF($A122="","",[1]!thsiFinD("ths_adjustment_nv_fund",H$3,$A122))</f>
        <v/>
      </c>
      <c r="I122" s="13" t="str">
        <f>IF($A122="","",[1]!thsiFinD("ths_adjustment_nv_fund",I$3,$A122))</f>
        <v/>
      </c>
      <c r="J122" s="13" t="str">
        <f>IF($A122="","",[1]!thsiFinD("ths_adjustment_nv_fund",J$3,$A122))</f>
        <v/>
      </c>
      <c r="K122" s="13" t="str">
        <f>IF($A122="","",[1]!thsiFinD("ths_adjustment_nv_fund",K$3,$A122))</f>
        <v/>
      </c>
      <c r="L122" s="13" t="str">
        <f>IF($A122="","",[1]!thsiFinD("ths_adjustment_nv_fund",L$3,$A122))</f>
        <v/>
      </c>
      <c r="M122" s="13" t="str">
        <f>IF($A122="","",[1]!thsiFinD("ths_adjustment_nv_fund",M$3,$A122))</f>
        <v/>
      </c>
      <c r="N122" s="13" t="str">
        <f>IF($A122="","",[1]!thsiFinD("ths_adjustment_nv_fund",N$3,$A122))</f>
        <v/>
      </c>
      <c r="O122" s="13" t="str">
        <f>IF($A122="","",[1]!thsiFinD("ths_adjustment_nv_fund",O$3,$A122))</f>
        <v/>
      </c>
      <c r="P122" s="13" t="str">
        <f>IF($A122="","",[1]!thsiFinD("ths_adjustment_nv_fund",P$3,$A122))</f>
        <v/>
      </c>
      <c r="Q122" s="13" t="str">
        <f>IF($A122="","",[1]!thsiFinD("ths_adjustment_nv_fund",Q$3,$A122))</f>
        <v/>
      </c>
      <c r="R122" s="13" t="str">
        <f>IF($A122="","",[1]!thsiFinD("ths_adjustment_nv_fund",R$3,$A122))</f>
        <v/>
      </c>
      <c r="S122" s="13" t="str">
        <f>IF($A122="","",[1]!thsiFinD("ths_adjustment_nv_fund",S$3,$A122))</f>
        <v/>
      </c>
      <c r="T122" s="13" t="str">
        <f>IF($A122="","",[1]!thsiFinD("ths_adjustment_nv_fund",T$3,$A122))</f>
        <v/>
      </c>
      <c r="U122" s="13" t="str">
        <f>IF($A122="","",[1]!thsiFinD("ths_adjustment_nv_fund",U$3,$A122))</f>
        <v/>
      </c>
      <c r="V122" s="13" t="str">
        <f>IF($A122="","",[1]!thsiFinD("ths_adjustment_nv_fund",V$3,$A122))</f>
        <v/>
      </c>
      <c r="W122" s="13" t="str">
        <f>IF($A122="","",[1]!thsiFinD("ths_adjustment_nv_fund",W$3,$A122))</f>
        <v/>
      </c>
      <c r="X122" s="13" t="str">
        <f>IF($A122="","",[1]!thsiFinD("ths_adjustment_nv_fund",X$3,$A122))</f>
        <v/>
      </c>
      <c r="Y122" s="13" t="str">
        <f>IF($A122="","",[1]!thsiFinD("ths_adjustment_nv_fund",Y$3,$A122))</f>
        <v/>
      </c>
      <c r="Z122" s="13" t="str">
        <f>IF($A122="","",[1]!thsiFinD("ths_adjustment_nv_fund",Z$3,$A122))</f>
        <v/>
      </c>
      <c r="AA122" s="13" t="str">
        <f>IF($A122="","",[1]!thsiFinD("ths_adjustment_nv_fund",AA$3,$A122))</f>
        <v/>
      </c>
    </row>
    <row r="123" spans="1:27">
      <c r="A123" s="8"/>
      <c r="B123" s="13" t="str">
        <f>IF($A123="","",[1]!thsiFinD("ths_adjustment_nv_fund",B$3,$A123))</f>
        <v/>
      </c>
      <c r="C123" s="13" t="str">
        <f>IF($A123="","",[1]!thsiFinD("ths_adjustment_nv_fund",C$3,$A123))</f>
        <v/>
      </c>
      <c r="D123" s="13" t="str">
        <f>IF($A123="","",[1]!thsiFinD("ths_adjustment_nv_fund",D$3,$A123))</f>
        <v/>
      </c>
      <c r="E123" s="13" t="str">
        <f>IF($A123="","",[1]!thsiFinD("ths_adjustment_nv_fund",E$3,$A123))</f>
        <v/>
      </c>
      <c r="F123" s="13" t="str">
        <f>IF($A123="","",[1]!thsiFinD("ths_adjustment_nv_fund",F$3,$A123))</f>
        <v/>
      </c>
      <c r="G123" s="13" t="str">
        <f>IF($A123="","",[1]!thsiFinD("ths_adjustment_nv_fund",G$3,$A123))</f>
        <v/>
      </c>
      <c r="H123" s="13" t="str">
        <f>IF($A123="","",[1]!thsiFinD("ths_adjustment_nv_fund",H$3,$A123))</f>
        <v/>
      </c>
      <c r="I123" s="13" t="str">
        <f>IF($A123="","",[1]!thsiFinD("ths_adjustment_nv_fund",I$3,$A123))</f>
        <v/>
      </c>
      <c r="J123" s="13" t="str">
        <f>IF($A123="","",[1]!thsiFinD("ths_adjustment_nv_fund",J$3,$A123))</f>
        <v/>
      </c>
      <c r="K123" s="13" t="str">
        <f>IF($A123="","",[1]!thsiFinD("ths_adjustment_nv_fund",K$3,$A123))</f>
        <v/>
      </c>
      <c r="L123" s="13" t="str">
        <f>IF($A123="","",[1]!thsiFinD("ths_adjustment_nv_fund",L$3,$A123))</f>
        <v/>
      </c>
      <c r="M123" s="13" t="str">
        <f>IF($A123="","",[1]!thsiFinD("ths_adjustment_nv_fund",M$3,$A123))</f>
        <v/>
      </c>
      <c r="N123" s="13" t="str">
        <f>IF($A123="","",[1]!thsiFinD("ths_adjustment_nv_fund",N$3,$A123))</f>
        <v/>
      </c>
      <c r="O123" s="13" t="str">
        <f>IF($A123="","",[1]!thsiFinD("ths_adjustment_nv_fund",O$3,$A123))</f>
        <v/>
      </c>
      <c r="P123" s="13" t="str">
        <f>IF($A123="","",[1]!thsiFinD("ths_adjustment_nv_fund",P$3,$A123))</f>
        <v/>
      </c>
      <c r="Q123" s="13" t="str">
        <f>IF($A123="","",[1]!thsiFinD("ths_adjustment_nv_fund",Q$3,$A123))</f>
        <v/>
      </c>
      <c r="R123" s="13" t="str">
        <f>IF($A123="","",[1]!thsiFinD("ths_adjustment_nv_fund",R$3,$A123))</f>
        <v/>
      </c>
      <c r="S123" s="13" t="str">
        <f>IF($A123="","",[1]!thsiFinD("ths_adjustment_nv_fund",S$3,$A123))</f>
        <v/>
      </c>
      <c r="T123" s="13" t="str">
        <f>IF($A123="","",[1]!thsiFinD("ths_adjustment_nv_fund",T$3,$A123))</f>
        <v/>
      </c>
      <c r="U123" s="13" t="str">
        <f>IF($A123="","",[1]!thsiFinD("ths_adjustment_nv_fund",U$3,$A123))</f>
        <v/>
      </c>
      <c r="V123" s="13" t="str">
        <f>IF($A123="","",[1]!thsiFinD("ths_adjustment_nv_fund",V$3,$A123))</f>
        <v/>
      </c>
      <c r="W123" s="13" t="str">
        <f>IF($A123="","",[1]!thsiFinD("ths_adjustment_nv_fund",W$3,$A123))</f>
        <v/>
      </c>
      <c r="X123" s="13" t="str">
        <f>IF($A123="","",[1]!thsiFinD("ths_adjustment_nv_fund",X$3,$A123))</f>
        <v/>
      </c>
      <c r="Y123" s="13" t="str">
        <f>IF($A123="","",[1]!thsiFinD("ths_adjustment_nv_fund",Y$3,$A123))</f>
        <v/>
      </c>
      <c r="Z123" s="13" t="str">
        <f>IF($A123="","",[1]!thsiFinD("ths_adjustment_nv_fund",Z$3,$A123))</f>
        <v/>
      </c>
      <c r="AA123" s="13" t="str">
        <f>IF($A123="","",[1]!thsiFinD("ths_adjustment_nv_fund",AA$3,$A123))</f>
        <v/>
      </c>
    </row>
    <row r="124" spans="1:27">
      <c r="A124" s="8"/>
      <c r="B124" s="13" t="str">
        <f>IF($A124="","",[1]!thsiFinD("ths_adjustment_nv_fund",B$3,$A124))</f>
        <v/>
      </c>
      <c r="C124" s="13" t="str">
        <f>IF($A124="","",[1]!thsiFinD("ths_adjustment_nv_fund",C$3,$A124))</f>
        <v/>
      </c>
      <c r="D124" s="13" t="str">
        <f>IF($A124="","",[1]!thsiFinD("ths_adjustment_nv_fund",D$3,$A124))</f>
        <v/>
      </c>
      <c r="E124" s="13" t="str">
        <f>IF($A124="","",[1]!thsiFinD("ths_adjustment_nv_fund",E$3,$A124))</f>
        <v/>
      </c>
      <c r="F124" s="13" t="str">
        <f>IF($A124="","",[1]!thsiFinD("ths_adjustment_nv_fund",F$3,$A124))</f>
        <v/>
      </c>
      <c r="G124" s="13" t="str">
        <f>IF($A124="","",[1]!thsiFinD("ths_adjustment_nv_fund",G$3,$A124))</f>
        <v/>
      </c>
      <c r="H124" s="13" t="str">
        <f>IF($A124="","",[1]!thsiFinD("ths_adjustment_nv_fund",H$3,$A124))</f>
        <v/>
      </c>
      <c r="I124" s="13" t="str">
        <f>IF($A124="","",[1]!thsiFinD("ths_adjustment_nv_fund",I$3,$A124))</f>
        <v/>
      </c>
      <c r="J124" s="13" t="str">
        <f>IF($A124="","",[1]!thsiFinD("ths_adjustment_nv_fund",J$3,$A124))</f>
        <v/>
      </c>
      <c r="K124" s="13" t="str">
        <f>IF($A124="","",[1]!thsiFinD("ths_adjustment_nv_fund",K$3,$A124))</f>
        <v/>
      </c>
      <c r="L124" s="13" t="str">
        <f>IF($A124="","",[1]!thsiFinD("ths_adjustment_nv_fund",L$3,$A124))</f>
        <v/>
      </c>
      <c r="M124" s="13" t="str">
        <f>IF($A124="","",[1]!thsiFinD("ths_adjustment_nv_fund",M$3,$A124))</f>
        <v/>
      </c>
      <c r="N124" s="13" t="str">
        <f>IF($A124="","",[1]!thsiFinD("ths_adjustment_nv_fund",N$3,$A124))</f>
        <v/>
      </c>
      <c r="O124" s="13" t="str">
        <f>IF($A124="","",[1]!thsiFinD("ths_adjustment_nv_fund",O$3,$A124))</f>
        <v/>
      </c>
      <c r="P124" s="13" t="str">
        <f>IF($A124="","",[1]!thsiFinD("ths_adjustment_nv_fund",P$3,$A124))</f>
        <v/>
      </c>
      <c r="Q124" s="13" t="str">
        <f>IF($A124="","",[1]!thsiFinD("ths_adjustment_nv_fund",Q$3,$A124))</f>
        <v/>
      </c>
      <c r="R124" s="13" t="str">
        <f>IF($A124="","",[1]!thsiFinD("ths_adjustment_nv_fund",R$3,$A124))</f>
        <v/>
      </c>
      <c r="S124" s="13" t="str">
        <f>IF($A124="","",[1]!thsiFinD("ths_adjustment_nv_fund",S$3,$A124))</f>
        <v/>
      </c>
      <c r="T124" s="13" t="str">
        <f>IF($A124="","",[1]!thsiFinD("ths_adjustment_nv_fund",T$3,$A124))</f>
        <v/>
      </c>
      <c r="U124" s="13" t="str">
        <f>IF($A124="","",[1]!thsiFinD("ths_adjustment_nv_fund",U$3,$A124))</f>
        <v/>
      </c>
      <c r="V124" s="13" t="str">
        <f>IF($A124="","",[1]!thsiFinD("ths_adjustment_nv_fund",V$3,$A124))</f>
        <v/>
      </c>
      <c r="W124" s="13" t="str">
        <f>IF($A124="","",[1]!thsiFinD("ths_adjustment_nv_fund",W$3,$A124))</f>
        <v/>
      </c>
      <c r="X124" s="13" t="str">
        <f>IF($A124="","",[1]!thsiFinD("ths_adjustment_nv_fund",X$3,$A124))</f>
        <v/>
      </c>
      <c r="Y124" s="13" t="str">
        <f>IF($A124="","",[1]!thsiFinD("ths_adjustment_nv_fund",Y$3,$A124))</f>
        <v/>
      </c>
      <c r="Z124" s="13" t="str">
        <f>IF($A124="","",[1]!thsiFinD("ths_adjustment_nv_fund",Z$3,$A124))</f>
        <v/>
      </c>
      <c r="AA124" s="13" t="str">
        <f>IF($A124="","",[1]!thsiFinD("ths_adjustment_nv_fund",AA$3,$A124))</f>
        <v/>
      </c>
    </row>
    <row r="125" spans="1:27">
      <c r="A125" s="8"/>
      <c r="B125" s="13" t="str">
        <f>IF($A125="","",[1]!thsiFinD("ths_adjustment_nv_fund",B$3,$A125))</f>
        <v/>
      </c>
      <c r="C125" s="13" t="str">
        <f>IF($A125="","",[1]!thsiFinD("ths_adjustment_nv_fund",C$3,$A125))</f>
        <v/>
      </c>
      <c r="D125" s="13" t="str">
        <f>IF($A125="","",[1]!thsiFinD("ths_adjustment_nv_fund",D$3,$A125))</f>
        <v/>
      </c>
      <c r="E125" s="13" t="str">
        <f>IF($A125="","",[1]!thsiFinD("ths_adjustment_nv_fund",E$3,$A125))</f>
        <v/>
      </c>
      <c r="F125" s="13" t="str">
        <f>IF($A125="","",[1]!thsiFinD("ths_adjustment_nv_fund",F$3,$A125))</f>
        <v/>
      </c>
      <c r="G125" s="13" t="str">
        <f>IF($A125="","",[1]!thsiFinD("ths_adjustment_nv_fund",G$3,$A125))</f>
        <v/>
      </c>
      <c r="H125" s="13" t="str">
        <f>IF($A125="","",[1]!thsiFinD("ths_adjustment_nv_fund",H$3,$A125))</f>
        <v/>
      </c>
      <c r="I125" s="13" t="str">
        <f>IF($A125="","",[1]!thsiFinD("ths_adjustment_nv_fund",I$3,$A125))</f>
        <v/>
      </c>
      <c r="J125" s="13" t="str">
        <f>IF($A125="","",[1]!thsiFinD("ths_adjustment_nv_fund",J$3,$A125))</f>
        <v/>
      </c>
      <c r="K125" s="13" t="str">
        <f>IF($A125="","",[1]!thsiFinD("ths_adjustment_nv_fund",K$3,$A125))</f>
        <v/>
      </c>
      <c r="L125" s="13" t="str">
        <f>IF($A125="","",[1]!thsiFinD("ths_adjustment_nv_fund",L$3,$A125))</f>
        <v/>
      </c>
      <c r="M125" s="13" t="str">
        <f>IF($A125="","",[1]!thsiFinD("ths_adjustment_nv_fund",M$3,$A125))</f>
        <v/>
      </c>
      <c r="N125" s="13" t="str">
        <f>IF($A125="","",[1]!thsiFinD("ths_adjustment_nv_fund",N$3,$A125))</f>
        <v/>
      </c>
      <c r="O125" s="13" t="str">
        <f>IF($A125="","",[1]!thsiFinD("ths_adjustment_nv_fund",O$3,$A125))</f>
        <v/>
      </c>
      <c r="P125" s="13" t="str">
        <f>IF($A125="","",[1]!thsiFinD("ths_adjustment_nv_fund",P$3,$A125))</f>
        <v/>
      </c>
      <c r="Q125" s="13" t="str">
        <f>IF($A125="","",[1]!thsiFinD("ths_adjustment_nv_fund",Q$3,$A125))</f>
        <v/>
      </c>
      <c r="R125" s="13" t="str">
        <f>IF($A125="","",[1]!thsiFinD("ths_adjustment_nv_fund",R$3,$A125))</f>
        <v/>
      </c>
      <c r="S125" s="13" t="str">
        <f>IF($A125="","",[1]!thsiFinD("ths_adjustment_nv_fund",S$3,$A125))</f>
        <v/>
      </c>
      <c r="T125" s="13" t="str">
        <f>IF($A125="","",[1]!thsiFinD("ths_adjustment_nv_fund",T$3,$A125))</f>
        <v/>
      </c>
      <c r="U125" s="13" t="str">
        <f>IF($A125="","",[1]!thsiFinD("ths_adjustment_nv_fund",U$3,$A125))</f>
        <v/>
      </c>
      <c r="V125" s="13" t="str">
        <f>IF($A125="","",[1]!thsiFinD("ths_adjustment_nv_fund",V$3,$A125))</f>
        <v/>
      </c>
      <c r="W125" s="13" t="str">
        <f>IF($A125="","",[1]!thsiFinD("ths_adjustment_nv_fund",W$3,$A125))</f>
        <v/>
      </c>
      <c r="X125" s="13" t="str">
        <f>IF($A125="","",[1]!thsiFinD("ths_adjustment_nv_fund",X$3,$A125))</f>
        <v/>
      </c>
      <c r="Y125" s="13" t="str">
        <f>IF($A125="","",[1]!thsiFinD("ths_adjustment_nv_fund",Y$3,$A125))</f>
        <v/>
      </c>
      <c r="Z125" s="13" t="str">
        <f>IF($A125="","",[1]!thsiFinD("ths_adjustment_nv_fund",Z$3,$A125))</f>
        <v/>
      </c>
      <c r="AA125" s="13" t="str">
        <f>IF($A125="","",[1]!thsiFinD("ths_adjustment_nv_fund",AA$3,$A125))</f>
        <v/>
      </c>
    </row>
    <row r="126" spans="1:27">
      <c r="A126" s="8"/>
      <c r="B126" s="13" t="str">
        <f>IF($A126="","",[1]!thsiFinD("ths_adjustment_nv_fund",B$3,$A126))</f>
        <v/>
      </c>
      <c r="C126" s="13" t="str">
        <f>IF($A126="","",[1]!thsiFinD("ths_adjustment_nv_fund",C$3,$A126))</f>
        <v/>
      </c>
      <c r="D126" s="13" t="str">
        <f>IF($A126="","",[1]!thsiFinD("ths_adjustment_nv_fund",D$3,$A126))</f>
        <v/>
      </c>
      <c r="E126" s="13" t="str">
        <f>IF($A126="","",[1]!thsiFinD("ths_adjustment_nv_fund",E$3,$A126))</f>
        <v/>
      </c>
      <c r="F126" s="13" t="str">
        <f>IF($A126="","",[1]!thsiFinD("ths_adjustment_nv_fund",F$3,$A126))</f>
        <v/>
      </c>
      <c r="G126" s="13" t="str">
        <f>IF($A126="","",[1]!thsiFinD("ths_adjustment_nv_fund",G$3,$A126))</f>
        <v/>
      </c>
      <c r="H126" s="13" t="str">
        <f>IF($A126="","",[1]!thsiFinD("ths_adjustment_nv_fund",H$3,$A126))</f>
        <v/>
      </c>
      <c r="I126" s="13" t="str">
        <f>IF($A126="","",[1]!thsiFinD("ths_adjustment_nv_fund",I$3,$A126))</f>
        <v/>
      </c>
      <c r="J126" s="13" t="str">
        <f>IF($A126="","",[1]!thsiFinD("ths_adjustment_nv_fund",J$3,$A126))</f>
        <v/>
      </c>
      <c r="K126" s="13" t="str">
        <f>IF($A126="","",[1]!thsiFinD("ths_adjustment_nv_fund",K$3,$A126))</f>
        <v/>
      </c>
      <c r="L126" s="13" t="str">
        <f>IF($A126="","",[1]!thsiFinD("ths_adjustment_nv_fund",L$3,$A126))</f>
        <v/>
      </c>
      <c r="M126" s="13" t="str">
        <f>IF($A126="","",[1]!thsiFinD("ths_adjustment_nv_fund",M$3,$A126))</f>
        <v/>
      </c>
      <c r="N126" s="13" t="str">
        <f>IF($A126="","",[1]!thsiFinD("ths_adjustment_nv_fund",N$3,$A126))</f>
        <v/>
      </c>
      <c r="O126" s="13" t="str">
        <f>IF($A126="","",[1]!thsiFinD("ths_adjustment_nv_fund",O$3,$A126))</f>
        <v/>
      </c>
      <c r="P126" s="13" t="str">
        <f>IF($A126="","",[1]!thsiFinD("ths_adjustment_nv_fund",P$3,$A126))</f>
        <v/>
      </c>
      <c r="Q126" s="13" t="str">
        <f>IF($A126="","",[1]!thsiFinD("ths_adjustment_nv_fund",Q$3,$A126))</f>
        <v/>
      </c>
      <c r="R126" s="13" t="str">
        <f>IF($A126="","",[1]!thsiFinD("ths_adjustment_nv_fund",R$3,$A126))</f>
        <v/>
      </c>
      <c r="S126" s="13" t="str">
        <f>IF($A126="","",[1]!thsiFinD("ths_adjustment_nv_fund",S$3,$A126))</f>
        <v/>
      </c>
      <c r="T126" s="13" t="str">
        <f>IF($A126="","",[1]!thsiFinD("ths_adjustment_nv_fund",T$3,$A126))</f>
        <v/>
      </c>
      <c r="U126" s="13" t="str">
        <f>IF($A126="","",[1]!thsiFinD("ths_adjustment_nv_fund",U$3,$A126))</f>
        <v/>
      </c>
      <c r="V126" s="13" t="str">
        <f>IF($A126="","",[1]!thsiFinD("ths_adjustment_nv_fund",V$3,$A126))</f>
        <v/>
      </c>
      <c r="W126" s="13" t="str">
        <f>IF($A126="","",[1]!thsiFinD("ths_adjustment_nv_fund",W$3,$A126))</f>
        <v/>
      </c>
      <c r="X126" s="13" t="str">
        <f>IF($A126="","",[1]!thsiFinD("ths_adjustment_nv_fund",X$3,$A126))</f>
        <v/>
      </c>
      <c r="Y126" s="13" t="str">
        <f>IF($A126="","",[1]!thsiFinD("ths_adjustment_nv_fund",Y$3,$A126))</f>
        <v/>
      </c>
      <c r="Z126" s="13" t="str">
        <f>IF($A126="","",[1]!thsiFinD("ths_adjustment_nv_fund",Z$3,$A126))</f>
        <v/>
      </c>
      <c r="AA126" s="13" t="str">
        <f>IF($A126="","",[1]!thsiFinD("ths_adjustment_nv_fund",AA$3,$A126))</f>
        <v/>
      </c>
    </row>
    <row r="127" spans="1:27">
      <c r="A127" s="8"/>
      <c r="B127" s="13" t="str">
        <f>IF($A127="","",[1]!thsiFinD("ths_adjustment_nv_fund",B$3,$A127))</f>
        <v/>
      </c>
      <c r="C127" s="13" t="str">
        <f>IF($A127="","",[1]!thsiFinD("ths_adjustment_nv_fund",C$3,$A127))</f>
        <v/>
      </c>
      <c r="D127" s="13" t="str">
        <f>IF($A127="","",[1]!thsiFinD("ths_adjustment_nv_fund",D$3,$A127))</f>
        <v/>
      </c>
      <c r="E127" s="13" t="str">
        <f>IF($A127="","",[1]!thsiFinD("ths_adjustment_nv_fund",E$3,$A127))</f>
        <v/>
      </c>
      <c r="F127" s="13" t="str">
        <f>IF($A127="","",[1]!thsiFinD("ths_adjustment_nv_fund",F$3,$A127))</f>
        <v/>
      </c>
      <c r="G127" s="13" t="str">
        <f>IF($A127="","",[1]!thsiFinD("ths_adjustment_nv_fund",G$3,$A127))</f>
        <v/>
      </c>
      <c r="H127" s="13" t="str">
        <f>IF($A127="","",[1]!thsiFinD("ths_adjustment_nv_fund",H$3,$A127))</f>
        <v/>
      </c>
      <c r="I127" s="13" t="str">
        <f>IF($A127="","",[1]!thsiFinD("ths_adjustment_nv_fund",I$3,$A127))</f>
        <v/>
      </c>
      <c r="J127" s="13" t="str">
        <f>IF($A127="","",[1]!thsiFinD("ths_adjustment_nv_fund",J$3,$A127))</f>
        <v/>
      </c>
      <c r="K127" s="13" t="str">
        <f>IF($A127="","",[1]!thsiFinD("ths_adjustment_nv_fund",K$3,$A127))</f>
        <v/>
      </c>
      <c r="L127" s="13" t="str">
        <f>IF($A127="","",[1]!thsiFinD("ths_adjustment_nv_fund",L$3,$A127))</f>
        <v/>
      </c>
      <c r="M127" s="13" t="str">
        <f>IF($A127="","",[1]!thsiFinD("ths_adjustment_nv_fund",M$3,$A127))</f>
        <v/>
      </c>
      <c r="N127" s="13" t="str">
        <f>IF($A127="","",[1]!thsiFinD("ths_adjustment_nv_fund",N$3,$A127))</f>
        <v/>
      </c>
      <c r="O127" s="13" t="str">
        <f>IF($A127="","",[1]!thsiFinD("ths_adjustment_nv_fund",O$3,$A127))</f>
        <v/>
      </c>
      <c r="P127" s="13" t="str">
        <f>IF($A127="","",[1]!thsiFinD("ths_adjustment_nv_fund",P$3,$A127))</f>
        <v/>
      </c>
      <c r="Q127" s="13" t="str">
        <f>IF($A127="","",[1]!thsiFinD("ths_adjustment_nv_fund",Q$3,$A127))</f>
        <v/>
      </c>
      <c r="R127" s="13" t="str">
        <f>IF($A127="","",[1]!thsiFinD("ths_adjustment_nv_fund",R$3,$A127))</f>
        <v/>
      </c>
      <c r="S127" s="13" t="str">
        <f>IF($A127="","",[1]!thsiFinD("ths_adjustment_nv_fund",S$3,$A127))</f>
        <v/>
      </c>
      <c r="T127" s="13" t="str">
        <f>IF($A127="","",[1]!thsiFinD("ths_adjustment_nv_fund",T$3,$A127))</f>
        <v/>
      </c>
      <c r="U127" s="13" t="str">
        <f>IF($A127="","",[1]!thsiFinD("ths_adjustment_nv_fund",U$3,$A127))</f>
        <v/>
      </c>
      <c r="V127" s="13" t="str">
        <f>IF($A127="","",[1]!thsiFinD("ths_adjustment_nv_fund",V$3,$A127))</f>
        <v/>
      </c>
      <c r="W127" s="13" t="str">
        <f>IF($A127="","",[1]!thsiFinD("ths_adjustment_nv_fund",W$3,$A127))</f>
        <v/>
      </c>
      <c r="X127" s="13" t="str">
        <f>IF($A127="","",[1]!thsiFinD("ths_adjustment_nv_fund",X$3,$A127))</f>
        <v/>
      </c>
      <c r="Y127" s="13" t="str">
        <f>IF($A127="","",[1]!thsiFinD("ths_adjustment_nv_fund",Y$3,$A127))</f>
        <v/>
      </c>
      <c r="Z127" s="13" t="str">
        <f>IF($A127="","",[1]!thsiFinD("ths_adjustment_nv_fund",Z$3,$A127))</f>
        <v/>
      </c>
      <c r="AA127" s="13" t="str">
        <f>IF($A127="","",[1]!thsiFinD("ths_adjustment_nv_fund",AA$3,$A127))</f>
        <v/>
      </c>
    </row>
    <row r="128" spans="1:27">
      <c r="A128" s="8"/>
      <c r="B128" s="13" t="str">
        <f>IF($A128="","",[1]!thsiFinD("ths_adjustment_nv_fund",B$3,$A128))</f>
        <v/>
      </c>
      <c r="C128" s="13" t="str">
        <f>IF($A128="","",[1]!thsiFinD("ths_adjustment_nv_fund",C$3,$A128))</f>
        <v/>
      </c>
      <c r="D128" s="13" t="str">
        <f>IF($A128="","",[1]!thsiFinD("ths_adjustment_nv_fund",D$3,$A128))</f>
        <v/>
      </c>
      <c r="E128" s="13" t="str">
        <f>IF($A128="","",[1]!thsiFinD("ths_adjustment_nv_fund",E$3,$A128))</f>
        <v/>
      </c>
      <c r="F128" s="13" t="str">
        <f>IF($A128="","",[1]!thsiFinD("ths_adjustment_nv_fund",F$3,$A128))</f>
        <v/>
      </c>
      <c r="G128" s="13" t="str">
        <f>IF($A128="","",[1]!thsiFinD("ths_adjustment_nv_fund",G$3,$A128))</f>
        <v/>
      </c>
      <c r="H128" s="13" t="str">
        <f>IF($A128="","",[1]!thsiFinD("ths_adjustment_nv_fund",H$3,$A128))</f>
        <v/>
      </c>
      <c r="I128" s="13" t="str">
        <f>IF($A128="","",[1]!thsiFinD("ths_adjustment_nv_fund",I$3,$A128))</f>
        <v/>
      </c>
      <c r="J128" s="13" t="str">
        <f>IF($A128="","",[1]!thsiFinD("ths_adjustment_nv_fund",J$3,$A128))</f>
        <v/>
      </c>
      <c r="K128" s="13" t="str">
        <f>IF($A128="","",[1]!thsiFinD("ths_adjustment_nv_fund",K$3,$A128))</f>
        <v/>
      </c>
      <c r="L128" s="13" t="str">
        <f>IF($A128="","",[1]!thsiFinD("ths_adjustment_nv_fund",L$3,$A128))</f>
        <v/>
      </c>
      <c r="M128" s="13" t="str">
        <f>IF($A128="","",[1]!thsiFinD("ths_adjustment_nv_fund",M$3,$A128))</f>
        <v/>
      </c>
      <c r="N128" s="13" t="str">
        <f>IF($A128="","",[1]!thsiFinD("ths_adjustment_nv_fund",N$3,$A128))</f>
        <v/>
      </c>
      <c r="O128" s="13" t="str">
        <f>IF($A128="","",[1]!thsiFinD("ths_adjustment_nv_fund",O$3,$A128))</f>
        <v/>
      </c>
      <c r="P128" s="13" t="str">
        <f>IF($A128="","",[1]!thsiFinD("ths_adjustment_nv_fund",P$3,$A128))</f>
        <v/>
      </c>
      <c r="Q128" s="13" t="str">
        <f>IF($A128="","",[1]!thsiFinD("ths_adjustment_nv_fund",Q$3,$A128))</f>
        <v/>
      </c>
      <c r="R128" s="13" t="str">
        <f>IF($A128="","",[1]!thsiFinD("ths_adjustment_nv_fund",R$3,$A128))</f>
        <v/>
      </c>
      <c r="S128" s="13" t="str">
        <f>IF($A128="","",[1]!thsiFinD("ths_adjustment_nv_fund",S$3,$A128))</f>
        <v/>
      </c>
      <c r="T128" s="13" t="str">
        <f>IF($A128="","",[1]!thsiFinD("ths_adjustment_nv_fund",T$3,$A128))</f>
        <v/>
      </c>
      <c r="U128" s="13" t="str">
        <f>IF($A128="","",[1]!thsiFinD("ths_adjustment_nv_fund",U$3,$A128))</f>
        <v/>
      </c>
      <c r="V128" s="13" t="str">
        <f>IF($A128="","",[1]!thsiFinD("ths_adjustment_nv_fund",V$3,$A128))</f>
        <v/>
      </c>
      <c r="W128" s="13" t="str">
        <f>IF($A128="","",[1]!thsiFinD("ths_adjustment_nv_fund",W$3,$A128))</f>
        <v/>
      </c>
      <c r="X128" s="13" t="str">
        <f>IF($A128="","",[1]!thsiFinD("ths_adjustment_nv_fund",X$3,$A128))</f>
        <v/>
      </c>
      <c r="Y128" s="13" t="str">
        <f>IF($A128="","",[1]!thsiFinD("ths_adjustment_nv_fund",Y$3,$A128))</f>
        <v/>
      </c>
      <c r="Z128" s="13" t="str">
        <f>IF($A128="","",[1]!thsiFinD("ths_adjustment_nv_fund",Z$3,$A128))</f>
        <v/>
      </c>
      <c r="AA128" s="13" t="str">
        <f>IF($A128="","",[1]!thsiFinD("ths_adjustment_nv_fund",AA$3,$A128))</f>
        <v/>
      </c>
    </row>
    <row r="129" spans="1:28">
      <c r="A129" s="8"/>
      <c r="B129" s="13" t="str">
        <f>IF($A129="","",[1]!thsiFinD("ths_adjustment_nv_fund",B$3,$A129))</f>
        <v/>
      </c>
      <c r="C129" s="13" t="str">
        <f>IF($A129="","",[1]!thsiFinD("ths_adjustment_nv_fund",C$3,$A129))</f>
        <v/>
      </c>
      <c r="D129" s="13" t="str">
        <f>IF($A129="","",[1]!thsiFinD("ths_adjustment_nv_fund",D$3,$A129))</f>
        <v/>
      </c>
      <c r="E129" s="13" t="str">
        <f>IF($A129="","",[1]!thsiFinD("ths_adjustment_nv_fund",E$3,$A129))</f>
        <v/>
      </c>
      <c r="F129" s="13" t="str">
        <f>IF($A129="","",[1]!thsiFinD("ths_adjustment_nv_fund",F$3,$A129))</f>
        <v/>
      </c>
      <c r="G129" s="13" t="str">
        <f>IF($A129="","",[1]!thsiFinD("ths_adjustment_nv_fund",G$3,$A129))</f>
        <v/>
      </c>
      <c r="H129" s="13" t="str">
        <f>IF($A129="","",[1]!thsiFinD("ths_adjustment_nv_fund",H$3,$A129))</f>
        <v/>
      </c>
      <c r="I129" s="13" t="str">
        <f>IF($A129="","",[1]!thsiFinD("ths_adjustment_nv_fund",I$3,$A129))</f>
        <v/>
      </c>
      <c r="J129" s="13" t="str">
        <f>IF($A129="","",[1]!thsiFinD("ths_adjustment_nv_fund",J$3,$A129))</f>
        <v/>
      </c>
      <c r="K129" s="13" t="str">
        <f>IF($A129="","",[1]!thsiFinD("ths_adjustment_nv_fund",K$3,$A129))</f>
        <v/>
      </c>
      <c r="L129" s="13" t="str">
        <f>IF($A129="","",[1]!thsiFinD("ths_adjustment_nv_fund",L$3,$A129))</f>
        <v/>
      </c>
      <c r="M129" s="13" t="str">
        <f>IF($A129="","",[1]!thsiFinD("ths_adjustment_nv_fund",M$3,$A129))</f>
        <v/>
      </c>
      <c r="N129" s="13" t="str">
        <f>IF($A129="","",[1]!thsiFinD("ths_adjustment_nv_fund",N$3,$A129))</f>
        <v/>
      </c>
      <c r="O129" s="13" t="str">
        <f>IF($A129="","",[1]!thsiFinD("ths_adjustment_nv_fund",O$3,$A129))</f>
        <v/>
      </c>
      <c r="P129" s="13" t="str">
        <f>IF($A129="","",[1]!thsiFinD("ths_adjustment_nv_fund",P$3,$A129))</f>
        <v/>
      </c>
      <c r="Q129" s="13" t="str">
        <f>IF($A129="","",[1]!thsiFinD("ths_adjustment_nv_fund",Q$3,$A129))</f>
        <v/>
      </c>
      <c r="R129" s="13" t="str">
        <f>IF($A129="","",[1]!thsiFinD("ths_adjustment_nv_fund",R$3,$A129))</f>
        <v/>
      </c>
      <c r="S129" s="13" t="str">
        <f>IF($A129="","",[1]!thsiFinD("ths_adjustment_nv_fund",S$3,$A129))</f>
        <v/>
      </c>
      <c r="T129" s="13" t="str">
        <f>IF($A129="","",[1]!thsiFinD("ths_adjustment_nv_fund",T$3,$A129))</f>
        <v/>
      </c>
      <c r="U129" s="13" t="str">
        <f>IF($A129="","",[1]!thsiFinD("ths_adjustment_nv_fund",U$3,$A129))</f>
        <v/>
      </c>
      <c r="V129" s="13" t="str">
        <f>IF($A129="","",[1]!thsiFinD("ths_adjustment_nv_fund",V$3,$A129))</f>
        <v/>
      </c>
      <c r="W129" s="13" t="str">
        <f>IF($A129="","",[1]!thsiFinD("ths_adjustment_nv_fund",W$3,$A129))</f>
        <v/>
      </c>
      <c r="X129" s="13" t="str">
        <f>IF($A129="","",[1]!thsiFinD("ths_adjustment_nv_fund",X$3,$A129))</f>
        <v/>
      </c>
      <c r="Y129" s="13" t="str">
        <f>IF($A129="","",[1]!thsiFinD("ths_adjustment_nv_fund",Y$3,$A129))</f>
        <v/>
      </c>
      <c r="Z129" s="13" t="str">
        <f>IF($A129="","",[1]!thsiFinD("ths_adjustment_nv_fund",Z$3,$A129))</f>
        <v/>
      </c>
      <c r="AA129" s="13" t="str">
        <f>IF($A129="","",[1]!thsiFinD("ths_adjustment_nv_fund",AA$3,$A129))</f>
        <v/>
      </c>
    </row>
    <row r="130" spans="1:28">
      <c r="A130" s="8"/>
      <c r="B130" s="13" t="str">
        <f>IF($A130="","",[1]!thsiFinD("ths_adjustment_nv_fund",B$3,$A130))</f>
        <v/>
      </c>
      <c r="C130" s="13" t="str">
        <f>IF($A130="","",[1]!thsiFinD("ths_adjustment_nv_fund",C$3,$A130))</f>
        <v/>
      </c>
      <c r="D130" s="13" t="str">
        <f>IF($A130="","",[1]!thsiFinD("ths_adjustment_nv_fund",D$3,$A130))</f>
        <v/>
      </c>
      <c r="E130" s="13" t="str">
        <f>IF($A130="","",[1]!thsiFinD("ths_adjustment_nv_fund",E$3,$A130))</f>
        <v/>
      </c>
      <c r="F130" s="13" t="str">
        <f>IF($A130="","",[1]!thsiFinD("ths_adjustment_nv_fund",F$3,$A130))</f>
        <v/>
      </c>
      <c r="G130" s="13" t="str">
        <f>IF($A130="","",[1]!thsiFinD("ths_adjustment_nv_fund",G$3,$A130))</f>
        <v/>
      </c>
      <c r="H130" s="13" t="str">
        <f>IF($A130="","",[1]!thsiFinD("ths_adjustment_nv_fund",H$3,$A130))</f>
        <v/>
      </c>
      <c r="I130" s="13" t="str">
        <f>IF($A130="","",[1]!thsiFinD("ths_adjustment_nv_fund",I$3,$A130))</f>
        <v/>
      </c>
      <c r="J130" s="13" t="str">
        <f>IF($A130="","",[1]!thsiFinD("ths_adjustment_nv_fund",J$3,$A130))</f>
        <v/>
      </c>
      <c r="K130" s="13" t="str">
        <f>IF($A130="","",[1]!thsiFinD("ths_adjustment_nv_fund",K$3,$A130))</f>
        <v/>
      </c>
      <c r="L130" s="13" t="str">
        <f>IF($A130="","",[1]!thsiFinD("ths_adjustment_nv_fund",L$3,$A130))</f>
        <v/>
      </c>
      <c r="M130" s="13" t="str">
        <f>IF($A130="","",[1]!thsiFinD("ths_adjustment_nv_fund",M$3,$A130))</f>
        <v/>
      </c>
      <c r="N130" s="13" t="str">
        <f>IF($A130="","",[1]!thsiFinD("ths_adjustment_nv_fund",N$3,$A130))</f>
        <v/>
      </c>
      <c r="O130" s="13" t="str">
        <f>IF($A130="","",[1]!thsiFinD("ths_adjustment_nv_fund",O$3,$A130))</f>
        <v/>
      </c>
      <c r="P130" s="13" t="str">
        <f>IF($A130="","",[1]!thsiFinD("ths_adjustment_nv_fund",P$3,$A130))</f>
        <v/>
      </c>
      <c r="Q130" s="13" t="str">
        <f>IF($A130="","",[1]!thsiFinD("ths_adjustment_nv_fund",Q$3,$A130))</f>
        <v/>
      </c>
      <c r="R130" s="13" t="str">
        <f>IF($A130="","",[1]!thsiFinD("ths_adjustment_nv_fund",R$3,$A130))</f>
        <v/>
      </c>
      <c r="S130" s="13" t="str">
        <f>IF($A130="","",[1]!thsiFinD("ths_adjustment_nv_fund",S$3,$A130))</f>
        <v/>
      </c>
      <c r="T130" s="13" t="str">
        <f>IF($A130="","",[1]!thsiFinD("ths_adjustment_nv_fund",T$3,$A130))</f>
        <v/>
      </c>
      <c r="U130" s="13" t="str">
        <f>IF($A130="","",[1]!thsiFinD("ths_adjustment_nv_fund",U$3,$A130))</f>
        <v/>
      </c>
      <c r="V130" s="13" t="str">
        <f>IF($A130="","",[1]!thsiFinD("ths_adjustment_nv_fund",V$3,$A130))</f>
        <v/>
      </c>
      <c r="W130" s="13" t="str">
        <f>IF($A130="","",[1]!thsiFinD("ths_adjustment_nv_fund",W$3,$A130))</f>
        <v/>
      </c>
      <c r="X130" s="13" t="str">
        <f>IF($A130="","",[1]!thsiFinD("ths_adjustment_nv_fund",X$3,$A130))</f>
        <v/>
      </c>
      <c r="Y130" s="13" t="str">
        <f>IF($A130="","",[1]!thsiFinD("ths_adjustment_nv_fund",Y$3,$A130))</f>
        <v/>
      </c>
      <c r="Z130" s="13" t="str">
        <f>IF($A130="","",[1]!thsiFinD("ths_adjustment_nv_fund",Z$3,$A130))</f>
        <v/>
      </c>
      <c r="AA130" s="13" t="str">
        <f>IF($A130="","",[1]!thsiFinD("ths_adjustment_nv_fund",AA$3,$A130))</f>
        <v/>
      </c>
    </row>
    <row r="131" spans="1:28">
      <c r="A131" s="8"/>
      <c r="B131" s="13" t="str">
        <f>IF($A131="","",[1]!thsiFinD("ths_adjustment_nv_fund",B$3,$A131))</f>
        <v/>
      </c>
      <c r="C131" s="13" t="str">
        <f>IF($A131="","",[1]!thsiFinD("ths_adjustment_nv_fund",C$3,$A131))</f>
        <v/>
      </c>
      <c r="D131" s="13" t="str">
        <f>IF($A131="","",[1]!thsiFinD("ths_adjustment_nv_fund",D$3,$A131))</f>
        <v/>
      </c>
      <c r="E131" s="13" t="str">
        <f>IF($A131="","",[1]!thsiFinD("ths_adjustment_nv_fund",E$3,$A131))</f>
        <v/>
      </c>
      <c r="F131" s="13" t="str">
        <f>IF($A131="","",[1]!thsiFinD("ths_adjustment_nv_fund",F$3,$A131))</f>
        <v/>
      </c>
      <c r="G131" s="13" t="str">
        <f>IF($A131="","",[1]!thsiFinD("ths_adjustment_nv_fund",G$3,$A131))</f>
        <v/>
      </c>
      <c r="H131" s="13" t="str">
        <f>IF($A131="","",[1]!thsiFinD("ths_adjustment_nv_fund",H$3,$A131))</f>
        <v/>
      </c>
      <c r="I131" s="13" t="str">
        <f>IF($A131="","",[1]!thsiFinD("ths_adjustment_nv_fund",I$3,$A131))</f>
        <v/>
      </c>
      <c r="J131" s="13" t="str">
        <f>IF($A131="","",[1]!thsiFinD("ths_adjustment_nv_fund",J$3,$A131))</f>
        <v/>
      </c>
      <c r="K131" s="13" t="str">
        <f>IF($A131="","",[1]!thsiFinD("ths_adjustment_nv_fund",K$3,$A131))</f>
        <v/>
      </c>
      <c r="L131" s="13" t="str">
        <f>IF($A131="","",[1]!thsiFinD("ths_adjustment_nv_fund",L$3,$A131))</f>
        <v/>
      </c>
      <c r="M131" s="13" t="str">
        <f>IF($A131="","",[1]!thsiFinD("ths_adjustment_nv_fund",M$3,$A131))</f>
        <v/>
      </c>
      <c r="N131" s="13" t="str">
        <f>IF($A131="","",[1]!thsiFinD("ths_adjustment_nv_fund",N$3,$A131))</f>
        <v/>
      </c>
      <c r="O131" s="13" t="str">
        <f>IF($A131="","",[1]!thsiFinD("ths_adjustment_nv_fund",O$3,$A131))</f>
        <v/>
      </c>
      <c r="P131" s="13" t="str">
        <f>IF($A131="","",[1]!thsiFinD("ths_adjustment_nv_fund",P$3,$A131))</f>
        <v/>
      </c>
      <c r="Q131" s="13" t="str">
        <f>IF($A131="","",[1]!thsiFinD("ths_adjustment_nv_fund",Q$3,$A131))</f>
        <v/>
      </c>
      <c r="R131" s="13" t="str">
        <f>IF($A131="","",[1]!thsiFinD("ths_adjustment_nv_fund",R$3,$A131))</f>
        <v/>
      </c>
      <c r="S131" s="13" t="str">
        <f>IF($A131="","",[1]!thsiFinD("ths_adjustment_nv_fund",S$3,$A131))</f>
        <v/>
      </c>
      <c r="T131" s="13" t="str">
        <f>IF($A131="","",[1]!thsiFinD("ths_adjustment_nv_fund",T$3,$A131))</f>
        <v/>
      </c>
      <c r="U131" s="13" t="str">
        <f>IF($A131="","",[1]!thsiFinD("ths_adjustment_nv_fund",U$3,$A131))</f>
        <v/>
      </c>
      <c r="V131" s="13" t="str">
        <f>IF($A131="","",[1]!thsiFinD("ths_adjustment_nv_fund",V$3,$A131))</f>
        <v/>
      </c>
      <c r="W131" s="13" t="str">
        <f>IF($A131="","",[1]!thsiFinD("ths_adjustment_nv_fund",W$3,$A131))</f>
        <v/>
      </c>
      <c r="X131" s="13" t="str">
        <f>IF($A131="","",[1]!thsiFinD("ths_adjustment_nv_fund",X$3,$A131))</f>
        <v/>
      </c>
      <c r="Y131" s="13" t="str">
        <f>IF($A131="","",[1]!thsiFinD("ths_adjustment_nv_fund",Y$3,$A131))</f>
        <v/>
      </c>
      <c r="Z131" s="13" t="str">
        <f>IF($A131="","",[1]!thsiFinD("ths_adjustment_nv_fund",Z$3,$A131))</f>
        <v/>
      </c>
      <c r="AA131" s="13" t="str">
        <f>IF($A131="","",[1]!thsiFinD("ths_adjustment_nv_fund",AA$3,$A131))</f>
        <v/>
      </c>
    </row>
    <row r="132" spans="1:28">
      <c r="A132" s="8"/>
      <c r="B132" s="13" t="str">
        <f>IF($A132="","",[1]!thsiFinD("ths_adjustment_nv_fund",B$3,$A132))</f>
        <v/>
      </c>
      <c r="C132" s="13" t="str">
        <f>IF($A132="","",[1]!thsiFinD("ths_adjustment_nv_fund",C$3,$A132))</f>
        <v/>
      </c>
      <c r="D132" s="13" t="str">
        <f>IF($A132="","",[1]!thsiFinD("ths_adjustment_nv_fund",D$3,$A132))</f>
        <v/>
      </c>
      <c r="E132" s="13" t="str">
        <f>IF($A132="","",[1]!thsiFinD("ths_adjustment_nv_fund",E$3,$A132))</f>
        <v/>
      </c>
      <c r="F132" s="13" t="str">
        <f>IF($A132="","",[1]!thsiFinD("ths_adjustment_nv_fund",F$3,$A132))</f>
        <v/>
      </c>
      <c r="G132" s="13" t="str">
        <f>IF($A132="","",[1]!thsiFinD("ths_adjustment_nv_fund",G$3,$A132))</f>
        <v/>
      </c>
      <c r="H132" s="13" t="str">
        <f>IF($A132="","",[1]!thsiFinD("ths_adjustment_nv_fund",H$3,$A132))</f>
        <v/>
      </c>
      <c r="I132" s="13" t="str">
        <f>IF($A132="","",[1]!thsiFinD("ths_adjustment_nv_fund",I$3,$A132))</f>
        <v/>
      </c>
      <c r="J132" s="13" t="str">
        <f>IF($A132="","",[1]!thsiFinD("ths_adjustment_nv_fund",J$3,$A132))</f>
        <v/>
      </c>
      <c r="K132" s="13" t="str">
        <f>IF($A132="","",[1]!thsiFinD("ths_adjustment_nv_fund",K$3,$A132))</f>
        <v/>
      </c>
      <c r="L132" s="13" t="str">
        <f>IF($A132="","",[1]!thsiFinD("ths_adjustment_nv_fund",L$3,$A132))</f>
        <v/>
      </c>
      <c r="M132" s="13" t="str">
        <f>IF($A132="","",[1]!thsiFinD("ths_adjustment_nv_fund",M$3,$A132))</f>
        <v/>
      </c>
      <c r="N132" s="13" t="str">
        <f>IF($A132="","",[1]!thsiFinD("ths_adjustment_nv_fund",N$3,$A132))</f>
        <v/>
      </c>
      <c r="O132" s="13" t="str">
        <f>IF($A132="","",[1]!thsiFinD("ths_adjustment_nv_fund",O$3,$A132))</f>
        <v/>
      </c>
      <c r="P132" s="13" t="str">
        <f>IF($A132="","",[1]!thsiFinD("ths_adjustment_nv_fund",P$3,$A132))</f>
        <v/>
      </c>
      <c r="Q132" s="13" t="str">
        <f>IF($A132="","",[1]!thsiFinD("ths_adjustment_nv_fund",Q$3,$A132))</f>
        <v/>
      </c>
      <c r="R132" s="13" t="str">
        <f>IF($A132="","",[1]!thsiFinD("ths_adjustment_nv_fund",R$3,$A132))</f>
        <v/>
      </c>
      <c r="S132" s="13" t="str">
        <f>IF($A132="","",[1]!thsiFinD("ths_adjustment_nv_fund",S$3,$A132))</f>
        <v/>
      </c>
      <c r="T132" s="13" t="str">
        <f>IF($A132="","",[1]!thsiFinD("ths_adjustment_nv_fund",T$3,$A132))</f>
        <v/>
      </c>
      <c r="U132" s="13" t="str">
        <f>IF($A132="","",[1]!thsiFinD("ths_adjustment_nv_fund",U$3,$A132))</f>
        <v/>
      </c>
      <c r="V132" s="13" t="str">
        <f>IF($A132="","",[1]!thsiFinD("ths_adjustment_nv_fund",V$3,$A132))</f>
        <v/>
      </c>
      <c r="W132" s="13" t="str">
        <f>IF($A132="","",[1]!thsiFinD("ths_adjustment_nv_fund",W$3,$A132))</f>
        <v/>
      </c>
      <c r="X132" s="13" t="str">
        <f>IF($A132="","",[1]!thsiFinD("ths_adjustment_nv_fund",X$3,$A132))</f>
        <v/>
      </c>
      <c r="Y132" s="13" t="str">
        <f>IF($A132="","",[1]!thsiFinD("ths_adjustment_nv_fund",Y$3,$A132))</f>
        <v/>
      </c>
      <c r="Z132" s="13" t="str">
        <f>IF($A132="","",[1]!thsiFinD("ths_adjustment_nv_fund",Z$3,$A132))</f>
        <v/>
      </c>
      <c r="AA132" s="13" t="str">
        <f>IF($A132="","",[1]!thsiFinD("ths_adjustment_nv_fund",AA$3,$A132))</f>
        <v/>
      </c>
    </row>
    <row r="133" spans="1:28">
      <c r="A133" s="8"/>
      <c r="B133" s="13" t="str">
        <f>IF($A133="","",[1]!thsiFinD("ths_adjustment_nv_fund",B$3,$A133))</f>
        <v/>
      </c>
      <c r="C133" s="13" t="str">
        <f>IF($A133="","",[1]!thsiFinD("ths_adjustment_nv_fund",C$3,$A133))</f>
        <v/>
      </c>
      <c r="D133" s="13" t="str">
        <f>IF($A133="","",[1]!thsiFinD("ths_adjustment_nv_fund",D$3,$A133))</f>
        <v/>
      </c>
      <c r="E133" s="13" t="str">
        <f>IF($A133="","",[1]!thsiFinD("ths_adjustment_nv_fund",E$3,$A133))</f>
        <v/>
      </c>
      <c r="F133" s="13" t="str">
        <f>IF($A133="","",[1]!thsiFinD("ths_adjustment_nv_fund",F$3,$A133))</f>
        <v/>
      </c>
      <c r="G133" s="13" t="str">
        <f>IF($A133="","",[1]!thsiFinD("ths_adjustment_nv_fund",G$3,$A133))</f>
        <v/>
      </c>
      <c r="H133" s="13" t="str">
        <f>IF($A133="","",[1]!thsiFinD("ths_adjustment_nv_fund",H$3,$A133))</f>
        <v/>
      </c>
      <c r="I133" s="13" t="str">
        <f>IF($A133="","",[1]!thsiFinD("ths_adjustment_nv_fund",I$3,$A133))</f>
        <v/>
      </c>
      <c r="J133" s="13" t="str">
        <f>IF($A133="","",[1]!thsiFinD("ths_adjustment_nv_fund",J$3,$A133))</f>
        <v/>
      </c>
      <c r="K133" s="13" t="str">
        <f>IF($A133="","",[1]!thsiFinD("ths_adjustment_nv_fund",K$3,$A133))</f>
        <v/>
      </c>
      <c r="L133" s="13" t="str">
        <f>IF($A133="","",[1]!thsiFinD("ths_adjustment_nv_fund",L$3,$A133))</f>
        <v/>
      </c>
      <c r="M133" s="13" t="str">
        <f>IF($A133="","",[1]!thsiFinD("ths_adjustment_nv_fund",M$3,$A133))</f>
        <v/>
      </c>
      <c r="N133" s="13" t="str">
        <f>IF($A133="","",[1]!thsiFinD("ths_adjustment_nv_fund",N$3,$A133))</f>
        <v/>
      </c>
      <c r="O133" s="13" t="str">
        <f>IF($A133="","",[1]!thsiFinD("ths_adjustment_nv_fund",O$3,$A133))</f>
        <v/>
      </c>
      <c r="P133" s="13" t="str">
        <f>IF($A133="","",[1]!thsiFinD("ths_adjustment_nv_fund",P$3,$A133))</f>
        <v/>
      </c>
      <c r="Q133" s="13" t="str">
        <f>IF($A133="","",[1]!thsiFinD("ths_adjustment_nv_fund",Q$3,$A133))</f>
        <v/>
      </c>
      <c r="R133" s="13" t="str">
        <f>IF($A133="","",[1]!thsiFinD("ths_adjustment_nv_fund",R$3,$A133))</f>
        <v/>
      </c>
      <c r="S133" s="13" t="str">
        <f>IF($A133="","",[1]!thsiFinD("ths_adjustment_nv_fund",S$3,$A133))</f>
        <v/>
      </c>
      <c r="T133" s="13" t="str">
        <f>IF($A133="","",[1]!thsiFinD("ths_adjustment_nv_fund",T$3,$A133))</f>
        <v/>
      </c>
      <c r="U133" s="13" t="str">
        <f>IF($A133="","",[1]!thsiFinD("ths_adjustment_nv_fund",U$3,$A133))</f>
        <v/>
      </c>
      <c r="V133" s="13" t="str">
        <f>IF($A133="","",[1]!thsiFinD("ths_adjustment_nv_fund",V$3,$A133))</f>
        <v/>
      </c>
      <c r="W133" s="13" t="str">
        <f>IF($A133="","",[1]!thsiFinD("ths_adjustment_nv_fund",W$3,$A133))</f>
        <v/>
      </c>
      <c r="X133" s="13" t="str">
        <f>IF($A133="","",[1]!thsiFinD("ths_adjustment_nv_fund",X$3,$A133))</f>
        <v/>
      </c>
      <c r="Y133" s="13" t="str">
        <f>IF($A133="","",[1]!thsiFinD("ths_adjustment_nv_fund",Y$3,$A133))</f>
        <v/>
      </c>
      <c r="Z133" s="13" t="str">
        <f>IF($A133="","",[1]!thsiFinD("ths_adjustment_nv_fund",Z$3,$A133))</f>
        <v/>
      </c>
      <c r="AA133" s="13" t="str">
        <f>IF($A133="","",[1]!thsiFinD("ths_adjustment_nv_fund",AA$3,$A133))</f>
        <v/>
      </c>
    </row>
    <row r="134" spans="1:28">
      <c r="B134" s="13" t="str">
        <f>IF($A134="","",[1]!thsiFinD("ths_adjustment_nv_fund",B$3,$A134))</f>
        <v/>
      </c>
      <c r="C134" s="13" t="str">
        <f>IF($A134="","",[1]!thsiFinD("ths_adjustment_nv_fund",C$3,$A134))</f>
        <v/>
      </c>
      <c r="D134" s="13" t="str">
        <f>IF($A134="","",[1]!thsiFinD("ths_adjustment_nv_fund",D$3,$A134))</f>
        <v/>
      </c>
      <c r="E134" s="13" t="str">
        <f>IF($A134="","",[1]!thsiFinD("ths_adjustment_nv_fund",E$3,$A134))</f>
        <v/>
      </c>
      <c r="F134" s="13" t="str">
        <f>IF($A134="","",[1]!thsiFinD("ths_adjustment_nv_fund",F$3,$A134))</f>
        <v/>
      </c>
      <c r="G134" s="13" t="str">
        <f>IF($A134="","",[1]!thsiFinD("ths_adjustment_nv_fund",G$3,$A134))</f>
        <v/>
      </c>
      <c r="H134" s="13" t="str">
        <f>IF($A134="","",[1]!thsiFinD("ths_adjustment_nv_fund",H$3,$A134))</f>
        <v/>
      </c>
      <c r="I134" s="13" t="str">
        <f>IF($A134="","",[1]!thsiFinD("ths_adjustment_nv_fund",I$3,$A134))</f>
        <v/>
      </c>
      <c r="J134" s="13" t="str">
        <f>IF($A134="","",[1]!thsiFinD("ths_adjustment_nv_fund",J$3,$A134))</f>
        <v/>
      </c>
      <c r="K134" s="13" t="str">
        <f>IF($A134="","",[1]!thsiFinD("ths_adjustment_nv_fund",K$3,$A134))</f>
        <v/>
      </c>
      <c r="L134" s="13" t="str">
        <f>IF($A134="","",[1]!thsiFinD("ths_adjustment_nv_fund",L$3,$A134))</f>
        <v/>
      </c>
      <c r="M134" s="13" t="str">
        <f>IF($A134="","",[1]!thsiFinD("ths_adjustment_nv_fund",M$3,$A134))</f>
        <v/>
      </c>
      <c r="N134" s="13" t="str">
        <f>IF($A134="","",[1]!thsiFinD("ths_adjustment_nv_fund",N$3,$A134))</f>
        <v/>
      </c>
      <c r="O134" s="13" t="str">
        <f>IF($A134="","",[1]!thsiFinD("ths_adjustment_nv_fund",O$3,$A134))</f>
        <v/>
      </c>
      <c r="P134" s="13" t="str">
        <f>IF($A134="","",[1]!thsiFinD("ths_adjustment_nv_fund",P$3,$A134))</f>
        <v/>
      </c>
      <c r="Q134" s="13" t="str">
        <f>IF($A134="","",[1]!thsiFinD("ths_adjustment_nv_fund",Q$3,$A134))</f>
        <v/>
      </c>
      <c r="R134" s="13" t="str">
        <f>IF($A134="","",[1]!thsiFinD("ths_adjustment_nv_fund",R$3,$A134))</f>
        <v/>
      </c>
      <c r="S134" s="13" t="str">
        <f>IF($A134="","",[1]!thsiFinD("ths_adjustment_nv_fund",S$3,$A134))</f>
        <v/>
      </c>
      <c r="T134" s="13" t="str">
        <f>IF($A134="","",[1]!thsiFinD("ths_adjustment_nv_fund",T$3,$A134))</f>
        <v/>
      </c>
      <c r="U134" s="13" t="str">
        <f>IF($A134="","",[1]!thsiFinD("ths_adjustment_nv_fund",U$3,$A134))</f>
        <v/>
      </c>
      <c r="V134" s="13" t="str">
        <f>IF($A134="","",[1]!thsiFinD("ths_adjustment_nv_fund",V$3,$A134))</f>
        <v/>
      </c>
      <c r="W134" s="13" t="str">
        <f>IF($A134="","",[1]!thsiFinD("ths_adjustment_nv_fund",W$3,$A134))</f>
        <v/>
      </c>
      <c r="X134" s="13" t="str">
        <f>IF($A134="","",[1]!thsiFinD("ths_adjustment_nv_fund",X$3,$A134))</f>
        <v/>
      </c>
      <c r="Y134" s="13" t="str">
        <f>IF($A134="","",[1]!thsiFinD("ths_adjustment_nv_fund",Y$3,$A134))</f>
        <v/>
      </c>
      <c r="Z134" s="13" t="str">
        <f>IF($A134="","",[1]!thsiFinD("ths_adjustment_nv_fund",Z$3,$A134))</f>
        <v/>
      </c>
      <c r="AA134" s="13" t="str">
        <f>IF($A134="","",[1]!thsiFinD("ths_adjustment_nv_fund",AA$3,$A134))</f>
        <v/>
      </c>
      <c r="AB134" s="13" t="str">
        <f>IF($A134="","",[1]!thsiFinD("ths_adjustment_nv_fund",AB$3,$A134))</f>
        <v/>
      </c>
    </row>
    <row r="135" spans="1:28">
      <c r="B135" s="13" t="str">
        <f>IF($A135="","",[1]!thsiFinD("ths_adjustment_nv_fund",B$3,$A135))</f>
        <v/>
      </c>
      <c r="C135" s="13" t="str">
        <f>IF($A135="","",[1]!thsiFinD("ths_adjustment_nv_fund",C$3,$A135))</f>
        <v/>
      </c>
      <c r="D135" s="13" t="str">
        <f>IF($A135="","",[1]!thsiFinD("ths_adjustment_nv_fund",D$3,$A135))</f>
        <v/>
      </c>
      <c r="E135" s="13" t="str">
        <f>IF($A135="","",[1]!thsiFinD("ths_adjustment_nv_fund",E$3,$A135))</f>
        <v/>
      </c>
      <c r="F135" s="13" t="str">
        <f>IF($A135="","",[1]!thsiFinD("ths_adjustment_nv_fund",F$3,$A135))</f>
        <v/>
      </c>
      <c r="G135" s="13" t="str">
        <f>IF($A135="","",[1]!thsiFinD("ths_adjustment_nv_fund",G$3,$A135))</f>
        <v/>
      </c>
      <c r="H135" s="13" t="str">
        <f>IF($A135="","",[1]!thsiFinD("ths_adjustment_nv_fund",H$3,$A135))</f>
        <v/>
      </c>
      <c r="I135" s="13" t="str">
        <f>IF($A135="","",[1]!thsiFinD("ths_adjustment_nv_fund",I$3,$A135))</f>
        <v/>
      </c>
      <c r="J135" s="13" t="str">
        <f>IF($A135="","",[1]!thsiFinD("ths_adjustment_nv_fund",J$3,$A135))</f>
        <v/>
      </c>
      <c r="K135" s="13" t="str">
        <f>IF($A135="","",[1]!thsiFinD("ths_adjustment_nv_fund",K$3,$A135))</f>
        <v/>
      </c>
      <c r="L135" s="13" t="str">
        <f>IF($A135="","",[1]!thsiFinD("ths_adjustment_nv_fund",L$3,$A135))</f>
        <v/>
      </c>
      <c r="M135" s="13" t="str">
        <f>IF($A135="","",[1]!thsiFinD("ths_adjustment_nv_fund",M$3,$A135))</f>
        <v/>
      </c>
      <c r="N135" s="13" t="str">
        <f>IF($A135="","",[1]!thsiFinD("ths_adjustment_nv_fund",N$3,$A135))</f>
        <v/>
      </c>
      <c r="O135" s="13" t="str">
        <f>IF($A135="","",[1]!thsiFinD("ths_adjustment_nv_fund",O$3,$A135))</f>
        <v/>
      </c>
      <c r="P135" s="13" t="str">
        <f>IF($A135="","",[1]!thsiFinD("ths_adjustment_nv_fund",P$3,$A135))</f>
        <v/>
      </c>
      <c r="Q135" s="13" t="str">
        <f>IF($A135="","",[1]!thsiFinD("ths_adjustment_nv_fund",Q$3,$A135))</f>
        <v/>
      </c>
      <c r="R135" s="13" t="str">
        <f>IF($A135="","",[1]!thsiFinD("ths_adjustment_nv_fund",R$3,$A135))</f>
        <v/>
      </c>
      <c r="S135" s="13" t="str">
        <f>IF($A135="","",[1]!thsiFinD("ths_adjustment_nv_fund",S$3,$A135))</f>
        <v/>
      </c>
      <c r="T135" s="13" t="str">
        <f>IF($A135="","",[1]!thsiFinD("ths_adjustment_nv_fund",T$3,$A135))</f>
        <v/>
      </c>
      <c r="U135" s="13" t="str">
        <f>IF($A135="","",[1]!thsiFinD("ths_adjustment_nv_fund",U$3,$A135))</f>
        <v/>
      </c>
      <c r="V135" s="13" t="str">
        <f>IF($A135="","",[1]!thsiFinD("ths_adjustment_nv_fund",V$3,$A135))</f>
        <v/>
      </c>
      <c r="W135" s="13" t="str">
        <f>IF($A135="","",[1]!thsiFinD("ths_adjustment_nv_fund",W$3,$A135))</f>
        <v/>
      </c>
      <c r="X135" s="13" t="str">
        <f>IF($A135="","",[1]!thsiFinD("ths_adjustment_nv_fund",X$3,$A135))</f>
        <v/>
      </c>
      <c r="Y135" s="13" t="str">
        <f>IF($A135="","",[1]!thsiFinD("ths_adjustment_nv_fund",Y$3,$A135))</f>
        <v/>
      </c>
      <c r="Z135" s="13" t="str">
        <f>IF($A135="","",[1]!thsiFinD("ths_adjustment_nv_fund",Z$3,$A135))</f>
        <v/>
      </c>
      <c r="AA135" s="13" t="str">
        <f>IF($A135="","",[1]!thsiFinD("ths_adjustment_nv_fund",AA$3,$A135))</f>
        <v/>
      </c>
      <c r="AB135" s="13" t="str">
        <f>IF($A135="","",[1]!thsiFinD("ths_adjustment_nv_fund",AB$3,$A135))</f>
        <v/>
      </c>
    </row>
    <row r="136" spans="1:28">
      <c r="B136" s="13" t="str">
        <f>IF($A136="","",[1]!thsiFinD("ths_adjustment_nv_fund",B$3,$A136))</f>
        <v/>
      </c>
      <c r="C136" s="13" t="str">
        <f>IF($A136="","",[1]!thsiFinD("ths_adjustment_nv_fund",C$3,$A136))</f>
        <v/>
      </c>
      <c r="D136" s="13" t="str">
        <f>IF($A136="","",[1]!thsiFinD("ths_adjustment_nv_fund",D$3,$A136))</f>
        <v/>
      </c>
      <c r="E136" s="13" t="str">
        <f>IF($A136="","",[1]!thsiFinD("ths_adjustment_nv_fund",E$3,$A136))</f>
        <v/>
      </c>
      <c r="F136" s="13" t="str">
        <f>IF($A136="","",[1]!thsiFinD("ths_adjustment_nv_fund",F$3,$A136))</f>
        <v/>
      </c>
      <c r="G136" s="13" t="str">
        <f>IF($A136="","",[1]!thsiFinD("ths_adjustment_nv_fund",G$3,$A136))</f>
        <v/>
      </c>
      <c r="H136" s="13" t="str">
        <f>IF($A136="","",[1]!thsiFinD("ths_adjustment_nv_fund",H$3,$A136))</f>
        <v/>
      </c>
      <c r="I136" s="13" t="str">
        <f>IF($A136="","",[1]!thsiFinD("ths_adjustment_nv_fund",I$3,$A136))</f>
        <v/>
      </c>
      <c r="J136" s="13" t="str">
        <f>IF($A136="","",[1]!thsiFinD("ths_adjustment_nv_fund",J$3,$A136))</f>
        <v/>
      </c>
      <c r="K136" s="13" t="str">
        <f>IF($A136="","",[1]!thsiFinD("ths_adjustment_nv_fund",K$3,$A136))</f>
        <v/>
      </c>
      <c r="L136" s="13" t="str">
        <f>IF($A136="","",[1]!thsiFinD("ths_adjustment_nv_fund",L$3,$A136))</f>
        <v/>
      </c>
      <c r="M136" s="13" t="str">
        <f>IF($A136="","",[1]!thsiFinD("ths_adjustment_nv_fund",M$3,$A136))</f>
        <v/>
      </c>
      <c r="N136" s="13" t="str">
        <f>IF($A136="","",[1]!thsiFinD("ths_adjustment_nv_fund",N$3,$A136))</f>
        <v/>
      </c>
      <c r="O136" s="13" t="str">
        <f>IF($A136="","",[1]!thsiFinD("ths_adjustment_nv_fund",O$3,$A136))</f>
        <v/>
      </c>
      <c r="P136" s="13" t="str">
        <f>IF($A136="","",[1]!thsiFinD("ths_adjustment_nv_fund",P$3,$A136))</f>
        <v/>
      </c>
      <c r="Q136" s="13" t="str">
        <f>IF($A136="","",[1]!thsiFinD("ths_adjustment_nv_fund",Q$3,$A136))</f>
        <v/>
      </c>
      <c r="R136" s="13" t="str">
        <f>IF($A136="","",[1]!thsiFinD("ths_adjustment_nv_fund",R$3,$A136))</f>
        <v/>
      </c>
      <c r="S136" s="13" t="str">
        <f>IF($A136="","",[1]!thsiFinD("ths_adjustment_nv_fund",S$3,$A136))</f>
        <v/>
      </c>
      <c r="T136" s="13" t="str">
        <f>IF($A136="","",[1]!thsiFinD("ths_adjustment_nv_fund",T$3,$A136))</f>
        <v/>
      </c>
      <c r="U136" s="13" t="str">
        <f>IF($A136="","",[1]!thsiFinD("ths_adjustment_nv_fund",U$3,$A136))</f>
        <v/>
      </c>
      <c r="V136" s="13" t="str">
        <f>IF($A136="","",[1]!thsiFinD("ths_adjustment_nv_fund",V$3,$A136))</f>
        <v/>
      </c>
      <c r="W136" s="13" t="str">
        <f>IF($A136="","",[1]!thsiFinD("ths_adjustment_nv_fund",W$3,$A136))</f>
        <v/>
      </c>
      <c r="X136" s="13" t="str">
        <f>IF($A136="","",[1]!thsiFinD("ths_adjustment_nv_fund",X$3,$A136))</f>
        <v/>
      </c>
      <c r="Y136" s="13" t="str">
        <f>IF($A136="","",[1]!thsiFinD("ths_adjustment_nv_fund",Y$3,$A136))</f>
        <v/>
      </c>
      <c r="Z136" s="13" t="str">
        <f>IF($A136="","",[1]!thsiFinD("ths_adjustment_nv_fund",Z$3,$A136))</f>
        <v/>
      </c>
      <c r="AA136" s="13" t="str">
        <f>IF($A136="","",[1]!thsiFinD("ths_adjustment_nv_fund",AA$3,$A136))</f>
        <v/>
      </c>
      <c r="AB136" s="13" t="str">
        <f>IF($A136="","",[1]!thsiFinD("ths_adjustment_nv_fund",AB$3,$A136))</f>
        <v/>
      </c>
    </row>
    <row r="137" spans="1:28">
      <c r="B137" s="13" t="str">
        <f>IF($A137="","",[1]!thsiFinD("ths_adjustment_nv_fund",B$3,$A137))</f>
        <v/>
      </c>
      <c r="C137" s="13" t="str">
        <f>IF($A137="","",[1]!thsiFinD("ths_adjustment_nv_fund",C$3,$A137))</f>
        <v/>
      </c>
      <c r="D137" s="13" t="str">
        <f>IF($A137="","",[1]!thsiFinD("ths_adjustment_nv_fund",D$3,$A137))</f>
        <v/>
      </c>
      <c r="E137" s="13" t="str">
        <f>IF($A137="","",[1]!thsiFinD("ths_adjustment_nv_fund",E$3,$A137))</f>
        <v/>
      </c>
      <c r="F137" s="13" t="str">
        <f>IF($A137="","",[1]!thsiFinD("ths_adjustment_nv_fund",F$3,$A137))</f>
        <v/>
      </c>
      <c r="G137" s="13" t="str">
        <f>IF($A137="","",[1]!thsiFinD("ths_adjustment_nv_fund",G$3,$A137))</f>
        <v/>
      </c>
      <c r="H137" s="13" t="str">
        <f>IF($A137="","",[1]!thsiFinD("ths_adjustment_nv_fund",H$3,$A137))</f>
        <v/>
      </c>
      <c r="I137" s="13" t="str">
        <f>IF($A137="","",[1]!thsiFinD("ths_adjustment_nv_fund",I$3,$A137))</f>
        <v/>
      </c>
      <c r="J137" s="13" t="str">
        <f>IF($A137="","",[1]!thsiFinD("ths_adjustment_nv_fund",J$3,$A137))</f>
        <v/>
      </c>
      <c r="K137" s="13" t="str">
        <f>IF($A137="","",[1]!thsiFinD("ths_adjustment_nv_fund",K$3,$A137))</f>
        <v/>
      </c>
      <c r="L137" s="13" t="str">
        <f>IF($A137="","",[1]!thsiFinD("ths_adjustment_nv_fund",L$3,$A137))</f>
        <v/>
      </c>
      <c r="M137" s="13" t="str">
        <f>IF($A137="","",[1]!thsiFinD("ths_adjustment_nv_fund",M$3,$A137))</f>
        <v/>
      </c>
      <c r="N137" s="13" t="str">
        <f>IF($A137="","",[1]!thsiFinD("ths_adjustment_nv_fund",N$3,$A137))</f>
        <v/>
      </c>
      <c r="O137" s="13" t="str">
        <f>IF($A137="","",[1]!thsiFinD("ths_adjustment_nv_fund",O$3,$A137))</f>
        <v/>
      </c>
      <c r="P137" s="13" t="str">
        <f>IF($A137="","",[1]!thsiFinD("ths_adjustment_nv_fund",P$3,$A137))</f>
        <v/>
      </c>
      <c r="Q137" s="13" t="str">
        <f>IF($A137="","",[1]!thsiFinD("ths_adjustment_nv_fund",Q$3,$A137))</f>
        <v/>
      </c>
      <c r="R137" s="13" t="str">
        <f>IF($A137="","",[1]!thsiFinD("ths_adjustment_nv_fund",R$3,$A137))</f>
        <v/>
      </c>
      <c r="S137" s="13" t="str">
        <f>IF($A137="","",[1]!thsiFinD("ths_adjustment_nv_fund",S$3,$A137))</f>
        <v/>
      </c>
      <c r="T137" s="13" t="str">
        <f>IF($A137="","",[1]!thsiFinD("ths_adjustment_nv_fund",T$3,$A137))</f>
        <v/>
      </c>
      <c r="U137" s="13" t="str">
        <f>IF($A137="","",[1]!thsiFinD("ths_adjustment_nv_fund",U$3,$A137))</f>
        <v/>
      </c>
      <c r="V137" s="13" t="str">
        <f>IF($A137="","",[1]!thsiFinD("ths_adjustment_nv_fund",V$3,$A137))</f>
        <v/>
      </c>
      <c r="W137" s="13" t="str">
        <f>IF($A137="","",[1]!thsiFinD("ths_adjustment_nv_fund",W$3,$A137))</f>
        <v/>
      </c>
      <c r="X137" s="13" t="str">
        <f>IF($A137="","",[1]!thsiFinD("ths_adjustment_nv_fund",X$3,$A137))</f>
        <v/>
      </c>
      <c r="Y137" s="13" t="str">
        <f>IF($A137="","",[1]!thsiFinD("ths_adjustment_nv_fund",Y$3,$A137))</f>
        <v/>
      </c>
      <c r="Z137" s="13" t="str">
        <f>IF($A137="","",[1]!thsiFinD("ths_adjustment_nv_fund",Z$3,$A137))</f>
        <v/>
      </c>
      <c r="AA137" s="13" t="str">
        <f>IF($A137="","",[1]!thsiFinD("ths_adjustment_nv_fund",AA$3,$A137))</f>
        <v/>
      </c>
      <c r="AB137" s="13" t="str">
        <f>IF($A137="","",[1]!thsiFinD("ths_adjustment_nv_fund",AB$3,$A137))</f>
        <v/>
      </c>
    </row>
    <row r="138" spans="1:28">
      <c r="B138" s="13" t="str">
        <f>IF($A138="","",[1]!thsiFinD("ths_adjustment_nv_fund",B$3,$A138))</f>
        <v/>
      </c>
      <c r="C138" s="13" t="str">
        <f>IF($A138="","",[1]!thsiFinD("ths_adjustment_nv_fund",C$3,$A138))</f>
        <v/>
      </c>
      <c r="D138" s="13" t="str">
        <f>IF($A138="","",[1]!thsiFinD("ths_adjustment_nv_fund",D$3,$A138))</f>
        <v/>
      </c>
      <c r="E138" s="13" t="str">
        <f>IF($A138="","",[1]!thsiFinD("ths_adjustment_nv_fund",E$3,$A138))</f>
        <v/>
      </c>
      <c r="F138" s="13" t="str">
        <f>IF($A138="","",[1]!thsiFinD("ths_adjustment_nv_fund",F$3,$A138))</f>
        <v/>
      </c>
      <c r="G138" s="13" t="str">
        <f>IF($A138="","",[1]!thsiFinD("ths_adjustment_nv_fund",G$3,$A138))</f>
        <v/>
      </c>
      <c r="H138" s="13" t="str">
        <f>IF($A138="","",[1]!thsiFinD("ths_adjustment_nv_fund",H$3,$A138))</f>
        <v/>
      </c>
      <c r="I138" s="13" t="str">
        <f>IF($A138="","",[1]!thsiFinD("ths_adjustment_nv_fund",I$3,$A138))</f>
        <v/>
      </c>
      <c r="J138" s="13" t="str">
        <f>IF($A138="","",[1]!thsiFinD("ths_adjustment_nv_fund",J$3,$A138))</f>
        <v/>
      </c>
      <c r="K138" s="13" t="str">
        <f>IF($A138="","",[1]!thsiFinD("ths_adjustment_nv_fund",K$3,$A138))</f>
        <v/>
      </c>
      <c r="L138" s="13" t="str">
        <f>IF($A138="","",[1]!thsiFinD("ths_adjustment_nv_fund",L$3,$A138))</f>
        <v/>
      </c>
      <c r="M138" s="13" t="str">
        <f>IF($A138="","",[1]!thsiFinD("ths_adjustment_nv_fund",M$3,$A138))</f>
        <v/>
      </c>
      <c r="N138" s="13" t="str">
        <f>IF($A138="","",[1]!thsiFinD("ths_adjustment_nv_fund",N$3,$A138))</f>
        <v/>
      </c>
      <c r="O138" s="13" t="str">
        <f>IF($A138="","",[1]!thsiFinD("ths_adjustment_nv_fund",O$3,$A138))</f>
        <v/>
      </c>
      <c r="P138" s="13" t="str">
        <f>IF($A138="","",[1]!thsiFinD("ths_adjustment_nv_fund",P$3,$A138))</f>
        <v/>
      </c>
      <c r="Q138" s="13" t="str">
        <f>IF($A138="","",[1]!thsiFinD("ths_adjustment_nv_fund",Q$3,$A138))</f>
        <v/>
      </c>
      <c r="R138" s="13" t="str">
        <f>IF($A138="","",[1]!thsiFinD("ths_adjustment_nv_fund",R$3,$A138))</f>
        <v/>
      </c>
      <c r="S138" s="13" t="str">
        <f>IF($A138="","",[1]!thsiFinD("ths_adjustment_nv_fund",S$3,$A138))</f>
        <v/>
      </c>
      <c r="T138" s="13" t="str">
        <f>IF($A138="","",[1]!thsiFinD("ths_adjustment_nv_fund",T$3,$A138))</f>
        <v/>
      </c>
      <c r="U138" s="13" t="str">
        <f>IF($A138="","",[1]!thsiFinD("ths_adjustment_nv_fund",U$3,$A138))</f>
        <v/>
      </c>
      <c r="V138" s="13" t="str">
        <f>IF($A138="","",[1]!thsiFinD("ths_adjustment_nv_fund",V$3,$A138))</f>
        <v/>
      </c>
      <c r="W138" s="13" t="str">
        <f>IF($A138="","",[1]!thsiFinD("ths_adjustment_nv_fund",W$3,$A138))</f>
        <v/>
      </c>
      <c r="X138" s="13" t="str">
        <f>IF($A138="","",[1]!thsiFinD("ths_adjustment_nv_fund",X$3,$A138))</f>
        <v/>
      </c>
      <c r="Y138" s="13" t="str">
        <f>IF($A138="","",[1]!thsiFinD("ths_adjustment_nv_fund",Y$3,$A138))</f>
        <v/>
      </c>
      <c r="Z138" s="13" t="str">
        <f>IF($A138="","",[1]!thsiFinD("ths_adjustment_nv_fund",Z$3,$A138))</f>
        <v/>
      </c>
      <c r="AA138" s="13" t="str">
        <f>IF($A138="","",[1]!thsiFinD("ths_adjustment_nv_fund",AA$3,$A138))</f>
        <v/>
      </c>
      <c r="AB138" s="13" t="str">
        <f>IF($A138="","",[1]!thsiFinD("ths_adjustment_nv_fund",AB$3,$A138))</f>
        <v/>
      </c>
    </row>
    <row r="139" spans="1:28">
      <c r="B139" s="13" t="str">
        <f>IF($A139="","",[1]!thsiFinD("ths_adjustment_nv_fund",B$3,$A139))</f>
        <v/>
      </c>
      <c r="C139" s="13" t="str">
        <f>IF($A139="","",[1]!thsiFinD("ths_adjustment_nv_fund",C$3,$A139))</f>
        <v/>
      </c>
      <c r="D139" s="13" t="str">
        <f>IF($A139="","",[1]!thsiFinD("ths_adjustment_nv_fund",D$3,$A139))</f>
        <v/>
      </c>
      <c r="E139" s="13" t="str">
        <f>IF($A139="","",[1]!thsiFinD("ths_adjustment_nv_fund",E$3,$A139))</f>
        <v/>
      </c>
      <c r="F139" s="13" t="str">
        <f>IF($A139="","",[1]!thsiFinD("ths_adjustment_nv_fund",F$3,$A139))</f>
        <v/>
      </c>
      <c r="G139" s="13" t="str">
        <f>IF($A139="","",[1]!thsiFinD("ths_adjustment_nv_fund",G$3,$A139))</f>
        <v/>
      </c>
      <c r="H139" s="13" t="str">
        <f>IF($A139="","",[1]!thsiFinD("ths_adjustment_nv_fund",H$3,$A139))</f>
        <v/>
      </c>
      <c r="I139" s="13" t="str">
        <f>IF($A139="","",[1]!thsiFinD("ths_adjustment_nv_fund",I$3,$A139))</f>
        <v/>
      </c>
      <c r="J139" s="13" t="str">
        <f>IF($A139="","",[1]!thsiFinD("ths_adjustment_nv_fund",J$3,$A139))</f>
        <v/>
      </c>
      <c r="K139" s="13" t="str">
        <f>IF($A139="","",[1]!thsiFinD("ths_adjustment_nv_fund",K$3,$A139))</f>
        <v/>
      </c>
      <c r="L139" s="13" t="str">
        <f>IF($A139="","",[1]!thsiFinD("ths_adjustment_nv_fund",L$3,$A139))</f>
        <v/>
      </c>
      <c r="M139" s="13" t="str">
        <f>IF($A139="","",[1]!thsiFinD("ths_adjustment_nv_fund",M$3,$A139))</f>
        <v/>
      </c>
      <c r="N139" s="13" t="str">
        <f>IF($A139="","",[1]!thsiFinD("ths_adjustment_nv_fund",N$3,$A139))</f>
        <v/>
      </c>
      <c r="O139" s="13" t="str">
        <f>IF($A139="","",[1]!thsiFinD("ths_adjustment_nv_fund",O$3,$A139))</f>
        <v/>
      </c>
      <c r="P139" s="13" t="str">
        <f>IF($A139="","",[1]!thsiFinD("ths_adjustment_nv_fund",P$3,$A139))</f>
        <v/>
      </c>
      <c r="Q139" s="13" t="str">
        <f>IF($A139="","",[1]!thsiFinD("ths_adjustment_nv_fund",Q$3,$A139))</f>
        <v/>
      </c>
      <c r="R139" s="13" t="str">
        <f>IF($A139="","",[1]!thsiFinD("ths_adjustment_nv_fund",R$3,$A139))</f>
        <v/>
      </c>
      <c r="S139" s="13" t="str">
        <f>IF($A139="","",[1]!thsiFinD("ths_adjustment_nv_fund",S$3,$A139))</f>
        <v/>
      </c>
      <c r="T139" s="13" t="str">
        <f>IF($A139="","",[1]!thsiFinD("ths_adjustment_nv_fund",T$3,$A139))</f>
        <v/>
      </c>
      <c r="U139" s="13" t="str">
        <f>IF($A139="","",[1]!thsiFinD("ths_adjustment_nv_fund",U$3,$A139))</f>
        <v/>
      </c>
      <c r="V139" s="13" t="str">
        <f>IF($A139="","",[1]!thsiFinD("ths_adjustment_nv_fund",V$3,$A139))</f>
        <v/>
      </c>
      <c r="W139" s="13" t="str">
        <f>IF($A139="","",[1]!thsiFinD("ths_adjustment_nv_fund",W$3,$A139))</f>
        <v/>
      </c>
      <c r="X139" s="13" t="str">
        <f>IF($A139="","",[1]!thsiFinD("ths_adjustment_nv_fund",X$3,$A139))</f>
        <v/>
      </c>
      <c r="Y139" s="13" t="str">
        <f>IF($A139="","",[1]!thsiFinD("ths_adjustment_nv_fund",Y$3,$A139))</f>
        <v/>
      </c>
      <c r="Z139" s="13" t="str">
        <f>IF($A139="","",[1]!thsiFinD("ths_adjustment_nv_fund",Z$3,$A139))</f>
        <v/>
      </c>
      <c r="AA139" s="13" t="str">
        <f>IF($A139="","",[1]!thsiFinD("ths_adjustment_nv_fund",AA$3,$A139))</f>
        <v/>
      </c>
      <c r="AB139" s="13" t="str">
        <f>IF($A139="","",[1]!thsiFinD("ths_adjustment_nv_fund",AB$3,$A139))</f>
        <v/>
      </c>
    </row>
    <row r="140" spans="1:28">
      <c r="B140" s="13" t="str">
        <f>IF($A140="","",[1]!thsiFinD("ths_adjustment_nv_fund",B$3,$A140))</f>
        <v/>
      </c>
      <c r="C140" s="13" t="str">
        <f>IF($A140="","",[1]!thsiFinD("ths_adjustment_nv_fund",C$3,$A140))</f>
        <v/>
      </c>
      <c r="D140" s="13" t="str">
        <f>IF($A140="","",[1]!thsiFinD("ths_adjustment_nv_fund",D$3,$A140))</f>
        <v/>
      </c>
      <c r="E140" s="13" t="str">
        <f>IF($A140="","",[1]!thsiFinD("ths_adjustment_nv_fund",E$3,$A140))</f>
        <v/>
      </c>
      <c r="F140" s="13" t="str">
        <f>IF($A140="","",[1]!thsiFinD("ths_adjustment_nv_fund",F$3,$A140))</f>
        <v/>
      </c>
      <c r="G140" s="13" t="str">
        <f>IF($A140="","",[1]!thsiFinD("ths_adjustment_nv_fund",G$3,$A140))</f>
        <v/>
      </c>
      <c r="H140" s="13" t="str">
        <f>IF($A140="","",[1]!thsiFinD("ths_adjustment_nv_fund",H$3,$A140))</f>
        <v/>
      </c>
      <c r="I140" s="13" t="str">
        <f>IF($A140="","",[1]!thsiFinD("ths_adjustment_nv_fund",I$3,$A140))</f>
        <v/>
      </c>
      <c r="J140" s="13" t="str">
        <f>IF($A140="","",[1]!thsiFinD("ths_adjustment_nv_fund",J$3,$A140))</f>
        <v/>
      </c>
      <c r="K140" s="13" t="str">
        <f>IF($A140="","",[1]!thsiFinD("ths_adjustment_nv_fund",K$3,$A140))</f>
        <v/>
      </c>
      <c r="L140" s="13" t="str">
        <f>IF($A140="","",[1]!thsiFinD("ths_adjustment_nv_fund",L$3,$A140))</f>
        <v/>
      </c>
      <c r="M140" s="13" t="str">
        <f>IF($A140="","",[1]!thsiFinD("ths_adjustment_nv_fund",M$3,$A140))</f>
        <v/>
      </c>
      <c r="N140" s="13" t="str">
        <f>IF($A140="","",[1]!thsiFinD("ths_adjustment_nv_fund",N$3,$A140))</f>
        <v/>
      </c>
      <c r="O140" s="13" t="str">
        <f>IF($A140="","",[1]!thsiFinD("ths_adjustment_nv_fund",O$3,$A140))</f>
        <v/>
      </c>
      <c r="P140" s="13" t="str">
        <f>IF($A140="","",[1]!thsiFinD("ths_adjustment_nv_fund",P$3,$A140))</f>
        <v/>
      </c>
      <c r="Q140" s="13" t="str">
        <f>IF($A140="","",[1]!thsiFinD("ths_adjustment_nv_fund",Q$3,$A140))</f>
        <v/>
      </c>
      <c r="R140" s="13" t="str">
        <f>IF($A140="","",[1]!thsiFinD("ths_adjustment_nv_fund",R$3,$A140))</f>
        <v/>
      </c>
      <c r="S140" s="13" t="str">
        <f>IF($A140="","",[1]!thsiFinD("ths_adjustment_nv_fund",S$3,$A140))</f>
        <v/>
      </c>
      <c r="T140" s="13" t="str">
        <f>IF($A140="","",[1]!thsiFinD("ths_adjustment_nv_fund",T$3,$A140))</f>
        <v/>
      </c>
      <c r="U140" s="13" t="str">
        <f>IF($A140="","",[1]!thsiFinD("ths_adjustment_nv_fund",U$3,$A140))</f>
        <v/>
      </c>
      <c r="V140" s="13" t="str">
        <f>IF($A140="","",[1]!thsiFinD("ths_adjustment_nv_fund",V$3,$A140))</f>
        <v/>
      </c>
      <c r="W140" s="13" t="str">
        <f>IF($A140="","",[1]!thsiFinD("ths_adjustment_nv_fund",W$3,$A140))</f>
        <v/>
      </c>
      <c r="X140" s="13" t="str">
        <f>IF($A140="","",[1]!thsiFinD("ths_adjustment_nv_fund",X$3,$A140))</f>
        <v/>
      </c>
      <c r="Y140" s="13" t="str">
        <f>IF($A140="","",[1]!thsiFinD("ths_adjustment_nv_fund",Y$3,$A140))</f>
        <v/>
      </c>
      <c r="Z140" s="13" t="str">
        <f>IF($A140="","",[1]!thsiFinD("ths_adjustment_nv_fund",Z$3,$A140))</f>
        <v/>
      </c>
      <c r="AA140" s="13" t="str">
        <f>IF($A140="","",[1]!thsiFinD("ths_adjustment_nv_fund",AA$3,$A140))</f>
        <v/>
      </c>
      <c r="AB140" s="13" t="str">
        <f>IF($A140="","",[1]!thsiFinD("ths_adjustment_nv_fund",AB$3,$A140))</f>
        <v/>
      </c>
    </row>
    <row r="141" spans="1:28">
      <c r="B141" s="13" t="str">
        <f>IF($A141="","",[1]!thsiFinD("ths_adjustment_nv_fund",B$3,$A141))</f>
        <v/>
      </c>
      <c r="C141" s="13" t="str">
        <f>IF($A141="","",[1]!thsiFinD("ths_adjustment_nv_fund",C$3,$A141))</f>
        <v/>
      </c>
      <c r="D141" s="13" t="str">
        <f>IF($A141="","",[1]!thsiFinD("ths_adjustment_nv_fund",D$3,$A141))</f>
        <v/>
      </c>
      <c r="E141" s="13" t="str">
        <f>IF($A141="","",[1]!thsiFinD("ths_adjustment_nv_fund",E$3,$A141))</f>
        <v/>
      </c>
      <c r="F141" s="13" t="str">
        <f>IF($A141="","",[1]!thsiFinD("ths_adjustment_nv_fund",F$3,$A141))</f>
        <v/>
      </c>
      <c r="G141" s="13" t="str">
        <f>IF($A141="","",[1]!thsiFinD("ths_adjustment_nv_fund",G$3,$A141))</f>
        <v/>
      </c>
      <c r="H141" s="13" t="str">
        <f>IF($A141="","",[1]!thsiFinD("ths_adjustment_nv_fund",H$3,$A141))</f>
        <v/>
      </c>
      <c r="I141" s="13" t="str">
        <f>IF($A141="","",[1]!thsiFinD("ths_adjustment_nv_fund",I$3,$A141))</f>
        <v/>
      </c>
      <c r="J141" s="13" t="str">
        <f>IF($A141="","",[1]!thsiFinD("ths_adjustment_nv_fund",J$3,$A141))</f>
        <v/>
      </c>
      <c r="K141" s="13" t="str">
        <f>IF($A141="","",[1]!thsiFinD("ths_adjustment_nv_fund",K$3,$A141))</f>
        <v/>
      </c>
      <c r="L141" s="13" t="str">
        <f>IF($A141="","",[1]!thsiFinD("ths_adjustment_nv_fund",L$3,$A141))</f>
        <v/>
      </c>
      <c r="M141" s="13" t="str">
        <f>IF($A141="","",[1]!thsiFinD("ths_adjustment_nv_fund",M$3,$A141))</f>
        <v/>
      </c>
      <c r="N141" s="13" t="str">
        <f>IF($A141="","",[1]!thsiFinD("ths_adjustment_nv_fund",N$3,$A141))</f>
        <v/>
      </c>
      <c r="O141" s="13" t="str">
        <f>IF($A141="","",[1]!thsiFinD("ths_adjustment_nv_fund",O$3,$A141))</f>
        <v/>
      </c>
      <c r="P141" s="13" t="str">
        <f>IF($A141="","",[1]!thsiFinD("ths_adjustment_nv_fund",P$3,$A141))</f>
        <v/>
      </c>
      <c r="Q141" s="13" t="str">
        <f>IF($A141="","",[1]!thsiFinD("ths_adjustment_nv_fund",Q$3,$A141))</f>
        <v/>
      </c>
      <c r="R141" s="13" t="str">
        <f>IF($A141="","",[1]!thsiFinD("ths_adjustment_nv_fund",R$3,$A141))</f>
        <v/>
      </c>
      <c r="S141" s="13" t="str">
        <f>IF($A141="","",[1]!thsiFinD("ths_adjustment_nv_fund",S$3,$A141))</f>
        <v/>
      </c>
      <c r="T141" s="13" t="str">
        <f>IF($A141="","",[1]!thsiFinD("ths_adjustment_nv_fund",T$3,$A141))</f>
        <v/>
      </c>
      <c r="U141" s="13" t="str">
        <f>IF($A141="","",[1]!thsiFinD("ths_adjustment_nv_fund",U$3,$A141))</f>
        <v/>
      </c>
      <c r="V141" s="13" t="str">
        <f>IF($A141="","",[1]!thsiFinD("ths_adjustment_nv_fund",V$3,$A141))</f>
        <v/>
      </c>
      <c r="W141" s="13" t="str">
        <f>IF($A141="","",[1]!thsiFinD("ths_adjustment_nv_fund",W$3,$A141))</f>
        <v/>
      </c>
      <c r="X141" s="13" t="str">
        <f>IF($A141="","",[1]!thsiFinD("ths_adjustment_nv_fund",X$3,$A141))</f>
        <v/>
      </c>
      <c r="Y141" s="13" t="str">
        <f>IF($A141="","",[1]!thsiFinD("ths_adjustment_nv_fund",Y$3,$A141))</f>
        <v/>
      </c>
      <c r="Z141" s="13" t="str">
        <f>IF($A141="","",[1]!thsiFinD("ths_adjustment_nv_fund",Z$3,$A141))</f>
        <v/>
      </c>
      <c r="AA141" s="13" t="str">
        <f>IF($A141="","",[1]!thsiFinD("ths_adjustment_nv_fund",AA$3,$A141))</f>
        <v/>
      </c>
      <c r="AB141" s="13" t="str">
        <f>IF($A141="","",[1]!thsiFinD("ths_adjustment_nv_fund",AB$3,$A141))</f>
        <v/>
      </c>
    </row>
    <row r="142" spans="1:28">
      <c r="B142" s="13" t="str">
        <f>IF($A142="","",[1]!thsiFinD("ths_adjustment_nv_fund",B$3,$A142))</f>
        <v/>
      </c>
      <c r="C142" s="13" t="str">
        <f>IF($A142="","",[1]!thsiFinD("ths_adjustment_nv_fund",C$3,$A142))</f>
        <v/>
      </c>
      <c r="D142" s="13" t="str">
        <f>IF($A142="","",[1]!thsiFinD("ths_adjustment_nv_fund",D$3,$A142))</f>
        <v/>
      </c>
      <c r="E142" s="13" t="str">
        <f>IF($A142="","",[1]!thsiFinD("ths_adjustment_nv_fund",E$3,$A142))</f>
        <v/>
      </c>
      <c r="F142" s="13" t="str">
        <f>IF($A142="","",[1]!thsiFinD("ths_adjustment_nv_fund",F$3,$A142))</f>
        <v/>
      </c>
      <c r="G142" s="13" t="str">
        <f>IF($A142="","",[1]!thsiFinD("ths_adjustment_nv_fund",G$3,$A142))</f>
        <v/>
      </c>
      <c r="H142" s="13" t="str">
        <f>IF($A142="","",[1]!thsiFinD("ths_adjustment_nv_fund",H$3,$A142))</f>
        <v/>
      </c>
      <c r="I142" s="13" t="str">
        <f>IF($A142="","",[1]!thsiFinD("ths_adjustment_nv_fund",I$3,$A142))</f>
        <v/>
      </c>
      <c r="J142" s="13" t="str">
        <f>IF($A142="","",[1]!thsiFinD("ths_adjustment_nv_fund",J$3,$A142))</f>
        <v/>
      </c>
      <c r="K142" s="13" t="str">
        <f>IF($A142="","",[1]!thsiFinD("ths_adjustment_nv_fund",K$3,$A142))</f>
        <v/>
      </c>
      <c r="L142" s="13" t="str">
        <f>IF($A142="","",[1]!thsiFinD("ths_adjustment_nv_fund",L$3,$A142))</f>
        <v/>
      </c>
      <c r="M142" s="13" t="str">
        <f>IF($A142="","",[1]!thsiFinD("ths_adjustment_nv_fund",M$3,$A142))</f>
        <v/>
      </c>
      <c r="N142" s="13" t="str">
        <f>IF($A142="","",[1]!thsiFinD("ths_adjustment_nv_fund",N$3,$A142))</f>
        <v/>
      </c>
      <c r="O142" s="13" t="str">
        <f>IF($A142="","",[1]!thsiFinD("ths_adjustment_nv_fund",O$3,$A142))</f>
        <v/>
      </c>
      <c r="P142" s="13" t="str">
        <f>IF($A142="","",[1]!thsiFinD("ths_adjustment_nv_fund",P$3,$A142))</f>
        <v/>
      </c>
      <c r="Q142" s="13" t="str">
        <f>IF($A142="","",[1]!thsiFinD("ths_adjustment_nv_fund",Q$3,$A142))</f>
        <v/>
      </c>
      <c r="R142" s="13" t="str">
        <f>IF($A142="","",[1]!thsiFinD("ths_adjustment_nv_fund",R$3,$A142))</f>
        <v/>
      </c>
      <c r="S142" s="13" t="str">
        <f>IF($A142="","",[1]!thsiFinD("ths_adjustment_nv_fund",S$3,$A142))</f>
        <v/>
      </c>
      <c r="T142" s="13" t="str">
        <f>IF($A142="","",[1]!thsiFinD("ths_adjustment_nv_fund",T$3,$A142))</f>
        <v/>
      </c>
      <c r="U142" s="13" t="str">
        <f>IF($A142="","",[1]!thsiFinD("ths_adjustment_nv_fund",U$3,$A142))</f>
        <v/>
      </c>
      <c r="V142" s="13" t="str">
        <f>IF($A142="","",[1]!thsiFinD("ths_adjustment_nv_fund",V$3,$A142))</f>
        <v/>
      </c>
      <c r="W142" s="13" t="str">
        <f>IF($A142="","",[1]!thsiFinD("ths_adjustment_nv_fund",W$3,$A142))</f>
        <v/>
      </c>
      <c r="X142" s="13" t="str">
        <f>IF($A142="","",[1]!thsiFinD("ths_adjustment_nv_fund",X$3,$A142))</f>
        <v/>
      </c>
      <c r="Y142" s="13" t="str">
        <f>IF($A142="","",[1]!thsiFinD("ths_adjustment_nv_fund",Y$3,$A142))</f>
        <v/>
      </c>
      <c r="Z142" s="13" t="str">
        <f>IF($A142="","",[1]!thsiFinD("ths_adjustment_nv_fund",Z$3,$A142))</f>
        <v/>
      </c>
      <c r="AA142" s="13" t="str">
        <f>IF($A142="","",[1]!thsiFinD("ths_adjustment_nv_fund",AA$3,$A142))</f>
        <v/>
      </c>
      <c r="AB142" s="13" t="str">
        <f>IF($A142="","",[1]!thsiFinD("ths_adjustment_nv_fund",AB$3,$A142))</f>
        <v/>
      </c>
    </row>
    <row r="143" spans="1:28">
      <c r="B143" s="13" t="str">
        <f>IF($A143="","",[1]!thsiFinD("ths_adjustment_nv_fund",B$3,$A143))</f>
        <v/>
      </c>
      <c r="C143" s="13" t="str">
        <f>IF($A143="","",[1]!thsiFinD("ths_adjustment_nv_fund",C$3,$A143))</f>
        <v/>
      </c>
      <c r="D143" s="13" t="str">
        <f>IF($A143="","",[1]!thsiFinD("ths_adjustment_nv_fund",D$3,$A143))</f>
        <v/>
      </c>
      <c r="E143" s="13" t="str">
        <f>IF($A143="","",[1]!thsiFinD("ths_adjustment_nv_fund",E$3,$A143))</f>
        <v/>
      </c>
      <c r="F143" s="13" t="str">
        <f>IF($A143="","",[1]!thsiFinD("ths_adjustment_nv_fund",F$3,$A143))</f>
        <v/>
      </c>
      <c r="G143" s="13" t="str">
        <f>IF($A143="","",[1]!thsiFinD("ths_adjustment_nv_fund",G$3,$A143))</f>
        <v/>
      </c>
      <c r="H143" s="13" t="str">
        <f>IF($A143="","",[1]!thsiFinD("ths_adjustment_nv_fund",H$3,$A143))</f>
        <v/>
      </c>
      <c r="I143" s="13" t="str">
        <f>IF($A143="","",[1]!thsiFinD("ths_adjustment_nv_fund",I$3,$A143))</f>
        <v/>
      </c>
      <c r="J143" s="13" t="str">
        <f>IF($A143="","",[1]!thsiFinD("ths_adjustment_nv_fund",J$3,$A143))</f>
        <v/>
      </c>
      <c r="K143" s="13" t="str">
        <f>IF($A143="","",[1]!thsiFinD("ths_adjustment_nv_fund",K$3,$A143))</f>
        <v/>
      </c>
      <c r="L143" s="13" t="str">
        <f>IF($A143="","",[1]!thsiFinD("ths_adjustment_nv_fund",L$3,$A143))</f>
        <v/>
      </c>
      <c r="M143" s="13" t="str">
        <f>IF($A143="","",[1]!thsiFinD("ths_adjustment_nv_fund",M$3,$A143))</f>
        <v/>
      </c>
      <c r="N143" s="13" t="str">
        <f>IF($A143="","",[1]!thsiFinD("ths_adjustment_nv_fund",N$3,$A143))</f>
        <v/>
      </c>
      <c r="O143" s="13" t="str">
        <f>IF($A143="","",[1]!thsiFinD("ths_adjustment_nv_fund",O$3,$A143))</f>
        <v/>
      </c>
      <c r="P143" s="13" t="str">
        <f>IF($A143="","",[1]!thsiFinD("ths_adjustment_nv_fund",P$3,$A143))</f>
        <v/>
      </c>
      <c r="Q143" s="13" t="str">
        <f>IF($A143="","",[1]!thsiFinD("ths_adjustment_nv_fund",Q$3,$A143))</f>
        <v/>
      </c>
      <c r="R143" s="13" t="str">
        <f>IF($A143="","",[1]!thsiFinD("ths_adjustment_nv_fund",R$3,$A143))</f>
        <v/>
      </c>
      <c r="S143" s="13" t="str">
        <f>IF($A143="","",[1]!thsiFinD("ths_adjustment_nv_fund",S$3,$A143))</f>
        <v/>
      </c>
      <c r="T143" s="13" t="str">
        <f>IF($A143="","",[1]!thsiFinD("ths_adjustment_nv_fund",T$3,$A143))</f>
        <v/>
      </c>
      <c r="U143" s="13" t="str">
        <f>IF($A143="","",[1]!thsiFinD("ths_adjustment_nv_fund",U$3,$A143))</f>
        <v/>
      </c>
      <c r="V143" s="13" t="str">
        <f>IF($A143="","",[1]!thsiFinD("ths_adjustment_nv_fund",V$3,$A143))</f>
        <v/>
      </c>
      <c r="W143" s="13" t="str">
        <f>IF($A143="","",[1]!thsiFinD("ths_adjustment_nv_fund",W$3,$A143))</f>
        <v/>
      </c>
      <c r="X143" s="13" t="str">
        <f>IF($A143="","",[1]!thsiFinD("ths_adjustment_nv_fund",X$3,$A143))</f>
        <v/>
      </c>
      <c r="Y143" s="13" t="str">
        <f>IF($A143="","",[1]!thsiFinD("ths_adjustment_nv_fund",Y$3,$A143))</f>
        <v/>
      </c>
      <c r="Z143" s="13" t="str">
        <f>IF($A143="","",[1]!thsiFinD("ths_adjustment_nv_fund",Z$3,$A143))</f>
        <v/>
      </c>
      <c r="AA143" s="13" t="str">
        <f>IF($A143="","",[1]!thsiFinD("ths_adjustment_nv_fund",AA$3,$A143))</f>
        <v/>
      </c>
      <c r="AB143" s="13" t="str">
        <f>IF($A143="","",[1]!thsiFinD("ths_adjustment_nv_fund",AB$3,$A143))</f>
        <v/>
      </c>
    </row>
    <row r="144" spans="1:28">
      <c r="B144" s="13" t="str">
        <f>IF($A144="","",[1]!thsiFinD("ths_adjustment_nv_fund",B$3,$A144))</f>
        <v/>
      </c>
      <c r="C144" s="13" t="str">
        <f>IF($A144="","",[1]!thsiFinD("ths_adjustment_nv_fund",C$3,$A144))</f>
        <v/>
      </c>
      <c r="D144" s="13" t="str">
        <f>IF($A144="","",[1]!thsiFinD("ths_adjustment_nv_fund",D$3,$A144))</f>
        <v/>
      </c>
      <c r="E144" s="13" t="str">
        <f>IF($A144="","",[1]!thsiFinD("ths_adjustment_nv_fund",E$3,$A144))</f>
        <v/>
      </c>
      <c r="F144" s="13" t="str">
        <f>IF($A144="","",[1]!thsiFinD("ths_adjustment_nv_fund",F$3,$A144))</f>
        <v/>
      </c>
      <c r="G144" s="13" t="str">
        <f>IF($A144="","",[1]!thsiFinD("ths_adjustment_nv_fund",G$3,$A144))</f>
        <v/>
      </c>
      <c r="H144" s="13" t="str">
        <f>IF($A144="","",[1]!thsiFinD("ths_adjustment_nv_fund",H$3,$A144))</f>
        <v/>
      </c>
      <c r="I144" s="13" t="str">
        <f>IF($A144="","",[1]!thsiFinD("ths_adjustment_nv_fund",I$3,$A144))</f>
        <v/>
      </c>
      <c r="J144" s="13" t="str">
        <f>IF($A144="","",[1]!thsiFinD("ths_adjustment_nv_fund",J$3,$A144))</f>
        <v/>
      </c>
      <c r="K144" s="13" t="str">
        <f>IF($A144="","",[1]!thsiFinD("ths_adjustment_nv_fund",K$3,$A144))</f>
        <v/>
      </c>
      <c r="L144" s="13" t="str">
        <f>IF($A144="","",[1]!thsiFinD("ths_adjustment_nv_fund",L$3,$A144))</f>
        <v/>
      </c>
      <c r="M144" s="13" t="str">
        <f>IF($A144="","",[1]!thsiFinD("ths_adjustment_nv_fund",M$3,$A144))</f>
        <v/>
      </c>
      <c r="N144" s="13" t="str">
        <f>IF($A144="","",[1]!thsiFinD("ths_adjustment_nv_fund",N$3,$A144))</f>
        <v/>
      </c>
      <c r="O144" s="13" t="str">
        <f>IF($A144="","",[1]!thsiFinD("ths_adjustment_nv_fund",O$3,$A144))</f>
        <v/>
      </c>
      <c r="P144" s="13" t="str">
        <f>IF($A144="","",[1]!thsiFinD("ths_adjustment_nv_fund",P$3,$A144))</f>
        <v/>
      </c>
      <c r="Q144" s="13" t="str">
        <f>IF($A144="","",[1]!thsiFinD("ths_adjustment_nv_fund",Q$3,$A144))</f>
        <v/>
      </c>
      <c r="R144" s="13" t="str">
        <f>IF($A144="","",[1]!thsiFinD("ths_adjustment_nv_fund",R$3,$A144))</f>
        <v/>
      </c>
      <c r="S144" s="13" t="str">
        <f>IF($A144="","",[1]!thsiFinD("ths_adjustment_nv_fund",S$3,$A144))</f>
        <v/>
      </c>
      <c r="T144" s="13" t="str">
        <f>IF($A144="","",[1]!thsiFinD("ths_adjustment_nv_fund",T$3,$A144))</f>
        <v/>
      </c>
      <c r="U144" s="13" t="str">
        <f>IF($A144="","",[1]!thsiFinD("ths_adjustment_nv_fund",U$3,$A144))</f>
        <v/>
      </c>
      <c r="V144" s="13" t="str">
        <f>IF($A144="","",[1]!thsiFinD("ths_adjustment_nv_fund",V$3,$A144))</f>
        <v/>
      </c>
      <c r="W144" s="13" t="str">
        <f>IF($A144="","",[1]!thsiFinD("ths_adjustment_nv_fund",W$3,$A144))</f>
        <v/>
      </c>
      <c r="X144" s="13" t="str">
        <f>IF($A144="","",[1]!thsiFinD("ths_adjustment_nv_fund",X$3,$A144))</f>
        <v/>
      </c>
      <c r="Y144" s="13" t="str">
        <f>IF($A144="","",[1]!thsiFinD("ths_adjustment_nv_fund",Y$3,$A144))</f>
        <v/>
      </c>
      <c r="Z144" s="13" t="str">
        <f>IF($A144="","",[1]!thsiFinD("ths_adjustment_nv_fund",Z$3,$A144))</f>
        <v/>
      </c>
      <c r="AA144" s="13" t="str">
        <f>IF($A144="","",[1]!thsiFinD("ths_adjustment_nv_fund",AA$3,$A144))</f>
        <v/>
      </c>
      <c r="AB144" s="13" t="str">
        <f>IF($A144="","",[1]!thsiFinD("ths_adjustment_nv_fund",AB$3,$A144))</f>
        <v/>
      </c>
    </row>
    <row r="145" spans="2:28">
      <c r="B145" s="13" t="str">
        <f>IF($A145="","",[1]!thsiFinD("ths_adjustment_nv_fund",B$3,$A145))</f>
        <v/>
      </c>
      <c r="C145" s="13" t="str">
        <f>IF($A145="","",[1]!thsiFinD("ths_adjustment_nv_fund",C$3,$A145))</f>
        <v/>
      </c>
      <c r="D145" s="13" t="str">
        <f>IF($A145="","",[1]!thsiFinD("ths_adjustment_nv_fund",D$3,$A145))</f>
        <v/>
      </c>
      <c r="E145" s="13" t="str">
        <f>IF($A145="","",[1]!thsiFinD("ths_adjustment_nv_fund",E$3,$A145))</f>
        <v/>
      </c>
      <c r="F145" s="13" t="str">
        <f>IF($A145="","",[1]!thsiFinD("ths_adjustment_nv_fund",F$3,$A145))</f>
        <v/>
      </c>
      <c r="G145" s="13" t="str">
        <f>IF($A145="","",[1]!thsiFinD("ths_adjustment_nv_fund",G$3,$A145))</f>
        <v/>
      </c>
      <c r="H145" s="13" t="str">
        <f>IF($A145="","",[1]!thsiFinD("ths_adjustment_nv_fund",H$3,$A145))</f>
        <v/>
      </c>
      <c r="I145" s="13" t="str">
        <f>IF($A145="","",[1]!thsiFinD("ths_adjustment_nv_fund",I$3,$A145))</f>
        <v/>
      </c>
      <c r="J145" s="13" t="str">
        <f>IF($A145="","",[1]!thsiFinD("ths_adjustment_nv_fund",J$3,$A145))</f>
        <v/>
      </c>
      <c r="K145" s="13" t="str">
        <f>IF($A145="","",[1]!thsiFinD("ths_adjustment_nv_fund",K$3,$A145))</f>
        <v/>
      </c>
      <c r="L145" s="13" t="str">
        <f>IF($A145="","",[1]!thsiFinD("ths_adjustment_nv_fund",L$3,$A145))</f>
        <v/>
      </c>
      <c r="M145" s="13" t="str">
        <f>IF($A145="","",[1]!thsiFinD("ths_adjustment_nv_fund",M$3,$A145))</f>
        <v/>
      </c>
      <c r="N145" s="13" t="str">
        <f>IF($A145="","",[1]!thsiFinD("ths_adjustment_nv_fund",N$3,$A145))</f>
        <v/>
      </c>
      <c r="O145" s="13" t="str">
        <f>IF($A145="","",[1]!thsiFinD("ths_adjustment_nv_fund",O$3,$A145))</f>
        <v/>
      </c>
      <c r="P145" s="13" t="str">
        <f>IF($A145="","",[1]!thsiFinD("ths_adjustment_nv_fund",P$3,$A145))</f>
        <v/>
      </c>
      <c r="Q145" s="13" t="str">
        <f>IF($A145="","",[1]!thsiFinD("ths_adjustment_nv_fund",Q$3,$A145))</f>
        <v/>
      </c>
      <c r="R145" s="13" t="str">
        <f>IF($A145="","",[1]!thsiFinD("ths_adjustment_nv_fund",R$3,$A145))</f>
        <v/>
      </c>
      <c r="S145" s="13" t="str">
        <f>IF($A145="","",[1]!thsiFinD("ths_adjustment_nv_fund",S$3,$A145))</f>
        <v/>
      </c>
      <c r="T145" s="13" t="str">
        <f>IF($A145="","",[1]!thsiFinD("ths_adjustment_nv_fund",T$3,$A145))</f>
        <v/>
      </c>
      <c r="U145" s="13" t="str">
        <f>IF($A145="","",[1]!thsiFinD("ths_adjustment_nv_fund",U$3,$A145))</f>
        <v/>
      </c>
      <c r="V145" s="13" t="str">
        <f>IF($A145="","",[1]!thsiFinD("ths_adjustment_nv_fund",V$3,$A145))</f>
        <v/>
      </c>
      <c r="W145" s="13" t="str">
        <f>IF($A145="","",[1]!thsiFinD("ths_adjustment_nv_fund",W$3,$A145))</f>
        <v/>
      </c>
      <c r="X145" s="13" t="str">
        <f>IF($A145="","",[1]!thsiFinD("ths_adjustment_nv_fund",X$3,$A145))</f>
        <v/>
      </c>
      <c r="Y145" s="13" t="str">
        <f>IF($A145="","",[1]!thsiFinD("ths_adjustment_nv_fund",Y$3,$A145))</f>
        <v/>
      </c>
      <c r="Z145" s="13" t="str">
        <f>IF($A145="","",[1]!thsiFinD("ths_adjustment_nv_fund",Z$3,$A145))</f>
        <v/>
      </c>
      <c r="AA145" s="13" t="str">
        <f>IF($A145="","",[1]!thsiFinD("ths_adjustment_nv_fund",AA$3,$A145))</f>
        <v/>
      </c>
      <c r="AB145" s="13" t="str">
        <f>IF($A145="","",[1]!thsiFinD("ths_adjustment_nv_fund",AB$3,$A145))</f>
        <v/>
      </c>
    </row>
    <row r="146" spans="2:28">
      <c r="B146" s="13" t="str">
        <f>IF($A146="","",[1]!thsiFinD("ths_adjustment_nv_fund",B$3,$A146))</f>
        <v/>
      </c>
      <c r="C146" s="13" t="str">
        <f>IF($A146="","",[1]!thsiFinD("ths_adjustment_nv_fund",C$3,$A146))</f>
        <v/>
      </c>
      <c r="D146" s="13" t="str">
        <f>IF($A146="","",[1]!thsiFinD("ths_adjustment_nv_fund",D$3,$A146))</f>
        <v/>
      </c>
      <c r="E146" s="13" t="str">
        <f>IF($A146="","",[1]!thsiFinD("ths_adjustment_nv_fund",E$3,$A146))</f>
        <v/>
      </c>
      <c r="F146" s="13" t="str">
        <f>IF($A146="","",[1]!thsiFinD("ths_adjustment_nv_fund",F$3,$A146))</f>
        <v/>
      </c>
      <c r="G146" s="13" t="str">
        <f>IF($A146="","",[1]!thsiFinD("ths_adjustment_nv_fund",G$3,$A146))</f>
        <v/>
      </c>
      <c r="H146" s="13" t="str">
        <f>IF($A146="","",[1]!thsiFinD("ths_adjustment_nv_fund",H$3,$A146))</f>
        <v/>
      </c>
      <c r="I146" s="13" t="str">
        <f>IF($A146="","",[1]!thsiFinD("ths_adjustment_nv_fund",I$3,$A146))</f>
        <v/>
      </c>
      <c r="J146" s="13" t="str">
        <f>IF($A146="","",[1]!thsiFinD("ths_adjustment_nv_fund",J$3,$A146))</f>
        <v/>
      </c>
      <c r="K146" s="13" t="str">
        <f>IF($A146="","",[1]!thsiFinD("ths_adjustment_nv_fund",K$3,$A146))</f>
        <v/>
      </c>
      <c r="L146" s="13" t="str">
        <f>IF($A146="","",[1]!thsiFinD("ths_adjustment_nv_fund",L$3,$A146))</f>
        <v/>
      </c>
      <c r="M146" s="13" t="str">
        <f>IF($A146="","",[1]!thsiFinD("ths_adjustment_nv_fund",M$3,$A146))</f>
        <v/>
      </c>
      <c r="N146" s="13" t="str">
        <f>IF($A146="","",[1]!thsiFinD("ths_adjustment_nv_fund",N$3,$A146))</f>
        <v/>
      </c>
      <c r="O146" s="13" t="str">
        <f>IF($A146="","",[1]!thsiFinD("ths_adjustment_nv_fund",O$3,$A146))</f>
        <v/>
      </c>
      <c r="P146" s="13" t="str">
        <f>IF($A146="","",[1]!thsiFinD("ths_adjustment_nv_fund",P$3,$A146))</f>
        <v/>
      </c>
      <c r="Q146" s="13" t="str">
        <f>IF($A146="","",[1]!thsiFinD("ths_adjustment_nv_fund",Q$3,$A146))</f>
        <v/>
      </c>
      <c r="R146" s="13" t="str">
        <f>IF($A146="","",[1]!thsiFinD("ths_adjustment_nv_fund",R$3,$A146))</f>
        <v/>
      </c>
      <c r="S146" s="13" t="str">
        <f>IF($A146="","",[1]!thsiFinD("ths_adjustment_nv_fund",S$3,$A146))</f>
        <v/>
      </c>
      <c r="T146" s="13" t="str">
        <f>IF($A146="","",[1]!thsiFinD("ths_adjustment_nv_fund",T$3,$A146))</f>
        <v/>
      </c>
      <c r="U146" s="13" t="str">
        <f>IF($A146="","",[1]!thsiFinD("ths_adjustment_nv_fund",U$3,$A146))</f>
        <v/>
      </c>
      <c r="V146" s="13" t="str">
        <f>IF($A146="","",[1]!thsiFinD("ths_adjustment_nv_fund",V$3,$A146))</f>
        <v/>
      </c>
      <c r="W146" s="13" t="str">
        <f>IF($A146="","",[1]!thsiFinD("ths_adjustment_nv_fund",W$3,$A146))</f>
        <v/>
      </c>
      <c r="X146" s="13" t="str">
        <f>IF($A146="","",[1]!thsiFinD("ths_adjustment_nv_fund",X$3,$A146))</f>
        <v/>
      </c>
      <c r="Y146" s="13" t="str">
        <f>IF($A146="","",[1]!thsiFinD("ths_adjustment_nv_fund",Y$3,$A146))</f>
        <v/>
      </c>
      <c r="Z146" s="13" t="str">
        <f>IF($A146="","",[1]!thsiFinD("ths_adjustment_nv_fund",Z$3,$A146))</f>
        <v/>
      </c>
      <c r="AA146" s="13" t="str">
        <f>IF($A146="","",[1]!thsiFinD("ths_adjustment_nv_fund",AA$3,$A146))</f>
        <v/>
      </c>
      <c r="AB146" s="13" t="str">
        <f>IF($A146="","",[1]!thsiFinD("ths_adjustment_nv_fund",AB$3,$A146))</f>
        <v/>
      </c>
    </row>
    <row r="147" spans="2:28">
      <c r="B147" s="13" t="str">
        <f>IF($A147="","",[1]!thsiFinD("ths_adjustment_nv_fund",B$3,$A147))</f>
        <v/>
      </c>
      <c r="C147" s="13" t="str">
        <f>IF($A147="","",[1]!thsiFinD("ths_adjustment_nv_fund",C$3,$A147))</f>
        <v/>
      </c>
      <c r="D147" s="13" t="str">
        <f>IF($A147="","",[1]!thsiFinD("ths_adjustment_nv_fund",D$3,$A147))</f>
        <v/>
      </c>
      <c r="E147" s="13" t="str">
        <f>IF($A147="","",[1]!thsiFinD("ths_adjustment_nv_fund",E$3,$A147))</f>
        <v/>
      </c>
      <c r="F147" s="13" t="str">
        <f>IF($A147="","",[1]!thsiFinD("ths_adjustment_nv_fund",F$3,$A147))</f>
        <v/>
      </c>
      <c r="G147" s="13" t="str">
        <f>IF($A147="","",[1]!thsiFinD("ths_adjustment_nv_fund",G$3,$A147))</f>
        <v/>
      </c>
      <c r="H147" s="13" t="str">
        <f>IF($A147="","",[1]!thsiFinD("ths_adjustment_nv_fund",H$3,$A147))</f>
        <v/>
      </c>
      <c r="I147" s="13" t="str">
        <f>IF($A147="","",[1]!thsiFinD("ths_adjustment_nv_fund",I$3,$A147))</f>
        <v/>
      </c>
      <c r="J147" s="13" t="str">
        <f>IF($A147="","",[1]!thsiFinD("ths_adjustment_nv_fund",J$3,$A147))</f>
        <v/>
      </c>
      <c r="K147" s="13" t="str">
        <f>IF($A147="","",[1]!thsiFinD("ths_adjustment_nv_fund",K$3,$A147))</f>
        <v/>
      </c>
      <c r="L147" s="13" t="str">
        <f>IF($A147="","",[1]!thsiFinD("ths_adjustment_nv_fund",L$3,$A147))</f>
        <v/>
      </c>
      <c r="M147" s="13" t="str">
        <f>IF($A147="","",[1]!thsiFinD("ths_adjustment_nv_fund",M$3,$A147))</f>
        <v/>
      </c>
      <c r="N147" s="13" t="str">
        <f>IF($A147="","",[1]!thsiFinD("ths_adjustment_nv_fund",N$3,$A147))</f>
        <v/>
      </c>
      <c r="O147" s="13" t="str">
        <f>IF($A147="","",[1]!thsiFinD("ths_adjustment_nv_fund",O$3,$A147))</f>
        <v/>
      </c>
      <c r="P147" s="13" t="str">
        <f>IF($A147="","",[1]!thsiFinD("ths_adjustment_nv_fund",P$3,$A147))</f>
        <v/>
      </c>
      <c r="Q147" s="13" t="str">
        <f>IF($A147="","",[1]!thsiFinD("ths_adjustment_nv_fund",Q$3,$A147))</f>
        <v/>
      </c>
      <c r="R147" s="13" t="str">
        <f>IF($A147="","",[1]!thsiFinD("ths_adjustment_nv_fund",R$3,$A147))</f>
        <v/>
      </c>
      <c r="S147" s="13" t="str">
        <f>IF($A147="","",[1]!thsiFinD("ths_adjustment_nv_fund",S$3,$A147))</f>
        <v/>
      </c>
      <c r="T147" s="13" t="str">
        <f>IF($A147="","",[1]!thsiFinD("ths_adjustment_nv_fund",T$3,$A147))</f>
        <v/>
      </c>
      <c r="U147" s="13" t="str">
        <f>IF($A147="","",[1]!thsiFinD("ths_adjustment_nv_fund",U$3,$A147))</f>
        <v/>
      </c>
      <c r="V147" s="13" t="str">
        <f>IF($A147="","",[1]!thsiFinD("ths_adjustment_nv_fund",V$3,$A147))</f>
        <v/>
      </c>
      <c r="W147" s="13" t="str">
        <f>IF($A147="","",[1]!thsiFinD("ths_adjustment_nv_fund",W$3,$A147))</f>
        <v/>
      </c>
      <c r="X147" s="13" t="str">
        <f>IF($A147="","",[1]!thsiFinD("ths_adjustment_nv_fund",X$3,$A147))</f>
        <v/>
      </c>
      <c r="Y147" s="13" t="str">
        <f>IF($A147="","",[1]!thsiFinD("ths_adjustment_nv_fund",Y$3,$A147))</f>
        <v/>
      </c>
      <c r="Z147" s="13" t="str">
        <f>IF($A147="","",[1]!thsiFinD("ths_adjustment_nv_fund",Z$3,$A147))</f>
        <v/>
      </c>
      <c r="AA147" s="13" t="str">
        <f>IF($A147="","",[1]!thsiFinD("ths_adjustment_nv_fund",AA$3,$A147))</f>
        <v/>
      </c>
      <c r="AB147" s="13" t="str">
        <f>IF($A147="","",[1]!thsiFinD("ths_adjustment_nv_fund",AB$3,$A147))</f>
        <v/>
      </c>
    </row>
    <row r="148" spans="2:28">
      <c r="B148" s="13" t="str">
        <f>IF($A148="","",[1]!thsiFinD("ths_adjustment_nv_fund",B$3,$A148))</f>
        <v/>
      </c>
      <c r="C148" s="13" t="str">
        <f>IF($A148="","",[1]!thsiFinD("ths_adjustment_nv_fund",C$3,$A148))</f>
        <v/>
      </c>
      <c r="D148" s="13" t="str">
        <f>IF($A148="","",[1]!thsiFinD("ths_adjustment_nv_fund",D$3,$A148))</f>
        <v/>
      </c>
      <c r="E148" s="13" t="str">
        <f>IF($A148="","",[1]!thsiFinD("ths_adjustment_nv_fund",E$3,$A148))</f>
        <v/>
      </c>
      <c r="F148" s="13" t="str">
        <f>IF($A148="","",[1]!thsiFinD("ths_adjustment_nv_fund",F$3,$A148))</f>
        <v/>
      </c>
      <c r="G148" s="13" t="str">
        <f>IF($A148="","",[1]!thsiFinD("ths_adjustment_nv_fund",G$3,$A148))</f>
        <v/>
      </c>
      <c r="H148" s="13" t="str">
        <f>IF($A148="","",[1]!thsiFinD("ths_adjustment_nv_fund",H$3,$A148))</f>
        <v/>
      </c>
      <c r="I148" s="13" t="str">
        <f>IF($A148="","",[1]!thsiFinD("ths_adjustment_nv_fund",I$3,$A148))</f>
        <v/>
      </c>
      <c r="J148" s="13" t="str">
        <f>IF($A148="","",[1]!thsiFinD("ths_adjustment_nv_fund",J$3,$A148))</f>
        <v/>
      </c>
      <c r="K148" s="13" t="str">
        <f>IF($A148="","",[1]!thsiFinD("ths_adjustment_nv_fund",K$3,$A148))</f>
        <v/>
      </c>
      <c r="L148" s="13" t="str">
        <f>IF($A148="","",[1]!thsiFinD("ths_adjustment_nv_fund",L$3,$A148))</f>
        <v/>
      </c>
      <c r="M148" s="13" t="str">
        <f>IF($A148="","",[1]!thsiFinD("ths_adjustment_nv_fund",M$3,$A148))</f>
        <v/>
      </c>
      <c r="N148" s="13" t="str">
        <f>IF($A148="","",[1]!thsiFinD("ths_adjustment_nv_fund",N$3,$A148))</f>
        <v/>
      </c>
      <c r="O148" s="13" t="str">
        <f>IF($A148="","",[1]!thsiFinD("ths_adjustment_nv_fund",O$3,$A148))</f>
        <v/>
      </c>
      <c r="P148" s="13" t="str">
        <f>IF($A148="","",[1]!thsiFinD("ths_adjustment_nv_fund",P$3,$A148))</f>
        <v/>
      </c>
      <c r="Q148" s="13" t="str">
        <f>IF($A148="","",[1]!thsiFinD("ths_adjustment_nv_fund",Q$3,$A148))</f>
        <v/>
      </c>
      <c r="R148" s="13" t="str">
        <f>IF($A148="","",[1]!thsiFinD("ths_adjustment_nv_fund",R$3,$A148))</f>
        <v/>
      </c>
      <c r="S148" s="13" t="str">
        <f>IF($A148="","",[1]!thsiFinD("ths_adjustment_nv_fund",S$3,$A148))</f>
        <v/>
      </c>
      <c r="T148" s="13" t="str">
        <f>IF($A148="","",[1]!thsiFinD("ths_adjustment_nv_fund",T$3,$A148))</f>
        <v/>
      </c>
      <c r="U148" s="13" t="str">
        <f>IF($A148="","",[1]!thsiFinD("ths_adjustment_nv_fund",U$3,$A148))</f>
        <v/>
      </c>
      <c r="V148" s="13" t="str">
        <f>IF($A148="","",[1]!thsiFinD("ths_adjustment_nv_fund",V$3,$A148))</f>
        <v/>
      </c>
      <c r="W148" s="13" t="str">
        <f>IF($A148="","",[1]!thsiFinD("ths_adjustment_nv_fund",W$3,$A148))</f>
        <v/>
      </c>
      <c r="X148" s="13" t="str">
        <f>IF($A148="","",[1]!thsiFinD("ths_adjustment_nv_fund",X$3,$A148))</f>
        <v/>
      </c>
      <c r="Y148" s="13" t="str">
        <f>IF($A148="","",[1]!thsiFinD("ths_adjustment_nv_fund",Y$3,$A148))</f>
        <v/>
      </c>
      <c r="Z148" s="13" t="str">
        <f>IF($A148="","",[1]!thsiFinD("ths_adjustment_nv_fund",Z$3,$A148))</f>
        <v/>
      </c>
      <c r="AA148" s="13" t="str">
        <f>IF($A148="","",[1]!thsiFinD("ths_adjustment_nv_fund",AA$3,$A148))</f>
        <v/>
      </c>
      <c r="AB148" s="13" t="str">
        <f>IF($A148="","",[1]!thsiFinD("ths_adjustment_nv_fund",AB$3,$A148))</f>
        <v/>
      </c>
    </row>
    <row r="149" spans="2:28">
      <c r="B149" s="13" t="str">
        <f>IF($A149="","",[1]!thsiFinD("ths_adjustment_nv_fund",B$3,$A149))</f>
        <v/>
      </c>
      <c r="C149" s="13" t="str">
        <f>IF($A149="","",[1]!thsiFinD("ths_adjustment_nv_fund",C$3,$A149))</f>
        <v/>
      </c>
      <c r="D149" s="13" t="str">
        <f>IF($A149="","",[1]!thsiFinD("ths_adjustment_nv_fund",D$3,$A149))</f>
        <v/>
      </c>
      <c r="E149" s="13" t="str">
        <f>IF($A149="","",[1]!thsiFinD("ths_adjustment_nv_fund",E$3,$A149))</f>
        <v/>
      </c>
      <c r="F149" s="13" t="str">
        <f>IF($A149="","",[1]!thsiFinD("ths_adjustment_nv_fund",F$3,$A149))</f>
        <v/>
      </c>
      <c r="G149" s="13" t="str">
        <f>IF($A149="","",[1]!thsiFinD("ths_adjustment_nv_fund",G$3,$A149))</f>
        <v/>
      </c>
      <c r="H149" s="13" t="str">
        <f>IF($A149="","",[1]!thsiFinD("ths_adjustment_nv_fund",H$3,$A149))</f>
        <v/>
      </c>
      <c r="I149" s="13" t="str">
        <f>IF($A149="","",[1]!thsiFinD("ths_adjustment_nv_fund",I$3,$A149))</f>
        <v/>
      </c>
      <c r="J149" s="13" t="str">
        <f>IF($A149="","",[1]!thsiFinD("ths_adjustment_nv_fund",J$3,$A149))</f>
        <v/>
      </c>
      <c r="K149" s="13" t="str">
        <f>IF($A149="","",[1]!thsiFinD("ths_adjustment_nv_fund",K$3,$A149))</f>
        <v/>
      </c>
      <c r="L149" s="13" t="str">
        <f>IF($A149="","",[1]!thsiFinD("ths_adjustment_nv_fund",L$3,$A149))</f>
        <v/>
      </c>
      <c r="M149" s="13" t="str">
        <f>IF($A149="","",[1]!thsiFinD("ths_adjustment_nv_fund",M$3,$A149))</f>
        <v/>
      </c>
      <c r="N149" s="13" t="str">
        <f>IF($A149="","",[1]!thsiFinD("ths_adjustment_nv_fund",N$3,$A149))</f>
        <v/>
      </c>
      <c r="O149" s="13" t="str">
        <f>IF($A149="","",[1]!thsiFinD("ths_adjustment_nv_fund",O$3,$A149))</f>
        <v/>
      </c>
      <c r="P149" s="13" t="str">
        <f>IF($A149="","",[1]!thsiFinD("ths_adjustment_nv_fund",P$3,$A149))</f>
        <v/>
      </c>
      <c r="Q149" s="13" t="str">
        <f>IF($A149="","",[1]!thsiFinD("ths_adjustment_nv_fund",Q$3,$A149))</f>
        <v/>
      </c>
      <c r="R149" s="13" t="str">
        <f>IF($A149="","",[1]!thsiFinD("ths_adjustment_nv_fund",R$3,$A149))</f>
        <v/>
      </c>
      <c r="S149" s="13" t="str">
        <f>IF($A149="","",[1]!thsiFinD("ths_adjustment_nv_fund",S$3,$A149))</f>
        <v/>
      </c>
      <c r="T149" s="13" t="str">
        <f>IF($A149="","",[1]!thsiFinD("ths_adjustment_nv_fund",T$3,$A149))</f>
        <v/>
      </c>
      <c r="U149" s="13" t="str">
        <f>IF($A149="","",[1]!thsiFinD("ths_adjustment_nv_fund",U$3,$A149))</f>
        <v/>
      </c>
      <c r="V149" s="13" t="str">
        <f>IF($A149="","",[1]!thsiFinD("ths_adjustment_nv_fund",V$3,$A149))</f>
        <v/>
      </c>
      <c r="W149" s="13" t="str">
        <f>IF($A149="","",[1]!thsiFinD("ths_adjustment_nv_fund",W$3,$A149))</f>
        <v/>
      </c>
      <c r="X149" s="13" t="str">
        <f>IF($A149="","",[1]!thsiFinD("ths_adjustment_nv_fund",X$3,$A149))</f>
        <v/>
      </c>
      <c r="Y149" s="13" t="str">
        <f>IF($A149="","",[1]!thsiFinD("ths_adjustment_nv_fund",Y$3,$A149))</f>
        <v/>
      </c>
      <c r="Z149" s="13" t="str">
        <f>IF($A149="","",[1]!thsiFinD("ths_adjustment_nv_fund",Z$3,$A149))</f>
        <v/>
      </c>
      <c r="AA149" s="13" t="str">
        <f>IF($A149="","",[1]!thsiFinD("ths_adjustment_nv_fund",AA$3,$A149))</f>
        <v/>
      </c>
      <c r="AB149" s="13" t="str">
        <f>IF($A149="","",[1]!thsiFinD("ths_adjustment_nv_fund",AB$3,$A149))</f>
        <v/>
      </c>
    </row>
    <row r="150" spans="2:28">
      <c r="B150" s="13" t="str">
        <f>IF($A150="","",[1]!thsiFinD("ths_adjustment_nv_fund",B$3,$A150))</f>
        <v/>
      </c>
      <c r="C150" s="13" t="str">
        <f>IF($A150="","",[1]!thsiFinD("ths_adjustment_nv_fund",C$3,$A150))</f>
        <v/>
      </c>
      <c r="D150" s="13" t="str">
        <f>IF($A150="","",[1]!thsiFinD("ths_adjustment_nv_fund",D$3,$A150))</f>
        <v/>
      </c>
      <c r="E150" s="13" t="str">
        <f>IF($A150="","",[1]!thsiFinD("ths_adjustment_nv_fund",E$3,$A150))</f>
        <v/>
      </c>
      <c r="F150" s="13" t="str">
        <f>IF($A150="","",[1]!thsiFinD("ths_adjustment_nv_fund",F$3,$A150))</f>
        <v/>
      </c>
      <c r="G150" s="13" t="str">
        <f>IF($A150="","",[1]!thsiFinD("ths_adjustment_nv_fund",G$3,$A150))</f>
        <v/>
      </c>
      <c r="H150" s="13" t="str">
        <f>IF($A150="","",[1]!thsiFinD("ths_adjustment_nv_fund",H$3,$A150))</f>
        <v/>
      </c>
      <c r="I150" s="13" t="str">
        <f>IF($A150="","",[1]!thsiFinD("ths_adjustment_nv_fund",I$3,$A150))</f>
        <v/>
      </c>
      <c r="J150" s="13" t="str">
        <f>IF($A150="","",[1]!thsiFinD("ths_adjustment_nv_fund",J$3,$A150))</f>
        <v/>
      </c>
      <c r="K150" s="13" t="str">
        <f>IF($A150="","",[1]!thsiFinD("ths_adjustment_nv_fund",K$3,$A150))</f>
        <v/>
      </c>
      <c r="L150" s="13" t="str">
        <f>IF($A150="","",[1]!thsiFinD("ths_adjustment_nv_fund",L$3,$A150))</f>
        <v/>
      </c>
      <c r="M150" s="13" t="str">
        <f>IF($A150="","",[1]!thsiFinD("ths_adjustment_nv_fund",M$3,$A150))</f>
        <v/>
      </c>
      <c r="N150" s="13" t="str">
        <f>IF($A150="","",[1]!thsiFinD("ths_adjustment_nv_fund",N$3,$A150))</f>
        <v/>
      </c>
      <c r="O150" s="13" t="str">
        <f>IF($A150="","",[1]!thsiFinD("ths_adjustment_nv_fund",O$3,$A150))</f>
        <v/>
      </c>
      <c r="P150" s="13" t="str">
        <f>IF($A150="","",[1]!thsiFinD("ths_adjustment_nv_fund",P$3,$A150))</f>
        <v/>
      </c>
      <c r="Q150" s="13" t="str">
        <f>IF($A150="","",[1]!thsiFinD("ths_adjustment_nv_fund",Q$3,$A150))</f>
        <v/>
      </c>
      <c r="R150" s="13" t="str">
        <f>IF($A150="","",[1]!thsiFinD("ths_adjustment_nv_fund",R$3,$A150))</f>
        <v/>
      </c>
      <c r="S150" s="13" t="str">
        <f>IF($A150="","",[1]!thsiFinD("ths_adjustment_nv_fund",S$3,$A150))</f>
        <v/>
      </c>
      <c r="T150" s="13" t="str">
        <f>IF($A150="","",[1]!thsiFinD("ths_adjustment_nv_fund",T$3,$A150))</f>
        <v/>
      </c>
      <c r="U150" s="13" t="str">
        <f>IF($A150="","",[1]!thsiFinD("ths_adjustment_nv_fund",U$3,$A150))</f>
        <v/>
      </c>
      <c r="V150" s="13" t="str">
        <f>IF($A150="","",[1]!thsiFinD("ths_adjustment_nv_fund",V$3,$A150))</f>
        <v/>
      </c>
      <c r="W150" s="13" t="str">
        <f>IF($A150="","",[1]!thsiFinD("ths_adjustment_nv_fund",W$3,$A150))</f>
        <v/>
      </c>
      <c r="X150" s="13" t="str">
        <f>IF($A150="","",[1]!thsiFinD("ths_adjustment_nv_fund",X$3,$A150))</f>
        <v/>
      </c>
      <c r="Y150" s="13" t="str">
        <f>IF($A150="","",[1]!thsiFinD("ths_adjustment_nv_fund",Y$3,$A150))</f>
        <v/>
      </c>
      <c r="Z150" s="13" t="str">
        <f>IF($A150="","",[1]!thsiFinD("ths_adjustment_nv_fund",Z$3,$A150))</f>
        <v/>
      </c>
      <c r="AA150" s="13" t="str">
        <f>IF($A150="","",[1]!thsiFinD("ths_adjustment_nv_fund",AA$3,$A150))</f>
        <v/>
      </c>
      <c r="AB150" s="13" t="str">
        <f>IF($A150="","",[1]!thsiFinD("ths_adjustment_nv_fund",AB$3,$A150))</f>
        <v/>
      </c>
    </row>
    <row r="151" spans="2:28">
      <c r="B151" s="13" t="str">
        <f>IF($A151="","",[1]!thsiFinD("ths_adjustment_nv_fund",B$3,$A151))</f>
        <v/>
      </c>
      <c r="C151" s="13" t="str">
        <f>IF($A151="","",[1]!thsiFinD("ths_adjustment_nv_fund",C$3,$A151))</f>
        <v/>
      </c>
      <c r="D151" s="13" t="str">
        <f>IF($A151="","",[1]!thsiFinD("ths_adjustment_nv_fund",D$3,$A151))</f>
        <v/>
      </c>
      <c r="E151" s="13" t="str">
        <f>IF($A151="","",[1]!thsiFinD("ths_adjustment_nv_fund",E$3,$A151))</f>
        <v/>
      </c>
      <c r="F151" s="13" t="str">
        <f>IF($A151="","",[1]!thsiFinD("ths_adjustment_nv_fund",F$3,$A151))</f>
        <v/>
      </c>
      <c r="G151" s="13" t="str">
        <f>IF($A151="","",[1]!thsiFinD("ths_adjustment_nv_fund",G$3,$A151))</f>
        <v/>
      </c>
      <c r="H151" s="13" t="str">
        <f>IF($A151="","",[1]!thsiFinD("ths_adjustment_nv_fund",H$3,$A151))</f>
        <v/>
      </c>
      <c r="I151" s="13" t="str">
        <f>IF($A151="","",[1]!thsiFinD("ths_adjustment_nv_fund",I$3,$A151))</f>
        <v/>
      </c>
      <c r="J151" s="13" t="str">
        <f>IF($A151="","",[1]!thsiFinD("ths_adjustment_nv_fund",J$3,$A151))</f>
        <v/>
      </c>
      <c r="K151" s="13" t="str">
        <f>IF($A151="","",[1]!thsiFinD("ths_adjustment_nv_fund",K$3,$A151))</f>
        <v/>
      </c>
      <c r="L151" s="13" t="str">
        <f>IF($A151="","",[1]!thsiFinD("ths_adjustment_nv_fund",L$3,$A151))</f>
        <v/>
      </c>
      <c r="M151" s="13" t="str">
        <f>IF($A151="","",[1]!thsiFinD("ths_adjustment_nv_fund",M$3,$A151))</f>
        <v/>
      </c>
      <c r="N151" s="13" t="str">
        <f>IF($A151="","",[1]!thsiFinD("ths_adjustment_nv_fund",N$3,$A151))</f>
        <v/>
      </c>
      <c r="O151" s="13" t="str">
        <f>IF($A151="","",[1]!thsiFinD("ths_adjustment_nv_fund",O$3,$A151))</f>
        <v/>
      </c>
      <c r="P151" s="13" t="str">
        <f>IF($A151="","",[1]!thsiFinD("ths_adjustment_nv_fund",P$3,$A151))</f>
        <v/>
      </c>
      <c r="Q151" s="13" t="str">
        <f>IF($A151="","",[1]!thsiFinD("ths_adjustment_nv_fund",Q$3,$A151))</f>
        <v/>
      </c>
      <c r="R151" s="13" t="str">
        <f>IF($A151="","",[1]!thsiFinD("ths_adjustment_nv_fund",R$3,$A151))</f>
        <v/>
      </c>
      <c r="S151" s="13" t="str">
        <f>IF($A151="","",[1]!thsiFinD("ths_adjustment_nv_fund",S$3,$A151))</f>
        <v/>
      </c>
      <c r="T151" s="13" t="str">
        <f>IF($A151="","",[1]!thsiFinD("ths_adjustment_nv_fund",T$3,$A151))</f>
        <v/>
      </c>
      <c r="U151" s="13" t="str">
        <f>IF($A151="","",[1]!thsiFinD("ths_adjustment_nv_fund",U$3,$A151))</f>
        <v/>
      </c>
      <c r="V151" s="13" t="str">
        <f>IF($A151="","",[1]!thsiFinD("ths_adjustment_nv_fund",V$3,$A151))</f>
        <v/>
      </c>
      <c r="W151" s="13" t="str">
        <f>IF($A151="","",[1]!thsiFinD("ths_adjustment_nv_fund",W$3,$A151))</f>
        <v/>
      </c>
      <c r="X151" s="13" t="str">
        <f>IF($A151="","",[1]!thsiFinD("ths_adjustment_nv_fund",X$3,$A151))</f>
        <v/>
      </c>
      <c r="Y151" s="13" t="str">
        <f>IF($A151="","",[1]!thsiFinD("ths_adjustment_nv_fund",Y$3,$A151))</f>
        <v/>
      </c>
      <c r="Z151" s="13" t="str">
        <f>IF($A151="","",[1]!thsiFinD("ths_adjustment_nv_fund",Z$3,$A151))</f>
        <v/>
      </c>
      <c r="AA151" s="13" t="str">
        <f>IF($A151="","",[1]!thsiFinD("ths_adjustment_nv_fund",AA$3,$A151))</f>
        <v/>
      </c>
      <c r="AB151" s="13" t="str">
        <f>IF($A151="","",[1]!thsiFinD("ths_adjustment_nv_fund",AB$3,$A151))</f>
        <v/>
      </c>
    </row>
    <row r="152" spans="2:28">
      <c r="B152" s="13" t="str">
        <f>IF($A152="","",[1]!thsiFinD("ths_adjustment_nv_fund",B$3,$A152))</f>
        <v/>
      </c>
      <c r="C152" s="13" t="str">
        <f>IF($A152="","",[1]!thsiFinD("ths_adjustment_nv_fund",C$3,$A152))</f>
        <v/>
      </c>
      <c r="D152" s="13" t="str">
        <f>IF($A152="","",[1]!thsiFinD("ths_adjustment_nv_fund",D$3,$A152))</f>
        <v/>
      </c>
      <c r="E152" s="13" t="str">
        <f>IF($A152="","",[1]!thsiFinD("ths_adjustment_nv_fund",E$3,$A152))</f>
        <v/>
      </c>
      <c r="F152" s="13" t="str">
        <f>IF($A152="","",[1]!thsiFinD("ths_adjustment_nv_fund",F$3,$A152))</f>
        <v/>
      </c>
      <c r="G152" s="13" t="str">
        <f>IF($A152="","",[1]!thsiFinD("ths_adjustment_nv_fund",G$3,$A152))</f>
        <v/>
      </c>
      <c r="H152" s="13" t="str">
        <f>IF($A152="","",[1]!thsiFinD("ths_adjustment_nv_fund",H$3,$A152))</f>
        <v/>
      </c>
      <c r="I152" s="13" t="str">
        <f>IF($A152="","",[1]!thsiFinD("ths_adjustment_nv_fund",I$3,$A152))</f>
        <v/>
      </c>
      <c r="J152" s="13" t="str">
        <f>IF($A152="","",[1]!thsiFinD("ths_adjustment_nv_fund",J$3,$A152))</f>
        <v/>
      </c>
      <c r="K152" s="13" t="str">
        <f>IF($A152="","",[1]!thsiFinD("ths_adjustment_nv_fund",K$3,$A152))</f>
        <v/>
      </c>
      <c r="L152" s="13" t="str">
        <f>IF($A152="","",[1]!thsiFinD("ths_adjustment_nv_fund",L$3,$A152))</f>
        <v/>
      </c>
      <c r="M152" s="13" t="str">
        <f>IF($A152="","",[1]!thsiFinD("ths_adjustment_nv_fund",M$3,$A152))</f>
        <v/>
      </c>
      <c r="N152" s="13" t="str">
        <f>IF($A152="","",[1]!thsiFinD("ths_adjustment_nv_fund",N$3,$A152))</f>
        <v/>
      </c>
      <c r="O152" s="13" t="str">
        <f>IF($A152="","",[1]!thsiFinD("ths_adjustment_nv_fund",O$3,$A152))</f>
        <v/>
      </c>
      <c r="P152" s="13" t="str">
        <f>IF($A152="","",[1]!thsiFinD("ths_adjustment_nv_fund",P$3,$A152))</f>
        <v/>
      </c>
      <c r="Q152" s="13" t="str">
        <f>IF($A152="","",[1]!thsiFinD("ths_adjustment_nv_fund",Q$3,$A152))</f>
        <v/>
      </c>
      <c r="R152" s="13" t="str">
        <f>IF($A152="","",[1]!thsiFinD("ths_adjustment_nv_fund",R$3,$A152))</f>
        <v/>
      </c>
      <c r="S152" s="13" t="str">
        <f>IF($A152="","",[1]!thsiFinD("ths_adjustment_nv_fund",S$3,$A152))</f>
        <v/>
      </c>
      <c r="T152" s="13" t="str">
        <f>IF($A152="","",[1]!thsiFinD("ths_adjustment_nv_fund",T$3,$A152))</f>
        <v/>
      </c>
      <c r="U152" s="13" t="str">
        <f>IF($A152="","",[1]!thsiFinD("ths_adjustment_nv_fund",U$3,$A152))</f>
        <v/>
      </c>
      <c r="V152" s="13" t="str">
        <f>IF($A152="","",[1]!thsiFinD("ths_adjustment_nv_fund",V$3,$A152))</f>
        <v/>
      </c>
      <c r="W152" s="13" t="str">
        <f>IF($A152="","",[1]!thsiFinD("ths_adjustment_nv_fund",W$3,$A152))</f>
        <v/>
      </c>
      <c r="X152" s="13" t="str">
        <f>IF($A152="","",[1]!thsiFinD("ths_adjustment_nv_fund",X$3,$A152))</f>
        <v/>
      </c>
      <c r="Y152" s="13" t="str">
        <f>IF($A152="","",[1]!thsiFinD("ths_adjustment_nv_fund",Y$3,$A152))</f>
        <v/>
      </c>
      <c r="Z152" s="13" t="str">
        <f>IF($A152="","",[1]!thsiFinD("ths_adjustment_nv_fund",Z$3,$A152))</f>
        <v/>
      </c>
      <c r="AA152" s="13" t="str">
        <f>IF($A152="","",[1]!thsiFinD("ths_adjustment_nv_fund",AA$3,$A152))</f>
        <v/>
      </c>
      <c r="AB152" s="13" t="str">
        <f>IF($A152="","",[1]!thsiFinD("ths_adjustment_nv_fund",AB$3,$A152))</f>
        <v/>
      </c>
    </row>
    <row r="153" spans="2:28">
      <c r="B153" s="13" t="str">
        <f>IF($A153="","",[1]!thsiFinD("ths_adjustment_nv_fund",B$3,$A153))</f>
        <v/>
      </c>
      <c r="C153" s="13" t="str">
        <f>IF($A153="","",[1]!thsiFinD("ths_adjustment_nv_fund",C$3,$A153))</f>
        <v/>
      </c>
      <c r="D153" s="13" t="str">
        <f>IF($A153="","",[1]!thsiFinD("ths_adjustment_nv_fund",D$3,$A153))</f>
        <v/>
      </c>
      <c r="E153" s="13" t="str">
        <f>IF($A153="","",[1]!thsiFinD("ths_adjustment_nv_fund",E$3,$A153))</f>
        <v/>
      </c>
      <c r="F153" s="13" t="str">
        <f>IF($A153="","",[1]!thsiFinD("ths_adjustment_nv_fund",F$3,$A153))</f>
        <v/>
      </c>
      <c r="G153" s="13" t="str">
        <f>IF($A153="","",[1]!thsiFinD("ths_adjustment_nv_fund",G$3,$A153))</f>
        <v/>
      </c>
      <c r="H153" s="13" t="str">
        <f>IF($A153="","",[1]!thsiFinD("ths_adjustment_nv_fund",H$3,$A153))</f>
        <v/>
      </c>
      <c r="I153" s="13" t="str">
        <f>IF($A153="","",[1]!thsiFinD("ths_adjustment_nv_fund",I$3,$A153))</f>
        <v/>
      </c>
      <c r="J153" s="13" t="str">
        <f>IF($A153="","",[1]!thsiFinD("ths_adjustment_nv_fund",J$3,$A153))</f>
        <v/>
      </c>
      <c r="K153" s="13" t="str">
        <f>IF($A153="","",[1]!thsiFinD("ths_adjustment_nv_fund",K$3,$A153))</f>
        <v/>
      </c>
      <c r="L153" s="13" t="str">
        <f>IF($A153="","",[1]!thsiFinD("ths_adjustment_nv_fund",L$3,$A153))</f>
        <v/>
      </c>
      <c r="M153" s="13" t="str">
        <f>IF($A153="","",[1]!thsiFinD("ths_adjustment_nv_fund",M$3,$A153))</f>
        <v/>
      </c>
      <c r="N153" s="13" t="str">
        <f>IF($A153="","",[1]!thsiFinD("ths_adjustment_nv_fund",N$3,$A153))</f>
        <v/>
      </c>
      <c r="O153" s="13" t="str">
        <f>IF($A153="","",[1]!thsiFinD("ths_adjustment_nv_fund",O$3,$A153))</f>
        <v/>
      </c>
      <c r="P153" s="13" t="str">
        <f>IF($A153="","",[1]!thsiFinD("ths_adjustment_nv_fund",P$3,$A153))</f>
        <v/>
      </c>
      <c r="Q153" s="13" t="str">
        <f>IF($A153="","",[1]!thsiFinD("ths_adjustment_nv_fund",Q$3,$A153))</f>
        <v/>
      </c>
      <c r="R153" s="13" t="str">
        <f>IF($A153="","",[1]!thsiFinD("ths_adjustment_nv_fund",R$3,$A153))</f>
        <v/>
      </c>
      <c r="S153" s="13" t="str">
        <f>IF($A153="","",[1]!thsiFinD("ths_adjustment_nv_fund",S$3,$A153))</f>
        <v/>
      </c>
      <c r="T153" s="13" t="str">
        <f>IF($A153="","",[1]!thsiFinD("ths_adjustment_nv_fund",T$3,$A153))</f>
        <v/>
      </c>
      <c r="U153" s="13" t="str">
        <f>IF($A153="","",[1]!thsiFinD("ths_adjustment_nv_fund",U$3,$A153))</f>
        <v/>
      </c>
      <c r="V153" s="13" t="str">
        <f>IF($A153="","",[1]!thsiFinD("ths_adjustment_nv_fund",V$3,$A153))</f>
        <v/>
      </c>
      <c r="W153" s="13" t="str">
        <f>IF($A153="","",[1]!thsiFinD("ths_adjustment_nv_fund",W$3,$A153))</f>
        <v/>
      </c>
      <c r="X153" s="13" t="str">
        <f>IF($A153="","",[1]!thsiFinD("ths_adjustment_nv_fund",X$3,$A153))</f>
        <v/>
      </c>
      <c r="Y153" s="13" t="str">
        <f>IF($A153="","",[1]!thsiFinD("ths_adjustment_nv_fund",Y$3,$A153))</f>
        <v/>
      </c>
      <c r="Z153" s="13" t="str">
        <f>IF($A153="","",[1]!thsiFinD("ths_adjustment_nv_fund",Z$3,$A153))</f>
        <v/>
      </c>
      <c r="AA153" s="13" t="str">
        <f>IF($A153="","",[1]!thsiFinD("ths_adjustment_nv_fund",AA$3,$A153))</f>
        <v/>
      </c>
      <c r="AB153" s="13" t="str">
        <f>IF($A153="","",[1]!thsiFinD("ths_adjustment_nv_fund",AB$3,$A153))</f>
        <v/>
      </c>
    </row>
    <row r="154" spans="2:28">
      <c r="B154" s="13" t="str">
        <f>IF($A154="","",[1]!thsiFinD("ths_adjustment_nv_fund",B$3,$A154))</f>
        <v/>
      </c>
      <c r="C154" s="13" t="str">
        <f>IF($A154="","",[1]!thsiFinD("ths_adjustment_nv_fund",C$3,$A154))</f>
        <v/>
      </c>
      <c r="D154" s="13" t="str">
        <f>IF($A154="","",[1]!thsiFinD("ths_adjustment_nv_fund",D$3,$A154))</f>
        <v/>
      </c>
      <c r="E154" s="13" t="str">
        <f>IF($A154="","",[1]!thsiFinD("ths_adjustment_nv_fund",E$3,$A154))</f>
        <v/>
      </c>
      <c r="F154" s="13" t="str">
        <f>IF($A154="","",[1]!thsiFinD("ths_adjustment_nv_fund",F$3,$A154))</f>
        <v/>
      </c>
      <c r="G154" s="13" t="str">
        <f>IF($A154="","",[1]!thsiFinD("ths_adjustment_nv_fund",G$3,$A154))</f>
        <v/>
      </c>
      <c r="H154" s="13" t="str">
        <f>IF($A154="","",[1]!thsiFinD("ths_adjustment_nv_fund",H$3,$A154))</f>
        <v/>
      </c>
      <c r="I154" s="13" t="str">
        <f>IF($A154="","",[1]!thsiFinD("ths_adjustment_nv_fund",I$3,$A154))</f>
        <v/>
      </c>
      <c r="J154" s="13" t="str">
        <f>IF($A154="","",[1]!thsiFinD("ths_adjustment_nv_fund",J$3,$A154))</f>
        <v/>
      </c>
      <c r="K154" s="13" t="str">
        <f>IF($A154="","",[1]!thsiFinD("ths_adjustment_nv_fund",K$3,$A154))</f>
        <v/>
      </c>
      <c r="L154" s="13" t="str">
        <f>IF($A154="","",[1]!thsiFinD("ths_adjustment_nv_fund",L$3,$A154))</f>
        <v/>
      </c>
      <c r="M154" s="13" t="str">
        <f>IF($A154="","",[1]!thsiFinD("ths_adjustment_nv_fund",M$3,$A154))</f>
        <v/>
      </c>
      <c r="N154" s="13" t="str">
        <f>IF($A154="","",[1]!thsiFinD("ths_adjustment_nv_fund",N$3,$A154))</f>
        <v/>
      </c>
      <c r="O154" s="13" t="str">
        <f>IF($A154="","",[1]!thsiFinD("ths_adjustment_nv_fund",O$3,$A154))</f>
        <v/>
      </c>
      <c r="P154" s="13" t="str">
        <f>IF($A154="","",[1]!thsiFinD("ths_adjustment_nv_fund",P$3,$A154))</f>
        <v/>
      </c>
      <c r="Q154" s="13" t="str">
        <f>IF($A154="","",[1]!thsiFinD("ths_adjustment_nv_fund",Q$3,$A154))</f>
        <v/>
      </c>
      <c r="R154" s="13" t="str">
        <f>IF($A154="","",[1]!thsiFinD("ths_adjustment_nv_fund",R$3,$A154))</f>
        <v/>
      </c>
      <c r="S154" s="13" t="str">
        <f>IF($A154="","",[1]!thsiFinD("ths_adjustment_nv_fund",S$3,$A154))</f>
        <v/>
      </c>
      <c r="T154" s="13" t="str">
        <f>IF($A154="","",[1]!thsiFinD("ths_adjustment_nv_fund",T$3,$A154))</f>
        <v/>
      </c>
      <c r="U154" s="13" t="str">
        <f>IF($A154="","",[1]!thsiFinD("ths_adjustment_nv_fund",U$3,$A154))</f>
        <v/>
      </c>
      <c r="V154" s="13" t="str">
        <f>IF($A154="","",[1]!thsiFinD("ths_adjustment_nv_fund",V$3,$A154))</f>
        <v/>
      </c>
      <c r="W154" s="13" t="str">
        <f>IF($A154="","",[1]!thsiFinD("ths_adjustment_nv_fund",W$3,$A154))</f>
        <v/>
      </c>
      <c r="X154" s="13" t="str">
        <f>IF($A154="","",[1]!thsiFinD("ths_adjustment_nv_fund",X$3,$A154))</f>
        <v/>
      </c>
      <c r="Y154" s="13" t="str">
        <f>IF($A154="","",[1]!thsiFinD("ths_adjustment_nv_fund",Y$3,$A154))</f>
        <v/>
      </c>
      <c r="Z154" s="13" t="str">
        <f>IF($A154="","",[1]!thsiFinD("ths_adjustment_nv_fund",Z$3,$A154))</f>
        <v/>
      </c>
      <c r="AA154" s="13" t="str">
        <f>IF($A154="","",[1]!thsiFinD("ths_adjustment_nv_fund",AA$3,$A154))</f>
        <v/>
      </c>
      <c r="AB154" s="13" t="str">
        <f>IF($A154="","",[1]!thsiFinD("ths_adjustment_nv_fund",AB$3,$A154))</f>
        <v/>
      </c>
    </row>
    <row r="155" spans="2:28">
      <c r="B155" s="13" t="str">
        <f>IF($A155="","",[1]!thsiFinD("ths_adjustment_nv_fund",B$3,$A155))</f>
        <v/>
      </c>
      <c r="C155" s="13" t="str">
        <f>IF($A155="","",[1]!thsiFinD("ths_adjustment_nv_fund",C$3,$A155))</f>
        <v/>
      </c>
      <c r="D155" s="13" t="str">
        <f>IF($A155="","",[1]!thsiFinD("ths_adjustment_nv_fund",D$3,$A155))</f>
        <v/>
      </c>
      <c r="E155" s="13" t="str">
        <f>IF($A155="","",[1]!thsiFinD("ths_adjustment_nv_fund",E$3,$A155))</f>
        <v/>
      </c>
      <c r="F155" s="13" t="str">
        <f>IF($A155="","",[1]!thsiFinD("ths_adjustment_nv_fund",F$3,$A155))</f>
        <v/>
      </c>
      <c r="G155" s="13" t="str">
        <f>IF($A155="","",[1]!thsiFinD("ths_adjustment_nv_fund",G$3,$A155))</f>
        <v/>
      </c>
      <c r="H155" s="13" t="str">
        <f>IF($A155="","",[1]!thsiFinD("ths_adjustment_nv_fund",H$3,$A155))</f>
        <v/>
      </c>
      <c r="I155" s="13" t="str">
        <f>IF($A155="","",[1]!thsiFinD("ths_adjustment_nv_fund",I$3,$A155))</f>
        <v/>
      </c>
      <c r="J155" s="13" t="str">
        <f>IF($A155="","",[1]!thsiFinD("ths_adjustment_nv_fund",J$3,$A155))</f>
        <v/>
      </c>
      <c r="K155" s="13" t="str">
        <f>IF($A155="","",[1]!thsiFinD("ths_adjustment_nv_fund",K$3,$A155))</f>
        <v/>
      </c>
      <c r="L155" s="13" t="str">
        <f>IF($A155="","",[1]!thsiFinD("ths_adjustment_nv_fund",L$3,$A155))</f>
        <v/>
      </c>
      <c r="M155" s="13" t="str">
        <f>IF($A155="","",[1]!thsiFinD("ths_adjustment_nv_fund",M$3,$A155))</f>
        <v/>
      </c>
      <c r="N155" s="13" t="str">
        <f>IF($A155="","",[1]!thsiFinD("ths_adjustment_nv_fund",N$3,$A155))</f>
        <v/>
      </c>
      <c r="O155" s="13" t="str">
        <f>IF($A155="","",[1]!thsiFinD("ths_adjustment_nv_fund",O$3,$A155))</f>
        <v/>
      </c>
      <c r="P155" s="13" t="str">
        <f>IF($A155="","",[1]!thsiFinD("ths_adjustment_nv_fund",P$3,$A155))</f>
        <v/>
      </c>
      <c r="Q155" s="13" t="str">
        <f>IF($A155="","",[1]!thsiFinD("ths_adjustment_nv_fund",Q$3,$A155))</f>
        <v/>
      </c>
      <c r="R155" s="13" t="str">
        <f>IF($A155="","",[1]!thsiFinD("ths_adjustment_nv_fund",R$3,$A155))</f>
        <v/>
      </c>
      <c r="S155" s="13" t="str">
        <f>IF($A155="","",[1]!thsiFinD("ths_adjustment_nv_fund",S$3,$A155))</f>
        <v/>
      </c>
      <c r="T155" s="13" t="str">
        <f>IF($A155="","",[1]!thsiFinD("ths_adjustment_nv_fund",T$3,$A155))</f>
        <v/>
      </c>
      <c r="U155" s="13" t="str">
        <f>IF($A155="","",[1]!thsiFinD("ths_adjustment_nv_fund",U$3,$A155))</f>
        <v/>
      </c>
      <c r="V155" s="13" t="str">
        <f>IF($A155="","",[1]!thsiFinD("ths_adjustment_nv_fund",V$3,$A155))</f>
        <v/>
      </c>
      <c r="W155" s="13" t="str">
        <f>IF($A155="","",[1]!thsiFinD("ths_adjustment_nv_fund",W$3,$A155))</f>
        <v/>
      </c>
      <c r="X155" s="13" t="str">
        <f>IF($A155="","",[1]!thsiFinD("ths_adjustment_nv_fund",X$3,$A155))</f>
        <v/>
      </c>
      <c r="Y155" s="13" t="str">
        <f>IF($A155="","",[1]!thsiFinD("ths_adjustment_nv_fund",Y$3,$A155))</f>
        <v/>
      </c>
      <c r="Z155" s="13" t="str">
        <f>IF($A155="","",[1]!thsiFinD("ths_adjustment_nv_fund",Z$3,$A155))</f>
        <v/>
      </c>
      <c r="AA155" s="13" t="str">
        <f>IF($A155="","",[1]!thsiFinD("ths_adjustment_nv_fund",AA$3,$A155))</f>
        <v/>
      </c>
      <c r="AB155" s="13" t="str">
        <f>IF($A155="","",[1]!thsiFinD("ths_adjustment_nv_fund",AB$3,$A155))</f>
        <v/>
      </c>
    </row>
    <row r="156" spans="2:28">
      <c r="B156" s="13" t="str">
        <f>IF($A156="","",[1]!thsiFinD("ths_adjustment_nv_fund",B$3,$A156))</f>
        <v/>
      </c>
      <c r="C156" s="13" t="str">
        <f>IF($A156="","",[1]!thsiFinD("ths_adjustment_nv_fund",C$3,$A156))</f>
        <v/>
      </c>
      <c r="D156" s="13" t="str">
        <f>IF($A156="","",[1]!thsiFinD("ths_adjustment_nv_fund",D$3,$A156))</f>
        <v/>
      </c>
      <c r="E156" s="13" t="str">
        <f>IF($A156="","",[1]!thsiFinD("ths_adjustment_nv_fund",E$3,$A156))</f>
        <v/>
      </c>
      <c r="F156" s="13" t="str">
        <f>IF($A156="","",[1]!thsiFinD("ths_adjustment_nv_fund",F$3,$A156))</f>
        <v/>
      </c>
      <c r="G156" s="13" t="str">
        <f>IF($A156="","",[1]!thsiFinD("ths_adjustment_nv_fund",G$3,$A156))</f>
        <v/>
      </c>
      <c r="H156" s="13" t="str">
        <f>IF($A156="","",[1]!thsiFinD("ths_adjustment_nv_fund",H$3,$A156))</f>
        <v/>
      </c>
      <c r="I156" s="13" t="str">
        <f>IF($A156="","",[1]!thsiFinD("ths_adjustment_nv_fund",I$3,$A156))</f>
        <v/>
      </c>
      <c r="J156" s="13" t="str">
        <f>IF($A156="","",[1]!thsiFinD("ths_adjustment_nv_fund",J$3,$A156))</f>
        <v/>
      </c>
      <c r="K156" s="13" t="str">
        <f>IF($A156="","",[1]!thsiFinD("ths_adjustment_nv_fund",K$3,$A156))</f>
        <v/>
      </c>
      <c r="L156" s="13" t="str">
        <f>IF($A156="","",[1]!thsiFinD("ths_adjustment_nv_fund",L$3,$A156))</f>
        <v/>
      </c>
      <c r="M156" s="13" t="str">
        <f>IF($A156="","",[1]!thsiFinD("ths_adjustment_nv_fund",M$3,$A156))</f>
        <v/>
      </c>
      <c r="N156" s="13" t="str">
        <f>IF($A156="","",[1]!thsiFinD("ths_adjustment_nv_fund",N$3,$A156))</f>
        <v/>
      </c>
      <c r="O156" s="13" t="str">
        <f>IF($A156="","",[1]!thsiFinD("ths_adjustment_nv_fund",O$3,$A156))</f>
        <v/>
      </c>
      <c r="P156" s="13" t="str">
        <f>IF($A156="","",[1]!thsiFinD("ths_adjustment_nv_fund",P$3,$A156))</f>
        <v/>
      </c>
      <c r="Q156" s="13" t="str">
        <f>IF($A156="","",[1]!thsiFinD("ths_adjustment_nv_fund",Q$3,$A156))</f>
        <v/>
      </c>
      <c r="R156" s="13" t="str">
        <f>IF($A156="","",[1]!thsiFinD("ths_adjustment_nv_fund",R$3,$A156))</f>
        <v/>
      </c>
      <c r="S156" s="13" t="str">
        <f>IF($A156="","",[1]!thsiFinD("ths_adjustment_nv_fund",S$3,$A156))</f>
        <v/>
      </c>
      <c r="T156" s="13" t="str">
        <f>IF($A156="","",[1]!thsiFinD("ths_adjustment_nv_fund",T$3,$A156))</f>
        <v/>
      </c>
      <c r="U156" s="13" t="str">
        <f>IF($A156="","",[1]!thsiFinD("ths_adjustment_nv_fund",U$3,$A156))</f>
        <v/>
      </c>
      <c r="V156" s="13" t="str">
        <f>IF($A156="","",[1]!thsiFinD("ths_adjustment_nv_fund",V$3,$A156))</f>
        <v/>
      </c>
      <c r="W156" s="13" t="str">
        <f>IF($A156="","",[1]!thsiFinD("ths_adjustment_nv_fund",W$3,$A156))</f>
        <v/>
      </c>
      <c r="X156" s="13" t="str">
        <f>IF($A156="","",[1]!thsiFinD("ths_adjustment_nv_fund",X$3,$A156))</f>
        <v/>
      </c>
      <c r="Y156" s="13" t="str">
        <f>IF($A156="","",[1]!thsiFinD("ths_adjustment_nv_fund",Y$3,$A156))</f>
        <v/>
      </c>
      <c r="Z156" s="13" t="str">
        <f>IF($A156="","",[1]!thsiFinD("ths_adjustment_nv_fund",Z$3,$A156))</f>
        <v/>
      </c>
      <c r="AA156" s="13" t="str">
        <f>IF($A156="","",[1]!thsiFinD("ths_adjustment_nv_fund",AA$3,$A156))</f>
        <v/>
      </c>
      <c r="AB156" s="13" t="str">
        <f>IF($A156="","",[1]!thsiFinD("ths_adjustment_nv_fund",AB$3,$A156))</f>
        <v/>
      </c>
    </row>
    <row r="157" spans="2:28">
      <c r="B157" s="13" t="str">
        <f>IF($A157="","",[1]!thsiFinD("ths_adjustment_nv_fund",B$3,$A157))</f>
        <v/>
      </c>
      <c r="C157" s="13" t="str">
        <f>IF($A157="","",[1]!thsiFinD("ths_adjustment_nv_fund",C$3,$A157))</f>
        <v/>
      </c>
      <c r="D157" s="13" t="str">
        <f>IF($A157="","",[1]!thsiFinD("ths_adjustment_nv_fund",D$3,$A157))</f>
        <v/>
      </c>
      <c r="E157" s="13" t="str">
        <f>IF($A157="","",[1]!thsiFinD("ths_adjustment_nv_fund",E$3,$A157))</f>
        <v/>
      </c>
      <c r="F157" s="13" t="str">
        <f>IF($A157="","",[1]!thsiFinD("ths_adjustment_nv_fund",F$3,$A157))</f>
        <v/>
      </c>
      <c r="G157" s="13" t="str">
        <f>IF($A157="","",[1]!thsiFinD("ths_adjustment_nv_fund",G$3,$A157))</f>
        <v/>
      </c>
      <c r="H157" s="13" t="str">
        <f>IF($A157="","",[1]!thsiFinD("ths_adjustment_nv_fund",H$3,$A157))</f>
        <v/>
      </c>
      <c r="I157" s="13" t="str">
        <f>IF($A157="","",[1]!thsiFinD("ths_adjustment_nv_fund",I$3,$A157))</f>
        <v/>
      </c>
      <c r="J157" s="13" t="str">
        <f>IF($A157="","",[1]!thsiFinD("ths_adjustment_nv_fund",J$3,$A157))</f>
        <v/>
      </c>
      <c r="K157" s="13" t="str">
        <f>IF($A157="","",[1]!thsiFinD("ths_adjustment_nv_fund",K$3,$A157))</f>
        <v/>
      </c>
      <c r="L157" s="13" t="str">
        <f>IF($A157="","",[1]!thsiFinD("ths_adjustment_nv_fund",L$3,$A157))</f>
        <v/>
      </c>
      <c r="M157" s="13" t="str">
        <f>IF($A157="","",[1]!thsiFinD("ths_adjustment_nv_fund",M$3,$A157))</f>
        <v/>
      </c>
      <c r="N157" s="13" t="str">
        <f>IF($A157="","",[1]!thsiFinD("ths_adjustment_nv_fund",N$3,$A157))</f>
        <v/>
      </c>
      <c r="O157" s="13" t="str">
        <f>IF($A157="","",[1]!thsiFinD("ths_adjustment_nv_fund",O$3,$A157))</f>
        <v/>
      </c>
      <c r="P157" s="13" t="str">
        <f>IF($A157="","",[1]!thsiFinD("ths_adjustment_nv_fund",P$3,$A157))</f>
        <v/>
      </c>
      <c r="Q157" s="13" t="str">
        <f>IF($A157="","",[1]!thsiFinD("ths_adjustment_nv_fund",Q$3,$A157))</f>
        <v/>
      </c>
      <c r="R157" s="13" t="str">
        <f>IF($A157="","",[1]!thsiFinD("ths_adjustment_nv_fund",R$3,$A157))</f>
        <v/>
      </c>
      <c r="S157" s="13" t="str">
        <f>IF($A157="","",[1]!thsiFinD("ths_adjustment_nv_fund",S$3,$A157))</f>
        <v/>
      </c>
      <c r="T157" s="13" t="str">
        <f>IF($A157="","",[1]!thsiFinD("ths_adjustment_nv_fund",T$3,$A157))</f>
        <v/>
      </c>
      <c r="U157" s="13" t="str">
        <f>IF($A157="","",[1]!thsiFinD("ths_adjustment_nv_fund",U$3,$A157))</f>
        <v/>
      </c>
      <c r="V157" s="13" t="str">
        <f>IF($A157="","",[1]!thsiFinD("ths_adjustment_nv_fund",V$3,$A157))</f>
        <v/>
      </c>
      <c r="W157" s="13" t="str">
        <f>IF($A157="","",[1]!thsiFinD("ths_adjustment_nv_fund",W$3,$A157))</f>
        <v/>
      </c>
      <c r="X157" s="13" t="str">
        <f>IF($A157="","",[1]!thsiFinD("ths_adjustment_nv_fund",X$3,$A157))</f>
        <v/>
      </c>
      <c r="Y157" s="13" t="str">
        <f>IF($A157="","",[1]!thsiFinD("ths_adjustment_nv_fund",Y$3,$A157))</f>
        <v/>
      </c>
      <c r="Z157" s="13" t="str">
        <f>IF($A157="","",[1]!thsiFinD("ths_adjustment_nv_fund",Z$3,$A157))</f>
        <v/>
      </c>
      <c r="AA157" s="13" t="str">
        <f>IF($A157="","",[1]!thsiFinD("ths_adjustment_nv_fund",AA$3,$A157))</f>
        <v/>
      </c>
      <c r="AB157" s="13" t="str">
        <f>IF($A157="","",[1]!thsiFinD("ths_adjustment_nv_fund",AB$3,$A157))</f>
        <v/>
      </c>
    </row>
    <row r="158" spans="2:28">
      <c r="B158" s="13" t="str">
        <f>IF($A158="","",[1]!thsiFinD("ths_adjustment_nv_fund",B$3,$A158))</f>
        <v/>
      </c>
      <c r="C158" s="13" t="str">
        <f>IF($A158="","",[1]!thsiFinD("ths_adjustment_nv_fund",C$3,$A158))</f>
        <v/>
      </c>
      <c r="D158" s="13" t="str">
        <f>IF($A158="","",[1]!thsiFinD("ths_adjustment_nv_fund",D$3,$A158))</f>
        <v/>
      </c>
      <c r="E158" s="13" t="str">
        <f>IF($A158="","",[1]!thsiFinD("ths_adjustment_nv_fund",E$3,$A158))</f>
        <v/>
      </c>
      <c r="F158" s="13" t="str">
        <f>IF($A158="","",[1]!thsiFinD("ths_adjustment_nv_fund",F$3,$A158))</f>
        <v/>
      </c>
      <c r="G158" s="13" t="str">
        <f>IF($A158="","",[1]!thsiFinD("ths_adjustment_nv_fund",G$3,$A158))</f>
        <v/>
      </c>
      <c r="H158" s="13" t="str">
        <f>IF($A158="","",[1]!thsiFinD("ths_adjustment_nv_fund",H$3,$A158))</f>
        <v/>
      </c>
      <c r="I158" s="13" t="str">
        <f>IF($A158="","",[1]!thsiFinD("ths_adjustment_nv_fund",I$3,$A158))</f>
        <v/>
      </c>
      <c r="J158" s="13" t="str">
        <f>IF($A158="","",[1]!thsiFinD("ths_adjustment_nv_fund",J$3,$A158))</f>
        <v/>
      </c>
      <c r="K158" s="13" t="str">
        <f>IF($A158="","",[1]!thsiFinD("ths_adjustment_nv_fund",K$3,$A158))</f>
        <v/>
      </c>
      <c r="L158" s="13" t="str">
        <f>IF($A158="","",[1]!thsiFinD("ths_adjustment_nv_fund",L$3,$A158))</f>
        <v/>
      </c>
      <c r="M158" s="13" t="str">
        <f>IF($A158="","",[1]!thsiFinD("ths_adjustment_nv_fund",M$3,$A158))</f>
        <v/>
      </c>
      <c r="N158" s="13" t="str">
        <f>IF($A158="","",[1]!thsiFinD("ths_adjustment_nv_fund",N$3,$A158))</f>
        <v/>
      </c>
      <c r="O158" s="13" t="str">
        <f>IF($A158="","",[1]!thsiFinD("ths_adjustment_nv_fund",O$3,$A158))</f>
        <v/>
      </c>
      <c r="P158" s="13" t="str">
        <f>IF($A158="","",[1]!thsiFinD("ths_adjustment_nv_fund",P$3,$A158))</f>
        <v/>
      </c>
      <c r="Q158" s="13" t="str">
        <f>IF($A158="","",[1]!thsiFinD("ths_adjustment_nv_fund",Q$3,$A158))</f>
        <v/>
      </c>
      <c r="R158" s="13" t="str">
        <f>IF($A158="","",[1]!thsiFinD("ths_adjustment_nv_fund",R$3,$A158))</f>
        <v/>
      </c>
      <c r="S158" s="13" t="str">
        <f>IF($A158="","",[1]!thsiFinD("ths_adjustment_nv_fund",S$3,$A158))</f>
        <v/>
      </c>
      <c r="T158" s="13" t="str">
        <f>IF($A158="","",[1]!thsiFinD("ths_adjustment_nv_fund",T$3,$A158))</f>
        <v/>
      </c>
      <c r="U158" s="13" t="str">
        <f>IF($A158="","",[1]!thsiFinD("ths_adjustment_nv_fund",U$3,$A158))</f>
        <v/>
      </c>
      <c r="V158" s="13" t="str">
        <f>IF($A158="","",[1]!thsiFinD("ths_adjustment_nv_fund",V$3,$A158))</f>
        <v/>
      </c>
      <c r="W158" s="13" t="str">
        <f>IF($A158="","",[1]!thsiFinD("ths_adjustment_nv_fund",W$3,$A158))</f>
        <v/>
      </c>
      <c r="X158" s="13" t="str">
        <f>IF($A158="","",[1]!thsiFinD("ths_adjustment_nv_fund",X$3,$A158))</f>
        <v/>
      </c>
      <c r="Y158" s="13" t="str">
        <f>IF($A158="","",[1]!thsiFinD("ths_adjustment_nv_fund",Y$3,$A158))</f>
        <v/>
      </c>
      <c r="Z158" s="13" t="str">
        <f>IF($A158="","",[1]!thsiFinD("ths_adjustment_nv_fund",Z$3,$A158))</f>
        <v/>
      </c>
      <c r="AA158" s="13" t="str">
        <f>IF($A158="","",[1]!thsiFinD("ths_adjustment_nv_fund",AA$3,$A158))</f>
        <v/>
      </c>
      <c r="AB158" s="13" t="str">
        <f>IF($A158="","",[1]!thsiFinD("ths_adjustment_nv_fund",AB$3,$A158))</f>
        <v/>
      </c>
    </row>
    <row r="159" spans="2:28">
      <c r="B159" s="13" t="str">
        <f>IF($A159="","",[1]!thsiFinD("ths_adjustment_nv_fund",B$3,$A159))</f>
        <v/>
      </c>
      <c r="C159" s="13" t="str">
        <f>IF($A159="","",[1]!thsiFinD("ths_adjustment_nv_fund",C$3,$A159))</f>
        <v/>
      </c>
      <c r="D159" s="13" t="str">
        <f>IF($A159="","",[1]!thsiFinD("ths_adjustment_nv_fund",D$3,$A159))</f>
        <v/>
      </c>
      <c r="E159" s="13" t="str">
        <f>IF($A159="","",[1]!thsiFinD("ths_adjustment_nv_fund",E$3,$A159))</f>
        <v/>
      </c>
      <c r="F159" s="13" t="str">
        <f>IF($A159="","",[1]!thsiFinD("ths_adjustment_nv_fund",F$3,$A159))</f>
        <v/>
      </c>
      <c r="G159" s="13" t="str">
        <f>IF($A159="","",[1]!thsiFinD("ths_adjustment_nv_fund",G$3,$A159))</f>
        <v/>
      </c>
      <c r="H159" s="13" t="str">
        <f>IF($A159="","",[1]!thsiFinD("ths_adjustment_nv_fund",H$3,$A159))</f>
        <v/>
      </c>
      <c r="I159" s="13" t="str">
        <f>IF($A159="","",[1]!thsiFinD("ths_adjustment_nv_fund",I$3,$A159))</f>
        <v/>
      </c>
      <c r="J159" s="13" t="str">
        <f>IF($A159="","",[1]!thsiFinD("ths_adjustment_nv_fund",J$3,$A159))</f>
        <v/>
      </c>
      <c r="K159" s="13" t="str">
        <f>IF($A159="","",[1]!thsiFinD("ths_adjustment_nv_fund",K$3,$A159))</f>
        <v/>
      </c>
      <c r="L159" s="13" t="str">
        <f>IF($A159="","",[1]!thsiFinD("ths_adjustment_nv_fund",L$3,$A159))</f>
        <v/>
      </c>
      <c r="M159" s="13" t="str">
        <f>IF($A159="","",[1]!thsiFinD("ths_adjustment_nv_fund",M$3,$A159))</f>
        <v/>
      </c>
      <c r="N159" s="13" t="str">
        <f>IF($A159="","",[1]!thsiFinD("ths_adjustment_nv_fund",N$3,$A159))</f>
        <v/>
      </c>
      <c r="O159" s="13" t="str">
        <f>IF($A159="","",[1]!thsiFinD("ths_adjustment_nv_fund",O$3,$A159))</f>
        <v/>
      </c>
      <c r="P159" s="13" t="str">
        <f>IF($A159="","",[1]!thsiFinD("ths_adjustment_nv_fund",P$3,$A159))</f>
        <v/>
      </c>
      <c r="Q159" s="13" t="str">
        <f>IF($A159="","",[1]!thsiFinD("ths_adjustment_nv_fund",Q$3,$A159))</f>
        <v/>
      </c>
      <c r="R159" s="13" t="str">
        <f>IF($A159="","",[1]!thsiFinD("ths_adjustment_nv_fund",R$3,$A159))</f>
        <v/>
      </c>
      <c r="S159" s="13" t="str">
        <f>IF($A159="","",[1]!thsiFinD("ths_adjustment_nv_fund",S$3,$A159))</f>
        <v/>
      </c>
      <c r="T159" s="13" t="str">
        <f>IF($A159="","",[1]!thsiFinD("ths_adjustment_nv_fund",T$3,$A159))</f>
        <v/>
      </c>
      <c r="U159" s="13" t="str">
        <f>IF($A159="","",[1]!thsiFinD("ths_adjustment_nv_fund",U$3,$A159))</f>
        <v/>
      </c>
      <c r="V159" s="13" t="str">
        <f>IF($A159="","",[1]!thsiFinD("ths_adjustment_nv_fund",V$3,$A159))</f>
        <v/>
      </c>
      <c r="W159" s="13" t="str">
        <f>IF($A159="","",[1]!thsiFinD("ths_adjustment_nv_fund",W$3,$A159))</f>
        <v/>
      </c>
      <c r="X159" s="13" t="str">
        <f>IF($A159="","",[1]!thsiFinD("ths_adjustment_nv_fund",X$3,$A159))</f>
        <v/>
      </c>
      <c r="Y159" s="13" t="str">
        <f>IF($A159="","",[1]!thsiFinD("ths_adjustment_nv_fund",Y$3,$A159))</f>
        <v/>
      </c>
      <c r="Z159" s="13" t="str">
        <f>IF($A159="","",[1]!thsiFinD("ths_adjustment_nv_fund",Z$3,$A159))</f>
        <v/>
      </c>
      <c r="AA159" s="13" t="str">
        <f>IF($A159="","",[1]!thsiFinD("ths_adjustment_nv_fund",AA$3,$A159))</f>
        <v/>
      </c>
      <c r="AB159" s="13" t="str">
        <f>IF($A159="","",[1]!thsiFinD("ths_adjustment_nv_fund",AB$3,$A159))</f>
        <v/>
      </c>
    </row>
    <row r="160" spans="2:28">
      <c r="B160" s="13" t="str">
        <f>IF($A160="","",[1]!thsiFinD("ths_adjustment_nv_fund",B$3,$A160))</f>
        <v/>
      </c>
      <c r="C160" s="13" t="str">
        <f>IF($A160="","",[1]!thsiFinD("ths_adjustment_nv_fund",C$3,$A160))</f>
        <v/>
      </c>
      <c r="D160" s="13" t="str">
        <f>IF($A160="","",[1]!thsiFinD("ths_adjustment_nv_fund",D$3,$A160))</f>
        <v/>
      </c>
      <c r="E160" s="13" t="str">
        <f>IF($A160="","",[1]!thsiFinD("ths_adjustment_nv_fund",E$3,$A160))</f>
        <v/>
      </c>
      <c r="F160" s="13" t="str">
        <f>IF($A160="","",[1]!thsiFinD("ths_adjustment_nv_fund",F$3,$A160))</f>
        <v/>
      </c>
      <c r="G160" s="13" t="str">
        <f>IF($A160="","",[1]!thsiFinD("ths_adjustment_nv_fund",G$3,$A160))</f>
        <v/>
      </c>
      <c r="H160" s="13" t="str">
        <f>IF($A160="","",[1]!thsiFinD("ths_adjustment_nv_fund",H$3,$A160))</f>
        <v/>
      </c>
      <c r="I160" s="13" t="str">
        <f>IF($A160="","",[1]!thsiFinD("ths_adjustment_nv_fund",I$3,$A160))</f>
        <v/>
      </c>
      <c r="J160" s="13" t="str">
        <f>IF($A160="","",[1]!thsiFinD("ths_adjustment_nv_fund",J$3,$A160))</f>
        <v/>
      </c>
      <c r="K160" s="13" t="str">
        <f>IF($A160="","",[1]!thsiFinD("ths_adjustment_nv_fund",K$3,$A160))</f>
        <v/>
      </c>
      <c r="L160" s="13" t="str">
        <f>IF($A160="","",[1]!thsiFinD("ths_adjustment_nv_fund",L$3,$A160))</f>
        <v/>
      </c>
      <c r="M160" s="13" t="str">
        <f>IF($A160="","",[1]!thsiFinD("ths_adjustment_nv_fund",M$3,$A160))</f>
        <v/>
      </c>
      <c r="N160" s="13" t="str">
        <f>IF($A160="","",[1]!thsiFinD("ths_adjustment_nv_fund",N$3,$A160))</f>
        <v/>
      </c>
      <c r="O160" s="13" t="str">
        <f>IF($A160="","",[1]!thsiFinD("ths_adjustment_nv_fund",O$3,$A160))</f>
        <v/>
      </c>
      <c r="P160" s="13" t="str">
        <f>IF($A160="","",[1]!thsiFinD("ths_adjustment_nv_fund",P$3,$A160))</f>
        <v/>
      </c>
      <c r="Q160" s="13" t="str">
        <f>IF($A160="","",[1]!thsiFinD("ths_adjustment_nv_fund",Q$3,$A160))</f>
        <v/>
      </c>
      <c r="R160" s="13" t="str">
        <f>IF($A160="","",[1]!thsiFinD("ths_adjustment_nv_fund",R$3,$A160))</f>
        <v/>
      </c>
      <c r="S160" s="13" t="str">
        <f>IF($A160="","",[1]!thsiFinD("ths_adjustment_nv_fund",S$3,$A160))</f>
        <v/>
      </c>
      <c r="T160" s="13" t="str">
        <f>IF($A160="","",[1]!thsiFinD("ths_adjustment_nv_fund",T$3,$A160))</f>
        <v/>
      </c>
      <c r="U160" s="13" t="str">
        <f>IF($A160="","",[1]!thsiFinD("ths_adjustment_nv_fund",U$3,$A160))</f>
        <v/>
      </c>
      <c r="V160" s="13" t="str">
        <f>IF($A160="","",[1]!thsiFinD("ths_adjustment_nv_fund",V$3,$A160))</f>
        <v/>
      </c>
      <c r="W160" s="13" t="str">
        <f>IF($A160="","",[1]!thsiFinD("ths_adjustment_nv_fund",W$3,$A160))</f>
        <v/>
      </c>
      <c r="X160" s="13" t="str">
        <f>IF($A160="","",[1]!thsiFinD("ths_adjustment_nv_fund",X$3,$A160))</f>
        <v/>
      </c>
      <c r="Y160" s="13" t="str">
        <f>IF($A160="","",[1]!thsiFinD("ths_adjustment_nv_fund",Y$3,$A160))</f>
        <v/>
      </c>
      <c r="Z160" s="13" t="str">
        <f>IF($A160="","",[1]!thsiFinD("ths_adjustment_nv_fund",Z$3,$A160))</f>
        <v/>
      </c>
      <c r="AA160" s="13" t="str">
        <f>IF($A160="","",[1]!thsiFinD("ths_adjustment_nv_fund",AA$3,$A160))</f>
        <v/>
      </c>
      <c r="AB160" s="13" t="str">
        <f>IF($A160="","",[1]!thsiFinD("ths_adjustment_nv_fund",AB$3,$A160))</f>
        <v/>
      </c>
    </row>
    <row r="161" spans="2:28">
      <c r="B161" s="13" t="str">
        <f>IF($A161="","",[1]!thsiFinD("ths_adjustment_nv_fund",B$3,$A161))</f>
        <v/>
      </c>
      <c r="C161" s="13" t="str">
        <f>IF($A161="","",[1]!thsiFinD("ths_adjustment_nv_fund",C$3,$A161))</f>
        <v/>
      </c>
      <c r="D161" s="13" t="str">
        <f>IF($A161="","",[1]!thsiFinD("ths_adjustment_nv_fund",D$3,$A161))</f>
        <v/>
      </c>
      <c r="E161" s="13" t="str">
        <f>IF($A161="","",[1]!thsiFinD("ths_adjustment_nv_fund",E$3,$A161))</f>
        <v/>
      </c>
      <c r="F161" s="13" t="str">
        <f>IF($A161="","",[1]!thsiFinD("ths_adjustment_nv_fund",F$3,$A161))</f>
        <v/>
      </c>
      <c r="G161" s="13" t="str">
        <f>IF($A161="","",[1]!thsiFinD("ths_adjustment_nv_fund",G$3,$A161))</f>
        <v/>
      </c>
      <c r="H161" s="13" t="str">
        <f>IF($A161="","",[1]!thsiFinD("ths_adjustment_nv_fund",H$3,$A161))</f>
        <v/>
      </c>
      <c r="I161" s="13" t="str">
        <f>IF($A161="","",[1]!thsiFinD("ths_adjustment_nv_fund",I$3,$A161))</f>
        <v/>
      </c>
      <c r="J161" s="13" t="str">
        <f>IF($A161="","",[1]!thsiFinD("ths_adjustment_nv_fund",J$3,$A161))</f>
        <v/>
      </c>
      <c r="K161" s="13" t="str">
        <f>IF($A161="","",[1]!thsiFinD("ths_adjustment_nv_fund",K$3,$A161))</f>
        <v/>
      </c>
      <c r="L161" s="13" t="str">
        <f>IF($A161="","",[1]!thsiFinD("ths_adjustment_nv_fund",L$3,$A161))</f>
        <v/>
      </c>
      <c r="M161" s="13" t="str">
        <f>IF($A161="","",[1]!thsiFinD("ths_adjustment_nv_fund",M$3,$A161))</f>
        <v/>
      </c>
      <c r="N161" s="13" t="str">
        <f>IF($A161="","",[1]!thsiFinD("ths_adjustment_nv_fund",N$3,$A161))</f>
        <v/>
      </c>
      <c r="O161" s="13" t="str">
        <f>IF($A161="","",[1]!thsiFinD("ths_adjustment_nv_fund",O$3,$A161))</f>
        <v/>
      </c>
      <c r="P161" s="13" t="str">
        <f>IF($A161="","",[1]!thsiFinD("ths_adjustment_nv_fund",P$3,$A161))</f>
        <v/>
      </c>
      <c r="Q161" s="13" t="str">
        <f>IF($A161="","",[1]!thsiFinD("ths_adjustment_nv_fund",Q$3,$A161))</f>
        <v/>
      </c>
      <c r="R161" s="13" t="str">
        <f>IF($A161="","",[1]!thsiFinD("ths_adjustment_nv_fund",R$3,$A161))</f>
        <v/>
      </c>
      <c r="S161" s="13" t="str">
        <f>IF($A161="","",[1]!thsiFinD("ths_adjustment_nv_fund",S$3,$A161))</f>
        <v/>
      </c>
      <c r="T161" s="13" t="str">
        <f>IF($A161="","",[1]!thsiFinD("ths_adjustment_nv_fund",T$3,$A161))</f>
        <v/>
      </c>
      <c r="U161" s="13" t="str">
        <f>IF($A161="","",[1]!thsiFinD("ths_adjustment_nv_fund",U$3,$A161))</f>
        <v/>
      </c>
      <c r="V161" s="13" t="str">
        <f>IF($A161="","",[1]!thsiFinD("ths_adjustment_nv_fund",V$3,$A161))</f>
        <v/>
      </c>
      <c r="W161" s="13" t="str">
        <f>IF($A161="","",[1]!thsiFinD("ths_adjustment_nv_fund",W$3,$A161))</f>
        <v/>
      </c>
      <c r="X161" s="13" t="str">
        <f>IF($A161="","",[1]!thsiFinD("ths_adjustment_nv_fund",X$3,$A161))</f>
        <v/>
      </c>
      <c r="Y161" s="13" t="str">
        <f>IF($A161="","",[1]!thsiFinD("ths_adjustment_nv_fund",Y$3,$A161))</f>
        <v/>
      </c>
      <c r="Z161" s="13" t="str">
        <f>IF($A161="","",[1]!thsiFinD("ths_adjustment_nv_fund",Z$3,$A161))</f>
        <v/>
      </c>
      <c r="AA161" s="13" t="str">
        <f>IF($A161="","",[1]!thsiFinD("ths_adjustment_nv_fund",AA$3,$A161))</f>
        <v/>
      </c>
      <c r="AB161" s="13" t="str">
        <f>IF($A161="","",[1]!thsiFinD("ths_adjustment_nv_fund",AB$3,$A161))</f>
        <v/>
      </c>
    </row>
    <row r="162" spans="2:28">
      <c r="B162" s="13" t="str">
        <f>IF($A162="","",[1]!thsiFinD("ths_adjustment_nv_fund",B$3,$A162))</f>
        <v/>
      </c>
      <c r="C162" s="13" t="str">
        <f>IF($A162="","",[1]!thsiFinD("ths_adjustment_nv_fund",C$3,$A162))</f>
        <v/>
      </c>
      <c r="D162" s="13" t="str">
        <f>IF($A162="","",[1]!thsiFinD("ths_adjustment_nv_fund",D$3,$A162))</f>
        <v/>
      </c>
      <c r="E162" s="13" t="str">
        <f>IF($A162="","",[1]!thsiFinD("ths_adjustment_nv_fund",E$3,$A162))</f>
        <v/>
      </c>
      <c r="F162" s="13" t="str">
        <f>IF($A162="","",[1]!thsiFinD("ths_adjustment_nv_fund",F$3,$A162))</f>
        <v/>
      </c>
      <c r="G162" s="13" t="str">
        <f>IF($A162="","",[1]!thsiFinD("ths_adjustment_nv_fund",G$3,$A162))</f>
        <v/>
      </c>
      <c r="H162" s="13" t="str">
        <f>IF($A162="","",[1]!thsiFinD("ths_adjustment_nv_fund",H$3,$A162))</f>
        <v/>
      </c>
      <c r="I162" s="13" t="str">
        <f>IF($A162="","",[1]!thsiFinD("ths_adjustment_nv_fund",I$3,$A162))</f>
        <v/>
      </c>
      <c r="J162" s="13" t="str">
        <f>IF($A162="","",[1]!thsiFinD("ths_adjustment_nv_fund",J$3,$A162))</f>
        <v/>
      </c>
      <c r="K162" s="13" t="str">
        <f>IF($A162="","",[1]!thsiFinD("ths_adjustment_nv_fund",K$3,$A162))</f>
        <v/>
      </c>
      <c r="L162" s="13" t="str">
        <f>IF($A162="","",[1]!thsiFinD("ths_adjustment_nv_fund",L$3,$A162))</f>
        <v/>
      </c>
      <c r="M162" s="13" t="str">
        <f>IF($A162="","",[1]!thsiFinD("ths_adjustment_nv_fund",M$3,$A162))</f>
        <v/>
      </c>
      <c r="N162" s="13" t="str">
        <f>IF($A162="","",[1]!thsiFinD("ths_adjustment_nv_fund",N$3,$A162))</f>
        <v/>
      </c>
      <c r="O162" s="13" t="str">
        <f>IF($A162="","",[1]!thsiFinD("ths_adjustment_nv_fund",O$3,$A162))</f>
        <v/>
      </c>
      <c r="P162" s="13" t="str">
        <f>IF($A162="","",[1]!thsiFinD("ths_adjustment_nv_fund",P$3,$A162))</f>
        <v/>
      </c>
      <c r="Q162" s="13" t="str">
        <f>IF($A162="","",[1]!thsiFinD("ths_adjustment_nv_fund",Q$3,$A162))</f>
        <v/>
      </c>
      <c r="R162" s="13" t="str">
        <f>IF($A162="","",[1]!thsiFinD("ths_adjustment_nv_fund",R$3,$A162))</f>
        <v/>
      </c>
      <c r="S162" s="13" t="str">
        <f>IF($A162="","",[1]!thsiFinD("ths_adjustment_nv_fund",S$3,$A162))</f>
        <v/>
      </c>
      <c r="T162" s="13" t="str">
        <f>IF($A162="","",[1]!thsiFinD("ths_adjustment_nv_fund",T$3,$A162))</f>
        <v/>
      </c>
      <c r="U162" s="13" t="str">
        <f>IF($A162="","",[1]!thsiFinD("ths_adjustment_nv_fund",U$3,$A162))</f>
        <v/>
      </c>
      <c r="V162" s="13" t="str">
        <f>IF($A162="","",[1]!thsiFinD("ths_adjustment_nv_fund",V$3,$A162))</f>
        <v/>
      </c>
      <c r="W162" s="13" t="str">
        <f>IF($A162="","",[1]!thsiFinD("ths_adjustment_nv_fund",W$3,$A162))</f>
        <v/>
      </c>
      <c r="X162" s="13" t="str">
        <f>IF($A162="","",[1]!thsiFinD("ths_adjustment_nv_fund",X$3,$A162))</f>
        <v/>
      </c>
      <c r="Y162" s="13" t="str">
        <f>IF($A162="","",[1]!thsiFinD("ths_adjustment_nv_fund",Y$3,$A162))</f>
        <v/>
      </c>
      <c r="Z162" s="13" t="str">
        <f>IF($A162="","",[1]!thsiFinD("ths_adjustment_nv_fund",Z$3,$A162))</f>
        <v/>
      </c>
      <c r="AA162" s="13" t="str">
        <f>IF($A162="","",[1]!thsiFinD("ths_adjustment_nv_fund",AA$3,$A162))</f>
        <v/>
      </c>
      <c r="AB162" s="13" t="str">
        <f>IF($A162="","",[1]!thsiFinD("ths_adjustment_nv_fund",AB$3,$A162))</f>
        <v/>
      </c>
    </row>
    <row r="163" spans="2:28">
      <c r="B163" s="13" t="str">
        <f>IF($A163="","",[1]!thsiFinD("ths_adjustment_nv_fund",B$3,$A163))</f>
        <v/>
      </c>
      <c r="C163" s="13" t="str">
        <f>IF($A163="","",[1]!thsiFinD("ths_adjustment_nv_fund",C$3,$A163))</f>
        <v/>
      </c>
      <c r="D163" s="13" t="str">
        <f>IF($A163="","",[1]!thsiFinD("ths_adjustment_nv_fund",D$3,$A163))</f>
        <v/>
      </c>
      <c r="E163" s="13" t="str">
        <f>IF($A163="","",[1]!thsiFinD("ths_adjustment_nv_fund",E$3,$A163))</f>
        <v/>
      </c>
      <c r="F163" s="13" t="str">
        <f>IF($A163="","",[1]!thsiFinD("ths_adjustment_nv_fund",F$3,$A163))</f>
        <v/>
      </c>
      <c r="G163" s="13" t="str">
        <f>IF($A163="","",[1]!thsiFinD("ths_adjustment_nv_fund",G$3,$A163))</f>
        <v/>
      </c>
      <c r="H163" s="13" t="str">
        <f>IF($A163="","",[1]!thsiFinD("ths_adjustment_nv_fund",H$3,$A163))</f>
        <v/>
      </c>
      <c r="I163" s="13" t="str">
        <f>IF($A163="","",[1]!thsiFinD("ths_adjustment_nv_fund",I$3,$A163))</f>
        <v/>
      </c>
      <c r="J163" s="13" t="str">
        <f>IF($A163="","",[1]!thsiFinD("ths_adjustment_nv_fund",J$3,$A163))</f>
        <v/>
      </c>
      <c r="K163" s="13" t="str">
        <f>IF($A163="","",[1]!thsiFinD("ths_adjustment_nv_fund",K$3,$A163))</f>
        <v/>
      </c>
      <c r="L163" s="13" t="str">
        <f>IF($A163="","",[1]!thsiFinD("ths_adjustment_nv_fund",L$3,$A163))</f>
        <v/>
      </c>
      <c r="M163" s="13" t="str">
        <f>IF($A163="","",[1]!thsiFinD("ths_adjustment_nv_fund",M$3,$A163))</f>
        <v/>
      </c>
      <c r="N163" s="13" t="str">
        <f>IF($A163="","",[1]!thsiFinD("ths_adjustment_nv_fund",N$3,$A163))</f>
        <v/>
      </c>
      <c r="O163" s="13" t="str">
        <f>IF($A163="","",[1]!thsiFinD("ths_adjustment_nv_fund",O$3,$A163))</f>
        <v/>
      </c>
      <c r="P163" s="13" t="str">
        <f>IF($A163="","",[1]!thsiFinD("ths_adjustment_nv_fund",P$3,$A163))</f>
        <v/>
      </c>
      <c r="Q163" s="13" t="str">
        <f>IF($A163="","",[1]!thsiFinD("ths_adjustment_nv_fund",Q$3,$A163))</f>
        <v/>
      </c>
      <c r="R163" s="13" t="str">
        <f>IF($A163="","",[1]!thsiFinD("ths_adjustment_nv_fund",R$3,$A163))</f>
        <v/>
      </c>
      <c r="S163" s="13" t="str">
        <f>IF($A163="","",[1]!thsiFinD("ths_adjustment_nv_fund",S$3,$A163))</f>
        <v/>
      </c>
      <c r="T163" s="13" t="str">
        <f>IF($A163="","",[1]!thsiFinD("ths_adjustment_nv_fund",T$3,$A163))</f>
        <v/>
      </c>
      <c r="U163" s="13" t="str">
        <f>IF($A163="","",[1]!thsiFinD("ths_adjustment_nv_fund",U$3,$A163))</f>
        <v/>
      </c>
      <c r="V163" s="13" t="str">
        <f>IF($A163="","",[1]!thsiFinD("ths_adjustment_nv_fund",V$3,$A163))</f>
        <v/>
      </c>
      <c r="W163" s="13" t="str">
        <f>IF($A163="","",[1]!thsiFinD("ths_adjustment_nv_fund",W$3,$A163))</f>
        <v/>
      </c>
      <c r="X163" s="13" t="str">
        <f>IF($A163="","",[1]!thsiFinD("ths_adjustment_nv_fund",X$3,$A163))</f>
        <v/>
      </c>
      <c r="Y163" s="13" t="str">
        <f>IF($A163="","",[1]!thsiFinD("ths_adjustment_nv_fund",Y$3,$A163))</f>
        <v/>
      </c>
      <c r="Z163" s="13" t="str">
        <f>IF($A163="","",[1]!thsiFinD("ths_adjustment_nv_fund",Z$3,$A163))</f>
        <v/>
      </c>
      <c r="AA163" s="13" t="str">
        <f>IF($A163="","",[1]!thsiFinD("ths_adjustment_nv_fund",AA$3,$A163))</f>
        <v/>
      </c>
      <c r="AB163" s="13" t="str">
        <f>IF($A163="","",[1]!thsiFinD("ths_adjustment_nv_fund",AB$3,$A163))</f>
        <v/>
      </c>
    </row>
    <row r="164" spans="2:28">
      <c r="B164" s="13" t="str">
        <f>IF($A164="","",[1]!thsiFinD("ths_adjustment_nv_fund",B$3,$A164))</f>
        <v/>
      </c>
      <c r="C164" s="13" t="str">
        <f>IF($A164="","",[1]!thsiFinD("ths_adjustment_nv_fund",C$3,$A164))</f>
        <v/>
      </c>
      <c r="D164" s="13" t="str">
        <f>IF($A164="","",[1]!thsiFinD("ths_adjustment_nv_fund",D$3,$A164))</f>
        <v/>
      </c>
      <c r="E164" s="13" t="str">
        <f>IF($A164="","",[1]!thsiFinD("ths_adjustment_nv_fund",E$3,$A164))</f>
        <v/>
      </c>
      <c r="F164" s="13" t="str">
        <f>IF($A164="","",[1]!thsiFinD("ths_adjustment_nv_fund",F$3,$A164))</f>
        <v/>
      </c>
      <c r="G164" s="13" t="str">
        <f>IF($A164="","",[1]!thsiFinD("ths_adjustment_nv_fund",G$3,$A164))</f>
        <v/>
      </c>
      <c r="H164" s="13" t="str">
        <f>IF($A164="","",[1]!thsiFinD("ths_adjustment_nv_fund",H$3,$A164))</f>
        <v/>
      </c>
      <c r="I164" s="13" t="str">
        <f>IF($A164="","",[1]!thsiFinD("ths_adjustment_nv_fund",I$3,$A164))</f>
        <v/>
      </c>
      <c r="J164" s="13" t="str">
        <f>IF($A164="","",[1]!thsiFinD("ths_adjustment_nv_fund",J$3,$A164))</f>
        <v/>
      </c>
      <c r="K164" s="13" t="str">
        <f>IF($A164="","",[1]!thsiFinD("ths_adjustment_nv_fund",K$3,$A164))</f>
        <v/>
      </c>
      <c r="L164" s="13" t="str">
        <f>IF($A164="","",[1]!thsiFinD("ths_adjustment_nv_fund",L$3,$A164))</f>
        <v/>
      </c>
      <c r="M164" s="13" t="str">
        <f>IF($A164="","",[1]!thsiFinD("ths_adjustment_nv_fund",M$3,$A164))</f>
        <v/>
      </c>
      <c r="N164" s="13" t="str">
        <f>IF($A164="","",[1]!thsiFinD("ths_adjustment_nv_fund",N$3,$A164))</f>
        <v/>
      </c>
      <c r="O164" s="13" t="str">
        <f>IF($A164="","",[1]!thsiFinD("ths_adjustment_nv_fund",O$3,$A164))</f>
        <v/>
      </c>
      <c r="P164" s="13" t="str">
        <f>IF($A164="","",[1]!thsiFinD("ths_adjustment_nv_fund",P$3,$A164))</f>
        <v/>
      </c>
      <c r="Q164" s="13" t="str">
        <f>IF($A164="","",[1]!thsiFinD("ths_adjustment_nv_fund",Q$3,$A164))</f>
        <v/>
      </c>
      <c r="R164" s="13" t="str">
        <f>IF($A164="","",[1]!thsiFinD("ths_adjustment_nv_fund",R$3,$A164))</f>
        <v/>
      </c>
      <c r="S164" s="13" t="str">
        <f>IF($A164="","",[1]!thsiFinD("ths_adjustment_nv_fund",S$3,$A164))</f>
        <v/>
      </c>
      <c r="T164" s="13" t="str">
        <f>IF($A164="","",[1]!thsiFinD("ths_adjustment_nv_fund",T$3,$A164))</f>
        <v/>
      </c>
      <c r="U164" s="13" t="str">
        <f>IF($A164="","",[1]!thsiFinD("ths_adjustment_nv_fund",U$3,$A164))</f>
        <v/>
      </c>
      <c r="V164" s="13" t="str">
        <f>IF($A164="","",[1]!thsiFinD("ths_adjustment_nv_fund",V$3,$A164))</f>
        <v/>
      </c>
      <c r="W164" s="13" t="str">
        <f>IF($A164="","",[1]!thsiFinD("ths_adjustment_nv_fund",W$3,$A164))</f>
        <v/>
      </c>
      <c r="X164" s="13" t="str">
        <f>IF($A164="","",[1]!thsiFinD("ths_adjustment_nv_fund",X$3,$A164))</f>
        <v/>
      </c>
      <c r="Y164" s="13" t="str">
        <f>IF($A164="","",[1]!thsiFinD("ths_adjustment_nv_fund",Y$3,$A164))</f>
        <v/>
      </c>
      <c r="Z164" s="13" t="str">
        <f>IF($A164="","",[1]!thsiFinD("ths_adjustment_nv_fund",Z$3,$A164))</f>
        <v/>
      </c>
      <c r="AA164" s="13" t="str">
        <f>IF($A164="","",[1]!thsiFinD("ths_adjustment_nv_fund",AA$3,$A164))</f>
        <v/>
      </c>
      <c r="AB164" s="13" t="str">
        <f>IF($A164="","",[1]!thsiFinD("ths_adjustment_nv_fund",AB$3,$A164))</f>
        <v/>
      </c>
    </row>
    <row r="165" spans="2:28">
      <c r="B165" s="13" t="str">
        <f>IF($A165="","",[1]!thsiFinD("ths_adjustment_nv_fund",B$3,$A165))</f>
        <v/>
      </c>
      <c r="C165" s="13" t="str">
        <f>IF($A165="","",[1]!thsiFinD("ths_adjustment_nv_fund",C$3,$A165))</f>
        <v/>
      </c>
      <c r="D165" s="13" t="str">
        <f>IF($A165="","",[1]!thsiFinD("ths_adjustment_nv_fund",D$3,$A165))</f>
        <v/>
      </c>
      <c r="E165" s="13" t="str">
        <f>IF($A165="","",[1]!thsiFinD("ths_adjustment_nv_fund",E$3,$A165))</f>
        <v/>
      </c>
      <c r="F165" s="13" t="str">
        <f>IF($A165="","",[1]!thsiFinD("ths_adjustment_nv_fund",F$3,$A165))</f>
        <v/>
      </c>
      <c r="G165" s="13" t="str">
        <f>IF($A165="","",[1]!thsiFinD("ths_adjustment_nv_fund",G$3,$A165))</f>
        <v/>
      </c>
      <c r="H165" s="13" t="str">
        <f>IF($A165="","",[1]!thsiFinD("ths_adjustment_nv_fund",H$3,$A165))</f>
        <v/>
      </c>
      <c r="I165" s="13" t="str">
        <f>IF($A165="","",[1]!thsiFinD("ths_adjustment_nv_fund",I$3,$A165))</f>
        <v/>
      </c>
      <c r="J165" s="13" t="str">
        <f>IF($A165="","",[1]!thsiFinD("ths_adjustment_nv_fund",J$3,$A165))</f>
        <v/>
      </c>
      <c r="K165" s="13" t="str">
        <f>IF($A165="","",[1]!thsiFinD("ths_adjustment_nv_fund",K$3,$A165))</f>
        <v/>
      </c>
      <c r="L165" s="13" t="str">
        <f>IF($A165="","",[1]!thsiFinD("ths_adjustment_nv_fund",L$3,$A165))</f>
        <v/>
      </c>
      <c r="M165" s="13" t="str">
        <f>IF($A165="","",[1]!thsiFinD("ths_adjustment_nv_fund",M$3,$A165))</f>
        <v/>
      </c>
      <c r="N165" s="13" t="str">
        <f>IF($A165="","",[1]!thsiFinD("ths_adjustment_nv_fund",N$3,$A165))</f>
        <v/>
      </c>
      <c r="O165" s="13" t="str">
        <f>IF($A165="","",[1]!thsiFinD("ths_adjustment_nv_fund",O$3,$A165))</f>
        <v/>
      </c>
      <c r="P165" s="13" t="str">
        <f>IF($A165="","",[1]!thsiFinD("ths_adjustment_nv_fund",P$3,$A165))</f>
        <v/>
      </c>
      <c r="Q165" s="13" t="str">
        <f>IF($A165="","",[1]!thsiFinD("ths_adjustment_nv_fund",Q$3,$A165))</f>
        <v/>
      </c>
      <c r="R165" s="13" t="str">
        <f>IF($A165="","",[1]!thsiFinD("ths_adjustment_nv_fund",R$3,$A165))</f>
        <v/>
      </c>
      <c r="S165" s="13" t="str">
        <f>IF($A165="","",[1]!thsiFinD("ths_adjustment_nv_fund",S$3,$A165))</f>
        <v/>
      </c>
      <c r="T165" s="13" t="str">
        <f>IF($A165="","",[1]!thsiFinD("ths_adjustment_nv_fund",T$3,$A165))</f>
        <v/>
      </c>
      <c r="U165" s="13" t="str">
        <f>IF($A165="","",[1]!thsiFinD("ths_adjustment_nv_fund",U$3,$A165))</f>
        <v/>
      </c>
      <c r="V165" s="13" t="str">
        <f>IF($A165="","",[1]!thsiFinD("ths_adjustment_nv_fund",V$3,$A165))</f>
        <v/>
      </c>
      <c r="W165" s="13" t="str">
        <f>IF($A165="","",[1]!thsiFinD("ths_adjustment_nv_fund",W$3,$A165))</f>
        <v/>
      </c>
      <c r="X165" s="13" t="str">
        <f>IF($A165="","",[1]!thsiFinD("ths_adjustment_nv_fund",X$3,$A165))</f>
        <v/>
      </c>
      <c r="Y165" s="13" t="str">
        <f>IF($A165="","",[1]!thsiFinD("ths_adjustment_nv_fund",Y$3,$A165))</f>
        <v/>
      </c>
      <c r="Z165" s="13" t="str">
        <f>IF($A165="","",[1]!thsiFinD("ths_adjustment_nv_fund",Z$3,$A165))</f>
        <v/>
      </c>
      <c r="AA165" s="13" t="str">
        <f>IF($A165="","",[1]!thsiFinD("ths_adjustment_nv_fund",AA$3,$A165))</f>
        <v/>
      </c>
      <c r="AB165" s="13" t="str">
        <f>IF($A165="","",[1]!thsiFinD("ths_adjustment_nv_fund",AB$3,$A165))</f>
        <v/>
      </c>
    </row>
    <row r="166" spans="2:28">
      <c r="B166" s="13" t="str">
        <f>IF($A166="","",[1]!thsiFinD("ths_adjustment_nv_fund",B$3,$A166))</f>
        <v/>
      </c>
      <c r="C166" s="13" t="str">
        <f>IF($A166="","",[1]!thsiFinD("ths_adjustment_nv_fund",C$3,$A166))</f>
        <v/>
      </c>
      <c r="D166" s="13" t="str">
        <f>IF($A166="","",[1]!thsiFinD("ths_adjustment_nv_fund",D$3,$A166))</f>
        <v/>
      </c>
      <c r="E166" s="13" t="str">
        <f>IF($A166="","",[1]!thsiFinD("ths_adjustment_nv_fund",E$3,$A166))</f>
        <v/>
      </c>
      <c r="F166" s="13" t="str">
        <f>IF($A166="","",[1]!thsiFinD("ths_adjustment_nv_fund",F$3,$A166))</f>
        <v/>
      </c>
      <c r="G166" s="13" t="str">
        <f>IF($A166="","",[1]!thsiFinD("ths_adjustment_nv_fund",G$3,$A166))</f>
        <v/>
      </c>
      <c r="H166" s="13" t="str">
        <f>IF($A166="","",[1]!thsiFinD("ths_adjustment_nv_fund",H$3,$A166))</f>
        <v/>
      </c>
      <c r="I166" s="13" t="str">
        <f>IF($A166="","",[1]!thsiFinD("ths_adjustment_nv_fund",I$3,$A166))</f>
        <v/>
      </c>
      <c r="J166" s="13" t="str">
        <f>IF($A166="","",[1]!thsiFinD("ths_adjustment_nv_fund",J$3,$A166))</f>
        <v/>
      </c>
      <c r="K166" s="13" t="str">
        <f>IF($A166="","",[1]!thsiFinD("ths_adjustment_nv_fund",K$3,$A166))</f>
        <v/>
      </c>
      <c r="L166" s="13" t="str">
        <f>IF($A166="","",[1]!thsiFinD("ths_adjustment_nv_fund",L$3,$A166))</f>
        <v/>
      </c>
      <c r="M166" s="13" t="str">
        <f>IF($A166="","",[1]!thsiFinD("ths_adjustment_nv_fund",M$3,$A166))</f>
        <v/>
      </c>
      <c r="N166" s="13" t="str">
        <f>IF($A166="","",[1]!thsiFinD("ths_adjustment_nv_fund",N$3,$A166))</f>
        <v/>
      </c>
      <c r="O166" s="13" t="str">
        <f>IF($A166="","",[1]!thsiFinD("ths_adjustment_nv_fund",O$3,$A166))</f>
        <v/>
      </c>
      <c r="P166" s="13" t="str">
        <f>IF($A166="","",[1]!thsiFinD("ths_adjustment_nv_fund",P$3,$A166))</f>
        <v/>
      </c>
      <c r="Q166" s="13" t="str">
        <f>IF($A166="","",[1]!thsiFinD("ths_adjustment_nv_fund",Q$3,$A166))</f>
        <v/>
      </c>
      <c r="R166" s="13" t="str">
        <f>IF($A166="","",[1]!thsiFinD("ths_adjustment_nv_fund",R$3,$A166))</f>
        <v/>
      </c>
      <c r="S166" s="13" t="str">
        <f>IF($A166="","",[1]!thsiFinD("ths_adjustment_nv_fund",S$3,$A166))</f>
        <v/>
      </c>
      <c r="T166" s="13" t="str">
        <f>IF($A166="","",[1]!thsiFinD("ths_adjustment_nv_fund",T$3,$A166))</f>
        <v/>
      </c>
      <c r="U166" s="13" t="str">
        <f>IF($A166="","",[1]!thsiFinD("ths_adjustment_nv_fund",U$3,$A166))</f>
        <v/>
      </c>
      <c r="V166" s="13" t="str">
        <f>IF($A166="","",[1]!thsiFinD("ths_adjustment_nv_fund",V$3,$A166))</f>
        <v/>
      </c>
      <c r="W166" s="13" t="str">
        <f>IF($A166="","",[1]!thsiFinD("ths_adjustment_nv_fund",W$3,$A166))</f>
        <v/>
      </c>
      <c r="X166" s="13" t="str">
        <f>IF($A166="","",[1]!thsiFinD("ths_adjustment_nv_fund",X$3,$A166))</f>
        <v/>
      </c>
      <c r="Y166" s="13" t="str">
        <f>IF($A166="","",[1]!thsiFinD("ths_adjustment_nv_fund",Y$3,$A166))</f>
        <v/>
      </c>
      <c r="Z166" s="13" t="str">
        <f>IF($A166="","",[1]!thsiFinD("ths_adjustment_nv_fund",Z$3,$A166))</f>
        <v/>
      </c>
      <c r="AA166" s="13" t="str">
        <f>IF($A166="","",[1]!thsiFinD("ths_adjustment_nv_fund",AA$3,$A166))</f>
        <v/>
      </c>
      <c r="AB166" s="13" t="str">
        <f>IF($A166="","",[1]!thsiFinD("ths_adjustment_nv_fund",AB$3,$A166))</f>
        <v/>
      </c>
    </row>
    <row r="167" spans="2:28">
      <c r="B167" s="13" t="str">
        <f>IF($A167="","",[1]!thsiFinD("ths_adjustment_nv_fund",B$3,$A167))</f>
        <v/>
      </c>
      <c r="C167" s="13" t="str">
        <f>IF($A167="","",[1]!thsiFinD("ths_adjustment_nv_fund",C$3,$A167))</f>
        <v/>
      </c>
      <c r="D167" s="13" t="str">
        <f>IF($A167="","",[1]!thsiFinD("ths_adjustment_nv_fund",D$3,$A167))</f>
        <v/>
      </c>
      <c r="E167" s="13" t="str">
        <f>IF($A167="","",[1]!thsiFinD("ths_adjustment_nv_fund",E$3,$A167))</f>
        <v/>
      </c>
      <c r="F167" s="13" t="str">
        <f>IF($A167="","",[1]!thsiFinD("ths_adjustment_nv_fund",F$3,$A167))</f>
        <v/>
      </c>
      <c r="G167" s="13" t="str">
        <f>IF($A167="","",[1]!thsiFinD("ths_adjustment_nv_fund",G$3,$A167))</f>
        <v/>
      </c>
      <c r="H167" s="13" t="str">
        <f>IF($A167="","",[1]!thsiFinD("ths_adjustment_nv_fund",H$3,$A167))</f>
        <v/>
      </c>
      <c r="I167" s="13" t="str">
        <f>IF($A167="","",[1]!thsiFinD("ths_adjustment_nv_fund",I$3,$A167))</f>
        <v/>
      </c>
      <c r="J167" s="13" t="str">
        <f>IF($A167="","",[1]!thsiFinD("ths_adjustment_nv_fund",J$3,$A167))</f>
        <v/>
      </c>
      <c r="K167" s="13" t="str">
        <f>IF($A167="","",[1]!thsiFinD("ths_adjustment_nv_fund",K$3,$A167))</f>
        <v/>
      </c>
      <c r="L167" s="13" t="str">
        <f>IF($A167="","",[1]!thsiFinD("ths_adjustment_nv_fund",L$3,$A167))</f>
        <v/>
      </c>
      <c r="M167" s="13" t="str">
        <f>IF($A167="","",[1]!thsiFinD("ths_adjustment_nv_fund",M$3,$A167))</f>
        <v/>
      </c>
      <c r="N167" s="13" t="str">
        <f>IF($A167="","",[1]!thsiFinD("ths_adjustment_nv_fund",N$3,$A167))</f>
        <v/>
      </c>
      <c r="O167" s="13" t="str">
        <f>IF($A167="","",[1]!thsiFinD("ths_adjustment_nv_fund",O$3,$A167))</f>
        <v/>
      </c>
      <c r="P167" s="13" t="str">
        <f>IF($A167="","",[1]!thsiFinD("ths_adjustment_nv_fund",P$3,$A167))</f>
        <v/>
      </c>
      <c r="Q167" s="13" t="str">
        <f>IF($A167="","",[1]!thsiFinD("ths_adjustment_nv_fund",Q$3,$A167))</f>
        <v/>
      </c>
      <c r="R167" s="13" t="str">
        <f>IF($A167="","",[1]!thsiFinD("ths_adjustment_nv_fund",R$3,$A167))</f>
        <v/>
      </c>
      <c r="S167" s="13" t="str">
        <f>IF($A167="","",[1]!thsiFinD("ths_adjustment_nv_fund",S$3,$A167))</f>
        <v/>
      </c>
      <c r="T167" s="13" t="str">
        <f>IF($A167="","",[1]!thsiFinD("ths_adjustment_nv_fund",T$3,$A167))</f>
        <v/>
      </c>
      <c r="U167" s="13" t="str">
        <f>IF($A167="","",[1]!thsiFinD("ths_adjustment_nv_fund",U$3,$A167))</f>
        <v/>
      </c>
      <c r="V167" s="13" t="str">
        <f>IF($A167="","",[1]!thsiFinD("ths_adjustment_nv_fund",V$3,$A167))</f>
        <v/>
      </c>
      <c r="W167" s="13" t="str">
        <f>IF($A167="","",[1]!thsiFinD("ths_adjustment_nv_fund",W$3,$A167))</f>
        <v/>
      </c>
      <c r="X167" s="13" t="str">
        <f>IF($A167="","",[1]!thsiFinD("ths_adjustment_nv_fund",X$3,$A167))</f>
        <v/>
      </c>
      <c r="Y167" s="13" t="str">
        <f>IF($A167="","",[1]!thsiFinD("ths_adjustment_nv_fund",Y$3,$A167))</f>
        <v/>
      </c>
      <c r="Z167" s="13" t="str">
        <f>IF($A167="","",[1]!thsiFinD("ths_adjustment_nv_fund",Z$3,$A167))</f>
        <v/>
      </c>
      <c r="AA167" s="13" t="str">
        <f>IF($A167="","",[1]!thsiFinD("ths_adjustment_nv_fund",AA$3,$A167))</f>
        <v/>
      </c>
      <c r="AB167" s="13" t="str">
        <f>IF($A167="","",[1]!thsiFinD("ths_adjustment_nv_fund",AB$3,$A167))</f>
        <v/>
      </c>
    </row>
    <row r="168" spans="2:28">
      <c r="B168" s="13" t="str">
        <f>IF($A168="","",[1]!thsiFinD("ths_adjustment_nv_fund",B$3,$A168))</f>
        <v/>
      </c>
      <c r="C168" s="13" t="str">
        <f>IF($A168="","",[1]!thsiFinD("ths_adjustment_nv_fund",C$3,$A168))</f>
        <v/>
      </c>
      <c r="D168" s="13" t="str">
        <f>IF($A168="","",[1]!thsiFinD("ths_adjustment_nv_fund",D$3,$A168))</f>
        <v/>
      </c>
      <c r="E168" s="13" t="str">
        <f>IF($A168="","",[1]!thsiFinD("ths_adjustment_nv_fund",E$3,$A168))</f>
        <v/>
      </c>
      <c r="F168" s="13" t="str">
        <f>IF($A168="","",[1]!thsiFinD("ths_adjustment_nv_fund",F$3,$A168))</f>
        <v/>
      </c>
      <c r="G168" s="13" t="str">
        <f>IF($A168="","",[1]!thsiFinD("ths_adjustment_nv_fund",G$3,$A168))</f>
        <v/>
      </c>
      <c r="H168" s="13" t="str">
        <f>IF($A168="","",[1]!thsiFinD("ths_adjustment_nv_fund",H$3,$A168))</f>
        <v/>
      </c>
      <c r="I168" s="13" t="str">
        <f>IF($A168="","",[1]!thsiFinD("ths_adjustment_nv_fund",I$3,$A168))</f>
        <v/>
      </c>
      <c r="J168" s="13" t="str">
        <f>IF($A168="","",[1]!thsiFinD("ths_adjustment_nv_fund",J$3,$A168))</f>
        <v/>
      </c>
      <c r="K168" s="13" t="str">
        <f>IF($A168="","",[1]!thsiFinD("ths_adjustment_nv_fund",K$3,$A168))</f>
        <v/>
      </c>
      <c r="L168" s="13" t="str">
        <f>IF($A168="","",[1]!thsiFinD("ths_adjustment_nv_fund",L$3,$A168))</f>
        <v/>
      </c>
      <c r="M168" s="13" t="str">
        <f>IF($A168="","",[1]!thsiFinD("ths_adjustment_nv_fund",M$3,$A168))</f>
        <v/>
      </c>
      <c r="N168" s="13" t="str">
        <f>IF($A168="","",[1]!thsiFinD("ths_adjustment_nv_fund",N$3,$A168))</f>
        <v/>
      </c>
      <c r="O168" s="13" t="str">
        <f>IF($A168="","",[1]!thsiFinD("ths_adjustment_nv_fund",O$3,$A168))</f>
        <v/>
      </c>
      <c r="P168" s="13" t="str">
        <f>IF($A168="","",[1]!thsiFinD("ths_adjustment_nv_fund",P$3,$A168))</f>
        <v/>
      </c>
      <c r="Q168" s="13" t="str">
        <f>IF($A168="","",[1]!thsiFinD("ths_adjustment_nv_fund",Q$3,$A168))</f>
        <v/>
      </c>
      <c r="R168" s="13" t="str">
        <f>IF($A168="","",[1]!thsiFinD("ths_adjustment_nv_fund",R$3,$A168))</f>
        <v/>
      </c>
      <c r="S168" s="13" t="str">
        <f>IF($A168="","",[1]!thsiFinD("ths_adjustment_nv_fund",S$3,$A168))</f>
        <v/>
      </c>
      <c r="T168" s="13" t="str">
        <f>IF($A168="","",[1]!thsiFinD("ths_adjustment_nv_fund",T$3,$A168))</f>
        <v/>
      </c>
      <c r="U168" s="13" t="str">
        <f>IF($A168="","",[1]!thsiFinD("ths_adjustment_nv_fund",U$3,$A168))</f>
        <v/>
      </c>
      <c r="V168" s="13" t="str">
        <f>IF($A168="","",[1]!thsiFinD("ths_adjustment_nv_fund",V$3,$A168))</f>
        <v/>
      </c>
      <c r="W168" s="13" t="str">
        <f>IF($A168="","",[1]!thsiFinD("ths_adjustment_nv_fund",W$3,$A168))</f>
        <v/>
      </c>
      <c r="X168" s="13" t="str">
        <f>IF($A168="","",[1]!thsiFinD("ths_adjustment_nv_fund",X$3,$A168))</f>
        <v/>
      </c>
      <c r="Y168" s="13" t="str">
        <f>IF($A168="","",[1]!thsiFinD("ths_adjustment_nv_fund",Y$3,$A168))</f>
        <v/>
      </c>
      <c r="Z168" s="13" t="str">
        <f>IF($A168="","",[1]!thsiFinD("ths_adjustment_nv_fund",Z$3,$A168))</f>
        <v/>
      </c>
      <c r="AA168" s="13" t="str">
        <f>IF($A168="","",[1]!thsiFinD("ths_adjustment_nv_fund",AA$3,$A168))</f>
        <v/>
      </c>
      <c r="AB168" s="13" t="str">
        <f>IF($A168="","",[1]!thsiFinD("ths_adjustment_nv_fund",AB$3,$A168))</f>
        <v/>
      </c>
    </row>
    <row r="169" spans="2:28">
      <c r="B169" s="13" t="str">
        <f>IF($A169="","",[1]!thsiFinD("ths_adjustment_nv_fund",B$3,$A169))</f>
        <v/>
      </c>
      <c r="C169" s="13" t="str">
        <f>IF($A169="","",[1]!thsiFinD("ths_adjustment_nv_fund",C$3,$A169))</f>
        <v/>
      </c>
      <c r="D169" s="13" t="str">
        <f>IF($A169="","",[1]!thsiFinD("ths_adjustment_nv_fund",D$3,$A169))</f>
        <v/>
      </c>
      <c r="E169" s="13" t="str">
        <f>IF($A169="","",[1]!thsiFinD("ths_adjustment_nv_fund",E$3,$A169))</f>
        <v/>
      </c>
      <c r="F169" s="13" t="str">
        <f>IF($A169="","",[1]!thsiFinD("ths_adjustment_nv_fund",F$3,$A169))</f>
        <v/>
      </c>
      <c r="G169" s="13" t="str">
        <f>IF($A169="","",[1]!thsiFinD("ths_adjustment_nv_fund",G$3,$A169))</f>
        <v/>
      </c>
      <c r="H169" s="13" t="str">
        <f>IF($A169="","",[1]!thsiFinD("ths_adjustment_nv_fund",H$3,$A169))</f>
        <v/>
      </c>
      <c r="I169" s="13" t="str">
        <f>IF($A169="","",[1]!thsiFinD("ths_adjustment_nv_fund",I$3,$A169))</f>
        <v/>
      </c>
      <c r="J169" s="13" t="str">
        <f>IF($A169="","",[1]!thsiFinD("ths_adjustment_nv_fund",J$3,$A169))</f>
        <v/>
      </c>
      <c r="K169" s="13" t="str">
        <f>IF($A169="","",[1]!thsiFinD("ths_adjustment_nv_fund",K$3,$A169))</f>
        <v/>
      </c>
      <c r="L169" s="13" t="str">
        <f>IF($A169="","",[1]!thsiFinD("ths_adjustment_nv_fund",L$3,$A169))</f>
        <v/>
      </c>
      <c r="M169" s="13" t="str">
        <f>IF($A169="","",[1]!thsiFinD("ths_adjustment_nv_fund",M$3,$A169))</f>
        <v/>
      </c>
      <c r="N169" s="13" t="str">
        <f>IF($A169="","",[1]!thsiFinD("ths_adjustment_nv_fund",N$3,$A169))</f>
        <v/>
      </c>
      <c r="O169" s="13" t="str">
        <f>IF($A169="","",[1]!thsiFinD("ths_adjustment_nv_fund",O$3,$A169))</f>
        <v/>
      </c>
      <c r="P169" s="13" t="str">
        <f>IF($A169="","",[1]!thsiFinD("ths_adjustment_nv_fund",P$3,$A169))</f>
        <v/>
      </c>
      <c r="Q169" s="13" t="str">
        <f>IF($A169="","",[1]!thsiFinD("ths_adjustment_nv_fund",Q$3,$A169))</f>
        <v/>
      </c>
      <c r="R169" s="13" t="str">
        <f>IF($A169="","",[1]!thsiFinD("ths_adjustment_nv_fund",R$3,$A169))</f>
        <v/>
      </c>
      <c r="S169" s="13" t="str">
        <f>IF($A169="","",[1]!thsiFinD("ths_adjustment_nv_fund",S$3,$A169))</f>
        <v/>
      </c>
      <c r="T169" s="13" t="str">
        <f>IF($A169="","",[1]!thsiFinD("ths_adjustment_nv_fund",T$3,$A169))</f>
        <v/>
      </c>
      <c r="U169" s="13" t="str">
        <f>IF($A169="","",[1]!thsiFinD("ths_adjustment_nv_fund",U$3,$A169))</f>
        <v/>
      </c>
      <c r="V169" s="13" t="str">
        <f>IF($A169="","",[1]!thsiFinD("ths_adjustment_nv_fund",V$3,$A169))</f>
        <v/>
      </c>
      <c r="W169" s="13" t="str">
        <f>IF($A169="","",[1]!thsiFinD("ths_adjustment_nv_fund",W$3,$A169))</f>
        <v/>
      </c>
      <c r="X169" s="13" t="str">
        <f>IF($A169="","",[1]!thsiFinD("ths_adjustment_nv_fund",X$3,$A169))</f>
        <v/>
      </c>
      <c r="Y169" s="13" t="str">
        <f>IF($A169="","",[1]!thsiFinD("ths_adjustment_nv_fund",Y$3,$A169))</f>
        <v/>
      </c>
      <c r="Z169" s="13" t="str">
        <f>IF($A169="","",[1]!thsiFinD("ths_adjustment_nv_fund",Z$3,$A169))</f>
        <v/>
      </c>
      <c r="AA169" s="13" t="str">
        <f>IF($A169="","",[1]!thsiFinD("ths_adjustment_nv_fund",AA$3,$A169))</f>
        <v/>
      </c>
      <c r="AB169" s="13" t="str">
        <f>IF($A169="","",[1]!thsiFinD("ths_adjustment_nv_fund",AB$3,$A169))</f>
        <v/>
      </c>
    </row>
    <row r="170" spans="2:28">
      <c r="B170" s="13" t="str">
        <f>IF($A170="","",[1]!thsiFinD("ths_adjustment_nv_fund",B$3,$A170))</f>
        <v/>
      </c>
      <c r="C170" s="13" t="str">
        <f>IF($A170="","",[1]!thsiFinD("ths_adjustment_nv_fund",C$3,$A170))</f>
        <v/>
      </c>
      <c r="D170" s="13" t="str">
        <f>IF($A170="","",[1]!thsiFinD("ths_adjustment_nv_fund",D$3,$A170))</f>
        <v/>
      </c>
      <c r="E170" s="13" t="str">
        <f>IF($A170="","",[1]!thsiFinD("ths_adjustment_nv_fund",E$3,$A170))</f>
        <v/>
      </c>
      <c r="F170" s="13" t="str">
        <f>IF($A170="","",[1]!thsiFinD("ths_adjustment_nv_fund",F$3,$A170))</f>
        <v/>
      </c>
      <c r="G170" s="13" t="str">
        <f>IF($A170="","",[1]!thsiFinD("ths_adjustment_nv_fund",G$3,$A170))</f>
        <v/>
      </c>
      <c r="H170" s="13" t="str">
        <f>IF($A170="","",[1]!thsiFinD("ths_adjustment_nv_fund",H$3,$A170))</f>
        <v/>
      </c>
      <c r="I170" s="13" t="str">
        <f>IF($A170="","",[1]!thsiFinD("ths_adjustment_nv_fund",I$3,$A170))</f>
        <v/>
      </c>
      <c r="J170" s="13" t="str">
        <f>IF($A170="","",[1]!thsiFinD("ths_adjustment_nv_fund",J$3,$A170))</f>
        <v/>
      </c>
      <c r="K170" s="13" t="str">
        <f>IF($A170="","",[1]!thsiFinD("ths_adjustment_nv_fund",K$3,$A170))</f>
        <v/>
      </c>
      <c r="L170" s="13" t="str">
        <f>IF($A170="","",[1]!thsiFinD("ths_adjustment_nv_fund",L$3,$A170))</f>
        <v/>
      </c>
      <c r="M170" s="13" t="str">
        <f>IF($A170="","",[1]!thsiFinD("ths_adjustment_nv_fund",M$3,$A170))</f>
        <v/>
      </c>
      <c r="N170" s="13" t="str">
        <f>IF($A170="","",[1]!thsiFinD("ths_adjustment_nv_fund",N$3,$A170))</f>
        <v/>
      </c>
      <c r="O170" s="13" t="str">
        <f>IF($A170="","",[1]!thsiFinD("ths_adjustment_nv_fund",O$3,$A170))</f>
        <v/>
      </c>
      <c r="P170" s="13" t="str">
        <f>IF($A170="","",[1]!thsiFinD("ths_adjustment_nv_fund",P$3,$A170))</f>
        <v/>
      </c>
      <c r="Q170" s="13" t="str">
        <f>IF($A170="","",[1]!thsiFinD("ths_adjustment_nv_fund",Q$3,$A170))</f>
        <v/>
      </c>
      <c r="R170" s="13" t="str">
        <f>IF($A170="","",[1]!thsiFinD("ths_adjustment_nv_fund",R$3,$A170))</f>
        <v/>
      </c>
      <c r="S170" s="13" t="str">
        <f>IF($A170="","",[1]!thsiFinD("ths_adjustment_nv_fund",S$3,$A170))</f>
        <v/>
      </c>
      <c r="T170" s="13" t="str">
        <f>IF($A170="","",[1]!thsiFinD("ths_adjustment_nv_fund",T$3,$A170))</f>
        <v/>
      </c>
      <c r="U170" s="13" t="str">
        <f>IF($A170="","",[1]!thsiFinD("ths_adjustment_nv_fund",U$3,$A170))</f>
        <v/>
      </c>
      <c r="V170" s="13" t="str">
        <f>IF($A170="","",[1]!thsiFinD("ths_adjustment_nv_fund",V$3,$A170))</f>
        <v/>
      </c>
      <c r="W170" s="13" t="str">
        <f>IF($A170="","",[1]!thsiFinD("ths_adjustment_nv_fund",W$3,$A170))</f>
        <v/>
      </c>
      <c r="X170" s="13" t="str">
        <f>IF($A170="","",[1]!thsiFinD("ths_adjustment_nv_fund",X$3,$A170))</f>
        <v/>
      </c>
      <c r="Y170" s="13" t="str">
        <f>IF($A170="","",[1]!thsiFinD("ths_adjustment_nv_fund",Y$3,$A170))</f>
        <v/>
      </c>
      <c r="Z170" s="13" t="str">
        <f>IF($A170="","",[1]!thsiFinD("ths_adjustment_nv_fund",Z$3,$A170))</f>
        <v/>
      </c>
      <c r="AA170" s="13" t="str">
        <f>IF($A170="","",[1]!thsiFinD("ths_adjustment_nv_fund",AA$3,$A170))</f>
        <v/>
      </c>
      <c r="AB170" s="13" t="str">
        <f>IF($A170="","",[1]!thsiFinD("ths_adjustment_nv_fund",AB$3,$A170))</f>
        <v/>
      </c>
    </row>
    <row r="171" spans="2:28">
      <c r="B171" s="13" t="str">
        <f>IF($A171="","",[1]!thsiFinD("ths_adjustment_nv_fund",B$3,$A171))</f>
        <v/>
      </c>
      <c r="C171" s="13" t="str">
        <f>IF($A171="","",[1]!thsiFinD("ths_adjustment_nv_fund",C$3,$A171))</f>
        <v/>
      </c>
      <c r="D171" s="13" t="str">
        <f>IF($A171="","",[1]!thsiFinD("ths_adjustment_nv_fund",D$3,$A171))</f>
        <v/>
      </c>
      <c r="E171" s="13" t="str">
        <f>IF($A171="","",[1]!thsiFinD("ths_adjustment_nv_fund",E$3,$A171))</f>
        <v/>
      </c>
      <c r="F171" s="13" t="str">
        <f>IF($A171="","",[1]!thsiFinD("ths_adjustment_nv_fund",F$3,$A171))</f>
        <v/>
      </c>
      <c r="G171" s="13" t="str">
        <f>IF($A171="","",[1]!thsiFinD("ths_adjustment_nv_fund",G$3,$A171))</f>
        <v/>
      </c>
      <c r="H171" s="13" t="str">
        <f>IF($A171="","",[1]!thsiFinD("ths_adjustment_nv_fund",H$3,$A171))</f>
        <v/>
      </c>
      <c r="I171" s="13" t="str">
        <f>IF($A171="","",[1]!thsiFinD("ths_adjustment_nv_fund",I$3,$A171))</f>
        <v/>
      </c>
      <c r="J171" s="13" t="str">
        <f>IF($A171="","",[1]!thsiFinD("ths_adjustment_nv_fund",J$3,$A171))</f>
        <v/>
      </c>
      <c r="K171" s="13" t="str">
        <f>IF($A171="","",[1]!thsiFinD("ths_adjustment_nv_fund",K$3,$A171))</f>
        <v/>
      </c>
      <c r="L171" s="13" t="str">
        <f>IF($A171="","",[1]!thsiFinD("ths_adjustment_nv_fund",L$3,$A171))</f>
        <v/>
      </c>
      <c r="M171" s="13" t="str">
        <f>IF($A171="","",[1]!thsiFinD("ths_adjustment_nv_fund",M$3,$A171))</f>
        <v/>
      </c>
      <c r="N171" s="13" t="str">
        <f>IF($A171="","",[1]!thsiFinD("ths_adjustment_nv_fund",N$3,$A171))</f>
        <v/>
      </c>
      <c r="O171" s="13" t="str">
        <f>IF($A171="","",[1]!thsiFinD("ths_adjustment_nv_fund",O$3,$A171))</f>
        <v/>
      </c>
      <c r="P171" s="13" t="str">
        <f>IF($A171="","",[1]!thsiFinD("ths_adjustment_nv_fund",P$3,$A171))</f>
        <v/>
      </c>
      <c r="Q171" s="13" t="str">
        <f>IF($A171="","",[1]!thsiFinD("ths_adjustment_nv_fund",Q$3,$A171))</f>
        <v/>
      </c>
      <c r="R171" s="13" t="str">
        <f>IF($A171="","",[1]!thsiFinD("ths_adjustment_nv_fund",R$3,$A171))</f>
        <v/>
      </c>
      <c r="S171" s="13" t="str">
        <f>IF($A171="","",[1]!thsiFinD("ths_adjustment_nv_fund",S$3,$A171))</f>
        <v/>
      </c>
      <c r="T171" s="13" t="str">
        <f>IF($A171="","",[1]!thsiFinD("ths_adjustment_nv_fund",T$3,$A171))</f>
        <v/>
      </c>
      <c r="U171" s="13" t="str">
        <f>IF($A171="","",[1]!thsiFinD("ths_adjustment_nv_fund",U$3,$A171))</f>
        <v/>
      </c>
      <c r="V171" s="13" t="str">
        <f>IF($A171="","",[1]!thsiFinD("ths_adjustment_nv_fund",V$3,$A171))</f>
        <v/>
      </c>
      <c r="W171" s="13" t="str">
        <f>IF($A171="","",[1]!thsiFinD("ths_adjustment_nv_fund",W$3,$A171))</f>
        <v/>
      </c>
      <c r="X171" s="13" t="str">
        <f>IF($A171="","",[1]!thsiFinD("ths_adjustment_nv_fund",X$3,$A171))</f>
        <v/>
      </c>
      <c r="Y171" s="13" t="str">
        <f>IF($A171="","",[1]!thsiFinD("ths_adjustment_nv_fund",Y$3,$A171))</f>
        <v/>
      </c>
      <c r="Z171" s="13" t="str">
        <f>IF($A171="","",[1]!thsiFinD("ths_adjustment_nv_fund",Z$3,$A171))</f>
        <v/>
      </c>
      <c r="AA171" s="13" t="str">
        <f>IF($A171="","",[1]!thsiFinD("ths_adjustment_nv_fund",AA$3,$A171))</f>
        <v/>
      </c>
      <c r="AB171" s="13" t="str">
        <f>IF($A171="","",[1]!thsiFinD("ths_adjustment_nv_fund",AB$3,$A171))</f>
        <v/>
      </c>
    </row>
    <row r="172" spans="2:28">
      <c r="B172" s="13" t="str">
        <f>IF($A172="","",[1]!thsiFinD("ths_adjustment_nv_fund",B$3,$A172))</f>
        <v/>
      </c>
      <c r="C172" s="13" t="str">
        <f>IF($A172="","",[1]!thsiFinD("ths_adjustment_nv_fund",C$3,$A172))</f>
        <v/>
      </c>
      <c r="D172" s="13" t="str">
        <f>IF($A172="","",[1]!thsiFinD("ths_adjustment_nv_fund",D$3,$A172))</f>
        <v/>
      </c>
      <c r="E172" s="13" t="str">
        <f>IF($A172="","",[1]!thsiFinD("ths_adjustment_nv_fund",E$3,$A172))</f>
        <v/>
      </c>
      <c r="F172" s="13" t="str">
        <f>IF($A172="","",[1]!thsiFinD("ths_adjustment_nv_fund",F$3,$A172))</f>
        <v/>
      </c>
      <c r="G172" s="13" t="str">
        <f>IF($A172="","",[1]!thsiFinD("ths_adjustment_nv_fund",G$3,$A172))</f>
        <v/>
      </c>
      <c r="H172" s="13" t="str">
        <f>IF($A172="","",[1]!thsiFinD("ths_adjustment_nv_fund",H$3,$A172))</f>
        <v/>
      </c>
      <c r="I172" s="13" t="str">
        <f>IF($A172="","",[1]!thsiFinD("ths_adjustment_nv_fund",I$3,$A172))</f>
        <v/>
      </c>
      <c r="J172" s="13" t="str">
        <f>IF($A172="","",[1]!thsiFinD("ths_adjustment_nv_fund",J$3,$A172))</f>
        <v/>
      </c>
      <c r="K172" s="13" t="str">
        <f>IF($A172="","",[1]!thsiFinD("ths_adjustment_nv_fund",K$3,$A172))</f>
        <v/>
      </c>
      <c r="L172" s="13" t="str">
        <f>IF($A172="","",[1]!thsiFinD("ths_adjustment_nv_fund",L$3,$A172))</f>
        <v/>
      </c>
      <c r="M172" s="13" t="str">
        <f>IF($A172="","",[1]!thsiFinD("ths_adjustment_nv_fund",M$3,$A172))</f>
        <v/>
      </c>
      <c r="N172" s="13" t="str">
        <f>IF($A172="","",[1]!thsiFinD("ths_adjustment_nv_fund",N$3,$A172))</f>
        <v/>
      </c>
      <c r="O172" s="13" t="str">
        <f>IF($A172="","",[1]!thsiFinD("ths_adjustment_nv_fund",O$3,$A172))</f>
        <v/>
      </c>
      <c r="P172" s="13" t="str">
        <f>IF($A172="","",[1]!thsiFinD("ths_adjustment_nv_fund",P$3,$A172))</f>
        <v/>
      </c>
      <c r="Q172" s="13" t="str">
        <f>IF($A172="","",[1]!thsiFinD("ths_adjustment_nv_fund",Q$3,$A172))</f>
        <v/>
      </c>
      <c r="R172" s="13" t="str">
        <f>IF($A172="","",[1]!thsiFinD("ths_adjustment_nv_fund",R$3,$A172))</f>
        <v/>
      </c>
      <c r="S172" s="13" t="str">
        <f>IF($A172="","",[1]!thsiFinD("ths_adjustment_nv_fund",S$3,$A172))</f>
        <v/>
      </c>
      <c r="T172" s="13" t="str">
        <f>IF($A172="","",[1]!thsiFinD("ths_adjustment_nv_fund",T$3,$A172))</f>
        <v/>
      </c>
      <c r="U172" s="13" t="str">
        <f>IF($A172="","",[1]!thsiFinD("ths_adjustment_nv_fund",U$3,$A172))</f>
        <v/>
      </c>
      <c r="V172" s="13" t="str">
        <f>IF($A172="","",[1]!thsiFinD("ths_adjustment_nv_fund",V$3,$A172))</f>
        <v/>
      </c>
      <c r="W172" s="13" t="str">
        <f>IF($A172="","",[1]!thsiFinD("ths_adjustment_nv_fund",W$3,$A172))</f>
        <v/>
      </c>
      <c r="X172" s="13" t="str">
        <f>IF($A172="","",[1]!thsiFinD("ths_adjustment_nv_fund",X$3,$A172))</f>
        <v/>
      </c>
      <c r="Y172" s="13" t="str">
        <f>IF($A172="","",[1]!thsiFinD("ths_adjustment_nv_fund",Y$3,$A172))</f>
        <v/>
      </c>
      <c r="Z172" s="13" t="str">
        <f>IF($A172="","",[1]!thsiFinD("ths_adjustment_nv_fund",Z$3,$A172))</f>
        <v/>
      </c>
      <c r="AA172" s="13" t="str">
        <f>IF($A172="","",[1]!thsiFinD("ths_adjustment_nv_fund",AA$3,$A172))</f>
        <v/>
      </c>
      <c r="AB172" s="13" t="str">
        <f>IF($A172="","",[1]!thsiFinD("ths_adjustment_nv_fund",AB$3,$A172))</f>
        <v/>
      </c>
    </row>
    <row r="173" spans="2:28">
      <c r="B173" s="13" t="str">
        <f>IF($A173="","",[1]!thsiFinD("ths_adjustment_nv_fund",B$3,$A173))</f>
        <v/>
      </c>
      <c r="C173" s="13" t="str">
        <f>IF($A173="","",[1]!thsiFinD("ths_adjustment_nv_fund",C$3,$A173))</f>
        <v/>
      </c>
      <c r="D173" s="13" t="str">
        <f>IF($A173="","",[1]!thsiFinD("ths_adjustment_nv_fund",D$3,$A173))</f>
        <v/>
      </c>
      <c r="E173" s="13" t="str">
        <f>IF($A173="","",[1]!thsiFinD("ths_adjustment_nv_fund",E$3,$A173))</f>
        <v/>
      </c>
      <c r="F173" s="13" t="str">
        <f>IF($A173="","",[1]!thsiFinD("ths_adjustment_nv_fund",F$3,$A173))</f>
        <v/>
      </c>
      <c r="G173" s="13" t="str">
        <f>IF($A173="","",[1]!thsiFinD("ths_adjustment_nv_fund",G$3,$A173))</f>
        <v/>
      </c>
      <c r="H173" s="13" t="str">
        <f>IF($A173="","",[1]!thsiFinD("ths_adjustment_nv_fund",H$3,$A173))</f>
        <v/>
      </c>
      <c r="I173" s="13" t="str">
        <f>IF($A173="","",[1]!thsiFinD("ths_adjustment_nv_fund",I$3,$A173))</f>
        <v/>
      </c>
      <c r="J173" s="13" t="str">
        <f>IF($A173="","",[1]!thsiFinD("ths_adjustment_nv_fund",J$3,$A173))</f>
        <v/>
      </c>
      <c r="K173" s="13" t="str">
        <f>IF($A173="","",[1]!thsiFinD("ths_adjustment_nv_fund",K$3,$A173))</f>
        <v/>
      </c>
      <c r="L173" s="13" t="str">
        <f>IF($A173="","",[1]!thsiFinD("ths_adjustment_nv_fund",L$3,$A173))</f>
        <v/>
      </c>
      <c r="M173" s="13" t="str">
        <f>IF($A173="","",[1]!thsiFinD("ths_adjustment_nv_fund",M$3,$A173))</f>
        <v/>
      </c>
      <c r="N173" s="13" t="str">
        <f>IF($A173="","",[1]!thsiFinD("ths_adjustment_nv_fund",N$3,$A173))</f>
        <v/>
      </c>
      <c r="O173" s="13" t="str">
        <f>IF($A173="","",[1]!thsiFinD("ths_adjustment_nv_fund",O$3,$A173))</f>
        <v/>
      </c>
      <c r="P173" s="13" t="str">
        <f>IF($A173="","",[1]!thsiFinD("ths_adjustment_nv_fund",P$3,$A173))</f>
        <v/>
      </c>
      <c r="Q173" s="13" t="str">
        <f>IF($A173="","",[1]!thsiFinD("ths_adjustment_nv_fund",Q$3,$A173))</f>
        <v/>
      </c>
      <c r="R173" s="13" t="str">
        <f>IF($A173="","",[1]!thsiFinD("ths_adjustment_nv_fund",R$3,$A173))</f>
        <v/>
      </c>
      <c r="S173" s="13" t="str">
        <f>IF($A173="","",[1]!thsiFinD("ths_adjustment_nv_fund",S$3,$A173))</f>
        <v/>
      </c>
      <c r="T173" s="13" t="str">
        <f>IF($A173="","",[1]!thsiFinD("ths_adjustment_nv_fund",T$3,$A173))</f>
        <v/>
      </c>
      <c r="U173" s="13" t="str">
        <f>IF($A173="","",[1]!thsiFinD("ths_adjustment_nv_fund",U$3,$A173))</f>
        <v/>
      </c>
      <c r="V173" s="13" t="str">
        <f>IF($A173="","",[1]!thsiFinD("ths_adjustment_nv_fund",V$3,$A173))</f>
        <v/>
      </c>
      <c r="W173" s="13" t="str">
        <f>IF($A173="","",[1]!thsiFinD("ths_adjustment_nv_fund",W$3,$A173))</f>
        <v/>
      </c>
      <c r="X173" s="13" t="str">
        <f>IF($A173="","",[1]!thsiFinD("ths_adjustment_nv_fund",X$3,$A173))</f>
        <v/>
      </c>
      <c r="Y173" s="13" t="str">
        <f>IF($A173="","",[1]!thsiFinD("ths_adjustment_nv_fund",Y$3,$A173))</f>
        <v/>
      </c>
      <c r="Z173" s="13" t="str">
        <f>IF($A173="","",[1]!thsiFinD("ths_adjustment_nv_fund",Z$3,$A173))</f>
        <v/>
      </c>
      <c r="AA173" s="13" t="str">
        <f>IF($A173="","",[1]!thsiFinD("ths_adjustment_nv_fund",AA$3,$A173))</f>
        <v/>
      </c>
      <c r="AB173" s="13" t="str">
        <f>IF($A173="","",[1]!thsiFinD("ths_adjustment_nv_fund",AB$3,$A173))</f>
        <v/>
      </c>
    </row>
    <row r="174" spans="2:28">
      <c r="B174" s="13" t="str">
        <f>IF($A174="","",[1]!thsiFinD("ths_adjustment_nv_fund",B$3,$A174))</f>
        <v/>
      </c>
      <c r="C174" s="13" t="str">
        <f>IF($A174="","",[1]!thsiFinD("ths_adjustment_nv_fund",C$3,$A174))</f>
        <v/>
      </c>
      <c r="D174" s="13" t="str">
        <f>IF($A174="","",[1]!thsiFinD("ths_adjustment_nv_fund",D$3,$A174))</f>
        <v/>
      </c>
      <c r="E174" s="13" t="str">
        <f>IF($A174="","",[1]!thsiFinD("ths_adjustment_nv_fund",E$3,$A174))</f>
        <v/>
      </c>
      <c r="F174" s="13" t="str">
        <f>IF($A174="","",[1]!thsiFinD("ths_adjustment_nv_fund",F$3,$A174))</f>
        <v/>
      </c>
      <c r="G174" s="13" t="str">
        <f>IF($A174="","",[1]!thsiFinD("ths_adjustment_nv_fund",G$3,$A174))</f>
        <v/>
      </c>
      <c r="H174" s="13" t="str">
        <f>IF($A174="","",[1]!thsiFinD("ths_adjustment_nv_fund",H$3,$A174))</f>
        <v/>
      </c>
      <c r="I174" s="13" t="str">
        <f>IF($A174="","",[1]!thsiFinD("ths_adjustment_nv_fund",I$3,$A174))</f>
        <v/>
      </c>
      <c r="J174" s="13" t="str">
        <f>IF($A174="","",[1]!thsiFinD("ths_adjustment_nv_fund",J$3,$A174))</f>
        <v/>
      </c>
      <c r="K174" s="13" t="str">
        <f>IF($A174="","",[1]!thsiFinD("ths_adjustment_nv_fund",K$3,$A174))</f>
        <v/>
      </c>
      <c r="L174" s="13" t="str">
        <f>IF($A174="","",[1]!thsiFinD("ths_adjustment_nv_fund",L$3,$A174))</f>
        <v/>
      </c>
      <c r="M174" s="13" t="str">
        <f>IF($A174="","",[1]!thsiFinD("ths_adjustment_nv_fund",M$3,$A174))</f>
        <v/>
      </c>
      <c r="N174" s="13" t="str">
        <f>IF($A174="","",[1]!thsiFinD("ths_adjustment_nv_fund",N$3,$A174))</f>
        <v/>
      </c>
      <c r="O174" s="13" t="str">
        <f>IF($A174="","",[1]!thsiFinD("ths_adjustment_nv_fund",O$3,$A174))</f>
        <v/>
      </c>
      <c r="P174" s="13" t="str">
        <f>IF($A174="","",[1]!thsiFinD("ths_adjustment_nv_fund",P$3,$A174))</f>
        <v/>
      </c>
      <c r="Q174" s="13" t="str">
        <f>IF($A174="","",[1]!thsiFinD("ths_adjustment_nv_fund",Q$3,$A174))</f>
        <v/>
      </c>
      <c r="R174" s="13" t="str">
        <f>IF($A174="","",[1]!thsiFinD("ths_adjustment_nv_fund",R$3,$A174))</f>
        <v/>
      </c>
      <c r="S174" s="13" t="str">
        <f>IF($A174="","",[1]!thsiFinD("ths_adjustment_nv_fund",S$3,$A174))</f>
        <v/>
      </c>
      <c r="T174" s="13" t="str">
        <f>IF($A174="","",[1]!thsiFinD("ths_adjustment_nv_fund",T$3,$A174))</f>
        <v/>
      </c>
      <c r="U174" s="13" t="str">
        <f>IF($A174="","",[1]!thsiFinD("ths_adjustment_nv_fund",U$3,$A174))</f>
        <v/>
      </c>
      <c r="V174" s="13" t="str">
        <f>IF($A174="","",[1]!thsiFinD("ths_adjustment_nv_fund",V$3,$A174))</f>
        <v/>
      </c>
      <c r="W174" s="13" t="str">
        <f>IF($A174="","",[1]!thsiFinD("ths_adjustment_nv_fund",W$3,$A174))</f>
        <v/>
      </c>
      <c r="X174" s="13" t="str">
        <f>IF($A174="","",[1]!thsiFinD("ths_adjustment_nv_fund",X$3,$A174))</f>
        <v/>
      </c>
      <c r="Y174" s="13" t="str">
        <f>IF($A174="","",[1]!thsiFinD("ths_adjustment_nv_fund",Y$3,$A174))</f>
        <v/>
      </c>
      <c r="Z174" s="13" t="str">
        <f>IF($A174="","",[1]!thsiFinD("ths_adjustment_nv_fund",Z$3,$A174))</f>
        <v/>
      </c>
      <c r="AA174" s="13" t="str">
        <f>IF($A174="","",[1]!thsiFinD("ths_adjustment_nv_fund",AA$3,$A174))</f>
        <v/>
      </c>
      <c r="AB174" s="13" t="str">
        <f>IF($A174="","",[1]!thsiFinD("ths_adjustment_nv_fund",AB$3,$A174))</f>
        <v/>
      </c>
    </row>
    <row r="175" spans="2:28">
      <c r="B175" s="13" t="str">
        <f>IF($A175="","",[1]!thsiFinD("ths_adjustment_nv_fund",B$3,$A175))</f>
        <v/>
      </c>
      <c r="C175" s="13" t="str">
        <f>IF($A175="","",[1]!thsiFinD("ths_adjustment_nv_fund",C$3,$A175))</f>
        <v/>
      </c>
      <c r="D175" s="13" t="str">
        <f>IF($A175="","",[1]!thsiFinD("ths_adjustment_nv_fund",D$3,$A175))</f>
        <v/>
      </c>
      <c r="E175" s="13" t="str">
        <f>IF($A175="","",[1]!thsiFinD("ths_adjustment_nv_fund",E$3,$A175))</f>
        <v/>
      </c>
      <c r="F175" s="13" t="str">
        <f>IF($A175="","",[1]!thsiFinD("ths_adjustment_nv_fund",F$3,$A175))</f>
        <v/>
      </c>
      <c r="G175" s="13" t="str">
        <f>IF($A175="","",[1]!thsiFinD("ths_adjustment_nv_fund",G$3,$A175))</f>
        <v/>
      </c>
      <c r="H175" s="13" t="str">
        <f>IF($A175="","",[1]!thsiFinD("ths_adjustment_nv_fund",H$3,$A175))</f>
        <v/>
      </c>
      <c r="I175" s="13" t="str">
        <f>IF($A175="","",[1]!thsiFinD("ths_adjustment_nv_fund",I$3,$A175))</f>
        <v/>
      </c>
      <c r="J175" s="13" t="str">
        <f>IF($A175="","",[1]!thsiFinD("ths_adjustment_nv_fund",J$3,$A175))</f>
        <v/>
      </c>
      <c r="K175" s="13" t="str">
        <f>IF($A175="","",[1]!thsiFinD("ths_adjustment_nv_fund",K$3,$A175))</f>
        <v/>
      </c>
      <c r="L175" s="13" t="str">
        <f>IF($A175="","",[1]!thsiFinD("ths_adjustment_nv_fund",L$3,$A175))</f>
        <v/>
      </c>
      <c r="M175" s="13" t="str">
        <f>IF($A175="","",[1]!thsiFinD("ths_adjustment_nv_fund",M$3,$A175))</f>
        <v/>
      </c>
      <c r="N175" s="13" t="str">
        <f>IF($A175="","",[1]!thsiFinD("ths_adjustment_nv_fund",N$3,$A175))</f>
        <v/>
      </c>
      <c r="O175" s="13" t="str">
        <f>IF($A175="","",[1]!thsiFinD("ths_adjustment_nv_fund",O$3,$A175))</f>
        <v/>
      </c>
      <c r="P175" s="13" t="str">
        <f>IF($A175="","",[1]!thsiFinD("ths_adjustment_nv_fund",P$3,$A175))</f>
        <v/>
      </c>
      <c r="Q175" s="13" t="str">
        <f>IF($A175="","",[1]!thsiFinD("ths_adjustment_nv_fund",Q$3,$A175))</f>
        <v/>
      </c>
      <c r="R175" s="13" t="str">
        <f>IF($A175="","",[1]!thsiFinD("ths_adjustment_nv_fund",R$3,$A175))</f>
        <v/>
      </c>
      <c r="S175" s="13" t="str">
        <f>IF($A175="","",[1]!thsiFinD("ths_adjustment_nv_fund",S$3,$A175))</f>
        <v/>
      </c>
      <c r="T175" s="13" t="str">
        <f>IF($A175="","",[1]!thsiFinD("ths_adjustment_nv_fund",T$3,$A175))</f>
        <v/>
      </c>
      <c r="U175" s="13" t="str">
        <f>IF($A175="","",[1]!thsiFinD("ths_adjustment_nv_fund",U$3,$A175))</f>
        <v/>
      </c>
      <c r="V175" s="13" t="str">
        <f>IF($A175="","",[1]!thsiFinD("ths_adjustment_nv_fund",V$3,$A175))</f>
        <v/>
      </c>
      <c r="W175" s="13" t="str">
        <f>IF($A175="","",[1]!thsiFinD("ths_adjustment_nv_fund",W$3,$A175))</f>
        <v/>
      </c>
      <c r="X175" s="13" t="str">
        <f>IF($A175="","",[1]!thsiFinD("ths_adjustment_nv_fund",X$3,$A175))</f>
        <v/>
      </c>
      <c r="Y175" s="13" t="str">
        <f>IF($A175="","",[1]!thsiFinD("ths_adjustment_nv_fund",Y$3,$A175))</f>
        <v/>
      </c>
      <c r="Z175" s="13" t="str">
        <f>IF($A175="","",[1]!thsiFinD("ths_adjustment_nv_fund",Z$3,$A175))</f>
        <v/>
      </c>
      <c r="AA175" s="13" t="str">
        <f>IF($A175="","",[1]!thsiFinD("ths_adjustment_nv_fund",AA$3,$A175))</f>
        <v/>
      </c>
      <c r="AB175" s="13" t="str">
        <f>IF($A175="","",[1]!thsiFinD("ths_adjustment_nv_fund",AB$3,$A175))</f>
        <v/>
      </c>
    </row>
    <row r="176" spans="2:28">
      <c r="B176" s="13" t="str">
        <f>IF($A176="","",[1]!thsiFinD("ths_adjustment_nv_fund",B$3,$A176))</f>
        <v/>
      </c>
      <c r="C176" s="13" t="str">
        <f>IF($A176="","",[1]!thsiFinD("ths_adjustment_nv_fund",C$3,$A176))</f>
        <v/>
      </c>
      <c r="D176" s="13" t="str">
        <f>IF($A176="","",[1]!thsiFinD("ths_adjustment_nv_fund",D$3,$A176))</f>
        <v/>
      </c>
      <c r="E176" s="13" t="str">
        <f>IF($A176="","",[1]!thsiFinD("ths_adjustment_nv_fund",E$3,$A176))</f>
        <v/>
      </c>
      <c r="F176" s="13" t="str">
        <f>IF($A176="","",[1]!thsiFinD("ths_adjustment_nv_fund",F$3,$A176))</f>
        <v/>
      </c>
      <c r="G176" s="13" t="str">
        <f>IF($A176="","",[1]!thsiFinD("ths_adjustment_nv_fund",G$3,$A176))</f>
        <v/>
      </c>
      <c r="H176" s="13" t="str">
        <f>IF($A176="","",[1]!thsiFinD("ths_adjustment_nv_fund",H$3,$A176))</f>
        <v/>
      </c>
      <c r="I176" s="13" t="str">
        <f>IF($A176="","",[1]!thsiFinD("ths_adjustment_nv_fund",I$3,$A176))</f>
        <v/>
      </c>
      <c r="J176" s="13" t="str">
        <f>IF($A176="","",[1]!thsiFinD("ths_adjustment_nv_fund",J$3,$A176))</f>
        <v/>
      </c>
      <c r="K176" s="13" t="str">
        <f>IF($A176="","",[1]!thsiFinD("ths_adjustment_nv_fund",K$3,$A176))</f>
        <v/>
      </c>
      <c r="L176" s="13" t="str">
        <f>IF($A176="","",[1]!thsiFinD("ths_adjustment_nv_fund",L$3,$A176))</f>
        <v/>
      </c>
      <c r="M176" s="13" t="str">
        <f>IF($A176="","",[1]!thsiFinD("ths_adjustment_nv_fund",M$3,$A176))</f>
        <v/>
      </c>
      <c r="N176" s="13" t="str">
        <f>IF($A176="","",[1]!thsiFinD("ths_adjustment_nv_fund",N$3,$A176))</f>
        <v/>
      </c>
      <c r="O176" s="13" t="str">
        <f>IF($A176="","",[1]!thsiFinD("ths_adjustment_nv_fund",O$3,$A176))</f>
        <v/>
      </c>
      <c r="P176" s="13" t="str">
        <f>IF($A176="","",[1]!thsiFinD("ths_adjustment_nv_fund",P$3,$A176))</f>
        <v/>
      </c>
      <c r="Q176" s="13" t="str">
        <f>IF($A176="","",[1]!thsiFinD("ths_adjustment_nv_fund",Q$3,$A176))</f>
        <v/>
      </c>
      <c r="R176" s="13" t="str">
        <f>IF($A176="","",[1]!thsiFinD("ths_adjustment_nv_fund",R$3,$A176))</f>
        <v/>
      </c>
      <c r="S176" s="13" t="str">
        <f>IF($A176="","",[1]!thsiFinD("ths_adjustment_nv_fund",S$3,$A176))</f>
        <v/>
      </c>
      <c r="T176" s="13" t="str">
        <f>IF($A176="","",[1]!thsiFinD("ths_adjustment_nv_fund",T$3,$A176))</f>
        <v/>
      </c>
      <c r="U176" s="13" t="str">
        <f>IF($A176="","",[1]!thsiFinD("ths_adjustment_nv_fund",U$3,$A176))</f>
        <v/>
      </c>
      <c r="V176" s="13" t="str">
        <f>IF($A176="","",[1]!thsiFinD("ths_adjustment_nv_fund",V$3,$A176))</f>
        <v/>
      </c>
      <c r="W176" s="13" t="str">
        <f>IF($A176="","",[1]!thsiFinD("ths_adjustment_nv_fund",W$3,$A176))</f>
        <v/>
      </c>
      <c r="X176" s="13" t="str">
        <f>IF($A176="","",[1]!thsiFinD("ths_adjustment_nv_fund",X$3,$A176))</f>
        <v/>
      </c>
      <c r="Y176" s="13" t="str">
        <f>IF($A176="","",[1]!thsiFinD("ths_adjustment_nv_fund",Y$3,$A176))</f>
        <v/>
      </c>
      <c r="Z176" s="13" t="str">
        <f>IF($A176="","",[1]!thsiFinD("ths_adjustment_nv_fund",Z$3,$A176))</f>
        <v/>
      </c>
      <c r="AA176" s="13" t="str">
        <f>IF($A176="","",[1]!thsiFinD("ths_adjustment_nv_fund",AA$3,$A176))</f>
        <v/>
      </c>
      <c r="AB176" s="13" t="str">
        <f>IF($A176="","",[1]!thsiFinD("ths_adjustment_nv_fund",AB$3,$A176))</f>
        <v/>
      </c>
    </row>
    <row r="177" spans="2:28">
      <c r="B177" s="13" t="str">
        <f>IF($A177="","",[1]!thsiFinD("ths_adjustment_nv_fund",B$3,$A177))</f>
        <v/>
      </c>
      <c r="C177" s="13" t="str">
        <f>IF($A177="","",[1]!thsiFinD("ths_adjustment_nv_fund",C$3,$A177))</f>
        <v/>
      </c>
      <c r="D177" s="13" t="str">
        <f>IF($A177="","",[1]!thsiFinD("ths_adjustment_nv_fund",D$3,$A177))</f>
        <v/>
      </c>
      <c r="E177" s="13" t="str">
        <f>IF($A177="","",[1]!thsiFinD("ths_adjustment_nv_fund",E$3,$A177))</f>
        <v/>
      </c>
      <c r="F177" s="13" t="str">
        <f>IF($A177="","",[1]!thsiFinD("ths_adjustment_nv_fund",F$3,$A177))</f>
        <v/>
      </c>
      <c r="G177" s="13" t="str">
        <f>IF($A177="","",[1]!thsiFinD("ths_adjustment_nv_fund",G$3,$A177))</f>
        <v/>
      </c>
      <c r="H177" s="13" t="str">
        <f>IF($A177="","",[1]!thsiFinD("ths_adjustment_nv_fund",H$3,$A177))</f>
        <v/>
      </c>
      <c r="I177" s="13" t="str">
        <f>IF($A177="","",[1]!thsiFinD("ths_adjustment_nv_fund",I$3,$A177))</f>
        <v/>
      </c>
      <c r="J177" s="13" t="str">
        <f>IF($A177="","",[1]!thsiFinD("ths_adjustment_nv_fund",J$3,$A177))</f>
        <v/>
      </c>
      <c r="K177" s="13" t="str">
        <f>IF($A177="","",[1]!thsiFinD("ths_adjustment_nv_fund",K$3,$A177))</f>
        <v/>
      </c>
      <c r="L177" s="13" t="str">
        <f>IF($A177="","",[1]!thsiFinD("ths_adjustment_nv_fund",L$3,$A177))</f>
        <v/>
      </c>
      <c r="M177" s="13" t="str">
        <f>IF($A177="","",[1]!thsiFinD("ths_adjustment_nv_fund",M$3,$A177))</f>
        <v/>
      </c>
      <c r="N177" s="13" t="str">
        <f>IF($A177="","",[1]!thsiFinD("ths_adjustment_nv_fund",N$3,$A177))</f>
        <v/>
      </c>
      <c r="O177" s="13" t="str">
        <f>IF($A177="","",[1]!thsiFinD("ths_adjustment_nv_fund",O$3,$A177))</f>
        <v/>
      </c>
      <c r="P177" s="13" t="str">
        <f>IF($A177="","",[1]!thsiFinD("ths_adjustment_nv_fund",P$3,$A177))</f>
        <v/>
      </c>
      <c r="Q177" s="13" t="str">
        <f>IF($A177="","",[1]!thsiFinD("ths_adjustment_nv_fund",Q$3,$A177))</f>
        <v/>
      </c>
      <c r="R177" s="13" t="str">
        <f>IF($A177="","",[1]!thsiFinD("ths_adjustment_nv_fund",R$3,$A177))</f>
        <v/>
      </c>
      <c r="S177" s="13" t="str">
        <f>IF($A177="","",[1]!thsiFinD("ths_adjustment_nv_fund",S$3,$A177))</f>
        <v/>
      </c>
      <c r="T177" s="13" t="str">
        <f>IF($A177="","",[1]!thsiFinD("ths_adjustment_nv_fund",T$3,$A177))</f>
        <v/>
      </c>
      <c r="U177" s="13" t="str">
        <f>IF($A177="","",[1]!thsiFinD("ths_adjustment_nv_fund",U$3,$A177))</f>
        <v/>
      </c>
      <c r="V177" s="13" t="str">
        <f>IF($A177="","",[1]!thsiFinD("ths_adjustment_nv_fund",V$3,$A177))</f>
        <v/>
      </c>
      <c r="W177" s="13" t="str">
        <f>IF($A177="","",[1]!thsiFinD("ths_adjustment_nv_fund",W$3,$A177))</f>
        <v/>
      </c>
      <c r="X177" s="13" t="str">
        <f>IF($A177="","",[1]!thsiFinD("ths_adjustment_nv_fund",X$3,$A177))</f>
        <v/>
      </c>
      <c r="Y177" s="13" t="str">
        <f>IF($A177="","",[1]!thsiFinD("ths_adjustment_nv_fund",Y$3,$A177))</f>
        <v/>
      </c>
      <c r="Z177" s="13" t="str">
        <f>IF($A177="","",[1]!thsiFinD("ths_adjustment_nv_fund",Z$3,$A177))</f>
        <v/>
      </c>
      <c r="AA177" s="13" t="str">
        <f>IF($A177="","",[1]!thsiFinD("ths_adjustment_nv_fund",AA$3,$A177))</f>
        <v/>
      </c>
      <c r="AB177" s="13" t="str">
        <f>IF($A177="","",[1]!thsiFinD("ths_adjustment_nv_fund",AB$3,$A177))</f>
        <v/>
      </c>
    </row>
    <row r="178" spans="2:28">
      <c r="B178" s="13" t="str">
        <f>IF($A178="","",[1]!thsiFinD("ths_adjustment_nv_fund",B$3,$A178))</f>
        <v/>
      </c>
      <c r="C178" s="13" t="str">
        <f>IF($A178="","",[1]!thsiFinD("ths_adjustment_nv_fund",C$3,$A178))</f>
        <v/>
      </c>
      <c r="D178" s="13" t="str">
        <f>IF($A178="","",[1]!thsiFinD("ths_adjustment_nv_fund",D$3,$A178))</f>
        <v/>
      </c>
      <c r="E178" s="13" t="str">
        <f>IF($A178="","",[1]!thsiFinD("ths_adjustment_nv_fund",E$3,$A178))</f>
        <v/>
      </c>
      <c r="F178" s="13" t="str">
        <f>IF($A178="","",[1]!thsiFinD("ths_adjustment_nv_fund",F$3,$A178))</f>
        <v/>
      </c>
      <c r="G178" s="13" t="str">
        <f>IF($A178="","",[1]!thsiFinD("ths_adjustment_nv_fund",G$3,$A178))</f>
        <v/>
      </c>
      <c r="H178" s="13" t="str">
        <f>IF($A178="","",[1]!thsiFinD("ths_adjustment_nv_fund",H$3,$A178))</f>
        <v/>
      </c>
      <c r="I178" s="13" t="str">
        <f>IF($A178="","",[1]!thsiFinD("ths_adjustment_nv_fund",I$3,$A178))</f>
        <v/>
      </c>
      <c r="J178" s="13" t="str">
        <f>IF($A178="","",[1]!thsiFinD("ths_adjustment_nv_fund",J$3,$A178))</f>
        <v/>
      </c>
      <c r="K178" s="13" t="str">
        <f>IF($A178="","",[1]!thsiFinD("ths_adjustment_nv_fund",K$3,$A178))</f>
        <v/>
      </c>
      <c r="L178" s="13" t="str">
        <f>IF($A178="","",[1]!thsiFinD("ths_adjustment_nv_fund",L$3,$A178))</f>
        <v/>
      </c>
      <c r="M178" s="13" t="str">
        <f>IF($A178="","",[1]!thsiFinD("ths_adjustment_nv_fund",M$3,$A178))</f>
        <v/>
      </c>
      <c r="N178" s="13" t="str">
        <f>IF($A178="","",[1]!thsiFinD("ths_adjustment_nv_fund",N$3,$A178))</f>
        <v/>
      </c>
      <c r="O178" s="13" t="str">
        <f>IF($A178="","",[1]!thsiFinD("ths_adjustment_nv_fund",O$3,$A178))</f>
        <v/>
      </c>
      <c r="P178" s="13" t="str">
        <f>IF($A178="","",[1]!thsiFinD("ths_adjustment_nv_fund",P$3,$A178))</f>
        <v/>
      </c>
      <c r="Q178" s="13" t="str">
        <f>IF($A178="","",[1]!thsiFinD("ths_adjustment_nv_fund",Q$3,$A178))</f>
        <v/>
      </c>
      <c r="R178" s="13" t="str">
        <f>IF($A178="","",[1]!thsiFinD("ths_adjustment_nv_fund",R$3,$A178))</f>
        <v/>
      </c>
      <c r="S178" s="13" t="str">
        <f>IF($A178="","",[1]!thsiFinD("ths_adjustment_nv_fund",S$3,$A178))</f>
        <v/>
      </c>
      <c r="T178" s="13" t="str">
        <f>IF($A178="","",[1]!thsiFinD("ths_adjustment_nv_fund",T$3,$A178))</f>
        <v/>
      </c>
      <c r="U178" s="13" t="str">
        <f>IF($A178="","",[1]!thsiFinD("ths_adjustment_nv_fund",U$3,$A178))</f>
        <v/>
      </c>
      <c r="V178" s="13" t="str">
        <f>IF($A178="","",[1]!thsiFinD("ths_adjustment_nv_fund",V$3,$A178))</f>
        <v/>
      </c>
      <c r="W178" s="13" t="str">
        <f>IF($A178="","",[1]!thsiFinD("ths_adjustment_nv_fund",W$3,$A178))</f>
        <v/>
      </c>
      <c r="X178" s="13" t="str">
        <f>IF($A178="","",[1]!thsiFinD("ths_adjustment_nv_fund",X$3,$A178))</f>
        <v/>
      </c>
      <c r="Y178" s="13" t="str">
        <f>IF($A178="","",[1]!thsiFinD("ths_adjustment_nv_fund",Y$3,$A178))</f>
        <v/>
      </c>
      <c r="Z178" s="13" t="str">
        <f>IF($A178="","",[1]!thsiFinD("ths_adjustment_nv_fund",Z$3,$A178))</f>
        <v/>
      </c>
      <c r="AA178" s="13" t="str">
        <f>IF($A178="","",[1]!thsiFinD("ths_adjustment_nv_fund",AA$3,$A178))</f>
        <v/>
      </c>
      <c r="AB178" s="13" t="str">
        <f>IF($A178="","",[1]!thsiFinD("ths_adjustment_nv_fund",AB$3,$A178))</f>
        <v/>
      </c>
    </row>
    <row r="179" spans="2:28">
      <c r="B179" s="13" t="str">
        <f>IF($A179="","",[1]!thsiFinD("ths_adjustment_nv_fund",B$3,$A179))</f>
        <v/>
      </c>
      <c r="C179" s="13" t="str">
        <f>IF($A179="","",[1]!thsiFinD("ths_adjustment_nv_fund",C$3,$A179))</f>
        <v/>
      </c>
      <c r="D179" s="13" t="str">
        <f>IF($A179="","",[1]!thsiFinD("ths_adjustment_nv_fund",D$3,$A179))</f>
        <v/>
      </c>
      <c r="E179" s="13" t="str">
        <f>IF($A179="","",[1]!thsiFinD("ths_adjustment_nv_fund",E$3,$A179))</f>
        <v/>
      </c>
      <c r="F179" s="13" t="str">
        <f>IF($A179="","",[1]!thsiFinD("ths_adjustment_nv_fund",F$3,$A179))</f>
        <v/>
      </c>
      <c r="G179" s="13" t="str">
        <f>IF($A179="","",[1]!thsiFinD("ths_adjustment_nv_fund",G$3,$A179))</f>
        <v/>
      </c>
      <c r="H179" s="13" t="str">
        <f>IF($A179="","",[1]!thsiFinD("ths_adjustment_nv_fund",H$3,$A179))</f>
        <v/>
      </c>
      <c r="I179" s="13" t="str">
        <f>IF($A179="","",[1]!thsiFinD("ths_adjustment_nv_fund",I$3,$A179))</f>
        <v/>
      </c>
      <c r="J179" s="13" t="str">
        <f>IF($A179="","",[1]!thsiFinD("ths_adjustment_nv_fund",J$3,$A179))</f>
        <v/>
      </c>
      <c r="K179" s="13" t="str">
        <f>IF($A179="","",[1]!thsiFinD("ths_adjustment_nv_fund",K$3,$A179))</f>
        <v/>
      </c>
      <c r="L179" s="13" t="str">
        <f>IF($A179="","",[1]!thsiFinD("ths_adjustment_nv_fund",L$3,$A179))</f>
        <v/>
      </c>
      <c r="M179" s="13" t="str">
        <f>IF($A179="","",[1]!thsiFinD("ths_adjustment_nv_fund",M$3,$A179))</f>
        <v/>
      </c>
      <c r="N179" s="13" t="str">
        <f>IF($A179="","",[1]!thsiFinD("ths_adjustment_nv_fund",N$3,$A179))</f>
        <v/>
      </c>
      <c r="O179" s="13" t="str">
        <f>IF($A179="","",[1]!thsiFinD("ths_adjustment_nv_fund",O$3,$A179))</f>
        <v/>
      </c>
      <c r="P179" s="13" t="str">
        <f>IF($A179="","",[1]!thsiFinD("ths_adjustment_nv_fund",P$3,$A179))</f>
        <v/>
      </c>
      <c r="Q179" s="13" t="str">
        <f>IF($A179="","",[1]!thsiFinD("ths_adjustment_nv_fund",Q$3,$A179))</f>
        <v/>
      </c>
      <c r="R179" s="13" t="str">
        <f>IF($A179="","",[1]!thsiFinD("ths_adjustment_nv_fund",R$3,$A179))</f>
        <v/>
      </c>
      <c r="S179" s="13" t="str">
        <f>IF($A179="","",[1]!thsiFinD("ths_adjustment_nv_fund",S$3,$A179))</f>
        <v/>
      </c>
      <c r="T179" s="13" t="str">
        <f>IF($A179="","",[1]!thsiFinD("ths_adjustment_nv_fund",T$3,$A179))</f>
        <v/>
      </c>
      <c r="U179" s="13" t="str">
        <f>IF($A179="","",[1]!thsiFinD("ths_adjustment_nv_fund",U$3,$A179))</f>
        <v/>
      </c>
      <c r="V179" s="13" t="str">
        <f>IF($A179="","",[1]!thsiFinD("ths_adjustment_nv_fund",V$3,$A179))</f>
        <v/>
      </c>
      <c r="W179" s="13" t="str">
        <f>IF($A179="","",[1]!thsiFinD("ths_adjustment_nv_fund",W$3,$A179))</f>
        <v/>
      </c>
      <c r="X179" s="13" t="str">
        <f>IF($A179="","",[1]!thsiFinD("ths_adjustment_nv_fund",X$3,$A179))</f>
        <v/>
      </c>
      <c r="Y179" s="13" t="str">
        <f>IF($A179="","",[1]!thsiFinD("ths_adjustment_nv_fund",Y$3,$A179))</f>
        <v/>
      </c>
      <c r="Z179" s="13" t="str">
        <f>IF($A179="","",[1]!thsiFinD("ths_adjustment_nv_fund",Z$3,$A179))</f>
        <v/>
      </c>
      <c r="AA179" s="13" t="str">
        <f>IF($A179="","",[1]!thsiFinD("ths_adjustment_nv_fund",AA$3,$A179))</f>
        <v/>
      </c>
      <c r="AB179" s="13" t="str">
        <f>IF($A179="","",[1]!thsiFinD("ths_adjustment_nv_fund",AB$3,$A179))</f>
        <v/>
      </c>
    </row>
    <row r="180" spans="2:28">
      <c r="B180" s="13" t="str">
        <f>IF($A180="","",[1]!thsiFinD("ths_adjustment_nv_fund",B$3,$A180))</f>
        <v/>
      </c>
      <c r="C180" s="13" t="str">
        <f>IF($A180="","",[1]!thsiFinD("ths_adjustment_nv_fund",C$3,$A180))</f>
        <v/>
      </c>
      <c r="D180" s="13" t="str">
        <f>IF($A180="","",[1]!thsiFinD("ths_adjustment_nv_fund",D$3,$A180))</f>
        <v/>
      </c>
      <c r="E180" s="13" t="str">
        <f>IF($A180="","",[1]!thsiFinD("ths_adjustment_nv_fund",E$3,$A180))</f>
        <v/>
      </c>
      <c r="F180" s="13" t="str">
        <f>IF($A180="","",[1]!thsiFinD("ths_adjustment_nv_fund",F$3,$A180))</f>
        <v/>
      </c>
      <c r="G180" s="13" t="str">
        <f>IF($A180="","",[1]!thsiFinD("ths_adjustment_nv_fund",G$3,$A180))</f>
        <v/>
      </c>
      <c r="H180" s="13" t="str">
        <f>IF($A180="","",[1]!thsiFinD("ths_adjustment_nv_fund",H$3,$A180))</f>
        <v/>
      </c>
      <c r="I180" s="13" t="str">
        <f>IF($A180="","",[1]!thsiFinD("ths_adjustment_nv_fund",I$3,$A180))</f>
        <v/>
      </c>
      <c r="J180" s="13" t="str">
        <f>IF($A180="","",[1]!thsiFinD("ths_adjustment_nv_fund",J$3,$A180))</f>
        <v/>
      </c>
      <c r="K180" s="13" t="str">
        <f>IF($A180="","",[1]!thsiFinD("ths_adjustment_nv_fund",K$3,$A180))</f>
        <v/>
      </c>
      <c r="L180" s="13" t="str">
        <f>IF($A180="","",[1]!thsiFinD("ths_adjustment_nv_fund",L$3,$A180))</f>
        <v/>
      </c>
      <c r="M180" s="13" t="str">
        <f>IF($A180="","",[1]!thsiFinD("ths_adjustment_nv_fund",M$3,$A180))</f>
        <v/>
      </c>
      <c r="N180" s="13" t="str">
        <f>IF($A180="","",[1]!thsiFinD("ths_adjustment_nv_fund",N$3,$A180))</f>
        <v/>
      </c>
      <c r="O180" s="13" t="str">
        <f>IF($A180="","",[1]!thsiFinD("ths_adjustment_nv_fund",O$3,$A180))</f>
        <v/>
      </c>
      <c r="P180" s="13" t="str">
        <f>IF($A180="","",[1]!thsiFinD("ths_adjustment_nv_fund",P$3,$A180))</f>
        <v/>
      </c>
      <c r="Q180" s="13" t="str">
        <f>IF($A180="","",[1]!thsiFinD("ths_adjustment_nv_fund",Q$3,$A180))</f>
        <v/>
      </c>
      <c r="R180" s="13" t="str">
        <f>IF($A180="","",[1]!thsiFinD("ths_adjustment_nv_fund",R$3,$A180))</f>
        <v/>
      </c>
      <c r="S180" s="13" t="str">
        <f>IF($A180="","",[1]!thsiFinD("ths_adjustment_nv_fund",S$3,$A180))</f>
        <v/>
      </c>
      <c r="T180" s="13" t="str">
        <f>IF($A180="","",[1]!thsiFinD("ths_adjustment_nv_fund",T$3,$A180))</f>
        <v/>
      </c>
      <c r="U180" s="13" t="str">
        <f>IF($A180="","",[1]!thsiFinD("ths_adjustment_nv_fund",U$3,$A180))</f>
        <v/>
      </c>
      <c r="V180" s="13" t="str">
        <f>IF($A180="","",[1]!thsiFinD("ths_adjustment_nv_fund",V$3,$A180))</f>
        <v/>
      </c>
      <c r="W180" s="13" t="str">
        <f>IF($A180="","",[1]!thsiFinD("ths_adjustment_nv_fund",W$3,$A180))</f>
        <v/>
      </c>
      <c r="X180" s="13" t="str">
        <f>IF($A180="","",[1]!thsiFinD("ths_adjustment_nv_fund",X$3,$A180))</f>
        <v/>
      </c>
      <c r="Y180" s="13" t="str">
        <f>IF($A180="","",[1]!thsiFinD("ths_adjustment_nv_fund",Y$3,$A180))</f>
        <v/>
      </c>
      <c r="Z180" s="13" t="str">
        <f>IF($A180="","",[1]!thsiFinD("ths_adjustment_nv_fund",Z$3,$A180))</f>
        <v/>
      </c>
      <c r="AA180" s="13" t="str">
        <f>IF($A180="","",[1]!thsiFinD("ths_adjustment_nv_fund",AA$3,$A180))</f>
        <v/>
      </c>
      <c r="AB180" s="13" t="str">
        <f>IF($A180="","",[1]!thsiFinD("ths_adjustment_nv_fund",AB$3,$A180))</f>
        <v/>
      </c>
    </row>
    <row r="181" spans="2:28">
      <c r="B181" s="13" t="str">
        <f>IF($A181="","",[1]!thsiFinD("ths_adjustment_nv_fund",B$3,$A181))</f>
        <v/>
      </c>
      <c r="C181" s="13" t="str">
        <f>IF($A181="","",[1]!thsiFinD("ths_adjustment_nv_fund",C$3,$A181))</f>
        <v/>
      </c>
      <c r="D181" s="13" t="str">
        <f>IF($A181="","",[1]!thsiFinD("ths_adjustment_nv_fund",D$3,$A181))</f>
        <v/>
      </c>
      <c r="E181" s="13" t="str">
        <f>IF($A181="","",[1]!thsiFinD("ths_adjustment_nv_fund",E$3,$A181))</f>
        <v/>
      </c>
      <c r="F181" s="13" t="str">
        <f>IF($A181="","",[1]!thsiFinD("ths_adjustment_nv_fund",F$3,$A181))</f>
        <v/>
      </c>
      <c r="G181" s="13" t="str">
        <f>IF($A181="","",[1]!thsiFinD("ths_adjustment_nv_fund",G$3,$A181))</f>
        <v/>
      </c>
      <c r="H181" s="13" t="str">
        <f>IF($A181="","",[1]!thsiFinD("ths_adjustment_nv_fund",H$3,$A181))</f>
        <v/>
      </c>
      <c r="I181" s="13" t="str">
        <f>IF($A181="","",[1]!thsiFinD("ths_adjustment_nv_fund",I$3,$A181))</f>
        <v/>
      </c>
      <c r="J181" s="13" t="str">
        <f>IF($A181="","",[1]!thsiFinD("ths_adjustment_nv_fund",J$3,$A181))</f>
        <v/>
      </c>
      <c r="K181" s="13" t="str">
        <f>IF($A181="","",[1]!thsiFinD("ths_adjustment_nv_fund",K$3,$A181))</f>
        <v/>
      </c>
      <c r="L181" s="13" t="str">
        <f>IF($A181="","",[1]!thsiFinD("ths_adjustment_nv_fund",L$3,$A181))</f>
        <v/>
      </c>
      <c r="M181" s="13" t="str">
        <f>IF($A181="","",[1]!thsiFinD("ths_adjustment_nv_fund",M$3,$A181))</f>
        <v/>
      </c>
      <c r="N181" s="13" t="str">
        <f>IF($A181="","",[1]!thsiFinD("ths_adjustment_nv_fund",N$3,$A181))</f>
        <v/>
      </c>
      <c r="O181" s="13" t="str">
        <f>IF($A181="","",[1]!thsiFinD("ths_adjustment_nv_fund",O$3,$A181))</f>
        <v/>
      </c>
      <c r="P181" s="13" t="str">
        <f>IF($A181="","",[1]!thsiFinD("ths_adjustment_nv_fund",P$3,$A181))</f>
        <v/>
      </c>
      <c r="Q181" s="13" t="str">
        <f>IF($A181="","",[1]!thsiFinD("ths_adjustment_nv_fund",Q$3,$A181))</f>
        <v/>
      </c>
      <c r="R181" s="13" t="str">
        <f>IF($A181="","",[1]!thsiFinD("ths_adjustment_nv_fund",R$3,$A181))</f>
        <v/>
      </c>
      <c r="S181" s="13" t="str">
        <f>IF($A181="","",[1]!thsiFinD("ths_adjustment_nv_fund",S$3,$A181))</f>
        <v/>
      </c>
      <c r="T181" s="13" t="str">
        <f>IF($A181="","",[1]!thsiFinD("ths_adjustment_nv_fund",T$3,$A181))</f>
        <v/>
      </c>
      <c r="U181" s="13" t="str">
        <f>IF($A181="","",[1]!thsiFinD("ths_adjustment_nv_fund",U$3,$A181))</f>
        <v/>
      </c>
      <c r="V181" s="13" t="str">
        <f>IF($A181="","",[1]!thsiFinD("ths_adjustment_nv_fund",V$3,$A181))</f>
        <v/>
      </c>
      <c r="W181" s="13" t="str">
        <f>IF($A181="","",[1]!thsiFinD("ths_adjustment_nv_fund",W$3,$A181))</f>
        <v/>
      </c>
      <c r="X181" s="13" t="str">
        <f>IF($A181="","",[1]!thsiFinD("ths_adjustment_nv_fund",X$3,$A181))</f>
        <v/>
      </c>
      <c r="Y181" s="13" t="str">
        <f>IF($A181="","",[1]!thsiFinD("ths_adjustment_nv_fund",Y$3,$A181))</f>
        <v/>
      </c>
      <c r="Z181" s="13" t="str">
        <f>IF($A181="","",[1]!thsiFinD("ths_adjustment_nv_fund",Z$3,$A181))</f>
        <v/>
      </c>
      <c r="AA181" s="13" t="str">
        <f>IF($A181="","",[1]!thsiFinD("ths_adjustment_nv_fund",AA$3,$A181))</f>
        <v/>
      </c>
      <c r="AB181" s="13" t="str">
        <f>IF($A181="","",[1]!thsiFinD("ths_adjustment_nv_fund",AB$3,$A181))</f>
        <v/>
      </c>
    </row>
    <row r="182" spans="2:28">
      <c r="B182" s="13" t="str">
        <f>IF($A182="","",[1]!thsiFinD("ths_adjustment_nv_fund",B$3,$A182))</f>
        <v/>
      </c>
      <c r="C182" s="13" t="str">
        <f>IF($A182="","",[1]!thsiFinD("ths_adjustment_nv_fund",C$3,$A182))</f>
        <v/>
      </c>
      <c r="D182" s="13" t="str">
        <f>IF($A182="","",[1]!thsiFinD("ths_adjustment_nv_fund",D$3,$A182))</f>
        <v/>
      </c>
      <c r="E182" s="13" t="str">
        <f>IF($A182="","",[1]!thsiFinD("ths_adjustment_nv_fund",E$3,$A182))</f>
        <v/>
      </c>
      <c r="F182" s="13" t="str">
        <f>IF($A182="","",[1]!thsiFinD("ths_adjustment_nv_fund",F$3,$A182))</f>
        <v/>
      </c>
      <c r="G182" s="13" t="str">
        <f>IF($A182="","",[1]!thsiFinD("ths_adjustment_nv_fund",G$3,$A182))</f>
        <v/>
      </c>
      <c r="H182" s="13" t="str">
        <f>IF($A182="","",[1]!thsiFinD("ths_adjustment_nv_fund",H$3,$A182))</f>
        <v/>
      </c>
      <c r="I182" s="13" t="str">
        <f>IF($A182="","",[1]!thsiFinD("ths_adjustment_nv_fund",I$3,$A182))</f>
        <v/>
      </c>
      <c r="J182" s="13" t="str">
        <f>IF($A182="","",[1]!thsiFinD("ths_adjustment_nv_fund",J$3,$A182))</f>
        <v/>
      </c>
      <c r="K182" s="13" t="str">
        <f>IF($A182="","",[1]!thsiFinD("ths_adjustment_nv_fund",K$3,$A182))</f>
        <v/>
      </c>
      <c r="L182" s="13" t="str">
        <f>IF($A182="","",[1]!thsiFinD("ths_adjustment_nv_fund",L$3,$A182))</f>
        <v/>
      </c>
      <c r="M182" s="13" t="str">
        <f>IF($A182="","",[1]!thsiFinD("ths_adjustment_nv_fund",M$3,$A182))</f>
        <v/>
      </c>
      <c r="N182" s="13" t="str">
        <f>IF($A182="","",[1]!thsiFinD("ths_adjustment_nv_fund",N$3,$A182))</f>
        <v/>
      </c>
      <c r="O182" s="13" t="str">
        <f>IF($A182="","",[1]!thsiFinD("ths_adjustment_nv_fund",O$3,$A182))</f>
        <v/>
      </c>
      <c r="P182" s="13" t="str">
        <f>IF($A182="","",[1]!thsiFinD("ths_adjustment_nv_fund",P$3,$A182))</f>
        <v/>
      </c>
      <c r="Q182" s="13" t="str">
        <f>IF($A182="","",[1]!thsiFinD("ths_adjustment_nv_fund",Q$3,$A182))</f>
        <v/>
      </c>
      <c r="R182" s="13" t="str">
        <f>IF($A182="","",[1]!thsiFinD("ths_adjustment_nv_fund",R$3,$A182))</f>
        <v/>
      </c>
      <c r="S182" s="13" t="str">
        <f>IF($A182="","",[1]!thsiFinD("ths_adjustment_nv_fund",S$3,$A182))</f>
        <v/>
      </c>
      <c r="T182" s="13" t="str">
        <f>IF($A182="","",[1]!thsiFinD("ths_adjustment_nv_fund",T$3,$A182))</f>
        <v/>
      </c>
      <c r="U182" s="13" t="str">
        <f>IF($A182="","",[1]!thsiFinD("ths_adjustment_nv_fund",U$3,$A182))</f>
        <v/>
      </c>
      <c r="V182" s="13" t="str">
        <f>IF($A182="","",[1]!thsiFinD("ths_adjustment_nv_fund",V$3,$A182))</f>
        <v/>
      </c>
      <c r="W182" s="13" t="str">
        <f>IF($A182="","",[1]!thsiFinD("ths_adjustment_nv_fund",W$3,$A182))</f>
        <v/>
      </c>
      <c r="X182" s="13" t="str">
        <f>IF($A182="","",[1]!thsiFinD("ths_adjustment_nv_fund",X$3,$A182))</f>
        <v/>
      </c>
      <c r="Y182" s="13" t="str">
        <f>IF($A182="","",[1]!thsiFinD("ths_adjustment_nv_fund",Y$3,$A182))</f>
        <v/>
      </c>
      <c r="Z182" s="13" t="str">
        <f>IF($A182="","",[1]!thsiFinD("ths_adjustment_nv_fund",Z$3,$A182))</f>
        <v/>
      </c>
      <c r="AA182" s="13" t="str">
        <f>IF($A182="","",[1]!thsiFinD("ths_adjustment_nv_fund",AA$3,$A182))</f>
        <v/>
      </c>
      <c r="AB182" s="13" t="str">
        <f>IF($A182="","",[1]!thsiFinD("ths_adjustment_nv_fund",AB$3,$A182))</f>
        <v/>
      </c>
    </row>
    <row r="183" spans="2:28">
      <c r="B183" s="13" t="str">
        <f>IF($A183="","",[1]!thsiFinD("ths_adjustment_nv_fund",B$3,$A183))</f>
        <v/>
      </c>
      <c r="C183" s="13" t="str">
        <f>IF($A183="","",[1]!thsiFinD("ths_adjustment_nv_fund",C$3,$A183))</f>
        <v/>
      </c>
      <c r="D183" s="13" t="str">
        <f>IF($A183="","",[1]!thsiFinD("ths_adjustment_nv_fund",D$3,$A183))</f>
        <v/>
      </c>
      <c r="E183" s="13" t="str">
        <f>IF($A183="","",[1]!thsiFinD("ths_adjustment_nv_fund",E$3,$A183))</f>
        <v/>
      </c>
      <c r="F183" s="13" t="str">
        <f>IF($A183="","",[1]!thsiFinD("ths_adjustment_nv_fund",F$3,$A183))</f>
        <v/>
      </c>
      <c r="G183" s="13" t="str">
        <f>IF($A183="","",[1]!thsiFinD("ths_adjustment_nv_fund",G$3,$A183))</f>
        <v/>
      </c>
      <c r="H183" s="13" t="str">
        <f>IF($A183="","",[1]!thsiFinD("ths_adjustment_nv_fund",H$3,$A183))</f>
        <v/>
      </c>
      <c r="I183" s="13" t="str">
        <f>IF($A183="","",[1]!thsiFinD("ths_adjustment_nv_fund",I$3,$A183))</f>
        <v/>
      </c>
      <c r="J183" s="13" t="str">
        <f>IF($A183="","",[1]!thsiFinD("ths_adjustment_nv_fund",J$3,$A183))</f>
        <v/>
      </c>
      <c r="K183" s="13" t="str">
        <f>IF($A183="","",[1]!thsiFinD("ths_adjustment_nv_fund",K$3,$A183))</f>
        <v/>
      </c>
      <c r="L183" s="13" t="str">
        <f>IF($A183="","",[1]!thsiFinD("ths_adjustment_nv_fund",L$3,$A183))</f>
        <v/>
      </c>
      <c r="M183" s="13" t="str">
        <f>IF($A183="","",[1]!thsiFinD("ths_adjustment_nv_fund",M$3,$A183))</f>
        <v/>
      </c>
      <c r="N183" s="13" t="str">
        <f>IF($A183="","",[1]!thsiFinD("ths_adjustment_nv_fund",N$3,$A183))</f>
        <v/>
      </c>
      <c r="O183" s="13" t="str">
        <f>IF($A183="","",[1]!thsiFinD("ths_adjustment_nv_fund",O$3,$A183))</f>
        <v/>
      </c>
      <c r="P183" s="13" t="str">
        <f>IF($A183="","",[1]!thsiFinD("ths_adjustment_nv_fund",P$3,$A183))</f>
        <v/>
      </c>
      <c r="Q183" s="13" t="str">
        <f>IF($A183="","",[1]!thsiFinD("ths_adjustment_nv_fund",Q$3,$A183))</f>
        <v/>
      </c>
      <c r="R183" s="13" t="str">
        <f>IF($A183="","",[1]!thsiFinD("ths_adjustment_nv_fund",R$3,$A183))</f>
        <v/>
      </c>
      <c r="S183" s="13" t="str">
        <f>IF($A183="","",[1]!thsiFinD("ths_adjustment_nv_fund",S$3,$A183))</f>
        <v/>
      </c>
      <c r="T183" s="13" t="str">
        <f>IF($A183="","",[1]!thsiFinD("ths_adjustment_nv_fund",T$3,$A183))</f>
        <v/>
      </c>
      <c r="U183" s="13" t="str">
        <f>IF($A183="","",[1]!thsiFinD("ths_adjustment_nv_fund",U$3,$A183))</f>
        <v/>
      </c>
      <c r="V183" s="13" t="str">
        <f>IF($A183="","",[1]!thsiFinD("ths_adjustment_nv_fund",V$3,$A183))</f>
        <v/>
      </c>
      <c r="W183" s="13" t="str">
        <f>IF($A183="","",[1]!thsiFinD("ths_adjustment_nv_fund",W$3,$A183))</f>
        <v/>
      </c>
      <c r="X183" s="13" t="str">
        <f>IF($A183="","",[1]!thsiFinD("ths_adjustment_nv_fund",X$3,$A183))</f>
        <v/>
      </c>
      <c r="Y183" s="13" t="str">
        <f>IF($A183="","",[1]!thsiFinD("ths_adjustment_nv_fund",Y$3,$A183))</f>
        <v/>
      </c>
      <c r="Z183" s="13" t="str">
        <f>IF($A183="","",[1]!thsiFinD("ths_adjustment_nv_fund",Z$3,$A183))</f>
        <v/>
      </c>
      <c r="AA183" s="13" t="str">
        <f>IF($A183="","",[1]!thsiFinD("ths_adjustment_nv_fund",AA$3,$A183))</f>
        <v/>
      </c>
      <c r="AB183" s="13" t="str">
        <f>IF($A183="","",[1]!thsiFinD("ths_adjustment_nv_fund",AB$3,$A183))</f>
        <v/>
      </c>
    </row>
    <row r="184" spans="2:28">
      <c r="B184" s="13" t="str">
        <f>IF($A184="","",[1]!thsiFinD("ths_adjustment_nv_fund",B$3,$A184))</f>
        <v/>
      </c>
      <c r="C184" s="13" t="str">
        <f>IF($A184="","",[1]!thsiFinD("ths_adjustment_nv_fund",C$3,$A184))</f>
        <v/>
      </c>
      <c r="D184" s="13" t="str">
        <f>IF($A184="","",[1]!thsiFinD("ths_adjustment_nv_fund",D$3,$A184))</f>
        <v/>
      </c>
      <c r="E184" s="13" t="str">
        <f>IF($A184="","",[1]!thsiFinD("ths_adjustment_nv_fund",E$3,$A184))</f>
        <v/>
      </c>
      <c r="F184" s="13" t="str">
        <f>IF($A184="","",[1]!thsiFinD("ths_adjustment_nv_fund",F$3,$A184))</f>
        <v/>
      </c>
      <c r="G184" s="13" t="str">
        <f>IF($A184="","",[1]!thsiFinD("ths_adjustment_nv_fund",G$3,$A184))</f>
        <v/>
      </c>
      <c r="H184" s="13" t="str">
        <f>IF($A184="","",[1]!thsiFinD("ths_adjustment_nv_fund",H$3,$A184))</f>
        <v/>
      </c>
      <c r="I184" s="13" t="str">
        <f>IF($A184="","",[1]!thsiFinD("ths_adjustment_nv_fund",I$3,$A184))</f>
        <v/>
      </c>
      <c r="J184" s="13" t="str">
        <f>IF($A184="","",[1]!thsiFinD("ths_adjustment_nv_fund",J$3,$A184))</f>
        <v/>
      </c>
      <c r="K184" s="13" t="str">
        <f>IF($A184="","",[1]!thsiFinD("ths_adjustment_nv_fund",K$3,$A184))</f>
        <v/>
      </c>
      <c r="L184" s="13" t="str">
        <f>IF($A184="","",[1]!thsiFinD("ths_adjustment_nv_fund",L$3,$A184))</f>
        <v/>
      </c>
      <c r="M184" s="13" t="str">
        <f>IF($A184="","",[1]!thsiFinD("ths_adjustment_nv_fund",M$3,$A184))</f>
        <v/>
      </c>
      <c r="N184" s="13" t="str">
        <f>IF($A184="","",[1]!thsiFinD("ths_adjustment_nv_fund",N$3,$A184))</f>
        <v/>
      </c>
      <c r="O184" s="13" t="str">
        <f>IF($A184="","",[1]!thsiFinD("ths_adjustment_nv_fund",O$3,$A184))</f>
        <v/>
      </c>
      <c r="P184" s="13" t="str">
        <f>IF($A184="","",[1]!thsiFinD("ths_adjustment_nv_fund",P$3,$A184))</f>
        <v/>
      </c>
      <c r="Q184" s="13" t="str">
        <f>IF($A184="","",[1]!thsiFinD("ths_adjustment_nv_fund",Q$3,$A184))</f>
        <v/>
      </c>
      <c r="R184" s="13" t="str">
        <f>IF($A184="","",[1]!thsiFinD("ths_adjustment_nv_fund",R$3,$A184))</f>
        <v/>
      </c>
      <c r="S184" s="13" t="str">
        <f>IF($A184="","",[1]!thsiFinD("ths_adjustment_nv_fund",S$3,$A184))</f>
        <v/>
      </c>
      <c r="T184" s="13" t="str">
        <f>IF($A184="","",[1]!thsiFinD("ths_adjustment_nv_fund",T$3,$A184))</f>
        <v/>
      </c>
      <c r="U184" s="13" t="str">
        <f>IF($A184="","",[1]!thsiFinD("ths_adjustment_nv_fund",U$3,$A184))</f>
        <v/>
      </c>
      <c r="V184" s="13" t="str">
        <f>IF($A184="","",[1]!thsiFinD("ths_adjustment_nv_fund",V$3,$A184))</f>
        <v/>
      </c>
      <c r="W184" s="13" t="str">
        <f>IF($A184="","",[1]!thsiFinD("ths_adjustment_nv_fund",W$3,$A184))</f>
        <v/>
      </c>
      <c r="X184" s="13" t="str">
        <f>IF($A184="","",[1]!thsiFinD("ths_adjustment_nv_fund",X$3,$A184))</f>
        <v/>
      </c>
      <c r="Y184" s="13" t="str">
        <f>IF($A184="","",[1]!thsiFinD("ths_adjustment_nv_fund",Y$3,$A184))</f>
        <v/>
      </c>
      <c r="Z184" s="13" t="str">
        <f>IF($A184="","",[1]!thsiFinD("ths_adjustment_nv_fund",Z$3,$A184))</f>
        <v/>
      </c>
      <c r="AA184" s="13" t="str">
        <f>IF($A184="","",[1]!thsiFinD("ths_adjustment_nv_fund",AA$3,$A184))</f>
        <v/>
      </c>
      <c r="AB184" s="13" t="str">
        <f>IF($A184="","",[1]!thsiFinD("ths_adjustment_nv_fund",AB$3,$A184))</f>
        <v/>
      </c>
    </row>
    <row r="185" spans="2:28">
      <c r="B185" s="13" t="str">
        <f>IF($A185="","",[1]!thsiFinD("ths_adjustment_nv_fund",B$3,$A185))</f>
        <v/>
      </c>
      <c r="C185" s="13" t="str">
        <f>IF($A185="","",[1]!thsiFinD("ths_adjustment_nv_fund",C$3,$A185))</f>
        <v/>
      </c>
      <c r="D185" s="13" t="str">
        <f>IF($A185="","",[1]!thsiFinD("ths_adjustment_nv_fund",D$3,$A185))</f>
        <v/>
      </c>
      <c r="E185" s="13" t="str">
        <f>IF($A185="","",[1]!thsiFinD("ths_adjustment_nv_fund",E$3,$A185))</f>
        <v/>
      </c>
      <c r="F185" s="13" t="str">
        <f>IF($A185="","",[1]!thsiFinD("ths_adjustment_nv_fund",F$3,$A185))</f>
        <v/>
      </c>
      <c r="G185" s="13" t="str">
        <f>IF($A185="","",[1]!thsiFinD("ths_adjustment_nv_fund",G$3,$A185))</f>
        <v/>
      </c>
      <c r="H185" s="13" t="str">
        <f>IF($A185="","",[1]!thsiFinD("ths_adjustment_nv_fund",H$3,$A185))</f>
        <v/>
      </c>
      <c r="I185" s="13" t="str">
        <f>IF($A185="","",[1]!thsiFinD("ths_adjustment_nv_fund",I$3,$A185))</f>
        <v/>
      </c>
      <c r="J185" s="13" t="str">
        <f>IF($A185="","",[1]!thsiFinD("ths_adjustment_nv_fund",J$3,$A185))</f>
        <v/>
      </c>
      <c r="K185" s="13" t="str">
        <f>IF($A185="","",[1]!thsiFinD("ths_adjustment_nv_fund",K$3,$A185))</f>
        <v/>
      </c>
      <c r="L185" s="13" t="str">
        <f>IF($A185="","",[1]!thsiFinD("ths_adjustment_nv_fund",L$3,$A185))</f>
        <v/>
      </c>
      <c r="M185" s="13" t="str">
        <f>IF($A185="","",[1]!thsiFinD("ths_adjustment_nv_fund",M$3,$A185))</f>
        <v/>
      </c>
      <c r="N185" s="13" t="str">
        <f>IF($A185="","",[1]!thsiFinD("ths_adjustment_nv_fund",N$3,$A185))</f>
        <v/>
      </c>
      <c r="O185" s="13" t="str">
        <f>IF($A185="","",[1]!thsiFinD("ths_adjustment_nv_fund",O$3,$A185))</f>
        <v/>
      </c>
      <c r="P185" s="13" t="str">
        <f>IF($A185="","",[1]!thsiFinD("ths_adjustment_nv_fund",P$3,$A185))</f>
        <v/>
      </c>
      <c r="Q185" s="13" t="str">
        <f>IF($A185="","",[1]!thsiFinD("ths_adjustment_nv_fund",Q$3,$A185))</f>
        <v/>
      </c>
      <c r="R185" s="13" t="str">
        <f>IF($A185="","",[1]!thsiFinD("ths_adjustment_nv_fund",R$3,$A185))</f>
        <v/>
      </c>
      <c r="S185" s="13" t="str">
        <f>IF($A185="","",[1]!thsiFinD("ths_adjustment_nv_fund",S$3,$A185))</f>
        <v/>
      </c>
      <c r="T185" s="13" t="str">
        <f>IF($A185="","",[1]!thsiFinD("ths_adjustment_nv_fund",T$3,$A185))</f>
        <v/>
      </c>
      <c r="U185" s="13" t="str">
        <f>IF($A185="","",[1]!thsiFinD("ths_adjustment_nv_fund",U$3,$A185))</f>
        <v/>
      </c>
      <c r="V185" s="13" t="str">
        <f>IF($A185="","",[1]!thsiFinD("ths_adjustment_nv_fund",V$3,$A185))</f>
        <v/>
      </c>
      <c r="W185" s="13" t="str">
        <f>IF($A185="","",[1]!thsiFinD("ths_adjustment_nv_fund",W$3,$A185))</f>
        <v/>
      </c>
      <c r="X185" s="13" t="str">
        <f>IF($A185="","",[1]!thsiFinD("ths_adjustment_nv_fund",X$3,$A185))</f>
        <v/>
      </c>
      <c r="Y185" s="13" t="str">
        <f>IF($A185="","",[1]!thsiFinD("ths_adjustment_nv_fund",Y$3,$A185))</f>
        <v/>
      </c>
      <c r="Z185" s="13" t="str">
        <f>IF($A185="","",[1]!thsiFinD("ths_adjustment_nv_fund",Z$3,$A185))</f>
        <v/>
      </c>
      <c r="AA185" s="13" t="str">
        <f>IF($A185="","",[1]!thsiFinD("ths_adjustment_nv_fund",AA$3,$A185))</f>
        <v/>
      </c>
      <c r="AB185" s="13" t="str">
        <f>IF($A185="","",[1]!thsiFinD("ths_adjustment_nv_fund",AB$3,$A185))</f>
        <v/>
      </c>
    </row>
    <row r="186" spans="2:28">
      <c r="B186" s="13" t="str">
        <f>IF($A186="","",[1]!thsiFinD("ths_adjustment_nv_fund",B$3,$A186))</f>
        <v/>
      </c>
      <c r="C186" s="13" t="str">
        <f>IF($A186="","",[1]!thsiFinD("ths_adjustment_nv_fund",C$3,$A186))</f>
        <v/>
      </c>
      <c r="D186" s="13" t="str">
        <f>IF($A186="","",[1]!thsiFinD("ths_adjustment_nv_fund",D$3,$A186))</f>
        <v/>
      </c>
      <c r="E186" s="13" t="str">
        <f>IF($A186="","",[1]!thsiFinD("ths_adjustment_nv_fund",E$3,$A186))</f>
        <v/>
      </c>
      <c r="F186" s="13" t="str">
        <f>IF($A186="","",[1]!thsiFinD("ths_adjustment_nv_fund",F$3,$A186))</f>
        <v/>
      </c>
      <c r="G186" s="13" t="str">
        <f>IF($A186="","",[1]!thsiFinD("ths_adjustment_nv_fund",G$3,$A186))</f>
        <v/>
      </c>
      <c r="H186" s="13" t="str">
        <f>IF($A186="","",[1]!thsiFinD("ths_adjustment_nv_fund",H$3,$A186))</f>
        <v/>
      </c>
      <c r="I186" s="13" t="str">
        <f>IF($A186="","",[1]!thsiFinD("ths_adjustment_nv_fund",I$3,$A186))</f>
        <v/>
      </c>
      <c r="J186" s="13" t="str">
        <f>IF($A186="","",[1]!thsiFinD("ths_adjustment_nv_fund",J$3,$A186))</f>
        <v/>
      </c>
      <c r="K186" s="13" t="str">
        <f>IF($A186="","",[1]!thsiFinD("ths_adjustment_nv_fund",K$3,$A186))</f>
        <v/>
      </c>
      <c r="L186" s="13" t="str">
        <f>IF($A186="","",[1]!thsiFinD("ths_adjustment_nv_fund",L$3,$A186))</f>
        <v/>
      </c>
      <c r="M186" s="13" t="str">
        <f>IF($A186="","",[1]!thsiFinD("ths_adjustment_nv_fund",M$3,$A186))</f>
        <v/>
      </c>
      <c r="N186" s="13" t="str">
        <f>IF($A186="","",[1]!thsiFinD("ths_adjustment_nv_fund",N$3,$A186))</f>
        <v/>
      </c>
      <c r="O186" s="13" t="str">
        <f>IF($A186="","",[1]!thsiFinD("ths_adjustment_nv_fund",O$3,$A186))</f>
        <v/>
      </c>
      <c r="P186" s="13" t="str">
        <f>IF($A186="","",[1]!thsiFinD("ths_adjustment_nv_fund",P$3,$A186))</f>
        <v/>
      </c>
      <c r="Q186" s="13" t="str">
        <f>IF($A186="","",[1]!thsiFinD("ths_adjustment_nv_fund",Q$3,$A186))</f>
        <v/>
      </c>
      <c r="R186" s="13" t="str">
        <f>IF($A186="","",[1]!thsiFinD("ths_adjustment_nv_fund",R$3,$A186))</f>
        <v/>
      </c>
      <c r="S186" s="13" t="str">
        <f>IF($A186="","",[1]!thsiFinD("ths_adjustment_nv_fund",S$3,$A186))</f>
        <v/>
      </c>
      <c r="T186" s="13" t="str">
        <f>IF($A186="","",[1]!thsiFinD("ths_adjustment_nv_fund",T$3,$A186))</f>
        <v/>
      </c>
      <c r="U186" s="13" t="str">
        <f>IF($A186="","",[1]!thsiFinD("ths_adjustment_nv_fund",U$3,$A186))</f>
        <v/>
      </c>
      <c r="V186" s="13" t="str">
        <f>IF($A186="","",[1]!thsiFinD("ths_adjustment_nv_fund",V$3,$A186))</f>
        <v/>
      </c>
      <c r="W186" s="13" t="str">
        <f>IF($A186="","",[1]!thsiFinD("ths_adjustment_nv_fund",W$3,$A186))</f>
        <v/>
      </c>
      <c r="X186" s="13" t="str">
        <f>IF($A186="","",[1]!thsiFinD("ths_adjustment_nv_fund",X$3,$A186))</f>
        <v/>
      </c>
      <c r="Y186" s="13" t="str">
        <f>IF($A186="","",[1]!thsiFinD("ths_adjustment_nv_fund",Y$3,$A186))</f>
        <v/>
      </c>
      <c r="Z186" s="13" t="str">
        <f>IF($A186="","",[1]!thsiFinD("ths_adjustment_nv_fund",Z$3,$A186))</f>
        <v/>
      </c>
      <c r="AA186" s="13" t="str">
        <f>IF($A186="","",[1]!thsiFinD("ths_adjustment_nv_fund",AA$3,$A186))</f>
        <v/>
      </c>
      <c r="AB186" s="13" t="str">
        <f>IF($A186="","",[1]!thsiFinD("ths_adjustment_nv_fund",AB$3,$A186))</f>
        <v/>
      </c>
    </row>
    <row r="187" spans="2:28">
      <c r="B187" s="13" t="str">
        <f>IF($A187="","",[1]!thsiFinD("ths_adjustment_nv_fund",B$3,$A187))</f>
        <v/>
      </c>
      <c r="C187" s="13" t="str">
        <f>IF($A187="","",[1]!thsiFinD("ths_adjustment_nv_fund",C$3,$A187))</f>
        <v/>
      </c>
      <c r="D187" s="13" t="str">
        <f>IF($A187="","",[1]!thsiFinD("ths_adjustment_nv_fund",D$3,$A187))</f>
        <v/>
      </c>
      <c r="E187" s="13" t="str">
        <f>IF($A187="","",[1]!thsiFinD("ths_adjustment_nv_fund",E$3,$A187))</f>
        <v/>
      </c>
      <c r="F187" s="13" t="str">
        <f>IF($A187="","",[1]!thsiFinD("ths_adjustment_nv_fund",F$3,$A187))</f>
        <v/>
      </c>
      <c r="G187" s="13" t="str">
        <f>IF($A187="","",[1]!thsiFinD("ths_adjustment_nv_fund",G$3,$A187))</f>
        <v/>
      </c>
      <c r="H187" s="13" t="str">
        <f>IF($A187="","",[1]!thsiFinD("ths_adjustment_nv_fund",H$3,$A187))</f>
        <v/>
      </c>
      <c r="I187" s="13" t="str">
        <f>IF($A187="","",[1]!thsiFinD("ths_adjustment_nv_fund",I$3,$A187))</f>
        <v/>
      </c>
      <c r="J187" s="13" t="str">
        <f>IF($A187="","",[1]!thsiFinD("ths_adjustment_nv_fund",J$3,$A187))</f>
        <v/>
      </c>
      <c r="K187" s="13" t="str">
        <f>IF($A187="","",[1]!thsiFinD("ths_adjustment_nv_fund",K$3,$A187))</f>
        <v/>
      </c>
      <c r="L187" s="13" t="str">
        <f>IF($A187="","",[1]!thsiFinD("ths_adjustment_nv_fund",L$3,$A187))</f>
        <v/>
      </c>
      <c r="M187" s="13" t="str">
        <f>IF($A187="","",[1]!thsiFinD("ths_adjustment_nv_fund",M$3,$A187))</f>
        <v/>
      </c>
      <c r="N187" s="13" t="str">
        <f>IF($A187="","",[1]!thsiFinD("ths_adjustment_nv_fund",N$3,$A187))</f>
        <v/>
      </c>
      <c r="O187" s="13" t="str">
        <f>IF($A187="","",[1]!thsiFinD("ths_adjustment_nv_fund",O$3,$A187))</f>
        <v/>
      </c>
      <c r="P187" s="13" t="str">
        <f>IF($A187="","",[1]!thsiFinD("ths_adjustment_nv_fund",P$3,$A187))</f>
        <v/>
      </c>
      <c r="Q187" s="13" t="str">
        <f>IF($A187="","",[1]!thsiFinD("ths_adjustment_nv_fund",Q$3,$A187))</f>
        <v/>
      </c>
      <c r="R187" s="13" t="str">
        <f>IF($A187="","",[1]!thsiFinD("ths_adjustment_nv_fund",R$3,$A187))</f>
        <v/>
      </c>
      <c r="S187" s="13" t="str">
        <f>IF($A187="","",[1]!thsiFinD("ths_adjustment_nv_fund",S$3,$A187))</f>
        <v/>
      </c>
      <c r="T187" s="13" t="str">
        <f>IF($A187="","",[1]!thsiFinD("ths_adjustment_nv_fund",T$3,$A187))</f>
        <v/>
      </c>
      <c r="U187" s="13" t="str">
        <f>IF($A187="","",[1]!thsiFinD("ths_adjustment_nv_fund",U$3,$A187))</f>
        <v/>
      </c>
      <c r="V187" s="13" t="str">
        <f>IF($A187="","",[1]!thsiFinD("ths_adjustment_nv_fund",V$3,$A187))</f>
        <v/>
      </c>
      <c r="W187" s="13" t="str">
        <f>IF($A187="","",[1]!thsiFinD("ths_adjustment_nv_fund",W$3,$A187))</f>
        <v/>
      </c>
      <c r="X187" s="13" t="str">
        <f>IF($A187="","",[1]!thsiFinD("ths_adjustment_nv_fund",X$3,$A187))</f>
        <v/>
      </c>
      <c r="Y187" s="13" t="str">
        <f>IF($A187="","",[1]!thsiFinD("ths_adjustment_nv_fund",Y$3,$A187))</f>
        <v/>
      </c>
      <c r="Z187" s="13" t="str">
        <f>IF($A187="","",[1]!thsiFinD("ths_adjustment_nv_fund",Z$3,$A187))</f>
        <v/>
      </c>
      <c r="AA187" s="13" t="str">
        <f>IF($A187="","",[1]!thsiFinD("ths_adjustment_nv_fund",AA$3,$A187))</f>
        <v/>
      </c>
      <c r="AB187" s="13" t="str">
        <f>IF($A187="","",[1]!thsiFinD("ths_adjustment_nv_fund",AB$3,$A187))</f>
        <v/>
      </c>
    </row>
    <row r="188" spans="2:28">
      <c r="B188" s="13" t="str">
        <f>IF($A188="","",[1]!thsiFinD("ths_adjustment_nv_fund",B$3,$A188))</f>
        <v/>
      </c>
      <c r="C188" s="13" t="str">
        <f>IF($A188="","",[1]!thsiFinD("ths_adjustment_nv_fund",C$3,$A188))</f>
        <v/>
      </c>
      <c r="D188" s="13" t="str">
        <f>IF($A188="","",[1]!thsiFinD("ths_adjustment_nv_fund",D$3,$A188))</f>
        <v/>
      </c>
      <c r="E188" s="13" t="str">
        <f>IF($A188="","",[1]!thsiFinD("ths_adjustment_nv_fund",E$3,$A188))</f>
        <v/>
      </c>
      <c r="F188" s="13" t="str">
        <f>IF($A188="","",[1]!thsiFinD("ths_adjustment_nv_fund",F$3,$A188))</f>
        <v/>
      </c>
      <c r="G188" s="13" t="str">
        <f>IF($A188="","",[1]!thsiFinD("ths_adjustment_nv_fund",G$3,$A188))</f>
        <v/>
      </c>
      <c r="H188" s="13" t="str">
        <f>IF($A188="","",[1]!thsiFinD("ths_adjustment_nv_fund",H$3,$A188))</f>
        <v/>
      </c>
      <c r="I188" s="13" t="str">
        <f>IF($A188="","",[1]!thsiFinD("ths_adjustment_nv_fund",I$3,$A188))</f>
        <v/>
      </c>
      <c r="J188" s="13" t="str">
        <f>IF($A188="","",[1]!thsiFinD("ths_adjustment_nv_fund",J$3,$A188))</f>
        <v/>
      </c>
      <c r="K188" s="13" t="str">
        <f>IF($A188="","",[1]!thsiFinD("ths_adjustment_nv_fund",K$3,$A188))</f>
        <v/>
      </c>
      <c r="L188" s="13" t="str">
        <f>IF($A188="","",[1]!thsiFinD("ths_adjustment_nv_fund",L$3,$A188))</f>
        <v/>
      </c>
      <c r="M188" s="13" t="str">
        <f>IF($A188="","",[1]!thsiFinD("ths_adjustment_nv_fund",M$3,$A188))</f>
        <v/>
      </c>
      <c r="N188" s="13" t="str">
        <f>IF($A188="","",[1]!thsiFinD("ths_adjustment_nv_fund",N$3,$A188))</f>
        <v/>
      </c>
      <c r="O188" s="13" t="str">
        <f>IF($A188="","",[1]!thsiFinD("ths_adjustment_nv_fund",O$3,$A188))</f>
        <v/>
      </c>
      <c r="P188" s="13" t="str">
        <f>IF($A188="","",[1]!thsiFinD("ths_adjustment_nv_fund",P$3,$A188))</f>
        <v/>
      </c>
      <c r="Q188" s="13" t="str">
        <f>IF($A188="","",[1]!thsiFinD("ths_adjustment_nv_fund",Q$3,$A188))</f>
        <v/>
      </c>
      <c r="R188" s="13" t="str">
        <f>IF($A188="","",[1]!thsiFinD("ths_adjustment_nv_fund",R$3,$A188))</f>
        <v/>
      </c>
      <c r="S188" s="13" t="str">
        <f>IF($A188="","",[1]!thsiFinD("ths_adjustment_nv_fund",S$3,$A188))</f>
        <v/>
      </c>
      <c r="T188" s="13" t="str">
        <f>IF($A188="","",[1]!thsiFinD("ths_adjustment_nv_fund",T$3,$A188))</f>
        <v/>
      </c>
      <c r="U188" s="13" t="str">
        <f>IF($A188="","",[1]!thsiFinD("ths_adjustment_nv_fund",U$3,$A188))</f>
        <v/>
      </c>
      <c r="V188" s="13" t="str">
        <f>IF($A188="","",[1]!thsiFinD("ths_adjustment_nv_fund",V$3,$A188))</f>
        <v/>
      </c>
      <c r="W188" s="13" t="str">
        <f>IF($A188="","",[1]!thsiFinD("ths_adjustment_nv_fund",W$3,$A188))</f>
        <v/>
      </c>
      <c r="X188" s="13" t="str">
        <f>IF($A188="","",[1]!thsiFinD("ths_adjustment_nv_fund",X$3,$A188))</f>
        <v/>
      </c>
      <c r="Y188" s="13" t="str">
        <f>IF($A188="","",[1]!thsiFinD("ths_adjustment_nv_fund",Y$3,$A188))</f>
        <v/>
      </c>
      <c r="Z188" s="13" t="str">
        <f>IF($A188="","",[1]!thsiFinD("ths_adjustment_nv_fund",Z$3,$A188))</f>
        <v/>
      </c>
      <c r="AA188" s="13" t="str">
        <f>IF($A188="","",[1]!thsiFinD("ths_adjustment_nv_fund",AA$3,$A188))</f>
        <v/>
      </c>
      <c r="AB188" s="13" t="str">
        <f>IF($A188="","",[1]!thsiFinD("ths_adjustment_nv_fund",AB$3,$A188))</f>
        <v/>
      </c>
    </row>
    <row r="189" spans="2:28">
      <c r="B189" s="13" t="str">
        <f>IF($A189="","",[1]!thsiFinD("ths_adjustment_nv_fund",B$3,$A189))</f>
        <v/>
      </c>
      <c r="C189" s="13" t="str">
        <f>IF($A189="","",[1]!thsiFinD("ths_adjustment_nv_fund",C$3,$A189))</f>
        <v/>
      </c>
      <c r="D189" s="13" t="str">
        <f>IF($A189="","",[1]!thsiFinD("ths_adjustment_nv_fund",D$3,$A189))</f>
        <v/>
      </c>
      <c r="E189" s="13" t="str">
        <f>IF($A189="","",[1]!thsiFinD("ths_adjustment_nv_fund",E$3,$A189))</f>
        <v/>
      </c>
      <c r="F189" s="13" t="str">
        <f>IF($A189="","",[1]!thsiFinD("ths_adjustment_nv_fund",F$3,$A189))</f>
        <v/>
      </c>
      <c r="G189" s="13" t="str">
        <f>IF($A189="","",[1]!thsiFinD("ths_adjustment_nv_fund",G$3,$A189))</f>
        <v/>
      </c>
      <c r="H189" s="13" t="str">
        <f>IF($A189="","",[1]!thsiFinD("ths_adjustment_nv_fund",H$3,$A189))</f>
        <v/>
      </c>
      <c r="I189" s="13" t="str">
        <f>IF($A189="","",[1]!thsiFinD("ths_adjustment_nv_fund",I$3,$A189))</f>
        <v/>
      </c>
      <c r="J189" s="13" t="str">
        <f>IF($A189="","",[1]!thsiFinD("ths_adjustment_nv_fund",J$3,$A189))</f>
        <v/>
      </c>
      <c r="K189" s="13" t="str">
        <f>IF($A189="","",[1]!thsiFinD("ths_adjustment_nv_fund",K$3,$A189))</f>
        <v/>
      </c>
      <c r="L189" s="13" t="str">
        <f>IF($A189="","",[1]!thsiFinD("ths_adjustment_nv_fund",L$3,$A189))</f>
        <v/>
      </c>
      <c r="M189" s="13" t="str">
        <f>IF($A189="","",[1]!thsiFinD("ths_adjustment_nv_fund",M$3,$A189))</f>
        <v/>
      </c>
      <c r="N189" s="13" t="str">
        <f>IF($A189="","",[1]!thsiFinD("ths_adjustment_nv_fund",N$3,$A189))</f>
        <v/>
      </c>
      <c r="O189" s="13" t="str">
        <f>IF($A189="","",[1]!thsiFinD("ths_adjustment_nv_fund",O$3,$A189))</f>
        <v/>
      </c>
      <c r="P189" s="13" t="str">
        <f>IF($A189="","",[1]!thsiFinD("ths_adjustment_nv_fund",P$3,$A189))</f>
        <v/>
      </c>
      <c r="Q189" s="13" t="str">
        <f>IF($A189="","",[1]!thsiFinD("ths_adjustment_nv_fund",Q$3,$A189))</f>
        <v/>
      </c>
      <c r="R189" s="13" t="str">
        <f>IF($A189="","",[1]!thsiFinD("ths_adjustment_nv_fund",R$3,$A189))</f>
        <v/>
      </c>
      <c r="S189" s="13" t="str">
        <f>IF($A189="","",[1]!thsiFinD("ths_adjustment_nv_fund",S$3,$A189))</f>
        <v/>
      </c>
      <c r="T189" s="13" t="str">
        <f>IF($A189="","",[1]!thsiFinD("ths_adjustment_nv_fund",T$3,$A189))</f>
        <v/>
      </c>
      <c r="U189" s="13" t="str">
        <f>IF($A189="","",[1]!thsiFinD("ths_adjustment_nv_fund",U$3,$A189))</f>
        <v/>
      </c>
      <c r="V189" s="13" t="str">
        <f>IF($A189="","",[1]!thsiFinD("ths_adjustment_nv_fund",V$3,$A189))</f>
        <v/>
      </c>
      <c r="W189" s="13" t="str">
        <f>IF($A189="","",[1]!thsiFinD("ths_adjustment_nv_fund",W$3,$A189))</f>
        <v/>
      </c>
      <c r="X189" s="13" t="str">
        <f>IF($A189="","",[1]!thsiFinD("ths_adjustment_nv_fund",X$3,$A189))</f>
        <v/>
      </c>
      <c r="Y189" s="13" t="str">
        <f>IF($A189="","",[1]!thsiFinD("ths_adjustment_nv_fund",Y$3,$A189))</f>
        <v/>
      </c>
      <c r="Z189" s="13" t="str">
        <f>IF($A189="","",[1]!thsiFinD("ths_adjustment_nv_fund",Z$3,$A189))</f>
        <v/>
      </c>
      <c r="AA189" s="13" t="str">
        <f>IF($A189="","",[1]!thsiFinD("ths_adjustment_nv_fund",AA$3,$A189))</f>
        <v/>
      </c>
      <c r="AB189" s="13" t="str">
        <f>IF($A189="","",[1]!thsiFinD("ths_adjustment_nv_fund",AB$3,$A189))</f>
        <v/>
      </c>
    </row>
    <row r="190" spans="2:28">
      <c r="B190" s="13" t="str">
        <f>IF($A190="","",[1]!thsiFinD("ths_adjustment_nv_fund",B$3,$A190))</f>
        <v/>
      </c>
      <c r="C190" s="13" t="str">
        <f>IF($A190="","",[1]!thsiFinD("ths_adjustment_nv_fund",C$3,$A190))</f>
        <v/>
      </c>
      <c r="D190" s="13" t="str">
        <f>IF($A190="","",[1]!thsiFinD("ths_adjustment_nv_fund",D$3,$A190))</f>
        <v/>
      </c>
      <c r="E190" s="13" t="str">
        <f>IF($A190="","",[1]!thsiFinD("ths_adjustment_nv_fund",E$3,$A190))</f>
        <v/>
      </c>
      <c r="F190" s="13" t="str">
        <f>IF($A190="","",[1]!thsiFinD("ths_adjustment_nv_fund",F$3,$A190))</f>
        <v/>
      </c>
      <c r="G190" s="13" t="str">
        <f>IF($A190="","",[1]!thsiFinD("ths_adjustment_nv_fund",G$3,$A190))</f>
        <v/>
      </c>
      <c r="H190" s="13" t="str">
        <f>IF($A190="","",[1]!thsiFinD("ths_adjustment_nv_fund",H$3,$A190))</f>
        <v/>
      </c>
      <c r="I190" s="13" t="str">
        <f>IF($A190="","",[1]!thsiFinD("ths_adjustment_nv_fund",I$3,$A190))</f>
        <v/>
      </c>
      <c r="J190" s="13" t="str">
        <f>IF($A190="","",[1]!thsiFinD("ths_adjustment_nv_fund",J$3,$A190))</f>
        <v/>
      </c>
      <c r="K190" s="13" t="str">
        <f>IF($A190="","",[1]!thsiFinD("ths_adjustment_nv_fund",K$3,$A190))</f>
        <v/>
      </c>
      <c r="L190" s="13" t="str">
        <f>IF($A190="","",[1]!thsiFinD("ths_adjustment_nv_fund",L$3,$A190))</f>
        <v/>
      </c>
      <c r="M190" s="13" t="str">
        <f>IF($A190="","",[1]!thsiFinD("ths_adjustment_nv_fund",M$3,$A190))</f>
        <v/>
      </c>
      <c r="N190" s="13" t="str">
        <f>IF($A190="","",[1]!thsiFinD("ths_adjustment_nv_fund",N$3,$A190))</f>
        <v/>
      </c>
      <c r="O190" s="13" t="str">
        <f>IF($A190="","",[1]!thsiFinD("ths_adjustment_nv_fund",O$3,$A190))</f>
        <v/>
      </c>
      <c r="P190" s="13" t="str">
        <f>IF($A190="","",[1]!thsiFinD("ths_adjustment_nv_fund",P$3,$A190))</f>
        <v/>
      </c>
      <c r="Q190" s="13" t="str">
        <f>IF($A190="","",[1]!thsiFinD("ths_adjustment_nv_fund",Q$3,$A190))</f>
        <v/>
      </c>
      <c r="R190" s="13" t="str">
        <f>IF($A190="","",[1]!thsiFinD("ths_adjustment_nv_fund",R$3,$A190))</f>
        <v/>
      </c>
      <c r="S190" s="13" t="str">
        <f>IF($A190="","",[1]!thsiFinD("ths_adjustment_nv_fund",S$3,$A190))</f>
        <v/>
      </c>
      <c r="T190" s="13" t="str">
        <f>IF($A190="","",[1]!thsiFinD("ths_adjustment_nv_fund",T$3,$A190))</f>
        <v/>
      </c>
      <c r="U190" s="13" t="str">
        <f>IF($A190="","",[1]!thsiFinD("ths_adjustment_nv_fund",U$3,$A190))</f>
        <v/>
      </c>
      <c r="V190" s="13" t="str">
        <f>IF($A190="","",[1]!thsiFinD("ths_adjustment_nv_fund",V$3,$A190))</f>
        <v/>
      </c>
      <c r="W190" s="13" t="str">
        <f>IF($A190="","",[1]!thsiFinD("ths_adjustment_nv_fund",W$3,$A190))</f>
        <v/>
      </c>
      <c r="X190" s="13" t="str">
        <f>IF($A190="","",[1]!thsiFinD("ths_adjustment_nv_fund",X$3,$A190))</f>
        <v/>
      </c>
      <c r="Y190" s="13" t="str">
        <f>IF($A190="","",[1]!thsiFinD("ths_adjustment_nv_fund",Y$3,$A190))</f>
        <v/>
      </c>
      <c r="Z190" s="13" t="str">
        <f>IF($A190="","",[1]!thsiFinD("ths_adjustment_nv_fund",Z$3,$A190))</f>
        <v/>
      </c>
      <c r="AA190" s="13" t="str">
        <f>IF($A190="","",[1]!thsiFinD("ths_adjustment_nv_fund",AA$3,$A190))</f>
        <v/>
      </c>
      <c r="AB190" s="13" t="str">
        <f>IF($A190="","",[1]!thsiFinD("ths_adjustment_nv_fund",AB$3,$A190))</f>
        <v/>
      </c>
    </row>
    <row r="191" spans="2:28">
      <c r="B191" s="13" t="str">
        <f>IF($A191="","",[1]!thsiFinD("ths_adjustment_nv_fund",B$3,$A191))</f>
        <v/>
      </c>
      <c r="C191" s="13" t="str">
        <f>IF($A191="","",[1]!thsiFinD("ths_adjustment_nv_fund",C$3,$A191))</f>
        <v/>
      </c>
      <c r="D191" s="13" t="str">
        <f>IF($A191="","",[1]!thsiFinD("ths_adjustment_nv_fund",D$3,$A191))</f>
        <v/>
      </c>
      <c r="E191" s="13" t="str">
        <f>IF($A191="","",[1]!thsiFinD("ths_adjustment_nv_fund",E$3,$A191))</f>
        <v/>
      </c>
      <c r="F191" s="13" t="str">
        <f>IF($A191="","",[1]!thsiFinD("ths_adjustment_nv_fund",F$3,$A191))</f>
        <v/>
      </c>
      <c r="G191" s="13" t="str">
        <f>IF($A191="","",[1]!thsiFinD("ths_adjustment_nv_fund",G$3,$A191))</f>
        <v/>
      </c>
      <c r="H191" s="13" t="str">
        <f>IF($A191="","",[1]!thsiFinD("ths_adjustment_nv_fund",H$3,$A191))</f>
        <v/>
      </c>
      <c r="I191" s="13" t="str">
        <f>IF($A191="","",[1]!thsiFinD("ths_adjustment_nv_fund",I$3,$A191))</f>
        <v/>
      </c>
      <c r="J191" s="13" t="str">
        <f>IF($A191="","",[1]!thsiFinD("ths_adjustment_nv_fund",J$3,$A191))</f>
        <v/>
      </c>
      <c r="K191" s="13" t="str">
        <f>IF($A191="","",[1]!thsiFinD("ths_adjustment_nv_fund",K$3,$A191))</f>
        <v/>
      </c>
      <c r="L191" s="13" t="str">
        <f>IF($A191="","",[1]!thsiFinD("ths_adjustment_nv_fund",L$3,$A191))</f>
        <v/>
      </c>
      <c r="M191" s="13" t="str">
        <f>IF($A191="","",[1]!thsiFinD("ths_adjustment_nv_fund",M$3,$A191))</f>
        <v/>
      </c>
      <c r="N191" s="13" t="str">
        <f>IF($A191="","",[1]!thsiFinD("ths_adjustment_nv_fund",N$3,$A191))</f>
        <v/>
      </c>
      <c r="O191" s="13" t="str">
        <f>IF($A191="","",[1]!thsiFinD("ths_adjustment_nv_fund",O$3,$A191))</f>
        <v/>
      </c>
      <c r="P191" s="13" t="str">
        <f>IF($A191="","",[1]!thsiFinD("ths_adjustment_nv_fund",P$3,$A191))</f>
        <v/>
      </c>
      <c r="Q191" s="13" t="str">
        <f>IF($A191="","",[1]!thsiFinD("ths_adjustment_nv_fund",Q$3,$A191))</f>
        <v/>
      </c>
      <c r="R191" s="13" t="str">
        <f>IF($A191="","",[1]!thsiFinD("ths_adjustment_nv_fund",R$3,$A191))</f>
        <v/>
      </c>
      <c r="S191" s="13" t="str">
        <f>IF($A191="","",[1]!thsiFinD("ths_adjustment_nv_fund",S$3,$A191))</f>
        <v/>
      </c>
      <c r="T191" s="13" t="str">
        <f>IF($A191="","",[1]!thsiFinD("ths_adjustment_nv_fund",T$3,$A191))</f>
        <v/>
      </c>
      <c r="U191" s="13" t="str">
        <f>IF($A191="","",[1]!thsiFinD("ths_adjustment_nv_fund",U$3,$A191))</f>
        <v/>
      </c>
      <c r="V191" s="13" t="str">
        <f>IF($A191="","",[1]!thsiFinD("ths_adjustment_nv_fund",V$3,$A191))</f>
        <v/>
      </c>
      <c r="W191" s="13" t="str">
        <f>IF($A191="","",[1]!thsiFinD("ths_adjustment_nv_fund",W$3,$A191))</f>
        <v/>
      </c>
      <c r="X191" s="13" t="str">
        <f>IF($A191="","",[1]!thsiFinD("ths_adjustment_nv_fund",X$3,$A191))</f>
        <v/>
      </c>
      <c r="Y191" s="13" t="str">
        <f>IF($A191="","",[1]!thsiFinD("ths_adjustment_nv_fund",Y$3,$A191))</f>
        <v/>
      </c>
      <c r="Z191" s="13" t="str">
        <f>IF($A191="","",[1]!thsiFinD("ths_adjustment_nv_fund",Z$3,$A191))</f>
        <v/>
      </c>
      <c r="AA191" s="13" t="str">
        <f>IF($A191="","",[1]!thsiFinD("ths_adjustment_nv_fund",AA$3,$A191))</f>
        <v/>
      </c>
      <c r="AB191" s="13" t="str">
        <f>IF($A191="","",[1]!thsiFinD("ths_adjustment_nv_fund",AB$3,$A191))</f>
        <v/>
      </c>
    </row>
    <row r="192" spans="2:28">
      <c r="B192" s="13" t="str">
        <f>IF($A192="","",[1]!thsiFinD("ths_adjustment_nv_fund",B$3,$A192))</f>
        <v/>
      </c>
      <c r="C192" s="13" t="str">
        <f>IF($A192="","",[1]!thsiFinD("ths_adjustment_nv_fund",C$3,$A192))</f>
        <v/>
      </c>
      <c r="D192" s="13" t="str">
        <f>IF($A192="","",[1]!thsiFinD("ths_adjustment_nv_fund",D$3,$A192))</f>
        <v/>
      </c>
      <c r="E192" s="13" t="str">
        <f>IF($A192="","",[1]!thsiFinD("ths_adjustment_nv_fund",E$3,$A192))</f>
        <v/>
      </c>
      <c r="F192" s="13" t="str">
        <f>IF($A192="","",[1]!thsiFinD("ths_adjustment_nv_fund",F$3,$A192))</f>
        <v/>
      </c>
      <c r="G192" s="13" t="str">
        <f>IF($A192="","",[1]!thsiFinD("ths_adjustment_nv_fund",G$3,$A192))</f>
        <v/>
      </c>
      <c r="H192" s="13" t="str">
        <f>IF($A192="","",[1]!thsiFinD("ths_adjustment_nv_fund",H$3,$A192))</f>
        <v/>
      </c>
      <c r="I192" s="13" t="str">
        <f>IF($A192="","",[1]!thsiFinD("ths_adjustment_nv_fund",I$3,$A192))</f>
        <v/>
      </c>
      <c r="J192" s="13" t="str">
        <f>IF($A192="","",[1]!thsiFinD("ths_adjustment_nv_fund",J$3,$A192))</f>
        <v/>
      </c>
      <c r="K192" s="13" t="str">
        <f>IF($A192="","",[1]!thsiFinD("ths_adjustment_nv_fund",K$3,$A192))</f>
        <v/>
      </c>
      <c r="L192" s="13" t="str">
        <f>IF($A192="","",[1]!thsiFinD("ths_adjustment_nv_fund",L$3,$A192))</f>
        <v/>
      </c>
      <c r="M192" s="13" t="str">
        <f>IF($A192="","",[1]!thsiFinD("ths_adjustment_nv_fund",M$3,$A192))</f>
        <v/>
      </c>
      <c r="N192" s="13" t="str">
        <f>IF($A192="","",[1]!thsiFinD("ths_adjustment_nv_fund",N$3,$A192))</f>
        <v/>
      </c>
      <c r="O192" s="13" t="str">
        <f>IF($A192="","",[1]!thsiFinD("ths_adjustment_nv_fund",O$3,$A192))</f>
        <v/>
      </c>
      <c r="P192" s="13" t="str">
        <f>IF($A192="","",[1]!thsiFinD("ths_adjustment_nv_fund",P$3,$A192))</f>
        <v/>
      </c>
      <c r="Q192" s="13" t="str">
        <f>IF($A192="","",[1]!thsiFinD("ths_adjustment_nv_fund",Q$3,$A192))</f>
        <v/>
      </c>
      <c r="R192" s="13" t="str">
        <f>IF($A192="","",[1]!thsiFinD("ths_adjustment_nv_fund",R$3,$A192))</f>
        <v/>
      </c>
      <c r="S192" s="13" t="str">
        <f>IF($A192="","",[1]!thsiFinD("ths_adjustment_nv_fund",S$3,$A192))</f>
        <v/>
      </c>
      <c r="T192" s="13" t="str">
        <f>IF($A192="","",[1]!thsiFinD("ths_adjustment_nv_fund",T$3,$A192))</f>
        <v/>
      </c>
      <c r="U192" s="13" t="str">
        <f>IF($A192="","",[1]!thsiFinD("ths_adjustment_nv_fund",U$3,$A192))</f>
        <v/>
      </c>
      <c r="V192" s="13" t="str">
        <f>IF($A192="","",[1]!thsiFinD("ths_adjustment_nv_fund",V$3,$A192))</f>
        <v/>
      </c>
      <c r="W192" s="13" t="str">
        <f>IF($A192="","",[1]!thsiFinD("ths_adjustment_nv_fund",W$3,$A192))</f>
        <v/>
      </c>
      <c r="X192" s="13" t="str">
        <f>IF($A192="","",[1]!thsiFinD("ths_adjustment_nv_fund",X$3,$A192))</f>
        <v/>
      </c>
      <c r="Y192" s="13" t="str">
        <f>IF($A192="","",[1]!thsiFinD("ths_adjustment_nv_fund",Y$3,$A192))</f>
        <v/>
      </c>
      <c r="Z192" s="13" t="str">
        <f>IF($A192="","",[1]!thsiFinD("ths_adjustment_nv_fund",Z$3,$A192))</f>
        <v/>
      </c>
      <c r="AA192" s="13" t="str">
        <f>IF($A192="","",[1]!thsiFinD("ths_adjustment_nv_fund",AA$3,$A192))</f>
        <v/>
      </c>
      <c r="AB192" s="13" t="str">
        <f>IF($A192="","",[1]!thsiFinD("ths_adjustment_nv_fund",AB$3,$A192))</f>
        <v/>
      </c>
    </row>
    <row r="193" spans="2:28">
      <c r="B193" s="13" t="str">
        <f>IF($A193="","",[1]!thsiFinD("ths_adjustment_nv_fund",B$3,$A193))</f>
        <v/>
      </c>
      <c r="C193" s="13" t="str">
        <f>IF($A193="","",[1]!thsiFinD("ths_adjustment_nv_fund",C$3,$A193))</f>
        <v/>
      </c>
      <c r="D193" s="13" t="str">
        <f>IF($A193="","",[1]!thsiFinD("ths_adjustment_nv_fund",D$3,$A193))</f>
        <v/>
      </c>
      <c r="E193" s="13" t="str">
        <f>IF($A193="","",[1]!thsiFinD("ths_adjustment_nv_fund",E$3,$A193))</f>
        <v/>
      </c>
      <c r="F193" s="13" t="str">
        <f>IF($A193="","",[1]!thsiFinD("ths_adjustment_nv_fund",F$3,$A193))</f>
        <v/>
      </c>
      <c r="G193" s="13" t="str">
        <f>IF($A193="","",[1]!thsiFinD("ths_adjustment_nv_fund",G$3,$A193))</f>
        <v/>
      </c>
      <c r="H193" s="13" t="str">
        <f>IF($A193="","",[1]!thsiFinD("ths_adjustment_nv_fund",H$3,$A193))</f>
        <v/>
      </c>
      <c r="I193" s="13" t="str">
        <f>IF($A193="","",[1]!thsiFinD("ths_adjustment_nv_fund",I$3,$A193))</f>
        <v/>
      </c>
      <c r="J193" s="13" t="str">
        <f>IF($A193="","",[1]!thsiFinD("ths_adjustment_nv_fund",J$3,$A193))</f>
        <v/>
      </c>
      <c r="K193" s="13" t="str">
        <f>IF($A193="","",[1]!thsiFinD("ths_adjustment_nv_fund",K$3,$A193))</f>
        <v/>
      </c>
      <c r="L193" s="13" t="str">
        <f>IF($A193="","",[1]!thsiFinD("ths_adjustment_nv_fund",L$3,$A193))</f>
        <v/>
      </c>
      <c r="M193" s="13" t="str">
        <f>IF($A193="","",[1]!thsiFinD("ths_adjustment_nv_fund",M$3,$A193))</f>
        <v/>
      </c>
      <c r="N193" s="13" t="str">
        <f>IF($A193="","",[1]!thsiFinD("ths_adjustment_nv_fund",N$3,$A193))</f>
        <v/>
      </c>
      <c r="O193" s="13" t="str">
        <f>IF($A193="","",[1]!thsiFinD("ths_adjustment_nv_fund",O$3,$A193))</f>
        <v/>
      </c>
      <c r="P193" s="13" t="str">
        <f>IF($A193="","",[1]!thsiFinD("ths_adjustment_nv_fund",P$3,$A193))</f>
        <v/>
      </c>
      <c r="Q193" s="13" t="str">
        <f>IF($A193="","",[1]!thsiFinD("ths_adjustment_nv_fund",Q$3,$A193))</f>
        <v/>
      </c>
      <c r="R193" s="13" t="str">
        <f>IF($A193="","",[1]!thsiFinD("ths_adjustment_nv_fund",R$3,$A193))</f>
        <v/>
      </c>
      <c r="S193" s="13" t="str">
        <f>IF($A193="","",[1]!thsiFinD("ths_adjustment_nv_fund",S$3,$A193))</f>
        <v/>
      </c>
      <c r="T193" s="13" t="str">
        <f>IF($A193="","",[1]!thsiFinD("ths_adjustment_nv_fund",T$3,$A193))</f>
        <v/>
      </c>
      <c r="U193" s="13" t="str">
        <f>IF($A193="","",[1]!thsiFinD("ths_adjustment_nv_fund",U$3,$A193))</f>
        <v/>
      </c>
      <c r="V193" s="13" t="str">
        <f>IF($A193="","",[1]!thsiFinD("ths_adjustment_nv_fund",V$3,$A193))</f>
        <v/>
      </c>
      <c r="W193" s="13" t="str">
        <f>IF($A193="","",[1]!thsiFinD("ths_adjustment_nv_fund",W$3,$A193))</f>
        <v/>
      </c>
      <c r="X193" s="13" t="str">
        <f>IF($A193="","",[1]!thsiFinD("ths_adjustment_nv_fund",X$3,$A193))</f>
        <v/>
      </c>
      <c r="Y193" s="13" t="str">
        <f>IF($A193="","",[1]!thsiFinD("ths_adjustment_nv_fund",Y$3,$A193))</f>
        <v/>
      </c>
      <c r="Z193" s="13" t="str">
        <f>IF($A193="","",[1]!thsiFinD("ths_adjustment_nv_fund",Z$3,$A193))</f>
        <v/>
      </c>
      <c r="AA193" s="13" t="str">
        <f>IF($A193="","",[1]!thsiFinD("ths_adjustment_nv_fund",AA$3,$A193))</f>
        <v/>
      </c>
      <c r="AB193" s="13" t="str">
        <f>IF($A193="","",[1]!thsiFinD("ths_adjustment_nv_fund",AB$3,$A193))</f>
        <v/>
      </c>
    </row>
    <row r="194" spans="2:28">
      <c r="B194" s="13" t="str">
        <f>IF($A194="","",[1]!thsiFinD("ths_adjustment_nv_fund",B$3,$A194))</f>
        <v/>
      </c>
      <c r="C194" s="13" t="str">
        <f>IF($A194="","",[1]!thsiFinD("ths_adjustment_nv_fund",C$3,$A194))</f>
        <v/>
      </c>
      <c r="D194" s="13" t="str">
        <f>IF($A194="","",[1]!thsiFinD("ths_adjustment_nv_fund",D$3,$A194))</f>
        <v/>
      </c>
      <c r="E194" s="13" t="str">
        <f>IF($A194="","",[1]!thsiFinD("ths_adjustment_nv_fund",E$3,$A194))</f>
        <v/>
      </c>
      <c r="F194" s="13" t="str">
        <f>IF($A194="","",[1]!thsiFinD("ths_adjustment_nv_fund",F$3,$A194))</f>
        <v/>
      </c>
      <c r="G194" s="13" t="str">
        <f>IF($A194="","",[1]!thsiFinD("ths_adjustment_nv_fund",G$3,$A194))</f>
        <v/>
      </c>
      <c r="H194" s="13" t="str">
        <f>IF($A194="","",[1]!thsiFinD("ths_adjustment_nv_fund",H$3,$A194))</f>
        <v/>
      </c>
      <c r="I194" s="13" t="str">
        <f>IF($A194="","",[1]!thsiFinD("ths_adjustment_nv_fund",I$3,$A194))</f>
        <v/>
      </c>
      <c r="J194" s="13" t="str">
        <f>IF($A194="","",[1]!thsiFinD("ths_adjustment_nv_fund",J$3,$A194))</f>
        <v/>
      </c>
      <c r="K194" s="13" t="str">
        <f>IF($A194="","",[1]!thsiFinD("ths_adjustment_nv_fund",K$3,$A194))</f>
        <v/>
      </c>
      <c r="L194" s="13" t="str">
        <f>IF($A194="","",[1]!thsiFinD("ths_adjustment_nv_fund",L$3,$A194))</f>
        <v/>
      </c>
      <c r="M194" s="13" t="str">
        <f>IF($A194="","",[1]!thsiFinD("ths_adjustment_nv_fund",M$3,$A194))</f>
        <v/>
      </c>
      <c r="N194" s="13" t="str">
        <f>IF($A194="","",[1]!thsiFinD("ths_adjustment_nv_fund",N$3,$A194))</f>
        <v/>
      </c>
      <c r="O194" s="13" t="str">
        <f>IF($A194="","",[1]!thsiFinD("ths_adjustment_nv_fund",O$3,$A194))</f>
        <v/>
      </c>
      <c r="P194" s="13" t="str">
        <f>IF($A194="","",[1]!thsiFinD("ths_adjustment_nv_fund",P$3,$A194))</f>
        <v/>
      </c>
      <c r="Q194" s="13" t="str">
        <f>IF($A194="","",[1]!thsiFinD("ths_adjustment_nv_fund",Q$3,$A194))</f>
        <v/>
      </c>
      <c r="R194" s="13" t="str">
        <f>IF($A194="","",[1]!thsiFinD("ths_adjustment_nv_fund",R$3,$A194))</f>
        <v/>
      </c>
      <c r="S194" s="13" t="str">
        <f>IF($A194="","",[1]!thsiFinD("ths_adjustment_nv_fund",S$3,$A194))</f>
        <v/>
      </c>
      <c r="T194" s="13" t="str">
        <f>IF($A194="","",[1]!thsiFinD("ths_adjustment_nv_fund",T$3,$A194))</f>
        <v/>
      </c>
      <c r="U194" s="13" t="str">
        <f>IF($A194="","",[1]!thsiFinD("ths_adjustment_nv_fund",U$3,$A194))</f>
        <v/>
      </c>
      <c r="V194" s="13" t="str">
        <f>IF($A194="","",[1]!thsiFinD("ths_adjustment_nv_fund",V$3,$A194))</f>
        <v/>
      </c>
      <c r="W194" s="13" t="str">
        <f>IF($A194="","",[1]!thsiFinD("ths_adjustment_nv_fund",W$3,$A194))</f>
        <v/>
      </c>
      <c r="X194" s="13" t="str">
        <f>IF($A194="","",[1]!thsiFinD("ths_adjustment_nv_fund",X$3,$A194))</f>
        <v/>
      </c>
      <c r="Y194" s="13" t="str">
        <f>IF($A194="","",[1]!thsiFinD("ths_adjustment_nv_fund",Y$3,$A194))</f>
        <v/>
      </c>
      <c r="Z194" s="13" t="str">
        <f>IF($A194="","",[1]!thsiFinD("ths_adjustment_nv_fund",Z$3,$A194))</f>
        <v/>
      </c>
      <c r="AA194" s="13" t="str">
        <f>IF($A194="","",[1]!thsiFinD("ths_adjustment_nv_fund",AA$3,$A194))</f>
        <v/>
      </c>
      <c r="AB194" s="13" t="str">
        <f>IF($A194="","",[1]!thsiFinD("ths_adjustment_nv_fund",AB$3,$A194))</f>
        <v/>
      </c>
    </row>
    <row r="195" spans="2:28">
      <c r="B195" s="13" t="str">
        <f>IF($A195="","",[1]!thsiFinD("ths_adjustment_nv_fund",B$3,$A195))</f>
        <v/>
      </c>
      <c r="C195" s="13" t="str">
        <f>IF($A195="","",[1]!thsiFinD("ths_adjustment_nv_fund",C$3,$A195))</f>
        <v/>
      </c>
      <c r="D195" s="13" t="str">
        <f>IF($A195="","",[1]!thsiFinD("ths_adjustment_nv_fund",D$3,$A195))</f>
        <v/>
      </c>
      <c r="E195" s="13" t="str">
        <f>IF($A195="","",[1]!thsiFinD("ths_adjustment_nv_fund",E$3,$A195))</f>
        <v/>
      </c>
      <c r="F195" s="13" t="str">
        <f>IF($A195="","",[1]!thsiFinD("ths_adjustment_nv_fund",F$3,$A195))</f>
        <v/>
      </c>
      <c r="G195" s="13" t="str">
        <f>IF($A195="","",[1]!thsiFinD("ths_adjustment_nv_fund",G$3,$A195))</f>
        <v/>
      </c>
      <c r="H195" s="13" t="str">
        <f>IF($A195="","",[1]!thsiFinD("ths_adjustment_nv_fund",H$3,$A195))</f>
        <v/>
      </c>
      <c r="I195" s="13" t="str">
        <f>IF($A195="","",[1]!thsiFinD("ths_adjustment_nv_fund",I$3,$A195))</f>
        <v/>
      </c>
      <c r="J195" s="13" t="str">
        <f>IF($A195="","",[1]!thsiFinD("ths_adjustment_nv_fund",J$3,$A195))</f>
        <v/>
      </c>
      <c r="K195" s="13" t="str">
        <f>IF($A195="","",[1]!thsiFinD("ths_adjustment_nv_fund",K$3,$A195))</f>
        <v/>
      </c>
      <c r="L195" s="13" t="str">
        <f>IF($A195="","",[1]!thsiFinD("ths_adjustment_nv_fund",L$3,$A195))</f>
        <v/>
      </c>
      <c r="M195" s="13" t="str">
        <f>IF($A195="","",[1]!thsiFinD("ths_adjustment_nv_fund",M$3,$A195))</f>
        <v/>
      </c>
      <c r="N195" s="13" t="str">
        <f>IF($A195="","",[1]!thsiFinD("ths_adjustment_nv_fund",N$3,$A195))</f>
        <v/>
      </c>
      <c r="O195" s="13" t="str">
        <f>IF($A195="","",[1]!thsiFinD("ths_adjustment_nv_fund",O$3,$A195))</f>
        <v/>
      </c>
      <c r="P195" s="13" t="str">
        <f>IF($A195="","",[1]!thsiFinD("ths_adjustment_nv_fund",P$3,$A195))</f>
        <v/>
      </c>
      <c r="Q195" s="13" t="str">
        <f>IF($A195="","",[1]!thsiFinD("ths_adjustment_nv_fund",Q$3,$A195))</f>
        <v/>
      </c>
      <c r="R195" s="13" t="str">
        <f>IF($A195="","",[1]!thsiFinD("ths_adjustment_nv_fund",R$3,$A195))</f>
        <v/>
      </c>
      <c r="S195" s="13" t="str">
        <f>IF($A195="","",[1]!thsiFinD("ths_adjustment_nv_fund",S$3,$A195))</f>
        <v/>
      </c>
      <c r="T195" s="13" t="str">
        <f>IF($A195="","",[1]!thsiFinD("ths_adjustment_nv_fund",T$3,$A195))</f>
        <v/>
      </c>
      <c r="U195" s="13" t="str">
        <f>IF($A195="","",[1]!thsiFinD("ths_adjustment_nv_fund",U$3,$A195))</f>
        <v/>
      </c>
      <c r="V195" s="13" t="str">
        <f>IF($A195="","",[1]!thsiFinD("ths_adjustment_nv_fund",V$3,$A195))</f>
        <v/>
      </c>
      <c r="W195" s="13" t="str">
        <f>IF($A195="","",[1]!thsiFinD("ths_adjustment_nv_fund",W$3,$A195))</f>
        <v/>
      </c>
      <c r="X195" s="13" t="str">
        <f>IF($A195="","",[1]!thsiFinD("ths_adjustment_nv_fund",X$3,$A195))</f>
        <v/>
      </c>
      <c r="Y195" s="13" t="str">
        <f>IF($A195="","",[1]!thsiFinD("ths_adjustment_nv_fund",Y$3,$A195))</f>
        <v/>
      </c>
      <c r="Z195" s="13" t="str">
        <f>IF($A195="","",[1]!thsiFinD("ths_adjustment_nv_fund",Z$3,$A195))</f>
        <v/>
      </c>
      <c r="AA195" s="13" t="str">
        <f>IF($A195="","",[1]!thsiFinD("ths_adjustment_nv_fund",AA$3,$A195))</f>
        <v/>
      </c>
      <c r="AB195" s="13" t="str">
        <f>IF($A195="","",[1]!thsiFinD("ths_adjustment_nv_fund",AB$3,$A195))</f>
        <v/>
      </c>
    </row>
    <row r="196" spans="2:28">
      <c r="B196" s="13" t="str">
        <f>IF($A196="","",[1]!thsiFinD("ths_adjustment_nv_fund",B$3,$A196))</f>
        <v/>
      </c>
      <c r="C196" s="13" t="str">
        <f>IF($A196="","",[1]!thsiFinD("ths_adjustment_nv_fund",C$3,$A196))</f>
        <v/>
      </c>
      <c r="D196" s="13" t="str">
        <f>IF($A196="","",[1]!thsiFinD("ths_adjustment_nv_fund",D$3,$A196))</f>
        <v/>
      </c>
      <c r="E196" s="13" t="str">
        <f>IF($A196="","",[1]!thsiFinD("ths_adjustment_nv_fund",E$3,$A196))</f>
        <v/>
      </c>
      <c r="F196" s="13" t="str">
        <f>IF($A196="","",[1]!thsiFinD("ths_adjustment_nv_fund",F$3,$A196))</f>
        <v/>
      </c>
      <c r="G196" s="13" t="str">
        <f>IF($A196="","",[1]!thsiFinD("ths_adjustment_nv_fund",G$3,$A196))</f>
        <v/>
      </c>
      <c r="H196" s="13" t="str">
        <f>IF($A196="","",[1]!thsiFinD("ths_adjustment_nv_fund",H$3,$A196))</f>
        <v/>
      </c>
      <c r="I196" s="13" t="str">
        <f>IF($A196="","",[1]!thsiFinD("ths_adjustment_nv_fund",I$3,$A196))</f>
        <v/>
      </c>
      <c r="J196" s="13" t="str">
        <f>IF($A196="","",[1]!thsiFinD("ths_adjustment_nv_fund",J$3,$A196))</f>
        <v/>
      </c>
      <c r="K196" s="13" t="str">
        <f>IF($A196="","",[1]!thsiFinD("ths_adjustment_nv_fund",K$3,$A196))</f>
        <v/>
      </c>
      <c r="L196" s="13" t="str">
        <f>IF($A196="","",[1]!thsiFinD("ths_adjustment_nv_fund",L$3,$A196))</f>
        <v/>
      </c>
      <c r="M196" s="13" t="str">
        <f>IF($A196="","",[1]!thsiFinD("ths_adjustment_nv_fund",M$3,$A196))</f>
        <v/>
      </c>
      <c r="N196" s="13" t="str">
        <f>IF($A196="","",[1]!thsiFinD("ths_adjustment_nv_fund",N$3,$A196))</f>
        <v/>
      </c>
      <c r="O196" s="13" t="str">
        <f>IF($A196="","",[1]!thsiFinD("ths_adjustment_nv_fund",O$3,$A196))</f>
        <v/>
      </c>
      <c r="P196" s="13" t="str">
        <f>IF($A196="","",[1]!thsiFinD("ths_adjustment_nv_fund",P$3,$A196))</f>
        <v/>
      </c>
      <c r="Q196" s="13" t="str">
        <f>IF($A196="","",[1]!thsiFinD("ths_adjustment_nv_fund",Q$3,$A196))</f>
        <v/>
      </c>
      <c r="R196" s="13" t="str">
        <f>IF($A196="","",[1]!thsiFinD("ths_adjustment_nv_fund",R$3,$A196))</f>
        <v/>
      </c>
      <c r="S196" s="13" t="str">
        <f>IF($A196="","",[1]!thsiFinD("ths_adjustment_nv_fund",S$3,$A196))</f>
        <v/>
      </c>
      <c r="T196" s="13" t="str">
        <f>IF($A196="","",[1]!thsiFinD("ths_adjustment_nv_fund",T$3,$A196))</f>
        <v/>
      </c>
      <c r="U196" s="13" t="str">
        <f>IF($A196="","",[1]!thsiFinD("ths_adjustment_nv_fund",U$3,$A196))</f>
        <v/>
      </c>
      <c r="V196" s="13" t="str">
        <f>IF($A196="","",[1]!thsiFinD("ths_adjustment_nv_fund",V$3,$A196))</f>
        <v/>
      </c>
      <c r="W196" s="13" t="str">
        <f>IF($A196="","",[1]!thsiFinD("ths_adjustment_nv_fund",W$3,$A196))</f>
        <v/>
      </c>
      <c r="X196" s="13" t="str">
        <f>IF($A196="","",[1]!thsiFinD("ths_adjustment_nv_fund",X$3,$A196))</f>
        <v/>
      </c>
      <c r="Y196" s="13" t="str">
        <f>IF($A196="","",[1]!thsiFinD("ths_adjustment_nv_fund",Y$3,$A196))</f>
        <v/>
      </c>
      <c r="Z196" s="13" t="str">
        <f>IF($A196="","",[1]!thsiFinD("ths_adjustment_nv_fund",Z$3,$A196))</f>
        <v/>
      </c>
      <c r="AA196" s="13" t="str">
        <f>IF($A196="","",[1]!thsiFinD("ths_adjustment_nv_fund",AA$3,$A196))</f>
        <v/>
      </c>
      <c r="AB196" s="13" t="str">
        <f>IF($A196="","",[1]!thsiFinD("ths_adjustment_nv_fund",AB$3,$A196))</f>
        <v/>
      </c>
    </row>
    <row r="197" spans="2:28">
      <c r="B197" s="13" t="str">
        <f>IF($A197="","",[1]!thsiFinD("ths_adjustment_nv_fund",B$3,$A197))</f>
        <v/>
      </c>
      <c r="C197" s="13" t="str">
        <f>IF($A197="","",[1]!thsiFinD("ths_adjustment_nv_fund",C$3,$A197))</f>
        <v/>
      </c>
      <c r="D197" s="13" t="str">
        <f>IF($A197="","",[1]!thsiFinD("ths_adjustment_nv_fund",D$3,$A197))</f>
        <v/>
      </c>
      <c r="E197" s="13" t="str">
        <f>IF($A197="","",[1]!thsiFinD("ths_adjustment_nv_fund",E$3,$A197))</f>
        <v/>
      </c>
      <c r="F197" s="13" t="str">
        <f>IF($A197="","",[1]!thsiFinD("ths_adjustment_nv_fund",F$3,$A197))</f>
        <v/>
      </c>
      <c r="G197" s="13" t="str">
        <f>IF($A197="","",[1]!thsiFinD("ths_adjustment_nv_fund",G$3,$A197))</f>
        <v/>
      </c>
      <c r="H197" s="13" t="str">
        <f>IF($A197="","",[1]!thsiFinD("ths_adjustment_nv_fund",H$3,$A197))</f>
        <v/>
      </c>
      <c r="I197" s="13" t="str">
        <f>IF($A197="","",[1]!thsiFinD("ths_adjustment_nv_fund",I$3,$A197))</f>
        <v/>
      </c>
      <c r="J197" s="13" t="str">
        <f>IF($A197="","",[1]!thsiFinD("ths_adjustment_nv_fund",J$3,$A197))</f>
        <v/>
      </c>
      <c r="K197" s="13" t="str">
        <f>IF($A197="","",[1]!thsiFinD("ths_adjustment_nv_fund",K$3,$A197))</f>
        <v/>
      </c>
      <c r="L197" s="13" t="str">
        <f>IF($A197="","",[1]!thsiFinD("ths_adjustment_nv_fund",L$3,$A197))</f>
        <v/>
      </c>
      <c r="M197" s="13" t="str">
        <f>IF($A197="","",[1]!thsiFinD("ths_adjustment_nv_fund",M$3,$A197))</f>
        <v/>
      </c>
      <c r="N197" s="13" t="str">
        <f>IF($A197="","",[1]!thsiFinD("ths_adjustment_nv_fund",N$3,$A197))</f>
        <v/>
      </c>
      <c r="O197" s="13" t="str">
        <f>IF($A197="","",[1]!thsiFinD("ths_adjustment_nv_fund",O$3,$A197))</f>
        <v/>
      </c>
      <c r="P197" s="13" t="str">
        <f>IF($A197="","",[1]!thsiFinD("ths_adjustment_nv_fund",P$3,$A197))</f>
        <v/>
      </c>
      <c r="Q197" s="13" t="str">
        <f>IF($A197="","",[1]!thsiFinD("ths_adjustment_nv_fund",Q$3,$A197))</f>
        <v/>
      </c>
      <c r="R197" s="13" t="str">
        <f>IF($A197="","",[1]!thsiFinD("ths_adjustment_nv_fund",R$3,$A197))</f>
        <v/>
      </c>
      <c r="S197" s="13" t="str">
        <f>IF($A197="","",[1]!thsiFinD("ths_adjustment_nv_fund",S$3,$A197))</f>
        <v/>
      </c>
      <c r="T197" s="13" t="str">
        <f>IF($A197="","",[1]!thsiFinD("ths_adjustment_nv_fund",T$3,$A197))</f>
        <v/>
      </c>
      <c r="U197" s="13" t="str">
        <f>IF($A197="","",[1]!thsiFinD("ths_adjustment_nv_fund",U$3,$A197))</f>
        <v/>
      </c>
      <c r="V197" s="13" t="str">
        <f>IF($A197="","",[1]!thsiFinD("ths_adjustment_nv_fund",V$3,$A197))</f>
        <v/>
      </c>
      <c r="W197" s="13" t="str">
        <f>IF($A197="","",[1]!thsiFinD("ths_adjustment_nv_fund",W$3,$A197))</f>
        <v/>
      </c>
      <c r="X197" s="13" t="str">
        <f>IF($A197="","",[1]!thsiFinD("ths_adjustment_nv_fund",X$3,$A197))</f>
        <v/>
      </c>
      <c r="Y197" s="13" t="str">
        <f>IF($A197="","",[1]!thsiFinD("ths_adjustment_nv_fund",Y$3,$A197))</f>
        <v/>
      </c>
      <c r="Z197" s="13" t="str">
        <f>IF($A197="","",[1]!thsiFinD("ths_adjustment_nv_fund",Z$3,$A197))</f>
        <v/>
      </c>
      <c r="AA197" s="13" t="str">
        <f>IF($A197="","",[1]!thsiFinD("ths_adjustment_nv_fund",AA$3,$A197))</f>
        <v/>
      </c>
      <c r="AB197" s="13" t="str">
        <f>IF($A197="","",[1]!thsiFinD("ths_adjustment_nv_fund",AB$3,$A197))</f>
        <v/>
      </c>
    </row>
    <row r="198" spans="2:28">
      <c r="B198" s="13" t="str">
        <f>IF($A198="","",[1]!thsiFinD("ths_adjustment_nv_fund",B$3,$A198))</f>
        <v/>
      </c>
      <c r="C198" s="13" t="str">
        <f>IF($A198="","",[1]!thsiFinD("ths_adjustment_nv_fund",C$3,$A198))</f>
        <v/>
      </c>
      <c r="D198" s="13" t="str">
        <f>IF($A198="","",[1]!thsiFinD("ths_adjustment_nv_fund",D$3,$A198))</f>
        <v/>
      </c>
      <c r="E198" s="13" t="str">
        <f>IF($A198="","",[1]!thsiFinD("ths_adjustment_nv_fund",E$3,$A198))</f>
        <v/>
      </c>
      <c r="F198" s="13" t="str">
        <f>IF($A198="","",[1]!thsiFinD("ths_adjustment_nv_fund",F$3,$A198))</f>
        <v/>
      </c>
      <c r="G198" s="13" t="str">
        <f>IF($A198="","",[1]!thsiFinD("ths_adjustment_nv_fund",G$3,$A198))</f>
        <v/>
      </c>
      <c r="H198" s="13" t="str">
        <f>IF($A198="","",[1]!thsiFinD("ths_adjustment_nv_fund",H$3,$A198))</f>
        <v/>
      </c>
      <c r="I198" s="13" t="str">
        <f>IF($A198="","",[1]!thsiFinD("ths_adjustment_nv_fund",I$3,$A198))</f>
        <v/>
      </c>
      <c r="J198" s="13" t="str">
        <f>IF($A198="","",[1]!thsiFinD("ths_adjustment_nv_fund",J$3,$A198))</f>
        <v/>
      </c>
      <c r="K198" s="13" t="str">
        <f>IF($A198="","",[1]!thsiFinD("ths_adjustment_nv_fund",K$3,$A198))</f>
        <v/>
      </c>
      <c r="L198" s="13" t="str">
        <f>IF($A198="","",[1]!thsiFinD("ths_adjustment_nv_fund",L$3,$A198))</f>
        <v/>
      </c>
      <c r="M198" s="13" t="str">
        <f>IF($A198="","",[1]!thsiFinD("ths_adjustment_nv_fund",M$3,$A198))</f>
        <v/>
      </c>
      <c r="N198" s="13" t="str">
        <f>IF($A198="","",[1]!thsiFinD("ths_adjustment_nv_fund",N$3,$A198))</f>
        <v/>
      </c>
      <c r="O198" s="13" t="str">
        <f>IF($A198="","",[1]!thsiFinD("ths_adjustment_nv_fund",O$3,$A198))</f>
        <v/>
      </c>
      <c r="P198" s="13" t="str">
        <f>IF($A198="","",[1]!thsiFinD("ths_adjustment_nv_fund",P$3,$A198))</f>
        <v/>
      </c>
      <c r="Q198" s="13" t="str">
        <f>IF($A198="","",[1]!thsiFinD("ths_adjustment_nv_fund",Q$3,$A198))</f>
        <v/>
      </c>
      <c r="R198" s="13" t="str">
        <f>IF($A198="","",[1]!thsiFinD("ths_adjustment_nv_fund",R$3,$A198))</f>
        <v/>
      </c>
      <c r="S198" s="13" t="str">
        <f>IF($A198="","",[1]!thsiFinD("ths_adjustment_nv_fund",S$3,$A198))</f>
        <v/>
      </c>
      <c r="T198" s="13" t="str">
        <f>IF($A198="","",[1]!thsiFinD("ths_adjustment_nv_fund",T$3,$A198))</f>
        <v/>
      </c>
      <c r="U198" s="13" t="str">
        <f>IF($A198="","",[1]!thsiFinD("ths_adjustment_nv_fund",U$3,$A198))</f>
        <v/>
      </c>
      <c r="V198" s="13" t="str">
        <f>IF($A198="","",[1]!thsiFinD("ths_adjustment_nv_fund",V$3,$A198))</f>
        <v/>
      </c>
      <c r="W198" s="13" t="str">
        <f>IF($A198="","",[1]!thsiFinD("ths_adjustment_nv_fund",W$3,$A198))</f>
        <v/>
      </c>
      <c r="X198" s="13" t="str">
        <f>IF($A198="","",[1]!thsiFinD("ths_adjustment_nv_fund",X$3,$A198))</f>
        <v/>
      </c>
      <c r="Y198" s="13" t="str">
        <f>IF($A198="","",[1]!thsiFinD("ths_adjustment_nv_fund",Y$3,$A198))</f>
        <v/>
      </c>
      <c r="Z198" s="13" t="str">
        <f>IF($A198="","",[1]!thsiFinD("ths_adjustment_nv_fund",Z$3,$A198))</f>
        <v/>
      </c>
      <c r="AA198" s="13" t="str">
        <f>IF($A198="","",[1]!thsiFinD("ths_adjustment_nv_fund",AA$3,$A198))</f>
        <v/>
      </c>
      <c r="AB198" s="13" t="str">
        <f>IF($A198="","",[1]!thsiFinD("ths_adjustment_nv_fund",AB$3,$A198))</f>
        <v/>
      </c>
    </row>
    <row r="199" spans="2:28">
      <c r="B199" s="13" t="str">
        <f>IF($A199="","",[1]!thsiFinD("ths_adjustment_nv_fund",B$3,$A199))</f>
        <v/>
      </c>
      <c r="C199" s="13" t="str">
        <f>IF($A199="","",[1]!thsiFinD("ths_adjustment_nv_fund",C$3,$A199))</f>
        <v/>
      </c>
      <c r="D199" s="13" t="str">
        <f>IF($A199="","",[1]!thsiFinD("ths_adjustment_nv_fund",D$3,$A199))</f>
        <v/>
      </c>
      <c r="E199" s="13" t="str">
        <f>IF($A199="","",[1]!thsiFinD("ths_adjustment_nv_fund",E$3,$A199))</f>
        <v/>
      </c>
      <c r="F199" s="13" t="str">
        <f>IF($A199="","",[1]!thsiFinD("ths_adjustment_nv_fund",F$3,$A199))</f>
        <v/>
      </c>
      <c r="G199" s="13" t="str">
        <f>IF($A199="","",[1]!thsiFinD("ths_adjustment_nv_fund",G$3,$A199))</f>
        <v/>
      </c>
      <c r="H199" s="13" t="str">
        <f>IF($A199="","",[1]!thsiFinD("ths_adjustment_nv_fund",H$3,$A199))</f>
        <v/>
      </c>
      <c r="I199" s="13" t="str">
        <f>IF($A199="","",[1]!thsiFinD("ths_adjustment_nv_fund",I$3,$A199))</f>
        <v/>
      </c>
      <c r="J199" s="13" t="str">
        <f>IF($A199="","",[1]!thsiFinD("ths_adjustment_nv_fund",J$3,$A199))</f>
        <v/>
      </c>
      <c r="K199" s="13" t="str">
        <f>IF($A199="","",[1]!thsiFinD("ths_adjustment_nv_fund",K$3,$A199))</f>
        <v/>
      </c>
      <c r="L199" s="13" t="str">
        <f>IF($A199="","",[1]!thsiFinD("ths_adjustment_nv_fund",L$3,$A199))</f>
        <v/>
      </c>
      <c r="M199" s="13" t="str">
        <f>IF($A199="","",[1]!thsiFinD("ths_adjustment_nv_fund",M$3,$A199))</f>
        <v/>
      </c>
      <c r="N199" s="13" t="str">
        <f>IF($A199="","",[1]!thsiFinD("ths_adjustment_nv_fund",N$3,$A199))</f>
        <v/>
      </c>
      <c r="O199" s="13" t="str">
        <f>IF($A199="","",[1]!thsiFinD("ths_adjustment_nv_fund",O$3,$A199))</f>
        <v/>
      </c>
      <c r="P199" s="13" t="str">
        <f>IF($A199="","",[1]!thsiFinD("ths_adjustment_nv_fund",P$3,$A199))</f>
        <v/>
      </c>
      <c r="Q199" s="13" t="str">
        <f>IF($A199="","",[1]!thsiFinD("ths_adjustment_nv_fund",Q$3,$A199))</f>
        <v/>
      </c>
      <c r="R199" s="13" t="str">
        <f>IF($A199="","",[1]!thsiFinD("ths_adjustment_nv_fund",R$3,$A199))</f>
        <v/>
      </c>
      <c r="S199" s="13" t="str">
        <f>IF($A199="","",[1]!thsiFinD("ths_adjustment_nv_fund",S$3,$A199))</f>
        <v/>
      </c>
      <c r="T199" s="13" t="str">
        <f>IF($A199="","",[1]!thsiFinD("ths_adjustment_nv_fund",T$3,$A199))</f>
        <v/>
      </c>
      <c r="U199" s="13" t="str">
        <f>IF($A199="","",[1]!thsiFinD("ths_adjustment_nv_fund",U$3,$A199))</f>
        <v/>
      </c>
      <c r="V199" s="13" t="str">
        <f>IF($A199="","",[1]!thsiFinD("ths_adjustment_nv_fund",V$3,$A199))</f>
        <v/>
      </c>
      <c r="W199" s="13" t="str">
        <f>IF($A199="","",[1]!thsiFinD("ths_adjustment_nv_fund",W$3,$A199))</f>
        <v/>
      </c>
      <c r="X199" s="13" t="str">
        <f>IF($A199="","",[1]!thsiFinD("ths_adjustment_nv_fund",X$3,$A199))</f>
        <v/>
      </c>
      <c r="Y199" s="13" t="str">
        <f>IF($A199="","",[1]!thsiFinD("ths_adjustment_nv_fund",Y$3,$A199))</f>
        <v/>
      </c>
      <c r="Z199" s="13" t="str">
        <f>IF($A199="","",[1]!thsiFinD("ths_adjustment_nv_fund",Z$3,$A199))</f>
        <v/>
      </c>
      <c r="AA199" s="13" t="str">
        <f>IF($A199="","",[1]!thsiFinD("ths_adjustment_nv_fund",AA$3,$A199))</f>
        <v/>
      </c>
      <c r="AB199" s="13" t="str">
        <f>IF($A199="","",[1]!thsiFinD("ths_adjustment_nv_fund",AB$3,$A199))</f>
        <v/>
      </c>
    </row>
    <row r="200" spans="2:28">
      <c r="B200" s="13" t="str">
        <f>IF($A200="","",[1]!thsiFinD("ths_adjustment_nv_fund",B$3,$A200))</f>
        <v/>
      </c>
      <c r="C200" s="13" t="str">
        <f>IF($A200="","",[1]!thsiFinD("ths_adjustment_nv_fund",C$3,$A200))</f>
        <v/>
      </c>
      <c r="D200" s="13" t="str">
        <f>IF($A200="","",[1]!thsiFinD("ths_adjustment_nv_fund",D$3,$A200))</f>
        <v/>
      </c>
      <c r="E200" s="13" t="str">
        <f>IF($A200="","",[1]!thsiFinD("ths_adjustment_nv_fund",E$3,$A200))</f>
        <v/>
      </c>
      <c r="F200" s="13" t="str">
        <f>IF($A200="","",[1]!thsiFinD("ths_adjustment_nv_fund",F$3,$A200))</f>
        <v/>
      </c>
      <c r="G200" s="13" t="str">
        <f>IF($A200="","",[1]!thsiFinD("ths_adjustment_nv_fund",G$3,$A200))</f>
        <v/>
      </c>
      <c r="H200" s="13" t="str">
        <f>IF($A200="","",[1]!thsiFinD("ths_adjustment_nv_fund",H$3,$A200))</f>
        <v/>
      </c>
      <c r="I200" s="13" t="str">
        <f>IF($A200="","",[1]!thsiFinD("ths_adjustment_nv_fund",I$3,$A200))</f>
        <v/>
      </c>
      <c r="J200" s="13" t="str">
        <f>IF($A200="","",[1]!thsiFinD("ths_adjustment_nv_fund",J$3,$A200))</f>
        <v/>
      </c>
      <c r="K200" s="13" t="str">
        <f>IF($A200="","",[1]!thsiFinD("ths_adjustment_nv_fund",K$3,$A200))</f>
        <v/>
      </c>
      <c r="L200" s="13" t="str">
        <f>IF($A200="","",[1]!thsiFinD("ths_adjustment_nv_fund",L$3,$A200))</f>
        <v/>
      </c>
      <c r="M200" s="13" t="str">
        <f>IF($A200="","",[1]!thsiFinD("ths_adjustment_nv_fund",M$3,$A200))</f>
        <v/>
      </c>
      <c r="N200" s="13" t="str">
        <f>IF($A200="","",[1]!thsiFinD("ths_adjustment_nv_fund",N$3,$A200))</f>
        <v/>
      </c>
      <c r="O200" s="13" t="str">
        <f>IF($A200="","",[1]!thsiFinD("ths_adjustment_nv_fund",O$3,$A200))</f>
        <v/>
      </c>
      <c r="P200" s="13" t="str">
        <f>IF($A200="","",[1]!thsiFinD("ths_adjustment_nv_fund",P$3,$A200))</f>
        <v/>
      </c>
      <c r="Q200" s="13" t="str">
        <f>IF($A200="","",[1]!thsiFinD("ths_adjustment_nv_fund",Q$3,$A200))</f>
        <v/>
      </c>
      <c r="R200" s="13" t="str">
        <f>IF($A200="","",[1]!thsiFinD("ths_adjustment_nv_fund",R$3,$A200))</f>
        <v/>
      </c>
      <c r="S200" s="13" t="str">
        <f>IF($A200="","",[1]!thsiFinD("ths_adjustment_nv_fund",S$3,$A200))</f>
        <v/>
      </c>
      <c r="T200" s="13" t="str">
        <f>IF($A200="","",[1]!thsiFinD("ths_adjustment_nv_fund",T$3,$A200))</f>
        <v/>
      </c>
      <c r="U200" s="13" t="str">
        <f>IF($A200="","",[1]!thsiFinD("ths_adjustment_nv_fund",U$3,$A200))</f>
        <v/>
      </c>
      <c r="V200" s="13" t="str">
        <f>IF($A200="","",[1]!thsiFinD("ths_adjustment_nv_fund",V$3,$A200))</f>
        <v/>
      </c>
      <c r="W200" s="13" t="str">
        <f>IF($A200="","",[1]!thsiFinD("ths_adjustment_nv_fund",W$3,$A200))</f>
        <v/>
      </c>
      <c r="X200" s="13" t="str">
        <f>IF($A200="","",[1]!thsiFinD("ths_adjustment_nv_fund",X$3,$A200))</f>
        <v/>
      </c>
      <c r="Y200" s="13" t="str">
        <f>IF($A200="","",[1]!thsiFinD("ths_adjustment_nv_fund",Y$3,$A200))</f>
        <v/>
      </c>
      <c r="Z200" s="13" t="str">
        <f>IF($A200="","",[1]!thsiFinD("ths_adjustment_nv_fund",Z$3,$A200))</f>
        <v/>
      </c>
      <c r="AA200" s="13" t="str">
        <f>IF($A200="","",[1]!thsiFinD("ths_adjustment_nv_fund",AA$3,$A200))</f>
        <v/>
      </c>
      <c r="AB200" s="13" t="str">
        <f>IF($A200="","",[1]!thsiFinD("ths_adjustment_nv_fund",AB$3,$A200))</f>
        <v/>
      </c>
    </row>
    <row r="201" spans="2:28">
      <c r="B201" s="13" t="str">
        <f>IF($A201="","",[1]!thsiFinD("ths_adjustment_nv_fund",B$3,$A201))</f>
        <v/>
      </c>
      <c r="C201" s="13" t="str">
        <f>IF($A201="","",[1]!thsiFinD("ths_adjustment_nv_fund",C$3,$A201))</f>
        <v/>
      </c>
      <c r="D201" s="13" t="str">
        <f>IF($A201="","",[1]!thsiFinD("ths_adjustment_nv_fund",D$3,$A201))</f>
        <v/>
      </c>
      <c r="E201" s="13" t="str">
        <f>IF($A201="","",[1]!thsiFinD("ths_adjustment_nv_fund",E$3,$A201))</f>
        <v/>
      </c>
      <c r="F201" s="13" t="str">
        <f>IF($A201="","",[1]!thsiFinD("ths_adjustment_nv_fund",F$3,$A201))</f>
        <v/>
      </c>
      <c r="G201" s="13" t="str">
        <f>IF($A201="","",[1]!thsiFinD("ths_adjustment_nv_fund",G$3,$A201))</f>
        <v/>
      </c>
      <c r="H201" s="13" t="str">
        <f>IF($A201="","",[1]!thsiFinD("ths_adjustment_nv_fund",H$3,$A201))</f>
        <v/>
      </c>
      <c r="I201" s="13" t="str">
        <f>IF($A201="","",[1]!thsiFinD("ths_adjustment_nv_fund",I$3,$A201))</f>
        <v/>
      </c>
      <c r="J201" s="13" t="str">
        <f>IF($A201="","",[1]!thsiFinD("ths_adjustment_nv_fund",J$3,$A201))</f>
        <v/>
      </c>
      <c r="K201" s="13" t="str">
        <f>IF($A201="","",[1]!thsiFinD("ths_adjustment_nv_fund",K$3,$A201))</f>
        <v/>
      </c>
      <c r="L201" s="13" t="str">
        <f>IF($A201="","",[1]!thsiFinD("ths_adjustment_nv_fund",L$3,$A201))</f>
        <v/>
      </c>
      <c r="M201" s="13" t="str">
        <f>IF($A201="","",[1]!thsiFinD("ths_adjustment_nv_fund",M$3,$A201))</f>
        <v/>
      </c>
      <c r="N201" s="13" t="str">
        <f>IF($A201="","",[1]!thsiFinD("ths_adjustment_nv_fund",N$3,$A201))</f>
        <v/>
      </c>
      <c r="O201" s="13" t="str">
        <f>IF($A201="","",[1]!thsiFinD("ths_adjustment_nv_fund",O$3,$A201))</f>
        <v/>
      </c>
      <c r="P201" s="13" t="str">
        <f>IF($A201="","",[1]!thsiFinD("ths_adjustment_nv_fund",P$3,$A201))</f>
        <v/>
      </c>
      <c r="Q201" s="13" t="str">
        <f>IF($A201="","",[1]!thsiFinD("ths_adjustment_nv_fund",Q$3,$A201))</f>
        <v/>
      </c>
      <c r="R201" s="13" t="str">
        <f>IF($A201="","",[1]!thsiFinD("ths_adjustment_nv_fund",R$3,$A201))</f>
        <v/>
      </c>
      <c r="S201" s="13" t="str">
        <f>IF($A201="","",[1]!thsiFinD("ths_adjustment_nv_fund",S$3,$A201))</f>
        <v/>
      </c>
      <c r="T201" s="13" t="str">
        <f>IF($A201="","",[1]!thsiFinD("ths_adjustment_nv_fund",T$3,$A201))</f>
        <v/>
      </c>
      <c r="U201" s="13" t="str">
        <f>IF($A201="","",[1]!thsiFinD("ths_adjustment_nv_fund",U$3,$A201))</f>
        <v/>
      </c>
      <c r="V201" s="13" t="str">
        <f>IF($A201="","",[1]!thsiFinD("ths_adjustment_nv_fund",V$3,$A201))</f>
        <v/>
      </c>
      <c r="W201" s="13" t="str">
        <f>IF($A201="","",[1]!thsiFinD("ths_adjustment_nv_fund",W$3,$A201))</f>
        <v/>
      </c>
      <c r="X201" s="13" t="str">
        <f>IF($A201="","",[1]!thsiFinD("ths_adjustment_nv_fund",X$3,$A201))</f>
        <v/>
      </c>
      <c r="Y201" s="13" t="str">
        <f>IF($A201="","",[1]!thsiFinD("ths_adjustment_nv_fund",Y$3,$A201))</f>
        <v/>
      </c>
      <c r="Z201" s="13" t="str">
        <f>IF($A201="","",[1]!thsiFinD("ths_adjustment_nv_fund",Z$3,$A201))</f>
        <v/>
      </c>
      <c r="AA201" s="13" t="str">
        <f>IF($A201="","",[1]!thsiFinD("ths_adjustment_nv_fund",AA$3,$A201))</f>
        <v/>
      </c>
      <c r="AB201" s="13" t="str">
        <f>IF($A201="","",[1]!thsiFinD("ths_adjustment_nv_fund",AB$3,$A201))</f>
        <v/>
      </c>
    </row>
    <row r="202" spans="2:28">
      <c r="B202" s="13" t="str">
        <f>IF($A202="","",[1]!thsiFinD("ths_adjustment_nv_fund",B$3,$A202))</f>
        <v/>
      </c>
      <c r="C202" s="13" t="str">
        <f>IF($A202="","",[1]!thsiFinD("ths_adjustment_nv_fund",C$3,$A202))</f>
        <v/>
      </c>
      <c r="D202" s="13" t="str">
        <f>IF($A202="","",[1]!thsiFinD("ths_adjustment_nv_fund",D$3,$A202))</f>
        <v/>
      </c>
      <c r="E202" s="13" t="str">
        <f>IF($A202="","",[1]!thsiFinD("ths_adjustment_nv_fund",E$3,$A202))</f>
        <v/>
      </c>
      <c r="F202" s="13" t="str">
        <f>IF($A202="","",[1]!thsiFinD("ths_adjustment_nv_fund",F$3,$A202))</f>
        <v/>
      </c>
      <c r="G202" s="13" t="str">
        <f>IF($A202="","",[1]!thsiFinD("ths_adjustment_nv_fund",G$3,$A202))</f>
        <v/>
      </c>
      <c r="H202" s="13" t="str">
        <f>IF($A202="","",[1]!thsiFinD("ths_adjustment_nv_fund",H$3,$A202))</f>
        <v/>
      </c>
      <c r="I202" s="13" t="str">
        <f>IF($A202="","",[1]!thsiFinD("ths_adjustment_nv_fund",I$3,$A202))</f>
        <v/>
      </c>
      <c r="J202" s="13" t="str">
        <f>IF($A202="","",[1]!thsiFinD("ths_adjustment_nv_fund",J$3,$A202))</f>
        <v/>
      </c>
      <c r="K202" s="13" t="str">
        <f>IF($A202="","",[1]!thsiFinD("ths_adjustment_nv_fund",K$3,$A202))</f>
        <v/>
      </c>
      <c r="L202" s="13" t="str">
        <f>IF($A202="","",[1]!thsiFinD("ths_adjustment_nv_fund",L$3,$A202))</f>
        <v/>
      </c>
      <c r="M202" s="13" t="str">
        <f>IF($A202="","",[1]!thsiFinD("ths_adjustment_nv_fund",M$3,$A202))</f>
        <v/>
      </c>
      <c r="N202" s="13" t="str">
        <f>IF($A202="","",[1]!thsiFinD("ths_adjustment_nv_fund",N$3,$A202))</f>
        <v/>
      </c>
      <c r="O202" s="13" t="str">
        <f>IF($A202="","",[1]!thsiFinD("ths_adjustment_nv_fund",O$3,$A202))</f>
        <v/>
      </c>
      <c r="P202" s="13" t="str">
        <f>IF($A202="","",[1]!thsiFinD("ths_adjustment_nv_fund",P$3,$A202))</f>
        <v/>
      </c>
      <c r="Q202" s="13" t="str">
        <f>IF($A202="","",[1]!thsiFinD("ths_adjustment_nv_fund",Q$3,$A202))</f>
        <v/>
      </c>
      <c r="R202" s="13" t="str">
        <f>IF($A202="","",[1]!thsiFinD("ths_adjustment_nv_fund",R$3,$A202))</f>
        <v/>
      </c>
      <c r="S202" s="13" t="str">
        <f>IF($A202="","",[1]!thsiFinD("ths_adjustment_nv_fund",S$3,$A202))</f>
        <v/>
      </c>
      <c r="T202" s="13" t="str">
        <f>IF($A202="","",[1]!thsiFinD("ths_adjustment_nv_fund",T$3,$A202))</f>
        <v/>
      </c>
      <c r="U202" s="13" t="str">
        <f>IF($A202="","",[1]!thsiFinD("ths_adjustment_nv_fund",U$3,$A202))</f>
        <v/>
      </c>
      <c r="V202" s="13" t="str">
        <f>IF($A202="","",[1]!thsiFinD("ths_adjustment_nv_fund",V$3,$A202))</f>
        <v/>
      </c>
      <c r="W202" s="13" t="str">
        <f>IF($A202="","",[1]!thsiFinD("ths_adjustment_nv_fund",W$3,$A202))</f>
        <v/>
      </c>
      <c r="X202" s="13" t="str">
        <f>IF($A202="","",[1]!thsiFinD("ths_adjustment_nv_fund",X$3,$A202))</f>
        <v/>
      </c>
      <c r="Y202" s="13" t="str">
        <f>IF($A202="","",[1]!thsiFinD("ths_adjustment_nv_fund",Y$3,$A202))</f>
        <v/>
      </c>
      <c r="Z202" s="13" t="str">
        <f>IF($A202="","",[1]!thsiFinD("ths_adjustment_nv_fund",Z$3,$A202))</f>
        <v/>
      </c>
      <c r="AA202" s="13" t="str">
        <f>IF($A202="","",[1]!thsiFinD("ths_adjustment_nv_fund",AA$3,$A202))</f>
        <v/>
      </c>
      <c r="AB202" s="13" t="str">
        <f>IF($A202="","",[1]!thsiFinD("ths_adjustment_nv_fund",AB$3,$A202))</f>
        <v/>
      </c>
    </row>
    <row r="203" spans="2:28">
      <c r="B203" s="13" t="str">
        <f>IF($A203="","",[1]!thsiFinD("ths_adjustment_nv_fund",B$3,$A203))</f>
        <v/>
      </c>
      <c r="C203" s="13" t="str">
        <f>IF($A203="","",[1]!thsiFinD("ths_adjustment_nv_fund",C$3,$A203))</f>
        <v/>
      </c>
      <c r="D203" s="13" t="str">
        <f>IF($A203="","",[1]!thsiFinD("ths_adjustment_nv_fund",D$3,$A203))</f>
        <v/>
      </c>
      <c r="E203" s="13" t="str">
        <f>IF($A203="","",[1]!thsiFinD("ths_adjustment_nv_fund",E$3,$A203))</f>
        <v/>
      </c>
      <c r="F203" s="13" t="str">
        <f>IF($A203="","",[1]!thsiFinD("ths_adjustment_nv_fund",F$3,$A203))</f>
        <v/>
      </c>
      <c r="G203" s="13" t="str">
        <f>IF($A203="","",[1]!thsiFinD("ths_adjustment_nv_fund",G$3,$A203))</f>
        <v/>
      </c>
      <c r="H203" s="13" t="str">
        <f>IF($A203="","",[1]!thsiFinD("ths_adjustment_nv_fund",H$3,$A203))</f>
        <v/>
      </c>
      <c r="I203" s="13" t="str">
        <f>IF($A203="","",[1]!thsiFinD("ths_adjustment_nv_fund",I$3,$A203))</f>
        <v/>
      </c>
      <c r="J203" s="13" t="str">
        <f>IF($A203="","",[1]!thsiFinD("ths_adjustment_nv_fund",J$3,$A203))</f>
        <v/>
      </c>
      <c r="K203" s="13" t="str">
        <f>IF($A203="","",[1]!thsiFinD("ths_adjustment_nv_fund",K$3,$A203))</f>
        <v/>
      </c>
      <c r="L203" s="13" t="str">
        <f>IF($A203="","",[1]!thsiFinD("ths_adjustment_nv_fund",L$3,$A203))</f>
        <v/>
      </c>
      <c r="M203" s="13" t="str">
        <f>IF($A203="","",[1]!thsiFinD("ths_adjustment_nv_fund",M$3,$A203))</f>
        <v/>
      </c>
      <c r="N203" s="13" t="str">
        <f>IF($A203="","",[1]!thsiFinD("ths_adjustment_nv_fund",N$3,$A203))</f>
        <v/>
      </c>
      <c r="O203" s="13" t="str">
        <f>IF($A203="","",[1]!thsiFinD("ths_adjustment_nv_fund",O$3,$A203))</f>
        <v/>
      </c>
      <c r="P203" s="13" t="str">
        <f>IF($A203="","",[1]!thsiFinD("ths_adjustment_nv_fund",P$3,$A203))</f>
        <v/>
      </c>
      <c r="Q203" s="13" t="str">
        <f>IF($A203="","",[1]!thsiFinD("ths_adjustment_nv_fund",Q$3,$A203))</f>
        <v/>
      </c>
      <c r="R203" s="13" t="str">
        <f>IF($A203="","",[1]!thsiFinD("ths_adjustment_nv_fund",R$3,$A203))</f>
        <v/>
      </c>
      <c r="S203" s="13" t="str">
        <f>IF($A203="","",[1]!thsiFinD("ths_adjustment_nv_fund",S$3,$A203))</f>
        <v/>
      </c>
      <c r="T203" s="13" t="str">
        <f>IF($A203="","",[1]!thsiFinD("ths_adjustment_nv_fund",T$3,$A203))</f>
        <v/>
      </c>
      <c r="U203" s="13" t="str">
        <f>IF($A203="","",[1]!thsiFinD("ths_adjustment_nv_fund",U$3,$A203))</f>
        <v/>
      </c>
      <c r="V203" s="13" t="str">
        <f>IF($A203="","",[1]!thsiFinD("ths_adjustment_nv_fund",V$3,$A203))</f>
        <v/>
      </c>
      <c r="W203" s="13" t="str">
        <f>IF($A203="","",[1]!thsiFinD("ths_adjustment_nv_fund",W$3,$A203))</f>
        <v/>
      </c>
      <c r="X203" s="13" t="str">
        <f>IF($A203="","",[1]!thsiFinD("ths_adjustment_nv_fund",X$3,$A203))</f>
        <v/>
      </c>
      <c r="Y203" s="13" t="str">
        <f>IF($A203="","",[1]!thsiFinD("ths_adjustment_nv_fund",Y$3,$A203))</f>
        <v/>
      </c>
      <c r="Z203" s="13" t="str">
        <f>IF($A203="","",[1]!thsiFinD("ths_adjustment_nv_fund",Z$3,$A203))</f>
        <v/>
      </c>
      <c r="AA203" s="13" t="str">
        <f>IF($A203="","",[1]!thsiFinD("ths_adjustment_nv_fund",AA$3,$A203))</f>
        <v/>
      </c>
      <c r="AB203" s="13" t="str">
        <f>IF($A203="","",[1]!thsiFinD("ths_adjustment_nv_fund",AB$3,$A203))</f>
        <v/>
      </c>
    </row>
    <row r="204" spans="2:28">
      <c r="B204" s="13" t="str">
        <f>IF($A204="","",[1]!thsiFinD("ths_adjustment_nv_fund",B$3,$A204))</f>
        <v/>
      </c>
      <c r="C204" s="13" t="str">
        <f>IF($A204="","",[1]!thsiFinD("ths_adjustment_nv_fund",C$3,$A204))</f>
        <v/>
      </c>
      <c r="D204" s="13" t="str">
        <f>IF($A204="","",[1]!thsiFinD("ths_adjustment_nv_fund",D$3,$A204))</f>
        <v/>
      </c>
      <c r="E204" s="13" t="str">
        <f>IF($A204="","",[1]!thsiFinD("ths_adjustment_nv_fund",E$3,$A204))</f>
        <v/>
      </c>
      <c r="F204" s="13" t="str">
        <f>IF($A204="","",[1]!thsiFinD("ths_adjustment_nv_fund",F$3,$A204))</f>
        <v/>
      </c>
      <c r="G204" s="13" t="str">
        <f>IF($A204="","",[1]!thsiFinD("ths_adjustment_nv_fund",G$3,$A204))</f>
        <v/>
      </c>
      <c r="H204" s="13" t="str">
        <f>IF($A204="","",[1]!thsiFinD("ths_adjustment_nv_fund",H$3,$A204))</f>
        <v/>
      </c>
      <c r="I204" s="13" t="str">
        <f>IF($A204="","",[1]!thsiFinD("ths_adjustment_nv_fund",I$3,$A204))</f>
        <v/>
      </c>
      <c r="J204" s="13" t="str">
        <f>IF($A204="","",[1]!thsiFinD("ths_adjustment_nv_fund",J$3,$A204))</f>
        <v/>
      </c>
      <c r="K204" s="13" t="str">
        <f>IF($A204="","",[1]!thsiFinD("ths_adjustment_nv_fund",K$3,$A204))</f>
        <v/>
      </c>
      <c r="L204" s="13" t="str">
        <f>IF($A204="","",[1]!thsiFinD("ths_adjustment_nv_fund",L$3,$A204))</f>
        <v/>
      </c>
      <c r="M204" s="13" t="str">
        <f>IF($A204="","",[1]!thsiFinD("ths_adjustment_nv_fund",M$3,$A204))</f>
        <v/>
      </c>
      <c r="N204" s="13" t="str">
        <f>IF($A204="","",[1]!thsiFinD("ths_adjustment_nv_fund",N$3,$A204))</f>
        <v/>
      </c>
      <c r="O204" s="13" t="str">
        <f>IF($A204="","",[1]!thsiFinD("ths_adjustment_nv_fund",O$3,$A204))</f>
        <v/>
      </c>
      <c r="P204" s="13" t="str">
        <f>IF($A204="","",[1]!thsiFinD("ths_adjustment_nv_fund",P$3,$A204))</f>
        <v/>
      </c>
      <c r="Q204" s="13" t="str">
        <f>IF($A204="","",[1]!thsiFinD("ths_adjustment_nv_fund",Q$3,$A204))</f>
        <v/>
      </c>
      <c r="R204" s="13" t="str">
        <f>IF($A204="","",[1]!thsiFinD("ths_adjustment_nv_fund",R$3,$A204))</f>
        <v/>
      </c>
      <c r="S204" s="13" t="str">
        <f>IF($A204="","",[1]!thsiFinD("ths_adjustment_nv_fund",S$3,$A204))</f>
        <v/>
      </c>
      <c r="T204" s="13" t="str">
        <f>IF($A204="","",[1]!thsiFinD("ths_adjustment_nv_fund",T$3,$A204))</f>
        <v/>
      </c>
      <c r="U204" s="13" t="str">
        <f>IF($A204="","",[1]!thsiFinD("ths_adjustment_nv_fund",U$3,$A204))</f>
        <v/>
      </c>
      <c r="V204" s="13" t="str">
        <f>IF($A204="","",[1]!thsiFinD("ths_adjustment_nv_fund",V$3,$A204))</f>
        <v/>
      </c>
      <c r="W204" s="13" t="str">
        <f>IF($A204="","",[1]!thsiFinD("ths_adjustment_nv_fund",W$3,$A204))</f>
        <v/>
      </c>
      <c r="X204" s="13" t="str">
        <f>IF($A204="","",[1]!thsiFinD("ths_adjustment_nv_fund",X$3,$A204))</f>
        <v/>
      </c>
      <c r="Y204" s="13" t="str">
        <f>IF($A204="","",[1]!thsiFinD("ths_adjustment_nv_fund",Y$3,$A204))</f>
        <v/>
      </c>
      <c r="Z204" s="13" t="str">
        <f>IF($A204="","",[1]!thsiFinD("ths_adjustment_nv_fund",Z$3,$A204))</f>
        <v/>
      </c>
      <c r="AA204" s="13" t="str">
        <f>IF($A204="","",[1]!thsiFinD("ths_adjustment_nv_fund",AA$3,$A204))</f>
        <v/>
      </c>
      <c r="AB204" s="13" t="str">
        <f>IF($A204="","",[1]!thsiFinD("ths_adjustment_nv_fund",AB$3,$A204))</f>
        <v/>
      </c>
    </row>
    <row r="205" spans="2:28">
      <c r="B205" s="13" t="str">
        <f>IF($A205="","",[1]!thsiFinD("ths_adjustment_nv_fund",B$3,$A205))</f>
        <v/>
      </c>
      <c r="C205" s="13" t="str">
        <f>IF($A205="","",[1]!thsiFinD("ths_adjustment_nv_fund",C$3,$A205))</f>
        <v/>
      </c>
      <c r="D205" s="13" t="str">
        <f>IF($A205="","",[1]!thsiFinD("ths_adjustment_nv_fund",D$3,$A205))</f>
        <v/>
      </c>
      <c r="E205" s="13" t="str">
        <f>IF($A205="","",[1]!thsiFinD("ths_adjustment_nv_fund",E$3,$A205))</f>
        <v/>
      </c>
      <c r="F205" s="13" t="str">
        <f>IF($A205="","",[1]!thsiFinD("ths_adjustment_nv_fund",F$3,$A205))</f>
        <v/>
      </c>
      <c r="G205" s="13" t="str">
        <f>IF($A205="","",[1]!thsiFinD("ths_adjustment_nv_fund",G$3,$A205))</f>
        <v/>
      </c>
      <c r="H205" s="13" t="str">
        <f>IF($A205="","",[1]!thsiFinD("ths_adjustment_nv_fund",H$3,$A205))</f>
        <v/>
      </c>
      <c r="I205" s="13" t="str">
        <f>IF($A205="","",[1]!thsiFinD("ths_adjustment_nv_fund",I$3,$A205))</f>
        <v/>
      </c>
      <c r="J205" s="13" t="str">
        <f>IF($A205="","",[1]!thsiFinD("ths_adjustment_nv_fund",J$3,$A205))</f>
        <v/>
      </c>
      <c r="K205" s="13" t="str">
        <f>IF($A205="","",[1]!thsiFinD("ths_adjustment_nv_fund",K$3,$A205))</f>
        <v/>
      </c>
      <c r="L205" s="13" t="str">
        <f>IF($A205="","",[1]!thsiFinD("ths_adjustment_nv_fund",L$3,$A205))</f>
        <v/>
      </c>
      <c r="M205" s="13" t="str">
        <f>IF($A205="","",[1]!thsiFinD("ths_adjustment_nv_fund",M$3,$A205))</f>
        <v/>
      </c>
      <c r="N205" s="13" t="str">
        <f>IF($A205="","",[1]!thsiFinD("ths_adjustment_nv_fund",N$3,$A205))</f>
        <v/>
      </c>
      <c r="O205" s="13" t="str">
        <f>IF($A205="","",[1]!thsiFinD("ths_adjustment_nv_fund",O$3,$A205))</f>
        <v/>
      </c>
      <c r="P205" s="13" t="str">
        <f>IF($A205="","",[1]!thsiFinD("ths_adjustment_nv_fund",P$3,$A205))</f>
        <v/>
      </c>
      <c r="Q205" s="13" t="str">
        <f>IF($A205="","",[1]!thsiFinD("ths_adjustment_nv_fund",Q$3,$A205))</f>
        <v/>
      </c>
      <c r="R205" s="13" t="str">
        <f>IF($A205="","",[1]!thsiFinD("ths_adjustment_nv_fund",R$3,$A205))</f>
        <v/>
      </c>
      <c r="S205" s="13" t="str">
        <f>IF($A205="","",[1]!thsiFinD("ths_adjustment_nv_fund",S$3,$A205))</f>
        <v/>
      </c>
      <c r="T205" s="13" t="str">
        <f>IF($A205="","",[1]!thsiFinD("ths_adjustment_nv_fund",T$3,$A205))</f>
        <v/>
      </c>
      <c r="U205" s="13" t="str">
        <f>IF($A205="","",[1]!thsiFinD("ths_adjustment_nv_fund",U$3,$A205))</f>
        <v/>
      </c>
      <c r="V205" s="13" t="str">
        <f>IF($A205="","",[1]!thsiFinD("ths_adjustment_nv_fund",V$3,$A205))</f>
        <v/>
      </c>
      <c r="W205" s="13" t="str">
        <f>IF($A205="","",[1]!thsiFinD("ths_adjustment_nv_fund",W$3,$A205))</f>
        <v/>
      </c>
      <c r="X205" s="13" t="str">
        <f>IF($A205="","",[1]!thsiFinD("ths_adjustment_nv_fund",X$3,$A205))</f>
        <v/>
      </c>
      <c r="Y205" s="13" t="str">
        <f>IF($A205="","",[1]!thsiFinD("ths_adjustment_nv_fund",Y$3,$A205))</f>
        <v/>
      </c>
      <c r="Z205" s="13" t="str">
        <f>IF($A205="","",[1]!thsiFinD("ths_adjustment_nv_fund",Z$3,$A205))</f>
        <v/>
      </c>
      <c r="AA205" s="13" t="str">
        <f>IF($A205="","",[1]!thsiFinD("ths_adjustment_nv_fund",AA$3,$A205))</f>
        <v/>
      </c>
      <c r="AB205" s="13" t="str">
        <f>IF($A205="","",[1]!thsiFinD("ths_adjustment_nv_fund",AB$3,$A205))</f>
        <v/>
      </c>
    </row>
    <row r="206" spans="2:28">
      <c r="B206" s="13" t="str">
        <f>IF($A206="","",[1]!thsiFinD("ths_adjustment_nv_fund",B$3,$A206))</f>
        <v/>
      </c>
      <c r="C206" s="13" t="str">
        <f>IF($A206="","",[1]!thsiFinD("ths_adjustment_nv_fund",C$3,$A206))</f>
        <v/>
      </c>
      <c r="D206" s="13" t="str">
        <f>IF($A206="","",[1]!thsiFinD("ths_adjustment_nv_fund",D$3,$A206))</f>
        <v/>
      </c>
      <c r="E206" s="13" t="str">
        <f>IF($A206="","",[1]!thsiFinD("ths_adjustment_nv_fund",E$3,$A206))</f>
        <v/>
      </c>
      <c r="F206" s="13" t="str">
        <f>IF($A206="","",[1]!thsiFinD("ths_adjustment_nv_fund",F$3,$A206))</f>
        <v/>
      </c>
      <c r="G206" s="13" t="str">
        <f>IF($A206="","",[1]!thsiFinD("ths_adjustment_nv_fund",G$3,$A206))</f>
        <v/>
      </c>
      <c r="H206" s="13" t="str">
        <f>IF($A206="","",[1]!thsiFinD("ths_adjustment_nv_fund",H$3,$A206))</f>
        <v/>
      </c>
      <c r="I206" s="13" t="str">
        <f>IF($A206="","",[1]!thsiFinD("ths_adjustment_nv_fund",I$3,$A206))</f>
        <v/>
      </c>
      <c r="J206" s="13" t="str">
        <f>IF($A206="","",[1]!thsiFinD("ths_adjustment_nv_fund",J$3,$A206))</f>
        <v/>
      </c>
      <c r="K206" s="13" t="str">
        <f>IF($A206="","",[1]!thsiFinD("ths_adjustment_nv_fund",K$3,$A206))</f>
        <v/>
      </c>
      <c r="L206" s="13" t="str">
        <f>IF($A206="","",[1]!thsiFinD("ths_adjustment_nv_fund",L$3,$A206))</f>
        <v/>
      </c>
      <c r="M206" s="13" t="str">
        <f>IF($A206="","",[1]!thsiFinD("ths_adjustment_nv_fund",M$3,$A206))</f>
        <v/>
      </c>
      <c r="N206" s="13" t="str">
        <f>IF($A206="","",[1]!thsiFinD("ths_adjustment_nv_fund",N$3,$A206))</f>
        <v/>
      </c>
      <c r="O206" s="13" t="str">
        <f>IF($A206="","",[1]!thsiFinD("ths_adjustment_nv_fund",O$3,$A206))</f>
        <v/>
      </c>
      <c r="P206" s="13" t="str">
        <f>IF($A206="","",[1]!thsiFinD("ths_adjustment_nv_fund",P$3,$A206))</f>
        <v/>
      </c>
      <c r="Q206" s="13" t="str">
        <f>IF($A206="","",[1]!thsiFinD("ths_adjustment_nv_fund",Q$3,$A206))</f>
        <v/>
      </c>
      <c r="R206" s="13" t="str">
        <f>IF($A206="","",[1]!thsiFinD("ths_adjustment_nv_fund",R$3,$A206))</f>
        <v/>
      </c>
      <c r="S206" s="13" t="str">
        <f>IF($A206="","",[1]!thsiFinD("ths_adjustment_nv_fund",S$3,$A206))</f>
        <v/>
      </c>
      <c r="T206" s="13" t="str">
        <f>IF($A206="","",[1]!thsiFinD("ths_adjustment_nv_fund",T$3,$A206))</f>
        <v/>
      </c>
      <c r="U206" s="13" t="str">
        <f>IF($A206="","",[1]!thsiFinD("ths_adjustment_nv_fund",U$3,$A206))</f>
        <v/>
      </c>
      <c r="V206" s="13" t="str">
        <f>IF($A206="","",[1]!thsiFinD("ths_adjustment_nv_fund",V$3,$A206))</f>
        <v/>
      </c>
      <c r="W206" s="13" t="str">
        <f>IF($A206="","",[1]!thsiFinD("ths_adjustment_nv_fund",W$3,$A206))</f>
        <v/>
      </c>
      <c r="X206" s="13" t="str">
        <f>IF($A206="","",[1]!thsiFinD("ths_adjustment_nv_fund",X$3,$A206))</f>
        <v/>
      </c>
      <c r="Y206" s="13" t="str">
        <f>IF($A206="","",[1]!thsiFinD("ths_adjustment_nv_fund",Y$3,$A206))</f>
        <v/>
      </c>
      <c r="Z206" s="13" t="str">
        <f>IF($A206="","",[1]!thsiFinD("ths_adjustment_nv_fund",Z$3,$A206))</f>
        <v/>
      </c>
      <c r="AA206" s="13" t="str">
        <f>IF($A206="","",[1]!thsiFinD("ths_adjustment_nv_fund",AA$3,$A206))</f>
        <v/>
      </c>
      <c r="AB206" s="13" t="str">
        <f>IF($A206="","",[1]!thsiFinD("ths_adjustment_nv_fund",AB$3,$A206))</f>
        <v/>
      </c>
    </row>
    <row r="207" spans="2:28">
      <c r="B207" s="13" t="str">
        <f>IF($A207="","",[1]!thsiFinD("ths_adjustment_nv_fund",B$3,$A207))</f>
        <v/>
      </c>
      <c r="C207" s="13" t="str">
        <f>IF($A207="","",[1]!thsiFinD("ths_adjustment_nv_fund",C$3,$A207))</f>
        <v/>
      </c>
      <c r="D207" s="13" t="str">
        <f>IF($A207="","",[1]!thsiFinD("ths_adjustment_nv_fund",D$3,$A207))</f>
        <v/>
      </c>
      <c r="E207" s="13" t="str">
        <f>IF($A207="","",[1]!thsiFinD("ths_adjustment_nv_fund",E$3,$A207))</f>
        <v/>
      </c>
      <c r="F207" s="13" t="str">
        <f>IF($A207="","",[1]!thsiFinD("ths_adjustment_nv_fund",F$3,$A207))</f>
        <v/>
      </c>
      <c r="G207" s="13" t="str">
        <f>IF($A207="","",[1]!thsiFinD("ths_adjustment_nv_fund",G$3,$A207))</f>
        <v/>
      </c>
      <c r="H207" s="13" t="str">
        <f>IF($A207="","",[1]!thsiFinD("ths_adjustment_nv_fund",H$3,$A207))</f>
        <v/>
      </c>
      <c r="I207" s="13" t="str">
        <f>IF($A207="","",[1]!thsiFinD("ths_adjustment_nv_fund",I$3,$A207))</f>
        <v/>
      </c>
      <c r="J207" s="13" t="str">
        <f>IF($A207="","",[1]!thsiFinD("ths_adjustment_nv_fund",J$3,$A207))</f>
        <v/>
      </c>
      <c r="K207" s="13" t="str">
        <f>IF($A207="","",[1]!thsiFinD("ths_adjustment_nv_fund",K$3,$A207))</f>
        <v/>
      </c>
      <c r="L207" s="13" t="str">
        <f>IF($A207="","",[1]!thsiFinD("ths_adjustment_nv_fund",L$3,$A207))</f>
        <v/>
      </c>
      <c r="M207" s="13" t="str">
        <f>IF($A207="","",[1]!thsiFinD("ths_adjustment_nv_fund",M$3,$A207))</f>
        <v/>
      </c>
      <c r="N207" s="13" t="str">
        <f>IF($A207="","",[1]!thsiFinD("ths_adjustment_nv_fund",N$3,$A207))</f>
        <v/>
      </c>
      <c r="O207" s="13" t="str">
        <f>IF($A207="","",[1]!thsiFinD("ths_adjustment_nv_fund",O$3,$A207))</f>
        <v/>
      </c>
      <c r="P207" s="13" t="str">
        <f>IF($A207="","",[1]!thsiFinD("ths_adjustment_nv_fund",P$3,$A207))</f>
        <v/>
      </c>
      <c r="Q207" s="13" t="str">
        <f>IF($A207="","",[1]!thsiFinD("ths_adjustment_nv_fund",Q$3,$A207))</f>
        <v/>
      </c>
      <c r="R207" s="13" t="str">
        <f>IF($A207="","",[1]!thsiFinD("ths_adjustment_nv_fund",R$3,$A207))</f>
        <v/>
      </c>
      <c r="S207" s="13" t="str">
        <f>IF($A207="","",[1]!thsiFinD("ths_adjustment_nv_fund",S$3,$A207))</f>
        <v/>
      </c>
      <c r="T207" s="13" t="str">
        <f>IF($A207="","",[1]!thsiFinD("ths_adjustment_nv_fund",T$3,$A207))</f>
        <v/>
      </c>
      <c r="U207" s="13" t="str">
        <f>IF($A207="","",[1]!thsiFinD("ths_adjustment_nv_fund",U$3,$A207))</f>
        <v/>
      </c>
      <c r="V207" s="13" t="str">
        <f>IF($A207="","",[1]!thsiFinD("ths_adjustment_nv_fund",V$3,$A207))</f>
        <v/>
      </c>
      <c r="W207" s="13" t="str">
        <f>IF($A207="","",[1]!thsiFinD("ths_adjustment_nv_fund",W$3,$A207))</f>
        <v/>
      </c>
      <c r="X207" s="13" t="str">
        <f>IF($A207="","",[1]!thsiFinD("ths_adjustment_nv_fund",X$3,$A207))</f>
        <v/>
      </c>
      <c r="Y207" s="13" t="str">
        <f>IF($A207="","",[1]!thsiFinD("ths_adjustment_nv_fund",Y$3,$A207))</f>
        <v/>
      </c>
      <c r="Z207" s="13" t="str">
        <f>IF($A207="","",[1]!thsiFinD("ths_adjustment_nv_fund",Z$3,$A207))</f>
        <v/>
      </c>
      <c r="AA207" s="13" t="str">
        <f>IF($A207="","",[1]!thsiFinD("ths_adjustment_nv_fund",AA$3,$A207))</f>
        <v/>
      </c>
      <c r="AB207" s="13" t="str">
        <f>IF($A207="","",[1]!thsiFinD("ths_adjustment_nv_fund",AB$3,$A207))</f>
        <v/>
      </c>
    </row>
    <row r="208" spans="2:28">
      <c r="B208" s="13" t="str">
        <f>IF($A208="","",[1]!thsiFinD("ths_adjustment_nv_fund",B$3,$A208))</f>
        <v/>
      </c>
      <c r="C208" s="13" t="str">
        <f>IF($A208="","",[1]!thsiFinD("ths_adjustment_nv_fund",C$3,$A208))</f>
        <v/>
      </c>
      <c r="D208" s="13" t="str">
        <f>IF($A208="","",[1]!thsiFinD("ths_adjustment_nv_fund",D$3,$A208))</f>
        <v/>
      </c>
      <c r="E208" s="13" t="str">
        <f>IF($A208="","",[1]!thsiFinD("ths_adjustment_nv_fund",E$3,$A208))</f>
        <v/>
      </c>
      <c r="F208" s="13" t="str">
        <f>IF($A208="","",[1]!thsiFinD("ths_adjustment_nv_fund",F$3,$A208))</f>
        <v/>
      </c>
      <c r="G208" s="13" t="str">
        <f>IF($A208="","",[1]!thsiFinD("ths_adjustment_nv_fund",G$3,$A208))</f>
        <v/>
      </c>
      <c r="H208" s="13" t="str">
        <f>IF($A208="","",[1]!thsiFinD("ths_adjustment_nv_fund",H$3,$A208))</f>
        <v/>
      </c>
      <c r="I208" s="13" t="str">
        <f>IF($A208="","",[1]!thsiFinD("ths_adjustment_nv_fund",I$3,$A208))</f>
        <v/>
      </c>
      <c r="J208" s="13" t="str">
        <f>IF($A208="","",[1]!thsiFinD("ths_adjustment_nv_fund",J$3,$A208))</f>
        <v/>
      </c>
      <c r="K208" s="13" t="str">
        <f>IF($A208="","",[1]!thsiFinD("ths_adjustment_nv_fund",K$3,$A208))</f>
        <v/>
      </c>
      <c r="L208" s="13" t="str">
        <f>IF($A208="","",[1]!thsiFinD("ths_adjustment_nv_fund",L$3,$A208))</f>
        <v/>
      </c>
      <c r="M208" s="13" t="str">
        <f>IF($A208="","",[1]!thsiFinD("ths_adjustment_nv_fund",M$3,$A208))</f>
        <v/>
      </c>
      <c r="N208" s="13" t="str">
        <f>IF($A208="","",[1]!thsiFinD("ths_adjustment_nv_fund",N$3,$A208))</f>
        <v/>
      </c>
      <c r="O208" s="13" t="str">
        <f>IF($A208="","",[1]!thsiFinD("ths_adjustment_nv_fund",O$3,$A208))</f>
        <v/>
      </c>
      <c r="P208" s="13" t="str">
        <f>IF($A208="","",[1]!thsiFinD("ths_adjustment_nv_fund",P$3,$A208))</f>
        <v/>
      </c>
      <c r="Q208" s="13" t="str">
        <f>IF($A208="","",[1]!thsiFinD("ths_adjustment_nv_fund",Q$3,$A208))</f>
        <v/>
      </c>
      <c r="R208" s="13" t="str">
        <f>IF($A208="","",[1]!thsiFinD("ths_adjustment_nv_fund",R$3,$A208))</f>
        <v/>
      </c>
      <c r="S208" s="13" t="str">
        <f>IF($A208="","",[1]!thsiFinD("ths_adjustment_nv_fund",S$3,$A208))</f>
        <v/>
      </c>
      <c r="T208" s="13" t="str">
        <f>IF($A208="","",[1]!thsiFinD("ths_adjustment_nv_fund",T$3,$A208))</f>
        <v/>
      </c>
      <c r="U208" s="13" t="str">
        <f>IF($A208="","",[1]!thsiFinD("ths_adjustment_nv_fund",U$3,$A208))</f>
        <v/>
      </c>
      <c r="V208" s="13" t="str">
        <f>IF($A208="","",[1]!thsiFinD("ths_adjustment_nv_fund",V$3,$A208))</f>
        <v/>
      </c>
      <c r="W208" s="13" t="str">
        <f>IF($A208="","",[1]!thsiFinD("ths_adjustment_nv_fund",W$3,$A208))</f>
        <v/>
      </c>
      <c r="X208" s="13" t="str">
        <f>IF($A208="","",[1]!thsiFinD("ths_adjustment_nv_fund",X$3,$A208))</f>
        <v/>
      </c>
      <c r="Y208" s="13" t="str">
        <f>IF($A208="","",[1]!thsiFinD("ths_adjustment_nv_fund",Y$3,$A208))</f>
        <v/>
      </c>
      <c r="Z208" s="13" t="str">
        <f>IF($A208="","",[1]!thsiFinD("ths_adjustment_nv_fund",Z$3,$A208))</f>
        <v/>
      </c>
      <c r="AA208" s="13" t="str">
        <f>IF($A208="","",[1]!thsiFinD("ths_adjustment_nv_fund",AA$3,$A208))</f>
        <v/>
      </c>
      <c r="AB208" s="13" t="str">
        <f>IF($A208="","",[1]!thsiFinD("ths_adjustment_nv_fund",AB$3,$A208))</f>
        <v/>
      </c>
    </row>
    <row r="209" spans="2:28">
      <c r="B209" s="13" t="str">
        <f>IF($A209="","",[1]!thsiFinD("ths_adjustment_nv_fund",B$3,$A209))</f>
        <v/>
      </c>
      <c r="C209" s="13" t="str">
        <f>IF($A209="","",[1]!thsiFinD("ths_adjustment_nv_fund",C$3,$A209))</f>
        <v/>
      </c>
      <c r="D209" s="13" t="str">
        <f>IF($A209="","",[1]!thsiFinD("ths_adjustment_nv_fund",D$3,$A209))</f>
        <v/>
      </c>
      <c r="E209" s="13" t="str">
        <f>IF($A209="","",[1]!thsiFinD("ths_adjustment_nv_fund",E$3,$A209))</f>
        <v/>
      </c>
      <c r="F209" s="13" t="str">
        <f>IF($A209="","",[1]!thsiFinD("ths_adjustment_nv_fund",F$3,$A209))</f>
        <v/>
      </c>
      <c r="G209" s="13" t="str">
        <f>IF($A209="","",[1]!thsiFinD("ths_adjustment_nv_fund",G$3,$A209))</f>
        <v/>
      </c>
      <c r="H209" s="13" t="str">
        <f>IF($A209="","",[1]!thsiFinD("ths_adjustment_nv_fund",H$3,$A209))</f>
        <v/>
      </c>
      <c r="I209" s="13" t="str">
        <f>IF($A209="","",[1]!thsiFinD("ths_adjustment_nv_fund",I$3,$A209))</f>
        <v/>
      </c>
      <c r="J209" s="13" t="str">
        <f>IF($A209="","",[1]!thsiFinD("ths_adjustment_nv_fund",J$3,$A209))</f>
        <v/>
      </c>
      <c r="K209" s="13" t="str">
        <f>IF($A209="","",[1]!thsiFinD("ths_adjustment_nv_fund",K$3,$A209))</f>
        <v/>
      </c>
      <c r="L209" s="13" t="str">
        <f>IF($A209="","",[1]!thsiFinD("ths_adjustment_nv_fund",L$3,$A209))</f>
        <v/>
      </c>
      <c r="M209" s="13" t="str">
        <f>IF($A209="","",[1]!thsiFinD("ths_adjustment_nv_fund",M$3,$A209))</f>
        <v/>
      </c>
      <c r="N209" s="13" t="str">
        <f>IF($A209="","",[1]!thsiFinD("ths_adjustment_nv_fund",N$3,$A209))</f>
        <v/>
      </c>
      <c r="O209" s="13" t="str">
        <f>IF($A209="","",[1]!thsiFinD("ths_adjustment_nv_fund",O$3,$A209))</f>
        <v/>
      </c>
      <c r="P209" s="13" t="str">
        <f>IF($A209="","",[1]!thsiFinD("ths_adjustment_nv_fund",P$3,$A209))</f>
        <v/>
      </c>
      <c r="Q209" s="13" t="str">
        <f>IF($A209="","",[1]!thsiFinD("ths_adjustment_nv_fund",Q$3,$A209))</f>
        <v/>
      </c>
      <c r="R209" s="13" t="str">
        <f>IF($A209="","",[1]!thsiFinD("ths_adjustment_nv_fund",R$3,$A209))</f>
        <v/>
      </c>
      <c r="S209" s="13" t="str">
        <f>IF($A209="","",[1]!thsiFinD("ths_adjustment_nv_fund",S$3,$A209))</f>
        <v/>
      </c>
      <c r="T209" s="13" t="str">
        <f>IF($A209="","",[1]!thsiFinD("ths_adjustment_nv_fund",T$3,$A209))</f>
        <v/>
      </c>
      <c r="U209" s="13" t="str">
        <f>IF($A209="","",[1]!thsiFinD("ths_adjustment_nv_fund",U$3,$A209))</f>
        <v/>
      </c>
      <c r="V209" s="13" t="str">
        <f>IF($A209="","",[1]!thsiFinD("ths_adjustment_nv_fund",V$3,$A209))</f>
        <v/>
      </c>
      <c r="W209" s="13" t="str">
        <f>IF($A209="","",[1]!thsiFinD("ths_adjustment_nv_fund",W$3,$A209))</f>
        <v/>
      </c>
      <c r="X209" s="13" t="str">
        <f>IF($A209="","",[1]!thsiFinD("ths_adjustment_nv_fund",X$3,$A209))</f>
        <v/>
      </c>
      <c r="Y209" s="13" t="str">
        <f>IF($A209="","",[1]!thsiFinD("ths_adjustment_nv_fund",Y$3,$A209))</f>
        <v/>
      </c>
      <c r="Z209" s="13" t="str">
        <f>IF($A209="","",[1]!thsiFinD("ths_adjustment_nv_fund",Z$3,$A209))</f>
        <v/>
      </c>
      <c r="AA209" s="13" t="str">
        <f>IF($A209="","",[1]!thsiFinD("ths_adjustment_nv_fund",AA$3,$A209))</f>
        <v/>
      </c>
      <c r="AB209" s="13" t="str">
        <f>IF($A209="","",[1]!thsiFinD("ths_adjustment_nv_fund",AB$3,$A209))</f>
        <v/>
      </c>
    </row>
    <row r="210" spans="2:28">
      <c r="B210" s="13" t="str">
        <f>IF($A210="","",[1]!thsiFinD("ths_adjustment_nv_fund",B$3,$A210))</f>
        <v/>
      </c>
      <c r="C210" s="13" t="str">
        <f>IF($A210="","",[1]!thsiFinD("ths_adjustment_nv_fund",C$3,$A210))</f>
        <v/>
      </c>
      <c r="D210" s="13" t="str">
        <f>IF($A210="","",[1]!thsiFinD("ths_adjustment_nv_fund",D$3,$A210))</f>
        <v/>
      </c>
      <c r="E210" s="13" t="str">
        <f>IF($A210="","",[1]!thsiFinD("ths_adjustment_nv_fund",E$3,$A210))</f>
        <v/>
      </c>
      <c r="F210" s="13" t="str">
        <f>IF($A210="","",[1]!thsiFinD("ths_adjustment_nv_fund",F$3,$A210))</f>
        <v/>
      </c>
      <c r="G210" s="13" t="str">
        <f>IF($A210="","",[1]!thsiFinD("ths_adjustment_nv_fund",G$3,$A210))</f>
        <v/>
      </c>
      <c r="H210" s="13" t="str">
        <f>IF($A210="","",[1]!thsiFinD("ths_adjustment_nv_fund",H$3,$A210))</f>
        <v/>
      </c>
      <c r="I210" s="13" t="str">
        <f>IF($A210="","",[1]!thsiFinD("ths_adjustment_nv_fund",I$3,$A210))</f>
        <v/>
      </c>
      <c r="J210" s="13" t="str">
        <f>IF($A210="","",[1]!thsiFinD("ths_adjustment_nv_fund",J$3,$A210))</f>
        <v/>
      </c>
      <c r="K210" s="13" t="str">
        <f>IF($A210="","",[1]!thsiFinD("ths_adjustment_nv_fund",K$3,$A210))</f>
        <v/>
      </c>
      <c r="L210" s="13" t="str">
        <f>IF($A210="","",[1]!thsiFinD("ths_adjustment_nv_fund",L$3,$A210))</f>
        <v/>
      </c>
      <c r="M210" s="13" t="str">
        <f>IF($A210="","",[1]!thsiFinD("ths_adjustment_nv_fund",M$3,$A210))</f>
        <v/>
      </c>
      <c r="N210" s="13" t="str">
        <f>IF($A210="","",[1]!thsiFinD("ths_adjustment_nv_fund",N$3,$A210))</f>
        <v/>
      </c>
      <c r="O210" s="13" t="str">
        <f>IF($A210="","",[1]!thsiFinD("ths_adjustment_nv_fund",O$3,$A210))</f>
        <v/>
      </c>
      <c r="P210" s="13" t="str">
        <f>IF($A210="","",[1]!thsiFinD("ths_adjustment_nv_fund",P$3,$A210))</f>
        <v/>
      </c>
      <c r="Q210" s="13" t="str">
        <f>IF($A210="","",[1]!thsiFinD("ths_adjustment_nv_fund",Q$3,$A210))</f>
        <v/>
      </c>
      <c r="R210" s="13" t="str">
        <f>IF($A210="","",[1]!thsiFinD("ths_adjustment_nv_fund",R$3,$A210))</f>
        <v/>
      </c>
      <c r="S210" s="13" t="str">
        <f>IF($A210="","",[1]!thsiFinD("ths_adjustment_nv_fund",S$3,$A210))</f>
        <v/>
      </c>
      <c r="T210" s="13" t="str">
        <f>IF($A210="","",[1]!thsiFinD("ths_adjustment_nv_fund",T$3,$A210))</f>
        <v/>
      </c>
      <c r="U210" s="13" t="str">
        <f>IF($A210="","",[1]!thsiFinD("ths_adjustment_nv_fund",U$3,$A210))</f>
        <v/>
      </c>
      <c r="V210" s="13" t="str">
        <f>IF($A210="","",[1]!thsiFinD("ths_adjustment_nv_fund",V$3,$A210))</f>
        <v/>
      </c>
      <c r="W210" s="13" t="str">
        <f>IF($A210="","",[1]!thsiFinD("ths_adjustment_nv_fund",W$3,$A210))</f>
        <v/>
      </c>
      <c r="X210" s="13" t="str">
        <f>IF($A210="","",[1]!thsiFinD("ths_adjustment_nv_fund",X$3,$A210))</f>
        <v/>
      </c>
      <c r="Y210" s="13" t="str">
        <f>IF($A210="","",[1]!thsiFinD("ths_adjustment_nv_fund",Y$3,$A210))</f>
        <v/>
      </c>
      <c r="Z210" s="13" t="str">
        <f>IF($A210="","",[1]!thsiFinD("ths_adjustment_nv_fund",Z$3,$A210))</f>
        <v/>
      </c>
      <c r="AA210" s="13" t="str">
        <f>IF($A210="","",[1]!thsiFinD("ths_adjustment_nv_fund",AA$3,$A210))</f>
        <v/>
      </c>
      <c r="AB210" s="13" t="str">
        <f>IF($A210="","",[1]!thsiFinD("ths_adjustment_nv_fund",AB$3,$A210))</f>
        <v/>
      </c>
    </row>
    <row r="211" spans="2:28">
      <c r="B211" s="13" t="str">
        <f>IF($A211="","",[1]!thsiFinD("ths_adjustment_nv_fund",B$3,$A211))</f>
        <v/>
      </c>
      <c r="C211" s="13" t="str">
        <f>IF($A211="","",[1]!thsiFinD("ths_adjustment_nv_fund",C$3,$A211))</f>
        <v/>
      </c>
      <c r="D211" s="13" t="str">
        <f>IF($A211="","",[1]!thsiFinD("ths_adjustment_nv_fund",D$3,$A211))</f>
        <v/>
      </c>
      <c r="E211" s="13" t="str">
        <f>IF($A211="","",[1]!thsiFinD("ths_adjustment_nv_fund",E$3,$A211))</f>
        <v/>
      </c>
      <c r="F211" s="13" t="str">
        <f>IF($A211="","",[1]!thsiFinD("ths_adjustment_nv_fund",F$3,$A211))</f>
        <v/>
      </c>
      <c r="G211" s="13" t="str">
        <f>IF($A211="","",[1]!thsiFinD("ths_adjustment_nv_fund",G$3,$A211))</f>
        <v/>
      </c>
      <c r="H211" s="13" t="str">
        <f>IF($A211="","",[1]!thsiFinD("ths_adjustment_nv_fund",H$3,$A211))</f>
        <v/>
      </c>
      <c r="I211" s="13" t="str">
        <f>IF($A211="","",[1]!thsiFinD("ths_adjustment_nv_fund",I$3,$A211))</f>
        <v/>
      </c>
      <c r="J211" s="13" t="str">
        <f>IF($A211="","",[1]!thsiFinD("ths_adjustment_nv_fund",J$3,$A211))</f>
        <v/>
      </c>
      <c r="K211" s="13" t="str">
        <f>IF($A211="","",[1]!thsiFinD("ths_adjustment_nv_fund",K$3,$A211))</f>
        <v/>
      </c>
      <c r="L211" s="13" t="str">
        <f>IF($A211="","",[1]!thsiFinD("ths_adjustment_nv_fund",L$3,$A211))</f>
        <v/>
      </c>
      <c r="M211" s="13" t="str">
        <f>IF($A211="","",[1]!thsiFinD("ths_adjustment_nv_fund",M$3,$A211))</f>
        <v/>
      </c>
      <c r="N211" s="13" t="str">
        <f>IF($A211="","",[1]!thsiFinD("ths_adjustment_nv_fund",N$3,$A211))</f>
        <v/>
      </c>
      <c r="O211" s="13" t="str">
        <f>IF($A211="","",[1]!thsiFinD("ths_adjustment_nv_fund",O$3,$A211))</f>
        <v/>
      </c>
      <c r="P211" s="13" t="str">
        <f>IF($A211="","",[1]!thsiFinD("ths_adjustment_nv_fund",P$3,$A211))</f>
        <v/>
      </c>
      <c r="Q211" s="13" t="str">
        <f>IF($A211="","",[1]!thsiFinD("ths_adjustment_nv_fund",Q$3,$A211))</f>
        <v/>
      </c>
      <c r="R211" s="13" t="str">
        <f>IF($A211="","",[1]!thsiFinD("ths_adjustment_nv_fund",R$3,$A211))</f>
        <v/>
      </c>
      <c r="S211" s="13" t="str">
        <f>IF($A211="","",[1]!thsiFinD("ths_adjustment_nv_fund",S$3,$A211))</f>
        <v/>
      </c>
      <c r="T211" s="13" t="str">
        <f>IF($A211="","",[1]!thsiFinD("ths_adjustment_nv_fund",T$3,$A211))</f>
        <v/>
      </c>
      <c r="U211" s="13" t="str">
        <f>IF($A211="","",[1]!thsiFinD("ths_adjustment_nv_fund",U$3,$A211))</f>
        <v/>
      </c>
      <c r="V211" s="13" t="str">
        <f>IF($A211="","",[1]!thsiFinD("ths_adjustment_nv_fund",V$3,$A211))</f>
        <v/>
      </c>
      <c r="W211" s="13" t="str">
        <f>IF($A211="","",[1]!thsiFinD("ths_adjustment_nv_fund",W$3,$A211))</f>
        <v/>
      </c>
      <c r="X211" s="13" t="str">
        <f>IF($A211="","",[1]!thsiFinD("ths_adjustment_nv_fund",X$3,$A211))</f>
        <v/>
      </c>
      <c r="Y211" s="13" t="str">
        <f>IF($A211="","",[1]!thsiFinD("ths_adjustment_nv_fund",Y$3,$A211))</f>
        <v/>
      </c>
      <c r="Z211" s="13" t="str">
        <f>IF($A211="","",[1]!thsiFinD("ths_adjustment_nv_fund",Z$3,$A211))</f>
        <v/>
      </c>
      <c r="AA211" s="13" t="str">
        <f>IF($A211="","",[1]!thsiFinD("ths_adjustment_nv_fund",AA$3,$A211))</f>
        <v/>
      </c>
      <c r="AB211" s="13" t="str">
        <f>IF($A211="","",[1]!thsiFinD("ths_adjustment_nv_fund",AB$3,$A211))</f>
        <v/>
      </c>
    </row>
    <row r="212" spans="2:28">
      <c r="B212" s="13" t="str">
        <f>IF($A212="","",[1]!thsiFinD("ths_adjustment_nv_fund",B$3,$A212))</f>
        <v/>
      </c>
      <c r="C212" s="13" t="str">
        <f>IF($A212="","",[1]!thsiFinD("ths_adjustment_nv_fund",C$3,$A212))</f>
        <v/>
      </c>
      <c r="D212" s="13" t="str">
        <f>IF($A212="","",[1]!thsiFinD("ths_adjustment_nv_fund",D$3,$A212))</f>
        <v/>
      </c>
      <c r="E212" s="13" t="str">
        <f>IF($A212="","",[1]!thsiFinD("ths_adjustment_nv_fund",E$3,$A212))</f>
        <v/>
      </c>
      <c r="F212" s="13" t="str">
        <f>IF($A212="","",[1]!thsiFinD("ths_adjustment_nv_fund",F$3,$A212))</f>
        <v/>
      </c>
      <c r="G212" s="13" t="str">
        <f>IF($A212="","",[1]!thsiFinD("ths_adjustment_nv_fund",G$3,$A212))</f>
        <v/>
      </c>
      <c r="H212" s="13" t="str">
        <f>IF($A212="","",[1]!thsiFinD("ths_adjustment_nv_fund",H$3,$A212))</f>
        <v/>
      </c>
      <c r="I212" s="13" t="str">
        <f>IF($A212="","",[1]!thsiFinD("ths_adjustment_nv_fund",I$3,$A212))</f>
        <v/>
      </c>
      <c r="J212" s="13" t="str">
        <f>IF($A212="","",[1]!thsiFinD("ths_adjustment_nv_fund",J$3,$A212))</f>
        <v/>
      </c>
      <c r="K212" s="13" t="str">
        <f>IF($A212="","",[1]!thsiFinD("ths_adjustment_nv_fund",K$3,$A212))</f>
        <v/>
      </c>
      <c r="L212" s="13" t="str">
        <f>IF($A212="","",[1]!thsiFinD("ths_adjustment_nv_fund",L$3,$A212))</f>
        <v/>
      </c>
      <c r="M212" s="13" t="str">
        <f>IF($A212="","",[1]!thsiFinD("ths_adjustment_nv_fund",M$3,$A212))</f>
        <v/>
      </c>
      <c r="N212" s="13" t="str">
        <f>IF($A212="","",[1]!thsiFinD("ths_adjustment_nv_fund",N$3,$A212))</f>
        <v/>
      </c>
      <c r="O212" s="13" t="str">
        <f>IF($A212="","",[1]!thsiFinD("ths_adjustment_nv_fund",O$3,$A212))</f>
        <v/>
      </c>
      <c r="P212" s="13" t="str">
        <f>IF($A212="","",[1]!thsiFinD("ths_adjustment_nv_fund",P$3,$A212))</f>
        <v/>
      </c>
      <c r="Q212" s="13" t="str">
        <f>IF($A212="","",[1]!thsiFinD("ths_adjustment_nv_fund",Q$3,$A212))</f>
        <v/>
      </c>
      <c r="R212" s="13" t="str">
        <f>IF($A212="","",[1]!thsiFinD("ths_adjustment_nv_fund",R$3,$A212))</f>
        <v/>
      </c>
      <c r="S212" s="13" t="str">
        <f>IF($A212="","",[1]!thsiFinD("ths_adjustment_nv_fund",S$3,$A212))</f>
        <v/>
      </c>
      <c r="T212" s="13" t="str">
        <f>IF($A212="","",[1]!thsiFinD("ths_adjustment_nv_fund",T$3,$A212))</f>
        <v/>
      </c>
      <c r="U212" s="13" t="str">
        <f>IF($A212="","",[1]!thsiFinD("ths_adjustment_nv_fund",U$3,$A212))</f>
        <v/>
      </c>
      <c r="V212" s="13" t="str">
        <f>IF($A212="","",[1]!thsiFinD("ths_adjustment_nv_fund",V$3,$A212))</f>
        <v/>
      </c>
      <c r="W212" s="13" t="str">
        <f>IF($A212="","",[1]!thsiFinD("ths_adjustment_nv_fund",W$3,$A212))</f>
        <v/>
      </c>
      <c r="X212" s="13" t="str">
        <f>IF($A212="","",[1]!thsiFinD("ths_adjustment_nv_fund",X$3,$A212))</f>
        <v/>
      </c>
      <c r="Y212" s="13" t="str">
        <f>IF($A212="","",[1]!thsiFinD("ths_adjustment_nv_fund",Y$3,$A212))</f>
        <v/>
      </c>
      <c r="Z212" s="13" t="str">
        <f>IF($A212="","",[1]!thsiFinD("ths_adjustment_nv_fund",Z$3,$A212))</f>
        <v/>
      </c>
      <c r="AA212" s="13" t="str">
        <f>IF($A212="","",[1]!thsiFinD("ths_adjustment_nv_fund",AA$3,$A212))</f>
        <v/>
      </c>
      <c r="AB212" s="13" t="str">
        <f>IF($A212="","",[1]!thsiFinD("ths_adjustment_nv_fund",AB$3,$A212))</f>
        <v/>
      </c>
    </row>
    <row r="213" spans="2:28">
      <c r="B213" s="13" t="str">
        <f>IF($A213="","",[1]!thsiFinD("ths_adjustment_nv_fund",B$3,$A213))</f>
        <v/>
      </c>
      <c r="C213" s="13" t="str">
        <f>IF($A213="","",[1]!thsiFinD("ths_adjustment_nv_fund",C$3,$A213))</f>
        <v/>
      </c>
      <c r="D213" s="13" t="str">
        <f>IF($A213="","",[1]!thsiFinD("ths_adjustment_nv_fund",D$3,$A213))</f>
        <v/>
      </c>
      <c r="E213" s="13" t="str">
        <f>IF($A213="","",[1]!thsiFinD("ths_adjustment_nv_fund",E$3,$A213))</f>
        <v/>
      </c>
      <c r="F213" s="13" t="str">
        <f>IF($A213="","",[1]!thsiFinD("ths_adjustment_nv_fund",F$3,$A213))</f>
        <v/>
      </c>
      <c r="G213" s="13" t="str">
        <f>IF($A213="","",[1]!thsiFinD("ths_adjustment_nv_fund",G$3,$A213))</f>
        <v/>
      </c>
      <c r="H213" s="13" t="str">
        <f>IF($A213="","",[1]!thsiFinD("ths_adjustment_nv_fund",H$3,$A213))</f>
        <v/>
      </c>
      <c r="I213" s="13" t="str">
        <f>IF($A213="","",[1]!thsiFinD("ths_adjustment_nv_fund",I$3,$A213))</f>
        <v/>
      </c>
      <c r="J213" s="13" t="str">
        <f>IF($A213="","",[1]!thsiFinD("ths_adjustment_nv_fund",J$3,$A213))</f>
        <v/>
      </c>
      <c r="K213" s="13" t="str">
        <f>IF($A213="","",[1]!thsiFinD("ths_adjustment_nv_fund",K$3,$A213))</f>
        <v/>
      </c>
      <c r="L213" s="13" t="str">
        <f>IF($A213="","",[1]!thsiFinD("ths_adjustment_nv_fund",L$3,$A213))</f>
        <v/>
      </c>
      <c r="M213" s="13" t="str">
        <f>IF($A213="","",[1]!thsiFinD("ths_adjustment_nv_fund",M$3,$A213))</f>
        <v/>
      </c>
      <c r="N213" s="13" t="str">
        <f>IF($A213="","",[1]!thsiFinD("ths_adjustment_nv_fund",N$3,$A213))</f>
        <v/>
      </c>
      <c r="O213" s="13" t="str">
        <f>IF($A213="","",[1]!thsiFinD("ths_adjustment_nv_fund",O$3,$A213))</f>
        <v/>
      </c>
      <c r="P213" s="13" t="str">
        <f>IF($A213="","",[1]!thsiFinD("ths_adjustment_nv_fund",P$3,$A213))</f>
        <v/>
      </c>
      <c r="Q213" s="13" t="str">
        <f>IF($A213="","",[1]!thsiFinD("ths_adjustment_nv_fund",Q$3,$A213))</f>
        <v/>
      </c>
      <c r="R213" s="13" t="str">
        <f>IF($A213="","",[1]!thsiFinD("ths_adjustment_nv_fund",R$3,$A213))</f>
        <v/>
      </c>
      <c r="S213" s="13" t="str">
        <f>IF($A213="","",[1]!thsiFinD("ths_adjustment_nv_fund",S$3,$A213))</f>
        <v/>
      </c>
      <c r="T213" s="13" t="str">
        <f>IF($A213="","",[1]!thsiFinD("ths_adjustment_nv_fund",T$3,$A213))</f>
        <v/>
      </c>
      <c r="U213" s="13" t="str">
        <f>IF($A213="","",[1]!thsiFinD("ths_adjustment_nv_fund",U$3,$A213))</f>
        <v/>
      </c>
      <c r="V213" s="13" t="str">
        <f>IF($A213="","",[1]!thsiFinD("ths_adjustment_nv_fund",V$3,$A213))</f>
        <v/>
      </c>
      <c r="W213" s="13" t="str">
        <f>IF($A213="","",[1]!thsiFinD("ths_adjustment_nv_fund",W$3,$A213))</f>
        <v/>
      </c>
      <c r="X213" s="13" t="str">
        <f>IF($A213="","",[1]!thsiFinD("ths_adjustment_nv_fund",X$3,$A213))</f>
        <v/>
      </c>
      <c r="Y213" s="13" t="str">
        <f>IF($A213="","",[1]!thsiFinD("ths_adjustment_nv_fund",Y$3,$A213))</f>
        <v/>
      </c>
      <c r="Z213" s="13" t="str">
        <f>IF($A213="","",[1]!thsiFinD("ths_adjustment_nv_fund",Z$3,$A213))</f>
        <v/>
      </c>
      <c r="AA213" s="13" t="str">
        <f>IF($A213="","",[1]!thsiFinD("ths_adjustment_nv_fund",AA$3,$A213))</f>
        <v/>
      </c>
      <c r="AB213" s="13" t="str">
        <f>IF($A213="","",[1]!thsiFinD("ths_adjustment_nv_fund",AB$3,$A213))</f>
        <v/>
      </c>
    </row>
    <row r="214" spans="2:28">
      <c r="B214" s="13" t="str">
        <f>IF($A214="","",[1]!thsiFinD("ths_adjustment_nv_fund",B$3,$A214))</f>
        <v/>
      </c>
      <c r="C214" s="13" t="str">
        <f>IF($A214="","",[1]!thsiFinD("ths_adjustment_nv_fund",C$3,$A214))</f>
        <v/>
      </c>
      <c r="D214" s="13" t="str">
        <f>IF($A214="","",[1]!thsiFinD("ths_adjustment_nv_fund",D$3,$A214))</f>
        <v/>
      </c>
      <c r="E214" s="13" t="str">
        <f>IF($A214="","",[1]!thsiFinD("ths_adjustment_nv_fund",E$3,$A214))</f>
        <v/>
      </c>
      <c r="F214" s="13" t="str">
        <f>IF($A214="","",[1]!thsiFinD("ths_adjustment_nv_fund",F$3,$A214))</f>
        <v/>
      </c>
      <c r="G214" s="13" t="str">
        <f>IF($A214="","",[1]!thsiFinD("ths_adjustment_nv_fund",G$3,$A214))</f>
        <v/>
      </c>
      <c r="H214" s="13" t="str">
        <f>IF($A214="","",[1]!thsiFinD("ths_adjustment_nv_fund",H$3,$A214))</f>
        <v/>
      </c>
      <c r="I214" s="13" t="str">
        <f>IF($A214="","",[1]!thsiFinD("ths_adjustment_nv_fund",I$3,$A214))</f>
        <v/>
      </c>
      <c r="J214" s="13" t="str">
        <f>IF($A214="","",[1]!thsiFinD("ths_adjustment_nv_fund",J$3,$A214))</f>
        <v/>
      </c>
      <c r="K214" s="13" t="str">
        <f>IF($A214="","",[1]!thsiFinD("ths_adjustment_nv_fund",K$3,$A214))</f>
        <v/>
      </c>
      <c r="L214" s="13" t="str">
        <f>IF($A214="","",[1]!thsiFinD("ths_adjustment_nv_fund",L$3,$A214))</f>
        <v/>
      </c>
      <c r="M214" s="13" t="str">
        <f>IF($A214="","",[1]!thsiFinD("ths_adjustment_nv_fund",M$3,$A214))</f>
        <v/>
      </c>
      <c r="N214" s="13" t="str">
        <f>IF($A214="","",[1]!thsiFinD("ths_adjustment_nv_fund",N$3,$A214))</f>
        <v/>
      </c>
      <c r="O214" s="13" t="str">
        <f>IF($A214="","",[1]!thsiFinD("ths_adjustment_nv_fund",O$3,$A214))</f>
        <v/>
      </c>
      <c r="P214" s="13" t="str">
        <f>IF($A214="","",[1]!thsiFinD("ths_adjustment_nv_fund",P$3,$A214))</f>
        <v/>
      </c>
      <c r="Q214" s="13" t="str">
        <f>IF($A214="","",[1]!thsiFinD("ths_adjustment_nv_fund",Q$3,$A214))</f>
        <v/>
      </c>
      <c r="R214" s="13" t="str">
        <f>IF($A214="","",[1]!thsiFinD("ths_adjustment_nv_fund",R$3,$A214))</f>
        <v/>
      </c>
      <c r="S214" s="13" t="str">
        <f>IF($A214="","",[1]!thsiFinD("ths_adjustment_nv_fund",S$3,$A214))</f>
        <v/>
      </c>
      <c r="T214" s="13" t="str">
        <f>IF($A214="","",[1]!thsiFinD("ths_adjustment_nv_fund",T$3,$A214))</f>
        <v/>
      </c>
      <c r="U214" s="13" t="str">
        <f>IF($A214="","",[1]!thsiFinD("ths_adjustment_nv_fund",U$3,$A214))</f>
        <v/>
      </c>
      <c r="V214" s="13" t="str">
        <f>IF($A214="","",[1]!thsiFinD("ths_adjustment_nv_fund",V$3,$A214))</f>
        <v/>
      </c>
      <c r="W214" s="13" t="str">
        <f>IF($A214="","",[1]!thsiFinD("ths_adjustment_nv_fund",W$3,$A214))</f>
        <v/>
      </c>
      <c r="X214" s="13" t="str">
        <f>IF($A214="","",[1]!thsiFinD("ths_adjustment_nv_fund",X$3,$A214))</f>
        <v/>
      </c>
      <c r="Y214" s="13" t="str">
        <f>IF($A214="","",[1]!thsiFinD("ths_adjustment_nv_fund",Y$3,$A214))</f>
        <v/>
      </c>
      <c r="Z214" s="13" t="str">
        <f>IF($A214="","",[1]!thsiFinD("ths_adjustment_nv_fund",Z$3,$A214))</f>
        <v/>
      </c>
      <c r="AA214" s="13" t="str">
        <f>IF($A214="","",[1]!thsiFinD("ths_adjustment_nv_fund",AA$3,$A214))</f>
        <v/>
      </c>
      <c r="AB214" s="13" t="str">
        <f>IF($A214="","",[1]!thsiFinD("ths_adjustment_nv_fund",AB$3,$A214))</f>
        <v/>
      </c>
    </row>
    <row r="215" spans="2:28">
      <c r="B215" s="13" t="str">
        <f>IF($A215="","",[1]!thsiFinD("ths_adjustment_nv_fund",B$3,$A215))</f>
        <v/>
      </c>
      <c r="C215" s="13" t="str">
        <f>IF($A215="","",[1]!thsiFinD("ths_adjustment_nv_fund",C$3,$A215))</f>
        <v/>
      </c>
      <c r="D215" s="13" t="str">
        <f>IF($A215="","",[1]!thsiFinD("ths_adjustment_nv_fund",D$3,$A215))</f>
        <v/>
      </c>
      <c r="E215" s="13" t="str">
        <f>IF($A215="","",[1]!thsiFinD("ths_adjustment_nv_fund",E$3,$A215))</f>
        <v/>
      </c>
      <c r="F215" s="13" t="str">
        <f>IF($A215="","",[1]!thsiFinD("ths_adjustment_nv_fund",F$3,$A215))</f>
        <v/>
      </c>
      <c r="G215" s="13" t="str">
        <f>IF($A215="","",[1]!thsiFinD("ths_adjustment_nv_fund",G$3,$A215))</f>
        <v/>
      </c>
      <c r="H215" s="13" t="str">
        <f>IF($A215="","",[1]!thsiFinD("ths_adjustment_nv_fund",H$3,$A215))</f>
        <v/>
      </c>
      <c r="I215" s="13" t="str">
        <f>IF($A215="","",[1]!thsiFinD("ths_adjustment_nv_fund",I$3,$A215))</f>
        <v/>
      </c>
      <c r="J215" s="13" t="str">
        <f>IF($A215="","",[1]!thsiFinD("ths_adjustment_nv_fund",J$3,$A215))</f>
        <v/>
      </c>
      <c r="K215" s="13" t="str">
        <f>IF($A215="","",[1]!thsiFinD("ths_adjustment_nv_fund",K$3,$A215))</f>
        <v/>
      </c>
      <c r="L215" s="13" t="str">
        <f>IF($A215="","",[1]!thsiFinD("ths_adjustment_nv_fund",L$3,$A215))</f>
        <v/>
      </c>
      <c r="M215" s="13" t="str">
        <f>IF($A215="","",[1]!thsiFinD("ths_adjustment_nv_fund",M$3,$A215))</f>
        <v/>
      </c>
      <c r="N215" s="13" t="str">
        <f>IF($A215="","",[1]!thsiFinD("ths_adjustment_nv_fund",N$3,$A215))</f>
        <v/>
      </c>
      <c r="O215" s="13" t="str">
        <f>IF($A215="","",[1]!thsiFinD("ths_adjustment_nv_fund",O$3,$A215))</f>
        <v/>
      </c>
      <c r="P215" s="13" t="str">
        <f>IF($A215="","",[1]!thsiFinD("ths_adjustment_nv_fund",P$3,$A215))</f>
        <v/>
      </c>
      <c r="Q215" s="13" t="str">
        <f>IF($A215="","",[1]!thsiFinD("ths_adjustment_nv_fund",Q$3,$A215))</f>
        <v/>
      </c>
      <c r="R215" s="13" t="str">
        <f>IF($A215="","",[1]!thsiFinD("ths_adjustment_nv_fund",R$3,$A215))</f>
        <v/>
      </c>
      <c r="S215" s="13" t="str">
        <f>IF($A215="","",[1]!thsiFinD("ths_adjustment_nv_fund",S$3,$A215))</f>
        <v/>
      </c>
      <c r="T215" s="13" t="str">
        <f>IF($A215="","",[1]!thsiFinD("ths_adjustment_nv_fund",T$3,$A215))</f>
        <v/>
      </c>
      <c r="U215" s="13" t="str">
        <f>IF($A215="","",[1]!thsiFinD("ths_adjustment_nv_fund",U$3,$A215))</f>
        <v/>
      </c>
      <c r="V215" s="13" t="str">
        <f>IF($A215="","",[1]!thsiFinD("ths_adjustment_nv_fund",V$3,$A215))</f>
        <v/>
      </c>
      <c r="W215" s="13" t="str">
        <f>IF($A215="","",[1]!thsiFinD("ths_adjustment_nv_fund",W$3,$A215))</f>
        <v/>
      </c>
      <c r="X215" s="13" t="str">
        <f>IF($A215="","",[1]!thsiFinD("ths_adjustment_nv_fund",X$3,$A215))</f>
        <v/>
      </c>
      <c r="Y215" s="13" t="str">
        <f>IF($A215="","",[1]!thsiFinD("ths_adjustment_nv_fund",Y$3,$A215))</f>
        <v/>
      </c>
      <c r="Z215" s="13" t="str">
        <f>IF($A215="","",[1]!thsiFinD("ths_adjustment_nv_fund",Z$3,$A215))</f>
        <v/>
      </c>
      <c r="AA215" s="13" t="str">
        <f>IF($A215="","",[1]!thsiFinD("ths_adjustment_nv_fund",AA$3,$A215))</f>
        <v/>
      </c>
      <c r="AB215" s="13" t="str">
        <f>IF($A215="","",[1]!thsiFinD("ths_adjustment_nv_fund",AB$3,$A215))</f>
        <v/>
      </c>
    </row>
    <row r="216" spans="2:28">
      <c r="B216" s="13" t="str">
        <f>IF($A216="","",[1]!thsiFinD("ths_adjustment_nv_fund",B$3,$A216))</f>
        <v/>
      </c>
      <c r="C216" s="13" t="str">
        <f>IF($A216="","",[1]!thsiFinD("ths_adjustment_nv_fund",C$3,$A216))</f>
        <v/>
      </c>
      <c r="D216" s="13" t="str">
        <f>IF($A216="","",[1]!thsiFinD("ths_adjustment_nv_fund",D$3,$A216))</f>
        <v/>
      </c>
      <c r="E216" s="13" t="str">
        <f>IF($A216="","",[1]!thsiFinD("ths_adjustment_nv_fund",E$3,$A216))</f>
        <v/>
      </c>
      <c r="F216" s="13" t="str">
        <f>IF($A216="","",[1]!thsiFinD("ths_adjustment_nv_fund",F$3,$A216))</f>
        <v/>
      </c>
      <c r="G216" s="13" t="str">
        <f>IF($A216="","",[1]!thsiFinD("ths_adjustment_nv_fund",G$3,$A216))</f>
        <v/>
      </c>
      <c r="H216" s="13" t="str">
        <f>IF($A216="","",[1]!thsiFinD("ths_adjustment_nv_fund",H$3,$A216))</f>
        <v/>
      </c>
      <c r="I216" s="13" t="str">
        <f>IF($A216="","",[1]!thsiFinD("ths_adjustment_nv_fund",I$3,$A216))</f>
        <v/>
      </c>
      <c r="J216" s="13" t="str">
        <f>IF($A216="","",[1]!thsiFinD("ths_adjustment_nv_fund",J$3,$A216))</f>
        <v/>
      </c>
      <c r="K216" s="13" t="str">
        <f>IF($A216="","",[1]!thsiFinD("ths_adjustment_nv_fund",K$3,$A216))</f>
        <v/>
      </c>
      <c r="L216" s="13" t="str">
        <f>IF($A216="","",[1]!thsiFinD("ths_adjustment_nv_fund",L$3,$A216))</f>
        <v/>
      </c>
      <c r="M216" s="13" t="str">
        <f>IF($A216="","",[1]!thsiFinD("ths_adjustment_nv_fund",M$3,$A216))</f>
        <v/>
      </c>
      <c r="N216" s="13" t="str">
        <f>IF($A216="","",[1]!thsiFinD("ths_adjustment_nv_fund",N$3,$A216))</f>
        <v/>
      </c>
      <c r="O216" s="13" t="str">
        <f>IF($A216="","",[1]!thsiFinD("ths_adjustment_nv_fund",O$3,$A216))</f>
        <v/>
      </c>
      <c r="P216" s="13" t="str">
        <f>IF($A216="","",[1]!thsiFinD("ths_adjustment_nv_fund",P$3,$A216))</f>
        <v/>
      </c>
      <c r="Q216" s="13" t="str">
        <f>IF($A216="","",[1]!thsiFinD("ths_adjustment_nv_fund",Q$3,$A216))</f>
        <v/>
      </c>
      <c r="R216" s="13" t="str">
        <f>IF($A216="","",[1]!thsiFinD("ths_adjustment_nv_fund",R$3,$A216))</f>
        <v/>
      </c>
      <c r="S216" s="13" t="str">
        <f>IF($A216="","",[1]!thsiFinD("ths_adjustment_nv_fund",S$3,$A216))</f>
        <v/>
      </c>
      <c r="T216" s="13" t="str">
        <f>IF($A216="","",[1]!thsiFinD("ths_adjustment_nv_fund",T$3,$A216))</f>
        <v/>
      </c>
      <c r="U216" s="13" t="str">
        <f>IF($A216="","",[1]!thsiFinD("ths_adjustment_nv_fund",U$3,$A216))</f>
        <v/>
      </c>
      <c r="V216" s="13" t="str">
        <f>IF($A216="","",[1]!thsiFinD("ths_adjustment_nv_fund",V$3,$A216))</f>
        <v/>
      </c>
      <c r="W216" s="13" t="str">
        <f>IF($A216="","",[1]!thsiFinD("ths_adjustment_nv_fund",W$3,$A216))</f>
        <v/>
      </c>
      <c r="X216" s="13" t="str">
        <f>IF($A216="","",[1]!thsiFinD("ths_adjustment_nv_fund",X$3,$A216))</f>
        <v/>
      </c>
      <c r="Y216" s="13" t="str">
        <f>IF($A216="","",[1]!thsiFinD("ths_adjustment_nv_fund",Y$3,$A216))</f>
        <v/>
      </c>
      <c r="Z216" s="13" t="str">
        <f>IF($A216="","",[1]!thsiFinD("ths_adjustment_nv_fund",Z$3,$A216))</f>
        <v/>
      </c>
      <c r="AA216" s="13" t="str">
        <f>IF($A216="","",[1]!thsiFinD("ths_adjustment_nv_fund",AA$3,$A216))</f>
        <v/>
      </c>
      <c r="AB216" s="13" t="str">
        <f>IF($A216="","",[1]!thsiFinD("ths_adjustment_nv_fund",AB$3,$A216))</f>
        <v/>
      </c>
    </row>
    <row r="217" spans="2:28">
      <c r="B217" s="13" t="str">
        <f>IF($A217="","",[1]!thsiFinD("ths_adjustment_nv_fund",B$3,$A217))</f>
        <v/>
      </c>
      <c r="C217" s="13" t="str">
        <f>IF($A217="","",[1]!thsiFinD("ths_adjustment_nv_fund",C$3,$A217))</f>
        <v/>
      </c>
      <c r="D217" s="13" t="str">
        <f>IF($A217="","",[1]!thsiFinD("ths_adjustment_nv_fund",D$3,$A217))</f>
        <v/>
      </c>
      <c r="E217" s="13" t="str">
        <f>IF($A217="","",[1]!thsiFinD("ths_adjustment_nv_fund",E$3,$A217))</f>
        <v/>
      </c>
      <c r="F217" s="13" t="str">
        <f>IF($A217="","",[1]!thsiFinD("ths_adjustment_nv_fund",F$3,$A217))</f>
        <v/>
      </c>
      <c r="G217" s="13" t="str">
        <f>IF($A217="","",[1]!thsiFinD("ths_adjustment_nv_fund",G$3,$A217))</f>
        <v/>
      </c>
      <c r="H217" s="13" t="str">
        <f>IF($A217="","",[1]!thsiFinD("ths_adjustment_nv_fund",H$3,$A217))</f>
        <v/>
      </c>
      <c r="I217" s="13" t="str">
        <f>IF($A217="","",[1]!thsiFinD("ths_adjustment_nv_fund",I$3,$A217))</f>
        <v/>
      </c>
      <c r="J217" s="13" t="str">
        <f>IF($A217="","",[1]!thsiFinD("ths_adjustment_nv_fund",J$3,$A217))</f>
        <v/>
      </c>
      <c r="K217" s="13" t="str">
        <f>IF($A217="","",[1]!thsiFinD("ths_adjustment_nv_fund",K$3,$A217))</f>
        <v/>
      </c>
      <c r="L217" s="13" t="str">
        <f>IF($A217="","",[1]!thsiFinD("ths_adjustment_nv_fund",L$3,$A217))</f>
        <v/>
      </c>
      <c r="M217" s="13" t="str">
        <f>IF($A217="","",[1]!thsiFinD("ths_adjustment_nv_fund",M$3,$A217))</f>
        <v/>
      </c>
      <c r="N217" s="13" t="str">
        <f>IF($A217="","",[1]!thsiFinD("ths_adjustment_nv_fund",N$3,$A217))</f>
        <v/>
      </c>
      <c r="O217" s="13" t="str">
        <f>IF($A217="","",[1]!thsiFinD("ths_adjustment_nv_fund",O$3,$A217))</f>
        <v/>
      </c>
      <c r="P217" s="13" t="str">
        <f>IF($A217="","",[1]!thsiFinD("ths_adjustment_nv_fund",P$3,$A217))</f>
        <v/>
      </c>
      <c r="Q217" s="13" t="str">
        <f>IF($A217="","",[1]!thsiFinD("ths_adjustment_nv_fund",Q$3,$A217))</f>
        <v/>
      </c>
      <c r="R217" s="13" t="str">
        <f>IF($A217="","",[1]!thsiFinD("ths_adjustment_nv_fund",R$3,$A217))</f>
        <v/>
      </c>
      <c r="S217" s="13" t="str">
        <f>IF($A217="","",[1]!thsiFinD("ths_adjustment_nv_fund",S$3,$A217))</f>
        <v/>
      </c>
      <c r="T217" s="13" t="str">
        <f>IF($A217="","",[1]!thsiFinD("ths_adjustment_nv_fund",T$3,$A217))</f>
        <v/>
      </c>
      <c r="U217" s="13" t="str">
        <f>IF($A217="","",[1]!thsiFinD("ths_adjustment_nv_fund",U$3,$A217))</f>
        <v/>
      </c>
      <c r="V217" s="13" t="str">
        <f>IF($A217="","",[1]!thsiFinD("ths_adjustment_nv_fund",V$3,$A217))</f>
        <v/>
      </c>
      <c r="W217" s="13" t="str">
        <f>IF($A217="","",[1]!thsiFinD("ths_adjustment_nv_fund",W$3,$A217))</f>
        <v/>
      </c>
      <c r="X217" s="13" t="str">
        <f>IF($A217="","",[1]!thsiFinD("ths_adjustment_nv_fund",X$3,$A217))</f>
        <v/>
      </c>
      <c r="Y217" s="13" t="str">
        <f>IF($A217="","",[1]!thsiFinD("ths_adjustment_nv_fund",Y$3,$A217))</f>
        <v/>
      </c>
      <c r="Z217" s="13" t="str">
        <f>IF($A217="","",[1]!thsiFinD("ths_adjustment_nv_fund",Z$3,$A217))</f>
        <v/>
      </c>
      <c r="AA217" s="13" t="str">
        <f>IF($A217="","",[1]!thsiFinD("ths_adjustment_nv_fund",AA$3,$A217))</f>
        <v/>
      </c>
      <c r="AB217" s="13" t="str">
        <f>IF($A217="","",[1]!thsiFinD("ths_adjustment_nv_fund",AB$3,$A217))</f>
        <v/>
      </c>
    </row>
    <row r="218" spans="2:28">
      <c r="B218" s="13" t="str">
        <f>IF($A218="","",[1]!thsiFinD("ths_adjustment_nv_fund",B$3,$A218))</f>
        <v/>
      </c>
      <c r="C218" s="13" t="str">
        <f>IF($A218="","",[1]!thsiFinD("ths_adjustment_nv_fund",C$3,$A218))</f>
        <v/>
      </c>
      <c r="D218" s="13" t="str">
        <f>IF($A218="","",[1]!thsiFinD("ths_adjustment_nv_fund",D$3,$A218))</f>
        <v/>
      </c>
      <c r="E218" s="13" t="str">
        <f>IF($A218="","",[1]!thsiFinD("ths_adjustment_nv_fund",E$3,$A218))</f>
        <v/>
      </c>
      <c r="F218" s="13" t="str">
        <f>IF($A218="","",[1]!thsiFinD("ths_adjustment_nv_fund",F$3,$A218))</f>
        <v/>
      </c>
      <c r="G218" s="13" t="str">
        <f>IF($A218="","",[1]!thsiFinD("ths_adjustment_nv_fund",G$3,$A218))</f>
        <v/>
      </c>
      <c r="H218" s="13" t="str">
        <f>IF($A218="","",[1]!thsiFinD("ths_adjustment_nv_fund",H$3,$A218))</f>
        <v/>
      </c>
      <c r="I218" s="13" t="str">
        <f>IF($A218="","",[1]!thsiFinD("ths_adjustment_nv_fund",I$3,$A218))</f>
        <v/>
      </c>
      <c r="J218" s="13" t="str">
        <f>IF($A218="","",[1]!thsiFinD("ths_adjustment_nv_fund",J$3,$A218))</f>
        <v/>
      </c>
      <c r="K218" s="13" t="str">
        <f>IF($A218="","",[1]!thsiFinD("ths_adjustment_nv_fund",K$3,$A218))</f>
        <v/>
      </c>
      <c r="L218" s="13" t="str">
        <f>IF($A218="","",[1]!thsiFinD("ths_adjustment_nv_fund",L$3,$A218))</f>
        <v/>
      </c>
      <c r="M218" s="13" t="str">
        <f>IF($A218="","",[1]!thsiFinD("ths_adjustment_nv_fund",M$3,$A218))</f>
        <v/>
      </c>
      <c r="N218" s="13" t="str">
        <f>IF($A218="","",[1]!thsiFinD("ths_adjustment_nv_fund",N$3,$A218))</f>
        <v/>
      </c>
      <c r="O218" s="13" t="str">
        <f>IF($A218="","",[1]!thsiFinD("ths_adjustment_nv_fund",O$3,$A218))</f>
        <v/>
      </c>
      <c r="P218" s="13" t="str">
        <f>IF($A218="","",[1]!thsiFinD("ths_adjustment_nv_fund",P$3,$A218))</f>
        <v/>
      </c>
      <c r="Q218" s="13" t="str">
        <f>IF($A218="","",[1]!thsiFinD("ths_adjustment_nv_fund",Q$3,$A218))</f>
        <v/>
      </c>
      <c r="R218" s="13" t="str">
        <f>IF($A218="","",[1]!thsiFinD("ths_adjustment_nv_fund",R$3,$A218))</f>
        <v/>
      </c>
      <c r="S218" s="13" t="str">
        <f>IF($A218="","",[1]!thsiFinD("ths_adjustment_nv_fund",S$3,$A218))</f>
        <v/>
      </c>
      <c r="T218" s="13" t="str">
        <f>IF($A218="","",[1]!thsiFinD("ths_adjustment_nv_fund",T$3,$A218))</f>
        <v/>
      </c>
      <c r="U218" s="13" t="str">
        <f>IF($A218="","",[1]!thsiFinD("ths_adjustment_nv_fund",U$3,$A218))</f>
        <v/>
      </c>
      <c r="V218" s="13" t="str">
        <f>IF($A218="","",[1]!thsiFinD("ths_adjustment_nv_fund",V$3,$A218))</f>
        <v/>
      </c>
      <c r="W218" s="13" t="str">
        <f>IF($A218="","",[1]!thsiFinD("ths_adjustment_nv_fund",W$3,$A218))</f>
        <v/>
      </c>
      <c r="X218" s="13" t="str">
        <f>IF($A218="","",[1]!thsiFinD("ths_adjustment_nv_fund",X$3,$A218))</f>
        <v/>
      </c>
      <c r="Y218" s="13" t="str">
        <f>IF($A218="","",[1]!thsiFinD("ths_adjustment_nv_fund",Y$3,$A218))</f>
        <v/>
      </c>
      <c r="Z218" s="13" t="str">
        <f>IF($A218="","",[1]!thsiFinD("ths_adjustment_nv_fund",Z$3,$A218))</f>
        <v/>
      </c>
      <c r="AA218" s="13" t="str">
        <f>IF($A218="","",[1]!thsiFinD("ths_adjustment_nv_fund",AA$3,$A218))</f>
        <v/>
      </c>
      <c r="AB218" s="13" t="str">
        <f>IF($A218="","",[1]!thsiFinD("ths_adjustment_nv_fund",AB$3,$A218))</f>
        <v/>
      </c>
    </row>
    <row r="219" spans="2:28">
      <c r="B219" s="13" t="str">
        <f>IF($A219="","",[1]!thsiFinD("ths_adjustment_nv_fund",B$3,$A219))</f>
        <v/>
      </c>
      <c r="C219" s="13" t="str">
        <f>IF($A219="","",[1]!thsiFinD("ths_adjustment_nv_fund",C$3,$A219))</f>
        <v/>
      </c>
      <c r="D219" s="13" t="str">
        <f>IF($A219="","",[1]!thsiFinD("ths_adjustment_nv_fund",D$3,$A219))</f>
        <v/>
      </c>
      <c r="E219" s="13" t="str">
        <f>IF($A219="","",[1]!thsiFinD("ths_adjustment_nv_fund",E$3,$A219))</f>
        <v/>
      </c>
      <c r="F219" s="13" t="str">
        <f>IF($A219="","",[1]!thsiFinD("ths_adjustment_nv_fund",F$3,$A219))</f>
        <v/>
      </c>
      <c r="G219" s="13" t="str">
        <f>IF($A219="","",[1]!thsiFinD("ths_adjustment_nv_fund",G$3,$A219))</f>
        <v/>
      </c>
      <c r="H219" s="13" t="str">
        <f>IF($A219="","",[1]!thsiFinD("ths_adjustment_nv_fund",H$3,$A219))</f>
        <v/>
      </c>
      <c r="I219" s="13" t="str">
        <f>IF($A219="","",[1]!thsiFinD("ths_adjustment_nv_fund",I$3,$A219))</f>
        <v/>
      </c>
      <c r="J219" s="13" t="str">
        <f>IF($A219="","",[1]!thsiFinD("ths_adjustment_nv_fund",J$3,$A219))</f>
        <v/>
      </c>
      <c r="K219" s="13" t="str">
        <f>IF($A219="","",[1]!thsiFinD("ths_adjustment_nv_fund",K$3,$A219))</f>
        <v/>
      </c>
      <c r="L219" s="13" t="str">
        <f>IF($A219="","",[1]!thsiFinD("ths_adjustment_nv_fund",L$3,$A219))</f>
        <v/>
      </c>
      <c r="M219" s="13" t="str">
        <f>IF($A219="","",[1]!thsiFinD("ths_adjustment_nv_fund",M$3,$A219))</f>
        <v/>
      </c>
      <c r="N219" s="13" t="str">
        <f>IF($A219="","",[1]!thsiFinD("ths_adjustment_nv_fund",N$3,$A219))</f>
        <v/>
      </c>
      <c r="O219" s="13" t="str">
        <f>IF($A219="","",[1]!thsiFinD("ths_adjustment_nv_fund",O$3,$A219))</f>
        <v/>
      </c>
      <c r="P219" s="13" t="str">
        <f>IF($A219="","",[1]!thsiFinD("ths_adjustment_nv_fund",P$3,$A219))</f>
        <v/>
      </c>
      <c r="Q219" s="13" t="str">
        <f>IF($A219="","",[1]!thsiFinD("ths_adjustment_nv_fund",Q$3,$A219))</f>
        <v/>
      </c>
      <c r="R219" s="13" t="str">
        <f>IF($A219="","",[1]!thsiFinD("ths_adjustment_nv_fund",R$3,$A219))</f>
        <v/>
      </c>
      <c r="S219" s="13" t="str">
        <f>IF($A219="","",[1]!thsiFinD("ths_adjustment_nv_fund",S$3,$A219))</f>
        <v/>
      </c>
      <c r="T219" s="13" t="str">
        <f>IF($A219="","",[1]!thsiFinD("ths_adjustment_nv_fund",T$3,$A219))</f>
        <v/>
      </c>
      <c r="U219" s="13" t="str">
        <f>IF($A219="","",[1]!thsiFinD("ths_adjustment_nv_fund",U$3,$A219))</f>
        <v/>
      </c>
      <c r="V219" s="13" t="str">
        <f>IF($A219="","",[1]!thsiFinD("ths_adjustment_nv_fund",V$3,$A219))</f>
        <v/>
      </c>
      <c r="W219" s="13" t="str">
        <f>IF($A219="","",[1]!thsiFinD("ths_adjustment_nv_fund",W$3,$A219))</f>
        <v/>
      </c>
      <c r="X219" s="13" t="str">
        <f>IF($A219="","",[1]!thsiFinD("ths_adjustment_nv_fund",X$3,$A219))</f>
        <v/>
      </c>
      <c r="Y219" s="13" t="str">
        <f>IF($A219="","",[1]!thsiFinD("ths_adjustment_nv_fund",Y$3,$A219))</f>
        <v/>
      </c>
      <c r="Z219" s="13" t="str">
        <f>IF($A219="","",[1]!thsiFinD("ths_adjustment_nv_fund",Z$3,$A219))</f>
        <v/>
      </c>
      <c r="AA219" s="13" t="str">
        <f>IF($A219="","",[1]!thsiFinD("ths_adjustment_nv_fund",AA$3,$A219))</f>
        <v/>
      </c>
      <c r="AB219" s="13" t="str">
        <f>IF($A219="","",[1]!thsiFinD("ths_adjustment_nv_fund",AB$3,$A219))</f>
        <v/>
      </c>
    </row>
    <row r="220" spans="2:28">
      <c r="B220" s="13" t="str">
        <f>IF($A220="","",[1]!thsiFinD("ths_adjustment_nv_fund",B$3,$A220))</f>
        <v/>
      </c>
      <c r="C220" s="13" t="str">
        <f>IF($A220="","",[1]!thsiFinD("ths_adjustment_nv_fund",C$3,$A220))</f>
        <v/>
      </c>
      <c r="D220" s="13" t="str">
        <f>IF($A220="","",[1]!thsiFinD("ths_adjustment_nv_fund",D$3,$A220))</f>
        <v/>
      </c>
      <c r="E220" s="13" t="str">
        <f>IF($A220="","",[1]!thsiFinD("ths_adjustment_nv_fund",E$3,$A220))</f>
        <v/>
      </c>
      <c r="F220" s="13" t="str">
        <f>IF($A220="","",[1]!thsiFinD("ths_adjustment_nv_fund",F$3,$A220))</f>
        <v/>
      </c>
      <c r="G220" s="13" t="str">
        <f>IF($A220="","",[1]!thsiFinD("ths_adjustment_nv_fund",G$3,$A220))</f>
        <v/>
      </c>
      <c r="H220" s="13" t="str">
        <f>IF($A220="","",[1]!thsiFinD("ths_adjustment_nv_fund",H$3,$A220))</f>
        <v/>
      </c>
      <c r="I220" s="13" t="str">
        <f>IF($A220="","",[1]!thsiFinD("ths_adjustment_nv_fund",I$3,$A220))</f>
        <v/>
      </c>
      <c r="J220" s="13" t="str">
        <f>IF($A220="","",[1]!thsiFinD("ths_adjustment_nv_fund",J$3,$A220))</f>
        <v/>
      </c>
      <c r="K220" s="13" t="str">
        <f>IF($A220="","",[1]!thsiFinD("ths_adjustment_nv_fund",K$3,$A220))</f>
        <v/>
      </c>
      <c r="L220" s="13" t="str">
        <f>IF($A220="","",[1]!thsiFinD("ths_adjustment_nv_fund",L$3,$A220))</f>
        <v/>
      </c>
      <c r="M220" s="13" t="str">
        <f>IF($A220="","",[1]!thsiFinD("ths_adjustment_nv_fund",M$3,$A220))</f>
        <v/>
      </c>
      <c r="N220" s="13" t="str">
        <f>IF($A220="","",[1]!thsiFinD("ths_adjustment_nv_fund",N$3,$A220))</f>
        <v/>
      </c>
      <c r="O220" s="13" t="str">
        <f>IF($A220="","",[1]!thsiFinD("ths_adjustment_nv_fund",O$3,$A220))</f>
        <v/>
      </c>
      <c r="P220" s="13" t="str">
        <f>IF($A220="","",[1]!thsiFinD("ths_adjustment_nv_fund",P$3,$A220))</f>
        <v/>
      </c>
      <c r="Q220" s="13" t="str">
        <f>IF($A220="","",[1]!thsiFinD("ths_adjustment_nv_fund",Q$3,$A220))</f>
        <v/>
      </c>
      <c r="R220" s="13" t="str">
        <f>IF($A220="","",[1]!thsiFinD("ths_adjustment_nv_fund",R$3,$A220))</f>
        <v/>
      </c>
      <c r="S220" s="13" t="str">
        <f>IF($A220="","",[1]!thsiFinD("ths_adjustment_nv_fund",S$3,$A220))</f>
        <v/>
      </c>
      <c r="T220" s="13" t="str">
        <f>IF($A220="","",[1]!thsiFinD("ths_adjustment_nv_fund",T$3,$A220))</f>
        <v/>
      </c>
      <c r="U220" s="13" t="str">
        <f>IF($A220="","",[1]!thsiFinD("ths_adjustment_nv_fund",U$3,$A220))</f>
        <v/>
      </c>
      <c r="V220" s="13" t="str">
        <f>IF($A220="","",[1]!thsiFinD("ths_adjustment_nv_fund",V$3,$A220))</f>
        <v/>
      </c>
      <c r="W220" s="13" t="str">
        <f>IF($A220="","",[1]!thsiFinD("ths_adjustment_nv_fund",W$3,$A220))</f>
        <v/>
      </c>
      <c r="X220" s="13" t="str">
        <f>IF($A220="","",[1]!thsiFinD("ths_adjustment_nv_fund",X$3,$A220))</f>
        <v/>
      </c>
      <c r="Y220" s="13" t="str">
        <f>IF($A220="","",[1]!thsiFinD("ths_adjustment_nv_fund",Y$3,$A220))</f>
        <v/>
      </c>
      <c r="Z220" s="13" t="str">
        <f>IF($A220="","",[1]!thsiFinD("ths_adjustment_nv_fund",Z$3,$A220))</f>
        <v/>
      </c>
      <c r="AA220" s="13" t="str">
        <f>IF($A220="","",[1]!thsiFinD("ths_adjustment_nv_fund",AA$3,$A220))</f>
        <v/>
      </c>
      <c r="AB220" s="13" t="str">
        <f>IF($A220="","",[1]!thsiFinD("ths_adjustment_nv_fund",AB$3,$A220))</f>
        <v/>
      </c>
    </row>
    <row r="221" spans="2:28">
      <c r="B221" s="13" t="str">
        <f>IF($A221="","",[1]!thsiFinD("ths_adjustment_nv_fund",B$3,$A221))</f>
        <v/>
      </c>
      <c r="C221" s="13" t="str">
        <f>IF($A221="","",[1]!thsiFinD("ths_adjustment_nv_fund",C$3,$A221))</f>
        <v/>
      </c>
      <c r="D221" s="13" t="str">
        <f>IF($A221="","",[1]!thsiFinD("ths_adjustment_nv_fund",D$3,$A221))</f>
        <v/>
      </c>
      <c r="E221" s="13" t="str">
        <f>IF($A221="","",[1]!thsiFinD("ths_adjustment_nv_fund",E$3,$A221))</f>
        <v/>
      </c>
      <c r="F221" s="13" t="str">
        <f>IF($A221="","",[1]!thsiFinD("ths_adjustment_nv_fund",F$3,$A221))</f>
        <v/>
      </c>
      <c r="G221" s="13" t="str">
        <f>IF($A221="","",[1]!thsiFinD("ths_adjustment_nv_fund",G$3,$A221))</f>
        <v/>
      </c>
      <c r="H221" s="13" t="str">
        <f>IF($A221="","",[1]!thsiFinD("ths_adjustment_nv_fund",H$3,$A221))</f>
        <v/>
      </c>
      <c r="I221" s="13" t="str">
        <f>IF($A221="","",[1]!thsiFinD("ths_adjustment_nv_fund",I$3,$A221))</f>
        <v/>
      </c>
      <c r="J221" s="13" t="str">
        <f>IF($A221="","",[1]!thsiFinD("ths_adjustment_nv_fund",J$3,$A221))</f>
        <v/>
      </c>
      <c r="K221" s="13" t="str">
        <f>IF($A221="","",[1]!thsiFinD("ths_adjustment_nv_fund",K$3,$A221))</f>
        <v/>
      </c>
      <c r="L221" s="13" t="str">
        <f>IF($A221="","",[1]!thsiFinD("ths_adjustment_nv_fund",L$3,$A221))</f>
        <v/>
      </c>
      <c r="M221" s="13" t="str">
        <f>IF($A221="","",[1]!thsiFinD("ths_adjustment_nv_fund",M$3,$A221))</f>
        <v/>
      </c>
      <c r="N221" s="13" t="str">
        <f>IF($A221="","",[1]!thsiFinD("ths_adjustment_nv_fund",N$3,$A221))</f>
        <v/>
      </c>
      <c r="O221" s="13" t="str">
        <f>IF($A221="","",[1]!thsiFinD("ths_adjustment_nv_fund",O$3,$A221))</f>
        <v/>
      </c>
      <c r="P221" s="13" t="str">
        <f>IF($A221="","",[1]!thsiFinD("ths_adjustment_nv_fund",P$3,$A221))</f>
        <v/>
      </c>
      <c r="Q221" s="13" t="str">
        <f>IF($A221="","",[1]!thsiFinD("ths_adjustment_nv_fund",Q$3,$A221))</f>
        <v/>
      </c>
      <c r="R221" s="13" t="str">
        <f>IF($A221="","",[1]!thsiFinD("ths_adjustment_nv_fund",R$3,$A221))</f>
        <v/>
      </c>
      <c r="S221" s="13" t="str">
        <f>IF($A221="","",[1]!thsiFinD("ths_adjustment_nv_fund",S$3,$A221))</f>
        <v/>
      </c>
      <c r="T221" s="13" t="str">
        <f>IF($A221="","",[1]!thsiFinD("ths_adjustment_nv_fund",T$3,$A221))</f>
        <v/>
      </c>
      <c r="U221" s="13" t="str">
        <f>IF($A221="","",[1]!thsiFinD("ths_adjustment_nv_fund",U$3,$A221))</f>
        <v/>
      </c>
      <c r="V221" s="13" t="str">
        <f>IF($A221="","",[1]!thsiFinD("ths_adjustment_nv_fund",V$3,$A221))</f>
        <v/>
      </c>
      <c r="W221" s="13" t="str">
        <f>IF($A221="","",[1]!thsiFinD("ths_adjustment_nv_fund",W$3,$A221))</f>
        <v/>
      </c>
      <c r="X221" s="13" t="str">
        <f>IF($A221="","",[1]!thsiFinD("ths_adjustment_nv_fund",X$3,$A221))</f>
        <v/>
      </c>
      <c r="Y221" s="13" t="str">
        <f>IF($A221="","",[1]!thsiFinD("ths_adjustment_nv_fund",Y$3,$A221))</f>
        <v/>
      </c>
      <c r="Z221" s="13" t="str">
        <f>IF($A221="","",[1]!thsiFinD("ths_adjustment_nv_fund",Z$3,$A221))</f>
        <v/>
      </c>
      <c r="AA221" s="13" t="str">
        <f>IF($A221="","",[1]!thsiFinD("ths_adjustment_nv_fund",AA$3,$A221))</f>
        <v/>
      </c>
      <c r="AB221" s="13" t="str">
        <f>IF($A221="","",[1]!thsiFinD("ths_adjustment_nv_fund",AB$3,$A221))</f>
        <v/>
      </c>
    </row>
    <row r="222" spans="2:28">
      <c r="B222" s="13" t="str">
        <f>IF($A222="","",[1]!thsiFinD("ths_adjustment_nv_fund",B$3,$A222))</f>
        <v/>
      </c>
      <c r="C222" s="13" t="str">
        <f>IF($A222="","",[1]!thsiFinD("ths_adjustment_nv_fund",C$3,$A222))</f>
        <v/>
      </c>
      <c r="D222" s="13" t="str">
        <f>IF($A222="","",[1]!thsiFinD("ths_adjustment_nv_fund",D$3,$A222))</f>
        <v/>
      </c>
      <c r="E222" s="13" t="str">
        <f>IF($A222="","",[1]!thsiFinD("ths_adjustment_nv_fund",E$3,$A222))</f>
        <v/>
      </c>
      <c r="F222" s="13" t="str">
        <f>IF($A222="","",[1]!thsiFinD("ths_adjustment_nv_fund",F$3,$A222))</f>
        <v/>
      </c>
      <c r="G222" s="13" t="str">
        <f>IF($A222="","",[1]!thsiFinD("ths_adjustment_nv_fund",G$3,$A222))</f>
        <v/>
      </c>
      <c r="H222" s="13" t="str">
        <f>IF($A222="","",[1]!thsiFinD("ths_adjustment_nv_fund",H$3,$A222))</f>
        <v/>
      </c>
      <c r="I222" s="13" t="str">
        <f>IF($A222="","",[1]!thsiFinD("ths_adjustment_nv_fund",I$3,$A222))</f>
        <v/>
      </c>
      <c r="J222" s="13" t="str">
        <f>IF($A222="","",[1]!thsiFinD("ths_adjustment_nv_fund",J$3,$A222))</f>
        <v/>
      </c>
      <c r="K222" s="13" t="str">
        <f>IF($A222="","",[1]!thsiFinD("ths_adjustment_nv_fund",K$3,$A222))</f>
        <v/>
      </c>
      <c r="L222" s="13" t="str">
        <f>IF($A222="","",[1]!thsiFinD("ths_adjustment_nv_fund",L$3,$A222))</f>
        <v/>
      </c>
      <c r="M222" s="13" t="str">
        <f>IF($A222="","",[1]!thsiFinD("ths_adjustment_nv_fund",M$3,$A222))</f>
        <v/>
      </c>
      <c r="N222" s="13" t="str">
        <f>IF($A222="","",[1]!thsiFinD("ths_adjustment_nv_fund",N$3,$A222))</f>
        <v/>
      </c>
      <c r="O222" s="13" t="str">
        <f>IF($A222="","",[1]!thsiFinD("ths_adjustment_nv_fund",O$3,$A222))</f>
        <v/>
      </c>
      <c r="P222" s="13" t="str">
        <f>IF($A222="","",[1]!thsiFinD("ths_adjustment_nv_fund",P$3,$A222))</f>
        <v/>
      </c>
      <c r="Q222" s="13" t="str">
        <f>IF($A222="","",[1]!thsiFinD("ths_adjustment_nv_fund",Q$3,$A222))</f>
        <v/>
      </c>
      <c r="R222" s="13" t="str">
        <f>IF($A222="","",[1]!thsiFinD("ths_adjustment_nv_fund",R$3,$A222))</f>
        <v/>
      </c>
      <c r="S222" s="13" t="str">
        <f>IF($A222="","",[1]!thsiFinD("ths_adjustment_nv_fund",S$3,$A222))</f>
        <v/>
      </c>
      <c r="T222" s="13" t="str">
        <f>IF($A222="","",[1]!thsiFinD("ths_adjustment_nv_fund",T$3,$A222))</f>
        <v/>
      </c>
      <c r="U222" s="13" t="str">
        <f>IF($A222="","",[1]!thsiFinD("ths_adjustment_nv_fund",U$3,$A222))</f>
        <v/>
      </c>
      <c r="V222" s="13" t="str">
        <f>IF($A222="","",[1]!thsiFinD("ths_adjustment_nv_fund",V$3,$A222))</f>
        <v/>
      </c>
      <c r="W222" s="13" t="str">
        <f>IF($A222="","",[1]!thsiFinD("ths_adjustment_nv_fund",W$3,$A222))</f>
        <v/>
      </c>
      <c r="X222" s="13" t="str">
        <f>IF($A222="","",[1]!thsiFinD("ths_adjustment_nv_fund",X$3,$A222))</f>
        <v/>
      </c>
      <c r="Y222" s="13" t="str">
        <f>IF($A222="","",[1]!thsiFinD("ths_adjustment_nv_fund",Y$3,$A222))</f>
        <v/>
      </c>
      <c r="Z222" s="13" t="str">
        <f>IF($A222="","",[1]!thsiFinD("ths_adjustment_nv_fund",Z$3,$A222))</f>
        <v/>
      </c>
      <c r="AA222" s="13" t="str">
        <f>IF($A222="","",[1]!thsiFinD("ths_adjustment_nv_fund",AA$3,$A222))</f>
        <v/>
      </c>
      <c r="AB222" s="13" t="str">
        <f>IF($A222="","",[1]!thsiFinD("ths_adjustment_nv_fund",AB$3,$A222))</f>
        <v/>
      </c>
    </row>
    <row r="223" spans="2:28">
      <c r="B223" s="13" t="str">
        <f>IF($A223="","",[1]!thsiFinD("ths_adjustment_nv_fund",B$3,$A223))</f>
        <v/>
      </c>
      <c r="C223" s="13" t="str">
        <f>IF($A223="","",[1]!thsiFinD("ths_adjustment_nv_fund",C$3,$A223))</f>
        <v/>
      </c>
      <c r="D223" s="13" t="str">
        <f>IF($A223="","",[1]!thsiFinD("ths_adjustment_nv_fund",D$3,$A223))</f>
        <v/>
      </c>
      <c r="E223" s="13" t="str">
        <f>IF($A223="","",[1]!thsiFinD("ths_adjustment_nv_fund",E$3,$A223))</f>
        <v/>
      </c>
      <c r="F223" s="13" t="str">
        <f>IF($A223="","",[1]!thsiFinD("ths_adjustment_nv_fund",F$3,$A223))</f>
        <v/>
      </c>
      <c r="G223" s="13" t="str">
        <f>IF($A223="","",[1]!thsiFinD("ths_adjustment_nv_fund",G$3,$A223))</f>
        <v/>
      </c>
      <c r="H223" s="13" t="str">
        <f>IF($A223="","",[1]!thsiFinD("ths_adjustment_nv_fund",H$3,$A223))</f>
        <v/>
      </c>
      <c r="I223" s="13" t="str">
        <f>IF($A223="","",[1]!thsiFinD("ths_adjustment_nv_fund",I$3,$A223))</f>
        <v/>
      </c>
      <c r="J223" s="13" t="str">
        <f>IF($A223="","",[1]!thsiFinD("ths_adjustment_nv_fund",J$3,$A223))</f>
        <v/>
      </c>
      <c r="K223" s="13" t="str">
        <f>IF($A223="","",[1]!thsiFinD("ths_adjustment_nv_fund",K$3,$A223))</f>
        <v/>
      </c>
      <c r="L223" s="13" t="str">
        <f>IF($A223="","",[1]!thsiFinD("ths_adjustment_nv_fund",L$3,$A223))</f>
        <v/>
      </c>
      <c r="M223" s="13" t="str">
        <f>IF($A223="","",[1]!thsiFinD("ths_adjustment_nv_fund",M$3,$A223))</f>
        <v/>
      </c>
      <c r="N223" s="13" t="str">
        <f>IF($A223="","",[1]!thsiFinD("ths_adjustment_nv_fund",N$3,$A223))</f>
        <v/>
      </c>
      <c r="O223" s="13" t="str">
        <f>IF($A223="","",[1]!thsiFinD("ths_adjustment_nv_fund",O$3,$A223))</f>
        <v/>
      </c>
      <c r="P223" s="13" t="str">
        <f>IF($A223="","",[1]!thsiFinD("ths_adjustment_nv_fund",P$3,$A223))</f>
        <v/>
      </c>
      <c r="Q223" s="13" t="str">
        <f>IF($A223="","",[1]!thsiFinD("ths_adjustment_nv_fund",Q$3,$A223))</f>
        <v/>
      </c>
      <c r="R223" s="13" t="str">
        <f>IF($A223="","",[1]!thsiFinD("ths_adjustment_nv_fund",R$3,$A223))</f>
        <v/>
      </c>
      <c r="S223" s="13" t="str">
        <f>IF($A223="","",[1]!thsiFinD("ths_adjustment_nv_fund",S$3,$A223))</f>
        <v/>
      </c>
      <c r="T223" s="13" t="str">
        <f>IF($A223="","",[1]!thsiFinD("ths_adjustment_nv_fund",T$3,$A223))</f>
        <v/>
      </c>
      <c r="U223" s="13" t="str">
        <f>IF($A223="","",[1]!thsiFinD("ths_adjustment_nv_fund",U$3,$A223))</f>
        <v/>
      </c>
      <c r="V223" s="13" t="str">
        <f>IF($A223="","",[1]!thsiFinD("ths_adjustment_nv_fund",V$3,$A223))</f>
        <v/>
      </c>
      <c r="W223" s="13" t="str">
        <f>IF($A223="","",[1]!thsiFinD("ths_adjustment_nv_fund",W$3,$A223))</f>
        <v/>
      </c>
      <c r="X223" s="13" t="str">
        <f>IF($A223="","",[1]!thsiFinD("ths_adjustment_nv_fund",X$3,$A223))</f>
        <v/>
      </c>
      <c r="Y223" s="13" t="str">
        <f>IF($A223="","",[1]!thsiFinD("ths_adjustment_nv_fund",Y$3,$A223))</f>
        <v/>
      </c>
      <c r="Z223" s="13" t="str">
        <f>IF($A223="","",[1]!thsiFinD("ths_adjustment_nv_fund",Z$3,$A223))</f>
        <v/>
      </c>
      <c r="AA223" s="13" t="str">
        <f>IF($A223="","",[1]!thsiFinD("ths_adjustment_nv_fund",AA$3,$A223))</f>
        <v/>
      </c>
      <c r="AB223" s="13" t="str">
        <f>IF($A223="","",[1]!thsiFinD("ths_adjustment_nv_fund",AB$3,$A223))</f>
        <v/>
      </c>
    </row>
    <row r="224" spans="2:28">
      <c r="B224" s="13" t="str">
        <f>IF($A224="","",[1]!thsiFinD("ths_adjustment_nv_fund",B$3,$A224))</f>
        <v/>
      </c>
      <c r="C224" s="13" t="str">
        <f>IF($A224="","",[1]!thsiFinD("ths_adjustment_nv_fund",C$3,$A224))</f>
        <v/>
      </c>
      <c r="D224" s="13" t="str">
        <f>IF($A224="","",[1]!thsiFinD("ths_adjustment_nv_fund",D$3,$A224))</f>
        <v/>
      </c>
      <c r="E224" s="13" t="str">
        <f>IF($A224="","",[1]!thsiFinD("ths_adjustment_nv_fund",E$3,$A224))</f>
        <v/>
      </c>
      <c r="F224" s="13" t="str">
        <f>IF($A224="","",[1]!thsiFinD("ths_adjustment_nv_fund",F$3,$A224))</f>
        <v/>
      </c>
      <c r="G224" s="13" t="str">
        <f>IF($A224="","",[1]!thsiFinD("ths_adjustment_nv_fund",G$3,$A224))</f>
        <v/>
      </c>
      <c r="H224" s="13" t="str">
        <f>IF($A224="","",[1]!thsiFinD("ths_adjustment_nv_fund",H$3,$A224))</f>
        <v/>
      </c>
      <c r="I224" s="13" t="str">
        <f>IF($A224="","",[1]!thsiFinD("ths_adjustment_nv_fund",I$3,$A224))</f>
        <v/>
      </c>
      <c r="J224" s="13" t="str">
        <f>IF($A224="","",[1]!thsiFinD("ths_adjustment_nv_fund",J$3,$A224))</f>
        <v/>
      </c>
      <c r="K224" s="13" t="str">
        <f>IF($A224="","",[1]!thsiFinD("ths_adjustment_nv_fund",K$3,$A224))</f>
        <v/>
      </c>
      <c r="L224" s="13" t="str">
        <f>IF($A224="","",[1]!thsiFinD("ths_adjustment_nv_fund",L$3,$A224))</f>
        <v/>
      </c>
      <c r="M224" s="13" t="str">
        <f>IF($A224="","",[1]!thsiFinD("ths_adjustment_nv_fund",M$3,$A224))</f>
        <v/>
      </c>
      <c r="N224" s="13" t="str">
        <f>IF($A224="","",[1]!thsiFinD("ths_adjustment_nv_fund",N$3,$A224))</f>
        <v/>
      </c>
      <c r="O224" s="13" t="str">
        <f>IF($A224="","",[1]!thsiFinD("ths_adjustment_nv_fund",O$3,$A224))</f>
        <v/>
      </c>
      <c r="P224" s="13" t="str">
        <f>IF($A224="","",[1]!thsiFinD("ths_adjustment_nv_fund",P$3,$A224))</f>
        <v/>
      </c>
      <c r="Q224" s="13" t="str">
        <f>IF($A224="","",[1]!thsiFinD("ths_adjustment_nv_fund",Q$3,$A224))</f>
        <v/>
      </c>
      <c r="R224" s="13" t="str">
        <f>IF($A224="","",[1]!thsiFinD("ths_adjustment_nv_fund",R$3,$A224))</f>
        <v/>
      </c>
      <c r="S224" s="13" t="str">
        <f>IF($A224="","",[1]!thsiFinD("ths_adjustment_nv_fund",S$3,$A224))</f>
        <v/>
      </c>
      <c r="T224" s="13" t="str">
        <f>IF($A224="","",[1]!thsiFinD("ths_adjustment_nv_fund",T$3,$A224))</f>
        <v/>
      </c>
      <c r="U224" s="13" t="str">
        <f>IF($A224="","",[1]!thsiFinD("ths_adjustment_nv_fund",U$3,$A224))</f>
        <v/>
      </c>
      <c r="V224" s="13" t="str">
        <f>IF($A224="","",[1]!thsiFinD("ths_adjustment_nv_fund",V$3,$A224))</f>
        <v/>
      </c>
      <c r="W224" s="13" t="str">
        <f>IF($A224="","",[1]!thsiFinD("ths_adjustment_nv_fund",W$3,$A224))</f>
        <v/>
      </c>
      <c r="X224" s="13" t="str">
        <f>IF($A224="","",[1]!thsiFinD("ths_adjustment_nv_fund",X$3,$A224))</f>
        <v/>
      </c>
      <c r="Y224" s="13" t="str">
        <f>IF($A224="","",[1]!thsiFinD("ths_adjustment_nv_fund",Y$3,$A224))</f>
        <v/>
      </c>
      <c r="Z224" s="13" t="str">
        <f>IF($A224="","",[1]!thsiFinD("ths_adjustment_nv_fund",Z$3,$A224))</f>
        <v/>
      </c>
      <c r="AA224" s="13" t="str">
        <f>IF($A224="","",[1]!thsiFinD("ths_adjustment_nv_fund",AA$3,$A224))</f>
        <v/>
      </c>
      <c r="AB224" s="13" t="str">
        <f>IF($A224="","",[1]!thsiFinD("ths_adjustment_nv_fund",AB$3,$A224))</f>
        <v/>
      </c>
    </row>
    <row r="225" spans="2:28">
      <c r="B225" s="13" t="str">
        <f>IF($A225="","",[1]!thsiFinD("ths_adjustment_nv_fund",B$3,$A225))</f>
        <v/>
      </c>
      <c r="C225" s="13" t="str">
        <f>IF($A225="","",[1]!thsiFinD("ths_adjustment_nv_fund",C$3,$A225))</f>
        <v/>
      </c>
      <c r="D225" s="13" t="str">
        <f>IF($A225="","",[1]!thsiFinD("ths_adjustment_nv_fund",D$3,$A225))</f>
        <v/>
      </c>
      <c r="E225" s="13" t="str">
        <f>IF($A225="","",[1]!thsiFinD("ths_adjustment_nv_fund",E$3,$A225))</f>
        <v/>
      </c>
      <c r="F225" s="13" t="str">
        <f>IF($A225="","",[1]!thsiFinD("ths_adjustment_nv_fund",F$3,$A225))</f>
        <v/>
      </c>
      <c r="G225" s="13" t="str">
        <f>IF($A225="","",[1]!thsiFinD("ths_adjustment_nv_fund",G$3,$A225))</f>
        <v/>
      </c>
      <c r="H225" s="13" t="str">
        <f>IF($A225="","",[1]!thsiFinD("ths_adjustment_nv_fund",H$3,$A225))</f>
        <v/>
      </c>
      <c r="I225" s="13" t="str">
        <f>IF($A225="","",[1]!thsiFinD("ths_adjustment_nv_fund",I$3,$A225))</f>
        <v/>
      </c>
      <c r="J225" s="13" t="str">
        <f>IF($A225="","",[1]!thsiFinD("ths_adjustment_nv_fund",J$3,$A225))</f>
        <v/>
      </c>
      <c r="K225" s="13" t="str">
        <f>IF($A225="","",[1]!thsiFinD("ths_adjustment_nv_fund",K$3,$A225))</f>
        <v/>
      </c>
      <c r="L225" s="13" t="str">
        <f>IF($A225="","",[1]!thsiFinD("ths_adjustment_nv_fund",L$3,$A225))</f>
        <v/>
      </c>
      <c r="M225" s="13" t="str">
        <f>IF($A225="","",[1]!thsiFinD("ths_adjustment_nv_fund",M$3,$A225))</f>
        <v/>
      </c>
      <c r="N225" s="13" t="str">
        <f>IF($A225="","",[1]!thsiFinD("ths_adjustment_nv_fund",N$3,$A225))</f>
        <v/>
      </c>
      <c r="O225" s="13" t="str">
        <f>IF($A225="","",[1]!thsiFinD("ths_adjustment_nv_fund",O$3,$A225))</f>
        <v/>
      </c>
      <c r="P225" s="13" t="str">
        <f>IF($A225="","",[1]!thsiFinD("ths_adjustment_nv_fund",P$3,$A225))</f>
        <v/>
      </c>
      <c r="Q225" s="13" t="str">
        <f>IF($A225="","",[1]!thsiFinD("ths_adjustment_nv_fund",Q$3,$A225))</f>
        <v/>
      </c>
      <c r="R225" s="13" t="str">
        <f>IF($A225="","",[1]!thsiFinD("ths_adjustment_nv_fund",R$3,$A225))</f>
        <v/>
      </c>
      <c r="S225" s="13" t="str">
        <f>IF($A225="","",[1]!thsiFinD("ths_adjustment_nv_fund",S$3,$A225))</f>
        <v/>
      </c>
      <c r="T225" s="13" t="str">
        <f>IF($A225="","",[1]!thsiFinD("ths_adjustment_nv_fund",T$3,$A225))</f>
        <v/>
      </c>
      <c r="U225" s="13" t="str">
        <f>IF($A225="","",[1]!thsiFinD("ths_adjustment_nv_fund",U$3,$A225))</f>
        <v/>
      </c>
      <c r="V225" s="13" t="str">
        <f>IF($A225="","",[1]!thsiFinD("ths_adjustment_nv_fund",V$3,$A225))</f>
        <v/>
      </c>
      <c r="W225" s="13" t="str">
        <f>IF($A225="","",[1]!thsiFinD("ths_adjustment_nv_fund",W$3,$A225))</f>
        <v/>
      </c>
      <c r="X225" s="13" t="str">
        <f>IF($A225="","",[1]!thsiFinD("ths_adjustment_nv_fund",X$3,$A225))</f>
        <v/>
      </c>
      <c r="Y225" s="13" t="str">
        <f>IF($A225="","",[1]!thsiFinD("ths_adjustment_nv_fund",Y$3,$A225))</f>
        <v/>
      </c>
      <c r="Z225" s="13" t="str">
        <f>IF($A225="","",[1]!thsiFinD("ths_adjustment_nv_fund",Z$3,$A225))</f>
        <v/>
      </c>
      <c r="AA225" s="13" t="str">
        <f>IF($A225="","",[1]!thsiFinD("ths_adjustment_nv_fund",AA$3,$A225))</f>
        <v/>
      </c>
      <c r="AB225" s="13" t="str">
        <f>IF($A225="","",[1]!thsiFinD("ths_adjustment_nv_fund",AB$3,$A225))</f>
        <v/>
      </c>
    </row>
    <row r="226" spans="2:28">
      <c r="B226" s="13" t="str">
        <f>IF($A226="","",[1]!thsiFinD("ths_adjustment_nv_fund",B$3,$A226))</f>
        <v/>
      </c>
      <c r="C226" s="13" t="str">
        <f>IF($A226="","",[1]!thsiFinD("ths_adjustment_nv_fund",C$3,$A226))</f>
        <v/>
      </c>
      <c r="D226" s="13" t="str">
        <f>IF($A226="","",[1]!thsiFinD("ths_adjustment_nv_fund",D$3,$A226))</f>
        <v/>
      </c>
      <c r="E226" s="13" t="str">
        <f>IF($A226="","",[1]!thsiFinD("ths_adjustment_nv_fund",E$3,$A226))</f>
        <v/>
      </c>
      <c r="F226" s="13" t="str">
        <f>IF($A226="","",[1]!thsiFinD("ths_adjustment_nv_fund",F$3,$A226))</f>
        <v/>
      </c>
      <c r="G226" s="13" t="str">
        <f>IF($A226="","",[1]!thsiFinD("ths_adjustment_nv_fund",G$3,$A226))</f>
        <v/>
      </c>
      <c r="H226" s="13" t="str">
        <f>IF($A226="","",[1]!thsiFinD("ths_adjustment_nv_fund",H$3,$A226))</f>
        <v/>
      </c>
      <c r="I226" s="13" t="str">
        <f>IF($A226="","",[1]!thsiFinD("ths_adjustment_nv_fund",I$3,$A226))</f>
        <v/>
      </c>
      <c r="J226" s="13" t="str">
        <f>IF($A226="","",[1]!thsiFinD("ths_adjustment_nv_fund",J$3,$A226))</f>
        <v/>
      </c>
      <c r="K226" s="13" t="str">
        <f>IF($A226="","",[1]!thsiFinD("ths_adjustment_nv_fund",K$3,$A226))</f>
        <v/>
      </c>
      <c r="L226" s="13" t="str">
        <f>IF($A226="","",[1]!thsiFinD("ths_adjustment_nv_fund",L$3,$A226))</f>
        <v/>
      </c>
      <c r="M226" s="13" t="str">
        <f>IF($A226="","",[1]!thsiFinD("ths_adjustment_nv_fund",M$3,$A226))</f>
        <v/>
      </c>
      <c r="N226" s="13" t="str">
        <f>IF($A226="","",[1]!thsiFinD("ths_adjustment_nv_fund",N$3,$A226))</f>
        <v/>
      </c>
      <c r="O226" s="13" t="str">
        <f>IF($A226="","",[1]!thsiFinD("ths_adjustment_nv_fund",O$3,$A226))</f>
        <v/>
      </c>
      <c r="P226" s="13" t="str">
        <f>IF($A226="","",[1]!thsiFinD("ths_adjustment_nv_fund",P$3,$A226))</f>
        <v/>
      </c>
      <c r="Q226" s="13" t="str">
        <f>IF($A226="","",[1]!thsiFinD("ths_adjustment_nv_fund",Q$3,$A226))</f>
        <v/>
      </c>
      <c r="R226" s="13" t="str">
        <f>IF($A226="","",[1]!thsiFinD("ths_adjustment_nv_fund",R$3,$A226))</f>
        <v/>
      </c>
      <c r="S226" s="13" t="str">
        <f>IF($A226="","",[1]!thsiFinD("ths_adjustment_nv_fund",S$3,$A226))</f>
        <v/>
      </c>
      <c r="T226" s="13" t="str">
        <f>IF($A226="","",[1]!thsiFinD("ths_adjustment_nv_fund",T$3,$A226))</f>
        <v/>
      </c>
      <c r="U226" s="13" t="str">
        <f>IF($A226="","",[1]!thsiFinD("ths_adjustment_nv_fund",U$3,$A226))</f>
        <v/>
      </c>
      <c r="V226" s="13" t="str">
        <f>IF($A226="","",[1]!thsiFinD("ths_adjustment_nv_fund",V$3,$A226))</f>
        <v/>
      </c>
      <c r="W226" s="13" t="str">
        <f>IF($A226="","",[1]!thsiFinD("ths_adjustment_nv_fund",W$3,$A226))</f>
        <v/>
      </c>
      <c r="X226" s="13" t="str">
        <f>IF($A226="","",[1]!thsiFinD("ths_adjustment_nv_fund",X$3,$A226))</f>
        <v/>
      </c>
      <c r="Y226" s="13" t="str">
        <f>IF($A226="","",[1]!thsiFinD("ths_adjustment_nv_fund",Y$3,$A226))</f>
        <v/>
      </c>
      <c r="Z226" s="13" t="str">
        <f>IF($A226="","",[1]!thsiFinD("ths_adjustment_nv_fund",Z$3,$A226))</f>
        <v/>
      </c>
      <c r="AA226" s="13" t="str">
        <f>IF($A226="","",[1]!thsiFinD("ths_adjustment_nv_fund",AA$3,$A226))</f>
        <v/>
      </c>
      <c r="AB226" s="13" t="str">
        <f>IF($A226="","",[1]!thsiFinD("ths_adjustment_nv_fund",AB$3,$A226))</f>
        <v/>
      </c>
    </row>
    <row r="227" spans="2:28">
      <c r="B227" s="13" t="str">
        <f>IF($A227="","",[1]!thsiFinD("ths_adjustment_nv_fund",B$3,$A227))</f>
        <v/>
      </c>
      <c r="C227" s="13" t="str">
        <f>IF($A227="","",[1]!thsiFinD("ths_adjustment_nv_fund",C$3,$A227))</f>
        <v/>
      </c>
      <c r="D227" s="13" t="str">
        <f>IF($A227="","",[1]!thsiFinD("ths_adjustment_nv_fund",D$3,$A227))</f>
        <v/>
      </c>
      <c r="E227" s="13" t="str">
        <f>IF($A227="","",[1]!thsiFinD("ths_adjustment_nv_fund",E$3,$A227))</f>
        <v/>
      </c>
      <c r="F227" s="13" t="str">
        <f>IF($A227="","",[1]!thsiFinD("ths_adjustment_nv_fund",F$3,$A227))</f>
        <v/>
      </c>
      <c r="G227" s="13" t="str">
        <f>IF($A227="","",[1]!thsiFinD("ths_adjustment_nv_fund",G$3,$A227))</f>
        <v/>
      </c>
      <c r="H227" s="13" t="str">
        <f>IF($A227="","",[1]!thsiFinD("ths_adjustment_nv_fund",H$3,$A227))</f>
        <v/>
      </c>
      <c r="I227" s="13" t="str">
        <f>IF($A227="","",[1]!thsiFinD("ths_adjustment_nv_fund",I$3,$A227))</f>
        <v/>
      </c>
      <c r="J227" s="13" t="str">
        <f>IF($A227="","",[1]!thsiFinD("ths_adjustment_nv_fund",J$3,$A227))</f>
        <v/>
      </c>
      <c r="K227" s="13" t="str">
        <f>IF($A227="","",[1]!thsiFinD("ths_adjustment_nv_fund",K$3,$A227))</f>
        <v/>
      </c>
      <c r="L227" s="13" t="str">
        <f>IF($A227="","",[1]!thsiFinD("ths_adjustment_nv_fund",L$3,$A227))</f>
        <v/>
      </c>
      <c r="M227" s="13" t="str">
        <f>IF($A227="","",[1]!thsiFinD("ths_adjustment_nv_fund",M$3,$A227))</f>
        <v/>
      </c>
      <c r="N227" s="13" t="str">
        <f>IF($A227="","",[1]!thsiFinD("ths_adjustment_nv_fund",N$3,$A227))</f>
        <v/>
      </c>
      <c r="O227" s="13" t="str">
        <f>IF($A227="","",[1]!thsiFinD("ths_adjustment_nv_fund",O$3,$A227))</f>
        <v/>
      </c>
      <c r="P227" s="13" t="str">
        <f>IF($A227="","",[1]!thsiFinD("ths_adjustment_nv_fund",P$3,$A227))</f>
        <v/>
      </c>
      <c r="Q227" s="13" t="str">
        <f>IF($A227="","",[1]!thsiFinD("ths_adjustment_nv_fund",Q$3,$A227))</f>
        <v/>
      </c>
      <c r="R227" s="13" t="str">
        <f>IF($A227="","",[1]!thsiFinD("ths_adjustment_nv_fund",R$3,$A227))</f>
        <v/>
      </c>
      <c r="S227" s="13" t="str">
        <f>IF($A227="","",[1]!thsiFinD("ths_adjustment_nv_fund",S$3,$A227))</f>
        <v/>
      </c>
      <c r="T227" s="13" t="str">
        <f>IF($A227="","",[1]!thsiFinD("ths_adjustment_nv_fund",T$3,$A227))</f>
        <v/>
      </c>
      <c r="U227" s="13" t="str">
        <f>IF($A227="","",[1]!thsiFinD("ths_adjustment_nv_fund",U$3,$A227))</f>
        <v/>
      </c>
      <c r="V227" s="13" t="str">
        <f>IF($A227="","",[1]!thsiFinD("ths_adjustment_nv_fund",V$3,$A227))</f>
        <v/>
      </c>
      <c r="W227" s="13" t="str">
        <f>IF($A227="","",[1]!thsiFinD("ths_adjustment_nv_fund",W$3,$A227))</f>
        <v/>
      </c>
      <c r="X227" s="13" t="str">
        <f>IF($A227="","",[1]!thsiFinD("ths_adjustment_nv_fund",X$3,$A227))</f>
        <v/>
      </c>
      <c r="Y227" s="13" t="str">
        <f>IF($A227="","",[1]!thsiFinD("ths_adjustment_nv_fund",Y$3,$A227))</f>
        <v/>
      </c>
      <c r="Z227" s="13" t="str">
        <f>IF($A227="","",[1]!thsiFinD("ths_adjustment_nv_fund",Z$3,$A227))</f>
        <v/>
      </c>
      <c r="AA227" s="13" t="str">
        <f>IF($A227="","",[1]!thsiFinD("ths_adjustment_nv_fund",AA$3,$A227))</f>
        <v/>
      </c>
      <c r="AB227" s="13" t="str">
        <f>IF($A227="","",[1]!thsiFinD("ths_adjustment_nv_fund",AB$3,$A227))</f>
        <v/>
      </c>
    </row>
    <row r="228" spans="2:28">
      <c r="B228" s="13" t="str">
        <f>IF($A228="","",[1]!thsiFinD("ths_adjustment_nv_fund",B$3,$A228))</f>
        <v/>
      </c>
      <c r="C228" s="13" t="str">
        <f>IF($A228="","",[1]!thsiFinD("ths_adjustment_nv_fund",C$3,$A228))</f>
        <v/>
      </c>
      <c r="D228" s="13" t="str">
        <f>IF($A228="","",[1]!thsiFinD("ths_adjustment_nv_fund",D$3,$A228))</f>
        <v/>
      </c>
      <c r="E228" s="13" t="str">
        <f>IF($A228="","",[1]!thsiFinD("ths_adjustment_nv_fund",E$3,$A228))</f>
        <v/>
      </c>
      <c r="F228" s="13" t="str">
        <f>IF($A228="","",[1]!thsiFinD("ths_adjustment_nv_fund",F$3,$A228))</f>
        <v/>
      </c>
      <c r="G228" s="13" t="str">
        <f>IF($A228="","",[1]!thsiFinD("ths_adjustment_nv_fund",G$3,$A228))</f>
        <v/>
      </c>
      <c r="H228" s="13" t="str">
        <f>IF($A228="","",[1]!thsiFinD("ths_adjustment_nv_fund",H$3,$A228))</f>
        <v/>
      </c>
      <c r="I228" s="13" t="str">
        <f>IF($A228="","",[1]!thsiFinD("ths_adjustment_nv_fund",I$3,$A228))</f>
        <v/>
      </c>
      <c r="J228" s="13" t="str">
        <f>IF($A228="","",[1]!thsiFinD("ths_adjustment_nv_fund",J$3,$A228))</f>
        <v/>
      </c>
      <c r="K228" s="13" t="str">
        <f>IF($A228="","",[1]!thsiFinD("ths_adjustment_nv_fund",K$3,$A228))</f>
        <v/>
      </c>
      <c r="L228" s="13" t="str">
        <f>IF($A228="","",[1]!thsiFinD("ths_adjustment_nv_fund",L$3,$A228))</f>
        <v/>
      </c>
      <c r="M228" s="13" t="str">
        <f>IF($A228="","",[1]!thsiFinD("ths_adjustment_nv_fund",M$3,$A228))</f>
        <v/>
      </c>
      <c r="N228" s="13" t="str">
        <f>IF($A228="","",[1]!thsiFinD("ths_adjustment_nv_fund",N$3,$A228))</f>
        <v/>
      </c>
      <c r="O228" s="13" t="str">
        <f>IF($A228="","",[1]!thsiFinD("ths_adjustment_nv_fund",O$3,$A228))</f>
        <v/>
      </c>
      <c r="P228" s="13" t="str">
        <f>IF($A228="","",[1]!thsiFinD("ths_adjustment_nv_fund",P$3,$A228))</f>
        <v/>
      </c>
      <c r="Q228" s="13" t="str">
        <f>IF($A228="","",[1]!thsiFinD("ths_adjustment_nv_fund",Q$3,$A228))</f>
        <v/>
      </c>
      <c r="R228" s="13" t="str">
        <f>IF($A228="","",[1]!thsiFinD("ths_adjustment_nv_fund",R$3,$A228))</f>
        <v/>
      </c>
      <c r="S228" s="13" t="str">
        <f>IF($A228="","",[1]!thsiFinD("ths_adjustment_nv_fund",S$3,$A228))</f>
        <v/>
      </c>
      <c r="T228" s="13" t="str">
        <f>IF($A228="","",[1]!thsiFinD("ths_adjustment_nv_fund",T$3,$A228))</f>
        <v/>
      </c>
      <c r="U228" s="13" t="str">
        <f>IF($A228="","",[1]!thsiFinD("ths_adjustment_nv_fund",U$3,$A228))</f>
        <v/>
      </c>
      <c r="V228" s="13" t="str">
        <f>IF($A228="","",[1]!thsiFinD("ths_adjustment_nv_fund",V$3,$A228))</f>
        <v/>
      </c>
      <c r="W228" s="13" t="str">
        <f>IF($A228="","",[1]!thsiFinD("ths_adjustment_nv_fund",W$3,$A228))</f>
        <v/>
      </c>
      <c r="X228" s="13" t="str">
        <f>IF($A228="","",[1]!thsiFinD("ths_adjustment_nv_fund",X$3,$A228))</f>
        <v/>
      </c>
      <c r="Y228" s="13" t="str">
        <f>IF($A228="","",[1]!thsiFinD("ths_adjustment_nv_fund",Y$3,$A228))</f>
        <v/>
      </c>
      <c r="Z228" s="13" t="str">
        <f>IF($A228="","",[1]!thsiFinD("ths_adjustment_nv_fund",Z$3,$A228))</f>
        <v/>
      </c>
      <c r="AA228" s="13" t="str">
        <f>IF($A228="","",[1]!thsiFinD("ths_adjustment_nv_fund",AA$3,$A228))</f>
        <v/>
      </c>
      <c r="AB228" s="13" t="str">
        <f>IF($A228="","",[1]!thsiFinD("ths_adjustment_nv_fund",AB$3,$A228))</f>
        <v/>
      </c>
    </row>
    <row r="229" spans="2:28">
      <c r="B229" s="13" t="str">
        <f>IF($A229="","",[1]!thsiFinD("ths_adjustment_nv_fund",B$3,$A229))</f>
        <v/>
      </c>
      <c r="C229" s="13" t="str">
        <f>IF($A229="","",[1]!thsiFinD("ths_adjustment_nv_fund",C$3,$A229))</f>
        <v/>
      </c>
      <c r="D229" s="13" t="str">
        <f>IF($A229="","",[1]!thsiFinD("ths_adjustment_nv_fund",D$3,$A229))</f>
        <v/>
      </c>
      <c r="E229" s="13" t="str">
        <f>IF($A229="","",[1]!thsiFinD("ths_adjustment_nv_fund",E$3,$A229))</f>
        <v/>
      </c>
      <c r="F229" s="13" t="str">
        <f>IF($A229="","",[1]!thsiFinD("ths_adjustment_nv_fund",F$3,$A229))</f>
        <v/>
      </c>
      <c r="G229" s="13" t="str">
        <f>IF($A229="","",[1]!thsiFinD("ths_adjustment_nv_fund",G$3,$A229))</f>
        <v/>
      </c>
      <c r="H229" s="13" t="str">
        <f>IF($A229="","",[1]!thsiFinD("ths_adjustment_nv_fund",H$3,$A229))</f>
        <v/>
      </c>
      <c r="I229" s="13" t="str">
        <f>IF($A229="","",[1]!thsiFinD("ths_adjustment_nv_fund",I$3,$A229))</f>
        <v/>
      </c>
      <c r="J229" s="13" t="str">
        <f>IF($A229="","",[1]!thsiFinD("ths_adjustment_nv_fund",J$3,$A229))</f>
        <v/>
      </c>
      <c r="K229" s="13" t="str">
        <f>IF($A229="","",[1]!thsiFinD("ths_adjustment_nv_fund",K$3,$A229))</f>
        <v/>
      </c>
      <c r="L229" s="13" t="str">
        <f>IF($A229="","",[1]!thsiFinD("ths_adjustment_nv_fund",L$3,$A229))</f>
        <v/>
      </c>
      <c r="M229" s="13" t="str">
        <f>IF($A229="","",[1]!thsiFinD("ths_adjustment_nv_fund",M$3,$A229))</f>
        <v/>
      </c>
      <c r="N229" s="13" t="str">
        <f>IF($A229="","",[1]!thsiFinD("ths_adjustment_nv_fund",N$3,$A229))</f>
        <v/>
      </c>
      <c r="O229" s="13" t="str">
        <f>IF($A229="","",[1]!thsiFinD("ths_adjustment_nv_fund",O$3,$A229))</f>
        <v/>
      </c>
      <c r="P229" s="13" t="str">
        <f>IF($A229="","",[1]!thsiFinD("ths_adjustment_nv_fund",P$3,$A229))</f>
        <v/>
      </c>
      <c r="Q229" s="13" t="str">
        <f>IF($A229="","",[1]!thsiFinD("ths_adjustment_nv_fund",Q$3,$A229))</f>
        <v/>
      </c>
      <c r="R229" s="13" t="str">
        <f>IF($A229="","",[1]!thsiFinD("ths_adjustment_nv_fund",R$3,$A229))</f>
        <v/>
      </c>
      <c r="S229" s="13" t="str">
        <f>IF($A229="","",[1]!thsiFinD("ths_adjustment_nv_fund",S$3,$A229))</f>
        <v/>
      </c>
      <c r="T229" s="13" t="str">
        <f>IF($A229="","",[1]!thsiFinD("ths_adjustment_nv_fund",T$3,$A229))</f>
        <v/>
      </c>
      <c r="U229" s="13" t="str">
        <f>IF($A229="","",[1]!thsiFinD("ths_adjustment_nv_fund",U$3,$A229))</f>
        <v/>
      </c>
      <c r="V229" s="13" t="str">
        <f>IF($A229="","",[1]!thsiFinD("ths_adjustment_nv_fund",V$3,$A229))</f>
        <v/>
      </c>
      <c r="W229" s="13" t="str">
        <f>IF($A229="","",[1]!thsiFinD("ths_adjustment_nv_fund",W$3,$A229))</f>
        <v/>
      </c>
      <c r="X229" s="13" t="str">
        <f>IF($A229="","",[1]!thsiFinD("ths_adjustment_nv_fund",X$3,$A229))</f>
        <v/>
      </c>
      <c r="Y229" s="13" t="str">
        <f>IF($A229="","",[1]!thsiFinD("ths_adjustment_nv_fund",Y$3,$A229))</f>
        <v/>
      </c>
      <c r="Z229" s="13" t="str">
        <f>IF($A229="","",[1]!thsiFinD("ths_adjustment_nv_fund",Z$3,$A229))</f>
        <v/>
      </c>
      <c r="AA229" s="13" t="str">
        <f>IF($A229="","",[1]!thsiFinD("ths_adjustment_nv_fund",AA$3,$A229))</f>
        <v/>
      </c>
      <c r="AB229" s="13" t="str">
        <f>IF($A229="","",[1]!thsiFinD("ths_adjustment_nv_fund",AB$3,$A229))</f>
        <v/>
      </c>
    </row>
    <row r="230" spans="2:28">
      <c r="B230" s="13" t="str">
        <f>IF($A230="","",[1]!thsiFinD("ths_adjustment_nv_fund",B$3,$A230))</f>
        <v/>
      </c>
      <c r="C230" s="13" t="str">
        <f>IF($A230="","",[1]!thsiFinD("ths_adjustment_nv_fund",C$3,$A230))</f>
        <v/>
      </c>
      <c r="D230" s="13" t="str">
        <f>IF($A230="","",[1]!thsiFinD("ths_adjustment_nv_fund",D$3,$A230))</f>
        <v/>
      </c>
      <c r="E230" s="13" t="str">
        <f>IF($A230="","",[1]!thsiFinD("ths_adjustment_nv_fund",E$3,$A230))</f>
        <v/>
      </c>
      <c r="F230" s="13" t="str">
        <f>IF($A230="","",[1]!thsiFinD("ths_adjustment_nv_fund",F$3,$A230))</f>
        <v/>
      </c>
      <c r="G230" s="13" t="str">
        <f>IF($A230="","",[1]!thsiFinD("ths_adjustment_nv_fund",G$3,$A230))</f>
        <v/>
      </c>
      <c r="H230" s="13" t="str">
        <f>IF($A230="","",[1]!thsiFinD("ths_adjustment_nv_fund",H$3,$A230))</f>
        <v/>
      </c>
      <c r="I230" s="13" t="str">
        <f>IF($A230="","",[1]!thsiFinD("ths_adjustment_nv_fund",I$3,$A230))</f>
        <v/>
      </c>
      <c r="J230" s="13" t="str">
        <f>IF($A230="","",[1]!thsiFinD("ths_adjustment_nv_fund",J$3,$A230))</f>
        <v/>
      </c>
      <c r="K230" s="13" t="str">
        <f>IF($A230="","",[1]!thsiFinD("ths_adjustment_nv_fund",K$3,$A230))</f>
        <v/>
      </c>
      <c r="L230" s="13" t="str">
        <f>IF($A230="","",[1]!thsiFinD("ths_adjustment_nv_fund",L$3,$A230))</f>
        <v/>
      </c>
      <c r="M230" s="13" t="str">
        <f>IF($A230="","",[1]!thsiFinD("ths_adjustment_nv_fund",M$3,$A230))</f>
        <v/>
      </c>
      <c r="N230" s="13" t="str">
        <f>IF($A230="","",[1]!thsiFinD("ths_adjustment_nv_fund",N$3,$A230))</f>
        <v/>
      </c>
      <c r="O230" s="13" t="str">
        <f>IF($A230="","",[1]!thsiFinD("ths_adjustment_nv_fund",O$3,$A230))</f>
        <v/>
      </c>
      <c r="P230" s="13" t="str">
        <f>IF($A230="","",[1]!thsiFinD("ths_adjustment_nv_fund",P$3,$A230))</f>
        <v/>
      </c>
      <c r="Q230" s="13" t="str">
        <f>IF($A230="","",[1]!thsiFinD("ths_adjustment_nv_fund",Q$3,$A230))</f>
        <v/>
      </c>
      <c r="R230" s="13" t="str">
        <f>IF($A230="","",[1]!thsiFinD("ths_adjustment_nv_fund",R$3,$A230))</f>
        <v/>
      </c>
      <c r="S230" s="13" t="str">
        <f>IF($A230="","",[1]!thsiFinD("ths_adjustment_nv_fund",S$3,$A230))</f>
        <v/>
      </c>
      <c r="T230" s="13" t="str">
        <f>IF($A230="","",[1]!thsiFinD("ths_adjustment_nv_fund",T$3,$A230))</f>
        <v/>
      </c>
      <c r="U230" s="13" t="str">
        <f>IF($A230="","",[1]!thsiFinD("ths_adjustment_nv_fund",U$3,$A230))</f>
        <v/>
      </c>
      <c r="V230" s="13" t="str">
        <f>IF($A230="","",[1]!thsiFinD("ths_adjustment_nv_fund",V$3,$A230))</f>
        <v/>
      </c>
      <c r="W230" s="13" t="str">
        <f>IF($A230="","",[1]!thsiFinD("ths_adjustment_nv_fund",W$3,$A230))</f>
        <v/>
      </c>
      <c r="X230" s="13" t="str">
        <f>IF($A230="","",[1]!thsiFinD("ths_adjustment_nv_fund",X$3,$A230))</f>
        <v/>
      </c>
      <c r="Y230" s="13" t="str">
        <f>IF($A230="","",[1]!thsiFinD("ths_adjustment_nv_fund",Y$3,$A230))</f>
        <v/>
      </c>
      <c r="Z230" s="13" t="str">
        <f>IF($A230="","",[1]!thsiFinD("ths_adjustment_nv_fund",Z$3,$A230))</f>
        <v/>
      </c>
      <c r="AA230" s="13" t="str">
        <f>IF($A230="","",[1]!thsiFinD("ths_adjustment_nv_fund",AA$3,$A230))</f>
        <v/>
      </c>
      <c r="AB230" s="13" t="str">
        <f>IF($A230="","",[1]!thsiFinD("ths_adjustment_nv_fund",AB$3,$A230))</f>
        <v/>
      </c>
    </row>
    <row r="231" spans="2:28">
      <c r="B231" s="13" t="str">
        <f>IF($A231="","",[1]!thsiFinD("ths_adjustment_nv_fund",B$3,$A231))</f>
        <v/>
      </c>
      <c r="C231" s="13" t="str">
        <f>IF($A231="","",[1]!thsiFinD("ths_adjustment_nv_fund",C$3,$A231))</f>
        <v/>
      </c>
      <c r="D231" s="13" t="str">
        <f>IF($A231="","",[1]!thsiFinD("ths_adjustment_nv_fund",D$3,$A231))</f>
        <v/>
      </c>
      <c r="E231" s="13" t="str">
        <f>IF($A231="","",[1]!thsiFinD("ths_adjustment_nv_fund",E$3,$A231))</f>
        <v/>
      </c>
      <c r="F231" s="13" t="str">
        <f>IF($A231="","",[1]!thsiFinD("ths_adjustment_nv_fund",F$3,$A231))</f>
        <v/>
      </c>
      <c r="G231" s="13" t="str">
        <f>IF($A231="","",[1]!thsiFinD("ths_adjustment_nv_fund",G$3,$A231))</f>
        <v/>
      </c>
      <c r="H231" s="13" t="str">
        <f>IF($A231="","",[1]!thsiFinD("ths_adjustment_nv_fund",H$3,$A231))</f>
        <v/>
      </c>
      <c r="I231" s="13" t="str">
        <f>IF($A231="","",[1]!thsiFinD("ths_adjustment_nv_fund",I$3,$A231))</f>
        <v/>
      </c>
      <c r="J231" s="13" t="str">
        <f>IF($A231="","",[1]!thsiFinD("ths_adjustment_nv_fund",J$3,$A231))</f>
        <v/>
      </c>
      <c r="K231" s="13" t="str">
        <f>IF($A231="","",[1]!thsiFinD("ths_adjustment_nv_fund",K$3,$A231))</f>
        <v/>
      </c>
      <c r="L231" s="13" t="str">
        <f>IF($A231="","",[1]!thsiFinD("ths_adjustment_nv_fund",L$3,$A231))</f>
        <v/>
      </c>
      <c r="M231" s="13" t="str">
        <f>IF($A231="","",[1]!thsiFinD("ths_adjustment_nv_fund",M$3,$A231))</f>
        <v/>
      </c>
      <c r="N231" s="13" t="str">
        <f>IF($A231="","",[1]!thsiFinD("ths_adjustment_nv_fund",N$3,$A231))</f>
        <v/>
      </c>
      <c r="O231" s="13" t="str">
        <f>IF($A231="","",[1]!thsiFinD("ths_adjustment_nv_fund",O$3,$A231))</f>
        <v/>
      </c>
      <c r="P231" s="13" t="str">
        <f>IF($A231="","",[1]!thsiFinD("ths_adjustment_nv_fund",P$3,$A231))</f>
        <v/>
      </c>
      <c r="Q231" s="13" t="str">
        <f>IF($A231="","",[1]!thsiFinD("ths_adjustment_nv_fund",Q$3,$A231))</f>
        <v/>
      </c>
      <c r="R231" s="13" t="str">
        <f>IF($A231="","",[1]!thsiFinD("ths_adjustment_nv_fund",R$3,$A231))</f>
        <v/>
      </c>
      <c r="S231" s="13" t="str">
        <f>IF($A231="","",[1]!thsiFinD("ths_adjustment_nv_fund",S$3,$A231))</f>
        <v/>
      </c>
      <c r="T231" s="13" t="str">
        <f>IF($A231="","",[1]!thsiFinD("ths_adjustment_nv_fund",T$3,$A231))</f>
        <v/>
      </c>
      <c r="U231" s="13" t="str">
        <f>IF($A231="","",[1]!thsiFinD("ths_adjustment_nv_fund",U$3,$A231))</f>
        <v/>
      </c>
      <c r="V231" s="13" t="str">
        <f>IF($A231="","",[1]!thsiFinD("ths_adjustment_nv_fund",V$3,$A231))</f>
        <v/>
      </c>
      <c r="W231" s="13" t="str">
        <f>IF($A231="","",[1]!thsiFinD("ths_adjustment_nv_fund",W$3,$A231))</f>
        <v/>
      </c>
      <c r="X231" s="13" t="str">
        <f>IF($A231="","",[1]!thsiFinD("ths_adjustment_nv_fund",X$3,$A231))</f>
        <v/>
      </c>
      <c r="Y231" s="13" t="str">
        <f>IF($A231="","",[1]!thsiFinD("ths_adjustment_nv_fund",Y$3,$A231))</f>
        <v/>
      </c>
      <c r="Z231" s="13" t="str">
        <f>IF($A231="","",[1]!thsiFinD("ths_adjustment_nv_fund",Z$3,$A231))</f>
        <v/>
      </c>
      <c r="AA231" s="13" t="str">
        <f>IF($A231="","",[1]!thsiFinD("ths_adjustment_nv_fund",AA$3,$A231))</f>
        <v/>
      </c>
      <c r="AB231" s="13" t="str">
        <f>IF($A231="","",[1]!thsiFinD("ths_adjustment_nv_fund",AB$3,$A231))</f>
        <v/>
      </c>
    </row>
    <row r="232" spans="2:28">
      <c r="B232" s="13" t="str">
        <f>IF($A232="","",[1]!thsiFinD("ths_adjustment_nv_fund",B$3,$A232))</f>
        <v/>
      </c>
      <c r="C232" s="13" t="str">
        <f>IF($A232="","",[1]!thsiFinD("ths_adjustment_nv_fund",C$3,$A232))</f>
        <v/>
      </c>
      <c r="D232" s="13" t="str">
        <f>IF($A232="","",[1]!thsiFinD("ths_adjustment_nv_fund",D$3,$A232))</f>
        <v/>
      </c>
      <c r="E232" s="13" t="str">
        <f>IF($A232="","",[1]!thsiFinD("ths_adjustment_nv_fund",E$3,$A232))</f>
        <v/>
      </c>
      <c r="F232" s="13" t="str">
        <f>IF($A232="","",[1]!thsiFinD("ths_adjustment_nv_fund",F$3,$A232))</f>
        <v/>
      </c>
      <c r="G232" s="13" t="str">
        <f>IF($A232="","",[1]!thsiFinD("ths_adjustment_nv_fund",G$3,$A232))</f>
        <v/>
      </c>
      <c r="H232" s="13" t="str">
        <f>IF($A232="","",[1]!thsiFinD("ths_adjustment_nv_fund",H$3,$A232))</f>
        <v/>
      </c>
      <c r="I232" s="13" t="str">
        <f>IF($A232="","",[1]!thsiFinD("ths_adjustment_nv_fund",I$3,$A232))</f>
        <v/>
      </c>
      <c r="J232" s="13" t="str">
        <f>IF($A232="","",[1]!thsiFinD("ths_adjustment_nv_fund",J$3,$A232))</f>
        <v/>
      </c>
      <c r="K232" s="13" t="str">
        <f>IF($A232="","",[1]!thsiFinD("ths_adjustment_nv_fund",K$3,$A232))</f>
        <v/>
      </c>
      <c r="L232" s="13" t="str">
        <f>IF($A232="","",[1]!thsiFinD("ths_adjustment_nv_fund",L$3,$A232))</f>
        <v/>
      </c>
      <c r="M232" s="13" t="str">
        <f>IF($A232="","",[1]!thsiFinD("ths_adjustment_nv_fund",M$3,$A232))</f>
        <v/>
      </c>
      <c r="N232" s="13" t="str">
        <f>IF($A232="","",[1]!thsiFinD("ths_adjustment_nv_fund",N$3,$A232))</f>
        <v/>
      </c>
      <c r="O232" s="13" t="str">
        <f>IF($A232="","",[1]!thsiFinD("ths_adjustment_nv_fund",O$3,$A232))</f>
        <v/>
      </c>
      <c r="P232" s="13" t="str">
        <f>IF($A232="","",[1]!thsiFinD("ths_adjustment_nv_fund",P$3,$A232))</f>
        <v/>
      </c>
      <c r="Q232" s="13" t="str">
        <f>IF($A232="","",[1]!thsiFinD("ths_adjustment_nv_fund",Q$3,$A232))</f>
        <v/>
      </c>
      <c r="R232" s="13" t="str">
        <f>IF($A232="","",[1]!thsiFinD("ths_adjustment_nv_fund",R$3,$A232))</f>
        <v/>
      </c>
      <c r="S232" s="13" t="str">
        <f>IF($A232="","",[1]!thsiFinD("ths_adjustment_nv_fund",S$3,$A232))</f>
        <v/>
      </c>
      <c r="T232" s="13" t="str">
        <f>IF($A232="","",[1]!thsiFinD("ths_adjustment_nv_fund",T$3,$A232))</f>
        <v/>
      </c>
      <c r="U232" s="13" t="str">
        <f>IF($A232="","",[1]!thsiFinD("ths_adjustment_nv_fund",U$3,$A232))</f>
        <v/>
      </c>
      <c r="V232" s="13" t="str">
        <f>IF($A232="","",[1]!thsiFinD("ths_adjustment_nv_fund",V$3,$A232))</f>
        <v/>
      </c>
      <c r="W232" s="13" t="str">
        <f>IF($A232="","",[1]!thsiFinD("ths_adjustment_nv_fund",W$3,$A232))</f>
        <v/>
      </c>
      <c r="X232" s="13" t="str">
        <f>IF($A232="","",[1]!thsiFinD("ths_adjustment_nv_fund",X$3,$A232))</f>
        <v/>
      </c>
      <c r="Y232" s="13" t="str">
        <f>IF($A232="","",[1]!thsiFinD("ths_adjustment_nv_fund",Y$3,$A232))</f>
        <v/>
      </c>
      <c r="Z232" s="13" t="str">
        <f>IF($A232="","",[1]!thsiFinD("ths_adjustment_nv_fund",Z$3,$A232))</f>
        <v/>
      </c>
      <c r="AA232" s="13" t="str">
        <f>IF($A232="","",[1]!thsiFinD("ths_adjustment_nv_fund",AA$3,$A232))</f>
        <v/>
      </c>
      <c r="AB232" s="13" t="str">
        <f>IF($A232="","",[1]!thsiFinD("ths_adjustment_nv_fund",AB$3,$A232))</f>
        <v/>
      </c>
    </row>
    <row r="233" spans="2:28">
      <c r="B233" s="13" t="str">
        <f>IF($A233="","",[1]!thsiFinD("ths_adjustment_nv_fund",B$3,$A233))</f>
        <v/>
      </c>
      <c r="C233" s="13" t="str">
        <f>IF($A233="","",[1]!thsiFinD("ths_adjustment_nv_fund",C$3,$A233))</f>
        <v/>
      </c>
      <c r="D233" s="13" t="str">
        <f>IF($A233="","",[1]!thsiFinD("ths_adjustment_nv_fund",D$3,$A233))</f>
        <v/>
      </c>
      <c r="E233" s="13" t="str">
        <f>IF($A233="","",[1]!thsiFinD("ths_adjustment_nv_fund",E$3,$A233))</f>
        <v/>
      </c>
      <c r="F233" s="13" t="str">
        <f>IF($A233="","",[1]!thsiFinD("ths_adjustment_nv_fund",F$3,$A233))</f>
        <v/>
      </c>
      <c r="G233" s="13" t="str">
        <f>IF($A233="","",[1]!thsiFinD("ths_adjustment_nv_fund",G$3,$A233))</f>
        <v/>
      </c>
      <c r="H233" s="13" t="str">
        <f>IF($A233="","",[1]!thsiFinD("ths_adjustment_nv_fund",H$3,$A233))</f>
        <v/>
      </c>
      <c r="I233" s="13" t="str">
        <f>IF($A233="","",[1]!thsiFinD("ths_adjustment_nv_fund",I$3,$A233))</f>
        <v/>
      </c>
      <c r="J233" s="13" t="str">
        <f>IF($A233="","",[1]!thsiFinD("ths_adjustment_nv_fund",J$3,$A233))</f>
        <v/>
      </c>
      <c r="K233" s="13" t="str">
        <f>IF($A233="","",[1]!thsiFinD("ths_adjustment_nv_fund",K$3,$A233))</f>
        <v/>
      </c>
      <c r="L233" s="13" t="str">
        <f>IF($A233="","",[1]!thsiFinD("ths_adjustment_nv_fund",L$3,$A233))</f>
        <v/>
      </c>
      <c r="M233" s="13" t="str">
        <f>IF($A233="","",[1]!thsiFinD("ths_adjustment_nv_fund",M$3,$A233))</f>
        <v/>
      </c>
      <c r="N233" s="13" t="str">
        <f>IF($A233="","",[1]!thsiFinD("ths_adjustment_nv_fund",N$3,$A233))</f>
        <v/>
      </c>
      <c r="O233" s="13" t="str">
        <f>IF($A233="","",[1]!thsiFinD("ths_adjustment_nv_fund",O$3,$A233))</f>
        <v/>
      </c>
      <c r="P233" s="13" t="str">
        <f>IF($A233="","",[1]!thsiFinD("ths_adjustment_nv_fund",P$3,$A233))</f>
        <v/>
      </c>
      <c r="Q233" s="13" t="str">
        <f>IF($A233="","",[1]!thsiFinD("ths_adjustment_nv_fund",Q$3,$A233))</f>
        <v/>
      </c>
      <c r="R233" s="13" t="str">
        <f>IF($A233="","",[1]!thsiFinD("ths_adjustment_nv_fund",R$3,$A233))</f>
        <v/>
      </c>
      <c r="S233" s="13" t="str">
        <f>IF($A233="","",[1]!thsiFinD("ths_adjustment_nv_fund",S$3,$A233))</f>
        <v/>
      </c>
      <c r="T233" s="13" t="str">
        <f>IF($A233="","",[1]!thsiFinD("ths_adjustment_nv_fund",T$3,$A233))</f>
        <v/>
      </c>
      <c r="U233" s="13" t="str">
        <f>IF($A233="","",[1]!thsiFinD("ths_adjustment_nv_fund",U$3,$A233))</f>
        <v/>
      </c>
      <c r="V233" s="13" t="str">
        <f>IF($A233="","",[1]!thsiFinD("ths_adjustment_nv_fund",V$3,$A233))</f>
        <v/>
      </c>
      <c r="W233" s="13" t="str">
        <f>IF($A233="","",[1]!thsiFinD("ths_adjustment_nv_fund",W$3,$A233))</f>
        <v/>
      </c>
      <c r="X233" s="13" t="str">
        <f>IF($A233="","",[1]!thsiFinD("ths_adjustment_nv_fund",X$3,$A233))</f>
        <v/>
      </c>
      <c r="Y233" s="13" t="str">
        <f>IF($A233="","",[1]!thsiFinD("ths_adjustment_nv_fund",Y$3,$A233))</f>
        <v/>
      </c>
      <c r="Z233" s="13" t="str">
        <f>IF($A233="","",[1]!thsiFinD("ths_adjustment_nv_fund",Z$3,$A233))</f>
        <v/>
      </c>
      <c r="AA233" s="13" t="str">
        <f>IF($A233="","",[1]!thsiFinD("ths_adjustment_nv_fund",AA$3,$A233))</f>
        <v/>
      </c>
      <c r="AB233" s="13" t="str">
        <f>IF($A233="","",[1]!thsiFinD("ths_adjustment_nv_fund",AB$3,$A233))</f>
        <v/>
      </c>
    </row>
    <row r="234" spans="2:28">
      <c r="B234" s="13" t="str">
        <f>IF($A234="","",[1]!thsiFinD("ths_adjustment_nv_fund",B$3,$A234))</f>
        <v/>
      </c>
      <c r="C234" s="13" t="str">
        <f>IF($A234="","",[1]!thsiFinD("ths_adjustment_nv_fund",C$3,$A234))</f>
        <v/>
      </c>
      <c r="D234" s="13" t="str">
        <f>IF($A234="","",[1]!thsiFinD("ths_adjustment_nv_fund",D$3,$A234))</f>
        <v/>
      </c>
      <c r="E234" s="13" t="str">
        <f>IF($A234="","",[1]!thsiFinD("ths_adjustment_nv_fund",E$3,$A234))</f>
        <v/>
      </c>
      <c r="F234" s="13" t="str">
        <f>IF($A234="","",[1]!thsiFinD("ths_adjustment_nv_fund",F$3,$A234))</f>
        <v/>
      </c>
      <c r="G234" s="13" t="str">
        <f>IF($A234="","",[1]!thsiFinD("ths_adjustment_nv_fund",G$3,$A234))</f>
        <v/>
      </c>
      <c r="H234" s="13" t="str">
        <f>IF($A234="","",[1]!thsiFinD("ths_adjustment_nv_fund",H$3,$A234))</f>
        <v/>
      </c>
      <c r="I234" s="13" t="str">
        <f>IF($A234="","",[1]!thsiFinD("ths_adjustment_nv_fund",I$3,$A234))</f>
        <v/>
      </c>
      <c r="J234" s="13" t="str">
        <f>IF($A234="","",[1]!thsiFinD("ths_adjustment_nv_fund",J$3,$A234))</f>
        <v/>
      </c>
      <c r="K234" s="13" t="str">
        <f>IF($A234="","",[1]!thsiFinD("ths_adjustment_nv_fund",K$3,$A234))</f>
        <v/>
      </c>
      <c r="L234" s="13" t="str">
        <f>IF($A234="","",[1]!thsiFinD("ths_adjustment_nv_fund",L$3,$A234))</f>
        <v/>
      </c>
      <c r="M234" s="13" t="str">
        <f>IF($A234="","",[1]!thsiFinD("ths_adjustment_nv_fund",M$3,$A234))</f>
        <v/>
      </c>
      <c r="N234" s="13" t="str">
        <f>IF($A234="","",[1]!thsiFinD("ths_adjustment_nv_fund",N$3,$A234))</f>
        <v/>
      </c>
      <c r="O234" s="13" t="str">
        <f>IF($A234="","",[1]!thsiFinD("ths_adjustment_nv_fund",O$3,$A234))</f>
        <v/>
      </c>
      <c r="P234" s="13" t="str">
        <f>IF($A234="","",[1]!thsiFinD("ths_adjustment_nv_fund",P$3,$A234))</f>
        <v/>
      </c>
      <c r="Q234" s="13" t="str">
        <f>IF($A234="","",[1]!thsiFinD("ths_adjustment_nv_fund",Q$3,$A234))</f>
        <v/>
      </c>
      <c r="R234" s="13" t="str">
        <f>IF($A234="","",[1]!thsiFinD("ths_adjustment_nv_fund",R$3,$A234))</f>
        <v/>
      </c>
      <c r="S234" s="13" t="str">
        <f>IF($A234="","",[1]!thsiFinD("ths_adjustment_nv_fund",S$3,$A234))</f>
        <v/>
      </c>
      <c r="T234" s="13" t="str">
        <f>IF($A234="","",[1]!thsiFinD("ths_adjustment_nv_fund",T$3,$A234))</f>
        <v/>
      </c>
      <c r="U234" s="13" t="str">
        <f>IF($A234="","",[1]!thsiFinD("ths_adjustment_nv_fund",U$3,$A234))</f>
        <v/>
      </c>
      <c r="V234" s="13" t="str">
        <f>IF($A234="","",[1]!thsiFinD("ths_adjustment_nv_fund",V$3,$A234))</f>
        <v/>
      </c>
      <c r="W234" s="13" t="str">
        <f>IF($A234="","",[1]!thsiFinD("ths_adjustment_nv_fund",W$3,$A234))</f>
        <v/>
      </c>
      <c r="X234" s="13" t="str">
        <f>IF($A234="","",[1]!thsiFinD("ths_adjustment_nv_fund",X$3,$A234))</f>
        <v/>
      </c>
      <c r="Y234" s="13" t="str">
        <f>IF($A234="","",[1]!thsiFinD("ths_adjustment_nv_fund",Y$3,$A234))</f>
        <v/>
      </c>
      <c r="Z234" s="13" t="str">
        <f>IF($A234="","",[1]!thsiFinD("ths_adjustment_nv_fund",Z$3,$A234))</f>
        <v/>
      </c>
      <c r="AA234" s="13" t="str">
        <f>IF($A234="","",[1]!thsiFinD("ths_adjustment_nv_fund",AA$3,$A234))</f>
        <v/>
      </c>
      <c r="AB234" s="13" t="str">
        <f>IF($A234="","",[1]!thsiFinD("ths_adjustment_nv_fund",AB$3,$A234))</f>
        <v/>
      </c>
    </row>
    <row r="235" spans="2:28">
      <c r="B235" s="13" t="str">
        <f>IF($A235="","",[1]!thsiFinD("ths_adjustment_nv_fund",B$3,$A235))</f>
        <v/>
      </c>
      <c r="C235" s="13" t="str">
        <f>IF($A235="","",[1]!thsiFinD("ths_adjustment_nv_fund",C$3,$A235))</f>
        <v/>
      </c>
      <c r="D235" s="13" t="str">
        <f>IF($A235="","",[1]!thsiFinD("ths_adjustment_nv_fund",D$3,$A235))</f>
        <v/>
      </c>
      <c r="E235" s="13" t="str">
        <f>IF($A235="","",[1]!thsiFinD("ths_adjustment_nv_fund",E$3,$A235))</f>
        <v/>
      </c>
      <c r="F235" s="13" t="str">
        <f>IF($A235="","",[1]!thsiFinD("ths_adjustment_nv_fund",F$3,$A235))</f>
        <v/>
      </c>
      <c r="G235" s="13" t="str">
        <f>IF($A235="","",[1]!thsiFinD("ths_adjustment_nv_fund",G$3,$A235))</f>
        <v/>
      </c>
      <c r="H235" s="13" t="str">
        <f>IF($A235="","",[1]!thsiFinD("ths_adjustment_nv_fund",H$3,$A235))</f>
        <v/>
      </c>
      <c r="I235" s="13" t="str">
        <f>IF($A235="","",[1]!thsiFinD("ths_adjustment_nv_fund",I$3,$A235))</f>
        <v/>
      </c>
      <c r="J235" s="13" t="str">
        <f>IF($A235="","",[1]!thsiFinD("ths_adjustment_nv_fund",J$3,$A235))</f>
        <v/>
      </c>
      <c r="K235" s="13" t="str">
        <f>IF($A235="","",[1]!thsiFinD("ths_adjustment_nv_fund",K$3,$A235))</f>
        <v/>
      </c>
      <c r="L235" s="13" t="str">
        <f>IF($A235="","",[1]!thsiFinD("ths_adjustment_nv_fund",L$3,$A235))</f>
        <v/>
      </c>
      <c r="M235" s="13" t="str">
        <f>IF($A235="","",[1]!thsiFinD("ths_adjustment_nv_fund",M$3,$A235))</f>
        <v/>
      </c>
      <c r="N235" s="13" t="str">
        <f>IF($A235="","",[1]!thsiFinD("ths_adjustment_nv_fund",N$3,$A235))</f>
        <v/>
      </c>
      <c r="O235" s="13" t="str">
        <f>IF($A235="","",[1]!thsiFinD("ths_adjustment_nv_fund",O$3,$A235))</f>
        <v/>
      </c>
      <c r="P235" s="13" t="str">
        <f>IF($A235="","",[1]!thsiFinD("ths_adjustment_nv_fund",P$3,$A235))</f>
        <v/>
      </c>
      <c r="Q235" s="13" t="str">
        <f>IF($A235="","",[1]!thsiFinD("ths_adjustment_nv_fund",Q$3,$A235))</f>
        <v/>
      </c>
      <c r="R235" s="13" t="str">
        <f>IF($A235="","",[1]!thsiFinD("ths_adjustment_nv_fund",R$3,$A235))</f>
        <v/>
      </c>
      <c r="S235" s="13" t="str">
        <f>IF($A235="","",[1]!thsiFinD("ths_adjustment_nv_fund",S$3,$A235))</f>
        <v/>
      </c>
      <c r="T235" s="13" t="str">
        <f>IF($A235="","",[1]!thsiFinD("ths_adjustment_nv_fund",T$3,$A235))</f>
        <v/>
      </c>
      <c r="U235" s="13" t="str">
        <f>IF($A235="","",[1]!thsiFinD("ths_adjustment_nv_fund",U$3,$A235))</f>
        <v/>
      </c>
      <c r="V235" s="13" t="str">
        <f>IF($A235="","",[1]!thsiFinD("ths_adjustment_nv_fund",V$3,$A235))</f>
        <v/>
      </c>
      <c r="W235" s="13" t="str">
        <f>IF($A235="","",[1]!thsiFinD("ths_adjustment_nv_fund",W$3,$A235))</f>
        <v/>
      </c>
      <c r="X235" s="13" t="str">
        <f>IF($A235="","",[1]!thsiFinD("ths_adjustment_nv_fund",X$3,$A235))</f>
        <v/>
      </c>
      <c r="Y235" s="13" t="str">
        <f>IF($A235="","",[1]!thsiFinD("ths_adjustment_nv_fund",Y$3,$A235))</f>
        <v/>
      </c>
      <c r="Z235" s="13" t="str">
        <f>IF($A235="","",[1]!thsiFinD("ths_adjustment_nv_fund",Z$3,$A235))</f>
        <v/>
      </c>
      <c r="AA235" s="13" t="str">
        <f>IF($A235="","",[1]!thsiFinD("ths_adjustment_nv_fund",AA$3,$A235))</f>
        <v/>
      </c>
      <c r="AB235" s="13" t="str">
        <f>IF($A235="","",[1]!thsiFinD("ths_adjustment_nv_fund",AB$3,$A235))</f>
        <v/>
      </c>
    </row>
    <row r="236" spans="2:28">
      <c r="B236" s="13" t="str">
        <f>IF($A236="","",[1]!thsiFinD("ths_adjustment_nv_fund",B$3,$A236))</f>
        <v/>
      </c>
      <c r="C236" s="13" t="str">
        <f>IF($A236="","",[1]!thsiFinD("ths_adjustment_nv_fund",C$3,$A236))</f>
        <v/>
      </c>
      <c r="D236" s="13" t="str">
        <f>IF($A236="","",[1]!thsiFinD("ths_adjustment_nv_fund",D$3,$A236))</f>
        <v/>
      </c>
      <c r="E236" s="13" t="str">
        <f>IF($A236="","",[1]!thsiFinD("ths_adjustment_nv_fund",E$3,$A236))</f>
        <v/>
      </c>
      <c r="F236" s="13" t="str">
        <f>IF($A236="","",[1]!thsiFinD("ths_adjustment_nv_fund",F$3,$A236))</f>
        <v/>
      </c>
      <c r="G236" s="13" t="str">
        <f>IF($A236="","",[1]!thsiFinD("ths_adjustment_nv_fund",G$3,$A236))</f>
        <v/>
      </c>
      <c r="H236" s="13" t="str">
        <f>IF($A236="","",[1]!thsiFinD("ths_adjustment_nv_fund",H$3,$A236))</f>
        <v/>
      </c>
      <c r="I236" s="13" t="str">
        <f>IF($A236="","",[1]!thsiFinD("ths_adjustment_nv_fund",I$3,$A236))</f>
        <v/>
      </c>
      <c r="J236" s="13" t="str">
        <f>IF($A236="","",[1]!thsiFinD("ths_adjustment_nv_fund",J$3,$A236))</f>
        <v/>
      </c>
      <c r="K236" s="13" t="str">
        <f>IF($A236="","",[1]!thsiFinD("ths_adjustment_nv_fund",K$3,$A236))</f>
        <v/>
      </c>
      <c r="L236" s="13" t="str">
        <f>IF($A236="","",[1]!thsiFinD("ths_adjustment_nv_fund",L$3,$A236))</f>
        <v/>
      </c>
      <c r="M236" s="13" t="str">
        <f>IF($A236="","",[1]!thsiFinD("ths_adjustment_nv_fund",M$3,$A236))</f>
        <v/>
      </c>
      <c r="N236" s="13" t="str">
        <f>IF($A236="","",[1]!thsiFinD("ths_adjustment_nv_fund",N$3,$A236))</f>
        <v/>
      </c>
      <c r="O236" s="13" t="str">
        <f>IF($A236="","",[1]!thsiFinD("ths_adjustment_nv_fund",O$3,$A236))</f>
        <v/>
      </c>
      <c r="P236" s="13" t="str">
        <f>IF($A236="","",[1]!thsiFinD("ths_adjustment_nv_fund",P$3,$A236))</f>
        <v/>
      </c>
      <c r="Q236" s="13" t="str">
        <f>IF($A236="","",[1]!thsiFinD("ths_adjustment_nv_fund",Q$3,$A236))</f>
        <v/>
      </c>
      <c r="R236" s="13" t="str">
        <f>IF($A236="","",[1]!thsiFinD("ths_adjustment_nv_fund",R$3,$A236))</f>
        <v/>
      </c>
      <c r="S236" s="13" t="str">
        <f>IF($A236="","",[1]!thsiFinD("ths_adjustment_nv_fund",S$3,$A236))</f>
        <v/>
      </c>
      <c r="T236" s="13" t="str">
        <f>IF($A236="","",[1]!thsiFinD("ths_adjustment_nv_fund",T$3,$A236))</f>
        <v/>
      </c>
      <c r="U236" s="13" t="str">
        <f>IF($A236="","",[1]!thsiFinD("ths_adjustment_nv_fund",U$3,$A236))</f>
        <v/>
      </c>
      <c r="V236" s="13" t="str">
        <f>IF($A236="","",[1]!thsiFinD("ths_adjustment_nv_fund",V$3,$A236))</f>
        <v/>
      </c>
      <c r="W236" s="13" t="str">
        <f>IF($A236="","",[1]!thsiFinD("ths_adjustment_nv_fund",W$3,$A236))</f>
        <v/>
      </c>
      <c r="X236" s="13" t="str">
        <f>IF($A236="","",[1]!thsiFinD("ths_adjustment_nv_fund",X$3,$A236))</f>
        <v/>
      </c>
      <c r="Y236" s="13" t="str">
        <f>IF($A236="","",[1]!thsiFinD("ths_adjustment_nv_fund",Y$3,$A236))</f>
        <v/>
      </c>
      <c r="Z236" s="13" t="str">
        <f>IF($A236="","",[1]!thsiFinD("ths_adjustment_nv_fund",Z$3,$A236))</f>
        <v/>
      </c>
      <c r="AA236" s="13" t="str">
        <f>IF($A236="","",[1]!thsiFinD("ths_adjustment_nv_fund",AA$3,$A236))</f>
        <v/>
      </c>
      <c r="AB236" s="13" t="str">
        <f>IF($A236="","",[1]!thsiFinD("ths_adjustment_nv_fund",AB$3,$A236))</f>
        <v/>
      </c>
    </row>
    <row r="237" spans="2:28">
      <c r="B237" s="13" t="str">
        <f>IF($A237="","",[1]!thsiFinD("ths_adjustment_nv_fund",B$3,$A237))</f>
        <v/>
      </c>
      <c r="C237" s="13" t="str">
        <f>IF($A237="","",[1]!thsiFinD("ths_adjustment_nv_fund",C$3,$A237))</f>
        <v/>
      </c>
      <c r="D237" s="13" t="str">
        <f>IF($A237="","",[1]!thsiFinD("ths_adjustment_nv_fund",D$3,$A237))</f>
        <v/>
      </c>
      <c r="E237" s="13" t="str">
        <f>IF($A237="","",[1]!thsiFinD("ths_adjustment_nv_fund",E$3,$A237))</f>
        <v/>
      </c>
      <c r="F237" s="13" t="str">
        <f>IF($A237="","",[1]!thsiFinD("ths_adjustment_nv_fund",F$3,$A237))</f>
        <v/>
      </c>
      <c r="G237" s="13" t="str">
        <f>IF($A237="","",[1]!thsiFinD("ths_adjustment_nv_fund",G$3,$A237))</f>
        <v/>
      </c>
      <c r="H237" s="13" t="str">
        <f>IF($A237="","",[1]!thsiFinD("ths_adjustment_nv_fund",H$3,$A237))</f>
        <v/>
      </c>
      <c r="I237" s="13" t="str">
        <f>IF($A237="","",[1]!thsiFinD("ths_adjustment_nv_fund",I$3,$A237))</f>
        <v/>
      </c>
      <c r="J237" s="13" t="str">
        <f>IF($A237="","",[1]!thsiFinD("ths_adjustment_nv_fund",J$3,$A237))</f>
        <v/>
      </c>
      <c r="K237" s="13" t="str">
        <f>IF($A237="","",[1]!thsiFinD("ths_adjustment_nv_fund",K$3,$A237))</f>
        <v/>
      </c>
      <c r="L237" s="13" t="str">
        <f>IF($A237="","",[1]!thsiFinD("ths_adjustment_nv_fund",L$3,$A237))</f>
        <v/>
      </c>
      <c r="M237" s="13" t="str">
        <f>IF($A237="","",[1]!thsiFinD("ths_adjustment_nv_fund",M$3,$A237))</f>
        <v/>
      </c>
      <c r="N237" s="13" t="str">
        <f>IF($A237="","",[1]!thsiFinD("ths_adjustment_nv_fund",N$3,$A237))</f>
        <v/>
      </c>
      <c r="O237" s="13" t="str">
        <f>IF($A237="","",[1]!thsiFinD("ths_adjustment_nv_fund",O$3,$A237))</f>
        <v/>
      </c>
      <c r="P237" s="13" t="str">
        <f>IF($A237="","",[1]!thsiFinD("ths_adjustment_nv_fund",P$3,$A237))</f>
        <v/>
      </c>
      <c r="Q237" s="13" t="str">
        <f>IF($A237="","",[1]!thsiFinD("ths_adjustment_nv_fund",Q$3,$A237))</f>
        <v/>
      </c>
      <c r="R237" s="13" t="str">
        <f>IF($A237="","",[1]!thsiFinD("ths_adjustment_nv_fund",R$3,$A237))</f>
        <v/>
      </c>
      <c r="S237" s="13" t="str">
        <f>IF($A237="","",[1]!thsiFinD("ths_adjustment_nv_fund",S$3,$A237))</f>
        <v/>
      </c>
      <c r="T237" s="13" t="str">
        <f>IF($A237="","",[1]!thsiFinD("ths_adjustment_nv_fund",T$3,$A237))</f>
        <v/>
      </c>
      <c r="U237" s="13" t="str">
        <f>IF($A237="","",[1]!thsiFinD("ths_adjustment_nv_fund",U$3,$A237))</f>
        <v/>
      </c>
      <c r="V237" s="13" t="str">
        <f>IF($A237="","",[1]!thsiFinD("ths_adjustment_nv_fund",V$3,$A237))</f>
        <v/>
      </c>
      <c r="W237" s="13" t="str">
        <f>IF($A237="","",[1]!thsiFinD("ths_adjustment_nv_fund",W$3,$A237))</f>
        <v/>
      </c>
      <c r="X237" s="13" t="str">
        <f>IF($A237="","",[1]!thsiFinD("ths_adjustment_nv_fund",X$3,$A237))</f>
        <v/>
      </c>
      <c r="Y237" s="13" t="str">
        <f>IF($A237="","",[1]!thsiFinD("ths_adjustment_nv_fund",Y$3,$A237))</f>
        <v/>
      </c>
      <c r="Z237" s="13" t="str">
        <f>IF($A237="","",[1]!thsiFinD("ths_adjustment_nv_fund",Z$3,$A237))</f>
        <v/>
      </c>
      <c r="AA237" s="13" t="str">
        <f>IF($A237="","",[1]!thsiFinD("ths_adjustment_nv_fund",AA$3,$A237))</f>
        <v/>
      </c>
      <c r="AB237" s="13" t="str">
        <f>IF($A237="","",[1]!thsiFinD("ths_adjustment_nv_fund",AB$3,$A237))</f>
        <v/>
      </c>
    </row>
    <row r="238" spans="2:28">
      <c r="B238" s="13" t="str">
        <f>IF($A238="","",[1]!thsiFinD("ths_adjustment_nv_fund",B$3,$A238))</f>
        <v/>
      </c>
      <c r="C238" s="13" t="str">
        <f>IF($A238="","",[1]!thsiFinD("ths_adjustment_nv_fund",C$3,$A238))</f>
        <v/>
      </c>
      <c r="D238" s="13" t="str">
        <f>IF($A238="","",[1]!thsiFinD("ths_adjustment_nv_fund",D$3,$A238))</f>
        <v/>
      </c>
      <c r="E238" s="13" t="str">
        <f>IF($A238="","",[1]!thsiFinD("ths_adjustment_nv_fund",E$3,$A238))</f>
        <v/>
      </c>
      <c r="F238" s="13" t="str">
        <f>IF($A238="","",[1]!thsiFinD("ths_adjustment_nv_fund",F$3,$A238))</f>
        <v/>
      </c>
      <c r="G238" s="13" t="str">
        <f>IF($A238="","",[1]!thsiFinD("ths_adjustment_nv_fund",G$3,$A238))</f>
        <v/>
      </c>
      <c r="H238" s="13" t="str">
        <f>IF($A238="","",[1]!thsiFinD("ths_adjustment_nv_fund",H$3,$A238))</f>
        <v/>
      </c>
      <c r="I238" s="13" t="str">
        <f>IF($A238="","",[1]!thsiFinD("ths_adjustment_nv_fund",I$3,$A238))</f>
        <v/>
      </c>
      <c r="J238" s="13" t="str">
        <f>IF($A238="","",[1]!thsiFinD("ths_adjustment_nv_fund",J$3,$A238))</f>
        <v/>
      </c>
      <c r="K238" s="13" t="str">
        <f>IF($A238="","",[1]!thsiFinD("ths_adjustment_nv_fund",K$3,$A238))</f>
        <v/>
      </c>
      <c r="L238" s="13" t="str">
        <f>IF($A238="","",[1]!thsiFinD("ths_adjustment_nv_fund",L$3,$A238))</f>
        <v/>
      </c>
      <c r="M238" s="13" t="str">
        <f>IF($A238="","",[1]!thsiFinD("ths_adjustment_nv_fund",M$3,$A238))</f>
        <v/>
      </c>
      <c r="N238" s="13" t="str">
        <f>IF($A238="","",[1]!thsiFinD("ths_adjustment_nv_fund",N$3,$A238))</f>
        <v/>
      </c>
      <c r="O238" s="13" t="str">
        <f>IF($A238="","",[1]!thsiFinD("ths_adjustment_nv_fund",O$3,$A238))</f>
        <v/>
      </c>
      <c r="P238" s="13" t="str">
        <f>IF($A238="","",[1]!thsiFinD("ths_adjustment_nv_fund",P$3,$A238))</f>
        <v/>
      </c>
      <c r="Q238" s="13" t="str">
        <f>IF($A238="","",[1]!thsiFinD("ths_adjustment_nv_fund",Q$3,$A238))</f>
        <v/>
      </c>
      <c r="R238" s="13" t="str">
        <f>IF($A238="","",[1]!thsiFinD("ths_adjustment_nv_fund",R$3,$A238))</f>
        <v/>
      </c>
      <c r="S238" s="13" t="str">
        <f>IF($A238="","",[1]!thsiFinD("ths_adjustment_nv_fund",S$3,$A238))</f>
        <v/>
      </c>
      <c r="T238" s="13" t="str">
        <f>IF($A238="","",[1]!thsiFinD("ths_adjustment_nv_fund",T$3,$A238))</f>
        <v/>
      </c>
      <c r="U238" s="13" t="str">
        <f>IF($A238="","",[1]!thsiFinD("ths_adjustment_nv_fund",U$3,$A238))</f>
        <v/>
      </c>
      <c r="V238" s="13" t="str">
        <f>IF($A238="","",[1]!thsiFinD("ths_adjustment_nv_fund",V$3,$A238))</f>
        <v/>
      </c>
      <c r="W238" s="13" t="str">
        <f>IF($A238="","",[1]!thsiFinD("ths_adjustment_nv_fund",W$3,$A238))</f>
        <v/>
      </c>
      <c r="X238" s="13" t="str">
        <f>IF($A238="","",[1]!thsiFinD("ths_adjustment_nv_fund",X$3,$A238))</f>
        <v/>
      </c>
      <c r="Y238" s="13" t="str">
        <f>IF($A238="","",[1]!thsiFinD("ths_adjustment_nv_fund",Y$3,$A238))</f>
        <v/>
      </c>
      <c r="Z238" s="13" t="str">
        <f>IF($A238="","",[1]!thsiFinD("ths_adjustment_nv_fund",Z$3,$A238))</f>
        <v/>
      </c>
      <c r="AA238" s="13" t="str">
        <f>IF($A238="","",[1]!thsiFinD("ths_adjustment_nv_fund",AA$3,$A238))</f>
        <v/>
      </c>
      <c r="AB238" s="13" t="str">
        <f>IF($A238="","",[1]!thsiFinD("ths_adjustment_nv_fund",AB$3,$A238))</f>
        <v/>
      </c>
    </row>
    <row r="239" spans="2:28">
      <c r="B239" s="13" t="str">
        <f>IF($A239="","",[1]!thsiFinD("ths_adjustment_nv_fund",B$3,$A239))</f>
        <v/>
      </c>
      <c r="C239" s="13" t="str">
        <f>IF($A239="","",[1]!thsiFinD("ths_adjustment_nv_fund",C$3,$A239))</f>
        <v/>
      </c>
      <c r="D239" s="13" t="str">
        <f>IF($A239="","",[1]!thsiFinD("ths_adjustment_nv_fund",D$3,$A239))</f>
        <v/>
      </c>
      <c r="E239" s="13" t="str">
        <f>IF($A239="","",[1]!thsiFinD("ths_adjustment_nv_fund",E$3,$A239))</f>
        <v/>
      </c>
      <c r="F239" s="13" t="str">
        <f>IF($A239="","",[1]!thsiFinD("ths_adjustment_nv_fund",F$3,$A239))</f>
        <v/>
      </c>
      <c r="G239" s="13" t="str">
        <f>IF($A239="","",[1]!thsiFinD("ths_adjustment_nv_fund",G$3,$A239))</f>
        <v/>
      </c>
      <c r="H239" s="13" t="str">
        <f>IF($A239="","",[1]!thsiFinD("ths_adjustment_nv_fund",H$3,$A239))</f>
        <v/>
      </c>
      <c r="I239" s="13" t="str">
        <f>IF($A239="","",[1]!thsiFinD("ths_adjustment_nv_fund",I$3,$A239))</f>
        <v/>
      </c>
      <c r="J239" s="13" t="str">
        <f>IF($A239="","",[1]!thsiFinD("ths_adjustment_nv_fund",J$3,$A239))</f>
        <v/>
      </c>
      <c r="K239" s="13" t="str">
        <f>IF($A239="","",[1]!thsiFinD("ths_adjustment_nv_fund",K$3,$A239))</f>
        <v/>
      </c>
      <c r="L239" s="13" t="str">
        <f>IF($A239="","",[1]!thsiFinD("ths_adjustment_nv_fund",L$3,$A239))</f>
        <v/>
      </c>
      <c r="M239" s="13" t="str">
        <f>IF($A239="","",[1]!thsiFinD("ths_adjustment_nv_fund",M$3,$A239))</f>
        <v/>
      </c>
      <c r="N239" s="13" t="str">
        <f>IF($A239="","",[1]!thsiFinD("ths_adjustment_nv_fund",N$3,$A239))</f>
        <v/>
      </c>
      <c r="O239" s="13" t="str">
        <f>IF($A239="","",[1]!thsiFinD("ths_adjustment_nv_fund",O$3,$A239))</f>
        <v/>
      </c>
      <c r="P239" s="13" t="str">
        <f>IF($A239="","",[1]!thsiFinD("ths_adjustment_nv_fund",P$3,$A239))</f>
        <v/>
      </c>
      <c r="Q239" s="13" t="str">
        <f>IF($A239="","",[1]!thsiFinD("ths_adjustment_nv_fund",Q$3,$A239))</f>
        <v/>
      </c>
      <c r="R239" s="13" t="str">
        <f>IF($A239="","",[1]!thsiFinD("ths_adjustment_nv_fund",R$3,$A239))</f>
        <v/>
      </c>
      <c r="S239" s="13" t="str">
        <f>IF($A239="","",[1]!thsiFinD("ths_adjustment_nv_fund",S$3,$A239))</f>
        <v/>
      </c>
      <c r="T239" s="13" t="str">
        <f>IF($A239="","",[1]!thsiFinD("ths_adjustment_nv_fund",T$3,$A239))</f>
        <v/>
      </c>
      <c r="U239" s="13" t="str">
        <f>IF($A239="","",[1]!thsiFinD("ths_adjustment_nv_fund",U$3,$A239))</f>
        <v/>
      </c>
      <c r="V239" s="13" t="str">
        <f>IF($A239="","",[1]!thsiFinD("ths_adjustment_nv_fund",V$3,$A239))</f>
        <v/>
      </c>
      <c r="W239" s="13" t="str">
        <f>IF($A239="","",[1]!thsiFinD("ths_adjustment_nv_fund",W$3,$A239))</f>
        <v/>
      </c>
      <c r="X239" s="13" t="str">
        <f>IF($A239="","",[1]!thsiFinD("ths_adjustment_nv_fund",X$3,$A239))</f>
        <v/>
      </c>
      <c r="Y239" s="13" t="str">
        <f>IF($A239="","",[1]!thsiFinD("ths_adjustment_nv_fund",Y$3,$A239))</f>
        <v/>
      </c>
      <c r="Z239" s="13" t="str">
        <f>IF($A239="","",[1]!thsiFinD("ths_adjustment_nv_fund",Z$3,$A239))</f>
        <v/>
      </c>
      <c r="AA239" s="13" t="str">
        <f>IF($A239="","",[1]!thsiFinD("ths_adjustment_nv_fund",AA$3,$A239))</f>
        <v/>
      </c>
      <c r="AB239" s="13" t="str">
        <f>IF($A239="","",[1]!thsiFinD("ths_adjustment_nv_fund",AB$3,$A239))</f>
        <v/>
      </c>
    </row>
    <row r="240" spans="2:28">
      <c r="B240" s="13" t="str">
        <f>IF($A240="","",[1]!thsiFinD("ths_adjustment_nv_fund",B$3,$A240))</f>
        <v/>
      </c>
      <c r="C240" s="13" t="str">
        <f>IF($A240="","",[1]!thsiFinD("ths_adjustment_nv_fund",C$3,$A240))</f>
        <v/>
      </c>
      <c r="D240" s="13" t="str">
        <f>IF($A240="","",[1]!thsiFinD("ths_adjustment_nv_fund",D$3,$A240))</f>
        <v/>
      </c>
      <c r="E240" s="13" t="str">
        <f>IF($A240="","",[1]!thsiFinD("ths_adjustment_nv_fund",E$3,$A240))</f>
        <v/>
      </c>
      <c r="F240" s="13" t="str">
        <f>IF($A240="","",[1]!thsiFinD("ths_adjustment_nv_fund",F$3,$A240))</f>
        <v/>
      </c>
      <c r="G240" s="13" t="str">
        <f>IF($A240="","",[1]!thsiFinD("ths_adjustment_nv_fund",G$3,$A240))</f>
        <v/>
      </c>
      <c r="H240" s="13" t="str">
        <f>IF($A240="","",[1]!thsiFinD("ths_adjustment_nv_fund",H$3,$A240))</f>
        <v/>
      </c>
      <c r="I240" s="13" t="str">
        <f>IF($A240="","",[1]!thsiFinD("ths_adjustment_nv_fund",I$3,$A240))</f>
        <v/>
      </c>
      <c r="J240" s="13" t="str">
        <f>IF($A240="","",[1]!thsiFinD("ths_adjustment_nv_fund",J$3,$A240))</f>
        <v/>
      </c>
      <c r="K240" s="13" t="str">
        <f>IF($A240="","",[1]!thsiFinD("ths_adjustment_nv_fund",K$3,$A240))</f>
        <v/>
      </c>
      <c r="L240" s="13" t="str">
        <f>IF($A240="","",[1]!thsiFinD("ths_adjustment_nv_fund",L$3,$A240))</f>
        <v/>
      </c>
      <c r="M240" s="13" t="str">
        <f>IF($A240="","",[1]!thsiFinD("ths_adjustment_nv_fund",M$3,$A240))</f>
        <v/>
      </c>
      <c r="N240" s="13" t="str">
        <f>IF($A240="","",[1]!thsiFinD("ths_adjustment_nv_fund",N$3,$A240))</f>
        <v/>
      </c>
      <c r="O240" s="13" t="str">
        <f>IF($A240="","",[1]!thsiFinD("ths_adjustment_nv_fund",O$3,$A240))</f>
        <v/>
      </c>
      <c r="P240" s="13" t="str">
        <f>IF($A240="","",[1]!thsiFinD("ths_adjustment_nv_fund",P$3,$A240))</f>
        <v/>
      </c>
      <c r="Q240" s="13" t="str">
        <f>IF($A240="","",[1]!thsiFinD("ths_adjustment_nv_fund",Q$3,$A240))</f>
        <v/>
      </c>
      <c r="R240" s="13" t="str">
        <f>IF($A240="","",[1]!thsiFinD("ths_adjustment_nv_fund",R$3,$A240))</f>
        <v/>
      </c>
      <c r="S240" s="13" t="str">
        <f>IF($A240="","",[1]!thsiFinD("ths_adjustment_nv_fund",S$3,$A240))</f>
        <v/>
      </c>
      <c r="T240" s="13" t="str">
        <f>IF($A240="","",[1]!thsiFinD("ths_adjustment_nv_fund",T$3,$A240))</f>
        <v/>
      </c>
      <c r="U240" s="13" t="str">
        <f>IF($A240="","",[1]!thsiFinD("ths_adjustment_nv_fund",U$3,$A240))</f>
        <v/>
      </c>
      <c r="V240" s="13" t="str">
        <f>IF($A240="","",[1]!thsiFinD("ths_adjustment_nv_fund",V$3,$A240))</f>
        <v/>
      </c>
      <c r="W240" s="13" t="str">
        <f>IF($A240="","",[1]!thsiFinD("ths_adjustment_nv_fund",W$3,$A240))</f>
        <v/>
      </c>
      <c r="X240" s="13" t="str">
        <f>IF($A240="","",[1]!thsiFinD("ths_adjustment_nv_fund",X$3,$A240))</f>
        <v/>
      </c>
      <c r="Y240" s="13" t="str">
        <f>IF($A240="","",[1]!thsiFinD("ths_adjustment_nv_fund",Y$3,$A240))</f>
        <v/>
      </c>
      <c r="Z240" s="13" t="str">
        <f>IF($A240="","",[1]!thsiFinD("ths_adjustment_nv_fund",Z$3,$A240))</f>
        <v/>
      </c>
      <c r="AA240" s="13" t="str">
        <f>IF($A240="","",[1]!thsiFinD("ths_adjustment_nv_fund",AA$3,$A240))</f>
        <v/>
      </c>
      <c r="AB240" s="13" t="str">
        <f>IF($A240="","",[1]!thsiFinD("ths_adjustment_nv_fund",AB$3,$A240))</f>
        <v/>
      </c>
    </row>
    <row r="241" spans="2:28">
      <c r="B241" s="13" t="str">
        <f>IF($A241="","",[1]!thsiFinD("ths_adjustment_nv_fund",B$3,$A241))</f>
        <v/>
      </c>
      <c r="C241" s="13" t="str">
        <f>IF($A241="","",[1]!thsiFinD("ths_adjustment_nv_fund",C$3,$A241))</f>
        <v/>
      </c>
      <c r="D241" s="13" t="str">
        <f>IF($A241="","",[1]!thsiFinD("ths_adjustment_nv_fund",D$3,$A241))</f>
        <v/>
      </c>
      <c r="E241" s="13" t="str">
        <f>IF($A241="","",[1]!thsiFinD("ths_adjustment_nv_fund",E$3,$A241))</f>
        <v/>
      </c>
      <c r="F241" s="13" t="str">
        <f>IF($A241="","",[1]!thsiFinD("ths_adjustment_nv_fund",F$3,$A241))</f>
        <v/>
      </c>
      <c r="G241" s="13" t="str">
        <f>IF($A241="","",[1]!thsiFinD("ths_adjustment_nv_fund",G$3,$A241))</f>
        <v/>
      </c>
      <c r="H241" s="13" t="str">
        <f>IF($A241="","",[1]!thsiFinD("ths_adjustment_nv_fund",H$3,$A241))</f>
        <v/>
      </c>
      <c r="I241" s="13" t="str">
        <f>IF($A241="","",[1]!thsiFinD("ths_adjustment_nv_fund",I$3,$A241))</f>
        <v/>
      </c>
      <c r="J241" s="13" t="str">
        <f>IF($A241="","",[1]!thsiFinD("ths_adjustment_nv_fund",J$3,$A241))</f>
        <v/>
      </c>
      <c r="K241" s="13" t="str">
        <f>IF($A241="","",[1]!thsiFinD("ths_adjustment_nv_fund",K$3,$A241))</f>
        <v/>
      </c>
      <c r="L241" s="13" t="str">
        <f>IF($A241="","",[1]!thsiFinD("ths_adjustment_nv_fund",L$3,$A241))</f>
        <v/>
      </c>
      <c r="M241" s="13" t="str">
        <f>IF($A241="","",[1]!thsiFinD("ths_adjustment_nv_fund",M$3,$A241))</f>
        <v/>
      </c>
      <c r="N241" s="13" t="str">
        <f>IF($A241="","",[1]!thsiFinD("ths_adjustment_nv_fund",N$3,$A241))</f>
        <v/>
      </c>
      <c r="O241" s="13" t="str">
        <f>IF($A241="","",[1]!thsiFinD("ths_adjustment_nv_fund",O$3,$A241))</f>
        <v/>
      </c>
      <c r="P241" s="13" t="str">
        <f>IF($A241="","",[1]!thsiFinD("ths_adjustment_nv_fund",P$3,$A241))</f>
        <v/>
      </c>
      <c r="Q241" s="13" t="str">
        <f>IF($A241="","",[1]!thsiFinD("ths_adjustment_nv_fund",Q$3,$A241))</f>
        <v/>
      </c>
      <c r="R241" s="13" t="str">
        <f>IF($A241="","",[1]!thsiFinD("ths_adjustment_nv_fund",R$3,$A241))</f>
        <v/>
      </c>
      <c r="S241" s="13" t="str">
        <f>IF($A241="","",[1]!thsiFinD("ths_adjustment_nv_fund",S$3,$A241))</f>
        <v/>
      </c>
      <c r="T241" s="13" t="str">
        <f>IF($A241="","",[1]!thsiFinD("ths_adjustment_nv_fund",T$3,$A241))</f>
        <v/>
      </c>
      <c r="U241" s="13" t="str">
        <f>IF($A241="","",[1]!thsiFinD("ths_adjustment_nv_fund",U$3,$A241))</f>
        <v/>
      </c>
      <c r="V241" s="13" t="str">
        <f>IF($A241="","",[1]!thsiFinD("ths_adjustment_nv_fund",V$3,$A241))</f>
        <v/>
      </c>
      <c r="W241" s="13" t="str">
        <f>IF($A241="","",[1]!thsiFinD("ths_adjustment_nv_fund",W$3,$A241))</f>
        <v/>
      </c>
      <c r="X241" s="13" t="str">
        <f>IF($A241="","",[1]!thsiFinD("ths_adjustment_nv_fund",X$3,$A241))</f>
        <v/>
      </c>
      <c r="Y241" s="13" t="str">
        <f>IF($A241="","",[1]!thsiFinD("ths_adjustment_nv_fund",Y$3,$A241))</f>
        <v/>
      </c>
      <c r="Z241" s="13" t="str">
        <f>IF($A241="","",[1]!thsiFinD("ths_adjustment_nv_fund",Z$3,$A241))</f>
        <v/>
      </c>
      <c r="AA241" s="13" t="str">
        <f>IF($A241="","",[1]!thsiFinD("ths_adjustment_nv_fund",AA$3,$A241))</f>
        <v/>
      </c>
      <c r="AB241" s="13" t="str">
        <f>IF($A241="","",[1]!thsiFinD("ths_adjustment_nv_fund",AB$3,$A241))</f>
        <v/>
      </c>
    </row>
    <row r="242" spans="2:28">
      <c r="B242" s="13" t="str">
        <f>IF($A242="","",[1]!thsiFinD("ths_adjustment_nv_fund",B$3,$A242))</f>
        <v/>
      </c>
      <c r="C242" s="13" t="str">
        <f>IF($A242="","",[1]!thsiFinD("ths_adjustment_nv_fund",C$3,$A242))</f>
        <v/>
      </c>
      <c r="D242" s="13" t="str">
        <f>IF($A242="","",[1]!thsiFinD("ths_adjustment_nv_fund",D$3,$A242))</f>
        <v/>
      </c>
      <c r="E242" s="13" t="str">
        <f>IF($A242="","",[1]!thsiFinD("ths_adjustment_nv_fund",E$3,$A242))</f>
        <v/>
      </c>
      <c r="F242" s="13" t="str">
        <f>IF($A242="","",[1]!thsiFinD("ths_adjustment_nv_fund",F$3,$A242))</f>
        <v/>
      </c>
      <c r="G242" s="13" t="str">
        <f>IF($A242="","",[1]!thsiFinD("ths_adjustment_nv_fund",G$3,$A242))</f>
        <v/>
      </c>
      <c r="H242" s="13" t="str">
        <f>IF($A242="","",[1]!thsiFinD("ths_adjustment_nv_fund",H$3,$A242))</f>
        <v/>
      </c>
      <c r="I242" s="13" t="str">
        <f>IF($A242="","",[1]!thsiFinD("ths_adjustment_nv_fund",I$3,$A242))</f>
        <v/>
      </c>
      <c r="J242" s="13" t="str">
        <f>IF($A242="","",[1]!thsiFinD("ths_adjustment_nv_fund",J$3,$A242))</f>
        <v/>
      </c>
      <c r="K242" s="13" t="str">
        <f>IF($A242="","",[1]!thsiFinD("ths_adjustment_nv_fund",K$3,$A242))</f>
        <v/>
      </c>
      <c r="L242" s="13" t="str">
        <f>IF($A242="","",[1]!thsiFinD("ths_adjustment_nv_fund",L$3,$A242))</f>
        <v/>
      </c>
      <c r="M242" s="13" t="str">
        <f>IF($A242="","",[1]!thsiFinD("ths_adjustment_nv_fund",M$3,$A242))</f>
        <v/>
      </c>
      <c r="N242" s="13" t="str">
        <f>IF($A242="","",[1]!thsiFinD("ths_adjustment_nv_fund",N$3,$A242))</f>
        <v/>
      </c>
      <c r="O242" s="13" t="str">
        <f>IF($A242="","",[1]!thsiFinD("ths_adjustment_nv_fund",O$3,$A242))</f>
        <v/>
      </c>
      <c r="P242" s="13" t="str">
        <f>IF($A242="","",[1]!thsiFinD("ths_adjustment_nv_fund",P$3,$A242))</f>
        <v/>
      </c>
      <c r="Q242" s="13" t="str">
        <f>IF($A242="","",[1]!thsiFinD("ths_adjustment_nv_fund",Q$3,$A242))</f>
        <v/>
      </c>
      <c r="R242" s="13" t="str">
        <f>IF($A242="","",[1]!thsiFinD("ths_adjustment_nv_fund",R$3,$A242))</f>
        <v/>
      </c>
      <c r="S242" s="13" t="str">
        <f>IF($A242="","",[1]!thsiFinD("ths_adjustment_nv_fund",S$3,$A242))</f>
        <v/>
      </c>
      <c r="T242" s="13" t="str">
        <f>IF($A242="","",[1]!thsiFinD("ths_adjustment_nv_fund",T$3,$A242))</f>
        <v/>
      </c>
      <c r="U242" s="13" t="str">
        <f>IF($A242="","",[1]!thsiFinD("ths_adjustment_nv_fund",U$3,$A242))</f>
        <v/>
      </c>
      <c r="V242" s="13" t="str">
        <f>IF($A242="","",[1]!thsiFinD("ths_adjustment_nv_fund",V$3,$A242))</f>
        <v/>
      </c>
      <c r="W242" s="13" t="str">
        <f>IF($A242="","",[1]!thsiFinD("ths_adjustment_nv_fund",W$3,$A242))</f>
        <v/>
      </c>
      <c r="X242" s="13" t="str">
        <f>IF($A242="","",[1]!thsiFinD("ths_adjustment_nv_fund",X$3,$A242))</f>
        <v/>
      </c>
      <c r="Y242" s="13" t="str">
        <f>IF($A242="","",[1]!thsiFinD("ths_adjustment_nv_fund",Y$3,$A242))</f>
        <v/>
      </c>
      <c r="Z242" s="13" t="str">
        <f>IF($A242="","",[1]!thsiFinD("ths_adjustment_nv_fund",Z$3,$A242))</f>
        <v/>
      </c>
      <c r="AA242" s="13" t="str">
        <f>IF($A242="","",[1]!thsiFinD("ths_adjustment_nv_fund",AA$3,$A242))</f>
        <v/>
      </c>
      <c r="AB242" s="13" t="str">
        <f>IF($A242="","",[1]!thsiFinD("ths_adjustment_nv_fund",AB$3,$A242))</f>
        <v/>
      </c>
    </row>
    <row r="243" spans="2:28">
      <c r="B243" s="13" t="str">
        <f>IF($A243="","",[1]!thsiFinD("ths_adjustment_nv_fund",B$3,$A243))</f>
        <v/>
      </c>
      <c r="C243" s="13" t="str">
        <f>IF($A243="","",[1]!thsiFinD("ths_adjustment_nv_fund",C$3,$A243))</f>
        <v/>
      </c>
      <c r="D243" s="13" t="str">
        <f>IF($A243="","",[1]!thsiFinD("ths_adjustment_nv_fund",D$3,$A243))</f>
        <v/>
      </c>
      <c r="E243" s="13" t="str">
        <f>IF($A243="","",[1]!thsiFinD("ths_adjustment_nv_fund",E$3,$A243))</f>
        <v/>
      </c>
      <c r="F243" s="13" t="str">
        <f>IF($A243="","",[1]!thsiFinD("ths_adjustment_nv_fund",F$3,$A243))</f>
        <v/>
      </c>
      <c r="G243" s="13" t="str">
        <f>IF($A243="","",[1]!thsiFinD("ths_adjustment_nv_fund",G$3,$A243))</f>
        <v/>
      </c>
      <c r="H243" s="13" t="str">
        <f>IF($A243="","",[1]!thsiFinD("ths_adjustment_nv_fund",H$3,$A243))</f>
        <v/>
      </c>
      <c r="I243" s="13" t="str">
        <f>IF($A243="","",[1]!thsiFinD("ths_adjustment_nv_fund",I$3,$A243))</f>
        <v/>
      </c>
      <c r="J243" s="13" t="str">
        <f>IF($A243="","",[1]!thsiFinD("ths_adjustment_nv_fund",J$3,$A243))</f>
        <v/>
      </c>
      <c r="K243" s="13" t="str">
        <f>IF($A243="","",[1]!thsiFinD("ths_adjustment_nv_fund",K$3,$A243))</f>
        <v/>
      </c>
      <c r="L243" s="13" t="str">
        <f>IF($A243="","",[1]!thsiFinD("ths_adjustment_nv_fund",L$3,$A243))</f>
        <v/>
      </c>
      <c r="M243" s="13" t="str">
        <f>IF($A243="","",[1]!thsiFinD("ths_adjustment_nv_fund",M$3,$A243))</f>
        <v/>
      </c>
      <c r="N243" s="13" t="str">
        <f>IF($A243="","",[1]!thsiFinD("ths_adjustment_nv_fund",N$3,$A243))</f>
        <v/>
      </c>
      <c r="O243" s="13" t="str">
        <f>IF($A243="","",[1]!thsiFinD("ths_adjustment_nv_fund",O$3,$A243))</f>
        <v/>
      </c>
      <c r="P243" s="13" t="str">
        <f>IF($A243="","",[1]!thsiFinD("ths_adjustment_nv_fund",P$3,$A243))</f>
        <v/>
      </c>
      <c r="Q243" s="13" t="str">
        <f>IF($A243="","",[1]!thsiFinD("ths_adjustment_nv_fund",Q$3,$A243))</f>
        <v/>
      </c>
      <c r="R243" s="13" t="str">
        <f>IF($A243="","",[1]!thsiFinD("ths_adjustment_nv_fund",R$3,$A243))</f>
        <v/>
      </c>
      <c r="S243" s="13" t="str">
        <f>IF($A243="","",[1]!thsiFinD("ths_adjustment_nv_fund",S$3,$A243))</f>
        <v/>
      </c>
      <c r="T243" s="13" t="str">
        <f>IF($A243="","",[1]!thsiFinD("ths_adjustment_nv_fund",T$3,$A243))</f>
        <v/>
      </c>
      <c r="U243" s="13" t="str">
        <f>IF($A243="","",[1]!thsiFinD("ths_adjustment_nv_fund",U$3,$A243))</f>
        <v/>
      </c>
      <c r="V243" s="13" t="str">
        <f>IF($A243="","",[1]!thsiFinD("ths_adjustment_nv_fund",V$3,$A243))</f>
        <v/>
      </c>
      <c r="W243" s="13" t="str">
        <f>IF($A243="","",[1]!thsiFinD("ths_adjustment_nv_fund",W$3,$A243))</f>
        <v/>
      </c>
      <c r="X243" s="13" t="str">
        <f>IF($A243="","",[1]!thsiFinD("ths_adjustment_nv_fund",X$3,$A243))</f>
        <v/>
      </c>
      <c r="Y243" s="13" t="str">
        <f>IF($A243="","",[1]!thsiFinD("ths_adjustment_nv_fund",Y$3,$A243))</f>
        <v/>
      </c>
      <c r="Z243" s="13" t="str">
        <f>IF($A243="","",[1]!thsiFinD("ths_adjustment_nv_fund",Z$3,$A243))</f>
        <v/>
      </c>
      <c r="AA243" s="13" t="str">
        <f>IF($A243="","",[1]!thsiFinD("ths_adjustment_nv_fund",AA$3,$A243))</f>
        <v/>
      </c>
      <c r="AB243" s="13" t="str">
        <f>IF($A243="","",[1]!thsiFinD("ths_adjustment_nv_fund",AB$3,$A243))</f>
        <v/>
      </c>
    </row>
    <row r="244" spans="2:28">
      <c r="B244" s="13" t="str">
        <f>IF($A244="","",[1]!thsiFinD("ths_adjustment_nv_fund",B$3,$A244))</f>
        <v/>
      </c>
      <c r="C244" s="13" t="str">
        <f>IF($A244="","",[1]!thsiFinD("ths_adjustment_nv_fund",C$3,$A244))</f>
        <v/>
      </c>
      <c r="D244" s="13" t="str">
        <f>IF($A244="","",[1]!thsiFinD("ths_adjustment_nv_fund",D$3,$A244))</f>
        <v/>
      </c>
      <c r="E244" s="13" t="str">
        <f>IF($A244="","",[1]!thsiFinD("ths_adjustment_nv_fund",E$3,$A244))</f>
        <v/>
      </c>
      <c r="F244" s="13" t="str">
        <f>IF($A244="","",[1]!thsiFinD("ths_adjustment_nv_fund",F$3,$A244))</f>
        <v/>
      </c>
      <c r="G244" s="13" t="str">
        <f>IF($A244="","",[1]!thsiFinD("ths_adjustment_nv_fund",G$3,$A244))</f>
        <v/>
      </c>
      <c r="H244" s="13" t="str">
        <f>IF($A244="","",[1]!thsiFinD("ths_adjustment_nv_fund",H$3,$A244))</f>
        <v/>
      </c>
      <c r="I244" s="13" t="str">
        <f>IF($A244="","",[1]!thsiFinD("ths_adjustment_nv_fund",I$3,$A244))</f>
        <v/>
      </c>
      <c r="J244" s="13" t="str">
        <f>IF($A244="","",[1]!thsiFinD("ths_adjustment_nv_fund",J$3,$A244))</f>
        <v/>
      </c>
      <c r="K244" s="13" t="str">
        <f>IF($A244="","",[1]!thsiFinD("ths_adjustment_nv_fund",K$3,$A244))</f>
        <v/>
      </c>
      <c r="L244" s="13" t="str">
        <f>IF($A244="","",[1]!thsiFinD("ths_adjustment_nv_fund",L$3,$A244))</f>
        <v/>
      </c>
      <c r="M244" s="13" t="str">
        <f>IF($A244="","",[1]!thsiFinD("ths_adjustment_nv_fund",M$3,$A244))</f>
        <v/>
      </c>
      <c r="N244" s="13" t="str">
        <f>IF($A244="","",[1]!thsiFinD("ths_adjustment_nv_fund",N$3,$A244))</f>
        <v/>
      </c>
      <c r="O244" s="13" t="str">
        <f>IF($A244="","",[1]!thsiFinD("ths_adjustment_nv_fund",O$3,$A244))</f>
        <v/>
      </c>
      <c r="P244" s="13" t="str">
        <f>IF($A244="","",[1]!thsiFinD("ths_adjustment_nv_fund",P$3,$A244))</f>
        <v/>
      </c>
      <c r="Q244" s="13" t="str">
        <f>IF($A244="","",[1]!thsiFinD("ths_adjustment_nv_fund",Q$3,$A244))</f>
        <v/>
      </c>
      <c r="R244" s="13" t="str">
        <f>IF($A244="","",[1]!thsiFinD("ths_adjustment_nv_fund",R$3,$A244))</f>
        <v/>
      </c>
      <c r="S244" s="13" t="str">
        <f>IF($A244="","",[1]!thsiFinD("ths_adjustment_nv_fund",S$3,$A244))</f>
        <v/>
      </c>
      <c r="T244" s="13" t="str">
        <f>IF($A244="","",[1]!thsiFinD("ths_adjustment_nv_fund",T$3,$A244))</f>
        <v/>
      </c>
      <c r="U244" s="13" t="str">
        <f>IF($A244="","",[1]!thsiFinD("ths_adjustment_nv_fund",U$3,$A244))</f>
        <v/>
      </c>
      <c r="V244" s="13" t="str">
        <f>IF($A244="","",[1]!thsiFinD("ths_adjustment_nv_fund",V$3,$A244))</f>
        <v/>
      </c>
      <c r="W244" s="13" t="str">
        <f>IF($A244="","",[1]!thsiFinD("ths_adjustment_nv_fund",W$3,$A244))</f>
        <v/>
      </c>
      <c r="X244" s="13" t="str">
        <f>IF($A244="","",[1]!thsiFinD("ths_adjustment_nv_fund",X$3,$A244))</f>
        <v/>
      </c>
      <c r="Y244" s="13" t="str">
        <f>IF($A244="","",[1]!thsiFinD("ths_adjustment_nv_fund",Y$3,$A244))</f>
        <v/>
      </c>
      <c r="Z244" s="13" t="str">
        <f>IF($A244="","",[1]!thsiFinD("ths_adjustment_nv_fund",Z$3,$A244))</f>
        <v/>
      </c>
      <c r="AA244" s="13" t="str">
        <f>IF($A244="","",[1]!thsiFinD("ths_adjustment_nv_fund",AA$3,$A244))</f>
        <v/>
      </c>
      <c r="AB244" s="13" t="str">
        <f>IF($A244="","",[1]!thsiFinD("ths_adjustment_nv_fund",AB$3,$A244))</f>
        <v/>
      </c>
    </row>
    <row r="245" spans="2:28">
      <c r="B245" s="13" t="str">
        <f>IF($A245="","",[1]!thsiFinD("ths_adjustment_nv_fund",B$3,$A245))</f>
        <v/>
      </c>
      <c r="C245" s="13" t="str">
        <f>IF($A245="","",[1]!thsiFinD("ths_adjustment_nv_fund",C$3,$A245))</f>
        <v/>
      </c>
      <c r="D245" s="13" t="str">
        <f>IF($A245="","",[1]!thsiFinD("ths_adjustment_nv_fund",D$3,$A245))</f>
        <v/>
      </c>
      <c r="E245" s="13" t="str">
        <f>IF($A245="","",[1]!thsiFinD("ths_adjustment_nv_fund",E$3,$A245))</f>
        <v/>
      </c>
      <c r="F245" s="13" t="str">
        <f>IF($A245="","",[1]!thsiFinD("ths_adjustment_nv_fund",F$3,$A245))</f>
        <v/>
      </c>
      <c r="G245" s="13" t="str">
        <f>IF($A245="","",[1]!thsiFinD("ths_adjustment_nv_fund",G$3,$A245))</f>
        <v/>
      </c>
      <c r="H245" s="13" t="str">
        <f>IF($A245="","",[1]!thsiFinD("ths_adjustment_nv_fund",H$3,$A245))</f>
        <v/>
      </c>
      <c r="I245" s="13" t="str">
        <f>IF($A245="","",[1]!thsiFinD("ths_adjustment_nv_fund",I$3,$A245))</f>
        <v/>
      </c>
      <c r="J245" s="13" t="str">
        <f>IF($A245="","",[1]!thsiFinD("ths_adjustment_nv_fund",J$3,$A245))</f>
        <v/>
      </c>
      <c r="K245" s="13" t="str">
        <f>IF($A245="","",[1]!thsiFinD("ths_adjustment_nv_fund",K$3,$A245))</f>
        <v/>
      </c>
      <c r="L245" s="13" t="str">
        <f>IF($A245="","",[1]!thsiFinD("ths_adjustment_nv_fund",L$3,$A245))</f>
        <v/>
      </c>
      <c r="M245" s="13" t="str">
        <f>IF($A245="","",[1]!thsiFinD("ths_adjustment_nv_fund",M$3,$A245))</f>
        <v/>
      </c>
      <c r="N245" s="13" t="str">
        <f>IF($A245="","",[1]!thsiFinD("ths_adjustment_nv_fund",N$3,$A245))</f>
        <v/>
      </c>
      <c r="O245" s="13" t="str">
        <f>IF($A245="","",[1]!thsiFinD("ths_adjustment_nv_fund",O$3,$A245))</f>
        <v/>
      </c>
      <c r="P245" s="13" t="str">
        <f>IF($A245="","",[1]!thsiFinD("ths_adjustment_nv_fund",P$3,$A245))</f>
        <v/>
      </c>
      <c r="Q245" s="13" t="str">
        <f>IF($A245="","",[1]!thsiFinD("ths_adjustment_nv_fund",Q$3,$A245))</f>
        <v/>
      </c>
      <c r="R245" s="13" t="str">
        <f>IF($A245="","",[1]!thsiFinD("ths_adjustment_nv_fund",R$3,$A245))</f>
        <v/>
      </c>
      <c r="S245" s="13" t="str">
        <f>IF($A245="","",[1]!thsiFinD("ths_adjustment_nv_fund",S$3,$A245))</f>
        <v/>
      </c>
      <c r="T245" s="13" t="str">
        <f>IF($A245="","",[1]!thsiFinD("ths_adjustment_nv_fund",T$3,$A245))</f>
        <v/>
      </c>
      <c r="U245" s="13" t="str">
        <f>IF($A245="","",[1]!thsiFinD("ths_adjustment_nv_fund",U$3,$A245))</f>
        <v/>
      </c>
      <c r="V245" s="13" t="str">
        <f>IF($A245="","",[1]!thsiFinD("ths_adjustment_nv_fund",V$3,$A245))</f>
        <v/>
      </c>
      <c r="W245" s="13" t="str">
        <f>IF($A245="","",[1]!thsiFinD("ths_adjustment_nv_fund",W$3,$A245))</f>
        <v/>
      </c>
      <c r="X245" s="13" t="str">
        <f>IF($A245="","",[1]!thsiFinD("ths_adjustment_nv_fund",X$3,$A245))</f>
        <v/>
      </c>
      <c r="Y245" s="13" t="str">
        <f>IF($A245="","",[1]!thsiFinD("ths_adjustment_nv_fund",Y$3,$A245))</f>
        <v/>
      </c>
      <c r="Z245" s="13" t="str">
        <f>IF($A245="","",[1]!thsiFinD("ths_adjustment_nv_fund",Z$3,$A245))</f>
        <v/>
      </c>
      <c r="AA245" s="13" t="str">
        <f>IF($A245="","",[1]!thsiFinD("ths_adjustment_nv_fund",AA$3,$A245))</f>
        <v/>
      </c>
      <c r="AB245" s="13" t="str">
        <f>IF($A245="","",[1]!thsiFinD("ths_adjustment_nv_fund",AB$3,$A245))</f>
        <v/>
      </c>
    </row>
    <row r="246" spans="2:28">
      <c r="B246" s="13" t="str">
        <f>IF($A246="","",[1]!thsiFinD("ths_adjustment_nv_fund",B$3,$A246))</f>
        <v/>
      </c>
      <c r="C246" s="13" t="str">
        <f>IF($A246="","",[1]!thsiFinD("ths_adjustment_nv_fund",C$3,$A246))</f>
        <v/>
      </c>
      <c r="D246" s="13" t="str">
        <f>IF($A246="","",[1]!thsiFinD("ths_adjustment_nv_fund",D$3,$A246))</f>
        <v/>
      </c>
      <c r="E246" s="13" t="str">
        <f>IF($A246="","",[1]!thsiFinD("ths_adjustment_nv_fund",E$3,$A246))</f>
        <v/>
      </c>
      <c r="F246" s="13" t="str">
        <f>IF($A246="","",[1]!thsiFinD("ths_adjustment_nv_fund",F$3,$A246))</f>
        <v/>
      </c>
      <c r="G246" s="13" t="str">
        <f>IF($A246="","",[1]!thsiFinD("ths_adjustment_nv_fund",G$3,$A246))</f>
        <v/>
      </c>
      <c r="H246" s="13" t="str">
        <f>IF($A246="","",[1]!thsiFinD("ths_adjustment_nv_fund",H$3,$A246))</f>
        <v/>
      </c>
      <c r="I246" s="13" t="str">
        <f>IF($A246="","",[1]!thsiFinD("ths_adjustment_nv_fund",I$3,$A246))</f>
        <v/>
      </c>
      <c r="J246" s="13" t="str">
        <f>IF($A246="","",[1]!thsiFinD("ths_adjustment_nv_fund",J$3,$A246))</f>
        <v/>
      </c>
      <c r="K246" s="13" t="str">
        <f>IF($A246="","",[1]!thsiFinD("ths_adjustment_nv_fund",K$3,$A246))</f>
        <v/>
      </c>
      <c r="L246" s="13" t="str">
        <f>IF($A246="","",[1]!thsiFinD("ths_adjustment_nv_fund",L$3,$A246))</f>
        <v/>
      </c>
      <c r="M246" s="13" t="str">
        <f>IF($A246="","",[1]!thsiFinD("ths_adjustment_nv_fund",M$3,$A246))</f>
        <v/>
      </c>
      <c r="N246" s="13" t="str">
        <f>IF($A246="","",[1]!thsiFinD("ths_adjustment_nv_fund",N$3,$A246))</f>
        <v/>
      </c>
      <c r="O246" s="13" t="str">
        <f>IF($A246="","",[1]!thsiFinD("ths_adjustment_nv_fund",O$3,$A246))</f>
        <v/>
      </c>
      <c r="P246" s="13" t="str">
        <f>IF($A246="","",[1]!thsiFinD("ths_adjustment_nv_fund",P$3,$A246))</f>
        <v/>
      </c>
      <c r="Q246" s="13" t="str">
        <f>IF($A246="","",[1]!thsiFinD("ths_adjustment_nv_fund",Q$3,$A246))</f>
        <v/>
      </c>
      <c r="R246" s="13" t="str">
        <f>IF($A246="","",[1]!thsiFinD("ths_adjustment_nv_fund",R$3,$A246))</f>
        <v/>
      </c>
      <c r="S246" s="13" t="str">
        <f>IF($A246="","",[1]!thsiFinD("ths_adjustment_nv_fund",S$3,$A246))</f>
        <v/>
      </c>
      <c r="T246" s="13" t="str">
        <f>IF($A246="","",[1]!thsiFinD("ths_adjustment_nv_fund",T$3,$A246))</f>
        <v/>
      </c>
      <c r="U246" s="13" t="str">
        <f>IF($A246="","",[1]!thsiFinD("ths_adjustment_nv_fund",U$3,$A246))</f>
        <v/>
      </c>
      <c r="V246" s="13" t="str">
        <f>IF($A246="","",[1]!thsiFinD("ths_adjustment_nv_fund",V$3,$A246))</f>
        <v/>
      </c>
      <c r="W246" s="13" t="str">
        <f>IF($A246="","",[1]!thsiFinD("ths_adjustment_nv_fund",W$3,$A246))</f>
        <v/>
      </c>
      <c r="X246" s="13" t="str">
        <f>IF($A246="","",[1]!thsiFinD("ths_adjustment_nv_fund",X$3,$A246))</f>
        <v/>
      </c>
      <c r="Y246" s="13" t="str">
        <f>IF($A246="","",[1]!thsiFinD("ths_adjustment_nv_fund",Y$3,$A246))</f>
        <v/>
      </c>
      <c r="Z246" s="13" t="str">
        <f>IF($A246="","",[1]!thsiFinD("ths_adjustment_nv_fund",Z$3,$A246))</f>
        <v/>
      </c>
      <c r="AA246" s="13" t="str">
        <f>IF($A246="","",[1]!thsiFinD("ths_adjustment_nv_fund",AA$3,$A246))</f>
        <v/>
      </c>
      <c r="AB246" s="13" t="str">
        <f>IF($A246="","",[1]!thsiFinD("ths_adjustment_nv_fund",AB$3,$A246))</f>
        <v/>
      </c>
    </row>
    <row r="247" spans="2:28">
      <c r="B247" s="13" t="str">
        <f>IF($A247="","",[1]!thsiFinD("ths_adjustment_nv_fund",B$3,$A247))</f>
        <v/>
      </c>
      <c r="C247" s="13" t="str">
        <f>IF($A247="","",[1]!thsiFinD("ths_adjustment_nv_fund",C$3,$A247))</f>
        <v/>
      </c>
      <c r="D247" s="13" t="str">
        <f>IF($A247="","",[1]!thsiFinD("ths_adjustment_nv_fund",D$3,$A247))</f>
        <v/>
      </c>
      <c r="E247" s="13" t="str">
        <f>IF($A247="","",[1]!thsiFinD("ths_adjustment_nv_fund",E$3,$A247))</f>
        <v/>
      </c>
      <c r="F247" s="13" t="str">
        <f>IF($A247="","",[1]!thsiFinD("ths_adjustment_nv_fund",F$3,$A247))</f>
        <v/>
      </c>
      <c r="G247" s="13" t="str">
        <f>IF($A247="","",[1]!thsiFinD("ths_adjustment_nv_fund",G$3,$A247))</f>
        <v/>
      </c>
      <c r="H247" s="13" t="str">
        <f>IF($A247="","",[1]!thsiFinD("ths_adjustment_nv_fund",H$3,$A247))</f>
        <v/>
      </c>
      <c r="I247" s="13" t="str">
        <f>IF($A247="","",[1]!thsiFinD("ths_adjustment_nv_fund",I$3,$A247))</f>
        <v/>
      </c>
      <c r="J247" s="13" t="str">
        <f>IF($A247="","",[1]!thsiFinD("ths_adjustment_nv_fund",J$3,$A247))</f>
        <v/>
      </c>
      <c r="K247" s="13" t="str">
        <f>IF($A247="","",[1]!thsiFinD("ths_adjustment_nv_fund",K$3,$A247))</f>
        <v/>
      </c>
      <c r="L247" s="13" t="str">
        <f>IF($A247="","",[1]!thsiFinD("ths_adjustment_nv_fund",L$3,$A247))</f>
        <v/>
      </c>
      <c r="M247" s="13" t="str">
        <f>IF($A247="","",[1]!thsiFinD("ths_adjustment_nv_fund",M$3,$A247))</f>
        <v/>
      </c>
      <c r="N247" s="13" t="str">
        <f>IF($A247="","",[1]!thsiFinD("ths_adjustment_nv_fund",N$3,$A247))</f>
        <v/>
      </c>
      <c r="O247" s="13" t="str">
        <f>IF($A247="","",[1]!thsiFinD("ths_adjustment_nv_fund",O$3,$A247))</f>
        <v/>
      </c>
      <c r="P247" s="13" t="str">
        <f>IF($A247="","",[1]!thsiFinD("ths_adjustment_nv_fund",P$3,$A247))</f>
        <v/>
      </c>
      <c r="Q247" s="13" t="str">
        <f>IF($A247="","",[1]!thsiFinD("ths_adjustment_nv_fund",Q$3,$A247))</f>
        <v/>
      </c>
      <c r="R247" s="13" t="str">
        <f>IF($A247="","",[1]!thsiFinD("ths_adjustment_nv_fund",R$3,$A247))</f>
        <v/>
      </c>
      <c r="S247" s="13" t="str">
        <f>IF($A247="","",[1]!thsiFinD("ths_adjustment_nv_fund",S$3,$A247))</f>
        <v/>
      </c>
      <c r="T247" s="13" t="str">
        <f>IF($A247="","",[1]!thsiFinD("ths_adjustment_nv_fund",T$3,$A247))</f>
        <v/>
      </c>
      <c r="U247" s="13" t="str">
        <f>IF($A247="","",[1]!thsiFinD("ths_adjustment_nv_fund",U$3,$A247))</f>
        <v/>
      </c>
      <c r="V247" s="13" t="str">
        <f>IF($A247="","",[1]!thsiFinD("ths_adjustment_nv_fund",V$3,$A247))</f>
        <v/>
      </c>
      <c r="W247" s="13" t="str">
        <f>IF($A247="","",[1]!thsiFinD("ths_adjustment_nv_fund",W$3,$A247))</f>
        <v/>
      </c>
      <c r="X247" s="13" t="str">
        <f>IF($A247="","",[1]!thsiFinD("ths_adjustment_nv_fund",X$3,$A247))</f>
        <v/>
      </c>
      <c r="Y247" s="13" t="str">
        <f>IF($A247="","",[1]!thsiFinD("ths_adjustment_nv_fund",Y$3,$A247))</f>
        <v/>
      </c>
      <c r="Z247" s="13" t="str">
        <f>IF($A247="","",[1]!thsiFinD("ths_adjustment_nv_fund",Z$3,$A247))</f>
        <v/>
      </c>
      <c r="AA247" s="13" t="str">
        <f>IF($A247="","",[1]!thsiFinD("ths_adjustment_nv_fund",AA$3,$A247))</f>
        <v/>
      </c>
      <c r="AB247" s="13" t="str">
        <f>IF($A247="","",[1]!thsiFinD("ths_adjustment_nv_fund",AB$3,$A247))</f>
        <v/>
      </c>
    </row>
    <row r="248" spans="2:28">
      <c r="B248" s="13" t="str">
        <f>IF($A248="","",[1]!thsiFinD("ths_adjustment_nv_fund",B$3,$A248))</f>
        <v/>
      </c>
      <c r="C248" s="13" t="str">
        <f>IF($A248="","",[1]!thsiFinD("ths_adjustment_nv_fund",C$3,$A248))</f>
        <v/>
      </c>
      <c r="D248" s="13" t="str">
        <f>IF($A248="","",[1]!thsiFinD("ths_adjustment_nv_fund",D$3,$A248))</f>
        <v/>
      </c>
      <c r="E248" s="13" t="str">
        <f>IF($A248="","",[1]!thsiFinD("ths_adjustment_nv_fund",E$3,$A248))</f>
        <v/>
      </c>
      <c r="F248" s="13" t="str">
        <f>IF($A248="","",[1]!thsiFinD("ths_adjustment_nv_fund",F$3,$A248))</f>
        <v/>
      </c>
      <c r="G248" s="13" t="str">
        <f>IF($A248="","",[1]!thsiFinD("ths_adjustment_nv_fund",G$3,$A248))</f>
        <v/>
      </c>
      <c r="H248" s="13" t="str">
        <f>IF($A248="","",[1]!thsiFinD("ths_adjustment_nv_fund",H$3,$A248))</f>
        <v/>
      </c>
      <c r="I248" s="13" t="str">
        <f>IF($A248="","",[1]!thsiFinD("ths_adjustment_nv_fund",I$3,$A248))</f>
        <v/>
      </c>
      <c r="J248" s="13" t="str">
        <f>IF($A248="","",[1]!thsiFinD("ths_adjustment_nv_fund",J$3,$A248))</f>
        <v/>
      </c>
      <c r="K248" s="13" t="str">
        <f>IF($A248="","",[1]!thsiFinD("ths_adjustment_nv_fund",K$3,$A248))</f>
        <v/>
      </c>
      <c r="L248" s="13" t="str">
        <f>IF($A248="","",[1]!thsiFinD("ths_adjustment_nv_fund",L$3,$A248))</f>
        <v/>
      </c>
      <c r="M248" s="13" t="str">
        <f>IF($A248="","",[1]!thsiFinD("ths_adjustment_nv_fund",M$3,$A248))</f>
        <v/>
      </c>
      <c r="N248" s="13" t="str">
        <f>IF($A248="","",[1]!thsiFinD("ths_adjustment_nv_fund",N$3,$A248))</f>
        <v/>
      </c>
      <c r="O248" s="13" t="str">
        <f>IF($A248="","",[1]!thsiFinD("ths_adjustment_nv_fund",O$3,$A248))</f>
        <v/>
      </c>
      <c r="P248" s="13" t="str">
        <f>IF($A248="","",[1]!thsiFinD("ths_adjustment_nv_fund",P$3,$A248))</f>
        <v/>
      </c>
      <c r="Q248" s="13" t="str">
        <f>IF($A248="","",[1]!thsiFinD("ths_adjustment_nv_fund",Q$3,$A248))</f>
        <v/>
      </c>
      <c r="R248" s="13" t="str">
        <f>IF($A248="","",[1]!thsiFinD("ths_adjustment_nv_fund",R$3,$A248))</f>
        <v/>
      </c>
      <c r="S248" s="13" t="str">
        <f>IF($A248="","",[1]!thsiFinD("ths_adjustment_nv_fund",S$3,$A248))</f>
        <v/>
      </c>
      <c r="T248" s="13" t="str">
        <f>IF($A248="","",[1]!thsiFinD("ths_adjustment_nv_fund",T$3,$A248))</f>
        <v/>
      </c>
      <c r="U248" s="13" t="str">
        <f>IF($A248="","",[1]!thsiFinD("ths_adjustment_nv_fund",U$3,$A248))</f>
        <v/>
      </c>
      <c r="V248" s="13" t="str">
        <f>IF($A248="","",[1]!thsiFinD("ths_adjustment_nv_fund",V$3,$A248))</f>
        <v/>
      </c>
      <c r="W248" s="13" t="str">
        <f>IF($A248="","",[1]!thsiFinD("ths_adjustment_nv_fund",W$3,$A248))</f>
        <v/>
      </c>
      <c r="X248" s="13" t="str">
        <f>IF($A248="","",[1]!thsiFinD("ths_adjustment_nv_fund",X$3,$A248))</f>
        <v/>
      </c>
      <c r="Y248" s="13" t="str">
        <f>IF($A248="","",[1]!thsiFinD("ths_adjustment_nv_fund",Y$3,$A248))</f>
        <v/>
      </c>
      <c r="Z248" s="13" t="str">
        <f>IF($A248="","",[1]!thsiFinD("ths_adjustment_nv_fund",Z$3,$A248))</f>
        <v/>
      </c>
      <c r="AA248" s="13" t="str">
        <f>IF($A248="","",[1]!thsiFinD("ths_adjustment_nv_fund",AA$3,$A248))</f>
        <v/>
      </c>
      <c r="AB248" s="13" t="str">
        <f>IF($A248="","",[1]!thsiFinD("ths_adjustment_nv_fund",AB$3,$A248))</f>
        <v/>
      </c>
    </row>
    <row r="249" spans="2:28">
      <c r="B249" s="13" t="str">
        <f>IF($A249="","",[1]!thsiFinD("ths_adjustment_nv_fund",B$3,$A249))</f>
        <v/>
      </c>
      <c r="C249" s="13" t="str">
        <f>IF($A249="","",[1]!thsiFinD("ths_adjustment_nv_fund",C$3,$A249))</f>
        <v/>
      </c>
      <c r="D249" s="13" t="str">
        <f>IF($A249="","",[1]!thsiFinD("ths_adjustment_nv_fund",D$3,$A249))</f>
        <v/>
      </c>
      <c r="E249" s="13" t="str">
        <f>IF($A249="","",[1]!thsiFinD("ths_adjustment_nv_fund",E$3,$A249))</f>
        <v/>
      </c>
      <c r="F249" s="13" t="str">
        <f>IF($A249="","",[1]!thsiFinD("ths_adjustment_nv_fund",F$3,$A249))</f>
        <v/>
      </c>
      <c r="G249" s="13" t="str">
        <f>IF($A249="","",[1]!thsiFinD("ths_adjustment_nv_fund",G$3,$A249))</f>
        <v/>
      </c>
      <c r="H249" s="13" t="str">
        <f>IF($A249="","",[1]!thsiFinD("ths_adjustment_nv_fund",H$3,$A249))</f>
        <v/>
      </c>
      <c r="I249" s="13" t="str">
        <f>IF($A249="","",[1]!thsiFinD("ths_adjustment_nv_fund",I$3,$A249))</f>
        <v/>
      </c>
      <c r="J249" s="13" t="str">
        <f>IF($A249="","",[1]!thsiFinD("ths_adjustment_nv_fund",J$3,$A249))</f>
        <v/>
      </c>
      <c r="K249" s="13" t="str">
        <f>IF($A249="","",[1]!thsiFinD("ths_adjustment_nv_fund",K$3,$A249))</f>
        <v/>
      </c>
      <c r="L249" s="13" t="str">
        <f>IF($A249="","",[1]!thsiFinD("ths_adjustment_nv_fund",L$3,$A249))</f>
        <v/>
      </c>
      <c r="M249" s="13" t="str">
        <f>IF($A249="","",[1]!thsiFinD("ths_adjustment_nv_fund",M$3,$A249))</f>
        <v/>
      </c>
      <c r="N249" s="13" t="str">
        <f>IF($A249="","",[1]!thsiFinD("ths_adjustment_nv_fund",N$3,$A249))</f>
        <v/>
      </c>
      <c r="O249" s="13" t="str">
        <f>IF($A249="","",[1]!thsiFinD("ths_adjustment_nv_fund",O$3,$A249))</f>
        <v/>
      </c>
      <c r="P249" s="13" t="str">
        <f>IF($A249="","",[1]!thsiFinD("ths_adjustment_nv_fund",P$3,$A249))</f>
        <v/>
      </c>
      <c r="Q249" s="13" t="str">
        <f>IF($A249="","",[1]!thsiFinD("ths_adjustment_nv_fund",Q$3,$A249))</f>
        <v/>
      </c>
      <c r="R249" s="13" t="str">
        <f>IF($A249="","",[1]!thsiFinD("ths_adjustment_nv_fund",R$3,$A249))</f>
        <v/>
      </c>
      <c r="S249" s="13" t="str">
        <f>IF($A249="","",[1]!thsiFinD("ths_adjustment_nv_fund",S$3,$A249))</f>
        <v/>
      </c>
      <c r="T249" s="13" t="str">
        <f>IF($A249="","",[1]!thsiFinD("ths_adjustment_nv_fund",T$3,$A249))</f>
        <v/>
      </c>
      <c r="U249" s="13" t="str">
        <f>IF($A249="","",[1]!thsiFinD("ths_adjustment_nv_fund",U$3,$A249))</f>
        <v/>
      </c>
      <c r="V249" s="13" t="str">
        <f>IF($A249="","",[1]!thsiFinD("ths_adjustment_nv_fund",V$3,$A249))</f>
        <v/>
      </c>
      <c r="W249" s="13" t="str">
        <f>IF($A249="","",[1]!thsiFinD("ths_adjustment_nv_fund",W$3,$A249))</f>
        <v/>
      </c>
      <c r="X249" s="13" t="str">
        <f>IF($A249="","",[1]!thsiFinD("ths_adjustment_nv_fund",X$3,$A249))</f>
        <v/>
      </c>
      <c r="Y249" s="13" t="str">
        <f>IF($A249="","",[1]!thsiFinD("ths_adjustment_nv_fund",Y$3,$A249))</f>
        <v/>
      </c>
      <c r="Z249" s="13" t="str">
        <f>IF($A249="","",[1]!thsiFinD("ths_adjustment_nv_fund",Z$3,$A249))</f>
        <v/>
      </c>
      <c r="AA249" s="13" t="str">
        <f>IF($A249="","",[1]!thsiFinD("ths_adjustment_nv_fund",AA$3,$A249))</f>
        <v/>
      </c>
      <c r="AB249" s="13" t="str">
        <f>IF($A249="","",[1]!thsiFinD("ths_adjustment_nv_fund",AB$3,$A249))</f>
        <v/>
      </c>
    </row>
    <row r="250" spans="2:28">
      <c r="B250" s="13" t="str">
        <f>IF($A250="","",[1]!thsiFinD("ths_adjustment_nv_fund",B$3,$A250))</f>
        <v/>
      </c>
      <c r="C250" s="13" t="str">
        <f>IF($A250="","",[1]!thsiFinD("ths_adjustment_nv_fund",C$3,$A250))</f>
        <v/>
      </c>
      <c r="D250" s="13" t="str">
        <f>IF($A250="","",[1]!thsiFinD("ths_adjustment_nv_fund",D$3,$A250))</f>
        <v/>
      </c>
      <c r="E250" s="13" t="str">
        <f>IF($A250="","",[1]!thsiFinD("ths_adjustment_nv_fund",E$3,$A250))</f>
        <v/>
      </c>
      <c r="F250" s="13" t="str">
        <f>IF($A250="","",[1]!thsiFinD("ths_adjustment_nv_fund",F$3,$A250))</f>
        <v/>
      </c>
      <c r="G250" s="13" t="str">
        <f>IF($A250="","",[1]!thsiFinD("ths_adjustment_nv_fund",G$3,$A250))</f>
        <v/>
      </c>
      <c r="H250" s="13" t="str">
        <f>IF($A250="","",[1]!thsiFinD("ths_adjustment_nv_fund",H$3,$A250))</f>
        <v/>
      </c>
      <c r="I250" s="13" t="str">
        <f>IF($A250="","",[1]!thsiFinD("ths_adjustment_nv_fund",I$3,$A250))</f>
        <v/>
      </c>
      <c r="J250" s="13" t="str">
        <f>IF($A250="","",[1]!thsiFinD("ths_adjustment_nv_fund",J$3,$A250))</f>
        <v/>
      </c>
      <c r="K250" s="13" t="str">
        <f>IF($A250="","",[1]!thsiFinD("ths_adjustment_nv_fund",K$3,$A250))</f>
        <v/>
      </c>
      <c r="L250" s="13" t="str">
        <f>IF($A250="","",[1]!thsiFinD("ths_adjustment_nv_fund",L$3,$A250))</f>
        <v/>
      </c>
      <c r="M250" s="13" t="str">
        <f>IF($A250="","",[1]!thsiFinD("ths_adjustment_nv_fund",M$3,$A250))</f>
        <v/>
      </c>
      <c r="N250" s="13" t="str">
        <f>IF($A250="","",[1]!thsiFinD("ths_adjustment_nv_fund",N$3,$A250))</f>
        <v/>
      </c>
      <c r="O250" s="13" t="str">
        <f>IF($A250="","",[1]!thsiFinD("ths_adjustment_nv_fund",O$3,$A250))</f>
        <v/>
      </c>
      <c r="P250" s="13" t="str">
        <f>IF($A250="","",[1]!thsiFinD("ths_adjustment_nv_fund",P$3,$A250))</f>
        <v/>
      </c>
      <c r="Q250" s="13" t="str">
        <f>IF($A250="","",[1]!thsiFinD("ths_adjustment_nv_fund",Q$3,$A250))</f>
        <v/>
      </c>
      <c r="R250" s="13" t="str">
        <f>IF($A250="","",[1]!thsiFinD("ths_adjustment_nv_fund",R$3,$A250))</f>
        <v/>
      </c>
      <c r="S250" s="13" t="str">
        <f>IF($A250="","",[1]!thsiFinD("ths_adjustment_nv_fund",S$3,$A250))</f>
        <v/>
      </c>
      <c r="T250" s="13" t="str">
        <f>IF($A250="","",[1]!thsiFinD("ths_adjustment_nv_fund",T$3,$A250))</f>
        <v/>
      </c>
      <c r="U250" s="13" t="str">
        <f>IF($A250="","",[1]!thsiFinD("ths_adjustment_nv_fund",U$3,$A250))</f>
        <v/>
      </c>
      <c r="V250" s="13" t="str">
        <f>IF($A250="","",[1]!thsiFinD("ths_adjustment_nv_fund",V$3,$A250))</f>
        <v/>
      </c>
      <c r="W250" s="13" t="str">
        <f>IF($A250="","",[1]!thsiFinD("ths_adjustment_nv_fund",W$3,$A250))</f>
        <v/>
      </c>
      <c r="X250" s="13" t="str">
        <f>IF($A250="","",[1]!thsiFinD("ths_adjustment_nv_fund",X$3,$A250))</f>
        <v/>
      </c>
      <c r="Y250" s="13" t="str">
        <f>IF($A250="","",[1]!thsiFinD("ths_adjustment_nv_fund",Y$3,$A250))</f>
        <v/>
      </c>
      <c r="Z250" s="13" t="str">
        <f>IF($A250="","",[1]!thsiFinD("ths_adjustment_nv_fund",Z$3,$A250))</f>
        <v/>
      </c>
      <c r="AA250" s="13" t="str">
        <f>IF($A250="","",[1]!thsiFinD("ths_adjustment_nv_fund",AA$3,$A250))</f>
        <v/>
      </c>
      <c r="AB250" s="13" t="str">
        <f>IF($A250="","",[1]!thsiFinD("ths_adjustment_nv_fund",AB$3,$A250))</f>
        <v/>
      </c>
    </row>
    <row r="251" spans="2:28">
      <c r="B251" s="13" t="str">
        <f>IF($A251="","",[1]!thsiFinD("ths_adjustment_nv_fund",B$3,$A251))</f>
        <v/>
      </c>
      <c r="C251" s="13" t="str">
        <f>IF($A251="","",[1]!thsiFinD("ths_adjustment_nv_fund",C$3,$A251))</f>
        <v/>
      </c>
      <c r="D251" s="13" t="str">
        <f>IF($A251="","",[1]!thsiFinD("ths_adjustment_nv_fund",D$3,$A251))</f>
        <v/>
      </c>
      <c r="E251" s="13" t="str">
        <f>IF($A251="","",[1]!thsiFinD("ths_adjustment_nv_fund",E$3,$A251))</f>
        <v/>
      </c>
      <c r="F251" s="13" t="str">
        <f>IF($A251="","",[1]!thsiFinD("ths_adjustment_nv_fund",F$3,$A251))</f>
        <v/>
      </c>
      <c r="G251" s="13" t="str">
        <f>IF($A251="","",[1]!thsiFinD("ths_adjustment_nv_fund",G$3,$A251))</f>
        <v/>
      </c>
      <c r="H251" s="13" t="str">
        <f>IF($A251="","",[1]!thsiFinD("ths_adjustment_nv_fund",H$3,$A251))</f>
        <v/>
      </c>
      <c r="I251" s="13" t="str">
        <f>IF($A251="","",[1]!thsiFinD("ths_adjustment_nv_fund",I$3,$A251))</f>
        <v/>
      </c>
      <c r="J251" s="13" t="str">
        <f>IF($A251="","",[1]!thsiFinD("ths_adjustment_nv_fund",J$3,$A251))</f>
        <v/>
      </c>
      <c r="K251" s="13" t="str">
        <f>IF($A251="","",[1]!thsiFinD("ths_adjustment_nv_fund",K$3,$A251))</f>
        <v/>
      </c>
      <c r="L251" s="13" t="str">
        <f>IF($A251="","",[1]!thsiFinD("ths_adjustment_nv_fund",L$3,$A251))</f>
        <v/>
      </c>
      <c r="M251" s="13" t="str">
        <f>IF($A251="","",[1]!thsiFinD("ths_adjustment_nv_fund",M$3,$A251))</f>
        <v/>
      </c>
      <c r="N251" s="13" t="str">
        <f>IF($A251="","",[1]!thsiFinD("ths_adjustment_nv_fund",N$3,$A251))</f>
        <v/>
      </c>
      <c r="O251" s="13" t="str">
        <f>IF($A251="","",[1]!thsiFinD("ths_adjustment_nv_fund",O$3,$A251))</f>
        <v/>
      </c>
      <c r="P251" s="13" t="str">
        <f>IF($A251="","",[1]!thsiFinD("ths_adjustment_nv_fund",P$3,$A251))</f>
        <v/>
      </c>
      <c r="Q251" s="13" t="str">
        <f>IF($A251="","",[1]!thsiFinD("ths_adjustment_nv_fund",Q$3,$A251))</f>
        <v/>
      </c>
      <c r="R251" s="13" t="str">
        <f>IF($A251="","",[1]!thsiFinD("ths_adjustment_nv_fund",R$3,$A251))</f>
        <v/>
      </c>
      <c r="S251" s="13" t="str">
        <f>IF($A251="","",[1]!thsiFinD("ths_adjustment_nv_fund",S$3,$A251))</f>
        <v/>
      </c>
      <c r="T251" s="13" t="str">
        <f>IF($A251="","",[1]!thsiFinD("ths_adjustment_nv_fund",T$3,$A251))</f>
        <v/>
      </c>
      <c r="U251" s="13" t="str">
        <f>IF($A251="","",[1]!thsiFinD("ths_adjustment_nv_fund",U$3,$A251))</f>
        <v/>
      </c>
      <c r="V251" s="13" t="str">
        <f>IF($A251="","",[1]!thsiFinD("ths_adjustment_nv_fund",V$3,$A251))</f>
        <v/>
      </c>
      <c r="W251" s="13" t="str">
        <f>IF($A251="","",[1]!thsiFinD("ths_adjustment_nv_fund",W$3,$A251))</f>
        <v/>
      </c>
      <c r="X251" s="13" t="str">
        <f>IF($A251="","",[1]!thsiFinD("ths_adjustment_nv_fund",X$3,$A251))</f>
        <v/>
      </c>
      <c r="Y251" s="13" t="str">
        <f>IF($A251="","",[1]!thsiFinD("ths_adjustment_nv_fund",Y$3,$A251))</f>
        <v/>
      </c>
      <c r="Z251" s="13" t="str">
        <f>IF($A251="","",[1]!thsiFinD("ths_adjustment_nv_fund",Z$3,$A251))</f>
        <v/>
      </c>
      <c r="AA251" s="13" t="str">
        <f>IF($A251="","",[1]!thsiFinD("ths_adjustment_nv_fund",AA$3,$A251))</f>
        <v/>
      </c>
      <c r="AB251" s="13" t="str">
        <f>IF($A251="","",[1]!thsiFinD("ths_adjustment_nv_fund",AB$3,$A251))</f>
        <v/>
      </c>
    </row>
    <row r="252" spans="2:28">
      <c r="B252" s="13" t="str">
        <f>IF($A252="","",[1]!thsiFinD("ths_adjustment_nv_fund",B$3,$A252))</f>
        <v/>
      </c>
      <c r="C252" s="13" t="str">
        <f>IF($A252="","",[1]!thsiFinD("ths_adjustment_nv_fund",C$3,$A252))</f>
        <v/>
      </c>
      <c r="D252" s="13" t="str">
        <f>IF($A252="","",[1]!thsiFinD("ths_adjustment_nv_fund",D$3,$A252))</f>
        <v/>
      </c>
      <c r="E252" s="13" t="str">
        <f>IF($A252="","",[1]!thsiFinD("ths_adjustment_nv_fund",E$3,$A252))</f>
        <v/>
      </c>
      <c r="F252" s="13" t="str">
        <f>IF($A252="","",[1]!thsiFinD("ths_adjustment_nv_fund",F$3,$A252))</f>
        <v/>
      </c>
      <c r="G252" s="13" t="str">
        <f>IF($A252="","",[1]!thsiFinD("ths_adjustment_nv_fund",G$3,$A252))</f>
        <v/>
      </c>
      <c r="H252" s="13" t="str">
        <f>IF($A252="","",[1]!thsiFinD("ths_adjustment_nv_fund",H$3,$A252))</f>
        <v/>
      </c>
      <c r="I252" s="13" t="str">
        <f>IF($A252="","",[1]!thsiFinD("ths_adjustment_nv_fund",I$3,$A252))</f>
        <v/>
      </c>
      <c r="J252" s="13" t="str">
        <f>IF($A252="","",[1]!thsiFinD("ths_adjustment_nv_fund",J$3,$A252))</f>
        <v/>
      </c>
      <c r="K252" s="13" t="str">
        <f>IF($A252="","",[1]!thsiFinD("ths_adjustment_nv_fund",K$3,$A252))</f>
        <v/>
      </c>
      <c r="L252" s="13" t="str">
        <f>IF($A252="","",[1]!thsiFinD("ths_adjustment_nv_fund",L$3,$A252))</f>
        <v/>
      </c>
      <c r="M252" s="13" t="str">
        <f>IF($A252="","",[1]!thsiFinD("ths_adjustment_nv_fund",M$3,$A252))</f>
        <v/>
      </c>
      <c r="N252" s="13" t="str">
        <f>IF($A252="","",[1]!thsiFinD("ths_adjustment_nv_fund",N$3,$A252))</f>
        <v/>
      </c>
      <c r="O252" s="13" t="str">
        <f>IF($A252="","",[1]!thsiFinD("ths_adjustment_nv_fund",O$3,$A252))</f>
        <v/>
      </c>
      <c r="P252" s="13" t="str">
        <f>IF($A252="","",[1]!thsiFinD("ths_adjustment_nv_fund",P$3,$A252))</f>
        <v/>
      </c>
      <c r="Q252" s="13" t="str">
        <f>IF($A252="","",[1]!thsiFinD("ths_adjustment_nv_fund",Q$3,$A252))</f>
        <v/>
      </c>
      <c r="R252" s="13" t="str">
        <f>IF($A252="","",[1]!thsiFinD("ths_adjustment_nv_fund",R$3,$A252))</f>
        <v/>
      </c>
      <c r="S252" s="13" t="str">
        <f>IF($A252="","",[1]!thsiFinD("ths_adjustment_nv_fund",S$3,$A252))</f>
        <v/>
      </c>
      <c r="T252" s="13" t="str">
        <f>IF($A252="","",[1]!thsiFinD("ths_adjustment_nv_fund",T$3,$A252))</f>
        <v/>
      </c>
      <c r="U252" s="13" t="str">
        <f>IF($A252="","",[1]!thsiFinD("ths_adjustment_nv_fund",U$3,$A252))</f>
        <v/>
      </c>
      <c r="V252" s="13" t="str">
        <f>IF($A252="","",[1]!thsiFinD("ths_adjustment_nv_fund",V$3,$A252))</f>
        <v/>
      </c>
      <c r="W252" s="13" t="str">
        <f>IF($A252="","",[1]!thsiFinD("ths_adjustment_nv_fund",W$3,$A252))</f>
        <v/>
      </c>
      <c r="X252" s="13" t="str">
        <f>IF($A252="","",[1]!thsiFinD("ths_adjustment_nv_fund",X$3,$A252))</f>
        <v/>
      </c>
      <c r="Y252" s="13" t="str">
        <f>IF($A252="","",[1]!thsiFinD("ths_adjustment_nv_fund",Y$3,$A252))</f>
        <v/>
      </c>
      <c r="Z252" s="13" t="str">
        <f>IF($A252="","",[1]!thsiFinD("ths_adjustment_nv_fund",Z$3,$A252))</f>
        <v/>
      </c>
      <c r="AA252" s="13" t="str">
        <f>IF($A252="","",[1]!thsiFinD("ths_adjustment_nv_fund",AA$3,$A252))</f>
        <v/>
      </c>
      <c r="AB252" s="13" t="str">
        <f>IF($A252="","",[1]!thsiFinD("ths_adjustment_nv_fund",AB$3,$A252))</f>
        <v/>
      </c>
    </row>
    <row r="253" spans="2:28">
      <c r="B253" s="13" t="str">
        <f>IF($A253="","",[1]!thsiFinD("ths_adjustment_nv_fund",B$3,$A253))</f>
        <v/>
      </c>
      <c r="C253" s="13" t="str">
        <f>IF($A253="","",[1]!thsiFinD("ths_adjustment_nv_fund",C$3,$A253))</f>
        <v/>
      </c>
      <c r="D253" s="13" t="str">
        <f>IF($A253="","",[1]!thsiFinD("ths_adjustment_nv_fund",D$3,$A253))</f>
        <v/>
      </c>
      <c r="E253" s="13" t="str">
        <f>IF($A253="","",[1]!thsiFinD("ths_adjustment_nv_fund",E$3,$A253))</f>
        <v/>
      </c>
      <c r="F253" s="13" t="str">
        <f>IF($A253="","",[1]!thsiFinD("ths_adjustment_nv_fund",F$3,$A253))</f>
        <v/>
      </c>
      <c r="G253" s="13" t="str">
        <f>IF($A253="","",[1]!thsiFinD("ths_adjustment_nv_fund",G$3,$A253))</f>
        <v/>
      </c>
      <c r="H253" s="13" t="str">
        <f>IF($A253="","",[1]!thsiFinD("ths_adjustment_nv_fund",H$3,$A253))</f>
        <v/>
      </c>
      <c r="I253" s="13" t="str">
        <f>IF($A253="","",[1]!thsiFinD("ths_adjustment_nv_fund",I$3,$A253))</f>
        <v/>
      </c>
      <c r="J253" s="13" t="str">
        <f>IF($A253="","",[1]!thsiFinD("ths_adjustment_nv_fund",J$3,$A253))</f>
        <v/>
      </c>
      <c r="K253" s="13" t="str">
        <f>IF($A253="","",[1]!thsiFinD("ths_adjustment_nv_fund",K$3,$A253))</f>
        <v/>
      </c>
      <c r="L253" s="13" t="str">
        <f>IF($A253="","",[1]!thsiFinD("ths_adjustment_nv_fund",L$3,$A253))</f>
        <v/>
      </c>
      <c r="M253" s="13" t="str">
        <f>IF($A253="","",[1]!thsiFinD("ths_adjustment_nv_fund",M$3,$A253))</f>
        <v/>
      </c>
      <c r="N253" s="13" t="str">
        <f>IF($A253="","",[1]!thsiFinD("ths_adjustment_nv_fund",N$3,$A253))</f>
        <v/>
      </c>
      <c r="O253" s="13" t="str">
        <f>IF($A253="","",[1]!thsiFinD("ths_adjustment_nv_fund",O$3,$A253))</f>
        <v/>
      </c>
      <c r="P253" s="13" t="str">
        <f>IF($A253="","",[1]!thsiFinD("ths_adjustment_nv_fund",P$3,$A253))</f>
        <v/>
      </c>
      <c r="Q253" s="13" t="str">
        <f>IF($A253="","",[1]!thsiFinD("ths_adjustment_nv_fund",Q$3,$A253))</f>
        <v/>
      </c>
      <c r="R253" s="13" t="str">
        <f>IF($A253="","",[1]!thsiFinD("ths_adjustment_nv_fund",R$3,$A253))</f>
        <v/>
      </c>
      <c r="S253" s="13" t="str">
        <f>IF($A253="","",[1]!thsiFinD("ths_adjustment_nv_fund",S$3,$A253))</f>
        <v/>
      </c>
      <c r="T253" s="13" t="str">
        <f>IF($A253="","",[1]!thsiFinD("ths_adjustment_nv_fund",T$3,$A253))</f>
        <v/>
      </c>
      <c r="U253" s="13" t="str">
        <f>IF($A253="","",[1]!thsiFinD("ths_adjustment_nv_fund",U$3,$A253))</f>
        <v/>
      </c>
      <c r="V253" s="13" t="str">
        <f>IF($A253="","",[1]!thsiFinD("ths_adjustment_nv_fund",V$3,$A253))</f>
        <v/>
      </c>
      <c r="W253" s="13" t="str">
        <f>IF($A253="","",[1]!thsiFinD("ths_adjustment_nv_fund",W$3,$A253))</f>
        <v/>
      </c>
      <c r="X253" s="13" t="str">
        <f>IF($A253="","",[1]!thsiFinD("ths_adjustment_nv_fund",X$3,$A253))</f>
        <v/>
      </c>
      <c r="Y253" s="13" t="str">
        <f>IF($A253="","",[1]!thsiFinD("ths_adjustment_nv_fund",Y$3,$A253))</f>
        <v/>
      </c>
      <c r="Z253" s="13" t="str">
        <f>IF($A253="","",[1]!thsiFinD("ths_adjustment_nv_fund",Z$3,$A253))</f>
        <v/>
      </c>
      <c r="AA253" s="13" t="str">
        <f>IF($A253="","",[1]!thsiFinD("ths_adjustment_nv_fund",AA$3,$A253))</f>
        <v/>
      </c>
      <c r="AB253" s="13" t="str">
        <f>IF($A253="","",[1]!thsiFinD("ths_adjustment_nv_fund",AB$3,$A253))</f>
        <v/>
      </c>
    </row>
    <row r="254" spans="2:28">
      <c r="B254" s="13" t="str">
        <f>IF($A254="","",[1]!thsiFinD("ths_adjustment_nv_fund",B$3,$A254))</f>
        <v/>
      </c>
      <c r="C254" s="13" t="str">
        <f>IF($A254="","",[1]!thsiFinD("ths_adjustment_nv_fund",C$3,$A254))</f>
        <v/>
      </c>
      <c r="D254" s="13" t="str">
        <f>IF($A254="","",[1]!thsiFinD("ths_adjustment_nv_fund",D$3,$A254))</f>
        <v/>
      </c>
      <c r="E254" s="13" t="str">
        <f>IF($A254="","",[1]!thsiFinD("ths_adjustment_nv_fund",E$3,$A254))</f>
        <v/>
      </c>
      <c r="F254" s="13" t="str">
        <f>IF($A254="","",[1]!thsiFinD("ths_adjustment_nv_fund",F$3,$A254))</f>
        <v/>
      </c>
      <c r="G254" s="13" t="str">
        <f>IF($A254="","",[1]!thsiFinD("ths_adjustment_nv_fund",G$3,$A254))</f>
        <v/>
      </c>
      <c r="H254" s="13" t="str">
        <f>IF($A254="","",[1]!thsiFinD("ths_adjustment_nv_fund",H$3,$A254))</f>
        <v/>
      </c>
      <c r="I254" s="13" t="str">
        <f>IF($A254="","",[1]!thsiFinD("ths_adjustment_nv_fund",I$3,$A254))</f>
        <v/>
      </c>
      <c r="J254" s="13" t="str">
        <f>IF($A254="","",[1]!thsiFinD("ths_adjustment_nv_fund",J$3,$A254))</f>
        <v/>
      </c>
      <c r="K254" s="13" t="str">
        <f>IF($A254="","",[1]!thsiFinD("ths_adjustment_nv_fund",K$3,$A254))</f>
        <v/>
      </c>
      <c r="L254" s="13" t="str">
        <f>IF($A254="","",[1]!thsiFinD("ths_adjustment_nv_fund",L$3,$A254))</f>
        <v/>
      </c>
      <c r="M254" s="13" t="str">
        <f>IF($A254="","",[1]!thsiFinD("ths_adjustment_nv_fund",M$3,$A254))</f>
        <v/>
      </c>
      <c r="N254" s="13" t="str">
        <f>IF($A254="","",[1]!thsiFinD("ths_adjustment_nv_fund",N$3,$A254))</f>
        <v/>
      </c>
      <c r="O254" s="13" t="str">
        <f>IF($A254="","",[1]!thsiFinD("ths_adjustment_nv_fund",O$3,$A254))</f>
        <v/>
      </c>
      <c r="P254" s="13" t="str">
        <f>IF($A254="","",[1]!thsiFinD("ths_adjustment_nv_fund",P$3,$A254))</f>
        <v/>
      </c>
      <c r="Q254" s="13" t="str">
        <f>IF($A254="","",[1]!thsiFinD("ths_adjustment_nv_fund",Q$3,$A254))</f>
        <v/>
      </c>
      <c r="R254" s="13" t="str">
        <f>IF($A254="","",[1]!thsiFinD("ths_adjustment_nv_fund",R$3,$A254))</f>
        <v/>
      </c>
      <c r="S254" s="13" t="str">
        <f>IF($A254="","",[1]!thsiFinD("ths_adjustment_nv_fund",S$3,$A254))</f>
        <v/>
      </c>
      <c r="T254" s="13" t="str">
        <f>IF($A254="","",[1]!thsiFinD("ths_adjustment_nv_fund",T$3,$A254))</f>
        <v/>
      </c>
      <c r="U254" s="13" t="str">
        <f>IF($A254="","",[1]!thsiFinD("ths_adjustment_nv_fund",U$3,$A254))</f>
        <v/>
      </c>
      <c r="V254" s="13" t="str">
        <f>IF($A254="","",[1]!thsiFinD("ths_adjustment_nv_fund",V$3,$A254))</f>
        <v/>
      </c>
      <c r="W254" s="13" t="str">
        <f>IF($A254="","",[1]!thsiFinD("ths_adjustment_nv_fund",W$3,$A254))</f>
        <v/>
      </c>
      <c r="X254" s="13" t="str">
        <f>IF($A254="","",[1]!thsiFinD("ths_adjustment_nv_fund",X$3,$A254))</f>
        <v/>
      </c>
      <c r="Y254" s="13" t="str">
        <f>IF($A254="","",[1]!thsiFinD("ths_adjustment_nv_fund",Y$3,$A254))</f>
        <v/>
      </c>
      <c r="Z254" s="13" t="str">
        <f>IF($A254="","",[1]!thsiFinD("ths_adjustment_nv_fund",Z$3,$A254))</f>
        <v/>
      </c>
      <c r="AA254" s="13" t="str">
        <f>IF($A254="","",[1]!thsiFinD("ths_adjustment_nv_fund",AA$3,$A254))</f>
        <v/>
      </c>
      <c r="AB254" s="13" t="str">
        <f>IF($A254="","",[1]!thsiFinD("ths_adjustment_nv_fund",AB$3,$A254))</f>
        <v/>
      </c>
    </row>
    <row r="255" spans="2:28">
      <c r="B255" s="13" t="str">
        <f>IF($A255="","",[1]!thsiFinD("ths_adjustment_nv_fund",B$3,$A255))</f>
        <v/>
      </c>
      <c r="C255" s="13" t="str">
        <f>IF($A255="","",[1]!thsiFinD("ths_adjustment_nv_fund",C$3,$A255))</f>
        <v/>
      </c>
      <c r="D255" s="13" t="str">
        <f>IF($A255="","",[1]!thsiFinD("ths_adjustment_nv_fund",D$3,$A255))</f>
        <v/>
      </c>
      <c r="E255" s="13" t="str">
        <f>IF($A255="","",[1]!thsiFinD("ths_adjustment_nv_fund",E$3,$A255))</f>
        <v/>
      </c>
      <c r="F255" s="13" t="str">
        <f>IF($A255="","",[1]!thsiFinD("ths_adjustment_nv_fund",F$3,$A255))</f>
        <v/>
      </c>
      <c r="G255" s="13" t="str">
        <f>IF($A255="","",[1]!thsiFinD("ths_adjustment_nv_fund",G$3,$A255))</f>
        <v/>
      </c>
      <c r="H255" s="13" t="str">
        <f>IF($A255="","",[1]!thsiFinD("ths_adjustment_nv_fund",H$3,$A255))</f>
        <v/>
      </c>
      <c r="I255" s="13" t="str">
        <f>IF($A255="","",[1]!thsiFinD("ths_adjustment_nv_fund",I$3,$A255))</f>
        <v/>
      </c>
      <c r="J255" s="13" t="str">
        <f>IF($A255="","",[1]!thsiFinD("ths_adjustment_nv_fund",J$3,$A255))</f>
        <v/>
      </c>
      <c r="K255" s="13" t="str">
        <f>IF($A255="","",[1]!thsiFinD("ths_adjustment_nv_fund",K$3,$A255))</f>
        <v/>
      </c>
      <c r="L255" s="13" t="str">
        <f>IF($A255="","",[1]!thsiFinD("ths_adjustment_nv_fund",L$3,$A255))</f>
        <v/>
      </c>
      <c r="M255" s="13" t="str">
        <f>IF($A255="","",[1]!thsiFinD("ths_adjustment_nv_fund",M$3,$A255))</f>
        <v/>
      </c>
      <c r="N255" s="13" t="str">
        <f>IF($A255="","",[1]!thsiFinD("ths_adjustment_nv_fund",N$3,$A255))</f>
        <v/>
      </c>
      <c r="O255" s="13" t="str">
        <f>IF($A255="","",[1]!thsiFinD("ths_adjustment_nv_fund",O$3,$A255))</f>
        <v/>
      </c>
      <c r="P255" s="13" t="str">
        <f>IF($A255="","",[1]!thsiFinD("ths_adjustment_nv_fund",P$3,$A255))</f>
        <v/>
      </c>
      <c r="Q255" s="13" t="str">
        <f>IF($A255="","",[1]!thsiFinD("ths_adjustment_nv_fund",Q$3,$A255))</f>
        <v/>
      </c>
      <c r="R255" s="13" t="str">
        <f>IF($A255="","",[1]!thsiFinD("ths_adjustment_nv_fund",R$3,$A255))</f>
        <v/>
      </c>
      <c r="S255" s="13" t="str">
        <f>IF($A255="","",[1]!thsiFinD("ths_adjustment_nv_fund",S$3,$A255))</f>
        <v/>
      </c>
      <c r="T255" s="13" t="str">
        <f>IF($A255="","",[1]!thsiFinD("ths_adjustment_nv_fund",T$3,$A255))</f>
        <v/>
      </c>
      <c r="U255" s="13" t="str">
        <f>IF($A255="","",[1]!thsiFinD("ths_adjustment_nv_fund",U$3,$A255))</f>
        <v/>
      </c>
      <c r="V255" s="13" t="str">
        <f>IF($A255="","",[1]!thsiFinD("ths_adjustment_nv_fund",V$3,$A255))</f>
        <v/>
      </c>
      <c r="W255" s="13" t="str">
        <f>IF($A255="","",[1]!thsiFinD("ths_adjustment_nv_fund",W$3,$A255))</f>
        <v/>
      </c>
      <c r="X255" s="13" t="str">
        <f>IF($A255="","",[1]!thsiFinD("ths_adjustment_nv_fund",X$3,$A255))</f>
        <v/>
      </c>
      <c r="Y255" s="13" t="str">
        <f>IF($A255="","",[1]!thsiFinD("ths_adjustment_nv_fund",Y$3,$A255))</f>
        <v/>
      </c>
      <c r="Z255" s="13" t="str">
        <f>IF($A255="","",[1]!thsiFinD("ths_adjustment_nv_fund",Z$3,$A255))</f>
        <v/>
      </c>
      <c r="AA255" s="13" t="str">
        <f>IF($A255="","",[1]!thsiFinD("ths_adjustment_nv_fund",AA$3,$A255))</f>
        <v/>
      </c>
      <c r="AB255" s="13" t="str">
        <f>IF($A255="","",[1]!thsiFinD("ths_adjustment_nv_fund",AB$3,$A255))</f>
        <v/>
      </c>
    </row>
    <row r="256" spans="2:28">
      <c r="B256" s="13" t="str">
        <f>IF($A256="","",[1]!thsiFinD("ths_adjustment_nv_fund",B$3,$A256))</f>
        <v/>
      </c>
      <c r="C256" s="13" t="str">
        <f>IF($A256="","",[1]!thsiFinD("ths_adjustment_nv_fund",C$3,$A256))</f>
        <v/>
      </c>
      <c r="D256" s="13" t="str">
        <f>IF($A256="","",[1]!thsiFinD("ths_adjustment_nv_fund",D$3,$A256))</f>
        <v/>
      </c>
      <c r="E256" s="13" t="str">
        <f>IF($A256="","",[1]!thsiFinD("ths_adjustment_nv_fund",E$3,$A256))</f>
        <v/>
      </c>
      <c r="F256" s="13" t="str">
        <f>IF($A256="","",[1]!thsiFinD("ths_adjustment_nv_fund",F$3,$A256))</f>
        <v/>
      </c>
      <c r="G256" s="13" t="str">
        <f>IF($A256="","",[1]!thsiFinD("ths_adjustment_nv_fund",G$3,$A256))</f>
        <v/>
      </c>
      <c r="H256" s="13" t="str">
        <f>IF($A256="","",[1]!thsiFinD("ths_adjustment_nv_fund",H$3,$A256))</f>
        <v/>
      </c>
      <c r="I256" s="13" t="str">
        <f>IF($A256="","",[1]!thsiFinD("ths_adjustment_nv_fund",I$3,$A256))</f>
        <v/>
      </c>
      <c r="J256" s="13" t="str">
        <f>IF($A256="","",[1]!thsiFinD("ths_adjustment_nv_fund",J$3,$A256))</f>
        <v/>
      </c>
      <c r="K256" s="13" t="str">
        <f>IF($A256="","",[1]!thsiFinD("ths_adjustment_nv_fund",K$3,$A256))</f>
        <v/>
      </c>
      <c r="L256" s="13" t="str">
        <f>IF($A256="","",[1]!thsiFinD("ths_adjustment_nv_fund",L$3,$A256))</f>
        <v/>
      </c>
      <c r="M256" s="13" t="str">
        <f>IF($A256="","",[1]!thsiFinD("ths_adjustment_nv_fund",M$3,$A256))</f>
        <v/>
      </c>
      <c r="N256" s="13" t="str">
        <f>IF($A256="","",[1]!thsiFinD("ths_adjustment_nv_fund",N$3,$A256))</f>
        <v/>
      </c>
      <c r="O256" s="13" t="str">
        <f>IF($A256="","",[1]!thsiFinD("ths_adjustment_nv_fund",O$3,$A256))</f>
        <v/>
      </c>
      <c r="P256" s="13" t="str">
        <f>IF($A256="","",[1]!thsiFinD("ths_adjustment_nv_fund",P$3,$A256))</f>
        <v/>
      </c>
      <c r="Q256" s="13" t="str">
        <f>IF($A256="","",[1]!thsiFinD("ths_adjustment_nv_fund",Q$3,$A256))</f>
        <v/>
      </c>
      <c r="R256" s="13" t="str">
        <f>IF($A256="","",[1]!thsiFinD("ths_adjustment_nv_fund",R$3,$A256))</f>
        <v/>
      </c>
      <c r="S256" s="13" t="str">
        <f>IF($A256="","",[1]!thsiFinD("ths_adjustment_nv_fund",S$3,$A256))</f>
        <v/>
      </c>
      <c r="T256" s="13" t="str">
        <f>IF($A256="","",[1]!thsiFinD("ths_adjustment_nv_fund",T$3,$A256))</f>
        <v/>
      </c>
      <c r="U256" s="13" t="str">
        <f>IF($A256="","",[1]!thsiFinD("ths_adjustment_nv_fund",U$3,$A256))</f>
        <v/>
      </c>
      <c r="V256" s="13" t="str">
        <f>IF($A256="","",[1]!thsiFinD("ths_adjustment_nv_fund",V$3,$A256))</f>
        <v/>
      </c>
      <c r="W256" s="13" t="str">
        <f>IF($A256="","",[1]!thsiFinD("ths_adjustment_nv_fund",W$3,$A256))</f>
        <v/>
      </c>
      <c r="X256" s="13" t="str">
        <f>IF($A256="","",[1]!thsiFinD("ths_adjustment_nv_fund",X$3,$A256))</f>
        <v/>
      </c>
      <c r="Y256" s="13" t="str">
        <f>IF($A256="","",[1]!thsiFinD("ths_adjustment_nv_fund",Y$3,$A256))</f>
        <v/>
      </c>
      <c r="Z256" s="13" t="str">
        <f>IF($A256="","",[1]!thsiFinD("ths_adjustment_nv_fund",Z$3,$A256))</f>
        <v/>
      </c>
      <c r="AA256" s="13" t="str">
        <f>IF($A256="","",[1]!thsiFinD("ths_adjustment_nv_fund",AA$3,$A256))</f>
        <v/>
      </c>
      <c r="AB256" s="13" t="str">
        <f>IF($A256="","",[1]!thsiFinD("ths_adjustment_nv_fund",AB$3,$A256))</f>
        <v/>
      </c>
    </row>
    <row r="257" spans="2:28">
      <c r="B257" s="13" t="str">
        <f>IF($A257="","",[1]!thsiFinD("ths_adjustment_nv_fund",B$3,$A257))</f>
        <v/>
      </c>
      <c r="C257" s="13" t="str">
        <f>IF($A257="","",[1]!thsiFinD("ths_adjustment_nv_fund",C$3,$A257))</f>
        <v/>
      </c>
      <c r="D257" s="13" t="str">
        <f>IF($A257="","",[1]!thsiFinD("ths_adjustment_nv_fund",D$3,$A257))</f>
        <v/>
      </c>
      <c r="E257" s="13" t="str">
        <f>IF($A257="","",[1]!thsiFinD("ths_adjustment_nv_fund",E$3,$A257))</f>
        <v/>
      </c>
      <c r="F257" s="13" t="str">
        <f>IF($A257="","",[1]!thsiFinD("ths_adjustment_nv_fund",F$3,$A257))</f>
        <v/>
      </c>
      <c r="G257" s="13" t="str">
        <f>IF($A257="","",[1]!thsiFinD("ths_adjustment_nv_fund",G$3,$A257))</f>
        <v/>
      </c>
      <c r="H257" s="13" t="str">
        <f>IF($A257="","",[1]!thsiFinD("ths_adjustment_nv_fund",H$3,$A257))</f>
        <v/>
      </c>
      <c r="I257" s="13" t="str">
        <f>IF($A257="","",[1]!thsiFinD("ths_adjustment_nv_fund",I$3,$A257))</f>
        <v/>
      </c>
      <c r="J257" s="13" t="str">
        <f>IF($A257="","",[1]!thsiFinD("ths_adjustment_nv_fund",J$3,$A257))</f>
        <v/>
      </c>
      <c r="K257" s="13" t="str">
        <f>IF($A257="","",[1]!thsiFinD("ths_adjustment_nv_fund",K$3,$A257))</f>
        <v/>
      </c>
      <c r="L257" s="13" t="str">
        <f>IF($A257="","",[1]!thsiFinD("ths_adjustment_nv_fund",L$3,$A257))</f>
        <v/>
      </c>
      <c r="M257" s="13" t="str">
        <f>IF($A257="","",[1]!thsiFinD("ths_adjustment_nv_fund",M$3,$A257))</f>
        <v/>
      </c>
      <c r="N257" s="13" t="str">
        <f>IF($A257="","",[1]!thsiFinD("ths_adjustment_nv_fund",N$3,$A257))</f>
        <v/>
      </c>
      <c r="O257" s="13" t="str">
        <f>IF($A257="","",[1]!thsiFinD("ths_adjustment_nv_fund",O$3,$A257))</f>
        <v/>
      </c>
      <c r="P257" s="13" t="str">
        <f>IF($A257="","",[1]!thsiFinD("ths_adjustment_nv_fund",P$3,$A257))</f>
        <v/>
      </c>
      <c r="Q257" s="13" t="str">
        <f>IF($A257="","",[1]!thsiFinD("ths_adjustment_nv_fund",Q$3,$A257))</f>
        <v/>
      </c>
      <c r="R257" s="13" t="str">
        <f>IF($A257="","",[1]!thsiFinD("ths_adjustment_nv_fund",R$3,$A257))</f>
        <v/>
      </c>
      <c r="S257" s="13" t="str">
        <f>IF($A257="","",[1]!thsiFinD("ths_adjustment_nv_fund",S$3,$A257))</f>
        <v/>
      </c>
      <c r="T257" s="13" t="str">
        <f>IF($A257="","",[1]!thsiFinD("ths_adjustment_nv_fund",T$3,$A257))</f>
        <v/>
      </c>
      <c r="U257" s="13" t="str">
        <f>IF($A257="","",[1]!thsiFinD("ths_adjustment_nv_fund",U$3,$A257))</f>
        <v/>
      </c>
      <c r="V257" s="13" t="str">
        <f>IF($A257="","",[1]!thsiFinD("ths_adjustment_nv_fund",V$3,$A257))</f>
        <v/>
      </c>
      <c r="W257" s="13" t="str">
        <f>IF($A257="","",[1]!thsiFinD("ths_adjustment_nv_fund",W$3,$A257))</f>
        <v/>
      </c>
      <c r="X257" s="13" t="str">
        <f>IF($A257="","",[1]!thsiFinD("ths_adjustment_nv_fund",X$3,$A257))</f>
        <v/>
      </c>
      <c r="Y257" s="13" t="str">
        <f>IF($A257="","",[1]!thsiFinD("ths_adjustment_nv_fund",Y$3,$A257))</f>
        <v/>
      </c>
      <c r="Z257" s="13" t="str">
        <f>IF($A257="","",[1]!thsiFinD("ths_adjustment_nv_fund",Z$3,$A257))</f>
        <v/>
      </c>
      <c r="AA257" s="13" t="str">
        <f>IF($A257="","",[1]!thsiFinD("ths_adjustment_nv_fund",AA$3,$A257))</f>
        <v/>
      </c>
      <c r="AB257" s="13" t="str">
        <f>IF($A257="","",[1]!thsiFinD("ths_adjustment_nv_fund",AB$3,$A257))</f>
        <v/>
      </c>
    </row>
    <row r="258" spans="2:28">
      <c r="B258" s="13" t="str">
        <f>IF($A258="","",[1]!thsiFinD("ths_adjustment_nv_fund",B$3,$A258))</f>
        <v/>
      </c>
      <c r="C258" s="13" t="str">
        <f>IF($A258="","",[1]!thsiFinD("ths_adjustment_nv_fund",C$3,$A258))</f>
        <v/>
      </c>
      <c r="D258" s="13" t="str">
        <f>IF($A258="","",[1]!thsiFinD("ths_adjustment_nv_fund",D$3,$A258))</f>
        <v/>
      </c>
      <c r="E258" s="13" t="str">
        <f>IF($A258="","",[1]!thsiFinD("ths_adjustment_nv_fund",E$3,$A258))</f>
        <v/>
      </c>
      <c r="F258" s="13" t="str">
        <f>IF($A258="","",[1]!thsiFinD("ths_adjustment_nv_fund",F$3,$A258))</f>
        <v/>
      </c>
      <c r="G258" s="13" t="str">
        <f>IF($A258="","",[1]!thsiFinD("ths_adjustment_nv_fund",G$3,$A258))</f>
        <v/>
      </c>
      <c r="H258" s="13" t="str">
        <f>IF($A258="","",[1]!thsiFinD("ths_adjustment_nv_fund",H$3,$A258))</f>
        <v/>
      </c>
      <c r="I258" s="13" t="str">
        <f>IF($A258="","",[1]!thsiFinD("ths_adjustment_nv_fund",I$3,$A258))</f>
        <v/>
      </c>
      <c r="J258" s="13" t="str">
        <f>IF($A258="","",[1]!thsiFinD("ths_adjustment_nv_fund",J$3,$A258))</f>
        <v/>
      </c>
      <c r="K258" s="13" t="str">
        <f>IF($A258="","",[1]!thsiFinD("ths_adjustment_nv_fund",K$3,$A258))</f>
        <v/>
      </c>
      <c r="L258" s="13" t="str">
        <f>IF($A258="","",[1]!thsiFinD("ths_adjustment_nv_fund",L$3,$A258))</f>
        <v/>
      </c>
      <c r="M258" s="13" t="str">
        <f>IF($A258="","",[1]!thsiFinD("ths_adjustment_nv_fund",M$3,$A258))</f>
        <v/>
      </c>
      <c r="N258" s="13" t="str">
        <f>IF($A258="","",[1]!thsiFinD("ths_adjustment_nv_fund",N$3,$A258))</f>
        <v/>
      </c>
      <c r="O258" s="13" t="str">
        <f>IF($A258="","",[1]!thsiFinD("ths_adjustment_nv_fund",O$3,$A258))</f>
        <v/>
      </c>
      <c r="P258" s="13" t="str">
        <f>IF($A258="","",[1]!thsiFinD("ths_adjustment_nv_fund",P$3,$A258))</f>
        <v/>
      </c>
      <c r="Q258" s="13" t="str">
        <f>IF($A258="","",[1]!thsiFinD("ths_adjustment_nv_fund",Q$3,$A258))</f>
        <v/>
      </c>
      <c r="R258" s="13" t="str">
        <f>IF($A258="","",[1]!thsiFinD("ths_adjustment_nv_fund",R$3,$A258))</f>
        <v/>
      </c>
      <c r="S258" s="13" t="str">
        <f>IF($A258="","",[1]!thsiFinD("ths_adjustment_nv_fund",S$3,$A258))</f>
        <v/>
      </c>
      <c r="T258" s="13" t="str">
        <f>IF($A258="","",[1]!thsiFinD("ths_adjustment_nv_fund",T$3,$A258))</f>
        <v/>
      </c>
      <c r="U258" s="13" t="str">
        <f>IF($A258="","",[1]!thsiFinD("ths_adjustment_nv_fund",U$3,$A258))</f>
        <v/>
      </c>
      <c r="V258" s="13" t="str">
        <f>IF($A258="","",[1]!thsiFinD("ths_adjustment_nv_fund",V$3,$A258))</f>
        <v/>
      </c>
      <c r="W258" s="13" t="str">
        <f>IF($A258="","",[1]!thsiFinD("ths_adjustment_nv_fund",W$3,$A258))</f>
        <v/>
      </c>
      <c r="X258" s="13" t="str">
        <f>IF($A258="","",[1]!thsiFinD("ths_adjustment_nv_fund",X$3,$A258))</f>
        <v/>
      </c>
      <c r="Y258" s="13" t="str">
        <f>IF($A258="","",[1]!thsiFinD("ths_adjustment_nv_fund",Y$3,$A258))</f>
        <v/>
      </c>
      <c r="Z258" s="13" t="str">
        <f>IF($A258="","",[1]!thsiFinD("ths_adjustment_nv_fund",Z$3,$A258))</f>
        <v/>
      </c>
      <c r="AA258" s="13" t="str">
        <f>IF($A258="","",[1]!thsiFinD("ths_adjustment_nv_fund",AA$3,$A258))</f>
        <v/>
      </c>
      <c r="AB258" s="13" t="str">
        <f>IF($A258="","",[1]!thsiFinD("ths_adjustment_nv_fund",AB$3,$A258))</f>
        <v/>
      </c>
    </row>
    <row r="259" spans="2:28">
      <c r="B259" s="13" t="str">
        <f>IF($A259="","",[1]!thsiFinD("ths_adjustment_nv_fund",B$3,$A259))</f>
        <v/>
      </c>
      <c r="C259" s="13" t="str">
        <f>IF($A259="","",[1]!thsiFinD("ths_adjustment_nv_fund",C$3,$A259))</f>
        <v/>
      </c>
      <c r="D259" s="13" t="str">
        <f>IF($A259="","",[1]!thsiFinD("ths_adjustment_nv_fund",D$3,$A259))</f>
        <v/>
      </c>
      <c r="E259" s="13" t="str">
        <f>IF($A259="","",[1]!thsiFinD("ths_adjustment_nv_fund",E$3,$A259))</f>
        <v/>
      </c>
      <c r="F259" s="13" t="str">
        <f>IF($A259="","",[1]!thsiFinD("ths_adjustment_nv_fund",F$3,$A259))</f>
        <v/>
      </c>
      <c r="G259" s="13" t="str">
        <f>IF($A259="","",[1]!thsiFinD("ths_adjustment_nv_fund",G$3,$A259))</f>
        <v/>
      </c>
      <c r="H259" s="13" t="str">
        <f>IF($A259="","",[1]!thsiFinD("ths_adjustment_nv_fund",H$3,$A259))</f>
        <v/>
      </c>
      <c r="I259" s="13" t="str">
        <f>IF($A259="","",[1]!thsiFinD("ths_adjustment_nv_fund",I$3,$A259))</f>
        <v/>
      </c>
      <c r="J259" s="13" t="str">
        <f>IF($A259="","",[1]!thsiFinD("ths_adjustment_nv_fund",J$3,$A259))</f>
        <v/>
      </c>
      <c r="K259" s="13" t="str">
        <f>IF($A259="","",[1]!thsiFinD("ths_adjustment_nv_fund",K$3,$A259))</f>
        <v/>
      </c>
      <c r="L259" s="13" t="str">
        <f>IF($A259="","",[1]!thsiFinD("ths_adjustment_nv_fund",L$3,$A259))</f>
        <v/>
      </c>
      <c r="M259" s="13" t="str">
        <f>IF($A259="","",[1]!thsiFinD("ths_adjustment_nv_fund",M$3,$A259))</f>
        <v/>
      </c>
      <c r="N259" s="13" t="str">
        <f>IF($A259="","",[1]!thsiFinD("ths_adjustment_nv_fund",N$3,$A259))</f>
        <v/>
      </c>
      <c r="O259" s="13" t="str">
        <f>IF($A259="","",[1]!thsiFinD("ths_adjustment_nv_fund",O$3,$A259))</f>
        <v/>
      </c>
      <c r="P259" s="13" t="str">
        <f>IF($A259="","",[1]!thsiFinD("ths_adjustment_nv_fund",P$3,$A259))</f>
        <v/>
      </c>
      <c r="Q259" s="13" t="str">
        <f>IF($A259="","",[1]!thsiFinD("ths_adjustment_nv_fund",Q$3,$A259))</f>
        <v/>
      </c>
      <c r="R259" s="13" t="str">
        <f>IF($A259="","",[1]!thsiFinD("ths_adjustment_nv_fund",R$3,$A259))</f>
        <v/>
      </c>
      <c r="S259" s="13" t="str">
        <f>IF($A259="","",[1]!thsiFinD("ths_adjustment_nv_fund",S$3,$A259))</f>
        <v/>
      </c>
      <c r="T259" s="13" t="str">
        <f>IF($A259="","",[1]!thsiFinD("ths_adjustment_nv_fund",T$3,$A259))</f>
        <v/>
      </c>
      <c r="U259" s="13" t="str">
        <f>IF($A259="","",[1]!thsiFinD("ths_adjustment_nv_fund",U$3,$A259))</f>
        <v/>
      </c>
      <c r="V259" s="13" t="str">
        <f>IF($A259="","",[1]!thsiFinD("ths_adjustment_nv_fund",V$3,$A259))</f>
        <v/>
      </c>
      <c r="W259" s="13" t="str">
        <f>IF($A259="","",[1]!thsiFinD("ths_adjustment_nv_fund",W$3,$A259))</f>
        <v/>
      </c>
      <c r="X259" s="13" t="str">
        <f>IF($A259="","",[1]!thsiFinD("ths_adjustment_nv_fund",X$3,$A259))</f>
        <v/>
      </c>
      <c r="Y259" s="13" t="str">
        <f>IF($A259="","",[1]!thsiFinD("ths_adjustment_nv_fund",Y$3,$A259))</f>
        <v/>
      </c>
      <c r="Z259" s="13" t="str">
        <f>IF($A259="","",[1]!thsiFinD("ths_adjustment_nv_fund",Z$3,$A259))</f>
        <v/>
      </c>
      <c r="AA259" s="13" t="str">
        <f>IF($A259="","",[1]!thsiFinD("ths_adjustment_nv_fund",AA$3,$A259))</f>
        <v/>
      </c>
      <c r="AB259" s="13" t="str">
        <f>IF($A259="","",[1]!thsiFinD("ths_adjustment_nv_fund",AB$3,$A259))</f>
        <v/>
      </c>
    </row>
    <row r="260" spans="2:28">
      <c r="B260" s="13" t="str">
        <f>IF($A260="","",[1]!thsiFinD("ths_adjustment_nv_fund",B$3,$A260))</f>
        <v/>
      </c>
      <c r="C260" s="13" t="str">
        <f>IF($A260="","",[1]!thsiFinD("ths_adjustment_nv_fund",C$3,$A260))</f>
        <v/>
      </c>
      <c r="D260" s="13" t="str">
        <f>IF($A260="","",[1]!thsiFinD("ths_adjustment_nv_fund",D$3,$A260))</f>
        <v/>
      </c>
      <c r="E260" s="13" t="str">
        <f>IF($A260="","",[1]!thsiFinD("ths_adjustment_nv_fund",E$3,$A260))</f>
        <v/>
      </c>
      <c r="F260" s="13" t="str">
        <f>IF($A260="","",[1]!thsiFinD("ths_adjustment_nv_fund",F$3,$A260))</f>
        <v/>
      </c>
      <c r="G260" s="13" t="str">
        <f>IF($A260="","",[1]!thsiFinD("ths_adjustment_nv_fund",G$3,$A260))</f>
        <v/>
      </c>
      <c r="H260" s="13" t="str">
        <f>IF($A260="","",[1]!thsiFinD("ths_adjustment_nv_fund",H$3,$A260))</f>
        <v/>
      </c>
      <c r="I260" s="13" t="str">
        <f>IF($A260="","",[1]!thsiFinD("ths_adjustment_nv_fund",I$3,$A260))</f>
        <v/>
      </c>
      <c r="J260" s="13" t="str">
        <f>IF($A260="","",[1]!thsiFinD("ths_adjustment_nv_fund",J$3,$A260))</f>
        <v/>
      </c>
      <c r="K260" s="13" t="str">
        <f>IF($A260="","",[1]!thsiFinD("ths_adjustment_nv_fund",K$3,$A260))</f>
        <v/>
      </c>
      <c r="L260" s="13" t="str">
        <f>IF($A260="","",[1]!thsiFinD("ths_adjustment_nv_fund",L$3,$A260))</f>
        <v/>
      </c>
      <c r="M260" s="13" t="str">
        <f>IF($A260="","",[1]!thsiFinD("ths_adjustment_nv_fund",M$3,$A260))</f>
        <v/>
      </c>
      <c r="N260" s="13" t="str">
        <f>IF($A260="","",[1]!thsiFinD("ths_adjustment_nv_fund",N$3,$A260))</f>
        <v/>
      </c>
      <c r="O260" s="13" t="str">
        <f>IF($A260="","",[1]!thsiFinD("ths_adjustment_nv_fund",O$3,$A260))</f>
        <v/>
      </c>
      <c r="P260" s="13" t="str">
        <f>IF($A260="","",[1]!thsiFinD("ths_adjustment_nv_fund",P$3,$A260))</f>
        <v/>
      </c>
      <c r="Q260" s="13" t="str">
        <f>IF($A260="","",[1]!thsiFinD("ths_adjustment_nv_fund",Q$3,$A260))</f>
        <v/>
      </c>
      <c r="R260" s="13" t="str">
        <f>IF($A260="","",[1]!thsiFinD("ths_adjustment_nv_fund",R$3,$A260))</f>
        <v/>
      </c>
      <c r="S260" s="13" t="str">
        <f>IF($A260="","",[1]!thsiFinD("ths_adjustment_nv_fund",S$3,$A260))</f>
        <v/>
      </c>
      <c r="T260" s="13" t="str">
        <f>IF($A260="","",[1]!thsiFinD("ths_adjustment_nv_fund",T$3,$A260))</f>
        <v/>
      </c>
      <c r="U260" s="13" t="str">
        <f>IF($A260="","",[1]!thsiFinD("ths_adjustment_nv_fund",U$3,$A260))</f>
        <v/>
      </c>
      <c r="V260" s="13" t="str">
        <f>IF($A260="","",[1]!thsiFinD("ths_adjustment_nv_fund",V$3,$A260))</f>
        <v/>
      </c>
      <c r="W260" s="13" t="str">
        <f>IF($A260="","",[1]!thsiFinD("ths_adjustment_nv_fund",W$3,$A260))</f>
        <v/>
      </c>
      <c r="X260" s="13" t="str">
        <f>IF($A260="","",[1]!thsiFinD("ths_adjustment_nv_fund",X$3,$A260))</f>
        <v/>
      </c>
      <c r="Y260" s="13" t="str">
        <f>IF($A260="","",[1]!thsiFinD("ths_adjustment_nv_fund",Y$3,$A260))</f>
        <v/>
      </c>
      <c r="Z260" s="13" t="str">
        <f>IF($A260="","",[1]!thsiFinD("ths_adjustment_nv_fund",Z$3,$A260))</f>
        <v/>
      </c>
      <c r="AA260" s="13" t="str">
        <f>IF($A260="","",[1]!thsiFinD("ths_adjustment_nv_fund",AA$3,$A260))</f>
        <v/>
      </c>
      <c r="AB260" s="13" t="str">
        <f>IF($A260="","",[1]!thsiFinD("ths_adjustment_nv_fund",AB$3,$A260))</f>
        <v/>
      </c>
    </row>
    <row r="261" spans="2:28">
      <c r="B261" s="13" t="str">
        <f>IF($A261="","",[1]!thsiFinD("ths_adjustment_nv_fund",B$3,$A261))</f>
        <v/>
      </c>
      <c r="C261" s="13" t="str">
        <f>IF($A261="","",[1]!thsiFinD("ths_adjustment_nv_fund",C$3,$A261))</f>
        <v/>
      </c>
      <c r="D261" s="13" t="str">
        <f>IF($A261="","",[1]!thsiFinD("ths_adjustment_nv_fund",D$3,$A261))</f>
        <v/>
      </c>
      <c r="E261" s="13" t="str">
        <f>IF($A261="","",[1]!thsiFinD("ths_adjustment_nv_fund",E$3,$A261))</f>
        <v/>
      </c>
      <c r="F261" s="13" t="str">
        <f>IF($A261="","",[1]!thsiFinD("ths_adjustment_nv_fund",F$3,$A261))</f>
        <v/>
      </c>
      <c r="G261" s="13" t="str">
        <f>IF($A261="","",[1]!thsiFinD("ths_adjustment_nv_fund",G$3,$A261))</f>
        <v/>
      </c>
      <c r="H261" s="13" t="str">
        <f>IF($A261="","",[1]!thsiFinD("ths_adjustment_nv_fund",H$3,$A261))</f>
        <v/>
      </c>
      <c r="I261" s="13" t="str">
        <f>IF($A261="","",[1]!thsiFinD("ths_adjustment_nv_fund",I$3,$A261))</f>
        <v/>
      </c>
      <c r="J261" s="13" t="str">
        <f>IF($A261="","",[1]!thsiFinD("ths_adjustment_nv_fund",J$3,$A261))</f>
        <v/>
      </c>
      <c r="K261" s="13" t="str">
        <f>IF($A261="","",[1]!thsiFinD("ths_adjustment_nv_fund",K$3,$A261))</f>
        <v/>
      </c>
      <c r="L261" s="13" t="str">
        <f>IF($A261="","",[1]!thsiFinD("ths_adjustment_nv_fund",L$3,$A261))</f>
        <v/>
      </c>
      <c r="M261" s="13" t="str">
        <f>IF($A261="","",[1]!thsiFinD("ths_adjustment_nv_fund",M$3,$A261))</f>
        <v/>
      </c>
      <c r="N261" s="13" t="str">
        <f>IF($A261="","",[1]!thsiFinD("ths_adjustment_nv_fund",N$3,$A261))</f>
        <v/>
      </c>
      <c r="O261" s="13" t="str">
        <f>IF($A261="","",[1]!thsiFinD("ths_adjustment_nv_fund",O$3,$A261))</f>
        <v/>
      </c>
      <c r="P261" s="13" t="str">
        <f>IF($A261="","",[1]!thsiFinD("ths_adjustment_nv_fund",P$3,$A261))</f>
        <v/>
      </c>
      <c r="Q261" s="13" t="str">
        <f>IF($A261="","",[1]!thsiFinD("ths_adjustment_nv_fund",Q$3,$A261))</f>
        <v/>
      </c>
      <c r="R261" s="13" t="str">
        <f>IF($A261="","",[1]!thsiFinD("ths_adjustment_nv_fund",R$3,$A261))</f>
        <v/>
      </c>
      <c r="S261" s="13" t="str">
        <f>IF($A261="","",[1]!thsiFinD("ths_adjustment_nv_fund",S$3,$A261))</f>
        <v/>
      </c>
      <c r="T261" s="13" t="str">
        <f>IF($A261="","",[1]!thsiFinD("ths_adjustment_nv_fund",T$3,$A261))</f>
        <v/>
      </c>
      <c r="U261" s="13" t="str">
        <f>IF($A261="","",[1]!thsiFinD("ths_adjustment_nv_fund",U$3,$A261))</f>
        <v/>
      </c>
      <c r="V261" s="13" t="str">
        <f>IF($A261="","",[1]!thsiFinD("ths_adjustment_nv_fund",V$3,$A261))</f>
        <v/>
      </c>
      <c r="W261" s="13" t="str">
        <f>IF($A261="","",[1]!thsiFinD("ths_adjustment_nv_fund",W$3,$A261))</f>
        <v/>
      </c>
      <c r="X261" s="13" t="str">
        <f>IF($A261="","",[1]!thsiFinD("ths_adjustment_nv_fund",X$3,$A261))</f>
        <v/>
      </c>
      <c r="Y261" s="13" t="str">
        <f>IF($A261="","",[1]!thsiFinD("ths_adjustment_nv_fund",Y$3,$A261))</f>
        <v/>
      </c>
      <c r="Z261" s="13" t="str">
        <f>IF($A261="","",[1]!thsiFinD("ths_adjustment_nv_fund",Z$3,$A261))</f>
        <v/>
      </c>
      <c r="AA261" s="13" t="str">
        <f>IF($A261="","",[1]!thsiFinD("ths_adjustment_nv_fund",AA$3,$A261))</f>
        <v/>
      </c>
      <c r="AB261" s="13" t="str">
        <f>IF($A261="","",[1]!thsiFinD("ths_adjustment_nv_fund",AB$3,$A261))</f>
        <v/>
      </c>
    </row>
    <row r="262" spans="2:28">
      <c r="B262" s="13" t="str">
        <f>IF($A262="","",[1]!thsiFinD("ths_adjustment_nv_fund",B$3,$A262))</f>
        <v/>
      </c>
      <c r="C262" s="13" t="str">
        <f>IF($A262="","",[1]!thsiFinD("ths_adjustment_nv_fund",C$3,$A262))</f>
        <v/>
      </c>
      <c r="D262" s="13" t="str">
        <f>IF($A262="","",[1]!thsiFinD("ths_adjustment_nv_fund",D$3,$A262))</f>
        <v/>
      </c>
      <c r="E262" s="13" t="str">
        <f>IF($A262="","",[1]!thsiFinD("ths_adjustment_nv_fund",E$3,$A262))</f>
        <v/>
      </c>
      <c r="F262" s="13" t="str">
        <f>IF($A262="","",[1]!thsiFinD("ths_adjustment_nv_fund",F$3,$A262))</f>
        <v/>
      </c>
      <c r="G262" s="13" t="str">
        <f>IF($A262="","",[1]!thsiFinD("ths_adjustment_nv_fund",G$3,$A262))</f>
        <v/>
      </c>
      <c r="H262" s="13" t="str">
        <f>IF($A262="","",[1]!thsiFinD("ths_adjustment_nv_fund",H$3,$A262))</f>
        <v/>
      </c>
      <c r="I262" s="13" t="str">
        <f>IF($A262="","",[1]!thsiFinD("ths_adjustment_nv_fund",I$3,$A262))</f>
        <v/>
      </c>
      <c r="J262" s="13" t="str">
        <f>IF($A262="","",[1]!thsiFinD("ths_adjustment_nv_fund",J$3,$A262))</f>
        <v/>
      </c>
      <c r="K262" s="13" t="str">
        <f>IF($A262="","",[1]!thsiFinD("ths_adjustment_nv_fund",K$3,$A262))</f>
        <v/>
      </c>
      <c r="L262" s="13" t="str">
        <f>IF($A262="","",[1]!thsiFinD("ths_adjustment_nv_fund",L$3,$A262))</f>
        <v/>
      </c>
      <c r="M262" s="13" t="str">
        <f>IF($A262="","",[1]!thsiFinD("ths_adjustment_nv_fund",M$3,$A262))</f>
        <v/>
      </c>
      <c r="N262" s="13" t="str">
        <f>IF($A262="","",[1]!thsiFinD("ths_adjustment_nv_fund",N$3,$A262))</f>
        <v/>
      </c>
      <c r="O262" s="13" t="str">
        <f>IF($A262="","",[1]!thsiFinD("ths_adjustment_nv_fund",O$3,$A262))</f>
        <v/>
      </c>
      <c r="P262" s="13" t="str">
        <f>IF($A262="","",[1]!thsiFinD("ths_adjustment_nv_fund",P$3,$A262))</f>
        <v/>
      </c>
      <c r="Q262" s="13" t="str">
        <f>IF($A262="","",[1]!thsiFinD("ths_adjustment_nv_fund",Q$3,$A262))</f>
        <v/>
      </c>
      <c r="R262" s="13" t="str">
        <f>IF($A262="","",[1]!thsiFinD("ths_adjustment_nv_fund",R$3,$A262))</f>
        <v/>
      </c>
      <c r="S262" s="13" t="str">
        <f>IF($A262="","",[1]!thsiFinD("ths_adjustment_nv_fund",S$3,$A262))</f>
        <v/>
      </c>
      <c r="T262" s="13" t="str">
        <f>IF($A262="","",[1]!thsiFinD("ths_adjustment_nv_fund",T$3,$A262))</f>
        <v/>
      </c>
      <c r="U262" s="13" t="str">
        <f>IF($A262="","",[1]!thsiFinD("ths_adjustment_nv_fund",U$3,$A262))</f>
        <v/>
      </c>
      <c r="V262" s="13" t="str">
        <f>IF($A262="","",[1]!thsiFinD("ths_adjustment_nv_fund",V$3,$A262))</f>
        <v/>
      </c>
      <c r="W262" s="13" t="str">
        <f>IF($A262="","",[1]!thsiFinD("ths_adjustment_nv_fund",W$3,$A262))</f>
        <v/>
      </c>
      <c r="X262" s="13" t="str">
        <f>IF($A262="","",[1]!thsiFinD("ths_adjustment_nv_fund",X$3,$A262))</f>
        <v/>
      </c>
      <c r="Y262" s="13" t="str">
        <f>IF($A262="","",[1]!thsiFinD("ths_adjustment_nv_fund",Y$3,$A262))</f>
        <v/>
      </c>
      <c r="Z262" s="13" t="str">
        <f>IF($A262="","",[1]!thsiFinD("ths_adjustment_nv_fund",Z$3,$A262))</f>
        <v/>
      </c>
      <c r="AA262" s="13" t="str">
        <f>IF($A262="","",[1]!thsiFinD("ths_adjustment_nv_fund",AA$3,$A262))</f>
        <v/>
      </c>
      <c r="AB262" s="13" t="str">
        <f>IF($A262="","",[1]!thsiFinD("ths_adjustment_nv_fund",AB$3,$A262))</f>
        <v/>
      </c>
    </row>
    <row r="263" spans="2:28">
      <c r="B263" s="13" t="str">
        <f>IF($A263="","",[1]!thsiFinD("ths_adjustment_nv_fund",B$3,$A263))</f>
        <v/>
      </c>
      <c r="C263" s="13" t="str">
        <f>IF($A263="","",[1]!thsiFinD("ths_adjustment_nv_fund",C$3,$A263))</f>
        <v/>
      </c>
      <c r="D263" s="13" t="str">
        <f>IF($A263="","",[1]!thsiFinD("ths_adjustment_nv_fund",D$3,$A263))</f>
        <v/>
      </c>
      <c r="E263" s="13" t="str">
        <f>IF($A263="","",[1]!thsiFinD("ths_adjustment_nv_fund",E$3,$A263))</f>
        <v/>
      </c>
      <c r="F263" s="13" t="str">
        <f>IF($A263="","",[1]!thsiFinD("ths_adjustment_nv_fund",F$3,$A263))</f>
        <v/>
      </c>
      <c r="G263" s="13" t="str">
        <f>IF($A263="","",[1]!thsiFinD("ths_adjustment_nv_fund",G$3,$A263))</f>
        <v/>
      </c>
      <c r="H263" s="13" t="str">
        <f>IF($A263="","",[1]!thsiFinD("ths_adjustment_nv_fund",H$3,$A263))</f>
        <v/>
      </c>
      <c r="I263" s="13" t="str">
        <f>IF($A263="","",[1]!thsiFinD("ths_adjustment_nv_fund",I$3,$A263))</f>
        <v/>
      </c>
      <c r="J263" s="13" t="str">
        <f>IF($A263="","",[1]!thsiFinD("ths_adjustment_nv_fund",J$3,$A263))</f>
        <v/>
      </c>
      <c r="K263" s="13" t="str">
        <f>IF($A263="","",[1]!thsiFinD("ths_adjustment_nv_fund",K$3,$A263))</f>
        <v/>
      </c>
      <c r="L263" s="13" t="str">
        <f>IF($A263="","",[1]!thsiFinD("ths_adjustment_nv_fund",L$3,$A263))</f>
        <v/>
      </c>
      <c r="M263" s="13" t="str">
        <f>IF($A263="","",[1]!thsiFinD("ths_adjustment_nv_fund",M$3,$A263))</f>
        <v/>
      </c>
      <c r="N263" s="13" t="str">
        <f>IF($A263="","",[1]!thsiFinD("ths_adjustment_nv_fund",N$3,$A263))</f>
        <v/>
      </c>
      <c r="O263" s="13" t="str">
        <f>IF($A263="","",[1]!thsiFinD("ths_adjustment_nv_fund",O$3,$A263))</f>
        <v/>
      </c>
      <c r="P263" s="13" t="str">
        <f>IF($A263="","",[1]!thsiFinD("ths_adjustment_nv_fund",P$3,$A263))</f>
        <v/>
      </c>
      <c r="Q263" s="13" t="str">
        <f>IF($A263="","",[1]!thsiFinD("ths_adjustment_nv_fund",Q$3,$A263))</f>
        <v/>
      </c>
      <c r="R263" s="13" t="str">
        <f>IF($A263="","",[1]!thsiFinD("ths_adjustment_nv_fund",R$3,$A263))</f>
        <v/>
      </c>
      <c r="S263" s="13" t="str">
        <f>IF($A263="","",[1]!thsiFinD("ths_adjustment_nv_fund",S$3,$A263))</f>
        <v/>
      </c>
      <c r="T263" s="13" t="str">
        <f>IF($A263="","",[1]!thsiFinD("ths_adjustment_nv_fund",T$3,$A263))</f>
        <v/>
      </c>
      <c r="U263" s="13" t="str">
        <f>IF($A263="","",[1]!thsiFinD("ths_adjustment_nv_fund",U$3,$A263))</f>
        <v/>
      </c>
      <c r="V263" s="13" t="str">
        <f>IF($A263="","",[1]!thsiFinD("ths_adjustment_nv_fund",V$3,$A263))</f>
        <v/>
      </c>
      <c r="W263" s="13" t="str">
        <f>IF($A263="","",[1]!thsiFinD("ths_adjustment_nv_fund",W$3,$A263))</f>
        <v/>
      </c>
      <c r="X263" s="13" t="str">
        <f>IF($A263="","",[1]!thsiFinD("ths_adjustment_nv_fund",X$3,$A263))</f>
        <v/>
      </c>
      <c r="Y263" s="13" t="str">
        <f>IF($A263="","",[1]!thsiFinD("ths_adjustment_nv_fund",Y$3,$A263))</f>
        <v/>
      </c>
      <c r="Z263" s="13" t="str">
        <f>IF($A263="","",[1]!thsiFinD("ths_adjustment_nv_fund",Z$3,$A263))</f>
        <v/>
      </c>
      <c r="AA263" s="13" t="str">
        <f>IF($A263="","",[1]!thsiFinD("ths_adjustment_nv_fund",AA$3,$A263))</f>
        <v/>
      </c>
      <c r="AB263" s="13" t="str">
        <f>IF($A263="","",[1]!thsiFinD("ths_adjustment_nv_fund",AB$3,$A263))</f>
        <v/>
      </c>
    </row>
    <row r="264" spans="2:28">
      <c r="B264" s="13" t="str">
        <f>IF($A264="","",[1]!thsiFinD("ths_adjustment_nv_fund",B$3,$A264))</f>
        <v/>
      </c>
      <c r="C264" s="13" t="str">
        <f>IF($A264="","",[1]!thsiFinD("ths_adjustment_nv_fund",C$3,$A264))</f>
        <v/>
      </c>
      <c r="D264" s="13" t="str">
        <f>IF($A264="","",[1]!thsiFinD("ths_adjustment_nv_fund",D$3,$A264))</f>
        <v/>
      </c>
      <c r="E264" s="13" t="str">
        <f>IF($A264="","",[1]!thsiFinD("ths_adjustment_nv_fund",E$3,$A264))</f>
        <v/>
      </c>
      <c r="F264" s="13" t="str">
        <f>IF($A264="","",[1]!thsiFinD("ths_adjustment_nv_fund",F$3,$A264))</f>
        <v/>
      </c>
      <c r="G264" s="13" t="str">
        <f>IF($A264="","",[1]!thsiFinD("ths_adjustment_nv_fund",G$3,$A264))</f>
        <v/>
      </c>
      <c r="H264" s="13" t="str">
        <f>IF($A264="","",[1]!thsiFinD("ths_adjustment_nv_fund",H$3,$A264))</f>
        <v/>
      </c>
      <c r="I264" s="13" t="str">
        <f>IF($A264="","",[1]!thsiFinD("ths_adjustment_nv_fund",I$3,$A264))</f>
        <v/>
      </c>
      <c r="J264" s="13" t="str">
        <f>IF($A264="","",[1]!thsiFinD("ths_adjustment_nv_fund",J$3,$A264))</f>
        <v/>
      </c>
      <c r="K264" s="13" t="str">
        <f>IF($A264="","",[1]!thsiFinD("ths_adjustment_nv_fund",K$3,$A264))</f>
        <v/>
      </c>
      <c r="L264" s="13" t="str">
        <f>IF($A264="","",[1]!thsiFinD("ths_adjustment_nv_fund",L$3,$A264))</f>
        <v/>
      </c>
      <c r="M264" s="13" t="str">
        <f>IF($A264="","",[1]!thsiFinD("ths_adjustment_nv_fund",M$3,$A264))</f>
        <v/>
      </c>
      <c r="N264" s="13" t="str">
        <f>IF($A264="","",[1]!thsiFinD("ths_adjustment_nv_fund",N$3,$A264))</f>
        <v/>
      </c>
      <c r="O264" s="13" t="str">
        <f>IF($A264="","",[1]!thsiFinD("ths_adjustment_nv_fund",O$3,$A264))</f>
        <v/>
      </c>
      <c r="P264" s="13" t="str">
        <f>IF($A264="","",[1]!thsiFinD("ths_adjustment_nv_fund",P$3,$A264))</f>
        <v/>
      </c>
      <c r="Q264" s="13" t="str">
        <f>IF($A264="","",[1]!thsiFinD("ths_adjustment_nv_fund",Q$3,$A264))</f>
        <v/>
      </c>
      <c r="R264" s="13" t="str">
        <f>IF($A264="","",[1]!thsiFinD("ths_adjustment_nv_fund",R$3,$A264))</f>
        <v/>
      </c>
      <c r="S264" s="13" t="str">
        <f>IF($A264="","",[1]!thsiFinD("ths_adjustment_nv_fund",S$3,$A264))</f>
        <v/>
      </c>
      <c r="T264" s="13" t="str">
        <f>IF($A264="","",[1]!thsiFinD("ths_adjustment_nv_fund",T$3,$A264))</f>
        <v/>
      </c>
      <c r="U264" s="13" t="str">
        <f>IF($A264="","",[1]!thsiFinD("ths_adjustment_nv_fund",U$3,$A264))</f>
        <v/>
      </c>
      <c r="V264" s="13" t="str">
        <f>IF($A264="","",[1]!thsiFinD("ths_adjustment_nv_fund",V$3,$A264))</f>
        <v/>
      </c>
      <c r="W264" s="13" t="str">
        <f>IF($A264="","",[1]!thsiFinD("ths_adjustment_nv_fund",W$3,$A264))</f>
        <v/>
      </c>
      <c r="X264" s="13" t="str">
        <f>IF($A264="","",[1]!thsiFinD("ths_adjustment_nv_fund",X$3,$A264))</f>
        <v/>
      </c>
      <c r="Y264" s="13" t="str">
        <f>IF($A264="","",[1]!thsiFinD("ths_adjustment_nv_fund",Y$3,$A264))</f>
        <v/>
      </c>
      <c r="Z264" s="13" t="str">
        <f>IF($A264="","",[1]!thsiFinD("ths_adjustment_nv_fund",Z$3,$A264))</f>
        <v/>
      </c>
      <c r="AA264" s="13" t="str">
        <f>IF($A264="","",[1]!thsiFinD("ths_adjustment_nv_fund",AA$3,$A264))</f>
        <v/>
      </c>
      <c r="AB264" s="13" t="str">
        <f>IF($A264="","",[1]!thsiFinD("ths_adjustment_nv_fund",AB$3,$A264))</f>
        <v/>
      </c>
    </row>
    <row r="265" spans="2:28">
      <c r="B265" s="13" t="str">
        <f>IF($A265="","",[1]!thsiFinD("ths_adjustment_nv_fund",B$3,$A265))</f>
        <v/>
      </c>
      <c r="C265" s="13" t="str">
        <f>IF($A265="","",[1]!thsiFinD("ths_adjustment_nv_fund",C$3,$A265))</f>
        <v/>
      </c>
      <c r="D265" s="13" t="str">
        <f>IF($A265="","",[1]!thsiFinD("ths_adjustment_nv_fund",D$3,$A265))</f>
        <v/>
      </c>
      <c r="E265" s="13" t="str">
        <f>IF($A265="","",[1]!thsiFinD("ths_adjustment_nv_fund",E$3,$A265))</f>
        <v/>
      </c>
      <c r="F265" s="13" t="str">
        <f>IF($A265="","",[1]!thsiFinD("ths_adjustment_nv_fund",F$3,$A265))</f>
        <v/>
      </c>
      <c r="G265" s="13" t="str">
        <f>IF($A265="","",[1]!thsiFinD("ths_adjustment_nv_fund",G$3,$A265))</f>
        <v/>
      </c>
      <c r="H265" s="13" t="str">
        <f>IF($A265="","",[1]!thsiFinD("ths_adjustment_nv_fund",H$3,$A265))</f>
        <v/>
      </c>
      <c r="I265" s="13" t="str">
        <f>IF($A265="","",[1]!thsiFinD("ths_adjustment_nv_fund",I$3,$A265))</f>
        <v/>
      </c>
      <c r="J265" s="13" t="str">
        <f>IF($A265="","",[1]!thsiFinD("ths_adjustment_nv_fund",J$3,$A265))</f>
        <v/>
      </c>
      <c r="K265" s="13" t="str">
        <f>IF($A265="","",[1]!thsiFinD("ths_adjustment_nv_fund",K$3,$A265))</f>
        <v/>
      </c>
      <c r="L265" s="13" t="str">
        <f>IF($A265="","",[1]!thsiFinD("ths_adjustment_nv_fund",L$3,$A265))</f>
        <v/>
      </c>
      <c r="M265" s="13" t="str">
        <f>IF($A265="","",[1]!thsiFinD("ths_adjustment_nv_fund",M$3,$A265))</f>
        <v/>
      </c>
      <c r="N265" s="13" t="str">
        <f>IF($A265="","",[1]!thsiFinD("ths_adjustment_nv_fund",N$3,$A265))</f>
        <v/>
      </c>
      <c r="O265" s="13" t="str">
        <f>IF($A265="","",[1]!thsiFinD("ths_adjustment_nv_fund",O$3,$A265))</f>
        <v/>
      </c>
      <c r="P265" s="13" t="str">
        <f>IF($A265="","",[1]!thsiFinD("ths_adjustment_nv_fund",P$3,$A265))</f>
        <v/>
      </c>
      <c r="Q265" s="13" t="str">
        <f>IF($A265="","",[1]!thsiFinD("ths_adjustment_nv_fund",Q$3,$A265))</f>
        <v/>
      </c>
      <c r="R265" s="13" t="str">
        <f>IF($A265="","",[1]!thsiFinD("ths_adjustment_nv_fund",R$3,$A265))</f>
        <v/>
      </c>
      <c r="S265" s="13" t="str">
        <f>IF($A265="","",[1]!thsiFinD("ths_adjustment_nv_fund",S$3,$A265))</f>
        <v/>
      </c>
      <c r="T265" s="13" t="str">
        <f>IF($A265="","",[1]!thsiFinD("ths_adjustment_nv_fund",T$3,$A265))</f>
        <v/>
      </c>
      <c r="U265" s="13" t="str">
        <f>IF($A265="","",[1]!thsiFinD("ths_adjustment_nv_fund",U$3,$A265))</f>
        <v/>
      </c>
      <c r="V265" s="13" t="str">
        <f>IF($A265="","",[1]!thsiFinD("ths_adjustment_nv_fund",V$3,$A265))</f>
        <v/>
      </c>
      <c r="W265" s="13" t="str">
        <f>IF($A265="","",[1]!thsiFinD("ths_adjustment_nv_fund",W$3,$A265))</f>
        <v/>
      </c>
      <c r="X265" s="13" t="str">
        <f>IF($A265="","",[1]!thsiFinD("ths_adjustment_nv_fund",X$3,$A265))</f>
        <v/>
      </c>
      <c r="Y265" s="13" t="str">
        <f>IF($A265="","",[1]!thsiFinD("ths_adjustment_nv_fund",Y$3,$A265))</f>
        <v/>
      </c>
      <c r="Z265" s="13" t="str">
        <f>IF($A265="","",[1]!thsiFinD("ths_adjustment_nv_fund",Z$3,$A265))</f>
        <v/>
      </c>
      <c r="AA265" s="13" t="str">
        <f>IF($A265="","",[1]!thsiFinD("ths_adjustment_nv_fund",AA$3,$A265))</f>
        <v/>
      </c>
      <c r="AB265" s="13" t="str">
        <f>IF($A265="","",[1]!thsiFinD("ths_adjustment_nv_fund",AB$3,$A265))</f>
        <v/>
      </c>
    </row>
    <row r="266" spans="2:28">
      <c r="B266" s="13" t="str">
        <f>IF($A266="","",[1]!thsiFinD("ths_adjustment_nv_fund",B$3,$A266))</f>
        <v/>
      </c>
      <c r="C266" s="13" t="str">
        <f>IF($A266="","",[1]!thsiFinD("ths_adjustment_nv_fund",C$3,$A266))</f>
        <v/>
      </c>
      <c r="D266" s="13" t="str">
        <f>IF($A266="","",[1]!thsiFinD("ths_adjustment_nv_fund",D$3,$A266))</f>
        <v/>
      </c>
      <c r="E266" s="13" t="str">
        <f>IF($A266="","",[1]!thsiFinD("ths_adjustment_nv_fund",E$3,$A266))</f>
        <v/>
      </c>
      <c r="F266" s="13" t="str">
        <f>IF($A266="","",[1]!thsiFinD("ths_adjustment_nv_fund",F$3,$A266))</f>
        <v/>
      </c>
      <c r="G266" s="13" t="str">
        <f>IF($A266="","",[1]!thsiFinD("ths_adjustment_nv_fund",G$3,$A266))</f>
        <v/>
      </c>
      <c r="H266" s="13" t="str">
        <f>IF($A266="","",[1]!thsiFinD("ths_adjustment_nv_fund",H$3,$A266))</f>
        <v/>
      </c>
      <c r="I266" s="13" t="str">
        <f>IF($A266="","",[1]!thsiFinD("ths_adjustment_nv_fund",I$3,$A266))</f>
        <v/>
      </c>
      <c r="J266" s="13" t="str">
        <f>IF($A266="","",[1]!thsiFinD("ths_adjustment_nv_fund",J$3,$A266))</f>
        <v/>
      </c>
      <c r="K266" s="13" t="str">
        <f>IF($A266="","",[1]!thsiFinD("ths_adjustment_nv_fund",K$3,$A266))</f>
        <v/>
      </c>
      <c r="L266" s="13" t="str">
        <f>IF($A266="","",[1]!thsiFinD("ths_adjustment_nv_fund",L$3,$A266))</f>
        <v/>
      </c>
      <c r="M266" s="13" t="str">
        <f>IF($A266="","",[1]!thsiFinD("ths_adjustment_nv_fund",M$3,$A266))</f>
        <v/>
      </c>
      <c r="N266" s="13" t="str">
        <f>IF($A266="","",[1]!thsiFinD("ths_adjustment_nv_fund",N$3,$A266))</f>
        <v/>
      </c>
      <c r="O266" s="13" t="str">
        <f>IF($A266="","",[1]!thsiFinD("ths_adjustment_nv_fund",O$3,$A266))</f>
        <v/>
      </c>
      <c r="P266" s="13" t="str">
        <f>IF($A266="","",[1]!thsiFinD("ths_adjustment_nv_fund",P$3,$A266))</f>
        <v/>
      </c>
      <c r="Q266" s="13" t="str">
        <f>IF($A266="","",[1]!thsiFinD("ths_adjustment_nv_fund",Q$3,$A266))</f>
        <v/>
      </c>
      <c r="R266" s="13" t="str">
        <f>IF($A266="","",[1]!thsiFinD("ths_adjustment_nv_fund",R$3,$A266))</f>
        <v/>
      </c>
      <c r="S266" s="13" t="str">
        <f>IF($A266="","",[1]!thsiFinD("ths_adjustment_nv_fund",S$3,$A266))</f>
        <v/>
      </c>
      <c r="T266" s="13" t="str">
        <f>IF($A266="","",[1]!thsiFinD("ths_adjustment_nv_fund",T$3,$A266))</f>
        <v/>
      </c>
      <c r="U266" s="13" t="str">
        <f>IF($A266="","",[1]!thsiFinD("ths_adjustment_nv_fund",U$3,$A266))</f>
        <v/>
      </c>
      <c r="V266" s="13" t="str">
        <f>IF($A266="","",[1]!thsiFinD("ths_adjustment_nv_fund",V$3,$A266))</f>
        <v/>
      </c>
      <c r="W266" s="13" t="str">
        <f>IF($A266="","",[1]!thsiFinD("ths_adjustment_nv_fund",W$3,$A266))</f>
        <v/>
      </c>
      <c r="X266" s="13" t="str">
        <f>IF($A266="","",[1]!thsiFinD("ths_adjustment_nv_fund",X$3,$A266))</f>
        <v/>
      </c>
      <c r="Y266" s="13" t="str">
        <f>IF($A266="","",[1]!thsiFinD("ths_adjustment_nv_fund",Y$3,$A266))</f>
        <v/>
      </c>
      <c r="Z266" s="13" t="str">
        <f>IF($A266="","",[1]!thsiFinD("ths_adjustment_nv_fund",Z$3,$A266))</f>
        <v/>
      </c>
      <c r="AA266" s="13" t="str">
        <f>IF($A266="","",[1]!thsiFinD("ths_adjustment_nv_fund",AA$3,$A266))</f>
        <v/>
      </c>
      <c r="AB266" s="13" t="str">
        <f>IF($A266="","",[1]!thsiFinD("ths_adjustment_nv_fund",AB$3,$A266))</f>
        <v/>
      </c>
    </row>
    <row r="267" spans="2:28">
      <c r="B267" s="13" t="str">
        <f>IF($A267="","",[1]!thsiFinD("ths_adjustment_nv_fund",B$3,$A267))</f>
        <v/>
      </c>
      <c r="C267" s="13" t="str">
        <f>IF($A267="","",[1]!thsiFinD("ths_adjustment_nv_fund",C$3,$A267))</f>
        <v/>
      </c>
      <c r="D267" s="13" t="str">
        <f>IF($A267="","",[1]!thsiFinD("ths_adjustment_nv_fund",D$3,$A267))</f>
        <v/>
      </c>
      <c r="E267" s="13" t="str">
        <f>IF($A267="","",[1]!thsiFinD("ths_adjustment_nv_fund",E$3,$A267))</f>
        <v/>
      </c>
      <c r="F267" s="13" t="str">
        <f>IF($A267="","",[1]!thsiFinD("ths_adjustment_nv_fund",F$3,$A267))</f>
        <v/>
      </c>
      <c r="G267" s="13" t="str">
        <f>IF($A267="","",[1]!thsiFinD("ths_adjustment_nv_fund",G$3,$A267))</f>
        <v/>
      </c>
      <c r="H267" s="13" t="str">
        <f>IF($A267="","",[1]!thsiFinD("ths_adjustment_nv_fund",H$3,$A267))</f>
        <v/>
      </c>
      <c r="I267" s="13" t="str">
        <f>IF($A267="","",[1]!thsiFinD("ths_adjustment_nv_fund",I$3,$A267))</f>
        <v/>
      </c>
      <c r="J267" s="13" t="str">
        <f>IF($A267="","",[1]!thsiFinD("ths_adjustment_nv_fund",J$3,$A267))</f>
        <v/>
      </c>
      <c r="K267" s="13" t="str">
        <f>IF($A267="","",[1]!thsiFinD("ths_adjustment_nv_fund",K$3,$A267))</f>
        <v/>
      </c>
      <c r="L267" s="13" t="str">
        <f>IF($A267="","",[1]!thsiFinD("ths_adjustment_nv_fund",L$3,$A267))</f>
        <v/>
      </c>
      <c r="M267" s="13" t="str">
        <f>IF($A267="","",[1]!thsiFinD("ths_adjustment_nv_fund",M$3,$A267))</f>
        <v/>
      </c>
      <c r="N267" s="13" t="str">
        <f>IF($A267="","",[1]!thsiFinD("ths_adjustment_nv_fund",N$3,$A267))</f>
        <v/>
      </c>
      <c r="O267" s="13" t="str">
        <f>IF($A267="","",[1]!thsiFinD("ths_adjustment_nv_fund",O$3,$A267))</f>
        <v/>
      </c>
      <c r="P267" s="13" t="str">
        <f>IF($A267="","",[1]!thsiFinD("ths_adjustment_nv_fund",P$3,$A267))</f>
        <v/>
      </c>
      <c r="Q267" s="13" t="str">
        <f>IF($A267="","",[1]!thsiFinD("ths_adjustment_nv_fund",Q$3,$A267))</f>
        <v/>
      </c>
      <c r="R267" s="13" t="str">
        <f>IF($A267="","",[1]!thsiFinD("ths_adjustment_nv_fund",R$3,$A267))</f>
        <v/>
      </c>
      <c r="S267" s="13" t="str">
        <f>IF($A267="","",[1]!thsiFinD("ths_adjustment_nv_fund",S$3,$A267))</f>
        <v/>
      </c>
      <c r="T267" s="13" t="str">
        <f>IF($A267="","",[1]!thsiFinD("ths_adjustment_nv_fund",T$3,$A267))</f>
        <v/>
      </c>
      <c r="U267" s="13" t="str">
        <f>IF($A267="","",[1]!thsiFinD("ths_adjustment_nv_fund",U$3,$A267))</f>
        <v/>
      </c>
      <c r="V267" s="13" t="str">
        <f>IF($A267="","",[1]!thsiFinD("ths_adjustment_nv_fund",V$3,$A267))</f>
        <v/>
      </c>
      <c r="W267" s="13" t="str">
        <f>IF($A267="","",[1]!thsiFinD("ths_adjustment_nv_fund",W$3,$A267))</f>
        <v/>
      </c>
      <c r="X267" s="13" t="str">
        <f>IF($A267="","",[1]!thsiFinD("ths_adjustment_nv_fund",X$3,$A267))</f>
        <v/>
      </c>
      <c r="Y267" s="13" t="str">
        <f>IF($A267="","",[1]!thsiFinD("ths_adjustment_nv_fund",Y$3,$A267))</f>
        <v/>
      </c>
      <c r="Z267" s="13" t="str">
        <f>IF($A267="","",[1]!thsiFinD("ths_adjustment_nv_fund",Z$3,$A267))</f>
        <v/>
      </c>
      <c r="AA267" s="13" t="str">
        <f>IF($A267="","",[1]!thsiFinD("ths_adjustment_nv_fund",AA$3,$A267))</f>
        <v/>
      </c>
      <c r="AB267" s="13" t="str">
        <f>IF($A267="","",[1]!thsiFinD("ths_adjustment_nv_fund",AB$3,$A267))</f>
        <v/>
      </c>
    </row>
    <row r="268" spans="2:28">
      <c r="B268" s="13" t="str">
        <f>IF($A268="","",[1]!thsiFinD("ths_adjustment_nv_fund",B$3,$A268))</f>
        <v/>
      </c>
      <c r="C268" s="13" t="str">
        <f>IF($A268="","",[1]!thsiFinD("ths_adjustment_nv_fund",C$3,$A268))</f>
        <v/>
      </c>
      <c r="D268" s="13" t="str">
        <f>IF($A268="","",[1]!thsiFinD("ths_adjustment_nv_fund",D$3,$A268))</f>
        <v/>
      </c>
      <c r="E268" s="13" t="str">
        <f>IF($A268="","",[1]!thsiFinD("ths_adjustment_nv_fund",E$3,$A268))</f>
        <v/>
      </c>
      <c r="F268" s="13" t="str">
        <f>IF($A268="","",[1]!thsiFinD("ths_adjustment_nv_fund",F$3,$A268))</f>
        <v/>
      </c>
      <c r="G268" s="13" t="str">
        <f>IF($A268="","",[1]!thsiFinD("ths_adjustment_nv_fund",G$3,$A268))</f>
        <v/>
      </c>
      <c r="H268" s="13" t="str">
        <f>IF($A268="","",[1]!thsiFinD("ths_adjustment_nv_fund",H$3,$A268))</f>
        <v/>
      </c>
      <c r="I268" s="13" t="str">
        <f>IF($A268="","",[1]!thsiFinD("ths_adjustment_nv_fund",I$3,$A268))</f>
        <v/>
      </c>
      <c r="J268" s="13" t="str">
        <f>IF($A268="","",[1]!thsiFinD("ths_adjustment_nv_fund",J$3,$A268))</f>
        <v/>
      </c>
      <c r="K268" s="13" t="str">
        <f>IF($A268="","",[1]!thsiFinD("ths_adjustment_nv_fund",K$3,$A268))</f>
        <v/>
      </c>
      <c r="L268" s="13" t="str">
        <f>IF($A268="","",[1]!thsiFinD("ths_adjustment_nv_fund",L$3,$A268))</f>
        <v/>
      </c>
      <c r="M268" s="13" t="str">
        <f>IF($A268="","",[1]!thsiFinD("ths_adjustment_nv_fund",M$3,$A268))</f>
        <v/>
      </c>
      <c r="N268" s="13" t="str">
        <f>IF($A268="","",[1]!thsiFinD("ths_adjustment_nv_fund",N$3,$A268))</f>
        <v/>
      </c>
      <c r="O268" s="13" t="str">
        <f>IF($A268="","",[1]!thsiFinD("ths_adjustment_nv_fund",O$3,$A268))</f>
        <v/>
      </c>
      <c r="P268" s="13" t="str">
        <f>IF($A268="","",[1]!thsiFinD("ths_adjustment_nv_fund",P$3,$A268))</f>
        <v/>
      </c>
      <c r="Q268" s="13" t="str">
        <f>IF($A268="","",[1]!thsiFinD("ths_adjustment_nv_fund",Q$3,$A268))</f>
        <v/>
      </c>
      <c r="R268" s="13" t="str">
        <f>IF($A268="","",[1]!thsiFinD("ths_adjustment_nv_fund",R$3,$A268))</f>
        <v/>
      </c>
      <c r="S268" s="13" t="str">
        <f>IF($A268="","",[1]!thsiFinD("ths_adjustment_nv_fund",S$3,$A268))</f>
        <v/>
      </c>
      <c r="T268" s="13" t="str">
        <f>IF($A268="","",[1]!thsiFinD("ths_adjustment_nv_fund",T$3,$A268))</f>
        <v/>
      </c>
      <c r="U268" s="13" t="str">
        <f>IF($A268="","",[1]!thsiFinD("ths_adjustment_nv_fund",U$3,$A268))</f>
        <v/>
      </c>
      <c r="V268" s="13" t="str">
        <f>IF($A268="","",[1]!thsiFinD("ths_adjustment_nv_fund",V$3,$A268))</f>
        <v/>
      </c>
      <c r="W268" s="13" t="str">
        <f>IF($A268="","",[1]!thsiFinD("ths_adjustment_nv_fund",W$3,$A268))</f>
        <v/>
      </c>
      <c r="X268" s="13" t="str">
        <f>IF($A268="","",[1]!thsiFinD("ths_adjustment_nv_fund",X$3,$A268))</f>
        <v/>
      </c>
      <c r="Y268" s="13" t="str">
        <f>IF($A268="","",[1]!thsiFinD("ths_adjustment_nv_fund",Y$3,$A268))</f>
        <v/>
      </c>
      <c r="Z268" s="13" t="str">
        <f>IF($A268="","",[1]!thsiFinD("ths_adjustment_nv_fund",Z$3,$A268))</f>
        <v/>
      </c>
      <c r="AA268" s="13" t="str">
        <f>IF($A268="","",[1]!thsiFinD("ths_adjustment_nv_fund",AA$3,$A268))</f>
        <v/>
      </c>
      <c r="AB268" s="13" t="str">
        <f>IF($A268="","",[1]!thsiFinD("ths_adjustment_nv_fund",AB$3,$A268))</f>
        <v/>
      </c>
    </row>
    <row r="269" spans="2:28">
      <c r="B269" s="13" t="str">
        <f>IF($A269="","",[1]!thsiFinD("ths_adjustment_nv_fund",B$3,$A269))</f>
        <v/>
      </c>
      <c r="C269" s="13" t="str">
        <f>IF($A269="","",[1]!thsiFinD("ths_adjustment_nv_fund",C$3,$A269))</f>
        <v/>
      </c>
      <c r="D269" s="13" t="str">
        <f>IF($A269="","",[1]!thsiFinD("ths_adjustment_nv_fund",D$3,$A269))</f>
        <v/>
      </c>
      <c r="E269" s="13" t="str">
        <f>IF($A269="","",[1]!thsiFinD("ths_adjustment_nv_fund",E$3,$A269))</f>
        <v/>
      </c>
      <c r="F269" s="13" t="str">
        <f>IF($A269="","",[1]!thsiFinD("ths_adjustment_nv_fund",F$3,$A269))</f>
        <v/>
      </c>
      <c r="G269" s="13" t="str">
        <f>IF($A269="","",[1]!thsiFinD("ths_adjustment_nv_fund",G$3,$A269))</f>
        <v/>
      </c>
      <c r="H269" s="13" t="str">
        <f>IF($A269="","",[1]!thsiFinD("ths_adjustment_nv_fund",H$3,$A269))</f>
        <v/>
      </c>
      <c r="I269" s="13" t="str">
        <f>IF($A269="","",[1]!thsiFinD("ths_adjustment_nv_fund",I$3,$A269))</f>
        <v/>
      </c>
      <c r="J269" s="13" t="str">
        <f>IF($A269="","",[1]!thsiFinD("ths_adjustment_nv_fund",J$3,$A269))</f>
        <v/>
      </c>
      <c r="K269" s="13" t="str">
        <f>IF($A269="","",[1]!thsiFinD("ths_adjustment_nv_fund",K$3,$A269))</f>
        <v/>
      </c>
      <c r="L269" s="13" t="str">
        <f>IF($A269="","",[1]!thsiFinD("ths_adjustment_nv_fund",L$3,$A269))</f>
        <v/>
      </c>
      <c r="M269" s="13" t="str">
        <f>IF($A269="","",[1]!thsiFinD("ths_adjustment_nv_fund",M$3,$A269))</f>
        <v/>
      </c>
      <c r="N269" s="13" t="str">
        <f>IF($A269="","",[1]!thsiFinD("ths_adjustment_nv_fund",N$3,$A269))</f>
        <v/>
      </c>
      <c r="O269" s="13" t="str">
        <f>IF($A269="","",[1]!thsiFinD("ths_adjustment_nv_fund",O$3,$A269))</f>
        <v/>
      </c>
      <c r="P269" s="13" t="str">
        <f>IF($A269="","",[1]!thsiFinD("ths_adjustment_nv_fund",P$3,$A269))</f>
        <v/>
      </c>
      <c r="Q269" s="13" t="str">
        <f>IF($A269="","",[1]!thsiFinD("ths_adjustment_nv_fund",Q$3,$A269))</f>
        <v/>
      </c>
      <c r="R269" s="13" t="str">
        <f>IF($A269="","",[1]!thsiFinD("ths_adjustment_nv_fund",R$3,$A269))</f>
        <v/>
      </c>
      <c r="S269" s="13" t="str">
        <f>IF($A269="","",[1]!thsiFinD("ths_adjustment_nv_fund",S$3,$A269))</f>
        <v/>
      </c>
      <c r="T269" s="13" t="str">
        <f>IF($A269="","",[1]!thsiFinD("ths_adjustment_nv_fund",T$3,$A269))</f>
        <v/>
      </c>
      <c r="U269" s="13" t="str">
        <f>IF($A269="","",[1]!thsiFinD("ths_adjustment_nv_fund",U$3,$A269))</f>
        <v/>
      </c>
      <c r="V269" s="13" t="str">
        <f>IF($A269="","",[1]!thsiFinD("ths_adjustment_nv_fund",V$3,$A269))</f>
        <v/>
      </c>
      <c r="W269" s="13" t="str">
        <f>IF($A269="","",[1]!thsiFinD("ths_adjustment_nv_fund",W$3,$A269))</f>
        <v/>
      </c>
      <c r="X269" s="13" t="str">
        <f>IF($A269="","",[1]!thsiFinD("ths_adjustment_nv_fund",X$3,$A269))</f>
        <v/>
      </c>
      <c r="Y269" s="13" t="str">
        <f>IF($A269="","",[1]!thsiFinD("ths_adjustment_nv_fund",Y$3,$A269))</f>
        <v/>
      </c>
      <c r="Z269" s="13" t="str">
        <f>IF($A269="","",[1]!thsiFinD("ths_adjustment_nv_fund",Z$3,$A269))</f>
        <v/>
      </c>
      <c r="AA269" s="13" t="str">
        <f>IF($A269="","",[1]!thsiFinD("ths_adjustment_nv_fund",AA$3,$A269))</f>
        <v/>
      </c>
      <c r="AB269" s="13" t="str">
        <f>IF($A269="","",[1]!thsiFinD("ths_adjustment_nv_fund",AB$3,$A269))</f>
        <v/>
      </c>
    </row>
    <row r="270" spans="2:28">
      <c r="B270" s="13" t="str">
        <f>IF($A270="","",[1]!thsiFinD("ths_adjustment_nv_fund",B$3,$A270))</f>
        <v/>
      </c>
      <c r="C270" s="13" t="str">
        <f>IF($A270="","",[1]!thsiFinD("ths_adjustment_nv_fund",C$3,$A270))</f>
        <v/>
      </c>
      <c r="D270" s="13" t="str">
        <f>IF($A270="","",[1]!thsiFinD("ths_adjustment_nv_fund",D$3,$A270))</f>
        <v/>
      </c>
      <c r="E270" s="13" t="str">
        <f>IF($A270="","",[1]!thsiFinD("ths_adjustment_nv_fund",E$3,$A270))</f>
        <v/>
      </c>
      <c r="F270" s="13" t="str">
        <f>IF($A270="","",[1]!thsiFinD("ths_adjustment_nv_fund",F$3,$A270))</f>
        <v/>
      </c>
      <c r="G270" s="13" t="str">
        <f>IF($A270="","",[1]!thsiFinD("ths_adjustment_nv_fund",G$3,$A270))</f>
        <v/>
      </c>
      <c r="H270" s="13" t="str">
        <f>IF($A270="","",[1]!thsiFinD("ths_adjustment_nv_fund",H$3,$A270))</f>
        <v/>
      </c>
      <c r="I270" s="13" t="str">
        <f>IF($A270="","",[1]!thsiFinD("ths_adjustment_nv_fund",I$3,$A270))</f>
        <v/>
      </c>
      <c r="J270" s="13" t="str">
        <f>IF($A270="","",[1]!thsiFinD("ths_adjustment_nv_fund",J$3,$A270))</f>
        <v/>
      </c>
      <c r="K270" s="13" t="str">
        <f>IF($A270="","",[1]!thsiFinD("ths_adjustment_nv_fund",K$3,$A270))</f>
        <v/>
      </c>
      <c r="L270" s="13" t="str">
        <f>IF($A270="","",[1]!thsiFinD("ths_adjustment_nv_fund",L$3,$A270))</f>
        <v/>
      </c>
      <c r="M270" s="13" t="str">
        <f>IF($A270="","",[1]!thsiFinD("ths_adjustment_nv_fund",M$3,$A270))</f>
        <v/>
      </c>
      <c r="N270" s="13" t="str">
        <f>IF($A270="","",[1]!thsiFinD("ths_adjustment_nv_fund",N$3,$A270))</f>
        <v/>
      </c>
      <c r="O270" s="13" t="str">
        <f>IF($A270="","",[1]!thsiFinD("ths_adjustment_nv_fund",O$3,$A270))</f>
        <v/>
      </c>
      <c r="P270" s="13" t="str">
        <f>IF($A270="","",[1]!thsiFinD("ths_adjustment_nv_fund",P$3,$A270))</f>
        <v/>
      </c>
      <c r="Q270" s="13" t="str">
        <f>IF($A270="","",[1]!thsiFinD("ths_adjustment_nv_fund",Q$3,$A270))</f>
        <v/>
      </c>
      <c r="R270" s="13" t="str">
        <f>IF($A270="","",[1]!thsiFinD("ths_adjustment_nv_fund",R$3,$A270))</f>
        <v/>
      </c>
      <c r="S270" s="13" t="str">
        <f>IF($A270="","",[1]!thsiFinD("ths_adjustment_nv_fund",S$3,$A270))</f>
        <v/>
      </c>
      <c r="T270" s="13" t="str">
        <f>IF($A270="","",[1]!thsiFinD("ths_adjustment_nv_fund",T$3,$A270))</f>
        <v/>
      </c>
      <c r="U270" s="13" t="str">
        <f>IF($A270="","",[1]!thsiFinD("ths_adjustment_nv_fund",U$3,$A270))</f>
        <v/>
      </c>
      <c r="V270" s="13" t="str">
        <f>IF($A270="","",[1]!thsiFinD("ths_adjustment_nv_fund",V$3,$A270))</f>
        <v/>
      </c>
      <c r="W270" s="13" t="str">
        <f>IF($A270="","",[1]!thsiFinD("ths_adjustment_nv_fund",W$3,$A270))</f>
        <v/>
      </c>
      <c r="X270" s="13" t="str">
        <f>IF($A270="","",[1]!thsiFinD("ths_adjustment_nv_fund",X$3,$A270))</f>
        <v/>
      </c>
      <c r="Y270" s="13" t="str">
        <f>IF($A270="","",[1]!thsiFinD("ths_adjustment_nv_fund",Y$3,$A270))</f>
        <v/>
      </c>
      <c r="Z270" s="13" t="str">
        <f>IF($A270="","",[1]!thsiFinD("ths_adjustment_nv_fund",Z$3,$A270))</f>
        <v/>
      </c>
      <c r="AA270" s="13" t="str">
        <f>IF($A270="","",[1]!thsiFinD("ths_adjustment_nv_fund",AA$3,$A270))</f>
        <v/>
      </c>
      <c r="AB270" s="13" t="str">
        <f>IF($A270="","",[1]!thsiFinD("ths_adjustment_nv_fund",AB$3,$A270))</f>
        <v/>
      </c>
    </row>
    <row r="271" spans="2:28">
      <c r="B271" s="13" t="str">
        <f>IF($A271="","",[1]!thsiFinD("ths_adjustment_nv_fund",B$3,$A271))</f>
        <v/>
      </c>
      <c r="C271" s="13" t="str">
        <f>IF($A271="","",[1]!thsiFinD("ths_adjustment_nv_fund",C$3,$A271))</f>
        <v/>
      </c>
      <c r="D271" s="13" t="str">
        <f>IF($A271="","",[1]!thsiFinD("ths_adjustment_nv_fund",D$3,$A271))</f>
        <v/>
      </c>
      <c r="E271" s="13" t="str">
        <f>IF($A271="","",[1]!thsiFinD("ths_adjustment_nv_fund",E$3,$A271))</f>
        <v/>
      </c>
      <c r="F271" s="13" t="str">
        <f>IF($A271="","",[1]!thsiFinD("ths_adjustment_nv_fund",F$3,$A271))</f>
        <v/>
      </c>
      <c r="G271" s="13" t="str">
        <f>IF($A271="","",[1]!thsiFinD("ths_adjustment_nv_fund",G$3,$A271))</f>
        <v/>
      </c>
      <c r="H271" s="13" t="str">
        <f>IF($A271="","",[1]!thsiFinD("ths_adjustment_nv_fund",H$3,$A271))</f>
        <v/>
      </c>
      <c r="I271" s="13" t="str">
        <f>IF($A271="","",[1]!thsiFinD("ths_adjustment_nv_fund",I$3,$A271))</f>
        <v/>
      </c>
      <c r="J271" s="13" t="str">
        <f>IF($A271="","",[1]!thsiFinD("ths_adjustment_nv_fund",J$3,$A271))</f>
        <v/>
      </c>
      <c r="K271" s="13" t="str">
        <f>IF($A271="","",[1]!thsiFinD("ths_adjustment_nv_fund",K$3,$A271))</f>
        <v/>
      </c>
      <c r="L271" s="13" t="str">
        <f>IF($A271="","",[1]!thsiFinD("ths_adjustment_nv_fund",L$3,$A271))</f>
        <v/>
      </c>
      <c r="M271" s="13" t="str">
        <f>IF($A271="","",[1]!thsiFinD("ths_adjustment_nv_fund",M$3,$A271))</f>
        <v/>
      </c>
      <c r="N271" s="13" t="str">
        <f>IF($A271="","",[1]!thsiFinD("ths_adjustment_nv_fund",N$3,$A271))</f>
        <v/>
      </c>
      <c r="O271" s="13" t="str">
        <f>IF($A271="","",[1]!thsiFinD("ths_adjustment_nv_fund",O$3,$A271))</f>
        <v/>
      </c>
      <c r="P271" s="13" t="str">
        <f>IF($A271="","",[1]!thsiFinD("ths_adjustment_nv_fund",P$3,$A271))</f>
        <v/>
      </c>
      <c r="Q271" s="13" t="str">
        <f>IF($A271="","",[1]!thsiFinD("ths_adjustment_nv_fund",Q$3,$A271))</f>
        <v/>
      </c>
      <c r="R271" s="13" t="str">
        <f>IF($A271="","",[1]!thsiFinD("ths_adjustment_nv_fund",R$3,$A271))</f>
        <v/>
      </c>
      <c r="S271" s="13" t="str">
        <f>IF($A271="","",[1]!thsiFinD("ths_adjustment_nv_fund",S$3,$A271))</f>
        <v/>
      </c>
      <c r="T271" s="13" t="str">
        <f>IF($A271="","",[1]!thsiFinD("ths_adjustment_nv_fund",T$3,$A271))</f>
        <v/>
      </c>
      <c r="U271" s="13" t="str">
        <f>IF($A271="","",[1]!thsiFinD("ths_adjustment_nv_fund",U$3,$A271))</f>
        <v/>
      </c>
      <c r="V271" s="13" t="str">
        <f>IF($A271="","",[1]!thsiFinD("ths_adjustment_nv_fund",V$3,$A271))</f>
        <v/>
      </c>
      <c r="W271" s="13" t="str">
        <f>IF($A271="","",[1]!thsiFinD("ths_adjustment_nv_fund",W$3,$A271))</f>
        <v/>
      </c>
      <c r="X271" s="13" t="str">
        <f>IF($A271="","",[1]!thsiFinD("ths_adjustment_nv_fund",X$3,$A271))</f>
        <v/>
      </c>
      <c r="Y271" s="13" t="str">
        <f>IF($A271="","",[1]!thsiFinD("ths_adjustment_nv_fund",Y$3,$A271))</f>
        <v/>
      </c>
      <c r="Z271" s="13" t="str">
        <f>IF($A271="","",[1]!thsiFinD("ths_adjustment_nv_fund",Z$3,$A271))</f>
        <v/>
      </c>
      <c r="AA271" s="13" t="str">
        <f>IF($A271="","",[1]!thsiFinD("ths_adjustment_nv_fund",AA$3,$A271))</f>
        <v/>
      </c>
      <c r="AB271" s="13" t="str">
        <f>IF($A271="","",[1]!thsiFinD("ths_adjustment_nv_fund",AB$3,$A271))</f>
        <v/>
      </c>
    </row>
    <row r="272" spans="2:28">
      <c r="B272" s="13" t="str">
        <f>IF($A272="","",[1]!thsiFinD("ths_adjustment_nv_fund",B$3,$A272))</f>
        <v/>
      </c>
      <c r="C272" s="13" t="str">
        <f>IF($A272="","",[1]!thsiFinD("ths_adjustment_nv_fund",C$3,$A272))</f>
        <v/>
      </c>
      <c r="D272" s="13" t="str">
        <f>IF($A272="","",[1]!thsiFinD("ths_adjustment_nv_fund",D$3,$A272))</f>
        <v/>
      </c>
      <c r="E272" s="13" t="str">
        <f>IF($A272="","",[1]!thsiFinD("ths_adjustment_nv_fund",E$3,$A272))</f>
        <v/>
      </c>
      <c r="F272" s="13" t="str">
        <f>IF($A272="","",[1]!thsiFinD("ths_adjustment_nv_fund",F$3,$A272))</f>
        <v/>
      </c>
      <c r="G272" s="13" t="str">
        <f>IF($A272="","",[1]!thsiFinD("ths_adjustment_nv_fund",G$3,$A272))</f>
        <v/>
      </c>
      <c r="H272" s="13" t="str">
        <f>IF($A272="","",[1]!thsiFinD("ths_adjustment_nv_fund",H$3,$A272))</f>
        <v/>
      </c>
      <c r="I272" s="13" t="str">
        <f>IF($A272="","",[1]!thsiFinD("ths_adjustment_nv_fund",I$3,$A272))</f>
        <v/>
      </c>
      <c r="J272" s="13" t="str">
        <f>IF($A272="","",[1]!thsiFinD("ths_adjustment_nv_fund",J$3,$A272))</f>
        <v/>
      </c>
      <c r="K272" s="13" t="str">
        <f>IF($A272="","",[1]!thsiFinD("ths_adjustment_nv_fund",K$3,$A272))</f>
        <v/>
      </c>
      <c r="L272" s="13" t="str">
        <f>IF($A272="","",[1]!thsiFinD("ths_adjustment_nv_fund",L$3,$A272))</f>
        <v/>
      </c>
      <c r="M272" s="13" t="str">
        <f>IF($A272="","",[1]!thsiFinD("ths_adjustment_nv_fund",M$3,$A272))</f>
        <v/>
      </c>
      <c r="N272" s="13" t="str">
        <f>IF($A272="","",[1]!thsiFinD("ths_adjustment_nv_fund",N$3,$A272))</f>
        <v/>
      </c>
      <c r="O272" s="13" t="str">
        <f>IF($A272="","",[1]!thsiFinD("ths_adjustment_nv_fund",O$3,$A272))</f>
        <v/>
      </c>
      <c r="P272" s="13" t="str">
        <f>IF($A272="","",[1]!thsiFinD("ths_adjustment_nv_fund",P$3,$A272))</f>
        <v/>
      </c>
      <c r="Q272" s="13" t="str">
        <f>IF($A272="","",[1]!thsiFinD("ths_adjustment_nv_fund",Q$3,$A272))</f>
        <v/>
      </c>
      <c r="R272" s="13" t="str">
        <f>IF($A272="","",[1]!thsiFinD("ths_adjustment_nv_fund",R$3,$A272))</f>
        <v/>
      </c>
      <c r="S272" s="13" t="str">
        <f>IF($A272="","",[1]!thsiFinD("ths_adjustment_nv_fund",S$3,$A272))</f>
        <v/>
      </c>
      <c r="T272" s="13" t="str">
        <f>IF($A272="","",[1]!thsiFinD("ths_adjustment_nv_fund",T$3,$A272))</f>
        <v/>
      </c>
      <c r="U272" s="13" t="str">
        <f>IF($A272="","",[1]!thsiFinD("ths_adjustment_nv_fund",U$3,$A272))</f>
        <v/>
      </c>
      <c r="V272" s="13" t="str">
        <f>IF($A272="","",[1]!thsiFinD("ths_adjustment_nv_fund",V$3,$A272))</f>
        <v/>
      </c>
      <c r="W272" s="13" t="str">
        <f>IF($A272="","",[1]!thsiFinD("ths_adjustment_nv_fund",W$3,$A272))</f>
        <v/>
      </c>
      <c r="X272" s="13" t="str">
        <f>IF($A272="","",[1]!thsiFinD("ths_adjustment_nv_fund",X$3,$A272))</f>
        <v/>
      </c>
      <c r="Y272" s="13" t="str">
        <f>IF($A272="","",[1]!thsiFinD("ths_adjustment_nv_fund",Y$3,$A272))</f>
        <v/>
      </c>
      <c r="Z272" s="13" t="str">
        <f>IF($A272="","",[1]!thsiFinD("ths_adjustment_nv_fund",Z$3,$A272))</f>
        <v/>
      </c>
      <c r="AA272" s="13" t="str">
        <f>IF($A272="","",[1]!thsiFinD("ths_adjustment_nv_fund",AA$3,$A272))</f>
        <v/>
      </c>
      <c r="AB272" s="13" t="str">
        <f>IF($A272="","",[1]!thsiFinD("ths_adjustment_nv_fund",AB$3,$A272))</f>
        <v/>
      </c>
    </row>
    <row r="273" spans="2:28">
      <c r="B273" s="13" t="str">
        <f>IF($A273="","",[1]!thsiFinD("ths_adjustment_nv_fund",B$3,$A273))</f>
        <v/>
      </c>
      <c r="C273" s="13" t="str">
        <f>IF($A273="","",[1]!thsiFinD("ths_adjustment_nv_fund",C$3,$A273))</f>
        <v/>
      </c>
      <c r="D273" s="13" t="str">
        <f>IF($A273="","",[1]!thsiFinD("ths_adjustment_nv_fund",D$3,$A273))</f>
        <v/>
      </c>
      <c r="E273" s="13" t="str">
        <f>IF($A273="","",[1]!thsiFinD("ths_adjustment_nv_fund",E$3,$A273))</f>
        <v/>
      </c>
      <c r="F273" s="13" t="str">
        <f>IF($A273="","",[1]!thsiFinD("ths_adjustment_nv_fund",F$3,$A273))</f>
        <v/>
      </c>
      <c r="G273" s="13" t="str">
        <f>IF($A273="","",[1]!thsiFinD("ths_adjustment_nv_fund",G$3,$A273))</f>
        <v/>
      </c>
      <c r="H273" s="13" t="str">
        <f>IF($A273="","",[1]!thsiFinD("ths_adjustment_nv_fund",H$3,$A273))</f>
        <v/>
      </c>
      <c r="I273" s="13" t="str">
        <f>IF($A273="","",[1]!thsiFinD("ths_adjustment_nv_fund",I$3,$A273))</f>
        <v/>
      </c>
      <c r="J273" s="13" t="str">
        <f>IF($A273="","",[1]!thsiFinD("ths_adjustment_nv_fund",J$3,$A273))</f>
        <v/>
      </c>
      <c r="K273" s="13" t="str">
        <f>IF($A273="","",[1]!thsiFinD("ths_adjustment_nv_fund",K$3,$A273))</f>
        <v/>
      </c>
      <c r="L273" s="13" t="str">
        <f>IF($A273="","",[1]!thsiFinD("ths_adjustment_nv_fund",L$3,$A273))</f>
        <v/>
      </c>
      <c r="M273" s="13" t="str">
        <f>IF($A273="","",[1]!thsiFinD("ths_adjustment_nv_fund",M$3,$A273))</f>
        <v/>
      </c>
      <c r="N273" s="13" t="str">
        <f>IF($A273="","",[1]!thsiFinD("ths_adjustment_nv_fund",N$3,$A273))</f>
        <v/>
      </c>
      <c r="O273" s="13" t="str">
        <f>IF($A273="","",[1]!thsiFinD("ths_adjustment_nv_fund",O$3,$A273))</f>
        <v/>
      </c>
      <c r="P273" s="13" t="str">
        <f>IF($A273="","",[1]!thsiFinD("ths_adjustment_nv_fund",P$3,$A273))</f>
        <v/>
      </c>
      <c r="Q273" s="13" t="str">
        <f>IF($A273="","",[1]!thsiFinD("ths_adjustment_nv_fund",Q$3,$A273))</f>
        <v/>
      </c>
      <c r="R273" s="13" t="str">
        <f>IF($A273="","",[1]!thsiFinD("ths_adjustment_nv_fund",R$3,$A273))</f>
        <v/>
      </c>
      <c r="S273" s="13" t="str">
        <f>IF($A273="","",[1]!thsiFinD("ths_adjustment_nv_fund",S$3,$A273))</f>
        <v/>
      </c>
      <c r="T273" s="13" t="str">
        <f>IF($A273="","",[1]!thsiFinD("ths_adjustment_nv_fund",T$3,$A273))</f>
        <v/>
      </c>
      <c r="U273" s="13" t="str">
        <f>IF($A273="","",[1]!thsiFinD("ths_adjustment_nv_fund",U$3,$A273))</f>
        <v/>
      </c>
      <c r="V273" s="13" t="str">
        <f>IF($A273="","",[1]!thsiFinD("ths_adjustment_nv_fund",V$3,$A273))</f>
        <v/>
      </c>
      <c r="W273" s="13" t="str">
        <f>IF($A273="","",[1]!thsiFinD("ths_adjustment_nv_fund",W$3,$A273))</f>
        <v/>
      </c>
      <c r="X273" s="13" t="str">
        <f>IF($A273="","",[1]!thsiFinD("ths_adjustment_nv_fund",X$3,$A273))</f>
        <v/>
      </c>
      <c r="Y273" s="13" t="str">
        <f>IF($A273="","",[1]!thsiFinD("ths_adjustment_nv_fund",Y$3,$A273))</f>
        <v/>
      </c>
      <c r="Z273" s="13" t="str">
        <f>IF($A273="","",[1]!thsiFinD("ths_adjustment_nv_fund",Z$3,$A273))</f>
        <v/>
      </c>
      <c r="AA273" s="13" t="str">
        <f>IF($A273="","",[1]!thsiFinD("ths_adjustment_nv_fund",AA$3,$A273))</f>
        <v/>
      </c>
      <c r="AB273" s="13" t="str">
        <f>IF($A273="","",[1]!thsiFinD("ths_adjustment_nv_fund",AB$3,$A273))</f>
        <v/>
      </c>
    </row>
    <row r="274" spans="2:28">
      <c r="B274" s="13" t="str">
        <f>IF($A274="","",[1]!thsiFinD("ths_adjustment_nv_fund",B$3,$A274))</f>
        <v/>
      </c>
      <c r="C274" s="13" t="str">
        <f>IF($A274="","",[1]!thsiFinD("ths_adjustment_nv_fund",C$3,$A274))</f>
        <v/>
      </c>
      <c r="D274" s="13" t="str">
        <f>IF($A274="","",[1]!thsiFinD("ths_adjustment_nv_fund",D$3,$A274))</f>
        <v/>
      </c>
      <c r="E274" s="13" t="str">
        <f>IF($A274="","",[1]!thsiFinD("ths_adjustment_nv_fund",E$3,$A274))</f>
        <v/>
      </c>
      <c r="F274" s="13" t="str">
        <f>IF($A274="","",[1]!thsiFinD("ths_adjustment_nv_fund",F$3,$A274))</f>
        <v/>
      </c>
      <c r="G274" s="13" t="str">
        <f>IF($A274="","",[1]!thsiFinD("ths_adjustment_nv_fund",G$3,$A274))</f>
        <v/>
      </c>
      <c r="H274" s="13" t="str">
        <f>IF($A274="","",[1]!thsiFinD("ths_adjustment_nv_fund",H$3,$A274))</f>
        <v/>
      </c>
      <c r="I274" s="13" t="str">
        <f>IF($A274="","",[1]!thsiFinD("ths_adjustment_nv_fund",I$3,$A274))</f>
        <v/>
      </c>
      <c r="J274" s="13" t="str">
        <f>IF($A274="","",[1]!thsiFinD("ths_adjustment_nv_fund",J$3,$A274))</f>
        <v/>
      </c>
      <c r="K274" s="13" t="str">
        <f>IF($A274="","",[1]!thsiFinD("ths_adjustment_nv_fund",K$3,$A274))</f>
        <v/>
      </c>
      <c r="L274" s="13" t="str">
        <f>IF($A274="","",[1]!thsiFinD("ths_adjustment_nv_fund",L$3,$A274))</f>
        <v/>
      </c>
      <c r="M274" s="13" t="str">
        <f>IF($A274="","",[1]!thsiFinD("ths_adjustment_nv_fund",M$3,$A274))</f>
        <v/>
      </c>
      <c r="N274" s="13" t="str">
        <f>IF($A274="","",[1]!thsiFinD("ths_adjustment_nv_fund",N$3,$A274))</f>
        <v/>
      </c>
      <c r="O274" s="13" t="str">
        <f>IF($A274="","",[1]!thsiFinD("ths_adjustment_nv_fund",O$3,$A274))</f>
        <v/>
      </c>
      <c r="P274" s="13" t="str">
        <f>IF($A274="","",[1]!thsiFinD("ths_adjustment_nv_fund",P$3,$A274))</f>
        <v/>
      </c>
      <c r="Q274" s="13" t="str">
        <f>IF($A274="","",[1]!thsiFinD("ths_adjustment_nv_fund",Q$3,$A274))</f>
        <v/>
      </c>
      <c r="R274" s="13" t="str">
        <f>IF($A274="","",[1]!thsiFinD("ths_adjustment_nv_fund",R$3,$A274))</f>
        <v/>
      </c>
      <c r="S274" s="13" t="str">
        <f>IF($A274="","",[1]!thsiFinD("ths_adjustment_nv_fund",S$3,$A274))</f>
        <v/>
      </c>
      <c r="T274" s="13" t="str">
        <f>IF($A274="","",[1]!thsiFinD("ths_adjustment_nv_fund",T$3,$A274))</f>
        <v/>
      </c>
      <c r="U274" s="13" t="str">
        <f>IF($A274="","",[1]!thsiFinD("ths_adjustment_nv_fund",U$3,$A274))</f>
        <v/>
      </c>
      <c r="V274" s="13" t="str">
        <f>IF($A274="","",[1]!thsiFinD("ths_adjustment_nv_fund",V$3,$A274))</f>
        <v/>
      </c>
      <c r="W274" s="13" t="str">
        <f>IF($A274="","",[1]!thsiFinD("ths_adjustment_nv_fund",W$3,$A274))</f>
        <v/>
      </c>
      <c r="X274" s="13" t="str">
        <f>IF($A274="","",[1]!thsiFinD("ths_adjustment_nv_fund",X$3,$A274))</f>
        <v/>
      </c>
      <c r="Y274" s="13" t="str">
        <f>IF($A274="","",[1]!thsiFinD("ths_adjustment_nv_fund",Y$3,$A274))</f>
        <v/>
      </c>
      <c r="Z274" s="13" t="str">
        <f>IF($A274="","",[1]!thsiFinD("ths_adjustment_nv_fund",Z$3,$A274))</f>
        <v/>
      </c>
      <c r="AA274" s="13" t="str">
        <f>IF($A274="","",[1]!thsiFinD("ths_adjustment_nv_fund",AA$3,$A274))</f>
        <v/>
      </c>
      <c r="AB274" s="13" t="str">
        <f>IF($A274="","",[1]!thsiFinD("ths_adjustment_nv_fund",AB$3,$A274))</f>
        <v/>
      </c>
    </row>
    <row r="275" spans="2:28">
      <c r="B275" s="13" t="str">
        <f>IF($A275="","",[1]!thsiFinD("ths_adjustment_nv_fund",B$3,$A275))</f>
        <v/>
      </c>
      <c r="C275" s="13" t="str">
        <f>IF($A275="","",[1]!thsiFinD("ths_adjustment_nv_fund",C$3,$A275))</f>
        <v/>
      </c>
      <c r="D275" s="13" t="str">
        <f>IF($A275="","",[1]!thsiFinD("ths_adjustment_nv_fund",D$3,$A275))</f>
        <v/>
      </c>
      <c r="E275" s="13" t="str">
        <f>IF($A275="","",[1]!thsiFinD("ths_adjustment_nv_fund",E$3,$A275))</f>
        <v/>
      </c>
      <c r="F275" s="13" t="str">
        <f>IF($A275="","",[1]!thsiFinD("ths_adjustment_nv_fund",F$3,$A275))</f>
        <v/>
      </c>
      <c r="G275" s="13" t="str">
        <f>IF($A275="","",[1]!thsiFinD("ths_adjustment_nv_fund",G$3,$A275))</f>
        <v/>
      </c>
      <c r="H275" s="13" t="str">
        <f>IF($A275="","",[1]!thsiFinD("ths_adjustment_nv_fund",H$3,$A275))</f>
        <v/>
      </c>
      <c r="I275" s="13" t="str">
        <f>IF($A275="","",[1]!thsiFinD("ths_adjustment_nv_fund",I$3,$A275))</f>
        <v/>
      </c>
      <c r="J275" s="13" t="str">
        <f>IF($A275="","",[1]!thsiFinD("ths_adjustment_nv_fund",J$3,$A275))</f>
        <v/>
      </c>
      <c r="K275" s="13" t="str">
        <f>IF($A275="","",[1]!thsiFinD("ths_adjustment_nv_fund",K$3,$A275))</f>
        <v/>
      </c>
      <c r="L275" s="13" t="str">
        <f>IF($A275="","",[1]!thsiFinD("ths_adjustment_nv_fund",L$3,$A275))</f>
        <v/>
      </c>
      <c r="M275" s="13" t="str">
        <f>IF($A275="","",[1]!thsiFinD("ths_adjustment_nv_fund",M$3,$A275))</f>
        <v/>
      </c>
      <c r="N275" s="13" t="str">
        <f>IF($A275="","",[1]!thsiFinD("ths_adjustment_nv_fund",N$3,$A275))</f>
        <v/>
      </c>
      <c r="O275" s="13" t="str">
        <f>IF($A275="","",[1]!thsiFinD("ths_adjustment_nv_fund",O$3,$A275))</f>
        <v/>
      </c>
      <c r="P275" s="13" t="str">
        <f>IF($A275="","",[1]!thsiFinD("ths_adjustment_nv_fund",P$3,$A275))</f>
        <v/>
      </c>
      <c r="Q275" s="13" t="str">
        <f>IF($A275="","",[1]!thsiFinD("ths_adjustment_nv_fund",Q$3,$A275))</f>
        <v/>
      </c>
      <c r="R275" s="13" t="str">
        <f>IF($A275="","",[1]!thsiFinD("ths_adjustment_nv_fund",R$3,$A275))</f>
        <v/>
      </c>
      <c r="S275" s="13" t="str">
        <f>IF($A275="","",[1]!thsiFinD("ths_adjustment_nv_fund",S$3,$A275))</f>
        <v/>
      </c>
      <c r="T275" s="13" t="str">
        <f>IF($A275="","",[1]!thsiFinD("ths_adjustment_nv_fund",T$3,$A275))</f>
        <v/>
      </c>
      <c r="U275" s="13" t="str">
        <f>IF($A275="","",[1]!thsiFinD("ths_adjustment_nv_fund",U$3,$A275))</f>
        <v/>
      </c>
      <c r="V275" s="13" t="str">
        <f>IF($A275="","",[1]!thsiFinD("ths_adjustment_nv_fund",V$3,$A275))</f>
        <v/>
      </c>
      <c r="W275" s="13" t="str">
        <f>IF($A275="","",[1]!thsiFinD("ths_adjustment_nv_fund",W$3,$A275))</f>
        <v/>
      </c>
      <c r="X275" s="13" t="str">
        <f>IF($A275="","",[1]!thsiFinD("ths_adjustment_nv_fund",X$3,$A275))</f>
        <v/>
      </c>
      <c r="Y275" s="13" t="str">
        <f>IF($A275="","",[1]!thsiFinD("ths_adjustment_nv_fund",Y$3,$A275))</f>
        <v/>
      </c>
      <c r="Z275" s="13" t="str">
        <f>IF($A275="","",[1]!thsiFinD("ths_adjustment_nv_fund",Z$3,$A275))</f>
        <v/>
      </c>
      <c r="AA275" s="13" t="str">
        <f>IF($A275="","",[1]!thsiFinD("ths_adjustment_nv_fund",AA$3,$A275))</f>
        <v/>
      </c>
      <c r="AB275" s="13" t="str">
        <f>IF($A275="","",[1]!thsiFinD("ths_adjustment_nv_fund",AB$3,$A275))</f>
        <v/>
      </c>
    </row>
    <row r="276" spans="2:28">
      <c r="B276" s="13" t="str">
        <f>IF($A276="","",[1]!thsiFinD("ths_adjustment_nv_fund",B$3,$A276))</f>
        <v/>
      </c>
      <c r="C276" s="13" t="str">
        <f>IF($A276="","",[1]!thsiFinD("ths_adjustment_nv_fund",C$3,$A276))</f>
        <v/>
      </c>
      <c r="D276" s="13" t="str">
        <f>IF($A276="","",[1]!thsiFinD("ths_adjustment_nv_fund",D$3,$A276))</f>
        <v/>
      </c>
      <c r="E276" s="13" t="str">
        <f>IF($A276="","",[1]!thsiFinD("ths_adjustment_nv_fund",E$3,$A276))</f>
        <v/>
      </c>
      <c r="F276" s="13" t="str">
        <f>IF($A276="","",[1]!thsiFinD("ths_adjustment_nv_fund",F$3,$A276))</f>
        <v/>
      </c>
      <c r="G276" s="13" t="str">
        <f>IF($A276="","",[1]!thsiFinD("ths_adjustment_nv_fund",G$3,$A276))</f>
        <v/>
      </c>
      <c r="H276" s="13" t="str">
        <f>IF($A276="","",[1]!thsiFinD("ths_adjustment_nv_fund",H$3,$A276))</f>
        <v/>
      </c>
      <c r="I276" s="13" t="str">
        <f>IF($A276="","",[1]!thsiFinD("ths_adjustment_nv_fund",I$3,$A276))</f>
        <v/>
      </c>
      <c r="J276" s="13" t="str">
        <f>IF($A276="","",[1]!thsiFinD("ths_adjustment_nv_fund",J$3,$A276))</f>
        <v/>
      </c>
      <c r="K276" s="13" t="str">
        <f>IF($A276="","",[1]!thsiFinD("ths_adjustment_nv_fund",K$3,$A276))</f>
        <v/>
      </c>
      <c r="L276" s="13" t="str">
        <f>IF($A276="","",[1]!thsiFinD("ths_adjustment_nv_fund",L$3,$A276))</f>
        <v/>
      </c>
      <c r="M276" s="13" t="str">
        <f>IF($A276="","",[1]!thsiFinD("ths_adjustment_nv_fund",M$3,$A276))</f>
        <v/>
      </c>
      <c r="N276" s="13" t="str">
        <f>IF($A276="","",[1]!thsiFinD("ths_adjustment_nv_fund",N$3,$A276))</f>
        <v/>
      </c>
      <c r="O276" s="13" t="str">
        <f>IF($A276="","",[1]!thsiFinD("ths_adjustment_nv_fund",O$3,$A276))</f>
        <v/>
      </c>
      <c r="P276" s="13" t="str">
        <f>IF($A276="","",[1]!thsiFinD("ths_adjustment_nv_fund",P$3,$A276))</f>
        <v/>
      </c>
      <c r="Q276" s="13" t="str">
        <f>IF($A276="","",[1]!thsiFinD("ths_adjustment_nv_fund",Q$3,$A276))</f>
        <v/>
      </c>
      <c r="R276" s="13" t="str">
        <f>IF($A276="","",[1]!thsiFinD("ths_adjustment_nv_fund",R$3,$A276))</f>
        <v/>
      </c>
      <c r="S276" s="13" t="str">
        <f>IF($A276="","",[1]!thsiFinD("ths_adjustment_nv_fund",S$3,$A276))</f>
        <v/>
      </c>
      <c r="T276" s="13" t="str">
        <f>IF($A276="","",[1]!thsiFinD("ths_adjustment_nv_fund",T$3,$A276))</f>
        <v/>
      </c>
      <c r="U276" s="13" t="str">
        <f>IF($A276="","",[1]!thsiFinD("ths_adjustment_nv_fund",U$3,$A276))</f>
        <v/>
      </c>
      <c r="V276" s="13" t="str">
        <f>IF($A276="","",[1]!thsiFinD("ths_adjustment_nv_fund",V$3,$A276))</f>
        <v/>
      </c>
      <c r="W276" s="13" t="str">
        <f>IF($A276="","",[1]!thsiFinD("ths_adjustment_nv_fund",W$3,$A276))</f>
        <v/>
      </c>
      <c r="X276" s="13" t="str">
        <f>IF($A276="","",[1]!thsiFinD("ths_adjustment_nv_fund",X$3,$A276))</f>
        <v/>
      </c>
      <c r="Y276" s="13" t="str">
        <f>IF($A276="","",[1]!thsiFinD("ths_adjustment_nv_fund",Y$3,$A276))</f>
        <v/>
      </c>
      <c r="Z276" s="13" t="str">
        <f>IF($A276="","",[1]!thsiFinD("ths_adjustment_nv_fund",Z$3,$A276))</f>
        <v/>
      </c>
      <c r="AA276" s="13" t="str">
        <f>IF($A276="","",[1]!thsiFinD("ths_adjustment_nv_fund",AA$3,$A276))</f>
        <v/>
      </c>
      <c r="AB276" s="13" t="str">
        <f>IF($A276="","",[1]!thsiFinD("ths_adjustment_nv_fund",AB$3,$A276))</f>
        <v/>
      </c>
    </row>
    <row r="277" spans="2:28">
      <c r="B277" s="13" t="str">
        <f>IF($A277="","",[1]!thsiFinD("ths_adjustment_nv_fund",B$3,$A277))</f>
        <v/>
      </c>
      <c r="C277" s="13" t="str">
        <f>IF($A277="","",[1]!thsiFinD("ths_adjustment_nv_fund",C$3,$A277))</f>
        <v/>
      </c>
      <c r="D277" s="13" t="str">
        <f>IF($A277="","",[1]!thsiFinD("ths_adjustment_nv_fund",D$3,$A277))</f>
        <v/>
      </c>
      <c r="E277" s="13" t="str">
        <f>IF($A277="","",[1]!thsiFinD("ths_adjustment_nv_fund",E$3,$A277))</f>
        <v/>
      </c>
      <c r="F277" s="13" t="str">
        <f>IF($A277="","",[1]!thsiFinD("ths_adjustment_nv_fund",F$3,$A277))</f>
        <v/>
      </c>
      <c r="G277" s="13" t="str">
        <f>IF($A277="","",[1]!thsiFinD("ths_adjustment_nv_fund",G$3,$A277))</f>
        <v/>
      </c>
      <c r="H277" s="13" t="str">
        <f>IF($A277="","",[1]!thsiFinD("ths_adjustment_nv_fund",H$3,$A277))</f>
        <v/>
      </c>
      <c r="I277" s="13" t="str">
        <f>IF($A277="","",[1]!thsiFinD("ths_adjustment_nv_fund",I$3,$A277))</f>
        <v/>
      </c>
      <c r="J277" s="13" t="str">
        <f>IF($A277="","",[1]!thsiFinD("ths_adjustment_nv_fund",J$3,$A277))</f>
        <v/>
      </c>
      <c r="K277" s="13" t="str">
        <f>IF($A277="","",[1]!thsiFinD("ths_adjustment_nv_fund",K$3,$A277))</f>
        <v/>
      </c>
      <c r="L277" s="13" t="str">
        <f>IF($A277="","",[1]!thsiFinD("ths_adjustment_nv_fund",L$3,$A277))</f>
        <v/>
      </c>
      <c r="M277" s="13" t="str">
        <f>IF($A277="","",[1]!thsiFinD("ths_adjustment_nv_fund",M$3,$A277))</f>
        <v/>
      </c>
      <c r="N277" s="13" t="str">
        <f>IF($A277="","",[1]!thsiFinD("ths_adjustment_nv_fund",N$3,$A277))</f>
        <v/>
      </c>
      <c r="O277" s="13" t="str">
        <f>IF($A277="","",[1]!thsiFinD("ths_adjustment_nv_fund",O$3,$A277))</f>
        <v/>
      </c>
      <c r="P277" s="13" t="str">
        <f>IF($A277="","",[1]!thsiFinD("ths_adjustment_nv_fund",P$3,$A277))</f>
        <v/>
      </c>
      <c r="Q277" s="13" t="str">
        <f>IF($A277="","",[1]!thsiFinD("ths_adjustment_nv_fund",Q$3,$A277))</f>
        <v/>
      </c>
      <c r="R277" s="13" t="str">
        <f>IF($A277="","",[1]!thsiFinD("ths_adjustment_nv_fund",R$3,$A277))</f>
        <v/>
      </c>
      <c r="S277" s="13" t="str">
        <f>IF($A277="","",[1]!thsiFinD("ths_adjustment_nv_fund",S$3,$A277))</f>
        <v/>
      </c>
      <c r="T277" s="13" t="str">
        <f>IF($A277="","",[1]!thsiFinD("ths_adjustment_nv_fund",T$3,$A277))</f>
        <v/>
      </c>
      <c r="U277" s="13" t="str">
        <f>IF($A277="","",[1]!thsiFinD("ths_adjustment_nv_fund",U$3,$A277))</f>
        <v/>
      </c>
      <c r="V277" s="13" t="str">
        <f>IF($A277="","",[1]!thsiFinD("ths_adjustment_nv_fund",V$3,$A277))</f>
        <v/>
      </c>
      <c r="W277" s="13" t="str">
        <f>IF($A277="","",[1]!thsiFinD("ths_adjustment_nv_fund",W$3,$A277))</f>
        <v/>
      </c>
      <c r="X277" s="13" t="str">
        <f>IF($A277="","",[1]!thsiFinD("ths_adjustment_nv_fund",X$3,$A277))</f>
        <v/>
      </c>
      <c r="Y277" s="13" t="str">
        <f>IF($A277="","",[1]!thsiFinD("ths_adjustment_nv_fund",Y$3,$A277))</f>
        <v/>
      </c>
      <c r="Z277" s="13" t="str">
        <f>IF($A277="","",[1]!thsiFinD("ths_adjustment_nv_fund",Z$3,$A277))</f>
        <v/>
      </c>
      <c r="AA277" s="13" t="str">
        <f>IF($A277="","",[1]!thsiFinD("ths_adjustment_nv_fund",AA$3,$A277))</f>
        <v/>
      </c>
      <c r="AB277" s="13" t="str">
        <f>IF($A277="","",[1]!thsiFinD("ths_adjustment_nv_fund",AB$3,$A277))</f>
        <v/>
      </c>
    </row>
    <row r="278" spans="2:28">
      <c r="B278" s="13" t="str">
        <f>IF($A278="","",[1]!thsiFinD("ths_adjustment_nv_fund",B$3,$A278))</f>
        <v/>
      </c>
      <c r="C278" s="13" t="str">
        <f>IF($A278="","",[1]!thsiFinD("ths_adjustment_nv_fund",C$3,$A278))</f>
        <v/>
      </c>
      <c r="D278" s="13" t="str">
        <f>IF($A278="","",[1]!thsiFinD("ths_adjustment_nv_fund",D$3,$A278))</f>
        <v/>
      </c>
      <c r="E278" s="13" t="str">
        <f>IF($A278="","",[1]!thsiFinD("ths_adjustment_nv_fund",E$3,$A278))</f>
        <v/>
      </c>
      <c r="F278" s="13" t="str">
        <f>IF($A278="","",[1]!thsiFinD("ths_adjustment_nv_fund",F$3,$A278))</f>
        <v/>
      </c>
      <c r="G278" s="13" t="str">
        <f>IF($A278="","",[1]!thsiFinD("ths_adjustment_nv_fund",G$3,$A278))</f>
        <v/>
      </c>
      <c r="H278" s="13" t="str">
        <f>IF($A278="","",[1]!thsiFinD("ths_adjustment_nv_fund",H$3,$A278))</f>
        <v/>
      </c>
      <c r="I278" s="13" t="str">
        <f>IF($A278="","",[1]!thsiFinD("ths_adjustment_nv_fund",I$3,$A278))</f>
        <v/>
      </c>
      <c r="J278" s="13" t="str">
        <f>IF($A278="","",[1]!thsiFinD("ths_adjustment_nv_fund",J$3,$A278))</f>
        <v/>
      </c>
      <c r="K278" s="13" t="str">
        <f>IF($A278="","",[1]!thsiFinD("ths_adjustment_nv_fund",K$3,$A278))</f>
        <v/>
      </c>
      <c r="L278" s="13" t="str">
        <f>IF($A278="","",[1]!thsiFinD("ths_adjustment_nv_fund",L$3,$A278))</f>
        <v/>
      </c>
      <c r="M278" s="13" t="str">
        <f>IF($A278="","",[1]!thsiFinD("ths_adjustment_nv_fund",M$3,$A278))</f>
        <v/>
      </c>
      <c r="N278" s="13" t="str">
        <f>IF($A278="","",[1]!thsiFinD("ths_adjustment_nv_fund",N$3,$A278))</f>
        <v/>
      </c>
      <c r="O278" s="13" t="str">
        <f>IF($A278="","",[1]!thsiFinD("ths_adjustment_nv_fund",O$3,$A278))</f>
        <v/>
      </c>
      <c r="P278" s="13" t="str">
        <f>IF($A278="","",[1]!thsiFinD("ths_adjustment_nv_fund",P$3,$A278))</f>
        <v/>
      </c>
      <c r="Q278" s="13" t="str">
        <f>IF($A278="","",[1]!thsiFinD("ths_adjustment_nv_fund",Q$3,$A278))</f>
        <v/>
      </c>
      <c r="R278" s="13" t="str">
        <f>IF($A278="","",[1]!thsiFinD("ths_adjustment_nv_fund",R$3,$A278))</f>
        <v/>
      </c>
      <c r="S278" s="13" t="str">
        <f>IF($A278="","",[1]!thsiFinD("ths_adjustment_nv_fund",S$3,$A278))</f>
        <v/>
      </c>
      <c r="T278" s="13" t="str">
        <f>IF($A278="","",[1]!thsiFinD("ths_adjustment_nv_fund",T$3,$A278))</f>
        <v/>
      </c>
      <c r="U278" s="13" t="str">
        <f>IF($A278="","",[1]!thsiFinD("ths_adjustment_nv_fund",U$3,$A278))</f>
        <v/>
      </c>
      <c r="V278" s="13" t="str">
        <f>IF($A278="","",[1]!thsiFinD("ths_adjustment_nv_fund",V$3,$A278))</f>
        <v/>
      </c>
      <c r="W278" s="13" t="str">
        <f>IF($A278="","",[1]!thsiFinD("ths_adjustment_nv_fund",W$3,$A278))</f>
        <v/>
      </c>
      <c r="X278" s="13" t="str">
        <f>IF($A278="","",[1]!thsiFinD("ths_adjustment_nv_fund",X$3,$A278))</f>
        <v/>
      </c>
      <c r="Y278" s="13" t="str">
        <f>IF($A278="","",[1]!thsiFinD("ths_adjustment_nv_fund",Y$3,$A278))</f>
        <v/>
      </c>
      <c r="Z278" s="13" t="str">
        <f>IF($A278="","",[1]!thsiFinD("ths_adjustment_nv_fund",Z$3,$A278))</f>
        <v/>
      </c>
      <c r="AA278" s="13" t="str">
        <f>IF($A278="","",[1]!thsiFinD("ths_adjustment_nv_fund",AA$3,$A278))</f>
        <v/>
      </c>
      <c r="AB278" s="13" t="str">
        <f>IF($A278="","",[1]!thsiFinD("ths_adjustment_nv_fund",AB$3,$A278))</f>
        <v/>
      </c>
    </row>
    <row r="279" spans="2:28">
      <c r="B279" s="13" t="str">
        <f>IF($A279="","",[1]!thsiFinD("ths_adjustment_nv_fund",B$3,$A279))</f>
        <v/>
      </c>
      <c r="C279" s="13" t="str">
        <f>IF($A279="","",[1]!thsiFinD("ths_adjustment_nv_fund",C$3,$A279))</f>
        <v/>
      </c>
      <c r="D279" s="13" t="str">
        <f>IF($A279="","",[1]!thsiFinD("ths_adjustment_nv_fund",D$3,$A279))</f>
        <v/>
      </c>
      <c r="E279" s="13" t="str">
        <f>IF($A279="","",[1]!thsiFinD("ths_adjustment_nv_fund",E$3,$A279))</f>
        <v/>
      </c>
      <c r="F279" s="13" t="str">
        <f>IF($A279="","",[1]!thsiFinD("ths_adjustment_nv_fund",F$3,$A279))</f>
        <v/>
      </c>
      <c r="G279" s="13" t="str">
        <f>IF($A279="","",[1]!thsiFinD("ths_adjustment_nv_fund",G$3,$A279))</f>
        <v/>
      </c>
      <c r="H279" s="13" t="str">
        <f>IF($A279="","",[1]!thsiFinD("ths_adjustment_nv_fund",H$3,$A279))</f>
        <v/>
      </c>
      <c r="I279" s="13" t="str">
        <f>IF($A279="","",[1]!thsiFinD("ths_adjustment_nv_fund",I$3,$A279))</f>
        <v/>
      </c>
      <c r="J279" s="13" t="str">
        <f>IF($A279="","",[1]!thsiFinD("ths_adjustment_nv_fund",J$3,$A279))</f>
        <v/>
      </c>
      <c r="K279" s="13" t="str">
        <f>IF($A279="","",[1]!thsiFinD("ths_adjustment_nv_fund",K$3,$A279))</f>
        <v/>
      </c>
      <c r="L279" s="13" t="str">
        <f>IF($A279="","",[1]!thsiFinD("ths_adjustment_nv_fund",L$3,$A279))</f>
        <v/>
      </c>
      <c r="M279" s="13" t="str">
        <f>IF($A279="","",[1]!thsiFinD("ths_adjustment_nv_fund",M$3,$A279))</f>
        <v/>
      </c>
      <c r="N279" s="13" t="str">
        <f>IF($A279="","",[1]!thsiFinD("ths_adjustment_nv_fund",N$3,$A279))</f>
        <v/>
      </c>
      <c r="O279" s="13" t="str">
        <f>IF($A279="","",[1]!thsiFinD("ths_adjustment_nv_fund",O$3,$A279))</f>
        <v/>
      </c>
      <c r="P279" s="13" t="str">
        <f>IF($A279="","",[1]!thsiFinD("ths_adjustment_nv_fund",P$3,$A279))</f>
        <v/>
      </c>
      <c r="Q279" s="13" t="str">
        <f>IF($A279="","",[1]!thsiFinD("ths_adjustment_nv_fund",Q$3,$A279))</f>
        <v/>
      </c>
      <c r="R279" s="13" t="str">
        <f>IF($A279="","",[1]!thsiFinD("ths_adjustment_nv_fund",R$3,$A279))</f>
        <v/>
      </c>
      <c r="S279" s="13" t="str">
        <f>IF($A279="","",[1]!thsiFinD("ths_adjustment_nv_fund",S$3,$A279))</f>
        <v/>
      </c>
      <c r="T279" s="13" t="str">
        <f>IF($A279="","",[1]!thsiFinD("ths_adjustment_nv_fund",T$3,$A279))</f>
        <v/>
      </c>
      <c r="U279" s="13" t="str">
        <f>IF($A279="","",[1]!thsiFinD("ths_adjustment_nv_fund",U$3,$A279))</f>
        <v/>
      </c>
      <c r="V279" s="13" t="str">
        <f>IF($A279="","",[1]!thsiFinD("ths_adjustment_nv_fund",V$3,$A279))</f>
        <v/>
      </c>
      <c r="W279" s="13" t="str">
        <f>IF($A279="","",[1]!thsiFinD("ths_adjustment_nv_fund",W$3,$A279))</f>
        <v/>
      </c>
      <c r="X279" s="13" t="str">
        <f>IF($A279="","",[1]!thsiFinD("ths_adjustment_nv_fund",X$3,$A279))</f>
        <v/>
      </c>
      <c r="Y279" s="13" t="str">
        <f>IF($A279="","",[1]!thsiFinD("ths_adjustment_nv_fund",Y$3,$A279))</f>
        <v/>
      </c>
      <c r="Z279" s="13" t="str">
        <f>IF($A279="","",[1]!thsiFinD("ths_adjustment_nv_fund",Z$3,$A279))</f>
        <v/>
      </c>
      <c r="AA279" s="13" t="str">
        <f>IF($A279="","",[1]!thsiFinD("ths_adjustment_nv_fund",AA$3,$A279))</f>
        <v/>
      </c>
      <c r="AB279" s="13" t="str">
        <f>IF($A279="","",[1]!thsiFinD("ths_adjustment_nv_fund",AB$3,$A279))</f>
        <v/>
      </c>
    </row>
    <row r="280" spans="2:28">
      <c r="B280" s="13" t="str">
        <f>IF($A280="","",[1]!thsiFinD("ths_adjustment_nv_fund",B$3,$A280))</f>
        <v/>
      </c>
      <c r="C280" s="13" t="str">
        <f>IF($A280="","",[1]!thsiFinD("ths_adjustment_nv_fund",C$3,$A280))</f>
        <v/>
      </c>
      <c r="D280" s="13" t="str">
        <f>IF($A280="","",[1]!thsiFinD("ths_adjustment_nv_fund",D$3,$A280))</f>
        <v/>
      </c>
      <c r="E280" s="13" t="str">
        <f>IF($A280="","",[1]!thsiFinD("ths_adjustment_nv_fund",E$3,$A280))</f>
        <v/>
      </c>
      <c r="F280" s="13" t="str">
        <f>IF($A280="","",[1]!thsiFinD("ths_adjustment_nv_fund",F$3,$A280))</f>
        <v/>
      </c>
      <c r="G280" s="13" t="str">
        <f>IF($A280="","",[1]!thsiFinD("ths_adjustment_nv_fund",G$3,$A280))</f>
        <v/>
      </c>
      <c r="H280" s="13" t="str">
        <f>IF($A280="","",[1]!thsiFinD("ths_adjustment_nv_fund",H$3,$A280))</f>
        <v/>
      </c>
      <c r="I280" s="13" t="str">
        <f>IF($A280="","",[1]!thsiFinD("ths_adjustment_nv_fund",I$3,$A280))</f>
        <v/>
      </c>
      <c r="J280" s="13" t="str">
        <f>IF($A280="","",[1]!thsiFinD("ths_adjustment_nv_fund",J$3,$A280))</f>
        <v/>
      </c>
      <c r="K280" s="13" t="str">
        <f>IF($A280="","",[1]!thsiFinD("ths_adjustment_nv_fund",K$3,$A280))</f>
        <v/>
      </c>
      <c r="L280" s="13" t="str">
        <f>IF($A280="","",[1]!thsiFinD("ths_adjustment_nv_fund",L$3,$A280))</f>
        <v/>
      </c>
      <c r="M280" s="13" t="str">
        <f>IF($A280="","",[1]!thsiFinD("ths_adjustment_nv_fund",M$3,$A280))</f>
        <v/>
      </c>
      <c r="N280" s="13" t="str">
        <f>IF($A280="","",[1]!thsiFinD("ths_adjustment_nv_fund",N$3,$A280))</f>
        <v/>
      </c>
      <c r="O280" s="13" t="str">
        <f>IF($A280="","",[1]!thsiFinD("ths_adjustment_nv_fund",O$3,$A280))</f>
        <v/>
      </c>
      <c r="P280" s="13" t="str">
        <f>IF($A280="","",[1]!thsiFinD("ths_adjustment_nv_fund",P$3,$A280))</f>
        <v/>
      </c>
      <c r="Q280" s="13" t="str">
        <f>IF($A280="","",[1]!thsiFinD("ths_adjustment_nv_fund",Q$3,$A280))</f>
        <v/>
      </c>
      <c r="R280" s="13" t="str">
        <f>IF($A280="","",[1]!thsiFinD("ths_adjustment_nv_fund",R$3,$A280))</f>
        <v/>
      </c>
      <c r="S280" s="13" t="str">
        <f>IF($A280="","",[1]!thsiFinD("ths_adjustment_nv_fund",S$3,$A280))</f>
        <v/>
      </c>
      <c r="T280" s="13" t="str">
        <f>IF($A280="","",[1]!thsiFinD("ths_adjustment_nv_fund",T$3,$A280))</f>
        <v/>
      </c>
      <c r="U280" s="13" t="str">
        <f>IF($A280="","",[1]!thsiFinD("ths_adjustment_nv_fund",U$3,$A280))</f>
        <v/>
      </c>
      <c r="V280" s="13" t="str">
        <f>IF($A280="","",[1]!thsiFinD("ths_adjustment_nv_fund",V$3,$A280))</f>
        <v/>
      </c>
      <c r="W280" s="13" t="str">
        <f>IF($A280="","",[1]!thsiFinD("ths_adjustment_nv_fund",W$3,$A280))</f>
        <v/>
      </c>
      <c r="X280" s="13" t="str">
        <f>IF($A280="","",[1]!thsiFinD("ths_adjustment_nv_fund",X$3,$A280))</f>
        <v/>
      </c>
      <c r="Y280" s="13" t="str">
        <f>IF($A280="","",[1]!thsiFinD("ths_adjustment_nv_fund",Y$3,$A280))</f>
        <v/>
      </c>
      <c r="Z280" s="13" t="str">
        <f>IF($A280="","",[1]!thsiFinD("ths_adjustment_nv_fund",Z$3,$A280))</f>
        <v/>
      </c>
      <c r="AA280" s="13" t="str">
        <f>IF($A280="","",[1]!thsiFinD("ths_adjustment_nv_fund",AA$3,$A280))</f>
        <v/>
      </c>
      <c r="AB280" s="13" t="str">
        <f>IF($A280="","",[1]!thsiFinD("ths_adjustment_nv_fund",AB$3,$A280))</f>
        <v/>
      </c>
    </row>
    <row r="281" spans="2:28">
      <c r="B281" s="13" t="str">
        <f>IF($A281="","",[1]!thsiFinD("ths_adjustment_nv_fund",B$3,$A281))</f>
        <v/>
      </c>
      <c r="C281" s="13" t="str">
        <f>IF($A281="","",[1]!thsiFinD("ths_adjustment_nv_fund",C$3,$A281))</f>
        <v/>
      </c>
      <c r="D281" s="13" t="str">
        <f>IF($A281="","",[1]!thsiFinD("ths_adjustment_nv_fund",D$3,$A281))</f>
        <v/>
      </c>
      <c r="E281" s="13" t="str">
        <f>IF($A281="","",[1]!thsiFinD("ths_adjustment_nv_fund",E$3,$A281))</f>
        <v/>
      </c>
      <c r="F281" s="13" t="str">
        <f>IF($A281="","",[1]!thsiFinD("ths_adjustment_nv_fund",F$3,$A281))</f>
        <v/>
      </c>
      <c r="G281" s="13" t="str">
        <f>IF($A281="","",[1]!thsiFinD("ths_adjustment_nv_fund",G$3,$A281))</f>
        <v/>
      </c>
      <c r="H281" s="13" t="str">
        <f>IF($A281="","",[1]!thsiFinD("ths_adjustment_nv_fund",H$3,$A281))</f>
        <v/>
      </c>
      <c r="I281" s="13" t="str">
        <f>IF($A281="","",[1]!thsiFinD("ths_adjustment_nv_fund",I$3,$A281))</f>
        <v/>
      </c>
      <c r="J281" s="13" t="str">
        <f>IF($A281="","",[1]!thsiFinD("ths_adjustment_nv_fund",J$3,$A281))</f>
        <v/>
      </c>
      <c r="K281" s="13" t="str">
        <f>IF($A281="","",[1]!thsiFinD("ths_adjustment_nv_fund",K$3,$A281))</f>
        <v/>
      </c>
      <c r="L281" s="13" t="str">
        <f>IF($A281="","",[1]!thsiFinD("ths_adjustment_nv_fund",L$3,$A281))</f>
        <v/>
      </c>
      <c r="M281" s="13" t="str">
        <f>IF($A281="","",[1]!thsiFinD("ths_adjustment_nv_fund",M$3,$A281))</f>
        <v/>
      </c>
      <c r="N281" s="13" t="str">
        <f>IF($A281="","",[1]!thsiFinD("ths_adjustment_nv_fund",N$3,$A281))</f>
        <v/>
      </c>
      <c r="O281" s="13" t="str">
        <f>IF($A281="","",[1]!thsiFinD("ths_adjustment_nv_fund",O$3,$A281))</f>
        <v/>
      </c>
      <c r="P281" s="13" t="str">
        <f>IF($A281="","",[1]!thsiFinD("ths_adjustment_nv_fund",P$3,$A281))</f>
        <v/>
      </c>
      <c r="Q281" s="13" t="str">
        <f>IF($A281="","",[1]!thsiFinD("ths_adjustment_nv_fund",Q$3,$A281))</f>
        <v/>
      </c>
      <c r="R281" s="13" t="str">
        <f>IF($A281="","",[1]!thsiFinD("ths_adjustment_nv_fund",R$3,$A281))</f>
        <v/>
      </c>
      <c r="S281" s="13" t="str">
        <f>IF($A281="","",[1]!thsiFinD("ths_adjustment_nv_fund",S$3,$A281))</f>
        <v/>
      </c>
      <c r="T281" s="13" t="str">
        <f>IF($A281="","",[1]!thsiFinD("ths_adjustment_nv_fund",T$3,$A281))</f>
        <v/>
      </c>
      <c r="U281" s="13" t="str">
        <f>IF($A281="","",[1]!thsiFinD("ths_adjustment_nv_fund",U$3,$A281))</f>
        <v/>
      </c>
      <c r="V281" s="13" t="str">
        <f>IF($A281="","",[1]!thsiFinD("ths_adjustment_nv_fund",V$3,$A281))</f>
        <v/>
      </c>
      <c r="W281" s="13" t="str">
        <f>IF($A281="","",[1]!thsiFinD("ths_adjustment_nv_fund",W$3,$A281))</f>
        <v/>
      </c>
      <c r="X281" s="13" t="str">
        <f>IF($A281="","",[1]!thsiFinD("ths_adjustment_nv_fund",X$3,$A281))</f>
        <v/>
      </c>
      <c r="Y281" s="13" t="str">
        <f>IF($A281="","",[1]!thsiFinD("ths_adjustment_nv_fund",Y$3,$A281))</f>
        <v/>
      </c>
      <c r="Z281" s="13" t="str">
        <f>IF($A281="","",[1]!thsiFinD("ths_adjustment_nv_fund",Z$3,$A281))</f>
        <v/>
      </c>
      <c r="AA281" s="13" t="str">
        <f>IF($A281="","",[1]!thsiFinD("ths_adjustment_nv_fund",AA$3,$A281))</f>
        <v/>
      </c>
      <c r="AB281" s="13" t="str">
        <f>IF($A281="","",[1]!thsiFinD("ths_adjustment_nv_fund",AB$3,$A281))</f>
        <v/>
      </c>
    </row>
    <row r="282" spans="2:28">
      <c r="B282" s="13" t="str">
        <f>IF($A282="","",[1]!thsiFinD("ths_adjustment_nv_fund",B$3,$A282))</f>
        <v/>
      </c>
      <c r="C282" s="13" t="str">
        <f>IF($A282="","",[1]!thsiFinD("ths_adjustment_nv_fund",C$3,$A282))</f>
        <v/>
      </c>
      <c r="D282" s="13" t="str">
        <f>IF($A282="","",[1]!thsiFinD("ths_adjustment_nv_fund",D$3,$A282))</f>
        <v/>
      </c>
      <c r="E282" s="13" t="str">
        <f>IF($A282="","",[1]!thsiFinD("ths_adjustment_nv_fund",E$3,$A282))</f>
        <v/>
      </c>
      <c r="F282" s="13" t="str">
        <f>IF($A282="","",[1]!thsiFinD("ths_adjustment_nv_fund",F$3,$A282))</f>
        <v/>
      </c>
      <c r="G282" s="13" t="str">
        <f>IF($A282="","",[1]!thsiFinD("ths_adjustment_nv_fund",G$3,$A282))</f>
        <v/>
      </c>
      <c r="H282" s="13" t="str">
        <f>IF($A282="","",[1]!thsiFinD("ths_adjustment_nv_fund",H$3,$A282))</f>
        <v/>
      </c>
      <c r="I282" s="13" t="str">
        <f>IF($A282="","",[1]!thsiFinD("ths_adjustment_nv_fund",I$3,$A282))</f>
        <v/>
      </c>
      <c r="J282" s="13" t="str">
        <f>IF($A282="","",[1]!thsiFinD("ths_adjustment_nv_fund",J$3,$A282))</f>
        <v/>
      </c>
      <c r="K282" s="13" t="str">
        <f>IF($A282="","",[1]!thsiFinD("ths_adjustment_nv_fund",K$3,$A282))</f>
        <v/>
      </c>
      <c r="L282" s="13" t="str">
        <f>IF($A282="","",[1]!thsiFinD("ths_adjustment_nv_fund",L$3,$A282))</f>
        <v/>
      </c>
      <c r="M282" s="13" t="str">
        <f>IF($A282="","",[1]!thsiFinD("ths_adjustment_nv_fund",M$3,$A282))</f>
        <v/>
      </c>
      <c r="N282" s="13" t="str">
        <f>IF($A282="","",[1]!thsiFinD("ths_adjustment_nv_fund",N$3,$A282))</f>
        <v/>
      </c>
      <c r="O282" s="13" t="str">
        <f>IF($A282="","",[1]!thsiFinD("ths_adjustment_nv_fund",O$3,$A282))</f>
        <v/>
      </c>
      <c r="P282" s="13" t="str">
        <f>IF($A282="","",[1]!thsiFinD("ths_adjustment_nv_fund",P$3,$A282))</f>
        <v/>
      </c>
      <c r="Q282" s="13" t="str">
        <f>IF($A282="","",[1]!thsiFinD("ths_adjustment_nv_fund",Q$3,$A282))</f>
        <v/>
      </c>
      <c r="R282" s="13" t="str">
        <f>IF($A282="","",[1]!thsiFinD("ths_adjustment_nv_fund",R$3,$A282))</f>
        <v/>
      </c>
      <c r="S282" s="13" t="str">
        <f>IF($A282="","",[1]!thsiFinD("ths_adjustment_nv_fund",S$3,$A282))</f>
        <v/>
      </c>
      <c r="T282" s="13" t="str">
        <f>IF($A282="","",[1]!thsiFinD("ths_adjustment_nv_fund",T$3,$A282))</f>
        <v/>
      </c>
      <c r="U282" s="13" t="str">
        <f>IF($A282="","",[1]!thsiFinD("ths_adjustment_nv_fund",U$3,$A282))</f>
        <v/>
      </c>
      <c r="V282" s="13" t="str">
        <f>IF($A282="","",[1]!thsiFinD("ths_adjustment_nv_fund",V$3,$A282))</f>
        <v/>
      </c>
      <c r="W282" s="13" t="str">
        <f>IF($A282="","",[1]!thsiFinD("ths_adjustment_nv_fund",W$3,$A282))</f>
        <v/>
      </c>
      <c r="X282" s="13" t="str">
        <f>IF($A282="","",[1]!thsiFinD("ths_adjustment_nv_fund",X$3,$A282))</f>
        <v/>
      </c>
      <c r="Y282" s="13" t="str">
        <f>IF($A282="","",[1]!thsiFinD("ths_adjustment_nv_fund",Y$3,$A282))</f>
        <v/>
      </c>
      <c r="Z282" s="13" t="str">
        <f>IF($A282="","",[1]!thsiFinD("ths_adjustment_nv_fund",Z$3,$A282))</f>
        <v/>
      </c>
      <c r="AA282" s="13" t="str">
        <f>IF($A282="","",[1]!thsiFinD("ths_adjustment_nv_fund",AA$3,$A282))</f>
        <v/>
      </c>
      <c r="AB282" s="13" t="str">
        <f>IF($A282="","",[1]!thsiFinD("ths_adjustment_nv_fund",AB$3,$A282))</f>
        <v/>
      </c>
    </row>
    <row r="283" spans="2:28">
      <c r="B283" s="13" t="str">
        <f>IF($A283="","",[1]!thsiFinD("ths_adjustment_nv_fund",B$3,$A283))</f>
        <v/>
      </c>
      <c r="C283" s="13" t="str">
        <f>IF($A283="","",[1]!thsiFinD("ths_adjustment_nv_fund",C$3,$A283))</f>
        <v/>
      </c>
      <c r="D283" s="13" t="str">
        <f>IF($A283="","",[1]!thsiFinD("ths_adjustment_nv_fund",D$3,$A283))</f>
        <v/>
      </c>
      <c r="E283" s="13" t="str">
        <f>IF($A283="","",[1]!thsiFinD("ths_adjustment_nv_fund",E$3,$A283))</f>
        <v/>
      </c>
      <c r="F283" s="13" t="str">
        <f>IF($A283="","",[1]!thsiFinD("ths_adjustment_nv_fund",F$3,$A283))</f>
        <v/>
      </c>
      <c r="G283" s="13" t="str">
        <f>IF($A283="","",[1]!thsiFinD("ths_adjustment_nv_fund",G$3,$A283))</f>
        <v/>
      </c>
      <c r="H283" s="13" t="str">
        <f>IF($A283="","",[1]!thsiFinD("ths_adjustment_nv_fund",H$3,$A283))</f>
        <v/>
      </c>
      <c r="I283" s="13" t="str">
        <f>IF($A283="","",[1]!thsiFinD("ths_adjustment_nv_fund",I$3,$A283))</f>
        <v/>
      </c>
      <c r="J283" s="13" t="str">
        <f>IF($A283="","",[1]!thsiFinD("ths_adjustment_nv_fund",J$3,$A283))</f>
        <v/>
      </c>
      <c r="K283" s="13" t="str">
        <f>IF($A283="","",[1]!thsiFinD("ths_adjustment_nv_fund",K$3,$A283))</f>
        <v/>
      </c>
      <c r="L283" s="13" t="str">
        <f>IF($A283="","",[1]!thsiFinD("ths_adjustment_nv_fund",L$3,$A283))</f>
        <v/>
      </c>
      <c r="M283" s="13" t="str">
        <f>IF($A283="","",[1]!thsiFinD("ths_adjustment_nv_fund",M$3,$A283))</f>
        <v/>
      </c>
      <c r="N283" s="13" t="str">
        <f>IF($A283="","",[1]!thsiFinD("ths_adjustment_nv_fund",N$3,$A283))</f>
        <v/>
      </c>
      <c r="O283" s="13" t="str">
        <f>IF($A283="","",[1]!thsiFinD("ths_adjustment_nv_fund",O$3,$A283))</f>
        <v/>
      </c>
      <c r="P283" s="13" t="str">
        <f>IF($A283="","",[1]!thsiFinD("ths_adjustment_nv_fund",P$3,$A283))</f>
        <v/>
      </c>
      <c r="Q283" s="13" t="str">
        <f>IF($A283="","",[1]!thsiFinD("ths_adjustment_nv_fund",Q$3,$A283))</f>
        <v/>
      </c>
      <c r="R283" s="13" t="str">
        <f>IF($A283="","",[1]!thsiFinD("ths_adjustment_nv_fund",R$3,$A283))</f>
        <v/>
      </c>
      <c r="S283" s="13" t="str">
        <f>IF($A283="","",[1]!thsiFinD("ths_adjustment_nv_fund",S$3,$A283))</f>
        <v/>
      </c>
      <c r="T283" s="13" t="str">
        <f>IF($A283="","",[1]!thsiFinD("ths_adjustment_nv_fund",T$3,$A283))</f>
        <v/>
      </c>
      <c r="U283" s="13" t="str">
        <f>IF($A283="","",[1]!thsiFinD("ths_adjustment_nv_fund",U$3,$A283))</f>
        <v/>
      </c>
      <c r="V283" s="13" t="str">
        <f>IF($A283="","",[1]!thsiFinD("ths_adjustment_nv_fund",V$3,$A283))</f>
        <v/>
      </c>
      <c r="W283" s="13" t="str">
        <f>IF($A283="","",[1]!thsiFinD("ths_adjustment_nv_fund",W$3,$A283))</f>
        <v/>
      </c>
      <c r="X283" s="13" t="str">
        <f>IF($A283="","",[1]!thsiFinD("ths_adjustment_nv_fund",X$3,$A283))</f>
        <v/>
      </c>
      <c r="Y283" s="13" t="str">
        <f>IF($A283="","",[1]!thsiFinD("ths_adjustment_nv_fund",Y$3,$A283))</f>
        <v/>
      </c>
      <c r="Z283" s="13" t="str">
        <f>IF($A283="","",[1]!thsiFinD("ths_adjustment_nv_fund",Z$3,$A283))</f>
        <v/>
      </c>
      <c r="AA283" s="13" t="str">
        <f>IF($A283="","",[1]!thsiFinD("ths_adjustment_nv_fund",AA$3,$A283))</f>
        <v/>
      </c>
      <c r="AB283" s="13" t="str">
        <f>IF($A283="","",[1]!thsiFinD("ths_adjustment_nv_fund",AB$3,$A283))</f>
        <v/>
      </c>
    </row>
    <row r="284" spans="2:28">
      <c r="B284" s="13" t="str">
        <f>IF($A284="","",[1]!thsiFinD("ths_adjustment_nv_fund",B$3,$A284))</f>
        <v/>
      </c>
      <c r="C284" s="13" t="str">
        <f>IF($A284="","",[1]!thsiFinD("ths_adjustment_nv_fund",C$3,$A284))</f>
        <v/>
      </c>
      <c r="D284" s="13" t="str">
        <f>IF($A284="","",[1]!thsiFinD("ths_adjustment_nv_fund",D$3,$A284))</f>
        <v/>
      </c>
      <c r="E284" s="13" t="str">
        <f>IF($A284="","",[1]!thsiFinD("ths_adjustment_nv_fund",E$3,$A284))</f>
        <v/>
      </c>
      <c r="F284" s="13" t="str">
        <f>IF($A284="","",[1]!thsiFinD("ths_adjustment_nv_fund",F$3,$A284))</f>
        <v/>
      </c>
      <c r="G284" s="13" t="str">
        <f>IF($A284="","",[1]!thsiFinD("ths_adjustment_nv_fund",G$3,$A284))</f>
        <v/>
      </c>
      <c r="H284" s="13" t="str">
        <f>IF($A284="","",[1]!thsiFinD("ths_adjustment_nv_fund",H$3,$A284))</f>
        <v/>
      </c>
      <c r="I284" s="13" t="str">
        <f>IF($A284="","",[1]!thsiFinD("ths_adjustment_nv_fund",I$3,$A284))</f>
        <v/>
      </c>
      <c r="J284" s="13" t="str">
        <f>IF($A284="","",[1]!thsiFinD("ths_adjustment_nv_fund",J$3,$A284))</f>
        <v/>
      </c>
      <c r="K284" s="13" t="str">
        <f>IF($A284="","",[1]!thsiFinD("ths_adjustment_nv_fund",K$3,$A284))</f>
        <v/>
      </c>
      <c r="L284" s="13" t="str">
        <f>IF($A284="","",[1]!thsiFinD("ths_adjustment_nv_fund",L$3,$A284))</f>
        <v/>
      </c>
      <c r="M284" s="13" t="str">
        <f>IF($A284="","",[1]!thsiFinD("ths_adjustment_nv_fund",M$3,$A284))</f>
        <v/>
      </c>
      <c r="N284" s="13" t="str">
        <f>IF($A284="","",[1]!thsiFinD("ths_adjustment_nv_fund",N$3,$A284))</f>
        <v/>
      </c>
      <c r="O284" s="13" t="str">
        <f>IF($A284="","",[1]!thsiFinD("ths_adjustment_nv_fund",O$3,$A284))</f>
        <v/>
      </c>
      <c r="P284" s="13" t="str">
        <f>IF($A284="","",[1]!thsiFinD("ths_adjustment_nv_fund",P$3,$A284))</f>
        <v/>
      </c>
      <c r="Q284" s="13" t="str">
        <f>IF($A284="","",[1]!thsiFinD("ths_adjustment_nv_fund",Q$3,$A284))</f>
        <v/>
      </c>
      <c r="R284" s="13" t="str">
        <f>IF($A284="","",[1]!thsiFinD("ths_adjustment_nv_fund",R$3,$A284))</f>
        <v/>
      </c>
      <c r="S284" s="13" t="str">
        <f>IF($A284="","",[1]!thsiFinD("ths_adjustment_nv_fund",S$3,$A284))</f>
        <v/>
      </c>
      <c r="T284" s="13" t="str">
        <f>IF($A284="","",[1]!thsiFinD("ths_adjustment_nv_fund",T$3,$A284))</f>
        <v/>
      </c>
      <c r="U284" s="13" t="str">
        <f>IF($A284="","",[1]!thsiFinD("ths_adjustment_nv_fund",U$3,$A284))</f>
        <v/>
      </c>
      <c r="V284" s="13" t="str">
        <f>IF($A284="","",[1]!thsiFinD("ths_adjustment_nv_fund",V$3,$A284))</f>
        <v/>
      </c>
      <c r="W284" s="13" t="str">
        <f>IF($A284="","",[1]!thsiFinD("ths_adjustment_nv_fund",W$3,$A284))</f>
        <v/>
      </c>
      <c r="X284" s="13" t="str">
        <f>IF($A284="","",[1]!thsiFinD("ths_adjustment_nv_fund",X$3,$A284))</f>
        <v/>
      </c>
      <c r="Y284" s="13" t="str">
        <f>IF($A284="","",[1]!thsiFinD("ths_adjustment_nv_fund",Y$3,$A284))</f>
        <v/>
      </c>
      <c r="Z284" s="13" t="str">
        <f>IF($A284="","",[1]!thsiFinD("ths_adjustment_nv_fund",Z$3,$A284))</f>
        <v/>
      </c>
      <c r="AA284" s="13" t="str">
        <f>IF($A284="","",[1]!thsiFinD("ths_adjustment_nv_fund",AA$3,$A284))</f>
        <v/>
      </c>
      <c r="AB284" s="13" t="str">
        <f>IF($A284="","",[1]!thsiFinD("ths_adjustment_nv_fund",AB$3,$A284))</f>
        <v/>
      </c>
    </row>
    <row r="285" spans="2:28">
      <c r="B285" s="13" t="str">
        <f>IF($A285="","",[1]!thsiFinD("ths_adjustment_nv_fund",B$3,$A285))</f>
        <v/>
      </c>
      <c r="C285" s="13" t="str">
        <f>IF($A285="","",[1]!thsiFinD("ths_adjustment_nv_fund",C$3,$A285))</f>
        <v/>
      </c>
      <c r="D285" s="13" t="str">
        <f>IF($A285="","",[1]!thsiFinD("ths_adjustment_nv_fund",D$3,$A285))</f>
        <v/>
      </c>
      <c r="E285" s="13" t="str">
        <f>IF($A285="","",[1]!thsiFinD("ths_adjustment_nv_fund",E$3,$A285))</f>
        <v/>
      </c>
      <c r="F285" s="13" t="str">
        <f>IF($A285="","",[1]!thsiFinD("ths_adjustment_nv_fund",F$3,$A285))</f>
        <v/>
      </c>
      <c r="G285" s="13" t="str">
        <f>IF($A285="","",[1]!thsiFinD("ths_adjustment_nv_fund",G$3,$A285))</f>
        <v/>
      </c>
      <c r="H285" s="13" t="str">
        <f>IF($A285="","",[1]!thsiFinD("ths_adjustment_nv_fund",H$3,$A285))</f>
        <v/>
      </c>
      <c r="I285" s="13" t="str">
        <f>IF($A285="","",[1]!thsiFinD("ths_adjustment_nv_fund",I$3,$A285))</f>
        <v/>
      </c>
      <c r="J285" s="13" t="str">
        <f>IF($A285="","",[1]!thsiFinD("ths_adjustment_nv_fund",J$3,$A285))</f>
        <v/>
      </c>
      <c r="K285" s="13" t="str">
        <f>IF($A285="","",[1]!thsiFinD("ths_adjustment_nv_fund",K$3,$A285))</f>
        <v/>
      </c>
      <c r="L285" s="13" t="str">
        <f>IF($A285="","",[1]!thsiFinD("ths_adjustment_nv_fund",L$3,$A285))</f>
        <v/>
      </c>
      <c r="M285" s="13" t="str">
        <f>IF($A285="","",[1]!thsiFinD("ths_adjustment_nv_fund",M$3,$A285))</f>
        <v/>
      </c>
      <c r="N285" s="13" t="str">
        <f>IF($A285="","",[1]!thsiFinD("ths_adjustment_nv_fund",N$3,$A285))</f>
        <v/>
      </c>
      <c r="O285" s="13" t="str">
        <f>IF($A285="","",[1]!thsiFinD("ths_adjustment_nv_fund",O$3,$A285))</f>
        <v/>
      </c>
      <c r="P285" s="13" t="str">
        <f>IF($A285="","",[1]!thsiFinD("ths_adjustment_nv_fund",P$3,$A285))</f>
        <v/>
      </c>
      <c r="Q285" s="13" t="str">
        <f>IF($A285="","",[1]!thsiFinD("ths_adjustment_nv_fund",Q$3,$A285))</f>
        <v/>
      </c>
      <c r="R285" s="13" t="str">
        <f>IF($A285="","",[1]!thsiFinD("ths_adjustment_nv_fund",R$3,$A285))</f>
        <v/>
      </c>
      <c r="S285" s="13" t="str">
        <f>IF($A285="","",[1]!thsiFinD("ths_adjustment_nv_fund",S$3,$A285))</f>
        <v/>
      </c>
      <c r="T285" s="13" t="str">
        <f>IF($A285="","",[1]!thsiFinD("ths_adjustment_nv_fund",T$3,$A285))</f>
        <v/>
      </c>
      <c r="U285" s="13" t="str">
        <f>IF($A285="","",[1]!thsiFinD("ths_adjustment_nv_fund",U$3,$A285))</f>
        <v/>
      </c>
      <c r="V285" s="13" t="str">
        <f>IF($A285="","",[1]!thsiFinD("ths_adjustment_nv_fund",V$3,$A285))</f>
        <v/>
      </c>
      <c r="W285" s="13" t="str">
        <f>IF($A285="","",[1]!thsiFinD("ths_adjustment_nv_fund",W$3,$A285))</f>
        <v/>
      </c>
      <c r="X285" s="13" t="str">
        <f>IF($A285="","",[1]!thsiFinD("ths_adjustment_nv_fund",X$3,$A285))</f>
        <v/>
      </c>
      <c r="Y285" s="13" t="str">
        <f>IF($A285="","",[1]!thsiFinD("ths_adjustment_nv_fund",Y$3,$A285))</f>
        <v/>
      </c>
      <c r="Z285" s="13" t="str">
        <f>IF($A285="","",[1]!thsiFinD("ths_adjustment_nv_fund",Z$3,$A285))</f>
        <v/>
      </c>
      <c r="AA285" s="13" t="str">
        <f>IF($A285="","",[1]!thsiFinD("ths_adjustment_nv_fund",AA$3,$A285))</f>
        <v/>
      </c>
      <c r="AB285" s="13" t="str">
        <f>IF($A285="","",[1]!thsiFinD("ths_adjustment_nv_fund",AB$3,$A285))</f>
        <v/>
      </c>
    </row>
    <row r="286" spans="2:28">
      <c r="B286" s="13" t="str">
        <f>IF($A286="","",[1]!thsiFinD("ths_adjustment_nv_fund",B$3,$A286))</f>
        <v/>
      </c>
      <c r="C286" s="13" t="str">
        <f>IF($A286="","",[1]!thsiFinD("ths_adjustment_nv_fund",C$3,$A286))</f>
        <v/>
      </c>
      <c r="D286" s="13" t="str">
        <f>IF($A286="","",[1]!thsiFinD("ths_adjustment_nv_fund",D$3,$A286))</f>
        <v/>
      </c>
      <c r="E286" s="13" t="str">
        <f>IF($A286="","",[1]!thsiFinD("ths_adjustment_nv_fund",E$3,$A286))</f>
        <v/>
      </c>
      <c r="F286" s="13" t="str">
        <f>IF($A286="","",[1]!thsiFinD("ths_adjustment_nv_fund",F$3,$A286))</f>
        <v/>
      </c>
      <c r="G286" s="13" t="str">
        <f>IF($A286="","",[1]!thsiFinD("ths_adjustment_nv_fund",G$3,$A286))</f>
        <v/>
      </c>
      <c r="H286" s="13" t="str">
        <f>IF($A286="","",[1]!thsiFinD("ths_adjustment_nv_fund",H$3,$A286))</f>
        <v/>
      </c>
      <c r="I286" s="13" t="str">
        <f>IF($A286="","",[1]!thsiFinD("ths_adjustment_nv_fund",I$3,$A286))</f>
        <v/>
      </c>
      <c r="J286" s="13" t="str">
        <f>IF($A286="","",[1]!thsiFinD("ths_adjustment_nv_fund",J$3,$A286))</f>
        <v/>
      </c>
      <c r="K286" s="13" t="str">
        <f>IF($A286="","",[1]!thsiFinD("ths_adjustment_nv_fund",K$3,$A286))</f>
        <v/>
      </c>
      <c r="L286" s="13" t="str">
        <f>IF($A286="","",[1]!thsiFinD("ths_adjustment_nv_fund",L$3,$A286))</f>
        <v/>
      </c>
      <c r="M286" s="13" t="str">
        <f>IF($A286="","",[1]!thsiFinD("ths_adjustment_nv_fund",M$3,$A286))</f>
        <v/>
      </c>
      <c r="N286" s="13" t="str">
        <f>IF($A286="","",[1]!thsiFinD("ths_adjustment_nv_fund",N$3,$A286))</f>
        <v/>
      </c>
      <c r="O286" s="13" t="str">
        <f>IF($A286="","",[1]!thsiFinD("ths_adjustment_nv_fund",O$3,$A286))</f>
        <v/>
      </c>
      <c r="P286" s="13" t="str">
        <f>IF($A286="","",[1]!thsiFinD("ths_adjustment_nv_fund",P$3,$A286))</f>
        <v/>
      </c>
      <c r="Q286" s="13" t="str">
        <f>IF($A286="","",[1]!thsiFinD("ths_adjustment_nv_fund",Q$3,$A286))</f>
        <v/>
      </c>
      <c r="R286" s="13" t="str">
        <f>IF($A286="","",[1]!thsiFinD("ths_adjustment_nv_fund",R$3,$A286))</f>
        <v/>
      </c>
      <c r="S286" s="13" t="str">
        <f>IF($A286="","",[1]!thsiFinD("ths_adjustment_nv_fund",S$3,$A286))</f>
        <v/>
      </c>
      <c r="T286" s="13" t="str">
        <f>IF($A286="","",[1]!thsiFinD("ths_adjustment_nv_fund",T$3,$A286))</f>
        <v/>
      </c>
      <c r="U286" s="13" t="str">
        <f>IF($A286="","",[1]!thsiFinD("ths_adjustment_nv_fund",U$3,$A286))</f>
        <v/>
      </c>
      <c r="V286" s="13" t="str">
        <f>IF($A286="","",[1]!thsiFinD("ths_adjustment_nv_fund",V$3,$A286))</f>
        <v/>
      </c>
      <c r="W286" s="13" t="str">
        <f>IF($A286="","",[1]!thsiFinD("ths_adjustment_nv_fund",W$3,$A286))</f>
        <v/>
      </c>
      <c r="X286" s="13" t="str">
        <f>IF($A286="","",[1]!thsiFinD("ths_adjustment_nv_fund",X$3,$A286))</f>
        <v/>
      </c>
      <c r="Y286" s="13" t="str">
        <f>IF($A286="","",[1]!thsiFinD("ths_adjustment_nv_fund",Y$3,$A286))</f>
        <v/>
      </c>
      <c r="Z286" s="13" t="str">
        <f>IF($A286="","",[1]!thsiFinD("ths_adjustment_nv_fund",Z$3,$A286))</f>
        <v/>
      </c>
      <c r="AA286" s="13" t="str">
        <f>IF($A286="","",[1]!thsiFinD("ths_adjustment_nv_fund",AA$3,$A286))</f>
        <v/>
      </c>
      <c r="AB286" s="13" t="str">
        <f>IF($A286="","",[1]!thsiFinD("ths_adjustment_nv_fund",AB$3,$A286))</f>
        <v/>
      </c>
    </row>
    <row r="287" spans="2:28">
      <c r="B287" s="13" t="str">
        <f>IF($A287="","",[1]!thsiFinD("ths_adjustment_nv_fund",B$3,$A287))</f>
        <v/>
      </c>
      <c r="C287" s="13" t="str">
        <f>IF($A287="","",[1]!thsiFinD("ths_adjustment_nv_fund",C$3,$A287))</f>
        <v/>
      </c>
      <c r="D287" s="13" t="str">
        <f>IF($A287="","",[1]!thsiFinD("ths_adjustment_nv_fund",D$3,$A287))</f>
        <v/>
      </c>
      <c r="E287" s="13" t="str">
        <f>IF($A287="","",[1]!thsiFinD("ths_adjustment_nv_fund",E$3,$A287))</f>
        <v/>
      </c>
      <c r="F287" s="13" t="str">
        <f>IF($A287="","",[1]!thsiFinD("ths_adjustment_nv_fund",F$3,$A287))</f>
        <v/>
      </c>
      <c r="G287" s="13" t="str">
        <f>IF($A287="","",[1]!thsiFinD("ths_adjustment_nv_fund",G$3,$A287))</f>
        <v/>
      </c>
      <c r="H287" s="13" t="str">
        <f>IF($A287="","",[1]!thsiFinD("ths_adjustment_nv_fund",H$3,$A287))</f>
        <v/>
      </c>
      <c r="I287" s="13" t="str">
        <f>IF($A287="","",[1]!thsiFinD("ths_adjustment_nv_fund",I$3,$A287))</f>
        <v/>
      </c>
      <c r="J287" s="13" t="str">
        <f>IF($A287="","",[1]!thsiFinD("ths_adjustment_nv_fund",J$3,$A287))</f>
        <v/>
      </c>
      <c r="K287" s="13" t="str">
        <f>IF($A287="","",[1]!thsiFinD("ths_adjustment_nv_fund",K$3,$A287))</f>
        <v/>
      </c>
      <c r="L287" s="13" t="str">
        <f>IF($A287="","",[1]!thsiFinD("ths_adjustment_nv_fund",L$3,$A287))</f>
        <v/>
      </c>
      <c r="M287" s="13" t="str">
        <f>IF($A287="","",[1]!thsiFinD("ths_adjustment_nv_fund",M$3,$A287))</f>
        <v/>
      </c>
      <c r="N287" s="13" t="str">
        <f>IF($A287="","",[1]!thsiFinD("ths_adjustment_nv_fund",N$3,$A287))</f>
        <v/>
      </c>
      <c r="O287" s="13" t="str">
        <f>IF($A287="","",[1]!thsiFinD("ths_adjustment_nv_fund",O$3,$A287))</f>
        <v/>
      </c>
      <c r="P287" s="13" t="str">
        <f>IF($A287="","",[1]!thsiFinD("ths_adjustment_nv_fund",P$3,$A287))</f>
        <v/>
      </c>
      <c r="Q287" s="13" t="str">
        <f>IF($A287="","",[1]!thsiFinD("ths_adjustment_nv_fund",Q$3,$A287))</f>
        <v/>
      </c>
      <c r="R287" s="13" t="str">
        <f>IF($A287="","",[1]!thsiFinD("ths_adjustment_nv_fund",R$3,$A287))</f>
        <v/>
      </c>
      <c r="S287" s="13" t="str">
        <f>IF($A287="","",[1]!thsiFinD("ths_adjustment_nv_fund",S$3,$A287))</f>
        <v/>
      </c>
      <c r="T287" s="13" t="str">
        <f>IF($A287="","",[1]!thsiFinD("ths_adjustment_nv_fund",T$3,$A287))</f>
        <v/>
      </c>
      <c r="U287" s="13" t="str">
        <f>IF($A287="","",[1]!thsiFinD("ths_adjustment_nv_fund",U$3,$A287))</f>
        <v/>
      </c>
      <c r="V287" s="13" t="str">
        <f>IF($A287="","",[1]!thsiFinD("ths_adjustment_nv_fund",V$3,$A287))</f>
        <v/>
      </c>
      <c r="W287" s="13" t="str">
        <f>IF($A287="","",[1]!thsiFinD("ths_adjustment_nv_fund",W$3,$A287))</f>
        <v/>
      </c>
      <c r="X287" s="13" t="str">
        <f>IF($A287="","",[1]!thsiFinD("ths_adjustment_nv_fund",X$3,$A287))</f>
        <v/>
      </c>
      <c r="Y287" s="13" t="str">
        <f>IF($A287="","",[1]!thsiFinD("ths_adjustment_nv_fund",Y$3,$A287))</f>
        <v/>
      </c>
      <c r="Z287" s="13" t="str">
        <f>IF($A287="","",[1]!thsiFinD("ths_adjustment_nv_fund",Z$3,$A287))</f>
        <v/>
      </c>
      <c r="AA287" s="13" t="str">
        <f>IF($A287="","",[1]!thsiFinD("ths_adjustment_nv_fund",AA$3,$A287))</f>
        <v/>
      </c>
      <c r="AB287" s="13" t="str">
        <f>IF($A287="","",[1]!thsiFinD("ths_adjustment_nv_fund",AB$3,$A287))</f>
        <v/>
      </c>
    </row>
    <row r="288" spans="2:28">
      <c r="B288" s="13" t="str">
        <f>IF($A288="","",[1]!thsiFinD("ths_adjustment_nv_fund",B$3,$A288))</f>
        <v/>
      </c>
      <c r="C288" s="13" t="str">
        <f>IF($A288="","",[1]!thsiFinD("ths_adjustment_nv_fund",C$3,$A288))</f>
        <v/>
      </c>
      <c r="D288" s="13" t="str">
        <f>IF($A288="","",[1]!thsiFinD("ths_adjustment_nv_fund",D$3,$A288))</f>
        <v/>
      </c>
      <c r="E288" s="13" t="str">
        <f>IF($A288="","",[1]!thsiFinD("ths_adjustment_nv_fund",E$3,$A288))</f>
        <v/>
      </c>
      <c r="F288" s="13" t="str">
        <f>IF($A288="","",[1]!thsiFinD("ths_adjustment_nv_fund",F$3,$A288))</f>
        <v/>
      </c>
      <c r="G288" s="13" t="str">
        <f>IF($A288="","",[1]!thsiFinD("ths_adjustment_nv_fund",G$3,$A288))</f>
        <v/>
      </c>
      <c r="H288" s="13" t="str">
        <f>IF($A288="","",[1]!thsiFinD("ths_adjustment_nv_fund",H$3,$A288))</f>
        <v/>
      </c>
      <c r="I288" s="13" t="str">
        <f>IF($A288="","",[1]!thsiFinD("ths_adjustment_nv_fund",I$3,$A288))</f>
        <v/>
      </c>
      <c r="J288" s="13" t="str">
        <f>IF($A288="","",[1]!thsiFinD("ths_adjustment_nv_fund",J$3,$A288))</f>
        <v/>
      </c>
      <c r="K288" s="13" t="str">
        <f>IF($A288="","",[1]!thsiFinD("ths_adjustment_nv_fund",K$3,$A288))</f>
        <v/>
      </c>
      <c r="L288" s="13" t="str">
        <f>IF($A288="","",[1]!thsiFinD("ths_adjustment_nv_fund",L$3,$A288))</f>
        <v/>
      </c>
      <c r="M288" s="13" t="str">
        <f>IF($A288="","",[1]!thsiFinD("ths_adjustment_nv_fund",M$3,$A288))</f>
        <v/>
      </c>
      <c r="N288" s="13" t="str">
        <f>IF($A288="","",[1]!thsiFinD("ths_adjustment_nv_fund",N$3,$A288))</f>
        <v/>
      </c>
      <c r="O288" s="13" t="str">
        <f>IF($A288="","",[1]!thsiFinD("ths_adjustment_nv_fund",O$3,$A288))</f>
        <v/>
      </c>
      <c r="P288" s="13" t="str">
        <f>IF($A288="","",[1]!thsiFinD("ths_adjustment_nv_fund",P$3,$A288))</f>
        <v/>
      </c>
      <c r="Q288" s="13" t="str">
        <f>IF($A288="","",[1]!thsiFinD("ths_adjustment_nv_fund",Q$3,$A288))</f>
        <v/>
      </c>
      <c r="R288" s="13" t="str">
        <f>IF($A288="","",[1]!thsiFinD("ths_adjustment_nv_fund",R$3,$A288))</f>
        <v/>
      </c>
      <c r="S288" s="13" t="str">
        <f>IF($A288="","",[1]!thsiFinD("ths_adjustment_nv_fund",S$3,$A288))</f>
        <v/>
      </c>
      <c r="T288" s="13" t="str">
        <f>IF($A288="","",[1]!thsiFinD("ths_adjustment_nv_fund",T$3,$A288))</f>
        <v/>
      </c>
      <c r="U288" s="13" t="str">
        <f>IF($A288="","",[1]!thsiFinD("ths_adjustment_nv_fund",U$3,$A288))</f>
        <v/>
      </c>
      <c r="V288" s="13" t="str">
        <f>IF($A288="","",[1]!thsiFinD("ths_adjustment_nv_fund",V$3,$A288))</f>
        <v/>
      </c>
      <c r="W288" s="13" t="str">
        <f>IF($A288="","",[1]!thsiFinD("ths_adjustment_nv_fund",W$3,$A288))</f>
        <v/>
      </c>
      <c r="X288" s="13" t="str">
        <f>IF($A288="","",[1]!thsiFinD("ths_adjustment_nv_fund",X$3,$A288))</f>
        <v/>
      </c>
      <c r="Y288" s="13" t="str">
        <f>IF($A288="","",[1]!thsiFinD("ths_adjustment_nv_fund",Y$3,$A288))</f>
        <v/>
      </c>
      <c r="Z288" s="13" t="str">
        <f>IF($A288="","",[1]!thsiFinD("ths_adjustment_nv_fund",Z$3,$A288))</f>
        <v/>
      </c>
      <c r="AA288" s="13" t="str">
        <f>IF($A288="","",[1]!thsiFinD("ths_adjustment_nv_fund",AA$3,$A288))</f>
        <v/>
      </c>
      <c r="AB288" s="13" t="str">
        <f>IF($A288="","",[1]!thsiFinD("ths_adjustment_nv_fund",AB$3,$A288))</f>
        <v/>
      </c>
    </row>
    <row r="289" spans="2:28">
      <c r="B289" s="13" t="str">
        <f>IF($A289="","",[1]!thsiFinD("ths_adjustment_nv_fund",B$3,$A289))</f>
        <v/>
      </c>
      <c r="C289" s="13" t="str">
        <f>IF($A289="","",[1]!thsiFinD("ths_adjustment_nv_fund",C$3,$A289))</f>
        <v/>
      </c>
      <c r="D289" s="13" t="str">
        <f>IF($A289="","",[1]!thsiFinD("ths_adjustment_nv_fund",D$3,$A289))</f>
        <v/>
      </c>
      <c r="E289" s="13" t="str">
        <f>IF($A289="","",[1]!thsiFinD("ths_adjustment_nv_fund",E$3,$A289))</f>
        <v/>
      </c>
      <c r="F289" s="13" t="str">
        <f>IF($A289="","",[1]!thsiFinD("ths_adjustment_nv_fund",F$3,$A289))</f>
        <v/>
      </c>
      <c r="G289" s="13" t="str">
        <f>IF($A289="","",[1]!thsiFinD("ths_adjustment_nv_fund",G$3,$A289))</f>
        <v/>
      </c>
      <c r="H289" s="13" t="str">
        <f>IF($A289="","",[1]!thsiFinD("ths_adjustment_nv_fund",H$3,$A289))</f>
        <v/>
      </c>
      <c r="I289" s="13" t="str">
        <f>IF($A289="","",[1]!thsiFinD("ths_adjustment_nv_fund",I$3,$A289))</f>
        <v/>
      </c>
      <c r="J289" s="13" t="str">
        <f>IF($A289="","",[1]!thsiFinD("ths_adjustment_nv_fund",J$3,$A289))</f>
        <v/>
      </c>
      <c r="K289" s="13" t="str">
        <f>IF($A289="","",[1]!thsiFinD("ths_adjustment_nv_fund",K$3,$A289))</f>
        <v/>
      </c>
      <c r="L289" s="13" t="str">
        <f>IF($A289="","",[1]!thsiFinD("ths_adjustment_nv_fund",L$3,$A289))</f>
        <v/>
      </c>
      <c r="M289" s="13" t="str">
        <f>IF($A289="","",[1]!thsiFinD("ths_adjustment_nv_fund",M$3,$A289))</f>
        <v/>
      </c>
      <c r="N289" s="13" t="str">
        <f>IF($A289="","",[1]!thsiFinD("ths_adjustment_nv_fund",N$3,$A289))</f>
        <v/>
      </c>
      <c r="O289" s="13" t="str">
        <f>IF($A289="","",[1]!thsiFinD("ths_adjustment_nv_fund",O$3,$A289))</f>
        <v/>
      </c>
      <c r="P289" s="13" t="str">
        <f>IF($A289="","",[1]!thsiFinD("ths_adjustment_nv_fund",P$3,$A289))</f>
        <v/>
      </c>
      <c r="Q289" s="13" t="str">
        <f>IF($A289="","",[1]!thsiFinD("ths_adjustment_nv_fund",Q$3,$A289))</f>
        <v/>
      </c>
      <c r="R289" s="13" t="str">
        <f>IF($A289="","",[1]!thsiFinD("ths_adjustment_nv_fund",R$3,$A289))</f>
        <v/>
      </c>
      <c r="S289" s="13" t="str">
        <f>IF($A289="","",[1]!thsiFinD("ths_adjustment_nv_fund",S$3,$A289))</f>
        <v/>
      </c>
      <c r="T289" s="13" t="str">
        <f>IF($A289="","",[1]!thsiFinD("ths_adjustment_nv_fund",T$3,$A289))</f>
        <v/>
      </c>
      <c r="U289" s="13" t="str">
        <f>IF($A289="","",[1]!thsiFinD("ths_adjustment_nv_fund",U$3,$A289))</f>
        <v/>
      </c>
      <c r="V289" s="13" t="str">
        <f>IF($A289="","",[1]!thsiFinD("ths_adjustment_nv_fund",V$3,$A289))</f>
        <v/>
      </c>
      <c r="W289" s="13" t="str">
        <f>IF($A289="","",[1]!thsiFinD("ths_adjustment_nv_fund",W$3,$A289))</f>
        <v/>
      </c>
      <c r="X289" s="13" t="str">
        <f>IF($A289="","",[1]!thsiFinD("ths_adjustment_nv_fund",X$3,$A289))</f>
        <v/>
      </c>
      <c r="Y289" s="13" t="str">
        <f>IF($A289="","",[1]!thsiFinD("ths_adjustment_nv_fund",Y$3,$A289))</f>
        <v/>
      </c>
      <c r="Z289" s="13" t="str">
        <f>IF($A289="","",[1]!thsiFinD("ths_adjustment_nv_fund",Z$3,$A289))</f>
        <v/>
      </c>
      <c r="AA289" s="13" t="str">
        <f>IF($A289="","",[1]!thsiFinD("ths_adjustment_nv_fund",AA$3,$A289))</f>
        <v/>
      </c>
      <c r="AB289" s="13" t="str">
        <f>IF($A289="","",[1]!thsiFinD("ths_adjustment_nv_fund",AB$3,$A289))</f>
        <v/>
      </c>
    </row>
    <row r="290" spans="2:28">
      <c r="B290" s="13" t="str">
        <f>IF($A290="","",[1]!thsiFinD("ths_adjustment_nv_fund",B$3,$A290))</f>
        <v/>
      </c>
      <c r="C290" s="13" t="str">
        <f>IF($A290="","",[1]!thsiFinD("ths_adjustment_nv_fund",C$3,$A290))</f>
        <v/>
      </c>
      <c r="D290" s="13" t="str">
        <f>IF($A290="","",[1]!thsiFinD("ths_adjustment_nv_fund",D$3,$A290))</f>
        <v/>
      </c>
      <c r="E290" s="13" t="str">
        <f>IF($A290="","",[1]!thsiFinD("ths_adjustment_nv_fund",E$3,$A290))</f>
        <v/>
      </c>
      <c r="F290" s="13" t="str">
        <f>IF($A290="","",[1]!thsiFinD("ths_adjustment_nv_fund",F$3,$A290))</f>
        <v/>
      </c>
      <c r="G290" s="13" t="str">
        <f>IF($A290="","",[1]!thsiFinD("ths_adjustment_nv_fund",G$3,$A290))</f>
        <v/>
      </c>
      <c r="H290" s="13" t="str">
        <f>IF($A290="","",[1]!thsiFinD("ths_adjustment_nv_fund",H$3,$A290))</f>
        <v/>
      </c>
      <c r="I290" s="13" t="str">
        <f>IF($A290="","",[1]!thsiFinD("ths_adjustment_nv_fund",I$3,$A290))</f>
        <v/>
      </c>
      <c r="J290" s="13" t="str">
        <f>IF($A290="","",[1]!thsiFinD("ths_adjustment_nv_fund",J$3,$A290))</f>
        <v/>
      </c>
      <c r="K290" s="13" t="str">
        <f>IF($A290="","",[1]!thsiFinD("ths_adjustment_nv_fund",K$3,$A290))</f>
        <v/>
      </c>
      <c r="L290" s="13" t="str">
        <f>IF($A290="","",[1]!thsiFinD("ths_adjustment_nv_fund",L$3,$A290))</f>
        <v/>
      </c>
      <c r="M290" s="13" t="str">
        <f>IF($A290="","",[1]!thsiFinD("ths_adjustment_nv_fund",M$3,$A290))</f>
        <v/>
      </c>
      <c r="N290" s="13" t="str">
        <f>IF($A290="","",[1]!thsiFinD("ths_adjustment_nv_fund",N$3,$A290))</f>
        <v/>
      </c>
      <c r="O290" s="13" t="str">
        <f>IF($A290="","",[1]!thsiFinD("ths_adjustment_nv_fund",O$3,$A290))</f>
        <v/>
      </c>
      <c r="P290" s="13" t="str">
        <f>IF($A290="","",[1]!thsiFinD("ths_adjustment_nv_fund",P$3,$A290))</f>
        <v/>
      </c>
      <c r="Q290" s="13" t="str">
        <f>IF($A290="","",[1]!thsiFinD("ths_adjustment_nv_fund",Q$3,$A290))</f>
        <v/>
      </c>
      <c r="R290" s="13" t="str">
        <f>IF($A290="","",[1]!thsiFinD("ths_adjustment_nv_fund",R$3,$A290))</f>
        <v/>
      </c>
      <c r="S290" s="13" t="str">
        <f>IF($A290="","",[1]!thsiFinD("ths_adjustment_nv_fund",S$3,$A290))</f>
        <v/>
      </c>
      <c r="T290" s="13" t="str">
        <f>IF($A290="","",[1]!thsiFinD("ths_adjustment_nv_fund",T$3,$A290))</f>
        <v/>
      </c>
      <c r="U290" s="13" t="str">
        <f>IF($A290="","",[1]!thsiFinD("ths_adjustment_nv_fund",U$3,$A290))</f>
        <v/>
      </c>
      <c r="V290" s="13" t="str">
        <f>IF($A290="","",[1]!thsiFinD("ths_adjustment_nv_fund",V$3,$A290))</f>
        <v/>
      </c>
      <c r="W290" s="13" t="str">
        <f>IF($A290="","",[1]!thsiFinD("ths_adjustment_nv_fund",W$3,$A290))</f>
        <v/>
      </c>
      <c r="X290" s="13" t="str">
        <f>IF($A290="","",[1]!thsiFinD("ths_adjustment_nv_fund",X$3,$A290))</f>
        <v/>
      </c>
      <c r="Y290" s="13" t="str">
        <f>IF($A290="","",[1]!thsiFinD("ths_adjustment_nv_fund",Y$3,$A290))</f>
        <v/>
      </c>
      <c r="Z290" s="13" t="str">
        <f>IF($A290="","",[1]!thsiFinD("ths_adjustment_nv_fund",Z$3,$A290))</f>
        <v/>
      </c>
      <c r="AA290" s="13" t="str">
        <f>IF($A290="","",[1]!thsiFinD("ths_adjustment_nv_fund",AA$3,$A290))</f>
        <v/>
      </c>
      <c r="AB290" s="13" t="str">
        <f>IF($A290="","",[1]!thsiFinD("ths_adjustment_nv_fund",AB$3,$A290))</f>
        <v/>
      </c>
    </row>
    <row r="291" spans="2:28">
      <c r="B291" s="13" t="str">
        <f>IF($A291="","",[1]!thsiFinD("ths_adjustment_nv_fund",B$3,$A291))</f>
        <v/>
      </c>
      <c r="C291" s="13" t="str">
        <f>IF($A291="","",[1]!thsiFinD("ths_adjustment_nv_fund",C$3,$A291))</f>
        <v/>
      </c>
      <c r="D291" s="13" t="str">
        <f>IF($A291="","",[1]!thsiFinD("ths_adjustment_nv_fund",D$3,$A291))</f>
        <v/>
      </c>
      <c r="E291" s="13" t="str">
        <f>IF($A291="","",[1]!thsiFinD("ths_adjustment_nv_fund",E$3,$A291))</f>
        <v/>
      </c>
      <c r="F291" s="13" t="str">
        <f>IF($A291="","",[1]!thsiFinD("ths_adjustment_nv_fund",F$3,$A291))</f>
        <v/>
      </c>
      <c r="G291" s="13" t="str">
        <f>IF($A291="","",[1]!thsiFinD("ths_adjustment_nv_fund",G$3,$A291))</f>
        <v/>
      </c>
      <c r="H291" s="13" t="str">
        <f>IF($A291="","",[1]!thsiFinD("ths_adjustment_nv_fund",H$3,$A291))</f>
        <v/>
      </c>
      <c r="I291" s="13" t="str">
        <f>IF($A291="","",[1]!thsiFinD("ths_adjustment_nv_fund",I$3,$A291))</f>
        <v/>
      </c>
      <c r="J291" s="13" t="str">
        <f>IF($A291="","",[1]!thsiFinD("ths_adjustment_nv_fund",J$3,$A291))</f>
        <v/>
      </c>
      <c r="K291" s="13" t="str">
        <f>IF($A291="","",[1]!thsiFinD("ths_adjustment_nv_fund",K$3,$A291))</f>
        <v/>
      </c>
      <c r="L291" s="13" t="str">
        <f>IF($A291="","",[1]!thsiFinD("ths_adjustment_nv_fund",L$3,$A291))</f>
        <v/>
      </c>
      <c r="M291" s="13" t="str">
        <f>IF($A291="","",[1]!thsiFinD("ths_adjustment_nv_fund",M$3,$A291))</f>
        <v/>
      </c>
      <c r="N291" s="13" t="str">
        <f>IF($A291="","",[1]!thsiFinD("ths_adjustment_nv_fund",N$3,$A291))</f>
        <v/>
      </c>
      <c r="O291" s="13" t="str">
        <f>IF($A291="","",[1]!thsiFinD("ths_adjustment_nv_fund",O$3,$A291))</f>
        <v/>
      </c>
      <c r="P291" s="13" t="str">
        <f>IF($A291="","",[1]!thsiFinD("ths_adjustment_nv_fund",P$3,$A291))</f>
        <v/>
      </c>
      <c r="Q291" s="13" t="str">
        <f>IF($A291="","",[1]!thsiFinD("ths_adjustment_nv_fund",Q$3,$A291))</f>
        <v/>
      </c>
      <c r="R291" s="13" t="str">
        <f>IF($A291="","",[1]!thsiFinD("ths_adjustment_nv_fund",R$3,$A291))</f>
        <v/>
      </c>
      <c r="S291" s="13" t="str">
        <f>IF($A291="","",[1]!thsiFinD("ths_adjustment_nv_fund",S$3,$A291))</f>
        <v/>
      </c>
      <c r="T291" s="13" t="str">
        <f>IF($A291="","",[1]!thsiFinD("ths_adjustment_nv_fund",T$3,$A291))</f>
        <v/>
      </c>
      <c r="U291" s="13" t="str">
        <f>IF($A291="","",[1]!thsiFinD("ths_adjustment_nv_fund",U$3,$A291))</f>
        <v/>
      </c>
      <c r="V291" s="13" t="str">
        <f>IF($A291="","",[1]!thsiFinD("ths_adjustment_nv_fund",V$3,$A291))</f>
        <v/>
      </c>
      <c r="W291" s="13" t="str">
        <f>IF($A291="","",[1]!thsiFinD("ths_adjustment_nv_fund",W$3,$A291))</f>
        <v/>
      </c>
      <c r="X291" s="13" t="str">
        <f>IF($A291="","",[1]!thsiFinD("ths_adjustment_nv_fund",X$3,$A291))</f>
        <v/>
      </c>
      <c r="Y291" s="13" t="str">
        <f>IF($A291="","",[1]!thsiFinD("ths_adjustment_nv_fund",Y$3,$A291))</f>
        <v/>
      </c>
      <c r="Z291" s="13" t="str">
        <f>IF($A291="","",[1]!thsiFinD("ths_adjustment_nv_fund",Z$3,$A291))</f>
        <v/>
      </c>
      <c r="AA291" s="13" t="str">
        <f>IF($A291="","",[1]!thsiFinD("ths_adjustment_nv_fund",AA$3,$A291))</f>
        <v/>
      </c>
      <c r="AB291" s="13" t="str">
        <f>IF($A291="","",[1]!thsiFinD("ths_adjustment_nv_fund",AB$3,$A291))</f>
        <v/>
      </c>
    </row>
    <row r="292" spans="2:28">
      <c r="B292" s="13" t="str">
        <f>IF($A292="","",[1]!thsiFinD("ths_adjustment_nv_fund",B$3,$A292))</f>
        <v/>
      </c>
      <c r="C292" s="13" t="str">
        <f>IF($A292="","",[1]!thsiFinD("ths_adjustment_nv_fund",C$3,$A292))</f>
        <v/>
      </c>
      <c r="D292" s="13" t="str">
        <f>IF($A292="","",[1]!thsiFinD("ths_adjustment_nv_fund",D$3,$A292))</f>
        <v/>
      </c>
      <c r="E292" s="13" t="str">
        <f>IF($A292="","",[1]!thsiFinD("ths_adjustment_nv_fund",E$3,$A292))</f>
        <v/>
      </c>
      <c r="F292" s="13" t="str">
        <f>IF($A292="","",[1]!thsiFinD("ths_adjustment_nv_fund",F$3,$A292))</f>
        <v/>
      </c>
      <c r="G292" s="13" t="str">
        <f>IF($A292="","",[1]!thsiFinD("ths_adjustment_nv_fund",G$3,$A292))</f>
        <v/>
      </c>
      <c r="H292" s="13" t="str">
        <f>IF($A292="","",[1]!thsiFinD("ths_adjustment_nv_fund",H$3,$A292))</f>
        <v/>
      </c>
      <c r="I292" s="13" t="str">
        <f>IF($A292="","",[1]!thsiFinD("ths_adjustment_nv_fund",I$3,$A292))</f>
        <v/>
      </c>
      <c r="J292" s="13" t="str">
        <f>IF($A292="","",[1]!thsiFinD("ths_adjustment_nv_fund",J$3,$A292))</f>
        <v/>
      </c>
      <c r="K292" s="13" t="str">
        <f>IF($A292="","",[1]!thsiFinD("ths_adjustment_nv_fund",K$3,$A292))</f>
        <v/>
      </c>
      <c r="L292" s="13" t="str">
        <f>IF($A292="","",[1]!thsiFinD("ths_adjustment_nv_fund",L$3,$A292))</f>
        <v/>
      </c>
      <c r="M292" s="13" t="str">
        <f>IF($A292="","",[1]!thsiFinD("ths_adjustment_nv_fund",M$3,$A292))</f>
        <v/>
      </c>
      <c r="N292" s="13" t="str">
        <f>IF($A292="","",[1]!thsiFinD("ths_adjustment_nv_fund",N$3,$A292))</f>
        <v/>
      </c>
      <c r="O292" s="13" t="str">
        <f>IF($A292="","",[1]!thsiFinD("ths_adjustment_nv_fund",O$3,$A292))</f>
        <v/>
      </c>
      <c r="P292" s="13" t="str">
        <f>IF($A292="","",[1]!thsiFinD("ths_adjustment_nv_fund",P$3,$A292))</f>
        <v/>
      </c>
      <c r="Q292" s="13" t="str">
        <f>IF($A292="","",[1]!thsiFinD("ths_adjustment_nv_fund",Q$3,$A292))</f>
        <v/>
      </c>
      <c r="R292" s="13" t="str">
        <f>IF($A292="","",[1]!thsiFinD("ths_adjustment_nv_fund",R$3,$A292))</f>
        <v/>
      </c>
      <c r="S292" s="13" t="str">
        <f>IF($A292="","",[1]!thsiFinD("ths_adjustment_nv_fund",S$3,$A292))</f>
        <v/>
      </c>
      <c r="T292" s="13" t="str">
        <f>IF($A292="","",[1]!thsiFinD("ths_adjustment_nv_fund",T$3,$A292))</f>
        <v/>
      </c>
      <c r="U292" s="13" t="str">
        <f>IF($A292="","",[1]!thsiFinD("ths_adjustment_nv_fund",U$3,$A292))</f>
        <v/>
      </c>
      <c r="V292" s="13" t="str">
        <f>IF($A292="","",[1]!thsiFinD("ths_adjustment_nv_fund",V$3,$A292))</f>
        <v/>
      </c>
      <c r="W292" s="13" t="str">
        <f>IF($A292="","",[1]!thsiFinD("ths_adjustment_nv_fund",W$3,$A292))</f>
        <v/>
      </c>
      <c r="X292" s="13" t="str">
        <f>IF($A292="","",[1]!thsiFinD("ths_adjustment_nv_fund",X$3,$A292))</f>
        <v/>
      </c>
      <c r="Y292" s="13" t="str">
        <f>IF($A292="","",[1]!thsiFinD("ths_adjustment_nv_fund",Y$3,$A292))</f>
        <v/>
      </c>
      <c r="Z292" s="13" t="str">
        <f>IF($A292="","",[1]!thsiFinD("ths_adjustment_nv_fund",Z$3,$A292))</f>
        <v/>
      </c>
      <c r="AA292" s="13" t="str">
        <f>IF($A292="","",[1]!thsiFinD("ths_adjustment_nv_fund",AA$3,$A292))</f>
        <v/>
      </c>
      <c r="AB292" s="13" t="str">
        <f>IF($A292="","",[1]!thsiFinD("ths_adjustment_nv_fund",AB$3,$A292))</f>
        <v/>
      </c>
    </row>
    <row r="293" spans="2:28">
      <c r="B293" s="13" t="str">
        <f>IF($A293="","",[1]!thsiFinD("ths_adjustment_nv_fund",B$3,$A293))</f>
        <v/>
      </c>
      <c r="C293" s="13" t="str">
        <f>IF($A293="","",[1]!thsiFinD("ths_adjustment_nv_fund",C$3,$A293))</f>
        <v/>
      </c>
      <c r="D293" s="13" t="str">
        <f>IF($A293="","",[1]!thsiFinD("ths_adjustment_nv_fund",D$3,$A293))</f>
        <v/>
      </c>
      <c r="E293" s="13" t="str">
        <f>IF($A293="","",[1]!thsiFinD("ths_adjustment_nv_fund",E$3,$A293))</f>
        <v/>
      </c>
      <c r="F293" s="13" t="str">
        <f>IF($A293="","",[1]!thsiFinD("ths_adjustment_nv_fund",F$3,$A293))</f>
        <v/>
      </c>
      <c r="G293" s="13" t="str">
        <f>IF($A293="","",[1]!thsiFinD("ths_adjustment_nv_fund",G$3,$A293))</f>
        <v/>
      </c>
      <c r="H293" s="13" t="str">
        <f>IF($A293="","",[1]!thsiFinD("ths_adjustment_nv_fund",H$3,$A293))</f>
        <v/>
      </c>
      <c r="I293" s="13" t="str">
        <f>IF($A293="","",[1]!thsiFinD("ths_adjustment_nv_fund",I$3,$A293))</f>
        <v/>
      </c>
      <c r="J293" s="13" t="str">
        <f>IF($A293="","",[1]!thsiFinD("ths_adjustment_nv_fund",J$3,$A293))</f>
        <v/>
      </c>
      <c r="K293" s="13" t="str">
        <f>IF($A293="","",[1]!thsiFinD("ths_adjustment_nv_fund",K$3,$A293))</f>
        <v/>
      </c>
      <c r="L293" s="13" t="str">
        <f>IF($A293="","",[1]!thsiFinD("ths_adjustment_nv_fund",L$3,$A293))</f>
        <v/>
      </c>
      <c r="M293" s="13" t="str">
        <f>IF($A293="","",[1]!thsiFinD("ths_adjustment_nv_fund",M$3,$A293))</f>
        <v/>
      </c>
      <c r="N293" s="13" t="str">
        <f>IF($A293="","",[1]!thsiFinD("ths_adjustment_nv_fund",N$3,$A293))</f>
        <v/>
      </c>
      <c r="O293" s="13" t="str">
        <f>IF($A293="","",[1]!thsiFinD("ths_adjustment_nv_fund",O$3,$A293))</f>
        <v/>
      </c>
      <c r="P293" s="13" t="str">
        <f>IF($A293="","",[1]!thsiFinD("ths_adjustment_nv_fund",P$3,$A293))</f>
        <v/>
      </c>
      <c r="Q293" s="13" t="str">
        <f>IF($A293="","",[1]!thsiFinD("ths_adjustment_nv_fund",Q$3,$A293))</f>
        <v/>
      </c>
      <c r="R293" s="13" t="str">
        <f>IF($A293="","",[1]!thsiFinD("ths_adjustment_nv_fund",R$3,$A293))</f>
        <v/>
      </c>
      <c r="S293" s="13" t="str">
        <f>IF($A293="","",[1]!thsiFinD("ths_adjustment_nv_fund",S$3,$A293))</f>
        <v/>
      </c>
      <c r="T293" s="13" t="str">
        <f>IF($A293="","",[1]!thsiFinD("ths_adjustment_nv_fund",T$3,$A293))</f>
        <v/>
      </c>
      <c r="U293" s="13" t="str">
        <f>IF($A293="","",[1]!thsiFinD("ths_adjustment_nv_fund",U$3,$A293))</f>
        <v/>
      </c>
      <c r="V293" s="13" t="str">
        <f>IF($A293="","",[1]!thsiFinD("ths_adjustment_nv_fund",V$3,$A293))</f>
        <v/>
      </c>
      <c r="W293" s="13" t="str">
        <f>IF($A293="","",[1]!thsiFinD("ths_adjustment_nv_fund",W$3,$A293))</f>
        <v/>
      </c>
      <c r="X293" s="13" t="str">
        <f>IF($A293="","",[1]!thsiFinD("ths_adjustment_nv_fund",X$3,$A293))</f>
        <v/>
      </c>
      <c r="Y293" s="13" t="str">
        <f>IF($A293="","",[1]!thsiFinD("ths_adjustment_nv_fund",Y$3,$A293))</f>
        <v/>
      </c>
      <c r="Z293" s="13" t="str">
        <f>IF($A293="","",[1]!thsiFinD("ths_adjustment_nv_fund",Z$3,$A293))</f>
        <v/>
      </c>
      <c r="AA293" s="13" t="str">
        <f>IF($A293="","",[1]!thsiFinD("ths_adjustment_nv_fund",AA$3,$A293))</f>
        <v/>
      </c>
      <c r="AB293" s="13" t="str">
        <f>IF($A293="","",[1]!thsiFinD("ths_adjustment_nv_fund",AB$3,$A293))</f>
        <v/>
      </c>
    </row>
    <row r="294" spans="2:28">
      <c r="B294" s="13" t="str">
        <f>IF($A294="","",[1]!thsiFinD("ths_adjustment_nv_fund",B$3,$A294))</f>
        <v/>
      </c>
      <c r="C294" s="13" t="str">
        <f>IF($A294="","",[1]!thsiFinD("ths_adjustment_nv_fund",C$3,$A294))</f>
        <v/>
      </c>
      <c r="D294" s="13" t="str">
        <f>IF($A294="","",[1]!thsiFinD("ths_adjustment_nv_fund",D$3,$A294))</f>
        <v/>
      </c>
      <c r="E294" s="13" t="str">
        <f>IF($A294="","",[1]!thsiFinD("ths_adjustment_nv_fund",E$3,$A294))</f>
        <v/>
      </c>
      <c r="F294" s="13" t="str">
        <f>IF($A294="","",[1]!thsiFinD("ths_adjustment_nv_fund",F$3,$A294))</f>
        <v/>
      </c>
      <c r="G294" s="13" t="str">
        <f>IF($A294="","",[1]!thsiFinD("ths_adjustment_nv_fund",G$3,$A294))</f>
        <v/>
      </c>
      <c r="H294" s="13" t="str">
        <f>IF($A294="","",[1]!thsiFinD("ths_adjustment_nv_fund",H$3,$A294))</f>
        <v/>
      </c>
      <c r="I294" s="13" t="str">
        <f>IF($A294="","",[1]!thsiFinD("ths_adjustment_nv_fund",I$3,$A294))</f>
        <v/>
      </c>
      <c r="J294" s="13" t="str">
        <f>IF($A294="","",[1]!thsiFinD("ths_adjustment_nv_fund",J$3,$A294))</f>
        <v/>
      </c>
      <c r="K294" s="13" t="str">
        <f>IF($A294="","",[1]!thsiFinD("ths_adjustment_nv_fund",K$3,$A294))</f>
        <v/>
      </c>
      <c r="L294" s="13" t="str">
        <f>IF($A294="","",[1]!thsiFinD("ths_adjustment_nv_fund",L$3,$A294))</f>
        <v/>
      </c>
      <c r="M294" s="13" t="str">
        <f>IF($A294="","",[1]!thsiFinD("ths_adjustment_nv_fund",M$3,$A294))</f>
        <v/>
      </c>
      <c r="N294" s="13" t="str">
        <f>IF($A294="","",[1]!thsiFinD("ths_adjustment_nv_fund",N$3,$A294))</f>
        <v/>
      </c>
      <c r="O294" s="13" t="str">
        <f>IF($A294="","",[1]!thsiFinD("ths_adjustment_nv_fund",O$3,$A294))</f>
        <v/>
      </c>
      <c r="P294" s="13" t="str">
        <f>IF($A294="","",[1]!thsiFinD("ths_adjustment_nv_fund",P$3,$A294))</f>
        <v/>
      </c>
      <c r="Q294" s="13" t="str">
        <f>IF($A294="","",[1]!thsiFinD("ths_adjustment_nv_fund",Q$3,$A294))</f>
        <v/>
      </c>
      <c r="R294" s="13" t="str">
        <f>IF($A294="","",[1]!thsiFinD("ths_adjustment_nv_fund",R$3,$A294))</f>
        <v/>
      </c>
      <c r="S294" s="13" t="str">
        <f>IF($A294="","",[1]!thsiFinD("ths_adjustment_nv_fund",S$3,$A294))</f>
        <v/>
      </c>
      <c r="T294" s="13" t="str">
        <f>IF($A294="","",[1]!thsiFinD("ths_adjustment_nv_fund",T$3,$A294))</f>
        <v/>
      </c>
      <c r="U294" s="13" t="str">
        <f>IF($A294="","",[1]!thsiFinD("ths_adjustment_nv_fund",U$3,$A294))</f>
        <v/>
      </c>
      <c r="V294" s="13" t="str">
        <f>IF($A294="","",[1]!thsiFinD("ths_adjustment_nv_fund",V$3,$A294))</f>
        <v/>
      </c>
      <c r="W294" s="13" t="str">
        <f>IF($A294="","",[1]!thsiFinD("ths_adjustment_nv_fund",W$3,$A294))</f>
        <v/>
      </c>
      <c r="X294" s="13" t="str">
        <f>IF($A294="","",[1]!thsiFinD("ths_adjustment_nv_fund",X$3,$A294))</f>
        <v/>
      </c>
      <c r="Y294" s="13" t="str">
        <f>IF($A294="","",[1]!thsiFinD("ths_adjustment_nv_fund",Y$3,$A294))</f>
        <v/>
      </c>
      <c r="Z294" s="13" t="str">
        <f>IF($A294="","",[1]!thsiFinD("ths_adjustment_nv_fund",Z$3,$A294))</f>
        <v/>
      </c>
      <c r="AA294" s="13" t="str">
        <f>IF($A294="","",[1]!thsiFinD("ths_adjustment_nv_fund",AA$3,$A294))</f>
        <v/>
      </c>
      <c r="AB294" s="13" t="str">
        <f>IF($A294="","",[1]!thsiFinD("ths_adjustment_nv_fund",AB$3,$A294))</f>
        <v/>
      </c>
    </row>
    <row r="295" spans="2:28">
      <c r="B295" s="13" t="str">
        <f>IF($A295="","",[1]!thsiFinD("ths_adjustment_nv_fund",B$3,$A295))</f>
        <v/>
      </c>
      <c r="C295" s="13" t="str">
        <f>IF($A295="","",[1]!thsiFinD("ths_adjustment_nv_fund",C$3,$A295))</f>
        <v/>
      </c>
      <c r="D295" s="13" t="str">
        <f>IF($A295="","",[1]!thsiFinD("ths_adjustment_nv_fund",D$3,$A295))</f>
        <v/>
      </c>
      <c r="E295" s="13" t="str">
        <f>IF($A295="","",[1]!thsiFinD("ths_adjustment_nv_fund",E$3,$A295))</f>
        <v/>
      </c>
      <c r="F295" s="13" t="str">
        <f>IF($A295="","",[1]!thsiFinD("ths_adjustment_nv_fund",F$3,$A295))</f>
        <v/>
      </c>
      <c r="G295" s="13" t="str">
        <f>IF($A295="","",[1]!thsiFinD("ths_adjustment_nv_fund",G$3,$A295))</f>
        <v/>
      </c>
      <c r="H295" s="13" t="str">
        <f>IF($A295="","",[1]!thsiFinD("ths_adjustment_nv_fund",H$3,$A295))</f>
        <v/>
      </c>
      <c r="I295" s="13" t="str">
        <f>IF($A295="","",[1]!thsiFinD("ths_adjustment_nv_fund",I$3,$A295))</f>
        <v/>
      </c>
      <c r="J295" s="13" t="str">
        <f>IF($A295="","",[1]!thsiFinD("ths_adjustment_nv_fund",J$3,$A295))</f>
        <v/>
      </c>
      <c r="K295" s="13" t="str">
        <f>IF($A295="","",[1]!thsiFinD("ths_adjustment_nv_fund",K$3,$A295))</f>
        <v/>
      </c>
      <c r="L295" s="13" t="str">
        <f>IF($A295="","",[1]!thsiFinD("ths_adjustment_nv_fund",L$3,$A295))</f>
        <v/>
      </c>
      <c r="M295" s="13" t="str">
        <f>IF($A295="","",[1]!thsiFinD("ths_adjustment_nv_fund",M$3,$A295))</f>
        <v/>
      </c>
      <c r="N295" s="13" t="str">
        <f>IF($A295="","",[1]!thsiFinD("ths_adjustment_nv_fund",N$3,$A295))</f>
        <v/>
      </c>
      <c r="O295" s="13" t="str">
        <f>IF($A295="","",[1]!thsiFinD("ths_adjustment_nv_fund",O$3,$A295))</f>
        <v/>
      </c>
      <c r="P295" s="13" t="str">
        <f>IF($A295="","",[1]!thsiFinD("ths_adjustment_nv_fund",P$3,$A295))</f>
        <v/>
      </c>
      <c r="Q295" s="13" t="str">
        <f>IF($A295="","",[1]!thsiFinD("ths_adjustment_nv_fund",Q$3,$A295))</f>
        <v/>
      </c>
      <c r="R295" s="13" t="str">
        <f>IF($A295="","",[1]!thsiFinD("ths_adjustment_nv_fund",R$3,$A295))</f>
        <v/>
      </c>
      <c r="S295" s="13" t="str">
        <f>IF($A295="","",[1]!thsiFinD("ths_adjustment_nv_fund",S$3,$A295))</f>
        <v/>
      </c>
      <c r="T295" s="13" t="str">
        <f>IF($A295="","",[1]!thsiFinD("ths_adjustment_nv_fund",T$3,$A295))</f>
        <v/>
      </c>
      <c r="U295" s="13" t="str">
        <f>IF($A295="","",[1]!thsiFinD("ths_adjustment_nv_fund",U$3,$A295))</f>
        <v/>
      </c>
      <c r="V295" s="13" t="str">
        <f>IF($A295="","",[1]!thsiFinD("ths_adjustment_nv_fund",V$3,$A295))</f>
        <v/>
      </c>
      <c r="W295" s="13" t="str">
        <f>IF($A295="","",[1]!thsiFinD("ths_adjustment_nv_fund",W$3,$A295))</f>
        <v/>
      </c>
      <c r="X295" s="13" t="str">
        <f>IF($A295="","",[1]!thsiFinD("ths_adjustment_nv_fund",X$3,$A295))</f>
        <v/>
      </c>
      <c r="Y295" s="13" t="str">
        <f>IF($A295="","",[1]!thsiFinD("ths_adjustment_nv_fund",Y$3,$A295))</f>
        <v/>
      </c>
      <c r="Z295" s="13" t="str">
        <f>IF($A295="","",[1]!thsiFinD("ths_adjustment_nv_fund",Z$3,$A295))</f>
        <v/>
      </c>
      <c r="AA295" s="13" t="str">
        <f>IF($A295="","",[1]!thsiFinD("ths_adjustment_nv_fund",AA$3,$A295))</f>
        <v/>
      </c>
      <c r="AB295" s="13" t="str">
        <f>IF($A295="","",[1]!thsiFinD("ths_adjustment_nv_fund",AB$3,$A295))</f>
        <v/>
      </c>
    </row>
    <row r="296" spans="2:28">
      <c r="B296" s="13" t="str">
        <f>IF($A296="","",[1]!thsiFinD("ths_adjustment_nv_fund",B$3,$A296))</f>
        <v/>
      </c>
      <c r="C296" s="13" t="str">
        <f>IF($A296="","",[1]!thsiFinD("ths_adjustment_nv_fund",C$3,$A296))</f>
        <v/>
      </c>
      <c r="D296" s="13" t="str">
        <f>IF($A296="","",[1]!thsiFinD("ths_adjustment_nv_fund",D$3,$A296))</f>
        <v/>
      </c>
      <c r="E296" s="13" t="str">
        <f>IF($A296="","",[1]!thsiFinD("ths_adjustment_nv_fund",E$3,$A296))</f>
        <v/>
      </c>
      <c r="F296" s="13" t="str">
        <f>IF($A296="","",[1]!thsiFinD("ths_adjustment_nv_fund",F$3,$A296))</f>
        <v/>
      </c>
      <c r="G296" s="13" t="str">
        <f>IF($A296="","",[1]!thsiFinD("ths_adjustment_nv_fund",G$3,$A296))</f>
        <v/>
      </c>
      <c r="H296" s="13" t="str">
        <f>IF($A296="","",[1]!thsiFinD("ths_adjustment_nv_fund",H$3,$A296))</f>
        <v/>
      </c>
      <c r="I296" s="13" t="str">
        <f>IF($A296="","",[1]!thsiFinD("ths_adjustment_nv_fund",I$3,$A296))</f>
        <v/>
      </c>
      <c r="J296" s="13" t="str">
        <f>IF($A296="","",[1]!thsiFinD("ths_adjustment_nv_fund",J$3,$A296))</f>
        <v/>
      </c>
      <c r="K296" s="13" t="str">
        <f>IF($A296="","",[1]!thsiFinD("ths_adjustment_nv_fund",K$3,$A296))</f>
        <v/>
      </c>
      <c r="L296" s="13" t="str">
        <f>IF($A296="","",[1]!thsiFinD("ths_adjustment_nv_fund",L$3,$A296))</f>
        <v/>
      </c>
      <c r="M296" s="13" t="str">
        <f>IF($A296="","",[1]!thsiFinD("ths_adjustment_nv_fund",M$3,$A296))</f>
        <v/>
      </c>
      <c r="N296" s="13" t="str">
        <f>IF($A296="","",[1]!thsiFinD("ths_adjustment_nv_fund",N$3,$A296))</f>
        <v/>
      </c>
      <c r="O296" s="13" t="str">
        <f>IF($A296="","",[1]!thsiFinD("ths_adjustment_nv_fund",O$3,$A296))</f>
        <v/>
      </c>
      <c r="P296" s="13" t="str">
        <f>IF($A296="","",[1]!thsiFinD("ths_adjustment_nv_fund",P$3,$A296))</f>
        <v/>
      </c>
      <c r="Q296" s="13" t="str">
        <f>IF($A296="","",[1]!thsiFinD("ths_adjustment_nv_fund",Q$3,$A296))</f>
        <v/>
      </c>
      <c r="R296" s="13" t="str">
        <f>IF($A296="","",[1]!thsiFinD("ths_adjustment_nv_fund",R$3,$A296))</f>
        <v/>
      </c>
      <c r="S296" s="13" t="str">
        <f>IF($A296="","",[1]!thsiFinD("ths_adjustment_nv_fund",S$3,$A296))</f>
        <v/>
      </c>
      <c r="T296" s="13" t="str">
        <f>IF($A296="","",[1]!thsiFinD("ths_adjustment_nv_fund",T$3,$A296))</f>
        <v/>
      </c>
      <c r="U296" s="13" t="str">
        <f>IF($A296="","",[1]!thsiFinD("ths_adjustment_nv_fund",U$3,$A296))</f>
        <v/>
      </c>
      <c r="V296" s="13" t="str">
        <f>IF($A296="","",[1]!thsiFinD("ths_adjustment_nv_fund",V$3,$A296))</f>
        <v/>
      </c>
      <c r="W296" s="13" t="str">
        <f>IF($A296="","",[1]!thsiFinD("ths_adjustment_nv_fund",W$3,$A296))</f>
        <v/>
      </c>
      <c r="X296" s="13" t="str">
        <f>IF($A296="","",[1]!thsiFinD("ths_adjustment_nv_fund",X$3,$A296))</f>
        <v/>
      </c>
      <c r="Y296" s="13" t="str">
        <f>IF($A296="","",[1]!thsiFinD("ths_adjustment_nv_fund",Y$3,$A296))</f>
        <v/>
      </c>
      <c r="Z296" s="13" t="str">
        <f>IF($A296="","",[1]!thsiFinD("ths_adjustment_nv_fund",Z$3,$A296))</f>
        <v/>
      </c>
      <c r="AA296" s="13" t="str">
        <f>IF($A296="","",[1]!thsiFinD("ths_adjustment_nv_fund",AA$3,$A296))</f>
        <v/>
      </c>
      <c r="AB296" s="13" t="str">
        <f>IF($A296="","",[1]!thsiFinD("ths_adjustment_nv_fund",AB$3,$A296))</f>
        <v/>
      </c>
    </row>
    <row r="297" spans="2:28">
      <c r="B297" s="13" t="str">
        <f>IF($A297="","",[1]!thsiFinD("ths_adjustment_nv_fund",B$3,$A297))</f>
        <v/>
      </c>
      <c r="C297" s="13" t="str">
        <f>IF($A297="","",[1]!thsiFinD("ths_adjustment_nv_fund",C$3,$A297))</f>
        <v/>
      </c>
      <c r="D297" s="13" t="str">
        <f>IF($A297="","",[1]!thsiFinD("ths_adjustment_nv_fund",D$3,$A297))</f>
        <v/>
      </c>
      <c r="E297" s="13" t="str">
        <f>IF($A297="","",[1]!thsiFinD("ths_adjustment_nv_fund",E$3,$A297))</f>
        <v/>
      </c>
      <c r="F297" s="13" t="str">
        <f>IF($A297="","",[1]!thsiFinD("ths_adjustment_nv_fund",F$3,$A297))</f>
        <v/>
      </c>
      <c r="G297" s="13" t="str">
        <f>IF($A297="","",[1]!thsiFinD("ths_adjustment_nv_fund",G$3,$A297))</f>
        <v/>
      </c>
      <c r="H297" s="13" t="str">
        <f>IF($A297="","",[1]!thsiFinD("ths_adjustment_nv_fund",H$3,$A297))</f>
        <v/>
      </c>
      <c r="I297" s="13" t="str">
        <f>IF($A297="","",[1]!thsiFinD("ths_adjustment_nv_fund",I$3,$A297))</f>
        <v/>
      </c>
      <c r="J297" s="13" t="str">
        <f>IF($A297="","",[1]!thsiFinD("ths_adjustment_nv_fund",J$3,$A297))</f>
        <v/>
      </c>
      <c r="K297" s="13" t="str">
        <f>IF($A297="","",[1]!thsiFinD("ths_adjustment_nv_fund",K$3,$A297))</f>
        <v/>
      </c>
      <c r="L297" s="13" t="str">
        <f>IF($A297="","",[1]!thsiFinD("ths_adjustment_nv_fund",L$3,$A297))</f>
        <v/>
      </c>
      <c r="M297" s="13" t="str">
        <f>IF($A297="","",[1]!thsiFinD("ths_adjustment_nv_fund",M$3,$A297))</f>
        <v/>
      </c>
      <c r="N297" s="13" t="str">
        <f>IF($A297="","",[1]!thsiFinD("ths_adjustment_nv_fund",N$3,$A297))</f>
        <v/>
      </c>
      <c r="O297" s="13" t="str">
        <f>IF($A297="","",[1]!thsiFinD("ths_adjustment_nv_fund",O$3,$A297))</f>
        <v/>
      </c>
      <c r="P297" s="13" t="str">
        <f>IF($A297="","",[1]!thsiFinD("ths_adjustment_nv_fund",P$3,$A297))</f>
        <v/>
      </c>
      <c r="Q297" s="13" t="str">
        <f>IF($A297="","",[1]!thsiFinD("ths_adjustment_nv_fund",Q$3,$A297))</f>
        <v/>
      </c>
      <c r="R297" s="13" t="str">
        <f>IF($A297="","",[1]!thsiFinD("ths_adjustment_nv_fund",R$3,$A297))</f>
        <v/>
      </c>
      <c r="S297" s="13" t="str">
        <f>IF($A297="","",[1]!thsiFinD("ths_adjustment_nv_fund",S$3,$A297))</f>
        <v/>
      </c>
      <c r="T297" s="13" t="str">
        <f>IF($A297="","",[1]!thsiFinD("ths_adjustment_nv_fund",T$3,$A297))</f>
        <v/>
      </c>
      <c r="U297" s="13" t="str">
        <f>IF($A297="","",[1]!thsiFinD("ths_adjustment_nv_fund",U$3,$A297))</f>
        <v/>
      </c>
      <c r="V297" s="13" t="str">
        <f>IF($A297="","",[1]!thsiFinD("ths_adjustment_nv_fund",V$3,$A297))</f>
        <v/>
      </c>
      <c r="W297" s="13" t="str">
        <f>IF($A297="","",[1]!thsiFinD("ths_adjustment_nv_fund",W$3,$A297))</f>
        <v/>
      </c>
      <c r="X297" s="13" t="str">
        <f>IF($A297="","",[1]!thsiFinD("ths_adjustment_nv_fund",X$3,$A297))</f>
        <v/>
      </c>
      <c r="Y297" s="13" t="str">
        <f>IF($A297="","",[1]!thsiFinD("ths_adjustment_nv_fund",Y$3,$A297))</f>
        <v/>
      </c>
      <c r="Z297" s="13" t="str">
        <f>IF($A297="","",[1]!thsiFinD("ths_adjustment_nv_fund",Z$3,$A297))</f>
        <v/>
      </c>
      <c r="AA297" s="13" t="str">
        <f>IF($A297="","",[1]!thsiFinD("ths_adjustment_nv_fund",AA$3,$A297))</f>
        <v/>
      </c>
      <c r="AB297" s="13" t="str">
        <f>IF($A297="","",[1]!thsiFinD("ths_adjustment_nv_fund",AB$3,$A297))</f>
        <v/>
      </c>
    </row>
    <row r="298" spans="2:28">
      <c r="B298" s="13" t="str">
        <f>IF($A298="","",[1]!thsiFinD("ths_adjustment_nv_fund",B$3,$A298))</f>
        <v/>
      </c>
      <c r="C298" s="13" t="str">
        <f>IF($A298="","",[1]!thsiFinD("ths_adjustment_nv_fund",C$3,$A298))</f>
        <v/>
      </c>
      <c r="D298" s="13" t="str">
        <f>IF($A298="","",[1]!thsiFinD("ths_adjustment_nv_fund",D$3,$A298))</f>
        <v/>
      </c>
      <c r="E298" s="13" t="str">
        <f>IF($A298="","",[1]!thsiFinD("ths_adjustment_nv_fund",E$3,$A298))</f>
        <v/>
      </c>
      <c r="F298" s="13" t="str">
        <f>IF($A298="","",[1]!thsiFinD("ths_adjustment_nv_fund",F$3,$A298))</f>
        <v/>
      </c>
      <c r="G298" s="13" t="str">
        <f>IF($A298="","",[1]!thsiFinD("ths_adjustment_nv_fund",G$3,$A298))</f>
        <v/>
      </c>
      <c r="H298" s="13" t="str">
        <f>IF($A298="","",[1]!thsiFinD("ths_adjustment_nv_fund",H$3,$A298))</f>
        <v/>
      </c>
      <c r="I298" s="13" t="str">
        <f>IF($A298="","",[1]!thsiFinD("ths_adjustment_nv_fund",I$3,$A298))</f>
        <v/>
      </c>
      <c r="J298" s="13" t="str">
        <f>IF($A298="","",[1]!thsiFinD("ths_adjustment_nv_fund",J$3,$A298))</f>
        <v/>
      </c>
      <c r="K298" s="13" t="str">
        <f>IF($A298="","",[1]!thsiFinD("ths_adjustment_nv_fund",K$3,$A298))</f>
        <v/>
      </c>
      <c r="L298" s="13" t="str">
        <f>IF($A298="","",[1]!thsiFinD("ths_adjustment_nv_fund",L$3,$A298))</f>
        <v/>
      </c>
      <c r="M298" s="13" t="str">
        <f>IF($A298="","",[1]!thsiFinD("ths_adjustment_nv_fund",M$3,$A298))</f>
        <v/>
      </c>
      <c r="N298" s="13" t="str">
        <f>IF($A298="","",[1]!thsiFinD("ths_adjustment_nv_fund",N$3,$A298))</f>
        <v/>
      </c>
      <c r="O298" s="13" t="str">
        <f>IF($A298="","",[1]!thsiFinD("ths_adjustment_nv_fund",O$3,$A298))</f>
        <v/>
      </c>
      <c r="P298" s="13" t="str">
        <f>IF($A298="","",[1]!thsiFinD("ths_adjustment_nv_fund",P$3,$A298))</f>
        <v/>
      </c>
      <c r="Q298" s="13" t="str">
        <f>IF($A298="","",[1]!thsiFinD("ths_adjustment_nv_fund",Q$3,$A298))</f>
        <v/>
      </c>
      <c r="R298" s="13" t="str">
        <f>IF($A298="","",[1]!thsiFinD("ths_adjustment_nv_fund",R$3,$A298))</f>
        <v/>
      </c>
      <c r="S298" s="13" t="str">
        <f>IF($A298="","",[1]!thsiFinD("ths_adjustment_nv_fund",S$3,$A298))</f>
        <v/>
      </c>
      <c r="T298" s="13" t="str">
        <f>IF($A298="","",[1]!thsiFinD("ths_adjustment_nv_fund",T$3,$A298))</f>
        <v/>
      </c>
      <c r="U298" s="13" t="str">
        <f>IF($A298="","",[1]!thsiFinD("ths_adjustment_nv_fund",U$3,$A298))</f>
        <v/>
      </c>
      <c r="V298" s="13" t="str">
        <f>IF($A298="","",[1]!thsiFinD("ths_adjustment_nv_fund",V$3,$A298))</f>
        <v/>
      </c>
      <c r="W298" s="13" t="str">
        <f>IF($A298="","",[1]!thsiFinD("ths_adjustment_nv_fund",W$3,$A298))</f>
        <v/>
      </c>
      <c r="X298" s="13" t="str">
        <f>IF($A298="","",[1]!thsiFinD("ths_adjustment_nv_fund",X$3,$A298))</f>
        <v/>
      </c>
      <c r="Y298" s="13" t="str">
        <f>IF($A298="","",[1]!thsiFinD("ths_adjustment_nv_fund",Y$3,$A298))</f>
        <v/>
      </c>
      <c r="Z298" s="13" t="str">
        <f>IF($A298="","",[1]!thsiFinD("ths_adjustment_nv_fund",Z$3,$A298))</f>
        <v/>
      </c>
      <c r="AA298" s="13" t="str">
        <f>IF($A298="","",[1]!thsiFinD("ths_adjustment_nv_fund",AA$3,$A298))</f>
        <v/>
      </c>
      <c r="AB298" s="13" t="str">
        <f>IF($A298="","",[1]!thsiFinD("ths_adjustment_nv_fund",AB$3,$A298))</f>
        <v/>
      </c>
    </row>
    <row r="299" spans="2:28">
      <c r="B299" s="13" t="str">
        <f>IF($A299="","",[1]!thsiFinD("ths_adjustment_nv_fund",B$3,$A299))</f>
        <v/>
      </c>
      <c r="C299" s="13" t="str">
        <f>IF($A299="","",[1]!thsiFinD("ths_adjustment_nv_fund",C$3,$A299))</f>
        <v/>
      </c>
      <c r="D299" s="13" t="str">
        <f>IF($A299="","",[1]!thsiFinD("ths_adjustment_nv_fund",D$3,$A299))</f>
        <v/>
      </c>
      <c r="E299" s="13" t="str">
        <f>IF($A299="","",[1]!thsiFinD("ths_adjustment_nv_fund",E$3,$A299))</f>
        <v/>
      </c>
      <c r="F299" s="13" t="str">
        <f>IF($A299="","",[1]!thsiFinD("ths_adjustment_nv_fund",F$3,$A299))</f>
        <v/>
      </c>
      <c r="G299" s="13" t="str">
        <f>IF($A299="","",[1]!thsiFinD("ths_adjustment_nv_fund",G$3,$A299))</f>
        <v/>
      </c>
      <c r="H299" s="13" t="str">
        <f>IF($A299="","",[1]!thsiFinD("ths_adjustment_nv_fund",H$3,$A299))</f>
        <v/>
      </c>
      <c r="I299" s="13" t="str">
        <f>IF($A299="","",[1]!thsiFinD("ths_adjustment_nv_fund",I$3,$A299))</f>
        <v/>
      </c>
      <c r="J299" s="13" t="str">
        <f>IF($A299="","",[1]!thsiFinD("ths_adjustment_nv_fund",J$3,$A299))</f>
        <v/>
      </c>
      <c r="K299" s="13" t="str">
        <f>IF($A299="","",[1]!thsiFinD("ths_adjustment_nv_fund",K$3,$A299))</f>
        <v/>
      </c>
      <c r="L299" s="13" t="str">
        <f>IF($A299="","",[1]!thsiFinD("ths_adjustment_nv_fund",L$3,$A299))</f>
        <v/>
      </c>
      <c r="M299" s="13" t="str">
        <f>IF($A299="","",[1]!thsiFinD("ths_adjustment_nv_fund",M$3,$A299))</f>
        <v/>
      </c>
      <c r="N299" s="13" t="str">
        <f>IF($A299="","",[1]!thsiFinD("ths_adjustment_nv_fund",N$3,$A299))</f>
        <v/>
      </c>
      <c r="O299" s="13" t="str">
        <f>IF($A299="","",[1]!thsiFinD("ths_adjustment_nv_fund",O$3,$A299))</f>
        <v/>
      </c>
      <c r="P299" s="13" t="str">
        <f>IF($A299="","",[1]!thsiFinD("ths_adjustment_nv_fund",P$3,$A299))</f>
        <v/>
      </c>
      <c r="Q299" s="13" t="str">
        <f>IF($A299="","",[1]!thsiFinD("ths_adjustment_nv_fund",Q$3,$A299))</f>
        <v/>
      </c>
      <c r="R299" s="13" t="str">
        <f>IF($A299="","",[1]!thsiFinD("ths_adjustment_nv_fund",R$3,$A299))</f>
        <v/>
      </c>
      <c r="S299" s="13" t="str">
        <f>IF($A299="","",[1]!thsiFinD("ths_adjustment_nv_fund",S$3,$A299))</f>
        <v/>
      </c>
      <c r="T299" s="13" t="str">
        <f>IF($A299="","",[1]!thsiFinD("ths_adjustment_nv_fund",T$3,$A299))</f>
        <v/>
      </c>
      <c r="U299" s="13" t="str">
        <f>IF($A299="","",[1]!thsiFinD("ths_adjustment_nv_fund",U$3,$A299))</f>
        <v/>
      </c>
      <c r="V299" s="13" t="str">
        <f>IF($A299="","",[1]!thsiFinD("ths_adjustment_nv_fund",V$3,$A299))</f>
        <v/>
      </c>
      <c r="W299" s="13" t="str">
        <f>IF($A299="","",[1]!thsiFinD("ths_adjustment_nv_fund",W$3,$A299))</f>
        <v/>
      </c>
      <c r="X299" s="13" t="str">
        <f>IF($A299="","",[1]!thsiFinD("ths_adjustment_nv_fund",X$3,$A299))</f>
        <v/>
      </c>
      <c r="Y299" s="13" t="str">
        <f>IF($A299="","",[1]!thsiFinD("ths_adjustment_nv_fund",Y$3,$A299))</f>
        <v/>
      </c>
      <c r="Z299" s="13" t="str">
        <f>IF($A299="","",[1]!thsiFinD("ths_adjustment_nv_fund",Z$3,$A299))</f>
        <v/>
      </c>
      <c r="AA299" s="13" t="str">
        <f>IF($A299="","",[1]!thsiFinD("ths_adjustment_nv_fund",AA$3,$A299))</f>
        <v/>
      </c>
      <c r="AB299" s="13" t="str">
        <f>IF($A299="","",[1]!thsiFinD("ths_adjustment_nv_fund",AB$3,$A299))</f>
        <v/>
      </c>
    </row>
    <row r="300" spans="2:28">
      <c r="B300" s="13" t="str">
        <f>IF($A300="","",[1]!thsiFinD("ths_adjustment_nv_fund",B$3,$A300))</f>
        <v/>
      </c>
      <c r="C300" s="13" t="str">
        <f>IF($A300="","",[1]!thsiFinD("ths_adjustment_nv_fund",C$3,$A300))</f>
        <v/>
      </c>
      <c r="D300" s="13" t="str">
        <f>IF($A300="","",[1]!thsiFinD("ths_adjustment_nv_fund",D$3,$A300))</f>
        <v/>
      </c>
      <c r="E300" s="13" t="str">
        <f>IF($A300="","",[1]!thsiFinD("ths_adjustment_nv_fund",E$3,$A300))</f>
        <v/>
      </c>
      <c r="F300" s="13" t="str">
        <f>IF($A300="","",[1]!thsiFinD("ths_adjustment_nv_fund",F$3,$A300))</f>
        <v/>
      </c>
      <c r="G300" s="13" t="str">
        <f>IF($A300="","",[1]!thsiFinD("ths_adjustment_nv_fund",G$3,$A300))</f>
        <v/>
      </c>
      <c r="H300" s="13" t="str">
        <f>IF($A300="","",[1]!thsiFinD("ths_adjustment_nv_fund",H$3,$A300))</f>
        <v/>
      </c>
      <c r="I300" s="13" t="str">
        <f>IF($A300="","",[1]!thsiFinD("ths_adjustment_nv_fund",I$3,$A300))</f>
        <v/>
      </c>
      <c r="J300" s="13" t="str">
        <f>IF($A300="","",[1]!thsiFinD("ths_adjustment_nv_fund",J$3,$A300))</f>
        <v/>
      </c>
      <c r="K300" s="13" t="str">
        <f>IF($A300="","",[1]!thsiFinD("ths_adjustment_nv_fund",K$3,$A300))</f>
        <v/>
      </c>
      <c r="L300" s="13" t="str">
        <f>IF($A300="","",[1]!thsiFinD("ths_adjustment_nv_fund",L$3,$A300))</f>
        <v/>
      </c>
      <c r="M300" s="13" t="str">
        <f>IF($A300="","",[1]!thsiFinD("ths_adjustment_nv_fund",M$3,$A300))</f>
        <v/>
      </c>
      <c r="N300" s="13" t="str">
        <f>IF($A300="","",[1]!thsiFinD("ths_adjustment_nv_fund",N$3,$A300))</f>
        <v/>
      </c>
      <c r="O300" s="13" t="str">
        <f>IF($A300="","",[1]!thsiFinD("ths_adjustment_nv_fund",O$3,$A300))</f>
        <v/>
      </c>
      <c r="P300" s="13" t="str">
        <f>IF($A300="","",[1]!thsiFinD("ths_adjustment_nv_fund",P$3,$A300))</f>
        <v/>
      </c>
      <c r="Q300" s="13" t="str">
        <f>IF($A300="","",[1]!thsiFinD("ths_adjustment_nv_fund",Q$3,$A300))</f>
        <v/>
      </c>
      <c r="R300" s="13" t="str">
        <f>IF($A300="","",[1]!thsiFinD("ths_adjustment_nv_fund",R$3,$A300))</f>
        <v/>
      </c>
      <c r="S300" s="13" t="str">
        <f>IF($A300="","",[1]!thsiFinD("ths_adjustment_nv_fund",S$3,$A300))</f>
        <v/>
      </c>
      <c r="T300" s="13" t="str">
        <f>IF($A300="","",[1]!thsiFinD("ths_adjustment_nv_fund",T$3,$A300))</f>
        <v/>
      </c>
      <c r="U300" s="13" t="str">
        <f>IF($A300="","",[1]!thsiFinD("ths_adjustment_nv_fund",U$3,$A300))</f>
        <v/>
      </c>
      <c r="V300" s="13" t="str">
        <f>IF($A300="","",[1]!thsiFinD("ths_adjustment_nv_fund",V$3,$A300))</f>
        <v/>
      </c>
      <c r="W300" s="13" t="str">
        <f>IF($A300="","",[1]!thsiFinD("ths_adjustment_nv_fund",W$3,$A300))</f>
        <v/>
      </c>
      <c r="X300" s="13" t="str">
        <f>IF($A300="","",[1]!thsiFinD("ths_adjustment_nv_fund",X$3,$A300))</f>
        <v/>
      </c>
      <c r="Y300" s="13" t="str">
        <f>IF($A300="","",[1]!thsiFinD("ths_adjustment_nv_fund",Y$3,$A300))</f>
        <v/>
      </c>
      <c r="Z300" s="13" t="str">
        <f>IF($A300="","",[1]!thsiFinD("ths_adjustment_nv_fund",Z$3,$A300))</f>
        <v/>
      </c>
      <c r="AA300" s="13" t="str">
        <f>IF($A300="","",[1]!thsiFinD("ths_adjustment_nv_fund",AA$3,$A300))</f>
        <v/>
      </c>
      <c r="AB300" s="13" t="str">
        <f>IF($A300="","",[1]!thsiFinD("ths_adjustment_nv_fund",AB$3,$A300))</f>
        <v/>
      </c>
    </row>
    <row r="301" spans="2:28">
      <c r="B301" s="13" t="str">
        <f>IF($A301="","",[1]!thsiFinD("ths_adjustment_nv_fund",B$3,$A301))</f>
        <v/>
      </c>
      <c r="C301" s="13" t="str">
        <f>IF($A301="","",[1]!thsiFinD("ths_adjustment_nv_fund",C$3,$A301))</f>
        <v/>
      </c>
      <c r="D301" s="13" t="str">
        <f>IF($A301="","",[1]!thsiFinD("ths_adjustment_nv_fund",D$3,$A301))</f>
        <v/>
      </c>
      <c r="E301" s="13" t="str">
        <f>IF($A301="","",[1]!thsiFinD("ths_adjustment_nv_fund",E$3,$A301))</f>
        <v/>
      </c>
      <c r="F301" s="13" t="str">
        <f>IF($A301="","",[1]!thsiFinD("ths_adjustment_nv_fund",F$3,$A301))</f>
        <v/>
      </c>
      <c r="G301" s="13" t="str">
        <f>IF($A301="","",[1]!thsiFinD("ths_adjustment_nv_fund",G$3,$A301))</f>
        <v/>
      </c>
      <c r="H301" s="13" t="str">
        <f>IF($A301="","",[1]!thsiFinD("ths_adjustment_nv_fund",H$3,$A301))</f>
        <v/>
      </c>
      <c r="I301" s="13" t="str">
        <f>IF($A301="","",[1]!thsiFinD("ths_adjustment_nv_fund",I$3,$A301))</f>
        <v/>
      </c>
      <c r="J301" s="13" t="str">
        <f>IF($A301="","",[1]!thsiFinD("ths_adjustment_nv_fund",J$3,$A301))</f>
        <v/>
      </c>
      <c r="K301" s="13" t="str">
        <f>IF($A301="","",[1]!thsiFinD("ths_adjustment_nv_fund",K$3,$A301))</f>
        <v/>
      </c>
      <c r="L301" s="13" t="str">
        <f>IF($A301="","",[1]!thsiFinD("ths_adjustment_nv_fund",L$3,$A301))</f>
        <v/>
      </c>
      <c r="M301" s="13" t="str">
        <f>IF($A301="","",[1]!thsiFinD("ths_adjustment_nv_fund",M$3,$A301))</f>
        <v/>
      </c>
      <c r="N301" s="13" t="str">
        <f>IF($A301="","",[1]!thsiFinD("ths_adjustment_nv_fund",N$3,$A301))</f>
        <v/>
      </c>
      <c r="O301" s="13" t="str">
        <f>IF($A301="","",[1]!thsiFinD("ths_adjustment_nv_fund",O$3,$A301))</f>
        <v/>
      </c>
      <c r="P301" s="13" t="str">
        <f>IF($A301="","",[1]!thsiFinD("ths_adjustment_nv_fund",P$3,$A301))</f>
        <v/>
      </c>
      <c r="Q301" s="13" t="str">
        <f>IF($A301="","",[1]!thsiFinD("ths_adjustment_nv_fund",Q$3,$A301))</f>
        <v/>
      </c>
      <c r="R301" s="13" t="str">
        <f>IF($A301="","",[1]!thsiFinD("ths_adjustment_nv_fund",R$3,$A301))</f>
        <v/>
      </c>
      <c r="S301" s="13" t="str">
        <f>IF($A301="","",[1]!thsiFinD("ths_adjustment_nv_fund",S$3,$A301))</f>
        <v/>
      </c>
      <c r="T301" s="13" t="str">
        <f>IF($A301="","",[1]!thsiFinD("ths_adjustment_nv_fund",T$3,$A301))</f>
        <v/>
      </c>
      <c r="U301" s="13" t="str">
        <f>IF($A301="","",[1]!thsiFinD("ths_adjustment_nv_fund",U$3,$A301))</f>
        <v/>
      </c>
      <c r="V301" s="13" t="str">
        <f>IF($A301="","",[1]!thsiFinD("ths_adjustment_nv_fund",V$3,$A301))</f>
        <v/>
      </c>
      <c r="W301" s="13" t="str">
        <f>IF($A301="","",[1]!thsiFinD("ths_adjustment_nv_fund",W$3,$A301))</f>
        <v/>
      </c>
      <c r="X301" s="13" t="str">
        <f>IF($A301="","",[1]!thsiFinD("ths_adjustment_nv_fund",X$3,$A301))</f>
        <v/>
      </c>
      <c r="Y301" s="13" t="str">
        <f>IF($A301="","",[1]!thsiFinD("ths_adjustment_nv_fund",Y$3,$A301))</f>
        <v/>
      </c>
      <c r="Z301" s="13" t="str">
        <f>IF($A301="","",[1]!thsiFinD("ths_adjustment_nv_fund",Z$3,$A301))</f>
        <v/>
      </c>
      <c r="AA301" s="13" t="str">
        <f>IF($A301="","",[1]!thsiFinD("ths_adjustment_nv_fund",AA$3,$A301))</f>
        <v/>
      </c>
      <c r="AB301" s="13" t="str">
        <f>IF($A301="","",[1]!thsiFinD("ths_adjustment_nv_fund",AB$3,$A301))</f>
        <v/>
      </c>
    </row>
    <row r="302" spans="2:28">
      <c r="B302" s="13" t="str">
        <f>IF($A302="","",[1]!thsiFinD("ths_adjustment_nv_fund",B$3,$A302))</f>
        <v/>
      </c>
      <c r="C302" s="13" t="str">
        <f>IF($A302="","",[1]!thsiFinD("ths_adjustment_nv_fund",C$3,$A302))</f>
        <v/>
      </c>
      <c r="D302" s="13" t="str">
        <f>IF($A302="","",[1]!thsiFinD("ths_adjustment_nv_fund",D$3,$A302))</f>
        <v/>
      </c>
      <c r="E302" s="13" t="str">
        <f>IF($A302="","",[1]!thsiFinD("ths_adjustment_nv_fund",E$3,$A302))</f>
        <v/>
      </c>
      <c r="F302" s="13" t="str">
        <f>IF($A302="","",[1]!thsiFinD("ths_adjustment_nv_fund",F$3,$A302))</f>
        <v/>
      </c>
      <c r="G302" s="13" t="str">
        <f>IF($A302="","",[1]!thsiFinD("ths_adjustment_nv_fund",G$3,$A302))</f>
        <v/>
      </c>
      <c r="H302" s="13" t="str">
        <f>IF($A302="","",[1]!thsiFinD("ths_adjustment_nv_fund",H$3,$A302))</f>
        <v/>
      </c>
      <c r="I302" s="13" t="str">
        <f>IF($A302="","",[1]!thsiFinD("ths_adjustment_nv_fund",I$3,$A302))</f>
        <v/>
      </c>
      <c r="J302" s="13" t="str">
        <f>IF($A302="","",[1]!thsiFinD("ths_adjustment_nv_fund",J$3,$A302))</f>
        <v/>
      </c>
      <c r="K302" s="13" t="str">
        <f>IF($A302="","",[1]!thsiFinD("ths_adjustment_nv_fund",K$3,$A302))</f>
        <v/>
      </c>
      <c r="L302" s="13" t="str">
        <f>IF($A302="","",[1]!thsiFinD("ths_adjustment_nv_fund",L$3,$A302))</f>
        <v/>
      </c>
      <c r="M302" s="13" t="str">
        <f>IF($A302="","",[1]!thsiFinD("ths_adjustment_nv_fund",M$3,$A302))</f>
        <v/>
      </c>
      <c r="N302" s="13" t="str">
        <f>IF($A302="","",[1]!thsiFinD("ths_adjustment_nv_fund",N$3,$A302))</f>
        <v/>
      </c>
      <c r="O302" s="13" t="str">
        <f>IF($A302="","",[1]!thsiFinD("ths_adjustment_nv_fund",O$3,$A302))</f>
        <v/>
      </c>
      <c r="P302" s="13" t="str">
        <f>IF($A302="","",[1]!thsiFinD("ths_adjustment_nv_fund",P$3,$A302))</f>
        <v/>
      </c>
      <c r="Q302" s="13" t="str">
        <f>IF($A302="","",[1]!thsiFinD("ths_adjustment_nv_fund",Q$3,$A302))</f>
        <v/>
      </c>
      <c r="R302" s="13" t="str">
        <f>IF($A302="","",[1]!thsiFinD("ths_adjustment_nv_fund",R$3,$A302))</f>
        <v/>
      </c>
      <c r="S302" s="13" t="str">
        <f>IF($A302="","",[1]!thsiFinD("ths_adjustment_nv_fund",S$3,$A302))</f>
        <v/>
      </c>
      <c r="T302" s="13" t="str">
        <f>IF($A302="","",[1]!thsiFinD("ths_adjustment_nv_fund",T$3,$A302))</f>
        <v/>
      </c>
      <c r="U302" s="13" t="str">
        <f>IF($A302="","",[1]!thsiFinD("ths_adjustment_nv_fund",U$3,$A302))</f>
        <v/>
      </c>
      <c r="V302" s="13" t="str">
        <f>IF($A302="","",[1]!thsiFinD("ths_adjustment_nv_fund",V$3,$A302))</f>
        <v/>
      </c>
      <c r="W302" s="13" t="str">
        <f>IF($A302="","",[1]!thsiFinD("ths_adjustment_nv_fund",W$3,$A302))</f>
        <v/>
      </c>
      <c r="X302" s="13" t="str">
        <f>IF($A302="","",[1]!thsiFinD("ths_adjustment_nv_fund",X$3,$A302))</f>
        <v/>
      </c>
      <c r="Y302" s="13" t="str">
        <f>IF($A302="","",[1]!thsiFinD("ths_adjustment_nv_fund",Y$3,$A302))</f>
        <v/>
      </c>
      <c r="Z302" s="13" t="str">
        <f>IF($A302="","",[1]!thsiFinD("ths_adjustment_nv_fund",Z$3,$A302))</f>
        <v/>
      </c>
      <c r="AA302" s="13" t="str">
        <f>IF($A302="","",[1]!thsiFinD("ths_adjustment_nv_fund",AA$3,$A302))</f>
        <v/>
      </c>
      <c r="AB302" s="13" t="str">
        <f>IF($A302="","",[1]!thsiFinD("ths_adjustment_nv_fund",AB$3,$A302))</f>
        <v/>
      </c>
    </row>
    <row r="303" spans="2:28">
      <c r="B303" s="13" t="str">
        <f>IF($A303="","",[1]!thsiFinD("ths_adjustment_nv_fund",B$3,$A303))</f>
        <v/>
      </c>
      <c r="C303" s="13" t="str">
        <f>IF($A303="","",[1]!thsiFinD("ths_adjustment_nv_fund",C$3,$A303))</f>
        <v/>
      </c>
      <c r="D303" s="13" t="str">
        <f>IF($A303="","",[1]!thsiFinD("ths_adjustment_nv_fund",D$3,$A303))</f>
        <v/>
      </c>
      <c r="E303" s="13" t="str">
        <f>IF($A303="","",[1]!thsiFinD("ths_adjustment_nv_fund",E$3,$A303))</f>
        <v/>
      </c>
      <c r="F303" s="13" t="str">
        <f>IF($A303="","",[1]!thsiFinD("ths_adjustment_nv_fund",F$3,$A303))</f>
        <v/>
      </c>
      <c r="G303" s="13" t="str">
        <f>IF($A303="","",[1]!thsiFinD("ths_adjustment_nv_fund",G$3,$A303))</f>
        <v/>
      </c>
      <c r="H303" s="13" t="str">
        <f>IF($A303="","",[1]!thsiFinD("ths_adjustment_nv_fund",H$3,$A303))</f>
        <v/>
      </c>
      <c r="I303" s="13" t="str">
        <f>IF($A303="","",[1]!thsiFinD("ths_adjustment_nv_fund",I$3,$A303))</f>
        <v/>
      </c>
      <c r="J303" s="13" t="str">
        <f>IF($A303="","",[1]!thsiFinD("ths_adjustment_nv_fund",J$3,$A303))</f>
        <v/>
      </c>
      <c r="K303" s="13" t="str">
        <f>IF($A303="","",[1]!thsiFinD("ths_adjustment_nv_fund",K$3,$A303))</f>
        <v/>
      </c>
      <c r="L303" s="13" t="str">
        <f>IF($A303="","",[1]!thsiFinD("ths_adjustment_nv_fund",L$3,$A303))</f>
        <v/>
      </c>
      <c r="M303" s="13" t="str">
        <f>IF($A303="","",[1]!thsiFinD("ths_adjustment_nv_fund",M$3,$A303))</f>
        <v/>
      </c>
      <c r="N303" s="13" t="str">
        <f>IF($A303="","",[1]!thsiFinD("ths_adjustment_nv_fund",N$3,$A303))</f>
        <v/>
      </c>
      <c r="O303" s="13" t="str">
        <f>IF($A303="","",[1]!thsiFinD("ths_adjustment_nv_fund",O$3,$A303))</f>
        <v/>
      </c>
      <c r="P303" s="13" t="str">
        <f>IF($A303="","",[1]!thsiFinD("ths_adjustment_nv_fund",P$3,$A303))</f>
        <v/>
      </c>
      <c r="Q303" s="13" t="str">
        <f>IF($A303="","",[1]!thsiFinD("ths_adjustment_nv_fund",Q$3,$A303))</f>
        <v/>
      </c>
      <c r="R303" s="13" t="str">
        <f>IF($A303="","",[1]!thsiFinD("ths_adjustment_nv_fund",R$3,$A303))</f>
        <v/>
      </c>
      <c r="S303" s="13" t="str">
        <f>IF($A303="","",[1]!thsiFinD("ths_adjustment_nv_fund",S$3,$A303))</f>
        <v/>
      </c>
      <c r="T303" s="13" t="str">
        <f>IF($A303="","",[1]!thsiFinD("ths_adjustment_nv_fund",T$3,$A303))</f>
        <v/>
      </c>
      <c r="U303" s="13" t="str">
        <f>IF($A303="","",[1]!thsiFinD("ths_adjustment_nv_fund",U$3,$A303))</f>
        <v/>
      </c>
      <c r="V303" s="13" t="str">
        <f>IF($A303="","",[1]!thsiFinD("ths_adjustment_nv_fund",V$3,$A303))</f>
        <v/>
      </c>
      <c r="W303" s="13" t="str">
        <f>IF($A303="","",[1]!thsiFinD("ths_adjustment_nv_fund",W$3,$A303))</f>
        <v/>
      </c>
      <c r="X303" s="13" t="str">
        <f>IF($A303="","",[1]!thsiFinD("ths_adjustment_nv_fund",X$3,$A303))</f>
        <v/>
      </c>
      <c r="Y303" s="13" t="str">
        <f>IF($A303="","",[1]!thsiFinD("ths_adjustment_nv_fund",Y$3,$A303))</f>
        <v/>
      </c>
      <c r="Z303" s="13" t="str">
        <f>IF($A303="","",[1]!thsiFinD("ths_adjustment_nv_fund",Z$3,$A303))</f>
        <v/>
      </c>
      <c r="AA303" s="13" t="str">
        <f>IF($A303="","",[1]!thsiFinD("ths_adjustment_nv_fund",AA$3,$A303))</f>
        <v/>
      </c>
      <c r="AB303" s="13" t="str">
        <f>IF($A303="","",[1]!thsiFinD("ths_adjustment_nv_fund",AB$3,$A303))</f>
        <v/>
      </c>
    </row>
    <row r="304" spans="2:28">
      <c r="B304" s="13" t="str">
        <f>IF($A304="","",[1]!thsiFinD("ths_adjustment_nv_fund",B$3,$A304))</f>
        <v/>
      </c>
      <c r="C304" s="13" t="str">
        <f>IF($A304="","",[1]!thsiFinD("ths_adjustment_nv_fund",C$3,$A304))</f>
        <v/>
      </c>
      <c r="D304" s="13" t="str">
        <f>IF($A304="","",[1]!thsiFinD("ths_adjustment_nv_fund",D$3,$A304))</f>
        <v/>
      </c>
      <c r="E304" s="13" t="str">
        <f>IF($A304="","",[1]!thsiFinD("ths_adjustment_nv_fund",E$3,$A304))</f>
        <v/>
      </c>
      <c r="F304" s="13" t="str">
        <f>IF($A304="","",[1]!thsiFinD("ths_adjustment_nv_fund",F$3,$A304))</f>
        <v/>
      </c>
      <c r="G304" s="13" t="str">
        <f>IF($A304="","",[1]!thsiFinD("ths_adjustment_nv_fund",G$3,$A304))</f>
        <v/>
      </c>
      <c r="H304" s="13" t="str">
        <f>IF($A304="","",[1]!thsiFinD("ths_adjustment_nv_fund",H$3,$A304))</f>
        <v/>
      </c>
      <c r="I304" s="13" t="str">
        <f>IF($A304="","",[1]!thsiFinD("ths_adjustment_nv_fund",I$3,$A304))</f>
        <v/>
      </c>
      <c r="J304" s="13" t="str">
        <f>IF($A304="","",[1]!thsiFinD("ths_adjustment_nv_fund",J$3,$A304))</f>
        <v/>
      </c>
      <c r="K304" s="13" t="str">
        <f>IF($A304="","",[1]!thsiFinD("ths_adjustment_nv_fund",K$3,$A304))</f>
        <v/>
      </c>
      <c r="L304" s="13" t="str">
        <f>IF($A304="","",[1]!thsiFinD("ths_adjustment_nv_fund",L$3,$A304))</f>
        <v/>
      </c>
      <c r="M304" s="13" t="str">
        <f>IF($A304="","",[1]!thsiFinD("ths_adjustment_nv_fund",M$3,$A304))</f>
        <v/>
      </c>
      <c r="N304" s="13" t="str">
        <f>IF($A304="","",[1]!thsiFinD("ths_adjustment_nv_fund",N$3,$A304))</f>
        <v/>
      </c>
      <c r="O304" s="13" t="str">
        <f>IF($A304="","",[1]!thsiFinD("ths_adjustment_nv_fund",O$3,$A304))</f>
        <v/>
      </c>
      <c r="P304" s="13" t="str">
        <f>IF($A304="","",[1]!thsiFinD("ths_adjustment_nv_fund",P$3,$A304))</f>
        <v/>
      </c>
      <c r="Q304" s="13" t="str">
        <f>IF($A304="","",[1]!thsiFinD("ths_adjustment_nv_fund",Q$3,$A304))</f>
        <v/>
      </c>
      <c r="R304" s="13" t="str">
        <f>IF($A304="","",[1]!thsiFinD("ths_adjustment_nv_fund",R$3,$A304))</f>
        <v/>
      </c>
      <c r="S304" s="13" t="str">
        <f>IF($A304="","",[1]!thsiFinD("ths_adjustment_nv_fund",S$3,$A304))</f>
        <v/>
      </c>
      <c r="T304" s="13" t="str">
        <f>IF($A304="","",[1]!thsiFinD("ths_adjustment_nv_fund",T$3,$A304))</f>
        <v/>
      </c>
      <c r="U304" s="13" t="str">
        <f>IF($A304="","",[1]!thsiFinD("ths_adjustment_nv_fund",U$3,$A304))</f>
        <v/>
      </c>
      <c r="V304" s="13" t="str">
        <f>IF($A304="","",[1]!thsiFinD("ths_adjustment_nv_fund",V$3,$A304))</f>
        <v/>
      </c>
      <c r="W304" s="13" t="str">
        <f>IF($A304="","",[1]!thsiFinD("ths_adjustment_nv_fund",W$3,$A304))</f>
        <v/>
      </c>
      <c r="X304" s="13" t="str">
        <f>IF($A304="","",[1]!thsiFinD("ths_adjustment_nv_fund",X$3,$A304))</f>
        <v/>
      </c>
      <c r="Y304" s="13" t="str">
        <f>IF($A304="","",[1]!thsiFinD("ths_adjustment_nv_fund",Y$3,$A304))</f>
        <v/>
      </c>
      <c r="Z304" s="13" t="str">
        <f>IF($A304="","",[1]!thsiFinD("ths_adjustment_nv_fund",Z$3,$A304))</f>
        <v/>
      </c>
      <c r="AA304" s="13" t="str">
        <f>IF($A304="","",[1]!thsiFinD("ths_adjustment_nv_fund",AA$3,$A304))</f>
        <v/>
      </c>
      <c r="AB304" s="13" t="str">
        <f>IF($A304="","",[1]!thsiFinD("ths_adjustment_nv_fund",AB$3,$A304))</f>
        <v/>
      </c>
    </row>
    <row r="305" spans="2:28">
      <c r="B305" s="13" t="str">
        <f>IF($A305="","",[1]!thsiFinD("ths_adjustment_nv_fund",B$3,$A305))</f>
        <v/>
      </c>
      <c r="C305" s="13" t="str">
        <f>IF($A305="","",[1]!thsiFinD("ths_adjustment_nv_fund",C$3,$A305))</f>
        <v/>
      </c>
      <c r="D305" s="13" t="str">
        <f>IF($A305="","",[1]!thsiFinD("ths_adjustment_nv_fund",D$3,$A305))</f>
        <v/>
      </c>
      <c r="E305" s="13" t="str">
        <f>IF($A305="","",[1]!thsiFinD("ths_adjustment_nv_fund",E$3,$A305))</f>
        <v/>
      </c>
      <c r="F305" s="13" t="str">
        <f>IF($A305="","",[1]!thsiFinD("ths_adjustment_nv_fund",F$3,$A305))</f>
        <v/>
      </c>
      <c r="G305" s="13" t="str">
        <f>IF($A305="","",[1]!thsiFinD("ths_adjustment_nv_fund",G$3,$A305))</f>
        <v/>
      </c>
      <c r="H305" s="13" t="str">
        <f>IF($A305="","",[1]!thsiFinD("ths_adjustment_nv_fund",H$3,$A305))</f>
        <v/>
      </c>
      <c r="I305" s="13" t="str">
        <f>IF($A305="","",[1]!thsiFinD("ths_adjustment_nv_fund",I$3,$A305))</f>
        <v/>
      </c>
      <c r="J305" s="13" t="str">
        <f>IF($A305="","",[1]!thsiFinD("ths_adjustment_nv_fund",J$3,$A305))</f>
        <v/>
      </c>
      <c r="K305" s="13" t="str">
        <f>IF($A305="","",[1]!thsiFinD("ths_adjustment_nv_fund",K$3,$A305))</f>
        <v/>
      </c>
      <c r="L305" s="13" t="str">
        <f>IF($A305="","",[1]!thsiFinD("ths_adjustment_nv_fund",L$3,$A305))</f>
        <v/>
      </c>
      <c r="M305" s="13" t="str">
        <f>IF($A305="","",[1]!thsiFinD("ths_adjustment_nv_fund",M$3,$A305))</f>
        <v/>
      </c>
      <c r="N305" s="13" t="str">
        <f>IF($A305="","",[1]!thsiFinD("ths_adjustment_nv_fund",N$3,$A305))</f>
        <v/>
      </c>
      <c r="O305" s="13" t="str">
        <f>IF($A305="","",[1]!thsiFinD("ths_adjustment_nv_fund",O$3,$A305))</f>
        <v/>
      </c>
      <c r="P305" s="13" t="str">
        <f>IF($A305="","",[1]!thsiFinD("ths_adjustment_nv_fund",P$3,$A305))</f>
        <v/>
      </c>
      <c r="Q305" s="13" t="str">
        <f>IF($A305="","",[1]!thsiFinD("ths_adjustment_nv_fund",Q$3,$A305))</f>
        <v/>
      </c>
      <c r="R305" s="13" t="str">
        <f>IF($A305="","",[1]!thsiFinD("ths_adjustment_nv_fund",R$3,$A305))</f>
        <v/>
      </c>
      <c r="S305" s="13" t="str">
        <f>IF($A305="","",[1]!thsiFinD("ths_adjustment_nv_fund",S$3,$A305))</f>
        <v/>
      </c>
      <c r="T305" s="13" t="str">
        <f>IF($A305="","",[1]!thsiFinD("ths_adjustment_nv_fund",T$3,$A305))</f>
        <v/>
      </c>
      <c r="U305" s="13" t="str">
        <f>IF($A305="","",[1]!thsiFinD("ths_adjustment_nv_fund",U$3,$A305))</f>
        <v/>
      </c>
      <c r="V305" s="13" t="str">
        <f>IF($A305="","",[1]!thsiFinD("ths_adjustment_nv_fund",V$3,$A305))</f>
        <v/>
      </c>
      <c r="W305" s="13" t="str">
        <f>IF($A305="","",[1]!thsiFinD("ths_adjustment_nv_fund",W$3,$A305))</f>
        <v/>
      </c>
      <c r="X305" s="13" t="str">
        <f>IF($A305="","",[1]!thsiFinD("ths_adjustment_nv_fund",X$3,$A305))</f>
        <v/>
      </c>
      <c r="Y305" s="13" t="str">
        <f>IF($A305="","",[1]!thsiFinD("ths_adjustment_nv_fund",Y$3,$A305))</f>
        <v/>
      </c>
      <c r="Z305" s="13" t="str">
        <f>IF($A305="","",[1]!thsiFinD("ths_adjustment_nv_fund",Z$3,$A305))</f>
        <v/>
      </c>
      <c r="AA305" s="13" t="str">
        <f>IF($A305="","",[1]!thsiFinD("ths_adjustment_nv_fund",AA$3,$A305))</f>
        <v/>
      </c>
      <c r="AB305" s="13" t="str">
        <f>IF($A305="","",[1]!thsiFinD("ths_adjustment_nv_fund",AB$3,$A305))</f>
        <v/>
      </c>
    </row>
    <row r="306" spans="2:28">
      <c r="B306" s="13" t="str">
        <f>IF($A306="","",[1]!thsiFinD("ths_adjustment_nv_fund",B$3,$A306))</f>
        <v/>
      </c>
      <c r="C306" s="13" t="str">
        <f>IF($A306="","",[1]!thsiFinD("ths_adjustment_nv_fund",C$3,$A306))</f>
        <v/>
      </c>
      <c r="D306" s="13" t="str">
        <f>IF($A306="","",[1]!thsiFinD("ths_adjustment_nv_fund",D$3,$A306))</f>
        <v/>
      </c>
      <c r="E306" s="13" t="str">
        <f>IF($A306="","",[1]!thsiFinD("ths_adjustment_nv_fund",E$3,$A306))</f>
        <v/>
      </c>
      <c r="F306" s="13" t="str">
        <f>IF($A306="","",[1]!thsiFinD("ths_adjustment_nv_fund",F$3,$A306))</f>
        <v/>
      </c>
      <c r="G306" s="13" t="str">
        <f>IF($A306="","",[1]!thsiFinD("ths_adjustment_nv_fund",G$3,$A306))</f>
        <v/>
      </c>
      <c r="H306" s="13" t="str">
        <f>IF($A306="","",[1]!thsiFinD("ths_adjustment_nv_fund",H$3,$A306))</f>
        <v/>
      </c>
      <c r="I306" s="13" t="str">
        <f>IF($A306="","",[1]!thsiFinD("ths_adjustment_nv_fund",I$3,$A306))</f>
        <v/>
      </c>
      <c r="J306" s="13" t="str">
        <f>IF($A306="","",[1]!thsiFinD("ths_adjustment_nv_fund",J$3,$A306))</f>
        <v/>
      </c>
      <c r="K306" s="13" t="str">
        <f>IF($A306="","",[1]!thsiFinD("ths_adjustment_nv_fund",K$3,$A306))</f>
        <v/>
      </c>
      <c r="L306" s="13" t="str">
        <f>IF($A306="","",[1]!thsiFinD("ths_adjustment_nv_fund",L$3,$A306))</f>
        <v/>
      </c>
      <c r="M306" s="13" t="str">
        <f>IF($A306="","",[1]!thsiFinD("ths_adjustment_nv_fund",M$3,$A306))</f>
        <v/>
      </c>
      <c r="N306" s="13" t="str">
        <f>IF($A306="","",[1]!thsiFinD("ths_adjustment_nv_fund",N$3,$A306))</f>
        <v/>
      </c>
      <c r="O306" s="13" t="str">
        <f>IF($A306="","",[1]!thsiFinD("ths_adjustment_nv_fund",O$3,$A306))</f>
        <v/>
      </c>
      <c r="P306" s="13" t="str">
        <f>IF($A306="","",[1]!thsiFinD("ths_adjustment_nv_fund",P$3,$A306))</f>
        <v/>
      </c>
      <c r="Q306" s="13" t="str">
        <f>IF($A306="","",[1]!thsiFinD("ths_adjustment_nv_fund",Q$3,$A306))</f>
        <v/>
      </c>
      <c r="R306" s="13" t="str">
        <f>IF($A306="","",[1]!thsiFinD("ths_adjustment_nv_fund",R$3,$A306))</f>
        <v/>
      </c>
      <c r="S306" s="13" t="str">
        <f>IF($A306="","",[1]!thsiFinD("ths_adjustment_nv_fund",S$3,$A306))</f>
        <v/>
      </c>
      <c r="T306" s="13" t="str">
        <f>IF($A306="","",[1]!thsiFinD("ths_adjustment_nv_fund",T$3,$A306))</f>
        <v/>
      </c>
      <c r="U306" s="13" t="str">
        <f>IF($A306="","",[1]!thsiFinD("ths_adjustment_nv_fund",U$3,$A306))</f>
        <v/>
      </c>
      <c r="V306" s="13" t="str">
        <f>IF($A306="","",[1]!thsiFinD("ths_adjustment_nv_fund",V$3,$A306))</f>
        <v/>
      </c>
      <c r="W306" s="13" t="str">
        <f>IF($A306="","",[1]!thsiFinD("ths_adjustment_nv_fund",W$3,$A306))</f>
        <v/>
      </c>
      <c r="X306" s="13" t="str">
        <f>IF($A306="","",[1]!thsiFinD("ths_adjustment_nv_fund",X$3,$A306))</f>
        <v/>
      </c>
      <c r="Y306" s="13" t="str">
        <f>IF($A306="","",[1]!thsiFinD("ths_adjustment_nv_fund",Y$3,$A306))</f>
        <v/>
      </c>
      <c r="Z306" s="13" t="str">
        <f>IF($A306="","",[1]!thsiFinD("ths_adjustment_nv_fund",Z$3,$A306))</f>
        <v/>
      </c>
      <c r="AA306" s="13" t="str">
        <f>IF($A306="","",[1]!thsiFinD("ths_adjustment_nv_fund",AA$3,$A306))</f>
        <v/>
      </c>
      <c r="AB306" s="13" t="str">
        <f>IF($A306="","",[1]!thsiFinD("ths_adjustment_nv_fund",AB$3,$A306))</f>
        <v/>
      </c>
    </row>
    <row r="307" spans="2:28">
      <c r="B307" s="13" t="str">
        <f>IF($A307="","",[1]!thsiFinD("ths_adjustment_nv_fund",B$3,$A307))</f>
        <v/>
      </c>
      <c r="C307" s="13" t="str">
        <f>IF($A307="","",[1]!thsiFinD("ths_adjustment_nv_fund",C$3,$A307))</f>
        <v/>
      </c>
      <c r="D307" s="13" t="str">
        <f>IF($A307="","",[1]!thsiFinD("ths_adjustment_nv_fund",D$3,$A307))</f>
        <v/>
      </c>
      <c r="E307" s="13" t="str">
        <f>IF($A307="","",[1]!thsiFinD("ths_adjustment_nv_fund",E$3,$A307))</f>
        <v/>
      </c>
      <c r="F307" s="13" t="str">
        <f>IF($A307="","",[1]!thsiFinD("ths_adjustment_nv_fund",F$3,$A307))</f>
        <v/>
      </c>
      <c r="G307" s="13" t="str">
        <f>IF($A307="","",[1]!thsiFinD("ths_adjustment_nv_fund",G$3,$A307))</f>
        <v/>
      </c>
      <c r="H307" s="13" t="str">
        <f>IF($A307="","",[1]!thsiFinD("ths_adjustment_nv_fund",H$3,$A307))</f>
        <v/>
      </c>
      <c r="I307" s="13" t="str">
        <f>IF($A307="","",[1]!thsiFinD("ths_adjustment_nv_fund",I$3,$A307))</f>
        <v/>
      </c>
      <c r="J307" s="13" t="str">
        <f>IF($A307="","",[1]!thsiFinD("ths_adjustment_nv_fund",J$3,$A307))</f>
        <v/>
      </c>
      <c r="K307" s="13" t="str">
        <f>IF($A307="","",[1]!thsiFinD("ths_adjustment_nv_fund",K$3,$A307))</f>
        <v/>
      </c>
      <c r="L307" s="13" t="str">
        <f>IF($A307="","",[1]!thsiFinD("ths_adjustment_nv_fund",L$3,$A307))</f>
        <v/>
      </c>
      <c r="M307" s="13" t="str">
        <f>IF($A307="","",[1]!thsiFinD("ths_adjustment_nv_fund",M$3,$A307))</f>
        <v/>
      </c>
      <c r="N307" s="13" t="str">
        <f>IF($A307="","",[1]!thsiFinD("ths_adjustment_nv_fund",N$3,$A307))</f>
        <v/>
      </c>
      <c r="O307" s="13" t="str">
        <f>IF($A307="","",[1]!thsiFinD("ths_adjustment_nv_fund",O$3,$A307))</f>
        <v/>
      </c>
      <c r="P307" s="13" t="str">
        <f>IF($A307="","",[1]!thsiFinD("ths_adjustment_nv_fund",P$3,$A307))</f>
        <v/>
      </c>
      <c r="Q307" s="13" t="str">
        <f>IF($A307="","",[1]!thsiFinD("ths_adjustment_nv_fund",Q$3,$A307))</f>
        <v/>
      </c>
      <c r="R307" s="13" t="str">
        <f>IF($A307="","",[1]!thsiFinD("ths_adjustment_nv_fund",R$3,$A307))</f>
        <v/>
      </c>
      <c r="S307" s="13" t="str">
        <f>IF($A307="","",[1]!thsiFinD("ths_adjustment_nv_fund",S$3,$A307))</f>
        <v/>
      </c>
      <c r="T307" s="13" t="str">
        <f>IF($A307="","",[1]!thsiFinD("ths_adjustment_nv_fund",T$3,$A307))</f>
        <v/>
      </c>
      <c r="U307" s="13" t="str">
        <f>IF($A307="","",[1]!thsiFinD("ths_adjustment_nv_fund",U$3,$A307))</f>
        <v/>
      </c>
      <c r="V307" s="13" t="str">
        <f>IF($A307="","",[1]!thsiFinD("ths_adjustment_nv_fund",V$3,$A307))</f>
        <v/>
      </c>
      <c r="W307" s="13" t="str">
        <f>IF($A307="","",[1]!thsiFinD("ths_adjustment_nv_fund",W$3,$A307))</f>
        <v/>
      </c>
      <c r="X307" s="13" t="str">
        <f>IF($A307="","",[1]!thsiFinD("ths_adjustment_nv_fund",X$3,$A307))</f>
        <v/>
      </c>
      <c r="Y307" s="13" t="str">
        <f>IF($A307="","",[1]!thsiFinD("ths_adjustment_nv_fund",Y$3,$A307))</f>
        <v/>
      </c>
      <c r="Z307" s="13" t="str">
        <f>IF($A307="","",[1]!thsiFinD("ths_adjustment_nv_fund",Z$3,$A307))</f>
        <v/>
      </c>
      <c r="AA307" s="13" t="str">
        <f>IF($A307="","",[1]!thsiFinD("ths_adjustment_nv_fund",AA$3,$A307))</f>
        <v/>
      </c>
      <c r="AB307" s="13" t="str">
        <f>IF($A307="","",[1]!thsiFinD("ths_adjustment_nv_fund",AB$3,$A307))</f>
        <v/>
      </c>
    </row>
    <row r="308" spans="2:28">
      <c r="B308" s="13" t="str">
        <f>IF($A308="","",[1]!thsiFinD("ths_adjustment_nv_fund",B$3,$A308))</f>
        <v/>
      </c>
      <c r="C308" s="13" t="str">
        <f>IF($A308="","",[1]!thsiFinD("ths_adjustment_nv_fund",C$3,$A308))</f>
        <v/>
      </c>
      <c r="D308" s="13" t="str">
        <f>IF($A308="","",[1]!thsiFinD("ths_adjustment_nv_fund",D$3,$A308))</f>
        <v/>
      </c>
      <c r="E308" s="13" t="str">
        <f>IF($A308="","",[1]!thsiFinD("ths_adjustment_nv_fund",E$3,$A308))</f>
        <v/>
      </c>
      <c r="F308" s="13" t="str">
        <f>IF($A308="","",[1]!thsiFinD("ths_adjustment_nv_fund",F$3,$A308))</f>
        <v/>
      </c>
      <c r="G308" s="13" t="str">
        <f>IF($A308="","",[1]!thsiFinD("ths_adjustment_nv_fund",G$3,$A308))</f>
        <v/>
      </c>
      <c r="H308" s="13" t="str">
        <f>IF($A308="","",[1]!thsiFinD("ths_adjustment_nv_fund",H$3,$A308))</f>
        <v/>
      </c>
      <c r="I308" s="13" t="str">
        <f>IF($A308="","",[1]!thsiFinD("ths_adjustment_nv_fund",I$3,$A308))</f>
        <v/>
      </c>
      <c r="J308" s="13" t="str">
        <f>IF($A308="","",[1]!thsiFinD("ths_adjustment_nv_fund",J$3,$A308))</f>
        <v/>
      </c>
      <c r="K308" s="13" t="str">
        <f>IF($A308="","",[1]!thsiFinD("ths_adjustment_nv_fund",K$3,$A308))</f>
        <v/>
      </c>
      <c r="L308" s="13" t="str">
        <f>IF($A308="","",[1]!thsiFinD("ths_adjustment_nv_fund",L$3,$A308))</f>
        <v/>
      </c>
      <c r="M308" s="13" t="str">
        <f>IF($A308="","",[1]!thsiFinD("ths_adjustment_nv_fund",M$3,$A308))</f>
        <v/>
      </c>
      <c r="N308" s="13" t="str">
        <f>IF($A308="","",[1]!thsiFinD("ths_adjustment_nv_fund",N$3,$A308))</f>
        <v/>
      </c>
      <c r="O308" s="13" t="str">
        <f>IF($A308="","",[1]!thsiFinD("ths_adjustment_nv_fund",O$3,$A308))</f>
        <v/>
      </c>
      <c r="P308" s="13" t="str">
        <f>IF($A308="","",[1]!thsiFinD("ths_adjustment_nv_fund",P$3,$A308))</f>
        <v/>
      </c>
      <c r="Q308" s="13" t="str">
        <f>IF($A308="","",[1]!thsiFinD("ths_adjustment_nv_fund",Q$3,$A308))</f>
        <v/>
      </c>
      <c r="R308" s="13" t="str">
        <f>IF($A308="","",[1]!thsiFinD("ths_adjustment_nv_fund",R$3,$A308))</f>
        <v/>
      </c>
      <c r="S308" s="13" t="str">
        <f>IF($A308="","",[1]!thsiFinD("ths_adjustment_nv_fund",S$3,$A308))</f>
        <v/>
      </c>
      <c r="T308" s="13" t="str">
        <f>IF($A308="","",[1]!thsiFinD("ths_adjustment_nv_fund",T$3,$A308))</f>
        <v/>
      </c>
      <c r="U308" s="13" t="str">
        <f>IF($A308="","",[1]!thsiFinD("ths_adjustment_nv_fund",U$3,$A308))</f>
        <v/>
      </c>
      <c r="V308" s="13" t="str">
        <f>IF($A308="","",[1]!thsiFinD("ths_adjustment_nv_fund",V$3,$A308))</f>
        <v/>
      </c>
      <c r="W308" s="13" t="str">
        <f>IF($A308="","",[1]!thsiFinD("ths_adjustment_nv_fund",W$3,$A308))</f>
        <v/>
      </c>
      <c r="X308" s="13" t="str">
        <f>IF($A308="","",[1]!thsiFinD("ths_adjustment_nv_fund",X$3,$A308))</f>
        <v/>
      </c>
      <c r="Y308" s="13" t="str">
        <f>IF($A308="","",[1]!thsiFinD("ths_adjustment_nv_fund",Y$3,$A308))</f>
        <v/>
      </c>
      <c r="Z308" s="13" t="str">
        <f>IF($A308="","",[1]!thsiFinD("ths_adjustment_nv_fund",Z$3,$A308))</f>
        <v/>
      </c>
      <c r="AA308" s="13" t="str">
        <f>IF($A308="","",[1]!thsiFinD("ths_adjustment_nv_fund",AA$3,$A308))</f>
        <v/>
      </c>
      <c r="AB308" s="13" t="str">
        <f>IF($A308="","",[1]!thsiFinD("ths_adjustment_nv_fund",AB$3,$A308))</f>
        <v/>
      </c>
    </row>
    <row r="309" spans="2:28">
      <c r="B309" s="13" t="str">
        <f>IF($A309="","",[1]!thsiFinD("ths_adjustment_nv_fund",B$3,$A309))</f>
        <v/>
      </c>
      <c r="C309" s="13" t="str">
        <f>IF($A309="","",[1]!thsiFinD("ths_adjustment_nv_fund",C$3,$A309))</f>
        <v/>
      </c>
      <c r="D309" s="13" t="str">
        <f>IF($A309="","",[1]!thsiFinD("ths_adjustment_nv_fund",D$3,$A309))</f>
        <v/>
      </c>
      <c r="E309" s="13" t="str">
        <f>IF($A309="","",[1]!thsiFinD("ths_adjustment_nv_fund",E$3,$A309))</f>
        <v/>
      </c>
      <c r="F309" s="13" t="str">
        <f>IF($A309="","",[1]!thsiFinD("ths_adjustment_nv_fund",F$3,$A309))</f>
        <v/>
      </c>
      <c r="G309" s="13" t="str">
        <f>IF($A309="","",[1]!thsiFinD("ths_adjustment_nv_fund",G$3,$A309))</f>
        <v/>
      </c>
      <c r="H309" s="13" t="str">
        <f>IF($A309="","",[1]!thsiFinD("ths_adjustment_nv_fund",H$3,$A309))</f>
        <v/>
      </c>
      <c r="I309" s="13" t="str">
        <f>IF($A309="","",[1]!thsiFinD("ths_adjustment_nv_fund",I$3,$A309))</f>
        <v/>
      </c>
      <c r="J309" s="13" t="str">
        <f>IF($A309="","",[1]!thsiFinD("ths_adjustment_nv_fund",J$3,$A309))</f>
        <v/>
      </c>
      <c r="K309" s="13" t="str">
        <f>IF($A309="","",[1]!thsiFinD("ths_adjustment_nv_fund",K$3,$A309))</f>
        <v/>
      </c>
      <c r="L309" s="13" t="str">
        <f>IF($A309="","",[1]!thsiFinD("ths_adjustment_nv_fund",L$3,$A309))</f>
        <v/>
      </c>
      <c r="M309" s="13" t="str">
        <f>IF($A309="","",[1]!thsiFinD("ths_adjustment_nv_fund",M$3,$A309))</f>
        <v/>
      </c>
      <c r="N309" s="13" t="str">
        <f>IF($A309="","",[1]!thsiFinD("ths_adjustment_nv_fund",N$3,$A309))</f>
        <v/>
      </c>
      <c r="O309" s="13" t="str">
        <f>IF($A309="","",[1]!thsiFinD("ths_adjustment_nv_fund",O$3,$A309))</f>
        <v/>
      </c>
      <c r="P309" s="13" t="str">
        <f>IF($A309="","",[1]!thsiFinD("ths_adjustment_nv_fund",P$3,$A309))</f>
        <v/>
      </c>
      <c r="Q309" s="13" t="str">
        <f>IF($A309="","",[1]!thsiFinD("ths_adjustment_nv_fund",Q$3,$A309))</f>
        <v/>
      </c>
      <c r="R309" s="13" t="str">
        <f>IF($A309="","",[1]!thsiFinD("ths_adjustment_nv_fund",R$3,$A309))</f>
        <v/>
      </c>
      <c r="S309" s="13" t="str">
        <f>IF($A309="","",[1]!thsiFinD("ths_adjustment_nv_fund",S$3,$A309))</f>
        <v/>
      </c>
      <c r="T309" s="13" t="str">
        <f>IF($A309="","",[1]!thsiFinD("ths_adjustment_nv_fund",T$3,$A309))</f>
        <v/>
      </c>
      <c r="U309" s="13" t="str">
        <f>IF($A309="","",[1]!thsiFinD("ths_adjustment_nv_fund",U$3,$A309))</f>
        <v/>
      </c>
      <c r="V309" s="13" t="str">
        <f>IF($A309="","",[1]!thsiFinD("ths_adjustment_nv_fund",V$3,$A309))</f>
        <v/>
      </c>
      <c r="W309" s="13" t="str">
        <f>IF($A309="","",[1]!thsiFinD("ths_adjustment_nv_fund",W$3,$A309))</f>
        <v/>
      </c>
      <c r="X309" s="13" t="str">
        <f>IF($A309="","",[1]!thsiFinD("ths_adjustment_nv_fund",X$3,$A309))</f>
        <v/>
      </c>
      <c r="Y309" s="13" t="str">
        <f>IF($A309="","",[1]!thsiFinD("ths_adjustment_nv_fund",Y$3,$A309))</f>
        <v/>
      </c>
      <c r="Z309" s="13" t="str">
        <f>IF($A309="","",[1]!thsiFinD("ths_adjustment_nv_fund",Z$3,$A309))</f>
        <v/>
      </c>
      <c r="AA309" s="13" t="str">
        <f>IF($A309="","",[1]!thsiFinD("ths_adjustment_nv_fund",AA$3,$A309))</f>
        <v/>
      </c>
      <c r="AB309" s="13" t="str">
        <f>IF($A309="","",[1]!thsiFinD("ths_adjustment_nv_fund",AB$3,$A309))</f>
        <v/>
      </c>
    </row>
    <row r="310" spans="2:28">
      <c r="B310" s="13" t="str">
        <f>IF($A310="","",[1]!thsiFinD("ths_adjustment_nv_fund",B$3,$A310))</f>
        <v/>
      </c>
      <c r="C310" s="13" t="str">
        <f>IF($A310="","",[1]!thsiFinD("ths_adjustment_nv_fund",C$3,$A310))</f>
        <v/>
      </c>
      <c r="D310" s="13" t="str">
        <f>IF($A310="","",[1]!thsiFinD("ths_adjustment_nv_fund",D$3,$A310))</f>
        <v/>
      </c>
      <c r="E310" s="13" t="str">
        <f>IF($A310="","",[1]!thsiFinD("ths_adjustment_nv_fund",E$3,$A310))</f>
        <v/>
      </c>
      <c r="F310" s="13" t="str">
        <f>IF($A310="","",[1]!thsiFinD("ths_adjustment_nv_fund",F$3,$A310))</f>
        <v/>
      </c>
      <c r="G310" s="13" t="str">
        <f>IF($A310="","",[1]!thsiFinD("ths_adjustment_nv_fund",G$3,$A310))</f>
        <v/>
      </c>
      <c r="H310" s="13" t="str">
        <f>IF($A310="","",[1]!thsiFinD("ths_adjustment_nv_fund",H$3,$A310))</f>
        <v/>
      </c>
      <c r="I310" s="13" t="str">
        <f>IF($A310="","",[1]!thsiFinD("ths_adjustment_nv_fund",I$3,$A310))</f>
        <v/>
      </c>
      <c r="J310" s="13" t="str">
        <f>IF($A310="","",[1]!thsiFinD("ths_adjustment_nv_fund",J$3,$A310))</f>
        <v/>
      </c>
      <c r="K310" s="13" t="str">
        <f>IF($A310="","",[1]!thsiFinD("ths_adjustment_nv_fund",K$3,$A310))</f>
        <v/>
      </c>
      <c r="L310" s="13" t="str">
        <f>IF($A310="","",[1]!thsiFinD("ths_adjustment_nv_fund",L$3,$A310))</f>
        <v/>
      </c>
      <c r="M310" s="13" t="str">
        <f>IF($A310="","",[1]!thsiFinD("ths_adjustment_nv_fund",M$3,$A310))</f>
        <v/>
      </c>
      <c r="N310" s="13" t="str">
        <f>IF($A310="","",[1]!thsiFinD("ths_adjustment_nv_fund",N$3,$A310))</f>
        <v/>
      </c>
      <c r="O310" s="13" t="str">
        <f>IF($A310="","",[1]!thsiFinD("ths_adjustment_nv_fund",O$3,$A310))</f>
        <v/>
      </c>
      <c r="P310" s="13" t="str">
        <f>IF($A310="","",[1]!thsiFinD("ths_adjustment_nv_fund",P$3,$A310))</f>
        <v/>
      </c>
      <c r="Q310" s="13" t="str">
        <f>IF($A310="","",[1]!thsiFinD("ths_adjustment_nv_fund",Q$3,$A310))</f>
        <v/>
      </c>
      <c r="R310" s="13" t="str">
        <f>IF($A310="","",[1]!thsiFinD("ths_adjustment_nv_fund",R$3,$A310))</f>
        <v/>
      </c>
      <c r="S310" s="13" t="str">
        <f>IF($A310="","",[1]!thsiFinD("ths_adjustment_nv_fund",S$3,$A310))</f>
        <v/>
      </c>
      <c r="T310" s="13" t="str">
        <f>IF($A310="","",[1]!thsiFinD("ths_adjustment_nv_fund",T$3,$A310))</f>
        <v/>
      </c>
      <c r="U310" s="13" t="str">
        <f>IF($A310="","",[1]!thsiFinD("ths_adjustment_nv_fund",U$3,$A310))</f>
        <v/>
      </c>
      <c r="V310" s="13" t="str">
        <f>IF($A310="","",[1]!thsiFinD("ths_adjustment_nv_fund",V$3,$A310))</f>
        <v/>
      </c>
      <c r="W310" s="13" t="str">
        <f>IF($A310="","",[1]!thsiFinD("ths_adjustment_nv_fund",W$3,$A310))</f>
        <v/>
      </c>
      <c r="X310" s="13" t="str">
        <f>IF($A310="","",[1]!thsiFinD("ths_adjustment_nv_fund",X$3,$A310))</f>
        <v/>
      </c>
      <c r="Y310" s="13" t="str">
        <f>IF($A310="","",[1]!thsiFinD("ths_adjustment_nv_fund",Y$3,$A310))</f>
        <v/>
      </c>
      <c r="Z310" s="13" t="str">
        <f>IF($A310="","",[1]!thsiFinD("ths_adjustment_nv_fund",Z$3,$A310))</f>
        <v/>
      </c>
      <c r="AA310" s="13" t="str">
        <f>IF($A310="","",[1]!thsiFinD("ths_adjustment_nv_fund",AA$3,$A310))</f>
        <v/>
      </c>
      <c r="AB310" s="13" t="str">
        <f>IF($A310="","",[1]!thsiFinD("ths_adjustment_nv_fund",AB$3,$A310))</f>
        <v/>
      </c>
    </row>
    <row r="311" spans="2:28">
      <c r="B311" s="13" t="str">
        <f>IF($A311="","",[1]!thsiFinD("ths_adjustment_nv_fund",B$3,$A311))</f>
        <v/>
      </c>
      <c r="C311" s="13" t="str">
        <f>IF($A311="","",[1]!thsiFinD("ths_adjustment_nv_fund",C$3,$A311))</f>
        <v/>
      </c>
      <c r="D311" s="13" t="str">
        <f>IF($A311="","",[1]!thsiFinD("ths_adjustment_nv_fund",D$3,$A311))</f>
        <v/>
      </c>
      <c r="E311" s="13" t="str">
        <f>IF($A311="","",[1]!thsiFinD("ths_adjustment_nv_fund",E$3,$A311))</f>
        <v/>
      </c>
      <c r="F311" s="13" t="str">
        <f>IF($A311="","",[1]!thsiFinD("ths_adjustment_nv_fund",F$3,$A311))</f>
        <v/>
      </c>
      <c r="G311" s="13" t="str">
        <f>IF($A311="","",[1]!thsiFinD("ths_adjustment_nv_fund",G$3,$A311))</f>
        <v/>
      </c>
      <c r="H311" s="13" t="str">
        <f>IF($A311="","",[1]!thsiFinD("ths_adjustment_nv_fund",H$3,$A311))</f>
        <v/>
      </c>
      <c r="I311" s="13" t="str">
        <f>IF($A311="","",[1]!thsiFinD("ths_adjustment_nv_fund",I$3,$A311))</f>
        <v/>
      </c>
      <c r="J311" s="13" t="str">
        <f>IF($A311="","",[1]!thsiFinD("ths_adjustment_nv_fund",J$3,$A311))</f>
        <v/>
      </c>
      <c r="K311" s="13" t="str">
        <f>IF($A311="","",[1]!thsiFinD("ths_adjustment_nv_fund",K$3,$A311))</f>
        <v/>
      </c>
      <c r="L311" s="13" t="str">
        <f>IF($A311="","",[1]!thsiFinD("ths_adjustment_nv_fund",L$3,$A311))</f>
        <v/>
      </c>
      <c r="M311" s="13" t="str">
        <f>IF($A311="","",[1]!thsiFinD("ths_adjustment_nv_fund",M$3,$A311))</f>
        <v/>
      </c>
      <c r="N311" s="13" t="str">
        <f>IF($A311="","",[1]!thsiFinD("ths_adjustment_nv_fund",N$3,$A311))</f>
        <v/>
      </c>
      <c r="O311" s="13" t="str">
        <f>IF($A311="","",[1]!thsiFinD("ths_adjustment_nv_fund",O$3,$A311))</f>
        <v/>
      </c>
      <c r="P311" s="13" t="str">
        <f>IF($A311="","",[1]!thsiFinD("ths_adjustment_nv_fund",P$3,$A311))</f>
        <v/>
      </c>
      <c r="Q311" s="13" t="str">
        <f>IF($A311="","",[1]!thsiFinD("ths_adjustment_nv_fund",Q$3,$A311))</f>
        <v/>
      </c>
      <c r="R311" s="13" t="str">
        <f>IF($A311="","",[1]!thsiFinD("ths_adjustment_nv_fund",R$3,$A311))</f>
        <v/>
      </c>
      <c r="S311" s="13" t="str">
        <f>IF($A311="","",[1]!thsiFinD("ths_adjustment_nv_fund",S$3,$A311))</f>
        <v/>
      </c>
      <c r="T311" s="13" t="str">
        <f>IF($A311="","",[1]!thsiFinD("ths_adjustment_nv_fund",T$3,$A311))</f>
        <v/>
      </c>
      <c r="U311" s="13" t="str">
        <f>IF($A311="","",[1]!thsiFinD("ths_adjustment_nv_fund",U$3,$A311))</f>
        <v/>
      </c>
      <c r="V311" s="13" t="str">
        <f>IF($A311="","",[1]!thsiFinD("ths_adjustment_nv_fund",V$3,$A311))</f>
        <v/>
      </c>
      <c r="W311" s="13" t="str">
        <f>IF($A311="","",[1]!thsiFinD("ths_adjustment_nv_fund",W$3,$A311))</f>
        <v/>
      </c>
      <c r="X311" s="13" t="str">
        <f>IF($A311="","",[1]!thsiFinD("ths_adjustment_nv_fund",X$3,$A311))</f>
        <v/>
      </c>
      <c r="Y311" s="13" t="str">
        <f>IF($A311="","",[1]!thsiFinD("ths_adjustment_nv_fund",Y$3,$A311))</f>
        <v/>
      </c>
      <c r="Z311" s="13" t="str">
        <f>IF($A311="","",[1]!thsiFinD("ths_adjustment_nv_fund",Z$3,$A311))</f>
        <v/>
      </c>
      <c r="AA311" s="13" t="str">
        <f>IF($A311="","",[1]!thsiFinD("ths_adjustment_nv_fund",AA$3,$A311))</f>
        <v/>
      </c>
      <c r="AB311" s="13" t="str">
        <f>IF($A311="","",[1]!thsiFinD("ths_adjustment_nv_fund",AB$3,$A311))</f>
        <v/>
      </c>
    </row>
    <row r="312" spans="2:28">
      <c r="B312" s="13" t="str">
        <f>IF($A312="","",[1]!thsiFinD("ths_adjustment_nv_fund",B$3,$A312))</f>
        <v/>
      </c>
      <c r="C312" s="13" t="str">
        <f>IF($A312="","",[1]!thsiFinD("ths_adjustment_nv_fund",C$3,$A312))</f>
        <v/>
      </c>
      <c r="D312" s="13" t="str">
        <f>IF($A312="","",[1]!thsiFinD("ths_adjustment_nv_fund",D$3,$A312))</f>
        <v/>
      </c>
      <c r="E312" s="13" t="str">
        <f>IF($A312="","",[1]!thsiFinD("ths_adjustment_nv_fund",E$3,$A312))</f>
        <v/>
      </c>
      <c r="F312" s="13" t="str">
        <f>IF($A312="","",[1]!thsiFinD("ths_adjustment_nv_fund",F$3,$A312))</f>
        <v/>
      </c>
      <c r="G312" s="13" t="str">
        <f>IF($A312="","",[1]!thsiFinD("ths_adjustment_nv_fund",G$3,$A312))</f>
        <v/>
      </c>
      <c r="H312" s="13" t="str">
        <f>IF($A312="","",[1]!thsiFinD("ths_adjustment_nv_fund",H$3,$A312))</f>
        <v/>
      </c>
      <c r="I312" s="13" t="str">
        <f>IF($A312="","",[1]!thsiFinD("ths_adjustment_nv_fund",I$3,$A312))</f>
        <v/>
      </c>
      <c r="J312" s="13" t="str">
        <f>IF($A312="","",[1]!thsiFinD("ths_adjustment_nv_fund",J$3,$A312))</f>
        <v/>
      </c>
      <c r="K312" s="13" t="str">
        <f>IF($A312="","",[1]!thsiFinD("ths_adjustment_nv_fund",K$3,$A312))</f>
        <v/>
      </c>
      <c r="L312" s="13" t="str">
        <f>IF($A312="","",[1]!thsiFinD("ths_adjustment_nv_fund",L$3,$A312))</f>
        <v/>
      </c>
      <c r="M312" s="13" t="str">
        <f>IF($A312="","",[1]!thsiFinD("ths_adjustment_nv_fund",M$3,$A312))</f>
        <v/>
      </c>
      <c r="N312" s="13" t="str">
        <f>IF($A312="","",[1]!thsiFinD("ths_adjustment_nv_fund",N$3,$A312))</f>
        <v/>
      </c>
      <c r="O312" s="13" t="str">
        <f>IF($A312="","",[1]!thsiFinD("ths_adjustment_nv_fund",O$3,$A312))</f>
        <v/>
      </c>
      <c r="P312" s="13" t="str">
        <f>IF($A312="","",[1]!thsiFinD("ths_adjustment_nv_fund",P$3,$A312))</f>
        <v/>
      </c>
      <c r="Q312" s="13" t="str">
        <f>IF($A312="","",[1]!thsiFinD("ths_adjustment_nv_fund",Q$3,$A312))</f>
        <v/>
      </c>
      <c r="R312" s="13" t="str">
        <f>IF($A312="","",[1]!thsiFinD("ths_adjustment_nv_fund",R$3,$A312))</f>
        <v/>
      </c>
      <c r="S312" s="13" t="str">
        <f>IF($A312="","",[1]!thsiFinD("ths_adjustment_nv_fund",S$3,$A312))</f>
        <v/>
      </c>
      <c r="T312" s="13" t="str">
        <f>IF($A312="","",[1]!thsiFinD("ths_adjustment_nv_fund",T$3,$A312))</f>
        <v/>
      </c>
      <c r="U312" s="13" t="str">
        <f>IF($A312="","",[1]!thsiFinD("ths_adjustment_nv_fund",U$3,$A312))</f>
        <v/>
      </c>
      <c r="V312" s="13" t="str">
        <f>IF($A312="","",[1]!thsiFinD("ths_adjustment_nv_fund",V$3,$A312))</f>
        <v/>
      </c>
      <c r="W312" s="13" t="str">
        <f>IF($A312="","",[1]!thsiFinD("ths_adjustment_nv_fund",W$3,$A312))</f>
        <v/>
      </c>
      <c r="X312" s="13" t="str">
        <f>IF($A312="","",[1]!thsiFinD("ths_adjustment_nv_fund",X$3,$A312))</f>
        <v/>
      </c>
      <c r="Y312" s="13" t="str">
        <f>IF($A312="","",[1]!thsiFinD("ths_adjustment_nv_fund",Y$3,$A312))</f>
        <v/>
      </c>
      <c r="Z312" s="13" t="str">
        <f>IF($A312="","",[1]!thsiFinD("ths_adjustment_nv_fund",Z$3,$A312))</f>
        <v/>
      </c>
      <c r="AA312" s="13" t="str">
        <f>IF($A312="","",[1]!thsiFinD("ths_adjustment_nv_fund",AA$3,$A312))</f>
        <v/>
      </c>
      <c r="AB312" s="13" t="str">
        <f>IF($A312="","",[1]!thsiFinD("ths_adjustment_nv_fund",AB$3,$A312))</f>
        <v/>
      </c>
    </row>
    <row r="313" spans="2:28">
      <c r="B313" s="13" t="str">
        <f>IF($A313="","",[1]!thsiFinD("ths_adjustment_nv_fund",B$3,$A313))</f>
        <v/>
      </c>
      <c r="C313" s="13" t="str">
        <f>IF($A313="","",[1]!thsiFinD("ths_adjustment_nv_fund",C$3,$A313))</f>
        <v/>
      </c>
      <c r="D313" s="13" t="str">
        <f>IF($A313="","",[1]!thsiFinD("ths_adjustment_nv_fund",D$3,$A313))</f>
        <v/>
      </c>
      <c r="E313" s="13" t="str">
        <f>IF($A313="","",[1]!thsiFinD("ths_adjustment_nv_fund",E$3,$A313))</f>
        <v/>
      </c>
      <c r="F313" s="13" t="str">
        <f>IF($A313="","",[1]!thsiFinD("ths_adjustment_nv_fund",F$3,$A313))</f>
        <v/>
      </c>
      <c r="G313" s="13" t="str">
        <f>IF($A313="","",[1]!thsiFinD("ths_adjustment_nv_fund",G$3,$A313))</f>
        <v/>
      </c>
      <c r="H313" s="13" t="str">
        <f>IF($A313="","",[1]!thsiFinD("ths_adjustment_nv_fund",H$3,$A313))</f>
        <v/>
      </c>
      <c r="I313" s="13" t="str">
        <f>IF($A313="","",[1]!thsiFinD("ths_adjustment_nv_fund",I$3,$A313))</f>
        <v/>
      </c>
      <c r="J313" s="13" t="str">
        <f>IF($A313="","",[1]!thsiFinD("ths_adjustment_nv_fund",J$3,$A313))</f>
        <v/>
      </c>
      <c r="K313" s="13" t="str">
        <f>IF($A313="","",[1]!thsiFinD("ths_adjustment_nv_fund",K$3,$A313))</f>
        <v/>
      </c>
      <c r="L313" s="13" t="str">
        <f>IF($A313="","",[1]!thsiFinD("ths_adjustment_nv_fund",L$3,$A313))</f>
        <v/>
      </c>
      <c r="M313" s="13" t="str">
        <f>IF($A313="","",[1]!thsiFinD("ths_adjustment_nv_fund",M$3,$A313))</f>
        <v/>
      </c>
      <c r="N313" s="13" t="str">
        <f>IF($A313="","",[1]!thsiFinD("ths_adjustment_nv_fund",N$3,$A313))</f>
        <v/>
      </c>
      <c r="O313" s="13" t="str">
        <f>IF($A313="","",[1]!thsiFinD("ths_adjustment_nv_fund",O$3,$A313))</f>
        <v/>
      </c>
      <c r="P313" s="13" t="str">
        <f>IF($A313="","",[1]!thsiFinD("ths_adjustment_nv_fund",P$3,$A313))</f>
        <v/>
      </c>
      <c r="Q313" s="13" t="str">
        <f>IF($A313="","",[1]!thsiFinD("ths_adjustment_nv_fund",Q$3,$A313))</f>
        <v/>
      </c>
      <c r="R313" s="13" t="str">
        <f>IF($A313="","",[1]!thsiFinD("ths_adjustment_nv_fund",R$3,$A313))</f>
        <v/>
      </c>
      <c r="S313" s="13" t="str">
        <f>IF($A313="","",[1]!thsiFinD("ths_adjustment_nv_fund",S$3,$A313))</f>
        <v/>
      </c>
      <c r="T313" s="13" t="str">
        <f>IF($A313="","",[1]!thsiFinD("ths_adjustment_nv_fund",T$3,$A313))</f>
        <v/>
      </c>
      <c r="U313" s="13" t="str">
        <f>IF($A313="","",[1]!thsiFinD("ths_adjustment_nv_fund",U$3,$A313))</f>
        <v/>
      </c>
      <c r="V313" s="13" t="str">
        <f>IF($A313="","",[1]!thsiFinD("ths_adjustment_nv_fund",V$3,$A313))</f>
        <v/>
      </c>
      <c r="W313" s="13" t="str">
        <f>IF($A313="","",[1]!thsiFinD("ths_adjustment_nv_fund",W$3,$A313))</f>
        <v/>
      </c>
      <c r="X313" s="13" t="str">
        <f>IF($A313="","",[1]!thsiFinD("ths_adjustment_nv_fund",X$3,$A313))</f>
        <v/>
      </c>
      <c r="Y313" s="13" t="str">
        <f>IF($A313="","",[1]!thsiFinD("ths_adjustment_nv_fund",Y$3,$A313))</f>
        <v/>
      </c>
      <c r="Z313" s="13" t="str">
        <f>IF($A313="","",[1]!thsiFinD("ths_adjustment_nv_fund",Z$3,$A313))</f>
        <v/>
      </c>
      <c r="AA313" s="13" t="str">
        <f>IF($A313="","",[1]!thsiFinD("ths_adjustment_nv_fund",AA$3,$A313))</f>
        <v/>
      </c>
      <c r="AB313" s="13" t="str">
        <f>IF($A313="","",[1]!thsiFinD("ths_adjustment_nv_fund",AB$3,$A313))</f>
        <v/>
      </c>
    </row>
    <row r="314" spans="2:28">
      <c r="B314" s="13" t="str">
        <f>IF($A314="","",[1]!thsiFinD("ths_adjustment_nv_fund",B$3,$A314))</f>
        <v/>
      </c>
      <c r="C314" s="13" t="str">
        <f>IF($A314="","",[1]!thsiFinD("ths_adjustment_nv_fund",C$3,$A314))</f>
        <v/>
      </c>
      <c r="D314" s="13" t="str">
        <f>IF($A314="","",[1]!thsiFinD("ths_adjustment_nv_fund",D$3,$A314))</f>
        <v/>
      </c>
      <c r="E314" s="13" t="str">
        <f>IF($A314="","",[1]!thsiFinD("ths_adjustment_nv_fund",E$3,$A314))</f>
        <v/>
      </c>
      <c r="F314" s="13" t="str">
        <f>IF($A314="","",[1]!thsiFinD("ths_adjustment_nv_fund",F$3,$A314))</f>
        <v/>
      </c>
      <c r="G314" s="13" t="str">
        <f>IF($A314="","",[1]!thsiFinD("ths_adjustment_nv_fund",G$3,$A314))</f>
        <v/>
      </c>
      <c r="H314" s="13" t="str">
        <f>IF($A314="","",[1]!thsiFinD("ths_adjustment_nv_fund",H$3,$A314))</f>
        <v/>
      </c>
      <c r="I314" s="13" t="str">
        <f>IF($A314="","",[1]!thsiFinD("ths_adjustment_nv_fund",I$3,$A314))</f>
        <v/>
      </c>
      <c r="J314" s="13" t="str">
        <f>IF($A314="","",[1]!thsiFinD("ths_adjustment_nv_fund",J$3,$A314))</f>
        <v/>
      </c>
      <c r="K314" s="13" t="str">
        <f>IF($A314="","",[1]!thsiFinD("ths_adjustment_nv_fund",K$3,$A314))</f>
        <v/>
      </c>
      <c r="L314" s="13" t="str">
        <f>IF($A314="","",[1]!thsiFinD("ths_adjustment_nv_fund",L$3,$A314))</f>
        <v/>
      </c>
      <c r="M314" s="13" t="str">
        <f>IF($A314="","",[1]!thsiFinD("ths_adjustment_nv_fund",M$3,$A314))</f>
        <v/>
      </c>
      <c r="N314" s="13" t="str">
        <f>IF($A314="","",[1]!thsiFinD("ths_adjustment_nv_fund",N$3,$A314))</f>
        <v/>
      </c>
      <c r="O314" s="13" t="str">
        <f>IF($A314="","",[1]!thsiFinD("ths_adjustment_nv_fund",O$3,$A314))</f>
        <v/>
      </c>
      <c r="P314" s="13" t="str">
        <f>IF($A314="","",[1]!thsiFinD("ths_adjustment_nv_fund",P$3,$A314))</f>
        <v/>
      </c>
      <c r="Q314" s="13" t="str">
        <f>IF($A314="","",[1]!thsiFinD("ths_adjustment_nv_fund",Q$3,$A314))</f>
        <v/>
      </c>
      <c r="R314" s="13" t="str">
        <f>IF($A314="","",[1]!thsiFinD("ths_adjustment_nv_fund",R$3,$A314))</f>
        <v/>
      </c>
      <c r="S314" s="13" t="str">
        <f>IF($A314="","",[1]!thsiFinD("ths_adjustment_nv_fund",S$3,$A314))</f>
        <v/>
      </c>
      <c r="T314" s="13" t="str">
        <f>IF($A314="","",[1]!thsiFinD("ths_adjustment_nv_fund",T$3,$A314))</f>
        <v/>
      </c>
      <c r="U314" s="13" t="str">
        <f>IF($A314="","",[1]!thsiFinD("ths_adjustment_nv_fund",U$3,$A314))</f>
        <v/>
      </c>
      <c r="V314" s="13" t="str">
        <f>IF($A314="","",[1]!thsiFinD("ths_adjustment_nv_fund",V$3,$A314))</f>
        <v/>
      </c>
      <c r="W314" s="13" t="str">
        <f>IF($A314="","",[1]!thsiFinD("ths_adjustment_nv_fund",W$3,$A314))</f>
        <v/>
      </c>
      <c r="X314" s="13" t="str">
        <f>IF($A314="","",[1]!thsiFinD("ths_adjustment_nv_fund",X$3,$A314))</f>
        <v/>
      </c>
      <c r="Y314" s="13" t="str">
        <f>IF($A314="","",[1]!thsiFinD("ths_adjustment_nv_fund",Y$3,$A314))</f>
        <v/>
      </c>
      <c r="Z314" s="13" t="str">
        <f>IF($A314="","",[1]!thsiFinD("ths_adjustment_nv_fund",Z$3,$A314))</f>
        <v/>
      </c>
      <c r="AA314" s="13" t="str">
        <f>IF($A314="","",[1]!thsiFinD("ths_adjustment_nv_fund",AA$3,$A314))</f>
        <v/>
      </c>
      <c r="AB314" s="13" t="str">
        <f>IF($A314="","",[1]!thsiFinD("ths_adjustment_nv_fund",AB$3,$A314))</f>
        <v/>
      </c>
    </row>
    <row r="315" spans="2:28">
      <c r="B315" s="13" t="str">
        <f>IF($A315="","",[1]!thsiFinD("ths_adjustment_nv_fund",B$3,$A315))</f>
        <v/>
      </c>
      <c r="C315" s="13" t="str">
        <f>IF($A315="","",[1]!thsiFinD("ths_adjustment_nv_fund",C$3,$A315))</f>
        <v/>
      </c>
      <c r="D315" s="13" t="str">
        <f>IF($A315="","",[1]!thsiFinD("ths_adjustment_nv_fund",D$3,$A315))</f>
        <v/>
      </c>
      <c r="E315" s="13" t="str">
        <f>IF($A315="","",[1]!thsiFinD("ths_adjustment_nv_fund",E$3,$A315))</f>
        <v/>
      </c>
      <c r="F315" s="13" t="str">
        <f>IF($A315="","",[1]!thsiFinD("ths_adjustment_nv_fund",F$3,$A315))</f>
        <v/>
      </c>
      <c r="G315" s="13" t="str">
        <f>IF($A315="","",[1]!thsiFinD("ths_adjustment_nv_fund",G$3,$A315))</f>
        <v/>
      </c>
      <c r="H315" s="13" t="str">
        <f>IF($A315="","",[1]!thsiFinD("ths_adjustment_nv_fund",H$3,$A315))</f>
        <v/>
      </c>
      <c r="I315" s="13" t="str">
        <f>IF($A315="","",[1]!thsiFinD("ths_adjustment_nv_fund",I$3,$A315))</f>
        <v/>
      </c>
      <c r="J315" s="13" t="str">
        <f>IF($A315="","",[1]!thsiFinD("ths_adjustment_nv_fund",J$3,$A315))</f>
        <v/>
      </c>
      <c r="K315" s="13" t="str">
        <f>IF($A315="","",[1]!thsiFinD("ths_adjustment_nv_fund",K$3,$A315))</f>
        <v/>
      </c>
      <c r="L315" s="13" t="str">
        <f>IF($A315="","",[1]!thsiFinD("ths_adjustment_nv_fund",L$3,$A315))</f>
        <v/>
      </c>
      <c r="M315" s="13" t="str">
        <f>IF($A315="","",[1]!thsiFinD("ths_adjustment_nv_fund",M$3,$A315))</f>
        <v/>
      </c>
      <c r="N315" s="13" t="str">
        <f>IF($A315="","",[1]!thsiFinD("ths_adjustment_nv_fund",N$3,$A315))</f>
        <v/>
      </c>
      <c r="O315" s="13" t="str">
        <f>IF($A315="","",[1]!thsiFinD("ths_adjustment_nv_fund",O$3,$A315))</f>
        <v/>
      </c>
      <c r="P315" s="13" t="str">
        <f>IF($A315="","",[1]!thsiFinD("ths_adjustment_nv_fund",P$3,$A315))</f>
        <v/>
      </c>
      <c r="Q315" s="13" t="str">
        <f>IF($A315="","",[1]!thsiFinD("ths_adjustment_nv_fund",Q$3,$A315))</f>
        <v/>
      </c>
      <c r="R315" s="13" t="str">
        <f>IF($A315="","",[1]!thsiFinD("ths_adjustment_nv_fund",R$3,$A315))</f>
        <v/>
      </c>
      <c r="S315" s="13" t="str">
        <f>IF($A315="","",[1]!thsiFinD("ths_adjustment_nv_fund",S$3,$A315))</f>
        <v/>
      </c>
      <c r="T315" s="13" t="str">
        <f>IF($A315="","",[1]!thsiFinD("ths_adjustment_nv_fund",T$3,$A315))</f>
        <v/>
      </c>
      <c r="U315" s="13" t="str">
        <f>IF($A315="","",[1]!thsiFinD("ths_adjustment_nv_fund",U$3,$A315))</f>
        <v/>
      </c>
      <c r="V315" s="13" t="str">
        <f>IF($A315="","",[1]!thsiFinD("ths_adjustment_nv_fund",V$3,$A315))</f>
        <v/>
      </c>
      <c r="W315" s="13" t="str">
        <f>IF($A315="","",[1]!thsiFinD("ths_adjustment_nv_fund",W$3,$A315))</f>
        <v/>
      </c>
      <c r="X315" s="13" t="str">
        <f>IF($A315="","",[1]!thsiFinD("ths_adjustment_nv_fund",X$3,$A315))</f>
        <v/>
      </c>
      <c r="Y315" s="13" t="str">
        <f>IF($A315="","",[1]!thsiFinD("ths_adjustment_nv_fund",Y$3,$A315))</f>
        <v/>
      </c>
      <c r="Z315" s="13" t="str">
        <f>IF($A315="","",[1]!thsiFinD("ths_adjustment_nv_fund",Z$3,$A315))</f>
        <v/>
      </c>
      <c r="AA315" s="13" t="str">
        <f>IF($A315="","",[1]!thsiFinD("ths_adjustment_nv_fund",AA$3,$A315))</f>
        <v/>
      </c>
      <c r="AB315" s="13" t="str">
        <f>IF($A315="","",[1]!thsiFinD("ths_adjustment_nv_fund",AB$3,$A315))</f>
        <v/>
      </c>
    </row>
    <row r="316" spans="2:28">
      <c r="B316" s="13" t="str">
        <f>IF($A316="","",[1]!thsiFinD("ths_adjustment_nv_fund",B$3,$A316))</f>
        <v/>
      </c>
      <c r="C316" s="13" t="str">
        <f>IF($A316="","",[1]!thsiFinD("ths_adjustment_nv_fund",C$3,$A316))</f>
        <v/>
      </c>
      <c r="D316" s="13" t="str">
        <f>IF($A316="","",[1]!thsiFinD("ths_adjustment_nv_fund",D$3,$A316))</f>
        <v/>
      </c>
      <c r="E316" s="13" t="str">
        <f>IF($A316="","",[1]!thsiFinD("ths_adjustment_nv_fund",E$3,$A316))</f>
        <v/>
      </c>
      <c r="F316" s="13" t="str">
        <f>IF($A316="","",[1]!thsiFinD("ths_adjustment_nv_fund",F$3,$A316))</f>
        <v/>
      </c>
      <c r="G316" s="13" t="str">
        <f>IF($A316="","",[1]!thsiFinD("ths_adjustment_nv_fund",G$3,$A316))</f>
        <v/>
      </c>
      <c r="H316" s="13" t="str">
        <f>IF($A316="","",[1]!thsiFinD("ths_adjustment_nv_fund",H$3,$A316))</f>
        <v/>
      </c>
      <c r="I316" s="13" t="str">
        <f>IF($A316="","",[1]!thsiFinD("ths_adjustment_nv_fund",I$3,$A316))</f>
        <v/>
      </c>
      <c r="J316" s="13" t="str">
        <f>IF($A316="","",[1]!thsiFinD("ths_adjustment_nv_fund",J$3,$A316))</f>
        <v/>
      </c>
      <c r="K316" s="13" t="str">
        <f>IF($A316="","",[1]!thsiFinD("ths_adjustment_nv_fund",K$3,$A316))</f>
        <v/>
      </c>
      <c r="L316" s="13" t="str">
        <f>IF($A316="","",[1]!thsiFinD("ths_adjustment_nv_fund",L$3,$A316))</f>
        <v/>
      </c>
      <c r="M316" s="13" t="str">
        <f>IF($A316="","",[1]!thsiFinD("ths_adjustment_nv_fund",M$3,$A316))</f>
        <v/>
      </c>
      <c r="N316" s="13" t="str">
        <f>IF($A316="","",[1]!thsiFinD("ths_adjustment_nv_fund",N$3,$A316))</f>
        <v/>
      </c>
      <c r="O316" s="13" t="str">
        <f>IF($A316="","",[1]!thsiFinD("ths_adjustment_nv_fund",O$3,$A316))</f>
        <v/>
      </c>
      <c r="P316" s="13" t="str">
        <f>IF($A316="","",[1]!thsiFinD("ths_adjustment_nv_fund",P$3,$A316))</f>
        <v/>
      </c>
      <c r="Q316" s="13" t="str">
        <f>IF($A316="","",[1]!thsiFinD("ths_adjustment_nv_fund",Q$3,$A316))</f>
        <v/>
      </c>
      <c r="R316" s="13" t="str">
        <f>IF($A316="","",[1]!thsiFinD("ths_adjustment_nv_fund",R$3,$A316))</f>
        <v/>
      </c>
      <c r="S316" s="13" t="str">
        <f>IF($A316="","",[1]!thsiFinD("ths_adjustment_nv_fund",S$3,$A316))</f>
        <v/>
      </c>
      <c r="T316" s="13" t="str">
        <f>IF($A316="","",[1]!thsiFinD("ths_adjustment_nv_fund",T$3,$A316))</f>
        <v/>
      </c>
      <c r="U316" s="13" t="str">
        <f>IF($A316="","",[1]!thsiFinD("ths_adjustment_nv_fund",U$3,$A316))</f>
        <v/>
      </c>
      <c r="V316" s="13" t="str">
        <f>IF($A316="","",[1]!thsiFinD("ths_adjustment_nv_fund",V$3,$A316))</f>
        <v/>
      </c>
      <c r="W316" s="13" t="str">
        <f>IF($A316="","",[1]!thsiFinD("ths_adjustment_nv_fund",W$3,$A316))</f>
        <v/>
      </c>
      <c r="X316" s="13" t="str">
        <f>IF($A316="","",[1]!thsiFinD("ths_adjustment_nv_fund",X$3,$A316))</f>
        <v/>
      </c>
      <c r="Y316" s="13" t="str">
        <f>IF($A316="","",[1]!thsiFinD("ths_adjustment_nv_fund",Y$3,$A316))</f>
        <v/>
      </c>
      <c r="Z316" s="13" t="str">
        <f>IF($A316="","",[1]!thsiFinD("ths_adjustment_nv_fund",Z$3,$A316))</f>
        <v/>
      </c>
      <c r="AA316" s="13" t="str">
        <f>IF($A316="","",[1]!thsiFinD("ths_adjustment_nv_fund",AA$3,$A316))</f>
        <v/>
      </c>
      <c r="AB316" s="13" t="str">
        <f>IF($A316="","",[1]!thsiFinD("ths_adjustment_nv_fund",AB$3,$A316))</f>
        <v/>
      </c>
    </row>
    <row r="317" spans="2:28">
      <c r="B317" s="13" t="str">
        <f>IF($A317="","",[1]!thsiFinD("ths_adjustment_nv_fund",B$3,$A317))</f>
        <v/>
      </c>
      <c r="C317" s="13" t="str">
        <f>IF($A317="","",[1]!thsiFinD("ths_adjustment_nv_fund",C$3,$A317))</f>
        <v/>
      </c>
      <c r="D317" s="13" t="str">
        <f>IF($A317="","",[1]!thsiFinD("ths_adjustment_nv_fund",D$3,$A317))</f>
        <v/>
      </c>
      <c r="E317" s="13" t="str">
        <f>IF($A317="","",[1]!thsiFinD("ths_adjustment_nv_fund",E$3,$A317))</f>
        <v/>
      </c>
      <c r="F317" s="13" t="str">
        <f>IF($A317="","",[1]!thsiFinD("ths_adjustment_nv_fund",F$3,$A317))</f>
        <v/>
      </c>
      <c r="G317" s="13" t="str">
        <f>IF($A317="","",[1]!thsiFinD("ths_adjustment_nv_fund",G$3,$A317))</f>
        <v/>
      </c>
      <c r="H317" s="13" t="str">
        <f>IF($A317="","",[1]!thsiFinD("ths_adjustment_nv_fund",H$3,$A317))</f>
        <v/>
      </c>
      <c r="I317" s="13" t="str">
        <f>IF($A317="","",[1]!thsiFinD("ths_adjustment_nv_fund",I$3,$A317))</f>
        <v/>
      </c>
      <c r="J317" s="13" t="str">
        <f>IF($A317="","",[1]!thsiFinD("ths_adjustment_nv_fund",J$3,$A317))</f>
        <v/>
      </c>
      <c r="K317" s="13" t="str">
        <f>IF($A317="","",[1]!thsiFinD("ths_adjustment_nv_fund",K$3,$A317))</f>
        <v/>
      </c>
      <c r="L317" s="13" t="str">
        <f>IF($A317="","",[1]!thsiFinD("ths_adjustment_nv_fund",L$3,$A317))</f>
        <v/>
      </c>
      <c r="M317" s="13" t="str">
        <f>IF($A317="","",[1]!thsiFinD("ths_adjustment_nv_fund",M$3,$A317))</f>
        <v/>
      </c>
      <c r="N317" s="13" t="str">
        <f>IF($A317="","",[1]!thsiFinD("ths_adjustment_nv_fund",N$3,$A317))</f>
        <v/>
      </c>
      <c r="O317" s="13" t="str">
        <f>IF($A317="","",[1]!thsiFinD("ths_adjustment_nv_fund",O$3,$A317))</f>
        <v/>
      </c>
      <c r="P317" s="13" t="str">
        <f>IF($A317="","",[1]!thsiFinD("ths_adjustment_nv_fund",P$3,$A317))</f>
        <v/>
      </c>
      <c r="Q317" s="13" t="str">
        <f>IF($A317="","",[1]!thsiFinD("ths_adjustment_nv_fund",Q$3,$A317))</f>
        <v/>
      </c>
      <c r="R317" s="13" t="str">
        <f>IF($A317="","",[1]!thsiFinD("ths_adjustment_nv_fund",R$3,$A317))</f>
        <v/>
      </c>
      <c r="S317" s="13" t="str">
        <f>IF($A317="","",[1]!thsiFinD("ths_adjustment_nv_fund",S$3,$A317))</f>
        <v/>
      </c>
      <c r="T317" s="13" t="str">
        <f>IF($A317="","",[1]!thsiFinD("ths_adjustment_nv_fund",T$3,$A317))</f>
        <v/>
      </c>
      <c r="U317" s="13" t="str">
        <f>IF($A317="","",[1]!thsiFinD("ths_adjustment_nv_fund",U$3,$A317))</f>
        <v/>
      </c>
      <c r="V317" s="13" t="str">
        <f>IF($A317="","",[1]!thsiFinD("ths_adjustment_nv_fund",V$3,$A317))</f>
        <v/>
      </c>
      <c r="W317" s="13" t="str">
        <f>IF($A317="","",[1]!thsiFinD("ths_adjustment_nv_fund",W$3,$A317))</f>
        <v/>
      </c>
      <c r="X317" s="13" t="str">
        <f>IF($A317="","",[1]!thsiFinD("ths_adjustment_nv_fund",X$3,$A317))</f>
        <v/>
      </c>
      <c r="Y317" s="13" t="str">
        <f>IF($A317="","",[1]!thsiFinD("ths_adjustment_nv_fund",Y$3,$A317))</f>
        <v/>
      </c>
      <c r="Z317" s="13" t="str">
        <f>IF($A317="","",[1]!thsiFinD("ths_adjustment_nv_fund",Z$3,$A317))</f>
        <v/>
      </c>
      <c r="AA317" s="13" t="str">
        <f>IF($A317="","",[1]!thsiFinD("ths_adjustment_nv_fund",AA$3,$A317))</f>
        <v/>
      </c>
      <c r="AB317" s="13" t="str">
        <f>IF($A317="","",[1]!thsiFinD("ths_adjustment_nv_fund",AB$3,$A317))</f>
        <v/>
      </c>
    </row>
    <row r="318" spans="2:28">
      <c r="B318" s="13" t="str">
        <f>IF($A318="","",[1]!thsiFinD("ths_adjustment_nv_fund",B$3,$A318))</f>
        <v/>
      </c>
      <c r="C318" s="13" t="str">
        <f>IF($A318="","",[1]!thsiFinD("ths_adjustment_nv_fund",C$3,$A318))</f>
        <v/>
      </c>
      <c r="D318" s="13" t="str">
        <f>IF($A318="","",[1]!thsiFinD("ths_adjustment_nv_fund",D$3,$A318))</f>
        <v/>
      </c>
      <c r="E318" s="13" t="str">
        <f>IF($A318="","",[1]!thsiFinD("ths_adjustment_nv_fund",E$3,$A318))</f>
        <v/>
      </c>
      <c r="F318" s="13" t="str">
        <f>IF($A318="","",[1]!thsiFinD("ths_adjustment_nv_fund",F$3,$A318))</f>
        <v/>
      </c>
      <c r="G318" s="13" t="str">
        <f>IF($A318="","",[1]!thsiFinD("ths_adjustment_nv_fund",G$3,$A318))</f>
        <v/>
      </c>
      <c r="H318" s="13" t="str">
        <f>IF($A318="","",[1]!thsiFinD("ths_adjustment_nv_fund",H$3,$A318))</f>
        <v/>
      </c>
      <c r="I318" s="13" t="str">
        <f>IF($A318="","",[1]!thsiFinD("ths_adjustment_nv_fund",I$3,$A318))</f>
        <v/>
      </c>
      <c r="J318" s="13" t="str">
        <f>IF($A318="","",[1]!thsiFinD("ths_adjustment_nv_fund",J$3,$A318))</f>
        <v/>
      </c>
      <c r="K318" s="13" t="str">
        <f>IF($A318="","",[1]!thsiFinD("ths_adjustment_nv_fund",K$3,$A318))</f>
        <v/>
      </c>
      <c r="L318" s="13" t="str">
        <f>IF($A318="","",[1]!thsiFinD("ths_adjustment_nv_fund",L$3,$A318))</f>
        <v/>
      </c>
      <c r="M318" s="13" t="str">
        <f>IF($A318="","",[1]!thsiFinD("ths_adjustment_nv_fund",M$3,$A318))</f>
        <v/>
      </c>
      <c r="N318" s="13" t="str">
        <f>IF($A318="","",[1]!thsiFinD("ths_adjustment_nv_fund",N$3,$A318))</f>
        <v/>
      </c>
      <c r="O318" s="13" t="str">
        <f>IF($A318="","",[1]!thsiFinD("ths_adjustment_nv_fund",O$3,$A318))</f>
        <v/>
      </c>
      <c r="P318" s="13" t="str">
        <f>IF($A318="","",[1]!thsiFinD("ths_adjustment_nv_fund",P$3,$A318))</f>
        <v/>
      </c>
      <c r="Q318" s="13" t="str">
        <f>IF($A318="","",[1]!thsiFinD("ths_adjustment_nv_fund",Q$3,$A318))</f>
        <v/>
      </c>
      <c r="R318" s="13" t="str">
        <f>IF($A318="","",[1]!thsiFinD("ths_adjustment_nv_fund",R$3,$A318))</f>
        <v/>
      </c>
      <c r="S318" s="13" t="str">
        <f>IF($A318="","",[1]!thsiFinD("ths_adjustment_nv_fund",S$3,$A318))</f>
        <v/>
      </c>
      <c r="T318" s="13" t="str">
        <f>IF($A318="","",[1]!thsiFinD("ths_adjustment_nv_fund",T$3,$A318))</f>
        <v/>
      </c>
      <c r="U318" s="13" t="str">
        <f>IF($A318="","",[1]!thsiFinD("ths_adjustment_nv_fund",U$3,$A318))</f>
        <v/>
      </c>
      <c r="V318" s="13" t="str">
        <f>IF($A318="","",[1]!thsiFinD("ths_adjustment_nv_fund",V$3,$A318))</f>
        <v/>
      </c>
      <c r="W318" s="13" t="str">
        <f>IF($A318="","",[1]!thsiFinD("ths_adjustment_nv_fund",W$3,$A318))</f>
        <v/>
      </c>
      <c r="X318" s="13" t="str">
        <f>IF($A318="","",[1]!thsiFinD("ths_adjustment_nv_fund",X$3,$A318))</f>
        <v/>
      </c>
      <c r="Y318" s="13" t="str">
        <f>IF($A318="","",[1]!thsiFinD("ths_adjustment_nv_fund",Y$3,$A318))</f>
        <v/>
      </c>
      <c r="Z318" s="13" t="str">
        <f>IF($A318="","",[1]!thsiFinD("ths_adjustment_nv_fund",Z$3,$A318))</f>
        <v/>
      </c>
      <c r="AA318" s="13" t="str">
        <f>IF($A318="","",[1]!thsiFinD("ths_adjustment_nv_fund",AA$3,$A318))</f>
        <v/>
      </c>
      <c r="AB318" s="13" t="str">
        <f>IF($A318="","",[1]!thsiFinD("ths_adjustment_nv_fund",AB$3,$A318))</f>
        <v/>
      </c>
    </row>
    <row r="319" spans="2:28">
      <c r="B319" s="13" t="str">
        <f>IF($A319="","",[1]!thsiFinD("ths_adjustment_nv_fund",B$3,$A319))</f>
        <v/>
      </c>
      <c r="C319" s="13" t="str">
        <f>IF($A319="","",[1]!thsiFinD("ths_adjustment_nv_fund",C$3,$A319))</f>
        <v/>
      </c>
      <c r="D319" s="13" t="str">
        <f>IF($A319="","",[1]!thsiFinD("ths_adjustment_nv_fund",D$3,$A319))</f>
        <v/>
      </c>
      <c r="E319" s="13" t="str">
        <f>IF($A319="","",[1]!thsiFinD("ths_adjustment_nv_fund",E$3,$A319))</f>
        <v/>
      </c>
      <c r="F319" s="13" t="str">
        <f>IF($A319="","",[1]!thsiFinD("ths_adjustment_nv_fund",F$3,$A319))</f>
        <v/>
      </c>
      <c r="G319" s="13" t="str">
        <f>IF($A319="","",[1]!thsiFinD("ths_adjustment_nv_fund",G$3,$A319))</f>
        <v/>
      </c>
      <c r="H319" s="13" t="str">
        <f>IF($A319="","",[1]!thsiFinD("ths_adjustment_nv_fund",H$3,$A319))</f>
        <v/>
      </c>
      <c r="I319" s="13" t="str">
        <f>IF($A319="","",[1]!thsiFinD("ths_adjustment_nv_fund",I$3,$A319))</f>
        <v/>
      </c>
      <c r="J319" s="13" t="str">
        <f>IF($A319="","",[1]!thsiFinD("ths_adjustment_nv_fund",J$3,$A319))</f>
        <v/>
      </c>
      <c r="K319" s="13" t="str">
        <f>IF($A319="","",[1]!thsiFinD("ths_adjustment_nv_fund",K$3,$A319))</f>
        <v/>
      </c>
      <c r="L319" s="13" t="str">
        <f>IF($A319="","",[1]!thsiFinD("ths_adjustment_nv_fund",L$3,$A319))</f>
        <v/>
      </c>
      <c r="M319" s="13" t="str">
        <f>IF($A319="","",[1]!thsiFinD("ths_adjustment_nv_fund",M$3,$A319))</f>
        <v/>
      </c>
      <c r="N319" s="13" t="str">
        <f>IF($A319="","",[1]!thsiFinD("ths_adjustment_nv_fund",N$3,$A319))</f>
        <v/>
      </c>
      <c r="O319" s="13" t="str">
        <f>IF($A319="","",[1]!thsiFinD("ths_adjustment_nv_fund",O$3,$A319))</f>
        <v/>
      </c>
      <c r="P319" s="13" t="str">
        <f>IF($A319="","",[1]!thsiFinD("ths_adjustment_nv_fund",P$3,$A319))</f>
        <v/>
      </c>
      <c r="Q319" s="13" t="str">
        <f>IF($A319="","",[1]!thsiFinD("ths_adjustment_nv_fund",Q$3,$A319))</f>
        <v/>
      </c>
      <c r="R319" s="13" t="str">
        <f>IF($A319="","",[1]!thsiFinD("ths_adjustment_nv_fund",R$3,$A319))</f>
        <v/>
      </c>
      <c r="S319" s="13" t="str">
        <f>IF($A319="","",[1]!thsiFinD("ths_adjustment_nv_fund",S$3,$A319))</f>
        <v/>
      </c>
      <c r="T319" s="13" t="str">
        <f>IF($A319="","",[1]!thsiFinD("ths_adjustment_nv_fund",T$3,$A319))</f>
        <v/>
      </c>
      <c r="U319" s="13" t="str">
        <f>IF($A319="","",[1]!thsiFinD("ths_adjustment_nv_fund",U$3,$A319))</f>
        <v/>
      </c>
      <c r="V319" s="13" t="str">
        <f>IF($A319="","",[1]!thsiFinD("ths_adjustment_nv_fund",V$3,$A319))</f>
        <v/>
      </c>
      <c r="W319" s="13" t="str">
        <f>IF($A319="","",[1]!thsiFinD("ths_adjustment_nv_fund",W$3,$A319))</f>
        <v/>
      </c>
      <c r="X319" s="13" t="str">
        <f>IF($A319="","",[1]!thsiFinD("ths_adjustment_nv_fund",X$3,$A319))</f>
        <v/>
      </c>
      <c r="Y319" s="13" t="str">
        <f>IF($A319="","",[1]!thsiFinD("ths_adjustment_nv_fund",Y$3,$A319))</f>
        <v/>
      </c>
      <c r="Z319" s="13" t="str">
        <f>IF($A319="","",[1]!thsiFinD("ths_adjustment_nv_fund",Z$3,$A319))</f>
        <v/>
      </c>
      <c r="AA319" s="13" t="str">
        <f>IF($A319="","",[1]!thsiFinD("ths_adjustment_nv_fund",AA$3,$A319))</f>
        <v/>
      </c>
      <c r="AB319" s="13" t="str">
        <f>IF($A319="","",[1]!thsiFinD("ths_adjustment_nv_fund",AB$3,$A319))</f>
        <v/>
      </c>
    </row>
    <row r="320" spans="2:28">
      <c r="B320" s="13" t="str">
        <f>IF($A320="","",[1]!thsiFinD("ths_adjustment_nv_fund",B$3,$A320))</f>
        <v/>
      </c>
      <c r="C320" s="13" t="str">
        <f>IF($A320="","",[1]!thsiFinD("ths_adjustment_nv_fund",C$3,$A320))</f>
        <v/>
      </c>
      <c r="D320" s="13" t="str">
        <f>IF($A320="","",[1]!thsiFinD("ths_adjustment_nv_fund",D$3,$A320))</f>
        <v/>
      </c>
      <c r="E320" s="13" t="str">
        <f>IF($A320="","",[1]!thsiFinD("ths_adjustment_nv_fund",E$3,$A320))</f>
        <v/>
      </c>
      <c r="F320" s="13" t="str">
        <f>IF($A320="","",[1]!thsiFinD("ths_adjustment_nv_fund",F$3,$A320))</f>
        <v/>
      </c>
      <c r="G320" s="13" t="str">
        <f>IF($A320="","",[1]!thsiFinD("ths_adjustment_nv_fund",G$3,$A320))</f>
        <v/>
      </c>
      <c r="H320" s="13" t="str">
        <f>IF($A320="","",[1]!thsiFinD("ths_adjustment_nv_fund",H$3,$A320))</f>
        <v/>
      </c>
      <c r="I320" s="13" t="str">
        <f>IF($A320="","",[1]!thsiFinD("ths_adjustment_nv_fund",I$3,$A320))</f>
        <v/>
      </c>
      <c r="J320" s="13" t="str">
        <f>IF($A320="","",[1]!thsiFinD("ths_adjustment_nv_fund",J$3,$A320))</f>
        <v/>
      </c>
      <c r="K320" s="13" t="str">
        <f>IF($A320="","",[1]!thsiFinD("ths_adjustment_nv_fund",K$3,$A320))</f>
        <v/>
      </c>
      <c r="L320" s="13" t="str">
        <f>IF($A320="","",[1]!thsiFinD("ths_adjustment_nv_fund",L$3,$A320))</f>
        <v/>
      </c>
      <c r="M320" s="13" t="str">
        <f>IF($A320="","",[1]!thsiFinD("ths_adjustment_nv_fund",M$3,$A320))</f>
        <v/>
      </c>
      <c r="N320" s="13" t="str">
        <f>IF($A320="","",[1]!thsiFinD("ths_adjustment_nv_fund",N$3,$A320))</f>
        <v/>
      </c>
      <c r="O320" s="13" t="str">
        <f>IF($A320="","",[1]!thsiFinD("ths_adjustment_nv_fund",O$3,$A320))</f>
        <v/>
      </c>
      <c r="P320" s="13" t="str">
        <f>IF($A320="","",[1]!thsiFinD("ths_adjustment_nv_fund",P$3,$A320))</f>
        <v/>
      </c>
      <c r="Q320" s="13" t="str">
        <f>IF($A320="","",[1]!thsiFinD("ths_adjustment_nv_fund",Q$3,$A320))</f>
        <v/>
      </c>
      <c r="R320" s="13" t="str">
        <f>IF($A320="","",[1]!thsiFinD("ths_adjustment_nv_fund",R$3,$A320))</f>
        <v/>
      </c>
      <c r="S320" s="13" t="str">
        <f>IF($A320="","",[1]!thsiFinD("ths_adjustment_nv_fund",S$3,$A320))</f>
        <v/>
      </c>
      <c r="T320" s="13" t="str">
        <f>IF($A320="","",[1]!thsiFinD("ths_adjustment_nv_fund",T$3,$A320))</f>
        <v/>
      </c>
      <c r="U320" s="13" t="str">
        <f>IF($A320="","",[1]!thsiFinD("ths_adjustment_nv_fund",U$3,$A320))</f>
        <v/>
      </c>
      <c r="V320" s="13" t="str">
        <f>IF($A320="","",[1]!thsiFinD("ths_adjustment_nv_fund",V$3,$A320))</f>
        <v/>
      </c>
      <c r="W320" s="13" t="str">
        <f>IF($A320="","",[1]!thsiFinD("ths_adjustment_nv_fund",W$3,$A320))</f>
        <v/>
      </c>
      <c r="X320" s="13" t="str">
        <f>IF($A320="","",[1]!thsiFinD("ths_adjustment_nv_fund",X$3,$A320))</f>
        <v/>
      </c>
      <c r="Y320" s="13" t="str">
        <f>IF($A320="","",[1]!thsiFinD("ths_adjustment_nv_fund",Y$3,$A320))</f>
        <v/>
      </c>
      <c r="Z320" s="13" t="str">
        <f>IF($A320="","",[1]!thsiFinD("ths_adjustment_nv_fund",Z$3,$A320))</f>
        <v/>
      </c>
      <c r="AA320" s="13" t="str">
        <f>IF($A320="","",[1]!thsiFinD("ths_adjustment_nv_fund",AA$3,$A320))</f>
        <v/>
      </c>
      <c r="AB320" s="13" t="str">
        <f>IF($A320="","",[1]!thsiFinD("ths_adjustment_nv_fund",AB$3,$A320))</f>
        <v/>
      </c>
    </row>
    <row r="321" spans="2:28">
      <c r="B321" s="13" t="str">
        <f>IF($A321="","",[1]!thsiFinD("ths_adjustment_nv_fund",B$3,$A321))</f>
        <v/>
      </c>
      <c r="C321" s="13" t="str">
        <f>IF($A321="","",[1]!thsiFinD("ths_adjustment_nv_fund",C$3,$A321))</f>
        <v/>
      </c>
      <c r="D321" s="13" t="str">
        <f>IF($A321="","",[1]!thsiFinD("ths_adjustment_nv_fund",D$3,$A321))</f>
        <v/>
      </c>
      <c r="E321" s="13" t="str">
        <f>IF($A321="","",[1]!thsiFinD("ths_adjustment_nv_fund",E$3,$A321))</f>
        <v/>
      </c>
      <c r="F321" s="13" t="str">
        <f>IF($A321="","",[1]!thsiFinD("ths_adjustment_nv_fund",F$3,$A321))</f>
        <v/>
      </c>
      <c r="G321" s="13" t="str">
        <f>IF($A321="","",[1]!thsiFinD("ths_adjustment_nv_fund",G$3,$A321))</f>
        <v/>
      </c>
      <c r="H321" s="13" t="str">
        <f>IF($A321="","",[1]!thsiFinD("ths_adjustment_nv_fund",H$3,$A321))</f>
        <v/>
      </c>
      <c r="I321" s="13" t="str">
        <f>IF($A321="","",[1]!thsiFinD("ths_adjustment_nv_fund",I$3,$A321))</f>
        <v/>
      </c>
      <c r="J321" s="13" t="str">
        <f>IF($A321="","",[1]!thsiFinD("ths_adjustment_nv_fund",J$3,$A321))</f>
        <v/>
      </c>
      <c r="K321" s="13" t="str">
        <f>IF($A321="","",[1]!thsiFinD("ths_adjustment_nv_fund",K$3,$A321))</f>
        <v/>
      </c>
      <c r="L321" s="13" t="str">
        <f>IF($A321="","",[1]!thsiFinD("ths_adjustment_nv_fund",L$3,$A321))</f>
        <v/>
      </c>
      <c r="M321" s="13" t="str">
        <f>IF($A321="","",[1]!thsiFinD("ths_adjustment_nv_fund",M$3,$A321))</f>
        <v/>
      </c>
      <c r="N321" s="13" t="str">
        <f>IF($A321="","",[1]!thsiFinD("ths_adjustment_nv_fund",N$3,$A321))</f>
        <v/>
      </c>
      <c r="O321" s="13" t="str">
        <f>IF($A321="","",[1]!thsiFinD("ths_adjustment_nv_fund",O$3,$A321))</f>
        <v/>
      </c>
      <c r="P321" s="13" t="str">
        <f>IF($A321="","",[1]!thsiFinD("ths_adjustment_nv_fund",P$3,$A321))</f>
        <v/>
      </c>
      <c r="Q321" s="13" t="str">
        <f>IF($A321="","",[1]!thsiFinD("ths_adjustment_nv_fund",Q$3,$A321))</f>
        <v/>
      </c>
      <c r="R321" s="13" t="str">
        <f>IF($A321="","",[1]!thsiFinD("ths_adjustment_nv_fund",R$3,$A321))</f>
        <v/>
      </c>
      <c r="S321" s="13" t="str">
        <f>IF($A321="","",[1]!thsiFinD("ths_adjustment_nv_fund",S$3,$A321))</f>
        <v/>
      </c>
      <c r="T321" s="13" t="str">
        <f>IF($A321="","",[1]!thsiFinD("ths_adjustment_nv_fund",T$3,$A321))</f>
        <v/>
      </c>
      <c r="U321" s="13" t="str">
        <f>IF($A321="","",[1]!thsiFinD("ths_adjustment_nv_fund",U$3,$A321))</f>
        <v/>
      </c>
      <c r="V321" s="13" t="str">
        <f>IF($A321="","",[1]!thsiFinD("ths_adjustment_nv_fund",V$3,$A321))</f>
        <v/>
      </c>
      <c r="W321" s="13" t="str">
        <f>IF($A321="","",[1]!thsiFinD("ths_adjustment_nv_fund",W$3,$A321))</f>
        <v/>
      </c>
      <c r="X321" s="13" t="str">
        <f>IF($A321="","",[1]!thsiFinD("ths_adjustment_nv_fund",X$3,$A321))</f>
        <v/>
      </c>
      <c r="Y321" s="13" t="str">
        <f>IF($A321="","",[1]!thsiFinD("ths_adjustment_nv_fund",Y$3,$A321))</f>
        <v/>
      </c>
      <c r="Z321" s="13" t="str">
        <f>IF($A321="","",[1]!thsiFinD("ths_adjustment_nv_fund",Z$3,$A321))</f>
        <v/>
      </c>
      <c r="AA321" s="13" t="str">
        <f>IF($A321="","",[1]!thsiFinD("ths_adjustment_nv_fund",AA$3,$A321))</f>
        <v/>
      </c>
      <c r="AB321" s="13" t="str">
        <f>IF($A321="","",[1]!thsiFinD("ths_adjustment_nv_fund",AB$3,$A321))</f>
        <v/>
      </c>
    </row>
    <row r="322" spans="2:28">
      <c r="B322" s="13" t="str">
        <f>IF($A322="","",[1]!thsiFinD("ths_adjustment_nv_fund",B$3,$A322))</f>
        <v/>
      </c>
      <c r="C322" s="13" t="str">
        <f>IF($A322="","",[1]!thsiFinD("ths_adjustment_nv_fund",C$3,$A322))</f>
        <v/>
      </c>
      <c r="D322" s="13" t="str">
        <f>IF($A322="","",[1]!thsiFinD("ths_adjustment_nv_fund",D$3,$A322))</f>
        <v/>
      </c>
      <c r="E322" s="13" t="str">
        <f>IF($A322="","",[1]!thsiFinD("ths_adjustment_nv_fund",E$3,$A322))</f>
        <v/>
      </c>
      <c r="F322" s="13" t="str">
        <f>IF($A322="","",[1]!thsiFinD("ths_adjustment_nv_fund",F$3,$A322))</f>
        <v/>
      </c>
      <c r="G322" s="13" t="str">
        <f>IF($A322="","",[1]!thsiFinD("ths_adjustment_nv_fund",G$3,$A322))</f>
        <v/>
      </c>
      <c r="H322" s="13" t="str">
        <f>IF($A322="","",[1]!thsiFinD("ths_adjustment_nv_fund",H$3,$A322))</f>
        <v/>
      </c>
      <c r="I322" s="13" t="str">
        <f>IF($A322="","",[1]!thsiFinD("ths_adjustment_nv_fund",I$3,$A322))</f>
        <v/>
      </c>
      <c r="J322" s="13" t="str">
        <f>IF($A322="","",[1]!thsiFinD("ths_adjustment_nv_fund",J$3,$A322))</f>
        <v/>
      </c>
      <c r="K322" s="13" t="str">
        <f>IF($A322="","",[1]!thsiFinD("ths_adjustment_nv_fund",K$3,$A322))</f>
        <v/>
      </c>
      <c r="L322" s="13" t="str">
        <f>IF($A322="","",[1]!thsiFinD("ths_adjustment_nv_fund",L$3,$A322))</f>
        <v/>
      </c>
      <c r="M322" s="13" t="str">
        <f>IF($A322="","",[1]!thsiFinD("ths_adjustment_nv_fund",M$3,$A322))</f>
        <v/>
      </c>
      <c r="N322" s="13" t="str">
        <f>IF($A322="","",[1]!thsiFinD("ths_adjustment_nv_fund",N$3,$A322))</f>
        <v/>
      </c>
      <c r="O322" s="13" t="str">
        <f>IF($A322="","",[1]!thsiFinD("ths_adjustment_nv_fund",O$3,$A322))</f>
        <v/>
      </c>
      <c r="P322" s="13" t="str">
        <f>IF($A322="","",[1]!thsiFinD("ths_adjustment_nv_fund",P$3,$A322))</f>
        <v/>
      </c>
      <c r="Q322" s="13" t="str">
        <f>IF($A322="","",[1]!thsiFinD("ths_adjustment_nv_fund",Q$3,$A322))</f>
        <v/>
      </c>
      <c r="R322" s="13" t="str">
        <f>IF($A322="","",[1]!thsiFinD("ths_adjustment_nv_fund",R$3,$A322))</f>
        <v/>
      </c>
      <c r="S322" s="13" t="str">
        <f>IF($A322="","",[1]!thsiFinD("ths_adjustment_nv_fund",S$3,$A322))</f>
        <v/>
      </c>
      <c r="T322" s="13" t="str">
        <f>IF($A322="","",[1]!thsiFinD("ths_adjustment_nv_fund",T$3,$A322))</f>
        <v/>
      </c>
      <c r="U322" s="13" t="str">
        <f>IF($A322="","",[1]!thsiFinD("ths_adjustment_nv_fund",U$3,$A322))</f>
        <v/>
      </c>
      <c r="V322" s="13" t="str">
        <f>IF($A322="","",[1]!thsiFinD("ths_adjustment_nv_fund",V$3,$A322))</f>
        <v/>
      </c>
      <c r="W322" s="13" t="str">
        <f>IF($A322="","",[1]!thsiFinD("ths_adjustment_nv_fund",W$3,$A322))</f>
        <v/>
      </c>
      <c r="X322" s="13" t="str">
        <f>IF($A322="","",[1]!thsiFinD("ths_adjustment_nv_fund",X$3,$A322))</f>
        <v/>
      </c>
      <c r="Y322" s="13" t="str">
        <f>IF($A322="","",[1]!thsiFinD("ths_adjustment_nv_fund",Y$3,$A322))</f>
        <v/>
      </c>
      <c r="Z322" s="13" t="str">
        <f>IF($A322="","",[1]!thsiFinD("ths_adjustment_nv_fund",Z$3,$A322))</f>
        <v/>
      </c>
      <c r="AA322" s="13" t="str">
        <f>IF($A322="","",[1]!thsiFinD("ths_adjustment_nv_fund",AA$3,$A322))</f>
        <v/>
      </c>
      <c r="AB322" s="13" t="str">
        <f>IF($A322="","",[1]!thsiFinD("ths_adjustment_nv_fund",AB$3,$A322))</f>
        <v/>
      </c>
    </row>
    <row r="323" spans="2:28">
      <c r="B323" s="13" t="str">
        <f>IF($A323="","",[1]!thsiFinD("ths_adjustment_nv_fund",B$3,$A323))</f>
        <v/>
      </c>
      <c r="C323" s="13" t="str">
        <f>IF($A323="","",[1]!thsiFinD("ths_adjustment_nv_fund",C$3,$A323))</f>
        <v/>
      </c>
      <c r="D323" s="13" t="str">
        <f>IF($A323="","",[1]!thsiFinD("ths_adjustment_nv_fund",D$3,$A323))</f>
        <v/>
      </c>
      <c r="E323" s="13" t="str">
        <f>IF($A323="","",[1]!thsiFinD("ths_adjustment_nv_fund",E$3,$A323))</f>
        <v/>
      </c>
      <c r="F323" s="13" t="str">
        <f>IF($A323="","",[1]!thsiFinD("ths_adjustment_nv_fund",F$3,$A323))</f>
        <v/>
      </c>
      <c r="G323" s="13" t="str">
        <f>IF($A323="","",[1]!thsiFinD("ths_adjustment_nv_fund",G$3,$A323))</f>
        <v/>
      </c>
      <c r="H323" s="13" t="str">
        <f>IF($A323="","",[1]!thsiFinD("ths_adjustment_nv_fund",H$3,$A323))</f>
        <v/>
      </c>
      <c r="I323" s="13" t="str">
        <f>IF($A323="","",[1]!thsiFinD("ths_adjustment_nv_fund",I$3,$A323))</f>
        <v/>
      </c>
      <c r="J323" s="13" t="str">
        <f>IF($A323="","",[1]!thsiFinD("ths_adjustment_nv_fund",J$3,$A323))</f>
        <v/>
      </c>
      <c r="K323" s="13" t="str">
        <f>IF($A323="","",[1]!thsiFinD("ths_adjustment_nv_fund",K$3,$A323))</f>
        <v/>
      </c>
      <c r="L323" s="13" t="str">
        <f>IF($A323="","",[1]!thsiFinD("ths_adjustment_nv_fund",L$3,$A323))</f>
        <v/>
      </c>
      <c r="M323" s="13" t="str">
        <f>IF($A323="","",[1]!thsiFinD("ths_adjustment_nv_fund",M$3,$A323))</f>
        <v/>
      </c>
      <c r="N323" s="13" t="str">
        <f>IF($A323="","",[1]!thsiFinD("ths_adjustment_nv_fund",N$3,$A323))</f>
        <v/>
      </c>
      <c r="O323" s="13" t="str">
        <f>IF($A323="","",[1]!thsiFinD("ths_adjustment_nv_fund",O$3,$A323))</f>
        <v/>
      </c>
      <c r="P323" s="13" t="str">
        <f>IF($A323="","",[1]!thsiFinD("ths_adjustment_nv_fund",P$3,$A323))</f>
        <v/>
      </c>
      <c r="Q323" s="13" t="str">
        <f>IF($A323="","",[1]!thsiFinD("ths_adjustment_nv_fund",Q$3,$A323))</f>
        <v/>
      </c>
      <c r="R323" s="13" t="str">
        <f>IF($A323="","",[1]!thsiFinD("ths_adjustment_nv_fund",R$3,$A323))</f>
        <v/>
      </c>
      <c r="S323" s="13" t="str">
        <f>IF($A323="","",[1]!thsiFinD("ths_adjustment_nv_fund",S$3,$A323))</f>
        <v/>
      </c>
      <c r="T323" s="13" t="str">
        <f>IF($A323="","",[1]!thsiFinD("ths_adjustment_nv_fund",T$3,$A323))</f>
        <v/>
      </c>
      <c r="U323" s="13" t="str">
        <f>IF($A323="","",[1]!thsiFinD("ths_adjustment_nv_fund",U$3,$A323))</f>
        <v/>
      </c>
      <c r="V323" s="13" t="str">
        <f>IF($A323="","",[1]!thsiFinD("ths_adjustment_nv_fund",V$3,$A323))</f>
        <v/>
      </c>
      <c r="W323" s="13" t="str">
        <f>IF($A323="","",[1]!thsiFinD("ths_adjustment_nv_fund",W$3,$A323))</f>
        <v/>
      </c>
      <c r="X323" s="13" t="str">
        <f>IF($A323="","",[1]!thsiFinD("ths_adjustment_nv_fund",X$3,$A323))</f>
        <v/>
      </c>
      <c r="Y323" s="13" t="str">
        <f>IF($A323="","",[1]!thsiFinD("ths_adjustment_nv_fund",Y$3,$A323))</f>
        <v/>
      </c>
      <c r="Z323" s="13" t="str">
        <f>IF($A323="","",[1]!thsiFinD("ths_adjustment_nv_fund",Z$3,$A323))</f>
        <v/>
      </c>
      <c r="AA323" s="13" t="str">
        <f>IF($A323="","",[1]!thsiFinD("ths_adjustment_nv_fund",AA$3,$A323))</f>
        <v/>
      </c>
      <c r="AB323" s="13" t="str">
        <f>IF($A323="","",[1]!thsiFinD("ths_adjustment_nv_fund",AB$3,$A323))</f>
        <v/>
      </c>
    </row>
    <row r="324" spans="2:28">
      <c r="B324" s="13" t="str">
        <f>IF($A324="","",[1]!thsiFinD("ths_adjustment_nv_fund",B$3,$A324))</f>
        <v/>
      </c>
      <c r="C324" s="13" t="str">
        <f>IF($A324="","",[1]!thsiFinD("ths_adjustment_nv_fund",C$3,$A324))</f>
        <v/>
      </c>
      <c r="D324" s="13" t="str">
        <f>IF($A324="","",[1]!thsiFinD("ths_adjustment_nv_fund",D$3,$A324))</f>
        <v/>
      </c>
      <c r="E324" s="13" t="str">
        <f>IF($A324="","",[1]!thsiFinD("ths_adjustment_nv_fund",E$3,$A324))</f>
        <v/>
      </c>
      <c r="F324" s="13" t="str">
        <f>IF($A324="","",[1]!thsiFinD("ths_adjustment_nv_fund",F$3,$A324))</f>
        <v/>
      </c>
      <c r="G324" s="13" t="str">
        <f>IF($A324="","",[1]!thsiFinD("ths_adjustment_nv_fund",G$3,$A324))</f>
        <v/>
      </c>
      <c r="H324" s="13" t="str">
        <f>IF($A324="","",[1]!thsiFinD("ths_adjustment_nv_fund",H$3,$A324))</f>
        <v/>
      </c>
      <c r="I324" s="13" t="str">
        <f>IF($A324="","",[1]!thsiFinD("ths_adjustment_nv_fund",I$3,$A324))</f>
        <v/>
      </c>
      <c r="J324" s="13" t="str">
        <f>IF($A324="","",[1]!thsiFinD("ths_adjustment_nv_fund",J$3,$A324))</f>
        <v/>
      </c>
      <c r="K324" s="13" t="str">
        <f>IF($A324="","",[1]!thsiFinD("ths_adjustment_nv_fund",K$3,$A324))</f>
        <v/>
      </c>
      <c r="L324" s="13" t="str">
        <f>IF($A324="","",[1]!thsiFinD("ths_adjustment_nv_fund",L$3,$A324))</f>
        <v/>
      </c>
      <c r="M324" s="13" t="str">
        <f>IF($A324="","",[1]!thsiFinD("ths_adjustment_nv_fund",M$3,$A324))</f>
        <v/>
      </c>
      <c r="N324" s="13" t="str">
        <f>IF($A324="","",[1]!thsiFinD("ths_adjustment_nv_fund",N$3,$A324))</f>
        <v/>
      </c>
      <c r="O324" s="13" t="str">
        <f>IF($A324="","",[1]!thsiFinD("ths_adjustment_nv_fund",O$3,$A324))</f>
        <v/>
      </c>
      <c r="P324" s="13" t="str">
        <f>IF($A324="","",[1]!thsiFinD("ths_adjustment_nv_fund",P$3,$A324))</f>
        <v/>
      </c>
      <c r="Q324" s="13" t="str">
        <f>IF($A324="","",[1]!thsiFinD("ths_adjustment_nv_fund",Q$3,$A324))</f>
        <v/>
      </c>
      <c r="R324" s="13" t="str">
        <f>IF($A324="","",[1]!thsiFinD("ths_adjustment_nv_fund",R$3,$A324))</f>
        <v/>
      </c>
      <c r="S324" s="13" t="str">
        <f>IF($A324="","",[1]!thsiFinD("ths_adjustment_nv_fund",S$3,$A324))</f>
        <v/>
      </c>
      <c r="T324" s="13" t="str">
        <f>IF($A324="","",[1]!thsiFinD("ths_adjustment_nv_fund",T$3,$A324))</f>
        <v/>
      </c>
      <c r="U324" s="13" t="str">
        <f>IF($A324="","",[1]!thsiFinD("ths_adjustment_nv_fund",U$3,$A324))</f>
        <v/>
      </c>
      <c r="V324" s="13" t="str">
        <f>IF($A324="","",[1]!thsiFinD("ths_adjustment_nv_fund",V$3,$A324))</f>
        <v/>
      </c>
      <c r="W324" s="13" t="str">
        <f>IF($A324="","",[1]!thsiFinD("ths_adjustment_nv_fund",W$3,$A324))</f>
        <v/>
      </c>
      <c r="X324" s="13" t="str">
        <f>IF($A324="","",[1]!thsiFinD("ths_adjustment_nv_fund",X$3,$A324))</f>
        <v/>
      </c>
      <c r="Y324" s="13" t="str">
        <f>IF($A324="","",[1]!thsiFinD("ths_adjustment_nv_fund",Y$3,$A324))</f>
        <v/>
      </c>
      <c r="Z324" s="13" t="str">
        <f>IF($A324="","",[1]!thsiFinD("ths_adjustment_nv_fund",Z$3,$A324))</f>
        <v/>
      </c>
      <c r="AA324" s="13" t="str">
        <f>IF($A324="","",[1]!thsiFinD("ths_adjustment_nv_fund",AA$3,$A324))</f>
        <v/>
      </c>
      <c r="AB324" s="13" t="str">
        <f>IF($A324="","",[1]!thsiFinD("ths_adjustment_nv_fund",AB$3,$A324))</f>
        <v/>
      </c>
    </row>
    <row r="325" spans="2:28">
      <c r="B325" s="13" t="str">
        <f>IF($A325="","",[1]!thsiFinD("ths_adjustment_nv_fund",B$3,$A325))</f>
        <v/>
      </c>
      <c r="C325" s="13" t="str">
        <f>IF($A325="","",[1]!thsiFinD("ths_adjustment_nv_fund",C$3,$A325))</f>
        <v/>
      </c>
      <c r="D325" s="13" t="str">
        <f>IF($A325="","",[1]!thsiFinD("ths_adjustment_nv_fund",D$3,$A325))</f>
        <v/>
      </c>
      <c r="E325" s="13" t="str">
        <f>IF($A325="","",[1]!thsiFinD("ths_adjustment_nv_fund",E$3,$A325))</f>
        <v/>
      </c>
      <c r="F325" s="13" t="str">
        <f>IF($A325="","",[1]!thsiFinD("ths_adjustment_nv_fund",F$3,$A325))</f>
        <v/>
      </c>
      <c r="G325" s="13" t="str">
        <f>IF($A325="","",[1]!thsiFinD("ths_adjustment_nv_fund",G$3,$A325))</f>
        <v/>
      </c>
      <c r="H325" s="13" t="str">
        <f>IF($A325="","",[1]!thsiFinD("ths_adjustment_nv_fund",H$3,$A325))</f>
        <v/>
      </c>
      <c r="I325" s="13" t="str">
        <f>IF($A325="","",[1]!thsiFinD("ths_adjustment_nv_fund",I$3,$A325))</f>
        <v/>
      </c>
      <c r="J325" s="13" t="str">
        <f>IF($A325="","",[1]!thsiFinD("ths_adjustment_nv_fund",J$3,$A325))</f>
        <v/>
      </c>
      <c r="K325" s="13" t="str">
        <f>IF($A325="","",[1]!thsiFinD("ths_adjustment_nv_fund",K$3,$A325))</f>
        <v/>
      </c>
      <c r="L325" s="13" t="str">
        <f>IF($A325="","",[1]!thsiFinD("ths_adjustment_nv_fund",L$3,$A325))</f>
        <v/>
      </c>
      <c r="M325" s="13" t="str">
        <f>IF($A325="","",[1]!thsiFinD("ths_adjustment_nv_fund",M$3,$A325))</f>
        <v/>
      </c>
      <c r="N325" s="13" t="str">
        <f>IF($A325="","",[1]!thsiFinD("ths_adjustment_nv_fund",N$3,$A325))</f>
        <v/>
      </c>
      <c r="O325" s="13" t="str">
        <f>IF($A325="","",[1]!thsiFinD("ths_adjustment_nv_fund",O$3,$A325))</f>
        <v/>
      </c>
      <c r="P325" s="13" t="str">
        <f>IF($A325="","",[1]!thsiFinD("ths_adjustment_nv_fund",P$3,$A325))</f>
        <v/>
      </c>
      <c r="Q325" s="13" t="str">
        <f>IF($A325="","",[1]!thsiFinD("ths_adjustment_nv_fund",Q$3,$A325))</f>
        <v/>
      </c>
      <c r="R325" s="13" t="str">
        <f>IF($A325="","",[1]!thsiFinD("ths_adjustment_nv_fund",R$3,$A325))</f>
        <v/>
      </c>
      <c r="S325" s="13" t="str">
        <f>IF($A325="","",[1]!thsiFinD("ths_adjustment_nv_fund",S$3,$A325))</f>
        <v/>
      </c>
      <c r="T325" s="13" t="str">
        <f>IF($A325="","",[1]!thsiFinD("ths_adjustment_nv_fund",T$3,$A325))</f>
        <v/>
      </c>
      <c r="U325" s="13" t="str">
        <f>IF($A325="","",[1]!thsiFinD("ths_adjustment_nv_fund",U$3,$A325))</f>
        <v/>
      </c>
      <c r="V325" s="13" t="str">
        <f>IF($A325="","",[1]!thsiFinD("ths_adjustment_nv_fund",V$3,$A325))</f>
        <v/>
      </c>
      <c r="W325" s="13" t="str">
        <f>IF($A325="","",[1]!thsiFinD("ths_adjustment_nv_fund",W$3,$A325))</f>
        <v/>
      </c>
      <c r="X325" s="13" t="str">
        <f>IF($A325="","",[1]!thsiFinD("ths_adjustment_nv_fund",X$3,$A325))</f>
        <v/>
      </c>
      <c r="Y325" s="13" t="str">
        <f>IF($A325="","",[1]!thsiFinD("ths_adjustment_nv_fund",Y$3,$A325))</f>
        <v/>
      </c>
      <c r="Z325" s="13" t="str">
        <f>IF($A325="","",[1]!thsiFinD("ths_adjustment_nv_fund",Z$3,$A325))</f>
        <v/>
      </c>
      <c r="AA325" s="13" t="str">
        <f>IF($A325="","",[1]!thsiFinD("ths_adjustment_nv_fund",AA$3,$A325))</f>
        <v/>
      </c>
      <c r="AB325" s="13" t="str">
        <f>IF($A325="","",[1]!thsiFinD("ths_adjustment_nv_fund",AB$3,$A325))</f>
        <v/>
      </c>
    </row>
    <row r="326" spans="2:28">
      <c r="B326" s="13" t="str">
        <f>IF($A326="","",[1]!thsiFinD("ths_adjustment_nv_fund",B$3,$A326))</f>
        <v/>
      </c>
      <c r="C326" s="13" t="str">
        <f>IF($A326="","",[1]!thsiFinD("ths_adjustment_nv_fund",C$3,$A326))</f>
        <v/>
      </c>
      <c r="D326" s="13" t="str">
        <f>IF($A326="","",[1]!thsiFinD("ths_adjustment_nv_fund",D$3,$A326))</f>
        <v/>
      </c>
      <c r="E326" s="13" t="str">
        <f>IF($A326="","",[1]!thsiFinD("ths_adjustment_nv_fund",E$3,$A326))</f>
        <v/>
      </c>
      <c r="F326" s="13" t="str">
        <f>IF($A326="","",[1]!thsiFinD("ths_adjustment_nv_fund",F$3,$A326))</f>
        <v/>
      </c>
      <c r="G326" s="13" t="str">
        <f>IF($A326="","",[1]!thsiFinD("ths_adjustment_nv_fund",G$3,$A326))</f>
        <v/>
      </c>
      <c r="H326" s="13" t="str">
        <f>IF($A326="","",[1]!thsiFinD("ths_adjustment_nv_fund",H$3,$A326))</f>
        <v/>
      </c>
      <c r="I326" s="13" t="str">
        <f>IF($A326="","",[1]!thsiFinD("ths_adjustment_nv_fund",I$3,$A326))</f>
        <v/>
      </c>
      <c r="J326" s="13" t="str">
        <f>IF($A326="","",[1]!thsiFinD("ths_adjustment_nv_fund",J$3,$A326))</f>
        <v/>
      </c>
      <c r="K326" s="13" t="str">
        <f>IF($A326="","",[1]!thsiFinD("ths_adjustment_nv_fund",K$3,$A326))</f>
        <v/>
      </c>
      <c r="L326" s="13" t="str">
        <f>IF($A326="","",[1]!thsiFinD("ths_adjustment_nv_fund",L$3,$A326))</f>
        <v/>
      </c>
      <c r="M326" s="13" t="str">
        <f>IF($A326="","",[1]!thsiFinD("ths_adjustment_nv_fund",M$3,$A326))</f>
        <v/>
      </c>
      <c r="N326" s="13" t="str">
        <f>IF($A326="","",[1]!thsiFinD("ths_adjustment_nv_fund",N$3,$A326))</f>
        <v/>
      </c>
      <c r="O326" s="13" t="str">
        <f>IF($A326="","",[1]!thsiFinD("ths_adjustment_nv_fund",O$3,$A326))</f>
        <v/>
      </c>
      <c r="P326" s="13" t="str">
        <f>IF($A326="","",[1]!thsiFinD("ths_adjustment_nv_fund",P$3,$A326))</f>
        <v/>
      </c>
      <c r="Q326" s="13" t="str">
        <f>IF($A326="","",[1]!thsiFinD("ths_adjustment_nv_fund",Q$3,$A326))</f>
        <v/>
      </c>
      <c r="R326" s="13" t="str">
        <f>IF($A326="","",[1]!thsiFinD("ths_adjustment_nv_fund",R$3,$A326))</f>
        <v/>
      </c>
      <c r="S326" s="13" t="str">
        <f>IF($A326="","",[1]!thsiFinD("ths_adjustment_nv_fund",S$3,$A326))</f>
        <v/>
      </c>
      <c r="T326" s="13" t="str">
        <f>IF($A326="","",[1]!thsiFinD("ths_adjustment_nv_fund",T$3,$A326))</f>
        <v/>
      </c>
      <c r="U326" s="13" t="str">
        <f>IF($A326="","",[1]!thsiFinD("ths_adjustment_nv_fund",U$3,$A326))</f>
        <v/>
      </c>
      <c r="V326" s="13" t="str">
        <f>IF($A326="","",[1]!thsiFinD("ths_adjustment_nv_fund",V$3,$A326))</f>
        <v/>
      </c>
      <c r="W326" s="13" t="str">
        <f>IF($A326="","",[1]!thsiFinD("ths_adjustment_nv_fund",W$3,$A326))</f>
        <v/>
      </c>
      <c r="X326" s="13" t="str">
        <f>IF($A326="","",[1]!thsiFinD("ths_adjustment_nv_fund",X$3,$A326))</f>
        <v/>
      </c>
      <c r="Y326" s="13" t="str">
        <f>IF($A326="","",[1]!thsiFinD("ths_adjustment_nv_fund",Y$3,$A326))</f>
        <v/>
      </c>
      <c r="Z326" s="13" t="str">
        <f>IF($A326="","",[1]!thsiFinD("ths_adjustment_nv_fund",Z$3,$A326))</f>
        <v/>
      </c>
      <c r="AA326" s="13" t="str">
        <f>IF($A326="","",[1]!thsiFinD("ths_adjustment_nv_fund",AA$3,$A326))</f>
        <v/>
      </c>
      <c r="AB326" s="13" t="str">
        <f>IF($A326="","",[1]!thsiFinD("ths_adjustment_nv_fund",AB$3,$A326))</f>
        <v/>
      </c>
    </row>
    <row r="327" spans="2:28">
      <c r="B327" s="13" t="str">
        <f>IF($A327="","",[1]!thsiFinD("ths_adjustment_nv_fund",B$3,$A327))</f>
        <v/>
      </c>
      <c r="C327" s="13" t="str">
        <f>IF($A327="","",[1]!thsiFinD("ths_adjustment_nv_fund",C$3,$A327))</f>
        <v/>
      </c>
      <c r="D327" s="13" t="str">
        <f>IF($A327="","",[1]!thsiFinD("ths_adjustment_nv_fund",D$3,$A327))</f>
        <v/>
      </c>
      <c r="E327" s="13" t="str">
        <f>IF($A327="","",[1]!thsiFinD("ths_adjustment_nv_fund",E$3,$A327))</f>
        <v/>
      </c>
      <c r="F327" s="13" t="str">
        <f>IF($A327="","",[1]!thsiFinD("ths_adjustment_nv_fund",F$3,$A327))</f>
        <v/>
      </c>
      <c r="G327" s="13" t="str">
        <f>IF($A327="","",[1]!thsiFinD("ths_adjustment_nv_fund",G$3,$A327))</f>
        <v/>
      </c>
      <c r="H327" s="13" t="str">
        <f>IF($A327="","",[1]!thsiFinD("ths_adjustment_nv_fund",H$3,$A327))</f>
        <v/>
      </c>
      <c r="I327" s="13" t="str">
        <f>IF($A327="","",[1]!thsiFinD("ths_adjustment_nv_fund",I$3,$A327))</f>
        <v/>
      </c>
      <c r="J327" s="13" t="str">
        <f>IF($A327="","",[1]!thsiFinD("ths_adjustment_nv_fund",J$3,$A327))</f>
        <v/>
      </c>
      <c r="K327" s="13" t="str">
        <f>IF($A327="","",[1]!thsiFinD("ths_adjustment_nv_fund",K$3,$A327))</f>
        <v/>
      </c>
      <c r="L327" s="13" t="str">
        <f>IF($A327="","",[1]!thsiFinD("ths_adjustment_nv_fund",L$3,$A327))</f>
        <v/>
      </c>
      <c r="M327" s="13" t="str">
        <f>IF($A327="","",[1]!thsiFinD("ths_adjustment_nv_fund",M$3,$A327))</f>
        <v/>
      </c>
      <c r="N327" s="13" t="str">
        <f>IF($A327="","",[1]!thsiFinD("ths_adjustment_nv_fund",N$3,$A327))</f>
        <v/>
      </c>
      <c r="O327" s="13" t="str">
        <f>IF($A327="","",[1]!thsiFinD("ths_adjustment_nv_fund",O$3,$A327))</f>
        <v/>
      </c>
      <c r="P327" s="13" t="str">
        <f>IF($A327="","",[1]!thsiFinD("ths_adjustment_nv_fund",P$3,$A327))</f>
        <v/>
      </c>
      <c r="Q327" s="13" t="str">
        <f>IF($A327="","",[1]!thsiFinD("ths_adjustment_nv_fund",Q$3,$A327))</f>
        <v/>
      </c>
      <c r="R327" s="13" t="str">
        <f>IF($A327="","",[1]!thsiFinD("ths_adjustment_nv_fund",R$3,$A327))</f>
        <v/>
      </c>
      <c r="S327" s="13" t="str">
        <f>IF($A327="","",[1]!thsiFinD("ths_adjustment_nv_fund",S$3,$A327))</f>
        <v/>
      </c>
      <c r="T327" s="13" t="str">
        <f>IF($A327="","",[1]!thsiFinD("ths_adjustment_nv_fund",T$3,$A327))</f>
        <v/>
      </c>
      <c r="U327" s="13" t="str">
        <f>IF($A327="","",[1]!thsiFinD("ths_adjustment_nv_fund",U$3,$A327))</f>
        <v/>
      </c>
      <c r="V327" s="13" t="str">
        <f>IF($A327="","",[1]!thsiFinD("ths_adjustment_nv_fund",V$3,$A327))</f>
        <v/>
      </c>
      <c r="W327" s="13" t="str">
        <f>IF($A327="","",[1]!thsiFinD("ths_adjustment_nv_fund",W$3,$A327))</f>
        <v/>
      </c>
      <c r="X327" s="13" t="str">
        <f>IF($A327="","",[1]!thsiFinD("ths_adjustment_nv_fund",X$3,$A327))</f>
        <v/>
      </c>
      <c r="Y327" s="13" t="str">
        <f>IF($A327="","",[1]!thsiFinD("ths_adjustment_nv_fund",Y$3,$A327))</f>
        <v/>
      </c>
      <c r="Z327" s="13" t="str">
        <f>IF($A327="","",[1]!thsiFinD("ths_adjustment_nv_fund",Z$3,$A327))</f>
        <v/>
      </c>
      <c r="AA327" s="13" t="str">
        <f>IF($A327="","",[1]!thsiFinD("ths_adjustment_nv_fund",AA$3,$A327))</f>
        <v/>
      </c>
      <c r="AB327" s="13" t="str">
        <f>IF($A327="","",[1]!thsiFinD("ths_adjustment_nv_fund",AB$3,$A327))</f>
        <v/>
      </c>
    </row>
    <row r="328" spans="2:28">
      <c r="B328" s="13" t="str">
        <f>IF($A328="","",[1]!thsiFinD("ths_adjustment_nv_fund",B$3,$A328))</f>
        <v/>
      </c>
      <c r="C328" s="13" t="str">
        <f>IF($A328="","",[1]!thsiFinD("ths_adjustment_nv_fund",C$3,$A328))</f>
        <v/>
      </c>
      <c r="D328" s="13" t="str">
        <f>IF($A328="","",[1]!thsiFinD("ths_adjustment_nv_fund",D$3,$A328))</f>
        <v/>
      </c>
      <c r="E328" s="13" t="str">
        <f>IF($A328="","",[1]!thsiFinD("ths_adjustment_nv_fund",E$3,$A328))</f>
        <v/>
      </c>
      <c r="F328" s="13" t="str">
        <f>IF($A328="","",[1]!thsiFinD("ths_adjustment_nv_fund",F$3,$A328))</f>
        <v/>
      </c>
      <c r="G328" s="13" t="str">
        <f>IF($A328="","",[1]!thsiFinD("ths_adjustment_nv_fund",G$3,$A328))</f>
        <v/>
      </c>
      <c r="H328" s="13" t="str">
        <f>IF($A328="","",[1]!thsiFinD("ths_adjustment_nv_fund",H$3,$A328))</f>
        <v/>
      </c>
      <c r="I328" s="13" t="str">
        <f>IF($A328="","",[1]!thsiFinD("ths_adjustment_nv_fund",I$3,$A328))</f>
        <v/>
      </c>
      <c r="J328" s="13" t="str">
        <f>IF($A328="","",[1]!thsiFinD("ths_adjustment_nv_fund",J$3,$A328))</f>
        <v/>
      </c>
      <c r="K328" s="13" t="str">
        <f>IF($A328="","",[1]!thsiFinD("ths_adjustment_nv_fund",K$3,$A328))</f>
        <v/>
      </c>
      <c r="L328" s="13" t="str">
        <f>IF($A328="","",[1]!thsiFinD("ths_adjustment_nv_fund",L$3,$A328))</f>
        <v/>
      </c>
      <c r="M328" s="13" t="str">
        <f>IF($A328="","",[1]!thsiFinD("ths_adjustment_nv_fund",M$3,$A328))</f>
        <v/>
      </c>
      <c r="N328" s="13" t="str">
        <f>IF($A328="","",[1]!thsiFinD("ths_adjustment_nv_fund",N$3,$A328))</f>
        <v/>
      </c>
      <c r="O328" s="13" t="str">
        <f>IF($A328="","",[1]!thsiFinD("ths_adjustment_nv_fund",O$3,$A328))</f>
        <v/>
      </c>
      <c r="P328" s="13" t="str">
        <f>IF($A328="","",[1]!thsiFinD("ths_adjustment_nv_fund",P$3,$A328))</f>
        <v/>
      </c>
      <c r="Q328" s="13" t="str">
        <f>IF($A328="","",[1]!thsiFinD("ths_adjustment_nv_fund",Q$3,$A328))</f>
        <v/>
      </c>
      <c r="R328" s="13" t="str">
        <f>IF($A328="","",[1]!thsiFinD("ths_adjustment_nv_fund",R$3,$A328))</f>
        <v/>
      </c>
      <c r="S328" s="13" t="str">
        <f>IF($A328="","",[1]!thsiFinD("ths_adjustment_nv_fund",S$3,$A328))</f>
        <v/>
      </c>
      <c r="T328" s="13" t="str">
        <f>IF($A328="","",[1]!thsiFinD("ths_adjustment_nv_fund",T$3,$A328))</f>
        <v/>
      </c>
      <c r="U328" s="13" t="str">
        <f>IF($A328="","",[1]!thsiFinD("ths_adjustment_nv_fund",U$3,$A328))</f>
        <v/>
      </c>
      <c r="V328" s="13" t="str">
        <f>IF($A328="","",[1]!thsiFinD("ths_adjustment_nv_fund",V$3,$A328))</f>
        <v/>
      </c>
      <c r="W328" s="13" t="str">
        <f>IF($A328="","",[1]!thsiFinD("ths_adjustment_nv_fund",W$3,$A328))</f>
        <v/>
      </c>
      <c r="X328" s="13" t="str">
        <f>IF($A328="","",[1]!thsiFinD("ths_adjustment_nv_fund",X$3,$A328))</f>
        <v/>
      </c>
      <c r="Y328" s="13" t="str">
        <f>IF($A328="","",[1]!thsiFinD("ths_adjustment_nv_fund",Y$3,$A328))</f>
        <v/>
      </c>
      <c r="Z328" s="13" t="str">
        <f>IF($A328="","",[1]!thsiFinD("ths_adjustment_nv_fund",Z$3,$A328))</f>
        <v/>
      </c>
      <c r="AA328" s="13" t="str">
        <f>IF($A328="","",[1]!thsiFinD("ths_adjustment_nv_fund",AA$3,$A328))</f>
        <v/>
      </c>
      <c r="AB328" s="13" t="str">
        <f>IF($A328="","",[1]!thsiFinD("ths_adjustment_nv_fund",AB$3,$A328))</f>
        <v/>
      </c>
    </row>
    <row r="329" spans="2:28">
      <c r="B329" s="13" t="str">
        <f>IF($A329="","",[1]!thsiFinD("ths_adjustment_nv_fund",B$3,$A329))</f>
        <v/>
      </c>
      <c r="C329" s="13" t="str">
        <f>IF($A329="","",[1]!thsiFinD("ths_adjustment_nv_fund",C$3,$A329))</f>
        <v/>
      </c>
      <c r="D329" s="13" t="str">
        <f>IF($A329="","",[1]!thsiFinD("ths_adjustment_nv_fund",D$3,$A329))</f>
        <v/>
      </c>
      <c r="E329" s="13" t="str">
        <f>IF($A329="","",[1]!thsiFinD("ths_adjustment_nv_fund",E$3,$A329))</f>
        <v/>
      </c>
      <c r="F329" s="13" t="str">
        <f>IF($A329="","",[1]!thsiFinD("ths_adjustment_nv_fund",F$3,$A329))</f>
        <v/>
      </c>
      <c r="G329" s="13" t="str">
        <f>IF($A329="","",[1]!thsiFinD("ths_adjustment_nv_fund",G$3,$A329))</f>
        <v/>
      </c>
      <c r="H329" s="13" t="str">
        <f>IF($A329="","",[1]!thsiFinD("ths_adjustment_nv_fund",H$3,$A329))</f>
        <v/>
      </c>
      <c r="I329" s="13" t="str">
        <f>IF($A329="","",[1]!thsiFinD("ths_adjustment_nv_fund",I$3,$A329))</f>
        <v/>
      </c>
      <c r="J329" s="13" t="str">
        <f>IF($A329="","",[1]!thsiFinD("ths_adjustment_nv_fund",J$3,$A329))</f>
        <v/>
      </c>
      <c r="K329" s="13" t="str">
        <f>IF($A329="","",[1]!thsiFinD("ths_adjustment_nv_fund",K$3,$A329))</f>
        <v/>
      </c>
      <c r="L329" s="13" t="str">
        <f>IF($A329="","",[1]!thsiFinD("ths_adjustment_nv_fund",L$3,$A329))</f>
        <v/>
      </c>
      <c r="M329" s="13" t="str">
        <f>IF($A329="","",[1]!thsiFinD("ths_adjustment_nv_fund",M$3,$A329))</f>
        <v/>
      </c>
      <c r="N329" s="13" t="str">
        <f>IF($A329="","",[1]!thsiFinD("ths_adjustment_nv_fund",N$3,$A329))</f>
        <v/>
      </c>
      <c r="O329" s="13" t="str">
        <f>IF($A329="","",[1]!thsiFinD("ths_adjustment_nv_fund",O$3,$A329))</f>
        <v/>
      </c>
      <c r="P329" s="13" t="str">
        <f>IF($A329="","",[1]!thsiFinD("ths_adjustment_nv_fund",P$3,$A329))</f>
        <v/>
      </c>
      <c r="Q329" s="13" t="str">
        <f>IF($A329="","",[1]!thsiFinD("ths_adjustment_nv_fund",Q$3,$A329))</f>
        <v/>
      </c>
      <c r="R329" s="13" t="str">
        <f>IF($A329="","",[1]!thsiFinD("ths_adjustment_nv_fund",R$3,$A329))</f>
        <v/>
      </c>
      <c r="S329" s="13" t="str">
        <f>IF($A329="","",[1]!thsiFinD("ths_adjustment_nv_fund",S$3,$A329))</f>
        <v/>
      </c>
      <c r="T329" s="13" t="str">
        <f>IF($A329="","",[1]!thsiFinD("ths_adjustment_nv_fund",T$3,$A329))</f>
        <v/>
      </c>
      <c r="U329" s="13" t="str">
        <f>IF($A329="","",[1]!thsiFinD("ths_adjustment_nv_fund",U$3,$A329))</f>
        <v/>
      </c>
      <c r="V329" s="13" t="str">
        <f>IF($A329="","",[1]!thsiFinD("ths_adjustment_nv_fund",V$3,$A329))</f>
        <v/>
      </c>
      <c r="W329" s="13" t="str">
        <f>IF($A329="","",[1]!thsiFinD("ths_adjustment_nv_fund",W$3,$A329))</f>
        <v/>
      </c>
      <c r="X329" s="13" t="str">
        <f>IF($A329="","",[1]!thsiFinD("ths_adjustment_nv_fund",X$3,$A329))</f>
        <v/>
      </c>
      <c r="Y329" s="13" t="str">
        <f>IF($A329="","",[1]!thsiFinD("ths_adjustment_nv_fund",Y$3,$A329))</f>
        <v/>
      </c>
      <c r="Z329" s="13" t="str">
        <f>IF($A329="","",[1]!thsiFinD("ths_adjustment_nv_fund",Z$3,$A329))</f>
        <v/>
      </c>
      <c r="AA329" s="13" t="str">
        <f>IF($A329="","",[1]!thsiFinD("ths_adjustment_nv_fund",AA$3,$A329))</f>
        <v/>
      </c>
      <c r="AB329" s="13" t="str">
        <f>IF($A329="","",[1]!thsiFinD("ths_adjustment_nv_fund",AB$3,$A329))</f>
        <v/>
      </c>
    </row>
    <row r="330" spans="2:28">
      <c r="B330" s="13" t="str">
        <f>IF($A330="","",[1]!thsiFinD("ths_adjustment_nv_fund",B$3,$A330))</f>
        <v/>
      </c>
      <c r="C330" s="13" t="str">
        <f>IF($A330="","",[1]!thsiFinD("ths_adjustment_nv_fund",C$3,$A330))</f>
        <v/>
      </c>
      <c r="D330" s="13" t="str">
        <f>IF($A330="","",[1]!thsiFinD("ths_adjustment_nv_fund",D$3,$A330))</f>
        <v/>
      </c>
      <c r="E330" s="13" t="str">
        <f>IF($A330="","",[1]!thsiFinD("ths_adjustment_nv_fund",E$3,$A330))</f>
        <v/>
      </c>
      <c r="F330" s="13" t="str">
        <f>IF($A330="","",[1]!thsiFinD("ths_adjustment_nv_fund",F$3,$A330))</f>
        <v/>
      </c>
      <c r="G330" s="13" t="str">
        <f>IF($A330="","",[1]!thsiFinD("ths_adjustment_nv_fund",G$3,$A330))</f>
        <v/>
      </c>
      <c r="H330" s="13" t="str">
        <f>IF($A330="","",[1]!thsiFinD("ths_adjustment_nv_fund",H$3,$A330))</f>
        <v/>
      </c>
      <c r="I330" s="13" t="str">
        <f>IF($A330="","",[1]!thsiFinD("ths_adjustment_nv_fund",I$3,$A330))</f>
        <v/>
      </c>
      <c r="J330" s="13" t="str">
        <f>IF($A330="","",[1]!thsiFinD("ths_adjustment_nv_fund",J$3,$A330))</f>
        <v/>
      </c>
      <c r="K330" s="13" t="str">
        <f>IF($A330="","",[1]!thsiFinD("ths_adjustment_nv_fund",K$3,$A330))</f>
        <v/>
      </c>
      <c r="L330" s="13" t="str">
        <f>IF($A330="","",[1]!thsiFinD("ths_adjustment_nv_fund",L$3,$A330))</f>
        <v/>
      </c>
      <c r="M330" s="13" t="str">
        <f>IF($A330="","",[1]!thsiFinD("ths_adjustment_nv_fund",M$3,$A330))</f>
        <v/>
      </c>
      <c r="N330" s="13" t="str">
        <f>IF($A330="","",[1]!thsiFinD("ths_adjustment_nv_fund",N$3,$A330))</f>
        <v/>
      </c>
      <c r="O330" s="13" t="str">
        <f>IF($A330="","",[1]!thsiFinD("ths_adjustment_nv_fund",O$3,$A330))</f>
        <v/>
      </c>
      <c r="P330" s="13" t="str">
        <f>IF($A330="","",[1]!thsiFinD("ths_adjustment_nv_fund",P$3,$A330))</f>
        <v/>
      </c>
      <c r="Q330" s="13" t="str">
        <f>IF($A330="","",[1]!thsiFinD("ths_adjustment_nv_fund",Q$3,$A330))</f>
        <v/>
      </c>
      <c r="R330" s="13" t="str">
        <f>IF($A330="","",[1]!thsiFinD("ths_adjustment_nv_fund",R$3,$A330))</f>
        <v/>
      </c>
      <c r="S330" s="13" t="str">
        <f>IF($A330="","",[1]!thsiFinD("ths_adjustment_nv_fund",S$3,$A330))</f>
        <v/>
      </c>
      <c r="T330" s="13" t="str">
        <f>IF($A330="","",[1]!thsiFinD("ths_adjustment_nv_fund",T$3,$A330))</f>
        <v/>
      </c>
      <c r="U330" s="13" t="str">
        <f>IF($A330="","",[1]!thsiFinD("ths_adjustment_nv_fund",U$3,$A330))</f>
        <v/>
      </c>
      <c r="V330" s="13" t="str">
        <f>IF($A330="","",[1]!thsiFinD("ths_adjustment_nv_fund",V$3,$A330))</f>
        <v/>
      </c>
      <c r="W330" s="13" t="str">
        <f>IF($A330="","",[1]!thsiFinD("ths_adjustment_nv_fund",W$3,$A330))</f>
        <v/>
      </c>
      <c r="X330" s="13" t="str">
        <f>IF($A330="","",[1]!thsiFinD("ths_adjustment_nv_fund",X$3,$A330))</f>
        <v/>
      </c>
      <c r="Y330" s="13" t="str">
        <f>IF($A330="","",[1]!thsiFinD("ths_adjustment_nv_fund",Y$3,$A330))</f>
        <v/>
      </c>
      <c r="Z330" s="13" t="str">
        <f>IF($A330="","",[1]!thsiFinD("ths_adjustment_nv_fund",Z$3,$A330))</f>
        <v/>
      </c>
      <c r="AA330" s="13" t="str">
        <f>IF($A330="","",[1]!thsiFinD("ths_adjustment_nv_fund",AA$3,$A330))</f>
        <v/>
      </c>
      <c r="AB330" s="13" t="str">
        <f>IF($A330="","",[1]!thsiFinD("ths_adjustment_nv_fund",AB$3,$A330))</f>
        <v/>
      </c>
    </row>
    <row r="331" spans="2:28">
      <c r="B331" s="13" t="str">
        <f>IF($A331="","",[1]!thsiFinD("ths_adjustment_nv_fund",B$3,$A331))</f>
        <v/>
      </c>
      <c r="C331" s="13" t="str">
        <f>IF($A331="","",[1]!thsiFinD("ths_adjustment_nv_fund",C$3,$A331))</f>
        <v/>
      </c>
      <c r="D331" s="13" t="str">
        <f>IF($A331="","",[1]!thsiFinD("ths_adjustment_nv_fund",D$3,$A331))</f>
        <v/>
      </c>
      <c r="E331" s="13" t="str">
        <f>IF($A331="","",[1]!thsiFinD("ths_adjustment_nv_fund",E$3,$A331))</f>
        <v/>
      </c>
      <c r="F331" s="13" t="str">
        <f>IF($A331="","",[1]!thsiFinD("ths_adjustment_nv_fund",F$3,$A331))</f>
        <v/>
      </c>
      <c r="G331" s="13" t="str">
        <f>IF($A331="","",[1]!thsiFinD("ths_adjustment_nv_fund",G$3,$A331))</f>
        <v/>
      </c>
      <c r="H331" s="13" t="str">
        <f>IF($A331="","",[1]!thsiFinD("ths_adjustment_nv_fund",H$3,$A331))</f>
        <v/>
      </c>
      <c r="I331" s="13" t="str">
        <f>IF($A331="","",[1]!thsiFinD("ths_adjustment_nv_fund",I$3,$A331))</f>
        <v/>
      </c>
      <c r="J331" s="13" t="str">
        <f>IF($A331="","",[1]!thsiFinD("ths_adjustment_nv_fund",J$3,$A331))</f>
        <v/>
      </c>
      <c r="K331" s="13" t="str">
        <f>IF($A331="","",[1]!thsiFinD("ths_adjustment_nv_fund",K$3,$A331))</f>
        <v/>
      </c>
      <c r="L331" s="13" t="str">
        <f>IF($A331="","",[1]!thsiFinD("ths_adjustment_nv_fund",L$3,$A331))</f>
        <v/>
      </c>
      <c r="M331" s="13" t="str">
        <f>IF($A331="","",[1]!thsiFinD("ths_adjustment_nv_fund",M$3,$A331))</f>
        <v/>
      </c>
      <c r="N331" s="13" t="str">
        <f>IF($A331="","",[1]!thsiFinD("ths_adjustment_nv_fund",N$3,$A331))</f>
        <v/>
      </c>
      <c r="O331" s="13" t="str">
        <f>IF($A331="","",[1]!thsiFinD("ths_adjustment_nv_fund",O$3,$A331))</f>
        <v/>
      </c>
      <c r="P331" s="13" t="str">
        <f>IF($A331="","",[1]!thsiFinD("ths_adjustment_nv_fund",P$3,$A331))</f>
        <v/>
      </c>
      <c r="Q331" s="13" t="str">
        <f>IF($A331="","",[1]!thsiFinD("ths_adjustment_nv_fund",Q$3,$A331))</f>
        <v/>
      </c>
      <c r="R331" s="13" t="str">
        <f>IF($A331="","",[1]!thsiFinD("ths_adjustment_nv_fund",R$3,$A331))</f>
        <v/>
      </c>
      <c r="S331" s="13" t="str">
        <f>IF($A331="","",[1]!thsiFinD("ths_adjustment_nv_fund",S$3,$A331))</f>
        <v/>
      </c>
      <c r="T331" s="13" t="str">
        <f>IF($A331="","",[1]!thsiFinD("ths_adjustment_nv_fund",T$3,$A331))</f>
        <v/>
      </c>
      <c r="U331" s="13" t="str">
        <f>IF($A331="","",[1]!thsiFinD("ths_adjustment_nv_fund",U$3,$A331))</f>
        <v/>
      </c>
      <c r="V331" s="13" t="str">
        <f>IF($A331="","",[1]!thsiFinD("ths_adjustment_nv_fund",V$3,$A331))</f>
        <v/>
      </c>
      <c r="W331" s="13" t="str">
        <f>IF($A331="","",[1]!thsiFinD("ths_adjustment_nv_fund",W$3,$A331))</f>
        <v/>
      </c>
      <c r="X331" s="13" t="str">
        <f>IF($A331="","",[1]!thsiFinD("ths_adjustment_nv_fund",X$3,$A331))</f>
        <v/>
      </c>
      <c r="Y331" s="13" t="str">
        <f>IF($A331="","",[1]!thsiFinD("ths_adjustment_nv_fund",Y$3,$A331))</f>
        <v/>
      </c>
      <c r="Z331" s="13" t="str">
        <f>IF($A331="","",[1]!thsiFinD("ths_adjustment_nv_fund",Z$3,$A331))</f>
        <v/>
      </c>
      <c r="AA331" s="13" t="str">
        <f>IF($A331="","",[1]!thsiFinD("ths_adjustment_nv_fund",AA$3,$A331))</f>
        <v/>
      </c>
      <c r="AB331" s="13" t="str">
        <f>IF($A331="","",[1]!thsiFinD("ths_adjustment_nv_fund",AB$3,$A331))</f>
        <v/>
      </c>
    </row>
    <row r="332" spans="2:28">
      <c r="B332" s="13" t="str">
        <f>IF($A332="","",[1]!thsiFinD("ths_adjustment_nv_fund",B$3,$A332))</f>
        <v/>
      </c>
      <c r="C332" s="13" t="str">
        <f>IF($A332="","",[1]!thsiFinD("ths_adjustment_nv_fund",C$3,$A332))</f>
        <v/>
      </c>
      <c r="D332" s="13" t="str">
        <f>IF($A332="","",[1]!thsiFinD("ths_adjustment_nv_fund",D$3,$A332))</f>
        <v/>
      </c>
      <c r="E332" s="13" t="str">
        <f>IF($A332="","",[1]!thsiFinD("ths_adjustment_nv_fund",E$3,$A332))</f>
        <v/>
      </c>
      <c r="F332" s="13" t="str">
        <f>IF($A332="","",[1]!thsiFinD("ths_adjustment_nv_fund",F$3,$A332))</f>
        <v/>
      </c>
      <c r="G332" s="13" t="str">
        <f>IF($A332="","",[1]!thsiFinD("ths_adjustment_nv_fund",G$3,$A332))</f>
        <v/>
      </c>
      <c r="H332" s="13" t="str">
        <f>IF($A332="","",[1]!thsiFinD("ths_adjustment_nv_fund",H$3,$A332))</f>
        <v/>
      </c>
      <c r="I332" s="13" t="str">
        <f>IF($A332="","",[1]!thsiFinD("ths_adjustment_nv_fund",I$3,$A332))</f>
        <v/>
      </c>
      <c r="J332" s="13" t="str">
        <f>IF($A332="","",[1]!thsiFinD("ths_adjustment_nv_fund",J$3,$A332))</f>
        <v/>
      </c>
      <c r="K332" s="13" t="str">
        <f>IF($A332="","",[1]!thsiFinD("ths_adjustment_nv_fund",K$3,$A332))</f>
        <v/>
      </c>
      <c r="L332" s="13" t="str">
        <f>IF($A332="","",[1]!thsiFinD("ths_adjustment_nv_fund",L$3,$A332))</f>
        <v/>
      </c>
      <c r="M332" s="13" t="str">
        <f>IF($A332="","",[1]!thsiFinD("ths_adjustment_nv_fund",M$3,$A332))</f>
        <v/>
      </c>
      <c r="N332" s="13" t="str">
        <f>IF($A332="","",[1]!thsiFinD("ths_adjustment_nv_fund",N$3,$A332))</f>
        <v/>
      </c>
      <c r="O332" s="13" t="str">
        <f>IF($A332="","",[1]!thsiFinD("ths_adjustment_nv_fund",O$3,$A332))</f>
        <v/>
      </c>
      <c r="P332" s="13" t="str">
        <f>IF($A332="","",[1]!thsiFinD("ths_adjustment_nv_fund",P$3,$A332))</f>
        <v/>
      </c>
      <c r="Q332" s="13" t="str">
        <f>IF($A332="","",[1]!thsiFinD("ths_adjustment_nv_fund",Q$3,$A332))</f>
        <v/>
      </c>
      <c r="R332" s="13" t="str">
        <f>IF($A332="","",[1]!thsiFinD("ths_adjustment_nv_fund",R$3,$A332))</f>
        <v/>
      </c>
      <c r="S332" s="13" t="str">
        <f>IF($A332="","",[1]!thsiFinD("ths_adjustment_nv_fund",S$3,$A332))</f>
        <v/>
      </c>
      <c r="T332" s="13" t="str">
        <f>IF($A332="","",[1]!thsiFinD("ths_adjustment_nv_fund",T$3,$A332))</f>
        <v/>
      </c>
      <c r="U332" s="13" t="str">
        <f>IF($A332="","",[1]!thsiFinD("ths_adjustment_nv_fund",U$3,$A332))</f>
        <v/>
      </c>
      <c r="V332" s="13" t="str">
        <f>IF($A332="","",[1]!thsiFinD("ths_adjustment_nv_fund",V$3,$A332))</f>
        <v/>
      </c>
      <c r="W332" s="13" t="str">
        <f>IF($A332="","",[1]!thsiFinD("ths_adjustment_nv_fund",W$3,$A332))</f>
        <v/>
      </c>
      <c r="X332" s="13" t="str">
        <f>IF($A332="","",[1]!thsiFinD("ths_adjustment_nv_fund",X$3,$A332))</f>
        <v/>
      </c>
      <c r="Y332" s="13" t="str">
        <f>IF($A332="","",[1]!thsiFinD("ths_adjustment_nv_fund",Y$3,$A332))</f>
        <v/>
      </c>
      <c r="Z332" s="13" t="str">
        <f>IF($A332="","",[1]!thsiFinD("ths_adjustment_nv_fund",Z$3,$A332))</f>
        <v/>
      </c>
      <c r="AA332" s="13" t="str">
        <f>IF($A332="","",[1]!thsiFinD("ths_adjustment_nv_fund",AA$3,$A332))</f>
        <v/>
      </c>
      <c r="AB332" s="13" t="str">
        <f>IF($A332="","",[1]!thsiFinD("ths_adjustment_nv_fund",AB$3,$A332))</f>
        <v/>
      </c>
    </row>
    <row r="333" spans="2:28">
      <c r="B333" s="13" t="str">
        <f>IF($A333="","",[1]!thsiFinD("ths_adjustment_nv_fund",B$3,$A333))</f>
        <v/>
      </c>
      <c r="C333" s="13" t="str">
        <f>IF($A333="","",[1]!thsiFinD("ths_adjustment_nv_fund",C$3,$A333))</f>
        <v/>
      </c>
      <c r="D333" s="13" t="str">
        <f>IF($A333="","",[1]!thsiFinD("ths_adjustment_nv_fund",D$3,$A333))</f>
        <v/>
      </c>
      <c r="E333" s="13" t="str">
        <f>IF($A333="","",[1]!thsiFinD("ths_adjustment_nv_fund",E$3,$A333))</f>
        <v/>
      </c>
      <c r="F333" s="13" t="str">
        <f>IF($A333="","",[1]!thsiFinD("ths_adjustment_nv_fund",F$3,$A333))</f>
        <v/>
      </c>
      <c r="G333" s="13" t="str">
        <f>IF($A333="","",[1]!thsiFinD("ths_adjustment_nv_fund",G$3,$A333))</f>
        <v/>
      </c>
      <c r="H333" s="13" t="str">
        <f>IF($A333="","",[1]!thsiFinD("ths_adjustment_nv_fund",H$3,$A333))</f>
        <v/>
      </c>
      <c r="I333" s="13" t="str">
        <f>IF($A333="","",[1]!thsiFinD("ths_adjustment_nv_fund",I$3,$A333))</f>
        <v/>
      </c>
      <c r="J333" s="13" t="str">
        <f>IF($A333="","",[1]!thsiFinD("ths_adjustment_nv_fund",J$3,$A333))</f>
        <v/>
      </c>
      <c r="K333" s="13" t="str">
        <f>IF($A333="","",[1]!thsiFinD("ths_adjustment_nv_fund",K$3,$A333))</f>
        <v/>
      </c>
      <c r="L333" s="13" t="str">
        <f>IF($A333="","",[1]!thsiFinD("ths_adjustment_nv_fund",L$3,$A333))</f>
        <v/>
      </c>
      <c r="M333" s="13" t="str">
        <f>IF($A333="","",[1]!thsiFinD("ths_adjustment_nv_fund",M$3,$A333))</f>
        <v/>
      </c>
      <c r="N333" s="13" t="str">
        <f>IF($A333="","",[1]!thsiFinD("ths_adjustment_nv_fund",N$3,$A333))</f>
        <v/>
      </c>
      <c r="O333" s="13" t="str">
        <f>IF($A333="","",[1]!thsiFinD("ths_adjustment_nv_fund",O$3,$A333))</f>
        <v/>
      </c>
      <c r="P333" s="13" t="str">
        <f>IF($A333="","",[1]!thsiFinD("ths_adjustment_nv_fund",P$3,$A333))</f>
        <v/>
      </c>
      <c r="Q333" s="13" t="str">
        <f>IF($A333="","",[1]!thsiFinD("ths_adjustment_nv_fund",Q$3,$A333))</f>
        <v/>
      </c>
      <c r="R333" s="13" t="str">
        <f>IF($A333="","",[1]!thsiFinD("ths_adjustment_nv_fund",R$3,$A333))</f>
        <v/>
      </c>
      <c r="S333" s="13" t="str">
        <f>IF($A333="","",[1]!thsiFinD("ths_adjustment_nv_fund",S$3,$A333))</f>
        <v/>
      </c>
      <c r="T333" s="13" t="str">
        <f>IF($A333="","",[1]!thsiFinD("ths_adjustment_nv_fund",T$3,$A333))</f>
        <v/>
      </c>
      <c r="U333" s="13" t="str">
        <f>IF($A333="","",[1]!thsiFinD("ths_adjustment_nv_fund",U$3,$A333))</f>
        <v/>
      </c>
      <c r="V333" s="13" t="str">
        <f>IF($A333="","",[1]!thsiFinD("ths_adjustment_nv_fund",V$3,$A333))</f>
        <v/>
      </c>
      <c r="W333" s="13" t="str">
        <f>IF($A333="","",[1]!thsiFinD("ths_adjustment_nv_fund",W$3,$A333))</f>
        <v/>
      </c>
      <c r="X333" s="13" t="str">
        <f>IF($A333="","",[1]!thsiFinD("ths_adjustment_nv_fund",X$3,$A333))</f>
        <v/>
      </c>
      <c r="Y333" s="13" t="str">
        <f>IF($A333="","",[1]!thsiFinD("ths_adjustment_nv_fund",Y$3,$A333))</f>
        <v/>
      </c>
      <c r="Z333" s="13" t="str">
        <f>IF($A333="","",[1]!thsiFinD("ths_adjustment_nv_fund",Z$3,$A333))</f>
        <v/>
      </c>
      <c r="AA333" s="13" t="str">
        <f>IF($A333="","",[1]!thsiFinD("ths_adjustment_nv_fund",AA$3,$A333))</f>
        <v/>
      </c>
      <c r="AB333" s="13" t="str">
        <f>IF($A333="","",[1]!thsiFinD("ths_adjustment_nv_fund",AB$3,$A333))</f>
        <v/>
      </c>
    </row>
    <row r="334" spans="2:28">
      <c r="B334" s="13" t="str">
        <f>IF($A334="","",[1]!thsiFinD("ths_adjustment_nv_fund",B$3,$A334))</f>
        <v/>
      </c>
      <c r="C334" s="13" t="str">
        <f>IF($A334="","",[1]!thsiFinD("ths_adjustment_nv_fund",C$3,$A334))</f>
        <v/>
      </c>
      <c r="D334" s="13" t="str">
        <f>IF($A334="","",[1]!thsiFinD("ths_adjustment_nv_fund",D$3,$A334))</f>
        <v/>
      </c>
      <c r="E334" s="13" t="str">
        <f>IF($A334="","",[1]!thsiFinD("ths_adjustment_nv_fund",E$3,$A334))</f>
        <v/>
      </c>
      <c r="F334" s="13" t="str">
        <f>IF($A334="","",[1]!thsiFinD("ths_adjustment_nv_fund",F$3,$A334))</f>
        <v/>
      </c>
      <c r="G334" s="13" t="str">
        <f>IF($A334="","",[1]!thsiFinD("ths_adjustment_nv_fund",G$3,$A334))</f>
        <v/>
      </c>
      <c r="H334" s="13" t="str">
        <f>IF($A334="","",[1]!thsiFinD("ths_adjustment_nv_fund",H$3,$A334))</f>
        <v/>
      </c>
      <c r="I334" s="13" t="str">
        <f>IF($A334="","",[1]!thsiFinD("ths_adjustment_nv_fund",I$3,$A334))</f>
        <v/>
      </c>
      <c r="J334" s="13" t="str">
        <f>IF($A334="","",[1]!thsiFinD("ths_adjustment_nv_fund",J$3,$A334))</f>
        <v/>
      </c>
      <c r="K334" s="13" t="str">
        <f>IF($A334="","",[1]!thsiFinD("ths_adjustment_nv_fund",K$3,$A334))</f>
        <v/>
      </c>
      <c r="L334" s="13" t="str">
        <f>IF($A334="","",[1]!thsiFinD("ths_adjustment_nv_fund",L$3,$A334))</f>
        <v/>
      </c>
      <c r="M334" s="13" t="str">
        <f>IF($A334="","",[1]!thsiFinD("ths_adjustment_nv_fund",M$3,$A334))</f>
        <v/>
      </c>
      <c r="N334" s="13" t="str">
        <f>IF($A334="","",[1]!thsiFinD("ths_adjustment_nv_fund",N$3,$A334))</f>
        <v/>
      </c>
      <c r="O334" s="13" t="str">
        <f>IF($A334="","",[1]!thsiFinD("ths_adjustment_nv_fund",O$3,$A334))</f>
        <v/>
      </c>
      <c r="P334" s="13" t="str">
        <f>IF($A334="","",[1]!thsiFinD("ths_adjustment_nv_fund",P$3,$A334))</f>
        <v/>
      </c>
      <c r="Q334" s="13" t="str">
        <f>IF($A334="","",[1]!thsiFinD("ths_adjustment_nv_fund",Q$3,$A334))</f>
        <v/>
      </c>
      <c r="R334" s="13" t="str">
        <f>IF($A334="","",[1]!thsiFinD("ths_adjustment_nv_fund",R$3,$A334))</f>
        <v/>
      </c>
      <c r="S334" s="13" t="str">
        <f>IF($A334="","",[1]!thsiFinD("ths_adjustment_nv_fund",S$3,$A334))</f>
        <v/>
      </c>
      <c r="T334" s="13" t="str">
        <f>IF($A334="","",[1]!thsiFinD("ths_adjustment_nv_fund",T$3,$A334))</f>
        <v/>
      </c>
      <c r="U334" s="13" t="str">
        <f>IF($A334="","",[1]!thsiFinD("ths_adjustment_nv_fund",U$3,$A334))</f>
        <v/>
      </c>
      <c r="V334" s="13" t="str">
        <f>IF($A334="","",[1]!thsiFinD("ths_adjustment_nv_fund",V$3,$A334))</f>
        <v/>
      </c>
      <c r="W334" s="13" t="str">
        <f>IF($A334="","",[1]!thsiFinD("ths_adjustment_nv_fund",W$3,$A334))</f>
        <v/>
      </c>
      <c r="X334" s="13" t="str">
        <f>IF($A334="","",[1]!thsiFinD("ths_adjustment_nv_fund",X$3,$A334))</f>
        <v/>
      </c>
      <c r="Y334" s="13" t="str">
        <f>IF($A334="","",[1]!thsiFinD("ths_adjustment_nv_fund",Y$3,$A334))</f>
        <v/>
      </c>
      <c r="Z334" s="13" t="str">
        <f>IF($A334="","",[1]!thsiFinD("ths_adjustment_nv_fund",Z$3,$A334))</f>
        <v/>
      </c>
      <c r="AA334" s="13" t="str">
        <f>IF($A334="","",[1]!thsiFinD("ths_adjustment_nv_fund",AA$3,$A334))</f>
        <v/>
      </c>
      <c r="AB334" s="13" t="str">
        <f>IF($A334="","",[1]!thsiFinD("ths_adjustment_nv_fund",AB$3,$A334))</f>
        <v/>
      </c>
    </row>
    <row r="335" spans="2:28">
      <c r="B335" s="13" t="str">
        <f>IF($A335="","",[1]!thsiFinD("ths_adjustment_nv_fund",B$3,$A335))</f>
        <v/>
      </c>
      <c r="C335" s="13" t="str">
        <f>IF($A335="","",[1]!thsiFinD("ths_adjustment_nv_fund",C$3,$A335))</f>
        <v/>
      </c>
      <c r="D335" s="13" t="str">
        <f>IF($A335="","",[1]!thsiFinD("ths_adjustment_nv_fund",D$3,$A335))</f>
        <v/>
      </c>
      <c r="E335" s="13" t="str">
        <f>IF($A335="","",[1]!thsiFinD("ths_adjustment_nv_fund",E$3,$A335))</f>
        <v/>
      </c>
      <c r="F335" s="13" t="str">
        <f>IF($A335="","",[1]!thsiFinD("ths_adjustment_nv_fund",F$3,$A335))</f>
        <v/>
      </c>
      <c r="G335" s="13" t="str">
        <f>IF($A335="","",[1]!thsiFinD("ths_adjustment_nv_fund",G$3,$A335))</f>
        <v/>
      </c>
      <c r="H335" s="13" t="str">
        <f>IF($A335="","",[1]!thsiFinD("ths_adjustment_nv_fund",H$3,$A335))</f>
        <v/>
      </c>
      <c r="I335" s="13" t="str">
        <f>IF($A335="","",[1]!thsiFinD("ths_adjustment_nv_fund",I$3,$A335))</f>
        <v/>
      </c>
      <c r="J335" s="13" t="str">
        <f>IF($A335="","",[1]!thsiFinD("ths_adjustment_nv_fund",J$3,$A335))</f>
        <v/>
      </c>
      <c r="K335" s="13" t="str">
        <f>IF($A335="","",[1]!thsiFinD("ths_adjustment_nv_fund",K$3,$A335))</f>
        <v/>
      </c>
      <c r="L335" s="13" t="str">
        <f>IF($A335="","",[1]!thsiFinD("ths_adjustment_nv_fund",L$3,$A335))</f>
        <v/>
      </c>
      <c r="M335" s="13" t="str">
        <f>IF($A335="","",[1]!thsiFinD("ths_adjustment_nv_fund",M$3,$A335))</f>
        <v/>
      </c>
      <c r="N335" s="13" t="str">
        <f>IF($A335="","",[1]!thsiFinD("ths_adjustment_nv_fund",N$3,$A335))</f>
        <v/>
      </c>
      <c r="O335" s="13" t="str">
        <f>IF($A335="","",[1]!thsiFinD("ths_adjustment_nv_fund",O$3,$A335))</f>
        <v/>
      </c>
      <c r="P335" s="13" t="str">
        <f>IF($A335="","",[1]!thsiFinD("ths_adjustment_nv_fund",P$3,$A335))</f>
        <v/>
      </c>
      <c r="Q335" s="13" t="str">
        <f>IF($A335="","",[1]!thsiFinD("ths_adjustment_nv_fund",Q$3,$A335))</f>
        <v/>
      </c>
      <c r="R335" s="13" t="str">
        <f>IF($A335="","",[1]!thsiFinD("ths_adjustment_nv_fund",R$3,$A335))</f>
        <v/>
      </c>
      <c r="S335" s="13" t="str">
        <f>IF($A335="","",[1]!thsiFinD("ths_adjustment_nv_fund",S$3,$A335))</f>
        <v/>
      </c>
      <c r="T335" s="13" t="str">
        <f>IF($A335="","",[1]!thsiFinD("ths_adjustment_nv_fund",T$3,$A335))</f>
        <v/>
      </c>
      <c r="U335" s="13" t="str">
        <f>IF($A335="","",[1]!thsiFinD("ths_adjustment_nv_fund",U$3,$A335))</f>
        <v/>
      </c>
      <c r="V335" s="13" t="str">
        <f>IF($A335="","",[1]!thsiFinD("ths_adjustment_nv_fund",V$3,$A335))</f>
        <v/>
      </c>
      <c r="W335" s="13" t="str">
        <f>IF($A335="","",[1]!thsiFinD("ths_adjustment_nv_fund",W$3,$A335))</f>
        <v/>
      </c>
      <c r="X335" s="13" t="str">
        <f>IF($A335="","",[1]!thsiFinD("ths_adjustment_nv_fund",X$3,$A335))</f>
        <v/>
      </c>
      <c r="Y335" s="13" t="str">
        <f>IF($A335="","",[1]!thsiFinD("ths_adjustment_nv_fund",Y$3,$A335))</f>
        <v/>
      </c>
      <c r="Z335" s="13" t="str">
        <f>IF($A335="","",[1]!thsiFinD("ths_adjustment_nv_fund",Z$3,$A335))</f>
        <v/>
      </c>
      <c r="AA335" s="13" t="str">
        <f>IF($A335="","",[1]!thsiFinD("ths_adjustment_nv_fund",AA$3,$A335))</f>
        <v/>
      </c>
      <c r="AB335" s="13" t="str">
        <f>IF($A335="","",[1]!thsiFinD("ths_adjustment_nv_fund",AB$3,$A335))</f>
        <v/>
      </c>
    </row>
    <row r="336" spans="2:28">
      <c r="B336" s="13" t="str">
        <f>IF($A336="","",[1]!thsiFinD("ths_adjustment_nv_fund",B$3,$A336))</f>
        <v/>
      </c>
      <c r="C336" s="13" t="str">
        <f>IF($A336="","",[1]!thsiFinD("ths_adjustment_nv_fund",C$3,$A336))</f>
        <v/>
      </c>
      <c r="D336" s="13" t="str">
        <f>IF($A336="","",[1]!thsiFinD("ths_adjustment_nv_fund",D$3,$A336))</f>
        <v/>
      </c>
      <c r="E336" s="13" t="str">
        <f>IF($A336="","",[1]!thsiFinD("ths_adjustment_nv_fund",E$3,$A336))</f>
        <v/>
      </c>
      <c r="F336" s="13" t="str">
        <f>IF($A336="","",[1]!thsiFinD("ths_adjustment_nv_fund",F$3,$A336))</f>
        <v/>
      </c>
      <c r="G336" s="13" t="str">
        <f>IF($A336="","",[1]!thsiFinD("ths_adjustment_nv_fund",G$3,$A336))</f>
        <v/>
      </c>
      <c r="H336" s="13" t="str">
        <f>IF($A336="","",[1]!thsiFinD("ths_adjustment_nv_fund",H$3,$A336))</f>
        <v/>
      </c>
      <c r="I336" s="13" t="str">
        <f>IF($A336="","",[1]!thsiFinD("ths_adjustment_nv_fund",I$3,$A336))</f>
        <v/>
      </c>
      <c r="J336" s="13" t="str">
        <f>IF($A336="","",[1]!thsiFinD("ths_adjustment_nv_fund",J$3,$A336))</f>
        <v/>
      </c>
      <c r="K336" s="13" t="str">
        <f>IF($A336="","",[1]!thsiFinD("ths_adjustment_nv_fund",K$3,$A336))</f>
        <v/>
      </c>
      <c r="L336" s="13" t="str">
        <f>IF($A336="","",[1]!thsiFinD("ths_adjustment_nv_fund",L$3,$A336))</f>
        <v/>
      </c>
      <c r="M336" s="13" t="str">
        <f>IF($A336="","",[1]!thsiFinD("ths_adjustment_nv_fund",M$3,$A336))</f>
        <v/>
      </c>
      <c r="N336" s="13" t="str">
        <f>IF($A336="","",[1]!thsiFinD("ths_adjustment_nv_fund",N$3,$A336))</f>
        <v/>
      </c>
      <c r="O336" s="13" t="str">
        <f>IF($A336="","",[1]!thsiFinD("ths_adjustment_nv_fund",O$3,$A336))</f>
        <v/>
      </c>
      <c r="P336" s="13" t="str">
        <f>IF($A336="","",[1]!thsiFinD("ths_adjustment_nv_fund",P$3,$A336))</f>
        <v/>
      </c>
      <c r="Q336" s="13" t="str">
        <f>IF($A336="","",[1]!thsiFinD("ths_adjustment_nv_fund",Q$3,$A336))</f>
        <v/>
      </c>
      <c r="R336" s="13" t="str">
        <f>IF($A336="","",[1]!thsiFinD("ths_adjustment_nv_fund",R$3,$A336))</f>
        <v/>
      </c>
      <c r="S336" s="13" t="str">
        <f>IF($A336="","",[1]!thsiFinD("ths_adjustment_nv_fund",S$3,$A336))</f>
        <v/>
      </c>
      <c r="T336" s="13" t="str">
        <f>IF($A336="","",[1]!thsiFinD("ths_adjustment_nv_fund",T$3,$A336))</f>
        <v/>
      </c>
      <c r="U336" s="13" t="str">
        <f>IF($A336="","",[1]!thsiFinD("ths_adjustment_nv_fund",U$3,$A336))</f>
        <v/>
      </c>
      <c r="V336" s="13" t="str">
        <f>IF($A336="","",[1]!thsiFinD("ths_adjustment_nv_fund",V$3,$A336))</f>
        <v/>
      </c>
      <c r="W336" s="13" t="str">
        <f>IF($A336="","",[1]!thsiFinD("ths_adjustment_nv_fund",W$3,$A336))</f>
        <v/>
      </c>
      <c r="X336" s="13" t="str">
        <f>IF($A336="","",[1]!thsiFinD("ths_adjustment_nv_fund",X$3,$A336))</f>
        <v/>
      </c>
      <c r="Y336" s="13" t="str">
        <f>IF($A336="","",[1]!thsiFinD("ths_adjustment_nv_fund",Y$3,$A336))</f>
        <v/>
      </c>
      <c r="Z336" s="13" t="str">
        <f>IF($A336="","",[1]!thsiFinD("ths_adjustment_nv_fund",Z$3,$A336))</f>
        <v/>
      </c>
      <c r="AA336" s="13" t="str">
        <f>IF($A336="","",[1]!thsiFinD("ths_adjustment_nv_fund",AA$3,$A336))</f>
        <v/>
      </c>
      <c r="AB336" s="13" t="str">
        <f>IF($A336="","",[1]!thsiFinD("ths_adjustment_nv_fund",AB$3,$A336))</f>
        <v/>
      </c>
    </row>
    <row r="337" spans="2:28">
      <c r="B337" s="13" t="str">
        <f>IF($A337="","",[1]!thsiFinD("ths_adjustment_nv_fund",B$3,$A337))</f>
        <v/>
      </c>
      <c r="C337" s="13" t="str">
        <f>IF($A337="","",[1]!thsiFinD("ths_adjustment_nv_fund",C$3,$A337))</f>
        <v/>
      </c>
      <c r="D337" s="13" t="str">
        <f>IF($A337="","",[1]!thsiFinD("ths_adjustment_nv_fund",D$3,$A337))</f>
        <v/>
      </c>
      <c r="E337" s="13" t="str">
        <f>IF($A337="","",[1]!thsiFinD("ths_adjustment_nv_fund",E$3,$A337))</f>
        <v/>
      </c>
      <c r="F337" s="13" t="str">
        <f>IF($A337="","",[1]!thsiFinD("ths_adjustment_nv_fund",F$3,$A337))</f>
        <v/>
      </c>
      <c r="G337" s="13" t="str">
        <f>IF($A337="","",[1]!thsiFinD("ths_adjustment_nv_fund",G$3,$A337))</f>
        <v/>
      </c>
      <c r="H337" s="13" t="str">
        <f>IF($A337="","",[1]!thsiFinD("ths_adjustment_nv_fund",H$3,$A337))</f>
        <v/>
      </c>
      <c r="I337" s="13" t="str">
        <f>IF($A337="","",[1]!thsiFinD("ths_adjustment_nv_fund",I$3,$A337))</f>
        <v/>
      </c>
      <c r="J337" s="13" t="str">
        <f>IF($A337="","",[1]!thsiFinD("ths_adjustment_nv_fund",J$3,$A337))</f>
        <v/>
      </c>
      <c r="K337" s="13" t="str">
        <f>IF($A337="","",[1]!thsiFinD("ths_adjustment_nv_fund",K$3,$A337))</f>
        <v/>
      </c>
      <c r="L337" s="13" t="str">
        <f>IF($A337="","",[1]!thsiFinD("ths_adjustment_nv_fund",L$3,$A337))</f>
        <v/>
      </c>
      <c r="M337" s="13" t="str">
        <f>IF($A337="","",[1]!thsiFinD("ths_adjustment_nv_fund",M$3,$A337))</f>
        <v/>
      </c>
      <c r="N337" s="13" t="str">
        <f>IF($A337="","",[1]!thsiFinD("ths_adjustment_nv_fund",N$3,$A337))</f>
        <v/>
      </c>
      <c r="O337" s="13" t="str">
        <f>IF($A337="","",[1]!thsiFinD("ths_adjustment_nv_fund",O$3,$A337))</f>
        <v/>
      </c>
      <c r="P337" s="13" t="str">
        <f>IF($A337="","",[1]!thsiFinD("ths_adjustment_nv_fund",P$3,$A337))</f>
        <v/>
      </c>
      <c r="Q337" s="13" t="str">
        <f>IF($A337="","",[1]!thsiFinD("ths_adjustment_nv_fund",Q$3,$A337))</f>
        <v/>
      </c>
      <c r="R337" s="13" t="str">
        <f>IF($A337="","",[1]!thsiFinD("ths_adjustment_nv_fund",R$3,$A337))</f>
        <v/>
      </c>
      <c r="S337" s="13" t="str">
        <f>IF($A337="","",[1]!thsiFinD("ths_adjustment_nv_fund",S$3,$A337))</f>
        <v/>
      </c>
      <c r="T337" s="13" t="str">
        <f>IF($A337="","",[1]!thsiFinD("ths_adjustment_nv_fund",T$3,$A337))</f>
        <v/>
      </c>
      <c r="U337" s="13" t="str">
        <f>IF($A337="","",[1]!thsiFinD("ths_adjustment_nv_fund",U$3,$A337))</f>
        <v/>
      </c>
      <c r="V337" s="13" t="str">
        <f>IF($A337="","",[1]!thsiFinD("ths_adjustment_nv_fund",V$3,$A337))</f>
        <v/>
      </c>
      <c r="W337" s="13" t="str">
        <f>IF($A337="","",[1]!thsiFinD("ths_adjustment_nv_fund",W$3,$A337))</f>
        <v/>
      </c>
      <c r="X337" s="13" t="str">
        <f>IF($A337="","",[1]!thsiFinD("ths_adjustment_nv_fund",X$3,$A337))</f>
        <v/>
      </c>
      <c r="Y337" s="13" t="str">
        <f>IF($A337="","",[1]!thsiFinD("ths_adjustment_nv_fund",Y$3,$A337))</f>
        <v/>
      </c>
      <c r="Z337" s="13" t="str">
        <f>IF($A337="","",[1]!thsiFinD("ths_adjustment_nv_fund",Z$3,$A337))</f>
        <v/>
      </c>
      <c r="AA337" s="13" t="str">
        <f>IF($A337="","",[1]!thsiFinD("ths_adjustment_nv_fund",AA$3,$A337))</f>
        <v/>
      </c>
      <c r="AB337" s="13" t="str">
        <f>IF($A337="","",[1]!thsiFinD("ths_adjustment_nv_fund",AB$3,$A337))</f>
        <v/>
      </c>
    </row>
    <row r="338" spans="2:28">
      <c r="B338" s="13" t="str">
        <f>IF($A338="","",[1]!thsiFinD("ths_adjustment_nv_fund",B$3,$A338))</f>
        <v/>
      </c>
      <c r="C338" s="13" t="str">
        <f>IF($A338="","",[1]!thsiFinD("ths_adjustment_nv_fund",C$3,$A338))</f>
        <v/>
      </c>
      <c r="D338" s="13" t="str">
        <f>IF($A338="","",[1]!thsiFinD("ths_adjustment_nv_fund",D$3,$A338))</f>
        <v/>
      </c>
      <c r="E338" s="13" t="str">
        <f>IF($A338="","",[1]!thsiFinD("ths_adjustment_nv_fund",E$3,$A338))</f>
        <v/>
      </c>
      <c r="F338" s="13" t="str">
        <f>IF($A338="","",[1]!thsiFinD("ths_adjustment_nv_fund",F$3,$A338))</f>
        <v/>
      </c>
      <c r="G338" s="13" t="str">
        <f>IF($A338="","",[1]!thsiFinD("ths_adjustment_nv_fund",G$3,$A338))</f>
        <v/>
      </c>
      <c r="H338" s="13" t="str">
        <f>IF($A338="","",[1]!thsiFinD("ths_adjustment_nv_fund",H$3,$A338))</f>
        <v/>
      </c>
      <c r="I338" s="13" t="str">
        <f>IF($A338="","",[1]!thsiFinD("ths_adjustment_nv_fund",I$3,$A338))</f>
        <v/>
      </c>
      <c r="J338" s="13" t="str">
        <f>IF($A338="","",[1]!thsiFinD("ths_adjustment_nv_fund",J$3,$A338))</f>
        <v/>
      </c>
      <c r="K338" s="13" t="str">
        <f>IF($A338="","",[1]!thsiFinD("ths_adjustment_nv_fund",K$3,$A338))</f>
        <v/>
      </c>
      <c r="L338" s="13" t="str">
        <f>IF($A338="","",[1]!thsiFinD("ths_adjustment_nv_fund",L$3,$A338))</f>
        <v/>
      </c>
      <c r="M338" s="13" t="str">
        <f>IF($A338="","",[1]!thsiFinD("ths_adjustment_nv_fund",M$3,$A338))</f>
        <v/>
      </c>
      <c r="N338" s="13" t="str">
        <f>IF($A338="","",[1]!thsiFinD("ths_adjustment_nv_fund",N$3,$A338))</f>
        <v/>
      </c>
      <c r="O338" s="13" t="str">
        <f>IF($A338="","",[1]!thsiFinD("ths_adjustment_nv_fund",O$3,$A338))</f>
        <v/>
      </c>
      <c r="P338" s="13" t="str">
        <f>IF($A338="","",[1]!thsiFinD("ths_adjustment_nv_fund",P$3,$A338))</f>
        <v/>
      </c>
      <c r="Q338" s="13" t="str">
        <f>IF($A338="","",[1]!thsiFinD("ths_adjustment_nv_fund",Q$3,$A338))</f>
        <v/>
      </c>
      <c r="R338" s="13" t="str">
        <f>IF($A338="","",[1]!thsiFinD("ths_adjustment_nv_fund",R$3,$A338))</f>
        <v/>
      </c>
      <c r="S338" s="13" t="str">
        <f>IF($A338="","",[1]!thsiFinD("ths_adjustment_nv_fund",S$3,$A338))</f>
        <v/>
      </c>
      <c r="T338" s="13" t="str">
        <f>IF($A338="","",[1]!thsiFinD("ths_adjustment_nv_fund",T$3,$A338))</f>
        <v/>
      </c>
      <c r="U338" s="13" t="str">
        <f>IF($A338="","",[1]!thsiFinD("ths_adjustment_nv_fund",U$3,$A338))</f>
        <v/>
      </c>
      <c r="V338" s="13" t="str">
        <f>IF($A338="","",[1]!thsiFinD("ths_adjustment_nv_fund",V$3,$A338))</f>
        <v/>
      </c>
      <c r="W338" s="13" t="str">
        <f>IF($A338="","",[1]!thsiFinD("ths_adjustment_nv_fund",W$3,$A338))</f>
        <v/>
      </c>
      <c r="X338" s="13" t="str">
        <f>IF($A338="","",[1]!thsiFinD("ths_adjustment_nv_fund",X$3,$A338))</f>
        <v/>
      </c>
      <c r="Y338" s="13" t="str">
        <f>IF($A338="","",[1]!thsiFinD("ths_adjustment_nv_fund",Y$3,$A338))</f>
        <v/>
      </c>
      <c r="Z338" s="13" t="str">
        <f>IF($A338="","",[1]!thsiFinD("ths_adjustment_nv_fund",Z$3,$A338))</f>
        <v/>
      </c>
      <c r="AA338" s="13" t="str">
        <f>IF($A338="","",[1]!thsiFinD("ths_adjustment_nv_fund",AA$3,$A338))</f>
        <v/>
      </c>
      <c r="AB338" s="13" t="str">
        <f>IF($A338="","",[1]!thsiFinD("ths_adjustment_nv_fund",AB$3,$A338))</f>
        <v/>
      </c>
    </row>
    <row r="339" spans="2:28">
      <c r="B339" s="13" t="str">
        <f>IF($A339="","",[1]!thsiFinD("ths_adjustment_nv_fund",B$3,$A339))</f>
        <v/>
      </c>
      <c r="C339" s="13" t="str">
        <f>IF($A339="","",[1]!thsiFinD("ths_adjustment_nv_fund",C$3,$A339))</f>
        <v/>
      </c>
      <c r="D339" s="13" t="str">
        <f>IF($A339="","",[1]!thsiFinD("ths_adjustment_nv_fund",D$3,$A339))</f>
        <v/>
      </c>
      <c r="E339" s="13" t="str">
        <f>IF($A339="","",[1]!thsiFinD("ths_adjustment_nv_fund",E$3,$A339))</f>
        <v/>
      </c>
      <c r="F339" s="13" t="str">
        <f>IF($A339="","",[1]!thsiFinD("ths_adjustment_nv_fund",F$3,$A339))</f>
        <v/>
      </c>
      <c r="G339" s="13" t="str">
        <f>IF($A339="","",[1]!thsiFinD("ths_adjustment_nv_fund",G$3,$A339))</f>
        <v/>
      </c>
      <c r="H339" s="13" t="str">
        <f>IF($A339="","",[1]!thsiFinD("ths_adjustment_nv_fund",H$3,$A339))</f>
        <v/>
      </c>
      <c r="I339" s="13" t="str">
        <f>IF($A339="","",[1]!thsiFinD("ths_adjustment_nv_fund",I$3,$A339))</f>
        <v/>
      </c>
      <c r="J339" s="13" t="str">
        <f>IF($A339="","",[1]!thsiFinD("ths_adjustment_nv_fund",J$3,$A339))</f>
        <v/>
      </c>
      <c r="K339" s="13" t="str">
        <f>IF($A339="","",[1]!thsiFinD("ths_adjustment_nv_fund",K$3,$A339))</f>
        <v/>
      </c>
      <c r="L339" s="13" t="str">
        <f>IF($A339="","",[1]!thsiFinD("ths_adjustment_nv_fund",L$3,$A339))</f>
        <v/>
      </c>
      <c r="M339" s="13" t="str">
        <f>IF($A339="","",[1]!thsiFinD("ths_adjustment_nv_fund",M$3,$A339))</f>
        <v/>
      </c>
      <c r="N339" s="13" t="str">
        <f>IF($A339="","",[1]!thsiFinD("ths_adjustment_nv_fund",N$3,$A339))</f>
        <v/>
      </c>
      <c r="O339" s="13" t="str">
        <f>IF($A339="","",[1]!thsiFinD("ths_adjustment_nv_fund",O$3,$A339))</f>
        <v/>
      </c>
      <c r="P339" s="13" t="str">
        <f>IF($A339="","",[1]!thsiFinD("ths_adjustment_nv_fund",P$3,$A339))</f>
        <v/>
      </c>
      <c r="Q339" s="13" t="str">
        <f>IF($A339="","",[1]!thsiFinD("ths_adjustment_nv_fund",Q$3,$A339))</f>
        <v/>
      </c>
      <c r="R339" s="13" t="str">
        <f>IF($A339="","",[1]!thsiFinD("ths_adjustment_nv_fund",R$3,$A339))</f>
        <v/>
      </c>
      <c r="S339" s="13" t="str">
        <f>IF($A339="","",[1]!thsiFinD("ths_adjustment_nv_fund",S$3,$A339))</f>
        <v/>
      </c>
      <c r="T339" s="13" t="str">
        <f>IF($A339="","",[1]!thsiFinD("ths_adjustment_nv_fund",T$3,$A339))</f>
        <v/>
      </c>
      <c r="U339" s="13" t="str">
        <f>IF($A339="","",[1]!thsiFinD("ths_adjustment_nv_fund",U$3,$A339))</f>
        <v/>
      </c>
      <c r="V339" s="13" t="str">
        <f>IF($A339="","",[1]!thsiFinD("ths_adjustment_nv_fund",V$3,$A339))</f>
        <v/>
      </c>
      <c r="W339" s="13" t="str">
        <f>IF($A339="","",[1]!thsiFinD("ths_adjustment_nv_fund",W$3,$A339))</f>
        <v/>
      </c>
      <c r="X339" s="13" t="str">
        <f>IF($A339="","",[1]!thsiFinD("ths_adjustment_nv_fund",X$3,$A339))</f>
        <v/>
      </c>
      <c r="Y339" s="13" t="str">
        <f>IF($A339="","",[1]!thsiFinD("ths_adjustment_nv_fund",Y$3,$A339))</f>
        <v/>
      </c>
      <c r="Z339" s="13" t="str">
        <f>IF($A339="","",[1]!thsiFinD("ths_adjustment_nv_fund",Z$3,$A339))</f>
        <v/>
      </c>
      <c r="AA339" s="13" t="str">
        <f>IF($A339="","",[1]!thsiFinD("ths_adjustment_nv_fund",AA$3,$A339))</f>
        <v/>
      </c>
      <c r="AB339" s="13" t="str">
        <f>IF($A339="","",[1]!thsiFinD("ths_adjustment_nv_fund",AB$3,$A339))</f>
        <v/>
      </c>
    </row>
    <row r="340" spans="2:28">
      <c r="B340" s="13" t="str">
        <f>IF($A340="","",[1]!thsiFinD("ths_adjustment_nv_fund",B$3,$A340))</f>
        <v/>
      </c>
      <c r="C340" s="13" t="str">
        <f>IF($A340="","",[1]!thsiFinD("ths_adjustment_nv_fund",C$3,$A340))</f>
        <v/>
      </c>
      <c r="D340" s="13" t="str">
        <f>IF($A340="","",[1]!thsiFinD("ths_adjustment_nv_fund",D$3,$A340))</f>
        <v/>
      </c>
      <c r="E340" s="13" t="str">
        <f>IF($A340="","",[1]!thsiFinD("ths_adjustment_nv_fund",E$3,$A340))</f>
        <v/>
      </c>
      <c r="F340" s="13" t="str">
        <f>IF($A340="","",[1]!thsiFinD("ths_adjustment_nv_fund",F$3,$A340))</f>
        <v/>
      </c>
      <c r="G340" s="13" t="str">
        <f>IF($A340="","",[1]!thsiFinD("ths_adjustment_nv_fund",G$3,$A340))</f>
        <v/>
      </c>
      <c r="H340" s="13" t="str">
        <f>IF($A340="","",[1]!thsiFinD("ths_adjustment_nv_fund",H$3,$A340))</f>
        <v/>
      </c>
      <c r="I340" s="13" t="str">
        <f>IF($A340="","",[1]!thsiFinD("ths_adjustment_nv_fund",I$3,$A340))</f>
        <v/>
      </c>
      <c r="J340" s="13" t="str">
        <f>IF($A340="","",[1]!thsiFinD("ths_adjustment_nv_fund",J$3,$A340))</f>
        <v/>
      </c>
      <c r="K340" s="13" t="str">
        <f>IF($A340="","",[1]!thsiFinD("ths_adjustment_nv_fund",K$3,$A340))</f>
        <v/>
      </c>
      <c r="L340" s="13" t="str">
        <f>IF($A340="","",[1]!thsiFinD("ths_adjustment_nv_fund",L$3,$A340))</f>
        <v/>
      </c>
      <c r="M340" s="13" t="str">
        <f>IF($A340="","",[1]!thsiFinD("ths_adjustment_nv_fund",M$3,$A340))</f>
        <v/>
      </c>
      <c r="N340" s="13" t="str">
        <f>IF($A340="","",[1]!thsiFinD("ths_adjustment_nv_fund",N$3,$A340))</f>
        <v/>
      </c>
      <c r="O340" s="13" t="str">
        <f>IF($A340="","",[1]!thsiFinD("ths_adjustment_nv_fund",O$3,$A340))</f>
        <v/>
      </c>
      <c r="P340" s="13" t="str">
        <f>IF($A340="","",[1]!thsiFinD("ths_adjustment_nv_fund",P$3,$A340))</f>
        <v/>
      </c>
      <c r="Q340" s="13" t="str">
        <f>IF($A340="","",[1]!thsiFinD("ths_adjustment_nv_fund",Q$3,$A340))</f>
        <v/>
      </c>
      <c r="R340" s="13" t="str">
        <f>IF($A340="","",[1]!thsiFinD("ths_adjustment_nv_fund",R$3,$A340))</f>
        <v/>
      </c>
      <c r="S340" s="13" t="str">
        <f>IF($A340="","",[1]!thsiFinD("ths_adjustment_nv_fund",S$3,$A340))</f>
        <v/>
      </c>
      <c r="T340" s="13" t="str">
        <f>IF($A340="","",[1]!thsiFinD("ths_adjustment_nv_fund",T$3,$A340))</f>
        <v/>
      </c>
      <c r="U340" s="13" t="str">
        <f>IF($A340="","",[1]!thsiFinD("ths_adjustment_nv_fund",U$3,$A340))</f>
        <v/>
      </c>
      <c r="V340" s="13" t="str">
        <f>IF($A340="","",[1]!thsiFinD("ths_adjustment_nv_fund",V$3,$A340))</f>
        <v/>
      </c>
      <c r="W340" s="13" t="str">
        <f>IF($A340="","",[1]!thsiFinD("ths_adjustment_nv_fund",W$3,$A340))</f>
        <v/>
      </c>
      <c r="X340" s="13" t="str">
        <f>IF($A340="","",[1]!thsiFinD("ths_adjustment_nv_fund",X$3,$A340))</f>
        <v/>
      </c>
      <c r="Y340" s="13" t="str">
        <f>IF($A340="","",[1]!thsiFinD("ths_adjustment_nv_fund",Y$3,$A340))</f>
        <v/>
      </c>
      <c r="Z340" s="13" t="str">
        <f>IF($A340="","",[1]!thsiFinD("ths_adjustment_nv_fund",Z$3,$A340))</f>
        <v/>
      </c>
      <c r="AA340" s="13" t="str">
        <f>IF($A340="","",[1]!thsiFinD("ths_adjustment_nv_fund",AA$3,$A340))</f>
        <v/>
      </c>
      <c r="AB340" s="13" t="str">
        <f>IF($A340="","",[1]!thsiFinD("ths_adjustment_nv_fund",AB$3,$A340))</f>
        <v/>
      </c>
    </row>
    <row r="341" spans="2:28">
      <c r="B341" s="13" t="str">
        <f>IF($A341="","",[1]!thsiFinD("ths_adjustment_nv_fund",B$3,$A341))</f>
        <v/>
      </c>
      <c r="C341" s="13" t="str">
        <f>IF($A341="","",[1]!thsiFinD("ths_adjustment_nv_fund",C$3,$A341))</f>
        <v/>
      </c>
      <c r="D341" s="13" t="str">
        <f>IF($A341="","",[1]!thsiFinD("ths_adjustment_nv_fund",D$3,$A341))</f>
        <v/>
      </c>
      <c r="E341" s="13" t="str">
        <f>IF($A341="","",[1]!thsiFinD("ths_adjustment_nv_fund",E$3,$A341))</f>
        <v/>
      </c>
      <c r="F341" s="13" t="str">
        <f>IF($A341="","",[1]!thsiFinD("ths_adjustment_nv_fund",F$3,$A341))</f>
        <v/>
      </c>
      <c r="G341" s="13" t="str">
        <f>IF($A341="","",[1]!thsiFinD("ths_adjustment_nv_fund",G$3,$A341))</f>
        <v/>
      </c>
      <c r="H341" s="13" t="str">
        <f>IF($A341="","",[1]!thsiFinD("ths_adjustment_nv_fund",H$3,$A341))</f>
        <v/>
      </c>
      <c r="I341" s="13" t="str">
        <f>IF($A341="","",[1]!thsiFinD("ths_adjustment_nv_fund",I$3,$A341))</f>
        <v/>
      </c>
      <c r="J341" s="13" t="str">
        <f>IF($A341="","",[1]!thsiFinD("ths_adjustment_nv_fund",J$3,$A341))</f>
        <v/>
      </c>
      <c r="K341" s="13" t="str">
        <f>IF($A341="","",[1]!thsiFinD("ths_adjustment_nv_fund",K$3,$A341))</f>
        <v/>
      </c>
      <c r="L341" s="13" t="str">
        <f>IF($A341="","",[1]!thsiFinD("ths_adjustment_nv_fund",L$3,$A341))</f>
        <v/>
      </c>
      <c r="M341" s="13" t="str">
        <f>IF($A341="","",[1]!thsiFinD("ths_adjustment_nv_fund",M$3,$A341))</f>
        <v/>
      </c>
      <c r="N341" s="13" t="str">
        <f>IF($A341="","",[1]!thsiFinD("ths_adjustment_nv_fund",N$3,$A341))</f>
        <v/>
      </c>
      <c r="O341" s="13" t="str">
        <f>IF($A341="","",[1]!thsiFinD("ths_adjustment_nv_fund",O$3,$A341))</f>
        <v/>
      </c>
      <c r="P341" s="13" t="str">
        <f>IF($A341="","",[1]!thsiFinD("ths_adjustment_nv_fund",P$3,$A341))</f>
        <v/>
      </c>
      <c r="Q341" s="13" t="str">
        <f>IF($A341="","",[1]!thsiFinD("ths_adjustment_nv_fund",Q$3,$A341))</f>
        <v/>
      </c>
      <c r="R341" s="13" t="str">
        <f>IF($A341="","",[1]!thsiFinD("ths_adjustment_nv_fund",R$3,$A341))</f>
        <v/>
      </c>
      <c r="S341" s="13" t="str">
        <f>IF($A341="","",[1]!thsiFinD("ths_adjustment_nv_fund",S$3,$A341))</f>
        <v/>
      </c>
      <c r="T341" s="13" t="str">
        <f>IF($A341="","",[1]!thsiFinD("ths_adjustment_nv_fund",T$3,$A341))</f>
        <v/>
      </c>
      <c r="U341" s="13" t="str">
        <f>IF($A341="","",[1]!thsiFinD("ths_adjustment_nv_fund",U$3,$A341))</f>
        <v/>
      </c>
      <c r="V341" s="13" t="str">
        <f>IF($A341="","",[1]!thsiFinD("ths_adjustment_nv_fund",V$3,$A341))</f>
        <v/>
      </c>
      <c r="W341" s="13" t="str">
        <f>IF($A341="","",[1]!thsiFinD("ths_adjustment_nv_fund",W$3,$A341))</f>
        <v/>
      </c>
      <c r="X341" s="13" t="str">
        <f>IF($A341="","",[1]!thsiFinD("ths_adjustment_nv_fund",X$3,$A341))</f>
        <v/>
      </c>
      <c r="Y341" s="13" t="str">
        <f>IF($A341="","",[1]!thsiFinD("ths_adjustment_nv_fund",Y$3,$A341))</f>
        <v/>
      </c>
      <c r="Z341" s="13" t="str">
        <f>IF($A341="","",[1]!thsiFinD("ths_adjustment_nv_fund",Z$3,$A341))</f>
        <v/>
      </c>
      <c r="AA341" s="13" t="str">
        <f>IF($A341="","",[1]!thsiFinD("ths_adjustment_nv_fund",AA$3,$A341))</f>
        <v/>
      </c>
      <c r="AB341" s="13" t="str">
        <f>IF($A341="","",[1]!thsiFinD("ths_adjustment_nv_fund",AB$3,$A341))</f>
        <v/>
      </c>
    </row>
    <row r="342" spans="2:28">
      <c r="B342" s="13" t="str">
        <f>IF($A342="","",[1]!thsiFinD("ths_adjustment_nv_fund",B$3,$A342))</f>
        <v/>
      </c>
      <c r="C342" s="13" t="str">
        <f>IF($A342="","",[1]!thsiFinD("ths_adjustment_nv_fund",C$3,$A342))</f>
        <v/>
      </c>
      <c r="D342" s="13" t="str">
        <f>IF($A342="","",[1]!thsiFinD("ths_adjustment_nv_fund",D$3,$A342))</f>
        <v/>
      </c>
      <c r="E342" s="13" t="str">
        <f>IF($A342="","",[1]!thsiFinD("ths_adjustment_nv_fund",E$3,$A342))</f>
        <v/>
      </c>
      <c r="F342" s="13" t="str">
        <f>IF($A342="","",[1]!thsiFinD("ths_adjustment_nv_fund",F$3,$A342))</f>
        <v/>
      </c>
      <c r="G342" s="13" t="str">
        <f>IF($A342="","",[1]!thsiFinD("ths_adjustment_nv_fund",G$3,$A342))</f>
        <v/>
      </c>
      <c r="H342" s="13" t="str">
        <f>IF($A342="","",[1]!thsiFinD("ths_adjustment_nv_fund",H$3,$A342))</f>
        <v/>
      </c>
      <c r="I342" s="13" t="str">
        <f>IF($A342="","",[1]!thsiFinD("ths_adjustment_nv_fund",I$3,$A342))</f>
        <v/>
      </c>
      <c r="J342" s="13" t="str">
        <f>IF($A342="","",[1]!thsiFinD("ths_adjustment_nv_fund",J$3,$A342))</f>
        <v/>
      </c>
      <c r="K342" s="13" t="str">
        <f>IF($A342="","",[1]!thsiFinD("ths_adjustment_nv_fund",K$3,$A342))</f>
        <v/>
      </c>
      <c r="L342" s="13" t="str">
        <f>IF($A342="","",[1]!thsiFinD("ths_adjustment_nv_fund",L$3,$A342))</f>
        <v/>
      </c>
      <c r="M342" s="13" t="str">
        <f>IF($A342="","",[1]!thsiFinD("ths_adjustment_nv_fund",M$3,$A342))</f>
        <v/>
      </c>
      <c r="N342" s="13" t="str">
        <f>IF($A342="","",[1]!thsiFinD("ths_adjustment_nv_fund",N$3,$A342))</f>
        <v/>
      </c>
      <c r="O342" s="13" t="str">
        <f>IF($A342="","",[1]!thsiFinD("ths_adjustment_nv_fund",O$3,$A342))</f>
        <v/>
      </c>
      <c r="P342" s="13" t="str">
        <f>IF($A342="","",[1]!thsiFinD("ths_adjustment_nv_fund",P$3,$A342))</f>
        <v/>
      </c>
      <c r="Q342" s="13" t="str">
        <f>IF($A342="","",[1]!thsiFinD("ths_adjustment_nv_fund",Q$3,$A342))</f>
        <v/>
      </c>
      <c r="R342" s="13" t="str">
        <f>IF($A342="","",[1]!thsiFinD("ths_adjustment_nv_fund",R$3,$A342))</f>
        <v/>
      </c>
      <c r="S342" s="13" t="str">
        <f>IF($A342="","",[1]!thsiFinD("ths_adjustment_nv_fund",S$3,$A342))</f>
        <v/>
      </c>
      <c r="T342" s="13" t="str">
        <f>IF($A342="","",[1]!thsiFinD("ths_adjustment_nv_fund",T$3,$A342))</f>
        <v/>
      </c>
      <c r="U342" s="13" t="str">
        <f>IF($A342="","",[1]!thsiFinD("ths_adjustment_nv_fund",U$3,$A342))</f>
        <v/>
      </c>
      <c r="V342" s="13" t="str">
        <f>IF($A342="","",[1]!thsiFinD("ths_adjustment_nv_fund",V$3,$A342))</f>
        <v/>
      </c>
      <c r="W342" s="13" t="str">
        <f>IF($A342="","",[1]!thsiFinD("ths_adjustment_nv_fund",W$3,$A342))</f>
        <v/>
      </c>
      <c r="X342" s="13" t="str">
        <f>IF($A342="","",[1]!thsiFinD("ths_adjustment_nv_fund",X$3,$A342))</f>
        <v/>
      </c>
      <c r="Y342" s="13" t="str">
        <f>IF($A342="","",[1]!thsiFinD("ths_adjustment_nv_fund",Y$3,$A342))</f>
        <v/>
      </c>
      <c r="Z342" s="13" t="str">
        <f>IF($A342="","",[1]!thsiFinD("ths_adjustment_nv_fund",Z$3,$A342))</f>
        <v/>
      </c>
      <c r="AA342" s="13" t="str">
        <f>IF($A342="","",[1]!thsiFinD("ths_adjustment_nv_fund",AA$3,$A342))</f>
        <v/>
      </c>
      <c r="AB342" s="13" t="str">
        <f>IF($A342="","",[1]!thsiFinD("ths_adjustment_nv_fund",AB$3,$A342))</f>
        <v/>
      </c>
    </row>
    <row r="343" spans="2:28">
      <c r="B343" s="13" t="str">
        <f>IF($A343="","",[1]!thsiFinD("ths_adjustment_nv_fund",B$3,$A343))</f>
        <v/>
      </c>
      <c r="C343" s="13" t="str">
        <f>IF($A343="","",[1]!thsiFinD("ths_adjustment_nv_fund",C$3,$A343))</f>
        <v/>
      </c>
      <c r="D343" s="13" t="str">
        <f>IF($A343="","",[1]!thsiFinD("ths_adjustment_nv_fund",D$3,$A343))</f>
        <v/>
      </c>
      <c r="E343" s="13" t="str">
        <f>IF($A343="","",[1]!thsiFinD("ths_adjustment_nv_fund",E$3,$A343))</f>
        <v/>
      </c>
      <c r="F343" s="13" t="str">
        <f>IF($A343="","",[1]!thsiFinD("ths_adjustment_nv_fund",F$3,$A343))</f>
        <v/>
      </c>
      <c r="G343" s="13" t="str">
        <f>IF($A343="","",[1]!thsiFinD("ths_adjustment_nv_fund",G$3,$A343))</f>
        <v/>
      </c>
      <c r="H343" s="13" t="str">
        <f>IF($A343="","",[1]!thsiFinD("ths_adjustment_nv_fund",H$3,$A343))</f>
        <v/>
      </c>
      <c r="I343" s="13" t="str">
        <f>IF($A343="","",[1]!thsiFinD("ths_adjustment_nv_fund",I$3,$A343))</f>
        <v/>
      </c>
      <c r="J343" s="13" t="str">
        <f>IF($A343="","",[1]!thsiFinD("ths_adjustment_nv_fund",J$3,$A343))</f>
        <v/>
      </c>
      <c r="K343" s="13" t="str">
        <f>IF($A343="","",[1]!thsiFinD("ths_adjustment_nv_fund",K$3,$A343))</f>
        <v/>
      </c>
      <c r="L343" s="13" t="str">
        <f>IF($A343="","",[1]!thsiFinD("ths_adjustment_nv_fund",L$3,$A343))</f>
        <v/>
      </c>
      <c r="M343" s="13" t="str">
        <f>IF($A343="","",[1]!thsiFinD("ths_adjustment_nv_fund",M$3,$A343))</f>
        <v/>
      </c>
      <c r="N343" s="13" t="str">
        <f>IF($A343="","",[1]!thsiFinD("ths_adjustment_nv_fund",N$3,$A343))</f>
        <v/>
      </c>
      <c r="O343" s="13" t="str">
        <f>IF($A343="","",[1]!thsiFinD("ths_adjustment_nv_fund",O$3,$A343))</f>
        <v/>
      </c>
      <c r="P343" s="13" t="str">
        <f>IF($A343="","",[1]!thsiFinD("ths_adjustment_nv_fund",P$3,$A343))</f>
        <v/>
      </c>
      <c r="Q343" s="13" t="str">
        <f>IF($A343="","",[1]!thsiFinD("ths_adjustment_nv_fund",Q$3,$A343))</f>
        <v/>
      </c>
      <c r="R343" s="13" t="str">
        <f>IF($A343="","",[1]!thsiFinD("ths_adjustment_nv_fund",R$3,$A343))</f>
        <v/>
      </c>
      <c r="S343" s="13" t="str">
        <f>IF($A343="","",[1]!thsiFinD("ths_adjustment_nv_fund",S$3,$A343))</f>
        <v/>
      </c>
      <c r="T343" s="13" t="str">
        <f>IF($A343="","",[1]!thsiFinD("ths_adjustment_nv_fund",T$3,$A343))</f>
        <v/>
      </c>
      <c r="U343" s="13" t="str">
        <f>IF($A343="","",[1]!thsiFinD("ths_adjustment_nv_fund",U$3,$A343))</f>
        <v/>
      </c>
      <c r="V343" s="13" t="str">
        <f>IF($A343="","",[1]!thsiFinD("ths_adjustment_nv_fund",V$3,$A343))</f>
        <v/>
      </c>
      <c r="W343" s="13" t="str">
        <f>IF($A343="","",[1]!thsiFinD("ths_adjustment_nv_fund",W$3,$A343))</f>
        <v/>
      </c>
      <c r="X343" s="13" t="str">
        <f>IF($A343="","",[1]!thsiFinD("ths_adjustment_nv_fund",X$3,$A343))</f>
        <v/>
      </c>
      <c r="Y343" s="13" t="str">
        <f>IF($A343="","",[1]!thsiFinD("ths_adjustment_nv_fund",Y$3,$A343))</f>
        <v/>
      </c>
      <c r="Z343" s="13" t="str">
        <f>IF($A343="","",[1]!thsiFinD("ths_adjustment_nv_fund",Z$3,$A343))</f>
        <v/>
      </c>
      <c r="AA343" s="13" t="str">
        <f>IF($A343="","",[1]!thsiFinD("ths_adjustment_nv_fund",AA$3,$A343))</f>
        <v/>
      </c>
      <c r="AB343" s="13" t="str">
        <f>IF($A343="","",[1]!thsiFinD("ths_adjustment_nv_fund",AB$3,$A343))</f>
        <v/>
      </c>
    </row>
    <row r="344" spans="2:28">
      <c r="B344" s="13" t="str">
        <f>IF($A344="","",[1]!thsiFinD("ths_adjustment_nv_fund",B$3,$A344))</f>
        <v/>
      </c>
      <c r="C344" s="13" t="str">
        <f>IF($A344="","",[1]!thsiFinD("ths_adjustment_nv_fund",C$3,$A344))</f>
        <v/>
      </c>
      <c r="D344" s="13" t="str">
        <f>IF($A344="","",[1]!thsiFinD("ths_adjustment_nv_fund",D$3,$A344))</f>
        <v/>
      </c>
      <c r="E344" s="13" t="str">
        <f>IF($A344="","",[1]!thsiFinD("ths_adjustment_nv_fund",E$3,$A344))</f>
        <v/>
      </c>
      <c r="F344" s="13" t="str">
        <f>IF($A344="","",[1]!thsiFinD("ths_adjustment_nv_fund",F$3,$A344))</f>
        <v/>
      </c>
      <c r="G344" s="13" t="str">
        <f>IF($A344="","",[1]!thsiFinD("ths_adjustment_nv_fund",G$3,$A344))</f>
        <v/>
      </c>
      <c r="H344" s="13" t="str">
        <f>IF($A344="","",[1]!thsiFinD("ths_adjustment_nv_fund",H$3,$A344))</f>
        <v/>
      </c>
      <c r="I344" s="13" t="str">
        <f>IF($A344="","",[1]!thsiFinD("ths_adjustment_nv_fund",I$3,$A344))</f>
        <v/>
      </c>
      <c r="J344" s="13" t="str">
        <f>IF($A344="","",[1]!thsiFinD("ths_adjustment_nv_fund",J$3,$A344))</f>
        <v/>
      </c>
      <c r="K344" s="13" t="str">
        <f>IF($A344="","",[1]!thsiFinD("ths_adjustment_nv_fund",K$3,$A344))</f>
        <v/>
      </c>
      <c r="L344" s="13" t="str">
        <f>IF($A344="","",[1]!thsiFinD("ths_adjustment_nv_fund",L$3,$A344))</f>
        <v/>
      </c>
      <c r="M344" s="13" t="str">
        <f>IF($A344="","",[1]!thsiFinD("ths_adjustment_nv_fund",M$3,$A344))</f>
        <v/>
      </c>
      <c r="N344" s="13" t="str">
        <f>IF($A344="","",[1]!thsiFinD("ths_adjustment_nv_fund",N$3,$A344))</f>
        <v/>
      </c>
      <c r="O344" s="13" t="str">
        <f>IF($A344="","",[1]!thsiFinD("ths_adjustment_nv_fund",O$3,$A344))</f>
        <v/>
      </c>
      <c r="P344" s="13" t="str">
        <f>IF($A344="","",[1]!thsiFinD("ths_adjustment_nv_fund",P$3,$A344))</f>
        <v/>
      </c>
      <c r="Q344" s="13" t="str">
        <f>IF($A344="","",[1]!thsiFinD("ths_adjustment_nv_fund",Q$3,$A344))</f>
        <v/>
      </c>
      <c r="R344" s="13" t="str">
        <f>IF($A344="","",[1]!thsiFinD("ths_adjustment_nv_fund",R$3,$A344))</f>
        <v/>
      </c>
      <c r="S344" s="13" t="str">
        <f>IF($A344="","",[1]!thsiFinD("ths_adjustment_nv_fund",S$3,$A344))</f>
        <v/>
      </c>
      <c r="T344" s="13" t="str">
        <f>IF($A344="","",[1]!thsiFinD("ths_adjustment_nv_fund",T$3,$A344))</f>
        <v/>
      </c>
      <c r="U344" s="13" t="str">
        <f>IF($A344="","",[1]!thsiFinD("ths_adjustment_nv_fund",U$3,$A344))</f>
        <v/>
      </c>
      <c r="V344" s="13" t="str">
        <f>IF($A344="","",[1]!thsiFinD("ths_adjustment_nv_fund",V$3,$A344))</f>
        <v/>
      </c>
      <c r="W344" s="13" t="str">
        <f>IF($A344="","",[1]!thsiFinD("ths_adjustment_nv_fund",W$3,$A344))</f>
        <v/>
      </c>
      <c r="X344" s="13" t="str">
        <f>IF($A344="","",[1]!thsiFinD("ths_adjustment_nv_fund",X$3,$A344))</f>
        <v/>
      </c>
      <c r="Y344" s="13" t="str">
        <f>IF($A344="","",[1]!thsiFinD("ths_adjustment_nv_fund",Y$3,$A344))</f>
        <v/>
      </c>
      <c r="Z344" s="13" t="str">
        <f>IF($A344="","",[1]!thsiFinD("ths_adjustment_nv_fund",Z$3,$A344))</f>
        <v/>
      </c>
      <c r="AA344" s="13" t="str">
        <f>IF($A344="","",[1]!thsiFinD("ths_adjustment_nv_fund",AA$3,$A344))</f>
        <v/>
      </c>
      <c r="AB344" s="13" t="str">
        <f>IF($A344="","",[1]!thsiFinD("ths_adjustment_nv_fund",AB$3,$A344))</f>
        <v/>
      </c>
    </row>
    <row r="345" spans="2:28">
      <c r="B345" s="13" t="str">
        <f>IF($A345="","",[1]!thsiFinD("ths_adjustment_nv_fund",B$3,$A345))</f>
        <v/>
      </c>
      <c r="C345" s="13" t="str">
        <f>IF($A345="","",[1]!thsiFinD("ths_adjustment_nv_fund",C$3,$A345))</f>
        <v/>
      </c>
      <c r="D345" s="13" t="str">
        <f>IF($A345="","",[1]!thsiFinD("ths_adjustment_nv_fund",D$3,$A345))</f>
        <v/>
      </c>
      <c r="E345" s="13" t="str">
        <f>IF($A345="","",[1]!thsiFinD("ths_adjustment_nv_fund",E$3,$A345))</f>
        <v/>
      </c>
      <c r="F345" s="13" t="str">
        <f>IF($A345="","",[1]!thsiFinD("ths_adjustment_nv_fund",F$3,$A345))</f>
        <v/>
      </c>
      <c r="G345" s="13" t="str">
        <f>IF($A345="","",[1]!thsiFinD("ths_adjustment_nv_fund",G$3,$A345))</f>
        <v/>
      </c>
      <c r="H345" s="13" t="str">
        <f>IF($A345="","",[1]!thsiFinD("ths_adjustment_nv_fund",H$3,$A345))</f>
        <v/>
      </c>
      <c r="I345" s="13" t="str">
        <f>IF($A345="","",[1]!thsiFinD("ths_adjustment_nv_fund",I$3,$A345))</f>
        <v/>
      </c>
      <c r="J345" s="13" t="str">
        <f>IF($A345="","",[1]!thsiFinD("ths_adjustment_nv_fund",J$3,$A345))</f>
        <v/>
      </c>
      <c r="K345" s="13" t="str">
        <f>IF($A345="","",[1]!thsiFinD("ths_adjustment_nv_fund",K$3,$A345))</f>
        <v/>
      </c>
      <c r="L345" s="13" t="str">
        <f>IF($A345="","",[1]!thsiFinD("ths_adjustment_nv_fund",L$3,$A345))</f>
        <v/>
      </c>
      <c r="M345" s="13" t="str">
        <f>IF($A345="","",[1]!thsiFinD("ths_adjustment_nv_fund",M$3,$A345))</f>
        <v/>
      </c>
      <c r="N345" s="13" t="str">
        <f>IF($A345="","",[1]!thsiFinD("ths_adjustment_nv_fund",N$3,$A345))</f>
        <v/>
      </c>
      <c r="O345" s="13" t="str">
        <f>IF($A345="","",[1]!thsiFinD("ths_adjustment_nv_fund",O$3,$A345))</f>
        <v/>
      </c>
      <c r="P345" s="13" t="str">
        <f>IF($A345="","",[1]!thsiFinD("ths_adjustment_nv_fund",P$3,$A345))</f>
        <v/>
      </c>
      <c r="Q345" s="13" t="str">
        <f>IF($A345="","",[1]!thsiFinD("ths_adjustment_nv_fund",Q$3,$A345))</f>
        <v/>
      </c>
      <c r="R345" s="13" t="str">
        <f>IF($A345="","",[1]!thsiFinD("ths_adjustment_nv_fund",R$3,$A345))</f>
        <v/>
      </c>
      <c r="S345" s="13" t="str">
        <f>IF($A345="","",[1]!thsiFinD("ths_adjustment_nv_fund",S$3,$A345))</f>
        <v/>
      </c>
      <c r="T345" s="13" t="str">
        <f>IF($A345="","",[1]!thsiFinD("ths_adjustment_nv_fund",T$3,$A345))</f>
        <v/>
      </c>
      <c r="U345" s="13" t="str">
        <f>IF($A345="","",[1]!thsiFinD("ths_adjustment_nv_fund",U$3,$A345))</f>
        <v/>
      </c>
      <c r="V345" s="13" t="str">
        <f>IF($A345="","",[1]!thsiFinD("ths_adjustment_nv_fund",V$3,$A345))</f>
        <v/>
      </c>
      <c r="W345" s="13" t="str">
        <f>IF($A345="","",[1]!thsiFinD("ths_adjustment_nv_fund",W$3,$A345))</f>
        <v/>
      </c>
      <c r="X345" s="13" t="str">
        <f>IF($A345="","",[1]!thsiFinD("ths_adjustment_nv_fund",X$3,$A345))</f>
        <v/>
      </c>
      <c r="Y345" s="13" t="str">
        <f>IF($A345="","",[1]!thsiFinD("ths_adjustment_nv_fund",Y$3,$A345))</f>
        <v/>
      </c>
      <c r="Z345" s="13" t="str">
        <f>IF($A345="","",[1]!thsiFinD("ths_adjustment_nv_fund",Z$3,$A345))</f>
        <v/>
      </c>
      <c r="AA345" s="13" t="str">
        <f>IF($A345="","",[1]!thsiFinD("ths_adjustment_nv_fund",AA$3,$A345))</f>
        <v/>
      </c>
      <c r="AB345" s="13" t="str">
        <f>IF($A345="","",[1]!thsiFinD("ths_adjustment_nv_fund",AB$3,$A345))</f>
        <v/>
      </c>
    </row>
    <row r="346" spans="2:28">
      <c r="B346" s="13" t="str">
        <f>IF($A346="","",[1]!thsiFinD("ths_adjustment_nv_fund",B$3,$A346))</f>
        <v/>
      </c>
      <c r="C346" s="13" t="str">
        <f>IF($A346="","",[1]!thsiFinD("ths_adjustment_nv_fund",C$3,$A346))</f>
        <v/>
      </c>
      <c r="D346" s="13" t="str">
        <f>IF($A346="","",[1]!thsiFinD("ths_adjustment_nv_fund",D$3,$A346))</f>
        <v/>
      </c>
      <c r="E346" s="13" t="str">
        <f>IF($A346="","",[1]!thsiFinD("ths_adjustment_nv_fund",E$3,$A346))</f>
        <v/>
      </c>
      <c r="F346" s="13" t="str">
        <f>IF($A346="","",[1]!thsiFinD("ths_adjustment_nv_fund",F$3,$A346))</f>
        <v/>
      </c>
      <c r="G346" s="13" t="str">
        <f>IF($A346="","",[1]!thsiFinD("ths_adjustment_nv_fund",G$3,$A346))</f>
        <v/>
      </c>
      <c r="H346" s="13" t="str">
        <f>IF($A346="","",[1]!thsiFinD("ths_adjustment_nv_fund",H$3,$A346))</f>
        <v/>
      </c>
      <c r="I346" s="13" t="str">
        <f>IF($A346="","",[1]!thsiFinD("ths_adjustment_nv_fund",I$3,$A346))</f>
        <v/>
      </c>
      <c r="J346" s="13" t="str">
        <f>IF($A346="","",[1]!thsiFinD("ths_adjustment_nv_fund",J$3,$A346))</f>
        <v/>
      </c>
      <c r="K346" s="13" t="str">
        <f>IF($A346="","",[1]!thsiFinD("ths_adjustment_nv_fund",K$3,$A346))</f>
        <v/>
      </c>
      <c r="L346" s="13" t="str">
        <f>IF($A346="","",[1]!thsiFinD("ths_adjustment_nv_fund",L$3,$A346))</f>
        <v/>
      </c>
      <c r="M346" s="13" t="str">
        <f>IF($A346="","",[1]!thsiFinD("ths_adjustment_nv_fund",M$3,$A346))</f>
        <v/>
      </c>
      <c r="N346" s="13" t="str">
        <f>IF($A346="","",[1]!thsiFinD("ths_adjustment_nv_fund",N$3,$A346))</f>
        <v/>
      </c>
      <c r="O346" s="13" t="str">
        <f>IF($A346="","",[1]!thsiFinD("ths_adjustment_nv_fund",O$3,$A346))</f>
        <v/>
      </c>
      <c r="P346" s="13" t="str">
        <f>IF($A346="","",[1]!thsiFinD("ths_adjustment_nv_fund",P$3,$A346))</f>
        <v/>
      </c>
      <c r="Q346" s="13" t="str">
        <f>IF($A346="","",[1]!thsiFinD("ths_adjustment_nv_fund",Q$3,$A346))</f>
        <v/>
      </c>
      <c r="R346" s="13" t="str">
        <f>IF($A346="","",[1]!thsiFinD("ths_adjustment_nv_fund",R$3,$A346))</f>
        <v/>
      </c>
      <c r="S346" s="13" t="str">
        <f>IF($A346="","",[1]!thsiFinD("ths_adjustment_nv_fund",S$3,$A346))</f>
        <v/>
      </c>
      <c r="T346" s="13" t="str">
        <f>IF($A346="","",[1]!thsiFinD("ths_adjustment_nv_fund",T$3,$A346))</f>
        <v/>
      </c>
      <c r="U346" s="13" t="str">
        <f>IF($A346="","",[1]!thsiFinD("ths_adjustment_nv_fund",U$3,$A346))</f>
        <v/>
      </c>
      <c r="V346" s="13" t="str">
        <f>IF($A346="","",[1]!thsiFinD("ths_adjustment_nv_fund",V$3,$A346))</f>
        <v/>
      </c>
      <c r="W346" s="13" t="str">
        <f>IF($A346="","",[1]!thsiFinD("ths_adjustment_nv_fund",W$3,$A346))</f>
        <v/>
      </c>
      <c r="X346" s="13" t="str">
        <f>IF($A346="","",[1]!thsiFinD("ths_adjustment_nv_fund",X$3,$A346))</f>
        <v/>
      </c>
      <c r="Y346" s="13" t="str">
        <f>IF($A346="","",[1]!thsiFinD("ths_adjustment_nv_fund",Y$3,$A346))</f>
        <v/>
      </c>
      <c r="Z346" s="13" t="str">
        <f>IF($A346="","",[1]!thsiFinD("ths_adjustment_nv_fund",Z$3,$A346))</f>
        <v/>
      </c>
      <c r="AA346" s="13" t="str">
        <f>IF($A346="","",[1]!thsiFinD("ths_adjustment_nv_fund",AA$3,$A346))</f>
        <v/>
      </c>
      <c r="AB346" s="13" t="str">
        <f>IF($A346="","",[1]!thsiFinD("ths_adjustment_nv_fund",AB$3,$A346))</f>
        <v/>
      </c>
    </row>
    <row r="347" spans="2:28">
      <c r="B347" s="13" t="str">
        <f>IF($A347="","",[1]!thsiFinD("ths_adjustment_nv_fund",B$3,$A347))</f>
        <v/>
      </c>
      <c r="C347" s="13" t="str">
        <f>IF($A347="","",[1]!thsiFinD("ths_adjustment_nv_fund",C$3,$A347))</f>
        <v/>
      </c>
      <c r="D347" s="13" t="str">
        <f>IF($A347="","",[1]!thsiFinD("ths_adjustment_nv_fund",D$3,$A347))</f>
        <v/>
      </c>
      <c r="E347" s="13" t="str">
        <f>IF($A347="","",[1]!thsiFinD("ths_adjustment_nv_fund",E$3,$A347))</f>
        <v/>
      </c>
      <c r="F347" s="13" t="str">
        <f>IF($A347="","",[1]!thsiFinD("ths_adjustment_nv_fund",F$3,$A347))</f>
        <v/>
      </c>
      <c r="G347" s="13" t="str">
        <f>IF($A347="","",[1]!thsiFinD("ths_adjustment_nv_fund",G$3,$A347))</f>
        <v/>
      </c>
      <c r="H347" s="13" t="str">
        <f>IF($A347="","",[1]!thsiFinD("ths_adjustment_nv_fund",H$3,$A347))</f>
        <v/>
      </c>
      <c r="I347" s="13" t="str">
        <f>IF($A347="","",[1]!thsiFinD("ths_adjustment_nv_fund",I$3,$A347))</f>
        <v/>
      </c>
      <c r="J347" s="13" t="str">
        <f>IF($A347="","",[1]!thsiFinD("ths_adjustment_nv_fund",J$3,$A347))</f>
        <v/>
      </c>
      <c r="K347" s="13" t="str">
        <f>IF($A347="","",[1]!thsiFinD("ths_adjustment_nv_fund",K$3,$A347))</f>
        <v/>
      </c>
      <c r="L347" s="13" t="str">
        <f>IF($A347="","",[1]!thsiFinD("ths_adjustment_nv_fund",L$3,$A347))</f>
        <v/>
      </c>
      <c r="M347" s="13" t="str">
        <f>IF($A347="","",[1]!thsiFinD("ths_adjustment_nv_fund",M$3,$A347))</f>
        <v/>
      </c>
      <c r="N347" s="13" t="str">
        <f>IF($A347="","",[1]!thsiFinD("ths_adjustment_nv_fund",N$3,$A347))</f>
        <v/>
      </c>
      <c r="O347" s="13" t="str">
        <f>IF($A347="","",[1]!thsiFinD("ths_adjustment_nv_fund",O$3,$A347))</f>
        <v/>
      </c>
      <c r="P347" s="13" t="str">
        <f>IF($A347="","",[1]!thsiFinD("ths_adjustment_nv_fund",P$3,$A347))</f>
        <v/>
      </c>
      <c r="Q347" s="13" t="str">
        <f>IF($A347="","",[1]!thsiFinD("ths_adjustment_nv_fund",Q$3,$A347))</f>
        <v/>
      </c>
      <c r="R347" s="13" t="str">
        <f>IF($A347="","",[1]!thsiFinD("ths_adjustment_nv_fund",R$3,$A347))</f>
        <v/>
      </c>
      <c r="S347" s="13" t="str">
        <f>IF($A347="","",[1]!thsiFinD("ths_adjustment_nv_fund",S$3,$A347))</f>
        <v/>
      </c>
      <c r="T347" s="13" t="str">
        <f>IF($A347="","",[1]!thsiFinD("ths_adjustment_nv_fund",T$3,$A347))</f>
        <v/>
      </c>
      <c r="U347" s="13" t="str">
        <f>IF($A347="","",[1]!thsiFinD("ths_adjustment_nv_fund",U$3,$A347))</f>
        <v/>
      </c>
      <c r="V347" s="13" t="str">
        <f>IF($A347="","",[1]!thsiFinD("ths_adjustment_nv_fund",V$3,$A347))</f>
        <v/>
      </c>
      <c r="W347" s="13" t="str">
        <f>IF($A347="","",[1]!thsiFinD("ths_adjustment_nv_fund",W$3,$A347))</f>
        <v/>
      </c>
      <c r="X347" s="13" t="str">
        <f>IF($A347="","",[1]!thsiFinD("ths_adjustment_nv_fund",X$3,$A347))</f>
        <v/>
      </c>
      <c r="Y347" s="13" t="str">
        <f>IF($A347="","",[1]!thsiFinD("ths_adjustment_nv_fund",Y$3,$A347))</f>
        <v/>
      </c>
      <c r="Z347" s="13" t="str">
        <f>IF($A347="","",[1]!thsiFinD("ths_adjustment_nv_fund",Z$3,$A347))</f>
        <v/>
      </c>
      <c r="AA347" s="13" t="str">
        <f>IF($A347="","",[1]!thsiFinD("ths_adjustment_nv_fund",AA$3,$A347))</f>
        <v/>
      </c>
      <c r="AB347" s="13" t="str">
        <f>IF($A347="","",[1]!thsiFinD("ths_adjustment_nv_fund",AB$3,$A347))</f>
        <v/>
      </c>
    </row>
    <row r="348" spans="2:28">
      <c r="B348" s="13" t="str">
        <f>IF($A348="","",[1]!thsiFinD("ths_adjustment_nv_fund",B$3,$A348))</f>
        <v/>
      </c>
      <c r="C348" s="13" t="str">
        <f>IF($A348="","",[1]!thsiFinD("ths_adjustment_nv_fund",C$3,$A348))</f>
        <v/>
      </c>
      <c r="D348" s="13" t="str">
        <f>IF($A348="","",[1]!thsiFinD("ths_adjustment_nv_fund",D$3,$A348))</f>
        <v/>
      </c>
      <c r="E348" s="13" t="str">
        <f>IF($A348="","",[1]!thsiFinD("ths_adjustment_nv_fund",E$3,$A348))</f>
        <v/>
      </c>
      <c r="F348" s="13" t="str">
        <f>IF($A348="","",[1]!thsiFinD("ths_adjustment_nv_fund",F$3,$A348))</f>
        <v/>
      </c>
      <c r="G348" s="13" t="str">
        <f>IF($A348="","",[1]!thsiFinD("ths_adjustment_nv_fund",G$3,$A348))</f>
        <v/>
      </c>
      <c r="H348" s="13" t="str">
        <f>IF($A348="","",[1]!thsiFinD("ths_adjustment_nv_fund",H$3,$A348))</f>
        <v/>
      </c>
      <c r="I348" s="13" t="str">
        <f>IF($A348="","",[1]!thsiFinD("ths_adjustment_nv_fund",I$3,$A348))</f>
        <v/>
      </c>
      <c r="J348" s="13" t="str">
        <f>IF($A348="","",[1]!thsiFinD("ths_adjustment_nv_fund",J$3,$A348))</f>
        <v/>
      </c>
      <c r="K348" s="13" t="str">
        <f>IF($A348="","",[1]!thsiFinD("ths_adjustment_nv_fund",K$3,$A348))</f>
        <v/>
      </c>
      <c r="L348" s="13" t="str">
        <f>IF($A348="","",[1]!thsiFinD("ths_adjustment_nv_fund",L$3,$A348))</f>
        <v/>
      </c>
      <c r="M348" s="13" t="str">
        <f>IF($A348="","",[1]!thsiFinD("ths_adjustment_nv_fund",M$3,$A348))</f>
        <v/>
      </c>
      <c r="N348" s="13" t="str">
        <f>IF($A348="","",[1]!thsiFinD("ths_adjustment_nv_fund",N$3,$A348))</f>
        <v/>
      </c>
      <c r="O348" s="13" t="str">
        <f>IF($A348="","",[1]!thsiFinD("ths_adjustment_nv_fund",O$3,$A348))</f>
        <v/>
      </c>
      <c r="P348" s="13" t="str">
        <f>IF($A348="","",[1]!thsiFinD("ths_adjustment_nv_fund",P$3,$A348))</f>
        <v/>
      </c>
      <c r="Q348" s="13" t="str">
        <f>IF($A348="","",[1]!thsiFinD("ths_adjustment_nv_fund",Q$3,$A348))</f>
        <v/>
      </c>
      <c r="R348" s="13" t="str">
        <f>IF($A348="","",[1]!thsiFinD("ths_adjustment_nv_fund",R$3,$A348))</f>
        <v/>
      </c>
      <c r="S348" s="13" t="str">
        <f>IF($A348="","",[1]!thsiFinD("ths_adjustment_nv_fund",S$3,$A348))</f>
        <v/>
      </c>
      <c r="T348" s="13" t="str">
        <f>IF($A348="","",[1]!thsiFinD("ths_adjustment_nv_fund",T$3,$A348))</f>
        <v/>
      </c>
      <c r="U348" s="13" t="str">
        <f>IF($A348="","",[1]!thsiFinD("ths_adjustment_nv_fund",U$3,$A348))</f>
        <v/>
      </c>
      <c r="V348" s="13" t="str">
        <f>IF($A348="","",[1]!thsiFinD("ths_adjustment_nv_fund",V$3,$A348))</f>
        <v/>
      </c>
      <c r="W348" s="13" t="str">
        <f>IF($A348="","",[1]!thsiFinD("ths_adjustment_nv_fund",W$3,$A348))</f>
        <v/>
      </c>
      <c r="X348" s="13" t="str">
        <f>IF($A348="","",[1]!thsiFinD("ths_adjustment_nv_fund",X$3,$A348))</f>
        <v/>
      </c>
      <c r="Y348" s="13" t="str">
        <f>IF($A348="","",[1]!thsiFinD("ths_adjustment_nv_fund",Y$3,$A348))</f>
        <v/>
      </c>
      <c r="Z348" s="13" t="str">
        <f>IF($A348="","",[1]!thsiFinD("ths_adjustment_nv_fund",Z$3,$A348))</f>
        <v/>
      </c>
      <c r="AA348" s="13" t="str">
        <f>IF($A348="","",[1]!thsiFinD("ths_adjustment_nv_fund",AA$3,$A348))</f>
        <v/>
      </c>
      <c r="AB348" s="13" t="str">
        <f>IF($A348="","",[1]!thsiFinD("ths_adjustment_nv_fund",AB$3,$A348))</f>
        <v/>
      </c>
    </row>
    <row r="349" spans="2:28">
      <c r="B349" s="13" t="str">
        <f>IF($A349="","",[1]!thsiFinD("ths_adjustment_nv_fund",B$3,$A349))</f>
        <v/>
      </c>
      <c r="C349" s="13" t="str">
        <f>IF($A349="","",[1]!thsiFinD("ths_adjustment_nv_fund",C$3,$A349))</f>
        <v/>
      </c>
      <c r="D349" s="13" t="str">
        <f>IF($A349="","",[1]!thsiFinD("ths_adjustment_nv_fund",D$3,$A349))</f>
        <v/>
      </c>
      <c r="E349" s="13" t="str">
        <f>IF($A349="","",[1]!thsiFinD("ths_adjustment_nv_fund",E$3,$A349))</f>
        <v/>
      </c>
      <c r="F349" s="13" t="str">
        <f>IF($A349="","",[1]!thsiFinD("ths_adjustment_nv_fund",F$3,$A349))</f>
        <v/>
      </c>
      <c r="G349" s="13" t="str">
        <f>IF($A349="","",[1]!thsiFinD("ths_adjustment_nv_fund",G$3,$A349))</f>
        <v/>
      </c>
      <c r="H349" s="13" t="str">
        <f>IF($A349="","",[1]!thsiFinD("ths_adjustment_nv_fund",H$3,$A349))</f>
        <v/>
      </c>
      <c r="I349" s="13" t="str">
        <f>IF($A349="","",[1]!thsiFinD("ths_adjustment_nv_fund",I$3,$A349))</f>
        <v/>
      </c>
      <c r="J349" s="13" t="str">
        <f>IF($A349="","",[1]!thsiFinD("ths_adjustment_nv_fund",J$3,$A349))</f>
        <v/>
      </c>
      <c r="K349" s="13" t="str">
        <f>IF($A349="","",[1]!thsiFinD("ths_adjustment_nv_fund",K$3,$A349))</f>
        <v/>
      </c>
      <c r="L349" s="13" t="str">
        <f>IF($A349="","",[1]!thsiFinD("ths_adjustment_nv_fund",L$3,$A349))</f>
        <v/>
      </c>
      <c r="M349" s="13" t="str">
        <f>IF($A349="","",[1]!thsiFinD("ths_adjustment_nv_fund",M$3,$A349))</f>
        <v/>
      </c>
      <c r="N349" s="13" t="str">
        <f>IF($A349="","",[1]!thsiFinD("ths_adjustment_nv_fund",N$3,$A349))</f>
        <v/>
      </c>
      <c r="O349" s="13" t="str">
        <f>IF($A349="","",[1]!thsiFinD("ths_adjustment_nv_fund",O$3,$A349))</f>
        <v/>
      </c>
      <c r="P349" s="13" t="str">
        <f>IF($A349="","",[1]!thsiFinD("ths_adjustment_nv_fund",P$3,$A349))</f>
        <v/>
      </c>
      <c r="Q349" s="13" t="str">
        <f>IF($A349="","",[1]!thsiFinD("ths_adjustment_nv_fund",Q$3,$A349))</f>
        <v/>
      </c>
      <c r="R349" s="13" t="str">
        <f>IF($A349="","",[1]!thsiFinD("ths_adjustment_nv_fund",R$3,$A349))</f>
        <v/>
      </c>
      <c r="S349" s="13" t="str">
        <f>IF($A349="","",[1]!thsiFinD("ths_adjustment_nv_fund",S$3,$A349))</f>
        <v/>
      </c>
      <c r="T349" s="13" t="str">
        <f>IF($A349="","",[1]!thsiFinD("ths_adjustment_nv_fund",T$3,$A349))</f>
        <v/>
      </c>
      <c r="U349" s="13" t="str">
        <f>IF($A349="","",[1]!thsiFinD("ths_adjustment_nv_fund",U$3,$A349))</f>
        <v/>
      </c>
      <c r="V349" s="13" t="str">
        <f>IF($A349="","",[1]!thsiFinD("ths_adjustment_nv_fund",V$3,$A349))</f>
        <v/>
      </c>
      <c r="W349" s="13" t="str">
        <f>IF($A349="","",[1]!thsiFinD("ths_adjustment_nv_fund",W$3,$A349))</f>
        <v/>
      </c>
      <c r="X349" s="13" t="str">
        <f>IF($A349="","",[1]!thsiFinD("ths_adjustment_nv_fund",X$3,$A349))</f>
        <v/>
      </c>
      <c r="Y349" s="13" t="str">
        <f>IF($A349="","",[1]!thsiFinD("ths_adjustment_nv_fund",Y$3,$A349))</f>
        <v/>
      </c>
      <c r="Z349" s="13" t="str">
        <f>IF($A349="","",[1]!thsiFinD("ths_adjustment_nv_fund",Z$3,$A349))</f>
        <v/>
      </c>
      <c r="AA349" s="13" t="str">
        <f>IF($A349="","",[1]!thsiFinD("ths_adjustment_nv_fund",AA$3,$A349))</f>
        <v/>
      </c>
      <c r="AB349" s="13" t="str">
        <f>IF($A349="","",[1]!thsiFinD("ths_adjustment_nv_fund",AB$3,$A349))</f>
        <v/>
      </c>
    </row>
    <row r="350" spans="2:28">
      <c r="B350" s="13" t="str">
        <f>IF($A350="","",[1]!thsiFinD("ths_adjustment_nv_fund",B$3,$A350))</f>
        <v/>
      </c>
      <c r="C350" s="13" t="str">
        <f>IF($A350="","",[1]!thsiFinD("ths_adjustment_nv_fund",C$3,$A350))</f>
        <v/>
      </c>
      <c r="D350" s="13" t="str">
        <f>IF($A350="","",[1]!thsiFinD("ths_adjustment_nv_fund",D$3,$A350))</f>
        <v/>
      </c>
      <c r="E350" s="13" t="str">
        <f>IF($A350="","",[1]!thsiFinD("ths_adjustment_nv_fund",E$3,$A350))</f>
        <v/>
      </c>
      <c r="F350" s="13" t="str">
        <f>IF($A350="","",[1]!thsiFinD("ths_adjustment_nv_fund",F$3,$A350))</f>
        <v/>
      </c>
      <c r="G350" s="13" t="str">
        <f>IF($A350="","",[1]!thsiFinD("ths_adjustment_nv_fund",G$3,$A350))</f>
        <v/>
      </c>
      <c r="H350" s="13" t="str">
        <f>IF($A350="","",[1]!thsiFinD("ths_adjustment_nv_fund",H$3,$A350))</f>
        <v/>
      </c>
      <c r="I350" s="13" t="str">
        <f>IF($A350="","",[1]!thsiFinD("ths_adjustment_nv_fund",I$3,$A350))</f>
        <v/>
      </c>
      <c r="J350" s="13" t="str">
        <f>IF($A350="","",[1]!thsiFinD("ths_adjustment_nv_fund",J$3,$A350))</f>
        <v/>
      </c>
      <c r="K350" s="13" t="str">
        <f>IF($A350="","",[1]!thsiFinD("ths_adjustment_nv_fund",K$3,$A350))</f>
        <v/>
      </c>
      <c r="L350" s="13" t="str">
        <f>IF($A350="","",[1]!thsiFinD("ths_adjustment_nv_fund",L$3,$A350))</f>
        <v/>
      </c>
      <c r="M350" s="13" t="str">
        <f>IF($A350="","",[1]!thsiFinD("ths_adjustment_nv_fund",M$3,$A350))</f>
        <v/>
      </c>
      <c r="N350" s="13" t="str">
        <f>IF($A350="","",[1]!thsiFinD("ths_adjustment_nv_fund",N$3,$A350))</f>
        <v/>
      </c>
      <c r="O350" s="13" t="str">
        <f>IF($A350="","",[1]!thsiFinD("ths_adjustment_nv_fund",O$3,$A350))</f>
        <v/>
      </c>
      <c r="P350" s="13" t="str">
        <f>IF($A350="","",[1]!thsiFinD("ths_adjustment_nv_fund",P$3,$A350))</f>
        <v/>
      </c>
      <c r="Q350" s="13" t="str">
        <f>IF($A350="","",[1]!thsiFinD("ths_adjustment_nv_fund",Q$3,$A350))</f>
        <v/>
      </c>
      <c r="R350" s="13" t="str">
        <f>IF($A350="","",[1]!thsiFinD("ths_adjustment_nv_fund",R$3,$A350))</f>
        <v/>
      </c>
      <c r="S350" s="13" t="str">
        <f>IF($A350="","",[1]!thsiFinD("ths_adjustment_nv_fund",S$3,$A350))</f>
        <v/>
      </c>
      <c r="T350" s="13" t="str">
        <f>IF($A350="","",[1]!thsiFinD("ths_adjustment_nv_fund",T$3,$A350))</f>
        <v/>
      </c>
      <c r="U350" s="13" t="str">
        <f>IF($A350="","",[1]!thsiFinD("ths_adjustment_nv_fund",U$3,$A350))</f>
        <v/>
      </c>
      <c r="V350" s="13" t="str">
        <f>IF($A350="","",[1]!thsiFinD("ths_adjustment_nv_fund",V$3,$A350))</f>
        <v/>
      </c>
      <c r="W350" s="13" t="str">
        <f>IF($A350="","",[1]!thsiFinD("ths_adjustment_nv_fund",W$3,$A350))</f>
        <v/>
      </c>
      <c r="X350" s="13" t="str">
        <f>IF($A350="","",[1]!thsiFinD("ths_adjustment_nv_fund",X$3,$A350))</f>
        <v/>
      </c>
      <c r="Y350" s="13" t="str">
        <f>IF($A350="","",[1]!thsiFinD("ths_adjustment_nv_fund",Y$3,$A350))</f>
        <v/>
      </c>
      <c r="Z350" s="13" t="str">
        <f>IF($A350="","",[1]!thsiFinD("ths_adjustment_nv_fund",Z$3,$A350))</f>
        <v/>
      </c>
      <c r="AA350" s="13" t="str">
        <f>IF($A350="","",[1]!thsiFinD("ths_adjustment_nv_fund",AA$3,$A350))</f>
        <v/>
      </c>
      <c r="AB350" s="13" t="str">
        <f>IF($A350="","",[1]!thsiFinD("ths_adjustment_nv_fund",AB$3,$A350))</f>
        <v/>
      </c>
    </row>
    <row r="351" spans="2:28">
      <c r="B351" s="13" t="str">
        <f>IF($A351="","",[1]!thsiFinD("ths_adjustment_nv_fund",B$3,$A351))</f>
        <v/>
      </c>
      <c r="C351" s="13" t="str">
        <f>IF($A351="","",[1]!thsiFinD("ths_adjustment_nv_fund",C$3,$A351))</f>
        <v/>
      </c>
      <c r="D351" s="13" t="str">
        <f>IF($A351="","",[1]!thsiFinD("ths_adjustment_nv_fund",D$3,$A351))</f>
        <v/>
      </c>
      <c r="E351" s="13" t="str">
        <f>IF($A351="","",[1]!thsiFinD("ths_adjustment_nv_fund",E$3,$A351))</f>
        <v/>
      </c>
      <c r="F351" s="13" t="str">
        <f>IF($A351="","",[1]!thsiFinD("ths_adjustment_nv_fund",F$3,$A351))</f>
        <v/>
      </c>
      <c r="G351" s="13" t="str">
        <f>IF($A351="","",[1]!thsiFinD("ths_adjustment_nv_fund",G$3,$A351))</f>
        <v/>
      </c>
      <c r="H351" s="13" t="str">
        <f>IF($A351="","",[1]!thsiFinD("ths_adjustment_nv_fund",H$3,$A351))</f>
        <v/>
      </c>
      <c r="I351" s="13" t="str">
        <f>IF($A351="","",[1]!thsiFinD("ths_adjustment_nv_fund",I$3,$A351))</f>
        <v/>
      </c>
      <c r="J351" s="13" t="str">
        <f>IF($A351="","",[1]!thsiFinD("ths_adjustment_nv_fund",J$3,$A351))</f>
        <v/>
      </c>
      <c r="K351" s="13" t="str">
        <f>IF($A351="","",[1]!thsiFinD("ths_adjustment_nv_fund",K$3,$A351))</f>
        <v/>
      </c>
      <c r="L351" s="13" t="str">
        <f>IF($A351="","",[1]!thsiFinD("ths_adjustment_nv_fund",L$3,$A351))</f>
        <v/>
      </c>
      <c r="M351" s="13" t="str">
        <f>IF($A351="","",[1]!thsiFinD("ths_adjustment_nv_fund",M$3,$A351))</f>
        <v/>
      </c>
      <c r="N351" s="13" t="str">
        <f>IF($A351="","",[1]!thsiFinD("ths_adjustment_nv_fund",N$3,$A351))</f>
        <v/>
      </c>
      <c r="O351" s="13" t="str">
        <f>IF($A351="","",[1]!thsiFinD("ths_adjustment_nv_fund",O$3,$A351))</f>
        <v/>
      </c>
      <c r="P351" s="13" t="str">
        <f>IF($A351="","",[1]!thsiFinD("ths_adjustment_nv_fund",P$3,$A351))</f>
        <v/>
      </c>
      <c r="Q351" s="13" t="str">
        <f>IF($A351="","",[1]!thsiFinD("ths_adjustment_nv_fund",Q$3,$A351))</f>
        <v/>
      </c>
      <c r="R351" s="13" t="str">
        <f>IF($A351="","",[1]!thsiFinD("ths_adjustment_nv_fund",R$3,$A351))</f>
        <v/>
      </c>
      <c r="S351" s="13" t="str">
        <f>IF($A351="","",[1]!thsiFinD("ths_adjustment_nv_fund",S$3,$A351))</f>
        <v/>
      </c>
      <c r="T351" s="13" t="str">
        <f>IF($A351="","",[1]!thsiFinD("ths_adjustment_nv_fund",T$3,$A351))</f>
        <v/>
      </c>
      <c r="U351" s="13" t="str">
        <f>IF($A351="","",[1]!thsiFinD("ths_adjustment_nv_fund",U$3,$A351))</f>
        <v/>
      </c>
      <c r="V351" s="13" t="str">
        <f>IF($A351="","",[1]!thsiFinD("ths_adjustment_nv_fund",V$3,$A351))</f>
        <v/>
      </c>
      <c r="W351" s="13" t="str">
        <f>IF($A351="","",[1]!thsiFinD("ths_adjustment_nv_fund",W$3,$A351))</f>
        <v/>
      </c>
      <c r="X351" s="13" t="str">
        <f>IF($A351="","",[1]!thsiFinD("ths_adjustment_nv_fund",X$3,$A351))</f>
        <v/>
      </c>
      <c r="Y351" s="13" t="str">
        <f>IF($A351="","",[1]!thsiFinD("ths_adjustment_nv_fund",Y$3,$A351))</f>
        <v/>
      </c>
      <c r="Z351" s="13" t="str">
        <f>IF($A351="","",[1]!thsiFinD("ths_adjustment_nv_fund",Z$3,$A351))</f>
        <v/>
      </c>
      <c r="AA351" s="13" t="str">
        <f>IF($A351="","",[1]!thsiFinD("ths_adjustment_nv_fund",AA$3,$A351))</f>
        <v/>
      </c>
      <c r="AB351" s="13" t="str">
        <f>IF($A351="","",[1]!thsiFinD("ths_adjustment_nv_fund",AB$3,$A351))</f>
        <v/>
      </c>
    </row>
    <row r="352" spans="2:28">
      <c r="B352" s="13" t="str">
        <f>IF($A352="","",[1]!thsiFinD("ths_adjustment_nv_fund",B$3,$A352))</f>
        <v/>
      </c>
      <c r="C352" s="13" t="str">
        <f>IF($A352="","",[1]!thsiFinD("ths_adjustment_nv_fund",C$3,$A352))</f>
        <v/>
      </c>
      <c r="D352" s="13" t="str">
        <f>IF($A352="","",[1]!thsiFinD("ths_adjustment_nv_fund",D$3,$A352))</f>
        <v/>
      </c>
      <c r="E352" s="13" t="str">
        <f>IF($A352="","",[1]!thsiFinD("ths_adjustment_nv_fund",E$3,$A352))</f>
        <v/>
      </c>
      <c r="F352" s="13" t="str">
        <f>IF($A352="","",[1]!thsiFinD("ths_adjustment_nv_fund",F$3,$A352))</f>
        <v/>
      </c>
      <c r="G352" s="13" t="str">
        <f>IF($A352="","",[1]!thsiFinD("ths_adjustment_nv_fund",G$3,$A352))</f>
        <v/>
      </c>
      <c r="H352" s="13" t="str">
        <f>IF($A352="","",[1]!thsiFinD("ths_adjustment_nv_fund",H$3,$A352))</f>
        <v/>
      </c>
      <c r="I352" s="13" t="str">
        <f>IF($A352="","",[1]!thsiFinD("ths_adjustment_nv_fund",I$3,$A352))</f>
        <v/>
      </c>
      <c r="J352" s="13" t="str">
        <f>IF($A352="","",[1]!thsiFinD("ths_adjustment_nv_fund",J$3,$A352))</f>
        <v/>
      </c>
      <c r="K352" s="13" t="str">
        <f>IF($A352="","",[1]!thsiFinD("ths_adjustment_nv_fund",K$3,$A352))</f>
        <v/>
      </c>
      <c r="L352" s="13" t="str">
        <f>IF($A352="","",[1]!thsiFinD("ths_adjustment_nv_fund",L$3,$A352))</f>
        <v/>
      </c>
      <c r="M352" s="13" t="str">
        <f>IF($A352="","",[1]!thsiFinD("ths_adjustment_nv_fund",M$3,$A352))</f>
        <v/>
      </c>
      <c r="N352" s="13" t="str">
        <f>IF($A352="","",[1]!thsiFinD("ths_adjustment_nv_fund",N$3,$A352))</f>
        <v/>
      </c>
      <c r="O352" s="13" t="str">
        <f>IF($A352="","",[1]!thsiFinD("ths_adjustment_nv_fund",O$3,$A352))</f>
        <v/>
      </c>
      <c r="P352" s="13" t="str">
        <f>IF($A352="","",[1]!thsiFinD("ths_adjustment_nv_fund",P$3,$A352))</f>
        <v/>
      </c>
      <c r="Q352" s="13" t="str">
        <f>IF($A352="","",[1]!thsiFinD("ths_adjustment_nv_fund",Q$3,$A352))</f>
        <v/>
      </c>
      <c r="R352" s="13" t="str">
        <f>IF($A352="","",[1]!thsiFinD("ths_adjustment_nv_fund",R$3,$A352))</f>
        <v/>
      </c>
      <c r="S352" s="13" t="str">
        <f>IF($A352="","",[1]!thsiFinD("ths_adjustment_nv_fund",S$3,$A352))</f>
        <v/>
      </c>
      <c r="T352" s="13" t="str">
        <f>IF($A352="","",[1]!thsiFinD("ths_adjustment_nv_fund",T$3,$A352))</f>
        <v/>
      </c>
      <c r="U352" s="13" t="str">
        <f>IF($A352="","",[1]!thsiFinD("ths_adjustment_nv_fund",U$3,$A352))</f>
        <v/>
      </c>
      <c r="V352" s="13" t="str">
        <f>IF($A352="","",[1]!thsiFinD("ths_adjustment_nv_fund",V$3,$A352))</f>
        <v/>
      </c>
      <c r="W352" s="13" t="str">
        <f>IF($A352="","",[1]!thsiFinD("ths_adjustment_nv_fund",W$3,$A352))</f>
        <v/>
      </c>
      <c r="X352" s="13" t="str">
        <f>IF($A352="","",[1]!thsiFinD("ths_adjustment_nv_fund",X$3,$A352))</f>
        <v/>
      </c>
      <c r="Y352" s="13" t="str">
        <f>IF($A352="","",[1]!thsiFinD("ths_adjustment_nv_fund",Y$3,$A352))</f>
        <v/>
      </c>
      <c r="Z352" s="13" t="str">
        <f>IF($A352="","",[1]!thsiFinD("ths_adjustment_nv_fund",Z$3,$A352))</f>
        <v/>
      </c>
      <c r="AA352" s="13" t="str">
        <f>IF($A352="","",[1]!thsiFinD("ths_adjustment_nv_fund",AA$3,$A352))</f>
        <v/>
      </c>
      <c r="AB352" s="13" t="str">
        <f>IF($A352="","",[1]!thsiFinD("ths_adjustment_nv_fund",AB$3,$A352))</f>
        <v/>
      </c>
    </row>
    <row r="353" spans="2:28">
      <c r="B353" s="13" t="str">
        <f>IF($A353="","",[1]!thsiFinD("ths_adjustment_nv_fund",B$3,$A353))</f>
        <v/>
      </c>
      <c r="C353" s="13" t="str">
        <f>IF($A353="","",[1]!thsiFinD("ths_adjustment_nv_fund",C$3,$A353))</f>
        <v/>
      </c>
      <c r="D353" s="13" t="str">
        <f>IF($A353="","",[1]!thsiFinD("ths_adjustment_nv_fund",D$3,$A353))</f>
        <v/>
      </c>
      <c r="E353" s="13" t="str">
        <f>IF($A353="","",[1]!thsiFinD("ths_adjustment_nv_fund",E$3,$A353))</f>
        <v/>
      </c>
      <c r="F353" s="13" t="str">
        <f>IF($A353="","",[1]!thsiFinD("ths_adjustment_nv_fund",F$3,$A353))</f>
        <v/>
      </c>
      <c r="G353" s="13" t="str">
        <f>IF($A353="","",[1]!thsiFinD("ths_adjustment_nv_fund",G$3,$A353))</f>
        <v/>
      </c>
      <c r="H353" s="13" t="str">
        <f>IF($A353="","",[1]!thsiFinD("ths_adjustment_nv_fund",H$3,$A353))</f>
        <v/>
      </c>
      <c r="I353" s="13" t="str">
        <f>IF($A353="","",[1]!thsiFinD("ths_adjustment_nv_fund",I$3,$A353))</f>
        <v/>
      </c>
      <c r="J353" s="13" t="str">
        <f>IF($A353="","",[1]!thsiFinD("ths_adjustment_nv_fund",J$3,$A353))</f>
        <v/>
      </c>
      <c r="K353" s="13" t="str">
        <f>IF($A353="","",[1]!thsiFinD("ths_adjustment_nv_fund",K$3,$A353))</f>
        <v/>
      </c>
      <c r="L353" s="13" t="str">
        <f>IF($A353="","",[1]!thsiFinD("ths_adjustment_nv_fund",L$3,$A353))</f>
        <v/>
      </c>
      <c r="M353" s="13" t="str">
        <f>IF($A353="","",[1]!thsiFinD("ths_adjustment_nv_fund",M$3,$A353))</f>
        <v/>
      </c>
      <c r="N353" s="13" t="str">
        <f>IF($A353="","",[1]!thsiFinD("ths_adjustment_nv_fund",N$3,$A353))</f>
        <v/>
      </c>
      <c r="O353" s="13" t="str">
        <f>IF($A353="","",[1]!thsiFinD("ths_adjustment_nv_fund",O$3,$A353))</f>
        <v/>
      </c>
      <c r="P353" s="13" t="str">
        <f>IF($A353="","",[1]!thsiFinD("ths_adjustment_nv_fund",P$3,$A353))</f>
        <v/>
      </c>
      <c r="Q353" s="13" t="str">
        <f>IF($A353="","",[1]!thsiFinD("ths_adjustment_nv_fund",Q$3,$A353))</f>
        <v/>
      </c>
      <c r="R353" s="13" t="str">
        <f>IF($A353="","",[1]!thsiFinD("ths_adjustment_nv_fund",R$3,$A353))</f>
        <v/>
      </c>
      <c r="S353" s="13" t="str">
        <f>IF($A353="","",[1]!thsiFinD("ths_adjustment_nv_fund",S$3,$A353))</f>
        <v/>
      </c>
      <c r="T353" s="13" t="str">
        <f>IF($A353="","",[1]!thsiFinD("ths_adjustment_nv_fund",T$3,$A353))</f>
        <v/>
      </c>
      <c r="U353" s="13" t="str">
        <f>IF($A353="","",[1]!thsiFinD("ths_adjustment_nv_fund",U$3,$A353))</f>
        <v/>
      </c>
      <c r="V353" s="13" t="str">
        <f>IF($A353="","",[1]!thsiFinD("ths_adjustment_nv_fund",V$3,$A353))</f>
        <v/>
      </c>
      <c r="W353" s="13" t="str">
        <f>IF($A353="","",[1]!thsiFinD("ths_adjustment_nv_fund",W$3,$A353))</f>
        <v/>
      </c>
      <c r="X353" s="13" t="str">
        <f>IF($A353="","",[1]!thsiFinD("ths_adjustment_nv_fund",X$3,$A353))</f>
        <v/>
      </c>
      <c r="Y353" s="13" t="str">
        <f>IF($A353="","",[1]!thsiFinD("ths_adjustment_nv_fund",Y$3,$A353))</f>
        <v/>
      </c>
      <c r="Z353" s="13" t="str">
        <f>IF($A353="","",[1]!thsiFinD("ths_adjustment_nv_fund",Z$3,$A353))</f>
        <v/>
      </c>
      <c r="AA353" s="13" t="str">
        <f>IF($A353="","",[1]!thsiFinD("ths_adjustment_nv_fund",AA$3,$A353))</f>
        <v/>
      </c>
      <c r="AB353" s="13" t="str">
        <f>IF($A353="","",[1]!thsiFinD("ths_adjustment_nv_fund",AB$3,$A353))</f>
        <v/>
      </c>
    </row>
    <row r="354" spans="2:28">
      <c r="B354" s="13" t="str">
        <f>IF($A354="","",[1]!thsiFinD("ths_adjustment_nv_fund",B$3,$A354))</f>
        <v/>
      </c>
      <c r="C354" s="13" t="str">
        <f>IF($A354="","",[1]!thsiFinD("ths_adjustment_nv_fund",C$3,$A354))</f>
        <v/>
      </c>
      <c r="D354" s="13" t="str">
        <f>IF($A354="","",[1]!thsiFinD("ths_adjustment_nv_fund",D$3,$A354))</f>
        <v/>
      </c>
      <c r="E354" s="13" t="str">
        <f>IF($A354="","",[1]!thsiFinD("ths_adjustment_nv_fund",E$3,$A354))</f>
        <v/>
      </c>
      <c r="F354" s="13" t="str">
        <f>IF($A354="","",[1]!thsiFinD("ths_adjustment_nv_fund",F$3,$A354))</f>
        <v/>
      </c>
      <c r="G354" s="13" t="str">
        <f>IF($A354="","",[1]!thsiFinD("ths_adjustment_nv_fund",G$3,$A354))</f>
        <v/>
      </c>
      <c r="H354" s="13" t="str">
        <f>IF($A354="","",[1]!thsiFinD("ths_adjustment_nv_fund",H$3,$A354))</f>
        <v/>
      </c>
      <c r="I354" s="13" t="str">
        <f>IF($A354="","",[1]!thsiFinD("ths_adjustment_nv_fund",I$3,$A354))</f>
        <v/>
      </c>
      <c r="J354" s="13" t="str">
        <f>IF($A354="","",[1]!thsiFinD("ths_adjustment_nv_fund",J$3,$A354))</f>
        <v/>
      </c>
      <c r="K354" s="13" t="str">
        <f>IF($A354="","",[1]!thsiFinD("ths_adjustment_nv_fund",K$3,$A354))</f>
        <v/>
      </c>
      <c r="L354" s="13" t="str">
        <f>IF($A354="","",[1]!thsiFinD("ths_adjustment_nv_fund",L$3,$A354))</f>
        <v/>
      </c>
      <c r="M354" s="13" t="str">
        <f>IF($A354="","",[1]!thsiFinD("ths_adjustment_nv_fund",M$3,$A354))</f>
        <v/>
      </c>
      <c r="N354" s="13" t="str">
        <f>IF($A354="","",[1]!thsiFinD("ths_adjustment_nv_fund",N$3,$A354))</f>
        <v/>
      </c>
      <c r="O354" s="13" t="str">
        <f>IF($A354="","",[1]!thsiFinD("ths_adjustment_nv_fund",O$3,$A354))</f>
        <v/>
      </c>
      <c r="P354" s="13" t="str">
        <f>IF($A354="","",[1]!thsiFinD("ths_adjustment_nv_fund",P$3,$A354))</f>
        <v/>
      </c>
      <c r="Q354" s="13" t="str">
        <f>IF($A354="","",[1]!thsiFinD("ths_adjustment_nv_fund",Q$3,$A354))</f>
        <v/>
      </c>
      <c r="R354" s="13" t="str">
        <f>IF($A354="","",[1]!thsiFinD("ths_adjustment_nv_fund",R$3,$A354))</f>
        <v/>
      </c>
      <c r="S354" s="13" t="str">
        <f>IF($A354="","",[1]!thsiFinD("ths_adjustment_nv_fund",S$3,$A354))</f>
        <v/>
      </c>
      <c r="T354" s="13" t="str">
        <f>IF($A354="","",[1]!thsiFinD("ths_adjustment_nv_fund",T$3,$A354))</f>
        <v/>
      </c>
      <c r="U354" s="13" t="str">
        <f>IF($A354="","",[1]!thsiFinD("ths_adjustment_nv_fund",U$3,$A354))</f>
        <v/>
      </c>
      <c r="V354" s="13" t="str">
        <f>IF($A354="","",[1]!thsiFinD("ths_adjustment_nv_fund",V$3,$A354))</f>
        <v/>
      </c>
      <c r="W354" s="13" t="str">
        <f>IF($A354="","",[1]!thsiFinD("ths_adjustment_nv_fund",W$3,$A354))</f>
        <v/>
      </c>
      <c r="X354" s="13" t="str">
        <f>IF($A354="","",[1]!thsiFinD("ths_adjustment_nv_fund",X$3,$A354))</f>
        <v/>
      </c>
      <c r="Y354" s="13" t="str">
        <f>IF($A354="","",[1]!thsiFinD("ths_adjustment_nv_fund",Y$3,$A354))</f>
        <v/>
      </c>
      <c r="Z354" s="13" t="str">
        <f>IF($A354="","",[1]!thsiFinD("ths_adjustment_nv_fund",Z$3,$A354))</f>
        <v/>
      </c>
      <c r="AA354" s="13" t="str">
        <f>IF($A354="","",[1]!thsiFinD("ths_adjustment_nv_fund",AA$3,$A354))</f>
        <v/>
      </c>
      <c r="AB354" s="13" t="str">
        <f>IF($A354="","",[1]!thsiFinD("ths_adjustment_nv_fund",AB$3,$A354))</f>
        <v/>
      </c>
    </row>
    <row r="355" spans="2:28">
      <c r="B355" s="13" t="str">
        <f>IF($A355="","",[1]!thsiFinD("ths_adjustment_nv_fund",B$3,$A355))</f>
        <v/>
      </c>
      <c r="C355" s="13" t="str">
        <f>IF($A355="","",[1]!thsiFinD("ths_adjustment_nv_fund",C$3,$A355))</f>
        <v/>
      </c>
      <c r="D355" s="13" t="str">
        <f>IF($A355="","",[1]!thsiFinD("ths_adjustment_nv_fund",D$3,$A355))</f>
        <v/>
      </c>
      <c r="E355" s="13" t="str">
        <f>IF($A355="","",[1]!thsiFinD("ths_adjustment_nv_fund",E$3,$A355))</f>
        <v/>
      </c>
      <c r="F355" s="13" t="str">
        <f>IF($A355="","",[1]!thsiFinD("ths_adjustment_nv_fund",F$3,$A355))</f>
        <v/>
      </c>
      <c r="G355" s="13" t="str">
        <f>IF($A355="","",[1]!thsiFinD("ths_adjustment_nv_fund",G$3,$A355))</f>
        <v/>
      </c>
      <c r="H355" s="13" t="str">
        <f>IF($A355="","",[1]!thsiFinD("ths_adjustment_nv_fund",H$3,$A355))</f>
        <v/>
      </c>
      <c r="I355" s="13" t="str">
        <f>IF($A355="","",[1]!thsiFinD("ths_adjustment_nv_fund",I$3,$A355))</f>
        <v/>
      </c>
      <c r="J355" s="13" t="str">
        <f>IF($A355="","",[1]!thsiFinD("ths_adjustment_nv_fund",J$3,$A355))</f>
        <v/>
      </c>
      <c r="K355" s="13" t="str">
        <f>IF($A355="","",[1]!thsiFinD("ths_adjustment_nv_fund",K$3,$A355))</f>
        <v/>
      </c>
      <c r="L355" s="13" t="str">
        <f>IF($A355="","",[1]!thsiFinD("ths_adjustment_nv_fund",L$3,$A355))</f>
        <v/>
      </c>
      <c r="M355" s="13" t="str">
        <f>IF($A355="","",[1]!thsiFinD("ths_adjustment_nv_fund",M$3,$A355))</f>
        <v/>
      </c>
      <c r="N355" s="13" t="str">
        <f>IF($A355="","",[1]!thsiFinD("ths_adjustment_nv_fund",N$3,$A355))</f>
        <v/>
      </c>
      <c r="O355" s="13" t="str">
        <f>IF($A355="","",[1]!thsiFinD("ths_adjustment_nv_fund",O$3,$A355))</f>
        <v/>
      </c>
      <c r="P355" s="13" t="str">
        <f>IF($A355="","",[1]!thsiFinD("ths_adjustment_nv_fund",P$3,$A355))</f>
        <v/>
      </c>
      <c r="Q355" s="13" t="str">
        <f>IF($A355="","",[1]!thsiFinD("ths_adjustment_nv_fund",Q$3,$A355))</f>
        <v/>
      </c>
      <c r="R355" s="13" t="str">
        <f>IF($A355="","",[1]!thsiFinD("ths_adjustment_nv_fund",R$3,$A355))</f>
        <v/>
      </c>
      <c r="S355" s="13" t="str">
        <f>IF($A355="","",[1]!thsiFinD("ths_adjustment_nv_fund",S$3,$A355))</f>
        <v/>
      </c>
      <c r="T355" s="13" t="str">
        <f>IF($A355="","",[1]!thsiFinD("ths_adjustment_nv_fund",T$3,$A355))</f>
        <v/>
      </c>
      <c r="U355" s="13" t="str">
        <f>IF($A355="","",[1]!thsiFinD("ths_adjustment_nv_fund",U$3,$A355))</f>
        <v/>
      </c>
      <c r="V355" s="13" t="str">
        <f>IF($A355="","",[1]!thsiFinD("ths_adjustment_nv_fund",V$3,$A355))</f>
        <v/>
      </c>
      <c r="W355" s="13" t="str">
        <f>IF($A355="","",[1]!thsiFinD("ths_adjustment_nv_fund",W$3,$A355))</f>
        <v/>
      </c>
      <c r="X355" s="13" t="str">
        <f>IF($A355="","",[1]!thsiFinD("ths_adjustment_nv_fund",X$3,$A355))</f>
        <v/>
      </c>
      <c r="Y355" s="13" t="str">
        <f>IF($A355="","",[1]!thsiFinD("ths_adjustment_nv_fund",Y$3,$A355))</f>
        <v/>
      </c>
      <c r="Z355" s="13" t="str">
        <f>IF($A355="","",[1]!thsiFinD("ths_adjustment_nv_fund",Z$3,$A355))</f>
        <v/>
      </c>
      <c r="AA355" s="13" t="str">
        <f>IF($A355="","",[1]!thsiFinD("ths_adjustment_nv_fund",AA$3,$A355))</f>
        <v/>
      </c>
      <c r="AB355" s="13" t="str">
        <f>IF($A355="","",[1]!thsiFinD("ths_adjustment_nv_fund",AB$3,$A355))</f>
        <v/>
      </c>
    </row>
    <row r="356" spans="2:28">
      <c r="B356" s="13" t="str">
        <f>IF($A356="","",[1]!thsiFinD("ths_adjustment_nv_fund",B$3,$A356))</f>
        <v/>
      </c>
      <c r="C356" s="13" t="str">
        <f>IF($A356="","",[1]!thsiFinD("ths_adjustment_nv_fund",C$3,$A356))</f>
        <v/>
      </c>
      <c r="D356" s="13" t="str">
        <f>IF($A356="","",[1]!thsiFinD("ths_adjustment_nv_fund",D$3,$A356))</f>
        <v/>
      </c>
      <c r="E356" s="13" t="str">
        <f>IF($A356="","",[1]!thsiFinD("ths_adjustment_nv_fund",E$3,$A356))</f>
        <v/>
      </c>
      <c r="F356" s="13" t="str">
        <f>IF($A356="","",[1]!thsiFinD("ths_adjustment_nv_fund",F$3,$A356))</f>
        <v/>
      </c>
      <c r="G356" s="13" t="str">
        <f>IF($A356="","",[1]!thsiFinD("ths_adjustment_nv_fund",G$3,$A356))</f>
        <v/>
      </c>
      <c r="H356" s="13" t="str">
        <f>IF($A356="","",[1]!thsiFinD("ths_adjustment_nv_fund",H$3,$A356))</f>
        <v/>
      </c>
      <c r="I356" s="13" t="str">
        <f>IF($A356="","",[1]!thsiFinD("ths_adjustment_nv_fund",I$3,$A356))</f>
        <v/>
      </c>
      <c r="J356" s="13" t="str">
        <f>IF($A356="","",[1]!thsiFinD("ths_adjustment_nv_fund",J$3,$A356))</f>
        <v/>
      </c>
      <c r="K356" s="13" t="str">
        <f>IF($A356="","",[1]!thsiFinD("ths_adjustment_nv_fund",K$3,$A356))</f>
        <v/>
      </c>
      <c r="L356" s="13" t="str">
        <f>IF($A356="","",[1]!thsiFinD("ths_adjustment_nv_fund",L$3,$A356))</f>
        <v/>
      </c>
      <c r="M356" s="13" t="str">
        <f>IF($A356="","",[1]!thsiFinD("ths_adjustment_nv_fund",M$3,$A356))</f>
        <v/>
      </c>
      <c r="N356" s="13" t="str">
        <f>IF($A356="","",[1]!thsiFinD("ths_adjustment_nv_fund",N$3,$A356))</f>
        <v/>
      </c>
      <c r="O356" s="13" t="str">
        <f>IF($A356="","",[1]!thsiFinD("ths_adjustment_nv_fund",O$3,$A356))</f>
        <v/>
      </c>
      <c r="P356" s="13" t="str">
        <f>IF($A356="","",[1]!thsiFinD("ths_adjustment_nv_fund",P$3,$A356))</f>
        <v/>
      </c>
      <c r="Q356" s="13" t="str">
        <f>IF($A356="","",[1]!thsiFinD("ths_adjustment_nv_fund",Q$3,$A356))</f>
        <v/>
      </c>
      <c r="R356" s="13" t="str">
        <f>IF($A356="","",[1]!thsiFinD("ths_adjustment_nv_fund",R$3,$A356))</f>
        <v/>
      </c>
      <c r="S356" s="13" t="str">
        <f>IF($A356="","",[1]!thsiFinD("ths_adjustment_nv_fund",S$3,$A356))</f>
        <v/>
      </c>
      <c r="T356" s="13" t="str">
        <f>IF($A356="","",[1]!thsiFinD("ths_adjustment_nv_fund",T$3,$A356))</f>
        <v/>
      </c>
      <c r="U356" s="13" t="str">
        <f>IF($A356="","",[1]!thsiFinD("ths_adjustment_nv_fund",U$3,$A356))</f>
        <v/>
      </c>
      <c r="V356" s="13" t="str">
        <f>IF($A356="","",[1]!thsiFinD("ths_adjustment_nv_fund",V$3,$A356))</f>
        <v/>
      </c>
      <c r="W356" s="13" t="str">
        <f>IF($A356="","",[1]!thsiFinD("ths_adjustment_nv_fund",W$3,$A356))</f>
        <v/>
      </c>
      <c r="X356" s="13" t="str">
        <f>IF($A356="","",[1]!thsiFinD("ths_adjustment_nv_fund",X$3,$A356))</f>
        <v/>
      </c>
      <c r="Y356" s="13" t="str">
        <f>IF($A356="","",[1]!thsiFinD("ths_adjustment_nv_fund",Y$3,$A356))</f>
        <v/>
      </c>
      <c r="Z356" s="13" t="str">
        <f>IF($A356="","",[1]!thsiFinD("ths_adjustment_nv_fund",Z$3,$A356))</f>
        <v/>
      </c>
      <c r="AA356" s="13" t="str">
        <f>IF($A356="","",[1]!thsiFinD("ths_adjustment_nv_fund",AA$3,$A356))</f>
        <v/>
      </c>
      <c r="AB356" s="13" t="str">
        <f>IF($A356="","",[1]!thsiFinD("ths_adjustment_nv_fund",AB$3,$A356))</f>
        <v/>
      </c>
    </row>
    <row r="357" spans="2:28">
      <c r="B357" s="13" t="str">
        <f>IF($A357="","",[1]!thsiFinD("ths_adjustment_nv_fund",B$3,$A357))</f>
        <v/>
      </c>
      <c r="C357" s="13" t="str">
        <f>IF($A357="","",[1]!thsiFinD("ths_adjustment_nv_fund",C$3,$A357))</f>
        <v/>
      </c>
      <c r="D357" s="13" t="str">
        <f>IF($A357="","",[1]!thsiFinD("ths_adjustment_nv_fund",D$3,$A357))</f>
        <v/>
      </c>
      <c r="E357" s="13" t="str">
        <f>IF($A357="","",[1]!thsiFinD("ths_adjustment_nv_fund",E$3,$A357))</f>
        <v/>
      </c>
      <c r="F357" s="13" t="str">
        <f>IF($A357="","",[1]!thsiFinD("ths_adjustment_nv_fund",F$3,$A357))</f>
        <v/>
      </c>
      <c r="G357" s="13" t="str">
        <f>IF($A357="","",[1]!thsiFinD("ths_adjustment_nv_fund",G$3,$A357))</f>
        <v/>
      </c>
      <c r="H357" s="13" t="str">
        <f>IF($A357="","",[1]!thsiFinD("ths_adjustment_nv_fund",H$3,$A357))</f>
        <v/>
      </c>
      <c r="I357" s="13" t="str">
        <f>IF($A357="","",[1]!thsiFinD("ths_adjustment_nv_fund",I$3,$A357))</f>
        <v/>
      </c>
      <c r="J357" s="13" t="str">
        <f>IF($A357="","",[1]!thsiFinD("ths_adjustment_nv_fund",J$3,$A357))</f>
        <v/>
      </c>
      <c r="K357" s="13" t="str">
        <f>IF($A357="","",[1]!thsiFinD("ths_adjustment_nv_fund",K$3,$A357))</f>
        <v/>
      </c>
      <c r="L357" s="13" t="str">
        <f>IF($A357="","",[1]!thsiFinD("ths_adjustment_nv_fund",L$3,$A357))</f>
        <v/>
      </c>
      <c r="M357" s="13" t="str">
        <f>IF($A357="","",[1]!thsiFinD("ths_adjustment_nv_fund",M$3,$A357))</f>
        <v/>
      </c>
      <c r="N357" s="13" t="str">
        <f>IF($A357="","",[1]!thsiFinD("ths_adjustment_nv_fund",N$3,$A357))</f>
        <v/>
      </c>
      <c r="O357" s="13" t="str">
        <f>IF($A357="","",[1]!thsiFinD("ths_adjustment_nv_fund",O$3,$A357))</f>
        <v/>
      </c>
      <c r="P357" s="13" t="str">
        <f>IF($A357="","",[1]!thsiFinD("ths_adjustment_nv_fund",P$3,$A357))</f>
        <v/>
      </c>
      <c r="Q357" s="13" t="str">
        <f>IF($A357="","",[1]!thsiFinD("ths_adjustment_nv_fund",Q$3,$A357))</f>
        <v/>
      </c>
      <c r="R357" s="13" t="str">
        <f>IF($A357="","",[1]!thsiFinD("ths_adjustment_nv_fund",R$3,$A357))</f>
        <v/>
      </c>
      <c r="S357" s="13" t="str">
        <f>IF($A357="","",[1]!thsiFinD("ths_adjustment_nv_fund",S$3,$A357))</f>
        <v/>
      </c>
      <c r="T357" s="13" t="str">
        <f>IF($A357="","",[1]!thsiFinD("ths_adjustment_nv_fund",T$3,$A357))</f>
        <v/>
      </c>
      <c r="U357" s="13" t="str">
        <f>IF($A357="","",[1]!thsiFinD("ths_adjustment_nv_fund",U$3,$A357))</f>
        <v/>
      </c>
      <c r="V357" s="13" t="str">
        <f>IF($A357="","",[1]!thsiFinD("ths_adjustment_nv_fund",V$3,$A357))</f>
        <v/>
      </c>
      <c r="W357" s="13" t="str">
        <f>IF($A357="","",[1]!thsiFinD("ths_adjustment_nv_fund",W$3,$A357))</f>
        <v/>
      </c>
      <c r="X357" s="13" t="str">
        <f>IF($A357="","",[1]!thsiFinD("ths_adjustment_nv_fund",X$3,$A357))</f>
        <v/>
      </c>
      <c r="Y357" s="13" t="str">
        <f>IF($A357="","",[1]!thsiFinD("ths_adjustment_nv_fund",Y$3,$A357))</f>
        <v/>
      </c>
      <c r="Z357" s="13" t="str">
        <f>IF($A357="","",[1]!thsiFinD("ths_adjustment_nv_fund",Z$3,$A357))</f>
        <v/>
      </c>
      <c r="AA357" s="13" t="str">
        <f>IF($A357="","",[1]!thsiFinD("ths_adjustment_nv_fund",AA$3,$A357))</f>
        <v/>
      </c>
      <c r="AB357" s="13" t="str">
        <f>IF($A357="","",[1]!thsiFinD("ths_adjustment_nv_fund",AB$3,$A357))</f>
        <v/>
      </c>
    </row>
    <row r="358" spans="2:28">
      <c r="B358" s="13" t="str">
        <f>IF($A358="","",[1]!thsiFinD("ths_adjustment_nv_fund",B$3,$A358))</f>
        <v/>
      </c>
      <c r="C358" s="13" t="str">
        <f>IF($A358="","",[1]!thsiFinD("ths_adjustment_nv_fund",C$3,$A358))</f>
        <v/>
      </c>
      <c r="D358" s="13" t="str">
        <f>IF($A358="","",[1]!thsiFinD("ths_adjustment_nv_fund",D$3,$A358))</f>
        <v/>
      </c>
      <c r="E358" s="13" t="str">
        <f>IF($A358="","",[1]!thsiFinD("ths_adjustment_nv_fund",E$3,$A358))</f>
        <v/>
      </c>
      <c r="F358" s="13" t="str">
        <f>IF($A358="","",[1]!thsiFinD("ths_adjustment_nv_fund",F$3,$A358))</f>
        <v/>
      </c>
      <c r="G358" s="13" t="str">
        <f>IF($A358="","",[1]!thsiFinD("ths_adjustment_nv_fund",G$3,$A358))</f>
        <v/>
      </c>
      <c r="H358" s="13" t="str">
        <f>IF($A358="","",[1]!thsiFinD("ths_adjustment_nv_fund",H$3,$A358))</f>
        <v/>
      </c>
      <c r="I358" s="13" t="str">
        <f>IF($A358="","",[1]!thsiFinD("ths_adjustment_nv_fund",I$3,$A358))</f>
        <v/>
      </c>
      <c r="J358" s="13" t="str">
        <f>IF($A358="","",[1]!thsiFinD("ths_adjustment_nv_fund",J$3,$A358))</f>
        <v/>
      </c>
      <c r="K358" s="13" t="str">
        <f>IF($A358="","",[1]!thsiFinD("ths_adjustment_nv_fund",K$3,$A358))</f>
        <v/>
      </c>
      <c r="L358" s="13" t="str">
        <f>IF($A358="","",[1]!thsiFinD("ths_adjustment_nv_fund",L$3,$A358))</f>
        <v/>
      </c>
      <c r="M358" s="13" t="str">
        <f>IF($A358="","",[1]!thsiFinD("ths_adjustment_nv_fund",M$3,$A358))</f>
        <v/>
      </c>
      <c r="N358" s="13" t="str">
        <f>IF($A358="","",[1]!thsiFinD("ths_adjustment_nv_fund",N$3,$A358))</f>
        <v/>
      </c>
      <c r="O358" s="13" t="str">
        <f>IF($A358="","",[1]!thsiFinD("ths_adjustment_nv_fund",O$3,$A358))</f>
        <v/>
      </c>
      <c r="P358" s="13" t="str">
        <f>IF($A358="","",[1]!thsiFinD("ths_adjustment_nv_fund",P$3,$A358))</f>
        <v/>
      </c>
      <c r="Q358" s="13" t="str">
        <f>IF($A358="","",[1]!thsiFinD("ths_adjustment_nv_fund",Q$3,$A358))</f>
        <v/>
      </c>
      <c r="R358" s="13" t="str">
        <f>IF($A358="","",[1]!thsiFinD("ths_adjustment_nv_fund",R$3,$A358))</f>
        <v/>
      </c>
      <c r="S358" s="13" t="str">
        <f>IF($A358="","",[1]!thsiFinD("ths_adjustment_nv_fund",S$3,$A358))</f>
        <v/>
      </c>
      <c r="T358" s="13" t="str">
        <f>IF($A358="","",[1]!thsiFinD("ths_adjustment_nv_fund",T$3,$A358))</f>
        <v/>
      </c>
      <c r="U358" s="13" t="str">
        <f>IF($A358="","",[1]!thsiFinD("ths_adjustment_nv_fund",U$3,$A358))</f>
        <v/>
      </c>
      <c r="V358" s="13" t="str">
        <f>IF($A358="","",[1]!thsiFinD("ths_adjustment_nv_fund",V$3,$A358))</f>
        <v/>
      </c>
      <c r="W358" s="13" t="str">
        <f>IF($A358="","",[1]!thsiFinD("ths_adjustment_nv_fund",W$3,$A358))</f>
        <v/>
      </c>
      <c r="X358" s="13" t="str">
        <f>IF($A358="","",[1]!thsiFinD("ths_adjustment_nv_fund",X$3,$A358))</f>
        <v/>
      </c>
      <c r="Y358" s="13" t="str">
        <f>IF($A358="","",[1]!thsiFinD("ths_adjustment_nv_fund",Y$3,$A358))</f>
        <v/>
      </c>
      <c r="Z358" s="13" t="str">
        <f>IF($A358="","",[1]!thsiFinD("ths_adjustment_nv_fund",Z$3,$A358))</f>
        <v/>
      </c>
      <c r="AA358" s="13" t="str">
        <f>IF($A358="","",[1]!thsiFinD("ths_adjustment_nv_fund",AA$3,$A358))</f>
        <v/>
      </c>
      <c r="AB358" s="13" t="str">
        <f>IF($A358="","",[1]!thsiFinD("ths_adjustment_nv_fund",AB$3,$A358))</f>
        <v/>
      </c>
    </row>
    <row r="359" spans="2:28">
      <c r="B359" s="13" t="str">
        <f>IF($A359="","",[1]!thsiFinD("ths_adjustment_nv_fund",B$3,$A359))</f>
        <v/>
      </c>
      <c r="C359" s="13" t="str">
        <f>IF($A359="","",[1]!thsiFinD("ths_adjustment_nv_fund",C$3,$A359))</f>
        <v/>
      </c>
      <c r="D359" s="13" t="str">
        <f>IF($A359="","",[1]!thsiFinD("ths_adjustment_nv_fund",D$3,$A359))</f>
        <v/>
      </c>
      <c r="E359" s="13" t="str">
        <f>IF($A359="","",[1]!thsiFinD("ths_adjustment_nv_fund",E$3,$A359))</f>
        <v/>
      </c>
      <c r="F359" s="13" t="str">
        <f>IF($A359="","",[1]!thsiFinD("ths_adjustment_nv_fund",F$3,$A359))</f>
        <v/>
      </c>
      <c r="G359" s="13" t="str">
        <f>IF($A359="","",[1]!thsiFinD("ths_adjustment_nv_fund",G$3,$A359))</f>
        <v/>
      </c>
      <c r="H359" s="13" t="str">
        <f>IF($A359="","",[1]!thsiFinD("ths_adjustment_nv_fund",H$3,$A359))</f>
        <v/>
      </c>
      <c r="I359" s="13" t="str">
        <f>IF($A359="","",[1]!thsiFinD("ths_adjustment_nv_fund",I$3,$A359))</f>
        <v/>
      </c>
      <c r="J359" s="13" t="str">
        <f>IF($A359="","",[1]!thsiFinD("ths_adjustment_nv_fund",J$3,$A359))</f>
        <v/>
      </c>
      <c r="K359" s="13" t="str">
        <f>IF($A359="","",[1]!thsiFinD("ths_adjustment_nv_fund",K$3,$A359))</f>
        <v/>
      </c>
      <c r="L359" s="13" t="str">
        <f>IF($A359="","",[1]!thsiFinD("ths_adjustment_nv_fund",L$3,$A359))</f>
        <v/>
      </c>
      <c r="M359" s="13" t="str">
        <f>IF($A359="","",[1]!thsiFinD("ths_adjustment_nv_fund",M$3,$A359))</f>
        <v/>
      </c>
      <c r="N359" s="13" t="str">
        <f>IF($A359="","",[1]!thsiFinD("ths_adjustment_nv_fund",N$3,$A359))</f>
        <v/>
      </c>
      <c r="O359" s="13" t="str">
        <f>IF($A359="","",[1]!thsiFinD("ths_adjustment_nv_fund",O$3,$A359))</f>
        <v/>
      </c>
      <c r="P359" s="13" t="str">
        <f>IF($A359="","",[1]!thsiFinD("ths_adjustment_nv_fund",P$3,$A359))</f>
        <v/>
      </c>
      <c r="Q359" s="13" t="str">
        <f>IF($A359="","",[1]!thsiFinD("ths_adjustment_nv_fund",Q$3,$A359))</f>
        <v/>
      </c>
      <c r="R359" s="13" t="str">
        <f>IF($A359="","",[1]!thsiFinD("ths_adjustment_nv_fund",R$3,$A359))</f>
        <v/>
      </c>
      <c r="S359" s="13" t="str">
        <f>IF($A359="","",[1]!thsiFinD("ths_adjustment_nv_fund",S$3,$A359))</f>
        <v/>
      </c>
      <c r="T359" s="13" t="str">
        <f>IF($A359="","",[1]!thsiFinD("ths_adjustment_nv_fund",T$3,$A359))</f>
        <v/>
      </c>
      <c r="U359" s="13" t="str">
        <f>IF($A359="","",[1]!thsiFinD("ths_adjustment_nv_fund",U$3,$A359))</f>
        <v/>
      </c>
      <c r="V359" s="13" t="str">
        <f>IF($A359="","",[1]!thsiFinD("ths_adjustment_nv_fund",V$3,$A359))</f>
        <v/>
      </c>
      <c r="W359" s="13" t="str">
        <f>IF($A359="","",[1]!thsiFinD("ths_adjustment_nv_fund",W$3,$A359))</f>
        <v/>
      </c>
      <c r="X359" s="13" t="str">
        <f>IF($A359="","",[1]!thsiFinD("ths_adjustment_nv_fund",X$3,$A359))</f>
        <v/>
      </c>
      <c r="Y359" s="13" t="str">
        <f>IF($A359="","",[1]!thsiFinD("ths_adjustment_nv_fund",Y$3,$A359))</f>
        <v/>
      </c>
      <c r="Z359" s="13" t="str">
        <f>IF($A359="","",[1]!thsiFinD("ths_adjustment_nv_fund",Z$3,$A359))</f>
        <v/>
      </c>
      <c r="AA359" s="13" t="str">
        <f>IF($A359="","",[1]!thsiFinD("ths_adjustment_nv_fund",AA$3,$A359))</f>
        <v/>
      </c>
      <c r="AB359" s="13" t="str">
        <f>IF($A359="","",[1]!thsiFinD("ths_adjustment_nv_fund",AB$3,$A359))</f>
        <v/>
      </c>
    </row>
    <row r="360" spans="2:28">
      <c r="B360" s="13" t="str">
        <f>IF($A360="","",[1]!thsiFinD("ths_adjustment_nv_fund",B$3,$A360))</f>
        <v/>
      </c>
      <c r="C360" s="13" t="str">
        <f>IF($A360="","",[1]!thsiFinD("ths_adjustment_nv_fund",C$3,$A360))</f>
        <v/>
      </c>
      <c r="D360" s="13" t="str">
        <f>IF($A360="","",[1]!thsiFinD("ths_adjustment_nv_fund",D$3,$A360))</f>
        <v/>
      </c>
      <c r="E360" s="13" t="str">
        <f>IF($A360="","",[1]!thsiFinD("ths_adjustment_nv_fund",E$3,$A360))</f>
        <v/>
      </c>
      <c r="F360" s="13" t="str">
        <f>IF($A360="","",[1]!thsiFinD("ths_adjustment_nv_fund",F$3,$A360))</f>
        <v/>
      </c>
      <c r="G360" s="13" t="str">
        <f>IF($A360="","",[1]!thsiFinD("ths_adjustment_nv_fund",G$3,$A360))</f>
        <v/>
      </c>
      <c r="H360" s="13" t="str">
        <f>IF($A360="","",[1]!thsiFinD("ths_adjustment_nv_fund",H$3,$A360))</f>
        <v/>
      </c>
      <c r="I360" s="13" t="str">
        <f>IF($A360="","",[1]!thsiFinD("ths_adjustment_nv_fund",I$3,$A360))</f>
        <v/>
      </c>
      <c r="J360" s="13" t="str">
        <f>IF($A360="","",[1]!thsiFinD("ths_adjustment_nv_fund",J$3,$A360))</f>
        <v/>
      </c>
      <c r="K360" s="13" t="str">
        <f>IF($A360="","",[1]!thsiFinD("ths_adjustment_nv_fund",K$3,$A360))</f>
        <v/>
      </c>
      <c r="L360" s="13" t="str">
        <f>IF($A360="","",[1]!thsiFinD("ths_adjustment_nv_fund",L$3,$A360))</f>
        <v/>
      </c>
      <c r="M360" s="13" t="str">
        <f>IF($A360="","",[1]!thsiFinD("ths_adjustment_nv_fund",M$3,$A360))</f>
        <v/>
      </c>
      <c r="N360" s="13" t="str">
        <f>IF($A360="","",[1]!thsiFinD("ths_adjustment_nv_fund",N$3,$A360))</f>
        <v/>
      </c>
      <c r="O360" s="13" t="str">
        <f>IF($A360="","",[1]!thsiFinD("ths_adjustment_nv_fund",O$3,$A360))</f>
        <v/>
      </c>
      <c r="P360" s="13" t="str">
        <f>IF($A360="","",[1]!thsiFinD("ths_adjustment_nv_fund",P$3,$A360))</f>
        <v/>
      </c>
      <c r="Q360" s="13" t="str">
        <f>IF($A360="","",[1]!thsiFinD("ths_adjustment_nv_fund",Q$3,$A360))</f>
        <v/>
      </c>
      <c r="R360" s="13" t="str">
        <f>IF($A360="","",[1]!thsiFinD("ths_adjustment_nv_fund",R$3,$A360))</f>
        <v/>
      </c>
      <c r="S360" s="13" t="str">
        <f>IF($A360="","",[1]!thsiFinD("ths_adjustment_nv_fund",S$3,$A360))</f>
        <v/>
      </c>
      <c r="T360" s="13" t="str">
        <f>IF($A360="","",[1]!thsiFinD("ths_adjustment_nv_fund",T$3,$A360))</f>
        <v/>
      </c>
      <c r="U360" s="13" t="str">
        <f>IF($A360="","",[1]!thsiFinD("ths_adjustment_nv_fund",U$3,$A360))</f>
        <v/>
      </c>
      <c r="V360" s="13" t="str">
        <f>IF($A360="","",[1]!thsiFinD("ths_adjustment_nv_fund",V$3,$A360))</f>
        <v/>
      </c>
      <c r="W360" s="13" t="str">
        <f>IF($A360="","",[1]!thsiFinD("ths_adjustment_nv_fund",W$3,$A360))</f>
        <v/>
      </c>
      <c r="X360" s="13" t="str">
        <f>IF($A360="","",[1]!thsiFinD("ths_adjustment_nv_fund",X$3,$A360))</f>
        <v/>
      </c>
      <c r="Y360" s="13" t="str">
        <f>IF($A360="","",[1]!thsiFinD("ths_adjustment_nv_fund",Y$3,$A360))</f>
        <v/>
      </c>
      <c r="Z360" s="13" t="str">
        <f>IF($A360="","",[1]!thsiFinD("ths_adjustment_nv_fund",Z$3,$A360))</f>
        <v/>
      </c>
      <c r="AA360" s="13" t="str">
        <f>IF($A360="","",[1]!thsiFinD("ths_adjustment_nv_fund",AA$3,$A360))</f>
        <v/>
      </c>
      <c r="AB360" s="13" t="str">
        <f>IF($A360="","",[1]!thsiFinD("ths_adjustment_nv_fund",AB$3,$A360))</f>
        <v/>
      </c>
    </row>
    <row r="361" spans="2:28">
      <c r="B361" s="13" t="str">
        <f>IF($A361="","",[1]!thsiFinD("ths_adjustment_nv_fund",B$3,$A361))</f>
        <v/>
      </c>
      <c r="C361" s="13" t="str">
        <f>IF($A361="","",[1]!thsiFinD("ths_adjustment_nv_fund",C$3,$A361))</f>
        <v/>
      </c>
      <c r="D361" s="13" t="str">
        <f>IF($A361="","",[1]!thsiFinD("ths_adjustment_nv_fund",D$3,$A361))</f>
        <v/>
      </c>
      <c r="E361" s="13" t="str">
        <f>IF($A361="","",[1]!thsiFinD("ths_adjustment_nv_fund",E$3,$A361))</f>
        <v/>
      </c>
      <c r="F361" s="13" t="str">
        <f>IF($A361="","",[1]!thsiFinD("ths_adjustment_nv_fund",F$3,$A361))</f>
        <v/>
      </c>
      <c r="G361" s="13" t="str">
        <f>IF($A361="","",[1]!thsiFinD("ths_adjustment_nv_fund",G$3,$A361))</f>
        <v/>
      </c>
      <c r="H361" s="13" t="str">
        <f>IF($A361="","",[1]!thsiFinD("ths_adjustment_nv_fund",H$3,$A361))</f>
        <v/>
      </c>
      <c r="I361" s="13" t="str">
        <f>IF($A361="","",[1]!thsiFinD("ths_adjustment_nv_fund",I$3,$A361))</f>
        <v/>
      </c>
      <c r="J361" s="13" t="str">
        <f>IF($A361="","",[1]!thsiFinD("ths_adjustment_nv_fund",J$3,$A361))</f>
        <v/>
      </c>
      <c r="K361" s="13" t="str">
        <f>IF($A361="","",[1]!thsiFinD("ths_adjustment_nv_fund",K$3,$A361))</f>
        <v/>
      </c>
      <c r="L361" s="13" t="str">
        <f>IF($A361="","",[1]!thsiFinD("ths_adjustment_nv_fund",L$3,$A361))</f>
        <v/>
      </c>
      <c r="M361" s="13" t="str">
        <f>IF($A361="","",[1]!thsiFinD("ths_adjustment_nv_fund",M$3,$A361))</f>
        <v/>
      </c>
      <c r="N361" s="13" t="str">
        <f>IF($A361="","",[1]!thsiFinD("ths_adjustment_nv_fund",N$3,$A361))</f>
        <v/>
      </c>
      <c r="O361" s="13" t="str">
        <f>IF($A361="","",[1]!thsiFinD("ths_adjustment_nv_fund",O$3,$A361))</f>
        <v/>
      </c>
      <c r="P361" s="13" t="str">
        <f>IF($A361="","",[1]!thsiFinD("ths_adjustment_nv_fund",P$3,$A361))</f>
        <v/>
      </c>
      <c r="Q361" s="13" t="str">
        <f>IF($A361="","",[1]!thsiFinD("ths_adjustment_nv_fund",Q$3,$A361))</f>
        <v/>
      </c>
      <c r="R361" s="13" t="str">
        <f>IF($A361="","",[1]!thsiFinD("ths_adjustment_nv_fund",R$3,$A361))</f>
        <v/>
      </c>
      <c r="S361" s="13" t="str">
        <f>IF($A361="","",[1]!thsiFinD("ths_adjustment_nv_fund",S$3,$A361))</f>
        <v/>
      </c>
      <c r="T361" s="13" t="str">
        <f>IF($A361="","",[1]!thsiFinD("ths_adjustment_nv_fund",T$3,$A361))</f>
        <v/>
      </c>
      <c r="U361" s="13" t="str">
        <f>IF($A361="","",[1]!thsiFinD("ths_adjustment_nv_fund",U$3,$A361))</f>
        <v/>
      </c>
      <c r="V361" s="13" t="str">
        <f>IF($A361="","",[1]!thsiFinD("ths_adjustment_nv_fund",V$3,$A361))</f>
        <v/>
      </c>
      <c r="W361" s="13" t="str">
        <f>IF($A361="","",[1]!thsiFinD("ths_adjustment_nv_fund",W$3,$A361))</f>
        <v/>
      </c>
      <c r="X361" s="13" t="str">
        <f>IF($A361="","",[1]!thsiFinD("ths_adjustment_nv_fund",X$3,$A361))</f>
        <v/>
      </c>
      <c r="Y361" s="13" t="str">
        <f>IF($A361="","",[1]!thsiFinD("ths_adjustment_nv_fund",Y$3,$A361))</f>
        <v/>
      </c>
      <c r="Z361" s="13" t="str">
        <f>IF($A361="","",[1]!thsiFinD("ths_adjustment_nv_fund",Z$3,$A361))</f>
        <v/>
      </c>
      <c r="AA361" s="13" t="str">
        <f>IF($A361="","",[1]!thsiFinD("ths_adjustment_nv_fund",AA$3,$A361))</f>
        <v/>
      </c>
      <c r="AB361" s="13" t="str">
        <f>IF($A361="","",[1]!thsiFinD("ths_adjustment_nv_fund",AB$3,$A361))</f>
        <v/>
      </c>
    </row>
    <row r="362" spans="2:28">
      <c r="B362" s="13" t="str">
        <f>IF($A362="","",[1]!thsiFinD("ths_adjustment_nv_fund",B$3,$A362))</f>
        <v/>
      </c>
      <c r="C362" s="13" t="str">
        <f>IF($A362="","",[1]!thsiFinD("ths_adjustment_nv_fund",C$3,$A362))</f>
        <v/>
      </c>
      <c r="D362" s="13" t="str">
        <f>IF($A362="","",[1]!thsiFinD("ths_adjustment_nv_fund",D$3,$A362))</f>
        <v/>
      </c>
      <c r="E362" s="13" t="str">
        <f>IF($A362="","",[1]!thsiFinD("ths_adjustment_nv_fund",E$3,$A362))</f>
        <v/>
      </c>
      <c r="F362" s="13" t="str">
        <f>IF($A362="","",[1]!thsiFinD("ths_adjustment_nv_fund",F$3,$A362))</f>
        <v/>
      </c>
      <c r="G362" s="13" t="str">
        <f>IF($A362="","",[1]!thsiFinD("ths_adjustment_nv_fund",G$3,$A362))</f>
        <v/>
      </c>
      <c r="H362" s="13" t="str">
        <f>IF($A362="","",[1]!thsiFinD("ths_adjustment_nv_fund",H$3,$A362))</f>
        <v/>
      </c>
      <c r="I362" s="13" t="str">
        <f>IF($A362="","",[1]!thsiFinD("ths_adjustment_nv_fund",I$3,$A362))</f>
        <v/>
      </c>
      <c r="J362" s="13" t="str">
        <f>IF($A362="","",[1]!thsiFinD("ths_adjustment_nv_fund",J$3,$A362))</f>
        <v/>
      </c>
      <c r="K362" s="13" t="str">
        <f>IF($A362="","",[1]!thsiFinD("ths_adjustment_nv_fund",K$3,$A362))</f>
        <v/>
      </c>
      <c r="L362" s="13" t="str">
        <f>IF($A362="","",[1]!thsiFinD("ths_adjustment_nv_fund",L$3,$A362))</f>
        <v/>
      </c>
      <c r="M362" s="13" t="str">
        <f>IF($A362="","",[1]!thsiFinD("ths_adjustment_nv_fund",M$3,$A362))</f>
        <v/>
      </c>
      <c r="N362" s="13" t="str">
        <f>IF($A362="","",[1]!thsiFinD("ths_adjustment_nv_fund",N$3,$A362))</f>
        <v/>
      </c>
      <c r="O362" s="13" t="str">
        <f>IF($A362="","",[1]!thsiFinD("ths_adjustment_nv_fund",O$3,$A362))</f>
        <v/>
      </c>
      <c r="P362" s="13" t="str">
        <f>IF($A362="","",[1]!thsiFinD("ths_adjustment_nv_fund",P$3,$A362))</f>
        <v/>
      </c>
      <c r="Q362" s="13" t="str">
        <f>IF($A362="","",[1]!thsiFinD("ths_adjustment_nv_fund",Q$3,$A362))</f>
        <v/>
      </c>
      <c r="R362" s="13" t="str">
        <f>IF($A362="","",[1]!thsiFinD("ths_adjustment_nv_fund",R$3,$A362))</f>
        <v/>
      </c>
      <c r="S362" s="13" t="str">
        <f>IF($A362="","",[1]!thsiFinD("ths_adjustment_nv_fund",S$3,$A362))</f>
        <v/>
      </c>
      <c r="T362" s="13" t="str">
        <f>IF($A362="","",[1]!thsiFinD("ths_adjustment_nv_fund",T$3,$A362))</f>
        <v/>
      </c>
      <c r="U362" s="13" t="str">
        <f>IF($A362="","",[1]!thsiFinD("ths_adjustment_nv_fund",U$3,$A362))</f>
        <v/>
      </c>
      <c r="V362" s="13" t="str">
        <f>IF($A362="","",[1]!thsiFinD("ths_adjustment_nv_fund",V$3,$A362))</f>
        <v/>
      </c>
      <c r="W362" s="13" t="str">
        <f>IF($A362="","",[1]!thsiFinD("ths_adjustment_nv_fund",W$3,$A362))</f>
        <v/>
      </c>
      <c r="X362" s="13" t="str">
        <f>IF($A362="","",[1]!thsiFinD("ths_adjustment_nv_fund",X$3,$A362))</f>
        <v/>
      </c>
      <c r="Y362" s="13" t="str">
        <f>IF($A362="","",[1]!thsiFinD("ths_adjustment_nv_fund",Y$3,$A362))</f>
        <v/>
      </c>
      <c r="Z362" s="13" t="str">
        <f>IF($A362="","",[1]!thsiFinD("ths_adjustment_nv_fund",Z$3,$A362))</f>
        <v/>
      </c>
      <c r="AA362" s="13" t="str">
        <f>IF($A362="","",[1]!thsiFinD("ths_adjustment_nv_fund",AA$3,$A362))</f>
        <v/>
      </c>
      <c r="AB362" s="13" t="str">
        <f>IF($A362="","",[1]!thsiFinD("ths_adjustment_nv_fund",AB$3,$A362))</f>
        <v/>
      </c>
    </row>
    <row r="363" spans="2:28">
      <c r="B363" s="13" t="str">
        <f>IF($A363="","",[1]!thsiFinD("ths_adjustment_nv_fund",B$3,$A363))</f>
        <v/>
      </c>
      <c r="C363" s="13" t="str">
        <f>IF($A363="","",[1]!thsiFinD("ths_adjustment_nv_fund",C$3,$A363))</f>
        <v/>
      </c>
      <c r="D363" s="13" t="str">
        <f>IF($A363="","",[1]!thsiFinD("ths_adjustment_nv_fund",D$3,$A363))</f>
        <v/>
      </c>
      <c r="E363" s="13" t="str">
        <f>IF($A363="","",[1]!thsiFinD("ths_adjustment_nv_fund",E$3,$A363))</f>
        <v/>
      </c>
      <c r="F363" s="13" t="str">
        <f>IF($A363="","",[1]!thsiFinD("ths_adjustment_nv_fund",F$3,$A363))</f>
        <v/>
      </c>
      <c r="G363" s="13" t="str">
        <f>IF($A363="","",[1]!thsiFinD("ths_adjustment_nv_fund",G$3,$A363))</f>
        <v/>
      </c>
      <c r="H363" s="13" t="str">
        <f>IF($A363="","",[1]!thsiFinD("ths_adjustment_nv_fund",H$3,$A363))</f>
        <v/>
      </c>
      <c r="I363" s="13" t="str">
        <f>IF($A363="","",[1]!thsiFinD("ths_adjustment_nv_fund",I$3,$A363))</f>
        <v/>
      </c>
      <c r="J363" s="13" t="str">
        <f>IF($A363="","",[1]!thsiFinD("ths_adjustment_nv_fund",J$3,$A363))</f>
        <v/>
      </c>
      <c r="K363" s="13" t="str">
        <f>IF($A363="","",[1]!thsiFinD("ths_adjustment_nv_fund",K$3,$A363))</f>
        <v/>
      </c>
      <c r="L363" s="13" t="str">
        <f>IF($A363="","",[1]!thsiFinD("ths_adjustment_nv_fund",L$3,$A363))</f>
        <v/>
      </c>
      <c r="M363" s="13" t="str">
        <f>IF($A363="","",[1]!thsiFinD("ths_adjustment_nv_fund",M$3,$A363))</f>
        <v/>
      </c>
      <c r="N363" s="13" t="str">
        <f>IF($A363="","",[1]!thsiFinD("ths_adjustment_nv_fund",N$3,$A363))</f>
        <v/>
      </c>
      <c r="O363" s="13" t="str">
        <f>IF($A363="","",[1]!thsiFinD("ths_adjustment_nv_fund",O$3,$A363))</f>
        <v/>
      </c>
      <c r="P363" s="13" t="str">
        <f>IF($A363="","",[1]!thsiFinD("ths_adjustment_nv_fund",P$3,$A363))</f>
        <v/>
      </c>
      <c r="Q363" s="13" t="str">
        <f>IF($A363="","",[1]!thsiFinD("ths_adjustment_nv_fund",Q$3,$A363))</f>
        <v/>
      </c>
      <c r="R363" s="13" t="str">
        <f>IF($A363="","",[1]!thsiFinD("ths_adjustment_nv_fund",R$3,$A363))</f>
        <v/>
      </c>
      <c r="S363" s="13" t="str">
        <f>IF($A363="","",[1]!thsiFinD("ths_adjustment_nv_fund",S$3,$A363))</f>
        <v/>
      </c>
      <c r="T363" s="13" t="str">
        <f>IF($A363="","",[1]!thsiFinD("ths_adjustment_nv_fund",T$3,$A363))</f>
        <v/>
      </c>
      <c r="U363" s="13" t="str">
        <f>IF($A363="","",[1]!thsiFinD("ths_adjustment_nv_fund",U$3,$A363))</f>
        <v/>
      </c>
      <c r="V363" s="13" t="str">
        <f>IF($A363="","",[1]!thsiFinD("ths_adjustment_nv_fund",V$3,$A363))</f>
        <v/>
      </c>
      <c r="W363" s="13" t="str">
        <f>IF($A363="","",[1]!thsiFinD("ths_adjustment_nv_fund",W$3,$A363))</f>
        <v/>
      </c>
      <c r="X363" s="13" t="str">
        <f>IF($A363="","",[1]!thsiFinD("ths_adjustment_nv_fund",X$3,$A363))</f>
        <v/>
      </c>
      <c r="Y363" s="13" t="str">
        <f>IF($A363="","",[1]!thsiFinD("ths_adjustment_nv_fund",Y$3,$A363))</f>
        <v/>
      </c>
      <c r="Z363" s="13" t="str">
        <f>IF($A363="","",[1]!thsiFinD("ths_adjustment_nv_fund",Z$3,$A363))</f>
        <v/>
      </c>
      <c r="AA363" s="13" t="str">
        <f>IF($A363="","",[1]!thsiFinD("ths_adjustment_nv_fund",AA$3,$A363))</f>
        <v/>
      </c>
      <c r="AB363" s="13" t="str">
        <f>IF($A363="","",[1]!thsiFinD("ths_adjustment_nv_fund",AB$3,$A363))</f>
        <v/>
      </c>
    </row>
    <row r="364" spans="2:28">
      <c r="B364" s="13" t="str">
        <f>IF($A364="","",[1]!thsiFinD("ths_adjustment_nv_fund",B$3,$A364))</f>
        <v/>
      </c>
      <c r="C364" s="13" t="str">
        <f>IF($A364="","",[1]!thsiFinD("ths_adjustment_nv_fund",C$3,$A364))</f>
        <v/>
      </c>
      <c r="D364" s="13" t="str">
        <f>IF($A364="","",[1]!thsiFinD("ths_adjustment_nv_fund",D$3,$A364))</f>
        <v/>
      </c>
      <c r="E364" s="13" t="str">
        <f>IF($A364="","",[1]!thsiFinD("ths_adjustment_nv_fund",E$3,$A364))</f>
        <v/>
      </c>
      <c r="F364" s="13" t="str">
        <f>IF($A364="","",[1]!thsiFinD("ths_adjustment_nv_fund",F$3,$A364))</f>
        <v/>
      </c>
      <c r="G364" s="13" t="str">
        <f>IF($A364="","",[1]!thsiFinD("ths_adjustment_nv_fund",G$3,$A364))</f>
        <v/>
      </c>
      <c r="H364" s="13" t="str">
        <f>IF($A364="","",[1]!thsiFinD("ths_adjustment_nv_fund",H$3,$A364))</f>
        <v/>
      </c>
      <c r="I364" s="13" t="str">
        <f>IF($A364="","",[1]!thsiFinD("ths_adjustment_nv_fund",I$3,$A364))</f>
        <v/>
      </c>
      <c r="J364" s="13" t="str">
        <f>IF($A364="","",[1]!thsiFinD("ths_adjustment_nv_fund",J$3,$A364))</f>
        <v/>
      </c>
      <c r="K364" s="13" t="str">
        <f>IF($A364="","",[1]!thsiFinD("ths_adjustment_nv_fund",K$3,$A364))</f>
        <v/>
      </c>
      <c r="L364" s="13" t="str">
        <f>IF($A364="","",[1]!thsiFinD("ths_adjustment_nv_fund",L$3,$A364))</f>
        <v/>
      </c>
      <c r="M364" s="13" t="str">
        <f>IF($A364="","",[1]!thsiFinD("ths_adjustment_nv_fund",M$3,$A364))</f>
        <v/>
      </c>
      <c r="N364" s="13" t="str">
        <f>IF($A364="","",[1]!thsiFinD("ths_adjustment_nv_fund",N$3,$A364))</f>
        <v/>
      </c>
      <c r="O364" s="13" t="str">
        <f>IF($A364="","",[1]!thsiFinD("ths_adjustment_nv_fund",O$3,$A364))</f>
        <v/>
      </c>
      <c r="P364" s="13" t="str">
        <f>IF($A364="","",[1]!thsiFinD("ths_adjustment_nv_fund",P$3,$A364))</f>
        <v/>
      </c>
      <c r="Q364" s="13" t="str">
        <f>IF($A364="","",[1]!thsiFinD("ths_adjustment_nv_fund",Q$3,$A364))</f>
        <v/>
      </c>
      <c r="R364" s="13" t="str">
        <f>IF($A364="","",[1]!thsiFinD("ths_adjustment_nv_fund",R$3,$A364))</f>
        <v/>
      </c>
      <c r="S364" s="13" t="str">
        <f>IF($A364="","",[1]!thsiFinD("ths_adjustment_nv_fund",S$3,$A364))</f>
        <v/>
      </c>
      <c r="T364" s="13" t="str">
        <f>IF($A364="","",[1]!thsiFinD("ths_adjustment_nv_fund",T$3,$A364))</f>
        <v/>
      </c>
      <c r="U364" s="13" t="str">
        <f>IF($A364="","",[1]!thsiFinD("ths_adjustment_nv_fund",U$3,$A364))</f>
        <v/>
      </c>
      <c r="V364" s="13" t="str">
        <f>IF($A364="","",[1]!thsiFinD("ths_adjustment_nv_fund",V$3,$A364))</f>
        <v/>
      </c>
      <c r="W364" s="13" t="str">
        <f>IF($A364="","",[1]!thsiFinD("ths_adjustment_nv_fund",W$3,$A364))</f>
        <v/>
      </c>
      <c r="X364" s="13" t="str">
        <f>IF($A364="","",[1]!thsiFinD("ths_adjustment_nv_fund",X$3,$A364))</f>
        <v/>
      </c>
      <c r="Y364" s="13" t="str">
        <f>IF($A364="","",[1]!thsiFinD("ths_adjustment_nv_fund",Y$3,$A364))</f>
        <v/>
      </c>
      <c r="Z364" s="13" t="str">
        <f>IF($A364="","",[1]!thsiFinD("ths_adjustment_nv_fund",Z$3,$A364))</f>
        <v/>
      </c>
      <c r="AA364" s="13" t="str">
        <f>IF($A364="","",[1]!thsiFinD("ths_adjustment_nv_fund",AA$3,$A364))</f>
        <v/>
      </c>
      <c r="AB364" s="13" t="str">
        <f>IF($A364="","",[1]!thsiFinD("ths_adjustment_nv_fund",AB$3,$A364))</f>
        <v/>
      </c>
    </row>
    <row r="365" spans="2:28">
      <c r="B365" s="13" t="str">
        <f>IF($A365="","",[1]!thsiFinD("ths_adjustment_nv_fund",B$3,$A365))</f>
        <v/>
      </c>
      <c r="C365" s="13" t="str">
        <f>IF($A365="","",[1]!thsiFinD("ths_adjustment_nv_fund",C$3,$A365))</f>
        <v/>
      </c>
      <c r="D365" s="13" t="str">
        <f>IF($A365="","",[1]!thsiFinD("ths_adjustment_nv_fund",D$3,$A365))</f>
        <v/>
      </c>
      <c r="E365" s="13" t="str">
        <f>IF($A365="","",[1]!thsiFinD("ths_adjustment_nv_fund",E$3,$A365))</f>
        <v/>
      </c>
      <c r="F365" s="13" t="str">
        <f>IF($A365="","",[1]!thsiFinD("ths_adjustment_nv_fund",F$3,$A365))</f>
        <v/>
      </c>
      <c r="G365" s="13" t="str">
        <f>IF($A365="","",[1]!thsiFinD("ths_adjustment_nv_fund",G$3,$A365))</f>
        <v/>
      </c>
      <c r="H365" s="13" t="str">
        <f>IF($A365="","",[1]!thsiFinD("ths_adjustment_nv_fund",H$3,$A365))</f>
        <v/>
      </c>
      <c r="I365" s="13" t="str">
        <f>IF($A365="","",[1]!thsiFinD("ths_adjustment_nv_fund",I$3,$A365))</f>
        <v/>
      </c>
      <c r="J365" s="13" t="str">
        <f>IF($A365="","",[1]!thsiFinD("ths_adjustment_nv_fund",J$3,$A365))</f>
        <v/>
      </c>
      <c r="K365" s="13" t="str">
        <f>IF($A365="","",[1]!thsiFinD("ths_adjustment_nv_fund",K$3,$A365))</f>
        <v/>
      </c>
      <c r="L365" s="13" t="str">
        <f>IF($A365="","",[1]!thsiFinD("ths_adjustment_nv_fund",L$3,$A365))</f>
        <v/>
      </c>
      <c r="M365" s="13" t="str">
        <f>IF($A365="","",[1]!thsiFinD("ths_adjustment_nv_fund",M$3,$A365))</f>
        <v/>
      </c>
      <c r="N365" s="13" t="str">
        <f>IF($A365="","",[1]!thsiFinD("ths_adjustment_nv_fund",N$3,$A365))</f>
        <v/>
      </c>
      <c r="O365" s="13" t="str">
        <f>IF($A365="","",[1]!thsiFinD("ths_adjustment_nv_fund",O$3,$A365))</f>
        <v/>
      </c>
      <c r="P365" s="13" t="str">
        <f>IF($A365="","",[1]!thsiFinD("ths_adjustment_nv_fund",P$3,$A365))</f>
        <v/>
      </c>
      <c r="Q365" s="13" t="str">
        <f>IF($A365="","",[1]!thsiFinD("ths_adjustment_nv_fund",Q$3,$A365))</f>
        <v/>
      </c>
      <c r="R365" s="13" t="str">
        <f>IF($A365="","",[1]!thsiFinD("ths_adjustment_nv_fund",R$3,$A365))</f>
        <v/>
      </c>
      <c r="S365" s="13" t="str">
        <f>IF($A365="","",[1]!thsiFinD("ths_adjustment_nv_fund",S$3,$A365))</f>
        <v/>
      </c>
      <c r="T365" s="13" t="str">
        <f>IF($A365="","",[1]!thsiFinD("ths_adjustment_nv_fund",T$3,$A365))</f>
        <v/>
      </c>
      <c r="U365" s="13" t="str">
        <f>IF($A365="","",[1]!thsiFinD("ths_adjustment_nv_fund",U$3,$A365))</f>
        <v/>
      </c>
      <c r="V365" s="13" t="str">
        <f>IF($A365="","",[1]!thsiFinD("ths_adjustment_nv_fund",V$3,$A365))</f>
        <v/>
      </c>
      <c r="W365" s="13" t="str">
        <f>IF($A365="","",[1]!thsiFinD("ths_adjustment_nv_fund",W$3,$A365))</f>
        <v/>
      </c>
      <c r="X365" s="13" t="str">
        <f>IF($A365="","",[1]!thsiFinD("ths_adjustment_nv_fund",X$3,$A365))</f>
        <v/>
      </c>
      <c r="Y365" s="13" t="str">
        <f>IF($A365="","",[1]!thsiFinD("ths_adjustment_nv_fund",Y$3,$A365))</f>
        <v/>
      </c>
      <c r="Z365" s="13" t="str">
        <f>IF($A365="","",[1]!thsiFinD("ths_adjustment_nv_fund",Z$3,$A365))</f>
        <v/>
      </c>
      <c r="AA365" s="13" t="str">
        <f>IF($A365="","",[1]!thsiFinD("ths_adjustment_nv_fund",AA$3,$A365))</f>
        <v/>
      </c>
      <c r="AB365" s="13" t="str">
        <f>IF($A365="","",[1]!thsiFinD("ths_adjustment_nv_fund",AB$3,$A365))</f>
        <v/>
      </c>
    </row>
    <row r="366" spans="2:28">
      <c r="B366" s="13" t="str">
        <f>IF($A366="","",[1]!thsiFinD("ths_adjustment_nv_fund",B$3,$A366))</f>
        <v/>
      </c>
      <c r="C366" s="13" t="str">
        <f>IF($A366="","",[1]!thsiFinD("ths_adjustment_nv_fund",C$3,$A366))</f>
        <v/>
      </c>
      <c r="D366" s="13" t="str">
        <f>IF($A366="","",[1]!thsiFinD("ths_adjustment_nv_fund",D$3,$A366))</f>
        <v/>
      </c>
      <c r="E366" s="13" t="str">
        <f>IF($A366="","",[1]!thsiFinD("ths_adjustment_nv_fund",E$3,$A366))</f>
        <v/>
      </c>
      <c r="F366" s="13" t="str">
        <f>IF($A366="","",[1]!thsiFinD("ths_adjustment_nv_fund",F$3,$A366))</f>
        <v/>
      </c>
      <c r="G366" s="13" t="str">
        <f>IF($A366="","",[1]!thsiFinD("ths_adjustment_nv_fund",G$3,$A366))</f>
        <v/>
      </c>
      <c r="H366" s="13" t="str">
        <f>IF($A366="","",[1]!thsiFinD("ths_adjustment_nv_fund",H$3,$A366))</f>
        <v/>
      </c>
      <c r="I366" s="13" t="str">
        <f>IF($A366="","",[1]!thsiFinD("ths_adjustment_nv_fund",I$3,$A366))</f>
        <v/>
      </c>
      <c r="J366" s="13" t="str">
        <f>IF($A366="","",[1]!thsiFinD("ths_adjustment_nv_fund",J$3,$A366))</f>
        <v/>
      </c>
      <c r="K366" s="13" t="str">
        <f>IF($A366="","",[1]!thsiFinD("ths_adjustment_nv_fund",K$3,$A366))</f>
        <v/>
      </c>
      <c r="L366" s="13" t="str">
        <f>IF($A366="","",[1]!thsiFinD("ths_adjustment_nv_fund",L$3,$A366))</f>
        <v/>
      </c>
      <c r="M366" s="13" t="str">
        <f>IF($A366="","",[1]!thsiFinD("ths_adjustment_nv_fund",M$3,$A366))</f>
        <v/>
      </c>
      <c r="N366" s="13" t="str">
        <f>IF($A366="","",[1]!thsiFinD("ths_adjustment_nv_fund",N$3,$A366))</f>
        <v/>
      </c>
      <c r="O366" s="13" t="str">
        <f>IF($A366="","",[1]!thsiFinD("ths_adjustment_nv_fund",O$3,$A366))</f>
        <v/>
      </c>
      <c r="P366" s="13" t="str">
        <f>IF($A366="","",[1]!thsiFinD("ths_adjustment_nv_fund",P$3,$A366))</f>
        <v/>
      </c>
      <c r="Q366" s="13" t="str">
        <f>IF($A366="","",[1]!thsiFinD("ths_adjustment_nv_fund",Q$3,$A366))</f>
        <v/>
      </c>
      <c r="R366" s="13" t="str">
        <f>IF($A366="","",[1]!thsiFinD("ths_adjustment_nv_fund",R$3,$A366))</f>
        <v/>
      </c>
      <c r="S366" s="13" t="str">
        <f>IF($A366="","",[1]!thsiFinD("ths_adjustment_nv_fund",S$3,$A366))</f>
        <v/>
      </c>
      <c r="T366" s="13" t="str">
        <f>IF($A366="","",[1]!thsiFinD("ths_adjustment_nv_fund",T$3,$A366))</f>
        <v/>
      </c>
      <c r="U366" s="13" t="str">
        <f>IF($A366="","",[1]!thsiFinD("ths_adjustment_nv_fund",U$3,$A366))</f>
        <v/>
      </c>
      <c r="V366" s="13" t="str">
        <f>IF($A366="","",[1]!thsiFinD("ths_adjustment_nv_fund",V$3,$A366))</f>
        <v/>
      </c>
      <c r="W366" s="13" t="str">
        <f>IF($A366="","",[1]!thsiFinD("ths_adjustment_nv_fund",W$3,$A366))</f>
        <v/>
      </c>
      <c r="X366" s="13" t="str">
        <f>IF($A366="","",[1]!thsiFinD("ths_adjustment_nv_fund",X$3,$A366))</f>
        <v/>
      </c>
      <c r="Y366" s="13" t="str">
        <f>IF($A366="","",[1]!thsiFinD("ths_adjustment_nv_fund",Y$3,$A366))</f>
        <v/>
      </c>
      <c r="Z366" s="13" t="str">
        <f>IF($A366="","",[1]!thsiFinD("ths_adjustment_nv_fund",Z$3,$A366))</f>
        <v/>
      </c>
      <c r="AA366" s="13" t="str">
        <f>IF($A366="","",[1]!thsiFinD("ths_adjustment_nv_fund",AA$3,$A366))</f>
        <v/>
      </c>
      <c r="AB366" s="13" t="str">
        <f>IF($A366="","",[1]!thsiFinD("ths_adjustment_nv_fund",AB$3,$A366))</f>
        <v/>
      </c>
    </row>
    <row r="367" spans="2:28">
      <c r="B367" s="13" t="str">
        <f>IF($A367="","",[1]!thsiFinD("ths_adjustment_nv_fund",B$3,$A367))</f>
        <v/>
      </c>
      <c r="C367" s="13" t="str">
        <f>IF($A367="","",[1]!thsiFinD("ths_adjustment_nv_fund",C$3,$A367))</f>
        <v/>
      </c>
      <c r="D367" s="13" t="str">
        <f>IF($A367="","",[1]!thsiFinD("ths_adjustment_nv_fund",D$3,$A367))</f>
        <v/>
      </c>
      <c r="E367" s="13" t="str">
        <f>IF($A367="","",[1]!thsiFinD("ths_adjustment_nv_fund",E$3,$A367))</f>
        <v/>
      </c>
      <c r="F367" s="13" t="str">
        <f>IF($A367="","",[1]!thsiFinD("ths_adjustment_nv_fund",F$3,$A367))</f>
        <v/>
      </c>
      <c r="G367" s="13" t="str">
        <f>IF($A367="","",[1]!thsiFinD("ths_adjustment_nv_fund",G$3,$A367))</f>
        <v/>
      </c>
      <c r="H367" s="13" t="str">
        <f>IF($A367="","",[1]!thsiFinD("ths_adjustment_nv_fund",H$3,$A367))</f>
        <v/>
      </c>
      <c r="I367" s="13" t="str">
        <f>IF($A367="","",[1]!thsiFinD("ths_adjustment_nv_fund",I$3,$A367))</f>
        <v/>
      </c>
      <c r="J367" s="13" t="str">
        <f>IF($A367="","",[1]!thsiFinD("ths_adjustment_nv_fund",J$3,$A367))</f>
        <v/>
      </c>
      <c r="K367" s="13" t="str">
        <f>IF($A367="","",[1]!thsiFinD("ths_adjustment_nv_fund",K$3,$A367))</f>
        <v/>
      </c>
      <c r="L367" s="13" t="str">
        <f>IF($A367="","",[1]!thsiFinD("ths_adjustment_nv_fund",L$3,$A367))</f>
        <v/>
      </c>
      <c r="M367" s="13" t="str">
        <f>IF($A367="","",[1]!thsiFinD("ths_adjustment_nv_fund",M$3,$A367))</f>
        <v/>
      </c>
      <c r="N367" s="13" t="str">
        <f>IF($A367="","",[1]!thsiFinD("ths_adjustment_nv_fund",N$3,$A367))</f>
        <v/>
      </c>
      <c r="O367" s="13" t="str">
        <f>IF($A367="","",[1]!thsiFinD("ths_adjustment_nv_fund",O$3,$A367))</f>
        <v/>
      </c>
      <c r="P367" s="13" t="str">
        <f>IF($A367="","",[1]!thsiFinD("ths_adjustment_nv_fund",P$3,$A367))</f>
        <v/>
      </c>
      <c r="Q367" s="13" t="str">
        <f>IF($A367="","",[1]!thsiFinD("ths_adjustment_nv_fund",Q$3,$A367))</f>
        <v/>
      </c>
      <c r="R367" s="13" t="str">
        <f>IF($A367="","",[1]!thsiFinD("ths_adjustment_nv_fund",R$3,$A367))</f>
        <v/>
      </c>
      <c r="S367" s="13" t="str">
        <f>IF($A367="","",[1]!thsiFinD("ths_adjustment_nv_fund",S$3,$A367))</f>
        <v/>
      </c>
      <c r="T367" s="13" t="str">
        <f>IF($A367="","",[1]!thsiFinD("ths_adjustment_nv_fund",T$3,$A367))</f>
        <v/>
      </c>
      <c r="U367" s="13" t="str">
        <f>IF($A367="","",[1]!thsiFinD("ths_adjustment_nv_fund",U$3,$A367))</f>
        <v/>
      </c>
      <c r="V367" s="13" t="str">
        <f>IF($A367="","",[1]!thsiFinD("ths_adjustment_nv_fund",V$3,$A367))</f>
        <v/>
      </c>
      <c r="W367" s="13" t="str">
        <f>IF($A367="","",[1]!thsiFinD("ths_adjustment_nv_fund",W$3,$A367))</f>
        <v/>
      </c>
      <c r="X367" s="13" t="str">
        <f>IF($A367="","",[1]!thsiFinD("ths_adjustment_nv_fund",X$3,$A367))</f>
        <v/>
      </c>
      <c r="Y367" s="13" t="str">
        <f>IF($A367="","",[1]!thsiFinD("ths_adjustment_nv_fund",Y$3,$A367))</f>
        <v/>
      </c>
      <c r="Z367" s="13" t="str">
        <f>IF($A367="","",[1]!thsiFinD("ths_adjustment_nv_fund",Z$3,$A367))</f>
        <v/>
      </c>
      <c r="AA367" s="13" t="str">
        <f>IF($A367="","",[1]!thsiFinD("ths_adjustment_nv_fund",AA$3,$A367))</f>
        <v/>
      </c>
      <c r="AB367" s="13" t="str">
        <f>IF($A367="","",[1]!thsiFinD("ths_adjustment_nv_fund",AB$3,$A367))</f>
        <v/>
      </c>
    </row>
    <row r="368" spans="2:28">
      <c r="B368" s="13" t="str">
        <f>IF($A368="","",[1]!thsiFinD("ths_adjustment_nv_fund",B$3,$A368))</f>
        <v/>
      </c>
      <c r="C368" s="13" t="str">
        <f>IF($A368="","",[1]!thsiFinD("ths_adjustment_nv_fund",C$3,$A368))</f>
        <v/>
      </c>
      <c r="D368" s="13" t="str">
        <f>IF($A368="","",[1]!thsiFinD("ths_adjustment_nv_fund",D$3,$A368))</f>
        <v/>
      </c>
      <c r="E368" s="13" t="str">
        <f>IF($A368="","",[1]!thsiFinD("ths_adjustment_nv_fund",E$3,$A368))</f>
        <v/>
      </c>
      <c r="F368" s="13" t="str">
        <f>IF($A368="","",[1]!thsiFinD("ths_adjustment_nv_fund",F$3,$A368))</f>
        <v/>
      </c>
      <c r="G368" s="13" t="str">
        <f>IF($A368="","",[1]!thsiFinD("ths_adjustment_nv_fund",G$3,$A368))</f>
        <v/>
      </c>
      <c r="H368" s="13" t="str">
        <f>IF($A368="","",[1]!thsiFinD("ths_adjustment_nv_fund",H$3,$A368))</f>
        <v/>
      </c>
      <c r="I368" s="13" t="str">
        <f>IF($A368="","",[1]!thsiFinD("ths_adjustment_nv_fund",I$3,$A368))</f>
        <v/>
      </c>
      <c r="J368" s="13" t="str">
        <f>IF($A368="","",[1]!thsiFinD("ths_adjustment_nv_fund",J$3,$A368))</f>
        <v/>
      </c>
      <c r="K368" s="13" t="str">
        <f>IF($A368="","",[1]!thsiFinD("ths_adjustment_nv_fund",K$3,$A368))</f>
        <v/>
      </c>
      <c r="L368" s="13" t="str">
        <f>IF($A368="","",[1]!thsiFinD("ths_adjustment_nv_fund",L$3,$A368))</f>
        <v/>
      </c>
      <c r="M368" s="13" t="str">
        <f>IF($A368="","",[1]!thsiFinD("ths_adjustment_nv_fund",M$3,$A368))</f>
        <v/>
      </c>
      <c r="N368" s="13" t="str">
        <f>IF($A368="","",[1]!thsiFinD("ths_adjustment_nv_fund",N$3,$A368))</f>
        <v/>
      </c>
      <c r="O368" s="13" t="str">
        <f>IF($A368="","",[1]!thsiFinD("ths_adjustment_nv_fund",O$3,$A368))</f>
        <v/>
      </c>
      <c r="P368" s="13" t="str">
        <f>IF($A368="","",[1]!thsiFinD("ths_adjustment_nv_fund",P$3,$A368))</f>
        <v/>
      </c>
      <c r="Q368" s="13" t="str">
        <f>IF($A368="","",[1]!thsiFinD("ths_adjustment_nv_fund",Q$3,$A368))</f>
        <v/>
      </c>
      <c r="R368" s="13" t="str">
        <f>IF($A368="","",[1]!thsiFinD("ths_adjustment_nv_fund",R$3,$A368))</f>
        <v/>
      </c>
      <c r="S368" s="13" t="str">
        <f>IF($A368="","",[1]!thsiFinD("ths_adjustment_nv_fund",S$3,$A368))</f>
        <v/>
      </c>
      <c r="T368" s="13" t="str">
        <f>IF($A368="","",[1]!thsiFinD("ths_adjustment_nv_fund",T$3,$A368))</f>
        <v/>
      </c>
      <c r="U368" s="13" t="str">
        <f>IF($A368="","",[1]!thsiFinD("ths_adjustment_nv_fund",U$3,$A368))</f>
        <v/>
      </c>
      <c r="V368" s="13" t="str">
        <f>IF($A368="","",[1]!thsiFinD("ths_adjustment_nv_fund",V$3,$A368))</f>
        <v/>
      </c>
      <c r="W368" s="13" t="str">
        <f>IF($A368="","",[1]!thsiFinD("ths_adjustment_nv_fund",W$3,$A368))</f>
        <v/>
      </c>
      <c r="X368" s="13" t="str">
        <f>IF($A368="","",[1]!thsiFinD("ths_adjustment_nv_fund",X$3,$A368))</f>
        <v/>
      </c>
      <c r="Y368" s="13" t="str">
        <f>IF($A368="","",[1]!thsiFinD("ths_adjustment_nv_fund",Y$3,$A368))</f>
        <v/>
      </c>
      <c r="Z368" s="13" t="str">
        <f>IF($A368="","",[1]!thsiFinD("ths_adjustment_nv_fund",Z$3,$A368))</f>
        <v/>
      </c>
      <c r="AA368" s="13" t="str">
        <f>IF($A368="","",[1]!thsiFinD("ths_adjustment_nv_fund",AA$3,$A368))</f>
        <v/>
      </c>
      <c r="AB368" s="13" t="str">
        <f>IF($A368="","",[1]!thsiFinD("ths_adjustment_nv_fund",AB$3,$A368))</f>
        <v/>
      </c>
    </row>
    <row r="369" spans="2:28">
      <c r="B369" s="13" t="str">
        <f>IF($A369="","",[1]!thsiFinD("ths_adjustment_nv_fund",B$3,$A369))</f>
        <v/>
      </c>
      <c r="C369" s="13" t="str">
        <f>IF($A369="","",[1]!thsiFinD("ths_adjustment_nv_fund",C$3,$A369))</f>
        <v/>
      </c>
      <c r="D369" s="13" t="str">
        <f>IF($A369="","",[1]!thsiFinD("ths_adjustment_nv_fund",D$3,$A369))</f>
        <v/>
      </c>
      <c r="E369" s="13" t="str">
        <f>IF($A369="","",[1]!thsiFinD("ths_adjustment_nv_fund",E$3,$A369))</f>
        <v/>
      </c>
      <c r="F369" s="13" t="str">
        <f>IF($A369="","",[1]!thsiFinD("ths_adjustment_nv_fund",F$3,$A369))</f>
        <v/>
      </c>
      <c r="G369" s="13" t="str">
        <f>IF($A369="","",[1]!thsiFinD("ths_adjustment_nv_fund",G$3,$A369))</f>
        <v/>
      </c>
      <c r="H369" s="13" t="str">
        <f>IF($A369="","",[1]!thsiFinD("ths_adjustment_nv_fund",H$3,$A369))</f>
        <v/>
      </c>
      <c r="I369" s="13" t="str">
        <f>IF($A369="","",[1]!thsiFinD("ths_adjustment_nv_fund",I$3,$A369))</f>
        <v/>
      </c>
      <c r="J369" s="13" t="str">
        <f>IF($A369="","",[1]!thsiFinD("ths_adjustment_nv_fund",J$3,$A369))</f>
        <v/>
      </c>
      <c r="K369" s="13" t="str">
        <f>IF($A369="","",[1]!thsiFinD("ths_adjustment_nv_fund",K$3,$A369))</f>
        <v/>
      </c>
      <c r="L369" s="13" t="str">
        <f>IF($A369="","",[1]!thsiFinD("ths_adjustment_nv_fund",L$3,$A369))</f>
        <v/>
      </c>
      <c r="M369" s="13" t="str">
        <f>IF($A369="","",[1]!thsiFinD("ths_adjustment_nv_fund",M$3,$A369))</f>
        <v/>
      </c>
      <c r="N369" s="13" t="str">
        <f>IF($A369="","",[1]!thsiFinD("ths_adjustment_nv_fund",N$3,$A369))</f>
        <v/>
      </c>
      <c r="O369" s="13" t="str">
        <f>IF($A369="","",[1]!thsiFinD("ths_adjustment_nv_fund",O$3,$A369))</f>
        <v/>
      </c>
      <c r="P369" s="13" t="str">
        <f>IF($A369="","",[1]!thsiFinD("ths_adjustment_nv_fund",P$3,$A369))</f>
        <v/>
      </c>
      <c r="Q369" s="13" t="str">
        <f>IF($A369="","",[1]!thsiFinD("ths_adjustment_nv_fund",Q$3,$A369))</f>
        <v/>
      </c>
      <c r="R369" s="13" t="str">
        <f>IF($A369="","",[1]!thsiFinD("ths_adjustment_nv_fund",R$3,$A369))</f>
        <v/>
      </c>
      <c r="S369" s="13" t="str">
        <f>IF($A369="","",[1]!thsiFinD("ths_adjustment_nv_fund",S$3,$A369))</f>
        <v/>
      </c>
      <c r="T369" s="13" t="str">
        <f>IF($A369="","",[1]!thsiFinD("ths_adjustment_nv_fund",T$3,$A369))</f>
        <v/>
      </c>
      <c r="U369" s="13" t="str">
        <f>IF($A369="","",[1]!thsiFinD("ths_adjustment_nv_fund",U$3,$A369))</f>
        <v/>
      </c>
      <c r="V369" s="13" t="str">
        <f>IF($A369="","",[1]!thsiFinD("ths_adjustment_nv_fund",V$3,$A369))</f>
        <v/>
      </c>
      <c r="W369" s="13" t="str">
        <f>IF($A369="","",[1]!thsiFinD("ths_adjustment_nv_fund",W$3,$A369))</f>
        <v/>
      </c>
      <c r="X369" s="13" t="str">
        <f>IF($A369="","",[1]!thsiFinD("ths_adjustment_nv_fund",X$3,$A369))</f>
        <v/>
      </c>
      <c r="Y369" s="13" t="str">
        <f>IF($A369="","",[1]!thsiFinD("ths_adjustment_nv_fund",Y$3,$A369))</f>
        <v/>
      </c>
      <c r="Z369" s="13" t="str">
        <f>IF($A369="","",[1]!thsiFinD("ths_adjustment_nv_fund",Z$3,$A369))</f>
        <v/>
      </c>
      <c r="AA369" s="13" t="str">
        <f>IF($A369="","",[1]!thsiFinD("ths_adjustment_nv_fund",AA$3,$A369))</f>
        <v/>
      </c>
      <c r="AB369" s="13" t="str">
        <f>IF($A369="","",[1]!thsiFinD("ths_adjustment_nv_fund",AB$3,$A369))</f>
        <v/>
      </c>
    </row>
    <row r="370" spans="2:28">
      <c r="B370" s="13" t="str">
        <f>IF($A370="","",[1]!thsiFinD("ths_adjustment_nv_fund",B$3,$A370))</f>
        <v/>
      </c>
      <c r="C370" s="13" t="str">
        <f>IF($A370="","",[1]!thsiFinD("ths_adjustment_nv_fund",C$3,$A370))</f>
        <v/>
      </c>
      <c r="D370" s="13" t="str">
        <f>IF($A370="","",[1]!thsiFinD("ths_adjustment_nv_fund",D$3,$A370))</f>
        <v/>
      </c>
      <c r="E370" s="13" t="str">
        <f>IF($A370="","",[1]!thsiFinD("ths_adjustment_nv_fund",E$3,$A370))</f>
        <v/>
      </c>
      <c r="F370" s="13" t="str">
        <f>IF($A370="","",[1]!thsiFinD("ths_adjustment_nv_fund",F$3,$A370))</f>
        <v/>
      </c>
      <c r="G370" s="13" t="str">
        <f>IF($A370="","",[1]!thsiFinD("ths_adjustment_nv_fund",G$3,$A370))</f>
        <v/>
      </c>
      <c r="H370" s="13" t="str">
        <f>IF($A370="","",[1]!thsiFinD("ths_adjustment_nv_fund",H$3,$A370))</f>
        <v/>
      </c>
      <c r="I370" s="13" t="str">
        <f>IF($A370="","",[1]!thsiFinD("ths_adjustment_nv_fund",I$3,$A370))</f>
        <v/>
      </c>
      <c r="J370" s="13" t="str">
        <f>IF($A370="","",[1]!thsiFinD("ths_adjustment_nv_fund",J$3,$A370))</f>
        <v/>
      </c>
      <c r="K370" s="13" t="str">
        <f>IF($A370="","",[1]!thsiFinD("ths_adjustment_nv_fund",K$3,$A370))</f>
        <v/>
      </c>
      <c r="L370" s="13" t="str">
        <f>IF($A370="","",[1]!thsiFinD("ths_adjustment_nv_fund",L$3,$A370))</f>
        <v/>
      </c>
      <c r="M370" s="13" t="str">
        <f>IF($A370="","",[1]!thsiFinD("ths_adjustment_nv_fund",M$3,$A370))</f>
        <v/>
      </c>
      <c r="N370" s="13" t="str">
        <f>IF($A370="","",[1]!thsiFinD("ths_adjustment_nv_fund",N$3,$A370))</f>
        <v/>
      </c>
      <c r="O370" s="13" t="str">
        <f>IF($A370="","",[1]!thsiFinD("ths_adjustment_nv_fund",O$3,$A370))</f>
        <v/>
      </c>
      <c r="P370" s="13" t="str">
        <f>IF($A370="","",[1]!thsiFinD("ths_adjustment_nv_fund",P$3,$A370))</f>
        <v/>
      </c>
      <c r="Q370" s="13" t="str">
        <f>IF($A370="","",[1]!thsiFinD("ths_adjustment_nv_fund",Q$3,$A370))</f>
        <v/>
      </c>
      <c r="R370" s="13" t="str">
        <f>IF($A370="","",[1]!thsiFinD("ths_adjustment_nv_fund",R$3,$A370))</f>
        <v/>
      </c>
      <c r="S370" s="13" t="str">
        <f>IF($A370="","",[1]!thsiFinD("ths_adjustment_nv_fund",S$3,$A370))</f>
        <v/>
      </c>
      <c r="T370" s="13" t="str">
        <f>IF($A370="","",[1]!thsiFinD("ths_adjustment_nv_fund",T$3,$A370))</f>
        <v/>
      </c>
      <c r="U370" s="13" t="str">
        <f>IF($A370="","",[1]!thsiFinD("ths_adjustment_nv_fund",U$3,$A370))</f>
        <v/>
      </c>
      <c r="V370" s="13" t="str">
        <f>IF($A370="","",[1]!thsiFinD("ths_adjustment_nv_fund",V$3,$A370))</f>
        <v/>
      </c>
      <c r="W370" s="13" t="str">
        <f>IF($A370="","",[1]!thsiFinD("ths_adjustment_nv_fund",W$3,$A370))</f>
        <v/>
      </c>
      <c r="X370" s="13" t="str">
        <f>IF($A370="","",[1]!thsiFinD("ths_adjustment_nv_fund",X$3,$A370))</f>
        <v/>
      </c>
      <c r="Y370" s="13" t="str">
        <f>IF($A370="","",[1]!thsiFinD("ths_adjustment_nv_fund",Y$3,$A370))</f>
        <v/>
      </c>
      <c r="Z370" s="13" t="str">
        <f>IF($A370="","",[1]!thsiFinD("ths_adjustment_nv_fund",Z$3,$A370))</f>
        <v/>
      </c>
      <c r="AA370" s="13" t="str">
        <f>IF($A370="","",[1]!thsiFinD("ths_adjustment_nv_fund",AA$3,$A370))</f>
        <v/>
      </c>
      <c r="AB370" s="13" t="str">
        <f>IF($A370="","",[1]!thsiFinD("ths_adjustment_nv_fund",AB$3,$A370))</f>
        <v/>
      </c>
    </row>
    <row r="371" spans="2:28">
      <c r="B371" s="13" t="str">
        <f>IF($A371="","",[1]!thsiFinD("ths_adjustment_nv_fund",B$3,$A371))</f>
        <v/>
      </c>
      <c r="C371" s="13" t="str">
        <f>IF($A371="","",[1]!thsiFinD("ths_adjustment_nv_fund",C$3,$A371))</f>
        <v/>
      </c>
      <c r="D371" s="13" t="str">
        <f>IF($A371="","",[1]!thsiFinD("ths_adjustment_nv_fund",D$3,$A371))</f>
        <v/>
      </c>
      <c r="E371" s="13" t="str">
        <f>IF($A371="","",[1]!thsiFinD("ths_adjustment_nv_fund",E$3,$A371))</f>
        <v/>
      </c>
      <c r="F371" s="13" t="str">
        <f>IF($A371="","",[1]!thsiFinD("ths_adjustment_nv_fund",F$3,$A371))</f>
        <v/>
      </c>
      <c r="G371" s="13" t="str">
        <f>IF($A371="","",[1]!thsiFinD("ths_adjustment_nv_fund",G$3,$A371))</f>
        <v/>
      </c>
      <c r="H371" s="13" t="str">
        <f>IF($A371="","",[1]!thsiFinD("ths_adjustment_nv_fund",H$3,$A371))</f>
        <v/>
      </c>
      <c r="I371" s="13" t="str">
        <f>IF($A371="","",[1]!thsiFinD("ths_adjustment_nv_fund",I$3,$A371))</f>
        <v/>
      </c>
      <c r="J371" s="13" t="str">
        <f>IF($A371="","",[1]!thsiFinD("ths_adjustment_nv_fund",J$3,$A371))</f>
        <v/>
      </c>
      <c r="K371" s="13" t="str">
        <f>IF($A371="","",[1]!thsiFinD("ths_adjustment_nv_fund",K$3,$A371))</f>
        <v/>
      </c>
      <c r="L371" s="13" t="str">
        <f>IF($A371="","",[1]!thsiFinD("ths_adjustment_nv_fund",L$3,$A371))</f>
        <v/>
      </c>
      <c r="M371" s="13" t="str">
        <f>IF($A371="","",[1]!thsiFinD("ths_adjustment_nv_fund",M$3,$A371))</f>
        <v/>
      </c>
      <c r="N371" s="13" t="str">
        <f>IF($A371="","",[1]!thsiFinD("ths_adjustment_nv_fund",N$3,$A371))</f>
        <v/>
      </c>
      <c r="O371" s="13" t="str">
        <f>IF($A371="","",[1]!thsiFinD("ths_adjustment_nv_fund",O$3,$A371))</f>
        <v/>
      </c>
      <c r="P371" s="13" t="str">
        <f>IF($A371="","",[1]!thsiFinD("ths_adjustment_nv_fund",P$3,$A371))</f>
        <v/>
      </c>
      <c r="Q371" s="13" t="str">
        <f>IF($A371="","",[1]!thsiFinD("ths_adjustment_nv_fund",Q$3,$A371))</f>
        <v/>
      </c>
      <c r="R371" s="13" t="str">
        <f>IF($A371="","",[1]!thsiFinD("ths_adjustment_nv_fund",R$3,$A371))</f>
        <v/>
      </c>
      <c r="S371" s="13" t="str">
        <f>IF($A371="","",[1]!thsiFinD("ths_adjustment_nv_fund",S$3,$A371))</f>
        <v/>
      </c>
      <c r="T371" s="13" t="str">
        <f>IF($A371="","",[1]!thsiFinD("ths_adjustment_nv_fund",T$3,$A371))</f>
        <v/>
      </c>
      <c r="U371" s="13" t="str">
        <f>IF($A371="","",[1]!thsiFinD("ths_adjustment_nv_fund",U$3,$A371))</f>
        <v/>
      </c>
      <c r="V371" s="13" t="str">
        <f>IF($A371="","",[1]!thsiFinD("ths_adjustment_nv_fund",V$3,$A371))</f>
        <v/>
      </c>
      <c r="W371" s="13" t="str">
        <f>IF($A371="","",[1]!thsiFinD("ths_adjustment_nv_fund",W$3,$A371))</f>
        <v/>
      </c>
      <c r="X371" s="13" t="str">
        <f>IF($A371="","",[1]!thsiFinD("ths_adjustment_nv_fund",X$3,$A371))</f>
        <v/>
      </c>
      <c r="Y371" s="13" t="str">
        <f>IF($A371="","",[1]!thsiFinD("ths_adjustment_nv_fund",Y$3,$A371))</f>
        <v/>
      </c>
      <c r="Z371" s="13" t="str">
        <f>IF($A371="","",[1]!thsiFinD("ths_adjustment_nv_fund",Z$3,$A371))</f>
        <v/>
      </c>
      <c r="AA371" s="13" t="str">
        <f>IF($A371="","",[1]!thsiFinD("ths_adjustment_nv_fund",AA$3,$A371))</f>
        <v/>
      </c>
      <c r="AB371" s="13" t="str">
        <f>IF($A371="","",[1]!thsiFinD("ths_adjustment_nv_fund",AB$3,$A371))</f>
        <v/>
      </c>
    </row>
    <row r="372" spans="2:28">
      <c r="B372" s="13" t="str">
        <f>IF($A372="","",[1]!thsiFinD("ths_adjustment_nv_fund",B$3,$A372))</f>
        <v/>
      </c>
      <c r="C372" s="13" t="str">
        <f>IF($A372="","",[1]!thsiFinD("ths_adjustment_nv_fund",C$3,$A372))</f>
        <v/>
      </c>
      <c r="D372" s="13" t="str">
        <f>IF($A372="","",[1]!thsiFinD("ths_adjustment_nv_fund",D$3,$A372))</f>
        <v/>
      </c>
      <c r="E372" s="13" t="str">
        <f>IF($A372="","",[1]!thsiFinD("ths_adjustment_nv_fund",E$3,$A372))</f>
        <v/>
      </c>
      <c r="F372" s="13" t="str">
        <f>IF($A372="","",[1]!thsiFinD("ths_adjustment_nv_fund",F$3,$A372))</f>
        <v/>
      </c>
      <c r="G372" s="13" t="str">
        <f>IF($A372="","",[1]!thsiFinD("ths_adjustment_nv_fund",G$3,$A372))</f>
        <v/>
      </c>
      <c r="H372" s="13" t="str">
        <f>IF($A372="","",[1]!thsiFinD("ths_adjustment_nv_fund",H$3,$A372))</f>
        <v/>
      </c>
      <c r="I372" s="13" t="str">
        <f>IF($A372="","",[1]!thsiFinD("ths_adjustment_nv_fund",I$3,$A372))</f>
        <v/>
      </c>
      <c r="J372" s="13" t="str">
        <f>IF($A372="","",[1]!thsiFinD("ths_adjustment_nv_fund",J$3,$A372))</f>
        <v/>
      </c>
      <c r="K372" s="13" t="str">
        <f>IF($A372="","",[1]!thsiFinD("ths_adjustment_nv_fund",K$3,$A372))</f>
        <v/>
      </c>
      <c r="L372" s="13" t="str">
        <f>IF($A372="","",[1]!thsiFinD("ths_adjustment_nv_fund",L$3,$A372))</f>
        <v/>
      </c>
      <c r="M372" s="13" t="str">
        <f>IF($A372="","",[1]!thsiFinD("ths_adjustment_nv_fund",M$3,$A372))</f>
        <v/>
      </c>
      <c r="N372" s="13" t="str">
        <f>IF($A372="","",[1]!thsiFinD("ths_adjustment_nv_fund",N$3,$A372))</f>
        <v/>
      </c>
      <c r="O372" s="13" t="str">
        <f>IF($A372="","",[1]!thsiFinD("ths_adjustment_nv_fund",O$3,$A372))</f>
        <v/>
      </c>
      <c r="P372" s="13" t="str">
        <f>IF($A372="","",[1]!thsiFinD("ths_adjustment_nv_fund",P$3,$A372))</f>
        <v/>
      </c>
      <c r="Q372" s="13" t="str">
        <f>IF($A372="","",[1]!thsiFinD("ths_adjustment_nv_fund",Q$3,$A372))</f>
        <v/>
      </c>
      <c r="R372" s="13" t="str">
        <f>IF($A372="","",[1]!thsiFinD("ths_adjustment_nv_fund",R$3,$A372))</f>
        <v/>
      </c>
      <c r="S372" s="13" t="str">
        <f>IF($A372="","",[1]!thsiFinD("ths_adjustment_nv_fund",S$3,$A372))</f>
        <v/>
      </c>
      <c r="T372" s="13" t="str">
        <f>IF($A372="","",[1]!thsiFinD("ths_adjustment_nv_fund",T$3,$A372))</f>
        <v/>
      </c>
      <c r="U372" s="13" t="str">
        <f>IF($A372="","",[1]!thsiFinD("ths_adjustment_nv_fund",U$3,$A372))</f>
        <v/>
      </c>
      <c r="V372" s="13" t="str">
        <f>IF($A372="","",[1]!thsiFinD("ths_adjustment_nv_fund",V$3,$A372))</f>
        <v/>
      </c>
      <c r="W372" s="13" t="str">
        <f>IF($A372="","",[1]!thsiFinD("ths_adjustment_nv_fund",W$3,$A372))</f>
        <v/>
      </c>
      <c r="X372" s="13" t="str">
        <f>IF($A372="","",[1]!thsiFinD("ths_adjustment_nv_fund",X$3,$A372))</f>
        <v/>
      </c>
      <c r="Y372" s="13" t="str">
        <f>IF($A372="","",[1]!thsiFinD("ths_adjustment_nv_fund",Y$3,$A372))</f>
        <v/>
      </c>
      <c r="Z372" s="13" t="str">
        <f>IF($A372="","",[1]!thsiFinD("ths_adjustment_nv_fund",Z$3,$A372))</f>
        <v/>
      </c>
      <c r="AA372" s="13" t="str">
        <f>IF($A372="","",[1]!thsiFinD("ths_adjustment_nv_fund",AA$3,$A372))</f>
        <v/>
      </c>
      <c r="AB372" s="13" t="str">
        <f>IF($A372="","",[1]!thsiFinD("ths_adjustment_nv_fund",AB$3,$A372))</f>
        <v/>
      </c>
    </row>
    <row r="373" spans="2:28">
      <c r="B373" s="13" t="str">
        <f>IF($A373="","",[1]!thsiFinD("ths_adjustment_nv_fund",B$3,$A373))</f>
        <v/>
      </c>
      <c r="C373" s="13" t="str">
        <f>IF($A373="","",[1]!thsiFinD("ths_adjustment_nv_fund",C$3,$A373))</f>
        <v/>
      </c>
      <c r="D373" s="13" t="str">
        <f>IF($A373="","",[1]!thsiFinD("ths_adjustment_nv_fund",D$3,$A373))</f>
        <v/>
      </c>
      <c r="E373" s="13" t="str">
        <f>IF($A373="","",[1]!thsiFinD("ths_adjustment_nv_fund",E$3,$A373))</f>
        <v/>
      </c>
      <c r="F373" s="13" t="str">
        <f>IF($A373="","",[1]!thsiFinD("ths_adjustment_nv_fund",F$3,$A373))</f>
        <v/>
      </c>
      <c r="G373" s="13" t="str">
        <f>IF($A373="","",[1]!thsiFinD("ths_adjustment_nv_fund",G$3,$A373))</f>
        <v/>
      </c>
      <c r="H373" s="13" t="str">
        <f>IF($A373="","",[1]!thsiFinD("ths_adjustment_nv_fund",H$3,$A373))</f>
        <v/>
      </c>
      <c r="I373" s="13" t="str">
        <f>IF($A373="","",[1]!thsiFinD("ths_adjustment_nv_fund",I$3,$A373))</f>
        <v/>
      </c>
      <c r="J373" s="13" t="str">
        <f>IF($A373="","",[1]!thsiFinD("ths_adjustment_nv_fund",J$3,$A373))</f>
        <v/>
      </c>
      <c r="K373" s="13" t="str">
        <f>IF($A373="","",[1]!thsiFinD("ths_adjustment_nv_fund",K$3,$A373))</f>
        <v/>
      </c>
      <c r="L373" s="13" t="str">
        <f>IF($A373="","",[1]!thsiFinD("ths_adjustment_nv_fund",L$3,$A373))</f>
        <v/>
      </c>
      <c r="M373" s="13" t="str">
        <f>IF($A373="","",[1]!thsiFinD("ths_adjustment_nv_fund",M$3,$A373))</f>
        <v/>
      </c>
      <c r="N373" s="13" t="str">
        <f>IF($A373="","",[1]!thsiFinD("ths_adjustment_nv_fund",N$3,$A373))</f>
        <v/>
      </c>
      <c r="O373" s="13" t="str">
        <f>IF($A373="","",[1]!thsiFinD("ths_adjustment_nv_fund",O$3,$A373))</f>
        <v/>
      </c>
      <c r="P373" s="13" t="str">
        <f>IF($A373="","",[1]!thsiFinD("ths_adjustment_nv_fund",P$3,$A373))</f>
        <v/>
      </c>
      <c r="Q373" s="13" t="str">
        <f>IF($A373="","",[1]!thsiFinD("ths_adjustment_nv_fund",Q$3,$A373))</f>
        <v/>
      </c>
      <c r="R373" s="13" t="str">
        <f>IF($A373="","",[1]!thsiFinD("ths_adjustment_nv_fund",R$3,$A373))</f>
        <v/>
      </c>
      <c r="S373" s="13" t="str">
        <f>IF($A373="","",[1]!thsiFinD("ths_adjustment_nv_fund",S$3,$A373))</f>
        <v/>
      </c>
      <c r="T373" s="13" t="str">
        <f>IF($A373="","",[1]!thsiFinD("ths_adjustment_nv_fund",T$3,$A373))</f>
        <v/>
      </c>
      <c r="U373" s="13" t="str">
        <f>IF($A373="","",[1]!thsiFinD("ths_adjustment_nv_fund",U$3,$A373))</f>
        <v/>
      </c>
      <c r="V373" s="13" t="str">
        <f>IF($A373="","",[1]!thsiFinD("ths_adjustment_nv_fund",V$3,$A373))</f>
        <v/>
      </c>
      <c r="W373" s="13" t="str">
        <f>IF($A373="","",[1]!thsiFinD("ths_adjustment_nv_fund",W$3,$A373))</f>
        <v/>
      </c>
      <c r="X373" s="13" t="str">
        <f>IF($A373="","",[1]!thsiFinD("ths_adjustment_nv_fund",X$3,$A373))</f>
        <v/>
      </c>
      <c r="Y373" s="13" t="str">
        <f>IF($A373="","",[1]!thsiFinD("ths_adjustment_nv_fund",Y$3,$A373))</f>
        <v/>
      </c>
      <c r="Z373" s="13" t="str">
        <f>IF($A373="","",[1]!thsiFinD("ths_adjustment_nv_fund",Z$3,$A373))</f>
        <v/>
      </c>
      <c r="AA373" s="13" t="str">
        <f>IF($A373="","",[1]!thsiFinD("ths_adjustment_nv_fund",AA$3,$A373))</f>
        <v/>
      </c>
      <c r="AB373" s="13" t="str">
        <f>IF($A373="","",[1]!thsiFinD("ths_adjustment_nv_fund",AB$3,$A373))</f>
        <v/>
      </c>
    </row>
    <row r="374" spans="2:28">
      <c r="B374" s="13" t="str">
        <f>IF($A374="","",[1]!thsiFinD("ths_adjustment_nv_fund",B$3,$A374))</f>
        <v/>
      </c>
      <c r="C374" s="13" t="str">
        <f>IF($A374="","",[1]!thsiFinD("ths_adjustment_nv_fund",C$3,$A374))</f>
        <v/>
      </c>
      <c r="D374" s="13" t="str">
        <f>IF($A374="","",[1]!thsiFinD("ths_adjustment_nv_fund",D$3,$A374))</f>
        <v/>
      </c>
      <c r="E374" s="13" t="str">
        <f>IF($A374="","",[1]!thsiFinD("ths_adjustment_nv_fund",E$3,$A374))</f>
        <v/>
      </c>
      <c r="F374" s="13" t="str">
        <f>IF($A374="","",[1]!thsiFinD("ths_adjustment_nv_fund",F$3,$A374))</f>
        <v/>
      </c>
      <c r="G374" s="13" t="str">
        <f>IF($A374="","",[1]!thsiFinD("ths_adjustment_nv_fund",G$3,$A374))</f>
        <v/>
      </c>
      <c r="H374" s="13" t="str">
        <f>IF($A374="","",[1]!thsiFinD("ths_adjustment_nv_fund",H$3,$A374))</f>
        <v/>
      </c>
      <c r="I374" s="13" t="str">
        <f>IF($A374="","",[1]!thsiFinD("ths_adjustment_nv_fund",I$3,$A374))</f>
        <v/>
      </c>
      <c r="J374" s="13" t="str">
        <f>IF($A374="","",[1]!thsiFinD("ths_adjustment_nv_fund",J$3,$A374))</f>
        <v/>
      </c>
      <c r="K374" s="13" t="str">
        <f>IF($A374="","",[1]!thsiFinD("ths_adjustment_nv_fund",K$3,$A374))</f>
        <v/>
      </c>
      <c r="L374" s="13" t="str">
        <f>IF($A374="","",[1]!thsiFinD("ths_adjustment_nv_fund",L$3,$A374))</f>
        <v/>
      </c>
      <c r="M374" s="13" t="str">
        <f>IF($A374="","",[1]!thsiFinD("ths_adjustment_nv_fund",M$3,$A374))</f>
        <v/>
      </c>
      <c r="N374" s="13" t="str">
        <f>IF($A374="","",[1]!thsiFinD("ths_adjustment_nv_fund",N$3,$A374))</f>
        <v/>
      </c>
      <c r="O374" s="13" t="str">
        <f>IF($A374="","",[1]!thsiFinD("ths_adjustment_nv_fund",O$3,$A374))</f>
        <v/>
      </c>
      <c r="P374" s="13" t="str">
        <f>IF($A374="","",[1]!thsiFinD("ths_adjustment_nv_fund",P$3,$A374))</f>
        <v/>
      </c>
      <c r="Q374" s="13" t="str">
        <f>IF($A374="","",[1]!thsiFinD("ths_adjustment_nv_fund",Q$3,$A374))</f>
        <v/>
      </c>
      <c r="R374" s="13" t="str">
        <f>IF($A374="","",[1]!thsiFinD("ths_adjustment_nv_fund",R$3,$A374))</f>
        <v/>
      </c>
      <c r="S374" s="13" t="str">
        <f>IF($A374="","",[1]!thsiFinD("ths_adjustment_nv_fund",S$3,$A374))</f>
        <v/>
      </c>
      <c r="T374" s="13" t="str">
        <f>IF($A374="","",[1]!thsiFinD("ths_adjustment_nv_fund",T$3,$A374))</f>
        <v/>
      </c>
      <c r="U374" s="13" t="str">
        <f>IF($A374="","",[1]!thsiFinD("ths_adjustment_nv_fund",U$3,$A374))</f>
        <v/>
      </c>
      <c r="V374" s="13" t="str">
        <f>IF($A374="","",[1]!thsiFinD("ths_adjustment_nv_fund",V$3,$A374))</f>
        <v/>
      </c>
      <c r="W374" s="13" t="str">
        <f>IF($A374="","",[1]!thsiFinD("ths_adjustment_nv_fund",W$3,$A374))</f>
        <v/>
      </c>
      <c r="X374" s="13" t="str">
        <f>IF($A374="","",[1]!thsiFinD("ths_adjustment_nv_fund",X$3,$A374))</f>
        <v/>
      </c>
      <c r="Y374" s="13" t="str">
        <f>IF($A374="","",[1]!thsiFinD("ths_adjustment_nv_fund",Y$3,$A374))</f>
        <v/>
      </c>
      <c r="Z374" s="13" t="str">
        <f>IF($A374="","",[1]!thsiFinD("ths_adjustment_nv_fund",Z$3,$A374))</f>
        <v/>
      </c>
      <c r="AA374" s="13" t="str">
        <f>IF($A374="","",[1]!thsiFinD("ths_adjustment_nv_fund",AA$3,$A374))</f>
        <v/>
      </c>
      <c r="AB374" s="13" t="str">
        <f>IF($A374="","",[1]!thsiFinD("ths_adjustment_nv_fund",AB$3,$A374))</f>
        <v/>
      </c>
    </row>
    <row r="375" spans="2:28">
      <c r="B375" s="13" t="str">
        <f>IF($A375="","",[1]!thsiFinD("ths_adjustment_nv_fund",B$3,$A375))</f>
        <v/>
      </c>
      <c r="C375" s="13" t="str">
        <f>IF($A375="","",[1]!thsiFinD("ths_adjustment_nv_fund",C$3,$A375))</f>
        <v/>
      </c>
      <c r="D375" s="13" t="str">
        <f>IF($A375="","",[1]!thsiFinD("ths_adjustment_nv_fund",D$3,$A375))</f>
        <v/>
      </c>
      <c r="E375" s="13" t="str">
        <f>IF($A375="","",[1]!thsiFinD("ths_adjustment_nv_fund",E$3,$A375))</f>
        <v/>
      </c>
      <c r="F375" s="13" t="str">
        <f>IF($A375="","",[1]!thsiFinD("ths_adjustment_nv_fund",F$3,$A375))</f>
        <v/>
      </c>
      <c r="G375" s="13" t="str">
        <f>IF($A375="","",[1]!thsiFinD("ths_adjustment_nv_fund",G$3,$A375))</f>
        <v/>
      </c>
      <c r="H375" s="13" t="str">
        <f>IF($A375="","",[1]!thsiFinD("ths_adjustment_nv_fund",H$3,$A375))</f>
        <v/>
      </c>
      <c r="I375" s="13" t="str">
        <f>IF($A375="","",[1]!thsiFinD("ths_adjustment_nv_fund",I$3,$A375))</f>
        <v/>
      </c>
      <c r="J375" s="13" t="str">
        <f>IF($A375="","",[1]!thsiFinD("ths_adjustment_nv_fund",J$3,$A375))</f>
        <v/>
      </c>
      <c r="K375" s="13" t="str">
        <f>IF($A375="","",[1]!thsiFinD("ths_adjustment_nv_fund",K$3,$A375))</f>
        <v/>
      </c>
      <c r="L375" s="13" t="str">
        <f>IF($A375="","",[1]!thsiFinD("ths_adjustment_nv_fund",L$3,$A375))</f>
        <v/>
      </c>
      <c r="M375" s="13" t="str">
        <f>IF($A375="","",[1]!thsiFinD("ths_adjustment_nv_fund",M$3,$A375))</f>
        <v/>
      </c>
      <c r="N375" s="13" t="str">
        <f>IF($A375="","",[1]!thsiFinD("ths_adjustment_nv_fund",N$3,$A375))</f>
        <v/>
      </c>
      <c r="O375" s="13" t="str">
        <f>IF($A375="","",[1]!thsiFinD("ths_adjustment_nv_fund",O$3,$A375))</f>
        <v/>
      </c>
      <c r="P375" s="13" t="str">
        <f>IF($A375="","",[1]!thsiFinD("ths_adjustment_nv_fund",P$3,$A375))</f>
        <v/>
      </c>
      <c r="Q375" s="13" t="str">
        <f>IF($A375="","",[1]!thsiFinD("ths_adjustment_nv_fund",Q$3,$A375))</f>
        <v/>
      </c>
      <c r="R375" s="13" t="str">
        <f>IF($A375="","",[1]!thsiFinD("ths_adjustment_nv_fund",R$3,$A375))</f>
        <v/>
      </c>
      <c r="S375" s="13" t="str">
        <f>IF($A375="","",[1]!thsiFinD("ths_adjustment_nv_fund",S$3,$A375))</f>
        <v/>
      </c>
      <c r="T375" s="13" t="str">
        <f>IF($A375="","",[1]!thsiFinD("ths_adjustment_nv_fund",T$3,$A375))</f>
        <v/>
      </c>
      <c r="U375" s="13" t="str">
        <f>IF($A375="","",[1]!thsiFinD("ths_adjustment_nv_fund",U$3,$A375))</f>
        <v/>
      </c>
      <c r="V375" s="13" t="str">
        <f>IF($A375="","",[1]!thsiFinD("ths_adjustment_nv_fund",V$3,$A375))</f>
        <v/>
      </c>
      <c r="W375" s="13" t="str">
        <f>IF($A375="","",[1]!thsiFinD("ths_adjustment_nv_fund",W$3,$A375))</f>
        <v/>
      </c>
      <c r="X375" s="13" t="str">
        <f>IF($A375="","",[1]!thsiFinD("ths_adjustment_nv_fund",X$3,$A375))</f>
        <v/>
      </c>
      <c r="Y375" s="13" t="str">
        <f>IF($A375="","",[1]!thsiFinD("ths_adjustment_nv_fund",Y$3,$A375))</f>
        <v/>
      </c>
      <c r="Z375" s="13" t="str">
        <f>IF($A375="","",[1]!thsiFinD("ths_adjustment_nv_fund",Z$3,$A375))</f>
        <v/>
      </c>
      <c r="AA375" s="13" t="str">
        <f>IF($A375="","",[1]!thsiFinD("ths_adjustment_nv_fund",AA$3,$A375))</f>
        <v/>
      </c>
      <c r="AB375" s="13" t="str">
        <f>IF($A375="","",[1]!thsiFinD("ths_adjustment_nv_fund",AB$3,$A375))</f>
        <v/>
      </c>
    </row>
    <row r="376" spans="2:28">
      <c r="B376" s="13" t="str">
        <f>IF($A376="","",[1]!thsiFinD("ths_adjustment_nv_fund",B$3,$A376))</f>
        <v/>
      </c>
      <c r="C376" s="13" t="str">
        <f>IF($A376="","",[1]!thsiFinD("ths_adjustment_nv_fund",C$3,$A376))</f>
        <v/>
      </c>
      <c r="D376" s="13" t="str">
        <f>IF($A376="","",[1]!thsiFinD("ths_adjustment_nv_fund",D$3,$A376))</f>
        <v/>
      </c>
      <c r="E376" s="13" t="str">
        <f>IF($A376="","",[1]!thsiFinD("ths_adjustment_nv_fund",E$3,$A376))</f>
        <v/>
      </c>
      <c r="F376" s="13" t="str">
        <f>IF($A376="","",[1]!thsiFinD("ths_adjustment_nv_fund",F$3,$A376))</f>
        <v/>
      </c>
      <c r="G376" s="13" t="str">
        <f>IF($A376="","",[1]!thsiFinD("ths_adjustment_nv_fund",G$3,$A376))</f>
        <v/>
      </c>
      <c r="H376" s="13" t="str">
        <f>IF($A376="","",[1]!thsiFinD("ths_adjustment_nv_fund",H$3,$A376))</f>
        <v/>
      </c>
      <c r="I376" s="13" t="str">
        <f>IF($A376="","",[1]!thsiFinD("ths_adjustment_nv_fund",I$3,$A376))</f>
        <v/>
      </c>
      <c r="J376" s="13" t="str">
        <f>IF($A376="","",[1]!thsiFinD("ths_adjustment_nv_fund",J$3,$A376))</f>
        <v/>
      </c>
      <c r="K376" s="13" t="str">
        <f>IF($A376="","",[1]!thsiFinD("ths_adjustment_nv_fund",K$3,$A376))</f>
        <v/>
      </c>
      <c r="L376" s="13" t="str">
        <f>IF($A376="","",[1]!thsiFinD("ths_adjustment_nv_fund",L$3,$A376))</f>
        <v/>
      </c>
      <c r="M376" s="13" t="str">
        <f>IF($A376="","",[1]!thsiFinD("ths_adjustment_nv_fund",M$3,$A376))</f>
        <v/>
      </c>
      <c r="N376" s="13" t="str">
        <f>IF($A376="","",[1]!thsiFinD("ths_adjustment_nv_fund",N$3,$A376))</f>
        <v/>
      </c>
      <c r="O376" s="13" t="str">
        <f>IF($A376="","",[1]!thsiFinD("ths_adjustment_nv_fund",O$3,$A376))</f>
        <v/>
      </c>
      <c r="P376" s="13" t="str">
        <f>IF($A376="","",[1]!thsiFinD("ths_adjustment_nv_fund",P$3,$A376))</f>
        <v/>
      </c>
      <c r="Q376" s="13" t="str">
        <f>IF($A376="","",[1]!thsiFinD("ths_adjustment_nv_fund",Q$3,$A376))</f>
        <v/>
      </c>
      <c r="R376" s="13" t="str">
        <f>IF($A376="","",[1]!thsiFinD("ths_adjustment_nv_fund",R$3,$A376))</f>
        <v/>
      </c>
      <c r="S376" s="13" t="str">
        <f>IF($A376="","",[1]!thsiFinD("ths_adjustment_nv_fund",S$3,$A376))</f>
        <v/>
      </c>
      <c r="T376" s="13" t="str">
        <f>IF($A376="","",[1]!thsiFinD("ths_adjustment_nv_fund",T$3,$A376))</f>
        <v/>
      </c>
      <c r="U376" s="13" t="str">
        <f>IF($A376="","",[1]!thsiFinD("ths_adjustment_nv_fund",U$3,$A376))</f>
        <v/>
      </c>
      <c r="V376" s="13" t="str">
        <f>IF($A376="","",[1]!thsiFinD("ths_adjustment_nv_fund",V$3,$A376))</f>
        <v/>
      </c>
      <c r="W376" s="13" t="str">
        <f>IF($A376="","",[1]!thsiFinD("ths_adjustment_nv_fund",W$3,$A376))</f>
        <v/>
      </c>
      <c r="X376" s="13" t="str">
        <f>IF($A376="","",[1]!thsiFinD("ths_adjustment_nv_fund",X$3,$A376))</f>
        <v/>
      </c>
      <c r="Y376" s="13" t="str">
        <f>IF($A376="","",[1]!thsiFinD("ths_adjustment_nv_fund",Y$3,$A376))</f>
        <v/>
      </c>
      <c r="Z376" s="13" t="str">
        <f>IF($A376="","",[1]!thsiFinD("ths_adjustment_nv_fund",Z$3,$A376))</f>
        <v/>
      </c>
      <c r="AA376" s="13" t="str">
        <f>IF($A376="","",[1]!thsiFinD("ths_adjustment_nv_fund",AA$3,$A376))</f>
        <v/>
      </c>
      <c r="AB376" s="13" t="str">
        <f>IF($A376="","",[1]!thsiFinD("ths_adjustment_nv_fund",AB$3,$A376))</f>
        <v/>
      </c>
    </row>
    <row r="377" spans="2:28">
      <c r="B377" s="13" t="str">
        <f>IF($A377="","",[1]!thsiFinD("ths_adjustment_nv_fund",B$3,$A377))</f>
        <v/>
      </c>
      <c r="C377" s="13" t="str">
        <f>IF($A377="","",[1]!thsiFinD("ths_adjustment_nv_fund",C$3,$A377))</f>
        <v/>
      </c>
      <c r="D377" s="13" t="str">
        <f>IF($A377="","",[1]!thsiFinD("ths_adjustment_nv_fund",D$3,$A377))</f>
        <v/>
      </c>
      <c r="E377" s="13" t="str">
        <f>IF($A377="","",[1]!thsiFinD("ths_adjustment_nv_fund",E$3,$A377))</f>
        <v/>
      </c>
      <c r="F377" s="13" t="str">
        <f>IF($A377="","",[1]!thsiFinD("ths_adjustment_nv_fund",F$3,$A377))</f>
        <v/>
      </c>
      <c r="G377" s="13" t="str">
        <f>IF($A377="","",[1]!thsiFinD("ths_adjustment_nv_fund",G$3,$A377))</f>
        <v/>
      </c>
      <c r="H377" s="13" t="str">
        <f>IF($A377="","",[1]!thsiFinD("ths_adjustment_nv_fund",H$3,$A377))</f>
        <v/>
      </c>
      <c r="I377" s="13" t="str">
        <f>IF($A377="","",[1]!thsiFinD("ths_adjustment_nv_fund",I$3,$A377))</f>
        <v/>
      </c>
      <c r="J377" s="13" t="str">
        <f>IF($A377="","",[1]!thsiFinD("ths_adjustment_nv_fund",J$3,$A377))</f>
        <v/>
      </c>
      <c r="K377" s="13" t="str">
        <f>IF($A377="","",[1]!thsiFinD("ths_adjustment_nv_fund",K$3,$A377))</f>
        <v/>
      </c>
      <c r="L377" s="13" t="str">
        <f>IF($A377="","",[1]!thsiFinD("ths_adjustment_nv_fund",L$3,$A377))</f>
        <v/>
      </c>
      <c r="M377" s="13" t="str">
        <f>IF($A377="","",[1]!thsiFinD("ths_adjustment_nv_fund",M$3,$A377))</f>
        <v/>
      </c>
      <c r="N377" s="13" t="str">
        <f>IF($A377="","",[1]!thsiFinD("ths_adjustment_nv_fund",N$3,$A377))</f>
        <v/>
      </c>
      <c r="O377" s="13" t="str">
        <f>IF($A377="","",[1]!thsiFinD("ths_adjustment_nv_fund",O$3,$A377))</f>
        <v/>
      </c>
      <c r="P377" s="13" t="str">
        <f>IF($A377="","",[1]!thsiFinD("ths_adjustment_nv_fund",P$3,$A377))</f>
        <v/>
      </c>
      <c r="Q377" s="13" t="str">
        <f>IF($A377="","",[1]!thsiFinD("ths_adjustment_nv_fund",Q$3,$A377))</f>
        <v/>
      </c>
      <c r="R377" s="13" t="str">
        <f>IF($A377="","",[1]!thsiFinD("ths_adjustment_nv_fund",R$3,$A377))</f>
        <v/>
      </c>
      <c r="S377" s="13" t="str">
        <f>IF($A377="","",[1]!thsiFinD("ths_adjustment_nv_fund",S$3,$A377))</f>
        <v/>
      </c>
      <c r="T377" s="13" t="str">
        <f>IF($A377="","",[1]!thsiFinD("ths_adjustment_nv_fund",T$3,$A377))</f>
        <v/>
      </c>
      <c r="U377" s="13" t="str">
        <f>IF($A377="","",[1]!thsiFinD("ths_adjustment_nv_fund",U$3,$A377))</f>
        <v/>
      </c>
      <c r="V377" s="13" t="str">
        <f>IF($A377="","",[1]!thsiFinD("ths_adjustment_nv_fund",V$3,$A377))</f>
        <v/>
      </c>
      <c r="W377" s="13" t="str">
        <f>IF($A377="","",[1]!thsiFinD("ths_adjustment_nv_fund",W$3,$A377))</f>
        <v/>
      </c>
      <c r="X377" s="13" t="str">
        <f>IF($A377="","",[1]!thsiFinD("ths_adjustment_nv_fund",X$3,$A377))</f>
        <v/>
      </c>
      <c r="Y377" s="13" t="str">
        <f>IF($A377="","",[1]!thsiFinD("ths_adjustment_nv_fund",Y$3,$A377))</f>
        <v/>
      </c>
      <c r="Z377" s="13" t="str">
        <f>IF($A377="","",[1]!thsiFinD("ths_adjustment_nv_fund",Z$3,$A377))</f>
        <v/>
      </c>
      <c r="AA377" s="13" t="str">
        <f>IF($A377="","",[1]!thsiFinD("ths_adjustment_nv_fund",AA$3,$A377))</f>
        <v/>
      </c>
      <c r="AB377" s="13" t="str">
        <f>IF($A377="","",[1]!thsiFinD("ths_adjustment_nv_fund",AB$3,$A377))</f>
        <v/>
      </c>
    </row>
    <row r="378" spans="2:28">
      <c r="B378" s="13" t="str">
        <f>IF($A378="","",[1]!thsiFinD("ths_adjustment_nv_fund",B$3,$A378))</f>
        <v/>
      </c>
      <c r="C378" s="13" t="str">
        <f>IF($A378="","",[1]!thsiFinD("ths_adjustment_nv_fund",C$3,$A378))</f>
        <v/>
      </c>
      <c r="D378" s="13" t="str">
        <f>IF($A378="","",[1]!thsiFinD("ths_adjustment_nv_fund",D$3,$A378))</f>
        <v/>
      </c>
      <c r="E378" s="13" t="str">
        <f>IF($A378="","",[1]!thsiFinD("ths_adjustment_nv_fund",E$3,$A378))</f>
        <v/>
      </c>
      <c r="F378" s="13" t="str">
        <f>IF($A378="","",[1]!thsiFinD("ths_adjustment_nv_fund",F$3,$A378))</f>
        <v/>
      </c>
      <c r="G378" s="13" t="str">
        <f>IF($A378="","",[1]!thsiFinD("ths_adjustment_nv_fund",G$3,$A378))</f>
        <v/>
      </c>
      <c r="H378" s="13" t="str">
        <f>IF($A378="","",[1]!thsiFinD("ths_adjustment_nv_fund",H$3,$A378))</f>
        <v/>
      </c>
      <c r="I378" s="13" t="str">
        <f>IF($A378="","",[1]!thsiFinD("ths_adjustment_nv_fund",I$3,$A378))</f>
        <v/>
      </c>
      <c r="J378" s="13" t="str">
        <f>IF($A378="","",[1]!thsiFinD("ths_adjustment_nv_fund",J$3,$A378))</f>
        <v/>
      </c>
      <c r="K378" s="13" t="str">
        <f>IF($A378="","",[1]!thsiFinD("ths_adjustment_nv_fund",K$3,$A378))</f>
        <v/>
      </c>
      <c r="L378" s="13" t="str">
        <f>IF($A378="","",[1]!thsiFinD("ths_adjustment_nv_fund",L$3,$A378))</f>
        <v/>
      </c>
      <c r="M378" s="13" t="str">
        <f>IF($A378="","",[1]!thsiFinD("ths_adjustment_nv_fund",M$3,$A378))</f>
        <v/>
      </c>
      <c r="N378" s="13" t="str">
        <f>IF($A378="","",[1]!thsiFinD("ths_adjustment_nv_fund",N$3,$A378))</f>
        <v/>
      </c>
      <c r="O378" s="13" t="str">
        <f>IF($A378="","",[1]!thsiFinD("ths_adjustment_nv_fund",O$3,$A378))</f>
        <v/>
      </c>
      <c r="P378" s="13" t="str">
        <f>IF($A378="","",[1]!thsiFinD("ths_adjustment_nv_fund",P$3,$A378))</f>
        <v/>
      </c>
      <c r="Q378" s="13" t="str">
        <f>IF($A378="","",[1]!thsiFinD("ths_adjustment_nv_fund",Q$3,$A378))</f>
        <v/>
      </c>
      <c r="R378" s="13" t="str">
        <f>IF($A378="","",[1]!thsiFinD("ths_adjustment_nv_fund",R$3,$A378))</f>
        <v/>
      </c>
      <c r="S378" s="13" t="str">
        <f>IF($A378="","",[1]!thsiFinD("ths_adjustment_nv_fund",S$3,$A378))</f>
        <v/>
      </c>
      <c r="T378" s="13" t="str">
        <f>IF($A378="","",[1]!thsiFinD("ths_adjustment_nv_fund",T$3,$A378))</f>
        <v/>
      </c>
      <c r="U378" s="13" t="str">
        <f>IF($A378="","",[1]!thsiFinD("ths_adjustment_nv_fund",U$3,$A378))</f>
        <v/>
      </c>
      <c r="V378" s="13" t="str">
        <f>IF($A378="","",[1]!thsiFinD("ths_adjustment_nv_fund",V$3,$A378))</f>
        <v/>
      </c>
      <c r="W378" s="13" t="str">
        <f>IF($A378="","",[1]!thsiFinD("ths_adjustment_nv_fund",W$3,$A378))</f>
        <v/>
      </c>
      <c r="X378" s="13" t="str">
        <f>IF($A378="","",[1]!thsiFinD("ths_adjustment_nv_fund",X$3,$A378))</f>
        <v/>
      </c>
      <c r="Y378" s="13" t="str">
        <f>IF($A378="","",[1]!thsiFinD("ths_adjustment_nv_fund",Y$3,$A378))</f>
        <v/>
      </c>
      <c r="Z378" s="13" t="str">
        <f>IF($A378="","",[1]!thsiFinD("ths_adjustment_nv_fund",Z$3,$A378))</f>
        <v/>
      </c>
      <c r="AA378" s="13" t="str">
        <f>IF($A378="","",[1]!thsiFinD("ths_adjustment_nv_fund",AA$3,$A378))</f>
        <v/>
      </c>
      <c r="AB378" s="13" t="str">
        <f>IF($A378="","",[1]!thsiFinD("ths_adjustment_nv_fund",AB$3,$A378))</f>
        <v/>
      </c>
    </row>
    <row r="379" spans="2:28">
      <c r="B379" s="13" t="str">
        <f>IF($A379="","",[1]!thsiFinD("ths_adjustment_nv_fund",B$3,$A379))</f>
        <v/>
      </c>
      <c r="C379" s="13" t="str">
        <f>IF($A379="","",[1]!thsiFinD("ths_adjustment_nv_fund",C$3,$A379))</f>
        <v/>
      </c>
      <c r="D379" s="13" t="str">
        <f>IF($A379="","",[1]!thsiFinD("ths_adjustment_nv_fund",D$3,$A379))</f>
        <v/>
      </c>
      <c r="E379" s="13" t="str">
        <f>IF($A379="","",[1]!thsiFinD("ths_adjustment_nv_fund",E$3,$A379))</f>
        <v/>
      </c>
      <c r="F379" s="13" t="str">
        <f>IF($A379="","",[1]!thsiFinD("ths_adjustment_nv_fund",F$3,$A379))</f>
        <v/>
      </c>
      <c r="G379" s="13" t="str">
        <f>IF($A379="","",[1]!thsiFinD("ths_adjustment_nv_fund",G$3,$A379))</f>
        <v/>
      </c>
      <c r="H379" s="13" t="str">
        <f>IF($A379="","",[1]!thsiFinD("ths_adjustment_nv_fund",H$3,$A379))</f>
        <v/>
      </c>
      <c r="I379" s="13" t="str">
        <f>IF($A379="","",[1]!thsiFinD("ths_adjustment_nv_fund",I$3,$A379))</f>
        <v/>
      </c>
      <c r="J379" s="13" t="str">
        <f>IF($A379="","",[1]!thsiFinD("ths_adjustment_nv_fund",J$3,$A379))</f>
        <v/>
      </c>
      <c r="K379" s="13" t="str">
        <f>IF($A379="","",[1]!thsiFinD("ths_adjustment_nv_fund",K$3,$A379))</f>
        <v/>
      </c>
      <c r="L379" s="13" t="str">
        <f>IF($A379="","",[1]!thsiFinD("ths_adjustment_nv_fund",L$3,$A379))</f>
        <v/>
      </c>
      <c r="M379" s="13" t="str">
        <f>IF($A379="","",[1]!thsiFinD("ths_adjustment_nv_fund",M$3,$A379))</f>
        <v/>
      </c>
      <c r="N379" s="13" t="str">
        <f>IF($A379="","",[1]!thsiFinD("ths_adjustment_nv_fund",N$3,$A379))</f>
        <v/>
      </c>
      <c r="O379" s="13" t="str">
        <f>IF($A379="","",[1]!thsiFinD("ths_adjustment_nv_fund",O$3,$A379))</f>
        <v/>
      </c>
      <c r="P379" s="13" t="str">
        <f>IF($A379="","",[1]!thsiFinD("ths_adjustment_nv_fund",P$3,$A379))</f>
        <v/>
      </c>
      <c r="Q379" s="13" t="str">
        <f>IF($A379="","",[1]!thsiFinD("ths_adjustment_nv_fund",Q$3,$A379))</f>
        <v/>
      </c>
      <c r="R379" s="13" t="str">
        <f>IF($A379="","",[1]!thsiFinD("ths_adjustment_nv_fund",R$3,$A379))</f>
        <v/>
      </c>
      <c r="S379" s="13" t="str">
        <f>IF($A379="","",[1]!thsiFinD("ths_adjustment_nv_fund",S$3,$A379))</f>
        <v/>
      </c>
      <c r="T379" s="13" t="str">
        <f>IF($A379="","",[1]!thsiFinD("ths_adjustment_nv_fund",T$3,$A379))</f>
        <v/>
      </c>
      <c r="U379" s="13" t="str">
        <f>IF($A379="","",[1]!thsiFinD("ths_adjustment_nv_fund",U$3,$A379))</f>
        <v/>
      </c>
      <c r="V379" s="13" t="str">
        <f>IF($A379="","",[1]!thsiFinD("ths_adjustment_nv_fund",V$3,$A379))</f>
        <v/>
      </c>
      <c r="W379" s="13" t="str">
        <f>IF($A379="","",[1]!thsiFinD("ths_adjustment_nv_fund",W$3,$A379))</f>
        <v/>
      </c>
      <c r="X379" s="13" t="str">
        <f>IF($A379="","",[1]!thsiFinD("ths_adjustment_nv_fund",X$3,$A379))</f>
        <v/>
      </c>
      <c r="Y379" s="13" t="str">
        <f>IF($A379="","",[1]!thsiFinD("ths_adjustment_nv_fund",Y$3,$A379))</f>
        <v/>
      </c>
      <c r="Z379" s="13" t="str">
        <f>IF($A379="","",[1]!thsiFinD("ths_adjustment_nv_fund",Z$3,$A379))</f>
        <v/>
      </c>
      <c r="AA379" s="13" t="str">
        <f>IF($A379="","",[1]!thsiFinD("ths_adjustment_nv_fund",AA$3,$A379))</f>
        <v/>
      </c>
      <c r="AB379" s="13" t="str">
        <f>IF($A379="","",[1]!thsiFinD("ths_adjustment_nv_fund",AB$3,$A379))</f>
        <v/>
      </c>
    </row>
    <row r="380" spans="2:28">
      <c r="B380" s="13" t="str">
        <f>IF($A380="","",[1]!thsiFinD("ths_adjustment_nv_fund",B$3,$A380))</f>
        <v/>
      </c>
      <c r="C380" s="13" t="str">
        <f>IF($A380="","",[1]!thsiFinD("ths_adjustment_nv_fund",C$3,$A380))</f>
        <v/>
      </c>
      <c r="D380" s="13" t="str">
        <f>IF($A380="","",[1]!thsiFinD("ths_adjustment_nv_fund",D$3,$A380))</f>
        <v/>
      </c>
      <c r="E380" s="13" t="str">
        <f>IF($A380="","",[1]!thsiFinD("ths_adjustment_nv_fund",E$3,$A380))</f>
        <v/>
      </c>
      <c r="F380" s="13" t="str">
        <f>IF($A380="","",[1]!thsiFinD("ths_adjustment_nv_fund",F$3,$A380))</f>
        <v/>
      </c>
      <c r="G380" s="13" t="str">
        <f>IF($A380="","",[1]!thsiFinD("ths_adjustment_nv_fund",G$3,$A380))</f>
        <v/>
      </c>
      <c r="H380" s="13" t="str">
        <f>IF($A380="","",[1]!thsiFinD("ths_adjustment_nv_fund",H$3,$A380))</f>
        <v/>
      </c>
      <c r="I380" s="13" t="str">
        <f>IF($A380="","",[1]!thsiFinD("ths_adjustment_nv_fund",I$3,$A380))</f>
        <v/>
      </c>
      <c r="J380" s="13" t="str">
        <f>IF($A380="","",[1]!thsiFinD("ths_adjustment_nv_fund",J$3,$A380))</f>
        <v/>
      </c>
      <c r="K380" s="13" t="str">
        <f>IF($A380="","",[1]!thsiFinD("ths_adjustment_nv_fund",K$3,$A380))</f>
        <v/>
      </c>
      <c r="L380" s="13" t="str">
        <f>IF($A380="","",[1]!thsiFinD("ths_adjustment_nv_fund",L$3,$A380))</f>
        <v/>
      </c>
      <c r="M380" s="13" t="str">
        <f>IF($A380="","",[1]!thsiFinD("ths_adjustment_nv_fund",M$3,$A380))</f>
        <v/>
      </c>
      <c r="N380" s="13" t="str">
        <f>IF($A380="","",[1]!thsiFinD("ths_adjustment_nv_fund",N$3,$A380))</f>
        <v/>
      </c>
      <c r="O380" s="13" t="str">
        <f>IF($A380="","",[1]!thsiFinD("ths_adjustment_nv_fund",O$3,$A380))</f>
        <v/>
      </c>
      <c r="P380" s="13" t="str">
        <f>IF($A380="","",[1]!thsiFinD("ths_adjustment_nv_fund",P$3,$A380))</f>
        <v/>
      </c>
      <c r="Q380" s="13" t="str">
        <f>IF($A380="","",[1]!thsiFinD("ths_adjustment_nv_fund",Q$3,$A380))</f>
        <v/>
      </c>
      <c r="R380" s="13" t="str">
        <f>IF($A380="","",[1]!thsiFinD("ths_adjustment_nv_fund",R$3,$A380))</f>
        <v/>
      </c>
      <c r="S380" s="13" t="str">
        <f>IF($A380="","",[1]!thsiFinD("ths_adjustment_nv_fund",S$3,$A380))</f>
        <v/>
      </c>
      <c r="T380" s="13" t="str">
        <f>IF($A380="","",[1]!thsiFinD("ths_adjustment_nv_fund",T$3,$A380))</f>
        <v/>
      </c>
      <c r="U380" s="13" t="str">
        <f>IF($A380="","",[1]!thsiFinD("ths_adjustment_nv_fund",U$3,$A380))</f>
        <v/>
      </c>
      <c r="V380" s="13" t="str">
        <f>IF($A380="","",[1]!thsiFinD("ths_adjustment_nv_fund",V$3,$A380))</f>
        <v/>
      </c>
      <c r="W380" s="13" t="str">
        <f>IF($A380="","",[1]!thsiFinD("ths_adjustment_nv_fund",W$3,$A380))</f>
        <v/>
      </c>
      <c r="X380" s="13" t="str">
        <f>IF($A380="","",[1]!thsiFinD("ths_adjustment_nv_fund",X$3,$A380))</f>
        <v/>
      </c>
      <c r="Y380" s="13" t="str">
        <f>IF($A380="","",[1]!thsiFinD("ths_adjustment_nv_fund",Y$3,$A380))</f>
        <v/>
      </c>
      <c r="Z380" s="13" t="str">
        <f>IF($A380="","",[1]!thsiFinD("ths_adjustment_nv_fund",Z$3,$A380))</f>
        <v/>
      </c>
      <c r="AA380" s="13" t="str">
        <f>IF($A380="","",[1]!thsiFinD("ths_adjustment_nv_fund",AA$3,$A380))</f>
        <v/>
      </c>
      <c r="AB380" s="13" t="str">
        <f>IF($A380="","",[1]!thsiFinD("ths_adjustment_nv_fund",AB$3,$A380))</f>
        <v/>
      </c>
    </row>
    <row r="381" spans="2:28">
      <c r="B381" s="13" t="str">
        <f>IF($A381="","",[1]!thsiFinD("ths_adjustment_nv_fund",B$3,$A381))</f>
        <v/>
      </c>
      <c r="C381" s="13" t="str">
        <f>IF($A381="","",[1]!thsiFinD("ths_adjustment_nv_fund",C$3,$A381))</f>
        <v/>
      </c>
      <c r="D381" s="13" t="str">
        <f>IF($A381="","",[1]!thsiFinD("ths_adjustment_nv_fund",D$3,$A381))</f>
        <v/>
      </c>
      <c r="E381" s="13" t="str">
        <f>IF($A381="","",[1]!thsiFinD("ths_adjustment_nv_fund",E$3,$A381))</f>
        <v/>
      </c>
      <c r="F381" s="13" t="str">
        <f>IF($A381="","",[1]!thsiFinD("ths_adjustment_nv_fund",F$3,$A381))</f>
        <v/>
      </c>
      <c r="G381" s="13" t="str">
        <f>IF($A381="","",[1]!thsiFinD("ths_adjustment_nv_fund",G$3,$A381))</f>
        <v/>
      </c>
      <c r="H381" s="13" t="str">
        <f>IF($A381="","",[1]!thsiFinD("ths_adjustment_nv_fund",H$3,$A381))</f>
        <v/>
      </c>
      <c r="I381" s="13" t="str">
        <f>IF($A381="","",[1]!thsiFinD("ths_adjustment_nv_fund",I$3,$A381))</f>
        <v/>
      </c>
      <c r="J381" s="13" t="str">
        <f>IF($A381="","",[1]!thsiFinD("ths_adjustment_nv_fund",J$3,$A381))</f>
        <v/>
      </c>
      <c r="K381" s="13" t="str">
        <f>IF($A381="","",[1]!thsiFinD("ths_adjustment_nv_fund",K$3,$A381))</f>
        <v/>
      </c>
      <c r="L381" s="13" t="str">
        <f>IF($A381="","",[1]!thsiFinD("ths_adjustment_nv_fund",L$3,$A381))</f>
        <v/>
      </c>
      <c r="M381" s="13" t="str">
        <f>IF($A381="","",[1]!thsiFinD("ths_adjustment_nv_fund",M$3,$A381))</f>
        <v/>
      </c>
      <c r="N381" s="13" t="str">
        <f>IF($A381="","",[1]!thsiFinD("ths_adjustment_nv_fund",N$3,$A381))</f>
        <v/>
      </c>
      <c r="O381" s="13" t="str">
        <f>IF($A381="","",[1]!thsiFinD("ths_adjustment_nv_fund",O$3,$A381))</f>
        <v/>
      </c>
      <c r="P381" s="13" t="str">
        <f>IF($A381="","",[1]!thsiFinD("ths_adjustment_nv_fund",P$3,$A381))</f>
        <v/>
      </c>
      <c r="Q381" s="13" t="str">
        <f>IF($A381="","",[1]!thsiFinD("ths_adjustment_nv_fund",Q$3,$A381))</f>
        <v/>
      </c>
      <c r="R381" s="13" t="str">
        <f>IF($A381="","",[1]!thsiFinD("ths_adjustment_nv_fund",R$3,$A381))</f>
        <v/>
      </c>
      <c r="S381" s="13" t="str">
        <f>IF($A381="","",[1]!thsiFinD("ths_adjustment_nv_fund",S$3,$A381))</f>
        <v/>
      </c>
      <c r="T381" s="13" t="str">
        <f>IF($A381="","",[1]!thsiFinD("ths_adjustment_nv_fund",T$3,$A381))</f>
        <v/>
      </c>
      <c r="U381" s="13" t="str">
        <f>IF($A381="","",[1]!thsiFinD("ths_adjustment_nv_fund",U$3,$A381))</f>
        <v/>
      </c>
      <c r="V381" s="13" t="str">
        <f>IF($A381="","",[1]!thsiFinD("ths_adjustment_nv_fund",V$3,$A381))</f>
        <v/>
      </c>
      <c r="W381" s="13" t="str">
        <f>IF($A381="","",[1]!thsiFinD("ths_adjustment_nv_fund",W$3,$A381))</f>
        <v/>
      </c>
      <c r="X381" s="13" t="str">
        <f>IF($A381="","",[1]!thsiFinD("ths_adjustment_nv_fund",X$3,$A381))</f>
        <v/>
      </c>
      <c r="Y381" s="13" t="str">
        <f>IF($A381="","",[1]!thsiFinD("ths_adjustment_nv_fund",Y$3,$A381))</f>
        <v/>
      </c>
      <c r="Z381" s="13" t="str">
        <f>IF($A381="","",[1]!thsiFinD("ths_adjustment_nv_fund",Z$3,$A381))</f>
        <v/>
      </c>
      <c r="AA381" s="13" t="str">
        <f>IF($A381="","",[1]!thsiFinD("ths_adjustment_nv_fund",AA$3,$A381))</f>
        <v/>
      </c>
      <c r="AB381" s="13" t="str">
        <f>IF($A381="","",[1]!thsiFinD("ths_adjustment_nv_fund",AB$3,$A381))</f>
        <v/>
      </c>
    </row>
    <row r="382" spans="2:28">
      <c r="B382" s="13" t="str">
        <f>IF($A382="","",[1]!thsiFinD("ths_adjustment_nv_fund",B$3,$A382))</f>
        <v/>
      </c>
      <c r="C382" s="13" t="str">
        <f>IF($A382="","",[1]!thsiFinD("ths_adjustment_nv_fund",C$3,$A382))</f>
        <v/>
      </c>
      <c r="D382" s="13" t="str">
        <f>IF($A382="","",[1]!thsiFinD("ths_adjustment_nv_fund",D$3,$A382))</f>
        <v/>
      </c>
      <c r="E382" s="13" t="str">
        <f>IF($A382="","",[1]!thsiFinD("ths_adjustment_nv_fund",E$3,$A382))</f>
        <v/>
      </c>
      <c r="F382" s="13" t="str">
        <f>IF($A382="","",[1]!thsiFinD("ths_adjustment_nv_fund",F$3,$A382))</f>
        <v/>
      </c>
      <c r="G382" s="13" t="str">
        <f>IF($A382="","",[1]!thsiFinD("ths_adjustment_nv_fund",G$3,$A382))</f>
        <v/>
      </c>
      <c r="H382" s="13" t="str">
        <f>IF($A382="","",[1]!thsiFinD("ths_adjustment_nv_fund",H$3,$A382))</f>
        <v/>
      </c>
      <c r="I382" s="13" t="str">
        <f>IF($A382="","",[1]!thsiFinD("ths_adjustment_nv_fund",I$3,$A382))</f>
        <v/>
      </c>
      <c r="J382" s="13" t="str">
        <f>IF($A382="","",[1]!thsiFinD("ths_adjustment_nv_fund",J$3,$A382))</f>
        <v/>
      </c>
      <c r="K382" s="13" t="str">
        <f>IF($A382="","",[1]!thsiFinD("ths_adjustment_nv_fund",K$3,$A382))</f>
        <v/>
      </c>
      <c r="L382" s="13" t="str">
        <f>IF($A382="","",[1]!thsiFinD("ths_adjustment_nv_fund",L$3,$A382))</f>
        <v/>
      </c>
      <c r="M382" s="13" t="str">
        <f>IF($A382="","",[1]!thsiFinD("ths_adjustment_nv_fund",M$3,$A382))</f>
        <v/>
      </c>
      <c r="N382" s="13" t="str">
        <f>IF($A382="","",[1]!thsiFinD("ths_adjustment_nv_fund",N$3,$A382))</f>
        <v/>
      </c>
      <c r="O382" s="13" t="str">
        <f>IF($A382="","",[1]!thsiFinD("ths_adjustment_nv_fund",O$3,$A382))</f>
        <v/>
      </c>
      <c r="P382" s="13" t="str">
        <f>IF($A382="","",[1]!thsiFinD("ths_adjustment_nv_fund",P$3,$A382))</f>
        <v/>
      </c>
      <c r="Q382" s="13" t="str">
        <f>IF($A382="","",[1]!thsiFinD("ths_adjustment_nv_fund",Q$3,$A382))</f>
        <v/>
      </c>
      <c r="R382" s="13" t="str">
        <f>IF($A382="","",[1]!thsiFinD("ths_adjustment_nv_fund",R$3,$A382))</f>
        <v/>
      </c>
      <c r="S382" s="13" t="str">
        <f>IF($A382="","",[1]!thsiFinD("ths_adjustment_nv_fund",S$3,$A382))</f>
        <v/>
      </c>
      <c r="T382" s="13" t="str">
        <f>IF($A382="","",[1]!thsiFinD("ths_adjustment_nv_fund",T$3,$A382))</f>
        <v/>
      </c>
      <c r="U382" s="13" t="str">
        <f>IF($A382="","",[1]!thsiFinD("ths_adjustment_nv_fund",U$3,$A382))</f>
        <v/>
      </c>
      <c r="V382" s="13" t="str">
        <f>IF($A382="","",[1]!thsiFinD("ths_adjustment_nv_fund",V$3,$A382))</f>
        <v/>
      </c>
      <c r="W382" s="13" t="str">
        <f>IF($A382="","",[1]!thsiFinD("ths_adjustment_nv_fund",W$3,$A382))</f>
        <v/>
      </c>
      <c r="X382" s="13" t="str">
        <f>IF($A382="","",[1]!thsiFinD("ths_adjustment_nv_fund",X$3,$A382))</f>
        <v/>
      </c>
      <c r="Y382" s="13" t="str">
        <f>IF($A382="","",[1]!thsiFinD("ths_adjustment_nv_fund",Y$3,$A382))</f>
        <v/>
      </c>
      <c r="Z382" s="13" t="str">
        <f>IF($A382="","",[1]!thsiFinD("ths_adjustment_nv_fund",Z$3,$A382))</f>
        <v/>
      </c>
      <c r="AA382" s="13" t="str">
        <f>IF($A382="","",[1]!thsiFinD("ths_adjustment_nv_fund",AA$3,$A382))</f>
        <v/>
      </c>
      <c r="AB382" s="13" t="str">
        <f>IF($A382="","",[1]!thsiFinD("ths_adjustment_nv_fund",AB$3,$A382))</f>
        <v/>
      </c>
    </row>
    <row r="383" spans="2:28">
      <c r="B383" s="13" t="str">
        <f>IF($A383="","",[1]!thsiFinD("ths_adjustment_nv_fund",B$3,$A383))</f>
        <v/>
      </c>
      <c r="C383" s="13" t="str">
        <f>IF($A383="","",[1]!thsiFinD("ths_adjustment_nv_fund",C$3,$A383))</f>
        <v/>
      </c>
      <c r="D383" s="13" t="str">
        <f>IF($A383="","",[1]!thsiFinD("ths_adjustment_nv_fund",D$3,$A383))</f>
        <v/>
      </c>
      <c r="E383" s="13" t="str">
        <f>IF($A383="","",[1]!thsiFinD("ths_adjustment_nv_fund",E$3,$A383))</f>
        <v/>
      </c>
      <c r="F383" s="13" t="str">
        <f>IF($A383="","",[1]!thsiFinD("ths_adjustment_nv_fund",F$3,$A383))</f>
        <v/>
      </c>
      <c r="G383" s="13" t="str">
        <f>IF($A383="","",[1]!thsiFinD("ths_adjustment_nv_fund",G$3,$A383))</f>
        <v/>
      </c>
      <c r="H383" s="13" t="str">
        <f>IF($A383="","",[1]!thsiFinD("ths_adjustment_nv_fund",H$3,$A383))</f>
        <v/>
      </c>
      <c r="I383" s="13" t="str">
        <f>IF($A383="","",[1]!thsiFinD("ths_adjustment_nv_fund",I$3,$A383))</f>
        <v/>
      </c>
      <c r="J383" s="13" t="str">
        <f>IF($A383="","",[1]!thsiFinD("ths_adjustment_nv_fund",J$3,$A383))</f>
        <v/>
      </c>
      <c r="K383" s="13" t="str">
        <f>IF($A383="","",[1]!thsiFinD("ths_adjustment_nv_fund",K$3,$A383))</f>
        <v/>
      </c>
      <c r="L383" s="13" t="str">
        <f>IF($A383="","",[1]!thsiFinD("ths_adjustment_nv_fund",L$3,$A383))</f>
        <v/>
      </c>
      <c r="M383" s="13" t="str">
        <f>IF($A383="","",[1]!thsiFinD("ths_adjustment_nv_fund",M$3,$A383))</f>
        <v/>
      </c>
      <c r="N383" s="13" t="str">
        <f>IF($A383="","",[1]!thsiFinD("ths_adjustment_nv_fund",N$3,$A383))</f>
        <v/>
      </c>
      <c r="O383" s="13" t="str">
        <f>IF($A383="","",[1]!thsiFinD("ths_adjustment_nv_fund",O$3,$A383))</f>
        <v/>
      </c>
      <c r="P383" s="13" t="str">
        <f>IF($A383="","",[1]!thsiFinD("ths_adjustment_nv_fund",P$3,$A383))</f>
        <v/>
      </c>
      <c r="Q383" s="13" t="str">
        <f>IF($A383="","",[1]!thsiFinD("ths_adjustment_nv_fund",Q$3,$A383))</f>
        <v/>
      </c>
      <c r="R383" s="13" t="str">
        <f>IF($A383="","",[1]!thsiFinD("ths_adjustment_nv_fund",R$3,$A383))</f>
        <v/>
      </c>
      <c r="S383" s="13" t="str">
        <f>IF($A383="","",[1]!thsiFinD("ths_adjustment_nv_fund",S$3,$A383))</f>
        <v/>
      </c>
      <c r="T383" s="13" t="str">
        <f>IF($A383="","",[1]!thsiFinD("ths_adjustment_nv_fund",T$3,$A383))</f>
        <v/>
      </c>
      <c r="U383" s="13" t="str">
        <f>IF($A383="","",[1]!thsiFinD("ths_adjustment_nv_fund",U$3,$A383))</f>
        <v/>
      </c>
      <c r="V383" s="13" t="str">
        <f>IF($A383="","",[1]!thsiFinD("ths_adjustment_nv_fund",V$3,$A383))</f>
        <v/>
      </c>
      <c r="W383" s="13" t="str">
        <f>IF($A383="","",[1]!thsiFinD("ths_adjustment_nv_fund",W$3,$A383))</f>
        <v/>
      </c>
      <c r="X383" s="13" t="str">
        <f>IF($A383="","",[1]!thsiFinD("ths_adjustment_nv_fund",X$3,$A383))</f>
        <v/>
      </c>
      <c r="Y383" s="13" t="str">
        <f>IF($A383="","",[1]!thsiFinD("ths_adjustment_nv_fund",Y$3,$A383))</f>
        <v/>
      </c>
      <c r="Z383" s="13" t="str">
        <f>IF($A383="","",[1]!thsiFinD("ths_adjustment_nv_fund",Z$3,$A383))</f>
        <v/>
      </c>
      <c r="AA383" s="13" t="str">
        <f>IF($A383="","",[1]!thsiFinD("ths_adjustment_nv_fund",AA$3,$A383))</f>
        <v/>
      </c>
      <c r="AB383" s="13" t="str">
        <f>IF($A383="","",[1]!thsiFinD("ths_adjustment_nv_fund",AB$3,$A383))</f>
        <v/>
      </c>
    </row>
    <row r="384" spans="2:28">
      <c r="B384" s="13" t="str">
        <f>IF($A384="","",[1]!thsiFinD("ths_adjustment_nv_fund",B$3,$A384))</f>
        <v/>
      </c>
      <c r="C384" s="13" t="str">
        <f>IF($A384="","",[1]!thsiFinD("ths_adjustment_nv_fund",C$3,$A384))</f>
        <v/>
      </c>
      <c r="D384" s="13" t="str">
        <f>IF($A384="","",[1]!thsiFinD("ths_adjustment_nv_fund",D$3,$A384))</f>
        <v/>
      </c>
      <c r="E384" s="13" t="str">
        <f>IF($A384="","",[1]!thsiFinD("ths_adjustment_nv_fund",E$3,$A384))</f>
        <v/>
      </c>
      <c r="F384" s="13" t="str">
        <f>IF($A384="","",[1]!thsiFinD("ths_adjustment_nv_fund",F$3,$A384))</f>
        <v/>
      </c>
      <c r="G384" s="13" t="str">
        <f>IF($A384="","",[1]!thsiFinD("ths_adjustment_nv_fund",G$3,$A384))</f>
        <v/>
      </c>
      <c r="H384" s="13" t="str">
        <f>IF($A384="","",[1]!thsiFinD("ths_adjustment_nv_fund",H$3,$A384))</f>
        <v/>
      </c>
      <c r="I384" s="13" t="str">
        <f>IF($A384="","",[1]!thsiFinD("ths_adjustment_nv_fund",I$3,$A384))</f>
        <v/>
      </c>
      <c r="J384" s="13" t="str">
        <f>IF($A384="","",[1]!thsiFinD("ths_adjustment_nv_fund",J$3,$A384))</f>
        <v/>
      </c>
      <c r="K384" s="13" t="str">
        <f>IF($A384="","",[1]!thsiFinD("ths_adjustment_nv_fund",K$3,$A384))</f>
        <v/>
      </c>
      <c r="L384" s="13" t="str">
        <f>IF($A384="","",[1]!thsiFinD("ths_adjustment_nv_fund",L$3,$A384))</f>
        <v/>
      </c>
      <c r="M384" s="13" t="str">
        <f>IF($A384="","",[1]!thsiFinD("ths_adjustment_nv_fund",M$3,$A384))</f>
        <v/>
      </c>
      <c r="N384" s="13" t="str">
        <f>IF($A384="","",[1]!thsiFinD("ths_adjustment_nv_fund",N$3,$A384))</f>
        <v/>
      </c>
      <c r="O384" s="13" t="str">
        <f>IF($A384="","",[1]!thsiFinD("ths_adjustment_nv_fund",O$3,$A384))</f>
        <v/>
      </c>
      <c r="P384" s="13" t="str">
        <f>IF($A384="","",[1]!thsiFinD("ths_adjustment_nv_fund",P$3,$A384))</f>
        <v/>
      </c>
      <c r="Q384" s="13" t="str">
        <f>IF($A384="","",[1]!thsiFinD("ths_adjustment_nv_fund",Q$3,$A384))</f>
        <v/>
      </c>
      <c r="R384" s="13" t="str">
        <f>IF($A384="","",[1]!thsiFinD("ths_adjustment_nv_fund",R$3,$A384))</f>
        <v/>
      </c>
      <c r="S384" s="13" t="str">
        <f>IF($A384="","",[1]!thsiFinD("ths_adjustment_nv_fund",S$3,$A384))</f>
        <v/>
      </c>
      <c r="T384" s="13" t="str">
        <f>IF($A384="","",[1]!thsiFinD("ths_adjustment_nv_fund",T$3,$A384))</f>
        <v/>
      </c>
      <c r="U384" s="13" t="str">
        <f>IF($A384="","",[1]!thsiFinD("ths_adjustment_nv_fund",U$3,$A384))</f>
        <v/>
      </c>
      <c r="V384" s="13" t="str">
        <f>IF($A384="","",[1]!thsiFinD("ths_adjustment_nv_fund",V$3,$A384))</f>
        <v/>
      </c>
      <c r="W384" s="13" t="str">
        <f>IF($A384="","",[1]!thsiFinD("ths_adjustment_nv_fund",W$3,$A384))</f>
        <v/>
      </c>
      <c r="X384" s="13" t="str">
        <f>IF($A384="","",[1]!thsiFinD("ths_adjustment_nv_fund",X$3,$A384))</f>
        <v/>
      </c>
      <c r="Y384" s="13" t="str">
        <f>IF($A384="","",[1]!thsiFinD("ths_adjustment_nv_fund",Y$3,$A384))</f>
        <v/>
      </c>
      <c r="Z384" s="13" t="str">
        <f>IF($A384="","",[1]!thsiFinD("ths_adjustment_nv_fund",Z$3,$A384))</f>
        <v/>
      </c>
      <c r="AA384" s="13" t="str">
        <f>IF($A384="","",[1]!thsiFinD("ths_adjustment_nv_fund",AA$3,$A384))</f>
        <v/>
      </c>
      <c r="AB384" s="13" t="str">
        <f>IF($A384="","",[1]!thsiFinD("ths_adjustment_nv_fund",AB$3,$A384))</f>
        <v/>
      </c>
    </row>
    <row r="385" spans="2:28">
      <c r="B385" s="13" t="str">
        <f>IF($A385="","",[1]!thsiFinD("ths_adjustment_nv_fund",B$3,$A385))</f>
        <v/>
      </c>
      <c r="C385" s="13" t="str">
        <f>IF($A385="","",[1]!thsiFinD("ths_adjustment_nv_fund",C$3,$A385))</f>
        <v/>
      </c>
      <c r="D385" s="13" t="str">
        <f>IF($A385="","",[1]!thsiFinD("ths_adjustment_nv_fund",D$3,$A385))</f>
        <v/>
      </c>
      <c r="E385" s="13" t="str">
        <f>IF($A385="","",[1]!thsiFinD("ths_adjustment_nv_fund",E$3,$A385))</f>
        <v/>
      </c>
      <c r="F385" s="13" t="str">
        <f>IF($A385="","",[1]!thsiFinD("ths_adjustment_nv_fund",F$3,$A385))</f>
        <v/>
      </c>
      <c r="G385" s="13" t="str">
        <f>IF($A385="","",[1]!thsiFinD("ths_adjustment_nv_fund",G$3,$A385))</f>
        <v/>
      </c>
      <c r="H385" s="13" t="str">
        <f>IF($A385="","",[1]!thsiFinD("ths_adjustment_nv_fund",H$3,$A385))</f>
        <v/>
      </c>
      <c r="I385" s="13" t="str">
        <f>IF($A385="","",[1]!thsiFinD("ths_adjustment_nv_fund",I$3,$A385))</f>
        <v/>
      </c>
      <c r="J385" s="13" t="str">
        <f>IF($A385="","",[1]!thsiFinD("ths_adjustment_nv_fund",J$3,$A385))</f>
        <v/>
      </c>
      <c r="K385" s="13" t="str">
        <f>IF($A385="","",[1]!thsiFinD("ths_adjustment_nv_fund",K$3,$A385))</f>
        <v/>
      </c>
      <c r="L385" s="13" t="str">
        <f>IF($A385="","",[1]!thsiFinD("ths_adjustment_nv_fund",L$3,$A385))</f>
        <v/>
      </c>
      <c r="M385" s="13" t="str">
        <f>IF($A385="","",[1]!thsiFinD("ths_adjustment_nv_fund",M$3,$A385))</f>
        <v/>
      </c>
      <c r="N385" s="13" t="str">
        <f>IF($A385="","",[1]!thsiFinD("ths_adjustment_nv_fund",N$3,$A385))</f>
        <v/>
      </c>
      <c r="O385" s="13" t="str">
        <f>IF($A385="","",[1]!thsiFinD("ths_adjustment_nv_fund",O$3,$A385))</f>
        <v/>
      </c>
      <c r="P385" s="13" t="str">
        <f>IF($A385="","",[1]!thsiFinD("ths_adjustment_nv_fund",P$3,$A385))</f>
        <v/>
      </c>
      <c r="Q385" s="13" t="str">
        <f>IF($A385="","",[1]!thsiFinD("ths_adjustment_nv_fund",Q$3,$A385))</f>
        <v/>
      </c>
      <c r="R385" s="13" t="str">
        <f>IF($A385="","",[1]!thsiFinD("ths_adjustment_nv_fund",R$3,$A385))</f>
        <v/>
      </c>
      <c r="S385" s="13" t="str">
        <f>IF($A385="","",[1]!thsiFinD("ths_adjustment_nv_fund",S$3,$A385))</f>
        <v/>
      </c>
      <c r="T385" s="13" t="str">
        <f>IF($A385="","",[1]!thsiFinD("ths_adjustment_nv_fund",T$3,$A385))</f>
        <v/>
      </c>
      <c r="U385" s="13" t="str">
        <f>IF($A385="","",[1]!thsiFinD("ths_adjustment_nv_fund",U$3,$A385))</f>
        <v/>
      </c>
      <c r="V385" s="13" t="str">
        <f>IF($A385="","",[1]!thsiFinD("ths_adjustment_nv_fund",V$3,$A385))</f>
        <v/>
      </c>
      <c r="W385" s="13" t="str">
        <f>IF($A385="","",[1]!thsiFinD("ths_adjustment_nv_fund",W$3,$A385))</f>
        <v/>
      </c>
      <c r="X385" s="13" t="str">
        <f>IF($A385="","",[1]!thsiFinD("ths_adjustment_nv_fund",X$3,$A385))</f>
        <v/>
      </c>
      <c r="Y385" s="13" t="str">
        <f>IF($A385="","",[1]!thsiFinD("ths_adjustment_nv_fund",Y$3,$A385))</f>
        <v/>
      </c>
      <c r="Z385" s="13" t="str">
        <f>IF($A385="","",[1]!thsiFinD("ths_adjustment_nv_fund",Z$3,$A385))</f>
        <v/>
      </c>
      <c r="AA385" s="13" t="str">
        <f>IF($A385="","",[1]!thsiFinD("ths_adjustment_nv_fund",AA$3,$A385))</f>
        <v/>
      </c>
      <c r="AB385" s="13" t="str">
        <f>IF($A385="","",[1]!thsiFinD("ths_adjustment_nv_fund",AB$3,$A385))</f>
        <v/>
      </c>
    </row>
    <row r="386" spans="2:28">
      <c r="B386" s="13" t="str">
        <f>IF($A386="","",[1]!thsiFinD("ths_adjustment_nv_fund",B$3,$A386))</f>
        <v/>
      </c>
      <c r="C386" s="13" t="str">
        <f>IF($A386="","",[1]!thsiFinD("ths_adjustment_nv_fund",C$3,$A386))</f>
        <v/>
      </c>
      <c r="D386" s="13" t="str">
        <f>IF($A386="","",[1]!thsiFinD("ths_adjustment_nv_fund",D$3,$A386))</f>
        <v/>
      </c>
      <c r="E386" s="13" t="str">
        <f>IF($A386="","",[1]!thsiFinD("ths_adjustment_nv_fund",E$3,$A386))</f>
        <v/>
      </c>
      <c r="F386" s="13" t="str">
        <f>IF($A386="","",[1]!thsiFinD("ths_adjustment_nv_fund",F$3,$A386))</f>
        <v/>
      </c>
      <c r="G386" s="13" t="str">
        <f>IF($A386="","",[1]!thsiFinD("ths_adjustment_nv_fund",G$3,$A386))</f>
        <v/>
      </c>
      <c r="H386" s="13" t="str">
        <f>IF($A386="","",[1]!thsiFinD("ths_adjustment_nv_fund",H$3,$A386))</f>
        <v/>
      </c>
      <c r="I386" s="13" t="str">
        <f>IF($A386="","",[1]!thsiFinD("ths_adjustment_nv_fund",I$3,$A386))</f>
        <v/>
      </c>
      <c r="J386" s="13" t="str">
        <f>IF($A386="","",[1]!thsiFinD("ths_adjustment_nv_fund",J$3,$A386))</f>
        <v/>
      </c>
      <c r="K386" s="13" t="str">
        <f>IF($A386="","",[1]!thsiFinD("ths_adjustment_nv_fund",K$3,$A386))</f>
        <v/>
      </c>
      <c r="L386" s="13" t="str">
        <f>IF($A386="","",[1]!thsiFinD("ths_adjustment_nv_fund",L$3,$A386))</f>
        <v/>
      </c>
      <c r="M386" s="13" t="str">
        <f>IF($A386="","",[1]!thsiFinD("ths_adjustment_nv_fund",M$3,$A386))</f>
        <v/>
      </c>
      <c r="N386" s="13" t="str">
        <f>IF($A386="","",[1]!thsiFinD("ths_adjustment_nv_fund",N$3,$A386))</f>
        <v/>
      </c>
      <c r="O386" s="13" t="str">
        <f>IF($A386="","",[1]!thsiFinD("ths_adjustment_nv_fund",O$3,$A386))</f>
        <v/>
      </c>
      <c r="P386" s="13" t="str">
        <f>IF($A386="","",[1]!thsiFinD("ths_adjustment_nv_fund",P$3,$A386))</f>
        <v/>
      </c>
      <c r="Q386" s="13" t="str">
        <f>IF($A386="","",[1]!thsiFinD("ths_adjustment_nv_fund",Q$3,$A386))</f>
        <v/>
      </c>
      <c r="R386" s="13" t="str">
        <f>IF($A386="","",[1]!thsiFinD("ths_adjustment_nv_fund",R$3,$A386))</f>
        <v/>
      </c>
      <c r="S386" s="13" t="str">
        <f>IF($A386="","",[1]!thsiFinD("ths_adjustment_nv_fund",S$3,$A386))</f>
        <v/>
      </c>
      <c r="T386" s="13" t="str">
        <f>IF($A386="","",[1]!thsiFinD("ths_adjustment_nv_fund",T$3,$A386))</f>
        <v/>
      </c>
      <c r="U386" s="13" t="str">
        <f>IF($A386="","",[1]!thsiFinD("ths_adjustment_nv_fund",U$3,$A386))</f>
        <v/>
      </c>
      <c r="V386" s="13" t="str">
        <f>IF($A386="","",[1]!thsiFinD("ths_adjustment_nv_fund",V$3,$A386))</f>
        <v/>
      </c>
      <c r="W386" s="13" t="str">
        <f>IF($A386="","",[1]!thsiFinD("ths_adjustment_nv_fund",W$3,$A386))</f>
        <v/>
      </c>
      <c r="X386" s="13" t="str">
        <f>IF($A386="","",[1]!thsiFinD("ths_adjustment_nv_fund",X$3,$A386))</f>
        <v/>
      </c>
      <c r="Y386" s="13" t="str">
        <f>IF($A386="","",[1]!thsiFinD("ths_adjustment_nv_fund",Y$3,$A386))</f>
        <v/>
      </c>
      <c r="Z386" s="13" t="str">
        <f>IF($A386="","",[1]!thsiFinD("ths_adjustment_nv_fund",Z$3,$A386))</f>
        <v/>
      </c>
      <c r="AA386" s="13" t="str">
        <f>IF($A386="","",[1]!thsiFinD("ths_adjustment_nv_fund",AA$3,$A386))</f>
        <v/>
      </c>
      <c r="AB386" s="13" t="str">
        <f>IF($A386="","",[1]!thsiFinD("ths_adjustment_nv_fund",AB$3,$A386))</f>
        <v/>
      </c>
    </row>
    <row r="387" spans="2:28">
      <c r="B387" s="13" t="str">
        <f>IF($A387="","",[1]!thsiFinD("ths_adjustment_nv_fund",B$3,$A387))</f>
        <v/>
      </c>
      <c r="C387" s="13" t="str">
        <f>IF($A387="","",[1]!thsiFinD("ths_adjustment_nv_fund",C$3,$A387))</f>
        <v/>
      </c>
      <c r="D387" s="13" t="str">
        <f>IF($A387="","",[1]!thsiFinD("ths_adjustment_nv_fund",D$3,$A387))</f>
        <v/>
      </c>
      <c r="E387" s="13" t="str">
        <f>IF($A387="","",[1]!thsiFinD("ths_adjustment_nv_fund",E$3,$A387))</f>
        <v/>
      </c>
      <c r="F387" s="13" t="str">
        <f>IF($A387="","",[1]!thsiFinD("ths_adjustment_nv_fund",F$3,$A387))</f>
        <v/>
      </c>
      <c r="G387" s="13" t="str">
        <f>IF($A387="","",[1]!thsiFinD("ths_adjustment_nv_fund",G$3,$A387))</f>
        <v/>
      </c>
      <c r="H387" s="13" t="str">
        <f>IF($A387="","",[1]!thsiFinD("ths_adjustment_nv_fund",H$3,$A387))</f>
        <v/>
      </c>
      <c r="I387" s="13" t="str">
        <f>IF($A387="","",[1]!thsiFinD("ths_adjustment_nv_fund",I$3,$A387))</f>
        <v/>
      </c>
      <c r="J387" s="13" t="str">
        <f>IF($A387="","",[1]!thsiFinD("ths_adjustment_nv_fund",J$3,$A387))</f>
        <v/>
      </c>
      <c r="K387" s="13" t="str">
        <f>IF($A387="","",[1]!thsiFinD("ths_adjustment_nv_fund",K$3,$A387))</f>
        <v/>
      </c>
      <c r="L387" s="13" t="str">
        <f>IF($A387="","",[1]!thsiFinD("ths_adjustment_nv_fund",L$3,$A387))</f>
        <v/>
      </c>
      <c r="M387" s="13" t="str">
        <f>IF($A387="","",[1]!thsiFinD("ths_adjustment_nv_fund",M$3,$A387))</f>
        <v/>
      </c>
      <c r="N387" s="13" t="str">
        <f>IF($A387="","",[1]!thsiFinD("ths_adjustment_nv_fund",N$3,$A387))</f>
        <v/>
      </c>
      <c r="O387" s="13" t="str">
        <f>IF($A387="","",[1]!thsiFinD("ths_adjustment_nv_fund",O$3,$A387))</f>
        <v/>
      </c>
      <c r="P387" s="13" t="str">
        <f>IF($A387="","",[1]!thsiFinD("ths_adjustment_nv_fund",P$3,$A387))</f>
        <v/>
      </c>
      <c r="Q387" s="13" t="str">
        <f>IF($A387="","",[1]!thsiFinD("ths_adjustment_nv_fund",Q$3,$A387))</f>
        <v/>
      </c>
      <c r="R387" s="13" t="str">
        <f>IF($A387="","",[1]!thsiFinD("ths_adjustment_nv_fund",R$3,$A387))</f>
        <v/>
      </c>
      <c r="S387" s="13" t="str">
        <f>IF($A387="","",[1]!thsiFinD("ths_adjustment_nv_fund",S$3,$A387))</f>
        <v/>
      </c>
      <c r="T387" s="13" t="str">
        <f>IF($A387="","",[1]!thsiFinD("ths_adjustment_nv_fund",T$3,$A387))</f>
        <v/>
      </c>
      <c r="U387" s="13" t="str">
        <f>IF($A387="","",[1]!thsiFinD("ths_adjustment_nv_fund",U$3,$A387))</f>
        <v/>
      </c>
      <c r="V387" s="13" t="str">
        <f>IF($A387="","",[1]!thsiFinD("ths_adjustment_nv_fund",V$3,$A387))</f>
        <v/>
      </c>
      <c r="W387" s="13" t="str">
        <f>IF($A387="","",[1]!thsiFinD("ths_adjustment_nv_fund",W$3,$A387))</f>
        <v/>
      </c>
      <c r="X387" s="13" t="str">
        <f>IF($A387="","",[1]!thsiFinD("ths_adjustment_nv_fund",X$3,$A387))</f>
        <v/>
      </c>
      <c r="Y387" s="13" t="str">
        <f>IF($A387="","",[1]!thsiFinD("ths_adjustment_nv_fund",Y$3,$A387))</f>
        <v/>
      </c>
      <c r="Z387" s="13" t="str">
        <f>IF($A387="","",[1]!thsiFinD("ths_adjustment_nv_fund",Z$3,$A387))</f>
        <v/>
      </c>
      <c r="AA387" s="13" t="str">
        <f>IF($A387="","",[1]!thsiFinD("ths_adjustment_nv_fund",AA$3,$A387))</f>
        <v/>
      </c>
      <c r="AB387" s="13" t="str">
        <f>IF($A387="","",[1]!thsiFinD("ths_adjustment_nv_fund",AB$3,$A387))</f>
        <v/>
      </c>
    </row>
    <row r="388" spans="2:28">
      <c r="B388" s="13" t="str">
        <f>IF($A388="","",[1]!thsiFinD("ths_adjustment_nv_fund",B$3,$A388))</f>
        <v/>
      </c>
      <c r="C388" s="13" t="str">
        <f>IF($A388="","",[1]!thsiFinD("ths_adjustment_nv_fund",C$3,$A388))</f>
        <v/>
      </c>
      <c r="D388" s="13" t="str">
        <f>IF($A388="","",[1]!thsiFinD("ths_adjustment_nv_fund",D$3,$A388))</f>
        <v/>
      </c>
      <c r="E388" s="13" t="str">
        <f>IF($A388="","",[1]!thsiFinD("ths_adjustment_nv_fund",E$3,$A388))</f>
        <v/>
      </c>
      <c r="F388" s="13" t="str">
        <f>IF($A388="","",[1]!thsiFinD("ths_adjustment_nv_fund",F$3,$A388))</f>
        <v/>
      </c>
      <c r="G388" s="13" t="str">
        <f>IF($A388="","",[1]!thsiFinD("ths_adjustment_nv_fund",G$3,$A388))</f>
        <v/>
      </c>
      <c r="H388" s="13" t="str">
        <f>IF($A388="","",[1]!thsiFinD("ths_adjustment_nv_fund",H$3,$A388))</f>
        <v/>
      </c>
      <c r="I388" s="13" t="str">
        <f>IF($A388="","",[1]!thsiFinD("ths_adjustment_nv_fund",I$3,$A388))</f>
        <v/>
      </c>
      <c r="J388" s="13" t="str">
        <f>IF($A388="","",[1]!thsiFinD("ths_adjustment_nv_fund",J$3,$A388))</f>
        <v/>
      </c>
      <c r="K388" s="13" t="str">
        <f>IF($A388="","",[1]!thsiFinD("ths_adjustment_nv_fund",K$3,$A388))</f>
        <v/>
      </c>
      <c r="L388" s="13" t="str">
        <f>IF($A388="","",[1]!thsiFinD("ths_adjustment_nv_fund",L$3,$A388))</f>
        <v/>
      </c>
      <c r="M388" s="13" t="str">
        <f>IF($A388="","",[1]!thsiFinD("ths_adjustment_nv_fund",M$3,$A388))</f>
        <v/>
      </c>
      <c r="N388" s="13" t="str">
        <f>IF($A388="","",[1]!thsiFinD("ths_adjustment_nv_fund",N$3,$A388))</f>
        <v/>
      </c>
      <c r="O388" s="13" t="str">
        <f>IF($A388="","",[1]!thsiFinD("ths_adjustment_nv_fund",O$3,$A388))</f>
        <v/>
      </c>
      <c r="P388" s="13" t="str">
        <f>IF($A388="","",[1]!thsiFinD("ths_adjustment_nv_fund",P$3,$A388))</f>
        <v/>
      </c>
      <c r="Q388" s="13" t="str">
        <f>IF($A388="","",[1]!thsiFinD("ths_adjustment_nv_fund",Q$3,$A388))</f>
        <v/>
      </c>
      <c r="R388" s="13" t="str">
        <f>IF($A388="","",[1]!thsiFinD("ths_adjustment_nv_fund",R$3,$A388))</f>
        <v/>
      </c>
      <c r="S388" s="13" t="str">
        <f>IF($A388="","",[1]!thsiFinD("ths_adjustment_nv_fund",S$3,$A388))</f>
        <v/>
      </c>
      <c r="T388" s="13" t="str">
        <f>IF($A388="","",[1]!thsiFinD("ths_adjustment_nv_fund",T$3,$A388))</f>
        <v/>
      </c>
      <c r="U388" s="13" t="str">
        <f>IF($A388="","",[1]!thsiFinD("ths_adjustment_nv_fund",U$3,$A388))</f>
        <v/>
      </c>
      <c r="V388" s="13" t="str">
        <f>IF($A388="","",[1]!thsiFinD("ths_adjustment_nv_fund",V$3,$A388))</f>
        <v/>
      </c>
      <c r="W388" s="13" t="str">
        <f>IF($A388="","",[1]!thsiFinD("ths_adjustment_nv_fund",W$3,$A388))</f>
        <v/>
      </c>
      <c r="X388" s="13" t="str">
        <f>IF($A388="","",[1]!thsiFinD("ths_adjustment_nv_fund",X$3,$A388))</f>
        <v/>
      </c>
      <c r="Y388" s="13" t="str">
        <f>IF($A388="","",[1]!thsiFinD("ths_adjustment_nv_fund",Y$3,$A388))</f>
        <v/>
      </c>
      <c r="Z388" s="13" t="str">
        <f>IF($A388="","",[1]!thsiFinD("ths_adjustment_nv_fund",Z$3,$A388))</f>
        <v/>
      </c>
      <c r="AA388" s="13" t="str">
        <f>IF($A388="","",[1]!thsiFinD("ths_adjustment_nv_fund",AA$3,$A388))</f>
        <v/>
      </c>
      <c r="AB388" s="13" t="str">
        <f>IF($A388="","",[1]!thsiFinD("ths_adjustment_nv_fund",AB$3,$A388))</f>
        <v/>
      </c>
    </row>
    <row r="389" spans="2:28">
      <c r="B389" s="13" t="str">
        <f>IF($A389="","",[1]!thsiFinD("ths_adjustment_nv_fund",B$3,$A389))</f>
        <v/>
      </c>
      <c r="C389" s="13" t="str">
        <f>IF($A389="","",[1]!thsiFinD("ths_adjustment_nv_fund",C$3,$A389))</f>
        <v/>
      </c>
      <c r="D389" s="13" t="str">
        <f>IF($A389="","",[1]!thsiFinD("ths_adjustment_nv_fund",D$3,$A389))</f>
        <v/>
      </c>
      <c r="E389" s="13" t="str">
        <f>IF($A389="","",[1]!thsiFinD("ths_adjustment_nv_fund",E$3,$A389))</f>
        <v/>
      </c>
      <c r="F389" s="13" t="str">
        <f>IF($A389="","",[1]!thsiFinD("ths_adjustment_nv_fund",F$3,$A389))</f>
        <v/>
      </c>
      <c r="G389" s="13" t="str">
        <f>IF($A389="","",[1]!thsiFinD("ths_adjustment_nv_fund",G$3,$A389))</f>
        <v/>
      </c>
      <c r="H389" s="13" t="str">
        <f>IF($A389="","",[1]!thsiFinD("ths_adjustment_nv_fund",H$3,$A389))</f>
        <v/>
      </c>
      <c r="I389" s="13" t="str">
        <f>IF($A389="","",[1]!thsiFinD("ths_adjustment_nv_fund",I$3,$A389))</f>
        <v/>
      </c>
      <c r="J389" s="13" t="str">
        <f>IF($A389="","",[1]!thsiFinD("ths_adjustment_nv_fund",J$3,$A389))</f>
        <v/>
      </c>
      <c r="K389" s="13" t="str">
        <f>IF($A389="","",[1]!thsiFinD("ths_adjustment_nv_fund",K$3,$A389))</f>
        <v/>
      </c>
      <c r="L389" s="13" t="str">
        <f>IF($A389="","",[1]!thsiFinD("ths_adjustment_nv_fund",L$3,$A389))</f>
        <v/>
      </c>
      <c r="M389" s="13" t="str">
        <f>IF($A389="","",[1]!thsiFinD("ths_adjustment_nv_fund",M$3,$A389))</f>
        <v/>
      </c>
      <c r="N389" s="13" t="str">
        <f>IF($A389="","",[1]!thsiFinD("ths_adjustment_nv_fund",N$3,$A389))</f>
        <v/>
      </c>
      <c r="O389" s="13" t="str">
        <f>IF($A389="","",[1]!thsiFinD("ths_adjustment_nv_fund",O$3,$A389))</f>
        <v/>
      </c>
      <c r="P389" s="13" t="str">
        <f>IF($A389="","",[1]!thsiFinD("ths_adjustment_nv_fund",P$3,$A389))</f>
        <v/>
      </c>
      <c r="Q389" s="13" t="str">
        <f>IF($A389="","",[1]!thsiFinD("ths_adjustment_nv_fund",Q$3,$A389))</f>
        <v/>
      </c>
      <c r="R389" s="13" t="str">
        <f>IF($A389="","",[1]!thsiFinD("ths_adjustment_nv_fund",R$3,$A389))</f>
        <v/>
      </c>
      <c r="S389" s="13" t="str">
        <f>IF($A389="","",[1]!thsiFinD("ths_adjustment_nv_fund",S$3,$A389))</f>
        <v/>
      </c>
      <c r="T389" s="13" t="str">
        <f>IF($A389="","",[1]!thsiFinD("ths_adjustment_nv_fund",T$3,$A389))</f>
        <v/>
      </c>
      <c r="U389" s="13" t="str">
        <f>IF($A389="","",[1]!thsiFinD("ths_adjustment_nv_fund",U$3,$A389))</f>
        <v/>
      </c>
      <c r="V389" s="13" t="str">
        <f>IF($A389="","",[1]!thsiFinD("ths_adjustment_nv_fund",V$3,$A389))</f>
        <v/>
      </c>
      <c r="W389" s="13" t="str">
        <f>IF($A389="","",[1]!thsiFinD("ths_adjustment_nv_fund",W$3,$A389))</f>
        <v/>
      </c>
      <c r="X389" s="13" t="str">
        <f>IF($A389="","",[1]!thsiFinD("ths_adjustment_nv_fund",X$3,$A389))</f>
        <v/>
      </c>
      <c r="Y389" s="13" t="str">
        <f>IF($A389="","",[1]!thsiFinD("ths_adjustment_nv_fund",Y$3,$A389))</f>
        <v/>
      </c>
      <c r="Z389" s="13" t="str">
        <f>IF($A389="","",[1]!thsiFinD("ths_adjustment_nv_fund",Z$3,$A389))</f>
        <v/>
      </c>
      <c r="AA389" s="13" t="str">
        <f>IF($A389="","",[1]!thsiFinD("ths_adjustment_nv_fund",AA$3,$A389))</f>
        <v/>
      </c>
      <c r="AB389" s="13" t="str">
        <f>IF($A389="","",[1]!thsiFinD("ths_adjustment_nv_fund",AB$3,$A389))</f>
        <v/>
      </c>
    </row>
    <row r="390" spans="2:28">
      <c r="B390" s="13" t="str">
        <f>IF($A390="","",[1]!thsiFinD("ths_adjustment_nv_fund",B$3,$A390))</f>
        <v/>
      </c>
      <c r="C390" s="13" t="str">
        <f>IF($A390="","",[1]!thsiFinD("ths_adjustment_nv_fund",C$3,$A390))</f>
        <v/>
      </c>
      <c r="D390" s="13" t="str">
        <f>IF($A390="","",[1]!thsiFinD("ths_adjustment_nv_fund",D$3,$A390))</f>
        <v/>
      </c>
      <c r="E390" s="13" t="str">
        <f>IF($A390="","",[1]!thsiFinD("ths_adjustment_nv_fund",E$3,$A390))</f>
        <v/>
      </c>
      <c r="F390" s="13" t="str">
        <f>IF($A390="","",[1]!thsiFinD("ths_adjustment_nv_fund",F$3,$A390))</f>
        <v/>
      </c>
      <c r="G390" s="13" t="str">
        <f>IF($A390="","",[1]!thsiFinD("ths_adjustment_nv_fund",G$3,$A390))</f>
        <v/>
      </c>
      <c r="H390" s="13" t="str">
        <f>IF($A390="","",[1]!thsiFinD("ths_adjustment_nv_fund",H$3,$A390))</f>
        <v/>
      </c>
      <c r="I390" s="13" t="str">
        <f>IF($A390="","",[1]!thsiFinD("ths_adjustment_nv_fund",I$3,$A390))</f>
        <v/>
      </c>
      <c r="J390" s="13" t="str">
        <f>IF($A390="","",[1]!thsiFinD("ths_adjustment_nv_fund",J$3,$A390))</f>
        <v/>
      </c>
      <c r="K390" s="13" t="str">
        <f>IF($A390="","",[1]!thsiFinD("ths_adjustment_nv_fund",K$3,$A390))</f>
        <v/>
      </c>
      <c r="L390" s="13" t="str">
        <f>IF($A390="","",[1]!thsiFinD("ths_adjustment_nv_fund",L$3,$A390))</f>
        <v/>
      </c>
      <c r="M390" s="13" t="str">
        <f>IF($A390="","",[1]!thsiFinD("ths_adjustment_nv_fund",M$3,$A390))</f>
        <v/>
      </c>
      <c r="N390" s="13" t="str">
        <f>IF($A390="","",[1]!thsiFinD("ths_adjustment_nv_fund",N$3,$A390))</f>
        <v/>
      </c>
      <c r="O390" s="13" t="str">
        <f>IF($A390="","",[1]!thsiFinD("ths_adjustment_nv_fund",O$3,$A390))</f>
        <v/>
      </c>
      <c r="P390" s="13" t="str">
        <f>IF($A390="","",[1]!thsiFinD("ths_adjustment_nv_fund",P$3,$A390))</f>
        <v/>
      </c>
      <c r="Q390" s="13" t="str">
        <f>IF($A390="","",[1]!thsiFinD("ths_adjustment_nv_fund",Q$3,$A390))</f>
        <v/>
      </c>
      <c r="R390" s="13" t="str">
        <f>IF($A390="","",[1]!thsiFinD("ths_adjustment_nv_fund",R$3,$A390))</f>
        <v/>
      </c>
      <c r="S390" s="13" t="str">
        <f>IF($A390="","",[1]!thsiFinD("ths_adjustment_nv_fund",S$3,$A390))</f>
        <v/>
      </c>
      <c r="T390" s="13" t="str">
        <f>IF($A390="","",[1]!thsiFinD("ths_adjustment_nv_fund",T$3,$A390))</f>
        <v/>
      </c>
      <c r="U390" s="13" t="str">
        <f>IF($A390="","",[1]!thsiFinD("ths_adjustment_nv_fund",U$3,$A390))</f>
        <v/>
      </c>
      <c r="V390" s="13" t="str">
        <f>IF($A390="","",[1]!thsiFinD("ths_adjustment_nv_fund",V$3,$A390))</f>
        <v/>
      </c>
      <c r="W390" s="13" t="str">
        <f>IF($A390="","",[1]!thsiFinD("ths_adjustment_nv_fund",W$3,$A390))</f>
        <v/>
      </c>
      <c r="X390" s="13" t="str">
        <f>IF($A390="","",[1]!thsiFinD("ths_adjustment_nv_fund",X$3,$A390))</f>
        <v/>
      </c>
      <c r="Y390" s="13" t="str">
        <f>IF($A390="","",[1]!thsiFinD("ths_adjustment_nv_fund",Y$3,$A390))</f>
        <v/>
      </c>
      <c r="Z390" s="13" t="str">
        <f>IF($A390="","",[1]!thsiFinD("ths_adjustment_nv_fund",Z$3,$A390))</f>
        <v/>
      </c>
      <c r="AA390" s="13" t="str">
        <f>IF($A390="","",[1]!thsiFinD("ths_adjustment_nv_fund",AA$3,$A390))</f>
        <v/>
      </c>
      <c r="AB390" s="13" t="str">
        <f>IF($A390="","",[1]!thsiFinD("ths_adjustment_nv_fund",AB$3,$A390))</f>
        <v/>
      </c>
    </row>
    <row r="391" spans="2:28">
      <c r="B391" s="13" t="str">
        <f>IF($A391="","",[1]!thsiFinD("ths_adjustment_nv_fund",B$3,$A391))</f>
        <v/>
      </c>
      <c r="C391" s="13" t="str">
        <f>IF($A391="","",[1]!thsiFinD("ths_adjustment_nv_fund",C$3,$A391))</f>
        <v/>
      </c>
      <c r="D391" s="13" t="str">
        <f>IF($A391="","",[1]!thsiFinD("ths_adjustment_nv_fund",D$3,$A391))</f>
        <v/>
      </c>
      <c r="E391" s="13" t="str">
        <f>IF($A391="","",[1]!thsiFinD("ths_adjustment_nv_fund",E$3,$A391))</f>
        <v/>
      </c>
      <c r="F391" s="13" t="str">
        <f>IF($A391="","",[1]!thsiFinD("ths_adjustment_nv_fund",F$3,$A391))</f>
        <v/>
      </c>
      <c r="G391" s="13" t="str">
        <f>IF($A391="","",[1]!thsiFinD("ths_adjustment_nv_fund",G$3,$A391))</f>
        <v/>
      </c>
      <c r="H391" s="13" t="str">
        <f>IF($A391="","",[1]!thsiFinD("ths_adjustment_nv_fund",H$3,$A391))</f>
        <v/>
      </c>
      <c r="I391" s="13" t="str">
        <f>IF($A391="","",[1]!thsiFinD("ths_adjustment_nv_fund",I$3,$A391))</f>
        <v/>
      </c>
      <c r="J391" s="13" t="str">
        <f>IF($A391="","",[1]!thsiFinD("ths_adjustment_nv_fund",J$3,$A391))</f>
        <v/>
      </c>
      <c r="K391" s="13" t="str">
        <f>IF($A391="","",[1]!thsiFinD("ths_adjustment_nv_fund",K$3,$A391))</f>
        <v/>
      </c>
      <c r="L391" s="13" t="str">
        <f>IF($A391="","",[1]!thsiFinD("ths_adjustment_nv_fund",L$3,$A391))</f>
        <v/>
      </c>
      <c r="M391" s="13" t="str">
        <f>IF($A391="","",[1]!thsiFinD("ths_adjustment_nv_fund",M$3,$A391))</f>
        <v/>
      </c>
      <c r="N391" s="13" t="str">
        <f>IF($A391="","",[1]!thsiFinD("ths_adjustment_nv_fund",N$3,$A391))</f>
        <v/>
      </c>
      <c r="O391" s="13" t="str">
        <f>IF($A391="","",[1]!thsiFinD("ths_adjustment_nv_fund",O$3,$A391))</f>
        <v/>
      </c>
      <c r="P391" s="13" t="str">
        <f>IF($A391="","",[1]!thsiFinD("ths_adjustment_nv_fund",P$3,$A391))</f>
        <v/>
      </c>
      <c r="Q391" s="13" t="str">
        <f>IF($A391="","",[1]!thsiFinD("ths_adjustment_nv_fund",Q$3,$A391))</f>
        <v/>
      </c>
      <c r="R391" s="13" t="str">
        <f>IF($A391="","",[1]!thsiFinD("ths_adjustment_nv_fund",R$3,$A391))</f>
        <v/>
      </c>
      <c r="S391" s="13" t="str">
        <f>IF($A391="","",[1]!thsiFinD("ths_adjustment_nv_fund",S$3,$A391))</f>
        <v/>
      </c>
      <c r="T391" s="13" t="str">
        <f>IF($A391="","",[1]!thsiFinD("ths_adjustment_nv_fund",T$3,$A391))</f>
        <v/>
      </c>
      <c r="U391" s="13" t="str">
        <f>IF($A391="","",[1]!thsiFinD("ths_adjustment_nv_fund",U$3,$A391))</f>
        <v/>
      </c>
      <c r="V391" s="13" t="str">
        <f>IF($A391="","",[1]!thsiFinD("ths_adjustment_nv_fund",V$3,$A391))</f>
        <v/>
      </c>
      <c r="W391" s="13" t="str">
        <f>IF($A391="","",[1]!thsiFinD("ths_adjustment_nv_fund",W$3,$A391))</f>
        <v/>
      </c>
      <c r="X391" s="13" t="str">
        <f>IF($A391="","",[1]!thsiFinD("ths_adjustment_nv_fund",X$3,$A391))</f>
        <v/>
      </c>
      <c r="Y391" s="13" t="str">
        <f>IF($A391="","",[1]!thsiFinD("ths_adjustment_nv_fund",Y$3,$A391))</f>
        <v/>
      </c>
      <c r="Z391" s="13" t="str">
        <f>IF($A391="","",[1]!thsiFinD("ths_adjustment_nv_fund",Z$3,$A391))</f>
        <v/>
      </c>
      <c r="AA391" s="13" t="str">
        <f>IF($A391="","",[1]!thsiFinD("ths_adjustment_nv_fund",AA$3,$A391))</f>
        <v/>
      </c>
      <c r="AB391" s="13" t="str">
        <f>IF($A391="","",[1]!thsiFinD("ths_adjustment_nv_fund",AB$3,$A391))</f>
        <v/>
      </c>
    </row>
    <row r="392" spans="2:28">
      <c r="B392" s="13" t="str">
        <f>IF($A392="","",[1]!thsiFinD("ths_adjustment_nv_fund",B$3,$A392))</f>
        <v/>
      </c>
      <c r="C392" s="13" t="str">
        <f>IF($A392="","",[1]!thsiFinD("ths_adjustment_nv_fund",C$3,$A392))</f>
        <v/>
      </c>
      <c r="D392" s="13" t="str">
        <f>IF($A392="","",[1]!thsiFinD("ths_adjustment_nv_fund",D$3,$A392))</f>
        <v/>
      </c>
      <c r="E392" s="13" t="str">
        <f>IF($A392="","",[1]!thsiFinD("ths_adjustment_nv_fund",E$3,$A392))</f>
        <v/>
      </c>
      <c r="F392" s="13" t="str">
        <f>IF($A392="","",[1]!thsiFinD("ths_adjustment_nv_fund",F$3,$A392))</f>
        <v/>
      </c>
      <c r="G392" s="13" t="str">
        <f>IF($A392="","",[1]!thsiFinD("ths_adjustment_nv_fund",G$3,$A392))</f>
        <v/>
      </c>
      <c r="H392" s="13" t="str">
        <f>IF($A392="","",[1]!thsiFinD("ths_adjustment_nv_fund",H$3,$A392))</f>
        <v/>
      </c>
      <c r="I392" s="13" t="str">
        <f>IF($A392="","",[1]!thsiFinD("ths_adjustment_nv_fund",I$3,$A392))</f>
        <v/>
      </c>
      <c r="J392" s="13" t="str">
        <f>IF($A392="","",[1]!thsiFinD("ths_adjustment_nv_fund",J$3,$A392))</f>
        <v/>
      </c>
      <c r="K392" s="13" t="str">
        <f>IF($A392="","",[1]!thsiFinD("ths_adjustment_nv_fund",K$3,$A392))</f>
        <v/>
      </c>
      <c r="L392" s="13" t="str">
        <f>IF($A392="","",[1]!thsiFinD("ths_adjustment_nv_fund",L$3,$A392))</f>
        <v/>
      </c>
      <c r="M392" s="13" t="str">
        <f>IF($A392="","",[1]!thsiFinD("ths_adjustment_nv_fund",M$3,$A392))</f>
        <v/>
      </c>
      <c r="N392" s="13" t="str">
        <f>IF($A392="","",[1]!thsiFinD("ths_adjustment_nv_fund",N$3,$A392))</f>
        <v/>
      </c>
      <c r="O392" s="13" t="str">
        <f>IF($A392="","",[1]!thsiFinD("ths_adjustment_nv_fund",O$3,$A392))</f>
        <v/>
      </c>
      <c r="P392" s="13" t="str">
        <f>IF($A392="","",[1]!thsiFinD("ths_adjustment_nv_fund",P$3,$A392))</f>
        <v/>
      </c>
      <c r="Q392" s="13" t="str">
        <f>IF($A392="","",[1]!thsiFinD("ths_adjustment_nv_fund",Q$3,$A392))</f>
        <v/>
      </c>
      <c r="R392" s="13" t="str">
        <f>IF($A392="","",[1]!thsiFinD("ths_adjustment_nv_fund",R$3,$A392))</f>
        <v/>
      </c>
      <c r="S392" s="13" t="str">
        <f>IF($A392="","",[1]!thsiFinD("ths_adjustment_nv_fund",S$3,$A392))</f>
        <v/>
      </c>
      <c r="T392" s="13" t="str">
        <f>IF($A392="","",[1]!thsiFinD("ths_adjustment_nv_fund",T$3,$A392))</f>
        <v/>
      </c>
      <c r="U392" s="13" t="str">
        <f>IF($A392="","",[1]!thsiFinD("ths_adjustment_nv_fund",U$3,$A392))</f>
        <v/>
      </c>
      <c r="V392" s="13" t="str">
        <f>IF($A392="","",[1]!thsiFinD("ths_adjustment_nv_fund",V$3,$A392))</f>
        <v/>
      </c>
      <c r="W392" s="13" t="str">
        <f>IF($A392="","",[1]!thsiFinD("ths_adjustment_nv_fund",W$3,$A392))</f>
        <v/>
      </c>
      <c r="X392" s="13" t="str">
        <f>IF($A392="","",[1]!thsiFinD("ths_adjustment_nv_fund",X$3,$A392))</f>
        <v/>
      </c>
      <c r="Y392" s="13" t="str">
        <f>IF($A392="","",[1]!thsiFinD("ths_adjustment_nv_fund",Y$3,$A392))</f>
        <v/>
      </c>
      <c r="Z392" s="13" t="str">
        <f>IF($A392="","",[1]!thsiFinD("ths_adjustment_nv_fund",Z$3,$A392))</f>
        <v/>
      </c>
      <c r="AA392" s="13" t="str">
        <f>IF($A392="","",[1]!thsiFinD("ths_adjustment_nv_fund",AA$3,$A392))</f>
        <v/>
      </c>
      <c r="AB392" s="13" t="str">
        <f>IF($A392="","",[1]!thsiFinD("ths_adjustment_nv_fund",AB$3,$A392))</f>
        <v/>
      </c>
    </row>
    <row r="393" spans="2:28">
      <c r="B393" s="13" t="str">
        <f>IF($A393="","",[1]!thsiFinD("ths_adjustment_nv_fund",B$3,$A393))</f>
        <v/>
      </c>
      <c r="C393" s="13" t="str">
        <f>IF($A393="","",[1]!thsiFinD("ths_adjustment_nv_fund",C$3,$A393))</f>
        <v/>
      </c>
      <c r="D393" s="13" t="str">
        <f>IF($A393="","",[1]!thsiFinD("ths_adjustment_nv_fund",D$3,$A393))</f>
        <v/>
      </c>
      <c r="E393" s="13" t="str">
        <f>IF($A393="","",[1]!thsiFinD("ths_adjustment_nv_fund",E$3,$A393))</f>
        <v/>
      </c>
      <c r="F393" s="13" t="str">
        <f>IF($A393="","",[1]!thsiFinD("ths_adjustment_nv_fund",F$3,$A393))</f>
        <v/>
      </c>
      <c r="G393" s="13" t="str">
        <f>IF($A393="","",[1]!thsiFinD("ths_adjustment_nv_fund",G$3,$A393))</f>
        <v/>
      </c>
      <c r="H393" s="13" t="str">
        <f>IF($A393="","",[1]!thsiFinD("ths_adjustment_nv_fund",H$3,$A393))</f>
        <v/>
      </c>
      <c r="I393" s="13" t="str">
        <f>IF($A393="","",[1]!thsiFinD("ths_adjustment_nv_fund",I$3,$A393))</f>
        <v/>
      </c>
      <c r="J393" s="13" t="str">
        <f>IF($A393="","",[1]!thsiFinD("ths_adjustment_nv_fund",J$3,$A393))</f>
        <v/>
      </c>
      <c r="K393" s="13" t="str">
        <f>IF($A393="","",[1]!thsiFinD("ths_adjustment_nv_fund",K$3,$A393))</f>
        <v/>
      </c>
      <c r="L393" s="13" t="str">
        <f>IF($A393="","",[1]!thsiFinD("ths_adjustment_nv_fund",L$3,$A393))</f>
        <v/>
      </c>
      <c r="M393" s="13" t="str">
        <f>IF($A393="","",[1]!thsiFinD("ths_adjustment_nv_fund",M$3,$A393))</f>
        <v/>
      </c>
      <c r="N393" s="13" t="str">
        <f>IF($A393="","",[1]!thsiFinD("ths_adjustment_nv_fund",N$3,$A393))</f>
        <v/>
      </c>
      <c r="O393" s="13" t="str">
        <f>IF($A393="","",[1]!thsiFinD("ths_adjustment_nv_fund",O$3,$A393))</f>
        <v/>
      </c>
      <c r="P393" s="13" t="str">
        <f>IF($A393="","",[1]!thsiFinD("ths_adjustment_nv_fund",P$3,$A393))</f>
        <v/>
      </c>
      <c r="Q393" s="13" t="str">
        <f>IF($A393="","",[1]!thsiFinD("ths_adjustment_nv_fund",Q$3,$A393))</f>
        <v/>
      </c>
      <c r="R393" s="13" t="str">
        <f>IF($A393="","",[1]!thsiFinD("ths_adjustment_nv_fund",R$3,$A393))</f>
        <v/>
      </c>
      <c r="S393" s="13" t="str">
        <f>IF($A393="","",[1]!thsiFinD("ths_adjustment_nv_fund",S$3,$A393))</f>
        <v/>
      </c>
      <c r="T393" s="13" t="str">
        <f>IF($A393="","",[1]!thsiFinD("ths_adjustment_nv_fund",T$3,$A393))</f>
        <v/>
      </c>
      <c r="U393" s="13" t="str">
        <f>IF($A393="","",[1]!thsiFinD("ths_adjustment_nv_fund",U$3,$A393))</f>
        <v/>
      </c>
      <c r="V393" s="13" t="str">
        <f>IF($A393="","",[1]!thsiFinD("ths_adjustment_nv_fund",V$3,$A393))</f>
        <v/>
      </c>
      <c r="W393" s="13" t="str">
        <f>IF($A393="","",[1]!thsiFinD("ths_adjustment_nv_fund",W$3,$A393))</f>
        <v/>
      </c>
      <c r="X393" s="13" t="str">
        <f>IF($A393="","",[1]!thsiFinD("ths_adjustment_nv_fund",X$3,$A393))</f>
        <v/>
      </c>
      <c r="Y393" s="13" t="str">
        <f>IF($A393="","",[1]!thsiFinD("ths_adjustment_nv_fund",Y$3,$A393))</f>
        <v/>
      </c>
      <c r="Z393" s="13" t="str">
        <f>IF($A393="","",[1]!thsiFinD("ths_adjustment_nv_fund",Z$3,$A393))</f>
        <v/>
      </c>
      <c r="AA393" s="13" t="str">
        <f>IF($A393="","",[1]!thsiFinD("ths_adjustment_nv_fund",AA$3,$A393))</f>
        <v/>
      </c>
      <c r="AB393" s="13" t="str">
        <f>IF($A393="","",[1]!thsiFinD("ths_adjustment_nv_fund",AB$3,$A393))</f>
        <v/>
      </c>
    </row>
    <row r="394" spans="2:28">
      <c r="B394" s="13" t="str">
        <f>IF($A394="","",[1]!thsiFinD("ths_adjustment_nv_fund",B$3,$A394))</f>
        <v/>
      </c>
      <c r="C394" s="13" t="str">
        <f>IF($A394="","",[1]!thsiFinD("ths_adjustment_nv_fund",C$3,$A394))</f>
        <v/>
      </c>
      <c r="D394" s="13" t="str">
        <f>IF($A394="","",[1]!thsiFinD("ths_adjustment_nv_fund",D$3,$A394))</f>
        <v/>
      </c>
      <c r="E394" s="13" t="str">
        <f>IF($A394="","",[1]!thsiFinD("ths_adjustment_nv_fund",E$3,$A394))</f>
        <v/>
      </c>
      <c r="F394" s="13" t="str">
        <f>IF($A394="","",[1]!thsiFinD("ths_adjustment_nv_fund",F$3,$A394))</f>
        <v/>
      </c>
      <c r="G394" s="13" t="str">
        <f>IF($A394="","",[1]!thsiFinD("ths_adjustment_nv_fund",G$3,$A394))</f>
        <v/>
      </c>
      <c r="H394" s="13" t="str">
        <f>IF($A394="","",[1]!thsiFinD("ths_adjustment_nv_fund",H$3,$A394))</f>
        <v/>
      </c>
      <c r="I394" s="13" t="str">
        <f>IF($A394="","",[1]!thsiFinD("ths_adjustment_nv_fund",I$3,$A394))</f>
        <v/>
      </c>
      <c r="J394" s="13" t="str">
        <f>IF($A394="","",[1]!thsiFinD("ths_adjustment_nv_fund",J$3,$A394))</f>
        <v/>
      </c>
      <c r="K394" s="13" t="str">
        <f>IF($A394="","",[1]!thsiFinD("ths_adjustment_nv_fund",K$3,$A394))</f>
        <v/>
      </c>
      <c r="L394" s="13" t="str">
        <f>IF($A394="","",[1]!thsiFinD("ths_adjustment_nv_fund",L$3,$A394))</f>
        <v/>
      </c>
      <c r="M394" s="13" t="str">
        <f>IF($A394="","",[1]!thsiFinD("ths_adjustment_nv_fund",M$3,$A394))</f>
        <v/>
      </c>
      <c r="N394" s="13" t="str">
        <f>IF($A394="","",[1]!thsiFinD("ths_adjustment_nv_fund",N$3,$A394))</f>
        <v/>
      </c>
      <c r="O394" s="13" t="str">
        <f>IF($A394="","",[1]!thsiFinD("ths_adjustment_nv_fund",O$3,$A394))</f>
        <v/>
      </c>
      <c r="P394" s="13" t="str">
        <f>IF($A394="","",[1]!thsiFinD("ths_adjustment_nv_fund",P$3,$A394))</f>
        <v/>
      </c>
      <c r="Q394" s="13" t="str">
        <f>IF($A394="","",[1]!thsiFinD("ths_adjustment_nv_fund",Q$3,$A394))</f>
        <v/>
      </c>
      <c r="R394" s="13" t="str">
        <f>IF($A394="","",[1]!thsiFinD("ths_adjustment_nv_fund",R$3,$A394))</f>
        <v/>
      </c>
      <c r="S394" s="13" t="str">
        <f>IF($A394="","",[1]!thsiFinD("ths_adjustment_nv_fund",S$3,$A394))</f>
        <v/>
      </c>
      <c r="T394" s="13" t="str">
        <f>IF($A394="","",[1]!thsiFinD("ths_adjustment_nv_fund",T$3,$A394))</f>
        <v/>
      </c>
      <c r="U394" s="13" t="str">
        <f>IF($A394="","",[1]!thsiFinD("ths_adjustment_nv_fund",U$3,$A394))</f>
        <v/>
      </c>
      <c r="V394" s="13" t="str">
        <f>IF($A394="","",[1]!thsiFinD("ths_adjustment_nv_fund",V$3,$A394))</f>
        <v/>
      </c>
      <c r="W394" s="13" t="str">
        <f>IF($A394="","",[1]!thsiFinD("ths_adjustment_nv_fund",W$3,$A394))</f>
        <v/>
      </c>
      <c r="X394" s="13" t="str">
        <f>IF($A394="","",[1]!thsiFinD("ths_adjustment_nv_fund",X$3,$A394))</f>
        <v/>
      </c>
      <c r="Y394" s="13" t="str">
        <f>IF($A394="","",[1]!thsiFinD("ths_adjustment_nv_fund",Y$3,$A394))</f>
        <v/>
      </c>
      <c r="Z394" s="13" t="str">
        <f>IF($A394="","",[1]!thsiFinD("ths_adjustment_nv_fund",Z$3,$A394))</f>
        <v/>
      </c>
      <c r="AA394" s="13" t="str">
        <f>IF($A394="","",[1]!thsiFinD("ths_adjustment_nv_fund",AA$3,$A394))</f>
        <v/>
      </c>
      <c r="AB394" s="13" t="str">
        <f>IF($A394="","",[1]!thsiFinD("ths_adjustment_nv_fund",AB$3,$A394))</f>
        <v/>
      </c>
    </row>
    <row r="395" spans="2:28">
      <c r="B395" s="13" t="str">
        <f>IF($A395="","",[1]!thsiFinD("ths_adjustment_nv_fund",B$3,$A395))</f>
        <v/>
      </c>
      <c r="C395" s="13" t="str">
        <f>IF($A395="","",[1]!thsiFinD("ths_adjustment_nv_fund",C$3,$A395))</f>
        <v/>
      </c>
      <c r="D395" s="13" t="str">
        <f>IF($A395="","",[1]!thsiFinD("ths_adjustment_nv_fund",D$3,$A395))</f>
        <v/>
      </c>
      <c r="E395" s="13" t="str">
        <f>IF($A395="","",[1]!thsiFinD("ths_adjustment_nv_fund",E$3,$A395))</f>
        <v/>
      </c>
      <c r="F395" s="13" t="str">
        <f>IF($A395="","",[1]!thsiFinD("ths_adjustment_nv_fund",F$3,$A395))</f>
        <v/>
      </c>
      <c r="G395" s="13" t="str">
        <f>IF($A395="","",[1]!thsiFinD("ths_adjustment_nv_fund",G$3,$A395))</f>
        <v/>
      </c>
      <c r="H395" s="13" t="str">
        <f>IF($A395="","",[1]!thsiFinD("ths_adjustment_nv_fund",H$3,$A395))</f>
        <v/>
      </c>
      <c r="I395" s="13" t="str">
        <f>IF($A395="","",[1]!thsiFinD("ths_adjustment_nv_fund",I$3,$A395))</f>
        <v/>
      </c>
      <c r="J395" s="13" t="str">
        <f>IF($A395="","",[1]!thsiFinD("ths_adjustment_nv_fund",J$3,$A395))</f>
        <v/>
      </c>
      <c r="K395" s="13" t="str">
        <f>IF($A395="","",[1]!thsiFinD("ths_adjustment_nv_fund",K$3,$A395))</f>
        <v/>
      </c>
      <c r="L395" s="13" t="str">
        <f>IF($A395="","",[1]!thsiFinD("ths_adjustment_nv_fund",L$3,$A395))</f>
        <v/>
      </c>
      <c r="M395" s="13" t="str">
        <f>IF($A395="","",[1]!thsiFinD("ths_adjustment_nv_fund",M$3,$A395))</f>
        <v/>
      </c>
      <c r="N395" s="13" t="str">
        <f>IF($A395="","",[1]!thsiFinD("ths_adjustment_nv_fund",N$3,$A395))</f>
        <v/>
      </c>
      <c r="O395" s="13" t="str">
        <f>IF($A395="","",[1]!thsiFinD("ths_adjustment_nv_fund",O$3,$A395))</f>
        <v/>
      </c>
      <c r="P395" s="13" t="str">
        <f>IF($A395="","",[1]!thsiFinD("ths_adjustment_nv_fund",P$3,$A395))</f>
        <v/>
      </c>
      <c r="Q395" s="13" t="str">
        <f>IF($A395="","",[1]!thsiFinD("ths_adjustment_nv_fund",Q$3,$A395))</f>
        <v/>
      </c>
      <c r="R395" s="13" t="str">
        <f>IF($A395="","",[1]!thsiFinD("ths_adjustment_nv_fund",R$3,$A395))</f>
        <v/>
      </c>
      <c r="S395" s="13" t="str">
        <f>IF($A395="","",[1]!thsiFinD("ths_adjustment_nv_fund",S$3,$A395))</f>
        <v/>
      </c>
      <c r="T395" s="13" t="str">
        <f>IF($A395="","",[1]!thsiFinD("ths_adjustment_nv_fund",T$3,$A395))</f>
        <v/>
      </c>
      <c r="U395" s="13" t="str">
        <f>IF($A395="","",[1]!thsiFinD("ths_adjustment_nv_fund",U$3,$A395))</f>
        <v/>
      </c>
      <c r="V395" s="13" t="str">
        <f>IF($A395="","",[1]!thsiFinD("ths_adjustment_nv_fund",V$3,$A395))</f>
        <v/>
      </c>
      <c r="W395" s="13" t="str">
        <f>IF($A395="","",[1]!thsiFinD("ths_adjustment_nv_fund",W$3,$A395))</f>
        <v/>
      </c>
      <c r="X395" s="13" t="str">
        <f>IF($A395="","",[1]!thsiFinD("ths_adjustment_nv_fund",X$3,$A395))</f>
        <v/>
      </c>
      <c r="Y395" s="13" t="str">
        <f>IF($A395="","",[1]!thsiFinD("ths_adjustment_nv_fund",Y$3,$A395))</f>
        <v/>
      </c>
      <c r="Z395" s="13" t="str">
        <f>IF($A395="","",[1]!thsiFinD("ths_adjustment_nv_fund",Z$3,$A395))</f>
        <v/>
      </c>
      <c r="AA395" s="13" t="str">
        <f>IF($A395="","",[1]!thsiFinD("ths_adjustment_nv_fund",AA$3,$A395))</f>
        <v/>
      </c>
      <c r="AB395" s="13" t="str">
        <f>IF($A395="","",[1]!thsiFinD("ths_adjustment_nv_fund",AB$3,$A395))</f>
        <v/>
      </c>
    </row>
    <row r="396" spans="2:28">
      <c r="B396" s="13" t="str">
        <f>IF($A396="","",[1]!thsiFinD("ths_adjustment_nv_fund",B$3,$A396))</f>
        <v/>
      </c>
      <c r="C396" s="13" t="str">
        <f>IF($A396="","",[1]!thsiFinD("ths_adjustment_nv_fund",C$3,$A396))</f>
        <v/>
      </c>
      <c r="D396" s="13" t="str">
        <f>IF($A396="","",[1]!thsiFinD("ths_adjustment_nv_fund",D$3,$A396))</f>
        <v/>
      </c>
      <c r="E396" s="13" t="str">
        <f>IF($A396="","",[1]!thsiFinD("ths_adjustment_nv_fund",E$3,$A396))</f>
        <v/>
      </c>
      <c r="F396" s="13" t="str">
        <f>IF($A396="","",[1]!thsiFinD("ths_adjustment_nv_fund",F$3,$A396))</f>
        <v/>
      </c>
      <c r="G396" s="13" t="str">
        <f>IF($A396="","",[1]!thsiFinD("ths_adjustment_nv_fund",G$3,$A396))</f>
        <v/>
      </c>
      <c r="H396" s="13" t="str">
        <f>IF($A396="","",[1]!thsiFinD("ths_adjustment_nv_fund",H$3,$A396))</f>
        <v/>
      </c>
      <c r="I396" s="13" t="str">
        <f>IF($A396="","",[1]!thsiFinD("ths_adjustment_nv_fund",I$3,$A396))</f>
        <v/>
      </c>
      <c r="J396" s="13" t="str">
        <f>IF($A396="","",[1]!thsiFinD("ths_adjustment_nv_fund",J$3,$A396))</f>
        <v/>
      </c>
      <c r="K396" s="13" t="str">
        <f>IF($A396="","",[1]!thsiFinD("ths_adjustment_nv_fund",K$3,$A396))</f>
        <v/>
      </c>
      <c r="L396" s="13" t="str">
        <f>IF($A396="","",[1]!thsiFinD("ths_adjustment_nv_fund",L$3,$A396))</f>
        <v/>
      </c>
      <c r="M396" s="13" t="str">
        <f>IF($A396="","",[1]!thsiFinD("ths_adjustment_nv_fund",M$3,$A396))</f>
        <v/>
      </c>
      <c r="N396" s="13" t="str">
        <f>IF($A396="","",[1]!thsiFinD("ths_adjustment_nv_fund",N$3,$A396))</f>
        <v/>
      </c>
      <c r="O396" s="13" t="str">
        <f>IF($A396="","",[1]!thsiFinD("ths_adjustment_nv_fund",O$3,$A396))</f>
        <v/>
      </c>
      <c r="P396" s="13" t="str">
        <f>IF($A396="","",[1]!thsiFinD("ths_adjustment_nv_fund",P$3,$A396))</f>
        <v/>
      </c>
      <c r="Q396" s="13" t="str">
        <f>IF($A396="","",[1]!thsiFinD("ths_adjustment_nv_fund",Q$3,$A396))</f>
        <v/>
      </c>
      <c r="R396" s="13" t="str">
        <f>IF($A396="","",[1]!thsiFinD("ths_adjustment_nv_fund",R$3,$A396))</f>
        <v/>
      </c>
      <c r="S396" s="13" t="str">
        <f>IF($A396="","",[1]!thsiFinD("ths_adjustment_nv_fund",S$3,$A396))</f>
        <v/>
      </c>
      <c r="T396" s="13" t="str">
        <f>IF($A396="","",[1]!thsiFinD("ths_adjustment_nv_fund",T$3,$A396))</f>
        <v/>
      </c>
      <c r="U396" s="13" t="str">
        <f>IF($A396="","",[1]!thsiFinD("ths_adjustment_nv_fund",U$3,$A396))</f>
        <v/>
      </c>
      <c r="V396" s="13" t="str">
        <f>IF($A396="","",[1]!thsiFinD("ths_adjustment_nv_fund",V$3,$A396))</f>
        <v/>
      </c>
      <c r="W396" s="13" t="str">
        <f>IF($A396="","",[1]!thsiFinD("ths_adjustment_nv_fund",W$3,$A396))</f>
        <v/>
      </c>
      <c r="X396" s="13" t="str">
        <f>IF($A396="","",[1]!thsiFinD("ths_adjustment_nv_fund",X$3,$A396))</f>
        <v/>
      </c>
      <c r="Y396" s="13" t="str">
        <f>IF($A396="","",[1]!thsiFinD("ths_adjustment_nv_fund",Y$3,$A396))</f>
        <v/>
      </c>
      <c r="Z396" s="13" t="str">
        <f>IF($A396="","",[1]!thsiFinD("ths_adjustment_nv_fund",Z$3,$A396))</f>
        <v/>
      </c>
      <c r="AA396" s="13" t="str">
        <f>IF($A396="","",[1]!thsiFinD("ths_adjustment_nv_fund",AA$3,$A396))</f>
        <v/>
      </c>
      <c r="AB396" s="13" t="str">
        <f>IF($A396="","",[1]!thsiFinD("ths_adjustment_nv_fund",AB$3,$A396))</f>
        <v/>
      </c>
    </row>
    <row r="397" spans="2:28">
      <c r="B397" s="13" t="str">
        <f>IF($A397="","",[1]!thsiFinD("ths_adjustment_nv_fund",B$3,$A397))</f>
        <v/>
      </c>
      <c r="C397" s="13" t="str">
        <f>IF($A397="","",[1]!thsiFinD("ths_adjustment_nv_fund",C$3,$A397))</f>
        <v/>
      </c>
      <c r="D397" s="13" t="str">
        <f>IF($A397="","",[1]!thsiFinD("ths_adjustment_nv_fund",D$3,$A397))</f>
        <v/>
      </c>
      <c r="E397" s="13" t="str">
        <f>IF($A397="","",[1]!thsiFinD("ths_adjustment_nv_fund",E$3,$A397))</f>
        <v/>
      </c>
      <c r="F397" s="13" t="str">
        <f>IF($A397="","",[1]!thsiFinD("ths_adjustment_nv_fund",F$3,$A397))</f>
        <v/>
      </c>
      <c r="G397" s="13" t="str">
        <f>IF($A397="","",[1]!thsiFinD("ths_adjustment_nv_fund",G$3,$A397))</f>
        <v/>
      </c>
      <c r="H397" s="13" t="str">
        <f>IF($A397="","",[1]!thsiFinD("ths_adjustment_nv_fund",H$3,$A397))</f>
        <v/>
      </c>
      <c r="I397" s="13" t="str">
        <f>IF($A397="","",[1]!thsiFinD("ths_adjustment_nv_fund",I$3,$A397))</f>
        <v/>
      </c>
      <c r="J397" s="13" t="str">
        <f>IF($A397="","",[1]!thsiFinD("ths_adjustment_nv_fund",J$3,$A397))</f>
        <v/>
      </c>
      <c r="K397" s="13" t="str">
        <f>IF($A397="","",[1]!thsiFinD("ths_adjustment_nv_fund",K$3,$A397))</f>
        <v/>
      </c>
      <c r="L397" s="13" t="str">
        <f>IF($A397="","",[1]!thsiFinD("ths_adjustment_nv_fund",L$3,$A397))</f>
        <v/>
      </c>
      <c r="M397" s="13" t="str">
        <f>IF($A397="","",[1]!thsiFinD("ths_adjustment_nv_fund",M$3,$A397))</f>
        <v/>
      </c>
      <c r="N397" s="13" t="str">
        <f>IF($A397="","",[1]!thsiFinD("ths_adjustment_nv_fund",N$3,$A397))</f>
        <v/>
      </c>
      <c r="O397" s="13" t="str">
        <f>IF($A397="","",[1]!thsiFinD("ths_adjustment_nv_fund",O$3,$A397))</f>
        <v/>
      </c>
      <c r="P397" s="13" t="str">
        <f>IF($A397="","",[1]!thsiFinD("ths_adjustment_nv_fund",P$3,$A397))</f>
        <v/>
      </c>
      <c r="Q397" s="13" t="str">
        <f>IF($A397="","",[1]!thsiFinD("ths_adjustment_nv_fund",Q$3,$A397))</f>
        <v/>
      </c>
      <c r="R397" s="13" t="str">
        <f>IF($A397="","",[1]!thsiFinD("ths_adjustment_nv_fund",R$3,$A397))</f>
        <v/>
      </c>
      <c r="S397" s="13" t="str">
        <f>IF($A397="","",[1]!thsiFinD("ths_adjustment_nv_fund",S$3,$A397))</f>
        <v/>
      </c>
      <c r="T397" s="13" t="str">
        <f>IF($A397="","",[1]!thsiFinD("ths_adjustment_nv_fund",T$3,$A397))</f>
        <v/>
      </c>
      <c r="U397" s="13" t="str">
        <f>IF($A397="","",[1]!thsiFinD("ths_adjustment_nv_fund",U$3,$A397))</f>
        <v/>
      </c>
      <c r="V397" s="13" t="str">
        <f>IF($A397="","",[1]!thsiFinD("ths_adjustment_nv_fund",V$3,$A397))</f>
        <v/>
      </c>
      <c r="W397" s="13" t="str">
        <f>IF($A397="","",[1]!thsiFinD("ths_adjustment_nv_fund",W$3,$A397))</f>
        <v/>
      </c>
      <c r="X397" s="13" t="str">
        <f>IF($A397="","",[1]!thsiFinD("ths_adjustment_nv_fund",X$3,$A397))</f>
        <v/>
      </c>
      <c r="Y397" s="13" t="str">
        <f>IF($A397="","",[1]!thsiFinD("ths_adjustment_nv_fund",Y$3,$A397))</f>
        <v/>
      </c>
      <c r="Z397" s="13" t="str">
        <f>IF($A397="","",[1]!thsiFinD("ths_adjustment_nv_fund",Z$3,$A397))</f>
        <v/>
      </c>
      <c r="AA397" s="13" t="str">
        <f>IF($A397="","",[1]!thsiFinD("ths_adjustment_nv_fund",AA$3,$A397))</f>
        <v/>
      </c>
      <c r="AB397" s="13" t="str">
        <f>IF($A397="","",[1]!thsiFinD("ths_adjustment_nv_fund",AB$3,$A397))</f>
        <v/>
      </c>
    </row>
    <row r="398" spans="2:28">
      <c r="B398" s="13" t="str">
        <f>IF($A398="","",[1]!thsiFinD("ths_adjustment_nv_fund",B$3,$A398))</f>
        <v/>
      </c>
      <c r="C398" s="13" t="str">
        <f>IF($A398="","",[1]!thsiFinD("ths_adjustment_nv_fund",C$3,$A398))</f>
        <v/>
      </c>
      <c r="D398" s="13" t="str">
        <f>IF($A398="","",[1]!thsiFinD("ths_adjustment_nv_fund",D$3,$A398))</f>
        <v/>
      </c>
      <c r="E398" s="13" t="str">
        <f>IF($A398="","",[1]!thsiFinD("ths_adjustment_nv_fund",E$3,$A398))</f>
        <v/>
      </c>
      <c r="F398" s="13" t="str">
        <f>IF($A398="","",[1]!thsiFinD("ths_adjustment_nv_fund",F$3,$A398))</f>
        <v/>
      </c>
      <c r="G398" s="13" t="str">
        <f>IF($A398="","",[1]!thsiFinD("ths_adjustment_nv_fund",G$3,$A398))</f>
        <v/>
      </c>
      <c r="H398" s="13" t="str">
        <f>IF($A398="","",[1]!thsiFinD("ths_adjustment_nv_fund",H$3,$A398))</f>
        <v/>
      </c>
      <c r="I398" s="13" t="str">
        <f>IF($A398="","",[1]!thsiFinD("ths_adjustment_nv_fund",I$3,$A398))</f>
        <v/>
      </c>
      <c r="J398" s="13" t="str">
        <f>IF($A398="","",[1]!thsiFinD("ths_adjustment_nv_fund",J$3,$A398))</f>
        <v/>
      </c>
      <c r="K398" s="13" t="str">
        <f>IF($A398="","",[1]!thsiFinD("ths_adjustment_nv_fund",K$3,$A398))</f>
        <v/>
      </c>
      <c r="L398" s="13" t="str">
        <f>IF($A398="","",[1]!thsiFinD("ths_adjustment_nv_fund",L$3,$A398))</f>
        <v/>
      </c>
      <c r="M398" s="13" t="str">
        <f>IF($A398="","",[1]!thsiFinD("ths_adjustment_nv_fund",M$3,$A398))</f>
        <v/>
      </c>
      <c r="N398" s="13" t="str">
        <f>IF($A398="","",[1]!thsiFinD("ths_adjustment_nv_fund",N$3,$A398))</f>
        <v/>
      </c>
      <c r="O398" s="13" t="str">
        <f>IF($A398="","",[1]!thsiFinD("ths_adjustment_nv_fund",O$3,$A398))</f>
        <v/>
      </c>
      <c r="P398" s="13" t="str">
        <f>IF($A398="","",[1]!thsiFinD("ths_adjustment_nv_fund",P$3,$A398))</f>
        <v/>
      </c>
      <c r="Q398" s="13" t="str">
        <f>IF($A398="","",[1]!thsiFinD("ths_adjustment_nv_fund",Q$3,$A398))</f>
        <v/>
      </c>
      <c r="R398" s="13" t="str">
        <f>IF($A398="","",[1]!thsiFinD("ths_adjustment_nv_fund",R$3,$A398))</f>
        <v/>
      </c>
      <c r="S398" s="13" t="str">
        <f>IF($A398="","",[1]!thsiFinD("ths_adjustment_nv_fund",S$3,$A398))</f>
        <v/>
      </c>
      <c r="T398" s="13" t="str">
        <f>IF($A398="","",[1]!thsiFinD("ths_adjustment_nv_fund",T$3,$A398))</f>
        <v/>
      </c>
      <c r="U398" s="13" t="str">
        <f>IF($A398="","",[1]!thsiFinD("ths_adjustment_nv_fund",U$3,$A398))</f>
        <v/>
      </c>
      <c r="V398" s="13" t="str">
        <f>IF($A398="","",[1]!thsiFinD("ths_adjustment_nv_fund",V$3,$A398))</f>
        <v/>
      </c>
      <c r="W398" s="13" t="str">
        <f>IF($A398="","",[1]!thsiFinD("ths_adjustment_nv_fund",W$3,$A398))</f>
        <v/>
      </c>
      <c r="X398" s="13" t="str">
        <f>IF($A398="","",[1]!thsiFinD("ths_adjustment_nv_fund",X$3,$A398))</f>
        <v/>
      </c>
      <c r="Y398" s="13" t="str">
        <f>IF($A398="","",[1]!thsiFinD("ths_adjustment_nv_fund",Y$3,$A398))</f>
        <v/>
      </c>
      <c r="Z398" s="13" t="str">
        <f>IF($A398="","",[1]!thsiFinD("ths_adjustment_nv_fund",Z$3,$A398))</f>
        <v/>
      </c>
      <c r="AA398" s="13" t="str">
        <f>IF($A398="","",[1]!thsiFinD("ths_adjustment_nv_fund",AA$3,$A398))</f>
        <v/>
      </c>
      <c r="AB398" s="13" t="str">
        <f>IF($A398="","",[1]!thsiFinD("ths_adjustment_nv_fund",AB$3,$A398))</f>
        <v/>
      </c>
    </row>
    <row r="399" spans="2:28">
      <c r="B399" s="13" t="str">
        <f>IF($A399="","",[1]!thsiFinD("ths_adjustment_nv_fund",B$3,$A399))</f>
        <v/>
      </c>
      <c r="C399" s="13" t="str">
        <f>IF($A399="","",[1]!thsiFinD("ths_adjustment_nv_fund",C$3,$A399))</f>
        <v/>
      </c>
      <c r="D399" s="13" t="str">
        <f>IF($A399="","",[1]!thsiFinD("ths_adjustment_nv_fund",D$3,$A399))</f>
        <v/>
      </c>
      <c r="E399" s="13" t="str">
        <f>IF($A399="","",[1]!thsiFinD("ths_adjustment_nv_fund",E$3,$A399))</f>
        <v/>
      </c>
      <c r="F399" s="13" t="str">
        <f>IF($A399="","",[1]!thsiFinD("ths_adjustment_nv_fund",F$3,$A399))</f>
        <v/>
      </c>
      <c r="G399" s="13" t="str">
        <f>IF($A399="","",[1]!thsiFinD("ths_adjustment_nv_fund",G$3,$A399))</f>
        <v/>
      </c>
      <c r="H399" s="13" t="str">
        <f>IF($A399="","",[1]!thsiFinD("ths_adjustment_nv_fund",H$3,$A399))</f>
        <v/>
      </c>
      <c r="I399" s="13" t="str">
        <f>IF($A399="","",[1]!thsiFinD("ths_adjustment_nv_fund",I$3,$A399))</f>
        <v/>
      </c>
      <c r="J399" s="13" t="str">
        <f>IF($A399="","",[1]!thsiFinD("ths_adjustment_nv_fund",J$3,$A399))</f>
        <v/>
      </c>
      <c r="K399" s="13" t="str">
        <f>IF($A399="","",[1]!thsiFinD("ths_adjustment_nv_fund",K$3,$A399))</f>
        <v/>
      </c>
      <c r="L399" s="13" t="str">
        <f>IF($A399="","",[1]!thsiFinD("ths_adjustment_nv_fund",L$3,$A399))</f>
        <v/>
      </c>
      <c r="M399" s="13" t="str">
        <f>IF($A399="","",[1]!thsiFinD("ths_adjustment_nv_fund",M$3,$A399))</f>
        <v/>
      </c>
      <c r="N399" s="13" t="str">
        <f>IF($A399="","",[1]!thsiFinD("ths_adjustment_nv_fund",N$3,$A399))</f>
        <v/>
      </c>
      <c r="O399" s="13" t="str">
        <f>IF($A399="","",[1]!thsiFinD("ths_adjustment_nv_fund",O$3,$A399))</f>
        <v/>
      </c>
      <c r="P399" s="13" t="str">
        <f>IF($A399="","",[1]!thsiFinD("ths_adjustment_nv_fund",P$3,$A399))</f>
        <v/>
      </c>
      <c r="Q399" s="13" t="str">
        <f>IF($A399="","",[1]!thsiFinD("ths_adjustment_nv_fund",Q$3,$A399))</f>
        <v/>
      </c>
      <c r="R399" s="13" t="str">
        <f>IF($A399="","",[1]!thsiFinD("ths_adjustment_nv_fund",R$3,$A399))</f>
        <v/>
      </c>
      <c r="S399" s="13" t="str">
        <f>IF($A399="","",[1]!thsiFinD("ths_adjustment_nv_fund",S$3,$A399))</f>
        <v/>
      </c>
      <c r="T399" s="13" t="str">
        <f>IF($A399="","",[1]!thsiFinD("ths_adjustment_nv_fund",T$3,$A399))</f>
        <v/>
      </c>
      <c r="U399" s="13" t="str">
        <f>IF($A399="","",[1]!thsiFinD("ths_adjustment_nv_fund",U$3,$A399))</f>
        <v/>
      </c>
      <c r="V399" s="13" t="str">
        <f>IF($A399="","",[1]!thsiFinD("ths_adjustment_nv_fund",V$3,$A399))</f>
        <v/>
      </c>
      <c r="W399" s="13" t="str">
        <f>IF($A399="","",[1]!thsiFinD("ths_adjustment_nv_fund",W$3,$A399))</f>
        <v/>
      </c>
      <c r="X399" s="13" t="str">
        <f>IF($A399="","",[1]!thsiFinD("ths_adjustment_nv_fund",X$3,$A399))</f>
        <v/>
      </c>
      <c r="Y399" s="13" t="str">
        <f>IF($A399="","",[1]!thsiFinD("ths_adjustment_nv_fund",Y$3,$A399))</f>
        <v/>
      </c>
      <c r="Z399" s="13" t="str">
        <f>IF($A399="","",[1]!thsiFinD("ths_adjustment_nv_fund",Z$3,$A399))</f>
        <v/>
      </c>
      <c r="AA399" s="13" t="str">
        <f>IF($A399="","",[1]!thsiFinD("ths_adjustment_nv_fund",AA$3,$A399))</f>
        <v/>
      </c>
      <c r="AB399" s="13" t="str">
        <f>IF($A399="","",[1]!thsiFinD("ths_adjustment_nv_fund",AB$3,$A399))</f>
        <v/>
      </c>
    </row>
    <row r="400" spans="2:28">
      <c r="B400" s="13" t="str">
        <f>IF($A400="","",[1]!thsiFinD("ths_adjustment_nv_fund",B$3,$A400))</f>
        <v/>
      </c>
      <c r="C400" s="13" t="str">
        <f>IF($A400="","",[1]!thsiFinD("ths_adjustment_nv_fund",C$3,$A400))</f>
        <v/>
      </c>
      <c r="D400" s="13" t="str">
        <f>IF($A400="","",[1]!thsiFinD("ths_adjustment_nv_fund",D$3,$A400))</f>
        <v/>
      </c>
      <c r="E400" s="13" t="str">
        <f>IF($A400="","",[1]!thsiFinD("ths_adjustment_nv_fund",E$3,$A400))</f>
        <v/>
      </c>
      <c r="F400" s="13" t="str">
        <f>IF($A400="","",[1]!thsiFinD("ths_adjustment_nv_fund",F$3,$A400))</f>
        <v/>
      </c>
      <c r="G400" s="13" t="str">
        <f>IF($A400="","",[1]!thsiFinD("ths_adjustment_nv_fund",G$3,$A400))</f>
        <v/>
      </c>
      <c r="H400" s="13" t="str">
        <f>IF($A400="","",[1]!thsiFinD("ths_adjustment_nv_fund",H$3,$A400))</f>
        <v/>
      </c>
      <c r="I400" s="13" t="str">
        <f>IF($A400="","",[1]!thsiFinD("ths_adjustment_nv_fund",I$3,$A400))</f>
        <v/>
      </c>
      <c r="J400" s="13" t="str">
        <f>IF($A400="","",[1]!thsiFinD("ths_adjustment_nv_fund",J$3,$A400))</f>
        <v/>
      </c>
      <c r="K400" s="13" t="str">
        <f>IF($A400="","",[1]!thsiFinD("ths_adjustment_nv_fund",K$3,$A400))</f>
        <v/>
      </c>
      <c r="L400" s="13" t="str">
        <f>IF($A400="","",[1]!thsiFinD("ths_adjustment_nv_fund",L$3,$A400))</f>
        <v/>
      </c>
      <c r="M400" s="13" t="str">
        <f>IF($A400="","",[1]!thsiFinD("ths_adjustment_nv_fund",M$3,$A400))</f>
        <v/>
      </c>
      <c r="N400" s="13" t="str">
        <f>IF($A400="","",[1]!thsiFinD("ths_adjustment_nv_fund",N$3,$A400))</f>
        <v/>
      </c>
      <c r="O400" s="13" t="str">
        <f>IF($A400="","",[1]!thsiFinD("ths_adjustment_nv_fund",O$3,$A400))</f>
        <v/>
      </c>
      <c r="P400" s="13" t="str">
        <f>IF($A400="","",[1]!thsiFinD("ths_adjustment_nv_fund",P$3,$A400))</f>
        <v/>
      </c>
      <c r="Q400" s="13" t="str">
        <f>IF($A400="","",[1]!thsiFinD("ths_adjustment_nv_fund",Q$3,$A400))</f>
        <v/>
      </c>
      <c r="R400" s="13" t="str">
        <f>IF($A400="","",[1]!thsiFinD("ths_adjustment_nv_fund",R$3,$A400))</f>
        <v/>
      </c>
      <c r="S400" s="13" t="str">
        <f>IF($A400="","",[1]!thsiFinD("ths_adjustment_nv_fund",S$3,$A400))</f>
        <v/>
      </c>
      <c r="T400" s="13" t="str">
        <f>IF($A400="","",[1]!thsiFinD("ths_adjustment_nv_fund",T$3,$A400))</f>
        <v/>
      </c>
      <c r="U400" s="13" t="str">
        <f>IF($A400="","",[1]!thsiFinD("ths_adjustment_nv_fund",U$3,$A400))</f>
        <v/>
      </c>
      <c r="V400" s="13" t="str">
        <f>IF($A400="","",[1]!thsiFinD("ths_adjustment_nv_fund",V$3,$A400))</f>
        <v/>
      </c>
      <c r="W400" s="13" t="str">
        <f>IF($A400="","",[1]!thsiFinD("ths_adjustment_nv_fund",W$3,$A400))</f>
        <v/>
      </c>
      <c r="X400" s="13" t="str">
        <f>IF($A400="","",[1]!thsiFinD("ths_adjustment_nv_fund",X$3,$A400))</f>
        <v/>
      </c>
      <c r="Y400" s="13" t="str">
        <f>IF($A400="","",[1]!thsiFinD("ths_adjustment_nv_fund",Y$3,$A400))</f>
        <v/>
      </c>
      <c r="Z400" s="13" t="str">
        <f>IF($A400="","",[1]!thsiFinD("ths_adjustment_nv_fund",Z$3,$A400))</f>
        <v/>
      </c>
      <c r="AA400" s="13" t="str">
        <f>IF($A400="","",[1]!thsiFinD("ths_adjustment_nv_fund",AA$3,$A400))</f>
        <v/>
      </c>
      <c r="AB400" s="13" t="str">
        <f>IF($A400="","",[1]!thsiFinD("ths_adjustment_nv_fund",AB$3,$A400))</f>
        <v/>
      </c>
    </row>
    <row r="401" spans="2:28">
      <c r="B401" s="13" t="str">
        <f>IF($A401="","",[1]!thsiFinD("ths_adjustment_nv_fund",B$3,$A401))</f>
        <v/>
      </c>
      <c r="C401" s="13" t="str">
        <f>IF($A401="","",[1]!thsiFinD("ths_adjustment_nv_fund",C$3,$A401))</f>
        <v/>
      </c>
      <c r="D401" s="13" t="str">
        <f>IF($A401="","",[1]!thsiFinD("ths_adjustment_nv_fund",D$3,$A401))</f>
        <v/>
      </c>
      <c r="E401" s="13" t="str">
        <f>IF($A401="","",[1]!thsiFinD("ths_adjustment_nv_fund",E$3,$A401))</f>
        <v/>
      </c>
      <c r="F401" s="13" t="str">
        <f>IF($A401="","",[1]!thsiFinD("ths_adjustment_nv_fund",F$3,$A401))</f>
        <v/>
      </c>
      <c r="G401" s="13" t="str">
        <f>IF($A401="","",[1]!thsiFinD("ths_adjustment_nv_fund",G$3,$A401))</f>
        <v/>
      </c>
      <c r="H401" s="13" t="str">
        <f>IF($A401="","",[1]!thsiFinD("ths_adjustment_nv_fund",H$3,$A401))</f>
        <v/>
      </c>
      <c r="I401" s="13" t="str">
        <f>IF($A401="","",[1]!thsiFinD("ths_adjustment_nv_fund",I$3,$A401))</f>
        <v/>
      </c>
      <c r="J401" s="13" t="str">
        <f>IF($A401="","",[1]!thsiFinD("ths_adjustment_nv_fund",J$3,$A401))</f>
        <v/>
      </c>
      <c r="K401" s="13" t="str">
        <f>IF($A401="","",[1]!thsiFinD("ths_adjustment_nv_fund",K$3,$A401))</f>
        <v/>
      </c>
      <c r="L401" s="13" t="str">
        <f>IF($A401="","",[1]!thsiFinD("ths_adjustment_nv_fund",L$3,$A401))</f>
        <v/>
      </c>
      <c r="M401" s="13" t="str">
        <f>IF($A401="","",[1]!thsiFinD("ths_adjustment_nv_fund",M$3,$A401))</f>
        <v/>
      </c>
      <c r="N401" s="13" t="str">
        <f>IF($A401="","",[1]!thsiFinD("ths_adjustment_nv_fund",N$3,$A401))</f>
        <v/>
      </c>
      <c r="O401" s="13" t="str">
        <f>IF($A401="","",[1]!thsiFinD("ths_adjustment_nv_fund",O$3,$A401))</f>
        <v/>
      </c>
      <c r="P401" s="13" t="str">
        <f>IF($A401="","",[1]!thsiFinD("ths_adjustment_nv_fund",P$3,$A401))</f>
        <v/>
      </c>
      <c r="Q401" s="13" t="str">
        <f>IF($A401="","",[1]!thsiFinD("ths_adjustment_nv_fund",Q$3,$A401))</f>
        <v/>
      </c>
      <c r="R401" s="13" t="str">
        <f>IF($A401="","",[1]!thsiFinD("ths_adjustment_nv_fund",R$3,$A401))</f>
        <v/>
      </c>
      <c r="S401" s="13" t="str">
        <f>IF($A401="","",[1]!thsiFinD("ths_adjustment_nv_fund",S$3,$A401))</f>
        <v/>
      </c>
      <c r="T401" s="13" t="str">
        <f>IF($A401="","",[1]!thsiFinD("ths_adjustment_nv_fund",T$3,$A401))</f>
        <v/>
      </c>
      <c r="U401" s="13" t="str">
        <f>IF($A401="","",[1]!thsiFinD("ths_adjustment_nv_fund",U$3,$A401))</f>
        <v/>
      </c>
      <c r="V401" s="13" t="str">
        <f>IF($A401="","",[1]!thsiFinD("ths_adjustment_nv_fund",V$3,$A401))</f>
        <v/>
      </c>
      <c r="W401" s="13" t="str">
        <f>IF($A401="","",[1]!thsiFinD("ths_adjustment_nv_fund",W$3,$A401))</f>
        <v/>
      </c>
      <c r="X401" s="13" t="str">
        <f>IF($A401="","",[1]!thsiFinD("ths_adjustment_nv_fund",X$3,$A401))</f>
        <v/>
      </c>
      <c r="Y401" s="13" t="str">
        <f>IF($A401="","",[1]!thsiFinD("ths_adjustment_nv_fund",Y$3,$A401))</f>
        <v/>
      </c>
      <c r="Z401" s="13" t="str">
        <f>IF($A401="","",[1]!thsiFinD("ths_adjustment_nv_fund",Z$3,$A401))</f>
        <v/>
      </c>
      <c r="AA401" s="13" t="str">
        <f>IF($A401="","",[1]!thsiFinD("ths_adjustment_nv_fund",AA$3,$A401))</f>
        <v/>
      </c>
      <c r="AB401" s="13" t="str">
        <f>IF($A401="","",[1]!thsiFinD("ths_adjustment_nv_fund",AB$3,$A401))</f>
        <v/>
      </c>
    </row>
    <row r="402" spans="2:28">
      <c r="B402" s="13" t="str">
        <f>IF($A402="","",[1]!thsiFinD("ths_adjustment_nv_fund",B$3,$A402))</f>
        <v/>
      </c>
      <c r="C402" s="13" t="str">
        <f>IF($A402="","",[1]!thsiFinD("ths_adjustment_nv_fund",C$3,$A402))</f>
        <v/>
      </c>
      <c r="D402" s="13" t="str">
        <f>IF($A402="","",[1]!thsiFinD("ths_adjustment_nv_fund",D$3,$A402))</f>
        <v/>
      </c>
      <c r="E402" s="13" t="str">
        <f>IF($A402="","",[1]!thsiFinD("ths_adjustment_nv_fund",E$3,$A402))</f>
        <v/>
      </c>
      <c r="F402" s="13" t="str">
        <f>IF($A402="","",[1]!thsiFinD("ths_adjustment_nv_fund",F$3,$A402))</f>
        <v/>
      </c>
      <c r="G402" s="13" t="str">
        <f>IF($A402="","",[1]!thsiFinD("ths_adjustment_nv_fund",G$3,$A402))</f>
        <v/>
      </c>
      <c r="H402" s="13" t="str">
        <f>IF($A402="","",[1]!thsiFinD("ths_adjustment_nv_fund",H$3,$A402))</f>
        <v/>
      </c>
      <c r="I402" s="13" t="str">
        <f>IF($A402="","",[1]!thsiFinD("ths_adjustment_nv_fund",I$3,$A402))</f>
        <v/>
      </c>
      <c r="J402" s="13" t="str">
        <f>IF($A402="","",[1]!thsiFinD("ths_adjustment_nv_fund",J$3,$A402))</f>
        <v/>
      </c>
      <c r="K402" s="13" t="str">
        <f>IF($A402="","",[1]!thsiFinD("ths_adjustment_nv_fund",K$3,$A402))</f>
        <v/>
      </c>
      <c r="L402" s="13" t="str">
        <f>IF($A402="","",[1]!thsiFinD("ths_adjustment_nv_fund",L$3,$A402))</f>
        <v/>
      </c>
      <c r="M402" s="13" t="str">
        <f>IF($A402="","",[1]!thsiFinD("ths_adjustment_nv_fund",M$3,$A402))</f>
        <v/>
      </c>
      <c r="N402" s="13" t="str">
        <f>IF($A402="","",[1]!thsiFinD("ths_adjustment_nv_fund",N$3,$A402))</f>
        <v/>
      </c>
      <c r="O402" s="13" t="str">
        <f>IF($A402="","",[1]!thsiFinD("ths_adjustment_nv_fund",O$3,$A402))</f>
        <v/>
      </c>
      <c r="P402" s="13" t="str">
        <f>IF($A402="","",[1]!thsiFinD("ths_adjustment_nv_fund",P$3,$A402))</f>
        <v/>
      </c>
      <c r="Q402" s="13" t="str">
        <f>IF($A402="","",[1]!thsiFinD("ths_adjustment_nv_fund",Q$3,$A402))</f>
        <v/>
      </c>
      <c r="R402" s="13" t="str">
        <f>IF($A402="","",[1]!thsiFinD("ths_adjustment_nv_fund",R$3,$A402))</f>
        <v/>
      </c>
      <c r="S402" s="13" t="str">
        <f>IF($A402="","",[1]!thsiFinD("ths_adjustment_nv_fund",S$3,$A402))</f>
        <v/>
      </c>
      <c r="T402" s="13" t="str">
        <f>IF($A402="","",[1]!thsiFinD("ths_adjustment_nv_fund",T$3,$A402))</f>
        <v/>
      </c>
      <c r="U402" s="13" t="str">
        <f>IF($A402="","",[1]!thsiFinD("ths_adjustment_nv_fund",U$3,$A402))</f>
        <v/>
      </c>
      <c r="V402" s="13" t="str">
        <f>IF($A402="","",[1]!thsiFinD("ths_adjustment_nv_fund",V$3,$A402))</f>
        <v/>
      </c>
      <c r="W402" s="13" t="str">
        <f>IF($A402="","",[1]!thsiFinD("ths_adjustment_nv_fund",W$3,$A402))</f>
        <v/>
      </c>
      <c r="X402" s="13" t="str">
        <f>IF($A402="","",[1]!thsiFinD("ths_adjustment_nv_fund",X$3,$A402))</f>
        <v/>
      </c>
      <c r="Y402" s="13" t="str">
        <f>IF($A402="","",[1]!thsiFinD("ths_adjustment_nv_fund",Y$3,$A402))</f>
        <v/>
      </c>
      <c r="Z402" s="13" t="str">
        <f>IF($A402="","",[1]!thsiFinD("ths_adjustment_nv_fund",Z$3,$A402))</f>
        <v/>
      </c>
      <c r="AA402" s="13" t="str">
        <f>IF($A402="","",[1]!thsiFinD("ths_adjustment_nv_fund",AA$3,$A402))</f>
        <v/>
      </c>
      <c r="AB402" s="13" t="str">
        <f>IF($A402="","",[1]!thsiFinD("ths_adjustment_nv_fund",AB$3,$A402))</f>
        <v/>
      </c>
    </row>
    <row r="403" spans="2:28">
      <c r="B403" s="13" t="str">
        <f>IF($A403="","",[1]!thsiFinD("ths_adjustment_nv_fund",B$3,$A403))</f>
        <v/>
      </c>
      <c r="C403" s="13" t="str">
        <f>IF($A403="","",[1]!thsiFinD("ths_adjustment_nv_fund",C$3,$A403))</f>
        <v/>
      </c>
      <c r="D403" s="13" t="str">
        <f>IF($A403="","",[1]!thsiFinD("ths_adjustment_nv_fund",D$3,$A403))</f>
        <v/>
      </c>
      <c r="E403" s="13" t="str">
        <f>IF($A403="","",[1]!thsiFinD("ths_adjustment_nv_fund",E$3,$A403))</f>
        <v/>
      </c>
      <c r="F403" s="13" t="str">
        <f>IF($A403="","",[1]!thsiFinD("ths_adjustment_nv_fund",F$3,$A403))</f>
        <v/>
      </c>
      <c r="G403" s="13" t="str">
        <f>IF($A403="","",[1]!thsiFinD("ths_adjustment_nv_fund",G$3,$A403))</f>
        <v/>
      </c>
      <c r="H403" s="13" t="str">
        <f>IF($A403="","",[1]!thsiFinD("ths_adjustment_nv_fund",H$3,$A403))</f>
        <v/>
      </c>
      <c r="I403" s="13" t="str">
        <f>IF($A403="","",[1]!thsiFinD("ths_adjustment_nv_fund",I$3,$A403))</f>
        <v/>
      </c>
      <c r="J403" s="13" t="str">
        <f>IF($A403="","",[1]!thsiFinD("ths_adjustment_nv_fund",J$3,$A403))</f>
        <v/>
      </c>
      <c r="K403" s="13" t="str">
        <f>IF($A403="","",[1]!thsiFinD("ths_adjustment_nv_fund",K$3,$A403))</f>
        <v/>
      </c>
      <c r="L403" s="13" t="str">
        <f>IF($A403="","",[1]!thsiFinD("ths_adjustment_nv_fund",L$3,$A403))</f>
        <v/>
      </c>
      <c r="M403" s="13" t="str">
        <f>IF($A403="","",[1]!thsiFinD("ths_adjustment_nv_fund",M$3,$A403))</f>
        <v/>
      </c>
      <c r="N403" s="13" t="str">
        <f>IF($A403="","",[1]!thsiFinD("ths_adjustment_nv_fund",N$3,$A403))</f>
        <v/>
      </c>
      <c r="O403" s="13" t="str">
        <f>IF($A403="","",[1]!thsiFinD("ths_adjustment_nv_fund",O$3,$A403))</f>
        <v/>
      </c>
      <c r="P403" s="13" t="str">
        <f>IF($A403="","",[1]!thsiFinD("ths_adjustment_nv_fund",P$3,$A403))</f>
        <v/>
      </c>
      <c r="Q403" s="13" t="str">
        <f>IF($A403="","",[1]!thsiFinD("ths_adjustment_nv_fund",Q$3,$A403))</f>
        <v/>
      </c>
      <c r="R403" s="13" t="str">
        <f>IF($A403="","",[1]!thsiFinD("ths_adjustment_nv_fund",R$3,$A403))</f>
        <v/>
      </c>
      <c r="S403" s="13" t="str">
        <f>IF($A403="","",[1]!thsiFinD("ths_adjustment_nv_fund",S$3,$A403))</f>
        <v/>
      </c>
      <c r="T403" s="13" t="str">
        <f>IF($A403="","",[1]!thsiFinD("ths_adjustment_nv_fund",T$3,$A403))</f>
        <v/>
      </c>
      <c r="U403" s="13" t="str">
        <f>IF($A403="","",[1]!thsiFinD("ths_adjustment_nv_fund",U$3,$A403))</f>
        <v/>
      </c>
      <c r="V403" s="13" t="str">
        <f>IF($A403="","",[1]!thsiFinD("ths_adjustment_nv_fund",V$3,$A403))</f>
        <v/>
      </c>
      <c r="W403" s="13" t="str">
        <f>IF($A403="","",[1]!thsiFinD("ths_adjustment_nv_fund",W$3,$A403))</f>
        <v/>
      </c>
      <c r="X403" s="13" t="str">
        <f>IF($A403="","",[1]!thsiFinD("ths_adjustment_nv_fund",X$3,$A403))</f>
        <v/>
      </c>
      <c r="Y403" s="13" t="str">
        <f>IF($A403="","",[1]!thsiFinD("ths_adjustment_nv_fund",Y$3,$A403))</f>
        <v/>
      </c>
      <c r="Z403" s="13" t="str">
        <f>IF($A403="","",[1]!thsiFinD("ths_adjustment_nv_fund",Z$3,$A403))</f>
        <v/>
      </c>
      <c r="AA403" s="13" t="str">
        <f>IF($A403="","",[1]!thsiFinD("ths_adjustment_nv_fund",AA$3,$A403))</f>
        <v/>
      </c>
      <c r="AB403" s="13" t="str">
        <f>IF($A403="","",[1]!thsiFinD("ths_adjustment_nv_fund",AB$3,$A403))</f>
        <v/>
      </c>
    </row>
    <row r="404" spans="2:28">
      <c r="B404" s="13" t="str">
        <f>IF($A404="","",[1]!thsiFinD("ths_adjustment_nv_fund",B$3,$A404))</f>
        <v/>
      </c>
      <c r="C404" s="13" t="str">
        <f>IF($A404="","",[1]!thsiFinD("ths_adjustment_nv_fund",C$3,$A404))</f>
        <v/>
      </c>
      <c r="D404" s="13" t="str">
        <f>IF($A404="","",[1]!thsiFinD("ths_adjustment_nv_fund",D$3,$A404))</f>
        <v/>
      </c>
      <c r="E404" s="13" t="str">
        <f>IF($A404="","",[1]!thsiFinD("ths_adjustment_nv_fund",E$3,$A404))</f>
        <v/>
      </c>
      <c r="F404" s="13" t="str">
        <f>IF($A404="","",[1]!thsiFinD("ths_adjustment_nv_fund",F$3,$A404))</f>
        <v/>
      </c>
      <c r="G404" s="13" t="str">
        <f>IF($A404="","",[1]!thsiFinD("ths_adjustment_nv_fund",G$3,$A404))</f>
        <v/>
      </c>
      <c r="H404" s="13" t="str">
        <f>IF($A404="","",[1]!thsiFinD("ths_adjustment_nv_fund",H$3,$A404))</f>
        <v/>
      </c>
      <c r="I404" s="13" t="str">
        <f>IF($A404="","",[1]!thsiFinD("ths_adjustment_nv_fund",I$3,$A404))</f>
        <v/>
      </c>
      <c r="J404" s="13" t="str">
        <f>IF($A404="","",[1]!thsiFinD("ths_adjustment_nv_fund",J$3,$A404))</f>
        <v/>
      </c>
      <c r="K404" s="13" t="str">
        <f>IF($A404="","",[1]!thsiFinD("ths_adjustment_nv_fund",K$3,$A404))</f>
        <v/>
      </c>
      <c r="L404" s="13" t="str">
        <f>IF($A404="","",[1]!thsiFinD("ths_adjustment_nv_fund",L$3,$A404))</f>
        <v/>
      </c>
      <c r="M404" s="13" t="str">
        <f>IF($A404="","",[1]!thsiFinD("ths_adjustment_nv_fund",M$3,$A404))</f>
        <v/>
      </c>
      <c r="N404" s="13" t="str">
        <f>IF($A404="","",[1]!thsiFinD("ths_adjustment_nv_fund",N$3,$A404))</f>
        <v/>
      </c>
      <c r="O404" s="13" t="str">
        <f>IF($A404="","",[1]!thsiFinD("ths_adjustment_nv_fund",O$3,$A404))</f>
        <v/>
      </c>
      <c r="P404" s="13" t="str">
        <f>IF($A404="","",[1]!thsiFinD("ths_adjustment_nv_fund",P$3,$A404))</f>
        <v/>
      </c>
      <c r="Q404" s="13" t="str">
        <f>IF($A404="","",[1]!thsiFinD("ths_adjustment_nv_fund",Q$3,$A404))</f>
        <v/>
      </c>
      <c r="R404" s="13" t="str">
        <f>IF($A404="","",[1]!thsiFinD("ths_adjustment_nv_fund",R$3,$A404))</f>
        <v/>
      </c>
      <c r="S404" s="13" t="str">
        <f>IF($A404="","",[1]!thsiFinD("ths_adjustment_nv_fund",S$3,$A404))</f>
        <v/>
      </c>
      <c r="T404" s="13" t="str">
        <f>IF($A404="","",[1]!thsiFinD("ths_adjustment_nv_fund",T$3,$A404))</f>
        <v/>
      </c>
      <c r="U404" s="13" t="str">
        <f>IF($A404="","",[1]!thsiFinD("ths_adjustment_nv_fund",U$3,$A404))</f>
        <v/>
      </c>
      <c r="V404" s="13" t="str">
        <f>IF($A404="","",[1]!thsiFinD("ths_adjustment_nv_fund",V$3,$A404))</f>
        <v/>
      </c>
      <c r="W404" s="13" t="str">
        <f>IF($A404="","",[1]!thsiFinD("ths_adjustment_nv_fund",W$3,$A404))</f>
        <v/>
      </c>
      <c r="X404" s="13" t="str">
        <f>IF($A404="","",[1]!thsiFinD("ths_adjustment_nv_fund",X$3,$A404))</f>
        <v/>
      </c>
      <c r="Y404" s="13" t="str">
        <f>IF($A404="","",[1]!thsiFinD("ths_adjustment_nv_fund",Y$3,$A404))</f>
        <v/>
      </c>
      <c r="Z404" s="13" t="str">
        <f>IF($A404="","",[1]!thsiFinD("ths_adjustment_nv_fund",Z$3,$A404))</f>
        <v/>
      </c>
      <c r="AA404" s="13" t="str">
        <f>IF($A404="","",[1]!thsiFinD("ths_adjustment_nv_fund",AA$3,$A404))</f>
        <v/>
      </c>
      <c r="AB404" s="13" t="str">
        <f>IF($A404="","",[1]!thsiFinD("ths_adjustment_nv_fund",AB$3,$A404))</f>
        <v/>
      </c>
    </row>
    <row r="405" spans="2:28">
      <c r="B405" s="13" t="str">
        <f>IF($A405="","",[1]!thsiFinD("ths_adjustment_nv_fund",B$3,$A405))</f>
        <v/>
      </c>
      <c r="C405" s="13" t="str">
        <f>IF($A405="","",[1]!thsiFinD("ths_adjustment_nv_fund",C$3,$A405))</f>
        <v/>
      </c>
      <c r="D405" s="13" t="str">
        <f>IF($A405="","",[1]!thsiFinD("ths_adjustment_nv_fund",D$3,$A405))</f>
        <v/>
      </c>
      <c r="E405" s="13" t="str">
        <f>IF($A405="","",[1]!thsiFinD("ths_adjustment_nv_fund",E$3,$A405))</f>
        <v/>
      </c>
      <c r="F405" s="13" t="str">
        <f>IF($A405="","",[1]!thsiFinD("ths_adjustment_nv_fund",F$3,$A405))</f>
        <v/>
      </c>
      <c r="G405" s="13" t="str">
        <f>IF($A405="","",[1]!thsiFinD("ths_adjustment_nv_fund",G$3,$A405))</f>
        <v/>
      </c>
      <c r="H405" s="13" t="str">
        <f>IF($A405="","",[1]!thsiFinD("ths_adjustment_nv_fund",H$3,$A405))</f>
        <v/>
      </c>
      <c r="I405" s="13" t="str">
        <f>IF($A405="","",[1]!thsiFinD("ths_adjustment_nv_fund",I$3,$A405))</f>
        <v/>
      </c>
      <c r="J405" s="13" t="str">
        <f>IF($A405="","",[1]!thsiFinD("ths_adjustment_nv_fund",J$3,$A405))</f>
        <v/>
      </c>
      <c r="K405" s="13" t="str">
        <f>IF($A405="","",[1]!thsiFinD("ths_adjustment_nv_fund",K$3,$A405))</f>
        <v/>
      </c>
      <c r="L405" s="13" t="str">
        <f>IF($A405="","",[1]!thsiFinD("ths_adjustment_nv_fund",L$3,$A405))</f>
        <v/>
      </c>
      <c r="M405" s="13" t="str">
        <f>IF($A405="","",[1]!thsiFinD("ths_adjustment_nv_fund",M$3,$A405))</f>
        <v/>
      </c>
      <c r="N405" s="13" t="str">
        <f>IF($A405="","",[1]!thsiFinD("ths_adjustment_nv_fund",N$3,$A405))</f>
        <v/>
      </c>
      <c r="O405" s="13" t="str">
        <f>IF($A405="","",[1]!thsiFinD("ths_adjustment_nv_fund",O$3,$A405))</f>
        <v/>
      </c>
      <c r="P405" s="13" t="str">
        <f>IF($A405="","",[1]!thsiFinD("ths_adjustment_nv_fund",P$3,$A405))</f>
        <v/>
      </c>
      <c r="Q405" s="13" t="str">
        <f>IF($A405="","",[1]!thsiFinD("ths_adjustment_nv_fund",Q$3,$A405))</f>
        <v/>
      </c>
      <c r="R405" s="13" t="str">
        <f>IF($A405="","",[1]!thsiFinD("ths_adjustment_nv_fund",R$3,$A405))</f>
        <v/>
      </c>
      <c r="S405" s="13" t="str">
        <f>IF($A405="","",[1]!thsiFinD("ths_adjustment_nv_fund",S$3,$A405))</f>
        <v/>
      </c>
      <c r="T405" s="13" t="str">
        <f>IF($A405="","",[1]!thsiFinD("ths_adjustment_nv_fund",T$3,$A405))</f>
        <v/>
      </c>
      <c r="U405" s="13" t="str">
        <f>IF($A405="","",[1]!thsiFinD("ths_adjustment_nv_fund",U$3,$A405))</f>
        <v/>
      </c>
      <c r="V405" s="13" t="str">
        <f>IF($A405="","",[1]!thsiFinD("ths_adjustment_nv_fund",V$3,$A405))</f>
        <v/>
      </c>
      <c r="W405" s="13" t="str">
        <f>IF($A405="","",[1]!thsiFinD("ths_adjustment_nv_fund",W$3,$A405))</f>
        <v/>
      </c>
      <c r="X405" s="13" t="str">
        <f>IF($A405="","",[1]!thsiFinD("ths_adjustment_nv_fund",X$3,$A405))</f>
        <v/>
      </c>
      <c r="Y405" s="13" t="str">
        <f>IF($A405="","",[1]!thsiFinD("ths_adjustment_nv_fund",Y$3,$A405))</f>
        <v/>
      </c>
      <c r="Z405" s="13" t="str">
        <f>IF($A405="","",[1]!thsiFinD("ths_adjustment_nv_fund",Z$3,$A405))</f>
        <v/>
      </c>
      <c r="AA405" s="13" t="str">
        <f>IF($A405="","",[1]!thsiFinD("ths_adjustment_nv_fund",AA$3,$A405))</f>
        <v/>
      </c>
      <c r="AB405" s="13" t="str">
        <f>IF($A405="","",[1]!thsiFinD("ths_adjustment_nv_fund",AB$3,$A405))</f>
        <v/>
      </c>
    </row>
    <row r="406" spans="2:28">
      <c r="B406" s="13" t="str">
        <f>IF($A406="","",[1]!thsiFinD("ths_adjustment_nv_fund",B$3,$A406))</f>
        <v/>
      </c>
      <c r="C406" s="13" t="str">
        <f>IF($A406="","",[1]!thsiFinD("ths_adjustment_nv_fund",C$3,$A406))</f>
        <v/>
      </c>
      <c r="D406" s="13" t="str">
        <f>IF($A406="","",[1]!thsiFinD("ths_adjustment_nv_fund",D$3,$A406))</f>
        <v/>
      </c>
      <c r="E406" s="13" t="str">
        <f>IF($A406="","",[1]!thsiFinD("ths_adjustment_nv_fund",E$3,$A406))</f>
        <v/>
      </c>
      <c r="F406" s="13" t="str">
        <f>IF($A406="","",[1]!thsiFinD("ths_adjustment_nv_fund",F$3,$A406))</f>
        <v/>
      </c>
      <c r="G406" s="13" t="str">
        <f>IF($A406="","",[1]!thsiFinD("ths_adjustment_nv_fund",G$3,$A406))</f>
        <v/>
      </c>
      <c r="H406" s="13" t="str">
        <f>IF($A406="","",[1]!thsiFinD("ths_adjustment_nv_fund",H$3,$A406))</f>
        <v/>
      </c>
      <c r="I406" s="13" t="str">
        <f>IF($A406="","",[1]!thsiFinD("ths_adjustment_nv_fund",I$3,$A406))</f>
        <v/>
      </c>
      <c r="J406" s="13" t="str">
        <f>IF($A406="","",[1]!thsiFinD("ths_adjustment_nv_fund",J$3,$A406))</f>
        <v/>
      </c>
      <c r="K406" s="13" t="str">
        <f>IF($A406="","",[1]!thsiFinD("ths_adjustment_nv_fund",K$3,$A406))</f>
        <v/>
      </c>
      <c r="L406" s="13" t="str">
        <f>IF($A406="","",[1]!thsiFinD("ths_adjustment_nv_fund",L$3,$A406))</f>
        <v/>
      </c>
      <c r="M406" s="13" t="str">
        <f>IF($A406="","",[1]!thsiFinD("ths_adjustment_nv_fund",M$3,$A406))</f>
        <v/>
      </c>
      <c r="N406" s="13" t="str">
        <f>IF($A406="","",[1]!thsiFinD("ths_adjustment_nv_fund",N$3,$A406))</f>
        <v/>
      </c>
      <c r="O406" s="13" t="str">
        <f>IF($A406="","",[1]!thsiFinD("ths_adjustment_nv_fund",O$3,$A406))</f>
        <v/>
      </c>
      <c r="P406" s="13" t="str">
        <f>IF($A406="","",[1]!thsiFinD("ths_adjustment_nv_fund",P$3,$A406))</f>
        <v/>
      </c>
      <c r="Q406" s="13" t="str">
        <f>IF($A406="","",[1]!thsiFinD("ths_adjustment_nv_fund",Q$3,$A406))</f>
        <v/>
      </c>
      <c r="R406" s="13" t="str">
        <f>IF($A406="","",[1]!thsiFinD("ths_adjustment_nv_fund",R$3,$A406))</f>
        <v/>
      </c>
      <c r="S406" s="13" t="str">
        <f>IF($A406="","",[1]!thsiFinD("ths_adjustment_nv_fund",S$3,$A406))</f>
        <v/>
      </c>
      <c r="T406" s="13" t="str">
        <f>IF($A406="","",[1]!thsiFinD("ths_adjustment_nv_fund",T$3,$A406))</f>
        <v/>
      </c>
      <c r="U406" s="13" t="str">
        <f>IF($A406="","",[1]!thsiFinD("ths_adjustment_nv_fund",U$3,$A406))</f>
        <v/>
      </c>
      <c r="V406" s="13" t="str">
        <f>IF($A406="","",[1]!thsiFinD("ths_adjustment_nv_fund",V$3,$A406))</f>
        <v/>
      </c>
      <c r="W406" s="13" t="str">
        <f>IF($A406="","",[1]!thsiFinD("ths_adjustment_nv_fund",W$3,$A406))</f>
        <v/>
      </c>
      <c r="X406" s="13" t="str">
        <f>IF($A406="","",[1]!thsiFinD("ths_adjustment_nv_fund",X$3,$A406))</f>
        <v/>
      </c>
      <c r="Y406" s="13" t="str">
        <f>IF($A406="","",[1]!thsiFinD("ths_adjustment_nv_fund",Y$3,$A406))</f>
        <v/>
      </c>
      <c r="Z406" s="13" t="str">
        <f>IF($A406="","",[1]!thsiFinD("ths_adjustment_nv_fund",Z$3,$A406))</f>
        <v/>
      </c>
      <c r="AA406" s="13" t="str">
        <f>IF($A406="","",[1]!thsiFinD("ths_adjustment_nv_fund",AA$3,$A406))</f>
        <v/>
      </c>
      <c r="AB406" s="13" t="str">
        <f>IF($A406="","",[1]!thsiFinD("ths_adjustment_nv_fund",AB$3,$A406))</f>
        <v/>
      </c>
    </row>
    <row r="407" spans="2:28">
      <c r="B407" s="13" t="str">
        <f>IF($A407="","",[1]!thsiFinD("ths_adjustment_nv_fund",B$3,$A407))</f>
        <v/>
      </c>
      <c r="C407" s="13" t="str">
        <f>IF($A407="","",[1]!thsiFinD("ths_adjustment_nv_fund",C$3,$A407))</f>
        <v/>
      </c>
      <c r="D407" s="13" t="str">
        <f>IF($A407="","",[1]!thsiFinD("ths_adjustment_nv_fund",D$3,$A407))</f>
        <v/>
      </c>
      <c r="E407" s="13" t="str">
        <f>IF($A407="","",[1]!thsiFinD("ths_adjustment_nv_fund",E$3,$A407))</f>
        <v/>
      </c>
      <c r="F407" s="13" t="str">
        <f>IF($A407="","",[1]!thsiFinD("ths_adjustment_nv_fund",F$3,$A407))</f>
        <v/>
      </c>
      <c r="G407" s="13" t="str">
        <f>IF($A407="","",[1]!thsiFinD("ths_adjustment_nv_fund",G$3,$A407))</f>
        <v/>
      </c>
      <c r="H407" s="13" t="str">
        <f>IF($A407="","",[1]!thsiFinD("ths_adjustment_nv_fund",H$3,$A407))</f>
        <v/>
      </c>
      <c r="I407" s="13" t="str">
        <f>IF($A407="","",[1]!thsiFinD("ths_adjustment_nv_fund",I$3,$A407))</f>
        <v/>
      </c>
      <c r="J407" s="13" t="str">
        <f>IF($A407="","",[1]!thsiFinD("ths_adjustment_nv_fund",J$3,$A407))</f>
        <v/>
      </c>
      <c r="K407" s="13" t="str">
        <f>IF($A407="","",[1]!thsiFinD("ths_adjustment_nv_fund",K$3,$A407))</f>
        <v/>
      </c>
      <c r="L407" s="13" t="str">
        <f>IF($A407="","",[1]!thsiFinD("ths_adjustment_nv_fund",L$3,$A407))</f>
        <v/>
      </c>
      <c r="M407" s="13" t="str">
        <f>IF($A407="","",[1]!thsiFinD("ths_adjustment_nv_fund",M$3,$A407))</f>
        <v/>
      </c>
      <c r="N407" s="13" t="str">
        <f>IF($A407="","",[1]!thsiFinD("ths_adjustment_nv_fund",N$3,$A407))</f>
        <v/>
      </c>
      <c r="O407" s="13" t="str">
        <f>IF($A407="","",[1]!thsiFinD("ths_adjustment_nv_fund",O$3,$A407))</f>
        <v/>
      </c>
      <c r="P407" s="13" t="str">
        <f>IF($A407="","",[1]!thsiFinD("ths_adjustment_nv_fund",P$3,$A407))</f>
        <v/>
      </c>
      <c r="Q407" s="13" t="str">
        <f>IF($A407="","",[1]!thsiFinD("ths_adjustment_nv_fund",Q$3,$A407))</f>
        <v/>
      </c>
      <c r="R407" s="13" t="str">
        <f>IF($A407="","",[1]!thsiFinD("ths_adjustment_nv_fund",R$3,$A407))</f>
        <v/>
      </c>
      <c r="S407" s="13" t="str">
        <f>IF($A407="","",[1]!thsiFinD("ths_adjustment_nv_fund",S$3,$A407))</f>
        <v/>
      </c>
      <c r="T407" s="13" t="str">
        <f>IF($A407="","",[1]!thsiFinD("ths_adjustment_nv_fund",T$3,$A407))</f>
        <v/>
      </c>
      <c r="U407" s="13" t="str">
        <f>IF($A407="","",[1]!thsiFinD("ths_adjustment_nv_fund",U$3,$A407))</f>
        <v/>
      </c>
      <c r="V407" s="13" t="str">
        <f>IF($A407="","",[1]!thsiFinD("ths_adjustment_nv_fund",V$3,$A407))</f>
        <v/>
      </c>
      <c r="W407" s="13" t="str">
        <f>IF($A407="","",[1]!thsiFinD("ths_adjustment_nv_fund",W$3,$A407))</f>
        <v/>
      </c>
      <c r="X407" s="13" t="str">
        <f>IF($A407="","",[1]!thsiFinD("ths_adjustment_nv_fund",X$3,$A407))</f>
        <v/>
      </c>
      <c r="Y407" s="13" t="str">
        <f>IF($A407="","",[1]!thsiFinD("ths_adjustment_nv_fund",Y$3,$A407))</f>
        <v/>
      </c>
      <c r="Z407" s="13" t="str">
        <f>IF($A407="","",[1]!thsiFinD("ths_adjustment_nv_fund",Z$3,$A407))</f>
        <v/>
      </c>
      <c r="AA407" s="13" t="str">
        <f>IF($A407="","",[1]!thsiFinD("ths_adjustment_nv_fund",AA$3,$A407))</f>
        <v/>
      </c>
      <c r="AB407" s="13" t="str">
        <f>IF($A407="","",[1]!thsiFinD("ths_adjustment_nv_fund",AB$3,$A407))</f>
        <v/>
      </c>
    </row>
    <row r="408" spans="2:28">
      <c r="B408" s="13" t="str">
        <f>IF($A408="","",[1]!thsiFinD("ths_adjustment_nv_fund",B$3,$A408))</f>
        <v/>
      </c>
      <c r="C408" s="13" t="str">
        <f>IF($A408="","",[1]!thsiFinD("ths_adjustment_nv_fund",C$3,$A408))</f>
        <v/>
      </c>
      <c r="D408" s="13" t="str">
        <f>IF($A408="","",[1]!thsiFinD("ths_adjustment_nv_fund",D$3,$A408))</f>
        <v/>
      </c>
      <c r="E408" s="13" t="str">
        <f>IF($A408="","",[1]!thsiFinD("ths_adjustment_nv_fund",E$3,$A408))</f>
        <v/>
      </c>
      <c r="F408" s="13" t="str">
        <f>IF($A408="","",[1]!thsiFinD("ths_adjustment_nv_fund",F$3,$A408))</f>
        <v/>
      </c>
      <c r="G408" s="13" t="str">
        <f>IF($A408="","",[1]!thsiFinD("ths_adjustment_nv_fund",G$3,$A408))</f>
        <v/>
      </c>
      <c r="H408" s="13" t="str">
        <f>IF($A408="","",[1]!thsiFinD("ths_adjustment_nv_fund",H$3,$A408))</f>
        <v/>
      </c>
      <c r="I408" s="13" t="str">
        <f>IF($A408="","",[1]!thsiFinD("ths_adjustment_nv_fund",I$3,$A408))</f>
        <v/>
      </c>
      <c r="J408" s="13" t="str">
        <f>IF($A408="","",[1]!thsiFinD("ths_adjustment_nv_fund",J$3,$A408))</f>
        <v/>
      </c>
      <c r="K408" s="13" t="str">
        <f>IF($A408="","",[1]!thsiFinD("ths_adjustment_nv_fund",K$3,$A408))</f>
        <v/>
      </c>
      <c r="L408" s="13" t="str">
        <f>IF($A408="","",[1]!thsiFinD("ths_adjustment_nv_fund",L$3,$A408))</f>
        <v/>
      </c>
      <c r="M408" s="13" t="str">
        <f>IF($A408="","",[1]!thsiFinD("ths_adjustment_nv_fund",M$3,$A408))</f>
        <v/>
      </c>
      <c r="N408" s="13" t="str">
        <f>IF($A408="","",[1]!thsiFinD("ths_adjustment_nv_fund",N$3,$A408))</f>
        <v/>
      </c>
      <c r="O408" s="13" t="str">
        <f>IF($A408="","",[1]!thsiFinD("ths_adjustment_nv_fund",O$3,$A408))</f>
        <v/>
      </c>
      <c r="P408" s="13" t="str">
        <f>IF($A408="","",[1]!thsiFinD("ths_adjustment_nv_fund",P$3,$A408))</f>
        <v/>
      </c>
      <c r="Q408" s="13" t="str">
        <f>IF($A408="","",[1]!thsiFinD("ths_adjustment_nv_fund",Q$3,$A408))</f>
        <v/>
      </c>
      <c r="R408" s="13" t="str">
        <f>IF($A408="","",[1]!thsiFinD("ths_adjustment_nv_fund",R$3,$A408))</f>
        <v/>
      </c>
      <c r="S408" s="13" t="str">
        <f>IF($A408="","",[1]!thsiFinD("ths_adjustment_nv_fund",S$3,$A408))</f>
        <v/>
      </c>
      <c r="T408" s="13" t="str">
        <f>IF($A408="","",[1]!thsiFinD("ths_adjustment_nv_fund",T$3,$A408))</f>
        <v/>
      </c>
      <c r="U408" s="13" t="str">
        <f>IF($A408="","",[1]!thsiFinD("ths_adjustment_nv_fund",U$3,$A408))</f>
        <v/>
      </c>
      <c r="V408" s="13" t="str">
        <f>IF($A408="","",[1]!thsiFinD("ths_adjustment_nv_fund",V$3,$A408))</f>
        <v/>
      </c>
      <c r="W408" s="13" t="str">
        <f>IF($A408="","",[1]!thsiFinD("ths_adjustment_nv_fund",W$3,$A408))</f>
        <v/>
      </c>
      <c r="X408" s="13" t="str">
        <f>IF($A408="","",[1]!thsiFinD("ths_adjustment_nv_fund",X$3,$A408))</f>
        <v/>
      </c>
      <c r="Y408" s="13" t="str">
        <f>IF($A408="","",[1]!thsiFinD("ths_adjustment_nv_fund",Y$3,$A408))</f>
        <v/>
      </c>
      <c r="Z408" s="13" t="str">
        <f>IF($A408="","",[1]!thsiFinD("ths_adjustment_nv_fund",Z$3,$A408))</f>
        <v/>
      </c>
      <c r="AA408" s="13" t="str">
        <f>IF($A408="","",[1]!thsiFinD("ths_adjustment_nv_fund",AA$3,$A408))</f>
        <v/>
      </c>
      <c r="AB408" s="13" t="str">
        <f>IF($A408="","",[1]!thsiFinD("ths_adjustment_nv_fund",AB$3,$A408))</f>
        <v/>
      </c>
    </row>
    <row r="409" spans="2:28">
      <c r="B409" s="13" t="str">
        <f>IF($A409="","",[1]!thsiFinD("ths_adjustment_nv_fund",B$3,$A409))</f>
        <v/>
      </c>
      <c r="C409" s="13" t="str">
        <f>IF($A409="","",[1]!thsiFinD("ths_adjustment_nv_fund",C$3,$A409))</f>
        <v/>
      </c>
      <c r="D409" s="13" t="str">
        <f>IF($A409="","",[1]!thsiFinD("ths_adjustment_nv_fund",D$3,$A409))</f>
        <v/>
      </c>
      <c r="E409" s="13" t="str">
        <f>IF($A409="","",[1]!thsiFinD("ths_adjustment_nv_fund",E$3,$A409))</f>
        <v/>
      </c>
      <c r="F409" s="13" t="str">
        <f>IF($A409="","",[1]!thsiFinD("ths_adjustment_nv_fund",F$3,$A409))</f>
        <v/>
      </c>
      <c r="G409" s="13" t="str">
        <f>IF($A409="","",[1]!thsiFinD("ths_adjustment_nv_fund",G$3,$A409))</f>
        <v/>
      </c>
      <c r="H409" s="13" t="str">
        <f>IF($A409="","",[1]!thsiFinD("ths_adjustment_nv_fund",H$3,$A409))</f>
        <v/>
      </c>
      <c r="I409" s="13" t="str">
        <f>IF($A409="","",[1]!thsiFinD("ths_adjustment_nv_fund",I$3,$A409))</f>
        <v/>
      </c>
      <c r="J409" s="13" t="str">
        <f>IF($A409="","",[1]!thsiFinD("ths_adjustment_nv_fund",J$3,$A409))</f>
        <v/>
      </c>
      <c r="K409" s="13" t="str">
        <f>IF($A409="","",[1]!thsiFinD("ths_adjustment_nv_fund",K$3,$A409))</f>
        <v/>
      </c>
      <c r="L409" s="13" t="str">
        <f>IF($A409="","",[1]!thsiFinD("ths_adjustment_nv_fund",L$3,$A409))</f>
        <v/>
      </c>
      <c r="M409" s="13" t="str">
        <f>IF($A409="","",[1]!thsiFinD("ths_adjustment_nv_fund",M$3,$A409))</f>
        <v/>
      </c>
      <c r="N409" s="13" t="str">
        <f>IF($A409="","",[1]!thsiFinD("ths_adjustment_nv_fund",N$3,$A409))</f>
        <v/>
      </c>
      <c r="O409" s="13" t="str">
        <f>IF($A409="","",[1]!thsiFinD("ths_adjustment_nv_fund",O$3,$A409))</f>
        <v/>
      </c>
      <c r="P409" s="13" t="str">
        <f>IF($A409="","",[1]!thsiFinD("ths_adjustment_nv_fund",P$3,$A409))</f>
        <v/>
      </c>
      <c r="Q409" s="13" t="str">
        <f>IF($A409="","",[1]!thsiFinD("ths_adjustment_nv_fund",Q$3,$A409))</f>
        <v/>
      </c>
      <c r="R409" s="13" t="str">
        <f>IF($A409="","",[1]!thsiFinD("ths_adjustment_nv_fund",R$3,$A409))</f>
        <v/>
      </c>
      <c r="S409" s="13" t="str">
        <f>IF($A409="","",[1]!thsiFinD("ths_adjustment_nv_fund",S$3,$A409))</f>
        <v/>
      </c>
      <c r="T409" s="13" t="str">
        <f>IF($A409="","",[1]!thsiFinD("ths_adjustment_nv_fund",T$3,$A409))</f>
        <v/>
      </c>
      <c r="U409" s="13" t="str">
        <f>IF($A409="","",[1]!thsiFinD("ths_adjustment_nv_fund",U$3,$A409))</f>
        <v/>
      </c>
      <c r="V409" s="13" t="str">
        <f>IF($A409="","",[1]!thsiFinD("ths_adjustment_nv_fund",V$3,$A409))</f>
        <v/>
      </c>
      <c r="W409" s="13" t="str">
        <f>IF($A409="","",[1]!thsiFinD("ths_adjustment_nv_fund",W$3,$A409))</f>
        <v/>
      </c>
      <c r="X409" s="13" t="str">
        <f>IF($A409="","",[1]!thsiFinD("ths_adjustment_nv_fund",X$3,$A409))</f>
        <v/>
      </c>
      <c r="Y409" s="13" t="str">
        <f>IF($A409="","",[1]!thsiFinD("ths_adjustment_nv_fund",Y$3,$A409))</f>
        <v/>
      </c>
      <c r="Z409" s="13" t="str">
        <f>IF($A409="","",[1]!thsiFinD("ths_adjustment_nv_fund",Z$3,$A409))</f>
        <v/>
      </c>
      <c r="AA409" s="13" t="str">
        <f>IF($A409="","",[1]!thsiFinD("ths_adjustment_nv_fund",AA$3,$A409))</f>
        <v/>
      </c>
      <c r="AB409" s="13" t="str">
        <f>IF($A409="","",[1]!thsiFinD("ths_adjustment_nv_fund",AB$3,$A409))</f>
        <v/>
      </c>
    </row>
    <row r="410" spans="2:28">
      <c r="B410" s="13" t="str">
        <f>IF($A410="","",[1]!thsiFinD("ths_adjustment_nv_fund",B$3,$A410))</f>
        <v/>
      </c>
      <c r="C410" s="13" t="str">
        <f>IF($A410="","",[1]!thsiFinD("ths_adjustment_nv_fund",C$3,$A410))</f>
        <v/>
      </c>
      <c r="D410" s="13" t="str">
        <f>IF($A410="","",[1]!thsiFinD("ths_adjustment_nv_fund",D$3,$A410))</f>
        <v/>
      </c>
      <c r="E410" s="13" t="str">
        <f>IF($A410="","",[1]!thsiFinD("ths_adjustment_nv_fund",E$3,$A410))</f>
        <v/>
      </c>
      <c r="F410" s="13" t="str">
        <f>IF($A410="","",[1]!thsiFinD("ths_adjustment_nv_fund",F$3,$A410))</f>
        <v/>
      </c>
      <c r="G410" s="13" t="str">
        <f>IF($A410="","",[1]!thsiFinD("ths_adjustment_nv_fund",G$3,$A410))</f>
        <v/>
      </c>
      <c r="H410" s="13" t="str">
        <f>IF($A410="","",[1]!thsiFinD("ths_adjustment_nv_fund",H$3,$A410))</f>
        <v/>
      </c>
      <c r="I410" s="13" t="str">
        <f>IF($A410="","",[1]!thsiFinD("ths_adjustment_nv_fund",I$3,$A410))</f>
        <v/>
      </c>
      <c r="J410" s="13" t="str">
        <f>IF($A410="","",[1]!thsiFinD("ths_adjustment_nv_fund",J$3,$A410))</f>
        <v/>
      </c>
      <c r="K410" s="13" t="str">
        <f>IF($A410="","",[1]!thsiFinD("ths_adjustment_nv_fund",K$3,$A410))</f>
        <v/>
      </c>
      <c r="L410" s="13" t="str">
        <f>IF($A410="","",[1]!thsiFinD("ths_adjustment_nv_fund",L$3,$A410))</f>
        <v/>
      </c>
      <c r="M410" s="13" t="str">
        <f>IF($A410="","",[1]!thsiFinD("ths_adjustment_nv_fund",M$3,$A410))</f>
        <v/>
      </c>
      <c r="N410" s="13" t="str">
        <f>IF($A410="","",[1]!thsiFinD("ths_adjustment_nv_fund",N$3,$A410))</f>
        <v/>
      </c>
      <c r="O410" s="13" t="str">
        <f>IF($A410="","",[1]!thsiFinD("ths_adjustment_nv_fund",O$3,$A410))</f>
        <v/>
      </c>
      <c r="P410" s="13" t="str">
        <f>IF($A410="","",[1]!thsiFinD("ths_adjustment_nv_fund",P$3,$A410))</f>
        <v/>
      </c>
      <c r="Q410" s="13" t="str">
        <f>IF($A410="","",[1]!thsiFinD("ths_adjustment_nv_fund",Q$3,$A410))</f>
        <v/>
      </c>
      <c r="R410" s="13" t="str">
        <f>IF($A410="","",[1]!thsiFinD("ths_adjustment_nv_fund",R$3,$A410))</f>
        <v/>
      </c>
      <c r="S410" s="13" t="str">
        <f>IF($A410="","",[1]!thsiFinD("ths_adjustment_nv_fund",S$3,$A410))</f>
        <v/>
      </c>
      <c r="T410" s="13" t="str">
        <f>IF($A410="","",[1]!thsiFinD("ths_adjustment_nv_fund",T$3,$A410))</f>
        <v/>
      </c>
      <c r="U410" s="13" t="str">
        <f>IF($A410="","",[1]!thsiFinD("ths_adjustment_nv_fund",U$3,$A410))</f>
        <v/>
      </c>
      <c r="V410" s="13" t="str">
        <f>IF($A410="","",[1]!thsiFinD("ths_adjustment_nv_fund",V$3,$A410))</f>
        <v/>
      </c>
      <c r="W410" s="13" t="str">
        <f>IF($A410="","",[1]!thsiFinD("ths_adjustment_nv_fund",W$3,$A410))</f>
        <v/>
      </c>
      <c r="X410" s="13" t="str">
        <f>IF($A410="","",[1]!thsiFinD("ths_adjustment_nv_fund",X$3,$A410))</f>
        <v/>
      </c>
      <c r="Y410" s="13" t="str">
        <f>IF($A410="","",[1]!thsiFinD("ths_adjustment_nv_fund",Y$3,$A410))</f>
        <v/>
      </c>
      <c r="Z410" s="13" t="str">
        <f>IF($A410="","",[1]!thsiFinD("ths_adjustment_nv_fund",Z$3,$A410))</f>
        <v/>
      </c>
      <c r="AA410" s="13" t="str">
        <f>IF($A410="","",[1]!thsiFinD("ths_adjustment_nv_fund",AA$3,$A410))</f>
        <v/>
      </c>
      <c r="AB410" s="13" t="str">
        <f>IF($A410="","",[1]!thsiFinD("ths_adjustment_nv_fund",AB$3,$A410))</f>
        <v/>
      </c>
    </row>
    <row r="411" spans="2:28">
      <c r="B411" s="13" t="str">
        <f>IF($A411="","",[1]!thsiFinD("ths_adjustment_nv_fund",B$3,$A411))</f>
        <v/>
      </c>
      <c r="C411" s="13" t="str">
        <f>IF($A411="","",[1]!thsiFinD("ths_adjustment_nv_fund",C$3,$A411))</f>
        <v/>
      </c>
      <c r="D411" s="13" t="str">
        <f>IF($A411="","",[1]!thsiFinD("ths_adjustment_nv_fund",D$3,$A411))</f>
        <v/>
      </c>
      <c r="E411" s="13" t="str">
        <f>IF($A411="","",[1]!thsiFinD("ths_adjustment_nv_fund",E$3,$A411))</f>
        <v/>
      </c>
      <c r="F411" s="13" t="str">
        <f>IF($A411="","",[1]!thsiFinD("ths_adjustment_nv_fund",F$3,$A411))</f>
        <v/>
      </c>
      <c r="G411" s="13" t="str">
        <f>IF($A411="","",[1]!thsiFinD("ths_adjustment_nv_fund",G$3,$A411))</f>
        <v/>
      </c>
      <c r="H411" s="13" t="str">
        <f>IF($A411="","",[1]!thsiFinD("ths_adjustment_nv_fund",H$3,$A411))</f>
        <v/>
      </c>
      <c r="I411" s="13" t="str">
        <f>IF($A411="","",[1]!thsiFinD("ths_adjustment_nv_fund",I$3,$A411))</f>
        <v/>
      </c>
      <c r="J411" s="13" t="str">
        <f>IF($A411="","",[1]!thsiFinD("ths_adjustment_nv_fund",J$3,$A411))</f>
        <v/>
      </c>
      <c r="K411" s="13" t="str">
        <f>IF($A411="","",[1]!thsiFinD("ths_adjustment_nv_fund",K$3,$A411))</f>
        <v/>
      </c>
      <c r="L411" s="13" t="str">
        <f>IF($A411="","",[1]!thsiFinD("ths_adjustment_nv_fund",L$3,$A411))</f>
        <v/>
      </c>
      <c r="M411" s="13" t="str">
        <f>IF($A411="","",[1]!thsiFinD("ths_adjustment_nv_fund",M$3,$A411))</f>
        <v/>
      </c>
      <c r="N411" s="13" t="str">
        <f>IF($A411="","",[1]!thsiFinD("ths_adjustment_nv_fund",N$3,$A411))</f>
        <v/>
      </c>
      <c r="O411" s="13" t="str">
        <f>IF($A411="","",[1]!thsiFinD("ths_adjustment_nv_fund",O$3,$A411))</f>
        <v/>
      </c>
      <c r="P411" s="13" t="str">
        <f>IF($A411="","",[1]!thsiFinD("ths_adjustment_nv_fund",P$3,$A411))</f>
        <v/>
      </c>
      <c r="Q411" s="13" t="str">
        <f>IF($A411="","",[1]!thsiFinD("ths_adjustment_nv_fund",Q$3,$A411))</f>
        <v/>
      </c>
      <c r="R411" s="13" t="str">
        <f>IF($A411="","",[1]!thsiFinD("ths_adjustment_nv_fund",R$3,$A411))</f>
        <v/>
      </c>
      <c r="S411" s="13" t="str">
        <f>IF($A411="","",[1]!thsiFinD("ths_adjustment_nv_fund",S$3,$A411))</f>
        <v/>
      </c>
      <c r="T411" s="13" t="str">
        <f>IF($A411="","",[1]!thsiFinD("ths_adjustment_nv_fund",T$3,$A411))</f>
        <v/>
      </c>
      <c r="U411" s="13" t="str">
        <f>IF($A411="","",[1]!thsiFinD("ths_adjustment_nv_fund",U$3,$A411))</f>
        <v/>
      </c>
      <c r="V411" s="13" t="str">
        <f>IF($A411="","",[1]!thsiFinD("ths_adjustment_nv_fund",V$3,$A411))</f>
        <v/>
      </c>
      <c r="W411" s="13" t="str">
        <f>IF($A411="","",[1]!thsiFinD("ths_adjustment_nv_fund",W$3,$A411))</f>
        <v/>
      </c>
      <c r="X411" s="13" t="str">
        <f>IF($A411="","",[1]!thsiFinD("ths_adjustment_nv_fund",X$3,$A411))</f>
        <v/>
      </c>
      <c r="Y411" s="13" t="str">
        <f>IF($A411="","",[1]!thsiFinD("ths_adjustment_nv_fund",Y$3,$A411))</f>
        <v/>
      </c>
      <c r="Z411" s="13" t="str">
        <f>IF($A411="","",[1]!thsiFinD("ths_adjustment_nv_fund",Z$3,$A411))</f>
        <v/>
      </c>
      <c r="AA411" s="13" t="str">
        <f>IF($A411="","",[1]!thsiFinD("ths_adjustment_nv_fund",AA$3,$A411))</f>
        <v/>
      </c>
      <c r="AB411" s="13" t="str">
        <f>IF($A411="","",[1]!thsiFinD("ths_adjustment_nv_fund",AB$3,$A411))</f>
        <v/>
      </c>
    </row>
    <row r="412" spans="2:28">
      <c r="B412" s="13" t="str">
        <f>IF($A412="","",[1]!thsiFinD("ths_adjustment_nv_fund",B$3,$A412))</f>
        <v/>
      </c>
      <c r="C412" s="13" t="str">
        <f>IF($A412="","",[1]!thsiFinD("ths_adjustment_nv_fund",C$3,$A412))</f>
        <v/>
      </c>
      <c r="D412" s="13" t="str">
        <f>IF($A412="","",[1]!thsiFinD("ths_adjustment_nv_fund",D$3,$A412))</f>
        <v/>
      </c>
      <c r="E412" s="13" t="str">
        <f>IF($A412="","",[1]!thsiFinD("ths_adjustment_nv_fund",E$3,$A412))</f>
        <v/>
      </c>
      <c r="F412" s="13" t="str">
        <f>IF($A412="","",[1]!thsiFinD("ths_adjustment_nv_fund",F$3,$A412))</f>
        <v/>
      </c>
      <c r="G412" s="13" t="str">
        <f>IF($A412="","",[1]!thsiFinD("ths_adjustment_nv_fund",G$3,$A412))</f>
        <v/>
      </c>
      <c r="H412" s="13" t="str">
        <f>IF($A412="","",[1]!thsiFinD("ths_adjustment_nv_fund",H$3,$A412))</f>
        <v/>
      </c>
      <c r="I412" s="13" t="str">
        <f>IF($A412="","",[1]!thsiFinD("ths_adjustment_nv_fund",I$3,$A412))</f>
        <v/>
      </c>
      <c r="J412" s="13" t="str">
        <f>IF($A412="","",[1]!thsiFinD("ths_adjustment_nv_fund",J$3,$A412))</f>
        <v/>
      </c>
      <c r="K412" s="13" t="str">
        <f>IF($A412="","",[1]!thsiFinD("ths_adjustment_nv_fund",K$3,$A412))</f>
        <v/>
      </c>
      <c r="L412" s="13" t="str">
        <f>IF($A412="","",[1]!thsiFinD("ths_adjustment_nv_fund",L$3,$A412))</f>
        <v/>
      </c>
      <c r="M412" s="13" t="str">
        <f>IF($A412="","",[1]!thsiFinD("ths_adjustment_nv_fund",M$3,$A412))</f>
        <v/>
      </c>
      <c r="N412" s="13" t="str">
        <f>IF($A412="","",[1]!thsiFinD("ths_adjustment_nv_fund",N$3,$A412))</f>
        <v/>
      </c>
      <c r="O412" s="13" t="str">
        <f>IF($A412="","",[1]!thsiFinD("ths_adjustment_nv_fund",O$3,$A412))</f>
        <v/>
      </c>
      <c r="P412" s="13" t="str">
        <f>IF($A412="","",[1]!thsiFinD("ths_adjustment_nv_fund",P$3,$A412))</f>
        <v/>
      </c>
      <c r="Q412" s="13" t="str">
        <f>IF($A412="","",[1]!thsiFinD("ths_adjustment_nv_fund",Q$3,$A412))</f>
        <v/>
      </c>
      <c r="R412" s="13" t="str">
        <f>IF($A412="","",[1]!thsiFinD("ths_adjustment_nv_fund",R$3,$A412))</f>
        <v/>
      </c>
      <c r="S412" s="13" t="str">
        <f>IF($A412="","",[1]!thsiFinD("ths_adjustment_nv_fund",S$3,$A412))</f>
        <v/>
      </c>
      <c r="T412" s="13" t="str">
        <f>IF($A412="","",[1]!thsiFinD("ths_adjustment_nv_fund",T$3,$A412))</f>
        <v/>
      </c>
      <c r="U412" s="13" t="str">
        <f>IF($A412="","",[1]!thsiFinD("ths_adjustment_nv_fund",U$3,$A412))</f>
        <v/>
      </c>
      <c r="V412" s="13" t="str">
        <f>IF($A412="","",[1]!thsiFinD("ths_adjustment_nv_fund",V$3,$A412))</f>
        <v/>
      </c>
      <c r="W412" s="13" t="str">
        <f>IF($A412="","",[1]!thsiFinD("ths_adjustment_nv_fund",W$3,$A412))</f>
        <v/>
      </c>
      <c r="X412" s="13" t="str">
        <f>IF($A412="","",[1]!thsiFinD("ths_adjustment_nv_fund",X$3,$A412))</f>
        <v/>
      </c>
      <c r="Y412" s="13" t="str">
        <f>IF($A412="","",[1]!thsiFinD("ths_adjustment_nv_fund",Y$3,$A412))</f>
        <v/>
      </c>
      <c r="Z412" s="13" t="str">
        <f>IF($A412="","",[1]!thsiFinD("ths_adjustment_nv_fund",Z$3,$A412))</f>
        <v/>
      </c>
      <c r="AA412" s="13" t="str">
        <f>IF($A412="","",[1]!thsiFinD("ths_adjustment_nv_fund",AA$3,$A412))</f>
        <v/>
      </c>
      <c r="AB412" s="13" t="str">
        <f>IF($A412="","",[1]!thsiFinD("ths_adjustment_nv_fund",AB$3,$A412))</f>
        <v/>
      </c>
    </row>
    <row r="413" spans="2:28">
      <c r="B413" s="13" t="str">
        <f>IF($A413="","",[1]!thsiFinD("ths_adjustment_nv_fund",B$3,$A413))</f>
        <v/>
      </c>
      <c r="C413" s="13" t="str">
        <f>IF($A413="","",[1]!thsiFinD("ths_adjustment_nv_fund",C$3,$A413))</f>
        <v/>
      </c>
      <c r="D413" s="13" t="str">
        <f>IF($A413="","",[1]!thsiFinD("ths_adjustment_nv_fund",D$3,$A413))</f>
        <v/>
      </c>
      <c r="E413" s="13" t="str">
        <f>IF($A413="","",[1]!thsiFinD("ths_adjustment_nv_fund",E$3,$A413))</f>
        <v/>
      </c>
      <c r="F413" s="13" t="str">
        <f>IF($A413="","",[1]!thsiFinD("ths_adjustment_nv_fund",F$3,$A413))</f>
        <v/>
      </c>
      <c r="G413" s="13" t="str">
        <f>IF($A413="","",[1]!thsiFinD("ths_adjustment_nv_fund",G$3,$A413))</f>
        <v/>
      </c>
      <c r="H413" s="13" t="str">
        <f>IF($A413="","",[1]!thsiFinD("ths_adjustment_nv_fund",H$3,$A413))</f>
        <v/>
      </c>
      <c r="I413" s="13" t="str">
        <f>IF($A413="","",[1]!thsiFinD("ths_adjustment_nv_fund",I$3,$A413))</f>
        <v/>
      </c>
      <c r="J413" s="13" t="str">
        <f>IF($A413="","",[1]!thsiFinD("ths_adjustment_nv_fund",J$3,$A413))</f>
        <v/>
      </c>
      <c r="K413" s="13" t="str">
        <f>IF($A413="","",[1]!thsiFinD("ths_adjustment_nv_fund",K$3,$A413))</f>
        <v/>
      </c>
      <c r="L413" s="13" t="str">
        <f>IF($A413="","",[1]!thsiFinD("ths_adjustment_nv_fund",L$3,$A413))</f>
        <v/>
      </c>
      <c r="M413" s="13" t="str">
        <f>IF($A413="","",[1]!thsiFinD("ths_adjustment_nv_fund",M$3,$A413))</f>
        <v/>
      </c>
      <c r="N413" s="13" t="str">
        <f>IF($A413="","",[1]!thsiFinD("ths_adjustment_nv_fund",N$3,$A413))</f>
        <v/>
      </c>
      <c r="O413" s="13" t="str">
        <f>IF($A413="","",[1]!thsiFinD("ths_adjustment_nv_fund",O$3,$A413))</f>
        <v/>
      </c>
      <c r="P413" s="13" t="str">
        <f>IF($A413="","",[1]!thsiFinD("ths_adjustment_nv_fund",P$3,$A413))</f>
        <v/>
      </c>
      <c r="Q413" s="13" t="str">
        <f>IF($A413="","",[1]!thsiFinD("ths_adjustment_nv_fund",Q$3,$A413))</f>
        <v/>
      </c>
      <c r="R413" s="13" t="str">
        <f>IF($A413="","",[1]!thsiFinD("ths_adjustment_nv_fund",R$3,$A413))</f>
        <v/>
      </c>
      <c r="S413" s="13" t="str">
        <f>IF($A413="","",[1]!thsiFinD("ths_adjustment_nv_fund",S$3,$A413))</f>
        <v/>
      </c>
      <c r="T413" s="13" t="str">
        <f>IF($A413="","",[1]!thsiFinD("ths_adjustment_nv_fund",T$3,$A413))</f>
        <v/>
      </c>
      <c r="U413" s="13" t="str">
        <f>IF($A413="","",[1]!thsiFinD("ths_adjustment_nv_fund",U$3,$A413))</f>
        <v/>
      </c>
      <c r="V413" s="13" t="str">
        <f>IF($A413="","",[1]!thsiFinD("ths_adjustment_nv_fund",V$3,$A413))</f>
        <v/>
      </c>
      <c r="W413" s="13" t="str">
        <f>IF($A413="","",[1]!thsiFinD("ths_adjustment_nv_fund",W$3,$A413))</f>
        <v/>
      </c>
      <c r="X413" s="13" t="str">
        <f>IF($A413="","",[1]!thsiFinD("ths_adjustment_nv_fund",X$3,$A413))</f>
        <v/>
      </c>
      <c r="Y413" s="13" t="str">
        <f>IF($A413="","",[1]!thsiFinD("ths_adjustment_nv_fund",Y$3,$A413))</f>
        <v/>
      </c>
      <c r="Z413" s="13" t="str">
        <f>IF($A413="","",[1]!thsiFinD("ths_adjustment_nv_fund",Z$3,$A413))</f>
        <v/>
      </c>
      <c r="AA413" s="13" t="str">
        <f>IF($A413="","",[1]!thsiFinD("ths_adjustment_nv_fund",AA$3,$A413))</f>
        <v/>
      </c>
      <c r="AB413" s="13" t="str">
        <f>IF($A413="","",[1]!thsiFinD("ths_adjustment_nv_fund",AB$3,$A413))</f>
        <v/>
      </c>
    </row>
    <row r="414" spans="2:28">
      <c r="B414" s="13" t="str">
        <f>IF($A414="","",[1]!thsiFinD("ths_adjustment_nv_fund",B$3,$A414))</f>
        <v/>
      </c>
      <c r="C414" s="13" t="str">
        <f>IF($A414="","",[1]!thsiFinD("ths_adjustment_nv_fund",C$3,$A414))</f>
        <v/>
      </c>
      <c r="D414" s="13" t="str">
        <f>IF($A414="","",[1]!thsiFinD("ths_adjustment_nv_fund",D$3,$A414))</f>
        <v/>
      </c>
      <c r="E414" s="13" t="str">
        <f>IF($A414="","",[1]!thsiFinD("ths_adjustment_nv_fund",E$3,$A414))</f>
        <v/>
      </c>
      <c r="F414" s="13" t="str">
        <f>IF($A414="","",[1]!thsiFinD("ths_adjustment_nv_fund",F$3,$A414))</f>
        <v/>
      </c>
      <c r="G414" s="13" t="str">
        <f>IF($A414="","",[1]!thsiFinD("ths_adjustment_nv_fund",G$3,$A414))</f>
        <v/>
      </c>
      <c r="H414" s="13" t="str">
        <f>IF($A414="","",[1]!thsiFinD("ths_adjustment_nv_fund",H$3,$A414))</f>
        <v/>
      </c>
      <c r="I414" s="13" t="str">
        <f>IF($A414="","",[1]!thsiFinD("ths_adjustment_nv_fund",I$3,$A414))</f>
        <v/>
      </c>
      <c r="J414" s="13" t="str">
        <f>IF($A414="","",[1]!thsiFinD("ths_adjustment_nv_fund",J$3,$A414))</f>
        <v/>
      </c>
      <c r="K414" s="13" t="str">
        <f>IF($A414="","",[1]!thsiFinD("ths_adjustment_nv_fund",K$3,$A414))</f>
        <v/>
      </c>
      <c r="L414" s="13" t="str">
        <f>IF($A414="","",[1]!thsiFinD("ths_adjustment_nv_fund",L$3,$A414))</f>
        <v/>
      </c>
      <c r="M414" s="13" t="str">
        <f>IF($A414="","",[1]!thsiFinD("ths_adjustment_nv_fund",M$3,$A414))</f>
        <v/>
      </c>
      <c r="N414" s="13" t="str">
        <f>IF($A414="","",[1]!thsiFinD("ths_adjustment_nv_fund",N$3,$A414))</f>
        <v/>
      </c>
      <c r="O414" s="13" t="str">
        <f>IF($A414="","",[1]!thsiFinD("ths_adjustment_nv_fund",O$3,$A414))</f>
        <v/>
      </c>
      <c r="P414" s="13" t="str">
        <f>IF($A414="","",[1]!thsiFinD("ths_adjustment_nv_fund",P$3,$A414))</f>
        <v/>
      </c>
      <c r="Q414" s="13" t="str">
        <f>IF($A414="","",[1]!thsiFinD("ths_adjustment_nv_fund",Q$3,$A414))</f>
        <v/>
      </c>
      <c r="R414" s="13" t="str">
        <f>IF($A414="","",[1]!thsiFinD("ths_adjustment_nv_fund",R$3,$A414))</f>
        <v/>
      </c>
      <c r="S414" s="13" t="str">
        <f>IF($A414="","",[1]!thsiFinD("ths_adjustment_nv_fund",S$3,$A414))</f>
        <v/>
      </c>
      <c r="T414" s="13" t="str">
        <f>IF($A414="","",[1]!thsiFinD("ths_adjustment_nv_fund",T$3,$A414))</f>
        <v/>
      </c>
      <c r="U414" s="13" t="str">
        <f>IF($A414="","",[1]!thsiFinD("ths_adjustment_nv_fund",U$3,$A414))</f>
        <v/>
      </c>
      <c r="V414" s="13" t="str">
        <f>IF($A414="","",[1]!thsiFinD("ths_adjustment_nv_fund",V$3,$A414))</f>
        <v/>
      </c>
      <c r="W414" s="13" t="str">
        <f>IF($A414="","",[1]!thsiFinD("ths_adjustment_nv_fund",W$3,$A414))</f>
        <v/>
      </c>
      <c r="X414" s="13" t="str">
        <f>IF($A414="","",[1]!thsiFinD("ths_adjustment_nv_fund",X$3,$A414))</f>
        <v/>
      </c>
      <c r="Y414" s="13" t="str">
        <f>IF($A414="","",[1]!thsiFinD("ths_adjustment_nv_fund",Y$3,$A414))</f>
        <v/>
      </c>
      <c r="Z414" s="13" t="str">
        <f>IF($A414="","",[1]!thsiFinD("ths_adjustment_nv_fund",Z$3,$A414))</f>
        <v/>
      </c>
      <c r="AA414" s="13" t="str">
        <f>IF($A414="","",[1]!thsiFinD("ths_adjustment_nv_fund",AA$3,$A414))</f>
        <v/>
      </c>
      <c r="AB414" s="13" t="str">
        <f>IF($A414="","",[1]!thsiFinD("ths_adjustment_nv_fund",AB$3,$A414))</f>
        <v/>
      </c>
    </row>
    <row r="415" spans="2:28">
      <c r="B415" s="13" t="str">
        <f>IF($A415="","",[1]!thsiFinD("ths_adjustment_nv_fund",B$3,$A415))</f>
        <v/>
      </c>
      <c r="C415" s="13" t="str">
        <f>IF($A415="","",[1]!thsiFinD("ths_adjustment_nv_fund",C$3,$A415))</f>
        <v/>
      </c>
      <c r="D415" s="13" t="str">
        <f>IF($A415="","",[1]!thsiFinD("ths_adjustment_nv_fund",D$3,$A415))</f>
        <v/>
      </c>
      <c r="E415" s="13" t="str">
        <f>IF($A415="","",[1]!thsiFinD("ths_adjustment_nv_fund",E$3,$A415))</f>
        <v/>
      </c>
      <c r="F415" s="13" t="str">
        <f>IF($A415="","",[1]!thsiFinD("ths_adjustment_nv_fund",F$3,$A415))</f>
        <v/>
      </c>
      <c r="G415" s="13" t="str">
        <f>IF($A415="","",[1]!thsiFinD("ths_adjustment_nv_fund",G$3,$A415))</f>
        <v/>
      </c>
      <c r="H415" s="13" t="str">
        <f>IF($A415="","",[1]!thsiFinD("ths_adjustment_nv_fund",H$3,$A415))</f>
        <v/>
      </c>
      <c r="I415" s="13" t="str">
        <f>IF($A415="","",[1]!thsiFinD("ths_adjustment_nv_fund",I$3,$A415))</f>
        <v/>
      </c>
      <c r="J415" s="13" t="str">
        <f>IF($A415="","",[1]!thsiFinD("ths_adjustment_nv_fund",J$3,$A415))</f>
        <v/>
      </c>
      <c r="K415" s="13" t="str">
        <f>IF($A415="","",[1]!thsiFinD("ths_adjustment_nv_fund",K$3,$A415))</f>
        <v/>
      </c>
      <c r="L415" s="13" t="str">
        <f>IF($A415="","",[1]!thsiFinD("ths_adjustment_nv_fund",L$3,$A415))</f>
        <v/>
      </c>
      <c r="M415" s="13" t="str">
        <f>IF($A415="","",[1]!thsiFinD("ths_adjustment_nv_fund",M$3,$A415))</f>
        <v/>
      </c>
      <c r="N415" s="13" t="str">
        <f>IF($A415="","",[1]!thsiFinD("ths_adjustment_nv_fund",N$3,$A415))</f>
        <v/>
      </c>
      <c r="O415" s="13" t="str">
        <f>IF($A415="","",[1]!thsiFinD("ths_adjustment_nv_fund",O$3,$A415))</f>
        <v/>
      </c>
      <c r="P415" s="13" t="str">
        <f>IF($A415="","",[1]!thsiFinD("ths_adjustment_nv_fund",P$3,$A415))</f>
        <v/>
      </c>
      <c r="Q415" s="13" t="str">
        <f>IF($A415="","",[1]!thsiFinD("ths_adjustment_nv_fund",Q$3,$A415))</f>
        <v/>
      </c>
      <c r="R415" s="13" t="str">
        <f>IF($A415="","",[1]!thsiFinD("ths_adjustment_nv_fund",R$3,$A415))</f>
        <v/>
      </c>
      <c r="S415" s="13" t="str">
        <f>IF($A415="","",[1]!thsiFinD("ths_adjustment_nv_fund",S$3,$A415))</f>
        <v/>
      </c>
      <c r="T415" s="13" t="str">
        <f>IF($A415="","",[1]!thsiFinD("ths_adjustment_nv_fund",T$3,$A415))</f>
        <v/>
      </c>
      <c r="U415" s="13" t="str">
        <f>IF($A415="","",[1]!thsiFinD("ths_adjustment_nv_fund",U$3,$A415))</f>
        <v/>
      </c>
      <c r="V415" s="13" t="str">
        <f>IF($A415="","",[1]!thsiFinD("ths_adjustment_nv_fund",V$3,$A415))</f>
        <v/>
      </c>
      <c r="W415" s="13" t="str">
        <f>IF($A415="","",[1]!thsiFinD("ths_adjustment_nv_fund",W$3,$A415))</f>
        <v/>
      </c>
      <c r="X415" s="13" t="str">
        <f>IF($A415="","",[1]!thsiFinD("ths_adjustment_nv_fund",X$3,$A415))</f>
        <v/>
      </c>
      <c r="Y415" s="13" t="str">
        <f>IF($A415="","",[1]!thsiFinD("ths_adjustment_nv_fund",Y$3,$A415))</f>
        <v/>
      </c>
      <c r="Z415" s="13" t="str">
        <f>IF($A415="","",[1]!thsiFinD("ths_adjustment_nv_fund",Z$3,$A415))</f>
        <v/>
      </c>
      <c r="AA415" s="13" t="str">
        <f>IF($A415="","",[1]!thsiFinD("ths_adjustment_nv_fund",AA$3,$A415))</f>
        <v/>
      </c>
      <c r="AB415" s="13" t="str">
        <f>IF($A415="","",[1]!thsiFinD("ths_adjustment_nv_fund",AB$3,$A415))</f>
        <v/>
      </c>
    </row>
    <row r="416" spans="2:28">
      <c r="B416" s="13" t="str">
        <f>IF($A416="","",[1]!thsiFinD("ths_adjustment_nv_fund",B$3,$A416))</f>
        <v/>
      </c>
      <c r="C416" s="13" t="str">
        <f>IF($A416="","",[1]!thsiFinD("ths_adjustment_nv_fund",C$3,$A416))</f>
        <v/>
      </c>
      <c r="D416" s="13" t="str">
        <f>IF($A416="","",[1]!thsiFinD("ths_adjustment_nv_fund",D$3,$A416))</f>
        <v/>
      </c>
      <c r="E416" s="13" t="str">
        <f>IF($A416="","",[1]!thsiFinD("ths_adjustment_nv_fund",E$3,$A416))</f>
        <v/>
      </c>
      <c r="F416" s="13" t="str">
        <f>IF($A416="","",[1]!thsiFinD("ths_adjustment_nv_fund",F$3,$A416))</f>
        <v/>
      </c>
      <c r="G416" s="13" t="str">
        <f>IF($A416="","",[1]!thsiFinD("ths_adjustment_nv_fund",G$3,$A416))</f>
        <v/>
      </c>
      <c r="H416" s="13" t="str">
        <f>IF($A416="","",[1]!thsiFinD("ths_adjustment_nv_fund",H$3,$A416))</f>
        <v/>
      </c>
      <c r="I416" s="13" t="str">
        <f>IF($A416="","",[1]!thsiFinD("ths_adjustment_nv_fund",I$3,$A416))</f>
        <v/>
      </c>
      <c r="J416" s="13" t="str">
        <f>IF($A416="","",[1]!thsiFinD("ths_adjustment_nv_fund",J$3,$A416))</f>
        <v/>
      </c>
      <c r="K416" s="13" t="str">
        <f>IF($A416="","",[1]!thsiFinD("ths_adjustment_nv_fund",K$3,$A416))</f>
        <v/>
      </c>
      <c r="L416" s="13" t="str">
        <f>IF($A416="","",[1]!thsiFinD("ths_adjustment_nv_fund",L$3,$A416))</f>
        <v/>
      </c>
      <c r="M416" s="13" t="str">
        <f>IF($A416="","",[1]!thsiFinD("ths_adjustment_nv_fund",M$3,$A416))</f>
        <v/>
      </c>
      <c r="N416" s="13" t="str">
        <f>IF($A416="","",[1]!thsiFinD("ths_adjustment_nv_fund",N$3,$A416))</f>
        <v/>
      </c>
      <c r="O416" s="13" t="str">
        <f>IF($A416="","",[1]!thsiFinD("ths_adjustment_nv_fund",O$3,$A416))</f>
        <v/>
      </c>
      <c r="P416" s="13" t="str">
        <f>IF($A416="","",[1]!thsiFinD("ths_adjustment_nv_fund",P$3,$A416))</f>
        <v/>
      </c>
      <c r="Q416" s="13" t="str">
        <f>IF($A416="","",[1]!thsiFinD("ths_adjustment_nv_fund",Q$3,$A416))</f>
        <v/>
      </c>
      <c r="R416" s="13" t="str">
        <f>IF($A416="","",[1]!thsiFinD("ths_adjustment_nv_fund",R$3,$A416))</f>
        <v/>
      </c>
      <c r="S416" s="13" t="str">
        <f>IF($A416="","",[1]!thsiFinD("ths_adjustment_nv_fund",S$3,$A416))</f>
        <v/>
      </c>
      <c r="T416" s="13" t="str">
        <f>IF($A416="","",[1]!thsiFinD("ths_adjustment_nv_fund",T$3,$A416))</f>
        <v/>
      </c>
      <c r="U416" s="13" t="str">
        <f>IF($A416="","",[1]!thsiFinD("ths_adjustment_nv_fund",U$3,$A416))</f>
        <v/>
      </c>
      <c r="V416" s="13" t="str">
        <f>IF($A416="","",[1]!thsiFinD("ths_adjustment_nv_fund",V$3,$A416))</f>
        <v/>
      </c>
      <c r="W416" s="13" t="str">
        <f>IF($A416="","",[1]!thsiFinD("ths_adjustment_nv_fund",W$3,$A416))</f>
        <v/>
      </c>
      <c r="X416" s="13" t="str">
        <f>IF($A416="","",[1]!thsiFinD("ths_adjustment_nv_fund",X$3,$A416))</f>
        <v/>
      </c>
      <c r="Y416" s="13" t="str">
        <f>IF($A416="","",[1]!thsiFinD("ths_adjustment_nv_fund",Y$3,$A416))</f>
        <v/>
      </c>
      <c r="Z416" s="13" t="str">
        <f>IF($A416="","",[1]!thsiFinD("ths_adjustment_nv_fund",Z$3,$A416))</f>
        <v/>
      </c>
      <c r="AA416" s="13" t="str">
        <f>IF($A416="","",[1]!thsiFinD("ths_adjustment_nv_fund",AA$3,$A416))</f>
        <v/>
      </c>
      <c r="AB416" s="13" t="str">
        <f>IF($A416="","",[1]!thsiFinD("ths_adjustment_nv_fund",AB$3,$A416))</f>
        <v/>
      </c>
    </row>
    <row r="417" spans="2:28">
      <c r="B417" s="13" t="str">
        <f>IF($A417="","",[1]!thsiFinD("ths_adjustment_nv_fund",B$3,$A417))</f>
        <v/>
      </c>
      <c r="C417" s="13" t="str">
        <f>IF($A417="","",[1]!thsiFinD("ths_adjustment_nv_fund",C$3,$A417))</f>
        <v/>
      </c>
      <c r="D417" s="13" t="str">
        <f>IF($A417="","",[1]!thsiFinD("ths_adjustment_nv_fund",D$3,$A417))</f>
        <v/>
      </c>
      <c r="E417" s="13" t="str">
        <f>IF($A417="","",[1]!thsiFinD("ths_adjustment_nv_fund",E$3,$A417))</f>
        <v/>
      </c>
      <c r="F417" s="13" t="str">
        <f>IF($A417="","",[1]!thsiFinD("ths_adjustment_nv_fund",F$3,$A417))</f>
        <v/>
      </c>
      <c r="G417" s="13" t="str">
        <f>IF($A417="","",[1]!thsiFinD("ths_adjustment_nv_fund",G$3,$A417))</f>
        <v/>
      </c>
      <c r="H417" s="13" t="str">
        <f>IF($A417="","",[1]!thsiFinD("ths_adjustment_nv_fund",H$3,$A417))</f>
        <v/>
      </c>
      <c r="I417" s="13" t="str">
        <f>IF($A417="","",[1]!thsiFinD("ths_adjustment_nv_fund",I$3,$A417))</f>
        <v/>
      </c>
      <c r="J417" s="13" t="str">
        <f>IF($A417="","",[1]!thsiFinD("ths_adjustment_nv_fund",J$3,$A417))</f>
        <v/>
      </c>
      <c r="K417" s="13" t="str">
        <f>IF($A417="","",[1]!thsiFinD("ths_adjustment_nv_fund",K$3,$A417))</f>
        <v/>
      </c>
      <c r="L417" s="13" t="str">
        <f>IF($A417="","",[1]!thsiFinD("ths_adjustment_nv_fund",L$3,$A417))</f>
        <v/>
      </c>
      <c r="M417" s="13" t="str">
        <f>IF($A417="","",[1]!thsiFinD("ths_adjustment_nv_fund",M$3,$A417))</f>
        <v/>
      </c>
      <c r="N417" s="13" t="str">
        <f>IF($A417="","",[1]!thsiFinD("ths_adjustment_nv_fund",N$3,$A417))</f>
        <v/>
      </c>
      <c r="O417" s="13" t="str">
        <f>IF($A417="","",[1]!thsiFinD("ths_adjustment_nv_fund",O$3,$A417))</f>
        <v/>
      </c>
      <c r="P417" s="13" t="str">
        <f>IF($A417="","",[1]!thsiFinD("ths_adjustment_nv_fund",P$3,$A417))</f>
        <v/>
      </c>
      <c r="Q417" s="13" t="str">
        <f>IF($A417="","",[1]!thsiFinD("ths_adjustment_nv_fund",Q$3,$A417))</f>
        <v/>
      </c>
      <c r="R417" s="13" t="str">
        <f>IF($A417="","",[1]!thsiFinD("ths_adjustment_nv_fund",R$3,$A417))</f>
        <v/>
      </c>
      <c r="S417" s="13" t="str">
        <f>IF($A417="","",[1]!thsiFinD("ths_adjustment_nv_fund",S$3,$A417))</f>
        <v/>
      </c>
      <c r="T417" s="13" t="str">
        <f>IF($A417="","",[1]!thsiFinD("ths_adjustment_nv_fund",T$3,$A417))</f>
        <v/>
      </c>
      <c r="U417" s="13" t="str">
        <f>IF($A417="","",[1]!thsiFinD("ths_adjustment_nv_fund",U$3,$A417))</f>
        <v/>
      </c>
      <c r="V417" s="13" t="str">
        <f>IF($A417="","",[1]!thsiFinD("ths_adjustment_nv_fund",V$3,$A417))</f>
        <v/>
      </c>
      <c r="W417" s="13" t="str">
        <f>IF($A417="","",[1]!thsiFinD("ths_adjustment_nv_fund",W$3,$A417))</f>
        <v/>
      </c>
      <c r="X417" s="13" t="str">
        <f>IF($A417="","",[1]!thsiFinD("ths_adjustment_nv_fund",X$3,$A417))</f>
        <v/>
      </c>
      <c r="Y417" s="13" t="str">
        <f>IF($A417="","",[1]!thsiFinD("ths_adjustment_nv_fund",Y$3,$A417))</f>
        <v/>
      </c>
      <c r="Z417" s="13" t="str">
        <f>IF($A417="","",[1]!thsiFinD("ths_adjustment_nv_fund",Z$3,$A417))</f>
        <v/>
      </c>
      <c r="AA417" s="13" t="str">
        <f>IF($A417="","",[1]!thsiFinD("ths_adjustment_nv_fund",AA$3,$A417))</f>
        <v/>
      </c>
      <c r="AB417" s="13" t="str">
        <f>IF($A417="","",[1]!thsiFinD("ths_adjustment_nv_fund",AB$3,$A417))</f>
        <v/>
      </c>
    </row>
    <row r="418" spans="2:28">
      <c r="B418" s="13" t="str">
        <f>IF($A418="","",[1]!thsiFinD("ths_adjustment_nv_fund",B$3,$A418))</f>
        <v/>
      </c>
      <c r="C418" s="13" t="str">
        <f>IF($A418="","",[1]!thsiFinD("ths_adjustment_nv_fund",C$3,$A418))</f>
        <v/>
      </c>
      <c r="D418" s="13" t="str">
        <f>IF($A418="","",[1]!thsiFinD("ths_adjustment_nv_fund",D$3,$A418))</f>
        <v/>
      </c>
      <c r="E418" s="13" t="str">
        <f>IF($A418="","",[1]!thsiFinD("ths_adjustment_nv_fund",E$3,$A418))</f>
        <v/>
      </c>
      <c r="F418" s="13" t="str">
        <f>IF($A418="","",[1]!thsiFinD("ths_adjustment_nv_fund",F$3,$A418))</f>
        <v/>
      </c>
      <c r="G418" s="13" t="str">
        <f>IF($A418="","",[1]!thsiFinD("ths_adjustment_nv_fund",G$3,$A418))</f>
        <v/>
      </c>
      <c r="H418" s="13" t="str">
        <f>IF($A418="","",[1]!thsiFinD("ths_adjustment_nv_fund",H$3,$A418))</f>
        <v/>
      </c>
      <c r="I418" s="13" t="str">
        <f>IF($A418="","",[1]!thsiFinD("ths_adjustment_nv_fund",I$3,$A418))</f>
        <v/>
      </c>
      <c r="J418" s="13" t="str">
        <f>IF($A418="","",[1]!thsiFinD("ths_adjustment_nv_fund",J$3,$A418))</f>
        <v/>
      </c>
      <c r="K418" s="13" t="str">
        <f>IF($A418="","",[1]!thsiFinD("ths_adjustment_nv_fund",K$3,$A418))</f>
        <v/>
      </c>
      <c r="L418" s="13" t="str">
        <f>IF($A418="","",[1]!thsiFinD("ths_adjustment_nv_fund",L$3,$A418))</f>
        <v/>
      </c>
      <c r="M418" s="13" t="str">
        <f>IF($A418="","",[1]!thsiFinD("ths_adjustment_nv_fund",M$3,$A418))</f>
        <v/>
      </c>
      <c r="N418" s="13" t="str">
        <f>IF($A418="","",[1]!thsiFinD("ths_adjustment_nv_fund",N$3,$A418))</f>
        <v/>
      </c>
      <c r="O418" s="13" t="str">
        <f>IF($A418="","",[1]!thsiFinD("ths_adjustment_nv_fund",O$3,$A418))</f>
        <v/>
      </c>
      <c r="P418" s="13" t="str">
        <f>IF($A418="","",[1]!thsiFinD("ths_adjustment_nv_fund",P$3,$A418))</f>
        <v/>
      </c>
      <c r="Q418" s="13" t="str">
        <f>IF($A418="","",[1]!thsiFinD("ths_adjustment_nv_fund",Q$3,$A418))</f>
        <v/>
      </c>
      <c r="R418" s="13" t="str">
        <f>IF($A418="","",[1]!thsiFinD("ths_adjustment_nv_fund",R$3,$A418))</f>
        <v/>
      </c>
      <c r="S418" s="13" t="str">
        <f>IF($A418="","",[1]!thsiFinD("ths_adjustment_nv_fund",S$3,$A418))</f>
        <v/>
      </c>
      <c r="T418" s="13" t="str">
        <f>IF($A418="","",[1]!thsiFinD("ths_adjustment_nv_fund",T$3,$A418))</f>
        <v/>
      </c>
      <c r="U418" s="13" t="str">
        <f>IF($A418="","",[1]!thsiFinD("ths_adjustment_nv_fund",U$3,$A418))</f>
        <v/>
      </c>
      <c r="V418" s="13" t="str">
        <f>IF($A418="","",[1]!thsiFinD("ths_adjustment_nv_fund",V$3,$A418))</f>
        <v/>
      </c>
      <c r="W418" s="13" t="str">
        <f>IF($A418="","",[1]!thsiFinD("ths_adjustment_nv_fund",W$3,$A418))</f>
        <v/>
      </c>
      <c r="X418" s="13" t="str">
        <f>IF($A418="","",[1]!thsiFinD("ths_adjustment_nv_fund",X$3,$A418))</f>
        <v/>
      </c>
      <c r="Y418" s="13" t="str">
        <f>IF($A418="","",[1]!thsiFinD("ths_adjustment_nv_fund",Y$3,$A418))</f>
        <v/>
      </c>
      <c r="Z418" s="13" t="str">
        <f>IF($A418="","",[1]!thsiFinD("ths_adjustment_nv_fund",Z$3,$A418))</f>
        <v/>
      </c>
      <c r="AA418" s="13" t="str">
        <f>IF($A418="","",[1]!thsiFinD("ths_adjustment_nv_fund",AA$3,$A418))</f>
        <v/>
      </c>
      <c r="AB418" s="13" t="str">
        <f>IF($A418="","",[1]!thsiFinD("ths_adjustment_nv_fund",AB$3,$A418))</f>
        <v/>
      </c>
    </row>
    <row r="419" spans="2:28">
      <c r="B419" s="13" t="str">
        <f>IF($A419="","",[1]!thsiFinD("ths_adjustment_nv_fund",B$3,$A419))</f>
        <v/>
      </c>
      <c r="C419" s="13" t="str">
        <f>IF($A419="","",[1]!thsiFinD("ths_adjustment_nv_fund",C$3,$A419))</f>
        <v/>
      </c>
      <c r="D419" s="13" t="str">
        <f>IF($A419="","",[1]!thsiFinD("ths_adjustment_nv_fund",D$3,$A419))</f>
        <v/>
      </c>
      <c r="E419" s="13" t="str">
        <f>IF($A419="","",[1]!thsiFinD("ths_adjustment_nv_fund",E$3,$A419))</f>
        <v/>
      </c>
      <c r="F419" s="13" t="str">
        <f>IF($A419="","",[1]!thsiFinD("ths_adjustment_nv_fund",F$3,$A419))</f>
        <v/>
      </c>
      <c r="G419" s="13" t="str">
        <f>IF($A419="","",[1]!thsiFinD("ths_adjustment_nv_fund",G$3,$A419))</f>
        <v/>
      </c>
      <c r="H419" s="13" t="str">
        <f>IF($A419="","",[1]!thsiFinD("ths_adjustment_nv_fund",H$3,$A419))</f>
        <v/>
      </c>
      <c r="I419" s="13" t="str">
        <f>IF($A419="","",[1]!thsiFinD("ths_adjustment_nv_fund",I$3,$A419))</f>
        <v/>
      </c>
      <c r="J419" s="13" t="str">
        <f>IF($A419="","",[1]!thsiFinD("ths_adjustment_nv_fund",J$3,$A419))</f>
        <v/>
      </c>
      <c r="K419" s="13" t="str">
        <f>IF($A419="","",[1]!thsiFinD("ths_adjustment_nv_fund",K$3,$A419))</f>
        <v/>
      </c>
      <c r="L419" s="13" t="str">
        <f>IF($A419="","",[1]!thsiFinD("ths_adjustment_nv_fund",L$3,$A419))</f>
        <v/>
      </c>
      <c r="M419" s="13" t="str">
        <f>IF($A419="","",[1]!thsiFinD("ths_adjustment_nv_fund",M$3,$A419))</f>
        <v/>
      </c>
      <c r="N419" s="13" t="str">
        <f>IF($A419="","",[1]!thsiFinD("ths_adjustment_nv_fund",N$3,$A419))</f>
        <v/>
      </c>
      <c r="O419" s="13" t="str">
        <f>IF($A419="","",[1]!thsiFinD("ths_adjustment_nv_fund",O$3,$A419))</f>
        <v/>
      </c>
      <c r="P419" s="13" t="str">
        <f>IF($A419="","",[1]!thsiFinD("ths_adjustment_nv_fund",P$3,$A419))</f>
        <v/>
      </c>
      <c r="Q419" s="13" t="str">
        <f>IF($A419="","",[1]!thsiFinD("ths_adjustment_nv_fund",Q$3,$A419))</f>
        <v/>
      </c>
      <c r="R419" s="13" t="str">
        <f>IF($A419="","",[1]!thsiFinD("ths_adjustment_nv_fund",R$3,$A419))</f>
        <v/>
      </c>
      <c r="S419" s="13" t="str">
        <f>IF($A419="","",[1]!thsiFinD("ths_adjustment_nv_fund",S$3,$A419))</f>
        <v/>
      </c>
      <c r="T419" s="13" t="str">
        <f>IF($A419="","",[1]!thsiFinD("ths_adjustment_nv_fund",T$3,$A419))</f>
        <v/>
      </c>
      <c r="U419" s="13" t="str">
        <f>IF($A419="","",[1]!thsiFinD("ths_adjustment_nv_fund",U$3,$A419))</f>
        <v/>
      </c>
      <c r="V419" s="13" t="str">
        <f>IF($A419="","",[1]!thsiFinD("ths_adjustment_nv_fund",V$3,$A419))</f>
        <v/>
      </c>
      <c r="W419" s="13" t="str">
        <f>IF($A419="","",[1]!thsiFinD("ths_adjustment_nv_fund",W$3,$A419))</f>
        <v/>
      </c>
      <c r="X419" s="13" t="str">
        <f>IF($A419="","",[1]!thsiFinD("ths_adjustment_nv_fund",X$3,$A419))</f>
        <v/>
      </c>
      <c r="Y419" s="13" t="str">
        <f>IF($A419="","",[1]!thsiFinD("ths_adjustment_nv_fund",Y$3,$A419))</f>
        <v/>
      </c>
      <c r="Z419" s="13" t="str">
        <f>IF($A419="","",[1]!thsiFinD("ths_adjustment_nv_fund",Z$3,$A419))</f>
        <v/>
      </c>
      <c r="AA419" s="13" t="str">
        <f>IF($A419="","",[1]!thsiFinD("ths_adjustment_nv_fund",AA$3,$A419))</f>
        <v/>
      </c>
      <c r="AB419" s="13" t="str">
        <f>IF($A419="","",[1]!thsiFinD("ths_adjustment_nv_fund",AB$3,$A419))</f>
        <v/>
      </c>
    </row>
    <row r="420" spans="2:28">
      <c r="B420" s="13" t="str">
        <f>IF($A420="","",[1]!thsiFinD("ths_adjustment_nv_fund",B$3,$A420))</f>
        <v/>
      </c>
      <c r="C420" s="13" t="str">
        <f>IF($A420="","",[1]!thsiFinD("ths_adjustment_nv_fund",C$3,$A420))</f>
        <v/>
      </c>
      <c r="D420" s="13" t="str">
        <f>IF($A420="","",[1]!thsiFinD("ths_adjustment_nv_fund",D$3,$A420))</f>
        <v/>
      </c>
      <c r="E420" s="13" t="str">
        <f>IF($A420="","",[1]!thsiFinD("ths_adjustment_nv_fund",E$3,$A420))</f>
        <v/>
      </c>
      <c r="F420" s="13" t="str">
        <f>IF($A420="","",[1]!thsiFinD("ths_adjustment_nv_fund",F$3,$A420))</f>
        <v/>
      </c>
      <c r="G420" s="13" t="str">
        <f>IF($A420="","",[1]!thsiFinD("ths_adjustment_nv_fund",G$3,$A420))</f>
        <v/>
      </c>
      <c r="H420" s="13" t="str">
        <f>IF($A420="","",[1]!thsiFinD("ths_adjustment_nv_fund",H$3,$A420))</f>
        <v/>
      </c>
      <c r="I420" s="13" t="str">
        <f>IF($A420="","",[1]!thsiFinD("ths_adjustment_nv_fund",I$3,$A420))</f>
        <v/>
      </c>
      <c r="J420" s="13" t="str">
        <f>IF($A420="","",[1]!thsiFinD("ths_adjustment_nv_fund",J$3,$A420))</f>
        <v/>
      </c>
      <c r="K420" s="13" t="str">
        <f>IF($A420="","",[1]!thsiFinD("ths_adjustment_nv_fund",K$3,$A420))</f>
        <v/>
      </c>
      <c r="L420" s="13" t="str">
        <f>IF($A420="","",[1]!thsiFinD("ths_adjustment_nv_fund",L$3,$A420))</f>
        <v/>
      </c>
      <c r="M420" s="13" t="str">
        <f>IF($A420="","",[1]!thsiFinD("ths_adjustment_nv_fund",M$3,$A420))</f>
        <v/>
      </c>
      <c r="N420" s="13" t="str">
        <f>IF($A420="","",[1]!thsiFinD("ths_adjustment_nv_fund",N$3,$A420))</f>
        <v/>
      </c>
      <c r="O420" s="13" t="str">
        <f>IF($A420="","",[1]!thsiFinD("ths_adjustment_nv_fund",O$3,$A420))</f>
        <v/>
      </c>
      <c r="P420" s="13" t="str">
        <f>IF($A420="","",[1]!thsiFinD("ths_adjustment_nv_fund",P$3,$A420))</f>
        <v/>
      </c>
      <c r="Q420" s="13" t="str">
        <f>IF($A420="","",[1]!thsiFinD("ths_adjustment_nv_fund",Q$3,$A420))</f>
        <v/>
      </c>
      <c r="R420" s="13" t="str">
        <f>IF($A420="","",[1]!thsiFinD("ths_adjustment_nv_fund",R$3,$A420))</f>
        <v/>
      </c>
      <c r="S420" s="13" t="str">
        <f>IF($A420="","",[1]!thsiFinD("ths_adjustment_nv_fund",S$3,$A420))</f>
        <v/>
      </c>
      <c r="T420" s="13" t="str">
        <f>IF($A420="","",[1]!thsiFinD("ths_adjustment_nv_fund",T$3,$A420))</f>
        <v/>
      </c>
      <c r="U420" s="13" t="str">
        <f>IF($A420="","",[1]!thsiFinD("ths_adjustment_nv_fund",U$3,$A420))</f>
        <v/>
      </c>
      <c r="V420" s="13" t="str">
        <f>IF($A420="","",[1]!thsiFinD("ths_adjustment_nv_fund",V$3,$A420))</f>
        <v/>
      </c>
      <c r="W420" s="13" t="str">
        <f>IF($A420="","",[1]!thsiFinD("ths_adjustment_nv_fund",W$3,$A420))</f>
        <v/>
      </c>
      <c r="X420" s="13" t="str">
        <f>IF($A420="","",[1]!thsiFinD("ths_adjustment_nv_fund",X$3,$A420))</f>
        <v/>
      </c>
      <c r="Y420" s="13" t="str">
        <f>IF($A420="","",[1]!thsiFinD("ths_adjustment_nv_fund",Y$3,$A420))</f>
        <v/>
      </c>
      <c r="Z420" s="13" t="str">
        <f>IF($A420="","",[1]!thsiFinD("ths_adjustment_nv_fund",Z$3,$A420))</f>
        <v/>
      </c>
      <c r="AA420" s="13" t="str">
        <f>IF($A420="","",[1]!thsiFinD("ths_adjustment_nv_fund",AA$3,$A420))</f>
        <v/>
      </c>
      <c r="AB420" s="13" t="str">
        <f>IF($A420="","",[1]!thsiFinD("ths_adjustment_nv_fund",AB$3,$A420))</f>
        <v/>
      </c>
    </row>
    <row r="421" spans="2:28">
      <c r="B421" s="13" t="str">
        <f>IF($A421="","",[1]!thsiFinD("ths_adjustment_nv_fund",B$3,$A421))</f>
        <v/>
      </c>
      <c r="C421" s="13" t="str">
        <f>IF($A421="","",[1]!thsiFinD("ths_adjustment_nv_fund",C$3,$A421))</f>
        <v/>
      </c>
      <c r="D421" s="13" t="str">
        <f>IF($A421="","",[1]!thsiFinD("ths_adjustment_nv_fund",D$3,$A421))</f>
        <v/>
      </c>
      <c r="E421" s="13" t="str">
        <f>IF($A421="","",[1]!thsiFinD("ths_adjustment_nv_fund",E$3,$A421))</f>
        <v/>
      </c>
      <c r="F421" s="13" t="str">
        <f>IF($A421="","",[1]!thsiFinD("ths_adjustment_nv_fund",F$3,$A421))</f>
        <v/>
      </c>
      <c r="G421" s="13" t="str">
        <f>IF($A421="","",[1]!thsiFinD("ths_adjustment_nv_fund",G$3,$A421))</f>
        <v/>
      </c>
      <c r="H421" s="13" t="str">
        <f>IF($A421="","",[1]!thsiFinD("ths_adjustment_nv_fund",H$3,$A421))</f>
        <v/>
      </c>
      <c r="I421" s="13" t="str">
        <f>IF($A421="","",[1]!thsiFinD("ths_adjustment_nv_fund",I$3,$A421))</f>
        <v/>
      </c>
      <c r="J421" s="13" t="str">
        <f>IF($A421="","",[1]!thsiFinD("ths_adjustment_nv_fund",J$3,$A421))</f>
        <v/>
      </c>
      <c r="K421" s="13" t="str">
        <f>IF($A421="","",[1]!thsiFinD("ths_adjustment_nv_fund",K$3,$A421))</f>
        <v/>
      </c>
      <c r="L421" s="13" t="str">
        <f>IF($A421="","",[1]!thsiFinD("ths_adjustment_nv_fund",L$3,$A421))</f>
        <v/>
      </c>
      <c r="M421" s="13" t="str">
        <f>IF($A421="","",[1]!thsiFinD("ths_adjustment_nv_fund",M$3,$A421))</f>
        <v/>
      </c>
      <c r="N421" s="13" t="str">
        <f>IF($A421="","",[1]!thsiFinD("ths_adjustment_nv_fund",N$3,$A421))</f>
        <v/>
      </c>
      <c r="O421" s="13" t="str">
        <f>IF($A421="","",[1]!thsiFinD("ths_adjustment_nv_fund",O$3,$A421))</f>
        <v/>
      </c>
      <c r="P421" s="13" t="str">
        <f>IF($A421="","",[1]!thsiFinD("ths_adjustment_nv_fund",P$3,$A421))</f>
        <v/>
      </c>
      <c r="Q421" s="13" t="str">
        <f>IF($A421="","",[1]!thsiFinD("ths_adjustment_nv_fund",Q$3,$A421))</f>
        <v/>
      </c>
      <c r="R421" s="13" t="str">
        <f>IF($A421="","",[1]!thsiFinD("ths_adjustment_nv_fund",R$3,$A421))</f>
        <v/>
      </c>
      <c r="S421" s="13" t="str">
        <f>IF($A421="","",[1]!thsiFinD("ths_adjustment_nv_fund",S$3,$A421))</f>
        <v/>
      </c>
      <c r="T421" s="13" t="str">
        <f>IF($A421="","",[1]!thsiFinD("ths_adjustment_nv_fund",T$3,$A421))</f>
        <v/>
      </c>
      <c r="U421" s="13" t="str">
        <f>IF($A421="","",[1]!thsiFinD("ths_adjustment_nv_fund",U$3,$A421))</f>
        <v/>
      </c>
      <c r="V421" s="13" t="str">
        <f>IF($A421="","",[1]!thsiFinD("ths_adjustment_nv_fund",V$3,$A421))</f>
        <v/>
      </c>
      <c r="W421" s="13" t="str">
        <f>IF($A421="","",[1]!thsiFinD("ths_adjustment_nv_fund",W$3,$A421))</f>
        <v/>
      </c>
      <c r="X421" s="13" t="str">
        <f>IF($A421="","",[1]!thsiFinD("ths_adjustment_nv_fund",X$3,$A421))</f>
        <v/>
      </c>
      <c r="Y421" s="13" t="str">
        <f>IF($A421="","",[1]!thsiFinD("ths_adjustment_nv_fund",Y$3,$A421))</f>
        <v/>
      </c>
      <c r="Z421" s="13" t="str">
        <f>IF($A421="","",[1]!thsiFinD("ths_adjustment_nv_fund",Z$3,$A421))</f>
        <v/>
      </c>
      <c r="AA421" s="13" t="str">
        <f>IF($A421="","",[1]!thsiFinD("ths_adjustment_nv_fund",AA$3,$A421))</f>
        <v/>
      </c>
      <c r="AB421" s="13" t="str">
        <f>IF($A421="","",[1]!thsiFinD("ths_adjustment_nv_fund",AB$3,$A421))</f>
        <v/>
      </c>
    </row>
    <row r="422" spans="2:28">
      <c r="B422" s="13" t="str">
        <f>IF($A422="","",[1]!thsiFinD("ths_adjustment_nv_fund",B$3,$A422))</f>
        <v/>
      </c>
      <c r="C422" s="13" t="str">
        <f>IF($A422="","",[1]!thsiFinD("ths_adjustment_nv_fund",C$3,$A422))</f>
        <v/>
      </c>
      <c r="D422" s="13" t="str">
        <f>IF($A422="","",[1]!thsiFinD("ths_adjustment_nv_fund",D$3,$A422))</f>
        <v/>
      </c>
      <c r="E422" s="13" t="str">
        <f>IF($A422="","",[1]!thsiFinD("ths_adjustment_nv_fund",E$3,$A422))</f>
        <v/>
      </c>
      <c r="F422" s="13" t="str">
        <f>IF($A422="","",[1]!thsiFinD("ths_adjustment_nv_fund",F$3,$A422))</f>
        <v/>
      </c>
      <c r="G422" s="13" t="str">
        <f>IF($A422="","",[1]!thsiFinD("ths_adjustment_nv_fund",G$3,$A422))</f>
        <v/>
      </c>
      <c r="H422" s="13" t="str">
        <f>IF($A422="","",[1]!thsiFinD("ths_adjustment_nv_fund",H$3,$A422))</f>
        <v/>
      </c>
      <c r="I422" s="13" t="str">
        <f>IF($A422="","",[1]!thsiFinD("ths_adjustment_nv_fund",I$3,$A422))</f>
        <v/>
      </c>
      <c r="J422" s="13" t="str">
        <f>IF($A422="","",[1]!thsiFinD("ths_adjustment_nv_fund",J$3,$A422))</f>
        <v/>
      </c>
      <c r="K422" s="13" t="str">
        <f>IF($A422="","",[1]!thsiFinD("ths_adjustment_nv_fund",K$3,$A422))</f>
        <v/>
      </c>
      <c r="L422" s="13" t="str">
        <f>IF($A422="","",[1]!thsiFinD("ths_adjustment_nv_fund",L$3,$A422))</f>
        <v/>
      </c>
      <c r="M422" s="13" t="str">
        <f>IF($A422="","",[1]!thsiFinD("ths_adjustment_nv_fund",M$3,$A422))</f>
        <v/>
      </c>
      <c r="N422" s="13" t="str">
        <f>IF($A422="","",[1]!thsiFinD("ths_adjustment_nv_fund",N$3,$A422))</f>
        <v/>
      </c>
      <c r="O422" s="13" t="str">
        <f>IF($A422="","",[1]!thsiFinD("ths_adjustment_nv_fund",O$3,$A422))</f>
        <v/>
      </c>
      <c r="P422" s="13" t="str">
        <f>IF($A422="","",[1]!thsiFinD("ths_adjustment_nv_fund",P$3,$A422))</f>
        <v/>
      </c>
      <c r="Q422" s="13" t="str">
        <f>IF($A422="","",[1]!thsiFinD("ths_adjustment_nv_fund",Q$3,$A422))</f>
        <v/>
      </c>
      <c r="R422" s="13" t="str">
        <f>IF($A422="","",[1]!thsiFinD("ths_adjustment_nv_fund",R$3,$A422))</f>
        <v/>
      </c>
      <c r="S422" s="13" t="str">
        <f>IF($A422="","",[1]!thsiFinD("ths_adjustment_nv_fund",S$3,$A422))</f>
        <v/>
      </c>
      <c r="T422" s="13" t="str">
        <f>IF($A422="","",[1]!thsiFinD("ths_adjustment_nv_fund",T$3,$A422))</f>
        <v/>
      </c>
      <c r="U422" s="13" t="str">
        <f>IF($A422="","",[1]!thsiFinD("ths_adjustment_nv_fund",U$3,$A422))</f>
        <v/>
      </c>
      <c r="V422" s="13" t="str">
        <f>IF($A422="","",[1]!thsiFinD("ths_adjustment_nv_fund",V$3,$A422))</f>
        <v/>
      </c>
      <c r="W422" s="13" t="str">
        <f>IF($A422="","",[1]!thsiFinD("ths_adjustment_nv_fund",W$3,$A422))</f>
        <v/>
      </c>
      <c r="X422" s="13" t="str">
        <f>IF($A422="","",[1]!thsiFinD("ths_adjustment_nv_fund",X$3,$A422))</f>
        <v/>
      </c>
      <c r="Y422" s="13" t="str">
        <f>IF($A422="","",[1]!thsiFinD("ths_adjustment_nv_fund",Y$3,$A422))</f>
        <v/>
      </c>
      <c r="Z422" s="13" t="str">
        <f>IF($A422="","",[1]!thsiFinD("ths_adjustment_nv_fund",Z$3,$A422))</f>
        <v/>
      </c>
      <c r="AA422" s="13" t="str">
        <f>IF($A422="","",[1]!thsiFinD("ths_adjustment_nv_fund",AA$3,$A422))</f>
        <v/>
      </c>
      <c r="AB422" s="13" t="str">
        <f>IF($A422="","",[1]!thsiFinD("ths_adjustment_nv_fund",AB$3,$A422))</f>
        <v/>
      </c>
    </row>
    <row r="423" spans="2:28">
      <c r="B423" s="13" t="str">
        <f>IF($A423="","",[1]!thsiFinD("ths_adjustment_nv_fund",B$3,$A423))</f>
        <v/>
      </c>
      <c r="C423" s="13" t="str">
        <f>IF($A423="","",[1]!thsiFinD("ths_adjustment_nv_fund",C$3,$A423))</f>
        <v/>
      </c>
      <c r="D423" s="13" t="str">
        <f>IF($A423="","",[1]!thsiFinD("ths_adjustment_nv_fund",D$3,$A423))</f>
        <v/>
      </c>
      <c r="E423" s="13" t="str">
        <f>IF($A423="","",[1]!thsiFinD("ths_adjustment_nv_fund",E$3,$A423))</f>
        <v/>
      </c>
      <c r="F423" s="13" t="str">
        <f>IF($A423="","",[1]!thsiFinD("ths_adjustment_nv_fund",F$3,$A423))</f>
        <v/>
      </c>
      <c r="G423" s="13" t="str">
        <f>IF($A423="","",[1]!thsiFinD("ths_adjustment_nv_fund",G$3,$A423))</f>
        <v/>
      </c>
      <c r="H423" s="13" t="str">
        <f>IF($A423="","",[1]!thsiFinD("ths_adjustment_nv_fund",H$3,$A423))</f>
        <v/>
      </c>
      <c r="I423" s="13" t="str">
        <f>IF($A423="","",[1]!thsiFinD("ths_adjustment_nv_fund",I$3,$A423))</f>
        <v/>
      </c>
      <c r="J423" s="13" t="str">
        <f>IF($A423="","",[1]!thsiFinD("ths_adjustment_nv_fund",J$3,$A423))</f>
        <v/>
      </c>
      <c r="K423" s="13" t="str">
        <f>IF($A423="","",[1]!thsiFinD("ths_adjustment_nv_fund",K$3,$A423))</f>
        <v/>
      </c>
      <c r="L423" s="13" t="str">
        <f>IF($A423="","",[1]!thsiFinD("ths_adjustment_nv_fund",L$3,$A423))</f>
        <v/>
      </c>
      <c r="M423" s="13" t="str">
        <f>IF($A423="","",[1]!thsiFinD("ths_adjustment_nv_fund",M$3,$A423))</f>
        <v/>
      </c>
      <c r="N423" s="13" t="str">
        <f>IF($A423="","",[1]!thsiFinD("ths_adjustment_nv_fund",N$3,$A423))</f>
        <v/>
      </c>
      <c r="O423" s="13" t="str">
        <f>IF($A423="","",[1]!thsiFinD("ths_adjustment_nv_fund",O$3,$A423))</f>
        <v/>
      </c>
      <c r="P423" s="13" t="str">
        <f>IF($A423="","",[1]!thsiFinD("ths_adjustment_nv_fund",P$3,$A423))</f>
        <v/>
      </c>
      <c r="Q423" s="13" t="str">
        <f>IF($A423="","",[1]!thsiFinD("ths_adjustment_nv_fund",Q$3,$A423))</f>
        <v/>
      </c>
      <c r="R423" s="13" t="str">
        <f>IF($A423="","",[1]!thsiFinD("ths_adjustment_nv_fund",R$3,$A423))</f>
        <v/>
      </c>
      <c r="S423" s="13" t="str">
        <f>IF($A423="","",[1]!thsiFinD("ths_adjustment_nv_fund",S$3,$A423))</f>
        <v/>
      </c>
      <c r="T423" s="13" t="str">
        <f>IF($A423="","",[1]!thsiFinD("ths_adjustment_nv_fund",T$3,$A423))</f>
        <v/>
      </c>
      <c r="U423" s="13" t="str">
        <f>IF($A423="","",[1]!thsiFinD("ths_adjustment_nv_fund",U$3,$A423))</f>
        <v/>
      </c>
      <c r="V423" s="13" t="str">
        <f>IF($A423="","",[1]!thsiFinD("ths_adjustment_nv_fund",V$3,$A423))</f>
        <v/>
      </c>
      <c r="W423" s="13" t="str">
        <f>IF($A423="","",[1]!thsiFinD("ths_adjustment_nv_fund",W$3,$A423))</f>
        <v/>
      </c>
      <c r="X423" s="13" t="str">
        <f>IF($A423="","",[1]!thsiFinD("ths_adjustment_nv_fund",X$3,$A423))</f>
        <v/>
      </c>
      <c r="Y423" s="13" t="str">
        <f>IF($A423="","",[1]!thsiFinD("ths_adjustment_nv_fund",Y$3,$A423))</f>
        <v/>
      </c>
      <c r="Z423" s="13" t="str">
        <f>IF($A423="","",[1]!thsiFinD("ths_adjustment_nv_fund",Z$3,$A423))</f>
        <v/>
      </c>
      <c r="AA423" s="13" t="str">
        <f>IF($A423="","",[1]!thsiFinD("ths_adjustment_nv_fund",AA$3,$A423))</f>
        <v/>
      </c>
      <c r="AB423" s="13" t="str">
        <f>IF($A423="","",[1]!thsiFinD("ths_adjustment_nv_fund",AB$3,$A423))</f>
        <v/>
      </c>
    </row>
    <row r="424" spans="2:28">
      <c r="B424" s="13" t="str">
        <f>IF($A424="","",[1]!thsiFinD("ths_adjustment_nv_fund",B$3,$A424))</f>
        <v/>
      </c>
      <c r="C424" s="13" t="str">
        <f>IF($A424="","",[1]!thsiFinD("ths_adjustment_nv_fund",C$3,$A424))</f>
        <v/>
      </c>
      <c r="D424" s="13" t="str">
        <f>IF($A424="","",[1]!thsiFinD("ths_adjustment_nv_fund",D$3,$A424))</f>
        <v/>
      </c>
      <c r="E424" s="13" t="str">
        <f>IF($A424="","",[1]!thsiFinD("ths_adjustment_nv_fund",E$3,$A424))</f>
        <v/>
      </c>
      <c r="F424" s="13" t="str">
        <f>IF($A424="","",[1]!thsiFinD("ths_adjustment_nv_fund",F$3,$A424))</f>
        <v/>
      </c>
      <c r="G424" s="13" t="str">
        <f>IF($A424="","",[1]!thsiFinD("ths_adjustment_nv_fund",G$3,$A424))</f>
        <v/>
      </c>
      <c r="H424" s="13" t="str">
        <f>IF($A424="","",[1]!thsiFinD("ths_adjustment_nv_fund",H$3,$A424))</f>
        <v/>
      </c>
      <c r="I424" s="13" t="str">
        <f>IF($A424="","",[1]!thsiFinD("ths_adjustment_nv_fund",I$3,$A424))</f>
        <v/>
      </c>
      <c r="J424" s="13" t="str">
        <f>IF($A424="","",[1]!thsiFinD("ths_adjustment_nv_fund",J$3,$A424))</f>
        <v/>
      </c>
      <c r="K424" s="13" t="str">
        <f>IF($A424="","",[1]!thsiFinD("ths_adjustment_nv_fund",K$3,$A424))</f>
        <v/>
      </c>
      <c r="L424" s="13" t="str">
        <f>IF($A424="","",[1]!thsiFinD("ths_adjustment_nv_fund",L$3,$A424))</f>
        <v/>
      </c>
      <c r="M424" s="13" t="str">
        <f>IF($A424="","",[1]!thsiFinD("ths_adjustment_nv_fund",M$3,$A424))</f>
        <v/>
      </c>
      <c r="N424" s="13" t="str">
        <f>IF($A424="","",[1]!thsiFinD("ths_adjustment_nv_fund",N$3,$A424))</f>
        <v/>
      </c>
      <c r="O424" s="13" t="str">
        <f>IF($A424="","",[1]!thsiFinD("ths_adjustment_nv_fund",O$3,$A424))</f>
        <v/>
      </c>
      <c r="P424" s="13" t="str">
        <f>IF($A424="","",[1]!thsiFinD("ths_adjustment_nv_fund",P$3,$A424))</f>
        <v/>
      </c>
      <c r="Q424" s="13" t="str">
        <f>IF($A424="","",[1]!thsiFinD("ths_adjustment_nv_fund",Q$3,$A424))</f>
        <v/>
      </c>
      <c r="R424" s="13" t="str">
        <f>IF($A424="","",[1]!thsiFinD("ths_adjustment_nv_fund",R$3,$A424))</f>
        <v/>
      </c>
      <c r="S424" s="13" t="str">
        <f>IF($A424="","",[1]!thsiFinD("ths_adjustment_nv_fund",S$3,$A424))</f>
        <v/>
      </c>
      <c r="T424" s="13" t="str">
        <f>IF($A424="","",[1]!thsiFinD("ths_adjustment_nv_fund",T$3,$A424))</f>
        <v/>
      </c>
      <c r="U424" s="13" t="str">
        <f>IF($A424="","",[1]!thsiFinD("ths_adjustment_nv_fund",U$3,$A424))</f>
        <v/>
      </c>
      <c r="V424" s="13" t="str">
        <f>IF($A424="","",[1]!thsiFinD("ths_adjustment_nv_fund",V$3,$A424))</f>
        <v/>
      </c>
      <c r="W424" s="13" t="str">
        <f>IF($A424="","",[1]!thsiFinD("ths_adjustment_nv_fund",W$3,$A424))</f>
        <v/>
      </c>
      <c r="X424" s="13" t="str">
        <f>IF($A424="","",[1]!thsiFinD("ths_adjustment_nv_fund",X$3,$A424))</f>
        <v/>
      </c>
      <c r="Y424" s="13" t="str">
        <f>IF($A424="","",[1]!thsiFinD("ths_adjustment_nv_fund",Y$3,$A424))</f>
        <v/>
      </c>
      <c r="Z424" s="13" t="str">
        <f>IF($A424="","",[1]!thsiFinD("ths_adjustment_nv_fund",Z$3,$A424))</f>
        <v/>
      </c>
      <c r="AA424" s="13" t="str">
        <f>IF($A424="","",[1]!thsiFinD("ths_adjustment_nv_fund",AA$3,$A424))</f>
        <v/>
      </c>
      <c r="AB424" s="13" t="str">
        <f>IF($A424="","",[1]!thsiFinD("ths_adjustment_nv_fund",AB$3,$A424))</f>
        <v/>
      </c>
    </row>
    <row r="425" spans="2:28">
      <c r="B425" s="13" t="str">
        <f>IF($A425="","",[1]!thsiFinD("ths_adjustment_nv_fund",B$3,$A425))</f>
        <v/>
      </c>
      <c r="C425" s="13" t="str">
        <f>IF($A425="","",[1]!thsiFinD("ths_adjustment_nv_fund",C$3,$A425))</f>
        <v/>
      </c>
      <c r="D425" s="13" t="str">
        <f>IF($A425="","",[1]!thsiFinD("ths_adjustment_nv_fund",D$3,$A425))</f>
        <v/>
      </c>
      <c r="E425" s="13" t="str">
        <f>IF($A425="","",[1]!thsiFinD("ths_adjustment_nv_fund",E$3,$A425))</f>
        <v/>
      </c>
      <c r="F425" s="13" t="str">
        <f>IF($A425="","",[1]!thsiFinD("ths_adjustment_nv_fund",F$3,$A425))</f>
        <v/>
      </c>
      <c r="G425" s="13" t="str">
        <f>IF($A425="","",[1]!thsiFinD("ths_adjustment_nv_fund",G$3,$A425))</f>
        <v/>
      </c>
      <c r="H425" s="13" t="str">
        <f>IF($A425="","",[1]!thsiFinD("ths_adjustment_nv_fund",H$3,$A425))</f>
        <v/>
      </c>
      <c r="I425" s="13" t="str">
        <f>IF($A425="","",[1]!thsiFinD("ths_adjustment_nv_fund",I$3,$A425))</f>
        <v/>
      </c>
      <c r="J425" s="13" t="str">
        <f>IF($A425="","",[1]!thsiFinD("ths_adjustment_nv_fund",J$3,$A425))</f>
        <v/>
      </c>
      <c r="K425" s="13" t="str">
        <f>IF($A425="","",[1]!thsiFinD("ths_adjustment_nv_fund",K$3,$A425))</f>
        <v/>
      </c>
      <c r="L425" s="13" t="str">
        <f>IF($A425="","",[1]!thsiFinD("ths_adjustment_nv_fund",L$3,$A425))</f>
        <v/>
      </c>
      <c r="M425" s="13" t="str">
        <f>IF($A425="","",[1]!thsiFinD("ths_adjustment_nv_fund",M$3,$A425))</f>
        <v/>
      </c>
      <c r="N425" s="13" t="str">
        <f>IF($A425="","",[1]!thsiFinD("ths_adjustment_nv_fund",N$3,$A425))</f>
        <v/>
      </c>
      <c r="O425" s="13" t="str">
        <f>IF($A425="","",[1]!thsiFinD("ths_adjustment_nv_fund",O$3,$A425))</f>
        <v/>
      </c>
      <c r="P425" s="13" t="str">
        <f>IF($A425="","",[1]!thsiFinD("ths_adjustment_nv_fund",P$3,$A425))</f>
        <v/>
      </c>
      <c r="Q425" s="13" t="str">
        <f>IF($A425="","",[1]!thsiFinD("ths_adjustment_nv_fund",Q$3,$A425))</f>
        <v/>
      </c>
      <c r="R425" s="13" t="str">
        <f>IF($A425="","",[1]!thsiFinD("ths_adjustment_nv_fund",R$3,$A425))</f>
        <v/>
      </c>
      <c r="S425" s="13" t="str">
        <f>IF($A425="","",[1]!thsiFinD("ths_adjustment_nv_fund",S$3,$A425))</f>
        <v/>
      </c>
      <c r="T425" s="13" t="str">
        <f>IF($A425="","",[1]!thsiFinD("ths_adjustment_nv_fund",T$3,$A425))</f>
        <v/>
      </c>
      <c r="U425" s="13" t="str">
        <f>IF($A425="","",[1]!thsiFinD("ths_adjustment_nv_fund",U$3,$A425))</f>
        <v/>
      </c>
      <c r="V425" s="13" t="str">
        <f>IF($A425="","",[1]!thsiFinD("ths_adjustment_nv_fund",V$3,$A425))</f>
        <v/>
      </c>
      <c r="W425" s="13" t="str">
        <f>IF($A425="","",[1]!thsiFinD("ths_adjustment_nv_fund",W$3,$A425))</f>
        <v/>
      </c>
      <c r="X425" s="13" t="str">
        <f>IF($A425="","",[1]!thsiFinD("ths_adjustment_nv_fund",X$3,$A425))</f>
        <v/>
      </c>
      <c r="Y425" s="13" t="str">
        <f>IF($A425="","",[1]!thsiFinD("ths_adjustment_nv_fund",Y$3,$A425))</f>
        <v/>
      </c>
      <c r="Z425" s="13" t="str">
        <f>IF($A425="","",[1]!thsiFinD("ths_adjustment_nv_fund",Z$3,$A425))</f>
        <v/>
      </c>
      <c r="AA425" s="13" t="str">
        <f>IF($A425="","",[1]!thsiFinD("ths_adjustment_nv_fund",AA$3,$A425))</f>
        <v/>
      </c>
      <c r="AB425" s="13" t="str">
        <f>IF($A425="","",[1]!thsiFinD("ths_adjustment_nv_fund",AB$3,$A425))</f>
        <v/>
      </c>
    </row>
    <row r="426" spans="2:28">
      <c r="B426" s="13" t="str">
        <f>IF($A426="","",[1]!thsiFinD("ths_adjustment_nv_fund",B$3,$A426))</f>
        <v/>
      </c>
      <c r="C426" s="13" t="str">
        <f>IF($A426="","",[1]!thsiFinD("ths_adjustment_nv_fund",C$3,$A426))</f>
        <v/>
      </c>
      <c r="D426" s="13" t="str">
        <f>IF($A426="","",[1]!thsiFinD("ths_adjustment_nv_fund",D$3,$A426))</f>
        <v/>
      </c>
      <c r="E426" s="13" t="str">
        <f>IF($A426="","",[1]!thsiFinD("ths_adjustment_nv_fund",E$3,$A426))</f>
        <v/>
      </c>
      <c r="F426" s="13" t="str">
        <f>IF($A426="","",[1]!thsiFinD("ths_adjustment_nv_fund",F$3,$A426))</f>
        <v/>
      </c>
      <c r="G426" s="13" t="str">
        <f>IF($A426="","",[1]!thsiFinD("ths_adjustment_nv_fund",G$3,$A426))</f>
        <v/>
      </c>
      <c r="H426" s="13" t="str">
        <f>IF($A426="","",[1]!thsiFinD("ths_adjustment_nv_fund",H$3,$A426))</f>
        <v/>
      </c>
      <c r="I426" s="13" t="str">
        <f>IF($A426="","",[1]!thsiFinD("ths_adjustment_nv_fund",I$3,$A426))</f>
        <v/>
      </c>
      <c r="J426" s="13" t="str">
        <f>IF($A426="","",[1]!thsiFinD("ths_adjustment_nv_fund",J$3,$A426))</f>
        <v/>
      </c>
      <c r="K426" s="13" t="str">
        <f>IF($A426="","",[1]!thsiFinD("ths_adjustment_nv_fund",K$3,$A426))</f>
        <v/>
      </c>
      <c r="L426" s="13" t="str">
        <f>IF($A426="","",[1]!thsiFinD("ths_adjustment_nv_fund",L$3,$A426))</f>
        <v/>
      </c>
      <c r="M426" s="13" t="str">
        <f>IF($A426="","",[1]!thsiFinD("ths_adjustment_nv_fund",M$3,$A426))</f>
        <v/>
      </c>
      <c r="N426" s="13" t="str">
        <f>IF($A426="","",[1]!thsiFinD("ths_adjustment_nv_fund",N$3,$A426))</f>
        <v/>
      </c>
      <c r="O426" s="13" t="str">
        <f>IF($A426="","",[1]!thsiFinD("ths_adjustment_nv_fund",O$3,$A426))</f>
        <v/>
      </c>
      <c r="P426" s="13" t="str">
        <f>IF($A426="","",[1]!thsiFinD("ths_adjustment_nv_fund",P$3,$A426))</f>
        <v/>
      </c>
      <c r="Q426" s="13" t="str">
        <f>IF($A426="","",[1]!thsiFinD("ths_adjustment_nv_fund",Q$3,$A426))</f>
        <v/>
      </c>
      <c r="R426" s="13" t="str">
        <f>IF($A426="","",[1]!thsiFinD("ths_adjustment_nv_fund",R$3,$A426))</f>
        <v/>
      </c>
      <c r="S426" s="13" t="str">
        <f>IF($A426="","",[1]!thsiFinD("ths_adjustment_nv_fund",S$3,$A426))</f>
        <v/>
      </c>
      <c r="T426" s="13" t="str">
        <f>IF($A426="","",[1]!thsiFinD("ths_adjustment_nv_fund",T$3,$A426))</f>
        <v/>
      </c>
      <c r="U426" s="13" t="str">
        <f>IF($A426="","",[1]!thsiFinD("ths_adjustment_nv_fund",U$3,$A426))</f>
        <v/>
      </c>
      <c r="V426" s="13" t="str">
        <f>IF($A426="","",[1]!thsiFinD("ths_adjustment_nv_fund",V$3,$A426))</f>
        <v/>
      </c>
      <c r="W426" s="13" t="str">
        <f>IF($A426="","",[1]!thsiFinD("ths_adjustment_nv_fund",W$3,$A426))</f>
        <v/>
      </c>
      <c r="X426" s="13" t="str">
        <f>IF($A426="","",[1]!thsiFinD("ths_adjustment_nv_fund",X$3,$A426))</f>
        <v/>
      </c>
      <c r="Y426" s="13" t="str">
        <f>IF($A426="","",[1]!thsiFinD("ths_adjustment_nv_fund",Y$3,$A426))</f>
        <v/>
      </c>
      <c r="Z426" s="13" t="str">
        <f>IF($A426="","",[1]!thsiFinD("ths_adjustment_nv_fund",Z$3,$A426))</f>
        <v/>
      </c>
      <c r="AA426" s="13" t="str">
        <f>IF($A426="","",[1]!thsiFinD("ths_adjustment_nv_fund",AA$3,$A426))</f>
        <v/>
      </c>
      <c r="AB426" s="13" t="str">
        <f>IF($A426="","",[1]!thsiFinD("ths_adjustment_nv_fund",AB$3,$A426))</f>
        <v/>
      </c>
    </row>
    <row r="427" spans="2:28">
      <c r="B427" s="13" t="str">
        <f>IF($A427="","",[1]!thsiFinD("ths_adjustment_nv_fund",B$3,$A427))</f>
        <v/>
      </c>
      <c r="C427" s="13" t="str">
        <f>IF($A427="","",[1]!thsiFinD("ths_adjustment_nv_fund",C$3,$A427))</f>
        <v/>
      </c>
      <c r="D427" s="13" t="str">
        <f>IF($A427="","",[1]!thsiFinD("ths_adjustment_nv_fund",D$3,$A427))</f>
        <v/>
      </c>
      <c r="E427" s="13" t="str">
        <f>IF($A427="","",[1]!thsiFinD("ths_adjustment_nv_fund",E$3,$A427))</f>
        <v/>
      </c>
      <c r="F427" s="13" t="str">
        <f>IF($A427="","",[1]!thsiFinD("ths_adjustment_nv_fund",F$3,$A427))</f>
        <v/>
      </c>
      <c r="G427" s="13" t="str">
        <f>IF($A427="","",[1]!thsiFinD("ths_adjustment_nv_fund",G$3,$A427))</f>
        <v/>
      </c>
      <c r="H427" s="13" t="str">
        <f>IF($A427="","",[1]!thsiFinD("ths_adjustment_nv_fund",H$3,$A427))</f>
        <v/>
      </c>
      <c r="I427" s="13" t="str">
        <f>IF($A427="","",[1]!thsiFinD("ths_adjustment_nv_fund",I$3,$A427))</f>
        <v/>
      </c>
      <c r="J427" s="13" t="str">
        <f>IF($A427="","",[1]!thsiFinD("ths_adjustment_nv_fund",J$3,$A427))</f>
        <v/>
      </c>
      <c r="K427" s="13" t="str">
        <f>IF($A427="","",[1]!thsiFinD("ths_adjustment_nv_fund",K$3,$A427))</f>
        <v/>
      </c>
      <c r="L427" s="13" t="str">
        <f>IF($A427="","",[1]!thsiFinD("ths_adjustment_nv_fund",L$3,$A427))</f>
        <v/>
      </c>
      <c r="M427" s="13" t="str">
        <f>IF($A427="","",[1]!thsiFinD("ths_adjustment_nv_fund",M$3,$A427))</f>
        <v/>
      </c>
      <c r="N427" s="13" t="str">
        <f>IF($A427="","",[1]!thsiFinD("ths_adjustment_nv_fund",N$3,$A427))</f>
        <v/>
      </c>
      <c r="O427" s="13" t="str">
        <f>IF($A427="","",[1]!thsiFinD("ths_adjustment_nv_fund",O$3,$A427))</f>
        <v/>
      </c>
      <c r="P427" s="13" t="str">
        <f>IF($A427="","",[1]!thsiFinD("ths_adjustment_nv_fund",P$3,$A427))</f>
        <v/>
      </c>
      <c r="Q427" s="13" t="str">
        <f>IF($A427="","",[1]!thsiFinD("ths_adjustment_nv_fund",Q$3,$A427))</f>
        <v/>
      </c>
      <c r="R427" s="13" t="str">
        <f>IF($A427="","",[1]!thsiFinD("ths_adjustment_nv_fund",R$3,$A427))</f>
        <v/>
      </c>
      <c r="S427" s="13" t="str">
        <f>IF($A427="","",[1]!thsiFinD("ths_adjustment_nv_fund",S$3,$A427))</f>
        <v/>
      </c>
      <c r="T427" s="13" t="str">
        <f>IF($A427="","",[1]!thsiFinD("ths_adjustment_nv_fund",T$3,$A427))</f>
        <v/>
      </c>
      <c r="U427" s="13" t="str">
        <f>IF($A427="","",[1]!thsiFinD("ths_adjustment_nv_fund",U$3,$A427))</f>
        <v/>
      </c>
      <c r="V427" s="13" t="str">
        <f>IF($A427="","",[1]!thsiFinD("ths_adjustment_nv_fund",V$3,$A427))</f>
        <v/>
      </c>
      <c r="W427" s="13" t="str">
        <f>IF($A427="","",[1]!thsiFinD("ths_adjustment_nv_fund",W$3,$A427))</f>
        <v/>
      </c>
      <c r="X427" s="13" t="str">
        <f>IF($A427="","",[1]!thsiFinD("ths_adjustment_nv_fund",X$3,$A427))</f>
        <v/>
      </c>
      <c r="Y427" s="13" t="str">
        <f>IF($A427="","",[1]!thsiFinD("ths_adjustment_nv_fund",Y$3,$A427))</f>
        <v/>
      </c>
      <c r="Z427" s="13" t="str">
        <f>IF($A427="","",[1]!thsiFinD("ths_adjustment_nv_fund",Z$3,$A427))</f>
        <v/>
      </c>
      <c r="AA427" s="13" t="str">
        <f>IF($A427="","",[1]!thsiFinD("ths_adjustment_nv_fund",AA$3,$A427))</f>
        <v/>
      </c>
      <c r="AB427" s="13" t="str">
        <f>IF($A427="","",[1]!thsiFinD("ths_adjustment_nv_fund",AB$3,$A427))</f>
        <v/>
      </c>
    </row>
    <row r="428" spans="2:28">
      <c r="B428" s="13" t="str">
        <f>IF($A428="","",[1]!thsiFinD("ths_adjustment_nv_fund",B$3,$A428))</f>
        <v/>
      </c>
      <c r="C428" s="13" t="str">
        <f>IF($A428="","",[1]!thsiFinD("ths_adjustment_nv_fund",C$3,$A428))</f>
        <v/>
      </c>
      <c r="D428" s="13" t="str">
        <f>IF($A428="","",[1]!thsiFinD("ths_adjustment_nv_fund",D$3,$A428))</f>
        <v/>
      </c>
      <c r="E428" s="13" t="str">
        <f>IF($A428="","",[1]!thsiFinD("ths_adjustment_nv_fund",E$3,$A428))</f>
        <v/>
      </c>
      <c r="F428" s="13" t="str">
        <f>IF($A428="","",[1]!thsiFinD("ths_adjustment_nv_fund",F$3,$A428))</f>
        <v/>
      </c>
      <c r="G428" s="13" t="str">
        <f>IF($A428="","",[1]!thsiFinD("ths_adjustment_nv_fund",G$3,$A428))</f>
        <v/>
      </c>
      <c r="H428" s="13" t="str">
        <f>IF($A428="","",[1]!thsiFinD("ths_adjustment_nv_fund",H$3,$A428))</f>
        <v/>
      </c>
      <c r="I428" s="13" t="str">
        <f>IF($A428="","",[1]!thsiFinD("ths_adjustment_nv_fund",I$3,$A428))</f>
        <v/>
      </c>
      <c r="J428" s="13" t="str">
        <f>IF($A428="","",[1]!thsiFinD("ths_adjustment_nv_fund",J$3,$A428))</f>
        <v/>
      </c>
      <c r="K428" s="13" t="str">
        <f>IF($A428="","",[1]!thsiFinD("ths_adjustment_nv_fund",K$3,$A428))</f>
        <v/>
      </c>
      <c r="L428" s="13" t="str">
        <f>IF($A428="","",[1]!thsiFinD("ths_adjustment_nv_fund",L$3,$A428))</f>
        <v/>
      </c>
      <c r="M428" s="13" t="str">
        <f>IF($A428="","",[1]!thsiFinD("ths_adjustment_nv_fund",M$3,$A428))</f>
        <v/>
      </c>
      <c r="N428" s="13" t="str">
        <f>IF($A428="","",[1]!thsiFinD("ths_adjustment_nv_fund",N$3,$A428))</f>
        <v/>
      </c>
      <c r="O428" s="13" t="str">
        <f>IF($A428="","",[1]!thsiFinD("ths_adjustment_nv_fund",O$3,$A428))</f>
        <v/>
      </c>
      <c r="P428" s="13" t="str">
        <f>IF($A428="","",[1]!thsiFinD("ths_adjustment_nv_fund",P$3,$A428))</f>
        <v/>
      </c>
      <c r="Q428" s="13" t="str">
        <f>IF($A428="","",[1]!thsiFinD("ths_adjustment_nv_fund",Q$3,$A428))</f>
        <v/>
      </c>
      <c r="R428" s="13" t="str">
        <f>IF($A428="","",[1]!thsiFinD("ths_adjustment_nv_fund",R$3,$A428))</f>
        <v/>
      </c>
      <c r="S428" s="13" t="str">
        <f>IF($A428="","",[1]!thsiFinD("ths_adjustment_nv_fund",S$3,$A428))</f>
        <v/>
      </c>
      <c r="T428" s="13" t="str">
        <f>IF($A428="","",[1]!thsiFinD("ths_adjustment_nv_fund",T$3,$A428))</f>
        <v/>
      </c>
      <c r="U428" s="13" t="str">
        <f>IF($A428="","",[1]!thsiFinD("ths_adjustment_nv_fund",U$3,$A428))</f>
        <v/>
      </c>
      <c r="V428" s="13" t="str">
        <f>IF($A428="","",[1]!thsiFinD("ths_adjustment_nv_fund",V$3,$A428))</f>
        <v/>
      </c>
      <c r="W428" s="13" t="str">
        <f>IF($A428="","",[1]!thsiFinD("ths_adjustment_nv_fund",W$3,$A428))</f>
        <v/>
      </c>
      <c r="X428" s="13" t="str">
        <f>IF($A428="","",[1]!thsiFinD("ths_adjustment_nv_fund",X$3,$A428))</f>
        <v/>
      </c>
      <c r="Y428" s="13" t="str">
        <f>IF($A428="","",[1]!thsiFinD("ths_adjustment_nv_fund",Y$3,$A428))</f>
        <v/>
      </c>
      <c r="Z428" s="13" t="str">
        <f>IF($A428="","",[1]!thsiFinD("ths_adjustment_nv_fund",Z$3,$A428))</f>
        <v/>
      </c>
      <c r="AA428" s="13" t="str">
        <f>IF($A428="","",[1]!thsiFinD("ths_adjustment_nv_fund",AA$3,$A428))</f>
        <v/>
      </c>
      <c r="AB428" s="13" t="str">
        <f>IF($A428="","",[1]!thsiFinD("ths_adjustment_nv_fund",AB$3,$A428))</f>
        <v/>
      </c>
    </row>
    <row r="429" spans="2:28">
      <c r="B429" s="13" t="str">
        <f>IF($A429="","",[1]!thsiFinD("ths_adjustment_nv_fund",B$3,$A429))</f>
        <v/>
      </c>
      <c r="C429" s="13" t="str">
        <f>IF($A429="","",[1]!thsiFinD("ths_adjustment_nv_fund",C$3,$A429))</f>
        <v/>
      </c>
      <c r="D429" s="13" t="str">
        <f>IF($A429="","",[1]!thsiFinD("ths_adjustment_nv_fund",D$3,$A429))</f>
        <v/>
      </c>
      <c r="E429" s="13" t="str">
        <f>IF($A429="","",[1]!thsiFinD("ths_adjustment_nv_fund",E$3,$A429))</f>
        <v/>
      </c>
      <c r="F429" s="13" t="str">
        <f>IF($A429="","",[1]!thsiFinD("ths_adjustment_nv_fund",F$3,$A429))</f>
        <v/>
      </c>
      <c r="G429" s="13" t="str">
        <f>IF($A429="","",[1]!thsiFinD("ths_adjustment_nv_fund",G$3,$A429))</f>
        <v/>
      </c>
      <c r="H429" s="13" t="str">
        <f>IF($A429="","",[1]!thsiFinD("ths_adjustment_nv_fund",H$3,$A429))</f>
        <v/>
      </c>
      <c r="I429" s="13" t="str">
        <f>IF($A429="","",[1]!thsiFinD("ths_adjustment_nv_fund",I$3,$A429))</f>
        <v/>
      </c>
      <c r="J429" s="13" t="str">
        <f>IF($A429="","",[1]!thsiFinD("ths_adjustment_nv_fund",J$3,$A429))</f>
        <v/>
      </c>
      <c r="K429" s="13" t="str">
        <f>IF($A429="","",[1]!thsiFinD("ths_adjustment_nv_fund",K$3,$A429))</f>
        <v/>
      </c>
      <c r="L429" s="13" t="str">
        <f>IF($A429="","",[1]!thsiFinD("ths_adjustment_nv_fund",L$3,$A429))</f>
        <v/>
      </c>
      <c r="M429" s="13" t="str">
        <f>IF($A429="","",[1]!thsiFinD("ths_adjustment_nv_fund",M$3,$A429))</f>
        <v/>
      </c>
      <c r="N429" s="13" t="str">
        <f>IF($A429="","",[1]!thsiFinD("ths_adjustment_nv_fund",N$3,$A429))</f>
        <v/>
      </c>
      <c r="O429" s="13" t="str">
        <f>IF($A429="","",[1]!thsiFinD("ths_adjustment_nv_fund",O$3,$A429))</f>
        <v/>
      </c>
      <c r="P429" s="13" t="str">
        <f>IF($A429="","",[1]!thsiFinD("ths_adjustment_nv_fund",P$3,$A429))</f>
        <v/>
      </c>
      <c r="Q429" s="13" t="str">
        <f>IF($A429="","",[1]!thsiFinD("ths_adjustment_nv_fund",Q$3,$A429))</f>
        <v/>
      </c>
      <c r="R429" s="13" t="str">
        <f>IF($A429="","",[1]!thsiFinD("ths_adjustment_nv_fund",R$3,$A429))</f>
        <v/>
      </c>
      <c r="S429" s="13" t="str">
        <f>IF($A429="","",[1]!thsiFinD("ths_adjustment_nv_fund",S$3,$A429))</f>
        <v/>
      </c>
      <c r="T429" s="13" t="str">
        <f>IF($A429="","",[1]!thsiFinD("ths_adjustment_nv_fund",T$3,$A429))</f>
        <v/>
      </c>
      <c r="U429" s="13" t="str">
        <f>IF($A429="","",[1]!thsiFinD("ths_adjustment_nv_fund",U$3,$A429))</f>
        <v/>
      </c>
      <c r="V429" s="13" t="str">
        <f>IF($A429="","",[1]!thsiFinD("ths_adjustment_nv_fund",V$3,$A429))</f>
        <v/>
      </c>
      <c r="W429" s="13" t="str">
        <f>IF($A429="","",[1]!thsiFinD("ths_adjustment_nv_fund",W$3,$A429))</f>
        <v/>
      </c>
      <c r="X429" s="13" t="str">
        <f>IF($A429="","",[1]!thsiFinD("ths_adjustment_nv_fund",X$3,$A429))</f>
        <v/>
      </c>
      <c r="Y429" s="13" t="str">
        <f>IF($A429="","",[1]!thsiFinD("ths_adjustment_nv_fund",Y$3,$A429))</f>
        <v/>
      </c>
      <c r="Z429" s="13" t="str">
        <f>IF($A429="","",[1]!thsiFinD("ths_adjustment_nv_fund",Z$3,$A429))</f>
        <v/>
      </c>
      <c r="AA429" s="13" t="str">
        <f>IF($A429="","",[1]!thsiFinD("ths_adjustment_nv_fund",AA$3,$A429))</f>
        <v/>
      </c>
      <c r="AB429" s="13" t="str">
        <f>IF($A429="","",[1]!thsiFinD("ths_adjustment_nv_fund",AB$3,$A429))</f>
        <v/>
      </c>
    </row>
    <row r="430" spans="2:28">
      <c r="B430" s="13" t="str">
        <f>IF($A430="","",[1]!thsiFinD("ths_adjustment_nv_fund",B$3,$A430))</f>
        <v/>
      </c>
      <c r="C430" s="13" t="str">
        <f>IF($A430="","",[1]!thsiFinD("ths_adjustment_nv_fund",C$3,$A430))</f>
        <v/>
      </c>
      <c r="D430" s="13" t="str">
        <f>IF($A430="","",[1]!thsiFinD("ths_adjustment_nv_fund",D$3,$A430))</f>
        <v/>
      </c>
      <c r="E430" s="13" t="str">
        <f>IF($A430="","",[1]!thsiFinD("ths_adjustment_nv_fund",E$3,$A430))</f>
        <v/>
      </c>
      <c r="F430" s="13" t="str">
        <f>IF($A430="","",[1]!thsiFinD("ths_adjustment_nv_fund",F$3,$A430))</f>
        <v/>
      </c>
      <c r="G430" s="13" t="str">
        <f>IF($A430="","",[1]!thsiFinD("ths_adjustment_nv_fund",G$3,$A430))</f>
        <v/>
      </c>
      <c r="H430" s="13" t="str">
        <f>IF($A430="","",[1]!thsiFinD("ths_adjustment_nv_fund",H$3,$A430))</f>
        <v/>
      </c>
      <c r="I430" s="13" t="str">
        <f>IF($A430="","",[1]!thsiFinD("ths_adjustment_nv_fund",I$3,$A430))</f>
        <v/>
      </c>
      <c r="J430" s="13" t="str">
        <f>IF($A430="","",[1]!thsiFinD("ths_adjustment_nv_fund",J$3,$A430))</f>
        <v/>
      </c>
      <c r="K430" s="13" t="str">
        <f>IF($A430="","",[1]!thsiFinD("ths_adjustment_nv_fund",K$3,$A430))</f>
        <v/>
      </c>
      <c r="L430" s="13" t="str">
        <f>IF($A430="","",[1]!thsiFinD("ths_adjustment_nv_fund",L$3,$A430))</f>
        <v/>
      </c>
      <c r="M430" s="13" t="str">
        <f>IF($A430="","",[1]!thsiFinD("ths_adjustment_nv_fund",M$3,$A430))</f>
        <v/>
      </c>
      <c r="N430" s="13" t="str">
        <f>IF($A430="","",[1]!thsiFinD("ths_adjustment_nv_fund",N$3,$A430))</f>
        <v/>
      </c>
      <c r="O430" s="13" t="str">
        <f>IF($A430="","",[1]!thsiFinD("ths_adjustment_nv_fund",O$3,$A430))</f>
        <v/>
      </c>
      <c r="P430" s="13" t="str">
        <f>IF($A430="","",[1]!thsiFinD("ths_adjustment_nv_fund",P$3,$A430))</f>
        <v/>
      </c>
      <c r="Q430" s="13" t="str">
        <f>IF($A430="","",[1]!thsiFinD("ths_adjustment_nv_fund",Q$3,$A430))</f>
        <v/>
      </c>
      <c r="R430" s="13" t="str">
        <f>IF($A430="","",[1]!thsiFinD("ths_adjustment_nv_fund",R$3,$A430))</f>
        <v/>
      </c>
      <c r="S430" s="13" t="str">
        <f>IF($A430="","",[1]!thsiFinD("ths_adjustment_nv_fund",S$3,$A430))</f>
        <v/>
      </c>
      <c r="T430" s="13" t="str">
        <f>IF($A430="","",[1]!thsiFinD("ths_adjustment_nv_fund",T$3,$A430))</f>
        <v/>
      </c>
      <c r="U430" s="13" t="str">
        <f>IF($A430="","",[1]!thsiFinD("ths_adjustment_nv_fund",U$3,$A430))</f>
        <v/>
      </c>
      <c r="V430" s="13" t="str">
        <f>IF($A430="","",[1]!thsiFinD("ths_adjustment_nv_fund",V$3,$A430))</f>
        <v/>
      </c>
      <c r="W430" s="13" t="str">
        <f>IF($A430="","",[1]!thsiFinD("ths_adjustment_nv_fund",W$3,$A430))</f>
        <v/>
      </c>
      <c r="X430" s="13" t="str">
        <f>IF($A430="","",[1]!thsiFinD("ths_adjustment_nv_fund",X$3,$A430))</f>
        <v/>
      </c>
      <c r="Y430" s="13" t="str">
        <f>IF($A430="","",[1]!thsiFinD("ths_adjustment_nv_fund",Y$3,$A430))</f>
        <v/>
      </c>
      <c r="Z430" s="13" t="str">
        <f>IF($A430="","",[1]!thsiFinD("ths_adjustment_nv_fund",Z$3,$A430))</f>
        <v/>
      </c>
      <c r="AA430" s="13" t="str">
        <f>IF($A430="","",[1]!thsiFinD("ths_adjustment_nv_fund",AA$3,$A430))</f>
        <v/>
      </c>
      <c r="AB430" s="13" t="str">
        <f>IF($A430="","",[1]!thsiFinD("ths_adjustment_nv_fund",AB$3,$A430))</f>
        <v/>
      </c>
    </row>
    <row r="431" spans="2:28">
      <c r="B431" s="13" t="str">
        <f>IF($A431="","",[1]!thsiFinD("ths_adjustment_nv_fund",B$3,$A431))</f>
        <v/>
      </c>
      <c r="C431" s="13" t="str">
        <f>IF($A431="","",[1]!thsiFinD("ths_adjustment_nv_fund",C$3,$A431))</f>
        <v/>
      </c>
      <c r="D431" s="13" t="str">
        <f>IF($A431="","",[1]!thsiFinD("ths_adjustment_nv_fund",D$3,$A431))</f>
        <v/>
      </c>
      <c r="E431" s="13" t="str">
        <f>IF($A431="","",[1]!thsiFinD("ths_adjustment_nv_fund",E$3,$A431))</f>
        <v/>
      </c>
      <c r="F431" s="13" t="str">
        <f>IF($A431="","",[1]!thsiFinD("ths_adjustment_nv_fund",F$3,$A431))</f>
        <v/>
      </c>
      <c r="G431" s="13" t="str">
        <f>IF($A431="","",[1]!thsiFinD("ths_adjustment_nv_fund",G$3,$A431))</f>
        <v/>
      </c>
      <c r="H431" s="13" t="str">
        <f>IF($A431="","",[1]!thsiFinD("ths_adjustment_nv_fund",H$3,$A431))</f>
        <v/>
      </c>
      <c r="I431" s="13" t="str">
        <f>IF($A431="","",[1]!thsiFinD("ths_adjustment_nv_fund",I$3,$A431))</f>
        <v/>
      </c>
      <c r="J431" s="13" t="str">
        <f>IF($A431="","",[1]!thsiFinD("ths_adjustment_nv_fund",J$3,$A431))</f>
        <v/>
      </c>
      <c r="K431" s="13" t="str">
        <f>IF($A431="","",[1]!thsiFinD("ths_adjustment_nv_fund",K$3,$A431))</f>
        <v/>
      </c>
      <c r="L431" s="13" t="str">
        <f>IF($A431="","",[1]!thsiFinD("ths_adjustment_nv_fund",L$3,$A431))</f>
        <v/>
      </c>
      <c r="M431" s="13" t="str">
        <f>IF($A431="","",[1]!thsiFinD("ths_adjustment_nv_fund",M$3,$A431))</f>
        <v/>
      </c>
      <c r="N431" s="13" t="str">
        <f>IF($A431="","",[1]!thsiFinD("ths_adjustment_nv_fund",N$3,$A431))</f>
        <v/>
      </c>
      <c r="O431" s="13" t="str">
        <f>IF($A431="","",[1]!thsiFinD("ths_adjustment_nv_fund",O$3,$A431))</f>
        <v/>
      </c>
      <c r="P431" s="13" t="str">
        <f>IF($A431="","",[1]!thsiFinD("ths_adjustment_nv_fund",P$3,$A431))</f>
        <v/>
      </c>
      <c r="Q431" s="13" t="str">
        <f>IF($A431="","",[1]!thsiFinD("ths_adjustment_nv_fund",Q$3,$A431))</f>
        <v/>
      </c>
      <c r="R431" s="13" t="str">
        <f>IF($A431="","",[1]!thsiFinD("ths_adjustment_nv_fund",R$3,$A431))</f>
        <v/>
      </c>
      <c r="S431" s="13" t="str">
        <f>IF($A431="","",[1]!thsiFinD("ths_adjustment_nv_fund",S$3,$A431))</f>
        <v/>
      </c>
      <c r="T431" s="13" t="str">
        <f>IF($A431="","",[1]!thsiFinD("ths_adjustment_nv_fund",T$3,$A431))</f>
        <v/>
      </c>
      <c r="U431" s="13" t="str">
        <f>IF($A431="","",[1]!thsiFinD("ths_adjustment_nv_fund",U$3,$A431))</f>
        <v/>
      </c>
      <c r="V431" s="13" t="str">
        <f>IF($A431="","",[1]!thsiFinD("ths_adjustment_nv_fund",V$3,$A431))</f>
        <v/>
      </c>
      <c r="W431" s="13" t="str">
        <f>IF($A431="","",[1]!thsiFinD("ths_adjustment_nv_fund",W$3,$A431))</f>
        <v/>
      </c>
      <c r="X431" s="13" t="str">
        <f>IF($A431="","",[1]!thsiFinD("ths_adjustment_nv_fund",X$3,$A431))</f>
        <v/>
      </c>
      <c r="Y431" s="13" t="str">
        <f>IF($A431="","",[1]!thsiFinD("ths_adjustment_nv_fund",Y$3,$A431))</f>
        <v/>
      </c>
      <c r="Z431" s="13" t="str">
        <f>IF($A431="","",[1]!thsiFinD("ths_adjustment_nv_fund",Z$3,$A431))</f>
        <v/>
      </c>
      <c r="AA431" s="13" t="str">
        <f>IF($A431="","",[1]!thsiFinD("ths_adjustment_nv_fund",AA$3,$A431))</f>
        <v/>
      </c>
      <c r="AB431" s="13" t="str">
        <f>IF($A431="","",[1]!thsiFinD("ths_adjustment_nv_fund",AB$3,$A431))</f>
        <v/>
      </c>
    </row>
    <row r="432" spans="2:28">
      <c r="B432" s="13" t="str">
        <f>IF($A432="","",[1]!thsiFinD("ths_adjustment_nv_fund",B$3,$A432))</f>
        <v/>
      </c>
      <c r="C432" s="13" t="str">
        <f>IF($A432="","",[1]!thsiFinD("ths_adjustment_nv_fund",C$3,$A432))</f>
        <v/>
      </c>
      <c r="D432" s="13" t="str">
        <f>IF($A432="","",[1]!thsiFinD("ths_adjustment_nv_fund",D$3,$A432))</f>
        <v/>
      </c>
      <c r="E432" s="13" t="str">
        <f>IF($A432="","",[1]!thsiFinD("ths_adjustment_nv_fund",E$3,$A432))</f>
        <v/>
      </c>
      <c r="F432" s="13" t="str">
        <f>IF($A432="","",[1]!thsiFinD("ths_adjustment_nv_fund",F$3,$A432))</f>
        <v/>
      </c>
      <c r="G432" s="13" t="str">
        <f>IF($A432="","",[1]!thsiFinD("ths_adjustment_nv_fund",G$3,$A432))</f>
        <v/>
      </c>
      <c r="H432" s="13" t="str">
        <f>IF($A432="","",[1]!thsiFinD("ths_adjustment_nv_fund",H$3,$A432))</f>
        <v/>
      </c>
      <c r="I432" s="13" t="str">
        <f>IF($A432="","",[1]!thsiFinD("ths_adjustment_nv_fund",I$3,$A432))</f>
        <v/>
      </c>
      <c r="J432" s="13" t="str">
        <f>IF($A432="","",[1]!thsiFinD("ths_adjustment_nv_fund",J$3,$A432))</f>
        <v/>
      </c>
      <c r="K432" s="13" t="str">
        <f>IF($A432="","",[1]!thsiFinD("ths_adjustment_nv_fund",K$3,$A432))</f>
        <v/>
      </c>
      <c r="L432" s="13" t="str">
        <f>IF($A432="","",[1]!thsiFinD("ths_adjustment_nv_fund",L$3,$A432))</f>
        <v/>
      </c>
      <c r="M432" s="13" t="str">
        <f>IF($A432="","",[1]!thsiFinD("ths_adjustment_nv_fund",M$3,$A432))</f>
        <v/>
      </c>
      <c r="N432" s="13" t="str">
        <f>IF($A432="","",[1]!thsiFinD("ths_adjustment_nv_fund",N$3,$A432))</f>
        <v/>
      </c>
      <c r="O432" s="13" t="str">
        <f>IF($A432="","",[1]!thsiFinD("ths_adjustment_nv_fund",O$3,$A432))</f>
        <v/>
      </c>
      <c r="P432" s="13" t="str">
        <f>IF($A432="","",[1]!thsiFinD("ths_adjustment_nv_fund",P$3,$A432))</f>
        <v/>
      </c>
      <c r="Q432" s="13" t="str">
        <f>IF($A432="","",[1]!thsiFinD("ths_adjustment_nv_fund",Q$3,$A432))</f>
        <v/>
      </c>
      <c r="R432" s="13" t="str">
        <f>IF($A432="","",[1]!thsiFinD("ths_adjustment_nv_fund",R$3,$A432))</f>
        <v/>
      </c>
      <c r="S432" s="13" t="str">
        <f>IF($A432="","",[1]!thsiFinD("ths_adjustment_nv_fund",S$3,$A432))</f>
        <v/>
      </c>
      <c r="T432" s="13" t="str">
        <f>IF($A432="","",[1]!thsiFinD("ths_adjustment_nv_fund",T$3,$A432))</f>
        <v/>
      </c>
      <c r="U432" s="13" t="str">
        <f>IF($A432="","",[1]!thsiFinD("ths_adjustment_nv_fund",U$3,$A432))</f>
        <v/>
      </c>
      <c r="V432" s="13" t="str">
        <f>IF($A432="","",[1]!thsiFinD("ths_adjustment_nv_fund",V$3,$A432))</f>
        <v/>
      </c>
      <c r="W432" s="13" t="str">
        <f>IF($A432="","",[1]!thsiFinD("ths_adjustment_nv_fund",W$3,$A432))</f>
        <v/>
      </c>
      <c r="X432" s="13" t="str">
        <f>IF($A432="","",[1]!thsiFinD("ths_adjustment_nv_fund",X$3,$A432))</f>
        <v/>
      </c>
      <c r="Y432" s="13" t="str">
        <f>IF($A432="","",[1]!thsiFinD("ths_adjustment_nv_fund",Y$3,$A432))</f>
        <v/>
      </c>
      <c r="Z432" s="13" t="str">
        <f>IF($A432="","",[1]!thsiFinD("ths_adjustment_nv_fund",Z$3,$A432))</f>
        <v/>
      </c>
      <c r="AA432" s="13" t="str">
        <f>IF($A432="","",[1]!thsiFinD("ths_adjustment_nv_fund",AA$3,$A432))</f>
        <v/>
      </c>
      <c r="AB432" s="13" t="str">
        <f>IF($A432="","",[1]!thsiFinD("ths_adjustment_nv_fund",AB$3,$A432))</f>
        <v/>
      </c>
    </row>
    <row r="433" spans="2:28">
      <c r="B433" s="13" t="str">
        <f>IF($A433="","",[1]!thsiFinD("ths_adjustment_nv_fund",B$3,$A433))</f>
        <v/>
      </c>
      <c r="C433" s="13" t="str">
        <f>IF($A433="","",[1]!thsiFinD("ths_adjustment_nv_fund",C$3,$A433))</f>
        <v/>
      </c>
      <c r="D433" s="13" t="str">
        <f>IF($A433="","",[1]!thsiFinD("ths_adjustment_nv_fund",D$3,$A433))</f>
        <v/>
      </c>
      <c r="E433" s="13" t="str">
        <f>IF($A433="","",[1]!thsiFinD("ths_adjustment_nv_fund",E$3,$A433))</f>
        <v/>
      </c>
      <c r="F433" s="13" t="str">
        <f>IF($A433="","",[1]!thsiFinD("ths_adjustment_nv_fund",F$3,$A433))</f>
        <v/>
      </c>
      <c r="G433" s="13" t="str">
        <f>IF($A433="","",[1]!thsiFinD("ths_adjustment_nv_fund",G$3,$A433))</f>
        <v/>
      </c>
      <c r="H433" s="13" t="str">
        <f>IF($A433="","",[1]!thsiFinD("ths_adjustment_nv_fund",H$3,$A433))</f>
        <v/>
      </c>
      <c r="I433" s="13" t="str">
        <f>IF($A433="","",[1]!thsiFinD("ths_adjustment_nv_fund",I$3,$A433))</f>
        <v/>
      </c>
      <c r="J433" s="13" t="str">
        <f>IF($A433="","",[1]!thsiFinD("ths_adjustment_nv_fund",J$3,$A433))</f>
        <v/>
      </c>
      <c r="K433" s="13" t="str">
        <f>IF($A433="","",[1]!thsiFinD("ths_adjustment_nv_fund",K$3,$A433))</f>
        <v/>
      </c>
      <c r="L433" s="13" t="str">
        <f>IF($A433="","",[1]!thsiFinD("ths_adjustment_nv_fund",L$3,$A433))</f>
        <v/>
      </c>
      <c r="M433" s="13" t="str">
        <f>IF($A433="","",[1]!thsiFinD("ths_adjustment_nv_fund",M$3,$A433))</f>
        <v/>
      </c>
      <c r="N433" s="13" t="str">
        <f>IF($A433="","",[1]!thsiFinD("ths_adjustment_nv_fund",N$3,$A433))</f>
        <v/>
      </c>
      <c r="O433" s="13" t="str">
        <f>IF($A433="","",[1]!thsiFinD("ths_adjustment_nv_fund",O$3,$A433))</f>
        <v/>
      </c>
      <c r="P433" s="13" t="str">
        <f>IF($A433="","",[1]!thsiFinD("ths_adjustment_nv_fund",P$3,$A433))</f>
        <v/>
      </c>
      <c r="Q433" s="13" t="str">
        <f>IF($A433="","",[1]!thsiFinD("ths_adjustment_nv_fund",Q$3,$A433))</f>
        <v/>
      </c>
      <c r="R433" s="13" t="str">
        <f>IF($A433="","",[1]!thsiFinD("ths_adjustment_nv_fund",R$3,$A433))</f>
        <v/>
      </c>
      <c r="S433" s="13" t="str">
        <f>IF($A433="","",[1]!thsiFinD("ths_adjustment_nv_fund",S$3,$A433))</f>
        <v/>
      </c>
      <c r="T433" s="13" t="str">
        <f>IF($A433="","",[1]!thsiFinD("ths_adjustment_nv_fund",T$3,$A433))</f>
        <v/>
      </c>
      <c r="U433" s="13" t="str">
        <f>IF($A433="","",[1]!thsiFinD("ths_adjustment_nv_fund",U$3,$A433))</f>
        <v/>
      </c>
      <c r="V433" s="13" t="str">
        <f>IF($A433="","",[1]!thsiFinD("ths_adjustment_nv_fund",V$3,$A433))</f>
        <v/>
      </c>
      <c r="W433" s="13" t="str">
        <f>IF($A433="","",[1]!thsiFinD("ths_adjustment_nv_fund",W$3,$A433))</f>
        <v/>
      </c>
      <c r="X433" s="13" t="str">
        <f>IF($A433="","",[1]!thsiFinD("ths_adjustment_nv_fund",X$3,$A433))</f>
        <v/>
      </c>
      <c r="Y433" s="13" t="str">
        <f>IF($A433="","",[1]!thsiFinD("ths_adjustment_nv_fund",Y$3,$A433))</f>
        <v/>
      </c>
      <c r="Z433" s="13" t="str">
        <f>IF($A433="","",[1]!thsiFinD("ths_adjustment_nv_fund",Z$3,$A433))</f>
        <v/>
      </c>
      <c r="AA433" s="13" t="str">
        <f>IF($A433="","",[1]!thsiFinD("ths_adjustment_nv_fund",AA$3,$A433))</f>
        <v/>
      </c>
      <c r="AB433" s="13" t="str">
        <f>IF($A433="","",[1]!thsiFinD("ths_adjustment_nv_fund",AB$3,$A433))</f>
        <v/>
      </c>
    </row>
    <row r="434" spans="2:28">
      <c r="B434" s="13" t="str">
        <f>IF($A434="","",[1]!thsiFinD("ths_adjustment_nv_fund",B$3,$A434))</f>
        <v/>
      </c>
      <c r="C434" s="13" t="str">
        <f>IF($A434="","",[1]!thsiFinD("ths_adjustment_nv_fund",C$3,$A434))</f>
        <v/>
      </c>
      <c r="D434" s="13" t="str">
        <f>IF($A434="","",[1]!thsiFinD("ths_adjustment_nv_fund",D$3,$A434))</f>
        <v/>
      </c>
      <c r="E434" s="13" t="str">
        <f>IF($A434="","",[1]!thsiFinD("ths_adjustment_nv_fund",E$3,$A434))</f>
        <v/>
      </c>
      <c r="F434" s="13" t="str">
        <f>IF($A434="","",[1]!thsiFinD("ths_adjustment_nv_fund",F$3,$A434))</f>
        <v/>
      </c>
      <c r="G434" s="13" t="str">
        <f>IF($A434="","",[1]!thsiFinD("ths_adjustment_nv_fund",G$3,$A434))</f>
        <v/>
      </c>
      <c r="H434" s="13" t="str">
        <f>IF($A434="","",[1]!thsiFinD("ths_adjustment_nv_fund",H$3,$A434))</f>
        <v/>
      </c>
      <c r="I434" s="13" t="str">
        <f>IF($A434="","",[1]!thsiFinD("ths_adjustment_nv_fund",I$3,$A434))</f>
        <v/>
      </c>
      <c r="J434" s="13" t="str">
        <f>IF($A434="","",[1]!thsiFinD("ths_adjustment_nv_fund",J$3,$A434))</f>
        <v/>
      </c>
      <c r="K434" s="13" t="str">
        <f>IF($A434="","",[1]!thsiFinD("ths_adjustment_nv_fund",K$3,$A434))</f>
        <v/>
      </c>
      <c r="L434" s="13" t="str">
        <f>IF($A434="","",[1]!thsiFinD("ths_adjustment_nv_fund",L$3,$A434))</f>
        <v/>
      </c>
      <c r="M434" s="13" t="str">
        <f>IF($A434="","",[1]!thsiFinD("ths_adjustment_nv_fund",M$3,$A434))</f>
        <v/>
      </c>
      <c r="N434" s="13" t="str">
        <f>IF($A434="","",[1]!thsiFinD("ths_adjustment_nv_fund",N$3,$A434))</f>
        <v/>
      </c>
      <c r="O434" s="13" t="str">
        <f>IF($A434="","",[1]!thsiFinD("ths_adjustment_nv_fund",O$3,$A434))</f>
        <v/>
      </c>
      <c r="P434" s="13" t="str">
        <f>IF($A434="","",[1]!thsiFinD("ths_adjustment_nv_fund",P$3,$A434))</f>
        <v/>
      </c>
      <c r="Q434" s="13" t="str">
        <f>IF($A434="","",[1]!thsiFinD("ths_adjustment_nv_fund",Q$3,$A434))</f>
        <v/>
      </c>
      <c r="R434" s="13" t="str">
        <f>IF($A434="","",[1]!thsiFinD("ths_adjustment_nv_fund",R$3,$A434))</f>
        <v/>
      </c>
      <c r="S434" s="13" t="str">
        <f>IF($A434="","",[1]!thsiFinD("ths_adjustment_nv_fund",S$3,$A434))</f>
        <v/>
      </c>
      <c r="T434" s="13" t="str">
        <f>IF($A434="","",[1]!thsiFinD("ths_adjustment_nv_fund",T$3,$A434))</f>
        <v/>
      </c>
      <c r="U434" s="13" t="str">
        <f>IF($A434="","",[1]!thsiFinD("ths_adjustment_nv_fund",U$3,$A434))</f>
        <v/>
      </c>
      <c r="V434" s="13" t="str">
        <f>IF($A434="","",[1]!thsiFinD("ths_adjustment_nv_fund",V$3,$A434))</f>
        <v/>
      </c>
      <c r="W434" s="13" t="str">
        <f>IF($A434="","",[1]!thsiFinD("ths_adjustment_nv_fund",W$3,$A434))</f>
        <v/>
      </c>
      <c r="X434" s="13" t="str">
        <f>IF($A434="","",[1]!thsiFinD("ths_adjustment_nv_fund",X$3,$A434))</f>
        <v/>
      </c>
      <c r="Y434" s="13" t="str">
        <f>IF($A434="","",[1]!thsiFinD("ths_adjustment_nv_fund",Y$3,$A434))</f>
        <v/>
      </c>
      <c r="Z434" s="13" t="str">
        <f>IF($A434="","",[1]!thsiFinD("ths_adjustment_nv_fund",Z$3,$A434))</f>
        <v/>
      </c>
      <c r="AA434" s="13" t="str">
        <f>IF($A434="","",[1]!thsiFinD("ths_adjustment_nv_fund",AA$3,$A434))</f>
        <v/>
      </c>
      <c r="AB434" s="13" t="str">
        <f>IF($A434="","",[1]!thsiFinD("ths_adjustment_nv_fund",AB$3,$A434))</f>
        <v/>
      </c>
    </row>
    <row r="435" spans="2:28">
      <c r="B435" s="13" t="str">
        <f>IF($A435="","",[1]!thsiFinD("ths_adjustment_nv_fund",B$3,$A435))</f>
        <v/>
      </c>
      <c r="C435" s="13" t="str">
        <f>IF($A435="","",[1]!thsiFinD("ths_adjustment_nv_fund",C$3,$A435))</f>
        <v/>
      </c>
      <c r="D435" s="13" t="str">
        <f>IF($A435="","",[1]!thsiFinD("ths_adjustment_nv_fund",D$3,$A435))</f>
        <v/>
      </c>
      <c r="E435" s="13" t="str">
        <f>IF($A435="","",[1]!thsiFinD("ths_adjustment_nv_fund",E$3,$A435))</f>
        <v/>
      </c>
      <c r="F435" s="13" t="str">
        <f>IF($A435="","",[1]!thsiFinD("ths_adjustment_nv_fund",F$3,$A435))</f>
        <v/>
      </c>
      <c r="G435" s="13" t="str">
        <f>IF($A435="","",[1]!thsiFinD("ths_adjustment_nv_fund",G$3,$A435))</f>
        <v/>
      </c>
      <c r="H435" s="13" t="str">
        <f>IF($A435="","",[1]!thsiFinD("ths_adjustment_nv_fund",H$3,$A435))</f>
        <v/>
      </c>
      <c r="I435" s="13" t="str">
        <f>IF($A435="","",[1]!thsiFinD("ths_adjustment_nv_fund",I$3,$A435))</f>
        <v/>
      </c>
      <c r="J435" s="13" t="str">
        <f>IF($A435="","",[1]!thsiFinD("ths_adjustment_nv_fund",J$3,$A435))</f>
        <v/>
      </c>
      <c r="K435" s="13" t="str">
        <f>IF($A435="","",[1]!thsiFinD("ths_adjustment_nv_fund",K$3,$A435))</f>
        <v/>
      </c>
      <c r="L435" s="13" t="str">
        <f>IF($A435="","",[1]!thsiFinD("ths_adjustment_nv_fund",L$3,$A435))</f>
        <v/>
      </c>
      <c r="M435" s="13" t="str">
        <f>IF($A435="","",[1]!thsiFinD("ths_adjustment_nv_fund",M$3,$A435))</f>
        <v/>
      </c>
      <c r="N435" s="13" t="str">
        <f>IF($A435="","",[1]!thsiFinD("ths_adjustment_nv_fund",N$3,$A435))</f>
        <v/>
      </c>
      <c r="O435" s="13" t="str">
        <f>IF($A435="","",[1]!thsiFinD("ths_adjustment_nv_fund",O$3,$A435))</f>
        <v/>
      </c>
      <c r="P435" s="13" t="str">
        <f>IF($A435="","",[1]!thsiFinD("ths_adjustment_nv_fund",P$3,$A435))</f>
        <v/>
      </c>
      <c r="Q435" s="13" t="str">
        <f>IF($A435="","",[1]!thsiFinD("ths_adjustment_nv_fund",Q$3,$A435))</f>
        <v/>
      </c>
      <c r="R435" s="13" t="str">
        <f>IF($A435="","",[1]!thsiFinD("ths_adjustment_nv_fund",R$3,$A435))</f>
        <v/>
      </c>
      <c r="S435" s="13" t="str">
        <f>IF($A435="","",[1]!thsiFinD("ths_adjustment_nv_fund",S$3,$A435))</f>
        <v/>
      </c>
      <c r="T435" s="13" t="str">
        <f>IF($A435="","",[1]!thsiFinD("ths_adjustment_nv_fund",T$3,$A435))</f>
        <v/>
      </c>
      <c r="U435" s="13" t="str">
        <f>IF($A435="","",[1]!thsiFinD("ths_adjustment_nv_fund",U$3,$A435))</f>
        <v/>
      </c>
      <c r="V435" s="13" t="str">
        <f>IF($A435="","",[1]!thsiFinD("ths_adjustment_nv_fund",V$3,$A435))</f>
        <v/>
      </c>
      <c r="W435" s="13" t="str">
        <f>IF($A435="","",[1]!thsiFinD("ths_adjustment_nv_fund",W$3,$A435))</f>
        <v/>
      </c>
      <c r="X435" s="13" t="str">
        <f>IF($A435="","",[1]!thsiFinD("ths_adjustment_nv_fund",X$3,$A435))</f>
        <v/>
      </c>
      <c r="Y435" s="13" t="str">
        <f>IF($A435="","",[1]!thsiFinD("ths_adjustment_nv_fund",Y$3,$A435))</f>
        <v/>
      </c>
      <c r="Z435" s="13" t="str">
        <f>IF($A435="","",[1]!thsiFinD("ths_adjustment_nv_fund",Z$3,$A435))</f>
        <v/>
      </c>
      <c r="AA435" s="13" t="str">
        <f>IF($A435="","",[1]!thsiFinD("ths_adjustment_nv_fund",AA$3,$A435))</f>
        <v/>
      </c>
      <c r="AB435" s="13" t="str">
        <f>IF($A435="","",[1]!thsiFinD("ths_adjustment_nv_fund",AB$3,$A435))</f>
        <v/>
      </c>
    </row>
    <row r="436" spans="2:28">
      <c r="B436" s="13" t="str">
        <f>IF($A436="","",[1]!thsiFinD("ths_adjustment_nv_fund",B$3,$A436))</f>
        <v/>
      </c>
      <c r="C436" s="13" t="str">
        <f>IF($A436="","",[1]!thsiFinD("ths_adjustment_nv_fund",C$3,$A436))</f>
        <v/>
      </c>
      <c r="D436" s="13" t="str">
        <f>IF($A436="","",[1]!thsiFinD("ths_adjustment_nv_fund",D$3,$A436))</f>
        <v/>
      </c>
      <c r="E436" s="13" t="str">
        <f>IF($A436="","",[1]!thsiFinD("ths_adjustment_nv_fund",E$3,$A436))</f>
        <v/>
      </c>
      <c r="F436" s="13" t="str">
        <f>IF($A436="","",[1]!thsiFinD("ths_adjustment_nv_fund",F$3,$A436))</f>
        <v/>
      </c>
      <c r="G436" s="13" t="str">
        <f>IF($A436="","",[1]!thsiFinD("ths_adjustment_nv_fund",G$3,$A436))</f>
        <v/>
      </c>
      <c r="H436" s="13" t="str">
        <f>IF($A436="","",[1]!thsiFinD("ths_adjustment_nv_fund",H$3,$A436))</f>
        <v/>
      </c>
      <c r="I436" s="13" t="str">
        <f>IF($A436="","",[1]!thsiFinD("ths_adjustment_nv_fund",I$3,$A436))</f>
        <v/>
      </c>
      <c r="J436" s="13" t="str">
        <f>IF($A436="","",[1]!thsiFinD("ths_adjustment_nv_fund",J$3,$A436))</f>
        <v/>
      </c>
      <c r="K436" s="13" t="str">
        <f>IF($A436="","",[1]!thsiFinD("ths_adjustment_nv_fund",K$3,$A436))</f>
        <v/>
      </c>
      <c r="L436" s="13" t="str">
        <f>IF($A436="","",[1]!thsiFinD("ths_adjustment_nv_fund",L$3,$A436))</f>
        <v/>
      </c>
      <c r="M436" s="13" t="str">
        <f>IF($A436="","",[1]!thsiFinD("ths_adjustment_nv_fund",M$3,$A436))</f>
        <v/>
      </c>
      <c r="N436" s="13" t="str">
        <f>IF($A436="","",[1]!thsiFinD("ths_adjustment_nv_fund",N$3,$A436))</f>
        <v/>
      </c>
      <c r="O436" s="13" t="str">
        <f>IF($A436="","",[1]!thsiFinD("ths_adjustment_nv_fund",O$3,$A436))</f>
        <v/>
      </c>
      <c r="P436" s="13" t="str">
        <f>IF($A436="","",[1]!thsiFinD("ths_adjustment_nv_fund",P$3,$A436))</f>
        <v/>
      </c>
      <c r="Q436" s="13" t="str">
        <f>IF($A436="","",[1]!thsiFinD("ths_adjustment_nv_fund",Q$3,$A436))</f>
        <v/>
      </c>
      <c r="R436" s="13" t="str">
        <f>IF($A436="","",[1]!thsiFinD("ths_adjustment_nv_fund",R$3,$A436))</f>
        <v/>
      </c>
      <c r="S436" s="13" t="str">
        <f>IF($A436="","",[1]!thsiFinD("ths_adjustment_nv_fund",S$3,$A436))</f>
        <v/>
      </c>
      <c r="T436" s="13" t="str">
        <f>IF($A436="","",[1]!thsiFinD("ths_adjustment_nv_fund",T$3,$A436))</f>
        <v/>
      </c>
      <c r="U436" s="13" t="str">
        <f>IF($A436="","",[1]!thsiFinD("ths_adjustment_nv_fund",U$3,$A436))</f>
        <v/>
      </c>
      <c r="V436" s="13" t="str">
        <f>IF($A436="","",[1]!thsiFinD("ths_adjustment_nv_fund",V$3,$A436))</f>
        <v/>
      </c>
      <c r="W436" s="13" t="str">
        <f>IF($A436="","",[1]!thsiFinD("ths_adjustment_nv_fund",W$3,$A436))</f>
        <v/>
      </c>
      <c r="X436" s="13" t="str">
        <f>IF($A436="","",[1]!thsiFinD("ths_adjustment_nv_fund",X$3,$A436))</f>
        <v/>
      </c>
      <c r="Y436" s="13" t="str">
        <f>IF($A436="","",[1]!thsiFinD("ths_adjustment_nv_fund",Y$3,$A436))</f>
        <v/>
      </c>
      <c r="Z436" s="13" t="str">
        <f>IF($A436="","",[1]!thsiFinD("ths_adjustment_nv_fund",Z$3,$A436))</f>
        <v/>
      </c>
      <c r="AA436" s="13" t="str">
        <f>IF($A436="","",[1]!thsiFinD("ths_adjustment_nv_fund",AA$3,$A436))</f>
        <v/>
      </c>
      <c r="AB436" s="13" t="str">
        <f>IF($A436="","",[1]!thsiFinD("ths_adjustment_nv_fund",AB$3,$A436))</f>
        <v/>
      </c>
    </row>
    <row r="437" spans="2:28">
      <c r="B437" s="13" t="str">
        <f>IF($A437="","",[1]!thsiFinD("ths_adjustment_nv_fund",B$3,$A437))</f>
        <v/>
      </c>
      <c r="C437" s="13" t="str">
        <f>IF($A437="","",[1]!thsiFinD("ths_adjustment_nv_fund",C$3,$A437))</f>
        <v/>
      </c>
      <c r="D437" s="13" t="str">
        <f>IF($A437="","",[1]!thsiFinD("ths_adjustment_nv_fund",D$3,$A437))</f>
        <v/>
      </c>
      <c r="E437" s="13" t="str">
        <f>IF($A437="","",[1]!thsiFinD("ths_adjustment_nv_fund",E$3,$A437))</f>
        <v/>
      </c>
      <c r="F437" s="13" t="str">
        <f>IF($A437="","",[1]!thsiFinD("ths_adjustment_nv_fund",F$3,$A437))</f>
        <v/>
      </c>
      <c r="G437" s="13" t="str">
        <f>IF($A437="","",[1]!thsiFinD("ths_adjustment_nv_fund",G$3,$A437))</f>
        <v/>
      </c>
      <c r="H437" s="13" t="str">
        <f>IF($A437="","",[1]!thsiFinD("ths_adjustment_nv_fund",H$3,$A437))</f>
        <v/>
      </c>
      <c r="I437" s="13" t="str">
        <f>IF($A437="","",[1]!thsiFinD("ths_adjustment_nv_fund",I$3,$A437))</f>
        <v/>
      </c>
      <c r="J437" s="13" t="str">
        <f>IF($A437="","",[1]!thsiFinD("ths_adjustment_nv_fund",J$3,$A437))</f>
        <v/>
      </c>
      <c r="K437" s="13" t="str">
        <f>IF($A437="","",[1]!thsiFinD("ths_adjustment_nv_fund",K$3,$A437))</f>
        <v/>
      </c>
      <c r="L437" s="13" t="str">
        <f>IF($A437="","",[1]!thsiFinD("ths_adjustment_nv_fund",L$3,$A437))</f>
        <v/>
      </c>
      <c r="M437" s="13" t="str">
        <f>IF($A437="","",[1]!thsiFinD("ths_adjustment_nv_fund",M$3,$A437))</f>
        <v/>
      </c>
      <c r="N437" s="13" t="str">
        <f>IF($A437="","",[1]!thsiFinD("ths_adjustment_nv_fund",N$3,$A437))</f>
        <v/>
      </c>
      <c r="O437" s="13" t="str">
        <f>IF($A437="","",[1]!thsiFinD("ths_adjustment_nv_fund",O$3,$A437))</f>
        <v/>
      </c>
      <c r="P437" s="13" t="str">
        <f>IF($A437="","",[1]!thsiFinD("ths_adjustment_nv_fund",P$3,$A437))</f>
        <v/>
      </c>
      <c r="Q437" s="13" t="str">
        <f>IF($A437="","",[1]!thsiFinD("ths_adjustment_nv_fund",Q$3,$A437))</f>
        <v/>
      </c>
      <c r="R437" s="13" t="str">
        <f>IF($A437="","",[1]!thsiFinD("ths_adjustment_nv_fund",R$3,$A437))</f>
        <v/>
      </c>
      <c r="S437" s="13" t="str">
        <f>IF($A437="","",[1]!thsiFinD("ths_adjustment_nv_fund",S$3,$A437))</f>
        <v/>
      </c>
      <c r="T437" s="13" t="str">
        <f>IF($A437="","",[1]!thsiFinD("ths_adjustment_nv_fund",T$3,$A437))</f>
        <v/>
      </c>
      <c r="U437" s="13" t="str">
        <f>IF($A437="","",[1]!thsiFinD("ths_adjustment_nv_fund",U$3,$A437))</f>
        <v/>
      </c>
      <c r="V437" s="13" t="str">
        <f>IF($A437="","",[1]!thsiFinD("ths_adjustment_nv_fund",V$3,$A437))</f>
        <v/>
      </c>
      <c r="W437" s="13" t="str">
        <f>IF($A437="","",[1]!thsiFinD("ths_adjustment_nv_fund",W$3,$A437))</f>
        <v/>
      </c>
      <c r="X437" s="13" t="str">
        <f>IF($A437="","",[1]!thsiFinD("ths_adjustment_nv_fund",X$3,$A437))</f>
        <v/>
      </c>
      <c r="Y437" s="13" t="str">
        <f>IF($A437="","",[1]!thsiFinD("ths_adjustment_nv_fund",Y$3,$A437))</f>
        <v/>
      </c>
      <c r="Z437" s="13" t="str">
        <f>IF($A437="","",[1]!thsiFinD("ths_adjustment_nv_fund",Z$3,$A437))</f>
        <v/>
      </c>
      <c r="AA437" s="13" t="str">
        <f>IF($A437="","",[1]!thsiFinD("ths_adjustment_nv_fund",AA$3,$A437))</f>
        <v/>
      </c>
      <c r="AB437" s="13" t="str">
        <f>IF($A437="","",[1]!thsiFinD("ths_adjustment_nv_fund",AB$3,$A437))</f>
        <v/>
      </c>
    </row>
    <row r="438" spans="2:28">
      <c r="B438" s="13" t="str">
        <f>IF($A438="","",[1]!thsiFinD("ths_adjustment_nv_fund",B$3,$A438))</f>
        <v/>
      </c>
      <c r="C438" s="13" t="str">
        <f>IF($A438="","",[1]!thsiFinD("ths_adjustment_nv_fund",C$3,$A438))</f>
        <v/>
      </c>
      <c r="D438" s="13" t="str">
        <f>IF($A438="","",[1]!thsiFinD("ths_adjustment_nv_fund",D$3,$A438))</f>
        <v/>
      </c>
      <c r="E438" s="13" t="str">
        <f>IF($A438="","",[1]!thsiFinD("ths_adjustment_nv_fund",E$3,$A438))</f>
        <v/>
      </c>
      <c r="F438" s="13" t="str">
        <f>IF($A438="","",[1]!thsiFinD("ths_adjustment_nv_fund",F$3,$A438))</f>
        <v/>
      </c>
      <c r="G438" s="13" t="str">
        <f>IF($A438="","",[1]!thsiFinD("ths_adjustment_nv_fund",G$3,$A438))</f>
        <v/>
      </c>
      <c r="H438" s="13" t="str">
        <f>IF($A438="","",[1]!thsiFinD("ths_adjustment_nv_fund",H$3,$A438))</f>
        <v/>
      </c>
      <c r="I438" s="13" t="str">
        <f>IF($A438="","",[1]!thsiFinD("ths_adjustment_nv_fund",I$3,$A438))</f>
        <v/>
      </c>
      <c r="J438" s="13" t="str">
        <f>IF($A438="","",[1]!thsiFinD("ths_adjustment_nv_fund",J$3,$A438))</f>
        <v/>
      </c>
      <c r="K438" s="13" t="str">
        <f>IF($A438="","",[1]!thsiFinD("ths_adjustment_nv_fund",K$3,$A438))</f>
        <v/>
      </c>
      <c r="L438" s="13" t="str">
        <f>IF($A438="","",[1]!thsiFinD("ths_adjustment_nv_fund",L$3,$A438))</f>
        <v/>
      </c>
      <c r="M438" s="13" t="str">
        <f>IF($A438="","",[1]!thsiFinD("ths_adjustment_nv_fund",M$3,$A438))</f>
        <v/>
      </c>
      <c r="N438" s="13" t="str">
        <f>IF($A438="","",[1]!thsiFinD("ths_adjustment_nv_fund",N$3,$A438))</f>
        <v/>
      </c>
      <c r="O438" s="13" t="str">
        <f>IF($A438="","",[1]!thsiFinD("ths_adjustment_nv_fund",O$3,$A438))</f>
        <v/>
      </c>
      <c r="P438" s="13" t="str">
        <f>IF($A438="","",[1]!thsiFinD("ths_adjustment_nv_fund",P$3,$A438))</f>
        <v/>
      </c>
      <c r="Q438" s="13" t="str">
        <f>IF($A438="","",[1]!thsiFinD("ths_adjustment_nv_fund",Q$3,$A438))</f>
        <v/>
      </c>
      <c r="R438" s="13" t="str">
        <f>IF($A438="","",[1]!thsiFinD("ths_adjustment_nv_fund",R$3,$A438))</f>
        <v/>
      </c>
      <c r="S438" s="13" t="str">
        <f>IF($A438="","",[1]!thsiFinD("ths_adjustment_nv_fund",S$3,$A438))</f>
        <v/>
      </c>
      <c r="T438" s="13" t="str">
        <f>IF($A438="","",[1]!thsiFinD("ths_adjustment_nv_fund",T$3,$A438))</f>
        <v/>
      </c>
      <c r="U438" s="13" t="str">
        <f>IF($A438="","",[1]!thsiFinD("ths_adjustment_nv_fund",U$3,$A438))</f>
        <v/>
      </c>
      <c r="V438" s="13" t="str">
        <f>IF($A438="","",[1]!thsiFinD("ths_adjustment_nv_fund",V$3,$A438))</f>
        <v/>
      </c>
      <c r="W438" s="13" t="str">
        <f>IF($A438="","",[1]!thsiFinD("ths_adjustment_nv_fund",W$3,$A438))</f>
        <v/>
      </c>
      <c r="X438" s="13" t="str">
        <f>IF($A438="","",[1]!thsiFinD("ths_adjustment_nv_fund",X$3,$A438))</f>
        <v/>
      </c>
      <c r="Y438" s="13" t="str">
        <f>IF($A438="","",[1]!thsiFinD("ths_adjustment_nv_fund",Y$3,$A438))</f>
        <v/>
      </c>
      <c r="Z438" s="13" t="str">
        <f>IF($A438="","",[1]!thsiFinD("ths_adjustment_nv_fund",Z$3,$A438))</f>
        <v/>
      </c>
      <c r="AA438" s="13" t="str">
        <f>IF($A438="","",[1]!thsiFinD("ths_adjustment_nv_fund",AA$3,$A438))</f>
        <v/>
      </c>
      <c r="AB438" s="13" t="str">
        <f>IF($A438="","",[1]!thsiFinD("ths_adjustment_nv_fund",AB$3,$A438))</f>
        <v/>
      </c>
    </row>
    <row r="439" spans="2:28">
      <c r="B439" s="13" t="str">
        <f>IF($A439="","",[1]!thsiFinD("ths_adjustment_nv_fund",B$3,$A439))</f>
        <v/>
      </c>
      <c r="C439" s="13" t="str">
        <f>IF($A439="","",[1]!thsiFinD("ths_adjustment_nv_fund",C$3,$A439))</f>
        <v/>
      </c>
      <c r="D439" s="13" t="str">
        <f>IF($A439="","",[1]!thsiFinD("ths_adjustment_nv_fund",D$3,$A439))</f>
        <v/>
      </c>
      <c r="E439" s="13" t="str">
        <f>IF($A439="","",[1]!thsiFinD("ths_adjustment_nv_fund",E$3,$A439))</f>
        <v/>
      </c>
      <c r="F439" s="13" t="str">
        <f>IF($A439="","",[1]!thsiFinD("ths_adjustment_nv_fund",F$3,$A439))</f>
        <v/>
      </c>
      <c r="G439" s="13" t="str">
        <f>IF($A439="","",[1]!thsiFinD("ths_adjustment_nv_fund",G$3,$A439))</f>
        <v/>
      </c>
      <c r="H439" s="13" t="str">
        <f>IF($A439="","",[1]!thsiFinD("ths_adjustment_nv_fund",H$3,$A439))</f>
        <v/>
      </c>
      <c r="I439" s="13" t="str">
        <f>IF($A439="","",[1]!thsiFinD("ths_adjustment_nv_fund",I$3,$A439))</f>
        <v/>
      </c>
      <c r="J439" s="13" t="str">
        <f>IF($A439="","",[1]!thsiFinD("ths_adjustment_nv_fund",J$3,$A439))</f>
        <v/>
      </c>
      <c r="K439" s="13" t="str">
        <f>IF($A439="","",[1]!thsiFinD("ths_adjustment_nv_fund",K$3,$A439))</f>
        <v/>
      </c>
      <c r="L439" s="13" t="str">
        <f>IF($A439="","",[1]!thsiFinD("ths_adjustment_nv_fund",L$3,$A439))</f>
        <v/>
      </c>
      <c r="M439" s="13" t="str">
        <f>IF($A439="","",[1]!thsiFinD("ths_adjustment_nv_fund",M$3,$A439))</f>
        <v/>
      </c>
      <c r="N439" s="13" t="str">
        <f>IF($A439="","",[1]!thsiFinD("ths_adjustment_nv_fund",N$3,$A439))</f>
        <v/>
      </c>
      <c r="O439" s="13" t="str">
        <f>IF($A439="","",[1]!thsiFinD("ths_adjustment_nv_fund",O$3,$A439))</f>
        <v/>
      </c>
      <c r="P439" s="13" t="str">
        <f>IF($A439="","",[1]!thsiFinD("ths_adjustment_nv_fund",P$3,$A439))</f>
        <v/>
      </c>
      <c r="Q439" s="13" t="str">
        <f>IF($A439="","",[1]!thsiFinD("ths_adjustment_nv_fund",Q$3,$A439))</f>
        <v/>
      </c>
      <c r="R439" s="13" t="str">
        <f>IF($A439="","",[1]!thsiFinD("ths_adjustment_nv_fund",R$3,$A439))</f>
        <v/>
      </c>
      <c r="S439" s="13" t="str">
        <f>IF($A439="","",[1]!thsiFinD("ths_adjustment_nv_fund",S$3,$A439))</f>
        <v/>
      </c>
      <c r="T439" s="13" t="str">
        <f>IF($A439="","",[1]!thsiFinD("ths_adjustment_nv_fund",T$3,$A439))</f>
        <v/>
      </c>
      <c r="U439" s="13" t="str">
        <f>IF($A439="","",[1]!thsiFinD("ths_adjustment_nv_fund",U$3,$A439))</f>
        <v/>
      </c>
      <c r="V439" s="13" t="str">
        <f>IF($A439="","",[1]!thsiFinD("ths_adjustment_nv_fund",V$3,$A439))</f>
        <v/>
      </c>
      <c r="W439" s="13" t="str">
        <f>IF($A439="","",[1]!thsiFinD("ths_adjustment_nv_fund",W$3,$A439))</f>
        <v/>
      </c>
      <c r="X439" s="13" t="str">
        <f>IF($A439="","",[1]!thsiFinD("ths_adjustment_nv_fund",X$3,$A439))</f>
        <v/>
      </c>
      <c r="Y439" s="13" t="str">
        <f>IF($A439="","",[1]!thsiFinD("ths_adjustment_nv_fund",Y$3,$A439))</f>
        <v/>
      </c>
      <c r="Z439" s="13" t="str">
        <f>IF($A439="","",[1]!thsiFinD("ths_adjustment_nv_fund",Z$3,$A439))</f>
        <v/>
      </c>
      <c r="AA439" s="13" t="str">
        <f>IF($A439="","",[1]!thsiFinD("ths_adjustment_nv_fund",AA$3,$A439))</f>
        <v/>
      </c>
      <c r="AB439" s="13" t="str">
        <f>IF($A439="","",[1]!thsiFinD("ths_adjustment_nv_fund",AB$3,$A439))</f>
        <v/>
      </c>
    </row>
    <row r="440" spans="2:28">
      <c r="B440" s="13" t="str">
        <f>IF($A440="","",[1]!thsiFinD("ths_adjustment_nv_fund",B$3,$A440))</f>
        <v/>
      </c>
      <c r="C440" s="13" t="str">
        <f>IF($A440="","",[1]!thsiFinD("ths_adjustment_nv_fund",C$3,$A440))</f>
        <v/>
      </c>
      <c r="D440" s="13" t="str">
        <f>IF($A440="","",[1]!thsiFinD("ths_adjustment_nv_fund",D$3,$A440))</f>
        <v/>
      </c>
      <c r="E440" s="13" t="str">
        <f>IF($A440="","",[1]!thsiFinD("ths_adjustment_nv_fund",E$3,$A440))</f>
        <v/>
      </c>
      <c r="F440" s="13" t="str">
        <f>IF($A440="","",[1]!thsiFinD("ths_adjustment_nv_fund",F$3,$A440))</f>
        <v/>
      </c>
      <c r="G440" s="13" t="str">
        <f>IF($A440="","",[1]!thsiFinD("ths_adjustment_nv_fund",G$3,$A440))</f>
        <v/>
      </c>
      <c r="H440" s="13" t="str">
        <f>IF($A440="","",[1]!thsiFinD("ths_adjustment_nv_fund",H$3,$A440))</f>
        <v/>
      </c>
      <c r="I440" s="13" t="str">
        <f>IF($A440="","",[1]!thsiFinD("ths_adjustment_nv_fund",I$3,$A440))</f>
        <v/>
      </c>
      <c r="J440" s="13" t="str">
        <f>IF($A440="","",[1]!thsiFinD("ths_adjustment_nv_fund",J$3,$A440))</f>
        <v/>
      </c>
      <c r="K440" s="13" t="str">
        <f>IF($A440="","",[1]!thsiFinD("ths_adjustment_nv_fund",K$3,$A440))</f>
        <v/>
      </c>
      <c r="L440" s="13" t="str">
        <f>IF($A440="","",[1]!thsiFinD("ths_adjustment_nv_fund",L$3,$A440))</f>
        <v/>
      </c>
      <c r="M440" s="13" t="str">
        <f>IF($A440="","",[1]!thsiFinD("ths_adjustment_nv_fund",M$3,$A440))</f>
        <v/>
      </c>
      <c r="N440" s="13" t="str">
        <f>IF($A440="","",[1]!thsiFinD("ths_adjustment_nv_fund",N$3,$A440))</f>
        <v/>
      </c>
      <c r="O440" s="13" t="str">
        <f>IF($A440="","",[1]!thsiFinD("ths_adjustment_nv_fund",O$3,$A440))</f>
        <v/>
      </c>
      <c r="P440" s="13" t="str">
        <f>IF($A440="","",[1]!thsiFinD("ths_adjustment_nv_fund",P$3,$A440))</f>
        <v/>
      </c>
      <c r="Q440" s="13" t="str">
        <f>IF($A440="","",[1]!thsiFinD("ths_adjustment_nv_fund",Q$3,$A440))</f>
        <v/>
      </c>
      <c r="R440" s="13" t="str">
        <f>IF($A440="","",[1]!thsiFinD("ths_adjustment_nv_fund",R$3,$A440))</f>
        <v/>
      </c>
      <c r="S440" s="13" t="str">
        <f>IF($A440="","",[1]!thsiFinD("ths_adjustment_nv_fund",S$3,$A440))</f>
        <v/>
      </c>
      <c r="T440" s="13" t="str">
        <f>IF($A440="","",[1]!thsiFinD("ths_adjustment_nv_fund",T$3,$A440))</f>
        <v/>
      </c>
      <c r="U440" s="13" t="str">
        <f>IF($A440="","",[1]!thsiFinD("ths_adjustment_nv_fund",U$3,$A440))</f>
        <v/>
      </c>
      <c r="V440" s="13" t="str">
        <f>IF($A440="","",[1]!thsiFinD("ths_adjustment_nv_fund",V$3,$A440))</f>
        <v/>
      </c>
      <c r="W440" s="13" t="str">
        <f>IF($A440="","",[1]!thsiFinD("ths_adjustment_nv_fund",W$3,$A440))</f>
        <v/>
      </c>
      <c r="X440" s="13" t="str">
        <f>IF($A440="","",[1]!thsiFinD("ths_adjustment_nv_fund",X$3,$A440))</f>
        <v/>
      </c>
      <c r="Y440" s="13" t="str">
        <f>IF($A440="","",[1]!thsiFinD("ths_adjustment_nv_fund",Y$3,$A440))</f>
        <v/>
      </c>
      <c r="Z440" s="13" t="str">
        <f>IF($A440="","",[1]!thsiFinD("ths_adjustment_nv_fund",Z$3,$A440))</f>
        <v/>
      </c>
      <c r="AA440" s="13" t="str">
        <f>IF($A440="","",[1]!thsiFinD("ths_adjustment_nv_fund",AA$3,$A440))</f>
        <v/>
      </c>
      <c r="AB440" s="13" t="str">
        <f>IF($A440="","",[1]!thsiFinD("ths_adjustment_nv_fund",AB$3,$A440))</f>
        <v/>
      </c>
    </row>
    <row r="441" spans="2:28">
      <c r="B441" s="13" t="str">
        <f>IF($A441="","",[1]!thsiFinD("ths_adjustment_nv_fund",B$3,$A441))</f>
        <v/>
      </c>
      <c r="C441" s="13" t="str">
        <f>IF($A441="","",[1]!thsiFinD("ths_adjustment_nv_fund",C$3,$A441))</f>
        <v/>
      </c>
      <c r="D441" s="13" t="str">
        <f>IF($A441="","",[1]!thsiFinD("ths_adjustment_nv_fund",D$3,$A441))</f>
        <v/>
      </c>
      <c r="E441" s="13" t="str">
        <f>IF($A441="","",[1]!thsiFinD("ths_adjustment_nv_fund",E$3,$A441))</f>
        <v/>
      </c>
      <c r="F441" s="13" t="str">
        <f>IF($A441="","",[1]!thsiFinD("ths_adjustment_nv_fund",F$3,$A441))</f>
        <v/>
      </c>
      <c r="G441" s="13" t="str">
        <f>IF($A441="","",[1]!thsiFinD("ths_adjustment_nv_fund",G$3,$A441))</f>
        <v/>
      </c>
      <c r="H441" s="13" t="str">
        <f>IF($A441="","",[1]!thsiFinD("ths_adjustment_nv_fund",H$3,$A441))</f>
        <v/>
      </c>
      <c r="I441" s="13" t="str">
        <f>IF($A441="","",[1]!thsiFinD("ths_adjustment_nv_fund",I$3,$A441))</f>
        <v/>
      </c>
      <c r="J441" s="13" t="str">
        <f>IF($A441="","",[1]!thsiFinD("ths_adjustment_nv_fund",J$3,$A441))</f>
        <v/>
      </c>
      <c r="K441" s="13" t="str">
        <f>IF($A441="","",[1]!thsiFinD("ths_adjustment_nv_fund",K$3,$A441))</f>
        <v/>
      </c>
      <c r="L441" s="13" t="str">
        <f>IF($A441="","",[1]!thsiFinD("ths_adjustment_nv_fund",L$3,$A441))</f>
        <v/>
      </c>
      <c r="M441" s="13" t="str">
        <f>IF($A441="","",[1]!thsiFinD("ths_adjustment_nv_fund",M$3,$A441))</f>
        <v/>
      </c>
      <c r="N441" s="13" t="str">
        <f>IF($A441="","",[1]!thsiFinD("ths_adjustment_nv_fund",N$3,$A441))</f>
        <v/>
      </c>
      <c r="O441" s="13" t="str">
        <f>IF($A441="","",[1]!thsiFinD("ths_adjustment_nv_fund",O$3,$A441))</f>
        <v/>
      </c>
      <c r="P441" s="13" t="str">
        <f>IF($A441="","",[1]!thsiFinD("ths_adjustment_nv_fund",P$3,$A441))</f>
        <v/>
      </c>
      <c r="Q441" s="13" t="str">
        <f>IF($A441="","",[1]!thsiFinD("ths_adjustment_nv_fund",Q$3,$A441))</f>
        <v/>
      </c>
      <c r="R441" s="13" t="str">
        <f>IF($A441="","",[1]!thsiFinD("ths_adjustment_nv_fund",R$3,$A441))</f>
        <v/>
      </c>
      <c r="S441" s="13" t="str">
        <f>IF($A441="","",[1]!thsiFinD("ths_adjustment_nv_fund",S$3,$A441))</f>
        <v/>
      </c>
      <c r="T441" s="13" t="str">
        <f>IF($A441="","",[1]!thsiFinD("ths_adjustment_nv_fund",T$3,$A441))</f>
        <v/>
      </c>
      <c r="U441" s="13" t="str">
        <f>IF($A441="","",[1]!thsiFinD("ths_adjustment_nv_fund",U$3,$A441))</f>
        <v/>
      </c>
      <c r="V441" s="13" t="str">
        <f>IF($A441="","",[1]!thsiFinD("ths_adjustment_nv_fund",V$3,$A441))</f>
        <v/>
      </c>
      <c r="W441" s="13" t="str">
        <f>IF($A441="","",[1]!thsiFinD("ths_adjustment_nv_fund",W$3,$A441))</f>
        <v/>
      </c>
      <c r="X441" s="13" t="str">
        <f>IF($A441="","",[1]!thsiFinD("ths_adjustment_nv_fund",X$3,$A441))</f>
        <v/>
      </c>
      <c r="Y441" s="13" t="str">
        <f>IF($A441="","",[1]!thsiFinD("ths_adjustment_nv_fund",Y$3,$A441))</f>
        <v/>
      </c>
      <c r="Z441" s="13" t="str">
        <f>IF($A441="","",[1]!thsiFinD("ths_adjustment_nv_fund",Z$3,$A441))</f>
        <v/>
      </c>
      <c r="AA441" s="13" t="str">
        <f>IF($A441="","",[1]!thsiFinD("ths_adjustment_nv_fund",AA$3,$A441))</f>
        <v/>
      </c>
      <c r="AB441" s="13" t="str">
        <f>IF($A441="","",[1]!thsiFinD("ths_adjustment_nv_fund",AB$3,$A441))</f>
        <v/>
      </c>
    </row>
    <row r="442" spans="2:28">
      <c r="B442" s="13" t="str">
        <f>IF($A442="","",[1]!thsiFinD("ths_adjustment_nv_fund",B$3,$A442))</f>
        <v/>
      </c>
      <c r="C442" s="13" t="str">
        <f>IF($A442="","",[1]!thsiFinD("ths_adjustment_nv_fund",C$3,$A442))</f>
        <v/>
      </c>
      <c r="D442" s="13" t="str">
        <f>IF($A442="","",[1]!thsiFinD("ths_adjustment_nv_fund",D$3,$A442))</f>
        <v/>
      </c>
      <c r="E442" s="13" t="str">
        <f>IF($A442="","",[1]!thsiFinD("ths_adjustment_nv_fund",E$3,$A442))</f>
        <v/>
      </c>
      <c r="F442" s="13" t="str">
        <f>IF($A442="","",[1]!thsiFinD("ths_adjustment_nv_fund",F$3,$A442))</f>
        <v/>
      </c>
      <c r="G442" s="13" t="str">
        <f>IF($A442="","",[1]!thsiFinD("ths_adjustment_nv_fund",G$3,$A442))</f>
        <v/>
      </c>
      <c r="H442" s="13" t="str">
        <f>IF($A442="","",[1]!thsiFinD("ths_adjustment_nv_fund",H$3,$A442))</f>
        <v/>
      </c>
      <c r="I442" s="13" t="str">
        <f>IF($A442="","",[1]!thsiFinD("ths_adjustment_nv_fund",I$3,$A442))</f>
        <v/>
      </c>
      <c r="J442" s="13" t="str">
        <f>IF($A442="","",[1]!thsiFinD("ths_adjustment_nv_fund",J$3,$A442))</f>
        <v/>
      </c>
      <c r="K442" s="13" t="str">
        <f>IF($A442="","",[1]!thsiFinD("ths_adjustment_nv_fund",K$3,$A442))</f>
        <v/>
      </c>
      <c r="L442" s="13" t="str">
        <f>IF($A442="","",[1]!thsiFinD("ths_adjustment_nv_fund",L$3,$A442))</f>
        <v/>
      </c>
      <c r="M442" s="13" t="str">
        <f>IF($A442="","",[1]!thsiFinD("ths_adjustment_nv_fund",M$3,$A442))</f>
        <v/>
      </c>
      <c r="N442" s="13" t="str">
        <f>IF($A442="","",[1]!thsiFinD("ths_adjustment_nv_fund",N$3,$A442))</f>
        <v/>
      </c>
      <c r="O442" s="13" t="str">
        <f>IF($A442="","",[1]!thsiFinD("ths_adjustment_nv_fund",O$3,$A442))</f>
        <v/>
      </c>
      <c r="P442" s="13" t="str">
        <f>IF($A442="","",[1]!thsiFinD("ths_adjustment_nv_fund",P$3,$A442))</f>
        <v/>
      </c>
      <c r="Q442" s="13" t="str">
        <f>IF($A442="","",[1]!thsiFinD("ths_adjustment_nv_fund",Q$3,$A442))</f>
        <v/>
      </c>
      <c r="R442" s="13" t="str">
        <f>IF($A442="","",[1]!thsiFinD("ths_adjustment_nv_fund",R$3,$A442))</f>
        <v/>
      </c>
      <c r="S442" s="13" t="str">
        <f>IF($A442="","",[1]!thsiFinD("ths_adjustment_nv_fund",S$3,$A442))</f>
        <v/>
      </c>
      <c r="T442" s="13" t="str">
        <f>IF($A442="","",[1]!thsiFinD("ths_adjustment_nv_fund",T$3,$A442))</f>
        <v/>
      </c>
      <c r="U442" s="13" t="str">
        <f>IF($A442="","",[1]!thsiFinD("ths_adjustment_nv_fund",U$3,$A442))</f>
        <v/>
      </c>
      <c r="V442" s="13" t="str">
        <f>IF($A442="","",[1]!thsiFinD("ths_adjustment_nv_fund",V$3,$A442))</f>
        <v/>
      </c>
      <c r="W442" s="13" t="str">
        <f>IF($A442="","",[1]!thsiFinD("ths_adjustment_nv_fund",W$3,$A442))</f>
        <v/>
      </c>
      <c r="X442" s="13" t="str">
        <f>IF($A442="","",[1]!thsiFinD("ths_adjustment_nv_fund",X$3,$A442))</f>
        <v/>
      </c>
      <c r="Y442" s="13" t="str">
        <f>IF($A442="","",[1]!thsiFinD("ths_adjustment_nv_fund",Y$3,$A442))</f>
        <v/>
      </c>
      <c r="Z442" s="13" t="str">
        <f>IF($A442="","",[1]!thsiFinD("ths_adjustment_nv_fund",Z$3,$A442))</f>
        <v/>
      </c>
      <c r="AA442" s="13" t="str">
        <f>IF($A442="","",[1]!thsiFinD("ths_adjustment_nv_fund",AA$3,$A442))</f>
        <v/>
      </c>
      <c r="AB442" s="13" t="str">
        <f>IF($A442="","",[1]!thsiFinD("ths_adjustment_nv_fund",AB$3,$A442))</f>
        <v/>
      </c>
    </row>
    <row r="443" spans="2:28">
      <c r="B443" s="13" t="str">
        <f>IF($A443="","",[1]!thsiFinD("ths_adjustment_nv_fund",B$3,$A443))</f>
        <v/>
      </c>
      <c r="C443" s="13" t="str">
        <f>IF($A443="","",[1]!thsiFinD("ths_adjustment_nv_fund",C$3,$A443))</f>
        <v/>
      </c>
      <c r="D443" s="13" t="str">
        <f>IF($A443="","",[1]!thsiFinD("ths_adjustment_nv_fund",D$3,$A443))</f>
        <v/>
      </c>
      <c r="E443" s="13" t="str">
        <f>IF($A443="","",[1]!thsiFinD("ths_adjustment_nv_fund",E$3,$A443))</f>
        <v/>
      </c>
      <c r="F443" s="13" t="str">
        <f>IF($A443="","",[1]!thsiFinD("ths_adjustment_nv_fund",F$3,$A443))</f>
        <v/>
      </c>
      <c r="G443" s="13" t="str">
        <f>IF($A443="","",[1]!thsiFinD("ths_adjustment_nv_fund",G$3,$A443))</f>
        <v/>
      </c>
      <c r="H443" s="13" t="str">
        <f>IF($A443="","",[1]!thsiFinD("ths_adjustment_nv_fund",H$3,$A443))</f>
        <v/>
      </c>
      <c r="I443" s="13" t="str">
        <f>IF($A443="","",[1]!thsiFinD("ths_adjustment_nv_fund",I$3,$A443))</f>
        <v/>
      </c>
      <c r="J443" s="13" t="str">
        <f>IF($A443="","",[1]!thsiFinD("ths_adjustment_nv_fund",J$3,$A443))</f>
        <v/>
      </c>
      <c r="K443" s="13" t="str">
        <f>IF($A443="","",[1]!thsiFinD("ths_adjustment_nv_fund",K$3,$A443))</f>
        <v/>
      </c>
      <c r="L443" s="13" t="str">
        <f>IF($A443="","",[1]!thsiFinD("ths_adjustment_nv_fund",L$3,$A443))</f>
        <v/>
      </c>
      <c r="M443" s="13" t="str">
        <f>IF($A443="","",[1]!thsiFinD("ths_adjustment_nv_fund",M$3,$A443))</f>
        <v/>
      </c>
      <c r="N443" s="13" t="str">
        <f>IF($A443="","",[1]!thsiFinD("ths_adjustment_nv_fund",N$3,$A443))</f>
        <v/>
      </c>
      <c r="O443" s="13" t="str">
        <f>IF($A443="","",[1]!thsiFinD("ths_adjustment_nv_fund",O$3,$A443))</f>
        <v/>
      </c>
      <c r="P443" s="13" t="str">
        <f>IF($A443="","",[1]!thsiFinD("ths_adjustment_nv_fund",P$3,$A443))</f>
        <v/>
      </c>
      <c r="Q443" s="13" t="str">
        <f>IF($A443="","",[1]!thsiFinD("ths_adjustment_nv_fund",Q$3,$A443))</f>
        <v/>
      </c>
      <c r="R443" s="13" t="str">
        <f>IF($A443="","",[1]!thsiFinD("ths_adjustment_nv_fund",R$3,$A443))</f>
        <v/>
      </c>
      <c r="S443" s="13" t="str">
        <f>IF($A443="","",[1]!thsiFinD("ths_adjustment_nv_fund",S$3,$A443))</f>
        <v/>
      </c>
      <c r="T443" s="13" t="str">
        <f>IF($A443="","",[1]!thsiFinD("ths_adjustment_nv_fund",T$3,$A443))</f>
        <v/>
      </c>
      <c r="U443" s="13" t="str">
        <f>IF($A443="","",[1]!thsiFinD("ths_adjustment_nv_fund",U$3,$A443))</f>
        <v/>
      </c>
      <c r="V443" s="13" t="str">
        <f>IF($A443="","",[1]!thsiFinD("ths_adjustment_nv_fund",V$3,$A443))</f>
        <v/>
      </c>
      <c r="W443" s="13" t="str">
        <f>IF($A443="","",[1]!thsiFinD("ths_adjustment_nv_fund",W$3,$A443))</f>
        <v/>
      </c>
      <c r="X443" s="13" t="str">
        <f>IF($A443="","",[1]!thsiFinD("ths_adjustment_nv_fund",X$3,$A443))</f>
        <v/>
      </c>
      <c r="Y443" s="13" t="str">
        <f>IF($A443="","",[1]!thsiFinD("ths_adjustment_nv_fund",Y$3,$A443))</f>
        <v/>
      </c>
      <c r="Z443" s="13" t="str">
        <f>IF($A443="","",[1]!thsiFinD("ths_adjustment_nv_fund",Z$3,$A443))</f>
        <v/>
      </c>
      <c r="AA443" s="13" t="str">
        <f>IF($A443="","",[1]!thsiFinD("ths_adjustment_nv_fund",AA$3,$A443))</f>
        <v/>
      </c>
      <c r="AB443" s="13" t="str">
        <f>IF($A443="","",[1]!thsiFinD("ths_adjustment_nv_fund",AB$3,$A443))</f>
        <v/>
      </c>
    </row>
    <row r="444" spans="2:28">
      <c r="B444" s="13" t="str">
        <f>IF($A444="","",[1]!thsiFinD("ths_adjustment_nv_fund",B$3,$A444))</f>
        <v/>
      </c>
      <c r="C444" s="13" t="str">
        <f>IF($A444="","",[1]!thsiFinD("ths_adjustment_nv_fund",C$3,$A444))</f>
        <v/>
      </c>
      <c r="D444" s="13" t="str">
        <f>IF($A444="","",[1]!thsiFinD("ths_adjustment_nv_fund",D$3,$A444))</f>
        <v/>
      </c>
      <c r="E444" s="13" t="str">
        <f>IF($A444="","",[1]!thsiFinD("ths_adjustment_nv_fund",E$3,$A444))</f>
        <v/>
      </c>
      <c r="F444" s="13" t="str">
        <f>IF($A444="","",[1]!thsiFinD("ths_adjustment_nv_fund",F$3,$A444))</f>
        <v/>
      </c>
      <c r="G444" s="13" t="str">
        <f>IF($A444="","",[1]!thsiFinD("ths_adjustment_nv_fund",G$3,$A444))</f>
        <v/>
      </c>
      <c r="H444" s="13" t="str">
        <f>IF($A444="","",[1]!thsiFinD("ths_adjustment_nv_fund",H$3,$A444))</f>
        <v/>
      </c>
      <c r="I444" s="13" t="str">
        <f>IF($A444="","",[1]!thsiFinD("ths_adjustment_nv_fund",I$3,$A444))</f>
        <v/>
      </c>
      <c r="J444" s="13" t="str">
        <f>IF($A444="","",[1]!thsiFinD("ths_adjustment_nv_fund",J$3,$A444))</f>
        <v/>
      </c>
      <c r="K444" s="13" t="str">
        <f>IF($A444="","",[1]!thsiFinD("ths_adjustment_nv_fund",K$3,$A444))</f>
        <v/>
      </c>
      <c r="L444" s="13" t="str">
        <f>IF($A444="","",[1]!thsiFinD("ths_adjustment_nv_fund",L$3,$A444))</f>
        <v/>
      </c>
      <c r="M444" s="13" t="str">
        <f>IF($A444="","",[1]!thsiFinD("ths_adjustment_nv_fund",M$3,$A444))</f>
        <v/>
      </c>
      <c r="N444" s="13" t="str">
        <f>IF($A444="","",[1]!thsiFinD("ths_adjustment_nv_fund",N$3,$A444))</f>
        <v/>
      </c>
      <c r="O444" s="13" t="str">
        <f>IF($A444="","",[1]!thsiFinD("ths_adjustment_nv_fund",O$3,$A444))</f>
        <v/>
      </c>
      <c r="P444" s="13" t="str">
        <f>IF($A444="","",[1]!thsiFinD("ths_adjustment_nv_fund",P$3,$A444))</f>
        <v/>
      </c>
      <c r="Q444" s="13" t="str">
        <f>IF($A444="","",[1]!thsiFinD("ths_adjustment_nv_fund",Q$3,$A444))</f>
        <v/>
      </c>
      <c r="R444" s="13" t="str">
        <f>IF($A444="","",[1]!thsiFinD("ths_adjustment_nv_fund",R$3,$A444))</f>
        <v/>
      </c>
      <c r="S444" s="13" t="str">
        <f>IF($A444="","",[1]!thsiFinD("ths_adjustment_nv_fund",S$3,$A444))</f>
        <v/>
      </c>
      <c r="T444" s="13" t="str">
        <f>IF($A444="","",[1]!thsiFinD("ths_adjustment_nv_fund",T$3,$A444))</f>
        <v/>
      </c>
      <c r="U444" s="13" t="str">
        <f>IF($A444="","",[1]!thsiFinD("ths_adjustment_nv_fund",U$3,$A444))</f>
        <v/>
      </c>
      <c r="V444" s="13" t="str">
        <f>IF($A444="","",[1]!thsiFinD("ths_adjustment_nv_fund",V$3,$A444))</f>
        <v/>
      </c>
      <c r="W444" s="13" t="str">
        <f>IF($A444="","",[1]!thsiFinD("ths_adjustment_nv_fund",W$3,$A444))</f>
        <v/>
      </c>
      <c r="X444" s="13" t="str">
        <f>IF($A444="","",[1]!thsiFinD("ths_adjustment_nv_fund",X$3,$A444))</f>
        <v/>
      </c>
      <c r="Y444" s="13" t="str">
        <f>IF($A444="","",[1]!thsiFinD("ths_adjustment_nv_fund",Y$3,$A444))</f>
        <v/>
      </c>
      <c r="Z444" s="13" t="str">
        <f>IF($A444="","",[1]!thsiFinD("ths_adjustment_nv_fund",Z$3,$A444))</f>
        <v/>
      </c>
      <c r="AA444" s="13" t="str">
        <f>IF($A444="","",[1]!thsiFinD("ths_adjustment_nv_fund",AA$3,$A444))</f>
        <v/>
      </c>
      <c r="AB444" s="13" t="str">
        <f>IF($A444="","",[1]!thsiFinD("ths_adjustment_nv_fund",AB$3,$A444))</f>
        <v/>
      </c>
    </row>
    <row r="445" spans="2:28">
      <c r="B445" s="13" t="str">
        <f>IF($A445="","",[1]!thsiFinD("ths_adjustment_nv_fund",B$3,$A445))</f>
        <v/>
      </c>
      <c r="C445" s="13" t="str">
        <f>IF($A445="","",[1]!thsiFinD("ths_adjustment_nv_fund",C$3,$A445))</f>
        <v/>
      </c>
      <c r="D445" s="13" t="str">
        <f>IF($A445="","",[1]!thsiFinD("ths_adjustment_nv_fund",D$3,$A445))</f>
        <v/>
      </c>
      <c r="E445" s="13" t="str">
        <f>IF($A445="","",[1]!thsiFinD("ths_adjustment_nv_fund",E$3,$A445))</f>
        <v/>
      </c>
      <c r="F445" s="13" t="str">
        <f>IF($A445="","",[1]!thsiFinD("ths_adjustment_nv_fund",F$3,$A445))</f>
        <v/>
      </c>
      <c r="G445" s="13" t="str">
        <f>IF($A445="","",[1]!thsiFinD("ths_adjustment_nv_fund",G$3,$A445))</f>
        <v/>
      </c>
      <c r="H445" s="13" t="str">
        <f>IF($A445="","",[1]!thsiFinD("ths_adjustment_nv_fund",H$3,$A445))</f>
        <v/>
      </c>
      <c r="I445" s="13" t="str">
        <f>IF($A445="","",[1]!thsiFinD("ths_adjustment_nv_fund",I$3,$A445))</f>
        <v/>
      </c>
      <c r="J445" s="13" t="str">
        <f>IF($A445="","",[1]!thsiFinD("ths_adjustment_nv_fund",J$3,$A445))</f>
        <v/>
      </c>
      <c r="K445" s="13" t="str">
        <f>IF($A445="","",[1]!thsiFinD("ths_adjustment_nv_fund",K$3,$A445))</f>
        <v/>
      </c>
      <c r="L445" s="13" t="str">
        <f>IF($A445="","",[1]!thsiFinD("ths_adjustment_nv_fund",L$3,$A445))</f>
        <v/>
      </c>
      <c r="M445" s="13" t="str">
        <f>IF($A445="","",[1]!thsiFinD("ths_adjustment_nv_fund",M$3,$A445))</f>
        <v/>
      </c>
      <c r="N445" s="13" t="str">
        <f>IF($A445="","",[1]!thsiFinD("ths_adjustment_nv_fund",N$3,$A445))</f>
        <v/>
      </c>
      <c r="O445" s="13" t="str">
        <f>IF($A445="","",[1]!thsiFinD("ths_adjustment_nv_fund",O$3,$A445))</f>
        <v/>
      </c>
      <c r="P445" s="13" t="str">
        <f>IF($A445="","",[1]!thsiFinD("ths_adjustment_nv_fund",P$3,$A445))</f>
        <v/>
      </c>
      <c r="Q445" s="13" t="str">
        <f>IF($A445="","",[1]!thsiFinD("ths_adjustment_nv_fund",Q$3,$A445))</f>
        <v/>
      </c>
      <c r="R445" s="13" t="str">
        <f>IF($A445="","",[1]!thsiFinD("ths_adjustment_nv_fund",R$3,$A445))</f>
        <v/>
      </c>
      <c r="S445" s="13" t="str">
        <f>IF($A445="","",[1]!thsiFinD("ths_adjustment_nv_fund",S$3,$A445))</f>
        <v/>
      </c>
      <c r="T445" s="13" t="str">
        <f>IF($A445="","",[1]!thsiFinD("ths_adjustment_nv_fund",T$3,$A445))</f>
        <v/>
      </c>
      <c r="U445" s="13" t="str">
        <f>IF($A445="","",[1]!thsiFinD("ths_adjustment_nv_fund",U$3,$A445))</f>
        <v/>
      </c>
      <c r="V445" s="13" t="str">
        <f>IF($A445="","",[1]!thsiFinD("ths_adjustment_nv_fund",V$3,$A445))</f>
        <v/>
      </c>
      <c r="W445" s="13" t="str">
        <f>IF($A445="","",[1]!thsiFinD("ths_adjustment_nv_fund",W$3,$A445))</f>
        <v/>
      </c>
      <c r="X445" s="13" t="str">
        <f>IF($A445="","",[1]!thsiFinD("ths_adjustment_nv_fund",X$3,$A445))</f>
        <v/>
      </c>
      <c r="Y445" s="13" t="str">
        <f>IF($A445="","",[1]!thsiFinD("ths_adjustment_nv_fund",Y$3,$A445))</f>
        <v/>
      </c>
      <c r="Z445" s="13" t="str">
        <f>IF($A445="","",[1]!thsiFinD("ths_adjustment_nv_fund",Z$3,$A445))</f>
        <v/>
      </c>
      <c r="AA445" s="13" t="str">
        <f>IF($A445="","",[1]!thsiFinD("ths_adjustment_nv_fund",AA$3,$A445))</f>
        <v/>
      </c>
      <c r="AB445" s="13" t="str">
        <f>IF($A445="","",[1]!thsiFinD("ths_adjustment_nv_fund",AB$3,$A445))</f>
        <v/>
      </c>
    </row>
    <row r="446" spans="2:28">
      <c r="B446" s="13" t="str">
        <f>IF($A446="","",[1]!thsiFinD("ths_adjustment_nv_fund",B$3,$A446))</f>
        <v/>
      </c>
      <c r="C446" s="13" t="str">
        <f>IF($A446="","",[1]!thsiFinD("ths_adjustment_nv_fund",C$3,$A446))</f>
        <v/>
      </c>
      <c r="D446" s="13" t="str">
        <f>IF($A446="","",[1]!thsiFinD("ths_adjustment_nv_fund",D$3,$A446))</f>
        <v/>
      </c>
      <c r="E446" s="13" t="str">
        <f>IF($A446="","",[1]!thsiFinD("ths_adjustment_nv_fund",E$3,$A446))</f>
        <v/>
      </c>
      <c r="F446" s="13" t="str">
        <f>IF($A446="","",[1]!thsiFinD("ths_adjustment_nv_fund",F$3,$A446))</f>
        <v/>
      </c>
      <c r="G446" s="13" t="str">
        <f>IF($A446="","",[1]!thsiFinD("ths_adjustment_nv_fund",G$3,$A446))</f>
        <v/>
      </c>
      <c r="H446" s="13" t="str">
        <f>IF($A446="","",[1]!thsiFinD("ths_adjustment_nv_fund",H$3,$A446))</f>
        <v/>
      </c>
      <c r="I446" s="13" t="str">
        <f>IF($A446="","",[1]!thsiFinD("ths_adjustment_nv_fund",I$3,$A446))</f>
        <v/>
      </c>
      <c r="J446" s="13" t="str">
        <f>IF($A446="","",[1]!thsiFinD("ths_adjustment_nv_fund",J$3,$A446))</f>
        <v/>
      </c>
      <c r="K446" s="13" t="str">
        <f>IF($A446="","",[1]!thsiFinD("ths_adjustment_nv_fund",K$3,$A446))</f>
        <v/>
      </c>
      <c r="L446" s="13" t="str">
        <f>IF($A446="","",[1]!thsiFinD("ths_adjustment_nv_fund",L$3,$A446))</f>
        <v/>
      </c>
      <c r="M446" s="13" t="str">
        <f>IF($A446="","",[1]!thsiFinD("ths_adjustment_nv_fund",M$3,$A446))</f>
        <v/>
      </c>
      <c r="N446" s="13" t="str">
        <f>IF($A446="","",[1]!thsiFinD("ths_adjustment_nv_fund",N$3,$A446))</f>
        <v/>
      </c>
      <c r="O446" s="13" t="str">
        <f>IF($A446="","",[1]!thsiFinD("ths_adjustment_nv_fund",O$3,$A446))</f>
        <v/>
      </c>
      <c r="P446" s="13" t="str">
        <f>IF($A446="","",[1]!thsiFinD("ths_adjustment_nv_fund",P$3,$A446))</f>
        <v/>
      </c>
      <c r="Q446" s="13" t="str">
        <f>IF($A446="","",[1]!thsiFinD("ths_adjustment_nv_fund",Q$3,$A446))</f>
        <v/>
      </c>
      <c r="R446" s="13" t="str">
        <f>IF($A446="","",[1]!thsiFinD("ths_adjustment_nv_fund",R$3,$A446))</f>
        <v/>
      </c>
      <c r="S446" s="13" t="str">
        <f>IF($A446="","",[1]!thsiFinD("ths_adjustment_nv_fund",S$3,$A446))</f>
        <v/>
      </c>
      <c r="T446" s="13" t="str">
        <f>IF($A446="","",[1]!thsiFinD("ths_adjustment_nv_fund",T$3,$A446))</f>
        <v/>
      </c>
      <c r="U446" s="13" t="str">
        <f>IF($A446="","",[1]!thsiFinD("ths_adjustment_nv_fund",U$3,$A446))</f>
        <v/>
      </c>
      <c r="V446" s="13" t="str">
        <f>IF($A446="","",[1]!thsiFinD("ths_adjustment_nv_fund",V$3,$A446))</f>
        <v/>
      </c>
      <c r="W446" s="13" t="str">
        <f>IF($A446="","",[1]!thsiFinD("ths_adjustment_nv_fund",W$3,$A446))</f>
        <v/>
      </c>
      <c r="X446" s="13" t="str">
        <f>IF($A446="","",[1]!thsiFinD("ths_adjustment_nv_fund",X$3,$A446))</f>
        <v/>
      </c>
      <c r="Y446" s="13" t="str">
        <f>IF($A446="","",[1]!thsiFinD("ths_adjustment_nv_fund",Y$3,$A446))</f>
        <v/>
      </c>
      <c r="Z446" s="13" t="str">
        <f>IF($A446="","",[1]!thsiFinD("ths_adjustment_nv_fund",Z$3,$A446))</f>
        <v/>
      </c>
      <c r="AA446" s="13" t="str">
        <f>IF($A446="","",[1]!thsiFinD("ths_adjustment_nv_fund",AA$3,$A446))</f>
        <v/>
      </c>
      <c r="AB446" s="13" t="str">
        <f>IF($A446="","",[1]!thsiFinD("ths_adjustment_nv_fund",AB$3,$A446))</f>
        <v/>
      </c>
    </row>
    <row r="447" spans="2:28">
      <c r="B447" s="13" t="str">
        <f>IF($A447="","",[1]!thsiFinD("ths_adjustment_nv_fund",B$3,$A447))</f>
        <v/>
      </c>
      <c r="C447" s="13" t="str">
        <f>IF($A447="","",[1]!thsiFinD("ths_adjustment_nv_fund",C$3,$A447))</f>
        <v/>
      </c>
      <c r="D447" s="13" t="str">
        <f>IF($A447="","",[1]!thsiFinD("ths_adjustment_nv_fund",D$3,$A447))</f>
        <v/>
      </c>
      <c r="E447" s="13" t="str">
        <f>IF($A447="","",[1]!thsiFinD("ths_adjustment_nv_fund",E$3,$A447))</f>
        <v/>
      </c>
      <c r="F447" s="13" t="str">
        <f>IF($A447="","",[1]!thsiFinD("ths_adjustment_nv_fund",F$3,$A447))</f>
        <v/>
      </c>
      <c r="G447" s="13" t="str">
        <f>IF($A447="","",[1]!thsiFinD("ths_adjustment_nv_fund",G$3,$A447))</f>
        <v/>
      </c>
      <c r="H447" s="13" t="str">
        <f>IF($A447="","",[1]!thsiFinD("ths_adjustment_nv_fund",H$3,$A447))</f>
        <v/>
      </c>
      <c r="I447" s="13" t="str">
        <f>IF($A447="","",[1]!thsiFinD("ths_adjustment_nv_fund",I$3,$A447))</f>
        <v/>
      </c>
      <c r="J447" s="13" t="str">
        <f>IF($A447="","",[1]!thsiFinD("ths_adjustment_nv_fund",J$3,$A447))</f>
        <v/>
      </c>
      <c r="K447" s="13" t="str">
        <f>IF($A447="","",[1]!thsiFinD("ths_adjustment_nv_fund",K$3,$A447))</f>
        <v/>
      </c>
      <c r="L447" s="13" t="str">
        <f>IF($A447="","",[1]!thsiFinD("ths_adjustment_nv_fund",L$3,$A447))</f>
        <v/>
      </c>
      <c r="M447" s="13" t="str">
        <f>IF($A447="","",[1]!thsiFinD("ths_adjustment_nv_fund",M$3,$A447))</f>
        <v/>
      </c>
      <c r="N447" s="13" t="str">
        <f>IF($A447="","",[1]!thsiFinD("ths_adjustment_nv_fund",N$3,$A447))</f>
        <v/>
      </c>
      <c r="O447" s="13" t="str">
        <f>IF($A447="","",[1]!thsiFinD("ths_adjustment_nv_fund",O$3,$A447))</f>
        <v/>
      </c>
      <c r="P447" s="13" t="str">
        <f>IF($A447="","",[1]!thsiFinD("ths_adjustment_nv_fund",P$3,$A447))</f>
        <v/>
      </c>
      <c r="Q447" s="13" t="str">
        <f>IF($A447="","",[1]!thsiFinD("ths_adjustment_nv_fund",Q$3,$A447))</f>
        <v/>
      </c>
      <c r="R447" s="13" t="str">
        <f>IF($A447="","",[1]!thsiFinD("ths_adjustment_nv_fund",R$3,$A447))</f>
        <v/>
      </c>
      <c r="S447" s="13" t="str">
        <f>IF($A447="","",[1]!thsiFinD("ths_adjustment_nv_fund",S$3,$A447))</f>
        <v/>
      </c>
      <c r="T447" s="13" t="str">
        <f>IF($A447="","",[1]!thsiFinD("ths_adjustment_nv_fund",T$3,$A447))</f>
        <v/>
      </c>
      <c r="U447" s="13" t="str">
        <f>IF($A447="","",[1]!thsiFinD("ths_adjustment_nv_fund",U$3,$A447))</f>
        <v/>
      </c>
      <c r="V447" s="13" t="str">
        <f>IF($A447="","",[1]!thsiFinD("ths_adjustment_nv_fund",V$3,$A447))</f>
        <v/>
      </c>
      <c r="W447" s="13" t="str">
        <f>IF($A447="","",[1]!thsiFinD("ths_adjustment_nv_fund",W$3,$A447))</f>
        <v/>
      </c>
      <c r="X447" s="13" t="str">
        <f>IF($A447="","",[1]!thsiFinD("ths_adjustment_nv_fund",X$3,$A447))</f>
        <v/>
      </c>
      <c r="Y447" s="13" t="str">
        <f>IF($A447="","",[1]!thsiFinD("ths_adjustment_nv_fund",Y$3,$A447))</f>
        <v/>
      </c>
      <c r="Z447" s="13" t="str">
        <f>IF($A447="","",[1]!thsiFinD("ths_adjustment_nv_fund",Z$3,$A447))</f>
        <v/>
      </c>
      <c r="AA447" s="13" t="str">
        <f>IF($A447="","",[1]!thsiFinD("ths_adjustment_nv_fund",AA$3,$A447))</f>
        <v/>
      </c>
      <c r="AB447" s="13" t="str">
        <f>IF($A447="","",[1]!thsiFinD("ths_adjustment_nv_fund",AB$3,$A447))</f>
        <v/>
      </c>
    </row>
    <row r="448" spans="2:28">
      <c r="B448" s="13" t="str">
        <f>IF($A448="","",[1]!thsiFinD("ths_adjustment_nv_fund",B$3,$A448))</f>
        <v/>
      </c>
      <c r="C448" s="13" t="str">
        <f>IF($A448="","",[1]!thsiFinD("ths_adjustment_nv_fund",C$3,$A448))</f>
        <v/>
      </c>
      <c r="D448" s="13" t="str">
        <f>IF($A448="","",[1]!thsiFinD("ths_adjustment_nv_fund",D$3,$A448))</f>
        <v/>
      </c>
      <c r="E448" s="13" t="str">
        <f>IF($A448="","",[1]!thsiFinD("ths_adjustment_nv_fund",E$3,$A448))</f>
        <v/>
      </c>
      <c r="F448" s="13" t="str">
        <f>IF($A448="","",[1]!thsiFinD("ths_adjustment_nv_fund",F$3,$A448))</f>
        <v/>
      </c>
      <c r="G448" s="13" t="str">
        <f>IF($A448="","",[1]!thsiFinD("ths_adjustment_nv_fund",G$3,$A448))</f>
        <v/>
      </c>
      <c r="H448" s="13" t="str">
        <f>IF($A448="","",[1]!thsiFinD("ths_adjustment_nv_fund",H$3,$A448))</f>
        <v/>
      </c>
      <c r="I448" s="13" t="str">
        <f>IF($A448="","",[1]!thsiFinD("ths_adjustment_nv_fund",I$3,$A448))</f>
        <v/>
      </c>
      <c r="J448" s="13" t="str">
        <f>IF($A448="","",[1]!thsiFinD("ths_adjustment_nv_fund",J$3,$A448))</f>
        <v/>
      </c>
      <c r="K448" s="13" t="str">
        <f>IF($A448="","",[1]!thsiFinD("ths_adjustment_nv_fund",K$3,$A448))</f>
        <v/>
      </c>
      <c r="L448" s="13" t="str">
        <f>IF($A448="","",[1]!thsiFinD("ths_adjustment_nv_fund",L$3,$A448))</f>
        <v/>
      </c>
      <c r="M448" s="13" t="str">
        <f>IF($A448="","",[1]!thsiFinD("ths_adjustment_nv_fund",M$3,$A448))</f>
        <v/>
      </c>
      <c r="N448" s="13" t="str">
        <f>IF($A448="","",[1]!thsiFinD("ths_adjustment_nv_fund",N$3,$A448))</f>
        <v/>
      </c>
      <c r="O448" s="13" t="str">
        <f>IF($A448="","",[1]!thsiFinD("ths_adjustment_nv_fund",O$3,$A448))</f>
        <v/>
      </c>
      <c r="P448" s="13" t="str">
        <f>IF($A448="","",[1]!thsiFinD("ths_adjustment_nv_fund",P$3,$A448))</f>
        <v/>
      </c>
      <c r="Q448" s="13" t="str">
        <f>IF($A448="","",[1]!thsiFinD("ths_adjustment_nv_fund",Q$3,$A448))</f>
        <v/>
      </c>
      <c r="R448" s="13" t="str">
        <f>IF($A448="","",[1]!thsiFinD("ths_adjustment_nv_fund",R$3,$A448))</f>
        <v/>
      </c>
      <c r="S448" s="13" t="str">
        <f>IF($A448="","",[1]!thsiFinD("ths_adjustment_nv_fund",S$3,$A448))</f>
        <v/>
      </c>
      <c r="T448" s="13" t="str">
        <f>IF($A448="","",[1]!thsiFinD("ths_adjustment_nv_fund",T$3,$A448))</f>
        <v/>
      </c>
      <c r="U448" s="13" t="str">
        <f>IF($A448="","",[1]!thsiFinD("ths_adjustment_nv_fund",U$3,$A448))</f>
        <v/>
      </c>
      <c r="V448" s="13" t="str">
        <f>IF($A448="","",[1]!thsiFinD("ths_adjustment_nv_fund",V$3,$A448))</f>
        <v/>
      </c>
      <c r="W448" s="13" t="str">
        <f>IF($A448="","",[1]!thsiFinD("ths_adjustment_nv_fund",W$3,$A448))</f>
        <v/>
      </c>
      <c r="X448" s="13" t="str">
        <f>IF($A448="","",[1]!thsiFinD("ths_adjustment_nv_fund",X$3,$A448))</f>
        <v/>
      </c>
      <c r="Y448" s="13" t="str">
        <f>IF($A448="","",[1]!thsiFinD("ths_adjustment_nv_fund",Y$3,$A448))</f>
        <v/>
      </c>
      <c r="Z448" s="13" t="str">
        <f>IF($A448="","",[1]!thsiFinD("ths_adjustment_nv_fund",Z$3,$A448))</f>
        <v/>
      </c>
      <c r="AA448" s="13" t="str">
        <f>IF($A448="","",[1]!thsiFinD("ths_adjustment_nv_fund",AA$3,$A448))</f>
        <v/>
      </c>
      <c r="AB448" s="13" t="str">
        <f>IF($A448="","",[1]!thsiFinD("ths_adjustment_nv_fund",AB$3,$A448))</f>
        <v/>
      </c>
    </row>
    <row r="449" spans="2:28">
      <c r="B449" s="13" t="str">
        <f>IF($A449="","",[1]!thsiFinD("ths_adjustment_nv_fund",B$3,$A449))</f>
        <v/>
      </c>
      <c r="C449" s="13" t="str">
        <f>IF($A449="","",[1]!thsiFinD("ths_adjustment_nv_fund",C$3,$A449))</f>
        <v/>
      </c>
      <c r="D449" s="13" t="str">
        <f>IF($A449="","",[1]!thsiFinD("ths_adjustment_nv_fund",D$3,$A449))</f>
        <v/>
      </c>
      <c r="E449" s="13" t="str">
        <f>IF($A449="","",[1]!thsiFinD("ths_adjustment_nv_fund",E$3,$A449))</f>
        <v/>
      </c>
      <c r="F449" s="13" t="str">
        <f>IF($A449="","",[1]!thsiFinD("ths_adjustment_nv_fund",F$3,$A449))</f>
        <v/>
      </c>
      <c r="G449" s="13" t="str">
        <f>IF($A449="","",[1]!thsiFinD("ths_adjustment_nv_fund",G$3,$A449))</f>
        <v/>
      </c>
      <c r="H449" s="13" t="str">
        <f>IF($A449="","",[1]!thsiFinD("ths_adjustment_nv_fund",H$3,$A449))</f>
        <v/>
      </c>
      <c r="I449" s="13" t="str">
        <f>IF($A449="","",[1]!thsiFinD("ths_adjustment_nv_fund",I$3,$A449))</f>
        <v/>
      </c>
      <c r="J449" s="13" t="str">
        <f>IF($A449="","",[1]!thsiFinD("ths_adjustment_nv_fund",J$3,$A449))</f>
        <v/>
      </c>
      <c r="K449" s="13" t="str">
        <f>IF($A449="","",[1]!thsiFinD("ths_adjustment_nv_fund",K$3,$A449))</f>
        <v/>
      </c>
      <c r="L449" s="13" t="str">
        <f>IF($A449="","",[1]!thsiFinD("ths_adjustment_nv_fund",L$3,$A449))</f>
        <v/>
      </c>
      <c r="M449" s="13" t="str">
        <f>IF($A449="","",[1]!thsiFinD("ths_adjustment_nv_fund",M$3,$A449))</f>
        <v/>
      </c>
      <c r="N449" s="13" t="str">
        <f>IF($A449="","",[1]!thsiFinD("ths_adjustment_nv_fund",N$3,$A449))</f>
        <v/>
      </c>
      <c r="O449" s="13" t="str">
        <f>IF($A449="","",[1]!thsiFinD("ths_adjustment_nv_fund",O$3,$A449))</f>
        <v/>
      </c>
      <c r="P449" s="13" t="str">
        <f>IF($A449="","",[1]!thsiFinD("ths_adjustment_nv_fund",P$3,$A449))</f>
        <v/>
      </c>
      <c r="Q449" s="13" t="str">
        <f>IF($A449="","",[1]!thsiFinD("ths_adjustment_nv_fund",Q$3,$A449))</f>
        <v/>
      </c>
      <c r="R449" s="13" t="str">
        <f>IF($A449="","",[1]!thsiFinD("ths_adjustment_nv_fund",R$3,$A449))</f>
        <v/>
      </c>
      <c r="S449" s="13" t="str">
        <f>IF($A449="","",[1]!thsiFinD("ths_adjustment_nv_fund",S$3,$A449))</f>
        <v/>
      </c>
      <c r="T449" s="13" t="str">
        <f>IF($A449="","",[1]!thsiFinD("ths_adjustment_nv_fund",T$3,$A449))</f>
        <v/>
      </c>
      <c r="U449" s="13" t="str">
        <f>IF($A449="","",[1]!thsiFinD("ths_adjustment_nv_fund",U$3,$A449))</f>
        <v/>
      </c>
      <c r="V449" s="13" t="str">
        <f>IF($A449="","",[1]!thsiFinD("ths_adjustment_nv_fund",V$3,$A449))</f>
        <v/>
      </c>
      <c r="W449" s="13" t="str">
        <f>IF($A449="","",[1]!thsiFinD("ths_adjustment_nv_fund",W$3,$A449))</f>
        <v/>
      </c>
      <c r="X449" s="13" t="str">
        <f>IF($A449="","",[1]!thsiFinD("ths_adjustment_nv_fund",X$3,$A449))</f>
        <v/>
      </c>
      <c r="Y449" s="13" t="str">
        <f>IF($A449="","",[1]!thsiFinD("ths_adjustment_nv_fund",Y$3,$A449))</f>
        <v/>
      </c>
      <c r="Z449" s="13" t="str">
        <f>IF($A449="","",[1]!thsiFinD("ths_adjustment_nv_fund",Z$3,$A449))</f>
        <v/>
      </c>
      <c r="AA449" s="13" t="str">
        <f>IF($A449="","",[1]!thsiFinD("ths_adjustment_nv_fund",AA$3,$A449))</f>
        <v/>
      </c>
      <c r="AB449" s="13" t="str">
        <f>IF($A449="","",[1]!thsiFinD("ths_adjustment_nv_fund",AB$3,$A449))</f>
        <v/>
      </c>
    </row>
    <row r="450" spans="2:28">
      <c r="B450" s="13" t="str">
        <f>IF($A450="","",[1]!thsiFinD("ths_adjustment_nv_fund",B$3,$A450))</f>
        <v/>
      </c>
      <c r="C450" s="13" t="str">
        <f>IF($A450="","",[1]!thsiFinD("ths_adjustment_nv_fund",C$3,$A450))</f>
        <v/>
      </c>
      <c r="D450" s="13" t="str">
        <f>IF($A450="","",[1]!thsiFinD("ths_adjustment_nv_fund",D$3,$A450))</f>
        <v/>
      </c>
      <c r="E450" s="13" t="str">
        <f>IF($A450="","",[1]!thsiFinD("ths_adjustment_nv_fund",E$3,$A450))</f>
        <v/>
      </c>
      <c r="F450" s="13" t="str">
        <f>IF($A450="","",[1]!thsiFinD("ths_adjustment_nv_fund",F$3,$A450))</f>
        <v/>
      </c>
      <c r="G450" s="13" t="str">
        <f>IF($A450="","",[1]!thsiFinD("ths_adjustment_nv_fund",G$3,$A450))</f>
        <v/>
      </c>
      <c r="H450" s="13" t="str">
        <f>IF($A450="","",[1]!thsiFinD("ths_adjustment_nv_fund",H$3,$A450))</f>
        <v/>
      </c>
      <c r="I450" s="13" t="str">
        <f>IF($A450="","",[1]!thsiFinD("ths_adjustment_nv_fund",I$3,$A450))</f>
        <v/>
      </c>
      <c r="J450" s="13" t="str">
        <f>IF($A450="","",[1]!thsiFinD("ths_adjustment_nv_fund",J$3,$A450))</f>
        <v/>
      </c>
      <c r="K450" s="13" t="str">
        <f>IF($A450="","",[1]!thsiFinD("ths_adjustment_nv_fund",K$3,$A450))</f>
        <v/>
      </c>
      <c r="L450" s="13" t="str">
        <f>IF($A450="","",[1]!thsiFinD("ths_adjustment_nv_fund",L$3,$A450))</f>
        <v/>
      </c>
      <c r="M450" s="13" t="str">
        <f>IF($A450="","",[1]!thsiFinD("ths_adjustment_nv_fund",M$3,$A450))</f>
        <v/>
      </c>
      <c r="N450" s="13" t="str">
        <f>IF($A450="","",[1]!thsiFinD("ths_adjustment_nv_fund",N$3,$A450))</f>
        <v/>
      </c>
      <c r="O450" s="13" t="str">
        <f>IF($A450="","",[1]!thsiFinD("ths_adjustment_nv_fund",O$3,$A450))</f>
        <v/>
      </c>
      <c r="P450" s="13" t="str">
        <f>IF($A450="","",[1]!thsiFinD("ths_adjustment_nv_fund",P$3,$A450))</f>
        <v/>
      </c>
      <c r="Q450" s="13" t="str">
        <f>IF($A450="","",[1]!thsiFinD("ths_adjustment_nv_fund",Q$3,$A450))</f>
        <v/>
      </c>
      <c r="R450" s="13" t="str">
        <f>IF($A450="","",[1]!thsiFinD("ths_adjustment_nv_fund",R$3,$A450))</f>
        <v/>
      </c>
      <c r="S450" s="13" t="str">
        <f>IF($A450="","",[1]!thsiFinD("ths_adjustment_nv_fund",S$3,$A450))</f>
        <v/>
      </c>
      <c r="T450" s="13" t="str">
        <f>IF($A450="","",[1]!thsiFinD("ths_adjustment_nv_fund",T$3,$A450))</f>
        <v/>
      </c>
      <c r="U450" s="13" t="str">
        <f>IF($A450="","",[1]!thsiFinD("ths_adjustment_nv_fund",U$3,$A450))</f>
        <v/>
      </c>
      <c r="V450" s="13" t="str">
        <f>IF($A450="","",[1]!thsiFinD("ths_adjustment_nv_fund",V$3,$A450))</f>
        <v/>
      </c>
      <c r="W450" s="13" t="str">
        <f>IF($A450="","",[1]!thsiFinD("ths_adjustment_nv_fund",W$3,$A450))</f>
        <v/>
      </c>
      <c r="X450" s="13" t="str">
        <f>IF($A450="","",[1]!thsiFinD("ths_adjustment_nv_fund",X$3,$A450))</f>
        <v/>
      </c>
      <c r="Y450" s="13" t="str">
        <f>IF($A450="","",[1]!thsiFinD("ths_adjustment_nv_fund",Y$3,$A450))</f>
        <v/>
      </c>
      <c r="Z450" s="13" t="str">
        <f>IF($A450="","",[1]!thsiFinD("ths_adjustment_nv_fund",Z$3,$A450))</f>
        <v/>
      </c>
      <c r="AA450" s="13" t="str">
        <f>IF($A450="","",[1]!thsiFinD("ths_adjustment_nv_fund",AA$3,$A450))</f>
        <v/>
      </c>
      <c r="AB450" s="13" t="str">
        <f>IF($A450="","",[1]!thsiFinD("ths_adjustment_nv_fund",AB$3,$A450))</f>
        <v/>
      </c>
    </row>
    <row r="451" spans="2:28">
      <c r="B451" s="13" t="str">
        <f>IF($A451="","",[1]!thsiFinD("ths_adjustment_nv_fund",B$3,$A451))</f>
        <v/>
      </c>
      <c r="C451" s="13" t="str">
        <f>IF($A451="","",[1]!thsiFinD("ths_adjustment_nv_fund",C$3,$A451))</f>
        <v/>
      </c>
      <c r="D451" s="13" t="str">
        <f>IF($A451="","",[1]!thsiFinD("ths_adjustment_nv_fund",D$3,$A451))</f>
        <v/>
      </c>
      <c r="E451" s="13" t="str">
        <f>IF($A451="","",[1]!thsiFinD("ths_adjustment_nv_fund",E$3,$A451))</f>
        <v/>
      </c>
      <c r="F451" s="13" t="str">
        <f>IF($A451="","",[1]!thsiFinD("ths_adjustment_nv_fund",F$3,$A451))</f>
        <v/>
      </c>
      <c r="G451" s="13" t="str">
        <f>IF($A451="","",[1]!thsiFinD("ths_adjustment_nv_fund",G$3,$A451))</f>
        <v/>
      </c>
      <c r="H451" s="13" t="str">
        <f>IF($A451="","",[1]!thsiFinD("ths_adjustment_nv_fund",H$3,$A451))</f>
        <v/>
      </c>
      <c r="I451" s="13" t="str">
        <f>IF($A451="","",[1]!thsiFinD("ths_adjustment_nv_fund",I$3,$A451))</f>
        <v/>
      </c>
      <c r="J451" s="13" t="str">
        <f>IF($A451="","",[1]!thsiFinD("ths_adjustment_nv_fund",J$3,$A451))</f>
        <v/>
      </c>
      <c r="K451" s="13" t="str">
        <f>IF($A451="","",[1]!thsiFinD("ths_adjustment_nv_fund",K$3,$A451))</f>
        <v/>
      </c>
      <c r="L451" s="13" t="str">
        <f>IF($A451="","",[1]!thsiFinD("ths_adjustment_nv_fund",L$3,$A451))</f>
        <v/>
      </c>
      <c r="M451" s="13" t="str">
        <f>IF($A451="","",[1]!thsiFinD("ths_adjustment_nv_fund",M$3,$A451))</f>
        <v/>
      </c>
      <c r="N451" s="13" t="str">
        <f>IF($A451="","",[1]!thsiFinD("ths_adjustment_nv_fund",N$3,$A451))</f>
        <v/>
      </c>
      <c r="O451" s="13" t="str">
        <f>IF($A451="","",[1]!thsiFinD("ths_adjustment_nv_fund",O$3,$A451))</f>
        <v/>
      </c>
      <c r="P451" s="13" t="str">
        <f>IF($A451="","",[1]!thsiFinD("ths_adjustment_nv_fund",P$3,$A451))</f>
        <v/>
      </c>
      <c r="Q451" s="13" t="str">
        <f>IF($A451="","",[1]!thsiFinD("ths_adjustment_nv_fund",Q$3,$A451))</f>
        <v/>
      </c>
      <c r="R451" s="13" t="str">
        <f>IF($A451="","",[1]!thsiFinD("ths_adjustment_nv_fund",R$3,$A451))</f>
        <v/>
      </c>
      <c r="S451" s="13" t="str">
        <f>IF($A451="","",[1]!thsiFinD("ths_adjustment_nv_fund",S$3,$A451))</f>
        <v/>
      </c>
      <c r="T451" s="13" t="str">
        <f>IF($A451="","",[1]!thsiFinD("ths_adjustment_nv_fund",T$3,$A451))</f>
        <v/>
      </c>
      <c r="U451" s="13" t="str">
        <f>IF($A451="","",[1]!thsiFinD("ths_adjustment_nv_fund",U$3,$A451))</f>
        <v/>
      </c>
      <c r="V451" s="13" t="str">
        <f>IF($A451="","",[1]!thsiFinD("ths_adjustment_nv_fund",V$3,$A451))</f>
        <v/>
      </c>
      <c r="W451" s="13" t="str">
        <f>IF($A451="","",[1]!thsiFinD("ths_adjustment_nv_fund",W$3,$A451))</f>
        <v/>
      </c>
      <c r="X451" s="13" t="str">
        <f>IF($A451="","",[1]!thsiFinD("ths_adjustment_nv_fund",X$3,$A451))</f>
        <v/>
      </c>
      <c r="Y451" s="13" t="str">
        <f>IF($A451="","",[1]!thsiFinD("ths_adjustment_nv_fund",Y$3,$A451))</f>
        <v/>
      </c>
      <c r="Z451" s="13" t="str">
        <f>IF($A451="","",[1]!thsiFinD("ths_adjustment_nv_fund",Z$3,$A451))</f>
        <v/>
      </c>
      <c r="AA451" s="13" t="str">
        <f>IF($A451="","",[1]!thsiFinD("ths_adjustment_nv_fund",AA$3,$A451))</f>
        <v/>
      </c>
      <c r="AB451" s="13" t="str">
        <f>IF($A451="","",[1]!thsiFinD("ths_adjustment_nv_fund",AB$3,$A451))</f>
        <v/>
      </c>
    </row>
    <row r="452" spans="2:28">
      <c r="B452" s="13" t="str">
        <f>IF($A452="","",[1]!thsiFinD("ths_adjustment_nv_fund",B$3,$A452))</f>
        <v/>
      </c>
      <c r="C452" s="13" t="str">
        <f>IF($A452="","",[1]!thsiFinD("ths_adjustment_nv_fund",C$3,$A452))</f>
        <v/>
      </c>
      <c r="D452" s="13" t="str">
        <f>IF($A452="","",[1]!thsiFinD("ths_adjustment_nv_fund",D$3,$A452))</f>
        <v/>
      </c>
      <c r="E452" s="13" t="str">
        <f>IF($A452="","",[1]!thsiFinD("ths_adjustment_nv_fund",E$3,$A452))</f>
        <v/>
      </c>
      <c r="F452" s="13" t="str">
        <f>IF($A452="","",[1]!thsiFinD("ths_adjustment_nv_fund",F$3,$A452))</f>
        <v/>
      </c>
      <c r="G452" s="13" t="str">
        <f>IF($A452="","",[1]!thsiFinD("ths_adjustment_nv_fund",G$3,$A452))</f>
        <v/>
      </c>
      <c r="H452" s="13" t="str">
        <f>IF($A452="","",[1]!thsiFinD("ths_adjustment_nv_fund",H$3,$A452))</f>
        <v/>
      </c>
      <c r="I452" s="13" t="str">
        <f>IF($A452="","",[1]!thsiFinD("ths_adjustment_nv_fund",I$3,$A452))</f>
        <v/>
      </c>
      <c r="J452" s="13" t="str">
        <f>IF($A452="","",[1]!thsiFinD("ths_adjustment_nv_fund",J$3,$A452))</f>
        <v/>
      </c>
      <c r="K452" s="13" t="str">
        <f>IF($A452="","",[1]!thsiFinD("ths_adjustment_nv_fund",K$3,$A452))</f>
        <v/>
      </c>
      <c r="L452" s="13" t="str">
        <f>IF($A452="","",[1]!thsiFinD("ths_adjustment_nv_fund",L$3,$A452))</f>
        <v/>
      </c>
      <c r="M452" s="13" t="str">
        <f>IF($A452="","",[1]!thsiFinD("ths_adjustment_nv_fund",M$3,$A452))</f>
        <v/>
      </c>
      <c r="N452" s="13" t="str">
        <f>IF($A452="","",[1]!thsiFinD("ths_adjustment_nv_fund",N$3,$A452))</f>
        <v/>
      </c>
      <c r="O452" s="13" t="str">
        <f>IF($A452="","",[1]!thsiFinD("ths_adjustment_nv_fund",O$3,$A452))</f>
        <v/>
      </c>
      <c r="P452" s="13" t="str">
        <f>IF($A452="","",[1]!thsiFinD("ths_adjustment_nv_fund",P$3,$A452))</f>
        <v/>
      </c>
      <c r="Q452" s="13" t="str">
        <f>IF($A452="","",[1]!thsiFinD("ths_adjustment_nv_fund",Q$3,$A452))</f>
        <v/>
      </c>
      <c r="R452" s="13" t="str">
        <f>IF($A452="","",[1]!thsiFinD("ths_adjustment_nv_fund",R$3,$A452))</f>
        <v/>
      </c>
      <c r="S452" s="13" t="str">
        <f>IF($A452="","",[1]!thsiFinD("ths_adjustment_nv_fund",S$3,$A452))</f>
        <v/>
      </c>
      <c r="T452" s="13" t="str">
        <f>IF($A452="","",[1]!thsiFinD("ths_adjustment_nv_fund",T$3,$A452))</f>
        <v/>
      </c>
      <c r="U452" s="13" t="str">
        <f>IF($A452="","",[1]!thsiFinD("ths_adjustment_nv_fund",U$3,$A452))</f>
        <v/>
      </c>
      <c r="V452" s="13" t="str">
        <f>IF($A452="","",[1]!thsiFinD("ths_adjustment_nv_fund",V$3,$A452))</f>
        <v/>
      </c>
      <c r="W452" s="13" t="str">
        <f>IF($A452="","",[1]!thsiFinD("ths_adjustment_nv_fund",W$3,$A452))</f>
        <v/>
      </c>
      <c r="X452" s="13" t="str">
        <f>IF($A452="","",[1]!thsiFinD("ths_adjustment_nv_fund",X$3,$A452))</f>
        <v/>
      </c>
      <c r="Y452" s="13" t="str">
        <f>IF($A452="","",[1]!thsiFinD("ths_adjustment_nv_fund",Y$3,$A452))</f>
        <v/>
      </c>
      <c r="Z452" s="13" t="str">
        <f>IF($A452="","",[1]!thsiFinD("ths_adjustment_nv_fund",Z$3,$A452))</f>
        <v/>
      </c>
      <c r="AA452" s="13" t="str">
        <f>IF($A452="","",[1]!thsiFinD("ths_adjustment_nv_fund",AA$3,$A452))</f>
        <v/>
      </c>
      <c r="AB452" s="13" t="str">
        <f>IF($A452="","",[1]!thsiFinD("ths_adjustment_nv_fund",AB$3,$A452))</f>
        <v/>
      </c>
    </row>
    <row r="453" spans="2:28">
      <c r="B453" s="13" t="str">
        <f>IF($A453="","",[1]!thsiFinD("ths_adjustment_nv_fund",B$3,$A453))</f>
        <v/>
      </c>
      <c r="C453" s="13" t="str">
        <f>IF($A453="","",[1]!thsiFinD("ths_adjustment_nv_fund",C$3,$A453))</f>
        <v/>
      </c>
      <c r="D453" s="13" t="str">
        <f>IF($A453="","",[1]!thsiFinD("ths_adjustment_nv_fund",D$3,$A453))</f>
        <v/>
      </c>
      <c r="E453" s="13" t="str">
        <f>IF($A453="","",[1]!thsiFinD("ths_adjustment_nv_fund",E$3,$A453))</f>
        <v/>
      </c>
      <c r="F453" s="13" t="str">
        <f>IF($A453="","",[1]!thsiFinD("ths_adjustment_nv_fund",F$3,$A453))</f>
        <v/>
      </c>
      <c r="G453" s="13" t="str">
        <f>IF($A453="","",[1]!thsiFinD("ths_adjustment_nv_fund",G$3,$A453))</f>
        <v/>
      </c>
      <c r="H453" s="13" t="str">
        <f>IF($A453="","",[1]!thsiFinD("ths_adjustment_nv_fund",H$3,$A453))</f>
        <v/>
      </c>
      <c r="I453" s="13" t="str">
        <f>IF($A453="","",[1]!thsiFinD("ths_adjustment_nv_fund",I$3,$A453))</f>
        <v/>
      </c>
      <c r="J453" s="13" t="str">
        <f>IF($A453="","",[1]!thsiFinD("ths_adjustment_nv_fund",J$3,$A453))</f>
        <v/>
      </c>
      <c r="K453" s="13" t="str">
        <f>IF($A453="","",[1]!thsiFinD("ths_adjustment_nv_fund",K$3,$A453))</f>
        <v/>
      </c>
      <c r="L453" s="13" t="str">
        <f>IF($A453="","",[1]!thsiFinD("ths_adjustment_nv_fund",L$3,$A453))</f>
        <v/>
      </c>
      <c r="M453" s="13" t="str">
        <f>IF($A453="","",[1]!thsiFinD("ths_adjustment_nv_fund",M$3,$A453))</f>
        <v/>
      </c>
      <c r="N453" s="13" t="str">
        <f>IF($A453="","",[1]!thsiFinD("ths_adjustment_nv_fund",N$3,$A453))</f>
        <v/>
      </c>
      <c r="O453" s="13" t="str">
        <f>IF($A453="","",[1]!thsiFinD("ths_adjustment_nv_fund",O$3,$A453))</f>
        <v/>
      </c>
      <c r="P453" s="13" t="str">
        <f>IF($A453="","",[1]!thsiFinD("ths_adjustment_nv_fund",P$3,$A453))</f>
        <v/>
      </c>
      <c r="Q453" s="13" t="str">
        <f>IF($A453="","",[1]!thsiFinD("ths_adjustment_nv_fund",Q$3,$A453))</f>
        <v/>
      </c>
      <c r="R453" s="13" t="str">
        <f>IF($A453="","",[1]!thsiFinD("ths_adjustment_nv_fund",R$3,$A453))</f>
        <v/>
      </c>
      <c r="S453" s="13" t="str">
        <f>IF($A453="","",[1]!thsiFinD("ths_adjustment_nv_fund",S$3,$A453))</f>
        <v/>
      </c>
      <c r="T453" s="13" t="str">
        <f>IF($A453="","",[1]!thsiFinD("ths_adjustment_nv_fund",T$3,$A453))</f>
        <v/>
      </c>
      <c r="U453" s="13" t="str">
        <f>IF($A453="","",[1]!thsiFinD("ths_adjustment_nv_fund",U$3,$A453))</f>
        <v/>
      </c>
      <c r="V453" s="13" t="str">
        <f>IF($A453="","",[1]!thsiFinD("ths_adjustment_nv_fund",V$3,$A453))</f>
        <v/>
      </c>
      <c r="W453" s="13" t="str">
        <f>IF($A453="","",[1]!thsiFinD("ths_adjustment_nv_fund",W$3,$A453))</f>
        <v/>
      </c>
      <c r="X453" s="13" t="str">
        <f>IF($A453="","",[1]!thsiFinD("ths_adjustment_nv_fund",X$3,$A453))</f>
        <v/>
      </c>
      <c r="Y453" s="13" t="str">
        <f>IF($A453="","",[1]!thsiFinD("ths_adjustment_nv_fund",Y$3,$A453))</f>
        <v/>
      </c>
      <c r="Z453" s="13" t="str">
        <f>IF($A453="","",[1]!thsiFinD("ths_adjustment_nv_fund",Z$3,$A453))</f>
        <v/>
      </c>
      <c r="AA453" s="13" t="str">
        <f>IF($A453="","",[1]!thsiFinD("ths_adjustment_nv_fund",AA$3,$A453))</f>
        <v/>
      </c>
      <c r="AB453" s="13" t="str">
        <f>IF($A453="","",[1]!thsiFinD("ths_adjustment_nv_fund",AB$3,$A453))</f>
        <v/>
      </c>
    </row>
    <row r="454" spans="2:28">
      <c r="B454" s="13" t="str">
        <f>IF($A454="","",[1]!thsiFinD("ths_adjustment_nv_fund",B$3,$A454))</f>
        <v/>
      </c>
      <c r="C454" s="13" t="str">
        <f>IF($A454="","",[1]!thsiFinD("ths_adjustment_nv_fund",C$3,$A454))</f>
        <v/>
      </c>
      <c r="D454" s="13" t="str">
        <f>IF($A454="","",[1]!thsiFinD("ths_adjustment_nv_fund",D$3,$A454))</f>
        <v/>
      </c>
      <c r="E454" s="13" t="str">
        <f>IF($A454="","",[1]!thsiFinD("ths_adjustment_nv_fund",E$3,$A454))</f>
        <v/>
      </c>
      <c r="F454" s="13" t="str">
        <f>IF($A454="","",[1]!thsiFinD("ths_adjustment_nv_fund",F$3,$A454))</f>
        <v/>
      </c>
      <c r="G454" s="13" t="str">
        <f>IF($A454="","",[1]!thsiFinD("ths_adjustment_nv_fund",G$3,$A454))</f>
        <v/>
      </c>
      <c r="H454" s="13" t="str">
        <f>IF($A454="","",[1]!thsiFinD("ths_adjustment_nv_fund",H$3,$A454))</f>
        <v/>
      </c>
      <c r="I454" s="13" t="str">
        <f>IF($A454="","",[1]!thsiFinD("ths_adjustment_nv_fund",I$3,$A454))</f>
        <v/>
      </c>
      <c r="J454" s="13" t="str">
        <f>IF($A454="","",[1]!thsiFinD("ths_adjustment_nv_fund",J$3,$A454))</f>
        <v/>
      </c>
      <c r="K454" s="13" t="str">
        <f>IF($A454="","",[1]!thsiFinD("ths_adjustment_nv_fund",K$3,$A454))</f>
        <v/>
      </c>
      <c r="L454" s="13" t="str">
        <f>IF($A454="","",[1]!thsiFinD("ths_adjustment_nv_fund",L$3,$A454))</f>
        <v/>
      </c>
      <c r="M454" s="13" t="str">
        <f>IF($A454="","",[1]!thsiFinD("ths_adjustment_nv_fund",M$3,$A454))</f>
        <v/>
      </c>
      <c r="N454" s="13" t="str">
        <f>IF($A454="","",[1]!thsiFinD("ths_adjustment_nv_fund",N$3,$A454))</f>
        <v/>
      </c>
      <c r="O454" s="13" t="str">
        <f>IF($A454="","",[1]!thsiFinD("ths_adjustment_nv_fund",O$3,$A454))</f>
        <v/>
      </c>
      <c r="P454" s="13" t="str">
        <f>IF($A454="","",[1]!thsiFinD("ths_adjustment_nv_fund",P$3,$A454))</f>
        <v/>
      </c>
      <c r="Q454" s="13" t="str">
        <f>IF($A454="","",[1]!thsiFinD("ths_adjustment_nv_fund",Q$3,$A454))</f>
        <v/>
      </c>
      <c r="R454" s="13" t="str">
        <f>IF($A454="","",[1]!thsiFinD("ths_adjustment_nv_fund",R$3,$A454))</f>
        <v/>
      </c>
      <c r="S454" s="13" t="str">
        <f>IF($A454="","",[1]!thsiFinD("ths_adjustment_nv_fund",S$3,$A454))</f>
        <v/>
      </c>
      <c r="T454" s="13" t="str">
        <f>IF($A454="","",[1]!thsiFinD("ths_adjustment_nv_fund",T$3,$A454))</f>
        <v/>
      </c>
      <c r="U454" s="13" t="str">
        <f>IF($A454="","",[1]!thsiFinD("ths_adjustment_nv_fund",U$3,$A454))</f>
        <v/>
      </c>
      <c r="V454" s="13" t="str">
        <f>IF($A454="","",[1]!thsiFinD("ths_adjustment_nv_fund",V$3,$A454))</f>
        <v/>
      </c>
      <c r="W454" s="13" t="str">
        <f>IF($A454="","",[1]!thsiFinD("ths_adjustment_nv_fund",W$3,$A454))</f>
        <v/>
      </c>
      <c r="X454" s="13" t="str">
        <f>IF($A454="","",[1]!thsiFinD("ths_adjustment_nv_fund",X$3,$A454))</f>
        <v/>
      </c>
      <c r="Y454" s="13" t="str">
        <f>IF($A454="","",[1]!thsiFinD("ths_adjustment_nv_fund",Y$3,$A454))</f>
        <v/>
      </c>
      <c r="Z454" s="13" t="str">
        <f>IF($A454="","",[1]!thsiFinD("ths_adjustment_nv_fund",Z$3,$A454))</f>
        <v/>
      </c>
      <c r="AA454" s="13" t="str">
        <f>IF($A454="","",[1]!thsiFinD("ths_adjustment_nv_fund",AA$3,$A454))</f>
        <v/>
      </c>
      <c r="AB454" s="13" t="str">
        <f>IF($A454="","",[1]!thsiFinD("ths_adjustment_nv_fund",AB$3,$A454))</f>
        <v/>
      </c>
    </row>
    <row r="455" spans="2:28">
      <c r="B455" s="13" t="str">
        <f>IF($A455="","",[1]!thsiFinD("ths_adjustment_nv_fund",B$3,$A455))</f>
        <v/>
      </c>
      <c r="C455" s="13" t="str">
        <f>IF($A455="","",[1]!thsiFinD("ths_adjustment_nv_fund",C$3,$A455))</f>
        <v/>
      </c>
      <c r="D455" s="13" t="str">
        <f>IF($A455="","",[1]!thsiFinD("ths_adjustment_nv_fund",D$3,$A455))</f>
        <v/>
      </c>
      <c r="E455" s="13" t="str">
        <f>IF($A455="","",[1]!thsiFinD("ths_adjustment_nv_fund",E$3,$A455))</f>
        <v/>
      </c>
      <c r="F455" s="13" t="str">
        <f>IF($A455="","",[1]!thsiFinD("ths_adjustment_nv_fund",F$3,$A455))</f>
        <v/>
      </c>
      <c r="G455" s="13" t="str">
        <f>IF($A455="","",[1]!thsiFinD("ths_adjustment_nv_fund",G$3,$A455))</f>
        <v/>
      </c>
      <c r="H455" s="13" t="str">
        <f>IF($A455="","",[1]!thsiFinD("ths_adjustment_nv_fund",H$3,$A455))</f>
        <v/>
      </c>
      <c r="I455" s="13" t="str">
        <f>IF($A455="","",[1]!thsiFinD("ths_adjustment_nv_fund",I$3,$A455))</f>
        <v/>
      </c>
      <c r="J455" s="13" t="str">
        <f>IF($A455="","",[1]!thsiFinD("ths_adjustment_nv_fund",J$3,$A455))</f>
        <v/>
      </c>
      <c r="K455" s="13" t="str">
        <f>IF($A455="","",[1]!thsiFinD("ths_adjustment_nv_fund",K$3,$A455))</f>
        <v/>
      </c>
      <c r="L455" s="13" t="str">
        <f>IF($A455="","",[1]!thsiFinD("ths_adjustment_nv_fund",L$3,$A455))</f>
        <v/>
      </c>
      <c r="M455" s="13" t="str">
        <f>IF($A455="","",[1]!thsiFinD("ths_adjustment_nv_fund",M$3,$A455))</f>
        <v/>
      </c>
      <c r="N455" s="13" t="str">
        <f>IF($A455="","",[1]!thsiFinD("ths_adjustment_nv_fund",N$3,$A455))</f>
        <v/>
      </c>
      <c r="O455" s="13" t="str">
        <f>IF($A455="","",[1]!thsiFinD("ths_adjustment_nv_fund",O$3,$A455))</f>
        <v/>
      </c>
      <c r="P455" s="13" t="str">
        <f>IF($A455="","",[1]!thsiFinD("ths_adjustment_nv_fund",P$3,$A455))</f>
        <v/>
      </c>
      <c r="Q455" s="13" t="str">
        <f>IF($A455="","",[1]!thsiFinD("ths_adjustment_nv_fund",Q$3,$A455))</f>
        <v/>
      </c>
      <c r="R455" s="13" t="str">
        <f>IF($A455="","",[1]!thsiFinD("ths_adjustment_nv_fund",R$3,$A455))</f>
        <v/>
      </c>
      <c r="S455" s="13" t="str">
        <f>IF($A455="","",[1]!thsiFinD("ths_adjustment_nv_fund",S$3,$A455))</f>
        <v/>
      </c>
      <c r="T455" s="13" t="str">
        <f>IF($A455="","",[1]!thsiFinD("ths_adjustment_nv_fund",T$3,$A455))</f>
        <v/>
      </c>
      <c r="U455" s="13" t="str">
        <f>IF($A455="","",[1]!thsiFinD("ths_adjustment_nv_fund",U$3,$A455))</f>
        <v/>
      </c>
      <c r="V455" s="13" t="str">
        <f>IF($A455="","",[1]!thsiFinD("ths_adjustment_nv_fund",V$3,$A455))</f>
        <v/>
      </c>
      <c r="W455" s="13" t="str">
        <f>IF($A455="","",[1]!thsiFinD("ths_adjustment_nv_fund",W$3,$A455))</f>
        <v/>
      </c>
      <c r="X455" s="13" t="str">
        <f>IF($A455="","",[1]!thsiFinD("ths_adjustment_nv_fund",X$3,$A455))</f>
        <v/>
      </c>
      <c r="Y455" s="13" t="str">
        <f>IF($A455="","",[1]!thsiFinD("ths_adjustment_nv_fund",Y$3,$A455))</f>
        <v/>
      </c>
      <c r="Z455" s="13" t="str">
        <f>IF($A455="","",[1]!thsiFinD("ths_adjustment_nv_fund",Z$3,$A455))</f>
        <v/>
      </c>
      <c r="AA455" s="13" t="str">
        <f>IF($A455="","",[1]!thsiFinD("ths_adjustment_nv_fund",AA$3,$A455))</f>
        <v/>
      </c>
      <c r="AB455" s="13" t="str">
        <f>IF($A455="","",[1]!thsiFinD("ths_adjustment_nv_fund",AB$3,$A455))</f>
        <v/>
      </c>
    </row>
    <row r="456" spans="2:28">
      <c r="B456" s="13" t="str">
        <f>IF($A456="","",[1]!thsiFinD("ths_adjustment_nv_fund",B$3,$A456))</f>
        <v/>
      </c>
      <c r="C456" s="13" t="str">
        <f>IF($A456="","",[1]!thsiFinD("ths_adjustment_nv_fund",C$3,$A456))</f>
        <v/>
      </c>
      <c r="D456" s="13" t="str">
        <f>IF($A456="","",[1]!thsiFinD("ths_adjustment_nv_fund",D$3,$A456))</f>
        <v/>
      </c>
      <c r="E456" s="13" t="str">
        <f>IF($A456="","",[1]!thsiFinD("ths_adjustment_nv_fund",E$3,$A456))</f>
        <v/>
      </c>
      <c r="F456" s="13" t="str">
        <f>IF($A456="","",[1]!thsiFinD("ths_adjustment_nv_fund",F$3,$A456))</f>
        <v/>
      </c>
      <c r="G456" s="13" t="str">
        <f>IF($A456="","",[1]!thsiFinD("ths_adjustment_nv_fund",G$3,$A456))</f>
        <v/>
      </c>
      <c r="H456" s="13" t="str">
        <f>IF($A456="","",[1]!thsiFinD("ths_adjustment_nv_fund",H$3,$A456))</f>
        <v/>
      </c>
      <c r="I456" s="13" t="str">
        <f>IF($A456="","",[1]!thsiFinD("ths_adjustment_nv_fund",I$3,$A456))</f>
        <v/>
      </c>
      <c r="J456" s="13" t="str">
        <f>IF($A456="","",[1]!thsiFinD("ths_adjustment_nv_fund",J$3,$A456))</f>
        <v/>
      </c>
      <c r="K456" s="13" t="str">
        <f>IF($A456="","",[1]!thsiFinD("ths_adjustment_nv_fund",K$3,$A456))</f>
        <v/>
      </c>
      <c r="L456" s="13" t="str">
        <f>IF($A456="","",[1]!thsiFinD("ths_adjustment_nv_fund",L$3,$A456))</f>
        <v/>
      </c>
      <c r="M456" s="13" t="str">
        <f>IF($A456="","",[1]!thsiFinD("ths_adjustment_nv_fund",M$3,$A456))</f>
        <v/>
      </c>
      <c r="N456" s="13" t="str">
        <f>IF($A456="","",[1]!thsiFinD("ths_adjustment_nv_fund",N$3,$A456))</f>
        <v/>
      </c>
      <c r="O456" s="13" t="str">
        <f>IF($A456="","",[1]!thsiFinD("ths_adjustment_nv_fund",O$3,$A456))</f>
        <v/>
      </c>
      <c r="P456" s="13" t="str">
        <f>IF($A456="","",[1]!thsiFinD("ths_adjustment_nv_fund",P$3,$A456))</f>
        <v/>
      </c>
      <c r="Q456" s="13" t="str">
        <f>IF($A456="","",[1]!thsiFinD("ths_adjustment_nv_fund",Q$3,$A456))</f>
        <v/>
      </c>
      <c r="R456" s="13" t="str">
        <f>IF($A456="","",[1]!thsiFinD("ths_adjustment_nv_fund",R$3,$A456))</f>
        <v/>
      </c>
      <c r="S456" s="13" t="str">
        <f>IF($A456="","",[1]!thsiFinD("ths_adjustment_nv_fund",S$3,$A456))</f>
        <v/>
      </c>
      <c r="T456" s="13" t="str">
        <f>IF($A456="","",[1]!thsiFinD("ths_adjustment_nv_fund",T$3,$A456))</f>
        <v/>
      </c>
      <c r="U456" s="13" t="str">
        <f>IF($A456="","",[1]!thsiFinD("ths_adjustment_nv_fund",U$3,$A456))</f>
        <v/>
      </c>
      <c r="V456" s="13" t="str">
        <f>IF($A456="","",[1]!thsiFinD("ths_adjustment_nv_fund",V$3,$A456))</f>
        <v/>
      </c>
      <c r="W456" s="13" t="str">
        <f>IF($A456="","",[1]!thsiFinD("ths_adjustment_nv_fund",W$3,$A456))</f>
        <v/>
      </c>
      <c r="X456" s="13" t="str">
        <f>IF($A456="","",[1]!thsiFinD("ths_adjustment_nv_fund",X$3,$A456))</f>
        <v/>
      </c>
      <c r="Y456" s="13" t="str">
        <f>IF($A456="","",[1]!thsiFinD("ths_adjustment_nv_fund",Y$3,$A456))</f>
        <v/>
      </c>
      <c r="Z456" s="13" t="str">
        <f>IF($A456="","",[1]!thsiFinD("ths_adjustment_nv_fund",Z$3,$A456))</f>
        <v/>
      </c>
      <c r="AA456" s="13" t="str">
        <f>IF($A456="","",[1]!thsiFinD("ths_adjustment_nv_fund",AA$3,$A456))</f>
        <v/>
      </c>
      <c r="AB456" s="13" t="str">
        <f>IF($A456="","",[1]!thsiFinD("ths_adjustment_nv_fund",AB$3,$A456))</f>
        <v/>
      </c>
    </row>
    <row r="457" spans="2:28">
      <c r="B457" s="13" t="str">
        <f>IF($A457="","",[1]!thsiFinD("ths_adjustment_nv_fund",B$3,$A457))</f>
        <v/>
      </c>
      <c r="C457" s="13" t="str">
        <f>IF($A457="","",[1]!thsiFinD("ths_adjustment_nv_fund",C$3,$A457))</f>
        <v/>
      </c>
      <c r="D457" s="13" t="str">
        <f>IF($A457="","",[1]!thsiFinD("ths_adjustment_nv_fund",D$3,$A457))</f>
        <v/>
      </c>
      <c r="E457" s="13" t="str">
        <f>IF($A457="","",[1]!thsiFinD("ths_adjustment_nv_fund",E$3,$A457))</f>
        <v/>
      </c>
      <c r="F457" s="13" t="str">
        <f>IF($A457="","",[1]!thsiFinD("ths_adjustment_nv_fund",F$3,$A457))</f>
        <v/>
      </c>
      <c r="G457" s="13" t="str">
        <f>IF($A457="","",[1]!thsiFinD("ths_adjustment_nv_fund",G$3,$A457))</f>
        <v/>
      </c>
      <c r="H457" s="13" t="str">
        <f>IF($A457="","",[1]!thsiFinD("ths_adjustment_nv_fund",H$3,$A457))</f>
        <v/>
      </c>
      <c r="I457" s="13" t="str">
        <f>IF($A457="","",[1]!thsiFinD("ths_adjustment_nv_fund",I$3,$A457))</f>
        <v/>
      </c>
      <c r="J457" s="13" t="str">
        <f>IF($A457="","",[1]!thsiFinD("ths_adjustment_nv_fund",J$3,$A457))</f>
        <v/>
      </c>
      <c r="K457" s="13" t="str">
        <f>IF($A457="","",[1]!thsiFinD("ths_adjustment_nv_fund",K$3,$A457))</f>
        <v/>
      </c>
      <c r="L457" s="13" t="str">
        <f>IF($A457="","",[1]!thsiFinD("ths_adjustment_nv_fund",L$3,$A457))</f>
        <v/>
      </c>
      <c r="M457" s="13" t="str">
        <f>IF($A457="","",[1]!thsiFinD("ths_adjustment_nv_fund",M$3,$A457))</f>
        <v/>
      </c>
      <c r="N457" s="13" t="str">
        <f>IF($A457="","",[1]!thsiFinD("ths_adjustment_nv_fund",N$3,$A457))</f>
        <v/>
      </c>
      <c r="O457" s="13" t="str">
        <f>IF($A457="","",[1]!thsiFinD("ths_adjustment_nv_fund",O$3,$A457))</f>
        <v/>
      </c>
      <c r="P457" s="13" t="str">
        <f>IF($A457="","",[1]!thsiFinD("ths_adjustment_nv_fund",P$3,$A457))</f>
        <v/>
      </c>
      <c r="Q457" s="13" t="str">
        <f>IF($A457="","",[1]!thsiFinD("ths_adjustment_nv_fund",Q$3,$A457))</f>
        <v/>
      </c>
      <c r="R457" s="13" t="str">
        <f>IF($A457="","",[1]!thsiFinD("ths_adjustment_nv_fund",R$3,$A457))</f>
        <v/>
      </c>
      <c r="S457" s="13" t="str">
        <f>IF($A457="","",[1]!thsiFinD("ths_adjustment_nv_fund",S$3,$A457))</f>
        <v/>
      </c>
      <c r="T457" s="13" t="str">
        <f>IF($A457="","",[1]!thsiFinD("ths_adjustment_nv_fund",T$3,$A457))</f>
        <v/>
      </c>
      <c r="U457" s="13" t="str">
        <f>IF($A457="","",[1]!thsiFinD("ths_adjustment_nv_fund",U$3,$A457))</f>
        <v/>
      </c>
      <c r="V457" s="13" t="str">
        <f>IF($A457="","",[1]!thsiFinD("ths_adjustment_nv_fund",V$3,$A457))</f>
        <v/>
      </c>
      <c r="W457" s="13" t="str">
        <f>IF($A457="","",[1]!thsiFinD("ths_adjustment_nv_fund",W$3,$A457))</f>
        <v/>
      </c>
      <c r="X457" s="13" t="str">
        <f>IF($A457="","",[1]!thsiFinD("ths_adjustment_nv_fund",X$3,$A457))</f>
        <v/>
      </c>
      <c r="Y457" s="13" t="str">
        <f>IF($A457="","",[1]!thsiFinD("ths_adjustment_nv_fund",Y$3,$A457))</f>
        <v/>
      </c>
      <c r="Z457" s="13" t="str">
        <f>IF($A457="","",[1]!thsiFinD("ths_adjustment_nv_fund",Z$3,$A457))</f>
        <v/>
      </c>
      <c r="AA457" s="13" t="str">
        <f>IF($A457="","",[1]!thsiFinD("ths_adjustment_nv_fund",AA$3,$A457))</f>
        <v/>
      </c>
      <c r="AB457" s="13" t="str">
        <f>IF($A457="","",[1]!thsiFinD("ths_adjustment_nv_fund",AB$3,$A457))</f>
        <v/>
      </c>
    </row>
    <row r="458" spans="2:28">
      <c r="B458" s="13" t="str">
        <f>IF($A458="","",[1]!thsiFinD("ths_adjustment_nv_fund",B$3,$A458))</f>
        <v/>
      </c>
      <c r="C458" s="13" t="str">
        <f>IF($A458="","",[1]!thsiFinD("ths_adjustment_nv_fund",C$3,$A458))</f>
        <v/>
      </c>
      <c r="D458" s="13" t="str">
        <f>IF($A458="","",[1]!thsiFinD("ths_adjustment_nv_fund",D$3,$A458))</f>
        <v/>
      </c>
      <c r="E458" s="13" t="str">
        <f>IF($A458="","",[1]!thsiFinD("ths_adjustment_nv_fund",E$3,$A458))</f>
        <v/>
      </c>
      <c r="F458" s="13" t="str">
        <f>IF($A458="","",[1]!thsiFinD("ths_adjustment_nv_fund",F$3,$A458))</f>
        <v/>
      </c>
      <c r="G458" s="13" t="str">
        <f>IF($A458="","",[1]!thsiFinD("ths_adjustment_nv_fund",G$3,$A458))</f>
        <v/>
      </c>
      <c r="H458" s="13" t="str">
        <f>IF($A458="","",[1]!thsiFinD("ths_adjustment_nv_fund",H$3,$A458))</f>
        <v/>
      </c>
      <c r="I458" s="13" t="str">
        <f>IF($A458="","",[1]!thsiFinD("ths_adjustment_nv_fund",I$3,$A458))</f>
        <v/>
      </c>
      <c r="J458" s="13" t="str">
        <f>IF($A458="","",[1]!thsiFinD("ths_adjustment_nv_fund",J$3,$A458))</f>
        <v/>
      </c>
      <c r="K458" s="13" t="str">
        <f>IF($A458="","",[1]!thsiFinD("ths_adjustment_nv_fund",K$3,$A458))</f>
        <v/>
      </c>
      <c r="L458" s="13" t="str">
        <f>IF($A458="","",[1]!thsiFinD("ths_adjustment_nv_fund",L$3,$A458))</f>
        <v/>
      </c>
      <c r="M458" s="13" t="str">
        <f>IF($A458="","",[1]!thsiFinD("ths_adjustment_nv_fund",M$3,$A458))</f>
        <v/>
      </c>
      <c r="N458" s="13" t="str">
        <f>IF($A458="","",[1]!thsiFinD("ths_adjustment_nv_fund",N$3,$A458))</f>
        <v/>
      </c>
      <c r="O458" s="13" t="str">
        <f>IF($A458="","",[1]!thsiFinD("ths_adjustment_nv_fund",O$3,$A458))</f>
        <v/>
      </c>
      <c r="P458" s="13" t="str">
        <f>IF($A458="","",[1]!thsiFinD("ths_adjustment_nv_fund",P$3,$A458))</f>
        <v/>
      </c>
      <c r="Q458" s="13" t="str">
        <f>IF($A458="","",[1]!thsiFinD("ths_adjustment_nv_fund",Q$3,$A458))</f>
        <v/>
      </c>
      <c r="R458" s="13" t="str">
        <f>IF($A458="","",[1]!thsiFinD("ths_adjustment_nv_fund",R$3,$A458))</f>
        <v/>
      </c>
      <c r="S458" s="13" t="str">
        <f>IF($A458="","",[1]!thsiFinD("ths_adjustment_nv_fund",S$3,$A458))</f>
        <v/>
      </c>
      <c r="T458" s="13" t="str">
        <f>IF($A458="","",[1]!thsiFinD("ths_adjustment_nv_fund",T$3,$A458))</f>
        <v/>
      </c>
      <c r="U458" s="13" t="str">
        <f>IF($A458="","",[1]!thsiFinD("ths_adjustment_nv_fund",U$3,$A458))</f>
        <v/>
      </c>
      <c r="V458" s="13" t="str">
        <f>IF($A458="","",[1]!thsiFinD("ths_adjustment_nv_fund",V$3,$A458))</f>
        <v/>
      </c>
      <c r="W458" s="13" t="str">
        <f>IF($A458="","",[1]!thsiFinD("ths_adjustment_nv_fund",W$3,$A458))</f>
        <v/>
      </c>
      <c r="X458" s="13" t="str">
        <f>IF($A458="","",[1]!thsiFinD("ths_adjustment_nv_fund",X$3,$A458))</f>
        <v/>
      </c>
      <c r="Y458" s="13" t="str">
        <f>IF($A458="","",[1]!thsiFinD("ths_adjustment_nv_fund",Y$3,$A458))</f>
        <v/>
      </c>
      <c r="Z458" s="13" t="str">
        <f>IF($A458="","",[1]!thsiFinD("ths_adjustment_nv_fund",Z$3,$A458))</f>
        <v/>
      </c>
      <c r="AA458" s="13" t="str">
        <f>IF($A458="","",[1]!thsiFinD("ths_adjustment_nv_fund",AA$3,$A458))</f>
        <v/>
      </c>
      <c r="AB458" s="13" t="str">
        <f>IF($A458="","",[1]!thsiFinD("ths_adjustment_nv_fund",AB$3,$A458))</f>
        <v/>
      </c>
    </row>
    <row r="459" spans="2:28">
      <c r="B459" s="13" t="str">
        <f>IF($A459="","",[1]!thsiFinD("ths_adjustment_nv_fund",B$3,$A459))</f>
        <v/>
      </c>
      <c r="C459" s="13" t="str">
        <f>IF($A459="","",[1]!thsiFinD("ths_adjustment_nv_fund",C$3,$A459))</f>
        <v/>
      </c>
      <c r="D459" s="13" t="str">
        <f>IF($A459="","",[1]!thsiFinD("ths_adjustment_nv_fund",D$3,$A459))</f>
        <v/>
      </c>
      <c r="E459" s="13" t="str">
        <f>IF($A459="","",[1]!thsiFinD("ths_adjustment_nv_fund",E$3,$A459))</f>
        <v/>
      </c>
      <c r="F459" s="13" t="str">
        <f>IF($A459="","",[1]!thsiFinD("ths_adjustment_nv_fund",F$3,$A459))</f>
        <v/>
      </c>
      <c r="G459" s="13" t="str">
        <f>IF($A459="","",[1]!thsiFinD("ths_adjustment_nv_fund",G$3,$A459))</f>
        <v/>
      </c>
      <c r="H459" s="13" t="str">
        <f>IF($A459="","",[1]!thsiFinD("ths_adjustment_nv_fund",H$3,$A459))</f>
        <v/>
      </c>
      <c r="I459" s="13" t="str">
        <f>IF($A459="","",[1]!thsiFinD("ths_adjustment_nv_fund",I$3,$A459))</f>
        <v/>
      </c>
      <c r="J459" s="13" t="str">
        <f>IF($A459="","",[1]!thsiFinD("ths_adjustment_nv_fund",J$3,$A459))</f>
        <v/>
      </c>
      <c r="K459" s="13" t="str">
        <f>IF($A459="","",[1]!thsiFinD("ths_adjustment_nv_fund",K$3,$A459))</f>
        <v/>
      </c>
      <c r="L459" s="13" t="str">
        <f>IF($A459="","",[1]!thsiFinD("ths_adjustment_nv_fund",L$3,$A459))</f>
        <v/>
      </c>
      <c r="M459" s="13" t="str">
        <f>IF($A459="","",[1]!thsiFinD("ths_adjustment_nv_fund",M$3,$A459))</f>
        <v/>
      </c>
      <c r="N459" s="13" t="str">
        <f>IF($A459="","",[1]!thsiFinD("ths_adjustment_nv_fund",N$3,$A459))</f>
        <v/>
      </c>
      <c r="O459" s="13" t="str">
        <f>IF($A459="","",[1]!thsiFinD("ths_adjustment_nv_fund",O$3,$A459))</f>
        <v/>
      </c>
      <c r="P459" s="13" t="str">
        <f>IF($A459="","",[1]!thsiFinD("ths_adjustment_nv_fund",P$3,$A459))</f>
        <v/>
      </c>
      <c r="Q459" s="13" t="str">
        <f>IF($A459="","",[1]!thsiFinD("ths_adjustment_nv_fund",Q$3,$A459))</f>
        <v/>
      </c>
      <c r="R459" s="13" t="str">
        <f>IF($A459="","",[1]!thsiFinD("ths_adjustment_nv_fund",R$3,$A459))</f>
        <v/>
      </c>
      <c r="S459" s="13" t="str">
        <f>IF($A459="","",[1]!thsiFinD("ths_adjustment_nv_fund",S$3,$A459))</f>
        <v/>
      </c>
      <c r="T459" s="13" t="str">
        <f>IF($A459="","",[1]!thsiFinD("ths_adjustment_nv_fund",T$3,$A459))</f>
        <v/>
      </c>
      <c r="U459" s="13" t="str">
        <f>IF($A459="","",[1]!thsiFinD("ths_adjustment_nv_fund",U$3,$A459))</f>
        <v/>
      </c>
      <c r="V459" s="13" t="str">
        <f>IF($A459="","",[1]!thsiFinD("ths_adjustment_nv_fund",V$3,$A459))</f>
        <v/>
      </c>
      <c r="W459" s="13" t="str">
        <f>IF($A459="","",[1]!thsiFinD("ths_adjustment_nv_fund",W$3,$A459))</f>
        <v/>
      </c>
      <c r="X459" s="13" t="str">
        <f>IF($A459="","",[1]!thsiFinD("ths_adjustment_nv_fund",X$3,$A459))</f>
        <v/>
      </c>
      <c r="Y459" s="13" t="str">
        <f>IF($A459="","",[1]!thsiFinD("ths_adjustment_nv_fund",Y$3,$A459))</f>
        <v/>
      </c>
      <c r="Z459" s="13" t="str">
        <f>IF($A459="","",[1]!thsiFinD("ths_adjustment_nv_fund",Z$3,$A459))</f>
        <v/>
      </c>
      <c r="AA459" s="13" t="str">
        <f>IF($A459="","",[1]!thsiFinD("ths_adjustment_nv_fund",AA$3,$A459))</f>
        <v/>
      </c>
      <c r="AB459" s="13" t="str">
        <f>IF($A459="","",[1]!thsiFinD("ths_adjustment_nv_fund",AB$3,$A459))</f>
        <v/>
      </c>
    </row>
    <row r="460" spans="2:28">
      <c r="B460" s="13" t="str">
        <f>IF($A460="","",[1]!thsiFinD("ths_adjustment_nv_fund",B$3,$A460))</f>
        <v/>
      </c>
      <c r="C460" s="13" t="str">
        <f>IF($A460="","",[1]!thsiFinD("ths_adjustment_nv_fund",C$3,$A460))</f>
        <v/>
      </c>
      <c r="D460" s="13" t="str">
        <f>IF($A460="","",[1]!thsiFinD("ths_adjustment_nv_fund",D$3,$A460))</f>
        <v/>
      </c>
      <c r="E460" s="13" t="str">
        <f>IF($A460="","",[1]!thsiFinD("ths_adjustment_nv_fund",E$3,$A460))</f>
        <v/>
      </c>
      <c r="F460" s="13" t="str">
        <f>IF($A460="","",[1]!thsiFinD("ths_adjustment_nv_fund",F$3,$A460))</f>
        <v/>
      </c>
      <c r="G460" s="13" t="str">
        <f>IF($A460="","",[1]!thsiFinD("ths_adjustment_nv_fund",G$3,$A460))</f>
        <v/>
      </c>
      <c r="H460" s="13" t="str">
        <f>IF($A460="","",[1]!thsiFinD("ths_adjustment_nv_fund",H$3,$A460))</f>
        <v/>
      </c>
      <c r="I460" s="13" t="str">
        <f>IF($A460="","",[1]!thsiFinD("ths_adjustment_nv_fund",I$3,$A460))</f>
        <v/>
      </c>
      <c r="J460" s="13" t="str">
        <f>IF($A460="","",[1]!thsiFinD("ths_adjustment_nv_fund",J$3,$A460))</f>
        <v/>
      </c>
      <c r="K460" s="13" t="str">
        <f>IF($A460="","",[1]!thsiFinD("ths_adjustment_nv_fund",K$3,$A460))</f>
        <v/>
      </c>
      <c r="L460" s="13" t="str">
        <f>IF($A460="","",[1]!thsiFinD("ths_adjustment_nv_fund",L$3,$A460))</f>
        <v/>
      </c>
      <c r="M460" s="13" t="str">
        <f>IF($A460="","",[1]!thsiFinD("ths_adjustment_nv_fund",M$3,$A460))</f>
        <v/>
      </c>
      <c r="N460" s="13" t="str">
        <f>IF($A460="","",[1]!thsiFinD("ths_adjustment_nv_fund",N$3,$A460))</f>
        <v/>
      </c>
      <c r="O460" s="13" t="str">
        <f>IF($A460="","",[1]!thsiFinD("ths_adjustment_nv_fund",O$3,$A460))</f>
        <v/>
      </c>
      <c r="P460" s="13" t="str">
        <f>IF($A460="","",[1]!thsiFinD("ths_adjustment_nv_fund",P$3,$A460))</f>
        <v/>
      </c>
      <c r="Q460" s="13" t="str">
        <f>IF($A460="","",[1]!thsiFinD("ths_adjustment_nv_fund",Q$3,$A460))</f>
        <v/>
      </c>
      <c r="R460" s="13" t="str">
        <f>IF($A460="","",[1]!thsiFinD("ths_adjustment_nv_fund",R$3,$A460))</f>
        <v/>
      </c>
      <c r="S460" s="13" t="str">
        <f>IF($A460="","",[1]!thsiFinD("ths_adjustment_nv_fund",S$3,$A460))</f>
        <v/>
      </c>
      <c r="T460" s="13" t="str">
        <f>IF($A460="","",[1]!thsiFinD("ths_adjustment_nv_fund",T$3,$A460))</f>
        <v/>
      </c>
      <c r="U460" s="13" t="str">
        <f>IF($A460="","",[1]!thsiFinD("ths_adjustment_nv_fund",U$3,$A460))</f>
        <v/>
      </c>
      <c r="V460" s="13" t="str">
        <f>IF($A460="","",[1]!thsiFinD("ths_adjustment_nv_fund",V$3,$A460))</f>
        <v/>
      </c>
      <c r="W460" s="13" t="str">
        <f>IF($A460="","",[1]!thsiFinD("ths_adjustment_nv_fund",W$3,$A460))</f>
        <v/>
      </c>
      <c r="X460" s="13" t="str">
        <f>IF($A460="","",[1]!thsiFinD("ths_adjustment_nv_fund",X$3,$A460))</f>
        <v/>
      </c>
      <c r="Y460" s="13" t="str">
        <f>IF($A460="","",[1]!thsiFinD("ths_adjustment_nv_fund",Y$3,$A460))</f>
        <v/>
      </c>
      <c r="Z460" s="13" t="str">
        <f>IF($A460="","",[1]!thsiFinD("ths_adjustment_nv_fund",Z$3,$A460))</f>
        <v/>
      </c>
      <c r="AA460" s="13" t="str">
        <f>IF($A460="","",[1]!thsiFinD("ths_adjustment_nv_fund",AA$3,$A460))</f>
        <v/>
      </c>
      <c r="AB460" s="13" t="str">
        <f>IF($A460="","",[1]!thsiFinD("ths_adjustment_nv_fund",AB$3,$A460))</f>
        <v/>
      </c>
    </row>
    <row r="461" spans="2:28">
      <c r="B461" s="13" t="str">
        <f>IF($A461="","",[1]!thsiFinD("ths_adjustment_nv_fund",B$3,$A461))</f>
        <v/>
      </c>
      <c r="C461" s="13" t="str">
        <f>IF($A461="","",[1]!thsiFinD("ths_adjustment_nv_fund",C$3,$A461))</f>
        <v/>
      </c>
      <c r="D461" s="13" t="str">
        <f>IF($A461="","",[1]!thsiFinD("ths_adjustment_nv_fund",D$3,$A461))</f>
        <v/>
      </c>
      <c r="E461" s="13" t="str">
        <f>IF($A461="","",[1]!thsiFinD("ths_adjustment_nv_fund",E$3,$A461))</f>
        <v/>
      </c>
      <c r="F461" s="13" t="str">
        <f>IF($A461="","",[1]!thsiFinD("ths_adjustment_nv_fund",F$3,$A461))</f>
        <v/>
      </c>
      <c r="G461" s="13" t="str">
        <f>IF($A461="","",[1]!thsiFinD("ths_adjustment_nv_fund",G$3,$A461))</f>
        <v/>
      </c>
      <c r="H461" s="13" t="str">
        <f>IF($A461="","",[1]!thsiFinD("ths_adjustment_nv_fund",H$3,$A461))</f>
        <v/>
      </c>
      <c r="I461" s="13" t="str">
        <f>IF($A461="","",[1]!thsiFinD("ths_adjustment_nv_fund",I$3,$A461))</f>
        <v/>
      </c>
      <c r="J461" s="13" t="str">
        <f>IF($A461="","",[1]!thsiFinD("ths_adjustment_nv_fund",J$3,$A461))</f>
        <v/>
      </c>
      <c r="K461" s="13" t="str">
        <f>IF($A461="","",[1]!thsiFinD("ths_adjustment_nv_fund",K$3,$A461))</f>
        <v/>
      </c>
      <c r="L461" s="13" t="str">
        <f>IF($A461="","",[1]!thsiFinD("ths_adjustment_nv_fund",L$3,$A461))</f>
        <v/>
      </c>
      <c r="M461" s="13" t="str">
        <f>IF($A461="","",[1]!thsiFinD("ths_adjustment_nv_fund",M$3,$A461))</f>
        <v/>
      </c>
      <c r="N461" s="13" t="str">
        <f>IF($A461="","",[1]!thsiFinD("ths_adjustment_nv_fund",N$3,$A461))</f>
        <v/>
      </c>
      <c r="O461" s="13" t="str">
        <f>IF($A461="","",[1]!thsiFinD("ths_adjustment_nv_fund",O$3,$A461))</f>
        <v/>
      </c>
      <c r="P461" s="13" t="str">
        <f>IF($A461="","",[1]!thsiFinD("ths_adjustment_nv_fund",P$3,$A461))</f>
        <v/>
      </c>
      <c r="Q461" s="13" t="str">
        <f>IF($A461="","",[1]!thsiFinD("ths_adjustment_nv_fund",Q$3,$A461))</f>
        <v/>
      </c>
      <c r="R461" s="13" t="str">
        <f>IF($A461="","",[1]!thsiFinD("ths_adjustment_nv_fund",R$3,$A461))</f>
        <v/>
      </c>
      <c r="S461" s="13" t="str">
        <f>IF($A461="","",[1]!thsiFinD("ths_adjustment_nv_fund",S$3,$A461))</f>
        <v/>
      </c>
      <c r="T461" s="13" t="str">
        <f>IF($A461="","",[1]!thsiFinD("ths_adjustment_nv_fund",T$3,$A461))</f>
        <v/>
      </c>
      <c r="U461" s="13" t="str">
        <f>IF($A461="","",[1]!thsiFinD("ths_adjustment_nv_fund",U$3,$A461))</f>
        <v/>
      </c>
      <c r="V461" s="13" t="str">
        <f>IF($A461="","",[1]!thsiFinD("ths_adjustment_nv_fund",V$3,$A461))</f>
        <v/>
      </c>
      <c r="W461" s="13" t="str">
        <f>IF($A461="","",[1]!thsiFinD("ths_adjustment_nv_fund",W$3,$A461))</f>
        <v/>
      </c>
      <c r="X461" s="13" t="str">
        <f>IF($A461="","",[1]!thsiFinD("ths_adjustment_nv_fund",X$3,$A461))</f>
        <v/>
      </c>
      <c r="Y461" s="13" t="str">
        <f>IF($A461="","",[1]!thsiFinD("ths_adjustment_nv_fund",Y$3,$A461))</f>
        <v/>
      </c>
      <c r="Z461" s="13" t="str">
        <f>IF($A461="","",[1]!thsiFinD("ths_adjustment_nv_fund",Z$3,$A461))</f>
        <v/>
      </c>
      <c r="AA461" s="13" t="str">
        <f>IF($A461="","",[1]!thsiFinD("ths_adjustment_nv_fund",AA$3,$A461))</f>
        <v/>
      </c>
      <c r="AB461" s="13" t="str">
        <f>IF($A461="","",[1]!thsiFinD("ths_adjustment_nv_fund",AB$3,$A461))</f>
        <v/>
      </c>
    </row>
    <row r="462" spans="2:28">
      <c r="B462" s="13" t="str">
        <f>IF($A462="","",[1]!thsiFinD("ths_adjustment_nv_fund",B$3,$A462))</f>
        <v/>
      </c>
      <c r="C462" s="13" t="str">
        <f>IF($A462="","",[1]!thsiFinD("ths_adjustment_nv_fund",C$3,$A462))</f>
        <v/>
      </c>
      <c r="D462" s="13" t="str">
        <f>IF($A462="","",[1]!thsiFinD("ths_adjustment_nv_fund",D$3,$A462))</f>
        <v/>
      </c>
      <c r="E462" s="13" t="str">
        <f>IF($A462="","",[1]!thsiFinD("ths_adjustment_nv_fund",E$3,$A462))</f>
        <v/>
      </c>
      <c r="F462" s="13" t="str">
        <f>IF($A462="","",[1]!thsiFinD("ths_adjustment_nv_fund",F$3,$A462))</f>
        <v/>
      </c>
      <c r="G462" s="13" t="str">
        <f>IF($A462="","",[1]!thsiFinD("ths_adjustment_nv_fund",G$3,$A462))</f>
        <v/>
      </c>
      <c r="H462" s="13" t="str">
        <f>IF($A462="","",[1]!thsiFinD("ths_adjustment_nv_fund",H$3,$A462))</f>
        <v/>
      </c>
      <c r="I462" s="13" t="str">
        <f>IF($A462="","",[1]!thsiFinD("ths_adjustment_nv_fund",I$3,$A462))</f>
        <v/>
      </c>
      <c r="J462" s="13" t="str">
        <f>IF($A462="","",[1]!thsiFinD("ths_adjustment_nv_fund",J$3,$A462))</f>
        <v/>
      </c>
      <c r="K462" s="13" t="str">
        <f>IF($A462="","",[1]!thsiFinD("ths_adjustment_nv_fund",K$3,$A462))</f>
        <v/>
      </c>
      <c r="L462" s="13" t="str">
        <f>IF($A462="","",[1]!thsiFinD("ths_adjustment_nv_fund",L$3,$A462))</f>
        <v/>
      </c>
      <c r="M462" s="13" t="str">
        <f>IF($A462="","",[1]!thsiFinD("ths_adjustment_nv_fund",M$3,$A462))</f>
        <v/>
      </c>
      <c r="N462" s="13" t="str">
        <f>IF($A462="","",[1]!thsiFinD("ths_adjustment_nv_fund",N$3,$A462))</f>
        <v/>
      </c>
      <c r="O462" s="13" t="str">
        <f>IF($A462="","",[1]!thsiFinD("ths_adjustment_nv_fund",O$3,$A462))</f>
        <v/>
      </c>
      <c r="P462" s="13" t="str">
        <f>IF($A462="","",[1]!thsiFinD("ths_adjustment_nv_fund",P$3,$A462))</f>
        <v/>
      </c>
      <c r="Q462" s="13" t="str">
        <f>IF($A462="","",[1]!thsiFinD("ths_adjustment_nv_fund",Q$3,$A462))</f>
        <v/>
      </c>
      <c r="R462" s="13" t="str">
        <f>IF($A462="","",[1]!thsiFinD("ths_adjustment_nv_fund",R$3,$A462))</f>
        <v/>
      </c>
      <c r="S462" s="13" t="str">
        <f>IF($A462="","",[1]!thsiFinD("ths_adjustment_nv_fund",S$3,$A462))</f>
        <v/>
      </c>
      <c r="T462" s="13" t="str">
        <f>IF($A462="","",[1]!thsiFinD("ths_adjustment_nv_fund",T$3,$A462))</f>
        <v/>
      </c>
      <c r="U462" s="13" t="str">
        <f>IF($A462="","",[1]!thsiFinD("ths_adjustment_nv_fund",U$3,$A462))</f>
        <v/>
      </c>
      <c r="V462" s="13" t="str">
        <f>IF($A462="","",[1]!thsiFinD("ths_adjustment_nv_fund",V$3,$A462))</f>
        <v/>
      </c>
      <c r="W462" s="13" t="str">
        <f>IF($A462="","",[1]!thsiFinD("ths_adjustment_nv_fund",W$3,$A462))</f>
        <v/>
      </c>
      <c r="X462" s="13" t="str">
        <f>IF($A462="","",[1]!thsiFinD("ths_adjustment_nv_fund",X$3,$A462))</f>
        <v/>
      </c>
      <c r="Y462" s="13" t="str">
        <f>IF($A462="","",[1]!thsiFinD("ths_adjustment_nv_fund",Y$3,$A462))</f>
        <v/>
      </c>
      <c r="Z462" s="13" t="str">
        <f>IF($A462="","",[1]!thsiFinD("ths_adjustment_nv_fund",Z$3,$A462))</f>
        <v/>
      </c>
      <c r="AA462" s="13" t="str">
        <f>IF($A462="","",[1]!thsiFinD("ths_adjustment_nv_fund",AA$3,$A462))</f>
        <v/>
      </c>
      <c r="AB462" s="13" t="str">
        <f>IF($A462="","",[1]!thsiFinD("ths_adjustment_nv_fund",AB$3,$A462))</f>
        <v/>
      </c>
    </row>
    <row r="463" spans="2:28">
      <c r="B463" s="13" t="str">
        <f>IF($A463="","",[1]!thsiFinD("ths_adjustment_nv_fund",B$3,$A463))</f>
        <v/>
      </c>
      <c r="C463" s="13" t="str">
        <f>IF($A463="","",[1]!thsiFinD("ths_adjustment_nv_fund",C$3,$A463))</f>
        <v/>
      </c>
      <c r="D463" s="13" t="str">
        <f>IF($A463="","",[1]!thsiFinD("ths_adjustment_nv_fund",D$3,$A463))</f>
        <v/>
      </c>
      <c r="E463" s="13" t="str">
        <f>IF($A463="","",[1]!thsiFinD("ths_adjustment_nv_fund",E$3,$A463))</f>
        <v/>
      </c>
      <c r="F463" s="13" t="str">
        <f>IF($A463="","",[1]!thsiFinD("ths_adjustment_nv_fund",F$3,$A463))</f>
        <v/>
      </c>
      <c r="G463" s="13" t="str">
        <f>IF($A463="","",[1]!thsiFinD("ths_adjustment_nv_fund",G$3,$A463))</f>
        <v/>
      </c>
      <c r="H463" s="13" t="str">
        <f>IF($A463="","",[1]!thsiFinD("ths_adjustment_nv_fund",H$3,$A463))</f>
        <v/>
      </c>
      <c r="I463" s="13" t="str">
        <f>IF($A463="","",[1]!thsiFinD("ths_adjustment_nv_fund",I$3,$A463))</f>
        <v/>
      </c>
      <c r="J463" s="13" t="str">
        <f>IF($A463="","",[1]!thsiFinD("ths_adjustment_nv_fund",J$3,$A463))</f>
        <v/>
      </c>
      <c r="K463" s="13" t="str">
        <f>IF($A463="","",[1]!thsiFinD("ths_adjustment_nv_fund",K$3,$A463))</f>
        <v/>
      </c>
      <c r="L463" s="13" t="str">
        <f>IF($A463="","",[1]!thsiFinD("ths_adjustment_nv_fund",L$3,$A463))</f>
        <v/>
      </c>
      <c r="M463" s="13" t="str">
        <f>IF($A463="","",[1]!thsiFinD("ths_adjustment_nv_fund",M$3,$A463))</f>
        <v/>
      </c>
      <c r="N463" s="13" t="str">
        <f>IF($A463="","",[1]!thsiFinD("ths_adjustment_nv_fund",N$3,$A463))</f>
        <v/>
      </c>
      <c r="O463" s="13" t="str">
        <f>IF($A463="","",[1]!thsiFinD("ths_adjustment_nv_fund",O$3,$A463))</f>
        <v/>
      </c>
      <c r="P463" s="13" t="str">
        <f>IF($A463="","",[1]!thsiFinD("ths_adjustment_nv_fund",P$3,$A463))</f>
        <v/>
      </c>
      <c r="Q463" s="13" t="str">
        <f>IF($A463="","",[1]!thsiFinD("ths_adjustment_nv_fund",Q$3,$A463))</f>
        <v/>
      </c>
      <c r="R463" s="13" t="str">
        <f>IF($A463="","",[1]!thsiFinD("ths_adjustment_nv_fund",R$3,$A463))</f>
        <v/>
      </c>
      <c r="S463" s="13" t="str">
        <f>IF($A463="","",[1]!thsiFinD("ths_adjustment_nv_fund",S$3,$A463))</f>
        <v/>
      </c>
      <c r="T463" s="13" t="str">
        <f>IF($A463="","",[1]!thsiFinD("ths_adjustment_nv_fund",T$3,$A463))</f>
        <v/>
      </c>
      <c r="U463" s="13" t="str">
        <f>IF($A463="","",[1]!thsiFinD("ths_adjustment_nv_fund",U$3,$A463))</f>
        <v/>
      </c>
      <c r="V463" s="13" t="str">
        <f>IF($A463="","",[1]!thsiFinD("ths_adjustment_nv_fund",V$3,$A463))</f>
        <v/>
      </c>
      <c r="W463" s="13" t="str">
        <f>IF($A463="","",[1]!thsiFinD("ths_adjustment_nv_fund",W$3,$A463))</f>
        <v/>
      </c>
      <c r="X463" s="13" t="str">
        <f>IF($A463="","",[1]!thsiFinD("ths_adjustment_nv_fund",X$3,$A463))</f>
        <v/>
      </c>
      <c r="Y463" s="13" t="str">
        <f>IF($A463="","",[1]!thsiFinD("ths_adjustment_nv_fund",Y$3,$A463))</f>
        <v/>
      </c>
      <c r="Z463" s="13" t="str">
        <f>IF($A463="","",[1]!thsiFinD("ths_adjustment_nv_fund",Z$3,$A463))</f>
        <v/>
      </c>
      <c r="AA463" s="13" t="str">
        <f>IF($A463="","",[1]!thsiFinD("ths_adjustment_nv_fund",AA$3,$A463))</f>
        <v/>
      </c>
      <c r="AB463" s="13" t="str">
        <f>IF($A463="","",[1]!thsiFinD("ths_adjustment_nv_fund",AB$3,$A463))</f>
        <v/>
      </c>
    </row>
    <row r="464" spans="2:28">
      <c r="B464" s="13" t="str">
        <f>IF($A464="","",[1]!thsiFinD("ths_adjustment_nv_fund",B$3,$A464))</f>
        <v/>
      </c>
      <c r="C464" s="13" t="str">
        <f>IF($A464="","",[1]!thsiFinD("ths_adjustment_nv_fund",C$3,$A464))</f>
        <v/>
      </c>
      <c r="D464" s="13" t="str">
        <f>IF($A464="","",[1]!thsiFinD("ths_adjustment_nv_fund",D$3,$A464))</f>
        <v/>
      </c>
      <c r="E464" s="13" t="str">
        <f>IF($A464="","",[1]!thsiFinD("ths_adjustment_nv_fund",E$3,$A464))</f>
        <v/>
      </c>
      <c r="F464" s="13" t="str">
        <f>IF($A464="","",[1]!thsiFinD("ths_adjustment_nv_fund",F$3,$A464))</f>
        <v/>
      </c>
      <c r="G464" s="13" t="str">
        <f>IF($A464="","",[1]!thsiFinD("ths_adjustment_nv_fund",G$3,$A464))</f>
        <v/>
      </c>
      <c r="H464" s="13" t="str">
        <f>IF($A464="","",[1]!thsiFinD("ths_adjustment_nv_fund",H$3,$A464))</f>
        <v/>
      </c>
      <c r="I464" s="13" t="str">
        <f>IF($A464="","",[1]!thsiFinD("ths_adjustment_nv_fund",I$3,$A464))</f>
        <v/>
      </c>
      <c r="J464" s="13" t="str">
        <f>IF($A464="","",[1]!thsiFinD("ths_adjustment_nv_fund",J$3,$A464))</f>
        <v/>
      </c>
      <c r="K464" s="13" t="str">
        <f>IF($A464="","",[1]!thsiFinD("ths_adjustment_nv_fund",K$3,$A464))</f>
        <v/>
      </c>
      <c r="L464" s="13" t="str">
        <f>IF($A464="","",[1]!thsiFinD("ths_adjustment_nv_fund",L$3,$A464))</f>
        <v/>
      </c>
      <c r="M464" s="13" t="str">
        <f>IF($A464="","",[1]!thsiFinD("ths_adjustment_nv_fund",M$3,$A464))</f>
        <v/>
      </c>
      <c r="N464" s="13" t="str">
        <f>IF($A464="","",[1]!thsiFinD("ths_adjustment_nv_fund",N$3,$A464))</f>
        <v/>
      </c>
      <c r="O464" s="13" t="str">
        <f>IF($A464="","",[1]!thsiFinD("ths_adjustment_nv_fund",O$3,$A464))</f>
        <v/>
      </c>
      <c r="P464" s="13" t="str">
        <f>IF($A464="","",[1]!thsiFinD("ths_adjustment_nv_fund",P$3,$A464))</f>
        <v/>
      </c>
      <c r="Q464" s="13" t="str">
        <f>IF($A464="","",[1]!thsiFinD("ths_adjustment_nv_fund",Q$3,$A464))</f>
        <v/>
      </c>
      <c r="R464" s="13" t="str">
        <f>IF($A464="","",[1]!thsiFinD("ths_adjustment_nv_fund",R$3,$A464))</f>
        <v/>
      </c>
      <c r="S464" s="13" t="str">
        <f>IF($A464="","",[1]!thsiFinD("ths_adjustment_nv_fund",S$3,$A464))</f>
        <v/>
      </c>
      <c r="T464" s="13" t="str">
        <f>IF($A464="","",[1]!thsiFinD("ths_adjustment_nv_fund",T$3,$A464))</f>
        <v/>
      </c>
      <c r="U464" s="13" t="str">
        <f>IF($A464="","",[1]!thsiFinD("ths_adjustment_nv_fund",U$3,$A464))</f>
        <v/>
      </c>
      <c r="V464" s="13" t="str">
        <f>IF($A464="","",[1]!thsiFinD("ths_adjustment_nv_fund",V$3,$A464))</f>
        <v/>
      </c>
      <c r="W464" s="13" t="str">
        <f>IF($A464="","",[1]!thsiFinD("ths_adjustment_nv_fund",W$3,$A464))</f>
        <v/>
      </c>
      <c r="X464" s="13" t="str">
        <f>IF($A464="","",[1]!thsiFinD("ths_adjustment_nv_fund",X$3,$A464))</f>
        <v/>
      </c>
      <c r="Y464" s="13" t="str">
        <f>IF($A464="","",[1]!thsiFinD("ths_adjustment_nv_fund",Y$3,$A464))</f>
        <v/>
      </c>
      <c r="Z464" s="13" t="str">
        <f>IF($A464="","",[1]!thsiFinD("ths_adjustment_nv_fund",Z$3,$A464))</f>
        <v/>
      </c>
      <c r="AA464" s="13" t="str">
        <f>IF($A464="","",[1]!thsiFinD("ths_adjustment_nv_fund",AA$3,$A464))</f>
        <v/>
      </c>
      <c r="AB464" s="13" t="str">
        <f>IF($A464="","",[1]!thsiFinD("ths_adjustment_nv_fund",AB$3,$A464))</f>
        <v/>
      </c>
    </row>
    <row r="465" spans="2:28">
      <c r="B465" s="13" t="str">
        <f>IF($A465="","",[1]!thsiFinD("ths_adjustment_nv_fund",B$3,$A465))</f>
        <v/>
      </c>
      <c r="C465" s="13" t="str">
        <f>IF($A465="","",[1]!thsiFinD("ths_adjustment_nv_fund",C$3,$A465))</f>
        <v/>
      </c>
      <c r="D465" s="13" t="str">
        <f>IF($A465="","",[1]!thsiFinD("ths_adjustment_nv_fund",D$3,$A465))</f>
        <v/>
      </c>
      <c r="E465" s="13" t="str">
        <f>IF($A465="","",[1]!thsiFinD("ths_adjustment_nv_fund",E$3,$A465))</f>
        <v/>
      </c>
      <c r="F465" s="13" t="str">
        <f>IF($A465="","",[1]!thsiFinD("ths_adjustment_nv_fund",F$3,$A465))</f>
        <v/>
      </c>
      <c r="G465" s="13" t="str">
        <f>IF($A465="","",[1]!thsiFinD("ths_adjustment_nv_fund",G$3,$A465))</f>
        <v/>
      </c>
      <c r="H465" s="13" t="str">
        <f>IF($A465="","",[1]!thsiFinD("ths_adjustment_nv_fund",H$3,$A465))</f>
        <v/>
      </c>
      <c r="I465" s="13" t="str">
        <f>IF($A465="","",[1]!thsiFinD("ths_adjustment_nv_fund",I$3,$A465))</f>
        <v/>
      </c>
      <c r="J465" s="13" t="str">
        <f>IF($A465="","",[1]!thsiFinD("ths_adjustment_nv_fund",J$3,$A465))</f>
        <v/>
      </c>
      <c r="K465" s="13" t="str">
        <f>IF($A465="","",[1]!thsiFinD("ths_adjustment_nv_fund",K$3,$A465))</f>
        <v/>
      </c>
      <c r="L465" s="13" t="str">
        <f>IF($A465="","",[1]!thsiFinD("ths_adjustment_nv_fund",L$3,$A465))</f>
        <v/>
      </c>
      <c r="M465" s="13" t="str">
        <f>IF($A465="","",[1]!thsiFinD("ths_adjustment_nv_fund",M$3,$A465))</f>
        <v/>
      </c>
      <c r="N465" s="13" t="str">
        <f>IF($A465="","",[1]!thsiFinD("ths_adjustment_nv_fund",N$3,$A465))</f>
        <v/>
      </c>
      <c r="O465" s="13" t="str">
        <f>IF($A465="","",[1]!thsiFinD("ths_adjustment_nv_fund",O$3,$A465))</f>
        <v/>
      </c>
      <c r="P465" s="13" t="str">
        <f>IF($A465="","",[1]!thsiFinD("ths_adjustment_nv_fund",P$3,$A465))</f>
        <v/>
      </c>
      <c r="Q465" s="13" t="str">
        <f>IF($A465="","",[1]!thsiFinD("ths_adjustment_nv_fund",Q$3,$A465))</f>
        <v/>
      </c>
      <c r="R465" s="13" t="str">
        <f>IF($A465="","",[1]!thsiFinD("ths_adjustment_nv_fund",R$3,$A465))</f>
        <v/>
      </c>
      <c r="S465" s="13" t="str">
        <f>IF($A465="","",[1]!thsiFinD("ths_adjustment_nv_fund",S$3,$A465))</f>
        <v/>
      </c>
      <c r="T465" s="13" t="str">
        <f>IF($A465="","",[1]!thsiFinD("ths_adjustment_nv_fund",T$3,$A465))</f>
        <v/>
      </c>
      <c r="U465" s="13" t="str">
        <f>IF($A465="","",[1]!thsiFinD("ths_adjustment_nv_fund",U$3,$A465))</f>
        <v/>
      </c>
      <c r="V465" s="13" t="str">
        <f>IF($A465="","",[1]!thsiFinD("ths_adjustment_nv_fund",V$3,$A465))</f>
        <v/>
      </c>
      <c r="W465" s="13" t="str">
        <f>IF($A465="","",[1]!thsiFinD("ths_adjustment_nv_fund",W$3,$A465))</f>
        <v/>
      </c>
      <c r="X465" s="13" t="str">
        <f>IF($A465="","",[1]!thsiFinD("ths_adjustment_nv_fund",X$3,$A465))</f>
        <v/>
      </c>
      <c r="Y465" s="13" t="str">
        <f>IF($A465="","",[1]!thsiFinD("ths_adjustment_nv_fund",Y$3,$A465))</f>
        <v/>
      </c>
      <c r="Z465" s="13" t="str">
        <f>IF($A465="","",[1]!thsiFinD("ths_adjustment_nv_fund",Z$3,$A465))</f>
        <v/>
      </c>
      <c r="AA465" s="13" t="str">
        <f>IF($A465="","",[1]!thsiFinD("ths_adjustment_nv_fund",AA$3,$A465))</f>
        <v/>
      </c>
      <c r="AB465" s="13" t="str">
        <f>IF($A465="","",[1]!thsiFinD("ths_adjustment_nv_fund",AB$3,$A465))</f>
        <v/>
      </c>
    </row>
    <row r="466" spans="2:28">
      <c r="B466" s="13" t="str">
        <f>IF($A466="","",[1]!thsiFinD("ths_adjustment_nv_fund",B$3,$A466))</f>
        <v/>
      </c>
      <c r="C466" s="13" t="str">
        <f>IF($A466="","",[1]!thsiFinD("ths_adjustment_nv_fund",C$3,$A466))</f>
        <v/>
      </c>
      <c r="D466" s="13" t="str">
        <f>IF($A466="","",[1]!thsiFinD("ths_adjustment_nv_fund",D$3,$A466))</f>
        <v/>
      </c>
      <c r="E466" s="13" t="str">
        <f>IF($A466="","",[1]!thsiFinD("ths_adjustment_nv_fund",E$3,$A466))</f>
        <v/>
      </c>
      <c r="F466" s="13" t="str">
        <f>IF($A466="","",[1]!thsiFinD("ths_adjustment_nv_fund",F$3,$A466))</f>
        <v/>
      </c>
      <c r="G466" s="13" t="str">
        <f>IF($A466="","",[1]!thsiFinD("ths_adjustment_nv_fund",G$3,$A466))</f>
        <v/>
      </c>
      <c r="H466" s="13" t="str">
        <f>IF($A466="","",[1]!thsiFinD("ths_adjustment_nv_fund",H$3,$A466))</f>
        <v/>
      </c>
      <c r="I466" s="13" t="str">
        <f>IF($A466="","",[1]!thsiFinD("ths_adjustment_nv_fund",I$3,$A466))</f>
        <v/>
      </c>
      <c r="J466" s="13" t="str">
        <f>IF($A466="","",[1]!thsiFinD("ths_adjustment_nv_fund",J$3,$A466))</f>
        <v/>
      </c>
      <c r="K466" s="13" t="str">
        <f>IF($A466="","",[1]!thsiFinD("ths_adjustment_nv_fund",K$3,$A466))</f>
        <v/>
      </c>
      <c r="L466" s="13" t="str">
        <f>IF($A466="","",[1]!thsiFinD("ths_adjustment_nv_fund",L$3,$A466))</f>
        <v/>
      </c>
      <c r="M466" s="13" t="str">
        <f>IF($A466="","",[1]!thsiFinD("ths_adjustment_nv_fund",M$3,$A466))</f>
        <v/>
      </c>
      <c r="N466" s="13" t="str">
        <f>IF($A466="","",[1]!thsiFinD("ths_adjustment_nv_fund",N$3,$A466))</f>
        <v/>
      </c>
      <c r="O466" s="13" t="str">
        <f>IF($A466="","",[1]!thsiFinD("ths_adjustment_nv_fund",O$3,$A466))</f>
        <v/>
      </c>
      <c r="P466" s="13" t="str">
        <f>IF($A466="","",[1]!thsiFinD("ths_adjustment_nv_fund",P$3,$A466))</f>
        <v/>
      </c>
      <c r="Q466" s="13" t="str">
        <f>IF($A466="","",[1]!thsiFinD("ths_adjustment_nv_fund",Q$3,$A466))</f>
        <v/>
      </c>
      <c r="R466" s="13" t="str">
        <f>IF($A466="","",[1]!thsiFinD("ths_adjustment_nv_fund",R$3,$A466))</f>
        <v/>
      </c>
      <c r="S466" s="13" t="str">
        <f>IF($A466="","",[1]!thsiFinD("ths_adjustment_nv_fund",S$3,$A466))</f>
        <v/>
      </c>
      <c r="T466" s="13" t="str">
        <f>IF($A466="","",[1]!thsiFinD("ths_adjustment_nv_fund",T$3,$A466))</f>
        <v/>
      </c>
      <c r="U466" s="13" t="str">
        <f>IF($A466="","",[1]!thsiFinD("ths_adjustment_nv_fund",U$3,$A466))</f>
        <v/>
      </c>
      <c r="V466" s="13" t="str">
        <f>IF($A466="","",[1]!thsiFinD("ths_adjustment_nv_fund",V$3,$A466))</f>
        <v/>
      </c>
      <c r="W466" s="13" t="str">
        <f>IF($A466="","",[1]!thsiFinD("ths_adjustment_nv_fund",W$3,$A466))</f>
        <v/>
      </c>
      <c r="X466" s="13" t="str">
        <f>IF($A466="","",[1]!thsiFinD("ths_adjustment_nv_fund",X$3,$A466))</f>
        <v/>
      </c>
      <c r="Y466" s="13" t="str">
        <f>IF($A466="","",[1]!thsiFinD("ths_adjustment_nv_fund",Y$3,$A466))</f>
        <v/>
      </c>
      <c r="Z466" s="13" t="str">
        <f>IF($A466="","",[1]!thsiFinD("ths_adjustment_nv_fund",Z$3,$A466))</f>
        <v/>
      </c>
      <c r="AA466" s="13" t="str">
        <f>IF($A466="","",[1]!thsiFinD("ths_adjustment_nv_fund",AA$3,$A466))</f>
        <v/>
      </c>
      <c r="AB466" s="13" t="str">
        <f>IF($A466="","",[1]!thsiFinD("ths_adjustment_nv_fund",AB$3,$A466))</f>
        <v/>
      </c>
    </row>
    <row r="467" spans="2:28">
      <c r="B467" s="13" t="str">
        <f>IF($A467="","",[1]!thsiFinD("ths_adjustment_nv_fund",B$3,$A467))</f>
        <v/>
      </c>
      <c r="C467" s="13" t="str">
        <f>IF($A467="","",[1]!thsiFinD("ths_adjustment_nv_fund",C$3,$A467))</f>
        <v/>
      </c>
      <c r="D467" s="13" t="str">
        <f>IF($A467="","",[1]!thsiFinD("ths_adjustment_nv_fund",D$3,$A467))</f>
        <v/>
      </c>
      <c r="E467" s="13" t="str">
        <f>IF($A467="","",[1]!thsiFinD("ths_adjustment_nv_fund",E$3,$A467))</f>
        <v/>
      </c>
      <c r="F467" s="13" t="str">
        <f>IF($A467="","",[1]!thsiFinD("ths_adjustment_nv_fund",F$3,$A467))</f>
        <v/>
      </c>
      <c r="G467" s="13" t="str">
        <f>IF($A467="","",[1]!thsiFinD("ths_adjustment_nv_fund",G$3,$A467))</f>
        <v/>
      </c>
      <c r="H467" s="13" t="str">
        <f>IF($A467="","",[1]!thsiFinD("ths_adjustment_nv_fund",H$3,$A467))</f>
        <v/>
      </c>
      <c r="I467" s="13" t="str">
        <f>IF($A467="","",[1]!thsiFinD("ths_adjustment_nv_fund",I$3,$A467))</f>
        <v/>
      </c>
      <c r="J467" s="13" t="str">
        <f>IF($A467="","",[1]!thsiFinD("ths_adjustment_nv_fund",J$3,$A467))</f>
        <v/>
      </c>
      <c r="K467" s="13" t="str">
        <f>IF($A467="","",[1]!thsiFinD("ths_adjustment_nv_fund",K$3,$A467))</f>
        <v/>
      </c>
      <c r="L467" s="13" t="str">
        <f>IF($A467="","",[1]!thsiFinD("ths_adjustment_nv_fund",L$3,$A467))</f>
        <v/>
      </c>
      <c r="M467" s="13" t="str">
        <f>IF($A467="","",[1]!thsiFinD("ths_adjustment_nv_fund",M$3,$A467))</f>
        <v/>
      </c>
      <c r="N467" s="13" t="str">
        <f>IF($A467="","",[1]!thsiFinD("ths_adjustment_nv_fund",N$3,$A467))</f>
        <v/>
      </c>
      <c r="O467" s="13" t="str">
        <f>IF($A467="","",[1]!thsiFinD("ths_adjustment_nv_fund",O$3,$A467))</f>
        <v/>
      </c>
      <c r="P467" s="13" t="str">
        <f>IF($A467="","",[1]!thsiFinD("ths_adjustment_nv_fund",P$3,$A467))</f>
        <v/>
      </c>
      <c r="Q467" s="13" t="str">
        <f>IF($A467="","",[1]!thsiFinD("ths_adjustment_nv_fund",Q$3,$A467))</f>
        <v/>
      </c>
      <c r="R467" s="13" t="str">
        <f>IF($A467="","",[1]!thsiFinD("ths_adjustment_nv_fund",R$3,$A467))</f>
        <v/>
      </c>
      <c r="S467" s="13" t="str">
        <f>IF($A467="","",[1]!thsiFinD("ths_adjustment_nv_fund",S$3,$A467))</f>
        <v/>
      </c>
      <c r="T467" s="13" t="str">
        <f>IF($A467="","",[1]!thsiFinD("ths_adjustment_nv_fund",T$3,$A467))</f>
        <v/>
      </c>
      <c r="U467" s="13" t="str">
        <f>IF($A467="","",[1]!thsiFinD("ths_adjustment_nv_fund",U$3,$A467))</f>
        <v/>
      </c>
      <c r="V467" s="13" t="str">
        <f>IF($A467="","",[1]!thsiFinD("ths_adjustment_nv_fund",V$3,$A467))</f>
        <v/>
      </c>
      <c r="W467" s="13" t="str">
        <f>IF($A467="","",[1]!thsiFinD("ths_adjustment_nv_fund",W$3,$A467))</f>
        <v/>
      </c>
      <c r="X467" s="13" t="str">
        <f>IF($A467="","",[1]!thsiFinD("ths_adjustment_nv_fund",X$3,$A467))</f>
        <v/>
      </c>
      <c r="Y467" s="13" t="str">
        <f>IF($A467="","",[1]!thsiFinD("ths_adjustment_nv_fund",Y$3,$A467))</f>
        <v/>
      </c>
      <c r="Z467" s="13" t="str">
        <f>IF($A467="","",[1]!thsiFinD("ths_adjustment_nv_fund",Z$3,$A467))</f>
        <v/>
      </c>
      <c r="AA467" s="13" t="str">
        <f>IF($A467="","",[1]!thsiFinD("ths_adjustment_nv_fund",AA$3,$A467))</f>
        <v/>
      </c>
      <c r="AB467" s="13" t="str">
        <f>IF($A467="","",[1]!thsiFinD("ths_adjustment_nv_fund",AB$3,$A467))</f>
        <v/>
      </c>
    </row>
    <row r="468" spans="2:28">
      <c r="B468" s="13" t="str">
        <f>IF($A468="","",[1]!thsiFinD("ths_adjustment_nv_fund",B$3,$A468))</f>
        <v/>
      </c>
      <c r="C468" s="13" t="str">
        <f>IF($A468="","",[1]!thsiFinD("ths_adjustment_nv_fund",C$3,$A468))</f>
        <v/>
      </c>
      <c r="D468" s="13" t="str">
        <f>IF($A468="","",[1]!thsiFinD("ths_adjustment_nv_fund",D$3,$A468))</f>
        <v/>
      </c>
      <c r="E468" s="13" t="str">
        <f>IF($A468="","",[1]!thsiFinD("ths_adjustment_nv_fund",E$3,$A468))</f>
        <v/>
      </c>
      <c r="F468" s="13" t="str">
        <f>IF($A468="","",[1]!thsiFinD("ths_adjustment_nv_fund",F$3,$A468))</f>
        <v/>
      </c>
      <c r="G468" s="13" t="str">
        <f>IF($A468="","",[1]!thsiFinD("ths_adjustment_nv_fund",G$3,$A468))</f>
        <v/>
      </c>
      <c r="H468" s="13" t="str">
        <f>IF($A468="","",[1]!thsiFinD("ths_adjustment_nv_fund",H$3,$A468))</f>
        <v/>
      </c>
      <c r="I468" s="13" t="str">
        <f>IF($A468="","",[1]!thsiFinD("ths_adjustment_nv_fund",I$3,$A468))</f>
        <v/>
      </c>
      <c r="J468" s="13" t="str">
        <f>IF($A468="","",[1]!thsiFinD("ths_adjustment_nv_fund",J$3,$A468))</f>
        <v/>
      </c>
      <c r="K468" s="13" t="str">
        <f>IF($A468="","",[1]!thsiFinD("ths_adjustment_nv_fund",K$3,$A468))</f>
        <v/>
      </c>
      <c r="L468" s="13" t="str">
        <f>IF($A468="","",[1]!thsiFinD("ths_adjustment_nv_fund",L$3,$A468))</f>
        <v/>
      </c>
      <c r="M468" s="13" t="str">
        <f>IF($A468="","",[1]!thsiFinD("ths_adjustment_nv_fund",M$3,$A468))</f>
        <v/>
      </c>
      <c r="N468" s="13" t="str">
        <f>IF($A468="","",[1]!thsiFinD("ths_adjustment_nv_fund",N$3,$A468))</f>
        <v/>
      </c>
      <c r="O468" s="13" t="str">
        <f>IF($A468="","",[1]!thsiFinD("ths_adjustment_nv_fund",O$3,$A468))</f>
        <v/>
      </c>
      <c r="P468" s="13" t="str">
        <f>IF($A468="","",[1]!thsiFinD("ths_adjustment_nv_fund",P$3,$A468))</f>
        <v/>
      </c>
      <c r="Q468" s="13" t="str">
        <f>IF($A468="","",[1]!thsiFinD("ths_adjustment_nv_fund",Q$3,$A468))</f>
        <v/>
      </c>
      <c r="R468" s="13" t="str">
        <f>IF($A468="","",[1]!thsiFinD("ths_adjustment_nv_fund",R$3,$A468))</f>
        <v/>
      </c>
      <c r="S468" s="13" t="str">
        <f>IF($A468="","",[1]!thsiFinD("ths_adjustment_nv_fund",S$3,$A468))</f>
        <v/>
      </c>
      <c r="T468" s="13" t="str">
        <f>IF($A468="","",[1]!thsiFinD("ths_adjustment_nv_fund",T$3,$A468))</f>
        <v/>
      </c>
      <c r="U468" s="13" t="str">
        <f>IF($A468="","",[1]!thsiFinD("ths_adjustment_nv_fund",U$3,$A468))</f>
        <v/>
      </c>
      <c r="V468" s="13" t="str">
        <f>IF($A468="","",[1]!thsiFinD("ths_adjustment_nv_fund",V$3,$A468))</f>
        <v/>
      </c>
      <c r="W468" s="13" t="str">
        <f>IF($A468="","",[1]!thsiFinD("ths_adjustment_nv_fund",W$3,$A468))</f>
        <v/>
      </c>
      <c r="X468" s="13" t="str">
        <f>IF($A468="","",[1]!thsiFinD("ths_adjustment_nv_fund",X$3,$A468))</f>
        <v/>
      </c>
      <c r="Y468" s="13" t="str">
        <f>IF($A468="","",[1]!thsiFinD("ths_adjustment_nv_fund",Y$3,$A468))</f>
        <v/>
      </c>
      <c r="Z468" s="13" t="str">
        <f>IF($A468="","",[1]!thsiFinD("ths_adjustment_nv_fund",Z$3,$A468))</f>
        <v/>
      </c>
      <c r="AA468" s="13" t="str">
        <f>IF($A468="","",[1]!thsiFinD("ths_adjustment_nv_fund",AA$3,$A468))</f>
        <v/>
      </c>
      <c r="AB468" s="13" t="str">
        <f>IF($A468="","",[1]!thsiFinD("ths_adjustment_nv_fund",AB$3,$A468))</f>
        <v/>
      </c>
    </row>
    <row r="469" spans="2:28">
      <c r="B469" s="13" t="str">
        <f>IF($A469="","",[1]!thsiFinD("ths_adjustment_nv_fund",B$3,$A469))</f>
        <v/>
      </c>
      <c r="C469" s="13" t="str">
        <f>IF($A469="","",[1]!thsiFinD("ths_adjustment_nv_fund",C$3,$A469))</f>
        <v/>
      </c>
      <c r="D469" s="13" t="str">
        <f>IF($A469="","",[1]!thsiFinD("ths_adjustment_nv_fund",D$3,$A469))</f>
        <v/>
      </c>
      <c r="E469" s="13" t="str">
        <f>IF($A469="","",[1]!thsiFinD("ths_adjustment_nv_fund",E$3,$A469))</f>
        <v/>
      </c>
      <c r="F469" s="13" t="str">
        <f>IF($A469="","",[1]!thsiFinD("ths_adjustment_nv_fund",F$3,$A469))</f>
        <v/>
      </c>
      <c r="G469" s="13" t="str">
        <f>IF($A469="","",[1]!thsiFinD("ths_adjustment_nv_fund",G$3,$A469))</f>
        <v/>
      </c>
      <c r="H469" s="13" t="str">
        <f>IF($A469="","",[1]!thsiFinD("ths_adjustment_nv_fund",H$3,$A469))</f>
        <v/>
      </c>
      <c r="I469" s="13" t="str">
        <f>IF($A469="","",[1]!thsiFinD("ths_adjustment_nv_fund",I$3,$A469))</f>
        <v/>
      </c>
      <c r="J469" s="13" t="str">
        <f>IF($A469="","",[1]!thsiFinD("ths_adjustment_nv_fund",J$3,$A469))</f>
        <v/>
      </c>
      <c r="K469" s="13" t="str">
        <f>IF($A469="","",[1]!thsiFinD("ths_adjustment_nv_fund",K$3,$A469))</f>
        <v/>
      </c>
      <c r="L469" s="13" t="str">
        <f>IF($A469="","",[1]!thsiFinD("ths_adjustment_nv_fund",L$3,$A469))</f>
        <v/>
      </c>
      <c r="M469" s="13" t="str">
        <f>IF($A469="","",[1]!thsiFinD("ths_adjustment_nv_fund",M$3,$A469))</f>
        <v/>
      </c>
      <c r="N469" s="13" t="str">
        <f>IF($A469="","",[1]!thsiFinD("ths_adjustment_nv_fund",N$3,$A469))</f>
        <v/>
      </c>
      <c r="O469" s="13" t="str">
        <f>IF($A469="","",[1]!thsiFinD("ths_adjustment_nv_fund",O$3,$A469))</f>
        <v/>
      </c>
      <c r="P469" s="13" t="str">
        <f>IF($A469="","",[1]!thsiFinD("ths_adjustment_nv_fund",P$3,$A469))</f>
        <v/>
      </c>
      <c r="Q469" s="13" t="str">
        <f>IF($A469="","",[1]!thsiFinD("ths_adjustment_nv_fund",Q$3,$A469))</f>
        <v/>
      </c>
      <c r="R469" s="13" t="str">
        <f>IF($A469="","",[1]!thsiFinD("ths_adjustment_nv_fund",R$3,$A469))</f>
        <v/>
      </c>
      <c r="S469" s="13" t="str">
        <f>IF($A469="","",[1]!thsiFinD("ths_adjustment_nv_fund",S$3,$A469))</f>
        <v/>
      </c>
      <c r="T469" s="13" t="str">
        <f>IF($A469="","",[1]!thsiFinD("ths_adjustment_nv_fund",T$3,$A469))</f>
        <v/>
      </c>
      <c r="U469" s="13" t="str">
        <f>IF($A469="","",[1]!thsiFinD("ths_adjustment_nv_fund",U$3,$A469))</f>
        <v/>
      </c>
      <c r="V469" s="13" t="str">
        <f>IF($A469="","",[1]!thsiFinD("ths_adjustment_nv_fund",V$3,$A469))</f>
        <v/>
      </c>
      <c r="W469" s="13" t="str">
        <f>IF($A469="","",[1]!thsiFinD("ths_adjustment_nv_fund",W$3,$A469))</f>
        <v/>
      </c>
      <c r="X469" s="13" t="str">
        <f>IF($A469="","",[1]!thsiFinD("ths_adjustment_nv_fund",X$3,$A469))</f>
        <v/>
      </c>
      <c r="Y469" s="13" t="str">
        <f>IF($A469="","",[1]!thsiFinD("ths_adjustment_nv_fund",Y$3,$A469))</f>
        <v/>
      </c>
      <c r="Z469" s="13" t="str">
        <f>IF($A469="","",[1]!thsiFinD("ths_adjustment_nv_fund",Z$3,$A469))</f>
        <v/>
      </c>
      <c r="AA469" s="13" t="str">
        <f>IF($A469="","",[1]!thsiFinD("ths_adjustment_nv_fund",AA$3,$A469))</f>
        <v/>
      </c>
      <c r="AB469" s="13" t="str">
        <f>IF($A469="","",[1]!thsiFinD("ths_adjustment_nv_fund",AB$3,$A469))</f>
        <v/>
      </c>
    </row>
    <row r="470" spans="2:28">
      <c r="B470" s="13" t="str">
        <f>IF($A470="","",[1]!thsiFinD("ths_adjustment_nv_fund",B$3,$A470))</f>
        <v/>
      </c>
      <c r="C470" s="13" t="str">
        <f>IF($A470="","",[1]!thsiFinD("ths_adjustment_nv_fund",C$3,$A470))</f>
        <v/>
      </c>
      <c r="D470" s="13" t="str">
        <f>IF($A470="","",[1]!thsiFinD("ths_adjustment_nv_fund",D$3,$A470))</f>
        <v/>
      </c>
      <c r="E470" s="13" t="str">
        <f>IF($A470="","",[1]!thsiFinD("ths_adjustment_nv_fund",E$3,$A470))</f>
        <v/>
      </c>
      <c r="F470" s="13" t="str">
        <f>IF($A470="","",[1]!thsiFinD("ths_adjustment_nv_fund",F$3,$A470))</f>
        <v/>
      </c>
      <c r="G470" s="13" t="str">
        <f>IF($A470="","",[1]!thsiFinD("ths_adjustment_nv_fund",G$3,$A470))</f>
        <v/>
      </c>
      <c r="H470" s="13" t="str">
        <f>IF($A470="","",[1]!thsiFinD("ths_adjustment_nv_fund",H$3,$A470))</f>
        <v/>
      </c>
      <c r="I470" s="13" t="str">
        <f>IF($A470="","",[1]!thsiFinD("ths_adjustment_nv_fund",I$3,$A470))</f>
        <v/>
      </c>
      <c r="J470" s="13" t="str">
        <f>IF($A470="","",[1]!thsiFinD("ths_adjustment_nv_fund",J$3,$A470))</f>
        <v/>
      </c>
      <c r="K470" s="13" t="str">
        <f>IF($A470="","",[1]!thsiFinD("ths_adjustment_nv_fund",K$3,$A470))</f>
        <v/>
      </c>
      <c r="L470" s="13" t="str">
        <f>IF($A470="","",[1]!thsiFinD("ths_adjustment_nv_fund",L$3,$A470))</f>
        <v/>
      </c>
      <c r="M470" s="13" t="str">
        <f>IF($A470="","",[1]!thsiFinD("ths_adjustment_nv_fund",M$3,$A470))</f>
        <v/>
      </c>
      <c r="N470" s="13" t="str">
        <f>IF($A470="","",[1]!thsiFinD("ths_adjustment_nv_fund",N$3,$A470))</f>
        <v/>
      </c>
      <c r="O470" s="13" t="str">
        <f>IF($A470="","",[1]!thsiFinD("ths_adjustment_nv_fund",O$3,$A470))</f>
        <v/>
      </c>
      <c r="P470" s="13" t="str">
        <f>IF($A470="","",[1]!thsiFinD("ths_adjustment_nv_fund",P$3,$A470))</f>
        <v/>
      </c>
      <c r="Q470" s="13" t="str">
        <f>IF($A470="","",[1]!thsiFinD("ths_adjustment_nv_fund",Q$3,$A470))</f>
        <v/>
      </c>
      <c r="R470" s="13" t="str">
        <f>IF($A470="","",[1]!thsiFinD("ths_adjustment_nv_fund",R$3,$A470))</f>
        <v/>
      </c>
      <c r="S470" s="13" t="str">
        <f>IF($A470="","",[1]!thsiFinD("ths_adjustment_nv_fund",S$3,$A470))</f>
        <v/>
      </c>
      <c r="T470" s="13" t="str">
        <f>IF($A470="","",[1]!thsiFinD("ths_adjustment_nv_fund",T$3,$A470))</f>
        <v/>
      </c>
      <c r="U470" s="13" t="str">
        <f>IF($A470="","",[1]!thsiFinD("ths_adjustment_nv_fund",U$3,$A470))</f>
        <v/>
      </c>
      <c r="V470" s="13" t="str">
        <f>IF($A470="","",[1]!thsiFinD("ths_adjustment_nv_fund",V$3,$A470))</f>
        <v/>
      </c>
      <c r="W470" s="13" t="str">
        <f>IF($A470="","",[1]!thsiFinD("ths_adjustment_nv_fund",W$3,$A470))</f>
        <v/>
      </c>
      <c r="X470" s="13" t="str">
        <f>IF($A470="","",[1]!thsiFinD("ths_adjustment_nv_fund",X$3,$A470))</f>
        <v/>
      </c>
      <c r="Y470" s="13" t="str">
        <f>IF($A470="","",[1]!thsiFinD("ths_adjustment_nv_fund",Y$3,$A470))</f>
        <v/>
      </c>
      <c r="Z470" s="13" t="str">
        <f>IF($A470="","",[1]!thsiFinD("ths_adjustment_nv_fund",Z$3,$A470))</f>
        <v/>
      </c>
      <c r="AA470" s="13" t="str">
        <f>IF($A470="","",[1]!thsiFinD("ths_adjustment_nv_fund",AA$3,$A470))</f>
        <v/>
      </c>
      <c r="AB470" s="13" t="str">
        <f>IF($A470="","",[1]!thsiFinD("ths_adjustment_nv_fund",AB$3,$A470))</f>
        <v/>
      </c>
    </row>
    <row r="471" spans="2:28">
      <c r="B471" s="13" t="str">
        <f>IF($A471="","",[1]!thsiFinD("ths_adjustment_nv_fund",B$3,$A471))</f>
        <v/>
      </c>
      <c r="C471" s="13" t="str">
        <f>IF($A471="","",[1]!thsiFinD("ths_adjustment_nv_fund",C$3,$A471))</f>
        <v/>
      </c>
      <c r="D471" s="13" t="str">
        <f>IF($A471="","",[1]!thsiFinD("ths_adjustment_nv_fund",D$3,$A471))</f>
        <v/>
      </c>
      <c r="E471" s="13" t="str">
        <f>IF($A471="","",[1]!thsiFinD("ths_adjustment_nv_fund",E$3,$A471))</f>
        <v/>
      </c>
      <c r="F471" s="13" t="str">
        <f>IF($A471="","",[1]!thsiFinD("ths_adjustment_nv_fund",F$3,$A471))</f>
        <v/>
      </c>
      <c r="G471" s="13" t="str">
        <f>IF($A471="","",[1]!thsiFinD("ths_adjustment_nv_fund",G$3,$A471))</f>
        <v/>
      </c>
      <c r="H471" s="13" t="str">
        <f>IF($A471="","",[1]!thsiFinD("ths_adjustment_nv_fund",H$3,$A471))</f>
        <v/>
      </c>
      <c r="I471" s="13" t="str">
        <f>IF($A471="","",[1]!thsiFinD("ths_adjustment_nv_fund",I$3,$A471))</f>
        <v/>
      </c>
      <c r="J471" s="13" t="str">
        <f>IF($A471="","",[1]!thsiFinD("ths_adjustment_nv_fund",J$3,$A471))</f>
        <v/>
      </c>
      <c r="K471" s="13" t="str">
        <f>IF($A471="","",[1]!thsiFinD("ths_adjustment_nv_fund",K$3,$A471))</f>
        <v/>
      </c>
      <c r="L471" s="13" t="str">
        <f>IF($A471="","",[1]!thsiFinD("ths_adjustment_nv_fund",L$3,$A471))</f>
        <v/>
      </c>
      <c r="M471" s="13" t="str">
        <f>IF($A471="","",[1]!thsiFinD("ths_adjustment_nv_fund",M$3,$A471))</f>
        <v/>
      </c>
      <c r="N471" s="13" t="str">
        <f>IF($A471="","",[1]!thsiFinD("ths_adjustment_nv_fund",N$3,$A471))</f>
        <v/>
      </c>
      <c r="O471" s="13" t="str">
        <f>IF($A471="","",[1]!thsiFinD("ths_adjustment_nv_fund",O$3,$A471))</f>
        <v/>
      </c>
      <c r="P471" s="13" t="str">
        <f>IF($A471="","",[1]!thsiFinD("ths_adjustment_nv_fund",P$3,$A471))</f>
        <v/>
      </c>
      <c r="Q471" s="13" t="str">
        <f>IF($A471="","",[1]!thsiFinD("ths_adjustment_nv_fund",Q$3,$A471))</f>
        <v/>
      </c>
      <c r="R471" s="13" t="str">
        <f>IF($A471="","",[1]!thsiFinD("ths_adjustment_nv_fund",R$3,$A471))</f>
        <v/>
      </c>
      <c r="S471" s="13" t="str">
        <f>IF($A471="","",[1]!thsiFinD("ths_adjustment_nv_fund",S$3,$A471))</f>
        <v/>
      </c>
      <c r="T471" s="13" t="str">
        <f>IF($A471="","",[1]!thsiFinD("ths_adjustment_nv_fund",T$3,$A471))</f>
        <v/>
      </c>
      <c r="U471" s="13" t="str">
        <f>IF($A471="","",[1]!thsiFinD("ths_adjustment_nv_fund",U$3,$A471))</f>
        <v/>
      </c>
      <c r="V471" s="13" t="str">
        <f>IF($A471="","",[1]!thsiFinD("ths_adjustment_nv_fund",V$3,$A471))</f>
        <v/>
      </c>
      <c r="W471" s="13" t="str">
        <f>IF($A471="","",[1]!thsiFinD("ths_adjustment_nv_fund",W$3,$A471))</f>
        <v/>
      </c>
      <c r="X471" s="13" t="str">
        <f>IF($A471="","",[1]!thsiFinD("ths_adjustment_nv_fund",X$3,$A471))</f>
        <v/>
      </c>
      <c r="Y471" s="13" t="str">
        <f>IF($A471="","",[1]!thsiFinD("ths_adjustment_nv_fund",Y$3,$A471))</f>
        <v/>
      </c>
      <c r="Z471" s="13" t="str">
        <f>IF($A471="","",[1]!thsiFinD("ths_adjustment_nv_fund",Z$3,$A471))</f>
        <v/>
      </c>
      <c r="AA471" s="13" t="str">
        <f>IF($A471="","",[1]!thsiFinD("ths_adjustment_nv_fund",AA$3,$A471))</f>
        <v/>
      </c>
      <c r="AB471" s="13" t="str">
        <f>IF($A471="","",[1]!thsiFinD("ths_adjustment_nv_fund",AB$3,$A471))</f>
        <v/>
      </c>
    </row>
    <row r="472" spans="2:28">
      <c r="B472" s="13" t="str">
        <f>IF($A472="","",[1]!thsiFinD("ths_adjustment_nv_fund",B$3,$A472))</f>
        <v/>
      </c>
      <c r="C472" s="13" t="str">
        <f>IF($A472="","",[1]!thsiFinD("ths_adjustment_nv_fund",C$3,$A472))</f>
        <v/>
      </c>
      <c r="D472" s="13" t="str">
        <f>IF($A472="","",[1]!thsiFinD("ths_adjustment_nv_fund",D$3,$A472))</f>
        <v/>
      </c>
      <c r="E472" s="13" t="str">
        <f>IF($A472="","",[1]!thsiFinD("ths_adjustment_nv_fund",E$3,$A472))</f>
        <v/>
      </c>
      <c r="F472" s="13" t="str">
        <f>IF($A472="","",[1]!thsiFinD("ths_adjustment_nv_fund",F$3,$A472))</f>
        <v/>
      </c>
      <c r="G472" s="13" t="str">
        <f>IF($A472="","",[1]!thsiFinD("ths_adjustment_nv_fund",G$3,$A472))</f>
        <v/>
      </c>
      <c r="H472" s="13" t="str">
        <f>IF($A472="","",[1]!thsiFinD("ths_adjustment_nv_fund",H$3,$A472))</f>
        <v/>
      </c>
      <c r="I472" s="13" t="str">
        <f>IF($A472="","",[1]!thsiFinD("ths_adjustment_nv_fund",I$3,$A472))</f>
        <v/>
      </c>
      <c r="J472" s="13" t="str">
        <f>IF($A472="","",[1]!thsiFinD("ths_adjustment_nv_fund",J$3,$A472))</f>
        <v/>
      </c>
      <c r="K472" s="13" t="str">
        <f>IF($A472="","",[1]!thsiFinD("ths_adjustment_nv_fund",K$3,$A472))</f>
        <v/>
      </c>
      <c r="L472" s="13" t="str">
        <f>IF($A472="","",[1]!thsiFinD("ths_adjustment_nv_fund",L$3,$A472))</f>
        <v/>
      </c>
      <c r="M472" s="13" t="str">
        <f>IF($A472="","",[1]!thsiFinD("ths_adjustment_nv_fund",M$3,$A472))</f>
        <v/>
      </c>
      <c r="N472" s="13" t="str">
        <f>IF($A472="","",[1]!thsiFinD("ths_adjustment_nv_fund",N$3,$A472))</f>
        <v/>
      </c>
      <c r="O472" s="13" t="str">
        <f>IF($A472="","",[1]!thsiFinD("ths_adjustment_nv_fund",O$3,$A472))</f>
        <v/>
      </c>
      <c r="P472" s="13" t="str">
        <f>IF($A472="","",[1]!thsiFinD("ths_adjustment_nv_fund",P$3,$A472))</f>
        <v/>
      </c>
      <c r="Q472" s="13" t="str">
        <f>IF($A472="","",[1]!thsiFinD("ths_adjustment_nv_fund",Q$3,$A472))</f>
        <v/>
      </c>
      <c r="R472" s="13" t="str">
        <f>IF($A472="","",[1]!thsiFinD("ths_adjustment_nv_fund",R$3,$A472))</f>
        <v/>
      </c>
      <c r="S472" s="13" t="str">
        <f>IF($A472="","",[1]!thsiFinD("ths_adjustment_nv_fund",S$3,$A472))</f>
        <v/>
      </c>
      <c r="T472" s="13" t="str">
        <f>IF($A472="","",[1]!thsiFinD("ths_adjustment_nv_fund",T$3,$A472))</f>
        <v/>
      </c>
      <c r="U472" s="13" t="str">
        <f>IF($A472="","",[1]!thsiFinD("ths_adjustment_nv_fund",U$3,$A472))</f>
        <v/>
      </c>
      <c r="V472" s="13" t="str">
        <f>IF($A472="","",[1]!thsiFinD("ths_adjustment_nv_fund",V$3,$A472))</f>
        <v/>
      </c>
      <c r="W472" s="13" t="str">
        <f>IF($A472="","",[1]!thsiFinD("ths_adjustment_nv_fund",W$3,$A472))</f>
        <v/>
      </c>
      <c r="X472" s="13" t="str">
        <f>IF($A472="","",[1]!thsiFinD("ths_adjustment_nv_fund",X$3,$A472))</f>
        <v/>
      </c>
      <c r="Y472" s="13" t="str">
        <f>IF($A472="","",[1]!thsiFinD("ths_adjustment_nv_fund",Y$3,$A472))</f>
        <v/>
      </c>
      <c r="Z472" s="13" t="str">
        <f>IF($A472="","",[1]!thsiFinD("ths_adjustment_nv_fund",Z$3,$A472))</f>
        <v/>
      </c>
      <c r="AA472" s="13" t="str">
        <f>IF($A472="","",[1]!thsiFinD("ths_adjustment_nv_fund",AA$3,$A472))</f>
        <v/>
      </c>
      <c r="AB472" s="13" t="str">
        <f>IF($A472="","",[1]!thsiFinD("ths_adjustment_nv_fund",AB$3,$A472))</f>
        <v/>
      </c>
    </row>
    <row r="473" spans="2:28">
      <c r="B473" s="13" t="str">
        <f>IF($A473="","",[1]!thsiFinD("ths_adjustment_nv_fund",B$3,$A473))</f>
        <v/>
      </c>
      <c r="C473" s="13" t="str">
        <f>IF($A473="","",[1]!thsiFinD("ths_adjustment_nv_fund",C$3,$A473))</f>
        <v/>
      </c>
      <c r="D473" s="13" t="str">
        <f>IF($A473="","",[1]!thsiFinD("ths_adjustment_nv_fund",D$3,$A473))</f>
        <v/>
      </c>
      <c r="E473" s="13" t="str">
        <f>IF($A473="","",[1]!thsiFinD("ths_adjustment_nv_fund",E$3,$A473))</f>
        <v/>
      </c>
      <c r="F473" s="13" t="str">
        <f>IF($A473="","",[1]!thsiFinD("ths_adjustment_nv_fund",F$3,$A473))</f>
        <v/>
      </c>
      <c r="G473" s="13" t="str">
        <f>IF($A473="","",[1]!thsiFinD("ths_adjustment_nv_fund",G$3,$A473))</f>
        <v/>
      </c>
      <c r="H473" s="13" t="str">
        <f>IF($A473="","",[1]!thsiFinD("ths_adjustment_nv_fund",H$3,$A473))</f>
        <v/>
      </c>
      <c r="I473" s="13" t="str">
        <f>IF($A473="","",[1]!thsiFinD("ths_adjustment_nv_fund",I$3,$A473))</f>
        <v/>
      </c>
      <c r="J473" s="13" t="str">
        <f>IF($A473="","",[1]!thsiFinD("ths_adjustment_nv_fund",J$3,$A473))</f>
        <v/>
      </c>
      <c r="K473" s="13" t="str">
        <f>IF($A473="","",[1]!thsiFinD("ths_adjustment_nv_fund",K$3,$A473))</f>
        <v/>
      </c>
      <c r="L473" s="13" t="str">
        <f>IF($A473="","",[1]!thsiFinD("ths_adjustment_nv_fund",L$3,$A473))</f>
        <v/>
      </c>
      <c r="M473" s="13" t="str">
        <f>IF($A473="","",[1]!thsiFinD("ths_adjustment_nv_fund",M$3,$A473))</f>
        <v/>
      </c>
      <c r="N473" s="13" t="str">
        <f>IF($A473="","",[1]!thsiFinD("ths_adjustment_nv_fund",N$3,$A473))</f>
        <v/>
      </c>
      <c r="O473" s="13" t="str">
        <f>IF($A473="","",[1]!thsiFinD("ths_adjustment_nv_fund",O$3,$A473))</f>
        <v/>
      </c>
      <c r="P473" s="13" t="str">
        <f>IF($A473="","",[1]!thsiFinD("ths_adjustment_nv_fund",P$3,$A473))</f>
        <v/>
      </c>
      <c r="Q473" s="13" t="str">
        <f>IF($A473="","",[1]!thsiFinD("ths_adjustment_nv_fund",Q$3,$A473))</f>
        <v/>
      </c>
      <c r="R473" s="13" t="str">
        <f>IF($A473="","",[1]!thsiFinD("ths_adjustment_nv_fund",R$3,$A473))</f>
        <v/>
      </c>
      <c r="S473" s="13" t="str">
        <f>IF($A473="","",[1]!thsiFinD("ths_adjustment_nv_fund",S$3,$A473))</f>
        <v/>
      </c>
      <c r="T473" s="13" t="str">
        <f>IF($A473="","",[1]!thsiFinD("ths_adjustment_nv_fund",T$3,$A473))</f>
        <v/>
      </c>
      <c r="U473" s="13" t="str">
        <f>IF($A473="","",[1]!thsiFinD("ths_adjustment_nv_fund",U$3,$A473))</f>
        <v/>
      </c>
      <c r="V473" s="13" t="str">
        <f>IF($A473="","",[1]!thsiFinD("ths_adjustment_nv_fund",V$3,$A473))</f>
        <v/>
      </c>
      <c r="W473" s="13" t="str">
        <f>IF($A473="","",[1]!thsiFinD("ths_adjustment_nv_fund",W$3,$A473))</f>
        <v/>
      </c>
      <c r="X473" s="13" t="str">
        <f>IF($A473="","",[1]!thsiFinD("ths_adjustment_nv_fund",X$3,$A473))</f>
        <v/>
      </c>
      <c r="Y473" s="13" t="str">
        <f>IF($A473="","",[1]!thsiFinD("ths_adjustment_nv_fund",Y$3,$A473))</f>
        <v/>
      </c>
      <c r="Z473" s="13" t="str">
        <f>IF($A473="","",[1]!thsiFinD("ths_adjustment_nv_fund",Z$3,$A473))</f>
        <v/>
      </c>
      <c r="AA473" s="13" t="str">
        <f>IF($A473="","",[1]!thsiFinD("ths_adjustment_nv_fund",AA$3,$A473))</f>
        <v/>
      </c>
      <c r="AB473" s="13" t="str">
        <f>IF($A473="","",[1]!thsiFinD("ths_adjustment_nv_fund",AB$3,$A473))</f>
        <v/>
      </c>
    </row>
    <row r="474" spans="2:28">
      <c r="B474" s="13" t="str">
        <f>IF($A474="","",[1]!thsiFinD("ths_adjustment_nv_fund",B$3,$A474))</f>
        <v/>
      </c>
      <c r="C474" s="13" t="str">
        <f>IF($A474="","",[1]!thsiFinD("ths_adjustment_nv_fund",C$3,$A474))</f>
        <v/>
      </c>
      <c r="D474" s="13" t="str">
        <f>IF($A474="","",[1]!thsiFinD("ths_adjustment_nv_fund",D$3,$A474))</f>
        <v/>
      </c>
      <c r="E474" s="13" t="str">
        <f>IF($A474="","",[1]!thsiFinD("ths_adjustment_nv_fund",E$3,$A474))</f>
        <v/>
      </c>
      <c r="F474" s="13" t="str">
        <f>IF($A474="","",[1]!thsiFinD("ths_adjustment_nv_fund",F$3,$A474))</f>
        <v/>
      </c>
      <c r="G474" s="13" t="str">
        <f>IF($A474="","",[1]!thsiFinD("ths_adjustment_nv_fund",G$3,$A474))</f>
        <v/>
      </c>
      <c r="H474" s="13" t="str">
        <f>IF($A474="","",[1]!thsiFinD("ths_adjustment_nv_fund",H$3,$A474))</f>
        <v/>
      </c>
      <c r="I474" s="13" t="str">
        <f>IF($A474="","",[1]!thsiFinD("ths_adjustment_nv_fund",I$3,$A474))</f>
        <v/>
      </c>
      <c r="J474" s="13" t="str">
        <f>IF($A474="","",[1]!thsiFinD("ths_adjustment_nv_fund",J$3,$A474))</f>
        <v/>
      </c>
      <c r="K474" s="13" t="str">
        <f>IF($A474="","",[1]!thsiFinD("ths_adjustment_nv_fund",K$3,$A474))</f>
        <v/>
      </c>
      <c r="L474" s="13" t="str">
        <f>IF($A474="","",[1]!thsiFinD("ths_adjustment_nv_fund",L$3,$A474))</f>
        <v/>
      </c>
      <c r="M474" s="13" t="str">
        <f>IF($A474="","",[1]!thsiFinD("ths_adjustment_nv_fund",M$3,$A474))</f>
        <v/>
      </c>
      <c r="N474" s="13" t="str">
        <f>IF($A474="","",[1]!thsiFinD("ths_adjustment_nv_fund",N$3,$A474))</f>
        <v/>
      </c>
      <c r="O474" s="13" t="str">
        <f>IF($A474="","",[1]!thsiFinD("ths_adjustment_nv_fund",O$3,$A474))</f>
        <v/>
      </c>
      <c r="P474" s="13" t="str">
        <f>IF($A474="","",[1]!thsiFinD("ths_adjustment_nv_fund",P$3,$A474))</f>
        <v/>
      </c>
      <c r="Q474" s="13" t="str">
        <f>IF($A474="","",[1]!thsiFinD("ths_adjustment_nv_fund",Q$3,$A474))</f>
        <v/>
      </c>
      <c r="R474" s="13" t="str">
        <f>IF($A474="","",[1]!thsiFinD("ths_adjustment_nv_fund",R$3,$A474))</f>
        <v/>
      </c>
      <c r="S474" s="13" t="str">
        <f>IF($A474="","",[1]!thsiFinD("ths_adjustment_nv_fund",S$3,$A474))</f>
        <v/>
      </c>
      <c r="T474" s="13" t="str">
        <f>IF($A474="","",[1]!thsiFinD("ths_adjustment_nv_fund",T$3,$A474))</f>
        <v/>
      </c>
      <c r="U474" s="13" t="str">
        <f>IF($A474="","",[1]!thsiFinD("ths_adjustment_nv_fund",U$3,$A474))</f>
        <v/>
      </c>
      <c r="V474" s="13" t="str">
        <f>IF($A474="","",[1]!thsiFinD("ths_adjustment_nv_fund",V$3,$A474))</f>
        <v/>
      </c>
      <c r="W474" s="13" t="str">
        <f>IF($A474="","",[1]!thsiFinD("ths_adjustment_nv_fund",W$3,$A474))</f>
        <v/>
      </c>
      <c r="X474" s="13" t="str">
        <f>IF($A474="","",[1]!thsiFinD("ths_adjustment_nv_fund",X$3,$A474))</f>
        <v/>
      </c>
      <c r="Y474" s="13" t="str">
        <f>IF($A474="","",[1]!thsiFinD("ths_adjustment_nv_fund",Y$3,$A474))</f>
        <v/>
      </c>
      <c r="Z474" s="13" t="str">
        <f>IF($A474="","",[1]!thsiFinD("ths_adjustment_nv_fund",Z$3,$A474))</f>
        <v/>
      </c>
      <c r="AA474" s="13" t="str">
        <f>IF($A474="","",[1]!thsiFinD("ths_adjustment_nv_fund",AA$3,$A474))</f>
        <v/>
      </c>
      <c r="AB474" s="13" t="str">
        <f>IF($A474="","",[1]!thsiFinD("ths_adjustment_nv_fund",AB$3,$A474))</f>
        <v/>
      </c>
    </row>
    <row r="475" spans="2:28">
      <c r="B475" s="13" t="str">
        <f>IF($A475="","",[1]!thsiFinD("ths_adjustment_nv_fund",B$3,$A475))</f>
        <v/>
      </c>
      <c r="C475" s="13" t="str">
        <f>IF($A475="","",[1]!thsiFinD("ths_adjustment_nv_fund",C$3,$A475))</f>
        <v/>
      </c>
      <c r="D475" s="13" t="str">
        <f>IF($A475="","",[1]!thsiFinD("ths_adjustment_nv_fund",D$3,$A475))</f>
        <v/>
      </c>
      <c r="E475" s="13" t="str">
        <f>IF($A475="","",[1]!thsiFinD("ths_adjustment_nv_fund",E$3,$A475))</f>
        <v/>
      </c>
      <c r="F475" s="13" t="str">
        <f>IF($A475="","",[1]!thsiFinD("ths_adjustment_nv_fund",F$3,$A475))</f>
        <v/>
      </c>
      <c r="G475" s="13" t="str">
        <f>IF($A475="","",[1]!thsiFinD("ths_adjustment_nv_fund",G$3,$A475))</f>
        <v/>
      </c>
      <c r="H475" s="13" t="str">
        <f>IF($A475="","",[1]!thsiFinD("ths_adjustment_nv_fund",H$3,$A475))</f>
        <v/>
      </c>
      <c r="I475" s="13" t="str">
        <f>IF($A475="","",[1]!thsiFinD("ths_adjustment_nv_fund",I$3,$A475))</f>
        <v/>
      </c>
      <c r="J475" s="13" t="str">
        <f>IF($A475="","",[1]!thsiFinD("ths_adjustment_nv_fund",J$3,$A475))</f>
        <v/>
      </c>
      <c r="K475" s="13" t="str">
        <f>IF($A475="","",[1]!thsiFinD("ths_adjustment_nv_fund",K$3,$A475))</f>
        <v/>
      </c>
      <c r="L475" s="13" t="str">
        <f>IF($A475="","",[1]!thsiFinD("ths_adjustment_nv_fund",L$3,$A475))</f>
        <v/>
      </c>
      <c r="M475" s="13" t="str">
        <f>IF($A475="","",[1]!thsiFinD("ths_adjustment_nv_fund",M$3,$A475))</f>
        <v/>
      </c>
      <c r="N475" s="13" t="str">
        <f>IF($A475="","",[1]!thsiFinD("ths_adjustment_nv_fund",N$3,$A475))</f>
        <v/>
      </c>
      <c r="O475" s="13" t="str">
        <f>IF($A475="","",[1]!thsiFinD("ths_adjustment_nv_fund",O$3,$A475))</f>
        <v/>
      </c>
      <c r="P475" s="13" t="str">
        <f>IF($A475="","",[1]!thsiFinD("ths_adjustment_nv_fund",P$3,$A475))</f>
        <v/>
      </c>
      <c r="Q475" s="13" t="str">
        <f>IF($A475="","",[1]!thsiFinD("ths_adjustment_nv_fund",Q$3,$A475))</f>
        <v/>
      </c>
      <c r="R475" s="13" t="str">
        <f>IF($A475="","",[1]!thsiFinD("ths_adjustment_nv_fund",R$3,$A475))</f>
        <v/>
      </c>
      <c r="S475" s="13" t="str">
        <f>IF($A475="","",[1]!thsiFinD("ths_adjustment_nv_fund",S$3,$A475))</f>
        <v/>
      </c>
      <c r="T475" s="13" t="str">
        <f>IF($A475="","",[1]!thsiFinD("ths_adjustment_nv_fund",T$3,$A475))</f>
        <v/>
      </c>
      <c r="U475" s="13" t="str">
        <f>IF($A475="","",[1]!thsiFinD("ths_adjustment_nv_fund",U$3,$A475))</f>
        <v/>
      </c>
      <c r="V475" s="13" t="str">
        <f>IF($A475="","",[1]!thsiFinD("ths_adjustment_nv_fund",V$3,$A475))</f>
        <v/>
      </c>
      <c r="W475" s="13" t="str">
        <f>IF($A475="","",[1]!thsiFinD("ths_adjustment_nv_fund",W$3,$A475))</f>
        <v/>
      </c>
      <c r="X475" s="13" t="str">
        <f>IF($A475="","",[1]!thsiFinD("ths_adjustment_nv_fund",X$3,$A475))</f>
        <v/>
      </c>
      <c r="Y475" s="13" t="str">
        <f>IF($A475="","",[1]!thsiFinD("ths_adjustment_nv_fund",Y$3,$A475))</f>
        <v/>
      </c>
      <c r="Z475" s="13" t="str">
        <f>IF($A475="","",[1]!thsiFinD("ths_adjustment_nv_fund",Z$3,$A475))</f>
        <v/>
      </c>
      <c r="AA475" s="13" t="str">
        <f>IF($A475="","",[1]!thsiFinD("ths_adjustment_nv_fund",AA$3,$A475))</f>
        <v/>
      </c>
      <c r="AB475" s="13" t="str">
        <f>IF($A475="","",[1]!thsiFinD("ths_adjustment_nv_fund",AB$3,$A475))</f>
        <v/>
      </c>
    </row>
    <row r="476" spans="2:28">
      <c r="B476" s="13" t="str">
        <f>IF($A476="","",[1]!thsiFinD("ths_adjustment_nv_fund",B$3,$A476))</f>
        <v/>
      </c>
      <c r="C476" s="13" t="str">
        <f>IF($A476="","",[1]!thsiFinD("ths_adjustment_nv_fund",C$3,$A476))</f>
        <v/>
      </c>
      <c r="D476" s="13" t="str">
        <f>IF($A476="","",[1]!thsiFinD("ths_adjustment_nv_fund",D$3,$A476))</f>
        <v/>
      </c>
      <c r="E476" s="13" t="str">
        <f>IF($A476="","",[1]!thsiFinD("ths_adjustment_nv_fund",E$3,$A476))</f>
        <v/>
      </c>
      <c r="F476" s="13" t="str">
        <f>IF($A476="","",[1]!thsiFinD("ths_adjustment_nv_fund",F$3,$A476))</f>
        <v/>
      </c>
      <c r="G476" s="13" t="str">
        <f>IF($A476="","",[1]!thsiFinD("ths_adjustment_nv_fund",G$3,$A476))</f>
        <v/>
      </c>
      <c r="H476" s="13" t="str">
        <f>IF($A476="","",[1]!thsiFinD("ths_adjustment_nv_fund",H$3,$A476))</f>
        <v/>
      </c>
      <c r="I476" s="13" t="str">
        <f>IF($A476="","",[1]!thsiFinD("ths_adjustment_nv_fund",I$3,$A476))</f>
        <v/>
      </c>
      <c r="J476" s="13" t="str">
        <f>IF($A476="","",[1]!thsiFinD("ths_adjustment_nv_fund",J$3,$A476))</f>
        <v/>
      </c>
      <c r="K476" s="13" t="str">
        <f>IF($A476="","",[1]!thsiFinD("ths_adjustment_nv_fund",K$3,$A476))</f>
        <v/>
      </c>
      <c r="L476" s="13" t="str">
        <f>IF($A476="","",[1]!thsiFinD("ths_adjustment_nv_fund",L$3,$A476))</f>
        <v/>
      </c>
      <c r="M476" s="13" t="str">
        <f>IF($A476="","",[1]!thsiFinD("ths_adjustment_nv_fund",M$3,$A476))</f>
        <v/>
      </c>
      <c r="N476" s="13" t="str">
        <f>IF($A476="","",[1]!thsiFinD("ths_adjustment_nv_fund",N$3,$A476))</f>
        <v/>
      </c>
      <c r="O476" s="13" t="str">
        <f>IF($A476="","",[1]!thsiFinD("ths_adjustment_nv_fund",O$3,$A476))</f>
        <v/>
      </c>
      <c r="P476" s="13" t="str">
        <f>IF($A476="","",[1]!thsiFinD("ths_adjustment_nv_fund",P$3,$A476))</f>
        <v/>
      </c>
      <c r="Q476" s="13" t="str">
        <f>IF($A476="","",[1]!thsiFinD("ths_adjustment_nv_fund",Q$3,$A476))</f>
        <v/>
      </c>
      <c r="R476" s="13" t="str">
        <f>IF($A476="","",[1]!thsiFinD("ths_adjustment_nv_fund",R$3,$A476))</f>
        <v/>
      </c>
      <c r="S476" s="13" t="str">
        <f>IF($A476="","",[1]!thsiFinD("ths_adjustment_nv_fund",S$3,$A476))</f>
        <v/>
      </c>
      <c r="T476" s="13" t="str">
        <f>IF($A476="","",[1]!thsiFinD("ths_adjustment_nv_fund",T$3,$A476))</f>
        <v/>
      </c>
      <c r="U476" s="13" t="str">
        <f>IF($A476="","",[1]!thsiFinD("ths_adjustment_nv_fund",U$3,$A476))</f>
        <v/>
      </c>
      <c r="V476" s="13" t="str">
        <f>IF($A476="","",[1]!thsiFinD("ths_adjustment_nv_fund",V$3,$A476))</f>
        <v/>
      </c>
      <c r="W476" s="13" t="str">
        <f>IF($A476="","",[1]!thsiFinD("ths_adjustment_nv_fund",W$3,$A476))</f>
        <v/>
      </c>
      <c r="X476" s="13" t="str">
        <f>IF($A476="","",[1]!thsiFinD("ths_adjustment_nv_fund",X$3,$A476))</f>
        <v/>
      </c>
      <c r="Y476" s="13" t="str">
        <f>IF($A476="","",[1]!thsiFinD("ths_adjustment_nv_fund",Y$3,$A476))</f>
        <v/>
      </c>
      <c r="Z476" s="13" t="str">
        <f>IF($A476="","",[1]!thsiFinD("ths_adjustment_nv_fund",Z$3,$A476))</f>
        <v/>
      </c>
      <c r="AA476" s="13" t="str">
        <f>IF($A476="","",[1]!thsiFinD("ths_adjustment_nv_fund",AA$3,$A476))</f>
        <v/>
      </c>
      <c r="AB476" s="13" t="str">
        <f>IF($A476="","",[1]!thsiFinD("ths_adjustment_nv_fund",AB$3,$A476))</f>
        <v/>
      </c>
    </row>
    <row r="477" spans="2:28">
      <c r="B477" s="13" t="str">
        <f>IF($A477="","",[1]!thsiFinD("ths_adjustment_nv_fund",B$3,$A477))</f>
        <v/>
      </c>
      <c r="C477" s="13" t="str">
        <f>IF($A477="","",[1]!thsiFinD("ths_adjustment_nv_fund",C$3,$A477))</f>
        <v/>
      </c>
      <c r="D477" s="13" t="str">
        <f>IF($A477="","",[1]!thsiFinD("ths_adjustment_nv_fund",D$3,$A477))</f>
        <v/>
      </c>
      <c r="E477" s="13" t="str">
        <f>IF($A477="","",[1]!thsiFinD("ths_adjustment_nv_fund",E$3,$A477))</f>
        <v/>
      </c>
      <c r="F477" s="13" t="str">
        <f>IF($A477="","",[1]!thsiFinD("ths_adjustment_nv_fund",F$3,$A477))</f>
        <v/>
      </c>
      <c r="G477" s="13" t="str">
        <f>IF($A477="","",[1]!thsiFinD("ths_adjustment_nv_fund",G$3,$A477))</f>
        <v/>
      </c>
      <c r="H477" s="13" t="str">
        <f>IF($A477="","",[1]!thsiFinD("ths_adjustment_nv_fund",H$3,$A477))</f>
        <v/>
      </c>
      <c r="I477" s="13" t="str">
        <f>IF($A477="","",[1]!thsiFinD("ths_adjustment_nv_fund",I$3,$A477))</f>
        <v/>
      </c>
      <c r="J477" s="13" t="str">
        <f>IF($A477="","",[1]!thsiFinD("ths_adjustment_nv_fund",J$3,$A477))</f>
        <v/>
      </c>
      <c r="K477" s="13" t="str">
        <f>IF($A477="","",[1]!thsiFinD("ths_adjustment_nv_fund",K$3,$A477))</f>
        <v/>
      </c>
      <c r="L477" s="13" t="str">
        <f>IF($A477="","",[1]!thsiFinD("ths_adjustment_nv_fund",L$3,$A477))</f>
        <v/>
      </c>
      <c r="M477" s="13" t="str">
        <f>IF($A477="","",[1]!thsiFinD("ths_adjustment_nv_fund",M$3,$A477))</f>
        <v/>
      </c>
      <c r="N477" s="13" t="str">
        <f>IF($A477="","",[1]!thsiFinD("ths_adjustment_nv_fund",N$3,$A477))</f>
        <v/>
      </c>
      <c r="O477" s="13" t="str">
        <f>IF($A477="","",[1]!thsiFinD("ths_adjustment_nv_fund",O$3,$A477))</f>
        <v/>
      </c>
      <c r="P477" s="13" t="str">
        <f>IF($A477="","",[1]!thsiFinD("ths_adjustment_nv_fund",P$3,$A477))</f>
        <v/>
      </c>
      <c r="Q477" s="13" t="str">
        <f>IF($A477="","",[1]!thsiFinD("ths_adjustment_nv_fund",Q$3,$A477))</f>
        <v/>
      </c>
      <c r="R477" s="13" t="str">
        <f>IF($A477="","",[1]!thsiFinD("ths_adjustment_nv_fund",R$3,$A477))</f>
        <v/>
      </c>
      <c r="S477" s="13" t="str">
        <f>IF($A477="","",[1]!thsiFinD("ths_adjustment_nv_fund",S$3,$A477))</f>
        <v/>
      </c>
      <c r="T477" s="13" t="str">
        <f>IF($A477="","",[1]!thsiFinD("ths_adjustment_nv_fund",T$3,$A477))</f>
        <v/>
      </c>
      <c r="U477" s="13" t="str">
        <f>IF($A477="","",[1]!thsiFinD("ths_adjustment_nv_fund",U$3,$A477))</f>
        <v/>
      </c>
      <c r="V477" s="13" t="str">
        <f>IF($A477="","",[1]!thsiFinD("ths_adjustment_nv_fund",V$3,$A477))</f>
        <v/>
      </c>
      <c r="W477" s="13" t="str">
        <f>IF($A477="","",[1]!thsiFinD("ths_adjustment_nv_fund",W$3,$A477))</f>
        <v/>
      </c>
      <c r="X477" s="13" t="str">
        <f>IF($A477="","",[1]!thsiFinD("ths_adjustment_nv_fund",X$3,$A477))</f>
        <v/>
      </c>
      <c r="Y477" s="13" t="str">
        <f>IF($A477="","",[1]!thsiFinD("ths_adjustment_nv_fund",Y$3,$A477))</f>
        <v/>
      </c>
      <c r="Z477" s="13" t="str">
        <f>IF($A477="","",[1]!thsiFinD("ths_adjustment_nv_fund",Z$3,$A477))</f>
        <v/>
      </c>
      <c r="AA477" s="13" t="str">
        <f>IF($A477="","",[1]!thsiFinD("ths_adjustment_nv_fund",AA$3,$A477))</f>
        <v/>
      </c>
      <c r="AB477" s="13" t="str">
        <f>IF($A477="","",[1]!thsiFinD("ths_adjustment_nv_fund",AB$3,$A477))</f>
        <v/>
      </c>
    </row>
    <row r="478" spans="2:28">
      <c r="B478" s="13" t="str">
        <f>IF($A478="","",[1]!thsiFinD("ths_adjustment_nv_fund",B$3,$A478))</f>
        <v/>
      </c>
      <c r="C478" s="13" t="str">
        <f>IF($A478="","",[1]!thsiFinD("ths_adjustment_nv_fund",C$3,$A478))</f>
        <v/>
      </c>
      <c r="D478" s="13" t="str">
        <f>IF($A478="","",[1]!thsiFinD("ths_adjustment_nv_fund",D$3,$A478))</f>
        <v/>
      </c>
      <c r="E478" s="13" t="str">
        <f>IF($A478="","",[1]!thsiFinD("ths_adjustment_nv_fund",E$3,$A478))</f>
        <v/>
      </c>
      <c r="F478" s="13" t="str">
        <f>IF($A478="","",[1]!thsiFinD("ths_adjustment_nv_fund",F$3,$A478))</f>
        <v/>
      </c>
      <c r="G478" s="13" t="str">
        <f>IF($A478="","",[1]!thsiFinD("ths_adjustment_nv_fund",G$3,$A478))</f>
        <v/>
      </c>
      <c r="H478" s="13" t="str">
        <f>IF($A478="","",[1]!thsiFinD("ths_adjustment_nv_fund",H$3,$A478))</f>
        <v/>
      </c>
      <c r="I478" s="13" t="str">
        <f>IF($A478="","",[1]!thsiFinD("ths_adjustment_nv_fund",I$3,$A478))</f>
        <v/>
      </c>
      <c r="J478" s="13" t="str">
        <f>IF($A478="","",[1]!thsiFinD("ths_adjustment_nv_fund",J$3,$A478))</f>
        <v/>
      </c>
      <c r="K478" s="13" t="str">
        <f>IF($A478="","",[1]!thsiFinD("ths_adjustment_nv_fund",K$3,$A478))</f>
        <v/>
      </c>
      <c r="L478" s="13" t="str">
        <f>IF($A478="","",[1]!thsiFinD("ths_adjustment_nv_fund",L$3,$A478))</f>
        <v/>
      </c>
      <c r="M478" s="13" t="str">
        <f>IF($A478="","",[1]!thsiFinD("ths_adjustment_nv_fund",M$3,$A478))</f>
        <v/>
      </c>
      <c r="N478" s="13" t="str">
        <f>IF($A478="","",[1]!thsiFinD("ths_adjustment_nv_fund",N$3,$A478))</f>
        <v/>
      </c>
      <c r="O478" s="13" t="str">
        <f>IF($A478="","",[1]!thsiFinD("ths_adjustment_nv_fund",O$3,$A478))</f>
        <v/>
      </c>
      <c r="P478" s="13" t="str">
        <f>IF($A478="","",[1]!thsiFinD("ths_adjustment_nv_fund",P$3,$A478))</f>
        <v/>
      </c>
      <c r="Q478" s="13" t="str">
        <f>IF($A478="","",[1]!thsiFinD("ths_adjustment_nv_fund",Q$3,$A478))</f>
        <v/>
      </c>
      <c r="R478" s="13" t="str">
        <f>IF($A478="","",[1]!thsiFinD("ths_adjustment_nv_fund",R$3,$A478))</f>
        <v/>
      </c>
      <c r="S478" s="13" t="str">
        <f>IF($A478="","",[1]!thsiFinD("ths_adjustment_nv_fund",S$3,$A478))</f>
        <v/>
      </c>
      <c r="T478" s="13" t="str">
        <f>IF($A478="","",[1]!thsiFinD("ths_adjustment_nv_fund",T$3,$A478))</f>
        <v/>
      </c>
      <c r="U478" s="13" t="str">
        <f>IF($A478="","",[1]!thsiFinD("ths_adjustment_nv_fund",U$3,$A478))</f>
        <v/>
      </c>
      <c r="V478" s="13" t="str">
        <f>IF($A478="","",[1]!thsiFinD("ths_adjustment_nv_fund",V$3,$A478))</f>
        <v/>
      </c>
      <c r="W478" s="13" t="str">
        <f>IF($A478="","",[1]!thsiFinD("ths_adjustment_nv_fund",W$3,$A478))</f>
        <v/>
      </c>
      <c r="X478" s="13" t="str">
        <f>IF($A478="","",[1]!thsiFinD("ths_adjustment_nv_fund",X$3,$A478))</f>
        <v/>
      </c>
      <c r="Y478" s="13" t="str">
        <f>IF($A478="","",[1]!thsiFinD("ths_adjustment_nv_fund",Y$3,$A478))</f>
        <v/>
      </c>
      <c r="Z478" s="13" t="str">
        <f>IF($A478="","",[1]!thsiFinD("ths_adjustment_nv_fund",Z$3,$A478))</f>
        <v/>
      </c>
      <c r="AA478" s="13" t="str">
        <f>IF($A478="","",[1]!thsiFinD("ths_adjustment_nv_fund",AA$3,$A478))</f>
        <v/>
      </c>
      <c r="AB478" s="13" t="str">
        <f>IF($A478="","",[1]!thsiFinD("ths_adjustment_nv_fund",AB$3,$A478))</f>
        <v/>
      </c>
    </row>
    <row r="479" spans="2:28">
      <c r="B479" s="13" t="str">
        <f>IF($A479="","",[1]!thsiFinD("ths_adjustment_nv_fund",B$3,$A479))</f>
        <v/>
      </c>
      <c r="C479" s="13" t="str">
        <f>IF($A479="","",[1]!thsiFinD("ths_adjustment_nv_fund",C$3,$A479))</f>
        <v/>
      </c>
      <c r="D479" s="13" t="str">
        <f>IF($A479="","",[1]!thsiFinD("ths_adjustment_nv_fund",D$3,$A479))</f>
        <v/>
      </c>
      <c r="E479" s="13" t="str">
        <f>IF($A479="","",[1]!thsiFinD("ths_adjustment_nv_fund",E$3,$A479))</f>
        <v/>
      </c>
      <c r="F479" s="13" t="str">
        <f>IF($A479="","",[1]!thsiFinD("ths_adjustment_nv_fund",F$3,$A479))</f>
        <v/>
      </c>
      <c r="G479" s="13" t="str">
        <f>IF($A479="","",[1]!thsiFinD("ths_adjustment_nv_fund",G$3,$A479))</f>
        <v/>
      </c>
      <c r="H479" s="13" t="str">
        <f>IF($A479="","",[1]!thsiFinD("ths_adjustment_nv_fund",H$3,$A479))</f>
        <v/>
      </c>
      <c r="I479" s="13" t="str">
        <f>IF($A479="","",[1]!thsiFinD("ths_adjustment_nv_fund",I$3,$A479))</f>
        <v/>
      </c>
      <c r="J479" s="13" t="str">
        <f>IF($A479="","",[1]!thsiFinD("ths_adjustment_nv_fund",J$3,$A479))</f>
        <v/>
      </c>
      <c r="K479" s="13" t="str">
        <f>IF($A479="","",[1]!thsiFinD("ths_adjustment_nv_fund",K$3,$A479))</f>
        <v/>
      </c>
      <c r="L479" s="13" t="str">
        <f>IF($A479="","",[1]!thsiFinD("ths_adjustment_nv_fund",L$3,$A479))</f>
        <v/>
      </c>
      <c r="M479" s="13" t="str">
        <f>IF($A479="","",[1]!thsiFinD("ths_adjustment_nv_fund",M$3,$A479))</f>
        <v/>
      </c>
      <c r="N479" s="13" t="str">
        <f>IF($A479="","",[1]!thsiFinD("ths_adjustment_nv_fund",N$3,$A479))</f>
        <v/>
      </c>
      <c r="O479" s="13" t="str">
        <f>IF($A479="","",[1]!thsiFinD("ths_adjustment_nv_fund",O$3,$A479))</f>
        <v/>
      </c>
      <c r="P479" s="13" t="str">
        <f>IF($A479="","",[1]!thsiFinD("ths_adjustment_nv_fund",P$3,$A479))</f>
        <v/>
      </c>
      <c r="Q479" s="13" t="str">
        <f>IF($A479="","",[1]!thsiFinD("ths_adjustment_nv_fund",Q$3,$A479))</f>
        <v/>
      </c>
      <c r="R479" s="13" t="str">
        <f>IF($A479="","",[1]!thsiFinD("ths_adjustment_nv_fund",R$3,$A479))</f>
        <v/>
      </c>
      <c r="S479" s="13" t="str">
        <f>IF($A479="","",[1]!thsiFinD("ths_adjustment_nv_fund",S$3,$A479))</f>
        <v/>
      </c>
      <c r="T479" s="13" t="str">
        <f>IF($A479="","",[1]!thsiFinD("ths_adjustment_nv_fund",T$3,$A479))</f>
        <v/>
      </c>
      <c r="U479" s="13" t="str">
        <f>IF($A479="","",[1]!thsiFinD("ths_adjustment_nv_fund",U$3,$A479))</f>
        <v/>
      </c>
      <c r="V479" s="13" t="str">
        <f>IF($A479="","",[1]!thsiFinD("ths_adjustment_nv_fund",V$3,$A479))</f>
        <v/>
      </c>
      <c r="W479" s="13" t="str">
        <f>IF($A479="","",[1]!thsiFinD("ths_adjustment_nv_fund",W$3,$A479))</f>
        <v/>
      </c>
      <c r="X479" s="13" t="str">
        <f>IF($A479="","",[1]!thsiFinD("ths_adjustment_nv_fund",X$3,$A479))</f>
        <v/>
      </c>
      <c r="Y479" s="13" t="str">
        <f>IF($A479="","",[1]!thsiFinD("ths_adjustment_nv_fund",Y$3,$A479))</f>
        <v/>
      </c>
      <c r="Z479" s="13" t="str">
        <f>IF($A479="","",[1]!thsiFinD("ths_adjustment_nv_fund",Z$3,$A479))</f>
        <v/>
      </c>
      <c r="AA479" s="13" t="str">
        <f>IF($A479="","",[1]!thsiFinD("ths_adjustment_nv_fund",AA$3,$A479))</f>
        <v/>
      </c>
      <c r="AB479" s="13" t="str">
        <f>IF($A479="","",[1]!thsiFinD("ths_adjustment_nv_fund",AB$3,$A479))</f>
        <v/>
      </c>
    </row>
    <row r="480" spans="2:28">
      <c r="B480" s="13" t="str">
        <f>IF($A480="","",[1]!thsiFinD("ths_adjustment_nv_fund",B$3,$A480))</f>
        <v/>
      </c>
      <c r="C480" s="13" t="str">
        <f>IF($A480="","",[1]!thsiFinD("ths_adjustment_nv_fund",C$3,$A480))</f>
        <v/>
      </c>
      <c r="D480" s="13" t="str">
        <f>IF($A480="","",[1]!thsiFinD("ths_adjustment_nv_fund",D$3,$A480))</f>
        <v/>
      </c>
      <c r="E480" s="13" t="str">
        <f>IF($A480="","",[1]!thsiFinD("ths_adjustment_nv_fund",E$3,$A480))</f>
        <v/>
      </c>
      <c r="F480" s="13" t="str">
        <f>IF($A480="","",[1]!thsiFinD("ths_adjustment_nv_fund",F$3,$A480))</f>
        <v/>
      </c>
      <c r="G480" s="13" t="str">
        <f>IF($A480="","",[1]!thsiFinD("ths_adjustment_nv_fund",G$3,$A480))</f>
        <v/>
      </c>
      <c r="H480" s="13" t="str">
        <f>IF($A480="","",[1]!thsiFinD("ths_adjustment_nv_fund",H$3,$A480))</f>
        <v/>
      </c>
      <c r="I480" s="13" t="str">
        <f>IF($A480="","",[1]!thsiFinD("ths_adjustment_nv_fund",I$3,$A480))</f>
        <v/>
      </c>
      <c r="J480" s="13" t="str">
        <f>IF($A480="","",[1]!thsiFinD("ths_adjustment_nv_fund",J$3,$A480))</f>
        <v/>
      </c>
      <c r="K480" s="13" t="str">
        <f>IF($A480="","",[1]!thsiFinD("ths_adjustment_nv_fund",K$3,$A480))</f>
        <v/>
      </c>
      <c r="L480" s="13" t="str">
        <f>IF($A480="","",[1]!thsiFinD("ths_adjustment_nv_fund",L$3,$A480))</f>
        <v/>
      </c>
      <c r="M480" s="13" t="str">
        <f>IF($A480="","",[1]!thsiFinD("ths_adjustment_nv_fund",M$3,$A480))</f>
        <v/>
      </c>
      <c r="N480" s="13" t="str">
        <f>IF($A480="","",[1]!thsiFinD("ths_adjustment_nv_fund",N$3,$A480))</f>
        <v/>
      </c>
      <c r="O480" s="13" t="str">
        <f>IF($A480="","",[1]!thsiFinD("ths_adjustment_nv_fund",O$3,$A480))</f>
        <v/>
      </c>
      <c r="P480" s="13" t="str">
        <f>IF($A480="","",[1]!thsiFinD("ths_adjustment_nv_fund",P$3,$A480))</f>
        <v/>
      </c>
      <c r="Q480" s="13" t="str">
        <f>IF($A480="","",[1]!thsiFinD("ths_adjustment_nv_fund",Q$3,$A480))</f>
        <v/>
      </c>
      <c r="R480" s="13" t="str">
        <f>IF($A480="","",[1]!thsiFinD("ths_adjustment_nv_fund",R$3,$A480))</f>
        <v/>
      </c>
      <c r="S480" s="13" t="str">
        <f>IF($A480="","",[1]!thsiFinD("ths_adjustment_nv_fund",S$3,$A480))</f>
        <v/>
      </c>
      <c r="T480" s="13" t="str">
        <f>IF($A480="","",[1]!thsiFinD("ths_adjustment_nv_fund",T$3,$A480))</f>
        <v/>
      </c>
      <c r="U480" s="13" t="str">
        <f>IF($A480="","",[1]!thsiFinD("ths_adjustment_nv_fund",U$3,$A480))</f>
        <v/>
      </c>
      <c r="V480" s="13" t="str">
        <f>IF($A480="","",[1]!thsiFinD("ths_adjustment_nv_fund",V$3,$A480))</f>
        <v/>
      </c>
      <c r="W480" s="13" t="str">
        <f>IF($A480="","",[1]!thsiFinD("ths_adjustment_nv_fund",W$3,$A480))</f>
        <v/>
      </c>
      <c r="X480" s="13" t="str">
        <f>IF($A480="","",[1]!thsiFinD("ths_adjustment_nv_fund",X$3,$A480))</f>
        <v/>
      </c>
      <c r="Y480" s="13" t="str">
        <f>IF($A480="","",[1]!thsiFinD("ths_adjustment_nv_fund",Y$3,$A480))</f>
        <v/>
      </c>
      <c r="Z480" s="13" t="str">
        <f>IF($A480="","",[1]!thsiFinD("ths_adjustment_nv_fund",Z$3,$A480))</f>
        <v/>
      </c>
      <c r="AA480" s="13" t="str">
        <f>IF($A480="","",[1]!thsiFinD("ths_adjustment_nv_fund",AA$3,$A480))</f>
        <v/>
      </c>
      <c r="AB480" s="13" t="str">
        <f>IF($A480="","",[1]!thsiFinD("ths_adjustment_nv_fund",AB$3,$A480))</f>
        <v/>
      </c>
    </row>
    <row r="481" spans="2:28">
      <c r="B481" s="13" t="str">
        <f>IF($A481="","",[1]!thsiFinD("ths_adjustment_nv_fund",B$3,$A481))</f>
        <v/>
      </c>
      <c r="C481" s="13" t="str">
        <f>IF($A481="","",[1]!thsiFinD("ths_adjustment_nv_fund",C$3,$A481))</f>
        <v/>
      </c>
      <c r="D481" s="13" t="str">
        <f>IF($A481="","",[1]!thsiFinD("ths_adjustment_nv_fund",D$3,$A481))</f>
        <v/>
      </c>
      <c r="E481" s="13" t="str">
        <f>IF($A481="","",[1]!thsiFinD("ths_adjustment_nv_fund",E$3,$A481))</f>
        <v/>
      </c>
      <c r="F481" s="13" t="str">
        <f>IF($A481="","",[1]!thsiFinD("ths_adjustment_nv_fund",F$3,$A481))</f>
        <v/>
      </c>
      <c r="G481" s="13" t="str">
        <f>IF($A481="","",[1]!thsiFinD("ths_adjustment_nv_fund",G$3,$A481))</f>
        <v/>
      </c>
      <c r="H481" s="13" t="str">
        <f>IF($A481="","",[1]!thsiFinD("ths_adjustment_nv_fund",H$3,$A481))</f>
        <v/>
      </c>
      <c r="I481" s="13" t="str">
        <f>IF($A481="","",[1]!thsiFinD("ths_adjustment_nv_fund",I$3,$A481))</f>
        <v/>
      </c>
      <c r="J481" s="13" t="str">
        <f>IF($A481="","",[1]!thsiFinD("ths_adjustment_nv_fund",J$3,$A481))</f>
        <v/>
      </c>
      <c r="K481" s="13" t="str">
        <f>IF($A481="","",[1]!thsiFinD("ths_adjustment_nv_fund",K$3,$A481))</f>
        <v/>
      </c>
      <c r="L481" s="13" t="str">
        <f>IF($A481="","",[1]!thsiFinD("ths_adjustment_nv_fund",L$3,$A481))</f>
        <v/>
      </c>
      <c r="M481" s="13" t="str">
        <f>IF($A481="","",[1]!thsiFinD("ths_adjustment_nv_fund",M$3,$A481))</f>
        <v/>
      </c>
      <c r="N481" s="13" t="str">
        <f>IF($A481="","",[1]!thsiFinD("ths_adjustment_nv_fund",N$3,$A481))</f>
        <v/>
      </c>
      <c r="O481" s="13" t="str">
        <f>IF($A481="","",[1]!thsiFinD("ths_adjustment_nv_fund",O$3,$A481))</f>
        <v/>
      </c>
      <c r="P481" s="13" t="str">
        <f>IF($A481="","",[1]!thsiFinD("ths_adjustment_nv_fund",P$3,$A481))</f>
        <v/>
      </c>
      <c r="Q481" s="13" t="str">
        <f>IF($A481="","",[1]!thsiFinD("ths_adjustment_nv_fund",Q$3,$A481))</f>
        <v/>
      </c>
      <c r="R481" s="13" t="str">
        <f>IF($A481="","",[1]!thsiFinD("ths_adjustment_nv_fund",R$3,$A481))</f>
        <v/>
      </c>
      <c r="S481" s="13" t="str">
        <f>IF($A481="","",[1]!thsiFinD("ths_adjustment_nv_fund",S$3,$A481))</f>
        <v/>
      </c>
      <c r="T481" s="13" t="str">
        <f>IF($A481="","",[1]!thsiFinD("ths_adjustment_nv_fund",T$3,$A481))</f>
        <v/>
      </c>
      <c r="U481" s="13" t="str">
        <f>IF($A481="","",[1]!thsiFinD("ths_adjustment_nv_fund",U$3,$A481))</f>
        <v/>
      </c>
      <c r="V481" s="13" t="str">
        <f>IF($A481="","",[1]!thsiFinD("ths_adjustment_nv_fund",V$3,$A481))</f>
        <v/>
      </c>
      <c r="W481" s="13" t="str">
        <f>IF($A481="","",[1]!thsiFinD("ths_adjustment_nv_fund",W$3,$A481))</f>
        <v/>
      </c>
      <c r="X481" s="13" t="str">
        <f>IF($A481="","",[1]!thsiFinD("ths_adjustment_nv_fund",X$3,$A481))</f>
        <v/>
      </c>
      <c r="Y481" s="13" t="str">
        <f>IF($A481="","",[1]!thsiFinD("ths_adjustment_nv_fund",Y$3,$A481))</f>
        <v/>
      </c>
      <c r="Z481" s="13" t="str">
        <f>IF($A481="","",[1]!thsiFinD("ths_adjustment_nv_fund",Z$3,$A481))</f>
        <v/>
      </c>
      <c r="AA481" s="13" t="str">
        <f>IF($A481="","",[1]!thsiFinD("ths_adjustment_nv_fund",AA$3,$A481))</f>
        <v/>
      </c>
      <c r="AB481" s="13" t="str">
        <f>IF($A481="","",[1]!thsiFinD("ths_adjustment_nv_fund",AB$3,$A481))</f>
        <v/>
      </c>
    </row>
    <row r="482" spans="2:28">
      <c r="B482" s="13" t="str">
        <f>IF($A482="","",[1]!thsiFinD("ths_adjustment_nv_fund",B$3,$A482))</f>
        <v/>
      </c>
      <c r="C482" s="13" t="str">
        <f>IF($A482="","",[1]!thsiFinD("ths_adjustment_nv_fund",C$3,$A482))</f>
        <v/>
      </c>
      <c r="D482" s="13" t="str">
        <f>IF($A482="","",[1]!thsiFinD("ths_adjustment_nv_fund",D$3,$A482))</f>
        <v/>
      </c>
      <c r="E482" s="13" t="str">
        <f>IF($A482="","",[1]!thsiFinD("ths_adjustment_nv_fund",E$3,$A482))</f>
        <v/>
      </c>
      <c r="F482" s="13" t="str">
        <f>IF($A482="","",[1]!thsiFinD("ths_adjustment_nv_fund",F$3,$A482))</f>
        <v/>
      </c>
      <c r="G482" s="13" t="str">
        <f>IF($A482="","",[1]!thsiFinD("ths_adjustment_nv_fund",G$3,$A482))</f>
        <v/>
      </c>
      <c r="H482" s="13" t="str">
        <f>IF($A482="","",[1]!thsiFinD("ths_adjustment_nv_fund",H$3,$A482))</f>
        <v/>
      </c>
      <c r="I482" s="13" t="str">
        <f>IF($A482="","",[1]!thsiFinD("ths_adjustment_nv_fund",I$3,$A482))</f>
        <v/>
      </c>
      <c r="J482" s="13" t="str">
        <f>IF($A482="","",[1]!thsiFinD("ths_adjustment_nv_fund",J$3,$A482))</f>
        <v/>
      </c>
      <c r="K482" s="13" t="str">
        <f>IF($A482="","",[1]!thsiFinD("ths_adjustment_nv_fund",K$3,$A482))</f>
        <v/>
      </c>
      <c r="L482" s="13" t="str">
        <f>IF($A482="","",[1]!thsiFinD("ths_adjustment_nv_fund",L$3,$A482))</f>
        <v/>
      </c>
      <c r="M482" s="13" t="str">
        <f>IF($A482="","",[1]!thsiFinD("ths_adjustment_nv_fund",M$3,$A482))</f>
        <v/>
      </c>
      <c r="N482" s="13" t="str">
        <f>IF($A482="","",[1]!thsiFinD("ths_adjustment_nv_fund",N$3,$A482))</f>
        <v/>
      </c>
      <c r="O482" s="13" t="str">
        <f>IF($A482="","",[1]!thsiFinD("ths_adjustment_nv_fund",O$3,$A482))</f>
        <v/>
      </c>
      <c r="P482" s="13" t="str">
        <f>IF($A482="","",[1]!thsiFinD("ths_adjustment_nv_fund",P$3,$A482))</f>
        <v/>
      </c>
      <c r="Q482" s="13" t="str">
        <f>IF($A482="","",[1]!thsiFinD("ths_adjustment_nv_fund",Q$3,$A482))</f>
        <v/>
      </c>
      <c r="R482" s="13" t="str">
        <f>IF($A482="","",[1]!thsiFinD("ths_adjustment_nv_fund",R$3,$A482))</f>
        <v/>
      </c>
      <c r="S482" s="13" t="str">
        <f>IF($A482="","",[1]!thsiFinD("ths_adjustment_nv_fund",S$3,$A482))</f>
        <v/>
      </c>
      <c r="T482" s="13" t="str">
        <f>IF($A482="","",[1]!thsiFinD("ths_adjustment_nv_fund",T$3,$A482))</f>
        <v/>
      </c>
      <c r="U482" s="13" t="str">
        <f>IF($A482="","",[1]!thsiFinD("ths_adjustment_nv_fund",U$3,$A482))</f>
        <v/>
      </c>
      <c r="V482" s="13" t="str">
        <f>IF($A482="","",[1]!thsiFinD("ths_adjustment_nv_fund",V$3,$A482))</f>
        <v/>
      </c>
      <c r="W482" s="13" t="str">
        <f>IF($A482="","",[1]!thsiFinD("ths_adjustment_nv_fund",W$3,$A482))</f>
        <v/>
      </c>
      <c r="X482" s="13" t="str">
        <f>IF($A482="","",[1]!thsiFinD("ths_adjustment_nv_fund",X$3,$A482))</f>
        <v/>
      </c>
      <c r="Y482" s="13" t="str">
        <f>IF($A482="","",[1]!thsiFinD("ths_adjustment_nv_fund",Y$3,$A482))</f>
        <v/>
      </c>
      <c r="Z482" s="13" t="str">
        <f>IF($A482="","",[1]!thsiFinD("ths_adjustment_nv_fund",Z$3,$A482))</f>
        <v/>
      </c>
      <c r="AA482" s="13" t="str">
        <f>IF($A482="","",[1]!thsiFinD("ths_adjustment_nv_fund",AA$3,$A482))</f>
        <v/>
      </c>
      <c r="AB482" s="13" t="str">
        <f>IF($A482="","",[1]!thsiFinD("ths_adjustment_nv_fund",AB$3,$A482))</f>
        <v/>
      </c>
    </row>
    <row r="483" spans="2:28">
      <c r="B483" s="13" t="str">
        <f>IF($A483="","",[1]!thsiFinD("ths_adjustment_nv_fund",B$3,$A483))</f>
        <v/>
      </c>
      <c r="C483" s="13" t="str">
        <f>IF($A483="","",[1]!thsiFinD("ths_adjustment_nv_fund",C$3,$A483))</f>
        <v/>
      </c>
      <c r="D483" s="13" t="str">
        <f>IF($A483="","",[1]!thsiFinD("ths_adjustment_nv_fund",D$3,$A483))</f>
        <v/>
      </c>
      <c r="E483" s="13" t="str">
        <f>IF($A483="","",[1]!thsiFinD("ths_adjustment_nv_fund",E$3,$A483))</f>
        <v/>
      </c>
      <c r="F483" s="13" t="str">
        <f>IF($A483="","",[1]!thsiFinD("ths_adjustment_nv_fund",F$3,$A483))</f>
        <v/>
      </c>
      <c r="G483" s="13" t="str">
        <f>IF($A483="","",[1]!thsiFinD("ths_adjustment_nv_fund",G$3,$A483))</f>
        <v/>
      </c>
      <c r="H483" s="13" t="str">
        <f>IF($A483="","",[1]!thsiFinD("ths_adjustment_nv_fund",H$3,$A483))</f>
        <v/>
      </c>
      <c r="I483" s="13" t="str">
        <f>IF($A483="","",[1]!thsiFinD("ths_adjustment_nv_fund",I$3,$A483))</f>
        <v/>
      </c>
      <c r="J483" s="13" t="str">
        <f>IF($A483="","",[1]!thsiFinD("ths_adjustment_nv_fund",J$3,$A483))</f>
        <v/>
      </c>
      <c r="K483" s="13" t="str">
        <f>IF($A483="","",[1]!thsiFinD("ths_adjustment_nv_fund",K$3,$A483))</f>
        <v/>
      </c>
      <c r="L483" s="13" t="str">
        <f>IF($A483="","",[1]!thsiFinD("ths_adjustment_nv_fund",L$3,$A483))</f>
        <v/>
      </c>
      <c r="M483" s="13" t="str">
        <f>IF($A483="","",[1]!thsiFinD("ths_adjustment_nv_fund",M$3,$A483))</f>
        <v/>
      </c>
      <c r="N483" s="13" t="str">
        <f>IF($A483="","",[1]!thsiFinD("ths_adjustment_nv_fund",N$3,$A483))</f>
        <v/>
      </c>
      <c r="O483" s="13" t="str">
        <f>IF($A483="","",[1]!thsiFinD("ths_adjustment_nv_fund",O$3,$A483))</f>
        <v/>
      </c>
      <c r="P483" s="13" t="str">
        <f>IF($A483="","",[1]!thsiFinD("ths_adjustment_nv_fund",P$3,$A483))</f>
        <v/>
      </c>
      <c r="Q483" s="13" t="str">
        <f>IF($A483="","",[1]!thsiFinD("ths_adjustment_nv_fund",Q$3,$A483))</f>
        <v/>
      </c>
      <c r="R483" s="13" t="str">
        <f>IF($A483="","",[1]!thsiFinD("ths_adjustment_nv_fund",R$3,$A483))</f>
        <v/>
      </c>
      <c r="S483" s="13" t="str">
        <f>IF($A483="","",[1]!thsiFinD("ths_adjustment_nv_fund",S$3,$A483))</f>
        <v/>
      </c>
      <c r="T483" s="13" t="str">
        <f>IF($A483="","",[1]!thsiFinD("ths_adjustment_nv_fund",T$3,$A483))</f>
        <v/>
      </c>
      <c r="U483" s="13" t="str">
        <f>IF($A483="","",[1]!thsiFinD("ths_adjustment_nv_fund",U$3,$A483))</f>
        <v/>
      </c>
      <c r="V483" s="13" t="str">
        <f>IF($A483="","",[1]!thsiFinD("ths_adjustment_nv_fund",V$3,$A483))</f>
        <v/>
      </c>
      <c r="W483" s="13" t="str">
        <f>IF($A483="","",[1]!thsiFinD("ths_adjustment_nv_fund",W$3,$A483))</f>
        <v/>
      </c>
      <c r="X483" s="13" t="str">
        <f>IF($A483="","",[1]!thsiFinD("ths_adjustment_nv_fund",X$3,$A483))</f>
        <v/>
      </c>
      <c r="Y483" s="13" t="str">
        <f>IF($A483="","",[1]!thsiFinD("ths_adjustment_nv_fund",Y$3,$A483))</f>
        <v/>
      </c>
      <c r="Z483" s="13" t="str">
        <f>IF($A483="","",[1]!thsiFinD("ths_adjustment_nv_fund",Z$3,$A483))</f>
        <v/>
      </c>
      <c r="AA483" s="13" t="str">
        <f>IF($A483="","",[1]!thsiFinD("ths_adjustment_nv_fund",AA$3,$A483))</f>
        <v/>
      </c>
      <c r="AB483" s="13" t="str">
        <f>IF($A483="","",[1]!thsiFinD("ths_adjustment_nv_fund",AB$3,$A483))</f>
        <v/>
      </c>
    </row>
    <row r="484" spans="2:28">
      <c r="B484" s="13" t="str">
        <f>IF($A484="","",[1]!thsiFinD("ths_adjustment_nv_fund",B$3,$A484))</f>
        <v/>
      </c>
      <c r="C484" s="13" t="str">
        <f>IF($A484="","",[1]!thsiFinD("ths_adjustment_nv_fund",C$3,$A484))</f>
        <v/>
      </c>
      <c r="D484" s="13" t="str">
        <f>IF($A484="","",[1]!thsiFinD("ths_adjustment_nv_fund",D$3,$A484))</f>
        <v/>
      </c>
      <c r="E484" s="13" t="str">
        <f>IF($A484="","",[1]!thsiFinD("ths_adjustment_nv_fund",E$3,$A484))</f>
        <v/>
      </c>
      <c r="F484" s="13" t="str">
        <f>IF($A484="","",[1]!thsiFinD("ths_adjustment_nv_fund",F$3,$A484))</f>
        <v/>
      </c>
      <c r="G484" s="13" t="str">
        <f>IF($A484="","",[1]!thsiFinD("ths_adjustment_nv_fund",G$3,$A484))</f>
        <v/>
      </c>
      <c r="H484" s="13" t="str">
        <f>IF($A484="","",[1]!thsiFinD("ths_adjustment_nv_fund",H$3,$A484))</f>
        <v/>
      </c>
      <c r="I484" s="13" t="str">
        <f>IF($A484="","",[1]!thsiFinD("ths_adjustment_nv_fund",I$3,$A484))</f>
        <v/>
      </c>
      <c r="J484" s="13" t="str">
        <f>IF($A484="","",[1]!thsiFinD("ths_adjustment_nv_fund",J$3,$A484))</f>
        <v/>
      </c>
      <c r="K484" s="13" t="str">
        <f>IF($A484="","",[1]!thsiFinD("ths_adjustment_nv_fund",K$3,$A484))</f>
        <v/>
      </c>
      <c r="L484" s="13" t="str">
        <f>IF($A484="","",[1]!thsiFinD("ths_adjustment_nv_fund",L$3,$A484))</f>
        <v/>
      </c>
      <c r="M484" s="13" t="str">
        <f>IF($A484="","",[1]!thsiFinD("ths_adjustment_nv_fund",M$3,$A484))</f>
        <v/>
      </c>
      <c r="N484" s="13" t="str">
        <f>IF($A484="","",[1]!thsiFinD("ths_adjustment_nv_fund",N$3,$A484))</f>
        <v/>
      </c>
      <c r="O484" s="13" t="str">
        <f>IF($A484="","",[1]!thsiFinD("ths_adjustment_nv_fund",O$3,$A484))</f>
        <v/>
      </c>
      <c r="P484" s="13" t="str">
        <f>IF($A484="","",[1]!thsiFinD("ths_adjustment_nv_fund",P$3,$A484))</f>
        <v/>
      </c>
      <c r="Q484" s="13" t="str">
        <f>IF($A484="","",[1]!thsiFinD("ths_adjustment_nv_fund",Q$3,$A484))</f>
        <v/>
      </c>
      <c r="R484" s="13" t="str">
        <f>IF($A484="","",[1]!thsiFinD("ths_adjustment_nv_fund",R$3,$A484))</f>
        <v/>
      </c>
      <c r="S484" s="13" t="str">
        <f>IF($A484="","",[1]!thsiFinD("ths_adjustment_nv_fund",S$3,$A484))</f>
        <v/>
      </c>
      <c r="T484" s="13" t="str">
        <f>IF($A484="","",[1]!thsiFinD("ths_adjustment_nv_fund",T$3,$A484))</f>
        <v/>
      </c>
      <c r="U484" s="13" t="str">
        <f>IF($A484="","",[1]!thsiFinD("ths_adjustment_nv_fund",U$3,$A484))</f>
        <v/>
      </c>
      <c r="V484" s="13" t="str">
        <f>IF($A484="","",[1]!thsiFinD("ths_adjustment_nv_fund",V$3,$A484))</f>
        <v/>
      </c>
      <c r="W484" s="13" t="str">
        <f>IF($A484="","",[1]!thsiFinD("ths_adjustment_nv_fund",W$3,$A484))</f>
        <v/>
      </c>
      <c r="X484" s="13" t="str">
        <f>IF($A484="","",[1]!thsiFinD("ths_adjustment_nv_fund",X$3,$A484))</f>
        <v/>
      </c>
      <c r="Y484" s="13" t="str">
        <f>IF($A484="","",[1]!thsiFinD("ths_adjustment_nv_fund",Y$3,$A484))</f>
        <v/>
      </c>
      <c r="Z484" s="13" t="str">
        <f>IF($A484="","",[1]!thsiFinD("ths_adjustment_nv_fund",Z$3,$A484))</f>
        <v/>
      </c>
      <c r="AA484" s="13" t="str">
        <f>IF($A484="","",[1]!thsiFinD("ths_adjustment_nv_fund",AA$3,$A484))</f>
        <v/>
      </c>
      <c r="AB484" s="13" t="str">
        <f>IF($A484="","",[1]!thsiFinD("ths_adjustment_nv_fund",AB$3,$A484))</f>
        <v/>
      </c>
    </row>
    <row r="485" spans="2:28">
      <c r="B485" s="13" t="str">
        <f>IF($A485="","",[1]!thsiFinD("ths_adjustment_nv_fund",B$3,$A485))</f>
        <v/>
      </c>
      <c r="C485" s="13" t="str">
        <f>IF($A485="","",[1]!thsiFinD("ths_adjustment_nv_fund",C$3,$A485))</f>
        <v/>
      </c>
      <c r="D485" s="13" t="str">
        <f>IF($A485="","",[1]!thsiFinD("ths_adjustment_nv_fund",D$3,$A485))</f>
        <v/>
      </c>
      <c r="E485" s="13" t="str">
        <f>IF($A485="","",[1]!thsiFinD("ths_adjustment_nv_fund",E$3,$A485))</f>
        <v/>
      </c>
      <c r="F485" s="13" t="str">
        <f>IF($A485="","",[1]!thsiFinD("ths_adjustment_nv_fund",F$3,$A485))</f>
        <v/>
      </c>
      <c r="G485" s="13" t="str">
        <f>IF($A485="","",[1]!thsiFinD("ths_adjustment_nv_fund",G$3,$A485))</f>
        <v/>
      </c>
      <c r="H485" s="13" t="str">
        <f>IF($A485="","",[1]!thsiFinD("ths_adjustment_nv_fund",H$3,$A485))</f>
        <v/>
      </c>
      <c r="I485" s="13" t="str">
        <f>IF($A485="","",[1]!thsiFinD("ths_adjustment_nv_fund",I$3,$A485))</f>
        <v/>
      </c>
      <c r="J485" s="13" t="str">
        <f>IF($A485="","",[1]!thsiFinD("ths_adjustment_nv_fund",J$3,$A485))</f>
        <v/>
      </c>
      <c r="K485" s="13" t="str">
        <f>IF($A485="","",[1]!thsiFinD("ths_adjustment_nv_fund",K$3,$A485))</f>
        <v/>
      </c>
      <c r="L485" s="13" t="str">
        <f>IF($A485="","",[1]!thsiFinD("ths_adjustment_nv_fund",L$3,$A485))</f>
        <v/>
      </c>
      <c r="M485" s="13" t="str">
        <f>IF($A485="","",[1]!thsiFinD("ths_adjustment_nv_fund",M$3,$A485))</f>
        <v/>
      </c>
      <c r="N485" s="13" t="str">
        <f>IF($A485="","",[1]!thsiFinD("ths_adjustment_nv_fund",N$3,$A485))</f>
        <v/>
      </c>
      <c r="O485" s="13" t="str">
        <f>IF($A485="","",[1]!thsiFinD("ths_adjustment_nv_fund",O$3,$A485))</f>
        <v/>
      </c>
      <c r="P485" s="13" t="str">
        <f>IF($A485="","",[1]!thsiFinD("ths_adjustment_nv_fund",P$3,$A485))</f>
        <v/>
      </c>
      <c r="Q485" s="13" t="str">
        <f>IF($A485="","",[1]!thsiFinD("ths_adjustment_nv_fund",Q$3,$A485))</f>
        <v/>
      </c>
      <c r="R485" s="13" t="str">
        <f>IF($A485="","",[1]!thsiFinD("ths_adjustment_nv_fund",R$3,$A485))</f>
        <v/>
      </c>
      <c r="S485" s="13" t="str">
        <f>IF($A485="","",[1]!thsiFinD("ths_adjustment_nv_fund",S$3,$A485))</f>
        <v/>
      </c>
      <c r="T485" s="13" t="str">
        <f>IF($A485="","",[1]!thsiFinD("ths_adjustment_nv_fund",T$3,$A485))</f>
        <v/>
      </c>
      <c r="U485" s="13" t="str">
        <f>IF($A485="","",[1]!thsiFinD("ths_adjustment_nv_fund",U$3,$A485))</f>
        <v/>
      </c>
      <c r="V485" s="13" t="str">
        <f>IF($A485="","",[1]!thsiFinD("ths_adjustment_nv_fund",V$3,$A485))</f>
        <v/>
      </c>
      <c r="W485" s="13" t="str">
        <f>IF($A485="","",[1]!thsiFinD("ths_adjustment_nv_fund",W$3,$A485))</f>
        <v/>
      </c>
      <c r="X485" s="13" t="str">
        <f>IF($A485="","",[1]!thsiFinD("ths_adjustment_nv_fund",X$3,$A485))</f>
        <v/>
      </c>
      <c r="Y485" s="13" t="str">
        <f>IF($A485="","",[1]!thsiFinD("ths_adjustment_nv_fund",Y$3,$A485))</f>
        <v/>
      </c>
      <c r="Z485" s="13" t="str">
        <f>IF($A485="","",[1]!thsiFinD("ths_adjustment_nv_fund",Z$3,$A485))</f>
        <v/>
      </c>
      <c r="AA485" s="13" t="str">
        <f>IF($A485="","",[1]!thsiFinD("ths_adjustment_nv_fund",AA$3,$A485))</f>
        <v/>
      </c>
      <c r="AB485" s="13" t="str">
        <f>IF($A485="","",[1]!thsiFinD("ths_adjustment_nv_fund",AB$3,$A485))</f>
        <v/>
      </c>
    </row>
    <row r="486" spans="2:28">
      <c r="B486" s="13" t="str">
        <f>IF($A486="","",[1]!thsiFinD("ths_adjustment_nv_fund",B$3,$A486))</f>
        <v/>
      </c>
      <c r="C486" s="13" t="str">
        <f>IF($A486="","",[1]!thsiFinD("ths_adjustment_nv_fund",C$3,$A486))</f>
        <v/>
      </c>
      <c r="D486" s="13" t="str">
        <f>IF($A486="","",[1]!thsiFinD("ths_adjustment_nv_fund",D$3,$A486))</f>
        <v/>
      </c>
      <c r="E486" s="13" t="str">
        <f>IF($A486="","",[1]!thsiFinD("ths_adjustment_nv_fund",E$3,$A486))</f>
        <v/>
      </c>
      <c r="F486" s="13" t="str">
        <f>IF($A486="","",[1]!thsiFinD("ths_adjustment_nv_fund",F$3,$A486))</f>
        <v/>
      </c>
      <c r="G486" s="13" t="str">
        <f>IF($A486="","",[1]!thsiFinD("ths_adjustment_nv_fund",G$3,$A486))</f>
        <v/>
      </c>
      <c r="H486" s="13" t="str">
        <f>IF($A486="","",[1]!thsiFinD("ths_adjustment_nv_fund",H$3,$A486))</f>
        <v/>
      </c>
      <c r="I486" s="13" t="str">
        <f>IF($A486="","",[1]!thsiFinD("ths_adjustment_nv_fund",I$3,$A486))</f>
        <v/>
      </c>
      <c r="J486" s="13" t="str">
        <f>IF($A486="","",[1]!thsiFinD("ths_adjustment_nv_fund",J$3,$A486))</f>
        <v/>
      </c>
      <c r="K486" s="13" t="str">
        <f>IF($A486="","",[1]!thsiFinD("ths_adjustment_nv_fund",K$3,$A486))</f>
        <v/>
      </c>
      <c r="L486" s="13" t="str">
        <f>IF($A486="","",[1]!thsiFinD("ths_adjustment_nv_fund",L$3,$A486))</f>
        <v/>
      </c>
      <c r="M486" s="13" t="str">
        <f>IF($A486="","",[1]!thsiFinD("ths_adjustment_nv_fund",M$3,$A486))</f>
        <v/>
      </c>
      <c r="N486" s="13" t="str">
        <f>IF($A486="","",[1]!thsiFinD("ths_adjustment_nv_fund",N$3,$A486))</f>
        <v/>
      </c>
      <c r="O486" s="13" t="str">
        <f>IF($A486="","",[1]!thsiFinD("ths_adjustment_nv_fund",O$3,$A486))</f>
        <v/>
      </c>
      <c r="P486" s="13" t="str">
        <f>IF($A486="","",[1]!thsiFinD("ths_adjustment_nv_fund",P$3,$A486))</f>
        <v/>
      </c>
      <c r="Q486" s="13" t="str">
        <f>IF($A486="","",[1]!thsiFinD("ths_adjustment_nv_fund",Q$3,$A486))</f>
        <v/>
      </c>
      <c r="R486" s="13" t="str">
        <f>IF($A486="","",[1]!thsiFinD("ths_adjustment_nv_fund",R$3,$A486))</f>
        <v/>
      </c>
      <c r="S486" s="13" t="str">
        <f>IF($A486="","",[1]!thsiFinD("ths_adjustment_nv_fund",S$3,$A486))</f>
        <v/>
      </c>
      <c r="T486" s="13" t="str">
        <f>IF($A486="","",[1]!thsiFinD("ths_adjustment_nv_fund",T$3,$A486))</f>
        <v/>
      </c>
      <c r="U486" s="13" t="str">
        <f>IF($A486="","",[1]!thsiFinD("ths_adjustment_nv_fund",U$3,$A486))</f>
        <v/>
      </c>
      <c r="V486" s="13" t="str">
        <f>IF($A486="","",[1]!thsiFinD("ths_adjustment_nv_fund",V$3,$A486))</f>
        <v/>
      </c>
      <c r="W486" s="13" t="str">
        <f>IF($A486="","",[1]!thsiFinD("ths_adjustment_nv_fund",W$3,$A486))</f>
        <v/>
      </c>
      <c r="X486" s="13" t="str">
        <f>IF($A486="","",[1]!thsiFinD("ths_adjustment_nv_fund",X$3,$A486))</f>
        <v/>
      </c>
      <c r="Y486" s="13" t="str">
        <f>IF($A486="","",[1]!thsiFinD("ths_adjustment_nv_fund",Y$3,$A486))</f>
        <v/>
      </c>
      <c r="Z486" s="13" t="str">
        <f>IF($A486="","",[1]!thsiFinD("ths_adjustment_nv_fund",Z$3,$A486))</f>
        <v/>
      </c>
      <c r="AA486" s="13" t="str">
        <f>IF($A486="","",[1]!thsiFinD("ths_adjustment_nv_fund",AA$3,$A486))</f>
        <v/>
      </c>
      <c r="AB486" s="13" t="str">
        <f>IF($A486="","",[1]!thsiFinD("ths_adjustment_nv_fund",AB$3,$A486))</f>
        <v/>
      </c>
    </row>
    <row r="487" spans="2:28">
      <c r="B487" s="13" t="str">
        <f>IF($A487="","",[1]!thsiFinD("ths_adjustment_nv_fund",B$3,$A487))</f>
        <v/>
      </c>
      <c r="C487" s="13" t="str">
        <f>IF($A487="","",[1]!thsiFinD("ths_adjustment_nv_fund",C$3,$A487))</f>
        <v/>
      </c>
      <c r="D487" s="13" t="str">
        <f>IF($A487="","",[1]!thsiFinD("ths_adjustment_nv_fund",D$3,$A487))</f>
        <v/>
      </c>
      <c r="E487" s="13" t="str">
        <f>IF($A487="","",[1]!thsiFinD("ths_adjustment_nv_fund",E$3,$A487))</f>
        <v/>
      </c>
      <c r="F487" s="13" t="str">
        <f>IF($A487="","",[1]!thsiFinD("ths_adjustment_nv_fund",F$3,$A487))</f>
        <v/>
      </c>
      <c r="G487" s="13" t="str">
        <f>IF($A487="","",[1]!thsiFinD("ths_adjustment_nv_fund",G$3,$A487))</f>
        <v/>
      </c>
      <c r="H487" s="13" t="str">
        <f>IF($A487="","",[1]!thsiFinD("ths_adjustment_nv_fund",H$3,$A487))</f>
        <v/>
      </c>
      <c r="I487" s="13" t="str">
        <f>IF($A487="","",[1]!thsiFinD("ths_adjustment_nv_fund",I$3,$A487))</f>
        <v/>
      </c>
      <c r="J487" s="13" t="str">
        <f>IF($A487="","",[1]!thsiFinD("ths_adjustment_nv_fund",J$3,$A487))</f>
        <v/>
      </c>
      <c r="K487" s="13" t="str">
        <f>IF($A487="","",[1]!thsiFinD("ths_adjustment_nv_fund",K$3,$A487))</f>
        <v/>
      </c>
      <c r="L487" s="13" t="str">
        <f>IF($A487="","",[1]!thsiFinD("ths_adjustment_nv_fund",L$3,$A487))</f>
        <v/>
      </c>
      <c r="M487" s="13" t="str">
        <f>IF($A487="","",[1]!thsiFinD("ths_adjustment_nv_fund",M$3,$A487))</f>
        <v/>
      </c>
      <c r="N487" s="13" t="str">
        <f>IF($A487="","",[1]!thsiFinD("ths_adjustment_nv_fund",N$3,$A487))</f>
        <v/>
      </c>
      <c r="O487" s="13" t="str">
        <f>IF($A487="","",[1]!thsiFinD("ths_adjustment_nv_fund",O$3,$A487))</f>
        <v/>
      </c>
      <c r="P487" s="13" t="str">
        <f>IF($A487="","",[1]!thsiFinD("ths_adjustment_nv_fund",P$3,$A487))</f>
        <v/>
      </c>
      <c r="Q487" s="13" t="str">
        <f>IF($A487="","",[1]!thsiFinD("ths_adjustment_nv_fund",Q$3,$A487))</f>
        <v/>
      </c>
      <c r="R487" s="13" t="str">
        <f>IF($A487="","",[1]!thsiFinD("ths_adjustment_nv_fund",R$3,$A487))</f>
        <v/>
      </c>
      <c r="S487" s="13" t="str">
        <f>IF($A487="","",[1]!thsiFinD("ths_adjustment_nv_fund",S$3,$A487))</f>
        <v/>
      </c>
      <c r="T487" s="13" t="str">
        <f>IF($A487="","",[1]!thsiFinD("ths_adjustment_nv_fund",T$3,$A487))</f>
        <v/>
      </c>
      <c r="U487" s="13" t="str">
        <f>IF($A487="","",[1]!thsiFinD("ths_adjustment_nv_fund",U$3,$A487))</f>
        <v/>
      </c>
      <c r="V487" s="13" t="str">
        <f>IF($A487="","",[1]!thsiFinD("ths_adjustment_nv_fund",V$3,$A487))</f>
        <v/>
      </c>
      <c r="W487" s="13" t="str">
        <f>IF($A487="","",[1]!thsiFinD("ths_adjustment_nv_fund",W$3,$A487))</f>
        <v/>
      </c>
      <c r="X487" s="13" t="str">
        <f>IF($A487="","",[1]!thsiFinD("ths_adjustment_nv_fund",X$3,$A487))</f>
        <v/>
      </c>
      <c r="Y487" s="13" t="str">
        <f>IF($A487="","",[1]!thsiFinD("ths_adjustment_nv_fund",Y$3,$A487))</f>
        <v/>
      </c>
      <c r="Z487" s="13" t="str">
        <f>IF($A487="","",[1]!thsiFinD("ths_adjustment_nv_fund",Z$3,$A487))</f>
        <v/>
      </c>
      <c r="AA487" s="13" t="str">
        <f>IF($A487="","",[1]!thsiFinD("ths_adjustment_nv_fund",AA$3,$A487))</f>
        <v/>
      </c>
      <c r="AB487" s="13" t="str">
        <f>IF($A487="","",[1]!thsiFinD("ths_adjustment_nv_fund",AB$3,$A487))</f>
        <v/>
      </c>
    </row>
    <row r="488" spans="2:28">
      <c r="B488" s="13" t="str">
        <f>IF($A488="","",[1]!thsiFinD("ths_adjustment_nv_fund",B$3,$A488))</f>
        <v/>
      </c>
      <c r="C488" s="13" t="str">
        <f>IF($A488="","",[1]!thsiFinD("ths_adjustment_nv_fund",C$3,$A488))</f>
        <v/>
      </c>
      <c r="D488" s="13" t="str">
        <f>IF($A488="","",[1]!thsiFinD("ths_adjustment_nv_fund",D$3,$A488))</f>
        <v/>
      </c>
      <c r="E488" s="13" t="str">
        <f>IF($A488="","",[1]!thsiFinD("ths_adjustment_nv_fund",E$3,$A488))</f>
        <v/>
      </c>
      <c r="F488" s="13" t="str">
        <f>IF($A488="","",[1]!thsiFinD("ths_adjustment_nv_fund",F$3,$A488))</f>
        <v/>
      </c>
      <c r="G488" s="13" t="str">
        <f>IF($A488="","",[1]!thsiFinD("ths_adjustment_nv_fund",G$3,$A488))</f>
        <v/>
      </c>
      <c r="H488" s="13" t="str">
        <f>IF($A488="","",[1]!thsiFinD("ths_adjustment_nv_fund",H$3,$A488))</f>
        <v/>
      </c>
      <c r="I488" s="13" t="str">
        <f>IF($A488="","",[1]!thsiFinD("ths_adjustment_nv_fund",I$3,$A488))</f>
        <v/>
      </c>
      <c r="J488" s="13" t="str">
        <f>IF($A488="","",[1]!thsiFinD("ths_adjustment_nv_fund",J$3,$A488))</f>
        <v/>
      </c>
      <c r="K488" s="13" t="str">
        <f>IF($A488="","",[1]!thsiFinD("ths_adjustment_nv_fund",K$3,$A488))</f>
        <v/>
      </c>
      <c r="L488" s="13" t="str">
        <f>IF($A488="","",[1]!thsiFinD("ths_adjustment_nv_fund",L$3,$A488))</f>
        <v/>
      </c>
      <c r="M488" s="13" t="str">
        <f>IF($A488="","",[1]!thsiFinD("ths_adjustment_nv_fund",M$3,$A488))</f>
        <v/>
      </c>
      <c r="N488" s="13" t="str">
        <f>IF($A488="","",[1]!thsiFinD("ths_adjustment_nv_fund",N$3,$A488))</f>
        <v/>
      </c>
      <c r="O488" s="13" t="str">
        <f>IF($A488="","",[1]!thsiFinD("ths_adjustment_nv_fund",O$3,$A488))</f>
        <v/>
      </c>
      <c r="P488" s="13" t="str">
        <f>IF($A488="","",[1]!thsiFinD("ths_adjustment_nv_fund",P$3,$A488))</f>
        <v/>
      </c>
      <c r="Q488" s="13" t="str">
        <f>IF($A488="","",[1]!thsiFinD("ths_adjustment_nv_fund",Q$3,$A488))</f>
        <v/>
      </c>
      <c r="R488" s="13" t="str">
        <f>IF($A488="","",[1]!thsiFinD("ths_adjustment_nv_fund",R$3,$A488))</f>
        <v/>
      </c>
      <c r="S488" s="13" t="str">
        <f>IF($A488="","",[1]!thsiFinD("ths_adjustment_nv_fund",S$3,$A488))</f>
        <v/>
      </c>
      <c r="T488" s="13" t="str">
        <f>IF($A488="","",[1]!thsiFinD("ths_adjustment_nv_fund",T$3,$A488))</f>
        <v/>
      </c>
      <c r="U488" s="13" t="str">
        <f>IF($A488="","",[1]!thsiFinD("ths_adjustment_nv_fund",U$3,$A488))</f>
        <v/>
      </c>
      <c r="V488" s="13" t="str">
        <f>IF($A488="","",[1]!thsiFinD("ths_adjustment_nv_fund",V$3,$A488))</f>
        <v/>
      </c>
      <c r="W488" s="13" t="str">
        <f>IF($A488="","",[1]!thsiFinD("ths_adjustment_nv_fund",W$3,$A488))</f>
        <v/>
      </c>
      <c r="X488" s="13" t="str">
        <f>IF($A488="","",[1]!thsiFinD("ths_adjustment_nv_fund",X$3,$A488))</f>
        <v/>
      </c>
      <c r="Y488" s="13" t="str">
        <f>IF($A488="","",[1]!thsiFinD("ths_adjustment_nv_fund",Y$3,$A488))</f>
        <v/>
      </c>
      <c r="Z488" s="13" t="str">
        <f>IF($A488="","",[1]!thsiFinD("ths_adjustment_nv_fund",Z$3,$A488))</f>
        <v/>
      </c>
      <c r="AA488" s="13" t="str">
        <f>IF($A488="","",[1]!thsiFinD("ths_adjustment_nv_fund",AA$3,$A488))</f>
        <v/>
      </c>
      <c r="AB488" s="13" t="str">
        <f>IF($A488="","",[1]!thsiFinD("ths_adjustment_nv_fund",AB$3,$A488))</f>
        <v/>
      </c>
    </row>
    <row r="489" spans="2:28">
      <c r="B489" s="13" t="str">
        <f>IF($A489="","",[1]!thsiFinD("ths_adjustment_nv_fund",B$3,$A489))</f>
        <v/>
      </c>
      <c r="C489" s="13" t="str">
        <f>IF($A489="","",[1]!thsiFinD("ths_adjustment_nv_fund",C$3,$A489))</f>
        <v/>
      </c>
      <c r="D489" s="13" t="str">
        <f>IF($A489="","",[1]!thsiFinD("ths_adjustment_nv_fund",D$3,$A489))</f>
        <v/>
      </c>
      <c r="E489" s="13" t="str">
        <f>IF($A489="","",[1]!thsiFinD("ths_adjustment_nv_fund",E$3,$A489))</f>
        <v/>
      </c>
      <c r="F489" s="13" t="str">
        <f>IF($A489="","",[1]!thsiFinD("ths_adjustment_nv_fund",F$3,$A489))</f>
        <v/>
      </c>
      <c r="G489" s="13" t="str">
        <f>IF($A489="","",[1]!thsiFinD("ths_adjustment_nv_fund",G$3,$A489))</f>
        <v/>
      </c>
      <c r="H489" s="13" t="str">
        <f>IF($A489="","",[1]!thsiFinD("ths_adjustment_nv_fund",H$3,$A489))</f>
        <v/>
      </c>
      <c r="I489" s="13" t="str">
        <f>IF($A489="","",[1]!thsiFinD("ths_adjustment_nv_fund",I$3,$A489))</f>
        <v/>
      </c>
      <c r="J489" s="13" t="str">
        <f>IF($A489="","",[1]!thsiFinD("ths_adjustment_nv_fund",J$3,$A489))</f>
        <v/>
      </c>
      <c r="K489" s="13" t="str">
        <f>IF($A489="","",[1]!thsiFinD("ths_adjustment_nv_fund",K$3,$A489))</f>
        <v/>
      </c>
      <c r="L489" s="13" t="str">
        <f>IF($A489="","",[1]!thsiFinD("ths_adjustment_nv_fund",L$3,$A489))</f>
        <v/>
      </c>
      <c r="M489" s="13" t="str">
        <f>IF($A489="","",[1]!thsiFinD("ths_adjustment_nv_fund",M$3,$A489))</f>
        <v/>
      </c>
      <c r="N489" s="13" t="str">
        <f>IF($A489="","",[1]!thsiFinD("ths_adjustment_nv_fund",N$3,$A489))</f>
        <v/>
      </c>
      <c r="O489" s="13" t="str">
        <f>IF($A489="","",[1]!thsiFinD("ths_adjustment_nv_fund",O$3,$A489))</f>
        <v/>
      </c>
      <c r="P489" s="13" t="str">
        <f>IF($A489="","",[1]!thsiFinD("ths_adjustment_nv_fund",P$3,$A489))</f>
        <v/>
      </c>
      <c r="Q489" s="13" t="str">
        <f>IF($A489="","",[1]!thsiFinD("ths_adjustment_nv_fund",Q$3,$A489))</f>
        <v/>
      </c>
      <c r="R489" s="13" t="str">
        <f>IF($A489="","",[1]!thsiFinD("ths_adjustment_nv_fund",R$3,$A489))</f>
        <v/>
      </c>
      <c r="S489" s="13" t="str">
        <f>IF($A489="","",[1]!thsiFinD("ths_adjustment_nv_fund",S$3,$A489))</f>
        <v/>
      </c>
      <c r="T489" s="13" t="str">
        <f>IF($A489="","",[1]!thsiFinD("ths_adjustment_nv_fund",T$3,$A489))</f>
        <v/>
      </c>
      <c r="U489" s="13" t="str">
        <f>IF($A489="","",[1]!thsiFinD("ths_adjustment_nv_fund",U$3,$A489))</f>
        <v/>
      </c>
      <c r="V489" s="13" t="str">
        <f>IF($A489="","",[1]!thsiFinD("ths_adjustment_nv_fund",V$3,$A489))</f>
        <v/>
      </c>
      <c r="W489" s="13" t="str">
        <f>IF($A489="","",[1]!thsiFinD("ths_adjustment_nv_fund",W$3,$A489))</f>
        <v/>
      </c>
      <c r="X489" s="13" t="str">
        <f>IF($A489="","",[1]!thsiFinD("ths_adjustment_nv_fund",X$3,$A489))</f>
        <v/>
      </c>
      <c r="Y489" s="13" t="str">
        <f>IF($A489="","",[1]!thsiFinD("ths_adjustment_nv_fund",Y$3,$A489))</f>
        <v/>
      </c>
      <c r="Z489" s="13" t="str">
        <f>IF($A489="","",[1]!thsiFinD("ths_adjustment_nv_fund",Z$3,$A489))</f>
        <v/>
      </c>
      <c r="AA489" s="13" t="str">
        <f>IF($A489="","",[1]!thsiFinD("ths_adjustment_nv_fund",AA$3,$A489))</f>
        <v/>
      </c>
      <c r="AB489" s="13" t="str">
        <f>IF($A489="","",[1]!thsiFinD("ths_adjustment_nv_fund",AB$3,$A489))</f>
        <v/>
      </c>
    </row>
    <row r="490" spans="2:28">
      <c r="B490" s="13" t="str">
        <f>IF($A490="","",[1]!thsiFinD("ths_adjustment_nv_fund",B$3,$A490))</f>
        <v/>
      </c>
      <c r="C490" s="13" t="str">
        <f>IF($A490="","",[1]!thsiFinD("ths_adjustment_nv_fund",C$3,$A490))</f>
        <v/>
      </c>
      <c r="D490" s="13" t="str">
        <f>IF($A490="","",[1]!thsiFinD("ths_adjustment_nv_fund",D$3,$A490))</f>
        <v/>
      </c>
      <c r="E490" s="13" t="str">
        <f>IF($A490="","",[1]!thsiFinD("ths_adjustment_nv_fund",E$3,$A490))</f>
        <v/>
      </c>
      <c r="F490" s="13" t="str">
        <f>IF($A490="","",[1]!thsiFinD("ths_adjustment_nv_fund",F$3,$A490))</f>
        <v/>
      </c>
      <c r="G490" s="13" t="str">
        <f>IF($A490="","",[1]!thsiFinD("ths_adjustment_nv_fund",G$3,$A490))</f>
        <v/>
      </c>
      <c r="H490" s="13" t="str">
        <f>IF($A490="","",[1]!thsiFinD("ths_adjustment_nv_fund",H$3,$A490))</f>
        <v/>
      </c>
      <c r="I490" s="13" t="str">
        <f>IF($A490="","",[1]!thsiFinD("ths_adjustment_nv_fund",I$3,$A490))</f>
        <v/>
      </c>
      <c r="J490" s="13" t="str">
        <f>IF($A490="","",[1]!thsiFinD("ths_adjustment_nv_fund",J$3,$A490))</f>
        <v/>
      </c>
      <c r="K490" s="13" t="str">
        <f>IF($A490="","",[1]!thsiFinD("ths_adjustment_nv_fund",K$3,$A490))</f>
        <v/>
      </c>
      <c r="L490" s="13" t="str">
        <f>IF($A490="","",[1]!thsiFinD("ths_adjustment_nv_fund",L$3,$A490))</f>
        <v/>
      </c>
      <c r="M490" s="13" t="str">
        <f>IF($A490="","",[1]!thsiFinD("ths_adjustment_nv_fund",M$3,$A490))</f>
        <v/>
      </c>
      <c r="N490" s="13" t="str">
        <f>IF($A490="","",[1]!thsiFinD("ths_adjustment_nv_fund",N$3,$A490))</f>
        <v/>
      </c>
      <c r="O490" s="13" t="str">
        <f>IF($A490="","",[1]!thsiFinD("ths_adjustment_nv_fund",O$3,$A490))</f>
        <v/>
      </c>
      <c r="P490" s="13" t="str">
        <f>IF($A490="","",[1]!thsiFinD("ths_adjustment_nv_fund",P$3,$A490))</f>
        <v/>
      </c>
      <c r="Q490" s="13" t="str">
        <f>IF($A490="","",[1]!thsiFinD("ths_adjustment_nv_fund",Q$3,$A490))</f>
        <v/>
      </c>
      <c r="R490" s="13" t="str">
        <f>IF($A490="","",[1]!thsiFinD("ths_adjustment_nv_fund",R$3,$A490))</f>
        <v/>
      </c>
      <c r="S490" s="13" t="str">
        <f>IF($A490="","",[1]!thsiFinD("ths_adjustment_nv_fund",S$3,$A490))</f>
        <v/>
      </c>
      <c r="T490" s="13" t="str">
        <f>IF($A490="","",[1]!thsiFinD("ths_adjustment_nv_fund",T$3,$A490))</f>
        <v/>
      </c>
      <c r="U490" s="13" t="str">
        <f>IF($A490="","",[1]!thsiFinD("ths_adjustment_nv_fund",U$3,$A490))</f>
        <v/>
      </c>
      <c r="V490" s="13" t="str">
        <f>IF($A490="","",[1]!thsiFinD("ths_adjustment_nv_fund",V$3,$A490))</f>
        <v/>
      </c>
      <c r="W490" s="13" t="str">
        <f>IF($A490="","",[1]!thsiFinD("ths_adjustment_nv_fund",W$3,$A490))</f>
        <v/>
      </c>
      <c r="X490" s="13" t="str">
        <f>IF($A490="","",[1]!thsiFinD("ths_adjustment_nv_fund",X$3,$A490))</f>
        <v/>
      </c>
      <c r="Y490" s="13" t="str">
        <f>IF($A490="","",[1]!thsiFinD("ths_adjustment_nv_fund",Y$3,$A490))</f>
        <v/>
      </c>
      <c r="Z490" s="13" t="str">
        <f>IF($A490="","",[1]!thsiFinD("ths_adjustment_nv_fund",Z$3,$A490))</f>
        <v/>
      </c>
      <c r="AA490" s="13" t="str">
        <f>IF($A490="","",[1]!thsiFinD("ths_adjustment_nv_fund",AA$3,$A490))</f>
        <v/>
      </c>
      <c r="AB490" s="13" t="str">
        <f>IF($A490="","",[1]!thsiFinD("ths_adjustment_nv_fund",AB$3,$A490))</f>
        <v/>
      </c>
    </row>
    <row r="491" spans="2:28">
      <c r="B491" s="13" t="str">
        <f>IF($A491="","",[1]!thsiFinD("ths_adjustment_nv_fund",B$3,$A491))</f>
        <v/>
      </c>
      <c r="C491" s="13" t="str">
        <f>IF($A491="","",[1]!thsiFinD("ths_adjustment_nv_fund",C$3,$A491))</f>
        <v/>
      </c>
      <c r="D491" s="13" t="str">
        <f>IF($A491="","",[1]!thsiFinD("ths_adjustment_nv_fund",D$3,$A491))</f>
        <v/>
      </c>
      <c r="E491" s="13" t="str">
        <f>IF($A491="","",[1]!thsiFinD("ths_adjustment_nv_fund",E$3,$A491))</f>
        <v/>
      </c>
      <c r="F491" s="13" t="str">
        <f>IF($A491="","",[1]!thsiFinD("ths_adjustment_nv_fund",F$3,$A491))</f>
        <v/>
      </c>
      <c r="G491" s="13" t="str">
        <f>IF($A491="","",[1]!thsiFinD("ths_adjustment_nv_fund",G$3,$A491))</f>
        <v/>
      </c>
      <c r="H491" s="13" t="str">
        <f>IF($A491="","",[1]!thsiFinD("ths_adjustment_nv_fund",H$3,$A491))</f>
        <v/>
      </c>
      <c r="I491" s="13" t="str">
        <f>IF($A491="","",[1]!thsiFinD("ths_adjustment_nv_fund",I$3,$A491))</f>
        <v/>
      </c>
      <c r="J491" s="13" t="str">
        <f>IF($A491="","",[1]!thsiFinD("ths_adjustment_nv_fund",J$3,$A491))</f>
        <v/>
      </c>
      <c r="K491" s="13" t="str">
        <f>IF($A491="","",[1]!thsiFinD("ths_adjustment_nv_fund",K$3,$A491))</f>
        <v/>
      </c>
      <c r="L491" s="13" t="str">
        <f>IF($A491="","",[1]!thsiFinD("ths_adjustment_nv_fund",L$3,$A491))</f>
        <v/>
      </c>
      <c r="M491" s="13" t="str">
        <f>IF($A491="","",[1]!thsiFinD("ths_adjustment_nv_fund",M$3,$A491))</f>
        <v/>
      </c>
      <c r="N491" s="13" t="str">
        <f>IF($A491="","",[1]!thsiFinD("ths_adjustment_nv_fund",N$3,$A491))</f>
        <v/>
      </c>
      <c r="O491" s="13" t="str">
        <f>IF($A491="","",[1]!thsiFinD("ths_adjustment_nv_fund",O$3,$A491))</f>
        <v/>
      </c>
      <c r="P491" s="13" t="str">
        <f>IF($A491="","",[1]!thsiFinD("ths_adjustment_nv_fund",P$3,$A491))</f>
        <v/>
      </c>
      <c r="Q491" s="13" t="str">
        <f>IF($A491="","",[1]!thsiFinD("ths_adjustment_nv_fund",Q$3,$A491))</f>
        <v/>
      </c>
      <c r="R491" s="13" t="str">
        <f>IF($A491="","",[1]!thsiFinD("ths_adjustment_nv_fund",R$3,$A491))</f>
        <v/>
      </c>
      <c r="S491" s="13" t="str">
        <f>IF($A491="","",[1]!thsiFinD("ths_adjustment_nv_fund",S$3,$A491))</f>
        <v/>
      </c>
      <c r="T491" s="13" t="str">
        <f>IF($A491="","",[1]!thsiFinD("ths_adjustment_nv_fund",T$3,$A491))</f>
        <v/>
      </c>
      <c r="U491" s="13" t="str">
        <f>IF($A491="","",[1]!thsiFinD("ths_adjustment_nv_fund",U$3,$A491))</f>
        <v/>
      </c>
      <c r="V491" s="13" t="str">
        <f>IF($A491="","",[1]!thsiFinD("ths_adjustment_nv_fund",V$3,$A491))</f>
        <v/>
      </c>
      <c r="W491" s="13" t="str">
        <f>IF($A491="","",[1]!thsiFinD("ths_adjustment_nv_fund",W$3,$A491))</f>
        <v/>
      </c>
      <c r="X491" s="13" t="str">
        <f>IF($A491="","",[1]!thsiFinD("ths_adjustment_nv_fund",X$3,$A491))</f>
        <v/>
      </c>
      <c r="Y491" s="13" t="str">
        <f>IF($A491="","",[1]!thsiFinD("ths_adjustment_nv_fund",Y$3,$A491))</f>
        <v/>
      </c>
      <c r="Z491" s="13" t="str">
        <f>IF($A491="","",[1]!thsiFinD("ths_adjustment_nv_fund",Z$3,$A491))</f>
        <v/>
      </c>
      <c r="AA491" s="13" t="str">
        <f>IF($A491="","",[1]!thsiFinD("ths_adjustment_nv_fund",AA$3,$A491))</f>
        <v/>
      </c>
      <c r="AB491" s="13" t="str">
        <f>IF($A491="","",[1]!thsiFinD("ths_adjustment_nv_fund",AB$3,$A491))</f>
        <v/>
      </c>
    </row>
    <row r="492" spans="2:28">
      <c r="B492" s="13" t="str">
        <f>IF($A492="","",[1]!thsiFinD("ths_adjustment_nv_fund",B$3,$A492))</f>
        <v/>
      </c>
      <c r="C492" s="13" t="str">
        <f>IF($A492="","",[1]!thsiFinD("ths_adjustment_nv_fund",C$3,$A492))</f>
        <v/>
      </c>
      <c r="D492" s="13" t="str">
        <f>IF($A492="","",[1]!thsiFinD("ths_adjustment_nv_fund",D$3,$A492))</f>
        <v/>
      </c>
      <c r="E492" s="13" t="str">
        <f>IF($A492="","",[1]!thsiFinD("ths_adjustment_nv_fund",E$3,$A492))</f>
        <v/>
      </c>
      <c r="F492" s="13" t="str">
        <f>IF($A492="","",[1]!thsiFinD("ths_adjustment_nv_fund",F$3,$A492))</f>
        <v/>
      </c>
      <c r="G492" s="13" t="str">
        <f>IF($A492="","",[1]!thsiFinD("ths_adjustment_nv_fund",G$3,$A492))</f>
        <v/>
      </c>
      <c r="H492" s="13" t="str">
        <f>IF($A492="","",[1]!thsiFinD("ths_adjustment_nv_fund",H$3,$A492))</f>
        <v/>
      </c>
      <c r="I492" s="13" t="str">
        <f>IF($A492="","",[1]!thsiFinD("ths_adjustment_nv_fund",I$3,$A492))</f>
        <v/>
      </c>
      <c r="J492" s="13" t="str">
        <f>IF($A492="","",[1]!thsiFinD("ths_adjustment_nv_fund",J$3,$A492))</f>
        <v/>
      </c>
      <c r="K492" s="13" t="str">
        <f>IF($A492="","",[1]!thsiFinD("ths_adjustment_nv_fund",K$3,$A492))</f>
        <v/>
      </c>
      <c r="L492" s="13" t="str">
        <f>IF($A492="","",[1]!thsiFinD("ths_adjustment_nv_fund",L$3,$A492))</f>
        <v/>
      </c>
      <c r="M492" s="13" t="str">
        <f>IF($A492="","",[1]!thsiFinD("ths_adjustment_nv_fund",M$3,$A492))</f>
        <v/>
      </c>
      <c r="N492" s="13" t="str">
        <f>IF($A492="","",[1]!thsiFinD("ths_adjustment_nv_fund",N$3,$A492))</f>
        <v/>
      </c>
      <c r="O492" s="13" t="str">
        <f>IF($A492="","",[1]!thsiFinD("ths_adjustment_nv_fund",O$3,$A492))</f>
        <v/>
      </c>
      <c r="P492" s="13" t="str">
        <f>IF($A492="","",[1]!thsiFinD("ths_adjustment_nv_fund",P$3,$A492))</f>
        <v/>
      </c>
      <c r="Q492" s="13" t="str">
        <f>IF($A492="","",[1]!thsiFinD("ths_adjustment_nv_fund",Q$3,$A492))</f>
        <v/>
      </c>
      <c r="R492" s="13" t="str">
        <f>IF($A492="","",[1]!thsiFinD("ths_adjustment_nv_fund",R$3,$A492))</f>
        <v/>
      </c>
      <c r="S492" s="13" t="str">
        <f>IF($A492="","",[1]!thsiFinD("ths_adjustment_nv_fund",S$3,$A492))</f>
        <v/>
      </c>
      <c r="T492" s="13" t="str">
        <f>IF($A492="","",[1]!thsiFinD("ths_adjustment_nv_fund",T$3,$A492))</f>
        <v/>
      </c>
      <c r="U492" s="13" t="str">
        <f>IF($A492="","",[1]!thsiFinD("ths_adjustment_nv_fund",U$3,$A492))</f>
        <v/>
      </c>
      <c r="V492" s="13" t="str">
        <f>IF($A492="","",[1]!thsiFinD("ths_adjustment_nv_fund",V$3,$A492))</f>
        <v/>
      </c>
      <c r="W492" s="13" t="str">
        <f>IF($A492="","",[1]!thsiFinD("ths_adjustment_nv_fund",W$3,$A492))</f>
        <v/>
      </c>
      <c r="X492" s="13" t="str">
        <f>IF($A492="","",[1]!thsiFinD("ths_adjustment_nv_fund",X$3,$A492))</f>
        <v/>
      </c>
      <c r="Y492" s="13" t="str">
        <f>IF($A492="","",[1]!thsiFinD("ths_adjustment_nv_fund",Y$3,$A492))</f>
        <v/>
      </c>
      <c r="Z492" s="13" t="str">
        <f>IF($A492="","",[1]!thsiFinD("ths_adjustment_nv_fund",Z$3,$A492))</f>
        <v/>
      </c>
      <c r="AA492" s="13" t="str">
        <f>IF($A492="","",[1]!thsiFinD("ths_adjustment_nv_fund",AA$3,$A492))</f>
        <v/>
      </c>
      <c r="AB492" s="13" t="str">
        <f>IF($A492="","",[1]!thsiFinD("ths_adjustment_nv_fund",AB$3,$A492))</f>
        <v/>
      </c>
    </row>
    <row r="493" spans="2:28">
      <c r="B493" s="13" t="str">
        <f>IF($A493="","",[1]!thsiFinD("ths_adjustment_nv_fund",B$3,$A493))</f>
        <v/>
      </c>
      <c r="C493" s="13" t="str">
        <f>IF($A493="","",[1]!thsiFinD("ths_adjustment_nv_fund",C$3,$A493))</f>
        <v/>
      </c>
      <c r="D493" s="13" t="str">
        <f>IF($A493="","",[1]!thsiFinD("ths_adjustment_nv_fund",D$3,$A493))</f>
        <v/>
      </c>
      <c r="E493" s="13" t="str">
        <f>IF($A493="","",[1]!thsiFinD("ths_adjustment_nv_fund",E$3,$A493))</f>
        <v/>
      </c>
      <c r="F493" s="13" t="str">
        <f>IF($A493="","",[1]!thsiFinD("ths_adjustment_nv_fund",F$3,$A493))</f>
        <v/>
      </c>
      <c r="G493" s="13" t="str">
        <f>IF($A493="","",[1]!thsiFinD("ths_adjustment_nv_fund",G$3,$A493))</f>
        <v/>
      </c>
      <c r="H493" s="13" t="str">
        <f>IF($A493="","",[1]!thsiFinD("ths_adjustment_nv_fund",H$3,$A493))</f>
        <v/>
      </c>
      <c r="I493" s="13" t="str">
        <f>IF($A493="","",[1]!thsiFinD("ths_adjustment_nv_fund",I$3,$A493))</f>
        <v/>
      </c>
      <c r="J493" s="13" t="str">
        <f>IF($A493="","",[1]!thsiFinD("ths_adjustment_nv_fund",J$3,$A493))</f>
        <v/>
      </c>
      <c r="K493" s="13" t="str">
        <f>IF($A493="","",[1]!thsiFinD("ths_adjustment_nv_fund",K$3,$A493))</f>
        <v/>
      </c>
      <c r="L493" s="13" t="str">
        <f>IF($A493="","",[1]!thsiFinD("ths_adjustment_nv_fund",L$3,$A493))</f>
        <v/>
      </c>
      <c r="M493" s="13" t="str">
        <f>IF($A493="","",[1]!thsiFinD("ths_adjustment_nv_fund",M$3,$A493))</f>
        <v/>
      </c>
      <c r="N493" s="13" t="str">
        <f>IF($A493="","",[1]!thsiFinD("ths_adjustment_nv_fund",N$3,$A493))</f>
        <v/>
      </c>
      <c r="O493" s="13" t="str">
        <f>IF($A493="","",[1]!thsiFinD("ths_adjustment_nv_fund",O$3,$A493))</f>
        <v/>
      </c>
      <c r="P493" s="13" t="str">
        <f>IF($A493="","",[1]!thsiFinD("ths_adjustment_nv_fund",P$3,$A493))</f>
        <v/>
      </c>
      <c r="Q493" s="13" t="str">
        <f>IF($A493="","",[1]!thsiFinD("ths_adjustment_nv_fund",Q$3,$A493))</f>
        <v/>
      </c>
      <c r="R493" s="13" t="str">
        <f>IF($A493="","",[1]!thsiFinD("ths_adjustment_nv_fund",R$3,$A493))</f>
        <v/>
      </c>
      <c r="S493" s="13" t="str">
        <f>IF($A493="","",[1]!thsiFinD("ths_adjustment_nv_fund",S$3,$A493))</f>
        <v/>
      </c>
      <c r="T493" s="13" t="str">
        <f>IF($A493="","",[1]!thsiFinD("ths_adjustment_nv_fund",T$3,$A493))</f>
        <v/>
      </c>
      <c r="U493" s="13" t="str">
        <f>IF($A493="","",[1]!thsiFinD("ths_adjustment_nv_fund",U$3,$A493))</f>
        <v/>
      </c>
      <c r="V493" s="13" t="str">
        <f>IF($A493="","",[1]!thsiFinD("ths_adjustment_nv_fund",V$3,$A493))</f>
        <v/>
      </c>
      <c r="W493" s="13" t="str">
        <f>IF($A493="","",[1]!thsiFinD("ths_adjustment_nv_fund",W$3,$A493))</f>
        <v/>
      </c>
      <c r="X493" s="13" t="str">
        <f>IF($A493="","",[1]!thsiFinD("ths_adjustment_nv_fund",X$3,$A493))</f>
        <v/>
      </c>
      <c r="Y493" s="13" t="str">
        <f>IF($A493="","",[1]!thsiFinD("ths_adjustment_nv_fund",Y$3,$A493))</f>
        <v/>
      </c>
      <c r="Z493" s="13" t="str">
        <f>IF($A493="","",[1]!thsiFinD("ths_adjustment_nv_fund",Z$3,$A493))</f>
        <v/>
      </c>
      <c r="AA493" s="13" t="str">
        <f>IF($A493="","",[1]!thsiFinD("ths_adjustment_nv_fund",AA$3,$A493))</f>
        <v/>
      </c>
      <c r="AB493" s="13" t="str">
        <f>IF($A493="","",[1]!thsiFinD("ths_adjustment_nv_fund",AB$3,$A493))</f>
        <v/>
      </c>
    </row>
    <row r="494" spans="2:28">
      <c r="B494" s="13" t="str">
        <f>IF($A494="","",[1]!thsiFinD("ths_adjustment_nv_fund",B$3,$A494))</f>
        <v/>
      </c>
      <c r="C494" s="13" t="str">
        <f>IF($A494="","",[1]!thsiFinD("ths_adjustment_nv_fund",C$3,$A494))</f>
        <v/>
      </c>
      <c r="D494" s="13" t="str">
        <f>IF($A494="","",[1]!thsiFinD("ths_adjustment_nv_fund",D$3,$A494))</f>
        <v/>
      </c>
      <c r="E494" s="13" t="str">
        <f>IF($A494="","",[1]!thsiFinD("ths_adjustment_nv_fund",E$3,$A494))</f>
        <v/>
      </c>
      <c r="F494" s="13" t="str">
        <f>IF($A494="","",[1]!thsiFinD("ths_adjustment_nv_fund",F$3,$A494))</f>
        <v/>
      </c>
      <c r="G494" s="13" t="str">
        <f>IF($A494="","",[1]!thsiFinD("ths_adjustment_nv_fund",G$3,$A494))</f>
        <v/>
      </c>
      <c r="H494" s="13" t="str">
        <f>IF($A494="","",[1]!thsiFinD("ths_adjustment_nv_fund",H$3,$A494))</f>
        <v/>
      </c>
      <c r="I494" s="13" t="str">
        <f>IF($A494="","",[1]!thsiFinD("ths_adjustment_nv_fund",I$3,$A494))</f>
        <v/>
      </c>
      <c r="J494" s="13" t="str">
        <f>IF($A494="","",[1]!thsiFinD("ths_adjustment_nv_fund",J$3,$A494))</f>
        <v/>
      </c>
      <c r="K494" s="13" t="str">
        <f>IF($A494="","",[1]!thsiFinD("ths_adjustment_nv_fund",K$3,$A494))</f>
        <v/>
      </c>
      <c r="L494" s="13" t="str">
        <f>IF($A494="","",[1]!thsiFinD("ths_adjustment_nv_fund",L$3,$A494))</f>
        <v/>
      </c>
      <c r="M494" s="13" t="str">
        <f>IF($A494="","",[1]!thsiFinD("ths_adjustment_nv_fund",M$3,$A494))</f>
        <v/>
      </c>
      <c r="N494" s="13" t="str">
        <f>IF($A494="","",[1]!thsiFinD("ths_adjustment_nv_fund",N$3,$A494))</f>
        <v/>
      </c>
      <c r="O494" s="13" t="str">
        <f>IF($A494="","",[1]!thsiFinD("ths_adjustment_nv_fund",O$3,$A494))</f>
        <v/>
      </c>
      <c r="P494" s="13" t="str">
        <f>IF($A494="","",[1]!thsiFinD("ths_adjustment_nv_fund",P$3,$A494))</f>
        <v/>
      </c>
      <c r="Q494" s="13" t="str">
        <f>IF($A494="","",[1]!thsiFinD("ths_adjustment_nv_fund",Q$3,$A494))</f>
        <v/>
      </c>
      <c r="R494" s="13" t="str">
        <f>IF($A494="","",[1]!thsiFinD("ths_adjustment_nv_fund",R$3,$A494))</f>
        <v/>
      </c>
      <c r="S494" s="13" t="str">
        <f>IF($A494="","",[1]!thsiFinD("ths_adjustment_nv_fund",S$3,$A494))</f>
        <v/>
      </c>
      <c r="T494" s="13" t="str">
        <f>IF($A494="","",[1]!thsiFinD("ths_adjustment_nv_fund",T$3,$A494))</f>
        <v/>
      </c>
      <c r="U494" s="13" t="str">
        <f>IF($A494="","",[1]!thsiFinD("ths_adjustment_nv_fund",U$3,$A494))</f>
        <v/>
      </c>
      <c r="V494" s="13" t="str">
        <f>IF($A494="","",[1]!thsiFinD("ths_adjustment_nv_fund",V$3,$A494))</f>
        <v/>
      </c>
      <c r="W494" s="13" t="str">
        <f>IF($A494="","",[1]!thsiFinD("ths_adjustment_nv_fund",W$3,$A494))</f>
        <v/>
      </c>
      <c r="X494" s="13" t="str">
        <f>IF($A494="","",[1]!thsiFinD("ths_adjustment_nv_fund",X$3,$A494))</f>
        <v/>
      </c>
      <c r="Y494" s="13" t="str">
        <f>IF($A494="","",[1]!thsiFinD("ths_adjustment_nv_fund",Y$3,$A494))</f>
        <v/>
      </c>
      <c r="Z494" s="13" t="str">
        <f>IF($A494="","",[1]!thsiFinD("ths_adjustment_nv_fund",Z$3,$A494))</f>
        <v/>
      </c>
      <c r="AA494" s="13" t="str">
        <f>IF($A494="","",[1]!thsiFinD("ths_adjustment_nv_fund",AA$3,$A494))</f>
        <v/>
      </c>
      <c r="AB494" s="13" t="str">
        <f>IF($A494="","",[1]!thsiFinD("ths_adjustment_nv_fund",AB$3,$A494))</f>
        <v/>
      </c>
    </row>
    <row r="495" spans="2:28">
      <c r="B495" s="13" t="str">
        <f>IF($A495="","",[1]!thsiFinD("ths_adjustment_nv_fund",B$3,$A495))</f>
        <v/>
      </c>
      <c r="C495" s="13" t="str">
        <f>IF($A495="","",[1]!thsiFinD("ths_adjustment_nv_fund",C$3,$A495))</f>
        <v/>
      </c>
      <c r="D495" s="13" t="str">
        <f>IF($A495="","",[1]!thsiFinD("ths_adjustment_nv_fund",D$3,$A495))</f>
        <v/>
      </c>
      <c r="E495" s="13" t="str">
        <f>IF($A495="","",[1]!thsiFinD("ths_adjustment_nv_fund",E$3,$A495))</f>
        <v/>
      </c>
      <c r="F495" s="13" t="str">
        <f>IF($A495="","",[1]!thsiFinD("ths_adjustment_nv_fund",F$3,$A495))</f>
        <v/>
      </c>
      <c r="G495" s="13" t="str">
        <f>IF($A495="","",[1]!thsiFinD("ths_adjustment_nv_fund",G$3,$A495))</f>
        <v/>
      </c>
      <c r="H495" s="13" t="str">
        <f>IF($A495="","",[1]!thsiFinD("ths_adjustment_nv_fund",H$3,$A495))</f>
        <v/>
      </c>
      <c r="I495" s="13" t="str">
        <f>IF($A495="","",[1]!thsiFinD("ths_adjustment_nv_fund",I$3,$A495))</f>
        <v/>
      </c>
      <c r="J495" s="13" t="str">
        <f>IF($A495="","",[1]!thsiFinD("ths_adjustment_nv_fund",J$3,$A495))</f>
        <v/>
      </c>
      <c r="K495" s="13" t="str">
        <f>IF($A495="","",[1]!thsiFinD("ths_adjustment_nv_fund",K$3,$A495))</f>
        <v/>
      </c>
      <c r="L495" s="13" t="str">
        <f>IF($A495="","",[1]!thsiFinD("ths_adjustment_nv_fund",L$3,$A495))</f>
        <v/>
      </c>
      <c r="M495" s="13" t="str">
        <f>IF($A495="","",[1]!thsiFinD("ths_adjustment_nv_fund",M$3,$A495))</f>
        <v/>
      </c>
      <c r="N495" s="13" t="str">
        <f>IF($A495="","",[1]!thsiFinD("ths_adjustment_nv_fund",N$3,$A495))</f>
        <v/>
      </c>
      <c r="O495" s="13" t="str">
        <f>IF($A495="","",[1]!thsiFinD("ths_adjustment_nv_fund",O$3,$A495))</f>
        <v/>
      </c>
      <c r="P495" s="13" t="str">
        <f>IF($A495="","",[1]!thsiFinD("ths_adjustment_nv_fund",P$3,$A495))</f>
        <v/>
      </c>
      <c r="Q495" s="13" t="str">
        <f>IF($A495="","",[1]!thsiFinD("ths_adjustment_nv_fund",Q$3,$A495))</f>
        <v/>
      </c>
      <c r="R495" s="13" t="str">
        <f>IF($A495="","",[1]!thsiFinD("ths_adjustment_nv_fund",R$3,$A495))</f>
        <v/>
      </c>
      <c r="S495" s="13" t="str">
        <f>IF($A495="","",[1]!thsiFinD("ths_adjustment_nv_fund",S$3,$A495))</f>
        <v/>
      </c>
      <c r="T495" s="13" t="str">
        <f>IF($A495="","",[1]!thsiFinD("ths_adjustment_nv_fund",T$3,$A495))</f>
        <v/>
      </c>
      <c r="U495" s="13" t="str">
        <f>IF($A495="","",[1]!thsiFinD("ths_adjustment_nv_fund",U$3,$A495))</f>
        <v/>
      </c>
      <c r="V495" s="13" t="str">
        <f>IF($A495="","",[1]!thsiFinD("ths_adjustment_nv_fund",V$3,$A495))</f>
        <v/>
      </c>
      <c r="W495" s="13" t="str">
        <f>IF($A495="","",[1]!thsiFinD("ths_adjustment_nv_fund",W$3,$A495))</f>
        <v/>
      </c>
      <c r="X495" s="13" t="str">
        <f>IF($A495="","",[1]!thsiFinD("ths_adjustment_nv_fund",X$3,$A495))</f>
        <v/>
      </c>
      <c r="Y495" s="13" t="str">
        <f>IF($A495="","",[1]!thsiFinD("ths_adjustment_nv_fund",Y$3,$A495))</f>
        <v/>
      </c>
      <c r="Z495" s="13" t="str">
        <f>IF($A495="","",[1]!thsiFinD("ths_adjustment_nv_fund",Z$3,$A495))</f>
        <v/>
      </c>
      <c r="AA495" s="13" t="str">
        <f>IF($A495="","",[1]!thsiFinD("ths_adjustment_nv_fund",AA$3,$A495))</f>
        <v/>
      </c>
      <c r="AB495" s="13" t="str">
        <f>IF($A495="","",[1]!thsiFinD("ths_adjustment_nv_fund",AB$3,$A495))</f>
        <v/>
      </c>
    </row>
    <row r="496" spans="2:28">
      <c r="B496" s="13" t="str">
        <f>IF($A496="","",[1]!thsiFinD("ths_adjustment_nv_fund",B$3,$A496))</f>
        <v/>
      </c>
      <c r="C496" s="13" t="str">
        <f>IF($A496="","",[1]!thsiFinD("ths_adjustment_nv_fund",C$3,$A496))</f>
        <v/>
      </c>
      <c r="D496" s="13" t="str">
        <f>IF($A496="","",[1]!thsiFinD("ths_adjustment_nv_fund",D$3,$A496))</f>
        <v/>
      </c>
      <c r="E496" s="13" t="str">
        <f>IF($A496="","",[1]!thsiFinD("ths_adjustment_nv_fund",E$3,$A496))</f>
        <v/>
      </c>
      <c r="F496" s="13" t="str">
        <f>IF($A496="","",[1]!thsiFinD("ths_adjustment_nv_fund",F$3,$A496))</f>
        <v/>
      </c>
      <c r="G496" s="13" t="str">
        <f>IF($A496="","",[1]!thsiFinD("ths_adjustment_nv_fund",G$3,$A496))</f>
        <v/>
      </c>
      <c r="H496" s="13" t="str">
        <f>IF($A496="","",[1]!thsiFinD("ths_adjustment_nv_fund",H$3,$A496))</f>
        <v/>
      </c>
      <c r="I496" s="13" t="str">
        <f>IF($A496="","",[1]!thsiFinD("ths_adjustment_nv_fund",I$3,$A496))</f>
        <v/>
      </c>
      <c r="J496" s="13" t="str">
        <f>IF($A496="","",[1]!thsiFinD("ths_adjustment_nv_fund",J$3,$A496))</f>
        <v/>
      </c>
      <c r="K496" s="13" t="str">
        <f>IF($A496="","",[1]!thsiFinD("ths_adjustment_nv_fund",K$3,$A496))</f>
        <v/>
      </c>
      <c r="L496" s="13" t="str">
        <f>IF($A496="","",[1]!thsiFinD("ths_adjustment_nv_fund",L$3,$A496))</f>
        <v/>
      </c>
      <c r="M496" s="13" t="str">
        <f>IF($A496="","",[1]!thsiFinD("ths_adjustment_nv_fund",M$3,$A496))</f>
        <v/>
      </c>
      <c r="N496" s="13" t="str">
        <f>IF($A496="","",[1]!thsiFinD("ths_adjustment_nv_fund",N$3,$A496))</f>
        <v/>
      </c>
      <c r="O496" s="13" t="str">
        <f>IF($A496="","",[1]!thsiFinD("ths_adjustment_nv_fund",O$3,$A496))</f>
        <v/>
      </c>
      <c r="P496" s="13" t="str">
        <f>IF($A496="","",[1]!thsiFinD("ths_adjustment_nv_fund",P$3,$A496))</f>
        <v/>
      </c>
      <c r="Q496" s="13" t="str">
        <f>IF($A496="","",[1]!thsiFinD("ths_adjustment_nv_fund",Q$3,$A496))</f>
        <v/>
      </c>
      <c r="R496" s="13" t="str">
        <f>IF($A496="","",[1]!thsiFinD("ths_adjustment_nv_fund",R$3,$A496))</f>
        <v/>
      </c>
      <c r="S496" s="13" t="str">
        <f>IF($A496="","",[1]!thsiFinD("ths_adjustment_nv_fund",S$3,$A496))</f>
        <v/>
      </c>
      <c r="T496" s="13" t="str">
        <f>IF($A496="","",[1]!thsiFinD("ths_adjustment_nv_fund",T$3,$A496))</f>
        <v/>
      </c>
      <c r="U496" s="13" t="str">
        <f>IF($A496="","",[1]!thsiFinD("ths_adjustment_nv_fund",U$3,$A496))</f>
        <v/>
      </c>
      <c r="V496" s="13" t="str">
        <f>IF($A496="","",[1]!thsiFinD("ths_adjustment_nv_fund",V$3,$A496))</f>
        <v/>
      </c>
      <c r="W496" s="13" t="str">
        <f>IF($A496="","",[1]!thsiFinD("ths_adjustment_nv_fund",W$3,$A496))</f>
        <v/>
      </c>
      <c r="X496" s="13" t="str">
        <f>IF($A496="","",[1]!thsiFinD("ths_adjustment_nv_fund",X$3,$A496))</f>
        <v/>
      </c>
      <c r="Y496" s="13" t="str">
        <f>IF($A496="","",[1]!thsiFinD("ths_adjustment_nv_fund",Y$3,$A496))</f>
        <v/>
      </c>
      <c r="Z496" s="13" t="str">
        <f>IF($A496="","",[1]!thsiFinD("ths_adjustment_nv_fund",Z$3,$A496))</f>
        <v/>
      </c>
      <c r="AA496" s="13" t="str">
        <f>IF($A496="","",[1]!thsiFinD("ths_adjustment_nv_fund",AA$3,$A496))</f>
        <v/>
      </c>
      <c r="AB496" s="13" t="str">
        <f>IF($A496="","",[1]!thsiFinD("ths_adjustment_nv_fund",AB$3,$A496))</f>
        <v/>
      </c>
    </row>
    <row r="497" spans="2:28">
      <c r="B497" s="13" t="str">
        <f>IF($A497="","",[1]!thsiFinD("ths_adjustment_nv_fund",B$3,$A497))</f>
        <v/>
      </c>
      <c r="C497" s="13" t="str">
        <f>IF($A497="","",[1]!thsiFinD("ths_adjustment_nv_fund",C$3,$A497))</f>
        <v/>
      </c>
      <c r="D497" s="13" t="str">
        <f>IF($A497="","",[1]!thsiFinD("ths_adjustment_nv_fund",D$3,$A497))</f>
        <v/>
      </c>
      <c r="E497" s="13" t="str">
        <f>IF($A497="","",[1]!thsiFinD("ths_adjustment_nv_fund",E$3,$A497))</f>
        <v/>
      </c>
      <c r="F497" s="13" t="str">
        <f>IF($A497="","",[1]!thsiFinD("ths_adjustment_nv_fund",F$3,$A497))</f>
        <v/>
      </c>
      <c r="G497" s="13" t="str">
        <f>IF($A497="","",[1]!thsiFinD("ths_adjustment_nv_fund",G$3,$A497))</f>
        <v/>
      </c>
      <c r="H497" s="13" t="str">
        <f>IF($A497="","",[1]!thsiFinD("ths_adjustment_nv_fund",H$3,$A497))</f>
        <v/>
      </c>
      <c r="I497" s="13" t="str">
        <f>IF($A497="","",[1]!thsiFinD("ths_adjustment_nv_fund",I$3,$A497))</f>
        <v/>
      </c>
      <c r="J497" s="13" t="str">
        <f>IF($A497="","",[1]!thsiFinD("ths_adjustment_nv_fund",J$3,$A497))</f>
        <v/>
      </c>
      <c r="K497" s="13" t="str">
        <f>IF($A497="","",[1]!thsiFinD("ths_adjustment_nv_fund",K$3,$A497))</f>
        <v/>
      </c>
      <c r="L497" s="13" t="str">
        <f>IF($A497="","",[1]!thsiFinD("ths_adjustment_nv_fund",L$3,$A497))</f>
        <v/>
      </c>
      <c r="M497" s="13" t="str">
        <f>IF($A497="","",[1]!thsiFinD("ths_adjustment_nv_fund",M$3,$A497))</f>
        <v/>
      </c>
      <c r="N497" s="13" t="str">
        <f>IF($A497="","",[1]!thsiFinD("ths_adjustment_nv_fund",N$3,$A497))</f>
        <v/>
      </c>
      <c r="O497" s="13" t="str">
        <f>IF($A497="","",[1]!thsiFinD("ths_adjustment_nv_fund",O$3,$A497))</f>
        <v/>
      </c>
      <c r="P497" s="13" t="str">
        <f>IF($A497="","",[1]!thsiFinD("ths_adjustment_nv_fund",P$3,$A497))</f>
        <v/>
      </c>
      <c r="Q497" s="13" t="str">
        <f>IF($A497="","",[1]!thsiFinD("ths_adjustment_nv_fund",Q$3,$A497))</f>
        <v/>
      </c>
      <c r="R497" s="13" t="str">
        <f>IF($A497="","",[1]!thsiFinD("ths_adjustment_nv_fund",R$3,$A497))</f>
        <v/>
      </c>
      <c r="S497" s="13" t="str">
        <f>IF($A497="","",[1]!thsiFinD("ths_adjustment_nv_fund",S$3,$A497))</f>
        <v/>
      </c>
      <c r="T497" s="13" t="str">
        <f>IF($A497="","",[1]!thsiFinD("ths_adjustment_nv_fund",T$3,$A497))</f>
        <v/>
      </c>
      <c r="U497" s="13" t="str">
        <f>IF($A497="","",[1]!thsiFinD("ths_adjustment_nv_fund",U$3,$A497))</f>
        <v/>
      </c>
      <c r="V497" s="13" t="str">
        <f>IF($A497="","",[1]!thsiFinD("ths_adjustment_nv_fund",V$3,$A497))</f>
        <v/>
      </c>
      <c r="W497" s="13" t="str">
        <f>IF($A497="","",[1]!thsiFinD("ths_adjustment_nv_fund",W$3,$A497))</f>
        <v/>
      </c>
      <c r="X497" s="13" t="str">
        <f>IF($A497="","",[1]!thsiFinD("ths_adjustment_nv_fund",X$3,$A497))</f>
        <v/>
      </c>
      <c r="Y497" s="13" t="str">
        <f>IF($A497="","",[1]!thsiFinD("ths_adjustment_nv_fund",Y$3,$A497))</f>
        <v/>
      </c>
      <c r="Z497" s="13" t="str">
        <f>IF($A497="","",[1]!thsiFinD("ths_adjustment_nv_fund",Z$3,$A497))</f>
        <v/>
      </c>
      <c r="AA497" s="13" t="str">
        <f>IF($A497="","",[1]!thsiFinD("ths_adjustment_nv_fund",AA$3,$A497))</f>
        <v/>
      </c>
      <c r="AB497" s="13" t="str">
        <f>IF($A497="","",[1]!thsiFinD("ths_adjustment_nv_fund",AB$3,$A497))</f>
        <v/>
      </c>
    </row>
    <row r="498" spans="2:28">
      <c r="B498" s="13" t="str">
        <f>IF($A498="","",[1]!thsiFinD("ths_adjustment_nv_fund",B$3,$A498))</f>
        <v/>
      </c>
      <c r="C498" s="13" t="str">
        <f>IF($A498="","",[1]!thsiFinD("ths_adjustment_nv_fund",C$3,$A498))</f>
        <v/>
      </c>
      <c r="D498" s="13" t="str">
        <f>IF($A498="","",[1]!thsiFinD("ths_adjustment_nv_fund",D$3,$A498))</f>
        <v/>
      </c>
      <c r="E498" s="13" t="str">
        <f>IF($A498="","",[1]!thsiFinD("ths_adjustment_nv_fund",E$3,$A498))</f>
        <v/>
      </c>
      <c r="F498" s="13" t="str">
        <f>IF($A498="","",[1]!thsiFinD("ths_adjustment_nv_fund",F$3,$A498))</f>
        <v/>
      </c>
      <c r="G498" s="13" t="str">
        <f>IF($A498="","",[1]!thsiFinD("ths_adjustment_nv_fund",G$3,$A498))</f>
        <v/>
      </c>
      <c r="H498" s="13" t="str">
        <f>IF($A498="","",[1]!thsiFinD("ths_adjustment_nv_fund",H$3,$A498))</f>
        <v/>
      </c>
      <c r="I498" s="13" t="str">
        <f>IF($A498="","",[1]!thsiFinD("ths_adjustment_nv_fund",I$3,$A498))</f>
        <v/>
      </c>
      <c r="J498" s="13" t="str">
        <f>IF($A498="","",[1]!thsiFinD("ths_adjustment_nv_fund",J$3,$A498))</f>
        <v/>
      </c>
      <c r="K498" s="13" t="str">
        <f>IF($A498="","",[1]!thsiFinD("ths_adjustment_nv_fund",K$3,$A498))</f>
        <v/>
      </c>
      <c r="L498" s="13" t="str">
        <f>IF($A498="","",[1]!thsiFinD("ths_adjustment_nv_fund",L$3,$A498))</f>
        <v/>
      </c>
      <c r="M498" s="13" t="str">
        <f>IF($A498="","",[1]!thsiFinD("ths_adjustment_nv_fund",M$3,$A498))</f>
        <v/>
      </c>
      <c r="N498" s="13" t="str">
        <f>IF($A498="","",[1]!thsiFinD("ths_adjustment_nv_fund",N$3,$A498))</f>
        <v/>
      </c>
      <c r="O498" s="13" t="str">
        <f>IF($A498="","",[1]!thsiFinD("ths_adjustment_nv_fund",O$3,$A498))</f>
        <v/>
      </c>
      <c r="P498" s="13" t="str">
        <f>IF($A498="","",[1]!thsiFinD("ths_adjustment_nv_fund",P$3,$A498))</f>
        <v/>
      </c>
      <c r="Q498" s="13" t="str">
        <f>IF($A498="","",[1]!thsiFinD("ths_adjustment_nv_fund",Q$3,$A498))</f>
        <v/>
      </c>
      <c r="R498" s="13" t="str">
        <f>IF($A498="","",[1]!thsiFinD("ths_adjustment_nv_fund",R$3,$A498))</f>
        <v/>
      </c>
      <c r="S498" s="13" t="str">
        <f>IF($A498="","",[1]!thsiFinD("ths_adjustment_nv_fund",S$3,$A498))</f>
        <v/>
      </c>
      <c r="T498" s="13" t="str">
        <f>IF($A498="","",[1]!thsiFinD("ths_adjustment_nv_fund",T$3,$A498))</f>
        <v/>
      </c>
      <c r="U498" s="13" t="str">
        <f>IF($A498="","",[1]!thsiFinD("ths_adjustment_nv_fund",U$3,$A498))</f>
        <v/>
      </c>
      <c r="V498" s="13" t="str">
        <f>IF($A498="","",[1]!thsiFinD("ths_adjustment_nv_fund",V$3,$A498))</f>
        <v/>
      </c>
      <c r="W498" s="13" t="str">
        <f>IF($A498="","",[1]!thsiFinD("ths_adjustment_nv_fund",W$3,$A498))</f>
        <v/>
      </c>
      <c r="X498" s="13" t="str">
        <f>IF($A498="","",[1]!thsiFinD("ths_adjustment_nv_fund",X$3,$A498))</f>
        <v/>
      </c>
      <c r="Y498" s="13" t="str">
        <f>IF($A498="","",[1]!thsiFinD("ths_adjustment_nv_fund",Y$3,$A498))</f>
        <v/>
      </c>
      <c r="Z498" s="13" t="str">
        <f>IF($A498="","",[1]!thsiFinD("ths_adjustment_nv_fund",Z$3,$A498))</f>
        <v/>
      </c>
      <c r="AA498" s="13" t="str">
        <f>IF($A498="","",[1]!thsiFinD("ths_adjustment_nv_fund",AA$3,$A498))</f>
        <v/>
      </c>
      <c r="AB498" s="13" t="str">
        <f>IF($A498="","",[1]!thsiFinD("ths_adjustment_nv_fund",AB$3,$A498))</f>
        <v/>
      </c>
    </row>
    <row r="499" spans="2:28">
      <c r="B499" s="13" t="str">
        <f>IF($A499="","",[1]!thsiFinD("ths_adjustment_nv_fund",B$3,$A499))</f>
        <v/>
      </c>
      <c r="C499" s="13" t="str">
        <f>IF($A499="","",[1]!thsiFinD("ths_adjustment_nv_fund",C$3,$A499))</f>
        <v/>
      </c>
      <c r="D499" s="13" t="str">
        <f>IF($A499="","",[1]!thsiFinD("ths_adjustment_nv_fund",D$3,$A499))</f>
        <v/>
      </c>
      <c r="E499" s="13" t="str">
        <f>IF($A499="","",[1]!thsiFinD("ths_adjustment_nv_fund",E$3,$A499))</f>
        <v/>
      </c>
      <c r="F499" s="13" t="str">
        <f>IF($A499="","",[1]!thsiFinD("ths_adjustment_nv_fund",F$3,$A499))</f>
        <v/>
      </c>
      <c r="G499" s="13" t="str">
        <f>IF($A499="","",[1]!thsiFinD("ths_adjustment_nv_fund",G$3,$A499))</f>
        <v/>
      </c>
      <c r="H499" s="13" t="str">
        <f>IF($A499="","",[1]!thsiFinD("ths_adjustment_nv_fund",H$3,$A499))</f>
        <v/>
      </c>
      <c r="I499" s="13" t="str">
        <f>IF($A499="","",[1]!thsiFinD("ths_adjustment_nv_fund",I$3,$A499))</f>
        <v/>
      </c>
      <c r="J499" s="13" t="str">
        <f>IF($A499="","",[1]!thsiFinD("ths_adjustment_nv_fund",J$3,$A499))</f>
        <v/>
      </c>
      <c r="K499" s="13" t="str">
        <f>IF($A499="","",[1]!thsiFinD("ths_adjustment_nv_fund",K$3,$A499))</f>
        <v/>
      </c>
      <c r="L499" s="13" t="str">
        <f>IF($A499="","",[1]!thsiFinD("ths_adjustment_nv_fund",L$3,$A499))</f>
        <v/>
      </c>
      <c r="M499" s="13" t="str">
        <f>IF($A499="","",[1]!thsiFinD("ths_adjustment_nv_fund",M$3,$A499))</f>
        <v/>
      </c>
      <c r="N499" s="13" t="str">
        <f>IF($A499="","",[1]!thsiFinD("ths_adjustment_nv_fund",N$3,$A499))</f>
        <v/>
      </c>
      <c r="O499" s="13" t="str">
        <f>IF($A499="","",[1]!thsiFinD("ths_adjustment_nv_fund",O$3,$A499))</f>
        <v/>
      </c>
      <c r="P499" s="13" t="str">
        <f>IF($A499="","",[1]!thsiFinD("ths_adjustment_nv_fund",P$3,$A499))</f>
        <v/>
      </c>
      <c r="Q499" s="13" t="str">
        <f>IF($A499="","",[1]!thsiFinD("ths_adjustment_nv_fund",Q$3,$A499))</f>
        <v/>
      </c>
      <c r="R499" s="13" t="str">
        <f>IF($A499="","",[1]!thsiFinD("ths_adjustment_nv_fund",R$3,$A499))</f>
        <v/>
      </c>
      <c r="S499" s="13" t="str">
        <f>IF($A499="","",[1]!thsiFinD("ths_adjustment_nv_fund",S$3,$A499))</f>
        <v/>
      </c>
      <c r="T499" s="13" t="str">
        <f>IF($A499="","",[1]!thsiFinD("ths_adjustment_nv_fund",T$3,$A499))</f>
        <v/>
      </c>
      <c r="U499" s="13" t="str">
        <f>IF($A499="","",[1]!thsiFinD("ths_adjustment_nv_fund",U$3,$A499))</f>
        <v/>
      </c>
      <c r="V499" s="13" t="str">
        <f>IF($A499="","",[1]!thsiFinD("ths_adjustment_nv_fund",V$3,$A499))</f>
        <v/>
      </c>
      <c r="W499" s="13" t="str">
        <f>IF($A499="","",[1]!thsiFinD("ths_adjustment_nv_fund",W$3,$A499))</f>
        <v/>
      </c>
      <c r="X499" s="13" t="str">
        <f>IF($A499="","",[1]!thsiFinD("ths_adjustment_nv_fund",X$3,$A499))</f>
        <v/>
      </c>
      <c r="Y499" s="13" t="str">
        <f>IF($A499="","",[1]!thsiFinD("ths_adjustment_nv_fund",Y$3,$A499))</f>
        <v/>
      </c>
      <c r="Z499" s="13" t="str">
        <f>IF($A499="","",[1]!thsiFinD("ths_adjustment_nv_fund",Z$3,$A499))</f>
        <v/>
      </c>
      <c r="AA499" s="13" t="str">
        <f>IF($A499="","",[1]!thsiFinD("ths_adjustment_nv_fund",AA$3,$A499))</f>
        <v/>
      </c>
      <c r="AB499" s="13" t="str">
        <f>IF($A499="","",[1]!thsiFinD("ths_adjustment_nv_fund",AB$3,$A499))</f>
        <v/>
      </c>
    </row>
    <row r="500" spans="2:28">
      <c r="B500" s="13" t="str">
        <f>IF($A500="","",[1]!thsiFinD("ths_adjustment_nv_fund",B$3,$A500))</f>
        <v/>
      </c>
      <c r="C500" s="13" t="str">
        <f>IF($A500="","",[1]!thsiFinD("ths_adjustment_nv_fund",C$3,$A500))</f>
        <v/>
      </c>
      <c r="D500" s="13" t="str">
        <f>IF($A500="","",[1]!thsiFinD("ths_adjustment_nv_fund",D$3,$A500))</f>
        <v/>
      </c>
      <c r="E500" s="13" t="str">
        <f>IF($A500="","",[1]!thsiFinD("ths_adjustment_nv_fund",E$3,$A500))</f>
        <v/>
      </c>
      <c r="F500" s="13" t="str">
        <f>IF($A500="","",[1]!thsiFinD("ths_adjustment_nv_fund",F$3,$A500))</f>
        <v/>
      </c>
      <c r="G500" s="13" t="str">
        <f>IF($A500="","",[1]!thsiFinD("ths_adjustment_nv_fund",G$3,$A500))</f>
        <v/>
      </c>
      <c r="H500" s="13" t="str">
        <f>IF($A500="","",[1]!thsiFinD("ths_adjustment_nv_fund",H$3,$A500))</f>
        <v/>
      </c>
      <c r="I500" s="13" t="str">
        <f>IF($A500="","",[1]!thsiFinD("ths_adjustment_nv_fund",I$3,$A500))</f>
        <v/>
      </c>
      <c r="J500" s="13" t="str">
        <f>IF($A500="","",[1]!thsiFinD("ths_adjustment_nv_fund",J$3,$A500))</f>
        <v/>
      </c>
      <c r="K500" s="13" t="str">
        <f>IF($A500="","",[1]!thsiFinD("ths_adjustment_nv_fund",K$3,$A500))</f>
        <v/>
      </c>
      <c r="L500" s="13" t="str">
        <f>IF($A500="","",[1]!thsiFinD("ths_adjustment_nv_fund",L$3,$A500))</f>
        <v/>
      </c>
      <c r="M500" s="13" t="str">
        <f>IF($A500="","",[1]!thsiFinD("ths_adjustment_nv_fund",M$3,$A500))</f>
        <v/>
      </c>
      <c r="N500" s="13" t="str">
        <f>IF($A500="","",[1]!thsiFinD("ths_adjustment_nv_fund",N$3,$A500))</f>
        <v/>
      </c>
      <c r="O500" s="13" t="str">
        <f>IF($A500="","",[1]!thsiFinD("ths_adjustment_nv_fund",O$3,$A500))</f>
        <v/>
      </c>
      <c r="P500" s="13" t="str">
        <f>IF($A500="","",[1]!thsiFinD("ths_adjustment_nv_fund",P$3,$A500))</f>
        <v/>
      </c>
      <c r="Q500" s="13" t="str">
        <f>IF($A500="","",[1]!thsiFinD("ths_adjustment_nv_fund",Q$3,$A500))</f>
        <v/>
      </c>
      <c r="R500" s="13" t="str">
        <f>IF($A500="","",[1]!thsiFinD("ths_adjustment_nv_fund",R$3,$A500))</f>
        <v/>
      </c>
      <c r="S500" s="13" t="str">
        <f>IF($A500="","",[1]!thsiFinD("ths_adjustment_nv_fund",S$3,$A500))</f>
        <v/>
      </c>
      <c r="T500" s="13" t="str">
        <f>IF($A500="","",[1]!thsiFinD("ths_adjustment_nv_fund",T$3,$A500))</f>
        <v/>
      </c>
      <c r="U500" s="13" t="str">
        <f>IF($A500="","",[1]!thsiFinD("ths_adjustment_nv_fund",U$3,$A500))</f>
        <v/>
      </c>
      <c r="V500" s="13" t="str">
        <f>IF($A500="","",[1]!thsiFinD("ths_adjustment_nv_fund",V$3,$A500))</f>
        <v/>
      </c>
      <c r="W500" s="13" t="str">
        <f>IF($A500="","",[1]!thsiFinD("ths_adjustment_nv_fund",W$3,$A500))</f>
        <v/>
      </c>
      <c r="X500" s="13" t="str">
        <f>IF($A500="","",[1]!thsiFinD("ths_adjustment_nv_fund",X$3,$A500))</f>
        <v/>
      </c>
      <c r="Y500" s="13" t="str">
        <f>IF($A500="","",[1]!thsiFinD("ths_adjustment_nv_fund",Y$3,$A500))</f>
        <v/>
      </c>
      <c r="Z500" s="13" t="str">
        <f>IF($A500="","",[1]!thsiFinD("ths_adjustment_nv_fund",Z$3,$A500))</f>
        <v/>
      </c>
      <c r="AA500" s="13" t="str">
        <f>IF($A500="","",[1]!thsiFinD("ths_adjustment_nv_fund",AA$3,$A500))</f>
        <v/>
      </c>
      <c r="AB500" s="13" t="str">
        <f>IF($A500="","",[1]!thsiFinD("ths_adjustment_nv_fund",AB$3,$A500))</f>
        <v/>
      </c>
    </row>
    <row r="501" spans="2:28">
      <c r="B501" s="13" t="str">
        <f>IF($A501="","",[1]!thsiFinD("ths_adjustment_nv_fund",B$3,$A501))</f>
        <v/>
      </c>
      <c r="C501" s="13" t="str">
        <f>IF($A501="","",[1]!thsiFinD("ths_adjustment_nv_fund",C$3,$A501))</f>
        <v/>
      </c>
      <c r="D501" s="13" t="str">
        <f>IF($A501="","",[1]!thsiFinD("ths_adjustment_nv_fund",D$3,$A501))</f>
        <v/>
      </c>
      <c r="E501" s="13" t="str">
        <f>IF($A501="","",[1]!thsiFinD("ths_adjustment_nv_fund",E$3,$A501))</f>
        <v/>
      </c>
      <c r="F501" s="13" t="str">
        <f>IF($A501="","",[1]!thsiFinD("ths_adjustment_nv_fund",F$3,$A501))</f>
        <v/>
      </c>
      <c r="G501" s="13" t="str">
        <f>IF($A501="","",[1]!thsiFinD("ths_adjustment_nv_fund",G$3,$A501))</f>
        <v/>
      </c>
      <c r="H501" s="13" t="str">
        <f>IF($A501="","",[1]!thsiFinD("ths_adjustment_nv_fund",H$3,$A501))</f>
        <v/>
      </c>
      <c r="I501" s="13" t="str">
        <f>IF($A501="","",[1]!thsiFinD("ths_adjustment_nv_fund",I$3,$A501))</f>
        <v/>
      </c>
      <c r="J501" s="13" t="str">
        <f>IF($A501="","",[1]!thsiFinD("ths_adjustment_nv_fund",J$3,$A501))</f>
        <v/>
      </c>
      <c r="K501" s="13" t="str">
        <f>IF($A501="","",[1]!thsiFinD("ths_adjustment_nv_fund",K$3,$A501))</f>
        <v/>
      </c>
      <c r="L501" s="13" t="str">
        <f>IF($A501="","",[1]!thsiFinD("ths_adjustment_nv_fund",L$3,$A501))</f>
        <v/>
      </c>
      <c r="M501" s="13" t="str">
        <f>IF($A501="","",[1]!thsiFinD("ths_adjustment_nv_fund",M$3,$A501))</f>
        <v/>
      </c>
      <c r="N501" s="13" t="str">
        <f>IF($A501="","",[1]!thsiFinD("ths_adjustment_nv_fund",N$3,$A501))</f>
        <v/>
      </c>
      <c r="O501" s="13" t="str">
        <f>IF($A501="","",[1]!thsiFinD("ths_adjustment_nv_fund",O$3,$A501))</f>
        <v/>
      </c>
      <c r="P501" s="13" t="str">
        <f>IF($A501="","",[1]!thsiFinD("ths_adjustment_nv_fund",P$3,$A501))</f>
        <v/>
      </c>
      <c r="Q501" s="13" t="str">
        <f>IF($A501="","",[1]!thsiFinD("ths_adjustment_nv_fund",Q$3,$A501))</f>
        <v/>
      </c>
      <c r="R501" s="13" t="str">
        <f>IF($A501="","",[1]!thsiFinD("ths_adjustment_nv_fund",R$3,$A501))</f>
        <v/>
      </c>
      <c r="S501" s="13" t="str">
        <f>IF($A501="","",[1]!thsiFinD("ths_adjustment_nv_fund",S$3,$A501))</f>
        <v/>
      </c>
      <c r="T501" s="13" t="str">
        <f>IF($A501="","",[1]!thsiFinD("ths_adjustment_nv_fund",T$3,$A501))</f>
        <v/>
      </c>
      <c r="U501" s="13" t="str">
        <f>IF($A501="","",[1]!thsiFinD("ths_adjustment_nv_fund",U$3,$A501))</f>
        <v/>
      </c>
      <c r="V501" s="13" t="str">
        <f>IF($A501="","",[1]!thsiFinD("ths_adjustment_nv_fund",V$3,$A501))</f>
        <v/>
      </c>
      <c r="W501" s="13" t="str">
        <f>IF($A501="","",[1]!thsiFinD("ths_adjustment_nv_fund",W$3,$A501))</f>
        <v/>
      </c>
      <c r="X501" s="13" t="str">
        <f>IF($A501="","",[1]!thsiFinD("ths_adjustment_nv_fund",X$3,$A501))</f>
        <v/>
      </c>
      <c r="Y501" s="13" t="str">
        <f>IF($A501="","",[1]!thsiFinD("ths_adjustment_nv_fund",Y$3,$A501))</f>
        <v/>
      </c>
      <c r="Z501" s="13" t="str">
        <f>IF($A501="","",[1]!thsiFinD("ths_adjustment_nv_fund",Z$3,$A501))</f>
        <v/>
      </c>
      <c r="AA501" s="13" t="str">
        <f>IF($A501="","",[1]!thsiFinD("ths_adjustment_nv_fund",AA$3,$A501))</f>
        <v/>
      </c>
      <c r="AB501" s="13" t="str">
        <f>IF($A501="","",[1]!thsiFinD("ths_adjustment_nv_fund",AB$3,$A501))</f>
        <v/>
      </c>
    </row>
    <row r="502" spans="2:28">
      <c r="B502" s="13" t="str">
        <f>IF($A502="","",[1]!thsiFinD("ths_adjustment_nv_fund",B$3,$A502))</f>
        <v/>
      </c>
      <c r="C502" s="13" t="str">
        <f>IF($A502="","",[1]!thsiFinD("ths_adjustment_nv_fund",C$3,$A502))</f>
        <v/>
      </c>
      <c r="D502" s="13" t="str">
        <f>IF($A502="","",[1]!thsiFinD("ths_adjustment_nv_fund",D$3,$A502))</f>
        <v/>
      </c>
      <c r="E502" s="13" t="str">
        <f>IF($A502="","",[1]!thsiFinD("ths_adjustment_nv_fund",E$3,$A502))</f>
        <v/>
      </c>
      <c r="F502" s="13" t="str">
        <f>IF($A502="","",[1]!thsiFinD("ths_adjustment_nv_fund",F$3,$A502))</f>
        <v/>
      </c>
      <c r="G502" s="13" t="str">
        <f>IF($A502="","",[1]!thsiFinD("ths_adjustment_nv_fund",G$3,$A502))</f>
        <v/>
      </c>
      <c r="H502" s="13" t="str">
        <f>IF($A502="","",[1]!thsiFinD("ths_adjustment_nv_fund",H$3,$A502))</f>
        <v/>
      </c>
      <c r="I502" s="13" t="str">
        <f>IF($A502="","",[1]!thsiFinD("ths_adjustment_nv_fund",I$3,$A502))</f>
        <v/>
      </c>
      <c r="J502" s="13" t="str">
        <f>IF($A502="","",[1]!thsiFinD("ths_adjustment_nv_fund",J$3,$A502))</f>
        <v/>
      </c>
      <c r="K502" s="13" t="str">
        <f>IF($A502="","",[1]!thsiFinD("ths_adjustment_nv_fund",K$3,$A502))</f>
        <v/>
      </c>
      <c r="L502" s="13" t="str">
        <f>IF($A502="","",[1]!thsiFinD("ths_adjustment_nv_fund",L$3,$A502))</f>
        <v/>
      </c>
      <c r="M502" s="13" t="str">
        <f>IF($A502="","",[1]!thsiFinD("ths_adjustment_nv_fund",M$3,$A502))</f>
        <v/>
      </c>
      <c r="N502" s="13" t="str">
        <f>IF($A502="","",[1]!thsiFinD("ths_adjustment_nv_fund",N$3,$A502))</f>
        <v/>
      </c>
      <c r="O502" s="13" t="str">
        <f>IF($A502="","",[1]!thsiFinD("ths_adjustment_nv_fund",O$3,$A502))</f>
        <v/>
      </c>
      <c r="P502" s="13" t="str">
        <f>IF($A502="","",[1]!thsiFinD("ths_adjustment_nv_fund",P$3,$A502))</f>
        <v/>
      </c>
      <c r="Q502" s="13" t="str">
        <f>IF($A502="","",[1]!thsiFinD("ths_adjustment_nv_fund",Q$3,$A502))</f>
        <v/>
      </c>
      <c r="R502" s="13" t="str">
        <f>IF($A502="","",[1]!thsiFinD("ths_adjustment_nv_fund",R$3,$A502))</f>
        <v/>
      </c>
      <c r="S502" s="13" t="str">
        <f>IF($A502="","",[1]!thsiFinD("ths_adjustment_nv_fund",S$3,$A502))</f>
        <v/>
      </c>
      <c r="T502" s="13" t="str">
        <f>IF($A502="","",[1]!thsiFinD("ths_adjustment_nv_fund",T$3,$A502))</f>
        <v/>
      </c>
      <c r="U502" s="13" t="str">
        <f>IF($A502="","",[1]!thsiFinD("ths_adjustment_nv_fund",U$3,$A502))</f>
        <v/>
      </c>
      <c r="V502" s="13" t="str">
        <f>IF($A502="","",[1]!thsiFinD("ths_adjustment_nv_fund",V$3,$A502))</f>
        <v/>
      </c>
      <c r="W502" s="13" t="str">
        <f>IF($A502="","",[1]!thsiFinD("ths_adjustment_nv_fund",W$3,$A502))</f>
        <v/>
      </c>
      <c r="X502" s="13" t="str">
        <f>IF($A502="","",[1]!thsiFinD("ths_adjustment_nv_fund",X$3,$A502))</f>
        <v/>
      </c>
      <c r="Y502" s="13" t="str">
        <f>IF($A502="","",[1]!thsiFinD("ths_adjustment_nv_fund",Y$3,$A502))</f>
        <v/>
      </c>
      <c r="Z502" s="13" t="str">
        <f>IF($A502="","",[1]!thsiFinD("ths_adjustment_nv_fund",Z$3,$A502))</f>
        <v/>
      </c>
      <c r="AA502" s="13" t="str">
        <f>IF($A502="","",[1]!thsiFinD("ths_adjustment_nv_fund",AA$3,$A502))</f>
        <v/>
      </c>
      <c r="AB502" s="13" t="str">
        <f>IF($A502="","",[1]!thsiFinD("ths_adjustment_nv_fund",AB$3,$A502))</f>
        <v/>
      </c>
    </row>
    <row r="503" spans="2:28">
      <c r="B503" s="13" t="str">
        <f>IF($A503="","",[1]!thsiFinD("ths_adjustment_nv_fund",B$3,$A503))</f>
        <v/>
      </c>
      <c r="C503" s="13" t="str">
        <f>IF($A503="","",[1]!thsiFinD("ths_adjustment_nv_fund",C$3,$A503))</f>
        <v/>
      </c>
      <c r="D503" s="13" t="str">
        <f>IF($A503="","",[1]!thsiFinD("ths_adjustment_nv_fund",D$3,$A503))</f>
        <v/>
      </c>
      <c r="E503" s="13" t="str">
        <f>IF($A503="","",[1]!thsiFinD("ths_adjustment_nv_fund",E$3,$A503))</f>
        <v/>
      </c>
      <c r="F503" s="13" t="str">
        <f>IF($A503="","",[1]!thsiFinD("ths_adjustment_nv_fund",F$3,$A503))</f>
        <v/>
      </c>
      <c r="G503" s="13" t="str">
        <f>IF($A503="","",[1]!thsiFinD("ths_adjustment_nv_fund",G$3,$A503))</f>
        <v/>
      </c>
      <c r="H503" s="13" t="str">
        <f>IF($A503="","",[1]!thsiFinD("ths_adjustment_nv_fund",H$3,$A503))</f>
        <v/>
      </c>
      <c r="I503" s="13" t="str">
        <f>IF($A503="","",[1]!thsiFinD("ths_adjustment_nv_fund",I$3,$A503))</f>
        <v/>
      </c>
      <c r="J503" s="13" t="str">
        <f>IF($A503="","",[1]!thsiFinD("ths_adjustment_nv_fund",J$3,$A503))</f>
        <v/>
      </c>
      <c r="K503" s="13" t="str">
        <f>IF($A503="","",[1]!thsiFinD("ths_adjustment_nv_fund",K$3,$A503))</f>
        <v/>
      </c>
      <c r="L503" s="13" t="str">
        <f>IF($A503="","",[1]!thsiFinD("ths_adjustment_nv_fund",L$3,$A503))</f>
        <v/>
      </c>
      <c r="M503" s="13" t="str">
        <f>IF($A503="","",[1]!thsiFinD("ths_adjustment_nv_fund",M$3,$A503))</f>
        <v/>
      </c>
      <c r="N503" s="13" t="str">
        <f>IF($A503="","",[1]!thsiFinD("ths_adjustment_nv_fund",N$3,$A503))</f>
        <v/>
      </c>
      <c r="O503" s="13" t="str">
        <f>IF($A503="","",[1]!thsiFinD("ths_adjustment_nv_fund",O$3,$A503))</f>
        <v/>
      </c>
      <c r="P503" s="13" t="str">
        <f>IF($A503="","",[1]!thsiFinD("ths_adjustment_nv_fund",P$3,$A503))</f>
        <v/>
      </c>
      <c r="Q503" s="13" t="str">
        <f>IF($A503="","",[1]!thsiFinD("ths_adjustment_nv_fund",Q$3,$A503))</f>
        <v/>
      </c>
      <c r="R503" s="13" t="str">
        <f>IF($A503="","",[1]!thsiFinD("ths_adjustment_nv_fund",R$3,$A503))</f>
        <v/>
      </c>
      <c r="S503" s="13" t="str">
        <f>IF($A503="","",[1]!thsiFinD("ths_adjustment_nv_fund",S$3,$A503))</f>
        <v/>
      </c>
      <c r="T503" s="13" t="str">
        <f>IF($A503="","",[1]!thsiFinD("ths_adjustment_nv_fund",T$3,$A503))</f>
        <v/>
      </c>
      <c r="U503" s="13" t="str">
        <f>IF($A503="","",[1]!thsiFinD("ths_adjustment_nv_fund",U$3,$A503))</f>
        <v/>
      </c>
      <c r="V503" s="13" t="str">
        <f>IF($A503="","",[1]!thsiFinD("ths_adjustment_nv_fund",V$3,$A503))</f>
        <v/>
      </c>
      <c r="W503" s="13" t="str">
        <f>IF($A503="","",[1]!thsiFinD("ths_adjustment_nv_fund",W$3,$A503))</f>
        <v/>
      </c>
      <c r="X503" s="13" t="str">
        <f>IF($A503="","",[1]!thsiFinD("ths_adjustment_nv_fund",X$3,$A503))</f>
        <v/>
      </c>
      <c r="Y503" s="13" t="str">
        <f>IF($A503="","",[1]!thsiFinD("ths_adjustment_nv_fund",Y$3,$A503))</f>
        <v/>
      </c>
      <c r="Z503" s="13" t="str">
        <f>IF($A503="","",[1]!thsiFinD("ths_adjustment_nv_fund",Z$3,$A503))</f>
        <v/>
      </c>
      <c r="AA503" s="13" t="str">
        <f>IF($A503="","",[1]!thsiFinD("ths_adjustment_nv_fund",AA$3,$A503))</f>
        <v/>
      </c>
      <c r="AB503" s="13" t="str">
        <f>IF($A503="","",[1]!thsiFinD("ths_adjustment_nv_fund",AB$3,$A503))</f>
        <v/>
      </c>
    </row>
    <row r="504" spans="2:28">
      <c r="B504" s="13" t="str">
        <f>IF($A504="","",[1]!thsiFinD("ths_adjustment_nv_fund",B$3,$A504))</f>
        <v/>
      </c>
      <c r="C504" s="13" t="str">
        <f>IF($A504="","",[1]!thsiFinD("ths_adjustment_nv_fund",C$3,$A504))</f>
        <v/>
      </c>
      <c r="D504" s="13" t="str">
        <f>IF($A504="","",[1]!thsiFinD("ths_adjustment_nv_fund",D$3,$A504))</f>
        <v/>
      </c>
      <c r="E504" s="13" t="str">
        <f>IF($A504="","",[1]!thsiFinD("ths_adjustment_nv_fund",E$3,$A504))</f>
        <v/>
      </c>
      <c r="F504" s="13" t="str">
        <f>IF($A504="","",[1]!thsiFinD("ths_adjustment_nv_fund",F$3,$A504))</f>
        <v/>
      </c>
      <c r="G504" s="13" t="str">
        <f>IF($A504="","",[1]!thsiFinD("ths_adjustment_nv_fund",G$3,$A504))</f>
        <v/>
      </c>
      <c r="H504" s="13" t="str">
        <f>IF($A504="","",[1]!thsiFinD("ths_adjustment_nv_fund",H$3,$A504))</f>
        <v/>
      </c>
      <c r="I504" s="13" t="str">
        <f>IF($A504="","",[1]!thsiFinD("ths_adjustment_nv_fund",I$3,$A504))</f>
        <v/>
      </c>
      <c r="J504" s="13" t="str">
        <f>IF($A504="","",[1]!thsiFinD("ths_adjustment_nv_fund",J$3,$A504))</f>
        <v/>
      </c>
      <c r="K504" s="13" t="str">
        <f>IF($A504="","",[1]!thsiFinD("ths_adjustment_nv_fund",K$3,$A504))</f>
        <v/>
      </c>
      <c r="L504" s="13" t="str">
        <f>IF($A504="","",[1]!thsiFinD("ths_adjustment_nv_fund",L$3,$A504))</f>
        <v/>
      </c>
      <c r="M504" s="13" t="str">
        <f>IF($A504="","",[1]!thsiFinD("ths_adjustment_nv_fund",M$3,$A504))</f>
        <v/>
      </c>
      <c r="N504" s="13" t="str">
        <f>IF($A504="","",[1]!thsiFinD("ths_adjustment_nv_fund",N$3,$A504))</f>
        <v/>
      </c>
      <c r="O504" s="13" t="str">
        <f>IF($A504="","",[1]!thsiFinD("ths_adjustment_nv_fund",O$3,$A504))</f>
        <v/>
      </c>
      <c r="P504" s="13" t="str">
        <f>IF($A504="","",[1]!thsiFinD("ths_adjustment_nv_fund",P$3,$A504))</f>
        <v/>
      </c>
      <c r="Q504" s="13" t="str">
        <f>IF($A504="","",[1]!thsiFinD("ths_adjustment_nv_fund",Q$3,$A504))</f>
        <v/>
      </c>
      <c r="R504" s="13" t="str">
        <f>IF($A504="","",[1]!thsiFinD("ths_adjustment_nv_fund",R$3,$A504))</f>
        <v/>
      </c>
      <c r="S504" s="13" t="str">
        <f>IF($A504="","",[1]!thsiFinD("ths_adjustment_nv_fund",S$3,$A504))</f>
        <v/>
      </c>
      <c r="T504" s="13" t="str">
        <f>IF($A504="","",[1]!thsiFinD("ths_adjustment_nv_fund",T$3,$A504))</f>
        <v/>
      </c>
      <c r="U504" s="13" t="str">
        <f>IF($A504="","",[1]!thsiFinD("ths_adjustment_nv_fund",U$3,$A504))</f>
        <v/>
      </c>
      <c r="V504" s="13" t="str">
        <f>IF($A504="","",[1]!thsiFinD("ths_adjustment_nv_fund",V$3,$A504))</f>
        <v/>
      </c>
      <c r="W504" s="13" t="str">
        <f>IF($A504="","",[1]!thsiFinD("ths_adjustment_nv_fund",W$3,$A504))</f>
        <v/>
      </c>
      <c r="X504" s="13" t="str">
        <f>IF($A504="","",[1]!thsiFinD("ths_adjustment_nv_fund",X$3,$A504))</f>
        <v/>
      </c>
      <c r="Y504" s="13" t="str">
        <f>IF($A504="","",[1]!thsiFinD("ths_adjustment_nv_fund",Y$3,$A504))</f>
        <v/>
      </c>
      <c r="Z504" s="13" t="str">
        <f>IF($A504="","",[1]!thsiFinD("ths_adjustment_nv_fund",Z$3,$A504))</f>
        <v/>
      </c>
      <c r="AA504" s="13" t="str">
        <f>IF($A504="","",[1]!thsiFinD("ths_adjustment_nv_fund",AA$3,$A504))</f>
        <v/>
      </c>
      <c r="AB504" s="13" t="str">
        <f>IF($A504="","",[1]!thsiFinD("ths_adjustment_nv_fund",AB$3,$A504))</f>
        <v/>
      </c>
    </row>
    <row r="505" spans="2:28">
      <c r="B505" s="13" t="str">
        <f>IF($A505="","",[1]!thsiFinD("ths_adjustment_nv_fund",B$3,$A505))</f>
        <v/>
      </c>
      <c r="C505" s="13" t="str">
        <f>IF($A505="","",[1]!thsiFinD("ths_adjustment_nv_fund",C$3,$A505))</f>
        <v/>
      </c>
      <c r="D505" s="13" t="str">
        <f>IF($A505="","",[1]!thsiFinD("ths_adjustment_nv_fund",D$3,$A505))</f>
        <v/>
      </c>
      <c r="E505" s="13" t="str">
        <f>IF($A505="","",[1]!thsiFinD("ths_adjustment_nv_fund",E$3,$A505))</f>
        <v/>
      </c>
      <c r="F505" s="13" t="str">
        <f>IF($A505="","",[1]!thsiFinD("ths_adjustment_nv_fund",F$3,$A505))</f>
        <v/>
      </c>
      <c r="G505" s="13" t="str">
        <f>IF($A505="","",[1]!thsiFinD("ths_adjustment_nv_fund",G$3,$A505))</f>
        <v/>
      </c>
      <c r="H505" s="13" t="str">
        <f>IF($A505="","",[1]!thsiFinD("ths_adjustment_nv_fund",H$3,$A505))</f>
        <v/>
      </c>
      <c r="I505" s="13" t="str">
        <f>IF($A505="","",[1]!thsiFinD("ths_adjustment_nv_fund",I$3,$A505))</f>
        <v/>
      </c>
      <c r="J505" s="13" t="str">
        <f>IF($A505="","",[1]!thsiFinD("ths_adjustment_nv_fund",J$3,$A505))</f>
        <v/>
      </c>
      <c r="K505" s="13" t="str">
        <f>IF($A505="","",[1]!thsiFinD("ths_adjustment_nv_fund",K$3,$A505))</f>
        <v/>
      </c>
      <c r="L505" s="13" t="str">
        <f>IF($A505="","",[1]!thsiFinD("ths_adjustment_nv_fund",L$3,$A505))</f>
        <v/>
      </c>
      <c r="M505" s="13" t="str">
        <f>IF($A505="","",[1]!thsiFinD("ths_adjustment_nv_fund",M$3,$A505))</f>
        <v/>
      </c>
      <c r="N505" s="13" t="str">
        <f>IF($A505="","",[1]!thsiFinD("ths_adjustment_nv_fund",N$3,$A505))</f>
        <v/>
      </c>
      <c r="O505" s="13" t="str">
        <f>IF($A505="","",[1]!thsiFinD("ths_adjustment_nv_fund",O$3,$A505))</f>
        <v/>
      </c>
      <c r="P505" s="13" t="str">
        <f>IF($A505="","",[1]!thsiFinD("ths_adjustment_nv_fund",P$3,$A505))</f>
        <v/>
      </c>
      <c r="Q505" s="13" t="str">
        <f>IF($A505="","",[1]!thsiFinD("ths_adjustment_nv_fund",Q$3,$A505))</f>
        <v/>
      </c>
      <c r="R505" s="13" t="str">
        <f>IF($A505="","",[1]!thsiFinD("ths_adjustment_nv_fund",R$3,$A505))</f>
        <v/>
      </c>
      <c r="S505" s="13" t="str">
        <f>IF($A505="","",[1]!thsiFinD("ths_adjustment_nv_fund",S$3,$A505))</f>
        <v/>
      </c>
      <c r="T505" s="13" t="str">
        <f>IF($A505="","",[1]!thsiFinD("ths_adjustment_nv_fund",T$3,$A505))</f>
        <v/>
      </c>
      <c r="U505" s="13" t="str">
        <f>IF($A505="","",[1]!thsiFinD("ths_adjustment_nv_fund",U$3,$A505))</f>
        <v/>
      </c>
      <c r="V505" s="13" t="str">
        <f>IF($A505="","",[1]!thsiFinD("ths_adjustment_nv_fund",V$3,$A505))</f>
        <v/>
      </c>
      <c r="W505" s="13" t="str">
        <f>IF($A505="","",[1]!thsiFinD("ths_adjustment_nv_fund",W$3,$A505))</f>
        <v/>
      </c>
      <c r="X505" s="13" t="str">
        <f>IF($A505="","",[1]!thsiFinD("ths_adjustment_nv_fund",X$3,$A505))</f>
        <v/>
      </c>
      <c r="Y505" s="13" t="str">
        <f>IF($A505="","",[1]!thsiFinD("ths_adjustment_nv_fund",Y$3,$A505))</f>
        <v/>
      </c>
      <c r="Z505" s="13" t="str">
        <f>IF($A505="","",[1]!thsiFinD("ths_adjustment_nv_fund",Z$3,$A505))</f>
        <v/>
      </c>
      <c r="AA505" s="13" t="str">
        <f>IF($A505="","",[1]!thsiFinD("ths_adjustment_nv_fund",AA$3,$A505))</f>
        <v/>
      </c>
      <c r="AB505" s="13" t="str">
        <f>IF($A505="","",[1]!thsiFinD("ths_adjustment_nv_fund",AB$3,$A505))</f>
        <v/>
      </c>
    </row>
    <row r="506" spans="2:28">
      <c r="B506" s="13" t="str">
        <f>IF($A506="","",[1]!thsiFinD("ths_adjustment_nv_fund",B$3,$A506))</f>
        <v/>
      </c>
      <c r="C506" s="13" t="str">
        <f>IF($A506="","",[1]!thsiFinD("ths_adjustment_nv_fund",C$3,$A506))</f>
        <v/>
      </c>
      <c r="D506" s="13" t="str">
        <f>IF($A506="","",[1]!thsiFinD("ths_adjustment_nv_fund",D$3,$A506))</f>
        <v/>
      </c>
      <c r="E506" s="13" t="str">
        <f>IF($A506="","",[1]!thsiFinD("ths_adjustment_nv_fund",E$3,$A506))</f>
        <v/>
      </c>
      <c r="F506" s="13" t="str">
        <f>IF($A506="","",[1]!thsiFinD("ths_adjustment_nv_fund",F$3,$A506))</f>
        <v/>
      </c>
      <c r="G506" s="13" t="str">
        <f>IF($A506="","",[1]!thsiFinD("ths_adjustment_nv_fund",G$3,$A506))</f>
        <v/>
      </c>
      <c r="H506" s="13" t="str">
        <f>IF($A506="","",[1]!thsiFinD("ths_adjustment_nv_fund",H$3,$A506))</f>
        <v/>
      </c>
      <c r="I506" s="13" t="str">
        <f>IF($A506="","",[1]!thsiFinD("ths_adjustment_nv_fund",I$3,$A506))</f>
        <v/>
      </c>
      <c r="J506" s="13" t="str">
        <f>IF($A506="","",[1]!thsiFinD("ths_adjustment_nv_fund",J$3,$A506))</f>
        <v/>
      </c>
      <c r="K506" s="13" t="str">
        <f>IF($A506="","",[1]!thsiFinD("ths_adjustment_nv_fund",K$3,$A506))</f>
        <v/>
      </c>
      <c r="L506" s="13" t="str">
        <f>IF($A506="","",[1]!thsiFinD("ths_adjustment_nv_fund",L$3,$A506))</f>
        <v/>
      </c>
      <c r="M506" s="13" t="str">
        <f>IF($A506="","",[1]!thsiFinD("ths_adjustment_nv_fund",M$3,$A506))</f>
        <v/>
      </c>
      <c r="N506" s="13" t="str">
        <f>IF($A506="","",[1]!thsiFinD("ths_adjustment_nv_fund",N$3,$A506))</f>
        <v/>
      </c>
      <c r="O506" s="13" t="str">
        <f>IF($A506="","",[1]!thsiFinD("ths_adjustment_nv_fund",O$3,$A506))</f>
        <v/>
      </c>
      <c r="P506" s="13" t="str">
        <f>IF($A506="","",[1]!thsiFinD("ths_adjustment_nv_fund",P$3,$A506))</f>
        <v/>
      </c>
      <c r="Q506" s="13" t="str">
        <f>IF($A506="","",[1]!thsiFinD("ths_adjustment_nv_fund",Q$3,$A506))</f>
        <v/>
      </c>
      <c r="R506" s="13" t="str">
        <f>IF($A506="","",[1]!thsiFinD("ths_adjustment_nv_fund",R$3,$A506))</f>
        <v/>
      </c>
      <c r="S506" s="13" t="str">
        <f>IF($A506="","",[1]!thsiFinD("ths_adjustment_nv_fund",S$3,$A506))</f>
        <v/>
      </c>
      <c r="T506" s="13" t="str">
        <f>IF($A506="","",[1]!thsiFinD("ths_adjustment_nv_fund",T$3,$A506))</f>
        <v/>
      </c>
      <c r="U506" s="13" t="str">
        <f>IF($A506="","",[1]!thsiFinD("ths_adjustment_nv_fund",U$3,$A506))</f>
        <v/>
      </c>
      <c r="V506" s="13" t="str">
        <f>IF($A506="","",[1]!thsiFinD("ths_adjustment_nv_fund",V$3,$A506))</f>
        <v/>
      </c>
      <c r="W506" s="13" t="str">
        <f>IF($A506="","",[1]!thsiFinD("ths_adjustment_nv_fund",W$3,$A506))</f>
        <v/>
      </c>
      <c r="X506" s="13" t="str">
        <f>IF($A506="","",[1]!thsiFinD("ths_adjustment_nv_fund",X$3,$A506))</f>
        <v/>
      </c>
      <c r="Y506" s="13" t="str">
        <f>IF($A506="","",[1]!thsiFinD("ths_adjustment_nv_fund",Y$3,$A506))</f>
        <v/>
      </c>
      <c r="Z506" s="13" t="str">
        <f>IF($A506="","",[1]!thsiFinD("ths_adjustment_nv_fund",Z$3,$A506))</f>
        <v/>
      </c>
      <c r="AA506" s="13" t="str">
        <f>IF($A506="","",[1]!thsiFinD("ths_adjustment_nv_fund",AA$3,$A506))</f>
        <v/>
      </c>
      <c r="AB506" s="13" t="str">
        <f>IF($A506="","",[1]!thsiFinD("ths_adjustment_nv_fund",AB$3,$A506))</f>
        <v/>
      </c>
    </row>
    <row r="507" spans="2:28">
      <c r="B507" s="13" t="str">
        <f>IF($A507="","",[1]!thsiFinD("ths_adjustment_nv_fund",B$3,$A507))</f>
        <v/>
      </c>
      <c r="C507" s="13" t="str">
        <f>IF($A507="","",[1]!thsiFinD("ths_adjustment_nv_fund",C$3,$A507))</f>
        <v/>
      </c>
      <c r="D507" s="13" t="str">
        <f>IF($A507="","",[1]!thsiFinD("ths_adjustment_nv_fund",D$3,$A507))</f>
        <v/>
      </c>
      <c r="E507" s="13" t="str">
        <f>IF($A507="","",[1]!thsiFinD("ths_adjustment_nv_fund",E$3,$A507))</f>
        <v/>
      </c>
      <c r="F507" s="13" t="str">
        <f>IF($A507="","",[1]!thsiFinD("ths_adjustment_nv_fund",F$3,$A507))</f>
        <v/>
      </c>
      <c r="G507" s="13" t="str">
        <f>IF($A507="","",[1]!thsiFinD("ths_adjustment_nv_fund",G$3,$A507))</f>
        <v/>
      </c>
      <c r="H507" s="13" t="str">
        <f>IF($A507="","",[1]!thsiFinD("ths_adjustment_nv_fund",H$3,$A507))</f>
        <v/>
      </c>
      <c r="I507" s="13" t="str">
        <f>IF($A507="","",[1]!thsiFinD("ths_adjustment_nv_fund",I$3,$A507))</f>
        <v/>
      </c>
      <c r="J507" s="13" t="str">
        <f>IF($A507="","",[1]!thsiFinD("ths_adjustment_nv_fund",J$3,$A507))</f>
        <v/>
      </c>
      <c r="K507" s="13" t="str">
        <f>IF($A507="","",[1]!thsiFinD("ths_adjustment_nv_fund",K$3,$A507))</f>
        <v/>
      </c>
      <c r="L507" s="13" t="str">
        <f>IF($A507="","",[1]!thsiFinD("ths_adjustment_nv_fund",L$3,$A507))</f>
        <v/>
      </c>
      <c r="M507" s="13" t="str">
        <f>IF($A507="","",[1]!thsiFinD("ths_adjustment_nv_fund",M$3,$A507))</f>
        <v/>
      </c>
      <c r="N507" s="13" t="str">
        <f>IF($A507="","",[1]!thsiFinD("ths_adjustment_nv_fund",N$3,$A507))</f>
        <v/>
      </c>
      <c r="O507" s="13" t="str">
        <f>IF($A507="","",[1]!thsiFinD("ths_adjustment_nv_fund",O$3,$A507))</f>
        <v/>
      </c>
      <c r="P507" s="13" t="str">
        <f>IF($A507="","",[1]!thsiFinD("ths_adjustment_nv_fund",P$3,$A507))</f>
        <v/>
      </c>
      <c r="Q507" s="13" t="str">
        <f>IF($A507="","",[1]!thsiFinD("ths_adjustment_nv_fund",Q$3,$A507))</f>
        <v/>
      </c>
      <c r="R507" s="13" t="str">
        <f>IF($A507="","",[1]!thsiFinD("ths_adjustment_nv_fund",R$3,$A507))</f>
        <v/>
      </c>
      <c r="S507" s="13" t="str">
        <f>IF($A507="","",[1]!thsiFinD("ths_adjustment_nv_fund",S$3,$A507))</f>
        <v/>
      </c>
      <c r="T507" s="13" t="str">
        <f>IF($A507="","",[1]!thsiFinD("ths_adjustment_nv_fund",T$3,$A507))</f>
        <v/>
      </c>
      <c r="U507" s="13" t="str">
        <f>IF($A507="","",[1]!thsiFinD("ths_adjustment_nv_fund",U$3,$A507))</f>
        <v/>
      </c>
      <c r="V507" s="13" t="str">
        <f>IF($A507="","",[1]!thsiFinD("ths_adjustment_nv_fund",V$3,$A507))</f>
        <v/>
      </c>
      <c r="W507" s="13" t="str">
        <f>IF($A507="","",[1]!thsiFinD("ths_adjustment_nv_fund",W$3,$A507))</f>
        <v/>
      </c>
      <c r="X507" s="13" t="str">
        <f>IF($A507="","",[1]!thsiFinD("ths_adjustment_nv_fund",X$3,$A507))</f>
        <v/>
      </c>
      <c r="Y507" s="13" t="str">
        <f>IF($A507="","",[1]!thsiFinD("ths_adjustment_nv_fund",Y$3,$A507))</f>
        <v/>
      </c>
      <c r="Z507" s="13" t="str">
        <f>IF($A507="","",[1]!thsiFinD("ths_adjustment_nv_fund",Z$3,$A507))</f>
        <v/>
      </c>
      <c r="AA507" s="13" t="str">
        <f>IF($A507="","",[1]!thsiFinD("ths_adjustment_nv_fund",AA$3,$A507))</f>
        <v/>
      </c>
      <c r="AB507" s="13" t="str">
        <f>IF($A507="","",[1]!thsiFinD("ths_adjustment_nv_fund",AB$3,$A507))</f>
        <v/>
      </c>
    </row>
    <row r="508" spans="2:28">
      <c r="B508" s="13" t="str">
        <f>IF($A508="","",[1]!thsiFinD("ths_adjustment_nv_fund",B$3,$A508))</f>
        <v/>
      </c>
      <c r="C508" s="13" t="str">
        <f>IF($A508="","",[1]!thsiFinD("ths_adjustment_nv_fund",C$3,$A508))</f>
        <v/>
      </c>
      <c r="D508" s="13" t="str">
        <f>IF($A508="","",[1]!thsiFinD("ths_adjustment_nv_fund",D$3,$A508))</f>
        <v/>
      </c>
      <c r="E508" s="13" t="str">
        <f>IF($A508="","",[1]!thsiFinD("ths_adjustment_nv_fund",E$3,$A508))</f>
        <v/>
      </c>
      <c r="F508" s="13" t="str">
        <f>IF($A508="","",[1]!thsiFinD("ths_adjustment_nv_fund",F$3,$A508))</f>
        <v/>
      </c>
      <c r="G508" s="13" t="str">
        <f>IF($A508="","",[1]!thsiFinD("ths_adjustment_nv_fund",G$3,$A508))</f>
        <v/>
      </c>
      <c r="H508" s="13" t="str">
        <f>IF($A508="","",[1]!thsiFinD("ths_adjustment_nv_fund",H$3,$A508))</f>
        <v/>
      </c>
      <c r="I508" s="13" t="str">
        <f>IF($A508="","",[1]!thsiFinD("ths_adjustment_nv_fund",I$3,$A508))</f>
        <v/>
      </c>
      <c r="J508" s="13" t="str">
        <f>IF($A508="","",[1]!thsiFinD("ths_adjustment_nv_fund",J$3,$A508))</f>
        <v/>
      </c>
      <c r="K508" s="13" t="str">
        <f>IF($A508="","",[1]!thsiFinD("ths_adjustment_nv_fund",K$3,$A508))</f>
        <v/>
      </c>
      <c r="L508" s="13" t="str">
        <f>IF($A508="","",[1]!thsiFinD("ths_adjustment_nv_fund",L$3,$A508))</f>
        <v/>
      </c>
      <c r="M508" s="13" t="str">
        <f>IF($A508="","",[1]!thsiFinD("ths_adjustment_nv_fund",M$3,$A508))</f>
        <v/>
      </c>
      <c r="N508" s="13" t="str">
        <f>IF($A508="","",[1]!thsiFinD("ths_adjustment_nv_fund",N$3,$A508))</f>
        <v/>
      </c>
      <c r="O508" s="13" t="str">
        <f>IF($A508="","",[1]!thsiFinD("ths_adjustment_nv_fund",O$3,$A508))</f>
        <v/>
      </c>
      <c r="P508" s="13" t="str">
        <f>IF($A508="","",[1]!thsiFinD("ths_adjustment_nv_fund",P$3,$A508))</f>
        <v/>
      </c>
      <c r="Q508" s="13" t="str">
        <f>IF($A508="","",[1]!thsiFinD("ths_adjustment_nv_fund",Q$3,$A508))</f>
        <v/>
      </c>
      <c r="R508" s="13" t="str">
        <f>IF($A508="","",[1]!thsiFinD("ths_adjustment_nv_fund",R$3,$A508))</f>
        <v/>
      </c>
      <c r="S508" s="13" t="str">
        <f>IF($A508="","",[1]!thsiFinD("ths_adjustment_nv_fund",S$3,$A508))</f>
        <v/>
      </c>
      <c r="T508" s="13" t="str">
        <f>IF($A508="","",[1]!thsiFinD("ths_adjustment_nv_fund",T$3,$A508))</f>
        <v/>
      </c>
      <c r="U508" s="13" t="str">
        <f>IF($A508="","",[1]!thsiFinD("ths_adjustment_nv_fund",U$3,$A508))</f>
        <v/>
      </c>
      <c r="V508" s="13" t="str">
        <f>IF($A508="","",[1]!thsiFinD("ths_adjustment_nv_fund",V$3,$A508))</f>
        <v/>
      </c>
      <c r="W508" s="13" t="str">
        <f>IF($A508="","",[1]!thsiFinD("ths_adjustment_nv_fund",W$3,$A508))</f>
        <v/>
      </c>
      <c r="X508" s="13" t="str">
        <f>IF($A508="","",[1]!thsiFinD("ths_adjustment_nv_fund",X$3,$A508))</f>
        <v/>
      </c>
      <c r="Y508" s="13" t="str">
        <f>IF($A508="","",[1]!thsiFinD("ths_adjustment_nv_fund",Y$3,$A508))</f>
        <v/>
      </c>
      <c r="Z508" s="13" t="str">
        <f>IF($A508="","",[1]!thsiFinD("ths_adjustment_nv_fund",Z$3,$A508))</f>
        <v/>
      </c>
      <c r="AA508" s="13" t="str">
        <f>IF($A508="","",[1]!thsiFinD("ths_adjustment_nv_fund",AA$3,$A508))</f>
        <v/>
      </c>
      <c r="AB508" s="13" t="str">
        <f>IF($A508="","",[1]!thsiFinD("ths_adjustment_nv_fund",AB$3,$A508))</f>
        <v/>
      </c>
    </row>
    <row r="509" spans="2:28">
      <c r="B509" s="13" t="str">
        <f>IF($A509="","",[1]!thsiFinD("ths_adjustment_nv_fund",B$3,$A509))</f>
        <v/>
      </c>
      <c r="C509" s="13" t="str">
        <f>IF($A509="","",[1]!thsiFinD("ths_adjustment_nv_fund",C$3,$A509))</f>
        <v/>
      </c>
      <c r="D509" s="13" t="str">
        <f>IF($A509="","",[1]!thsiFinD("ths_adjustment_nv_fund",D$3,$A509))</f>
        <v/>
      </c>
      <c r="E509" s="13" t="str">
        <f>IF($A509="","",[1]!thsiFinD("ths_adjustment_nv_fund",E$3,$A509))</f>
        <v/>
      </c>
      <c r="F509" s="13" t="str">
        <f>IF($A509="","",[1]!thsiFinD("ths_adjustment_nv_fund",F$3,$A509))</f>
        <v/>
      </c>
      <c r="G509" s="13" t="str">
        <f>IF($A509="","",[1]!thsiFinD("ths_adjustment_nv_fund",G$3,$A509))</f>
        <v/>
      </c>
      <c r="H509" s="13" t="str">
        <f>IF($A509="","",[1]!thsiFinD("ths_adjustment_nv_fund",H$3,$A509))</f>
        <v/>
      </c>
      <c r="I509" s="13" t="str">
        <f>IF($A509="","",[1]!thsiFinD("ths_adjustment_nv_fund",I$3,$A509))</f>
        <v/>
      </c>
      <c r="J509" s="13" t="str">
        <f>IF($A509="","",[1]!thsiFinD("ths_adjustment_nv_fund",J$3,$A509))</f>
        <v/>
      </c>
      <c r="K509" s="13" t="str">
        <f>IF($A509="","",[1]!thsiFinD("ths_adjustment_nv_fund",K$3,$A509))</f>
        <v/>
      </c>
      <c r="L509" s="13" t="str">
        <f>IF($A509="","",[1]!thsiFinD("ths_adjustment_nv_fund",L$3,$A509))</f>
        <v/>
      </c>
      <c r="M509" s="13" t="str">
        <f>IF($A509="","",[1]!thsiFinD("ths_adjustment_nv_fund",M$3,$A509))</f>
        <v/>
      </c>
      <c r="N509" s="13" t="str">
        <f>IF($A509="","",[1]!thsiFinD("ths_adjustment_nv_fund",N$3,$A509))</f>
        <v/>
      </c>
      <c r="O509" s="13" t="str">
        <f>IF($A509="","",[1]!thsiFinD("ths_adjustment_nv_fund",O$3,$A509))</f>
        <v/>
      </c>
      <c r="P509" s="13" t="str">
        <f>IF($A509="","",[1]!thsiFinD("ths_adjustment_nv_fund",P$3,$A509))</f>
        <v/>
      </c>
      <c r="Q509" s="13" t="str">
        <f>IF($A509="","",[1]!thsiFinD("ths_adjustment_nv_fund",Q$3,$A509))</f>
        <v/>
      </c>
      <c r="R509" s="13" t="str">
        <f>IF($A509="","",[1]!thsiFinD("ths_adjustment_nv_fund",R$3,$A509))</f>
        <v/>
      </c>
      <c r="S509" s="13" t="str">
        <f>IF($A509="","",[1]!thsiFinD("ths_adjustment_nv_fund",S$3,$A509))</f>
        <v/>
      </c>
      <c r="T509" s="13" t="str">
        <f>IF($A509="","",[1]!thsiFinD("ths_adjustment_nv_fund",T$3,$A509))</f>
        <v/>
      </c>
      <c r="U509" s="13" t="str">
        <f>IF($A509="","",[1]!thsiFinD("ths_adjustment_nv_fund",U$3,$A509))</f>
        <v/>
      </c>
      <c r="V509" s="13" t="str">
        <f>IF($A509="","",[1]!thsiFinD("ths_adjustment_nv_fund",V$3,$A509))</f>
        <v/>
      </c>
      <c r="W509" s="13" t="str">
        <f>IF($A509="","",[1]!thsiFinD("ths_adjustment_nv_fund",W$3,$A509))</f>
        <v/>
      </c>
      <c r="X509" s="13" t="str">
        <f>IF($A509="","",[1]!thsiFinD("ths_adjustment_nv_fund",X$3,$A509))</f>
        <v/>
      </c>
      <c r="Y509" s="13" t="str">
        <f>IF($A509="","",[1]!thsiFinD("ths_adjustment_nv_fund",Y$3,$A509))</f>
        <v/>
      </c>
      <c r="Z509" s="13" t="str">
        <f>IF($A509="","",[1]!thsiFinD("ths_adjustment_nv_fund",Z$3,$A509))</f>
        <v/>
      </c>
      <c r="AA509" s="13" t="str">
        <f>IF($A509="","",[1]!thsiFinD("ths_adjustment_nv_fund",AA$3,$A509))</f>
        <v/>
      </c>
      <c r="AB509" s="13" t="str">
        <f>IF($A509="","",[1]!thsiFinD("ths_adjustment_nv_fund",AB$3,$A509))</f>
        <v/>
      </c>
    </row>
    <row r="510" spans="2:28">
      <c r="B510" s="13" t="str">
        <f>IF($A510="","",[1]!thsiFinD("ths_adjustment_nv_fund",B$3,$A510))</f>
        <v/>
      </c>
      <c r="C510" s="13" t="str">
        <f>IF($A510="","",[1]!thsiFinD("ths_adjustment_nv_fund",C$3,$A510))</f>
        <v/>
      </c>
      <c r="D510" s="13" t="str">
        <f>IF($A510="","",[1]!thsiFinD("ths_adjustment_nv_fund",D$3,$A510))</f>
        <v/>
      </c>
      <c r="E510" s="13" t="str">
        <f>IF($A510="","",[1]!thsiFinD("ths_adjustment_nv_fund",E$3,$A510))</f>
        <v/>
      </c>
      <c r="F510" s="13" t="str">
        <f>IF($A510="","",[1]!thsiFinD("ths_adjustment_nv_fund",F$3,$A510))</f>
        <v/>
      </c>
      <c r="G510" s="13" t="str">
        <f>IF($A510="","",[1]!thsiFinD("ths_adjustment_nv_fund",G$3,$A510))</f>
        <v/>
      </c>
      <c r="H510" s="13" t="str">
        <f>IF($A510="","",[1]!thsiFinD("ths_adjustment_nv_fund",H$3,$A510))</f>
        <v/>
      </c>
      <c r="I510" s="13" t="str">
        <f>IF($A510="","",[1]!thsiFinD("ths_adjustment_nv_fund",I$3,$A510))</f>
        <v/>
      </c>
      <c r="J510" s="13" t="str">
        <f>IF($A510="","",[1]!thsiFinD("ths_adjustment_nv_fund",J$3,$A510))</f>
        <v/>
      </c>
      <c r="K510" s="13" t="str">
        <f>IF($A510="","",[1]!thsiFinD("ths_adjustment_nv_fund",K$3,$A510))</f>
        <v/>
      </c>
      <c r="L510" s="13" t="str">
        <f>IF($A510="","",[1]!thsiFinD("ths_adjustment_nv_fund",L$3,$A510))</f>
        <v/>
      </c>
      <c r="M510" s="13" t="str">
        <f>IF($A510="","",[1]!thsiFinD("ths_adjustment_nv_fund",M$3,$A510))</f>
        <v/>
      </c>
      <c r="N510" s="13" t="str">
        <f>IF($A510="","",[1]!thsiFinD("ths_adjustment_nv_fund",N$3,$A510))</f>
        <v/>
      </c>
      <c r="O510" s="13" t="str">
        <f>IF($A510="","",[1]!thsiFinD("ths_adjustment_nv_fund",O$3,$A510))</f>
        <v/>
      </c>
      <c r="P510" s="13" t="str">
        <f>IF($A510="","",[1]!thsiFinD("ths_adjustment_nv_fund",P$3,$A510))</f>
        <v/>
      </c>
      <c r="Q510" s="13" t="str">
        <f>IF($A510="","",[1]!thsiFinD("ths_adjustment_nv_fund",Q$3,$A510))</f>
        <v/>
      </c>
      <c r="R510" s="13" t="str">
        <f>IF($A510="","",[1]!thsiFinD("ths_adjustment_nv_fund",R$3,$A510))</f>
        <v/>
      </c>
      <c r="S510" s="13" t="str">
        <f>IF($A510="","",[1]!thsiFinD("ths_adjustment_nv_fund",S$3,$A510))</f>
        <v/>
      </c>
      <c r="T510" s="13" t="str">
        <f>IF($A510="","",[1]!thsiFinD("ths_adjustment_nv_fund",T$3,$A510))</f>
        <v/>
      </c>
      <c r="U510" s="13" t="str">
        <f>IF($A510="","",[1]!thsiFinD("ths_adjustment_nv_fund",U$3,$A510))</f>
        <v/>
      </c>
      <c r="V510" s="13" t="str">
        <f>IF($A510="","",[1]!thsiFinD("ths_adjustment_nv_fund",V$3,$A510))</f>
        <v/>
      </c>
      <c r="W510" s="13" t="str">
        <f>IF($A510="","",[1]!thsiFinD("ths_adjustment_nv_fund",W$3,$A510))</f>
        <v/>
      </c>
      <c r="X510" s="13" t="str">
        <f>IF($A510="","",[1]!thsiFinD("ths_adjustment_nv_fund",X$3,$A510))</f>
        <v/>
      </c>
      <c r="Y510" s="13" t="str">
        <f>IF($A510="","",[1]!thsiFinD("ths_adjustment_nv_fund",Y$3,$A510))</f>
        <v/>
      </c>
      <c r="Z510" s="13" t="str">
        <f>IF($A510="","",[1]!thsiFinD("ths_adjustment_nv_fund",Z$3,$A510))</f>
        <v/>
      </c>
      <c r="AA510" s="13" t="str">
        <f>IF($A510="","",[1]!thsiFinD("ths_adjustment_nv_fund",AA$3,$A510))</f>
        <v/>
      </c>
      <c r="AB510" s="13" t="str">
        <f>IF($A510="","",[1]!thsiFinD("ths_adjustment_nv_fund",AB$3,$A510))</f>
        <v/>
      </c>
    </row>
    <row r="511" spans="2:28">
      <c r="B511" s="13" t="str">
        <f>IF($A511="","",[1]!thsiFinD("ths_adjustment_nv_fund",B$3,$A511))</f>
        <v/>
      </c>
      <c r="C511" s="13" t="str">
        <f>IF($A511="","",[1]!thsiFinD("ths_adjustment_nv_fund",C$3,$A511))</f>
        <v/>
      </c>
      <c r="D511" s="13" t="str">
        <f>IF($A511="","",[1]!thsiFinD("ths_adjustment_nv_fund",D$3,$A511))</f>
        <v/>
      </c>
      <c r="E511" s="13" t="str">
        <f>IF($A511="","",[1]!thsiFinD("ths_adjustment_nv_fund",E$3,$A511))</f>
        <v/>
      </c>
      <c r="F511" s="13" t="str">
        <f>IF($A511="","",[1]!thsiFinD("ths_adjustment_nv_fund",F$3,$A511))</f>
        <v/>
      </c>
      <c r="G511" s="13" t="str">
        <f>IF($A511="","",[1]!thsiFinD("ths_adjustment_nv_fund",G$3,$A511))</f>
        <v/>
      </c>
      <c r="H511" s="13" t="str">
        <f>IF($A511="","",[1]!thsiFinD("ths_adjustment_nv_fund",H$3,$A511))</f>
        <v/>
      </c>
      <c r="I511" s="13" t="str">
        <f>IF($A511="","",[1]!thsiFinD("ths_adjustment_nv_fund",I$3,$A511))</f>
        <v/>
      </c>
      <c r="J511" s="13" t="str">
        <f>IF($A511="","",[1]!thsiFinD("ths_adjustment_nv_fund",J$3,$A511))</f>
        <v/>
      </c>
      <c r="K511" s="13" t="str">
        <f>IF($A511="","",[1]!thsiFinD("ths_adjustment_nv_fund",K$3,$A511))</f>
        <v/>
      </c>
      <c r="L511" s="13" t="str">
        <f>IF($A511="","",[1]!thsiFinD("ths_adjustment_nv_fund",L$3,$A511))</f>
        <v/>
      </c>
      <c r="M511" s="13" t="str">
        <f>IF($A511="","",[1]!thsiFinD("ths_adjustment_nv_fund",M$3,$A511))</f>
        <v/>
      </c>
      <c r="N511" s="13" t="str">
        <f>IF($A511="","",[1]!thsiFinD("ths_adjustment_nv_fund",N$3,$A511))</f>
        <v/>
      </c>
      <c r="O511" s="13" t="str">
        <f>IF($A511="","",[1]!thsiFinD("ths_adjustment_nv_fund",O$3,$A511))</f>
        <v/>
      </c>
      <c r="P511" s="13" t="str">
        <f>IF($A511="","",[1]!thsiFinD("ths_adjustment_nv_fund",P$3,$A511))</f>
        <v/>
      </c>
      <c r="Q511" s="13" t="str">
        <f>IF($A511="","",[1]!thsiFinD("ths_adjustment_nv_fund",Q$3,$A511))</f>
        <v/>
      </c>
      <c r="R511" s="13" t="str">
        <f>IF($A511="","",[1]!thsiFinD("ths_adjustment_nv_fund",R$3,$A511))</f>
        <v/>
      </c>
      <c r="S511" s="13" t="str">
        <f>IF($A511="","",[1]!thsiFinD("ths_adjustment_nv_fund",S$3,$A511))</f>
        <v/>
      </c>
      <c r="T511" s="13" t="str">
        <f>IF($A511="","",[1]!thsiFinD("ths_adjustment_nv_fund",T$3,$A511))</f>
        <v/>
      </c>
      <c r="U511" s="13" t="str">
        <f>IF($A511="","",[1]!thsiFinD("ths_adjustment_nv_fund",U$3,$A511))</f>
        <v/>
      </c>
      <c r="V511" s="13" t="str">
        <f>IF($A511="","",[1]!thsiFinD("ths_adjustment_nv_fund",V$3,$A511))</f>
        <v/>
      </c>
      <c r="W511" s="13" t="str">
        <f>IF($A511="","",[1]!thsiFinD("ths_adjustment_nv_fund",W$3,$A511))</f>
        <v/>
      </c>
      <c r="X511" s="13" t="str">
        <f>IF($A511="","",[1]!thsiFinD("ths_adjustment_nv_fund",X$3,$A511))</f>
        <v/>
      </c>
      <c r="Y511" s="13" t="str">
        <f>IF($A511="","",[1]!thsiFinD("ths_adjustment_nv_fund",Y$3,$A511))</f>
        <v/>
      </c>
      <c r="Z511" s="13" t="str">
        <f>IF($A511="","",[1]!thsiFinD("ths_adjustment_nv_fund",Z$3,$A511))</f>
        <v/>
      </c>
      <c r="AA511" s="13" t="str">
        <f>IF($A511="","",[1]!thsiFinD("ths_adjustment_nv_fund",AA$3,$A511))</f>
        <v/>
      </c>
      <c r="AB511" s="13" t="str">
        <f>IF($A511="","",[1]!thsiFinD("ths_adjustment_nv_fund",AB$3,$A511))</f>
        <v/>
      </c>
    </row>
    <row r="512" spans="2:28">
      <c r="B512" s="13" t="str">
        <f>IF($A512="","",[1]!thsiFinD("ths_adjustment_nv_fund",B$3,$A512))</f>
        <v/>
      </c>
      <c r="C512" s="13" t="str">
        <f>IF($A512="","",[1]!thsiFinD("ths_adjustment_nv_fund",C$3,$A512))</f>
        <v/>
      </c>
      <c r="D512" s="13" t="str">
        <f>IF($A512="","",[1]!thsiFinD("ths_adjustment_nv_fund",D$3,$A512))</f>
        <v/>
      </c>
      <c r="E512" s="13" t="str">
        <f>IF($A512="","",[1]!thsiFinD("ths_adjustment_nv_fund",E$3,$A512))</f>
        <v/>
      </c>
      <c r="F512" s="13" t="str">
        <f>IF($A512="","",[1]!thsiFinD("ths_adjustment_nv_fund",F$3,$A512))</f>
        <v/>
      </c>
      <c r="G512" s="13" t="str">
        <f>IF($A512="","",[1]!thsiFinD("ths_adjustment_nv_fund",G$3,$A512))</f>
        <v/>
      </c>
      <c r="H512" s="13" t="str">
        <f>IF($A512="","",[1]!thsiFinD("ths_adjustment_nv_fund",H$3,$A512))</f>
        <v/>
      </c>
      <c r="I512" s="13" t="str">
        <f>IF($A512="","",[1]!thsiFinD("ths_adjustment_nv_fund",I$3,$A512))</f>
        <v/>
      </c>
      <c r="J512" s="13" t="str">
        <f>IF($A512="","",[1]!thsiFinD("ths_adjustment_nv_fund",J$3,$A512))</f>
        <v/>
      </c>
      <c r="K512" s="13" t="str">
        <f>IF($A512="","",[1]!thsiFinD("ths_adjustment_nv_fund",K$3,$A512))</f>
        <v/>
      </c>
      <c r="L512" s="13" t="str">
        <f>IF($A512="","",[1]!thsiFinD("ths_adjustment_nv_fund",L$3,$A512))</f>
        <v/>
      </c>
      <c r="M512" s="13" t="str">
        <f>IF($A512="","",[1]!thsiFinD("ths_adjustment_nv_fund",M$3,$A512))</f>
        <v/>
      </c>
      <c r="N512" s="13" t="str">
        <f>IF($A512="","",[1]!thsiFinD("ths_adjustment_nv_fund",N$3,$A512))</f>
        <v/>
      </c>
      <c r="O512" s="13" t="str">
        <f>IF($A512="","",[1]!thsiFinD("ths_adjustment_nv_fund",O$3,$A512))</f>
        <v/>
      </c>
      <c r="P512" s="13" t="str">
        <f>IF($A512="","",[1]!thsiFinD("ths_adjustment_nv_fund",P$3,$A512))</f>
        <v/>
      </c>
      <c r="Q512" s="13" t="str">
        <f>IF($A512="","",[1]!thsiFinD("ths_adjustment_nv_fund",Q$3,$A512))</f>
        <v/>
      </c>
      <c r="R512" s="13" t="str">
        <f>IF($A512="","",[1]!thsiFinD("ths_adjustment_nv_fund",R$3,$A512))</f>
        <v/>
      </c>
      <c r="S512" s="13" t="str">
        <f>IF($A512="","",[1]!thsiFinD("ths_adjustment_nv_fund",S$3,$A512))</f>
        <v/>
      </c>
      <c r="T512" s="13" t="str">
        <f>IF($A512="","",[1]!thsiFinD("ths_adjustment_nv_fund",T$3,$A512))</f>
        <v/>
      </c>
      <c r="U512" s="13" t="str">
        <f>IF($A512="","",[1]!thsiFinD("ths_adjustment_nv_fund",U$3,$A512))</f>
        <v/>
      </c>
      <c r="V512" s="13" t="str">
        <f>IF($A512="","",[1]!thsiFinD("ths_adjustment_nv_fund",V$3,$A512))</f>
        <v/>
      </c>
      <c r="W512" s="13" t="str">
        <f>IF($A512="","",[1]!thsiFinD("ths_adjustment_nv_fund",W$3,$A512))</f>
        <v/>
      </c>
      <c r="X512" s="13" t="str">
        <f>IF($A512="","",[1]!thsiFinD("ths_adjustment_nv_fund",X$3,$A512))</f>
        <v/>
      </c>
      <c r="Y512" s="13" t="str">
        <f>IF($A512="","",[1]!thsiFinD("ths_adjustment_nv_fund",Y$3,$A512))</f>
        <v/>
      </c>
      <c r="Z512" s="13" t="str">
        <f>IF($A512="","",[1]!thsiFinD("ths_adjustment_nv_fund",Z$3,$A512))</f>
        <v/>
      </c>
      <c r="AA512" s="13" t="str">
        <f>IF($A512="","",[1]!thsiFinD("ths_adjustment_nv_fund",AA$3,$A512))</f>
        <v/>
      </c>
      <c r="AB512" s="13" t="str">
        <f>IF($A512="","",[1]!thsiFinD("ths_adjustment_nv_fund",AB$3,$A512))</f>
        <v/>
      </c>
    </row>
    <row r="513" spans="2:28">
      <c r="B513" s="13" t="str">
        <f>IF($A513="","",[1]!thsiFinD("ths_adjustment_nv_fund",B$3,$A513))</f>
        <v/>
      </c>
      <c r="C513" s="13" t="str">
        <f>IF($A513="","",[1]!thsiFinD("ths_adjustment_nv_fund",C$3,$A513))</f>
        <v/>
      </c>
      <c r="D513" s="13" t="str">
        <f>IF($A513="","",[1]!thsiFinD("ths_adjustment_nv_fund",D$3,$A513))</f>
        <v/>
      </c>
      <c r="E513" s="13" t="str">
        <f>IF($A513="","",[1]!thsiFinD("ths_adjustment_nv_fund",E$3,$A513))</f>
        <v/>
      </c>
      <c r="F513" s="13" t="str">
        <f>IF($A513="","",[1]!thsiFinD("ths_adjustment_nv_fund",F$3,$A513))</f>
        <v/>
      </c>
      <c r="G513" s="13" t="str">
        <f>IF($A513="","",[1]!thsiFinD("ths_adjustment_nv_fund",G$3,$A513))</f>
        <v/>
      </c>
      <c r="H513" s="13" t="str">
        <f>IF($A513="","",[1]!thsiFinD("ths_adjustment_nv_fund",H$3,$A513))</f>
        <v/>
      </c>
      <c r="I513" s="13" t="str">
        <f>IF($A513="","",[1]!thsiFinD("ths_adjustment_nv_fund",I$3,$A513))</f>
        <v/>
      </c>
      <c r="J513" s="13" t="str">
        <f>IF($A513="","",[1]!thsiFinD("ths_adjustment_nv_fund",J$3,$A513))</f>
        <v/>
      </c>
      <c r="K513" s="13" t="str">
        <f>IF($A513="","",[1]!thsiFinD("ths_adjustment_nv_fund",K$3,$A513))</f>
        <v/>
      </c>
      <c r="L513" s="13" t="str">
        <f>IF($A513="","",[1]!thsiFinD("ths_adjustment_nv_fund",L$3,$A513))</f>
        <v/>
      </c>
      <c r="M513" s="13" t="str">
        <f>IF($A513="","",[1]!thsiFinD("ths_adjustment_nv_fund",M$3,$A513))</f>
        <v/>
      </c>
      <c r="N513" s="13" t="str">
        <f>IF($A513="","",[1]!thsiFinD("ths_adjustment_nv_fund",N$3,$A513))</f>
        <v/>
      </c>
      <c r="O513" s="13" t="str">
        <f>IF($A513="","",[1]!thsiFinD("ths_adjustment_nv_fund",O$3,$A513))</f>
        <v/>
      </c>
      <c r="P513" s="13" t="str">
        <f>IF($A513="","",[1]!thsiFinD("ths_adjustment_nv_fund",P$3,$A513))</f>
        <v/>
      </c>
      <c r="Q513" s="13" t="str">
        <f>IF($A513="","",[1]!thsiFinD("ths_adjustment_nv_fund",Q$3,$A513))</f>
        <v/>
      </c>
      <c r="R513" s="13" t="str">
        <f>IF($A513="","",[1]!thsiFinD("ths_adjustment_nv_fund",R$3,$A513))</f>
        <v/>
      </c>
      <c r="S513" s="13" t="str">
        <f>IF($A513="","",[1]!thsiFinD("ths_adjustment_nv_fund",S$3,$A513))</f>
        <v/>
      </c>
      <c r="T513" s="13" t="str">
        <f>IF($A513="","",[1]!thsiFinD("ths_adjustment_nv_fund",T$3,$A513))</f>
        <v/>
      </c>
      <c r="U513" s="13" t="str">
        <f>IF($A513="","",[1]!thsiFinD("ths_adjustment_nv_fund",U$3,$A513))</f>
        <v/>
      </c>
      <c r="V513" s="13" t="str">
        <f>IF($A513="","",[1]!thsiFinD("ths_adjustment_nv_fund",V$3,$A513))</f>
        <v/>
      </c>
      <c r="W513" s="13" t="str">
        <f>IF($A513="","",[1]!thsiFinD("ths_adjustment_nv_fund",W$3,$A513))</f>
        <v/>
      </c>
      <c r="X513" s="13" t="str">
        <f>IF($A513="","",[1]!thsiFinD("ths_adjustment_nv_fund",X$3,$A513))</f>
        <v/>
      </c>
      <c r="Y513" s="13" t="str">
        <f>IF($A513="","",[1]!thsiFinD("ths_adjustment_nv_fund",Y$3,$A513))</f>
        <v/>
      </c>
      <c r="Z513" s="13" t="str">
        <f>IF($A513="","",[1]!thsiFinD("ths_adjustment_nv_fund",Z$3,$A513))</f>
        <v/>
      </c>
      <c r="AA513" s="13" t="str">
        <f>IF($A513="","",[1]!thsiFinD("ths_adjustment_nv_fund",AA$3,$A513))</f>
        <v/>
      </c>
      <c r="AB513" s="13" t="str">
        <f>IF($A513="","",[1]!thsiFinD("ths_adjustment_nv_fund",AB$3,$A513))</f>
        <v/>
      </c>
    </row>
    <row r="514" spans="2:28">
      <c r="B514" s="13" t="str">
        <f>IF($A514="","",[1]!thsiFinD("ths_adjustment_nv_fund",B$3,$A514))</f>
        <v/>
      </c>
      <c r="C514" s="13" t="str">
        <f>IF($A514="","",[1]!thsiFinD("ths_adjustment_nv_fund",C$3,$A514))</f>
        <v/>
      </c>
      <c r="D514" s="13" t="str">
        <f>IF($A514="","",[1]!thsiFinD("ths_adjustment_nv_fund",D$3,$A514))</f>
        <v/>
      </c>
      <c r="E514" s="13" t="str">
        <f>IF($A514="","",[1]!thsiFinD("ths_adjustment_nv_fund",E$3,$A514))</f>
        <v/>
      </c>
      <c r="F514" s="13" t="str">
        <f>IF($A514="","",[1]!thsiFinD("ths_adjustment_nv_fund",F$3,$A514))</f>
        <v/>
      </c>
      <c r="G514" s="13" t="str">
        <f>IF($A514="","",[1]!thsiFinD("ths_adjustment_nv_fund",G$3,$A514))</f>
        <v/>
      </c>
      <c r="H514" s="13" t="str">
        <f>IF($A514="","",[1]!thsiFinD("ths_adjustment_nv_fund",H$3,$A514))</f>
        <v/>
      </c>
      <c r="I514" s="13" t="str">
        <f>IF($A514="","",[1]!thsiFinD("ths_adjustment_nv_fund",I$3,$A514))</f>
        <v/>
      </c>
      <c r="J514" s="13" t="str">
        <f>IF($A514="","",[1]!thsiFinD("ths_adjustment_nv_fund",J$3,$A514))</f>
        <v/>
      </c>
      <c r="K514" s="13" t="str">
        <f>IF($A514="","",[1]!thsiFinD("ths_adjustment_nv_fund",K$3,$A514))</f>
        <v/>
      </c>
      <c r="L514" s="13" t="str">
        <f>IF($A514="","",[1]!thsiFinD("ths_adjustment_nv_fund",L$3,$A514))</f>
        <v/>
      </c>
      <c r="M514" s="13" t="str">
        <f>IF($A514="","",[1]!thsiFinD("ths_adjustment_nv_fund",M$3,$A514))</f>
        <v/>
      </c>
      <c r="N514" s="13" t="str">
        <f>IF($A514="","",[1]!thsiFinD("ths_adjustment_nv_fund",N$3,$A514))</f>
        <v/>
      </c>
      <c r="O514" s="13" t="str">
        <f>IF($A514="","",[1]!thsiFinD("ths_adjustment_nv_fund",O$3,$A514))</f>
        <v/>
      </c>
      <c r="P514" s="13" t="str">
        <f>IF($A514="","",[1]!thsiFinD("ths_adjustment_nv_fund",P$3,$A514))</f>
        <v/>
      </c>
      <c r="Q514" s="13" t="str">
        <f>IF($A514="","",[1]!thsiFinD("ths_adjustment_nv_fund",Q$3,$A514))</f>
        <v/>
      </c>
      <c r="R514" s="13" t="str">
        <f>IF($A514="","",[1]!thsiFinD("ths_adjustment_nv_fund",R$3,$A514))</f>
        <v/>
      </c>
      <c r="S514" s="13" t="str">
        <f>IF($A514="","",[1]!thsiFinD("ths_adjustment_nv_fund",S$3,$A514))</f>
        <v/>
      </c>
      <c r="T514" s="13" t="str">
        <f>IF($A514="","",[1]!thsiFinD("ths_adjustment_nv_fund",T$3,$A514))</f>
        <v/>
      </c>
      <c r="U514" s="13" t="str">
        <f>IF($A514="","",[1]!thsiFinD("ths_adjustment_nv_fund",U$3,$A514))</f>
        <v/>
      </c>
      <c r="V514" s="13" t="str">
        <f>IF($A514="","",[1]!thsiFinD("ths_adjustment_nv_fund",V$3,$A514))</f>
        <v/>
      </c>
      <c r="W514" s="13" t="str">
        <f>IF($A514="","",[1]!thsiFinD("ths_adjustment_nv_fund",W$3,$A514))</f>
        <v/>
      </c>
      <c r="X514" s="13" t="str">
        <f>IF($A514="","",[1]!thsiFinD("ths_adjustment_nv_fund",X$3,$A514))</f>
        <v/>
      </c>
      <c r="Y514" s="13" t="str">
        <f>IF($A514="","",[1]!thsiFinD("ths_adjustment_nv_fund",Y$3,$A514))</f>
        <v/>
      </c>
      <c r="Z514" s="13" t="str">
        <f>IF($A514="","",[1]!thsiFinD("ths_adjustment_nv_fund",Z$3,$A514))</f>
        <v/>
      </c>
      <c r="AA514" s="13" t="str">
        <f>IF($A514="","",[1]!thsiFinD("ths_adjustment_nv_fund",AA$3,$A514))</f>
        <v/>
      </c>
      <c r="AB514" s="13" t="str">
        <f>IF($A514="","",[1]!thsiFinD("ths_adjustment_nv_fund",AB$3,$A514))</f>
        <v/>
      </c>
    </row>
    <row r="515" spans="2:28">
      <c r="B515" s="13" t="str">
        <f>IF($A515="","",[1]!thsiFinD("ths_adjustment_nv_fund",B$3,$A515))</f>
        <v/>
      </c>
      <c r="C515" s="13" t="str">
        <f>IF($A515="","",[1]!thsiFinD("ths_adjustment_nv_fund",C$3,$A515))</f>
        <v/>
      </c>
      <c r="D515" s="13" t="str">
        <f>IF($A515="","",[1]!thsiFinD("ths_adjustment_nv_fund",D$3,$A515))</f>
        <v/>
      </c>
      <c r="E515" s="13" t="str">
        <f>IF($A515="","",[1]!thsiFinD("ths_adjustment_nv_fund",E$3,$A515))</f>
        <v/>
      </c>
      <c r="F515" s="13" t="str">
        <f>IF($A515="","",[1]!thsiFinD("ths_adjustment_nv_fund",F$3,$A515))</f>
        <v/>
      </c>
      <c r="G515" s="13" t="str">
        <f>IF($A515="","",[1]!thsiFinD("ths_adjustment_nv_fund",G$3,$A515))</f>
        <v/>
      </c>
      <c r="H515" s="13" t="str">
        <f>IF($A515="","",[1]!thsiFinD("ths_adjustment_nv_fund",H$3,$A515))</f>
        <v/>
      </c>
      <c r="I515" s="13" t="str">
        <f>IF($A515="","",[1]!thsiFinD("ths_adjustment_nv_fund",I$3,$A515))</f>
        <v/>
      </c>
      <c r="J515" s="13" t="str">
        <f>IF($A515="","",[1]!thsiFinD("ths_adjustment_nv_fund",J$3,$A515))</f>
        <v/>
      </c>
      <c r="K515" s="13" t="str">
        <f>IF($A515="","",[1]!thsiFinD("ths_adjustment_nv_fund",K$3,$A515))</f>
        <v/>
      </c>
      <c r="L515" s="13" t="str">
        <f>IF($A515="","",[1]!thsiFinD("ths_adjustment_nv_fund",L$3,$A515))</f>
        <v/>
      </c>
      <c r="M515" s="13" t="str">
        <f>IF($A515="","",[1]!thsiFinD("ths_adjustment_nv_fund",M$3,$A515))</f>
        <v/>
      </c>
      <c r="N515" s="13" t="str">
        <f>IF($A515="","",[1]!thsiFinD("ths_adjustment_nv_fund",N$3,$A515))</f>
        <v/>
      </c>
      <c r="O515" s="13" t="str">
        <f>IF($A515="","",[1]!thsiFinD("ths_adjustment_nv_fund",O$3,$A515))</f>
        <v/>
      </c>
      <c r="P515" s="13" t="str">
        <f>IF($A515="","",[1]!thsiFinD("ths_adjustment_nv_fund",P$3,$A515))</f>
        <v/>
      </c>
      <c r="Q515" s="13" t="str">
        <f>IF($A515="","",[1]!thsiFinD("ths_adjustment_nv_fund",Q$3,$A515))</f>
        <v/>
      </c>
      <c r="R515" s="13" t="str">
        <f>IF($A515="","",[1]!thsiFinD("ths_adjustment_nv_fund",R$3,$A515))</f>
        <v/>
      </c>
      <c r="S515" s="13" t="str">
        <f>IF($A515="","",[1]!thsiFinD("ths_adjustment_nv_fund",S$3,$A515))</f>
        <v/>
      </c>
      <c r="T515" s="13" t="str">
        <f>IF($A515="","",[1]!thsiFinD("ths_adjustment_nv_fund",T$3,$A515))</f>
        <v/>
      </c>
      <c r="U515" s="13" t="str">
        <f>IF($A515="","",[1]!thsiFinD("ths_adjustment_nv_fund",U$3,$A515))</f>
        <v/>
      </c>
      <c r="V515" s="13" t="str">
        <f>IF($A515="","",[1]!thsiFinD("ths_adjustment_nv_fund",V$3,$A515))</f>
        <v/>
      </c>
      <c r="W515" s="13" t="str">
        <f>IF($A515="","",[1]!thsiFinD("ths_adjustment_nv_fund",W$3,$A515))</f>
        <v/>
      </c>
      <c r="X515" s="13" t="str">
        <f>IF($A515="","",[1]!thsiFinD("ths_adjustment_nv_fund",X$3,$A515))</f>
        <v/>
      </c>
      <c r="Y515" s="13" t="str">
        <f>IF($A515="","",[1]!thsiFinD("ths_adjustment_nv_fund",Y$3,$A515))</f>
        <v/>
      </c>
      <c r="Z515" s="13" t="str">
        <f>IF($A515="","",[1]!thsiFinD("ths_adjustment_nv_fund",Z$3,$A515))</f>
        <v/>
      </c>
      <c r="AA515" s="13" t="str">
        <f>IF($A515="","",[1]!thsiFinD("ths_adjustment_nv_fund",AA$3,$A515))</f>
        <v/>
      </c>
      <c r="AB515" s="13" t="str">
        <f>IF($A515="","",[1]!thsiFinD("ths_adjustment_nv_fund",AB$3,$A515))</f>
        <v/>
      </c>
    </row>
    <row r="516" spans="2:28">
      <c r="B516" s="13" t="str">
        <f>IF($A516="","",[1]!thsiFinD("ths_adjustment_nv_fund",B$3,$A516))</f>
        <v/>
      </c>
      <c r="C516" s="13" t="str">
        <f>IF($A516="","",[1]!thsiFinD("ths_adjustment_nv_fund",C$3,$A516))</f>
        <v/>
      </c>
      <c r="D516" s="13" t="str">
        <f>IF($A516="","",[1]!thsiFinD("ths_adjustment_nv_fund",D$3,$A516))</f>
        <v/>
      </c>
      <c r="E516" s="13" t="str">
        <f>IF($A516="","",[1]!thsiFinD("ths_adjustment_nv_fund",E$3,$A516))</f>
        <v/>
      </c>
      <c r="F516" s="13" t="str">
        <f>IF($A516="","",[1]!thsiFinD("ths_adjustment_nv_fund",F$3,$A516))</f>
        <v/>
      </c>
      <c r="G516" s="13" t="str">
        <f>IF($A516="","",[1]!thsiFinD("ths_adjustment_nv_fund",G$3,$A516))</f>
        <v/>
      </c>
      <c r="H516" s="13" t="str">
        <f>IF($A516="","",[1]!thsiFinD("ths_adjustment_nv_fund",H$3,$A516))</f>
        <v/>
      </c>
      <c r="I516" s="13" t="str">
        <f>IF($A516="","",[1]!thsiFinD("ths_adjustment_nv_fund",I$3,$A516))</f>
        <v/>
      </c>
      <c r="J516" s="13" t="str">
        <f>IF($A516="","",[1]!thsiFinD("ths_adjustment_nv_fund",J$3,$A516))</f>
        <v/>
      </c>
      <c r="K516" s="13" t="str">
        <f>IF($A516="","",[1]!thsiFinD("ths_adjustment_nv_fund",K$3,$A516))</f>
        <v/>
      </c>
      <c r="L516" s="13" t="str">
        <f>IF($A516="","",[1]!thsiFinD("ths_adjustment_nv_fund",L$3,$A516))</f>
        <v/>
      </c>
      <c r="M516" s="13" t="str">
        <f>IF($A516="","",[1]!thsiFinD("ths_adjustment_nv_fund",M$3,$A516))</f>
        <v/>
      </c>
      <c r="N516" s="13" t="str">
        <f>IF($A516="","",[1]!thsiFinD("ths_adjustment_nv_fund",N$3,$A516))</f>
        <v/>
      </c>
      <c r="O516" s="13" t="str">
        <f>IF($A516="","",[1]!thsiFinD("ths_adjustment_nv_fund",O$3,$A516))</f>
        <v/>
      </c>
      <c r="P516" s="13" t="str">
        <f>IF($A516="","",[1]!thsiFinD("ths_adjustment_nv_fund",P$3,$A516))</f>
        <v/>
      </c>
      <c r="Q516" s="13" t="str">
        <f>IF($A516="","",[1]!thsiFinD("ths_adjustment_nv_fund",Q$3,$A516))</f>
        <v/>
      </c>
      <c r="R516" s="13" t="str">
        <f>IF($A516="","",[1]!thsiFinD("ths_adjustment_nv_fund",R$3,$A516))</f>
        <v/>
      </c>
      <c r="S516" s="13" t="str">
        <f>IF($A516="","",[1]!thsiFinD("ths_adjustment_nv_fund",S$3,$A516))</f>
        <v/>
      </c>
      <c r="T516" s="13" t="str">
        <f>IF($A516="","",[1]!thsiFinD("ths_adjustment_nv_fund",T$3,$A516))</f>
        <v/>
      </c>
      <c r="U516" s="13" t="str">
        <f>IF($A516="","",[1]!thsiFinD("ths_adjustment_nv_fund",U$3,$A516))</f>
        <v/>
      </c>
      <c r="V516" s="13" t="str">
        <f>IF($A516="","",[1]!thsiFinD("ths_adjustment_nv_fund",V$3,$A516))</f>
        <v/>
      </c>
      <c r="W516" s="13" t="str">
        <f>IF($A516="","",[1]!thsiFinD("ths_adjustment_nv_fund",W$3,$A516))</f>
        <v/>
      </c>
      <c r="X516" s="13" t="str">
        <f>IF($A516="","",[1]!thsiFinD("ths_adjustment_nv_fund",X$3,$A516))</f>
        <v/>
      </c>
      <c r="Y516" s="13" t="str">
        <f>IF($A516="","",[1]!thsiFinD("ths_adjustment_nv_fund",Y$3,$A516))</f>
        <v/>
      </c>
      <c r="Z516" s="13" t="str">
        <f>IF($A516="","",[1]!thsiFinD("ths_adjustment_nv_fund",Z$3,$A516))</f>
        <v/>
      </c>
      <c r="AA516" s="13" t="str">
        <f>IF($A516="","",[1]!thsiFinD("ths_adjustment_nv_fund",AA$3,$A516))</f>
        <v/>
      </c>
      <c r="AB516" s="13" t="str">
        <f>IF($A516="","",[1]!thsiFinD("ths_adjustment_nv_fund",AB$3,$A516))</f>
        <v/>
      </c>
    </row>
    <row r="517" spans="2:28">
      <c r="B517" s="13" t="str">
        <f>IF($A517="","",[1]!thsiFinD("ths_adjustment_nv_fund",B$3,$A517))</f>
        <v/>
      </c>
      <c r="C517" s="13" t="str">
        <f>IF($A517="","",[1]!thsiFinD("ths_adjustment_nv_fund",C$3,$A517))</f>
        <v/>
      </c>
      <c r="D517" s="13" t="str">
        <f>IF($A517="","",[1]!thsiFinD("ths_adjustment_nv_fund",D$3,$A517))</f>
        <v/>
      </c>
      <c r="E517" s="13" t="str">
        <f>IF($A517="","",[1]!thsiFinD("ths_adjustment_nv_fund",E$3,$A517))</f>
        <v/>
      </c>
      <c r="F517" s="13" t="str">
        <f>IF($A517="","",[1]!thsiFinD("ths_adjustment_nv_fund",F$3,$A517))</f>
        <v/>
      </c>
      <c r="G517" s="13" t="str">
        <f>IF($A517="","",[1]!thsiFinD("ths_adjustment_nv_fund",G$3,$A517))</f>
        <v/>
      </c>
      <c r="H517" s="13" t="str">
        <f>IF($A517="","",[1]!thsiFinD("ths_adjustment_nv_fund",H$3,$A517))</f>
        <v/>
      </c>
      <c r="I517" s="13" t="str">
        <f>IF($A517="","",[1]!thsiFinD("ths_adjustment_nv_fund",I$3,$A517))</f>
        <v/>
      </c>
      <c r="J517" s="13" t="str">
        <f>IF($A517="","",[1]!thsiFinD("ths_adjustment_nv_fund",J$3,$A517))</f>
        <v/>
      </c>
      <c r="K517" s="13" t="str">
        <f>IF($A517="","",[1]!thsiFinD("ths_adjustment_nv_fund",K$3,$A517))</f>
        <v/>
      </c>
      <c r="L517" s="13" t="str">
        <f>IF($A517="","",[1]!thsiFinD("ths_adjustment_nv_fund",L$3,$A517))</f>
        <v/>
      </c>
      <c r="M517" s="13" t="str">
        <f>IF($A517="","",[1]!thsiFinD("ths_adjustment_nv_fund",M$3,$A517))</f>
        <v/>
      </c>
      <c r="N517" s="13" t="str">
        <f>IF($A517="","",[1]!thsiFinD("ths_adjustment_nv_fund",N$3,$A517))</f>
        <v/>
      </c>
      <c r="O517" s="13" t="str">
        <f>IF($A517="","",[1]!thsiFinD("ths_adjustment_nv_fund",O$3,$A517))</f>
        <v/>
      </c>
      <c r="P517" s="13" t="str">
        <f>IF($A517="","",[1]!thsiFinD("ths_adjustment_nv_fund",P$3,$A517))</f>
        <v/>
      </c>
      <c r="Q517" s="13" t="str">
        <f>IF($A517="","",[1]!thsiFinD("ths_adjustment_nv_fund",Q$3,$A517))</f>
        <v/>
      </c>
      <c r="R517" s="13" t="str">
        <f>IF($A517="","",[1]!thsiFinD("ths_adjustment_nv_fund",R$3,$A517))</f>
        <v/>
      </c>
      <c r="S517" s="13" t="str">
        <f>IF($A517="","",[1]!thsiFinD("ths_adjustment_nv_fund",S$3,$A517))</f>
        <v/>
      </c>
      <c r="T517" s="13" t="str">
        <f>IF($A517="","",[1]!thsiFinD("ths_adjustment_nv_fund",T$3,$A517))</f>
        <v/>
      </c>
      <c r="U517" s="13" t="str">
        <f>IF($A517="","",[1]!thsiFinD("ths_adjustment_nv_fund",U$3,$A517))</f>
        <v/>
      </c>
      <c r="V517" s="13" t="str">
        <f>IF($A517="","",[1]!thsiFinD("ths_adjustment_nv_fund",V$3,$A517))</f>
        <v/>
      </c>
      <c r="W517" s="13" t="str">
        <f>IF($A517="","",[1]!thsiFinD("ths_adjustment_nv_fund",W$3,$A517))</f>
        <v/>
      </c>
      <c r="X517" s="13" t="str">
        <f>IF($A517="","",[1]!thsiFinD("ths_adjustment_nv_fund",X$3,$A517))</f>
        <v/>
      </c>
      <c r="Y517" s="13" t="str">
        <f>IF($A517="","",[1]!thsiFinD("ths_adjustment_nv_fund",Y$3,$A517))</f>
        <v/>
      </c>
      <c r="Z517" s="13" t="str">
        <f>IF($A517="","",[1]!thsiFinD("ths_adjustment_nv_fund",Z$3,$A517))</f>
        <v/>
      </c>
      <c r="AA517" s="13" t="str">
        <f>IF($A517="","",[1]!thsiFinD("ths_adjustment_nv_fund",AA$3,$A517))</f>
        <v/>
      </c>
      <c r="AB517" s="13" t="str">
        <f>IF($A517="","",[1]!thsiFinD("ths_adjustment_nv_fund",AB$3,$A517))</f>
        <v/>
      </c>
    </row>
    <row r="518" spans="2:28">
      <c r="B518" s="13" t="str">
        <f>IF($A518="","",[1]!thsiFinD("ths_adjustment_nv_fund",B$3,$A518))</f>
        <v/>
      </c>
      <c r="C518" s="13" t="str">
        <f>IF($A518="","",[1]!thsiFinD("ths_adjustment_nv_fund",C$3,$A518))</f>
        <v/>
      </c>
      <c r="D518" s="13" t="str">
        <f>IF($A518="","",[1]!thsiFinD("ths_adjustment_nv_fund",D$3,$A518))</f>
        <v/>
      </c>
      <c r="E518" s="13" t="str">
        <f>IF($A518="","",[1]!thsiFinD("ths_adjustment_nv_fund",E$3,$A518))</f>
        <v/>
      </c>
      <c r="F518" s="13" t="str">
        <f>IF($A518="","",[1]!thsiFinD("ths_adjustment_nv_fund",F$3,$A518))</f>
        <v/>
      </c>
      <c r="G518" s="13" t="str">
        <f>IF($A518="","",[1]!thsiFinD("ths_adjustment_nv_fund",G$3,$A518))</f>
        <v/>
      </c>
      <c r="H518" s="13" t="str">
        <f>IF($A518="","",[1]!thsiFinD("ths_adjustment_nv_fund",H$3,$A518))</f>
        <v/>
      </c>
      <c r="I518" s="13" t="str">
        <f>IF($A518="","",[1]!thsiFinD("ths_adjustment_nv_fund",I$3,$A518))</f>
        <v/>
      </c>
      <c r="J518" s="13" t="str">
        <f>IF($A518="","",[1]!thsiFinD("ths_adjustment_nv_fund",J$3,$A518))</f>
        <v/>
      </c>
      <c r="K518" s="13" t="str">
        <f>IF($A518="","",[1]!thsiFinD("ths_adjustment_nv_fund",K$3,$A518))</f>
        <v/>
      </c>
      <c r="L518" s="13" t="str">
        <f>IF($A518="","",[1]!thsiFinD("ths_adjustment_nv_fund",L$3,$A518))</f>
        <v/>
      </c>
      <c r="M518" s="13" t="str">
        <f>IF($A518="","",[1]!thsiFinD("ths_adjustment_nv_fund",M$3,$A518))</f>
        <v/>
      </c>
      <c r="N518" s="13" t="str">
        <f>IF($A518="","",[1]!thsiFinD("ths_adjustment_nv_fund",N$3,$A518))</f>
        <v/>
      </c>
      <c r="O518" s="13" t="str">
        <f>IF($A518="","",[1]!thsiFinD("ths_adjustment_nv_fund",O$3,$A518))</f>
        <v/>
      </c>
      <c r="P518" s="13" t="str">
        <f>IF($A518="","",[1]!thsiFinD("ths_adjustment_nv_fund",P$3,$A518))</f>
        <v/>
      </c>
      <c r="Q518" s="13" t="str">
        <f>IF($A518="","",[1]!thsiFinD("ths_adjustment_nv_fund",Q$3,$A518))</f>
        <v/>
      </c>
      <c r="R518" s="13" t="str">
        <f>IF($A518="","",[1]!thsiFinD("ths_adjustment_nv_fund",R$3,$A518))</f>
        <v/>
      </c>
      <c r="S518" s="13" t="str">
        <f>IF($A518="","",[1]!thsiFinD("ths_adjustment_nv_fund",S$3,$A518))</f>
        <v/>
      </c>
      <c r="T518" s="13" t="str">
        <f>IF($A518="","",[1]!thsiFinD("ths_adjustment_nv_fund",T$3,$A518))</f>
        <v/>
      </c>
      <c r="U518" s="13" t="str">
        <f>IF($A518="","",[1]!thsiFinD("ths_adjustment_nv_fund",U$3,$A518))</f>
        <v/>
      </c>
      <c r="V518" s="13" t="str">
        <f>IF($A518="","",[1]!thsiFinD("ths_adjustment_nv_fund",V$3,$A518))</f>
        <v/>
      </c>
      <c r="W518" s="13" t="str">
        <f>IF($A518="","",[1]!thsiFinD("ths_adjustment_nv_fund",W$3,$A518))</f>
        <v/>
      </c>
      <c r="X518" s="13" t="str">
        <f>IF($A518="","",[1]!thsiFinD("ths_adjustment_nv_fund",X$3,$A518))</f>
        <v/>
      </c>
      <c r="Y518" s="13" t="str">
        <f>IF($A518="","",[1]!thsiFinD("ths_adjustment_nv_fund",Y$3,$A518))</f>
        <v/>
      </c>
      <c r="Z518" s="13" t="str">
        <f>IF($A518="","",[1]!thsiFinD("ths_adjustment_nv_fund",Z$3,$A518))</f>
        <v/>
      </c>
      <c r="AA518" s="13" t="str">
        <f>IF($A518="","",[1]!thsiFinD("ths_adjustment_nv_fund",AA$3,$A518))</f>
        <v/>
      </c>
      <c r="AB518" s="13" t="str">
        <f>IF($A518="","",[1]!thsiFinD("ths_adjustment_nv_fund",AB$3,$A518))</f>
        <v/>
      </c>
    </row>
    <row r="519" spans="2:28">
      <c r="B519" s="13" t="str">
        <f>IF($A519="","",[1]!thsiFinD("ths_adjustment_nv_fund",B$3,$A519))</f>
        <v/>
      </c>
      <c r="C519" s="13" t="str">
        <f>IF($A519="","",[1]!thsiFinD("ths_adjustment_nv_fund",C$3,$A519))</f>
        <v/>
      </c>
      <c r="D519" s="13" t="str">
        <f>IF($A519="","",[1]!thsiFinD("ths_adjustment_nv_fund",D$3,$A519))</f>
        <v/>
      </c>
      <c r="E519" s="13" t="str">
        <f>IF($A519="","",[1]!thsiFinD("ths_adjustment_nv_fund",E$3,$A519))</f>
        <v/>
      </c>
      <c r="F519" s="13" t="str">
        <f>IF($A519="","",[1]!thsiFinD("ths_adjustment_nv_fund",F$3,$A519))</f>
        <v/>
      </c>
      <c r="G519" s="13" t="str">
        <f>IF($A519="","",[1]!thsiFinD("ths_adjustment_nv_fund",G$3,$A519))</f>
        <v/>
      </c>
      <c r="H519" s="13" t="str">
        <f>IF($A519="","",[1]!thsiFinD("ths_adjustment_nv_fund",H$3,$A519))</f>
        <v/>
      </c>
      <c r="I519" s="13" t="str">
        <f>IF($A519="","",[1]!thsiFinD("ths_adjustment_nv_fund",I$3,$A519))</f>
        <v/>
      </c>
      <c r="J519" s="13" t="str">
        <f>IF($A519="","",[1]!thsiFinD("ths_adjustment_nv_fund",J$3,$A519))</f>
        <v/>
      </c>
      <c r="K519" s="13" t="str">
        <f>IF($A519="","",[1]!thsiFinD("ths_adjustment_nv_fund",K$3,$A519))</f>
        <v/>
      </c>
      <c r="L519" s="13" t="str">
        <f>IF($A519="","",[1]!thsiFinD("ths_adjustment_nv_fund",L$3,$A519))</f>
        <v/>
      </c>
      <c r="M519" s="13" t="str">
        <f>IF($A519="","",[1]!thsiFinD("ths_adjustment_nv_fund",M$3,$A519))</f>
        <v/>
      </c>
      <c r="N519" s="13" t="str">
        <f>IF($A519="","",[1]!thsiFinD("ths_adjustment_nv_fund",N$3,$A519))</f>
        <v/>
      </c>
      <c r="O519" s="13" t="str">
        <f>IF($A519="","",[1]!thsiFinD("ths_adjustment_nv_fund",O$3,$A519))</f>
        <v/>
      </c>
      <c r="P519" s="13" t="str">
        <f>IF($A519="","",[1]!thsiFinD("ths_adjustment_nv_fund",P$3,$A519))</f>
        <v/>
      </c>
      <c r="Q519" s="13" t="str">
        <f>IF($A519="","",[1]!thsiFinD("ths_adjustment_nv_fund",Q$3,$A519))</f>
        <v/>
      </c>
      <c r="R519" s="13" t="str">
        <f>IF($A519="","",[1]!thsiFinD("ths_adjustment_nv_fund",R$3,$A519))</f>
        <v/>
      </c>
      <c r="S519" s="13" t="str">
        <f>IF($A519="","",[1]!thsiFinD("ths_adjustment_nv_fund",S$3,$A519))</f>
        <v/>
      </c>
      <c r="T519" s="13" t="str">
        <f>IF($A519="","",[1]!thsiFinD("ths_adjustment_nv_fund",T$3,$A519))</f>
        <v/>
      </c>
      <c r="U519" s="13" t="str">
        <f>IF($A519="","",[1]!thsiFinD("ths_adjustment_nv_fund",U$3,$A519))</f>
        <v/>
      </c>
      <c r="V519" s="13" t="str">
        <f>IF($A519="","",[1]!thsiFinD("ths_adjustment_nv_fund",V$3,$A519))</f>
        <v/>
      </c>
      <c r="W519" s="13" t="str">
        <f>IF($A519="","",[1]!thsiFinD("ths_adjustment_nv_fund",W$3,$A519))</f>
        <v/>
      </c>
      <c r="X519" s="13" t="str">
        <f>IF($A519="","",[1]!thsiFinD("ths_adjustment_nv_fund",X$3,$A519))</f>
        <v/>
      </c>
      <c r="Y519" s="13" t="str">
        <f>IF($A519="","",[1]!thsiFinD("ths_adjustment_nv_fund",Y$3,$A519))</f>
        <v/>
      </c>
      <c r="Z519" s="13" t="str">
        <f>IF($A519="","",[1]!thsiFinD("ths_adjustment_nv_fund",Z$3,$A519))</f>
        <v/>
      </c>
      <c r="AA519" s="13" t="str">
        <f>IF($A519="","",[1]!thsiFinD("ths_adjustment_nv_fund",AA$3,$A519))</f>
        <v/>
      </c>
      <c r="AB519" s="13" t="str">
        <f>IF($A519="","",[1]!thsiFinD("ths_adjustment_nv_fund",AB$3,$A519))</f>
        <v/>
      </c>
    </row>
    <row r="520" spans="2:28">
      <c r="B520" s="13" t="str">
        <f>IF($A520="","",[1]!thsiFinD("ths_adjustment_nv_fund",B$3,$A520))</f>
        <v/>
      </c>
      <c r="C520" s="13" t="str">
        <f>IF($A520="","",[1]!thsiFinD("ths_adjustment_nv_fund",C$3,$A520))</f>
        <v/>
      </c>
      <c r="D520" s="13" t="str">
        <f>IF($A520="","",[1]!thsiFinD("ths_adjustment_nv_fund",D$3,$A520))</f>
        <v/>
      </c>
      <c r="E520" s="13" t="str">
        <f>IF($A520="","",[1]!thsiFinD("ths_adjustment_nv_fund",E$3,$A520))</f>
        <v/>
      </c>
      <c r="F520" s="13" t="str">
        <f>IF($A520="","",[1]!thsiFinD("ths_adjustment_nv_fund",F$3,$A520))</f>
        <v/>
      </c>
      <c r="G520" s="13" t="str">
        <f>IF($A520="","",[1]!thsiFinD("ths_adjustment_nv_fund",G$3,$A520))</f>
        <v/>
      </c>
      <c r="H520" s="13" t="str">
        <f>IF($A520="","",[1]!thsiFinD("ths_adjustment_nv_fund",H$3,$A520))</f>
        <v/>
      </c>
      <c r="I520" s="13" t="str">
        <f>IF($A520="","",[1]!thsiFinD("ths_adjustment_nv_fund",I$3,$A520))</f>
        <v/>
      </c>
      <c r="J520" s="13" t="str">
        <f>IF($A520="","",[1]!thsiFinD("ths_adjustment_nv_fund",J$3,$A520))</f>
        <v/>
      </c>
      <c r="K520" s="13" t="str">
        <f>IF($A520="","",[1]!thsiFinD("ths_adjustment_nv_fund",K$3,$A520))</f>
        <v/>
      </c>
      <c r="L520" s="13" t="str">
        <f>IF($A520="","",[1]!thsiFinD("ths_adjustment_nv_fund",L$3,$A520))</f>
        <v/>
      </c>
      <c r="M520" s="13" t="str">
        <f>IF($A520="","",[1]!thsiFinD("ths_adjustment_nv_fund",M$3,$A520))</f>
        <v/>
      </c>
      <c r="N520" s="13" t="str">
        <f>IF($A520="","",[1]!thsiFinD("ths_adjustment_nv_fund",N$3,$A520))</f>
        <v/>
      </c>
      <c r="O520" s="13" t="str">
        <f>IF($A520="","",[1]!thsiFinD("ths_adjustment_nv_fund",O$3,$A520))</f>
        <v/>
      </c>
      <c r="P520" s="13" t="str">
        <f>IF($A520="","",[1]!thsiFinD("ths_adjustment_nv_fund",P$3,$A520))</f>
        <v/>
      </c>
      <c r="Q520" s="13" t="str">
        <f>IF($A520="","",[1]!thsiFinD("ths_adjustment_nv_fund",Q$3,$A520))</f>
        <v/>
      </c>
      <c r="R520" s="13" t="str">
        <f>IF($A520="","",[1]!thsiFinD("ths_adjustment_nv_fund",R$3,$A520))</f>
        <v/>
      </c>
      <c r="S520" s="13" t="str">
        <f>IF($A520="","",[1]!thsiFinD("ths_adjustment_nv_fund",S$3,$A520))</f>
        <v/>
      </c>
      <c r="T520" s="13" t="str">
        <f>IF($A520="","",[1]!thsiFinD("ths_adjustment_nv_fund",T$3,$A520))</f>
        <v/>
      </c>
      <c r="U520" s="13" t="str">
        <f>IF($A520="","",[1]!thsiFinD("ths_adjustment_nv_fund",U$3,$A520))</f>
        <v/>
      </c>
      <c r="V520" s="13" t="str">
        <f>IF($A520="","",[1]!thsiFinD("ths_adjustment_nv_fund",V$3,$A520))</f>
        <v/>
      </c>
      <c r="W520" s="13" t="str">
        <f>IF($A520="","",[1]!thsiFinD("ths_adjustment_nv_fund",W$3,$A520))</f>
        <v/>
      </c>
      <c r="X520" s="13" t="str">
        <f>IF($A520="","",[1]!thsiFinD("ths_adjustment_nv_fund",X$3,$A520))</f>
        <v/>
      </c>
      <c r="Y520" s="13" t="str">
        <f>IF($A520="","",[1]!thsiFinD("ths_adjustment_nv_fund",Y$3,$A520))</f>
        <v/>
      </c>
      <c r="Z520" s="13" t="str">
        <f>IF($A520="","",[1]!thsiFinD("ths_adjustment_nv_fund",Z$3,$A520))</f>
        <v/>
      </c>
      <c r="AA520" s="13" t="str">
        <f>IF($A520="","",[1]!thsiFinD("ths_adjustment_nv_fund",AA$3,$A520))</f>
        <v/>
      </c>
      <c r="AB520" s="13" t="str">
        <f>IF($A520="","",[1]!thsiFinD("ths_adjustment_nv_fund",AB$3,$A520))</f>
        <v/>
      </c>
    </row>
    <row r="521" spans="2:28">
      <c r="B521" s="13" t="str">
        <f>IF($A521="","",[1]!thsiFinD("ths_adjustment_nv_fund",B$3,$A521))</f>
        <v/>
      </c>
      <c r="C521" s="13" t="str">
        <f>IF($A521="","",[1]!thsiFinD("ths_adjustment_nv_fund",C$3,$A521))</f>
        <v/>
      </c>
      <c r="D521" s="13" t="str">
        <f>IF($A521="","",[1]!thsiFinD("ths_adjustment_nv_fund",D$3,$A521))</f>
        <v/>
      </c>
      <c r="E521" s="13" t="str">
        <f>IF($A521="","",[1]!thsiFinD("ths_adjustment_nv_fund",E$3,$A521))</f>
        <v/>
      </c>
      <c r="F521" s="13" t="str">
        <f>IF($A521="","",[1]!thsiFinD("ths_adjustment_nv_fund",F$3,$A521))</f>
        <v/>
      </c>
      <c r="G521" s="13" t="str">
        <f>IF($A521="","",[1]!thsiFinD("ths_adjustment_nv_fund",G$3,$A521))</f>
        <v/>
      </c>
      <c r="H521" s="13" t="str">
        <f>IF($A521="","",[1]!thsiFinD("ths_adjustment_nv_fund",H$3,$A521))</f>
        <v/>
      </c>
      <c r="I521" s="13" t="str">
        <f>IF($A521="","",[1]!thsiFinD("ths_adjustment_nv_fund",I$3,$A521))</f>
        <v/>
      </c>
      <c r="J521" s="13" t="str">
        <f>IF($A521="","",[1]!thsiFinD("ths_adjustment_nv_fund",J$3,$A521))</f>
        <v/>
      </c>
      <c r="K521" s="13" t="str">
        <f>IF($A521="","",[1]!thsiFinD("ths_adjustment_nv_fund",K$3,$A521))</f>
        <v/>
      </c>
      <c r="L521" s="13" t="str">
        <f>IF($A521="","",[1]!thsiFinD("ths_adjustment_nv_fund",L$3,$A521))</f>
        <v/>
      </c>
      <c r="M521" s="13" t="str">
        <f>IF($A521="","",[1]!thsiFinD("ths_adjustment_nv_fund",M$3,$A521))</f>
        <v/>
      </c>
      <c r="N521" s="13" t="str">
        <f>IF($A521="","",[1]!thsiFinD("ths_adjustment_nv_fund",N$3,$A521))</f>
        <v/>
      </c>
      <c r="O521" s="13" t="str">
        <f>IF($A521="","",[1]!thsiFinD("ths_adjustment_nv_fund",O$3,$A521))</f>
        <v/>
      </c>
      <c r="P521" s="13" t="str">
        <f>IF($A521="","",[1]!thsiFinD("ths_adjustment_nv_fund",P$3,$A521))</f>
        <v/>
      </c>
      <c r="Q521" s="13" t="str">
        <f>IF($A521="","",[1]!thsiFinD("ths_adjustment_nv_fund",Q$3,$A521))</f>
        <v/>
      </c>
      <c r="R521" s="13" t="str">
        <f>IF($A521="","",[1]!thsiFinD("ths_adjustment_nv_fund",R$3,$A521))</f>
        <v/>
      </c>
      <c r="S521" s="13" t="str">
        <f>IF($A521="","",[1]!thsiFinD("ths_adjustment_nv_fund",S$3,$A521))</f>
        <v/>
      </c>
      <c r="T521" s="13" t="str">
        <f>IF($A521="","",[1]!thsiFinD("ths_adjustment_nv_fund",T$3,$A521))</f>
        <v/>
      </c>
      <c r="U521" s="13" t="str">
        <f>IF($A521="","",[1]!thsiFinD("ths_adjustment_nv_fund",U$3,$A521))</f>
        <v/>
      </c>
      <c r="V521" s="13" t="str">
        <f>IF($A521="","",[1]!thsiFinD("ths_adjustment_nv_fund",V$3,$A521))</f>
        <v/>
      </c>
      <c r="W521" s="13" t="str">
        <f>IF($A521="","",[1]!thsiFinD("ths_adjustment_nv_fund",W$3,$A521))</f>
        <v/>
      </c>
      <c r="X521" s="13" t="str">
        <f>IF($A521="","",[1]!thsiFinD("ths_adjustment_nv_fund",X$3,$A521))</f>
        <v/>
      </c>
      <c r="Y521" s="13" t="str">
        <f>IF($A521="","",[1]!thsiFinD("ths_adjustment_nv_fund",Y$3,$A521))</f>
        <v/>
      </c>
      <c r="Z521" s="13" t="str">
        <f>IF($A521="","",[1]!thsiFinD("ths_adjustment_nv_fund",Z$3,$A521))</f>
        <v/>
      </c>
      <c r="AA521" s="13" t="str">
        <f>IF($A521="","",[1]!thsiFinD("ths_adjustment_nv_fund",AA$3,$A521))</f>
        <v/>
      </c>
      <c r="AB521" s="13" t="str">
        <f>IF($A521="","",[1]!thsiFinD("ths_adjustment_nv_fund",AB$3,$A521))</f>
        <v/>
      </c>
    </row>
    <row r="522" spans="2:28">
      <c r="B522" s="13" t="str">
        <f>IF($A522="","",[1]!thsiFinD("ths_adjustment_nv_fund",B$3,$A522))</f>
        <v/>
      </c>
      <c r="C522" s="13" t="str">
        <f>IF($A522="","",[1]!thsiFinD("ths_adjustment_nv_fund",C$3,$A522))</f>
        <v/>
      </c>
      <c r="D522" s="13" t="str">
        <f>IF($A522="","",[1]!thsiFinD("ths_adjustment_nv_fund",D$3,$A522))</f>
        <v/>
      </c>
      <c r="E522" s="13" t="str">
        <f>IF($A522="","",[1]!thsiFinD("ths_adjustment_nv_fund",E$3,$A522))</f>
        <v/>
      </c>
      <c r="F522" s="13" t="str">
        <f>IF($A522="","",[1]!thsiFinD("ths_adjustment_nv_fund",F$3,$A522))</f>
        <v/>
      </c>
      <c r="G522" s="13" t="str">
        <f>IF($A522="","",[1]!thsiFinD("ths_adjustment_nv_fund",G$3,$A522))</f>
        <v/>
      </c>
      <c r="H522" s="13" t="str">
        <f>IF($A522="","",[1]!thsiFinD("ths_adjustment_nv_fund",H$3,$A522))</f>
        <v/>
      </c>
      <c r="I522" s="13" t="str">
        <f>IF($A522="","",[1]!thsiFinD("ths_adjustment_nv_fund",I$3,$A522))</f>
        <v/>
      </c>
      <c r="J522" s="13" t="str">
        <f>IF($A522="","",[1]!thsiFinD("ths_adjustment_nv_fund",J$3,$A522))</f>
        <v/>
      </c>
      <c r="K522" s="13" t="str">
        <f>IF($A522="","",[1]!thsiFinD("ths_adjustment_nv_fund",K$3,$A522))</f>
        <v/>
      </c>
      <c r="L522" s="13" t="str">
        <f>IF($A522="","",[1]!thsiFinD("ths_adjustment_nv_fund",L$3,$A522))</f>
        <v/>
      </c>
      <c r="M522" s="13" t="str">
        <f>IF($A522="","",[1]!thsiFinD("ths_adjustment_nv_fund",M$3,$A522))</f>
        <v/>
      </c>
      <c r="N522" s="13" t="str">
        <f>IF($A522="","",[1]!thsiFinD("ths_adjustment_nv_fund",N$3,$A522))</f>
        <v/>
      </c>
      <c r="O522" s="13" t="str">
        <f>IF($A522="","",[1]!thsiFinD("ths_adjustment_nv_fund",O$3,$A522))</f>
        <v/>
      </c>
      <c r="P522" s="13" t="str">
        <f>IF($A522="","",[1]!thsiFinD("ths_adjustment_nv_fund",P$3,$A522))</f>
        <v/>
      </c>
      <c r="Q522" s="13" t="str">
        <f>IF($A522="","",[1]!thsiFinD("ths_adjustment_nv_fund",Q$3,$A522))</f>
        <v/>
      </c>
      <c r="R522" s="13" t="str">
        <f>IF($A522="","",[1]!thsiFinD("ths_adjustment_nv_fund",R$3,$A522))</f>
        <v/>
      </c>
      <c r="S522" s="13" t="str">
        <f>IF($A522="","",[1]!thsiFinD("ths_adjustment_nv_fund",S$3,$A522))</f>
        <v/>
      </c>
      <c r="T522" s="13" t="str">
        <f>IF($A522="","",[1]!thsiFinD("ths_adjustment_nv_fund",T$3,$A522))</f>
        <v/>
      </c>
      <c r="U522" s="13" t="str">
        <f>IF($A522="","",[1]!thsiFinD("ths_adjustment_nv_fund",U$3,$A522))</f>
        <v/>
      </c>
      <c r="V522" s="13" t="str">
        <f>IF($A522="","",[1]!thsiFinD("ths_adjustment_nv_fund",V$3,$A522))</f>
        <v/>
      </c>
      <c r="W522" s="13" t="str">
        <f>IF($A522="","",[1]!thsiFinD("ths_adjustment_nv_fund",W$3,$A522))</f>
        <v/>
      </c>
      <c r="X522" s="13" t="str">
        <f>IF($A522="","",[1]!thsiFinD("ths_adjustment_nv_fund",X$3,$A522))</f>
        <v/>
      </c>
      <c r="Y522" s="13" t="str">
        <f>IF($A522="","",[1]!thsiFinD("ths_adjustment_nv_fund",Y$3,$A522))</f>
        <v/>
      </c>
      <c r="Z522" s="13" t="str">
        <f>IF($A522="","",[1]!thsiFinD("ths_adjustment_nv_fund",Z$3,$A522))</f>
        <v/>
      </c>
      <c r="AA522" s="13" t="str">
        <f>IF($A522="","",[1]!thsiFinD("ths_adjustment_nv_fund",AA$3,$A522))</f>
        <v/>
      </c>
      <c r="AB522" s="13" t="str">
        <f>IF($A522="","",[1]!thsiFinD("ths_adjustment_nv_fund",AB$3,$A522))</f>
        <v/>
      </c>
    </row>
    <row r="523" spans="2:28">
      <c r="B523" s="13" t="str">
        <f>IF($A523="","",[1]!thsiFinD("ths_adjustment_nv_fund",B$3,$A523))</f>
        <v/>
      </c>
      <c r="C523" s="13" t="str">
        <f>IF($A523="","",[1]!thsiFinD("ths_adjustment_nv_fund",C$3,$A523))</f>
        <v/>
      </c>
      <c r="D523" s="13" t="str">
        <f>IF($A523="","",[1]!thsiFinD("ths_adjustment_nv_fund",D$3,$A523))</f>
        <v/>
      </c>
      <c r="E523" s="13" t="str">
        <f>IF($A523="","",[1]!thsiFinD("ths_adjustment_nv_fund",E$3,$A523))</f>
        <v/>
      </c>
      <c r="F523" s="13" t="str">
        <f>IF($A523="","",[1]!thsiFinD("ths_adjustment_nv_fund",F$3,$A523))</f>
        <v/>
      </c>
      <c r="G523" s="13" t="str">
        <f>IF($A523="","",[1]!thsiFinD("ths_adjustment_nv_fund",G$3,$A523))</f>
        <v/>
      </c>
      <c r="H523" s="13" t="str">
        <f>IF($A523="","",[1]!thsiFinD("ths_adjustment_nv_fund",H$3,$A523))</f>
        <v/>
      </c>
      <c r="I523" s="13" t="str">
        <f>IF($A523="","",[1]!thsiFinD("ths_adjustment_nv_fund",I$3,$A523))</f>
        <v/>
      </c>
      <c r="J523" s="13" t="str">
        <f>IF($A523="","",[1]!thsiFinD("ths_adjustment_nv_fund",J$3,$A523))</f>
        <v/>
      </c>
      <c r="K523" s="13" t="str">
        <f>IF($A523="","",[1]!thsiFinD("ths_adjustment_nv_fund",K$3,$A523))</f>
        <v/>
      </c>
      <c r="L523" s="13" t="str">
        <f>IF($A523="","",[1]!thsiFinD("ths_adjustment_nv_fund",L$3,$A523))</f>
        <v/>
      </c>
      <c r="M523" s="13" t="str">
        <f>IF($A523="","",[1]!thsiFinD("ths_adjustment_nv_fund",M$3,$A523))</f>
        <v/>
      </c>
      <c r="N523" s="13" t="str">
        <f>IF($A523="","",[1]!thsiFinD("ths_adjustment_nv_fund",N$3,$A523))</f>
        <v/>
      </c>
      <c r="O523" s="13" t="str">
        <f>IF($A523="","",[1]!thsiFinD("ths_adjustment_nv_fund",O$3,$A523))</f>
        <v/>
      </c>
      <c r="P523" s="13" t="str">
        <f>IF($A523="","",[1]!thsiFinD("ths_adjustment_nv_fund",P$3,$A523))</f>
        <v/>
      </c>
      <c r="Q523" s="13" t="str">
        <f>IF($A523="","",[1]!thsiFinD("ths_adjustment_nv_fund",Q$3,$A523))</f>
        <v/>
      </c>
      <c r="R523" s="13" t="str">
        <f>IF($A523="","",[1]!thsiFinD("ths_adjustment_nv_fund",R$3,$A523))</f>
        <v/>
      </c>
      <c r="S523" s="13" t="str">
        <f>IF($A523="","",[1]!thsiFinD("ths_adjustment_nv_fund",S$3,$A523))</f>
        <v/>
      </c>
      <c r="T523" s="13" t="str">
        <f>IF($A523="","",[1]!thsiFinD("ths_adjustment_nv_fund",T$3,$A523))</f>
        <v/>
      </c>
      <c r="U523" s="13" t="str">
        <f>IF($A523="","",[1]!thsiFinD("ths_adjustment_nv_fund",U$3,$A523))</f>
        <v/>
      </c>
      <c r="V523" s="13" t="str">
        <f>IF($A523="","",[1]!thsiFinD("ths_adjustment_nv_fund",V$3,$A523))</f>
        <v/>
      </c>
      <c r="W523" s="13" t="str">
        <f>IF($A523="","",[1]!thsiFinD("ths_adjustment_nv_fund",W$3,$A523))</f>
        <v/>
      </c>
      <c r="X523" s="13" t="str">
        <f>IF($A523="","",[1]!thsiFinD("ths_adjustment_nv_fund",X$3,$A523))</f>
        <v/>
      </c>
      <c r="Y523" s="13" t="str">
        <f>IF($A523="","",[1]!thsiFinD("ths_adjustment_nv_fund",Y$3,$A523))</f>
        <v/>
      </c>
      <c r="Z523" s="13" t="str">
        <f>IF($A523="","",[1]!thsiFinD("ths_adjustment_nv_fund",Z$3,$A523))</f>
        <v/>
      </c>
      <c r="AA523" s="13" t="str">
        <f>IF($A523="","",[1]!thsiFinD("ths_adjustment_nv_fund",AA$3,$A523))</f>
        <v/>
      </c>
      <c r="AB523" s="13" t="str">
        <f>IF($A523="","",[1]!thsiFinD("ths_adjustment_nv_fund",AB$3,$A523))</f>
        <v/>
      </c>
    </row>
    <row r="524" spans="2:28">
      <c r="B524" s="13" t="str">
        <f>IF($A524="","",[1]!thsiFinD("ths_adjustment_nv_fund",B$3,$A524))</f>
        <v/>
      </c>
      <c r="C524" s="13" t="str">
        <f>IF($A524="","",[1]!thsiFinD("ths_adjustment_nv_fund",C$3,$A524))</f>
        <v/>
      </c>
      <c r="D524" s="13" t="str">
        <f>IF($A524="","",[1]!thsiFinD("ths_adjustment_nv_fund",D$3,$A524))</f>
        <v/>
      </c>
      <c r="E524" s="13" t="str">
        <f>IF($A524="","",[1]!thsiFinD("ths_adjustment_nv_fund",E$3,$A524))</f>
        <v/>
      </c>
      <c r="F524" s="13" t="str">
        <f>IF($A524="","",[1]!thsiFinD("ths_adjustment_nv_fund",F$3,$A524))</f>
        <v/>
      </c>
      <c r="G524" s="13" t="str">
        <f>IF($A524="","",[1]!thsiFinD("ths_adjustment_nv_fund",G$3,$A524))</f>
        <v/>
      </c>
      <c r="H524" s="13" t="str">
        <f>IF($A524="","",[1]!thsiFinD("ths_adjustment_nv_fund",H$3,$A524))</f>
        <v/>
      </c>
      <c r="I524" s="13" t="str">
        <f>IF($A524="","",[1]!thsiFinD("ths_adjustment_nv_fund",I$3,$A524))</f>
        <v/>
      </c>
      <c r="J524" s="13" t="str">
        <f>IF($A524="","",[1]!thsiFinD("ths_adjustment_nv_fund",J$3,$A524))</f>
        <v/>
      </c>
      <c r="K524" s="13" t="str">
        <f>IF($A524="","",[1]!thsiFinD("ths_adjustment_nv_fund",K$3,$A524))</f>
        <v/>
      </c>
      <c r="L524" s="13" t="str">
        <f>IF($A524="","",[1]!thsiFinD("ths_adjustment_nv_fund",L$3,$A524))</f>
        <v/>
      </c>
      <c r="M524" s="13" t="str">
        <f>IF($A524="","",[1]!thsiFinD("ths_adjustment_nv_fund",M$3,$A524))</f>
        <v/>
      </c>
      <c r="N524" s="13" t="str">
        <f>IF($A524="","",[1]!thsiFinD("ths_adjustment_nv_fund",N$3,$A524))</f>
        <v/>
      </c>
      <c r="O524" s="13" t="str">
        <f>IF($A524="","",[1]!thsiFinD("ths_adjustment_nv_fund",O$3,$A524))</f>
        <v/>
      </c>
      <c r="P524" s="13" t="str">
        <f>IF($A524="","",[1]!thsiFinD("ths_adjustment_nv_fund",P$3,$A524))</f>
        <v/>
      </c>
      <c r="Q524" s="13" t="str">
        <f>IF($A524="","",[1]!thsiFinD("ths_adjustment_nv_fund",Q$3,$A524))</f>
        <v/>
      </c>
      <c r="R524" s="13" t="str">
        <f>IF($A524="","",[1]!thsiFinD("ths_adjustment_nv_fund",R$3,$A524))</f>
        <v/>
      </c>
      <c r="S524" s="13" t="str">
        <f>IF($A524="","",[1]!thsiFinD("ths_adjustment_nv_fund",S$3,$A524))</f>
        <v/>
      </c>
      <c r="T524" s="13" t="str">
        <f>IF($A524="","",[1]!thsiFinD("ths_adjustment_nv_fund",T$3,$A524))</f>
        <v/>
      </c>
      <c r="U524" s="13" t="str">
        <f>IF($A524="","",[1]!thsiFinD("ths_adjustment_nv_fund",U$3,$A524))</f>
        <v/>
      </c>
      <c r="V524" s="13" t="str">
        <f>IF($A524="","",[1]!thsiFinD("ths_adjustment_nv_fund",V$3,$A524))</f>
        <v/>
      </c>
      <c r="W524" s="13" t="str">
        <f>IF($A524="","",[1]!thsiFinD("ths_adjustment_nv_fund",W$3,$A524))</f>
        <v/>
      </c>
      <c r="X524" s="13" t="str">
        <f>IF($A524="","",[1]!thsiFinD("ths_adjustment_nv_fund",X$3,$A524))</f>
        <v/>
      </c>
      <c r="Y524" s="13" t="str">
        <f>IF($A524="","",[1]!thsiFinD("ths_adjustment_nv_fund",Y$3,$A524))</f>
        <v/>
      </c>
      <c r="Z524" s="13" t="str">
        <f>IF($A524="","",[1]!thsiFinD("ths_adjustment_nv_fund",Z$3,$A524))</f>
        <v/>
      </c>
      <c r="AA524" s="13" t="str">
        <f>IF($A524="","",[1]!thsiFinD("ths_adjustment_nv_fund",AA$3,$A524))</f>
        <v/>
      </c>
      <c r="AB524" s="13" t="str">
        <f>IF($A524="","",[1]!thsiFinD("ths_adjustment_nv_fund",AB$3,$A524))</f>
        <v/>
      </c>
    </row>
    <row r="525" spans="2:28">
      <c r="B525" s="13" t="str">
        <f>IF($A525="","",[1]!thsiFinD("ths_adjustment_nv_fund",B$3,$A525))</f>
        <v/>
      </c>
      <c r="C525" s="13" t="str">
        <f>IF($A525="","",[1]!thsiFinD("ths_adjustment_nv_fund",C$3,$A525))</f>
        <v/>
      </c>
      <c r="D525" s="13" t="str">
        <f>IF($A525="","",[1]!thsiFinD("ths_adjustment_nv_fund",D$3,$A525))</f>
        <v/>
      </c>
      <c r="E525" s="13" t="str">
        <f>IF($A525="","",[1]!thsiFinD("ths_adjustment_nv_fund",E$3,$A525))</f>
        <v/>
      </c>
      <c r="F525" s="13" t="str">
        <f>IF($A525="","",[1]!thsiFinD("ths_adjustment_nv_fund",F$3,$A525))</f>
        <v/>
      </c>
      <c r="G525" s="13" t="str">
        <f>IF($A525="","",[1]!thsiFinD("ths_adjustment_nv_fund",G$3,$A525))</f>
        <v/>
      </c>
      <c r="H525" s="13" t="str">
        <f>IF($A525="","",[1]!thsiFinD("ths_adjustment_nv_fund",H$3,$A525))</f>
        <v/>
      </c>
      <c r="I525" s="13" t="str">
        <f>IF($A525="","",[1]!thsiFinD("ths_adjustment_nv_fund",I$3,$A525))</f>
        <v/>
      </c>
      <c r="J525" s="13" t="str">
        <f>IF($A525="","",[1]!thsiFinD("ths_adjustment_nv_fund",J$3,$A525))</f>
        <v/>
      </c>
      <c r="K525" s="13" t="str">
        <f>IF($A525="","",[1]!thsiFinD("ths_adjustment_nv_fund",K$3,$A525))</f>
        <v/>
      </c>
      <c r="L525" s="13" t="str">
        <f>IF($A525="","",[1]!thsiFinD("ths_adjustment_nv_fund",L$3,$A525))</f>
        <v/>
      </c>
      <c r="M525" s="13" t="str">
        <f>IF($A525="","",[1]!thsiFinD("ths_adjustment_nv_fund",M$3,$A525))</f>
        <v/>
      </c>
      <c r="N525" s="13" t="str">
        <f>IF($A525="","",[1]!thsiFinD("ths_adjustment_nv_fund",N$3,$A525))</f>
        <v/>
      </c>
      <c r="O525" s="13" t="str">
        <f>IF($A525="","",[1]!thsiFinD("ths_adjustment_nv_fund",O$3,$A525))</f>
        <v/>
      </c>
      <c r="P525" s="13" t="str">
        <f>IF($A525="","",[1]!thsiFinD("ths_adjustment_nv_fund",P$3,$A525))</f>
        <v/>
      </c>
      <c r="Q525" s="13" t="str">
        <f>IF($A525="","",[1]!thsiFinD("ths_adjustment_nv_fund",Q$3,$A525))</f>
        <v/>
      </c>
      <c r="R525" s="13" t="str">
        <f>IF($A525="","",[1]!thsiFinD("ths_adjustment_nv_fund",R$3,$A525))</f>
        <v/>
      </c>
      <c r="S525" s="13" t="str">
        <f>IF($A525="","",[1]!thsiFinD("ths_adjustment_nv_fund",S$3,$A525))</f>
        <v/>
      </c>
      <c r="T525" s="13" t="str">
        <f>IF($A525="","",[1]!thsiFinD("ths_adjustment_nv_fund",T$3,$A525))</f>
        <v/>
      </c>
      <c r="U525" s="13" t="str">
        <f>IF($A525="","",[1]!thsiFinD("ths_adjustment_nv_fund",U$3,$A525))</f>
        <v/>
      </c>
      <c r="V525" s="13" t="str">
        <f>IF($A525="","",[1]!thsiFinD("ths_adjustment_nv_fund",V$3,$A525))</f>
        <v/>
      </c>
      <c r="W525" s="13" t="str">
        <f>IF($A525="","",[1]!thsiFinD("ths_adjustment_nv_fund",W$3,$A525))</f>
        <v/>
      </c>
      <c r="X525" s="13" t="str">
        <f>IF($A525="","",[1]!thsiFinD("ths_adjustment_nv_fund",X$3,$A525))</f>
        <v/>
      </c>
      <c r="Y525" s="13" t="str">
        <f>IF($A525="","",[1]!thsiFinD("ths_adjustment_nv_fund",Y$3,$A525))</f>
        <v/>
      </c>
      <c r="Z525" s="13" t="str">
        <f>IF($A525="","",[1]!thsiFinD("ths_adjustment_nv_fund",Z$3,$A525))</f>
        <v/>
      </c>
      <c r="AA525" s="13" t="str">
        <f>IF($A525="","",[1]!thsiFinD("ths_adjustment_nv_fund",AA$3,$A525))</f>
        <v/>
      </c>
      <c r="AB525" s="13" t="str">
        <f>IF($A525="","",[1]!thsiFinD("ths_adjustment_nv_fund",AB$3,$A525))</f>
        <v/>
      </c>
    </row>
    <row r="526" spans="2:28">
      <c r="B526" s="13" t="str">
        <f>IF($A526="","",[1]!thsiFinD("ths_adjustment_nv_fund",B$3,$A526))</f>
        <v/>
      </c>
      <c r="C526" s="13" t="str">
        <f>IF($A526="","",[1]!thsiFinD("ths_adjustment_nv_fund",C$3,$A526))</f>
        <v/>
      </c>
      <c r="D526" s="13" t="str">
        <f>IF($A526="","",[1]!thsiFinD("ths_adjustment_nv_fund",D$3,$A526))</f>
        <v/>
      </c>
      <c r="E526" s="13" t="str">
        <f>IF($A526="","",[1]!thsiFinD("ths_adjustment_nv_fund",E$3,$A526))</f>
        <v/>
      </c>
      <c r="F526" s="13" t="str">
        <f>IF($A526="","",[1]!thsiFinD("ths_adjustment_nv_fund",F$3,$A526))</f>
        <v/>
      </c>
      <c r="G526" s="13" t="str">
        <f>IF($A526="","",[1]!thsiFinD("ths_adjustment_nv_fund",G$3,$A526))</f>
        <v/>
      </c>
      <c r="H526" s="13" t="str">
        <f>IF($A526="","",[1]!thsiFinD("ths_adjustment_nv_fund",H$3,$A526))</f>
        <v/>
      </c>
      <c r="I526" s="13" t="str">
        <f>IF($A526="","",[1]!thsiFinD("ths_adjustment_nv_fund",I$3,$A526))</f>
        <v/>
      </c>
      <c r="J526" s="13" t="str">
        <f>IF($A526="","",[1]!thsiFinD("ths_adjustment_nv_fund",J$3,$A526))</f>
        <v/>
      </c>
      <c r="K526" s="13" t="str">
        <f>IF($A526="","",[1]!thsiFinD("ths_adjustment_nv_fund",K$3,$A526))</f>
        <v/>
      </c>
      <c r="L526" s="13" t="str">
        <f>IF($A526="","",[1]!thsiFinD("ths_adjustment_nv_fund",L$3,$A526))</f>
        <v/>
      </c>
      <c r="M526" s="13" t="str">
        <f>IF($A526="","",[1]!thsiFinD("ths_adjustment_nv_fund",M$3,$A526))</f>
        <v/>
      </c>
      <c r="N526" s="13" t="str">
        <f>IF($A526="","",[1]!thsiFinD("ths_adjustment_nv_fund",N$3,$A526))</f>
        <v/>
      </c>
      <c r="O526" s="13" t="str">
        <f>IF($A526="","",[1]!thsiFinD("ths_adjustment_nv_fund",O$3,$A526))</f>
        <v/>
      </c>
      <c r="P526" s="13" t="str">
        <f>IF($A526="","",[1]!thsiFinD("ths_adjustment_nv_fund",P$3,$A526))</f>
        <v/>
      </c>
      <c r="Q526" s="13" t="str">
        <f>IF($A526="","",[1]!thsiFinD("ths_adjustment_nv_fund",Q$3,$A526))</f>
        <v/>
      </c>
      <c r="R526" s="13" t="str">
        <f>IF($A526="","",[1]!thsiFinD("ths_adjustment_nv_fund",R$3,$A526))</f>
        <v/>
      </c>
      <c r="S526" s="13" t="str">
        <f>IF($A526="","",[1]!thsiFinD("ths_adjustment_nv_fund",S$3,$A526))</f>
        <v/>
      </c>
      <c r="T526" s="13" t="str">
        <f>IF($A526="","",[1]!thsiFinD("ths_adjustment_nv_fund",T$3,$A526))</f>
        <v/>
      </c>
      <c r="U526" s="13" t="str">
        <f>IF($A526="","",[1]!thsiFinD("ths_adjustment_nv_fund",U$3,$A526))</f>
        <v/>
      </c>
      <c r="V526" s="13" t="str">
        <f>IF($A526="","",[1]!thsiFinD("ths_adjustment_nv_fund",V$3,$A526))</f>
        <v/>
      </c>
      <c r="W526" s="13" t="str">
        <f>IF($A526="","",[1]!thsiFinD("ths_adjustment_nv_fund",W$3,$A526))</f>
        <v/>
      </c>
      <c r="X526" s="13" t="str">
        <f>IF($A526="","",[1]!thsiFinD("ths_adjustment_nv_fund",X$3,$A526))</f>
        <v/>
      </c>
      <c r="Y526" s="13" t="str">
        <f>IF($A526="","",[1]!thsiFinD("ths_adjustment_nv_fund",Y$3,$A526))</f>
        <v/>
      </c>
      <c r="Z526" s="13" t="str">
        <f>IF($A526="","",[1]!thsiFinD("ths_adjustment_nv_fund",Z$3,$A526))</f>
        <v/>
      </c>
      <c r="AA526" s="13" t="str">
        <f>IF($A526="","",[1]!thsiFinD("ths_adjustment_nv_fund",AA$3,$A526))</f>
        <v/>
      </c>
      <c r="AB526" s="13" t="str">
        <f>IF($A526="","",[1]!thsiFinD("ths_adjustment_nv_fund",AB$3,$A526))</f>
        <v/>
      </c>
    </row>
    <row r="527" spans="2:28">
      <c r="B527" s="13" t="str">
        <f>IF($A527="","",[1]!thsiFinD("ths_adjustment_nv_fund",B$3,$A527))</f>
        <v/>
      </c>
      <c r="C527" s="13" t="str">
        <f>IF($A527="","",[1]!thsiFinD("ths_adjustment_nv_fund",C$3,$A527))</f>
        <v/>
      </c>
      <c r="D527" s="13" t="str">
        <f>IF($A527="","",[1]!thsiFinD("ths_adjustment_nv_fund",D$3,$A527))</f>
        <v/>
      </c>
      <c r="E527" s="13" t="str">
        <f>IF($A527="","",[1]!thsiFinD("ths_adjustment_nv_fund",E$3,$A527))</f>
        <v/>
      </c>
      <c r="F527" s="13" t="str">
        <f>IF($A527="","",[1]!thsiFinD("ths_adjustment_nv_fund",F$3,$A527))</f>
        <v/>
      </c>
      <c r="G527" s="13" t="str">
        <f>IF($A527="","",[1]!thsiFinD("ths_adjustment_nv_fund",G$3,$A527))</f>
        <v/>
      </c>
      <c r="H527" s="13" t="str">
        <f>IF($A527="","",[1]!thsiFinD("ths_adjustment_nv_fund",H$3,$A527))</f>
        <v/>
      </c>
      <c r="I527" s="13" t="str">
        <f>IF($A527="","",[1]!thsiFinD("ths_adjustment_nv_fund",I$3,$A527))</f>
        <v/>
      </c>
      <c r="J527" s="13" t="str">
        <f>IF($A527="","",[1]!thsiFinD("ths_adjustment_nv_fund",J$3,$A527))</f>
        <v/>
      </c>
      <c r="K527" s="13" t="str">
        <f>IF($A527="","",[1]!thsiFinD("ths_adjustment_nv_fund",K$3,$A527))</f>
        <v/>
      </c>
      <c r="L527" s="13" t="str">
        <f>IF($A527="","",[1]!thsiFinD("ths_adjustment_nv_fund",L$3,$A527))</f>
        <v/>
      </c>
      <c r="M527" s="13" t="str">
        <f>IF($A527="","",[1]!thsiFinD("ths_adjustment_nv_fund",M$3,$A527))</f>
        <v/>
      </c>
      <c r="N527" s="13" t="str">
        <f>IF($A527="","",[1]!thsiFinD("ths_adjustment_nv_fund",N$3,$A527))</f>
        <v/>
      </c>
      <c r="O527" s="13" t="str">
        <f>IF($A527="","",[1]!thsiFinD("ths_adjustment_nv_fund",O$3,$A527))</f>
        <v/>
      </c>
      <c r="P527" s="13" t="str">
        <f>IF($A527="","",[1]!thsiFinD("ths_adjustment_nv_fund",P$3,$A527))</f>
        <v/>
      </c>
      <c r="Q527" s="13" t="str">
        <f>IF($A527="","",[1]!thsiFinD("ths_adjustment_nv_fund",Q$3,$A527))</f>
        <v/>
      </c>
      <c r="R527" s="13" t="str">
        <f>IF($A527="","",[1]!thsiFinD("ths_adjustment_nv_fund",R$3,$A527))</f>
        <v/>
      </c>
      <c r="S527" s="13" t="str">
        <f>IF($A527="","",[1]!thsiFinD("ths_adjustment_nv_fund",S$3,$A527))</f>
        <v/>
      </c>
      <c r="T527" s="13" t="str">
        <f>IF($A527="","",[1]!thsiFinD("ths_adjustment_nv_fund",T$3,$A527))</f>
        <v/>
      </c>
      <c r="U527" s="13" t="str">
        <f>IF($A527="","",[1]!thsiFinD("ths_adjustment_nv_fund",U$3,$A527))</f>
        <v/>
      </c>
      <c r="V527" s="13" t="str">
        <f>IF($A527="","",[1]!thsiFinD("ths_adjustment_nv_fund",V$3,$A527))</f>
        <v/>
      </c>
      <c r="W527" s="13" t="str">
        <f>IF($A527="","",[1]!thsiFinD("ths_adjustment_nv_fund",W$3,$A527))</f>
        <v/>
      </c>
      <c r="X527" s="13" t="str">
        <f>IF($A527="","",[1]!thsiFinD("ths_adjustment_nv_fund",X$3,$A527))</f>
        <v/>
      </c>
      <c r="Y527" s="13" t="str">
        <f>IF($A527="","",[1]!thsiFinD("ths_adjustment_nv_fund",Y$3,$A527))</f>
        <v/>
      </c>
      <c r="Z527" s="13" t="str">
        <f>IF($A527="","",[1]!thsiFinD("ths_adjustment_nv_fund",Z$3,$A527))</f>
        <v/>
      </c>
      <c r="AA527" s="13" t="str">
        <f>IF($A527="","",[1]!thsiFinD("ths_adjustment_nv_fund",AA$3,$A527))</f>
        <v/>
      </c>
      <c r="AB527" s="13" t="str">
        <f>IF($A527="","",[1]!thsiFinD("ths_adjustment_nv_fund",AB$3,$A527))</f>
        <v/>
      </c>
    </row>
    <row r="528" spans="2:28">
      <c r="B528" s="13" t="str">
        <f>IF($A528="","",[1]!thsiFinD("ths_adjustment_nv_fund",B$3,$A528))</f>
        <v/>
      </c>
      <c r="C528" s="13" t="str">
        <f>IF($A528="","",[1]!thsiFinD("ths_adjustment_nv_fund",C$3,$A528))</f>
        <v/>
      </c>
      <c r="D528" s="13" t="str">
        <f>IF($A528="","",[1]!thsiFinD("ths_adjustment_nv_fund",D$3,$A528))</f>
        <v/>
      </c>
      <c r="E528" s="13" t="str">
        <f>IF($A528="","",[1]!thsiFinD("ths_adjustment_nv_fund",E$3,$A528))</f>
        <v/>
      </c>
      <c r="F528" s="13" t="str">
        <f>IF($A528="","",[1]!thsiFinD("ths_adjustment_nv_fund",F$3,$A528))</f>
        <v/>
      </c>
      <c r="G528" s="13" t="str">
        <f>IF($A528="","",[1]!thsiFinD("ths_adjustment_nv_fund",G$3,$A528))</f>
        <v/>
      </c>
      <c r="H528" s="13" t="str">
        <f>IF($A528="","",[1]!thsiFinD("ths_adjustment_nv_fund",H$3,$A528))</f>
        <v/>
      </c>
      <c r="I528" s="13" t="str">
        <f>IF($A528="","",[1]!thsiFinD("ths_adjustment_nv_fund",I$3,$A528))</f>
        <v/>
      </c>
      <c r="J528" s="13" t="str">
        <f>IF($A528="","",[1]!thsiFinD("ths_adjustment_nv_fund",J$3,$A528))</f>
        <v/>
      </c>
      <c r="K528" s="13" t="str">
        <f>IF($A528="","",[1]!thsiFinD("ths_adjustment_nv_fund",K$3,$A528))</f>
        <v/>
      </c>
      <c r="L528" s="13" t="str">
        <f>IF($A528="","",[1]!thsiFinD("ths_adjustment_nv_fund",L$3,$A528))</f>
        <v/>
      </c>
      <c r="M528" s="13" t="str">
        <f>IF($A528="","",[1]!thsiFinD("ths_adjustment_nv_fund",M$3,$A528))</f>
        <v/>
      </c>
      <c r="N528" s="13" t="str">
        <f>IF($A528="","",[1]!thsiFinD("ths_adjustment_nv_fund",N$3,$A528))</f>
        <v/>
      </c>
      <c r="O528" s="13" t="str">
        <f>IF($A528="","",[1]!thsiFinD("ths_adjustment_nv_fund",O$3,$A528))</f>
        <v/>
      </c>
      <c r="P528" s="13" t="str">
        <f>IF($A528="","",[1]!thsiFinD("ths_adjustment_nv_fund",P$3,$A528))</f>
        <v/>
      </c>
      <c r="Q528" s="13" t="str">
        <f>IF($A528="","",[1]!thsiFinD("ths_adjustment_nv_fund",Q$3,$A528))</f>
        <v/>
      </c>
      <c r="R528" s="13" t="str">
        <f>IF($A528="","",[1]!thsiFinD("ths_adjustment_nv_fund",R$3,$A528))</f>
        <v/>
      </c>
      <c r="S528" s="13" t="str">
        <f>IF($A528="","",[1]!thsiFinD("ths_adjustment_nv_fund",S$3,$A528))</f>
        <v/>
      </c>
      <c r="T528" s="13" t="str">
        <f>IF($A528="","",[1]!thsiFinD("ths_adjustment_nv_fund",T$3,$A528))</f>
        <v/>
      </c>
      <c r="U528" s="13" t="str">
        <f>IF($A528="","",[1]!thsiFinD("ths_adjustment_nv_fund",U$3,$A528))</f>
        <v/>
      </c>
      <c r="V528" s="13" t="str">
        <f>IF($A528="","",[1]!thsiFinD("ths_adjustment_nv_fund",V$3,$A528))</f>
        <v/>
      </c>
      <c r="W528" s="13" t="str">
        <f>IF($A528="","",[1]!thsiFinD("ths_adjustment_nv_fund",W$3,$A528))</f>
        <v/>
      </c>
      <c r="X528" s="13" t="str">
        <f>IF($A528="","",[1]!thsiFinD("ths_adjustment_nv_fund",X$3,$A528))</f>
        <v/>
      </c>
      <c r="Y528" s="13" t="str">
        <f>IF($A528="","",[1]!thsiFinD("ths_adjustment_nv_fund",Y$3,$A528))</f>
        <v/>
      </c>
      <c r="Z528" s="13" t="str">
        <f>IF($A528="","",[1]!thsiFinD("ths_adjustment_nv_fund",Z$3,$A528))</f>
        <v/>
      </c>
      <c r="AA528" s="13" t="str">
        <f>IF($A528="","",[1]!thsiFinD("ths_adjustment_nv_fund",AA$3,$A528))</f>
        <v/>
      </c>
      <c r="AB528" s="13" t="str">
        <f>IF($A528="","",[1]!thsiFinD("ths_adjustment_nv_fund",AB$3,$A528))</f>
        <v/>
      </c>
    </row>
    <row r="529" spans="2:28">
      <c r="B529" s="13" t="str">
        <f>IF($A529="","",[1]!thsiFinD("ths_adjustment_nv_fund",B$3,$A529))</f>
        <v/>
      </c>
      <c r="C529" s="13" t="str">
        <f>IF($A529="","",[1]!thsiFinD("ths_adjustment_nv_fund",C$3,$A529))</f>
        <v/>
      </c>
      <c r="D529" s="13" t="str">
        <f>IF($A529="","",[1]!thsiFinD("ths_adjustment_nv_fund",D$3,$A529))</f>
        <v/>
      </c>
      <c r="E529" s="13" t="str">
        <f>IF($A529="","",[1]!thsiFinD("ths_adjustment_nv_fund",E$3,$A529))</f>
        <v/>
      </c>
      <c r="F529" s="13" t="str">
        <f>IF($A529="","",[1]!thsiFinD("ths_adjustment_nv_fund",F$3,$A529))</f>
        <v/>
      </c>
      <c r="G529" s="13" t="str">
        <f>IF($A529="","",[1]!thsiFinD("ths_adjustment_nv_fund",G$3,$A529))</f>
        <v/>
      </c>
      <c r="H529" s="13" t="str">
        <f>IF($A529="","",[1]!thsiFinD("ths_adjustment_nv_fund",H$3,$A529))</f>
        <v/>
      </c>
      <c r="I529" s="13" t="str">
        <f>IF($A529="","",[1]!thsiFinD("ths_adjustment_nv_fund",I$3,$A529))</f>
        <v/>
      </c>
      <c r="J529" s="13" t="str">
        <f>IF($A529="","",[1]!thsiFinD("ths_adjustment_nv_fund",J$3,$A529))</f>
        <v/>
      </c>
      <c r="K529" s="13" t="str">
        <f>IF($A529="","",[1]!thsiFinD("ths_adjustment_nv_fund",K$3,$A529))</f>
        <v/>
      </c>
      <c r="L529" s="13" t="str">
        <f>IF($A529="","",[1]!thsiFinD("ths_adjustment_nv_fund",L$3,$A529))</f>
        <v/>
      </c>
      <c r="M529" s="13" t="str">
        <f>IF($A529="","",[1]!thsiFinD("ths_adjustment_nv_fund",M$3,$A529))</f>
        <v/>
      </c>
      <c r="N529" s="13" t="str">
        <f>IF($A529="","",[1]!thsiFinD("ths_adjustment_nv_fund",N$3,$A529))</f>
        <v/>
      </c>
      <c r="O529" s="13" t="str">
        <f>IF($A529="","",[1]!thsiFinD("ths_adjustment_nv_fund",O$3,$A529))</f>
        <v/>
      </c>
      <c r="P529" s="13" t="str">
        <f>IF($A529="","",[1]!thsiFinD("ths_adjustment_nv_fund",P$3,$A529))</f>
        <v/>
      </c>
      <c r="Q529" s="13" t="str">
        <f>IF($A529="","",[1]!thsiFinD("ths_adjustment_nv_fund",Q$3,$A529))</f>
        <v/>
      </c>
      <c r="R529" s="13" t="str">
        <f>IF($A529="","",[1]!thsiFinD("ths_adjustment_nv_fund",R$3,$A529))</f>
        <v/>
      </c>
      <c r="S529" s="13" t="str">
        <f>IF($A529="","",[1]!thsiFinD("ths_adjustment_nv_fund",S$3,$A529))</f>
        <v/>
      </c>
      <c r="T529" s="13" t="str">
        <f>IF($A529="","",[1]!thsiFinD("ths_adjustment_nv_fund",T$3,$A529))</f>
        <v/>
      </c>
      <c r="U529" s="13" t="str">
        <f>IF($A529="","",[1]!thsiFinD("ths_adjustment_nv_fund",U$3,$A529))</f>
        <v/>
      </c>
      <c r="V529" s="13" t="str">
        <f>IF($A529="","",[1]!thsiFinD("ths_adjustment_nv_fund",V$3,$A529))</f>
        <v/>
      </c>
      <c r="W529" s="13" t="str">
        <f>IF($A529="","",[1]!thsiFinD("ths_adjustment_nv_fund",W$3,$A529))</f>
        <v/>
      </c>
      <c r="X529" s="13" t="str">
        <f>IF($A529="","",[1]!thsiFinD("ths_adjustment_nv_fund",X$3,$A529))</f>
        <v/>
      </c>
      <c r="Y529" s="13" t="str">
        <f>IF($A529="","",[1]!thsiFinD("ths_adjustment_nv_fund",Y$3,$A529))</f>
        <v/>
      </c>
      <c r="Z529" s="13" t="str">
        <f>IF($A529="","",[1]!thsiFinD("ths_adjustment_nv_fund",Z$3,$A529))</f>
        <v/>
      </c>
      <c r="AA529" s="13" t="str">
        <f>IF($A529="","",[1]!thsiFinD("ths_adjustment_nv_fund",AA$3,$A529))</f>
        <v/>
      </c>
      <c r="AB529" s="13" t="str">
        <f>IF($A529="","",[1]!thsiFinD("ths_adjustment_nv_fund",AB$3,$A529))</f>
        <v/>
      </c>
    </row>
    <row r="530" spans="2:28">
      <c r="B530" s="13" t="str">
        <f>IF($A530="","",[1]!thsiFinD("ths_adjustment_nv_fund",B$3,$A530))</f>
        <v/>
      </c>
      <c r="C530" s="13" t="str">
        <f>IF($A530="","",[1]!thsiFinD("ths_adjustment_nv_fund",C$3,$A530))</f>
        <v/>
      </c>
      <c r="D530" s="13" t="str">
        <f>IF($A530="","",[1]!thsiFinD("ths_adjustment_nv_fund",D$3,$A530))</f>
        <v/>
      </c>
      <c r="E530" s="13" t="str">
        <f>IF($A530="","",[1]!thsiFinD("ths_adjustment_nv_fund",E$3,$A530))</f>
        <v/>
      </c>
      <c r="F530" s="13" t="str">
        <f>IF($A530="","",[1]!thsiFinD("ths_adjustment_nv_fund",F$3,$A530))</f>
        <v/>
      </c>
      <c r="G530" s="13" t="str">
        <f>IF($A530="","",[1]!thsiFinD("ths_adjustment_nv_fund",G$3,$A530))</f>
        <v/>
      </c>
      <c r="H530" s="13" t="str">
        <f>IF($A530="","",[1]!thsiFinD("ths_adjustment_nv_fund",H$3,$A530))</f>
        <v/>
      </c>
      <c r="I530" s="13" t="str">
        <f>IF($A530="","",[1]!thsiFinD("ths_adjustment_nv_fund",I$3,$A530))</f>
        <v/>
      </c>
      <c r="J530" s="13" t="str">
        <f>IF($A530="","",[1]!thsiFinD("ths_adjustment_nv_fund",J$3,$A530))</f>
        <v/>
      </c>
      <c r="K530" s="13" t="str">
        <f>IF($A530="","",[1]!thsiFinD("ths_adjustment_nv_fund",K$3,$A530))</f>
        <v/>
      </c>
      <c r="L530" s="13" t="str">
        <f>IF($A530="","",[1]!thsiFinD("ths_adjustment_nv_fund",L$3,$A530))</f>
        <v/>
      </c>
      <c r="M530" s="13" t="str">
        <f>IF($A530="","",[1]!thsiFinD("ths_adjustment_nv_fund",M$3,$A530))</f>
        <v/>
      </c>
      <c r="N530" s="13" t="str">
        <f>IF($A530="","",[1]!thsiFinD("ths_adjustment_nv_fund",N$3,$A530))</f>
        <v/>
      </c>
      <c r="O530" s="13" t="str">
        <f>IF($A530="","",[1]!thsiFinD("ths_adjustment_nv_fund",O$3,$A530))</f>
        <v/>
      </c>
      <c r="P530" s="13" t="str">
        <f>IF($A530="","",[1]!thsiFinD("ths_adjustment_nv_fund",P$3,$A530))</f>
        <v/>
      </c>
      <c r="Q530" s="13" t="str">
        <f>IF($A530="","",[1]!thsiFinD("ths_adjustment_nv_fund",Q$3,$A530))</f>
        <v/>
      </c>
      <c r="R530" s="13" t="str">
        <f>IF($A530="","",[1]!thsiFinD("ths_adjustment_nv_fund",R$3,$A530))</f>
        <v/>
      </c>
      <c r="S530" s="13" t="str">
        <f>IF($A530="","",[1]!thsiFinD("ths_adjustment_nv_fund",S$3,$A530))</f>
        <v/>
      </c>
      <c r="T530" s="13" t="str">
        <f>IF($A530="","",[1]!thsiFinD("ths_adjustment_nv_fund",T$3,$A530))</f>
        <v/>
      </c>
      <c r="U530" s="13" t="str">
        <f>IF($A530="","",[1]!thsiFinD("ths_adjustment_nv_fund",U$3,$A530))</f>
        <v/>
      </c>
      <c r="V530" s="13" t="str">
        <f>IF($A530="","",[1]!thsiFinD("ths_adjustment_nv_fund",V$3,$A530))</f>
        <v/>
      </c>
      <c r="W530" s="13" t="str">
        <f>IF($A530="","",[1]!thsiFinD("ths_adjustment_nv_fund",W$3,$A530))</f>
        <v/>
      </c>
      <c r="X530" s="13" t="str">
        <f>IF($A530="","",[1]!thsiFinD("ths_adjustment_nv_fund",X$3,$A530))</f>
        <v/>
      </c>
      <c r="Y530" s="13" t="str">
        <f>IF($A530="","",[1]!thsiFinD("ths_adjustment_nv_fund",Y$3,$A530))</f>
        <v/>
      </c>
      <c r="Z530" s="13" t="str">
        <f>IF($A530="","",[1]!thsiFinD("ths_adjustment_nv_fund",Z$3,$A530))</f>
        <v/>
      </c>
      <c r="AA530" s="13" t="str">
        <f>IF($A530="","",[1]!thsiFinD("ths_adjustment_nv_fund",AA$3,$A530))</f>
        <v/>
      </c>
      <c r="AB530" s="13" t="str">
        <f>IF($A530="","",[1]!thsiFinD("ths_adjustment_nv_fund",AB$3,$A530))</f>
        <v/>
      </c>
    </row>
    <row r="531" spans="2:28">
      <c r="B531" s="13" t="str">
        <f>IF($A531="","",[1]!thsiFinD("ths_adjustment_nv_fund",B$3,$A531))</f>
        <v/>
      </c>
      <c r="C531" s="13" t="str">
        <f>IF($A531="","",[1]!thsiFinD("ths_adjustment_nv_fund",C$3,$A531))</f>
        <v/>
      </c>
      <c r="D531" s="13" t="str">
        <f>IF($A531="","",[1]!thsiFinD("ths_adjustment_nv_fund",D$3,$A531))</f>
        <v/>
      </c>
      <c r="E531" s="13" t="str">
        <f>IF($A531="","",[1]!thsiFinD("ths_adjustment_nv_fund",E$3,$A531))</f>
        <v/>
      </c>
      <c r="F531" s="13" t="str">
        <f>IF($A531="","",[1]!thsiFinD("ths_adjustment_nv_fund",F$3,$A531))</f>
        <v/>
      </c>
      <c r="G531" s="13" t="str">
        <f>IF($A531="","",[1]!thsiFinD("ths_adjustment_nv_fund",G$3,$A531))</f>
        <v/>
      </c>
      <c r="H531" s="13" t="str">
        <f>IF($A531="","",[1]!thsiFinD("ths_adjustment_nv_fund",H$3,$A531))</f>
        <v/>
      </c>
      <c r="I531" s="13" t="str">
        <f>IF($A531="","",[1]!thsiFinD("ths_adjustment_nv_fund",I$3,$A531))</f>
        <v/>
      </c>
      <c r="J531" s="13" t="str">
        <f>IF($A531="","",[1]!thsiFinD("ths_adjustment_nv_fund",J$3,$A531))</f>
        <v/>
      </c>
      <c r="K531" s="13" t="str">
        <f>IF($A531="","",[1]!thsiFinD("ths_adjustment_nv_fund",K$3,$A531))</f>
        <v/>
      </c>
      <c r="L531" s="13" t="str">
        <f>IF($A531="","",[1]!thsiFinD("ths_adjustment_nv_fund",L$3,$A531))</f>
        <v/>
      </c>
      <c r="M531" s="13" t="str">
        <f>IF($A531="","",[1]!thsiFinD("ths_adjustment_nv_fund",M$3,$A531))</f>
        <v/>
      </c>
      <c r="N531" s="13" t="str">
        <f>IF($A531="","",[1]!thsiFinD("ths_adjustment_nv_fund",N$3,$A531))</f>
        <v/>
      </c>
      <c r="O531" s="13" t="str">
        <f>IF($A531="","",[1]!thsiFinD("ths_adjustment_nv_fund",O$3,$A531))</f>
        <v/>
      </c>
      <c r="P531" s="13" t="str">
        <f>IF($A531="","",[1]!thsiFinD("ths_adjustment_nv_fund",P$3,$A531))</f>
        <v/>
      </c>
      <c r="Q531" s="13" t="str">
        <f>IF($A531="","",[1]!thsiFinD("ths_adjustment_nv_fund",Q$3,$A531))</f>
        <v/>
      </c>
      <c r="R531" s="13" t="str">
        <f>IF($A531="","",[1]!thsiFinD("ths_adjustment_nv_fund",R$3,$A531))</f>
        <v/>
      </c>
      <c r="S531" s="13" t="str">
        <f>IF($A531="","",[1]!thsiFinD("ths_adjustment_nv_fund",S$3,$A531))</f>
        <v/>
      </c>
      <c r="T531" s="13" t="str">
        <f>IF($A531="","",[1]!thsiFinD("ths_adjustment_nv_fund",T$3,$A531))</f>
        <v/>
      </c>
      <c r="U531" s="13" t="str">
        <f>IF($A531="","",[1]!thsiFinD("ths_adjustment_nv_fund",U$3,$A531))</f>
        <v/>
      </c>
      <c r="V531" s="13" t="str">
        <f>IF($A531="","",[1]!thsiFinD("ths_adjustment_nv_fund",V$3,$A531))</f>
        <v/>
      </c>
      <c r="W531" s="13" t="str">
        <f>IF($A531="","",[1]!thsiFinD("ths_adjustment_nv_fund",W$3,$A531))</f>
        <v/>
      </c>
      <c r="X531" s="13" t="str">
        <f>IF($A531="","",[1]!thsiFinD("ths_adjustment_nv_fund",X$3,$A531))</f>
        <v/>
      </c>
      <c r="Y531" s="13" t="str">
        <f>IF($A531="","",[1]!thsiFinD("ths_adjustment_nv_fund",Y$3,$A531))</f>
        <v/>
      </c>
      <c r="Z531" s="13" t="str">
        <f>IF($A531="","",[1]!thsiFinD("ths_adjustment_nv_fund",Z$3,$A531))</f>
        <v/>
      </c>
      <c r="AA531" s="13" t="str">
        <f>IF($A531="","",[1]!thsiFinD("ths_adjustment_nv_fund",AA$3,$A531))</f>
        <v/>
      </c>
      <c r="AB531" s="13" t="str">
        <f>IF($A531="","",[1]!thsiFinD("ths_adjustment_nv_fund",AB$3,$A531))</f>
        <v/>
      </c>
    </row>
    <row r="532" spans="2:28">
      <c r="B532" s="13" t="str">
        <f>IF($A532="","",[1]!thsiFinD("ths_adjustment_nv_fund",B$3,$A532))</f>
        <v/>
      </c>
      <c r="C532" s="13" t="str">
        <f>IF($A532="","",[1]!thsiFinD("ths_adjustment_nv_fund",C$3,$A532))</f>
        <v/>
      </c>
      <c r="D532" s="13" t="str">
        <f>IF($A532="","",[1]!thsiFinD("ths_adjustment_nv_fund",D$3,$A532))</f>
        <v/>
      </c>
      <c r="E532" s="13" t="str">
        <f>IF($A532="","",[1]!thsiFinD("ths_adjustment_nv_fund",E$3,$A532))</f>
        <v/>
      </c>
      <c r="F532" s="13" t="str">
        <f>IF($A532="","",[1]!thsiFinD("ths_adjustment_nv_fund",F$3,$A532))</f>
        <v/>
      </c>
      <c r="G532" s="13" t="str">
        <f>IF($A532="","",[1]!thsiFinD("ths_adjustment_nv_fund",G$3,$A532))</f>
        <v/>
      </c>
      <c r="H532" s="13" t="str">
        <f>IF($A532="","",[1]!thsiFinD("ths_adjustment_nv_fund",H$3,$A532))</f>
        <v/>
      </c>
      <c r="I532" s="13" t="str">
        <f>IF($A532="","",[1]!thsiFinD("ths_adjustment_nv_fund",I$3,$A532))</f>
        <v/>
      </c>
      <c r="J532" s="13" t="str">
        <f>IF($A532="","",[1]!thsiFinD("ths_adjustment_nv_fund",J$3,$A532))</f>
        <v/>
      </c>
      <c r="K532" s="13" t="str">
        <f>IF($A532="","",[1]!thsiFinD("ths_adjustment_nv_fund",K$3,$A532))</f>
        <v/>
      </c>
      <c r="L532" s="13" t="str">
        <f>IF($A532="","",[1]!thsiFinD("ths_adjustment_nv_fund",L$3,$A532))</f>
        <v/>
      </c>
      <c r="M532" s="13" t="str">
        <f>IF($A532="","",[1]!thsiFinD("ths_adjustment_nv_fund",M$3,$A532))</f>
        <v/>
      </c>
      <c r="N532" s="13" t="str">
        <f>IF($A532="","",[1]!thsiFinD("ths_adjustment_nv_fund",N$3,$A532))</f>
        <v/>
      </c>
      <c r="O532" s="13" t="str">
        <f>IF($A532="","",[1]!thsiFinD("ths_adjustment_nv_fund",O$3,$A532))</f>
        <v/>
      </c>
      <c r="P532" s="13" t="str">
        <f>IF($A532="","",[1]!thsiFinD("ths_adjustment_nv_fund",P$3,$A532))</f>
        <v/>
      </c>
      <c r="Q532" s="13" t="str">
        <f>IF($A532="","",[1]!thsiFinD("ths_adjustment_nv_fund",Q$3,$A532))</f>
        <v/>
      </c>
      <c r="R532" s="13" t="str">
        <f>IF($A532="","",[1]!thsiFinD("ths_adjustment_nv_fund",R$3,$A532))</f>
        <v/>
      </c>
      <c r="S532" s="13" t="str">
        <f>IF($A532="","",[1]!thsiFinD("ths_adjustment_nv_fund",S$3,$A532))</f>
        <v/>
      </c>
      <c r="T532" s="13" t="str">
        <f>IF($A532="","",[1]!thsiFinD("ths_adjustment_nv_fund",T$3,$A532))</f>
        <v/>
      </c>
      <c r="U532" s="13" t="str">
        <f>IF($A532="","",[1]!thsiFinD("ths_adjustment_nv_fund",U$3,$A532))</f>
        <v/>
      </c>
      <c r="V532" s="13" t="str">
        <f>IF($A532="","",[1]!thsiFinD("ths_adjustment_nv_fund",V$3,$A532))</f>
        <v/>
      </c>
      <c r="W532" s="13" t="str">
        <f>IF($A532="","",[1]!thsiFinD("ths_adjustment_nv_fund",W$3,$A532))</f>
        <v/>
      </c>
      <c r="X532" s="13" t="str">
        <f>IF($A532="","",[1]!thsiFinD("ths_adjustment_nv_fund",X$3,$A532))</f>
        <v/>
      </c>
      <c r="Y532" s="13" t="str">
        <f>IF($A532="","",[1]!thsiFinD("ths_adjustment_nv_fund",Y$3,$A532))</f>
        <v/>
      </c>
      <c r="Z532" s="13" t="str">
        <f>IF($A532="","",[1]!thsiFinD("ths_adjustment_nv_fund",Z$3,$A532))</f>
        <v/>
      </c>
      <c r="AA532" s="13" t="str">
        <f>IF($A532="","",[1]!thsiFinD("ths_adjustment_nv_fund",AA$3,$A532))</f>
        <v/>
      </c>
      <c r="AB532" s="13" t="str">
        <f>IF($A532="","",[1]!thsiFinD("ths_adjustment_nv_fund",AB$3,$A532))</f>
        <v/>
      </c>
    </row>
    <row r="533" spans="2:28">
      <c r="B533" s="13" t="str">
        <f>IF($A533="","",[1]!thsiFinD("ths_adjustment_nv_fund",B$3,$A533))</f>
        <v/>
      </c>
      <c r="C533" s="13" t="str">
        <f>IF($A533="","",[1]!thsiFinD("ths_adjustment_nv_fund",C$3,$A533))</f>
        <v/>
      </c>
      <c r="D533" s="13" t="str">
        <f>IF($A533="","",[1]!thsiFinD("ths_adjustment_nv_fund",D$3,$A533))</f>
        <v/>
      </c>
      <c r="E533" s="13" t="str">
        <f>IF($A533="","",[1]!thsiFinD("ths_adjustment_nv_fund",E$3,$A533))</f>
        <v/>
      </c>
      <c r="F533" s="13" t="str">
        <f>IF($A533="","",[1]!thsiFinD("ths_adjustment_nv_fund",F$3,$A533))</f>
        <v/>
      </c>
      <c r="G533" s="13" t="str">
        <f>IF($A533="","",[1]!thsiFinD("ths_adjustment_nv_fund",G$3,$A533))</f>
        <v/>
      </c>
      <c r="H533" s="13" t="str">
        <f>IF($A533="","",[1]!thsiFinD("ths_adjustment_nv_fund",H$3,$A533))</f>
        <v/>
      </c>
      <c r="I533" s="13" t="str">
        <f>IF($A533="","",[1]!thsiFinD("ths_adjustment_nv_fund",I$3,$A533))</f>
        <v/>
      </c>
      <c r="J533" s="13" t="str">
        <f>IF($A533="","",[1]!thsiFinD("ths_adjustment_nv_fund",J$3,$A533))</f>
        <v/>
      </c>
      <c r="K533" s="13" t="str">
        <f>IF($A533="","",[1]!thsiFinD("ths_adjustment_nv_fund",K$3,$A533))</f>
        <v/>
      </c>
      <c r="L533" s="13" t="str">
        <f>IF($A533="","",[1]!thsiFinD("ths_adjustment_nv_fund",L$3,$A533))</f>
        <v/>
      </c>
      <c r="M533" s="13" t="str">
        <f>IF($A533="","",[1]!thsiFinD("ths_adjustment_nv_fund",M$3,$A533))</f>
        <v/>
      </c>
      <c r="N533" s="13" t="str">
        <f>IF($A533="","",[1]!thsiFinD("ths_adjustment_nv_fund",N$3,$A533))</f>
        <v/>
      </c>
      <c r="O533" s="13" t="str">
        <f>IF($A533="","",[1]!thsiFinD("ths_adjustment_nv_fund",O$3,$A533))</f>
        <v/>
      </c>
      <c r="P533" s="13" t="str">
        <f>IF($A533="","",[1]!thsiFinD("ths_adjustment_nv_fund",P$3,$A533))</f>
        <v/>
      </c>
      <c r="Q533" s="13" t="str">
        <f>IF($A533="","",[1]!thsiFinD("ths_adjustment_nv_fund",Q$3,$A533))</f>
        <v/>
      </c>
      <c r="R533" s="13" t="str">
        <f>IF($A533="","",[1]!thsiFinD("ths_adjustment_nv_fund",R$3,$A533))</f>
        <v/>
      </c>
      <c r="S533" s="13" t="str">
        <f>IF($A533="","",[1]!thsiFinD("ths_adjustment_nv_fund",S$3,$A533))</f>
        <v/>
      </c>
      <c r="T533" s="13" t="str">
        <f>IF($A533="","",[1]!thsiFinD("ths_adjustment_nv_fund",T$3,$A533))</f>
        <v/>
      </c>
      <c r="U533" s="13" t="str">
        <f>IF($A533="","",[1]!thsiFinD("ths_adjustment_nv_fund",U$3,$A533))</f>
        <v/>
      </c>
      <c r="V533" s="13" t="str">
        <f>IF($A533="","",[1]!thsiFinD("ths_adjustment_nv_fund",V$3,$A533))</f>
        <v/>
      </c>
      <c r="W533" s="13" t="str">
        <f>IF($A533="","",[1]!thsiFinD("ths_adjustment_nv_fund",W$3,$A533))</f>
        <v/>
      </c>
      <c r="X533" s="13" t="str">
        <f>IF($A533="","",[1]!thsiFinD("ths_adjustment_nv_fund",X$3,$A533))</f>
        <v/>
      </c>
      <c r="Y533" s="13" t="str">
        <f>IF($A533="","",[1]!thsiFinD("ths_adjustment_nv_fund",Y$3,$A533))</f>
        <v/>
      </c>
      <c r="Z533" s="13" t="str">
        <f>IF($A533="","",[1]!thsiFinD("ths_adjustment_nv_fund",Z$3,$A533))</f>
        <v/>
      </c>
      <c r="AA533" s="13" t="str">
        <f>IF($A533="","",[1]!thsiFinD("ths_adjustment_nv_fund",AA$3,$A533))</f>
        <v/>
      </c>
      <c r="AB533" s="13" t="str">
        <f>IF($A533="","",[1]!thsiFinD("ths_adjustment_nv_fund",AB$3,$A533))</f>
        <v/>
      </c>
    </row>
    <row r="534" spans="2:28">
      <c r="B534" s="13" t="str">
        <f>IF($A534="","",[1]!thsiFinD("ths_adjustment_nv_fund",B$3,$A534))</f>
        <v/>
      </c>
      <c r="C534" s="13" t="str">
        <f>IF($A534="","",[1]!thsiFinD("ths_adjustment_nv_fund",C$3,$A534))</f>
        <v/>
      </c>
      <c r="D534" s="13" t="str">
        <f>IF($A534="","",[1]!thsiFinD("ths_adjustment_nv_fund",D$3,$A534))</f>
        <v/>
      </c>
      <c r="E534" s="13" t="str">
        <f>IF($A534="","",[1]!thsiFinD("ths_adjustment_nv_fund",E$3,$A534))</f>
        <v/>
      </c>
      <c r="F534" s="13" t="str">
        <f>IF($A534="","",[1]!thsiFinD("ths_adjustment_nv_fund",F$3,$A534))</f>
        <v/>
      </c>
      <c r="G534" s="13" t="str">
        <f>IF($A534="","",[1]!thsiFinD("ths_adjustment_nv_fund",G$3,$A534))</f>
        <v/>
      </c>
      <c r="H534" s="13" t="str">
        <f>IF($A534="","",[1]!thsiFinD("ths_adjustment_nv_fund",H$3,$A534))</f>
        <v/>
      </c>
      <c r="I534" s="13" t="str">
        <f>IF($A534="","",[1]!thsiFinD("ths_adjustment_nv_fund",I$3,$A534))</f>
        <v/>
      </c>
      <c r="J534" s="13" t="str">
        <f>IF($A534="","",[1]!thsiFinD("ths_adjustment_nv_fund",J$3,$A534))</f>
        <v/>
      </c>
      <c r="K534" s="13" t="str">
        <f>IF($A534="","",[1]!thsiFinD("ths_adjustment_nv_fund",K$3,$A534))</f>
        <v/>
      </c>
      <c r="L534" s="13" t="str">
        <f>IF($A534="","",[1]!thsiFinD("ths_adjustment_nv_fund",L$3,$A534))</f>
        <v/>
      </c>
      <c r="M534" s="13" t="str">
        <f>IF($A534="","",[1]!thsiFinD("ths_adjustment_nv_fund",M$3,$A534))</f>
        <v/>
      </c>
      <c r="N534" s="13" t="str">
        <f>IF($A534="","",[1]!thsiFinD("ths_adjustment_nv_fund",N$3,$A534))</f>
        <v/>
      </c>
      <c r="O534" s="13" t="str">
        <f>IF($A534="","",[1]!thsiFinD("ths_adjustment_nv_fund",O$3,$A534))</f>
        <v/>
      </c>
      <c r="P534" s="13" t="str">
        <f>IF($A534="","",[1]!thsiFinD("ths_adjustment_nv_fund",P$3,$A534))</f>
        <v/>
      </c>
      <c r="Q534" s="13" t="str">
        <f>IF($A534="","",[1]!thsiFinD("ths_adjustment_nv_fund",Q$3,$A534))</f>
        <v/>
      </c>
      <c r="R534" s="13" t="str">
        <f>IF($A534="","",[1]!thsiFinD("ths_adjustment_nv_fund",R$3,$A534))</f>
        <v/>
      </c>
      <c r="S534" s="13" t="str">
        <f>IF($A534="","",[1]!thsiFinD("ths_adjustment_nv_fund",S$3,$A534))</f>
        <v/>
      </c>
      <c r="T534" s="13" t="str">
        <f>IF($A534="","",[1]!thsiFinD("ths_adjustment_nv_fund",T$3,$A534))</f>
        <v/>
      </c>
      <c r="U534" s="13" t="str">
        <f>IF($A534="","",[1]!thsiFinD("ths_adjustment_nv_fund",U$3,$A534))</f>
        <v/>
      </c>
      <c r="V534" s="13" t="str">
        <f>IF($A534="","",[1]!thsiFinD("ths_adjustment_nv_fund",V$3,$A534))</f>
        <v/>
      </c>
      <c r="W534" s="13" t="str">
        <f>IF($A534="","",[1]!thsiFinD("ths_adjustment_nv_fund",W$3,$A534))</f>
        <v/>
      </c>
      <c r="X534" s="13" t="str">
        <f>IF($A534="","",[1]!thsiFinD("ths_adjustment_nv_fund",X$3,$A534))</f>
        <v/>
      </c>
      <c r="Y534" s="13" t="str">
        <f>IF($A534="","",[1]!thsiFinD("ths_adjustment_nv_fund",Y$3,$A534))</f>
        <v/>
      </c>
      <c r="Z534" s="13" t="str">
        <f>IF($A534="","",[1]!thsiFinD("ths_adjustment_nv_fund",Z$3,$A534))</f>
        <v/>
      </c>
      <c r="AA534" s="13" t="str">
        <f>IF($A534="","",[1]!thsiFinD("ths_adjustment_nv_fund",AA$3,$A534))</f>
        <v/>
      </c>
      <c r="AB534" s="13" t="str">
        <f>IF($A534="","",[1]!thsiFinD("ths_adjustment_nv_fund",AB$3,$A534))</f>
        <v/>
      </c>
    </row>
    <row r="535" spans="2:28">
      <c r="B535" s="13" t="str">
        <f>IF($A535="","",[1]!thsiFinD("ths_adjustment_nv_fund",B$3,$A535))</f>
        <v/>
      </c>
      <c r="C535" s="13" t="str">
        <f>IF($A535="","",[1]!thsiFinD("ths_adjustment_nv_fund",C$3,$A535))</f>
        <v/>
      </c>
      <c r="D535" s="13" t="str">
        <f>IF($A535="","",[1]!thsiFinD("ths_adjustment_nv_fund",D$3,$A535))</f>
        <v/>
      </c>
      <c r="E535" s="13" t="str">
        <f>IF($A535="","",[1]!thsiFinD("ths_adjustment_nv_fund",E$3,$A535))</f>
        <v/>
      </c>
      <c r="F535" s="13" t="str">
        <f>IF($A535="","",[1]!thsiFinD("ths_adjustment_nv_fund",F$3,$A535))</f>
        <v/>
      </c>
      <c r="G535" s="13" t="str">
        <f>IF($A535="","",[1]!thsiFinD("ths_adjustment_nv_fund",G$3,$A535))</f>
        <v/>
      </c>
      <c r="H535" s="13" t="str">
        <f>IF($A535="","",[1]!thsiFinD("ths_adjustment_nv_fund",H$3,$A535))</f>
        <v/>
      </c>
      <c r="I535" s="13" t="str">
        <f>IF($A535="","",[1]!thsiFinD("ths_adjustment_nv_fund",I$3,$A535))</f>
        <v/>
      </c>
      <c r="J535" s="13" t="str">
        <f>IF($A535="","",[1]!thsiFinD("ths_adjustment_nv_fund",J$3,$A535))</f>
        <v/>
      </c>
      <c r="K535" s="13" t="str">
        <f>IF($A535="","",[1]!thsiFinD("ths_adjustment_nv_fund",K$3,$A535))</f>
        <v/>
      </c>
      <c r="L535" s="13" t="str">
        <f>IF($A535="","",[1]!thsiFinD("ths_adjustment_nv_fund",L$3,$A535))</f>
        <v/>
      </c>
      <c r="M535" s="13" t="str">
        <f>IF($A535="","",[1]!thsiFinD("ths_adjustment_nv_fund",M$3,$A535))</f>
        <v/>
      </c>
      <c r="N535" s="13" t="str">
        <f>IF($A535="","",[1]!thsiFinD("ths_adjustment_nv_fund",N$3,$A535))</f>
        <v/>
      </c>
      <c r="O535" s="13" t="str">
        <f>IF($A535="","",[1]!thsiFinD("ths_adjustment_nv_fund",O$3,$A535))</f>
        <v/>
      </c>
      <c r="P535" s="13" t="str">
        <f>IF($A535="","",[1]!thsiFinD("ths_adjustment_nv_fund",P$3,$A535))</f>
        <v/>
      </c>
      <c r="Q535" s="13" t="str">
        <f>IF($A535="","",[1]!thsiFinD("ths_adjustment_nv_fund",Q$3,$A535))</f>
        <v/>
      </c>
      <c r="R535" s="13" t="str">
        <f>IF($A535="","",[1]!thsiFinD("ths_adjustment_nv_fund",R$3,$A535))</f>
        <v/>
      </c>
      <c r="S535" s="13" t="str">
        <f>IF($A535="","",[1]!thsiFinD("ths_adjustment_nv_fund",S$3,$A535))</f>
        <v/>
      </c>
      <c r="T535" s="13" t="str">
        <f>IF($A535="","",[1]!thsiFinD("ths_adjustment_nv_fund",T$3,$A535))</f>
        <v/>
      </c>
      <c r="U535" s="13" t="str">
        <f>IF($A535="","",[1]!thsiFinD("ths_adjustment_nv_fund",U$3,$A535))</f>
        <v/>
      </c>
      <c r="V535" s="13" t="str">
        <f>IF($A535="","",[1]!thsiFinD("ths_adjustment_nv_fund",V$3,$A535))</f>
        <v/>
      </c>
      <c r="W535" s="13" t="str">
        <f>IF($A535="","",[1]!thsiFinD("ths_adjustment_nv_fund",W$3,$A535))</f>
        <v/>
      </c>
      <c r="X535" s="13" t="str">
        <f>IF($A535="","",[1]!thsiFinD("ths_adjustment_nv_fund",X$3,$A535))</f>
        <v/>
      </c>
      <c r="Y535" s="13" t="str">
        <f>IF($A535="","",[1]!thsiFinD("ths_adjustment_nv_fund",Y$3,$A535))</f>
        <v/>
      </c>
      <c r="Z535" s="13" t="str">
        <f>IF($A535="","",[1]!thsiFinD("ths_adjustment_nv_fund",Z$3,$A535))</f>
        <v/>
      </c>
      <c r="AA535" s="13" t="str">
        <f>IF($A535="","",[1]!thsiFinD("ths_adjustment_nv_fund",AA$3,$A535))</f>
        <v/>
      </c>
      <c r="AB535" s="13" t="str">
        <f>IF($A535="","",[1]!thsiFinD("ths_adjustment_nv_fund",AB$3,$A535))</f>
        <v/>
      </c>
    </row>
    <row r="536" spans="2:28">
      <c r="B536" s="13" t="str">
        <f>IF($A536="","",[1]!thsiFinD("ths_adjustment_nv_fund",B$3,$A536))</f>
        <v/>
      </c>
      <c r="C536" s="13" t="str">
        <f>IF($A536="","",[1]!thsiFinD("ths_adjustment_nv_fund",C$3,$A536))</f>
        <v/>
      </c>
      <c r="D536" s="13" t="str">
        <f>IF($A536="","",[1]!thsiFinD("ths_adjustment_nv_fund",D$3,$A536))</f>
        <v/>
      </c>
      <c r="E536" s="13" t="str">
        <f>IF($A536="","",[1]!thsiFinD("ths_adjustment_nv_fund",E$3,$A536))</f>
        <v/>
      </c>
      <c r="F536" s="13" t="str">
        <f>IF($A536="","",[1]!thsiFinD("ths_adjustment_nv_fund",F$3,$A536))</f>
        <v/>
      </c>
      <c r="G536" s="13" t="str">
        <f>IF($A536="","",[1]!thsiFinD("ths_adjustment_nv_fund",G$3,$A536))</f>
        <v/>
      </c>
      <c r="H536" s="13" t="str">
        <f>IF($A536="","",[1]!thsiFinD("ths_adjustment_nv_fund",H$3,$A536))</f>
        <v/>
      </c>
      <c r="I536" s="13" t="str">
        <f>IF($A536="","",[1]!thsiFinD("ths_adjustment_nv_fund",I$3,$A536))</f>
        <v/>
      </c>
      <c r="J536" s="13" t="str">
        <f>IF($A536="","",[1]!thsiFinD("ths_adjustment_nv_fund",J$3,$A536))</f>
        <v/>
      </c>
      <c r="K536" s="13" t="str">
        <f>IF($A536="","",[1]!thsiFinD("ths_adjustment_nv_fund",K$3,$A536))</f>
        <v/>
      </c>
      <c r="L536" s="13" t="str">
        <f>IF($A536="","",[1]!thsiFinD("ths_adjustment_nv_fund",L$3,$A536))</f>
        <v/>
      </c>
      <c r="M536" s="13" t="str">
        <f>IF($A536="","",[1]!thsiFinD("ths_adjustment_nv_fund",M$3,$A536))</f>
        <v/>
      </c>
      <c r="N536" s="13" t="str">
        <f>IF($A536="","",[1]!thsiFinD("ths_adjustment_nv_fund",N$3,$A536))</f>
        <v/>
      </c>
      <c r="O536" s="13" t="str">
        <f>IF($A536="","",[1]!thsiFinD("ths_adjustment_nv_fund",O$3,$A536))</f>
        <v/>
      </c>
      <c r="P536" s="13" t="str">
        <f>IF($A536="","",[1]!thsiFinD("ths_adjustment_nv_fund",P$3,$A536))</f>
        <v/>
      </c>
      <c r="Q536" s="13" t="str">
        <f>IF($A536="","",[1]!thsiFinD("ths_adjustment_nv_fund",Q$3,$A536))</f>
        <v/>
      </c>
      <c r="R536" s="13" t="str">
        <f>IF($A536="","",[1]!thsiFinD("ths_adjustment_nv_fund",R$3,$A536))</f>
        <v/>
      </c>
      <c r="S536" s="13" t="str">
        <f>IF($A536="","",[1]!thsiFinD("ths_adjustment_nv_fund",S$3,$A536))</f>
        <v/>
      </c>
      <c r="T536" s="13" t="str">
        <f>IF($A536="","",[1]!thsiFinD("ths_adjustment_nv_fund",T$3,$A536))</f>
        <v/>
      </c>
      <c r="U536" s="13" t="str">
        <f>IF($A536="","",[1]!thsiFinD("ths_adjustment_nv_fund",U$3,$A536))</f>
        <v/>
      </c>
      <c r="V536" s="13" t="str">
        <f>IF($A536="","",[1]!thsiFinD("ths_adjustment_nv_fund",V$3,$A536))</f>
        <v/>
      </c>
      <c r="W536" s="13" t="str">
        <f>IF($A536="","",[1]!thsiFinD("ths_adjustment_nv_fund",W$3,$A536))</f>
        <v/>
      </c>
      <c r="X536" s="13" t="str">
        <f>IF($A536="","",[1]!thsiFinD("ths_adjustment_nv_fund",X$3,$A536))</f>
        <v/>
      </c>
      <c r="Y536" s="13" t="str">
        <f>IF($A536="","",[1]!thsiFinD("ths_adjustment_nv_fund",Y$3,$A536))</f>
        <v/>
      </c>
      <c r="Z536" s="13" t="str">
        <f>IF($A536="","",[1]!thsiFinD("ths_adjustment_nv_fund",Z$3,$A536))</f>
        <v/>
      </c>
      <c r="AA536" s="13" t="str">
        <f>IF($A536="","",[1]!thsiFinD("ths_adjustment_nv_fund",AA$3,$A536))</f>
        <v/>
      </c>
      <c r="AB536" s="13" t="str">
        <f>IF($A536="","",[1]!thsiFinD("ths_adjustment_nv_fund",AB$3,$A536))</f>
        <v/>
      </c>
    </row>
    <row r="537" spans="2:28">
      <c r="B537" s="13" t="str">
        <f>IF($A537="","",[1]!thsiFinD("ths_adjustment_nv_fund",B$3,$A537))</f>
        <v/>
      </c>
      <c r="C537" s="13" t="str">
        <f>IF($A537="","",[1]!thsiFinD("ths_adjustment_nv_fund",C$3,$A537))</f>
        <v/>
      </c>
      <c r="D537" s="13" t="str">
        <f>IF($A537="","",[1]!thsiFinD("ths_adjustment_nv_fund",D$3,$A537))</f>
        <v/>
      </c>
      <c r="E537" s="13" t="str">
        <f>IF($A537="","",[1]!thsiFinD("ths_adjustment_nv_fund",E$3,$A537))</f>
        <v/>
      </c>
      <c r="F537" s="13" t="str">
        <f>IF($A537="","",[1]!thsiFinD("ths_adjustment_nv_fund",F$3,$A537))</f>
        <v/>
      </c>
      <c r="G537" s="13" t="str">
        <f>IF($A537="","",[1]!thsiFinD("ths_adjustment_nv_fund",G$3,$A537))</f>
        <v/>
      </c>
      <c r="H537" s="13" t="str">
        <f>IF($A537="","",[1]!thsiFinD("ths_adjustment_nv_fund",H$3,$A537))</f>
        <v/>
      </c>
      <c r="I537" s="13" t="str">
        <f>IF($A537="","",[1]!thsiFinD("ths_adjustment_nv_fund",I$3,$A537))</f>
        <v/>
      </c>
      <c r="J537" s="13" t="str">
        <f>IF($A537="","",[1]!thsiFinD("ths_adjustment_nv_fund",J$3,$A537))</f>
        <v/>
      </c>
      <c r="K537" s="13" t="str">
        <f>IF($A537="","",[1]!thsiFinD("ths_adjustment_nv_fund",K$3,$A537))</f>
        <v/>
      </c>
      <c r="L537" s="13" t="str">
        <f>IF($A537="","",[1]!thsiFinD("ths_adjustment_nv_fund",L$3,$A537))</f>
        <v/>
      </c>
      <c r="M537" s="13" t="str">
        <f>IF($A537="","",[1]!thsiFinD("ths_adjustment_nv_fund",M$3,$A537))</f>
        <v/>
      </c>
      <c r="N537" s="13" t="str">
        <f>IF($A537="","",[1]!thsiFinD("ths_adjustment_nv_fund",N$3,$A537))</f>
        <v/>
      </c>
      <c r="O537" s="13" t="str">
        <f>IF($A537="","",[1]!thsiFinD("ths_adjustment_nv_fund",O$3,$A537))</f>
        <v/>
      </c>
      <c r="P537" s="13" t="str">
        <f>IF($A537="","",[1]!thsiFinD("ths_adjustment_nv_fund",P$3,$A537))</f>
        <v/>
      </c>
      <c r="Q537" s="13" t="str">
        <f>IF($A537="","",[1]!thsiFinD("ths_adjustment_nv_fund",Q$3,$A537))</f>
        <v/>
      </c>
      <c r="R537" s="13" t="str">
        <f>IF($A537="","",[1]!thsiFinD("ths_adjustment_nv_fund",R$3,$A537))</f>
        <v/>
      </c>
      <c r="S537" s="13" t="str">
        <f>IF($A537="","",[1]!thsiFinD("ths_adjustment_nv_fund",S$3,$A537))</f>
        <v/>
      </c>
      <c r="T537" s="13" t="str">
        <f>IF($A537="","",[1]!thsiFinD("ths_adjustment_nv_fund",T$3,$A537))</f>
        <v/>
      </c>
      <c r="U537" s="13" t="str">
        <f>IF($A537="","",[1]!thsiFinD("ths_adjustment_nv_fund",U$3,$A537))</f>
        <v/>
      </c>
      <c r="V537" s="13" t="str">
        <f>IF($A537="","",[1]!thsiFinD("ths_adjustment_nv_fund",V$3,$A537))</f>
        <v/>
      </c>
      <c r="W537" s="13" t="str">
        <f>IF($A537="","",[1]!thsiFinD("ths_adjustment_nv_fund",W$3,$A537))</f>
        <v/>
      </c>
      <c r="X537" s="13" t="str">
        <f>IF($A537="","",[1]!thsiFinD("ths_adjustment_nv_fund",X$3,$A537))</f>
        <v/>
      </c>
      <c r="Y537" s="13" t="str">
        <f>IF($A537="","",[1]!thsiFinD("ths_adjustment_nv_fund",Y$3,$A537))</f>
        <v/>
      </c>
      <c r="Z537" s="13" t="str">
        <f>IF($A537="","",[1]!thsiFinD("ths_adjustment_nv_fund",Z$3,$A537))</f>
        <v/>
      </c>
      <c r="AA537" s="13" t="str">
        <f>IF($A537="","",[1]!thsiFinD("ths_adjustment_nv_fund",AA$3,$A537))</f>
        <v/>
      </c>
      <c r="AB537" s="13" t="str">
        <f>IF($A537="","",[1]!thsiFinD("ths_adjustment_nv_fund",AB$3,$A537))</f>
        <v/>
      </c>
    </row>
    <row r="538" spans="2:28">
      <c r="B538" s="13" t="str">
        <f>IF($A538="","",[1]!thsiFinD("ths_adjustment_nv_fund",B$3,$A538))</f>
        <v/>
      </c>
      <c r="C538" s="13" t="str">
        <f>IF($A538="","",[1]!thsiFinD("ths_adjustment_nv_fund",C$3,$A538))</f>
        <v/>
      </c>
      <c r="D538" s="13" t="str">
        <f>IF($A538="","",[1]!thsiFinD("ths_adjustment_nv_fund",D$3,$A538))</f>
        <v/>
      </c>
      <c r="E538" s="13" t="str">
        <f>IF($A538="","",[1]!thsiFinD("ths_adjustment_nv_fund",E$3,$A538))</f>
        <v/>
      </c>
      <c r="F538" s="13" t="str">
        <f>IF($A538="","",[1]!thsiFinD("ths_adjustment_nv_fund",F$3,$A538))</f>
        <v/>
      </c>
      <c r="G538" s="13" t="str">
        <f>IF($A538="","",[1]!thsiFinD("ths_adjustment_nv_fund",G$3,$A538))</f>
        <v/>
      </c>
      <c r="H538" s="13" t="str">
        <f>IF($A538="","",[1]!thsiFinD("ths_adjustment_nv_fund",H$3,$A538))</f>
        <v/>
      </c>
      <c r="I538" s="13" t="str">
        <f>IF($A538="","",[1]!thsiFinD("ths_adjustment_nv_fund",I$3,$A538))</f>
        <v/>
      </c>
      <c r="J538" s="13" t="str">
        <f>IF($A538="","",[1]!thsiFinD("ths_adjustment_nv_fund",J$3,$A538))</f>
        <v/>
      </c>
      <c r="K538" s="13" t="str">
        <f>IF($A538="","",[1]!thsiFinD("ths_adjustment_nv_fund",K$3,$A538))</f>
        <v/>
      </c>
      <c r="L538" s="13" t="str">
        <f>IF($A538="","",[1]!thsiFinD("ths_adjustment_nv_fund",L$3,$A538))</f>
        <v/>
      </c>
      <c r="M538" s="13" t="str">
        <f>IF($A538="","",[1]!thsiFinD("ths_adjustment_nv_fund",M$3,$A538))</f>
        <v/>
      </c>
      <c r="N538" s="13" t="str">
        <f>IF($A538="","",[1]!thsiFinD("ths_adjustment_nv_fund",N$3,$A538))</f>
        <v/>
      </c>
      <c r="O538" s="13" t="str">
        <f>IF($A538="","",[1]!thsiFinD("ths_adjustment_nv_fund",O$3,$A538))</f>
        <v/>
      </c>
      <c r="P538" s="13" t="str">
        <f>IF($A538="","",[1]!thsiFinD("ths_adjustment_nv_fund",P$3,$A538))</f>
        <v/>
      </c>
      <c r="Q538" s="13" t="str">
        <f>IF($A538="","",[1]!thsiFinD("ths_adjustment_nv_fund",Q$3,$A538))</f>
        <v/>
      </c>
      <c r="R538" s="13" t="str">
        <f>IF($A538="","",[1]!thsiFinD("ths_adjustment_nv_fund",R$3,$A538))</f>
        <v/>
      </c>
      <c r="S538" s="13" t="str">
        <f>IF($A538="","",[1]!thsiFinD("ths_adjustment_nv_fund",S$3,$A538))</f>
        <v/>
      </c>
      <c r="T538" s="13" t="str">
        <f>IF($A538="","",[1]!thsiFinD("ths_adjustment_nv_fund",T$3,$A538))</f>
        <v/>
      </c>
      <c r="U538" s="13" t="str">
        <f>IF($A538="","",[1]!thsiFinD("ths_adjustment_nv_fund",U$3,$A538))</f>
        <v/>
      </c>
      <c r="V538" s="13" t="str">
        <f>IF($A538="","",[1]!thsiFinD("ths_adjustment_nv_fund",V$3,$A538))</f>
        <v/>
      </c>
      <c r="W538" s="13" t="str">
        <f>IF($A538="","",[1]!thsiFinD("ths_adjustment_nv_fund",W$3,$A538))</f>
        <v/>
      </c>
      <c r="X538" s="13" t="str">
        <f>IF($A538="","",[1]!thsiFinD("ths_adjustment_nv_fund",X$3,$A538))</f>
        <v/>
      </c>
      <c r="Y538" s="13" t="str">
        <f>IF($A538="","",[1]!thsiFinD("ths_adjustment_nv_fund",Y$3,$A538))</f>
        <v/>
      </c>
      <c r="Z538" s="13" t="str">
        <f>IF($A538="","",[1]!thsiFinD("ths_adjustment_nv_fund",Z$3,$A538))</f>
        <v/>
      </c>
      <c r="AA538" s="13" t="str">
        <f>IF($A538="","",[1]!thsiFinD("ths_adjustment_nv_fund",AA$3,$A538))</f>
        <v/>
      </c>
      <c r="AB538" s="13" t="str">
        <f>IF($A538="","",[1]!thsiFinD("ths_adjustment_nv_fund",AB$3,$A538))</f>
        <v/>
      </c>
    </row>
    <row r="539" spans="2:28">
      <c r="B539" s="13" t="str">
        <f>IF($A539="","",[1]!thsiFinD("ths_adjustment_nv_fund",B$3,$A539))</f>
        <v/>
      </c>
      <c r="C539" s="13" t="str">
        <f>IF($A539="","",[1]!thsiFinD("ths_adjustment_nv_fund",C$3,$A539))</f>
        <v/>
      </c>
      <c r="D539" s="13" t="str">
        <f>IF($A539="","",[1]!thsiFinD("ths_adjustment_nv_fund",D$3,$A539))</f>
        <v/>
      </c>
      <c r="E539" s="13" t="str">
        <f>IF($A539="","",[1]!thsiFinD("ths_adjustment_nv_fund",E$3,$A539))</f>
        <v/>
      </c>
      <c r="F539" s="13" t="str">
        <f>IF($A539="","",[1]!thsiFinD("ths_adjustment_nv_fund",F$3,$A539))</f>
        <v/>
      </c>
      <c r="G539" s="13" t="str">
        <f>IF($A539="","",[1]!thsiFinD("ths_adjustment_nv_fund",G$3,$A539))</f>
        <v/>
      </c>
      <c r="H539" s="13" t="str">
        <f>IF($A539="","",[1]!thsiFinD("ths_adjustment_nv_fund",H$3,$A539))</f>
        <v/>
      </c>
      <c r="I539" s="13" t="str">
        <f>IF($A539="","",[1]!thsiFinD("ths_adjustment_nv_fund",I$3,$A539))</f>
        <v/>
      </c>
      <c r="J539" s="13" t="str">
        <f>IF($A539="","",[1]!thsiFinD("ths_adjustment_nv_fund",J$3,$A539))</f>
        <v/>
      </c>
      <c r="K539" s="13" t="str">
        <f>IF($A539="","",[1]!thsiFinD("ths_adjustment_nv_fund",K$3,$A539))</f>
        <v/>
      </c>
      <c r="L539" s="13" t="str">
        <f>IF($A539="","",[1]!thsiFinD("ths_adjustment_nv_fund",L$3,$A539))</f>
        <v/>
      </c>
      <c r="M539" s="13" t="str">
        <f>IF($A539="","",[1]!thsiFinD("ths_adjustment_nv_fund",M$3,$A539))</f>
        <v/>
      </c>
      <c r="N539" s="13" t="str">
        <f>IF($A539="","",[1]!thsiFinD("ths_adjustment_nv_fund",N$3,$A539))</f>
        <v/>
      </c>
      <c r="O539" s="13" t="str">
        <f>IF($A539="","",[1]!thsiFinD("ths_adjustment_nv_fund",O$3,$A539))</f>
        <v/>
      </c>
      <c r="P539" s="13" t="str">
        <f>IF($A539="","",[1]!thsiFinD("ths_adjustment_nv_fund",P$3,$A539))</f>
        <v/>
      </c>
      <c r="Q539" s="13" t="str">
        <f>IF($A539="","",[1]!thsiFinD("ths_adjustment_nv_fund",Q$3,$A539))</f>
        <v/>
      </c>
      <c r="R539" s="13" t="str">
        <f>IF($A539="","",[1]!thsiFinD("ths_adjustment_nv_fund",R$3,$A539))</f>
        <v/>
      </c>
      <c r="S539" s="13" t="str">
        <f>IF($A539="","",[1]!thsiFinD("ths_adjustment_nv_fund",S$3,$A539))</f>
        <v/>
      </c>
      <c r="T539" s="13" t="str">
        <f>IF($A539="","",[1]!thsiFinD("ths_adjustment_nv_fund",T$3,$A539))</f>
        <v/>
      </c>
      <c r="U539" s="13" t="str">
        <f>IF($A539="","",[1]!thsiFinD("ths_adjustment_nv_fund",U$3,$A539))</f>
        <v/>
      </c>
      <c r="V539" s="13" t="str">
        <f>IF($A539="","",[1]!thsiFinD("ths_adjustment_nv_fund",V$3,$A539))</f>
        <v/>
      </c>
      <c r="W539" s="13" t="str">
        <f>IF($A539="","",[1]!thsiFinD("ths_adjustment_nv_fund",W$3,$A539))</f>
        <v/>
      </c>
      <c r="X539" s="13" t="str">
        <f>IF($A539="","",[1]!thsiFinD("ths_adjustment_nv_fund",X$3,$A539))</f>
        <v/>
      </c>
      <c r="Y539" s="13" t="str">
        <f>IF($A539="","",[1]!thsiFinD("ths_adjustment_nv_fund",Y$3,$A539))</f>
        <v/>
      </c>
      <c r="Z539" s="13" t="str">
        <f>IF($A539="","",[1]!thsiFinD("ths_adjustment_nv_fund",Z$3,$A539))</f>
        <v/>
      </c>
      <c r="AA539" s="13" t="str">
        <f>IF($A539="","",[1]!thsiFinD("ths_adjustment_nv_fund",AA$3,$A539))</f>
        <v/>
      </c>
      <c r="AB539" s="13" t="str">
        <f>IF($A539="","",[1]!thsiFinD("ths_adjustment_nv_fund",AB$3,$A539))</f>
        <v/>
      </c>
    </row>
    <row r="540" spans="2:28">
      <c r="B540" s="13" t="str">
        <f>IF($A540="","",[1]!thsiFinD("ths_adjustment_nv_fund",B$3,$A540))</f>
        <v/>
      </c>
      <c r="C540" s="13" t="str">
        <f>IF($A540="","",[1]!thsiFinD("ths_adjustment_nv_fund",C$3,$A540))</f>
        <v/>
      </c>
      <c r="D540" s="13" t="str">
        <f>IF($A540="","",[1]!thsiFinD("ths_adjustment_nv_fund",D$3,$A540))</f>
        <v/>
      </c>
      <c r="E540" s="13" t="str">
        <f>IF($A540="","",[1]!thsiFinD("ths_adjustment_nv_fund",E$3,$A540))</f>
        <v/>
      </c>
      <c r="F540" s="13" t="str">
        <f>IF($A540="","",[1]!thsiFinD("ths_adjustment_nv_fund",F$3,$A540))</f>
        <v/>
      </c>
      <c r="G540" s="13" t="str">
        <f>IF($A540="","",[1]!thsiFinD("ths_adjustment_nv_fund",G$3,$A540))</f>
        <v/>
      </c>
      <c r="H540" s="13" t="str">
        <f>IF($A540="","",[1]!thsiFinD("ths_adjustment_nv_fund",H$3,$A540))</f>
        <v/>
      </c>
      <c r="I540" s="13" t="str">
        <f>IF($A540="","",[1]!thsiFinD("ths_adjustment_nv_fund",I$3,$A540))</f>
        <v/>
      </c>
      <c r="J540" s="13" t="str">
        <f>IF($A540="","",[1]!thsiFinD("ths_adjustment_nv_fund",J$3,$A540))</f>
        <v/>
      </c>
      <c r="K540" s="13" t="str">
        <f>IF($A540="","",[1]!thsiFinD("ths_adjustment_nv_fund",K$3,$A540))</f>
        <v/>
      </c>
      <c r="L540" s="13" t="str">
        <f>IF($A540="","",[1]!thsiFinD("ths_adjustment_nv_fund",L$3,$A540))</f>
        <v/>
      </c>
      <c r="M540" s="13" t="str">
        <f>IF($A540="","",[1]!thsiFinD("ths_adjustment_nv_fund",M$3,$A540))</f>
        <v/>
      </c>
      <c r="N540" s="13" t="str">
        <f>IF($A540="","",[1]!thsiFinD("ths_adjustment_nv_fund",N$3,$A540))</f>
        <v/>
      </c>
      <c r="O540" s="13" t="str">
        <f>IF($A540="","",[1]!thsiFinD("ths_adjustment_nv_fund",O$3,$A540))</f>
        <v/>
      </c>
      <c r="P540" s="13" t="str">
        <f>IF($A540="","",[1]!thsiFinD("ths_adjustment_nv_fund",P$3,$A540))</f>
        <v/>
      </c>
      <c r="Q540" s="13" t="str">
        <f>IF($A540="","",[1]!thsiFinD("ths_adjustment_nv_fund",Q$3,$A540))</f>
        <v/>
      </c>
      <c r="R540" s="13" t="str">
        <f>IF($A540="","",[1]!thsiFinD("ths_adjustment_nv_fund",R$3,$A540))</f>
        <v/>
      </c>
      <c r="S540" s="13" t="str">
        <f>IF($A540="","",[1]!thsiFinD("ths_adjustment_nv_fund",S$3,$A540))</f>
        <v/>
      </c>
      <c r="T540" s="13" t="str">
        <f>IF($A540="","",[1]!thsiFinD("ths_adjustment_nv_fund",T$3,$A540))</f>
        <v/>
      </c>
      <c r="U540" s="13" t="str">
        <f>IF($A540="","",[1]!thsiFinD("ths_adjustment_nv_fund",U$3,$A540))</f>
        <v/>
      </c>
      <c r="V540" s="13" t="str">
        <f>IF($A540="","",[1]!thsiFinD("ths_adjustment_nv_fund",V$3,$A540))</f>
        <v/>
      </c>
      <c r="W540" s="13" t="str">
        <f>IF($A540="","",[1]!thsiFinD("ths_adjustment_nv_fund",W$3,$A540))</f>
        <v/>
      </c>
      <c r="X540" s="13" t="str">
        <f>IF($A540="","",[1]!thsiFinD("ths_adjustment_nv_fund",X$3,$A540))</f>
        <v/>
      </c>
      <c r="Y540" s="13" t="str">
        <f>IF($A540="","",[1]!thsiFinD("ths_adjustment_nv_fund",Y$3,$A540))</f>
        <v/>
      </c>
      <c r="Z540" s="13" t="str">
        <f>IF($A540="","",[1]!thsiFinD("ths_adjustment_nv_fund",Z$3,$A540))</f>
        <v/>
      </c>
      <c r="AA540" s="13" t="str">
        <f>IF($A540="","",[1]!thsiFinD("ths_adjustment_nv_fund",AA$3,$A540))</f>
        <v/>
      </c>
      <c r="AB540" s="13" t="str">
        <f>IF($A540="","",[1]!thsiFinD("ths_adjustment_nv_fund",AB$3,$A540))</f>
        <v/>
      </c>
    </row>
    <row r="541" spans="2:28">
      <c r="B541" s="13" t="str">
        <f>IF($A541="","",[1]!thsiFinD("ths_adjustment_nv_fund",B$3,$A541))</f>
        <v/>
      </c>
      <c r="C541" s="13" t="str">
        <f>IF($A541="","",[1]!thsiFinD("ths_adjustment_nv_fund",C$3,$A541))</f>
        <v/>
      </c>
      <c r="D541" s="13" t="str">
        <f>IF($A541="","",[1]!thsiFinD("ths_adjustment_nv_fund",D$3,$A541))</f>
        <v/>
      </c>
      <c r="E541" s="13" t="str">
        <f>IF($A541="","",[1]!thsiFinD("ths_adjustment_nv_fund",E$3,$A541))</f>
        <v/>
      </c>
      <c r="F541" s="13" t="str">
        <f>IF($A541="","",[1]!thsiFinD("ths_adjustment_nv_fund",F$3,$A541))</f>
        <v/>
      </c>
      <c r="G541" s="13" t="str">
        <f>IF($A541="","",[1]!thsiFinD("ths_adjustment_nv_fund",G$3,$A541))</f>
        <v/>
      </c>
      <c r="H541" s="13" t="str">
        <f>IF($A541="","",[1]!thsiFinD("ths_adjustment_nv_fund",H$3,$A541))</f>
        <v/>
      </c>
      <c r="I541" s="13" t="str">
        <f>IF($A541="","",[1]!thsiFinD("ths_adjustment_nv_fund",I$3,$A541))</f>
        <v/>
      </c>
      <c r="J541" s="13" t="str">
        <f>IF($A541="","",[1]!thsiFinD("ths_adjustment_nv_fund",J$3,$A541))</f>
        <v/>
      </c>
      <c r="K541" s="13" t="str">
        <f>IF($A541="","",[1]!thsiFinD("ths_adjustment_nv_fund",K$3,$A541))</f>
        <v/>
      </c>
      <c r="L541" s="13" t="str">
        <f>IF($A541="","",[1]!thsiFinD("ths_adjustment_nv_fund",L$3,$A541))</f>
        <v/>
      </c>
      <c r="M541" s="13" t="str">
        <f>IF($A541="","",[1]!thsiFinD("ths_adjustment_nv_fund",M$3,$A541))</f>
        <v/>
      </c>
      <c r="N541" s="13" t="str">
        <f>IF($A541="","",[1]!thsiFinD("ths_adjustment_nv_fund",N$3,$A541))</f>
        <v/>
      </c>
      <c r="O541" s="13" t="str">
        <f>IF($A541="","",[1]!thsiFinD("ths_adjustment_nv_fund",O$3,$A541))</f>
        <v/>
      </c>
      <c r="P541" s="13" t="str">
        <f>IF($A541="","",[1]!thsiFinD("ths_adjustment_nv_fund",P$3,$A541))</f>
        <v/>
      </c>
      <c r="Q541" s="13" t="str">
        <f>IF($A541="","",[1]!thsiFinD("ths_adjustment_nv_fund",Q$3,$A541))</f>
        <v/>
      </c>
      <c r="R541" s="13" t="str">
        <f>IF($A541="","",[1]!thsiFinD("ths_adjustment_nv_fund",R$3,$A541))</f>
        <v/>
      </c>
      <c r="S541" s="13" t="str">
        <f>IF($A541="","",[1]!thsiFinD("ths_adjustment_nv_fund",S$3,$A541))</f>
        <v/>
      </c>
      <c r="T541" s="13" t="str">
        <f>IF($A541="","",[1]!thsiFinD("ths_adjustment_nv_fund",T$3,$A541))</f>
        <v/>
      </c>
      <c r="U541" s="13" t="str">
        <f>IF($A541="","",[1]!thsiFinD("ths_adjustment_nv_fund",U$3,$A541))</f>
        <v/>
      </c>
      <c r="V541" s="13" t="str">
        <f>IF($A541="","",[1]!thsiFinD("ths_adjustment_nv_fund",V$3,$A541))</f>
        <v/>
      </c>
      <c r="W541" s="13" t="str">
        <f>IF($A541="","",[1]!thsiFinD("ths_adjustment_nv_fund",W$3,$A541))</f>
        <v/>
      </c>
      <c r="X541" s="13" t="str">
        <f>IF($A541="","",[1]!thsiFinD("ths_adjustment_nv_fund",X$3,$A541))</f>
        <v/>
      </c>
      <c r="Y541" s="13" t="str">
        <f>IF($A541="","",[1]!thsiFinD("ths_adjustment_nv_fund",Y$3,$A541))</f>
        <v/>
      </c>
      <c r="Z541" s="13" t="str">
        <f>IF($A541="","",[1]!thsiFinD("ths_adjustment_nv_fund",Z$3,$A541))</f>
        <v/>
      </c>
      <c r="AA541" s="13" t="str">
        <f>IF($A541="","",[1]!thsiFinD("ths_adjustment_nv_fund",AA$3,$A541))</f>
        <v/>
      </c>
      <c r="AB541" s="13" t="str">
        <f>IF($A541="","",[1]!thsiFinD("ths_adjustment_nv_fund",AB$3,$A541))</f>
        <v/>
      </c>
    </row>
    <row r="542" spans="2:28">
      <c r="B542" s="13" t="str">
        <f>IF($A542="","",[1]!thsiFinD("ths_adjustment_nv_fund",B$3,$A542))</f>
        <v/>
      </c>
      <c r="C542" s="13" t="str">
        <f>IF($A542="","",[1]!thsiFinD("ths_adjustment_nv_fund",C$3,$A542))</f>
        <v/>
      </c>
      <c r="D542" s="13" t="str">
        <f>IF($A542="","",[1]!thsiFinD("ths_adjustment_nv_fund",D$3,$A542))</f>
        <v/>
      </c>
      <c r="E542" s="13" t="str">
        <f>IF($A542="","",[1]!thsiFinD("ths_adjustment_nv_fund",E$3,$A542))</f>
        <v/>
      </c>
      <c r="F542" s="13" t="str">
        <f>IF($A542="","",[1]!thsiFinD("ths_adjustment_nv_fund",F$3,$A542))</f>
        <v/>
      </c>
      <c r="G542" s="13" t="str">
        <f>IF($A542="","",[1]!thsiFinD("ths_adjustment_nv_fund",G$3,$A542))</f>
        <v/>
      </c>
      <c r="H542" s="13" t="str">
        <f>IF($A542="","",[1]!thsiFinD("ths_adjustment_nv_fund",H$3,$A542))</f>
        <v/>
      </c>
      <c r="I542" s="13" t="str">
        <f>IF($A542="","",[1]!thsiFinD("ths_adjustment_nv_fund",I$3,$A542))</f>
        <v/>
      </c>
      <c r="J542" s="13" t="str">
        <f>IF($A542="","",[1]!thsiFinD("ths_adjustment_nv_fund",J$3,$A542))</f>
        <v/>
      </c>
      <c r="K542" s="13" t="str">
        <f>IF($A542="","",[1]!thsiFinD("ths_adjustment_nv_fund",K$3,$A542))</f>
        <v/>
      </c>
      <c r="L542" s="13" t="str">
        <f>IF($A542="","",[1]!thsiFinD("ths_adjustment_nv_fund",L$3,$A542))</f>
        <v/>
      </c>
      <c r="M542" s="13" t="str">
        <f>IF($A542="","",[1]!thsiFinD("ths_adjustment_nv_fund",M$3,$A542))</f>
        <v/>
      </c>
      <c r="N542" s="13" t="str">
        <f>IF($A542="","",[1]!thsiFinD("ths_adjustment_nv_fund",N$3,$A542))</f>
        <v/>
      </c>
      <c r="O542" s="13" t="str">
        <f>IF($A542="","",[1]!thsiFinD("ths_adjustment_nv_fund",O$3,$A542))</f>
        <v/>
      </c>
      <c r="P542" s="13" t="str">
        <f>IF($A542="","",[1]!thsiFinD("ths_adjustment_nv_fund",P$3,$A542))</f>
        <v/>
      </c>
      <c r="Q542" s="13" t="str">
        <f>IF($A542="","",[1]!thsiFinD("ths_adjustment_nv_fund",Q$3,$A542))</f>
        <v/>
      </c>
      <c r="R542" s="13" t="str">
        <f>IF($A542="","",[1]!thsiFinD("ths_adjustment_nv_fund",R$3,$A542))</f>
        <v/>
      </c>
      <c r="S542" s="13" t="str">
        <f>IF($A542="","",[1]!thsiFinD("ths_adjustment_nv_fund",S$3,$A542))</f>
        <v/>
      </c>
      <c r="T542" s="13" t="str">
        <f>IF($A542="","",[1]!thsiFinD("ths_adjustment_nv_fund",T$3,$A542))</f>
        <v/>
      </c>
      <c r="U542" s="13" t="str">
        <f>IF($A542="","",[1]!thsiFinD("ths_adjustment_nv_fund",U$3,$A542))</f>
        <v/>
      </c>
      <c r="V542" s="13" t="str">
        <f>IF($A542="","",[1]!thsiFinD("ths_adjustment_nv_fund",V$3,$A542))</f>
        <v/>
      </c>
      <c r="W542" s="13" t="str">
        <f>IF($A542="","",[1]!thsiFinD("ths_adjustment_nv_fund",W$3,$A542))</f>
        <v/>
      </c>
      <c r="X542" s="13" t="str">
        <f>IF($A542="","",[1]!thsiFinD("ths_adjustment_nv_fund",X$3,$A542))</f>
        <v/>
      </c>
      <c r="Y542" s="13" t="str">
        <f>IF($A542="","",[1]!thsiFinD("ths_adjustment_nv_fund",Y$3,$A542))</f>
        <v/>
      </c>
      <c r="Z542" s="13" t="str">
        <f>IF($A542="","",[1]!thsiFinD("ths_adjustment_nv_fund",Z$3,$A542))</f>
        <v/>
      </c>
      <c r="AA542" s="13" t="str">
        <f>IF($A542="","",[1]!thsiFinD("ths_adjustment_nv_fund",AA$3,$A542))</f>
        <v/>
      </c>
      <c r="AB542" s="13" t="str">
        <f>IF($A542="","",[1]!thsiFinD("ths_adjustment_nv_fund",AB$3,$A542))</f>
        <v/>
      </c>
    </row>
    <row r="543" spans="2:28">
      <c r="B543" s="13" t="str">
        <f>IF($A543="","",[1]!thsiFinD("ths_adjustment_nv_fund",B$3,$A543))</f>
        <v/>
      </c>
      <c r="C543" s="13" t="str">
        <f>IF($A543="","",[1]!thsiFinD("ths_adjustment_nv_fund",C$3,$A543))</f>
        <v/>
      </c>
      <c r="D543" s="13" t="str">
        <f>IF($A543="","",[1]!thsiFinD("ths_adjustment_nv_fund",D$3,$A543))</f>
        <v/>
      </c>
      <c r="E543" s="13" t="str">
        <f>IF($A543="","",[1]!thsiFinD("ths_adjustment_nv_fund",E$3,$A543))</f>
        <v/>
      </c>
      <c r="F543" s="13" t="str">
        <f>IF($A543="","",[1]!thsiFinD("ths_adjustment_nv_fund",F$3,$A543))</f>
        <v/>
      </c>
      <c r="G543" s="13" t="str">
        <f>IF($A543="","",[1]!thsiFinD("ths_adjustment_nv_fund",G$3,$A543))</f>
        <v/>
      </c>
      <c r="H543" s="13" t="str">
        <f>IF($A543="","",[1]!thsiFinD("ths_adjustment_nv_fund",H$3,$A543))</f>
        <v/>
      </c>
      <c r="I543" s="13" t="str">
        <f>IF($A543="","",[1]!thsiFinD("ths_adjustment_nv_fund",I$3,$A543))</f>
        <v/>
      </c>
      <c r="J543" s="13" t="str">
        <f>IF($A543="","",[1]!thsiFinD("ths_adjustment_nv_fund",J$3,$A543))</f>
        <v/>
      </c>
      <c r="K543" s="13" t="str">
        <f>IF($A543="","",[1]!thsiFinD("ths_adjustment_nv_fund",K$3,$A543))</f>
        <v/>
      </c>
      <c r="L543" s="13" t="str">
        <f>IF($A543="","",[1]!thsiFinD("ths_adjustment_nv_fund",L$3,$A543))</f>
        <v/>
      </c>
      <c r="M543" s="13" t="str">
        <f>IF($A543="","",[1]!thsiFinD("ths_adjustment_nv_fund",M$3,$A543))</f>
        <v/>
      </c>
      <c r="N543" s="13" t="str">
        <f>IF($A543="","",[1]!thsiFinD("ths_adjustment_nv_fund",N$3,$A543))</f>
        <v/>
      </c>
      <c r="O543" s="13" t="str">
        <f>IF($A543="","",[1]!thsiFinD("ths_adjustment_nv_fund",O$3,$A543))</f>
        <v/>
      </c>
      <c r="P543" s="13" t="str">
        <f>IF($A543="","",[1]!thsiFinD("ths_adjustment_nv_fund",P$3,$A543))</f>
        <v/>
      </c>
      <c r="Q543" s="13" t="str">
        <f>IF($A543="","",[1]!thsiFinD("ths_adjustment_nv_fund",Q$3,$A543))</f>
        <v/>
      </c>
      <c r="R543" s="13" t="str">
        <f>IF($A543="","",[1]!thsiFinD("ths_adjustment_nv_fund",R$3,$A543))</f>
        <v/>
      </c>
      <c r="S543" s="13" t="str">
        <f>IF($A543="","",[1]!thsiFinD("ths_adjustment_nv_fund",S$3,$A543))</f>
        <v/>
      </c>
      <c r="T543" s="13" t="str">
        <f>IF($A543="","",[1]!thsiFinD("ths_adjustment_nv_fund",T$3,$A543))</f>
        <v/>
      </c>
      <c r="U543" s="13" t="str">
        <f>IF($A543="","",[1]!thsiFinD("ths_adjustment_nv_fund",U$3,$A543))</f>
        <v/>
      </c>
      <c r="V543" s="13" t="str">
        <f>IF($A543="","",[1]!thsiFinD("ths_adjustment_nv_fund",V$3,$A543))</f>
        <v/>
      </c>
      <c r="W543" s="13" t="str">
        <f>IF($A543="","",[1]!thsiFinD("ths_adjustment_nv_fund",W$3,$A543))</f>
        <v/>
      </c>
      <c r="X543" s="13" t="str">
        <f>IF($A543="","",[1]!thsiFinD("ths_adjustment_nv_fund",X$3,$A543))</f>
        <v/>
      </c>
      <c r="Y543" s="13" t="str">
        <f>IF($A543="","",[1]!thsiFinD("ths_adjustment_nv_fund",Y$3,$A543))</f>
        <v/>
      </c>
      <c r="Z543" s="13" t="str">
        <f>IF($A543="","",[1]!thsiFinD("ths_adjustment_nv_fund",Z$3,$A543))</f>
        <v/>
      </c>
      <c r="AA543" s="13" t="str">
        <f>IF($A543="","",[1]!thsiFinD("ths_adjustment_nv_fund",AA$3,$A543))</f>
        <v/>
      </c>
      <c r="AB543" s="13" t="str">
        <f>IF($A543="","",[1]!thsiFinD("ths_adjustment_nv_fund",AB$3,$A543))</f>
        <v/>
      </c>
    </row>
    <row r="544" spans="2:28">
      <c r="B544" s="13" t="str">
        <f>IF($A544="","",[1]!thsiFinD("ths_adjustment_nv_fund",B$3,$A544))</f>
        <v/>
      </c>
      <c r="C544" s="13" t="str">
        <f>IF($A544="","",[1]!thsiFinD("ths_adjustment_nv_fund",C$3,$A544))</f>
        <v/>
      </c>
      <c r="D544" s="13" t="str">
        <f>IF($A544="","",[1]!thsiFinD("ths_adjustment_nv_fund",D$3,$A544))</f>
        <v/>
      </c>
      <c r="E544" s="13" t="str">
        <f>IF($A544="","",[1]!thsiFinD("ths_adjustment_nv_fund",E$3,$A544))</f>
        <v/>
      </c>
      <c r="F544" s="13" t="str">
        <f>IF($A544="","",[1]!thsiFinD("ths_adjustment_nv_fund",F$3,$A544))</f>
        <v/>
      </c>
      <c r="G544" s="13" t="str">
        <f>IF($A544="","",[1]!thsiFinD("ths_adjustment_nv_fund",G$3,$A544))</f>
        <v/>
      </c>
      <c r="H544" s="13" t="str">
        <f>IF($A544="","",[1]!thsiFinD("ths_adjustment_nv_fund",H$3,$A544))</f>
        <v/>
      </c>
      <c r="I544" s="13" t="str">
        <f>IF($A544="","",[1]!thsiFinD("ths_adjustment_nv_fund",I$3,$A544))</f>
        <v/>
      </c>
      <c r="J544" s="13" t="str">
        <f>IF($A544="","",[1]!thsiFinD("ths_adjustment_nv_fund",J$3,$A544))</f>
        <v/>
      </c>
      <c r="K544" s="13" t="str">
        <f>IF($A544="","",[1]!thsiFinD("ths_adjustment_nv_fund",K$3,$A544))</f>
        <v/>
      </c>
      <c r="L544" s="13" t="str">
        <f>IF($A544="","",[1]!thsiFinD("ths_adjustment_nv_fund",L$3,$A544))</f>
        <v/>
      </c>
      <c r="M544" s="13" t="str">
        <f>IF($A544="","",[1]!thsiFinD("ths_adjustment_nv_fund",M$3,$A544))</f>
        <v/>
      </c>
      <c r="N544" s="13" t="str">
        <f>IF($A544="","",[1]!thsiFinD("ths_adjustment_nv_fund",N$3,$A544))</f>
        <v/>
      </c>
      <c r="O544" s="13" t="str">
        <f>IF($A544="","",[1]!thsiFinD("ths_adjustment_nv_fund",O$3,$A544))</f>
        <v/>
      </c>
      <c r="P544" s="13" t="str">
        <f>IF($A544="","",[1]!thsiFinD("ths_adjustment_nv_fund",P$3,$A544))</f>
        <v/>
      </c>
      <c r="Q544" s="13" t="str">
        <f>IF($A544="","",[1]!thsiFinD("ths_adjustment_nv_fund",Q$3,$A544))</f>
        <v/>
      </c>
      <c r="R544" s="13" t="str">
        <f>IF($A544="","",[1]!thsiFinD("ths_adjustment_nv_fund",R$3,$A544))</f>
        <v/>
      </c>
      <c r="S544" s="13" t="str">
        <f>IF($A544="","",[1]!thsiFinD("ths_adjustment_nv_fund",S$3,$A544))</f>
        <v/>
      </c>
      <c r="T544" s="13" t="str">
        <f>IF($A544="","",[1]!thsiFinD("ths_adjustment_nv_fund",T$3,$A544))</f>
        <v/>
      </c>
      <c r="U544" s="13" t="str">
        <f>IF($A544="","",[1]!thsiFinD("ths_adjustment_nv_fund",U$3,$A544))</f>
        <v/>
      </c>
      <c r="V544" s="13" t="str">
        <f>IF($A544="","",[1]!thsiFinD("ths_adjustment_nv_fund",V$3,$A544))</f>
        <v/>
      </c>
      <c r="W544" s="13" t="str">
        <f>IF($A544="","",[1]!thsiFinD("ths_adjustment_nv_fund",W$3,$A544))</f>
        <v/>
      </c>
      <c r="X544" s="13" t="str">
        <f>IF($A544="","",[1]!thsiFinD("ths_adjustment_nv_fund",X$3,$A544))</f>
        <v/>
      </c>
      <c r="Y544" s="13" t="str">
        <f>IF($A544="","",[1]!thsiFinD("ths_adjustment_nv_fund",Y$3,$A544))</f>
        <v/>
      </c>
      <c r="Z544" s="13" t="str">
        <f>IF($A544="","",[1]!thsiFinD("ths_adjustment_nv_fund",Z$3,$A544))</f>
        <v/>
      </c>
      <c r="AA544" s="13" t="str">
        <f>IF($A544="","",[1]!thsiFinD("ths_adjustment_nv_fund",AA$3,$A544))</f>
        <v/>
      </c>
      <c r="AB544" s="13" t="str">
        <f>IF($A544="","",[1]!thsiFinD("ths_adjustment_nv_fund",AB$3,$A544))</f>
        <v/>
      </c>
    </row>
    <row r="545" spans="2:28">
      <c r="B545" s="13" t="str">
        <f>IF($A545="","",[1]!thsiFinD("ths_adjustment_nv_fund",B$3,$A545))</f>
        <v/>
      </c>
      <c r="C545" s="13" t="str">
        <f>IF($A545="","",[1]!thsiFinD("ths_adjustment_nv_fund",C$3,$A545))</f>
        <v/>
      </c>
      <c r="D545" s="13" t="str">
        <f>IF($A545="","",[1]!thsiFinD("ths_adjustment_nv_fund",D$3,$A545))</f>
        <v/>
      </c>
      <c r="E545" s="13" t="str">
        <f>IF($A545="","",[1]!thsiFinD("ths_adjustment_nv_fund",E$3,$A545))</f>
        <v/>
      </c>
      <c r="F545" s="13" t="str">
        <f>IF($A545="","",[1]!thsiFinD("ths_adjustment_nv_fund",F$3,$A545))</f>
        <v/>
      </c>
      <c r="G545" s="13" t="str">
        <f>IF($A545="","",[1]!thsiFinD("ths_adjustment_nv_fund",G$3,$A545))</f>
        <v/>
      </c>
      <c r="H545" s="13" t="str">
        <f>IF($A545="","",[1]!thsiFinD("ths_adjustment_nv_fund",H$3,$A545))</f>
        <v/>
      </c>
      <c r="I545" s="13" t="str">
        <f>IF($A545="","",[1]!thsiFinD("ths_adjustment_nv_fund",I$3,$A545))</f>
        <v/>
      </c>
      <c r="J545" s="13" t="str">
        <f>IF($A545="","",[1]!thsiFinD("ths_adjustment_nv_fund",J$3,$A545))</f>
        <v/>
      </c>
      <c r="K545" s="13" t="str">
        <f>IF($A545="","",[1]!thsiFinD("ths_adjustment_nv_fund",K$3,$A545))</f>
        <v/>
      </c>
      <c r="L545" s="13" t="str">
        <f>IF($A545="","",[1]!thsiFinD("ths_adjustment_nv_fund",L$3,$A545))</f>
        <v/>
      </c>
      <c r="M545" s="13" t="str">
        <f>IF($A545="","",[1]!thsiFinD("ths_adjustment_nv_fund",M$3,$A545))</f>
        <v/>
      </c>
      <c r="N545" s="13" t="str">
        <f>IF($A545="","",[1]!thsiFinD("ths_adjustment_nv_fund",N$3,$A545))</f>
        <v/>
      </c>
      <c r="O545" s="13" t="str">
        <f>IF($A545="","",[1]!thsiFinD("ths_adjustment_nv_fund",O$3,$A545))</f>
        <v/>
      </c>
      <c r="P545" s="13" t="str">
        <f>IF($A545="","",[1]!thsiFinD("ths_adjustment_nv_fund",P$3,$A545))</f>
        <v/>
      </c>
      <c r="Q545" s="13" t="str">
        <f>IF($A545="","",[1]!thsiFinD("ths_adjustment_nv_fund",Q$3,$A545))</f>
        <v/>
      </c>
      <c r="R545" s="13" t="str">
        <f>IF($A545="","",[1]!thsiFinD("ths_adjustment_nv_fund",R$3,$A545))</f>
        <v/>
      </c>
      <c r="S545" s="13" t="str">
        <f>IF($A545="","",[1]!thsiFinD("ths_adjustment_nv_fund",S$3,$A545))</f>
        <v/>
      </c>
      <c r="T545" s="13" t="str">
        <f>IF($A545="","",[1]!thsiFinD("ths_adjustment_nv_fund",T$3,$A545))</f>
        <v/>
      </c>
      <c r="U545" s="13" t="str">
        <f>IF($A545="","",[1]!thsiFinD("ths_adjustment_nv_fund",U$3,$A545))</f>
        <v/>
      </c>
      <c r="V545" s="13" t="str">
        <f>IF($A545="","",[1]!thsiFinD("ths_adjustment_nv_fund",V$3,$A545))</f>
        <v/>
      </c>
      <c r="W545" s="13" t="str">
        <f>IF($A545="","",[1]!thsiFinD("ths_adjustment_nv_fund",W$3,$A545))</f>
        <v/>
      </c>
      <c r="X545" s="13" t="str">
        <f>IF($A545="","",[1]!thsiFinD("ths_adjustment_nv_fund",X$3,$A545))</f>
        <v/>
      </c>
      <c r="Y545" s="13" t="str">
        <f>IF($A545="","",[1]!thsiFinD("ths_adjustment_nv_fund",Y$3,$A545))</f>
        <v/>
      </c>
      <c r="Z545" s="13" t="str">
        <f>IF($A545="","",[1]!thsiFinD("ths_adjustment_nv_fund",Z$3,$A545))</f>
        <v/>
      </c>
      <c r="AA545" s="13" t="str">
        <f>IF($A545="","",[1]!thsiFinD("ths_adjustment_nv_fund",AA$3,$A545))</f>
        <v/>
      </c>
      <c r="AB545" s="13" t="str">
        <f>IF($A545="","",[1]!thsiFinD("ths_adjustment_nv_fund",AB$3,$A545))</f>
        <v/>
      </c>
    </row>
    <row r="546" spans="2:28">
      <c r="B546" s="13" t="str">
        <f>IF($A546="","",[1]!thsiFinD("ths_adjustment_nv_fund",B$3,$A546))</f>
        <v/>
      </c>
      <c r="C546" s="13" t="str">
        <f>IF($A546="","",[1]!thsiFinD("ths_adjustment_nv_fund",C$3,$A546))</f>
        <v/>
      </c>
      <c r="D546" s="13" t="str">
        <f>IF($A546="","",[1]!thsiFinD("ths_adjustment_nv_fund",D$3,$A546))</f>
        <v/>
      </c>
      <c r="E546" s="13" t="str">
        <f>IF($A546="","",[1]!thsiFinD("ths_adjustment_nv_fund",E$3,$A546))</f>
        <v/>
      </c>
      <c r="F546" s="13" t="str">
        <f>IF($A546="","",[1]!thsiFinD("ths_adjustment_nv_fund",F$3,$A546))</f>
        <v/>
      </c>
      <c r="G546" s="13" t="str">
        <f>IF($A546="","",[1]!thsiFinD("ths_adjustment_nv_fund",G$3,$A546))</f>
        <v/>
      </c>
      <c r="H546" s="13" t="str">
        <f>IF($A546="","",[1]!thsiFinD("ths_adjustment_nv_fund",H$3,$A546))</f>
        <v/>
      </c>
      <c r="I546" s="13" t="str">
        <f>IF($A546="","",[1]!thsiFinD("ths_adjustment_nv_fund",I$3,$A546))</f>
        <v/>
      </c>
      <c r="J546" s="13" t="str">
        <f>IF($A546="","",[1]!thsiFinD("ths_adjustment_nv_fund",J$3,$A546))</f>
        <v/>
      </c>
      <c r="K546" s="13" t="str">
        <f>IF($A546="","",[1]!thsiFinD("ths_adjustment_nv_fund",K$3,$A546))</f>
        <v/>
      </c>
      <c r="L546" s="13" t="str">
        <f>IF($A546="","",[1]!thsiFinD("ths_adjustment_nv_fund",L$3,$A546))</f>
        <v/>
      </c>
      <c r="M546" s="13" t="str">
        <f>IF($A546="","",[1]!thsiFinD("ths_adjustment_nv_fund",M$3,$A546))</f>
        <v/>
      </c>
      <c r="N546" s="13" t="str">
        <f>IF($A546="","",[1]!thsiFinD("ths_adjustment_nv_fund",N$3,$A546))</f>
        <v/>
      </c>
      <c r="O546" s="13" t="str">
        <f>IF($A546="","",[1]!thsiFinD("ths_adjustment_nv_fund",O$3,$A546))</f>
        <v/>
      </c>
      <c r="P546" s="13" t="str">
        <f>IF($A546="","",[1]!thsiFinD("ths_adjustment_nv_fund",P$3,$A546))</f>
        <v/>
      </c>
      <c r="Q546" s="13" t="str">
        <f>IF($A546="","",[1]!thsiFinD("ths_adjustment_nv_fund",Q$3,$A546))</f>
        <v/>
      </c>
      <c r="R546" s="13" t="str">
        <f>IF($A546="","",[1]!thsiFinD("ths_adjustment_nv_fund",R$3,$A546))</f>
        <v/>
      </c>
      <c r="S546" s="13" t="str">
        <f>IF($A546="","",[1]!thsiFinD("ths_adjustment_nv_fund",S$3,$A546))</f>
        <v/>
      </c>
      <c r="T546" s="13" t="str">
        <f>IF($A546="","",[1]!thsiFinD("ths_adjustment_nv_fund",T$3,$A546))</f>
        <v/>
      </c>
      <c r="U546" s="13" t="str">
        <f>IF($A546="","",[1]!thsiFinD("ths_adjustment_nv_fund",U$3,$A546))</f>
        <v/>
      </c>
      <c r="V546" s="13" t="str">
        <f>IF($A546="","",[1]!thsiFinD("ths_adjustment_nv_fund",V$3,$A546))</f>
        <v/>
      </c>
      <c r="W546" s="13" t="str">
        <f>IF($A546="","",[1]!thsiFinD("ths_adjustment_nv_fund",W$3,$A546))</f>
        <v/>
      </c>
      <c r="X546" s="13" t="str">
        <f>IF($A546="","",[1]!thsiFinD("ths_adjustment_nv_fund",X$3,$A546))</f>
        <v/>
      </c>
      <c r="Y546" s="13" t="str">
        <f>IF($A546="","",[1]!thsiFinD("ths_adjustment_nv_fund",Y$3,$A546))</f>
        <v/>
      </c>
      <c r="Z546" s="13" t="str">
        <f>IF($A546="","",[1]!thsiFinD("ths_adjustment_nv_fund",Z$3,$A546))</f>
        <v/>
      </c>
      <c r="AA546" s="13" t="str">
        <f>IF($A546="","",[1]!thsiFinD("ths_adjustment_nv_fund",AA$3,$A546))</f>
        <v/>
      </c>
      <c r="AB546" s="13" t="str">
        <f>IF($A546="","",[1]!thsiFinD("ths_adjustment_nv_fund",AB$3,$A546))</f>
        <v/>
      </c>
    </row>
    <row r="547" spans="2:28">
      <c r="B547" s="13" t="str">
        <f>IF($A547="","",[1]!thsiFinD("ths_adjustment_nv_fund",B$3,$A547))</f>
        <v/>
      </c>
      <c r="C547" s="13" t="str">
        <f>IF($A547="","",[1]!thsiFinD("ths_adjustment_nv_fund",C$3,$A547))</f>
        <v/>
      </c>
      <c r="D547" s="13" t="str">
        <f>IF($A547="","",[1]!thsiFinD("ths_adjustment_nv_fund",D$3,$A547))</f>
        <v/>
      </c>
      <c r="E547" s="13" t="str">
        <f>IF($A547="","",[1]!thsiFinD("ths_adjustment_nv_fund",E$3,$A547))</f>
        <v/>
      </c>
      <c r="F547" s="13" t="str">
        <f>IF($A547="","",[1]!thsiFinD("ths_adjustment_nv_fund",F$3,$A547))</f>
        <v/>
      </c>
      <c r="G547" s="13" t="str">
        <f>IF($A547="","",[1]!thsiFinD("ths_adjustment_nv_fund",G$3,$A547))</f>
        <v/>
      </c>
      <c r="H547" s="13" t="str">
        <f>IF($A547="","",[1]!thsiFinD("ths_adjustment_nv_fund",H$3,$A547))</f>
        <v/>
      </c>
      <c r="I547" s="13" t="str">
        <f>IF($A547="","",[1]!thsiFinD("ths_adjustment_nv_fund",I$3,$A547))</f>
        <v/>
      </c>
      <c r="J547" s="13" t="str">
        <f>IF($A547="","",[1]!thsiFinD("ths_adjustment_nv_fund",J$3,$A547))</f>
        <v/>
      </c>
      <c r="K547" s="13" t="str">
        <f>IF($A547="","",[1]!thsiFinD("ths_adjustment_nv_fund",K$3,$A547))</f>
        <v/>
      </c>
      <c r="L547" s="13" t="str">
        <f>IF($A547="","",[1]!thsiFinD("ths_adjustment_nv_fund",L$3,$A547))</f>
        <v/>
      </c>
      <c r="M547" s="13" t="str">
        <f>IF($A547="","",[1]!thsiFinD("ths_adjustment_nv_fund",M$3,$A547))</f>
        <v/>
      </c>
      <c r="N547" s="13" t="str">
        <f>IF($A547="","",[1]!thsiFinD("ths_adjustment_nv_fund",N$3,$A547))</f>
        <v/>
      </c>
      <c r="O547" s="13" t="str">
        <f>IF($A547="","",[1]!thsiFinD("ths_adjustment_nv_fund",O$3,$A547))</f>
        <v/>
      </c>
      <c r="P547" s="13" t="str">
        <f>IF($A547="","",[1]!thsiFinD("ths_adjustment_nv_fund",P$3,$A547))</f>
        <v/>
      </c>
      <c r="Q547" s="13" t="str">
        <f>IF($A547="","",[1]!thsiFinD("ths_adjustment_nv_fund",Q$3,$A547))</f>
        <v/>
      </c>
      <c r="R547" s="13" t="str">
        <f>IF($A547="","",[1]!thsiFinD("ths_adjustment_nv_fund",R$3,$A547))</f>
        <v/>
      </c>
      <c r="S547" s="13" t="str">
        <f>IF($A547="","",[1]!thsiFinD("ths_adjustment_nv_fund",S$3,$A547))</f>
        <v/>
      </c>
      <c r="T547" s="13" t="str">
        <f>IF($A547="","",[1]!thsiFinD("ths_adjustment_nv_fund",T$3,$A547))</f>
        <v/>
      </c>
      <c r="U547" s="13" t="str">
        <f>IF($A547="","",[1]!thsiFinD("ths_adjustment_nv_fund",U$3,$A547))</f>
        <v/>
      </c>
      <c r="V547" s="13" t="str">
        <f>IF($A547="","",[1]!thsiFinD("ths_adjustment_nv_fund",V$3,$A547))</f>
        <v/>
      </c>
      <c r="W547" s="13" t="str">
        <f>IF($A547="","",[1]!thsiFinD("ths_adjustment_nv_fund",W$3,$A547))</f>
        <v/>
      </c>
      <c r="X547" s="13" t="str">
        <f>IF($A547="","",[1]!thsiFinD("ths_adjustment_nv_fund",X$3,$A547))</f>
        <v/>
      </c>
      <c r="Y547" s="13" t="str">
        <f>IF($A547="","",[1]!thsiFinD("ths_adjustment_nv_fund",Y$3,$A547))</f>
        <v/>
      </c>
      <c r="Z547" s="13" t="str">
        <f>IF($A547="","",[1]!thsiFinD("ths_adjustment_nv_fund",Z$3,$A547))</f>
        <v/>
      </c>
      <c r="AA547" s="13" t="str">
        <f>IF($A547="","",[1]!thsiFinD("ths_adjustment_nv_fund",AA$3,$A547))</f>
        <v/>
      </c>
      <c r="AB547" s="13" t="str">
        <f>IF($A547="","",[1]!thsiFinD("ths_adjustment_nv_fund",AB$3,$A547))</f>
        <v/>
      </c>
    </row>
    <row r="548" spans="2:28">
      <c r="B548" s="13" t="str">
        <f>IF($A548="","",[1]!thsiFinD("ths_adjustment_nv_fund",B$3,$A548))</f>
        <v/>
      </c>
      <c r="C548" s="13" t="str">
        <f>IF($A548="","",[1]!thsiFinD("ths_adjustment_nv_fund",C$3,$A548))</f>
        <v/>
      </c>
      <c r="D548" s="13" t="str">
        <f>IF($A548="","",[1]!thsiFinD("ths_adjustment_nv_fund",D$3,$A548))</f>
        <v/>
      </c>
      <c r="E548" s="13" t="str">
        <f>IF($A548="","",[1]!thsiFinD("ths_adjustment_nv_fund",E$3,$A548))</f>
        <v/>
      </c>
      <c r="F548" s="13" t="str">
        <f>IF($A548="","",[1]!thsiFinD("ths_adjustment_nv_fund",F$3,$A548))</f>
        <v/>
      </c>
      <c r="G548" s="13" t="str">
        <f>IF($A548="","",[1]!thsiFinD("ths_adjustment_nv_fund",G$3,$A548))</f>
        <v/>
      </c>
      <c r="H548" s="13" t="str">
        <f>IF($A548="","",[1]!thsiFinD("ths_adjustment_nv_fund",H$3,$A548))</f>
        <v/>
      </c>
      <c r="I548" s="13" t="str">
        <f>IF($A548="","",[1]!thsiFinD("ths_adjustment_nv_fund",I$3,$A548))</f>
        <v/>
      </c>
      <c r="J548" s="13" t="str">
        <f>IF($A548="","",[1]!thsiFinD("ths_adjustment_nv_fund",J$3,$A548))</f>
        <v/>
      </c>
      <c r="K548" s="13" t="str">
        <f>IF($A548="","",[1]!thsiFinD("ths_adjustment_nv_fund",K$3,$A548))</f>
        <v/>
      </c>
      <c r="L548" s="13" t="str">
        <f>IF($A548="","",[1]!thsiFinD("ths_adjustment_nv_fund",L$3,$A548))</f>
        <v/>
      </c>
      <c r="M548" s="13" t="str">
        <f>IF($A548="","",[1]!thsiFinD("ths_adjustment_nv_fund",M$3,$A548))</f>
        <v/>
      </c>
      <c r="N548" s="13" t="str">
        <f>IF($A548="","",[1]!thsiFinD("ths_adjustment_nv_fund",N$3,$A548))</f>
        <v/>
      </c>
      <c r="O548" s="13" t="str">
        <f>IF($A548="","",[1]!thsiFinD("ths_adjustment_nv_fund",O$3,$A548))</f>
        <v/>
      </c>
      <c r="P548" s="13" t="str">
        <f>IF($A548="","",[1]!thsiFinD("ths_adjustment_nv_fund",P$3,$A548))</f>
        <v/>
      </c>
      <c r="Q548" s="13" t="str">
        <f>IF($A548="","",[1]!thsiFinD("ths_adjustment_nv_fund",Q$3,$A548))</f>
        <v/>
      </c>
      <c r="R548" s="13" t="str">
        <f>IF($A548="","",[1]!thsiFinD("ths_adjustment_nv_fund",R$3,$A548))</f>
        <v/>
      </c>
      <c r="S548" s="13" t="str">
        <f>IF($A548="","",[1]!thsiFinD("ths_adjustment_nv_fund",S$3,$A548))</f>
        <v/>
      </c>
      <c r="T548" s="13" t="str">
        <f>IF($A548="","",[1]!thsiFinD("ths_adjustment_nv_fund",T$3,$A548))</f>
        <v/>
      </c>
      <c r="U548" s="13" t="str">
        <f>IF($A548="","",[1]!thsiFinD("ths_adjustment_nv_fund",U$3,$A548))</f>
        <v/>
      </c>
      <c r="V548" s="13" t="str">
        <f>IF($A548="","",[1]!thsiFinD("ths_adjustment_nv_fund",V$3,$A548))</f>
        <v/>
      </c>
      <c r="W548" s="13" t="str">
        <f>IF($A548="","",[1]!thsiFinD("ths_adjustment_nv_fund",W$3,$A548))</f>
        <v/>
      </c>
      <c r="X548" s="13" t="str">
        <f>IF($A548="","",[1]!thsiFinD("ths_adjustment_nv_fund",X$3,$A548))</f>
        <v/>
      </c>
      <c r="Y548" s="13" t="str">
        <f>IF($A548="","",[1]!thsiFinD("ths_adjustment_nv_fund",Y$3,$A548))</f>
        <v/>
      </c>
      <c r="Z548" s="13" t="str">
        <f>IF($A548="","",[1]!thsiFinD("ths_adjustment_nv_fund",Z$3,$A548))</f>
        <v/>
      </c>
      <c r="AA548" s="13" t="str">
        <f>IF($A548="","",[1]!thsiFinD("ths_adjustment_nv_fund",AA$3,$A548))</f>
        <v/>
      </c>
      <c r="AB548" s="13" t="str">
        <f>IF($A548="","",[1]!thsiFinD("ths_adjustment_nv_fund",AB$3,$A548))</f>
        <v/>
      </c>
    </row>
    <row r="549" spans="2:28">
      <c r="B549" s="13" t="str">
        <f>IF($A549="","",[1]!thsiFinD("ths_adjustment_nv_fund",B$3,$A549))</f>
        <v/>
      </c>
      <c r="C549" s="13" t="str">
        <f>IF($A549="","",[1]!thsiFinD("ths_adjustment_nv_fund",C$3,$A549))</f>
        <v/>
      </c>
      <c r="D549" s="13" t="str">
        <f>IF($A549="","",[1]!thsiFinD("ths_adjustment_nv_fund",D$3,$A549))</f>
        <v/>
      </c>
      <c r="E549" s="13" t="str">
        <f>IF($A549="","",[1]!thsiFinD("ths_adjustment_nv_fund",E$3,$A549))</f>
        <v/>
      </c>
      <c r="F549" s="13" t="str">
        <f>IF($A549="","",[1]!thsiFinD("ths_adjustment_nv_fund",F$3,$A549))</f>
        <v/>
      </c>
      <c r="G549" s="13" t="str">
        <f>IF($A549="","",[1]!thsiFinD("ths_adjustment_nv_fund",G$3,$A549))</f>
        <v/>
      </c>
      <c r="H549" s="13" t="str">
        <f>IF($A549="","",[1]!thsiFinD("ths_adjustment_nv_fund",H$3,$A549))</f>
        <v/>
      </c>
      <c r="I549" s="13" t="str">
        <f>IF($A549="","",[1]!thsiFinD("ths_adjustment_nv_fund",I$3,$A549))</f>
        <v/>
      </c>
      <c r="J549" s="13" t="str">
        <f>IF($A549="","",[1]!thsiFinD("ths_adjustment_nv_fund",J$3,$A549))</f>
        <v/>
      </c>
      <c r="K549" s="13" t="str">
        <f>IF($A549="","",[1]!thsiFinD("ths_adjustment_nv_fund",K$3,$A549))</f>
        <v/>
      </c>
      <c r="L549" s="13" t="str">
        <f>IF($A549="","",[1]!thsiFinD("ths_adjustment_nv_fund",L$3,$A549))</f>
        <v/>
      </c>
      <c r="M549" s="13" t="str">
        <f>IF($A549="","",[1]!thsiFinD("ths_adjustment_nv_fund",M$3,$A549))</f>
        <v/>
      </c>
      <c r="N549" s="13" t="str">
        <f>IF($A549="","",[1]!thsiFinD("ths_adjustment_nv_fund",N$3,$A549))</f>
        <v/>
      </c>
      <c r="O549" s="13" t="str">
        <f>IF($A549="","",[1]!thsiFinD("ths_adjustment_nv_fund",O$3,$A549))</f>
        <v/>
      </c>
      <c r="P549" s="13" t="str">
        <f>IF($A549="","",[1]!thsiFinD("ths_adjustment_nv_fund",P$3,$A549))</f>
        <v/>
      </c>
      <c r="Q549" s="13" t="str">
        <f>IF($A549="","",[1]!thsiFinD("ths_adjustment_nv_fund",Q$3,$A549))</f>
        <v/>
      </c>
      <c r="R549" s="13" t="str">
        <f>IF($A549="","",[1]!thsiFinD("ths_adjustment_nv_fund",R$3,$A549))</f>
        <v/>
      </c>
      <c r="S549" s="13" t="str">
        <f>IF($A549="","",[1]!thsiFinD("ths_adjustment_nv_fund",S$3,$A549))</f>
        <v/>
      </c>
      <c r="T549" s="13" t="str">
        <f>IF($A549="","",[1]!thsiFinD("ths_adjustment_nv_fund",T$3,$A549))</f>
        <v/>
      </c>
      <c r="U549" s="13" t="str">
        <f>IF($A549="","",[1]!thsiFinD("ths_adjustment_nv_fund",U$3,$A549))</f>
        <v/>
      </c>
      <c r="V549" s="13" t="str">
        <f>IF($A549="","",[1]!thsiFinD("ths_adjustment_nv_fund",V$3,$A549))</f>
        <v/>
      </c>
      <c r="W549" s="13" t="str">
        <f>IF($A549="","",[1]!thsiFinD("ths_adjustment_nv_fund",W$3,$A549))</f>
        <v/>
      </c>
      <c r="X549" s="13" t="str">
        <f>IF($A549="","",[1]!thsiFinD("ths_adjustment_nv_fund",X$3,$A549))</f>
        <v/>
      </c>
      <c r="Y549" s="13" t="str">
        <f>IF($A549="","",[1]!thsiFinD("ths_adjustment_nv_fund",Y$3,$A549))</f>
        <v/>
      </c>
      <c r="Z549" s="13" t="str">
        <f>IF($A549="","",[1]!thsiFinD("ths_adjustment_nv_fund",Z$3,$A549))</f>
        <v/>
      </c>
      <c r="AA549" s="13" t="str">
        <f>IF($A549="","",[1]!thsiFinD("ths_adjustment_nv_fund",AA$3,$A549))</f>
        <v/>
      </c>
      <c r="AB549" s="13" t="str">
        <f>IF($A549="","",[1]!thsiFinD("ths_adjustment_nv_fund",AB$3,$A549))</f>
        <v/>
      </c>
    </row>
    <row r="550" spans="2:28">
      <c r="B550" s="13" t="str">
        <f>IF($A550="","",[1]!thsiFinD("ths_adjustment_nv_fund",B$3,$A550))</f>
        <v/>
      </c>
      <c r="C550" s="13" t="str">
        <f>IF($A550="","",[1]!thsiFinD("ths_adjustment_nv_fund",C$3,$A550))</f>
        <v/>
      </c>
      <c r="D550" s="13" t="str">
        <f>IF($A550="","",[1]!thsiFinD("ths_adjustment_nv_fund",D$3,$A550))</f>
        <v/>
      </c>
      <c r="E550" s="13" t="str">
        <f>IF($A550="","",[1]!thsiFinD("ths_adjustment_nv_fund",E$3,$A550))</f>
        <v/>
      </c>
      <c r="F550" s="13" t="str">
        <f>IF($A550="","",[1]!thsiFinD("ths_adjustment_nv_fund",F$3,$A550))</f>
        <v/>
      </c>
      <c r="G550" s="13" t="str">
        <f>IF($A550="","",[1]!thsiFinD("ths_adjustment_nv_fund",G$3,$A550))</f>
        <v/>
      </c>
      <c r="H550" s="13" t="str">
        <f>IF($A550="","",[1]!thsiFinD("ths_adjustment_nv_fund",H$3,$A550))</f>
        <v/>
      </c>
      <c r="I550" s="13" t="str">
        <f>IF($A550="","",[1]!thsiFinD("ths_adjustment_nv_fund",I$3,$A550))</f>
        <v/>
      </c>
      <c r="J550" s="13" t="str">
        <f>IF($A550="","",[1]!thsiFinD("ths_adjustment_nv_fund",J$3,$A550))</f>
        <v/>
      </c>
      <c r="K550" s="13" t="str">
        <f>IF($A550="","",[1]!thsiFinD("ths_adjustment_nv_fund",K$3,$A550))</f>
        <v/>
      </c>
      <c r="L550" s="13" t="str">
        <f>IF($A550="","",[1]!thsiFinD("ths_adjustment_nv_fund",L$3,$A550))</f>
        <v/>
      </c>
      <c r="M550" s="13" t="str">
        <f>IF($A550="","",[1]!thsiFinD("ths_adjustment_nv_fund",M$3,$A550))</f>
        <v/>
      </c>
      <c r="N550" s="13" t="str">
        <f>IF($A550="","",[1]!thsiFinD("ths_adjustment_nv_fund",N$3,$A550))</f>
        <v/>
      </c>
      <c r="O550" s="13" t="str">
        <f>IF($A550="","",[1]!thsiFinD("ths_adjustment_nv_fund",O$3,$A550))</f>
        <v/>
      </c>
      <c r="P550" s="13" t="str">
        <f>IF($A550="","",[1]!thsiFinD("ths_adjustment_nv_fund",P$3,$A550))</f>
        <v/>
      </c>
      <c r="Q550" s="13" t="str">
        <f>IF($A550="","",[1]!thsiFinD("ths_adjustment_nv_fund",Q$3,$A550))</f>
        <v/>
      </c>
      <c r="R550" s="13" t="str">
        <f>IF($A550="","",[1]!thsiFinD("ths_adjustment_nv_fund",R$3,$A550))</f>
        <v/>
      </c>
      <c r="S550" s="13" t="str">
        <f>IF($A550="","",[1]!thsiFinD("ths_adjustment_nv_fund",S$3,$A550))</f>
        <v/>
      </c>
      <c r="T550" s="13" t="str">
        <f>IF($A550="","",[1]!thsiFinD("ths_adjustment_nv_fund",T$3,$A550))</f>
        <v/>
      </c>
      <c r="U550" s="13" t="str">
        <f>IF($A550="","",[1]!thsiFinD("ths_adjustment_nv_fund",U$3,$A550))</f>
        <v/>
      </c>
      <c r="V550" s="13" t="str">
        <f>IF($A550="","",[1]!thsiFinD("ths_adjustment_nv_fund",V$3,$A550))</f>
        <v/>
      </c>
      <c r="W550" s="13" t="str">
        <f>IF($A550="","",[1]!thsiFinD("ths_adjustment_nv_fund",W$3,$A550))</f>
        <v/>
      </c>
      <c r="X550" s="13" t="str">
        <f>IF($A550="","",[1]!thsiFinD("ths_adjustment_nv_fund",X$3,$A550))</f>
        <v/>
      </c>
      <c r="Y550" s="13" t="str">
        <f>IF($A550="","",[1]!thsiFinD("ths_adjustment_nv_fund",Y$3,$A550))</f>
        <v/>
      </c>
      <c r="Z550" s="13" t="str">
        <f>IF($A550="","",[1]!thsiFinD("ths_adjustment_nv_fund",Z$3,$A550))</f>
        <v/>
      </c>
      <c r="AA550" s="13" t="str">
        <f>IF($A550="","",[1]!thsiFinD("ths_adjustment_nv_fund",AA$3,$A550))</f>
        <v/>
      </c>
      <c r="AB550" s="13" t="str">
        <f>IF($A550="","",[1]!thsiFinD("ths_adjustment_nv_fund",AB$3,$A550))</f>
        <v/>
      </c>
    </row>
    <row r="551" spans="2:28">
      <c r="B551" s="13" t="str">
        <f>IF($A551="","",[1]!thsiFinD("ths_adjustment_nv_fund",B$3,$A551))</f>
        <v/>
      </c>
      <c r="C551" s="13" t="str">
        <f>IF($A551="","",[1]!thsiFinD("ths_adjustment_nv_fund",C$3,$A551))</f>
        <v/>
      </c>
      <c r="D551" s="13" t="str">
        <f>IF($A551="","",[1]!thsiFinD("ths_adjustment_nv_fund",D$3,$A551))</f>
        <v/>
      </c>
      <c r="E551" s="13" t="str">
        <f>IF($A551="","",[1]!thsiFinD("ths_adjustment_nv_fund",E$3,$A551))</f>
        <v/>
      </c>
      <c r="F551" s="13" t="str">
        <f>IF($A551="","",[1]!thsiFinD("ths_adjustment_nv_fund",F$3,$A551))</f>
        <v/>
      </c>
      <c r="G551" s="13" t="str">
        <f>IF($A551="","",[1]!thsiFinD("ths_adjustment_nv_fund",G$3,$A551))</f>
        <v/>
      </c>
      <c r="H551" s="13" t="str">
        <f>IF($A551="","",[1]!thsiFinD("ths_adjustment_nv_fund",H$3,$A551))</f>
        <v/>
      </c>
      <c r="I551" s="13" t="str">
        <f>IF($A551="","",[1]!thsiFinD("ths_adjustment_nv_fund",I$3,$A551))</f>
        <v/>
      </c>
      <c r="J551" s="13" t="str">
        <f>IF($A551="","",[1]!thsiFinD("ths_adjustment_nv_fund",J$3,$A551))</f>
        <v/>
      </c>
      <c r="K551" s="13" t="str">
        <f>IF($A551="","",[1]!thsiFinD("ths_adjustment_nv_fund",K$3,$A551))</f>
        <v/>
      </c>
      <c r="L551" s="13" t="str">
        <f>IF($A551="","",[1]!thsiFinD("ths_adjustment_nv_fund",L$3,$A551))</f>
        <v/>
      </c>
      <c r="M551" s="13" t="str">
        <f>IF($A551="","",[1]!thsiFinD("ths_adjustment_nv_fund",M$3,$A551))</f>
        <v/>
      </c>
      <c r="N551" s="13" t="str">
        <f>IF($A551="","",[1]!thsiFinD("ths_adjustment_nv_fund",N$3,$A551))</f>
        <v/>
      </c>
      <c r="O551" s="13" t="str">
        <f>IF($A551="","",[1]!thsiFinD("ths_adjustment_nv_fund",O$3,$A551))</f>
        <v/>
      </c>
      <c r="P551" s="13" t="str">
        <f>IF($A551="","",[1]!thsiFinD("ths_adjustment_nv_fund",P$3,$A551))</f>
        <v/>
      </c>
      <c r="Q551" s="13" t="str">
        <f>IF($A551="","",[1]!thsiFinD("ths_adjustment_nv_fund",Q$3,$A551))</f>
        <v/>
      </c>
      <c r="R551" s="13" t="str">
        <f>IF($A551="","",[1]!thsiFinD("ths_adjustment_nv_fund",R$3,$A551))</f>
        <v/>
      </c>
      <c r="S551" s="13" t="str">
        <f>IF($A551="","",[1]!thsiFinD("ths_adjustment_nv_fund",S$3,$A551))</f>
        <v/>
      </c>
      <c r="T551" s="13" t="str">
        <f>IF($A551="","",[1]!thsiFinD("ths_adjustment_nv_fund",T$3,$A551))</f>
        <v/>
      </c>
      <c r="U551" s="13" t="str">
        <f>IF($A551="","",[1]!thsiFinD("ths_adjustment_nv_fund",U$3,$A551))</f>
        <v/>
      </c>
      <c r="V551" s="13" t="str">
        <f>IF($A551="","",[1]!thsiFinD("ths_adjustment_nv_fund",V$3,$A551))</f>
        <v/>
      </c>
      <c r="W551" s="13" t="str">
        <f>IF($A551="","",[1]!thsiFinD("ths_adjustment_nv_fund",W$3,$A551))</f>
        <v/>
      </c>
      <c r="X551" s="13" t="str">
        <f>IF($A551="","",[1]!thsiFinD("ths_adjustment_nv_fund",X$3,$A551))</f>
        <v/>
      </c>
      <c r="Y551" s="13" t="str">
        <f>IF($A551="","",[1]!thsiFinD("ths_adjustment_nv_fund",Y$3,$A551))</f>
        <v/>
      </c>
      <c r="Z551" s="13" t="str">
        <f>IF($A551="","",[1]!thsiFinD("ths_adjustment_nv_fund",Z$3,$A551))</f>
        <v/>
      </c>
      <c r="AA551" s="13" t="str">
        <f>IF($A551="","",[1]!thsiFinD("ths_adjustment_nv_fund",AA$3,$A551))</f>
        <v/>
      </c>
      <c r="AB551" s="13" t="str">
        <f>IF($A551="","",[1]!thsiFinD("ths_adjustment_nv_fund",AB$3,$A551))</f>
        <v/>
      </c>
    </row>
    <row r="552" spans="2:28">
      <c r="B552" s="13" t="str">
        <f>IF($A552="","",[1]!thsiFinD("ths_adjustment_nv_fund",B$3,$A552))</f>
        <v/>
      </c>
      <c r="C552" s="13" t="str">
        <f>IF($A552="","",[1]!thsiFinD("ths_adjustment_nv_fund",C$3,$A552))</f>
        <v/>
      </c>
      <c r="D552" s="13" t="str">
        <f>IF($A552="","",[1]!thsiFinD("ths_adjustment_nv_fund",D$3,$A552))</f>
        <v/>
      </c>
      <c r="E552" s="13" t="str">
        <f>IF($A552="","",[1]!thsiFinD("ths_adjustment_nv_fund",E$3,$A552))</f>
        <v/>
      </c>
      <c r="F552" s="13" t="str">
        <f>IF($A552="","",[1]!thsiFinD("ths_adjustment_nv_fund",F$3,$A552))</f>
        <v/>
      </c>
      <c r="G552" s="13" t="str">
        <f>IF($A552="","",[1]!thsiFinD("ths_adjustment_nv_fund",G$3,$A552))</f>
        <v/>
      </c>
      <c r="H552" s="13" t="str">
        <f>IF($A552="","",[1]!thsiFinD("ths_adjustment_nv_fund",H$3,$A552))</f>
        <v/>
      </c>
      <c r="I552" s="13" t="str">
        <f>IF($A552="","",[1]!thsiFinD("ths_adjustment_nv_fund",I$3,$A552))</f>
        <v/>
      </c>
      <c r="J552" s="13" t="str">
        <f>IF($A552="","",[1]!thsiFinD("ths_adjustment_nv_fund",J$3,$A552))</f>
        <v/>
      </c>
      <c r="K552" s="13" t="str">
        <f>IF($A552="","",[1]!thsiFinD("ths_adjustment_nv_fund",K$3,$A552))</f>
        <v/>
      </c>
      <c r="L552" s="13" t="str">
        <f>IF($A552="","",[1]!thsiFinD("ths_adjustment_nv_fund",L$3,$A552))</f>
        <v/>
      </c>
      <c r="M552" s="13" t="str">
        <f>IF($A552="","",[1]!thsiFinD("ths_adjustment_nv_fund",M$3,$A552))</f>
        <v/>
      </c>
      <c r="N552" s="13" t="str">
        <f>IF($A552="","",[1]!thsiFinD("ths_adjustment_nv_fund",N$3,$A552))</f>
        <v/>
      </c>
      <c r="O552" s="13" t="str">
        <f>IF($A552="","",[1]!thsiFinD("ths_adjustment_nv_fund",O$3,$A552))</f>
        <v/>
      </c>
      <c r="P552" s="13" t="str">
        <f>IF($A552="","",[1]!thsiFinD("ths_adjustment_nv_fund",P$3,$A552))</f>
        <v/>
      </c>
      <c r="Q552" s="13" t="str">
        <f>IF($A552="","",[1]!thsiFinD("ths_adjustment_nv_fund",Q$3,$A552))</f>
        <v/>
      </c>
      <c r="R552" s="13" t="str">
        <f>IF($A552="","",[1]!thsiFinD("ths_adjustment_nv_fund",R$3,$A552))</f>
        <v/>
      </c>
      <c r="S552" s="13" t="str">
        <f>IF($A552="","",[1]!thsiFinD("ths_adjustment_nv_fund",S$3,$A552))</f>
        <v/>
      </c>
      <c r="T552" s="13" t="str">
        <f>IF($A552="","",[1]!thsiFinD("ths_adjustment_nv_fund",T$3,$A552))</f>
        <v/>
      </c>
      <c r="U552" s="13" t="str">
        <f>IF($A552="","",[1]!thsiFinD("ths_adjustment_nv_fund",U$3,$A552))</f>
        <v/>
      </c>
      <c r="V552" s="13" t="str">
        <f>IF($A552="","",[1]!thsiFinD("ths_adjustment_nv_fund",V$3,$A552))</f>
        <v/>
      </c>
      <c r="W552" s="13" t="str">
        <f>IF($A552="","",[1]!thsiFinD("ths_adjustment_nv_fund",W$3,$A552))</f>
        <v/>
      </c>
      <c r="X552" s="13" t="str">
        <f>IF($A552="","",[1]!thsiFinD("ths_adjustment_nv_fund",X$3,$A552))</f>
        <v/>
      </c>
      <c r="Y552" s="13" t="str">
        <f>IF($A552="","",[1]!thsiFinD("ths_adjustment_nv_fund",Y$3,$A552))</f>
        <v/>
      </c>
      <c r="Z552" s="13" t="str">
        <f>IF($A552="","",[1]!thsiFinD("ths_adjustment_nv_fund",Z$3,$A552))</f>
        <v/>
      </c>
      <c r="AA552" s="13" t="str">
        <f>IF($A552="","",[1]!thsiFinD("ths_adjustment_nv_fund",AA$3,$A552))</f>
        <v/>
      </c>
      <c r="AB552" s="13" t="str">
        <f>IF($A552="","",[1]!thsiFinD("ths_adjustment_nv_fund",AB$3,$A552))</f>
        <v/>
      </c>
    </row>
    <row r="553" spans="2:28">
      <c r="B553" s="13" t="str">
        <f>IF($A553="","",[1]!thsiFinD("ths_adjustment_nv_fund",B$3,$A553))</f>
        <v/>
      </c>
      <c r="C553" s="13" t="str">
        <f>IF($A553="","",[1]!thsiFinD("ths_adjustment_nv_fund",C$3,$A553))</f>
        <v/>
      </c>
      <c r="D553" s="13" t="str">
        <f>IF($A553="","",[1]!thsiFinD("ths_adjustment_nv_fund",D$3,$A553))</f>
        <v/>
      </c>
      <c r="E553" s="13" t="str">
        <f>IF($A553="","",[1]!thsiFinD("ths_adjustment_nv_fund",E$3,$A553))</f>
        <v/>
      </c>
      <c r="F553" s="13" t="str">
        <f>IF($A553="","",[1]!thsiFinD("ths_adjustment_nv_fund",F$3,$A553))</f>
        <v/>
      </c>
      <c r="G553" s="13" t="str">
        <f>IF($A553="","",[1]!thsiFinD("ths_adjustment_nv_fund",G$3,$A553))</f>
        <v/>
      </c>
      <c r="H553" s="13" t="str">
        <f>IF($A553="","",[1]!thsiFinD("ths_adjustment_nv_fund",H$3,$A553))</f>
        <v/>
      </c>
      <c r="I553" s="13" t="str">
        <f>IF($A553="","",[1]!thsiFinD("ths_adjustment_nv_fund",I$3,$A553))</f>
        <v/>
      </c>
      <c r="J553" s="13" t="str">
        <f>IF($A553="","",[1]!thsiFinD("ths_adjustment_nv_fund",J$3,$A553))</f>
        <v/>
      </c>
      <c r="K553" s="13" t="str">
        <f>IF($A553="","",[1]!thsiFinD("ths_adjustment_nv_fund",K$3,$A553))</f>
        <v/>
      </c>
      <c r="L553" s="13" t="str">
        <f>IF($A553="","",[1]!thsiFinD("ths_adjustment_nv_fund",L$3,$A553))</f>
        <v/>
      </c>
      <c r="M553" s="13" t="str">
        <f>IF($A553="","",[1]!thsiFinD("ths_adjustment_nv_fund",M$3,$A553))</f>
        <v/>
      </c>
      <c r="N553" s="13" t="str">
        <f>IF($A553="","",[1]!thsiFinD("ths_adjustment_nv_fund",N$3,$A553))</f>
        <v/>
      </c>
      <c r="O553" s="13" t="str">
        <f>IF($A553="","",[1]!thsiFinD("ths_adjustment_nv_fund",O$3,$A553))</f>
        <v/>
      </c>
      <c r="P553" s="13" t="str">
        <f>IF($A553="","",[1]!thsiFinD("ths_adjustment_nv_fund",P$3,$A553))</f>
        <v/>
      </c>
      <c r="Q553" s="13" t="str">
        <f>IF($A553="","",[1]!thsiFinD("ths_adjustment_nv_fund",Q$3,$A553))</f>
        <v/>
      </c>
      <c r="R553" s="13" t="str">
        <f>IF($A553="","",[1]!thsiFinD("ths_adjustment_nv_fund",R$3,$A553))</f>
        <v/>
      </c>
      <c r="S553" s="13" t="str">
        <f>IF($A553="","",[1]!thsiFinD("ths_adjustment_nv_fund",S$3,$A553))</f>
        <v/>
      </c>
      <c r="T553" s="13" t="str">
        <f>IF($A553="","",[1]!thsiFinD("ths_adjustment_nv_fund",T$3,$A553))</f>
        <v/>
      </c>
      <c r="U553" s="13" t="str">
        <f>IF($A553="","",[1]!thsiFinD("ths_adjustment_nv_fund",U$3,$A553))</f>
        <v/>
      </c>
      <c r="V553" s="13" t="str">
        <f>IF($A553="","",[1]!thsiFinD("ths_adjustment_nv_fund",V$3,$A553))</f>
        <v/>
      </c>
      <c r="W553" s="13" t="str">
        <f>IF($A553="","",[1]!thsiFinD("ths_adjustment_nv_fund",W$3,$A553))</f>
        <v/>
      </c>
      <c r="X553" s="13" t="str">
        <f>IF($A553="","",[1]!thsiFinD("ths_adjustment_nv_fund",X$3,$A553))</f>
        <v/>
      </c>
      <c r="Y553" s="13" t="str">
        <f>IF($A553="","",[1]!thsiFinD("ths_adjustment_nv_fund",Y$3,$A553))</f>
        <v/>
      </c>
      <c r="Z553" s="13" t="str">
        <f>IF($A553="","",[1]!thsiFinD("ths_adjustment_nv_fund",Z$3,$A553))</f>
        <v/>
      </c>
      <c r="AA553" s="13" t="str">
        <f>IF($A553="","",[1]!thsiFinD("ths_adjustment_nv_fund",AA$3,$A553))</f>
        <v/>
      </c>
      <c r="AB553" s="13" t="str">
        <f>IF($A553="","",[1]!thsiFinD("ths_adjustment_nv_fund",AB$3,$A553))</f>
        <v/>
      </c>
    </row>
    <row r="554" spans="2:28">
      <c r="B554" s="13" t="str">
        <f>IF($A554="","",[1]!thsiFinD("ths_adjustment_nv_fund",B$3,$A554))</f>
        <v/>
      </c>
      <c r="C554" s="13" t="str">
        <f>IF($A554="","",[1]!thsiFinD("ths_adjustment_nv_fund",C$3,$A554))</f>
        <v/>
      </c>
      <c r="D554" s="13" t="str">
        <f>IF($A554="","",[1]!thsiFinD("ths_adjustment_nv_fund",D$3,$A554))</f>
        <v/>
      </c>
      <c r="E554" s="13" t="str">
        <f>IF($A554="","",[1]!thsiFinD("ths_adjustment_nv_fund",E$3,$A554))</f>
        <v/>
      </c>
      <c r="F554" s="13" t="str">
        <f>IF($A554="","",[1]!thsiFinD("ths_adjustment_nv_fund",F$3,$A554))</f>
        <v/>
      </c>
      <c r="G554" s="13" t="str">
        <f>IF($A554="","",[1]!thsiFinD("ths_adjustment_nv_fund",G$3,$A554))</f>
        <v/>
      </c>
      <c r="H554" s="13" t="str">
        <f>IF($A554="","",[1]!thsiFinD("ths_adjustment_nv_fund",H$3,$A554))</f>
        <v/>
      </c>
      <c r="I554" s="13" t="str">
        <f>IF($A554="","",[1]!thsiFinD("ths_adjustment_nv_fund",I$3,$A554))</f>
        <v/>
      </c>
      <c r="J554" s="13" t="str">
        <f>IF($A554="","",[1]!thsiFinD("ths_adjustment_nv_fund",J$3,$A554))</f>
        <v/>
      </c>
      <c r="K554" s="13" t="str">
        <f>IF($A554="","",[1]!thsiFinD("ths_adjustment_nv_fund",K$3,$A554))</f>
        <v/>
      </c>
      <c r="L554" s="13" t="str">
        <f>IF($A554="","",[1]!thsiFinD("ths_adjustment_nv_fund",L$3,$A554))</f>
        <v/>
      </c>
      <c r="M554" s="13" t="str">
        <f>IF($A554="","",[1]!thsiFinD("ths_adjustment_nv_fund",M$3,$A554))</f>
        <v/>
      </c>
      <c r="N554" s="13" t="str">
        <f>IF($A554="","",[1]!thsiFinD("ths_adjustment_nv_fund",N$3,$A554))</f>
        <v/>
      </c>
      <c r="O554" s="13" t="str">
        <f>IF($A554="","",[1]!thsiFinD("ths_adjustment_nv_fund",O$3,$A554))</f>
        <v/>
      </c>
      <c r="P554" s="13" t="str">
        <f>IF($A554="","",[1]!thsiFinD("ths_adjustment_nv_fund",P$3,$A554))</f>
        <v/>
      </c>
      <c r="Q554" s="13" t="str">
        <f>IF($A554="","",[1]!thsiFinD("ths_adjustment_nv_fund",Q$3,$A554))</f>
        <v/>
      </c>
      <c r="R554" s="13" t="str">
        <f>IF($A554="","",[1]!thsiFinD("ths_adjustment_nv_fund",R$3,$A554))</f>
        <v/>
      </c>
      <c r="S554" s="13" t="str">
        <f>IF($A554="","",[1]!thsiFinD("ths_adjustment_nv_fund",S$3,$A554))</f>
        <v/>
      </c>
      <c r="T554" s="13" t="str">
        <f>IF($A554="","",[1]!thsiFinD("ths_adjustment_nv_fund",T$3,$A554))</f>
        <v/>
      </c>
      <c r="U554" s="13" t="str">
        <f>IF($A554="","",[1]!thsiFinD("ths_adjustment_nv_fund",U$3,$A554))</f>
        <v/>
      </c>
      <c r="V554" s="13" t="str">
        <f>IF($A554="","",[1]!thsiFinD("ths_adjustment_nv_fund",V$3,$A554))</f>
        <v/>
      </c>
      <c r="W554" s="13" t="str">
        <f>IF($A554="","",[1]!thsiFinD("ths_adjustment_nv_fund",W$3,$A554))</f>
        <v/>
      </c>
      <c r="X554" s="13" t="str">
        <f>IF($A554="","",[1]!thsiFinD("ths_adjustment_nv_fund",X$3,$A554))</f>
        <v/>
      </c>
      <c r="Y554" s="13" t="str">
        <f>IF($A554="","",[1]!thsiFinD("ths_adjustment_nv_fund",Y$3,$A554))</f>
        <v/>
      </c>
      <c r="Z554" s="13" t="str">
        <f>IF($A554="","",[1]!thsiFinD("ths_adjustment_nv_fund",Z$3,$A554))</f>
        <v/>
      </c>
      <c r="AA554" s="13" t="str">
        <f>IF($A554="","",[1]!thsiFinD("ths_adjustment_nv_fund",AA$3,$A554))</f>
        <v/>
      </c>
      <c r="AB554" s="13" t="str">
        <f>IF($A554="","",[1]!thsiFinD("ths_adjustment_nv_fund",AB$3,$A554))</f>
        <v/>
      </c>
    </row>
    <row r="555" spans="2:28">
      <c r="B555" s="13" t="str">
        <f>IF($A555="","",[1]!thsiFinD("ths_adjustment_nv_fund",B$3,$A555))</f>
        <v/>
      </c>
      <c r="C555" s="13" t="str">
        <f>IF($A555="","",[1]!thsiFinD("ths_adjustment_nv_fund",C$3,$A555))</f>
        <v/>
      </c>
      <c r="D555" s="13" t="str">
        <f>IF($A555="","",[1]!thsiFinD("ths_adjustment_nv_fund",D$3,$A555))</f>
        <v/>
      </c>
      <c r="E555" s="13" t="str">
        <f>IF($A555="","",[1]!thsiFinD("ths_adjustment_nv_fund",E$3,$A555))</f>
        <v/>
      </c>
      <c r="F555" s="13" t="str">
        <f>IF($A555="","",[1]!thsiFinD("ths_adjustment_nv_fund",F$3,$A555))</f>
        <v/>
      </c>
      <c r="G555" s="13" t="str">
        <f>IF($A555="","",[1]!thsiFinD("ths_adjustment_nv_fund",G$3,$A555))</f>
        <v/>
      </c>
      <c r="H555" s="13" t="str">
        <f>IF($A555="","",[1]!thsiFinD("ths_adjustment_nv_fund",H$3,$A555))</f>
        <v/>
      </c>
      <c r="I555" s="13" t="str">
        <f>IF($A555="","",[1]!thsiFinD("ths_adjustment_nv_fund",I$3,$A555))</f>
        <v/>
      </c>
      <c r="J555" s="13" t="str">
        <f>IF($A555="","",[1]!thsiFinD("ths_adjustment_nv_fund",J$3,$A555))</f>
        <v/>
      </c>
      <c r="K555" s="13" t="str">
        <f>IF($A555="","",[1]!thsiFinD("ths_adjustment_nv_fund",K$3,$A555))</f>
        <v/>
      </c>
      <c r="L555" s="13" t="str">
        <f>IF($A555="","",[1]!thsiFinD("ths_adjustment_nv_fund",L$3,$A555))</f>
        <v/>
      </c>
      <c r="M555" s="13" t="str">
        <f>IF($A555="","",[1]!thsiFinD("ths_adjustment_nv_fund",M$3,$A555))</f>
        <v/>
      </c>
      <c r="N555" s="13" t="str">
        <f>IF($A555="","",[1]!thsiFinD("ths_adjustment_nv_fund",N$3,$A555))</f>
        <v/>
      </c>
      <c r="O555" s="13" t="str">
        <f>IF($A555="","",[1]!thsiFinD("ths_adjustment_nv_fund",O$3,$A555))</f>
        <v/>
      </c>
      <c r="P555" s="13" t="str">
        <f>IF($A555="","",[1]!thsiFinD("ths_adjustment_nv_fund",P$3,$A555))</f>
        <v/>
      </c>
      <c r="Q555" s="13" t="str">
        <f>IF($A555="","",[1]!thsiFinD("ths_adjustment_nv_fund",Q$3,$A555))</f>
        <v/>
      </c>
      <c r="R555" s="13" t="str">
        <f>IF($A555="","",[1]!thsiFinD("ths_adjustment_nv_fund",R$3,$A555))</f>
        <v/>
      </c>
      <c r="S555" s="13" t="str">
        <f>IF($A555="","",[1]!thsiFinD("ths_adjustment_nv_fund",S$3,$A555))</f>
        <v/>
      </c>
      <c r="T555" s="13" t="str">
        <f>IF($A555="","",[1]!thsiFinD("ths_adjustment_nv_fund",T$3,$A555))</f>
        <v/>
      </c>
      <c r="U555" s="13" t="str">
        <f>IF($A555="","",[1]!thsiFinD("ths_adjustment_nv_fund",U$3,$A555))</f>
        <v/>
      </c>
      <c r="V555" s="13" t="str">
        <f>IF($A555="","",[1]!thsiFinD("ths_adjustment_nv_fund",V$3,$A555))</f>
        <v/>
      </c>
      <c r="W555" s="13" t="str">
        <f>IF($A555="","",[1]!thsiFinD("ths_adjustment_nv_fund",W$3,$A555))</f>
        <v/>
      </c>
      <c r="X555" s="13" t="str">
        <f>IF($A555="","",[1]!thsiFinD("ths_adjustment_nv_fund",X$3,$A555))</f>
        <v/>
      </c>
      <c r="Y555" s="13" t="str">
        <f>IF($A555="","",[1]!thsiFinD("ths_adjustment_nv_fund",Y$3,$A555))</f>
        <v/>
      </c>
      <c r="Z555" s="13" t="str">
        <f>IF($A555="","",[1]!thsiFinD("ths_adjustment_nv_fund",Z$3,$A555))</f>
        <v/>
      </c>
      <c r="AA555" s="13" t="str">
        <f>IF($A555="","",[1]!thsiFinD("ths_adjustment_nv_fund",AA$3,$A555))</f>
        <v/>
      </c>
      <c r="AB555" s="13" t="str">
        <f>IF($A555="","",[1]!thsiFinD("ths_adjustment_nv_fund",AB$3,$A555))</f>
        <v/>
      </c>
    </row>
    <row r="556" spans="2:28">
      <c r="B556" s="13" t="str">
        <f>IF($A556="","",[1]!thsiFinD("ths_adjustment_nv_fund",B$3,$A556))</f>
        <v/>
      </c>
      <c r="C556" s="13" t="str">
        <f>IF($A556="","",[1]!thsiFinD("ths_adjustment_nv_fund",C$3,$A556))</f>
        <v/>
      </c>
      <c r="D556" s="13" t="str">
        <f>IF($A556="","",[1]!thsiFinD("ths_adjustment_nv_fund",D$3,$A556))</f>
        <v/>
      </c>
      <c r="E556" s="13" t="str">
        <f>IF($A556="","",[1]!thsiFinD("ths_adjustment_nv_fund",E$3,$A556))</f>
        <v/>
      </c>
      <c r="F556" s="13" t="str">
        <f>IF($A556="","",[1]!thsiFinD("ths_adjustment_nv_fund",F$3,$A556))</f>
        <v/>
      </c>
      <c r="G556" s="13" t="str">
        <f>IF($A556="","",[1]!thsiFinD("ths_adjustment_nv_fund",G$3,$A556))</f>
        <v/>
      </c>
      <c r="H556" s="13" t="str">
        <f>IF($A556="","",[1]!thsiFinD("ths_adjustment_nv_fund",H$3,$A556))</f>
        <v/>
      </c>
      <c r="I556" s="13" t="str">
        <f>IF($A556="","",[1]!thsiFinD("ths_adjustment_nv_fund",I$3,$A556))</f>
        <v/>
      </c>
      <c r="J556" s="13" t="str">
        <f>IF($A556="","",[1]!thsiFinD("ths_adjustment_nv_fund",J$3,$A556))</f>
        <v/>
      </c>
      <c r="K556" s="13" t="str">
        <f>IF($A556="","",[1]!thsiFinD("ths_adjustment_nv_fund",K$3,$A556))</f>
        <v/>
      </c>
      <c r="L556" s="13" t="str">
        <f>IF($A556="","",[1]!thsiFinD("ths_adjustment_nv_fund",L$3,$A556))</f>
        <v/>
      </c>
      <c r="M556" s="13" t="str">
        <f>IF($A556="","",[1]!thsiFinD("ths_adjustment_nv_fund",M$3,$A556))</f>
        <v/>
      </c>
      <c r="N556" s="13" t="str">
        <f>IF($A556="","",[1]!thsiFinD("ths_adjustment_nv_fund",N$3,$A556))</f>
        <v/>
      </c>
      <c r="O556" s="13" t="str">
        <f>IF($A556="","",[1]!thsiFinD("ths_adjustment_nv_fund",O$3,$A556))</f>
        <v/>
      </c>
      <c r="P556" s="13" t="str">
        <f>IF($A556="","",[1]!thsiFinD("ths_adjustment_nv_fund",P$3,$A556))</f>
        <v/>
      </c>
      <c r="Q556" s="13" t="str">
        <f>IF($A556="","",[1]!thsiFinD("ths_adjustment_nv_fund",Q$3,$A556))</f>
        <v/>
      </c>
      <c r="R556" s="13" t="str">
        <f>IF($A556="","",[1]!thsiFinD("ths_adjustment_nv_fund",R$3,$A556))</f>
        <v/>
      </c>
      <c r="S556" s="13" t="str">
        <f>IF($A556="","",[1]!thsiFinD("ths_adjustment_nv_fund",S$3,$A556))</f>
        <v/>
      </c>
      <c r="T556" s="13" t="str">
        <f>IF($A556="","",[1]!thsiFinD("ths_adjustment_nv_fund",T$3,$A556))</f>
        <v/>
      </c>
      <c r="U556" s="13" t="str">
        <f>IF($A556="","",[1]!thsiFinD("ths_adjustment_nv_fund",U$3,$A556))</f>
        <v/>
      </c>
      <c r="V556" s="13" t="str">
        <f>IF($A556="","",[1]!thsiFinD("ths_adjustment_nv_fund",V$3,$A556))</f>
        <v/>
      </c>
      <c r="W556" s="13" t="str">
        <f>IF($A556="","",[1]!thsiFinD("ths_adjustment_nv_fund",W$3,$A556))</f>
        <v/>
      </c>
      <c r="X556" s="13" t="str">
        <f>IF($A556="","",[1]!thsiFinD("ths_adjustment_nv_fund",X$3,$A556))</f>
        <v/>
      </c>
      <c r="Y556" s="13" t="str">
        <f>IF($A556="","",[1]!thsiFinD("ths_adjustment_nv_fund",Y$3,$A556))</f>
        <v/>
      </c>
      <c r="Z556" s="13" t="str">
        <f>IF($A556="","",[1]!thsiFinD("ths_adjustment_nv_fund",Z$3,$A556))</f>
        <v/>
      </c>
      <c r="AA556" s="13" t="str">
        <f>IF($A556="","",[1]!thsiFinD("ths_adjustment_nv_fund",AA$3,$A556))</f>
        <v/>
      </c>
      <c r="AB556" s="13" t="str">
        <f>IF($A556="","",[1]!thsiFinD("ths_adjustment_nv_fund",AB$3,$A556))</f>
        <v/>
      </c>
    </row>
    <row r="557" spans="2:28">
      <c r="B557" s="13" t="str">
        <f>IF($A557="","",[1]!thsiFinD("ths_adjustment_nv_fund",B$3,$A557))</f>
        <v/>
      </c>
      <c r="C557" s="13" t="str">
        <f>IF($A557="","",[1]!thsiFinD("ths_adjustment_nv_fund",C$3,$A557))</f>
        <v/>
      </c>
      <c r="D557" s="13" t="str">
        <f>IF($A557="","",[1]!thsiFinD("ths_adjustment_nv_fund",D$3,$A557))</f>
        <v/>
      </c>
      <c r="E557" s="13" t="str">
        <f>IF($A557="","",[1]!thsiFinD("ths_adjustment_nv_fund",E$3,$A557))</f>
        <v/>
      </c>
      <c r="F557" s="13" t="str">
        <f>IF($A557="","",[1]!thsiFinD("ths_adjustment_nv_fund",F$3,$A557))</f>
        <v/>
      </c>
      <c r="G557" s="13" t="str">
        <f>IF($A557="","",[1]!thsiFinD("ths_adjustment_nv_fund",G$3,$A557))</f>
        <v/>
      </c>
      <c r="H557" s="13" t="str">
        <f>IF($A557="","",[1]!thsiFinD("ths_adjustment_nv_fund",H$3,$A557))</f>
        <v/>
      </c>
      <c r="I557" s="13" t="str">
        <f>IF($A557="","",[1]!thsiFinD("ths_adjustment_nv_fund",I$3,$A557))</f>
        <v/>
      </c>
      <c r="J557" s="13" t="str">
        <f>IF($A557="","",[1]!thsiFinD("ths_adjustment_nv_fund",J$3,$A557))</f>
        <v/>
      </c>
      <c r="K557" s="13" t="str">
        <f>IF($A557="","",[1]!thsiFinD("ths_adjustment_nv_fund",K$3,$A557))</f>
        <v/>
      </c>
      <c r="L557" s="13" t="str">
        <f>IF($A557="","",[1]!thsiFinD("ths_adjustment_nv_fund",L$3,$A557))</f>
        <v/>
      </c>
      <c r="M557" s="13" t="str">
        <f>IF($A557="","",[1]!thsiFinD("ths_adjustment_nv_fund",M$3,$A557))</f>
        <v/>
      </c>
      <c r="N557" s="13" t="str">
        <f>IF($A557="","",[1]!thsiFinD("ths_adjustment_nv_fund",N$3,$A557))</f>
        <v/>
      </c>
      <c r="O557" s="13" t="str">
        <f>IF($A557="","",[1]!thsiFinD("ths_adjustment_nv_fund",O$3,$A557))</f>
        <v/>
      </c>
      <c r="P557" s="13" t="str">
        <f>IF($A557="","",[1]!thsiFinD("ths_adjustment_nv_fund",P$3,$A557))</f>
        <v/>
      </c>
      <c r="Q557" s="13" t="str">
        <f>IF($A557="","",[1]!thsiFinD("ths_adjustment_nv_fund",Q$3,$A557))</f>
        <v/>
      </c>
      <c r="R557" s="13" t="str">
        <f>IF($A557="","",[1]!thsiFinD("ths_adjustment_nv_fund",R$3,$A557))</f>
        <v/>
      </c>
      <c r="S557" s="13" t="str">
        <f>IF($A557="","",[1]!thsiFinD("ths_adjustment_nv_fund",S$3,$A557))</f>
        <v/>
      </c>
      <c r="T557" s="13" t="str">
        <f>IF($A557="","",[1]!thsiFinD("ths_adjustment_nv_fund",T$3,$A557))</f>
        <v/>
      </c>
      <c r="U557" s="13" t="str">
        <f>IF($A557="","",[1]!thsiFinD("ths_adjustment_nv_fund",U$3,$A557))</f>
        <v/>
      </c>
      <c r="V557" s="13" t="str">
        <f>IF($A557="","",[1]!thsiFinD("ths_adjustment_nv_fund",V$3,$A557))</f>
        <v/>
      </c>
      <c r="W557" s="13" t="str">
        <f>IF($A557="","",[1]!thsiFinD("ths_adjustment_nv_fund",W$3,$A557))</f>
        <v/>
      </c>
      <c r="X557" s="13" t="str">
        <f>IF($A557="","",[1]!thsiFinD("ths_adjustment_nv_fund",X$3,$A557))</f>
        <v/>
      </c>
      <c r="Y557" s="13" t="str">
        <f>IF($A557="","",[1]!thsiFinD("ths_adjustment_nv_fund",Y$3,$A557))</f>
        <v/>
      </c>
      <c r="Z557" s="13" t="str">
        <f>IF($A557="","",[1]!thsiFinD("ths_adjustment_nv_fund",Z$3,$A557))</f>
        <v/>
      </c>
      <c r="AA557" s="13" t="str">
        <f>IF($A557="","",[1]!thsiFinD("ths_adjustment_nv_fund",AA$3,$A557))</f>
        <v/>
      </c>
      <c r="AB557" s="13" t="str">
        <f>IF($A557="","",[1]!thsiFinD("ths_adjustment_nv_fund",AB$3,$A557))</f>
        <v/>
      </c>
    </row>
    <row r="558" spans="2:28">
      <c r="B558" s="13" t="str">
        <f>IF($A558="","",[1]!thsiFinD("ths_adjustment_nv_fund",B$3,$A558))</f>
        <v/>
      </c>
      <c r="C558" s="13" t="str">
        <f>IF($A558="","",[1]!thsiFinD("ths_adjustment_nv_fund",C$3,$A558))</f>
        <v/>
      </c>
      <c r="D558" s="13" t="str">
        <f>IF($A558="","",[1]!thsiFinD("ths_adjustment_nv_fund",D$3,$A558))</f>
        <v/>
      </c>
      <c r="E558" s="13" t="str">
        <f>IF($A558="","",[1]!thsiFinD("ths_adjustment_nv_fund",E$3,$A558))</f>
        <v/>
      </c>
      <c r="F558" s="13" t="str">
        <f>IF($A558="","",[1]!thsiFinD("ths_adjustment_nv_fund",F$3,$A558))</f>
        <v/>
      </c>
      <c r="G558" s="13" t="str">
        <f>IF($A558="","",[1]!thsiFinD("ths_adjustment_nv_fund",G$3,$A558))</f>
        <v/>
      </c>
      <c r="H558" s="13" t="str">
        <f>IF($A558="","",[1]!thsiFinD("ths_adjustment_nv_fund",H$3,$A558))</f>
        <v/>
      </c>
      <c r="I558" s="13" t="str">
        <f>IF($A558="","",[1]!thsiFinD("ths_adjustment_nv_fund",I$3,$A558))</f>
        <v/>
      </c>
      <c r="J558" s="13" t="str">
        <f>IF($A558="","",[1]!thsiFinD("ths_adjustment_nv_fund",J$3,$A558))</f>
        <v/>
      </c>
      <c r="K558" s="13" t="str">
        <f>IF($A558="","",[1]!thsiFinD("ths_adjustment_nv_fund",K$3,$A558))</f>
        <v/>
      </c>
      <c r="L558" s="13" t="str">
        <f>IF($A558="","",[1]!thsiFinD("ths_adjustment_nv_fund",L$3,$A558))</f>
        <v/>
      </c>
      <c r="M558" s="13" t="str">
        <f>IF($A558="","",[1]!thsiFinD("ths_adjustment_nv_fund",M$3,$A558))</f>
        <v/>
      </c>
      <c r="N558" s="13" t="str">
        <f>IF($A558="","",[1]!thsiFinD("ths_adjustment_nv_fund",N$3,$A558))</f>
        <v/>
      </c>
      <c r="O558" s="13" t="str">
        <f>IF($A558="","",[1]!thsiFinD("ths_adjustment_nv_fund",O$3,$A558))</f>
        <v/>
      </c>
      <c r="P558" s="13" t="str">
        <f>IF($A558="","",[1]!thsiFinD("ths_adjustment_nv_fund",P$3,$A558))</f>
        <v/>
      </c>
      <c r="Q558" s="13" t="str">
        <f>IF($A558="","",[1]!thsiFinD("ths_adjustment_nv_fund",Q$3,$A558))</f>
        <v/>
      </c>
      <c r="R558" s="13" t="str">
        <f>IF($A558="","",[1]!thsiFinD("ths_adjustment_nv_fund",R$3,$A558))</f>
        <v/>
      </c>
      <c r="S558" s="13" t="str">
        <f>IF($A558="","",[1]!thsiFinD("ths_adjustment_nv_fund",S$3,$A558))</f>
        <v/>
      </c>
      <c r="T558" s="13" t="str">
        <f>IF($A558="","",[1]!thsiFinD("ths_adjustment_nv_fund",T$3,$A558))</f>
        <v/>
      </c>
      <c r="U558" s="13" t="str">
        <f>IF($A558="","",[1]!thsiFinD("ths_adjustment_nv_fund",U$3,$A558))</f>
        <v/>
      </c>
      <c r="V558" s="13" t="str">
        <f>IF($A558="","",[1]!thsiFinD("ths_adjustment_nv_fund",V$3,$A558))</f>
        <v/>
      </c>
      <c r="W558" s="13" t="str">
        <f>IF($A558="","",[1]!thsiFinD("ths_adjustment_nv_fund",W$3,$A558))</f>
        <v/>
      </c>
      <c r="X558" s="13" t="str">
        <f>IF($A558="","",[1]!thsiFinD("ths_adjustment_nv_fund",X$3,$A558))</f>
        <v/>
      </c>
      <c r="Y558" s="13" t="str">
        <f>IF($A558="","",[1]!thsiFinD("ths_adjustment_nv_fund",Y$3,$A558))</f>
        <v/>
      </c>
      <c r="Z558" s="13" t="str">
        <f>IF($A558="","",[1]!thsiFinD("ths_adjustment_nv_fund",Z$3,$A558))</f>
        <v/>
      </c>
      <c r="AA558" s="13" t="str">
        <f>IF($A558="","",[1]!thsiFinD("ths_adjustment_nv_fund",AA$3,$A558))</f>
        <v/>
      </c>
      <c r="AB558" s="13" t="str">
        <f>IF($A558="","",[1]!thsiFinD("ths_adjustment_nv_fund",AB$3,$A558))</f>
        <v/>
      </c>
    </row>
    <row r="559" spans="2:28">
      <c r="B559" s="13" t="str">
        <f>IF($A559="","",[1]!thsiFinD("ths_adjustment_nv_fund",B$3,$A559))</f>
        <v/>
      </c>
      <c r="C559" s="13" t="str">
        <f>IF($A559="","",[1]!thsiFinD("ths_adjustment_nv_fund",C$3,$A559))</f>
        <v/>
      </c>
      <c r="D559" s="13" t="str">
        <f>IF($A559="","",[1]!thsiFinD("ths_adjustment_nv_fund",D$3,$A559))</f>
        <v/>
      </c>
      <c r="E559" s="13" t="str">
        <f>IF($A559="","",[1]!thsiFinD("ths_adjustment_nv_fund",E$3,$A559))</f>
        <v/>
      </c>
      <c r="F559" s="13" t="str">
        <f>IF($A559="","",[1]!thsiFinD("ths_adjustment_nv_fund",F$3,$A559))</f>
        <v/>
      </c>
      <c r="G559" s="13" t="str">
        <f>IF($A559="","",[1]!thsiFinD("ths_adjustment_nv_fund",G$3,$A559))</f>
        <v/>
      </c>
      <c r="H559" s="13" t="str">
        <f>IF($A559="","",[1]!thsiFinD("ths_adjustment_nv_fund",H$3,$A559))</f>
        <v/>
      </c>
      <c r="I559" s="13" t="str">
        <f>IF($A559="","",[1]!thsiFinD("ths_adjustment_nv_fund",I$3,$A559))</f>
        <v/>
      </c>
      <c r="J559" s="13" t="str">
        <f>IF($A559="","",[1]!thsiFinD("ths_adjustment_nv_fund",J$3,$A559))</f>
        <v/>
      </c>
      <c r="K559" s="13" t="str">
        <f>IF($A559="","",[1]!thsiFinD("ths_adjustment_nv_fund",K$3,$A559))</f>
        <v/>
      </c>
      <c r="L559" s="13" t="str">
        <f>IF($A559="","",[1]!thsiFinD("ths_adjustment_nv_fund",L$3,$A559))</f>
        <v/>
      </c>
      <c r="M559" s="13" t="str">
        <f>IF($A559="","",[1]!thsiFinD("ths_adjustment_nv_fund",M$3,$A559))</f>
        <v/>
      </c>
      <c r="N559" s="13" t="str">
        <f>IF($A559="","",[1]!thsiFinD("ths_adjustment_nv_fund",N$3,$A559))</f>
        <v/>
      </c>
      <c r="O559" s="13" t="str">
        <f>IF($A559="","",[1]!thsiFinD("ths_adjustment_nv_fund",O$3,$A559))</f>
        <v/>
      </c>
      <c r="P559" s="13" t="str">
        <f>IF($A559="","",[1]!thsiFinD("ths_adjustment_nv_fund",P$3,$A559))</f>
        <v/>
      </c>
      <c r="Q559" s="13" t="str">
        <f>IF($A559="","",[1]!thsiFinD("ths_adjustment_nv_fund",Q$3,$A559))</f>
        <v/>
      </c>
      <c r="R559" s="13" t="str">
        <f>IF($A559="","",[1]!thsiFinD("ths_adjustment_nv_fund",R$3,$A559))</f>
        <v/>
      </c>
      <c r="S559" s="13" t="str">
        <f>IF($A559="","",[1]!thsiFinD("ths_adjustment_nv_fund",S$3,$A559))</f>
        <v/>
      </c>
      <c r="T559" s="13" t="str">
        <f>IF($A559="","",[1]!thsiFinD("ths_adjustment_nv_fund",T$3,$A559))</f>
        <v/>
      </c>
      <c r="U559" s="13" t="str">
        <f>IF($A559="","",[1]!thsiFinD("ths_adjustment_nv_fund",U$3,$A559))</f>
        <v/>
      </c>
      <c r="V559" s="13" t="str">
        <f>IF($A559="","",[1]!thsiFinD("ths_adjustment_nv_fund",V$3,$A559))</f>
        <v/>
      </c>
      <c r="W559" s="13" t="str">
        <f>IF($A559="","",[1]!thsiFinD("ths_adjustment_nv_fund",W$3,$A559))</f>
        <v/>
      </c>
      <c r="X559" s="13" t="str">
        <f>IF($A559="","",[1]!thsiFinD("ths_adjustment_nv_fund",X$3,$A559))</f>
        <v/>
      </c>
      <c r="Y559" s="13" t="str">
        <f>IF($A559="","",[1]!thsiFinD("ths_adjustment_nv_fund",Y$3,$A559))</f>
        <v/>
      </c>
      <c r="Z559" s="13" t="str">
        <f>IF($A559="","",[1]!thsiFinD("ths_adjustment_nv_fund",Z$3,$A559))</f>
        <v/>
      </c>
      <c r="AA559" s="13" t="str">
        <f>IF($A559="","",[1]!thsiFinD("ths_adjustment_nv_fund",AA$3,$A559))</f>
        <v/>
      </c>
      <c r="AB559" s="13" t="str">
        <f>IF($A559="","",[1]!thsiFinD("ths_adjustment_nv_fund",AB$3,$A559))</f>
        <v/>
      </c>
    </row>
    <row r="560" spans="2:28">
      <c r="B560" s="13" t="str">
        <f>IF($A560="","",[1]!thsiFinD("ths_adjustment_nv_fund",B$3,$A560))</f>
        <v/>
      </c>
      <c r="C560" s="13" t="str">
        <f>IF($A560="","",[1]!thsiFinD("ths_adjustment_nv_fund",C$3,$A560))</f>
        <v/>
      </c>
      <c r="D560" s="13" t="str">
        <f>IF($A560="","",[1]!thsiFinD("ths_adjustment_nv_fund",D$3,$A560))</f>
        <v/>
      </c>
      <c r="E560" s="13" t="str">
        <f>IF($A560="","",[1]!thsiFinD("ths_adjustment_nv_fund",E$3,$A560))</f>
        <v/>
      </c>
      <c r="F560" s="13" t="str">
        <f>IF($A560="","",[1]!thsiFinD("ths_adjustment_nv_fund",F$3,$A560))</f>
        <v/>
      </c>
      <c r="G560" s="13" t="str">
        <f>IF($A560="","",[1]!thsiFinD("ths_adjustment_nv_fund",G$3,$A560))</f>
        <v/>
      </c>
      <c r="H560" s="13" t="str">
        <f>IF($A560="","",[1]!thsiFinD("ths_adjustment_nv_fund",H$3,$A560))</f>
        <v/>
      </c>
      <c r="I560" s="13" t="str">
        <f>IF($A560="","",[1]!thsiFinD("ths_adjustment_nv_fund",I$3,$A560))</f>
        <v/>
      </c>
      <c r="J560" s="13" t="str">
        <f>IF($A560="","",[1]!thsiFinD("ths_adjustment_nv_fund",J$3,$A560))</f>
        <v/>
      </c>
      <c r="K560" s="13" t="str">
        <f>IF($A560="","",[1]!thsiFinD("ths_adjustment_nv_fund",K$3,$A560))</f>
        <v/>
      </c>
      <c r="L560" s="13" t="str">
        <f>IF($A560="","",[1]!thsiFinD("ths_adjustment_nv_fund",L$3,$A560))</f>
        <v/>
      </c>
      <c r="M560" s="13" t="str">
        <f>IF($A560="","",[1]!thsiFinD("ths_adjustment_nv_fund",M$3,$A560))</f>
        <v/>
      </c>
      <c r="N560" s="13" t="str">
        <f>IF($A560="","",[1]!thsiFinD("ths_adjustment_nv_fund",N$3,$A560))</f>
        <v/>
      </c>
      <c r="O560" s="13" t="str">
        <f>IF($A560="","",[1]!thsiFinD("ths_adjustment_nv_fund",O$3,$A560))</f>
        <v/>
      </c>
      <c r="P560" s="13" t="str">
        <f>IF($A560="","",[1]!thsiFinD("ths_adjustment_nv_fund",P$3,$A560))</f>
        <v/>
      </c>
      <c r="Q560" s="13" t="str">
        <f>IF($A560="","",[1]!thsiFinD("ths_adjustment_nv_fund",Q$3,$A560))</f>
        <v/>
      </c>
      <c r="R560" s="13" t="str">
        <f>IF($A560="","",[1]!thsiFinD("ths_adjustment_nv_fund",R$3,$A560))</f>
        <v/>
      </c>
      <c r="S560" s="13" t="str">
        <f>IF($A560="","",[1]!thsiFinD("ths_adjustment_nv_fund",S$3,$A560))</f>
        <v/>
      </c>
      <c r="T560" s="13" t="str">
        <f>IF($A560="","",[1]!thsiFinD("ths_adjustment_nv_fund",T$3,$A560))</f>
        <v/>
      </c>
      <c r="U560" s="13" t="str">
        <f>IF($A560="","",[1]!thsiFinD("ths_adjustment_nv_fund",U$3,$A560))</f>
        <v/>
      </c>
      <c r="V560" s="13" t="str">
        <f>IF($A560="","",[1]!thsiFinD("ths_adjustment_nv_fund",V$3,$A560))</f>
        <v/>
      </c>
      <c r="W560" s="13" t="str">
        <f>IF($A560="","",[1]!thsiFinD("ths_adjustment_nv_fund",W$3,$A560))</f>
        <v/>
      </c>
      <c r="X560" s="13" t="str">
        <f>IF($A560="","",[1]!thsiFinD("ths_adjustment_nv_fund",X$3,$A560))</f>
        <v/>
      </c>
      <c r="Y560" s="13" t="str">
        <f>IF($A560="","",[1]!thsiFinD("ths_adjustment_nv_fund",Y$3,$A560))</f>
        <v/>
      </c>
      <c r="Z560" s="13" t="str">
        <f>IF($A560="","",[1]!thsiFinD("ths_adjustment_nv_fund",Z$3,$A560))</f>
        <v/>
      </c>
      <c r="AA560" s="13" t="str">
        <f>IF($A560="","",[1]!thsiFinD("ths_adjustment_nv_fund",AA$3,$A560))</f>
        <v/>
      </c>
      <c r="AB560" s="13" t="str">
        <f>IF($A560="","",[1]!thsiFinD("ths_adjustment_nv_fund",AB$3,$A560))</f>
        <v/>
      </c>
    </row>
    <row r="561" spans="2:28">
      <c r="B561" s="13" t="str">
        <f>IF($A561="","",[1]!thsiFinD("ths_adjustment_nv_fund",B$3,$A561))</f>
        <v/>
      </c>
      <c r="C561" s="13" t="str">
        <f>IF($A561="","",[1]!thsiFinD("ths_adjustment_nv_fund",C$3,$A561))</f>
        <v/>
      </c>
      <c r="D561" s="13" t="str">
        <f>IF($A561="","",[1]!thsiFinD("ths_adjustment_nv_fund",D$3,$A561))</f>
        <v/>
      </c>
      <c r="E561" s="13" t="str">
        <f>IF($A561="","",[1]!thsiFinD("ths_adjustment_nv_fund",E$3,$A561))</f>
        <v/>
      </c>
      <c r="F561" s="13" t="str">
        <f>IF($A561="","",[1]!thsiFinD("ths_adjustment_nv_fund",F$3,$A561))</f>
        <v/>
      </c>
      <c r="G561" s="13" t="str">
        <f>IF($A561="","",[1]!thsiFinD("ths_adjustment_nv_fund",G$3,$A561))</f>
        <v/>
      </c>
      <c r="H561" s="13" t="str">
        <f>IF($A561="","",[1]!thsiFinD("ths_adjustment_nv_fund",H$3,$A561))</f>
        <v/>
      </c>
      <c r="I561" s="13" t="str">
        <f>IF($A561="","",[1]!thsiFinD("ths_adjustment_nv_fund",I$3,$A561))</f>
        <v/>
      </c>
      <c r="J561" s="13" t="str">
        <f>IF($A561="","",[1]!thsiFinD("ths_adjustment_nv_fund",J$3,$A561))</f>
        <v/>
      </c>
      <c r="K561" s="13" t="str">
        <f>IF($A561="","",[1]!thsiFinD("ths_adjustment_nv_fund",K$3,$A561))</f>
        <v/>
      </c>
      <c r="L561" s="13" t="str">
        <f>IF($A561="","",[1]!thsiFinD("ths_adjustment_nv_fund",L$3,$A561))</f>
        <v/>
      </c>
      <c r="M561" s="13" t="str">
        <f>IF($A561="","",[1]!thsiFinD("ths_adjustment_nv_fund",M$3,$A561))</f>
        <v/>
      </c>
      <c r="N561" s="13" t="str">
        <f>IF($A561="","",[1]!thsiFinD("ths_adjustment_nv_fund",N$3,$A561))</f>
        <v/>
      </c>
      <c r="O561" s="13" t="str">
        <f>IF($A561="","",[1]!thsiFinD("ths_adjustment_nv_fund",O$3,$A561))</f>
        <v/>
      </c>
      <c r="P561" s="13" t="str">
        <f>IF($A561="","",[1]!thsiFinD("ths_adjustment_nv_fund",P$3,$A561))</f>
        <v/>
      </c>
      <c r="Q561" s="13" t="str">
        <f>IF($A561="","",[1]!thsiFinD("ths_adjustment_nv_fund",Q$3,$A561))</f>
        <v/>
      </c>
      <c r="R561" s="13" t="str">
        <f>IF($A561="","",[1]!thsiFinD("ths_adjustment_nv_fund",R$3,$A561))</f>
        <v/>
      </c>
      <c r="S561" s="13" t="str">
        <f>IF($A561="","",[1]!thsiFinD("ths_adjustment_nv_fund",S$3,$A561))</f>
        <v/>
      </c>
      <c r="T561" s="13" t="str">
        <f>IF($A561="","",[1]!thsiFinD("ths_adjustment_nv_fund",T$3,$A561))</f>
        <v/>
      </c>
      <c r="U561" s="13" t="str">
        <f>IF($A561="","",[1]!thsiFinD("ths_adjustment_nv_fund",U$3,$A561))</f>
        <v/>
      </c>
      <c r="V561" s="13" t="str">
        <f>IF($A561="","",[1]!thsiFinD("ths_adjustment_nv_fund",V$3,$A561))</f>
        <v/>
      </c>
      <c r="W561" s="13" t="str">
        <f>IF($A561="","",[1]!thsiFinD("ths_adjustment_nv_fund",W$3,$A561))</f>
        <v/>
      </c>
      <c r="X561" s="13" t="str">
        <f>IF($A561="","",[1]!thsiFinD("ths_adjustment_nv_fund",X$3,$A561))</f>
        <v/>
      </c>
      <c r="Y561" s="13" t="str">
        <f>IF($A561="","",[1]!thsiFinD("ths_adjustment_nv_fund",Y$3,$A561))</f>
        <v/>
      </c>
      <c r="Z561" s="13" t="str">
        <f>IF($A561="","",[1]!thsiFinD("ths_adjustment_nv_fund",Z$3,$A561))</f>
        <v/>
      </c>
      <c r="AA561" s="13" t="str">
        <f>IF($A561="","",[1]!thsiFinD("ths_adjustment_nv_fund",AA$3,$A561))</f>
        <v/>
      </c>
      <c r="AB561" s="13" t="str">
        <f>IF($A561="","",[1]!thsiFinD("ths_adjustment_nv_fund",AB$3,$A561))</f>
        <v/>
      </c>
    </row>
    <row r="562" spans="2:28">
      <c r="B562" s="13" t="str">
        <f>IF($A562="","",[1]!thsiFinD("ths_adjustment_nv_fund",B$3,$A562))</f>
        <v/>
      </c>
      <c r="C562" s="13" t="str">
        <f>IF($A562="","",[1]!thsiFinD("ths_adjustment_nv_fund",C$3,$A562))</f>
        <v/>
      </c>
      <c r="D562" s="13" t="str">
        <f>IF($A562="","",[1]!thsiFinD("ths_adjustment_nv_fund",D$3,$A562))</f>
        <v/>
      </c>
      <c r="E562" s="13" t="str">
        <f>IF($A562="","",[1]!thsiFinD("ths_adjustment_nv_fund",E$3,$A562))</f>
        <v/>
      </c>
      <c r="F562" s="13" t="str">
        <f>IF($A562="","",[1]!thsiFinD("ths_adjustment_nv_fund",F$3,$A562))</f>
        <v/>
      </c>
      <c r="G562" s="13" t="str">
        <f>IF($A562="","",[1]!thsiFinD("ths_adjustment_nv_fund",G$3,$A562))</f>
        <v/>
      </c>
      <c r="H562" s="13" t="str">
        <f>IF($A562="","",[1]!thsiFinD("ths_adjustment_nv_fund",H$3,$A562))</f>
        <v/>
      </c>
      <c r="I562" s="13" t="str">
        <f>IF($A562="","",[1]!thsiFinD("ths_adjustment_nv_fund",I$3,$A562))</f>
        <v/>
      </c>
      <c r="J562" s="13" t="str">
        <f>IF($A562="","",[1]!thsiFinD("ths_adjustment_nv_fund",J$3,$A562))</f>
        <v/>
      </c>
      <c r="K562" s="13" t="str">
        <f>IF($A562="","",[1]!thsiFinD("ths_adjustment_nv_fund",K$3,$A562))</f>
        <v/>
      </c>
      <c r="L562" s="13" t="str">
        <f>IF($A562="","",[1]!thsiFinD("ths_adjustment_nv_fund",L$3,$A562))</f>
        <v/>
      </c>
      <c r="M562" s="13" t="str">
        <f>IF($A562="","",[1]!thsiFinD("ths_adjustment_nv_fund",M$3,$A562))</f>
        <v/>
      </c>
      <c r="N562" s="13" t="str">
        <f>IF($A562="","",[1]!thsiFinD("ths_adjustment_nv_fund",N$3,$A562))</f>
        <v/>
      </c>
      <c r="O562" s="13" t="str">
        <f>IF($A562="","",[1]!thsiFinD("ths_adjustment_nv_fund",O$3,$A562))</f>
        <v/>
      </c>
      <c r="P562" s="13" t="str">
        <f>IF($A562="","",[1]!thsiFinD("ths_adjustment_nv_fund",P$3,$A562))</f>
        <v/>
      </c>
      <c r="Q562" s="13" t="str">
        <f>IF($A562="","",[1]!thsiFinD("ths_adjustment_nv_fund",Q$3,$A562))</f>
        <v/>
      </c>
      <c r="R562" s="13" t="str">
        <f>IF($A562="","",[1]!thsiFinD("ths_adjustment_nv_fund",R$3,$A562))</f>
        <v/>
      </c>
      <c r="S562" s="13" t="str">
        <f>IF($A562="","",[1]!thsiFinD("ths_adjustment_nv_fund",S$3,$A562))</f>
        <v/>
      </c>
      <c r="T562" s="13" t="str">
        <f>IF($A562="","",[1]!thsiFinD("ths_adjustment_nv_fund",T$3,$A562))</f>
        <v/>
      </c>
      <c r="U562" s="13" t="str">
        <f>IF($A562="","",[1]!thsiFinD("ths_adjustment_nv_fund",U$3,$A562))</f>
        <v/>
      </c>
      <c r="V562" s="13" t="str">
        <f>IF($A562="","",[1]!thsiFinD("ths_adjustment_nv_fund",V$3,$A562))</f>
        <v/>
      </c>
      <c r="W562" s="13" t="str">
        <f>IF($A562="","",[1]!thsiFinD("ths_adjustment_nv_fund",W$3,$A562))</f>
        <v/>
      </c>
      <c r="X562" s="13" t="str">
        <f>IF($A562="","",[1]!thsiFinD("ths_adjustment_nv_fund",X$3,$A562))</f>
        <v/>
      </c>
      <c r="Y562" s="13" t="str">
        <f>IF($A562="","",[1]!thsiFinD("ths_adjustment_nv_fund",Y$3,$A562))</f>
        <v/>
      </c>
      <c r="Z562" s="13" t="str">
        <f>IF($A562="","",[1]!thsiFinD("ths_adjustment_nv_fund",Z$3,$A562))</f>
        <v/>
      </c>
      <c r="AA562" s="13" t="str">
        <f>IF($A562="","",[1]!thsiFinD("ths_adjustment_nv_fund",AA$3,$A562))</f>
        <v/>
      </c>
      <c r="AB562" s="13" t="str">
        <f>IF($A562="","",[1]!thsiFinD("ths_adjustment_nv_fund",AB$3,$A562))</f>
        <v/>
      </c>
    </row>
    <row r="563" spans="2:28">
      <c r="B563" s="13" t="str">
        <f>IF($A563="","",[1]!thsiFinD("ths_adjustment_nv_fund",B$3,$A563))</f>
        <v/>
      </c>
      <c r="C563" s="13" t="str">
        <f>IF($A563="","",[1]!thsiFinD("ths_adjustment_nv_fund",C$3,$A563))</f>
        <v/>
      </c>
      <c r="D563" s="13" t="str">
        <f>IF($A563="","",[1]!thsiFinD("ths_adjustment_nv_fund",D$3,$A563))</f>
        <v/>
      </c>
      <c r="E563" s="13" t="str">
        <f>IF($A563="","",[1]!thsiFinD("ths_adjustment_nv_fund",E$3,$A563))</f>
        <v/>
      </c>
      <c r="F563" s="13" t="str">
        <f>IF($A563="","",[1]!thsiFinD("ths_adjustment_nv_fund",F$3,$A563))</f>
        <v/>
      </c>
      <c r="G563" s="13" t="str">
        <f>IF($A563="","",[1]!thsiFinD("ths_adjustment_nv_fund",G$3,$A563))</f>
        <v/>
      </c>
      <c r="H563" s="13" t="str">
        <f>IF($A563="","",[1]!thsiFinD("ths_adjustment_nv_fund",H$3,$A563))</f>
        <v/>
      </c>
      <c r="I563" s="13" t="str">
        <f>IF($A563="","",[1]!thsiFinD("ths_adjustment_nv_fund",I$3,$A563))</f>
        <v/>
      </c>
      <c r="J563" s="13" t="str">
        <f>IF($A563="","",[1]!thsiFinD("ths_adjustment_nv_fund",J$3,$A563))</f>
        <v/>
      </c>
      <c r="K563" s="13" t="str">
        <f>IF($A563="","",[1]!thsiFinD("ths_adjustment_nv_fund",K$3,$A563))</f>
        <v/>
      </c>
      <c r="L563" s="13" t="str">
        <f>IF($A563="","",[1]!thsiFinD("ths_adjustment_nv_fund",L$3,$A563))</f>
        <v/>
      </c>
      <c r="M563" s="13" t="str">
        <f>IF($A563="","",[1]!thsiFinD("ths_adjustment_nv_fund",M$3,$A563))</f>
        <v/>
      </c>
      <c r="N563" s="13" t="str">
        <f>IF($A563="","",[1]!thsiFinD("ths_adjustment_nv_fund",N$3,$A563))</f>
        <v/>
      </c>
      <c r="O563" s="13" t="str">
        <f>IF($A563="","",[1]!thsiFinD("ths_adjustment_nv_fund",O$3,$A563))</f>
        <v/>
      </c>
      <c r="P563" s="13" t="str">
        <f>IF($A563="","",[1]!thsiFinD("ths_adjustment_nv_fund",P$3,$A563))</f>
        <v/>
      </c>
      <c r="Q563" s="13" t="str">
        <f>IF($A563="","",[1]!thsiFinD("ths_adjustment_nv_fund",Q$3,$A563))</f>
        <v/>
      </c>
      <c r="R563" s="13" t="str">
        <f>IF($A563="","",[1]!thsiFinD("ths_adjustment_nv_fund",R$3,$A563))</f>
        <v/>
      </c>
      <c r="S563" s="13" t="str">
        <f>IF($A563="","",[1]!thsiFinD("ths_adjustment_nv_fund",S$3,$A563))</f>
        <v/>
      </c>
      <c r="T563" s="13" t="str">
        <f>IF($A563="","",[1]!thsiFinD("ths_adjustment_nv_fund",T$3,$A563))</f>
        <v/>
      </c>
      <c r="U563" s="13" t="str">
        <f>IF($A563="","",[1]!thsiFinD("ths_adjustment_nv_fund",U$3,$A563))</f>
        <v/>
      </c>
      <c r="V563" s="13" t="str">
        <f>IF($A563="","",[1]!thsiFinD("ths_adjustment_nv_fund",V$3,$A563))</f>
        <v/>
      </c>
      <c r="W563" s="13" t="str">
        <f>IF($A563="","",[1]!thsiFinD("ths_adjustment_nv_fund",W$3,$A563))</f>
        <v/>
      </c>
      <c r="X563" s="13" t="str">
        <f>IF($A563="","",[1]!thsiFinD("ths_adjustment_nv_fund",X$3,$A563))</f>
        <v/>
      </c>
      <c r="Y563" s="13" t="str">
        <f>IF($A563="","",[1]!thsiFinD("ths_adjustment_nv_fund",Y$3,$A563))</f>
        <v/>
      </c>
      <c r="Z563" s="13" t="str">
        <f>IF($A563="","",[1]!thsiFinD("ths_adjustment_nv_fund",Z$3,$A563))</f>
        <v/>
      </c>
      <c r="AA563" s="13" t="str">
        <f>IF($A563="","",[1]!thsiFinD("ths_adjustment_nv_fund",AA$3,$A563))</f>
        <v/>
      </c>
      <c r="AB563" s="13" t="str">
        <f>IF($A563="","",[1]!thsiFinD("ths_adjustment_nv_fund",AB$3,$A563))</f>
        <v/>
      </c>
    </row>
    <row r="564" spans="2:28">
      <c r="B564" s="13" t="str">
        <f>IF($A564="","",[1]!thsiFinD("ths_adjustment_nv_fund",B$3,$A564))</f>
        <v/>
      </c>
      <c r="C564" s="13" t="str">
        <f>IF($A564="","",[1]!thsiFinD("ths_adjustment_nv_fund",C$3,$A564))</f>
        <v/>
      </c>
      <c r="D564" s="13" t="str">
        <f>IF($A564="","",[1]!thsiFinD("ths_adjustment_nv_fund",D$3,$A564))</f>
        <v/>
      </c>
      <c r="E564" s="13" t="str">
        <f>IF($A564="","",[1]!thsiFinD("ths_adjustment_nv_fund",E$3,$A564))</f>
        <v/>
      </c>
      <c r="F564" s="13" t="str">
        <f>IF($A564="","",[1]!thsiFinD("ths_adjustment_nv_fund",F$3,$A564))</f>
        <v/>
      </c>
      <c r="G564" s="13" t="str">
        <f>IF($A564="","",[1]!thsiFinD("ths_adjustment_nv_fund",G$3,$A564))</f>
        <v/>
      </c>
      <c r="H564" s="13" t="str">
        <f>IF($A564="","",[1]!thsiFinD("ths_adjustment_nv_fund",H$3,$A564))</f>
        <v/>
      </c>
      <c r="I564" s="13" t="str">
        <f>IF($A564="","",[1]!thsiFinD("ths_adjustment_nv_fund",I$3,$A564))</f>
        <v/>
      </c>
      <c r="J564" s="13" t="str">
        <f>IF($A564="","",[1]!thsiFinD("ths_adjustment_nv_fund",J$3,$A564))</f>
        <v/>
      </c>
      <c r="K564" s="13" t="str">
        <f>IF($A564="","",[1]!thsiFinD("ths_adjustment_nv_fund",K$3,$A564))</f>
        <v/>
      </c>
      <c r="L564" s="13" t="str">
        <f>IF($A564="","",[1]!thsiFinD("ths_adjustment_nv_fund",L$3,$A564))</f>
        <v/>
      </c>
      <c r="M564" s="13" t="str">
        <f>IF($A564="","",[1]!thsiFinD("ths_adjustment_nv_fund",M$3,$A564))</f>
        <v/>
      </c>
      <c r="N564" s="13" t="str">
        <f>IF($A564="","",[1]!thsiFinD("ths_adjustment_nv_fund",N$3,$A564))</f>
        <v/>
      </c>
      <c r="O564" s="13" t="str">
        <f>IF($A564="","",[1]!thsiFinD("ths_adjustment_nv_fund",O$3,$A564))</f>
        <v/>
      </c>
      <c r="P564" s="13" t="str">
        <f>IF($A564="","",[1]!thsiFinD("ths_adjustment_nv_fund",P$3,$A564))</f>
        <v/>
      </c>
      <c r="Q564" s="13" t="str">
        <f>IF($A564="","",[1]!thsiFinD("ths_adjustment_nv_fund",Q$3,$A564))</f>
        <v/>
      </c>
      <c r="R564" s="13" t="str">
        <f>IF($A564="","",[1]!thsiFinD("ths_adjustment_nv_fund",R$3,$A564))</f>
        <v/>
      </c>
      <c r="S564" s="13" t="str">
        <f>IF($A564="","",[1]!thsiFinD("ths_adjustment_nv_fund",S$3,$A564))</f>
        <v/>
      </c>
      <c r="T564" s="13" t="str">
        <f>IF($A564="","",[1]!thsiFinD("ths_adjustment_nv_fund",T$3,$A564))</f>
        <v/>
      </c>
      <c r="U564" s="13" t="str">
        <f>IF($A564="","",[1]!thsiFinD("ths_adjustment_nv_fund",U$3,$A564))</f>
        <v/>
      </c>
      <c r="V564" s="13" t="str">
        <f>IF($A564="","",[1]!thsiFinD("ths_adjustment_nv_fund",V$3,$A564))</f>
        <v/>
      </c>
      <c r="W564" s="13" t="str">
        <f>IF($A564="","",[1]!thsiFinD("ths_adjustment_nv_fund",W$3,$A564))</f>
        <v/>
      </c>
      <c r="X564" s="13" t="str">
        <f>IF($A564="","",[1]!thsiFinD("ths_adjustment_nv_fund",X$3,$A564))</f>
        <v/>
      </c>
      <c r="Y564" s="13" t="str">
        <f>IF($A564="","",[1]!thsiFinD("ths_adjustment_nv_fund",Y$3,$A564))</f>
        <v/>
      </c>
      <c r="Z564" s="13" t="str">
        <f>IF($A564="","",[1]!thsiFinD("ths_adjustment_nv_fund",Z$3,$A564))</f>
        <v/>
      </c>
      <c r="AA564" s="13" t="str">
        <f>IF($A564="","",[1]!thsiFinD("ths_adjustment_nv_fund",AA$3,$A564))</f>
        <v/>
      </c>
      <c r="AB564" s="13" t="str">
        <f>IF($A564="","",[1]!thsiFinD("ths_adjustment_nv_fund",AB$3,$A564))</f>
        <v/>
      </c>
    </row>
    <row r="565" spans="2:28">
      <c r="B565" s="13" t="str">
        <f>IF($A565="","",[1]!thsiFinD("ths_adjustment_nv_fund",B$3,$A565))</f>
        <v/>
      </c>
      <c r="C565" s="13" t="str">
        <f>IF($A565="","",[1]!thsiFinD("ths_adjustment_nv_fund",C$3,$A565))</f>
        <v/>
      </c>
      <c r="D565" s="13" t="str">
        <f>IF($A565="","",[1]!thsiFinD("ths_adjustment_nv_fund",D$3,$A565))</f>
        <v/>
      </c>
      <c r="E565" s="13" t="str">
        <f>IF($A565="","",[1]!thsiFinD("ths_adjustment_nv_fund",E$3,$A565))</f>
        <v/>
      </c>
      <c r="F565" s="13" t="str">
        <f>IF($A565="","",[1]!thsiFinD("ths_adjustment_nv_fund",F$3,$A565))</f>
        <v/>
      </c>
      <c r="G565" s="13" t="str">
        <f>IF($A565="","",[1]!thsiFinD("ths_adjustment_nv_fund",G$3,$A565))</f>
        <v/>
      </c>
      <c r="H565" s="13" t="str">
        <f>IF($A565="","",[1]!thsiFinD("ths_adjustment_nv_fund",H$3,$A565))</f>
        <v/>
      </c>
      <c r="I565" s="13" t="str">
        <f>IF($A565="","",[1]!thsiFinD("ths_adjustment_nv_fund",I$3,$A565))</f>
        <v/>
      </c>
      <c r="J565" s="13" t="str">
        <f>IF($A565="","",[1]!thsiFinD("ths_adjustment_nv_fund",J$3,$A565))</f>
        <v/>
      </c>
      <c r="K565" s="13" t="str">
        <f>IF($A565="","",[1]!thsiFinD("ths_adjustment_nv_fund",K$3,$A565))</f>
        <v/>
      </c>
      <c r="L565" s="13" t="str">
        <f>IF($A565="","",[1]!thsiFinD("ths_adjustment_nv_fund",L$3,$A565))</f>
        <v/>
      </c>
      <c r="M565" s="13" t="str">
        <f>IF($A565="","",[1]!thsiFinD("ths_adjustment_nv_fund",M$3,$A565))</f>
        <v/>
      </c>
      <c r="N565" s="13" t="str">
        <f>IF($A565="","",[1]!thsiFinD("ths_adjustment_nv_fund",N$3,$A565))</f>
        <v/>
      </c>
      <c r="O565" s="13" t="str">
        <f>IF($A565="","",[1]!thsiFinD("ths_adjustment_nv_fund",O$3,$A565))</f>
        <v/>
      </c>
      <c r="P565" s="13" t="str">
        <f>IF($A565="","",[1]!thsiFinD("ths_adjustment_nv_fund",P$3,$A565))</f>
        <v/>
      </c>
      <c r="Q565" s="13" t="str">
        <f>IF($A565="","",[1]!thsiFinD("ths_adjustment_nv_fund",Q$3,$A565))</f>
        <v/>
      </c>
      <c r="R565" s="13" t="str">
        <f>IF($A565="","",[1]!thsiFinD("ths_adjustment_nv_fund",R$3,$A565))</f>
        <v/>
      </c>
      <c r="S565" s="13" t="str">
        <f>IF($A565="","",[1]!thsiFinD("ths_adjustment_nv_fund",S$3,$A565))</f>
        <v/>
      </c>
      <c r="T565" s="13" t="str">
        <f>IF($A565="","",[1]!thsiFinD("ths_adjustment_nv_fund",T$3,$A565))</f>
        <v/>
      </c>
      <c r="U565" s="13" t="str">
        <f>IF($A565="","",[1]!thsiFinD("ths_adjustment_nv_fund",U$3,$A565))</f>
        <v/>
      </c>
      <c r="V565" s="13" t="str">
        <f>IF($A565="","",[1]!thsiFinD("ths_adjustment_nv_fund",V$3,$A565))</f>
        <v/>
      </c>
      <c r="W565" s="13" t="str">
        <f>IF($A565="","",[1]!thsiFinD("ths_adjustment_nv_fund",W$3,$A565))</f>
        <v/>
      </c>
      <c r="X565" s="13" t="str">
        <f>IF($A565="","",[1]!thsiFinD("ths_adjustment_nv_fund",X$3,$A565))</f>
        <v/>
      </c>
      <c r="Y565" s="13" t="str">
        <f>IF($A565="","",[1]!thsiFinD("ths_adjustment_nv_fund",Y$3,$A565))</f>
        <v/>
      </c>
      <c r="Z565" s="13" t="str">
        <f>IF($A565="","",[1]!thsiFinD("ths_adjustment_nv_fund",Z$3,$A565))</f>
        <v/>
      </c>
      <c r="AA565" s="13" t="str">
        <f>IF($A565="","",[1]!thsiFinD("ths_adjustment_nv_fund",AA$3,$A565))</f>
        <v/>
      </c>
      <c r="AB565" s="13" t="str">
        <f>IF($A565="","",[1]!thsiFinD("ths_adjustment_nv_fund",AB$3,$A565))</f>
        <v/>
      </c>
    </row>
    <row r="566" spans="2:28">
      <c r="B566" s="13" t="str">
        <f>IF($A566="","",[1]!thsiFinD("ths_adjustment_nv_fund",B$3,$A566))</f>
        <v/>
      </c>
      <c r="C566" s="13" t="str">
        <f>IF($A566="","",[1]!thsiFinD("ths_adjustment_nv_fund",C$3,$A566))</f>
        <v/>
      </c>
      <c r="D566" s="13" t="str">
        <f>IF($A566="","",[1]!thsiFinD("ths_adjustment_nv_fund",D$3,$A566))</f>
        <v/>
      </c>
      <c r="E566" s="13" t="str">
        <f>IF($A566="","",[1]!thsiFinD("ths_adjustment_nv_fund",E$3,$A566))</f>
        <v/>
      </c>
      <c r="F566" s="13" t="str">
        <f>IF($A566="","",[1]!thsiFinD("ths_adjustment_nv_fund",F$3,$A566))</f>
        <v/>
      </c>
      <c r="G566" s="13" t="str">
        <f>IF($A566="","",[1]!thsiFinD("ths_adjustment_nv_fund",G$3,$A566))</f>
        <v/>
      </c>
      <c r="H566" s="13" t="str">
        <f>IF($A566="","",[1]!thsiFinD("ths_adjustment_nv_fund",H$3,$A566))</f>
        <v/>
      </c>
      <c r="I566" s="13" t="str">
        <f>IF($A566="","",[1]!thsiFinD("ths_adjustment_nv_fund",I$3,$A566))</f>
        <v/>
      </c>
      <c r="J566" s="13" t="str">
        <f>IF($A566="","",[1]!thsiFinD("ths_adjustment_nv_fund",J$3,$A566))</f>
        <v/>
      </c>
      <c r="K566" s="13" t="str">
        <f>IF($A566="","",[1]!thsiFinD("ths_adjustment_nv_fund",K$3,$A566))</f>
        <v/>
      </c>
      <c r="L566" s="13" t="str">
        <f>IF($A566="","",[1]!thsiFinD("ths_adjustment_nv_fund",L$3,$A566))</f>
        <v/>
      </c>
      <c r="M566" s="13" t="str">
        <f>IF($A566="","",[1]!thsiFinD("ths_adjustment_nv_fund",M$3,$A566))</f>
        <v/>
      </c>
      <c r="N566" s="13" t="str">
        <f>IF($A566="","",[1]!thsiFinD("ths_adjustment_nv_fund",N$3,$A566))</f>
        <v/>
      </c>
      <c r="O566" s="13" t="str">
        <f>IF($A566="","",[1]!thsiFinD("ths_adjustment_nv_fund",O$3,$A566))</f>
        <v/>
      </c>
      <c r="P566" s="13" t="str">
        <f>IF($A566="","",[1]!thsiFinD("ths_adjustment_nv_fund",P$3,$A566))</f>
        <v/>
      </c>
      <c r="Q566" s="13" t="str">
        <f>IF($A566="","",[1]!thsiFinD("ths_adjustment_nv_fund",Q$3,$A566))</f>
        <v/>
      </c>
      <c r="R566" s="13" t="str">
        <f>IF($A566="","",[1]!thsiFinD("ths_adjustment_nv_fund",R$3,$A566))</f>
        <v/>
      </c>
      <c r="S566" s="13" t="str">
        <f>IF($A566="","",[1]!thsiFinD("ths_adjustment_nv_fund",S$3,$A566))</f>
        <v/>
      </c>
      <c r="T566" s="13" t="str">
        <f>IF($A566="","",[1]!thsiFinD("ths_adjustment_nv_fund",T$3,$A566))</f>
        <v/>
      </c>
      <c r="U566" s="13" t="str">
        <f>IF($A566="","",[1]!thsiFinD("ths_adjustment_nv_fund",U$3,$A566))</f>
        <v/>
      </c>
      <c r="V566" s="13" t="str">
        <f>IF($A566="","",[1]!thsiFinD("ths_adjustment_nv_fund",V$3,$A566))</f>
        <v/>
      </c>
      <c r="W566" s="13" t="str">
        <f>IF($A566="","",[1]!thsiFinD("ths_adjustment_nv_fund",W$3,$A566))</f>
        <v/>
      </c>
      <c r="X566" s="13" t="str">
        <f>IF($A566="","",[1]!thsiFinD("ths_adjustment_nv_fund",X$3,$A566))</f>
        <v/>
      </c>
      <c r="Y566" s="13" t="str">
        <f>IF($A566="","",[1]!thsiFinD("ths_adjustment_nv_fund",Y$3,$A566))</f>
        <v/>
      </c>
      <c r="Z566" s="13" t="str">
        <f>IF($A566="","",[1]!thsiFinD("ths_adjustment_nv_fund",Z$3,$A566))</f>
        <v/>
      </c>
      <c r="AA566" s="13" t="str">
        <f>IF($A566="","",[1]!thsiFinD("ths_adjustment_nv_fund",AA$3,$A566))</f>
        <v/>
      </c>
      <c r="AB566" s="13" t="str">
        <f>IF($A566="","",[1]!thsiFinD("ths_adjustment_nv_fund",AB$3,$A566))</f>
        <v/>
      </c>
    </row>
    <row r="567" spans="2:28">
      <c r="B567" s="13" t="str">
        <f>IF($A567="","",[1]!thsiFinD("ths_adjustment_nv_fund",B$3,$A567))</f>
        <v/>
      </c>
      <c r="C567" s="13" t="str">
        <f>IF($A567="","",[1]!thsiFinD("ths_adjustment_nv_fund",C$3,$A567))</f>
        <v/>
      </c>
      <c r="D567" s="13" t="str">
        <f>IF($A567="","",[1]!thsiFinD("ths_adjustment_nv_fund",D$3,$A567))</f>
        <v/>
      </c>
      <c r="E567" s="13" t="str">
        <f>IF($A567="","",[1]!thsiFinD("ths_adjustment_nv_fund",E$3,$A567))</f>
        <v/>
      </c>
      <c r="F567" s="13" t="str">
        <f>IF($A567="","",[1]!thsiFinD("ths_adjustment_nv_fund",F$3,$A567))</f>
        <v/>
      </c>
      <c r="G567" s="13" t="str">
        <f>IF($A567="","",[1]!thsiFinD("ths_adjustment_nv_fund",G$3,$A567))</f>
        <v/>
      </c>
      <c r="H567" s="13" t="str">
        <f>IF($A567="","",[1]!thsiFinD("ths_adjustment_nv_fund",H$3,$A567))</f>
        <v/>
      </c>
      <c r="I567" s="13" t="str">
        <f>IF($A567="","",[1]!thsiFinD("ths_adjustment_nv_fund",I$3,$A567))</f>
        <v/>
      </c>
      <c r="J567" s="13" t="str">
        <f>IF($A567="","",[1]!thsiFinD("ths_adjustment_nv_fund",J$3,$A567))</f>
        <v/>
      </c>
      <c r="K567" s="13" t="str">
        <f>IF($A567="","",[1]!thsiFinD("ths_adjustment_nv_fund",K$3,$A567))</f>
        <v/>
      </c>
      <c r="L567" s="13" t="str">
        <f>IF($A567="","",[1]!thsiFinD("ths_adjustment_nv_fund",L$3,$A567))</f>
        <v/>
      </c>
      <c r="M567" s="13" t="str">
        <f>IF($A567="","",[1]!thsiFinD("ths_adjustment_nv_fund",M$3,$A567))</f>
        <v/>
      </c>
      <c r="N567" s="13" t="str">
        <f>IF($A567="","",[1]!thsiFinD("ths_adjustment_nv_fund",N$3,$A567))</f>
        <v/>
      </c>
      <c r="O567" s="13" t="str">
        <f>IF($A567="","",[1]!thsiFinD("ths_adjustment_nv_fund",O$3,$A567))</f>
        <v/>
      </c>
      <c r="P567" s="13" t="str">
        <f>IF($A567="","",[1]!thsiFinD("ths_adjustment_nv_fund",P$3,$A567))</f>
        <v/>
      </c>
      <c r="Q567" s="13" t="str">
        <f>IF($A567="","",[1]!thsiFinD("ths_adjustment_nv_fund",Q$3,$A567))</f>
        <v/>
      </c>
      <c r="R567" s="13" t="str">
        <f>IF($A567="","",[1]!thsiFinD("ths_adjustment_nv_fund",R$3,$A567))</f>
        <v/>
      </c>
      <c r="S567" s="13" t="str">
        <f>IF($A567="","",[1]!thsiFinD("ths_adjustment_nv_fund",S$3,$A567))</f>
        <v/>
      </c>
      <c r="T567" s="13" t="str">
        <f>IF($A567="","",[1]!thsiFinD("ths_adjustment_nv_fund",T$3,$A567))</f>
        <v/>
      </c>
      <c r="U567" s="13" t="str">
        <f>IF($A567="","",[1]!thsiFinD("ths_adjustment_nv_fund",U$3,$A567))</f>
        <v/>
      </c>
      <c r="V567" s="13" t="str">
        <f>IF($A567="","",[1]!thsiFinD("ths_adjustment_nv_fund",V$3,$A567))</f>
        <v/>
      </c>
      <c r="W567" s="13" t="str">
        <f>IF($A567="","",[1]!thsiFinD("ths_adjustment_nv_fund",W$3,$A567))</f>
        <v/>
      </c>
      <c r="X567" s="13" t="str">
        <f>IF($A567="","",[1]!thsiFinD("ths_adjustment_nv_fund",X$3,$A567))</f>
        <v/>
      </c>
      <c r="Y567" s="13" t="str">
        <f>IF($A567="","",[1]!thsiFinD("ths_adjustment_nv_fund",Y$3,$A567))</f>
        <v/>
      </c>
      <c r="Z567" s="13" t="str">
        <f>IF($A567="","",[1]!thsiFinD("ths_adjustment_nv_fund",Z$3,$A567))</f>
        <v/>
      </c>
      <c r="AA567" s="13" t="str">
        <f>IF($A567="","",[1]!thsiFinD("ths_adjustment_nv_fund",AA$3,$A567))</f>
        <v/>
      </c>
      <c r="AB567" s="13" t="str">
        <f>IF($A567="","",[1]!thsiFinD("ths_adjustment_nv_fund",AB$3,$A567))</f>
        <v/>
      </c>
    </row>
    <row r="568" spans="2:28">
      <c r="B568" s="13" t="str">
        <f>IF($A568="","",[1]!thsiFinD("ths_adjustment_nv_fund",B$3,$A568))</f>
        <v/>
      </c>
      <c r="C568" s="13" t="str">
        <f>IF($A568="","",[1]!thsiFinD("ths_adjustment_nv_fund",C$3,$A568))</f>
        <v/>
      </c>
      <c r="D568" s="13" t="str">
        <f>IF($A568="","",[1]!thsiFinD("ths_adjustment_nv_fund",D$3,$A568))</f>
        <v/>
      </c>
      <c r="E568" s="13" t="str">
        <f>IF($A568="","",[1]!thsiFinD("ths_adjustment_nv_fund",E$3,$A568))</f>
        <v/>
      </c>
      <c r="F568" s="13" t="str">
        <f>IF($A568="","",[1]!thsiFinD("ths_adjustment_nv_fund",F$3,$A568))</f>
        <v/>
      </c>
      <c r="G568" s="13" t="str">
        <f>IF($A568="","",[1]!thsiFinD("ths_adjustment_nv_fund",G$3,$A568))</f>
        <v/>
      </c>
      <c r="H568" s="13" t="str">
        <f>IF($A568="","",[1]!thsiFinD("ths_adjustment_nv_fund",H$3,$A568))</f>
        <v/>
      </c>
      <c r="I568" s="13" t="str">
        <f>IF($A568="","",[1]!thsiFinD("ths_adjustment_nv_fund",I$3,$A568))</f>
        <v/>
      </c>
      <c r="J568" s="13" t="str">
        <f>IF($A568="","",[1]!thsiFinD("ths_adjustment_nv_fund",J$3,$A568))</f>
        <v/>
      </c>
      <c r="K568" s="13" t="str">
        <f>IF($A568="","",[1]!thsiFinD("ths_adjustment_nv_fund",K$3,$A568))</f>
        <v/>
      </c>
      <c r="L568" s="13" t="str">
        <f>IF($A568="","",[1]!thsiFinD("ths_adjustment_nv_fund",L$3,$A568))</f>
        <v/>
      </c>
      <c r="M568" s="13" t="str">
        <f>IF($A568="","",[1]!thsiFinD("ths_adjustment_nv_fund",M$3,$A568))</f>
        <v/>
      </c>
      <c r="N568" s="13" t="str">
        <f>IF($A568="","",[1]!thsiFinD("ths_adjustment_nv_fund",N$3,$A568))</f>
        <v/>
      </c>
      <c r="O568" s="13" t="str">
        <f>IF($A568="","",[1]!thsiFinD("ths_adjustment_nv_fund",O$3,$A568))</f>
        <v/>
      </c>
      <c r="P568" s="13" t="str">
        <f>IF($A568="","",[1]!thsiFinD("ths_adjustment_nv_fund",P$3,$A568))</f>
        <v/>
      </c>
      <c r="Q568" s="13" t="str">
        <f>IF($A568="","",[1]!thsiFinD("ths_adjustment_nv_fund",Q$3,$A568))</f>
        <v/>
      </c>
      <c r="R568" s="13" t="str">
        <f>IF($A568="","",[1]!thsiFinD("ths_adjustment_nv_fund",R$3,$A568))</f>
        <v/>
      </c>
      <c r="S568" s="13" t="str">
        <f>IF($A568="","",[1]!thsiFinD("ths_adjustment_nv_fund",S$3,$A568))</f>
        <v/>
      </c>
      <c r="T568" s="13" t="str">
        <f>IF($A568="","",[1]!thsiFinD("ths_adjustment_nv_fund",T$3,$A568))</f>
        <v/>
      </c>
      <c r="U568" s="13" t="str">
        <f>IF($A568="","",[1]!thsiFinD("ths_adjustment_nv_fund",U$3,$A568))</f>
        <v/>
      </c>
      <c r="V568" s="13" t="str">
        <f>IF($A568="","",[1]!thsiFinD("ths_adjustment_nv_fund",V$3,$A568))</f>
        <v/>
      </c>
      <c r="W568" s="13" t="str">
        <f>IF($A568="","",[1]!thsiFinD("ths_adjustment_nv_fund",W$3,$A568))</f>
        <v/>
      </c>
      <c r="X568" s="13" t="str">
        <f>IF($A568="","",[1]!thsiFinD("ths_adjustment_nv_fund",X$3,$A568))</f>
        <v/>
      </c>
      <c r="Y568" s="13" t="str">
        <f>IF($A568="","",[1]!thsiFinD("ths_adjustment_nv_fund",Y$3,$A568))</f>
        <v/>
      </c>
      <c r="Z568" s="13" t="str">
        <f>IF($A568="","",[1]!thsiFinD("ths_adjustment_nv_fund",Z$3,$A568))</f>
        <v/>
      </c>
      <c r="AA568" s="13" t="str">
        <f>IF($A568="","",[1]!thsiFinD("ths_adjustment_nv_fund",AA$3,$A568))</f>
        <v/>
      </c>
      <c r="AB568" s="13" t="str">
        <f>IF($A568="","",[1]!thsiFinD("ths_adjustment_nv_fund",AB$3,$A568))</f>
        <v/>
      </c>
    </row>
    <row r="569" spans="2:28">
      <c r="B569" s="13" t="str">
        <f>IF($A569="","",[1]!thsiFinD("ths_adjustment_nv_fund",B$3,$A569))</f>
        <v/>
      </c>
      <c r="C569" s="13" t="str">
        <f>IF($A569="","",[1]!thsiFinD("ths_adjustment_nv_fund",C$3,$A569))</f>
        <v/>
      </c>
      <c r="D569" s="13" t="str">
        <f>IF($A569="","",[1]!thsiFinD("ths_adjustment_nv_fund",D$3,$A569))</f>
        <v/>
      </c>
      <c r="E569" s="13" t="str">
        <f>IF($A569="","",[1]!thsiFinD("ths_adjustment_nv_fund",E$3,$A569))</f>
        <v/>
      </c>
      <c r="F569" s="13" t="str">
        <f>IF($A569="","",[1]!thsiFinD("ths_adjustment_nv_fund",F$3,$A569))</f>
        <v/>
      </c>
      <c r="G569" s="13" t="str">
        <f>IF($A569="","",[1]!thsiFinD("ths_adjustment_nv_fund",G$3,$A569))</f>
        <v/>
      </c>
      <c r="H569" s="13" t="str">
        <f>IF($A569="","",[1]!thsiFinD("ths_adjustment_nv_fund",H$3,$A569))</f>
        <v/>
      </c>
      <c r="I569" s="13" t="str">
        <f>IF($A569="","",[1]!thsiFinD("ths_adjustment_nv_fund",I$3,$A569))</f>
        <v/>
      </c>
      <c r="J569" s="13" t="str">
        <f>IF($A569="","",[1]!thsiFinD("ths_adjustment_nv_fund",J$3,$A569))</f>
        <v/>
      </c>
      <c r="K569" s="13" t="str">
        <f>IF($A569="","",[1]!thsiFinD("ths_adjustment_nv_fund",K$3,$A569))</f>
        <v/>
      </c>
      <c r="L569" s="13" t="str">
        <f>IF($A569="","",[1]!thsiFinD("ths_adjustment_nv_fund",L$3,$A569))</f>
        <v/>
      </c>
      <c r="M569" s="13" t="str">
        <f>IF($A569="","",[1]!thsiFinD("ths_adjustment_nv_fund",M$3,$A569))</f>
        <v/>
      </c>
      <c r="N569" s="13" t="str">
        <f>IF($A569="","",[1]!thsiFinD("ths_adjustment_nv_fund",N$3,$A569))</f>
        <v/>
      </c>
      <c r="O569" s="13" t="str">
        <f>IF($A569="","",[1]!thsiFinD("ths_adjustment_nv_fund",O$3,$A569))</f>
        <v/>
      </c>
      <c r="P569" s="13" t="str">
        <f>IF($A569="","",[1]!thsiFinD("ths_adjustment_nv_fund",P$3,$A569))</f>
        <v/>
      </c>
      <c r="Q569" s="13" t="str">
        <f>IF($A569="","",[1]!thsiFinD("ths_adjustment_nv_fund",Q$3,$A569))</f>
        <v/>
      </c>
      <c r="R569" s="13" t="str">
        <f>IF($A569="","",[1]!thsiFinD("ths_adjustment_nv_fund",R$3,$A569))</f>
        <v/>
      </c>
      <c r="S569" s="13" t="str">
        <f>IF($A569="","",[1]!thsiFinD("ths_adjustment_nv_fund",S$3,$A569))</f>
        <v/>
      </c>
      <c r="T569" s="13" t="str">
        <f>IF($A569="","",[1]!thsiFinD("ths_adjustment_nv_fund",T$3,$A569))</f>
        <v/>
      </c>
      <c r="U569" s="13" t="str">
        <f>IF($A569="","",[1]!thsiFinD("ths_adjustment_nv_fund",U$3,$A569))</f>
        <v/>
      </c>
      <c r="V569" s="13" t="str">
        <f>IF($A569="","",[1]!thsiFinD("ths_adjustment_nv_fund",V$3,$A569))</f>
        <v/>
      </c>
      <c r="W569" s="13" t="str">
        <f>IF($A569="","",[1]!thsiFinD("ths_adjustment_nv_fund",W$3,$A569))</f>
        <v/>
      </c>
      <c r="X569" s="13" t="str">
        <f>IF($A569="","",[1]!thsiFinD("ths_adjustment_nv_fund",X$3,$A569))</f>
        <v/>
      </c>
      <c r="Y569" s="13" t="str">
        <f>IF($A569="","",[1]!thsiFinD("ths_adjustment_nv_fund",Y$3,$A569))</f>
        <v/>
      </c>
      <c r="Z569" s="13" t="str">
        <f>IF($A569="","",[1]!thsiFinD("ths_adjustment_nv_fund",Z$3,$A569))</f>
        <v/>
      </c>
      <c r="AA569" s="13" t="str">
        <f>IF($A569="","",[1]!thsiFinD("ths_adjustment_nv_fund",AA$3,$A569))</f>
        <v/>
      </c>
      <c r="AB569" s="13" t="str">
        <f>IF($A569="","",[1]!thsiFinD("ths_adjustment_nv_fund",AB$3,$A569))</f>
        <v/>
      </c>
    </row>
    <row r="570" spans="2:28">
      <c r="B570" s="13" t="str">
        <f>IF($A570="","",[1]!thsiFinD("ths_adjustment_nv_fund",B$3,$A570))</f>
        <v/>
      </c>
      <c r="C570" s="13" t="str">
        <f>IF($A570="","",[1]!thsiFinD("ths_adjustment_nv_fund",C$3,$A570))</f>
        <v/>
      </c>
      <c r="D570" s="13" t="str">
        <f>IF($A570="","",[1]!thsiFinD("ths_adjustment_nv_fund",D$3,$A570))</f>
        <v/>
      </c>
      <c r="E570" s="13" t="str">
        <f>IF($A570="","",[1]!thsiFinD("ths_adjustment_nv_fund",E$3,$A570))</f>
        <v/>
      </c>
      <c r="F570" s="13" t="str">
        <f>IF($A570="","",[1]!thsiFinD("ths_adjustment_nv_fund",F$3,$A570))</f>
        <v/>
      </c>
      <c r="G570" s="13" t="str">
        <f>IF($A570="","",[1]!thsiFinD("ths_adjustment_nv_fund",G$3,$A570))</f>
        <v/>
      </c>
      <c r="H570" s="13" t="str">
        <f>IF($A570="","",[1]!thsiFinD("ths_adjustment_nv_fund",H$3,$A570))</f>
        <v/>
      </c>
      <c r="I570" s="13" t="str">
        <f>IF($A570="","",[1]!thsiFinD("ths_adjustment_nv_fund",I$3,$A570))</f>
        <v/>
      </c>
      <c r="J570" s="13" t="str">
        <f>IF($A570="","",[1]!thsiFinD("ths_adjustment_nv_fund",J$3,$A570))</f>
        <v/>
      </c>
      <c r="K570" s="13" t="str">
        <f>IF($A570="","",[1]!thsiFinD("ths_adjustment_nv_fund",K$3,$A570))</f>
        <v/>
      </c>
      <c r="L570" s="13" t="str">
        <f>IF($A570="","",[1]!thsiFinD("ths_adjustment_nv_fund",L$3,$A570))</f>
        <v/>
      </c>
      <c r="M570" s="13" t="str">
        <f>IF($A570="","",[1]!thsiFinD("ths_adjustment_nv_fund",M$3,$A570))</f>
        <v/>
      </c>
      <c r="N570" s="13" t="str">
        <f>IF($A570="","",[1]!thsiFinD("ths_adjustment_nv_fund",N$3,$A570))</f>
        <v/>
      </c>
      <c r="O570" s="13" t="str">
        <f>IF($A570="","",[1]!thsiFinD("ths_adjustment_nv_fund",O$3,$A570))</f>
        <v/>
      </c>
      <c r="P570" s="13" t="str">
        <f>IF($A570="","",[1]!thsiFinD("ths_adjustment_nv_fund",P$3,$A570))</f>
        <v/>
      </c>
      <c r="Q570" s="13" t="str">
        <f>IF($A570="","",[1]!thsiFinD("ths_adjustment_nv_fund",Q$3,$A570))</f>
        <v/>
      </c>
      <c r="R570" s="13" t="str">
        <f>IF($A570="","",[1]!thsiFinD("ths_adjustment_nv_fund",R$3,$A570))</f>
        <v/>
      </c>
      <c r="S570" s="13" t="str">
        <f>IF($A570="","",[1]!thsiFinD("ths_adjustment_nv_fund",S$3,$A570))</f>
        <v/>
      </c>
      <c r="T570" s="13" t="str">
        <f>IF($A570="","",[1]!thsiFinD("ths_adjustment_nv_fund",T$3,$A570))</f>
        <v/>
      </c>
      <c r="U570" s="13" t="str">
        <f>IF($A570="","",[1]!thsiFinD("ths_adjustment_nv_fund",U$3,$A570))</f>
        <v/>
      </c>
      <c r="V570" s="13" t="str">
        <f>IF($A570="","",[1]!thsiFinD("ths_adjustment_nv_fund",V$3,$A570))</f>
        <v/>
      </c>
      <c r="W570" s="13" t="str">
        <f>IF($A570="","",[1]!thsiFinD("ths_adjustment_nv_fund",W$3,$A570))</f>
        <v/>
      </c>
      <c r="X570" s="13" t="str">
        <f>IF($A570="","",[1]!thsiFinD("ths_adjustment_nv_fund",X$3,$A570))</f>
        <v/>
      </c>
      <c r="Y570" s="13" t="str">
        <f>IF($A570="","",[1]!thsiFinD("ths_adjustment_nv_fund",Y$3,$A570))</f>
        <v/>
      </c>
      <c r="Z570" s="13" t="str">
        <f>IF($A570="","",[1]!thsiFinD("ths_adjustment_nv_fund",Z$3,$A570))</f>
        <v/>
      </c>
      <c r="AA570" s="13" t="str">
        <f>IF($A570="","",[1]!thsiFinD("ths_adjustment_nv_fund",AA$3,$A570))</f>
        <v/>
      </c>
      <c r="AB570" s="13" t="str">
        <f>IF($A570="","",[1]!thsiFinD("ths_adjustment_nv_fund",AB$3,$A570))</f>
        <v/>
      </c>
    </row>
    <row r="571" spans="2:28">
      <c r="B571" s="13" t="str">
        <f>IF($A571="","",[1]!thsiFinD("ths_adjustment_nv_fund",B$3,$A571))</f>
        <v/>
      </c>
      <c r="C571" s="13" t="str">
        <f>IF($A571="","",[1]!thsiFinD("ths_adjustment_nv_fund",C$3,$A571))</f>
        <v/>
      </c>
      <c r="D571" s="13" t="str">
        <f>IF($A571="","",[1]!thsiFinD("ths_adjustment_nv_fund",D$3,$A571))</f>
        <v/>
      </c>
      <c r="E571" s="13" t="str">
        <f>IF($A571="","",[1]!thsiFinD("ths_adjustment_nv_fund",E$3,$A571))</f>
        <v/>
      </c>
      <c r="F571" s="13" t="str">
        <f>IF($A571="","",[1]!thsiFinD("ths_adjustment_nv_fund",F$3,$A571))</f>
        <v/>
      </c>
      <c r="G571" s="13" t="str">
        <f>IF($A571="","",[1]!thsiFinD("ths_adjustment_nv_fund",G$3,$A571))</f>
        <v/>
      </c>
      <c r="H571" s="13" t="str">
        <f>IF($A571="","",[1]!thsiFinD("ths_adjustment_nv_fund",H$3,$A571))</f>
        <v/>
      </c>
      <c r="I571" s="13" t="str">
        <f>IF($A571="","",[1]!thsiFinD("ths_adjustment_nv_fund",I$3,$A571))</f>
        <v/>
      </c>
      <c r="J571" s="13" t="str">
        <f>IF($A571="","",[1]!thsiFinD("ths_adjustment_nv_fund",J$3,$A571))</f>
        <v/>
      </c>
      <c r="K571" s="13" t="str">
        <f>IF($A571="","",[1]!thsiFinD("ths_adjustment_nv_fund",K$3,$A571))</f>
        <v/>
      </c>
      <c r="L571" s="13" t="str">
        <f>IF($A571="","",[1]!thsiFinD("ths_adjustment_nv_fund",L$3,$A571))</f>
        <v/>
      </c>
      <c r="M571" s="13" t="str">
        <f>IF($A571="","",[1]!thsiFinD("ths_adjustment_nv_fund",M$3,$A571))</f>
        <v/>
      </c>
      <c r="N571" s="13" t="str">
        <f>IF($A571="","",[1]!thsiFinD("ths_adjustment_nv_fund",N$3,$A571))</f>
        <v/>
      </c>
      <c r="O571" s="13" t="str">
        <f>IF($A571="","",[1]!thsiFinD("ths_adjustment_nv_fund",O$3,$A571))</f>
        <v/>
      </c>
      <c r="P571" s="13" t="str">
        <f>IF($A571="","",[1]!thsiFinD("ths_adjustment_nv_fund",P$3,$A571))</f>
        <v/>
      </c>
      <c r="Q571" s="13" t="str">
        <f>IF($A571="","",[1]!thsiFinD("ths_adjustment_nv_fund",Q$3,$A571))</f>
        <v/>
      </c>
      <c r="R571" s="13" t="str">
        <f>IF($A571="","",[1]!thsiFinD("ths_adjustment_nv_fund",R$3,$A571))</f>
        <v/>
      </c>
      <c r="S571" s="13" t="str">
        <f>IF($A571="","",[1]!thsiFinD("ths_adjustment_nv_fund",S$3,$A571))</f>
        <v/>
      </c>
      <c r="T571" s="13" t="str">
        <f>IF($A571="","",[1]!thsiFinD("ths_adjustment_nv_fund",T$3,$A571))</f>
        <v/>
      </c>
      <c r="U571" s="13" t="str">
        <f>IF($A571="","",[1]!thsiFinD("ths_adjustment_nv_fund",U$3,$A571))</f>
        <v/>
      </c>
      <c r="V571" s="13" t="str">
        <f>IF($A571="","",[1]!thsiFinD("ths_adjustment_nv_fund",V$3,$A571))</f>
        <v/>
      </c>
      <c r="W571" s="13" t="str">
        <f>IF($A571="","",[1]!thsiFinD("ths_adjustment_nv_fund",W$3,$A571))</f>
        <v/>
      </c>
      <c r="X571" s="13" t="str">
        <f>IF($A571="","",[1]!thsiFinD("ths_adjustment_nv_fund",X$3,$A571))</f>
        <v/>
      </c>
      <c r="Y571" s="13" t="str">
        <f>IF($A571="","",[1]!thsiFinD("ths_adjustment_nv_fund",Y$3,$A571))</f>
        <v/>
      </c>
      <c r="Z571" s="13" t="str">
        <f>IF($A571="","",[1]!thsiFinD("ths_adjustment_nv_fund",Z$3,$A571))</f>
        <v/>
      </c>
      <c r="AA571" s="13" t="str">
        <f>IF($A571="","",[1]!thsiFinD("ths_adjustment_nv_fund",AA$3,$A571))</f>
        <v/>
      </c>
      <c r="AB571" s="13" t="str">
        <f>IF($A571="","",[1]!thsiFinD("ths_adjustment_nv_fund",AB$3,$A571))</f>
        <v/>
      </c>
    </row>
    <row r="572" spans="2:28">
      <c r="B572" s="13" t="str">
        <f>IF($A572="","",[1]!thsiFinD("ths_adjustment_nv_fund",B$3,$A572))</f>
        <v/>
      </c>
      <c r="C572" s="13" t="str">
        <f>IF($A572="","",[1]!thsiFinD("ths_adjustment_nv_fund",C$3,$A572))</f>
        <v/>
      </c>
      <c r="D572" s="13" t="str">
        <f>IF($A572="","",[1]!thsiFinD("ths_adjustment_nv_fund",D$3,$A572))</f>
        <v/>
      </c>
      <c r="E572" s="13" t="str">
        <f>IF($A572="","",[1]!thsiFinD("ths_adjustment_nv_fund",E$3,$A572))</f>
        <v/>
      </c>
      <c r="F572" s="13" t="str">
        <f>IF($A572="","",[1]!thsiFinD("ths_adjustment_nv_fund",F$3,$A572))</f>
        <v/>
      </c>
      <c r="G572" s="13" t="str">
        <f>IF($A572="","",[1]!thsiFinD("ths_adjustment_nv_fund",G$3,$A572))</f>
        <v/>
      </c>
      <c r="H572" s="13" t="str">
        <f>IF($A572="","",[1]!thsiFinD("ths_adjustment_nv_fund",H$3,$A572))</f>
        <v/>
      </c>
      <c r="I572" s="13" t="str">
        <f>IF($A572="","",[1]!thsiFinD("ths_adjustment_nv_fund",I$3,$A572))</f>
        <v/>
      </c>
      <c r="J572" s="13" t="str">
        <f>IF($A572="","",[1]!thsiFinD("ths_adjustment_nv_fund",J$3,$A572))</f>
        <v/>
      </c>
      <c r="K572" s="13" t="str">
        <f>IF($A572="","",[1]!thsiFinD("ths_adjustment_nv_fund",K$3,$A572))</f>
        <v/>
      </c>
      <c r="L572" s="13" t="str">
        <f>IF($A572="","",[1]!thsiFinD("ths_adjustment_nv_fund",L$3,$A572))</f>
        <v/>
      </c>
      <c r="M572" s="13" t="str">
        <f>IF($A572="","",[1]!thsiFinD("ths_adjustment_nv_fund",M$3,$A572))</f>
        <v/>
      </c>
      <c r="N572" s="13" t="str">
        <f>IF($A572="","",[1]!thsiFinD("ths_adjustment_nv_fund",N$3,$A572))</f>
        <v/>
      </c>
      <c r="O572" s="13" t="str">
        <f>IF($A572="","",[1]!thsiFinD("ths_adjustment_nv_fund",O$3,$A572))</f>
        <v/>
      </c>
      <c r="P572" s="13" t="str">
        <f>IF($A572="","",[1]!thsiFinD("ths_adjustment_nv_fund",P$3,$A572))</f>
        <v/>
      </c>
      <c r="Q572" s="13" t="str">
        <f>IF($A572="","",[1]!thsiFinD("ths_adjustment_nv_fund",Q$3,$A572))</f>
        <v/>
      </c>
      <c r="R572" s="13" t="str">
        <f>IF($A572="","",[1]!thsiFinD("ths_adjustment_nv_fund",R$3,$A572))</f>
        <v/>
      </c>
      <c r="S572" s="13" t="str">
        <f>IF($A572="","",[1]!thsiFinD("ths_adjustment_nv_fund",S$3,$A572))</f>
        <v/>
      </c>
      <c r="T572" s="13" t="str">
        <f>IF($A572="","",[1]!thsiFinD("ths_adjustment_nv_fund",T$3,$A572))</f>
        <v/>
      </c>
      <c r="U572" s="13" t="str">
        <f>IF($A572="","",[1]!thsiFinD("ths_adjustment_nv_fund",U$3,$A572))</f>
        <v/>
      </c>
      <c r="V572" s="13" t="str">
        <f>IF($A572="","",[1]!thsiFinD("ths_adjustment_nv_fund",V$3,$A572))</f>
        <v/>
      </c>
      <c r="W572" s="13" t="str">
        <f>IF($A572="","",[1]!thsiFinD("ths_adjustment_nv_fund",W$3,$A572))</f>
        <v/>
      </c>
      <c r="X572" s="13" t="str">
        <f>IF($A572="","",[1]!thsiFinD("ths_adjustment_nv_fund",X$3,$A572))</f>
        <v/>
      </c>
      <c r="Y572" s="13" t="str">
        <f>IF($A572="","",[1]!thsiFinD("ths_adjustment_nv_fund",Y$3,$A572))</f>
        <v/>
      </c>
      <c r="Z572" s="13" t="str">
        <f>IF($A572="","",[1]!thsiFinD("ths_adjustment_nv_fund",Z$3,$A572))</f>
        <v/>
      </c>
      <c r="AA572" s="13" t="str">
        <f>IF($A572="","",[1]!thsiFinD("ths_adjustment_nv_fund",AA$3,$A572))</f>
        <v/>
      </c>
      <c r="AB572" s="13" t="str">
        <f>IF($A572="","",[1]!thsiFinD("ths_adjustment_nv_fund",AB$3,$A572))</f>
        <v/>
      </c>
    </row>
    <row r="573" spans="2:28">
      <c r="B573" s="13" t="str">
        <f>IF($A573="","",[1]!thsiFinD("ths_adjustment_nv_fund",B$3,$A573))</f>
        <v/>
      </c>
      <c r="C573" s="13" t="str">
        <f>IF($A573="","",[1]!thsiFinD("ths_adjustment_nv_fund",C$3,$A573))</f>
        <v/>
      </c>
      <c r="D573" s="13" t="str">
        <f>IF($A573="","",[1]!thsiFinD("ths_adjustment_nv_fund",D$3,$A573))</f>
        <v/>
      </c>
      <c r="E573" s="13" t="str">
        <f>IF($A573="","",[1]!thsiFinD("ths_adjustment_nv_fund",E$3,$A573))</f>
        <v/>
      </c>
      <c r="F573" s="13" t="str">
        <f>IF($A573="","",[1]!thsiFinD("ths_adjustment_nv_fund",F$3,$A573))</f>
        <v/>
      </c>
      <c r="G573" s="13" t="str">
        <f>IF($A573="","",[1]!thsiFinD("ths_adjustment_nv_fund",G$3,$A573))</f>
        <v/>
      </c>
      <c r="H573" s="13" t="str">
        <f>IF($A573="","",[1]!thsiFinD("ths_adjustment_nv_fund",H$3,$A573))</f>
        <v/>
      </c>
      <c r="I573" s="13" t="str">
        <f>IF($A573="","",[1]!thsiFinD("ths_adjustment_nv_fund",I$3,$A573))</f>
        <v/>
      </c>
      <c r="J573" s="13" t="str">
        <f>IF($A573="","",[1]!thsiFinD("ths_adjustment_nv_fund",J$3,$A573))</f>
        <v/>
      </c>
      <c r="K573" s="13" t="str">
        <f>IF($A573="","",[1]!thsiFinD("ths_adjustment_nv_fund",K$3,$A573))</f>
        <v/>
      </c>
      <c r="L573" s="13" t="str">
        <f>IF($A573="","",[1]!thsiFinD("ths_adjustment_nv_fund",L$3,$A573))</f>
        <v/>
      </c>
      <c r="M573" s="13" t="str">
        <f>IF($A573="","",[1]!thsiFinD("ths_adjustment_nv_fund",M$3,$A573))</f>
        <v/>
      </c>
      <c r="N573" s="13" t="str">
        <f>IF($A573="","",[1]!thsiFinD("ths_adjustment_nv_fund",N$3,$A573))</f>
        <v/>
      </c>
      <c r="O573" s="13" t="str">
        <f>IF($A573="","",[1]!thsiFinD("ths_adjustment_nv_fund",O$3,$A573))</f>
        <v/>
      </c>
      <c r="P573" s="13" t="str">
        <f>IF($A573="","",[1]!thsiFinD("ths_adjustment_nv_fund",P$3,$A573))</f>
        <v/>
      </c>
      <c r="Q573" s="13" t="str">
        <f>IF($A573="","",[1]!thsiFinD("ths_adjustment_nv_fund",Q$3,$A573))</f>
        <v/>
      </c>
      <c r="R573" s="13" t="str">
        <f>IF($A573="","",[1]!thsiFinD("ths_adjustment_nv_fund",R$3,$A573))</f>
        <v/>
      </c>
      <c r="S573" s="13" t="str">
        <f>IF($A573="","",[1]!thsiFinD("ths_adjustment_nv_fund",S$3,$A573))</f>
        <v/>
      </c>
      <c r="T573" s="13" t="str">
        <f>IF($A573="","",[1]!thsiFinD("ths_adjustment_nv_fund",T$3,$A573))</f>
        <v/>
      </c>
      <c r="U573" s="13" t="str">
        <f>IF($A573="","",[1]!thsiFinD("ths_adjustment_nv_fund",U$3,$A573))</f>
        <v/>
      </c>
      <c r="V573" s="13" t="str">
        <f>IF($A573="","",[1]!thsiFinD("ths_adjustment_nv_fund",V$3,$A573))</f>
        <v/>
      </c>
      <c r="W573" s="13" t="str">
        <f>IF($A573="","",[1]!thsiFinD("ths_adjustment_nv_fund",W$3,$A573))</f>
        <v/>
      </c>
      <c r="X573" s="13" t="str">
        <f>IF($A573="","",[1]!thsiFinD("ths_adjustment_nv_fund",X$3,$A573))</f>
        <v/>
      </c>
      <c r="Y573" s="13" t="str">
        <f>IF($A573="","",[1]!thsiFinD("ths_adjustment_nv_fund",Y$3,$A573))</f>
        <v/>
      </c>
      <c r="Z573" s="13" t="str">
        <f>IF($A573="","",[1]!thsiFinD("ths_adjustment_nv_fund",Z$3,$A573))</f>
        <v/>
      </c>
      <c r="AA573" s="13" t="str">
        <f>IF($A573="","",[1]!thsiFinD("ths_adjustment_nv_fund",AA$3,$A573))</f>
        <v/>
      </c>
      <c r="AB573" s="13" t="str">
        <f>IF($A573="","",[1]!thsiFinD("ths_adjustment_nv_fund",AB$3,$A573))</f>
        <v/>
      </c>
    </row>
    <row r="574" spans="2:28">
      <c r="B574" s="13" t="str">
        <f>IF($A574="","",[1]!thsiFinD("ths_adjustment_nv_fund",B$3,$A574))</f>
        <v/>
      </c>
      <c r="C574" s="13" t="str">
        <f>IF($A574="","",[1]!thsiFinD("ths_adjustment_nv_fund",C$3,$A574))</f>
        <v/>
      </c>
      <c r="D574" s="13" t="str">
        <f>IF($A574="","",[1]!thsiFinD("ths_adjustment_nv_fund",D$3,$A574))</f>
        <v/>
      </c>
      <c r="E574" s="13" t="str">
        <f>IF($A574="","",[1]!thsiFinD("ths_adjustment_nv_fund",E$3,$A574))</f>
        <v/>
      </c>
      <c r="F574" s="13" t="str">
        <f>IF($A574="","",[1]!thsiFinD("ths_adjustment_nv_fund",F$3,$A574))</f>
        <v/>
      </c>
      <c r="G574" s="13" t="str">
        <f>IF($A574="","",[1]!thsiFinD("ths_adjustment_nv_fund",G$3,$A574))</f>
        <v/>
      </c>
      <c r="H574" s="13" t="str">
        <f>IF($A574="","",[1]!thsiFinD("ths_adjustment_nv_fund",H$3,$A574))</f>
        <v/>
      </c>
      <c r="I574" s="13" t="str">
        <f>IF($A574="","",[1]!thsiFinD("ths_adjustment_nv_fund",I$3,$A574))</f>
        <v/>
      </c>
      <c r="J574" s="13" t="str">
        <f>IF($A574="","",[1]!thsiFinD("ths_adjustment_nv_fund",J$3,$A574))</f>
        <v/>
      </c>
      <c r="K574" s="13" t="str">
        <f>IF($A574="","",[1]!thsiFinD("ths_adjustment_nv_fund",K$3,$A574))</f>
        <v/>
      </c>
      <c r="L574" s="13" t="str">
        <f>IF($A574="","",[1]!thsiFinD("ths_adjustment_nv_fund",L$3,$A574))</f>
        <v/>
      </c>
      <c r="M574" s="13" t="str">
        <f>IF($A574="","",[1]!thsiFinD("ths_adjustment_nv_fund",M$3,$A574))</f>
        <v/>
      </c>
      <c r="N574" s="13" t="str">
        <f>IF($A574="","",[1]!thsiFinD("ths_adjustment_nv_fund",N$3,$A574))</f>
        <v/>
      </c>
      <c r="O574" s="13" t="str">
        <f>IF($A574="","",[1]!thsiFinD("ths_adjustment_nv_fund",O$3,$A574))</f>
        <v/>
      </c>
      <c r="P574" s="13" t="str">
        <f>IF($A574="","",[1]!thsiFinD("ths_adjustment_nv_fund",P$3,$A574))</f>
        <v/>
      </c>
      <c r="Q574" s="13" t="str">
        <f>IF($A574="","",[1]!thsiFinD("ths_adjustment_nv_fund",Q$3,$A574))</f>
        <v/>
      </c>
      <c r="R574" s="13" t="str">
        <f>IF($A574="","",[1]!thsiFinD("ths_adjustment_nv_fund",R$3,$A574))</f>
        <v/>
      </c>
      <c r="S574" s="13" t="str">
        <f>IF($A574="","",[1]!thsiFinD("ths_adjustment_nv_fund",S$3,$A574))</f>
        <v/>
      </c>
      <c r="T574" s="13" t="str">
        <f>IF($A574="","",[1]!thsiFinD("ths_adjustment_nv_fund",T$3,$A574))</f>
        <v/>
      </c>
      <c r="U574" s="13" t="str">
        <f>IF($A574="","",[1]!thsiFinD("ths_adjustment_nv_fund",U$3,$A574))</f>
        <v/>
      </c>
      <c r="V574" s="13" t="str">
        <f>IF($A574="","",[1]!thsiFinD("ths_adjustment_nv_fund",V$3,$A574))</f>
        <v/>
      </c>
      <c r="W574" s="13" t="str">
        <f>IF($A574="","",[1]!thsiFinD("ths_adjustment_nv_fund",W$3,$A574))</f>
        <v/>
      </c>
      <c r="X574" s="13" t="str">
        <f>IF($A574="","",[1]!thsiFinD("ths_adjustment_nv_fund",X$3,$A574))</f>
        <v/>
      </c>
      <c r="Y574" s="13" t="str">
        <f>IF($A574="","",[1]!thsiFinD("ths_adjustment_nv_fund",Y$3,$A574))</f>
        <v/>
      </c>
      <c r="Z574" s="13" t="str">
        <f>IF($A574="","",[1]!thsiFinD("ths_adjustment_nv_fund",Z$3,$A574))</f>
        <v/>
      </c>
      <c r="AA574" s="13" t="str">
        <f>IF($A574="","",[1]!thsiFinD("ths_adjustment_nv_fund",AA$3,$A574))</f>
        <v/>
      </c>
      <c r="AB574" s="13" t="str">
        <f>IF($A574="","",[1]!thsiFinD("ths_adjustment_nv_fund",AB$3,$A574))</f>
        <v/>
      </c>
    </row>
    <row r="575" spans="2:28">
      <c r="B575" s="13" t="str">
        <f>IF($A575="","",[1]!thsiFinD("ths_adjustment_nv_fund",B$3,$A575))</f>
        <v/>
      </c>
      <c r="C575" s="13" t="str">
        <f>IF($A575="","",[1]!thsiFinD("ths_adjustment_nv_fund",C$3,$A575))</f>
        <v/>
      </c>
      <c r="D575" s="13" t="str">
        <f>IF($A575="","",[1]!thsiFinD("ths_adjustment_nv_fund",D$3,$A575))</f>
        <v/>
      </c>
      <c r="E575" s="13" t="str">
        <f>IF($A575="","",[1]!thsiFinD("ths_adjustment_nv_fund",E$3,$A575))</f>
        <v/>
      </c>
      <c r="F575" s="13" t="str">
        <f>IF($A575="","",[1]!thsiFinD("ths_adjustment_nv_fund",F$3,$A575))</f>
        <v/>
      </c>
      <c r="G575" s="13" t="str">
        <f>IF($A575="","",[1]!thsiFinD("ths_adjustment_nv_fund",G$3,$A575))</f>
        <v/>
      </c>
      <c r="H575" s="13" t="str">
        <f>IF($A575="","",[1]!thsiFinD("ths_adjustment_nv_fund",H$3,$A575))</f>
        <v/>
      </c>
      <c r="I575" s="13" t="str">
        <f>IF($A575="","",[1]!thsiFinD("ths_adjustment_nv_fund",I$3,$A575))</f>
        <v/>
      </c>
      <c r="J575" s="13" t="str">
        <f>IF($A575="","",[1]!thsiFinD("ths_adjustment_nv_fund",J$3,$A575))</f>
        <v/>
      </c>
      <c r="K575" s="13" t="str">
        <f>IF($A575="","",[1]!thsiFinD("ths_adjustment_nv_fund",K$3,$A575))</f>
        <v/>
      </c>
      <c r="L575" s="13" t="str">
        <f>IF($A575="","",[1]!thsiFinD("ths_adjustment_nv_fund",L$3,$A575))</f>
        <v/>
      </c>
      <c r="M575" s="13" t="str">
        <f>IF($A575="","",[1]!thsiFinD("ths_adjustment_nv_fund",M$3,$A575))</f>
        <v/>
      </c>
      <c r="N575" s="13" t="str">
        <f>IF($A575="","",[1]!thsiFinD("ths_adjustment_nv_fund",N$3,$A575))</f>
        <v/>
      </c>
      <c r="O575" s="13" t="str">
        <f>IF($A575="","",[1]!thsiFinD("ths_adjustment_nv_fund",O$3,$A575))</f>
        <v/>
      </c>
      <c r="P575" s="13" t="str">
        <f>IF($A575="","",[1]!thsiFinD("ths_adjustment_nv_fund",P$3,$A575))</f>
        <v/>
      </c>
      <c r="Q575" s="13" t="str">
        <f>IF($A575="","",[1]!thsiFinD("ths_adjustment_nv_fund",Q$3,$A575))</f>
        <v/>
      </c>
      <c r="R575" s="13" t="str">
        <f>IF($A575="","",[1]!thsiFinD("ths_adjustment_nv_fund",R$3,$A575))</f>
        <v/>
      </c>
      <c r="S575" s="13" t="str">
        <f>IF($A575="","",[1]!thsiFinD("ths_adjustment_nv_fund",S$3,$A575))</f>
        <v/>
      </c>
      <c r="T575" s="13" t="str">
        <f>IF($A575="","",[1]!thsiFinD("ths_adjustment_nv_fund",T$3,$A575))</f>
        <v/>
      </c>
      <c r="U575" s="13" t="str">
        <f>IF($A575="","",[1]!thsiFinD("ths_adjustment_nv_fund",U$3,$A575))</f>
        <v/>
      </c>
      <c r="V575" s="13" t="str">
        <f>IF($A575="","",[1]!thsiFinD("ths_adjustment_nv_fund",V$3,$A575))</f>
        <v/>
      </c>
      <c r="W575" s="13" t="str">
        <f>IF($A575="","",[1]!thsiFinD("ths_adjustment_nv_fund",W$3,$A575))</f>
        <v/>
      </c>
      <c r="X575" s="13" t="str">
        <f>IF($A575="","",[1]!thsiFinD("ths_adjustment_nv_fund",X$3,$A575))</f>
        <v/>
      </c>
      <c r="Y575" s="13" t="str">
        <f>IF($A575="","",[1]!thsiFinD("ths_adjustment_nv_fund",Y$3,$A575))</f>
        <v/>
      </c>
      <c r="Z575" s="13" t="str">
        <f>IF($A575="","",[1]!thsiFinD("ths_adjustment_nv_fund",Z$3,$A575))</f>
        <v/>
      </c>
      <c r="AA575" s="13" t="str">
        <f>IF($A575="","",[1]!thsiFinD("ths_adjustment_nv_fund",AA$3,$A575))</f>
        <v/>
      </c>
      <c r="AB575" s="13" t="str">
        <f>IF($A575="","",[1]!thsiFinD("ths_adjustment_nv_fund",AB$3,$A575))</f>
        <v/>
      </c>
    </row>
    <row r="576" spans="2:28">
      <c r="B576" s="13" t="str">
        <f>IF($A576="","",[1]!thsiFinD("ths_adjustment_nv_fund",B$3,$A576))</f>
        <v/>
      </c>
      <c r="C576" s="13" t="str">
        <f>IF($A576="","",[1]!thsiFinD("ths_adjustment_nv_fund",C$3,$A576))</f>
        <v/>
      </c>
      <c r="D576" s="13" t="str">
        <f>IF($A576="","",[1]!thsiFinD("ths_adjustment_nv_fund",D$3,$A576))</f>
        <v/>
      </c>
      <c r="E576" s="13" t="str">
        <f>IF($A576="","",[1]!thsiFinD("ths_adjustment_nv_fund",E$3,$A576))</f>
        <v/>
      </c>
      <c r="F576" s="13" t="str">
        <f>IF($A576="","",[1]!thsiFinD("ths_adjustment_nv_fund",F$3,$A576))</f>
        <v/>
      </c>
      <c r="G576" s="13" t="str">
        <f>IF($A576="","",[1]!thsiFinD("ths_adjustment_nv_fund",G$3,$A576))</f>
        <v/>
      </c>
      <c r="H576" s="13" t="str">
        <f>IF($A576="","",[1]!thsiFinD("ths_adjustment_nv_fund",H$3,$A576))</f>
        <v/>
      </c>
      <c r="I576" s="13" t="str">
        <f>IF($A576="","",[1]!thsiFinD("ths_adjustment_nv_fund",I$3,$A576))</f>
        <v/>
      </c>
      <c r="J576" s="13" t="str">
        <f>IF($A576="","",[1]!thsiFinD("ths_adjustment_nv_fund",J$3,$A576))</f>
        <v/>
      </c>
      <c r="K576" s="13" t="str">
        <f>IF($A576="","",[1]!thsiFinD("ths_adjustment_nv_fund",K$3,$A576))</f>
        <v/>
      </c>
      <c r="L576" s="13" t="str">
        <f>IF($A576="","",[1]!thsiFinD("ths_adjustment_nv_fund",L$3,$A576))</f>
        <v/>
      </c>
      <c r="M576" s="13" t="str">
        <f>IF($A576="","",[1]!thsiFinD("ths_adjustment_nv_fund",M$3,$A576))</f>
        <v/>
      </c>
      <c r="N576" s="13" t="str">
        <f>IF($A576="","",[1]!thsiFinD("ths_adjustment_nv_fund",N$3,$A576))</f>
        <v/>
      </c>
      <c r="O576" s="13" t="str">
        <f>IF($A576="","",[1]!thsiFinD("ths_adjustment_nv_fund",O$3,$A576))</f>
        <v/>
      </c>
      <c r="P576" s="13" t="str">
        <f>IF($A576="","",[1]!thsiFinD("ths_adjustment_nv_fund",P$3,$A576))</f>
        <v/>
      </c>
      <c r="Q576" s="13" t="str">
        <f>IF($A576="","",[1]!thsiFinD("ths_adjustment_nv_fund",Q$3,$A576))</f>
        <v/>
      </c>
      <c r="R576" s="13" t="str">
        <f>IF($A576="","",[1]!thsiFinD("ths_adjustment_nv_fund",R$3,$A576))</f>
        <v/>
      </c>
      <c r="S576" s="13" t="str">
        <f>IF($A576="","",[1]!thsiFinD("ths_adjustment_nv_fund",S$3,$A576))</f>
        <v/>
      </c>
      <c r="T576" s="13" t="str">
        <f>IF($A576="","",[1]!thsiFinD("ths_adjustment_nv_fund",T$3,$A576))</f>
        <v/>
      </c>
      <c r="U576" s="13" t="str">
        <f>IF($A576="","",[1]!thsiFinD("ths_adjustment_nv_fund",U$3,$A576))</f>
        <v/>
      </c>
      <c r="V576" s="13" t="str">
        <f>IF($A576="","",[1]!thsiFinD("ths_adjustment_nv_fund",V$3,$A576))</f>
        <v/>
      </c>
      <c r="W576" s="13" t="str">
        <f>IF($A576="","",[1]!thsiFinD("ths_adjustment_nv_fund",W$3,$A576))</f>
        <v/>
      </c>
      <c r="X576" s="13" t="str">
        <f>IF($A576="","",[1]!thsiFinD("ths_adjustment_nv_fund",X$3,$A576))</f>
        <v/>
      </c>
      <c r="Y576" s="13" t="str">
        <f>IF($A576="","",[1]!thsiFinD("ths_adjustment_nv_fund",Y$3,$A576))</f>
        <v/>
      </c>
      <c r="Z576" s="13" t="str">
        <f>IF($A576="","",[1]!thsiFinD("ths_adjustment_nv_fund",Z$3,$A576))</f>
        <v/>
      </c>
      <c r="AA576" s="13" t="str">
        <f>IF($A576="","",[1]!thsiFinD("ths_adjustment_nv_fund",AA$3,$A576))</f>
        <v/>
      </c>
      <c r="AB576" s="13" t="str">
        <f>IF($A576="","",[1]!thsiFinD("ths_adjustment_nv_fund",AB$3,$A576))</f>
        <v/>
      </c>
    </row>
    <row r="577" spans="2:28">
      <c r="B577" s="13" t="str">
        <f>IF($A577="","",[1]!thsiFinD("ths_adjustment_nv_fund",B$3,$A577))</f>
        <v/>
      </c>
      <c r="C577" s="13" t="str">
        <f>IF($A577="","",[1]!thsiFinD("ths_adjustment_nv_fund",C$3,$A577))</f>
        <v/>
      </c>
      <c r="D577" s="13" t="str">
        <f>IF($A577="","",[1]!thsiFinD("ths_adjustment_nv_fund",D$3,$A577))</f>
        <v/>
      </c>
      <c r="E577" s="13" t="str">
        <f>IF($A577="","",[1]!thsiFinD("ths_adjustment_nv_fund",E$3,$A577))</f>
        <v/>
      </c>
      <c r="F577" s="13" t="str">
        <f>IF($A577="","",[1]!thsiFinD("ths_adjustment_nv_fund",F$3,$A577))</f>
        <v/>
      </c>
      <c r="G577" s="13" t="str">
        <f>IF($A577="","",[1]!thsiFinD("ths_adjustment_nv_fund",G$3,$A577))</f>
        <v/>
      </c>
      <c r="H577" s="13" t="str">
        <f>IF($A577="","",[1]!thsiFinD("ths_adjustment_nv_fund",H$3,$A577))</f>
        <v/>
      </c>
      <c r="I577" s="13" t="str">
        <f>IF($A577="","",[1]!thsiFinD("ths_adjustment_nv_fund",I$3,$A577))</f>
        <v/>
      </c>
      <c r="J577" s="13" t="str">
        <f>IF($A577="","",[1]!thsiFinD("ths_adjustment_nv_fund",J$3,$A577))</f>
        <v/>
      </c>
      <c r="K577" s="13" t="str">
        <f>IF($A577="","",[1]!thsiFinD("ths_adjustment_nv_fund",K$3,$A577))</f>
        <v/>
      </c>
      <c r="L577" s="13" t="str">
        <f>IF($A577="","",[1]!thsiFinD("ths_adjustment_nv_fund",L$3,$A577))</f>
        <v/>
      </c>
      <c r="M577" s="13" t="str">
        <f>IF($A577="","",[1]!thsiFinD("ths_adjustment_nv_fund",M$3,$A577))</f>
        <v/>
      </c>
      <c r="N577" s="13" t="str">
        <f>IF($A577="","",[1]!thsiFinD("ths_adjustment_nv_fund",N$3,$A577))</f>
        <v/>
      </c>
      <c r="O577" s="13" t="str">
        <f>IF($A577="","",[1]!thsiFinD("ths_adjustment_nv_fund",O$3,$A577))</f>
        <v/>
      </c>
      <c r="P577" s="13" t="str">
        <f>IF($A577="","",[1]!thsiFinD("ths_adjustment_nv_fund",P$3,$A577))</f>
        <v/>
      </c>
      <c r="Q577" s="13" t="str">
        <f>IF($A577="","",[1]!thsiFinD("ths_adjustment_nv_fund",Q$3,$A577))</f>
        <v/>
      </c>
      <c r="R577" s="13" t="str">
        <f>IF($A577="","",[1]!thsiFinD("ths_adjustment_nv_fund",R$3,$A577))</f>
        <v/>
      </c>
      <c r="S577" s="13" t="str">
        <f>IF($A577="","",[1]!thsiFinD("ths_adjustment_nv_fund",S$3,$A577))</f>
        <v/>
      </c>
      <c r="T577" s="13" t="str">
        <f>IF($A577="","",[1]!thsiFinD("ths_adjustment_nv_fund",T$3,$A577))</f>
        <v/>
      </c>
      <c r="U577" s="13" t="str">
        <f>IF($A577="","",[1]!thsiFinD("ths_adjustment_nv_fund",U$3,$A577))</f>
        <v/>
      </c>
      <c r="V577" s="13" t="str">
        <f>IF($A577="","",[1]!thsiFinD("ths_adjustment_nv_fund",V$3,$A577))</f>
        <v/>
      </c>
      <c r="W577" s="13" t="str">
        <f>IF($A577="","",[1]!thsiFinD("ths_adjustment_nv_fund",W$3,$A577))</f>
        <v/>
      </c>
      <c r="X577" s="13" t="str">
        <f>IF($A577="","",[1]!thsiFinD("ths_adjustment_nv_fund",X$3,$A577))</f>
        <v/>
      </c>
      <c r="Y577" s="13" t="str">
        <f>IF($A577="","",[1]!thsiFinD("ths_adjustment_nv_fund",Y$3,$A577))</f>
        <v/>
      </c>
      <c r="Z577" s="13" t="str">
        <f>IF($A577="","",[1]!thsiFinD("ths_adjustment_nv_fund",Z$3,$A577))</f>
        <v/>
      </c>
      <c r="AA577" s="13" t="str">
        <f>IF($A577="","",[1]!thsiFinD("ths_adjustment_nv_fund",AA$3,$A577))</f>
        <v/>
      </c>
      <c r="AB577" s="13" t="str">
        <f>IF($A577="","",[1]!thsiFinD("ths_adjustment_nv_fund",AB$3,$A577))</f>
        <v/>
      </c>
    </row>
    <row r="578" spans="2:28">
      <c r="B578" s="13" t="str">
        <f>IF($A578="","",[1]!thsiFinD("ths_adjustment_nv_fund",B$3,$A578))</f>
        <v/>
      </c>
      <c r="C578" s="13" t="str">
        <f>IF($A578="","",[1]!thsiFinD("ths_adjustment_nv_fund",C$3,$A578))</f>
        <v/>
      </c>
      <c r="D578" s="13" t="str">
        <f>IF($A578="","",[1]!thsiFinD("ths_adjustment_nv_fund",D$3,$A578))</f>
        <v/>
      </c>
      <c r="E578" s="13" t="str">
        <f>IF($A578="","",[1]!thsiFinD("ths_adjustment_nv_fund",E$3,$A578))</f>
        <v/>
      </c>
      <c r="F578" s="13" t="str">
        <f>IF($A578="","",[1]!thsiFinD("ths_adjustment_nv_fund",F$3,$A578))</f>
        <v/>
      </c>
      <c r="G578" s="13" t="str">
        <f>IF($A578="","",[1]!thsiFinD("ths_adjustment_nv_fund",G$3,$A578))</f>
        <v/>
      </c>
      <c r="H578" s="13" t="str">
        <f>IF($A578="","",[1]!thsiFinD("ths_adjustment_nv_fund",H$3,$A578))</f>
        <v/>
      </c>
      <c r="I578" s="13" t="str">
        <f>IF($A578="","",[1]!thsiFinD("ths_adjustment_nv_fund",I$3,$A578))</f>
        <v/>
      </c>
      <c r="J578" s="13" t="str">
        <f>IF($A578="","",[1]!thsiFinD("ths_adjustment_nv_fund",J$3,$A578))</f>
        <v/>
      </c>
      <c r="K578" s="13" t="str">
        <f>IF($A578="","",[1]!thsiFinD("ths_adjustment_nv_fund",K$3,$A578))</f>
        <v/>
      </c>
      <c r="L578" s="13" t="str">
        <f>IF($A578="","",[1]!thsiFinD("ths_adjustment_nv_fund",L$3,$A578))</f>
        <v/>
      </c>
      <c r="M578" s="13" t="str">
        <f>IF($A578="","",[1]!thsiFinD("ths_adjustment_nv_fund",M$3,$A578))</f>
        <v/>
      </c>
      <c r="N578" s="13" t="str">
        <f>IF($A578="","",[1]!thsiFinD("ths_adjustment_nv_fund",N$3,$A578))</f>
        <v/>
      </c>
      <c r="O578" s="13" t="str">
        <f>IF($A578="","",[1]!thsiFinD("ths_adjustment_nv_fund",O$3,$A578))</f>
        <v/>
      </c>
      <c r="P578" s="13" t="str">
        <f>IF($A578="","",[1]!thsiFinD("ths_adjustment_nv_fund",P$3,$A578))</f>
        <v/>
      </c>
      <c r="Q578" s="13" t="str">
        <f>IF($A578="","",[1]!thsiFinD("ths_adjustment_nv_fund",Q$3,$A578))</f>
        <v/>
      </c>
      <c r="R578" s="13" t="str">
        <f>IF($A578="","",[1]!thsiFinD("ths_adjustment_nv_fund",R$3,$A578))</f>
        <v/>
      </c>
      <c r="S578" s="13" t="str">
        <f>IF($A578="","",[1]!thsiFinD("ths_adjustment_nv_fund",S$3,$A578))</f>
        <v/>
      </c>
      <c r="T578" s="13" t="str">
        <f>IF($A578="","",[1]!thsiFinD("ths_adjustment_nv_fund",T$3,$A578))</f>
        <v/>
      </c>
      <c r="U578" s="13" t="str">
        <f>IF($A578="","",[1]!thsiFinD("ths_adjustment_nv_fund",U$3,$A578))</f>
        <v/>
      </c>
      <c r="V578" s="13" t="str">
        <f>IF($A578="","",[1]!thsiFinD("ths_adjustment_nv_fund",V$3,$A578))</f>
        <v/>
      </c>
      <c r="W578" s="13" t="str">
        <f>IF($A578="","",[1]!thsiFinD("ths_adjustment_nv_fund",W$3,$A578))</f>
        <v/>
      </c>
      <c r="X578" s="13" t="str">
        <f>IF($A578="","",[1]!thsiFinD("ths_adjustment_nv_fund",X$3,$A578))</f>
        <v/>
      </c>
      <c r="Y578" s="13" t="str">
        <f>IF($A578="","",[1]!thsiFinD("ths_adjustment_nv_fund",Y$3,$A578))</f>
        <v/>
      </c>
      <c r="Z578" s="13" t="str">
        <f>IF($A578="","",[1]!thsiFinD("ths_adjustment_nv_fund",Z$3,$A578))</f>
        <v/>
      </c>
      <c r="AA578" s="13" t="str">
        <f>IF($A578="","",[1]!thsiFinD("ths_adjustment_nv_fund",AA$3,$A578))</f>
        <v/>
      </c>
      <c r="AB578" s="13" t="str">
        <f>IF($A578="","",[1]!thsiFinD("ths_adjustment_nv_fund",AB$3,$A578))</f>
        <v/>
      </c>
    </row>
    <row r="579" spans="2:28">
      <c r="B579" s="13" t="str">
        <f>IF($A579="","",[1]!thsiFinD("ths_adjustment_nv_fund",B$3,$A579))</f>
        <v/>
      </c>
      <c r="C579" s="13" t="str">
        <f>IF($A579="","",[1]!thsiFinD("ths_adjustment_nv_fund",C$3,$A579))</f>
        <v/>
      </c>
      <c r="D579" s="13" t="str">
        <f>IF($A579="","",[1]!thsiFinD("ths_adjustment_nv_fund",D$3,$A579))</f>
        <v/>
      </c>
      <c r="E579" s="13" t="str">
        <f>IF($A579="","",[1]!thsiFinD("ths_adjustment_nv_fund",E$3,$A579))</f>
        <v/>
      </c>
      <c r="F579" s="13" t="str">
        <f>IF($A579="","",[1]!thsiFinD("ths_adjustment_nv_fund",F$3,$A579))</f>
        <v/>
      </c>
      <c r="G579" s="13" t="str">
        <f>IF($A579="","",[1]!thsiFinD("ths_adjustment_nv_fund",G$3,$A579))</f>
        <v/>
      </c>
      <c r="H579" s="13" t="str">
        <f>IF($A579="","",[1]!thsiFinD("ths_adjustment_nv_fund",H$3,$A579))</f>
        <v/>
      </c>
      <c r="I579" s="13" t="str">
        <f>IF($A579="","",[1]!thsiFinD("ths_adjustment_nv_fund",I$3,$A579))</f>
        <v/>
      </c>
      <c r="J579" s="13" t="str">
        <f>IF($A579="","",[1]!thsiFinD("ths_adjustment_nv_fund",J$3,$A579))</f>
        <v/>
      </c>
      <c r="K579" s="13" t="str">
        <f>IF($A579="","",[1]!thsiFinD("ths_adjustment_nv_fund",K$3,$A579))</f>
        <v/>
      </c>
      <c r="L579" s="13" t="str">
        <f>IF($A579="","",[1]!thsiFinD("ths_adjustment_nv_fund",L$3,$A579))</f>
        <v/>
      </c>
      <c r="M579" s="13" t="str">
        <f>IF($A579="","",[1]!thsiFinD("ths_adjustment_nv_fund",M$3,$A579))</f>
        <v/>
      </c>
      <c r="N579" s="13" t="str">
        <f>IF($A579="","",[1]!thsiFinD("ths_adjustment_nv_fund",N$3,$A579))</f>
        <v/>
      </c>
      <c r="O579" s="13" t="str">
        <f>IF($A579="","",[1]!thsiFinD("ths_adjustment_nv_fund",O$3,$A579))</f>
        <v/>
      </c>
      <c r="P579" s="13" t="str">
        <f>IF($A579="","",[1]!thsiFinD("ths_adjustment_nv_fund",P$3,$A579))</f>
        <v/>
      </c>
      <c r="Q579" s="13" t="str">
        <f>IF($A579="","",[1]!thsiFinD("ths_adjustment_nv_fund",Q$3,$A579))</f>
        <v/>
      </c>
      <c r="R579" s="13" t="str">
        <f>IF($A579="","",[1]!thsiFinD("ths_adjustment_nv_fund",R$3,$A579))</f>
        <v/>
      </c>
      <c r="S579" s="13" t="str">
        <f>IF($A579="","",[1]!thsiFinD("ths_adjustment_nv_fund",S$3,$A579))</f>
        <v/>
      </c>
      <c r="T579" s="13" t="str">
        <f>IF($A579="","",[1]!thsiFinD("ths_adjustment_nv_fund",T$3,$A579))</f>
        <v/>
      </c>
      <c r="U579" s="13" t="str">
        <f>IF($A579="","",[1]!thsiFinD("ths_adjustment_nv_fund",U$3,$A579))</f>
        <v/>
      </c>
      <c r="V579" s="13" t="str">
        <f>IF($A579="","",[1]!thsiFinD("ths_adjustment_nv_fund",V$3,$A579))</f>
        <v/>
      </c>
      <c r="W579" s="13" t="str">
        <f>IF($A579="","",[1]!thsiFinD("ths_adjustment_nv_fund",W$3,$A579))</f>
        <v/>
      </c>
      <c r="X579" s="13" t="str">
        <f>IF($A579="","",[1]!thsiFinD("ths_adjustment_nv_fund",X$3,$A579))</f>
        <v/>
      </c>
      <c r="Y579" s="13" t="str">
        <f>IF($A579="","",[1]!thsiFinD("ths_adjustment_nv_fund",Y$3,$A579))</f>
        <v/>
      </c>
      <c r="Z579" s="13" t="str">
        <f>IF($A579="","",[1]!thsiFinD("ths_adjustment_nv_fund",Z$3,$A579))</f>
        <v/>
      </c>
      <c r="AA579" s="13" t="str">
        <f>IF($A579="","",[1]!thsiFinD("ths_adjustment_nv_fund",AA$3,$A579))</f>
        <v/>
      </c>
      <c r="AB579" s="13" t="str">
        <f>IF($A579="","",[1]!thsiFinD("ths_adjustment_nv_fund",AB$3,$A579))</f>
        <v/>
      </c>
    </row>
    <row r="580" spans="2:28">
      <c r="B580" s="13" t="str">
        <f>IF($A580="","",[1]!thsiFinD("ths_adjustment_nv_fund",B$3,$A580))</f>
        <v/>
      </c>
      <c r="C580" s="13" t="str">
        <f>IF($A580="","",[1]!thsiFinD("ths_adjustment_nv_fund",C$3,$A580))</f>
        <v/>
      </c>
      <c r="D580" s="13" t="str">
        <f>IF($A580="","",[1]!thsiFinD("ths_adjustment_nv_fund",D$3,$A580))</f>
        <v/>
      </c>
      <c r="E580" s="13" t="str">
        <f>IF($A580="","",[1]!thsiFinD("ths_adjustment_nv_fund",E$3,$A580))</f>
        <v/>
      </c>
      <c r="F580" s="13" t="str">
        <f>IF($A580="","",[1]!thsiFinD("ths_adjustment_nv_fund",F$3,$A580))</f>
        <v/>
      </c>
      <c r="G580" s="13" t="str">
        <f>IF($A580="","",[1]!thsiFinD("ths_adjustment_nv_fund",G$3,$A580))</f>
        <v/>
      </c>
      <c r="H580" s="13" t="str">
        <f>IF($A580="","",[1]!thsiFinD("ths_adjustment_nv_fund",H$3,$A580))</f>
        <v/>
      </c>
      <c r="I580" s="13" t="str">
        <f>IF($A580="","",[1]!thsiFinD("ths_adjustment_nv_fund",I$3,$A580))</f>
        <v/>
      </c>
      <c r="J580" s="13" t="str">
        <f>IF($A580="","",[1]!thsiFinD("ths_adjustment_nv_fund",J$3,$A580))</f>
        <v/>
      </c>
      <c r="K580" s="13" t="str">
        <f>IF($A580="","",[1]!thsiFinD("ths_adjustment_nv_fund",K$3,$A580))</f>
        <v/>
      </c>
      <c r="L580" s="13" t="str">
        <f>IF($A580="","",[1]!thsiFinD("ths_adjustment_nv_fund",L$3,$A580))</f>
        <v/>
      </c>
      <c r="M580" s="13" t="str">
        <f>IF($A580="","",[1]!thsiFinD("ths_adjustment_nv_fund",M$3,$A580))</f>
        <v/>
      </c>
      <c r="N580" s="13" t="str">
        <f>IF($A580="","",[1]!thsiFinD("ths_adjustment_nv_fund",N$3,$A580))</f>
        <v/>
      </c>
      <c r="O580" s="13" t="str">
        <f>IF($A580="","",[1]!thsiFinD("ths_adjustment_nv_fund",O$3,$A580))</f>
        <v/>
      </c>
      <c r="P580" s="13" t="str">
        <f>IF($A580="","",[1]!thsiFinD("ths_adjustment_nv_fund",P$3,$A580))</f>
        <v/>
      </c>
      <c r="Q580" s="13" t="str">
        <f>IF($A580="","",[1]!thsiFinD("ths_adjustment_nv_fund",Q$3,$A580))</f>
        <v/>
      </c>
      <c r="R580" s="13" t="str">
        <f>IF($A580="","",[1]!thsiFinD("ths_adjustment_nv_fund",R$3,$A580))</f>
        <v/>
      </c>
      <c r="S580" s="13" t="str">
        <f>IF($A580="","",[1]!thsiFinD("ths_adjustment_nv_fund",S$3,$A580))</f>
        <v/>
      </c>
      <c r="T580" s="13" t="str">
        <f>IF($A580="","",[1]!thsiFinD("ths_adjustment_nv_fund",T$3,$A580))</f>
        <v/>
      </c>
      <c r="U580" s="13" t="str">
        <f>IF($A580="","",[1]!thsiFinD("ths_adjustment_nv_fund",U$3,$A580))</f>
        <v/>
      </c>
      <c r="V580" s="13" t="str">
        <f>IF($A580="","",[1]!thsiFinD("ths_adjustment_nv_fund",V$3,$A580))</f>
        <v/>
      </c>
      <c r="W580" s="13" t="str">
        <f>IF($A580="","",[1]!thsiFinD("ths_adjustment_nv_fund",W$3,$A580))</f>
        <v/>
      </c>
      <c r="X580" s="13" t="str">
        <f>IF($A580="","",[1]!thsiFinD("ths_adjustment_nv_fund",X$3,$A580))</f>
        <v/>
      </c>
      <c r="Y580" s="13" t="str">
        <f>IF($A580="","",[1]!thsiFinD("ths_adjustment_nv_fund",Y$3,$A580))</f>
        <v/>
      </c>
      <c r="Z580" s="13" t="str">
        <f>IF($A580="","",[1]!thsiFinD("ths_adjustment_nv_fund",Z$3,$A580))</f>
        <v/>
      </c>
      <c r="AA580" s="13" t="str">
        <f>IF($A580="","",[1]!thsiFinD("ths_adjustment_nv_fund",AA$3,$A580))</f>
        <v/>
      </c>
      <c r="AB580" s="13" t="str">
        <f>IF($A580="","",[1]!thsiFinD("ths_adjustment_nv_fund",AB$3,$A580))</f>
        <v/>
      </c>
    </row>
    <row r="581" spans="2:28">
      <c r="B581" s="13" t="str">
        <f>IF($A581="","",[1]!thsiFinD("ths_adjustment_nv_fund",B$3,$A581))</f>
        <v/>
      </c>
      <c r="C581" s="13" t="str">
        <f>IF($A581="","",[1]!thsiFinD("ths_adjustment_nv_fund",C$3,$A581))</f>
        <v/>
      </c>
      <c r="D581" s="13" t="str">
        <f>IF($A581="","",[1]!thsiFinD("ths_adjustment_nv_fund",D$3,$A581))</f>
        <v/>
      </c>
      <c r="E581" s="13" t="str">
        <f>IF($A581="","",[1]!thsiFinD("ths_adjustment_nv_fund",E$3,$A581))</f>
        <v/>
      </c>
      <c r="F581" s="13" t="str">
        <f>IF($A581="","",[1]!thsiFinD("ths_adjustment_nv_fund",F$3,$A581))</f>
        <v/>
      </c>
      <c r="G581" s="13" t="str">
        <f>IF($A581="","",[1]!thsiFinD("ths_adjustment_nv_fund",G$3,$A581))</f>
        <v/>
      </c>
      <c r="H581" s="13" t="str">
        <f>IF($A581="","",[1]!thsiFinD("ths_adjustment_nv_fund",H$3,$A581))</f>
        <v/>
      </c>
      <c r="I581" s="13" t="str">
        <f>IF($A581="","",[1]!thsiFinD("ths_adjustment_nv_fund",I$3,$A581))</f>
        <v/>
      </c>
      <c r="J581" s="13" t="str">
        <f>IF($A581="","",[1]!thsiFinD("ths_adjustment_nv_fund",J$3,$A581))</f>
        <v/>
      </c>
      <c r="K581" s="13" t="str">
        <f>IF($A581="","",[1]!thsiFinD("ths_adjustment_nv_fund",K$3,$A581))</f>
        <v/>
      </c>
      <c r="L581" s="13" t="str">
        <f>IF($A581="","",[1]!thsiFinD("ths_adjustment_nv_fund",L$3,$A581))</f>
        <v/>
      </c>
      <c r="M581" s="13" t="str">
        <f>IF($A581="","",[1]!thsiFinD("ths_adjustment_nv_fund",M$3,$A581))</f>
        <v/>
      </c>
      <c r="N581" s="13" t="str">
        <f>IF($A581="","",[1]!thsiFinD("ths_adjustment_nv_fund",N$3,$A581))</f>
        <v/>
      </c>
      <c r="O581" s="13" t="str">
        <f>IF($A581="","",[1]!thsiFinD("ths_adjustment_nv_fund",O$3,$A581))</f>
        <v/>
      </c>
      <c r="P581" s="13" t="str">
        <f>IF($A581="","",[1]!thsiFinD("ths_adjustment_nv_fund",P$3,$A581))</f>
        <v/>
      </c>
      <c r="Q581" s="13" t="str">
        <f>IF($A581="","",[1]!thsiFinD("ths_adjustment_nv_fund",Q$3,$A581))</f>
        <v/>
      </c>
      <c r="R581" s="13" t="str">
        <f>IF($A581="","",[1]!thsiFinD("ths_adjustment_nv_fund",R$3,$A581))</f>
        <v/>
      </c>
      <c r="S581" s="13" t="str">
        <f>IF($A581="","",[1]!thsiFinD("ths_adjustment_nv_fund",S$3,$A581))</f>
        <v/>
      </c>
      <c r="T581" s="13" t="str">
        <f>IF($A581="","",[1]!thsiFinD("ths_adjustment_nv_fund",T$3,$A581))</f>
        <v/>
      </c>
      <c r="U581" s="13" t="str">
        <f>IF($A581="","",[1]!thsiFinD("ths_adjustment_nv_fund",U$3,$A581))</f>
        <v/>
      </c>
      <c r="V581" s="13" t="str">
        <f>IF($A581="","",[1]!thsiFinD("ths_adjustment_nv_fund",V$3,$A581))</f>
        <v/>
      </c>
      <c r="W581" s="13" t="str">
        <f>IF($A581="","",[1]!thsiFinD("ths_adjustment_nv_fund",W$3,$A581))</f>
        <v/>
      </c>
      <c r="X581" s="13" t="str">
        <f>IF($A581="","",[1]!thsiFinD("ths_adjustment_nv_fund",X$3,$A581))</f>
        <v/>
      </c>
      <c r="Y581" s="13" t="str">
        <f>IF($A581="","",[1]!thsiFinD("ths_adjustment_nv_fund",Y$3,$A581))</f>
        <v/>
      </c>
      <c r="Z581" s="13" t="str">
        <f>IF($A581="","",[1]!thsiFinD("ths_adjustment_nv_fund",Z$3,$A581))</f>
        <v/>
      </c>
      <c r="AA581" s="13" t="str">
        <f>IF($A581="","",[1]!thsiFinD("ths_adjustment_nv_fund",AA$3,$A581))</f>
        <v/>
      </c>
      <c r="AB581" s="13" t="str">
        <f>IF($A581="","",[1]!thsiFinD("ths_adjustment_nv_fund",AB$3,$A581))</f>
        <v/>
      </c>
    </row>
    <row r="582" spans="2:28">
      <c r="B582" s="13" t="str">
        <f>IF($A582="","",[1]!thsiFinD("ths_adjustment_nv_fund",B$3,$A582))</f>
        <v/>
      </c>
      <c r="C582" s="13" t="str">
        <f>IF($A582="","",[1]!thsiFinD("ths_adjustment_nv_fund",C$3,$A582))</f>
        <v/>
      </c>
      <c r="D582" s="13" t="str">
        <f>IF($A582="","",[1]!thsiFinD("ths_adjustment_nv_fund",D$3,$A582))</f>
        <v/>
      </c>
      <c r="E582" s="13" t="str">
        <f>IF($A582="","",[1]!thsiFinD("ths_adjustment_nv_fund",E$3,$A582))</f>
        <v/>
      </c>
      <c r="F582" s="13" t="str">
        <f>IF($A582="","",[1]!thsiFinD("ths_adjustment_nv_fund",F$3,$A582))</f>
        <v/>
      </c>
      <c r="G582" s="13" t="str">
        <f>IF($A582="","",[1]!thsiFinD("ths_adjustment_nv_fund",G$3,$A582))</f>
        <v/>
      </c>
      <c r="H582" s="13" t="str">
        <f>IF($A582="","",[1]!thsiFinD("ths_adjustment_nv_fund",H$3,$A582))</f>
        <v/>
      </c>
      <c r="I582" s="13" t="str">
        <f>IF($A582="","",[1]!thsiFinD("ths_adjustment_nv_fund",I$3,$A582))</f>
        <v/>
      </c>
      <c r="J582" s="13" t="str">
        <f>IF($A582="","",[1]!thsiFinD("ths_adjustment_nv_fund",J$3,$A582))</f>
        <v/>
      </c>
      <c r="K582" s="13" t="str">
        <f>IF($A582="","",[1]!thsiFinD("ths_adjustment_nv_fund",K$3,$A582))</f>
        <v/>
      </c>
      <c r="L582" s="13" t="str">
        <f>IF($A582="","",[1]!thsiFinD("ths_adjustment_nv_fund",L$3,$A582))</f>
        <v/>
      </c>
      <c r="M582" s="13" t="str">
        <f>IF($A582="","",[1]!thsiFinD("ths_adjustment_nv_fund",M$3,$A582))</f>
        <v/>
      </c>
      <c r="N582" s="13" t="str">
        <f>IF($A582="","",[1]!thsiFinD("ths_adjustment_nv_fund",N$3,$A582))</f>
        <v/>
      </c>
      <c r="O582" s="13" t="str">
        <f>IF($A582="","",[1]!thsiFinD("ths_adjustment_nv_fund",O$3,$A582))</f>
        <v/>
      </c>
      <c r="P582" s="13" t="str">
        <f>IF($A582="","",[1]!thsiFinD("ths_adjustment_nv_fund",P$3,$A582))</f>
        <v/>
      </c>
      <c r="Q582" s="13" t="str">
        <f>IF($A582="","",[1]!thsiFinD("ths_adjustment_nv_fund",Q$3,$A582))</f>
        <v/>
      </c>
      <c r="R582" s="13" t="str">
        <f>IF($A582="","",[1]!thsiFinD("ths_adjustment_nv_fund",R$3,$A582))</f>
        <v/>
      </c>
      <c r="S582" s="13" t="str">
        <f>IF($A582="","",[1]!thsiFinD("ths_adjustment_nv_fund",S$3,$A582))</f>
        <v/>
      </c>
      <c r="T582" s="13" t="str">
        <f>IF($A582="","",[1]!thsiFinD("ths_adjustment_nv_fund",T$3,$A582))</f>
        <v/>
      </c>
      <c r="U582" s="13" t="str">
        <f>IF($A582="","",[1]!thsiFinD("ths_adjustment_nv_fund",U$3,$A582))</f>
        <v/>
      </c>
      <c r="V582" s="13" t="str">
        <f>IF($A582="","",[1]!thsiFinD("ths_adjustment_nv_fund",V$3,$A582))</f>
        <v/>
      </c>
      <c r="W582" s="13" t="str">
        <f>IF($A582="","",[1]!thsiFinD("ths_adjustment_nv_fund",W$3,$A582))</f>
        <v/>
      </c>
      <c r="X582" s="13" t="str">
        <f>IF($A582="","",[1]!thsiFinD("ths_adjustment_nv_fund",X$3,$A582))</f>
        <v/>
      </c>
      <c r="Y582" s="13" t="str">
        <f>IF($A582="","",[1]!thsiFinD("ths_adjustment_nv_fund",Y$3,$A582))</f>
        <v/>
      </c>
      <c r="Z582" s="13" t="str">
        <f>IF($A582="","",[1]!thsiFinD("ths_adjustment_nv_fund",Z$3,$A582))</f>
        <v/>
      </c>
      <c r="AA582" s="13" t="str">
        <f>IF($A582="","",[1]!thsiFinD("ths_adjustment_nv_fund",AA$3,$A582))</f>
        <v/>
      </c>
      <c r="AB582" s="13" t="str">
        <f>IF($A582="","",[1]!thsiFinD("ths_adjustment_nv_fund",AB$3,$A582))</f>
        <v/>
      </c>
    </row>
    <row r="583" spans="2:28">
      <c r="B583" s="13" t="str">
        <f>IF($A583="","",[1]!thsiFinD("ths_adjustment_nv_fund",B$3,$A583))</f>
        <v/>
      </c>
      <c r="C583" s="13" t="str">
        <f>IF($A583="","",[1]!thsiFinD("ths_adjustment_nv_fund",C$3,$A583))</f>
        <v/>
      </c>
      <c r="D583" s="13" t="str">
        <f>IF($A583="","",[1]!thsiFinD("ths_adjustment_nv_fund",D$3,$A583))</f>
        <v/>
      </c>
      <c r="E583" s="13" t="str">
        <f>IF($A583="","",[1]!thsiFinD("ths_adjustment_nv_fund",E$3,$A583))</f>
        <v/>
      </c>
      <c r="F583" s="13" t="str">
        <f>IF($A583="","",[1]!thsiFinD("ths_adjustment_nv_fund",F$3,$A583))</f>
        <v/>
      </c>
      <c r="G583" s="13" t="str">
        <f>IF($A583="","",[1]!thsiFinD("ths_adjustment_nv_fund",G$3,$A583))</f>
        <v/>
      </c>
      <c r="H583" s="13" t="str">
        <f>IF($A583="","",[1]!thsiFinD("ths_adjustment_nv_fund",H$3,$A583))</f>
        <v/>
      </c>
      <c r="I583" s="13" t="str">
        <f>IF($A583="","",[1]!thsiFinD("ths_adjustment_nv_fund",I$3,$A583))</f>
        <v/>
      </c>
      <c r="J583" s="13" t="str">
        <f>IF($A583="","",[1]!thsiFinD("ths_adjustment_nv_fund",J$3,$A583))</f>
        <v/>
      </c>
      <c r="K583" s="13" t="str">
        <f>IF($A583="","",[1]!thsiFinD("ths_adjustment_nv_fund",K$3,$A583))</f>
        <v/>
      </c>
      <c r="L583" s="13" t="str">
        <f>IF($A583="","",[1]!thsiFinD("ths_adjustment_nv_fund",L$3,$A583))</f>
        <v/>
      </c>
      <c r="M583" s="13" t="str">
        <f>IF($A583="","",[1]!thsiFinD("ths_adjustment_nv_fund",M$3,$A583))</f>
        <v/>
      </c>
      <c r="N583" s="13" t="str">
        <f>IF($A583="","",[1]!thsiFinD("ths_adjustment_nv_fund",N$3,$A583))</f>
        <v/>
      </c>
      <c r="O583" s="13" t="str">
        <f>IF($A583="","",[1]!thsiFinD("ths_adjustment_nv_fund",O$3,$A583))</f>
        <v/>
      </c>
      <c r="P583" s="13" t="str">
        <f>IF($A583="","",[1]!thsiFinD("ths_adjustment_nv_fund",P$3,$A583))</f>
        <v/>
      </c>
      <c r="Q583" s="13" t="str">
        <f>IF($A583="","",[1]!thsiFinD("ths_adjustment_nv_fund",Q$3,$A583))</f>
        <v/>
      </c>
      <c r="R583" s="13" t="str">
        <f>IF($A583="","",[1]!thsiFinD("ths_adjustment_nv_fund",R$3,$A583))</f>
        <v/>
      </c>
      <c r="S583" s="13" t="str">
        <f>IF($A583="","",[1]!thsiFinD("ths_adjustment_nv_fund",S$3,$A583))</f>
        <v/>
      </c>
      <c r="T583" s="13" t="str">
        <f>IF($A583="","",[1]!thsiFinD("ths_adjustment_nv_fund",T$3,$A583))</f>
        <v/>
      </c>
      <c r="U583" s="13" t="str">
        <f>IF($A583="","",[1]!thsiFinD("ths_adjustment_nv_fund",U$3,$A583))</f>
        <v/>
      </c>
      <c r="V583" s="13" t="str">
        <f>IF($A583="","",[1]!thsiFinD("ths_adjustment_nv_fund",V$3,$A583))</f>
        <v/>
      </c>
      <c r="W583" s="13" t="str">
        <f>IF($A583="","",[1]!thsiFinD("ths_adjustment_nv_fund",W$3,$A583))</f>
        <v/>
      </c>
      <c r="X583" s="13" t="str">
        <f>IF($A583="","",[1]!thsiFinD("ths_adjustment_nv_fund",X$3,$A583))</f>
        <v/>
      </c>
      <c r="Y583" s="13" t="str">
        <f>IF($A583="","",[1]!thsiFinD("ths_adjustment_nv_fund",Y$3,$A583))</f>
        <v/>
      </c>
      <c r="Z583" s="13" t="str">
        <f>IF($A583="","",[1]!thsiFinD("ths_adjustment_nv_fund",Z$3,$A583))</f>
        <v/>
      </c>
      <c r="AA583" s="13" t="str">
        <f>IF($A583="","",[1]!thsiFinD("ths_adjustment_nv_fund",AA$3,$A583))</f>
        <v/>
      </c>
      <c r="AB583" s="13" t="str">
        <f>IF($A583="","",[1]!thsiFinD("ths_adjustment_nv_fund",AB$3,$A583))</f>
        <v/>
      </c>
    </row>
    <row r="584" spans="2:28">
      <c r="B584" s="13" t="str">
        <f>IF($A584="","",[1]!thsiFinD("ths_adjustment_nv_fund",B$3,$A584))</f>
        <v/>
      </c>
      <c r="C584" s="13" t="str">
        <f>IF($A584="","",[1]!thsiFinD("ths_adjustment_nv_fund",C$3,$A584))</f>
        <v/>
      </c>
      <c r="D584" s="13" t="str">
        <f>IF($A584="","",[1]!thsiFinD("ths_adjustment_nv_fund",D$3,$A584))</f>
        <v/>
      </c>
      <c r="E584" s="13" t="str">
        <f>IF($A584="","",[1]!thsiFinD("ths_adjustment_nv_fund",E$3,$A584))</f>
        <v/>
      </c>
      <c r="F584" s="13" t="str">
        <f>IF($A584="","",[1]!thsiFinD("ths_adjustment_nv_fund",F$3,$A584))</f>
        <v/>
      </c>
      <c r="G584" s="13" t="str">
        <f>IF($A584="","",[1]!thsiFinD("ths_adjustment_nv_fund",G$3,$A584))</f>
        <v/>
      </c>
      <c r="H584" s="13" t="str">
        <f>IF($A584="","",[1]!thsiFinD("ths_adjustment_nv_fund",H$3,$A584))</f>
        <v/>
      </c>
      <c r="I584" s="13" t="str">
        <f>IF($A584="","",[1]!thsiFinD("ths_adjustment_nv_fund",I$3,$A584))</f>
        <v/>
      </c>
      <c r="J584" s="13" t="str">
        <f>IF($A584="","",[1]!thsiFinD("ths_adjustment_nv_fund",J$3,$A584))</f>
        <v/>
      </c>
      <c r="K584" s="13" t="str">
        <f>IF($A584="","",[1]!thsiFinD("ths_adjustment_nv_fund",K$3,$A584))</f>
        <v/>
      </c>
      <c r="L584" s="13" t="str">
        <f>IF($A584="","",[1]!thsiFinD("ths_adjustment_nv_fund",L$3,$A584))</f>
        <v/>
      </c>
      <c r="M584" s="13" t="str">
        <f>IF($A584="","",[1]!thsiFinD("ths_adjustment_nv_fund",M$3,$A584))</f>
        <v/>
      </c>
      <c r="N584" s="13" t="str">
        <f>IF($A584="","",[1]!thsiFinD("ths_adjustment_nv_fund",N$3,$A584))</f>
        <v/>
      </c>
      <c r="O584" s="13" t="str">
        <f>IF($A584="","",[1]!thsiFinD("ths_adjustment_nv_fund",O$3,$A584))</f>
        <v/>
      </c>
      <c r="P584" s="13" t="str">
        <f>IF($A584="","",[1]!thsiFinD("ths_adjustment_nv_fund",P$3,$A584))</f>
        <v/>
      </c>
      <c r="Q584" s="13" t="str">
        <f>IF($A584="","",[1]!thsiFinD("ths_adjustment_nv_fund",Q$3,$A584))</f>
        <v/>
      </c>
      <c r="R584" s="13" t="str">
        <f>IF($A584="","",[1]!thsiFinD("ths_adjustment_nv_fund",R$3,$A584))</f>
        <v/>
      </c>
      <c r="S584" s="13" t="str">
        <f>IF($A584="","",[1]!thsiFinD("ths_adjustment_nv_fund",S$3,$A584))</f>
        <v/>
      </c>
      <c r="T584" s="13" t="str">
        <f>IF($A584="","",[1]!thsiFinD("ths_adjustment_nv_fund",T$3,$A584))</f>
        <v/>
      </c>
      <c r="U584" s="13" t="str">
        <f>IF($A584="","",[1]!thsiFinD("ths_adjustment_nv_fund",U$3,$A584))</f>
        <v/>
      </c>
      <c r="V584" s="13" t="str">
        <f>IF($A584="","",[1]!thsiFinD("ths_adjustment_nv_fund",V$3,$A584))</f>
        <v/>
      </c>
      <c r="W584" s="13" t="str">
        <f>IF($A584="","",[1]!thsiFinD("ths_adjustment_nv_fund",W$3,$A584))</f>
        <v/>
      </c>
      <c r="X584" s="13" t="str">
        <f>IF($A584="","",[1]!thsiFinD("ths_adjustment_nv_fund",X$3,$A584))</f>
        <v/>
      </c>
      <c r="Y584" s="13" t="str">
        <f>IF($A584="","",[1]!thsiFinD("ths_adjustment_nv_fund",Y$3,$A584))</f>
        <v/>
      </c>
      <c r="Z584" s="13" t="str">
        <f>IF($A584="","",[1]!thsiFinD("ths_adjustment_nv_fund",Z$3,$A584))</f>
        <v/>
      </c>
      <c r="AA584" s="13" t="str">
        <f>IF($A584="","",[1]!thsiFinD("ths_adjustment_nv_fund",AA$3,$A584))</f>
        <v/>
      </c>
      <c r="AB584" s="13" t="str">
        <f>IF($A584="","",[1]!thsiFinD("ths_adjustment_nv_fund",AB$3,$A584))</f>
        <v/>
      </c>
    </row>
    <row r="585" spans="2:28">
      <c r="B585" s="13" t="str">
        <f>IF($A585="","",[1]!thsiFinD("ths_adjustment_nv_fund",B$3,$A585))</f>
        <v/>
      </c>
      <c r="C585" s="13" t="str">
        <f>IF($A585="","",[1]!thsiFinD("ths_adjustment_nv_fund",C$3,$A585))</f>
        <v/>
      </c>
      <c r="D585" s="13" t="str">
        <f>IF($A585="","",[1]!thsiFinD("ths_adjustment_nv_fund",D$3,$A585))</f>
        <v/>
      </c>
      <c r="E585" s="13" t="str">
        <f>IF($A585="","",[1]!thsiFinD("ths_adjustment_nv_fund",E$3,$A585))</f>
        <v/>
      </c>
      <c r="F585" s="13" t="str">
        <f>IF($A585="","",[1]!thsiFinD("ths_adjustment_nv_fund",F$3,$A585))</f>
        <v/>
      </c>
      <c r="G585" s="13" t="str">
        <f>IF($A585="","",[1]!thsiFinD("ths_adjustment_nv_fund",G$3,$A585))</f>
        <v/>
      </c>
      <c r="H585" s="13" t="str">
        <f>IF($A585="","",[1]!thsiFinD("ths_adjustment_nv_fund",H$3,$A585))</f>
        <v/>
      </c>
      <c r="I585" s="13" t="str">
        <f>IF($A585="","",[1]!thsiFinD("ths_adjustment_nv_fund",I$3,$A585))</f>
        <v/>
      </c>
      <c r="J585" s="13" t="str">
        <f>IF($A585="","",[1]!thsiFinD("ths_adjustment_nv_fund",J$3,$A585))</f>
        <v/>
      </c>
      <c r="K585" s="13" t="str">
        <f>IF($A585="","",[1]!thsiFinD("ths_adjustment_nv_fund",K$3,$A585))</f>
        <v/>
      </c>
      <c r="L585" s="13" t="str">
        <f>IF($A585="","",[1]!thsiFinD("ths_adjustment_nv_fund",L$3,$A585))</f>
        <v/>
      </c>
      <c r="M585" s="13" t="str">
        <f>IF($A585="","",[1]!thsiFinD("ths_adjustment_nv_fund",M$3,$A585))</f>
        <v/>
      </c>
      <c r="N585" s="13" t="str">
        <f>IF($A585="","",[1]!thsiFinD("ths_adjustment_nv_fund",N$3,$A585))</f>
        <v/>
      </c>
      <c r="O585" s="13" t="str">
        <f>IF($A585="","",[1]!thsiFinD("ths_adjustment_nv_fund",O$3,$A585))</f>
        <v/>
      </c>
      <c r="P585" s="13" t="str">
        <f>IF($A585="","",[1]!thsiFinD("ths_adjustment_nv_fund",P$3,$A585))</f>
        <v/>
      </c>
      <c r="Q585" s="13" t="str">
        <f>IF($A585="","",[1]!thsiFinD("ths_adjustment_nv_fund",Q$3,$A585))</f>
        <v/>
      </c>
      <c r="R585" s="13" t="str">
        <f>IF($A585="","",[1]!thsiFinD("ths_adjustment_nv_fund",R$3,$A585))</f>
        <v/>
      </c>
      <c r="S585" s="13" t="str">
        <f>IF($A585="","",[1]!thsiFinD("ths_adjustment_nv_fund",S$3,$A585))</f>
        <v/>
      </c>
      <c r="T585" s="13" t="str">
        <f>IF($A585="","",[1]!thsiFinD("ths_adjustment_nv_fund",T$3,$A585))</f>
        <v/>
      </c>
      <c r="U585" s="13" t="str">
        <f>IF($A585="","",[1]!thsiFinD("ths_adjustment_nv_fund",U$3,$A585))</f>
        <v/>
      </c>
      <c r="V585" s="13" t="str">
        <f>IF($A585="","",[1]!thsiFinD("ths_adjustment_nv_fund",V$3,$A585))</f>
        <v/>
      </c>
      <c r="W585" s="13" t="str">
        <f>IF($A585="","",[1]!thsiFinD("ths_adjustment_nv_fund",W$3,$A585))</f>
        <v/>
      </c>
      <c r="X585" s="13" t="str">
        <f>IF($A585="","",[1]!thsiFinD("ths_adjustment_nv_fund",X$3,$A585))</f>
        <v/>
      </c>
      <c r="Y585" s="13" t="str">
        <f>IF($A585="","",[1]!thsiFinD("ths_adjustment_nv_fund",Y$3,$A585))</f>
        <v/>
      </c>
      <c r="Z585" s="13" t="str">
        <f>IF($A585="","",[1]!thsiFinD("ths_adjustment_nv_fund",Z$3,$A585))</f>
        <v/>
      </c>
      <c r="AA585" s="13" t="str">
        <f>IF($A585="","",[1]!thsiFinD("ths_adjustment_nv_fund",AA$3,$A585))</f>
        <v/>
      </c>
      <c r="AB585" s="13" t="str">
        <f>IF($A585="","",[1]!thsiFinD("ths_adjustment_nv_fund",AB$3,$A585))</f>
        <v/>
      </c>
    </row>
    <row r="586" spans="2:28">
      <c r="B586" s="13" t="str">
        <f>IF($A586="","",[1]!thsiFinD("ths_adjustment_nv_fund",B$3,$A586))</f>
        <v/>
      </c>
      <c r="C586" s="13" t="str">
        <f>IF($A586="","",[1]!thsiFinD("ths_adjustment_nv_fund",C$3,$A586))</f>
        <v/>
      </c>
      <c r="D586" s="13" t="str">
        <f>IF($A586="","",[1]!thsiFinD("ths_adjustment_nv_fund",D$3,$A586))</f>
        <v/>
      </c>
      <c r="E586" s="13" t="str">
        <f>IF($A586="","",[1]!thsiFinD("ths_adjustment_nv_fund",E$3,$A586))</f>
        <v/>
      </c>
      <c r="F586" s="13" t="str">
        <f>IF($A586="","",[1]!thsiFinD("ths_adjustment_nv_fund",F$3,$A586))</f>
        <v/>
      </c>
      <c r="G586" s="13" t="str">
        <f>IF($A586="","",[1]!thsiFinD("ths_adjustment_nv_fund",G$3,$A586))</f>
        <v/>
      </c>
      <c r="H586" s="13" t="str">
        <f>IF($A586="","",[1]!thsiFinD("ths_adjustment_nv_fund",H$3,$A586))</f>
        <v/>
      </c>
      <c r="I586" s="13" t="str">
        <f>IF($A586="","",[1]!thsiFinD("ths_adjustment_nv_fund",I$3,$A586))</f>
        <v/>
      </c>
      <c r="J586" s="13" t="str">
        <f>IF($A586="","",[1]!thsiFinD("ths_adjustment_nv_fund",J$3,$A586))</f>
        <v/>
      </c>
      <c r="K586" s="13" t="str">
        <f>IF($A586="","",[1]!thsiFinD("ths_adjustment_nv_fund",K$3,$A586))</f>
        <v/>
      </c>
      <c r="L586" s="13" t="str">
        <f>IF($A586="","",[1]!thsiFinD("ths_adjustment_nv_fund",L$3,$A586))</f>
        <v/>
      </c>
      <c r="M586" s="13" t="str">
        <f>IF($A586="","",[1]!thsiFinD("ths_adjustment_nv_fund",M$3,$A586))</f>
        <v/>
      </c>
      <c r="N586" s="13" t="str">
        <f>IF($A586="","",[1]!thsiFinD("ths_adjustment_nv_fund",N$3,$A586))</f>
        <v/>
      </c>
      <c r="O586" s="13" t="str">
        <f>IF($A586="","",[1]!thsiFinD("ths_adjustment_nv_fund",O$3,$A586))</f>
        <v/>
      </c>
      <c r="P586" s="13" t="str">
        <f>IF($A586="","",[1]!thsiFinD("ths_adjustment_nv_fund",P$3,$A586))</f>
        <v/>
      </c>
      <c r="Q586" s="13" t="str">
        <f>IF($A586="","",[1]!thsiFinD("ths_adjustment_nv_fund",Q$3,$A586))</f>
        <v/>
      </c>
      <c r="R586" s="13" t="str">
        <f>IF($A586="","",[1]!thsiFinD("ths_adjustment_nv_fund",R$3,$A586))</f>
        <v/>
      </c>
      <c r="S586" s="13" t="str">
        <f>IF($A586="","",[1]!thsiFinD("ths_adjustment_nv_fund",S$3,$A586))</f>
        <v/>
      </c>
      <c r="T586" s="13" t="str">
        <f>IF($A586="","",[1]!thsiFinD("ths_adjustment_nv_fund",T$3,$A586))</f>
        <v/>
      </c>
      <c r="U586" s="13" t="str">
        <f>IF($A586="","",[1]!thsiFinD("ths_adjustment_nv_fund",U$3,$A586))</f>
        <v/>
      </c>
      <c r="V586" s="13" t="str">
        <f>IF($A586="","",[1]!thsiFinD("ths_adjustment_nv_fund",V$3,$A586))</f>
        <v/>
      </c>
      <c r="W586" s="13" t="str">
        <f>IF($A586="","",[1]!thsiFinD("ths_adjustment_nv_fund",W$3,$A586))</f>
        <v/>
      </c>
      <c r="X586" s="13" t="str">
        <f>IF($A586="","",[1]!thsiFinD("ths_adjustment_nv_fund",X$3,$A586))</f>
        <v/>
      </c>
      <c r="Y586" s="13" t="str">
        <f>IF($A586="","",[1]!thsiFinD("ths_adjustment_nv_fund",Y$3,$A586))</f>
        <v/>
      </c>
      <c r="Z586" s="13" t="str">
        <f>IF($A586="","",[1]!thsiFinD("ths_adjustment_nv_fund",Z$3,$A586))</f>
        <v/>
      </c>
      <c r="AA586" s="13" t="str">
        <f>IF($A586="","",[1]!thsiFinD("ths_adjustment_nv_fund",AA$3,$A586))</f>
        <v/>
      </c>
      <c r="AB586" s="13" t="str">
        <f>IF($A586="","",[1]!thsiFinD("ths_adjustment_nv_fund",AB$3,$A586))</f>
        <v/>
      </c>
    </row>
    <row r="587" spans="2:28">
      <c r="B587" s="13" t="str">
        <f>IF($A587="","",[1]!thsiFinD("ths_adjustment_nv_fund",B$3,$A587))</f>
        <v/>
      </c>
      <c r="C587" s="13" t="str">
        <f>IF($A587="","",[1]!thsiFinD("ths_adjustment_nv_fund",C$3,$A587))</f>
        <v/>
      </c>
      <c r="D587" s="13" t="str">
        <f>IF($A587="","",[1]!thsiFinD("ths_adjustment_nv_fund",D$3,$A587))</f>
        <v/>
      </c>
      <c r="E587" s="13" t="str">
        <f>IF($A587="","",[1]!thsiFinD("ths_adjustment_nv_fund",E$3,$A587))</f>
        <v/>
      </c>
      <c r="F587" s="13" t="str">
        <f>IF($A587="","",[1]!thsiFinD("ths_adjustment_nv_fund",F$3,$A587))</f>
        <v/>
      </c>
      <c r="G587" s="13" t="str">
        <f>IF($A587="","",[1]!thsiFinD("ths_adjustment_nv_fund",G$3,$A587))</f>
        <v/>
      </c>
      <c r="H587" s="13" t="str">
        <f>IF($A587="","",[1]!thsiFinD("ths_adjustment_nv_fund",H$3,$A587))</f>
        <v/>
      </c>
      <c r="I587" s="13" t="str">
        <f>IF($A587="","",[1]!thsiFinD("ths_adjustment_nv_fund",I$3,$A587))</f>
        <v/>
      </c>
      <c r="J587" s="13" t="str">
        <f>IF($A587="","",[1]!thsiFinD("ths_adjustment_nv_fund",J$3,$A587))</f>
        <v/>
      </c>
      <c r="K587" s="13" t="str">
        <f>IF($A587="","",[1]!thsiFinD("ths_adjustment_nv_fund",K$3,$A587))</f>
        <v/>
      </c>
      <c r="L587" s="13" t="str">
        <f>IF($A587="","",[1]!thsiFinD("ths_adjustment_nv_fund",L$3,$A587))</f>
        <v/>
      </c>
      <c r="M587" s="13" t="str">
        <f>IF($A587="","",[1]!thsiFinD("ths_adjustment_nv_fund",M$3,$A587))</f>
        <v/>
      </c>
      <c r="N587" s="13" t="str">
        <f>IF($A587="","",[1]!thsiFinD("ths_adjustment_nv_fund",N$3,$A587))</f>
        <v/>
      </c>
      <c r="O587" s="13" t="str">
        <f>IF($A587="","",[1]!thsiFinD("ths_adjustment_nv_fund",O$3,$A587))</f>
        <v/>
      </c>
      <c r="P587" s="13" t="str">
        <f>IF($A587="","",[1]!thsiFinD("ths_adjustment_nv_fund",P$3,$A587))</f>
        <v/>
      </c>
      <c r="Q587" s="13" t="str">
        <f>IF($A587="","",[1]!thsiFinD("ths_adjustment_nv_fund",Q$3,$A587))</f>
        <v/>
      </c>
      <c r="R587" s="13" t="str">
        <f>IF($A587="","",[1]!thsiFinD("ths_adjustment_nv_fund",R$3,$A587))</f>
        <v/>
      </c>
      <c r="S587" s="13" t="str">
        <f>IF($A587="","",[1]!thsiFinD("ths_adjustment_nv_fund",S$3,$A587))</f>
        <v/>
      </c>
      <c r="T587" s="13" t="str">
        <f>IF($A587="","",[1]!thsiFinD("ths_adjustment_nv_fund",T$3,$A587))</f>
        <v/>
      </c>
      <c r="U587" s="13" t="str">
        <f>IF($A587="","",[1]!thsiFinD("ths_adjustment_nv_fund",U$3,$A587))</f>
        <v/>
      </c>
      <c r="V587" s="13" t="str">
        <f>IF($A587="","",[1]!thsiFinD("ths_adjustment_nv_fund",V$3,$A587))</f>
        <v/>
      </c>
      <c r="W587" s="13" t="str">
        <f>IF($A587="","",[1]!thsiFinD("ths_adjustment_nv_fund",W$3,$A587))</f>
        <v/>
      </c>
      <c r="X587" s="13" t="str">
        <f>IF($A587="","",[1]!thsiFinD("ths_adjustment_nv_fund",X$3,$A587))</f>
        <v/>
      </c>
      <c r="Y587" s="13" t="str">
        <f>IF($A587="","",[1]!thsiFinD("ths_adjustment_nv_fund",Y$3,$A587))</f>
        <v/>
      </c>
      <c r="Z587" s="13" t="str">
        <f>IF($A587="","",[1]!thsiFinD("ths_adjustment_nv_fund",Z$3,$A587))</f>
        <v/>
      </c>
      <c r="AA587" s="13" t="str">
        <f>IF($A587="","",[1]!thsiFinD("ths_adjustment_nv_fund",AA$3,$A587))</f>
        <v/>
      </c>
      <c r="AB587" s="13" t="str">
        <f>IF($A587="","",[1]!thsiFinD("ths_adjustment_nv_fund",AB$3,$A587))</f>
        <v/>
      </c>
    </row>
    <row r="588" spans="2:28">
      <c r="B588" s="13" t="str">
        <f>IF($A588="","",[1]!thsiFinD("ths_adjustment_nv_fund",B$3,$A588))</f>
        <v/>
      </c>
      <c r="C588" s="13" t="str">
        <f>IF($A588="","",[1]!thsiFinD("ths_adjustment_nv_fund",C$3,$A588))</f>
        <v/>
      </c>
      <c r="D588" s="13" t="str">
        <f>IF($A588="","",[1]!thsiFinD("ths_adjustment_nv_fund",D$3,$A588))</f>
        <v/>
      </c>
      <c r="E588" s="13" t="str">
        <f>IF($A588="","",[1]!thsiFinD("ths_adjustment_nv_fund",E$3,$A588))</f>
        <v/>
      </c>
      <c r="F588" s="13" t="str">
        <f>IF($A588="","",[1]!thsiFinD("ths_adjustment_nv_fund",F$3,$A588))</f>
        <v/>
      </c>
      <c r="G588" s="13" t="str">
        <f>IF($A588="","",[1]!thsiFinD("ths_adjustment_nv_fund",G$3,$A588))</f>
        <v/>
      </c>
      <c r="H588" s="13" t="str">
        <f>IF($A588="","",[1]!thsiFinD("ths_adjustment_nv_fund",H$3,$A588))</f>
        <v/>
      </c>
      <c r="I588" s="13" t="str">
        <f>IF($A588="","",[1]!thsiFinD("ths_adjustment_nv_fund",I$3,$A588))</f>
        <v/>
      </c>
      <c r="J588" s="13" t="str">
        <f>IF($A588="","",[1]!thsiFinD("ths_adjustment_nv_fund",J$3,$A588))</f>
        <v/>
      </c>
      <c r="K588" s="13" t="str">
        <f>IF($A588="","",[1]!thsiFinD("ths_adjustment_nv_fund",K$3,$A588))</f>
        <v/>
      </c>
      <c r="L588" s="13" t="str">
        <f>IF($A588="","",[1]!thsiFinD("ths_adjustment_nv_fund",L$3,$A588))</f>
        <v/>
      </c>
      <c r="M588" s="13" t="str">
        <f>IF($A588="","",[1]!thsiFinD("ths_adjustment_nv_fund",M$3,$A588))</f>
        <v/>
      </c>
      <c r="N588" s="13" t="str">
        <f>IF($A588="","",[1]!thsiFinD("ths_adjustment_nv_fund",N$3,$A588))</f>
        <v/>
      </c>
      <c r="O588" s="13" t="str">
        <f>IF($A588="","",[1]!thsiFinD("ths_adjustment_nv_fund",O$3,$A588))</f>
        <v/>
      </c>
      <c r="P588" s="13" t="str">
        <f>IF($A588="","",[1]!thsiFinD("ths_adjustment_nv_fund",P$3,$A588))</f>
        <v/>
      </c>
      <c r="Q588" s="13" t="str">
        <f>IF($A588="","",[1]!thsiFinD("ths_adjustment_nv_fund",Q$3,$A588))</f>
        <v/>
      </c>
      <c r="R588" s="13" t="str">
        <f>IF($A588="","",[1]!thsiFinD("ths_adjustment_nv_fund",R$3,$A588))</f>
        <v/>
      </c>
      <c r="S588" s="13" t="str">
        <f>IF($A588="","",[1]!thsiFinD("ths_adjustment_nv_fund",S$3,$A588))</f>
        <v/>
      </c>
      <c r="T588" s="13" t="str">
        <f>IF($A588="","",[1]!thsiFinD("ths_adjustment_nv_fund",T$3,$A588))</f>
        <v/>
      </c>
      <c r="U588" s="13" t="str">
        <f>IF($A588="","",[1]!thsiFinD("ths_adjustment_nv_fund",U$3,$A588))</f>
        <v/>
      </c>
      <c r="V588" s="13" t="str">
        <f>IF($A588="","",[1]!thsiFinD("ths_adjustment_nv_fund",V$3,$A588))</f>
        <v/>
      </c>
      <c r="W588" s="13" t="str">
        <f>IF($A588="","",[1]!thsiFinD("ths_adjustment_nv_fund",W$3,$A588))</f>
        <v/>
      </c>
      <c r="X588" s="13" t="str">
        <f>IF($A588="","",[1]!thsiFinD("ths_adjustment_nv_fund",X$3,$A588))</f>
        <v/>
      </c>
      <c r="Y588" s="13" t="str">
        <f>IF($A588="","",[1]!thsiFinD("ths_adjustment_nv_fund",Y$3,$A588))</f>
        <v/>
      </c>
      <c r="Z588" s="13" t="str">
        <f>IF($A588="","",[1]!thsiFinD("ths_adjustment_nv_fund",Z$3,$A588))</f>
        <v/>
      </c>
      <c r="AA588" s="13" t="str">
        <f>IF($A588="","",[1]!thsiFinD("ths_adjustment_nv_fund",AA$3,$A588))</f>
        <v/>
      </c>
      <c r="AB588" s="13" t="str">
        <f>IF($A588="","",[1]!thsiFinD("ths_adjustment_nv_fund",AB$3,$A588))</f>
        <v/>
      </c>
    </row>
    <row r="589" spans="2:28">
      <c r="B589" s="13" t="str">
        <f>IF($A589="","",[1]!thsiFinD("ths_adjustment_nv_fund",B$3,$A589))</f>
        <v/>
      </c>
      <c r="C589" s="13" t="str">
        <f>IF($A589="","",[1]!thsiFinD("ths_adjustment_nv_fund",C$3,$A589))</f>
        <v/>
      </c>
      <c r="D589" s="13" t="str">
        <f>IF($A589="","",[1]!thsiFinD("ths_adjustment_nv_fund",D$3,$A589))</f>
        <v/>
      </c>
      <c r="E589" s="13" t="str">
        <f>IF($A589="","",[1]!thsiFinD("ths_adjustment_nv_fund",E$3,$A589))</f>
        <v/>
      </c>
      <c r="F589" s="13" t="str">
        <f>IF($A589="","",[1]!thsiFinD("ths_adjustment_nv_fund",F$3,$A589))</f>
        <v/>
      </c>
      <c r="G589" s="13" t="str">
        <f>IF($A589="","",[1]!thsiFinD("ths_adjustment_nv_fund",G$3,$A589))</f>
        <v/>
      </c>
      <c r="H589" s="13" t="str">
        <f>IF($A589="","",[1]!thsiFinD("ths_adjustment_nv_fund",H$3,$A589))</f>
        <v/>
      </c>
      <c r="I589" s="13" t="str">
        <f>IF($A589="","",[1]!thsiFinD("ths_adjustment_nv_fund",I$3,$A589))</f>
        <v/>
      </c>
      <c r="J589" s="13" t="str">
        <f>IF($A589="","",[1]!thsiFinD("ths_adjustment_nv_fund",J$3,$A589))</f>
        <v/>
      </c>
      <c r="K589" s="13" t="str">
        <f>IF($A589="","",[1]!thsiFinD("ths_adjustment_nv_fund",K$3,$A589))</f>
        <v/>
      </c>
      <c r="L589" s="13" t="str">
        <f>IF($A589="","",[1]!thsiFinD("ths_adjustment_nv_fund",L$3,$A589))</f>
        <v/>
      </c>
      <c r="M589" s="13" t="str">
        <f>IF($A589="","",[1]!thsiFinD("ths_adjustment_nv_fund",M$3,$A589))</f>
        <v/>
      </c>
      <c r="N589" s="13" t="str">
        <f>IF($A589="","",[1]!thsiFinD("ths_adjustment_nv_fund",N$3,$A589))</f>
        <v/>
      </c>
      <c r="O589" s="13" t="str">
        <f>IF($A589="","",[1]!thsiFinD("ths_adjustment_nv_fund",O$3,$A589))</f>
        <v/>
      </c>
      <c r="P589" s="13" t="str">
        <f>IF($A589="","",[1]!thsiFinD("ths_adjustment_nv_fund",P$3,$A589))</f>
        <v/>
      </c>
      <c r="Q589" s="13" t="str">
        <f>IF($A589="","",[1]!thsiFinD("ths_adjustment_nv_fund",Q$3,$A589))</f>
        <v/>
      </c>
      <c r="R589" s="13" t="str">
        <f>IF($A589="","",[1]!thsiFinD("ths_adjustment_nv_fund",R$3,$A589))</f>
        <v/>
      </c>
      <c r="S589" s="13" t="str">
        <f>IF($A589="","",[1]!thsiFinD("ths_adjustment_nv_fund",S$3,$A589))</f>
        <v/>
      </c>
      <c r="T589" s="13" t="str">
        <f>IF($A589="","",[1]!thsiFinD("ths_adjustment_nv_fund",T$3,$A589))</f>
        <v/>
      </c>
      <c r="U589" s="13" t="str">
        <f>IF($A589="","",[1]!thsiFinD("ths_adjustment_nv_fund",U$3,$A589))</f>
        <v/>
      </c>
      <c r="V589" s="13" t="str">
        <f>IF($A589="","",[1]!thsiFinD("ths_adjustment_nv_fund",V$3,$A589))</f>
        <v/>
      </c>
      <c r="W589" s="13" t="str">
        <f>IF($A589="","",[1]!thsiFinD("ths_adjustment_nv_fund",W$3,$A589))</f>
        <v/>
      </c>
      <c r="X589" s="13" t="str">
        <f>IF($A589="","",[1]!thsiFinD("ths_adjustment_nv_fund",X$3,$A589))</f>
        <v/>
      </c>
      <c r="Y589" s="13" t="str">
        <f>IF($A589="","",[1]!thsiFinD("ths_adjustment_nv_fund",Y$3,$A589))</f>
        <v/>
      </c>
      <c r="Z589" s="13" t="str">
        <f>IF($A589="","",[1]!thsiFinD("ths_adjustment_nv_fund",Z$3,$A589))</f>
        <v/>
      </c>
      <c r="AA589" s="13" t="str">
        <f>IF($A589="","",[1]!thsiFinD("ths_adjustment_nv_fund",AA$3,$A589))</f>
        <v/>
      </c>
      <c r="AB589" s="13" t="str">
        <f>IF($A589="","",[1]!thsiFinD("ths_adjustment_nv_fund",AB$3,$A589))</f>
        <v/>
      </c>
    </row>
    <row r="590" spans="2:28">
      <c r="B590" s="13" t="str">
        <f>IF($A590="","",[1]!thsiFinD("ths_adjustment_nv_fund",B$3,$A590))</f>
        <v/>
      </c>
      <c r="C590" s="13" t="str">
        <f>IF($A590="","",[1]!thsiFinD("ths_adjustment_nv_fund",C$3,$A590))</f>
        <v/>
      </c>
      <c r="D590" s="13" t="str">
        <f>IF($A590="","",[1]!thsiFinD("ths_adjustment_nv_fund",D$3,$A590))</f>
        <v/>
      </c>
      <c r="E590" s="13" t="str">
        <f>IF($A590="","",[1]!thsiFinD("ths_adjustment_nv_fund",E$3,$A590))</f>
        <v/>
      </c>
      <c r="F590" s="13" t="str">
        <f>IF($A590="","",[1]!thsiFinD("ths_adjustment_nv_fund",F$3,$A590))</f>
        <v/>
      </c>
      <c r="G590" s="13" t="str">
        <f>IF($A590="","",[1]!thsiFinD("ths_adjustment_nv_fund",G$3,$A590))</f>
        <v/>
      </c>
      <c r="H590" s="13" t="str">
        <f>IF($A590="","",[1]!thsiFinD("ths_adjustment_nv_fund",H$3,$A590))</f>
        <v/>
      </c>
      <c r="I590" s="13" t="str">
        <f>IF($A590="","",[1]!thsiFinD("ths_adjustment_nv_fund",I$3,$A590))</f>
        <v/>
      </c>
      <c r="J590" s="13" t="str">
        <f>IF($A590="","",[1]!thsiFinD("ths_adjustment_nv_fund",J$3,$A590))</f>
        <v/>
      </c>
      <c r="K590" s="13" t="str">
        <f>IF($A590="","",[1]!thsiFinD("ths_adjustment_nv_fund",K$3,$A590))</f>
        <v/>
      </c>
      <c r="L590" s="13" t="str">
        <f>IF($A590="","",[1]!thsiFinD("ths_adjustment_nv_fund",L$3,$A590))</f>
        <v/>
      </c>
      <c r="M590" s="13" t="str">
        <f>IF($A590="","",[1]!thsiFinD("ths_adjustment_nv_fund",M$3,$A590))</f>
        <v/>
      </c>
      <c r="N590" s="13" t="str">
        <f>IF($A590="","",[1]!thsiFinD("ths_adjustment_nv_fund",N$3,$A590))</f>
        <v/>
      </c>
      <c r="O590" s="13" t="str">
        <f>IF($A590="","",[1]!thsiFinD("ths_adjustment_nv_fund",O$3,$A590))</f>
        <v/>
      </c>
      <c r="P590" s="13" t="str">
        <f>IF($A590="","",[1]!thsiFinD("ths_adjustment_nv_fund",P$3,$A590))</f>
        <v/>
      </c>
      <c r="Q590" s="13" t="str">
        <f>IF($A590="","",[1]!thsiFinD("ths_adjustment_nv_fund",Q$3,$A590))</f>
        <v/>
      </c>
      <c r="R590" s="13" t="str">
        <f>IF($A590="","",[1]!thsiFinD("ths_adjustment_nv_fund",R$3,$A590))</f>
        <v/>
      </c>
      <c r="S590" s="13" t="str">
        <f>IF($A590="","",[1]!thsiFinD("ths_adjustment_nv_fund",S$3,$A590))</f>
        <v/>
      </c>
      <c r="T590" s="13" t="str">
        <f>IF($A590="","",[1]!thsiFinD("ths_adjustment_nv_fund",T$3,$A590))</f>
        <v/>
      </c>
      <c r="U590" s="13" t="str">
        <f>IF($A590="","",[1]!thsiFinD("ths_adjustment_nv_fund",U$3,$A590))</f>
        <v/>
      </c>
      <c r="V590" s="13" t="str">
        <f>IF($A590="","",[1]!thsiFinD("ths_adjustment_nv_fund",V$3,$A590))</f>
        <v/>
      </c>
      <c r="W590" s="13" t="str">
        <f>IF($A590="","",[1]!thsiFinD("ths_adjustment_nv_fund",W$3,$A590))</f>
        <v/>
      </c>
      <c r="X590" s="13" t="str">
        <f>IF($A590="","",[1]!thsiFinD("ths_adjustment_nv_fund",X$3,$A590))</f>
        <v/>
      </c>
      <c r="Y590" s="13" t="str">
        <f>IF($A590="","",[1]!thsiFinD("ths_adjustment_nv_fund",Y$3,$A590))</f>
        <v/>
      </c>
      <c r="Z590" s="13" t="str">
        <f>IF($A590="","",[1]!thsiFinD("ths_adjustment_nv_fund",Z$3,$A590))</f>
        <v/>
      </c>
      <c r="AA590" s="13" t="str">
        <f>IF($A590="","",[1]!thsiFinD("ths_adjustment_nv_fund",AA$3,$A590))</f>
        <v/>
      </c>
      <c r="AB590" s="13" t="str">
        <f>IF($A590="","",[1]!thsiFinD("ths_adjustment_nv_fund",AB$3,$A590))</f>
        <v/>
      </c>
    </row>
    <row r="591" spans="2:28">
      <c r="B591" s="13" t="str">
        <f>IF($A591="","",[1]!thsiFinD("ths_adjustment_nv_fund",B$3,$A591))</f>
        <v/>
      </c>
      <c r="C591" s="13" t="str">
        <f>IF($A591="","",[1]!thsiFinD("ths_adjustment_nv_fund",C$3,$A591))</f>
        <v/>
      </c>
      <c r="D591" s="13" t="str">
        <f>IF($A591="","",[1]!thsiFinD("ths_adjustment_nv_fund",D$3,$A591))</f>
        <v/>
      </c>
      <c r="E591" s="13" t="str">
        <f>IF($A591="","",[1]!thsiFinD("ths_adjustment_nv_fund",E$3,$A591))</f>
        <v/>
      </c>
      <c r="F591" s="13" t="str">
        <f>IF($A591="","",[1]!thsiFinD("ths_adjustment_nv_fund",F$3,$A591))</f>
        <v/>
      </c>
      <c r="G591" s="13" t="str">
        <f>IF($A591="","",[1]!thsiFinD("ths_adjustment_nv_fund",G$3,$A591))</f>
        <v/>
      </c>
      <c r="H591" s="13" t="str">
        <f>IF($A591="","",[1]!thsiFinD("ths_adjustment_nv_fund",H$3,$A591))</f>
        <v/>
      </c>
      <c r="I591" s="13" t="str">
        <f>IF($A591="","",[1]!thsiFinD("ths_adjustment_nv_fund",I$3,$A591))</f>
        <v/>
      </c>
      <c r="J591" s="13" t="str">
        <f>IF($A591="","",[1]!thsiFinD("ths_adjustment_nv_fund",J$3,$A591))</f>
        <v/>
      </c>
      <c r="K591" s="13" t="str">
        <f>IF($A591="","",[1]!thsiFinD("ths_adjustment_nv_fund",K$3,$A591))</f>
        <v/>
      </c>
      <c r="L591" s="13" t="str">
        <f>IF($A591="","",[1]!thsiFinD("ths_adjustment_nv_fund",L$3,$A591))</f>
        <v/>
      </c>
      <c r="M591" s="13" t="str">
        <f>IF($A591="","",[1]!thsiFinD("ths_adjustment_nv_fund",M$3,$A591))</f>
        <v/>
      </c>
      <c r="N591" s="13" t="str">
        <f>IF($A591="","",[1]!thsiFinD("ths_adjustment_nv_fund",N$3,$A591))</f>
        <v/>
      </c>
      <c r="O591" s="13" t="str">
        <f>IF($A591="","",[1]!thsiFinD("ths_adjustment_nv_fund",O$3,$A591))</f>
        <v/>
      </c>
      <c r="P591" s="13" t="str">
        <f>IF($A591="","",[1]!thsiFinD("ths_adjustment_nv_fund",P$3,$A591))</f>
        <v/>
      </c>
      <c r="Q591" s="13" t="str">
        <f>IF($A591="","",[1]!thsiFinD("ths_adjustment_nv_fund",Q$3,$A591))</f>
        <v/>
      </c>
      <c r="R591" s="13" t="str">
        <f>IF($A591="","",[1]!thsiFinD("ths_adjustment_nv_fund",R$3,$A591))</f>
        <v/>
      </c>
      <c r="S591" s="13" t="str">
        <f>IF($A591="","",[1]!thsiFinD("ths_adjustment_nv_fund",S$3,$A591))</f>
        <v/>
      </c>
      <c r="T591" s="13" t="str">
        <f>IF($A591="","",[1]!thsiFinD("ths_adjustment_nv_fund",T$3,$A591))</f>
        <v/>
      </c>
      <c r="U591" s="13" t="str">
        <f>IF($A591="","",[1]!thsiFinD("ths_adjustment_nv_fund",U$3,$A591))</f>
        <v/>
      </c>
      <c r="V591" s="13" t="str">
        <f>IF($A591="","",[1]!thsiFinD("ths_adjustment_nv_fund",V$3,$A591))</f>
        <v/>
      </c>
      <c r="W591" s="13" t="str">
        <f>IF($A591="","",[1]!thsiFinD("ths_adjustment_nv_fund",W$3,$A591))</f>
        <v/>
      </c>
      <c r="X591" s="13" t="str">
        <f>IF($A591="","",[1]!thsiFinD("ths_adjustment_nv_fund",X$3,$A591))</f>
        <v/>
      </c>
      <c r="Y591" s="13" t="str">
        <f>IF($A591="","",[1]!thsiFinD("ths_adjustment_nv_fund",Y$3,$A591))</f>
        <v/>
      </c>
      <c r="Z591" s="13" t="str">
        <f>IF($A591="","",[1]!thsiFinD("ths_adjustment_nv_fund",Z$3,$A591))</f>
        <v/>
      </c>
      <c r="AA591" s="13" t="str">
        <f>IF($A591="","",[1]!thsiFinD("ths_adjustment_nv_fund",AA$3,$A591))</f>
        <v/>
      </c>
      <c r="AB591" s="13" t="str">
        <f>IF($A591="","",[1]!thsiFinD("ths_adjustment_nv_fund",AB$3,$A591))</f>
        <v/>
      </c>
    </row>
    <row r="592" spans="2:28">
      <c r="B592" s="13" t="str">
        <f>IF($A592="","",[1]!thsiFinD("ths_adjustment_nv_fund",B$3,$A592))</f>
        <v/>
      </c>
      <c r="C592" s="13" t="str">
        <f>IF($A592="","",[1]!thsiFinD("ths_adjustment_nv_fund",C$3,$A592))</f>
        <v/>
      </c>
      <c r="D592" s="13" t="str">
        <f>IF($A592="","",[1]!thsiFinD("ths_adjustment_nv_fund",D$3,$A592))</f>
        <v/>
      </c>
      <c r="E592" s="13" t="str">
        <f>IF($A592="","",[1]!thsiFinD("ths_adjustment_nv_fund",E$3,$A592))</f>
        <v/>
      </c>
      <c r="F592" s="13" t="str">
        <f>IF($A592="","",[1]!thsiFinD("ths_adjustment_nv_fund",F$3,$A592))</f>
        <v/>
      </c>
      <c r="G592" s="13" t="str">
        <f>IF($A592="","",[1]!thsiFinD("ths_adjustment_nv_fund",G$3,$A592))</f>
        <v/>
      </c>
      <c r="H592" s="13" t="str">
        <f>IF($A592="","",[1]!thsiFinD("ths_adjustment_nv_fund",H$3,$A592))</f>
        <v/>
      </c>
      <c r="I592" s="13" t="str">
        <f>IF($A592="","",[1]!thsiFinD("ths_adjustment_nv_fund",I$3,$A592))</f>
        <v/>
      </c>
      <c r="J592" s="13" t="str">
        <f>IF($A592="","",[1]!thsiFinD("ths_adjustment_nv_fund",J$3,$A592))</f>
        <v/>
      </c>
      <c r="K592" s="13" t="str">
        <f>IF($A592="","",[1]!thsiFinD("ths_adjustment_nv_fund",K$3,$A592))</f>
        <v/>
      </c>
      <c r="L592" s="13" t="str">
        <f>IF($A592="","",[1]!thsiFinD("ths_adjustment_nv_fund",L$3,$A592))</f>
        <v/>
      </c>
      <c r="M592" s="13" t="str">
        <f>IF($A592="","",[1]!thsiFinD("ths_adjustment_nv_fund",M$3,$A592))</f>
        <v/>
      </c>
      <c r="N592" s="13" t="str">
        <f>IF($A592="","",[1]!thsiFinD("ths_adjustment_nv_fund",N$3,$A592))</f>
        <v/>
      </c>
      <c r="O592" s="13" t="str">
        <f>IF($A592="","",[1]!thsiFinD("ths_adjustment_nv_fund",O$3,$A592))</f>
        <v/>
      </c>
      <c r="P592" s="13" t="str">
        <f>IF($A592="","",[1]!thsiFinD("ths_adjustment_nv_fund",P$3,$A592))</f>
        <v/>
      </c>
      <c r="Q592" s="13" t="str">
        <f>IF($A592="","",[1]!thsiFinD("ths_adjustment_nv_fund",Q$3,$A592))</f>
        <v/>
      </c>
      <c r="R592" s="13" t="str">
        <f>IF($A592="","",[1]!thsiFinD("ths_adjustment_nv_fund",R$3,$A592))</f>
        <v/>
      </c>
      <c r="S592" s="13" t="str">
        <f>IF($A592="","",[1]!thsiFinD("ths_adjustment_nv_fund",S$3,$A592))</f>
        <v/>
      </c>
      <c r="T592" s="13" t="str">
        <f>IF($A592="","",[1]!thsiFinD("ths_adjustment_nv_fund",T$3,$A592))</f>
        <v/>
      </c>
      <c r="U592" s="13" t="str">
        <f>IF($A592="","",[1]!thsiFinD("ths_adjustment_nv_fund",U$3,$A592))</f>
        <v/>
      </c>
      <c r="V592" s="13" t="str">
        <f>IF($A592="","",[1]!thsiFinD("ths_adjustment_nv_fund",V$3,$A592))</f>
        <v/>
      </c>
      <c r="W592" s="13" t="str">
        <f>IF($A592="","",[1]!thsiFinD("ths_adjustment_nv_fund",W$3,$A592))</f>
        <v/>
      </c>
      <c r="X592" s="13" t="str">
        <f>IF($A592="","",[1]!thsiFinD("ths_adjustment_nv_fund",X$3,$A592))</f>
        <v/>
      </c>
      <c r="Y592" s="13" t="str">
        <f>IF($A592="","",[1]!thsiFinD("ths_adjustment_nv_fund",Y$3,$A592))</f>
        <v/>
      </c>
      <c r="Z592" s="13" t="str">
        <f>IF($A592="","",[1]!thsiFinD("ths_adjustment_nv_fund",Z$3,$A592))</f>
        <v/>
      </c>
      <c r="AA592" s="13" t="str">
        <f>IF($A592="","",[1]!thsiFinD("ths_adjustment_nv_fund",AA$3,$A592))</f>
        <v/>
      </c>
      <c r="AB592" s="13" t="str">
        <f>IF($A592="","",[1]!thsiFinD("ths_adjustment_nv_fund",AB$3,$A592))</f>
        <v/>
      </c>
    </row>
    <row r="593" spans="2:28">
      <c r="B593" s="13" t="str">
        <f>IF($A593="","",[1]!thsiFinD("ths_adjustment_nv_fund",B$3,$A593))</f>
        <v/>
      </c>
      <c r="C593" s="13" t="str">
        <f>IF($A593="","",[1]!thsiFinD("ths_adjustment_nv_fund",C$3,$A593))</f>
        <v/>
      </c>
      <c r="D593" s="13" t="str">
        <f>IF($A593="","",[1]!thsiFinD("ths_adjustment_nv_fund",D$3,$A593))</f>
        <v/>
      </c>
      <c r="E593" s="13" t="str">
        <f>IF($A593="","",[1]!thsiFinD("ths_adjustment_nv_fund",E$3,$A593))</f>
        <v/>
      </c>
      <c r="F593" s="13" t="str">
        <f>IF($A593="","",[1]!thsiFinD("ths_adjustment_nv_fund",F$3,$A593))</f>
        <v/>
      </c>
      <c r="G593" s="13" t="str">
        <f>IF($A593="","",[1]!thsiFinD("ths_adjustment_nv_fund",G$3,$A593))</f>
        <v/>
      </c>
      <c r="H593" s="13" t="str">
        <f>IF($A593="","",[1]!thsiFinD("ths_adjustment_nv_fund",H$3,$A593))</f>
        <v/>
      </c>
      <c r="I593" s="13" t="str">
        <f>IF($A593="","",[1]!thsiFinD("ths_adjustment_nv_fund",I$3,$A593))</f>
        <v/>
      </c>
      <c r="J593" s="13" t="str">
        <f>IF($A593="","",[1]!thsiFinD("ths_adjustment_nv_fund",J$3,$A593))</f>
        <v/>
      </c>
      <c r="K593" s="13" t="str">
        <f>IF($A593="","",[1]!thsiFinD("ths_adjustment_nv_fund",K$3,$A593))</f>
        <v/>
      </c>
      <c r="L593" s="13" t="str">
        <f>IF($A593="","",[1]!thsiFinD("ths_adjustment_nv_fund",L$3,$A593))</f>
        <v/>
      </c>
      <c r="M593" s="13" t="str">
        <f>IF($A593="","",[1]!thsiFinD("ths_adjustment_nv_fund",M$3,$A593))</f>
        <v/>
      </c>
      <c r="N593" s="13" t="str">
        <f>IF($A593="","",[1]!thsiFinD("ths_adjustment_nv_fund",N$3,$A593))</f>
        <v/>
      </c>
      <c r="O593" s="13" t="str">
        <f>IF($A593="","",[1]!thsiFinD("ths_adjustment_nv_fund",O$3,$A593))</f>
        <v/>
      </c>
      <c r="P593" s="13" t="str">
        <f>IF($A593="","",[1]!thsiFinD("ths_adjustment_nv_fund",P$3,$A593))</f>
        <v/>
      </c>
      <c r="Q593" s="13" t="str">
        <f>IF($A593="","",[1]!thsiFinD("ths_adjustment_nv_fund",Q$3,$A593))</f>
        <v/>
      </c>
      <c r="R593" s="13" t="str">
        <f>IF($A593="","",[1]!thsiFinD("ths_adjustment_nv_fund",R$3,$A593))</f>
        <v/>
      </c>
      <c r="S593" s="13" t="str">
        <f>IF($A593="","",[1]!thsiFinD("ths_adjustment_nv_fund",S$3,$A593))</f>
        <v/>
      </c>
      <c r="T593" s="13" t="str">
        <f>IF($A593="","",[1]!thsiFinD("ths_adjustment_nv_fund",T$3,$A593))</f>
        <v/>
      </c>
      <c r="U593" s="13" t="str">
        <f>IF($A593="","",[1]!thsiFinD("ths_adjustment_nv_fund",U$3,$A593))</f>
        <v/>
      </c>
      <c r="V593" s="13" t="str">
        <f>IF($A593="","",[1]!thsiFinD("ths_adjustment_nv_fund",V$3,$A593))</f>
        <v/>
      </c>
      <c r="W593" s="13" t="str">
        <f>IF($A593="","",[1]!thsiFinD("ths_adjustment_nv_fund",W$3,$A593))</f>
        <v/>
      </c>
      <c r="X593" s="13" t="str">
        <f>IF($A593="","",[1]!thsiFinD("ths_adjustment_nv_fund",X$3,$A593))</f>
        <v/>
      </c>
      <c r="Y593" s="13" t="str">
        <f>IF($A593="","",[1]!thsiFinD("ths_adjustment_nv_fund",Y$3,$A593))</f>
        <v/>
      </c>
      <c r="Z593" s="13" t="str">
        <f>IF($A593="","",[1]!thsiFinD("ths_adjustment_nv_fund",Z$3,$A593))</f>
        <v/>
      </c>
      <c r="AA593" s="13" t="str">
        <f>IF($A593="","",[1]!thsiFinD("ths_adjustment_nv_fund",AA$3,$A593))</f>
        <v/>
      </c>
      <c r="AB593" s="13" t="str">
        <f>IF($A593="","",[1]!thsiFinD("ths_adjustment_nv_fund",AB$3,$A593))</f>
        <v/>
      </c>
    </row>
    <row r="594" spans="2:28">
      <c r="B594" s="13" t="str">
        <f>IF($A594="","",[1]!thsiFinD("ths_adjustment_nv_fund",B$3,$A594))</f>
        <v/>
      </c>
      <c r="C594" s="13" t="str">
        <f>IF($A594="","",[1]!thsiFinD("ths_adjustment_nv_fund",C$3,$A594))</f>
        <v/>
      </c>
      <c r="D594" s="13" t="str">
        <f>IF($A594="","",[1]!thsiFinD("ths_adjustment_nv_fund",D$3,$A594))</f>
        <v/>
      </c>
      <c r="E594" s="13" t="str">
        <f>IF($A594="","",[1]!thsiFinD("ths_adjustment_nv_fund",E$3,$A594))</f>
        <v/>
      </c>
      <c r="F594" s="13" t="str">
        <f>IF($A594="","",[1]!thsiFinD("ths_adjustment_nv_fund",F$3,$A594))</f>
        <v/>
      </c>
      <c r="G594" s="13" t="str">
        <f>IF($A594="","",[1]!thsiFinD("ths_adjustment_nv_fund",G$3,$A594))</f>
        <v/>
      </c>
      <c r="H594" s="13" t="str">
        <f>IF($A594="","",[1]!thsiFinD("ths_adjustment_nv_fund",H$3,$A594))</f>
        <v/>
      </c>
      <c r="I594" s="13" t="str">
        <f>IF($A594="","",[1]!thsiFinD("ths_adjustment_nv_fund",I$3,$A594))</f>
        <v/>
      </c>
      <c r="J594" s="13" t="str">
        <f>IF($A594="","",[1]!thsiFinD("ths_adjustment_nv_fund",J$3,$A594))</f>
        <v/>
      </c>
      <c r="K594" s="13" t="str">
        <f>IF($A594="","",[1]!thsiFinD("ths_adjustment_nv_fund",K$3,$A594))</f>
        <v/>
      </c>
      <c r="L594" s="13" t="str">
        <f>IF($A594="","",[1]!thsiFinD("ths_adjustment_nv_fund",L$3,$A594))</f>
        <v/>
      </c>
      <c r="M594" s="13" t="str">
        <f>IF($A594="","",[1]!thsiFinD("ths_adjustment_nv_fund",M$3,$A594))</f>
        <v/>
      </c>
      <c r="N594" s="13" t="str">
        <f>IF($A594="","",[1]!thsiFinD("ths_adjustment_nv_fund",N$3,$A594))</f>
        <v/>
      </c>
      <c r="O594" s="13" t="str">
        <f>IF($A594="","",[1]!thsiFinD("ths_adjustment_nv_fund",O$3,$A594))</f>
        <v/>
      </c>
      <c r="P594" s="13" t="str">
        <f>IF($A594="","",[1]!thsiFinD("ths_adjustment_nv_fund",P$3,$A594))</f>
        <v/>
      </c>
      <c r="Q594" s="13" t="str">
        <f>IF($A594="","",[1]!thsiFinD("ths_adjustment_nv_fund",Q$3,$A594))</f>
        <v/>
      </c>
      <c r="R594" s="13" t="str">
        <f>IF($A594="","",[1]!thsiFinD("ths_adjustment_nv_fund",R$3,$A594))</f>
        <v/>
      </c>
      <c r="S594" s="13" t="str">
        <f>IF($A594="","",[1]!thsiFinD("ths_adjustment_nv_fund",S$3,$A594))</f>
        <v/>
      </c>
      <c r="T594" s="13" t="str">
        <f>IF($A594="","",[1]!thsiFinD("ths_adjustment_nv_fund",T$3,$A594))</f>
        <v/>
      </c>
      <c r="U594" s="13" t="str">
        <f>IF($A594="","",[1]!thsiFinD("ths_adjustment_nv_fund",U$3,$A594))</f>
        <v/>
      </c>
      <c r="V594" s="13" t="str">
        <f>IF($A594="","",[1]!thsiFinD("ths_adjustment_nv_fund",V$3,$A594))</f>
        <v/>
      </c>
      <c r="W594" s="13" t="str">
        <f>IF($A594="","",[1]!thsiFinD("ths_adjustment_nv_fund",W$3,$A594))</f>
        <v/>
      </c>
      <c r="X594" s="13" t="str">
        <f>IF($A594="","",[1]!thsiFinD("ths_adjustment_nv_fund",X$3,$A594))</f>
        <v/>
      </c>
      <c r="Y594" s="13" t="str">
        <f>IF($A594="","",[1]!thsiFinD("ths_adjustment_nv_fund",Y$3,$A594))</f>
        <v/>
      </c>
      <c r="Z594" s="13" t="str">
        <f>IF($A594="","",[1]!thsiFinD("ths_adjustment_nv_fund",Z$3,$A594))</f>
        <v/>
      </c>
      <c r="AA594" s="13" t="str">
        <f>IF($A594="","",[1]!thsiFinD("ths_adjustment_nv_fund",AA$3,$A594))</f>
        <v/>
      </c>
      <c r="AB594" s="13" t="str">
        <f>IF($A594="","",[1]!thsiFinD("ths_adjustment_nv_fund",AB$3,$A594))</f>
        <v/>
      </c>
    </row>
    <row r="595" spans="2:28">
      <c r="B595" s="13" t="str">
        <f>IF($A595="","",[1]!thsiFinD("ths_adjustment_nv_fund",B$3,$A595))</f>
        <v/>
      </c>
      <c r="C595" s="13" t="str">
        <f>IF($A595="","",[1]!thsiFinD("ths_adjustment_nv_fund",C$3,$A595))</f>
        <v/>
      </c>
      <c r="D595" s="13" t="str">
        <f>IF($A595="","",[1]!thsiFinD("ths_adjustment_nv_fund",D$3,$A595))</f>
        <v/>
      </c>
      <c r="E595" s="13" t="str">
        <f>IF($A595="","",[1]!thsiFinD("ths_adjustment_nv_fund",E$3,$A595))</f>
        <v/>
      </c>
      <c r="F595" s="13" t="str">
        <f>IF($A595="","",[1]!thsiFinD("ths_adjustment_nv_fund",F$3,$A595))</f>
        <v/>
      </c>
      <c r="G595" s="13" t="str">
        <f>IF($A595="","",[1]!thsiFinD("ths_adjustment_nv_fund",G$3,$A595))</f>
        <v/>
      </c>
      <c r="H595" s="13" t="str">
        <f>IF($A595="","",[1]!thsiFinD("ths_adjustment_nv_fund",H$3,$A595))</f>
        <v/>
      </c>
      <c r="I595" s="13" t="str">
        <f>IF($A595="","",[1]!thsiFinD("ths_adjustment_nv_fund",I$3,$A595))</f>
        <v/>
      </c>
      <c r="J595" s="13" t="str">
        <f>IF($A595="","",[1]!thsiFinD("ths_adjustment_nv_fund",J$3,$A595))</f>
        <v/>
      </c>
      <c r="K595" s="13" t="str">
        <f>IF($A595="","",[1]!thsiFinD("ths_adjustment_nv_fund",K$3,$A595))</f>
        <v/>
      </c>
      <c r="L595" s="13" t="str">
        <f>IF($A595="","",[1]!thsiFinD("ths_adjustment_nv_fund",L$3,$A595))</f>
        <v/>
      </c>
      <c r="M595" s="13" t="str">
        <f>IF($A595="","",[1]!thsiFinD("ths_adjustment_nv_fund",M$3,$A595))</f>
        <v/>
      </c>
      <c r="N595" s="13" t="str">
        <f>IF($A595="","",[1]!thsiFinD("ths_adjustment_nv_fund",N$3,$A595))</f>
        <v/>
      </c>
      <c r="O595" s="13" t="str">
        <f>IF($A595="","",[1]!thsiFinD("ths_adjustment_nv_fund",O$3,$A595))</f>
        <v/>
      </c>
      <c r="P595" s="13" t="str">
        <f>IF($A595="","",[1]!thsiFinD("ths_adjustment_nv_fund",P$3,$A595))</f>
        <v/>
      </c>
      <c r="Q595" s="13" t="str">
        <f>IF($A595="","",[1]!thsiFinD("ths_adjustment_nv_fund",Q$3,$A595))</f>
        <v/>
      </c>
      <c r="R595" s="13" t="str">
        <f>IF($A595="","",[1]!thsiFinD("ths_adjustment_nv_fund",R$3,$A595))</f>
        <v/>
      </c>
      <c r="S595" s="13" t="str">
        <f>IF($A595="","",[1]!thsiFinD("ths_adjustment_nv_fund",S$3,$A595))</f>
        <v/>
      </c>
      <c r="T595" s="13" t="str">
        <f>IF($A595="","",[1]!thsiFinD("ths_adjustment_nv_fund",T$3,$A595))</f>
        <v/>
      </c>
      <c r="U595" s="13" t="str">
        <f>IF($A595="","",[1]!thsiFinD("ths_adjustment_nv_fund",U$3,$A595))</f>
        <v/>
      </c>
      <c r="V595" s="13" t="str">
        <f>IF($A595="","",[1]!thsiFinD("ths_adjustment_nv_fund",V$3,$A595))</f>
        <v/>
      </c>
      <c r="W595" s="13" t="str">
        <f>IF($A595="","",[1]!thsiFinD("ths_adjustment_nv_fund",W$3,$A595))</f>
        <v/>
      </c>
      <c r="X595" s="13" t="str">
        <f>IF($A595="","",[1]!thsiFinD("ths_adjustment_nv_fund",X$3,$A595))</f>
        <v/>
      </c>
      <c r="Y595" s="13" t="str">
        <f>IF($A595="","",[1]!thsiFinD("ths_adjustment_nv_fund",Y$3,$A595))</f>
        <v/>
      </c>
      <c r="Z595" s="13" t="str">
        <f>IF($A595="","",[1]!thsiFinD("ths_adjustment_nv_fund",Z$3,$A595))</f>
        <v/>
      </c>
      <c r="AA595" s="13" t="str">
        <f>IF($A595="","",[1]!thsiFinD("ths_adjustment_nv_fund",AA$3,$A595))</f>
        <v/>
      </c>
      <c r="AB595" s="13" t="str">
        <f>IF($A595="","",[1]!thsiFinD("ths_adjustment_nv_fund",AB$3,$A595))</f>
        <v/>
      </c>
    </row>
    <row r="596" spans="2:28">
      <c r="B596" s="13" t="str">
        <f>IF($A596="","",[1]!thsiFinD("ths_adjustment_nv_fund",B$3,$A596))</f>
        <v/>
      </c>
      <c r="C596" s="13" t="str">
        <f>IF($A596="","",[1]!thsiFinD("ths_adjustment_nv_fund",C$3,$A596))</f>
        <v/>
      </c>
      <c r="D596" s="13" t="str">
        <f>IF($A596="","",[1]!thsiFinD("ths_adjustment_nv_fund",D$3,$A596))</f>
        <v/>
      </c>
      <c r="E596" s="13" t="str">
        <f>IF($A596="","",[1]!thsiFinD("ths_adjustment_nv_fund",E$3,$A596))</f>
        <v/>
      </c>
      <c r="F596" s="13" t="str">
        <f>IF($A596="","",[1]!thsiFinD("ths_adjustment_nv_fund",F$3,$A596))</f>
        <v/>
      </c>
      <c r="G596" s="13" t="str">
        <f>IF($A596="","",[1]!thsiFinD("ths_adjustment_nv_fund",G$3,$A596))</f>
        <v/>
      </c>
      <c r="H596" s="13" t="str">
        <f>IF($A596="","",[1]!thsiFinD("ths_adjustment_nv_fund",H$3,$A596))</f>
        <v/>
      </c>
      <c r="I596" s="13" t="str">
        <f>IF($A596="","",[1]!thsiFinD("ths_adjustment_nv_fund",I$3,$A596))</f>
        <v/>
      </c>
      <c r="J596" s="13" t="str">
        <f>IF($A596="","",[1]!thsiFinD("ths_adjustment_nv_fund",J$3,$A596))</f>
        <v/>
      </c>
      <c r="K596" s="13" t="str">
        <f>IF($A596="","",[1]!thsiFinD("ths_adjustment_nv_fund",K$3,$A596))</f>
        <v/>
      </c>
      <c r="L596" s="13" t="str">
        <f>IF($A596="","",[1]!thsiFinD("ths_adjustment_nv_fund",L$3,$A596))</f>
        <v/>
      </c>
      <c r="M596" s="13" t="str">
        <f>IF($A596="","",[1]!thsiFinD("ths_adjustment_nv_fund",M$3,$A596))</f>
        <v/>
      </c>
      <c r="N596" s="13" t="str">
        <f>IF($A596="","",[1]!thsiFinD("ths_adjustment_nv_fund",N$3,$A596))</f>
        <v/>
      </c>
      <c r="O596" s="13" t="str">
        <f>IF($A596="","",[1]!thsiFinD("ths_adjustment_nv_fund",O$3,$A596))</f>
        <v/>
      </c>
      <c r="P596" s="13" t="str">
        <f>IF($A596="","",[1]!thsiFinD("ths_adjustment_nv_fund",P$3,$A596))</f>
        <v/>
      </c>
      <c r="Q596" s="13" t="str">
        <f>IF($A596="","",[1]!thsiFinD("ths_adjustment_nv_fund",Q$3,$A596))</f>
        <v/>
      </c>
      <c r="R596" s="13" t="str">
        <f>IF($A596="","",[1]!thsiFinD("ths_adjustment_nv_fund",R$3,$A596))</f>
        <v/>
      </c>
      <c r="S596" s="13" t="str">
        <f>IF($A596="","",[1]!thsiFinD("ths_adjustment_nv_fund",S$3,$A596))</f>
        <v/>
      </c>
      <c r="T596" s="13" t="str">
        <f>IF($A596="","",[1]!thsiFinD("ths_adjustment_nv_fund",T$3,$A596))</f>
        <v/>
      </c>
      <c r="U596" s="13" t="str">
        <f>IF($A596="","",[1]!thsiFinD("ths_adjustment_nv_fund",U$3,$A596))</f>
        <v/>
      </c>
      <c r="V596" s="13" t="str">
        <f>IF($A596="","",[1]!thsiFinD("ths_adjustment_nv_fund",V$3,$A596))</f>
        <v/>
      </c>
      <c r="W596" s="13" t="str">
        <f>IF($A596="","",[1]!thsiFinD("ths_adjustment_nv_fund",W$3,$A596))</f>
        <v/>
      </c>
      <c r="X596" s="13" t="str">
        <f>IF($A596="","",[1]!thsiFinD("ths_adjustment_nv_fund",X$3,$A596))</f>
        <v/>
      </c>
      <c r="Y596" s="13" t="str">
        <f>IF($A596="","",[1]!thsiFinD("ths_adjustment_nv_fund",Y$3,$A596))</f>
        <v/>
      </c>
      <c r="Z596" s="13" t="str">
        <f>IF($A596="","",[1]!thsiFinD("ths_adjustment_nv_fund",Z$3,$A596))</f>
        <v/>
      </c>
      <c r="AA596" s="13" t="str">
        <f>IF($A596="","",[1]!thsiFinD("ths_adjustment_nv_fund",AA$3,$A596))</f>
        <v/>
      </c>
      <c r="AB596" s="13" t="str">
        <f>IF($A596="","",[1]!thsiFinD("ths_adjustment_nv_fund",AB$3,$A596))</f>
        <v/>
      </c>
    </row>
    <row r="597" spans="2:28">
      <c r="B597" s="13" t="str">
        <f>IF($A597="","",[1]!thsiFinD("ths_adjustment_nv_fund",B$3,$A597))</f>
        <v/>
      </c>
      <c r="C597" s="13" t="str">
        <f>IF($A597="","",[1]!thsiFinD("ths_adjustment_nv_fund",C$3,$A597))</f>
        <v/>
      </c>
      <c r="D597" s="13" t="str">
        <f>IF($A597="","",[1]!thsiFinD("ths_adjustment_nv_fund",D$3,$A597))</f>
        <v/>
      </c>
      <c r="E597" s="13" t="str">
        <f>IF($A597="","",[1]!thsiFinD("ths_adjustment_nv_fund",E$3,$A597))</f>
        <v/>
      </c>
      <c r="F597" s="13" t="str">
        <f>IF($A597="","",[1]!thsiFinD("ths_adjustment_nv_fund",F$3,$A597))</f>
        <v/>
      </c>
      <c r="G597" s="13" t="str">
        <f>IF($A597="","",[1]!thsiFinD("ths_adjustment_nv_fund",G$3,$A597))</f>
        <v/>
      </c>
      <c r="H597" s="13" t="str">
        <f>IF($A597="","",[1]!thsiFinD("ths_adjustment_nv_fund",H$3,$A597))</f>
        <v/>
      </c>
      <c r="I597" s="13" t="str">
        <f>IF($A597="","",[1]!thsiFinD("ths_adjustment_nv_fund",I$3,$A597))</f>
        <v/>
      </c>
      <c r="J597" s="13" t="str">
        <f>IF($A597="","",[1]!thsiFinD("ths_adjustment_nv_fund",J$3,$A597))</f>
        <v/>
      </c>
      <c r="K597" s="13" t="str">
        <f>IF($A597="","",[1]!thsiFinD("ths_adjustment_nv_fund",K$3,$A597))</f>
        <v/>
      </c>
      <c r="L597" s="13" t="str">
        <f>IF($A597="","",[1]!thsiFinD("ths_adjustment_nv_fund",L$3,$A597))</f>
        <v/>
      </c>
      <c r="M597" s="13" t="str">
        <f>IF($A597="","",[1]!thsiFinD("ths_adjustment_nv_fund",M$3,$A597))</f>
        <v/>
      </c>
      <c r="N597" s="13" t="str">
        <f>IF($A597="","",[1]!thsiFinD("ths_adjustment_nv_fund",N$3,$A597))</f>
        <v/>
      </c>
      <c r="O597" s="13" t="str">
        <f>IF($A597="","",[1]!thsiFinD("ths_adjustment_nv_fund",O$3,$A597))</f>
        <v/>
      </c>
      <c r="P597" s="13" t="str">
        <f>IF($A597="","",[1]!thsiFinD("ths_adjustment_nv_fund",P$3,$A597))</f>
        <v/>
      </c>
      <c r="Q597" s="13" t="str">
        <f>IF($A597="","",[1]!thsiFinD("ths_adjustment_nv_fund",Q$3,$A597))</f>
        <v/>
      </c>
      <c r="R597" s="13" t="str">
        <f>IF($A597="","",[1]!thsiFinD("ths_adjustment_nv_fund",R$3,$A597))</f>
        <v/>
      </c>
      <c r="S597" s="13" t="str">
        <f>IF($A597="","",[1]!thsiFinD("ths_adjustment_nv_fund",S$3,$A597))</f>
        <v/>
      </c>
      <c r="T597" s="13" t="str">
        <f>IF($A597="","",[1]!thsiFinD("ths_adjustment_nv_fund",T$3,$A597))</f>
        <v/>
      </c>
      <c r="U597" s="13" t="str">
        <f>IF($A597="","",[1]!thsiFinD("ths_adjustment_nv_fund",U$3,$A597))</f>
        <v/>
      </c>
      <c r="V597" s="13" t="str">
        <f>IF($A597="","",[1]!thsiFinD("ths_adjustment_nv_fund",V$3,$A597))</f>
        <v/>
      </c>
      <c r="W597" s="13" t="str">
        <f>IF($A597="","",[1]!thsiFinD("ths_adjustment_nv_fund",W$3,$A597))</f>
        <v/>
      </c>
      <c r="X597" s="13" t="str">
        <f>IF($A597="","",[1]!thsiFinD("ths_adjustment_nv_fund",X$3,$A597))</f>
        <v/>
      </c>
      <c r="Y597" s="13" t="str">
        <f>IF($A597="","",[1]!thsiFinD("ths_adjustment_nv_fund",Y$3,$A597))</f>
        <v/>
      </c>
      <c r="Z597" s="13" t="str">
        <f>IF($A597="","",[1]!thsiFinD("ths_adjustment_nv_fund",Z$3,$A597))</f>
        <v/>
      </c>
      <c r="AA597" s="13" t="str">
        <f>IF($A597="","",[1]!thsiFinD("ths_adjustment_nv_fund",AA$3,$A597))</f>
        <v/>
      </c>
      <c r="AB597" s="13" t="str">
        <f>IF($A597="","",[1]!thsiFinD("ths_adjustment_nv_fund",AB$3,$A597))</f>
        <v/>
      </c>
    </row>
    <row r="598" spans="2:28">
      <c r="B598" s="13" t="str">
        <f>IF($A598="","",[1]!thsiFinD("ths_adjustment_nv_fund",B$3,$A598))</f>
        <v/>
      </c>
      <c r="C598" s="13" t="str">
        <f>IF($A598="","",[1]!thsiFinD("ths_adjustment_nv_fund",C$3,$A598))</f>
        <v/>
      </c>
      <c r="D598" s="13" t="str">
        <f>IF($A598="","",[1]!thsiFinD("ths_adjustment_nv_fund",D$3,$A598))</f>
        <v/>
      </c>
      <c r="E598" s="13" t="str">
        <f>IF($A598="","",[1]!thsiFinD("ths_adjustment_nv_fund",E$3,$A598))</f>
        <v/>
      </c>
      <c r="F598" s="13" t="str">
        <f>IF($A598="","",[1]!thsiFinD("ths_adjustment_nv_fund",F$3,$A598))</f>
        <v/>
      </c>
      <c r="G598" s="13" t="str">
        <f>IF($A598="","",[1]!thsiFinD("ths_adjustment_nv_fund",G$3,$A598))</f>
        <v/>
      </c>
      <c r="H598" s="13" t="str">
        <f>IF($A598="","",[1]!thsiFinD("ths_adjustment_nv_fund",H$3,$A598))</f>
        <v/>
      </c>
      <c r="I598" s="13" t="str">
        <f>IF($A598="","",[1]!thsiFinD("ths_adjustment_nv_fund",I$3,$A598))</f>
        <v/>
      </c>
      <c r="J598" s="13" t="str">
        <f>IF($A598="","",[1]!thsiFinD("ths_adjustment_nv_fund",J$3,$A598))</f>
        <v/>
      </c>
      <c r="K598" s="13" t="str">
        <f>IF($A598="","",[1]!thsiFinD("ths_adjustment_nv_fund",K$3,$A598))</f>
        <v/>
      </c>
      <c r="L598" s="13" t="str">
        <f>IF($A598="","",[1]!thsiFinD("ths_adjustment_nv_fund",L$3,$A598))</f>
        <v/>
      </c>
      <c r="M598" s="13" t="str">
        <f>IF($A598="","",[1]!thsiFinD("ths_adjustment_nv_fund",M$3,$A598))</f>
        <v/>
      </c>
      <c r="N598" s="13" t="str">
        <f>IF($A598="","",[1]!thsiFinD("ths_adjustment_nv_fund",N$3,$A598))</f>
        <v/>
      </c>
      <c r="O598" s="13" t="str">
        <f>IF($A598="","",[1]!thsiFinD("ths_adjustment_nv_fund",O$3,$A598))</f>
        <v/>
      </c>
      <c r="P598" s="13" t="str">
        <f>IF($A598="","",[1]!thsiFinD("ths_adjustment_nv_fund",P$3,$A598))</f>
        <v/>
      </c>
      <c r="Q598" s="13" t="str">
        <f>IF($A598="","",[1]!thsiFinD("ths_adjustment_nv_fund",Q$3,$A598))</f>
        <v/>
      </c>
      <c r="R598" s="13" t="str">
        <f>IF($A598="","",[1]!thsiFinD("ths_adjustment_nv_fund",R$3,$A598))</f>
        <v/>
      </c>
      <c r="S598" s="13" t="str">
        <f>IF($A598="","",[1]!thsiFinD("ths_adjustment_nv_fund",S$3,$A598))</f>
        <v/>
      </c>
      <c r="T598" s="13" t="str">
        <f>IF($A598="","",[1]!thsiFinD("ths_adjustment_nv_fund",T$3,$A598))</f>
        <v/>
      </c>
      <c r="U598" s="13" t="str">
        <f>IF($A598="","",[1]!thsiFinD("ths_adjustment_nv_fund",U$3,$A598))</f>
        <v/>
      </c>
      <c r="V598" s="13" t="str">
        <f>IF($A598="","",[1]!thsiFinD("ths_adjustment_nv_fund",V$3,$A598))</f>
        <v/>
      </c>
      <c r="W598" s="13" t="str">
        <f>IF($A598="","",[1]!thsiFinD("ths_adjustment_nv_fund",W$3,$A598))</f>
        <v/>
      </c>
      <c r="X598" s="13" t="str">
        <f>IF($A598="","",[1]!thsiFinD("ths_adjustment_nv_fund",X$3,$A598))</f>
        <v/>
      </c>
      <c r="Y598" s="13" t="str">
        <f>IF($A598="","",[1]!thsiFinD("ths_adjustment_nv_fund",Y$3,$A598))</f>
        <v/>
      </c>
      <c r="Z598" s="13" t="str">
        <f>IF($A598="","",[1]!thsiFinD("ths_adjustment_nv_fund",Z$3,$A598))</f>
        <v/>
      </c>
      <c r="AA598" s="13" t="str">
        <f>IF($A598="","",[1]!thsiFinD("ths_adjustment_nv_fund",AA$3,$A598))</f>
        <v/>
      </c>
      <c r="AB598" s="13" t="str">
        <f>IF($A598="","",[1]!thsiFinD("ths_adjustment_nv_fund",AB$3,$A598))</f>
        <v/>
      </c>
    </row>
    <row r="599" spans="2:28">
      <c r="B599" s="13" t="str">
        <f>IF($A599="","",[1]!thsiFinD("ths_adjustment_nv_fund",B$3,$A599))</f>
        <v/>
      </c>
      <c r="C599" s="13" t="str">
        <f>IF($A599="","",[1]!thsiFinD("ths_adjustment_nv_fund",C$3,$A599))</f>
        <v/>
      </c>
      <c r="D599" s="13" t="str">
        <f>IF($A599="","",[1]!thsiFinD("ths_adjustment_nv_fund",D$3,$A599))</f>
        <v/>
      </c>
      <c r="E599" s="13" t="str">
        <f>IF($A599="","",[1]!thsiFinD("ths_adjustment_nv_fund",E$3,$A599))</f>
        <v/>
      </c>
      <c r="F599" s="13" t="str">
        <f>IF($A599="","",[1]!thsiFinD("ths_adjustment_nv_fund",F$3,$A599))</f>
        <v/>
      </c>
      <c r="G599" s="13" t="str">
        <f>IF($A599="","",[1]!thsiFinD("ths_adjustment_nv_fund",G$3,$A599))</f>
        <v/>
      </c>
      <c r="H599" s="13" t="str">
        <f>IF($A599="","",[1]!thsiFinD("ths_adjustment_nv_fund",H$3,$A599))</f>
        <v/>
      </c>
      <c r="I599" s="13" t="str">
        <f>IF($A599="","",[1]!thsiFinD("ths_adjustment_nv_fund",I$3,$A599))</f>
        <v/>
      </c>
      <c r="J599" s="13" t="str">
        <f>IF($A599="","",[1]!thsiFinD("ths_adjustment_nv_fund",J$3,$A599))</f>
        <v/>
      </c>
      <c r="K599" s="13" t="str">
        <f>IF($A599="","",[1]!thsiFinD("ths_adjustment_nv_fund",K$3,$A599))</f>
        <v/>
      </c>
      <c r="L599" s="13" t="str">
        <f>IF($A599="","",[1]!thsiFinD("ths_adjustment_nv_fund",L$3,$A599))</f>
        <v/>
      </c>
      <c r="M599" s="13" t="str">
        <f>IF($A599="","",[1]!thsiFinD("ths_adjustment_nv_fund",M$3,$A599))</f>
        <v/>
      </c>
      <c r="N599" s="13" t="str">
        <f>IF($A599="","",[1]!thsiFinD("ths_adjustment_nv_fund",N$3,$A599))</f>
        <v/>
      </c>
      <c r="O599" s="13" t="str">
        <f>IF($A599="","",[1]!thsiFinD("ths_adjustment_nv_fund",O$3,$A599))</f>
        <v/>
      </c>
      <c r="P599" s="13" t="str">
        <f>IF($A599="","",[1]!thsiFinD("ths_adjustment_nv_fund",P$3,$A599))</f>
        <v/>
      </c>
      <c r="Q599" s="13" t="str">
        <f>IF($A599="","",[1]!thsiFinD("ths_adjustment_nv_fund",Q$3,$A599))</f>
        <v/>
      </c>
      <c r="R599" s="13" t="str">
        <f>IF($A599="","",[1]!thsiFinD("ths_adjustment_nv_fund",R$3,$A599))</f>
        <v/>
      </c>
      <c r="S599" s="13" t="str">
        <f>IF($A599="","",[1]!thsiFinD("ths_adjustment_nv_fund",S$3,$A599))</f>
        <v/>
      </c>
      <c r="T599" s="13" t="str">
        <f>IF($A599="","",[1]!thsiFinD("ths_adjustment_nv_fund",T$3,$A599))</f>
        <v/>
      </c>
      <c r="U599" s="13" t="str">
        <f>IF($A599="","",[1]!thsiFinD("ths_adjustment_nv_fund",U$3,$A599))</f>
        <v/>
      </c>
      <c r="V599" s="13" t="str">
        <f>IF($A599="","",[1]!thsiFinD("ths_adjustment_nv_fund",V$3,$A599))</f>
        <v/>
      </c>
      <c r="W599" s="13" t="str">
        <f>IF($A599="","",[1]!thsiFinD("ths_adjustment_nv_fund",W$3,$A599))</f>
        <v/>
      </c>
      <c r="X599" s="13" t="str">
        <f>IF($A599="","",[1]!thsiFinD("ths_adjustment_nv_fund",X$3,$A599))</f>
        <v/>
      </c>
      <c r="Y599" s="13" t="str">
        <f>IF($A599="","",[1]!thsiFinD("ths_adjustment_nv_fund",Y$3,$A599))</f>
        <v/>
      </c>
      <c r="Z599" s="13" t="str">
        <f>IF($A599="","",[1]!thsiFinD("ths_adjustment_nv_fund",Z$3,$A599))</f>
        <v/>
      </c>
      <c r="AA599" s="13" t="str">
        <f>IF($A599="","",[1]!thsiFinD("ths_adjustment_nv_fund",AA$3,$A599))</f>
        <v/>
      </c>
      <c r="AB599" s="13" t="str">
        <f>IF($A599="","",[1]!thsiFinD("ths_adjustment_nv_fund",AB$3,$A599))</f>
        <v/>
      </c>
    </row>
    <row r="600" spans="2:28">
      <c r="B600" s="13" t="str">
        <f>IF($A600="","",[1]!thsiFinD("ths_adjustment_nv_fund",B$3,$A600))</f>
        <v/>
      </c>
      <c r="C600" s="13" t="str">
        <f>IF($A600="","",[1]!thsiFinD("ths_adjustment_nv_fund",C$3,$A600))</f>
        <v/>
      </c>
      <c r="D600" s="13" t="str">
        <f>IF($A600="","",[1]!thsiFinD("ths_adjustment_nv_fund",D$3,$A600))</f>
        <v/>
      </c>
      <c r="E600" s="13" t="str">
        <f>IF($A600="","",[1]!thsiFinD("ths_adjustment_nv_fund",E$3,$A600))</f>
        <v/>
      </c>
      <c r="F600" s="13" t="str">
        <f>IF($A600="","",[1]!thsiFinD("ths_adjustment_nv_fund",F$3,$A600))</f>
        <v/>
      </c>
      <c r="G600" s="13" t="str">
        <f>IF($A600="","",[1]!thsiFinD("ths_adjustment_nv_fund",G$3,$A600))</f>
        <v/>
      </c>
      <c r="H600" s="13" t="str">
        <f>IF($A600="","",[1]!thsiFinD("ths_adjustment_nv_fund",H$3,$A600))</f>
        <v/>
      </c>
      <c r="I600" s="13" t="str">
        <f>IF($A600="","",[1]!thsiFinD("ths_adjustment_nv_fund",I$3,$A600))</f>
        <v/>
      </c>
      <c r="J600" s="13" t="str">
        <f>IF($A600="","",[1]!thsiFinD("ths_adjustment_nv_fund",J$3,$A600))</f>
        <v/>
      </c>
      <c r="K600" s="13" t="str">
        <f>IF($A600="","",[1]!thsiFinD("ths_adjustment_nv_fund",K$3,$A600))</f>
        <v/>
      </c>
      <c r="L600" s="13" t="str">
        <f>IF($A600="","",[1]!thsiFinD("ths_adjustment_nv_fund",L$3,$A600))</f>
        <v/>
      </c>
      <c r="M600" s="13" t="str">
        <f>IF($A600="","",[1]!thsiFinD("ths_adjustment_nv_fund",M$3,$A600))</f>
        <v/>
      </c>
      <c r="N600" s="13" t="str">
        <f>IF($A600="","",[1]!thsiFinD("ths_adjustment_nv_fund",N$3,$A600))</f>
        <v/>
      </c>
      <c r="O600" s="13" t="str">
        <f>IF($A600="","",[1]!thsiFinD("ths_adjustment_nv_fund",O$3,$A600))</f>
        <v/>
      </c>
      <c r="P600" s="13" t="str">
        <f>IF($A600="","",[1]!thsiFinD("ths_adjustment_nv_fund",P$3,$A600))</f>
        <v/>
      </c>
      <c r="Q600" s="13" t="str">
        <f>IF($A600="","",[1]!thsiFinD("ths_adjustment_nv_fund",Q$3,$A600))</f>
        <v/>
      </c>
      <c r="R600" s="13" t="str">
        <f>IF($A600="","",[1]!thsiFinD("ths_adjustment_nv_fund",R$3,$A600))</f>
        <v/>
      </c>
      <c r="S600" s="13" t="str">
        <f>IF($A600="","",[1]!thsiFinD("ths_adjustment_nv_fund",S$3,$A600))</f>
        <v/>
      </c>
      <c r="T600" s="13" t="str">
        <f>IF($A600="","",[1]!thsiFinD("ths_adjustment_nv_fund",T$3,$A600))</f>
        <v/>
      </c>
      <c r="U600" s="13" t="str">
        <f>IF($A600="","",[1]!thsiFinD("ths_adjustment_nv_fund",U$3,$A600))</f>
        <v/>
      </c>
      <c r="V600" s="13" t="str">
        <f>IF($A600="","",[1]!thsiFinD("ths_adjustment_nv_fund",V$3,$A600))</f>
        <v/>
      </c>
      <c r="W600" s="13" t="str">
        <f>IF($A600="","",[1]!thsiFinD("ths_adjustment_nv_fund",W$3,$A600))</f>
        <v/>
      </c>
      <c r="X600" s="13" t="str">
        <f>IF($A600="","",[1]!thsiFinD("ths_adjustment_nv_fund",X$3,$A600))</f>
        <v/>
      </c>
      <c r="Y600" s="13" t="str">
        <f>IF($A600="","",[1]!thsiFinD("ths_adjustment_nv_fund",Y$3,$A600))</f>
        <v/>
      </c>
      <c r="Z600" s="13" t="str">
        <f>IF($A600="","",[1]!thsiFinD("ths_adjustment_nv_fund",Z$3,$A600))</f>
        <v/>
      </c>
      <c r="AA600" s="13" t="str">
        <f>IF($A600="","",[1]!thsiFinD("ths_adjustment_nv_fund",AA$3,$A600))</f>
        <v/>
      </c>
      <c r="AB600" s="13" t="str">
        <f>IF($A600="","",[1]!thsiFinD("ths_adjustment_nv_fund",AB$3,$A600))</f>
        <v/>
      </c>
    </row>
    <row r="601" spans="2:28">
      <c r="B601" s="13" t="str">
        <f>IF($A601="","",[1]!thsiFinD("ths_adjustment_nv_fund",B$3,$A601))</f>
        <v/>
      </c>
      <c r="C601" s="13" t="str">
        <f>IF($A601="","",[1]!thsiFinD("ths_adjustment_nv_fund",C$3,$A601))</f>
        <v/>
      </c>
      <c r="D601" s="13" t="str">
        <f>IF($A601="","",[1]!thsiFinD("ths_adjustment_nv_fund",D$3,$A601))</f>
        <v/>
      </c>
      <c r="E601" s="13" t="str">
        <f>IF($A601="","",[1]!thsiFinD("ths_adjustment_nv_fund",E$3,$A601))</f>
        <v/>
      </c>
      <c r="F601" s="13" t="str">
        <f>IF($A601="","",[1]!thsiFinD("ths_adjustment_nv_fund",F$3,$A601))</f>
        <v/>
      </c>
      <c r="G601" s="13" t="str">
        <f>IF($A601="","",[1]!thsiFinD("ths_adjustment_nv_fund",G$3,$A601))</f>
        <v/>
      </c>
      <c r="H601" s="13" t="str">
        <f>IF($A601="","",[1]!thsiFinD("ths_adjustment_nv_fund",H$3,$A601))</f>
        <v/>
      </c>
      <c r="I601" s="13" t="str">
        <f>IF($A601="","",[1]!thsiFinD("ths_adjustment_nv_fund",I$3,$A601))</f>
        <v/>
      </c>
      <c r="J601" s="13" t="str">
        <f>IF($A601="","",[1]!thsiFinD("ths_adjustment_nv_fund",J$3,$A601))</f>
        <v/>
      </c>
      <c r="K601" s="13" t="str">
        <f>IF($A601="","",[1]!thsiFinD("ths_adjustment_nv_fund",K$3,$A601))</f>
        <v/>
      </c>
      <c r="L601" s="13" t="str">
        <f>IF($A601="","",[1]!thsiFinD("ths_adjustment_nv_fund",L$3,$A601))</f>
        <v/>
      </c>
      <c r="M601" s="13" t="str">
        <f>IF($A601="","",[1]!thsiFinD("ths_adjustment_nv_fund",M$3,$A601))</f>
        <v/>
      </c>
      <c r="N601" s="13" t="str">
        <f>IF($A601="","",[1]!thsiFinD("ths_adjustment_nv_fund",N$3,$A601))</f>
        <v/>
      </c>
      <c r="O601" s="13" t="str">
        <f>IF($A601="","",[1]!thsiFinD("ths_adjustment_nv_fund",O$3,$A601))</f>
        <v/>
      </c>
      <c r="P601" s="13" t="str">
        <f>IF($A601="","",[1]!thsiFinD("ths_adjustment_nv_fund",P$3,$A601))</f>
        <v/>
      </c>
      <c r="Q601" s="13" t="str">
        <f>IF($A601="","",[1]!thsiFinD("ths_adjustment_nv_fund",Q$3,$A601))</f>
        <v/>
      </c>
      <c r="R601" s="13" t="str">
        <f>IF($A601="","",[1]!thsiFinD("ths_adjustment_nv_fund",R$3,$A601))</f>
        <v/>
      </c>
      <c r="S601" s="13" t="str">
        <f>IF($A601="","",[1]!thsiFinD("ths_adjustment_nv_fund",S$3,$A601))</f>
        <v/>
      </c>
      <c r="T601" s="13" t="str">
        <f>IF($A601="","",[1]!thsiFinD("ths_adjustment_nv_fund",T$3,$A601))</f>
        <v/>
      </c>
      <c r="U601" s="13" t="str">
        <f>IF($A601="","",[1]!thsiFinD("ths_adjustment_nv_fund",U$3,$A601))</f>
        <v/>
      </c>
      <c r="V601" s="13" t="str">
        <f>IF($A601="","",[1]!thsiFinD("ths_adjustment_nv_fund",V$3,$A601))</f>
        <v/>
      </c>
      <c r="W601" s="13" t="str">
        <f>IF($A601="","",[1]!thsiFinD("ths_adjustment_nv_fund",W$3,$A601))</f>
        <v/>
      </c>
      <c r="X601" s="13" t="str">
        <f>IF($A601="","",[1]!thsiFinD("ths_adjustment_nv_fund",X$3,$A601))</f>
        <v/>
      </c>
      <c r="Y601" s="13" t="str">
        <f>IF($A601="","",[1]!thsiFinD("ths_adjustment_nv_fund",Y$3,$A601))</f>
        <v/>
      </c>
      <c r="Z601" s="13" t="str">
        <f>IF($A601="","",[1]!thsiFinD("ths_adjustment_nv_fund",Z$3,$A601))</f>
        <v/>
      </c>
      <c r="AA601" s="13" t="str">
        <f>IF($A601="","",[1]!thsiFinD("ths_adjustment_nv_fund",AA$3,$A601))</f>
        <v/>
      </c>
      <c r="AB601" s="13" t="str">
        <f>IF($A601="","",[1]!thsiFinD("ths_adjustment_nv_fund",AB$3,$A601))</f>
        <v/>
      </c>
    </row>
    <row r="602" spans="2:28">
      <c r="B602" s="13" t="str">
        <f>IF($A602="","",[1]!thsiFinD("ths_adjustment_nv_fund",B$3,$A602))</f>
        <v/>
      </c>
      <c r="C602" s="13" t="str">
        <f>IF($A602="","",[1]!thsiFinD("ths_adjustment_nv_fund",C$3,$A602))</f>
        <v/>
      </c>
      <c r="D602" s="13" t="str">
        <f>IF($A602="","",[1]!thsiFinD("ths_adjustment_nv_fund",D$3,$A602))</f>
        <v/>
      </c>
      <c r="E602" s="13" t="str">
        <f>IF($A602="","",[1]!thsiFinD("ths_adjustment_nv_fund",E$3,$A602))</f>
        <v/>
      </c>
      <c r="F602" s="13" t="str">
        <f>IF($A602="","",[1]!thsiFinD("ths_adjustment_nv_fund",F$3,$A602))</f>
        <v/>
      </c>
      <c r="G602" s="13" t="str">
        <f>IF($A602="","",[1]!thsiFinD("ths_adjustment_nv_fund",G$3,$A602))</f>
        <v/>
      </c>
      <c r="H602" s="13" t="str">
        <f>IF($A602="","",[1]!thsiFinD("ths_adjustment_nv_fund",H$3,$A602))</f>
        <v/>
      </c>
      <c r="I602" s="13" t="str">
        <f>IF($A602="","",[1]!thsiFinD("ths_adjustment_nv_fund",I$3,$A602))</f>
        <v/>
      </c>
      <c r="J602" s="13" t="str">
        <f>IF($A602="","",[1]!thsiFinD("ths_adjustment_nv_fund",J$3,$A602))</f>
        <v/>
      </c>
      <c r="K602" s="13" t="str">
        <f>IF($A602="","",[1]!thsiFinD("ths_adjustment_nv_fund",K$3,$A602))</f>
        <v/>
      </c>
      <c r="L602" s="13" t="str">
        <f>IF($A602="","",[1]!thsiFinD("ths_adjustment_nv_fund",L$3,$A602))</f>
        <v/>
      </c>
      <c r="M602" s="13" t="str">
        <f>IF($A602="","",[1]!thsiFinD("ths_adjustment_nv_fund",M$3,$A602))</f>
        <v/>
      </c>
      <c r="N602" s="13" t="str">
        <f>IF($A602="","",[1]!thsiFinD("ths_adjustment_nv_fund",N$3,$A602))</f>
        <v/>
      </c>
      <c r="O602" s="13" t="str">
        <f>IF($A602="","",[1]!thsiFinD("ths_adjustment_nv_fund",O$3,$A602))</f>
        <v/>
      </c>
      <c r="P602" s="13" t="str">
        <f>IF($A602="","",[1]!thsiFinD("ths_adjustment_nv_fund",P$3,$A602))</f>
        <v/>
      </c>
      <c r="Q602" s="13" t="str">
        <f>IF($A602="","",[1]!thsiFinD("ths_adjustment_nv_fund",Q$3,$A602))</f>
        <v/>
      </c>
      <c r="R602" s="13" t="str">
        <f>IF($A602="","",[1]!thsiFinD("ths_adjustment_nv_fund",R$3,$A602))</f>
        <v/>
      </c>
      <c r="S602" s="13" t="str">
        <f>IF($A602="","",[1]!thsiFinD("ths_adjustment_nv_fund",S$3,$A602))</f>
        <v/>
      </c>
      <c r="T602" s="13" t="str">
        <f>IF($A602="","",[1]!thsiFinD("ths_adjustment_nv_fund",T$3,$A602))</f>
        <v/>
      </c>
      <c r="U602" s="13" t="str">
        <f>IF($A602="","",[1]!thsiFinD("ths_adjustment_nv_fund",U$3,$A602))</f>
        <v/>
      </c>
      <c r="V602" s="13" t="str">
        <f>IF($A602="","",[1]!thsiFinD("ths_adjustment_nv_fund",V$3,$A602))</f>
        <v/>
      </c>
      <c r="W602" s="13" t="str">
        <f>IF($A602="","",[1]!thsiFinD("ths_adjustment_nv_fund",W$3,$A602))</f>
        <v/>
      </c>
      <c r="X602" s="13" t="str">
        <f>IF($A602="","",[1]!thsiFinD("ths_adjustment_nv_fund",X$3,$A602))</f>
        <v/>
      </c>
      <c r="Y602" s="13" t="str">
        <f>IF($A602="","",[1]!thsiFinD("ths_adjustment_nv_fund",Y$3,$A602))</f>
        <v/>
      </c>
      <c r="Z602" s="13" t="str">
        <f>IF($A602="","",[1]!thsiFinD("ths_adjustment_nv_fund",Z$3,$A602))</f>
        <v/>
      </c>
      <c r="AA602" s="13" t="str">
        <f>IF($A602="","",[1]!thsiFinD("ths_adjustment_nv_fund",AA$3,$A602))</f>
        <v/>
      </c>
      <c r="AB602" s="13" t="str">
        <f>IF($A602="","",[1]!thsiFinD("ths_adjustment_nv_fund",AB$3,$A602))</f>
        <v/>
      </c>
    </row>
    <row r="603" spans="2:28">
      <c r="B603" s="13" t="str">
        <f>IF($A603="","",[1]!thsiFinD("ths_adjustment_nv_fund",B$3,$A603))</f>
        <v/>
      </c>
      <c r="C603" s="13" t="str">
        <f>IF($A603="","",[1]!thsiFinD("ths_adjustment_nv_fund",C$3,$A603))</f>
        <v/>
      </c>
      <c r="D603" s="13" t="str">
        <f>IF($A603="","",[1]!thsiFinD("ths_adjustment_nv_fund",D$3,$A603))</f>
        <v/>
      </c>
      <c r="E603" s="13" t="str">
        <f>IF($A603="","",[1]!thsiFinD("ths_adjustment_nv_fund",E$3,$A603))</f>
        <v/>
      </c>
      <c r="F603" s="13" t="str">
        <f>IF($A603="","",[1]!thsiFinD("ths_adjustment_nv_fund",F$3,$A603))</f>
        <v/>
      </c>
      <c r="G603" s="13" t="str">
        <f>IF($A603="","",[1]!thsiFinD("ths_adjustment_nv_fund",G$3,$A603))</f>
        <v/>
      </c>
      <c r="H603" s="13" t="str">
        <f>IF($A603="","",[1]!thsiFinD("ths_adjustment_nv_fund",H$3,$A603))</f>
        <v/>
      </c>
      <c r="I603" s="13" t="str">
        <f>IF($A603="","",[1]!thsiFinD("ths_adjustment_nv_fund",I$3,$A603))</f>
        <v/>
      </c>
      <c r="J603" s="13" t="str">
        <f>IF($A603="","",[1]!thsiFinD("ths_adjustment_nv_fund",J$3,$A603))</f>
        <v/>
      </c>
      <c r="K603" s="13" t="str">
        <f>IF($A603="","",[1]!thsiFinD("ths_adjustment_nv_fund",K$3,$A603))</f>
        <v/>
      </c>
      <c r="L603" s="13" t="str">
        <f>IF($A603="","",[1]!thsiFinD("ths_adjustment_nv_fund",L$3,$A603))</f>
        <v/>
      </c>
      <c r="M603" s="13" t="str">
        <f>IF($A603="","",[1]!thsiFinD("ths_adjustment_nv_fund",M$3,$A603))</f>
        <v/>
      </c>
      <c r="N603" s="13" t="str">
        <f>IF($A603="","",[1]!thsiFinD("ths_adjustment_nv_fund",N$3,$A603))</f>
        <v/>
      </c>
      <c r="O603" s="13" t="str">
        <f>IF($A603="","",[1]!thsiFinD("ths_adjustment_nv_fund",O$3,$A603))</f>
        <v/>
      </c>
      <c r="P603" s="13" t="str">
        <f>IF($A603="","",[1]!thsiFinD("ths_adjustment_nv_fund",P$3,$A603))</f>
        <v/>
      </c>
      <c r="Q603" s="13" t="str">
        <f>IF($A603="","",[1]!thsiFinD("ths_adjustment_nv_fund",Q$3,$A603))</f>
        <v/>
      </c>
      <c r="R603" s="13" t="str">
        <f>IF($A603="","",[1]!thsiFinD("ths_adjustment_nv_fund",R$3,$A603))</f>
        <v/>
      </c>
      <c r="S603" s="13" t="str">
        <f>IF($A603="","",[1]!thsiFinD("ths_adjustment_nv_fund",S$3,$A603))</f>
        <v/>
      </c>
      <c r="T603" s="13" t="str">
        <f>IF($A603="","",[1]!thsiFinD("ths_adjustment_nv_fund",T$3,$A603))</f>
        <v/>
      </c>
      <c r="U603" s="13" t="str">
        <f>IF($A603="","",[1]!thsiFinD("ths_adjustment_nv_fund",U$3,$A603))</f>
        <v/>
      </c>
      <c r="V603" s="13" t="str">
        <f>IF($A603="","",[1]!thsiFinD("ths_adjustment_nv_fund",V$3,$A603))</f>
        <v/>
      </c>
      <c r="W603" s="13" t="str">
        <f>IF($A603="","",[1]!thsiFinD("ths_adjustment_nv_fund",W$3,$A603))</f>
        <v/>
      </c>
      <c r="X603" s="13" t="str">
        <f>IF($A603="","",[1]!thsiFinD("ths_adjustment_nv_fund",X$3,$A603))</f>
        <v/>
      </c>
      <c r="Y603" s="13" t="str">
        <f>IF($A603="","",[1]!thsiFinD("ths_adjustment_nv_fund",Y$3,$A603))</f>
        <v/>
      </c>
      <c r="Z603" s="13" t="str">
        <f>IF($A603="","",[1]!thsiFinD("ths_adjustment_nv_fund",Z$3,$A603))</f>
        <v/>
      </c>
      <c r="AA603" s="13" t="str">
        <f>IF($A603="","",[1]!thsiFinD("ths_adjustment_nv_fund",AA$3,$A603))</f>
        <v/>
      </c>
      <c r="AB603" s="13" t="str">
        <f>IF($A603="","",[1]!thsiFinD("ths_adjustment_nv_fund",AB$3,$A603))</f>
        <v/>
      </c>
    </row>
    <row r="604" spans="2:28">
      <c r="B604" s="13" t="str">
        <f>IF($A604="","",[1]!thsiFinD("ths_adjustment_nv_fund",B$3,$A604))</f>
        <v/>
      </c>
      <c r="C604" s="13" t="str">
        <f>IF($A604="","",[1]!thsiFinD("ths_adjustment_nv_fund",C$3,$A604))</f>
        <v/>
      </c>
      <c r="D604" s="13" t="str">
        <f>IF($A604="","",[1]!thsiFinD("ths_adjustment_nv_fund",D$3,$A604))</f>
        <v/>
      </c>
      <c r="E604" s="13" t="str">
        <f>IF($A604="","",[1]!thsiFinD("ths_adjustment_nv_fund",E$3,$A604))</f>
        <v/>
      </c>
      <c r="F604" s="13" t="str">
        <f>IF($A604="","",[1]!thsiFinD("ths_adjustment_nv_fund",F$3,$A604))</f>
        <v/>
      </c>
      <c r="G604" s="13" t="str">
        <f>IF($A604="","",[1]!thsiFinD("ths_adjustment_nv_fund",G$3,$A604))</f>
        <v/>
      </c>
      <c r="H604" s="13" t="str">
        <f>IF($A604="","",[1]!thsiFinD("ths_adjustment_nv_fund",H$3,$A604))</f>
        <v/>
      </c>
      <c r="I604" s="13" t="str">
        <f>IF($A604="","",[1]!thsiFinD("ths_adjustment_nv_fund",I$3,$A604))</f>
        <v/>
      </c>
      <c r="J604" s="13" t="str">
        <f>IF($A604="","",[1]!thsiFinD("ths_adjustment_nv_fund",J$3,$A604))</f>
        <v/>
      </c>
      <c r="K604" s="13" t="str">
        <f>IF($A604="","",[1]!thsiFinD("ths_adjustment_nv_fund",K$3,$A604))</f>
        <v/>
      </c>
      <c r="L604" s="13" t="str">
        <f>IF($A604="","",[1]!thsiFinD("ths_adjustment_nv_fund",L$3,$A604))</f>
        <v/>
      </c>
      <c r="M604" s="13" t="str">
        <f>IF($A604="","",[1]!thsiFinD("ths_adjustment_nv_fund",M$3,$A604))</f>
        <v/>
      </c>
      <c r="N604" s="13" t="str">
        <f>IF($A604="","",[1]!thsiFinD("ths_adjustment_nv_fund",N$3,$A604))</f>
        <v/>
      </c>
      <c r="O604" s="13" t="str">
        <f>IF($A604="","",[1]!thsiFinD("ths_adjustment_nv_fund",O$3,$A604))</f>
        <v/>
      </c>
      <c r="P604" s="13" t="str">
        <f>IF($A604="","",[1]!thsiFinD("ths_adjustment_nv_fund",P$3,$A604))</f>
        <v/>
      </c>
      <c r="Q604" s="13" t="str">
        <f>IF($A604="","",[1]!thsiFinD("ths_adjustment_nv_fund",Q$3,$A604))</f>
        <v/>
      </c>
      <c r="R604" s="13" t="str">
        <f>IF($A604="","",[1]!thsiFinD("ths_adjustment_nv_fund",R$3,$A604))</f>
        <v/>
      </c>
      <c r="S604" s="13" t="str">
        <f>IF($A604="","",[1]!thsiFinD("ths_adjustment_nv_fund",S$3,$A604))</f>
        <v/>
      </c>
      <c r="T604" s="13" t="str">
        <f>IF($A604="","",[1]!thsiFinD("ths_adjustment_nv_fund",T$3,$A604))</f>
        <v/>
      </c>
      <c r="U604" s="13" t="str">
        <f>IF($A604="","",[1]!thsiFinD("ths_adjustment_nv_fund",U$3,$A604))</f>
        <v/>
      </c>
      <c r="V604" s="13" t="str">
        <f>IF($A604="","",[1]!thsiFinD("ths_adjustment_nv_fund",V$3,$A604))</f>
        <v/>
      </c>
      <c r="W604" s="13" t="str">
        <f>IF($A604="","",[1]!thsiFinD("ths_adjustment_nv_fund",W$3,$A604))</f>
        <v/>
      </c>
      <c r="X604" s="13" t="str">
        <f>IF($A604="","",[1]!thsiFinD("ths_adjustment_nv_fund",X$3,$A604))</f>
        <v/>
      </c>
      <c r="Y604" s="13" t="str">
        <f>IF($A604="","",[1]!thsiFinD("ths_adjustment_nv_fund",Y$3,$A604))</f>
        <v/>
      </c>
      <c r="Z604" s="13" t="str">
        <f>IF($A604="","",[1]!thsiFinD("ths_adjustment_nv_fund",Z$3,$A604))</f>
        <v/>
      </c>
      <c r="AA604" s="13" t="str">
        <f>IF($A604="","",[1]!thsiFinD("ths_adjustment_nv_fund",AA$3,$A604))</f>
        <v/>
      </c>
      <c r="AB604" s="13" t="str">
        <f>IF($A604="","",[1]!thsiFinD("ths_adjustment_nv_fund",AB$3,$A604))</f>
        <v/>
      </c>
    </row>
    <row r="605" spans="2:28">
      <c r="B605" s="13" t="str">
        <f>IF($A605="","",[1]!thsiFinD("ths_adjustment_nv_fund",B$3,$A605))</f>
        <v/>
      </c>
      <c r="C605" s="13" t="str">
        <f>IF($A605="","",[1]!thsiFinD("ths_adjustment_nv_fund",C$3,$A605))</f>
        <v/>
      </c>
      <c r="D605" s="13" t="str">
        <f>IF($A605="","",[1]!thsiFinD("ths_adjustment_nv_fund",D$3,$A605))</f>
        <v/>
      </c>
      <c r="E605" s="13" t="str">
        <f>IF($A605="","",[1]!thsiFinD("ths_adjustment_nv_fund",E$3,$A605))</f>
        <v/>
      </c>
      <c r="F605" s="13" t="str">
        <f>IF($A605="","",[1]!thsiFinD("ths_adjustment_nv_fund",F$3,$A605))</f>
        <v/>
      </c>
      <c r="G605" s="13" t="str">
        <f>IF($A605="","",[1]!thsiFinD("ths_adjustment_nv_fund",G$3,$A605))</f>
        <v/>
      </c>
      <c r="H605" s="13" t="str">
        <f>IF($A605="","",[1]!thsiFinD("ths_adjustment_nv_fund",H$3,$A605))</f>
        <v/>
      </c>
      <c r="I605" s="13" t="str">
        <f>IF($A605="","",[1]!thsiFinD("ths_adjustment_nv_fund",I$3,$A605))</f>
        <v/>
      </c>
      <c r="J605" s="13" t="str">
        <f>IF($A605="","",[1]!thsiFinD("ths_adjustment_nv_fund",J$3,$A605))</f>
        <v/>
      </c>
      <c r="K605" s="13" t="str">
        <f>IF($A605="","",[1]!thsiFinD("ths_adjustment_nv_fund",K$3,$A605))</f>
        <v/>
      </c>
      <c r="L605" s="13" t="str">
        <f>IF($A605="","",[1]!thsiFinD("ths_adjustment_nv_fund",L$3,$A605))</f>
        <v/>
      </c>
      <c r="M605" s="13" t="str">
        <f>IF($A605="","",[1]!thsiFinD("ths_adjustment_nv_fund",M$3,$A605))</f>
        <v/>
      </c>
      <c r="N605" s="13" t="str">
        <f>IF($A605="","",[1]!thsiFinD("ths_adjustment_nv_fund",N$3,$A605))</f>
        <v/>
      </c>
      <c r="O605" s="13" t="str">
        <f>IF($A605="","",[1]!thsiFinD("ths_adjustment_nv_fund",O$3,$A605))</f>
        <v/>
      </c>
      <c r="P605" s="13" t="str">
        <f>IF($A605="","",[1]!thsiFinD("ths_adjustment_nv_fund",P$3,$A605))</f>
        <v/>
      </c>
      <c r="Q605" s="13" t="str">
        <f>IF($A605="","",[1]!thsiFinD("ths_adjustment_nv_fund",Q$3,$A605))</f>
        <v/>
      </c>
      <c r="R605" s="13" t="str">
        <f>IF($A605="","",[1]!thsiFinD("ths_adjustment_nv_fund",R$3,$A605))</f>
        <v/>
      </c>
      <c r="S605" s="13" t="str">
        <f>IF($A605="","",[1]!thsiFinD("ths_adjustment_nv_fund",S$3,$A605))</f>
        <v/>
      </c>
      <c r="T605" s="13" t="str">
        <f>IF($A605="","",[1]!thsiFinD("ths_adjustment_nv_fund",T$3,$A605))</f>
        <v/>
      </c>
      <c r="U605" s="13" t="str">
        <f>IF($A605="","",[1]!thsiFinD("ths_adjustment_nv_fund",U$3,$A605))</f>
        <v/>
      </c>
      <c r="V605" s="13" t="str">
        <f>IF($A605="","",[1]!thsiFinD("ths_adjustment_nv_fund",V$3,$A605))</f>
        <v/>
      </c>
      <c r="W605" s="13" t="str">
        <f>IF($A605="","",[1]!thsiFinD("ths_adjustment_nv_fund",W$3,$A605))</f>
        <v/>
      </c>
      <c r="X605" s="13" t="str">
        <f>IF($A605="","",[1]!thsiFinD("ths_adjustment_nv_fund",X$3,$A605))</f>
        <v/>
      </c>
      <c r="Y605" s="13" t="str">
        <f>IF($A605="","",[1]!thsiFinD("ths_adjustment_nv_fund",Y$3,$A605))</f>
        <v/>
      </c>
      <c r="Z605" s="13" t="str">
        <f>IF($A605="","",[1]!thsiFinD("ths_adjustment_nv_fund",Z$3,$A605))</f>
        <v/>
      </c>
      <c r="AA605" s="13" t="str">
        <f>IF($A605="","",[1]!thsiFinD("ths_adjustment_nv_fund",AA$3,$A605))</f>
        <v/>
      </c>
      <c r="AB605" s="13" t="str">
        <f>IF($A605="","",[1]!thsiFinD("ths_adjustment_nv_fund",AB$3,$A605))</f>
        <v/>
      </c>
    </row>
    <row r="606" spans="2:28">
      <c r="B606" s="13" t="str">
        <f>IF($A606="","",[1]!thsiFinD("ths_adjustment_nv_fund",B$3,$A606))</f>
        <v/>
      </c>
      <c r="C606" s="13" t="str">
        <f>IF($A606="","",[1]!thsiFinD("ths_adjustment_nv_fund",C$3,$A606))</f>
        <v/>
      </c>
      <c r="D606" s="13" t="str">
        <f>IF($A606="","",[1]!thsiFinD("ths_adjustment_nv_fund",D$3,$A606))</f>
        <v/>
      </c>
      <c r="E606" s="13" t="str">
        <f>IF($A606="","",[1]!thsiFinD("ths_adjustment_nv_fund",E$3,$A606))</f>
        <v/>
      </c>
      <c r="F606" s="13" t="str">
        <f>IF($A606="","",[1]!thsiFinD("ths_adjustment_nv_fund",F$3,$A606))</f>
        <v/>
      </c>
      <c r="G606" s="13" t="str">
        <f>IF($A606="","",[1]!thsiFinD("ths_adjustment_nv_fund",G$3,$A606))</f>
        <v/>
      </c>
      <c r="H606" s="13" t="str">
        <f>IF($A606="","",[1]!thsiFinD("ths_adjustment_nv_fund",H$3,$A606))</f>
        <v/>
      </c>
      <c r="I606" s="13" t="str">
        <f>IF($A606="","",[1]!thsiFinD("ths_adjustment_nv_fund",I$3,$A606))</f>
        <v/>
      </c>
      <c r="J606" s="13" t="str">
        <f>IF($A606="","",[1]!thsiFinD("ths_adjustment_nv_fund",J$3,$A606))</f>
        <v/>
      </c>
      <c r="K606" s="13" t="str">
        <f>IF($A606="","",[1]!thsiFinD("ths_adjustment_nv_fund",K$3,$A606))</f>
        <v/>
      </c>
      <c r="L606" s="13" t="str">
        <f>IF($A606="","",[1]!thsiFinD("ths_adjustment_nv_fund",L$3,$A606))</f>
        <v/>
      </c>
      <c r="M606" s="13" t="str">
        <f>IF($A606="","",[1]!thsiFinD("ths_adjustment_nv_fund",M$3,$A606))</f>
        <v/>
      </c>
      <c r="N606" s="13" t="str">
        <f>IF($A606="","",[1]!thsiFinD("ths_adjustment_nv_fund",N$3,$A606))</f>
        <v/>
      </c>
      <c r="O606" s="13" t="str">
        <f>IF($A606="","",[1]!thsiFinD("ths_adjustment_nv_fund",O$3,$A606))</f>
        <v/>
      </c>
      <c r="P606" s="13" t="str">
        <f>IF($A606="","",[1]!thsiFinD("ths_adjustment_nv_fund",P$3,$A606))</f>
        <v/>
      </c>
      <c r="Q606" s="13" t="str">
        <f>IF($A606="","",[1]!thsiFinD("ths_adjustment_nv_fund",Q$3,$A606))</f>
        <v/>
      </c>
      <c r="R606" s="13" t="str">
        <f>IF($A606="","",[1]!thsiFinD("ths_adjustment_nv_fund",R$3,$A606))</f>
        <v/>
      </c>
      <c r="S606" s="13" t="str">
        <f>IF($A606="","",[1]!thsiFinD("ths_adjustment_nv_fund",S$3,$A606))</f>
        <v/>
      </c>
      <c r="T606" s="13" t="str">
        <f>IF($A606="","",[1]!thsiFinD("ths_adjustment_nv_fund",T$3,$A606))</f>
        <v/>
      </c>
      <c r="U606" s="13" t="str">
        <f>IF($A606="","",[1]!thsiFinD("ths_adjustment_nv_fund",U$3,$A606))</f>
        <v/>
      </c>
      <c r="V606" s="13" t="str">
        <f>IF($A606="","",[1]!thsiFinD("ths_adjustment_nv_fund",V$3,$A606))</f>
        <v/>
      </c>
      <c r="W606" s="13" t="str">
        <f>IF($A606="","",[1]!thsiFinD("ths_adjustment_nv_fund",W$3,$A606))</f>
        <v/>
      </c>
      <c r="X606" s="13" t="str">
        <f>IF($A606="","",[1]!thsiFinD("ths_adjustment_nv_fund",X$3,$A606))</f>
        <v/>
      </c>
      <c r="Y606" s="13" t="str">
        <f>IF($A606="","",[1]!thsiFinD("ths_adjustment_nv_fund",Y$3,$A606))</f>
        <v/>
      </c>
      <c r="Z606" s="13" t="str">
        <f>IF($A606="","",[1]!thsiFinD("ths_adjustment_nv_fund",Z$3,$A606))</f>
        <v/>
      </c>
      <c r="AA606" s="13" t="str">
        <f>IF($A606="","",[1]!thsiFinD("ths_adjustment_nv_fund",AA$3,$A606))</f>
        <v/>
      </c>
      <c r="AB606" s="13" t="str">
        <f>IF($A606="","",[1]!thsiFinD("ths_adjustment_nv_fund",AB$3,$A606))</f>
        <v/>
      </c>
    </row>
    <row r="607" spans="2:28">
      <c r="B607" s="13" t="str">
        <f>IF($A607="","",[1]!thsiFinD("ths_adjustment_nv_fund",B$3,$A607))</f>
        <v/>
      </c>
      <c r="C607" s="13" t="str">
        <f>IF($A607="","",[1]!thsiFinD("ths_adjustment_nv_fund",C$3,$A607))</f>
        <v/>
      </c>
      <c r="D607" s="13" t="str">
        <f>IF($A607="","",[1]!thsiFinD("ths_adjustment_nv_fund",D$3,$A607))</f>
        <v/>
      </c>
      <c r="E607" s="13" t="str">
        <f>IF($A607="","",[1]!thsiFinD("ths_adjustment_nv_fund",E$3,$A607))</f>
        <v/>
      </c>
      <c r="F607" s="13" t="str">
        <f>IF($A607="","",[1]!thsiFinD("ths_adjustment_nv_fund",F$3,$A607))</f>
        <v/>
      </c>
      <c r="G607" s="13" t="str">
        <f>IF($A607="","",[1]!thsiFinD("ths_adjustment_nv_fund",G$3,$A607))</f>
        <v/>
      </c>
      <c r="H607" s="13" t="str">
        <f>IF($A607="","",[1]!thsiFinD("ths_adjustment_nv_fund",H$3,$A607))</f>
        <v/>
      </c>
      <c r="I607" s="13" t="str">
        <f>IF($A607="","",[1]!thsiFinD("ths_adjustment_nv_fund",I$3,$A607))</f>
        <v/>
      </c>
      <c r="J607" s="13" t="str">
        <f>IF($A607="","",[1]!thsiFinD("ths_adjustment_nv_fund",J$3,$A607))</f>
        <v/>
      </c>
      <c r="K607" s="13" t="str">
        <f>IF($A607="","",[1]!thsiFinD("ths_adjustment_nv_fund",K$3,$A607))</f>
        <v/>
      </c>
      <c r="L607" s="13" t="str">
        <f>IF($A607="","",[1]!thsiFinD("ths_adjustment_nv_fund",L$3,$A607))</f>
        <v/>
      </c>
      <c r="M607" s="13" t="str">
        <f>IF($A607="","",[1]!thsiFinD("ths_adjustment_nv_fund",M$3,$A607))</f>
        <v/>
      </c>
      <c r="N607" s="13" t="str">
        <f>IF($A607="","",[1]!thsiFinD("ths_adjustment_nv_fund",N$3,$A607))</f>
        <v/>
      </c>
      <c r="O607" s="13" t="str">
        <f>IF($A607="","",[1]!thsiFinD("ths_adjustment_nv_fund",O$3,$A607))</f>
        <v/>
      </c>
      <c r="P607" s="13" t="str">
        <f>IF($A607="","",[1]!thsiFinD("ths_adjustment_nv_fund",P$3,$A607))</f>
        <v/>
      </c>
      <c r="Q607" s="13" t="str">
        <f>IF($A607="","",[1]!thsiFinD("ths_adjustment_nv_fund",Q$3,$A607))</f>
        <v/>
      </c>
      <c r="R607" s="13" t="str">
        <f>IF($A607="","",[1]!thsiFinD("ths_adjustment_nv_fund",R$3,$A607))</f>
        <v/>
      </c>
      <c r="S607" s="13" t="str">
        <f>IF($A607="","",[1]!thsiFinD("ths_adjustment_nv_fund",S$3,$A607))</f>
        <v/>
      </c>
      <c r="T607" s="13" t="str">
        <f>IF($A607="","",[1]!thsiFinD("ths_adjustment_nv_fund",T$3,$A607))</f>
        <v/>
      </c>
      <c r="U607" s="13" t="str">
        <f>IF($A607="","",[1]!thsiFinD("ths_adjustment_nv_fund",U$3,$A607))</f>
        <v/>
      </c>
      <c r="V607" s="13" t="str">
        <f>IF($A607="","",[1]!thsiFinD("ths_adjustment_nv_fund",V$3,$A607))</f>
        <v/>
      </c>
      <c r="W607" s="13" t="str">
        <f>IF($A607="","",[1]!thsiFinD("ths_adjustment_nv_fund",W$3,$A607))</f>
        <v/>
      </c>
      <c r="X607" s="13" t="str">
        <f>IF($A607="","",[1]!thsiFinD("ths_adjustment_nv_fund",X$3,$A607))</f>
        <v/>
      </c>
      <c r="Y607" s="13" t="str">
        <f>IF($A607="","",[1]!thsiFinD("ths_adjustment_nv_fund",Y$3,$A607))</f>
        <v/>
      </c>
      <c r="Z607" s="13" t="str">
        <f>IF($A607="","",[1]!thsiFinD("ths_adjustment_nv_fund",Z$3,$A607))</f>
        <v/>
      </c>
      <c r="AA607" s="13" t="str">
        <f>IF($A607="","",[1]!thsiFinD("ths_adjustment_nv_fund",AA$3,$A607))</f>
        <v/>
      </c>
      <c r="AB607" s="13" t="str">
        <f>IF($A607="","",[1]!thsiFinD("ths_adjustment_nv_fund",AB$3,$A607))</f>
        <v/>
      </c>
    </row>
    <row r="608" spans="2:28">
      <c r="B608" s="13" t="str">
        <f>IF($A608="","",[1]!thsiFinD("ths_adjustment_nv_fund",B$3,$A608))</f>
        <v/>
      </c>
      <c r="C608" s="13" t="str">
        <f>IF($A608="","",[1]!thsiFinD("ths_adjustment_nv_fund",C$3,$A608))</f>
        <v/>
      </c>
      <c r="D608" s="13" t="str">
        <f>IF($A608="","",[1]!thsiFinD("ths_adjustment_nv_fund",D$3,$A608))</f>
        <v/>
      </c>
      <c r="E608" s="13" t="str">
        <f>IF($A608="","",[1]!thsiFinD("ths_adjustment_nv_fund",E$3,$A608))</f>
        <v/>
      </c>
      <c r="F608" s="13" t="str">
        <f>IF($A608="","",[1]!thsiFinD("ths_adjustment_nv_fund",F$3,$A608))</f>
        <v/>
      </c>
      <c r="G608" s="13" t="str">
        <f>IF($A608="","",[1]!thsiFinD("ths_adjustment_nv_fund",G$3,$A608))</f>
        <v/>
      </c>
      <c r="H608" s="13" t="str">
        <f>IF($A608="","",[1]!thsiFinD("ths_adjustment_nv_fund",H$3,$A608))</f>
        <v/>
      </c>
      <c r="I608" s="13" t="str">
        <f>IF($A608="","",[1]!thsiFinD("ths_adjustment_nv_fund",I$3,$A608))</f>
        <v/>
      </c>
      <c r="J608" s="13" t="str">
        <f>IF($A608="","",[1]!thsiFinD("ths_adjustment_nv_fund",J$3,$A608))</f>
        <v/>
      </c>
      <c r="K608" s="13" t="str">
        <f>IF($A608="","",[1]!thsiFinD("ths_adjustment_nv_fund",K$3,$A608))</f>
        <v/>
      </c>
      <c r="L608" s="13" t="str">
        <f>IF($A608="","",[1]!thsiFinD("ths_adjustment_nv_fund",L$3,$A608))</f>
        <v/>
      </c>
      <c r="M608" s="13" t="str">
        <f>IF($A608="","",[1]!thsiFinD("ths_adjustment_nv_fund",M$3,$A608))</f>
        <v/>
      </c>
      <c r="N608" s="13" t="str">
        <f>IF($A608="","",[1]!thsiFinD("ths_adjustment_nv_fund",N$3,$A608))</f>
        <v/>
      </c>
      <c r="O608" s="13" t="str">
        <f>IF($A608="","",[1]!thsiFinD("ths_adjustment_nv_fund",O$3,$A608))</f>
        <v/>
      </c>
      <c r="P608" s="13" t="str">
        <f>IF($A608="","",[1]!thsiFinD("ths_adjustment_nv_fund",P$3,$A608))</f>
        <v/>
      </c>
      <c r="Q608" s="13" t="str">
        <f>IF($A608="","",[1]!thsiFinD("ths_adjustment_nv_fund",Q$3,$A608))</f>
        <v/>
      </c>
      <c r="R608" s="13" t="str">
        <f>IF($A608="","",[1]!thsiFinD("ths_adjustment_nv_fund",R$3,$A608))</f>
        <v/>
      </c>
      <c r="S608" s="13" t="str">
        <f>IF($A608="","",[1]!thsiFinD("ths_adjustment_nv_fund",S$3,$A608))</f>
        <v/>
      </c>
      <c r="T608" s="13" t="str">
        <f>IF($A608="","",[1]!thsiFinD("ths_adjustment_nv_fund",T$3,$A608))</f>
        <v/>
      </c>
      <c r="U608" s="13" t="str">
        <f>IF($A608="","",[1]!thsiFinD("ths_adjustment_nv_fund",U$3,$A608))</f>
        <v/>
      </c>
      <c r="V608" s="13" t="str">
        <f>IF($A608="","",[1]!thsiFinD("ths_adjustment_nv_fund",V$3,$A608))</f>
        <v/>
      </c>
      <c r="W608" s="13" t="str">
        <f>IF($A608="","",[1]!thsiFinD("ths_adjustment_nv_fund",W$3,$A608))</f>
        <v/>
      </c>
      <c r="X608" s="13" t="str">
        <f>IF($A608="","",[1]!thsiFinD("ths_adjustment_nv_fund",X$3,$A608))</f>
        <v/>
      </c>
      <c r="Y608" s="13" t="str">
        <f>IF($A608="","",[1]!thsiFinD("ths_adjustment_nv_fund",Y$3,$A608))</f>
        <v/>
      </c>
      <c r="Z608" s="13" t="str">
        <f>IF($A608="","",[1]!thsiFinD("ths_adjustment_nv_fund",Z$3,$A608))</f>
        <v/>
      </c>
      <c r="AA608" s="13" t="str">
        <f>IF($A608="","",[1]!thsiFinD("ths_adjustment_nv_fund",AA$3,$A608))</f>
        <v/>
      </c>
      <c r="AB608" s="13" t="str">
        <f>IF($A608="","",[1]!thsiFinD("ths_adjustment_nv_fund",AB$3,$A608))</f>
        <v/>
      </c>
    </row>
    <row r="609" spans="2:28">
      <c r="B609" s="13" t="str">
        <f>IF($A609="","",[1]!thsiFinD("ths_adjustment_nv_fund",B$3,$A609))</f>
        <v/>
      </c>
      <c r="C609" s="13" t="str">
        <f>IF($A609="","",[1]!thsiFinD("ths_adjustment_nv_fund",C$3,$A609))</f>
        <v/>
      </c>
      <c r="D609" s="13" t="str">
        <f>IF($A609="","",[1]!thsiFinD("ths_adjustment_nv_fund",D$3,$A609))</f>
        <v/>
      </c>
      <c r="E609" s="13" t="str">
        <f>IF($A609="","",[1]!thsiFinD("ths_adjustment_nv_fund",E$3,$A609))</f>
        <v/>
      </c>
      <c r="F609" s="13" t="str">
        <f>IF($A609="","",[1]!thsiFinD("ths_adjustment_nv_fund",F$3,$A609))</f>
        <v/>
      </c>
      <c r="G609" s="13" t="str">
        <f>IF($A609="","",[1]!thsiFinD("ths_adjustment_nv_fund",G$3,$A609))</f>
        <v/>
      </c>
      <c r="H609" s="13" t="str">
        <f>IF($A609="","",[1]!thsiFinD("ths_adjustment_nv_fund",H$3,$A609))</f>
        <v/>
      </c>
      <c r="I609" s="13" t="str">
        <f>IF($A609="","",[1]!thsiFinD("ths_adjustment_nv_fund",I$3,$A609))</f>
        <v/>
      </c>
      <c r="J609" s="13" t="str">
        <f>IF($A609="","",[1]!thsiFinD("ths_adjustment_nv_fund",J$3,$A609))</f>
        <v/>
      </c>
      <c r="K609" s="13" t="str">
        <f>IF($A609="","",[1]!thsiFinD("ths_adjustment_nv_fund",K$3,$A609))</f>
        <v/>
      </c>
      <c r="L609" s="13" t="str">
        <f>IF($A609="","",[1]!thsiFinD("ths_adjustment_nv_fund",L$3,$A609))</f>
        <v/>
      </c>
      <c r="M609" s="13" t="str">
        <f>IF($A609="","",[1]!thsiFinD("ths_adjustment_nv_fund",M$3,$A609))</f>
        <v/>
      </c>
      <c r="N609" s="13" t="str">
        <f>IF($A609="","",[1]!thsiFinD("ths_adjustment_nv_fund",N$3,$A609))</f>
        <v/>
      </c>
      <c r="O609" s="13" t="str">
        <f>IF($A609="","",[1]!thsiFinD("ths_adjustment_nv_fund",O$3,$A609))</f>
        <v/>
      </c>
      <c r="P609" s="13" t="str">
        <f>IF($A609="","",[1]!thsiFinD("ths_adjustment_nv_fund",P$3,$A609))</f>
        <v/>
      </c>
      <c r="Q609" s="13" t="str">
        <f>IF($A609="","",[1]!thsiFinD("ths_adjustment_nv_fund",Q$3,$A609))</f>
        <v/>
      </c>
      <c r="R609" s="13" t="str">
        <f>IF($A609="","",[1]!thsiFinD("ths_adjustment_nv_fund",R$3,$A609))</f>
        <v/>
      </c>
      <c r="S609" s="13" t="str">
        <f>IF($A609="","",[1]!thsiFinD("ths_adjustment_nv_fund",S$3,$A609))</f>
        <v/>
      </c>
      <c r="T609" s="13" t="str">
        <f>IF($A609="","",[1]!thsiFinD("ths_adjustment_nv_fund",T$3,$A609))</f>
        <v/>
      </c>
      <c r="U609" s="13" t="str">
        <f>IF($A609="","",[1]!thsiFinD("ths_adjustment_nv_fund",U$3,$A609))</f>
        <v/>
      </c>
      <c r="V609" s="13" t="str">
        <f>IF($A609="","",[1]!thsiFinD("ths_adjustment_nv_fund",V$3,$A609))</f>
        <v/>
      </c>
      <c r="W609" s="13" t="str">
        <f>IF($A609="","",[1]!thsiFinD("ths_adjustment_nv_fund",W$3,$A609))</f>
        <v/>
      </c>
      <c r="X609" s="13" t="str">
        <f>IF($A609="","",[1]!thsiFinD("ths_adjustment_nv_fund",X$3,$A609))</f>
        <v/>
      </c>
      <c r="Y609" s="13" t="str">
        <f>IF($A609="","",[1]!thsiFinD("ths_adjustment_nv_fund",Y$3,$A609))</f>
        <v/>
      </c>
      <c r="Z609" s="13" t="str">
        <f>IF($A609="","",[1]!thsiFinD("ths_adjustment_nv_fund",Z$3,$A609))</f>
        <v/>
      </c>
      <c r="AA609" s="13" t="str">
        <f>IF($A609="","",[1]!thsiFinD("ths_adjustment_nv_fund",AA$3,$A609))</f>
        <v/>
      </c>
      <c r="AB609" s="13" t="str">
        <f>IF($A609="","",[1]!thsiFinD("ths_adjustment_nv_fund",AB$3,$A609))</f>
        <v/>
      </c>
    </row>
    <row r="610" spans="2:28">
      <c r="B610" s="13" t="str">
        <f>IF($A610="","",[1]!thsiFinD("ths_adjustment_nv_fund",B$3,$A610))</f>
        <v/>
      </c>
      <c r="C610" s="13" t="str">
        <f>IF($A610="","",[1]!thsiFinD("ths_adjustment_nv_fund",C$3,$A610))</f>
        <v/>
      </c>
      <c r="D610" s="13" t="str">
        <f>IF($A610="","",[1]!thsiFinD("ths_adjustment_nv_fund",D$3,$A610))</f>
        <v/>
      </c>
      <c r="E610" s="13" t="str">
        <f>IF($A610="","",[1]!thsiFinD("ths_adjustment_nv_fund",E$3,$A610))</f>
        <v/>
      </c>
      <c r="F610" s="13" t="str">
        <f>IF($A610="","",[1]!thsiFinD("ths_adjustment_nv_fund",F$3,$A610))</f>
        <v/>
      </c>
      <c r="G610" s="13" t="str">
        <f>IF($A610="","",[1]!thsiFinD("ths_adjustment_nv_fund",G$3,$A610))</f>
        <v/>
      </c>
      <c r="H610" s="13" t="str">
        <f>IF($A610="","",[1]!thsiFinD("ths_adjustment_nv_fund",H$3,$A610))</f>
        <v/>
      </c>
      <c r="I610" s="13" t="str">
        <f>IF($A610="","",[1]!thsiFinD("ths_adjustment_nv_fund",I$3,$A610))</f>
        <v/>
      </c>
      <c r="J610" s="13" t="str">
        <f>IF($A610="","",[1]!thsiFinD("ths_adjustment_nv_fund",J$3,$A610))</f>
        <v/>
      </c>
      <c r="K610" s="13" t="str">
        <f>IF($A610="","",[1]!thsiFinD("ths_adjustment_nv_fund",K$3,$A610))</f>
        <v/>
      </c>
      <c r="L610" s="13" t="str">
        <f>IF($A610="","",[1]!thsiFinD("ths_adjustment_nv_fund",L$3,$A610))</f>
        <v/>
      </c>
      <c r="M610" s="13" t="str">
        <f>IF($A610="","",[1]!thsiFinD("ths_adjustment_nv_fund",M$3,$A610))</f>
        <v/>
      </c>
      <c r="N610" s="13" t="str">
        <f>IF($A610="","",[1]!thsiFinD("ths_adjustment_nv_fund",N$3,$A610))</f>
        <v/>
      </c>
      <c r="O610" s="13" t="str">
        <f>IF($A610="","",[1]!thsiFinD("ths_adjustment_nv_fund",O$3,$A610))</f>
        <v/>
      </c>
      <c r="P610" s="13" t="str">
        <f>IF($A610="","",[1]!thsiFinD("ths_adjustment_nv_fund",P$3,$A610))</f>
        <v/>
      </c>
      <c r="Q610" s="13" t="str">
        <f>IF($A610="","",[1]!thsiFinD("ths_adjustment_nv_fund",Q$3,$A610))</f>
        <v/>
      </c>
      <c r="R610" s="13" t="str">
        <f>IF($A610="","",[1]!thsiFinD("ths_adjustment_nv_fund",R$3,$A610))</f>
        <v/>
      </c>
      <c r="S610" s="13" t="str">
        <f>IF($A610="","",[1]!thsiFinD("ths_adjustment_nv_fund",S$3,$A610))</f>
        <v/>
      </c>
      <c r="T610" s="13" t="str">
        <f>IF($A610="","",[1]!thsiFinD("ths_adjustment_nv_fund",T$3,$A610))</f>
        <v/>
      </c>
      <c r="U610" s="13" t="str">
        <f>IF($A610="","",[1]!thsiFinD("ths_adjustment_nv_fund",U$3,$A610))</f>
        <v/>
      </c>
      <c r="V610" s="13" t="str">
        <f>IF($A610="","",[1]!thsiFinD("ths_adjustment_nv_fund",V$3,$A610))</f>
        <v/>
      </c>
      <c r="W610" s="13" t="str">
        <f>IF($A610="","",[1]!thsiFinD("ths_adjustment_nv_fund",W$3,$A610))</f>
        <v/>
      </c>
      <c r="X610" s="13" t="str">
        <f>IF($A610="","",[1]!thsiFinD("ths_adjustment_nv_fund",X$3,$A610))</f>
        <v/>
      </c>
      <c r="Y610" s="13" t="str">
        <f>IF($A610="","",[1]!thsiFinD("ths_adjustment_nv_fund",Y$3,$A610))</f>
        <v/>
      </c>
      <c r="Z610" s="13" t="str">
        <f>IF($A610="","",[1]!thsiFinD("ths_adjustment_nv_fund",Z$3,$A610))</f>
        <v/>
      </c>
      <c r="AA610" s="13" t="str">
        <f>IF($A610="","",[1]!thsiFinD("ths_adjustment_nv_fund",AA$3,$A610))</f>
        <v/>
      </c>
      <c r="AB610" s="13" t="str">
        <f>IF($A610="","",[1]!thsiFinD("ths_adjustment_nv_fund",AB$3,$A610))</f>
        <v/>
      </c>
    </row>
    <row r="611" spans="2:28">
      <c r="B611" s="13" t="str">
        <f>IF($A611="","",[1]!thsiFinD("ths_adjustment_nv_fund",B$3,$A611))</f>
        <v/>
      </c>
      <c r="C611" s="13" t="str">
        <f>IF($A611="","",[1]!thsiFinD("ths_adjustment_nv_fund",C$3,$A611))</f>
        <v/>
      </c>
      <c r="D611" s="13" t="str">
        <f>IF($A611="","",[1]!thsiFinD("ths_adjustment_nv_fund",D$3,$A611))</f>
        <v/>
      </c>
      <c r="E611" s="13" t="str">
        <f>IF($A611="","",[1]!thsiFinD("ths_adjustment_nv_fund",E$3,$A611))</f>
        <v/>
      </c>
      <c r="F611" s="13" t="str">
        <f>IF($A611="","",[1]!thsiFinD("ths_adjustment_nv_fund",F$3,$A611))</f>
        <v/>
      </c>
      <c r="G611" s="13" t="str">
        <f>IF($A611="","",[1]!thsiFinD("ths_adjustment_nv_fund",G$3,$A611))</f>
        <v/>
      </c>
      <c r="H611" s="13" t="str">
        <f>IF($A611="","",[1]!thsiFinD("ths_adjustment_nv_fund",H$3,$A611))</f>
        <v/>
      </c>
      <c r="I611" s="13" t="str">
        <f>IF($A611="","",[1]!thsiFinD("ths_adjustment_nv_fund",I$3,$A611))</f>
        <v/>
      </c>
      <c r="J611" s="13" t="str">
        <f>IF($A611="","",[1]!thsiFinD("ths_adjustment_nv_fund",J$3,$A611))</f>
        <v/>
      </c>
      <c r="K611" s="13" t="str">
        <f>IF($A611="","",[1]!thsiFinD("ths_adjustment_nv_fund",K$3,$A611))</f>
        <v/>
      </c>
      <c r="L611" s="13" t="str">
        <f>IF($A611="","",[1]!thsiFinD("ths_adjustment_nv_fund",L$3,$A611))</f>
        <v/>
      </c>
      <c r="M611" s="13" t="str">
        <f>IF($A611="","",[1]!thsiFinD("ths_adjustment_nv_fund",M$3,$A611))</f>
        <v/>
      </c>
      <c r="N611" s="13" t="str">
        <f>IF($A611="","",[1]!thsiFinD("ths_adjustment_nv_fund",N$3,$A611))</f>
        <v/>
      </c>
      <c r="O611" s="13" t="str">
        <f>IF($A611="","",[1]!thsiFinD("ths_adjustment_nv_fund",O$3,$A611))</f>
        <v/>
      </c>
      <c r="P611" s="13" t="str">
        <f>IF($A611="","",[1]!thsiFinD("ths_adjustment_nv_fund",P$3,$A611))</f>
        <v/>
      </c>
      <c r="Q611" s="13" t="str">
        <f>IF($A611="","",[1]!thsiFinD("ths_adjustment_nv_fund",Q$3,$A611))</f>
        <v/>
      </c>
      <c r="R611" s="13" t="str">
        <f>IF($A611="","",[1]!thsiFinD("ths_adjustment_nv_fund",R$3,$A611))</f>
        <v/>
      </c>
      <c r="S611" s="13" t="str">
        <f>IF($A611="","",[1]!thsiFinD("ths_adjustment_nv_fund",S$3,$A611))</f>
        <v/>
      </c>
      <c r="T611" s="13" t="str">
        <f>IF($A611="","",[1]!thsiFinD("ths_adjustment_nv_fund",T$3,$A611))</f>
        <v/>
      </c>
      <c r="U611" s="13" t="str">
        <f>IF($A611="","",[1]!thsiFinD("ths_adjustment_nv_fund",U$3,$A611))</f>
        <v/>
      </c>
      <c r="V611" s="13" t="str">
        <f>IF($A611="","",[1]!thsiFinD("ths_adjustment_nv_fund",V$3,$A611))</f>
        <v/>
      </c>
      <c r="W611" s="13" t="str">
        <f>IF($A611="","",[1]!thsiFinD("ths_adjustment_nv_fund",W$3,$A611))</f>
        <v/>
      </c>
      <c r="X611" s="13" t="str">
        <f>IF($A611="","",[1]!thsiFinD("ths_adjustment_nv_fund",X$3,$A611))</f>
        <v/>
      </c>
      <c r="Y611" s="13" t="str">
        <f>IF($A611="","",[1]!thsiFinD("ths_adjustment_nv_fund",Y$3,$A611))</f>
        <v/>
      </c>
      <c r="Z611" s="13" t="str">
        <f>IF($A611="","",[1]!thsiFinD("ths_adjustment_nv_fund",Z$3,$A611))</f>
        <v/>
      </c>
      <c r="AA611" s="13" t="str">
        <f>IF($A611="","",[1]!thsiFinD("ths_adjustment_nv_fund",AA$3,$A611))</f>
        <v/>
      </c>
      <c r="AB611" s="13" t="str">
        <f>IF($A611="","",[1]!thsiFinD("ths_adjustment_nv_fund",AB$3,$A611))</f>
        <v/>
      </c>
    </row>
    <row r="612" spans="2:28">
      <c r="B612" s="13" t="str">
        <f>IF($A612="","",[1]!thsiFinD("ths_adjustment_nv_fund",B$3,$A612))</f>
        <v/>
      </c>
      <c r="C612" s="13" t="str">
        <f>IF($A612="","",[1]!thsiFinD("ths_adjustment_nv_fund",C$3,$A612))</f>
        <v/>
      </c>
      <c r="D612" s="13" t="str">
        <f>IF($A612="","",[1]!thsiFinD("ths_adjustment_nv_fund",D$3,$A612))</f>
        <v/>
      </c>
      <c r="E612" s="13" t="str">
        <f>IF($A612="","",[1]!thsiFinD("ths_adjustment_nv_fund",E$3,$A612))</f>
        <v/>
      </c>
      <c r="F612" s="13" t="str">
        <f>IF($A612="","",[1]!thsiFinD("ths_adjustment_nv_fund",F$3,$A612))</f>
        <v/>
      </c>
      <c r="G612" s="13" t="str">
        <f>IF($A612="","",[1]!thsiFinD("ths_adjustment_nv_fund",G$3,$A612))</f>
        <v/>
      </c>
      <c r="H612" s="13" t="str">
        <f>IF($A612="","",[1]!thsiFinD("ths_adjustment_nv_fund",H$3,$A612))</f>
        <v/>
      </c>
      <c r="I612" s="13" t="str">
        <f>IF($A612="","",[1]!thsiFinD("ths_adjustment_nv_fund",I$3,$A612))</f>
        <v/>
      </c>
      <c r="J612" s="13" t="str">
        <f>IF($A612="","",[1]!thsiFinD("ths_adjustment_nv_fund",J$3,$A612))</f>
        <v/>
      </c>
      <c r="K612" s="13" t="str">
        <f>IF($A612="","",[1]!thsiFinD("ths_adjustment_nv_fund",K$3,$A612))</f>
        <v/>
      </c>
      <c r="L612" s="13" t="str">
        <f>IF($A612="","",[1]!thsiFinD("ths_adjustment_nv_fund",L$3,$A612))</f>
        <v/>
      </c>
      <c r="M612" s="13" t="str">
        <f>IF($A612="","",[1]!thsiFinD("ths_adjustment_nv_fund",M$3,$A612))</f>
        <v/>
      </c>
      <c r="N612" s="13" t="str">
        <f>IF($A612="","",[1]!thsiFinD("ths_adjustment_nv_fund",N$3,$A612))</f>
        <v/>
      </c>
      <c r="O612" s="13" t="str">
        <f>IF($A612="","",[1]!thsiFinD("ths_adjustment_nv_fund",O$3,$A612))</f>
        <v/>
      </c>
      <c r="P612" s="13" t="str">
        <f>IF($A612="","",[1]!thsiFinD("ths_adjustment_nv_fund",P$3,$A612))</f>
        <v/>
      </c>
      <c r="Q612" s="13" t="str">
        <f>IF($A612="","",[1]!thsiFinD("ths_adjustment_nv_fund",Q$3,$A612))</f>
        <v/>
      </c>
      <c r="R612" s="13" t="str">
        <f>IF($A612="","",[1]!thsiFinD("ths_adjustment_nv_fund",R$3,$A612))</f>
        <v/>
      </c>
      <c r="S612" s="13" t="str">
        <f>IF($A612="","",[1]!thsiFinD("ths_adjustment_nv_fund",S$3,$A612))</f>
        <v/>
      </c>
      <c r="T612" s="13" t="str">
        <f>IF($A612="","",[1]!thsiFinD("ths_adjustment_nv_fund",T$3,$A612))</f>
        <v/>
      </c>
      <c r="U612" s="13" t="str">
        <f>IF($A612="","",[1]!thsiFinD("ths_adjustment_nv_fund",U$3,$A612))</f>
        <v/>
      </c>
      <c r="V612" s="13" t="str">
        <f>IF($A612="","",[1]!thsiFinD("ths_adjustment_nv_fund",V$3,$A612))</f>
        <v/>
      </c>
      <c r="W612" s="13" t="str">
        <f>IF($A612="","",[1]!thsiFinD("ths_adjustment_nv_fund",W$3,$A612))</f>
        <v/>
      </c>
      <c r="X612" s="13" t="str">
        <f>IF($A612="","",[1]!thsiFinD("ths_adjustment_nv_fund",X$3,$A612))</f>
        <v/>
      </c>
      <c r="Y612" s="13" t="str">
        <f>IF($A612="","",[1]!thsiFinD("ths_adjustment_nv_fund",Y$3,$A612))</f>
        <v/>
      </c>
      <c r="Z612" s="13" t="str">
        <f>IF($A612="","",[1]!thsiFinD("ths_adjustment_nv_fund",Z$3,$A612))</f>
        <v/>
      </c>
      <c r="AA612" s="13" t="str">
        <f>IF($A612="","",[1]!thsiFinD("ths_adjustment_nv_fund",AA$3,$A612))</f>
        <v/>
      </c>
      <c r="AB612" s="13" t="str">
        <f>IF($A612="","",[1]!thsiFinD("ths_adjustment_nv_fund",AB$3,$A612))</f>
        <v/>
      </c>
    </row>
    <row r="613" spans="2:28">
      <c r="B613" s="13" t="str">
        <f>IF($A613="","",[1]!thsiFinD("ths_adjustment_nv_fund",B$3,$A613))</f>
        <v/>
      </c>
      <c r="C613" s="13" t="str">
        <f>IF($A613="","",[1]!thsiFinD("ths_adjustment_nv_fund",C$3,$A613))</f>
        <v/>
      </c>
      <c r="D613" s="13" t="str">
        <f>IF($A613="","",[1]!thsiFinD("ths_adjustment_nv_fund",D$3,$A613))</f>
        <v/>
      </c>
      <c r="E613" s="13" t="str">
        <f>IF($A613="","",[1]!thsiFinD("ths_adjustment_nv_fund",E$3,$A613))</f>
        <v/>
      </c>
      <c r="F613" s="13" t="str">
        <f>IF($A613="","",[1]!thsiFinD("ths_adjustment_nv_fund",F$3,$A613))</f>
        <v/>
      </c>
      <c r="G613" s="13" t="str">
        <f>IF($A613="","",[1]!thsiFinD("ths_adjustment_nv_fund",G$3,$A613))</f>
        <v/>
      </c>
      <c r="H613" s="13" t="str">
        <f>IF($A613="","",[1]!thsiFinD("ths_adjustment_nv_fund",H$3,$A613))</f>
        <v/>
      </c>
      <c r="I613" s="13" t="str">
        <f>IF($A613="","",[1]!thsiFinD("ths_adjustment_nv_fund",I$3,$A613))</f>
        <v/>
      </c>
      <c r="J613" s="13" t="str">
        <f>IF($A613="","",[1]!thsiFinD("ths_adjustment_nv_fund",J$3,$A613))</f>
        <v/>
      </c>
      <c r="K613" s="13" t="str">
        <f>IF($A613="","",[1]!thsiFinD("ths_adjustment_nv_fund",K$3,$A613))</f>
        <v/>
      </c>
      <c r="L613" s="13" t="str">
        <f>IF($A613="","",[1]!thsiFinD("ths_adjustment_nv_fund",L$3,$A613))</f>
        <v/>
      </c>
      <c r="M613" s="13" t="str">
        <f>IF($A613="","",[1]!thsiFinD("ths_adjustment_nv_fund",M$3,$A613))</f>
        <v/>
      </c>
      <c r="N613" s="13" t="str">
        <f>IF($A613="","",[1]!thsiFinD("ths_adjustment_nv_fund",N$3,$A613))</f>
        <v/>
      </c>
      <c r="O613" s="13" t="str">
        <f>IF($A613="","",[1]!thsiFinD("ths_adjustment_nv_fund",O$3,$A613))</f>
        <v/>
      </c>
      <c r="P613" s="13" t="str">
        <f>IF($A613="","",[1]!thsiFinD("ths_adjustment_nv_fund",P$3,$A613))</f>
        <v/>
      </c>
      <c r="Q613" s="13" t="str">
        <f>IF($A613="","",[1]!thsiFinD("ths_adjustment_nv_fund",Q$3,$A613))</f>
        <v/>
      </c>
      <c r="R613" s="13" t="str">
        <f>IF($A613="","",[1]!thsiFinD("ths_adjustment_nv_fund",R$3,$A613))</f>
        <v/>
      </c>
      <c r="S613" s="13" t="str">
        <f>IF($A613="","",[1]!thsiFinD("ths_adjustment_nv_fund",S$3,$A613))</f>
        <v/>
      </c>
      <c r="T613" s="13" t="str">
        <f>IF($A613="","",[1]!thsiFinD("ths_adjustment_nv_fund",T$3,$A613))</f>
        <v/>
      </c>
      <c r="U613" s="13" t="str">
        <f>IF($A613="","",[1]!thsiFinD("ths_adjustment_nv_fund",U$3,$A613))</f>
        <v/>
      </c>
      <c r="V613" s="13" t="str">
        <f>IF($A613="","",[1]!thsiFinD("ths_adjustment_nv_fund",V$3,$A613))</f>
        <v/>
      </c>
      <c r="W613" s="13" t="str">
        <f>IF($A613="","",[1]!thsiFinD("ths_adjustment_nv_fund",W$3,$A613))</f>
        <v/>
      </c>
      <c r="X613" s="13" t="str">
        <f>IF($A613="","",[1]!thsiFinD("ths_adjustment_nv_fund",X$3,$A613))</f>
        <v/>
      </c>
      <c r="Y613" s="13" t="str">
        <f>IF($A613="","",[1]!thsiFinD("ths_adjustment_nv_fund",Y$3,$A613))</f>
        <v/>
      </c>
      <c r="Z613" s="13" t="str">
        <f>IF($A613="","",[1]!thsiFinD("ths_adjustment_nv_fund",Z$3,$A613))</f>
        <v/>
      </c>
      <c r="AA613" s="13" t="str">
        <f>IF($A613="","",[1]!thsiFinD("ths_adjustment_nv_fund",AA$3,$A613))</f>
        <v/>
      </c>
      <c r="AB613" s="13" t="str">
        <f>IF($A613="","",[1]!thsiFinD("ths_adjustment_nv_fund",AB$3,$A613))</f>
        <v/>
      </c>
    </row>
    <row r="614" spans="2:28">
      <c r="B614" s="13" t="str">
        <f>IF($A614="","",[1]!thsiFinD("ths_adjustment_nv_fund",B$3,$A614))</f>
        <v/>
      </c>
      <c r="C614" s="13" t="str">
        <f>IF($A614="","",[1]!thsiFinD("ths_adjustment_nv_fund",C$3,$A614))</f>
        <v/>
      </c>
      <c r="D614" s="13" t="str">
        <f>IF($A614="","",[1]!thsiFinD("ths_adjustment_nv_fund",D$3,$A614))</f>
        <v/>
      </c>
      <c r="E614" s="13" t="str">
        <f>IF($A614="","",[1]!thsiFinD("ths_adjustment_nv_fund",E$3,$A614))</f>
        <v/>
      </c>
      <c r="F614" s="13" t="str">
        <f>IF($A614="","",[1]!thsiFinD("ths_adjustment_nv_fund",F$3,$A614))</f>
        <v/>
      </c>
      <c r="G614" s="13" t="str">
        <f>IF($A614="","",[1]!thsiFinD("ths_adjustment_nv_fund",G$3,$A614))</f>
        <v/>
      </c>
      <c r="H614" s="13" t="str">
        <f>IF($A614="","",[1]!thsiFinD("ths_adjustment_nv_fund",H$3,$A614))</f>
        <v/>
      </c>
      <c r="I614" s="13" t="str">
        <f>IF($A614="","",[1]!thsiFinD("ths_adjustment_nv_fund",I$3,$A614))</f>
        <v/>
      </c>
      <c r="J614" s="13" t="str">
        <f>IF($A614="","",[1]!thsiFinD("ths_adjustment_nv_fund",J$3,$A614))</f>
        <v/>
      </c>
      <c r="K614" s="13" t="str">
        <f>IF($A614="","",[1]!thsiFinD("ths_adjustment_nv_fund",K$3,$A614))</f>
        <v/>
      </c>
      <c r="L614" s="13" t="str">
        <f>IF($A614="","",[1]!thsiFinD("ths_adjustment_nv_fund",L$3,$A614))</f>
        <v/>
      </c>
      <c r="M614" s="13" t="str">
        <f>IF($A614="","",[1]!thsiFinD("ths_adjustment_nv_fund",M$3,$A614))</f>
        <v/>
      </c>
      <c r="N614" s="13" t="str">
        <f>IF($A614="","",[1]!thsiFinD("ths_adjustment_nv_fund",N$3,$A614))</f>
        <v/>
      </c>
      <c r="O614" s="13" t="str">
        <f>IF($A614="","",[1]!thsiFinD("ths_adjustment_nv_fund",O$3,$A614))</f>
        <v/>
      </c>
      <c r="P614" s="13" t="str">
        <f>IF($A614="","",[1]!thsiFinD("ths_adjustment_nv_fund",P$3,$A614))</f>
        <v/>
      </c>
      <c r="Q614" s="13" t="str">
        <f>IF($A614="","",[1]!thsiFinD("ths_adjustment_nv_fund",Q$3,$A614))</f>
        <v/>
      </c>
      <c r="R614" s="13" t="str">
        <f>IF($A614="","",[1]!thsiFinD("ths_adjustment_nv_fund",R$3,$A614))</f>
        <v/>
      </c>
      <c r="S614" s="13" t="str">
        <f>IF($A614="","",[1]!thsiFinD("ths_adjustment_nv_fund",S$3,$A614))</f>
        <v/>
      </c>
      <c r="T614" s="13" t="str">
        <f>IF($A614="","",[1]!thsiFinD("ths_adjustment_nv_fund",T$3,$A614))</f>
        <v/>
      </c>
      <c r="U614" s="13" t="str">
        <f>IF($A614="","",[1]!thsiFinD("ths_adjustment_nv_fund",U$3,$A614))</f>
        <v/>
      </c>
      <c r="V614" s="13" t="str">
        <f>IF($A614="","",[1]!thsiFinD("ths_adjustment_nv_fund",V$3,$A614))</f>
        <v/>
      </c>
      <c r="W614" s="13" t="str">
        <f>IF($A614="","",[1]!thsiFinD("ths_adjustment_nv_fund",W$3,$A614))</f>
        <v/>
      </c>
      <c r="X614" s="13" t="str">
        <f>IF($A614="","",[1]!thsiFinD("ths_adjustment_nv_fund",X$3,$A614))</f>
        <v/>
      </c>
      <c r="Y614" s="13" t="str">
        <f>IF($A614="","",[1]!thsiFinD("ths_adjustment_nv_fund",Y$3,$A614))</f>
        <v/>
      </c>
      <c r="Z614" s="13" t="str">
        <f>IF($A614="","",[1]!thsiFinD("ths_adjustment_nv_fund",Z$3,$A614))</f>
        <v/>
      </c>
      <c r="AA614" s="13" t="str">
        <f>IF($A614="","",[1]!thsiFinD("ths_adjustment_nv_fund",AA$3,$A614))</f>
        <v/>
      </c>
      <c r="AB614" s="13" t="str">
        <f>IF($A614="","",[1]!thsiFinD("ths_adjustment_nv_fund",AB$3,$A614))</f>
        <v/>
      </c>
    </row>
    <row r="615" spans="2:28">
      <c r="B615" s="13" t="str">
        <f>IF($A615="","",[1]!thsiFinD("ths_adjustment_nv_fund",B$3,$A615))</f>
        <v/>
      </c>
      <c r="C615" s="13" t="str">
        <f>IF($A615="","",[1]!thsiFinD("ths_adjustment_nv_fund",C$3,$A615))</f>
        <v/>
      </c>
      <c r="D615" s="13" t="str">
        <f>IF($A615="","",[1]!thsiFinD("ths_adjustment_nv_fund",D$3,$A615))</f>
        <v/>
      </c>
      <c r="E615" s="13" t="str">
        <f>IF($A615="","",[1]!thsiFinD("ths_adjustment_nv_fund",E$3,$A615))</f>
        <v/>
      </c>
      <c r="F615" s="13" t="str">
        <f>IF($A615="","",[1]!thsiFinD("ths_adjustment_nv_fund",F$3,$A615))</f>
        <v/>
      </c>
      <c r="G615" s="13" t="str">
        <f>IF($A615="","",[1]!thsiFinD("ths_adjustment_nv_fund",G$3,$A615))</f>
        <v/>
      </c>
      <c r="H615" s="13" t="str">
        <f>IF($A615="","",[1]!thsiFinD("ths_adjustment_nv_fund",H$3,$A615))</f>
        <v/>
      </c>
      <c r="I615" s="13" t="str">
        <f>IF($A615="","",[1]!thsiFinD("ths_adjustment_nv_fund",I$3,$A615))</f>
        <v/>
      </c>
      <c r="J615" s="13" t="str">
        <f>IF($A615="","",[1]!thsiFinD("ths_adjustment_nv_fund",J$3,$A615))</f>
        <v/>
      </c>
      <c r="K615" s="13" t="str">
        <f>IF($A615="","",[1]!thsiFinD("ths_adjustment_nv_fund",K$3,$A615))</f>
        <v/>
      </c>
      <c r="L615" s="13" t="str">
        <f>IF($A615="","",[1]!thsiFinD("ths_adjustment_nv_fund",L$3,$A615))</f>
        <v/>
      </c>
      <c r="M615" s="13" t="str">
        <f>IF($A615="","",[1]!thsiFinD("ths_adjustment_nv_fund",M$3,$A615))</f>
        <v/>
      </c>
      <c r="N615" s="13" t="str">
        <f>IF($A615="","",[1]!thsiFinD("ths_adjustment_nv_fund",N$3,$A615))</f>
        <v/>
      </c>
      <c r="O615" s="13" t="str">
        <f>IF($A615="","",[1]!thsiFinD("ths_adjustment_nv_fund",O$3,$A615))</f>
        <v/>
      </c>
      <c r="P615" s="13" t="str">
        <f>IF($A615="","",[1]!thsiFinD("ths_adjustment_nv_fund",P$3,$A615))</f>
        <v/>
      </c>
      <c r="Q615" s="13" t="str">
        <f>IF($A615="","",[1]!thsiFinD("ths_adjustment_nv_fund",Q$3,$A615))</f>
        <v/>
      </c>
      <c r="R615" s="13" t="str">
        <f>IF($A615="","",[1]!thsiFinD("ths_adjustment_nv_fund",R$3,$A615))</f>
        <v/>
      </c>
      <c r="S615" s="13" t="str">
        <f>IF($A615="","",[1]!thsiFinD("ths_adjustment_nv_fund",S$3,$A615))</f>
        <v/>
      </c>
      <c r="T615" s="13" t="str">
        <f>IF($A615="","",[1]!thsiFinD("ths_adjustment_nv_fund",T$3,$A615))</f>
        <v/>
      </c>
      <c r="U615" s="13" t="str">
        <f>IF($A615="","",[1]!thsiFinD("ths_adjustment_nv_fund",U$3,$A615))</f>
        <v/>
      </c>
      <c r="V615" s="13" t="str">
        <f>IF($A615="","",[1]!thsiFinD("ths_adjustment_nv_fund",V$3,$A615))</f>
        <v/>
      </c>
      <c r="W615" s="13" t="str">
        <f>IF($A615="","",[1]!thsiFinD("ths_adjustment_nv_fund",W$3,$A615))</f>
        <v/>
      </c>
      <c r="X615" s="13" t="str">
        <f>IF($A615="","",[1]!thsiFinD("ths_adjustment_nv_fund",X$3,$A615))</f>
        <v/>
      </c>
      <c r="Y615" s="13" t="str">
        <f>IF($A615="","",[1]!thsiFinD("ths_adjustment_nv_fund",Y$3,$A615))</f>
        <v/>
      </c>
      <c r="Z615" s="13" t="str">
        <f>IF($A615="","",[1]!thsiFinD("ths_adjustment_nv_fund",Z$3,$A615))</f>
        <v/>
      </c>
      <c r="AA615" s="13" t="str">
        <f>IF($A615="","",[1]!thsiFinD("ths_adjustment_nv_fund",AA$3,$A615))</f>
        <v/>
      </c>
      <c r="AB615" s="13" t="str">
        <f>IF($A615="","",[1]!thsiFinD("ths_adjustment_nv_fund",AB$3,$A615))</f>
        <v/>
      </c>
    </row>
    <row r="616" spans="2:28">
      <c r="B616" s="13" t="str">
        <f>IF($A616="","",[1]!thsiFinD("ths_adjustment_nv_fund",B$3,$A616))</f>
        <v/>
      </c>
      <c r="C616" s="13" t="str">
        <f>IF($A616="","",[1]!thsiFinD("ths_adjustment_nv_fund",C$3,$A616))</f>
        <v/>
      </c>
      <c r="D616" s="13" t="str">
        <f>IF($A616="","",[1]!thsiFinD("ths_adjustment_nv_fund",D$3,$A616))</f>
        <v/>
      </c>
      <c r="E616" s="13" t="str">
        <f>IF($A616="","",[1]!thsiFinD("ths_adjustment_nv_fund",E$3,$A616))</f>
        <v/>
      </c>
      <c r="F616" s="13" t="str">
        <f>IF($A616="","",[1]!thsiFinD("ths_adjustment_nv_fund",F$3,$A616))</f>
        <v/>
      </c>
      <c r="G616" s="13" t="str">
        <f>IF($A616="","",[1]!thsiFinD("ths_adjustment_nv_fund",G$3,$A616))</f>
        <v/>
      </c>
      <c r="H616" s="13" t="str">
        <f>IF($A616="","",[1]!thsiFinD("ths_adjustment_nv_fund",H$3,$A616))</f>
        <v/>
      </c>
      <c r="I616" s="13" t="str">
        <f>IF($A616="","",[1]!thsiFinD("ths_adjustment_nv_fund",I$3,$A616))</f>
        <v/>
      </c>
      <c r="J616" s="13" t="str">
        <f>IF($A616="","",[1]!thsiFinD("ths_adjustment_nv_fund",J$3,$A616))</f>
        <v/>
      </c>
      <c r="K616" s="13" t="str">
        <f>IF($A616="","",[1]!thsiFinD("ths_adjustment_nv_fund",K$3,$A616))</f>
        <v/>
      </c>
      <c r="L616" s="13" t="str">
        <f>IF($A616="","",[1]!thsiFinD("ths_adjustment_nv_fund",L$3,$A616))</f>
        <v/>
      </c>
      <c r="M616" s="13" t="str">
        <f>IF($A616="","",[1]!thsiFinD("ths_adjustment_nv_fund",M$3,$A616))</f>
        <v/>
      </c>
      <c r="N616" s="13" t="str">
        <f>IF($A616="","",[1]!thsiFinD("ths_adjustment_nv_fund",N$3,$A616))</f>
        <v/>
      </c>
      <c r="O616" s="13" t="str">
        <f>IF($A616="","",[1]!thsiFinD("ths_adjustment_nv_fund",O$3,$A616))</f>
        <v/>
      </c>
      <c r="P616" s="13" t="str">
        <f>IF($A616="","",[1]!thsiFinD("ths_adjustment_nv_fund",P$3,$A616))</f>
        <v/>
      </c>
      <c r="Q616" s="13" t="str">
        <f>IF($A616="","",[1]!thsiFinD("ths_adjustment_nv_fund",Q$3,$A616))</f>
        <v/>
      </c>
      <c r="R616" s="13" t="str">
        <f>IF($A616="","",[1]!thsiFinD("ths_adjustment_nv_fund",R$3,$A616))</f>
        <v/>
      </c>
      <c r="S616" s="13" t="str">
        <f>IF($A616="","",[1]!thsiFinD("ths_adjustment_nv_fund",S$3,$A616))</f>
        <v/>
      </c>
      <c r="T616" s="13" t="str">
        <f>IF($A616="","",[1]!thsiFinD("ths_adjustment_nv_fund",T$3,$A616))</f>
        <v/>
      </c>
      <c r="U616" s="13" t="str">
        <f>IF($A616="","",[1]!thsiFinD("ths_adjustment_nv_fund",U$3,$A616))</f>
        <v/>
      </c>
      <c r="V616" s="13" t="str">
        <f>IF($A616="","",[1]!thsiFinD("ths_adjustment_nv_fund",V$3,$A616))</f>
        <v/>
      </c>
      <c r="W616" s="13" t="str">
        <f>IF($A616="","",[1]!thsiFinD("ths_adjustment_nv_fund",W$3,$A616))</f>
        <v/>
      </c>
      <c r="X616" s="13" t="str">
        <f>IF($A616="","",[1]!thsiFinD("ths_adjustment_nv_fund",X$3,$A616))</f>
        <v/>
      </c>
      <c r="Y616" s="13" t="str">
        <f>IF($A616="","",[1]!thsiFinD("ths_adjustment_nv_fund",Y$3,$A616))</f>
        <v/>
      </c>
      <c r="Z616" s="13" t="str">
        <f>IF($A616="","",[1]!thsiFinD("ths_adjustment_nv_fund",Z$3,$A616))</f>
        <v/>
      </c>
      <c r="AA616" s="13" t="str">
        <f>IF($A616="","",[1]!thsiFinD("ths_adjustment_nv_fund",AA$3,$A616))</f>
        <v/>
      </c>
      <c r="AB616" s="13" t="str">
        <f>IF($A616="","",[1]!thsiFinD("ths_adjustment_nv_fund",AB$3,$A616))</f>
        <v/>
      </c>
    </row>
    <row r="617" spans="2:28">
      <c r="B617" s="13" t="str">
        <f>IF($A617="","",[1]!thsiFinD("ths_adjustment_nv_fund",B$3,$A617))</f>
        <v/>
      </c>
      <c r="C617" s="13" t="str">
        <f>IF($A617="","",[1]!thsiFinD("ths_adjustment_nv_fund",C$3,$A617))</f>
        <v/>
      </c>
      <c r="D617" s="13" t="str">
        <f>IF($A617="","",[1]!thsiFinD("ths_adjustment_nv_fund",D$3,$A617))</f>
        <v/>
      </c>
      <c r="E617" s="13" t="str">
        <f>IF($A617="","",[1]!thsiFinD("ths_adjustment_nv_fund",E$3,$A617))</f>
        <v/>
      </c>
      <c r="F617" s="13" t="str">
        <f>IF($A617="","",[1]!thsiFinD("ths_adjustment_nv_fund",F$3,$A617))</f>
        <v/>
      </c>
      <c r="G617" s="13" t="str">
        <f>IF($A617="","",[1]!thsiFinD("ths_adjustment_nv_fund",G$3,$A617))</f>
        <v/>
      </c>
      <c r="H617" s="13" t="str">
        <f>IF($A617="","",[1]!thsiFinD("ths_adjustment_nv_fund",H$3,$A617))</f>
        <v/>
      </c>
      <c r="I617" s="13" t="str">
        <f>IF($A617="","",[1]!thsiFinD("ths_adjustment_nv_fund",I$3,$A617))</f>
        <v/>
      </c>
      <c r="J617" s="13" t="str">
        <f>IF($A617="","",[1]!thsiFinD("ths_adjustment_nv_fund",J$3,$A617))</f>
        <v/>
      </c>
      <c r="K617" s="13" t="str">
        <f>IF($A617="","",[1]!thsiFinD("ths_adjustment_nv_fund",K$3,$A617))</f>
        <v/>
      </c>
      <c r="L617" s="13" t="str">
        <f>IF($A617="","",[1]!thsiFinD("ths_adjustment_nv_fund",L$3,$A617))</f>
        <v/>
      </c>
      <c r="M617" s="13" t="str">
        <f>IF($A617="","",[1]!thsiFinD("ths_adjustment_nv_fund",M$3,$A617))</f>
        <v/>
      </c>
      <c r="N617" s="13" t="str">
        <f>IF($A617="","",[1]!thsiFinD("ths_adjustment_nv_fund",N$3,$A617))</f>
        <v/>
      </c>
      <c r="O617" s="13" t="str">
        <f>IF($A617="","",[1]!thsiFinD("ths_adjustment_nv_fund",O$3,$A617))</f>
        <v/>
      </c>
      <c r="P617" s="13" t="str">
        <f>IF($A617="","",[1]!thsiFinD("ths_adjustment_nv_fund",P$3,$A617))</f>
        <v/>
      </c>
      <c r="Q617" s="13" t="str">
        <f>IF($A617="","",[1]!thsiFinD("ths_adjustment_nv_fund",Q$3,$A617))</f>
        <v/>
      </c>
      <c r="R617" s="13" t="str">
        <f>IF($A617="","",[1]!thsiFinD("ths_adjustment_nv_fund",R$3,$A617))</f>
        <v/>
      </c>
      <c r="S617" s="13" t="str">
        <f>IF($A617="","",[1]!thsiFinD("ths_adjustment_nv_fund",S$3,$A617))</f>
        <v/>
      </c>
      <c r="T617" s="13" t="str">
        <f>IF($A617="","",[1]!thsiFinD("ths_adjustment_nv_fund",T$3,$A617))</f>
        <v/>
      </c>
      <c r="U617" s="13" t="str">
        <f>IF($A617="","",[1]!thsiFinD("ths_adjustment_nv_fund",U$3,$A617))</f>
        <v/>
      </c>
      <c r="V617" s="13" t="str">
        <f>IF($A617="","",[1]!thsiFinD("ths_adjustment_nv_fund",V$3,$A617))</f>
        <v/>
      </c>
      <c r="W617" s="13" t="str">
        <f>IF($A617="","",[1]!thsiFinD("ths_adjustment_nv_fund",W$3,$A617))</f>
        <v/>
      </c>
      <c r="X617" s="13" t="str">
        <f>IF($A617="","",[1]!thsiFinD("ths_adjustment_nv_fund",X$3,$A617))</f>
        <v/>
      </c>
      <c r="Y617" s="13" t="str">
        <f>IF($A617="","",[1]!thsiFinD("ths_adjustment_nv_fund",Y$3,$A617))</f>
        <v/>
      </c>
      <c r="Z617" s="13" t="str">
        <f>IF($A617="","",[1]!thsiFinD("ths_adjustment_nv_fund",Z$3,$A617))</f>
        <v/>
      </c>
      <c r="AA617" s="13" t="str">
        <f>IF($A617="","",[1]!thsiFinD("ths_adjustment_nv_fund",AA$3,$A617))</f>
        <v/>
      </c>
      <c r="AB617" s="13" t="str">
        <f>IF($A617="","",[1]!thsiFinD("ths_adjustment_nv_fund",AB$3,$A617))</f>
        <v/>
      </c>
    </row>
    <row r="618" spans="2:28">
      <c r="B618" s="13" t="str">
        <f>IF($A618="","",[1]!thsiFinD("ths_adjustment_nv_fund",B$3,$A618))</f>
        <v/>
      </c>
      <c r="C618" s="13" t="str">
        <f>IF($A618="","",[1]!thsiFinD("ths_adjustment_nv_fund",C$3,$A618))</f>
        <v/>
      </c>
      <c r="D618" s="13" t="str">
        <f>IF($A618="","",[1]!thsiFinD("ths_adjustment_nv_fund",D$3,$A618))</f>
        <v/>
      </c>
      <c r="E618" s="13" t="str">
        <f>IF($A618="","",[1]!thsiFinD("ths_adjustment_nv_fund",E$3,$A618))</f>
        <v/>
      </c>
      <c r="F618" s="13" t="str">
        <f>IF($A618="","",[1]!thsiFinD("ths_adjustment_nv_fund",F$3,$A618))</f>
        <v/>
      </c>
      <c r="G618" s="13" t="str">
        <f>IF($A618="","",[1]!thsiFinD("ths_adjustment_nv_fund",G$3,$A618))</f>
        <v/>
      </c>
      <c r="H618" s="13" t="str">
        <f>IF($A618="","",[1]!thsiFinD("ths_adjustment_nv_fund",H$3,$A618))</f>
        <v/>
      </c>
      <c r="I618" s="13" t="str">
        <f>IF($A618="","",[1]!thsiFinD("ths_adjustment_nv_fund",I$3,$A618))</f>
        <v/>
      </c>
      <c r="J618" s="13" t="str">
        <f>IF($A618="","",[1]!thsiFinD("ths_adjustment_nv_fund",J$3,$A618))</f>
        <v/>
      </c>
      <c r="K618" s="13" t="str">
        <f>IF($A618="","",[1]!thsiFinD("ths_adjustment_nv_fund",K$3,$A618))</f>
        <v/>
      </c>
      <c r="L618" s="13" t="str">
        <f>IF($A618="","",[1]!thsiFinD("ths_adjustment_nv_fund",L$3,$A618))</f>
        <v/>
      </c>
      <c r="M618" s="13" t="str">
        <f>IF($A618="","",[1]!thsiFinD("ths_adjustment_nv_fund",M$3,$A618))</f>
        <v/>
      </c>
      <c r="N618" s="13" t="str">
        <f>IF($A618="","",[1]!thsiFinD("ths_adjustment_nv_fund",N$3,$A618))</f>
        <v/>
      </c>
      <c r="O618" s="13" t="str">
        <f>IF($A618="","",[1]!thsiFinD("ths_adjustment_nv_fund",O$3,$A618))</f>
        <v/>
      </c>
      <c r="P618" s="13" t="str">
        <f>IF($A618="","",[1]!thsiFinD("ths_adjustment_nv_fund",P$3,$A618))</f>
        <v/>
      </c>
      <c r="Q618" s="13" t="str">
        <f>IF($A618="","",[1]!thsiFinD("ths_adjustment_nv_fund",Q$3,$A618))</f>
        <v/>
      </c>
      <c r="R618" s="13" t="str">
        <f>IF($A618="","",[1]!thsiFinD("ths_adjustment_nv_fund",R$3,$A618))</f>
        <v/>
      </c>
      <c r="S618" s="13" t="str">
        <f>IF($A618="","",[1]!thsiFinD("ths_adjustment_nv_fund",S$3,$A618))</f>
        <v/>
      </c>
      <c r="T618" s="13" t="str">
        <f>IF($A618="","",[1]!thsiFinD("ths_adjustment_nv_fund",T$3,$A618))</f>
        <v/>
      </c>
      <c r="U618" s="13" t="str">
        <f>IF($A618="","",[1]!thsiFinD("ths_adjustment_nv_fund",U$3,$A618))</f>
        <v/>
      </c>
      <c r="V618" s="13" t="str">
        <f>IF($A618="","",[1]!thsiFinD("ths_adjustment_nv_fund",V$3,$A618))</f>
        <v/>
      </c>
      <c r="W618" s="13" t="str">
        <f>IF($A618="","",[1]!thsiFinD("ths_adjustment_nv_fund",W$3,$A618))</f>
        <v/>
      </c>
      <c r="X618" s="13" t="str">
        <f>IF($A618="","",[1]!thsiFinD("ths_adjustment_nv_fund",X$3,$A618))</f>
        <v/>
      </c>
      <c r="Y618" s="13" t="str">
        <f>IF($A618="","",[1]!thsiFinD("ths_adjustment_nv_fund",Y$3,$A618))</f>
        <v/>
      </c>
      <c r="Z618" s="13" t="str">
        <f>IF($A618="","",[1]!thsiFinD("ths_adjustment_nv_fund",Z$3,$A618))</f>
        <v/>
      </c>
      <c r="AA618" s="13" t="str">
        <f>IF($A618="","",[1]!thsiFinD("ths_adjustment_nv_fund",AA$3,$A618))</f>
        <v/>
      </c>
      <c r="AB618" s="13" t="str">
        <f>IF($A618="","",[1]!thsiFinD("ths_adjustment_nv_fund",AB$3,$A618))</f>
        <v/>
      </c>
    </row>
    <row r="619" spans="2:28">
      <c r="B619" s="13" t="str">
        <f>IF($A619="","",[1]!thsiFinD("ths_adjustment_nv_fund",B$3,$A619))</f>
        <v/>
      </c>
      <c r="C619" s="13" t="str">
        <f>IF($A619="","",[1]!thsiFinD("ths_adjustment_nv_fund",C$3,$A619))</f>
        <v/>
      </c>
      <c r="D619" s="13" t="str">
        <f>IF($A619="","",[1]!thsiFinD("ths_adjustment_nv_fund",D$3,$A619))</f>
        <v/>
      </c>
      <c r="E619" s="13" t="str">
        <f>IF($A619="","",[1]!thsiFinD("ths_adjustment_nv_fund",E$3,$A619))</f>
        <v/>
      </c>
      <c r="F619" s="13" t="str">
        <f>IF($A619="","",[1]!thsiFinD("ths_adjustment_nv_fund",F$3,$A619))</f>
        <v/>
      </c>
      <c r="G619" s="13" t="str">
        <f>IF($A619="","",[1]!thsiFinD("ths_adjustment_nv_fund",G$3,$A619))</f>
        <v/>
      </c>
      <c r="H619" s="13" t="str">
        <f>IF($A619="","",[1]!thsiFinD("ths_adjustment_nv_fund",H$3,$A619))</f>
        <v/>
      </c>
      <c r="I619" s="13" t="str">
        <f>IF($A619="","",[1]!thsiFinD("ths_adjustment_nv_fund",I$3,$A619))</f>
        <v/>
      </c>
      <c r="J619" s="13" t="str">
        <f>IF($A619="","",[1]!thsiFinD("ths_adjustment_nv_fund",J$3,$A619))</f>
        <v/>
      </c>
      <c r="K619" s="13" t="str">
        <f>IF($A619="","",[1]!thsiFinD("ths_adjustment_nv_fund",K$3,$A619))</f>
        <v/>
      </c>
      <c r="L619" s="13" t="str">
        <f>IF($A619="","",[1]!thsiFinD("ths_adjustment_nv_fund",L$3,$A619))</f>
        <v/>
      </c>
      <c r="M619" s="13" t="str">
        <f>IF($A619="","",[1]!thsiFinD("ths_adjustment_nv_fund",M$3,$A619))</f>
        <v/>
      </c>
      <c r="N619" s="13" t="str">
        <f>IF($A619="","",[1]!thsiFinD("ths_adjustment_nv_fund",N$3,$A619))</f>
        <v/>
      </c>
      <c r="O619" s="13" t="str">
        <f>IF($A619="","",[1]!thsiFinD("ths_adjustment_nv_fund",O$3,$A619))</f>
        <v/>
      </c>
      <c r="P619" s="13" t="str">
        <f>IF($A619="","",[1]!thsiFinD("ths_adjustment_nv_fund",P$3,$A619))</f>
        <v/>
      </c>
      <c r="Q619" s="13" t="str">
        <f>IF($A619="","",[1]!thsiFinD("ths_adjustment_nv_fund",Q$3,$A619))</f>
        <v/>
      </c>
      <c r="R619" s="13" t="str">
        <f>IF($A619="","",[1]!thsiFinD("ths_adjustment_nv_fund",R$3,$A619))</f>
        <v/>
      </c>
      <c r="S619" s="13" t="str">
        <f>IF($A619="","",[1]!thsiFinD("ths_adjustment_nv_fund",S$3,$A619))</f>
        <v/>
      </c>
      <c r="T619" s="13" t="str">
        <f>IF($A619="","",[1]!thsiFinD("ths_adjustment_nv_fund",T$3,$A619))</f>
        <v/>
      </c>
      <c r="U619" s="13" t="str">
        <f>IF($A619="","",[1]!thsiFinD("ths_adjustment_nv_fund",U$3,$A619))</f>
        <v/>
      </c>
      <c r="V619" s="13" t="str">
        <f>IF($A619="","",[1]!thsiFinD("ths_adjustment_nv_fund",V$3,$A619))</f>
        <v/>
      </c>
      <c r="W619" s="13" t="str">
        <f>IF($A619="","",[1]!thsiFinD("ths_adjustment_nv_fund",W$3,$A619))</f>
        <v/>
      </c>
      <c r="X619" s="13" t="str">
        <f>IF($A619="","",[1]!thsiFinD("ths_adjustment_nv_fund",X$3,$A619))</f>
        <v/>
      </c>
      <c r="Y619" s="13" t="str">
        <f>IF($A619="","",[1]!thsiFinD("ths_adjustment_nv_fund",Y$3,$A619))</f>
        <v/>
      </c>
      <c r="Z619" s="13" t="str">
        <f>IF($A619="","",[1]!thsiFinD("ths_adjustment_nv_fund",Z$3,$A619))</f>
        <v/>
      </c>
      <c r="AA619" s="13" t="str">
        <f>IF($A619="","",[1]!thsiFinD("ths_adjustment_nv_fund",AA$3,$A619))</f>
        <v/>
      </c>
      <c r="AB619" s="13" t="str">
        <f>IF($A619="","",[1]!thsiFinD("ths_adjustment_nv_fund",AB$3,$A619))</f>
        <v/>
      </c>
    </row>
    <row r="620" spans="2:28">
      <c r="B620" s="13" t="str">
        <f>IF($A620="","",[1]!thsiFinD("ths_adjustment_nv_fund",B$3,$A620))</f>
        <v/>
      </c>
      <c r="C620" s="13" t="str">
        <f>IF($A620="","",[1]!thsiFinD("ths_adjustment_nv_fund",C$3,$A620))</f>
        <v/>
      </c>
      <c r="D620" s="13" t="str">
        <f>IF($A620="","",[1]!thsiFinD("ths_adjustment_nv_fund",D$3,$A620))</f>
        <v/>
      </c>
      <c r="E620" s="13" t="str">
        <f>IF($A620="","",[1]!thsiFinD("ths_adjustment_nv_fund",E$3,$A620))</f>
        <v/>
      </c>
      <c r="F620" s="13" t="str">
        <f>IF($A620="","",[1]!thsiFinD("ths_adjustment_nv_fund",F$3,$A620))</f>
        <v/>
      </c>
      <c r="G620" s="13" t="str">
        <f>IF($A620="","",[1]!thsiFinD("ths_adjustment_nv_fund",G$3,$A620))</f>
        <v/>
      </c>
      <c r="H620" s="13" t="str">
        <f>IF($A620="","",[1]!thsiFinD("ths_adjustment_nv_fund",H$3,$A620))</f>
        <v/>
      </c>
      <c r="I620" s="13" t="str">
        <f>IF($A620="","",[1]!thsiFinD("ths_adjustment_nv_fund",I$3,$A620))</f>
        <v/>
      </c>
      <c r="J620" s="13" t="str">
        <f>IF($A620="","",[1]!thsiFinD("ths_adjustment_nv_fund",J$3,$A620))</f>
        <v/>
      </c>
      <c r="K620" s="13" t="str">
        <f>IF($A620="","",[1]!thsiFinD("ths_adjustment_nv_fund",K$3,$A620))</f>
        <v/>
      </c>
      <c r="L620" s="13" t="str">
        <f>IF($A620="","",[1]!thsiFinD("ths_adjustment_nv_fund",L$3,$A620))</f>
        <v/>
      </c>
      <c r="M620" s="13" t="str">
        <f>IF($A620="","",[1]!thsiFinD("ths_adjustment_nv_fund",M$3,$A620))</f>
        <v/>
      </c>
      <c r="N620" s="13" t="str">
        <f>IF($A620="","",[1]!thsiFinD("ths_adjustment_nv_fund",N$3,$A620))</f>
        <v/>
      </c>
      <c r="O620" s="13" t="str">
        <f>IF($A620="","",[1]!thsiFinD("ths_adjustment_nv_fund",O$3,$A620))</f>
        <v/>
      </c>
      <c r="P620" s="13" t="str">
        <f>IF($A620="","",[1]!thsiFinD("ths_adjustment_nv_fund",P$3,$A620))</f>
        <v/>
      </c>
      <c r="Q620" s="13" t="str">
        <f>IF($A620="","",[1]!thsiFinD("ths_adjustment_nv_fund",Q$3,$A620))</f>
        <v/>
      </c>
      <c r="R620" s="13" t="str">
        <f>IF($A620="","",[1]!thsiFinD("ths_adjustment_nv_fund",R$3,$A620))</f>
        <v/>
      </c>
      <c r="S620" s="13" t="str">
        <f>IF($A620="","",[1]!thsiFinD("ths_adjustment_nv_fund",S$3,$A620))</f>
        <v/>
      </c>
      <c r="T620" s="13" t="str">
        <f>IF($A620="","",[1]!thsiFinD("ths_adjustment_nv_fund",T$3,$A620))</f>
        <v/>
      </c>
      <c r="U620" s="13" t="str">
        <f>IF($A620="","",[1]!thsiFinD("ths_adjustment_nv_fund",U$3,$A620))</f>
        <v/>
      </c>
      <c r="V620" s="13" t="str">
        <f>IF($A620="","",[1]!thsiFinD("ths_adjustment_nv_fund",V$3,$A620))</f>
        <v/>
      </c>
      <c r="W620" s="13" t="str">
        <f>IF($A620="","",[1]!thsiFinD("ths_adjustment_nv_fund",W$3,$A620))</f>
        <v/>
      </c>
      <c r="X620" s="13" t="str">
        <f>IF($A620="","",[1]!thsiFinD("ths_adjustment_nv_fund",X$3,$A620))</f>
        <v/>
      </c>
      <c r="Y620" s="13" t="str">
        <f>IF($A620="","",[1]!thsiFinD("ths_adjustment_nv_fund",Y$3,$A620))</f>
        <v/>
      </c>
      <c r="Z620" s="13" t="str">
        <f>IF($A620="","",[1]!thsiFinD("ths_adjustment_nv_fund",Z$3,$A620))</f>
        <v/>
      </c>
      <c r="AA620" s="13" t="str">
        <f>IF($A620="","",[1]!thsiFinD("ths_adjustment_nv_fund",AA$3,$A620))</f>
        <v/>
      </c>
      <c r="AB620" s="13" t="str">
        <f>IF($A620="","",[1]!thsiFinD("ths_adjustment_nv_fund",AB$3,$A620))</f>
        <v/>
      </c>
    </row>
    <row r="621" spans="2:28">
      <c r="B621" s="13" t="str">
        <f>IF($A621="","",[1]!thsiFinD("ths_adjustment_nv_fund",B$3,$A621))</f>
        <v/>
      </c>
      <c r="C621" s="13" t="str">
        <f>IF($A621="","",[1]!thsiFinD("ths_adjustment_nv_fund",C$3,$A621))</f>
        <v/>
      </c>
      <c r="D621" s="13" t="str">
        <f>IF($A621="","",[1]!thsiFinD("ths_adjustment_nv_fund",D$3,$A621))</f>
        <v/>
      </c>
      <c r="E621" s="13" t="str">
        <f>IF($A621="","",[1]!thsiFinD("ths_adjustment_nv_fund",E$3,$A621))</f>
        <v/>
      </c>
      <c r="F621" s="13" t="str">
        <f>IF($A621="","",[1]!thsiFinD("ths_adjustment_nv_fund",F$3,$A621))</f>
        <v/>
      </c>
      <c r="G621" s="13" t="str">
        <f>IF($A621="","",[1]!thsiFinD("ths_adjustment_nv_fund",G$3,$A621))</f>
        <v/>
      </c>
      <c r="H621" s="13" t="str">
        <f>IF($A621="","",[1]!thsiFinD("ths_adjustment_nv_fund",H$3,$A621))</f>
        <v/>
      </c>
      <c r="I621" s="13" t="str">
        <f>IF($A621="","",[1]!thsiFinD("ths_adjustment_nv_fund",I$3,$A621))</f>
        <v/>
      </c>
      <c r="J621" s="13" t="str">
        <f>IF($A621="","",[1]!thsiFinD("ths_adjustment_nv_fund",J$3,$A621))</f>
        <v/>
      </c>
      <c r="K621" s="13" t="str">
        <f>IF($A621="","",[1]!thsiFinD("ths_adjustment_nv_fund",K$3,$A621))</f>
        <v/>
      </c>
      <c r="L621" s="13" t="str">
        <f>IF($A621="","",[1]!thsiFinD("ths_adjustment_nv_fund",L$3,$A621))</f>
        <v/>
      </c>
      <c r="M621" s="13" t="str">
        <f>IF($A621="","",[1]!thsiFinD("ths_adjustment_nv_fund",M$3,$A621))</f>
        <v/>
      </c>
      <c r="N621" s="13" t="str">
        <f>IF($A621="","",[1]!thsiFinD("ths_adjustment_nv_fund",N$3,$A621))</f>
        <v/>
      </c>
      <c r="O621" s="13" t="str">
        <f>IF($A621="","",[1]!thsiFinD("ths_adjustment_nv_fund",O$3,$A621))</f>
        <v/>
      </c>
      <c r="P621" s="13" t="str">
        <f>IF($A621="","",[1]!thsiFinD("ths_adjustment_nv_fund",P$3,$A621))</f>
        <v/>
      </c>
      <c r="Q621" s="13" t="str">
        <f>IF($A621="","",[1]!thsiFinD("ths_adjustment_nv_fund",Q$3,$A621))</f>
        <v/>
      </c>
      <c r="R621" s="13" t="str">
        <f>IF($A621="","",[1]!thsiFinD("ths_adjustment_nv_fund",R$3,$A621))</f>
        <v/>
      </c>
      <c r="S621" s="13" t="str">
        <f>IF($A621="","",[1]!thsiFinD("ths_adjustment_nv_fund",S$3,$A621))</f>
        <v/>
      </c>
      <c r="T621" s="13" t="str">
        <f>IF($A621="","",[1]!thsiFinD("ths_adjustment_nv_fund",T$3,$A621))</f>
        <v/>
      </c>
      <c r="U621" s="13" t="str">
        <f>IF($A621="","",[1]!thsiFinD("ths_adjustment_nv_fund",U$3,$A621))</f>
        <v/>
      </c>
      <c r="V621" s="13" t="str">
        <f>IF($A621="","",[1]!thsiFinD("ths_adjustment_nv_fund",V$3,$A621))</f>
        <v/>
      </c>
      <c r="W621" s="13" t="str">
        <f>IF($A621="","",[1]!thsiFinD("ths_adjustment_nv_fund",W$3,$A621))</f>
        <v/>
      </c>
      <c r="X621" s="13" t="str">
        <f>IF($A621="","",[1]!thsiFinD("ths_adjustment_nv_fund",X$3,$A621))</f>
        <v/>
      </c>
      <c r="Y621" s="13" t="str">
        <f>IF($A621="","",[1]!thsiFinD("ths_adjustment_nv_fund",Y$3,$A621))</f>
        <v/>
      </c>
      <c r="Z621" s="13" t="str">
        <f>IF($A621="","",[1]!thsiFinD("ths_adjustment_nv_fund",Z$3,$A621))</f>
        <v/>
      </c>
      <c r="AA621" s="13" t="str">
        <f>IF($A621="","",[1]!thsiFinD("ths_adjustment_nv_fund",AA$3,$A621))</f>
        <v/>
      </c>
      <c r="AB621" s="13" t="str">
        <f>IF($A621="","",[1]!thsiFinD("ths_adjustment_nv_fund",AB$3,$A621))</f>
        <v/>
      </c>
    </row>
    <row r="622" spans="2:28">
      <c r="B622" s="13" t="str">
        <f>IF($A622="","",[1]!thsiFinD("ths_adjustment_nv_fund",B$3,$A622))</f>
        <v/>
      </c>
      <c r="C622" s="13" t="str">
        <f>IF($A622="","",[1]!thsiFinD("ths_adjustment_nv_fund",C$3,$A622))</f>
        <v/>
      </c>
      <c r="D622" s="13" t="str">
        <f>IF($A622="","",[1]!thsiFinD("ths_adjustment_nv_fund",D$3,$A622))</f>
        <v/>
      </c>
      <c r="E622" s="13" t="str">
        <f>IF($A622="","",[1]!thsiFinD("ths_adjustment_nv_fund",E$3,$A622))</f>
        <v/>
      </c>
      <c r="F622" s="13" t="str">
        <f>IF($A622="","",[1]!thsiFinD("ths_adjustment_nv_fund",F$3,$A622))</f>
        <v/>
      </c>
      <c r="G622" s="13" t="str">
        <f>IF($A622="","",[1]!thsiFinD("ths_adjustment_nv_fund",G$3,$A622))</f>
        <v/>
      </c>
      <c r="H622" s="13" t="str">
        <f>IF($A622="","",[1]!thsiFinD("ths_adjustment_nv_fund",H$3,$A622))</f>
        <v/>
      </c>
      <c r="I622" s="13" t="str">
        <f>IF($A622="","",[1]!thsiFinD("ths_adjustment_nv_fund",I$3,$A622))</f>
        <v/>
      </c>
      <c r="J622" s="13" t="str">
        <f>IF($A622="","",[1]!thsiFinD("ths_adjustment_nv_fund",J$3,$A622))</f>
        <v/>
      </c>
      <c r="K622" s="13" t="str">
        <f>IF($A622="","",[1]!thsiFinD("ths_adjustment_nv_fund",K$3,$A622))</f>
        <v/>
      </c>
      <c r="L622" s="13" t="str">
        <f>IF($A622="","",[1]!thsiFinD("ths_adjustment_nv_fund",L$3,$A622))</f>
        <v/>
      </c>
      <c r="M622" s="13" t="str">
        <f>IF($A622="","",[1]!thsiFinD("ths_adjustment_nv_fund",M$3,$A622))</f>
        <v/>
      </c>
      <c r="N622" s="13" t="str">
        <f>IF($A622="","",[1]!thsiFinD("ths_adjustment_nv_fund",N$3,$A622))</f>
        <v/>
      </c>
      <c r="O622" s="13" t="str">
        <f>IF($A622="","",[1]!thsiFinD("ths_adjustment_nv_fund",O$3,$A622))</f>
        <v/>
      </c>
      <c r="P622" s="13" t="str">
        <f>IF($A622="","",[1]!thsiFinD("ths_adjustment_nv_fund",P$3,$A622))</f>
        <v/>
      </c>
      <c r="Q622" s="13" t="str">
        <f>IF($A622="","",[1]!thsiFinD("ths_adjustment_nv_fund",Q$3,$A622))</f>
        <v/>
      </c>
      <c r="R622" s="13" t="str">
        <f>IF($A622="","",[1]!thsiFinD("ths_adjustment_nv_fund",R$3,$A622))</f>
        <v/>
      </c>
      <c r="S622" s="13" t="str">
        <f>IF($A622="","",[1]!thsiFinD("ths_adjustment_nv_fund",S$3,$A622))</f>
        <v/>
      </c>
      <c r="T622" s="13" t="str">
        <f>IF($A622="","",[1]!thsiFinD("ths_adjustment_nv_fund",T$3,$A622))</f>
        <v/>
      </c>
      <c r="U622" s="13" t="str">
        <f>IF($A622="","",[1]!thsiFinD("ths_adjustment_nv_fund",U$3,$A622))</f>
        <v/>
      </c>
      <c r="V622" s="13" t="str">
        <f>IF($A622="","",[1]!thsiFinD("ths_adjustment_nv_fund",V$3,$A622))</f>
        <v/>
      </c>
      <c r="W622" s="13" t="str">
        <f>IF($A622="","",[1]!thsiFinD("ths_adjustment_nv_fund",W$3,$A622))</f>
        <v/>
      </c>
      <c r="X622" s="13" t="str">
        <f>IF($A622="","",[1]!thsiFinD("ths_adjustment_nv_fund",X$3,$A622))</f>
        <v/>
      </c>
      <c r="Y622" s="13" t="str">
        <f>IF($A622="","",[1]!thsiFinD("ths_adjustment_nv_fund",Y$3,$A622))</f>
        <v/>
      </c>
      <c r="Z622" s="13" t="str">
        <f>IF($A622="","",[1]!thsiFinD("ths_adjustment_nv_fund",Z$3,$A622))</f>
        <v/>
      </c>
      <c r="AA622" s="13" t="str">
        <f>IF($A622="","",[1]!thsiFinD("ths_adjustment_nv_fund",AA$3,$A622))</f>
        <v/>
      </c>
      <c r="AB622" s="13" t="str">
        <f>IF($A622="","",[1]!thsiFinD("ths_adjustment_nv_fund",AB$3,$A622))</f>
        <v/>
      </c>
    </row>
    <row r="623" spans="2:28">
      <c r="B623" s="13" t="str">
        <f>IF($A623="","",[1]!thsiFinD("ths_adjustment_nv_fund",B$3,$A623))</f>
        <v/>
      </c>
      <c r="C623" s="13" t="str">
        <f>IF($A623="","",[1]!thsiFinD("ths_adjustment_nv_fund",C$3,$A623))</f>
        <v/>
      </c>
      <c r="D623" s="13" t="str">
        <f>IF($A623="","",[1]!thsiFinD("ths_adjustment_nv_fund",D$3,$A623))</f>
        <v/>
      </c>
      <c r="E623" s="13" t="str">
        <f>IF($A623="","",[1]!thsiFinD("ths_adjustment_nv_fund",E$3,$A623))</f>
        <v/>
      </c>
      <c r="F623" s="13" t="str">
        <f>IF($A623="","",[1]!thsiFinD("ths_adjustment_nv_fund",F$3,$A623))</f>
        <v/>
      </c>
      <c r="G623" s="13" t="str">
        <f>IF($A623="","",[1]!thsiFinD("ths_adjustment_nv_fund",G$3,$A623))</f>
        <v/>
      </c>
      <c r="H623" s="13" t="str">
        <f>IF($A623="","",[1]!thsiFinD("ths_adjustment_nv_fund",H$3,$A623))</f>
        <v/>
      </c>
      <c r="I623" s="13" t="str">
        <f>IF($A623="","",[1]!thsiFinD("ths_adjustment_nv_fund",I$3,$A623))</f>
        <v/>
      </c>
      <c r="J623" s="13" t="str">
        <f>IF($A623="","",[1]!thsiFinD("ths_adjustment_nv_fund",J$3,$A623))</f>
        <v/>
      </c>
      <c r="K623" s="13" t="str">
        <f>IF($A623="","",[1]!thsiFinD("ths_adjustment_nv_fund",K$3,$A623))</f>
        <v/>
      </c>
      <c r="L623" s="13" t="str">
        <f>IF($A623="","",[1]!thsiFinD("ths_adjustment_nv_fund",L$3,$A623))</f>
        <v/>
      </c>
      <c r="M623" s="13" t="str">
        <f>IF($A623="","",[1]!thsiFinD("ths_adjustment_nv_fund",M$3,$A623))</f>
        <v/>
      </c>
      <c r="N623" s="13" t="str">
        <f>IF($A623="","",[1]!thsiFinD("ths_adjustment_nv_fund",N$3,$A623))</f>
        <v/>
      </c>
      <c r="O623" s="13" t="str">
        <f>IF($A623="","",[1]!thsiFinD("ths_adjustment_nv_fund",O$3,$A623))</f>
        <v/>
      </c>
      <c r="P623" s="13" t="str">
        <f>IF($A623="","",[1]!thsiFinD("ths_adjustment_nv_fund",P$3,$A623))</f>
        <v/>
      </c>
      <c r="Q623" s="13" t="str">
        <f>IF($A623="","",[1]!thsiFinD("ths_adjustment_nv_fund",Q$3,$A623))</f>
        <v/>
      </c>
      <c r="R623" s="13" t="str">
        <f>IF($A623="","",[1]!thsiFinD("ths_adjustment_nv_fund",R$3,$A623))</f>
        <v/>
      </c>
      <c r="S623" s="13" t="str">
        <f>IF($A623="","",[1]!thsiFinD("ths_adjustment_nv_fund",S$3,$A623))</f>
        <v/>
      </c>
      <c r="T623" s="13" t="str">
        <f>IF($A623="","",[1]!thsiFinD("ths_adjustment_nv_fund",T$3,$A623))</f>
        <v/>
      </c>
      <c r="U623" s="13" t="str">
        <f>IF($A623="","",[1]!thsiFinD("ths_adjustment_nv_fund",U$3,$A623))</f>
        <v/>
      </c>
      <c r="V623" s="13" t="str">
        <f>IF($A623="","",[1]!thsiFinD("ths_adjustment_nv_fund",V$3,$A623))</f>
        <v/>
      </c>
      <c r="W623" s="13" t="str">
        <f>IF($A623="","",[1]!thsiFinD("ths_adjustment_nv_fund",W$3,$A623))</f>
        <v/>
      </c>
      <c r="X623" s="13" t="str">
        <f>IF($A623="","",[1]!thsiFinD("ths_adjustment_nv_fund",X$3,$A623))</f>
        <v/>
      </c>
      <c r="Y623" s="13" t="str">
        <f>IF($A623="","",[1]!thsiFinD("ths_adjustment_nv_fund",Y$3,$A623))</f>
        <v/>
      </c>
      <c r="Z623" s="13" t="str">
        <f>IF($A623="","",[1]!thsiFinD("ths_adjustment_nv_fund",Z$3,$A623))</f>
        <v/>
      </c>
      <c r="AA623" s="13" t="str">
        <f>IF($A623="","",[1]!thsiFinD("ths_adjustment_nv_fund",AA$3,$A623))</f>
        <v/>
      </c>
      <c r="AB623" s="13" t="str">
        <f>IF($A623="","",[1]!thsiFinD("ths_adjustment_nv_fund",AB$3,$A623))</f>
        <v/>
      </c>
    </row>
    <row r="624" spans="2:28">
      <c r="B624" s="13" t="str">
        <f>IF($A624="","",[1]!thsiFinD("ths_adjustment_nv_fund",B$3,$A624))</f>
        <v/>
      </c>
      <c r="C624" s="13" t="str">
        <f>IF($A624="","",[1]!thsiFinD("ths_adjustment_nv_fund",C$3,$A624))</f>
        <v/>
      </c>
      <c r="D624" s="13" t="str">
        <f>IF($A624="","",[1]!thsiFinD("ths_adjustment_nv_fund",D$3,$A624))</f>
        <v/>
      </c>
      <c r="E624" s="13" t="str">
        <f>IF($A624="","",[1]!thsiFinD("ths_adjustment_nv_fund",E$3,$A624))</f>
        <v/>
      </c>
      <c r="F624" s="13" t="str">
        <f>IF($A624="","",[1]!thsiFinD("ths_adjustment_nv_fund",F$3,$A624))</f>
        <v/>
      </c>
      <c r="G624" s="13" t="str">
        <f>IF($A624="","",[1]!thsiFinD("ths_adjustment_nv_fund",G$3,$A624))</f>
        <v/>
      </c>
      <c r="H624" s="13" t="str">
        <f>IF($A624="","",[1]!thsiFinD("ths_adjustment_nv_fund",H$3,$A624))</f>
        <v/>
      </c>
      <c r="I624" s="13" t="str">
        <f>IF($A624="","",[1]!thsiFinD("ths_adjustment_nv_fund",I$3,$A624))</f>
        <v/>
      </c>
      <c r="J624" s="13" t="str">
        <f>IF($A624="","",[1]!thsiFinD("ths_adjustment_nv_fund",J$3,$A624))</f>
        <v/>
      </c>
      <c r="K624" s="13" t="str">
        <f>IF($A624="","",[1]!thsiFinD("ths_adjustment_nv_fund",K$3,$A624))</f>
        <v/>
      </c>
      <c r="L624" s="13" t="str">
        <f>IF($A624="","",[1]!thsiFinD("ths_adjustment_nv_fund",L$3,$A624))</f>
        <v/>
      </c>
      <c r="M624" s="13" t="str">
        <f>IF($A624="","",[1]!thsiFinD("ths_adjustment_nv_fund",M$3,$A624))</f>
        <v/>
      </c>
      <c r="N624" s="13" t="str">
        <f>IF($A624="","",[1]!thsiFinD("ths_adjustment_nv_fund",N$3,$A624))</f>
        <v/>
      </c>
      <c r="O624" s="13" t="str">
        <f>IF($A624="","",[1]!thsiFinD("ths_adjustment_nv_fund",O$3,$A624))</f>
        <v/>
      </c>
      <c r="P624" s="13" t="str">
        <f>IF($A624="","",[1]!thsiFinD("ths_adjustment_nv_fund",P$3,$A624))</f>
        <v/>
      </c>
      <c r="Q624" s="13" t="str">
        <f>IF($A624="","",[1]!thsiFinD("ths_adjustment_nv_fund",Q$3,$A624))</f>
        <v/>
      </c>
      <c r="R624" s="13" t="str">
        <f>IF($A624="","",[1]!thsiFinD("ths_adjustment_nv_fund",R$3,$A624))</f>
        <v/>
      </c>
      <c r="S624" s="13" t="str">
        <f>IF($A624="","",[1]!thsiFinD("ths_adjustment_nv_fund",S$3,$A624))</f>
        <v/>
      </c>
      <c r="T624" s="13" t="str">
        <f>IF($A624="","",[1]!thsiFinD("ths_adjustment_nv_fund",T$3,$A624))</f>
        <v/>
      </c>
      <c r="U624" s="13" t="str">
        <f>IF($A624="","",[1]!thsiFinD("ths_adjustment_nv_fund",U$3,$A624))</f>
        <v/>
      </c>
      <c r="V624" s="13" t="str">
        <f>IF($A624="","",[1]!thsiFinD("ths_adjustment_nv_fund",V$3,$A624))</f>
        <v/>
      </c>
      <c r="W624" s="13" t="str">
        <f>IF($A624="","",[1]!thsiFinD("ths_adjustment_nv_fund",W$3,$A624))</f>
        <v/>
      </c>
      <c r="X624" s="13" t="str">
        <f>IF($A624="","",[1]!thsiFinD("ths_adjustment_nv_fund",X$3,$A624))</f>
        <v/>
      </c>
      <c r="Y624" s="13" t="str">
        <f>IF($A624="","",[1]!thsiFinD("ths_adjustment_nv_fund",Y$3,$A624))</f>
        <v/>
      </c>
      <c r="Z624" s="13" t="str">
        <f>IF($A624="","",[1]!thsiFinD("ths_adjustment_nv_fund",Z$3,$A624))</f>
        <v/>
      </c>
      <c r="AA624" s="13" t="str">
        <f>IF($A624="","",[1]!thsiFinD("ths_adjustment_nv_fund",AA$3,$A624))</f>
        <v/>
      </c>
      <c r="AB624" s="13" t="str">
        <f>IF($A624="","",[1]!thsiFinD("ths_adjustment_nv_fund",AB$3,$A624))</f>
        <v/>
      </c>
    </row>
    <row r="625" spans="2:28">
      <c r="B625" s="13" t="str">
        <f>IF($A625="","",[1]!thsiFinD("ths_adjustment_nv_fund",B$3,$A625))</f>
        <v/>
      </c>
      <c r="C625" s="13" t="str">
        <f>IF($A625="","",[1]!thsiFinD("ths_adjustment_nv_fund",C$3,$A625))</f>
        <v/>
      </c>
      <c r="D625" s="13" t="str">
        <f>IF($A625="","",[1]!thsiFinD("ths_adjustment_nv_fund",D$3,$A625))</f>
        <v/>
      </c>
      <c r="E625" s="13" t="str">
        <f>IF($A625="","",[1]!thsiFinD("ths_adjustment_nv_fund",E$3,$A625))</f>
        <v/>
      </c>
      <c r="F625" s="13" t="str">
        <f>IF($A625="","",[1]!thsiFinD("ths_adjustment_nv_fund",F$3,$A625))</f>
        <v/>
      </c>
      <c r="G625" s="13" t="str">
        <f>IF($A625="","",[1]!thsiFinD("ths_adjustment_nv_fund",G$3,$A625))</f>
        <v/>
      </c>
      <c r="H625" s="13" t="str">
        <f>IF($A625="","",[1]!thsiFinD("ths_adjustment_nv_fund",H$3,$A625))</f>
        <v/>
      </c>
      <c r="I625" s="13" t="str">
        <f>IF($A625="","",[1]!thsiFinD("ths_adjustment_nv_fund",I$3,$A625))</f>
        <v/>
      </c>
      <c r="J625" s="13" t="str">
        <f>IF($A625="","",[1]!thsiFinD("ths_adjustment_nv_fund",J$3,$A625))</f>
        <v/>
      </c>
      <c r="K625" s="13" t="str">
        <f>IF($A625="","",[1]!thsiFinD("ths_adjustment_nv_fund",K$3,$A625))</f>
        <v/>
      </c>
      <c r="L625" s="13" t="str">
        <f>IF($A625="","",[1]!thsiFinD("ths_adjustment_nv_fund",L$3,$A625))</f>
        <v/>
      </c>
      <c r="M625" s="13" t="str">
        <f>IF($A625="","",[1]!thsiFinD("ths_adjustment_nv_fund",M$3,$A625))</f>
        <v/>
      </c>
      <c r="N625" s="13" t="str">
        <f>IF($A625="","",[1]!thsiFinD("ths_adjustment_nv_fund",N$3,$A625))</f>
        <v/>
      </c>
      <c r="O625" s="13" t="str">
        <f>IF($A625="","",[1]!thsiFinD("ths_adjustment_nv_fund",O$3,$A625))</f>
        <v/>
      </c>
      <c r="P625" s="13" t="str">
        <f>IF($A625="","",[1]!thsiFinD("ths_adjustment_nv_fund",P$3,$A625))</f>
        <v/>
      </c>
      <c r="Q625" s="13" t="str">
        <f>IF($A625="","",[1]!thsiFinD("ths_adjustment_nv_fund",Q$3,$A625))</f>
        <v/>
      </c>
      <c r="R625" s="13" t="str">
        <f>IF($A625="","",[1]!thsiFinD("ths_adjustment_nv_fund",R$3,$A625))</f>
        <v/>
      </c>
      <c r="S625" s="13" t="str">
        <f>IF($A625="","",[1]!thsiFinD("ths_adjustment_nv_fund",S$3,$A625))</f>
        <v/>
      </c>
      <c r="T625" s="13" t="str">
        <f>IF($A625="","",[1]!thsiFinD("ths_adjustment_nv_fund",T$3,$A625))</f>
        <v/>
      </c>
      <c r="U625" s="13" t="str">
        <f>IF($A625="","",[1]!thsiFinD("ths_adjustment_nv_fund",U$3,$A625))</f>
        <v/>
      </c>
      <c r="V625" s="13" t="str">
        <f>IF($A625="","",[1]!thsiFinD("ths_adjustment_nv_fund",V$3,$A625))</f>
        <v/>
      </c>
      <c r="W625" s="13" t="str">
        <f>IF($A625="","",[1]!thsiFinD("ths_adjustment_nv_fund",W$3,$A625))</f>
        <v/>
      </c>
      <c r="X625" s="13" t="str">
        <f>IF($A625="","",[1]!thsiFinD("ths_adjustment_nv_fund",X$3,$A625))</f>
        <v/>
      </c>
      <c r="Y625" s="13" t="str">
        <f>IF($A625="","",[1]!thsiFinD("ths_adjustment_nv_fund",Y$3,$A625))</f>
        <v/>
      </c>
      <c r="Z625" s="13" t="str">
        <f>IF($A625="","",[1]!thsiFinD("ths_adjustment_nv_fund",Z$3,$A625))</f>
        <v/>
      </c>
      <c r="AA625" s="13" t="str">
        <f>IF($A625="","",[1]!thsiFinD("ths_adjustment_nv_fund",AA$3,$A625))</f>
        <v/>
      </c>
      <c r="AB625" s="13" t="str">
        <f>IF($A625="","",[1]!thsiFinD("ths_adjustment_nv_fund",AB$3,$A625))</f>
        <v/>
      </c>
    </row>
    <row r="626" spans="2:28">
      <c r="B626" s="13" t="str">
        <f>IF($A626="","",[1]!thsiFinD("ths_adjustment_nv_fund",B$3,$A626))</f>
        <v/>
      </c>
      <c r="C626" s="13" t="str">
        <f>IF($A626="","",[1]!thsiFinD("ths_adjustment_nv_fund",C$3,$A626))</f>
        <v/>
      </c>
      <c r="D626" s="13" t="str">
        <f>IF($A626="","",[1]!thsiFinD("ths_adjustment_nv_fund",D$3,$A626))</f>
        <v/>
      </c>
      <c r="E626" s="13" t="str">
        <f>IF($A626="","",[1]!thsiFinD("ths_adjustment_nv_fund",E$3,$A626))</f>
        <v/>
      </c>
      <c r="F626" s="13" t="str">
        <f>IF($A626="","",[1]!thsiFinD("ths_adjustment_nv_fund",F$3,$A626))</f>
        <v/>
      </c>
      <c r="G626" s="13" t="str">
        <f>IF($A626="","",[1]!thsiFinD("ths_adjustment_nv_fund",G$3,$A626))</f>
        <v/>
      </c>
      <c r="H626" s="13" t="str">
        <f>IF($A626="","",[1]!thsiFinD("ths_adjustment_nv_fund",H$3,$A626))</f>
        <v/>
      </c>
      <c r="I626" s="13" t="str">
        <f>IF($A626="","",[1]!thsiFinD("ths_adjustment_nv_fund",I$3,$A626))</f>
        <v/>
      </c>
      <c r="J626" s="13" t="str">
        <f>IF($A626="","",[1]!thsiFinD("ths_adjustment_nv_fund",J$3,$A626))</f>
        <v/>
      </c>
      <c r="K626" s="13" t="str">
        <f>IF($A626="","",[1]!thsiFinD("ths_adjustment_nv_fund",K$3,$A626))</f>
        <v/>
      </c>
      <c r="L626" s="13" t="str">
        <f>IF($A626="","",[1]!thsiFinD("ths_adjustment_nv_fund",L$3,$A626))</f>
        <v/>
      </c>
      <c r="M626" s="13" t="str">
        <f>IF($A626="","",[1]!thsiFinD("ths_adjustment_nv_fund",M$3,$A626))</f>
        <v/>
      </c>
      <c r="N626" s="13" t="str">
        <f>IF($A626="","",[1]!thsiFinD("ths_adjustment_nv_fund",N$3,$A626))</f>
        <v/>
      </c>
      <c r="O626" s="13" t="str">
        <f>IF($A626="","",[1]!thsiFinD("ths_adjustment_nv_fund",O$3,$A626))</f>
        <v/>
      </c>
      <c r="P626" s="13" t="str">
        <f>IF($A626="","",[1]!thsiFinD("ths_adjustment_nv_fund",P$3,$A626))</f>
        <v/>
      </c>
      <c r="Q626" s="13" t="str">
        <f>IF($A626="","",[1]!thsiFinD("ths_adjustment_nv_fund",Q$3,$A626))</f>
        <v/>
      </c>
      <c r="R626" s="13" t="str">
        <f>IF($A626="","",[1]!thsiFinD("ths_adjustment_nv_fund",R$3,$A626))</f>
        <v/>
      </c>
      <c r="S626" s="13" t="str">
        <f>IF($A626="","",[1]!thsiFinD("ths_adjustment_nv_fund",S$3,$A626))</f>
        <v/>
      </c>
      <c r="T626" s="13" t="str">
        <f>IF($A626="","",[1]!thsiFinD("ths_adjustment_nv_fund",T$3,$A626))</f>
        <v/>
      </c>
      <c r="U626" s="13" t="str">
        <f>IF($A626="","",[1]!thsiFinD("ths_adjustment_nv_fund",U$3,$A626))</f>
        <v/>
      </c>
      <c r="V626" s="13" t="str">
        <f>IF($A626="","",[1]!thsiFinD("ths_adjustment_nv_fund",V$3,$A626))</f>
        <v/>
      </c>
      <c r="W626" s="13" t="str">
        <f>IF($A626="","",[1]!thsiFinD("ths_adjustment_nv_fund",W$3,$A626))</f>
        <v/>
      </c>
      <c r="X626" s="13" t="str">
        <f>IF($A626="","",[1]!thsiFinD("ths_adjustment_nv_fund",X$3,$A626))</f>
        <v/>
      </c>
      <c r="Y626" s="13" t="str">
        <f>IF($A626="","",[1]!thsiFinD("ths_adjustment_nv_fund",Y$3,$A626))</f>
        <v/>
      </c>
      <c r="Z626" s="13" t="str">
        <f>IF($A626="","",[1]!thsiFinD("ths_adjustment_nv_fund",Z$3,$A626))</f>
        <v/>
      </c>
      <c r="AA626" s="13" t="str">
        <f>IF($A626="","",[1]!thsiFinD("ths_adjustment_nv_fund",AA$3,$A626))</f>
        <v/>
      </c>
      <c r="AB626" s="13" t="str">
        <f>IF($A626="","",[1]!thsiFinD("ths_adjustment_nv_fund",AB$3,$A626))</f>
        <v/>
      </c>
    </row>
    <row r="627" spans="2:28">
      <c r="B627" s="13" t="str">
        <f>IF($A627="","",[1]!thsiFinD("ths_adjustment_nv_fund",B$3,$A627))</f>
        <v/>
      </c>
      <c r="C627" s="13" t="str">
        <f>IF($A627="","",[1]!thsiFinD("ths_adjustment_nv_fund",C$3,$A627))</f>
        <v/>
      </c>
      <c r="D627" s="13" t="str">
        <f>IF($A627="","",[1]!thsiFinD("ths_adjustment_nv_fund",D$3,$A627))</f>
        <v/>
      </c>
      <c r="E627" s="13" t="str">
        <f>IF($A627="","",[1]!thsiFinD("ths_adjustment_nv_fund",E$3,$A627))</f>
        <v/>
      </c>
      <c r="F627" s="13" t="str">
        <f>IF($A627="","",[1]!thsiFinD("ths_adjustment_nv_fund",F$3,$A627))</f>
        <v/>
      </c>
      <c r="G627" s="13" t="str">
        <f>IF($A627="","",[1]!thsiFinD("ths_adjustment_nv_fund",G$3,$A627))</f>
        <v/>
      </c>
      <c r="H627" s="13" t="str">
        <f>IF($A627="","",[1]!thsiFinD("ths_adjustment_nv_fund",H$3,$A627))</f>
        <v/>
      </c>
      <c r="I627" s="13" t="str">
        <f>IF($A627="","",[1]!thsiFinD("ths_adjustment_nv_fund",I$3,$A627))</f>
        <v/>
      </c>
      <c r="J627" s="13" t="str">
        <f>IF($A627="","",[1]!thsiFinD("ths_adjustment_nv_fund",J$3,$A627))</f>
        <v/>
      </c>
      <c r="K627" s="13" t="str">
        <f>IF($A627="","",[1]!thsiFinD("ths_adjustment_nv_fund",K$3,$A627))</f>
        <v/>
      </c>
      <c r="L627" s="13" t="str">
        <f>IF($A627="","",[1]!thsiFinD("ths_adjustment_nv_fund",L$3,$A627))</f>
        <v/>
      </c>
      <c r="M627" s="13" t="str">
        <f>IF($A627="","",[1]!thsiFinD("ths_adjustment_nv_fund",M$3,$A627))</f>
        <v/>
      </c>
      <c r="N627" s="13" t="str">
        <f>IF($A627="","",[1]!thsiFinD("ths_adjustment_nv_fund",N$3,$A627))</f>
        <v/>
      </c>
      <c r="O627" s="13" t="str">
        <f>IF($A627="","",[1]!thsiFinD("ths_adjustment_nv_fund",O$3,$A627))</f>
        <v/>
      </c>
      <c r="P627" s="13" t="str">
        <f>IF($A627="","",[1]!thsiFinD("ths_adjustment_nv_fund",P$3,$A627))</f>
        <v/>
      </c>
      <c r="Q627" s="13" t="str">
        <f>IF($A627="","",[1]!thsiFinD("ths_adjustment_nv_fund",Q$3,$A627))</f>
        <v/>
      </c>
      <c r="R627" s="13" t="str">
        <f>IF($A627="","",[1]!thsiFinD("ths_adjustment_nv_fund",R$3,$A627))</f>
        <v/>
      </c>
      <c r="S627" s="13" t="str">
        <f>IF($A627="","",[1]!thsiFinD("ths_adjustment_nv_fund",S$3,$A627))</f>
        <v/>
      </c>
      <c r="T627" s="13" t="str">
        <f>IF($A627="","",[1]!thsiFinD("ths_adjustment_nv_fund",T$3,$A627))</f>
        <v/>
      </c>
      <c r="U627" s="13" t="str">
        <f>IF($A627="","",[1]!thsiFinD("ths_adjustment_nv_fund",U$3,$A627))</f>
        <v/>
      </c>
      <c r="V627" s="13" t="str">
        <f>IF($A627="","",[1]!thsiFinD("ths_adjustment_nv_fund",V$3,$A627))</f>
        <v/>
      </c>
      <c r="W627" s="13" t="str">
        <f>IF($A627="","",[1]!thsiFinD("ths_adjustment_nv_fund",W$3,$A627))</f>
        <v/>
      </c>
      <c r="X627" s="13" t="str">
        <f>IF($A627="","",[1]!thsiFinD("ths_adjustment_nv_fund",X$3,$A627))</f>
        <v/>
      </c>
      <c r="Y627" s="13" t="str">
        <f>IF($A627="","",[1]!thsiFinD("ths_adjustment_nv_fund",Y$3,$A627))</f>
        <v/>
      </c>
      <c r="Z627" s="13" t="str">
        <f>IF($A627="","",[1]!thsiFinD("ths_adjustment_nv_fund",Z$3,$A627))</f>
        <v/>
      </c>
      <c r="AA627" s="13" t="str">
        <f>IF($A627="","",[1]!thsiFinD("ths_adjustment_nv_fund",AA$3,$A627))</f>
        <v/>
      </c>
      <c r="AB627" s="13" t="str">
        <f>IF($A627="","",[1]!thsiFinD("ths_adjustment_nv_fund",AB$3,$A627))</f>
        <v/>
      </c>
    </row>
    <row r="628" spans="2:28">
      <c r="B628" s="13" t="str">
        <f>IF($A628="","",[1]!thsiFinD("ths_adjustment_nv_fund",B$3,$A628))</f>
        <v/>
      </c>
      <c r="C628" s="13" t="str">
        <f>IF($A628="","",[1]!thsiFinD("ths_adjustment_nv_fund",C$3,$A628))</f>
        <v/>
      </c>
      <c r="D628" s="13" t="str">
        <f>IF($A628="","",[1]!thsiFinD("ths_adjustment_nv_fund",D$3,$A628))</f>
        <v/>
      </c>
      <c r="E628" s="13" t="str">
        <f>IF($A628="","",[1]!thsiFinD("ths_adjustment_nv_fund",E$3,$A628))</f>
        <v/>
      </c>
      <c r="F628" s="13" t="str">
        <f>IF($A628="","",[1]!thsiFinD("ths_adjustment_nv_fund",F$3,$A628))</f>
        <v/>
      </c>
      <c r="G628" s="13" t="str">
        <f>IF($A628="","",[1]!thsiFinD("ths_adjustment_nv_fund",G$3,$A628))</f>
        <v/>
      </c>
      <c r="H628" s="13" t="str">
        <f>IF($A628="","",[1]!thsiFinD("ths_adjustment_nv_fund",H$3,$A628))</f>
        <v/>
      </c>
      <c r="I628" s="13" t="str">
        <f>IF($A628="","",[1]!thsiFinD("ths_adjustment_nv_fund",I$3,$A628))</f>
        <v/>
      </c>
      <c r="J628" s="13" t="str">
        <f>IF($A628="","",[1]!thsiFinD("ths_adjustment_nv_fund",J$3,$A628))</f>
        <v/>
      </c>
      <c r="K628" s="13" t="str">
        <f>IF($A628="","",[1]!thsiFinD("ths_adjustment_nv_fund",K$3,$A628))</f>
        <v/>
      </c>
      <c r="L628" s="13" t="str">
        <f>IF($A628="","",[1]!thsiFinD("ths_adjustment_nv_fund",L$3,$A628))</f>
        <v/>
      </c>
      <c r="M628" s="13" t="str">
        <f>IF($A628="","",[1]!thsiFinD("ths_adjustment_nv_fund",M$3,$A628))</f>
        <v/>
      </c>
      <c r="N628" s="13" t="str">
        <f>IF($A628="","",[1]!thsiFinD("ths_adjustment_nv_fund",N$3,$A628))</f>
        <v/>
      </c>
      <c r="O628" s="13" t="str">
        <f>IF($A628="","",[1]!thsiFinD("ths_adjustment_nv_fund",O$3,$A628))</f>
        <v/>
      </c>
      <c r="P628" s="13" t="str">
        <f>IF($A628="","",[1]!thsiFinD("ths_adjustment_nv_fund",P$3,$A628))</f>
        <v/>
      </c>
      <c r="Q628" s="13" t="str">
        <f>IF($A628="","",[1]!thsiFinD("ths_adjustment_nv_fund",Q$3,$A628))</f>
        <v/>
      </c>
      <c r="R628" s="13" t="str">
        <f>IF($A628="","",[1]!thsiFinD("ths_adjustment_nv_fund",R$3,$A628))</f>
        <v/>
      </c>
      <c r="S628" s="13" t="str">
        <f>IF($A628="","",[1]!thsiFinD("ths_adjustment_nv_fund",S$3,$A628))</f>
        <v/>
      </c>
      <c r="T628" s="13" t="str">
        <f>IF($A628="","",[1]!thsiFinD("ths_adjustment_nv_fund",T$3,$A628))</f>
        <v/>
      </c>
      <c r="U628" s="13" t="str">
        <f>IF($A628="","",[1]!thsiFinD("ths_adjustment_nv_fund",U$3,$A628))</f>
        <v/>
      </c>
      <c r="V628" s="13" t="str">
        <f>IF($A628="","",[1]!thsiFinD("ths_adjustment_nv_fund",V$3,$A628))</f>
        <v/>
      </c>
      <c r="W628" s="13" t="str">
        <f>IF($A628="","",[1]!thsiFinD("ths_adjustment_nv_fund",W$3,$A628))</f>
        <v/>
      </c>
      <c r="X628" s="13" t="str">
        <f>IF($A628="","",[1]!thsiFinD("ths_adjustment_nv_fund",X$3,$A628))</f>
        <v/>
      </c>
      <c r="Y628" s="13" t="str">
        <f>IF($A628="","",[1]!thsiFinD("ths_adjustment_nv_fund",Y$3,$A628))</f>
        <v/>
      </c>
      <c r="Z628" s="13" t="str">
        <f>IF($A628="","",[1]!thsiFinD("ths_adjustment_nv_fund",Z$3,$A628))</f>
        <v/>
      </c>
      <c r="AA628" s="13" t="str">
        <f>IF($A628="","",[1]!thsiFinD("ths_adjustment_nv_fund",AA$3,$A628))</f>
        <v/>
      </c>
      <c r="AB628" s="13" t="str">
        <f>IF($A628="","",[1]!thsiFinD("ths_adjustment_nv_fund",AB$3,$A628))</f>
        <v/>
      </c>
    </row>
    <row r="629" spans="2:28">
      <c r="B629" s="13" t="str">
        <f>IF($A629="","",[1]!thsiFinD("ths_adjustment_nv_fund",B$3,$A629))</f>
        <v/>
      </c>
      <c r="C629" s="13" t="str">
        <f>IF($A629="","",[1]!thsiFinD("ths_adjustment_nv_fund",C$3,$A629))</f>
        <v/>
      </c>
      <c r="D629" s="13" t="str">
        <f>IF($A629="","",[1]!thsiFinD("ths_adjustment_nv_fund",D$3,$A629))</f>
        <v/>
      </c>
      <c r="E629" s="13" t="str">
        <f>IF($A629="","",[1]!thsiFinD("ths_adjustment_nv_fund",E$3,$A629))</f>
        <v/>
      </c>
      <c r="F629" s="13" t="str">
        <f>IF($A629="","",[1]!thsiFinD("ths_adjustment_nv_fund",F$3,$A629))</f>
        <v/>
      </c>
      <c r="G629" s="13" t="str">
        <f>IF($A629="","",[1]!thsiFinD("ths_adjustment_nv_fund",G$3,$A629))</f>
        <v/>
      </c>
      <c r="H629" s="13" t="str">
        <f>IF($A629="","",[1]!thsiFinD("ths_adjustment_nv_fund",H$3,$A629))</f>
        <v/>
      </c>
      <c r="I629" s="13" t="str">
        <f>IF($A629="","",[1]!thsiFinD("ths_adjustment_nv_fund",I$3,$A629))</f>
        <v/>
      </c>
      <c r="J629" s="13" t="str">
        <f>IF($A629="","",[1]!thsiFinD("ths_adjustment_nv_fund",J$3,$A629))</f>
        <v/>
      </c>
      <c r="K629" s="13" t="str">
        <f>IF($A629="","",[1]!thsiFinD("ths_adjustment_nv_fund",K$3,$A629))</f>
        <v/>
      </c>
      <c r="L629" s="13" t="str">
        <f>IF($A629="","",[1]!thsiFinD("ths_adjustment_nv_fund",L$3,$A629))</f>
        <v/>
      </c>
      <c r="M629" s="13" t="str">
        <f>IF($A629="","",[1]!thsiFinD("ths_adjustment_nv_fund",M$3,$A629))</f>
        <v/>
      </c>
      <c r="N629" s="13" t="str">
        <f>IF($A629="","",[1]!thsiFinD("ths_adjustment_nv_fund",N$3,$A629))</f>
        <v/>
      </c>
      <c r="O629" s="13" t="str">
        <f>IF($A629="","",[1]!thsiFinD("ths_adjustment_nv_fund",O$3,$A629))</f>
        <v/>
      </c>
      <c r="P629" s="13" t="str">
        <f>IF($A629="","",[1]!thsiFinD("ths_adjustment_nv_fund",P$3,$A629))</f>
        <v/>
      </c>
      <c r="Q629" s="13" t="str">
        <f>IF($A629="","",[1]!thsiFinD("ths_adjustment_nv_fund",Q$3,$A629))</f>
        <v/>
      </c>
      <c r="R629" s="13" t="str">
        <f>IF($A629="","",[1]!thsiFinD("ths_adjustment_nv_fund",R$3,$A629))</f>
        <v/>
      </c>
      <c r="S629" s="13" t="str">
        <f>IF($A629="","",[1]!thsiFinD("ths_adjustment_nv_fund",S$3,$A629))</f>
        <v/>
      </c>
      <c r="T629" s="13" t="str">
        <f>IF($A629="","",[1]!thsiFinD("ths_adjustment_nv_fund",T$3,$A629))</f>
        <v/>
      </c>
      <c r="U629" s="13" t="str">
        <f>IF($A629="","",[1]!thsiFinD("ths_adjustment_nv_fund",U$3,$A629))</f>
        <v/>
      </c>
      <c r="V629" s="13" t="str">
        <f>IF($A629="","",[1]!thsiFinD("ths_adjustment_nv_fund",V$3,$A629))</f>
        <v/>
      </c>
      <c r="W629" s="13" t="str">
        <f>IF($A629="","",[1]!thsiFinD("ths_adjustment_nv_fund",W$3,$A629))</f>
        <v/>
      </c>
      <c r="X629" s="13" t="str">
        <f>IF($A629="","",[1]!thsiFinD("ths_adjustment_nv_fund",X$3,$A629))</f>
        <v/>
      </c>
      <c r="Y629" s="13" t="str">
        <f>IF($A629="","",[1]!thsiFinD("ths_adjustment_nv_fund",Y$3,$A629))</f>
        <v/>
      </c>
      <c r="Z629" s="13" t="str">
        <f>IF($A629="","",[1]!thsiFinD("ths_adjustment_nv_fund",Z$3,$A629))</f>
        <v/>
      </c>
      <c r="AA629" s="13" t="str">
        <f>IF($A629="","",[1]!thsiFinD("ths_adjustment_nv_fund",AA$3,$A629))</f>
        <v/>
      </c>
      <c r="AB629" s="13" t="str">
        <f>IF($A629="","",[1]!thsiFinD("ths_adjustment_nv_fund",AB$3,$A629))</f>
        <v/>
      </c>
    </row>
    <row r="630" spans="2:28">
      <c r="B630" s="13" t="str">
        <f>IF($A630="","",[1]!thsiFinD("ths_adjustment_nv_fund",B$3,$A630))</f>
        <v/>
      </c>
      <c r="C630" s="13" t="str">
        <f>IF($A630="","",[1]!thsiFinD("ths_adjustment_nv_fund",C$3,$A630))</f>
        <v/>
      </c>
      <c r="D630" s="13" t="str">
        <f>IF($A630="","",[1]!thsiFinD("ths_adjustment_nv_fund",D$3,$A630))</f>
        <v/>
      </c>
      <c r="E630" s="13" t="str">
        <f>IF($A630="","",[1]!thsiFinD("ths_adjustment_nv_fund",E$3,$A630))</f>
        <v/>
      </c>
      <c r="F630" s="13" t="str">
        <f>IF($A630="","",[1]!thsiFinD("ths_adjustment_nv_fund",F$3,$A630))</f>
        <v/>
      </c>
      <c r="G630" s="13" t="str">
        <f>IF($A630="","",[1]!thsiFinD("ths_adjustment_nv_fund",G$3,$A630))</f>
        <v/>
      </c>
      <c r="H630" s="13" t="str">
        <f>IF($A630="","",[1]!thsiFinD("ths_adjustment_nv_fund",H$3,$A630))</f>
        <v/>
      </c>
      <c r="I630" s="13" t="str">
        <f>IF($A630="","",[1]!thsiFinD("ths_adjustment_nv_fund",I$3,$A630))</f>
        <v/>
      </c>
      <c r="J630" s="13" t="str">
        <f>IF($A630="","",[1]!thsiFinD("ths_adjustment_nv_fund",J$3,$A630))</f>
        <v/>
      </c>
      <c r="K630" s="13" t="str">
        <f>IF($A630="","",[1]!thsiFinD("ths_adjustment_nv_fund",K$3,$A630))</f>
        <v/>
      </c>
      <c r="L630" s="13" t="str">
        <f>IF($A630="","",[1]!thsiFinD("ths_adjustment_nv_fund",L$3,$A630))</f>
        <v/>
      </c>
      <c r="M630" s="13" t="str">
        <f>IF($A630="","",[1]!thsiFinD("ths_adjustment_nv_fund",M$3,$A630))</f>
        <v/>
      </c>
      <c r="N630" s="13" t="str">
        <f>IF($A630="","",[1]!thsiFinD("ths_adjustment_nv_fund",N$3,$A630))</f>
        <v/>
      </c>
      <c r="O630" s="13" t="str">
        <f>IF($A630="","",[1]!thsiFinD("ths_adjustment_nv_fund",O$3,$A630))</f>
        <v/>
      </c>
      <c r="P630" s="13" t="str">
        <f>IF($A630="","",[1]!thsiFinD("ths_adjustment_nv_fund",P$3,$A630))</f>
        <v/>
      </c>
      <c r="Q630" s="13" t="str">
        <f>IF($A630="","",[1]!thsiFinD("ths_adjustment_nv_fund",Q$3,$A630))</f>
        <v/>
      </c>
      <c r="R630" s="13" t="str">
        <f>IF($A630="","",[1]!thsiFinD("ths_adjustment_nv_fund",R$3,$A630))</f>
        <v/>
      </c>
      <c r="S630" s="13" t="str">
        <f>IF($A630="","",[1]!thsiFinD("ths_adjustment_nv_fund",S$3,$A630))</f>
        <v/>
      </c>
      <c r="T630" s="13" t="str">
        <f>IF($A630="","",[1]!thsiFinD("ths_adjustment_nv_fund",T$3,$A630))</f>
        <v/>
      </c>
      <c r="U630" s="13" t="str">
        <f>IF($A630="","",[1]!thsiFinD("ths_adjustment_nv_fund",U$3,$A630))</f>
        <v/>
      </c>
      <c r="V630" s="13" t="str">
        <f>IF($A630="","",[1]!thsiFinD("ths_adjustment_nv_fund",V$3,$A630))</f>
        <v/>
      </c>
      <c r="W630" s="13" t="str">
        <f>IF($A630="","",[1]!thsiFinD("ths_adjustment_nv_fund",W$3,$A630))</f>
        <v/>
      </c>
      <c r="X630" s="13" t="str">
        <f>IF($A630="","",[1]!thsiFinD("ths_adjustment_nv_fund",X$3,$A630))</f>
        <v/>
      </c>
      <c r="Y630" s="13" t="str">
        <f>IF($A630="","",[1]!thsiFinD("ths_adjustment_nv_fund",Y$3,$A630))</f>
        <v/>
      </c>
      <c r="Z630" s="13" t="str">
        <f>IF($A630="","",[1]!thsiFinD("ths_adjustment_nv_fund",Z$3,$A630))</f>
        <v/>
      </c>
      <c r="AA630" s="13" t="str">
        <f>IF($A630="","",[1]!thsiFinD("ths_adjustment_nv_fund",AA$3,$A630))</f>
        <v/>
      </c>
      <c r="AB630" s="13" t="str">
        <f>IF($A630="","",[1]!thsiFinD("ths_adjustment_nv_fund",AB$3,$A630))</f>
        <v/>
      </c>
    </row>
    <row r="631" spans="2:28">
      <c r="B631" s="13" t="str">
        <f>IF($A631="","",[1]!thsiFinD("ths_adjustment_nv_fund",B$3,$A631))</f>
        <v/>
      </c>
      <c r="C631" s="13" t="str">
        <f>IF($A631="","",[1]!thsiFinD("ths_adjustment_nv_fund",C$3,$A631))</f>
        <v/>
      </c>
      <c r="D631" s="13" t="str">
        <f>IF($A631="","",[1]!thsiFinD("ths_adjustment_nv_fund",D$3,$A631))</f>
        <v/>
      </c>
      <c r="E631" s="13" t="str">
        <f>IF($A631="","",[1]!thsiFinD("ths_adjustment_nv_fund",E$3,$A631))</f>
        <v/>
      </c>
      <c r="F631" s="13" t="str">
        <f>IF($A631="","",[1]!thsiFinD("ths_adjustment_nv_fund",F$3,$A631))</f>
        <v/>
      </c>
      <c r="G631" s="13" t="str">
        <f>IF($A631="","",[1]!thsiFinD("ths_adjustment_nv_fund",G$3,$A631))</f>
        <v/>
      </c>
      <c r="H631" s="13" t="str">
        <f>IF($A631="","",[1]!thsiFinD("ths_adjustment_nv_fund",H$3,$A631))</f>
        <v/>
      </c>
      <c r="I631" s="13" t="str">
        <f>IF($A631="","",[1]!thsiFinD("ths_adjustment_nv_fund",I$3,$A631))</f>
        <v/>
      </c>
      <c r="J631" s="13" t="str">
        <f>IF($A631="","",[1]!thsiFinD("ths_adjustment_nv_fund",J$3,$A631))</f>
        <v/>
      </c>
      <c r="K631" s="13" t="str">
        <f>IF($A631="","",[1]!thsiFinD("ths_adjustment_nv_fund",K$3,$A631))</f>
        <v/>
      </c>
      <c r="L631" s="13" t="str">
        <f>IF($A631="","",[1]!thsiFinD("ths_adjustment_nv_fund",L$3,$A631))</f>
        <v/>
      </c>
      <c r="M631" s="13" t="str">
        <f>IF($A631="","",[1]!thsiFinD("ths_adjustment_nv_fund",M$3,$A631))</f>
        <v/>
      </c>
      <c r="N631" s="13" t="str">
        <f>IF($A631="","",[1]!thsiFinD("ths_adjustment_nv_fund",N$3,$A631))</f>
        <v/>
      </c>
      <c r="O631" s="13" t="str">
        <f>IF($A631="","",[1]!thsiFinD("ths_adjustment_nv_fund",O$3,$A631))</f>
        <v/>
      </c>
      <c r="P631" s="13" t="str">
        <f>IF($A631="","",[1]!thsiFinD("ths_adjustment_nv_fund",P$3,$A631))</f>
        <v/>
      </c>
      <c r="Q631" s="13" t="str">
        <f>IF($A631="","",[1]!thsiFinD("ths_adjustment_nv_fund",Q$3,$A631))</f>
        <v/>
      </c>
      <c r="R631" s="13" t="str">
        <f>IF($A631="","",[1]!thsiFinD("ths_adjustment_nv_fund",R$3,$A631))</f>
        <v/>
      </c>
      <c r="S631" s="13" t="str">
        <f>IF($A631="","",[1]!thsiFinD("ths_adjustment_nv_fund",S$3,$A631))</f>
        <v/>
      </c>
      <c r="T631" s="13" t="str">
        <f>IF($A631="","",[1]!thsiFinD("ths_adjustment_nv_fund",T$3,$A631))</f>
        <v/>
      </c>
      <c r="U631" s="13" t="str">
        <f>IF($A631="","",[1]!thsiFinD("ths_adjustment_nv_fund",U$3,$A631))</f>
        <v/>
      </c>
      <c r="V631" s="13" t="str">
        <f>IF($A631="","",[1]!thsiFinD("ths_adjustment_nv_fund",V$3,$A631))</f>
        <v/>
      </c>
      <c r="W631" s="13" t="str">
        <f>IF($A631="","",[1]!thsiFinD("ths_adjustment_nv_fund",W$3,$A631))</f>
        <v/>
      </c>
      <c r="X631" s="13" t="str">
        <f>IF($A631="","",[1]!thsiFinD("ths_adjustment_nv_fund",X$3,$A631))</f>
        <v/>
      </c>
      <c r="Y631" s="13" t="str">
        <f>IF($A631="","",[1]!thsiFinD("ths_adjustment_nv_fund",Y$3,$A631))</f>
        <v/>
      </c>
      <c r="Z631" s="13" t="str">
        <f>IF($A631="","",[1]!thsiFinD("ths_adjustment_nv_fund",Z$3,$A631))</f>
        <v/>
      </c>
      <c r="AA631" s="13" t="str">
        <f>IF($A631="","",[1]!thsiFinD("ths_adjustment_nv_fund",AA$3,$A631))</f>
        <v/>
      </c>
      <c r="AB631" s="13" t="str">
        <f>IF($A631="","",[1]!thsiFinD("ths_adjustment_nv_fund",AB$3,$A631))</f>
        <v/>
      </c>
    </row>
    <row r="632" spans="2:28">
      <c r="B632" s="13" t="str">
        <f>IF($A632="","",[1]!thsiFinD("ths_adjustment_nv_fund",B$3,$A632))</f>
        <v/>
      </c>
      <c r="C632" s="13" t="str">
        <f>IF($A632="","",[1]!thsiFinD("ths_adjustment_nv_fund",C$3,$A632))</f>
        <v/>
      </c>
      <c r="D632" s="13" t="str">
        <f>IF($A632="","",[1]!thsiFinD("ths_adjustment_nv_fund",D$3,$A632))</f>
        <v/>
      </c>
      <c r="E632" s="13" t="str">
        <f>IF($A632="","",[1]!thsiFinD("ths_adjustment_nv_fund",E$3,$A632))</f>
        <v/>
      </c>
      <c r="F632" s="13" t="str">
        <f>IF($A632="","",[1]!thsiFinD("ths_adjustment_nv_fund",F$3,$A632))</f>
        <v/>
      </c>
      <c r="G632" s="13" t="str">
        <f>IF($A632="","",[1]!thsiFinD("ths_adjustment_nv_fund",G$3,$A632))</f>
        <v/>
      </c>
      <c r="H632" s="13" t="str">
        <f>IF($A632="","",[1]!thsiFinD("ths_adjustment_nv_fund",H$3,$A632))</f>
        <v/>
      </c>
      <c r="I632" s="13" t="str">
        <f>IF($A632="","",[1]!thsiFinD("ths_adjustment_nv_fund",I$3,$A632))</f>
        <v/>
      </c>
      <c r="J632" s="13" t="str">
        <f>IF($A632="","",[1]!thsiFinD("ths_adjustment_nv_fund",J$3,$A632))</f>
        <v/>
      </c>
      <c r="K632" s="13" t="str">
        <f>IF($A632="","",[1]!thsiFinD("ths_adjustment_nv_fund",K$3,$A632))</f>
        <v/>
      </c>
      <c r="L632" s="13" t="str">
        <f>IF($A632="","",[1]!thsiFinD("ths_adjustment_nv_fund",L$3,$A632))</f>
        <v/>
      </c>
      <c r="M632" s="13" t="str">
        <f>IF($A632="","",[1]!thsiFinD("ths_adjustment_nv_fund",M$3,$A632))</f>
        <v/>
      </c>
      <c r="N632" s="13" t="str">
        <f>IF($A632="","",[1]!thsiFinD("ths_adjustment_nv_fund",N$3,$A632))</f>
        <v/>
      </c>
      <c r="O632" s="13" t="str">
        <f>IF($A632="","",[1]!thsiFinD("ths_adjustment_nv_fund",O$3,$A632))</f>
        <v/>
      </c>
      <c r="P632" s="13" t="str">
        <f>IF($A632="","",[1]!thsiFinD("ths_adjustment_nv_fund",P$3,$A632))</f>
        <v/>
      </c>
      <c r="Q632" s="13" t="str">
        <f>IF($A632="","",[1]!thsiFinD("ths_adjustment_nv_fund",Q$3,$A632))</f>
        <v/>
      </c>
      <c r="R632" s="13" t="str">
        <f>IF($A632="","",[1]!thsiFinD("ths_adjustment_nv_fund",R$3,$A632))</f>
        <v/>
      </c>
      <c r="S632" s="13" t="str">
        <f>IF($A632="","",[1]!thsiFinD("ths_adjustment_nv_fund",S$3,$A632))</f>
        <v/>
      </c>
      <c r="T632" s="13" t="str">
        <f>IF($A632="","",[1]!thsiFinD("ths_adjustment_nv_fund",T$3,$A632))</f>
        <v/>
      </c>
      <c r="U632" s="13" t="str">
        <f>IF($A632="","",[1]!thsiFinD("ths_adjustment_nv_fund",U$3,$A632))</f>
        <v/>
      </c>
      <c r="V632" s="13" t="str">
        <f>IF($A632="","",[1]!thsiFinD("ths_adjustment_nv_fund",V$3,$A632))</f>
        <v/>
      </c>
      <c r="W632" s="13" t="str">
        <f>IF($A632="","",[1]!thsiFinD("ths_adjustment_nv_fund",W$3,$A632))</f>
        <v/>
      </c>
      <c r="X632" s="13" t="str">
        <f>IF($A632="","",[1]!thsiFinD("ths_adjustment_nv_fund",X$3,$A632))</f>
        <v/>
      </c>
      <c r="Y632" s="13" t="str">
        <f>IF($A632="","",[1]!thsiFinD("ths_adjustment_nv_fund",Y$3,$A632))</f>
        <v/>
      </c>
      <c r="Z632" s="13" t="str">
        <f>IF($A632="","",[1]!thsiFinD("ths_adjustment_nv_fund",Z$3,$A632))</f>
        <v/>
      </c>
      <c r="AA632" s="13" t="str">
        <f>IF($A632="","",[1]!thsiFinD("ths_adjustment_nv_fund",AA$3,$A632))</f>
        <v/>
      </c>
      <c r="AB632" s="13" t="str">
        <f>IF($A632="","",[1]!thsiFinD("ths_adjustment_nv_fund",AB$3,$A632))</f>
        <v/>
      </c>
    </row>
    <row r="633" spans="2:28">
      <c r="B633" s="13" t="str">
        <f>IF($A633="","",[1]!thsiFinD("ths_adjustment_nv_fund",B$3,$A633))</f>
        <v/>
      </c>
      <c r="C633" s="13" t="str">
        <f>IF($A633="","",[1]!thsiFinD("ths_adjustment_nv_fund",C$3,$A633))</f>
        <v/>
      </c>
      <c r="D633" s="13" t="str">
        <f>IF($A633="","",[1]!thsiFinD("ths_adjustment_nv_fund",D$3,$A633))</f>
        <v/>
      </c>
      <c r="E633" s="13" t="str">
        <f>IF($A633="","",[1]!thsiFinD("ths_adjustment_nv_fund",E$3,$A633))</f>
        <v/>
      </c>
      <c r="F633" s="13" t="str">
        <f>IF($A633="","",[1]!thsiFinD("ths_adjustment_nv_fund",F$3,$A633))</f>
        <v/>
      </c>
      <c r="G633" s="13" t="str">
        <f>IF($A633="","",[1]!thsiFinD("ths_adjustment_nv_fund",G$3,$A633))</f>
        <v/>
      </c>
      <c r="H633" s="13" t="str">
        <f>IF($A633="","",[1]!thsiFinD("ths_adjustment_nv_fund",H$3,$A633))</f>
        <v/>
      </c>
      <c r="I633" s="13" t="str">
        <f>IF($A633="","",[1]!thsiFinD("ths_adjustment_nv_fund",I$3,$A633))</f>
        <v/>
      </c>
      <c r="J633" s="13" t="str">
        <f>IF($A633="","",[1]!thsiFinD("ths_adjustment_nv_fund",J$3,$A633))</f>
        <v/>
      </c>
      <c r="K633" s="13" t="str">
        <f>IF($A633="","",[1]!thsiFinD("ths_adjustment_nv_fund",K$3,$A633))</f>
        <v/>
      </c>
      <c r="L633" s="13" t="str">
        <f>IF($A633="","",[1]!thsiFinD("ths_adjustment_nv_fund",L$3,$A633))</f>
        <v/>
      </c>
      <c r="M633" s="13" t="str">
        <f>IF($A633="","",[1]!thsiFinD("ths_adjustment_nv_fund",M$3,$A633))</f>
        <v/>
      </c>
      <c r="N633" s="13" t="str">
        <f>IF($A633="","",[1]!thsiFinD("ths_adjustment_nv_fund",N$3,$A633))</f>
        <v/>
      </c>
      <c r="O633" s="13" t="str">
        <f>IF($A633="","",[1]!thsiFinD("ths_adjustment_nv_fund",O$3,$A633))</f>
        <v/>
      </c>
      <c r="P633" s="13" t="str">
        <f>IF($A633="","",[1]!thsiFinD("ths_adjustment_nv_fund",P$3,$A633))</f>
        <v/>
      </c>
      <c r="Q633" s="13" t="str">
        <f>IF($A633="","",[1]!thsiFinD("ths_adjustment_nv_fund",Q$3,$A633))</f>
        <v/>
      </c>
      <c r="R633" s="13" t="str">
        <f>IF($A633="","",[1]!thsiFinD("ths_adjustment_nv_fund",R$3,$A633))</f>
        <v/>
      </c>
      <c r="S633" s="13" t="str">
        <f>IF($A633="","",[1]!thsiFinD("ths_adjustment_nv_fund",S$3,$A633))</f>
        <v/>
      </c>
      <c r="T633" s="13" t="str">
        <f>IF($A633="","",[1]!thsiFinD("ths_adjustment_nv_fund",T$3,$A633))</f>
        <v/>
      </c>
      <c r="U633" s="13" t="str">
        <f>IF($A633="","",[1]!thsiFinD("ths_adjustment_nv_fund",U$3,$A633))</f>
        <v/>
      </c>
      <c r="V633" s="13" t="str">
        <f>IF($A633="","",[1]!thsiFinD("ths_adjustment_nv_fund",V$3,$A633))</f>
        <v/>
      </c>
      <c r="W633" s="13" t="str">
        <f>IF($A633="","",[1]!thsiFinD("ths_adjustment_nv_fund",W$3,$A633))</f>
        <v/>
      </c>
      <c r="X633" s="13" t="str">
        <f>IF($A633="","",[1]!thsiFinD("ths_adjustment_nv_fund",X$3,$A633))</f>
        <v/>
      </c>
      <c r="Y633" s="13" t="str">
        <f>IF($A633="","",[1]!thsiFinD("ths_adjustment_nv_fund",Y$3,$A633))</f>
        <v/>
      </c>
      <c r="Z633" s="13" t="str">
        <f>IF($A633="","",[1]!thsiFinD("ths_adjustment_nv_fund",Z$3,$A633))</f>
        <v/>
      </c>
      <c r="AA633" s="13" t="str">
        <f>IF($A633="","",[1]!thsiFinD("ths_adjustment_nv_fund",AA$3,$A633))</f>
        <v/>
      </c>
      <c r="AB633" s="13" t="str">
        <f>IF($A633="","",[1]!thsiFinD("ths_adjustment_nv_fund",AB$3,$A633))</f>
        <v/>
      </c>
    </row>
    <row r="634" spans="2:28">
      <c r="B634" s="13" t="str">
        <f>IF($A634="","",[1]!thsiFinD("ths_adjustment_nv_fund",B$3,$A634))</f>
        <v/>
      </c>
      <c r="C634" s="13" t="str">
        <f>IF($A634="","",[1]!thsiFinD("ths_adjustment_nv_fund",C$3,$A634))</f>
        <v/>
      </c>
      <c r="D634" s="13" t="str">
        <f>IF($A634="","",[1]!thsiFinD("ths_adjustment_nv_fund",D$3,$A634))</f>
        <v/>
      </c>
      <c r="E634" s="13" t="str">
        <f>IF($A634="","",[1]!thsiFinD("ths_adjustment_nv_fund",E$3,$A634))</f>
        <v/>
      </c>
      <c r="F634" s="13" t="str">
        <f>IF($A634="","",[1]!thsiFinD("ths_adjustment_nv_fund",F$3,$A634))</f>
        <v/>
      </c>
      <c r="G634" s="13" t="str">
        <f>IF($A634="","",[1]!thsiFinD("ths_adjustment_nv_fund",G$3,$A634))</f>
        <v/>
      </c>
      <c r="H634" s="13" t="str">
        <f>IF($A634="","",[1]!thsiFinD("ths_adjustment_nv_fund",H$3,$A634))</f>
        <v/>
      </c>
      <c r="I634" s="13" t="str">
        <f>IF($A634="","",[1]!thsiFinD("ths_adjustment_nv_fund",I$3,$A634))</f>
        <v/>
      </c>
      <c r="J634" s="13" t="str">
        <f>IF($A634="","",[1]!thsiFinD("ths_adjustment_nv_fund",J$3,$A634))</f>
        <v/>
      </c>
      <c r="K634" s="13" t="str">
        <f>IF($A634="","",[1]!thsiFinD("ths_adjustment_nv_fund",K$3,$A634))</f>
        <v/>
      </c>
      <c r="L634" s="13" t="str">
        <f>IF($A634="","",[1]!thsiFinD("ths_adjustment_nv_fund",L$3,$A634))</f>
        <v/>
      </c>
      <c r="M634" s="13" t="str">
        <f>IF($A634="","",[1]!thsiFinD("ths_adjustment_nv_fund",M$3,$A634))</f>
        <v/>
      </c>
      <c r="N634" s="13" t="str">
        <f>IF($A634="","",[1]!thsiFinD("ths_adjustment_nv_fund",N$3,$A634))</f>
        <v/>
      </c>
      <c r="O634" s="13" t="str">
        <f>IF($A634="","",[1]!thsiFinD("ths_adjustment_nv_fund",O$3,$A634))</f>
        <v/>
      </c>
      <c r="P634" s="13" t="str">
        <f>IF($A634="","",[1]!thsiFinD("ths_adjustment_nv_fund",P$3,$A634))</f>
        <v/>
      </c>
      <c r="Q634" s="13" t="str">
        <f>IF($A634="","",[1]!thsiFinD("ths_adjustment_nv_fund",Q$3,$A634))</f>
        <v/>
      </c>
      <c r="R634" s="13" t="str">
        <f>IF($A634="","",[1]!thsiFinD("ths_adjustment_nv_fund",R$3,$A634))</f>
        <v/>
      </c>
      <c r="S634" s="13" t="str">
        <f>IF($A634="","",[1]!thsiFinD("ths_adjustment_nv_fund",S$3,$A634))</f>
        <v/>
      </c>
      <c r="T634" s="13" t="str">
        <f>IF($A634="","",[1]!thsiFinD("ths_adjustment_nv_fund",T$3,$A634))</f>
        <v/>
      </c>
      <c r="U634" s="13" t="str">
        <f>IF($A634="","",[1]!thsiFinD("ths_adjustment_nv_fund",U$3,$A634))</f>
        <v/>
      </c>
      <c r="V634" s="13" t="str">
        <f>IF($A634="","",[1]!thsiFinD("ths_adjustment_nv_fund",V$3,$A634))</f>
        <v/>
      </c>
      <c r="W634" s="13" t="str">
        <f>IF($A634="","",[1]!thsiFinD("ths_adjustment_nv_fund",W$3,$A634))</f>
        <v/>
      </c>
      <c r="X634" s="13" t="str">
        <f>IF($A634="","",[1]!thsiFinD("ths_adjustment_nv_fund",X$3,$A634))</f>
        <v/>
      </c>
      <c r="Y634" s="13" t="str">
        <f>IF($A634="","",[1]!thsiFinD("ths_adjustment_nv_fund",Y$3,$A634))</f>
        <v/>
      </c>
      <c r="Z634" s="13" t="str">
        <f>IF($A634="","",[1]!thsiFinD("ths_adjustment_nv_fund",Z$3,$A634))</f>
        <v/>
      </c>
      <c r="AA634" s="13" t="str">
        <f>IF($A634="","",[1]!thsiFinD("ths_adjustment_nv_fund",AA$3,$A634))</f>
        <v/>
      </c>
      <c r="AB634" s="13" t="str">
        <f>IF($A634="","",[1]!thsiFinD("ths_adjustment_nv_fund",AB$3,$A634))</f>
        <v/>
      </c>
    </row>
    <row r="635" spans="2:28">
      <c r="B635" s="13" t="str">
        <f>IF($A635="","",[1]!thsiFinD("ths_adjustment_nv_fund",B$3,$A635))</f>
        <v/>
      </c>
      <c r="C635" s="13" t="str">
        <f>IF($A635="","",[1]!thsiFinD("ths_adjustment_nv_fund",C$3,$A635))</f>
        <v/>
      </c>
      <c r="D635" s="13" t="str">
        <f>IF($A635="","",[1]!thsiFinD("ths_adjustment_nv_fund",D$3,$A635))</f>
        <v/>
      </c>
      <c r="E635" s="13" t="str">
        <f>IF($A635="","",[1]!thsiFinD("ths_adjustment_nv_fund",E$3,$A635))</f>
        <v/>
      </c>
      <c r="F635" s="13" t="str">
        <f>IF($A635="","",[1]!thsiFinD("ths_adjustment_nv_fund",F$3,$A635))</f>
        <v/>
      </c>
      <c r="G635" s="13" t="str">
        <f>IF($A635="","",[1]!thsiFinD("ths_adjustment_nv_fund",G$3,$A635))</f>
        <v/>
      </c>
      <c r="H635" s="13" t="str">
        <f>IF($A635="","",[1]!thsiFinD("ths_adjustment_nv_fund",H$3,$A635))</f>
        <v/>
      </c>
      <c r="I635" s="13" t="str">
        <f>IF($A635="","",[1]!thsiFinD("ths_adjustment_nv_fund",I$3,$A635))</f>
        <v/>
      </c>
      <c r="J635" s="13" t="str">
        <f>IF($A635="","",[1]!thsiFinD("ths_adjustment_nv_fund",J$3,$A635))</f>
        <v/>
      </c>
      <c r="K635" s="13" t="str">
        <f>IF($A635="","",[1]!thsiFinD("ths_adjustment_nv_fund",K$3,$A635))</f>
        <v/>
      </c>
      <c r="L635" s="13" t="str">
        <f>IF($A635="","",[1]!thsiFinD("ths_adjustment_nv_fund",L$3,$A635))</f>
        <v/>
      </c>
      <c r="M635" s="13" t="str">
        <f>IF($A635="","",[1]!thsiFinD("ths_adjustment_nv_fund",M$3,$A635))</f>
        <v/>
      </c>
      <c r="N635" s="13" t="str">
        <f>IF($A635="","",[1]!thsiFinD("ths_adjustment_nv_fund",N$3,$A635))</f>
        <v/>
      </c>
      <c r="O635" s="13" t="str">
        <f>IF($A635="","",[1]!thsiFinD("ths_adjustment_nv_fund",O$3,$A635))</f>
        <v/>
      </c>
      <c r="P635" s="13" t="str">
        <f>IF($A635="","",[1]!thsiFinD("ths_adjustment_nv_fund",P$3,$A635))</f>
        <v/>
      </c>
      <c r="Q635" s="13" t="str">
        <f>IF($A635="","",[1]!thsiFinD("ths_adjustment_nv_fund",Q$3,$A635))</f>
        <v/>
      </c>
      <c r="R635" s="13" t="str">
        <f>IF($A635="","",[1]!thsiFinD("ths_adjustment_nv_fund",R$3,$A635))</f>
        <v/>
      </c>
      <c r="S635" s="13" t="str">
        <f>IF($A635="","",[1]!thsiFinD("ths_adjustment_nv_fund",S$3,$A635))</f>
        <v/>
      </c>
      <c r="T635" s="13" t="str">
        <f>IF($A635="","",[1]!thsiFinD("ths_adjustment_nv_fund",T$3,$A635))</f>
        <v/>
      </c>
      <c r="U635" s="13" t="str">
        <f>IF($A635="","",[1]!thsiFinD("ths_adjustment_nv_fund",U$3,$A635))</f>
        <v/>
      </c>
      <c r="V635" s="13" t="str">
        <f>IF($A635="","",[1]!thsiFinD("ths_adjustment_nv_fund",V$3,$A635))</f>
        <v/>
      </c>
      <c r="W635" s="13" t="str">
        <f>IF($A635="","",[1]!thsiFinD("ths_adjustment_nv_fund",W$3,$A635))</f>
        <v/>
      </c>
      <c r="X635" s="13" t="str">
        <f>IF($A635="","",[1]!thsiFinD("ths_adjustment_nv_fund",X$3,$A635))</f>
        <v/>
      </c>
      <c r="Y635" s="13" t="str">
        <f>IF($A635="","",[1]!thsiFinD("ths_adjustment_nv_fund",Y$3,$A635))</f>
        <v/>
      </c>
      <c r="Z635" s="13" t="str">
        <f>IF($A635="","",[1]!thsiFinD("ths_adjustment_nv_fund",Z$3,$A635))</f>
        <v/>
      </c>
      <c r="AA635" s="13" t="str">
        <f>IF($A635="","",[1]!thsiFinD("ths_adjustment_nv_fund",AA$3,$A635))</f>
        <v/>
      </c>
      <c r="AB635" s="13" t="str">
        <f>IF($A635="","",[1]!thsiFinD("ths_adjustment_nv_fund",AB$3,$A635))</f>
        <v/>
      </c>
    </row>
    <row r="636" spans="2:28">
      <c r="B636" s="13" t="str">
        <f>IF($A636="","",[1]!thsiFinD("ths_adjustment_nv_fund",B$3,$A636))</f>
        <v/>
      </c>
      <c r="C636" s="13" t="str">
        <f>IF($A636="","",[1]!thsiFinD("ths_adjustment_nv_fund",C$3,$A636))</f>
        <v/>
      </c>
      <c r="D636" s="13" t="str">
        <f>IF($A636="","",[1]!thsiFinD("ths_adjustment_nv_fund",D$3,$A636))</f>
        <v/>
      </c>
      <c r="E636" s="13" t="str">
        <f>IF($A636="","",[1]!thsiFinD("ths_adjustment_nv_fund",E$3,$A636))</f>
        <v/>
      </c>
      <c r="F636" s="13" t="str">
        <f>IF($A636="","",[1]!thsiFinD("ths_adjustment_nv_fund",F$3,$A636))</f>
        <v/>
      </c>
      <c r="G636" s="13" t="str">
        <f>IF($A636="","",[1]!thsiFinD("ths_adjustment_nv_fund",G$3,$A636))</f>
        <v/>
      </c>
      <c r="H636" s="13" t="str">
        <f>IF($A636="","",[1]!thsiFinD("ths_adjustment_nv_fund",H$3,$A636))</f>
        <v/>
      </c>
      <c r="I636" s="13" t="str">
        <f>IF($A636="","",[1]!thsiFinD("ths_adjustment_nv_fund",I$3,$A636))</f>
        <v/>
      </c>
      <c r="J636" s="13" t="str">
        <f>IF($A636="","",[1]!thsiFinD("ths_adjustment_nv_fund",J$3,$A636))</f>
        <v/>
      </c>
      <c r="K636" s="13" t="str">
        <f>IF($A636="","",[1]!thsiFinD("ths_adjustment_nv_fund",K$3,$A636))</f>
        <v/>
      </c>
      <c r="L636" s="13" t="str">
        <f>IF($A636="","",[1]!thsiFinD("ths_adjustment_nv_fund",L$3,$A636))</f>
        <v/>
      </c>
      <c r="M636" s="13" t="str">
        <f>IF($A636="","",[1]!thsiFinD("ths_adjustment_nv_fund",M$3,$A636))</f>
        <v/>
      </c>
      <c r="N636" s="13" t="str">
        <f>IF($A636="","",[1]!thsiFinD("ths_adjustment_nv_fund",N$3,$A636))</f>
        <v/>
      </c>
      <c r="O636" s="13" t="str">
        <f>IF($A636="","",[1]!thsiFinD("ths_adjustment_nv_fund",O$3,$A636))</f>
        <v/>
      </c>
      <c r="P636" s="13" t="str">
        <f>IF($A636="","",[1]!thsiFinD("ths_adjustment_nv_fund",P$3,$A636))</f>
        <v/>
      </c>
      <c r="Q636" s="13" t="str">
        <f>IF($A636="","",[1]!thsiFinD("ths_adjustment_nv_fund",Q$3,$A636))</f>
        <v/>
      </c>
      <c r="R636" s="13" t="str">
        <f>IF($A636="","",[1]!thsiFinD("ths_adjustment_nv_fund",R$3,$A636))</f>
        <v/>
      </c>
      <c r="S636" s="13" t="str">
        <f>IF($A636="","",[1]!thsiFinD("ths_adjustment_nv_fund",S$3,$A636))</f>
        <v/>
      </c>
      <c r="T636" s="13" t="str">
        <f>IF($A636="","",[1]!thsiFinD("ths_adjustment_nv_fund",T$3,$A636))</f>
        <v/>
      </c>
      <c r="U636" s="13" t="str">
        <f>IF($A636="","",[1]!thsiFinD("ths_adjustment_nv_fund",U$3,$A636))</f>
        <v/>
      </c>
      <c r="V636" s="13" t="str">
        <f>IF($A636="","",[1]!thsiFinD("ths_adjustment_nv_fund",V$3,$A636))</f>
        <v/>
      </c>
      <c r="W636" s="13" t="str">
        <f>IF($A636="","",[1]!thsiFinD("ths_adjustment_nv_fund",W$3,$A636))</f>
        <v/>
      </c>
      <c r="X636" s="13" t="str">
        <f>IF($A636="","",[1]!thsiFinD("ths_adjustment_nv_fund",X$3,$A636))</f>
        <v/>
      </c>
      <c r="Y636" s="13" t="str">
        <f>IF($A636="","",[1]!thsiFinD("ths_adjustment_nv_fund",Y$3,$A636))</f>
        <v/>
      </c>
      <c r="Z636" s="13" t="str">
        <f>IF($A636="","",[1]!thsiFinD("ths_adjustment_nv_fund",Z$3,$A636))</f>
        <v/>
      </c>
      <c r="AA636" s="13" t="str">
        <f>IF($A636="","",[1]!thsiFinD("ths_adjustment_nv_fund",AA$3,$A636))</f>
        <v/>
      </c>
      <c r="AB636" s="13" t="str">
        <f>IF($A636="","",[1]!thsiFinD("ths_adjustment_nv_fund",AB$3,$A636))</f>
        <v/>
      </c>
    </row>
    <row r="637" spans="2:28">
      <c r="B637" s="13" t="str">
        <f>IF($A637="","",[1]!thsiFinD("ths_adjustment_nv_fund",B$3,$A637))</f>
        <v/>
      </c>
      <c r="C637" s="13" t="str">
        <f>IF($A637="","",[1]!thsiFinD("ths_adjustment_nv_fund",C$3,$A637))</f>
        <v/>
      </c>
      <c r="D637" s="13" t="str">
        <f>IF($A637="","",[1]!thsiFinD("ths_adjustment_nv_fund",D$3,$A637))</f>
        <v/>
      </c>
      <c r="E637" s="13" t="str">
        <f>IF($A637="","",[1]!thsiFinD("ths_adjustment_nv_fund",E$3,$A637))</f>
        <v/>
      </c>
      <c r="F637" s="13" t="str">
        <f>IF($A637="","",[1]!thsiFinD("ths_adjustment_nv_fund",F$3,$A637))</f>
        <v/>
      </c>
      <c r="G637" s="13" t="str">
        <f>IF($A637="","",[1]!thsiFinD("ths_adjustment_nv_fund",G$3,$A637))</f>
        <v/>
      </c>
      <c r="H637" s="13" t="str">
        <f>IF($A637="","",[1]!thsiFinD("ths_adjustment_nv_fund",H$3,$A637))</f>
        <v/>
      </c>
      <c r="I637" s="13" t="str">
        <f>IF($A637="","",[1]!thsiFinD("ths_adjustment_nv_fund",I$3,$A637))</f>
        <v/>
      </c>
      <c r="J637" s="13" t="str">
        <f>IF($A637="","",[1]!thsiFinD("ths_adjustment_nv_fund",J$3,$A637))</f>
        <v/>
      </c>
      <c r="K637" s="13" t="str">
        <f>IF($A637="","",[1]!thsiFinD("ths_adjustment_nv_fund",K$3,$A637))</f>
        <v/>
      </c>
      <c r="L637" s="13" t="str">
        <f>IF($A637="","",[1]!thsiFinD("ths_adjustment_nv_fund",L$3,$A637))</f>
        <v/>
      </c>
      <c r="M637" s="13" t="str">
        <f>IF($A637="","",[1]!thsiFinD("ths_adjustment_nv_fund",M$3,$A637))</f>
        <v/>
      </c>
      <c r="N637" s="13" t="str">
        <f>IF($A637="","",[1]!thsiFinD("ths_adjustment_nv_fund",N$3,$A637))</f>
        <v/>
      </c>
      <c r="O637" s="13" t="str">
        <f>IF($A637="","",[1]!thsiFinD("ths_adjustment_nv_fund",O$3,$A637))</f>
        <v/>
      </c>
      <c r="P637" s="13" t="str">
        <f>IF($A637="","",[1]!thsiFinD("ths_adjustment_nv_fund",P$3,$A637))</f>
        <v/>
      </c>
      <c r="Q637" s="13" t="str">
        <f>IF($A637="","",[1]!thsiFinD("ths_adjustment_nv_fund",Q$3,$A637))</f>
        <v/>
      </c>
      <c r="R637" s="13" t="str">
        <f>IF($A637="","",[1]!thsiFinD("ths_adjustment_nv_fund",R$3,$A637))</f>
        <v/>
      </c>
      <c r="S637" s="13" t="str">
        <f>IF($A637="","",[1]!thsiFinD("ths_adjustment_nv_fund",S$3,$A637))</f>
        <v/>
      </c>
      <c r="T637" s="13" t="str">
        <f>IF($A637="","",[1]!thsiFinD("ths_adjustment_nv_fund",T$3,$A637))</f>
        <v/>
      </c>
      <c r="U637" s="13" t="str">
        <f>IF($A637="","",[1]!thsiFinD("ths_adjustment_nv_fund",U$3,$A637))</f>
        <v/>
      </c>
      <c r="V637" s="13" t="str">
        <f>IF($A637="","",[1]!thsiFinD("ths_adjustment_nv_fund",V$3,$A637))</f>
        <v/>
      </c>
      <c r="W637" s="13" t="str">
        <f>IF($A637="","",[1]!thsiFinD("ths_adjustment_nv_fund",W$3,$A637))</f>
        <v/>
      </c>
      <c r="X637" s="13" t="str">
        <f>IF($A637="","",[1]!thsiFinD("ths_adjustment_nv_fund",X$3,$A637))</f>
        <v/>
      </c>
      <c r="Y637" s="13" t="str">
        <f>IF($A637="","",[1]!thsiFinD("ths_adjustment_nv_fund",Y$3,$A637))</f>
        <v/>
      </c>
      <c r="Z637" s="13" t="str">
        <f>IF($A637="","",[1]!thsiFinD("ths_adjustment_nv_fund",Z$3,$A637))</f>
        <v/>
      </c>
      <c r="AA637" s="13" t="str">
        <f>IF($A637="","",[1]!thsiFinD("ths_adjustment_nv_fund",AA$3,$A637))</f>
        <v/>
      </c>
      <c r="AB637" s="13" t="str">
        <f>IF($A637="","",[1]!thsiFinD("ths_adjustment_nv_fund",AB$3,$A637))</f>
        <v/>
      </c>
    </row>
    <row r="638" spans="2:28">
      <c r="B638" s="13" t="str">
        <f>IF($A638="","",[1]!thsiFinD("ths_adjustment_nv_fund",B$3,$A638))</f>
        <v/>
      </c>
      <c r="C638" s="13" t="str">
        <f>IF($A638="","",[1]!thsiFinD("ths_adjustment_nv_fund",C$3,$A638))</f>
        <v/>
      </c>
      <c r="D638" s="13" t="str">
        <f>IF($A638="","",[1]!thsiFinD("ths_adjustment_nv_fund",D$3,$A638))</f>
        <v/>
      </c>
      <c r="E638" s="13" t="str">
        <f>IF($A638="","",[1]!thsiFinD("ths_adjustment_nv_fund",E$3,$A638))</f>
        <v/>
      </c>
      <c r="F638" s="13" t="str">
        <f>IF($A638="","",[1]!thsiFinD("ths_adjustment_nv_fund",F$3,$A638))</f>
        <v/>
      </c>
      <c r="G638" s="13" t="str">
        <f>IF($A638="","",[1]!thsiFinD("ths_adjustment_nv_fund",G$3,$A638))</f>
        <v/>
      </c>
      <c r="H638" s="13" t="str">
        <f>IF($A638="","",[1]!thsiFinD("ths_adjustment_nv_fund",H$3,$A638))</f>
        <v/>
      </c>
      <c r="I638" s="13" t="str">
        <f>IF($A638="","",[1]!thsiFinD("ths_adjustment_nv_fund",I$3,$A638))</f>
        <v/>
      </c>
      <c r="J638" s="13" t="str">
        <f>IF($A638="","",[1]!thsiFinD("ths_adjustment_nv_fund",J$3,$A638))</f>
        <v/>
      </c>
      <c r="K638" s="13" t="str">
        <f>IF($A638="","",[1]!thsiFinD("ths_adjustment_nv_fund",K$3,$A638))</f>
        <v/>
      </c>
      <c r="L638" s="13" t="str">
        <f>IF($A638="","",[1]!thsiFinD("ths_adjustment_nv_fund",L$3,$A638))</f>
        <v/>
      </c>
      <c r="M638" s="13" t="str">
        <f>IF($A638="","",[1]!thsiFinD("ths_adjustment_nv_fund",M$3,$A638))</f>
        <v/>
      </c>
      <c r="N638" s="13" t="str">
        <f>IF($A638="","",[1]!thsiFinD("ths_adjustment_nv_fund",N$3,$A638))</f>
        <v/>
      </c>
      <c r="O638" s="13" t="str">
        <f>IF($A638="","",[1]!thsiFinD("ths_adjustment_nv_fund",O$3,$A638))</f>
        <v/>
      </c>
      <c r="P638" s="13" t="str">
        <f>IF($A638="","",[1]!thsiFinD("ths_adjustment_nv_fund",P$3,$A638))</f>
        <v/>
      </c>
      <c r="Q638" s="13" t="str">
        <f>IF($A638="","",[1]!thsiFinD("ths_adjustment_nv_fund",Q$3,$A638))</f>
        <v/>
      </c>
      <c r="R638" s="13" t="str">
        <f>IF($A638="","",[1]!thsiFinD("ths_adjustment_nv_fund",R$3,$A638))</f>
        <v/>
      </c>
      <c r="S638" s="13" t="str">
        <f>IF($A638="","",[1]!thsiFinD("ths_adjustment_nv_fund",S$3,$A638))</f>
        <v/>
      </c>
      <c r="T638" s="13" t="str">
        <f>IF($A638="","",[1]!thsiFinD("ths_adjustment_nv_fund",T$3,$A638))</f>
        <v/>
      </c>
      <c r="U638" s="13" t="str">
        <f>IF($A638="","",[1]!thsiFinD("ths_adjustment_nv_fund",U$3,$A638))</f>
        <v/>
      </c>
      <c r="V638" s="13" t="str">
        <f>IF($A638="","",[1]!thsiFinD("ths_adjustment_nv_fund",V$3,$A638))</f>
        <v/>
      </c>
      <c r="W638" s="13" t="str">
        <f>IF($A638="","",[1]!thsiFinD("ths_adjustment_nv_fund",W$3,$A638))</f>
        <v/>
      </c>
      <c r="X638" s="13" t="str">
        <f>IF($A638="","",[1]!thsiFinD("ths_adjustment_nv_fund",X$3,$A638))</f>
        <v/>
      </c>
      <c r="Y638" s="13" t="str">
        <f>IF($A638="","",[1]!thsiFinD("ths_adjustment_nv_fund",Y$3,$A638))</f>
        <v/>
      </c>
      <c r="Z638" s="13" t="str">
        <f>IF($A638="","",[1]!thsiFinD("ths_adjustment_nv_fund",Z$3,$A638))</f>
        <v/>
      </c>
      <c r="AA638" s="13" t="str">
        <f>IF($A638="","",[1]!thsiFinD("ths_adjustment_nv_fund",AA$3,$A638))</f>
        <v/>
      </c>
      <c r="AB638" s="13" t="str">
        <f>IF($A638="","",[1]!thsiFinD("ths_adjustment_nv_fund",AB$3,$A638))</f>
        <v/>
      </c>
    </row>
    <row r="639" spans="2:28">
      <c r="B639" s="13" t="str">
        <f>IF($A639="","",[1]!thsiFinD("ths_adjustment_nv_fund",B$3,$A639))</f>
        <v/>
      </c>
      <c r="C639" s="13" t="str">
        <f>IF($A639="","",[1]!thsiFinD("ths_adjustment_nv_fund",C$3,$A639))</f>
        <v/>
      </c>
      <c r="D639" s="13" t="str">
        <f>IF($A639="","",[1]!thsiFinD("ths_adjustment_nv_fund",D$3,$A639))</f>
        <v/>
      </c>
      <c r="E639" s="13" t="str">
        <f>IF($A639="","",[1]!thsiFinD("ths_adjustment_nv_fund",E$3,$A639))</f>
        <v/>
      </c>
      <c r="F639" s="13" t="str">
        <f>IF($A639="","",[1]!thsiFinD("ths_adjustment_nv_fund",F$3,$A639))</f>
        <v/>
      </c>
      <c r="G639" s="13" t="str">
        <f>IF($A639="","",[1]!thsiFinD("ths_adjustment_nv_fund",G$3,$A639))</f>
        <v/>
      </c>
      <c r="H639" s="13" t="str">
        <f>IF($A639="","",[1]!thsiFinD("ths_adjustment_nv_fund",H$3,$A639))</f>
        <v/>
      </c>
      <c r="I639" s="13" t="str">
        <f>IF($A639="","",[1]!thsiFinD("ths_adjustment_nv_fund",I$3,$A639))</f>
        <v/>
      </c>
      <c r="J639" s="13" t="str">
        <f>IF($A639="","",[1]!thsiFinD("ths_adjustment_nv_fund",J$3,$A639))</f>
        <v/>
      </c>
      <c r="K639" s="13" t="str">
        <f>IF($A639="","",[1]!thsiFinD("ths_adjustment_nv_fund",K$3,$A639))</f>
        <v/>
      </c>
      <c r="L639" s="13" t="str">
        <f>IF($A639="","",[1]!thsiFinD("ths_adjustment_nv_fund",L$3,$A639))</f>
        <v/>
      </c>
      <c r="M639" s="13" t="str">
        <f>IF($A639="","",[1]!thsiFinD("ths_adjustment_nv_fund",M$3,$A639))</f>
        <v/>
      </c>
      <c r="N639" s="13" t="str">
        <f>IF($A639="","",[1]!thsiFinD("ths_adjustment_nv_fund",N$3,$A639))</f>
        <v/>
      </c>
      <c r="O639" s="13" t="str">
        <f>IF($A639="","",[1]!thsiFinD("ths_adjustment_nv_fund",O$3,$A639))</f>
        <v/>
      </c>
      <c r="P639" s="13" t="str">
        <f>IF($A639="","",[1]!thsiFinD("ths_adjustment_nv_fund",P$3,$A639))</f>
        <v/>
      </c>
      <c r="Q639" s="13" t="str">
        <f>IF($A639="","",[1]!thsiFinD("ths_adjustment_nv_fund",Q$3,$A639))</f>
        <v/>
      </c>
      <c r="R639" s="13" t="str">
        <f>IF($A639="","",[1]!thsiFinD("ths_adjustment_nv_fund",R$3,$A639))</f>
        <v/>
      </c>
      <c r="S639" s="13" t="str">
        <f>IF($A639="","",[1]!thsiFinD("ths_adjustment_nv_fund",S$3,$A639))</f>
        <v/>
      </c>
      <c r="T639" s="13" t="str">
        <f>IF($A639="","",[1]!thsiFinD("ths_adjustment_nv_fund",T$3,$A639))</f>
        <v/>
      </c>
      <c r="U639" s="13" t="str">
        <f>IF($A639="","",[1]!thsiFinD("ths_adjustment_nv_fund",U$3,$A639))</f>
        <v/>
      </c>
      <c r="V639" s="13" t="str">
        <f>IF($A639="","",[1]!thsiFinD("ths_adjustment_nv_fund",V$3,$A639))</f>
        <v/>
      </c>
      <c r="W639" s="13" t="str">
        <f>IF($A639="","",[1]!thsiFinD("ths_adjustment_nv_fund",W$3,$A639))</f>
        <v/>
      </c>
      <c r="X639" s="13" t="str">
        <f>IF($A639="","",[1]!thsiFinD("ths_adjustment_nv_fund",X$3,$A639))</f>
        <v/>
      </c>
      <c r="Y639" s="13" t="str">
        <f>IF($A639="","",[1]!thsiFinD("ths_adjustment_nv_fund",Y$3,$A639))</f>
        <v/>
      </c>
      <c r="Z639" s="13" t="str">
        <f>IF($A639="","",[1]!thsiFinD("ths_adjustment_nv_fund",Z$3,$A639))</f>
        <v/>
      </c>
      <c r="AA639" s="13" t="str">
        <f>IF($A639="","",[1]!thsiFinD("ths_adjustment_nv_fund",AA$3,$A639))</f>
        <v/>
      </c>
      <c r="AB639" s="13" t="str">
        <f>IF($A639="","",[1]!thsiFinD("ths_adjustment_nv_fund",AB$3,$A639))</f>
        <v/>
      </c>
    </row>
    <row r="640" spans="2:28">
      <c r="B640" s="13" t="str">
        <f>IF($A640="","",[1]!thsiFinD("ths_adjustment_nv_fund",B$3,$A640))</f>
        <v/>
      </c>
      <c r="C640" s="13" t="str">
        <f>IF($A640="","",[1]!thsiFinD("ths_adjustment_nv_fund",C$3,$A640))</f>
        <v/>
      </c>
      <c r="D640" s="13" t="str">
        <f>IF($A640="","",[1]!thsiFinD("ths_adjustment_nv_fund",D$3,$A640))</f>
        <v/>
      </c>
      <c r="E640" s="13" t="str">
        <f>IF($A640="","",[1]!thsiFinD("ths_adjustment_nv_fund",E$3,$A640))</f>
        <v/>
      </c>
      <c r="F640" s="13" t="str">
        <f>IF($A640="","",[1]!thsiFinD("ths_adjustment_nv_fund",F$3,$A640))</f>
        <v/>
      </c>
      <c r="G640" s="13" t="str">
        <f>IF($A640="","",[1]!thsiFinD("ths_adjustment_nv_fund",G$3,$A640))</f>
        <v/>
      </c>
      <c r="H640" s="13" t="str">
        <f>IF($A640="","",[1]!thsiFinD("ths_adjustment_nv_fund",H$3,$A640))</f>
        <v/>
      </c>
      <c r="I640" s="13" t="str">
        <f>IF($A640="","",[1]!thsiFinD("ths_adjustment_nv_fund",I$3,$A640))</f>
        <v/>
      </c>
      <c r="J640" s="13" t="str">
        <f>IF($A640="","",[1]!thsiFinD("ths_adjustment_nv_fund",J$3,$A640))</f>
        <v/>
      </c>
      <c r="K640" s="13" t="str">
        <f>IF($A640="","",[1]!thsiFinD("ths_adjustment_nv_fund",K$3,$A640))</f>
        <v/>
      </c>
      <c r="L640" s="13" t="str">
        <f>IF($A640="","",[1]!thsiFinD("ths_adjustment_nv_fund",L$3,$A640))</f>
        <v/>
      </c>
      <c r="M640" s="13" t="str">
        <f>IF($A640="","",[1]!thsiFinD("ths_adjustment_nv_fund",M$3,$A640))</f>
        <v/>
      </c>
      <c r="N640" s="13" t="str">
        <f>IF($A640="","",[1]!thsiFinD("ths_adjustment_nv_fund",N$3,$A640))</f>
        <v/>
      </c>
      <c r="O640" s="13" t="str">
        <f>IF($A640="","",[1]!thsiFinD("ths_adjustment_nv_fund",O$3,$A640))</f>
        <v/>
      </c>
      <c r="P640" s="13" t="str">
        <f>IF($A640="","",[1]!thsiFinD("ths_adjustment_nv_fund",P$3,$A640))</f>
        <v/>
      </c>
      <c r="Q640" s="13" t="str">
        <f>IF($A640="","",[1]!thsiFinD("ths_adjustment_nv_fund",Q$3,$A640))</f>
        <v/>
      </c>
      <c r="R640" s="13" t="str">
        <f>IF($A640="","",[1]!thsiFinD("ths_adjustment_nv_fund",R$3,$A640))</f>
        <v/>
      </c>
      <c r="S640" s="13" t="str">
        <f>IF($A640="","",[1]!thsiFinD("ths_adjustment_nv_fund",S$3,$A640))</f>
        <v/>
      </c>
      <c r="T640" s="13" t="str">
        <f>IF($A640="","",[1]!thsiFinD("ths_adjustment_nv_fund",T$3,$A640))</f>
        <v/>
      </c>
      <c r="U640" s="13" t="str">
        <f>IF($A640="","",[1]!thsiFinD("ths_adjustment_nv_fund",U$3,$A640))</f>
        <v/>
      </c>
      <c r="V640" s="13" t="str">
        <f>IF($A640="","",[1]!thsiFinD("ths_adjustment_nv_fund",V$3,$A640))</f>
        <v/>
      </c>
      <c r="W640" s="13" t="str">
        <f>IF($A640="","",[1]!thsiFinD("ths_adjustment_nv_fund",W$3,$A640))</f>
        <v/>
      </c>
      <c r="X640" s="13" t="str">
        <f>IF($A640="","",[1]!thsiFinD("ths_adjustment_nv_fund",X$3,$A640))</f>
        <v/>
      </c>
      <c r="Y640" s="13" t="str">
        <f>IF($A640="","",[1]!thsiFinD("ths_adjustment_nv_fund",Y$3,$A640))</f>
        <v/>
      </c>
      <c r="Z640" s="13" t="str">
        <f>IF($A640="","",[1]!thsiFinD("ths_adjustment_nv_fund",Z$3,$A640))</f>
        <v/>
      </c>
      <c r="AA640" s="13" t="str">
        <f>IF($A640="","",[1]!thsiFinD("ths_adjustment_nv_fund",AA$3,$A640))</f>
        <v/>
      </c>
      <c r="AB640" s="13" t="str">
        <f>IF($A640="","",[1]!thsiFinD("ths_adjustment_nv_fund",AB$3,$A640))</f>
        <v/>
      </c>
    </row>
    <row r="641" spans="2:28">
      <c r="B641" s="13" t="str">
        <f>IF($A641="","",[1]!thsiFinD("ths_adjustment_nv_fund",B$3,$A641))</f>
        <v/>
      </c>
      <c r="C641" s="13" t="str">
        <f>IF($A641="","",[1]!thsiFinD("ths_adjustment_nv_fund",C$3,$A641))</f>
        <v/>
      </c>
      <c r="D641" s="13" t="str">
        <f>IF($A641="","",[1]!thsiFinD("ths_adjustment_nv_fund",D$3,$A641))</f>
        <v/>
      </c>
      <c r="E641" s="13" t="str">
        <f>IF($A641="","",[1]!thsiFinD("ths_adjustment_nv_fund",E$3,$A641))</f>
        <v/>
      </c>
      <c r="F641" s="13" t="str">
        <f>IF($A641="","",[1]!thsiFinD("ths_adjustment_nv_fund",F$3,$A641))</f>
        <v/>
      </c>
      <c r="G641" s="13" t="str">
        <f>IF($A641="","",[1]!thsiFinD("ths_adjustment_nv_fund",G$3,$A641))</f>
        <v/>
      </c>
      <c r="H641" s="13" t="str">
        <f>IF($A641="","",[1]!thsiFinD("ths_adjustment_nv_fund",H$3,$A641))</f>
        <v/>
      </c>
      <c r="I641" s="13" t="str">
        <f>IF($A641="","",[1]!thsiFinD("ths_adjustment_nv_fund",I$3,$A641))</f>
        <v/>
      </c>
      <c r="J641" s="13" t="str">
        <f>IF($A641="","",[1]!thsiFinD("ths_adjustment_nv_fund",J$3,$A641))</f>
        <v/>
      </c>
      <c r="K641" s="13" t="str">
        <f>IF($A641="","",[1]!thsiFinD("ths_adjustment_nv_fund",K$3,$A641))</f>
        <v/>
      </c>
      <c r="L641" s="13" t="str">
        <f>IF($A641="","",[1]!thsiFinD("ths_adjustment_nv_fund",L$3,$A641))</f>
        <v/>
      </c>
      <c r="M641" s="13" t="str">
        <f>IF($A641="","",[1]!thsiFinD("ths_adjustment_nv_fund",M$3,$A641))</f>
        <v/>
      </c>
      <c r="N641" s="13" t="str">
        <f>IF($A641="","",[1]!thsiFinD("ths_adjustment_nv_fund",N$3,$A641))</f>
        <v/>
      </c>
      <c r="O641" s="13" t="str">
        <f>IF($A641="","",[1]!thsiFinD("ths_adjustment_nv_fund",O$3,$A641))</f>
        <v/>
      </c>
      <c r="P641" s="13" t="str">
        <f>IF($A641="","",[1]!thsiFinD("ths_adjustment_nv_fund",P$3,$A641))</f>
        <v/>
      </c>
      <c r="Q641" s="13" t="str">
        <f>IF($A641="","",[1]!thsiFinD("ths_adjustment_nv_fund",Q$3,$A641))</f>
        <v/>
      </c>
      <c r="R641" s="13" t="str">
        <f>IF($A641="","",[1]!thsiFinD("ths_adjustment_nv_fund",R$3,$A641))</f>
        <v/>
      </c>
      <c r="S641" s="13" t="str">
        <f>IF($A641="","",[1]!thsiFinD("ths_adjustment_nv_fund",S$3,$A641))</f>
        <v/>
      </c>
      <c r="T641" s="13" t="str">
        <f>IF($A641="","",[1]!thsiFinD("ths_adjustment_nv_fund",T$3,$A641))</f>
        <v/>
      </c>
      <c r="U641" s="13" t="str">
        <f>IF($A641="","",[1]!thsiFinD("ths_adjustment_nv_fund",U$3,$A641))</f>
        <v/>
      </c>
      <c r="V641" s="13" t="str">
        <f>IF($A641="","",[1]!thsiFinD("ths_adjustment_nv_fund",V$3,$A641))</f>
        <v/>
      </c>
      <c r="W641" s="13" t="str">
        <f>IF($A641="","",[1]!thsiFinD("ths_adjustment_nv_fund",W$3,$A641))</f>
        <v/>
      </c>
      <c r="X641" s="13" t="str">
        <f>IF($A641="","",[1]!thsiFinD("ths_adjustment_nv_fund",X$3,$A641))</f>
        <v/>
      </c>
      <c r="Y641" s="13" t="str">
        <f>IF($A641="","",[1]!thsiFinD("ths_adjustment_nv_fund",Y$3,$A641))</f>
        <v/>
      </c>
      <c r="Z641" s="13" t="str">
        <f>IF($A641="","",[1]!thsiFinD("ths_adjustment_nv_fund",Z$3,$A641))</f>
        <v/>
      </c>
      <c r="AA641" s="13" t="str">
        <f>IF($A641="","",[1]!thsiFinD("ths_adjustment_nv_fund",AA$3,$A641))</f>
        <v/>
      </c>
      <c r="AB641" s="13" t="str">
        <f>IF($A641="","",[1]!thsiFinD("ths_adjustment_nv_fund",AB$3,$A641))</f>
        <v/>
      </c>
    </row>
    <row r="642" spans="2:28">
      <c r="B642" s="13" t="str">
        <f>IF($A642="","",[1]!thsiFinD("ths_adjustment_nv_fund",B$3,$A642))</f>
        <v/>
      </c>
      <c r="C642" s="13" t="str">
        <f>IF($A642="","",[1]!thsiFinD("ths_adjustment_nv_fund",C$3,$A642))</f>
        <v/>
      </c>
      <c r="D642" s="13" t="str">
        <f>IF($A642="","",[1]!thsiFinD("ths_adjustment_nv_fund",D$3,$A642))</f>
        <v/>
      </c>
      <c r="E642" s="13" t="str">
        <f>IF($A642="","",[1]!thsiFinD("ths_adjustment_nv_fund",E$3,$A642))</f>
        <v/>
      </c>
      <c r="F642" s="13" t="str">
        <f>IF($A642="","",[1]!thsiFinD("ths_adjustment_nv_fund",F$3,$A642))</f>
        <v/>
      </c>
      <c r="G642" s="13" t="str">
        <f>IF($A642="","",[1]!thsiFinD("ths_adjustment_nv_fund",G$3,$A642))</f>
        <v/>
      </c>
      <c r="H642" s="13" t="str">
        <f>IF($A642="","",[1]!thsiFinD("ths_adjustment_nv_fund",H$3,$A642))</f>
        <v/>
      </c>
      <c r="I642" s="13" t="str">
        <f>IF($A642="","",[1]!thsiFinD("ths_adjustment_nv_fund",I$3,$A642))</f>
        <v/>
      </c>
      <c r="J642" s="13" t="str">
        <f>IF($A642="","",[1]!thsiFinD("ths_adjustment_nv_fund",J$3,$A642))</f>
        <v/>
      </c>
      <c r="K642" s="13" t="str">
        <f>IF($A642="","",[1]!thsiFinD("ths_adjustment_nv_fund",K$3,$A642))</f>
        <v/>
      </c>
      <c r="L642" s="13" t="str">
        <f>IF($A642="","",[1]!thsiFinD("ths_adjustment_nv_fund",L$3,$A642))</f>
        <v/>
      </c>
      <c r="M642" s="13" t="str">
        <f>IF($A642="","",[1]!thsiFinD("ths_adjustment_nv_fund",M$3,$A642))</f>
        <v/>
      </c>
      <c r="N642" s="13" t="str">
        <f>IF($A642="","",[1]!thsiFinD("ths_adjustment_nv_fund",N$3,$A642))</f>
        <v/>
      </c>
      <c r="O642" s="13" t="str">
        <f>IF($A642="","",[1]!thsiFinD("ths_adjustment_nv_fund",O$3,$A642))</f>
        <v/>
      </c>
      <c r="P642" s="13" t="str">
        <f>IF($A642="","",[1]!thsiFinD("ths_adjustment_nv_fund",P$3,$A642))</f>
        <v/>
      </c>
      <c r="Q642" s="13" t="str">
        <f>IF($A642="","",[1]!thsiFinD("ths_adjustment_nv_fund",Q$3,$A642))</f>
        <v/>
      </c>
      <c r="R642" s="13" t="str">
        <f>IF($A642="","",[1]!thsiFinD("ths_adjustment_nv_fund",R$3,$A642))</f>
        <v/>
      </c>
      <c r="S642" s="13" t="str">
        <f>IF($A642="","",[1]!thsiFinD("ths_adjustment_nv_fund",S$3,$A642))</f>
        <v/>
      </c>
      <c r="T642" s="13" t="str">
        <f>IF($A642="","",[1]!thsiFinD("ths_adjustment_nv_fund",T$3,$A642))</f>
        <v/>
      </c>
      <c r="U642" s="13" t="str">
        <f>IF($A642="","",[1]!thsiFinD("ths_adjustment_nv_fund",U$3,$A642))</f>
        <v/>
      </c>
      <c r="V642" s="13" t="str">
        <f>IF($A642="","",[1]!thsiFinD("ths_adjustment_nv_fund",V$3,$A642))</f>
        <v/>
      </c>
      <c r="W642" s="13" t="str">
        <f>IF($A642="","",[1]!thsiFinD("ths_adjustment_nv_fund",W$3,$A642))</f>
        <v/>
      </c>
      <c r="X642" s="13" t="str">
        <f>IF($A642="","",[1]!thsiFinD("ths_adjustment_nv_fund",X$3,$A642))</f>
        <v/>
      </c>
      <c r="Y642" s="13" t="str">
        <f>IF($A642="","",[1]!thsiFinD("ths_adjustment_nv_fund",Y$3,$A642))</f>
        <v/>
      </c>
      <c r="Z642" s="13" t="str">
        <f>IF($A642="","",[1]!thsiFinD("ths_adjustment_nv_fund",Z$3,$A642))</f>
        <v/>
      </c>
      <c r="AA642" s="13" t="str">
        <f>IF($A642="","",[1]!thsiFinD("ths_adjustment_nv_fund",AA$3,$A642))</f>
        <v/>
      </c>
      <c r="AB642" s="13" t="str">
        <f>IF($A642="","",[1]!thsiFinD("ths_adjustment_nv_fund",AB$3,$A642))</f>
        <v/>
      </c>
    </row>
    <row r="643" spans="2:28">
      <c r="B643" s="13" t="str">
        <f>IF($A643="","",[1]!thsiFinD("ths_adjustment_nv_fund",B$3,$A643))</f>
        <v/>
      </c>
      <c r="C643" s="13" t="str">
        <f>IF($A643="","",[1]!thsiFinD("ths_adjustment_nv_fund",C$3,$A643))</f>
        <v/>
      </c>
      <c r="D643" s="13" t="str">
        <f>IF($A643="","",[1]!thsiFinD("ths_adjustment_nv_fund",D$3,$A643))</f>
        <v/>
      </c>
      <c r="E643" s="13" t="str">
        <f>IF($A643="","",[1]!thsiFinD("ths_adjustment_nv_fund",E$3,$A643))</f>
        <v/>
      </c>
      <c r="F643" s="13" t="str">
        <f>IF($A643="","",[1]!thsiFinD("ths_adjustment_nv_fund",F$3,$A643))</f>
        <v/>
      </c>
      <c r="G643" s="13" t="str">
        <f>IF($A643="","",[1]!thsiFinD("ths_adjustment_nv_fund",G$3,$A643))</f>
        <v/>
      </c>
      <c r="H643" s="13" t="str">
        <f>IF($A643="","",[1]!thsiFinD("ths_adjustment_nv_fund",H$3,$A643))</f>
        <v/>
      </c>
      <c r="I643" s="13" t="str">
        <f>IF($A643="","",[1]!thsiFinD("ths_adjustment_nv_fund",I$3,$A643))</f>
        <v/>
      </c>
      <c r="J643" s="13" t="str">
        <f>IF($A643="","",[1]!thsiFinD("ths_adjustment_nv_fund",J$3,$A643))</f>
        <v/>
      </c>
      <c r="K643" s="13" t="str">
        <f>IF($A643="","",[1]!thsiFinD("ths_adjustment_nv_fund",K$3,$A643))</f>
        <v/>
      </c>
      <c r="L643" s="13" t="str">
        <f>IF($A643="","",[1]!thsiFinD("ths_adjustment_nv_fund",L$3,$A643))</f>
        <v/>
      </c>
      <c r="M643" s="13" t="str">
        <f>IF($A643="","",[1]!thsiFinD("ths_adjustment_nv_fund",M$3,$A643))</f>
        <v/>
      </c>
      <c r="N643" s="13" t="str">
        <f>IF($A643="","",[1]!thsiFinD("ths_adjustment_nv_fund",N$3,$A643))</f>
        <v/>
      </c>
      <c r="O643" s="13" t="str">
        <f>IF($A643="","",[1]!thsiFinD("ths_adjustment_nv_fund",O$3,$A643))</f>
        <v/>
      </c>
      <c r="P643" s="13" t="str">
        <f>IF($A643="","",[1]!thsiFinD("ths_adjustment_nv_fund",P$3,$A643))</f>
        <v/>
      </c>
      <c r="Q643" s="13" t="str">
        <f>IF($A643="","",[1]!thsiFinD("ths_adjustment_nv_fund",Q$3,$A643))</f>
        <v/>
      </c>
      <c r="R643" s="13" t="str">
        <f>IF($A643="","",[1]!thsiFinD("ths_adjustment_nv_fund",R$3,$A643))</f>
        <v/>
      </c>
      <c r="S643" s="13" t="str">
        <f>IF($A643="","",[1]!thsiFinD("ths_adjustment_nv_fund",S$3,$A643))</f>
        <v/>
      </c>
      <c r="T643" s="13" t="str">
        <f>IF($A643="","",[1]!thsiFinD("ths_adjustment_nv_fund",T$3,$A643))</f>
        <v/>
      </c>
      <c r="U643" s="13" t="str">
        <f>IF($A643="","",[1]!thsiFinD("ths_adjustment_nv_fund",U$3,$A643))</f>
        <v/>
      </c>
      <c r="V643" s="13" t="str">
        <f>IF($A643="","",[1]!thsiFinD("ths_adjustment_nv_fund",V$3,$A643))</f>
        <v/>
      </c>
      <c r="W643" s="13" t="str">
        <f>IF($A643="","",[1]!thsiFinD("ths_adjustment_nv_fund",W$3,$A643))</f>
        <v/>
      </c>
      <c r="X643" s="13" t="str">
        <f>IF($A643="","",[1]!thsiFinD("ths_adjustment_nv_fund",X$3,$A643))</f>
        <v/>
      </c>
      <c r="Y643" s="13" t="str">
        <f>IF($A643="","",[1]!thsiFinD("ths_adjustment_nv_fund",Y$3,$A643))</f>
        <v/>
      </c>
      <c r="Z643" s="13" t="str">
        <f>IF($A643="","",[1]!thsiFinD("ths_adjustment_nv_fund",Z$3,$A643))</f>
        <v/>
      </c>
      <c r="AA643" s="13" t="str">
        <f>IF($A643="","",[1]!thsiFinD("ths_adjustment_nv_fund",AA$3,$A643))</f>
        <v/>
      </c>
      <c r="AB643" s="13" t="str">
        <f>IF($A643="","",[1]!thsiFinD("ths_adjustment_nv_fund",AB$3,$A643))</f>
        <v/>
      </c>
    </row>
    <row r="644" spans="2:28">
      <c r="B644" s="13" t="str">
        <f>IF($A644="","",[1]!thsiFinD("ths_adjustment_nv_fund",B$3,$A644))</f>
        <v/>
      </c>
      <c r="C644" s="13" t="str">
        <f>IF($A644="","",[1]!thsiFinD("ths_adjustment_nv_fund",C$3,$A644))</f>
        <v/>
      </c>
      <c r="D644" s="13" t="str">
        <f>IF($A644="","",[1]!thsiFinD("ths_adjustment_nv_fund",D$3,$A644))</f>
        <v/>
      </c>
      <c r="E644" s="13" t="str">
        <f>IF($A644="","",[1]!thsiFinD("ths_adjustment_nv_fund",E$3,$A644))</f>
        <v/>
      </c>
      <c r="F644" s="13" t="str">
        <f>IF($A644="","",[1]!thsiFinD("ths_adjustment_nv_fund",F$3,$A644))</f>
        <v/>
      </c>
      <c r="G644" s="13" t="str">
        <f>IF($A644="","",[1]!thsiFinD("ths_adjustment_nv_fund",G$3,$A644))</f>
        <v/>
      </c>
      <c r="H644" s="13" t="str">
        <f>IF($A644="","",[1]!thsiFinD("ths_adjustment_nv_fund",H$3,$A644))</f>
        <v/>
      </c>
      <c r="I644" s="13" t="str">
        <f>IF($A644="","",[1]!thsiFinD("ths_adjustment_nv_fund",I$3,$A644))</f>
        <v/>
      </c>
      <c r="J644" s="13" t="str">
        <f>IF($A644="","",[1]!thsiFinD("ths_adjustment_nv_fund",J$3,$A644))</f>
        <v/>
      </c>
      <c r="K644" s="13" t="str">
        <f>IF($A644="","",[1]!thsiFinD("ths_adjustment_nv_fund",K$3,$A644))</f>
        <v/>
      </c>
      <c r="L644" s="13" t="str">
        <f>IF($A644="","",[1]!thsiFinD("ths_adjustment_nv_fund",L$3,$A644))</f>
        <v/>
      </c>
      <c r="M644" s="13" t="str">
        <f>IF($A644="","",[1]!thsiFinD("ths_adjustment_nv_fund",M$3,$A644))</f>
        <v/>
      </c>
      <c r="N644" s="13" t="str">
        <f>IF($A644="","",[1]!thsiFinD("ths_adjustment_nv_fund",N$3,$A644))</f>
        <v/>
      </c>
      <c r="O644" s="13" t="str">
        <f>IF($A644="","",[1]!thsiFinD("ths_adjustment_nv_fund",O$3,$A644))</f>
        <v/>
      </c>
      <c r="P644" s="13" t="str">
        <f>IF($A644="","",[1]!thsiFinD("ths_adjustment_nv_fund",P$3,$A644))</f>
        <v/>
      </c>
      <c r="Q644" s="13" t="str">
        <f>IF($A644="","",[1]!thsiFinD("ths_adjustment_nv_fund",Q$3,$A644))</f>
        <v/>
      </c>
      <c r="R644" s="13" t="str">
        <f>IF($A644="","",[1]!thsiFinD("ths_adjustment_nv_fund",R$3,$A644))</f>
        <v/>
      </c>
      <c r="S644" s="13" t="str">
        <f>IF($A644="","",[1]!thsiFinD("ths_adjustment_nv_fund",S$3,$A644))</f>
        <v/>
      </c>
      <c r="T644" s="13" t="str">
        <f>IF($A644="","",[1]!thsiFinD("ths_adjustment_nv_fund",T$3,$A644))</f>
        <v/>
      </c>
      <c r="U644" s="13" t="str">
        <f>IF($A644="","",[1]!thsiFinD("ths_adjustment_nv_fund",U$3,$A644))</f>
        <v/>
      </c>
      <c r="V644" s="13" t="str">
        <f>IF($A644="","",[1]!thsiFinD("ths_adjustment_nv_fund",V$3,$A644))</f>
        <v/>
      </c>
      <c r="W644" s="13" t="str">
        <f>IF($A644="","",[1]!thsiFinD("ths_adjustment_nv_fund",W$3,$A644))</f>
        <v/>
      </c>
      <c r="X644" s="13" t="str">
        <f>IF($A644="","",[1]!thsiFinD("ths_adjustment_nv_fund",X$3,$A644))</f>
        <v/>
      </c>
      <c r="Y644" s="13" t="str">
        <f>IF($A644="","",[1]!thsiFinD("ths_adjustment_nv_fund",Y$3,$A644))</f>
        <v/>
      </c>
      <c r="Z644" s="13" t="str">
        <f>IF($A644="","",[1]!thsiFinD("ths_adjustment_nv_fund",Z$3,$A644))</f>
        <v/>
      </c>
      <c r="AA644" s="13" t="str">
        <f>IF($A644="","",[1]!thsiFinD("ths_adjustment_nv_fund",AA$3,$A644))</f>
        <v/>
      </c>
      <c r="AB644" s="13" t="str">
        <f>IF($A644="","",[1]!thsiFinD("ths_adjustment_nv_fund",AB$3,$A644))</f>
        <v/>
      </c>
    </row>
    <row r="645" spans="2:28">
      <c r="B645" s="13" t="str">
        <f>IF($A645="","",[1]!thsiFinD("ths_adjustment_nv_fund",B$3,$A645))</f>
        <v/>
      </c>
      <c r="C645" s="13" t="str">
        <f>IF($A645="","",[1]!thsiFinD("ths_adjustment_nv_fund",C$3,$A645))</f>
        <v/>
      </c>
      <c r="D645" s="13" t="str">
        <f>IF($A645="","",[1]!thsiFinD("ths_adjustment_nv_fund",D$3,$A645))</f>
        <v/>
      </c>
      <c r="E645" s="13" t="str">
        <f>IF($A645="","",[1]!thsiFinD("ths_adjustment_nv_fund",E$3,$A645))</f>
        <v/>
      </c>
      <c r="F645" s="13" t="str">
        <f>IF($A645="","",[1]!thsiFinD("ths_adjustment_nv_fund",F$3,$A645))</f>
        <v/>
      </c>
      <c r="G645" s="13" t="str">
        <f>IF($A645="","",[1]!thsiFinD("ths_adjustment_nv_fund",G$3,$A645))</f>
        <v/>
      </c>
      <c r="H645" s="13" t="str">
        <f>IF($A645="","",[1]!thsiFinD("ths_adjustment_nv_fund",H$3,$A645))</f>
        <v/>
      </c>
      <c r="I645" s="13" t="str">
        <f>IF($A645="","",[1]!thsiFinD("ths_adjustment_nv_fund",I$3,$A645))</f>
        <v/>
      </c>
      <c r="J645" s="13" t="str">
        <f>IF($A645="","",[1]!thsiFinD("ths_adjustment_nv_fund",J$3,$A645))</f>
        <v/>
      </c>
      <c r="K645" s="13" t="str">
        <f>IF($A645="","",[1]!thsiFinD("ths_adjustment_nv_fund",K$3,$A645))</f>
        <v/>
      </c>
      <c r="L645" s="13" t="str">
        <f>IF($A645="","",[1]!thsiFinD("ths_adjustment_nv_fund",L$3,$A645))</f>
        <v/>
      </c>
      <c r="M645" s="13" t="str">
        <f>IF($A645="","",[1]!thsiFinD("ths_adjustment_nv_fund",M$3,$A645))</f>
        <v/>
      </c>
      <c r="N645" s="13" t="str">
        <f>IF($A645="","",[1]!thsiFinD("ths_adjustment_nv_fund",N$3,$A645))</f>
        <v/>
      </c>
      <c r="O645" s="13" t="str">
        <f>IF($A645="","",[1]!thsiFinD("ths_adjustment_nv_fund",O$3,$A645))</f>
        <v/>
      </c>
      <c r="P645" s="13" t="str">
        <f>IF($A645="","",[1]!thsiFinD("ths_adjustment_nv_fund",P$3,$A645))</f>
        <v/>
      </c>
      <c r="Q645" s="13" t="str">
        <f>IF($A645="","",[1]!thsiFinD("ths_adjustment_nv_fund",Q$3,$A645))</f>
        <v/>
      </c>
      <c r="R645" s="13" t="str">
        <f>IF($A645="","",[1]!thsiFinD("ths_adjustment_nv_fund",R$3,$A645))</f>
        <v/>
      </c>
      <c r="S645" s="13" t="str">
        <f>IF($A645="","",[1]!thsiFinD("ths_adjustment_nv_fund",S$3,$A645))</f>
        <v/>
      </c>
      <c r="T645" s="13" t="str">
        <f>IF($A645="","",[1]!thsiFinD("ths_adjustment_nv_fund",T$3,$A645))</f>
        <v/>
      </c>
      <c r="U645" s="13" t="str">
        <f>IF($A645="","",[1]!thsiFinD("ths_adjustment_nv_fund",U$3,$A645))</f>
        <v/>
      </c>
      <c r="V645" s="13" t="str">
        <f>IF($A645="","",[1]!thsiFinD("ths_adjustment_nv_fund",V$3,$A645))</f>
        <v/>
      </c>
      <c r="W645" s="13" t="str">
        <f>IF($A645="","",[1]!thsiFinD("ths_adjustment_nv_fund",W$3,$A645))</f>
        <v/>
      </c>
      <c r="X645" s="13" t="str">
        <f>IF($A645="","",[1]!thsiFinD("ths_adjustment_nv_fund",X$3,$A645))</f>
        <v/>
      </c>
      <c r="Y645" s="13" t="str">
        <f>IF($A645="","",[1]!thsiFinD("ths_adjustment_nv_fund",Y$3,$A645))</f>
        <v/>
      </c>
      <c r="Z645" s="13" t="str">
        <f>IF($A645="","",[1]!thsiFinD("ths_adjustment_nv_fund",Z$3,$A645))</f>
        <v/>
      </c>
      <c r="AA645" s="13" t="str">
        <f>IF($A645="","",[1]!thsiFinD("ths_adjustment_nv_fund",AA$3,$A645))</f>
        <v/>
      </c>
      <c r="AB645" s="13" t="str">
        <f>IF($A645="","",[1]!thsiFinD("ths_adjustment_nv_fund",AB$3,$A645))</f>
        <v/>
      </c>
    </row>
    <row r="646" spans="2:28">
      <c r="B646" s="13" t="str">
        <f>IF($A646="","",[1]!thsiFinD("ths_adjustment_nv_fund",B$3,$A646))</f>
        <v/>
      </c>
      <c r="C646" s="13" t="str">
        <f>IF($A646="","",[1]!thsiFinD("ths_adjustment_nv_fund",C$3,$A646))</f>
        <v/>
      </c>
      <c r="D646" s="13" t="str">
        <f>IF($A646="","",[1]!thsiFinD("ths_adjustment_nv_fund",D$3,$A646))</f>
        <v/>
      </c>
      <c r="E646" s="13" t="str">
        <f>IF($A646="","",[1]!thsiFinD("ths_adjustment_nv_fund",E$3,$A646))</f>
        <v/>
      </c>
      <c r="F646" s="13" t="str">
        <f>IF($A646="","",[1]!thsiFinD("ths_adjustment_nv_fund",F$3,$A646))</f>
        <v/>
      </c>
      <c r="G646" s="13" t="str">
        <f>IF($A646="","",[1]!thsiFinD("ths_adjustment_nv_fund",G$3,$A646))</f>
        <v/>
      </c>
      <c r="H646" s="13" t="str">
        <f>IF($A646="","",[1]!thsiFinD("ths_adjustment_nv_fund",H$3,$A646))</f>
        <v/>
      </c>
      <c r="I646" s="13" t="str">
        <f>IF($A646="","",[1]!thsiFinD("ths_adjustment_nv_fund",I$3,$A646))</f>
        <v/>
      </c>
      <c r="J646" s="13" t="str">
        <f>IF($A646="","",[1]!thsiFinD("ths_adjustment_nv_fund",J$3,$A646))</f>
        <v/>
      </c>
      <c r="K646" s="13" t="str">
        <f>IF($A646="","",[1]!thsiFinD("ths_adjustment_nv_fund",K$3,$A646))</f>
        <v/>
      </c>
      <c r="L646" s="13" t="str">
        <f>IF($A646="","",[1]!thsiFinD("ths_adjustment_nv_fund",L$3,$A646))</f>
        <v/>
      </c>
      <c r="M646" s="13" t="str">
        <f>IF($A646="","",[1]!thsiFinD("ths_adjustment_nv_fund",M$3,$A646))</f>
        <v/>
      </c>
      <c r="N646" s="13" t="str">
        <f>IF($A646="","",[1]!thsiFinD("ths_adjustment_nv_fund",N$3,$A646))</f>
        <v/>
      </c>
      <c r="O646" s="13" t="str">
        <f>IF($A646="","",[1]!thsiFinD("ths_adjustment_nv_fund",O$3,$A646))</f>
        <v/>
      </c>
      <c r="P646" s="13" t="str">
        <f>IF($A646="","",[1]!thsiFinD("ths_adjustment_nv_fund",P$3,$A646))</f>
        <v/>
      </c>
      <c r="Q646" s="13" t="str">
        <f>IF($A646="","",[1]!thsiFinD("ths_adjustment_nv_fund",Q$3,$A646))</f>
        <v/>
      </c>
      <c r="R646" s="13" t="str">
        <f>IF($A646="","",[1]!thsiFinD("ths_adjustment_nv_fund",R$3,$A646))</f>
        <v/>
      </c>
      <c r="S646" s="13" t="str">
        <f>IF($A646="","",[1]!thsiFinD("ths_adjustment_nv_fund",S$3,$A646))</f>
        <v/>
      </c>
      <c r="T646" s="13" t="str">
        <f>IF($A646="","",[1]!thsiFinD("ths_adjustment_nv_fund",T$3,$A646))</f>
        <v/>
      </c>
      <c r="U646" s="13" t="str">
        <f>IF($A646="","",[1]!thsiFinD("ths_adjustment_nv_fund",U$3,$A646))</f>
        <v/>
      </c>
      <c r="V646" s="13" t="str">
        <f>IF($A646="","",[1]!thsiFinD("ths_adjustment_nv_fund",V$3,$A646))</f>
        <v/>
      </c>
      <c r="W646" s="13" t="str">
        <f>IF($A646="","",[1]!thsiFinD("ths_adjustment_nv_fund",W$3,$A646))</f>
        <v/>
      </c>
      <c r="X646" s="13" t="str">
        <f>IF($A646="","",[1]!thsiFinD("ths_adjustment_nv_fund",X$3,$A646))</f>
        <v/>
      </c>
      <c r="Y646" s="13" t="str">
        <f>IF($A646="","",[1]!thsiFinD("ths_adjustment_nv_fund",Y$3,$A646))</f>
        <v/>
      </c>
      <c r="Z646" s="13" t="str">
        <f>IF($A646="","",[1]!thsiFinD("ths_adjustment_nv_fund",Z$3,$A646))</f>
        <v/>
      </c>
      <c r="AA646" s="13" t="str">
        <f>IF($A646="","",[1]!thsiFinD("ths_adjustment_nv_fund",AA$3,$A646))</f>
        <v/>
      </c>
      <c r="AB646" s="13" t="str">
        <f>IF($A646="","",[1]!thsiFinD("ths_adjustment_nv_fund",AB$3,$A646))</f>
        <v/>
      </c>
    </row>
    <row r="647" spans="2:28">
      <c r="B647" s="13" t="str">
        <f>IF($A647="","",[1]!thsiFinD("ths_adjustment_nv_fund",B$3,$A647))</f>
        <v/>
      </c>
      <c r="C647" s="13" t="str">
        <f>IF($A647="","",[1]!thsiFinD("ths_adjustment_nv_fund",C$3,$A647))</f>
        <v/>
      </c>
      <c r="D647" s="13" t="str">
        <f>IF($A647="","",[1]!thsiFinD("ths_adjustment_nv_fund",D$3,$A647))</f>
        <v/>
      </c>
      <c r="E647" s="13" t="str">
        <f>IF($A647="","",[1]!thsiFinD("ths_adjustment_nv_fund",E$3,$A647))</f>
        <v/>
      </c>
      <c r="F647" s="13" t="str">
        <f>IF($A647="","",[1]!thsiFinD("ths_adjustment_nv_fund",F$3,$A647))</f>
        <v/>
      </c>
      <c r="G647" s="13" t="str">
        <f>IF($A647="","",[1]!thsiFinD("ths_adjustment_nv_fund",G$3,$A647))</f>
        <v/>
      </c>
      <c r="H647" s="13" t="str">
        <f>IF($A647="","",[1]!thsiFinD("ths_adjustment_nv_fund",H$3,$A647))</f>
        <v/>
      </c>
      <c r="I647" s="13" t="str">
        <f>IF($A647="","",[1]!thsiFinD("ths_adjustment_nv_fund",I$3,$A647))</f>
        <v/>
      </c>
      <c r="J647" s="13" t="str">
        <f>IF($A647="","",[1]!thsiFinD("ths_adjustment_nv_fund",J$3,$A647))</f>
        <v/>
      </c>
      <c r="K647" s="13" t="str">
        <f>IF($A647="","",[1]!thsiFinD("ths_adjustment_nv_fund",K$3,$A647))</f>
        <v/>
      </c>
      <c r="L647" s="13" t="str">
        <f>IF($A647="","",[1]!thsiFinD("ths_adjustment_nv_fund",L$3,$A647))</f>
        <v/>
      </c>
      <c r="M647" s="13" t="str">
        <f>IF($A647="","",[1]!thsiFinD("ths_adjustment_nv_fund",M$3,$A647))</f>
        <v/>
      </c>
      <c r="N647" s="13" t="str">
        <f>IF($A647="","",[1]!thsiFinD("ths_adjustment_nv_fund",N$3,$A647))</f>
        <v/>
      </c>
      <c r="O647" s="13" t="str">
        <f>IF($A647="","",[1]!thsiFinD("ths_adjustment_nv_fund",O$3,$A647))</f>
        <v/>
      </c>
      <c r="P647" s="13" t="str">
        <f>IF($A647="","",[1]!thsiFinD("ths_adjustment_nv_fund",P$3,$A647))</f>
        <v/>
      </c>
      <c r="Q647" s="13" t="str">
        <f>IF($A647="","",[1]!thsiFinD("ths_adjustment_nv_fund",Q$3,$A647))</f>
        <v/>
      </c>
      <c r="R647" s="13" t="str">
        <f>IF($A647="","",[1]!thsiFinD("ths_adjustment_nv_fund",R$3,$A647))</f>
        <v/>
      </c>
      <c r="S647" s="13" t="str">
        <f>IF($A647="","",[1]!thsiFinD("ths_adjustment_nv_fund",S$3,$A647))</f>
        <v/>
      </c>
      <c r="T647" s="13" t="str">
        <f>IF($A647="","",[1]!thsiFinD("ths_adjustment_nv_fund",T$3,$A647))</f>
        <v/>
      </c>
      <c r="U647" s="13" t="str">
        <f>IF($A647="","",[1]!thsiFinD("ths_adjustment_nv_fund",U$3,$A647))</f>
        <v/>
      </c>
      <c r="V647" s="13" t="str">
        <f>IF($A647="","",[1]!thsiFinD("ths_adjustment_nv_fund",V$3,$A647))</f>
        <v/>
      </c>
      <c r="W647" s="13" t="str">
        <f>IF($A647="","",[1]!thsiFinD("ths_adjustment_nv_fund",W$3,$A647))</f>
        <v/>
      </c>
      <c r="X647" s="13" t="str">
        <f>IF($A647="","",[1]!thsiFinD("ths_adjustment_nv_fund",X$3,$A647))</f>
        <v/>
      </c>
      <c r="Y647" s="13" t="str">
        <f>IF($A647="","",[1]!thsiFinD("ths_adjustment_nv_fund",Y$3,$A647))</f>
        <v/>
      </c>
      <c r="Z647" s="13" t="str">
        <f>IF($A647="","",[1]!thsiFinD("ths_adjustment_nv_fund",Z$3,$A647))</f>
        <v/>
      </c>
      <c r="AA647" s="13" t="str">
        <f>IF($A647="","",[1]!thsiFinD("ths_adjustment_nv_fund",AA$3,$A647))</f>
        <v/>
      </c>
      <c r="AB647" s="13" t="str">
        <f>IF($A647="","",[1]!thsiFinD("ths_adjustment_nv_fund",AB$3,$A647))</f>
        <v/>
      </c>
    </row>
    <row r="648" spans="2:28">
      <c r="B648" s="13" t="str">
        <f>IF($A648="","",[1]!thsiFinD("ths_adjustment_nv_fund",B$3,$A648))</f>
        <v/>
      </c>
      <c r="C648" s="13" t="str">
        <f>IF($A648="","",[1]!thsiFinD("ths_adjustment_nv_fund",C$3,$A648))</f>
        <v/>
      </c>
      <c r="D648" s="13" t="str">
        <f>IF($A648="","",[1]!thsiFinD("ths_adjustment_nv_fund",D$3,$A648))</f>
        <v/>
      </c>
      <c r="E648" s="13" t="str">
        <f>IF($A648="","",[1]!thsiFinD("ths_adjustment_nv_fund",E$3,$A648))</f>
        <v/>
      </c>
      <c r="F648" s="13" t="str">
        <f>IF($A648="","",[1]!thsiFinD("ths_adjustment_nv_fund",F$3,$A648))</f>
        <v/>
      </c>
      <c r="G648" s="13" t="str">
        <f>IF($A648="","",[1]!thsiFinD("ths_adjustment_nv_fund",G$3,$A648))</f>
        <v/>
      </c>
      <c r="H648" s="13" t="str">
        <f>IF($A648="","",[1]!thsiFinD("ths_adjustment_nv_fund",H$3,$A648))</f>
        <v/>
      </c>
      <c r="I648" s="13" t="str">
        <f>IF($A648="","",[1]!thsiFinD("ths_adjustment_nv_fund",I$3,$A648))</f>
        <v/>
      </c>
      <c r="J648" s="13" t="str">
        <f>IF($A648="","",[1]!thsiFinD("ths_adjustment_nv_fund",J$3,$A648))</f>
        <v/>
      </c>
      <c r="K648" s="13" t="str">
        <f>IF($A648="","",[1]!thsiFinD("ths_adjustment_nv_fund",K$3,$A648))</f>
        <v/>
      </c>
      <c r="L648" s="13" t="str">
        <f>IF($A648="","",[1]!thsiFinD("ths_adjustment_nv_fund",L$3,$A648))</f>
        <v/>
      </c>
      <c r="M648" s="13" t="str">
        <f>IF($A648="","",[1]!thsiFinD("ths_adjustment_nv_fund",M$3,$A648))</f>
        <v/>
      </c>
      <c r="N648" s="13" t="str">
        <f>IF($A648="","",[1]!thsiFinD("ths_adjustment_nv_fund",N$3,$A648))</f>
        <v/>
      </c>
      <c r="O648" s="13" t="str">
        <f>IF($A648="","",[1]!thsiFinD("ths_adjustment_nv_fund",O$3,$A648))</f>
        <v/>
      </c>
      <c r="P648" s="13" t="str">
        <f>IF($A648="","",[1]!thsiFinD("ths_adjustment_nv_fund",P$3,$A648))</f>
        <v/>
      </c>
      <c r="Q648" s="13" t="str">
        <f>IF($A648="","",[1]!thsiFinD("ths_adjustment_nv_fund",Q$3,$A648))</f>
        <v/>
      </c>
      <c r="R648" s="13" t="str">
        <f>IF($A648="","",[1]!thsiFinD("ths_adjustment_nv_fund",R$3,$A648))</f>
        <v/>
      </c>
      <c r="S648" s="13" t="str">
        <f>IF($A648="","",[1]!thsiFinD("ths_adjustment_nv_fund",S$3,$A648))</f>
        <v/>
      </c>
      <c r="T648" s="13" t="str">
        <f>IF($A648="","",[1]!thsiFinD("ths_adjustment_nv_fund",T$3,$A648))</f>
        <v/>
      </c>
      <c r="U648" s="13" t="str">
        <f>IF($A648="","",[1]!thsiFinD("ths_adjustment_nv_fund",U$3,$A648))</f>
        <v/>
      </c>
      <c r="V648" s="13" t="str">
        <f>IF($A648="","",[1]!thsiFinD("ths_adjustment_nv_fund",V$3,$A648))</f>
        <v/>
      </c>
      <c r="W648" s="13" t="str">
        <f>IF($A648="","",[1]!thsiFinD("ths_adjustment_nv_fund",W$3,$A648))</f>
        <v/>
      </c>
      <c r="X648" s="13" t="str">
        <f>IF($A648="","",[1]!thsiFinD("ths_adjustment_nv_fund",X$3,$A648))</f>
        <v/>
      </c>
      <c r="Y648" s="13" t="str">
        <f>IF($A648="","",[1]!thsiFinD("ths_adjustment_nv_fund",Y$3,$A648))</f>
        <v/>
      </c>
      <c r="Z648" s="13" t="str">
        <f>IF($A648="","",[1]!thsiFinD("ths_adjustment_nv_fund",Z$3,$A648))</f>
        <v/>
      </c>
      <c r="AA648" s="13" t="str">
        <f>IF($A648="","",[1]!thsiFinD("ths_adjustment_nv_fund",AA$3,$A648))</f>
        <v/>
      </c>
      <c r="AB648" s="13" t="str">
        <f>IF($A648="","",[1]!thsiFinD("ths_adjustment_nv_fund",AB$3,$A648))</f>
        <v/>
      </c>
    </row>
    <row r="649" spans="2:28">
      <c r="B649" s="13" t="str">
        <f>IF($A649="","",[1]!thsiFinD("ths_adjustment_nv_fund",B$3,$A649))</f>
        <v/>
      </c>
      <c r="C649" s="13" t="str">
        <f>IF($A649="","",[1]!thsiFinD("ths_adjustment_nv_fund",C$3,$A649))</f>
        <v/>
      </c>
      <c r="D649" s="13" t="str">
        <f>IF($A649="","",[1]!thsiFinD("ths_adjustment_nv_fund",D$3,$A649))</f>
        <v/>
      </c>
      <c r="E649" s="13" t="str">
        <f>IF($A649="","",[1]!thsiFinD("ths_adjustment_nv_fund",E$3,$A649))</f>
        <v/>
      </c>
      <c r="F649" s="13" t="str">
        <f>IF($A649="","",[1]!thsiFinD("ths_adjustment_nv_fund",F$3,$A649))</f>
        <v/>
      </c>
      <c r="G649" s="13" t="str">
        <f>IF($A649="","",[1]!thsiFinD("ths_adjustment_nv_fund",G$3,$A649))</f>
        <v/>
      </c>
      <c r="H649" s="13" t="str">
        <f>IF($A649="","",[1]!thsiFinD("ths_adjustment_nv_fund",H$3,$A649))</f>
        <v/>
      </c>
      <c r="I649" s="13" t="str">
        <f>IF($A649="","",[1]!thsiFinD("ths_adjustment_nv_fund",I$3,$A649))</f>
        <v/>
      </c>
      <c r="J649" s="13" t="str">
        <f>IF($A649="","",[1]!thsiFinD("ths_adjustment_nv_fund",J$3,$A649))</f>
        <v/>
      </c>
      <c r="K649" s="13" t="str">
        <f>IF($A649="","",[1]!thsiFinD("ths_adjustment_nv_fund",K$3,$A649))</f>
        <v/>
      </c>
      <c r="L649" s="13" t="str">
        <f>IF($A649="","",[1]!thsiFinD("ths_adjustment_nv_fund",L$3,$A649))</f>
        <v/>
      </c>
      <c r="M649" s="13" t="str">
        <f>IF($A649="","",[1]!thsiFinD("ths_adjustment_nv_fund",M$3,$A649))</f>
        <v/>
      </c>
      <c r="N649" s="13" t="str">
        <f>IF($A649="","",[1]!thsiFinD("ths_adjustment_nv_fund",N$3,$A649))</f>
        <v/>
      </c>
      <c r="O649" s="13" t="str">
        <f>IF($A649="","",[1]!thsiFinD("ths_adjustment_nv_fund",O$3,$A649))</f>
        <v/>
      </c>
      <c r="P649" s="13" t="str">
        <f>IF($A649="","",[1]!thsiFinD("ths_adjustment_nv_fund",P$3,$A649))</f>
        <v/>
      </c>
      <c r="Q649" s="13" t="str">
        <f>IF($A649="","",[1]!thsiFinD("ths_adjustment_nv_fund",Q$3,$A649))</f>
        <v/>
      </c>
      <c r="R649" s="13" t="str">
        <f>IF($A649="","",[1]!thsiFinD("ths_adjustment_nv_fund",R$3,$A649))</f>
        <v/>
      </c>
      <c r="S649" s="13" t="str">
        <f>IF($A649="","",[1]!thsiFinD("ths_adjustment_nv_fund",S$3,$A649))</f>
        <v/>
      </c>
      <c r="T649" s="13" t="str">
        <f>IF($A649="","",[1]!thsiFinD("ths_adjustment_nv_fund",T$3,$A649))</f>
        <v/>
      </c>
      <c r="U649" s="13" t="str">
        <f>IF($A649="","",[1]!thsiFinD("ths_adjustment_nv_fund",U$3,$A649))</f>
        <v/>
      </c>
      <c r="V649" s="13" t="str">
        <f>IF($A649="","",[1]!thsiFinD("ths_adjustment_nv_fund",V$3,$A649))</f>
        <v/>
      </c>
      <c r="W649" s="13" t="str">
        <f>IF($A649="","",[1]!thsiFinD("ths_adjustment_nv_fund",W$3,$A649))</f>
        <v/>
      </c>
      <c r="X649" s="13" t="str">
        <f>IF($A649="","",[1]!thsiFinD("ths_adjustment_nv_fund",X$3,$A649))</f>
        <v/>
      </c>
      <c r="Y649" s="13" t="str">
        <f>IF($A649="","",[1]!thsiFinD("ths_adjustment_nv_fund",Y$3,$A649))</f>
        <v/>
      </c>
      <c r="Z649" s="13" t="str">
        <f>IF($A649="","",[1]!thsiFinD("ths_adjustment_nv_fund",Z$3,$A649))</f>
        <v/>
      </c>
      <c r="AA649" s="13" t="str">
        <f>IF($A649="","",[1]!thsiFinD("ths_adjustment_nv_fund",AA$3,$A649))</f>
        <v/>
      </c>
      <c r="AB649" s="13" t="str">
        <f>IF($A649="","",[1]!thsiFinD("ths_adjustment_nv_fund",AB$3,$A649))</f>
        <v/>
      </c>
    </row>
    <row r="650" spans="2:28">
      <c r="B650" s="13" t="str">
        <f>IF($A650="","",[1]!thsiFinD("ths_adjustment_nv_fund",B$3,$A650))</f>
        <v/>
      </c>
      <c r="C650" s="13" t="str">
        <f>IF($A650="","",[1]!thsiFinD("ths_adjustment_nv_fund",C$3,$A650))</f>
        <v/>
      </c>
      <c r="D650" s="13" t="str">
        <f>IF($A650="","",[1]!thsiFinD("ths_adjustment_nv_fund",D$3,$A650))</f>
        <v/>
      </c>
      <c r="E650" s="13" t="str">
        <f>IF($A650="","",[1]!thsiFinD("ths_adjustment_nv_fund",E$3,$A650))</f>
        <v/>
      </c>
      <c r="F650" s="13" t="str">
        <f>IF($A650="","",[1]!thsiFinD("ths_adjustment_nv_fund",F$3,$A650))</f>
        <v/>
      </c>
      <c r="G650" s="13" t="str">
        <f>IF($A650="","",[1]!thsiFinD("ths_adjustment_nv_fund",G$3,$A650))</f>
        <v/>
      </c>
      <c r="H650" s="13" t="str">
        <f>IF($A650="","",[1]!thsiFinD("ths_adjustment_nv_fund",H$3,$A650))</f>
        <v/>
      </c>
      <c r="I650" s="13" t="str">
        <f>IF($A650="","",[1]!thsiFinD("ths_adjustment_nv_fund",I$3,$A650))</f>
        <v/>
      </c>
      <c r="J650" s="13" t="str">
        <f>IF($A650="","",[1]!thsiFinD("ths_adjustment_nv_fund",J$3,$A650))</f>
        <v/>
      </c>
      <c r="K650" s="13" t="str">
        <f>IF($A650="","",[1]!thsiFinD("ths_adjustment_nv_fund",K$3,$A650))</f>
        <v/>
      </c>
      <c r="L650" s="13" t="str">
        <f>IF($A650="","",[1]!thsiFinD("ths_adjustment_nv_fund",L$3,$A650))</f>
        <v/>
      </c>
      <c r="M650" s="13" t="str">
        <f>IF($A650="","",[1]!thsiFinD("ths_adjustment_nv_fund",M$3,$A650))</f>
        <v/>
      </c>
      <c r="N650" s="13" t="str">
        <f>IF($A650="","",[1]!thsiFinD("ths_adjustment_nv_fund",N$3,$A650))</f>
        <v/>
      </c>
      <c r="O650" s="13" t="str">
        <f>IF($A650="","",[1]!thsiFinD("ths_adjustment_nv_fund",O$3,$A650))</f>
        <v/>
      </c>
      <c r="P650" s="13" t="str">
        <f>IF($A650="","",[1]!thsiFinD("ths_adjustment_nv_fund",P$3,$A650))</f>
        <v/>
      </c>
      <c r="Q650" s="13" t="str">
        <f>IF($A650="","",[1]!thsiFinD("ths_adjustment_nv_fund",Q$3,$A650))</f>
        <v/>
      </c>
      <c r="R650" s="13" t="str">
        <f>IF($A650="","",[1]!thsiFinD("ths_adjustment_nv_fund",R$3,$A650))</f>
        <v/>
      </c>
      <c r="S650" s="13" t="str">
        <f>IF($A650="","",[1]!thsiFinD("ths_adjustment_nv_fund",S$3,$A650))</f>
        <v/>
      </c>
      <c r="T650" s="13" t="str">
        <f>IF($A650="","",[1]!thsiFinD("ths_adjustment_nv_fund",T$3,$A650))</f>
        <v/>
      </c>
      <c r="U650" s="13" t="str">
        <f>IF($A650="","",[1]!thsiFinD("ths_adjustment_nv_fund",U$3,$A650))</f>
        <v/>
      </c>
      <c r="V650" s="13" t="str">
        <f>IF($A650="","",[1]!thsiFinD("ths_adjustment_nv_fund",V$3,$A650))</f>
        <v/>
      </c>
      <c r="W650" s="13" t="str">
        <f>IF($A650="","",[1]!thsiFinD("ths_adjustment_nv_fund",W$3,$A650))</f>
        <v/>
      </c>
      <c r="X650" s="13" t="str">
        <f>IF($A650="","",[1]!thsiFinD("ths_adjustment_nv_fund",X$3,$A650))</f>
        <v/>
      </c>
      <c r="Y650" s="13" t="str">
        <f>IF($A650="","",[1]!thsiFinD("ths_adjustment_nv_fund",Y$3,$A650))</f>
        <v/>
      </c>
      <c r="Z650" s="13" t="str">
        <f>IF($A650="","",[1]!thsiFinD("ths_adjustment_nv_fund",Z$3,$A650))</f>
        <v/>
      </c>
      <c r="AA650" s="13" t="str">
        <f>IF($A650="","",[1]!thsiFinD("ths_adjustment_nv_fund",AA$3,$A650))</f>
        <v/>
      </c>
      <c r="AB650" s="13" t="str">
        <f>IF($A650="","",[1]!thsiFinD("ths_adjustment_nv_fund",AB$3,$A650))</f>
        <v/>
      </c>
    </row>
    <row r="651" spans="2:28">
      <c r="B651" s="13" t="str">
        <f>IF($A651="","",[1]!thsiFinD("ths_adjustment_nv_fund",B$3,$A651))</f>
        <v/>
      </c>
      <c r="C651" s="13" t="str">
        <f>IF($A651="","",[1]!thsiFinD("ths_adjustment_nv_fund",C$3,$A651))</f>
        <v/>
      </c>
      <c r="D651" s="13" t="str">
        <f>IF($A651="","",[1]!thsiFinD("ths_adjustment_nv_fund",D$3,$A651))</f>
        <v/>
      </c>
      <c r="E651" s="13" t="str">
        <f>IF($A651="","",[1]!thsiFinD("ths_adjustment_nv_fund",E$3,$A651))</f>
        <v/>
      </c>
      <c r="F651" s="13" t="str">
        <f>IF($A651="","",[1]!thsiFinD("ths_adjustment_nv_fund",F$3,$A651))</f>
        <v/>
      </c>
      <c r="G651" s="13" t="str">
        <f>IF($A651="","",[1]!thsiFinD("ths_adjustment_nv_fund",G$3,$A651))</f>
        <v/>
      </c>
      <c r="H651" s="13" t="str">
        <f>IF($A651="","",[1]!thsiFinD("ths_adjustment_nv_fund",H$3,$A651))</f>
        <v/>
      </c>
      <c r="I651" s="13" t="str">
        <f>IF($A651="","",[1]!thsiFinD("ths_adjustment_nv_fund",I$3,$A651))</f>
        <v/>
      </c>
      <c r="J651" s="13" t="str">
        <f>IF($A651="","",[1]!thsiFinD("ths_adjustment_nv_fund",J$3,$A651))</f>
        <v/>
      </c>
      <c r="K651" s="13" t="str">
        <f>IF($A651="","",[1]!thsiFinD("ths_adjustment_nv_fund",K$3,$A651))</f>
        <v/>
      </c>
      <c r="L651" s="13" t="str">
        <f>IF($A651="","",[1]!thsiFinD("ths_adjustment_nv_fund",L$3,$A651))</f>
        <v/>
      </c>
      <c r="M651" s="13" t="str">
        <f>IF($A651="","",[1]!thsiFinD("ths_adjustment_nv_fund",M$3,$A651))</f>
        <v/>
      </c>
      <c r="N651" s="13" t="str">
        <f>IF($A651="","",[1]!thsiFinD("ths_adjustment_nv_fund",N$3,$A651))</f>
        <v/>
      </c>
      <c r="O651" s="13" t="str">
        <f>IF($A651="","",[1]!thsiFinD("ths_adjustment_nv_fund",O$3,$A651))</f>
        <v/>
      </c>
      <c r="P651" s="13" t="str">
        <f>IF($A651="","",[1]!thsiFinD("ths_adjustment_nv_fund",P$3,$A651))</f>
        <v/>
      </c>
      <c r="Q651" s="13" t="str">
        <f>IF($A651="","",[1]!thsiFinD("ths_adjustment_nv_fund",Q$3,$A651))</f>
        <v/>
      </c>
      <c r="R651" s="13" t="str">
        <f>IF($A651="","",[1]!thsiFinD("ths_adjustment_nv_fund",R$3,$A651))</f>
        <v/>
      </c>
      <c r="S651" s="13" t="str">
        <f>IF($A651="","",[1]!thsiFinD("ths_adjustment_nv_fund",S$3,$A651))</f>
        <v/>
      </c>
      <c r="T651" s="13" t="str">
        <f>IF($A651="","",[1]!thsiFinD("ths_adjustment_nv_fund",T$3,$A651))</f>
        <v/>
      </c>
      <c r="U651" s="13" t="str">
        <f>IF($A651="","",[1]!thsiFinD("ths_adjustment_nv_fund",U$3,$A651))</f>
        <v/>
      </c>
      <c r="V651" s="13" t="str">
        <f>IF($A651="","",[1]!thsiFinD("ths_adjustment_nv_fund",V$3,$A651))</f>
        <v/>
      </c>
      <c r="W651" s="13" t="str">
        <f>IF($A651="","",[1]!thsiFinD("ths_adjustment_nv_fund",W$3,$A651))</f>
        <v/>
      </c>
      <c r="X651" s="13" t="str">
        <f>IF($A651="","",[1]!thsiFinD("ths_adjustment_nv_fund",X$3,$A651))</f>
        <v/>
      </c>
      <c r="Y651" s="13" t="str">
        <f>IF($A651="","",[1]!thsiFinD("ths_adjustment_nv_fund",Y$3,$A651))</f>
        <v/>
      </c>
      <c r="Z651" s="13" t="str">
        <f>IF($A651="","",[1]!thsiFinD("ths_adjustment_nv_fund",Z$3,$A651))</f>
        <v/>
      </c>
      <c r="AA651" s="13" t="str">
        <f>IF($A651="","",[1]!thsiFinD("ths_adjustment_nv_fund",AA$3,$A651))</f>
        <v/>
      </c>
      <c r="AB651" s="13" t="str">
        <f>IF($A651="","",[1]!thsiFinD("ths_adjustment_nv_fund",AB$3,$A651))</f>
        <v/>
      </c>
    </row>
    <row r="652" spans="2:28">
      <c r="B652" s="13" t="str">
        <f>IF($A652="","",[1]!thsiFinD("ths_adjustment_nv_fund",B$3,$A652))</f>
        <v/>
      </c>
      <c r="C652" s="13" t="str">
        <f>IF($A652="","",[1]!thsiFinD("ths_adjustment_nv_fund",C$3,$A652))</f>
        <v/>
      </c>
      <c r="D652" s="13" t="str">
        <f>IF($A652="","",[1]!thsiFinD("ths_adjustment_nv_fund",D$3,$A652))</f>
        <v/>
      </c>
      <c r="E652" s="13" t="str">
        <f>IF($A652="","",[1]!thsiFinD("ths_adjustment_nv_fund",E$3,$A652))</f>
        <v/>
      </c>
      <c r="F652" s="13" t="str">
        <f>IF($A652="","",[1]!thsiFinD("ths_adjustment_nv_fund",F$3,$A652))</f>
        <v/>
      </c>
      <c r="G652" s="13" t="str">
        <f>IF($A652="","",[1]!thsiFinD("ths_adjustment_nv_fund",G$3,$A652))</f>
        <v/>
      </c>
      <c r="H652" s="13" t="str">
        <f>IF($A652="","",[1]!thsiFinD("ths_adjustment_nv_fund",H$3,$A652))</f>
        <v/>
      </c>
      <c r="I652" s="13" t="str">
        <f>IF($A652="","",[1]!thsiFinD("ths_adjustment_nv_fund",I$3,$A652))</f>
        <v/>
      </c>
      <c r="J652" s="13" t="str">
        <f>IF($A652="","",[1]!thsiFinD("ths_adjustment_nv_fund",J$3,$A652))</f>
        <v/>
      </c>
      <c r="K652" s="13" t="str">
        <f>IF($A652="","",[1]!thsiFinD("ths_adjustment_nv_fund",K$3,$A652))</f>
        <v/>
      </c>
      <c r="L652" s="13" t="str">
        <f>IF($A652="","",[1]!thsiFinD("ths_adjustment_nv_fund",L$3,$A652))</f>
        <v/>
      </c>
      <c r="M652" s="13" t="str">
        <f>IF($A652="","",[1]!thsiFinD("ths_adjustment_nv_fund",M$3,$A652))</f>
        <v/>
      </c>
      <c r="N652" s="13" t="str">
        <f>IF($A652="","",[1]!thsiFinD("ths_adjustment_nv_fund",N$3,$A652))</f>
        <v/>
      </c>
      <c r="O652" s="13" t="str">
        <f>IF($A652="","",[1]!thsiFinD("ths_adjustment_nv_fund",O$3,$A652))</f>
        <v/>
      </c>
      <c r="P652" s="13" t="str">
        <f>IF($A652="","",[1]!thsiFinD("ths_adjustment_nv_fund",P$3,$A652))</f>
        <v/>
      </c>
      <c r="Q652" s="13" t="str">
        <f>IF($A652="","",[1]!thsiFinD("ths_adjustment_nv_fund",Q$3,$A652))</f>
        <v/>
      </c>
      <c r="R652" s="13" t="str">
        <f>IF($A652="","",[1]!thsiFinD("ths_adjustment_nv_fund",R$3,$A652))</f>
        <v/>
      </c>
      <c r="S652" s="13" t="str">
        <f>IF($A652="","",[1]!thsiFinD("ths_adjustment_nv_fund",S$3,$A652))</f>
        <v/>
      </c>
      <c r="T652" s="13" t="str">
        <f>IF($A652="","",[1]!thsiFinD("ths_adjustment_nv_fund",T$3,$A652))</f>
        <v/>
      </c>
      <c r="U652" s="13" t="str">
        <f>IF($A652="","",[1]!thsiFinD("ths_adjustment_nv_fund",U$3,$A652))</f>
        <v/>
      </c>
      <c r="V652" s="13" t="str">
        <f>IF($A652="","",[1]!thsiFinD("ths_adjustment_nv_fund",V$3,$A652))</f>
        <v/>
      </c>
      <c r="W652" s="13" t="str">
        <f>IF($A652="","",[1]!thsiFinD("ths_adjustment_nv_fund",W$3,$A652))</f>
        <v/>
      </c>
      <c r="X652" s="13" t="str">
        <f>IF($A652="","",[1]!thsiFinD("ths_adjustment_nv_fund",X$3,$A652))</f>
        <v/>
      </c>
      <c r="Y652" s="13" t="str">
        <f>IF($A652="","",[1]!thsiFinD("ths_adjustment_nv_fund",Y$3,$A652))</f>
        <v/>
      </c>
      <c r="Z652" s="13" t="str">
        <f>IF($A652="","",[1]!thsiFinD("ths_adjustment_nv_fund",Z$3,$A652))</f>
        <v/>
      </c>
      <c r="AA652" s="13" t="str">
        <f>IF($A652="","",[1]!thsiFinD("ths_adjustment_nv_fund",AA$3,$A652))</f>
        <v/>
      </c>
      <c r="AB652" s="13" t="str">
        <f>IF($A652="","",[1]!thsiFinD("ths_adjustment_nv_fund",AB$3,$A652))</f>
        <v/>
      </c>
    </row>
    <row r="653" spans="2:28">
      <c r="B653" s="13" t="str">
        <f>IF($A653="","",[1]!thsiFinD("ths_adjustment_nv_fund",B$3,$A653))</f>
        <v/>
      </c>
      <c r="C653" s="13" t="str">
        <f>IF($A653="","",[1]!thsiFinD("ths_adjustment_nv_fund",C$3,$A653))</f>
        <v/>
      </c>
      <c r="D653" s="13" t="str">
        <f>IF($A653="","",[1]!thsiFinD("ths_adjustment_nv_fund",D$3,$A653))</f>
        <v/>
      </c>
      <c r="E653" s="13" t="str">
        <f>IF($A653="","",[1]!thsiFinD("ths_adjustment_nv_fund",E$3,$A653))</f>
        <v/>
      </c>
      <c r="F653" s="13" t="str">
        <f>IF($A653="","",[1]!thsiFinD("ths_adjustment_nv_fund",F$3,$A653))</f>
        <v/>
      </c>
      <c r="G653" s="13" t="str">
        <f>IF($A653="","",[1]!thsiFinD("ths_adjustment_nv_fund",G$3,$A653))</f>
        <v/>
      </c>
      <c r="H653" s="13" t="str">
        <f>IF($A653="","",[1]!thsiFinD("ths_adjustment_nv_fund",H$3,$A653))</f>
        <v/>
      </c>
      <c r="I653" s="13" t="str">
        <f>IF($A653="","",[1]!thsiFinD("ths_adjustment_nv_fund",I$3,$A653))</f>
        <v/>
      </c>
      <c r="J653" s="13" t="str">
        <f>IF($A653="","",[1]!thsiFinD("ths_adjustment_nv_fund",J$3,$A653))</f>
        <v/>
      </c>
      <c r="K653" s="13" t="str">
        <f>IF($A653="","",[1]!thsiFinD("ths_adjustment_nv_fund",K$3,$A653))</f>
        <v/>
      </c>
      <c r="L653" s="13" t="str">
        <f>IF($A653="","",[1]!thsiFinD("ths_adjustment_nv_fund",L$3,$A653))</f>
        <v/>
      </c>
      <c r="M653" s="13" t="str">
        <f>IF($A653="","",[1]!thsiFinD("ths_adjustment_nv_fund",M$3,$A653))</f>
        <v/>
      </c>
      <c r="N653" s="13" t="str">
        <f>IF($A653="","",[1]!thsiFinD("ths_adjustment_nv_fund",N$3,$A653))</f>
        <v/>
      </c>
      <c r="O653" s="13" t="str">
        <f>IF($A653="","",[1]!thsiFinD("ths_adjustment_nv_fund",O$3,$A653))</f>
        <v/>
      </c>
      <c r="P653" s="13" t="str">
        <f>IF($A653="","",[1]!thsiFinD("ths_adjustment_nv_fund",P$3,$A653))</f>
        <v/>
      </c>
      <c r="Q653" s="13" t="str">
        <f>IF($A653="","",[1]!thsiFinD("ths_adjustment_nv_fund",Q$3,$A653))</f>
        <v/>
      </c>
      <c r="R653" s="13" t="str">
        <f>IF($A653="","",[1]!thsiFinD("ths_adjustment_nv_fund",R$3,$A653))</f>
        <v/>
      </c>
      <c r="S653" s="13" t="str">
        <f>IF($A653="","",[1]!thsiFinD("ths_adjustment_nv_fund",S$3,$A653))</f>
        <v/>
      </c>
      <c r="T653" s="13" t="str">
        <f>IF($A653="","",[1]!thsiFinD("ths_adjustment_nv_fund",T$3,$A653))</f>
        <v/>
      </c>
      <c r="U653" s="13" t="str">
        <f>IF($A653="","",[1]!thsiFinD("ths_adjustment_nv_fund",U$3,$A653))</f>
        <v/>
      </c>
      <c r="V653" s="13" t="str">
        <f>IF($A653="","",[1]!thsiFinD("ths_adjustment_nv_fund",V$3,$A653))</f>
        <v/>
      </c>
      <c r="W653" s="13" t="str">
        <f>IF($A653="","",[1]!thsiFinD("ths_adjustment_nv_fund",W$3,$A653))</f>
        <v/>
      </c>
      <c r="X653" s="13" t="str">
        <f>IF($A653="","",[1]!thsiFinD("ths_adjustment_nv_fund",X$3,$A653))</f>
        <v/>
      </c>
      <c r="Y653" s="13" t="str">
        <f>IF($A653="","",[1]!thsiFinD("ths_adjustment_nv_fund",Y$3,$A653))</f>
        <v/>
      </c>
      <c r="Z653" s="13" t="str">
        <f>IF($A653="","",[1]!thsiFinD("ths_adjustment_nv_fund",Z$3,$A653))</f>
        <v/>
      </c>
      <c r="AA653" s="13" t="str">
        <f>IF($A653="","",[1]!thsiFinD("ths_adjustment_nv_fund",AA$3,$A653))</f>
        <v/>
      </c>
      <c r="AB653" s="13" t="str">
        <f>IF($A653="","",[1]!thsiFinD("ths_adjustment_nv_fund",AB$3,$A653))</f>
        <v/>
      </c>
    </row>
    <row r="654" spans="2:28">
      <c r="B654" s="13" t="str">
        <f>IF($A654="","",[1]!thsiFinD("ths_adjustment_nv_fund",B$3,$A654))</f>
        <v/>
      </c>
      <c r="C654" s="13" t="str">
        <f>IF($A654="","",[1]!thsiFinD("ths_adjustment_nv_fund",C$3,$A654))</f>
        <v/>
      </c>
      <c r="D654" s="13" t="str">
        <f>IF($A654="","",[1]!thsiFinD("ths_adjustment_nv_fund",D$3,$A654))</f>
        <v/>
      </c>
      <c r="E654" s="13" t="str">
        <f>IF($A654="","",[1]!thsiFinD("ths_adjustment_nv_fund",E$3,$A654))</f>
        <v/>
      </c>
      <c r="F654" s="13" t="str">
        <f>IF($A654="","",[1]!thsiFinD("ths_adjustment_nv_fund",F$3,$A654))</f>
        <v/>
      </c>
      <c r="G654" s="13" t="str">
        <f>IF($A654="","",[1]!thsiFinD("ths_adjustment_nv_fund",G$3,$A654))</f>
        <v/>
      </c>
      <c r="H654" s="13" t="str">
        <f>IF($A654="","",[1]!thsiFinD("ths_adjustment_nv_fund",H$3,$A654))</f>
        <v/>
      </c>
      <c r="I654" s="13" t="str">
        <f>IF($A654="","",[1]!thsiFinD("ths_adjustment_nv_fund",I$3,$A654))</f>
        <v/>
      </c>
      <c r="J654" s="13" t="str">
        <f>IF($A654="","",[1]!thsiFinD("ths_adjustment_nv_fund",J$3,$A654))</f>
        <v/>
      </c>
      <c r="K654" s="13" t="str">
        <f>IF($A654="","",[1]!thsiFinD("ths_adjustment_nv_fund",K$3,$A654))</f>
        <v/>
      </c>
      <c r="L654" s="13" t="str">
        <f>IF($A654="","",[1]!thsiFinD("ths_adjustment_nv_fund",L$3,$A654))</f>
        <v/>
      </c>
      <c r="M654" s="13" t="str">
        <f>IF($A654="","",[1]!thsiFinD("ths_adjustment_nv_fund",M$3,$A654))</f>
        <v/>
      </c>
      <c r="N654" s="13" t="str">
        <f>IF($A654="","",[1]!thsiFinD("ths_adjustment_nv_fund",N$3,$A654))</f>
        <v/>
      </c>
      <c r="O654" s="13" t="str">
        <f>IF($A654="","",[1]!thsiFinD("ths_adjustment_nv_fund",O$3,$A654))</f>
        <v/>
      </c>
      <c r="P654" s="13" t="str">
        <f>IF($A654="","",[1]!thsiFinD("ths_adjustment_nv_fund",P$3,$A654))</f>
        <v/>
      </c>
      <c r="Q654" s="13" t="str">
        <f>IF($A654="","",[1]!thsiFinD("ths_adjustment_nv_fund",Q$3,$A654))</f>
        <v/>
      </c>
      <c r="R654" s="13" t="str">
        <f>IF($A654="","",[1]!thsiFinD("ths_adjustment_nv_fund",R$3,$A654))</f>
        <v/>
      </c>
      <c r="S654" s="13" t="str">
        <f>IF($A654="","",[1]!thsiFinD("ths_adjustment_nv_fund",S$3,$A654))</f>
        <v/>
      </c>
      <c r="T654" s="13" t="str">
        <f>IF($A654="","",[1]!thsiFinD("ths_adjustment_nv_fund",T$3,$A654))</f>
        <v/>
      </c>
      <c r="U654" s="13" t="str">
        <f>IF($A654="","",[1]!thsiFinD("ths_adjustment_nv_fund",U$3,$A654))</f>
        <v/>
      </c>
      <c r="V654" s="13" t="str">
        <f>IF($A654="","",[1]!thsiFinD("ths_adjustment_nv_fund",V$3,$A654))</f>
        <v/>
      </c>
      <c r="W654" s="13" t="str">
        <f>IF($A654="","",[1]!thsiFinD("ths_adjustment_nv_fund",W$3,$A654))</f>
        <v/>
      </c>
      <c r="X654" s="13" t="str">
        <f>IF($A654="","",[1]!thsiFinD("ths_adjustment_nv_fund",X$3,$A654))</f>
        <v/>
      </c>
      <c r="Y654" s="13" t="str">
        <f>IF($A654="","",[1]!thsiFinD("ths_adjustment_nv_fund",Y$3,$A654))</f>
        <v/>
      </c>
      <c r="Z654" s="13" t="str">
        <f>IF($A654="","",[1]!thsiFinD("ths_adjustment_nv_fund",Z$3,$A654))</f>
        <v/>
      </c>
      <c r="AA654" s="13" t="str">
        <f>IF($A654="","",[1]!thsiFinD("ths_adjustment_nv_fund",AA$3,$A654))</f>
        <v/>
      </c>
      <c r="AB654" s="13" t="str">
        <f>IF($A654="","",[1]!thsiFinD("ths_adjustment_nv_fund",AB$3,$A654))</f>
        <v/>
      </c>
    </row>
    <row r="655" spans="2:28">
      <c r="B655" s="13" t="str">
        <f>IF($A655="","",[1]!thsiFinD("ths_adjustment_nv_fund",B$3,$A655))</f>
        <v/>
      </c>
      <c r="C655" s="13" t="str">
        <f>IF($A655="","",[1]!thsiFinD("ths_adjustment_nv_fund",C$3,$A655))</f>
        <v/>
      </c>
      <c r="D655" s="13" t="str">
        <f>IF($A655="","",[1]!thsiFinD("ths_adjustment_nv_fund",D$3,$A655))</f>
        <v/>
      </c>
      <c r="E655" s="13" t="str">
        <f>IF($A655="","",[1]!thsiFinD("ths_adjustment_nv_fund",E$3,$A655))</f>
        <v/>
      </c>
      <c r="F655" s="13" t="str">
        <f>IF($A655="","",[1]!thsiFinD("ths_adjustment_nv_fund",F$3,$A655))</f>
        <v/>
      </c>
      <c r="G655" s="13" t="str">
        <f>IF($A655="","",[1]!thsiFinD("ths_adjustment_nv_fund",G$3,$A655))</f>
        <v/>
      </c>
      <c r="H655" s="13" t="str">
        <f>IF($A655="","",[1]!thsiFinD("ths_adjustment_nv_fund",H$3,$A655))</f>
        <v/>
      </c>
      <c r="I655" s="13" t="str">
        <f>IF($A655="","",[1]!thsiFinD("ths_adjustment_nv_fund",I$3,$A655))</f>
        <v/>
      </c>
      <c r="J655" s="13" t="str">
        <f>IF($A655="","",[1]!thsiFinD("ths_adjustment_nv_fund",J$3,$A655))</f>
        <v/>
      </c>
      <c r="K655" s="13" t="str">
        <f>IF($A655="","",[1]!thsiFinD("ths_adjustment_nv_fund",K$3,$A655))</f>
        <v/>
      </c>
      <c r="L655" s="13" t="str">
        <f>IF($A655="","",[1]!thsiFinD("ths_adjustment_nv_fund",L$3,$A655))</f>
        <v/>
      </c>
      <c r="M655" s="13" t="str">
        <f>IF($A655="","",[1]!thsiFinD("ths_adjustment_nv_fund",M$3,$A655))</f>
        <v/>
      </c>
      <c r="N655" s="13" t="str">
        <f>IF($A655="","",[1]!thsiFinD("ths_adjustment_nv_fund",N$3,$A655))</f>
        <v/>
      </c>
      <c r="O655" s="13" t="str">
        <f>IF($A655="","",[1]!thsiFinD("ths_adjustment_nv_fund",O$3,$A655))</f>
        <v/>
      </c>
      <c r="P655" s="13" t="str">
        <f>IF($A655="","",[1]!thsiFinD("ths_adjustment_nv_fund",P$3,$A655))</f>
        <v/>
      </c>
      <c r="Q655" s="13" t="str">
        <f>IF($A655="","",[1]!thsiFinD("ths_adjustment_nv_fund",Q$3,$A655))</f>
        <v/>
      </c>
      <c r="R655" s="13" t="str">
        <f>IF($A655="","",[1]!thsiFinD("ths_adjustment_nv_fund",R$3,$A655))</f>
        <v/>
      </c>
      <c r="S655" s="13" t="str">
        <f>IF($A655="","",[1]!thsiFinD("ths_adjustment_nv_fund",S$3,$A655))</f>
        <v/>
      </c>
      <c r="T655" s="13" t="str">
        <f>IF($A655="","",[1]!thsiFinD("ths_adjustment_nv_fund",T$3,$A655))</f>
        <v/>
      </c>
      <c r="U655" s="13" t="str">
        <f>IF($A655="","",[1]!thsiFinD("ths_adjustment_nv_fund",U$3,$A655))</f>
        <v/>
      </c>
      <c r="V655" s="13" t="str">
        <f>IF($A655="","",[1]!thsiFinD("ths_adjustment_nv_fund",V$3,$A655))</f>
        <v/>
      </c>
      <c r="W655" s="13" t="str">
        <f>IF($A655="","",[1]!thsiFinD("ths_adjustment_nv_fund",W$3,$A655))</f>
        <v/>
      </c>
      <c r="X655" s="13" t="str">
        <f>IF($A655="","",[1]!thsiFinD("ths_adjustment_nv_fund",X$3,$A655))</f>
        <v/>
      </c>
      <c r="Y655" s="13" t="str">
        <f>IF($A655="","",[1]!thsiFinD("ths_adjustment_nv_fund",Y$3,$A655))</f>
        <v/>
      </c>
      <c r="Z655" s="13" t="str">
        <f>IF($A655="","",[1]!thsiFinD("ths_adjustment_nv_fund",Z$3,$A655))</f>
        <v/>
      </c>
      <c r="AA655" s="13" t="str">
        <f>IF($A655="","",[1]!thsiFinD("ths_adjustment_nv_fund",AA$3,$A655))</f>
        <v/>
      </c>
      <c r="AB655" s="13" t="str">
        <f>IF($A655="","",[1]!thsiFinD("ths_adjustment_nv_fund",AB$3,$A655))</f>
        <v/>
      </c>
    </row>
    <row r="656" spans="2:28">
      <c r="B656" s="13" t="str">
        <f>IF($A656="","",[1]!thsiFinD("ths_adjustment_nv_fund",B$3,$A656))</f>
        <v/>
      </c>
      <c r="C656" s="13" t="str">
        <f>IF($A656="","",[1]!thsiFinD("ths_adjustment_nv_fund",C$3,$A656))</f>
        <v/>
      </c>
      <c r="D656" s="13" t="str">
        <f>IF($A656="","",[1]!thsiFinD("ths_adjustment_nv_fund",D$3,$A656))</f>
        <v/>
      </c>
      <c r="E656" s="13" t="str">
        <f>IF($A656="","",[1]!thsiFinD("ths_adjustment_nv_fund",E$3,$A656))</f>
        <v/>
      </c>
      <c r="F656" s="13" t="str">
        <f>IF($A656="","",[1]!thsiFinD("ths_adjustment_nv_fund",F$3,$A656))</f>
        <v/>
      </c>
      <c r="G656" s="13" t="str">
        <f>IF($A656="","",[1]!thsiFinD("ths_adjustment_nv_fund",G$3,$A656))</f>
        <v/>
      </c>
      <c r="H656" s="13" t="str">
        <f>IF($A656="","",[1]!thsiFinD("ths_adjustment_nv_fund",H$3,$A656))</f>
        <v/>
      </c>
      <c r="I656" s="13" t="str">
        <f>IF($A656="","",[1]!thsiFinD("ths_adjustment_nv_fund",I$3,$A656))</f>
        <v/>
      </c>
      <c r="J656" s="13" t="str">
        <f>IF($A656="","",[1]!thsiFinD("ths_adjustment_nv_fund",J$3,$A656))</f>
        <v/>
      </c>
      <c r="K656" s="13" t="str">
        <f>IF($A656="","",[1]!thsiFinD("ths_adjustment_nv_fund",K$3,$A656))</f>
        <v/>
      </c>
      <c r="L656" s="13" t="str">
        <f>IF($A656="","",[1]!thsiFinD("ths_adjustment_nv_fund",L$3,$A656))</f>
        <v/>
      </c>
      <c r="M656" s="13" t="str">
        <f>IF($A656="","",[1]!thsiFinD("ths_adjustment_nv_fund",M$3,$A656))</f>
        <v/>
      </c>
      <c r="N656" s="13" t="str">
        <f>IF($A656="","",[1]!thsiFinD("ths_adjustment_nv_fund",N$3,$A656))</f>
        <v/>
      </c>
      <c r="O656" s="13" t="str">
        <f>IF($A656="","",[1]!thsiFinD("ths_adjustment_nv_fund",O$3,$A656))</f>
        <v/>
      </c>
      <c r="P656" s="13" t="str">
        <f>IF($A656="","",[1]!thsiFinD("ths_adjustment_nv_fund",P$3,$A656))</f>
        <v/>
      </c>
      <c r="Q656" s="13" t="str">
        <f>IF($A656="","",[1]!thsiFinD("ths_adjustment_nv_fund",Q$3,$A656))</f>
        <v/>
      </c>
      <c r="R656" s="13" t="str">
        <f>IF($A656="","",[1]!thsiFinD("ths_adjustment_nv_fund",R$3,$A656))</f>
        <v/>
      </c>
      <c r="S656" s="13" t="str">
        <f>IF($A656="","",[1]!thsiFinD("ths_adjustment_nv_fund",S$3,$A656))</f>
        <v/>
      </c>
      <c r="T656" s="13" t="str">
        <f>IF($A656="","",[1]!thsiFinD("ths_adjustment_nv_fund",T$3,$A656))</f>
        <v/>
      </c>
      <c r="U656" s="13" t="str">
        <f>IF($A656="","",[1]!thsiFinD("ths_adjustment_nv_fund",U$3,$A656))</f>
        <v/>
      </c>
      <c r="V656" s="13" t="str">
        <f>IF($A656="","",[1]!thsiFinD("ths_adjustment_nv_fund",V$3,$A656))</f>
        <v/>
      </c>
      <c r="W656" s="13" t="str">
        <f>IF($A656="","",[1]!thsiFinD("ths_adjustment_nv_fund",W$3,$A656))</f>
        <v/>
      </c>
      <c r="X656" s="13" t="str">
        <f>IF($A656="","",[1]!thsiFinD("ths_adjustment_nv_fund",X$3,$A656))</f>
        <v/>
      </c>
      <c r="Y656" s="13" t="str">
        <f>IF($A656="","",[1]!thsiFinD("ths_adjustment_nv_fund",Y$3,$A656))</f>
        <v/>
      </c>
      <c r="Z656" s="13" t="str">
        <f>IF($A656="","",[1]!thsiFinD("ths_adjustment_nv_fund",Z$3,$A656))</f>
        <v/>
      </c>
      <c r="AA656" s="13" t="str">
        <f>IF($A656="","",[1]!thsiFinD("ths_adjustment_nv_fund",AA$3,$A656))</f>
        <v/>
      </c>
      <c r="AB656" s="13" t="str">
        <f>IF($A656="","",[1]!thsiFinD("ths_adjustment_nv_fund",AB$3,$A656))</f>
        <v/>
      </c>
    </row>
    <row r="657" spans="2:28">
      <c r="B657" s="13" t="str">
        <f>IF($A657="","",[1]!thsiFinD("ths_adjustment_nv_fund",B$3,$A657))</f>
        <v/>
      </c>
      <c r="C657" s="13" t="str">
        <f>IF($A657="","",[1]!thsiFinD("ths_adjustment_nv_fund",C$3,$A657))</f>
        <v/>
      </c>
      <c r="D657" s="13" t="str">
        <f>IF($A657="","",[1]!thsiFinD("ths_adjustment_nv_fund",D$3,$A657))</f>
        <v/>
      </c>
      <c r="E657" s="13" t="str">
        <f>IF($A657="","",[1]!thsiFinD("ths_adjustment_nv_fund",E$3,$A657))</f>
        <v/>
      </c>
      <c r="F657" s="13" t="str">
        <f>IF($A657="","",[1]!thsiFinD("ths_adjustment_nv_fund",F$3,$A657))</f>
        <v/>
      </c>
      <c r="G657" s="13" t="str">
        <f>IF($A657="","",[1]!thsiFinD("ths_adjustment_nv_fund",G$3,$A657))</f>
        <v/>
      </c>
      <c r="H657" s="13" t="str">
        <f>IF($A657="","",[1]!thsiFinD("ths_adjustment_nv_fund",H$3,$A657))</f>
        <v/>
      </c>
      <c r="I657" s="13" t="str">
        <f>IF($A657="","",[1]!thsiFinD("ths_adjustment_nv_fund",I$3,$A657))</f>
        <v/>
      </c>
      <c r="J657" s="13" t="str">
        <f>IF($A657="","",[1]!thsiFinD("ths_adjustment_nv_fund",J$3,$A657))</f>
        <v/>
      </c>
      <c r="K657" s="13" t="str">
        <f>IF($A657="","",[1]!thsiFinD("ths_adjustment_nv_fund",K$3,$A657))</f>
        <v/>
      </c>
      <c r="L657" s="13" t="str">
        <f>IF($A657="","",[1]!thsiFinD("ths_adjustment_nv_fund",L$3,$A657))</f>
        <v/>
      </c>
      <c r="M657" s="13" t="str">
        <f>IF($A657="","",[1]!thsiFinD("ths_adjustment_nv_fund",M$3,$A657))</f>
        <v/>
      </c>
      <c r="N657" s="13" t="str">
        <f>IF($A657="","",[1]!thsiFinD("ths_adjustment_nv_fund",N$3,$A657))</f>
        <v/>
      </c>
      <c r="O657" s="13" t="str">
        <f>IF($A657="","",[1]!thsiFinD("ths_adjustment_nv_fund",O$3,$A657))</f>
        <v/>
      </c>
      <c r="P657" s="13" t="str">
        <f>IF($A657="","",[1]!thsiFinD("ths_adjustment_nv_fund",P$3,$A657))</f>
        <v/>
      </c>
      <c r="Q657" s="13" t="str">
        <f>IF($A657="","",[1]!thsiFinD("ths_adjustment_nv_fund",Q$3,$A657))</f>
        <v/>
      </c>
      <c r="R657" s="13" t="str">
        <f>IF($A657="","",[1]!thsiFinD("ths_adjustment_nv_fund",R$3,$A657))</f>
        <v/>
      </c>
      <c r="S657" s="13" t="str">
        <f>IF($A657="","",[1]!thsiFinD("ths_adjustment_nv_fund",S$3,$A657))</f>
        <v/>
      </c>
      <c r="T657" s="13" t="str">
        <f>IF($A657="","",[1]!thsiFinD("ths_adjustment_nv_fund",T$3,$A657))</f>
        <v/>
      </c>
      <c r="U657" s="13" t="str">
        <f>IF($A657="","",[1]!thsiFinD("ths_adjustment_nv_fund",U$3,$A657))</f>
        <v/>
      </c>
      <c r="V657" s="13" t="str">
        <f>IF($A657="","",[1]!thsiFinD("ths_adjustment_nv_fund",V$3,$A657))</f>
        <v/>
      </c>
      <c r="W657" s="13" t="str">
        <f>IF($A657="","",[1]!thsiFinD("ths_adjustment_nv_fund",W$3,$A657))</f>
        <v/>
      </c>
      <c r="X657" s="13" t="str">
        <f>IF($A657="","",[1]!thsiFinD("ths_adjustment_nv_fund",X$3,$A657))</f>
        <v/>
      </c>
      <c r="Y657" s="13" t="str">
        <f>IF($A657="","",[1]!thsiFinD("ths_adjustment_nv_fund",Y$3,$A657))</f>
        <v/>
      </c>
      <c r="Z657" s="13" t="str">
        <f>IF($A657="","",[1]!thsiFinD("ths_adjustment_nv_fund",Z$3,$A657))</f>
        <v/>
      </c>
      <c r="AA657" s="13" t="str">
        <f>IF($A657="","",[1]!thsiFinD("ths_adjustment_nv_fund",AA$3,$A657))</f>
        <v/>
      </c>
      <c r="AB657" s="13" t="str">
        <f>IF($A657="","",[1]!thsiFinD("ths_adjustment_nv_fund",AB$3,$A657))</f>
        <v/>
      </c>
    </row>
    <row r="658" spans="2:28">
      <c r="B658" s="13" t="str">
        <f>IF($A658="","",[1]!thsiFinD("ths_adjustment_nv_fund",B$3,$A658))</f>
        <v/>
      </c>
      <c r="C658" s="13" t="str">
        <f>IF($A658="","",[1]!thsiFinD("ths_adjustment_nv_fund",C$3,$A658))</f>
        <v/>
      </c>
      <c r="D658" s="13" t="str">
        <f>IF($A658="","",[1]!thsiFinD("ths_adjustment_nv_fund",D$3,$A658))</f>
        <v/>
      </c>
      <c r="E658" s="13" t="str">
        <f>IF($A658="","",[1]!thsiFinD("ths_adjustment_nv_fund",E$3,$A658))</f>
        <v/>
      </c>
      <c r="F658" s="13" t="str">
        <f>IF($A658="","",[1]!thsiFinD("ths_adjustment_nv_fund",F$3,$A658))</f>
        <v/>
      </c>
      <c r="G658" s="13" t="str">
        <f>IF($A658="","",[1]!thsiFinD("ths_adjustment_nv_fund",G$3,$A658))</f>
        <v/>
      </c>
      <c r="H658" s="13" t="str">
        <f>IF($A658="","",[1]!thsiFinD("ths_adjustment_nv_fund",H$3,$A658))</f>
        <v/>
      </c>
      <c r="I658" s="13" t="str">
        <f>IF($A658="","",[1]!thsiFinD("ths_adjustment_nv_fund",I$3,$A658))</f>
        <v/>
      </c>
      <c r="J658" s="13" t="str">
        <f>IF($A658="","",[1]!thsiFinD("ths_adjustment_nv_fund",J$3,$A658))</f>
        <v/>
      </c>
      <c r="K658" s="13" t="str">
        <f>IF($A658="","",[1]!thsiFinD("ths_adjustment_nv_fund",K$3,$A658))</f>
        <v/>
      </c>
      <c r="L658" s="13" t="str">
        <f>IF($A658="","",[1]!thsiFinD("ths_adjustment_nv_fund",L$3,$A658))</f>
        <v/>
      </c>
      <c r="M658" s="13" t="str">
        <f>IF($A658="","",[1]!thsiFinD("ths_adjustment_nv_fund",M$3,$A658))</f>
        <v/>
      </c>
      <c r="N658" s="13" t="str">
        <f>IF($A658="","",[1]!thsiFinD("ths_adjustment_nv_fund",N$3,$A658))</f>
        <v/>
      </c>
      <c r="O658" s="13" t="str">
        <f>IF($A658="","",[1]!thsiFinD("ths_adjustment_nv_fund",O$3,$A658))</f>
        <v/>
      </c>
      <c r="P658" s="13" t="str">
        <f>IF($A658="","",[1]!thsiFinD("ths_adjustment_nv_fund",P$3,$A658))</f>
        <v/>
      </c>
      <c r="Q658" s="13" t="str">
        <f>IF($A658="","",[1]!thsiFinD("ths_adjustment_nv_fund",Q$3,$A658))</f>
        <v/>
      </c>
      <c r="R658" s="13" t="str">
        <f>IF($A658="","",[1]!thsiFinD("ths_adjustment_nv_fund",R$3,$A658))</f>
        <v/>
      </c>
      <c r="S658" s="13" t="str">
        <f>IF($A658="","",[1]!thsiFinD("ths_adjustment_nv_fund",S$3,$A658))</f>
        <v/>
      </c>
      <c r="T658" s="13" t="str">
        <f>IF($A658="","",[1]!thsiFinD("ths_adjustment_nv_fund",T$3,$A658))</f>
        <v/>
      </c>
      <c r="U658" s="13" t="str">
        <f>IF($A658="","",[1]!thsiFinD("ths_adjustment_nv_fund",U$3,$A658))</f>
        <v/>
      </c>
      <c r="V658" s="13" t="str">
        <f>IF($A658="","",[1]!thsiFinD("ths_adjustment_nv_fund",V$3,$A658))</f>
        <v/>
      </c>
      <c r="W658" s="13" t="str">
        <f>IF($A658="","",[1]!thsiFinD("ths_adjustment_nv_fund",W$3,$A658))</f>
        <v/>
      </c>
      <c r="X658" s="13" t="str">
        <f>IF($A658="","",[1]!thsiFinD("ths_adjustment_nv_fund",X$3,$A658))</f>
        <v/>
      </c>
      <c r="Y658" s="13" t="str">
        <f>IF($A658="","",[1]!thsiFinD("ths_adjustment_nv_fund",Y$3,$A658))</f>
        <v/>
      </c>
      <c r="Z658" s="13" t="str">
        <f>IF($A658="","",[1]!thsiFinD("ths_adjustment_nv_fund",Z$3,$A658))</f>
        <v/>
      </c>
      <c r="AA658" s="13" t="str">
        <f>IF($A658="","",[1]!thsiFinD("ths_adjustment_nv_fund",AA$3,$A658))</f>
        <v/>
      </c>
      <c r="AB658" s="13" t="str">
        <f>IF($A658="","",[1]!thsiFinD("ths_adjustment_nv_fund",AB$3,$A658))</f>
        <v/>
      </c>
    </row>
    <row r="659" spans="2:28">
      <c r="B659" s="13" t="str">
        <f>IF($A659="","",[1]!thsiFinD("ths_adjustment_nv_fund",B$3,$A659))</f>
        <v/>
      </c>
      <c r="C659" s="13" t="str">
        <f>IF($A659="","",[1]!thsiFinD("ths_adjustment_nv_fund",C$3,$A659))</f>
        <v/>
      </c>
      <c r="D659" s="13" t="str">
        <f>IF($A659="","",[1]!thsiFinD("ths_adjustment_nv_fund",D$3,$A659))</f>
        <v/>
      </c>
      <c r="E659" s="13" t="str">
        <f>IF($A659="","",[1]!thsiFinD("ths_adjustment_nv_fund",E$3,$A659))</f>
        <v/>
      </c>
      <c r="F659" s="13" t="str">
        <f>IF($A659="","",[1]!thsiFinD("ths_adjustment_nv_fund",F$3,$A659))</f>
        <v/>
      </c>
      <c r="G659" s="13" t="str">
        <f>IF($A659="","",[1]!thsiFinD("ths_adjustment_nv_fund",G$3,$A659))</f>
        <v/>
      </c>
      <c r="H659" s="13" t="str">
        <f>IF($A659="","",[1]!thsiFinD("ths_adjustment_nv_fund",H$3,$A659))</f>
        <v/>
      </c>
      <c r="I659" s="13" t="str">
        <f>IF($A659="","",[1]!thsiFinD("ths_adjustment_nv_fund",I$3,$A659))</f>
        <v/>
      </c>
      <c r="J659" s="13" t="str">
        <f>IF($A659="","",[1]!thsiFinD("ths_adjustment_nv_fund",J$3,$A659))</f>
        <v/>
      </c>
      <c r="K659" s="13" t="str">
        <f>IF($A659="","",[1]!thsiFinD("ths_adjustment_nv_fund",K$3,$A659))</f>
        <v/>
      </c>
      <c r="L659" s="13" t="str">
        <f>IF($A659="","",[1]!thsiFinD("ths_adjustment_nv_fund",L$3,$A659))</f>
        <v/>
      </c>
      <c r="M659" s="13" t="str">
        <f>IF($A659="","",[1]!thsiFinD("ths_adjustment_nv_fund",M$3,$A659))</f>
        <v/>
      </c>
      <c r="N659" s="13" t="str">
        <f>IF($A659="","",[1]!thsiFinD("ths_adjustment_nv_fund",N$3,$A659))</f>
        <v/>
      </c>
      <c r="O659" s="13" t="str">
        <f>IF($A659="","",[1]!thsiFinD("ths_adjustment_nv_fund",O$3,$A659))</f>
        <v/>
      </c>
      <c r="P659" s="13" t="str">
        <f>IF($A659="","",[1]!thsiFinD("ths_adjustment_nv_fund",P$3,$A659))</f>
        <v/>
      </c>
      <c r="Q659" s="13" t="str">
        <f>IF($A659="","",[1]!thsiFinD("ths_adjustment_nv_fund",Q$3,$A659))</f>
        <v/>
      </c>
      <c r="R659" s="13" t="str">
        <f>IF($A659="","",[1]!thsiFinD("ths_adjustment_nv_fund",R$3,$A659))</f>
        <v/>
      </c>
      <c r="S659" s="13" t="str">
        <f>IF($A659="","",[1]!thsiFinD("ths_adjustment_nv_fund",S$3,$A659))</f>
        <v/>
      </c>
      <c r="T659" s="13" t="str">
        <f>IF($A659="","",[1]!thsiFinD("ths_adjustment_nv_fund",T$3,$A659))</f>
        <v/>
      </c>
      <c r="U659" s="13" t="str">
        <f>IF($A659="","",[1]!thsiFinD("ths_adjustment_nv_fund",U$3,$A659))</f>
        <v/>
      </c>
      <c r="V659" s="13" t="str">
        <f>IF($A659="","",[1]!thsiFinD("ths_adjustment_nv_fund",V$3,$A659))</f>
        <v/>
      </c>
      <c r="W659" s="13" t="str">
        <f>IF($A659="","",[1]!thsiFinD("ths_adjustment_nv_fund",W$3,$A659))</f>
        <v/>
      </c>
      <c r="X659" s="13" t="str">
        <f>IF($A659="","",[1]!thsiFinD("ths_adjustment_nv_fund",X$3,$A659))</f>
        <v/>
      </c>
      <c r="Y659" s="13" t="str">
        <f>IF($A659="","",[1]!thsiFinD("ths_adjustment_nv_fund",Y$3,$A659))</f>
        <v/>
      </c>
      <c r="Z659" s="13" t="str">
        <f>IF($A659="","",[1]!thsiFinD("ths_adjustment_nv_fund",Z$3,$A659))</f>
        <v/>
      </c>
      <c r="AA659" s="13" t="str">
        <f>IF($A659="","",[1]!thsiFinD("ths_adjustment_nv_fund",AA$3,$A659))</f>
        <v/>
      </c>
      <c r="AB659" s="13" t="str">
        <f>IF($A659="","",[1]!thsiFinD("ths_adjustment_nv_fund",AB$3,$A659))</f>
        <v/>
      </c>
    </row>
    <row r="660" spans="2:28">
      <c r="B660" s="13" t="str">
        <f>IF($A660="","",[1]!thsiFinD("ths_adjustment_nv_fund",B$3,$A660))</f>
        <v/>
      </c>
      <c r="C660" s="13" t="str">
        <f>IF($A660="","",[1]!thsiFinD("ths_adjustment_nv_fund",C$3,$A660))</f>
        <v/>
      </c>
      <c r="D660" s="13" t="str">
        <f>IF($A660="","",[1]!thsiFinD("ths_adjustment_nv_fund",D$3,$A660))</f>
        <v/>
      </c>
      <c r="E660" s="13" t="str">
        <f>IF($A660="","",[1]!thsiFinD("ths_adjustment_nv_fund",E$3,$A660))</f>
        <v/>
      </c>
      <c r="F660" s="13" t="str">
        <f>IF($A660="","",[1]!thsiFinD("ths_adjustment_nv_fund",F$3,$A660))</f>
        <v/>
      </c>
      <c r="G660" s="13" t="str">
        <f>IF($A660="","",[1]!thsiFinD("ths_adjustment_nv_fund",G$3,$A660))</f>
        <v/>
      </c>
      <c r="H660" s="13" t="str">
        <f>IF($A660="","",[1]!thsiFinD("ths_adjustment_nv_fund",H$3,$A660))</f>
        <v/>
      </c>
      <c r="I660" s="13" t="str">
        <f>IF($A660="","",[1]!thsiFinD("ths_adjustment_nv_fund",I$3,$A660))</f>
        <v/>
      </c>
      <c r="J660" s="13" t="str">
        <f>IF($A660="","",[1]!thsiFinD("ths_adjustment_nv_fund",J$3,$A660))</f>
        <v/>
      </c>
      <c r="K660" s="13" t="str">
        <f>IF($A660="","",[1]!thsiFinD("ths_adjustment_nv_fund",K$3,$A660))</f>
        <v/>
      </c>
      <c r="L660" s="13" t="str">
        <f>IF($A660="","",[1]!thsiFinD("ths_adjustment_nv_fund",L$3,$A660))</f>
        <v/>
      </c>
      <c r="M660" s="13" t="str">
        <f>IF($A660="","",[1]!thsiFinD("ths_adjustment_nv_fund",M$3,$A660))</f>
        <v/>
      </c>
      <c r="N660" s="13" t="str">
        <f>IF($A660="","",[1]!thsiFinD("ths_adjustment_nv_fund",N$3,$A660))</f>
        <v/>
      </c>
      <c r="O660" s="13" t="str">
        <f>IF($A660="","",[1]!thsiFinD("ths_adjustment_nv_fund",O$3,$A660))</f>
        <v/>
      </c>
      <c r="P660" s="13" t="str">
        <f>IF($A660="","",[1]!thsiFinD("ths_adjustment_nv_fund",P$3,$A660))</f>
        <v/>
      </c>
      <c r="Q660" s="13" t="str">
        <f>IF($A660="","",[1]!thsiFinD("ths_adjustment_nv_fund",Q$3,$A660))</f>
        <v/>
      </c>
      <c r="R660" s="13" t="str">
        <f>IF($A660="","",[1]!thsiFinD("ths_adjustment_nv_fund",R$3,$A660))</f>
        <v/>
      </c>
      <c r="S660" s="13" t="str">
        <f>IF($A660="","",[1]!thsiFinD("ths_adjustment_nv_fund",S$3,$A660))</f>
        <v/>
      </c>
      <c r="T660" s="13" t="str">
        <f>IF($A660="","",[1]!thsiFinD("ths_adjustment_nv_fund",T$3,$A660))</f>
        <v/>
      </c>
      <c r="U660" s="13" t="str">
        <f>IF($A660="","",[1]!thsiFinD("ths_adjustment_nv_fund",U$3,$A660))</f>
        <v/>
      </c>
      <c r="V660" s="13" t="str">
        <f>IF($A660="","",[1]!thsiFinD("ths_adjustment_nv_fund",V$3,$A660))</f>
        <v/>
      </c>
      <c r="W660" s="13" t="str">
        <f>IF($A660="","",[1]!thsiFinD("ths_adjustment_nv_fund",W$3,$A660))</f>
        <v/>
      </c>
      <c r="X660" s="13" t="str">
        <f>IF($A660="","",[1]!thsiFinD("ths_adjustment_nv_fund",X$3,$A660))</f>
        <v/>
      </c>
      <c r="Y660" s="13" t="str">
        <f>IF($A660="","",[1]!thsiFinD("ths_adjustment_nv_fund",Y$3,$A660))</f>
        <v/>
      </c>
      <c r="Z660" s="13" t="str">
        <f>IF($A660="","",[1]!thsiFinD("ths_adjustment_nv_fund",Z$3,$A660))</f>
        <v/>
      </c>
      <c r="AA660" s="13" t="str">
        <f>IF($A660="","",[1]!thsiFinD("ths_adjustment_nv_fund",AA$3,$A660))</f>
        <v/>
      </c>
      <c r="AB660" s="13" t="str">
        <f>IF($A660="","",[1]!thsiFinD("ths_adjustment_nv_fund",AB$3,$A660))</f>
        <v/>
      </c>
    </row>
    <row r="661" spans="2:28">
      <c r="B661" s="13" t="str">
        <f>IF($A661="","",[1]!thsiFinD("ths_adjustment_nv_fund",B$3,$A661))</f>
        <v/>
      </c>
      <c r="C661" s="13" t="str">
        <f>IF($A661="","",[1]!thsiFinD("ths_adjustment_nv_fund",C$3,$A661))</f>
        <v/>
      </c>
      <c r="D661" s="13" t="str">
        <f>IF($A661="","",[1]!thsiFinD("ths_adjustment_nv_fund",D$3,$A661))</f>
        <v/>
      </c>
      <c r="E661" s="13" t="str">
        <f>IF($A661="","",[1]!thsiFinD("ths_adjustment_nv_fund",E$3,$A661))</f>
        <v/>
      </c>
      <c r="F661" s="13" t="str">
        <f>IF($A661="","",[1]!thsiFinD("ths_adjustment_nv_fund",F$3,$A661))</f>
        <v/>
      </c>
      <c r="G661" s="13" t="str">
        <f>IF($A661="","",[1]!thsiFinD("ths_adjustment_nv_fund",G$3,$A661))</f>
        <v/>
      </c>
      <c r="H661" s="13" t="str">
        <f>IF($A661="","",[1]!thsiFinD("ths_adjustment_nv_fund",H$3,$A661))</f>
        <v/>
      </c>
      <c r="I661" s="13" t="str">
        <f>IF($A661="","",[1]!thsiFinD("ths_adjustment_nv_fund",I$3,$A661))</f>
        <v/>
      </c>
      <c r="J661" s="13" t="str">
        <f>IF($A661="","",[1]!thsiFinD("ths_adjustment_nv_fund",J$3,$A661))</f>
        <v/>
      </c>
      <c r="K661" s="13" t="str">
        <f>IF($A661="","",[1]!thsiFinD("ths_adjustment_nv_fund",K$3,$A661))</f>
        <v/>
      </c>
      <c r="L661" s="13" t="str">
        <f>IF($A661="","",[1]!thsiFinD("ths_adjustment_nv_fund",L$3,$A661))</f>
        <v/>
      </c>
      <c r="M661" s="13" t="str">
        <f>IF($A661="","",[1]!thsiFinD("ths_adjustment_nv_fund",M$3,$A661))</f>
        <v/>
      </c>
      <c r="N661" s="13" t="str">
        <f>IF($A661="","",[1]!thsiFinD("ths_adjustment_nv_fund",N$3,$A661))</f>
        <v/>
      </c>
      <c r="O661" s="13" t="str">
        <f>IF($A661="","",[1]!thsiFinD("ths_adjustment_nv_fund",O$3,$A661))</f>
        <v/>
      </c>
      <c r="P661" s="13" t="str">
        <f>IF($A661="","",[1]!thsiFinD("ths_adjustment_nv_fund",P$3,$A661))</f>
        <v/>
      </c>
      <c r="Q661" s="13" t="str">
        <f>IF($A661="","",[1]!thsiFinD("ths_adjustment_nv_fund",Q$3,$A661))</f>
        <v/>
      </c>
      <c r="R661" s="13" t="str">
        <f>IF($A661="","",[1]!thsiFinD("ths_adjustment_nv_fund",R$3,$A661))</f>
        <v/>
      </c>
      <c r="S661" s="13" t="str">
        <f>IF($A661="","",[1]!thsiFinD("ths_adjustment_nv_fund",S$3,$A661))</f>
        <v/>
      </c>
      <c r="T661" s="13" t="str">
        <f>IF($A661="","",[1]!thsiFinD("ths_adjustment_nv_fund",T$3,$A661))</f>
        <v/>
      </c>
      <c r="U661" s="13" t="str">
        <f>IF($A661="","",[1]!thsiFinD("ths_adjustment_nv_fund",U$3,$A661))</f>
        <v/>
      </c>
      <c r="V661" s="13" t="str">
        <f>IF($A661="","",[1]!thsiFinD("ths_adjustment_nv_fund",V$3,$A661))</f>
        <v/>
      </c>
      <c r="W661" s="13" t="str">
        <f>IF($A661="","",[1]!thsiFinD("ths_adjustment_nv_fund",W$3,$A661))</f>
        <v/>
      </c>
      <c r="X661" s="13" t="str">
        <f>IF($A661="","",[1]!thsiFinD("ths_adjustment_nv_fund",X$3,$A661))</f>
        <v/>
      </c>
      <c r="Y661" s="13" t="str">
        <f>IF($A661="","",[1]!thsiFinD("ths_adjustment_nv_fund",Y$3,$A661))</f>
        <v/>
      </c>
      <c r="Z661" s="13" t="str">
        <f>IF($A661="","",[1]!thsiFinD("ths_adjustment_nv_fund",Z$3,$A661))</f>
        <v/>
      </c>
      <c r="AA661" s="13" t="str">
        <f>IF($A661="","",[1]!thsiFinD("ths_adjustment_nv_fund",AA$3,$A661))</f>
        <v/>
      </c>
      <c r="AB661" s="13" t="str">
        <f>IF($A661="","",[1]!thsiFinD("ths_adjustment_nv_fund",AB$3,$A661))</f>
        <v/>
      </c>
    </row>
    <row r="662" spans="2:28">
      <c r="B662" s="13" t="str">
        <f>IF($A662="","",[1]!thsiFinD("ths_adjustment_nv_fund",B$3,$A662))</f>
        <v/>
      </c>
      <c r="C662" s="13" t="str">
        <f>IF($A662="","",[1]!thsiFinD("ths_adjustment_nv_fund",C$3,$A662))</f>
        <v/>
      </c>
      <c r="D662" s="13" t="str">
        <f>IF($A662="","",[1]!thsiFinD("ths_adjustment_nv_fund",D$3,$A662))</f>
        <v/>
      </c>
      <c r="E662" s="13" t="str">
        <f>IF($A662="","",[1]!thsiFinD("ths_adjustment_nv_fund",E$3,$A662))</f>
        <v/>
      </c>
      <c r="F662" s="13" t="str">
        <f>IF($A662="","",[1]!thsiFinD("ths_adjustment_nv_fund",F$3,$A662))</f>
        <v/>
      </c>
      <c r="G662" s="13" t="str">
        <f>IF($A662="","",[1]!thsiFinD("ths_adjustment_nv_fund",G$3,$A662))</f>
        <v/>
      </c>
      <c r="H662" s="13" t="str">
        <f>IF($A662="","",[1]!thsiFinD("ths_adjustment_nv_fund",H$3,$A662))</f>
        <v/>
      </c>
      <c r="I662" s="13" t="str">
        <f>IF($A662="","",[1]!thsiFinD("ths_adjustment_nv_fund",I$3,$A662))</f>
        <v/>
      </c>
      <c r="J662" s="13" t="str">
        <f>IF($A662="","",[1]!thsiFinD("ths_adjustment_nv_fund",J$3,$A662))</f>
        <v/>
      </c>
      <c r="K662" s="13" t="str">
        <f>IF($A662="","",[1]!thsiFinD("ths_adjustment_nv_fund",K$3,$A662))</f>
        <v/>
      </c>
      <c r="L662" s="13" t="str">
        <f>IF($A662="","",[1]!thsiFinD("ths_adjustment_nv_fund",L$3,$A662))</f>
        <v/>
      </c>
      <c r="M662" s="13" t="str">
        <f>IF($A662="","",[1]!thsiFinD("ths_adjustment_nv_fund",M$3,$A662))</f>
        <v/>
      </c>
      <c r="N662" s="13" t="str">
        <f>IF($A662="","",[1]!thsiFinD("ths_adjustment_nv_fund",N$3,$A662))</f>
        <v/>
      </c>
      <c r="O662" s="13" t="str">
        <f>IF($A662="","",[1]!thsiFinD("ths_adjustment_nv_fund",O$3,$A662))</f>
        <v/>
      </c>
      <c r="P662" s="13" t="str">
        <f>IF($A662="","",[1]!thsiFinD("ths_adjustment_nv_fund",P$3,$A662))</f>
        <v/>
      </c>
      <c r="Q662" s="13" t="str">
        <f>IF($A662="","",[1]!thsiFinD("ths_adjustment_nv_fund",Q$3,$A662))</f>
        <v/>
      </c>
      <c r="R662" s="13" t="str">
        <f>IF($A662="","",[1]!thsiFinD("ths_adjustment_nv_fund",R$3,$A662))</f>
        <v/>
      </c>
      <c r="S662" s="13" t="str">
        <f>IF($A662="","",[1]!thsiFinD("ths_adjustment_nv_fund",S$3,$A662))</f>
        <v/>
      </c>
      <c r="T662" s="13" t="str">
        <f>IF($A662="","",[1]!thsiFinD("ths_adjustment_nv_fund",T$3,$A662))</f>
        <v/>
      </c>
      <c r="U662" s="13" t="str">
        <f>IF($A662="","",[1]!thsiFinD("ths_adjustment_nv_fund",U$3,$A662))</f>
        <v/>
      </c>
      <c r="V662" s="13" t="str">
        <f>IF($A662="","",[1]!thsiFinD("ths_adjustment_nv_fund",V$3,$A662))</f>
        <v/>
      </c>
      <c r="W662" s="13" t="str">
        <f>IF($A662="","",[1]!thsiFinD("ths_adjustment_nv_fund",W$3,$A662))</f>
        <v/>
      </c>
      <c r="X662" s="13" t="str">
        <f>IF($A662="","",[1]!thsiFinD("ths_adjustment_nv_fund",X$3,$A662))</f>
        <v/>
      </c>
      <c r="Y662" s="13" t="str">
        <f>IF($A662="","",[1]!thsiFinD("ths_adjustment_nv_fund",Y$3,$A662))</f>
        <v/>
      </c>
      <c r="Z662" s="13" t="str">
        <f>IF($A662="","",[1]!thsiFinD("ths_adjustment_nv_fund",Z$3,$A662))</f>
        <v/>
      </c>
      <c r="AA662" s="13" t="str">
        <f>IF($A662="","",[1]!thsiFinD("ths_adjustment_nv_fund",AA$3,$A662))</f>
        <v/>
      </c>
      <c r="AB662" s="13" t="str">
        <f>IF($A662="","",[1]!thsiFinD("ths_adjustment_nv_fund",AB$3,$A662))</f>
        <v/>
      </c>
    </row>
    <row r="663" spans="2:28">
      <c r="B663" s="13" t="str">
        <f>IF($A663="","",[1]!thsiFinD("ths_adjustment_nv_fund",B$3,$A663))</f>
        <v/>
      </c>
      <c r="C663" s="13" t="str">
        <f>IF($A663="","",[1]!thsiFinD("ths_adjustment_nv_fund",C$3,$A663))</f>
        <v/>
      </c>
      <c r="D663" s="13" t="str">
        <f>IF($A663="","",[1]!thsiFinD("ths_adjustment_nv_fund",D$3,$A663))</f>
        <v/>
      </c>
      <c r="E663" s="13" t="str">
        <f>IF($A663="","",[1]!thsiFinD("ths_adjustment_nv_fund",E$3,$A663))</f>
        <v/>
      </c>
      <c r="F663" s="13" t="str">
        <f>IF($A663="","",[1]!thsiFinD("ths_adjustment_nv_fund",F$3,$A663))</f>
        <v/>
      </c>
      <c r="G663" s="13" t="str">
        <f>IF($A663="","",[1]!thsiFinD("ths_adjustment_nv_fund",G$3,$A663))</f>
        <v/>
      </c>
      <c r="H663" s="13" t="str">
        <f>IF($A663="","",[1]!thsiFinD("ths_adjustment_nv_fund",H$3,$A663))</f>
        <v/>
      </c>
      <c r="I663" s="13" t="str">
        <f>IF($A663="","",[1]!thsiFinD("ths_adjustment_nv_fund",I$3,$A663))</f>
        <v/>
      </c>
      <c r="J663" s="13" t="str">
        <f>IF($A663="","",[1]!thsiFinD("ths_adjustment_nv_fund",J$3,$A663))</f>
        <v/>
      </c>
      <c r="K663" s="13" t="str">
        <f>IF($A663="","",[1]!thsiFinD("ths_adjustment_nv_fund",K$3,$A663))</f>
        <v/>
      </c>
      <c r="L663" s="13" t="str">
        <f>IF($A663="","",[1]!thsiFinD("ths_adjustment_nv_fund",L$3,$A663))</f>
        <v/>
      </c>
      <c r="M663" s="13" t="str">
        <f>IF($A663="","",[1]!thsiFinD("ths_adjustment_nv_fund",M$3,$A663))</f>
        <v/>
      </c>
      <c r="N663" s="13" t="str">
        <f>IF($A663="","",[1]!thsiFinD("ths_adjustment_nv_fund",N$3,$A663))</f>
        <v/>
      </c>
      <c r="O663" s="13" t="str">
        <f>IF($A663="","",[1]!thsiFinD("ths_adjustment_nv_fund",O$3,$A663))</f>
        <v/>
      </c>
      <c r="P663" s="13" t="str">
        <f>IF($A663="","",[1]!thsiFinD("ths_adjustment_nv_fund",P$3,$A663))</f>
        <v/>
      </c>
      <c r="Q663" s="13" t="str">
        <f>IF($A663="","",[1]!thsiFinD("ths_adjustment_nv_fund",Q$3,$A663))</f>
        <v/>
      </c>
      <c r="R663" s="13" t="str">
        <f>IF($A663="","",[1]!thsiFinD("ths_adjustment_nv_fund",R$3,$A663))</f>
        <v/>
      </c>
      <c r="S663" s="13" t="str">
        <f>IF($A663="","",[1]!thsiFinD("ths_adjustment_nv_fund",S$3,$A663))</f>
        <v/>
      </c>
      <c r="T663" s="13" t="str">
        <f>IF($A663="","",[1]!thsiFinD("ths_adjustment_nv_fund",T$3,$A663))</f>
        <v/>
      </c>
      <c r="U663" s="13" t="str">
        <f>IF($A663="","",[1]!thsiFinD("ths_adjustment_nv_fund",U$3,$A663))</f>
        <v/>
      </c>
      <c r="V663" s="13" t="str">
        <f>IF($A663="","",[1]!thsiFinD("ths_adjustment_nv_fund",V$3,$A663))</f>
        <v/>
      </c>
      <c r="W663" s="13" t="str">
        <f>IF($A663="","",[1]!thsiFinD("ths_adjustment_nv_fund",W$3,$A663))</f>
        <v/>
      </c>
      <c r="X663" s="13" t="str">
        <f>IF($A663="","",[1]!thsiFinD("ths_adjustment_nv_fund",X$3,$A663))</f>
        <v/>
      </c>
      <c r="Y663" s="13" t="str">
        <f>IF($A663="","",[1]!thsiFinD("ths_adjustment_nv_fund",Y$3,$A663))</f>
        <v/>
      </c>
      <c r="Z663" s="13" t="str">
        <f>IF($A663="","",[1]!thsiFinD("ths_adjustment_nv_fund",Z$3,$A663))</f>
        <v/>
      </c>
      <c r="AA663" s="13" t="str">
        <f>IF($A663="","",[1]!thsiFinD("ths_adjustment_nv_fund",AA$3,$A663))</f>
        <v/>
      </c>
      <c r="AB663" s="13" t="str">
        <f>IF($A663="","",[1]!thsiFinD("ths_adjustment_nv_fund",AB$3,$A663))</f>
        <v/>
      </c>
    </row>
    <row r="664" spans="2:28">
      <c r="B664" s="13" t="str">
        <f>IF($A664="","",[1]!thsiFinD("ths_adjustment_nv_fund",B$3,$A664))</f>
        <v/>
      </c>
      <c r="C664" s="13" t="str">
        <f>IF($A664="","",[1]!thsiFinD("ths_adjustment_nv_fund",C$3,$A664))</f>
        <v/>
      </c>
      <c r="D664" s="13" t="str">
        <f>IF($A664="","",[1]!thsiFinD("ths_adjustment_nv_fund",D$3,$A664))</f>
        <v/>
      </c>
      <c r="E664" s="13" t="str">
        <f>IF($A664="","",[1]!thsiFinD("ths_adjustment_nv_fund",E$3,$A664))</f>
        <v/>
      </c>
      <c r="F664" s="13" t="str">
        <f>IF($A664="","",[1]!thsiFinD("ths_adjustment_nv_fund",F$3,$A664))</f>
        <v/>
      </c>
      <c r="G664" s="13" t="str">
        <f>IF($A664="","",[1]!thsiFinD("ths_adjustment_nv_fund",G$3,$A664))</f>
        <v/>
      </c>
      <c r="H664" s="13" t="str">
        <f>IF($A664="","",[1]!thsiFinD("ths_adjustment_nv_fund",H$3,$A664))</f>
        <v/>
      </c>
      <c r="I664" s="13" t="str">
        <f>IF($A664="","",[1]!thsiFinD("ths_adjustment_nv_fund",I$3,$A664))</f>
        <v/>
      </c>
      <c r="J664" s="13" t="str">
        <f>IF($A664="","",[1]!thsiFinD("ths_adjustment_nv_fund",J$3,$A664))</f>
        <v/>
      </c>
      <c r="K664" s="13" t="str">
        <f>IF($A664="","",[1]!thsiFinD("ths_adjustment_nv_fund",K$3,$A664))</f>
        <v/>
      </c>
      <c r="L664" s="13" t="str">
        <f>IF($A664="","",[1]!thsiFinD("ths_adjustment_nv_fund",L$3,$A664))</f>
        <v/>
      </c>
      <c r="M664" s="13" t="str">
        <f>IF($A664="","",[1]!thsiFinD("ths_adjustment_nv_fund",M$3,$A664))</f>
        <v/>
      </c>
      <c r="N664" s="13" t="str">
        <f>IF($A664="","",[1]!thsiFinD("ths_adjustment_nv_fund",N$3,$A664))</f>
        <v/>
      </c>
      <c r="O664" s="13" t="str">
        <f>IF($A664="","",[1]!thsiFinD("ths_adjustment_nv_fund",O$3,$A664))</f>
        <v/>
      </c>
      <c r="P664" s="13" t="str">
        <f>IF($A664="","",[1]!thsiFinD("ths_adjustment_nv_fund",P$3,$A664))</f>
        <v/>
      </c>
      <c r="Q664" s="13" t="str">
        <f>IF($A664="","",[1]!thsiFinD("ths_adjustment_nv_fund",Q$3,$A664))</f>
        <v/>
      </c>
      <c r="R664" s="13" t="str">
        <f>IF($A664="","",[1]!thsiFinD("ths_adjustment_nv_fund",R$3,$A664))</f>
        <v/>
      </c>
      <c r="S664" s="13" t="str">
        <f>IF($A664="","",[1]!thsiFinD("ths_adjustment_nv_fund",S$3,$A664))</f>
        <v/>
      </c>
      <c r="T664" s="13" t="str">
        <f>IF($A664="","",[1]!thsiFinD("ths_adjustment_nv_fund",T$3,$A664))</f>
        <v/>
      </c>
      <c r="U664" s="13" t="str">
        <f>IF($A664="","",[1]!thsiFinD("ths_adjustment_nv_fund",U$3,$A664))</f>
        <v/>
      </c>
      <c r="V664" s="13" t="str">
        <f>IF($A664="","",[1]!thsiFinD("ths_adjustment_nv_fund",V$3,$A664))</f>
        <v/>
      </c>
      <c r="W664" s="13" t="str">
        <f>IF($A664="","",[1]!thsiFinD("ths_adjustment_nv_fund",W$3,$A664))</f>
        <v/>
      </c>
      <c r="X664" s="13" t="str">
        <f>IF($A664="","",[1]!thsiFinD("ths_adjustment_nv_fund",X$3,$A664))</f>
        <v/>
      </c>
      <c r="Y664" s="13" t="str">
        <f>IF($A664="","",[1]!thsiFinD("ths_adjustment_nv_fund",Y$3,$A664))</f>
        <v/>
      </c>
      <c r="Z664" s="13" t="str">
        <f>IF($A664="","",[1]!thsiFinD("ths_adjustment_nv_fund",Z$3,$A664))</f>
        <v/>
      </c>
      <c r="AA664" s="13" t="str">
        <f>IF($A664="","",[1]!thsiFinD("ths_adjustment_nv_fund",AA$3,$A664))</f>
        <v/>
      </c>
      <c r="AB664" s="13" t="str">
        <f>IF($A664="","",[1]!thsiFinD("ths_adjustment_nv_fund",AB$3,$A664))</f>
        <v/>
      </c>
    </row>
    <row r="665" spans="2:28">
      <c r="B665" s="13" t="str">
        <f>IF($A665="","",[1]!thsiFinD("ths_adjustment_nv_fund",B$3,$A665))</f>
        <v/>
      </c>
      <c r="C665" s="13" t="str">
        <f>IF($A665="","",[1]!thsiFinD("ths_adjustment_nv_fund",C$3,$A665))</f>
        <v/>
      </c>
      <c r="D665" s="13" t="str">
        <f>IF($A665="","",[1]!thsiFinD("ths_adjustment_nv_fund",D$3,$A665))</f>
        <v/>
      </c>
      <c r="E665" s="13" t="str">
        <f>IF($A665="","",[1]!thsiFinD("ths_adjustment_nv_fund",E$3,$A665))</f>
        <v/>
      </c>
      <c r="F665" s="13" t="str">
        <f>IF($A665="","",[1]!thsiFinD("ths_adjustment_nv_fund",F$3,$A665))</f>
        <v/>
      </c>
      <c r="G665" s="13" t="str">
        <f>IF($A665="","",[1]!thsiFinD("ths_adjustment_nv_fund",G$3,$A665))</f>
        <v/>
      </c>
      <c r="H665" s="13" t="str">
        <f>IF($A665="","",[1]!thsiFinD("ths_adjustment_nv_fund",H$3,$A665))</f>
        <v/>
      </c>
      <c r="I665" s="13" t="str">
        <f>IF($A665="","",[1]!thsiFinD("ths_adjustment_nv_fund",I$3,$A665))</f>
        <v/>
      </c>
      <c r="J665" s="13" t="str">
        <f>IF($A665="","",[1]!thsiFinD("ths_adjustment_nv_fund",J$3,$A665))</f>
        <v/>
      </c>
      <c r="K665" s="13" t="str">
        <f>IF($A665="","",[1]!thsiFinD("ths_adjustment_nv_fund",K$3,$A665))</f>
        <v/>
      </c>
      <c r="L665" s="13" t="str">
        <f>IF($A665="","",[1]!thsiFinD("ths_adjustment_nv_fund",L$3,$A665))</f>
        <v/>
      </c>
      <c r="M665" s="13" t="str">
        <f>IF($A665="","",[1]!thsiFinD("ths_adjustment_nv_fund",M$3,$A665))</f>
        <v/>
      </c>
      <c r="N665" s="13" t="str">
        <f>IF($A665="","",[1]!thsiFinD("ths_adjustment_nv_fund",N$3,$A665))</f>
        <v/>
      </c>
      <c r="O665" s="13" t="str">
        <f>IF($A665="","",[1]!thsiFinD("ths_adjustment_nv_fund",O$3,$A665))</f>
        <v/>
      </c>
      <c r="P665" s="13" t="str">
        <f>IF($A665="","",[1]!thsiFinD("ths_adjustment_nv_fund",P$3,$A665))</f>
        <v/>
      </c>
      <c r="Q665" s="13" t="str">
        <f>IF($A665="","",[1]!thsiFinD("ths_adjustment_nv_fund",Q$3,$A665))</f>
        <v/>
      </c>
      <c r="R665" s="13" t="str">
        <f>IF($A665="","",[1]!thsiFinD("ths_adjustment_nv_fund",R$3,$A665))</f>
        <v/>
      </c>
      <c r="S665" s="13" t="str">
        <f>IF($A665="","",[1]!thsiFinD("ths_adjustment_nv_fund",S$3,$A665))</f>
        <v/>
      </c>
      <c r="T665" s="13" t="str">
        <f>IF($A665="","",[1]!thsiFinD("ths_adjustment_nv_fund",T$3,$A665))</f>
        <v/>
      </c>
      <c r="U665" s="13" t="str">
        <f>IF($A665="","",[1]!thsiFinD("ths_adjustment_nv_fund",U$3,$A665))</f>
        <v/>
      </c>
      <c r="V665" s="13" t="str">
        <f>IF($A665="","",[1]!thsiFinD("ths_adjustment_nv_fund",V$3,$A665))</f>
        <v/>
      </c>
      <c r="W665" s="13" t="str">
        <f>IF($A665="","",[1]!thsiFinD("ths_adjustment_nv_fund",W$3,$A665))</f>
        <v/>
      </c>
      <c r="X665" s="13" t="str">
        <f>IF($A665="","",[1]!thsiFinD("ths_adjustment_nv_fund",X$3,$A665))</f>
        <v/>
      </c>
      <c r="Y665" s="13" t="str">
        <f>IF($A665="","",[1]!thsiFinD("ths_adjustment_nv_fund",Y$3,$A665))</f>
        <v/>
      </c>
      <c r="Z665" s="13" t="str">
        <f>IF($A665="","",[1]!thsiFinD("ths_adjustment_nv_fund",Z$3,$A665))</f>
        <v/>
      </c>
      <c r="AA665" s="13" t="str">
        <f>IF($A665="","",[1]!thsiFinD("ths_adjustment_nv_fund",AA$3,$A665))</f>
        <v/>
      </c>
      <c r="AB665" s="13" t="str">
        <f>IF($A665="","",[1]!thsiFinD("ths_adjustment_nv_fund",AB$3,$A665))</f>
        <v/>
      </c>
    </row>
    <row r="666" spans="2:28">
      <c r="B666" s="13" t="str">
        <f>IF($A666="","",[1]!thsiFinD("ths_adjustment_nv_fund",B$3,$A666))</f>
        <v/>
      </c>
      <c r="C666" s="13" t="str">
        <f>IF($A666="","",[1]!thsiFinD("ths_adjustment_nv_fund",C$3,$A666))</f>
        <v/>
      </c>
      <c r="D666" s="13" t="str">
        <f>IF($A666="","",[1]!thsiFinD("ths_adjustment_nv_fund",D$3,$A666))</f>
        <v/>
      </c>
      <c r="E666" s="13" t="str">
        <f>IF($A666="","",[1]!thsiFinD("ths_adjustment_nv_fund",E$3,$A666))</f>
        <v/>
      </c>
      <c r="F666" s="13" t="str">
        <f>IF($A666="","",[1]!thsiFinD("ths_adjustment_nv_fund",F$3,$A666))</f>
        <v/>
      </c>
      <c r="G666" s="13" t="str">
        <f>IF($A666="","",[1]!thsiFinD("ths_adjustment_nv_fund",G$3,$A666))</f>
        <v/>
      </c>
      <c r="H666" s="13" t="str">
        <f>IF($A666="","",[1]!thsiFinD("ths_adjustment_nv_fund",H$3,$A666))</f>
        <v/>
      </c>
      <c r="I666" s="13" t="str">
        <f>IF($A666="","",[1]!thsiFinD("ths_adjustment_nv_fund",I$3,$A666))</f>
        <v/>
      </c>
      <c r="J666" s="13" t="str">
        <f>IF($A666="","",[1]!thsiFinD("ths_adjustment_nv_fund",J$3,$A666))</f>
        <v/>
      </c>
      <c r="K666" s="13" t="str">
        <f>IF($A666="","",[1]!thsiFinD("ths_adjustment_nv_fund",K$3,$A666))</f>
        <v/>
      </c>
      <c r="L666" s="13" t="str">
        <f>IF($A666="","",[1]!thsiFinD("ths_adjustment_nv_fund",L$3,$A666))</f>
        <v/>
      </c>
      <c r="M666" s="13" t="str">
        <f>IF($A666="","",[1]!thsiFinD("ths_adjustment_nv_fund",M$3,$A666))</f>
        <v/>
      </c>
      <c r="N666" s="13" t="str">
        <f>IF($A666="","",[1]!thsiFinD("ths_adjustment_nv_fund",N$3,$A666))</f>
        <v/>
      </c>
      <c r="O666" s="13" t="str">
        <f>IF($A666="","",[1]!thsiFinD("ths_adjustment_nv_fund",O$3,$A666))</f>
        <v/>
      </c>
      <c r="P666" s="13" t="str">
        <f>IF($A666="","",[1]!thsiFinD("ths_adjustment_nv_fund",P$3,$A666))</f>
        <v/>
      </c>
      <c r="Q666" s="13" t="str">
        <f>IF($A666="","",[1]!thsiFinD("ths_adjustment_nv_fund",Q$3,$A666))</f>
        <v/>
      </c>
      <c r="R666" s="13" t="str">
        <f>IF($A666="","",[1]!thsiFinD("ths_adjustment_nv_fund",R$3,$A666))</f>
        <v/>
      </c>
      <c r="S666" s="13" t="str">
        <f>IF($A666="","",[1]!thsiFinD("ths_adjustment_nv_fund",S$3,$A666))</f>
        <v/>
      </c>
      <c r="T666" s="13" t="str">
        <f>IF($A666="","",[1]!thsiFinD("ths_adjustment_nv_fund",T$3,$A666))</f>
        <v/>
      </c>
      <c r="U666" s="13" t="str">
        <f>IF($A666="","",[1]!thsiFinD("ths_adjustment_nv_fund",U$3,$A666))</f>
        <v/>
      </c>
      <c r="V666" s="13" t="str">
        <f>IF($A666="","",[1]!thsiFinD("ths_adjustment_nv_fund",V$3,$A666))</f>
        <v/>
      </c>
      <c r="W666" s="13" t="str">
        <f>IF($A666="","",[1]!thsiFinD("ths_adjustment_nv_fund",W$3,$A666))</f>
        <v/>
      </c>
      <c r="X666" s="13" t="str">
        <f>IF($A666="","",[1]!thsiFinD("ths_adjustment_nv_fund",X$3,$A666))</f>
        <v/>
      </c>
      <c r="Y666" s="13" t="str">
        <f>IF($A666="","",[1]!thsiFinD("ths_adjustment_nv_fund",Y$3,$A666))</f>
        <v/>
      </c>
      <c r="Z666" s="13" t="str">
        <f>IF($A666="","",[1]!thsiFinD("ths_adjustment_nv_fund",Z$3,$A666))</f>
        <v/>
      </c>
      <c r="AA666" s="13" t="str">
        <f>IF($A666="","",[1]!thsiFinD("ths_adjustment_nv_fund",AA$3,$A666))</f>
        <v/>
      </c>
      <c r="AB666" s="13" t="str">
        <f>IF($A666="","",[1]!thsiFinD("ths_adjustment_nv_fund",AB$3,$A666))</f>
        <v/>
      </c>
    </row>
    <row r="667" spans="2:28">
      <c r="B667" s="13" t="str">
        <f>IF($A667="","",[1]!thsiFinD("ths_adjustment_nv_fund",B$3,$A667))</f>
        <v/>
      </c>
      <c r="C667" s="13" t="str">
        <f>IF($A667="","",[1]!thsiFinD("ths_adjustment_nv_fund",C$3,$A667))</f>
        <v/>
      </c>
      <c r="D667" s="13" t="str">
        <f>IF($A667="","",[1]!thsiFinD("ths_adjustment_nv_fund",D$3,$A667))</f>
        <v/>
      </c>
      <c r="E667" s="13" t="str">
        <f>IF($A667="","",[1]!thsiFinD("ths_adjustment_nv_fund",E$3,$A667))</f>
        <v/>
      </c>
      <c r="F667" s="13" t="str">
        <f>IF($A667="","",[1]!thsiFinD("ths_adjustment_nv_fund",F$3,$A667))</f>
        <v/>
      </c>
      <c r="G667" s="13" t="str">
        <f>IF($A667="","",[1]!thsiFinD("ths_adjustment_nv_fund",G$3,$A667))</f>
        <v/>
      </c>
      <c r="H667" s="13" t="str">
        <f>IF($A667="","",[1]!thsiFinD("ths_adjustment_nv_fund",H$3,$A667))</f>
        <v/>
      </c>
      <c r="I667" s="13" t="str">
        <f>IF($A667="","",[1]!thsiFinD("ths_adjustment_nv_fund",I$3,$A667))</f>
        <v/>
      </c>
      <c r="J667" s="13" t="str">
        <f>IF($A667="","",[1]!thsiFinD("ths_adjustment_nv_fund",J$3,$A667))</f>
        <v/>
      </c>
      <c r="K667" s="13" t="str">
        <f>IF($A667="","",[1]!thsiFinD("ths_adjustment_nv_fund",K$3,$A667))</f>
        <v/>
      </c>
      <c r="L667" s="13" t="str">
        <f>IF($A667="","",[1]!thsiFinD("ths_adjustment_nv_fund",L$3,$A667))</f>
        <v/>
      </c>
      <c r="M667" s="13" t="str">
        <f>IF($A667="","",[1]!thsiFinD("ths_adjustment_nv_fund",M$3,$A667))</f>
        <v/>
      </c>
      <c r="N667" s="13" t="str">
        <f>IF($A667="","",[1]!thsiFinD("ths_adjustment_nv_fund",N$3,$A667))</f>
        <v/>
      </c>
      <c r="O667" s="13" t="str">
        <f>IF($A667="","",[1]!thsiFinD("ths_adjustment_nv_fund",O$3,$A667))</f>
        <v/>
      </c>
      <c r="P667" s="13" t="str">
        <f>IF($A667="","",[1]!thsiFinD("ths_adjustment_nv_fund",P$3,$A667))</f>
        <v/>
      </c>
      <c r="Q667" s="13" t="str">
        <f>IF($A667="","",[1]!thsiFinD("ths_adjustment_nv_fund",Q$3,$A667))</f>
        <v/>
      </c>
      <c r="R667" s="13" t="str">
        <f>IF($A667="","",[1]!thsiFinD("ths_adjustment_nv_fund",R$3,$A667))</f>
        <v/>
      </c>
      <c r="S667" s="13" t="str">
        <f>IF($A667="","",[1]!thsiFinD("ths_adjustment_nv_fund",S$3,$A667))</f>
        <v/>
      </c>
      <c r="T667" s="13" t="str">
        <f>IF($A667="","",[1]!thsiFinD("ths_adjustment_nv_fund",T$3,$A667))</f>
        <v/>
      </c>
      <c r="U667" s="13" t="str">
        <f>IF($A667="","",[1]!thsiFinD("ths_adjustment_nv_fund",U$3,$A667))</f>
        <v/>
      </c>
      <c r="V667" s="13" t="str">
        <f>IF($A667="","",[1]!thsiFinD("ths_adjustment_nv_fund",V$3,$A667))</f>
        <v/>
      </c>
      <c r="W667" s="13" t="str">
        <f>IF($A667="","",[1]!thsiFinD("ths_adjustment_nv_fund",W$3,$A667))</f>
        <v/>
      </c>
      <c r="X667" s="13" t="str">
        <f>IF($A667="","",[1]!thsiFinD("ths_adjustment_nv_fund",X$3,$A667))</f>
        <v/>
      </c>
      <c r="Y667" s="13" t="str">
        <f>IF($A667="","",[1]!thsiFinD("ths_adjustment_nv_fund",Y$3,$A667))</f>
        <v/>
      </c>
      <c r="Z667" s="13" t="str">
        <f>IF($A667="","",[1]!thsiFinD("ths_adjustment_nv_fund",Z$3,$A667))</f>
        <v/>
      </c>
      <c r="AA667" s="13" t="str">
        <f>IF($A667="","",[1]!thsiFinD("ths_adjustment_nv_fund",AA$3,$A667))</f>
        <v/>
      </c>
      <c r="AB667" s="13" t="str">
        <f>IF($A667="","",[1]!thsiFinD("ths_adjustment_nv_fund",AB$3,$A667))</f>
        <v/>
      </c>
    </row>
    <row r="668" spans="2:28">
      <c r="B668" s="13" t="str">
        <f>IF($A668="","",[1]!thsiFinD("ths_adjustment_nv_fund",B$3,$A668))</f>
        <v/>
      </c>
      <c r="C668" s="13" t="str">
        <f>IF($A668="","",[1]!thsiFinD("ths_adjustment_nv_fund",C$3,$A668))</f>
        <v/>
      </c>
      <c r="D668" s="13" t="str">
        <f>IF($A668="","",[1]!thsiFinD("ths_adjustment_nv_fund",D$3,$A668))</f>
        <v/>
      </c>
      <c r="E668" s="13" t="str">
        <f>IF($A668="","",[1]!thsiFinD("ths_adjustment_nv_fund",E$3,$A668))</f>
        <v/>
      </c>
      <c r="F668" s="13" t="str">
        <f>IF($A668="","",[1]!thsiFinD("ths_adjustment_nv_fund",F$3,$A668))</f>
        <v/>
      </c>
      <c r="G668" s="13" t="str">
        <f>IF($A668="","",[1]!thsiFinD("ths_adjustment_nv_fund",G$3,$A668))</f>
        <v/>
      </c>
      <c r="H668" s="13" t="str">
        <f>IF($A668="","",[1]!thsiFinD("ths_adjustment_nv_fund",H$3,$A668))</f>
        <v/>
      </c>
      <c r="I668" s="13" t="str">
        <f>IF($A668="","",[1]!thsiFinD("ths_adjustment_nv_fund",I$3,$A668))</f>
        <v/>
      </c>
      <c r="J668" s="13" t="str">
        <f>IF($A668="","",[1]!thsiFinD("ths_adjustment_nv_fund",J$3,$A668))</f>
        <v/>
      </c>
      <c r="K668" s="13" t="str">
        <f>IF($A668="","",[1]!thsiFinD("ths_adjustment_nv_fund",K$3,$A668))</f>
        <v/>
      </c>
      <c r="L668" s="13" t="str">
        <f>IF($A668="","",[1]!thsiFinD("ths_adjustment_nv_fund",L$3,$A668))</f>
        <v/>
      </c>
      <c r="M668" s="13" t="str">
        <f>IF($A668="","",[1]!thsiFinD("ths_adjustment_nv_fund",M$3,$A668))</f>
        <v/>
      </c>
      <c r="N668" s="13" t="str">
        <f>IF($A668="","",[1]!thsiFinD("ths_adjustment_nv_fund",N$3,$A668))</f>
        <v/>
      </c>
      <c r="O668" s="13" t="str">
        <f>IF($A668="","",[1]!thsiFinD("ths_adjustment_nv_fund",O$3,$A668))</f>
        <v/>
      </c>
      <c r="P668" s="13" t="str">
        <f>IF($A668="","",[1]!thsiFinD("ths_adjustment_nv_fund",P$3,$A668))</f>
        <v/>
      </c>
      <c r="Q668" s="13" t="str">
        <f>IF($A668="","",[1]!thsiFinD("ths_adjustment_nv_fund",Q$3,$A668))</f>
        <v/>
      </c>
      <c r="R668" s="13" t="str">
        <f>IF($A668="","",[1]!thsiFinD("ths_adjustment_nv_fund",R$3,$A668))</f>
        <v/>
      </c>
      <c r="S668" s="13" t="str">
        <f>IF($A668="","",[1]!thsiFinD("ths_adjustment_nv_fund",S$3,$A668))</f>
        <v/>
      </c>
      <c r="T668" s="13" t="str">
        <f>IF($A668="","",[1]!thsiFinD("ths_adjustment_nv_fund",T$3,$A668))</f>
        <v/>
      </c>
      <c r="U668" s="13" t="str">
        <f>IF($A668="","",[1]!thsiFinD("ths_adjustment_nv_fund",U$3,$A668))</f>
        <v/>
      </c>
      <c r="V668" s="13" t="str">
        <f>IF($A668="","",[1]!thsiFinD("ths_adjustment_nv_fund",V$3,$A668))</f>
        <v/>
      </c>
      <c r="W668" s="13" t="str">
        <f>IF($A668="","",[1]!thsiFinD("ths_adjustment_nv_fund",W$3,$A668))</f>
        <v/>
      </c>
      <c r="X668" s="13" t="str">
        <f>IF($A668="","",[1]!thsiFinD("ths_adjustment_nv_fund",X$3,$A668))</f>
        <v/>
      </c>
      <c r="Y668" s="13" t="str">
        <f>IF($A668="","",[1]!thsiFinD("ths_adjustment_nv_fund",Y$3,$A668))</f>
        <v/>
      </c>
      <c r="Z668" s="13" t="str">
        <f>IF($A668="","",[1]!thsiFinD("ths_adjustment_nv_fund",Z$3,$A668))</f>
        <v/>
      </c>
      <c r="AA668" s="13" t="str">
        <f>IF($A668="","",[1]!thsiFinD("ths_adjustment_nv_fund",AA$3,$A668))</f>
        <v/>
      </c>
      <c r="AB668" s="13" t="str">
        <f>IF($A668="","",[1]!thsiFinD("ths_adjustment_nv_fund",AB$3,$A668))</f>
        <v/>
      </c>
    </row>
    <row r="669" spans="2:28">
      <c r="B669" s="13" t="str">
        <f>IF($A669="","",[1]!thsiFinD("ths_adjustment_nv_fund",B$3,$A669))</f>
        <v/>
      </c>
      <c r="C669" s="13" t="str">
        <f>IF($A669="","",[1]!thsiFinD("ths_adjustment_nv_fund",C$3,$A669))</f>
        <v/>
      </c>
      <c r="D669" s="13" t="str">
        <f>IF($A669="","",[1]!thsiFinD("ths_adjustment_nv_fund",D$3,$A669))</f>
        <v/>
      </c>
      <c r="E669" s="13" t="str">
        <f>IF($A669="","",[1]!thsiFinD("ths_adjustment_nv_fund",E$3,$A669))</f>
        <v/>
      </c>
      <c r="F669" s="13" t="str">
        <f>IF($A669="","",[1]!thsiFinD("ths_adjustment_nv_fund",F$3,$A669))</f>
        <v/>
      </c>
      <c r="G669" s="13" t="str">
        <f>IF($A669="","",[1]!thsiFinD("ths_adjustment_nv_fund",G$3,$A669))</f>
        <v/>
      </c>
      <c r="H669" s="13" t="str">
        <f>IF($A669="","",[1]!thsiFinD("ths_adjustment_nv_fund",H$3,$A669))</f>
        <v/>
      </c>
      <c r="I669" s="13" t="str">
        <f>IF($A669="","",[1]!thsiFinD("ths_adjustment_nv_fund",I$3,$A669))</f>
        <v/>
      </c>
      <c r="J669" s="13" t="str">
        <f>IF($A669="","",[1]!thsiFinD("ths_adjustment_nv_fund",J$3,$A669))</f>
        <v/>
      </c>
      <c r="K669" s="13" t="str">
        <f>IF($A669="","",[1]!thsiFinD("ths_adjustment_nv_fund",K$3,$A669))</f>
        <v/>
      </c>
      <c r="L669" s="13" t="str">
        <f>IF($A669="","",[1]!thsiFinD("ths_adjustment_nv_fund",L$3,$A669))</f>
        <v/>
      </c>
      <c r="M669" s="13" t="str">
        <f>IF($A669="","",[1]!thsiFinD("ths_adjustment_nv_fund",M$3,$A669))</f>
        <v/>
      </c>
      <c r="N669" s="13" t="str">
        <f>IF($A669="","",[1]!thsiFinD("ths_adjustment_nv_fund",N$3,$A669))</f>
        <v/>
      </c>
      <c r="O669" s="13" t="str">
        <f>IF($A669="","",[1]!thsiFinD("ths_adjustment_nv_fund",O$3,$A669))</f>
        <v/>
      </c>
      <c r="P669" s="13" t="str">
        <f>IF($A669="","",[1]!thsiFinD("ths_adjustment_nv_fund",P$3,$A669))</f>
        <v/>
      </c>
      <c r="Q669" s="13" t="str">
        <f>IF($A669="","",[1]!thsiFinD("ths_adjustment_nv_fund",Q$3,$A669))</f>
        <v/>
      </c>
      <c r="R669" s="13" t="str">
        <f>IF($A669="","",[1]!thsiFinD("ths_adjustment_nv_fund",R$3,$A669))</f>
        <v/>
      </c>
      <c r="S669" s="13" t="str">
        <f>IF($A669="","",[1]!thsiFinD("ths_adjustment_nv_fund",S$3,$A669))</f>
        <v/>
      </c>
      <c r="T669" s="13" t="str">
        <f>IF($A669="","",[1]!thsiFinD("ths_adjustment_nv_fund",T$3,$A669))</f>
        <v/>
      </c>
      <c r="U669" s="13" t="str">
        <f>IF($A669="","",[1]!thsiFinD("ths_adjustment_nv_fund",U$3,$A669))</f>
        <v/>
      </c>
      <c r="V669" s="13" t="str">
        <f>IF($A669="","",[1]!thsiFinD("ths_adjustment_nv_fund",V$3,$A669))</f>
        <v/>
      </c>
      <c r="W669" s="13" t="str">
        <f>IF($A669="","",[1]!thsiFinD("ths_adjustment_nv_fund",W$3,$A669))</f>
        <v/>
      </c>
      <c r="X669" s="13" t="str">
        <f>IF($A669="","",[1]!thsiFinD("ths_adjustment_nv_fund",X$3,$A669))</f>
        <v/>
      </c>
      <c r="Y669" s="13" t="str">
        <f>IF($A669="","",[1]!thsiFinD("ths_adjustment_nv_fund",Y$3,$A669))</f>
        <v/>
      </c>
      <c r="Z669" s="13" t="str">
        <f>IF($A669="","",[1]!thsiFinD("ths_adjustment_nv_fund",Z$3,$A669))</f>
        <v/>
      </c>
      <c r="AA669" s="13" t="str">
        <f>IF($A669="","",[1]!thsiFinD("ths_adjustment_nv_fund",AA$3,$A669))</f>
        <v/>
      </c>
      <c r="AB669" s="13" t="str">
        <f>IF($A669="","",[1]!thsiFinD("ths_adjustment_nv_fund",AB$3,$A669))</f>
        <v/>
      </c>
    </row>
    <row r="670" spans="2:28">
      <c r="B670" s="13" t="str">
        <f>IF($A670="","",[1]!thsiFinD("ths_adjustment_nv_fund",B$3,$A670))</f>
        <v/>
      </c>
      <c r="C670" s="13" t="str">
        <f>IF($A670="","",[1]!thsiFinD("ths_adjustment_nv_fund",C$3,$A670))</f>
        <v/>
      </c>
      <c r="D670" s="13" t="str">
        <f>IF($A670="","",[1]!thsiFinD("ths_adjustment_nv_fund",D$3,$A670))</f>
        <v/>
      </c>
      <c r="E670" s="13" t="str">
        <f>IF($A670="","",[1]!thsiFinD("ths_adjustment_nv_fund",E$3,$A670))</f>
        <v/>
      </c>
      <c r="F670" s="13" t="str">
        <f>IF($A670="","",[1]!thsiFinD("ths_adjustment_nv_fund",F$3,$A670))</f>
        <v/>
      </c>
      <c r="G670" s="13" t="str">
        <f>IF($A670="","",[1]!thsiFinD("ths_adjustment_nv_fund",G$3,$A670))</f>
        <v/>
      </c>
      <c r="H670" s="13" t="str">
        <f>IF($A670="","",[1]!thsiFinD("ths_adjustment_nv_fund",H$3,$A670))</f>
        <v/>
      </c>
      <c r="I670" s="13" t="str">
        <f>IF($A670="","",[1]!thsiFinD("ths_adjustment_nv_fund",I$3,$A670))</f>
        <v/>
      </c>
      <c r="J670" s="13" t="str">
        <f>IF($A670="","",[1]!thsiFinD("ths_adjustment_nv_fund",J$3,$A670))</f>
        <v/>
      </c>
      <c r="K670" s="13" t="str">
        <f>IF($A670="","",[1]!thsiFinD("ths_adjustment_nv_fund",K$3,$A670))</f>
        <v/>
      </c>
      <c r="L670" s="13" t="str">
        <f>IF($A670="","",[1]!thsiFinD("ths_adjustment_nv_fund",L$3,$A670))</f>
        <v/>
      </c>
      <c r="M670" s="13" t="str">
        <f>IF($A670="","",[1]!thsiFinD("ths_adjustment_nv_fund",M$3,$A670))</f>
        <v/>
      </c>
      <c r="N670" s="13" t="str">
        <f>IF($A670="","",[1]!thsiFinD("ths_adjustment_nv_fund",N$3,$A670))</f>
        <v/>
      </c>
      <c r="O670" s="13" t="str">
        <f>IF($A670="","",[1]!thsiFinD("ths_adjustment_nv_fund",O$3,$A670))</f>
        <v/>
      </c>
      <c r="P670" s="13" t="str">
        <f>IF($A670="","",[1]!thsiFinD("ths_adjustment_nv_fund",P$3,$A670))</f>
        <v/>
      </c>
      <c r="Q670" s="13" t="str">
        <f>IF($A670="","",[1]!thsiFinD("ths_adjustment_nv_fund",Q$3,$A670))</f>
        <v/>
      </c>
      <c r="R670" s="13" t="str">
        <f>IF($A670="","",[1]!thsiFinD("ths_adjustment_nv_fund",R$3,$A670))</f>
        <v/>
      </c>
      <c r="S670" s="13" t="str">
        <f>IF($A670="","",[1]!thsiFinD("ths_adjustment_nv_fund",S$3,$A670))</f>
        <v/>
      </c>
      <c r="T670" s="13" t="str">
        <f>IF($A670="","",[1]!thsiFinD("ths_adjustment_nv_fund",T$3,$A670))</f>
        <v/>
      </c>
      <c r="U670" s="13" t="str">
        <f>IF($A670="","",[1]!thsiFinD("ths_adjustment_nv_fund",U$3,$A670))</f>
        <v/>
      </c>
      <c r="V670" s="13" t="str">
        <f>IF($A670="","",[1]!thsiFinD("ths_adjustment_nv_fund",V$3,$A670))</f>
        <v/>
      </c>
      <c r="W670" s="13" t="str">
        <f>IF($A670="","",[1]!thsiFinD("ths_adjustment_nv_fund",W$3,$A670))</f>
        <v/>
      </c>
      <c r="X670" s="13" t="str">
        <f>IF($A670="","",[1]!thsiFinD("ths_adjustment_nv_fund",X$3,$A670))</f>
        <v/>
      </c>
      <c r="Y670" s="13" t="str">
        <f>IF($A670="","",[1]!thsiFinD("ths_adjustment_nv_fund",Y$3,$A670))</f>
        <v/>
      </c>
      <c r="Z670" s="13" t="str">
        <f>IF($A670="","",[1]!thsiFinD("ths_adjustment_nv_fund",Z$3,$A670))</f>
        <v/>
      </c>
      <c r="AA670" s="13" t="str">
        <f>IF($A670="","",[1]!thsiFinD("ths_adjustment_nv_fund",AA$3,$A670))</f>
        <v/>
      </c>
      <c r="AB670" s="13" t="str">
        <f>IF($A670="","",[1]!thsiFinD("ths_adjustment_nv_fund",AB$3,$A670))</f>
        <v/>
      </c>
    </row>
    <row r="671" spans="2:28">
      <c r="B671" s="13" t="str">
        <f>IF($A671="","",[1]!thsiFinD("ths_adjustment_nv_fund",B$3,$A671))</f>
        <v/>
      </c>
      <c r="C671" s="13" t="str">
        <f>IF($A671="","",[1]!thsiFinD("ths_adjustment_nv_fund",C$3,$A671))</f>
        <v/>
      </c>
      <c r="D671" s="13" t="str">
        <f>IF($A671="","",[1]!thsiFinD("ths_adjustment_nv_fund",D$3,$A671))</f>
        <v/>
      </c>
      <c r="E671" s="13" t="str">
        <f>IF($A671="","",[1]!thsiFinD("ths_adjustment_nv_fund",E$3,$A671))</f>
        <v/>
      </c>
      <c r="F671" s="13" t="str">
        <f>IF($A671="","",[1]!thsiFinD("ths_adjustment_nv_fund",F$3,$A671))</f>
        <v/>
      </c>
      <c r="G671" s="13" t="str">
        <f>IF($A671="","",[1]!thsiFinD("ths_adjustment_nv_fund",G$3,$A671))</f>
        <v/>
      </c>
      <c r="H671" s="13" t="str">
        <f>IF($A671="","",[1]!thsiFinD("ths_adjustment_nv_fund",H$3,$A671))</f>
        <v/>
      </c>
      <c r="I671" s="13" t="str">
        <f>IF($A671="","",[1]!thsiFinD("ths_adjustment_nv_fund",I$3,$A671))</f>
        <v/>
      </c>
      <c r="J671" s="13" t="str">
        <f>IF($A671="","",[1]!thsiFinD("ths_adjustment_nv_fund",J$3,$A671))</f>
        <v/>
      </c>
      <c r="K671" s="13" t="str">
        <f>IF($A671="","",[1]!thsiFinD("ths_adjustment_nv_fund",K$3,$A671))</f>
        <v/>
      </c>
      <c r="L671" s="13" t="str">
        <f>IF($A671="","",[1]!thsiFinD("ths_adjustment_nv_fund",L$3,$A671))</f>
        <v/>
      </c>
      <c r="M671" s="13" t="str">
        <f>IF($A671="","",[1]!thsiFinD("ths_adjustment_nv_fund",M$3,$A671))</f>
        <v/>
      </c>
      <c r="N671" s="13" t="str">
        <f>IF($A671="","",[1]!thsiFinD("ths_adjustment_nv_fund",N$3,$A671))</f>
        <v/>
      </c>
      <c r="O671" s="13" t="str">
        <f>IF($A671="","",[1]!thsiFinD("ths_adjustment_nv_fund",O$3,$A671))</f>
        <v/>
      </c>
      <c r="P671" s="13" t="str">
        <f>IF($A671="","",[1]!thsiFinD("ths_adjustment_nv_fund",P$3,$A671))</f>
        <v/>
      </c>
      <c r="Q671" s="13" t="str">
        <f>IF($A671="","",[1]!thsiFinD("ths_adjustment_nv_fund",Q$3,$A671))</f>
        <v/>
      </c>
      <c r="R671" s="13" t="str">
        <f>IF($A671="","",[1]!thsiFinD("ths_adjustment_nv_fund",R$3,$A671))</f>
        <v/>
      </c>
      <c r="S671" s="13" t="str">
        <f>IF($A671="","",[1]!thsiFinD("ths_adjustment_nv_fund",S$3,$A671))</f>
        <v/>
      </c>
      <c r="T671" s="13" t="str">
        <f>IF($A671="","",[1]!thsiFinD("ths_adjustment_nv_fund",T$3,$A671))</f>
        <v/>
      </c>
      <c r="U671" s="13" t="str">
        <f>IF($A671="","",[1]!thsiFinD("ths_adjustment_nv_fund",U$3,$A671))</f>
        <v/>
      </c>
      <c r="V671" s="13" t="str">
        <f>IF($A671="","",[1]!thsiFinD("ths_adjustment_nv_fund",V$3,$A671))</f>
        <v/>
      </c>
      <c r="W671" s="13" t="str">
        <f>IF($A671="","",[1]!thsiFinD("ths_adjustment_nv_fund",W$3,$A671))</f>
        <v/>
      </c>
      <c r="X671" s="13" t="str">
        <f>IF($A671="","",[1]!thsiFinD("ths_adjustment_nv_fund",X$3,$A671))</f>
        <v/>
      </c>
      <c r="Y671" s="13" t="str">
        <f>IF($A671="","",[1]!thsiFinD("ths_adjustment_nv_fund",Y$3,$A671))</f>
        <v/>
      </c>
      <c r="Z671" s="13" t="str">
        <f>IF($A671="","",[1]!thsiFinD("ths_adjustment_nv_fund",Z$3,$A671))</f>
        <v/>
      </c>
      <c r="AA671" s="13" t="str">
        <f>IF($A671="","",[1]!thsiFinD("ths_adjustment_nv_fund",AA$3,$A671))</f>
        <v/>
      </c>
      <c r="AB671" s="13" t="str">
        <f>IF($A671="","",[1]!thsiFinD("ths_adjustment_nv_fund",AB$3,$A671))</f>
        <v/>
      </c>
    </row>
    <row r="672" spans="2:28">
      <c r="B672" s="13" t="str">
        <f>IF($A672="","",[1]!thsiFinD("ths_adjustment_nv_fund",B$3,$A672))</f>
        <v/>
      </c>
      <c r="C672" s="13" t="str">
        <f>IF($A672="","",[1]!thsiFinD("ths_adjustment_nv_fund",C$3,$A672))</f>
        <v/>
      </c>
      <c r="D672" s="13" t="str">
        <f>IF($A672="","",[1]!thsiFinD("ths_adjustment_nv_fund",D$3,$A672))</f>
        <v/>
      </c>
      <c r="E672" s="13" t="str">
        <f>IF($A672="","",[1]!thsiFinD("ths_adjustment_nv_fund",E$3,$A672))</f>
        <v/>
      </c>
      <c r="F672" s="13" t="str">
        <f>IF($A672="","",[1]!thsiFinD("ths_adjustment_nv_fund",F$3,$A672))</f>
        <v/>
      </c>
      <c r="G672" s="13" t="str">
        <f>IF($A672="","",[1]!thsiFinD("ths_adjustment_nv_fund",G$3,$A672))</f>
        <v/>
      </c>
      <c r="H672" s="13" t="str">
        <f>IF($A672="","",[1]!thsiFinD("ths_adjustment_nv_fund",H$3,$A672))</f>
        <v/>
      </c>
      <c r="I672" s="13" t="str">
        <f>IF($A672="","",[1]!thsiFinD("ths_adjustment_nv_fund",I$3,$A672))</f>
        <v/>
      </c>
      <c r="J672" s="13" t="str">
        <f>IF($A672="","",[1]!thsiFinD("ths_adjustment_nv_fund",J$3,$A672))</f>
        <v/>
      </c>
      <c r="K672" s="13" t="str">
        <f>IF($A672="","",[1]!thsiFinD("ths_adjustment_nv_fund",K$3,$A672))</f>
        <v/>
      </c>
      <c r="L672" s="13" t="str">
        <f>IF($A672="","",[1]!thsiFinD("ths_adjustment_nv_fund",L$3,$A672))</f>
        <v/>
      </c>
      <c r="M672" s="13" t="str">
        <f>IF($A672="","",[1]!thsiFinD("ths_adjustment_nv_fund",M$3,$A672))</f>
        <v/>
      </c>
      <c r="N672" s="13" t="str">
        <f>IF($A672="","",[1]!thsiFinD("ths_adjustment_nv_fund",N$3,$A672))</f>
        <v/>
      </c>
      <c r="O672" s="13" t="str">
        <f>IF($A672="","",[1]!thsiFinD("ths_adjustment_nv_fund",O$3,$A672))</f>
        <v/>
      </c>
      <c r="P672" s="13" t="str">
        <f>IF($A672="","",[1]!thsiFinD("ths_adjustment_nv_fund",P$3,$A672))</f>
        <v/>
      </c>
      <c r="Q672" s="13" t="str">
        <f>IF($A672="","",[1]!thsiFinD("ths_adjustment_nv_fund",Q$3,$A672))</f>
        <v/>
      </c>
      <c r="R672" s="13" t="str">
        <f>IF($A672="","",[1]!thsiFinD("ths_adjustment_nv_fund",R$3,$A672))</f>
        <v/>
      </c>
      <c r="S672" s="13" t="str">
        <f>IF($A672="","",[1]!thsiFinD("ths_adjustment_nv_fund",S$3,$A672))</f>
        <v/>
      </c>
      <c r="T672" s="13" t="str">
        <f>IF($A672="","",[1]!thsiFinD("ths_adjustment_nv_fund",T$3,$A672))</f>
        <v/>
      </c>
      <c r="U672" s="13" t="str">
        <f>IF($A672="","",[1]!thsiFinD("ths_adjustment_nv_fund",U$3,$A672))</f>
        <v/>
      </c>
      <c r="V672" s="13" t="str">
        <f>IF($A672="","",[1]!thsiFinD("ths_adjustment_nv_fund",V$3,$A672))</f>
        <v/>
      </c>
      <c r="W672" s="13" t="str">
        <f>IF($A672="","",[1]!thsiFinD("ths_adjustment_nv_fund",W$3,$A672))</f>
        <v/>
      </c>
      <c r="X672" s="13" t="str">
        <f>IF($A672="","",[1]!thsiFinD("ths_adjustment_nv_fund",X$3,$A672))</f>
        <v/>
      </c>
      <c r="Y672" s="13" t="str">
        <f>IF($A672="","",[1]!thsiFinD("ths_adjustment_nv_fund",Y$3,$A672))</f>
        <v/>
      </c>
      <c r="Z672" s="13" t="str">
        <f>IF($A672="","",[1]!thsiFinD("ths_adjustment_nv_fund",Z$3,$A672))</f>
        <v/>
      </c>
      <c r="AA672" s="13" t="str">
        <f>IF($A672="","",[1]!thsiFinD("ths_adjustment_nv_fund",AA$3,$A672))</f>
        <v/>
      </c>
      <c r="AB672" s="13" t="str">
        <f>IF($A672="","",[1]!thsiFinD("ths_adjustment_nv_fund",AB$3,$A672))</f>
        <v/>
      </c>
    </row>
    <row r="673" spans="2:28">
      <c r="B673" s="13" t="str">
        <f>IF($A673="","",[1]!thsiFinD("ths_adjustment_nv_fund",B$3,$A673))</f>
        <v/>
      </c>
      <c r="C673" s="13" t="str">
        <f>IF($A673="","",[1]!thsiFinD("ths_adjustment_nv_fund",C$3,$A673))</f>
        <v/>
      </c>
      <c r="D673" s="13" t="str">
        <f>IF($A673="","",[1]!thsiFinD("ths_adjustment_nv_fund",D$3,$A673))</f>
        <v/>
      </c>
      <c r="E673" s="13" t="str">
        <f>IF($A673="","",[1]!thsiFinD("ths_adjustment_nv_fund",E$3,$A673))</f>
        <v/>
      </c>
      <c r="F673" s="13" t="str">
        <f>IF($A673="","",[1]!thsiFinD("ths_adjustment_nv_fund",F$3,$A673))</f>
        <v/>
      </c>
      <c r="G673" s="13" t="str">
        <f>IF($A673="","",[1]!thsiFinD("ths_adjustment_nv_fund",G$3,$A673))</f>
        <v/>
      </c>
      <c r="H673" s="13" t="str">
        <f>IF($A673="","",[1]!thsiFinD("ths_adjustment_nv_fund",H$3,$A673))</f>
        <v/>
      </c>
      <c r="I673" s="13" t="str">
        <f>IF($A673="","",[1]!thsiFinD("ths_adjustment_nv_fund",I$3,$A673))</f>
        <v/>
      </c>
      <c r="J673" s="13" t="str">
        <f>IF($A673="","",[1]!thsiFinD("ths_adjustment_nv_fund",J$3,$A673))</f>
        <v/>
      </c>
      <c r="K673" s="13" t="str">
        <f>IF($A673="","",[1]!thsiFinD("ths_adjustment_nv_fund",K$3,$A673))</f>
        <v/>
      </c>
      <c r="L673" s="13" t="str">
        <f>IF($A673="","",[1]!thsiFinD("ths_adjustment_nv_fund",L$3,$A673))</f>
        <v/>
      </c>
      <c r="M673" s="13" t="str">
        <f>IF($A673="","",[1]!thsiFinD("ths_adjustment_nv_fund",M$3,$A673))</f>
        <v/>
      </c>
      <c r="N673" s="13" t="str">
        <f>IF($A673="","",[1]!thsiFinD("ths_adjustment_nv_fund",N$3,$A673))</f>
        <v/>
      </c>
      <c r="O673" s="13" t="str">
        <f>IF($A673="","",[1]!thsiFinD("ths_adjustment_nv_fund",O$3,$A673))</f>
        <v/>
      </c>
      <c r="P673" s="13" t="str">
        <f>IF($A673="","",[1]!thsiFinD("ths_adjustment_nv_fund",P$3,$A673))</f>
        <v/>
      </c>
      <c r="Q673" s="13" t="str">
        <f>IF($A673="","",[1]!thsiFinD("ths_adjustment_nv_fund",Q$3,$A673))</f>
        <v/>
      </c>
      <c r="R673" s="13" t="str">
        <f>IF($A673="","",[1]!thsiFinD("ths_adjustment_nv_fund",R$3,$A673))</f>
        <v/>
      </c>
      <c r="S673" s="13" t="str">
        <f>IF($A673="","",[1]!thsiFinD("ths_adjustment_nv_fund",S$3,$A673))</f>
        <v/>
      </c>
      <c r="T673" s="13" t="str">
        <f>IF($A673="","",[1]!thsiFinD("ths_adjustment_nv_fund",T$3,$A673))</f>
        <v/>
      </c>
      <c r="U673" s="13" t="str">
        <f>IF($A673="","",[1]!thsiFinD("ths_adjustment_nv_fund",U$3,$A673))</f>
        <v/>
      </c>
      <c r="V673" s="13" t="str">
        <f>IF($A673="","",[1]!thsiFinD("ths_adjustment_nv_fund",V$3,$A673))</f>
        <v/>
      </c>
      <c r="W673" s="13" t="str">
        <f>IF($A673="","",[1]!thsiFinD("ths_adjustment_nv_fund",W$3,$A673))</f>
        <v/>
      </c>
      <c r="X673" s="13" t="str">
        <f>IF($A673="","",[1]!thsiFinD("ths_adjustment_nv_fund",X$3,$A673))</f>
        <v/>
      </c>
      <c r="Y673" s="13" t="str">
        <f>IF($A673="","",[1]!thsiFinD("ths_adjustment_nv_fund",Y$3,$A673))</f>
        <v/>
      </c>
      <c r="Z673" s="13" t="str">
        <f>IF($A673="","",[1]!thsiFinD("ths_adjustment_nv_fund",Z$3,$A673))</f>
        <v/>
      </c>
      <c r="AA673" s="13" t="str">
        <f>IF($A673="","",[1]!thsiFinD("ths_adjustment_nv_fund",AA$3,$A673))</f>
        <v/>
      </c>
      <c r="AB673" s="13" t="str">
        <f>IF($A673="","",[1]!thsiFinD("ths_adjustment_nv_fund",AB$3,$A673))</f>
        <v/>
      </c>
    </row>
    <row r="674" spans="2:28">
      <c r="B674" s="13" t="str">
        <f>IF($A674="","",[1]!thsiFinD("ths_adjustment_nv_fund",B$3,$A674))</f>
        <v/>
      </c>
      <c r="C674" s="13" t="str">
        <f>IF($A674="","",[1]!thsiFinD("ths_adjustment_nv_fund",C$3,$A674))</f>
        <v/>
      </c>
      <c r="D674" s="13" t="str">
        <f>IF($A674="","",[1]!thsiFinD("ths_adjustment_nv_fund",D$3,$A674))</f>
        <v/>
      </c>
      <c r="E674" s="13" t="str">
        <f>IF($A674="","",[1]!thsiFinD("ths_adjustment_nv_fund",E$3,$A674))</f>
        <v/>
      </c>
      <c r="F674" s="13" t="str">
        <f>IF($A674="","",[1]!thsiFinD("ths_adjustment_nv_fund",F$3,$A674))</f>
        <v/>
      </c>
      <c r="G674" s="13" t="str">
        <f>IF($A674="","",[1]!thsiFinD("ths_adjustment_nv_fund",G$3,$A674))</f>
        <v/>
      </c>
      <c r="H674" s="13" t="str">
        <f>IF($A674="","",[1]!thsiFinD("ths_adjustment_nv_fund",H$3,$A674))</f>
        <v/>
      </c>
      <c r="I674" s="13" t="str">
        <f>IF($A674="","",[1]!thsiFinD("ths_adjustment_nv_fund",I$3,$A674))</f>
        <v/>
      </c>
      <c r="J674" s="13" t="str">
        <f>IF($A674="","",[1]!thsiFinD("ths_adjustment_nv_fund",J$3,$A674))</f>
        <v/>
      </c>
      <c r="K674" s="13" t="str">
        <f>IF($A674="","",[1]!thsiFinD("ths_adjustment_nv_fund",K$3,$A674))</f>
        <v/>
      </c>
      <c r="L674" s="13" t="str">
        <f>IF($A674="","",[1]!thsiFinD("ths_adjustment_nv_fund",L$3,$A674))</f>
        <v/>
      </c>
      <c r="M674" s="13" t="str">
        <f>IF($A674="","",[1]!thsiFinD("ths_adjustment_nv_fund",M$3,$A674))</f>
        <v/>
      </c>
      <c r="N674" s="13" t="str">
        <f>IF($A674="","",[1]!thsiFinD("ths_adjustment_nv_fund",N$3,$A674))</f>
        <v/>
      </c>
      <c r="O674" s="13" t="str">
        <f>IF($A674="","",[1]!thsiFinD("ths_adjustment_nv_fund",O$3,$A674))</f>
        <v/>
      </c>
      <c r="P674" s="13" t="str">
        <f>IF($A674="","",[1]!thsiFinD("ths_adjustment_nv_fund",P$3,$A674))</f>
        <v/>
      </c>
      <c r="Q674" s="13" t="str">
        <f>IF($A674="","",[1]!thsiFinD("ths_adjustment_nv_fund",Q$3,$A674))</f>
        <v/>
      </c>
      <c r="R674" s="13" t="str">
        <f>IF($A674="","",[1]!thsiFinD("ths_adjustment_nv_fund",R$3,$A674))</f>
        <v/>
      </c>
      <c r="S674" s="13" t="str">
        <f>IF($A674="","",[1]!thsiFinD("ths_adjustment_nv_fund",S$3,$A674))</f>
        <v/>
      </c>
      <c r="T674" s="13" t="str">
        <f>IF($A674="","",[1]!thsiFinD("ths_adjustment_nv_fund",T$3,$A674))</f>
        <v/>
      </c>
      <c r="U674" s="13" t="str">
        <f>IF($A674="","",[1]!thsiFinD("ths_adjustment_nv_fund",U$3,$A674))</f>
        <v/>
      </c>
      <c r="V674" s="13" t="str">
        <f>IF($A674="","",[1]!thsiFinD("ths_adjustment_nv_fund",V$3,$A674))</f>
        <v/>
      </c>
      <c r="W674" s="13" t="str">
        <f>IF($A674="","",[1]!thsiFinD("ths_adjustment_nv_fund",W$3,$A674))</f>
        <v/>
      </c>
      <c r="X674" s="13" t="str">
        <f>IF($A674="","",[1]!thsiFinD("ths_adjustment_nv_fund",X$3,$A674))</f>
        <v/>
      </c>
      <c r="Y674" s="13" t="str">
        <f>IF($A674="","",[1]!thsiFinD("ths_adjustment_nv_fund",Y$3,$A674))</f>
        <v/>
      </c>
      <c r="Z674" s="13" t="str">
        <f>IF($A674="","",[1]!thsiFinD("ths_adjustment_nv_fund",Z$3,$A674))</f>
        <v/>
      </c>
      <c r="AA674" s="13" t="str">
        <f>IF($A674="","",[1]!thsiFinD("ths_adjustment_nv_fund",AA$3,$A674))</f>
        <v/>
      </c>
      <c r="AB674" s="13" t="str">
        <f>IF($A674="","",[1]!thsiFinD("ths_adjustment_nv_fund",AB$3,$A674))</f>
        <v/>
      </c>
    </row>
    <row r="675" spans="2:28">
      <c r="B675" s="13" t="str">
        <f>IF($A675="","",[1]!thsiFinD("ths_adjustment_nv_fund",B$3,$A675))</f>
        <v/>
      </c>
      <c r="C675" s="13" t="str">
        <f>IF($A675="","",[1]!thsiFinD("ths_adjustment_nv_fund",C$3,$A675))</f>
        <v/>
      </c>
      <c r="D675" s="13" t="str">
        <f>IF($A675="","",[1]!thsiFinD("ths_adjustment_nv_fund",D$3,$A675))</f>
        <v/>
      </c>
      <c r="E675" s="13" t="str">
        <f>IF($A675="","",[1]!thsiFinD("ths_adjustment_nv_fund",E$3,$A675))</f>
        <v/>
      </c>
      <c r="F675" s="13" t="str">
        <f>IF($A675="","",[1]!thsiFinD("ths_adjustment_nv_fund",F$3,$A675))</f>
        <v/>
      </c>
      <c r="G675" s="13" t="str">
        <f>IF($A675="","",[1]!thsiFinD("ths_adjustment_nv_fund",G$3,$A675))</f>
        <v/>
      </c>
      <c r="H675" s="13" t="str">
        <f>IF($A675="","",[1]!thsiFinD("ths_adjustment_nv_fund",H$3,$A675))</f>
        <v/>
      </c>
      <c r="I675" s="13" t="str">
        <f>IF($A675="","",[1]!thsiFinD("ths_adjustment_nv_fund",I$3,$A675))</f>
        <v/>
      </c>
      <c r="J675" s="13" t="str">
        <f>IF($A675="","",[1]!thsiFinD("ths_adjustment_nv_fund",J$3,$A675))</f>
        <v/>
      </c>
      <c r="K675" s="13" t="str">
        <f>IF($A675="","",[1]!thsiFinD("ths_adjustment_nv_fund",K$3,$A675))</f>
        <v/>
      </c>
      <c r="L675" s="13" t="str">
        <f>IF($A675="","",[1]!thsiFinD("ths_adjustment_nv_fund",L$3,$A675))</f>
        <v/>
      </c>
      <c r="M675" s="13" t="str">
        <f>IF($A675="","",[1]!thsiFinD("ths_adjustment_nv_fund",M$3,$A675))</f>
        <v/>
      </c>
      <c r="N675" s="13" t="str">
        <f>IF($A675="","",[1]!thsiFinD("ths_adjustment_nv_fund",N$3,$A675))</f>
        <v/>
      </c>
      <c r="O675" s="13" t="str">
        <f>IF($A675="","",[1]!thsiFinD("ths_adjustment_nv_fund",O$3,$A675))</f>
        <v/>
      </c>
      <c r="P675" s="13" t="str">
        <f>IF($A675="","",[1]!thsiFinD("ths_adjustment_nv_fund",P$3,$A675))</f>
        <v/>
      </c>
      <c r="Q675" s="13" t="str">
        <f>IF($A675="","",[1]!thsiFinD("ths_adjustment_nv_fund",Q$3,$A675))</f>
        <v/>
      </c>
      <c r="R675" s="13" t="str">
        <f>IF($A675="","",[1]!thsiFinD("ths_adjustment_nv_fund",R$3,$A675))</f>
        <v/>
      </c>
      <c r="S675" s="13" t="str">
        <f>IF($A675="","",[1]!thsiFinD("ths_adjustment_nv_fund",S$3,$A675))</f>
        <v/>
      </c>
      <c r="T675" s="13" t="str">
        <f>IF($A675="","",[1]!thsiFinD("ths_adjustment_nv_fund",T$3,$A675))</f>
        <v/>
      </c>
      <c r="U675" s="13" t="str">
        <f>IF($A675="","",[1]!thsiFinD("ths_adjustment_nv_fund",U$3,$A675))</f>
        <v/>
      </c>
      <c r="V675" s="13" t="str">
        <f>IF($A675="","",[1]!thsiFinD("ths_adjustment_nv_fund",V$3,$A675))</f>
        <v/>
      </c>
      <c r="W675" s="13" t="str">
        <f>IF($A675="","",[1]!thsiFinD("ths_adjustment_nv_fund",W$3,$A675))</f>
        <v/>
      </c>
      <c r="X675" s="13" t="str">
        <f>IF($A675="","",[1]!thsiFinD("ths_adjustment_nv_fund",X$3,$A675))</f>
        <v/>
      </c>
      <c r="Y675" s="13" t="str">
        <f>IF($A675="","",[1]!thsiFinD("ths_adjustment_nv_fund",Y$3,$A675))</f>
        <v/>
      </c>
      <c r="Z675" s="13" t="str">
        <f>IF($A675="","",[1]!thsiFinD("ths_adjustment_nv_fund",Z$3,$A675))</f>
        <v/>
      </c>
      <c r="AA675" s="13" t="str">
        <f>IF($A675="","",[1]!thsiFinD("ths_adjustment_nv_fund",AA$3,$A675))</f>
        <v/>
      </c>
      <c r="AB675" s="13" t="str">
        <f>IF($A675="","",[1]!thsiFinD("ths_adjustment_nv_fund",AB$3,$A675))</f>
        <v/>
      </c>
    </row>
    <row r="676" spans="2:28">
      <c r="B676" s="13" t="str">
        <f>IF($A676="","",[1]!thsiFinD("ths_adjustment_nv_fund",B$3,$A676))</f>
        <v/>
      </c>
      <c r="C676" s="13" t="str">
        <f>IF($A676="","",[1]!thsiFinD("ths_adjustment_nv_fund",C$3,$A676))</f>
        <v/>
      </c>
      <c r="D676" s="13" t="str">
        <f>IF($A676="","",[1]!thsiFinD("ths_adjustment_nv_fund",D$3,$A676))</f>
        <v/>
      </c>
      <c r="E676" s="13" t="str">
        <f>IF($A676="","",[1]!thsiFinD("ths_adjustment_nv_fund",E$3,$A676))</f>
        <v/>
      </c>
      <c r="F676" s="13" t="str">
        <f>IF($A676="","",[1]!thsiFinD("ths_adjustment_nv_fund",F$3,$A676))</f>
        <v/>
      </c>
      <c r="G676" s="13" t="str">
        <f>IF($A676="","",[1]!thsiFinD("ths_adjustment_nv_fund",G$3,$A676))</f>
        <v/>
      </c>
      <c r="H676" s="13" t="str">
        <f>IF($A676="","",[1]!thsiFinD("ths_adjustment_nv_fund",H$3,$A676))</f>
        <v/>
      </c>
      <c r="I676" s="13" t="str">
        <f>IF($A676="","",[1]!thsiFinD("ths_adjustment_nv_fund",I$3,$A676))</f>
        <v/>
      </c>
      <c r="J676" s="13" t="str">
        <f>IF($A676="","",[1]!thsiFinD("ths_adjustment_nv_fund",J$3,$A676))</f>
        <v/>
      </c>
      <c r="K676" s="13" t="str">
        <f>IF($A676="","",[1]!thsiFinD("ths_adjustment_nv_fund",K$3,$A676))</f>
        <v/>
      </c>
      <c r="L676" s="13" t="str">
        <f>IF($A676="","",[1]!thsiFinD("ths_adjustment_nv_fund",L$3,$A676))</f>
        <v/>
      </c>
      <c r="M676" s="13" t="str">
        <f>IF($A676="","",[1]!thsiFinD("ths_adjustment_nv_fund",M$3,$A676))</f>
        <v/>
      </c>
      <c r="N676" s="13" t="str">
        <f>IF($A676="","",[1]!thsiFinD("ths_adjustment_nv_fund",N$3,$A676))</f>
        <v/>
      </c>
      <c r="O676" s="13" t="str">
        <f>IF($A676="","",[1]!thsiFinD("ths_adjustment_nv_fund",O$3,$A676))</f>
        <v/>
      </c>
      <c r="P676" s="13" t="str">
        <f>IF($A676="","",[1]!thsiFinD("ths_adjustment_nv_fund",P$3,$A676))</f>
        <v/>
      </c>
      <c r="Q676" s="13" t="str">
        <f>IF($A676="","",[1]!thsiFinD("ths_adjustment_nv_fund",Q$3,$A676))</f>
        <v/>
      </c>
      <c r="R676" s="13" t="str">
        <f>IF($A676="","",[1]!thsiFinD("ths_adjustment_nv_fund",R$3,$A676))</f>
        <v/>
      </c>
      <c r="S676" s="13" t="str">
        <f>IF($A676="","",[1]!thsiFinD("ths_adjustment_nv_fund",S$3,$A676))</f>
        <v/>
      </c>
      <c r="T676" s="13" t="str">
        <f>IF($A676="","",[1]!thsiFinD("ths_adjustment_nv_fund",T$3,$A676))</f>
        <v/>
      </c>
      <c r="U676" s="13" t="str">
        <f>IF($A676="","",[1]!thsiFinD("ths_adjustment_nv_fund",U$3,$A676))</f>
        <v/>
      </c>
      <c r="V676" s="13" t="str">
        <f>IF($A676="","",[1]!thsiFinD("ths_adjustment_nv_fund",V$3,$A676))</f>
        <v/>
      </c>
      <c r="W676" s="13" t="str">
        <f>IF($A676="","",[1]!thsiFinD("ths_adjustment_nv_fund",W$3,$A676))</f>
        <v/>
      </c>
      <c r="X676" s="13" t="str">
        <f>IF($A676="","",[1]!thsiFinD("ths_adjustment_nv_fund",X$3,$A676))</f>
        <v/>
      </c>
      <c r="Y676" s="13" t="str">
        <f>IF($A676="","",[1]!thsiFinD("ths_adjustment_nv_fund",Y$3,$A676))</f>
        <v/>
      </c>
      <c r="Z676" s="13" t="str">
        <f>IF($A676="","",[1]!thsiFinD("ths_adjustment_nv_fund",Z$3,$A676))</f>
        <v/>
      </c>
      <c r="AA676" s="13" t="str">
        <f>IF($A676="","",[1]!thsiFinD("ths_adjustment_nv_fund",AA$3,$A676))</f>
        <v/>
      </c>
      <c r="AB676" s="13" t="str">
        <f>IF($A676="","",[1]!thsiFinD("ths_adjustment_nv_fund",AB$3,$A676))</f>
        <v/>
      </c>
    </row>
    <row r="677" spans="2:28">
      <c r="B677" s="13" t="str">
        <f>IF($A677="","",[1]!thsiFinD("ths_adjustment_nv_fund",B$3,$A677))</f>
        <v/>
      </c>
      <c r="C677" s="13" t="str">
        <f>IF($A677="","",[1]!thsiFinD("ths_adjustment_nv_fund",C$3,$A677))</f>
        <v/>
      </c>
      <c r="D677" s="13" t="str">
        <f>IF($A677="","",[1]!thsiFinD("ths_adjustment_nv_fund",D$3,$A677))</f>
        <v/>
      </c>
      <c r="E677" s="13" t="str">
        <f>IF($A677="","",[1]!thsiFinD("ths_adjustment_nv_fund",E$3,$A677))</f>
        <v/>
      </c>
      <c r="F677" s="13" t="str">
        <f>IF($A677="","",[1]!thsiFinD("ths_adjustment_nv_fund",F$3,$A677))</f>
        <v/>
      </c>
      <c r="G677" s="13" t="str">
        <f>IF($A677="","",[1]!thsiFinD("ths_adjustment_nv_fund",G$3,$A677))</f>
        <v/>
      </c>
      <c r="H677" s="13" t="str">
        <f>IF($A677="","",[1]!thsiFinD("ths_adjustment_nv_fund",H$3,$A677))</f>
        <v/>
      </c>
      <c r="I677" s="13" t="str">
        <f>IF($A677="","",[1]!thsiFinD("ths_adjustment_nv_fund",I$3,$A677))</f>
        <v/>
      </c>
      <c r="J677" s="13" t="str">
        <f>IF($A677="","",[1]!thsiFinD("ths_adjustment_nv_fund",J$3,$A677))</f>
        <v/>
      </c>
      <c r="K677" s="13" t="str">
        <f>IF($A677="","",[1]!thsiFinD("ths_adjustment_nv_fund",K$3,$A677))</f>
        <v/>
      </c>
      <c r="L677" s="13" t="str">
        <f>IF($A677="","",[1]!thsiFinD("ths_adjustment_nv_fund",L$3,$A677))</f>
        <v/>
      </c>
      <c r="M677" s="13" t="str">
        <f>IF($A677="","",[1]!thsiFinD("ths_adjustment_nv_fund",M$3,$A677))</f>
        <v/>
      </c>
      <c r="N677" s="13" t="str">
        <f>IF($A677="","",[1]!thsiFinD("ths_adjustment_nv_fund",N$3,$A677))</f>
        <v/>
      </c>
      <c r="O677" s="13" t="str">
        <f>IF($A677="","",[1]!thsiFinD("ths_adjustment_nv_fund",O$3,$A677))</f>
        <v/>
      </c>
      <c r="P677" s="13" t="str">
        <f>IF($A677="","",[1]!thsiFinD("ths_adjustment_nv_fund",P$3,$A677))</f>
        <v/>
      </c>
      <c r="Q677" s="13" t="str">
        <f>IF($A677="","",[1]!thsiFinD("ths_adjustment_nv_fund",Q$3,$A677))</f>
        <v/>
      </c>
      <c r="R677" s="13" t="str">
        <f>IF($A677="","",[1]!thsiFinD("ths_adjustment_nv_fund",R$3,$A677))</f>
        <v/>
      </c>
      <c r="S677" s="13" t="str">
        <f>IF($A677="","",[1]!thsiFinD("ths_adjustment_nv_fund",S$3,$A677))</f>
        <v/>
      </c>
      <c r="T677" s="13" t="str">
        <f>IF($A677="","",[1]!thsiFinD("ths_adjustment_nv_fund",T$3,$A677))</f>
        <v/>
      </c>
      <c r="U677" s="13" t="str">
        <f>IF($A677="","",[1]!thsiFinD("ths_adjustment_nv_fund",U$3,$A677))</f>
        <v/>
      </c>
      <c r="V677" s="13" t="str">
        <f>IF($A677="","",[1]!thsiFinD("ths_adjustment_nv_fund",V$3,$A677))</f>
        <v/>
      </c>
      <c r="W677" s="13" t="str">
        <f>IF($A677="","",[1]!thsiFinD("ths_adjustment_nv_fund",W$3,$A677))</f>
        <v/>
      </c>
      <c r="X677" s="13" t="str">
        <f>IF($A677="","",[1]!thsiFinD("ths_adjustment_nv_fund",X$3,$A677))</f>
        <v/>
      </c>
      <c r="Y677" s="13" t="str">
        <f>IF($A677="","",[1]!thsiFinD("ths_adjustment_nv_fund",Y$3,$A677))</f>
        <v/>
      </c>
      <c r="Z677" s="13" t="str">
        <f>IF($A677="","",[1]!thsiFinD("ths_adjustment_nv_fund",Z$3,$A677))</f>
        <v/>
      </c>
      <c r="AA677" s="13" t="str">
        <f>IF($A677="","",[1]!thsiFinD("ths_adjustment_nv_fund",AA$3,$A677))</f>
        <v/>
      </c>
      <c r="AB677" s="13" t="str">
        <f>IF($A677="","",[1]!thsiFinD("ths_adjustment_nv_fund",AB$3,$A677))</f>
        <v/>
      </c>
    </row>
    <row r="678" spans="2:28">
      <c r="B678" s="13" t="str">
        <f>IF($A678="","",[1]!thsiFinD("ths_adjustment_nv_fund",B$3,$A678))</f>
        <v/>
      </c>
      <c r="C678" s="13" t="str">
        <f>IF($A678="","",[1]!thsiFinD("ths_adjustment_nv_fund",C$3,$A678))</f>
        <v/>
      </c>
      <c r="D678" s="13" t="str">
        <f>IF($A678="","",[1]!thsiFinD("ths_adjustment_nv_fund",D$3,$A678))</f>
        <v/>
      </c>
      <c r="E678" s="13" t="str">
        <f>IF($A678="","",[1]!thsiFinD("ths_adjustment_nv_fund",E$3,$A678))</f>
        <v/>
      </c>
      <c r="F678" s="13" t="str">
        <f>IF($A678="","",[1]!thsiFinD("ths_adjustment_nv_fund",F$3,$A678))</f>
        <v/>
      </c>
      <c r="G678" s="13" t="str">
        <f>IF($A678="","",[1]!thsiFinD("ths_adjustment_nv_fund",G$3,$A678))</f>
        <v/>
      </c>
      <c r="H678" s="13" t="str">
        <f>IF($A678="","",[1]!thsiFinD("ths_adjustment_nv_fund",H$3,$A678))</f>
        <v/>
      </c>
      <c r="I678" s="13" t="str">
        <f>IF($A678="","",[1]!thsiFinD("ths_adjustment_nv_fund",I$3,$A678))</f>
        <v/>
      </c>
      <c r="J678" s="13" t="str">
        <f>IF($A678="","",[1]!thsiFinD("ths_adjustment_nv_fund",J$3,$A678))</f>
        <v/>
      </c>
      <c r="K678" s="13" t="str">
        <f>IF($A678="","",[1]!thsiFinD("ths_adjustment_nv_fund",K$3,$A678))</f>
        <v/>
      </c>
      <c r="L678" s="13" t="str">
        <f>IF($A678="","",[1]!thsiFinD("ths_adjustment_nv_fund",L$3,$A678))</f>
        <v/>
      </c>
      <c r="M678" s="13" t="str">
        <f>IF($A678="","",[1]!thsiFinD("ths_adjustment_nv_fund",M$3,$A678))</f>
        <v/>
      </c>
      <c r="N678" s="13" t="str">
        <f>IF($A678="","",[1]!thsiFinD("ths_adjustment_nv_fund",N$3,$A678))</f>
        <v/>
      </c>
      <c r="O678" s="13" t="str">
        <f>IF($A678="","",[1]!thsiFinD("ths_adjustment_nv_fund",O$3,$A678))</f>
        <v/>
      </c>
      <c r="P678" s="13" t="str">
        <f>IF($A678="","",[1]!thsiFinD("ths_adjustment_nv_fund",P$3,$A678))</f>
        <v/>
      </c>
      <c r="Q678" s="13" t="str">
        <f>IF($A678="","",[1]!thsiFinD("ths_adjustment_nv_fund",Q$3,$A678))</f>
        <v/>
      </c>
      <c r="R678" s="13" t="str">
        <f>IF($A678="","",[1]!thsiFinD("ths_adjustment_nv_fund",R$3,$A678))</f>
        <v/>
      </c>
      <c r="S678" s="13" t="str">
        <f>IF($A678="","",[1]!thsiFinD("ths_adjustment_nv_fund",S$3,$A678))</f>
        <v/>
      </c>
      <c r="T678" s="13" t="str">
        <f>IF($A678="","",[1]!thsiFinD("ths_adjustment_nv_fund",T$3,$A678))</f>
        <v/>
      </c>
      <c r="U678" s="13" t="str">
        <f>IF($A678="","",[1]!thsiFinD("ths_adjustment_nv_fund",U$3,$A678))</f>
        <v/>
      </c>
      <c r="V678" s="13" t="str">
        <f>IF($A678="","",[1]!thsiFinD("ths_adjustment_nv_fund",V$3,$A678))</f>
        <v/>
      </c>
      <c r="W678" s="13" t="str">
        <f>IF($A678="","",[1]!thsiFinD("ths_adjustment_nv_fund",W$3,$A678))</f>
        <v/>
      </c>
      <c r="X678" s="13" t="str">
        <f>IF($A678="","",[1]!thsiFinD("ths_adjustment_nv_fund",X$3,$A678))</f>
        <v/>
      </c>
      <c r="Y678" s="13" t="str">
        <f>IF($A678="","",[1]!thsiFinD("ths_adjustment_nv_fund",Y$3,$A678))</f>
        <v/>
      </c>
      <c r="Z678" s="13" t="str">
        <f>IF($A678="","",[1]!thsiFinD("ths_adjustment_nv_fund",Z$3,$A678))</f>
        <v/>
      </c>
      <c r="AA678" s="13" t="str">
        <f>IF($A678="","",[1]!thsiFinD("ths_adjustment_nv_fund",AA$3,$A678))</f>
        <v/>
      </c>
      <c r="AB678" s="13" t="str">
        <f>IF($A678="","",[1]!thsiFinD("ths_adjustment_nv_fund",AB$3,$A678))</f>
        <v/>
      </c>
    </row>
    <row r="679" spans="2:28">
      <c r="B679" s="13" t="str">
        <f>IF($A679="","",[1]!thsiFinD("ths_adjustment_nv_fund",B$3,$A679))</f>
        <v/>
      </c>
      <c r="C679" s="13" t="str">
        <f>IF($A679="","",[1]!thsiFinD("ths_adjustment_nv_fund",C$3,$A679))</f>
        <v/>
      </c>
      <c r="D679" s="13" t="str">
        <f>IF($A679="","",[1]!thsiFinD("ths_adjustment_nv_fund",D$3,$A679))</f>
        <v/>
      </c>
      <c r="E679" s="13" t="str">
        <f>IF($A679="","",[1]!thsiFinD("ths_adjustment_nv_fund",E$3,$A679))</f>
        <v/>
      </c>
      <c r="F679" s="13" t="str">
        <f>IF($A679="","",[1]!thsiFinD("ths_adjustment_nv_fund",F$3,$A679))</f>
        <v/>
      </c>
      <c r="G679" s="13" t="str">
        <f>IF($A679="","",[1]!thsiFinD("ths_adjustment_nv_fund",G$3,$A679))</f>
        <v/>
      </c>
      <c r="H679" s="13" t="str">
        <f>IF($A679="","",[1]!thsiFinD("ths_adjustment_nv_fund",H$3,$A679))</f>
        <v/>
      </c>
      <c r="I679" s="13" t="str">
        <f>IF($A679="","",[1]!thsiFinD("ths_adjustment_nv_fund",I$3,$A679))</f>
        <v/>
      </c>
      <c r="J679" s="13" t="str">
        <f>IF($A679="","",[1]!thsiFinD("ths_adjustment_nv_fund",J$3,$A679))</f>
        <v/>
      </c>
      <c r="K679" s="13" t="str">
        <f>IF($A679="","",[1]!thsiFinD("ths_adjustment_nv_fund",K$3,$A679))</f>
        <v/>
      </c>
      <c r="L679" s="13" t="str">
        <f>IF($A679="","",[1]!thsiFinD("ths_adjustment_nv_fund",L$3,$A679))</f>
        <v/>
      </c>
      <c r="M679" s="13" t="str">
        <f>IF($A679="","",[1]!thsiFinD("ths_adjustment_nv_fund",M$3,$A679))</f>
        <v/>
      </c>
      <c r="N679" s="13" t="str">
        <f>IF($A679="","",[1]!thsiFinD("ths_adjustment_nv_fund",N$3,$A679))</f>
        <v/>
      </c>
      <c r="O679" s="13" t="str">
        <f>IF($A679="","",[1]!thsiFinD("ths_adjustment_nv_fund",O$3,$A679))</f>
        <v/>
      </c>
      <c r="P679" s="13" t="str">
        <f>IF($A679="","",[1]!thsiFinD("ths_adjustment_nv_fund",P$3,$A679))</f>
        <v/>
      </c>
      <c r="Q679" s="13" t="str">
        <f>IF($A679="","",[1]!thsiFinD("ths_adjustment_nv_fund",Q$3,$A679))</f>
        <v/>
      </c>
      <c r="R679" s="13" t="str">
        <f>IF($A679="","",[1]!thsiFinD("ths_adjustment_nv_fund",R$3,$A679))</f>
        <v/>
      </c>
      <c r="S679" s="13" t="str">
        <f>IF($A679="","",[1]!thsiFinD("ths_adjustment_nv_fund",S$3,$A679))</f>
        <v/>
      </c>
      <c r="T679" s="13" t="str">
        <f>IF($A679="","",[1]!thsiFinD("ths_adjustment_nv_fund",T$3,$A679))</f>
        <v/>
      </c>
      <c r="U679" s="13" t="str">
        <f>IF($A679="","",[1]!thsiFinD("ths_adjustment_nv_fund",U$3,$A679))</f>
        <v/>
      </c>
      <c r="V679" s="13" t="str">
        <f>IF($A679="","",[1]!thsiFinD("ths_adjustment_nv_fund",V$3,$A679))</f>
        <v/>
      </c>
      <c r="W679" s="13" t="str">
        <f>IF($A679="","",[1]!thsiFinD("ths_adjustment_nv_fund",W$3,$A679))</f>
        <v/>
      </c>
      <c r="X679" s="13" t="str">
        <f>IF($A679="","",[1]!thsiFinD("ths_adjustment_nv_fund",X$3,$A679))</f>
        <v/>
      </c>
      <c r="Y679" s="13" t="str">
        <f>IF($A679="","",[1]!thsiFinD("ths_adjustment_nv_fund",Y$3,$A679))</f>
        <v/>
      </c>
      <c r="Z679" s="13" t="str">
        <f>IF($A679="","",[1]!thsiFinD("ths_adjustment_nv_fund",Z$3,$A679))</f>
        <v/>
      </c>
      <c r="AA679" s="13" t="str">
        <f>IF($A679="","",[1]!thsiFinD("ths_adjustment_nv_fund",AA$3,$A679))</f>
        <v/>
      </c>
      <c r="AB679" s="13" t="str">
        <f>IF($A679="","",[1]!thsiFinD("ths_adjustment_nv_fund",AB$3,$A679))</f>
        <v/>
      </c>
    </row>
    <row r="680" spans="2:28">
      <c r="B680" s="13" t="str">
        <f>IF($A680="","",[1]!thsiFinD("ths_adjustment_nv_fund",B$3,$A680))</f>
        <v/>
      </c>
      <c r="C680" s="13" t="str">
        <f>IF($A680="","",[1]!thsiFinD("ths_adjustment_nv_fund",C$3,$A680))</f>
        <v/>
      </c>
      <c r="D680" s="13" t="str">
        <f>IF($A680="","",[1]!thsiFinD("ths_adjustment_nv_fund",D$3,$A680))</f>
        <v/>
      </c>
      <c r="E680" s="13" t="str">
        <f>IF($A680="","",[1]!thsiFinD("ths_adjustment_nv_fund",E$3,$A680))</f>
        <v/>
      </c>
      <c r="F680" s="13" t="str">
        <f>IF($A680="","",[1]!thsiFinD("ths_adjustment_nv_fund",F$3,$A680))</f>
        <v/>
      </c>
      <c r="G680" s="13" t="str">
        <f>IF($A680="","",[1]!thsiFinD("ths_adjustment_nv_fund",G$3,$A680))</f>
        <v/>
      </c>
      <c r="H680" s="13" t="str">
        <f>IF($A680="","",[1]!thsiFinD("ths_adjustment_nv_fund",H$3,$A680))</f>
        <v/>
      </c>
      <c r="I680" s="13" t="str">
        <f>IF($A680="","",[1]!thsiFinD("ths_adjustment_nv_fund",I$3,$A680))</f>
        <v/>
      </c>
      <c r="J680" s="13" t="str">
        <f>IF($A680="","",[1]!thsiFinD("ths_adjustment_nv_fund",J$3,$A680))</f>
        <v/>
      </c>
      <c r="K680" s="13" t="str">
        <f>IF($A680="","",[1]!thsiFinD("ths_adjustment_nv_fund",K$3,$A680))</f>
        <v/>
      </c>
      <c r="L680" s="13" t="str">
        <f>IF($A680="","",[1]!thsiFinD("ths_adjustment_nv_fund",L$3,$A680))</f>
        <v/>
      </c>
      <c r="M680" s="13" t="str">
        <f>IF($A680="","",[1]!thsiFinD("ths_adjustment_nv_fund",M$3,$A680))</f>
        <v/>
      </c>
      <c r="N680" s="13" t="str">
        <f>IF($A680="","",[1]!thsiFinD("ths_adjustment_nv_fund",N$3,$A680))</f>
        <v/>
      </c>
      <c r="O680" s="13" t="str">
        <f>IF($A680="","",[1]!thsiFinD("ths_adjustment_nv_fund",O$3,$A680))</f>
        <v/>
      </c>
      <c r="P680" s="13" t="str">
        <f>IF($A680="","",[1]!thsiFinD("ths_adjustment_nv_fund",P$3,$A680))</f>
        <v/>
      </c>
      <c r="Q680" s="13" t="str">
        <f>IF($A680="","",[1]!thsiFinD("ths_adjustment_nv_fund",Q$3,$A680))</f>
        <v/>
      </c>
      <c r="R680" s="13" t="str">
        <f>IF($A680="","",[1]!thsiFinD("ths_adjustment_nv_fund",R$3,$A680))</f>
        <v/>
      </c>
      <c r="S680" s="13" t="str">
        <f>IF($A680="","",[1]!thsiFinD("ths_adjustment_nv_fund",S$3,$A680))</f>
        <v/>
      </c>
      <c r="T680" s="13" t="str">
        <f>IF($A680="","",[1]!thsiFinD("ths_adjustment_nv_fund",T$3,$A680))</f>
        <v/>
      </c>
      <c r="U680" s="13" t="str">
        <f>IF($A680="","",[1]!thsiFinD("ths_adjustment_nv_fund",U$3,$A680))</f>
        <v/>
      </c>
      <c r="V680" s="13" t="str">
        <f>IF($A680="","",[1]!thsiFinD("ths_adjustment_nv_fund",V$3,$A680))</f>
        <v/>
      </c>
      <c r="W680" s="13" t="str">
        <f>IF($A680="","",[1]!thsiFinD("ths_adjustment_nv_fund",W$3,$A680))</f>
        <v/>
      </c>
      <c r="X680" s="13" t="str">
        <f>IF($A680="","",[1]!thsiFinD("ths_adjustment_nv_fund",X$3,$A680))</f>
        <v/>
      </c>
      <c r="Y680" s="13" t="str">
        <f>IF($A680="","",[1]!thsiFinD("ths_adjustment_nv_fund",Y$3,$A680))</f>
        <v/>
      </c>
      <c r="Z680" s="13" t="str">
        <f>IF($A680="","",[1]!thsiFinD("ths_adjustment_nv_fund",Z$3,$A680))</f>
        <v/>
      </c>
      <c r="AA680" s="13" t="str">
        <f>IF($A680="","",[1]!thsiFinD("ths_adjustment_nv_fund",AA$3,$A680))</f>
        <v/>
      </c>
      <c r="AB680" s="13" t="str">
        <f>IF($A680="","",[1]!thsiFinD("ths_adjustment_nv_fund",AB$3,$A680))</f>
        <v/>
      </c>
    </row>
    <row r="681" spans="2:28">
      <c r="B681" s="13" t="str">
        <f>IF($A681="","",[1]!thsiFinD("ths_adjustment_nv_fund",B$3,$A681))</f>
        <v/>
      </c>
      <c r="C681" s="13" t="str">
        <f>IF($A681="","",[1]!thsiFinD("ths_adjustment_nv_fund",C$3,$A681))</f>
        <v/>
      </c>
      <c r="D681" s="13" t="str">
        <f>IF($A681="","",[1]!thsiFinD("ths_adjustment_nv_fund",D$3,$A681))</f>
        <v/>
      </c>
      <c r="E681" s="13" t="str">
        <f>IF($A681="","",[1]!thsiFinD("ths_adjustment_nv_fund",E$3,$A681))</f>
        <v/>
      </c>
      <c r="F681" s="13" t="str">
        <f>IF($A681="","",[1]!thsiFinD("ths_adjustment_nv_fund",F$3,$A681))</f>
        <v/>
      </c>
      <c r="G681" s="13" t="str">
        <f>IF($A681="","",[1]!thsiFinD("ths_adjustment_nv_fund",G$3,$A681))</f>
        <v/>
      </c>
      <c r="H681" s="13" t="str">
        <f>IF($A681="","",[1]!thsiFinD("ths_adjustment_nv_fund",H$3,$A681))</f>
        <v/>
      </c>
      <c r="I681" s="13" t="str">
        <f>IF($A681="","",[1]!thsiFinD("ths_adjustment_nv_fund",I$3,$A681))</f>
        <v/>
      </c>
      <c r="J681" s="13" t="str">
        <f>IF($A681="","",[1]!thsiFinD("ths_adjustment_nv_fund",J$3,$A681))</f>
        <v/>
      </c>
      <c r="K681" s="13" t="str">
        <f>IF($A681="","",[1]!thsiFinD("ths_adjustment_nv_fund",K$3,$A681))</f>
        <v/>
      </c>
      <c r="L681" s="13" t="str">
        <f>IF($A681="","",[1]!thsiFinD("ths_adjustment_nv_fund",L$3,$A681))</f>
        <v/>
      </c>
      <c r="M681" s="13" t="str">
        <f>IF($A681="","",[1]!thsiFinD("ths_adjustment_nv_fund",M$3,$A681))</f>
        <v/>
      </c>
      <c r="N681" s="13" t="str">
        <f>IF($A681="","",[1]!thsiFinD("ths_adjustment_nv_fund",N$3,$A681))</f>
        <v/>
      </c>
      <c r="O681" s="13" t="str">
        <f>IF($A681="","",[1]!thsiFinD("ths_adjustment_nv_fund",O$3,$A681))</f>
        <v/>
      </c>
      <c r="P681" s="13" t="str">
        <f>IF($A681="","",[1]!thsiFinD("ths_adjustment_nv_fund",P$3,$A681))</f>
        <v/>
      </c>
      <c r="Q681" s="13" t="str">
        <f>IF($A681="","",[1]!thsiFinD("ths_adjustment_nv_fund",Q$3,$A681))</f>
        <v/>
      </c>
      <c r="R681" s="13" t="str">
        <f>IF($A681="","",[1]!thsiFinD("ths_adjustment_nv_fund",R$3,$A681))</f>
        <v/>
      </c>
      <c r="S681" s="13" t="str">
        <f>IF($A681="","",[1]!thsiFinD("ths_adjustment_nv_fund",S$3,$A681))</f>
        <v/>
      </c>
      <c r="T681" s="13" t="str">
        <f>IF($A681="","",[1]!thsiFinD("ths_adjustment_nv_fund",T$3,$A681))</f>
        <v/>
      </c>
      <c r="U681" s="13" t="str">
        <f>IF($A681="","",[1]!thsiFinD("ths_adjustment_nv_fund",U$3,$A681))</f>
        <v/>
      </c>
      <c r="V681" s="13" t="str">
        <f>IF($A681="","",[1]!thsiFinD("ths_adjustment_nv_fund",V$3,$A681))</f>
        <v/>
      </c>
      <c r="W681" s="13" t="str">
        <f>IF($A681="","",[1]!thsiFinD("ths_adjustment_nv_fund",W$3,$A681))</f>
        <v/>
      </c>
      <c r="X681" s="13" t="str">
        <f>IF($A681="","",[1]!thsiFinD("ths_adjustment_nv_fund",X$3,$A681))</f>
        <v/>
      </c>
      <c r="Y681" s="13" t="str">
        <f>IF($A681="","",[1]!thsiFinD("ths_adjustment_nv_fund",Y$3,$A681))</f>
        <v/>
      </c>
      <c r="Z681" s="13" t="str">
        <f>IF($A681="","",[1]!thsiFinD("ths_adjustment_nv_fund",Z$3,$A681))</f>
        <v/>
      </c>
      <c r="AA681" s="13" t="str">
        <f>IF($A681="","",[1]!thsiFinD("ths_adjustment_nv_fund",AA$3,$A681))</f>
        <v/>
      </c>
      <c r="AB681" s="13" t="str">
        <f>IF($A681="","",[1]!thsiFinD("ths_adjustment_nv_fund",AB$3,$A681))</f>
        <v/>
      </c>
    </row>
    <row r="682" spans="2:28">
      <c r="B682" s="13" t="str">
        <f>IF($A682="","",[1]!thsiFinD("ths_adjustment_nv_fund",B$3,$A682))</f>
        <v/>
      </c>
      <c r="C682" s="13" t="str">
        <f>IF($A682="","",[1]!thsiFinD("ths_adjustment_nv_fund",C$3,$A682))</f>
        <v/>
      </c>
      <c r="D682" s="13" t="str">
        <f>IF($A682="","",[1]!thsiFinD("ths_adjustment_nv_fund",D$3,$A682))</f>
        <v/>
      </c>
      <c r="E682" s="13" t="str">
        <f>IF($A682="","",[1]!thsiFinD("ths_adjustment_nv_fund",E$3,$A682))</f>
        <v/>
      </c>
      <c r="F682" s="13" t="str">
        <f>IF($A682="","",[1]!thsiFinD("ths_adjustment_nv_fund",F$3,$A682))</f>
        <v/>
      </c>
      <c r="G682" s="13" t="str">
        <f>IF($A682="","",[1]!thsiFinD("ths_adjustment_nv_fund",G$3,$A682))</f>
        <v/>
      </c>
      <c r="H682" s="13" t="str">
        <f>IF($A682="","",[1]!thsiFinD("ths_adjustment_nv_fund",H$3,$A682))</f>
        <v/>
      </c>
      <c r="I682" s="13" t="str">
        <f>IF($A682="","",[1]!thsiFinD("ths_adjustment_nv_fund",I$3,$A682))</f>
        <v/>
      </c>
      <c r="J682" s="13" t="str">
        <f>IF($A682="","",[1]!thsiFinD("ths_adjustment_nv_fund",J$3,$A682))</f>
        <v/>
      </c>
      <c r="K682" s="13" t="str">
        <f>IF($A682="","",[1]!thsiFinD("ths_adjustment_nv_fund",K$3,$A682))</f>
        <v/>
      </c>
      <c r="L682" s="13" t="str">
        <f>IF($A682="","",[1]!thsiFinD("ths_adjustment_nv_fund",L$3,$A682))</f>
        <v/>
      </c>
      <c r="M682" s="13" t="str">
        <f>IF($A682="","",[1]!thsiFinD("ths_adjustment_nv_fund",M$3,$A682))</f>
        <v/>
      </c>
      <c r="N682" s="13" t="str">
        <f>IF($A682="","",[1]!thsiFinD("ths_adjustment_nv_fund",N$3,$A682))</f>
        <v/>
      </c>
      <c r="O682" s="13" t="str">
        <f>IF($A682="","",[1]!thsiFinD("ths_adjustment_nv_fund",O$3,$A682))</f>
        <v/>
      </c>
      <c r="P682" s="13" t="str">
        <f>IF($A682="","",[1]!thsiFinD("ths_adjustment_nv_fund",P$3,$A682))</f>
        <v/>
      </c>
      <c r="Q682" s="13" t="str">
        <f>IF($A682="","",[1]!thsiFinD("ths_adjustment_nv_fund",Q$3,$A682))</f>
        <v/>
      </c>
      <c r="R682" s="13" t="str">
        <f>IF($A682="","",[1]!thsiFinD("ths_adjustment_nv_fund",R$3,$A682))</f>
        <v/>
      </c>
      <c r="S682" s="13" t="str">
        <f>IF($A682="","",[1]!thsiFinD("ths_adjustment_nv_fund",S$3,$A682))</f>
        <v/>
      </c>
      <c r="T682" s="13" t="str">
        <f>IF($A682="","",[1]!thsiFinD("ths_adjustment_nv_fund",T$3,$A682))</f>
        <v/>
      </c>
      <c r="U682" s="13" t="str">
        <f>IF($A682="","",[1]!thsiFinD("ths_adjustment_nv_fund",U$3,$A682))</f>
        <v/>
      </c>
      <c r="V682" s="13" t="str">
        <f>IF($A682="","",[1]!thsiFinD("ths_adjustment_nv_fund",V$3,$A682))</f>
        <v/>
      </c>
      <c r="W682" s="13" t="str">
        <f>IF($A682="","",[1]!thsiFinD("ths_adjustment_nv_fund",W$3,$A682))</f>
        <v/>
      </c>
      <c r="X682" s="13" t="str">
        <f>IF($A682="","",[1]!thsiFinD("ths_adjustment_nv_fund",X$3,$A682))</f>
        <v/>
      </c>
      <c r="Y682" s="13" t="str">
        <f>IF($A682="","",[1]!thsiFinD("ths_adjustment_nv_fund",Y$3,$A682))</f>
        <v/>
      </c>
      <c r="Z682" s="13" t="str">
        <f>IF($A682="","",[1]!thsiFinD("ths_adjustment_nv_fund",Z$3,$A682))</f>
        <v/>
      </c>
      <c r="AA682" s="13" t="str">
        <f>IF($A682="","",[1]!thsiFinD("ths_adjustment_nv_fund",AA$3,$A682))</f>
        <v/>
      </c>
      <c r="AB682" s="13" t="str">
        <f>IF($A682="","",[1]!thsiFinD("ths_adjustment_nv_fund",AB$3,$A682))</f>
        <v/>
      </c>
    </row>
    <row r="683" spans="2:28">
      <c r="B683" s="13" t="str">
        <f>IF($A683="","",[1]!thsiFinD("ths_adjustment_nv_fund",B$3,$A683))</f>
        <v/>
      </c>
      <c r="C683" s="13" t="str">
        <f>IF($A683="","",[1]!thsiFinD("ths_adjustment_nv_fund",C$3,$A683))</f>
        <v/>
      </c>
      <c r="D683" s="13" t="str">
        <f>IF($A683="","",[1]!thsiFinD("ths_adjustment_nv_fund",D$3,$A683))</f>
        <v/>
      </c>
      <c r="E683" s="13" t="str">
        <f>IF($A683="","",[1]!thsiFinD("ths_adjustment_nv_fund",E$3,$A683))</f>
        <v/>
      </c>
      <c r="F683" s="13" t="str">
        <f>IF($A683="","",[1]!thsiFinD("ths_adjustment_nv_fund",F$3,$A683))</f>
        <v/>
      </c>
      <c r="G683" s="13" t="str">
        <f>IF($A683="","",[1]!thsiFinD("ths_adjustment_nv_fund",G$3,$A683))</f>
        <v/>
      </c>
      <c r="H683" s="13" t="str">
        <f>IF($A683="","",[1]!thsiFinD("ths_adjustment_nv_fund",H$3,$A683))</f>
        <v/>
      </c>
      <c r="I683" s="13" t="str">
        <f>IF($A683="","",[1]!thsiFinD("ths_adjustment_nv_fund",I$3,$A683))</f>
        <v/>
      </c>
      <c r="J683" s="13" t="str">
        <f>IF($A683="","",[1]!thsiFinD("ths_adjustment_nv_fund",J$3,$A683))</f>
        <v/>
      </c>
      <c r="K683" s="13" t="str">
        <f>IF($A683="","",[1]!thsiFinD("ths_adjustment_nv_fund",K$3,$A683))</f>
        <v/>
      </c>
      <c r="L683" s="13" t="str">
        <f>IF($A683="","",[1]!thsiFinD("ths_adjustment_nv_fund",L$3,$A683))</f>
        <v/>
      </c>
      <c r="M683" s="13" t="str">
        <f>IF($A683="","",[1]!thsiFinD("ths_adjustment_nv_fund",M$3,$A683))</f>
        <v/>
      </c>
      <c r="N683" s="13" t="str">
        <f>IF($A683="","",[1]!thsiFinD("ths_adjustment_nv_fund",N$3,$A683))</f>
        <v/>
      </c>
      <c r="O683" s="13" t="str">
        <f>IF($A683="","",[1]!thsiFinD("ths_adjustment_nv_fund",O$3,$A683))</f>
        <v/>
      </c>
      <c r="P683" s="13" t="str">
        <f>IF($A683="","",[1]!thsiFinD("ths_adjustment_nv_fund",P$3,$A683))</f>
        <v/>
      </c>
      <c r="Q683" s="13" t="str">
        <f>IF($A683="","",[1]!thsiFinD("ths_adjustment_nv_fund",Q$3,$A683))</f>
        <v/>
      </c>
      <c r="R683" s="13" t="str">
        <f>IF($A683="","",[1]!thsiFinD("ths_adjustment_nv_fund",R$3,$A683))</f>
        <v/>
      </c>
      <c r="S683" s="13" t="str">
        <f>IF($A683="","",[1]!thsiFinD("ths_adjustment_nv_fund",S$3,$A683))</f>
        <v/>
      </c>
      <c r="T683" s="13" t="str">
        <f>IF($A683="","",[1]!thsiFinD("ths_adjustment_nv_fund",T$3,$A683))</f>
        <v/>
      </c>
      <c r="U683" s="13" t="str">
        <f>IF($A683="","",[1]!thsiFinD("ths_adjustment_nv_fund",U$3,$A683))</f>
        <v/>
      </c>
      <c r="V683" s="13" t="str">
        <f>IF($A683="","",[1]!thsiFinD("ths_adjustment_nv_fund",V$3,$A683))</f>
        <v/>
      </c>
      <c r="W683" s="13" t="str">
        <f>IF($A683="","",[1]!thsiFinD("ths_adjustment_nv_fund",W$3,$A683))</f>
        <v/>
      </c>
      <c r="X683" s="13" t="str">
        <f>IF($A683="","",[1]!thsiFinD("ths_adjustment_nv_fund",X$3,$A683))</f>
        <v/>
      </c>
      <c r="Y683" s="13" t="str">
        <f>IF($A683="","",[1]!thsiFinD("ths_adjustment_nv_fund",Y$3,$A683))</f>
        <v/>
      </c>
      <c r="Z683" s="13" t="str">
        <f>IF($A683="","",[1]!thsiFinD("ths_adjustment_nv_fund",Z$3,$A683))</f>
        <v/>
      </c>
      <c r="AA683" s="13" t="str">
        <f>IF($A683="","",[1]!thsiFinD("ths_adjustment_nv_fund",AA$3,$A683))</f>
        <v/>
      </c>
      <c r="AB683" s="13" t="str">
        <f>IF($A683="","",[1]!thsiFinD("ths_adjustment_nv_fund",AB$3,$A683))</f>
        <v/>
      </c>
    </row>
    <row r="684" spans="2:28">
      <c r="B684" s="13" t="str">
        <f>IF($A684="","",[1]!thsiFinD("ths_adjustment_nv_fund",B$3,$A684))</f>
        <v/>
      </c>
      <c r="C684" s="13" t="str">
        <f>IF($A684="","",[1]!thsiFinD("ths_adjustment_nv_fund",C$3,$A684))</f>
        <v/>
      </c>
      <c r="D684" s="13" t="str">
        <f>IF($A684="","",[1]!thsiFinD("ths_adjustment_nv_fund",D$3,$A684))</f>
        <v/>
      </c>
      <c r="E684" s="13" t="str">
        <f>IF($A684="","",[1]!thsiFinD("ths_adjustment_nv_fund",E$3,$A684))</f>
        <v/>
      </c>
      <c r="F684" s="13" t="str">
        <f>IF($A684="","",[1]!thsiFinD("ths_adjustment_nv_fund",F$3,$A684))</f>
        <v/>
      </c>
      <c r="G684" s="13" t="str">
        <f>IF($A684="","",[1]!thsiFinD("ths_adjustment_nv_fund",G$3,$A684))</f>
        <v/>
      </c>
      <c r="H684" s="13" t="str">
        <f>IF($A684="","",[1]!thsiFinD("ths_adjustment_nv_fund",H$3,$A684))</f>
        <v/>
      </c>
      <c r="I684" s="13" t="str">
        <f>IF($A684="","",[1]!thsiFinD("ths_adjustment_nv_fund",I$3,$A684))</f>
        <v/>
      </c>
      <c r="J684" s="13" t="str">
        <f>IF($A684="","",[1]!thsiFinD("ths_adjustment_nv_fund",J$3,$A684))</f>
        <v/>
      </c>
      <c r="K684" s="13" t="str">
        <f>IF($A684="","",[1]!thsiFinD("ths_adjustment_nv_fund",K$3,$A684))</f>
        <v/>
      </c>
      <c r="L684" s="13" t="str">
        <f>IF($A684="","",[1]!thsiFinD("ths_adjustment_nv_fund",L$3,$A684))</f>
        <v/>
      </c>
      <c r="M684" s="13" t="str">
        <f>IF($A684="","",[1]!thsiFinD("ths_adjustment_nv_fund",M$3,$A684))</f>
        <v/>
      </c>
      <c r="N684" s="13" t="str">
        <f>IF($A684="","",[1]!thsiFinD("ths_adjustment_nv_fund",N$3,$A684))</f>
        <v/>
      </c>
      <c r="O684" s="13" t="str">
        <f>IF($A684="","",[1]!thsiFinD("ths_adjustment_nv_fund",O$3,$A684))</f>
        <v/>
      </c>
      <c r="P684" s="13" t="str">
        <f>IF($A684="","",[1]!thsiFinD("ths_adjustment_nv_fund",P$3,$A684))</f>
        <v/>
      </c>
      <c r="Q684" s="13" t="str">
        <f>IF($A684="","",[1]!thsiFinD("ths_adjustment_nv_fund",Q$3,$A684))</f>
        <v/>
      </c>
      <c r="R684" s="13" t="str">
        <f>IF($A684="","",[1]!thsiFinD("ths_adjustment_nv_fund",R$3,$A684))</f>
        <v/>
      </c>
      <c r="S684" s="13" t="str">
        <f>IF($A684="","",[1]!thsiFinD("ths_adjustment_nv_fund",S$3,$A684))</f>
        <v/>
      </c>
      <c r="T684" s="13" t="str">
        <f>IF($A684="","",[1]!thsiFinD("ths_adjustment_nv_fund",T$3,$A684))</f>
        <v/>
      </c>
      <c r="U684" s="13" t="str">
        <f>IF($A684="","",[1]!thsiFinD("ths_adjustment_nv_fund",U$3,$A684))</f>
        <v/>
      </c>
      <c r="V684" s="13" t="str">
        <f>IF($A684="","",[1]!thsiFinD("ths_adjustment_nv_fund",V$3,$A684))</f>
        <v/>
      </c>
      <c r="W684" s="13" t="str">
        <f>IF($A684="","",[1]!thsiFinD("ths_adjustment_nv_fund",W$3,$A684))</f>
        <v/>
      </c>
      <c r="X684" s="13" t="str">
        <f>IF($A684="","",[1]!thsiFinD("ths_adjustment_nv_fund",X$3,$A684))</f>
        <v/>
      </c>
      <c r="Y684" s="13" t="str">
        <f>IF($A684="","",[1]!thsiFinD("ths_adjustment_nv_fund",Y$3,$A684))</f>
        <v/>
      </c>
      <c r="Z684" s="13" t="str">
        <f>IF($A684="","",[1]!thsiFinD("ths_adjustment_nv_fund",Z$3,$A684))</f>
        <v/>
      </c>
      <c r="AA684" s="13" t="str">
        <f>IF($A684="","",[1]!thsiFinD("ths_adjustment_nv_fund",AA$3,$A684))</f>
        <v/>
      </c>
      <c r="AB684" s="13" t="str">
        <f>IF($A684="","",[1]!thsiFinD("ths_adjustment_nv_fund",AB$3,$A684))</f>
        <v/>
      </c>
    </row>
    <row r="685" spans="2:28">
      <c r="B685" s="13" t="str">
        <f>IF($A685="","",[1]!thsiFinD("ths_adjustment_nv_fund",B$3,$A685))</f>
        <v/>
      </c>
      <c r="C685" s="13" t="str">
        <f>IF($A685="","",[1]!thsiFinD("ths_adjustment_nv_fund",C$3,$A685))</f>
        <v/>
      </c>
      <c r="D685" s="13" t="str">
        <f>IF($A685="","",[1]!thsiFinD("ths_adjustment_nv_fund",D$3,$A685))</f>
        <v/>
      </c>
      <c r="E685" s="13" t="str">
        <f>IF($A685="","",[1]!thsiFinD("ths_adjustment_nv_fund",E$3,$A685))</f>
        <v/>
      </c>
      <c r="F685" s="13" t="str">
        <f>IF($A685="","",[1]!thsiFinD("ths_adjustment_nv_fund",F$3,$A685))</f>
        <v/>
      </c>
      <c r="G685" s="13" t="str">
        <f>IF($A685="","",[1]!thsiFinD("ths_adjustment_nv_fund",G$3,$A685))</f>
        <v/>
      </c>
      <c r="H685" s="13" t="str">
        <f>IF($A685="","",[1]!thsiFinD("ths_adjustment_nv_fund",H$3,$A685))</f>
        <v/>
      </c>
      <c r="I685" s="13" t="str">
        <f>IF($A685="","",[1]!thsiFinD("ths_adjustment_nv_fund",I$3,$A685))</f>
        <v/>
      </c>
      <c r="J685" s="13" t="str">
        <f>IF($A685="","",[1]!thsiFinD("ths_adjustment_nv_fund",J$3,$A685))</f>
        <v/>
      </c>
      <c r="K685" s="13" t="str">
        <f>IF($A685="","",[1]!thsiFinD("ths_adjustment_nv_fund",K$3,$A685))</f>
        <v/>
      </c>
      <c r="L685" s="13" t="str">
        <f>IF($A685="","",[1]!thsiFinD("ths_adjustment_nv_fund",L$3,$A685))</f>
        <v/>
      </c>
      <c r="M685" s="13" t="str">
        <f>IF($A685="","",[1]!thsiFinD("ths_adjustment_nv_fund",M$3,$A685))</f>
        <v/>
      </c>
      <c r="N685" s="13" t="str">
        <f>IF($A685="","",[1]!thsiFinD("ths_adjustment_nv_fund",N$3,$A685))</f>
        <v/>
      </c>
      <c r="O685" s="13" t="str">
        <f>IF($A685="","",[1]!thsiFinD("ths_adjustment_nv_fund",O$3,$A685))</f>
        <v/>
      </c>
      <c r="P685" s="13" t="str">
        <f>IF($A685="","",[1]!thsiFinD("ths_adjustment_nv_fund",P$3,$A685))</f>
        <v/>
      </c>
      <c r="Q685" s="13" t="str">
        <f>IF($A685="","",[1]!thsiFinD("ths_adjustment_nv_fund",Q$3,$A685))</f>
        <v/>
      </c>
      <c r="R685" s="13" t="str">
        <f>IF($A685="","",[1]!thsiFinD("ths_adjustment_nv_fund",R$3,$A685))</f>
        <v/>
      </c>
      <c r="S685" s="13" t="str">
        <f>IF($A685="","",[1]!thsiFinD("ths_adjustment_nv_fund",S$3,$A685))</f>
        <v/>
      </c>
      <c r="T685" s="13" t="str">
        <f>IF($A685="","",[1]!thsiFinD("ths_adjustment_nv_fund",T$3,$A685))</f>
        <v/>
      </c>
      <c r="U685" s="13" t="str">
        <f>IF($A685="","",[1]!thsiFinD("ths_adjustment_nv_fund",U$3,$A685))</f>
        <v/>
      </c>
      <c r="V685" s="13" t="str">
        <f>IF($A685="","",[1]!thsiFinD("ths_adjustment_nv_fund",V$3,$A685))</f>
        <v/>
      </c>
      <c r="W685" s="13" t="str">
        <f>IF($A685="","",[1]!thsiFinD("ths_adjustment_nv_fund",W$3,$A685))</f>
        <v/>
      </c>
      <c r="X685" s="13" t="str">
        <f>IF($A685="","",[1]!thsiFinD("ths_adjustment_nv_fund",X$3,$A685))</f>
        <v/>
      </c>
      <c r="Y685" s="13" t="str">
        <f>IF($A685="","",[1]!thsiFinD("ths_adjustment_nv_fund",Y$3,$A685))</f>
        <v/>
      </c>
      <c r="Z685" s="13" t="str">
        <f>IF($A685="","",[1]!thsiFinD("ths_adjustment_nv_fund",Z$3,$A685))</f>
        <v/>
      </c>
      <c r="AA685" s="13" t="str">
        <f>IF($A685="","",[1]!thsiFinD("ths_adjustment_nv_fund",AA$3,$A685))</f>
        <v/>
      </c>
      <c r="AB685" s="13" t="str">
        <f>IF($A685="","",[1]!thsiFinD("ths_adjustment_nv_fund",AB$3,$A685))</f>
        <v/>
      </c>
    </row>
    <row r="686" spans="2:28">
      <c r="B686" s="13" t="str">
        <f>IF($A686="","",[1]!thsiFinD("ths_adjustment_nv_fund",B$3,$A686))</f>
        <v/>
      </c>
      <c r="C686" s="13" t="str">
        <f>IF($A686="","",[1]!thsiFinD("ths_adjustment_nv_fund",C$3,$A686))</f>
        <v/>
      </c>
      <c r="D686" s="13" t="str">
        <f>IF($A686="","",[1]!thsiFinD("ths_adjustment_nv_fund",D$3,$A686))</f>
        <v/>
      </c>
      <c r="E686" s="13" t="str">
        <f>IF($A686="","",[1]!thsiFinD("ths_adjustment_nv_fund",E$3,$A686))</f>
        <v/>
      </c>
      <c r="F686" s="13" t="str">
        <f>IF($A686="","",[1]!thsiFinD("ths_adjustment_nv_fund",F$3,$A686))</f>
        <v/>
      </c>
      <c r="G686" s="13" t="str">
        <f>IF($A686="","",[1]!thsiFinD("ths_adjustment_nv_fund",G$3,$A686))</f>
        <v/>
      </c>
      <c r="H686" s="13" t="str">
        <f>IF($A686="","",[1]!thsiFinD("ths_adjustment_nv_fund",H$3,$A686))</f>
        <v/>
      </c>
      <c r="I686" s="13" t="str">
        <f>IF($A686="","",[1]!thsiFinD("ths_adjustment_nv_fund",I$3,$A686))</f>
        <v/>
      </c>
      <c r="J686" s="13" t="str">
        <f>IF($A686="","",[1]!thsiFinD("ths_adjustment_nv_fund",J$3,$A686))</f>
        <v/>
      </c>
      <c r="K686" s="13" t="str">
        <f>IF($A686="","",[1]!thsiFinD("ths_adjustment_nv_fund",K$3,$A686))</f>
        <v/>
      </c>
      <c r="L686" s="13" t="str">
        <f>IF($A686="","",[1]!thsiFinD("ths_adjustment_nv_fund",L$3,$A686))</f>
        <v/>
      </c>
      <c r="M686" s="13" t="str">
        <f>IF($A686="","",[1]!thsiFinD("ths_adjustment_nv_fund",M$3,$A686))</f>
        <v/>
      </c>
      <c r="N686" s="13" t="str">
        <f>IF($A686="","",[1]!thsiFinD("ths_adjustment_nv_fund",N$3,$A686))</f>
        <v/>
      </c>
      <c r="O686" s="13" t="str">
        <f>IF($A686="","",[1]!thsiFinD("ths_adjustment_nv_fund",O$3,$A686))</f>
        <v/>
      </c>
      <c r="P686" s="13" t="str">
        <f>IF($A686="","",[1]!thsiFinD("ths_adjustment_nv_fund",P$3,$A686))</f>
        <v/>
      </c>
      <c r="Q686" s="13" t="str">
        <f>IF($A686="","",[1]!thsiFinD("ths_adjustment_nv_fund",Q$3,$A686))</f>
        <v/>
      </c>
      <c r="R686" s="13" t="str">
        <f>IF($A686="","",[1]!thsiFinD("ths_adjustment_nv_fund",R$3,$A686))</f>
        <v/>
      </c>
      <c r="S686" s="13" t="str">
        <f>IF($A686="","",[1]!thsiFinD("ths_adjustment_nv_fund",S$3,$A686))</f>
        <v/>
      </c>
      <c r="T686" s="13" t="str">
        <f>IF($A686="","",[1]!thsiFinD("ths_adjustment_nv_fund",T$3,$A686))</f>
        <v/>
      </c>
      <c r="U686" s="13" t="str">
        <f>IF($A686="","",[1]!thsiFinD("ths_adjustment_nv_fund",U$3,$A686))</f>
        <v/>
      </c>
      <c r="V686" s="13" t="str">
        <f>IF($A686="","",[1]!thsiFinD("ths_adjustment_nv_fund",V$3,$A686))</f>
        <v/>
      </c>
      <c r="W686" s="13" t="str">
        <f>IF($A686="","",[1]!thsiFinD("ths_adjustment_nv_fund",W$3,$A686))</f>
        <v/>
      </c>
      <c r="X686" s="13" t="str">
        <f>IF($A686="","",[1]!thsiFinD("ths_adjustment_nv_fund",X$3,$A686))</f>
        <v/>
      </c>
      <c r="Y686" s="13" t="str">
        <f>IF($A686="","",[1]!thsiFinD("ths_adjustment_nv_fund",Y$3,$A686))</f>
        <v/>
      </c>
      <c r="Z686" s="13" t="str">
        <f>IF($A686="","",[1]!thsiFinD("ths_adjustment_nv_fund",Z$3,$A686))</f>
        <v/>
      </c>
      <c r="AA686" s="13" t="str">
        <f>IF($A686="","",[1]!thsiFinD("ths_adjustment_nv_fund",AA$3,$A686))</f>
        <v/>
      </c>
      <c r="AB686" s="13" t="str">
        <f>IF($A686="","",[1]!thsiFinD("ths_adjustment_nv_fund",AB$3,$A686))</f>
        <v/>
      </c>
    </row>
    <row r="687" spans="2:28">
      <c r="B687" s="13" t="str">
        <f>IF($A687="","",[1]!thsiFinD("ths_adjustment_nv_fund",B$3,$A687))</f>
        <v/>
      </c>
      <c r="C687" s="13" t="str">
        <f>IF($A687="","",[1]!thsiFinD("ths_adjustment_nv_fund",C$3,$A687))</f>
        <v/>
      </c>
      <c r="D687" s="13" t="str">
        <f>IF($A687="","",[1]!thsiFinD("ths_adjustment_nv_fund",D$3,$A687))</f>
        <v/>
      </c>
      <c r="E687" s="13" t="str">
        <f>IF($A687="","",[1]!thsiFinD("ths_adjustment_nv_fund",E$3,$A687))</f>
        <v/>
      </c>
      <c r="F687" s="13" t="str">
        <f>IF($A687="","",[1]!thsiFinD("ths_adjustment_nv_fund",F$3,$A687))</f>
        <v/>
      </c>
      <c r="G687" s="13" t="str">
        <f>IF($A687="","",[1]!thsiFinD("ths_adjustment_nv_fund",G$3,$A687))</f>
        <v/>
      </c>
      <c r="H687" s="13" t="str">
        <f>IF($A687="","",[1]!thsiFinD("ths_adjustment_nv_fund",H$3,$A687))</f>
        <v/>
      </c>
      <c r="I687" s="13" t="str">
        <f>IF($A687="","",[1]!thsiFinD("ths_adjustment_nv_fund",I$3,$A687))</f>
        <v/>
      </c>
      <c r="J687" s="13" t="str">
        <f>IF($A687="","",[1]!thsiFinD("ths_adjustment_nv_fund",J$3,$A687))</f>
        <v/>
      </c>
      <c r="K687" s="13" t="str">
        <f>IF($A687="","",[1]!thsiFinD("ths_adjustment_nv_fund",K$3,$A687))</f>
        <v/>
      </c>
      <c r="L687" s="13" t="str">
        <f>IF($A687="","",[1]!thsiFinD("ths_adjustment_nv_fund",L$3,$A687))</f>
        <v/>
      </c>
      <c r="M687" s="13" t="str">
        <f>IF($A687="","",[1]!thsiFinD("ths_adjustment_nv_fund",M$3,$A687))</f>
        <v/>
      </c>
      <c r="N687" s="13" t="str">
        <f>IF($A687="","",[1]!thsiFinD("ths_adjustment_nv_fund",N$3,$A687))</f>
        <v/>
      </c>
      <c r="O687" s="13" t="str">
        <f>IF($A687="","",[1]!thsiFinD("ths_adjustment_nv_fund",O$3,$A687))</f>
        <v/>
      </c>
      <c r="P687" s="13" t="str">
        <f>IF($A687="","",[1]!thsiFinD("ths_adjustment_nv_fund",P$3,$A687))</f>
        <v/>
      </c>
      <c r="Q687" s="13" t="str">
        <f>IF($A687="","",[1]!thsiFinD("ths_adjustment_nv_fund",Q$3,$A687))</f>
        <v/>
      </c>
      <c r="R687" s="13" t="str">
        <f>IF($A687="","",[1]!thsiFinD("ths_adjustment_nv_fund",R$3,$A687))</f>
        <v/>
      </c>
      <c r="S687" s="13" t="str">
        <f>IF($A687="","",[1]!thsiFinD("ths_adjustment_nv_fund",S$3,$A687))</f>
        <v/>
      </c>
      <c r="T687" s="13" t="str">
        <f>IF($A687="","",[1]!thsiFinD("ths_adjustment_nv_fund",T$3,$A687))</f>
        <v/>
      </c>
      <c r="U687" s="13" t="str">
        <f>IF($A687="","",[1]!thsiFinD("ths_adjustment_nv_fund",U$3,$A687))</f>
        <v/>
      </c>
      <c r="V687" s="13" t="str">
        <f>IF($A687="","",[1]!thsiFinD("ths_adjustment_nv_fund",V$3,$A687))</f>
        <v/>
      </c>
      <c r="W687" s="13" t="str">
        <f>IF($A687="","",[1]!thsiFinD("ths_adjustment_nv_fund",W$3,$A687))</f>
        <v/>
      </c>
      <c r="X687" s="13" t="str">
        <f>IF($A687="","",[1]!thsiFinD("ths_adjustment_nv_fund",X$3,$A687))</f>
        <v/>
      </c>
      <c r="Y687" s="13" t="str">
        <f>IF($A687="","",[1]!thsiFinD("ths_adjustment_nv_fund",Y$3,$A687))</f>
        <v/>
      </c>
      <c r="Z687" s="13" t="str">
        <f>IF($A687="","",[1]!thsiFinD("ths_adjustment_nv_fund",Z$3,$A687))</f>
        <v/>
      </c>
      <c r="AA687" s="13" t="str">
        <f>IF($A687="","",[1]!thsiFinD("ths_adjustment_nv_fund",AA$3,$A687))</f>
        <v/>
      </c>
      <c r="AB687" s="13" t="str">
        <f>IF($A687="","",[1]!thsiFinD("ths_adjustment_nv_fund",AB$3,$A687))</f>
        <v/>
      </c>
    </row>
    <row r="688" spans="2:28">
      <c r="B688" s="13" t="str">
        <f>IF($A688="","",[1]!thsiFinD("ths_adjustment_nv_fund",B$3,$A688))</f>
        <v/>
      </c>
      <c r="C688" s="13" t="str">
        <f>IF($A688="","",[1]!thsiFinD("ths_adjustment_nv_fund",C$3,$A688))</f>
        <v/>
      </c>
      <c r="D688" s="13" t="str">
        <f>IF($A688="","",[1]!thsiFinD("ths_adjustment_nv_fund",D$3,$A688))</f>
        <v/>
      </c>
      <c r="E688" s="13" t="str">
        <f>IF($A688="","",[1]!thsiFinD("ths_adjustment_nv_fund",E$3,$A688))</f>
        <v/>
      </c>
      <c r="F688" s="13" t="str">
        <f>IF($A688="","",[1]!thsiFinD("ths_adjustment_nv_fund",F$3,$A688))</f>
        <v/>
      </c>
      <c r="G688" s="13" t="str">
        <f>IF($A688="","",[1]!thsiFinD("ths_adjustment_nv_fund",G$3,$A688))</f>
        <v/>
      </c>
      <c r="H688" s="13" t="str">
        <f>IF($A688="","",[1]!thsiFinD("ths_adjustment_nv_fund",H$3,$A688))</f>
        <v/>
      </c>
      <c r="I688" s="13" t="str">
        <f>IF($A688="","",[1]!thsiFinD("ths_adjustment_nv_fund",I$3,$A688))</f>
        <v/>
      </c>
      <c r="J688" s="13" t="str">
        <f>IF($A688="","",[1]!thsiFinD("ths_adjustment_nv_fund",J$3,$A688))</f>
        <v/>
      </c>
      <c r="K688" s="13" t="str">
        <f>IF($A688="","",[1]!thsiFinD("ths_adjustment_nv_fund",K$3,$A688))</f>
        <v/>
      </c>
      <c r="L688" s="13" t="str">
        <f>IF($A688="","",[1]!thsiFinD("ths_adjustment_nv_fund",L$3,$A688))</f>
        <v/>
      </c>
      <c r="M688" s="13" t="str">
        <f>IF($A688="","",[1]!thsiFinD("ths_adjustment_nv_fund",M$3,$A688))</f>
        <v/>
      </c>
      <c r="N688" s="13" t="str">
        <f>IF($A688="","",[1]!thsiFinD("ths_adjustment_nv_fund",N$3,$A688))</f>
        <v/>
      </c>
      <c r="O688" s="13" t="str">
        <f>IF($A688="","",[1]!thsiFinD("ths_adjustment_nv_fund",O$3,$A688))</f>
        <v/>
      </c>
      <c r="P688" s="13" t="str">
        <f>IF($A688="","",[1]!thsiFinD("ths_adjustment_nv_fund",P$3,$A688))</f>
        <v/>
      </c>
      <c r="Q688" s="13" t="str">
        <f>IF($A688="","",[1]!thsiFinD("ths_adjustment_nv_fund",Q$3,$A688))</f>
        <v/>
      </c>
      <c r="R688" s="13" t="str">
        <f>IF($A688="","",[1]!thsiFinD("ths_adjustment_nv_fund",R$3,$A688))</f>
        <v/>
      </c>
      <c r="S688" s="13" t="str">
        <f>IF($A688="","",[1]!thsiFinD("ths_adjustment_nv_fund",S$3,$A688))</f>
        <v/>
      </c>
      <c r="T688" s="13" t="str">
        <f>IF($A688="","",[1]!thsiFinD("ths_adjustment_nv_fund",T$3,$A688))</f>
        <v/>
      </c>
      <c r="U688" s="13" t="str">
        <f>IF($A688="","",[1]!thsiFinD("ths_adjustment_nv_fund",U$3,$A688))</f>
        <v/>
      </c>
      <c r="V688" s="13" t="str">
        <f>IF($A688="","",[1]!thsiFinD("ths_adjustment_nv_fund",V$3,$A688))</f>
        <v/>
      </c>
      <c r="W688" s="13" t="str">
        <f>IF($A688="","",[1]!thsiFinD("ths_adjustment_nv_fund",W$3,$A688))</f>
        <v/>
      </c>
      <c r="X688" s="13" t="str">
        <f>IF($A688="","",[1]!thsiFinD("ths_adjustment_nv_fund",X$3,$A688))</f>
        <v/>
      </c>
      <c r="Y688" s="13" t="str">
        <f>IF($A688="","",[1]!thsiFinD("ths_adjustment_nv_fund",Y$3,$A688))</f>
        <v/>
      </c>
      <c r="Z688" s="13" t="str">
        <f>IF($A688="","",[1]!thsiFinD("ths_adjustment_nv_fund",Z$3,$A688))</f>
        <v/>
      </c>
      <c r="AA688" s="13" t="str">
        <f>IF($A688="","",[1]!thsiFinD("ths_adjustment_nv_fund",AA$3,$A688))</f>
        <v/>
      </c>
      <c r="AB688" s="13" t="str">
        <f>IF($A688="","",[1]!thsiFinD("ths_adjustment_nv_fund",AB$3,$A688))</f>
        <v/>
      </c>
    </row>
    <row r="689" spans="2:28">
      <c r="B689" s="13" t="str">
        <f>IF($A689="","",[1]!thsiFinD("ths_adjustment_nv_fund",B$3,$A689))</f>
        <v/>
      </c>
      <c r="C689" s="13" t="str">
        <f>IF($A689="","",[1]!thsiFinD("ths_adjustment_nv_fund",C$3,$A689))</f>
        <v/>
      </c>
      <c r="D689" s="13" t="str">
        <f>IF($A689="","",[1]!thsiFinD("ths_adjustment_nv_fund",D$3,$A689))</f>
        <v/>
      </c>
      <c r="E689" s="13" t="str">
        <f>IF($A689="","",[1]!thsiFinD("ths_adjustment_nv_fund",E$3,$A689))</f>
        <v/>
      </c>
      <c r="F689" s="13" t="str">
        <f>IF($A689="","",[1]!thsiFinD("ths_adjustment_nv_fund",F$3,$A689))</f>
        <v/>
      </c>
      <c r="G689" s="13" t="str">
        <f>IF($A689="","",[1]!thsiFinD("ths_adjustment_nv_fund",G$3,$A689))</f>
        <v/>
      </c>
      <c r="H689" s="13" t="str">
        <f>IF($A689="","",[1]!thsiFinD("ths_adjustment_nv_fund",H$3,$A689))</f>
        <v/>
      </c>
      <c r="I689" s="13" t="str">
        <f>IF($A689="","",[1]!thsiFinD("ths_adjustment_nv_fund",I$3,$A689))</f>
        <v/>
      </c>
      <c r="J689" s="13" t="str">
        <f>IF($A689="","",[1]!thsiFinD("ths_adjustment_nv_fund",J$3,$A689))</f>
        <v/>
      </c>
      <c r="K689" s="13" t="str">
        <f>IF($A689="","",[1]!thsiFinD("ths_adjustment_nv_fund",K$3,$A689))</f>
        <v/>
      </c>
      <c r="L689" s="13" t="str">
        <f>IF($A689="","",[1]!thsiFinD("ths_adjustment_nv_fund",L$3,$A689))</f>
        <v/>
      </c>
      <c r="M689" s="13" t="str">
        <f>IF($A689="","",[1]!thsiFinD("ths_adjustment_nv_fund",M$3,$A689))</f>
        <v/>
      </c>
      <c r="N689" s="13" t="str">
        <f>IF($A689="","",[1]!thsiFinD("ths_adjustment_nv_fund",N$3,$A689))</f>
        <v/>
      </c>
      <c r="O689" s="13" t="str">
        <f>IF($A689="","",[1]!thsiFinD("ths_adjustment_nv_fund",O$3,$A689))</f>
        <v/>
      </c>
      <c r="P689" s="13" t="str">
        <f>IF($A689="","",[1]!thsiFinD("ths_adjustment_nv_fund",P$3,$A689))</f>
        <v/>
      </c>
      <c r="Q689" s="13" t="str">
        <f>IF($A689="","",[1]!thsiFinD("ths_adjustment_nv_fund",Q$3,$A689))</f>
        <v/>
      </c>
      <c r="R689" s="13" t="str">
        <f>IF($A689="","",[1]!thsiFinD("ths_adjustment_nv_fund",R$3,$A689))</f>
        <v/>
      </c>
      <c r="S689" s="13" t="str">
        <f>IF($A689="","",[1]!thsiFinD("ths_adjustment_nv_fund",S$3,$A689))</f>
        <v/>
      </c>
      <c r="T689" s="13" t="str">
        <f>IF($A689="","",[1]!thsiFinD("ths_adjustment_nv_fund",T$3,$A689))</f>
        <v/>
      </c>
      <c r="U689" s="13" t="str">
        <f>IF($A689="","",[1]!thsiFinD("ths_adjustment_nv_fund",U$3,$A689))</f>
        <v/>
      </c>
      <c r="V689" s="13" t="str">
        <f>IF($A689="","",[1]!thsiFinD("ths_adjustment_nv_fund",V$3,$A689))</f>
        <v/>
      </c>
      <c r="W689" s="13" t="str">
        <f>IF($A689="","",[1]!thsiFinD("ths_adjustment_nv_fund",W$3,$A689))</f>
        <v/>
      </c>
      <c r="X689" s="13" t="str">
        <f>IF($A689="","",[1]!thsiFinD("ths_adjustment_nv_fund",X$3,$A689))</f>
        <v/>
      </c>
      <c r="Y689" s="13" t="str">
        <f>IF($A689="","",[1]!thsiFinD("ths_adjustment_nv_fund",Y$3,$A689))</f>
        <v/>
      </c>
      <c r="Z689" s="13" t="str">
        <f>IF($A689="","",[1]!thsiFinD("ths_adjustment_nv_fund",Z$3,$A689))</f>
        <v/>
      </c>
      <c r="AA689" s="13" t="str">
        <f>IF($A689="","",[1]!thsiFinD("ths_adjustment_nv_fund",AA$3,$A689))</f>
        <v/>
      </c>
      <c r="AB689" s="13" t="str">
        <f>IF($A689="","",[1]!thsiFinD("ths_adjustment_nv_fund",AB$3,$A689))</f>
        <v/>
      </c>
    </row>
    <row r="690" spans="2:28">
      <c r="B690" s="13" t="str">
        <f>IF($A690="","",[1]!thsiFinD("ths_adjustment_nv_fund",B$3,$A690))</f>
        <v/>
      </c>
      <c r="C690" s="13" t="str">
        <f>IF($A690="","",[1]!thsiFinD("ths_adjustment_nv_fund",C$3,$A690))</f>
        <v/>
      </c>
      <c r="D690" s="13" t="str">
        <f>IF($A690="","",[1]!thsiFinD("ths_adjustment_nv_fund",D$3,$A690))</f>
        <v/>
      </c>
      <c r="E690" s="13" t="str">
        <f>IF($A690="","",[1]!thsiFinD("ths_adjustment_nv_fund",E$3,$A690))</f>
        <v/>
      </c>
      <c r="F690" s="13" t="str">
        <f>IF($A690="","",[1]!thsiFinD("ths_adjustment_nv_fund",F$3,$A690))</f>
        <v/>
      </c>
      <c r="G690" s="13" t="str">
        <f>IF($A690="","",[1]!thsiFinD("ths_adjustment_nv_fund",G$3,$A690))</f>
        <v/>
      </c>
      <c r="H690" s="13" t="str">
        <f>IF($A690="","",[1]!thsiFinD("ths_adjustment_nv_fund",H$3,$A690))</f>
        <v/>
      </c>
      <c r="I690" s="13" t="str">
        <f>IF($A690="","",[1]!thsiFinD("ths_adjustment_nv_fund",I$3,$A690))</f>
        <v/>
      </c>
      <c r="J690" s="13" t="str">
        <f>IF($A690="","",[1]!thsiFinD("ths_adjustment_nv_fund",J$3,$A690))</f>
        <v/>
      </c>
      <c r="K690" s="13" t="str">
        <f>IF($A690="","",[1]!thsiFinD("ths_adjustment_nv_fund",K$3,$A690))</f>
        <v/>
      </c>
      <c r="L690" s="13" t="str">
        <f>IF($A690="","",[1]!thsiFinD("ths_adjustment_nv_fund",L$3,$A690))</f>
        <v/>
      </c>
      <c r="M690" s="13" t="str">
        <f>IF($A690="","",[1]!thsiFinD("ths_adjustment_nv_fund",M$3,$A690))</f>
        <v/>
      </c>
      <c r="N690" s="13" t="str">
        <f>IF($A690="","",[1]!thsiFinD("ths_adjustment_nv_fund",N$3,$A690))</f>
        <v/>
      </c>
      <c r="O690" s="13" t="str">
        <f>IF($A690="","",[1]!thsiFinD("ths_adjustment_nv_fund",O$3,$A690))</f>
        <v/>
      </c>
      <c r="P690" s="13" t="str">
        <f>IF($A690="","",[1]!thsiFinD("ths_adjustment_nv_fund",P$3,$A690))</f>
        <v/>
      </c>
      <c r="Q690" s="13" t="str">
        <f>IF($A690="","",[1]!thsiFinD("ths_adjustment_nv_fund",Q$3,$A690))</f>
        <v/>
      </c>
      <c r="R690" s="13" t="str">
        <f>IF($A690="","",[1]!thsiFinD("ths_adjustment_nv_fund",R$3,$A690))</f>
        <v/>
      </c>
      <c r="S690" s="13" t="str">
        <f>IF($A690="","",[1]!thsiFinD("ths_adjustment_nv_fund",S$3,$A690))</f>
        <v/>
      </c>
      <c r="T690" s="13" t="str">
        <f>IF($A690="","",[1]!thsiFinD("ths_adjustment_nv_fund",T$3,$A690))</f>
        <v/>
      </c>
      <c r="U690" s="13" t="str">
        <f>IF($A690="","",[1]!thsiFinD("ths_adjustment_nv_fund",U$3,$A690))</f>
        <v/>
      </c>
      <c r="V690" s="13" t="str">
        <f>IF($A690="","",[1]!thsiFinD("ths_adjustment_nv_fund",V$3,$A690))</f>
        <v/>
      </c>
      <c r="W690" s="13" t="str">
        <f>IF($A690="","",[1]!thsiFinD("ths_adjustment_nv_fund",W$3,$A690))</f>
        <v/>
      </c>
      <c r="X690" s="13" t="str">
        <f>IF($A690="","",[1]!thsiFinD("ths_adjustment_nv_fund",X$3,$A690))</f>
        <v/>
      </c>
      <c r="Y690" s="13" t="str">
        <f>IF($A690="","",[1]!thsiFinD("ths_adjustment_nv_fund",Y$3,$A690))</f>
        <v/>
      </c>
      <c r="Z690" s="13" t="str">
        <f>IF($A690="","",[1]!thsiFinD("ths_adjustment_nv_fund",Z$3,$A690))</f>
        <v/>
      </c>
      <c r="AA690" s="13" t="str">
        <f>IF($A690="","",[1]!thsiFinD("ths_adjustment_nv_fund",AA$3,$A690))</f>
        <v/>
      </c>
      <c r="AB690" s="13" t="str">
        <f>IF($A690="","",[1]!thsiFinD("ths_adjustment_nv_fund",AB$3,$A690))</f>
        <v/>
      </c>
    </row>
    <row r="691" spans="2:28">
      <c r="B691" s="13" t="str">
        <f>IF($A691="","",[1]!thsiFinD("ths_adjustment_nv_fund",B$3,$A691))</f>
        <v/>
      </c>
      <c r="C691" s="13" t="str">
        <f>IF($A691="","",[1]!thsiFinD("ths_adjustment_nv_fund",C$3,$A691))</f>
        <v/>
      </c>
      <c r="D691" s="13" t="str">
        <f>IF($A691="","",[1]!thsiFinD("ths_adjustment_nv_fund",D$3,$A691))</f>
        <v/>
      </c>
      <c r="E691" s="13" t="str">
        <f>IF($A691="","",[1]!thsiFinD("ths_adjustment_nv_fund",E$3,$A691))</f>
        <v/>
      </c>
      <c r="F691" s="13" t="str">
        <f>IF($A691="","",[1]!thsiFinD("ths_adjustment_nv_fund",F$3,$A691))</f>
        <v/>
      </c>
      <c r="G691" s="13" t="str">
        <f>IF($A691="","",[1]!thsiFinD("ths_adjustment_nv_fund",G$3,$A691))</f>
        <v/>
      </c>
      <c r="H691" s="13" t="str">
        <f>IF($A691="","",[1]!thsiFinD("ths_adjustment_nv_fund",H$3,$A691))</f>
        <v/>
      </c>
      <c r="I691" s="13" t="str">
        <f>IF($A691="","",[1]!thsiFinD("ths_adjustment_nv_fund",I$3,$A691))</f>
        <v/>
      </c>
      <c r="J691" s="13" t="str">
        <f>IF($A691="","",[1]!thsiFinD("ths_adjustment_nv_fund",J$3,$A691))</f>
        <v/>
      </c>
      <c r="K691" s="13" t="str">
        <f>IF($A691="","",[1]!thsiFinD("ths_adjustment_nv_fund",K$3,$A691))</f>
        <v/>
      </c>
      <c r="L691" s="13" t="str">
        <f>IF($A691="","",[1]!thsiFinD("ths_adjustment_nv_fund",L$3,$A691))</f>
        <v/>
      </c>
      <c r="M691" s="13" t="str">
        <f>IF($A691="","",[1]!thsiFinD("ths_adjustment_nv_fund",M$3,$A691))</f>
        <v/>
      </c>
      <c r="N691" s="13" t="str">
        <f>IF($A691="","",[1]!thsiFinD("ths_adjustment_nv_fund",N$3,$A691))</f>
        <v/>
      </c>
      <c r="O691" s="13" t="str">
        <f>IF($A691="","",[1]!thsiFinD("ths_adjustment_nv_fund",O$3,$A691))</f>
        <v/>
      </c>
      <c r="P691" s="13" t="str">
        <f>IF($A691="","",[1]!thsiFinD("ths_adjustment_nv_fund",P$3,$A691))</f>
        <v/>
      </c>
      <c r="Q691" s="13" t="str">
        <f>IF($A691="","",[1]!thsiFinD("ths_adjustment_nv_fund",Q$3,$A691))</f>
        <v/>
      </c>
      <c r="R691" s="13" t="str">
        <f>IF($A691="","",[1]!thsiFinD("ths_adjustment_nv_fund",R$3,$A691))</f>
        <v/>
      </c>
      <c r="S691" s="13" t="str">
        <f>IF($A691="","",[1]!thsiFinD("ths_adjustment_nv_fund",S$3,$A691))</f>
        <v/>
      </c>
      <c r="T691" s="13" t="str">
        <f>IF($A691="","",[1]!thsiFinD("ths_adjustment_nv_fund",T$3,$A691))</f>
        <v/>
      </c>
      <c r="U691" s="13" t="str">
        <f>IF($A691="","",[1]!thsiFinD("ths_adjustment_nv_fund",U$3,$A691))</f>
        <v/>
      </c>
      <c r="V691" s="13" t="str">
        <f>IF($A691="","",[1]!thsiFinD("ths_adjustment_nv_fund",V$3,$A691))</f>
        <v/>
      </c>
      <c r="W691" s="13" t="str">
        <f>IF($A691="","",[1]!thsiFinD("ths_adjustment_nv_fund",W$3,$A691))</f>
        <v/>
      </c>
      <c r="X691" s="13" t="str">
        <f>IF($A691="","",[1]!thsiFinD("ths_adjustment_nv_fund",X$3,$A691))</f>
        <v/>
      </c>
      <c r="Y691" s="13" t="str">
        <f>IF($A691="","",[1]!thsiFinD("ths_adjustment_nv_fund",Y$3,$A691))</f>
        <v/>
      </c>
      <c r="Z691" s="13" t="str">
        <f>IF($A691="","",[1]!thsiFinD("ths_adjustment_nv_fund",Z$3,$A691))</f>
        <v/>
      </c>
      <c r="AA691" s="13" t="str">
        <f>IF($A691="","",[1]!thsiFinD("ths_adjustment_nv_fund",AA$3,$A691))</f>
        <v/>
      </c>
      <c r="AB691" s="13" t="str">
        <f>IF($A691="","",[1]!thsiFinD("ths_adjustment_nv_fund",AB$3,$A691))</f>
        <v/>
      </c>
    </row>
    <row r="692" spans="2:28">
      <c r="B692" s="13" t="str">
        <f>IF($A692="","",[1]!thsiFinD("ths_adjustment_nv_fund",B$3,$A692))</f>
        <v/>
      </c>
      <c r="C692" s="13" t="str">
        <f>IF($A692="","",[1]!thsiFinD("ths_adjustment_nv_fund",C$3,$A692))</f>
        <v/>
      </c>
      <c r="D692" s="13" t="str">
        <f>IF($A692="","",[1]!thsiFinD("ths_adjustment_nv_fund",D$3,$A692))</f>
        <v/>
      </c>
      <c r="E692" s="13" t="str">
        <f>IF($A692="","",[1]!thsiFinD("ths_adjustment_nv_fund",E$3,$A692))</f>
        <v/>
      </c>
      <c r="F692" s="13" t="str">
        <f>IF($A692="","",[1]!thsiFinD("ths_adjustment_nv_fund",F$3,$A692))</f>
        <v/>
      </c>
      <c r="G692" s="13" t="str">
        <f>IF($A692="","",[1]!thsiFinD("ths_adjustment_nv_fund",G$3,$A692))</f>
        <v/>
      </c>
      <c r="H692" s="13" t="str">
        <f>IF($A692="","",[1]!thsiFinD("ths_adjustment_nv_fund",H$3,$A692))</f>
        <v/>
      </c>
      <c r="I692" s="13" t="str">
        <f>IF($A692="","",[1]!thsiFinD("ths_adjustment_nv_fund",I$3,$A692))</f>
        <v/>
      </c>
      <c r="J692" s="13" t="str">
        <f>IF($A692="","",[1]!thsiFinD("ths_adjustment_nv_fund",J$3,$A692))</f>
        <v/>
      </c>
      <c r="K692" s="13" t="str">
        <f>IF($A692="","",[1]!thsiFinD("ths_adjustment_nv_fund",K$3,$A692))</f>
        <v/>
      </c>
      <c r="L692" s="13" t="str">
        <f>IF($A692="","",[1]!thsiFinD("ths_adjustment_nv_fund",L$3,$A692))</f>
        <v/>
      </c>
      <c r="M692" s="13" t="str">
        <f>IF($A692="","",[1]!thsiFinD("ths_adjustment_nv_fund",M$3,$A692))</f>
        <v/>
      </c>
      <c r="N692" s="13" t="str">
        <f>IF($A692="","",[1]!thsiFinD("ths_adjustment_nv_fund",N$3,$A692))</f>
        <v/>
      </c>
      <c r="O692" s="13" t="str">
        <f>IF($A692="","",[1]!thsiFinD("ths_adjustment_nv_fund",O$3,$A692))</f>
        <v/>
      </c>
      <c r="P692" s="13" t="str">
        <f>IF($A692="","",[1]!thsiFinD("ths_adjustment_nv_fund",P$3,$A692))</f>
        <v/>
      </c>
      <c r="Q692" s="13" t="str">
        <f>IF($A692="","",[1]!thsiFinD("ths_adjustment_nv_fund",Q$3,$A692))</f>
        <v/>
      </c>
      <c r="R692" s="13" t="str">
        <f>IF($A692="","",[1]!thsiFinD("ths_adjustment_nv_fund",R$3,$A692))</f>
        <v/>
      </c>
      <c r="S692" s="13" t="str">
        <f>IF($A692="","",[1]!thsiFinD("ths_adjustment_nv_fund",S$3,$A692))</f>
        <v/>
      </c>
      <c r="T692" s="13" t="str">
        <f>IF($A692="","",[1]!thsiFinD("ths_adjustment_nv_fund",T$3,$A692))</f>
        <v/>
      </c>
      <c r="U692" s="13" t="str">
        <f>IF($A692="","",[1]!thsiFinD("ths_adjustment_nv_fund",U$3,$A692))</f>
        <v/>
      </c>
      <c r="V692" s="13" t="str">
        <f>IF($A692="","",[1]!thsiFinD("ths_adjustment_nv_fund",V$3,$A692))</f>
        <v/>
      </c>
      <c r="W692" s="13" t="str">
        <f>IF($A692="","",[1]!thsiFinD("ths_adjustment_nv_fund",W$3,$A692))</f>
        <v/>
      </c>
      <c r="X692" s="13" t="str">
        <f>IF($A692="","",[1]!thsiFinD("ths_adjustment_nv_fund",X$3,$A692))</f>
        <v/>
      </c>
      <c r="Y692" s="13" t="str">
        <f>IF($A692="","",[1]!thsiFinD("ths_adjustment_nv_fund",Y$3,$A692))</f>
        <v/>
      </c>
      <c r="Z692" s="13" t="str">
        <f>IF($A692="","",[1]!thsiFinD("ths_adjustment_nv_fund",Z$3,$A692))</f>
        <v/>
      </c>
      <c r="AA692" s="13" t="str">
        <f>IF($A692="","",[1]!thsiFinD("ths_adjustment_nv_fund",AA$3,$A692))</f>
        <v/>
      </c>
      <c r="AB692" s="13" t="str">
        <f>IF($A692="","",[1]!thsiFinD("ths_adjustment_nv_fund",AB$3,$A692))</f>
        <v/>
      </c>
    </row>
    <row r="693" spans="2:28">
      <c r="B693" s="13" t="str">
        <f>IF($A693="","",[1]!thsiFinD("ths_adjustment_nv_fund",B$3,$A693))</f>
        <v/>
      </c>
      <c r="C693" s="13" t="str">
        <f>IF($A693="","",[1]!thsiFinD("ths_adjustment_nv_fund",C$3,$A693))</f>
        <v/>
      </c>
      <c r="D693" s="13" t="str">
        <f>IF($A693="","",[1]!thsiFinD("ths_adjustment_nv_fund",D$3,$A693))</f>
        <v/>
      </c>
      <c r="E693" s="13" t="str">
        <f>IF($A693="","",[1]!thsiFinD("ths_adjustment_nv_fund",E$3,$A693))</f>
        <v/>
      </c>
      <c r="F693" s="13" t="str">
        <f>IF($A693="","",[1]!thsiFinD("ths_adjustment_nv_fund",F$3,$A693))</f>
        <v/>
      </c>
      <c r="G693" s="13" t="str">
        <f>IF($A693="","",[1]!thsiFinD("ths_adjustment_nv_fund",G$3,$A693))</f>
        <v/>
      </c>
      <c r="H693" s="13" t="str">
        <f>IF($A693="","",[1]!thsiFinD("ths_adjustment_nv_fund",H$3,$A693))</f>
        <v/>
      </c>
      <c r="I693" s="13" t="str">
        <f>IF($A693="","",[1]!thsiFinD("ths_adjustment_nv_fund",I$3,$A693))</f>
        <v/>
      </c>
      <c r="J693" s="13" t="str">
        <f>IF($A693="","",[1]!thsiFinD("ths_adjustment_nv_fund",J$3,$A693))</f>
        <v/>
      </c>
      <c r="K693" s="13" t="str">
        <f>IF($A693="","",[1]!thsiFinD("ths_adjustment_nv_fund",K$3,$A693))</f>
        <v/>
      </c>
      <c r="L693" s="13" t="str">
        <f>IF($A693="","",[1]!thsiFinD("ths_adjustment_nv_fund",L$3,$A693))</f>
        <v/>
      </c>
      <c r="M693" s="13" t="str">
        <f>IF($A693="","",[1]!thsiFinD("ths_adjustment_nv_fund",M$3,$A693))</f>
        <v/>
      </c>
      <c r="N693" s="13" t="str">
        <f>IF($A693="","",[1]!thsiFinD("ths_adjustment_nv_fund",N$3,$A693))</f>
        <v/>
      </c>
      <c r="O693" s="13" t="str">
        <f>IF($A693="","",[1]!thsiFinD("ths_adjustment_nv_fund",O$3,$A693))</f>
        <v/>
      </c>
      <c r="P693" s="13" t="str">
        <f>IF($A693="","",[1]!thsiFinD("ths_adjustment_nv_fund",P$3,$A693))</f>
        <v/>
      </c>
      <c r="Q693" s="13" t="str">
        <f>IF($A693="","",[1]!thsiFinD("ths_adjustment_nv_fund",Q$3,$A693))</f>
        <v/>
      </c>
      <c r="R693" s="13" t="str">
        <f>IF($A693="","",[1]!thsiFinD("ths_adjustment_nv_fund",R$3,$A693))</f>
        <v/>
      </c>
      <c r="S693" s="13" t="str">
        <f>IF($A693="","",[1]!thsiFinD("ths_adjustment_nv_fund",S$3,$A693))</f>
        <v/>
      </c>
      <c r="T693" s="13" t="str">
        <f>IF($A693="","",[1]!thsiFinD("ths_adjustment_nv_fund",T$3,$A693))</f>
        <v/>
      </c>
      <c r="U693" s="13" t="str">
        <f>IF($A693="","",[1]!thsiFinD("ths_adjustment_nv_fund",U$3,$A693))</f>
        <v/>
      </c>
      <c r="V693" s="13" t="str">
        <f>IF($A693="","",[1]!thsiFinD("ths_adjustment_nv_fund",V$3,$A693))</f>
        <v/>
      </c>
      <c r="W693" s="13" t="str">
        <f>IF($A693="","",[1]!thsiFinD("ths_adjustment_nv_fund",W$3,$A693))</f>
        <v/>
      </c>
      <c r="X693" s="13" t="str">
        <f>IF($A693="","",[1]!thsiFinD("ths_adjustment_nv_fund",X$3,$A693))</f>
        <v/>
      </c>
      <c r="Y693" s="13" t="str">
        <f>IF($A693="","",[1]!thsiFinD("ths_adjustment_nv_fund",Y$3,$A693))</f>
        <v/>
      </c>
      <c r="Z693" s="13" t="str">
        <f>IF($A693="","",[1]!thsiFinD("ths_adjustment_nv_fund",Z$3,$A693))</f>
        <v/>
      </c>
      <c r="AA693" s="13" t="str">
        <f>IF($A693="","",[1]!thsiFinD("ths_adjustment_nv_fund",AA$3,$A693))</f>
        <v/>
      </c>
      <c r="AB693" s="13" t="str">
        <f>IF($A693="","",[1]!thsiFinD("ths_adjustment_nv_fund",AB$3,$A693))</f>
        <v/>
      </c>
    </row>
    <row r="694" spans="2:28">
      <c r="B694" s="13" t="str">
        <f>IF($A694="","",[1]!thsiFinD("ths_adjustment_nv_fund",B$3,$A694))</f>
        <v/>
      </c>
      <c r="C694" s="13" t="str">
        <f>IF($A694="","",[1]!thsiFinD("ths_adjustment_nv_fund",C$3,$A694))</f>
        <v/>
      </c>
      <c r="D694" s="13" t="str">
        <f>IF($A694="","",[1]!thsiFinD("ths_adjustment_nv_fund",D$3,$A694))</f>
        <v/>
      </c>
      <c r="E694" s="13" t="str">
        <f>IF($A694="","",[1]!thsiFinD("ths_adjustment_nv_fund",E$3,$A694))</f>
        <v/>
      </c>
      <c r="F694" s="13" t="str">
        <f>IF($A694="","",[1]!thsiFinD("ths_adjustment_nv_fund",F$3,$A694))</f>
        <v/>
      </c>
      <c r="G694" s="13" t="str">
        <f>IF($A694="","",[1]!thsiFinD("ths_adjustment_nv_fund",G$3,$A694))</f>
        <v/>
      </c>
      <c r="H694" s="13" t="str">
        <f>IF($A694="","",[1]!thsiFinD("ths_adjustment_nv_fund",H$3,$A694))</f>
        <v/>
      </c>
      <c r="I694" s="13" t="str">
        <f>IF($A694="","",[1]!thsiFinD("ths_adjustment_nv_fund",I$3,$A694))</f>
        <v/>
      </c>
      <c r="J694" s="13" t="str">
        <f>IF($A694="","",[1]!thsiFinD("ths_adjustment_nv_fund",J$3,$A694))</f>
        <v/>
      </c>
      <c r="K694" s="13" t="str">
        <f>IF($A694="","",[1]!thsiFinD("ths_adjustment_nv_fund",K$3,$A694))</f>
        <v/>
      </c>
      <c r="L694" s="13" t="str">
        <f>IF($A694="","",[1]!thsiFinD("ths_adjustment_nv_fund",L$3,$A694))</f>
        <v/>
      </c>
      <c r="M694" s="13" t="str">
        <f>IF($A694="","",[1]!thsiFinD("ths_adjustment_nv_fund",M$3,$A694))</f>
        <v/>
      </c>
      <c r="N694" s="13" t="str">
        <f>IF($A694="","",[1]!thsiFinD("ths_adjustment_nv_fund",N$3,$A694))</f>
        <v/>
      </c>
      <c r="O694" s="13" t="str">
        <f>IF($A694="","",[1]!thsiFinD("ths_adjustment_nv_fund",O$3,$A694))</f>
        <v/>
      </c>
      <c r="P694" s="13" t="str">
        <f>IF($A694="","",[1]!thsiFinD("ths_adjustment_nv_fund",P$3,$A694))</f>
        <v/>
      </c>
      <c r="Q694" s="13" t="str">
        <f>IF($A694="","",[1]!thsiFinD("ths_adjustment_nv_fund",Q$3,$A694))</f>
        <v/>
      </c>
      <c r="R694" s="13" t="str">
        <f>IF($A694="","",[1]!thsiFinD("ths_adjustment_nv_fund",R$3,$A694))</f>
        <v/>
      </c>
      <c r="S694" s="13" t="str">
        <f>IF($A694="","",[1]!thsiFinD("ths_adjustment_nv_fund",S$3,$A694))</f>
        <v/>
      </c>
      <c r="T694" s="13" t="str">
        <f>IF($A694="","",[1]!thsiFinD("ths_adjustment_nv_fund",T$3,$A694))</f>
        <v/>
      </c>
      <c r="U694" s="13" t="str">
        <f>IF($A694="","",[1]!thsiFinD("ths_adjustment_nv_fund",U$3,$A694))</f>
        <v/>
      </c>
      <c r="V694" s="13" t="str">
        <f>IF($A694="","",[1]!thsiFinD("ths_adjustment_nv_fund",V$3,$A694))</f>
        <v/>
      </c>
      <c r="W694" s="13" t="str">
        <f>IF($A694="","",[1]!thsiFinD("ths_adjustment_nv_fund",W$3,$A694))</f>
        <v/>
      </c>
      <c r="X694" s="13" t="str">
        <f>IF($A694="","",[1]!thsiFinD("ths_adjustment_nv_fund",X$3,$A694))</f>
        <v/>
      </c>
      <c r="Y694" s="13" t="str">
        <f>IF($A694="","",[1]!thsiFinD("ths_adjustment_nv_fund",Y$3,$A694))</f>
        <v/>
      </c>
      <c r="Z694" s="13" t="str">
        <f>IF($A694="","",[1]!thsiFinD("ths_adjustment_nv_fund",Z$3,$A694))</f>
        <v/>
      </c>
      <c r="AA694" s="13" t="str">
        <f>IF($A694="","",[1]!thsiFinD("ths_adjustment_nv_fund",AA$3,$A694))</f>
        <v/>
      </c>
      <c r="AB694" s="13" t="str">
        <f>IF($A694="","",[1]!thsiFinD("ths_adjustment_nv_fund",AB$3,$A694))</f>
        <v/>
      </c>
    </row>
    <row r="695" spans="2:28">
      <c r="B695" s="13" t="str">
        <f>IF($A695="","",[1]!thsiFinD("ths_adjustment_nv_fund",B$3,$A695))</f>
        <v/>
      </c>
      <c r="C695" s="13" t="str">
        <f>IF($A695="","",[1]!thsiFinD("ths_adjustment_nv_fund",C$3,$A695))</f>
        <v/>
      </c>
      <c r="D695" s="13" t="str">
        <f>IF($A695="","",[1]!thsiFinD("ths_adjustment_nv_fund",D$3,$A695))</f>
        <v/>
      </c>
      <c r="E695" s="13" t="str">
        <f>IF($A695="","",[1]!thsiFinD("ths_adjustment_nv_fund",E$3,$A695))</f>
        <v/>
      </c>
      <c r="F695" s="13" t="str">
        <f>IF($A695="","",[1]!thsiFinD("ths_adjustment_nv_fund",F$3,$A695))</f>
        <v/>
      </c>
      <c r="G695" s="13" t="str">
        <f>IF($A695="","",[1]!thsiFinD("ths_adjustment_nv_fund",G$3,$A695))</f>
        <v/>
      </c>
      <c r="H695" s="13" t="str">
        <f>IF($A695="","",[1]!thsiFinD("ths_adjustment_nv_fund",H$3,$A695))</f>
        <v/>
      </c>
      <c r="I695" s="13" t="str">
        <f>IF($A695="","",[1]!thsiFinD("ths_adjustment_nv_fund",I$3,$A695))</f>
        <v/>
      </c>
      <c r="J695" s="13" t="str">
        <f>IF($A695="","",[1]!thsiFinD("ths_adjustment_nv_fund",J$3,$A695))</f>
        <v/>
      </c>
      <c r="K695" s="13" t="str">
        <f>IF($A695="","",[1]!thsiFinD("ths_adjustment_nv_fund",K$3,$A695))</f>
        <v/>
      </c>
      <c r="L695" s="13" t="str">
        <f>IF($A695="","",[1]!thsiFinD("ths_adjustment_nv_fund",L$3,$A695))</f>
        <v/>
      </c>
      <c r="M695" s="13" t="str">
        <f>IF($A695="","",[1]!thsiFinD("ths_adjustment_nv_fund",M$3,$A695))</f>
        <v/>
      </c>
      <c r="N695" s="13" t="str">
        <f>IF($A695="","",[1]!thsiFinD("ths_adjustment_nv_fund",N$3,$A695))</f>
        <v/>
      </c>
      <c r="O695" s="13" t="str">
        <f>IF($A695="","",[1]!thsiFinD("ths_adjustment_nv_fund",O$3,$A695))</f>
        <v/>
      </c>
      <c r="P695" s="13" t="str">
        <f>IF($A695="","",[1]!thsiFinD("ths_adjustment_nv_fund",P$3,$A695))</f>
        <v/>
      </c>
      <c r="Q695" s="13" t="str">
        <f>IF($A695="","",[1]!thsiFinD("ths_adjustment_nv_fund",Q$3,$A695))</f>
        <v/>
      </c>
      <c r="R695" s="13" t="str">
        <f>IF($A695="","",[1]!thsiFinD("ths_adjustment_nv_fund",R$3,$A695))</f>
        <v/>
      </c>
      <c r="S695" s="13" t="str">
        <f>IF($A695="","",[1]!thsiFinD("ths_adjustment_nv_fund",S$3,$A695))</f>
        <v/>
      </c>
      <c r="T695" s="13" t="str">
        <f>IF($A695="","",[1]!thsiFinD("ths_adjustment_nv_fund",T$3,$A695))</f>
        <v/>
      </c>
      <c r="U695" s="13" t="str">
        <f>IF($A695="","",[1]!thsiFinD("ths_adjustment_nv_fund",U$3,$A695))</f>
        <v/>
      </c>
      <c r="V695" s="13" t="str">
        <f>IF($A695="","",[1]!thsiFinD("ths_adjustment_nv_fund",V$3,$A695))</f>
        <v/>
      </c>
      <c r="W695" s="13" t="str">
        <f>IF($A695="","",[1]!thsiFinD("ths_adjustment_nv_fund",W$3,$A695))</f>
        <v/>
      </c>
      <c r="X695" s="13" t="str">
        <f>IF($A695="","",[1]!thsiFinD("ths_adjustment_nv_fund",X$3,$A695))</f>
        <v/>
      </c>
      <c r="Y695" s="13" t="str">
        <f>IF($A695="","",[1]!thsiFinD("ths_adjustment_nv_fund",Y$3,$A695))</f>
        <v/>
      </c>
      <c r="Z695" s="13" t="str">
        <f>IF($A695="","",[1]!thsiFinD("ths_adjustment_nv_fund",Z$3,$A695))</f>
        <v/>
      </c>
      <c r="AA695" s="13" t="str">
        <f>IF($A695="","",[1]!thsiFinD("ths_adjustment_nv_fund",AA$3,$A695))</f>
        <v/>
      </c>
      <c r="AB695" s="13" t="str">
        <f>IF($A695="","",[1]!thsiFinD("ths_adjustment_nv_fund",AB$3,$A695))</f>
        <v/>
      </c>
    </row>
    <row r="696" spans="2:28">
      <c r="B696" s="13" t="str">
        <f>IF($A696="","",[1]!thsiFinD("ths_adjustment_nv_fund",B$3,$A696))</f>
        <v/>
      </c>
      <c r="C696" s="13" t="str">
        <f>IF($A696="","",[1]!thsiFinD("ths_adjustment_nv_fund",C$3,$A696))</f>
        <v/>
      </c>
      <c r="D696" s="13" t="str">
        <f>IF($A696="","",[1]!thsiFinD("ths_adjustment_nv_fund",D$3,$A696))</f>
        <v/>
      </c>
      <c r="E696" s="13" t="str">
        <f>IF($A696="","",[1]!thsiFinD("ths_adjustment_nv_fund",E$3,$A696))</f>
        <v/>
      </c>
      <c r="F696" s="13" t="str">
        <f>IF($A696="","",[1]!thsiFinD("ths_adjustment_nv_fund",F$3,$A696))</f>
        <v/>
      </c>
      <c r="G696" s="13" t="str">
        <f>IF($A696="","",[1]!thsiFinD("ths_adjustment_nv_fund",G$3,$A696))</f>
        <v/>
      </c>
      <c r="H696" s="13" t="str">
        <f>IF($A696="","",[1]!thsiFinD("ths_adjustment_nv_fund",H$3,$A696))</f>
        <v/>
      </c>
      <c r="I696" s="13" t="str">
        <f>IF($A696="","",[1]!thsiFinD("ths_adjustment_nv_fund",I$3,$A696))</f>
        <v/>
      </c>
      <c r="J696" s="13" t="str">
        <f>IF($A696="","",[1]!thsiFinD("ths_adjustment_nv_fund",J$3,$A696))</f>
        <v/>
      </c>
      <c r="K696" s="13" t="str">
        <f>IF($A696="","",[1]!thsiFinD("ths_adjustment_nv_fund",K$3,$A696))</f>
        <v/>
      </c>
      <c r="L696" s="13" t="str">
        <f>IF($A696="","",[1]!thsiFinD("ths_adjustment_nv_fund",L$3,$A696))</f>
        <v/>
      </c>
      <c r="M696" s="13" t="str">
        <f>IF($A696="","",[1]!thsiFinD("ths_adjustment_nv_fund",M$3,$A696))</f>
        <v/>
      </c>
      <c r="N696" s="13" t="str">
        <f>IF($A696="","",[1]!thsiFinD("ths_adjustment_nv_fund",N$3,$A696))</f>
        <v/>
      </c>
      <c r="O696" s="13" t="str">
        <f>IF($A696="","",[1]!thsiFinD("ths_adjustment_nv_fund",O$3,$A696))</f>
        <v/>
      </c>
      <c r="P696" s="13" t="str">
        <f>IF($A696="","",[1]!thsiFinD("ths_adjustment_nv_fund",P$3,$A696))</f>
        <v/>
      </c>
      <c r="Q696" s="13" t="str">
        <f>IF($A696="","",[1]!thsiFinD("ths_adjustment_nv_fund",Q$3,$A696))</f>
        <v/>
      </c>
      <c r="R696" s="13" t="str">
        <f>IF($A696="","",[1]!thsiFinD("ths_adjustment_nv_fund",R$3,$A696))</f>
        <v/>
      </c>
      <c r="S696" s="13" t="str">
        <f>IF($A696="","",[1]!thsiFinD("ths_adjustment_nv_fund",S$3,$A696))</f>
        <v/>
      </c>
      <c r="T696" s="13" t="str">
        <f>IF($A696="","",[1]!thsiFinD("ths_adjustment_nv_fund",T$3,$A696))</f>
        <v/>
      </c>
      <c r="U696" s="13" t="str">
        <f>IF($A696="","",[1]!thsiFinD("ths_adjustment_nv_fund",U$3,$A696))</f>
        <v/>
      </c>
      <c r="V696" s="13" t="str">
        <f>IF($A696="","",[1]!thsiFinD("ths_adjustment_nv_fund",V$3,$A696))</f>
        <v/>
      </c>
      <c r="W696" s="13" t="str">
        <f>IF($A696="","",[1]!thsiFinD("ths_adjustment_nv_fund",W$3,$A696))</f>
        <v/>
      </c>
      <c r="X696" s="13" t="str">
        <f>IF($A696="","",[1]!thsiFinD("ths_adjustment_nv_fund",X$3,$A696))</f>
        <v/>
      </c>
      <c r="Y696" s="13" t="str">
        <f>IF($A696="","",[1]!thsiFinD("ths_adjustment_nv_fund",Y$3,$A696))</f>
        <v/>
      </c>
      <c r="Z696" s="13" t="str">
        <f>IF($A696="","",[1]!thsiFinD("ths_adjustment_nv_fund",Z$3,$A696))</f>
        <v/>
      </c>
      <c r="AA696" s="13" t="str">
        <f>IF($A696="","",[1]!thsiFinD("ths_adjustment_nv_fund",AA$3,$A696))</f>
        <v/>
      </c>
      <c r="AB696" s="13" t="str">
        <f>IF($A696="","",[1]!thsiFinD("ths_adjustment_nv_fund",AB$3,$A696))</f>
        <v/>
      </c>
    </row>
    <row r="697" spans="2:28">
      <c r="B697" s="13" t="str">
        <f>IF($A697="","",[1]!thsiFinD("ths_adjustment_nv_fund",B$3,$A697))</f>
        <v/>
      </c>
      <c r="C697" s="13" t="str">
        <f>IF($A697="","",[1]!thsiFinD("ths_adjustment_nv_fund",C$3,$A697))</f>
        <v/>
      </c>
      <c r="D697" s="13" t="str">
        <f>IF($A697="","",[1]!thsiFinD("ths_adjustment_nv_fund",D$3,$A697))</f>
        <v/>
      </c>
      <c r="E697" s="13" t="str">
        <f>IF($A697="","",[1]!thsiFinD("ths_adjustment_nv_fund",E$3,$A697))</f>
        <v/>
      </c>
      <c r="F697" s="13" t="str">
        <f>IF($A697="","",[1]!thsiFinD("ths_adjustment_nv_fund",F$3,$A697))</f>
        <v/>
      </c>
      <c r="G697" s="13" t="str">
        <f>IF($A697="","",[1]!thsiFinD("ths_adjustment_nv_fund",G$3,$A697))</f>
        <v/>
      </c>
      <c r="H697" s="13" t="str">
        <f>IF($A697="","",[1]!thsiFinD("ths_adjustment_nv_fund",H$3,$A697))</f>
        <v/>
      </c>
      <c r="I697" s="13" t="str">
        <f>IF($A697="","",[1]!thsiFinD("ths_adjustment_nv_fund",I$3,$A697))</f>
        <v/>
      </c>
      <c r="J697" s="13" t="str">
        <f>IF($A697="","",[1]!thsiFinD("ths_adjustment_nv_fund",J$3,$A697))</f>
        <v/>
      </c>
      <c r="K697" s="13" t="str">
        <f>IF($A697="","",[1]!thsiFinD("ths_adjustment_nv_fund",K$3,$A697))</f>
        <v/>
      </c>
      <c r="L697" s="13" t="str">
        <f>IF($A697="","",[1]!thsiFinD("ths_adjustment_nv_fund",L$3,$A697))</f>
        <v/>
      </c>
      <c r="M697" s="13" t="str">
        <f>IF($A697="","",[1]!thsiFinD("ths_adjustment_nv_fund",M$3,$A697))</f>
        <v/>
      </c>
      <c r="N697" s="13" t="str">
        <f>IF($A697="","",[1]!thsiFinD("ths_adjustment_nv_fund",N$3,$A697))</f>
        <v/>
      </c>
      <c r="O697" s="13" t="str">
        <f>IF($A697="","",[1]!thsiFinD("ths_adjustment_nv_fund",O$3,$A697))</f>
        <v/>
      </c>
      <c r="P697" s="13" t="str">
        <f>IF($A697="","",[1]!thsiFinD("ths_adjustment_nv_fund",P$3,$A697))</f>
        <v/>
      </c>
      <c r="Q697" s="13" t="str">
        <f>IF($A697="","",[1]!thsiFinD("ths_adjustment_nv_fund",Q$3,$A697))</f>
        <v/>
      </c>
      <c r="R697" s="13" t="str">
        <f>IF($A697="","",[1]!thsiFinD("ths_adjustment_nv_fund",R$3,$A697))</f>
        <v/>
      </c>
      <c r="S697" s="13" t="str">
        <f>IF($A697="","",[1]!thsiFinD("ths_adjustment_nv_fund",S$3,$A697))</f>
        <v/>
      </c>
      <c r="T697" s="13" t="str">
        <f>IF($A697="","",[1]!thsiFinD("ths_adjustment_nv_fund",T$3,$A697))</f>
        <v/>
      </c>
      <c r="U697" s="13" t="str">
        <f>IF($A697="","",[1]!thsiFinD("ths_adjustment_nv_fund",U$3,$A697))</f>
        <v/>
      </c>
      <c r="V697" s="13" t="str">
        <f>IF($A697="","",[1]!thsiFinD("ths_adjustment_nv_fund",V$3,$A697))</f>
        <v/>
      </c>
      <c r="W697" s="13" t="str">
        <f>IF($A697="","",[1]!thsiFinD("ths_adjustment_nv_fund",W$3,$A697))</f>
        <v/>
      </c>
      <c r="X697" s="13" t="str">
        <f>IF($A697="","",[1]!thsiFinD("ths_adjustment_nv_fund",X$3,$A697))</f>
        <v/>
      </c>
      <c r="Y697" s="13" t="str">
        <f>IF($A697="","",[1]!thsiFinD("ths_adjustment_nv_fund",Y$3,$A697))</f>
        <v/>
      </c>
      <c r="Z697" s="13" t="str">
        <f>IF($A697="","",[1]!thsiFinD("ths_adjustment_nv_fund",Z$3,$A697))</f>
        <v/>
      </c>
      <c r="AA697" s="13" t="str">
        <f>IF($A697="","",[1]!thsiFinD("ths_adjustment_nv_fund",AA$3,$A697))</f>
        <v/>
      </c>
      <c r="AB697" s="13" t="str">
        <f>IF($A697="","",[1]!thsiFinD("ths_adjustment_nv_fund",AB$3,$A697))</f>
        <v/>
      </c>
    </row>
    <row r="698" spans="2:28">
      <c r="B698" s="13" t="str">
        <f>IF($A698="","",[1]!thsiFinD("ths_adjustment_nv_fund",B$3,$A698))</f>
        <v/>
      </c>
      <c r="C698" s="13" t="str">
        <f>IF($A698="","",[1]!thsiFinD("ths_adjustment_nv_fund",C$3,$A698))</f>
        <v/>
      </c>
      <c r="D698" s="13" t="str">
        <f>IF($A698="","",[1]!thsiFinD("ths_adjustment_nv_fund",D$3,$A698))</f>
        <v/>
      </c>
      <c r="E698" s="13" t="str">
        <f>IF($A698="","",[1]!thsiFinD("ths_adjustment_nv_fund",E$3,$A698))</f>
        <v/>
      </c>
      <c r="F698" s="13" t="str">
        <f>IF($A698="","",[1]!thsiFinD("ths_adjustment_nv_fund",F$3,$A698))</f>
        <v/>
      </c>
      <c r="G698" s="13" t="str">
        <f>IF($A698="","",[1]!thsiFinD("ths_adjustment_nv_fund",G$3,$A698))</f>
        <v/>
      </c>
      <c r="H698" s="13" t="str">
        <f>IF($A698="","",[1]!thsiFinD("ths_adjustment_nv_fund",H$3,$A698))</f>
        <v/>
      </c>
      <c r="I698" s="13" t="str">
        <f>IF($A698="","",[1]!thsiFinD("ths_adjustment_nv_fund",I$3,$A698))</f>
        <v/>
      </c>
      <c r="J698" s="13" t="str">
        <f>IF($A698="","",[1]!thsiFinD("ths_adjustment_nv_fund",J$3,$A698))</f>
        <v/>
      </c>
      <c r="K698" s="13" t="str">
        <f>IF($A698="","",[1]!thsiFinD("ths_adjustment_nv_fund",K$3,$A698))</f>
        <v/>
      </c>
      <c r="L698" s="13" t="str">
        <f>IF($A698="","",[1]!thsiFinD("ths_adjustment_nv_fund",L$3,$A698))</f>
        <v/>
      </c>
      <c r="M698" s="13" t="str">
        <f>IF($A698="","",[1]!thsiFinD("ths_adjustment_nv_fund",M$3,$A698))</f>
        <v/>
      </c>
      <c r="N698" s="13" t="str">
        <f>IF($A698="","",[1]!thsiFinD("ths_adjustment_nv_fund",N$3,$A698))</f>
        <v/>
      </c>
      <c r="O698" s="13" t="str">
        <f>IF($A698="","",[1]!thsiFinD("ths_adjustment_nv_fund",O$3,$A698))</f>
        <v/>
      </c>
      <c r="P698" s="13" t="str">
        <f>IF($A698="","",[1]!thsiFinD("ths_adjustment_nv_fund",P$3,$A698))</f>
        <v/>
      </c>
      <c r="Q698" s="13" t="str">
        <f>IF($A698="","",[1]!thsiFinD("ths_adjustment_nv_fund",Q$3,$A698))</f>
        <v/>
      </c>
      <c r="R698" s="13" t="str">
        <f>IF($A698="","",[1]!thsiFinD("ths_adjustment_nv_fund",R$3,$A698))</f>
        <v/>
      </c>
      <c r="S698" s="13" t="str">
        <f>IF($A698="","",[1]!thsiFinD("ths_adjustment_nv_fund",S$3,$A698))</f>
        <v/>
      </c>
      <c r="T698" s="13" t="str">
        <f>IF($A698="","",[1]!thsiFinD("ths_adjustment_nv_fund",T$3,$A698))</f>
        <v/>
      </c>
      <c r="U698" s="13" t="str">
        <f>IF($A698="","",[1]!thsiFinD("ths_adjustment_nv_fund",U$3,$A698))</f>
        <v/>
      </c>
      <c r="V698" s="13" t="str">
        <f>IF($A698="","",[1]!thsiFinD("ths_adjustment_nv_fund",V$3,$A698))</f>
        <v/>
      </c>
      <c r="W698" s="13" t="str">
        <f>IF($A698="","",[1]!thsiFinD("ths_adjustment_nv_fund",W$3,$A698))</f>
        <v/>
      </c>
      <c r="X698" s="13" t="str">
        <f>IF($A698="","",[1]!thsiFinD("ths_adjustment_nv_fund",X$3,$A698))</f>
        <v/>
      </c>
      <c r="Y698" s="13" t="str">
        <f>IF($A698="","",[1]!thsiFinD("ths_adjustment_nv_fund",Y$3,$A698))</f>
        <v/>
      </c>
      <c r="Z698" s="13" t="str">
        <f>IF($A698="","",[1]!thsiFinD("ths_adjustment_nv_fund",Z$3,$A698))</f>
        <v/>
      </c>
      <c r="AA698" s="13" t="str">
        <f>IF($A698="","",[1]!thsiFinD("ths_adjustment_nv_fund",AA$3,$A698))</f>
        <v/>
      </c>
      <c r="AB698" s="13" t="str">
        <f>IF($A698="","",[1]!thsiFinD("ths_adjustment_nv_fund",AB$3,$A698))</f>
        <v/>
      </c>
    </row>
    <row r="699" spans="2:28">
      <c r="B699" s="13" t="str">
        <f>IF($A699="","",[1]!thsiFinD("ths_adjustment_nv_fund",B$3,$A699))</f>
        <v/>
      </c>
      <c r="C699" s="13" t="str">
        <f>IF($A699="","",[1]!thsiFinD("ths_adjustment_nv_fund",C$3,$A699))</f>
        <v/>
      </c>
      <c r="D699" s="13" t="str">
        <f>IF($A699="","",[1]!thsiFinD("ths_adjustment_nv_fund",D$3,$A699))</f>
        <v/>
      </c>
      <c r="E699" s="13" t="str">
        <f>IF($A699="","",[1]!thsiFinD("ths_adjustment_nv_fund",E$3,$A699))</f>
        <v/>
      </c>
      <c r="F699" s="13" t="str">
        <f>IF($A699="","",[1]!thsiFinD("ths_adjustment_nv_fund",F$3,$A699))</f>
        <v/>
      </c>
      <c r="G699" s="13" t="str">
        <f>IF($A699="","",[1]!thsiFinD("ths_adjustment_nv_fund",G$3,$A699))</f>
        <v/>
      </c>
      <c r="H699" s="13" t="str">
        <f>IF($A699="","",[1]!thsiFinD("ths_adjustment_nv_fund",H$3,$A699))</f>
        <v/>
      </c>
      <c r="I699" s="13" t="str">
        <f>IF($A699="","",[1]!thsiFinD("ths_adjustment_nv_fund",I$3,$A699))</f>
        <v/>
      </c>
      <c r="J699" s="13" t="str">
        <f>IF($A699="","",[1]!thsiFinD("ths_adjustment_nv_fund",J$3,$A699))</f>
        <v/>
      </c>
      <c r="K699" s="13" t="str">
        <f>IF($A699="","",[1]!thsiFinD("ths_adjustment_nv_fund",K$3,$A699))</f>
        <v/>
      </c>
      <c r="L699" s="13" t="str">
        <f>IF($A699="","",[1]!thsiFinD("ths_adjustment_nv_fund",L$3,$A699))</f>
        <v/>
      </c>
      <c r="M699" s="13" t="str">
        <f>IF($A699="","",[1]!thsiFinD("ths_adjustment_nv_fund",M$3,$A699))</f>
        <v/>
      </c>
      <c r="N699" s="13" t="str">
        <f>IF($A699="","",[1]!thsiFinD("ths_adjustment_nv_fund",N$3,$A699))</f>
        <v/>
      </c>
      <c r="O699" s="13" t="str">
        <f>IF($A699="","",[1]!thsiFinD("ths_adjustment_nv_fund",O$3,$A699))</f>
        <v/>
      </c>
      <c r="P699" s="13" t="str">
        <f>IF($A699="","",[1]!thsiFinD("ths_adjustment_nv_fund",P$3,$A699))</f>
        <v/>
      </c>
      <c r="Q699" s="13" t="str">
        <f>IF($A699="","",[1]!thsiFinD("ths_adjustment_nv_fund",Q$3,$A699))</f>
        <v/>
      </c>
      <c r="R699" s="13" t="str">
        <f>IF($A699="","",[1]!thsiFinD("ths_adjustment_nv_fund",R$3,$A699))</f>
        <v/>
      </c>
      <c r="S699" s="13" t="str">
        <f>IF($A699="","",[1]!thsiFinD("ths_adjustment_nv_fund",S$3,$A699))</f>
        <v/>
      </c>
      <c r="T699" s="13" t="str">
        <f>IF($A699="","",[1]!thsiFinD("ths_adjustment_nv_fund",T$3,$A699))</f>
        <v/>
      </c>
      <c r="U699" s="13" t="str">
        <f>IF($A699="","",[1]!thsiFinD("ths_adjustment_nv_fund",U$3,$A699))</f>
        <v/>
      </c>
      <c r="V699" s="13" t="str">
        <f>IF($A699="","",[1]!thsiFinD("ths_adjustment_nv_fund",V$3,$A699))</f>
        <v/>
      </c>
      <c r="W699" s="13" t="str">
        <f>IF($A699="","",[1]!thsiFinD("ths_adjustment_nv_fund",W$3,$A699))</f>
        <v/>
      </c>
      <c r="X699" s="13" t="str">
        <f>IF($A699="","",[1]!thsiFinD("ths_adjustment_nv_fund",X$3,$A699))</f>
        <v/>
      </c>
      <c r="Y699" s="13" t="str">
        <f>IF($A699="","",[1]!thsiFinD("ths_adjustment_nv_fund",Y$3,$A699))</f>
        <v/>
      </c>
      <c r="Z699" s="13" t="str">
        <f>IF($A699="","",[1]!thsiFinD("ths_adjustment_nv_fund",Z$3,$A699))</f>
        <v/>
      </c>
      <c r="AA699" s="13" t="str">
        <f>IF($A699="","",[1]!thsiFinD("ths_adjustment_nv_fund",AA$3,$A699))</f>
        <v/>
      </c>
      <c r="AB699" s="13" t="str">
        <f>IF($A699="","",[1]!thsiFinD("ths_adjustment_nv_fund",AB$3,$A699))</f>
        <v/>
      </c>
    </row>
    <row r="700" spans="2:28">
      <c r="B700" s="13" t="str">
        <f>IF($A700="","",[1]!thsiFinD("ths_adjustment_nv_fund",B$3,$A700))</f>
        <v/>
      </c>
      <c r="C700" s="13" t="str">
        <f>IF($A700="","",[1]!thsiFinD("ths_adjustment_nv_fund",C$3,$A700))</f>
        <v/>
      </c>
      <c r="D700" s="13" t="str">
        <f>IF($A700="","",[1]!thsiFinD("ths_adjustment_nv_fund",D$3,$A700))</f>
        <v/>
      </c>
      <c r="E700" s="13" t="str">
        <f>IF($A700="","",[1]!thsiFinD("ths_adjustment_nv_fund",E$3,$A700))</f>
        <v/>
      </c>
      <c r="F700" s="13" t="str">
        <f>IF($A700="","",[1]!thsiFinD("ths_adjustment_nv_fund",F$3,$A700))</f>
        <v/>
      </c>
      <c r="G700" s="13" t="str">
        <f>IF($A700="","",[1]!thsiFinD("ths_adjustment_nv_fund",G$3,$A700))</f>
        <v/>
      </c>
      <c r="H700" s="13" t="str">
        <f>IF($A700="","",[1]!thsiFinD("ths_adjustment_nv_fund",H$3,$A700))</f>
        <v/>
      </c>
      <c r="I700" s="13" t="str">
        <f>IF($A700="","",[1]!thsiFinD("ths_adjustment_nv_fund",I$3,$A700))</f>
        <v/>
      </c>
      <c r="J700" s="13" t="str">
        <f>IF($A700="","",[1]!thsiFinD("ths_adjustment_nv_fund",J$3,$A700))</f>
        <v/>
      </c>
      <c r="K700" s="13" t="str">
        <f>IF($A700="","",[1]!thsiFinD("ths_adjustment_nv_fund",K$3,$A700))</f>
        <v/>
      </c>
      <c r="L700" s="13" t="str">
        <f>IF($A700="","",[1]!thsiFinD("ths_adjustment_nv_fund",L$3,$A700))</f>
        <v/>
      </c>
      <c r="M700" s="13" t="str">
        <f>IF($A700="","",[1]!thsiFinD("ths_adjustment_nv_fund",M$3,$A700))</f>
        <v/>
      </c>
      <c r="N700" s="13" t="str">
        <f>IF($A700="","",[1]!thsiFinD("ths_adjustment_nv_fund",N$3,$A700))</f>
        <v/>
      </c>
      <c r="O700" s="13" t="str">
        <f>IF($A700="","",[1]!thsiFinD("ths_adjustment_nv_fund",O$3,$A700))</f>
        <v/>
      </c>
      <c r="P700" s="13" t="str">
        <f>IF($A700="","",[1]!thsiFinD("ths_adjustment_nv_fund",P$3,$A700))</f>
        <v/>
      </c>
      <c r="Q700" s="13" t="str">
        <f>IF($A700="","",[1]!thsiFinD("ths_adjustment_nv_fund",Q$3,$A700))</f>
        <v/>
      </c>
      <c r="R700" s="13" t="str">
        <f>IF($A700="","",[1]!thsiFinD("ths_adjustment_nv_fund",R$3,$A700))</f>
        <v/>
      </c>
      <c r="S700" s="13" t="str">
        <f>IF($A700="","",[1]!thsiFinD("ths_adjustment_nv_fund",S$3,$A700))</f>
        <v/>
      </c>
      <c r="T700" s="13" t="str">
        <f>IF($A700="","",[1]!thsiFinD("ths_adjustment_nv_fund",T$3,$A700))</f>
        <v/>
      </c>
      <c r="U700" s="13" t="str">
        <f>IF($A700="","",[1]!thsiFinD("ths_adjustment_nv_fund",U$3,$A700))</f>
        <v/>
      </c>
      <c r="V700" s="13" t="str">
        <f>IF($A700="","",[1]!thsiFinD("ths_adjustment_nv_fund",V$3,$A700))</f>
        <v/>
      </c>
      <c r="W700" s="13" t="str">
        <f>IF($A700="","",[1]!thsiFinD("ths_adjustment_nv_fund",W$3,$A700))</f>
        <v/>
      </c>
      <c r="X700" s="13" t="str">
        <f>IF($A700="","",[1]!thsiFinD("ths_adjustment_nv_fund",X$3,$A700))</f>
        <v/>
      </c>
      <c r="Y700" s="13" t="str">
        <f>IF($A700="","",[1]!thsiFinD("ths_adjustment_nv_fund",Y$3,$A700))</f>
        <v/>
      </c>
      <c r="Z700" s="13" t="str">
        <f>IF($A700="","",[1]!thsiFinD("ths_adjustment_nv_fund",Z$3,$A700))</f>
        <v/>
      </c>
      <c r="AA700" s="13" t="str">
        <f>IF($A700="","",[1]!thsiFinD("ths_adjustment_nv_fund",AA$3,$A700))</f>
        <v/>
      </c>
      <c r="AB700" s="13" t="str">
        <f>IF($A700="","",[1]!thsiFinD("ths_adjustment_nv_fund",AB$3,$A700))</f>
        <v/>
      </c>
    </row>
    <row r="701" spans="2:28">
      <c r="B701" s="13" t="str">
        <f>IF($A701="","",[1]!thsiFinD("ths_adjustment_nv_fund",B$3,$A701))</f>
        <v/>
      </c>
      <c r="C701" s="13" t="str">
        <f>IF($A701="","",[1]!thsiFinD("ths_adjustment_nv_fund",C$3,$A701))</f>
        <v/>
      </c>
      <c r="D701" s="13" t="str">
        <f>IF($A701="","",[1]!thsiFinD("ths_adjustment_nv_fund",D$3,$A701))</f>
        <v/>
      </c>
      <c r="E701" s="13" t="str">
        <f>IF($A701="","",[1]!thsiFinD("ths_adjustment_nv_fund",E$3,$A701))</f>
        <v/>
      </c>
      <c r="F701" s="13" t="str">
        <f>IF($A701="","",[1]!thsiFinD("ths_adjustment_nv_fund",F$3,$A701))</f>
        <v/>
      </c>
      <c r="G701" s="13" t="str">
        <f>IF($A701="","",[1]!thsiFinD("ths_adjustment_nv_fund",G$3,$A701))</f>
        <v/>
      </c>
      <c r="H701" s="13" t="str">
        <f>IF($A701="","",[1]!thsiFinD("ths_adjustment_nv_fund",H$3,$A701))</f>
        <v/>
      </c>
      <c r="I701" s="13" t="str">
        <f>IF($A701="","",[1]!thsiFinD("ths_adjustment_nv_fund",I$3,$A701))</f>
        <v/>
      </c>
      <c r="J701" s="13" t="str">
        <f>IF($A701="","",[1]!thsiFinD("ths_adjustment_nv_fund",J$3,$A701))</f>
        <v/>
      </c>
      <c r="K701" s="13" t="str">
        <f>IF($A701="","",[1]!thsiFinD("ths_adjustment_nv_fund",K$3,$A701))</f>
        <v/>
      </c>
      <c r="L701" s="13" t="str">
        <f>IF($A701="","",[1]!thsiFinD("ths_adjustment_nv_fund",L$3,$A701))</f>
        <v/>
      </c>
      <c r="M701" s="13" t="str">
        <f>IF($A701="","",[1]!thsiFinD("ths_adjustment_nv_fund",M$3,$A701))</f>
        <v/>
      </c>
      <c r="N701" s="13" t="str">
        <f>IF($A701="","",[1]!thsiFinD("ths_adjustment_nv_fund",N$3,$A701))</f>
        <v/>
      </c>
      <c r="O701" s="13" t="str">
        <f>IF($A701="","",[1]!thsiFinD("ths_adjustment_nv_fund",O$3,$A701))</f>
        <v/>
      </c>
      <c r="P701" s="13" t="str">
        <f>IF($A701="","",[1]!thsiFinD("ths_adjustment_nv_fund",P$3,$A701))</f>
        <v/>
      </c>
      <c r="Q701" s="13" t="str">
        <f>IF($A701="","",[1]!thsiFinD("ths_adjustment_nv_fund",Q$3,$A701))</f>
        <v/>
      </c>
      <c r="R701" s="13" t="str">
        <f>IF($A701="","",[1]!thsiFinD("ths_adjustment_nv_fund",R$3,$A701))</f>
        <v/>
      </c>
      <c r="S701" s="13" t="str">
        <f>IF($A701="","",[1]!thsiFinD("ths_adjustment_nv_fund",S$3,$A701))</f>
        <v/>
      </c>
      <c r="T701" s="13" t="str">
        <f>IF($A701="","",[1]!thsiFinD("ths_adjustment_nv_fund",T$3,$A701))</f>
        <v/>
      </c>
      <c r="U701" s="13" t="str">
        <f>IF($A701="","",[1]!thsiFinD("ths_adjustment_nv_fund",U$3,$A701))</f>
        <v/>
      </c>
      <c r="V701" s="13" t="str">
        <f>IF($A701="","",[1]!thsiFinD("ths_adjustment_nv_fund",V$3,$A701))</f>
        <v/>
      </c>
      <c r="W701" s="13" t="str">
        <f>IF($A701="","",[1]!thsiFinD("ths_adjustment_nv_fund",W$3,$A701))</f>
        <v/>
      </c>
      <c r="X701" s="13" t="str">
        <f>IF($A701="","",[1]!thsiFinD("ths_adjustment_nv_fund",X$3,$A701))</f>
        <v/>
      </c>
      <c r="Y701" s="13" t="str">
        <f>IF($A701="","",[1]!thsiFinD("ths_adjustment_nv_fund",Y$3,$A701))</f>
        <v/>
      </c>
      <c r="Z701" s="13" t="str">
        <f>IF($A701="","",[1]!thsiFinD("ths_adjustment_nv_fund",Z$3,$A701))</f>
        <v/>
      </c>
      <c r="AA701" s="13" t="str">
        <f>IF($A701="","",[1]!thsiFinD("ths_adjustment_nv_fund",AA$3,$A701))</f>
        <v/>
      </c>
      <c r="AB701" s="13" t="str">
        <f>IF($A701="","",[1]!thsiFinD("ths_adjustment_nv_fund",AB$3,$A701))</f>
        <v/>
      </c>
    </row>
    <row r="702" spans="2:28">
      <c r="B702" s="13" t="str">
        <f>IF($A702="","",[1]!thsiFinD("ths_adjustment_nv_fund",B$3,$A702))</f>
        <v/>
      </c>
      <c r="C702" s="13" t="str">
        <f>IF($A702="","",[1]!thsiFinD("ths_adjustment_nv_fund",C$3,$A702))</f>
        <v/>
      </c>
      <c r="D702" s="13" t="str">
        <f>IF($A702="","",[1]!thsiFinD("ths_adjustment_nv_fund",D$3,$A702))</f>
        <v/>
      </c>
      <c r="E702" s="13" t="str">
        <f>IF($A702="","",[1]!thsiFinD("ths_adjustment_nv_fund",E$3,$A702))</f>
        <v/>
      </c>
      <c r="F702" s="13" t="str">
        <f>IF($A702="","",[1]!thsiFinD("ths_adjustment_nv_fund",F$3,$A702))</f>
        <v/>
      </c>
      <c r="G702" s="13" t="str">
        <f>IF($A702="","",[1]!thsiFinD("ths_adjustment_nv_fund",G$3,$A702))</f>
        <v/>
      </c>
      <c r="H702" s="13" t="str">
        <f>IF($A702="","",[1]!thsiFinD("ths_adjustment_nv_fund",H$3,$A702))</f>
        <v/>
      </c>
      <c r="I702" s="13" t="str">
        <f>IF($A702="","",[1]!thsiFinD("ths_adjustment_nv_fund",I$3,$A702))</f>
        <v/>
      </c>
      <c r="J702" s="13" t="str">
        <f>IF($A702="","",[1]!thsiFinD("ths_adjustment_nv_fund",J$3,$A702))</f>
        <v/>
      </c>
      <c r="K702" s="13" t="str">
        <f>IF($A702="","",[1]!thsiFinD("ths_adjustment_nv_fund",K$3,$A702))</f>
        <v/>
      </c>
      <c r="L702" s="13" t="str">
        <f>IF($A702="","",[1]!thsiFinD("ths_adjustment_nv_fund",L$3,$A702))</f>
        <v/>
      </c>
      <c r="M702" s="13" t="str">
        <f>IF($A702="","",[1]!thsiFinD("ths_adjustment_nv_fund",M$3,$A702))</f>
        <v/>
      </c>
      <c r="N702" s="13" t="str">
        <f>IF($A702="","",[1]!thsiFinD("ths_adjustment_nv_fund",N$3,$A702))</f>
        <v/>
      </c>
      <c r="O702" s="13" t="str">
        <f>IF($A702="","",[1]!thsiFinD("ths_adjustment_nv_fund",O$3,$A702))</f>
        <v/>
      </c>
      <c r="P702" s="13" t="str">
        <f>IF($A702="","",[1]!thsiFinD("ths_adjustment_nv_fund",P$3,$A702))</f>
        <v/>
      </c>
      <c r="Q702" s="13" t="str">
        <f>IF($A702="","",[1]!thsiFinD("ths_adjustment_nv_fund",Q$3,$A702))</f>
        <v/>
      </c>
      <c r="R702" s="13" t="str">
        <f>IF($A702="","",[1]!thsiFinD("ths_adjustment_nv_fund",R$3,$A702))</f>
        <v/>
      </c>
      <c r="S702" s="13" t="str">
        <f>IF($A702="","",[1]!thsiFinD("ths_adjustment_nv_fund",S$3,$A702))</f>
        <v/>
      </c>
      <c r="T702" s="13" t="str">
        <f>IF($A702="","",[1]!thsiFinD("ths_adjustment_nv_fund",T$3,$A702))</f>
        <v/>
      </c>
      <c r="U702" s="13" t="str">
        <f>IF($A702="","",[1]!thsiFinD("ths_adjustment_nv_fund",U$3,$A702))</f>
        <v/>
      </c>
      <c r="V702" s="13" t="str">
        <f>IF($A702="","",[1]!thsiFinD("ths_adjustment_nv_fund",V$3,$A702))</f>
        <v/>
      </c>
      <c r="W702" s="13" t="str">
        <f>IF($A702="","",[1]!thsiFinD("ths_adjustment_nv_fund",W$3,$A702))</f>
        <v/>
      </c>
      <c r="X702" s="13" t="str">
        <f>IF($A702="","",[1]!thsiFinD("ths_adjustment_nv_fund",X$3,$A702))</f>
        <v/>
      </c>
      <c r="Y702" s="13" t="str">
        <f>IF($A702="","",[1]!thsiFinD("ths_adjustment_nv_fund",Y$3,$A702))</f>
        <v/>
      </c>
      <c r="Z702" s="13" t="str">
        <f>IF($A702="","",[1]!thsiFinD("ths_adjustment_nv_fund",Z$3,$A702))</f>
        <v/>
      </c>
      <c r="AA702" s="13" t="str">
        <f>IF($A702="","",[1]!thsiFinD("ths_adjustment_nv_fund",AA$3,$A702))</f>
        <v/>
      </c>
      <c r="AB702" s="13" t="str">
        <f>IF($A702="","",[1]!thsiFinD("ths_adjustment_nv_fund",AB$3,$A702))</f>
        <v/>
      </c>
    </row>
    <row r="703" spans="2:28">
      <c r="B703" s="13" t="str">
        <f>IF($A703="","",[1]!thsiFinD("ths_adjustment_nv_fund",B$3,$A703))</f>
        <v/>
      </c>
      <c r="C703" s="13" t="str">
        <f>IF($A703="","",[1]!thsiFinD("ths_adjustment_nv_fund",C$3,$A703))</f>
        <v/>
      </c>
      <c r="D703" s="13" t="str">
        <f>IF($A703="","",[1]!thsiFinD("ths_adjustment_nv_fund",D$3,$A703))</f>
        <v/>
      </c>
      <c r="E703" s="13" t="str">
        <f>IF($A703="","",[1]!thsiFinD("ths_adjustment_nv_fund",E$3,$A703))</f>
        <v/>
      </c>
      <c r="F703" s="13" t="str">
        <f>IF($A703="","",[1]!thsiFinD("ths_adjustment_nv_fund",F$3,$A703))</f>
        <v/>
      </c>
      <c r="G703" s="13" t="str">
        <f>IF($A703="","",[1]!thsiFinD("ths_adjustment_nv_fund",G$3,$A703))</f>
        <v/>
      </c>
      <c r="H703" s="13" t="str">
        <f>IF($A703="","",[1]!thsiFinD("ths_adjustment_nv_fund",H$3,$A703))</f>
        <v/>
      </c>
      <c r="I703" s="13" t="str">
        <f>IF($A703="","",[1]!thsiFinD("ths_adjustment_nv_fund",I$3,$A703))</f>
        <v/>
      </c>
      <c r="J703" s="13" t="str">
        <f>IF($A703="","",[1]!thsiFinD("ths_adjustment_nv_fund",J$3,$A703))</f>
        <v/>
      </c>
      <c r="K703" s="13" t="str">
        <f>IF($A703="","",[1]!thsiFinD("ths_adjustment_nv_fund",K$3,$A703))</f>
        <v/>
      </c>
      <c r="L703" s="13" t="str">
        <f>IF($A703="","",[1]!thsiFinD("ths_adjustment_nv_fund",L$3,$A703))</f>
        <v/>
      </c>
      <c r="M703" s="13" t="str">
        <f>IF($A703="","",[1]!thsiFinD("ths_adjustment_nv_fund",M$3,$A703))</f>
        <v/>
      </c>
      <c r="N703" s="13" t="str">
        <f>IF($A703="","",[1]!thsiFinD("ths_adjustment_nv_fund",N$3,$A703))</f>
        <v/>
      </c>
      <c r="O703" s="13" t="str">
        <f>IF($A703="","",[1]!thsiFinD("ths_adjustment_nv_fund",O$3,$A703))</f>
        <v/>
      </c>
      <c r="P703" s="13" t="str">
        <f>IF($A703="","",[1]!thsiFinD("ths_adjustment_nv_fund",P$3,$A703))</f>
        <v/>
      </c>
      <c r="Q703" s="13" t="str">
        <f>IF($A703="","",[1]!thsiFinD("ths_adjustment_nv_fund",Q$3,$A703))</f>
        <v/>
      </c>
      <c r="R703" s="13" t="str">
        <f>IF($A703="","",[1]!thsiFinD("ths_adjustment_nv_fund",R$3,$A703))</f>
        <v/>
      </c>
      <c r="S703" s="13" t="str">
        <f>IF($A703="","",[1]!thsiFinD("ths_adjustment_nv_fund",S$3,$A703))</f>
        <v/>
      </c>
      <c r="T703" s="13" t="str">
        <f>IF($A703="","",[1]!thsiFinD("ths_adjustment_nv_fund",T$3,$A703))</f>
        <v/>
      </c>
      <c r="U703" s="13" t="str">
        <f>IF($A703="","",[1]!thsiFinD("ths_adjustment_nv_fund",U$3,$A703))</f>
        <v/>
      </c>
      <c r="V703" s="13" t="str">
        <f>IF($A703="","",[1]!thsiFinD("ths_adjustment_nv_fund",V$3,$A703))</f>
        <v/>
      </c>
      <c r="W703" s="13" t="str">
        <f>IF($A703="","",[1]!thsiFinD("ths_adjustment_nv_fund",W$3,$A703))</f>
        <v/>
      </c>
      <c r="X703" s="13" t="str">
        <f>IF($A703="","",[1]!thsiFinD("ths_adjustment_nv_fund",X$3,$A703))</f>
        <v/>
      </c>
      <c r="Y703" s="13" t="str">
        <f>IF($A703="","",[1]!thsiFinD("ths_adjustment_nv_fund",Y$3,$A703))</f>
        <v/>
      </c>
      <c r="Z703" s="13" t="str">
        <f>IF($A703="","",[1]!thsiFinD("ths_adjustment_nv_fund",Z$3,$A703))</f>
        <v/>
      </c>
      <c r="AA703" s="13" t="str">
        <f>IF($A703="","",[1]!thsiFinD("ths_adjustment_nv_fund",AA$3,$A703))</f>
        <v/>
      </c>
      <c r="AB703" s="13" t="str">
        <f>IF($A703="","",[1]!thsiFinD("ths_adjustment_nv_fund",AB$3,$A703))</f>
        <v/>
      </c>
    </row>
    <row r="704" spans="2:28">
      <c r="B704" s="13" t="str">
        <f>IF($A704="","",[1]!thsiFinD("ths_adjustment_nv_fund",B$3,$A704))</f>
        <v/>
      </c>
      <c r="C704" s="13" t="str">
        <f>IF($A704="","",[1]!thsiFinD("ths_adjustment_nv_fund",C$3,$A704))</f>
        <v/>
      </c>
      <c r="D704" s="13" t="str">
        <f>IF($A704="","",[1]!thsiFinD("ths_adjustment_nv_fund",D$3,$A704))</f>
        <v/>
      </c>
      <c r="E704" s="13" t="str">
        <f>IF($A704="","",[1]!thsiFinD("ths_adjustment_nv_fund",E$3,$A704))</f>
        <v/>
      </c>
      <c r="F704" s="13" t="str">
        <f>IF($A704="","",[1]!thsiFinD("ths_adjustment_nv_fund",F$3,$A704))</f>
        <v/>
      </c>
      <c r="G704" s="13" t="str">
        <f>IF($A704="","",[1]!thsiFinD("ths_adjustment_nv_fund",G$3,$A704))</f>
        <v/>
      </c>
      <c r="H704" s="13" t="str">
        <f>IF($A704="","",[1]!thsiFinD("ths_adjustment_nv_fund",H$3,$A704))</f>
        <v/>
      </c>
      <c r="I704" s="13" t="str">
        <f>IF($A704="","",[1]!thsiFinD("ths_adjustment_nv_fund",I$3,$A704))</f>
        <v/>
      </c>
      <c r="J704" s="13" t="str">
        <f>IF($A704="","",[1]!thsiFinD("ths_adjustment_nv_fund",J$3,$A704))</f>
        <v/>
      </c>
      <c r="K704" s="13" t="str">
        <f>IF($A704="","",[1]!thsiFinD("ths_adjustment_nv_fund",K$3,$A704))</f>
        <v/>
      </c>
      <c r="L704" s="13" t="str">
        <f>IF($A704="","",[1]!thsiFinD("ths_adjustment_nv_fund",L$3,$A704))</f>
        <v/>
      </c>
      <c r="M704" s="13" t="str">
        <f>IF($A704="","",[1]!thsiFinD("ths_adjustment_nv_fund",M$3,$A704))</f>
        <v/>
      </c>
      <c r="N704" s="13" t="str">
        <f>IF($A704="","",[1]!thsiFinD("ths_adjustment_nv_fund",N$3,$A704))</f>
        <v/>
      </c>
      <c r="O704" s="13" t="str">
        <f>IF($A704="","",[1]!thsiFinD("ths_adjustment_nv_fund",O$3,$A704))</f>
        <v/>
      </c>
      <c r="P704" s="13" t="str">
        <f>IF($A704="","",[1]!thsiFinD("ths_adjustment_nv_fund",P$3,$A704))</f>
        <v/>
      </c>
      <c r="Q704" s="13" t="str">
        <f>IF($A704="","",[1]!thsiFinD("ths_adjustment_nv_fund",Q$3,$A704))</f>
        <v/>
      </c>
      <c r="R704" s="13" t="str">
        <f>IF($A704="","",[1]!thsiFinD("ths_adjustment_nv_fund",R$3,$A704))</f>
        <v/>
      </c>
      <c r="S704" s="13" t="str">
        <f>IF($A704="","",[1]!thsiFinD("ths_adjustment_nv_fund",S$3,$A704))</f>
        <v/>
      </c>
      <c r="T704" s="13" t="str">
        <f>IF($A704="","",[1]!thsiFinD("ths_adjustment_nv_fund",T$3,$A704))</f>
        <v/>
      </c>
      <c r="U704" s="13" t="str">
        <f>IF($A704="","",[1]!thsiFinD("ths_adjustment_nv_fund",U$3,$A704))</f>
        <v/>
      </c>
      <c r="V704" s="13" t="str">
        <f>IF($A704="","",[1]!thsiFinD("ths_adjustment_nv_fund",V$3,$A704))</f>
        <v/>
      </c>
      <c r="W704" s="13" t="str">
        <f>IF($A704="","",[1]!thsiFinD("ths_adjustment_nv_fund",W$3,$A704))</f>
        <v/>
      </c>
      <c r="X704" s="13" t="str">
        <f>IF($A704="","",[1]!thsiFinD("ths_adjustment_nv_fund",X$3,$A704))</f>
        <v/>
      </c>
      <c r="Y704" s="13" t="str">
        <f>IF($A704="","",[1]!thsiFinD("ths_adjustment_nv_fund",Y$3,$A704))</f>
        <v/>
      </c>
      <c r="Z704" s="13" t="str">
        <f>IF($A704="","",[1]!thsiFinD("ths_adjustment_nv_fund",Z$3,$A704))</f>
        <v/>
      </c>
      <c r="AA704" s="13" t="str">
        <f>IF($A704="","",[1]!thsiFinD("ths_adjustment_nv_fund",AA$3,$A704))</f>
        <v/>
      </c>
      <c r="AB704" s="13" t="str">
        <f>IF($A704="","",[1]!thsiFinD("ths_adjustment_nv_fund",AB$3,$A704))</f>
        <v/>
      </c>
    </row>
    <row r="705" spans="2:28">
      <c r="B705" s="13" t="str">
        <f>IF($A705="","",[1]!thsiFinD("ths_adjustment_nv_fund",B$3,$A705))</f>
        <v/>
      </c>
      <c r="C705" s="13" t="str">
        <f>IF($A705="","",[1]!thsiFinD("ths_adjustment_nv_fund",C$3,$A705))</f>
        <v/>
      </c>
      <c r="D705" s="13" t="str">
        <f>IF($A705="","",[1]!thsiFinD("ths_adjustment_nv_fund",D$3,$A705))</f>
        <v/>
      </c>
      <c r="E705" s="13" t="str">
        <f>IF($A705="","",[1]!thsiFinD("ths_adjustment_nv_fund",E$3,$A705))</f>
        <v/>
      </c>
      <c r="F705" s="13" t="str">
        <f>IF($A705="","",[1]!thsiFinD("ths_adjustment_nv_fund",F$3,$A705))</f>
        <v/>
      </c>
      <c r="G705" s="13" t="str">
        <f>IF($A705="","",[1]!thsiFinD("ths_adjustment_nv_fund",G$3,$A705))</f>
        <v/>
      </c>
      <c r="H705" s="13" t="str">
        <f>IF($A705="","",[1]!thsiFinD("ths_adjustment_nv_fund",H$3,$A705))</f>
        <v/>
      </c>
      <c r="I705" s="13" t="str">
        <f>IF($A705="","",[1]!thsiFinD("ths_adjustment_nv_fund",I$3,$A705))</f>
        <v/>
      </c>
      <c r="J705" s="13" t="str">
        <f>IF($A705="","",[1]!thsiFinD("ths_adjustment_nv_fund",J$3,$A705))</f>
        <v/>
      </c>
      <c r="K705" s="13" t="str">
        <f>IF($A705="","",[1]!thsiFinD("ths_adjustment_nv_fund",K$3,$A705))</f>
        <v/>
      </c>
      <c r="L705" s="13" t="str">
        <f>IF($A705="","",[1]!thsiFinD("ths_adjustment_nv_fund",L$3,$A705))</f>
        <v/>
      </c>
      <c r="M705" s="13" t="str">
        <f>IF($A705="","",[1]!thsiFinD("ths_adjustment_nv_fund",M$3,$A705))</f>
        <v/>
      </c>
      <c r="N705" s="13" t="str">
        <f>IF($A705="","",[1]!thsiFinD("ths_adjustment_nv_fund",N$3,$A705))</f>
        <v/>
      </c>
      <c r="O705" s="13" t="str">
        <f>IF($A705="","",[1]!thsiFinD("ths_adjustment_nv_fund",O$3,$A705))</f>
        <v/>
      </c>
      <c r="P705" s="13" t="str">
        <f>IF($A705="","",[1]!thsiFinD("ths_adjustment_nv_fund",P$3,$A705))</f>
        <v/>
      </c>
      <c r="Q705" s="13" t="str">
        <f>IF($A705="","",[1]!thsiFinD("ths_adjustment_nv_fund",Q$3,$A705))</f>
        <v/>
      </c>
      <c r="R705" s="13" t="str">
        <f>IF($A705="","",[1]!thsiFinD("ths_adjustment_nv_fund",R$3,$A705))</f>
        <v/>
      </c>
      <c r="S705" s="13" t="str">
        <f>IF($A705="","",[1]!thsiFinD("ths_adjustment_nv_fund",S$3,$A705))</f>
        <v/>
      </c>
      <c r="T705" s="13" t="str">
        <f>IF($A705="","",[1]!thsiFinD("ths_adjustment_nv_fund",T$3,$A705))</f>
        <v/>
      </c>
      <c r="U705" s="13" t="str">
        <f>IF($A705="","",[1]!thsiFinD("ths_adjustment_nv_fund",U$3,$A705))</f>
        <v/>
      </c>
      <c r="V705" s="13" t="str">
        <f>IF($A705="","",[1]!thsiFinD("ths_adjustment_nv_fund",V$3,$A705))</f>
        <v/>
      </c>
      <c r="W705" s="13" t="str">
        <f>IF($A705="","",[1]!thsiFinD("ths_adjustment_nv_fund",W$3,$A705))</f>
        <v/>
      </c>
      <c r="X705" s="13" t="str">
        <f>IF($A705="","",[1]!thsiFinD("ths_adjustment_nv_fund",X$3,$A705))</f>
        <v/>
      </c>
      <c r="Y705" s="13" t="str">
        <f>IF($A705="","",[1]!thsiFinD("ths_adjustment_nv_fund",Y$3,$A705))</f>
        <v/>
      </c>
      <c r="Z705" s="13" t="str">
        <f>IF($A705="","",[1]!thsiFinD("ths_adjustment_nv_fund",Z$3,$A705))</f>
        <v/>
      </c>
      <c r="AA705" s="13" t="str">
        <f>IF($A705="","",[1]!thsiFinD("ths_adjustment_nv_fund",AA$3,$A705))</f>
        <v/>
      </c>
      <c r="AB705" s="13" t="str">
        <f>IF($A705="","",[1]!thsiFinD("ths_adjustment_nv_fund",AB$3,$A705))</f>
        <v/>
      </c>
    </row>
    <row r="706" spans="2:28">
      <c r="B706" s="13" t="str">
        <f>IF($A706="","",[1]!thsiFinD("ths_adjustment_nv_fund",B$3,$A706))</f>
        <v/>
      </c>
      <c r="C706" s="13" t="str">
        <f>IF($A706="","",[1]!thsiFinD("ths_adjustment_nv_fund",C$3,$A706))</f>
        <v/>
      </c>
      <c r="D706" s="13" t="str">
        <f>IF($A706="","",[1]!thsiFinD("ths_adjustment_nv_fund",D$3,$A706))</f>
        <v/>
      </c>
      <c r="E706" s="13" t="str">
        <f>IF($A706="","",[1]!thsiFinD("ths_adjustment_nv_fund",E$3,$A706))</f>
        <v/>
      </c>
      <c r="F706" s="13" t="str">
        <f>IF($A706="","",[1]!thsiFinD("ths_adjustment_nv_fund",F$3,$A706))</f>
        <v/>
      </c>
      <c r="G706" s="13" t="str">
        <f>IF($A706="","",[1]!thsiFinD("ths_adjustment_nv_fund",G$3,$A706))</f>
        <v/>
      </c>
      <c r="H706" s="13" t="str">
        <f>IF($A706="","",[1]!thsiFinD("ths_adjustment_nv_fund",H$3,$A706))</f>
        <v/>
      </c>
      <c r="I706" s="13" t="str">
        <f>IF($A706="","",[1]!thsiFinD("ths_adjustment_nv_fund",I$3,$A706))</f>
        <v/>
      </c>
      <c r="J706" s="13" t="str">
        <f>IF($A706="","",[1]!thsiFinD("ths_adjustment_nv_fund",J$3,$A706))</f>
        <v/>
      </c>
      <c r="K706" s="13" t="str">
        <f>IF($A706="","",[1]!thsiFinD("ths_adjustment_nv_fund",K$3,$A706))</f>
        <v/>
      </c>
      <c r="L706" s="13" t="str">
        <f>IF($A706="","",[1]!thsiFinD("ths_adjustment_nv_fund",L$3,$A706))</f>
        <v/>
      </c>
      <c r="M706" s="13" t="str">
        <f>IF($A706="","",[1]!thsiFinD("ths_adjustment_nv_fund",M$3,$A706))</f>
        <v/>
      </c>
      <c r="N706" s="13" t="str">
        <f>IF($A706="","",[1]!thsiFinD("ths_adjustment_nv_fund",N$3,$A706))</f>
        <v/>
      </c>
      <c r="O706" s="13" t="str">
        <f>IF($A706="","",[1]!thsiFinD("ths_adjustment_nv_fund",O$3,$A706))</f>
        <v/>
      </c>
      <c r="P706" s="13" t="str">
        <f>IF($A706="","",[1]!thsiFinD("ths_adjustment_nv_fund",P$3,$A706))</f>
        <v/>
      </c>
      <c r="Q706" s="13" t="str">
        <f>IF($A706="","",[1]!thsiFinD("ths_adjustment_nv_fund",Q$3,$A706))</f>
        <v/>
      </c>
      <c r="R706" s="13" t="str">
        <f>IF($A706="","",[1]!thsiFinD("ths_adjustment_nv_fund",R$3,$A706))</f>
        <v/>
      </c>
      <c r="S706" s="13" t="str">
        <f>IF($A706="","",[1]!thsiFinD("ths_adjustment_nv_fund",S$3,$A706))</f>
        <v/>
      </c>
      <c r="T706" s="13" t="str">
        <f>IF($A706="","",[1]!thsiFinD("ths_adjustment_nv_fund",T$3,$A706))</f>
        <v/>
      </c>
      <c r="U706" s="13" t="str">
        <f>IF($A706="","",[1]!thsiFinD("ths_adjustment_nv_fund",U$3,$A706))</f>
        <v/>
      </c>
      <c r="V706" s="13" t="str">
        <f>IF($A706="","",[1]!thsiFinD("ths_adjustment_nv_fund",V$3,$A706))</f>
        <v/>
      </c>
      <c r="W706" s="13" t="str">
        <f>IF($A706="","",[1]!thsiFinD("ths_adjustment_nv_fund",W$3,$A706))</f>
        <v/>
      </c>
      <c r="X706" s="13" t="str">
        <f>IF($A706="","",[1]!thsiFinD("ths_adjustment_nv_fund",X$3,$A706))</f>
        <v/>
      </c>
      <c r="Y706" s="13" t="str">
        <f>IF($A706="","",[1]!thsiFinD("ths_adjustment_nv_fund",Y$3,$A706))</f>
        <v/>
      </c>
      <c r="Z706" s="13" t="str">
        <f>IF($A706="","",[1]!thsiFinD("ths_adjustment_nv_fund",Z$3,$A706))</f>
        <v/>
      </c>
      <c r="AA706" s="13" t="str">
        <f>IF($A706="","",[1]!thsiFinD("ths_adjustment_nv_fund",AA$3,$A706))</f>
        <v/>
      </c>
      <c r="AB706" s="13" t="str">
        <f>IF($A706="","",[1]!thsiFinD("ths_adjustment_nv_fund",AB$3,$A706))</f>
        <v/>
      </c>
    </row>
    <row r="707" spans="2:28">
      <c r="B707" s="13" t="str">
        <f>IF($A707="","",[1]!thsiFinD("ths_adjustment_nv_fund",B$3,$A707))</f>
        <v/>
      </c>
      <c r="C707" s="13" t="str">
        <f>IF($A707="","",[1]!thsiFinD("ths_adjustment_nv_fund",C$3,$A707))</f>
        <v/>
      </c>
      <c r="D707" s="13" t="str">
        <f>IF($A707="","",[1]!thsiFinD("ths_adjustment_nv_fund",D$3,$A707))</f>
        <v/>
      </c>
      <c r="E707" s="13" t="str">
        <f>IF($A707="","",[1]!thsiFinD("ths_adjustment_nv_fund",E$3,$A707))</f>
        <v/>
      </c>
      <c r="F707" s="13" t="str">
        <f>IF($A707="","",[1]!thsiFinD("ths_adjustment_nv_fund",F$3,$A707))</f>
        <v/>
      </c>
      <c r="G707" s="13" t="str">
        <f>IF($A707="","",[1]!thsiFinD("ths_adjustment_nv_fund",G$3,$A707))</f>
        <v/>
      </c>
      <c r="H707" s="13" t="str">
        <f>IF($A707="","",[1]!thsiFinD("ths_adjustment_nv_fund",H$3,$A707))</f>
        <v/>
      </c>
      <c r="I707" s="13" t="str">
        <f>IF($A707="","",[1]!thsiFinD("ths_adjustment_nv_fund",I$3,$A707))</f>
        <v/>
      </c>
      <c r="J707" s="13" t="str">
        <f>IF($A707="","",[1]!thsiFinD("ths_adjustment_nv_fund",J$3,$A707))</f>
        <v/>
      </c>
      <c r="K707" s="13" t="str">
        <f>IF($A707="","",[1]!thsiFinD("ths_adjustment_nv_fund",K$3,$A707))</f>
        <v/>
      </c>
      <c r="L707" s="13" t="str">
        <f>IF($A707="","",[1]!thsiFinD("ths_adjustment_nv_fund",L$3,$A707))</f>
        <v/>
      </c>
      <c r="M707" s="13" t="str">
        <f>IF($A707="","",[1]!thsiFinD("ths_adjustment_nv_fund",M$3,$A707))</f>
        <v/>
      </c>
      <c r="N707" s="13" t="str">
        <f>IF($A707="","",[1]!thsiFinD("ths_adjustment_nv_fund",N$3,$A707))</f>
        <v/>
      </c>
      <c r="O707" s="13" t="str">
        <f>IF($A707="","",[1]!thsiFinD("ths_adjustment_nv_fund",O$3,$A707))</f>
        <v/>
      </c>
      <c r="P707" s="13" t="str">
        <f>IF($A707="","",[1]!thsiFinD("ths_adjustment_nv_fund",P$3,$A707))</f>
        <v/>
      </c>
      <c r="Q707" s="13" t="str">
        <f>IF($A707="","",[1]!thsiFinD("ths_adjustment_nv_fund",Q$3,$A707))</f>
        <v/>
      </c>
      <c r="R707" s="13" t="str">
        <f>IF($A707="","",[1]!thsiFinD("ths_adjustment_nv_fund",R$3,$A707))</f>
        <v/>
      </c>
      <c r="S707" s="13" t="str">
        <f>IF($A707="","",[1]!thsiFinD("ths_adjustment_nv_fund",S$3,$A707))</f>
        <v/>
      </c>
      <c r="T707" s="13" t="str">
        <f>IF($A707="","",[1]!thsiFinD("ths_adjustment_nv_fund",T$3,$A707))</f>
        <v/>
      </c>
      <c r="U707" s="13" t="str">
        <f>IF($A707="","",[1]!thsiFinD("ths_adjustment_nv_fund",U$3,$A707))</f>
        <v/>
      </c>
      <c r="V707" s="13" t="str">
        <f>IF($A707="","",[1]!thsiFinD("ths_adjustment_nv_fund",V$3,$A707))</f>
        <v/>
      </c>
      <c r="W707" s="13" t="str">
        <f>IF($A707="","",[1]!thsiFinD("ths_adjustment_nv_fund",W$3,$A707))</f>
        <v/>
      </c>
      <c r="X707" s="13" t="str">
        <f>IF($A707="","",[1]!thsiFinD("ths_adjustment_nv_fund",X$3,$A707))</f>
        <v/>
      </c>
      <c r="Y707" s="13" t="str">
        <f>IF($A707="","",[1]!thsiFinD("ths_adjustment_nv_fund",Y$3,$A707))</f>
        <v/>
      </c>
      <c r="Z707" s="13" t="str">
        <f>IF($A707="","",[1]!thsiFinD("ths_adjustment_nv_fund",Z$3,$A707))</f>
        <v/>
      </c>
      <c r="AA707" s="13" t="str">
        <f>IF($A707="","",[1]!thsiFinD("ths_adjustment_nv_fund",AA$3,$A707))</f>
        <v/>
      </c>
      <c r="AB707" s="13" t="str">
        <f>IF($A707="","",[1]!thsiFinD("ths_adjustment_nv_fund",AB$3,$A707))</f>
        <v/>
      </c>
    </row>
    <row r="708" spans="2:28">
      <c r="B708" s="13" t="str">
        <f>IF($A708="","",[1]!thsiFinD("ths_adjustment_nv_fund",B$3,$A708))</f>
        <v/>
      </c>
      <c r="C708" s="13" t="str">
        <f>IF($A708="","",[1]!thsiFinD("ths_adjustment_nv_fund",C$3,$A708))</f>
        <v/>
      </c>
      <c r="D708" s="13" t="str">
        <f>IF($A708="","",[1]!thsiFinD("ths_adjustment_nv_fund",D$3,$A708))</f>
        <v/>
      </c>
      <c r="E708" s="13" t="str">
        <f>IF($A708="","",[1]!thsiFinD("ths_adjustment_nv_fund",E$3,$A708))</f>
        <v/>
      </c>
      <c r="F708" s="13" t="str">
        <f>IF($A708="","",[1]!thsiFinD("ths_adjustment_nv_fund",F$3,$A708))</f>
        <v/>
      </c>
      <c r="G708" s="13" t="str">
        <f>IF($A708="","",[1]!thsiFinD("ths_adjustment_nv_fund",G$3,$A708))</f>
        <v/>
      </c>
      <c r="H708" s="13" t="str">
        <f>IF($A708="","",[1]!thsiFinD("ths_adjustment_nv_fund",H$3,$A708))</f>
        <v/>
      </c>
      <c r="I708" s="13" t="str">
        <f>IF($A708="","",[1]!thsiFinD("ths_adjustment_nv_fund",I$3,$A708))</f>
        <v/>
      </c>
      <c r="J708" s="13" t="str">
        <f>IF($A708="","",[1]!thsiFinD("ths_adjustment_nv_fund",J$3,$A708))</f>
        <v/>
      </c>
      <c r="K708" s="13" t="str">
        <f>IF($A708="","",[1]!thsiFinD("ths_adjustment_nv_fund",K$3,$A708))</f>
        <v/>
      </c>
      <c r="L708" s="13" t="str">
        <f>IF($A708="","",[1]!thsiFinD("ths_adjustment_nv_fund",L$3,$A708))</f>
        <v/>
      </c>
      <c r="M708" s="13" t="str">
        <f>IF($A708="","",[1]!thsiFinD("ths_adjustment_nv_fund",M$3,$A708))</f>
        <v/>
      </c>
      <c r="N708" s="13" t="str">
        <f>IF($A708="","",[1]!thsiFinD("ths_adjustment_nv_fund",N$3,$A708))</f>
        <v/>
      </c>
      <c r="O708" s="13" t="str">
        <f>IF($A708="","",[1]!thsiFinD("ths_adjustment_nv_fund",O$3,$A708))</f>
        <v/>
      </c>
      <c r="P708" s="13" t="str">
        <f>IF($A708="","",[1]!thsiFinD("ths_adjustment_nv_fund",P$3,$A708))</f>
        <v/>
      </c>
      <c r="Q708" s="13" t="str">
        <f>IF($A708="","",[1]!thsiFinD("ths_adjustment_nv_fund",Q$3,$A708))</f>
        <v/>
      </c>
      <c r="R708" s="13" t="str">
        <f>IF($A708="","",[1]!thsiFinD("ths_adjustment_nv_fund",R$3,$A708))</f>
        <v/>
      </c>
      <c r="S708" s="13" t="str">
        <f>IF($A708="","",[1]!thsiFinD("ths_adjustment_nv_fund",S$3,$A708))</f>
        <v/>
      </c>
      <c r="T708" s="13" t="str">
        <f>IF($A708="","",[1]!thsiFinD("ths_adjustment_nv_fund",T$3,$A708))</f>
        <v/>
      </c>
      <c r="U708" s="13" t="str">
        <f>IF($A708="","",[1]!thsiFinD("ths_adjustment_nv_fund",U$3,$A708))</f>
        <v/>
      </c>
      <c r="V708" s="13" t="str">
        <f>IF($A708="","",[1]!thsiFinD("ths_adjustment_nv_fund",V$3,$A708))</f>
        <v/>
      </c>
      <c r="W708" s="13" t="str">
        <f>IF($A708="","",[1]!thsiFinD("ths_adjustment_nv_fund",W$3,$A708))</f>
        <v/>
      </c>
      <c r="X708" s="13" t="str">
        <f>IF($A708="","",[1]!thsiFinD("ths_adjustment_nv_fund",X$3,$A708))</f>
        <v/>
      </c>
      <c r="Y708" s="13" t="str">
        <f>IF($A708="","",[1]!thsiFinD("ths_adjustment_nv_fund",Y$3,$A708))</f>
        <v/>
      </c>
      <c r="Z708" s="13" t="str">
        <f>IF($A708="","",[1]!thsiFinD("ths_adjustment_nv_fund",Z$3,$A708))</f>
        <v/>
      </c>
      <c r="AA708" s="13" t="str">
        <f>IF($A708="","",[1]!thsiFinD("ths_adjustment_nv_fund",AA$3,$A708))</f>
        <v/>
      </c>
      <c r="AB708" s="13" t="str">
        <f>IF($A708="","",[1]!thsiFinD("ths_adjustment_nv_fund",AB$3,$A708))</f>
        <v/>
      </c>
    </row>
    <row r="709" spans="2:28">
      <c r="B709" s="13" t="str">
        <f>IF($A709="","",[1]!thsiFinD("ths_adjustment_nv_fund",B$3,$A709))</f>
        <v/>
      </c>
      <c r="C709" s="13" t="str">
        <f>IF($A709="","",[1]!thsiFinD("ths_adjustment_nv_fund",C$3,$A709))</f>
        <v/>
      </c>
      <c r="D709" s="13" t="str">
        <f>IF($A709="","",[1]!thsiFinD("ths_adjustment_nv_fund",D$3,$A709))</f>
        <v/>
      </c>
      <c r="E709" s="13" t="str">
        <f>IF($A709="","",[1]!thsiFinD("ths_adjustment_nv_fund",E$3,$A709))</f>
        <v/>
      </c>
      <c r="F709" s="13" t="str">
        <f>IF($A709="","",[1]!thsiFinD("ths_adjustment_nv_fund",F$3,$A709))</f>
        <v/>
      </c>
      <c r="G709" s="13" t="str">
        <f>IF($A709="","",[1]!thsiFinD("ths_adjustment_nv_fund",G$3,$A709))</f>
        <v/>
      </c>
      <c r="H709" s="13" t="str">
        <f>IF($A709="","",[1]!thsiFinD("ths_adjustment_nv_fund",H$3,$A709))</f>
        <v/>
      </c>
      <c r="I709" s="13" t="str">
        <f>IF($A709="","",[1]!thsiFinD("ths_adjustment_nv_fund",I$3,$A709))</f>
        <v/>
      </c>
      <c r="J709" s="13" t="str">
        <f>IF($A709="","",[1]!thsiFinD("ths_adjustment_nv_fund",J$3,$A709))</f>
        <v/>
      </c>
      <c r="K709" s="13" t="str">
        <f>IF($A709="","",[1]!thsiFinD("ths_adjustment_nv_fund",K$3,$A709))</f>
        <v/>
      </c>
      <c r="L709" s="13" t="str">
        <f>IF($A709="","",[1]!thsiFinD("ths_adjustment_nv_fund",L$3,$A709))</f>
        <v/>
      </c>
      <c r="M709" s="13" t="str">
        <f>IF($A709="","",[1]!thsiFinD("ths_adjustment_nv_fund",M$3,$A709))</f>
        <v/>
      </c>
      <c r="N709" s="13" t="str">
        <f>IF($A709="","",[1]!thsiFinD("ths_adjustment_nv_fund",N$3,$A709))</f>
        <v/>
      </c>
      <c r="O709" s="13" t="str">
        <f>IF($A709="","",[1]!thsiFinD("ths_adjustment_nv_fund",O$3,$A709))</f>
        <v/>
      </c>
      <c r="P709" s="13" t="str">
        <f>IF($A709="","",[1]!thsiFinD("ths_adjustment_nv_fund",P$3,$A709))</f>
        <v/>
      </c>
      <c r="Q709" s="13" t="str">
        <f>IF($A709="","",[1]!thsiFinD("ths_adjustment_nv_fund",Q$3,$A709))</f>
        <v/>
      </c>
      <c r="R709" s="13" t="str">
        <f>IF($A709="","",[1]!thsiFinD("ths_adjustment_nv_fund",R$3,$A709))</f>
        <v/>
      </c>
      <c r="S709" s="13" t="str">
        <f>IF($A709="","",[1]!thsiFinD("ths_adjustment_nv_fund",S$3,$A709))</f>
        <v/>
      </c>
      <c r="T709" s="13" t="str">
        <f>IF($A709="","",[1]!thsiFinD("ths_adjustment_nv_fund",T$3,$A709))</f>
        <v/>
      </c>
      <c r="U709" s="13" t="str">
        <f>IF($A709="","",[1]!thsiFinD("ths_adjustment_nv_fund",U$3,$A709))</f>
        <v/>
      </c>
      <c r="V709" s="13" t="str">
        <f>IF($A709="","",[1]!thsiFinD("ths_adjustment_nv_fund",V$3,$A709))</f>
        <v/>
      </c>
      <c r="W709" s="13" t="str">
        <f>IF($A709="","",[1]!thsiFinD("ths_adjustment_nv_fund",W$3,$A709))</f>
        <v/>
      </c>
      <c r="X709" s="13" t="str">
        <f>IF($A709="","",[1]!thsiFinD("ths_adjustment_nv_fund",X$3,$A709))</f>
        <v/>
      </c>
      <c r="Y709" s="13" t="str">
        <f>IF($A709="","",[1]!thsiFinD("ths_adjustment_nv_fund",Y$3,$A709))</f>
        <v/>
      </c>
      <c r="Z709" s="13" t="str">
        <f>IF($A709="","",[1]!thsiFinD("ths_adjustment_nv_fund",Z$3,$A709))</f>
        <v/>
      </c>
      <c r="AA709" s="13" t="str">
        <f>IF($A709="","",[1]!thsiFinD("ths_adjustment_nv_fund",AA$3,$A709))</f>
        <v/>
      </c>
      <c r="AB709" s="13" t="str">
        <f>IF($A709="","",[1]!thsiFinD("ths_adjustment_nv_fund",AB$3,$A709))</f>
        <v/>
      </c>
    </row>
    <row r="710" spans="2:28">
      <c r="B710" s="13" t="str">
        <f>IF($A710="","",[1]!thsiFinD("ths_adjustment_nv_fund",B$3,$A710))</f>
        <v/>
      </c>
      <c r="C710" s="13" t="str">
        <f>IF($A710="","",[1]!thsiFinD("ths_adjustment_nv_fund",C$3,$A710))</f>
        <v/>
      </c>
      <c r="D710" s="13" t="str">
        <f>IF($A710="","",[1]!thsiFinD("ths_adjustment_nv_fund",D$3,$A710))</f>
        <v/>
      </c>
      <c r="E710" s="13" t="str">
        <f>IF($A710="","",[1]!thsiFinD("ths_adjustment_nv_fund",E$3,$A710))</f>
        <v/>
      </c>
      <c r="F710" s="13" t="str">
        <f>IF($A710="","",[1]!thsiFinD("ths_adjustment_nv_fund",F$3,$A710))</f>
        <v/>
      </c>
      <c r="G710" s="13" t="str">
        <f>IF($A710="","",[1]!thsiFinD("ths_adjustment_nv_fund",G$3,$A710))</f>
        <v/>
      </c>
      <c r="H710" s="13" t="str">
        <f>IF($A710="","",[1]!thsiFinD("ths_adjustment_nv_fund",H$3,$A710))</f>
        <v/>
      </c>
      <c r="I710" s="13" t="str">
        <f>IF($A710="","",[1]!thsiFinD("ths_adjustment_nv_fund",I$3,$A710))</f>
        <v/>
      </c>
      <c r="J710" s="13" t="str">
        <f>IF($A710="","",[1]!thsiFinD("ths_adjustment_nv_fund",J$3,$A710))</f>
        <v/>
      </c>
      <c r="K710" s="13" t="str">
        <f>IF($A710="","",[1]!thsiFinD("ths_adjustment_nv_fund",K$3,$A710))</f>
        <v/>
      </c>
      <c r="L710" s="13" t="str">
        <f>IF($A710="","",[1]!thsiFinD("ths_adjustment_nv_fund",L$3,$A710))</f>
        <v/>
      </c>
      <c r="M710" s="13" t="str">
        <f>IF($A710="","",[1]!thsiFinD("ths_adjustment_nv_fund",M$3,$A710))</f>
        <v/>
      </c>
      <c r="N710" s="13" t="str">
        <f>IF($A710="","",[1]!thsiFinD("ths_adjustment_nv_fund",N$3,$A710))</f>
        <v/>
      </c>
      <c r="O710" s="13" t="str">
        <f>IF($A710="","",[1]!thsiFinD("ths_adjustment_nv_fund",O$3,$A710))</f>
        <v/>
      </c>
      <c r="P710" s="13" t="str">
        <f>IF($A710="","",[1]!thsiFinD("ths_adjustment_nv_fund",P$3,$A710))</f>
        <v/>
      </c>
      <c r="Q710" s="13" t="str">
        <f>IF($A710="","",[1]!thsiFinD("ths_adjustment_nv_fund",Q$3,$A710))</f>
        <v/>
      </c>
      <c r="R710" s="13" t="str">
        <f>IF($A710="","",[1]!thsiFinD("ths_adjustment_nv_fund",R$3,$A710))</f>
        <v/>
      </c>
      <c r="S710" s="13" t="str">
        <f>IF($A710="","",[1]!thsiFinD("ths_adjustment_nv_fund",S$3,$A710))</f>
        <v/>
      </c>
      <c r="T710" s="13" t="str">
        <f>IF($A710="","",[1]!thsiFinD("ths_adjustment_nv_fund",T$3,$A710))</f>
        <v/>
      </c>
      <c r="U710" s="13" t="str">
        <f>IF($A710="","",[1]!thsiFinD("ths_adjustment_nv_fund",U$3,$A710))</f>
        <v/>
      </c>
      <c r="V710" s="13" t="str">
        <f>IF($A710="","",[1]!thsiFinD("ths_adjustment_nv_fund",V$3,$A710))</f>
        <v/>
      </c>
      <c r="W710" s="13" t="str">
        <f>IF($A710="","",[1]!thsiFinD("ths_adjustment_nv_fund",W$3,$A710))</f>
        <v/>
      </c>
      <c r="X710" s="13" t="str">
        <f>IF($A710="","",[1]!thsiFinD("ths_adjustment_nv_fund",X$3,$A710))</f>
        <v/>
      </c>
      <c r="Y710" s="13" t="str">
        <f>IF($A710="","",[1]!thsiFinD("ths_adjustment_nv_fund",Y$3,$A710))</f>
        <v/>
      </c>
      <c r="Z710" s="13" t="str">
        <f>IF($A710="","",[1]!thsiFinD("ths_adjustment_nv_fund",Z$3,$A710))</f>
        <v/>
      </c>
      <c r="AA710" s="13" t="str">
        <f>IF($A710="","",[1]!thsiFinD("ths_adjustment_nv_fund",AA$3,$A710))</f>
        <v/>
      </c>
      <c r="AB710" s="13" t="str">
        <f>IF($A710="","",[1]!thsiFinD("ths_adjustment_nv_fund",AB$3,$A710))</f>
        <v/>
      </c>
    </row>
    <row r="711" spans="2:28">
      <c r="B711" s="13" t="str">
        <f>IF($A711="","",[1]!thsiFinD("ths_adjustment_nv_fund",B$3,$A711))</f>
        <v/>
      </c>
      <c r="C711" s="13" t="str">
        <f>IF($A711="","",[1]!thsiFinD("ths_adjustment_nv_fund",C$3,$A711))</f>
        <v/>
      </c>
      <c r="D711" s="13" t="str">
        <f>IF($A711="","",[1]!thsiFinD("ths_adjustment_nv_fund",D$3,$A711))</f>
        <v/>
      </c>
      <c r="E711" s="13" t="str">
        <f>IF($A711="","",[1]!thsiFinD("ths_adjustment_nv_fund",E$3,$A711))</f>
        <v/>
      </c>
      <c r="F711" s="13" t="str">
        <f>IF($A711="","",[1]!thsiFinD("ths_adjustment_nv_fund",F$3,$A711))</f>
        <v/>
      </c>
      <c r="G711" s="13" t="str">
        <f>IF($A711="","",[1]!thsiFinD("ths_adjustment_nv_fund",G$3,$A711))</f>
        <v/>
      </c>
      <c r="H711" s="13" t="str">
        <f>IF($A711="","",[1]!thsiFinD("ths_adjustment_nv_fund",H$3,$A711))</f>
        <v/>
      </c>
      <c r="I711" s="13" t="str">
        <f>IF($A711="","",[1]!thsiFinD("ths_adjustment_nv_fund",I$3,$A711))</f>
        <v/>
      </c>
      <c r="J711" s="13" t="str">
        <f>IF($A711="","",[1]!thsiFinD("ths_adjustment_nv_fund",J$3,$A711))</f>
        <v/>
      </c>
      <c r="K711" s="13" t="str">
        <f>IF($A711="","",[1]!thsiFinD("ths_adjustment_nv_fund",K$3,$A711))</f>
        <v/>
      </c>
      <c r="L711" s="13" t="str">
        <f>IF($A711="","",[1]!thsiFinD("ths_adjustment_nv_fund",L$3,$A711))</f>
        <v/>
      </c>
      <c r="M711" s="13" t="str">
        <f>IF($A711="","",[1]!thsiFinD("ths_adjustment_nv_fund",M$3,$A711))</f>
        <v/>
      </c>
      <c r="N711" s="13" t="str">
        <f>IF($A711="","",[1]!thsiFinD("ths_adjustment_nv_fund",N$3,$A711))</f>
        <v/>
      </c>
      <c r="O711" s="13" t="str">
        <f>IF($A711="","",[1]!thsiFinD("ths_adjustment_nv_fund",O$3,$A711))</f>
        <v/>
      </c>
      <c r="P711" s="13" t="str">
        <f>IF($A711="","",[1]!thsiFinD("ths_adjustment_nv_fund",P$3,$A711))</f>
        <v/>
      </c>
      <c r="Q711" s="13" t="str">
        <f>IF($A711="","",[1]!thsiFinD("ths_adjustment_nv_fund",Q$3,$A711))</f>
        <v/>
      </c>
      <c r="R711" s="13" t="str">
        <f>IF($A711="","",[1]!thsiFinD("ths_adjustment_nv_fund",R$3,$A711))</f>
        <v/>
      </c>
      <c r="S711" s="13" t="str">
        <f>IF($A711="","",[1]!thsiFinD("ths_adjustment_nv_fund",S$3,$A711))</f>
        <v/>
      </c>
      <c r="T711" s="13" t="str">
        <f>IF($A711="","",[1]!thsiFinD("ths_adjustment_nv_fund",T$3,$A711))</f>
        <v/>
      </c>
      <c r="U711" s="13" t="str">
        <f>IF($A711="","",[1]!thsiFinD("ths_adjustment_nv_fund",U$3,$A711))</f>
        <v/>
      </c>
      <c r="V711" s="13" t="str">
        <f>IF($A711="","",[1]!thsiFinD("ths_adjustment_nv_fund",V$3,$A711))</f>
        <v/>
      </c>
      <c r="W711" s="13" t="str">
        <f>IF($A711="","",[1]!thsiFinD("ths_adjustment_nv_fund",W$3,$A711))</f>
        <v/>
      </c>
      <c r="X711" s="13" t="str">
        <f>IF($A711="","",[1]!thsiFinD("ths_adjustment_nv_fund",X$3,$A711))</f>
        <v/>
      </c>
      <c r="Y711" s="13" t="str">
        <f>IF($A711="","",[1]!thsiFinD("ths_adjustment_nv_fund",Y$3,$A711))</f>
        <v/>
      </c>
      <c r="Z711" s="13" t="str">
        <f>IF($A711="","",[1]!thsiFinD("ths_adjustment_nv_fund",Z$3,$A711))</f>
        <v/>
      </c>
      <c r="AA711" s="13" t="str">
        <f>IF($A711="","",[1]!thsiFinD("ths_adjustment_nv_fund",AA$3,$A711))</f>
        <v/>
      </c>
      <c r="AB711" s="13" t="str">
        <f>IF($A711="","",[1]!thsiFinD("ths_adjustment_nv_fund",AB$3,$A711))</f>
        <v/>
      </c>
    </row>
    <row r="712" spans="2:28">
      <c r="B712" s="13" t="str">
        <f>IF($A712="","",[1]!thsiFinD("ths_adjustment_nv_fund",B$3,$A712))</f>
        <v/>
      </c>
      <c r="C712" s="13" t="str">
        <f>IF($A712="","",[1]!thsiFinD("ths_adjustment_nv_fund",C$3,$A712))</f>
        <v/>
      </c>
      <c r="D712" s="13" t="str">
        <f>IF($A712="","",[1]!thsiFinD("ths_adjustment_nv_fund",D$3,$A712))</f>
        <v/>
      </c>
      <c r="E712" s="13" t="str">
        <f>IF($A712="","",[1]!thsiFinD("ths_adjustment_nv_fund",E$3,$A712))</f>
        <v/>
      </c>
      <c r="F712" s="13" t="str">
        <f>IF($A712="","",[1]!thsiFinD("ths_adjustment_nv_fund",F$3,$A712))</f>
        <v/>
      </c>
      <c r="G712" s="13" t="str">
        <f>IF($A712="","",[1]!thsiFinD("ths_adjustment_nv_fund",G$3,$A712))</f>
        <v/>
      </c>
      <c r="H712" s="13" t="str">
        <f>IF($A712="","",[1]!thsiFinD("ths_adjustment_nv_fund",H$3,$A712))</f>
        <v/>
      </c>
      <c r="I712" s="13" t="str">
        <f>IF($A712="","",[1]!thsiFinD("ths_adjustment_nv_fund",I$3,$A712))</f>
        <v/>
      </c>
      <c r="J712" s="13" t="str">
        <f>IF($A712="","",[1]!thsiFinD("ths_adjustment_nv_fund",J$3,$A712))</f>
        <v/>
      </c>
      <c r="K712" s="13" t="str">
        <f>IF($A712="","",[1]!thsiFinD("ths_adjustment_nv_fund",K$3,$A712))</f>
        <v/>
      </c>
      <c r="L712" s="13" t="str">
        <f>IF($A712="","",[1]!thsiFinD("ths_adjustment_nv_fund",L$3,$A712))</f>
        <v/>
      </c>
      <c r="M712" s="13" t="str">
        <f>IF($A712="","",[1]!thsiFinD("ths_adjustment_nv_fund",M$3,$A712))</f>
        <v/>
      </c>
      <c r="N712" s="13" t="str">
        <f>IF($A712="","",[1]!thsiFinD("ths_adjustment_nv_fund",N$3,$A712))</f>
        <v/>
      </c>
      <c r="O712" s="13" t="str">
        <f>IF($A712="","",[1]!thsiFinD("ths_adjustment_nv_fund",O$3,$A712))</f>
        <v/>
      </c>
      <c r="P712" s="13" t="str">
        <f>IF($A712="","",[1]!thsiFinD("ths_adjustment_nv_fund",P$3,$A712))</f>
        <v/>
      </c>
      <c r="Q712" s="13" t="str">
        <f>IF($A712="","",[1]!thsiFinD("ths_adjustment_nv_fund",Q$3,$A712))</f>
        <v/>
      </c>
      <c r="R712" s="13" t="str">
        <f>IF($A712="","",[1]!thsiFinD("ths_adjustment_nv_fund",R$3,$A712))</f>
        <v/>
      </c>
      <c r="S712" s="13" t="str">
        <f>IF($A712="","",[1]!thsiFinD("ths_adjustment_nv_fund",S$3,$A712))</f>
        <v/>
      </c>
      <c r="T712" s="13" t="str">
        <f>IF($A712="","",[1]!thsiFinD("ths_adjustment_nv_fund",T$3,$A712))</f>
        <v/>
      </c>
      <c r="U712" s="13" t="str">
        <f>IF($A712="","",[1]!thsiFinD("ths_adjustment_nv_fund",U$3,$A712))</f>
        <v/>
      </c>
      <c r="V712" s="13" t="str">
        <f>IF($A712="","",[1]!thsiFinD("ths_adjustment_nv_fund",V$3,$A712))</f>
        <v/>
      </c>
      <c r="W712" s="13" t="str">
        <f>IF($A712="","",[1]!thsiFinD("ths_adjustment_nv_fund",W$3,$A712))</f>
        <v/>
      </c>
      <c r="X712" s="13" t="str">
        <f>IF($A712="","",[1]!thsiFinD("ths_adjustment_nv_fund",X$3,$A712))</f>
        <v/>
      </c>
      <c r="Y712" s="13" t="str">
        <f>IF($A712="","",[1]!thsiFinD("ths_adjustment_nv_fund",Y$3,$A712))</f>
        <v/>
      </c>
      <c r="Z712" s="13" t="str">
        <f>IF($A712="","",[1]!thsiFinD("ths_adjustment_nv_fund",Z$3,$A712))</f>
        <v/>
      </c>
      <c r="AA712" s="13" t="str">
        <f>IF($A712="","",[1]!thsiFinD("ths_adjustment_nv_fund",AA$3,$A712))</f>
        <v/>
      </c>
      <c r="AB712" s="13" t="str">
        <f>IF($A712="","",[1]!thsiFinD("ths_adjustment_nv_fund",AB$3,$A712))</f>
        <v/>
      </c>
    </row>
    <row r="713" spans="2:28">
      <c r="B713" s="13" t="str">
        <f>IF($A713="","",[1]!thsiFinD("ths_adjustment_nv_fund",B$3,$A713))</f>
        <v/>
      </c>
      <c r="C713" s="13" t="str">
        <f>IF($A713="","",[1]!thsiFinD("ths_adjustment_nv_fund",C$3,$A713))</f>
        <v/>
      </c>
      <c r="D713" s="13" t="str">
        <f>IF($A713="","",[1]!thsiFinD("ths_adjustment_nv_fund",D$3,$A713))</f>
        <v/>
      </c>
      <c r="E713" s="13" t="str">
        <f>IF($A713="","",[1]!thsiFinD("ths_adjustment_nv_fund",E$3,$A713))</f>
        <v/>
      </c>
      <c r="F713" s="13" t="str">
        <f>IF($A713="","",[1]!thsiFinD("ths_adjustment_nv_fund",F$3,$A713))</f>
        <v/>
      </c>
      <c r="G713" s="13" t="str">
        <f>IF($A713="","",[1]!thsiFinD("ths_adjustment_nv_fund",G$3,$A713))</f>
        <v/>
      </c>
      <c r="H713" s="13" t="str">
        <f>IF($A713="","",[1]!thsiFinD("ths_adjustment_nv_fund",H$3,$A713))</f>
        <v/>
      </c>
      <c r="I713" s="13" t="str">
        <f>IF($A713="","",[1]!thsiFinD("ths_adjustment_nv_fund",I$3,$A713))</f>
        <v/>
      </c>
      <c r="J713" s="13" t="str">
        <f>IF($A713="","",[1]!thsiFinD("ths_adjustment_nv_fund",J$3,$A713))</f>
        <v/>
      </c>
      <c r="K713" s="13" t="str">
        <f>IF($A713="","",[1]!thsiFinD("ths_adjustment_nv_fund",K$3,$A713))</f>
        <v/>
      </c>
      <c r="L713" s="13" t="str">
        <f>IF($A713="","",[1]!thsiFinD("ths_adjustment_nv_fund",L$3,$A713))</f>
        <v/>
      </c>
      <c r="M713" s="13" t="str">
        <f>IF($A713="","",[1]!thsiFinD("ths_adjustment_nv_fund",M$3,$A713))</f>
        <v/>
      </c>
      <c r="N713" s="13" t="str">
        <f>IF($A713="","",[1]!thsiFinD("ths_adjustment_nv_fund",N$3,$A713))</f>
        <v/>
      </c>
      <c r="O713" s="13" t="str">
        <f>IF($A713="","",[1]!thsiFinD("ths_adjustment_nv_fund",O$3,$A713))</f>
        <v/>
      </c>
      <c r="P713" s="13" t="str">
        <f>IF($A713="","",[1]!thsiFinD("ths_adjustment_nv_fund",P$3,$A713))</f>
        <v/>
      </c>
      <c r="Q713" s="13" t="str">
        <f>IF($A713="","",[1]!thsiFinD("ths_adjustment_nv_fund",Q$3,$A713))</f>
        <v/>
      </c>
      <c r="R713" s="13" t="str">
        <f>IF($A713="","",[1]!thsiFinD("ths_adjustment_nv_fund",R$3,$A713))</f>
        <v/>
      </c>
      <c r="S713" s="13" t="str">
        <f>IF($A713="","",[1]!thsiFinD("ths_adjustment_nv_fund",S$3,$A713))</f>
        <v/>
      </c>
      <c r="T713" s="13" t="str">
        <f>IF($A713="","",[1]!thsiFinD("ths_adjustment_nv_fund",T$3,$A713))</f>
        <v/>
      </c>
      <c r="U713" s="13" t="str">
        <f>IF($A713="","",[1]!thsiFinD("ths_adjustment_nv_fund",U$3,$A713))</f>
        <v/>
      </c>
      <c r="V713" s="13" t="str">
        <f>IF($A713="","",[1]!thsiFinD("ths_adjustment_nv_fund",V$3,$A713))</f>
        <v/>
      </c>
      <c r="W713" s="13" t="str">
        <f>IF($A713="","",[1]!thsiFinD("ths_adjustment_nv_fund",W$3,$A713))</f>
        <v/>
      </c>
      <c r="X713" s="13" t="str">
        <f>IF($A713="","",[1]!thsiFinD("ths_adjustment_nv_fund",X$3,$A713))</f>
        <v/>
      </c>
      <c r="Y713" s="13" t="str">
        <f>IF($A713="","",[1]!thsiFinD("ths_adjustment_nv_fund",Y$3,$A713))</f>
        <v/>
      </c>
      <c r="Z713" s="13" t="str">
        <f>IF($A713="","",[1]!thsiFinD("ths_adjustment_nv_fund",Z$3,$A713))</f>
        <v/>
      </c>
      <c r="AA713" s="13" t="str">
        <f>IF($A713="","",[1]!thsiFinD("ths_adjustment_nv_fund",AA$3,$A713))</f>
        <v/>
      </c>
      <c r="AB713" s="13" t="str">
        <f>IF($A713="","",[1]!thsiFinD("ths_adjustment_nv_fund",AB$3,$A713))</f>
        <v/>
      </c>
    </row>
    <row r="714" spans="2:28">
      <c r="B714" s="13" t="str">
        <f>IF($A714="","",[1]!thsiFinD("ths_adjustment_nv_fund",B$3,$A714))</f>
        <v/>
      </c>
      <c r="C714" s="13" t="str">
        <f>IF($A714="","",[1]!thsiFinD("ths_adjustment_nv_fund",C$3,$A714))</f>
        <v/>
      </c>
      <c r="D714" s="13" t="str">
        <f>IF($A714="","",[1]!thsiFinD("ths_adjustment_nv_fund",D$3,$A714))</f>
        <v/>
      </c>
      <c r="E714" s="13" t="str">
        <f>IF($A714="","",[1]!thsiFinD("ths_adjustment_nv_fund",E$3,$A714))</f>
        <v/>
      </c>
      <c r="F714" s="13" t="str">
        <f>IF($A714="","",[1]!thsiFinD("ths_adjustment_nv_fund",F$3,$A714))</f>
        <v/>
      </c>
      <c r="G714" s="13" t="str">
        <f>IF($A714="","",[1]!thsiFinD("ths_adjustment_nv_fund",G$3,$A714))</f>
        <v/>
      </c>
      <c r="H714" s="13" t="str">
        <f>IF($A714="","",[1]!thsiFinD("ths_adjustment_nv_fund",H$3,$A714))</f>
        <v/>
      </c>
      <c r="I714" s="13" t="str">
        <f>IF($A714="","",[1]!thsiFinD("ths_adjustment_nv_fund",I$3,$A714))</f>
        <v/>
      </c>
      <c r="J714" s="13" t="str">
        <f>IF($A714="","",[1]!thsiFinD("ths_adjustment_nv_fund",J$3,$A714))</f>
        <v/>
      </c>
      <c r="K714" s="13" t="str">
        <f>IF($A714="","",[1]!thsiFinD("ths_adjustment_nv_fund",K$3,$A714))</f>
        <v/>
      </c>
      <c r="L714" s="13" t="str">
        <f>IF($A714="","",[1]!thsiFinD("ths_adjustment_nv_fund",L$3,$A714))</f>
        <v/>
      </c>
      <c r="M714" s="13" t="str">
        <f>IF($A714="","",[1]!thsiFinD("ths_adjustment_nv_fund",M$3,$A714))</f>
        <v/>
      </c>
      <c r="N714" s="13" t="str">
        <f>IF($A714="","",[1]!thsiFinD("ths_adjustment_nv_fund",N$3,$A714))</f>
        <v/>
      </c>
      <c r="O714" s="13" t="str">
        <f>IF($A714="","",[1]!thsiFinD("ths_adjustment_nv_fund",O$3,$A714))</f>
        <v/>
      </c>
      <c r="P714" s="13" t="str">
        <f>IF($A714="","",[1]!thsiFinD("ths_adjustment_nv_fund",P$3,$A714))</f>
        <v/>
      </c>
      <c r="Q714" s="13" t="str">
        <f>IF($A714="","",[1]!thsiFinD("ths_adjustment_nv_fund",Q$3,$A714))</f>
        <v/>
      </c>
      <c r="R714" s="13" t="str">
        <f>IF($A714="","",[1]!thsiFinD("ths_adjustment_nv_fund",R$3,$A714))</f>
        <v/>
      </c>
      <c r="S714" s="13" t="str">
        <f>IF($A714="","",[1]!thsiFinD("ths_adjustment_nv_fund",S$3,$A714))</f>
        <v/>
      </c>
      <c r="T714" s="13" t="str">
        <f>IF($A714="","",[1]!thsiFinD("ths_adjustment_nv_fund",T$3,$A714))</f>
        <v/>
      </c>
      <c r="U714" s="13" t="str">
        <f>IF($A714="","",[1]!thsiFinD("ths_adjustment_nv_fund",U$3,$A714))</f>
        <v/>
      </c>
      <c r="V714" s="13" t="str">
        <f>IF($A714="","",[1]!thsiFinD("ths_adjustment_nv_fund",V$3,$A714))</f>
        <v/>
      </c>
      <c r="W714" s="13" t="str">
        <f>IF($A714="","",[1]!thsiFinD("ths_adjustment_nv_fund",W$3,$A714))</f>
        <v/>
      </c>
      <c r="X714" s="13" t="str">
        <f>IF($A714="","",[1]!thsiFinD("ths_adjustment_nv_fund",X$3,$A714))</f>
        <v/>
      </c>
      <c r="Y714" s="13" t="str">
        <f>IF($A714="","",[1]!thsiFinD("ths_adjustment_nv_fund",Y$3,$A714))</f>
        <v/>
      </c>
      <c r="Z714" s="13" t="str">
        <f>IF($A714="","",[1]!thsiFinD("ths_adjustment_nv_fund",Z$3,$A714))</f>
        <v/>
      </c>
      <c r="AA714" s="13" t="str">
        <f>IF($A714="","",[1]!thsiFinD("ths_adjustment_nv_fund",AA$3,$A714))</f>
        <v/>
      </c>
      <c r="AB714" s="13" t="str">
        <f>IF($A714="","",[1]!thsiFinD("ths_adjustment_nv_fund",AB$3,$A714))</f>
        <v/>
      </c>
    </row>
    <row r="715" spans="2:28">
      <c r="B715" s="13" t="str">
        <f>IF($A715="","",[1]!thsiFinD("ths_adjustment_nv_fund",B$3,$A715))</f>
        <v/>
      </c>
      <c r="C715" s="13" t="str">
        <f>IF($A715="","",[1]!thsiFinD("ths_adjustment_nv_fund",C$3,$A715))</f>
        <v/>
      </c>
      <c r="D715" s="13" t="str">
        <f>IF($A715="","",[1]!thsiFinD("ths_adjustment_nv_fund",D$3,$A715))</f>
        <v/>
      </c>
      <c r="E715" s="13" t="str">
        <f>IF($A715="","",[1]!thsiFinD("ths_adjustment_nv_fund",E$3,$A715))</f>
        <v/>
      </c>
      <c r="F715" s="13" t="str">
        <f>IF($A715="","",[1]!thsiFinD("ths_adjustment_nv_fund",F$3,$A715))</f>
        <v/>
      </c>
      <c r="G715" s="13" t="str">
        <f>IF($A715="","",[1]!thsiFinD("ths_adjustment_nv_fund",G$3,$A715))</f>
        <v/>
      </c>
      <c r="H715" s="13" t="str">
        <f>IF($A715="","",[1]!thsiFinD("ths_adjustment_nv_fund",H$3,$A715))</f>
        <v/>
      </c>
      <c r="I715" s="13" t="str">
        <f>IF($A715="","",[1]!thsiFinD("ths_adjustment_nv_fund",I$3,$A715))</f>
        <v/>
      </c>
      <c r="J715" s="13" t="str">
        <f>IF($A715="","",[1]!thsiFinD("ths_adjustment_nv_fund",J$3,$A715))</f>
        <v/>
      </c>
      <c r="K715" s="13" t="str">
        <f>IF($A715="","",[1]!thsiFinD("ths_adjustment_nv_fund",K$3,$A715))</f>
        <v/>
      </c>
      <c r="L715" s="13" t="str">
        <f>IF($A715="","",[1]!thsiFinD("ths_adjustment_nv_fund",L$3,$A715))</f>
        <v/>
      </c>
      <c r="M715" s="13" t="str">
        <f>IF($A715="","",[1]!thsiFinD("ths_adjustment_nv_fund",M$3,$A715))</f>
        <v/>
      </c>
      <c r="N715" s="13" t="str">
        <f>IF($A715="","",[1]!thsiFinD("ths_adjustment_nv_fund",N$3,$A715))</f>
        <v/>
      </c>
      <c r="O715" s="13" t="str">
        <f>IF($A715="","",[1]!thsiFinD("ths_adjustment_nv_fund",O$3,$A715))</f>
        <v/>
      </c>
      <c r="P715" s="13" t="str">
        <f>IF($A715="","",[1]!thsiFinD("ths_adjustment_nv_fund",P$3,$A715))</f>
        <v/>
      </c>
      <c r="Q715" s="13" t="str">
        <f>IF($A715="","",[1]!thsiFinD("ths_adjustment_nv_fund",Q$3,$A715))</f>
        <v/>
      </c>
      <c r="R715" s="13" t="str">
        <f>IF($A715="","",[1]!thsiFinD("ths_adjustment_nv_fund",R$3,$A715))</f>
        <v/>
      </c>
      <c r="S715" s="13" t="str">
        <f>IF($A715="","",[1]!thsiFinD("ths_adjustment_nv_fund",S$3,$A715))</f>
        <v/>
      </c>
      <c r="T715" s="13" t="str">
        <f>IF($A715="","",[1]!thsiFinD("ths_adjustment_nv_fund",T$3,$A715))</f>
        <v/>
      </c>
      <c r="U715" s="13" t="str">
        <f>IF($A715="","",[1]!thsiFinD("ths_adjustment_nv_fund",U$3,$A715))</f>
        <v/>
      </c>
      <c r="V715" s="13" t="str">
        <f>IF($A715="","",[1]!thsiFinD("ths_adjustment_nv_fund",V$3,$A715))</f>
        <v/>
      </c>
      <c r="W715" s="13" t="str">
        <f>IF($A715="","",[1]!thsiFinD("ths_adjustment_nv_fund",W$3,$A715))</f>
        <v/>
      </c>
      <c r="X715" s="13" t="str">
        <f>IF($A715="","",[1]!thsiFinD("ths_adjustment_nv_fund",X$3,$A715))</f>
        <v/>
      </c>
      <c r="Y715" s="13" t="str">
        <f>IF($A715="","",[1]!thsiFinD("ths_adjustment_nv_fund",Y$3,$A715))</f>
        <v/>
      </c>
      <c r="Z715" s="13" t="str">
        <f>IF($A715="","",[1]!thsiFinD("ths_adjustment_nv_fund",Z$3,$A715))</f>
        <v/>
      </c>
      <c r="AA715" s="13" t="str">
        <f>IF($A715="","",[1]!thsiFinD("ths_adjustment_nv_fund",AA$3,$A715))</f>
        <v/>
      </c>
      <c r="AB715" s="13" t="str">
        <f>IF($A715="","",[1]!thsiFinD("ths_adjustment_nv_fund",AB$3,$A715))</f>
        <v/>
      </c>
    </row>
    <row r="716" spans="2:28">
      <c r="B716" s="13" t="str">
        <f>IF($A716="","",[1]!thsiFinD("ths_adjustment_nv_fund",B$3,$A716))</f>
        <v/>
      </c>
      <c r="C716" s="13" t="str">
        <f>IF($A716="","",[1]!thsiFinD("ths_adjustment_nv_fund",C$3,$A716))</f>
        <v/>
      </c>
      <c r="D716" s="13" t="str">
        <f>IF($A716="","",[1]!thsiFinD("ths_adjustment_nv_fund",D$3,$A716))</f>
        <v/>
      </c>
      <c r="E716" s="13" t="str">
        <f>IF($A716="","",[1]!thsiFinD("ths_adjustment_nv_fund",E$3,$A716))</f>
        <v/>
      </c>
      <c r="F716" s="13" t="str">
        <f>IF($A716="","",[1]!thsiFinD("ths_adjustment_nv_fund",F$3,$A716))</f>
        <v/>
      </c>
      <c r="G716" s="13" t="str">
        <f>IF($A716="","",[1]!thsiFinD("ths_adjustment_nv_fund",G$3,$A716))</f>
        <v/>
      </c>
      <c r="H716" s="13" t="str">
        <f>IF($A716="","",[1]!thsiFinD("ths_adjustment_nv_fund",H$3,$A716))</f>
        <v/>
      </c>
      <c r="I716" s="13" t="str">
        <f>IF($A716="","",[1]!thsiFinD("ths_adjustment_nv_fund",I$3,$A716))</f>
        <v/>
      </c>
      <c r="J716" s="13" t="str">
        <f>IF($A716="","",[1]!thsiFinD("ths_adjustment_nv_fund",J$3,$A716))</f>
        <v/>
      </c>
      <c r="K716" s="13" t="str">
        <f>IF($A716="","",[1]!thsiFinD("ths_adjustment_nv_fund",K$3,$A716))</f>
        <v/>
      </c>
      <c r="L716" s="13" t="str">
        <f>IF($A716="","",[1]!thsiFinD("ths_adjustment_nv_fund",L$3,$A716))</f>
        <v/>
      </c>
      <c r="M716" s="13" t="str">
        <f>IF($A716="","",[1]!thsiFinD("ths_adjustment_nv_fund",M$3,$A716))</f>
        <v/>
      </c>
      <c r="N716" s="13" t="str">
        <f>IF($A716="","",[1]!thsiFinD("ths_adjustment_nv_fund",N$3,$A716))</f>
        <v/>
      </c>
      <c r="O716" s="13" t="str">
        <f>IF($A716="","",[1]!thsiFinD("ths_adjustment_nv_fund",O$3,$A716))</f>
        <v/>
      </c>
      <c r="P716" s="13" t="str">
        <f>IF($A716="","",[1]!thsiFinD("ths_adjustment_nv_fund",P$3,$A716))</f>
        <v/>
      </c>
      <c r="Q716" s="13" t="str">
        <f>IF($A716="","",[1]!thsiFinD("ths_adjustment_nv_fund",Q$3,$A716))</f>
        <v/>
      </c>
      <c r="R716" s="13" t="str">
        <f>IF($A716="","",[1]!thsiFinD("ths_adjustment_nv_fund",R$3,$A716))</f>
        <v/>
      </c>
      <c r="S716" s="13" t="str">
        <f>IF($A716="","",[1]!thsiFinD("ths_adjustment_nv_fund",S$3,$A716))</f>
        <v/>
      </c>
      <c r="T716" s="13" t="str">
        <f>IF($A716="","",[1]!thsiFinD("ths_adjustment_nv_fund",T$3,$A716))</f>
        <v/>
      </c>
      <c r="U716" s="13" t="str">
        <f>IF($A716="","",[1]!thsiFinD("ths_adjustment_nv_fund",U$3,$A716))</f>
        <v/>
      </c>
      <c r="V716" s="13" t="str">
        <f>IF($A716="","",[1]!thsiFinD("ths_adjustment_nv_fund",V$3,$A716))</f>
        <v/>
      </c>
      <c r="W716" s="13" t="str">
        <f>IF($A716="","",[1]!thsiFinD("ths_adjustment_nv_fund",W$3,$A716))</f>
        <v/>
      </c>
      <c r="X716" s="13" t="str">
        <f>IF($A716="","",[1]!thsiFinD("ths_adjustment_nv_fund",X$3,$A716))</f>
        <v/>
      </c>
      <c r="Y716" s="13" t="str">
        <f>IF($A716="","",[1]!thsiFinD("ths_adjustment_nv_fund",Y$3,$A716))</f>
        <v/>
      </c>
      <c r="Z716" s="13" t="str">
        <f>IF($A716="","",[1]!thsiFinD("ths_adjustment_nv_fund",Z$3,$A716))</f>
        <v/>
      </c>
      <c r="AA716" s="13" t="str">
        <f>IF($A716="","",[1]!thsiFinD("ths_adjustment_nv_fund",AA$3,$A716))</f>
        <v/>
      </c>
      <c r="AB716" s="13" t="str">
        <f>IF($A716="","",[1]!thsiFinD("ths_adjustment_nv_fund",AB$3,$A716))</f>
        <v/>
      </c>
    </row>
    <row r="717" spans="2:28">
      <c r="B717" s="13" t="str">
        <f>IF($A717="","",[1]!thsiFinD("ths_adjustment_nv_fund",B$3,$A717))</f>
        <v/>
      </c>
      <c r="C717" s="13" t="str">
        <f>IF($A717="","",[1]!thsiFinD("ths_adjustment_nv_fund",C$3,$A717))</f>
        <v/>
      </c>
      <c r="D717" s="13" t="str">
        <f>IF($A717="","",[1]!thsiFinD("ths_adjustment_nv_fund",D$3,$A717))</f>
        <v/>
      </c>
      <c r="E717" s="13" t="str">
        <f>IF($A717="","",[1]!thsiFinD("ths_adjustment_nv_fund",E$3,$A717))</f>
        <v/>
      </c>
      <c r="F717" s="13" t="str">
        <f>IF($A717="","",[1]!thsiFinD("ths_adjustment_nv_fund",F$3,$A717))</f>
        <v/>
      </c>
      <c r="G717" s="13" t="str">
        <f>IF($A717="","",[1]!thsiFinD("ths_adjustment_nv_fund",G$3,$A717))</f>
        <v/>
      </c>
      <c r="H717" s="13" t="str">
        <f>IF($A717="","",[1]!thsiFinD("ths_adjustment_nv_fund",H$3,$A717))</f>
        <v/>
      </c>
      <c r="I717" s="13" t="str">
        <f>IF($A717="","",[1]!thsiFinD("ths_adjustment_nv_fund",I$3,$A717))</f>
        <v/>
      </c>
      <c r="J717" s="13" t="str">
        <f>IF($A717="","",[1]!thsiFinD("ths_adjustment_nv_fund",J$3,$A717))</f>
        <v/>
      </c>
      <c r="K717" s="13" t="str">
        <f>IF($A717="","",[1]!thsiFinD("ths_adjustment_nv_fund",K$3,$A717))</f>
        <v/>
      </c>
      <c r="L717" s="13" t="str">
        <f>IF($A717="","",[1]!thsiFinD("ths_adjustment_nv_fund",L$3,$A717))</f>
        <v/>
      </c>
      <c r="M717" s="13" t="str">
        <f>IF($A717="","",[1]!thsiFinD("ths_adjustment_nv_fund",M$3,$A717))</f>
        <v/>
      </c>
      <c r="N717" s="13" t="str">
        <f>IF($A717="","",[1]!thsiFinD("ths_adjustment_nv_fund",N$3,$A717))</f>
        <v/>
      </c>
      <c r="O717" s="13" t="str">
        <f>IF($A717="","",[1]!thsiFinD("ths_adjustment_nv_fund",O$3,$A717))</f>
        <v/>
      </c>
      <c r="P717" s="13" t="str">
        <f>IF($A717="","",[1]!thsiFinD("ths_adjustment_nv_fund",P$3,$A717))</f>
        <v/>
      </c>
      <c r="Q717" s="13" t="str">
        <f>IF($A717="","",[1]!thsiFinD("ths_adjustment_nv_fund",Q$3,$A717))</f>
        <v/>
      </c>
      <c r="R717" s="13" t="str">
        <f>IF($A717="","",[1]!thsiFinD("ths_adjustment_nv_fund",R$3,$A717))</f>
        <v/>
      </c>
      <c r="S717" s="13" t="str">
        <f>IF($A717="","",[1]!thsiFinD("ths_adjustment_nv_fund",S$3,$A717))</f>
        <v/>
      </c>
      <c r="T717" s="13" t="str">
        <f>IF($A717="","",[1]!thsiFinD("ths_adjustment_nv_fund",T$3,$A717))</f>
        <v/>
      </c>
      <c r="U717" s="13" t="str">
        <f>IF($A717="","",[1]!thsiFinD("ths_adjustment_nv_fund",U$3,$A717))</f>
        <v/>
      </c>
      <c r="V717" s="13" t="str">
        <f>IF($A717="","",[1]!thsiFinD("ths_adjustment_nv_fund",V$3,$A717))</f>
        <v/>
      </c>
      <c r="W717" s="13" t="str">
        <f>IF($A717="","",[1]!thsiFinD("ths_adjustment_nv_fund",W$3,$A717))</f>
        <v/>
      </c>
      <c r="X717" s="13" t="str">
        <f>IF($A717="","",[1]!thsiFinD("ths_adjustment_nv_fund",X$3,$A717))</f>
        <v/>
      </c>
      <c r="Y717" s="13" t="str">
        <f>IF($A717="","",[1]!thsiFinD("ths_adjustment_nv_fund",Y$3,$A717))</f>
        <v/>
      </c>
      <c r="Z717" s="13" t="str">
        <f>IF($A717="","",[1]!thsiFinD("ths_adjustment_nv_fund",Z$3,$A717))</f>
        <v/>
      </c>
      <c r="AA717" s="13" t="str">
        <f>IF($A717="","",[1]!thsiFinD("ths_adjustment_nv_fund",AA$3,$A717))</f>
        <v/>
      </c>
      <c r="AB717" s="13" t="str">
        <f>IF($A717="","",[1]!thsiFinD("ths_adjustment_nv_fund",AB$3,$A717))</f>
        <v/>
      </c>
    </row>
    <row r="718" spans="2:28">
      <c r="B718" s="13" t="str">
        <f>IF($A718="","",[1]!thsiFinD("ths_adjustment_nv_fund",B$3,$A718))</f>
        <v/>
      </c>
      <c r="C718" s="13" t="str">
        <f>IF($A718="","",[1]!thsiFinD("ths_adjustment_nv_fund",C$3,$A718))</f>
        <v/>
      </c>
      <c r="D718" s="13" t="str">
        <f>IF($A718="","",[1]!thsiFinD("ths_adjustment_nv_fund",D$3,$A718))</f>
        <v/>
      </c>
      <c r="E718" s="13" t="str">
        <f>IF($A718="","",[1]!thsiFinD("ths_adjustment_nv_fund",E$3,$A718))</f>
        <v/>
      </c>
      <c r="F718" s="13" t="str">
        <f>IF($A718="","",[1]!thsiFinD("ths_adjustment_nv_fund",F$3,$A718))</f>
        <v/>
      </c>
      <c r="G718" s="13" t="str">
        <f>IF($A718="","",[1]!thsiFinD("ths_adjustment_nv_fund",G$3,$A718))</f>
        <v/>
      </c>
      <c r="H718" s="13" t="str">
        <f>IF($A718="","",[1]!thsiFinD("ths_adjustment_nv_fund",H$3,$A718))</f>
        <v/>
      </c>
      <c r="I718" s="13" t="str">
        <f>IF($A718="","",[1]!thsiFinD("ths_adjustment_nv_fund",I$3,$A718))</f>
        <v/>
      </c>
      <c r="J718" s="13" t="str">
        <f>IF($A718="","",[1]!thsiFinD("ths_adjustment_nv_fund",J$3,$A718))</f>
        <v/>
      </c>
      <c r="K718" s="13" t="str">
        <f>IF($A718="","",[1]!thsiFinD("ths_adjustment_nv_fund",K$3,$A718))</f>
        <v/>
      </c>
      <c r="L718" s="13" t="str">
        <f>IF($A718="","",[1]!thsiFinD("ths_adjustment_nv_fund",L$3,$A718))</f>
        <v/>
      </c>
      <c r="M718" s="13" t="str">
        <f>IF($A718="","",[1]!thsiFinD("ths_adjustment_nv_fund",M$3,$A718))</f>
        <v/>
      </c>
      <c r="N718" s="13" t="str">
        <f>IF($A718="","",[1]!thsiFinD("ths_adjustment_nv_fund",N$3,$A718))</f>
        <v/>
      </c>
      <c r="O718" s="13" t="str">
        <f>IF($A718="","",[1]!thsiFinD("ths_adjustment_nv_fund",O$3,$A718))</f>
        <v/>
      </c>
      <c r="P718" s="13" t="str">
        <f>IF($A718="","",[1]!thsiFinD("ths_adjustment_nv_fund",P$3,$A718))</f>
        <v/>
      </c>
      <c r="Q718" s="13" t="str">
        <f>IF($A718="","",[1]!thsiFinD("ths_adjustment_nv_fund",Q$3,$A718))</f>
        <v/>
      </c>
      <c r="R718" s="13" t="str">
        <f>IF($A718="","",[1]!thsiFinD("ths_adjustment_nv_fund",R$3,$A718))</f>
        <v/>
      </c>
      <c r="S718" s="13" t="str">
        <f>IF($A718="","",[1]!thsiFinD("ths_adjustment_nv_fund",S$3,$A718))</f>
        <v/>
      </c>
      <c r="T718" s="13" t="str">
        <f>IF($A718="","",[1]!thsiFinD("ths_adjustment_nv_fund",T$3,$A718))</f>
        <v/>
      </c>
      <c r="U718" s="13" t="str">
        <f>IF($A718="","",[1]!thsiFinD("ths_adjustment_nv_fund",U$3,$A718))</f>
        <v/>
      </c>
      <c r="V718" s="13" t="str">
        <f>IF($A718="","",[1]!thsiFinD("ths_adjustment_nv_fund",V$3,$A718))</f>
        <v/>
      </c>
      <c r="W718" s="13" t="str">
        <f>IF($A718="","",[1]!thsiFinD("ths_adjustment_nv_fund",W$3,$A718))</f>
        <v/>
      </c>
      <c r="X718" s="13" t="str">
        <f>IF($A718="","",[1]!thsiFinD("ths_adjustment_nv_fund",X$3,$A718))</f>
        <v/>
      </c>
      <c r="Y718" s="13" t="str">
        <f>IF($A718="","",[1]!thsiFinD("ths_adjustment_nv_fund",Y$3,$A718))</f>
        <v/>
      </c>
      <c r="Z718" s="13" t="str">
        <f>IF($A718="","",[1]!thsiFinD("ths_adjustment_nv_fund",Z$3,$A718))</f>
        <v/>
      </c>
      <c r="AA718" s="13" t="str">
        <f>IF($A718="","",[1]!thsiFinD("ths_adjustment_nv_fund",AA$3,$A718))</f>
        <v/>
      </c>
      <c r="AB718" s="13" t="str">
        <f>IF($A718="","",[1]!thsiFinD("ths_adjustment_nv_fund",AB$3,$A718))</f>
        <v/>
      </c>
    </row>
    <row r="719" spans="2:28">
      <c r="B719" s="13" t="str">
        <f>IF($A719="","",[1]!thsiFinD("ths_adjustment_nv_fund",B$3,$A719))</f>
        <v/>
      </c>
      <c r="C719" s="13" t="str">
        <f>IF($A719="","",[1]!thsiFinD("ths_adjustment_nv_fund",C$3,$A719))</f>
        <v/>
      </c>
      <c r="D719" s="13" t="str">
        <f>IF($A719="","",[1]!thsiFinD("ths_adjustment_nv_fund",D$3,$A719))</f>
        <v/>
      </c>
      <c r="E719" s="13" t="str">
        <f>IF($A719="","",[1]!thsiFinD("ths_adjustment_nv_fund",E$3,$A719))</f>
        <v/>
      </c>
      <c r="F719" s="13" t="str">
        <f>IF($A719="","",[1]!thsiFinD("ths_adjustment_nv_fund",F$3,$A719))</f>
        <v/>
      </c>
      <c r="G719" s="13" t="str">
        <f>IF($A719="","",[1]!thsiFinD("ths_adjustment_nv_fund",G$3,$A719))</f>
        <v/>
      </c>
      <c r="H719" s="13" t="str">
        <f>IF($A719="","",[1]!thsiFinD("ths_adjustment_nv_fund",H$3,$A719))</f>
        <v/>
      </c>
      <c r="I719" s="13" t="str">
        <f>IF($A719="","",[1]!thsiFinD("ths_adjustment_nv_fund",I$3,$A719))</f>
        <v/>
      </c>
      <c r="J719" s="13" t="str">
        <f>IF($A719="","",[1]!thsiFinD("ths_adjustment_nv_fund",J$3,$A719))</f>
        <v/>
      </c>
      <c r="K719" s="13" t="str">
        <f>IF($A719="","",[1]!thsiFinD("ths_adjustment_nv_fund",K$3,$A719))</f>
        <v/>
      </c>
      <c r="L719" s="13" t="str">
        <f>IF($A719="","",[1]!thsiFinD("ths_adjustment_nv_fund",L$3,$A719))</f>
        <v/>
      </c>
      <c r="M719" s="13" t="str">
        <f>IF($A719="","",[1]!thsiFinD("ths_adjustment_nv_fund",M$3,$A719))</f>
        <v/>
      </c>
      <c r="N719" s="13" t="str">
        <f>IF($A719="","",[1]!thsiFinD("ths_adjustment_nv_fund",N$3,$A719))</f>
        <v/>
      </c>
      <c r="O719" s="13" t="str">
        <f>IF($A719="","",[1]!thsiFinD("ths_adjustment_nv_fund",O$3,$A719))</f>
        <v/>
      </c>
      <c r="P719" s="13" t="str">
        <f>IF($A719="","",[1]!thsiFinD("ths_adjustment_nv_fund",P$3,$A719))</f>
        <v/>
      </c>
      <c r="Q719" s="13" t="str">
        <f>IF($A719="","",[1]!thsiFinD("ths_adjustment_nv_fund",Q$3,$A719))</f>
        <v/>
      </c>
      <c r="R719" s="13" t="str">
        <f>IF($A719="","",[1]!thsiFinD("ths_adjustment_nv_fund",R$3,$A719))</f>
        <v/>
      </c>
      <c r="S719" s="13" t="str">
        <f>IF($A719="","",[1]!thsiFinD("ths_adjustment_nv_fund",S$3,$A719))</f>
        <v/>
      </c>
      <c r="T719" s="13" t="str">
        <f>IF($A719="","",[1]!thsiFinD("ths_adjustment_nv_fund",T$3,$A719))</f>
        <v/>
      </c>
      <c r="U719" s="13" t="str">
        <f>IF($A719="","",[1]!thsiFinD("ths_adjustment_nv_fund",U$3,$A719))</f>
        <v/>
      </c>
      <c r="V719" s="13" t="str">
        <f>IF($A719="","",[1]!thsiFinD("ths_adjustment_nv_fund",V$3,$A719))</f>
        <v/>
      </c>
      <c r="W719" s="13" t="str">
        <f>IF($A719="","",[1]!thsiFinD("ths_adjustment_nv_fund",W$3,$A719))</f>
        <v/>
      </c>
      <c r="X719" s="13" t="str">
        <f>IF($A719="","",[1]!thsiFinD("ths_adjustment_nv_fund",X$3,$A719))</f>
        <v/>
      </c>
      <c r="Y719" s="13" t="str">
        <f>IF($A719="","",[1]!thsiFinD("ths_adjustment_nv_fund",Y$3,$A719))</f>
        <v/>
      </c>
      <c r="Z719" s="13" t="str">
        <f>IF($A719="","",[1]!thsiFinD("ths_adjustment_nv_fund",Z$3,$A719))</f>
        <v/>
      </c>
      <c r="AA719" s="13" t="str">
        <f>IF($A719="","",[1]!thsiFinD("ths_adjustment_nv_fund",AA$3,$A719))</f>
        <v/>
      </c>
      <c r="AB719" s="13" t="str">
        <f>IF($A719="","",[1]!thsiFinD("ths_adjustment_nv_fund",AB$3,$A719))</f>
        <v/>
      </c>
    </row>
    <row r="720" spans="2:28">
      <c r="B720" s="13" t="str">
        <f>IF($A720="","",[1]!thsiFinD("ths_adjustment_nv_fund",B$3,$A720))</f>
        <v/>
      </c>
      <c r="C720" s="13" t="str">
        <f>IF($A720="","",[1]!thsiFinD("ths_adjustment_nv_fund",C$3,$A720))</f>
        <v/>
      </c>
      <c r="D720" s="13" t="str">
        <f>IF($A720="","",[1]!thsiFinD("ths_adjustment_nv_fund",D$3,$A720))</f>
        <v/>
      </c>
      <c r="E720" s="13" t="str">
        <f>IF($A720="","",[1]!thsiFinD("ths_adjustment_nv_fund",E$3,$A720))</f>
        <v/>
      </c>
      <c r="F720" s="13" t="str">
        <f>IF($A720="","",[1]!thsiFinD("ths_adjustment_nv_fund",F$3,$A720))</f>
        <v/>
      </c>
      <c r="G720" s="13" t="str">
        <f>IF($A720="","",[1]!thsiFinD("ths_adjustment_nv_fund",G$3,$A720))</f>
        <v/>
      </c>
      <c r="H720" s="13" t="str">
        <f>IF($A720="","",[1]!thsiFinD("ths_adjustment_nv_fund",H$3,$A720))</f>
        <v/>
      </c>
      <c r="I720" s="13" t="str">
        <f>IF($A720="","",[1]!thsiFinD("ths_adjustment_nv_fund",I$3,$A720))</f>
        <v/>
      </c>
      <c r="J720" s="13" t="str">
        <f>IF($A720="","",[1]!thsiFinD("ths_adjustment_nv_fund",J$3,$A720))</f>
        <v/>
      </c>
      <c r="K720" s="13" t="str">
        <f>IF($A720="","",[1]!thsiFinD("ths_adjustment_nv_fund",K$3,$A720))</f>
        <v/>
      </c>
      <c r="L720" s="13" t="str">
        <f>IF($A720="","",[1]!thsiFinD("ths_adjustment_nv_fund",L$3,$A720))</f>
        <v/>
      </c>
      <c r="M720" s="13" t="str">
        <f>IF($A720="","",[1]!thsiFinD("ths_adjustment_nv_fund",M$3,$A720))</f>
        <v/>
      </c>
      <c r="N720" s="13" t="str">
        <f>IF($A720="","",[1]!thsiFinD("ths_adjustment_nv_fund",N$3,$A720))</f>
        <v/>
      </c>
      <c r="O720" s="13" t="str">
        <f>IF($A720="","",[1]!thsiFinD("ths_adjustment_nv_fund",O$3,$A720))</f>
        <v/>
      </c>
      <c r="P720" s="13" t="str">
        <f>IF($A720="","",[1]!thsiFinD("ths_adjustment_nv_fund",P$3,$A720))</f>
        <v/>
      </c>
      <c r="Q720" s="13" t="str">
        <f>IF($A720="","",[1]!thsiFinD("ths_adjustment_nv_fund",Q$3,$A720))</f>
        <v/>
      </c>
      <c r="R720" s="13" t="str">
        <f>IF($A720="","",[1]!thsiFinD("ths_adjustment_nv_fund",R$3,$A720))</f>
        <v/>
      </c>
      <c r="S720" s="13" t="str">
        <f>IF($A720="","",[1]!thsiFinD("ths_adjustment_nv_fund",S$3,$A720))</f>
        <v/>
      </c>
      <c r="T720" s="13" t="str">
        <f>IF($A720="","",[1]!thsiFinD("ths_adjustment_nv_fund",T$3,$A720))</f>
        <v/>
      </c>
      <c r="U720" s="13" t="str">
        <f>IF($A720="","",[1]!thsiFinD("ths_adjustment_nv_fund",U$3,$A720))</f>
        <v/>
      </c>
      <c r="V720" s="13" t="str">
        <f>IF($A720="","",[1]!thsiFinD("ths_adjustment_nv_fund",V$3,$A720))</f>
        <v/>
      </c>
      <c r="W720" s="13" t="str">
        <f>IF($A720="","",[1]!thsiFinD("ths_adjustment_nv_fund",W$3,$A720))</f>
        <v/>
      </c>
      <c r="X720" s="13" t="str">
        <f>IF($A720="","",[1]!thsiFinD("ths_adjustment_nv_fund",X$3,$A720))</f>
        <v/>
      </c>
      <c r="Y720" s="13" t="str">
        <f>IF($A720="","",[1]!thsiFinD("ths_adjustment_nv_fund",Y$3,$A720))</f>
        <v/>
      </c>
      <c r="Z720" s="13" t="str">
        <f>IF($A720="","",[1]!thsiFinD("ths_adjustment_nv_fund",Z$3,$A720))</f>
        <v/>
      </c>
      <c r="AA720" s="13" t="str">
        <f>IF($A720="","",[1]!thsiFinD("ths_adjustment_nv_fund",AA$3,$A720))</f>
        <v/>
      </c>
      <c r="AB720" s="13" t="str">
        <f>IF($A720="","",[1]!thsiFinD("ths_adjustment_nv_fund",AB$3,$A720))</f>
        <v/>
      </c>
    </row>
    <row r="721" spans="2:28">
      <c r="B721" s="13" t="str">
        <f>IF($A721="","",[1]!thsiFinD("ths_adjustment_nv_fund",B$3,$A721))</f>
        <v/>
      </c>
      <c r="C721" s="13" t="str">
        <f>IF($A721="","",[1]!thsiFinD("ths_adjustment_nv_fund",C$3,$A721))</f>
        <v/>
      </c>
      <c r="D721" s="13" t="str">
        <f>IF($A721="","",[1]!thsiFinD("ths_adjustment_nv_fund",D$3,$A721))</f>
        <v/>
      </c>
      <c r="E721" s="13" t="str">
        <f>IF($A721="","",[1]!thsiFinD("ths_adjustment_nv_fund",E$3,$A721))</f>
        <v/>
      </c>
      <c r="F721" s="13" t="str">
        <f>IF($A721="","",[1]!thsiFinD("ths_adjustment_nv_fund",F$3,$A721))</f>
        <v/>
      </c>
      <c r="G721" s="13" t="str">
        <f>IF($A721="","",[1]!thsiFinD("ths_adjustment_nv_fund",G$3,$A721))</f>
        <v/>
      </c>
      <c r="H721" s="13" t="str">
        <f>IF($A721="","",[1]!thsiFinD("ths_adjustment_nv_fund",H$3,$A721))</f>
        <v/>
      </c>
      <c r="I721" s="13" t="str">
        <f>IF($A721="","",[1]!thsiFinD("ths_adjustment_nv_fund",I$3,$A721))</f>
        <v/>
      </c>
      <c r="J721" s="13" t="str">
        <f>IF($A721="","",[1]!thsiFinD("ths_adjustment_nv_fund",J$3,$A721))</f>
        <v/>
      </c>
      <c r="K721" s="13" t="str">
        <f>IF($A721="","",[1]!thsiFinD("ths_adjustment_nv_fund",K$3,$A721))</f>
        <v/>
      </c>
      <c r="L721" s="13" t="str">
        <f>IF($A721="","",[1]!thsiFinD("ths_adjustment_nv_fund",L$3,$A721))</f>
        <v/>
      </c>
      <c r="M721" s="13" t="str">
        <f>IF($A721="","",[1]!thsiFinD("ths_adjustment_nv_fund",M$3,$A721))</f>
        <v/>
      </c>
      <c r="N721" s="13" t="str">
        <f>IF($A721="","",[1]!thsiFinD("ths_adjustment_nv_fund",N$3,$A721))</f>
        <v/>
      </c>
      <c r="O721" s="13" t="str">
        <f>IF($A721="","",[1]!thsiFinD("ths_adjustment_nv_fund",O$3,$A721))</f>
        <v/>
      </c>
      <c r="P721" s="13" t="str">
        <f>IF($A721="","",[1]!thsiFinD("ths_adjustment_nv_fund",P$3,$A721))</f>
        <v/>
      </c>
      <c r="Q721" s="13" t="str">
        <f>IF($A721="","",[1]!thsiFinD("ths_adjustment_nv_fund",Q$3,$A721))</f>
        <v/>
      </c>
      <c r="R721" s="13" t="str">
        <f>IF($A721="","",[1]!thsiFinD("ths_adjustment_nv_fund",R$3,$A721))</f>
        <v/>
      </c>
      <c r="S721" s="13" t="str">
        <f>IF($A721="","",[1]!thsiFinD("ths_adjustment_nv_fund",S$3,$A721))</f>
        <v/>
      </c>
      <c r="T721" s="13" t="str">
        <f>IF($A721="","",[1]!thsiFinD("ths_adjustment_nv_fund",T$3,$A721))</f>
        <v/>
      </c>
      <c r="U721" s="13" t="str">
        <f>IF($A721="","",[1]!thsiFinD("ths_adjustment_nv_fund",U$3,$A721))</f>
        <v/>
      </c>
      <c r="V721" s="13" t="str">
        <f>IF($A721="","",[1]!thsiFinD("ths_adjustment_nv_fund",V$3,$A721))</f>
        <v/>
      </c>
      <c r="W721" s="13" t="str">
        <f>IF($A721="","",[1]!thsiFinD("ths_adjustment_nv_fund",W$3,$A721))</f>
        <v/>
      </c>
      <c r="X721" s="13" t="str">
        <f>IF($A721="","",[1]!thsiFinD("ths_adjustment_nv_fund",X$3,$A721))</f>
        <v/>
      </c>
      <c r="Y721" s="13" t="str">
        <f>IF($A721="","",[1]!thsiFinD("ths_adjustment_nv_fund",Y$3,$A721))</f>
        <v/>
      </c>
      <c r="Z721" s="13" t="str">
        <f>IF($A721="","",[1]!thsiFinD("ths_adjustment_nv_fund",Z$3,$A721))</f>
        <v/>
      </c>
      <c r="AA721" s="13" t="str">
        <f>IF($A721="","",[1]!thsiFinD("ths_adjustment_nv_fund",AA$3,$A721))</f>
        <v/>
      </c>
      <c r="AB721" s="13" t="str">
        <f>IF($A721="","",[1]!thsiFinD("ths_adjustment_nv_fund",AB$3,$A721))</f>
        <v/>
      </c>
    </row>
    <row r="722" spans="2:28">
      <c r="B722" s="13" t="str">
        <f>IF($A722="","",[1]!thsiFinD("ths_adjustment_nv_fund",B$3,$A722))</f>
        <v/>
      </c>
      <c r="C722" s="13" t="str">
        <f>IF($A722="","",[1]!thsiFinD("ths_adjustment_nv_fund",C$3,$A722))</f>
        <v/>
      </c>
      <c r="D722" s="13" t="str">
        <f>IF($A722="","",[1]!thsiFinD("ths_adjustment_nv_fund",D$3,$A722))</f>
        <v/>
      </c>
      <c r="E722" s="13" t="str">
        <f>IF($A722="","",[1]!thsiFinD("ths_adjustment_nv_fund",E$3,$A722))</f>
        <v/>
      </c>
      <c r="F722" s="13" t="str">
        <f>IF($A722="","",[1]!thsiFinD("ths_adjustment_nv_fund",F$3,$A722))</f>
        <v/>
      </c>
      <c r="G722" s="13" t="str">
        <f>IF($A722="","",[1]!thsiFinD("ths_adjustment_nv_fund",G$3,$A722))</f>
        <v/>
      </c>
      <c r="H722" s="13" t="str">
        <f>IF($A722="","",[1]!thsiFinD("ths_adjustment_nv_fund",H$3,$A722))</f>
        <v/>
      </c>
      <c r="I722" s="13" t="str">
        <f>IF($A722="","",[1]!thsiFinD("ths_adjustment_nv_fund",I$3,$A722))</f>
        <v/>
      </c>
      <c r="J722" s="13" t="str">
        <f>IF($A722="","",[1]!thsiFinD("ths_adjustment_nv_fund",J$3,$A722))</f>
        <v/>
      </c>
      <c r="K722" s="13" t="str">
        <f>IF($A722="","",[1]!thsiFinD("ths_adjustment_nv_fund",K$3,$A722))</f>
        <v/>
      </c>
      <c r="L722" s="13" t="str">
        <f>IF($A722="","",[1]!thsiFinD("ths_adjustment_nv_fund",L$3,$A722))</f>
        <v/>
      </c>
      <c r="M722" s="13" t="str">
        <f>IF($A722="","",[1]!thsiFinD("ths_adjustment_nv_fund",M$3,$A722))</f>
        <v/>
      </c>
      <c r="N722" s="13" t="str">
        <f>IF($A722="","",[1]!thsiFinD("ths_adjustment_nv_fund",N$3,$A722))</f>
        <v/>
      </c>
      <c r="O722" s="13" t="str">
        <f>IF($A722="","",[1]!thsiFinD("ths_adjustment_nv_fund",O$3,$A722))</f>
        <v/>
      </c>
      <c r="P722" s="13" t="str">
        <f>IF($A722="","",[1]!thsiFinD("ths_adjustment_nv_fund",P$3,$A722))</f>
        <v/>
      </c>
      <c r="Q722" s="13" t="str">
        <f>IF($A722="","",[1]!thsiFinD("ths_adjustment_nv_fund",Q$3,$A722))</f>
        <v/>
      </c>
      <c r="R722" s="13" t="str">
        <f>IF($A722="","",[1]!thsiFinD("ths_adjustment_nv_fund",R$3,$A722))</f>
        <v/>
      </c>
      <c r="S722" s="13" t="str">
        <f>IF($A722="","",[1]!thsiFinD("ths_adjustment_nv_fund",S$3,$A722))</f>
        <v/>
      </c>
      <c r="T722" s="13" t="str">
        <f>IF($A722="","",[1]!thsiFinD("ths_adjustment_nv_fund",T$3,$A722))</f>
        <v/>
      </c>
      <c r="U722" s="13" t="str">
        <f>IF($A722="","",[1]!thsiFinD("ths_adjustment_nv_fund",U$3,$A722))</f>
        <v/>
      </c>
      <c r="V722" s="13" t="str">
        <f>IF($A722="","",[1]!thsiFinD("ths_adjustment_nv_fund",V$3,$A722))</f>
        <v/>
      </c>
      <c r="W722" s="13" t="str">
        <f>IF($A722="","",[1]!thsiFinD("ths_adjustment_nv_fund",W$3,$A722))</f>
        <v/>
      </c>
      <c r="X722" s="13" t="str">
        <f>IF($A722="","",[1]!thsiFinD("ths_adjustment_nv_fund",X$3,$A722))</f>
        <v/>
      </c>
      <c r="Y722" s="13" t="str">
        <f>IF($A722="","",[1]!thsiFinD("ths_adjustment_nv_fund",Y$3,$A722))</f>
        <v/>
      </c>
      <c r="Z722" s="13" t="str">
        <f>IF($A722="","",[1]!thsiFinD("ths_adjustment_nv_fund",Z$3,$A722))</f>
        <v/>
      </c>
      <c r="AA722" s="13" t="str">
        <f>IF($A722="","",[1]!thsiFinD("ths_adjustment_nv_fund",AA$3,$A722))</f>
        <v/>
      </c>
      <c r="AB722" s="13" t="str">
        <f>IF($A722="","",[1]!thsiFinD("ths_adjustment_nv_fund",AB$3,$A722))</f>
        <v/>
      </c>
    </row>
    <row r="723" spans="2:28">
      <c r="B723" s="13" t="str">
        <f>IF($A723="","",[1]!thsiFinD("ths_adjustment_nv_fund",B$3,$A723))</f>
        <v/>
      </c>
      <c r="C723" s="13" t="str">
        <f>IF($A723="","",[1]!thsiFinD("ths_adjustment_nv_fund",C$3,$A723))</f>
        <v/>
      </c>
      <c r="D723" s="13" t="str">
        <f>IF($A723="","",[1]!thsiFinD("ths_adjustment_nv_fund",D$3,$A723))</f>
        <v/>
      </c>
      <c r="E723" s="13" t="str">
        <f>IF($A723="","",[1]!thsiFinD("ths_adjustment_nv_fund",E$3,$A723))</f>
        <v/>
      </c>
      <c r="F723" s="13" t="str">
        <f>IF($A723="","",[1]!thsiFinD("ths_adjustment_nv_fund",F$3,$A723))</f>
        <v/>
      </c>
      <c r="G723" s="13" t="str">
        <f>IF($A723="","",[1]!thsiFinD("ths_adjustment_nv_fund",G$3,$A723))</f>
        <v/>
      </c>
      <c r="H723" s="13" t="str">
        <f>IF($A723="","",[1]!thsiFinD("ths_adjustment_nv_fund",H$3,$A723))</f>
        <v/>
      </c>
      <c r="I723" s="13" t="str">
        <f>IF($A723="","",[1]!thsiFinD("ths_adjustment_nv_fund",I$3,$A723))</f>
        <v/>
      </c>
      <c r="J723" s="13" t="str">
        <f>IF($A723="","",[1]!thsiFinD("ths_adjustment_nv_fund",J$3,$A723))</f>
        <v/>
      </c>
      <c r="K723" s="13" t="str">
        <f>IF($A723="","",[1]!thsiFinD("ths_adjustment_nv_fund",K$3,$A723))</f>
        <v/>
      </c>
      <c r="L723" s="13" t="str">
        <f>IF($A723="","",[1]!thsiFinD("ths_adjustment_nv_fund",L$3,$A723))</f>
        <v/>
      </c>
      <c r="M723" s="13" t="str">
        <f>IF($A723="","",[1]!thsiFinD("ths_adjustment_nv_fund",M$3,$A723))</f>
        <v/>
      </c>
      <c r="N723" s="13" t="str">
        <f>IF($A723="","",[1]!thsiFinD("ths_adjustment_nv_fund",N$3,$A723))</f>
        <v/>
      </c>
      <c r="O723" s="13" t="str">
        <f>IF($A723="","",[1]!thsiFinD("ths_adjustment_nv_fund",O$3,$A723))</f>
        <v/>
      </c>
      <c r="P723" s="13" t="str">
        <f>IF($A723="","",[1]!thsiFinD("ths_adjustment_nv_fund",P$3,$A723))</f>
        <v/>
      </c>
      <c r="Q723" s="13" t="str">
        <f>IF($A723="","",[1]!thsiFinD("ths_adjustment_nv_fund",Q$3,$A723))</f>
        <v/>
      </c>
      <c r="R723" s="13" t="str">
        <f>IF($A723="","",[1]!thsiFinD("ths_adjustment_nv_fund",R$3,$A723))</f>
        <v/>
      </c>
      <c r="S723" s="13" t="str">
        <f>IF($A723="","",[1]!thsiFinD("ths_adjustment_nv_fund",S$3,$A723))</f>
        <v/>
      </c>
      <c r="T723" s="13" t="str">
        <f>IF($A723="","",[1]!thsiFinD("ths_adjustment_nv_fund",T$3,$A723))</f>
        <v/>
      </c>
      <c r="U723" s="13" t="str">
        <f>IF($A723="","",[1]!thsiFinD("ths_adjustment_nv_fund",U$3,$A723))</f>
        <v/>
      </c>
      <c r="V723" s="13" t="str">
        <f>IF($A723="","",[1]!thsiFinD("ths_adjustment_nv_fund",V$3,$A723))</f>
        <v/>
      </c>
      <c r="W723" s="13" t="str">
        <f>IF($A723="","",[1]!thsiFinD("ths_adjustment_nv_fund",W$3,$A723))</f>
        <v/>
      </c>
      <c r="X723" s="13" t="str">
        <f>IF($A723="","",[1]!thsiFinD("ths_adjustment_nv_fund",X$3,$A723))</f>
        <v/>
      </c>
      <c r="Y723" s="13" t="str">
        <f>IF($A723="","",[1]!thsiFinD("ths_adjustment_nv_fund",Y$3,$A723))</f>
        <v/>
      </c>
      <c r="Z723" s="13" t="str">
        <f>IF($A723="","",[1]!thsiFinD("ths_adjustment_nv_fund",Z$3,$A723))</f>
        <v/>
      </c>
      <c r="AA723" s="13" t="str">
        <f>IF($A723="","",[1]!thsiFinD("ths_adjustment_nv_fund",AA$3,$A723))</f>
        <v/>
      </c>
      <c r="AB723" s="13" t="str">
        <f>IF($A723="","",[1]!thsiFinD("ths_adjustment_nv_fund",AB$3,$A723))</f>
        <v/>
      </c>
    </row>
    <row r="724" spans="2:28">
      <c r="B724" s="13" t="str">
        <f>IF($A724="","",[1]!thsiFinD("ths_adjustment_nv_fund",B$3,$A724))</f>
        <v/>
      </c>
      <c r="C724" s="13" t="str">
        <f>IF($A724="","",[1]!thsiFinD("ths_adjustment_nv_fund",C$3,$A724))</f>
        <v/>
      </c>
      <c r="D724" s="13" t="str">
        <f>IF($A724="","",[1]!thsiFinD("ths_adjustment_nv_fund",D$3,$A724))</f>
        <v/>
      </c>
      <c r="E724" s="13" t="str">
        <f>IF($A724="","",[1]!thsiFinD("ths_adjustment_nv_fund",E$3,$A724))</f>
        <v/>
      </c>
      <c r="F724" s="13" t="str">
        <f>IF($A724="","",[1]!thsiFinD("ths_adjustment_nv_fund",F$3,$A724))</f>
        <v/>
      </c>
      <c r="G724" s="13" t="str">
        <f>IF($A724="","",[1]!thsiFinD("ths_adjustment_nv_fund",G$3,$A724))</f>
        <v/>
      </c>
      <c r="H724" s="13" t="str">
        <f>IF($A724="","",[1]!thsiFinD("ths_adjustment_nv_fund",H$3,$A724))</f>
        <v/>
      </c>
      <c r="I724" s="13" t="str">
        <f>IF($A724="","",[1]!thsiFinD("ths_adjustment_nv_fund",I$3,$A724))</f>
        <v/>
      </c>
      <c r="J724" s="13" t="str">
        <f>IF($A724="","",[1]!thsiFinD("ths_adjustment_nv_fund",J$3,$A724))</f>
        <v/>
      </c>
      <c r="K724" s="13" t="str">
        <f>IF($A724="","",[1]!thsiFinD("ths_adjustment_nv_fund",K$3,$A724))</f>
        <v/>
      </c>
      <c r="L724" s="13" t="str">
        <f>IF($A724="","",[1]!thsiFinD("ths_adjustment_nv_fund",L$3,$A724))</f>
        <v/>
      </c>
      <c r="M724" s="13" t="str">
        <f>IF($A724="","",[1]!thsiFinD("ths_adjustment_nv_fund",M$3,$A724))</f>
        <v/>
      </c>
      <c r="N724" s="13" t="str">
        <f>IF($A724="","",[1]!thsiFinD("ths_adjustment_nv_fund",N$3,$A724))</f>
        <v/>
      </c>
      <c r="O724" s="13" t="str">
        <f>IF($A724="","",[1]!thsiFinD("ths_adjustment_nv_fund",O$3,$A724))</f>
        <v/>
      </c>
      <c r="P724" s="13" t="str">
        <f>IF($A724="","",[1]!thsiFinD("ths_adjustment_nv_fund",P$3,$A724))</f>
        <v/>
      </c>
      <c r="Q724" s="13" t="str">
        <f>IF($A724="","",[1]!thsiFinD("ths_adjustment_nv_fund",Q$3,$A724))</f>
        <v/>
      </c>
      <c r="R724" s="13" t="str">
        <f>IF($A724="","",[1]!thsiFinD("ths_adjustment_nv_fund",R$3,$A724))</f>
        <v/>
      </c>
      <c r="S724" s="13" t="str">
        <f>IF($A724="","",[1]!thsiFinD("ths_adjustment_nv_fund",S$3,$A724))</f>
        <v/>
      </c>
      <c r="T724" s="13" t="str">
        <f>IF($A724="","",[1]!thsiFinD("ths_adjustment_nv_fund",T$3,$A724))</f>
        <v/>
      </c>
      <c r="U724" s="13" t="str">
        <f>IF($A724="","",[1]!thsiFinD("ths_adjustment_nv_fund",U$3,$A724))</f>
        <v/>
      </c>
      <c r="V724" s="13" t="str">
        <f>IF($A724="","",[1]!thsiFinD("ths_adjustment_nv_fund",V$3,$A724))</f>
        <v/>
      </c>
      <c r="W724" s="13" t="str">
        <f>IF($A724="","",[1]!thsiFinD("ths_adjustment_nv_fund",W$3,$A724))</f>
        <v/>
      </c>
      <c r="X724" s="13" t="str">
        <f>IF($A724="","",[1]!thsiFinD("ths_adjustment_nv_fund",X$3,$A724))</f>
        <v/>
      </c>
      <c r="Y724" s="13" t="str">
        <f>IF($A724="","",[1]!thsiFinD("ths_adjustment_nv_fund",Y$3,$A724))</f>
        <v/>
      </c>
      <c r="Z724" s="13" t="str">
        <f>IF($A724="","",[1]!thsiFinD("ths_adjustment_nv_fund",Z$3,$A724))</f>
        <v/>
      </c>
      <c r="AA724" s="13" t="str">
        <f>IF($A724="","",[1]!thsiFinD("ths_adjustment_nv_fund",AA$3,$A724))</f>
        <v/>
      </c>
      <c r="AB724" s="13" t="str">
        <f>IF($A724="","",[1]!thsiFinD("ths_adjustment_nv_fund",AB$3,$A724))</f>
        <v/>
      </c>
    </row>
    <row r="725" spans="2:28">
      <c r="B725" s="13" t="str">
        <f>IF($A725="","",[1]!thsiFinD("ths_adjustment_nv_fund",B$3,$A725))</f>
        <v/>
      </c>
      <c r="C725" s="13" t="str">
        <f>IF($A725="","",[1]!thsiFinD("ths_adjustment_nv_fund",C$3,$A725))</f>
        <v/>
      </c>
      <c r="D725" s="13" t="str">
        <f>IF($A725="","",[1]!thsiFinD("ths_adjustment_nv_fund",D$3,$A725))</f>
        <v/>
      </c>
      <c r="E725" s="13" t="str">
        <f>IF($A725="","",[1]!thsiFinD("ths_adjustment_nv_fund",E$3,$A725))</f>
        <v/>
      </c>
      <c r="F725" s="13" t="str">
        <f>IF($A725="","",[1]!thsiFinD("ths_adjustment_nv_fund",F$3,$A725))</f>
        <v/>
      </c>
      <c r="G725" s="13" t="str">
        <f>IF($A725="","",[1]!thsiFinD("ths_adjustment_nv_fund",G$3,$A725))</f>
        <v/>
      </c>
      <c r="H725" s="13" t="str">
        <f>IF($A725="","",[1]!thsiFinD("ths_adjustment_nv_fund",H$3,$A725))</f>
        <v/>
      </c>
      <c r="I725" s="13" t="str">
        <f>IF($A725="","",[1]!thsiFinD("ths_adjustment_nv_fund",I$3,$A725))</f>
        <v/>
      </c>
      <c r="J725" s="13" t="str">
        <f>IF($A725="","",[1]!thsiFinD("ths_adjustment_nv_fund",J$3,$A725))</f>
        <v/>
      </c>
      <c r="K725" s="13" t="str">
        <f>IF($A725="","",[1]!thsiFinD("ths_adjustment_nv_fund",K$3,$A725))</f>
        <v/>
      </c>
      <c r="L725" s="13" t="str">
        <f>IF($A725="","",[1]!thsiFinD("ths_adjustment_nv_fund",L$3,$A725))</f>
        <v/>
      </c>
      <c r="M725" s="13" t="str">
        <f>IF($A725="","",[1]!thsiFinD("ths_adjustment_nv_fund",M$3,$A725))</f>
        <v/>
      </c>
      <c r="N725" s="13" t="str">
        <f>IF($A725="","",[1]!thsiFinD("ths_adjustment_nv_fund",N$3,$A725))</f>
        <v/>
      </c>
      <c r="O725" s="13" t="str">
        <f>IF($A725="","",[1]!thsiFinD("ths_adjustment_nv_fund",O$3,$A725))</f>
        <v/>
      </c>
      <c r="P725" s="13" t="str">
        <f>IF($A725="","",[1]!thsiFinD("ths_adjustment_nv_fund",P$3,$A725))</f>
        <v/>
      </c>
      <c r="Q725" s="13" t="str">
        <f>IF($A725="","",[1]!thsiFinD("ths_adjustment_nv_fund",Q$3,$A725))</f>
        <v/>
      </c>
      <c r="R725" s="13" t="str">
        <f>IF($A725="","",[1]!thsiFinD("ths_adjustment_nv_fund",R$3,$A725))</f>
        <v/>
      </c>
      <c r="S725" s="13" t="str">
        <f>IF($A725="","",[1]!thsiFinD("ths_adjustment_nv_fund",S$3,$A725))</f>
        <v/>
      </c>
      <c r="T725" s="13" t="str">
        <f>IF($A725="","",[1]!thsiFinD("ths_adjustment_nv_fund",T$3,$A725))</f>
        <v/>
      </c>
      <c r="U725" s="13" t="str">
        <f>IF($A725="","",[1]!thsiFinD("ths_adjustment_nv_fund",U$3,$A725))</f>
        <v/>
      </c>
      <c r="V725" s="13" t="str">
        <f>IF($A725="","",[1]!thsiFinD("ths_adjustment_nv_fund",V$3,$A725))</f>
        <v/>
      </c>
      <c r="W725" s="13" t="str">
        <f>IF($A725="","",[1]!thsiFinD("ths_adjustment_nv_fund",W$3,$A725))</f>
        <v/>
      </c>
      <c r="X725" s="13" t="str">
        <f>IF($A725="","",[1]!thsiFinD("ths_adjustment_nv_fund",X$3,$A725))</f>
        <v/>
      </c>
      <c r="Y725" s="13" t="str">
        <f>IF($A725="","",[1]!thsiFinD("ths_adjustment_nv_fund",Y$3,$A725))</f>
        <v/>
      </c>
      <c r="Z725" s="13" t="str">
        <f>IF($A725="","",[1]!thsiFinD("ths_adjustment_nv_fund",Z$3,$A725))</f>
        <v/>
      </c>
      <c r="AA725" s="13" t="str">
        <f>IF($A725="","",[1]!thsiFinD("ths_adjustment_nv_fund",AA$3,$A725))</f>
        <v/>
      </c>
      <c r="AB725" s="13" t="str">
        <f>IF($A725="","",[1]!thsiFinD("ths_adjustment_nv_fund",AB$3,$A725))</f>
        <v/>
      </c>
    </row>
    <row r="726" spans="2:28">
      <c r="B726" s="13" t="str">
        <f>IF($A726="","",[1]!thsiFinD("ths_adjustment_nv_fund",B$3,$A726))</f>
        <v/>
      </c>
      <c r="C726" s="13" t="str">
        <f>IF($A726="","",[1]!thsiFinD("ths_adjustment_nv_fund",C$3,$A726))</f>
        <v/>
      </c>
      <c r="D726" s="13" t="str">
        <f>IF($A726="","",[1]!thsiFinD("ths_adjustment_nv_fund",D$3,$A726))</f>
        <v/>
      </c>
      <c r="E726" s="13" t="str">
        <f>IF($A726="","",[1]!thsiFinD("ths_adjustment_nv_fund",E$3,$A726))</f>
        <v/>
      </c>
      <c r="F726" s="13" t="str">
        <f>IF($A726="","",[1]!thsiFinD("ths_adjustment_nv_fund",F$3,$A726))</f>
        <v/>
      </c>
      <c r="G726" s="13" t="str">
        <f>IF($A726="","",[1]!thsiFinD("ths_adjustment_nv_fund",G$3,$A726))</f>
        <v/>
      </c>
      <c r="H726" s="13" t="str">
        <f>IF($A726="","",[1]!thsiFinD("ths_adjustment_nv_fund",H$3,$A726))</f>
        <v/>
      </c>
      <c r="I726" s="13" t="str">
        <f>IF($A726="","",[1]!thsiFinD("ths_adjustment_nv_fund",I$3,$A726))</f>
        <v/>
      </c>
      <c r="J726" s="13" t="str">
        <f>IF($A726="","",[1]!thsiFinD("ths_adjustment_nv_fund",J$3,$A726))</f>
        <v/>
      </c>
      <c r="K726" s="13" t="str">
        <f>IF($A726="","",[1]!thsiFinD("ths_adjustment_nv_fund",K$3,$A726))</f>
        <v/>
      </c>
      <c r="L726" s="13" t="str">
        <f>IF($A726="","",[1]!thsiFinD("ths_adjustment_nv_fund",L$3,$A726))</f>
        <v/>
      </c>
      <c r="M726" s="13" t="str">
        <f>IF($A726="","",[1]!thsiFinD("ths_adjustment_nv_fund",M$3,$A726))</f>
        <v/>
      </c>
      <c r="N726" s="13" t="str">
        <f>IF($A726="","",[1]!thsiFinD("ths_adjustment_nv_fund",N$3,$A726))</f>
        <v/>
      </c>
      <c r="O726" s="13" t="str">
        <f>IF($A726="","",[1]!thsiFinD("ths_adjustment_nv_fund",O$3,$A726))</f>
        <v/>
      </c>
      <c r="P726" s="13" t="str">
        <f>IF($A726="","",[1]!thsiFinD("ths_adjustment_nv_fund",P$3,$A726))</f>
        <v/>
      </c>
      <c r="Q726" s="13" t="str">
        <f>IF($A726="","",[1]!thsiFinD("ths_adjustment_nv_fund",Q$3,$A726))</f>
        <v/>
      </c>
      <c r="R726" s="13" t="str">
        <f>IF($A726="","",[1]!thsiFinD("ths_adjustment_nv_fund",R$3,$A726))</f>
        <v/>
      </c>
      <c r="S726" s="13" t="str">
        <f>IF($A726="","",[1]!thsiFinD("ths_adjustment_nv_fund",S$3,$A726))</f>
        <v/>
      </c>
      <c r="T726" s="13" t="str">
        <f>IF($A726="","",[1]!thsiFinD("ths_adjustment_nv_fund",T$3,$A726))</f>
        <v/>
      </c>
      <c r="U726" s="13" t="str">
        <f>IF($A726="","",[1]!thsiFinD("ths_adjustment_nv_fund",U$3,$A726))</f>
        <v/>
      </c>
      <c r="V726" s="13" t="str">
        <f>IF($A726="","",[1]!thsiFinD("ths_adjustment_nv_fund",V$3,$A726))</f>
        <v/>
      </c>
      <c r="W726" s="13" t="str">
        <f>IF($A726="","",[1]!thsiFinD("ths_adjustment_nv_fund",W$3,$A726))</f>
        <v/>
      </c>
      <c r="X726" s="13" t="str">
        <f>IF($A726="","",[1]!thsiFinD("ths_adjustment_nv_fund",X$3,$A726))</f>
        <v/>
      </c>
      <c r="Y726" s="13" t="str">
        <f>IF($A726="","",[1]!thsiFinD("ths_adjustment_nv_fund",Y$3,$A726))</f>
        <v/>
      </c>
      <c r="Z726" s="13" t="str">
        <f>IF($A726="","",[1]!thsiFinD("ths_adjustment_nv_fund",Z$3,$A726))</f>
        <v/>
      </c>
      <c r="AA726" s="13" t="str">
        <f>IF($A726="","",[1]!thsiFinD("ths_adjustment_nv_fund",AA$3,$A726))</f>
        <v/>
      </c>
      <c r="AB726" s="13" t="str">
        <f>IF($A726="","",[1]!thsiFinD("ths_adjustment_nv_fund",AB$3,$A726))</f>
        <v/>
      </c>
    </row>
    <row r="727" spans="2:28">
      <c r="B727" s="13" t="str">
        <f>IF($A727="","",[1]!thsiFinD("ths_adjustment_nv_fund",B$3,$A727))</f>
        <v/>
      </c>
      <c r="C727" s="13" t="str">
        <f>IF($A727="","",[1]!thsiFinD("ths_adjustment_nv_fund",C$3,$A727))</f>
        <v/>
      </c>
      <c r="D727" s="13" t="str">
        <f>IF($A727="","",[1]!thsiFinD("ths_adjustment_nv_fund",D$3,$A727))</f>
        <v/>
      </c>
      <c r="E727" s="13" t="str">
        <f>IF($A727="","",[1]!thsiFinD("ths_adjustment_nv_fund",E$3,$A727))</f>
        <v/>
      </c>
      <c r="F727" s="13" t="str">
        <f>IF($A727="","",[1]!thsiFinD("ths_adjustment_nv_fund",F$3,$A727))</f>
        <v/>
      </c>
      <c r="G727" s="13" t="str">
        <f>IF($A727="","",[1]!thsiFinD("ths_adjustment_nv_fund",G$3,$A727))</f>
        <v/>
      </c>
      <c r="H727" s="13" t="str">
        <f>IF($A727="","",[1]!thsiFinD("ths_adjustment_nv_fund",H$3,$A727))</f>
        <v/>
      </c>
      <c r="I727" s="13" t="str">
        <f>IF($A727="","",[1]!thsiFinD("ths_adjustment_nv_fund",I$3,$A727))</f>
        <v/>
      </c>
      <c r="J727" s="13" t="str">
        <f>IF($A727="","",[1]!thsiFinD("ths_adjustment_nv_fund",J$3,$A727))</f>
        <v/>
      </c>
      <c r="K727" s="13" t="str">
        <f>IF($A727="","",[1]!thsiFinD("ths_adjustment_nv_fund",K$3,$A727))</f>
        <v/>
      </c>
      <c r="L727" s="13" t="str">
        <f>IF($A727="","",[1]!thsiFinD("ths_adjustment_nv_fund",L$3,$A727))</f>
        <v/>
      </c>
      <c r="M727" s="13" t="str">
        <f>IF($A727="","",[1]!thsiFinD("ths_adjustment_nv_fund",M$3,$A727))</f>
        <v/>
      </c>
      <c r="N727" s="13" t="str">
        <f>IF($A727="","",[1]!thsiFinD("ths_adjustment_nv_fund",N$3,$A727))</f>
        <v/>
      </c>
      <c r="O727" s="13" t="str">
        <f>IF($A727="","",[1]!thsiFinD("ths_adjustment_nv_fund",O$3,$A727))</f>
        <v/>
      </c>
      <c r="P727" s="13" t="str">
        <f>IF($A727="","",[1]!thsiFinD("ths_adjustment_nv_fund",P$3,$A727))</f>
        <v/>
      </c>
      <c r="Q727" s="13" t="str">
        <f>IF($A727="","",[1]!thsiFinD("ths_adjustment_nv_fund",Q$3,$A727))</f>
        <v/>
      </c>
      <c r="R727" s="13" t="str">
        <f>IF($A727="","",[1]!thsiFinD("ths_adjustment_nv_fund",R$3,$A727))</f>
        <v/>
      </c>
      <c r="S727" s="13" t="str">
        <f>IF($A727="","",[1]!thsiFinD("ths_adjustment_nv_fund",S$3,$A727))</f>
        <v/>
      </c>
      <c r="T727" s="13" t="str">
        <f>IF($A727="","",[1]!thsiFinD("ths_adjustment_nv_fund",T$3,$A727))</f>
        <v/>
      </c>
      <c r="U727" s="13" t="str">
        <f>IF($A727="","",[1]!thsiFinD("ths_adjustment_nv_fund",U$3,$A727))</f>
        <v/>
      </c>
      <c r="V727" s="13" t="str">
        <f>IF($A727="","",[1]!thsiFinD("ths_adjustment_nv_fund",V$3,$A727))</f>
        <v/>
      </c>
      <c r="W727" s="13" t="str">
        <f>IF($A727="","",[1]!thsiFinD("ths_adjustment_nv_fund",W$3,$A727))</f>
        <v/>
      </c>
      <c r="X727" s="13" t="str">
        <f>IF($A727="","",[1]!thsiFinD("ths_adjustment_nv_fund",X$3,$A727))</f>
        <v/>
      </c>
      <c r="Y727" s="13" t="str">
        <f>IF($A727="","",[1]!thsiFinD("ths_adjustment_nv_fund",Y$3,$A727))</f>
        <v/>
      </c>
      <c r="Z727" s="13" t="str">
        <f>IF($A727="","",[1]!thsiFinD("ths_adjustment_nv_fund",Z$3,$A727))</f>
        <v/>
      </c>
      <c r="AA727" s="13" t="str">
        <f>IF($A727="","",[1]!thsiFinD("ths_adjustment_nv_fund",AA$3,$A727))</f>
        <v/>
      </c>
      <c r="AB727" s="13" t="str">
        <f>IF($A727="","",[1]!thsiFinD("ths_adjustment_nv_fund",AB$3,$A727))</f>
        <v/>
      </c>
    </row>
    <row r="728" spans="2:28">
      <c r="B728" s="13" t="str">
        <f>IF($A728="","",[1]!thsiFinD("ths_adjustment_nv_fund",B$3,$A728))</f>
        <v/>
      </c>
      <c r="C728" s="13" t="str">
        <f>IF($A728="","",[1]!thsiFinD("ths_adjustment_nv_fund",C$3,$A728))</f>
        <v/>
      </c>
      <c r="D728" s="13" t="str">
        <f>IF($A728="","",[1]!thsiFinD("ths_adjustment_nv_fund",D$3,$A728))</f>
        <v/>
      </c>
      <c r="E728" s="13" t="str">
        <f>IF($A728="","",[1]!thsiFinD("ths_adjustment_nv_fund",E$3,$A728))</f>
        <v/>
      </c>
      <c r="F728" s="13" t="str">
        <f>IF($A728="","",[1]!thsiFinD("ths_adjustment_nv_fund",F$3,$A728))</f>
        <v/>
      </c>
      <c r="G728" s="13" t="str">
        <f>IF($A728="","",[1]!thsiFinD("ths_adjustment_nv_fund",G$3,$A728))</f>
        <v/>
      </c>
      <c r="H728" s="13" t="str">
        <f>IF($A728="","",[1]!thsiFinD("ths_adjustment_nv_fund",H$3,$A728))</f>
        <v/>
      </c>
      <c r="I728" s="13" t="str">
        <f>IF($A728="","",[1]!thsiFinD("ths_adjustment_nv_fund",I$3,$A728))</f>
        <v/>
      </c>
      <c r="J728" s="13" t="str">
        <f>IF($A728="","",[1]!thsiFinD("ths_adjustment_nv_fund",J$3,$A728))</f>
        <v/>
      </c>
      <c r="K728" s="13" t="str">
        <f>IF($A728="","",[1]!thsiFinD("ths_adjustment_nv_fund",K$3,$A728))</f>
        <v/>
      </c>
      <c r="L728" s="13" t="str">
        <f>IF($A728="","",[1]!thsiFinD("ths_adjustment_nv_fund",L$3,$A728))</f>
        <v/>
      </c>
      <c r="M728" s="13" t="str">
        <f>IF($A728="","",[1]!thsiFinD("ths_adjustment_nv_fund",M$3,$A728))</f>
        <v/>
      </c>
      <c r="N728" s="13" t="str">
        <f>IF($A728="","",[1]!thsiFinD("ths_adjustment_nv_fund",N$3,$A728))</f>
        <v/>
      </c>
      <c r="O728" s="13" t="str">
        <f>IF($A728="","",[1]!thsiFinD("ths_adjustment_nv_fund",O$3,$A728))</f>
        <v/>
      </c>
      <c r="P728" s="13" t="str">
        <f>IF($A728="","",[1]!thsiFinD("ths_adjustment_nv_fund",P$3,$A728))</f>
        <v/>
      </c>
      <c r="Q728" s="13" t="str">
        <f>IF($A728="","",[1]!thsiFinD("ths_adjustment_nv_fund",Q$3,$A728))</f>
        <v/>
      </c>
      <c r="R728" s="13" t="str">
        <f>IF($A728="","",[1]!thsiFinD("ths_adjustment_nv_fund",R$3,$A728))</f>
        <v/>
      </c>
      <c r="S728" s="13" t="str">
        <f>IF($A728="","",[1]!thsiFinD("ths_adjustment_nv_fund",S$3,$A728))</f>
        <v/>
      </c>
      <c r="T728" s="13" t="str">
        <f>IF($A728="","",[1]!thsiFinD("ths_adjustment_nv_fund",T$3,$A728))</f>
        <v/>
      </c>
      <c r="U728" s="13" t="str">
        <f>IF($A728="","",[1]!thsiFinD("ths_adjustment_nv_fund",U$3,$A728))</f>
        <v/>
      </c>
      <c r="V728" s="13" t="str">
        <f>IF($A728="","",[1]!thsiFinD("ths_adjustment_nv_fund",V$3,$A728))</f>
        <v/>
      </c>
      <c r="W728" s="13" t="str">
        <f>IF($A728="","",[1]!thsiFinD("ths_adjustment_nv_fund",W$3,$A728))</f>
        <v/>
      </c>
      <c r="X728" s="13" t="str">
        <f>IF($A728="","",[1]!thsiFinD("ths_adjustment_nv_fund",X$3,$A728))</f>
        <v/>
      </c>
      <c r="Y728" s="13" t="str">
        <f>IF($A728="","",[1]!thsiFinD("ths_adjustment_nv_fund",Y$3,$A728))</f>
        <v/>
      </c>
      <c r="Z728" s="13" t="str">
        <f>IF($A728="","",[1]!thsiFinD("ths_adjustment_nv_fund",Z$3,$A728))</f>
        <v/>
      </c>
      <c r="AA728" s="13" t="str">
        <f>IF($A728="","",[1]!thsiFinD("ths_adjustment_nv_fund",AA$3,$A728))</f>
        <v/>
      </c>
      <c r="AB728" s="13" t="str">
        <f>IF($A728="","",[1]!thsiFinD("ths_adjustment_nv_fund",AB$3,$A728))</f>
        <v/>
      </c>
    </row>
    <row r="729" spans="2:28">
      <c r="B729" s="13" t="str">
        <f>IF($A729="","",[1]!thsiFinD("ths_adjustment_nv_fund",B$3,$A729))</f>
        <v/>
      </c>
      <c r="C729" s="13" t="str">
        <f>IF($A729="","",[1]!thsiFinD("ths_adjustment_nv_fund",C$3,$A729))</f>
        <v/>
      </c>
      <c r="D729" s="13" t="str">
        <f>IF($A729="","",[1]!thsiFinD("ths_adjustment_nv_fund",D$3,$A729))</f>
        <v/>
      </c>
      <c r="E729" s="13" t="str">
        <f>IF($A729="","",[1]!thsiFinD("ths_adjustment_nv_fund",E$3,$A729))</f>
        <v/>
      </c>
      <c r="F729" s="13" t="str">
        <f>IF($A729="","",[1]!thsiFinD("ths_adjustment_nv_fund",F$3,$A729))</f>
        <v/>
      </c>
      <c r="G729" s="13" t="str">
        <f>IF($A729="","",[1]!thsiFinD("ths_adjustment_nv_fund",G$3,$A729))</f>
        <v/>
      </c>
      <c r="H729" s="13" t="str">
        <f>IF($A729="","",[1]!thsiFinD("ths_adjustment_nv_fund",H$3,$A729))</f>
        <v/>
      </c>
      <c r="I729" s="13" t="str">
        <f>IF($A729="","",[1]!thsiFinD("ths_adjustment_nv_fund",I$3,$A729))</f>
        <v/>
      </c>
      <c r="J729" s="13" t="str">
        <f>IF($A729="","",[1]!thsiFinD("ths_adjustment_nv_fund",J$3,$A729))</f>
        <v/>
      </c>
      <c r="K729" s="13" t="str">
        <f>IF($A729="","",[1]!thsiFinD("ths_adjustment_nv_fund",K$3,$A729))</f>
        <v/>
      </c>
      <c r="L729" s="13" t="str">
        <f>IF($A729="","",[1]!thsiFinD("ths_adjustment_nv_fund",L$3,$A729))</f>
        <v/>
      </c>
      <c r="M729" s="13" t="str">
        <f>IF($A729="","",[1]!thsiFinD("ths_adjustment_nv_fund",M$3,$A729))</f>
        <v/>
      </c>
      <c r="N729" s="13" t="str">
        <f>IF($A729="","",[1]!thsiFinD("ths_adjustment_nv_fund",N$3,$A729))</f>
        <v/>
      </c>
      <c r="O729" s="13" t="str">
        <f>IF($A729="","",[1]!thsiFinD("ths_adjustment_nv_fund",O$3,$A729))</f>
        <v/>
      </c>
      <c r="P729" s="13" t="str">
        <f>IF($A729="","",[1]!thsiFinD("ths_adjustment_nv_fund",P$3,$A729))</f>
        <v/>
      </c>
      <c r="Q729" s="13" t="str">
        <f>IF($A729="","",[1]!thsiFinD("ths_adjustment_nv_fund",Q$3,$A729))</f>
        <v/>
      </c>
      <c r="R729" s="13" t="str">
        <f>IF($A729="","",[1]!thsiFinD("ths_adjustment_nv_fund",R$3,$A729))</f>
        <v/>
      </c>
      <c r="S729" s="13" t="str">
        <f>IF($A729="","",[1]!thsiFinD("ths_adjustment_nv_fund",S$3,$A729))</f>
        <v/>
      </c>
      <c r="T729" s="13" t="str">
        <f>IF($A729="","",[1]!thsiFinD("ths_adjustment_nv_fund",T$3,$A729))</f>
        <v/>
      </c>
      <c r="U729" s="13" t="str">
        <f>IF($A729="","",[1]!thsiFinD("ths_adjustment_nv_fund",U$3,$A729))</f>
        <v/>
      </c>
      <c r="V729" s="13" t="str">
        <f>IF($A729="","",[1]!thsiFinD("ths_adjustment_nv_fund",V$3,$A729))</f>
        <v/>
      </c>
      <c r="W729" s="13" t="str">
        <f>IF($A729="","",[1]!thsiFinD("ths_adjustment_nv_fund",W$3,$A729))</f>
        <v/>
      </c>
      <c r="X729" s="13" t="str">
        <f>IF($A729="","",[1]!thsiFinD("ths_adjustment_nv_fund",X$3,$A729))</f>
        <v/>
      </c>
      <c r="Y729" s="13" t="str">
        <f>IF($A729="","",[1]!thsiFinD("ths_adjustment_nv_fund",Y$3,$A729))</f>
        <v/>
      </c>
      <c r="Z729" s="13" t="str">
        <f>IF($A729="","",[1]!thsiFinD("ths_adjustment_nv_fund",Z$3,$A729))</f>
        <v/>
      </c>
      <c r="AA729" s="13" t="str">
        <f>IF($A729="","",[1]!thsiFinD("ths_adjustment_nv_fund",AA$3,$A729))</f>
        <v/>
      </c>
      <c r="AB729" s="13" t="str">
        <f>IF($A729="","",[1]!thsiFinD("ths_adjustment_nv_fund",AB$3,$A729))</f>
        <v/>
      </c>
    </row>
    <row r="730" spans="2:28">
      <c r="B730" s="13" t="str">
        <f>IF($A730="","",[1]!thsiFinD("ths_adjustment_nv_fund",B$3,$A730))</f>
        <v/>
      </c>
      <c r="C730" s="13" t="str">
        <f>IF($A730="","",[1]!thsiFinD("ths_adjustment_nv_fund",C$3,$A730))</f>
        <v/>
      </c>
      <c r="D730" s="13" t="str">
        <f>IF($A730="","",[1]!thsiFinD("ths_adjustment_nv_fund",D$3,$A730))</f>
        <v/>
      </c>
      <c r="E730" s="13" t="str">
        <f>IF($A730="","",[1]!thsiFinD("ths_adjustment_nv_fund",E$3,$A730))</f>
        <v/>
      </c>
      <c r="F730" s="13" t="str">
        <f>IF($A730="","",[1]!thsiFinD("ths_adjustment_nv_fund",F$3,$A730))</f>
        <v/>
      </c>
      <c r="G730" s="13" t="str">
        <f>IF($A730="","",[1]!thsiFinD("ths_adjustment_nv_fund",G$3,$A730))</f>
        <v/>
      </c>
      <c r="H730" s="13" t="str">
        <f>IF($A730="","",[1]!thsiFinD("ths_adjustment_nv_fund",H$3,$A730))</f>
        <v/>
      </c>
      <c r="I730" s="13" t="str">
        <f>IF($A730="","",[1]!thsiFinD("ths_adjustment_nv_fund",I$3,$A730))</f>
        <v/>
      </c>
      <c r="J730" s="13" t="str">
        <f>IF($A730="","",[1]!thsiFinD("ths_adjustment_nv_fund",J$3,$A730))</f>
        <v/>
      </c>
      <c r="K730" s="13" t="str">
        <f>IF($A730="","",[1]!thsiFinD("ths_adjustment_nv_fund",K$3,$A730))</f>
        <v/>
      </c>
      <c r="L730" s="13" t="str">
        <f>IF($A730="","",[1]!thsiFinD("ths_adjustment_nv_fund",L$3,$A730))</f>
        <v/>
      </c>
      <c r="M730" s="13" t="str">
        <f>IF($A730="","",[1]!thsiFinD("ths_adjustment_nv_fund",M$3,$A730))</f>
        <v/>
      </c>
      <c r="N730" s="13" t="str">
        <f>IF($A730="","",[1]!thsiFinD("ths_adjustment_nv_fund",N$3,$A730))</f>
        <v/>
      </c>
      <c r="O730" s="13" t="str">
        <f>IF($A730="","",[1]!thsiFinD("ths_adjustment_nv_fund",O$3,$A730))</f>
        <v/>
      </c>
      <c r="P730" s="13" t="str">
        <f>IF($A730="","",[1]!thsiFinD("ths_adjustment_nv_fund",P$3,$A730))</f>
        <v/>
      </c>
      <c r="Q730" s="13" t="str">
        <f>IF($A730="","",[1]!thsiFinD("ths_adjustment_nv_fund",Q$3,$A730))</f>
        <v/>
      </c>
      <c r="R730" s="13" t="str">
        <f>IF($A730="","",[1]!thsiFinD("ths_adjustment_nv_fund",R$3,$A730))</f>
        <v/>
      </c>
      <c r="S730" s="13" t="str">
        <f>IF($A730="","",[1]!thsiFinD("ths_adjustment_nv_fund",S$3,$A730))</f>
        <v/>
      </c>
      <c r="T730" s="13" t="str">
        <f>IF($A730="","",[1]!thsiFinD("ths_adjustment_nv_fund",T$3,$A730))</f>
        <v/>
      </c>
      <c r="U730" s="13" t="str">
        <f>IF($A730="","",[1]!thsiFinD("ths_adjustment_nv_fund",U$3,$A730))</f>
        <v/>
      </c>
      <c r="V730" s="13" t="str">
        <f>IF($A730="","",[1]!thsiFinD("ths_adjustment_nv_fund",V$3,$A730))</f>
        <v/>
      </c>
      <c r="W730" s="13" t="str">
        <f>IF($A730="","",[1]!thsiFinD("ths_adjustment_nv_fund",W$3,$A730))</f>
        <v/>
      </c>
      <c r="X730" s="13" t="str">
        <f>IF($A730="","",[1]!thsiFinD("ths_adjustment_nv_fund",X$3,$A730))</f>
        <v/>
      </c>
      <c r="Y730" s="13" t="str">
        <f>IF($A730="","",[1]!thsiFinD("ths_adjustment_nv_fund",Y$3,$A730))</f>
        <v/>
      </c>
      <c r="Z730" s="13" t="str">
        <f>IF($A730="","",[1]!thsiFinD("ths_adjustment_nv_fund",Z$3,$A730))</f>
        <v/>
      </c>
      <c r="AA730" s="13" t="str">
        <f>IF($A730="","",[1]!thsiFinD("ths_adjustment_nv_fund",AA$3,$A730))</f>
        <v/>
      </c>
      <c r="AB730" s="13" t="str">
        <f>IF($A730="","",[1]!thsiFinD("ths_adjustment_nv_fund",AB$3,$A730))</f>
        <v/>
      </c>
    </row>
    <row r="731" spans="2:28">
      <c r="B731" s="13" t="str">
        <f>IF($A731="","",[1]!thsiFinD("ths_adjustment_nv_fund",B$3,$A731))</f>
        <v/>
      </c>
      <c r="C731" s="13" t="str">
        <f>IF($A731="","",[1]!thsiFinD("ths_adjustment_nv_fund",C$3,$A731))</f>
        <v/>
      </c>
      <c r="D731" s="13" t="str">
        <f>IF($A731="","",[1]!thsiFinD("ths_adjustment_nv_fund",D$3,$A731))</f>
        <v/>
      </c>
      <c r="E731" s="13" t="str">
        <f>IF($A731="","",[1]!thsiFinD("ths_adjustment_nv_fund",E$3,$A731))</f>
        <v/>
      </c>
      <c r="F731" s="13" t="str">
        <f>IF($A731="","",[1]!thsiFinD("ths_adjustment_nv_fund",F$3,$A731))</f>
        <v/>
      </c>
      <c r="G731" s="13" t="str">
        <f>IF($A731="","",[1]!thsiFinD("ths_adjustment_nv_fund",G$3,$A731))</f>
        <v/>
      </c>
      <c r="H731" s="13" t="str">
        <f>IF($A731="","",[1]!thsiFinD("ths_adjustment_nv_fund",H$3,$A731))</f>
        <v/>
      </c>
      <c r="I731" s="13" t="str">
        <f>IF($A731="","",[1]!thsiFinD("ths_adjustment_nv_fund",I$3,$A731))</f>
        <v/>
      </c>
      <c r="J731" s="13" t="str">
        <f>IF($A731="","",[1]!thsiFinD("ths_adjustment_nv_fund",J$3,$A731))</f>
        <v/>
      </c>
      <c r="K731" s="13" t="str">
        <f>IF($A731="","",[1]!thsiFinD("ths_adjustment_nv_fund",K$3,$A731))</f>
        <v/>
      </c>
      <c r="L731" s="13" t="str">
        <f>IF($A731="","",[1]!thsiFinD("ths_adjustment_nv_fund",L$3,$A731))</f>
        <v/>
      </c>
      <c r="M731" s="13" t="str">
        <f>IF($A731="","",[1]!thsiFinD("ths_adjustment_nv_fund",M$3,$A731))</f>
        <v/>
      </c>
      <c r="N731" s="13" t="str">
        <f>IF($A731="","",[1]!thsiFinD("ths_adjustment_nv_fund",N$3,$A731))</f>
        <v/>
      </c>
      <c r="O731" s="13" t="str">
        <f>IF($A731="","",[1]!thsiFinD("ths_adjustment_nv_fund",O$3,$A731))</f>
        <v/>
      </c>
      <c r="P731" s="13" t="str">
        <f>IF($A731="","",[1]!thsiFinD("ths_adjustment_nv_fund",P$3,$A731))</f>
        <v/>
      </c>
      <c r="Q731" s="13" t="str">
        <f>IF($A731="","",[1]!thsiFinD("ths_adjustment_nv_fund",Q$3,$A731))</f>
        <v/>
      </c>
      <c r="R731" s="13" t="str">
        <f>IF($A731="","",[1]!thsiFinD("ths_adjustment_nv_fund",R$3,$A731))</f>
        <v/>
      </c>
      <c r="S731" s="13" t="str">
        <f>IF($A731="","",[1]!thsiFinD("ths_adjustment_nv_fund",S$3,$A731))</f>
        <v/>
      </c>
      <c r="T731" s="13" t="str">
        <f>IF($A731="","",[1]!thsiFinD("ths_adjustment_nv_fund",T$3,$A731))</f>
        <v/>
      </c>
      <c r="U731" s="13" t="str">
        <f>IF($A731="","",[1]!thsiFinD("ths_adjustment_nv_fund",U$3,$A731))</f>
        <v/>
      </c>
      <c r="V731" s="13" t="str">
        <f>IF($A731="","",[1]!thsiFinD("ths_adjustment_nv_fund",V$3,$A731))</f>
        <v/>
      </c>
      <c r="W731" s="13" t="str">
        <f>IF($A731="","",[1]!thsiFinD("ths_adjustment_nv_fund",W$3,$A731))</f>
        <v/>
      </c>
      <c r="X731" s="13" t="str">
        <f>IF($A731="","",[1]!thsiFinD("ths_adjustment_nv_fund",X$3,$A731))</f>
        <v/>
      </c>
      <c r="Y731" s="13" t="str">
        <f>IF($A731="","",[1]!thsiFinD("ths_adjustment_nv_fund",Y$3,$A731))</f>
        <v/>
      </c>
      <c r="Z731" s="13" t="str">
        <f>IF($A731="","",[1]!thsiFinD("ths_adjustment_nv_fund",Z$3,$A731))</f>
        <v/>
      </c>
      <c r="AA731" s="13" t="str">
        <f>IF($A731="","",[1]!thsiFinD("ths_adjustment_nv_fund",AA$3,$A731))</f>
        <v/>
      </c>
      <c r="AB731" s="13" t="str">
        <f>IF($A731="","",[1]!thsiFinD("ths_adjustment_nv_fund",AB$3,$A731))</f>
        <v/>
      </c>
    </row>
    <row r="732" spans="2:28">
      <c r="B732" s="13" t="str">
        <f>IF($A732="","",[1]!thsiFinD("ths_adjustment_nv_fund",B$3,$A732))</f>
        <v/>
      </c>
      <c r="C732" s="13" t="str">
        <f>IF($A732="","",[1]!thsiFinD("ths_adjustment_nv_fund",C$3,$A732))</f>
        <v/>
      </c>
      <c r="D732" s="13" t="str">
        <f>IF($A732="","",[1]!thsiFinD("ths_adjustment_nv_fund",D$3,$A732))</f>
        <v/>
      </c>
      <c r="E732" s="13" t="str">
        <f>IF($A732="","",[1]!thsiFinD("ths_adjustment_nv_fund",E$3,$A732))</f>
        <v/>
      </c>
      <c r="F732" s="13" t="str">
        <f>IF($A732="","",[1]!thsiFinD("ths_adjustment_nv_fund",F$3,$A732))</f>
        <v/>
      </c>
      <c r="G732" s="13" t="str">
        <f>IF($A732="","",[1]!thsiFinD("ths_adjustment_nv_fund",G$3,$A732))</f>
        <v/>
      </c>
      <c r="H732" s="13" t="str">
        <f>IF($A732="","",[1]!thsiFinD("ths_adjustment_nv_fund",H$3,$A732))</f>
        <v/>
      </c>
      <c r="I732" s="13" t="str">
        <f>IF($A732="","",[1]!thsiFinD("ths_adjustment_nv_fund",I$3,$A732))</f>
        <v/>
      </c>
      <c r="J732" s="13" t="str">
        <f>IF($A732="","",[1]!thsiFinD("ths_adjustment_nv_fund",J$3,$A732))</f>
        <v/>
      </c>
      <c r="K732" s="13" t="str">
        <f>IF($A732="","",[1]!thsiFinD("ths_adjustment_nv_fund",K$3,$A732))</f>
        <v/>
      </c>
      <c r="L732" s="13" t="str">
        <f>IF($A732="","",[1]!thsiFinD("ths_adjustment_nv_fund",L$3,$A732))</f>
        <v/>
      </c>
      <c r="M732" s="13" t="str">
        <f>IF($A732="","",[1]!thsiFinD("ths_adjustment_nv_fund",M$3,$A732))</f>
        <v/>
      </c>
      <c r="N732" s="13" t="str">
        <f>IF($A732="","",[1]!thsiFinD("ths_adjustment_nv_fund",N$3,$A732))</f>
        <v/>
      </c>
      <c r="O732" s="13" t="str">
        <f>IF($A732="","",[1]!thsiFinD("ths_adjustment_nv_fund",O$3,$A732))</f>
        <v/>
      </c>
      <c r="P732" s="13" t="str">
        <f>IF($A732="","",[1]!thsiFinD("ths_adjustment_nv_fund",P$3,$A732))</f>
        <v/>
      </c>
      <c r="Q732" s="13" t="str">
        <f>IF($A732="","",[1]!thsiFinD("ths_adjustment_nv_fund",Q$3,$A732))</f>
        <v/>
      </c>
      <c r="R732" s="13" t="str">
        <f>IF($A732="","",[1]!thsiFinD("ths_adjustment_nv_fund",R$3,$A732))</f>
        <v/>
      </c>
      <c r="S732" s="13" t="str">
        <f>IF($A732="","",[1]!thsiFinD("ths_adjustment_nv_fund",S$3,$A732))</f>
        <v/>
      </c>
      <c r="T732" s="13" t="str">
        <f>IF($A732="","",[1]!thsiFinD("ths_adjustment_nv_fund",T$3,$A732))</f>
        <v/>
      </c>
      <c r="U732" s="13" t="str">
        <f>IF($A732="","",[1]!thsiFinD("ths_adjustment_nv_fund",U$3,$A732))</f>
        <v/>
      </c>
      <c r="V732" s="13" t="str">
        <f>IF($A732="","",[1]!thsiFinD("ths_adjustment_nv_fund",V$3,$A732))</f>
        <v/>
      </c>
      <c r="W732" s="13" t="str">
        <f>IF($A732="","",[1]!thsiFinD("ths_adjustment_nv_fund",W$3,$A732))</f>
        <v/>
      </c>
      <c r="X732" s="13" t="str">
        <f>IF($A732="","",[1]!thsiFinD("ths_adjustment_nv_fund",X$3,$A732))</f>
        <v/>
      </c>
      <c r="Y732" s="13" t="str">
        <f>IF($A732="","",[1]!thsiFinD("ths_adjustment_nv_fund",Y$3,$A732))</f>
        <v/>
      </c>
      <c r="Z732" s="13" t="str">
        <f>IF($A732="","",[1]!thsiFinD("ths_adjustment_nv_fund",Z$3,$A732))</f>
        <v/>
      </c>
      <c r="AA732" s="13" t="str">
        <f>IF($A732="","",[1]!thsiFinD("ths_adjustment_nv_fund",AA$3,$A732))</f>
        <v/>
      </c>
      <c r="AB732" s="13" t="str">
        <f>IF($A732="","",[1]!thsiFinD("ths_adjustment_nv_fund",AB$3,$A732))</f>
        <v/>
      </c>
    </row>
    <row r="733" spans="2:28">
      <c r="B733" s="13" t="str">
        <f>IF($A733="","",[1]!thsiFinD("ths_adjustment_nv_fund",B$3,$A733))</f>
        <v/>
      </c>
      <c r="C733" s="13" t="str">
        <f>IF($A733="","",[1]!thsiFinD("ths_adjustment_nv_fund",C$3,$A733))</f>
        <v/>
      </c>
      <c r="D733" s="13" t="str">
        <f>IF($A733="","",[1]!thsiFinD("ths_adjustment_nv_fund",D$3,$A733))</f>
        <v/>
      </c>
      <c r="E733" s="13" t="str">
        <f>IF($A733="","",[1]!thsiFinD("ths_adjustment_nv_fund",E$3,$A733))</f>
        <v/>
      </c>
      <c r="F733" s="13" t="str">
        <f>IF($A733="","",[1]!thsiFinD("ths_adjustment_nv_fund",F$3,$A733))</f>
        <v/>
      </c>
      <c r="G733" s="13" t="str">
        <f>IF($A733="","",[1]!thsiFinD("ths_adjustment_nv_fund",G$3,$A733))</f>
        <v/>
      </c>
      <c r="H733" s="13" t="str">
        <f>IF($A733="","",[1]!thsiFinD("ths_adjustment_nv_fund",H$3,$A733))</f>
        <v/>
      </c>
      <c r="I733" s="13" t="str">
        <f>IF($A733="","",[1]!thsiFinD("ths_adjustment_nv_fund",I$3,$A733))</f>
        <v/>
      </c>
      <c r="J733" s="13" t="str">
        <f>IF($A733="","",[1]!thsiFinD("ths_adjustment_nv_fund",J$3,$A733))</f>
        <v/>
      </c>
      <c r="K733" s="13" t="str">
        <f>IF($A733="","",[1]!thsiFinD("ths_adjustment_nv_fund",K$3,$A733))</f>
        <v/>
      </c>
      <c r="L733" s="13" t="str">
        <f>IF($A733="","",[1]!thsiFinD("ths_adjustment_nv_fund",L$3,$A733))</f>
        <v/>
      </c>
      <c r="M733" s="13" t="str">
        <f>IF($A733="","",[1]!thsiFinD("ths_adjustment_nv_fund",M$3,$A733))</f>
        <v/>
      </c>
      <c r="N733" s="13" t="str">
        <f>IF($A733="","",[1]!thsiFinD("ths_adjustment_nv_fund",N$3,$A733))</f>
        <v/>
      </c>
      <c r="O733" s="13" t="str">
        <f>IF($A733="","",[1]!thsiFinD("ths_adjustment_nv_fund",O$3,$A733))</f>
        <v/>
      </c>
      <c r="P733" s="13" t="str">
        <f>IF($A733="","",[1]!thsiFinD("ths_adjustment_nv_fund",P$3,$A733))</f>
        <v/>
      </c>
      <c r="Q733" s="13" t="str">
        <f>IF($A733="","",[1]!thsiFinD("ths_adjustment_nv_fund",Q$3,$A733))</f>
        <v/>
      </c>
      <c r="R733" s="13" t="str">
        <f>IF($A733="","",[1]!thsiFinD("ths_adjustment_nv_fund",R$3,$A733))</f>
        <v/>
      </c>
      <c r="S733" s="13" t="str">
        <f>IF($A733="","",[1]!thsiFinD("ths_adjustment_nv_fund",S$3,$A733))</f>
        <v/>
      </c>
      <c r="T733" s="13" t="str">
        <f>IF($A733="","",[1]!thsiFinD("ths_adjustment_nv_fund",T$3,$A733))</f>
        <v/>
      </c>
      <c r="U733" s="13" t="str">
        <f>IF($A733="","",[1]!thsiFinD("ths_adjustment_nv_fund",U$3,$A733))</f>
        <v/>
      </c>
      <c r="V733" s="13" t="str">
        <f>IF($A733="","",[1]!thsiFinD("ths_adjustment_nv_fund",V$3,$A733))</f>
        <v/>
      </c>
      <c r="W733" s="13" t="str">
        <f>IF($A733="","",[1]!thsiFinD("ths_adjustment_nv_fund",W$3,$A733))</f>
        <v/>
      </c>
      <c r="X733" s="13" t="str">
        <f>IF($A733="","",[1]!thsiFinD("ths_adjustment_nv_fund",X$3,$A733))</f>
        <v/>
      </c>
      <c r="Y733" s="13" t="str">
        <f>IF($A733="","",[1]!thsiFinD("ths_adjustment_nv_fund",Y$3,$A733))</f>
        <v/>
      </c>
      <c r="Z733" s="13" t="str">
        <f>IF($A733="","",[1]!thsiFinD("ths_adjustment_nv_fund",Z$3,$A733))</f>
        <v/>
      </c>
      <c r="AA733" s="13" t="str">
        <f>IF($A733="","",[1]!thsiFinD("ths_adjustment_nv_fund",AA$3,$A733))</f>
        <v/>
      </c>
      <c r="AB733" s="13" t="str">
        <f>IF($A733="","",[1]!thsiFinD("ths_adjustment_nv_fund",AB$3,$A733))</f>
        <v/>
      </c>
    </row>
    <row r="734" spans="2:28">
      <c r="B734" s="13" t="str">
        <f>IF($A734="","",[1]!thsiFinD("ths_adjustment_nv_fund",B$3,$A734))</f>
        <v/>
      </c>
      <c r="C734" s="13" t="str">
        <f>IF($A734="","",[1]!thsiFinD("ths_adjustment_nv_fund",C$3,$A734))</f>
        <v/>
      </c>
      <c r="D734" s="13" t="str">
        <f>IF($A734="","",[1]!thsiFinD("ths_adjustment_nv_fund",D$3,$A734))</f>
        <v/>
      </c>
      <c r="E734" s="13" t="str">
        <f>IF($A734="","",[1]!thsiFinD("ths_adjustment_nv_fund",E$3,$A734))</f>
        <v/>
      </c>
      <c r="F734" s="13" t="str">
        <f>IF($A734="","",[1]!thsiFinD("ths_adjustment_nv_fund",F$3,$A734))</f>
        <v/>
      </c>
      <c r="G734" s="13" t="str">
        <f>IF($A734="","",[1]!thsiFinD("ths_adjustment_nv_fund",G$3,$A734))</f>
        <v/>
      </c>
      <c r="H734" s="13" t="str">
        <f>IF($A734="","",[1]!thsiFinD("ths_adjustment_nv_fund",H$3,$A734))</f>
        <v/>
      </c>
      <c r="I734" s="13" t="str">
        <f>IF($A734="","",[1]!thsiFinD("ths_adjustment_nv_fund",I$3,$A734))</f>
        <v/>
      </c>
      <c r="J734" s="13" t="str">
        <f>IF($A734="","",[1]!thsiFinD("ths_adjustment_nv_fund",J$3,$A734))</f>
        <v/>
      </c>
      <c r="K734" s="13" t="str">
        <f>IF($A734="","",[1]!thsiFinD("ths_adjustment_nv_fund",K$3,$A734))</f>
        <v/>
      </c>
      <c r="L734" s="13" t="str">
        <f>IF($A734="","",[1]!thsiFinD("ths_adjustment_nv_fund",L$3,$A734))</f>
        <v/>
      </c>
      <c r="M734" s="13" t="str">
        <f>IF($A734="","",[1]!thsiFinD("ths_adjustment_nv_fund",M$3,$A734))</f>
        <v/>
      </c>
      <c r="N734" s="13" t="str">
        <f>IF($A734="","",[1]!thsiFinD("ths_adjustment_nv_fund",N$3,$A734))</f>
        <v/>
      </c>
      <c r="O734" s="13" t="str">
        <f>IF($A734="","",[1]!thsiFinD("ths_adjustment_nv_fund",O$3,$A734))</f>
        <v/>
      </c>
      <c r="P734" s="13" t="str">
        <f>IF($A734="","",[1]!thsiFinD("ths_adjustment_nv_fund",P$3,$A734))</f>
        <v/>
      </c>
      <c r="Q734" s="13" t="str">
        <f>IF($A734="","",[1]!thsiFinD("ths_adjustment_nv_fund",Q$3,$A734))</f>
        <v/>
      </c>
      <c r="R734" s="13" t="str">
        <f>IF($A734="","",[1]!thsiFinD("ths_adjustment_nv_fund",R$3,$A734))</f>
        <v/>
      </c>
      <c r="S734" s="13" t="str">
        <f>IF($A734="","",[1]!thsiFinD("ths_adjustment_nv_fund",S$3,$A734))</f>
        <v/>
      </c>
      <c r="T734" s="13" t="str">
        <f>IF($A734="","",[1]!thsiFinD("ths_adjustment_nv_fund",T$3,$A734))</f>
        <v/>
      </c>
      <c r="U734" s="13" t="str">
        <f>IF($A734="","",[1]!thsiFinD("ths_adjustment_nv_fund",U$3,$A734))</f>
        <v/>
      </c>
      <c r="V734" s="13" t="str">
        <f>IF($A734="","",[1]!thsiFinD("ths_adjustment_nv_fund",V$3,$A734))</f>
        <v/>
      </c>
      <c r="W734" s="13" t="str">
        <f>IF($A734="","",[1]!thsiFinD("ths_adjustment_nv_fund",W$3,$A734))</f>
        <v/>
      </c>
      <c r="X734" s="13" t="str">
        <f>IF($A734="","",[1]!thsiFinD("ths_adjustment_nv_fund",X$3,$A734))</f>
        <v/>
      </c>
      <c r="Y734" s="13" t="str">
        <f>IF($A734="","",[1]!thsiFinD("ths_adjustment_nv_fund",Y$3,$A734))</f>
        <v/>
      </c>
      <c r="Z734" s="13" t="str">
        <f>IF($A734="","",[1]!thsiFinD("ths_adjustment_nv_fund",Z$3,$A734))</f>
        <v/>
      </c>
      <c r="AA734" s="13" t="str">
        <f>IF($A734="","",[1]!thsiFinD("ths_adjustment_nv_fund",AA$3,$A734))</f>
        <v/>
      </c>
      <c r="AB734" s="13" t="str">
        <f>IF($A734="","",[1]!thsiFinD("ths_adjustment_nv_fund",AB$3,$A734))</f>
        <v/>
      </c>
    </row>
    <row r="735" spans="2:28">
      <c r="B735" s="13" t="str">
        <f>IF($A735="","",[1]!thsiFinD("ths_adjustment_nv_fund",B$3,$A735))</f>
        <v/>
      </c>
      <c r="C735" s="13" t="str">
        <f>IF($A735="","",[1]!thsiFinD("ths_adjustment_nv_fund",C$3,$A735))</f>
        <v/>
      </c>
      <c r="D735" s="13" t="str">
        <f>IF($A735="","",[1]!thsiFinD("ths_adjustment_nv_fund",D$3,$A735))</f>
        <v/>
      </c>
      <c r="E735" s="13" t="str">
        <f>IF($A735="","",[1]!thsiFinD("ths_adjustment_nv_fund",E$3,$A735))</f>
        <v/>
      </c>
      <c r="F735" s="13" t="str">
        <f>IF($A735="","",[1]!thsiFinD("ths_adjustment_nv_fund",F$3,$A735))</f>
        <v/>
      </c>
      <c r="G735" s="13" t="str">
        <f>IF($A735="","",[1]!thsiFinD("ths_adjustment_nv_fund",G$3,$A735))</f>
        <v/>
      </c>
      <c r="H735" s="13" t="str">
        <f>IF($A735="","",[1]!thsiFinD("ths_adjustment_nv_fund",H$3,$A735))</f>
        <v/>
      </c>
      <c r="I735" s="13" t="str">
        <f>IF($A735="","",[1]!thsiFinD("ths_adjustment_nv_fund",I$3,$A735))</f>
        <v/>
      </c>
      <c r="J735" s="13" t="str">
        <f>IF($A735="","",[1]!thsiFinD("ths_adjustment_nv_fund",J$3,$A735))</f>
        <v/>
      </c>
      <c r="K735" s="13" t="str">
        <f>IF($A735="","",[1]!thsiFinD("ths_adjustment_nv_fund",K$3,$A735))</f>
        <v/>
      </c>
      <c r="L735" s="13" t="str">
        <f>IF($A735="","",[1]!thsiFinD("ths_adjustment_nv_fund",L$3,$A735))</f>
        <v/>
      </c>
      <c r="M735" s="13" t="str">
        <f>IF($A735="","",[1]!thsiFinD("ths_adjustment_nv_fund",M$3,$A735))</f>
        <v/>
      </c>
      <c r="N735" s="13" t="str">
        <f>IF($A735="","",[1]!thsiFinD("ths_adjustment_nv_fund",N$3,$A735))</f>
        <v/>
      </c>
      <c r="O735" s="13" t="str">
        <f>IF($A735="","",[1]!thsiFinD("ths_adjustment_nv_fund",O$3,$A735))</f>
        <v/>
      </c>
      <c r="P735" s="13" t="str">
        <f>IF($A735="","",[1]!thsiFinD("ths_adjustment_nv_fund",P$3,$A735))</f>
        <v/>
      </c>
      <c r="Q735" s="13" t="str">
        <f>IF($A735="","",[1]!thsiFinD("ths_adjustment_nv_fund",Q$3,$A735))</f>
        <v/>
      </c>
      <c r="R735" s="13" t="str">
        <f>IF($A735="","",[1]!thsiFinD("ths_adjustment_nv_fund",R$3,$A735))</f>
        <v/>
      </c>
      <c r="S735" s="13" t="str">
        <f>IF($A735="","",[1]!thsiFinD("ths_adjustment_nv_fund",S$3,$A735))</f>
        <v/>
      </c>
      <c r="T735" s="13" t="str">
        <f>IF($A735="","",[1]!thsiFinD("ths_adjustment_nv_fund",T$3,$A735))</f>
        <v/>
      </c>
      <c r="U735" s="13" t="str">
        <f>IF($A735="","",[1]!thsiFinD("ths_adjustment_nv_fund",U$3,$A735))</f>
        <v/>
      </c>
      <c r="V735" s="13" t="str">
        <f>IF($A735="","",[1]!thsiFinD("ths_adjustment_nv_fund",V$3,$A735))</f>
        <v/>
      </c>
      <c r="W735" s="13" t="str">
        <f>IF($A735="","",[1]!thsiFinD("ths_adjustment_nv_fund",W$3,$A735))</f>
        <v/>
      </c>
      <c r="X735" s="13" t="str">
        <f>IF($A735="","",[1]!thsiFinD("ths_adjustment_nv_fund",X$3,$A735))</f>
        <v/>
      </c>
      <c r="Y735" s="13" t="str">
        <f>IF($A735="","",[1]!thsiFinD("ths_adjustment_nv_fund",Y$3,$A735))</f>
        <v/>
      </c>
      <c r="Z735" s="13" t="str">
        <f>IF($A735="","",[1]!thsiFinD("ths_adjustment_nv_fund",Z$3,$A735))</f>
        <v/>
      </c>
      <c r="AA735" s="13" t="str">
        <f>IF($A735="","",[1]!thsiFinD("ths_adjustment_nv_fund",AA$3,$A735))</f>
        <v/>
      </c>
      <c r="AB735" s="13" t="str">
        <f>IF($A735="","",[1]!thsiFinD("ths_adjustment_nv_fund",AB$3,$A735))</f>
        <v/>
      </c>
    </row>
    <row r="736" spans="2:28">
      <c r="B736" s="13" t="str">
        <f>IF($A736="","",[1]!thsiFinD("ths_adjustment_nv_fund",B$3,$A736))</f>
        <v/>
      </c>
      <c r="C736" s="13" t="str">
        <f>IF($A736="","",[1]!thsiFinD("ths_adjustment_nv_fund",C$3,$A736))</f>
        <v/>
      </c>
      <c r="D736" s="13" t="str">
        <f>IF($A736="","",[1]!thsiFinD("ths_adjustment_nv_fund",D$3,$A736))</f>
        <v/>
      </c>
      <c r="E736" s="13" t="str">
        <f>IF($A736="","",[1]!thsiFinD("ths_adjustment_nv_fund",E$3,$A736))</f>
        <v/>
      </c>
      <c r="F736" s="13" t="str">
        <f>IF($A736="","",[1]!thsiFinD("ths_adjustment_nv_fund",F$3,$A736))</f>
        <v/>
      </c>
      <c r="G736" s="13" t="str">
        <f>IF($A736="","",[1]!thsiFinD("ths_adjustment_nv_fund",G$3,$A736))</f>
        <v/>
      </c>
      <c r="H736" s="13" t="str">
        <f>IF($A736="","",[1]!thsiFinD("ths_adjustment_nv_fund",H$3,$A736))</f>
        <v/>
      </c>
      <c r="I736" s="13" t="str">
        <f>IF($A736="","",[1]!thsiFinD("ths_adjustment_nv_fund",I$3,$A736))</f>
        <v/>
      </c>
      <c r="J736" s="13" t="str">
        <f>IF($A736="","",[1]!thsiFinD("ths_adjustment_nv_fund",J$3,$A736))</f>
        <v/>
      </c>
      <c r="K736" s="13" t="str">
        <f>IF($A736="","",[1]!thsiFinD("ths_adjustment_nv_fund",K$3,$A736))</f>
        <v/>
      </c>
      <c r="L736" s="13" t="str">
        <f>IF($A736="","",[1]!thsiFinD("ths_adjustment_nv_fund",L$3,$A736))</f>
        <v/>
      </c>
      <c r="M736" s="13" t="str">
        <f>IF($A736="","",[1]!thsiFinD("ths_adjustment_nv_fund",M$3,$A736))</f>
        <v/>
      </c>
      <c r="N736" s="13" t="str">
        <f>IF($A736="","",[1]!thsiFinD("ths_adjustment_nv_fund",N$3,$A736))</f>
        <v/>
      </c>
      <c r="O736" s="13" t="str">
        <f>IF($A736="","",[1]!thsiFinD("ths_adjustment_nv_fund",O$3,$A736))</f>
        <v/>
      </c>
      <c r="P736" s="13" t="str">
        <f>IF($A736="","",[1]!thsiFinD("ths_adjustment_nv_fund",P$3,$A736))</f>
        <v/>
      </c>
      <c r="Q736" s="13" t="str">
        <f>IF($A736="","",[1]!thsiFinD("ths_adjustment_nv_fund",Q$3,$A736))</f>
        <v/>
      </c>
      <c r="R736" s="13" t="str">
        <f>IF($A736="","",[1]!thsiFinD("ths_adjustment_nv_fund",R$3,$A736))</f>
        <v/>
      </c>
      <c r="S736" s="13" t="str">
        <f>IF($A736="","",[1]!thsiFinD("ths_adjustment_nv_fund",S$3,$A736))</f>
        <v/>
      </c>
      <c r="T736" s="13" t="str">
        <f>IF($A736="","",[1]!thsiFinD("ths_adjustment_nv_fund",T$3,$A736))</f>
        <v/>
      </c>
      <c r="U736" s="13" t="str">
        <f>IF($A736="","",[1]!thsiFinD("ths_adjustment_nv_fund",U$3,$A736))</f>
        <v/>
      </c>
      <c r="V736" s="13" t="str">
        <f>IF($A736="","",[1]!thsiFinD("ths_adjustment_nv_fund",V$3,$A736))</f>
        <v/>
      </c>
      <c r="W736" s="13" t="str">
        <f>IF($A736="","",[1]!thsiFinD("ths_adjustment_nv_fund",W$3,$A736))</f>
        <v/>
      </c>
      <c r="X736" s="13" t="str">
        <f>IF($A736="","",[1]!thsiFinD("ths_adjustment_nv_fund",X$3,$A736))</f>
        <v/>
      </c>
      <c r="Y736" s="13" t="str">
        <f>IF($A736="","",[1]!thsiFinD("ths_adjustment_nv_fund",Y$3,$A736))</f>
        <v/>
      </c>
      <c r="Z736" s="13" t="str">
        <f>IF($A736="","",[1]!thsiFinD("ths_adjustment_nv_fund",Z$3,$A736))</f>
        <v/>
      </c>
      <c r="AA736" s="13" t="str">
        <f>IF($A736="","",[1]!thsiFinD("ths_adjustment_nv_fund",AA$3,$A736))</f>
        <v/>
      </c>
      <c r="AB736" s="13" t="str">
        <f>IF($A736="","",[1]!thsiFinD("ths_adjustment_nv_fund",AB$3,$A736))</f>
        <v/>
      </c>
    </row>
    <row r="737" spans="2:28">
      <c r="B737" s="13" t="str">
        <f>IF($A737="","",[1]!thsiFinD("ths_adjustment_nv_fund",B$3,$A737))</f>
        <v/>
      </c>
      <c r="C737" s="13" t="str">
        <f>IF($A737="","",[1]!thsiFinD("ths_adjustment_nv_fund",C$3,$A737))</f>
        <v/>
      </c>
      <c r="D737" s="13" t="str">
        <f>IF($A737="","",[1]!thsiFinD("ths_adjustment_nv_fund",D$3,$A737))</f>
        <v/>
      </c>
      <c r="E737" s="13" t="str">
        <f>IF($A737="","",[1]!thsiFinD("ths_adjustment_nv_fund",E$3,$A737))</f>
        <v/>
      </c>
      <c r="F737" s="13" t="str">
        <f>IF($A737="","",[1]!thsiFinD("ths_adjustment_nv_fund",F$3,$A737))</f>
        <v/>
      </c>
      <c r="G737" s="13" t="str">
        <f>IF($A737="","",[1]!thsiFinD("ths_adjustment_nv_fund",G$3,$A737))</f>
        <v/>
      </c>
      <c r="H737" s="13" t="str">
        <f>IF($A737="","",[1]!thsiFinD("ths_adjustment_nv_fund",H$3,$A737))</f>
        <v/>
      </c>
      <c r="I737" s="13" t="str">
        <f>IF($A737="","",[1]!thsiFinD("ths_adjustment_nv_fund",I$3,$A737))</f>
        <v/>
      </c>
      <c r="J737" s="13" t="str">
        <f>IF($A737="","",[1]!thsiFinD("ths_adjustment_nv_fund",J$3,$A737))</f>
        <v/>
      </c>
      <c r="K737" s="13" t="str">
        <f>IF($A737="","",[1]!thsiFinD("ths_adjustment_nv_fund",K$3,$A737))</f>
        <v/>
      </c>
      <c r="L737" s="13" t="str">
        <f>IF($A737="","",[1]!thsiFinD("ths_adjustment_nv_fund",L$3,$A737))</f>
        <v/>
      </c>
      <c r="M737" s="13" t="str">
        <f>IF($A737="","",[1]!thsiFinD("ths_adjustment_nv_fund",M$3,$A737))</f>
        <v/>
      </c>
      <c r="N737" s="13" t="str">
        <f>IF($A737="","",[1]!thsiFinD("ths_adjustment_nv_fund",N$3,$A737))</f>
        <v/>
      </c>
      <c r="O737" s="13" t="str">
        <f>IF($A737="","",[1]!thsiFinD("ths_adjustment_nv_fund",O$3,$A737))</f>
        <v/>
      </c>
      <c r="P737" s="13" t="str">
        <f>IF($A737="","",[1]!thsiFinD("ths_adjustment_nv_fund",P$3,$A737))</f>
        <v/>
      </c>
      <c r="Q737" s="13" t="str">
        <f>IF($A737="","",[1]!thsiFinD("ths_adjustment_nv_fund",Q$3,$A737))</f>
        <v/>
      </c>
      <c r="R737" s="13" t="str">
        <f>IF($A737="","",[1]!thsiFinD("ths_adjustment_nv_fund",R$3,$A737))</f>
        <v/>
      </c>
      <c r="S737" s="13" t="str">
        <f>IF($A737="","",[1]!thsiFinD("ths_adjustment_nv_fund",S$3,$A737))</f>
        <v/>
      </c>
      <c r="T737" s="13" t="str">
        <f>IF($A737="","",[1]!thsiFinD("ths_adjustment_nv_fund",T$3,$A737))</f>
        <v/>
      </c>
      <c r="U737" s="13" t="str">
        <f>IF($A737="","",[1]!thsiFinD("ths_adjustment_nv_fund",U$3,$A737))</f>
        <v/>
      </c>
      <c r="V737" s="13" t="str">
        <f>IF($A737="","",[1]!thsiFinD("ths_adjustment_nv_fund",V$3,$A737))</f>
        <v/>
      </c>
      <c r="W737" s="13" t="str">
        <f>IF($A737="","",[1]!thsiFinD("ths_adjustment_nv_fund",W$3,$A737))</f>
        <v/>
      </c>
      <c r="X737" s="13" t="str">
        <f>IF($A737="","",[1]!thsiFinD("ths_adjustment_nv_fund",X$3,$A737))</f>
        <v/>
      </c>
      <c r="Y737" s="13" t="str">
        <f>IF($A737="","",[1]!thsiFinD("ths_adjustment_nv_fund",Y$3,$A737))</f>
        <v/>
      </c>
      <c r="Z737" s="13" t="str">
        <f>IF($A737="","",[1]!thsiFinD("ths_adjustment_nv_fund",Z$3,$A737))</f>
        <v/>
      </c>
      <c r="AA737" s="13" t="str">
        <f>IF($A737="","",[1]!thsiFinD("ths_adjustment_nv_fund",AA$3,$A737))</f>
        <v/>
      </c>
      <c r="AB737" s="13" t="str">
        <f>IF($A737="","",[1]!thsiFinD("ths_adjustment_nv_fund",AB$3,$A737))</f>
        <v/>
      </c>
    </row>
    <row r="738" spans="2:28">
      <c r="B738" s="13" t="str">
        <f>IF($A738="","",[1]!thsiFinD("ths_adjustment_nv_fund",B$3,$A738))</f>
        <v/>
      </c>
      <c r="C738" s="13" t="str">
        <f>IF($A738="","",[1]!thsiFinD("ths_adjustment_nv_fund",C$3,$A738))</f>
        <v/>
      </c>
      <c r="D738" s="13" t="str">
        <f>IF($A738="","",[1]!thsiFinD("ths_adjustment_nv_fund",D$3,$A738))</f>
        <v/>
      </c>
      <c r="E738" s="13" t="str">
        <f>IF($A738="","",[1]!thsiFinD("ths_adjustment_nv_fund",E$3,$A738))</f>
        <v/>
      </c>
      <c r="F738" s="13" t="str">
        <f>IF($A738="","",[1]!thsiFinD("ths_adjustment_nv_fund",F$3,$A738))</f>
        <v/>
      </c>
      <c r="G738" s="13" t="str">
        <f>IF($A738="","",[1]!thsiFinD("ths_adjustment_nv_fund",G$3,$A738))</f>
        <v/>
      </c>
      <c r="H738" s="13" t="str">
        <f>IF($A738="","",[1]!thsiFinD("ths_adjustment_nv_fund",H$3,$A738))</f>
        <v/>
      </c>
      <c r="I738" s="13" t="str">
        <f>IF($A738="","",[1]!thsiFinD("ths_adjustment_nv_fund",I$3,$A738))</f>
        <v/>
      </c>
      <c r="J738" s="13" t="str">
        <f>IF($A738="","",[1]!thsiFinD("ths_adjustment_nv_fund",J$3,$A738))</f>
        <v/>
      </c>
      <c r="K738" s="13" t="str">
        <f>IF($A738="","",[1]!thsiFinD("ths_adjustment_nv_fund",K$3,$A738))</f>
        <v/>
      </c>
      <c r="L738" s="13" t="str">
        <f>IF($A738="","",[1]!thsiFinD("ths_adjustment_nv_fund",L$3,$A738))</f>
        <v/>
      </c>
      <c r="M738" s="13" t="str">
        <f>IF($A738="","",[1]!thsiFinD("ths_adjustment_nv_fund",M$3,$A738))</f>
        <v/>
      </c>
      <c r="N738" s="13" t="str">
        <f>IF($A738="","",[1]!thsiFinD("ths_adjustment_nv_fund",N$3,$A738))</f>
        <v/>
      </c>
      <c r="O738" s="13" t="str">
        <f>IF($A738="","",[1]!thsiFinD("ths_adjustment_nv_fund",O$3,$A738))</f>
        <v/>
      </c>
      <c r="P738" s="13" t="str">
        <f>IF($A738="","",[1]!thsiFinD("ths_adjustment_nv_fund",P$3,$A738))</f>
        <v/>
      </c>
      <c r="Q738" s="13" t="str">
        <f>IF($A738="","",[1]!thsiFinD("ths_adjustment_nv_fund",Q$3,$A738))</f>
        <v/>
      </c>
      <c r="R738" s="13" t="str">
        <f>IF($A738="","",[1]!thsiFinD("ths_adjustment_nv_fund",R$3,$A738))</f>
        <v/>
      </c>
      <c r="S738" s="13" t="str">
        <f>IF($A738="","",[1]!thsiFinD("ths_adjustment_nv_fund",S$3,$A738))</f>
        <v/>
      </c>
      <c r="T738" s="13" t="str">
        <f>IF($A738="","",[1]!thsiFinD("ths_adjustment_nv_fund",T$3,$A738))</f>
        <v/>
      </c>
      <c r="U738" s="13" t="str">
        <f>IF($A738="","",[1]!thsiFinD("ths_adjustment_nv_fund",U$3,$A738))</f>
        <v/>
      </c>
      <c r="V738" s="13" t="str">
        <f>IF($A738="","",[1]!thsiFinD("ths_adjustment_nv_fund",V$3,$A738))</f>
        <v/>
      </c>
      <c r="W738" s="13" t="str">
        <f>IF($A738="","",[1]!thsiFinD("ths_adjustment_nv_fund",W$3,$A738))</f>
        <v/>
      </c>
      <c r="X738" s="13" t="str">
        <f>IF($A738="","",[1]!thsiFinD("ths_adjustment_nv_fund",X$3,$A738))</f>
        <v/>
      </c>
      <c r="Y738" s="13" t="str">
        <f>IF($A738="","",[1]!thsiFinD("ths_adjustment_nv_fund",Y$3,$A738))</f>
        <v/>
      </c>
      <c r="Z738" s="13" t="str">
        <f>IF($A738="","",[1]!thsiFinD("ths_adjustment_nv_fund",Z$3,$A738))</f>
        <v/>
      </c>
      <c r="AA738" s="13" t="str">
        <f>IF($A738="","",[1]!thsiFinD("ths_adjustment_nv_fund",AA$3,$A738))</f>
        <v/>
      </c>
      <c r="AB738" s="13" t="str">
        <f>IF($A738="","",[1]!thsiFinD("ths_adjustment_nv_fund",AB$3,$A738))</f>
        <v/>
      </c>
    </row>
    <row r="739" spans="2:28">
      <c r="B739" s="13" t="str">
        <f>IF($A739="","",[1]!thsiFinD("ths_adjustment_nv_fund",B$3,$A739))</f>
        <v/>
      </c>
      <c r="C739" s="13" t="str">
        <f>IF($A739="","",[1]!thsiFinD("ths_adjustment_nv_fund",C$3,$A739))</f>
        <v/>
      </c>
      <c r="D739" s="13" t="str">
        <f>IF($A739="","",[1]!thsiFinD("ths_adjustment_nv_fund",D$3,$A739))</f>
        <v/>
      </c>
      <c r="E739" s="13" t="str">
        <f>IF($A739="","",[1]!thsiFinD("ths_adjustment_nv_fund",E$3,$A739))</f>
        <v/>
      </c>
      <c r="F739" s="13" t="str">
        <f>IF($A739="","",[1]!thsiFinD("ths_adjustment_nv_fund",F$3,$A739))</f>
        <v/>
      </c>
      <c r="G739" s="13" t="str">
        <f>IF($A739="","",[1]!thsiFinD("ths_adjustment_nv_fund",G$3,$A739))</f>
        <v/>
      </c>
      <c r="H739" s="13" t="str">
        <f>IF($A739="","",[1]!thsiFinD("ths_adjustment_nv_fund",H$3,$A739))</f>
        <v/>
      </c>
      <c r="I739" s="13" t="str">
        <f>IF($A739="","",[1]!thsiFinD("ths_adjustment_nv_fund",I$3,$A739))</f>
        <v/>
      </c>
      <c r="J739" s="13" t="str">
        <f>IF($A739="","",[1]!thsiFinD("ths_adjustment_nv_fund",J$3,$A739))</f>
        <v/>
      </c>
      <c r="K739" s="13" t="str">
        <f>IF($A739="","",[1]!thsiFinD("ths_adjustment_nv_fund",K$3,$A739))</f>
        <v/>
      </c>
      <c r="L739" s="13" t="str">
        <f>IF($A739="","",[1]!thsiFinD("ths_adjustment_nv_fund",L$3,$A739))</f>
        <v/>
      </c>
      <c r="M739" s="13" t="str">
        <f>IF($A739="","",[1]!thsiFinD("ths_adjustment_nv_fund",M$3,$A739))</f>
        <v/>
      </c>
      <c r="N739" s="13" t="str">
        <f>IF($A739="","",[1]!thsiFinD("ths_adjustment_nv_fund",N$3,$A739))</f>
        <v/>
      </c>
      <c r="O739" s="13" t="str">
        <f>IF($A739="","",[1]!thsiFinD("ths_adjustment_nv_fund",O$3,$A739))</f>
        <v/>
      </c>
      <c r="P739" s="13" t="str">
        <f>IF($A739="","",[1]!thsiFinD("ths_adjustment_nv_fund",P$3,$A739))</f>
        <v/>
      </c>
      <c r="Q739" s="13" t="str">
        <f>IF($A739="","",[1]!thsiFinD("ths_adjustment_nv_fund",Q$3,$A739))</f>
        <v/>
      </c>
      <c r="R739" s="13" t="str">
        <f>IF($A739="","",[1]!thsiFinD("ths_adjustment_nv_fund",R$3,$A739))</f>
        <v/>
      </c>
      <c r="S739" s="13" t="str">
        <f>IF($A739="","",[1]!thsiFinD("ths_adjustment_nv_fund",S$3,$A739))</f>
        <v/>
      </c>
      <c r="T739" s="13" t="str">
        <f>IF($A739="","",[1]!thsiFinD("ths_adjustment_nv_fund",T$3,$A739))</f>
        <v/>
      </c>
      <c r="U739" s="13" t="str">
        <f>IF($A739="","",[1]!thsiFinD("ths_adjustment_nv_fund",U$3,$A739))</f>
        <v/>
      </c>
      <c r="V739" s="13" t="str">
        <f>IF($A739="","",[1]!thsiFinD("ths_adjustment_nv_fund",V$3,$A739))</f>
        <v/>
      </c>
      <c r="W739" s="13" t="str">
        <f>IF($A739="","",[1]!thsiFinD("ths_adjustment_nv_fund",W$3,$A739))</f>
        <v/>
      </c>
      <c r="X739" s="13" t="str">
        <f>IF($A739="","",[1]!thsiFinD("ths_adjustment_nv_fund",X$3,$A739))</f>
        <v/>
      </c>
      <c r="Y739" s="13" t="str">
        <f>IF($A739="","",[1]!thsiFinD("ths_adjustment_nv_fund",Y$3,$A739))</f>
        <v/>
      </c>
      <c r="Z739" s="13" t="str">
        <f>IF($A739="","",[1]!thsiFinD("ths_adjustment_nv_fund",Z$3,$A739))</f>
        <v/>
      </c>
      <c r="AA739" s="13" t="str">
        <f>IF($A739="","",[1]!thsiFinD("ths_adjustment_nv_fund",AA$3,$A739))</f>
        <v/>
      </c>
      <c r="AB739" s="13" t="str">
        <f>IF($A739="","",[1]!thsiFinD("ths_adjustment_nv_fund",AB$3,$A739))</f>
        <v/>
      </c>
    </row>
    <row r="740" spans="2:28">
      <c r="B740" s="13" t="str">
        <f>IF($A740="","",[1]!thsiFinD("ths_adjustment_nv_fund",B$3,$A740))</f>
        <v/>
      </c>
      <c r="C740" s="13" t="str">
        <f>IF($A740="","",[1]!thsiFinD("ths_adjustment_nv_fund",C$3,$A740))</f>
        <v/>
      </c>
      <c r="D740" s="13" t="str">
        <f>IF($A740="","",[1]!thsiFinD("ths_adjustment_nv_fund",D$3,$A740))</f>
        <v/>
      </c>
      <c r="E740" s="13" t="str">
        <f>IF($A740="","",[1]!thsiFinD("ths_adjustment_nv_fund",E$3,$A740))</f>
        <v/>
      </c>
      <c r="F740" s="13" t="str">
        <f>IF($A740="","",[1]!thsiFinD("ths_adjustment_nv_fund",F$3,$A740))</f>
        <v/>
      </c>
      <c r="G740" s="13" t="str">
        <f>IF($A740="","",[1]!thsiFinD("ths_adjustment_nv_fund",G$3,$A740))</f>
        <v/>
      </c>
      <c r="H740" s="13" t="str">
        <f>IF($A740="","",[1]!thsiFinD("ths_adjustment_nv_fund",H$3,$A740))</f>
        <v/>
      </c>
      <c r="I740" s="13" t="str">
        <f>IF($A740="","",[1]!thsiFinD("ths_adjustment_nv_fund",I$3,$A740))</f>
        <v/>
      </c>
      <c r="J740" s="13" t="str">
        <f>IF($A740="","",[1]!thsiFinD("ths_adjustment_nv_fund",J$3,$A740))</f>
        <v/>
      </c>
      <c r="K740" s="13" t="str">
        <f>IF($A740="","",[1]!thsiFinD("ths_adjustment_nv_fund",K$3,$A740))</f>
        <v/>
      </c>
      <c r="L740" s="13" t="str">
        <f>IF($A740="","",[1]!thsiFinD("ths_adjustment_nv_fund",L$3,$A740))</f>
        <v/>
      </c>
      <c r="M740" s="13" t="str">
        <f>IF($A740="","",[1]!thsiFinD("ths_adjustment_nv_fund",M$3,$A740))</f>
        <v/>
      </c>
      <c r="N740" s="13" t="str">
        <f>IF($A740="","",[1]!thsiFinD("ths_adjustment_nv_fund",N$3,$A740))</f>
        <v/>
      </c>
      <c r="O740" s="13" t="str">
        <f>IF($A740="","",[1]!thsiFinD("ths_adjustment_nv_fund",O$3,$A740))</f>
        <v/>
      </c>
      <c r="P740" s="13" t="str">
        <f>IF($A740="","",[1]!thsiFinD("ths_adjustment_nv_fund",P$3,$A740))</f>
        <v/>
      </c>
      <c r="Q740" s="13" t="str">
        <f>IF($A740="","",[1]!thsiFinD("ths_adjustment_nv_fund",Q$3,$A740))</f>
        <v/>
      </c>
      <c r="R740" s="13" t="str">
        <f>IF($A740="","",[1]!thsiFinD("ths_adjustment_nv_fund",R$3,$A740))</f>
        <v/>
      </c>
      <c r="S740" s="13" t="str">
        <f>IF($A740="","",[1]!thsiFinD("ths_adjustment_nv_fund",S$3,$A740))</f>
        <v/>
      </c>
      <c r="T740" s="13" t="str">
        <f>IF($A740="","",[1]!thsiFinD("ths_adjustment_nv_fund",T$3,$A740))</f>
        <v/>
      </c>
      <c r="U740" s="13" t="str">
        <f>IF($A740="","",[1]!thsiFinD("ths_adjustment_nv_fund",U$3,$A740))</f>
        <v/>
      </c>
      <c r="V740" s="13" t="str">
        <f>IF($A740="","",[1]!thsiFinD("ths_adjustment_nv_fund",V$3,$A740))</f>
        <v/>
      </c>
      <c r="W740" s="13" t="str">
        <f>IF($A740="","",[1]!thsiFinD("ths_adjustment_nv_fund",W$3,$A740))</f>
        <v/>
      </c>
      <c r="X740" s="13" t="str">
        <f>IF($A740="","",[1]!thsiFinD("ths_adjustment_nv_fund",X$3,$A740))</f>
        <v/>
      </c>
      <c r="Y740" s="13" t="str">
        <f>IF($A740="","",[1]!thsiFinD("ths_adjustment_nv_fund",Y$3,$A740))</f>
        <v/>
      </c>
      <c r="Z740" s="13" t="str">
        <f>IF($A740="","",[1]!thsiFinD("ths_adjustment_nv_fund",Z$3,$A740))</f>
        <v/>
      </c>
      <c r="AA740" s="13" t="str">
        <f>IF($A740="","",[1]!thsiFinD("ths_adjustment_nv_fund",AA$3,$A740))</f>
        <v/>
      </c>
      <c r="AB740" s="13" t="str">
        <f>IF($A740="","",[1]!thsiFinD("ths_adjustment_nv_fund",AB$3,$A740))</f>
        <v/>
      </c>
    </row>
    <row r="741" spans="2:28">
      <c r="B741" s="13" t="str">
        <f>IF($A741="","",[1]!thsiFinD("ths_adjustment_nv_fund",B$3,$A741))</f>
        <v/>
      </c>
      <c r="C741" s="13" t="str">
        <f>IF($A741="","",[1]!thsiFinD("ths_adjustment_nv_fund",C$3,$A741))</f>
        <v/>
      </c>
      <c r="D741" s="13" t="str">
        <f>IF($A741="","",[1]!thsiFinD("ths_adjustment_nv_fund",D$3,$A741))</f>
        <v/>
      </c>
      <c r="E741" s="13" t="str">
        <f>IF($A741="","",[1]!thsiFinD("ths_adjustment_nv_fund",E$3,$A741))</f>
        <v/>
      </c>
      <c r="F741" s="13" t="str">
        <f>IF($A741="","",[1]!thsiFinD("ths_adjustment_nv_fund",F$3,$A741))</f>
        <v/>
      </c>
      <c r="G741" s="13" t="str">
        <f>IF($A741="","",[1]!thsiFinD("ths_adjustment_nv_fund",G$3,$A741))</f>
        <v/>
      </c>
      <c r="H741" s="13" t="str">
        <f>IF($A741="","",[1]!thsiFinD("ths_adjustment_nv_fund",H$3,$A741))</f>
        <v/>
      </c>
      <c r="I741" s="13" t="str">
        <f>IF($A741="","",[1]!thsiFinD("ths_adjustment_nv_fund",I$3,$A741))</f>
        <v/>
      </c>
      <c r="J741" s="13" t="str">
        <f>IF($A741="","",[1]!thsiFinD("ths_adjustment_nv_fund",J$3,$A741))</f>
        <v/>
      </c>
      <c r="K741" s="13" t="str">
        <f>IF($A741="","",[1]!thsiFinD("ths_adjustment_nv_fund",K$3,$A741))</f>
        <v/>
      </c>
      <c r="L741" s="13" t="str">
        <f>IF($A741="","",[1]!thsiFinD("ths_adjustment_nv_fund",L$3,$A741))</f>
        <v/>
      </c>
      <c r="M741" s="13" t="str">
        <f>IF($A741="","",[1]!thsiFinD("ths_adjustment_nv_fund",M$3,$A741))</f>
        <v/>
      </c>
      <c r="N741" s="13" t="str">
        <f>IF($A741="","",[1]!thsiFinD("ths_adjustment_nv_fund",N$3,$A741))</f>
        <v/>
      </c>
      <c r="O741" s="13" t="str">
        <f>IF($A741="","",[1]!thsiFinD("ths_adjustment_nv_fund",O$3,$A741))</f>
        <v/>
      </c>
      <c r="P741" s="13" t="str">
        <f>IF($A741="","",[1]!thsiFinD("ths_adjustment_nv_fund",P$3,$A741))</f>
        <v/>
      </c>
      <c r="Q741" s="13" t="str">
        <f>IF($A741="","",[1]!thsiFinD("ths_adjustment_nv_fund",Q$3,$A741))</f>
        <v/>
      </c>
      <c r="R741" s="13" t="str">
        <f>IF($A741="","",[1]!thsiFinD("ths_adjustment_nv_fund",R$3,$A741))</f>
        <v/>
      </c>
      <c r="S741" s="13" t="str">
        <f>IF($A741="","",[1]!thsiFinD("ths_adjustment_nv_fund",S$3,$A741))</f>
        <v/>
      </c>
      <c r="T741" s="13" t="str">
        <f>IF($A741="","",[1]!thsiFinD("ths_adjustment_nv_fund",T$3,$A741))</f>
        <v/>
      </c>
      <c r="U741" s="13" t="str">
        <f>IF($A741="","",[1]!thsiFinD("ths_adjustment_nv_fund",U$3,$A741))</f>
        <v/>
      </c>
      <c r="V741" s="13" t="str">
        <f>IF($A741="","",[1]!thsiFinD("ths_adjustment_nv_fund",V$3,$A741))</f>
        <v/>
      </c>
      <c r="W741" s="13" t="str">
        <f>IF($A741="","",[1]!thsiFinD("ths_adjustment_nv_fund",W$3,$A741))</f>
        <v/>
      </c>
      <c r="X741" s="13" t="str">
        <f>IF($A741="","",[1]!thsiFinD("ths_adjustment_nv_fund",X$3,$A741))</f>
        <v/>
      </c>
      <c r="Y741" s="13" t="str">
        <f>IF($A741="","",[1]!thsiFinD("ths_adjustment_nv_fund",Y$3,$A741))</f>
        <v/>
      </c>
      <c r="Z741" s="13" t="str">
        <f>IF($A741="","",[1]!thsiFinD("ths_adjustment_nv_fund",Z$3,$A741))</f>
        <v/>
      </c>
      <c r="AA741" s="13" t="str">
        <f>IF($A741="","",[1]!thsiFinD("ths_adjustment_nv_fund",AA$3,$A741))</f>
        <v/>
      </c>
      <c r="AB741" s="13" t="str">
        <f>IF($A741="","",[1]!thsiFinD("ths_adjustment_nv_fund",AB$3,$A741))</f>
        <v/>
      </c>
    </row>
    <row r="742" spans="2:28">
      <c r="B742" s="13" t="str">
        <f>IF($A742="","",[1]!thsiFinD("ths_adjustment_nv_fund",B$3,$A742))</f>
        <v/>
      </c>
      <c r="C742" s="13" t="str">
        <f>IF($A742="","",[1]!thsiFinD("ths_adjustment_nv_fund",C$3,$A742))</f>
        <v/>
      </c>
      <c r="D742" s="13" t="str">
        <f>IF($A742="","",[1]!thsiFinD("ths_adjustment_nv_fund",D$3,$A742))</f>
        <v/>
      </c>
      <c r="E742" s="13" t="str">
        <f>IF($A742="","",[1]!thsiFinD("ths_adjustment_nv_fund",E$3,$A742))</f>
        <v/>
      </c>
      <c r="F742" s="13" t="str">
        <f>IF($A742="","",[1]!thsiFinD("ths_adjustment_nv_fund",F$3,$A742))</f>
        <v/>
      </c>
      <c r="G742" s="13" t="str">
        <f>IF($A742="","",[1]!thsiFinD("ths_adjustment_nv_fund",G$3,$A742))</f>
        <v/>
      </c>
      <c r="H742" s="13" t="str">
        <f>IF($A742="","",[1]!thsiFinD("ths_adjustment_nv_fund",H$3,$A742))</f>
        <v/>
      </c>
      <c r="I742" s="13" t="str">
        <f>IF($A742="","",[1]!thsiFinD("ths_adjustment_nv_fund",I$3,$A742))</f>
        <v/>
      </c>
      <c r="J742" s="13" t="str">
        <f>IF($A742="","",[1]!thsiFinD("ths_adjustment_nv_fund",J$3,$A742))</f>
        <v/>
      </c>
      <c r="K742" s="13" t="str">
        <f>IF($A742="","",[1]!thsiFinD("ths_adjustment_nv_fund",K$3,$A742))</f>
        <v/>
      </c>
      <c r="L742" s="13" t="str">
        <f>IF($A742="","",[1]!thsiFinD("ths_adjustment_nv_fund",L$3,$A742))</f>
        <v/>
      </c>
      <c r="M742" s="13" t="str">
        <f>IF($A742="","",[1]!thsiFinD("ths_adjustment_nv_fund",M$3,$A742))</f>
        <v/>
      </c>
      <c r="N742" s="13" t="str">
        <f>IF($A742="","",[1]!thsiFinD("ths_adjustment_nv_fund",N$3,$A742))</f>
        <v/>
      </c>
      <c r="O742" s="13" t="str">
        <f>IF($A742="","",[1]!thsiFinD("ths_adjustment_nv_fund",O$3,$A742))</f>
        <v/>
      </c>
      <c r="P742" s="13" t="str">
        <f>IF($A742="","",[1]!thsiFinD("ths_adjustment_nv_fund",P$3,$A742))</f>
        <v/>
      </c>
      <c r="Q742" s="13" t="str">
        <f>IF($A742="","",[1]!thsiFinD("ths_adjustment_nv_fund",Q$3,$A742))</f>
        <v/>
      </c>
      <c r="R742" s="13" t="str">
        <f>IF($A742="","",[1]!thsiFinD("ths_adjustment_nv_fund",R$3,$A742))</f>
        <v/>
      </c>
      <c r="S742" s="13" t="str">
        <f>IF($A742="","",[1]!thsiFinD("ths_adjustment_nv_fund",S$3,$A742))</f>
        <v/>
      </c>
      <c r="T742" s="13" t="str">
        <f>IF($A742="","",[1]!thsiFinD("ths_adjustment_nv_fund",T$3,$A742))</f>
        <v/>
      </c>
      <c r="U742" s="13" t="str">
        <f>IF($A742="","",[1]!thsiFinD("ths_adjustment_nv_fund",U$3,$A742))</f>
        <v/>
      </c>
      <c r="V742" s="13" t="str">
        <f>IF($A742="","",[1]!thsiFinD("ths_adjustment_nv_fund",V$3,$A742))</f>
        <v/>
      </c>
      <c r="W742" s="13" t="str">
        <f>IF($A742="","",[1]!thsiFinD("ths_adjustment_nv_fund",W$3,$A742))</f>
        <v/>
      </c>
      <c r="X742" s="13" t="str">
        <f>IF($A742="","",[1]!thsiFinD("ths_adjustment_nv_fund",X$3,$A742))</f>
        <v/>
      </c>
      <c r="Y742" s="13" t="str">
        <f>IF($A742="","",[1]!thsiFinD("ths_adjustment_nv_fund",Y$3,$A742))</f>
        <v/>
      </c>
      <c r="Z742" s="13" t="str">
        <f>IF($A742="","",[1]!thsiFinD("ths_adjustment_nv_fund",Z$3,$A742))</f>
        <v/>
      </c>
      <c r="AA742" s="13" t="str">
        <f>IF($A742="","",[1]!thsiFinD("ths_adjustment_nv_fund",AA$3,$A742))</f>
        <v/>
      </c>
      <c r="AB742" s="13" t="str">
        <f>IF($A742="","",[1]!thsiFinD("ths_adjustment_nv_fund",AB$3,$A742))</f>
        <v/>
      </c>
    </row>
    <row r="743" spans="2:28">
      <c r="B743" s="13" t="str">
        <f>IF($A743="","",[1]!thsiFinD("ths_adjustment_nv_fund",B$3,$A743))</f>
        <v/>
      </c>
      <c r="C743" s="13" t="str">
        <f>IF($A743="","",[1]!thsiFinD("ths_adjustment_nv_fund",C$3,$A743))</f>
        <v/>
      </c>
      <c r="D743" s="13" t="str">
        <f>IF($A743="","",[1]!thsiFinD("ths_adjustment_nv_fund",D$3,$A743))</f>
        <v/>
      </c>
      <c r="E743" s="13" t="str">
        <f>IF($A743="","",[1]!thsiFinD("ths_adjustment_nv_fund",E$3,$A743))</f>
        <v/>
      </c>
      <c r="F743" s="13" t="str">
        <f>IF($A743="","",[1]!thsiFinD("ths_adjustment_nv_fund",F$3,$A743))</f>
        <v/>
      </c>
      <c r="G743" s="13" t="str">
        <f>IF($A743="","",[1]!thsiFinD("ths_adjustment_nv_fund",G$3,$A743))</f>
        <v/>
      </c>
      <c r="H743" s="13" t="str">
        <f>IF($A743="","",[1]!thsiFinD("ths_adjustment_nv_fund",H$3,$A743))</f>
        <v/>
      </c>
      <c r="I743" s="13" t="str">
        <f>IF($A743="","",[1]!thsiFinD("ths_adjustment_nv_fund",I$3,$A743))</f>
        <v/>
      </c>
      <c r="J743" s="13" t="str">
        <f>IF($A743="","",[1]!thsiFinD("ths_adjustment_nv_fund",J$3,$A743))</f>
        <v/>
      </c>
      <c r="K743" s="13" t="str">
        <f>IF($A743="","",[1]!thsiFinD("ths_adjustment_nv_fund",K$3,$A743))</f>
        <v/>
      </c>
      <c r="L743" s="13" t="str">
        <f>IF($A743="","",[1]!thsiFinD("ths_adjustment_nv_fund",L$3,$A743))</f>
        <v/>
      </c>
      <c r="M743" s="13" t="str">
        <f>IF($A743="","",[1]!thsiFinD("ths_adjustment_nv_fund",M$3,$A743))</f>
        <v/>
      </c>
      <c r="N743" s="13" t="str">
        <f>IF($A743="","",[1]!thsiFinD("ths_adjustment_nv_fund",N$3,$A743))</f>
        <v/>
      </c>
      <c r="O743" s="13" t="str">
        <f>IF($A743="","",[1]!thsiFinD("ths_adjustment_nv_fund",O$3,$A743))</f>
        <v/>
      </c>
      <c r="P743" s="13" t="str">
        <f>IF($A743="","",[1]!thsiFinD("ths_adjustment_nv_fund",P$3,$A743))</f>
        <v/>
      </c>
      <c r="Q743" s="13" t="str">
        <f>IF($A743="","",[1]!thsiFinD("ths_adjustment_nv_fund",Q$3,$A743))</f>
        <v/>
      </c>
      <c r="R743" s="13" t="str">
        <f>IF($A743="","",[1]!thsiFinD("ths_adjustment_nv_fund",R$3,$A743))</f>
        <v/>
      </c>
      <c r="S743" s="13" t="str">
        <f>IF($A743="","",[1]!thsiFinD("ths_adjustment_nv_fund",S$3,$A743))</f>
        <v/>
      </c>
      <c r="T743" s="13" t="str">
        <f>IF($A743="","",[1]!thsiFinD("ths_adjustment_nv_fund",T$3,$A743))</f>
        <v/>
      </c>
      <c r="U743" s="13" t="str">
        <f>IF($A743="","",[1]!thsiFinD("ths_adjustment_nv_fund",U$3,$A743))</f>
        <v/>
      </c>
      <c r="V743" s="13" t="str">
        <f>IF($A743="","",[1]!thsiFinD("ths_adjustment_nv_fund",V$3,$A743))</f>
        <v/>
      </c>
      <c r="W743" s="13" t="str">
        <f>IF($A743="","",[1]!thsiFinD("ths_adjustment_nv_fund",W$3,$A743))</f>
        <v/>
      </c>
      <c r="X743" s="13" t="str">
        <f>IF($A743="","",[1]!thsiFinD("ths_adjustment_nv_fund",X$3,$A743))</f>
        <v/>
      </c>
      <c r="Y743" s="13" t="str">
        <f>IF($A743="","",[1]!thsiFinD("ths_adjustment_nv_fund",Y$3,$A743))</f>
        <v/>
      </c>
      <c r="Z743" s="13" t="str">
        <f>IF($A743="","",[1]!thsiFinD("ths_adjustment_nv_fund",Z$3,$A743))</f>
        <v/>
      </c>
      <c r="AA743" s="13" t="str">
        <f>IF($A743="","",[1]!thsiFinD("ths_adjustment_nv_fund",AA$3,$A743))</f>
        <v/>
      </c>
      <c r="AB743" s="13" t="str">
        <f>IF($A743="","",[1]!thsiFinD("ths_adjustment_nv_fund",AB$3,$A743))</f>
        <v/>
      </c>
    </row>
    <row r="744" spans="2:28">
      <c r="B744" s="13" t="str">
        <f>IF($A744="","",[1]!thsiFinD("ths_adjustment_nv_fund",B$3,$A744))</f>
        <v/>
      </c>
      <c r="C744" s="13" t="str">
        <f>IF($A744="","",[1]!thsiFinD("ths_adjustment_nv_fund",C$3,$A744))</f>
        <v/>
      </c>
      <c r="D744" s="13" t="str">
        <f>IF($A744="","",[1]!thsiFinD("ths_adjustment_nv_fund",D$3,$A744))</f>
        <v/>
      </c>
      <c r="E744" s="13" t="str">
        <f>IF($A744="","",[1]!thsiFinD("ths_adjustment_nv_fund",E$3,$A744))</f>
        <v/>
      </c>
      <c r="F744" s="13" t="str">
        <f>IF($A744="","",[1]!thsiFinD("ths_adjustment_nv_fund",F$3,$A744))</f>
        <v/>
      </c>
      <c r="G744" s="13" t="str">
        <f>IF($A744="","",[1]!thsiFinD("ths_adjustment_nv_fund",G$3,$A744))</f>
        <v/>
      </c>
      <c r="H744" s="13" t="str">
        <f>IF($A744="","",[1]!thsiFinD("ths_adjustment_nv_fund",H$3,$A744))</f>
        <v/>
      </c>
      <c r="I744" s="13" t="str">
        <f>IF($A744="","",[1]!thsiFinD("ths_adjustment_nv_fund",I$3,$A744))</f>
        <v/>
      </c>
      <c r="J744" s="13" t="str">
        <f>IF($A744="","",[1]!thsiFinD("ths_adjustment_nv_fund",J$3,$A744))</f>
        <v/>
      </c>
      <c r="K744" s="13" t="str">
        <f>IF($A744="","",[1]!thsiFinD("ths_adjustment_nv_fund",K$3,$A744))</f>
        <v/>
      </c>
      <c r="L744" s="13" t="str">
        <f>IF($A744="","",[1]!thsiFinD("ths_adjustment_nv_fund",L$3,$A744))</f>
        <v/>
      </c>
      <c r="M744" s="13" t="str">
        <f>IF($A744="","",[1]!thsiFinD("ths_adjustment_nv_fund",M$3,$A744))</f>
        <v/>
      </c>
      <c r="N744" s="13" t="str">
        <f>IF($A744="","",[1]!thsiFinD("ths_adjustment_nv_fund",N$3,$A744))</f>
        <v/>
      </c>
      <c r="O744" s="13" t="str">
        <f>IF($A744="","",[1]!thsiFinD("ths_adjustment_nv_fund",O$3,$A744))</f>
        <v/>
      </c>
      <c r="P744" s="13" t="str">
        <f>IF($A744="","",[1]!thsiFinD("ths_adjustment_nv_fund",P$3,$A744))</f>
        <v/>
      </c>
      <c r="Q744" s="13" t="str">
        <f>IF($A744="","",[1]!thsiFinD("ths_adjustment_nv_fund",Q$3,$A744))</f>
        <v/>
      </c>
      <c r="R744" s="13" t="str">
        <f>IF($A744="","",[1]!thsiFinD("ths_adjustment_nv_fund",R$3,$A744))</f>
        <v/>
      </c>
      <c r="S744" s="13" t="str">
        <f>IF($A744="","",[1]!thsiFinD("ths_adjustment_nv_fund",S$3,$A744))</f>
        <v/>
      </c>
      <c r="T744" s="13" t="str">
        <f>IF($A744="","",[1]!thsiFinD("ths_adjustment_nv_fund",T$3,$A744))</f>
        <v/>
      </c>
      <c r="U744" s="13" t="str">
        <f>IF($A744="","",[1]!thsiFinD("ths_adjustment_nv_fund",U$3,$A744))</f>
        <v/>
      </c>
      <c r="V744" s="13" t="str">
        <f>IF($A744="","",[1]!thsiFinD("ths_adjustment_nv_fund",V$3,$A744))</f>
        <v/>
      </c>
      <c r="W744" s="13" t="str">
        <f>IF($A744="","",[1]!thsiFinD("ths_adjustment_nv_fund",W$3,$A744))</f>
        <v/>
      </c>
      <c r="X744" s="13" t="str">
        <f>IF($A744="","",[1]!thsiFinD("ths_adjustment_nv_fund",X$3,$A744))</f>
        <v/>
      </c>
      <c r="Y744" s="13" t="str">
        <f>IF($A744="","",[1]!thsiFinD("ths_adjustment_nv_fund",Y$3,$A744))</f>
        <v/>
      </c>
      <c r="Z744" s="13" t="str">
        <f>IF($A744="","",[1]!thsiFinD("ths_adjustment_nv_fund",Z$3,$A744))</f>
        <v/>
      </c>
      <c r="AA744" s="13" t="str">
        <f>IF($A744="","",[1]!thsiFinD("ths_adjustment_nv_fund",AA$3,$A744))</f>
        <v/>
      </c>
      <c r="AB744" s="13" t="str">
        <f>IF($A744="","",[1]!thsiFinD("ths_adjustment_nv_fund",AB$3,$A744))</f>
        <v/>
      </c>
    </row>
    <row r="745" spans="2:28">
      <c r="B745" s="13" t="str">
        <f>IF($A745="","",[1]!thsiFinD("ths_adjustment_nv_fund",B$3,$A745))</f>
        <v/>
      </c>
      <c r="C745" s="13" t="str">
        <f>IF($A745="","",[1]!thsiFinD("ths_adjustment_nv_fund",C$3,$A745))</f>
        <v/>
      </c>
      <c r="D745" s="13" t="str">
        <f>IF($A745="","",[1]!thsiFinD("ths_adjustment_nv_fund",D$3,$A745))</f>
        <v/>
      </c>
      <c r="E745" s="13" t="str">
        <f>IF($A745="","",[1]!thsiFinD("ths_adjustment_nv_fund",E$3,$A745))</f>
        <v/>
      </c>
      <c r="F745" s="13" t="str">
        <f>IF($A745="","",[1]!thsiFinD("ths_adjustment_nv_fund",F$3,$A745))</f>
        <v/>
      </c>
      <c r="G745" s="13" t="str">
        <f>IF($A745="","",[1]!thsiFinD("ths_adjustment_nv_fund",G$3,$A745))</f>
        <v/>
      </c>
      <c r="H745" s="13" t="str">
        <f>IF($A745="","",[1]!thsiFinD("ths_adjustment_nv_fund",H$3,$A745))</f>
        <v/>
      </c>
      <c r="I745" s="13" t="str">
        <f>IF($A745="","",[1]!thsiFinD("ths_adjustment_nv_fund",I$3,$A745))</f>
        <v/>
      </c>
      <c r="J745" s="13" t="str">
        <f>IF($A745="","",[1]!thsiFinD("ths_adjustment_nv_fund",J$3,$A745))</f>
        <v/>
      </c>
      <c r="K745" s="13" t="str">
        <f>IF($A745="","",[1]!thsiFinD("ths_adjustment_nv_fund",K$3,$A745))</f>
        <v/>
      </c>
      <c r="L745" s="13" t="str">
        <f>IF($A745="","",[1]!thsiFinD("ths_adjustment_nv_fund",L$3,$A745))</f>
        <v/>
      </c>
      <c r="M745" s="13" t="str">
        <f>IF($A745="","",[1]!thsiFinD("ths_adjustment_nv_fund",M$3,$A745))</f>
        <v/>
      </c>
      <c r="N745" s="13" t="str">
        <f>IF($A745="","",[1]!thsiFinD("ths_adjustment_nv_fund",N$3,$A745))</f>
        <v/>
      </c>
      <c r="O745" s="13" t="str">
        <f>IF($A745="","",[1]!thsiFinD("ths_adjustment_nv_fund",O$3,$A745))</f>
        <v/>
      </c>
      <c r="P745" s="13" t="str">
        <f>IF($A745="","",[1]!thsiFinD("ths_adjustment_nv_fund",P$3,$A745))</f>
        <v/>
      </c>
      <c r="Q745" s="13" t="str">
        <f>IF($A745="","",[1]!thsiFinD("ths_adjustment_nv_fund",Q$3,$A745))</f>
        <v/>
      </c>
      <c r="R745" s="13" t="str">
        <f>IF($A745="","",[1]!thsiFinD("ths_adjustment_nv_fund",R$3,$A745))</f>
        <v/>
      </c>
      <c r="S745" s="13" t="str">
        <f>IF($A745="","",[1]!thsiFinD("ths_adjustment_nv_fund",S$3,$A745))</f>
        <v/>
      </c>
      <c r="T745" s="13" t="str">
        <f>IF($A745="","",[1]!thsiFinD("ths_adjustment_nv_fund",T$3,$A745))</f>
        <v/>
      </c>
      <c r="U745" s="13" t="str">
        <f>IF($A745="","",[1]!thsiFinD("ths_adjustment_nv_fund",U$3,$A745))</f>
        <v/>
      </c>
      <c r="V745" s="13" t="str">
        <f>IF($A745="","",[1]!thsiFinD("ths_adjustment_nv_fund",V$3,$A745))</f>
        <v/>
      </c>
      <c r="W745" s="13" t="str">
        <f>IF($A745="","",[1]!thsiFinD("ths_adjustment_nv_fund",W$3,$A745))</f>
        <v/>
      </c>
      <c r="X745" s="13" t="str">
        <f>IF($A745="","",[1]!thsiFinD("ths_adjustment_nv_fund",X$3,$A745))</f>
        <v/>
      </c>
      <c r="Y745" s="13" t="str">
        <f>IF($A745="","",[1]!thsiFinD("ths_adjustment_nv_fund",Y$3,$A745))</f>
        <v/>
      </c>
      <c r="Z745" s="13" t="str">
        <f>IF($A745="","",[1]!thsiFinD("ths_adjustment_nv_fund",Z$3,$A745))</f>
        <v/>
      </c>
      <c r="AA745" s="13" t="str">
        <f>IF($A745="","",[1]!thsiFinD("ths_adjustment_nv_fund",AA$3,$A745))</f>
        <v/>
      </c>
      <c r="AB745" s="13" t="str">
        <f>IF($A745="","",[1]!thsiFinD("ths_adjustment_nv_fund",AB$3,$A745))</f>
        <v/>
      </c>
    </row>
    <row r="746" spans="2:28">
      <c r="B746" s="13" t="str">
        <f>IF($A746="","",[1]!thsiFinD("ths_adjustment_nv_fund",B$3,$A746))</f>
        <v/>
      </c>
      <c r="C746" s="13" t="str">
        <f>IF($A746="","",[1]!thsiFinD("ths_adjustment_nv_fund",C$3,$A746))</f>
        <v/>
      </c>
      <c r="D746" s="13" t="str">
        <f>IF($A746="","",[1]!thsiFinD("ths_adjustment_nv_fund",D$3,$A746))</f>
        <v/>
      </c>
      <c r="E746" s="13" t="str">
        <f>IF($A746="","",[1]!thsiFinD("ths_adjustment_nv_fund",E$3,$A746))</f>
        <v/>
      </c>
      <c r="F746" s="13" t="str">
        <f>IF($A746="","",[1]!thsiFinD("ths_adjustment_nv_fund",F$3,$A746))</f>
        <v/>
      </c>
      <c r="G746" s="13" t="str">
        <f>IF($A746="","",[1]!thsiFinD("ths_adjustment_nv_fund",G$3,$A746))</f>
        <v/>
      </c>
      <c r="H746" s="13" t="str">
        <f>IF($A746="","",[1]!thsiFinD("ths_adjustment_nv_fund",H$3,$A746))</f>
        <v/>
      </c>
      <c r="I746" s="13" t="str">
        <f>IF($A746="","",[1]!thsiFinD("ths_adjustment_nv_fund",I$3,$A746))</f>
        <v/>
      </c>
      <c r="J746" s="13" t="str">
        <f>IF($A746="","",[1]!thsiFinD("ths_adjustment_nv_fund",J$3,$A746))</f>
        <v/>
      </c>
      <c r="K746" s="13" t="str">
        <f>IF($A746="","",[1]!thsiFinD("ths_adjustment_nv_fund",K$3,$A746))</f>
        <v/>
      </c>
      <c r="L746" s="13" t="str">
        <f>IF($A746="","",[1]!thsiFinD("ths_adjustment_nv_fund",L$3,$A746))</f>
        <v/>
      </c>
      <c r="M746" s="13" t="str">
        <f>IF($A746="","",[1]!thsiFinD("ths_adjustment_nv_fund",M$3,$A746))</f>
        <v/>
      </c>
      <c r="N746" s="13" t="str">
        <f>IF($A746="","",[1]!thsiFinD("ths_adjustment_nv_fund",N$3,$A746))</f>
        <v/>
      </c>
      <c r="O746" s="13" t="str">
        <f>IF($A746="","",[1]!thsiFinD("ths_adjustment_nv_fund",O$3,$A746))</f>
        <v/>
      </c>
      <c r="P746" s="13" t="str">
        <f>IF($A746="","",[1]!thsiFinD("ths_adjustment_nv_fund",P$3,$A746))</f>
        <v/>
      </c>
      <c r="Q746" s="13" t="str">
        <f>IF($A746="","",[1]!thsiFinD("ths_adjustment_nv_fund",Q$3,$A746))</f>
        <v/>
      </c>
      <c r="R746" s="13" t="str">
        <f>IF($A746="","",[1]!thsiFinD("ths_adjustment_nv_fund",R$3,$A746))</f>
        <v/>
      </c>
      <c r="S746" s="13" t="str">
        <f>IF($A746="","",[1]!thsiFinD("ths_adjustment_nv_fund",S$3,$A746))</f>
        <v/>
      </c>
      <c r="T746" s="13" t="str">
        <f>IF($A746="","",[1]!thsiFinD("ths_adjustment_nv_fund",T$3,$A746))</f>
        <v/>
      </c>
      <c r="U746" s="13" t="str">
        <f>IF($A746="","",[1]!thsiFinD("ths_adjustment_nv_fund",U$3,$A746))</f>
        <v/>
      </c>
      <c r="V746" s="13" t="str">
        <f>IF($A746="","",[1]!thsiFinD("ths_adjustment_nv_fund",V$3,$A746))</f>
        <v/>
      </c>
      <c r="W746" s="13" t="str">
        <f>IF($A746="","",[1]!thsiFinD("ths_adjustment_nv_fund",W$3,$A746))</f>
        <v/>
      </c>
      <c r="X746" s="13" t="str">
        <f>IF($A746="","",[1]!thsiFinD("ths_adjustment_nv_fund",X$3,$A746))</f>
        <v/>
      </c>
      <c r="Y746" s="13" t="str">
        <f>IF($A746="","",[1]!thsiFinD("ths_adjustment_nv_fund",Y$3,$A746))</f>
        <v/>
      </c>
      <c r="Z746" s="13" t="str">
        <f>IF($A746="","",[1]!thsiFinD("ths_adjustment_nv_fund",Z$3,$A746))</f>
        <v/>
      </c>
      <c r="AA746" s="13" t="str">
        <f>IF($A746="","",[1]!thsiFinD("ths_adjustment_nv_fund",AA$3,$A746))</f>
        <v/>
      </c>
      <c r="AB746" s="13" t="str">
        <f>IF($A746="","",[1]!thsiFinD("ths_adjustment_nv_fund",AB$3,$A746))</f>
        <v/>
      </c>
    </row>
    <row r="747" spans="2:28">
      <c r="B747" s="13" t="str">
        <f>IF($A747="","",[1]!thsiFinD("ths_adjustment_nv_fund",B$3,$A747))</f>
        <v/>
      </c>
      <c r="C747" s="13" t="str">
        <f>IF($A747="","",[1]!thsiFinD("ths_adjustment_nv_fund",C$3,$A747))</f>
        <v/>
      </c>
      <c r="D747" s="13" t="str">
        <f>IF($A747="","",[1]!thsiFinD("ths_adjustment_nv_fund",D$3,$A747))</f>
        <v/>
      </c>
      <c r="E747" s="13" t="str">
        <f>IF($A747="","",[1]!thsiFinD("ths_adjustment_nv_fund",E$3,$A747))</f>
        <v/>
      </c>
      <c r="F747" s="13" t="str">
        <f>IF($A747="","",[1]!thsiFinD("ths_adjustment_nv_fund",F$3,$A747))</f>
        <v/>
      </c>
      <c r="G747" s="13" t="str">
        <f>IF($A747="","",[1]!thsiFinD("ths_adjustment_nv_fund",G$3,$A747))</f>
        <v/>
      </c>
      <c r="H747" s="13" t="str">
        <f>IF($A747="","",[1]!thsiFinD("ths_adjustment_nv_fund",H$3,$A747))</f>
        <v/>
      </c>
      <c r="I747" s="13" t="str">
        <f>IF($A747="","",[1]!thsiFinD("ths_adjustment_nv_fund",I$3,$A747))</f>
        <v/>
      </c>
      <c r="J747" s="13" t="str">
        <f>IF($A747="","",[1]!thsiFinD("ths_adjustment_nv_fund",J$3,$A747))</f>
        <v/>
      </c>
      <c r="K747" s="13" t="str">
        <f>IF($A747="","",[1]!thsiFinD("ths_adjustment_nv_fund",K$3,$A747))</f>
        <v/>
      </c>
      <c r="L747" s="13" t="str">
        <f>IF($A747="","",[1]!thsiFinD("ths_adjustment_nv_fund",L$3,$A747))</f>
        <v/>
      </c>
      <c r="M747" s="13" t="str">
        <f>IF($A747="","",[1]!thsiFinD("ths_adjustment_nv_fund",M$3,$A747))</f>
        <v/>
      </c>
      <c r="N747" s="13" t="str">
        <f>IF($A747="","",[1]!thsiFinD("ths_adjustment_nv_fund",N$3,$A747))</f>
        <v/>
      </c>
      <c r="O747" s="13" t="str">
        <f>IF($A747="","",[1]!thsiFinD("ths_adjustment_nv_fund",O$3,$A747))</f>
        <v/>
      </c>
      <c r="P747" s="13" t="str">
        <f>IF($A747="","",[1]!thsiFinD("ths_adjustment_nv_fund",P$3,$A747))</f>
        <v/>
      </c>
      <c r="Q747" s="13" t="str">
        <f>IF($A747="","",[1]!thsiFinD("ths_adjustment_nv_fund",Q$3,$A747))</f>
        <v/>
      </c>
      <c r="R747" s="13" t="str">
        <f>IF($A747="","",[1]!thsiFinD("ths_adjustment_nv_fund",R$3,$A747))</f>
        <v/>
      </c>
      <c r="S747" s="13" t="str">
        <f>IF($A747="","",[1]!thsiFinD("ths_adjustment_nv_fund",S$3,$A747))</f>
        <v/>
      </c>
      <c r="T747" s="13" t="str">
        <f>IF($A747="","",[1]!thsiFinD("ths_adjustment_nv_fund",T$3,$A747))</f>
        <v/>
      </c>
      <c r="U747" s="13" t="str">
        <f>IF($A747="","",[1]!thsiFinD("ths_adjustment_nv_fund",U$3,$A747))</f>
        <v/>
      </c>
      <c r="V747" s="13" t="str">
        <f>IF($A747="","",[1]!thsiFinD("ths_adjustment_nv_fund",V$3,$A747))</f>
        <v/>
      </c>
      <c r="W747" s="13" t="str">
        <f>IF($A747="","",[1]!thsiFinD("ths_adjustment_nv_fund",W$3,$A747))</f>
        <v/>
      </c>
      <c r="X747" s="13" t="str">
        <f>IF($A747="","",[1]!thsiFinD("ths_adjustment_nv_fund",X$3,$A747))</f>
        <v/>
      </c>
      <c r="Y747" s="13" t="str">
        <f>IF($A747="","",[1]!thsiFinD("ths_adjustment_nv_fund",Y$3,$A747))</f>
        <v/>
      </c>
      <c r="Z747" s="13" t="str">
        <f>IF($A747="","",[1]!thsiFinD("ths_adjustment_nv_fund",Z$3,$A747))</f>
        <v/>
      </c>
      <c r="AA747" s="13" t="str">
        <f>IF($A747="","",[1]!thsiFinD("ths_adjustment_nv_fund",AA$3,$A747))</f>
        <v/>
      </c>
      <c r="AB747" s="13" t="str">
        <f>IF($A747="","",[1]!thsiFinD("ths_adjustment_nv_fund",AB$3,$A747))</f>
        <v/>
      </c>
    </row>
    <row r="748" spans="2:28">
      <c r="B748" s="13" t="str">
        <f>IF($A748="","",[1]!thsiFinD("ths_adjustment_nv_fund",B$3,$A748))</f>
        <v/>
      </c>
      <c r="C748" s="13" t="str">
        <f>IF($A748="","",[1]!thsiFinD("ths_adjustment_nv_fund",C$3,$A748))</f>
        <v/>
      </c>
      <c r="D748" s="13" t="str">
        <f>IF($A748="","",[1]!thsiFinD("ths_adjustment_nv_fund",D$3,$A748))</f>
        <v/>
      </c>
      <c r="E748" s="13" t="str">
        <f>IF($A748="","",[1]!thsiFinD("ths_adjustment_nv_fund",E$3,$A748))</f>
        <v/>
      </c>
      <c r="F748" s="13" t="str">
        <f>IF($A748="","",[1]!thsiFinD("ths_adjustment_nv_fund",F$3,$A748))</f>
        <v/>
      </c>
      <c r="G748" s="13" t="str">
        <f>IF($A748="","",[1]!thsiFinD("ths_adjustment_nv_fund",G$3,$A748))</f>
        <v/>
      </c>
      <c r="H748" s="13" t="str">
        <f>IF($A748="","",[1]!thsiFinD("ths_adjustment_nv_fund",H$3,$A748))</f>
        <v/>
      </c>
      <c r="I748" s="13" t="str">
        <f>IF($A748="","",[1]!thsiFinD("ths_adjustment_nv_fund",I$3,$A748))</f>
        <v/>
      </c>
      <c r="J748" s="13" t="str">
        <f>IF($A748="","",[1]!thsiFinD("ths_adjustment_nv_fund",J$3,$A748))</f>
        <v/>
      </c>
      <c r="K748" s="13" t="str">
        <f>IF($A748="","",[1]!thsiFinD("ths_adjustment_nv_fund",K$3,$A748))</f>
        <v/>
      </c>
      <c r="L748" s="13" t="str">
        <f>IF($A748="","",[1]!thsiFinD("ths_adjustment_nv_fund",L$3,$A748))</f>
        <v/>
      </c>
      <c r="M748" s="13" t="str">
        <f>IF($A748="","",[1]!thsiFinD("ths_adjustment_nv_fund",M$3,$A748))</f>
        <v/>
      </c>
      <c r="N748" s="13" t="str">
        <f>IF($A748="","",[1]!thsiFinD("ths_adjustment_nv_fund",N$3,$A748))</f>
        <v/>
      </c>
      <c r="O748" s="13" t="str">
        <f>IF($A748="","",[1]!thsiFinD("ths_adjustment_nv_fund",O$3,$A748))</f>
        <v/>
      </c>
      <c r="P748" s="13" t="str">
        <f>IF($A748="","",[1]!thsiFinD("ths_adjustment_nv_fund",P$3,$A748))</f>
        <v/>
      </c>
      <c r="Q748" s="13" t="str">
        <f>IF($A748="","",[1]!thsiFinD("ths_adjustment_nv_fund",Q$3,$A748))</f>
        <v/>
      </c>
      <c r="R748" s="13" t="str">
        <f>IF($A748="","",[1]!thsiFinD("ths_adjustment_nv_fund",R$3,$A748))</f>
        <v/>
      </c>
      <c r="S748" s="13" t="str">
        <f>IF($A748="","",[1]!thsiFinD("ths_adjustment_nv_fund",S$3,$A748))</f>
        <v/>
      </c>
      <c r="T748" s="13" t="str">
        <f>IF($A748="","",[1]!thsiFinD("ths_adjustment_nv_fund",T$3,$A748))</f>
        <v/>
      </c>
      <c r="U748" s="13" t="str">
        <f>IF($A748="","",[1]!thsiFinD("ths_adjustment_nv_fund",U$3,$A748))</f>
        <v/>
      </c>
      <c r="V748" s="13" t="str">
        <f>IF($A748="","",[1]!thsiFinD("ths_adjustment_nv_fund",V$3,$A748))</f>
        <v/>
      </c>
      <c r="W748" s="13" t="str">
        <f>IF($A748="","",[1]!thsiFinD("ths_adjustment_nv_fund",W$3,$A748))</f>
        <v/>
      </c>
      <c r="X748" s="13" t="str">
        <f>IF($A748="","",[1]!thsiFinD("ths_adjustment_nv_fund",X$3,$A748))</f>
        <v/>
      </c>
      <c r="Y748" s="13" t="str">
        <f>IF($A748="","",[1]!thsiFinD("ths_adjustment_nv_fund",Y$3,$A748))</f>
        <v/>
      </c>
      <c r="Z748" s="13" t="str">
        <f>IF($A748="","",[1]!thsiFinD("ths_adjustment_nv_fund",Z$3,$A748))</f>
        <v/>
      </c>
      <c r="AA748" s="13" t="str">
        <f>IF($A748="","",[1]!thsiFinD("ths_adjustment_nv_fund",AA$3,$A748))</f>
        <v/>
      </c>
      <c r="AB748" s="13" t="str">
        <f>IF($A748="","",[1]!thsiFinD("ths_adjustment_nv_fund",AB$3,$A748))</f>
        <v/>
      </c>
    </row>
    <row r="749" spans="2:28">
      <c r="B749" s="13" t="str">
        <f>IF($A749="","",[1]!thsiFinD("ths_adjustment_nv_fund",B$3,$A749))</f>
        <v/>
      </c>
      <c r="C749" s="13" t="str">
        <f>IF($A749="","",[1]!thsiFinD("ths_adjustment_nv_fund",C$3,$A749))</f>
        <v/>
      </c>
      <c r="D749" s="13" t="str">
        <f>IF($A749="","",[1]!thsiFinD("ths_adjustment_nv_fund",D$3,$A749))</f>
        <v/>
      </c>
      <c r="E749" s="13" t="str">
        <f>IF($A749="","",[1]!thsiFinD("ths_adjustment_nv_fund",E$3,$A749))</f>
        <v/>
      </c>
      <c r="F749" s="13" t="str">
        <f>IF($A749="","",[1]!thsiFinD("ths_adjustment_nv_fund",F$3,$A749))</f>
        <v/>
      </c>
      <c r="G749" s="13" t="str">
        <f>IF($A749="","",[1]!thsiFinD("ths_adjustment_nv_fund",G$3,$A749))</f>
        <v/>
      </c>
      <c r="H749" s="13" t="str">
        <f>IF($A749="","",[1]!thsiFinD("ths_adjustment_nv_fund",H$3,$A749))</f>
        <v/>
      </c>
      <c r="I749" s="13" t="str">
        <f>IF($A749="","",[1]!thsiFinD("ths_adjustment_nv_fund",I$3,$A749))</f>
        <v/>
      </c>
      <c r="J749" s="13" t="str">
        <f>IF($A749="","",[1]!thsiFinD("ths_adjustment_nv_fund",J$3,$A749))</f>
        <v/>
      </c>
      <c r="K749" s="13" t="str">
        <f>IF($A749="","",[1]!thsiFinD("ths_adjustment_nv_fund",K$3,$A749))</f>
        <v/>
      </c>
      <c r="L749" s="13" t="str">
        <f>IF($A749="","",[1]!thsiFinD("ths_adjustment_nv_fund",L$3,$A749))</f>
        <v/>
      </c>
      <c r="M749" s="13" t="str">
        <f>IF($A749="","",[1]!thsiFinD("ths_adjustment_nv_fund",M$3,$A749))</f>
        <v/>
      </c>
      <c r="N749" s="13" t="str">
        <f>IF($A749="","",[1]!thsiFinD("ths_adjustment_nv_fund",N$3,$A749))</f>
        <v/>
      </c>
      <c r="O749" s="13" t="str">
        <f>IF($A749="","",[1]!thsiFinD("ths_adjustment_nv_fund",O$3,$A749))</f>
        <v/>
      </c>
      <c r="P749" s="13" t="str">
        <f>IF($A749="","",[1]!thsiFinD("ths_adjustment_nv_fund",P$3,$A749))</f>
        <v/>
      </c>
      <c r="Q749" s="13" t="str">
        <f>IF($A749="","",[1]!thsiFinD("ths_adjustment_nv_fund",Q$3,$A749))</f>
        <v/>
      </c>
      <c r="R749" s="13" t="str">
        <f>IF($A749="","",[1]!thsiFinD("ths_adjustment_nv_fund",R$3,$A749))</f>
        <v/>
      </c>
      <c r="S749" s="13" t="str">
        <f>IF($A749="","",[1]!thsiFinD("ths_adjustment_nv_fund",S$3,$A749))</f>
        <v/>
      </c>
      <c r="T749" s="13" t="str">
        <f>IF($A749="","",[1]!thsiFinD("ths_adjustment_nv_fund",T$3,$A749))</f>
        <v/>
      </c>
      <c r="U749" s="13" t="str">
        <f>IF($A749="","",[1]!thsiFinD("ths_adjustment_nv_fund",U$3,$A749))</f>
        <v/>
      </c>
      <c r="V749" s="13" t="str">
        <f>IF($A749="","",[1]!thsiFinD("ths_adjustment_nv_fund",V$3,$A749))</f>
        <v/>
      </c>
      <c r="W749" s="13" t="str">
        <f>IF($A749="","",[1]!thsiFinD("ths_adjustment_nv_fund",W$3,$A749))</f>
        <v/>
      </c>
      <c r="X749" s="13" t="str">
        <f>IF($A749="","",[1]!thsiFinD("ths_adjustment_nv_fund",X$3,$A749))</f>
        <v/>
      </c>
      <c r="Y749" s="13" t="str">
        <f>IF($A749="","",[1]!thsiFinD("ths_adjustment_nv_fund",Y$3,$A749))</f>
        <v/>
      </c>
      <c r="Z749" s="13" t="str">
        <f>IF($A749="","",[1]!thsiFinD("ths_adjustment_nv_fund",Z$3,$A749))</f>
        <v/>
      </c>
      <c r="AA749" s="13" t="str">
        <f>IF($A749="","",[1]!thsiFinD("ths_adjustment_nv_fund",AA$3,$A749))</f>
        <v/>
      </c>
      <c r="AB749" s="13" t="str">
        <f>IF($A749="","",[1]!thsiFinD("ths_adjustment_nv_fund",AB$3,$A749))</f>
        <v/>
      </c>
    </row>
    <row r="750" spans="2:28">
      <c r="B750" s="13" t="str">
        <f>IF($A750="","",[1]!thsiFinD("ths_adjustment_nv_fund",B$3,$A750))</f>
        <v/>
      </c>
      <c r="C750" s="13" t="str">
        <f>IF($A750="","",[1]!thsiFinD("ths_adjustment_nv_fund",C$3,$A750))</f>
        <v/>
      </c>
      <c r="D750" s="13" t="str">
        <f>IF($A750="","",[1]!thsiFinD("ths_adjustment_nv_fund",D$3,$A750))</f>
        <v/>
      </c>
      <c r="E750" s="13" t="str">
        <f>IF($A750="","",[1]!thsiFinD("ths_adjustment_nv_fund",E$3,$A750))</f>
        <v/>
      </c>
      <c r="F750" s="13" t="str">
        <f>IF($A750="","",[1]!thsiFinD("ths_adjustment_nv_fund",F$3,$A750))</f>
        <v/>
      </c>
      <c r="G750" s="13" t="str">
        <f>IF($A750="","",[1]!thsiFinD("ths_adjustment_nv_fund",G$3,$A750))</f>
        <v/>
      </c>
      <c r="H750" s="13" t="str">
        <f>IF($A750="","",[1]!thsiFinD("ths_adjustment_nv_fund",H$3,$A750))</f>
        <v/>
      </c>
      <c r="I750" s="13" t="str">
        <f>IF($A750="","",[1]!thsiFinD("ths_adjustment_nv_fund",I$3,$A750))</f>
        <v/>
      </c>
      <c r="J750" s="13" t="str">
        <f>IF($A750="","",[1]!thsiFinD("ths_adjustment_nv_fund",J$3,$A750))</f>
        <v/>
      </c>
      <c r="K750" s="13" t="str">
        <f>IF($A750="","",[1]!thsiFinD("ths_adjustment_nv_fund",K$3,$A750))</f>
        <v/>
      </c>
      <c r="L750" s="13" t="str">
        <f>IF($A750="","",[1]!thsiFinD("ths_adjustment_nv_fund",L$3,$A750))</f>
        <v/>
      </c>
      <c r="M750" s="13" t="str">
        <f>IF($A750="","",[1]!thsiFinD("ths_adjustment_nv_fund",M$3,$A750))</f>
        <v/>
      </c>
      <c r="N750" s="13" t="str">
        <f>IF($A750="","",[1]!thsiFinD("ths_adjustment_nv_fund",N$3,$A750))</f>
        <v/>
      </c>
      <c r="O750" s="13" t="str">
        <f>IF($A750="","",[1]!thsiFinD("ths_adjustment_nv_fund",O$3,$A750))</f>
        <v/>
      </c>
      <c r="P750" s="13" t="str">
        <f>IF($A750="","",[1]!thsiFinD("ths_adjustment_nv_fund",P$3,$A750))</f>
        <v/>
      </c>
      <c r="Q750" s="13" t="str">
        <f>IF($A750="","",[1]!thsiFinD("ths_adjustment_nv_fund",Q$3,$A750))</f>
        <v/>
      </c>
      <c r="R750" s="13" t="str">
        <f>IF($A750="","",[1]!thsiFinD("ths_adjustment_nv_fund",R$3,$A750))</f>
        <v/>
      </c>
      <c r="S750" s="13" t="str">
        <f>IF($A750="","",[1]!thsiFinD("ths_adjustment_nv_fund",S$3,$A750))</f>
        <v/>
      </c>
      <c r="T750" s="13" t="str">
        <f>IF($A750="","",[1]!thsiFinD("ths_adjustment_nv_fund",T$3,$A750))</f>
        <v/>
      </c>
      <c r="U750" s="13" t="str">
        <f>IF($A750="","",[1]!thsiFinD("ths_adjustment_nv_fund",U$3,$A750))</f>
        <v/>
      </c>
      <c r="V750" s="13" t="str">
        <f>IF($A750="","",[1]!thsiFinD("ths_adjustment_nv_fund",V$3,$A750))</f>
        <v/>
      </c>
      <c r="W750" s="13" t="str">
        <f>IF($A750="","",[1]!thsiFinD("ths_adjustment_nv_fund",W$3,$A750))</f>
        <v/>
      </c>
      <c r="X750" s="13" t="str">
        <f>IF($A750="","",[1]!thsiFinD("ths_adjustment_nv_fund",X$3,$A750))</f>
        <v/>
      </c>
      <c r="Y750" s="13" t="str">
        <f>IF($A750="","",[1]!thsiFinD("ths_adjustment_nv_fund",Y$3,$A750))</f>
        <v/>
      </c>
      <c r="Z750" s="13" t="str">
        <f>IF($A750="","",[1]!thsiFinD("ths_adjustment_nv_fund",Z$3,$A750))</f>
        <v/>
      </c>
      <c r="AA750" s="13" t="str">
        <f>IF($A750="","",[1]!thsiFinD("ths_adjustment_nv_fund",AA$3,$A750))</f>
        <v/>
      </c>
      <c r="AB750" s="13" t="str">
        <f>IF($A750="","",[1]!thsiFinD("ths_adjustment_nv_fund",AB$3,$A750))</f>
        <v/>
      </c>
    </row>
    <row r="751" spans="2:28">
      <c r="B751" s="13" t="str">
        <f>IF($A751="","",[1]!thsiFinD("ths_adjustment_nv_fund",B$3,$A751))</f>
        <v/>
      </c>
      <c r="C751" s="13" t="str">
        <f>IF($A751="","",[1]!thsiFinD("ths_adjustment_nv_fund",C$3,$A751))</f>
        <v/>
      </c>
      <c r="D751" s="13" t="str">
        <f>IF($A751="","",[1]!thsiFinD("ths_adjustment_nv_fund",D$3,$A751))</f>
        <v/>
      </c>
      <c r="E751" s="13" t="str">
        <f>IF($A751="","",[1]!thsiFinD("ths_adjustment_nv_fund",E$3,$A751))</f>
        <v/>
      </c>
      <c r="F751" s="13" t="str">
        <f>IF($A751="","",[1]!thsiFinD("ths_adjustment_nv_fund",F$3,$A751))</f>
        <v/>
      </c>
      <c r="G751" s="13" t="str">
        <f>IF($A751="","",[1]!thsiFinD("ths_adjustment_nv_fund",G$3,$A751))</f>
        <v/>
      </c>
      <c r="H751" s="13" t="str">
        <f>IF($A751="","",[1]!thsiFinD("ths_adjustment_nv_fund",H$3,$A751))</f>
        <v/>
      </c>
      <c r="I751" s="13" t="str">
        <f>IF($A751="","",[1]!thsiFinD("ths_adjustment_nv_fund",I$3,$A751))</f>
        <v/>
      </c>
      <c r="J751" s="13" t="str">
        <f>IF($A751="","",[1]!thsiFinD("ths_adjustment_nv_fund",J$3,$A751))</f>
        <v/>
      </c>
      <c r="K751" s="13" t="str">
        <f>IF($A751="","",[1]!thsiFinD("ths_adjustment_nv_fund",K$3,$A751))</f>
        <v/>
      </c>
      <c r="L751" s="13" t="str">
        <f>IF($A751="","",[1]!thsiFinD("ths_adjustment_nv_fund",L$3,$A751))</f>
        <v/>
      </c>
      <c r="M751" s="13" t="str">
        <f>IF($A751="","",[1]!thsiFinD("ths_adjustment_nv_fund",M$3,$A751))</f>
        <v/>
      </c>
      <c r="N751" s="13" t="str">
        <f>IF($A751="","",[1]!thsiFinD("ths_adjustment_nv_fund",N$3,$A751))</f>
        <v/>
      </c>
      <c r="O751" s="13" t="str">
        <f>IF($A751="","",[1]!thsiFinD("ths_adjustment_nv_fund",O$3,$A751))</f>
        <v/>
      </c>
      <c r="P751" s="13" t="str">
        <f>IF($A751="","",[1]!thsiFinD("ths_adjustment_nv_fund",P$3,$A751))</f>
        <v/>
      </c>
      <c r="Q751" s="13" t="str">
        <f>IF($A751="","",[1]!thsiFinD("ths_adjustment_nv_fund",Q$3,$A751))</f>
        <v/>
      </c>
      <c r="R751" s="13" t="str">
        <f>IF($A751="","",[1]!thsiFinD("ths_adjustment_nv_fund",R$3,$A751))</f>
        <v/>
      </c>
      <c r="S751" s="13" t="str">
        <f>IF($A751="","",[1]!thsiFinD("ths_adjustment_nv_fund",S$3,$A751))</f>
        <v/>
      </c>
      <c r="T751" s="13" t="str">
        <f>IF($A751="","",[1]!thsiFinD("ths_adjustment_nv_fund",T$3,$A751))</f>
        <v/>
      </c>
      <c r="U751" s="13" t="str">
        <f>IF($A751="","",[1]!thsiFinD("ths_adjustment_nv_fund",U$3,$A751))</f>
        <v/>
      </c>
      <c r="V751" s="13" t="str">
        <f>IF($A751="","",[1]!thsiFinD("ths_adjustment_nv_fund",V$3,$A751))</f>
        <v/>
      </c>
      <c r="W751" s="13" t="str">
        <f>IF($A751="","",[1]!thsiFinD("ths_adjustment_nv_fund",W$3,$A751))</f>
        <v/>
      </c>
      <c r="X751" s="13" t="str">
        <f>IF($A751="","",[1]!thsiFinD("ths_adjustment_nv_fund",X$3,$A751))</f>
        <v/>
      </c>
      <c r="Y751" s="13" t="str">
        <f>IF($A751="","",[1]!thsiFinD("ths_adjustment_nv_fund",Y$3,$A751))</f>
        <v/>
      </c>
      <c r="Z751" s="13" t="str">
        <f>IF($A751="","",[1]!thsiFinD("ths_adjustment_nv_fund",Z$3,$A751))</f>
        <v/>
      </c>
      <c r="AA751" s="13" t="str">
        <f>IF($A751="","",[1]!thsiFinD("ths_adjustment_nv_fund",AA$3,$A751))</f>
        <v/>
      </c>
      <c r="AB751" s="13" t="str">
        <f>IF($A751="","",[1]!thsiFinD("ths_adjustment_nv_fund",AB$3,$A751))</f>
        <v/>
      </c>
    </row>
    <row r="752" spans="2:28">
      <c r="B752" s="13" t="str">
        <f>IF($A752="","",[1]!thsiFinD("ths_adjustment_nv_fund",B$3,$A752))</f>
        <v/>
      </c>
      <c r="C752" s="13" t="str">
        <f>IF($A752="","",[1]!thsiFinD("ths_adjustment_nv_fund",C$3,$A752))</f>
        <v/>
      </c>
      <c r="D752" s="13" t="str">
        <f>IF($A752="","",[1]!thsiFinD("ths_adjustment_nv_fund",D$3,$A752))</f>
        <v/>
      </c>
      <c r="E752" s="13" t="str">
        <f>IF($A752="","",[1]!thsiFinD("ths_adjustment_nv_fund",E$3,$A752))</f>
        <v/>
      </c>
      <c r="F752" s="13" t="str">
        <f>IF($A752="","",[1]!thsiFinD("ths_adjustment_nv_fund",F$3,$A752))</f>
        <v/>
      </c>
      <c r="G752" s="13" t="str">
        <f>IF($A752="","",[1]!thsiFinD("ths_adjustment_nv_fund",G$3,$A752))</f>
        <v/>
      </c>
      <c r="H752" s="13" t="str">
        <f>IF($A752="","",[1]!thsiFinD("ths_adjustment_nv_fund",H$3,$A752))</f>
        <v/>
      </c>
      <c r="I752" s="13" t="str">
        <f>IF($A752="","",[1]!thsiFinD("ths_adjustment_nv_fund",I$3,$A752))</f>
        <v/>
      </c>
      <c r="J752" s="13" t="str">
        <f>IF($A752="","",[1]!thsiFinD("ths_adjustment_nv_fund",J$3,$A752))</f>
        <v/>
      </c>
      <c r="K752" s="13" t="str">
        <f>IF($A752="","",[1]!thsiFinD("ths_adjustment_nv_fund",K$3,$A752))</f>
        <v/>
      </c>
      <c r="L752" s="13" t="str">
        <f>IF($A752="","",[1]!thsiFinD("ths_adjustment_nv_fund",L$3,$A752))</f>
        <v/>
      </c>
      <c r="M752" s="13" t="str">
        <f>IF($A752="","",[1]!thsiFinD("ths_adjustment_nv_fund",M$3,$A752))</f>
        <v/>
      </c>
      <c r="N752" s="13" t="str">
        <f>IF($A752="","",[1]!thsiFinD("ths_adjustment_nv_fund",N$3,$A752))</f>
        <v/>
      </c>
      <c r="O752" s="13" t="str">
        <f>IF($A752="","",[1]!thsiFinD("ths_adjustment_nv_fund",O$3,$A752))</f>
        <v/>
      </c>
      <c r="P752" s="13" t="str">
        <f>IF($A752="","",[1]!thsiFinD("ths_adjustment_nv_fund",P$3,$A752))</f>
        <v/>
      </c>
      <c r="Q752" s="13" t="str">
        <f>IF($A752="","",[1]!thsiFinD("ths_adjustment_nv_fund",Q$3,$A752))</f>
        <v/>
      </c>
      <c r="R752" s="13" t="str">
        <f>IF($A752="","",[1]!thsiFinD("ths_adjustment_nv_fund",R$3,$A752))</f>
        <v/>
      </c>
      <c r="S752" s="13" t="str">
        <f>IF($A752="","",[1]!thsiFinD("ths_adjustment_nv_fund",S$3,$A752))</f>
        <v/>
      </c>
      <c r="T752" s="13" t="str">
        <f>IF($A752="","",[1]!thsiFinD("ths_adjustment_nv_fund",T$3,$A752))</f>
        <v/>
      </c>
      <c r="U752" s="13" t="str">
        <f>IF($A752="","",[1]!thsiFinD("ths_adjustment_nv_fund",U$3,$A752))</f>
        <v/>
      </c>
      <c r="V752" s="13" t="str">
        <f>IF($A752="","",[1]!thsiFinD("ths_adjustment_nv_fund",V$3,$A752))</f>
        <v/>
      </c>
      <c r="W752" s="13" t="str">
        <f>IF($A752="","",[1]!thsiFinD("ths_adjustment_nv_fund",W$3,$A752))</f>
        <v/>
      </c>
      <c r="X752" s="13" t="str">
        <f>IF($A752="","",[1]!thsiFinD("ths_adjustment_nv_fund",X$3,$A752))</f>
        <v/>
      </c>
      <c r="Y752" s="13" t="str">
        <f>IF($A752="","",[1]!thsiFinD("ths_adjustment_nv_fund",Y$3,$A752))</f>
        <v/>
      </c>
      <c r="Z752" s="13" t="str">
        <f>IF($A752="","",[1]!thsiFinD("ths_adjustment_nv_fund",Z$3,$A752))</f>
        <v/>
      </c>
      <c r="AA752" s="13" t="str">
        <f>IF($A752="","",[1]!thsiFinD("ths_adjustment_nv_fund",AA$3,$A752))</f>
        <v/>
      </c>
      <c r="AB752" s="13" t="str">
        <f>IF($A752="","",[1]!thsiFinD("ths_adjustment_nv_fund",AB$3,$A752))</f>
        <v/>
      </c>
    </row>
    <row r="753" spans="2:28">
      <c r="B753" s="13" t="str">
        <f>IF($A753="","",[1]!thsiFinD("ths_adjustment_nv_fund",B$3,$A753))</f>
        <v/>
      </c>
      <c r="C753" s="13" t="str">
        <f>IF($A753="","",[1]!thsiFinD("ths_adjustment_nv_fund",C$3,$A753))</f>
        <v/>
      </c>
      <c r="D753" s="13" t="str">
        <f>IF($A753="","",[1]!thsiFinD("ths_adjustment_nv_fund",D$3,$A753))</f>
        <v/>
      </c>
      <c r="E753" s="13" t="str">
        <f>IF($A753="","",[1]!thsiFinD("ths_adjustment_nv_fund",E$3,$A753))</f>
        <v/>
      </c>
      <c r="F753" s="13" t="str">
        <f>IF($A753="","",[1]!thsiFinD("ths_adjustment_nv_fund",F$3,$A753))</f>
        <v/>
      </c>
      <c r="G753" s="13" t="str">
        <f>IF($A753="","",[1]!thsiFinD("ths_adjustment_nv_fund",G$3,$A753))</f>
        <v/>
      </c>
      <c r="H753" s="13" t="str">
        <f>IF($A753="","",[1]!thsiFinD("ths_adjustment_nv_fund",H$3,$A753))</f>
        <v/>
      </c>
      <c r="I753" s="13" t="str">
        <f>IF($A753="","",[1]!thsiFinD("ths_adjustment_nv_fund",I$3,$A753))</f>
        <v/>
      </c>
      <c r="J753" s="13" t="str">
        <f>IF($A753="","",[1]!thsiFinD("ths_adjustment_nv_fund",J$3,$A753))</f>
        <v/>
      </c>
      <c r="K753" s="13" t="str">
        <f>IF($A753="","",[1]!thsiFinD("ths_adjustment_nv_fund",K$3,$A753))</f>
        <v/>
      </c>
      <c r="L753" s="13" t="str">
        <f>IF($A753="","",[1]!thsiFinD("ths_adjustment_nv_fund",L$3,$A753))</f>
        <v/>
      </c>
      <c r="M753" s="13" t="str">
        <f>IF($A753="","",[1]!thsiFinD("ths_adjustment_nv_fund",M$3,$A753))</f>
        <v/>
      </c>
      <c r="N753" s="13" t="str">
        <f>IF($A753="","",[1]!thsiFinD("ths_adjustment_nv_fund",N$3,$A753))</f>
        <v/>
      </c>
      <c r="O753" s="13" t="str">
        <f>IF($A753="","",[1]!thsiFinD("ths_adjustment_nv_fund",O$3,$A753))</f>
        <v/>
      </c>
      <c r="P753" s="13" t="str">
        <f>IF($A753="","",[1]!thsiFinD("ths_adjustment_nv_fund",P$3,$A753))</f>
        <v/>
      </c>
      <c r="Q753" s="13" t="str">
        <f>IF($A753="","",[1]!thsiFinD("ths_adjustment_nv_fund",Q$3,$A753))</f>
        <v/>
      </c>
      <c r="R753" s="13" t="str">
        <f>IF($A753="","",[1]!thsiFinD("ths_adjustment_nv_fund",R$3,$A753))</f>
        <v/>
      </c>
      <c r="S753" s="13" t="str">
        <f>IF($A753="","",[1]!thsiFinD("ths_adjustment_nv_fund",S$3,$A753))</f>
        <v/>
      </c>
      <c r="T753" s="13" t="str">
        <f>IF($A753="","",[1]!thsiFinD("ths_adjustment_nv_fund",T$3,$A753))</f>
        <v/>
      </c>
      <c r="U753" s="13" t="str">
        <f>IF($A753="","",[1]!thsiFinD("ths_adjustment_nv_fund",U$3,$A753))</f>
        <v/>
      </c>
      <c r="V753" s="13" t="str">
        <f>IF($A753="","",[1]!thsiFinD("ths_adjustment_nv_fund",V$3,$A753))</f>
        <v/>
      </c>
      <c r="W753" s="13" t="str">
        <f>IF($A753="","",[1]!thsiFinD("ths_adjustment_nv_fund",W$3,$A753))</f>
        <v/>
      </c>
      <c r="X753" s="13" t="str">
        <f>IF($A753="","",[1]!thsiFinD("ths_adjustment_nv_fund",X$3,$A753))</f>
        <v/>
      </c>
      <c r="Y753" s="13" t="str">
        <f>IF($A753="","",[1]!thsiFinD("ths_adjustment_nv_fund",Y$3,$A753))</f>
        <v/>
      </c>
      <c r="Z753" s="13" t="str">
        <f>IF($A753="","",[1]!thsiFinD("ths_adjustment_nv_fund",Z$3,$A753))</f>
        <v/>
      </c>
      <c r="AA753" s="13" t="str">
        <f>IF($A753="","",[1]!thsiFinD("ths_adjustment_nv_fund",AA$3,$A753))</f>
        <v/>
      </c>
      <c r="AB753" s="13" t="str">
        <f>IF($A753="","",[1]!thsiFinD("ths_adjustment_nv_fund",AB$3,$A753))</f>
        <v/>
      </c>
    </row>
    <row r="754" spans="2:28">
      <c r="B754" s="13" t="str">
        <f>IF($A754="","",[1]!thsiFinD("ths_adjustment_nv_fund",B$3,$A754))</f>
        <v/>
      </c>
      <c r="C754" s="13" t="str">
        <f>IF($A754="","",[1]!thsiFinD("ths_adjustment_nv_fund",C$3,$A754))</f>
        <v/>
      </c>
      <c r="D754" s="13" t="str">
        <f>IF($A754="","",[1]!thsiFinD("ths_adjustment_nv_fund",D$3,$A754))</f>
        <v/>
      </c>
      <c r="E754" s="13" t="str">
        <f>IF($A754="","",[1]!thsiFinD("ths_adjustment_nv_fund",E$3,$A754))</f>
        <v/>
      </c>
      <c r="F754" s="13" t="str">
        <f>IF($A754="","",[1]!thsiFinD("ths_adjustment_nv_fund",F$3,$A754))</f>
        <v/>
      </c>
      <c r="G754" s="13" t="str">
        <f>IF($A754="","",[1]!thsiFinD("ths_adjustment_nv_fund",G$3,$A754))</f>
        <v/>
      </c>
      <c r="H754" s="13" t="str">
        <f>IF($A754="","",[1]!thsiFinD("ths_adjustment_nv_fund",H$3,$A754))</f>
        <v/>
      </c>
      <c r="I754" s="13" t="str">
        <f>IF($A754="","",[1]!thsiFinD("ths_adjustment_nv_fund",I$3,$A754))</f>
        <v/>
      </c>
      <c r="J754" s="13" t="str">
        <f>IF($A754="","",[1]!thsiFinD("ths_adjustment_nv_fund",J$3,$A754))</f>
        <v/>
      </c>
      <c r="K754" s="13" t="str">
        <f>IF($A754="","",[1]!thsiFinD("ths_adjustment_nv_fund",K$3,$A754))</f>
        <v/>
      </c>
      <c r="L754" s="13" t="str">
        <f>IF($A754="","",[1]!thsiFinD("ths_adjustment_nv_fund",L$3,$A754))</f>
        <v/>
      </c>
      <c r="M754" s="13" t="str">
        <f>IF($A754="","",[1]!thsiFinD("ths_adjustment_nv_fund",M$3,$A754))</f>
        <v/>
      </c>
      <c r="N754" s="13" t="str">
        <f>IF($A754="","",[1]!thsiFinD("ths_adjustment_nv_fund",N$3,$A754))</f>
        <v/>
      </c>
      <c r="O754" s="13" t="str">
        <f>IF($A754="","",[1]!thsiFinD("ths_adjustment_nv_fund",O$3,$A754))</f>
        <v/>
      </c>
      <c r="P754" s="13" t="str">
        <f>IF($A754="","",[1]!thsiFinD("ths_adjustment_nv_fund",P$3,$A754))</f>
        <v/>
      </c>
      <c r="Q754" s="13" t="str">
        <f>IF($A754="","",[1]!thsiFinD("ths_adjustment_nv_fund",Q$3,$A754))</f>
        <v/>
      </c>
      <c r="R754" s="13" t="str">
        <f>IF($A754="","",[1]!thsiFinD("ths_adjustment_nv_fund",R$3,$A754))</f>
        <v/>
      </c>
      <c r="S754" s="13" t="str">
        <f>IF($A754="","",[1]!thsiFinD("ths_adjustment_nv_fund",S$3,$A754))</f>
        <v/>
      </c>
      <c r="T754" s="13" t="str">
        <f>IF($A754="","",[1]!thsiFinD("ths_adjustment_nv_fund",T$3,$A754))</f>
        <v/>
      </c>
      <c r="U754" s="13" t="str">
        <f>IF($A754="","",[1]!thsiFinD("ths_adjustment_nv_fund",U$3,$A754))</f>
        <v/>
      </c>
      <c r="V754" s="13" t="str">
        <f>IF($A754="","",[1]!thsiFinD("ths_adjustment_nv_fund",V$3,$A754))</f>
        <v/>
      </c>
      <c r="W754" s="13" t="str">
        <f>IF($A754="","",[1]!thsiFinD("ths_adjustment_nv_fund",W$3,$A754))</f>
        <v/>
      </c>
      <c r="X754" s="13" t="str">
        <f>IF($A754="","",[1]!thsiFinD("ths_adjustment_nv_fund",X$3,$A754))</f>
        <v/>
      </c>
      <c r="Y754" s="13" t="str">
        <f>IF($A754="","",[1]!thsiFinD("ths_adjustment_nv_fund",Y$3,$A754))</f>
        <v/>
      </c>
      <c r="Z754" s="13" t="str">
        <f>IF($A754="","",[1]!thsiFinD("ths_adjustment_nv_fund",Z$3,$A754))</f>
        <v/>
      </c>
      <c r="AA754" s="13" t="str">
        <f>IF($A754="","",[1]!thsiFinD("ths_adjustment_nv_fund",AA$3,$A754))</f>
        <v/>
      </c>
      <c r="AB754" s="13" t="str">
        <f>IF($A754="","",[1]!thsiFinD("ths_adjustment_nv_fund",AB$3,$A754))</f>
        <v/>
      </c>
    </row>
    <row r="755" spans="2:28">
      <c r="B755" s="13" t="str">
        <f>IF($A755="","",[1]!thsiFinD("ths_adjustment_nv_fund",B$3,$A755))</f>
        <v/>
      </c>
      <c r="C755" s="13" t="str">
        <f>IF($A755="","",[1]!thsiFinD("ths_adjustment_nv_fund",C$3,$A755))</f>
        <v/>
      </c>
      <c r="D755" s="13" t="str">
        <f>IF($A755="","",[1]!thsiFinD("ths_adjustment_nv_fund",D$3,$A755))</f>
        <v/>
      </c>
      <c r="E755" s="13" t="str">
        <f>IF($A755="","",[1]!thsiFinD("ths_adjustment_nv_fund",E$3,$A755))</f>
        <v/>
      </c>
      <c r="F755" s="13" t="str">
        <f>IF($A755="","",[1]!thsiFinD("ths_adjustment_nv_fund",F$3,$A755))</f>
        <v/>
      </c>
      <c r="G755" s="13" t="str">
        <f>IF($A755="","",[1]!thsiFinD("ths_adjustment_nv_fund",G$3,$A755))</f>
        <v/>
      </c>
      <c r="H755" s="13" t="str">
        <f>IF($A755="","",[1]!thsiFinD("ths_adjustment_nv_fund",H$3,$A755))</f>
        <v/>
      </c>
      <c r="I755" s="13" t="str">
        <f>IF($A755="","",[1]!thsiFinD("ths_adjustment_nv_fund",I$3,$A755))</f>
        <v/>
      </c>
      <c r="J755" s="13" t="str">
        <f>IF($A755="","",[1]!thsiFinD("ths_adjustment_nv_fund",J$3,$A755))</f>
        <v/>
      </c>
      <c r="K755" s="13" t="str">
        <f>IF($A755="","",[1]!thsiFinD("ths_adjustment_nv_fund",K$3,$A755))</f>
        <v/>
      </c>
      <c r="L755" s="13" t="str">
        <f>IF($A755="","",[1]!thsiFinD("ths_adjustment_nv_fund",L$3,$A755))</f>
        <v/>
      </c>
      <c r="M755" s="13" t="str">
        <f>IF($A755="","",[1]!thsiFinD("ths_adjustment_nv_fund",M$3,$A755))</f>
        <v/>
      </c>
      <c r="N755" s="13" t="str">
        <f>IF($A755="","",[1]!thsiFinD("ths_adjustment_nv_fund",N$3,$A755))</f>
        <v/>
      </c>
      <c r="O755" s="13" t="str">
        <f>IF($A755="","",[1]!thsiFinD("ths_adjustment_nv_fund",O$3,$A755))</f>
        <v/>
      </c>
      <c r="P755" s="13" t="str">
        <f>IF($A755="","",[1]!thsiFinD("ths_adjustment_nv_fund",P$3,$A755))</f>
        <v/>
      </c>
      <c r="Q755" s="13" t="str">
        <f>IF($A755="","",[1]!thsiFinD("ths_adjustment_nv_fund",Q$3,$A755))</f>
        <v/>
      </c>
      <c r="R755" s="13" t="str">
        <f>IF($A755="","",[1]!thsiFinD("ths_adjustment_nv_fund",R$3,$A755))</f>
        <v/>
      </c>
      <c r="S755" s="13" t="str">
        <f>IF($A755="","",[1]!thsiFinD("ths_adjustment_nv_fund",S$3,$A755))</f>
        <v/>
      </c>
      <c r="T755" s="13" t="str">
        <f>IF($A755="","",[1]!thsiFinD("ths_adjustment_nv_fund",T$3,$A755))</f>
        <v/>
      </c>
      <c r="U755" s="13" t="str">
        <f>IF($A755="","",[1]!thsiFinD("ths_adjustment_nv_fund",U$3,$A755))</f>
        <v/>
      </c>
      <c r="V755" s="13" t="str">
        <f>IF($A755="","",[1]!thsiFinD("ths_adjustment_nv_fund",V$3,$A755))</f>
        <v/>
      </c>
      <c r="W755" s="13" t="str">
        <f>IF($A755="","",[1]!thsiFinD("ths_adjustment_nv_fund",W$3,$A755))</f>
        <v/>
      </c>
      <c r="X755" s="13" t="str">
        <f>IF($A755="","",[1]!thsiFinD("ths_adjustment_nv_fund",X$3,$A755))</f>
        <v/>
      </c>
      <c r="Y755" s="13" t="str">
        <f>IF($A755="","",[1]!thsiFinD("ths_adjustment_nv_fund",Y$3,$A755))</f>
        <v/>
      </c>
      <c r="Z755" s="13" t="str">
        <f>IF($A755="","",[1]!thsiFinD("ths_adjustment_nv_fund",Z$3,$A755))</f>
        <v/>
      </c>
      <c r="AA755" s="13" t="str">
        <f>IF($A755="","",[1]!thsiFinD("ths_adjustment_nv_fund",AA$3,$A755))</f>
        <v/>
      </c>
      <c r="AB755" s="13" t="str">
        <f>IF($A755="","",[1]!thsiFinD("ths_adjustment_nv_fund",AB$3,$A755))</f>
        <v/>
      </c>
    </row>
    <row r="756" spans="2:28">
      <c r="B756" s="13" t="str">
        <f>IF($A756="","",[1]!thsiFinD("ths_adjustment_nv_fund",B$3,$A756))</f>
        <v/>
      </c>
      <c r="C756" s="13" t="str">
        <f>IF($A756="","",[1]!thsiFinD("ths_adjustment_nv_fund",C$3,$A756))</f>
        <v/>
      </c>
      <c r="D756" s="13" t="str">
        <f>IF($A756="","",[1]!thsiFinD("ths_adjustment_nv_fund",D$3,$A756))</f>
        <v/>
      </c>
      <c r="E756" s="13" t="str">
        <f>IF($A756="","",[1]!thsiFinD("ths_adjustment_nv_fund",E$3,$A756))</f>
        <v/>
      </c>
      <c r="F756" s="13" t="str">
        <f>IF($A756="","",[1]!thsiFinD("ths_adjustment_nv_fund",F$3,$A756))</f>
        <v/>
      </c>
      <c r="G756" s="13" t="str">
        <f>IF($A756="","",[1]!thsiFinD("ths_adjustment_nv_fund",G$3,$A756))</f>
        <v/>
      </c>
      <c r="H756" s="13" t="str">
        <f>IF($A756="","",[1]!thsiFinD("ths_adjustment_nv_fund",H$3,$A756))</f>
        <v/>
      </c>
      <c r="I756" s="13" t="str">
        <f>IF($A756="","",[1]!thsiFinD("ths_adjustment_nv_fund",I$3,$A756))</f>
        <v/>
      </c>
      <c r="J756" s="13" t="str">
        <f>IF($A756="","",[1]!thsiFinD("ths_adjustment_nv_fund",J$3,$A756))</f>
        <v/>
      </c>
      <c r="K756" s="13" t="str">
        <f>IF($A756="","",[1]!thsiFinD("ths_adjustment_nv_fund",K$3,$A756))</f>
        <v/>
      </c>
      <c r="L756" s="13" t="str">
        <f>IF($A756="","",[1]!thsiFinD("ths_adjustment_nv_fund",L$3,$A756))</f>
        <v/>
      </c>
      <c r="M756" s="13" t="str">
        <f>IF($A756="","",[1]!thsiFinD("ths_adjustment_nv_fund",M$3,$A756))</f>
        <v/>
      </c>
      <c r="N756" s="13" t="str">
        <f>IF($A756="","",[1]!thsiFinD("ths_adjustment_nv_fund",N$3,$A756))</f>
        <v/>
      </c>
      <c r="O756" s="13" t="str">
        <f>IF($A756="","",[1]!thsiFinD("ths_adjustment_nv_fund",O$3,$A756))</f>
        <v/>
      </c>
      <c r="P756" s="13" t="str">
        <f>IF($A756="","",[1]!thsiFinD("ths_adjustment_nv_fund",P$3,$A756))</f>
        <v/>
      </c>
      <c r="Q756" s="13" t="str">
        <f>IF($A756="","",[1]!thsiFinD("ths_adjustment_nv_fund",Q$3,$A756))</f>
        <v/>
      </c>
      <c r="R756" s="13" t="str">
        <f>IF($A756="","",[1]!thsiFinD("ths_adjustment_nv_fund",R$3,$A756))</f>
        <v/>
      </c>
      <c r="S756" s="13" t="str">
        <f>IF($A756="","",[1]!thsiFinD("ths_adjustment_nv_fund",S$3,$A756))</f>
        <v/>
      </c>
      <c r="T756" s="13" t="str">
        <f>IF($A756="","",[1]!thsiFinD("ths_adjustment_nv_fund",T$3,$A756))</f>
        <v/>
      </c>
      <c r="U756" s="13" t="str">
        <f>IF($A756="","",[1]!thsiFinD("ths_adjustment_nv_fund",U$3,$A756))</f>
        <v/>
      </c>
      <c r="V756" s="13" t="str">
        <f>IF($A756="","",[1]!thsiFinD("ths_adjustment_nv_fund",V$3,$A756))</f>
        <v/>
      </c>
      <c r="W756" s="13" t="str">
        <f>IF($A756="","",[1]!thsiFinD("ths_adjustment_nv_fund",W$3,$A756))</f>
        <v/>
      </c>
      <c r="X756" s="13" t="str">
        <f>IF($A756="","",[1]!thsiFinD("ths_adjustment_nv_fund",X$3,$A756))</f>
        <v/>
      </c>
      <c r="Y756" s="13" t="str">
        <f>IF($A756="","",[1]!thsiFinD("ths_adjustment_nv_fund",Y$3,$A756))</f>
        <v/>
      </c>
      <c r="Z756" s="13" t="str">
        <f>IF($A756="","",[1]!thsiFinD("ths_adjustment_nv_fund",Z$3,$A756))</f>
        <v/>
      </c>
      <c r="AA756" s="13" t="str">
        <f>IF($A756="","",[1]!thsiFinD("ths_adjustment_nv_fund",AA$3,$A756))</f>
        <v/>
      </c>
      <c r="AB756" s="13" t="str">
        <f>IF($A756="","",[1]!thsiFinD("ths_adjustment_nv_fund",AB$3,$A756))</f>
        <v/>
      </c>
    </row>
    <row r="757" spans="2:28">
      <c r="B757" s="13" t="str">
        <f>IF($A757="","",[1]!thsiFinD("ths_adjustment_nv_fund",B$3,$A757))</f>
        <v/>
      </c>
      <c r="C757" s="13" t="str">
        <f>IF($A757="","",[1]!thsiFinD("ths_adjustment_nv_fund",C$3,$A757))</f>
        <v/>
      </c>
      <c r="D757" s="13" t="str">
        <f>IF($A757="","",[1]!thsiFinD("ths_adjustment_nv_fund",D$3,$A757))</f>
        <v/>
      </c>
      <c r="E757" s="13" t="str">
        <f>IF($A757="","",[1]!thsiFinD("ths_adjustment_nv_fund",E$3,$A757))</f>
        <v/>
      </c>
      <c r="F757" s="13" t="str">
        <f>IF($A757="","",[1]!thsiFinD("ths_adjustment_nv_fund",F$3,$A757))</f>
        <v/>
      </c>
      <c r="G757" s="13" t="str">
        <f>IF($A757="","",[1]!thsiFinD("ths_adjustment_nv_fund",G$3,$A757))</f>
        <v/>
      </c>
      <c r="H757" s="13" t="str">
        <f>IF($A757="","",[1]!thsiFinD("ths_adjustment_nv_fund",H$3,$A757))</f>
        <v/>
      </c>
      <c r="I757" s="13" t="str">
        <f>IF($A757="","",[1]!thsiFinD("ths_adjustment_nv_fund",I$3,$A757))</f>
        <v/>
      </c>
      <c r="J757" s="13" t="str">
        <f>IF($A757="","",[1]!thsiFinD("ths_adjustment_nv_fund",J$3,$A757))</f>
        <v/>
      </c>
      <c r="K757" s="13" t="str">
        <f>IF($A757="","",[1]!thsiFinD("ths_adjustment_nv_fund",K$3,$A757))</f>
        <v/>
      </c>
      <c r="L757" s="13" t="str">
        <f>IF($A757="","",[1]!thsiFinD("ths_adjustment_nv_fund",L$3,$A757))</f>
        <v/>
      </c>
      <c r="M757" s="13" t="str">
        <f>IF($A757="","",[1]!thsiFinD("ths_adjustment_nv_fund",M$3,$A757))</f>
        <v/>
      </c>
      <c r="N757" s="13" t="str">
        <f>IF($A757="","",[1]!thsiFinD("ths_adjustment_nv_fund",N$3,$A757))</f>
        <v/>
      </c>
      <c r="O757" s="13" t="str">
        <f>IF($A757="","",[1]!thsiFinD("ths_adjustment_nv_fund",O$3,$A757))</f>
        <v/>
      </c>
      <c r="P757" s="13" t="str">
        <f>IF($A757="","",[1]!thsiFinD("ths_adjustment_nv_fund",P$3,$A757))</f>
        <v/>
      </c>
      <c r="Q757" s="13" t="str">
        <f>IF($A757="","",[1]!thsiFinD("ths_adjustment_nv_fund",Q$3,$A757))</f>
        <v/>
      </c>
      <c r="R757" s="13" t="str">
        <f>IF($A757="","",[1]!thsiFinD("ths_adjustment_nv_fund",R$3,$A757))</f>
        <v/>
      </c>
      <c r="S757" s="13" t="str">
        <f>IF($A757="","",[1]!thsiFinD("ths_adjustment_nv_fund",S$3,$A757))</f>
        <v/>
      </c>
      <c r="T757" s="13" t="str">
        <f>IF($A757="","",[1]!thsiFinD("ths_adjustment_nv_fund",T$3,$A757))</f>
        <v/>
      </c>
      <c r="U757" s="13" t="str">
        <f>IF($A757="","",[1]!thsiFinD("ths_adjustment_nv_fund",U$3,$A757))</f>
        <v/>
      </c>
      <c r="V757" s="13" t="str">
        <f>IF($A757="","",[1]!thsiFinD("ths_adjustment_nv_fund",V$3,$A757))</f>
        <v/>
      </c>
      <c r="W757" s="13" t="str">
        <f>IF($A757="","",[1]!thsiFinD("ths_adjustment_nv_fund",W$3,$A757))</f>
        <v/>
      </c>
      <c r="X757" s="13" t="str">
        <f>IF($A757="","",[1]!thsiFinD("ths_adjustment_nv_fund",X$3,$A757))</f>
        <v/>
      </c>
      <c r="Y757" s="13" t="str">
        <f>IF($A757="","",[1]!thsiFinD("ths_adjustment_nv_fund",Y$3,$A757))</f>
        <v/>
      </c>
      <c r="Z757" s="13" t="str">
        <f>IF($A757="","",[1]!thsiFinD("ths_adjustment_nv_fund",Z$3,$A757))</f>
        <v/>
      </c>
      <c r="AA757" s="13" t="str">
        <f>IF($A757="","",[1]!thsiFinD("ths_adjustment_nv_fund",AA$3,$A757))</f>
        <v/>
      </c>
      <c r="AB757" s="13" t="str">
        <f>IF($A757="","",[1]!thsiFinD("ths_adjustment_nv_fund",AB$3,$A757))</f>
        <v/>
      </c>
    </row>
    <row r="758" spans="2:28">
      <c r="B758" s="13" t="str">
        <f>IF($A758="","",[1]!thsiFinD("ths_adjustment_nv_fund",B$3,$A758))</f>
        <v/>
      </c>
      <c r="C758" s="13" t="str">
        <f>IF($A758="","",[1]!thsiFinD("ths_adjustment_nv_fund",C$3,$A758))</f>
        <v/>
      </c>
      <c r="D758" s="13" t="str">
        <f>IF($A758="","",[1]!thsiFinD("ths_adjustment_nv_fund",D$3,$A758))</f>
        <v/>
      </c>
      <c r="E758" s="13" t="str">
        <f>IF($A758="","",[1]!thsiFinD("ths_adjustment_nv_fund",E$3,$A758))</f>
        <v/>
      </c>
      <c r="F758" s="13" t="str">
        <f>IF($A758="","",[1]!thsiFinD("ths_adjustment_nv_fund",F$3,$A758))</f>
        <v/>
      </c>
      <c r="G758" s="13" t="str">
        <f>IF($A758="","",[1]!thsiFinD("ths_adjustment_nv_fund",G$3,$A758))</f>
        <v/>
      </c>
      <c r="H758" s="13" t="str">
        <f>IF($A758="","",[1]!thsiFinD("ths_adjustment_nv_fund",H$3,$A758))</f>
        <v/>
      </c>
      <c r="I758" s="13" t="str">
        <f>IF($A758="","",[1]!thsiFinD("ths_adjustment_nv_fund",I$3,$A758))</f>
        <v/>
      </c>
      <c r="J758" s="13" t="str">
        <f>IF($A758="","",[1]!thsiFinD("ths_adjustment_nv_fund",J$3,$A758))</f>
        <v/>
      </c>
      <c r="K758" s="13" t="str">
        <f>IF($A758="","",[1]!thsiFinD("ths_adjustment_nv_fund",K$3,$A758))</f>
        <v/>
      </c>
      <c r="L758" s="13" t="str">
        <f>IF($A758="","",[1]!thsiFinD("ths_adjustment_nv_fund",L$3,$A758))</f>
        <v/>
      </c>
      <c r="M758" s="13" t="str">
        <f>IF($A758="","",[1]!thsiFinD("ths_adjustment_nv_fund",M$3,$A758))</f>
        <v/>
      </c>
      <c r="N758" s="13" t="str">
        <f>IF($A758="","",[1]!thsiFinD("ths_adjustment_nv_fund",N$3,$A758))</f>
        <v/>
      </c>
      <c r="O758" s="13" t="str">
        <f>IF($A758="","",[1]!thsiFinD("ths_adjustment_nv_fund",O$3,$A758))</f>
        <v/>
      </c>
      <c r="P758" s="13" t="str">
        <f>IF($A758="","",[1]!thsiFinD("ths_adjustment_nv_fund",P$3,$A758))</f>
        <v/>
      </c>
      <c r="Q758" s="13" t="str">
        <f>IF($A758="","",[1]!thsiFinD("ths_adjustment_nv_fund",Q$3,$A758))</f>
        <v/>
      </c>
      <c r="R758" s="13" t="str">
        <f>IF($A758="","",[1]!thsiFinD("ths_adjustment_nv_fund",R$3,$A758))</f>
        <v/>
      </c>
      <c r="S758" s="13" t="str">
        <f>IF($A758="","",[1]!thsiFinD("ths_adjustment_nv_fund",S$3,$A758))</f>
        <v/>
      </c>
      <c r="T758" s="13" t="str">
        <f>IF($A758="","",[1]!thsiFinD("ths_adjustment_nv_fund",T$3,$A758))</f>
        <v/>
      </c>
      <c r="U758" s="13" t="str">
        <f>IF($A758="","",[1]!thsiFinD("ths_adjustment_nv_fund",U$3,$A758))</f>
        <v/>
      </c>
      <c r="V758" s="13" t="str">
        <f>IF($A758="","",[1]!thsiFinD("ths_adjustment_nv_fund",V$3,$A758))</f>
        <v/>
      </c>
      <c r="W758" s="13" t="str">
        <f>IF($A758="","",[1]!thsiFinD("ths_adjustment_nv_fund",W$3,$A758))</f>
        <v/>
      </c>
      <c r="X758" s="13" t="str">
        <f>IF($A758="","",[1]!thsiFinD("ths_adjustment_nv_fund",X$3,$A758))</f>
        <v/>
      </c>
      <c r="Y758" s="13" t="str">
        <f>IF($A758="","",[1]!thsiFinD("ths_adjustment_nv_fund",Y$3,$A758))</f>
        <v/>
      </c>
      <c r="Z758" s="13" t="str">
        <f>IF($A758="","",[1]!thsiFinD("ths_adjustment_nv_fund",Z$3,$A758))</f>
        <v/>
      </c>
      <c r="AA758" s="13" t="str">
        <f>IF($A758="","",[1]!thsiFinD("ths_adjustment_nv_fund",AA$3,$A758))</f>
        <v/>
      </c>
      <c r="AB758" s="13" t="str">
        <f>IF($A758="","",[1]!thsiFinD("ths_adjustment_nv_fund",AB$3,$A758))</f>
        <v/>
      </c>
    </row>
    <row r="759" spans="2:28">
      <c r="B759" s="13" t="str">
        <f>IF($A759="","",[1]!thsiFinD("ths_adjustment_nv_fund",B$3,$A759))</f>
        <v/>
      </c>
      <c r="C759" s="13" t="str">
        <f>IF($A759="","",[1]!thsiFinD("ths_adjustment_nv_fund",C$3,$A759))</f>
        <v/>
      </c>
      <c r="D759" s="13" t="str">
        <f>IF($A759="","",[1]!thsiFinD("ths_adjustment_nv_fund",D$3,$A759))</f>
        <v/>
      </c>
      <c r="E759" s="13" t="str">
        <f>IF($A759="","",[1]!thsiFinD("ths_adjustment_nv_fund",E$3,$A759))</f>
        <v/>
      </c>
      <c r="F759" s="13" t="str">
        <f>IF($A759="","",[1]!thsiFinD("ths_adjustment_nv_fund",F$3,$A759))</f>
        <v/>
      </c>
      <c r="G759" s="13" t="str">
        <f>IF($A759="","",[1]!thsiFinD("ths_adjustment_nv_fund",G$3,$A759))</f>
        <v/>
      </c>
      <c r="H759" s="13" t="str">
        <f>IF($A759="","",[1]!thsiFinD("ths_adjustment_nv_fund",H$3,$A759))</f>
        <v/>
      </c>
      <c r="I759" s="13" t="str">
        <f>IF($A759="","",[1]!thsiFinD("ths_adjustment_nv_fund",I$3,$A759))</f>
        <v/>
      </c>
      <c r="J759" s="13" t="str">
        <f>IF($A759="","",[1]!thsiFinD("ths_adjustment_nv_fund",J$3,$A759))</f>
        <v/>
      </c>
      <c r="K759" s="13" t="str">
        <f>IF($A759="","",[1]!thsiFinD("ths_adjustment_nv_fund",K$3,$A759))</f>
        <v/>
      </c>
      <c r="L759" s="13" t="str">
        <f>IF($A759="","",[1]!thsiFinD("ths_adjustment_nv_fund",L$3,$A759))</f>
        <v/>
      </c>
      <c r="M759" s="13" t="str">
        <f>IF($A759="","",[1]!thsiFinD("ths_adjustment_nv_fund",M$3,$A759))</f>
        <v/>
      </c>
      <c r="N759" s="13" t="str">
        <f>IF($A759="","",[1]!thsiFinD("ths_adjustment_nv_fund",N$3,$A759))</f>
        <v/>
      </c>
      <c r="O759" s="13" t="str">
        <f>IF($A759="","",[1]!thsiFinD("ths_adjustment_nv_fund",O$3,$A759))</f>
        <v/>
      </c>
      <c r="P759" s="13" t="str">
        <f>IF($A759="","",[1]!thsiFinD("ths_adjustment_nv_fund",P$3,$A759))</f>
        <v/>
      </c>
      <c r="Q759" s="13" t="str">
        <f>IF($A759="","",[1]!thsiFinD("ths_adjustment_nv_fund",Q$3,$A759))</f>
        <v/>
      </c>
      <c r="R759" s="13" t="str">
        <f>IF($A759="","",[1]!thsiFinD("ths_adjustment_nv_fund",R$3,$A759))</f>
        <v/>
      </c>
      <c r="S759" s="13" t="str">
        <f>IF($A759="","",[1]!thsiFinD("ths_adjustment_nv_fund",S$3,$A759))</f>
        <v/>
      </c>
      <c r="T759" s="13" t="str">
        <f>IF($A759="","",[1]!thsiFinD("ths_adjustment_nv_fund",T$3,$A759))</f>
        <v/>
      </c>
      <c r="U759" s="13" t="str">
        <f>IF($A759="","",[1]!thsiFinD("ths_adjustment_nv_fund",U$3,$A759))</f>
        <v/>
      </c>
      <c r="V759" s="13" t="str">
        <f>IF($A759="","",[1]!thsiFinD("ths_adjustment_nv_fund",V$3,$A759))</f>
        <v/>
      </c>
      <c r="W759" s="13" t="str">
        <f>IF($A759="","",[1]!thsiFinD("ths_adjustment_nv_fund",W$3,$A759))</f>
        <v/>
      </c>
      <c r="X759" s="13" t="str">
        <f>IF($A759="","",[1]!thsiFinD("ths_adjustment_nv_fund",X$3,$A759))</f>
        <v/>
      </c>
      <c r="Y759" s="13" t="str">
        <f>IF($A759="","",[1]!thsiFinD("ths_adjustment_nv_fund",Y$3,$A759))</f>
        <v/>
      </c>
      <c r="Z759" s="13" t="str">
        <f>IF($A759="","",[1]!thsiFinD("ths_adjustment_nv_fund",Z$3,$A759))</f>
        <v/>
      </c>
      <c r="AA759" s="13" t="str">
        <f>IF($A759="","",[1]!thsiFinD("ths_adjustment_nv_fund",AA$3,$A759))</f>
        <v/>
      </c>
      <c r="AB759" s="13" t="str">
        <f>IF($A759="","",[1]!thsiFinD("ths_adjustment_nv_fund",AB$3,$A759))</f>
        <v/>
      </c>
    </row>
    <row r="760" spans="2:28">
      <c r="B760" s="13" t="str">
        <f>IF($A760="","",[1]!thsiFinD("ths_adjustment_nv_fund",B$3,$A760))</f>
        <v/>
      </c>
      <c r="C760" s="13" t="str">
        <f>IF($A760="","",[1]!thsiFinD("ths_adjustment_nv_fund",C$3,$A760))</f>
        <v/>
      </c>
      <c r="D760" s="13" t="str">
        <f>IF($A760="","",[1]!thsiFinD("ths_adjustment_nv_fund",D$3,$A760))</f>
        <v/>
      </c>
      <c r="E760" s="13" t="str">
        <f>IF($A760="","",[1]!thsiFinD("ths_adjustment_nv_fund",E$3,$A760))</f>
        <v/>
      </c>
      <c r="F760" s="13" t="str">
        <f>IF($A760="","",[1]!thsiFinD("ths_adjustment_nv_fund",F$3,$A760))</f>
        <v/>
      </c>
      <c r="G760" s="13" t="str">
        <f>IF($A760="","",[1]!thsiFinD("ths_adjustment_nv_fund",G$3,$A760))</f>
        <v/>
      </c>
      <c r="H760" s="13" t="str">
        <f>IF($A760="","",[1]!thsiFinD("ths_adjustment_nv_fund",H$3,$A760))</f>
        <v/>
      </c>
      <c r="I760" s="13" t="str">
        <f>IF($A760="","",[1]!thsiFinD("ths_adjustment_nv_fund",I$3,$A760))</f>
        <v/>
      </c>
      <c r="J760" s="13" t="str">
        <f>IF($A760="","",[1]!thsiFinD("ths_adjustment_nv_fund",J$3,$A760))</f>
        <v/>
      </c>
      <c r="K760" s="13" t="str">
        <f>IF($A760="","",[1]!thsiFinD("ths_adjustment_nv_fund",K$3,$A760))</f>
        <v/>
      </c>
      <c r="L760" s="13" t="str">
        <f>IF($A760="","",[1]!thsiFinD("ths_adjustment_nv_fund",L$3,$A760))</f>
        <v/>
      </c>
      <c r="M760" s="13" t="str">
        <f>IF($A760="","",[1]!thsiFinD("ths_adjustment_nv_fund",M$3,$A760))</f>
        <v/>
      </c>
      <c r="N760" s="13" t="str">
        <f>IF($A760="","",[1]!thsiFinD("ths_adjustment_nv_fund",N$3,$A760))</f>
        <v/>
      </c>
      <c r="O760" s="13" t="str">
        <f>IF($A760="","",[1]!thsiFinD("ths_adjustment_nv_fund",O$3,$A760))</f>
        <v/>
      </c>
      <c r="P760" s="13" t="str">
        <f>IF($A760="","",[1]!thsiFinD("ths_adjustment_nv_fund",P$3,$A760))</f>
        <v/>
      </c>
      <c r="Q760" s="13" t="str">
        <f>IF($A760="","",[1]!thsiFinD("ths_adjustment_nv_fund",Q$3,$A760))</f>
        <v/>
      </c>
      <c r="R760" s="13" t="str">
        <f>IF($A760="","",[1]!thsiFinD("ths_adjustment_nv_fund",R$3,$A760))</f>
        <v/>
      </c>
      <c r="S760" s="13" t="str">
        <f>IF($A760="","",[1]!thsiFinD("ths_adjustment_nv_fund",S$3,$A760))</f>
        <v/>
      </c>
      <c r="T760" s="13" t="str">
        <f>IF($A760="","",[1]!thsiFinD("ths_adjustment_nv_fund",T$3,$A760))</f>
        <v/>
      </c>
      <c r="U760" s="13" t="str">
        <f>IF($A760="","",[1]!thsiFinD("ths_adjustment_nv_fund",U$3,$A760))</f>
        <v/>
      </c>
      <c r="V760" s="13" t="str">
        <f>IF($A760="","",[1]!thsiFinD("ths_adjustment_nv_fund",V$3,$A760))</f>
        <v/>
      </c>
      <c r="W760" s="13" t="str">
        <f>IF($A760="","",[1]!thsiFinD("ths_adjustment_nv_fund",W$3,$A760))</f>
        <v/>
      </c>
      <c r="X760" s="13" t="str">
        <f>IF($A760="","",[1]!thsiFinD("ths_adjustment_nv_fund",X$3,$A760))</f>
        <v/>
      </c>
      <c r="Y760" s="13" t="str">
        <f>IF($A760="","",[1]!thsiFinD("ths_adjustment_nv_fund",Y$3,$A760))</f>
        <v/>
      </c>
      <c r="Z760" s="13" t="str">
        <f>IF($A760="","",[1]!thsiFinD("ths_adjustment_nv_fund",Z$3,$A760))</f>
        <v/>
      </c>
      <c r="AA760" s="13" t="str">
        <f>IF($A760="","",[1]!thsiFinD("ths_adjustment_nv_fund",AA$3,$A760))</f>
        <v/>
      </c>
      <c r="AB760" s="13" t="str">
        <f>IF($A760="","",[1]!thsiFinD("ths_adjustment_nv_fund",AB$3,$A760))</f>
        <v/>
      </c>
    </row>
    <row r="761" spans="2:28">
      <c r="B761" s="13" t="str">
        <f>IF($A761="","",[1]!thsiFinD("ths_adjustment_nv_fund",B$3,$A761))</f>
        <v/>
      </c>
      <c r="C761" s="13" t="str">
        <f>IF($A761="","",[1]!thsiFinD("ths_adjustment_nv_fund",C$3,$A761))</f>
        <v/>
      </c>
      <c r="D761" s="13" t="str">
        <f>IF($A761="","",[1]!thsiFinD("ths_adjustment_nv_fund",D$3,$A761))</f>
        <v/>
      </c>
      <c r="E761" s="13" t="str">
        <f>IF($A761="","",[1]!thsiFinD("ths_adjustment_nv_fund",E$3,$A761))</f>
        <v/>
      </c>
      <c r="F761" s="13" t="str">
        <f>IF($A761="","",[1]!thsiFinD("ths_adjustment_nv_fund",F$3,$A761))</f>
        <v/>
      </c>
      <c r="G761" s="13" t="str">
        <f>IF($A761="","",[1]!thsiFinD("ths_adjustment_nv_fund",G$3,$A761))</f>
        <v/>
      </c>
      <c r="H761" s="13" t="str">
        <f>IF($A761="","",[1]!thsiFinD("ths_adjustment_nv_fund",H$3,$A761))</f>
        <v/>
      </c>
      <c r="I761" s="13" t="str">
        <f>IF($A761="","",[1]!thsiFinD("ths_adjustment_nv_fund",I$3,$A761))</f>
        <v/>
      </c>
      <c r="J761" s="13" t="str">
        <f>IF($A761="","",[1]!thsiFinD("ths_adjustment_nv_fund",J$3,$A761))</f>
        <v/>
      </c>
      <c r="K761" s="13" t="str">
        <f>IF($A761="","",[1]!thsiFinD("ths_adjustment_nv_fund",K$3,$A761))</f>
        <v/>
      </c>
      <c r="L761" s="13" t="str">
        <f>IF($A761="","",[1]!thsiFinD("ths_adjustment_nv_fund",L$3,$A761))</f>
        <v/>
      </c>
      <c r="M761" s="13" t="str">
        <f>IF($A761="","",[1]!thsiFinD("ths_adjustment_nv_fund",M$3,$A761))</f>
        <v/>
      </c>
      <c r="N761" s="13" t="str">
        <f>IF($A761="","",[1]!thsiFinD("ths_adjustment_nv_fund",N$3,$A761))</f>
        <v/>
      </c>
      <c r="O761" s="13" t="str">
        <f>IF($A761="","",[1]!thsiFinD("ths_adjustment_nv_fund",O$3,$A761))</f>
        <v/>
      </c>
      <c r="P761" s="13" t="str">
        <f>IF($A761="","",[1]!thsiFinD("ths_adjustment_nv_fund",P$3,$A761))</f>
        <v/>
      </c>
      <c r="Q761" s="13" t="str">
        <f>IF($A761="","",[1]!thsiFinD("ths_adjustment_nv_fund",Q$3,$A761))</f>
        <v/>
      </c>
      <c r="R761" s="13" t="str">
        <f>IF($A761="","",[1]!thsiFinD("ths_adjustment_nv_fund",R$3,$A761))</f>
        <v/>
      </c>
      <c r="S761" s="13" t="str">
        <f>IF($A761="","",[1]!thsiFinD("ths_adjustment_nv_fund",S$3,$A761))</f>
        <v/>
      </c>
      <c r="T761" s="13" t="str">
        <f>IF($A761="","",[1]!thsiFinD("ths_adjustment_nv_fund",T$3,$A761))</f>
        <v/>
      </c>
      <c r="U761" s="13" t="str">
        <f>IF($A761="","",[1]!thsiFinD("ths_adjustment_nv_fund",U$3,$A761))</f>
        <v/>
      </c>
      <c r="V761" s="13" t="str">
        <f>IF($A761="","",[1]!thsiFinD("ths_adjustment_nv_fund",V$3,$A761))</f>
        <v/>
      </c>
      <c r="W761" s="13" t="str">
        <f>IF($A761="","",[1]!thsiFinD("ths_adjustment_nv_fund",W$3,$A761))</f>
        <v/>
      </c>
      <c r="X761" s="13" t="str">
        <f>IF($A761="","",[1]!thsiFinD("ths_adjustment_nv_fund",X$3,$A761))</f>
        <v/>
      </c>
      <c r="Y761" s="13" t="str">
        <f>IF($A761="","",[1]!thsiFinD("ths_adjustment_nv_fund",Y$3,$A761))</f>
        <v/>
      </c>
      <c r="Z761" s="13" t="str">
        <f>IF($A761="","",[1]!thsiFinD("ths_adjustment_nv_fund",Z$3,$A761))</f>
        <v/>
      </c>
      <c r="AA761" s="13" t="str">
        <f>IF($A761="","",[1]!thsiFinD("ths_adjustment_nv_fund",AA$3,$A761))</f>
        <v/>
      </c>
      <c r="AB761" s="13" t="str">
        <f>IF($A761="","",[1]!thsiFinD("ths_adjustment_nv_fund",AB$3,$A761))</f>
        <v/>
      </c>
    </row>
    <row r="762" spans="2:28">
      <c r="B762" s="13" t="str">
        <f>IF($A762="","",[1]!thsiFinD("ths_adjustment_nv_fund",B$3,$A762))</f>
        <v/>
      </c>
      <c r="C762" s="13" t="str">
        <f>IF($A762="","",[1]!thsiFinD("ths_adjustment_nv_fund",C$3,$A762))</f>
        <v/>
      </c>
      <c r="D762" s="13" t="str">
        <f>IF($A762="","",[1]!thsiFinD("ths_adjustment_nv_fund",D$3,$A762))</f>
        <v/>
      </c>
      <c r="E762" s="13" t="str">
        <f>IF($A762="","",[1]!thsiFinD("ths_adjustment_nv_fund",E$3,$A762))</f>
        <v/>
      </c>
      <c r="F762" s="13" t="str">
        <f>IF($A762="","",[1]!thsiFinD("ths_adjustment_nv_fund",F$3,$A762))</f>
        <v/>
      </c>
      <c r="G762" s="13" t="str">
        <f>IF($A762="","",[1]!thsiFinD("ths_adjustment_nv_fund",G$3,$A762))</f>
        <v/>
      </c>
      <c r="H762" s="13" t="str">
        <f>IF($A762="","",[1]!thsiFinD("ths_adjustment_nv_fund",H$3,$A762))</f>
        <v/>
      </c>
      <c r="I762" s="13" t="str">
        <f>IF($A762="","",[1]!thsiFinD("ths_adjustment_nv_fund",I$3,$A762))</f>
        <v/>
      </c>
      <c r="J762" s="13" t="str">
        <f>IF($A762="","",[1]!thsiFinD("ths_adjustment_nv_fund",J$3,$A762))</f>
        <v/>
      </c>
      <c r="K762" s="13" t="str">
        <f>IF($A762="","",[1]!thsiFinD("ths_adjustment_nv_fund",K$3,$A762))</f>
        <v/>
      </c>
      <c r="L762" s="13" t="str">
        <f>IF($A762="","",[1]!thsiFinD("ths_adjustment_nv_fund",L$3,$A762))</f>
        <v/>
      </c>
      <c r="M762" s="13" t="str">
        <f>IF($A762="","",[1]!thsiFinD("ths_adjustment_nv_fund",M$3,$A762))</f>
        <v/>
      </c>
      <c r="N762" s="13" t="str">
        <f>IF($A762="","",[1]!thsiFinD("ths_adjustment_nv_fund",N$3,$A762))</f>
        <v/>
      </c>
      <c r="O762" s="13" t="str">
        <f>IF($A762="","",[1]!thsiFinD("ths_adjustment_nv_fund",O$3,$A762))</f>
        <v/>
      </c>
      <c r="P762" s="13" t="str">
        <f>IF($A762="","",[1]!thsiFinD("ths_adjustment_nv_fund",P$3,$A762))</f>
        <v/>
      </c>
      <c r="Q762" s="13" t="str">
        <f>IF($A762="","",[1]!thsiFinD("ths_adjustment_nv_fund",Q$3,$A762))</f>
        <v/>
      </c>
      <c r="R762" s="13" t="str">
        <f>IF($A762="","",[1]!thsiFinD("ths_adjustment_nv_fund",R$3,$A762))</f>
        <v/>
      </c>
      <c r="S762" s="13" t="str">
        <f>IF($A762="","",[1]!thsiFinD("ths_adjustment_nv_fund",S$3,$A762))</f>
        <v/>
      </c>
      <c r="T762" s="13" t="str">
        <f>IF($A762="","",[1]!thsiFinD("ths_adjustment_nv_fund",T$3,$A762))</f>
        <v/>
      </c>
      <c r="U762" s="13" t="str">
        <f>IF($A762="","",[1]!thsiFinD("ths_adjustment_nv_fund",U$3,$A762))</f>
        <v/>
      </c>
      <c r="V762" s="13" t="str">
        <f>IF($A762="","",[1]!thsiFinD("ths_adjustment_nv_fund",V$3,$A762))</f>
        <v/>
      </c>
      <c r="W762" s="13" t="str">
        <f>IF($A762="","",[1]!thsiFinD("ths_adjustment_nv_fund",W$3,$A762))</f>
        <v/>
      </c>
      <c r="X762" s="13" t="str">
        <f>IF($A762="","",[1]!thsiFinD("ths_adjustment_nv_fund",X$3,$A762))</f>
        <v/>
      </c>
      <c r="Y762" s="13" t="str">
        <f>IF($A762="","",[1]!thsiFinD("ths_adjustment_nv_fund",Y$3,$A762))</f>
        <v/>
      </c>
      <c r="Z762" s="13" t="str">
        <f>IF($A762="","",[1]!thsiFinD("ths_adjustment_nv_fund",Z$3,$A762))</f>
        <v/>
      </c>
      <c r="AA762" s="13" t="str">
        <f>IF($A762="","",[1]!thsiFinD("ths_adjustment_nv_fund",AA$3,$A762))</f>
        <v/>
      </c>
      <c r="AB762" s="13" t="str">
        <f>IF($A762="","",[1]!thsiFinD("ths_adjustment_nv_fund",AB$3,$A762))</f>
        <v/>
      </c>
    </row>
    <row r="763" spans="2:28">
      <c r="B763" s="13" t="str">
        <f>IF($A763="","",[1]!thsiFinD("ths_adjustment_nv_fund",B$3,$A763))</f>
        <v/>
      </c>
      <c r="C763" s="13" t="str">
        <f>IF($A763="","",[1]!thsiFinD("ths_adjustment_nv_fund",C$3,$A763))</f>
        <v/>
      </c>
      <c r="D763" s="13" t="str">
        <f>IF($A763="","",[1]!thsiFinD("ths_adjustment_nv_fund",D$3,$A763))</f>
        <v/>
      </c>
      <c r="E763" s="13" t="str">
        <f>IF($A763="","",[1]!thsiFinD("ths_adjustment_nv_fund",E$3,$A763))</f>
        <v/>
      </c>
      <c r="F763" s="13" t="str">
        <f>IF($A763="","",[1]!thsiFinD("ths_adjustment_nv_fund",F$3,$A763))</f>
        <v/>
      </c>
      <c r="G763" s="13" t="str">
        <f>IF($A763="","",[1]!thsiFinD("ths_adjustment_nv_fund",G$3,$A763))</f>
        <v/>
      </c>
      <c r="H763" s="13" t="str">
        <f>IF($A763="","",[1]!thsiFinD("ths_adjustment_nv_fund",H$3,$A763))</f>
        <v/>
      </c>
      <c r="I763" s="13" t="str">
        <f>IF($A763="","",[1]!thsiFinD("ths_adjustment_nv_fund",I$3,$A763))</f>
        <v/>
      </c>
      <c r="J763" s="13" t="str">
        <f>IF($A763="","",[1]!thsiFinD("ths_adjustment_nv_fund",J$3,$A763))</f>
        <v/>
      </c>
      <c r="K763" s="13" t="str">
        <f>IF($A763="","",[1]!thsiFinD("ths_adjustment_nv_fund",K$3,$A763))</f>
        <v/>
      </c>
      <c r="L763" s="13" t="str">
        <f>IF($A763="","",[1]!thsiFinD("ths_adjustment_nv_fund",L$3,$A763))</f>
        <v/>
      </c>
      <c r="M763" s="13" t="str">
        <f>IF($A763="","",[1]!thsiFinD("ths_adjustment_nv_fund",M$3,$A763))</f>
        <v/>
      </c>
      <c r="N763" s="13" t="str">
        <f>IF($A763="","",[1]!thsiFinD("ths_adjustment_nv_fund",N$3,$A763))</f>
        <v/>
      </c>
      <c r="O763" s="13" t="str">
        <f>IF($A763="","",[1]!thsiFinD("ths_adjustment_nv_fund",O$3,$A763))</f>
        <v/>
      </c>
      <c r="P763" s="13" t="str">
        <f>IF($A763="","",[1]!thsiFinD("ths_adjustment_nv_fund",P$3,$A763))</f>
        <v/>
      </c>
      <c r="Q763" s="13" t="str">
        <f>IF($A763="","",[1]!thsiFinD("ths_adjustment_nv_fund",Q$3,$A763))</f>
        <v/>
      </c>
      <c r="R763" s="13" t="str">
        <f>IF($A763="","",[1]!thsiFinD("ths_adjustment_nv_fund",R$3,$A763))</f>
        <v/>
      </c>
      <c r="S763" s="13" t="str">
        <f>IF($A763="","",[1]!thsiFinD("ths_adjustment_nv_fund",S$3,$A763))</f>
        <v/>
      </c>
      <c r="T763" s="13" t="str">
        <f>IF($A763="","",[1]!thsiFinD("ths_adjustment_nv_fund",T$3,$A763))</f>
        <v/>
      </c>
      <c r="U763" s="13" t="str">
        <f>IF($A763="","",[1]!thsiFinD("ths_adjustment_nv_fund",U$3,$A763))</f>
        <v/>
      </c>
      <c r="V763" s="13" t="str">
        <f>IF($A763="","",[1]!thsiFinD("ths_adjustment_nv_fund",V$3,$A763))</f>
        <v/>
      </c>
      <c r="W763" s="13" t="str">
        <f>IF($A763="","",[1]!thsiFinD("ths_adjustment_nv_fund",W$3,$A763))</f>
        <v/>
      </c>
      <c r="X763" s="13" t="str">
        <f>IF($A763="","",[1]!thsiFinD("ths_adjustment_nv_fund",X$3,$A763))</f>
        <v/>
      </c>
      <c r="Y763" s="13" t="str">
        <f>IF($A763="","",[1]!thsiFinD("ths_adjustment_nv_fund",Y$3,$A763))</f>
        <v/>
      </c>
      <c r="Z763" s="13" t="str">
        <f>IF($A763="","",[1]!thsiFinD("ths_adjustment_nv_fund",Z$3,$A763))</f>
        <v/>
      </c>
      <c r="AA763" s="13" t="str">
        <f>IF($A763="","",[1]!thsiFinD("ths_adjustment_nv_fund",AA$3,$A763))</f>
        <v/>
      </c>
      <c r="AB763" s="13" t="str">
        <f>IF($A763="","",[1]!thsiFinD("ths_adjustment_nv_fund",AB$3,$A763))</f>
        <v/>
      </c>
    </row>
    <row r="764" spans="2:28">
      <c r="B764" s="13" t="str">
        <f>IF($A764="","",[1]!thsiFinD("ths_adjustment_nv_fund",B$3,$A764))</f>
        <v/>
      </c>
      <c r="C764" s="13" t="str">
        <f>IF($A764="","",[1]!thsiFinD("ths_adjustment_nv_fund",C$3,$A764))</f>
        <v/>
      </c>
      <c r="D764" s="13" t="str">
        <f>IF($A764="","",[1]!thsiFinD("ths_adjustment_nv_fund",D$3,$A764))</f>
        <v/>
      </c>
      <c r="E764" s="13" t="str">
        <f>IF($A764="","",[1]!thsiFinD("ths_adjustment_nv_fund",E$3,$A764))</f>
        <v/>
      </c>
      <c r="F764" s="13" t="str">
        <f>IF($A764="","",[1]!thsiFinD("ths_adjustment_nv_fund",F$3,$A764))</f>
        <v/>
      </c>
      <c r="G764" s="13" t="str">
        <f>IF($A764="","",[1]!thsiFinD("ths_adjustment_nv_fund",G$3,$A764))</f>
        <v/>
      </c>
      <c r="H764" s="13" t="str">
        <f>IF($A764="","",[1]!thsiFinD("ths_adjustment_nv_fund",H$3,$A764))</f>
        <v/>
      </c>
      <c r="I764" s="13" t="str">
        <f>IF($A764="","",[1]!thsiFinD("ths_adjustment_nv_fund",I$3,$A764))</f>
        <v/>
      </c>
      <c r="J764" s="13" t="str">
        <f>IF($A764="","",[1]!thsiFinD("ths_adjustment_nv_fund",J$3,$A764))</f>
        <v/>
      </c>
      <c r="K764" s="13" t="str">
        <f>IF($A764="","",[1]!thsiFinD("ths_adjustment_nv_fund",K$3,$A764))</f>
        <v/>
      </c>
      <c r="L764" s="13" t="str">
        <f>IF($A764="","",[1]!thsiFinD("ths_adjustment_nv_fund",L$3,$A764))</f>
        <v/>
      </c>
      <c r="M764" s="13" t="str">
        <f>IF($A764="","",[1]!thsiFinD("ths_adjustment_nv_fund",M$3,$A764))</f>
        <v/>
      </c>
      <c r="N764" s="13" t="str">
        <f>IF($A764="","",[1]!thsiFinD("ths_adjustment_nv_fund",N$3,$A764))</f>
        <v/>
      </c>
      <c r="O764" s="13" t="str">
        <f>IF($A764="","",[1]!thsiFinD("ths_adjustment_nv_fund",O$3,$A764))</f>
        <v/>
      </c>
      <c r="P764" s="13" t="str">
        <f>IF($A764="","",[1]!thsiFinD("ths_adjustment_nv_fund",P$3,$A764))</f>
        <v/>
      </c>
      <c r="Q764" s="13" t="str">
        <f>IF($A764="","",[1]!thsiFinD("ths_adjustment_nv_fund",Q$3,$A764))</f>
        <v/>
      </c>
      <c r="R764" s="13" t="str">
        <f>IF($A764="","",[1]!thsiFinD("ths_adjustment_nv_fund",R$3,$A764))</f>
        <v/>
      </c>
      <c r="S764" s="13" t="str">
        <f>IF($A764="","",[1]!thsiFinD("ths_adjustment_nv_fund",S$3,$A764))</f>
        <v/>
      </c>
      <c r="T764" s="13" t="str">
        <f>IF($A764="","",[1]!thsiFinD("ths_adjustment_nv_fund",T$3,$A764))</f>
        <v/>
      </c>
      <c r="U764" s="13" t="str">
        <f>IF($A764="","",[1]!thsiFinD("ths_adjustment_nv_fund",U$3,$A764))</f>
        <v/>
      </c>
      <c r="V764" s="13" t="str">
        <f>IF($A764="","",[1]!thsiFinD("ths_adjustment_nv_fund",V$3,$A764))</f>
        <v/>
      </c>
      <c r="W764" s="13" t="str">
        <f>IF($A764="","",[1]!thsiFinD("ths_adjustment_nv_fund",W$3,$A764))</f>
        <v/>
      </c>
      <c r="X764" s="13" t="str">
        <f>IF($A764="","",[1]!thsiFinD("ths_adjustment_nv_fund",X$3,$A764))</f>
        <v/>
      </c>
      <c r="Y764" s="13" t="str">
        <f>IF($A764="","",[1]!thsiFinD("ths_adjustment_nv_fund",Y$3,$A764))</f>
        <v/>
      </c>
      <c r="Z764" s="13" t="str">
        <f>IF($A764="","",[1]!thsiFinD("ths_adjustment_nv_fund",Z$3,$A764))</f>
        <v/>
      </c>
      <c r="AA764" s="13" t="str">
        <f>IF($A764="","",[1]!thsiFinD("ths_adjustment_nv_fund",AA$3,$A764))</f>
        <v/>
      </c>
      <c r="AB764" s="13" t="str">
        <f>IF($A764="","",[1]!thsiFinD("ths_adjustment_nv_fund",AB$3,$A764))</f>
        <v/>
      </c>
    </row>
    <row r="765" spans="2:28">
      <c r="B765" s="13" t="str">
        <f>IF($A765="","",[1]!thsiFinD("ths_adjustment_nv_fund",B$3,$A765))</f>
        <v/>
      </c>
      <c r="C765" s="13" t="str">
        <f>IF($A765="","",[1]!thsiFinD("ths_adjustment_nv_fund",C$3,$A765))</f>
        <v/>
      </c>
      <c r="D765" s="13" t="str">
        <f>IF($A765="","",[1]!thsiFinD("ths_adjustment_nv_fund",D$3,$A765))</f>
        <v/>
      </c>
      <c r="E765" s="13" t="str">
        <f>IF($A765="","",[1]!thsiFinD("ths_adjustment_nv_fund",E$3,$A765))</f>
        <v/>
      </c>
      <c r="F765" s="13" t="str">
        <f>IF($A765="","",[1]!thsiFinD("ths_adjustment_nv_fund",F$3,$A765))</f>
        <v/>
      </c>
      <c r="G765" s="13" t="str">
        <f>IF($A765="","",[1]!thsiFinD("ths_adjustment_nv_fund",G$3,$A765))</f>
        <v/>
      </c>
      <c r="H765" s="13" t="str">
        <f>IF($A765="","",[1]!thsiFinD("ths_adjustment_nv_fund",H$3,$A765))</f>
        <v/>
      </c>
      <c r="I765" s="13" t="str">
        <f>IF($A765="","",[1]!thsiFinD("ths_adjustment_nv_fund",I$3,$A765))</f>
        <v/>
      </c>
      <c r="J765" s="13" t="str">
        <f>IF($A765="","",[1]!thsiFinD("ths_adjustment_nv_fund",J$3,$A765))</f>
        <v/>
      </c>
      <c r="K765" s="13" t="str">
        <f>IF($A765="","",[1]!thsiFinD("ths_adjustment_nv_fund",K$3,$A765))</f>
        <v/>
      </c>
      <c r="L765" s="13" t="str">
        <f>IF($A765="","",[1]!thsiFinD("ths_adjustment_nv_fund",L$3,$A765))</f>
        <v/>
      </c>
      <c r="M765" s="13" t="str">
        <f>IF($A765="","",[1]!thsiFinD("ths_adjustment_nv_fund",M$3,$A765))</f>
        <v/>
      </c>
      <c r="N765" s="13" t="str">
        <f>IF($A765="","",[1]!thsiFinD("ths_adjustment_nv_fund",N$3,$A765))</f>
        <v/>
      </c>
      <c r="O765" s="13" t="str">
        <f>IF($A765="","",[1]!thsiFinD("ths_adjustment_nv_fund",O$3,$A765))</f>
        <v/>
      </c>
      <c r="P765" s="13" t="str">
        <f>IF($A765="","",[1]!thsiFinD("ths_adjustment_nv_fund",P$3,$A765))</f>
        <v/>
      </c>
      <c r="Q765" s="13" t="str">
        <f>IF($A765="","",[1]!thsiFinD("ths_adjustment_nv_fund",Q$3,$A765))</f>
        <v/>
      </c>
      <c r="R765" s="13" t="str">
        <f>IF($A765="","",[1]!thsiFinD("ths_adjustment_nv_fund",R$3,$A765))</f>
        <v/>
      </c>
      <c r="S765" s="13" t="str">
        <f>IF($A765="","",[1]!thsiFinD("ths_adjustment_nv_fund",S$3,$A765))</f>
        <v/>
      </c>
      <c r="T765" s="13" t="str">
        <f>IF($A765="","",[1]!thsiFinD("ths_adjustment_nv_fund",T$3,$A765))</f>
        <v/>
      </c>
      <c r="U765" s="13" t="str">
        <f>IF($A765="","",[1]!thsiFinD("ths_adjustment_nv_fund",U$3,$A765))</f>
        <v/>
      </c>
      <c r="V765" s="13" t="str">
        <f>IF($A765="","",[1]!thsiFinD("ths_adjustment_nv_fund",V$3,$A765))</f>
        <v/>
      </c>
      <c r="W765" s="13" t="str">
        <f>IF($A765="","",[1]!thsiFinD("ths_adjustment_nv_fund",W$3,$A765))</f>
        <v/>
      </c>
      <c r="X765" s="13" t="str">
        <f>IF($A765="","",[1]!thsiFinD("ths_adjustment_nv_fund",X$3,$A765))</f>
        <v/>
      </c>
      <c r="Y765" s="13" t="str">
        <f>IF($A765="","",[1]!thsiFinD("ths_adjustment_nv_fund",Y$3,$A765))</f>
        <v/>
      </c>
      <c r="Z765" s="13" t="str">
        <f>IF($A765="","",[1]!thsiFinD("ths_adjustment_nv_fund",Z$3,$A765))</f>
        <v/>
      </c>
      <c r="AA765" s="13" t="str">
        <f>IF($A765="","",[1]!thsiFinD("ths_adjustment_nv_fund",AA$3,$A765))</f>
        <v/>
      </c>
      <c r="AB765" s="13" t="str">
        <f>IF($A765="","",[1]!thsiFinD("ths_adjustment_nv_fund",AB$3,$A765))</f>
        <v/>
      </c>
    </row>
    <row r="766" spans="2:28">
      <c r="B766" s="13" t="str">
        <f>IF($A766="","",[1]!thsiFinD("ths_adjustment_nv_fund",B$3,$A766))</f>
        <v/>
      </c>
      <c r="C766" s="13" t="str">
        <f>IF($A766="","",[1]!thsiFinD("ths_adjustment_nv_fund",C$3,$A766))</f>
        <v/>
      </c>
      <c r="D766" s="13" t="str">
        <f>IF($A766="","",[1]!thsiFinD("ths_adjustment_nv_fund",D$3,$A766))</f>
        <v/>
      </c>
      <c r="E766" s="13" t="str">
        <f>IF($A766="","",[1]!thsiFinD("ths_adjustment_nv_fund",E$3,$A766))</f>
        <v/>
      </c>
      <c r="F766" s="13" t="str">
        <f>IF($A766="","",[1]!thsiFinD("ths_adjustment_nv_fund",F$3,$A766))</f>
        <v/>
      </c>
      <c r="G766" s="13" t="str">
        <f>IF($A766="","",[1]!thsiFinD("ths_adjustment_nv_fund",G$3,$A766))</f>
        <v/>
      </c>
      <c r="H766" s="13" t="str">
        <f>IF($A766="","",[1]!thsiFinD("ths_adjustment_nv_fund",H$3,$A766))</f>
        <v/>
      </c>
      <c r="I766" s="13" t="str">
        <f>IF($A766="","",[1]!thsiFinD("ths_adjustment_nv_fund",I$3,$A766))</f>
        <v/>
      </c>
      <c r="J766" s="13" t="str">
        <f>IF($A766="","",[1]!thsiFinD("ths_adjustment_nv_fund",J$3,$A766))</f>
        <v/>
      </c>
      <c r="K766" s="13" t="str">
        <f>IF($A766="","",[1]!thsiFinD("ths_adjustment_nv_fund",K$3,$A766))</f>
        <v/>
      </c>
      <c r="L766" s="13" t="str">
        <f>IF($A766="","",[1]!thsiFinD("ths_adjustment_nv_fund",L$3,$A766))</f>
        <v/>
      </c>
      <c r="M766" s="13" t="str">
        <f>IF($A766="","",[1]!thsiFinD("ths_adjustment_nv_fund",M$3,$A766))</f>
        <v/>
      </c>
      <c r="N766" s="13" t="str">
        <f>IF($A766="","",[1]!thsiFinD("ths_adjustment_nv_fund",N$3,$A766))</f>
        <v/>
      </c>
      <c r="O766" s="13" t="str">
        <f>IF($A766="","",[1]!thsiFinD("ths_adjustment_nv_fund",O$3,$A766))</f>
        <v/>
      </c>
      <c r="P766" s="13" t="str">
        <f>IF($A766="","",[1]!thsiFinD("ths_adjustment_nv_fund",P$3,$A766))</f>
        <v/>
      </c>
      <c r="Q766" s="13" t="str">
        <f>IF($A766="","",[1]!thsiFinD("ths_adjustment_nv_fund",Q$3,$A766))</f>
        <v/>
      </c>
      <c r="R766" s="13" t="str">
        <f>IF($A766="","",[1]!thsiFinD("ths_adjustment_nv_fund",R$3,$A766))</f>
        <v/>
      </c>
      <c r="S766" s="13" t="str">
        <f>IF($A766="","",[1]!thsiFinD("ths_adjustment_nv_fund",S$3,$A766))</f>
        <v/>
      </c>
      <c r="T766" s="13" t="str">
        <f>IF($A766="","",[1]!thsiFinD("ths_adjustment_nv_fund",T$3,$A766))</f>
        <v/>
      </c>
      <c r="U766" s="13" t="str">
        <f>IF($A766="","",[1]!thsiFinD("ths_adjustment_nv_fund",U$3,$A766))</f>
        <v/>
      </c>
      <c r="V766" s="13" t="str">
        <f>IF($A766="","",[1]!thsiFinD("ths_adjustment_nv_fund",V$3,$A766))</f>
        <v/>
      </c>
      <c r="W766" s="13" t="str">
        <f>IF($A766="","",[1]!thsiFinD("ths_adjustment_nv_fund",W$3,$A766))</f>
        <v/>
      </c>
      <c r="X766" s="13" t="str">
        <f>IF($A766="","",[1]!thsiFinD("ths_adjustment_nv_fund",X$3,$A766))</f>
        <v/>
      </c>
      <c r="Y766" s="13" t="str">
        <f>IF($A766="","",[1]!thsiFinD("ths_adjustment_nv_fund",Y$3,$A766))</f>
        <v/>
      </c>
      <c r="Z766" s="13" t="str">
        <f>IF($A766="","",[1]!thsiFinD("ths_adjustment_nv_fund",Z$3,$A766))</f>
        <v/>
      </c>
      <c r="AA766" s="13" t="str">
        <f>IF($A766="","",[1]!thsiFinD("ths_adjustment_nv_fund",AA$3,$A766))</f>
        <v/>
      </c>
      <c r="AB766" s="13" t="str">
        <f>IF($A766="","",[1]!thsiFinD("ths_adjustment_nv_fund",AB$3,$A766))</f>
        <v/>
      </c>
    </row>
    <row r="767" spans="2:28">
      <c r="B767" s="13" t="str">
        <f>IF($A767="","",[1]!thsiFinD("ths_adjustment_nv_fund",B$3,$A767))</f>
        <v/>
      </c>
      <c r="C767" s="13" t="str">
        <f>IF($A767="","",[1]!thsiFinD("ths_adjustment_nv_fund",C$3,$A767))</f>
        <v/>
      </c>
      <c r="D767" s="13" t="str">
        <f>IF($A767="","",[1]!thsiFinD("ths_adjustment_nv_fund",D$3,$A767))</f>
        <v/>
      </c>
      <c r="E767" s="13" t="str">
        <f>IF($A767="","",[1]!thsiFinD("ths_adjustment_nv_fund",E$3,$A767))</f>
        <v/>
      </c>
      <c r="F767" s="13" t="str">
        <f>IF($A767="","",[1]!thsiFinD("ths_adjustment_nv_fund",F$3,$A767))</f>
        <v/>
      </c>
      <c r="G767" s="13" t="str">
        <f>IF($A767="","",[1]!thsiFinD("ths_adjustment_nv_fund",G$3,$A767))</f>
        <v/>
      </c>
      <c r="H767" s="13" t="str">
        <f>IF($A767="","",[1]!thsiFinD("ths_adjustment_nv_fund",H$3,$A767))</f>
        <v/>
      </c>
      <c r="I767" s="13" t="str">
        <f>IF($A767="","",[1]!thsiFinD("ths_adjustment_nv_fund",I$3,$A767))</f>
        <v/>
      </c>
      <c r="J767" s="13" t="str">
        <f>IF($A767="","",[1]!thsiFinD("ths_adjustment_nv_fund",J$3,$A767))</f>
        <v/>
      </c>
      <c r="K767" s="13" t="str">
        <f>IF($A767="","",[1]!thsiFinD("ths_adjustment_nv_fund",K$3,$A767))</f>
        <v/>
      </c>
      <c r="L767" s="13" t="str">
        <f>IF($A767="","",[1]!thsiFinD("ths_adjustment_nv_fund",L$3,$A767))</f>
        <v/>
      </c>
      <c r="M767" s="13" t="str">
        <f>IF($A767="","",[1]!thsiFinD("ths_adjustment_nv_fund",M$3,$A767))</f>
        <v/>
      </c>
      <c r="N767" s="13" t="str">
        <f>IF($A767="","",[1]!thsiFinD("ths_adjustment_nv_fund",N$3,$A767))</f>
        <v/>
      </c>
      <c r="O767" s="13" t="str">
        <f>IF($A767="","",[1]!thsiFinD("ths_adjustment_nv_fund",O$3,$A767))</f>
        <v/>
      </c>
      <c r="P767" s="13" t="str">
        <f>IF($A767="","",[1]!thsiFinD("ths_adjustment_nv_fund",P$3,$A767))</f>
        <v/>
      </c>
      <c r="Q767" s="13" t="str">
        <f>IF($A767="","",[1]!thsiFinD("ths_adjustment_nv_fund",Q$3,$A767))</f>
        <v/>
      </c>
      <c r="R767" s="13" t="str">
        <f>IF($A767="","",[1]!thsiFinD("ths_adjustment_nv_fund",R$3,$A767))</f>
        <v/>
      </c>
      <c r="S767" s="13" t="str">
        <f>IF($A767="","",[1]!thsiFinD("ths_adjustment_nv_fund",S$3,$A767))</f>
        <v/>
      </c>
      <c r="T767" s="13" t="str">
        <f>IF($A767="","",[1]!thsiFinD("ths_adjustment_nv_fund",T$3,$A767))</f>
        <v/>
      </c>
      <c r="U767" s="13" t="str">
        <f>IF($A767="","",[1]!thsiFinD("ths_adjustment_nv_fund",U$3,$A767))</f>
        <v/>
      </c>
      <c r="V767" s="13" t="str">
        <f>IF($A767="","",[1]!thsiFinD("ths_adjustment_nv_fund",V$3,$A767))</f>
        <v/>
      </c>
      <c r="W767" s="13" t="str">
        <f>IF($A767="","",[1]!thsiFinD("ths_adjustment_nv_fund",W$3,$A767))</f>
        <v/>
      </c>
      <c r="X767" s="13" t="str">
        <f>IF($A767="","",[1]!thsiFinD("ths_adjustment_nv_fund",X$3,$A767))</f>
        <v/>
      </c>
      <c r="Y767" s="13" t="str">
        <f>IF($A767="","",[1]!thsiFinD("ths_adjustment_nv_fund",Y$3,$A767))</f>
        <v/>
      </c>
      <c r="Z767" s="13" t="str">
        <f>IF($A767="","",[1]!thsiFinD("ths_adjustment_nv_fund",Z$3,$A767))</f>
        <v/>
      </c>
      <c r="AA767" s="13" t="str">
        <f>IF($A767="","",[1]!thsiFinD("ths_adjustment_nv_fund",AA$3,$A767))</f>
        <v/>
      </c>
      <c r="AB767" s="13" t="str">
        <f>IF($A767="","",[1]!thsiFinD("ths_adjustment_nv_fund",AB$3,$A767))</f>
        <v/>
      </c>
    </row>
    <row r="768" spans="2:28">
      <c r="B768" s="13" t="str">
        <f>IF($A768="","",[1]!thsiFinD("ths_adjustment_nv_fund",B$3,$A768))</f>
        <v/>
      </c>
      <c r="C768" s="13" t="str">
        <f>IF($A768="","",[1]!thsiFinD("ths_adjustment_nv_fund",C$3,$A768))</f>
        <v/>
      </c>
      <c r="D768" s="13" t="str">
        <f>IF($A768="","",[1]!thsiFinD("ths_adjustment_nv_fund",D$3,$A768))</f>
        <v/>
      </c>
      <c r="E768" s="13" t="str">
        <f>IF($A768="","",[1]!thsiFinD("ths_adjustment_nv_fund",E$3,$A768))</f>
        <v/>
      </c>
      <c r="F768" s="13" t="str">
        <f>IF($A768="","",[1]!thsiFinD("ths_adjustment_nv_fund",F$3,$A768))</f>
        <v/>
      </c>
      <c r="G768" s="13" t="str">
        <f>IF($A768="","",[1]!thsiFinD("ths_adjustment_nv_fund",G$3,$A768))</f>
        <v/>
      </c>
      <c r="H768" s="13" t="str">
        <f>IF($A768="","",[1]!thsiFinD("ths_adjustment_nv_fund",H$3,$A768))</f>
        <v/>
      </c>
      <c r="I768" s="13" t="str">
        <f>IF($A768="","",[1]!thsiFinD("ths_adjustment_nv_fund",I$3,$A768))</f>
        <v/>
      </c>
      <c r="J768" s="13" t="str">
        <f>IF($A768="","",[1]!thsiFinD("ths_adjustment_nv_fund",J$3,$A768))</f>
        <v/>
      </c>
      <c r="K768" s="13" t="str">
        <f>IF($A768="","",[1]!thsiFinD("ths_adjustment_nv_fund",K$3,$A768))</f>
        <v/>
      </c>
      <c r="L768" s="13" t="str">
        <f>IF($A768="","",[1]!thsiFinD("ths_adjustment_nv_fund",L$3,$A768))</f>
        <v/>
      </c>
      <c r="M768" s="13" t="str">
        <f>IF($A768="","",[1]!thsiFinD("ths_adjustment_nv_fund",M$3,$A768))</f>
        <v/>
      </c>
      <c r="N768" s="13" t="str">
        <f>IF($A768="","",[1]!thsiFinD("ths_adjustment_nv_fund",N$3,$A768))</f>
        <v/>
      </c>
      <c r="O768" s="13" t="str">
        <f>IF($A768="","",[1]!thsiFinD("ths_adjustment_nv_fund",O$3,$A768))</f>
        <v/>
      </c>
      <c r="P768" s="13" t="str">
        <f>IF($A768="","",[1]!thsiFinD("ths_adjustment_nv_fund",P$3,$A768))</f>
        <v/>
      </c>
      <c r="Q768" s="13" t="str">
        <f>IF($A768="","",[1]!thsiFinD("ths_adjustment_nv_fund",Q$3,$A768))</f>
        <v/>
      </c>
      <c r="R768" s="13" t="str">
        <f>IF($A768="","",[1]!thsiFinD("ths_adjustment_nv_fund",R$3,$A768))</f>
        <v/>
      </c>
      <c r="S768" s="13" t="str">
        <f>IF($A768="","",[1]!thsiFinD("ths_adjustment_nv_fund",S$3,$A768))</f>
        <v/>
      </c>
      <c r="T768" s="13" t="str">
        <f>IF($A768="","",[1]!thsiFinD("ths_adjustment_nv_fund",T$3,$A768))</f>
        <v/>
      </c>
      <c r="U768" s="13" t="str">
        <f>IF($A768="","",[1]!thsiFinD("ths_adjustment_nv_fund",U$3,$A768))</f>
        <v/>
      </c>
      <c r="V768" s="13" t="str">
        <f>IF($A768="","",[1]!thsiFinD("ths_adjustment_nv_fund",V$3,$A768))</f>
        <v/>
      </c>
      <c r="W768" s="13" t="str">
        <f>IF($A768="","",[1]!thsiFinD("ths_adjustment_nv_fund",W$3,$A768))</f>
        <v/>
      </c>
      <c r="X768" s="13" t="str">
        <f>IF($A768="","",[1]!thsiFinD("ths_adjustment_nv_fund",X$3,$A768))</f>
        <v/>
      </c>
      <c r="Y768" s="13" t="str">
        <f>IF($A768="","",[1]!thsiFinD("ths_adjustment_nv_fund",Y$3,$A768))</f>
        <v/>
      </c>
      <c r="Z768" s="13" t="str">
        <f>IF($A768="","",[1]!thsiFinD("ths_adjustment_nv_fund",Z$3,$A768))</f>
        <v/>
      </c>
      <c r="AA768" s="13" t="str">
        <f>IF($A768="","",[1]!thsiFinD("ths_adjustment_nv_fund",AA$3,$A768))</f>
        <v/>
      </c>
      <c r="AB768" s="13" t="str">
        <f>IF($A768="","",[1]!thsiFinD("ths_adjustment_nv_fund",AB$3,$A768))</f>
        <v/>
      </c>
    </row>
    <row r="769" spans="2:28">
      <c r="B769" s="13" t="str">
        <f>IF($A769="","",[1]!thsiFinD("ths_adjustment_nv_fund",B$3,$A769))</f>
        <v/>
      </c>
      <c r="C769" s="13" t="str">
        <f>IF($A769="","",[1]!thsiFinD("ths_adjustment_nv_fund",C$3,$A769))</f>
        <v/>
      </c>
      <c r="D769" s="13" t="str">
        <f>IF($A769="","",[1]!thsiFinD("ths_adjustment_nv_fund",D$3,$A769))</f>
        <v/>
      </c>
      <c r="E769" s="13" t="str">
        <f>IF($A769="","",[1]!thsiFinD("ths_adjustment_nv_fund",E$3,$A769))</f>
        <v/>
      </c>
      <c r="F769" s="13" t="str">
        <f>IF($A769="","",[1]!thsiFinD("ths_adjustment_nv_fund",F$3,$A769))</f>
        <v/>
      </c>
      <c r="G769" s="13" t="str">
        <f>IF($A769="","",[1]!thsiFinD("ths_adjustment_nv_fund",G$3,$A769))</f>
        <v/>
      </c>
      <c r="H769" s="13" t="str">
        <f>IF($A769="","",[1]!thsiFinD("ths_adjustment_nv_fund",H$3,$A769))</f>
        <v/>
      </c>
      <c r="I769" s="13" t="str">
        <f>IF($A769="","",[1]!thsiFinD("ths_adjustment_nv_fund",I$3,$A769))</f>
        <v/>
      </c>
      <c r="J769" s="13" t="str">
        <f>IF($A769="","",[1]!thsiFinD("ths_adjustment_nv_fund",J$3,$A769))</f>
        <v/>
      </c>
      <c r="K769" s="13" t="str">
        <f>IF($A769="","",[1]!thsiFinD("ths_adjustment_nv_fund",K$3,$A769))</f>
        <v/>
      </c>
      <c r="L769" s="13" t="str">
        <f>IF($A769="","",[1]!thsiFinD("ths_adjustment_nv_fund",L$3,$A769))</f>
        <v/>
      </c>
      <c r="M769" s="13" t="str">
        <f>IF($A769="","",[1]!thsiFinD("ths_adjustment_nv_fund",M$3,$A769))</f>
        <v/>
      </c>
      <c r="N769" s="13" t="str">
        <f>IF($A769="","",[1]!thsiFinD("ths_adjustment_nv_fund",N$3,$A769))</f>
        <v/>
      </c>
      <c r="O769" s="13" t="str">
        <f>IF($A769="","",[1]!thsiFinD("ths_adjustment_nv_fund",O$3,$A769))</f>
        <v/>
      </c>
      <c r="P769" s="13" t="str">
        <f>IF($A769="","",[1]!thsiFinD("ths_adjustment_nv_fund",P$3,$A769))</f>
        <v/>
      </c>
      <c r="Q769" s="13" t="str">
        <f>IF($A769="","",[1]!thsiFinD("ths_adjustment_nv_fund",Q$3,$A769))</f>
        <v/>
      </c>
      <c r="R769" s="13" t="str">
        <f>IF($A769="","",[1]!thsiFinD("ths_adjustment_nv_fund",R$3,$A769))</f>
        <v/>
      </c>
      <c r="S769" s="13" t="str">
        <f>IF($A769="","",[1]!thsiFinD("ths_adjustment_nv_fund",S$3,$A769))</f>
        <v/>
      </c>
      <c r="T769" s="13" t="str">
        <f>IF($A769="","",[1]!thsiFinD("ths_adjustment_nv_fund",T$3,$A769))</f>
        <v/>
      </c>
      <c r="U769" s="13" t="str">
        <f>IF($A769="","",[1]!thsiFinD("ths_adjustment_nv_fund",U$3,$A769))</f>
        <v/>
      </c>
      <c r="V769" s="13" t="str">
        <f>IF($A769="","",[1]!thsiFinD("ths_adjustment_nv_fund",V$3,$A769))</f>
        <v/>
      </c>
      <c r="W769" s="13" t="str">
        <f>IF($A769="","",[1]!thsiFinD("ths_adjustment_nv_fund",W$3,$A769))</f>
        <v/>
      </c>
      <c r="X769" s="13" t="str">
        <f>IF($A769="","",[1]!thsiFinD("ths_adjustment_nv_fund",X$3,$A769))</f>
        <v/>
      </c>
      <c r="Y769" s="13" t="str">
        <f>IF($A769="","",[1]!thsiFinD("ths_adjustment_nv_fund",Y$3,$A769))</f>
        <v/>
      </c>
      <c r="Z769" s="13" t="str">
        <f>IF($A769="","",[1]!thsiFinD("ths_adjustment_nv_fund",Z$3,$A769))</f>
        <v/>
      </c>
      <c r="AA769" s="13" t="str">
        <f>IF($A769="","",[1]!thsiFinD("ths_adjustment_nv_fund",AA$3,$A769))</f>
        <v/>
      </c>
      <c r="AB769" s="13" t="str">
        <f>IF($A769="","",[1]!thsiFinD("ths_adjustment_nv_fund",AB$3,$A769))</f>
        <v/>
      </c>
    </row>
    <row r="770" spans="2:28">
      <c r="B770" s="13" t="str">
        <f>IF($A770="","",[1]!thsiFinD("ths_adjustment_nv_fund",B$3,$A770))</f>
        <v/>
      </c>
      <c r="C770" s="13" t="str">
        <f>IF($A770="","",[1]!thsiFinD("ths_adjustment_nv_fund",C$3,$A770))</f>
        <v/>
      </c>
      <c r="D770" s="13" t="str">
        <f>IF($A770="","",[1]!thsiFinD("ths_adjustment_nv_fund",D$3,$A770))</f>
        <v/>
      </c>
      <c r="E770" s="13" t="str">
        <f>IF($A770="","",[1]!thsiFinD("ths_adjustment_nv_fund",E$3,$A770))</f>
        <v/>
      </c>
      <c r="F770" s="13" t="str">
        <f>IF($A770="","",[1]!thsiFinD("ths_adjustment_nv_fund",F$3,$A770))</f>
        <v/>
      </c>
      <c r="G770" s="13" t="str">
        <f>IF($A770="","",[1]!thsiFinD("ths_adjustment_nv_fund",G$3,$A770))</f>
        <v/>
      </c>
      <c r="H770" s="13" t="str">
        <f>IF($A770="","",[1]!thsiFinD("ths_adjustment_nv_fund",H$3,$A770))</f>
        <v/>
      </c>
      <c r="I770" s="13" t="str">
        <f>IF($A770="","",[1]!thsiFinD("ths_adjustment_nv_fund",I$3,$A770))</f>
        <v/>
      </c>
      <c r="J770" s="13" t="str">
        <f>IF($A770="","",[1]!thsiFinD("ths_adjustment_nv_fund",J$3,$A770))</f>
        <v/>
      </c>
      <c r="K770" s="13" t="str">
        <f>IF($A770="","",[1]!thsiFinD("ths_adjustment_nv_fund",K$3,$A770))</f>
        <v/>
      </c>
      <c r="L770" s="13" t="str">
        <f>IF($A770="","",[1]!thsiFinD("ths_adjustment_nv_fund",L$3,$A770))</f>
        <v/>
      </c>
      <c r="M770" s="13" t="str">
        <f>IF($A770="","",[1]!thsiFinD("ths_adjustment_nv_fund",M$3,$A770))</f>
        <v/>
      </c>
      <c r="N770" s="13" t="str">
        <f>IF($A770="","",[1]!thsiFinD("ths_adjustment_nv_fund",N$3,$A770))</f>
        <v/>
      </c>
      <c r="O770" s="13" t="str">
        <f>IF($A770="","",[1]!thsiFinD("ths_adjustment_nv_fund",O$3,$A770))</f>
        <v/>
      </c>
      <c r="P770" s="13" t="str">
        <f>IF($A770="","",[1]!thsiFinD("ths_adjustment_nv_fund",P$3,$A770))</f>
        <v/>
      </c>
      <c r="Q770" s="13" t="str">
        <f>IF($A770="","",[1]!thsiFinD("ths_adjustment_nv_fund",Q$3,$A770))</f>
        <v/>
      </c>
      <c r="R770" s="13" t="str">
        <f>IF($A770="","",[1]!thsiFinD("ths_adjustment_nv_fund",R$3,$A770))</f>
        <v/>
      </c>
      <c r="S770" s="13" t="str">
        <f>IF($A770="","",[1]!thsiFinD("ths_adjustment_nv_fund",S$3,$A770))</f>
        <v/>
      </c>
      <c r="T770" s="13" t="str">
        <f>IF($A770="","",[1]!thsiFinD("ths_adjustment_nv_fund",T$3,$A770))</f>
        <v/>
      </c>
      <c r="U770" s="13" t="str">
        <f>IF($A770="","",[1]!thsiFinD("ths_adjustment_nv_fund",U$3,$A770))</f>
        <v/>
      </c>
      <c r="V770" s="13" t="str">
        <f>IF($A770="","",[1]!thsiFinD("ths_adjustment_nv_fund",V$3,$A770))</f>
        <v/>
      </c>
      <c r="W770" s="13" t="str">
        <f>IF($A770="","",[1]!thsiFinD("ths_adjustment_nv_fund",W$3,$A770))</f>
        <v/>
      </c>
      <c r="X770" s="13" t="str">
        <f>IF($A770="","",[1]!thsiFinD("ths_adjustment_nv_fund",X$3,$A770))</f>
        <v/>
      </c>
      <c r="Y770" s="13" t="str">
        <f>IF($A770="","",[1]!thsiFinD("ths_adjustment_nv_fund",Y$3,$A770))</f>
        <v/>
      </c>
      <c r="Z770" s="13" t="str">
        <f>IF($A770="","",[1]!thsiFinD("ths_adjustment_nv_fund",Z$3,$A770))</f>
        <v/>
      </c>
      <c r="AA770" s="13" t="str">
        <f>IF($A770="","",[1]!thsiFinD("ths_adjustment_nv_fund",AA$3,$A770))</f>
        <v/>
      </c>
      <c r="AB770" s="13" t="str">
        <f>IF($A770="","",[1]!thsiFinD("ths_adjustment_nv_fund",AB$3,$A770))</f>
        <v/>
      </c>
    </row>
    <row r="771" spans="2:28">
      <c r="B771" s="13" t="str">
        <f>IF($A771="","",[1]!thsiFinD("ths_adjustment_nv_fund",B$3,$A771))</f>
        <v/>
      </c>
      <c r="C771" s="13" t="str">
        <f>IF($A771="","",[1]!thsiFinD("ths_adjustment_nv_fund",C$3,$A771))</f>
        <v/>
      </c>
      <c r="D771" s="13" t="str">
        <f>IF($A771="","",[1]!thsiFinD("ths_adjustment_nv_fund",D$3,$A771))</f>
        <v/>
      </c>
      <c r="E771" s="13" t="str">
        <f>IF($A771="","",[1]!thsiFinD("ths_adjustment_nv_fund",E$3,$A771))</f>
        <v/>
      </c>
      <c r="F771" s="13" t="str">
        <f>IF($A771="","",[1]!thsiFinD("ths_adjustment_nv_fund",F$3,$A771))</f>
        <v/>
      </c>
      <c r="G771" s="13" t="str">
        <f>IF($A771="","",[1]!thsiFinD("ths_adjustment_nv_fund",G$3,$A771))</f>
        <v/>
      </c>
      <c r="H771" s="13" t="str">
        <f>IF($A771="","",[1]!thsiFinD("ths_adjustment_nv_fund",H$3,$A771))</f>
        <v/>
      </c>
      <c r="I771" s="13" t="str">
        <f>IF($A771="","",[1]!thsiFinD("ths_adjustment_nv_fund",I$3,$A771))</f>
        <v/>
      </c>
      <c r="J771" s="13" t="str">
        <f>IF($A771="","",[1]!thsiFinD("ths_adjustment_nv_fund",J$3,$A771))</f>
        <v/>
      </c>
      <c r="K771" s="13" t="str">
        <f>IF($A771="","",[1]!thsiFinD("ths_adjustment_nv_fund",K$3,$A771))</f>
        <v/>
      </c>
      <c r="L771" s="13" t="str">
        <f>IF($A771="","",[1]!thsiFinD("ths_adjustment_nv_fund",L$3,$A771))</f>
        <v/>
      </c>
      <c r="M771" s="13" t="str">
        <f>IF($A771="","",[1]!thsiFinD("ths_adjustment_nv_fund",M$3,$A771))</f>
        <v/>
      </c>
      <c r="N771" s="13" t="str">
        <f>IF($A771="","",[1]!thsiFinD("ths_adjustment_nv_fund",N$3,$A771))</f>
        <v/>
      </c>
      <c r="O771" s="13" t="str">
        <f>IF($A771="","",[1]!thsiFinD("ths_adjustment_nv_fund",O$3,$A771))</f>
        <v/>
      </c>
      <c r="P771" s="13" t="str">
        <f>IF($A771="","",[1]!thsiFinD("ths_adjustment_nv_fund",P$3,$A771))</f>
        <v/>
      </c>
      <c r="Q771" s="13" t="str">
        <f>IF($A771="","",[1]!thsiFinD("ths_adjustment_nv_fund",Q$3,$A771))</f>
        <v/>
      </c>
      <c r="R771" s="13" t="str">
        <f>IF($A771="","",[1]!thsiFinD("ths_adjustment_nv_fund",R$3,$A771))</f>
        <v/>
      </c>
      <c r="S771" s="13" t="str">
        <f>IF($A771="","",[1]!thsiFinD("ths_adjustment_nv_fund",S$3,$A771))</f>
        <v/>
      </c>
      <c r="T771" s="13" t="str">
        <f>IF($A771="","",[1]!thsiFinD("ths_adjustment_nv_fund",T$3,$A771))</f>
        <v/>
      </c>
      <c r="U771" s="13" t="str">
        <f>IF($A771="","",[1]!thsiFinD("ths_adjustment_nv_fund",U$3,$A771))</f>
        <v/>
      </c>
      <c r="V771" s="13" t="str">
        <f>IF($A771="","",[1]!thsiFinD("ths_adjustment_nv_fund",V$3,$A771))</f>
        <v/>
      </c>
      <c r="W771" s="13" t="str">
        <f>IF($A771="","",[1]!thsiFinD("ths_adjustment_nv_fund",W$3,$A771))</f>
        <v/>
      </c>
      <c r="X771" s="13" t="str">
        <f>IF($A771="","",[1]!thsiFinD("ths_adjustment_nv_fund",X$3,$A771))</f>
        <v/>
      </c>
      <c r="Y771" s="13" t="str">
        <f>IF($A771="","",[1]!thsiFinD("ths_adjustment_nv_fund",Y$3,$A771))</f>
        <v/>
      </c>
      <c r="Z771" s="13" t="str">
        <f>IF($A771="","",[1]!thsiFinD("ths_adjustment_nv_fund",Z$3,$A771))</f>
        <v/>
      </c>
      <c r="AA771" s="13" t="str">
        <f>IF($A771="","",[1]!thsiFinD("ths_adjustment_nv_fund",AA$3,$A771))</f>
        <v/>
      </c>
      <c r="AB771" s="13" t="str">
        <f>IF($A771="","",[1]!thsiFinD("ths_adjustment_nv_fund",AB$3,$A771))</f>
        <v/>
      </c>
    </row>
    <row r="772" spans="2:28">
      <c r="B772" s="13" t="str">
        <f>IF($A772="","",[1]!thsiFinD("ths_adjustment_nv_fund",B$3,$A772))</f>
        <v/>
      </c>
      <c r="C772" s="13" t="str">
        <f>IF($A772="","",[1]!thsiFinD("ths_adjustment_nv_fund",C$3,$A772))</f>
        <v/>
      </c>
      <c r="D772" s="13" t="str">
        <f>IF($A772="","",[1]!thsiFinD("ths_adjustment_nv_fund",D$3,$A772))</f>
        <v/>
      </c>
      <c r="E772" s="13" t="str">
        <f>IF($A772="","",[1]!thsiFinD("ths_adjustment_nv_fund",E$3,$A772))</f>
        <v/>
      </c>
      <c r="F772" s="13" t="str">
        <f>IF($A772="","",[1]!thsiFinD("ths_adjustment_nv_fund",F$3,$A772))</f>
        <v/>
      </c>
      <c r="G772" s="13" t="str">
        <f>IF($A772="","",[1]!thsiFinD("ths_adjustment_nv_fund",G$3,$A772))</f>
        <v/>
      </c>
      <c r="H772" s="13" t="str">
        <f>IF($A772="","",[1]!thsiFinD("ths_adjustment_nv_fund",H$3,$A772))</f>
        <v/>
      </c>
      <c r="I772" s="13" t="str">
        <f>IF($A772="","",[1]!thsiFinD("ths_adjustment_nv_fund",I$3,$A772))</f>
        <v/>
      </c>
      <c r="J772" s="13" t="str">
        <f>IF($A772="","",[1]!thsiFinD("ths_adjustment_nv_fund",J$3,$A772))</f>
        <v/>
      </c>
      <c r="K772" s="13" t="str">
        <f>IF($A772="","",[1]!thsiFinD("ths_adjustment_nv_fund",K$3,$A772))</f>
        <v/>
      </c>
      <c r="L772" s="13" t="str">
        <f>IF($A772="","",[1]!thsiFinD("ths_adjustment_nv_fund",L$3,$A772))</f>
        <v/>
      </c>
      <c r="M772" s="13" t="str">
        <f>IF($A772="","",[1]!thsiFinD("ths_adjustment_nv_fund",M$3,$A772))</f>
        <v/>
      </c>
      <c r="N772" s="13" t="str">
        <f>IF($A772="","",[1]!thsiFinD("ths_adjustment_nv_fund",N$3,$A772))</f>
        <v/>
      </c>
      <c r="O772" s="13" t="str">
        <f>IF($A772="","",[1]!thsiFinD("ths_adjustment_nv_fund",O$3,$A772))</f>
        <v/>
      </c>
      <c r="P772" s="13" t="str">
        <f>IF($A772="","",[1]!thsiFinD("ths_adjustment_nv_fund",P$3,$A772))</f>
        <v/>
      </c>
      <c r="Q772" s="13" t="str">
        <f>IF($A772="","",[1]!thsiFinD("ths_adjustment_nv_fund",Q$3,$A772))</f>
        <v/>
      </c>
      <c r="R772" s="13" t="str">
        <f>IF($A772="","",[1]!thsiFinD("ths_adjustment_nv_fund",R$3,$A772))</f>
        <v/>
      </c>
      <c r="S772" s="13" t="str">
        <f>IF($A772="","",[1]!thsiFinD("ths_adjustment_nv_fund",S$3,$A772))</f>
        <v/>
      </c>
      <c r="T772" s="13" t="str">
        <f>IF($A772="","",[1]!thsiFinD("ths_adjustment_nv_fund",T$3,$A772))</f>
        <v/>
      </c>
      <c r="U772" s="13" t="str">
        <f>IF($A772="","",[1]!thsiFinD("ths_adjustment_nv_fund",U$3,$A772))</f>
        <v/>
      </c>
      <c r="V772" s="13" t="str">
        <f>IF($A772="","",[1]!thsiFinD("ths_adjustment_nv_fund",V$3,$A772))</f>
        <v/>
      </c>
      <c r="W772" s="13" t="str">
        <f>IF($A772="","",[1]!thsiFinD("ths_adjustment_nv_fund",W$3,$A772))</f>
        <v/>
      </c>
      <c r="X772" s="13" t="str">
        <f>IF($A772="","",[1]!thsiFinD("ths_adjustment_nv_fund",X$3,$A772))</f>
        <v/>
      </c>
      <c r="Y772" s="13" t="str">
        <f>IF($A772="","",[1]!thsiFinD("ths_adjustment_nv_fund",Y$3,$A772))</f>
        <v/>
      </c>
      <c r="Z772" s="13" t="str">
        <f>IF($A772="","",[1]!thsiFinD("ths_adjustment_nv_fund",Z$3,$A772))</f>
        <v/>
      </c>
      <c r="AA772" s="13" t="str">
        <f>IF($A772="","",[1]!thsiFinD("ths_adjustment_nv_fund",AA$3,$A772))</f>
        <v/>
      </c>
      <c r="AB772" s="13" t="str">
        <f>IF($A772="","",[1]!thsiFinD("ths_adjustment_nv_fund",AB$3,$A772))</f>
        <v/>
      </c>
    </row>
    <row r="773" spans="2:28">
      <c r="B773" s="13" t="str">
        <f>IF($A773="","",[1]!thsiFinD("ths_adjustment_nv_fund",B$3,$A773))</f>
        <v/>
      </c>
      <c r="C773" s="13" t="str">
        <f>IF($A773="","",[1]!thsiFinD("ths_adjustment_nv_fund",C$3,$A773))</f>
        <v/>
      </c>
      <c r="D773" s="13" t="str">
        <f>IF($A773="","",[1]!thsiFinD("ths_adjustment_nv_fund",D$3,$A773))</f>
        <v/>
      </c>
      <c r="E773" s="13" t="str">
        <f>IF($A773="","",[1]!thsiFinD("ths_adjustment_nv_fund",E$3,$A773))</f>
        <v/>
      </c>
      <c r="F773" s="13" t="str">
        <f>IF($A773="","",[1]!thsiFinD("ths_adjustment_nv_fund",F$3,$A773))</f>
        <v/>
      </c>
      <c r="G773" s="13" t="str">
        <f>IF($A773="","",[1]!thsiFinD("ths_adjustment_nv_fund",G$3,$A773))</f>
        <v/>
      </c>
      <c r="H773" s="13" t="str">
        <f>IF($A773="","",[1]!thsiFinD("ths_adjustment_nv_fund",H$3,$A773))</f>
        <v/>
      </c>
      <c r="I773" s="13" t="str">
        <f>IF($A773="","",[1]!thsiFinD("ths_adjustment_nv_fund",I$3,$A773))</f>
        <v/>
      </c>
      <c r="J773" s="13" t="str">
        <f>IF($A773="","",[1]!thsiFinD("ths_adjustment_nv_fund",J$3,$A773))</f>
        <v/>
      </c>
      <c r="K773" s="13" t="str">
        <f>IF($A773="","",[1]!thsiFinD("ths_adjustment_nv_fund",K$3,$A773))</f>
        <v/>
      </c>
      <c r="L773" s="13" t="str">
        <f>IF($A773="","",[1]!thsiFinD("ths_adjustment_nv_fund",L$3,$A773))</f>
        <v/>
      </c>
      <c r="M773" s="13" t="str">
        <f>IF($A773="","",[1]!thsiFinD("ths_adjustment_nv_fund",M$3,$A773))</f>
        <v/>
      </c>
      <c r="N773" s="13" t="str">
        <f>IF($A773="","",[1]!thsiFinD("ths_adjustment_nv_fund",N$3,$A773))</f>
        <v/>
      </c>
      <c r="O773" s="13" t="str">
        <f>IF($A773="","",[1]!thsiFinD("ths_adjustment_nv_fund",O$3,$A773))</f>
        <v/>
      </c>
      <c r="P773" s="13" t="str">
        <f>IF($A773="","",[1]!thsiFinD("ths_adjustment_nv_fund",P$3,$A773))</f>
        <v/>
      </c>
      <c r="Q773" s="13" t="str">
        <f>IF($A773="","",[1]!thsiFinD("ths_adjustment_nv_fund",Q$3,$A773))</f>
        <v/>
      </c>
      <c r="R773" s="13" t="str">
        <f>IF($A773="","",[1]!thsiFinD("ths_adjustment_nv_fund",R$3,$A773))</f>
        <v/>
      </c>
      <c r="S773" s="13" t="str">
        <f>IF($A773="","",[1]!thsiFinD("ths_adjustment_nv_fund",S$3,$A773))</f>
        <v/>
      </c>
      <c r="T773" s="13" t="str">
        <f>IF($A773="","",[1]!thsiFinD("ths_adjustment_nv_fund",T$3,$A773))</f>
        <v/>
      </c>
      <c r="U773" s="13" t="str">
        <f>IF($A773="","",[1]!thsiFinD("ths_adjustment_nv_fund",U$3,$A773))</f>
        <v/>
      </c>
      <c r="V773" s="13" t="str">
        <f>IF($A773="","",[1]!thsiFinD("ths_adjustment_nv_fund",V$3,$A773))</f>
        <v/>
      </c>
      <c r="W773" s="13" t="str">
        <f>IF($A773="","",[1]!thsiFinD("ths_adjustment_nv_fund",W$3,$A773))</f>
        <v/>
      </c>
      <c r="X773" s="13" t="str">
        <f>IF($A773="","",[1]!thsiFinD("ths_adjustment_nv_fund",X$3,$A773))</f>
        <v/>
      </c>
      <c r="Y773" s="13" t="str">
        <f>IF($A773="","",[1]!thsiFinD("ths_adjustment_nv_fund",Y$3,$A773))</f>
        <v/>
      </c>
      <c r="Z773" s="13" t="str">
        <f>IF($A773="","",[1]!thsiFinD("ths_adjustment_nv_fund",Z$3,$A773))</f>
        <v/>
      </c>
      <c r="AA773" s="13" t="str">
        <f>IF($A773="","",[1]!thsiFinD("ths_adjustment_nv_fund",AA$3,$A773))</f>
        <v/>
      </c>
      <c r="AB773" s="13" t="str">
        <f>IF($A773="","",[1]!thsiFinD("ths_adjustment_nv_fund",AB$3,$A773))</f>
        <v/>
      </c>
    </row>
    <row r="774" spans="2:28">
      <c r="B774" s="13" t="str">
        <f>IF($A774="","",[1]!thsiFinD("ths_adjustment_nv_fund",B$3,$A774))</f>
        <v/>
      </c>
      <c r="C774" s="13" t="str">
        <f>IF($A774="","",[1]!thsiFinD("ths_adjustment_nv_fund",C$3,$A774))</f>
        <v/>
      </c>
      <c r="D774" s="13" t="str">
        <f>IF($A774="","",[1]!thsiFinD("ths_adjustment_nv_fund",D$3,$A774))</f>
        <v/>
      </c>
      <c r="E774" s="13" t="str">
        <f>IF($A774="","",[1]!thsiFinD("ths_adjustment_nv_fund",E$3,$A774))</f>
        <v/>
      </c>
      <c r="F774" s="13" t="str">
        <f>IF($A774="","",[1]!thsiFinD("ths_adjustment_nv_fund",F$3,$A774))</f>
        <v/>
      </c>
      <c r="G774" s="13" t="str">
        <f>IF($A774="","",[1]!thsiFinD("ths_adjustment_nv_fund",G$3,$A774))</f>
        <v/>
      </c>
      <c r="H774" s="13" t="str">
        <f>IF($A774="","",[1]!thsiFinD("ths_adjustment_nv_fund",H$3,$A774))</f>
        <v/>
      </c>
      <c r="I774" s="13" t="str">
        <f>IF($A774="","",[1]!thsiFinD("ths_adjustment_nv_fund",I$3,$A774))</f>
        <v/>
      </c>
      <c r="J774" s="13" t="str">
        <f>IF($A774="","",[1]!thsiFinD("ths_adjustment_nv_fund",J$3,$A774))</f>
        <v/>
      </c>
      <c r="K774" s="13" t="str">
        <f>IF($A774="","",[1]!thsiFinD("ths_adjustment_nv_fund",K$3,$A774))</f>
        <v/>
      </c>
      <c r="L774" s="13" t="str">
        <f>IF($A774="","",[1]!thsiFinD("ths_adjustment_nv_fund",L$3,$A774))</f>
        <v/>
      </c>
      <c r="M774" s="13" t="str">
        <f>IF($A774="","",[1]!thsiFinD("ths_adjustment_nv_fund",M$3,$A774))</f>
        <v/>
      </c>
      <c r="N774" s="13" t="str">
        <f>IF($A774="","",[1]!thsiFinD("ths_adjustment_nv_fund",N$3,$A774))</f>
        <v/>
      </c>
      <c r="O774" s="13" t="str">
        <f>IF($A774="","",[1]!thsiFinD("ths_adjustment_nv_fund",O$3,$A774))</f>
        <v/>
      </c>
      <c r="P774" s="13" t="str">
        <f>IF($A774="","",[1]!thsiFinD("ths_adjustment_nv_fund",P$3,$A774))</f>
        <v/>
      </c>
      <c r="Q774" s="13" t="str">
        <f>IF($A774="","",[1]!thsiFinD("ths_adjustment_nv_fund",Q$3,$A774))</f>
        <v/>
      </c>
      <c r="R774" s="13" t="str">
        <f>IF($A774="","",[1]!thsiFinD("ths_adjustment_nv_fund",R$3,$A774))</f>
        <v/>
      </c>
      <c r="S774" s="13" t="str">
        <f>IF($A774="","",[1]!thsiFinD("ths_adjustment_nv_fund",S$3,$A774))</f>
        <v/>
      </c>
      <c r="T774" s="13" t="str">
        <f>IF($A774="","",[1]!thsiFinD("ths_adjustment_nv_fund",T$3,$A774))</f>
        <v/>
      </c>
      <c r="U774" s="13" t="str">
        <f>IF($A774="","",[1]!thsiFinD("ths_adjustment_nv_fund",U$3,$A774))</f>
        <v/>
      </c>
      <c r="V774" s="13" t="str">
        <f>IF($A774="","",[1]!thsiFinD("ths_adjustment_nv_fund",V$3,$A774))</f>
        <v/>
      </c>
      <c r="W774" s="13" t="str">
        <f>IF($A774="","",[1]!thsiFinD("ths_adjustment_nv_fund",W$3,$A774))</f>
        <v/>
      </c>
      <c r="X774" s="13" t="str">
        <f>IF($A774="","",[1]!thsiFinD("ths_adjustment_nv_fund",X$3,$A774))</f>
        <v/>
      </c>
      <c r="Y774" s="13" t="str">
        <f>IF($A774="","",[1]!thsiFinD("ths_adjustment_nv_fund",Y$3,$A774))</f>
        <v/>
      </c>
      <c r="Z774" s="13" t="str">
        <f>IF($A774="","",[1]!thsiFinD("ths_adjustment_nv_fund",Z$3,$A774))</f>
        <v/>
      </c>
      <c r="AA774" s="13" t="str">
        <f>IF($A774="","",[1]!thsiFinD("ths_adjustment_nv_fund",AA$3,$A774))</f>
        <v/>
      </c>
      <c r="AB774" s="13" t="str">
        <f>IF($A774="","",[1]!thsiFinD("ths_adjustment_nv_fund",AB$3,$A774))</f>
        <v/>
      </c>
    </row>
    <row r="775" spans="2:28">
      <c r="B775" s="13" t="str">
        <f>IF($A775="","",[1]!thsiFinD("ths_adjustment_nv_fund",B$3,$A775))</f>
        <v/>
      </c>
      <c r="C775" s="13" t="str">
        <f>IF($A775="","",[1]!thsiFinD("ths_adjustment_nv_fund",C$3,$A775))</f>
        <v/>
      </c>
      <c r="D775" s="13" t="str">
        <f>IF($A775="","",[1]!thsiFinD("ths_adjustment_nv_fund",D$3,$A775))</f>
        <v/>
      </c>
      <c r="E775" s="13" t="str">
        <f>IF($A775="","",[1]!thsiFinD("ths_adjustment_nv_fund",E$3,$A775))</f>
        <v/>
      </c>
      <c r="F775" s="13" t="str">
        <f>IF($A775="","",[1]!thsiFinD("ths_adjustment_nv_fund",F$3,$A775))</f>
        <v/>
      </c>
      <c r="G775" s="13" t="str">
        <f>IF($A775="","",[1]!thsiFinD("ths_adjustment_nv_fund",G$3,$A775))</f>
        <v/>
      </c>
      <c r="H775" s="13" t="str">
        <f>IF($A775="","",[1]!thsiFinD("ths_adjustment_nv_fund",H$3,$A775))</f>
        <v/>
      </c>
      <c r="I775" s="13" t="str">
        <f>IF($A775="","",[1]!thsiFinD("ths_adjustment_nv_fund",I$3,$A775))</f>
        <v/>
      </c>
      <c r="J775" s="13" t="str">
        <f>IF($A775="","",[1]!thsiFinD("ths_adjustment_nv_fund",J$3,$A775))</f>
        <v/>
      </c>
      <c r="K775" s="13" t="str">
        <f>IF($A775="","",[1]!thsiFinD("ths_adjustment_nv_fund",K$3,$A775))</f>
        <v/>
      </c>
      <c r="L775" s="13" t="str">
        <f>IF($A775="","",[1]!thsiFinD("ths_adjustment_nv_fund",L$3,$A775))</f>
        <v/>
      </c>
      <c r="M775" s="13" t="str">
        <f>IF($A775="","",[1]!thsiFinD("ths_adjustment_nv_fund",M$3,$A775))</f>
        <v/>
      </c>
      <c r="N775" s="13" t="str">
        <f>IF($A775="","",[1]!thsiFinD("ths_adjustment_nv_fund",N$3,$A775))</f>
        <v/>
      </c>
      <c r="O775" s="13" t="str">
        <f>IF($A775="","",[1]!thsiFinD("ths_adjustment_nv_fund",O$3,$A775))</f>
        <v/>
      </c>
      <c r="P775" s="13" t="str">
        <f>IF($A775="","",[1]!thsiFinD("ths_adjustment_nv_fund",P$3,$A775))</f>
        <v/>
      </c>
      <c r="Q775" s="13" t="str">
        <f>IF($A775="","",[1]!thsiFinD("ths_adjustment_nv_fund",Q$3,$A775))</f>
        <v/>
      </c>
      <c r="R775" s="13" t="str">
        <f>IF($A775="","",[1]!thsiFinD("ths_adjustment_nv_fund",R$3,$A775))</f>
        <v/>
      </c>
      <c r="S775" s="13" t="str">
        <f>IF($A775="","",[1]!thsiFinD("ths_adjustment_nv_fund",S$3,$A775))</f>
        <v/>
      </c>
      <c r="T775" s="13" t="str">
        <f>IF($A775="","",[1]!thsiFinD("ths_adjustment_nv_fund",T$3,$A775))</f>
        <v/>
      </c>
      <c r="U775" s="13" t="str">
        <f>IF($A775="","",[1]!thsiFinD("ths_adjustment_nv_fund",U$3,$A775))</f>
        <v/>
      </c>
      <c r="V775" s="13" t="str">
        <f>IF($A775="","",[1]!thsiFinD("ths_adjustment_nv_fund",V$3,$A775))</f>
        <v/>
      </c>
      <c r="W775" s="13" t="str">
        <f>IF($A775="","",[1]!thsiFinD("ths_adjustment_nv_fund",W$3,$A775))</f>
        <v/>
      </c>
      <c r="X775" s="13" t="str">
        <f>IF($A775="","",[1]!thsiFinD("ths_adjustment_nv_fund",X$3,$A775))</f>
        <v/>
      </c>
      <c r="Y775" s="13" t="str">
        <f>IF($A775="","",[1]!thsiFinD("ths_adjustment_nv_fund",Y$3,$A775))</f>
        <v/>
      </c>
      <c r="Z775" s="13" t="str">
        <f>IF($A775="","",[1]!thsiFinD("ths_adjustment_nv_fund",Z$3,$A775))</f>
        <v/>
      </c>
      <c r="AA775" s="13" t="str">
        <f>IF($A775="","",[1]!thsiFinD("ths_adjustment_nv_fund",AA$3,$A775))</f>
        <v/>
      </c>
      <c r="AB775" s="13" t="str">
        <f>IF($A775="","",[1]!thsiFinD("ths_adjustment_nv_fund",AB$3,$A775))</f>
        <v/>
      </c>
    </row>
    <row r="776" spans="2:28">
      <c r="B776" s="13" t="str">
        <f>IF($A776="","",[1]!thsiFinD("ths_adjustment_nv_fund",B$3,$A776))</f>
        <v/>
      </c>
      <c r="C776" s="13" t="str">
        <f>IF($A776="","",[1]!thsiFinD("ths_adjustment_nv_fund",C$3,$A776))</f>
        <v/>
      </c>
      <c r="D776" s="13" t="str">
        <f>IF($A776="","",[1]!thsiFinD("ths_adjustment_nv_fund",D$3,$A776))</f>
        <v/>
      </c>
      <c r="E776" s="13" t="str">
        <f>IF($A776="","",[1]!thsiFinD("ths_adjustment_nv_fund",E$3,$A776))</f>
        <v/>
      </c>
      <c r="F776" s="13" t="str">
        <f>IF($A776="","",[1]!thsiFinD("ths_adjustment_nv_fund",F$3,$A776))</f>
        <v/>
      </c>
      <c r="G776" s="13" t="str">
        <f>IF($A776="","",[1]!thsiFinD("ths_adjustment_nv_fund",G$3,$A776))</f>
        <v/>
      </c>
      <c r="H776" s="13" t="str">
        <f>IF($A776="","",[1]!thsiFinD("ths_adjustment_nv_fund",H$3,$A776))</f>
        <v/>
      </c>
      <c r="I776" s="13" t="str">
        <f>IF($A776="","",[1]!thsiFinD("ths_adjustment_nv_fund",I$3,$A776))</f>
        <v/>
      </c>
      <c r="J776" s="13" t="str">
        <f>IF($A776="","",[1]!thsiFinD("ths_adjustment_nv_fund",J$3,$A776))</f>
        <v/>
      </c>
      <c r="K776" s="13" t="str">
        <f>IF($A776="","",[1]!thsiFinD("ths_adjustment_nv_fund",K$3,$A776))</f>
        <v/>
      </c>
      <c r="L776" s="13" t="str">
        <f>IF($A776="","",[1]!thsiFinD("ths_adjustment_nv_fund",L$3,$A776))</f>
        <v/>
      </c>
      <c r="M776" s="13" t="str">
        <f>IF($A776="","",[1]!thsiFinD("ths_adjustment_nv_fund",M$3,$A776))</f>
        <v/>
      </c>
      <c r="N776" s="13" t="str">
        <f>IF($A776="","",[1]!thsiFinD("ths_adjustment_nv_fund",N$3,$A776))</f>
        <v/>
      </c>
      <c r="O776" s="13" t="str">
        <f>IF($A776="","",[1]!thsiFinD("ths_adjustment_nv_fund",O$3,$A776))</f>
        <v/>
      </c>
      <c r="P776" s="13" t="str">
        <f>IF($A776="","",[1]!thsiFinD("ths_adjustment_nv_fund",P$3,$A776))</f>
        <v/>
      </c>
      <c r="Q776" s="13" t="str">
        <f>IF($A776="","",[1]!thsiFinD("ths_adjustment_nv_fund",Q$3,$A776))</f>
        <v/>
      </c>
      <c r="R776" s="13" t="str">
        <f>IF($A776="","",[1]!thsiFinD("ths_adjustment_nv_fund",R$3,$A776))</f>
        <v/>
      </c>
      <c r="S776" s="13" t="str">
        <f>IF($A776="","",[1]!thsiFinD("ths_adjustment_nv_fund",S$3,$A776))</f>
        <v/>
      </c>
      <c r="T776" s="13" t="str">
        <f>IF($A776="","",[1]!thsiFinD("ths_adjustment_nv_fund",T$3,$A776))</f>
        <v/>
      </c>
      <c r="U776" s="13" t="str">
        <f>IF($A776="","",[1]!thsiFinD("ths_adjustment_nv_fund",U$3,$A776))</f>
        <v/>
      </c>
      <c r="V776" s="13" t="str">
        <f>IF($A776="","",[1]!thsiFinD("ths_adjustment_nv_fund",V$3,$A776))</f>
        <v/>
      </c>
      <c r="W776" s="13" t="str">
        <f>IF($A776="","",[1]!thsiFinD("ths_adjustment_nv_fund",W$3,$A776))</f>
        <v/>
      </c>
      <c r="X776" s="13" t="str">
        <f>IF($A776="","",[1]!thsiFinD("ths_adjustment_nv_fund",X$3,$A776))</f>
        <v/>
      </c>
      <c r="Y776" s="13" t="str">
        <f>IF($A776="","",[1]!thsiFinD("ths_adjustment_nv_fund",Y$3,$A776))</f>
        <v/>
      </c>
      <c r="Z776" s="13" t="str">
        <f>IF($A776="","",[1]!thsiFinD("ths_adjustment_nv_fund",Z$3,$A776))</f>
        <v/>
      </c>
      <c r="AA776" s="13" t="str">
        <f>IF($A776="","",[1]!thsiFinD("ths_adjustment_nv_fund",AA$3,$A776))</f>
        <v/>
      </c>
      <c r="AB776" s="13" t="str">
        <f>IF($A776="","",[1]!thsiFinD("ths_adjustment_nv_fund",AB$3,$A776))</f>
        <v/>
      </c>
    </row>
    <row r="777" spans="2:28">
      <c r="B777" s="13" t="str">
        <f>IF($A777="","",[1]!thsiFinD("ths_adjustment_nv_fund",B$3,$A777))</f>
        <v/>
      </c>
      <c r="C777" s="13" t="str">
        <f>IF($A777="","",[1]!thsiFinD("ths_adjustment_nv_fund",C$3,$A777))</f>
        <v/>
      </c>
      <c r="D777" s="13" t="str">
        <f>IF($A777="","",[1]!thsiFinD("ths_adjustment_nv_fund",D$3,$A777))</f>
        <v/>
      </c>
      <c r="E777" s="13" t="str">
        <f>IF($A777="","",[1]!thsiFinD("ths_adjustment_nv_fund",E$3,$A777))</f>
        <v/>
      </c>
      <c r="F777" s="13" t="str">
        <f>IF($A777="","",[1]!thsiFinD("ths_adjustment_nv_fund",F$3,$A777))</f>
        <v/>
      </c>
      <c r="G777" s="13" t="str">
        <f>IF($A777="","",[1]!thsiFinD("ths_adjustment_nv_fund",G$3,$A777))</f>
        <v/>
      </c>
      <c r="H777" s="13" t="str">
        <f>IF($A777="","",[1]!thsiFinD("ths_adjustment_nv_fund",H$3,$A777))</f>
        <v/>
      </c>
      <c r="I777" s="13" t="str">
        <f>IF($A777="","",[1]!thsiFinD("ths_adjustment_nv_fund",I$3,$A777))</f>
        <v/>
      </c>
      <c r="J777" s="13" t="str">
        <f>IF($A777="","",[1]!thsiFinD("ths_adjustment_nv_fund",J$3,$A777))</f>
        <v/>
      </c>
      <c r="K777" s="13" t="str">
        <f>IF($A777="","",[1]!thsiFinD("ths_adjustment_nv_fund",K$3,$A777))</f>
        <v/>
      </c>
      <c r="L777" s="13" t="str">
        <f>IF($A777="","",[1]!thsiFinD("ths_adjustment_nv_fund",L$3,$A777))</f>
        <v/>
      </c>
      <c r="M777" s="13" t="str">
        <f>IF($A777="","",[1]!thsiFinD("ths_adjustment_nv_fund",M$3,$A777))</f>
        <v/>
      </c>
      <c r="N777" s="13" t="str">
        <f>IF($A777="","",[1]!thsiFinD("ths_adjustment_nv_fund",N$3,$A777))</f>
        <v/>
      </c>
      <c r="O777" s="13" t="str">
        <f>IF($A777="","",[1]!thsiFinD("ths_adjustment_nv_fund",O$3,$A777))</f>
        <v/>
      </c>
      <c r="P777" s="13" t="str">
        <f>IF($A777="","",[1]!thsiFinD("ths_adjustment_nv_fund",P$3,$A777))</f>
        <v/>
      </c>
      <c r="Q777" s="13" t="str">
        <f>IF($A777="","",[1]!thsiFinD("ths_adjustment_nv_fund",Q$3,$A777))</f>
        <v/>
      </c>
      <c r="R777" s="13" t="str">
        <f>IF($A777="","",[1]!thsiFinD("ths_adjustment_nv_fund",R$3,$A777))</f>
        <v/>
      </c>
      <c r="S777" s="13" t="str">
        <f>IF($A777="","",[1]!thsiFinD("ths_adjustment_nv_fund",S$3,$A777))</f>
        <v/>
      </c>
      <c r="T777" s="13" t="str">
        <f>IF($A777="","",[1]!thsiFinD("ths_adjustment_nv_fund",T$3,$A777))</f>
        <v/>
      </c>
      <c r="U777" s="13" t="str">
        <f>IF($A777="","",[1]!thsiFinD("ths_adjustment_nv_fund",U$3,$A777))</f>
        <v/>
      </c>
      <c r="V777" s="13" t="str">
        <f>IF($A777="","",[1]!thsiFinD("ths_adjustment_nv_fund",V$3,$A777))</f>
        <v/>
      </c>
      <c r="W777" s="13" t="str">
        <f>IF($A777="","",[1]!thsiFinD("ths_adjustment_nv_fund",W$3,$A777))</f>
        <v/>
      </c>
      <c r="X777" s="13" t="str">
        <f>IF($A777="","",[1]!thsiFinD("ths_adjustment_nv_fund",X$3,$A777))</f>
        <v/>
      </c>
      <c r="Y777" s="13" t="str">
        <f>IF($A777="","",[1]!thsiFinD("ths_adjustment_nv_fund",Y$3,$A777))</f>
        <v/>
      </c>
      <c r="Z777" s="13" t="str">
        <f>IF($A777="","",[1]!thsiFinD("ths_adjustment_nv_fund",Z$3,$A777))</f>
        <v/>
      </c>
      <c r="AA777" s="13" t="str">
        <f>IF($A777="","",[1]!thsiFinD("ths_adjustment_nv_fund",AA$3,$A777))</f>
        <v/>
      </c>
      <c r="AB777" s="13" t="str">
        <f>IF($A777="","",[1]!thsiFinD("ths_adjustment_nv_fund",AB$3,$A777))</f>
        <v/>
      </c>
    </row>
    <row r="778" spans="2:28">
      <c r="B778" s="13" t="str">
        <f>IF($A778="","",[1]!thsiFinD("ths_adjustment_nv_fund",B$3,$A778))</f>
        <v/>
      </c>
      <c r="C778" s="13" t="str">
        <f>IF($A778="","",[1]!thsiFinD("ths_adjustment_nv_fund",C$3,$A778))</f>
        <v/>
      </c>
      <c r="D778" s="13" t="str">
        <f>IF($A778="","",[1]!thsiFinD("ths_adjustment_nv_fund",D$3,$A778))</f>
        <v/>
      </c>
      <c r="E778" s="13" t="str">
        <f>IF($A778="","",[1]!thsiFinD("ths_adjustment_nv_fund",E$3,$A778))</f>
        <v/>
      </c>
      <c r="F778" s="13" t="str">
        <f>IF($A778="","",[1]!thsiFinD("ths_adjustment_nv_fund",F$3,$A778))</f>
        <v/>
      </c>
      <c r="G778" s="13" t="str">
        <f>IF($A778="","",[1]!thsiFinD("ths_adjustment_nv_fund",G$3,$A778))</f>
        <v/>
      </c>
      <c r="H778" s="13" t="str">
        <f>IF($A778="","",[1]!thsiFinD("ths_adjustment_nv_fund",H$3,$A778))</f>
        <v/>
      </c>
      <c r="I778" s="13" t="str">
        <f>IF($A778="","",[1]!thsiFinD("ths_adjustment_nv_fund",I$3,$A778))</f>
        <v/>
      </c>
      <c r="J778" s="13" t="str">
        <f>IF($A778="","",[1]!thsiFinD("ths_adjustment_nv_fund",J$3,$A778))</f>
        <v/>
      </c>
      <c r="K778" s="13" t="str">
        <f>IF($A778="","",[1]!thsiFinD("ths_adjustment_nv_fund",K$3,$A778))</f>
        <v/>
      </c>
      <c r="L778" s="13" t="str">
        <f>IF($A778="","",[1]!thsiFinD("ths_adjustment_nv_fund",L$3,$A778))</f>
        <v/>
      </c>
      <c r="M778" s="13" t="str">
        <f>IF($A778="","",[1]!thsiFinD("ths_adjustment_nv_fund",M$3,$A778))</f>
        <v/>
      </c>
      <c r="N778" s="13" t="str">
        <f>IF($A778="","",[1]!thsiFinD("ths_adjustment_nv_fund",N$3,$A778))</f>
        <v/>
      </c>
      <c r="O778" s="13" t="str">
        <f>IF($A778="","",[1]!thsiFinD("ths_adjustment_nv_fund",O$3,$A778))</f>
        <v/>
      </c>
      <c r="P778" s="13" t="str">
        <f>IF($A778="","",[1]!thsiFinD("ths_adjustment_nv_fund",P$3,$A778))</f>
        <v/>
      </c>
      <c r="Q778" s="13" t="str">
        <f>IF($A778="","",[1]!thsiFinD("ths_adjustment_nv_fund",Q$3,$A778))</f>
        <v/>
      </c>
      <c r="R778" s="13" t="str">
        <f>IF($A778="","",[1]!thsiFinD("ths_adjustment_nv_fund",R$3,$A778))</f>
        <v/>
      </c>
      <c r="S778" s="13" t="str">
        <f>IF($A778="","",[1]!thsiFinD("ths_adjustment_nv_fund",S$3,$A778))</f>
        <v/>
      </c>
      <c r="T778" s="13" t="str">
        <f>IF($A778="","",[1]!thsiFinD("ths_adjustment_nv_fund",T$3,$A778))</f>
        <v/>
      </c>
      <c r="U778" s="13" t="str">
        <f>IF($A778="","",[1]!thsiFinD("ths_adjustment_nv_fund",U$3,$A778))</f>
        <v/>
      </c>
      <c r="V778" s="13" t="str">
        <f>IF($A778="","",[1]!thsiFinD("ths_adjustment_nv_fund",V$3,$A778))</f>
        <v/>
      </c>
      <c r="W778" s="13" t="str">
        <f>IF($A778="","",[1]!thsiFinD("ths_adjustment_nv_fund",W$3,$A778))</f>
        <v/>
      </c>
      <c r="X778" s="13" t="str">
        <f>IF($A778="","",[1]!thsiFinD("ths_adjustment_nv_fund",X$3,$A778))</f>
        <v/>
      </c>
      <c r="Y778" s="13" t="str">
        <f>IF($A778="","",[1]!thsiFinD("ths_adjustment_nv_fund",Y$3,$A778))</f>
        <v/>
      </c>
      <c r="Z778" s="13" t="str">
        <f>IF($A778="","",[1]!thsiFinD("ths_adjustment_nv_fund",Z$3,$A778))</f>
        <v/>
      </c>
      <c r="AA778" s="13" t="str">
        <f>IF($A778="","",[1]!thsiFinD("ths_adjustment_nv_fund",AA$3,$A778))</f>
        <v/>
      </c>
      <c r="AB778" s="13" t="str">
        <f>IF($A778="","",[1]!thsiFinD("ths_adjustment_nv_fund",AB$3,$A778))</f>
        <v/>
      </c>
    </row>
    <row r="779" spans="2:28">
      <c r="B779" s="13" t="str">
        <f>IF($A779="","",[1]!thsiFinD("ths_adjustment_nv_fund",B$3,$A779))</f>
        <v/>
      </c>
      <c r="C779" s="13" t="str">
        <f>IF($A779="","",[1]!thsiFinD("ths_adjustment_nv_fund",C$3,$A779))</f>
        <v/>
      </c>
      <c r="D779" s="13" t="str">
        <f>IF($A779="","",[1]!thsiFinD("ths_adjustment_nv_fund",D$3,$A779))</f>
        <v/>
      </c>
      <c r="E779" s="13" t="str">
        <f>IF($A779="","",[1]!thsiFinD("ths_adjustment_nv_fund",E$3,$A779))</f>
        <v/>
      </c>
      <c r="F779" s="13" t="str">
        <f>IF($A779="","",[1]!thsiFinD("ths_adjustment_nv_fund",F$3,$A779))</f>
        <v/>
      </c>
      <c r="G779" s="13" t="str">
        <f>IF($A779="","",[1]!thsiFinD("ths_adjustment_nv_fund",G$3,$A779))</f>
        <v/>
      </c>
      <c r="H779" s="13" t="str">
        <f>IF($A779="","",[1]!thsiFinD("ths_adjustment_nv_fund",H$3,$A779))</f>
        <v/>
      </c>
      <c r="I779" s="13" t="str">
        <f>IF($A779="","",[1]!thsiFinD("ths_adjustment_nv_fund",I$3,$A779))</f>
        <v/>
      </c>
      <c r="J779" s="13" t="str">
        <f>IF($A779="","",[1]!thsiFinD("ths_adjustment_nv_fund",J$3,$A779))</f>
        <v/>
      </c>
      <c r="K779" s="13" t="str">
        <f>IF($A779="","",[1]!thsiFinD("ths_adjustment_nv_fund",K$3,$A779))</f>
        <v/>
      </c>
      <c r="L779" s="13" t="str">
        <f>IF($A779="","",[1]!thsiFinD("ths_adjustment_nv_fund",L$3,$A779))</f>
        <v/>
      </c>
      <c r="M779" s="13" t="str">
        <f>IF($A779="","",[1]!thsiFinD("ths_adjustment_nv_fund",M$3,$A779))</f>
        <v/>
      </c>
      <c r="N779" s="13" t="str">
        <f>IF($A779="","",[1]!thsiFinD("ths_adjustment_nv_fund",N$3,$A779))</f>
        <v/>
      </c>
      <c r="O779" s="13" t="str">
        <f>IF($A779="","",[1]!thsiFinD("ths_adjustment_nv_fund",O$3,$A779))</f>
        <v/>
      </c>
      <c r="P779" s="13" t="str">
        <f>IF($A779="","",[1]!thsiFinD("ths_adjustment_nv_fund",P$3,$A779))</f>
        <v/>
      </c>
      <c r="Q779" s="13" t="str">
        <f>IF($A779="","",[1]!thsiFinD("ths_adjustment_nv_fund",Q$3,$A779))</f>
        <v/>
      </c>
      <c r="R779" s="13" t="str">
        <f>IF($A779="","",[1]!thsiFinD("ths_adjustment_nv_fund",R$3,$A779))</f>
        <v/>
      </c>
      <c r="S779" s="13" t="str">
        <f>IF($A779="","",[1]!thsiFinD("ths_adjustment_nv_fund",S$3,$A779))</f>
        <v/>
      </c>
      <c r="T779" s="13" t="str">
        <f>IF($A779="","",[1]!thsiFinD("ths_adjustment_nv_fund",T$3,$A779))</f>
        <v/>
      </c>
      <c r="U779" s="13" t="str">
        <f>IF($A779="","",[1]!thsiFinD("ths_adjustment_nv_fund",U$3,$A779))</f>
        <v/>
      </c>
      <c r="V779" s="13" t="str">
        <f>IF($A779="","",[1]!thsiFinD("ths_adjustment_nv_fund",V$3,$A779))</f>
        <v/>
      </c>
      <c r="W779" s="13" t="str">
        <f>IF($A779="","",[1]!thsiFinD("ths_adjustment_nv_fund",W$3,$A779))</f>
        <v/>
      </c>
      <c r="X779" s="13" t="str">
        <f>IF($A779="","",[1]!thsiFinD("ths_adjustment_nv_fund",X$3,$A779))</f>
        <v/>
      </c>
      <c r="Y779" s="13" t="str">
        <f>IF($A779="","",[1]!thsiFinD("ths_adjustment_nv_fund",Y$3,$A779))</f>
        <v/>
      </c>
      <c r="Z779" s="13" t="str">
        <f>IF($A779="","",[1]!thsiFinD("ths_adjustment_nv_fund",Z$3,$A779))</f>
        <v/>
      </c>
      <c r="AA779" s="13" t="str">
        <f>IF($A779="","",[1]!thsiFinD("ths_adjustment_nv_fund",AA$3,$A779))</f>
        <v/>
      </c>
      <c r="AB779" s="13" t="str">
        <f>IF($A779="","",[1]!thsiFinD("ths_adjustment_nv_fund",AB$3,$A779))</f>
        <v/>
      </c>
    </row>
    <row r="780" spans="2:28">
      <c r="B780" s="13" t="str">
        <f>IF($A780="","",[1]!thsiFinD("ths_adjustment_nv_fund",B$3,$A780))</f>
        <v/>
      </c>
      <c r="C780" s="13" t="str">
        <f>IF($A780="","",[1]!thsiFinD("ths_adjustment_nv_fund",C$3,$A780))</f>
        <v/>
      </c>
      <c r="D780" s="13" t="str">
        <f>IF($A780="","",[1]!thsiFinD("ths_adjustment_nv_fund",D$3,$A780))</f>
        <v/>
      </c>
      <c r="E780" s="13" t="str">
        <f>IF($A780="","",[1]!thsiFinD("ths_adjustment_nv_fund",E$3,$A780))</f>
        <v/>
      </c>
      <c r="F780" s="13" t="str">
        <f>IF($A780="","",[1]!thsiFinD("ths_adjustment_nv_fund",F$3,$A780))</f>
        <v/>
      </c>
      <c r="G780" s="13" t="str">
        <f>IF($A780="","",[1]!thsiFinD("ths_adjustment_nv_fund",G$3,$A780))</f>
        <v/>
      </c>
      <c r="H780" s="13" t="str">
        <f>IF($A780="","",[1]!thsiFinD("ths_adjustment_nv_fund",H$3,$A780))</f>
        <v/>
      </c>
      <c r="I780" s="13" t="str">
        <f>IF($A780="","",[1]!thsiFinD("ths_adjustment_nv_fund",I$3,$A780))</f>
        <v/>
      </c>
      <c r="J780" s="13" t="str">
        <f>IF($A780="","",[1]!thsiFinD("ths_adjustment_nv_fund",J$3,$A780))</f>
        <v/>
      </c>
      <c r="K780" s="13" t="str">
        <f>IF($A780="","",[1]!thsiFinD("ths_adjustment_nv_fund",K$3,$A780))</f>
        <v/>
      </c>
      <c r="L780" s="13" t="str">
        <f>IF($A780="","",[1]!thsiFinD("ths_adjustment_nv_fund",L$3,$A780))</f>
        <v/>
      </c>
      <c r="M780" s="13" t="str">
        <f>IF($A780="","",[1]!thsiFinD("ths_adjustment_nv_fund",M$3,$A780))</f>
        <v/>
      </c>
      <c r="N780" s="13" t="str">
        <f>IF($A780="","",[1]!thsiFinD("ths_adjustment_nv_fund",N$3,$A780))</f>
        <v/>
      </c>
      <c r="O780" s="13" t="str">
        <f>IF($A780="","",[1]!thsiFinD("ths_adjustment_nv_fund",O$3,$A780))</f>
        <v/>
      </c>
      <c r="P780" s="13" t="str">
        <f>IF($A780="","",[1]!thsiFinD("ths_adjustment_nv_fund",P$3,$A780))</f>
        <v/>
      </c>
      <c r="Q780" s="13" t="str">
        <f>IF($A780="","",[1]!thsiFinD("ths_adjustment_nv_fund",Q$3,$A780))</f>
        <v/>
      </c>
      <c r="R780" s="13" t="str">
        <f>IF($A780="","",[1]!thsiFinD("ths_adjustment_nv_fund",R$3,$A780))</f>
        <v/>
      </c>
      <c r="S780" s="13" t="str">
        <f>IF($A780="","",[1]!thsiFinD("ths_adjustment_nv_fund",S$3,$A780))</f>
        <v/>
      </c>
      <c r="T780" s="13" t="str">
        <f>IF($A780="","",[1]!thsiFinD("ths_adjustment_nv_fund",T$3,$A780))</f>
        <v/>
      </c>
      <c r="U780" s="13" t="str">
        <f>IF($A780="","",[1]!thsiFinD("ths_adjustment_nv_fund",U$3,$A780))</f>
        <v/>
      </c>
      <c r="V780" s="13" t="str">
        <f>IF($A780="","",[1]!thsiFinD("ths_adjustment_nv_fund",V$3,$A780))</f>
        <v/>
      </c>
      <c r="W780" s="13" t="str">
        <f>IF($A780="","",[1]!thsiFinD("ths_adjustment_nv_fund",W$3,$A780))</f>
        <v/>
      </c>
      <c r="X780" s="13" t="str">
        <f>IF($A780="","",[1]!thsiFinD("ths_adjustment_nv_fund",X$3,$A780))</f>
        <v/>
      </c>
      <c r="Y780" s="13" t="str">
        <f>IF($A780="","",[1]!thsiFinD("ths_adjustment_nv_fund",Y$3,$A780))</f>
        <v/>
      </c>
      <c r="Z780" s="13" t="str">
        <f>IF($A780="","",[1]!thsiFinD("ths_adjustment_nv_fund",Z$3,$A780))</f>
        <v/>
      </c>
      <c r="AA780" s="13" t="str">
        <f>IF($A780="","",[1]!thsiFinD("ths_adjustment_nv_fund",AA$3,$A780))</f>
        <v/>
      </c>
      <c r="AB780" s="13" t="str">
        <f>IF($A780="","",[1]!thsiFinD("ths_adjustment_nv_fund",AB$3,$A780))</f>
        <v/>
      </c>
    </row>
    <row r="781" spans="2:28">
      <c r="B781" s="13" t="str">
        <f>IF($A781="","",[1]!thsiFinD("ths_adjustment_nv_fund",B$3,$A781))</f>
        <v/>
      </c>
      <c r="C781" s="13" t="str">
        <f>IF($A781="","",[1]!thsiFinD("ths_adjustment_nv_fund",C$3,$A781))</f>
        <v/>
      </c>
      <c r="D781" s="13" t="str">
        <f>IF($A781="","",[1]!thsiFinD("ths_adjustment_nv_fund",D$3,$A781))</f>
        <v/>
      </c>
      <c r="E781" s="13" t="str">
        <f>IF($A781="","",[1]!thsiFinD("ths_adjustment_nv_fund",E$3,$A781))</f>
        <v/>
      </c>
      <c r="F781" s="13" t="str">
        <f>IF($A781="","",[1]!thsiFinD("ths_adjustment_nv_fund",F$3,$A781))</f>
        <v/>
      </c>
      <c r="G781" s="13" t="str">
        <f>IF($A781="","",[1]!thsiFinD("ths_adjustment_nv_fund",G$3,$A781))</f>
        <v/>
      </c>
      <c r="H781" s="13" t="str">
        <f>IF($A781="","",[1]!thsiFinD("ths_adjustment_nv_fund",H$3,$A781))</f>
        <v/>
      </c>
      <c r="I781" s="13" t="str">
        <f>IF($A781="","",[1]!thsiFinD("ths_adjustment_nv_fund",I$3,$A781))</f>
        <v/>
      </c>
      <c r="J781" s="13" t="str">
        <f>IF($A781="","",[1]!thsiFinD("ths_adjustment_nv_fund",J$3,$A781))</f>
        <v/>
      </c>
      <c r="K781" s="13" t="str">
        <f>IF($A781="","",[1]!thsiFinD("ths_adjustment_nv_fund",K$3,$A781))</f>
        <v/>
      </c>
      <c r="L781" s="13" t="str">
        <f>IF($A781="","",[1]!thsiFinD("ths_adjustment_nv_fund",L$3,$A781))</f>
        <v/>
      </c>
      <c r="M781" s="13" t="str">
        <f>IF($A781="","",[1]!thsiFinD("ths_adjustment_nv_fund",M$3,$A781))</f>
        <v/>
      </c>
      <c r="N781" s="13" t="str">
        <f>IF($A781="","",[1]!thsiFinD("ths_adjustment_nv_fund",N$3,$A781))</f>
        <v/>
      </c>
      <c r="O781" s="13" t="str">
        <f>IF($A781="","",[1]!thsiFinD("ths_adjustment_nv_fund",O$3,$A781))</f>
        <v/>
      </c>
      <c r="P781" s="13" t="str">
        <f>IF($A781="","",[1]!thsiFinD("ths_adjustment_nv_fund",P$3,$A781))</f>
        <v/>
      </c>
      <c r="Q781" s="13" t="str">
        <f>IF($A781="","",[1]!thsiFinD("ths_adjustment_nv_fund",Q$3,$A781))</f>
        <v/>
      </c>
      <c r="R781" s="13" t="str">
        <f>IF($A781="","",[1]!thsiFinD("ths_adjustment_nv_fund",R$3,$A781))</f>
        <v/>
      </c>
      <c r="S781" s="13" t="str">
        <f>IF($A781="","",[1]!thsiFinD("ths_adjustment_nv_fund",S$3,$A781))</f>
        <v/>
      </c>
      <c r="T781" s="13" t="str">
        <f>IF($A781="","",[1]!thsiFinD("ths_adjustment_nv_fund",T$3,$A781))</f>
        <v/>
      </c>
      <c r="U781" s="13" t="str">
        <f>IF($A781="","",[1]!thsiFinD("ths_adjustment_nv_fund",U$3,$A781))</f>
        <v/>
      </c>
      <c r="V781" s="13" t="str">
        <f>IF($A781="","",[1]!thsiFinD("ths_adjustment_nv_fund",V$3,$A781))</f>
        <v/>
      </c>
      <c r="W781" s="13" t="str">
        <f>IF($A781="","",[1]!thsiFinD("ths_adjustment_nv_fund",W$3,$A781))</f>
        <v/>
      </c>
      <c r="X781" s="13" t="str">
        <f>IF($A781="","",[1]!thsiFinD("ths_adjustment_nv_fund",X$3,$A781))</f>
        <v/>
      </c>
      <c r="Y781" s="13" t="str">
        <f>IF($A781="","",[1]!thsiFinD("ths_adjustment_nv_fund",Y$3,$A781))</f>
        <v/>
      </c>
      <c r="Z781" s="13" t="str">
        <f>IF($A781="","",[1]!thsiFinD("ths_adjustment_nv_fund",Z$3,$A781))</f>
        <v/>
      </c>
      <c r="AA781" s="13" t="str">
        <f>IF($A781="","",[1]!thsiFinD("ths_adjustment_nv_fund",AA$3,$A781))</f>
        <v/>
      </c>
      <c r="AB781" s="13" t="str">
        <f>IF($A781="","",[1]!thsiFinD("ths_adjustment_nv_fund",AB$3,$A781))</f>
        <v/>
      </c>
    </row>
    <row r="782" spans="2:28">
      <c r="B782" s="13" t="str">
        <f>IF($A782="","",[1]!thsiFinD("ths_adjustment_nv_fund",B$3,$A782))</f>
        <v/>
      </c>
      <c r="C782" s="13" t="str">
        <f>IF($A782="","",[1]!thsiFinD("ths_adjustment_nv_fund",C$3,$A782))</f>
        <v/>
      </c>
      <c r="D782" s="13" t="str">
        <f>IF($A782="","",[1]!thsiFinD("ths_adjustment_nv_fund",D$3,$A782))</f>
        <v/>
      </c>
      <c r="E782" s="13" t="str">
        <f>IF($A782="","",[1]!thsiFinD("ths_adjustment_nv_fund",E$3,$A782))</f>
        <v/>
      </c>
      <c r="F782" s="13" t="str">
        <f>IF($A782="","",[1]!thsiFinD("ths_adjustment_nv_fund",F$3,$A782))</f>
        <v/>
      </c>
      <c r="G782" s="13" t="str">
        <f>IF($A782="","",[1]!thsiFinD("ths_adjustment_nv_fund",G$3,$A782))</f>
        <v/>
      </c>
      <c r="H782" s="13" t="str">
        <f>IF($A782="","",[1]!thsiFinD("ths_adjustment_nv_fund",H$3,$A782))</f>
        <v/>
      </c>
      <c r="I782" s="13" t="str">
        <f>IF($A782="","",[1]!thsiFinD("ths_adjustment_nv_fund",I$3,$A782))</f>
        <v/>
      </c>
      <c r="J782" s="13" t="str">
        <f>IF($A782="","",[1]!thsiFinD("ths_adjustment_nv_fund",J$3,$A782))</f>
        <v/>
      </c>
      <c r="K782" s="13" t="str">
        <f>IF($A782="","",[1]!thsiFinD("ths_adjustment_nv_fund",K$3,$A782))</f>
        <v/>
      </c>
      <c r="L782" s="13" t="str">
        <f>IF($A782="","",[1]!thsiFinD("ths_adjustment_nv_fund",L$3,$A782))</f>
        <v/>
      </c>
      <c r="M782" s="13" t="str">
        <f>IF($A782="","",[1]!thsiFinD("ths_adjustment_nv_fund",M$3,$A782))</f>
        <v/>
      </c>
      <c r="N782" s="13" t="str">
        <f>IF($A782="","",[1]!thsiFinD("ths_adjustment_nv_fund",N$3,$A782))</f>
        <v/>
      </c>
      <c r="O782" s="13" t="str">
        <f>IF($A782="","",[1]!thsiFinD("ths_adjustment_nv_fund",O$3,$A782))</f>
        <v/>
      </c>
      <c r="P782" s="13" t="str">
        <f>IF($A782="","",[1]!thsiFinD("ths_adjustment_nv_fund",P$3,$A782))</f>
        <v/>
      </c>
      <c r="Q782" s="13" t="str">
        <f>IF($A782="","",[1]!thsiFinD("ths_adjustment_nv_fund",Q$3,$A782))</f>
        <v/>
      </c>
      <c r="R782" s="13" t="str">
        <f>IF($A782="","",[1]!thsiFinD("ths_adjustment_nv_fund",R$3,$A782))</f>
        <v/>
      </c>
      <c r="S782" s="13" t="str">
        <f>IF($A782="","",[1]!thsiFinD("ths_adjustment_nv_fund",S$3,$A782))</f>
        <v/>
      </c>
      <c r="T782" s="13" t="str">
        <f>IF($A782="","",[1]!thsiFinD("ths_adjustment_nv_fund",T$3,$A782))</f>
        <v/>
      </c>
      <c r="U782" s="13" t="str">
        <f>IF($A782="","",[1]!thsiFinD("ths_adjustment_nv_fund",U$3,$A782))</f>
        <v/>
      </c>
      <c r="V782" s="13" t="str">
        <f>IF($A782="","",[1]!thsiFinD("ths_adjustment_nv_fund",V$3,$A782))</f>
        <v/>
      </c>
      <c r="W782" s="13" t="str">
        <f>IF($A782="","",[1]!thsiFinD("ths_adjustment_nv_fund",W$3,$A782))</f>
        <v/>
      </c>
      <c r="X782" s="13" t="str">
        <f>IF($A782="","",[1]!thsiFinD("ths_adjustment_nv_fund",X$3,$A782))</f>
        <v/>
      </c>
      <c r="Y782" s="13" t="str">
        <f>IF($A782="","",[1]!thsiFinD("ths_adjustment_nv_fund",Y$3,$A782))</f>
        <v/>
      </c>
      <c r="Z782" s="13" t="str">
        <f>IF($A782="","",[1]!thsiFinD("ths_adjustment_nv_fund",Z$3,$A782))</f>
        <v/>
      </c>
      <c r="AA782" s="13" t="str">
        <f>IF($A782="","",[1]!thsiFinD("ths_adjustment_nv_fund",AA$3,$A782))</f>
        <v/>
      </c>
      <c r="AB782" s="13" t="str">
        <f>IF($A782="","",[1]!thsiFinD("ths_adjustment_nv_fund",AB$3,$A782))</f>
        <v/>
      </c>
    </row>
    <row r="783" spans="2:28">
      <c r="B783" s="13" t="str">
        <f>IF($A783="","",[1]!thsiFinD("ths_adjustment_nv_fund",B$3,$A783))</f>
        <v/>
      </c>
      <c r="C783" s="13" t="str">
        <f>IF($A783="","",[1]!thsiFinD("ths_adjustment_nv_fund",C$3,$A783))</f>
        <v/>
      </c>
      <c r="D783" s="13" t="str">
        <f>IF($A783="","",[1]!thsiFinD("ths_adjustment_nv_fund",D$3,$A783))</f>
        <v/>
      </c>
      <c r="E783" s="13" t="str">
        <f>IF($A783="","",[1]!thsiFinD("ths_adjustment_nv_fund",E$3,$A783))</f>
        <v/>
      </c>
      <c r="F783" s="13" t="str">
        <f>IF($A783="","",[1]!thsiFinD("ths_adjustment_nv_fund",F$3,$A783))</f>
        <v/>
      </c>
      <c r="G783" s="13" t="str">
        <f>IF($A783="","",[1]!thsiFinD("ths_adjustment_nv_fund",G$3,$A783))</f>
        <v/>
      </c>
      <c r="H783" s="13" t="str">
        <f>IF($A783="","",[1]!thsiFinD("ths_adjustment_nv_fund",H$3,$A783))</f>
        <v/>
      </c>
      <c r="I783" s="13" t="str">
        <f>IF($A783="","",[1]!thsiFinD("ths_adjustment_nv_fund",I$3,$A783))</f>
        <v/>
      </c>
      <c r="J783" s="13" t="str">
        <f>IF($A783="","",[1]!thsiFinD("ths_adjustment_nv_fund",J$3,$A783))</f>
        <v/>
      </c>
      <c r="K783" s="13" t="str">
        <f>IF($A783="","",[1]!thsiFinD("ths_adjustment_nv_fund",K$3,$A783))</f>
        <v/>
      </c>
      <c r="L783" s="13" t="str">
        <f>IF($A783="","",[1]!thsiFinD("ths_adjustment_nv_fund",L$3,$A783))</f>
        <v/>
      </c>
      <c r="M783" s="13" t="str">
        <f>IF($A783="","",[1]!thsiFinD("ths_adjustment_nv_fund",M$3,$A783))</f>
        <v/>
      </c>
      <c r="N783" s="13" t="str">
        <f>IF($A783="","",[1]!thsiFinD("ths_adjustment_nv_fund",N$3,$A783))</f>
        <v/>
      </c>
      <c r="O783" s="13" t="str">
        <f>IF($A783="","",[1]!thsiFinD("ths_adjustment_nv_fund",O$3,$A783))</f>
        <v/>
      </c>
      <c r="P783" s="13" t="str">
        <f>IF($A783="","",[1]!thsiFinD("ths_adjustment_nv_fund",P$3,$A783))</f>
        <v/>
      </c>
      <c r="Q783" s="13" t="str">
        <f>IF($A783="","",[1]!thsiFinD("ths_adjustment_nv_fund",Q$3,$A783))</f>
        <v/>
      </c>
      <c r="R783" s="13" t="str">
        <f>IF($A783="","",[1]!thsiFinD("ths_adjustment_nv_fund",R$3,$A783))</f>
        <v/>
      </c>
      <c r="S783" s="13" t="str">
        <f>IF($A783="","",[1]!thsiFinD("ths_adjustment_nv_fund",S$3,$A783))</f>
        <v/>
      </c>
      <c r="T783" s="13" t="str">
        <f>IF($A783="","",[1]!thsiFinD("ths_adjustment_nv_fund",T$3,$A783))</f>
        <v/>
      </c>
      <c r="U783" s="13" t="str">
        <f>IF($A783="","",[1]!thsiFinD("ths_adjustment_nv_fund",U$3,$A783))</f>
        <v/>
      </c>
      <c r="V783" s="13" t="str">
        <f>IF($A783="","",[1]!thsiFinD("ths_adjustment_nv_fund",V$3,$A783))</f>
        <v/>
      </c>
      <c r="W783" s="13" t="str">
        <f>IF($A783="","",[1]!thsiFinD("ths_adjustment_nv_fund",W$3,$A783))</f>
        <v/>
      </c>
      <c r="X783" s="13" t="str">
        <f>IF($A783="","",[1]!thsiFinD("ths_adjustment_nv_fund",X$3,$A783))</f>
        <v/>
      </c>
      <c r="Y783" s="13" t="str">
        <f>IF($A783="","",[1]!thsiFinD("ths_adjustment_nv_fund",Y$3,$A783))</f>
        <v/>
      </c>
      <c r="Z783" s="13" t="str">
        <f>IF($A783="","",[1]!thsiFinD("ths_adjustment_nv_fund",Z$3,$A783))</f>
        <v/>
      </c>
      <c r="AA783" s="13" t="str">
        <f>IF($A783="","",[1]!thsiFinD("ths_adjustment_nv_fund",AA$3,$A783))</f>
        <v/>
      </c>
      <c r="AB783" s="13" t="str">
        <f>IF($A783="","",[1]!thsiFinD("ths_adjustment_nv_fund",AB$3,$A783))</f>
        <v/>
      </c>
    </row>
    <row r="784" spans="2:28">
      <c r="B784" s="13" t="str">
        <f>IF($A784="","",[1]!thsiFinD("ths_adjustment_nv_fund",B$3,$A784))</f>
        <v/>
      </c>
      <c r="C784" s="13" t="str">
        <f>IF($A784="","",[1]!thsiFinD("ths_adjustment_nv_fund",C$3,$A784))</f>
        <v/>
      </c>
      <c r="D784" s="13" t="str">
        <f>IF($A784="","",[1]!thsiFinD("ths_adjustment_nv_fund",D$3,$A784))</f>
        <v/>
      </c>
      <c r="E784" s="13" t="str">
        <f>IF($A784="","",[1]!thsiFinD("ths_adjustment_nv_fund",E$3,$A784))</f>
        <v/>
      </c>
      <c r="F784" s="13" t="str">
        <f>IF($A784="","",[1]!thsiFinD("ths_adjustment_nv_fund",F$3,$A784))</f>
        <v/>
      </c>
      <c r="G784" s="13" t="str">
        <f>IF($A784="","",[1]!thsiFinD("ths_adjustment_nv_fund",G$3,$A784))</f>
        <v/>
      </c>
      <c r="H784" s="13" t="str">
        <f>IF($A784="","",[1]!thsiFinD("ths_adjustment_nv_fund",H$3,$A784))</f>
        <v/>
      </c>
      <c r="I784" s="13" t="str">
        <f>IF($A784="","",[1]!thsiFinD("ths_adjustment_nv_fund",I$3,$A784))</f>
        <v/>
      </c>
      <c r="J784" s="13" t="str">
        <f>IF($A784="","",[1]!thsiFinD("ths_adjustment_nv_fund",J$3,$A784))</f>
        <v/>
      </c>
      <c r="K784" s="13" t="str">
        <f>IF($A784="","",[1]!thsiFinD("ths_adjustment_nv_fund",K$3,$A784))</f>
        <v/>
      </c>
      <c r="L784" s="13" t="str">
        <f>IF($A784="","",[1]!thsiFinD("ths_adjustment_nv_fund",L$3,$A784))</f>
        <v/>
      </c>
      <c r="M784" s="13" t="str">
        <f>IF($A784="","",[1]!thsiFinD("ths_adjustment_nv_fund",M$3,$A784))</f>
        <v/>
      </c>
      <c r="N784" s="13" t="str">
        <f>IF($A784="","",[1]!thsiFinD("ths_adjustment_nv_fund",N$3,$A784))</f>
        <v/>
      </c>
      <c r="O784" s="13" t="str">
        <f>IF($A784="","",[1]!thsiFinD("ths_adjustment_nv_fund",O$3,$A784))</f>
        <v/>
      </c>
      <c r="P784" s="13" t="str">
        <f>IF($A784="","",[1]!thsiFinD("ths_adjustment_nv_fund",P$3,$A784))</f>
        <v/>
      </c>
      <c r="Q784" s="13" t="str">
        <f>IF($A784="","",[1]!thsiFinD("ths_adjustment_nv_fund",Q$3,$A784))</f>
        <v/>
      </c>
      <c r="R784" s="13" t="str">
        <f>IF($A784="","",[1]!thsiFinD("ths_adjustment_nv_fund",R$3,$A784))</f>
        <v/>
      </c>
      <c r="S784" s="13" t="str">
        <f>IF($A784="","",[1]!thsiFinD("ths_adjustment_nv_fund",S$3,$A784))</f>
        <v/>
      </c>
      <c r="T784" s="13" t="str">
        <f>IF($A784="","",[1]!thsiFinD("ths_adjustment_nv_fund",T$3,$A784))</f>
        <v/>
      </c>
      <c r="U784" s="13" t="str">
        <f>IF($A784="","",[1]!thsiFinD("ths_adjustment_nv_fund",U$3,$A784))</f>
        <v/>
      </c>
      <c r="V784" s="13" t="str">
        <f>IF($A784="","",[1]!thsiFinD("ths_adjustment_nv_fund",V$3,$A784))</f>
        <v/>
      </c>
      <c r="W784" s="13" t="str">
        <f>IF($A784="","",[1]!thsiFinD("ths_adjustment_nv_fund",W$3,$A784))</f>
        <v/>
      </c>
      <c r="X784" s="13" t="str">
        <f>IF($A784="","",[1]!thsiFinD("ths_adjustment_nv_fund",X$3,$A784))</f>
        <v/>
      </c>
      <c r="Y784" s="13" t="str">
        <f>IF($A784="","",[1]!thsiFinD("ths_adjustment_nv_fund",Y$3,$A784))</f>
        <v/>
      </c>
      <c r="Z784" s="13" t="str">
        <f>IF($A784="","",[1]!thsiFinD("ths_adjustment_nv_fund",Z$3,$A784))</f>
        <v/>
      </c>
      <c r="AA784" s="13" t="str">
        <f>IF($A784="","",[1]!thsiFinD("ths_adjustment_nv_fund",AA$3,$A784))</f>
        <v/>
      </c>
      <c r="AB784" s="13" t="str">
        <f>IF($A784="","",[1]!thsiFinD("ths_adjustment_nv_fund",AB$3,$A784))</f>
        <v/>
      </c>
    </row>
    <row r="785" spans="2:28">
      <c r="B785" s="13" t="str">
        <f>IF($A785="","",[1]!thsiFinD("ths_adjustment_nv_fund",B$3,$A785))</f>
        <v/>
      </c>
      <c r="C785" s="13" t="str">
        <f>IF($A785="","",[1]!thsiFinD("ths_adjustment_nv_fund",C$3,$A785))</f>
        <v/>
      </c>
      <c r="D785" s="13" t="str">
        <f>IF($A785="","",[1]!thsiFinD("ths_adjustment_nv_fund",D$3,$A785))</f>
        <v/>
      </c>
      <c r="E785" s="13" t="str">
        <f>IF($A785="","",[1]!thsiFinD("ths_adjustment_nv_fund",E$3,$A785))</f>
        <v/>
      </c>
      <c r="F785" s="13" t="str">
        <f>IF($A785="","",[1]!thsiFinD("ths_adjustment_nv_fund",F$3,$A785))</f>
        <v/>
      </c>
      <c r="G785" s="13" t="str">
        <f>IF($A785="","",[1]!thsiFinD("ths_adjustment_nv_fund",G$3,$A785))</f>
        <v/>
      </c>
      <c r="H785" s="13" t="str">
        <f>IF($A785="","",[1]!thsiFinD("ths_adjustment_nv_fund",H$3,$A785))</f>
        <v/>
      </c>
      <c r="I785" s="13" t="str">
        <f>IF($A785="","",[1]!thsiFinD("ths_adjustment_nv_fund",I$3,$A785))</f>
        <v/>
      </c>
      <c r="J785" s="13" t="str">
        <f>IF($A785="","",[1]!thsiFinD("ths_adjustment_nv_fund",J$3,$A785))</f>
        <v/>
      </c>
      <c r="K785" s="13" t="str">
        <f>IF($A785="","",[1]!thsiFinD("ths_adjustment_nv_fund",K$3,$A785))</f>
        <v/>
      </c>
      <c r="L785" s="13" t="str">
        <f>IF($A785="","",[1]!thsiFinD("ths_adjustment_nv_fund",L$3,$A785))</f>
        <v/>
      </c>
      <c r="M785" s="13" t="str">
        <f>IF($A785="","",[1]!thsiFinD("ths_adjustment_nv_fund",M$3,$A785))</f>
        <v/>
      </c>
      <c r="N785" s="13" t="str">
        <f>IF($A785="","",[1]!thsiFinD("ths_adjustment_nv_fund",N$3,$A785))</f>
        <v/>
      </c>
      <c r="O785" s="13" t="str">
        <f>IF($A785="","",[1]!thsiFinD("ths_adjustment_nv_fund",O$3,$A785))</f>
        <v/>
      </c>
      <c r="P785" s="13" t="str">
        <f>IF($A785="","",[1]!thsiFinD("ths_adjustment_nv_fund",P$3,$A785))</f>
        <v/>
      </c>
      <c r="Q785" s="13" t="str">
        <f>IF($A785="","",[1]!thsiFinD("ths_adjustment_nv_fund",Q$3,$A785))</f>
        <v/>
      </c>
      <c r="R785" s="13" t="str">
        <f>IF($A785="","",[1]!thsiFinD("ths_adjustment_nv_fund",R$3,$A785))</f>
        <v/>
      </c>
      <c r="S785" s="13" t="str">
        <f>IF($A785="","",[1]!thsiFinD("ths_adjustment_nv_fund",S$3,$A785))</f>
        <v/>
      </c>
      <c r="T785" s="13" t="str">
        <f>IF($A785="","",[1]!thsiFinD("ths_adjustment_nv_fund",T$3,$A785))</f>
        <v/>
      </c>
      <c r="U785" s="13" t="str">
        <f>IF($A785="","",[1]!thsiFinD("ths_adjustment_nv_fund",U$3,$A785))</f>
        <v/>
      </c>
      <c r="V785" s="13" t="str">
        <f>IF($A785="","",[1]!thsiFinD("ths_adjustment_nv_fund",V$3,$A785))</f>
        <v/>
      </c>
      <c r="W785" s="13" t="str">
        <f>IF($A785="","",[1]!thsiFinD("ths_adjustment_nv_fund",W$3,$A785))</f>
        <v/>
      </c>
      <c r="X785" s="13" t="str">
        <f>IF($A785="","",[1]!thsiFinD("ths_adjustment_nv_fund",X$3,$A785))</f>
        <v/>
      </c>
      <c r="Y785" s="13" t="str">
        <f>IF($A785="","",[1]!thsiFinD("ths_adjustment_nv_fund",Y$3,$A785))</f>
        <v/>
      </c>
      <c r="Z785" s="13" t="str">
        <f>IF($A785="","",[1]!thsiFinD("ths_adjustment_nv_fund",Z$3,$A785))</f>
        <v/>
      </c>
      <c r="AA785" s="13" t="str">
        <f>IF($A785="","",[1]!thsiFinD("ths_adjustment_nv_fund",AA$3,$A785))</f>
        <v/>
      </c>
      <c r="AB785" s="13" t="str">
        <f>IF($A785="","",[1]!thsiFinD("ths_adjustment_nv_fund",AB$3,$A785))</f>
        <v/>
      </c>
    </row>
    <row r="786" spans="2:28">
      <c r="B786" s="13" t="str">
        <f>IF($A786="","",[1]!thsiFinD("ths_adjustment_nv_fund",B$3,$A786))</f>
        <v/>
      </c>
      <c r="C786" s="13" t="str">
        <f>IF($A786="","",[1]!thsiFinD("ths_adjustment_nv_fund",C$3,$A786))</f>
        <v/>
      </c>
      <c r="D786" s="13" t="str">
        <f>IF($A786="","",[1]!thsiFinD("ths_adjustment_nv_fund",D$3,$A786))</f>
        <v/>
      </c>
      <c r="E786" s="13" t="str">
        <f>IF($A786="","",[1]!thsiFinD("ths_adjustment_nv_fund",E$3,$A786))</f>
        <v/>
      </c>
      <c r="F786" s="13" t="str">
        <f>IF($A786="","",[1]!thsiFinD("ths_adjustment_nv_fund",F$3,$A786))</f>
        <v/>
      </c>
      <c r="G786" s="13" t="str">
        <f>IF($A786="","",[1]!thsiFinD("ths_adjustment_nv_fund",G$3,$A786))</f>
        <v/>
      </c>
      <c r="H786" s="13" t="str">
        <f>IF($A786="","",[1]!thsiFinD("ths_adjustment_nv_fund",H$3,$A786))</f>
        <v/>
      </c>
      <c r="I786" s="13" t="str">
        <f>IF($A786="","",[1]!thsiFinD("ths_adjustment_nv_fund",I$3,$A786))</f>
        <v/>
      </c>
      <c r="J786" s="13" t="str">
        <f>IF($A786="","",[1]!thsiFinD("ths_adjustment_nv_fund",J$3,$A786))</f>
        <v/>
      </c>
      <c r="K786" s="13" t="str">
        <f>IF($A786="","",[1]!thsiFinD("ths_adjustment_nv_fund",K$3,$A786))</f>
        <v/>
      </c>
      <c r="L786" s="13" t="str">
        <f>IF($A786="","",[1]!thsiFinD("ths_adjustment_nv_fund",L$3,$A786))</f>
        <v/>
      </c>
      <c r="M786" s="13" t="str">
        <f>IF($A786="","",[1]!thsiFinD("ths_adjustment_nv_fund",M$3,$A786))</f>
        <v/>
      </c>
      <c r="N786" s="13" t="str">
        <f>IF($A786="","",[1]!thsiFinD("ths_adjustment_nv_fund",N$3,$A786))</f>
        <v/>
      </c>
      <c r="O786" s="13" t="str">
        <f>IF($A786="","",[1]!thsiFinD("ths_adjustment_nv_fund",O$3,$A786))</f>
        <v/>
      </c>
      <c r="P786" s="13" t="str">
        <f>IF($A786="","",[1]!thsiFinD("ths_adjustment_nv_fund",P$3,$A786))</f>
        <v/>
      </c>
      <c r="Q786" s="13" t="str">
        <f>IF($A786="","",[1]!thsiFinD("ths_adjustment_nv_fund",Q$3,$A786))</f>
        <v/>
      </c>
      <c r="R786" s="13" t="str">
        <f>IF($A786="","",[1]!thsiFinD("ths_adjustment_nv_fund",R$3,$A786))</f>
        <v/>
      </c>
      <c r="S786" s="13" t="str">
        <f>IF($A786="","",[1]!thsiFinD("ths_adjustment_nv_fund",S$3,$A786))</f>
        <v/>
      </c>
      <c r="T786" s="13" t="str">
        <f>IF($A786="","",[1]!thsiFinD("ths_adjustment_nv_fund",T$3,$A786))</f>
        <v/>
      </c>
      <c r="U786" s="13" t="str">
        <f>IF($A786="","",[1]!thsiFinD("ths_adjustment_nv_fund",U$3,$A786))</f>
        <v/>
      </c>
      <c r="V786" s="13" t="str">
        <f>IF($A786="","",[1]!thsiFinD("ths_adjustment_nv_fund",V$3,$A786))</f>
        <v/>
      </c>
      <c r="W786" s="13" t="str">
        <f>IF($A786="","",[1]!thsiFinD("ths_adjustment_nv_fund",W$3,$A786))</f>
        <v/>
      </c>
      <c r="X786" s="13" t="str">
        <f>IF($A786="","",[1]!thsiFinD("ths_adjustment_nv_fund",X$3,$A786))</f>
        <v/>
      </c>
      <c r="Y786" s="13" t="str">
        <f>IF($A786="","",[1]!thsiFinD("ths_adjustment_nv_fund",Y$3,$A786))</f>
        <v/>
      </c>
      <c r="Z786" s="13" t="str">
        <f>IF($A786="","",[1]!thsiFinD("ths_adjustment_nv_fund",Z$3,$A786))</f>
        <v/>
      </c>
      <c r="AA786" s="13" t="str">
        <f>IF($A786="","",[1]!thsiFinD("ths_adjustment_nv_fund",AA$3,$A786))</f>
        <v/>
      </c>
      <c r="AB786" s="13" t="str">
        <f>IF($A786="","",[1]!thsiFinD("ths_adjustment_nv_fund",AB$3,$A786))</f>
        <v/>
      </c>
    </row>
    <row r="787" spans="2:28">
      <c r="B787" s="13" t="str">
        <f>IF($A787="","",[1]!thsiFinD("ths_adjustment_nv_fund",B$3,$A787))</f>
        <v/>
      </c>
      <c r="C787" s="13" t="str">
        <f>IF($A787="","",[1]!thsiFinD("ths_adjustment_nv_fund",C$3,$A787))</f>
        <v/>
      </c>
      <c r="D787" s="13" t="str">
        <f>IF($A787="","",[1]!thsiFinD("ths_adjustment_nv_fund",D$3,$A787))</f>
        <v/>
      </c>
      <c r="E787" s="13" t="str">
        <f>IF($A787="","",[1]!thsiFinD("ths_adjustment_nv_fund",E$3,$A787))</f>
        <v/>
      </c>
      <c r="F787" s="13" t="str">
        <f>IF($A787="","",[1]!thsiFinD("ths_adjustment_nv_fund",F$3,$A787))</f>
        <v/>
      </c>
      <c r="G787" s="13" t="str">
        <f>IF($A787="","",[1]!thsiFinD("ths_adjustment_nv_fund",G$3,$A787))</f>
        <v/>
      </c>
      <c r="H787" s="13" t="str">
        <f>IF($A787="","",[1]!thsiFinD("ths_adjustment_nv_fund",H$3,$A787))</f>
        <v/>
      </c>
      <c r="I787" s="13" t="str">
        <f>IF($A787="","",[1]!thsiFinD("ths_adjustment_nv_fund",I$3,$A787))</f>
        <v/>
      </c>
      <c r="J787" s="13" t="str">
        <f>IF($A787="","",[1]!thsiFinD("ths_adjustment_nv_fund",J$3,$A787))</f>
        <v/>
      </c>
      <c r="K787" s="13" t="str">
        <f>IF($A787="","",[1]!thsiFinD("ths_adjustment_nv_fund",K$3,$A787))</f>
        <v/>
      </c>
      <c r="L787" s="13" t="str">
        <f>IF($A787="","",[1]!thsiFinD("ths_adjustment_nv_fund",L$3,$A787))</f>
        <v/>
      </c>
      <c r="M787" s="13" t="str">
        <f>IF($A787="","",[1]!thsiFinD("ths_adjustment_nv_fund",M$3,$A787))</f>
        <v/>
      </c>
      <c r="N787" s="13" t="str">
        <f>IF($A787="","",[1]!thsiFinD("ths_adjustment_nv_fund",N$3,$A787))</f>
        <v/>
      </c>
      <c r="O787" s="13" t="str">
        <f>IF($A787="","",[1]!thsiFinD("ths_adjustment_nv_fund",O$3,$A787))</f>
        <v/>
      </c>
      <c r="P787" s="13" t="str">
        <f>IF($A787="","",[1]!thsiFinD("ths_adjustment_nv_fund",P$3,$A787))</f>
        <v/>
      </c>
      <c r="Q787" s="13" t="str">
        <f>IF($A787="","",[1]!thsiFinD("ths_adjustment_nv_fund",Q$3,$A787))</f>
        <v/>
      </c>
      <c r="R787" s="13" t="str">
        <f>IF($A787="","",[1]!thsiFinD("ths_adjustment_nv_fund",R$3,$A787))</f>
        <v/>
      </c>
      <c r="S787" s="13" t="str">
        <f>IF($A787="","",[1]!thsiFinD("ths_adjustment_nv_fund",S$3,$A787))</f>
        <v/>
      </c>
      <c r="T787" s="13" t="str">
        <f>IF($A787="","",[1]!thsiFinD("ths_adjustment_nv_fund",T$3,$A787))</f>
        <v/>
      </c>
      <c r="U787" s="13" t="str">
        <f>IF($A787="","",[1]!thsiFinD("ths_adjustment_nv_fund",U$3,$A787))</f>
        <v/>
      </c>
      <c r="V787" s="13" t="str">
        <f>IF($A787="","",[1]!thsiFinD("ths_adjustment_nv_fund",V$3,$A787))</f>
        <v/>
      </c>
      <c r="W787" s="13" t="str">
        <f>IF($A787="","",[1]!thsiFinD("ths_adjustment_nv_fund",W$3,$A787))</f>
        <v/>
      </c>
      <c r="X787" s="13" t="str">
        <f>IF($A787="","",[1]!thsiFinD("ths_adjustment_nv_fund",X$3,$A787))</f>
        <v/>
      </c>
      <c r="Y787" s="13" t="str">
        <f>IF($A787="","",[1]!thsiFinD("ths_adjustment_nv_fund",Y$3,$A787))</f>
        <v/>
      </c>
      <c r="Z787" s="13" t="str">
        <f>IF($A787="","",[1]!thsiFinD("ths_adjustment_nv_fund",Z$3,$A787))</f>
        <v/>
      </c>
      <c r="AA787" s="13" t="str">
        <f>IF($A787="","",[1]!thsiFinD("ths_adjustment_nv_fund",AA$3,$A787))</f>
        <v/>
      </c>
      <c r="AB787" s="13" t="str">
        <f>IF($A787="","",[1]!thsiFinD("ths_adjustment_nv_fund",AB$3,$A787))</f>
        <v/>
      </c>
    </row>
    <row r="788" spans="2:28">
      <c r="B788" s="13" t="str">
        <f>IF($A788="","",[1]!thsiFinD("ths_adjustment_nv_fund",B$3,$A788))</f>
        <v/>
      </c>
      <c r="C788" s="13" t="str">
        <f>IF($A788="","",[1]!thsiFinD("ths_adjustment_nv_fund",C$3,$A788))</f>
        <v/>
      </c>
      <c r="D788" s="13" t="str">
        <f>IF($A788="","",[1]!thsiFinD("ths_adjustment_nv_fund",D$3,$A788))</f>
        <v/>
      </c>
      <c r="E788" s="13" t="str">
        <f>IF($A788="","",[1]!thsiFinD("ths_adjustment_nv_fund",E$3,$A788))</f>
        <v/>
      </c>
      <c r="F788" s="13" t="str">
        <f>IF($A788="","",[1]!thsiFinD("ths_adjustment_nv_fund",F$3,$A788))</f>
        <v/>
      </c>
      <c r="G788" s="13" t="str">
        <f>IF($A788="","",[1]!thsiFinD("ths_adjustment_nv_fund",G$3,$A788))</f>
        <v/>
      </c>
      <c r="H788" s="13" t="str">
        <f>IF($A788="","",[1]!thsiFinD("ths_adjustment_nv_fund",H$3,$A788))</f>
        <v/>
      </c>
      <c r="I788" s="13" t="str">
        <f>IF($A788="","",[1]!thsiFinD("ths_adjustment_nv_fund",I$3,$A788))</f>
        <v/>
      </c>
      <c r="J788" s="13" t="str">
        <f>IF($A788="","",[1]!thsiFinD("ths_adjustment_nv_fund",J$3,$A788))</f>
        <v/>
      </c>
      <c r="K788" s="13" t="str">
        <f>IF($A788="","",[1]!thsiFinD("ths_adjustment_nv_fund",K$3,$A788))</f>
        <v/>
      </c>
      <c r="L788" s="13" t="str">
        <f>IF($A788="","",[1]!thsiFinD("ths_adjustment_nv_fund",L$3,$A788))</f>
        <v/>
      </c>
      <c r="M788" s="13" t="str">
        <f>IF($A788="","",[1]!thsiFinD("ths_adjustment_nv_fund",M$3,$A788))</f>
        <v/>
      </c>
      <c r="N788" s="13" t="str">
        <f>IF($A788="","",[1]!thsiFinD("ths_adjustment_nv_fund",N$3,$A788))</f>
        <v/>
      </c>
      <c r="O788" s="13" t="str">
        <f>IF($A788="","",[1]!thsiFinD("ths_adjustment_nv_fund",O$3,$A788))</f>
        <v/>
      </c>
      <c r="P788" s="13" t="str">
        <f>IF($A788="","",[1]!thsiFinD("ths_adjustment_nv_fund",P$3,$A788))</f>
        <v/>
      </c>
      <c r="Q788" s="13" t="str">
        <f>IF($A788="","",[1]!thsiFinD("ths_adjustment_nv_fund",Q$3,$A788))</f>
        <v/>
      </c>
      <c r="R788" s="13" t="str">
        <f>IF($A788="","",[1]!thsiFinD("ths_adjustment_nv_fund",R$3,$A788))</f>
        <v/>
      </c>
      <c r="S788" s="13" t="str">
        <f>IF($A788="","",[1]!thsiFinD("ths_adjustment_nv_fund",S$3,$A788))</f>
        <v/>
      </c>
      <c r="T788" s="13" t="str">
        <f>IF($A788="","",[1]!thsiFinD("ths_adjustment_nv_fund",T$3,$A788))</f>
        <v/>
      </c>
      <c r="U788" s="13" t="str">
        <f>IF($A788="","",[1]!thsiFinD("ths_adjustment_nv_fund",U$3,$A788))</f>
        <v/>
      </c>
      <c r="V788" s="13" t="str">
        <f>IF($A788="","",[1]!thsiFinD("ths_adjustment_nv_fund",V$3,$A788))</f>
        <v/>
      </c>
      <c r="W788" s="13" t="str">
        <f>IF($A788="","",[1]!thsiFinD("ths_adjustment_nv_fund",W$3,$A788))</f>
        <v/>
      </c>
      <c r="X788" s="13" t="str">
        <f>IF($A788="","",[1]!thsiFinD("ths_adjustment_nv_fund",X$3,$A788))</f>
        <v/>
      </c>
      <c r="Y788" s="13" t="str">
        <f>IF($A788="","",[1]!thsiFinD("ths_adjustment_nv_fund",Y$3,$A788))</f>
        <v/>
      </c>
      <c r="Z788" s="13" t="str">
        <f>IF($A788="","",[1]!thsiFinD("ths_adjustment_nv_fund",Z$3,$A788))</f>
        <v/>
      </c>
      <c r="AA788" s="13" t="str">
        <f>IF($A788="","",[1]!thsiFinD("ths_adjustment_nv_fund",AA$3,$A788))</f>
        <v/>
      </c>
      <c r="AB788" s="13" t="str">
        <f>IF($A788="","",[1]!thsiFinD("ths_adjustment_nv_fund",AB$3,$A788))</f>
        <v/>
      </c>
    </row>
    <row r="789" spans="2:28">
      <c r="B789" s="13" t="str">
        <f>IF($A789="","",[1]!thsiFinD("ths_adjustment_nv_fund",B$3,$A789))</f>
        <v/>
      </c>
      <c r="C789" s="13" t="str">
        <f>IF($A789="","",[1]!thsiFinD("ths_adjustment_nv_fund",C$3,$A789))</f>
        <v/>
      </c>
      <c r="D789" s="13" t="str">
        <f>IF($A789="","",[1]!thsiFinD("ths_adjustment_nv_fund",D$3,$A789))</f>
        <v/>
      </c>
      <c r="E789" s="13" t="str">
        <f>IF($A789="","",[1]!thsiFinD("ths_adjustment_nv_fund",E$3,$A789))</f>
        <v/>
      </c>
      <c r="F789" s="13" t="str">
        <f>IF($A789="","",[1]!thsiFinD("ths_adjustment_nv_fund",F$3,$A789))</f>
        <v/>
      </c>
      <c r="G789" s="13" t="str">
        <f>IF($A789="","",[1]!thsiFinD("ths_adjustment_nv_fund",G$3,$A789))</f>
        <v/>
      </c>
      <c r="H789" s="13" t="str">
        <f>IF($A789="","",[1]!thsiFinD("ths_adjustment_nv_fund",H$3,$A789))</f>
        <v/>
      </c>
      <c r="I789" s="13" t="str">
        <f>IF($A789="","",[1]!thsiFinD("ths_adjustment_nv_fund",I$3,$A789))</f>
        <v/>
      </c>
      <c r="J789" s="13" t="str">
        <f>IF($A789="","",[1]!thsiFinD("ths_adjustment_nv_fund",J$3,$A789))</f>
        <v/>
      </c>
      <c r="K789" s="13" t="str">
        <f>IF($A789="","",[1]!thsiFinD("ths_adjustment_nv_fund",K$3,$A789))</f>
        <v/>
      </c>
      <c r="L789" s="13" t="str">
        <f>IF($A789="","",[1]!thsiFinD("ths_adjustment_nv_fund",L$3,$A789))</f>
        <v/>
      </c>
      <c r="M789" s="13" t="str">
        <f>IF($A789="","",[1]!thsiFinD("ths_adjustment_nv_fund",M$3,$A789))</f>
        <v/>
      </c>
      <c r="N789" s="13" t="str">
        <f>IF($A789="","",[1]!thsiFinD("ths_adjustment_nv_fund",N$3,$A789))</f>
        <v/>
      </c>
      <c r="O789" s="13" t="str">
        <f>IF($A789="","",[1]!thsiFinD("ths_adjustment_nv_fund",O$3,$A789))</f>
        <v/>
      </c>
      <c r="P789" s="13" t="str">
        <f>IF($A789="","",[1]!thsiFinD("ths_adjustment_nv_fund",P$3,$A789))</f>
        <v/>
      </c>
      <c r="Q789" s="13" t="str">
        <f>IF($A789="","",[1]!thsiFinD("ths_adjustment_nv_fund",Q$3,$A789))</f>
        <v/>
      </c>
      <c r="R789" s="13" t="str">
        <f>IF($A789="","",[1]!thsiFinD("ths_adjustment_nv_fund",R$3,$A789))</f>
        <v/>
      </c>
      <c r="S789" s="13" t="str">
        <f>IF($A789="","",[1]!thsiFinD("ths_adjustment_nv_fund",S$3,$A789))</f>
        <v/>
      </c>
      <c r="T789" s="13" t="str">
        <f>IF($A789="","",[1]!thsiFinD("ths_adjustment_nv_fund",T$3,$A789))</f>
        <v/>
      </c>
      <c r="U789" s="13" t="str">
        <f>IF($A789="","",[1]!thsiFinD("ths_adjustment_nv_fund",U$3,$A789))</f>
        <v/>
      </c>
      <c r="V789" s="13" t="str">
        <f>IF($A789="","",[1]!thsiFinD("ths_adjustment_nv_fund",V$3,$A789))</f>
        <v/>
      </c>
      <c r="W789" s="13" t="str">
        <f>IF($A789="","",[1]!thsiFinD("ths_adjustment_nv_fund",W$3,$A789))</f>
        <v/>
      </c>
      <c r="X789" s="13" t="str">
        <f>IF($A789="","",[1]!thsiFinD("ths_adjustment_nv_fund",X$3,$A789))</f>
        <v/>
      </c>
      <c r="Y789" s="13" t="str">
        <f>IF($A789="","",[1]!thsiFinD("ths_adjustment_nv_fund",Y$3,$A789))</f>
        <v/>
      </c>
      <c r="Z789" s="13" t="str">
        <f>IF($A789="","",[1]!thsiFinD("ths_adjustment_nv_fund",Z$3,$A789))</f>
        <v/>
      </c>
      <c r="AA789" s="13" t="str">
        <f>IF($A789="","",[1]!thsiFinD("ths_adjustment_nv_fund",AA$3,$A789))</f>
        <v/>
      </c>
      <c r="AB789" s="13" t="str">
        <f>IF($A789="","",[1]!thsiFinD("ths_adjustment_nv_fund",AB$3,$A789))</f>
        <v/>
      </c>
    </row>
    <row r="790" spans="2:28">
      <c r="B790" s="13" t="str">
        <f>IF($A790="","",[1]!thsiFinD("ths_adjustment_nv_fund",B$3,$A790))</f>
        <v/>
      </c>
      <c r="C790" s="13" t="str">
        <f>IF($A790="","",[1]!thsiFinD("ths_adjustment_nv_fund",C$3,$A790))</f>
        <v/>
      </c>
      <c r="D790" s="13" t="str">
        <f>IF($A790="","",[1]!thsiFinD("ths_adjustment_nv_fund",D$3,$A790))</f>
        <v/>
      </c>
      <c r="E790" s="13" t="str">
        <f>IF($A790="","",[1]!thsiFinD("ths_adjustment_nv_fund",E$3,$A790))</f>
        <v/>
      </c>
      <c r="F790" s="13" t="str">
        <f>IF($A790="","",[1]!thsiFinD("ths_adjustment_nv_fund",F$3,$A790))</f>
        <v/>
      </c>
      <c r="G790" s="13" t="str">
        <f>IF($A790="","",[1]!thsiFinD("ths_adjustment_nv_fund",G$3,$A790))</f>
        <v/>
      </c>
      <c r="H790" s="13" t="str">
        <f>IF($A790="","",[1]!thsiFinD("ths_adjustment_nv_fund",H$3,$A790))</f>
        <v/>
      </c>
      <c r="I790" s="13" t="str">
        <f>IF($A790="","",[1]!thsiFinD("ths_adjustment_nv_fund",I$3,$A790))</f>
        <v/>
      </c>
      <c r="J790" s="13" t="str">
        <f>IF($A790="","",[1]!thsiFinD("ths_adjustment_nv_fund",J$3,$A790))</f>
        <v/>
      </c>
      <c r="K790" s="13" t="str">
        <f>IF($A790="","",[1]!thsiFinD("ths_adjustment_nv_fund",K$3,$A790))</f>
        <v/>
      </c>
      <c r="L790" s="13" t="str">
        <f>IF($A790="","",[1]!thsiFinD("ths_adjustment_nv_fund",L$3,$A790))</f>
        <v/>
      </c>
      <c r="M790" s="13" t="str">
        <f>IF($A790="","",[1]!thsiFinD("ths_adjustment_nv_fund",M$3,$A790))</f>
        <v/>
      </c>
      <c r="N790" s="13" t="str">
        <f>IF($A790="","",[1]!thsiFinD("ths_adjustment_nv_fund",N$3,$A790))</f>
        <v/>
      </c>
      <c r="O790" s="13" t="str">
        <f>IF($A790="","",[1]!thsiFinD("ths_adjustment_nv_fund",O$3,$A790))</f>
        <v/>
      </c>
      <c r="P790" s="13" t="str">
        <f>IF($A790="","",[1]!thsiFinD("ths_adjustment_nv_fund",P$3,$A790))</f>
        <v/>
      </c>
      <c r="Q790" s="13" t="str">
        <f>IF($A790="","",[1]!thsiFinD("ths_adjustment_nv_fund",Q$3,$A790))</f>
        <v/>
      </c>
      <c r="R790" s="13" t="str">
        <f>IF($A790="","",[1]!thsiFinD("ths_adjustment_nv_fund",R$3,$A790))</f>
        <v/>
      </c>
      <c r="S790" s="13" t="str">
        <f>IF($A790="","",[1]!thsiFinD("ths_adjustment_nv_fund",S$3,$A790))</f>
        <v/>
      </c>
      <c r="T790" s="13" t="str">
        <f>IF($A790="","",[1]!thsiFinD("ths_adjustment_nv_fund",T$3,$A790))</f>
        <v/>
      </c>
      <c r="U790" s="13" t="str">
        <f>IF($A790="","",[1]!thsiFinD("ths_adjustment_nv_fund",U$3,$A790))</f>
        <v/>
      </c>
      <c r="V790" s="13" t="str">
        <f>IF($A790="","",[1]!thsiFinD("ths_adjustment_nv_fund",V$3,$A790))</f>
        <v/>
      </c>
      <c r="W790" s="13" t="str">
        <f>IF($A790="","",[1]!thsiFinD("ths_adjustment_nv_fund",W$3,$A790))</f>
        <v/>
      </c>
      <c r="X790" s="13" t="str">
        <f>IF($A790="","",[1]!thsiFinD("ths_adjustment_nv_fund",X$3,$A790))</f>
        <v/>
      </c>
      <c r="Y790" s="13" t="str">
        <f>IF($A790="","",[1]!thsiFinD("ths_adjustment_nv_fund",Y$3,$A790))</f>
        <v/>
      </c>
      <c r="Z790" s="13" t="str">
        <f>IF($A790="","",[1]!thsiFinD("ths_adjustment_nv_fund",Z$3,$A790))</f>
        <v/>
      </c>
      <c r="AA790" s="13" t="str">
        <f>IF($A790="","",[1]!thsiFinD("ths_adjustment_nv_fund",AA$3,$A790))</f>
        <v/>
      </c>
      <c r="AB790" s="13" t="str">
        <f>IF($A790="","",[1]!thsiFinD("ths_adjustment_nv_fund",AB$3,$A790))</f>
        <v/>
      </c>
    </row>
    <row r="791" spans="2:28">
      <c r="B791" s="13" t="str">
        <f>IF($A791="","",[1]!thsiFinD("ths_adjustment_nv_fund",B$3,$A791))</f>
        <v/>
      </c>
      <c r="C791" s="13" t="str">
        <f>IF($A791="","",[1]!thsiFinD("ths_adjustment_nv_fund",C$3,$A791))</f>
        <v/>
      </c>
      <c r="D791" s="13" t="str">
        <f>IF($A791="","",[1]!thsiFinD("ths_adjustment_nv_fund",D$3,$A791))</f>
        <v/>
      </c>
      <c r="E791" s="13" t="str">
        <f>IF($A791="","",[1]!thsiFinD("ths_adjustment_nv_fund",E$3,$A791))</f>
        <v/>
      </c>
      <c r="F791" s="13" t="str">
        <f>IF($A791="","",[1]!thsiFinD("ths_adjustment_nv_fund",F$3,$A791))</f>
        <v/>
      </c>
      <c r="G791" s="13" t="str">
        <f>IF($A791="","",[1]!thsiFinD("ths_adjustment_nv_fund",G$3,$A791))</f>
        <v/>
      </c>
      <c r="H791" s="13" t="str">
        <f>IF($A791="","",[1]!thsiFinD("ths_adjustment_nv_fund",H$3,$A791))</f>
        <v/>
      </c>
      <c r="I791" s="13" t="str">
        <f>IF($A791="","",[1]!thsiFinD("ths_adjustment_nv_fund",I$3,$A791))</f>
        <v/>
      </c>
      <c r="J791" s="13" t="str">
        <f>IF($A791="","",[1]!thsiFinD("ths_adjustment_nv_fund",J$3,$A791))</f>
        <v/>
      </c>
      <c r="K791" s="13" t="str">
        <f>IF($A791="","",[1]!thsiFinD("ths_adjustment_nv_fund",K$3,$A791))</f>
        <v/>
      </c>
      <c r="L791" s="13" t="str">
        <f>IF($A791="","",[1]!thsiFinD("ths_adjustment_nv_fund",L$3,$A791))</f>
        <v/>
      </c>
      <c r="M791" s="13" t="str">
        <f>IF($A791="","",[1]!thsiFinD("ths_adjustment_nv_fund",M$3,$A791))</f>
        <v/>
      </c>
      <c r="N791" s="13" t="str">
        <f>IF($A791="","",[1]!thsiFinD("ths_adjustment_nv_fund",N$3,$A791))</f>
        <v/>
      </c>
      <c r="O791" s="13" t="str">
        <f>IF($A791="","",[1]!thsiFinD("ths_adjustment_nv_fund",O$3,$A791))</f>
        <v/>
      </c>
      <c r="P791" s="13" t="str">
        <f>IF($A791="","",[1]!thsiFinD("ths_adjustment_nv_fund",P$3,$A791))</f>
        <v/>
      </c>
      <c r="Q791" s="13" t="str">
        <f>IF($A791="","",[1]!thsiFinD("ths_adjustment_nv_fund",Q$3,$A791))</f>
        <v/>
      </c>
      <c r="R791" s="13" t="str">
        <f>IF($A791="","",[1]!thsiFinD("ths_adjustment_nv_fund",R$3,$A791))</f>
        <v/>
      </c>
      <c r="S791" s="13" t="str">
        <f>IF($A791="","",[1]!thsiFinD("ths_adjustment_nv_fund",S$3,$A791))</f>
        <v/>
      </c>
      <c r="T791" s="13" t="str">
        <f>IF($A791="","",[1]!thsiFinD("ths_adjustment_nv_fund",T$3,$A791))</f>
        <v/>
      </c>
      <c r="U791" s="13" t="str">
        <f>IF($A791="","",[1]!thsiFinD("ths_adjustment_nv_fund",U$3,$A791))</f>
        <v/>
      </c>
      <c r="V791" s="13" t="str">
        <f>IF($A791="","",[1]!thsiFinD("ths_adjustment_nv_fund",V$3,$A791))</f>
        <v/>
      </c>
      <c r="W791" s="13" t="str">
        <f>IF($A791="","",[1]!thsiFinD("ths_adjustment_nv_fund",W$3,$A791))</f>
        <v/>
      </c>
      <c r="X791" s="13" t="str">
        <f>IF($A791="","",[1]!thsiFinD("ths_adjustment_nv_fund",X$3,$A791))</f>
        <v/>
      </c>
      <c r="Y791" s="13" t="str">
        <f>IF($A791="","",[1]!thsiFinD("ths_adjustment_nv_fund",Y$3,$A791))</f>
        <v/>
      </c>
      <c r="Z791" s="13" t="str">
        <f>IF($A791="","",[1]!thsiFinD("ths_adjustment_nv_fund",Z$3,$A791))</f>
        <v/>
      </c>
      <c r="AA791" s="13" t="str">
        <f>IF($A791="","",[1]!thsiFinD("ths_adjustment_nv_fund",AA$3,$A791))</f>
        <v/>
      </c>
      <c r="AB791" s="13" t="str">
        <f>IF($A791="","",[1]!thsiFinD("ths_adjustment_nv_fund",AB$3,$A791))</f>
        <v/>
      </c>
    </row>
    <row r="792" spans="2:28">
      <c r="B792" s="13" t="str">
        <f>IF($A792="","",[1]!thsiFinD("ths_adjustment_nv_fund",B$3,$A792))</f>
        <v/>
      </c>
      <c r="C792" s="13" t="str">
        <f>IF($A792="","",[1]!thsiFinD("ths_adjustment_nv_fund",C$3,$A792))</f>
        <v/>
      </c>
      <c r="D792" s="13" t="str">
        <f>IF($A792="","",[1]!thsiFinD("ths_adjustment_nv_fund",D$3,$A792))</f>
        <v/>
      </c>
      <c r="E792" s="13" t="str">
        <f>IF($A792="","",[1]!thsiFinD("ths_adjustment_nv_fund",E$3,$A792))</f>
        <v/>
      </c>
      <c r="F792" s="13" t="str">
        <f>IF($A792="","",[1]!thsiFinD("ths_adjustment_nv_fund",F$3,$A792))</f>
        <v/>
      </c>
      <c r="G792" s="13" t="str">
        <f>IF($A792="","",[1]!thsiFinD("ths_adjustment_nv_fund",G$3,$A792))</f>
        <v/>
      </c>
      <c r="H792" s="13" t="str">
        <f>IF($A792="","",[1]!thsiFinD("ths_adjustment_nv_fund",H$3,$A792))</f>
        <v/>
      </c>
      <c r="I792" s="13" t="str">
        <f>IF($A792="","",[1]!thsiFinD("ths_adjustment_nv_fund",I$3,$A792))</f>
        <v/>
      </c>
      <c r="J792" s="13" t="str">
        <f>IF($A792="","",[1]!thsiFinD("ths_adjustment_nv_fund",J$3,$A792))</f>
        <v/>
      </c>
      <c r="K792" s="13" t="str">
        <f>IF($A792="","",[1]!thsiFinD("ths_adjustment_nv_fund",K$3,$A792))</f>
        <v/>
      </c>
      <c r="L792" s="13" t="str">
        <f>IF($A792="","",[1]!thsiFinD("ths_adjustment_nv_fund",L$3,$A792))</f>
        <v/>
      </c>
      <c r="M792" s="13" t="str">
        <f>IF($A792="","",[1]!thsiFinD("ths_adjustment_nv_fund",M$3,$A792))</f>
        <v/>
      </c>
      <c r="N792" s="13" t="str">
        <f>IF($A792="","",[1]!thsiFinD("ths_adjustment_nv_fund",N$3,$A792))</f>
        <v/>
      </c>
      <c r="O792" s="13" t="str">
        <f>IF($A792="","",[1]!thsiFinD("ths_adjustment_nv_fund",O$3,$A792))</f>
        <v/>
      </c>
      <c r="P792" s="13" t="str">
        <f>IF($A792="","",[1]!thsiFinD("ths_adjustment_nv_fund",P$3,$A792))</f>
        <v/>
      </c>
      <c r="Q792" s="13" t="str">
        <f>IF($A792="","",[1]!thsiFinD("ths_adjustment_nv_fund",Q$3,$A792))</f>
        <v/>
      </c>
      <c r="R792" s="13" t="str">
        <f>IF($A792="","",[1]!thsiFinD("ths_adjustment_nv_fund",R$3,$A792))</f>
        <v/>
      </c>
      <c r="S792" s="13" t="str">
        <f>IF($A792="","",[1]!thsiFinD("ths_adjustment_nv_fund",S$3,$A792))</f>
        <v/>
      </c>
      <c r="T792" s="13" t="str">
        <f>IF($A792="","",[1]!thsiFinD("ths_adjustment_nv_fund",T$3,$A792))</f>
        <v/>
      </c>
      <c r="U792" s="13" t="str">
        <f>IF($A792="","",[1]!thsiFinD("ths_adjustment_nv_fund",U$3,$A792))</f>
        <v/>
      </c>
      <c r="V792" s="13" t="str">
        <f>IF($A792="","",[1]!thsiFinD("ths_adjustment_nv_fund",V$3,$A792))</f>
        <v/>
      </c>
      <c r="W792" s="13" t="str">
        <f>IF($A792="","",[1]!thsiFinD("ths_adjustment_nv_fund",W$3,$A792))</f>
        <v/>
      </c>
      <c r="X792" s="13" t="str">
        <f>IF($A792="","",[1]!thsiFinD("ths_adjustment_nv_fund",X$3,$A792))</f>
        <v/>
      </c>
      <c r="Y792" s="13" t="str">
        <f>IF($A792="","",[1]!thsiFinD("ths_adjustment_nv_fund",Y$3,$A792))</f>
        <v/>
      </c>
      <c r="Z792" s="13" t="str">
        <f>IF($A792="","",[1]!thsiFinD("ths_adjustment_nv_fund",Z$3,$A792))</f>
        <v/>
      </c>
      <c r="AA792" s="13" t="str">
        <f>IF($A792="","",[1]!thsiFinD("ths_adjustment_nv_fund",AA$3,$A792))</f>
        <v/>
      </c>
      <c r="AB792" s="13" t="str">
        <f>IF($A792="","",[1]!thsiFinD("ths_adjustment_nv_fund",AB$3,$A792))</f>
        <v/>
      </c>
    </row>
    <row r="793" spans="2:28">
      <c r="B793" s="13" t="str">
        <f>IF($A793="","",[1]!thsiFinD("ths_adjustment_nv_fund",B$3,$A793))</f>
        <v/>
      </c>
      <c r="C793" s="13" t="str">
        <f>IF($A793="","",[1]!thsiFinD("ths_adjustment_nv_fund",C$3,$A793))</f>
        <v/>
      </c>
      <c r="D793" s="13" t="str">
        <f>IF($A793="","",[1]!thsiFinD("ths_adjustment_nv_fund",D$3,$A793))</f>
        <v/>
      </c>
      <c r="E793" s="13" t="str">
        <f>IF($A793="","",[1]!thsiFinD("ths_adjustment_nv_fund",E$3,$A793))</f>
        <v/>
      </c>
      <c r="F793" s="13" t="str">
        <f>IF($A793="","",[1]!thsiFinD("ths_adjustment_nv_fund",F$3,$A793))</f>
        <v/>
      </c>
      <c r="G793" s="13" t="str">
        <f>IF($A793="","",[1]!thsiFinD("ths_adjustment_nv_fund",G$3,$A793))</f>
        <v/>
      </c>
      <c r="H793" s="13" t="str">
        <f>IF($A793="","",[1]!thsiFinD("ths_adjustment_nv_fund",H$3,$A793))</f>
        <v/>
      </c>
      <c r="I793" s="13" t="str">
        <f>IF($A793="","",[1]!thsiFinD("ths_adjustment_nv_fund",I$3,$A793))</f>
        <v/>
      </c>
      <c r="J793" s="13" t="str">
        <f>IF($A793="","",[1]!thsiFinD("ths_adjustment_nv_fund",J$3,$A793))</f>
        <v/>
      </c>
      <c r="K793" s="13" t="str">
        <f>IF($A793="","",[1]!thsiFinD("ths_adjustment_nv_fund",K$3,$A793))</f>
        <v/>
      </c>
      <c r="L793" s="13" t="str">
        <f>IF($A793="","",[1]!thsiFinD("ths_adjustment_nv_fund",L$3,$A793))</f>
        <v/>
      </c>
      <c r="M793" s="13" t="str">
        <f>IF($A793="","",[1]!thsiFinD("ths_adjustment_nv_fund",M$3,$A793))</f>
        <v/>
      </c>
      <c r="N793" s="13" t="str">
        <f>IF($A793="","",[1]!thsiFinD("ths_adjustment_nv_fund",N$3,$A793))</f>
        <v/>
      </c>
      <c r="O793" s="13" t="str">
        <f>IF($A793="","",[1]!thsiFinD("ths_adjustment_nv_fund",O$3,$A793))</f>
        <v/>
      </c>
      <c r="P793" s="13" t="str">
        <f>IF($A793="","",[1]!thsiFinD("ths_adjustment_nv_fund",P$3,$A793))</f>
        <v/>
      </c>
      <c r="Q793" s="13" t="str">
        <f>IF($A793="","",[1]!thsiFinD("ths_adjustment_nv_fund",Q$3,$A793))</f>
        <v/>
      </c>
      <c r="R793" s="13" t="str">
        <f>IF($A793="","",[1]!thsiFinD("ths_adjustment_nv_fund",R$3,$A793))</f>
        <v/>
      </c>
      <c r="S793" s="13" t="str">
        <f>IF($A793="","",[1]!thsiFinD("ths_adjustment_nv_fund",S$3,$A793))</f>
        <v/>
      </c>
      <c r="T793" s="13" t="str">
        <f>IF($A793="","",[1]!thsiFinD("ths_adjustment_nv_fund",T$3,$A793))</f>
        <v/>
      </c>
      <c r="U793" s="13" t="str">
        <f>IF($A793="","",[1]!thsiFinD("ths_adjustment_nv_fund",U$3,$A793))</f>
        <v/>
      </c>
      <c r="V793" s="13" t="str">
        <f>IF($A793="","",[1]!thsiFinD("ths_adjustment_nv_fund",V$3,$A793))</f>
        <v/>
      </c>
      <c r="W793" s="13" t="str">
        <f>IF($A793="","",[1]!thsiFinD("ths_adjustment_nv_fund",W$3,$A793))</f>
        <v/>
      </c>
      <c r="X793" s="13" t="str">
        <f>IF($A793="","",[1]!thsiFinD("ths_adjustment_nv_fund",X$3,$A793))</f>
        <v/>
      </c>
      <c r="Y793" s="13" t="str">
        <f>IF($A793="","",[1]!thsiFinD("ths_adjustment_nv_fund",Y$3,$A793))</f>
        <v/>
      </c>
      <c r="Z793" s="13" t="str">
        <f>IF($A793="","",[1]!thsiFinD("ths_adjustment_nv_fund",Z$3,$A793))</f>
        <v/>
      </c>
      <c r="AA793" s="13" t="str">
        <f>IF($A793="","",[1]!thsiFinD("ths_adjustment_nv_fund",AA$3,$A793))</f>
        <v/>
      </c>
      <c r="AB793" s="13" t="str">
        <f>IF($A793="","",[1]!thsiFinD("ths_adjustment_nv_fund",AB$3,$A793))</f>
        <v/>
      </c>
    </row>
    <row r="794" spans="2:28">
      <c r="B794" s="13" t="str">
        <f>IF($A794="","",[1]!thsiFinD("ths_adjustment_nv_fund",B$3,$A794))</f>
        <v/>
      </c>
      <c r="C794" s="13" t="str">
        <f>IF($A794="","",[1]!thsiFinD("ths_adjustment_nv_fund",C$3,$A794))</f>
        <v/>
      </c>
      <c r="D794" s="13" t="str">
        <f>IF($A794="","",[1]!thsiFinD("ths_adjustment_nv_fund",D$3,$A794))</f>
        <v/>
      </c>
      <c r="E794" s="13" t="str">
        <f>IF($A794="","",[1]!thsiFinD("ths_adjustment_nv_fund",E$3,$A794))</f>
        <v/>
      </c>
      <c r="F794" s="13" t="str">
        <f>IF($A794="","",[1]!thsiFinD("ths_adjustment_nv_fund",F$3,$A794))</f>
        <v/>
      </c>
      <c r="G794" s="13" t="str">
        <f>IF($A794="","",[1]!thsiFinD("ths_adjustment_nv_fund",G$3,$A794))</f>
        <v/>
      </c>
      <c r="H794" s="13" t="str">
        <f>IF($A794="","",[1]!thsiFinD("ths_adjustment_nv_fund",H$3,$A794))</f>
        <v/>
      </c>
      <c r="I794" s="13" t="str">
        <f>IF($A794="","",[1]!thsiFinD("ths_adjustment_nv_fund",I$3,$A794))</f>
        <v/>
      </c>
      <c r="J794" s="13" t="str">
        <f>IF($A794="","",[1]!thsiFinD("ths_adjustment_nv_fund",J$3,$A794))</f>
        <v/>
      </c>
      <c r="K794" s="13" t="str">
        <f>IF($A794="","",[1]!thsiFinD("ths_adjustment_nv_fund",K$3,$A794))</f>
        <v/>
      </c>
      <c r="L794" s="13" t="str">
        <f>IF($A794="","",[1]!thsiFinD("ths_adjustment_nv_fund",L$3,$A794))</f>
        <v/>
      </c>
      <c r="M794" s="13" t="str">
        <f>IF($A794="","",[1]!thsiFinD("ths_adjustment_nv_fund",M$3,$A794))</f>
        <v/>
      </c>
      <c r="N794" s="13" t="str">
        <f>IF($A794="","",[1]!thsiFinD("ths_adjustment_nv_fund",N$3,$A794))</f>
        <v/>
      </c>
      <c r="O794" s="13" t="str">
        <f>IF($A794="","",[1]!thsiFinD("ths_adjustment_nv_fund",O$3,$A794))</f>
        <v/>
      </c>
      <c r="P794" s="13" t="str">
        <f>IF($A794="","",[1]!thsiFinD("ths_adjustment_nv_fund",P$3,$A794))</f>
        <v/>
      </c>
      <c r="Q794" s="13" t="str">
        <f>IF($A794="","",[1]!thsiFinD("ths_adjustment_nv_fund",Q$3,$A794))</f>
        <v/>
      </c>
      <c r="R794" s="13" t="str">
        <f>IF($A794="","",[1]!thsiFinD("ths_adjustment_nv_fund",R$3,$A794))</f>
        <v/>
      </c>
      <c r="S794" s="13" t="str">
        <f>IF($A794="","",[1]!thsiFinD("ths_adjustment_nv_fund",S$3,$A794))</f>
        <v/>
      </c>
      <c r="T794" s="13" t="str">
        <f>IF($A794="","",[1]!thsiFinD("ths_adjustment_nv_fund",T$3,$A794))</f>
        <v/>
      </c>
      <c r="U794" s="13" t="str">
        <f>IF($A794="","",[1]!thsiFinD("ths_adjustment_nv_fund",U$3,$A794))</f>
        <v/>
      </c>
      <c r="V794" s="13" t="str">
        <f>IF($A794="","",[1]!thsiFinD("ths_adjustment_nv_fund",V$3,$A794))</f>
        <v/>
      </c>
      <c r="W794" s="13" t="str">
        <f>IF($A794="","",[1]!thsiFinD("ths_adjustment_nv_fund",W$3,$A794))</f>
        <v/>
      </c>
      <c r="X794" s="13" t="str">
        <f>IF($A794="","",[1]!thsiFinD("ths_adjustment_nv_fund",X$3,$A794))</f>
        <v/>
      </c>
      <c r="Y794" s="13" t="str">
        <f>IF($A794="","",[1]!thsiFinD("ths_adjustment_nv_fund",Y$3,$A794))</f>
        <v/>
      </c>
      <c r="Z794" s="13" t="str">
        <f>IF($A794="","",[1]!thsiFinD("ths_adjustment_nv_fund",Z$3,$A794))</f>
        <v/>
      </c>
      <c r="AA794" s="13" t="str">
        <f>IF($A794="","",[1]!thsiFinD("ths_adjustment_nv_fund",AA$3,$A794))</f>
        <v/>
      </c>
      <c r="AB794" s="13" t="str">
        <f>IF($A794="","",[1]!thsiFinD("ths_adjustment_nv_fund",AB$3,$A794))</f>
        <v/>
      </c>
    </row>
    <row r="795" spans="2:28">
      <c r="B795" s="13" t="str">
        <f>IF($A795="","",[1]!thsiFinD("ths_adjustment_nv_fund",B$3,$A795))</f>
        <v/>
      </c>
      <c r="C795" s="13" t="str">
        <f>IF($A795="","",[1]!thsiFinD("ths_adjustment_nv_fund",C$3,$A795))</f>
        <v/>
      </c>
      <c r="D795" s="13" t="str">
        <f>IF($A795="","",[1]!thsiFinD("ths_adjustment_nv_fund",D$3,$A795))</f>
        <v/>
      </c>
      <c r="E795" s="13" t="str">
        <f>IF($A795="","",[1]!thsiFinD("ths_adjustment_nv_fund",E$3,$A795))</f>
        <v/>
      </c>
      <c r="F795" s="13" t="str">
        <f>IF($A795="","",[1]!thsiFinD("ths_adjustment_nv_fund",F$3,$A795))</f>
        <v/>
      </c>
      <c r="G795" s="13" t="str">
        <f>IF($A795="","",[1]!thsiFinD("ths_adjustment_nv_fund",G$3,$A795))</f>
        <v/>
      </c>
      <c r="H795" s="13" t="str">
        <f>IF($A795="","",[1]!thsiFinD("ths_adjustment_nv_fund",H$3,$A795))</f>
        <v/>
      </c>
      <c r="I795" s="13" t="str">
        <f>IF($A795="","",[1]!thsiFinD("ths_adjustment_nv_fund",I$3,$A795))</f>
        <v/>
      </c>
      <c r="J795" s="13" t="str">
        <f>IF($A795="","",[1]!thsiFinD("ths_adjustment_nv_fund",J$3,$A795))</f>
        <v/>
      </c>
      <c r="K795" s="13" t="str">
        <f>IF($A795="","",[1]!thsiFinD("ths_adjustment_nv_fund",K$3,$A795))</f>
        <v/>
      </c>
      <c r="L795" s="13" t="str">
        <f>IF($A795="","",[1]!thsiFinD("ths_adjustment_nv_fund",L$3,$A795))</f>
        <v/>
      </c>
      <c r="M795" s="13" t="str">
        <f>IF($A795="","",[1]!thsiFinD("ths_adjustment_nv_fund",M$3,$A795))</f>
        <v/>
      </c>
      <c r="N795" s="13" t="str">
        <f>IF($A795="","",[1]!thsiFinD("ths_adjustment_nv_fund",N$3,$A795))</f>
        <v/>
      </c>
      <c r="O795" s="13" t="str">
        <f>IF($A795="","",[1]!thsiFinD("ths_adjustment_nv_fund",O$3,$A795))</f>
        <v/>
      </c>
      <c r="P795" s="13" t="str">
        <f>IF($A795="","",[1]!thsiFinD("ths_adjustment_nv_fund",P$3,$A795))</f>
        <v/>
      </c>
      <c r="Q795" s="13" t="str">
        <f>IF($A795="","",[1]!thsiFinD("ths_adjustment_nv_fund",Q$3,$A795))</f>
        <v/>
      </c>
      <c r="R795" s="13" t="str">
        <f>IF($A795="","",[1]!thsiFinD("ths_adjustment_nv_fund",R$3,$A795))</f>
        <v/>
      </c>
      <c r="S795" s="13" t="str">
        <f>IF($A795="","",[1]!thsiFinD("ths_adjustment_nv_fund",S$3,$A795))</f>
        <v/>
      </c>
      <c r="T795" s="13" t="str">
        <f>IF($A795="","",[1]!thsiFinD("ths_adjustment_nv_fund",T$3,$A795))</f>
        <v/>
      </c>
      <c r="U795" s="13" t="str">
        <f>IF($A795="","",[1]!thsiFinD("ths_adjustment_nv_fund",U$3,$A795))</f>
        <v/>
      </c>
      <c r="V795" s="13" t="str">
        <f>IF($A795="","",[1]!thsiFinD("ths_adjustment_nv_fund",V$3,$A795))</f>
        <v/>
      </c>
      <c r="W795" s="13" t="str">
        <f>IF($A795="","",[1]!thsiFinD("ths_adjustment_nv_fund",W$3,$A795))</f>
        <v/>
      </c>
      <c r="X795" s="13" t="str">
        <f>IF($A795="","",[1]!thsiFinD("ths_adjustment_nv_fund",X$3,$A795))</f>
        <v/>
      </c>
      <c r="Y795" s="13" t="str">
        <f>IF($A795="","",[1]!thsiFinD("ths_adjustment_nv_fund",Y$3,$A795))</f>
        <v/>
      </c>
      <c r="Z795" s="13" t="str">
        <f>IF($A795="","",[1]!thsiFinD("ths_adjustment_nv_fund",Z$3,$A795))</f>
        <v/>
      </c>
      <c r="AA795" s="13" t="str">
        <f>IF($A795="","",[1]!thsiFinD("ths_adjustment_nv_fund",AA$3,$A795))</f>
        <v/>
      </c>
      <c r="AB795" s="13" t="str">
        <f>IF($A795="","",[1]!thsiFinD("ths_adjustment_nv_fund",AB$3,$A795))</f>
        <v/>
      </c>
    </row>
    <row r="796" spans="2:28">
      <c r="B796" s="13" t="str">
        <f>IF($A796="","",[1]!thsiFinD("ths_adjustment_nv_fund",B$3,$A796))</f>
        <v/>
      </c>
      <c r="C796" s="13" t="str">
        <f>IF($A796="","",[1]!thsiFinD("ths_adjustment_nv_fund",C$3,$A796))</f>
        <v/>
      </c>
      <c r="D796" s="13" t="str">
        <f>IF($A796="","",[1]!thsiFinD("ths_adjustment_nv_fund",D$3,$A796))</f>
        <v/>
      </c>
      <c r="E796" s="13" t="str">
        <f>IF($A796="","",[1]!thsiFinD("ths_adjustment_nv_fund",E$3,$A796))</f>
        <v/>
      </c>
      <c r="F796" s="13" t="str">
        <f>IF($A796="","",[1]!thsiFinD("ths_adjustment_nv_fund",F$3,$A796))</f>
        <v/>
      </c>
      <c r="G796" s="13" t="str">
        <f>IF($A796="","",[1]!thsiFinD("ths_adjustment_nv_fund",G$3,$A796))</f>
        <v/>
      </c>
      <c r="H796" s="13" t="str">
        <f>IF($A796="","",[1]!thsiFinD("ths_adjustment_nv_fund",H$3,$A796))</f>
        <v/>
      </c>
      <c r="I796" s="13" t="str">
        <f>IF($A796="","",[1]!thsiFinD("ths_adjustment_nv_fund",I$3,$A796))</f>
        <v/>
      </c>
      <c r="J796" s="13" t="str">
        <f>IF($A796="","",[1]!thsiFinD("ths_adjustment_nv_fund",J$3,$A796))</f>
        <v/>
      </c>
      <c r="K796" s="13" t="str">
        <f>IF($A796="","",[1]!thsiFinD("ths_adjustment_nv_fund",K$3,$A796))</f>
        <v/>
      </c>
      <c r="L796" s="13" t="str">
        <f>IF($A796="","",[1]!thsiFinD("ths_adjustment_nv_fund",L$3,$A796))</f>
        <v/>
      </c>
      <c r="M796" s="13" t="str">
        <f>IF($A796="","",[1]!thsiFinD("ths_adjustment_nv_fund",M$3,$A796))</f>
        <v/>
      </c>
      <c r="N796" s="13" t="str">
        <f>IF($A796="","",[1]!thsiFinD("ths_adjustment_nv_fund",N$3,$A796))</f>
        <v/>
      </c>
      <c r="O796" s="13" t="str">
        <f>IF($A796="","",[1]!thsiFinD("ths_adjustment_nv_fund",O$3,$A796))</f>
        <v/>
      </c>
      <c r="P796" s="13" t="str">
        <f>IF($A796="","",[1]!thsiFinD("ths_adjustment_nv_fund",P$3,$A796))</f>
        <v/>
      </c>
      <c r="Q796" s="13" t="str">
        <f>IF($A796="","",[1]!thsiFinD("ths_adjustment_nv_fund",Q$3,$A796))</f>
        <v/>
      </c>
      <c r="R796" s="13" t="str">
        <f>IF($A796="","",[1]!thsiFinD("ths_adjustment_nv_fund",R$3,$A796))</f>
        <v/>
      </c>
      <c r="S796" s="13" t="str">
        <f>IF($A796="","",[1]!thsiFinD("ths_adjustment_nv_fund",S$3,$A796))</f>
        <v/>
      </c>
      <c r="T796" s="13" t="str">
        <f>IF($A796="","",[1]!thsiFinD("ths_adjustment_nv_fund",T$3,$A796))</f>
        <v/>
      </c>
      <c r="U796" s="13" t="str">
        <f>IF($A796="","",[1]!thsiFinD("ths_adjustment_nv_fund",U$3,$A796))</f>
        <v/>
      </c>
      <c r="V796" s="13" t="str">
        <f>IF($A796="","",[1]!thsiFinD("ths_adjustment_nv_fund",V$3,$A796))</f>
        <v/>
      </c>
      <c r="W796" s="13" t="str">
        <f>IF($A796="","",[1]!thsiFinD("ths_adjustment_nv_fund",W$3,$A796))</f>
        <v/>
      </c>
      <c r="X796" s="13" t="str">
        <f>IF($A796="","",[1]!thsiFinD("ths_adjustment_nv_fund",X$3,$A796))</f>
        <v/>
      </c>
      <c r="Y796" s="13" t="str">
        <f>IF($A796="","",[1]!thsiFinD("ths_adjustment_nv_fund",Y$3,$A796))</f>
        <v/>
      </c>
      <c r="Z796" s="13" t="str">
        <f>IF($A796="","",[1]!thsiFinD("ths_adjustment_nv_fund",Z$3,$A796))</f>
        <v/>
      </c>
      <c r="AA796" s="13" t="str">
        <f>IF($A796="","",[1]!thsiFinD("ths_adjustment_nv_fund",AA$3,$A796))</f>
        <v/>
      </c>
      <c r="AB796" s="13" t="str">
        <f>IF($A796="","",[1]!thsiFinD("ths_adjustment_nv_fund",AB$3,$A796))</f>
        <v/>
      </c>
    </row>
    <row r="797" spans="2:28">
      <c r="B797" s="13" t="str">
        <f>IF($A797="","",[1]!thsiFinD("ths_adjustment_nv_fund",B$3,$A797))</f>
        <v/>
      </c>
      <c r="C797" s="13" t="str">
        <f>IF($A797="","",[1]!thsiFinD("ths_adjustment_nv_fund",C$3,$A797))</f>
        <v/>
      </c>
      <c r="D797" s="13" t="str">
        <f>IF($A797="","",[1]!thsiFinD("ths_adjustment_nv_fund",D$3,$A797))</f>
        <v/>
      </c>
      <c r="E797" s="13" t="str">
        <f>IF($A797="","",[1]!thsiFinD("ths_adjustment_nv_fund",E$3,$A797))</f>
        <v/>
      </c>
      <c r="F797" s="13" t="str">
        <f>IF($A797="","",[1]!thsiFinD("ths_adjustment_nv_fund",F$3,$A797))</f>
        <v/>
      </c>
      <c r="G797" s="13" t="str">
        <f>IF($A797="","",[1]!thsiFinD("ths_adjustment_nv_fund",G$3,$A797))</f>
        <v/>
      </c>
      <c r="H797" s="13" t="str">
        <f>IF($A797="","",[1]!thsiFinD("ths_adjustment_nv_fund",H$3,$A797))</f>
        <v/>
      </c>
      <c r="I797" s="13" t="str">
        <f>IF($A797="","",[1]!thsiFinD("ths_adjustment_nv_fund",I$3,$A797))</f>
        <v/>
      </c>
      <c r="J797" s="13" t="str">
        <f>IF($A797="","",[1]!thsiFinD("ths_adjustment_nv_fund",J$3,$A797))</f>
        <v/>
      </c>
      <c r="K797" s="13" t="str">
        <f>IF($A797="","",[1]!thsiFinD("ths_adjustment_nv_fund",K$3,$A797))</f>
        <v/>
      </c>
      <c r="L797" s="13" t="str">
        <f>IF($A797="","",[1]!thsiFinD("ths_adjustment_nv_fund",L$3,$A797))</f>
        <v/>
      </c>
      <c r="M797" s="13" t="str">
        <f>IF($A797="","",[1]!thsiFinD("ths_adjustment_nv_fund",M$3,$A797))</f>
        <v/>
      </c>
      <c r="N797" s="13" t="str">
        <f>IF($A797="","",[1]!thsiFinD("ths_adjustment_nv_fund",N$3,$A797))</f>
        <v/>
      </c>
      <c r="O797" s="13" t="str">
        <f>IF($A797="","",[1]!thsiFinD("ths_adjustment_nv_fund",O$3,$A797))</f>
        <v/>
      </c>
      <c r="P797" s="13" t="str">
        <f>IF($A797="","",[1]!thsiFinD("ths_adjustment_nv_fund",P$3,$A797))</f>
        <v/>
      </c>
      <c r="Q797" s="13" t="str">
        <f>IF($A797="","",[1]!thsiFinD("ths_adjustment_nv_fund",Q$3,$A797))</f>
        <v/>
      </c>
      <c r="R797" s="13" t="str">
        <f>IF($A797="","",[1]!thsiFinD("ths_adjustment_nv_fund",R$3,$A797))</f>
        <v/>
      </c>
      <c r="S797" s="13" t="str">
        <f>IF($A797="","",[1]!thsiFinD("ths_adjustment_nv_fund",S$3,$A797))</f>
        <v/>
      </c>
      <c r="T797" s="13" t="str">
        <f>IF($A797="","",[1]!thsiFinD("ths_adjustment_nv_fund",T$3,$A797))</f>
        <v/>
      </c>
      <c r="U797" s="13" t="str">
        <f>IF($A797="","",[1]!thsiFinD("ths_adjustment_nv_fund",U$3,$A797))</f>
        <v/>
      </c>
      <c r="V797" s="13" t="str">
        <f>IF($A797="","",[1]!thsiFinD("ths_adjustment_nv_fund",V$3,$A797))</f>
        <v/>
      </c>
      <c r="W797" s="13" t="str">
        <f>IF($A797="","",[1]!thsiFinD("ths_adjustment_nv_fund",W$3,$A797))</f>
        <v/>
      </c>
      <c r="X797" s="13" t="str">
        <f>IF($A797="","",[1]!thsiFinD("ths_adjustment_nv_fund",X$3,$A797))</f>
        <v/>
      </c>
      <c r="Y797" s="13" t="str">
        <f>IF($A797="","",[1]!thsiFinD("ths_adjustment_nv_fund",Y$3,$A797))</f>
        <v/>
      </c>
      <c r="Z797" s="13" t="str">
        <f>IF($A797="","",[1]!thsiFinD("ths_adjustment_nv_fund",Z$3,$A797))</f>
        <v/>
      </c>
      <c r="AA797" s="13" t="str">
        <f>IF($A797="","",[1]!thsiFinD("ths_adjustment_nv_fund",AA$3,$A797))</f>
        <v/>
      </c>
      <c r="AB797" s="13" t="str">
        <f>IF($A797="","",[1]!thsiFinD("ths_adjustment_nv_fund",AB$3,$A797))</f>
        <v/>
      </c>
    </row>
    <row r="798" spans="2:28">
      <c r="B798" s="13" t="str">
        <f>IF($A798="","",[1]!thsiFinD("ths_adjustment_nv_fund",B$3,$A798))</f>
        <v/>
      </c>
      <c r="C798" s="13" t="str">
        <f>IF($A798="","",[1]!thsiFinD("ths_adjustment_nv_fund",C$3,$A798))</f>
        <v/>
      </c>
      <c r="D798" s="13" t="str">
        <f>IF($A798="","",[1]!thsiFinD("ths_adjustment_nv_fund",D$3,$A798))</f>
        <v/>
      </c>
      <c r="E798" s="13" t="str">
        <f>IF($A798="","",[1]!thsiFinD("ths_adjustment_nv_fund",E$3,$A798))</f>
        <v/>
      </c>
      <c r="F798" s="13" t="str">
        <f>IF($A798="","",[1]!thsiFinD("ths_adjustment_nv_fund",F$3,$A798))</f>
        <v/>
      </c>
      <c r="G798" s="13" t="str">
        <f>IF($A798="","",[1]!thsiFinD("ths_adjustment_nv_fund",G$3,$A798))</f>
        <v/>
      </c>
      <c r="H798" s="13" t="str">
        <f>IF($A798="","",[1]!thsiFinD("ths_adjustment_nv_fund",H$3,$A798))</f>
        <v/>
      </c>
      <c r="I798" s="13" t="str">
        <f>IF($A798="","",[1]!thsiFinD("ths_adjustment_nv_fund",I$3,$A798))</f>
        <v/>
      </c>
      <c r="J798" s="13" t="str">
        <f>IF($A798="","",[1]!thsiFinD("ths_adjustment_nv_fund",J$3,$A798))</f>
        <v/>
      </c>
      <c r="K798" s="13" t="str">
        <f>IF($A798="","",[1]!thsiFinD("ths_adjustment_nv_fund",K$3,$A798))</f>
        <v/>
      </c>
      <c r="L798" s="13" t="str">
        <f>IF($A798="","",[1]!thsiFinD("ths_adjustment_nv_fund",L$3,$A798))</f>
        <v/>
      </c>
      <c r="M798" s="13" t="str">
        <f>IF($A798="","",[1]!thsiFinD("ths_adjustment_nv_fund",M$3,$A798))</f>
        <v/>
      </c>
      <c r="N798" s="13" t="str">
        <f>IF($A798="","",[1]!thsiFinD("ths_adjustment_nv_fund",N$3,$A798))</f>
        <v/>
      </c>
      <c r="O798" s="13" t="str">
        <f>IF($A798="","",[1]!thsiFinD("ths_adjustment_nv_fund",O$3,$A798))</f>
        <v/>
      </c>
      <c r="P798" s="13" t="str">
        <f>IF($A798="","",[1]!thsiFinD("ths_adjustment_nv_fund",P$3,$A798))</f>
        <v/>
      </c>
      <c r="Q798" s="13" t="str">
        <f>IF($A798="","",[1]!thsiFinD("ths_adjustment_nv_fund",Q$3,$A798))</f>
        <v/>
      </c>
      <c r="R798" s="13" t="str">
        <f>IF($A798="","",[1]!thsiFinD("ths_adjustment_nv_fund",R$3,$A798))</f>
        <v/>
      </c>
      <c r="S798" s="13" t="str">
        <f>IF($A798="","",[1]!thsiFinD("ths_adjustment_nv_fund",S$3,$A798))</f>
        <v/>
      </c>
      <c r="T798" s="13" t="str">
        <f>IF($A798="","",[1]!thsiFinD("ths_adjustment_nv_fund",T$3,$A798))</f>
        <v/>
      </c>
      <c r="U798" s="13" t="str">
        <f>IF($A798="","",[1]!thsiFinD("ths_adjustment_nv_fund",U$3,$A798))</f>
        <v/>
      </c>
      <c r="V798" s="13" t="str">
        <f>IF($A798="","",[1]!thsiFinD("ths_adjustment_nv_fund",V$3,$A798))</f>
        <v/>
      </c>
      <c r="W798" s="13" t="str">
        <f>IF($A798="","",[1]!thsiFinD("ths_adjustment_nv_fund",W$3,$A798))</f>
        <v/>
      </c>
      <c r="X798" s="13" t="str">
        <f>IF($A798="","",[1]!thsiFinD("ths_adjustment_nv_fund",X$3,$A798))</f>
        <v/>
      </c>
      <c r="Y798" s="13" t="str">
        <f>IF($A798="","",[1]!thsiFinD("ths_adjustment_nv_fund",Y$3,$A798))</f>
        <v/>
      </c>
      <c r="Z798" s="13" t="str">
        <f>IF($A798="","",[1]!thsiFinD("ths_adjustment_nv_fund",Z$3,$A798))</f>
        <v/>
      </c>
      <c r="AA798" s="13" t="str">
        <f>IF($A798="","",[1]!thsiFinD("ths_adjustment_nv_fund",AA$3,$A798))</f>
        <v/>
      </c>
      <c r="AB798" s="13" t="str">
        <f>IF($A798="","",[1]!thsiFinD("ths_adjustment_nv_fund",AB$3,$A798))</f>
        <v/>
      </c>
    </row>
    <row r="799" spans="2:28">
      <c r="B799" s="13" t="str">
        <f>IF($A799="","",[1]!thsiFinD("ths_adjustment_nv_fund",B$3,$A799))</f>
        <v/>
      </c>
      <c r="C799" s="13" t="str">
        <f>IF($A799="","",[1]!thsiFinD("ths_adjustment_nv_fund",C$3,$A799))</f>
        <v/>
      </c>
      <c r="D799" s="13" t="str">
        <f>IF($A799="","",[1]!thsiFinD("ths_adjustment_nv_fund",D$3,$A799))</f>
        <v/>
      </c>
      <c r="E799" s="13" t="str">
        <f>IF($A799="","",[1]!thsiFinD("ths_adjustment_nv_fund",E$3,$A799))</f>
        <v/>
      </c>
      <c r="F799" s="13" t="str">
        <f>IF($A799="","",[1]!thsiFinD("ths_adjustment_nv_fund",F$3,$A799))</f>
        <v/>
      </c>
      <c r="G799" s="13" t="str">
        <f>IF($A799="","",[1]!thsiFinD("ths_adjustment_nv_fund",G$3,$A799))</f>
        <v/>
      </c>
      <c r="H799" s="13" t="str">
        <f>IF($A799="","",[1]!thsiFinD("ths_adjustment_nv_fund",H$3,$A799))</f>
        <v/>
      </c>
      <c r="I799" s="13" t="str">
        <f>IF($A799="","",[1]!thsiFinD("ths_adjustment_nv_fund",I$3,$A799))</f>
        <v/>
      </c>
      <c r="J799" s="13" t="str">
        <f>IF($A799="","",[1]!thsiFinD("ths_adjustment_nv_fund",J$3,$A799))</f>
        <v/>
      </c>
      <c r="K799" s="13" t="str">
        <f>IF($A799="","",[1]!thsiFinD("ths_adjustment_nv_fund",K$3,$A799))</f>
        <v/>
      </c>
      <c r="L799" s="13" t="str">
        <f>IF($A799="","",[1]!thsiFinD("ths_adjustment_nv_fund",L$3,$A799))</f>
        <v/>
      </c>
      <c r="M799" s="13" t="str">
        <f>IF($A799="","",[1]!thsiFinD("ths_adjustment_nv_fund",M$3,$A799))</f>
        <v/>
      </c>
      <c r="N799" s="13" t="str">
        <f>IF($A799="","",[1]!thsiFinD("ths_adjustment_nv_fund",N$3,$A799))</f>
        <v/>
      </c>
      <c r="O799" s="13" t="str">
        <f>IF($A799="","",[1]!thsiFinD("ths_adjustment_nv_fund",O$3,$A799))</f>
        <v/>
      </c>
      <c r="P799" s="13" t="str">
        <f>IF($A799="","",[1]!thsiFinD("ths_adjustment_nv_fund",P$3,$A799))</f>
        <v/>
      </c>
      <c r="Q799" s="13" t="str">
        <f>IF($A799="","",[1]!thsiFinD("ths_adjustment_nv_fund",Q$3,$A799))</f>
        <v/>
      </c>
      <c r="R799" s="13" t="str">
        <f>IF($A799="","",[1]!thsiFinD("ths_adjustment_nv_fund",R$3,$A799))</f>
        <v/>
      </c>
      <c r="S799" s="13" t="str">
        <f>IF($A799="","",[1]!thsiFinD("ths_adjustment_nv_fund",S$3,$A799))</f>
        <v/>
      </c>
      <c r="T799" s="13" t="str">
        <f>IF($A799="","",[1]!thsiFinD("ths_adjustment_nv_fund",T$3,$A799))</f>
        <v/>
      </c>
      <c r="U799" s="13" t="str">
        <f>IF($A799="","",[1]!thsiFinD("ths_adjustment_nv_fund",U$3,$A799))</f>
        <v/>
      </c>
      <c r="V799" s="13" t="str">
        <f>IF($A799="","",[1]!thsiFinD("ths_adjustment_nv_fund",V$3,$A799))</f>
        <v/>
      </c>
      <c r="W799" s="13" t="str">
        <f>IF($A799="","",[1]!thsiFinD("ths_adjustment_nv_fund",W$3,$A799))</f>
        <v/>
      </c>
      <c r="X799" s="13" t="str">
        <f>IF($A799="","",[1]!thsiFinD("ths_adjustment_nv_fund",X$3,$A799))</f>
        <v/>
      </c>
      <c r="Y799" s="13" t="str">
        <f>IF($A799="","",[1]!thsiFinD("ths_adjustment_nv_fund",Y$3,$A799))</f>
        <v/>
      </c>
      <c r="Z799" s="13" t="str">
        <f>IF($A799="","",[1]!thsiFinD("ths_adjustment_nv_fund",Z$3,$A799))</f>
        <v/>
      </c>
      <c r="AA799" s="13" t="str">
        <f>IF($A799="","",[1]!thsiFinD("ths_adjustment_nv_fund",AA$3,$A799))</f>
        <v/>
      </c>
      <c r="AB799" s="13" t="str">
        <f>IF($A799="","",[1]!thsiFinD("ths_adjustment_nv_fund",AB$3,$A799))</f>
        <v/>
      </c>
    </row>
    <row r="800" spans="2:28">
      <c r="B800" s="13" t="str">
        <f>IF($A800="","",[1]!thsiFinD("ths_adjustment_nv_fund",B$3,$A800))</f>
        <v/>
      </c>
      <c r="C800" s="13" t="str">
        <f>IF($A800="","",[1]!thsiFinD("ths_adjustment_nv_fund",C$3,$A800))</f>
        <v/>
      </c>
      <c r="D800" s="13" t="str">
        <f>IF($A800="","",[1]!thsiFinD("ths_adjustment_nv_fund",D$3,$A800))</f>
        <v/>
      </c>
      <c r="E800" s="13" t="str">
        <f>IF($A800="","",[1]!thsiFinD("ths_adjustment_nv_fund",E$3,$A800))</f>
        <v/>
      </c>
      <c r="F800" s="13" t="str">
        <f>IF($A800="","",[1]!thsiFinD("ths_adjustment_nv_fund",F$3,$A800))</f>
        <v/>
      </c>
      <c r="G800" s="13" t="str">
        <f>IF($A800="","",[1]!thsiFinD("ths_adjustment_nv_fund",G$3,$A800))</f>
        <v/>
      </c>
      <c r="H800" s="13" t="str">
        <f>IF($A800="","",[1]!thsiFinD("ths_adjustment_nv_fund",H$3,$A800))</f>
        <v/>
      </c>
      <c r="I800" s="13" t="str">
        <f>IF($A800="","",[1]!thsiFinD("ths_adjustment_nv_fund",I$3,$A800))</f>
        <v/>
      </c>
      <c r="J800" s="13" t="str">
        <f>IF($A800="","",[1]!thsiFinD("ths_adjustment_nv_fund",J$3,$A800))</f>
        <v/>
      </c>
      <c r="K800" s="13" t="str">
        <f>IF($A800="","",[1]!thsiFinD("ths_adjustment_nv_fund",K$3,$A800))</f>
        <v/>
      </c>
      <c r="L800" s="13" t="str">
        <f>IF($A800="","",[1]!thsiFinD("ths_adjustment_nv_fund",L$3,$A800))</f>
        <v/>
      </c>
      <c r="M800" s="13" t="str">
        <f>IF($A800="","",[1]!thsiFinD("ths_adjustment_nv_fund",M$3,$A800))</f>
        <v/>
      </c>
      <c r="N800" s="13" t="str">
        <f>IF($A800="","",[1]!thsiFinD("ths_adjustment_nv_fund",N$3,$A800))</f>
        <v/>
      </c>
      <c r="O800" s="13" t="str">
        <f>IF($A800="","",[1]!thsiFinD("ths_adjustment_nv_fund",O$3,$A800))</f>
        <v/>
      </c>
      <c r="P800" s="13" t="str">
        <f>IF($A800="","",[1]!thsiFinD("ths_adjustment_nv_fund",P$3,$A800))</f>
        <v/>
      </c>
      <c r="Q800" s="13" t="str">
        <f>IF($A800="","",[1]!thsiFinD("ths_adjustment_nv_fund",Q$3,$A800))</f>
        <v/>
      </c>
      <c r="R800" s="13" t="str">
        <f>IF($A800="","",[1]!thsiFinD("ths_adjustment_nv_fund",R$3,$A800))</f>
        <v/>
      </c>
      <c r="S800" s="13" t="str">
        <f>IF($A800="","",[1]!thsiFinD("ths_adjustment_nv_fund",S$3,$A800))</f>
        <v/>
      </c>
      <c r="T800" s="13" t="str">
        <f>IF($A800="","",[1]!thsiFinD("ths_adjustment_nv_fund",T$3,$A800))</f>
        <v/>
      </c>
      <c r="U800" s="13" t="str">
        <f>IF($A800="","",[1]!thsiFinD("ths_adjustment_nv_fund",U$3,$A800))</f>
        <v/>
      </c>
      <c r="V800" s="13" t="str">
        <f>IF($A800="","",[1]!thsiFinD("ths_adjustment_nv_fund",V$3,$A800))</f>
        <v/>
      </c>
      <c r="W800" s="13" t="str">
        <f>IF($A800="","",[1]!thsiFinD("ths_adjustment_nv_fund",W$3,$A800))</f>
        <v/>
      </c>
      <c r="X800" s="13" t="str">
        <f>IF($A800="","",[1]!thsiFinD("ths_adjustment_nv_fund",X$3,$A800))</f>
        <v/>
      </c>
      <c r="Y800" s="13" t="str">
        <f>IF($A800="","",[1]!thsiFinD("ths_adjustment_nv_fund",Y$3,$A800))</f>
        <v/>
      </c>
      <c r="Z800" s="13" t="str">
        <f>IF($A800="","",[1]!thsiFinD("ths_adjustment_nv_fund",Z$3,$A800))</f>
        <v/>
      </c>
      <c r="AA800" s="13" t="str">
        <f>IF($A800="","",[1]!thsiFinD("ths_adjustment_nv_fund",AA$3,$A800))</f>
        <v/>
      </c>
      <c r="AB800" s="13" t="str">
        <f>IF($A800="","",[1]!thsiFinD("ths_adjustment_nv_fund",AB$3,$A800))</f>
        <v/>
      </c>
    </row>
    <row r="801" spans="2:28">
      <c r="B801" s="13" t="str">
        <f>IF($A801="","",[1]!thsiFinD("ths_adjustment_nv_fund",B$3,$A801))</f>
        <v/>
      </c>
      <c r="C801" s="13" t="str">
        <f>IF($A801="","",[1]!thsiFinD("ths_adjustment_nv_fund",C$3,$A801))</f>
        <v/>
      </c>
      <c r="D801" s="13" t="str">
        <f>IF($A801="","",[1]!thsiFinD("ths_adjustment_nv_fund",D$3,$A801))</f>
        <v/>
      </c>
      <c r="E801" s="13" t="str">
        <f>IF($A801="","",[1]!thsiFinD("ths_adjustment_nv_fund",E$3,$A801))</f>
        <v/>
      </c>
      <c r="F801" s="13" t="str">
        <f>IF($A801="","",[1]!thsiFinD("ths_adjustment_nv_fund",F$3,$A801))</f>
        <v/>
      </c>
      <c r="G801" s="13" t="str">
        <f>IF($A801="","",[1]!thsiFinD("ths_adjustment_nv_fund",G$3,$A801))</f>
        <v/>
      </c>
      <c r="H801" s="13" t="str">
        <f>IF($A801="","",[1]!thsiFinD("ths_adjustment_nv_fund",H$3,$A801))</f>
        <v/>
      </c>
      <c r="I801" s="13" t="str">
        <f>IF($A801="","",[1]!thsiFinD("ths_adjustment_nv_fund",I$3,$A801))</f>
        <v/>
      </c>
      <c r="J801" s="13" t="str">
        <f>IF($A801="","",[1]!thsiFinD("ths_adjustment_nv_fund",J$3,$A801))</f>
        <v/>
      </c>
      <c r="K801" s="13" t="str">
        <f>IF($A801="","",[1]!thsiFinD("ths_adjustment_nv_fund",K$3,$A801))</f>
        <v/>
      </c>
      <c r="L801" s="13" t="str">
        <f>IF($A801="","",[1]!thsiFinD("ths_adjustment_nv_fund",L$3,$A801))</f>
        <v/>
      </c>
      <c r="M801" s="13" t="str">
        <f>IF($A801="","",[1]!thsiFinD("ths_adjustment_nv_fund",M$3,$A801))</f>
        <v/>
      </c>
      <c r="N801" s="13" t="str">
        <f>IF($A801="","",[1]!thsiFinD("ths_adjustment_nv_fund",N$3,$A801))</f>
        <v/>
      </c>
      <c r="O801" s="13" t="str">
        <f>IF($A801="","",[1]!thsiFinD("ths_adjustment_nv_fund",O$3,$A801))</f>
        <v/>
      </c>
      <c r="P801" s="13" t="str">
        <f>IF($A801="","",[1]!thsiFinD("ths_adjustment_nv_fund",P$3,$A801))</f>
        <v/>
      </c>
      <c r="Q801" s="13" t="str">
        <f>IF($A801="","",[1]!thsiFinD("ths_adjustment_nv_fund",Q$3,$A801))</f>
        <v/>
      </c>
      <c r="R801" s="13" t="str">
        <f>IF($A801="","",[1]!thsiFinD("ths_adjustment_nv_fund",R$3,$A801))</f>
        <v/>
      </c>
      <c r="S801" s="13" t="str">
        <f>IF($A801="","",[1]!thsiFinD("ths_adjustment_nv_fund",S$3,$A801))</f>
        <v/>
      </c>
      <c r="T801" s="13" t="str">
        <f>IF($A801="","",[1]!thsiFinD("ths_adjustment_nv_fund",T$3,$A801))</f>
        <v/>
      </c>
      <c r="U801" s="13" t="str">
        <f>IF($A801="","",[1]!thsiFinD("ths_adjustment_nv_fund",U$3,$A801))</f>
        <v/>
      </c>
      <c r="V801" s="13" t="str">
        <f>IF($A801="","",[1]!thsiFinD("ths_adjustment_nv_fund",V$3,$A801))</f>
        <v/>
      </c>
      <c r="W801" s="13" t="str">
        <f>IF($A801="","",[1]!thsiFinD("ths_adjustment_nv_fund",W$3,$A801))</f>
        <v/>
      </c>
      <c r="X801" s="13" t="str">
        <f>IF($A801="","",[1]!thsiFinD("ths_adjustment_nv_fund",X$3,$A801))</f>
        <v/>
      </c>
      <c r="Y801" s="13" t="str">
        <f>IF($A801="","",[1]!thsiFinD("ths_adjustment_nv_fund",Y$3,$A801))</f>
        <v/>
      </c>
      <c r="Z801" s="13" t="str">
        <f>IF($A801="","",[1]!thsiFinD("ths_adjustment_nv_fund",Z$3,$A801))</f>
        <v/>
      </c>
      <c r="AA801" s="13" t="str">
        <f>IF($A801="","",[1]!thsiFinD("ths_adjustment_nv_fund",AA$3,$A801))</f>
        <v/>
      </c>
      <c r="AB801" s="13" t="str">
        <f>IF($A801="","",[1]!thsiFinD("ths_adjustment_nv_fund",AB$3,$A801))</f>
        <v/>
      </c>
    </row>
    <row r="802" spans="2:28">
      <c r="B802" s="13" t="str">
        <f>IF($A802="","",[1]!thsiFinD("ths_adjustment_nv_fund",B$3,$A802))</f>
        <v/>
      </c>
      <c r="C802" s="13" t="str">
        <f>IF($A802="","",[1]!thsiFinD("ths_adjustment_nv_fund",C$3,$A802))</f>
        <v/>
      </c>
      <c r="D802" s="13" t="str">
        <f>IF($A802="","",[1]!thsiFinD("ths_adjustment_nv_fund",D$3,$A802))</f>
        <v/>
      </c>
      <c r="E802" s="13" t="str">
        <f>IF($A802="","",[1]!thsiFinD("ths_adjustment_nv_fund",E$3,$A802))</f>
        <v/>
      </c>
      <c r="F802" s="13" t="str">
        <f>IF($A802="","",[1]!thsiFinD("ths_adjustment_nv_fund",F$3,$A802))</f>
        <v/>
      </c>
      <c r="G802" s="13" t="str">
        <f>IF($A802="","",[1]!thsiFinD("ths_adjustment_nv_fund",G$3,$A802))</f>
        <v/>
      </c>
      <c r="H802" s="13" t="str">
        <f>IF($A802="","",[1]!thsiFinD("ths_adjustment_nv_fund",H$3,$A802))</f>
        <v/>
      </c>
      <c r="I802" s="13" t="str">
        <f>IF($A802="","",[1]!thsiFinD("ths_adjustment_nv_fund",I$3,$A802))</f>
        <v/>
      </c>
      <c r="J802" s="13" t="str">
        <f>IF($A802="","",[1]!thsiFinD("ths_adjustment_nv_fund",J$3,$A802))</f>
        <v/>
      </c>
      <c r="K802" s="13" t="str">
        <f>IF($A802="","",[1]!thsiFinD("ths_adjustment_nv_fund",K$3,$A802))</f>
        <v/>
      </c>
      <c r="L802" s="13" t="str">
        <f>IF($A802="","",[1]!thsiFinD("ths_adjustment_nv_fund",L$3,$A802))</f>
        <v/>
      </c>
      <c r="M802" s="13" t="str">
        <f>IF($A802="","",[1]!thsiFinD("ths_adjustment_nv_fund",M$3,$A802))</f>
        <v/>
      </c>
      <c r="N802" s="13" t="str">
        <f>IF($A802="","",[1]!thsiFinD("ths_adjustment_nv_fund",N$3,$A802))</f>
        <v/>
      </c>
      <c r="O802" s="13" t="str">
        <f>IF($A802="","",[1]!thsiFinD("ths_adjustment_nv_fund",O$3,$A802))</f>
        <v/>
      </c>
      <c r="P802" s="13" t="str">
        <f>IF($A802="","",[1]!thsiFinD("ths_adjustment_nv_fund",P$3,$A802))</f>
        <v/>
      </c>
      <c r="Q802" s="13" t="str">
        <f>IF($A802="","",[1]!thsiFinD("ths_adjustment_nv_fund",Q$3,$A802))</f>
        <v/>
      </c>
      <c r="R802" s="13" t="str">
        <f>IF($A802="","",[1]!thsiFinD("ths_adjustment_nv_fund",R$3,$A802))</f>
        <v/>
      </c>
      <c r="S802" s="13" t="str">
        <f>IF($A802="","",[1]!thsiFinD("ths_adjustment_nv_fund",S$3,$A802))</f>
        <v/>
      </c>
      <c r="T802" s="13" t="str">
        <f>IF($A802="","",[1]!thsiFinD("ths_adjustment_nv_fund",T$3,$A802))</f>
        <v/>
      </c>
      <c r="U802" s="13" t="str">
        <f>IF($A802="","",[1]!thsiFinD("ths_adjustment_nv_fund",U$3,$A802))</f>
        <v/>
      </c>
      <c r="V802" s="13" t="str">
        <f>IF($A802="","",[1]!thsiFinD("ths_adjustment_nv_fund",V$3,$A802))</f>
        <v/>
      </c>
      <c r="W802" s="13" t="str">
        <f>IF($A802="","",[1]!thsiFinD("ths_adjustment_nv_fund",W$3,$A802))</f>
        <v/>
      </c>
      <c r="X802" s="13" t="str">
        <f>IF($A802="","",[1]!thsiFinD("ths_adjustment_nv_fund",X$3,$A802))</f>
        <v/>
      </c>
      <c r="Y802" s="13" t="str">
        <f>IF($A802="","",[1]!thsiFinD("ths_adjustment_nv_fund",Y$3,$A802))</f>
        <v/>
      </c>
      <c r="Z802" s="13" t="str">
        <f>IF($A802="","",[1]!thsiFinD("ths_adjustment_nv_fund",Z$3,$A802))</f>
        <v/>
      </c>
      <c r="AA802" s="13" t="str">
        <f>IF($A802="","",[1]!thsiFinD("ths_adjustment_nv_fund",AA$3,$A802))</f>
        <v/>
      </c>
      <c r="AB802" s="13" t="str">
        <f>IF($A802="","",[1]!thsiFinD("ths_adjustment_nv_fund",AB$3,$A802))</f>
        <v/>
      </c>
    </row>
    <row r="803" spans="2:28">
      <c r="B803" s="13" t="str">
        <f>IF($A803="","",[1]!thsiFinD("ths_adjustment_nv_fund",B$3,$A803))</f>
        <v/>
      </c>
      <c r="C803" s="13" t="str">
        <f>IF($A803="","",[1]!thsiFinD("ths_adjustment_nv_fund",C$3,$A803))</f>
        <v/>
      </c>
      <c r="D803" s="13" t="str">
        <f>IF($A803="","",[1]!thsiFinD("ths_adjustment_nv_fund",D$3,$A803))</f>
        <v/>
      </c>
      <c r="E803" s="13" t="str">
        <f>IF($A803="","",[1]!thsiFinD("ths_adjustment_nv_fund",E$3,$A803))</f>
        <v/>
      </c>
      <c r="F803" s="13" t="str">
        <f>IF($A803="","",[1]!thsiFinD("ths_adjustment_nv_fund",F$3,$A803))</f>
        <v/>
      </c>
      <c r="G803" s="13" t="str">
        <f>IF($A803="","",[1]!thsiFinD("ths_adjustment_nv_fund",G$3,$A803))</f>
        <v/>
      </c>
      <c r="H803" s="13" t="str">
        <f>IF($A803="","",[1]!thsiFinD("ths_adjustment_nv_fund",H$3,$A803))</f>
        <v/>
      </c>
      <c r="I803" s="13" t="str">
        <f>IF($A803="","",[1]!thsiFinD("ths_adjustment_nv_fund",I$3,$A803))</f>
        <v/>
      </c>
      <c r="J803" s="13" t="str">
        <f>IF($A803="","",[1]!thsiFinD("ths_adjustment_nv_fund",J$3,$A803))</f>
        <v/>
      </c>
      <c r="K803" s="13" t="str">
        <f>IF($A803="","",[1]!thsiFinD("ths_adjustment_nv_fund",K$3,$A803))</f>
        <v/>
      </c>
      <c r="L803" s="13" t="str">
        <f>IF($A803="","",[1]!thsiFinD("ths_adjustment_nv_fund",L$3,$A803))</f>
        <v/>
      </c>
      <c r="M803" s="13" t="str">
        <f>IF($A803="","",[1]!thsiFinD("ths_adjustment_nv_fund",M$3,$A803))</f>
        <v/>
      </c>
      <c r="N803" s="13" t="str">
        <f>IF($A803="","",[1]!thsiFinD("ths_adjustment_nv_fund",N$3,$A803))</f>
        <v/>
      </c>
      <c r="O803" s="13" t="str">
        <f>IF($A803="","",[1]!thsiFinD("ths_adjustment_nv_fund",O$3,$A803))</f>
        <v/>
      </c>
      <c r="P803" s="13" t="str">
        <f>IF($A803="","",[1]!thsiFinD("ths_adjustment_nv_fund",P$3,$A803))</f>
        <v/>
      </c>
      <c r="Q803" s="13" t="str">
        <f>IF($A803="","",[1]!thsiFinD("ths_adjustment_nv_fund",Q$3,$A803))</f>
        <v/>
      </c>
      <c r="R803" s="13" t="str">
        <f>IF($A803="","",[1]!thsiFinD("ths_adjustment_nv_fund",R$3,$A803))</f>
        <v/>
      </c>
      <c r="S803" s="13" t="str">
        <f>IF($A803="","",[1]!thsiFinD("ths_adjustment_nv_fund",S$3,$A803))</f>
        <v/>
      </c>
      <c r="T803" s="13" t="str">
        <f>IF($A803="","",[1]!thsiFinD("ths_adjustment_nv_fund",T$3,$A803))</f>
        <v/>
      </c>
      <c r="U803" s="13" t="str">
        <f>IF($A803="","",[1]!thsiFinD("ths_adjustment_nv_fund",U$3,$A803))</f>
        <v/>
      </c>
      <c r="V803" s="13" t="str">
        <f>IF($A803="","",[1]!thsiFinD("ths_adjustment_nv_fund",V$3,$A803))</f>
        <v/>
      </c>
      <c r="W803" s="13" t="str">
        <f>IF($A803="","",[1]!thsiFinD("ths_adjustment_nv_fund",W$3,$A803))</f>
        <v/>
      </c>
      <c r="X803" s="13" t="str">
        <f>IF($A803="","",[1]!thsiFinD("ths_adjustment_nv_fund",X$3,$A803))</f>
        <v/>
      </c>
      <c r="Y803" s="13" t="str">
        <f>IF($A803="","",[1]!thsiFinD("ths_adjustment_nv_fund",Y$3,$A803))</f>
        <v/>
      </c>
      <c r="Z803" s="13" t="str">
        <f>IF($A803="","",[1]!thsiFinD("ths_adjustment_nv_fund",Z$3,$A803))</f>
        <v/>
      </c>
      <c r="AA803" s="13" t="str">
        <f>IF($A803="","",[1]!thsiFinD("ths_adjustment_nv_fund",AA$3,$A803))</f>
        <v/>
      </c>
      <c r="AB803" s="13" t="str">
        <f>IF($A803="","",[1]!thsiFinD("ths_adjustment_nv_fund",AB$3,$A803))</f>
        <v/>
      </c>
    </row>
    <row r="804" spans="2:28">
      <c r="B804" s="13" t="str">
        <f>IF($A804="","",[1]!thsiFinD("ths_adjustment_nv_fund",B$3,$A804))</f>
        <v/>
      </c>
      <c r="C804" s="13" t="str">
        <f>IF($A804="","",[1]!thsiFinD("ths_adjustment_nv_fund",C$3,$A804))</f>
        <v/>
      </c>
      <c r="D804" s="13" t="str">
        <f>IF($A804="","",[1]!thsiFinD("ths_adjustment_nv_fund",D$3,$A804))</f>
        <v/>
      </c>
      <c r="E804" s="13" t="str">
        <f>IF($A804="","",[1]!thsiFinD("ths_adjustment_nv_fund",E$3,$A804))</f>
        <v/>
      </c>
      <c r="F804" s="13" t="str">
        <f>IF($A804="","",[1]!thsiFinD("ths_adjustment_nv_fund",F$3,$A804))</f>
        <v/>
      </c>
      <c r="G804" s="13" t="str">
        <f>IF($A804="","",[1]!thsiFinD("ths_adjustment_nv_fund",G$3,$A804))</f>
        <v/>
      </c>
      <c r="H804" s="13" t="str">
        <f>IF($A804="","",[1]!thsiFinD("ths_adjustment_nv_fund",H$3,$A804))</f>
        <v/>
      </c>
      <c r="I804" s="13" t="str">
        <f>IF($A804="","",[1]!thsiFinD("ths_adjustment_nv_fund",I$3,$A804))</f>
        <v/>
      </c>
      <c r="J804" s="13" t="str">
        <f>IF($A804="","",[1]!thsiFinD("ths_adjustment_nv_fund",J$3,$A804))</f>
        <v/>
      </c>
      <c r="K804" s="13" t="str">
        <f>IF($A804="","",[1]!thsiFinD("ths_adjustment_nv_fund",K$3,$A804))</f>
        <v/>
      </c>
      <c r="L804" s="13" t="str">
        <f>IF($A804="","",[1]!thsiFinD("ths_adjustment_nv_fund",L$3,$A804))</f>
        <v/>
      </c>
      <c r="M804" s="13" t="str">
        <f>IF($A804="","",[1]!thsiFinD("ths_adjustment_nv_fund",M$3,$A804))</f>
        <v/>
      </c>
      <c r="N804" s="13" t="str">
        <f>IF($A804="","",[1]!thsiFinD("ths_adjustment_nv_fund",N$3,$A804))</f>
        <v/>
      </c>
      <c r="O804" s="13" t="str">
        <f>IF($A804="","",[1]!thsiFinD("ths_adjustment_nv_fund",O$3,$A804))</f>
        <v/>
      </c>
      <c r="P804" s="13" t="str">
        <f>IF($A804="","",[1]!thsiFinD("ths_adjustment_nv_fund",P$3,$A804))</f>
        <v/>
      </c>
      <c r="Q804" s="13" t="str">
        <f>IF($A804="","",[1]!thsiFinD("ths_adjustment_nv_fund",Q$3,$A804))</f>
        <v/>
      </c>
      <c r="R804" s="13" t="str">
        <f>IF($A804="","",[1]!thsiFinD("ths_adjustment_nv_fund",R$3,$A804))</f>
        <v/>
      </c>
      <c r="S804" s="13" t="str">
        <f>IF($A804="","",[1]!thsiFinD("ths_adjustment_nv_fund",S$3,$A804))</f>
        <v/>
      </c>
      <c r="T804" s="13" t="str">
        <f>IF($A804="","",[1]!thsiFinD("ths_adjustment_nv_fund",T$3,$A804))</f>
        <v/>
      </c>
      <c r="U804" s="13" t="str">
        <f>IF($A804="","",[1]!thsiFinD("ths_adjustment_nv_fund",U$3,$A804))</f>
        <v/>
      </c>
      <c r="V804" s="13" t="str">
        <f>IF($A804="","",[1]!thsiFinD("ths_adjustment_nv_fund",V$3,$A804))</f>
        <v/>
      </c>
      <c r="W804" s="13" t="str">
        <f>IF($A804="","",[1]!thsiFinD("ths_adjustment_nv_fund",W$3,$A804))</f>
        <v/>
      </c>
      <c r="X804" s="13" t="str">
        <f>IF($A804="","",[1]!thsiFinD("ths_adjustment_nv_fund",X$3,$A804))</f>
        <v/>
      </c>
      <c r="Y804" s="13" t="str">
        <f>IF($A804="","",[1]!thsiFinD("ths_adjustment_nv_fund",Y$3,$A804))</f>
        <v/>
      </c>
      <c r="Z804" s="13" t="str">
        <f>IF($A804="","",[1]!thsiFinD("ths_adjustment_nv_fund",Z$3,$A804))</f>
        <v/>
      </c>
      <c r="AA804" s="13" t="str">
        <f>IF($A804="","",[1]!thsiFinD("ths_adjustment_nv_fund",AA$3,$A804))</f>
        <v/>
      </c>
      <c r="AB804" s="13" t="str">
        <f>IF($A804="","",[1]!thsiFinD("ths_adjustment_nv_fund",AB$3,$A804))</f>
        <v/>
      </c>
    </row>
    <row r="805" spans="2:28">
      <c r="B805" s="13" t="str">
        <f>IF($A805="","",[1]!thsiFinD("ths_adjustment_nv_fund",B$3,$A805))</f>
        <v/>
      </c>
      <c r="C805" s="13" t="str">
        <f>IF($A805="","",[1]!thsiFinD("ths_adjustment_nv_fund",C$3,$A805))</f>
        <v/>
      </c>
      <c r="D805" s="13" t="str">
        <f>IF($A805="","",[1]!thsiFinD("ths_adjustment_nv_fund",D$3,$A805))</f>
        <v/>
      </c>
      <c r="E805" s="13" t="str">
        <f>IF($A805="","",[1]!thsiFinD("ths_adjustment_nv_fund",E$3,$A805))</f>
        <v/>
      </c>
      <c r="F805" s="13" t="str">
        <f>IF($A805="","",[1]!thsiFinD("ths_adjustment_nv_fund",F$3,$A805))</f>
        <v/>
      </c>
      <c r="G805" s="13" t="str">
        <f>IF($A805="","",[1]!thsiFinD("ths_adjustment_nv_fund",G$3,$A805))</f>
        <v/>
      </c>
      <c r="H805" s="13" t="str">
        <f>IF($A805="","",[1]!thsiFinD("ths_adjustment_nv_fund",H$3,$A805))</f>
        <v/>
      </c>
      <c r="I805" s="13" t="str">
        <f>IF($A805="","",[1]!thsiFinD("ths_adjustment_nv_fund",I$3,$A805))</f>
        <v/>
      </c>
      <c r="J805" s="13" t="str">
        <f>IF($A805="","",[1]!thsiFinD("ths_adjustment_nv_fund",J$3,$A805))</f>
        <v/>
      </c>
      <c r="K805" s="13" t="str">
        <f>IF($A805="","",[1]!thsiFinD("ths_adjustment_nv_fund",K$3,$A805))</f>
        <v/>
      </c>
      <c r="L805" s="13" t="str">
        <f>IF($A805="","",[1]!thsiFinD("ths_adjustment_nv_fund",L$3,$A805))</f>
        <v/>
      </c>
      <c r="M805" s="13" t="str">
        <f>IF($A805="","",[1]!thsiFinD("ths_adjustment_nv_fund",M$3,$A805))</f>
        <v/>
      </c>
      <c r="N805" s="13" t="str">
        <f>IF($A805="","",[1]!thsiFinD("ths_adjustment_nv_fund",N$3,$A805))</f>
        <v/>
      </c>
      <c r="O805" s="13" t="str">
        <f>IF($A805="","",[1]!thsiFinD("ths_adjustment_nv_fund",O$3,$A805))</f>
        <v/>
      </c>
      <c r="P805" s="13" t="str">
        <f>IF($A805="","",[1]!thsiFinD("ths_adjustment_nv_fund",P$3,$A805))</f>
        <v/>
      </c>
      <c r="Q805" s="13" t="str">
        <f>IF($A805="","",[1]!thsiFinD("ths_adjustment_nv_fund",Q$3,$A805))</f>
        <v/>
      </c>
      <c r="R805" s="13" t="str">
        <f>IF($A805="","",[1]!thsiFinD("ths_adjustment_nv_fund",R$3,$A805))</f>
        <v/>
      </c>
      <c r="S805" s="13" t="str">
        <f>IF($A805="","",[1]!thsiFinD("ths_adjustment_nv_fund",S$3,$A805))</f>
        <v/>
      </c>
      <c r="T805" s="13" t="str">
        <f>IF($A805="","",[1]!thsiFinD("ths_adjustment_nv_fund",T$3,$A805))</f>
        <v/>
      </c>
      <c r="U805" s="13" t="str">
        <f>IF($A805="","",[1]!thsiFinD("ths_adjustment_nv_fund",U$3,$A805))</f>
        <v/>
      </c>
      <c r="V805" s="13" t="str">
        <f>IF($A805="","",[1]!thsiFinD("ths_adjustment_nv_fund",V$3,$A805))</f>
        <v/>
      </c>
      <c r="W805" s="13" t="str">
        <f>IF($A805="","",[1]!thsiFinD("ths_adjustment_nv_fund",W$3,$A805))</f>
        <v/>
      </c>
      <c r="X805" s="13" t="str">
        <f>IF($A805="","",[1]!thsiFinD("ths_adjustment_nv_fund",X$3,$A805))</f>
        <v/>
      </c>
      <c r="Y805" s="13" t="str">
        <f>IF($A805="","",[1]!thsiFinD("ths_adjustment_nv_fund",Y$3,$A805))</f>
        <v/>
      </c>
      <c r="Z805" s="13" t="str">
        <f>IF($A805="","",[1]!thsiFinD("ths_adjustment_nv_fund",Z$3,$A805))</f>
        <v/>
      </c>
      <c r="AA805" s="13" t="str">
        <f>IF($A805="","",[1]!thsiFinD("ths_adjustment_nv_fund",AA$3,$A805))</f>
        <v/>
      </c>
      <c r="AB805" s="13" t="str">
        <f>IF($A805="","",[1]!thsiFinD("ths_adjustment_nv_fund",AB$3,$A805))</f>
        <v/>
      </c>
    </row>
    <row r="806" spans="2:28">
      <c r="B806" s="13" t="str">
        <f>IF($A806="","",[1]!thsiFinD("ths_adjustment_nv_fund",B$3,$A806))</f>
        <v/>
      </c>
      <c r="C806" s="13" t="str">
        <f>IF($A806="","",[1]!thsiFinD("ths_adjustment_nv_fund",C$3,$A806))</f>
        <v/>
      </c>
      <c r="D806" s="13" t="str">
        <f>IF($A806="","",[1]!thsiFinD("ths_adjustment_nv_fund",D$3,$A806))</f>
        <v/>
      </c>
      <c r="E806" s="13" t="str">
        <f>IF($A806="","",[1]!thsiFinD("ths_adjustment_nv_fund",E$3,$A806))</f>
        <v/>
      </c>
      <c r="F806" s="13" t="str">
        <f>IF($A806="","",[1]!thsiFinD("ths_adjustment_nv_fund",F$3,$A806))</f>
        <v/>
      </c>
      <c r="G806" s="13" t="str">
        <f>IF($A806="","",[1]!thsiFinD("ths_adjustment_nv_fund",G$3,$A806))</f>
        <v/>
      </c>
      <c r="H806" s="13" t="str">
        <f>IF($A806="","",[1]!thsiFinD("ths_adjustment_nv_fund",H$3,$A806))</f>
        <v/>
      </c>
      <c r="I806" s="13" t="str">
        <f>IF($A806="","",[1]!thsiFinD("ths_adjustment_nv_fund",I$3,$A806))</f>
        <v/>
      </c>
      <c r="J806" s="13" t="str">
        <f>IF($A806="","",[1]!thsiFinD("ths_adjustment_nv_fund",J$3,$A806))</f>
        <v/>
      </c>
      <c r="K806" s="13" t="str">
        <f>IF($A806="","",[1]!thsiFinD("ths_adjustment_nv_fund",K$3,$A806))</f>
        <v/>
      </c>
      <c r="L806" s="13" t="str">
        <f>IF($A806="","",[1]!thsiFinD("ths_adjustment_nv_fund",L$3,$A806))</f>
        <v/>
      </c>
      <c r="M806" s="13" t="str">
        <f>IF($A806="","",[1]!thsiFinD("ths_adjustment_nv_fund",M$3,$A806))</f>
        <v/>
      </c>
      <c r="N806" s="13" t="str">
        <f>IF($A806="","",[1]!thsiFinD("ths_adjustment_nv_fund",N$3,$A806))</f>
        <v/>
      </c>
      <c r="O806" s="13" t="str">
        <f>IF($A806="","",[1]!thsiFinD("ths_adjustment_nv_fund",O$3,$A806))</f>
        <v/>
      </c>
      <c r="P806" s="13" t="str">
        <f>IF($A806="","",[1]!thsiFinD("ths_adjustment_nv_fund",P$3,$A806))</f>
        <v/>
      </c>
      <c r="Q806" s="13" t="str">
        <f>IF($A806="","",[1]!thsiFinD("ths_adjustment_nv_fund",Q$3,$A806))</f>
        <v/>
      </c>
      <c r="R806" s="13" t="str">
        <f>IF($A806="","",[1]!thsiFinD("ths_adjustment_nv_fund",R$3,$A806))</f>
        <v/>
      </c>
      <c r="S806" s="13" t="str">
        <f>IF($A806="","",[1]!thsiFinD("ths_adjustment_nv_fund",S$3,$A806))</f>
        <v/>
      </c>
      <c r="T806" s="13" t="str">
        <f>IF($A806="","",[1]!thsiFinD("ths_adjustment_nv_fund",T$3,$A806))</f>
        <v/>
      </c>
      <c r="U806" s="13" t="str">
        <f>IF($A806="","",[1]!thsiFinD("ths_adjustment_nv_fund",U$3,$A806))</f>
        <v/>
      </c>
      <c r="V806" s="13" t="str">
        <f>IF($A806="","",[1]!thsiFinD("ths_adjustment_nv_fund",V$3,$A806))</f>
        <v/>
      </c>
      <c r="W806" s="13" t="str">
        <f>IF($A806="","",[1]!thsiFinD("ths_adjustment_nv_fund",W$3,$A806))</f>
        <v/>
      </c>
      <c r="X806" s="13" t="str">
        <f>IF($A806="","",[1]!thsiFinD("ths_adjustment_nv_fund",X$3,$A806))</f>
        <v/>
      </c>
      <c r="Y806" s="13" t="str">
        <f>IF($A806="","",[1]!thsiFinD("ths_adjustment_nv_fund",Y$3,$A806))</f>
        <v/>
      </c>
      <c r="Z806" s="13" t="str">
        <f>IF($A806="","",[1]!thsiFinD("ths_adjustment_nv_fund",Z$3,$A806))</f>
        <v/>
      </c>
      <c r="AA806" s="13" t="str">
        <f>IF($A806="","",[1]!thsiFinD("ths_adjustment_nv_fund",AA$3,$A806))</f>
        <v/>
      </c>
      <c r="AB806" s="13" t="str">
        <f>IF($A806="","",[1]!thsiFinD("ths_adjustment_nv_fund",AB$3,$A806))</f>
        <v/>
      </c>
    </row>
    <row r="807" spans="2:28">
      <c r="B807" s="13" t="str">
        <f>IF($A807="","",[1]!thsiFinD("ths_adjustment_nv_fund",B$3,$A807))</f>
        <v/>
      </c>
      <c r="C807" s="13" t="str">
        <f>IF($A807="","",[1]!thsiFinD("ths_adjustment_nv_fund",C$3,$A807))</f>
        <v/>
      </c>
      <c r="D807" s="13" t="str">
        <f>IF($A807="","",[1]!thsiFinD("ths_adjustment_nv_fund",D$3,$A807))</f>
        <v/>
      </c>
      <c r="E807" s="13" t="str">
        <f>IF($A807="","",[1]!thsiFinD("ths_adjustment_nv_fund",E$3,$A807))</f>
        <v/>
      </c>
      <c r="F807" s="13" t="str">
        <f>IF($A807="","",[1]!thsiFinD("ths_adjustment_nv_fund",F$3,$A807))</f>
        <v/>
      </c>
      <c r="G807" s="13" t="str">
        <f>IF($A807="","",[1]!thsiFinD("ths_adjustment_nv_fund",G$3,$A807))</f>
        <v/>
      </c>
      <c r="H807" s="13" t="str">
        <f>IF($A807="","",[1]!thsiFinD("ths_adjustment_nv_fund",H$3,$A807))</f>
        <v/>
      </c>
      <c r="I807" s="13" t="str">
        <f>IF($A807="","",[1]!thsiFinD("ths_adjustment_nv_fund",I$3,$A807))</f>
        <v/>
      </c>
      <c r="J807" s="13" t="str">
        <f>IF($A807="","",[1]!thsiFinD("ths_adjustment_nv_fund",J$3,$A807))</f>
        <v/>
      </c>
      <c r="K807" s="13" t="str">
        <f>IF($A807="","",[1]!thsiFinD("ths_adjustment_nv_fund",K$3,$A807))</f>
        <v/>
      </c>
      <c r="L807" s="13" t="str">
        <f>IF($A807="","",[1]!thsiFinD("ths_adjustment_nv_fund",L$3,$A807))</f>
        <v/>
      </c>
      <c r="M807" s="13" t="str">
        <f>IF($A807="","",[1]!thsiFinD("ths_adjustment_nv_fund",M$3,$A807))</f>
        <v/>
      </c>
      <c r="N807" s="13" t="str">
        <f>IF($A807="","",[1]!thsiFinD("ths_adjustment_nv_fund",N$3,$A807))</f>
        <v/>
      </c>
      <c r="O807" s="13" t="str">
        <f>IF($A807="","",[1]!thsiFinD("ths_adjustment_nv_fund",O$3,$A807))</f>
        <v/>
      </c>
      <c r="P807" s="13" t="str">
        <f>IF($A807="","",[1]!thsiFinD("ths_adjustment_nv_fund",P$3,$A807))</f>
        <v/>
      </c>
      <c r="Q807" s="13" t="str">
        <f>IF($A807="","",[1]!thsiFinD("ths_adjustment_nv_fund",Q$3,$A807))</f>
        <v/>
      </c>
      <c r="R807" s="13" t="str">
        <f>IF($A807="","",[1]!thsiFinD("ths_adjustment_nv_fund",R$3,$A807))</f>
        <v/>
      </c>
      <c r="S807" s="13" t="str">
        <f>IF($A807="","",[1]!thsiFinD("ths_adjustment_nv_fund",S$3,$A807))</f>
        <v/>
      </c>
      <c r="T807" s="13" t="str">
        <f>IF($A807="","",[1]!thsiFinD("ths_adjustment_nv_fund",T$3,$A807))</f>
        <v/>
      </c>
      <c r="U807" s="13" t="str">
        <f>IF($A807="","",[1]!thsiFinD("ths_adjustment_nv_fund",U$3,$A807))</f>
        <v/>
      </c>
      <c r="V807" s="13" t="str">
        <f>IF($A807="","",[1]!thsiFinD("ths_adjustment_nv_fund",V$3,$A807))</f>
        <v/>
      </c>
      <c r="W807" s="13" t="str">
        <f>IF($A807="","",[1]!thsiFinD("ths_adjustment_nv_fund",W$3,$A807))</f>
        <v/>
      </c>
      <c r="X807" s="13" t="str">
        <f>IF($A807="","",[1]!thsiFinD("ths_adjustment_nv_fund",X$3,$A807))</f>
        <v/>
      </c>
      <c r="Y807" s="13" t="str">
        <f>IF($A807="","",[1]!thsiFinD("ths_adjustment_nv_fund",Y$3,$A807))</f>
        <v/>
      </c>
      <c r="Z807" s="13" t="str">
        <f>IF($A807="","",[1]!thsiFinD("ths_adjustment_nv_fund",Z$3,$A807))</f>
        <v/>
      </c>
      <c r="AA807" s="13" t="str">
        <f>IF($A807="","",[1]!thsiFinD("ths_adjustment_nv_fund",AA$3,$A807))</f>
        <v/>
      </c>
      <c r="AB807" s="13" t="str">
        <f>IF($A807="","",[1]!thsiFinD("ths_adjustment_nv_fund",AB$3,$A807))</f>
        <v/>
      </c>
    </row>
    <row r="808" spans="2:28">
      <c r="B808" s="13" t="str">
        <f>IF($A808="","",[1]!thsiFinD("ths_adjustment_nv_fund",B$3,$A808))</f>
        <v/>
      </c>
      <c r="C808" s="13" t="str">
        <f>IF($A808="","",[1]!thsiFinD("ths_adjustment_nv_fund",C$3,$A808))</f>
        <v/>
      </c>
      <c r="D808" s="13" t="str">
        <f>IF($A808="","",[1]!thsiFinD("ths_adjustment_nv_fund",D$3,$A808))</f>
        <v/>
      </c>
      <c r="E808" s="13" t="str">
        <f>IF($A808="","",[1]!thsiFinD("ths_adjustment_nv_fund",E$3,$A808))</f>
        <v/>
      </c>
      <c r="F808" s="13" t="str">
        <f>IF($A808="","",[1]!thsiFinD("ths_adjustment_nv_fund",F$3,$A808))</f>
        <v/>
      </c>
      <c r="G808" s="13" t="str">
        <f>IF($A808="","",[1]!thsiFinD("ths_adjustment_nv_fund",G$3,$A808))</f>
        <v/>
      </c>
      <c r="H808" s="13" t="str">
        <f>IF($A808="","",[1]!thsiFinD("ths_adjustment_nv_fund",H$3,$A808))</f>
        <v/>
      </c>
      <c r="I808" s="13" t="str">
        <f>IF($A808="","",[1]!thsiFinD("ths_adjustment_nv_fund",I$3,$A808))</f>
        <v/>
      </c>
      <c r="J808" s="13" t="str">
        <f>IF($A808="","",[1]!thsiFinD("ths_adjustment_nv_fund",J$3,$A808))</f>
        <v/>
      </c>
      <c r="K808" s="13" t="str">
        <f>IF($A808="","",[1]!thsiFinD("ths_adjustment_nv_fund",K$3,$A808))</f>
        <v/>
      </c>
      <c r="L808" s="13" t="str">
        <f>IF($A808="","",[1]!thsiFinD("ths_adjustment_nv_fund",L$3,$A808))</f>
        <v/>
      </c>
      <c r="M808" s="13" t="str">
        <f>IF($A808="","",[1]!thsiFinD("ths_adjustment_nv_fund",M$3,$A808))</f>
        <v/>
      </c>
      <c r="N808" s="13" t="str">
        <f>IF($A808="","",[1]!thsiFinD("ths_adjustment_nv_fund",N$3,$A808))</f>
        <v/>
      </c>
      <c r="O808" s="13" t="str">
        <f>IF($A808="","",[1]!thsiFinD("ths_adjustment_nv_fund",O$3,$A808))</f>
        <v/>
      </c>
      <c r="P808" s="13" t="str">
        <f>IF($A808="","",[1]!thsiFinD("ths_adjustment_nv_fund",P$3,$A808))</f>
        <v/>
      </c>
      <c r="Q808" s="13" t="str">
        <f>IF($A808="","",[1]!thsiFinD("ths_adjustment_nv_fund",Q$3,$A808))</f>
        <v/>
      </c>
      <c r="R808" s="13" t="str">
        <f>IF($A808="","",[1]!thsiFinD("ths_adjustment_nv_fund",R$3,$A808))</f>
        <v/>
      </c>
      <c r="S808" s="13" t="str">
        <f>IF($A808="","",[1]!thsiFinD("ths_adjustment_nv_fund",S$3,$A808))</f>
        <v/>
      </c>
      <c r="T808" s="13" t="str">
        <f>IF($A808="","",[1]!thsiFinD("ths_adjustment_nv_fund",T$3,$A808))</f>
        <v/>
      </c>
      <c r="U808" s="13" t="str">
        <f>IF($A808="","",[1]!thsiFinD("ths_adjustment_nv_fund",U$3,$A808))</f>
        <v/>
      </c>
      <c r="V808" s="13" t="str">
        <f>IF($A808="","",[1]!thsiFinD("ths_adjustment_nv_fund",V$3,$A808))</f>
        <v/>
      </c>
      <c r="W808" s="13" t="str">
        <f>IF($A808="","",[1]!thsiFinD("ths_adjustment_nv_fund",W$3,$A808))</f>
        <v/>
      </c>
      <c r="X808" s="13" t="str">
        <f>IF($A808="","",[1]!thsiFinD("ths_adjustment_nv_fund",X$3,$A808))</f>
        <v/>
      </c>
      <c r="Y808" s="13" t="str">
        <f>IF($A808="","",[1]!thsiFinD("ths_adjustment_nv_fund",Y$3,$A808))</f>
        <v/>
      </c>
      <c r="Z808" s="13" t="str">
        <f>IF($A808="","",[1]!thsiFinD("ths_adjustment_nv_fund",Z$3,$A808))</f>
        <v/>
      </c>
      <c r="AA808" s="13" t="str">
        <f>IF($A808="","",[1]!thsiFinD("ths_adjustment_nv_fund",AA$3,$A808))</f>
        <v/>
      </c>
      <c r="AB808" s="13" t="str">
        <f>IF($A808="","",[1]!thsiFinD("ths_adjustment_nv_fund",AB$3,$A808))</f>
        <v/>
      </c>
    </row>
    <row r="809" spans="2:28">
      <c r="B809" s="13" t="str">
        <f>IF($A809="","",[1]!thsiFinD("ths_adjustment_nv_fund",B$3,$A809))</f>
        <v/>
      </c>
      <c r="C809" s="13" t="str">
        <f>IF($A809="","",[1]!thsiFinD("ths_adjustment_nv_fund",C$3,$A809))</f>
        <v/>
      </c>
      <c r="D809" s="13" t="str">
        <f>IF($A809="","",[1]!thsiFinD("ths_adjustment_nv_fund",D$3,$A809))</f>
        <v/>
      </c>
      <c r="E809" s="13" t="str">
        <f>IF($A809="","",[1]!thsiFinD("ths_adjustment_nv_fund",E$3,$A809))</f>
        <v/>
      </c>
      <c r="F809" s="13" t="str">
        <f>IF($A809="","",[1]!thsiFinD("ths_adjustment_nv_fund",F$3,$A809))</f>
        <v/>
      </c>
      <c r="G809" s="13" t="str">
        <f>IF($A809="","",[1]!thsiFinD("ths_adjustment_nv_fund",G$3,$A809))</f>
        <v/>
      </c>
      <c r="H809" s="13" t="str">
        <f>IF($A809="","",[1]!thsiFinD("ths_adjustment_nv_fund",H$3,$A809))</f>
        <v/>
      </c>
      <c r="I809" s="13" t="str">
        <f>IF($A809="","",[1]!thsiFinD("ths_adjustment_nv_fund",I$3,$A809))</f>
        <v/>
      </c>
      <c r="J809" s="13" t="str">
        <f>IF($A809="","",[1]!thsiFinD("ths_adjustment_nv_fund",J$3,$A809))</f>
        <v/>
      </c>
      <c r="K809" s="13" t="str">
        <f>IF($A809="","",[1]!thsiFinD("ths_adjustment_nv_fund",K$3,$A809))</f>
        <v/>
      </c>
      <c r="L809" s="13" t="str">
        <f>IF($A809="","",[1]!thsiFinD("ths_adjustment_nv_fund",L$3,$A809))</f>
        <v/>
      </c>
      <c r="M809" s="13" t="str">
        <f>IF($A809="","",[1]!thsiFinD("ths_adjustment_nv_fund",M$3,$A809))</f>
        <v/>
      </c>
      <c r="N809" s="13" t="str">
        <f>IF($A809="","",[1]!thsiFinD("ths_adjustment_nv_fund",N$3,$A809))</f>
        <v/>
      </c>
      <c r="O809" s="13" t="str">
        <f>IF($A809="","",[1]!thsiFinD("ths_adjustment_nv_fund",O$3,$A809))</f>
        <v/>
      </c>
      <c r="P809" s="13" t="str">
        <f>IF($A809="","",[1]!thsiFinD("ths_adjustment_nv_fund",P$3,$A809))</f>
        <v/>
      </c>
      <c r="Q809" s="13" t="str">
        <f>IF($A809="","",[1]!thsiFinD("ths_adjustment_nv_fund",Q$3,$A809))</f>
        <v/>
      </c>
      <c r="R809" s="13" t="str">
        <f>IF($A809="","",[1]!thsiFinD("ths_adjustment_nv_fund",R$3,$A809))</f>
        <v/>
      </c>
      <c r="S809" s="13" t="str">
        <f>IF($A809="","",[1]!thsiFinD("ths_adjustment_nv_fund",S$3,$A809))</f>
        <v/>
      </c>
      <c r="T809" s="13" t="str">
        <f>IF($A809="","",[1]!thsiFinD("ths_adjustment_nv_fund",T$3,$A809))</f>
        <v/>
      </c>
      <c r="U809" s="13" t="str">
        <f>IF($A809="","",[1]!thsiFinD("ths_adjustment_nv_fund",U$3,$A809))</f>
        <v/>
      </c>
      <c r="V809" s="13" t="str">
        <f>IF($A809="","",[1]!thsiFinD("ths_adjustment_nv_fund",V$3,$A809))</f>
        <v/>
      </c>
      <c r="W809" s="13" t="str">
        <f>IF($A809="","",[1]!thsiFinD("ths_adjustment_nv_fund",W$3,$A809))</f>
        <v/>
      </c>
      <c r="X809" s="13" t="str">
        <f>IF($A809="","",[1]!thsiFinD("ths_adjustment_nv_fund",X$3,$A809))</f>
        <v/>
      </c>
      <c r="Y809" s="13" t="str">
        <f>IF($A809="","",[1]!thsiFinD("ths_adjustment_nv_fund",Y$3,$A809))</f>
        <v/>
      </c>
      <c r="Z809" s="13" t="str">
        <f>IF($A809="","",[1]!thsiFinD("ths_adjustment_nv_fund",Z$3,$A809))</f>
        <v/>
      </c>
      <c r="AA809" s="13" t="str">
        <f>IF($A809="","",[1]!thsiFinD("ths_adjustment_nv_fund",AA$3,$A809))</f>
        <v/>
      </c>
      <c r="AB809" s="13" t="str">
        <f>IF($A809="","",[1]!thsiFinD("ths_adjustment_nv_fund",AB$3,$A809))</f>
        <v/>
      </c>
    </row>
    <row r="810" spans="2:28">
      <c r="B810" s="13" t="str">
        <f>IF($A810="","",[1]!thsiFinD("ths_adjustment_nv_fund",B$3,$A810))</f>
        <v/>
      </c>
      <c r="C810" s="13" t="str">
        <f>IF($A810="","",[1]!thsiFinD("ths_adjustment_nv_fund",C$3,$A810))</f>
        <v/>
      </c>
      <c r="D810" s="13" t="str">
        <f>IF($A810="","",[1]!thsiFinD("ths_adjustment_nv_fund",D$3,$A810))</f>
        <v/>
      </c>
      <c r="E810" s="13" t="str">
        <f>IF($A810="","",[1]!thsiFinD("ths_adjustment_nv_fund",E$3,$A810))</f>
        <v/>
      </c>
      <c r="F810" s="13" t="str">
        <f>IF($A810="","",[1]!thsiFinD("ths_adjustment_nv_fund",F$3,$A810))</f>
        <v/>
      </c>
      <c r="G810" s="13" t="str">
        <f>IF($A810="","",[1]!thsiFinD("ths_adjustment_nv_fund",G$3,$A810))</f>
        <v/>
      </c>
      <c r="H810" s="13" t="str">
        <f>IF($A810="","",[1]!thsiFinD("ths_adjustment_nv_fund",H$3,$A810))</f>
        <v/>
      </c>
      <c r="I810" s="13" t="str">
        <f>IF($A810="","",[1]!thsiFinD("ths_adjustment_nv_fund",I$3,$A810))</f>
        <v/>
      </c>
      <c r="J810" s="13" t="str">
        <f>IF($A810="","",[1]!thsiFinD("ths_adjustment_nv_fund",J$3,$A810))</f>
        <v/>
      </c>
      <c r="K810" s="13" t="str">
        <f>IF($A810="","",[1]!thsiFinD("ths_adjustment_nv_fund",K$3,$A810))</f>
        <v/>
      </c>
      <c r="L810" s="13" t="str">
        <f>IF($A810="","",[1]!thsiFinD("ths_adjustment_nv_fund",L$3,$A810))</f>
        <v/>
      </c>
      <c r="M810" s="13" t="str">
        <f>IF($A810="","",[1]!thsiFinD("ths_adjustment_nv_fund",M$3,$A810))</f>
        <v/>
      </c>
      <c r="N810" s="13" t="str">
        <f>IF($A810="","",[1]!thsiFinD("ths_adjustment_nv_fund",N$3,$A810))</f>
        <v/>
      </c>
      <c r="O810" s="13" t="str">
        <f>IF($A810="","",[1]!thsiFinD("ths_adjustment_nv_fund",O$3,$A810))</f>
        <v/>
      </c>
      <c r="P810" s="13" t="str">
        <f>IF($A810="","",[1]!thsiFinD("ths_adjustment_nv_fund",P$3,$A810))</f>
        <v/>
      </c>
      <c r="Q810" s="13" t="str">
        <f>IF($A810="","",[1]!thsiFinD("ths_adjustment_nv_fund",Q$3,$A810))</f>
        <v/>
      </c>
      <c r="R810" s="13" t="str">
        <f>IF($A810="","",[1]!thsiFinD("ths_adjustment_nv_fund",R$3,$A810))</f>
        <v/>
      </c>
      <c r="S810" s="13" t="str">
        <f>IF($A810="","",[1]!thsiFinD("ths_adjustment_nv_fund",S$3,$A810))</f>
        <v/>
      </c>
      <c r="T810" s="13" t="str">
        <f>IF($A810="","",[1]!thsiFinD("ths_adjustment_nv_fund",T$3,$A810))</f>
        <v/>
      </c>
      <c r="U810" s="13" t="str">
        <f>IF($A810="","",[1]!thsiFinD("ths_adjustment_nv_fund",U$3,$A810))</f>
        <v/>
      </c>
      <c r="V810" s="13" t="str">
        <f>IF($A810="","",[1]!thsiFinD("ths_adjustment_nv_fund",V$3,$A810))</f>
        <v/>
      </c>
      <c r="W810" s="13" t="str">
        <f>IF($A810="","",[1]!thsiFinD("ths_adjustment_nv_fund",W$3,$A810))</f>
        <v/>
      </c>
      <c r="X810" s="13" t="str">
        <f>IF($A810="","",[1]!thsiFinD("ths_adjustment_nv_fund",X$3,$A810))</f>
        <v/>
      </c>
      <c r="Y810" s="13" t="str">
        <f>IF($A810="","",[1]!thsiFinD("ths_adjustment_nv_fund",Y$3,$A810))</f>
        <v/>
      </c>
      <c r="Z810" s="13" t="str">
        <f>IF($A810="","",[1]!thsiFinD("ths_adjustment_nv_fund",Z$3,$A810))</f>
        <v/>
      </c>
      <c r="AA810" s="13" t="str">
        <f>IF($A810="","",[1]!thsiFinD("ths_adjustment_nv_fund",AA$3,$A810))</f>
        <v/>
      </c>
      <c r="AB810" s="13" t="str">
        <f>IF($A810="","",[1]!thsiFinD("ths_adjustment_nv_fund",AB$3,$A810))</f>
        <v/>
      </c>
    </row>
    <row r="811" spans="2:28">
      <c r="B811" s="13" t="str">
        <f>IF($A811="","",[1]!thsiFinD("ths_adjustment_nv_fund",B$3,$A811))</f>
        <v/>
      </c>
      <c r="C811" s="13" t="str">
        <f>IF($A811="","",[1]!thsiFinD("ths_adjustment_nv_fund",C$3,$A811))</f>
        <v/>
      </c>
      <c r="D811" s="13" t="str">
        <f>IF($A811="","",[1]!thsiFinD("ths_adjustment_nv_fund",D$3,$A811))</f>
        <v/>
      </c>
      <c r="E811" s="13" t="str">
        <f>IF($A811="","",[1]!thsiFinD("ths_adjustment_nv_fund",E$3,$A811))</f>
        <v/>
      </c>
      <c r="F811" s="13" t="str">
        <f>IF($A811="","",[1]!thsiFinD("ths_adjustment_nv_fund",F$3,$A811))</f>
        <v/>
      </c>
      <c r="G811" s="13" t="str">
        <f>IF($A811="","",[1]!thsiFinD("ths_adjustment_nv_fund",G$3,$A811))</f>
        <v/>
      </c>
      <c r="H811" s="13" t="str">
        <f>IF($A811="","",[1]!thsiFinD("ths_adjustment_nv_fund",H$3,$A811))</f>
        <v/>
      </c>
      <c r="I811" s="13" t="str">
        <f>IF($A811="","",[1]!thsiFinD("ths_adjustment_nv_fund",I$3,$A811))</f>
        <v/>
      </c>
      <c r="J811" s="13" t="str">
        <f>IF($A811="","",[1]!thsiFinD("ths_adjustment_nv_fund",J$3,$A811))</f>
        <v/>
      </c>
      <c r="K811" s="13" t="str">
        <f>IF($A811="","",[1]!thsiFinD("ths_adjustment_nv_fund",K$3,$A811))</f>
        <v/>
      </c>
      <c r="L811" s="13" t="str">
        <f>IF($A811="","",[1]!thsiFinD("ths_adjustment_nv_fund",L$3,$A811))</f>
        <v/>
      </c>
      <c r="M811" s="13" t="str">
        <f>IF($A811="","",[1]!thsiFinD("ths_adjustment_nv_fund",M$3,$A811))</f>
        <v/>
      </c>
      <c r="N811" s="13" t="str">
        <f>IF($A811="","",[1]!thsiFinD("ths_adjustment_nv_fund",N$3,$A811))</f>
        <v/>
      </c>
      <c r="O811" s="13" t="str">
        <f>IF($A811="","",[1]!thsiFinD("ths_adjustment_nv_fund",O$3,$A811))</f>
        <v/>
      </c>
      <c r="P811" s="13" t="str">
        <f>IF($A811="","",[1]!thsiFinD("ths_adjustment_nv_fund",P$3,$A811))</f>
        <v/>
      </c>
      <c r="Q811" s="13" t="str">
        <f>IF($A811="","",[1]!thsiFinD("ths_adjustment_nv_fund",Q$3,$A811))</f>
        <v/>
      </c>
      <c r="R811" s="13" t="str">
        <f>IF($A811="","",[1]!thsiFinD("ths_adjustment_nv_fund",R$3,$A811))</f>
        <v/>
      </c>
      <c r="S811" s="13" t="str">
        <f>IF($A811="","",[1]!thsiFinD("ths_adjustment_nv_fund",S$3,$A811))</f>
        <v/>
      </c>
      <c r="T811" s="13" t="str">
        <f>IF($A811="","",[1]!thsiFinD("ths_adjustment_nv_fund",T$3,$A811))</f>
        <v/>
      </c>
      <c r="U811" s="13" t="str">
        <f>IF($A811="","",[1]!thsiFinD("ths_adjustment_nv_fund",U$3,$A811))</f>
        <v/>
      </c>
      <c r="V811" s="13" t="str">
        <f>IF($A811="","",[1]!thsiFinD("ths_adjustment_nv_fund",V$3,$A811))</f>
        <v/>
      </c>
      <c r="W811" s="13" t="str">
        <f>IF($A811="","",[1]!thsiFinD("ths_adjustment_nv_fund",W$3,$A811))</f>
        <v/>
      </c>
      <c r="X811" s="13" t="str">
        <f>IF($A811="","",[1]!thsiFinD("ths_adjustment_nv_fund",X$3,$A811))</f>
        <v/>
      </c>
      <c r="Y811" s="13" t="str">
        <f>IF($A811="","",[1]!thsiFinD("ths_adjustment_nv_fund",Y$3,$A811))</f>
        <v/>
      </c>
      <c r="Z811" s="13" t="str">
        <f>IF($A811="","",[1]!thsiFinD("ths_adjustment_nv_fund",Z$3,$A811))</f>
        <v/>
      </c>
      <c r="AA811" s="13" t="str">
        <f>IF($A811="","",[1]!thsiFinD("ths_adjustment_nv_fund",AA$3,$A811))</f>
        <v/>
      </c>
      <c r="AB811" s="13" t="str">
        <f>IF($A811="","",[1]!thsiFinD("ths_adjustment_nv_fund",AB$3,$A811))</f>
        <v/>
      </c>
    </row>
    <row r="812" spans="2:28">
      <c r="B812" s="13" t="str">
        <f>IF($A812="","",[1]!thsiFinD("ths_adjustment_nv_fund",B$3,$A812))</f>
        <v/>
      </c>
      <c r="C812" s="13" t="str">
        <f>IF($A812="","",[1]!thsiFinD("ths_adjustment_nv_fund",C$3,$A812))</f>
        <v/>
      </c>
      <c r="D812" s="13" t="str">
        <f>IF($A812="","",[1]!thsiFinD("ths_adjustment_nv_fund",D$3,$A812))</f>
        <v/>
      </c>
      <c r="E812" s="13" t="str">
        <f>IF($A812="","",[1]!thsiFinD("ths_adjustment_nv_fund",E$3,$A812))</f>
        <v/>
      </c>
      <c r="F812" s="13" t="str">
        <f>IF($A812="","",[1]!thsiFinD("ths_adjustment_nv_fund",F$3,$A812))</f>
        <v/>
      </c>
      <c r="G812" s="13" t="str">
        <f>IF($A812="","",[1]!thsiFinD("ths_adjustment_nv_fund",G$3,$A812))</f>
        <v/>
      </c>
      <c r="H812" s="13" t="str">
        <f>IF($A812="","",[1]!thsiFinD("ths_adjustment_nv_fund",H$3,$A812))</f>
        <v/>
      </c>
      <c r="I812" s="13" t="str">
        <f>IF($A812="","",[1]!thsiFinD("ths_adjustment_nv_fund",I$3,$A812))</f>
        <v/>
      </c>
      <c r="J812" s="13" t="str">
        <f>IF($A812="","",[1]!thsiFinD("ths_adjustment_nv_fund",J$3,$A812))</f>
        <v/>
      </c>
      <c r="K812" s="13" t="str">
        <f>IF($A812="","",[1]!thsiFinD("ths_adjustment_nv_fund",K$3,$A812))</f>
        <v/>
      </c>
      <c r="L812" s="13" t="str">
        <f>IF($A812="","",[1]!thsiFinD("ths_adjustment_nv_fund",L$3,$A812))</f>
        <v/>
      </c>
      <c r="M812" s="13" t="str">
        <f>IF($A812="","",[1]!thsiFinD("ths_adjustment_nv_fund",M$3,$A812))</f>
        <v/>
      </c>
      <c r="N812" s="13" t="str">
        <f>IF($A812="","",[1]!thsiFinD("ths_adjustment_nv_fund",N$3,$A812))</f>
        <v/>
      </c>
      <c r="O812" s="13" t="str">
        <f>IF($A812="","",[1]!thsiFinD("ths_adjustment_nv_fund",O$3,$A812))</f>
        <v/>
      </c>
      <c r="P812" s="13" t="str">
        <f>IF($A812="","",[1]!thsiFinD("ths_adjustment_nv_fund",P$3,$A812))</f>
        <v/>
      </c>
      <c r="Q812" s="13" t="str">
        <f>IF($A812="","",[1]!thsiFinD("ths_adjustment_nv_fund",Q$3,$A812))</f>
        <v/>
      </c>
      <c r="R812" s="13" t="str">
        <f>IF($A812="","",[1]!thsiFinD("ths_adjustment_nv_fund",R$3,$A812))</f>
        <v/>
      </c>
      <c r="S812" s="13" t="str">
        <f>IF($A812="","",[1]!thsiFinD("ths_adjustment_nv_fund",S$3,$A812))</f>
        <v/>
      </c>
      <c r="T812" s="13" t="str">
        <f>IF($A812="","",[1]!thsiFinD("ths_adjustment_nv_fund",T$3,$A812))</f>
        <v/>
      </c>
      <c r="U812" s="13" t="str">
        <f>IF($A812="","",[1]!thsiFinD("ths_adjustment_nv_fund",U$3,$A812))</f>
        <v/>
      </c>
      <c r="V812" s="13" t="str">
        <f>IF($A812="","",[1]!thsiFinD("ths_adjustment_nv_fund",V$3,$A812))</f>
        <v/>
      </c>
      <c r="W812" s="13" t="str">
        <f>IF($A812="","",[1]!thsiFinD("ths_adjustment_nv_fund",W$3,$A812))</f>
        <v/>
      </c>
      <c r="X812" s="13" t="str">
        <f>IF($A812="","",[1]!thsiFinD("ths_adjustment_nv_fund",X$3,$A812))</f>
        <v/>
      </c>
      <c r="Y812" s="13" t="str">
        <f>IF($A812="","",[1]!thsiFinD("ths_adjustment_nv_fund",Y$3,$A812))</f>
        <v/>
      </c>
      <c r="Z812" s="13" t="str">
        <f>IF($A812="","",[1]!thsiFinD("ths_adjustment_nv_fund",Z$3,$A812))</f>
        <v/>
      </c>
      <c r="AA812" s="13" t="str">
        <f>IF($A812="","",[1]!thsiFinD("ths_adjustment_nv_fund",AA$3,$A812))</f>
        <v/>
      </c>
      <c r="AB812" s="13" t="str">
        <f>IF($A812="","",[1]!thsiFinD("ths_adjustment_nv_fund",AB$3,$A812))</f>
        <v/>
      </c>
    </row>
    <row r="813" spans="2:28">
      <c r="B813" s="13" t="str">
        <f>IF($A813="","",[1]!thsiFinD("ths_adjustment_nv_fund",B$3,$A813))</f>
        <v/>
      </c>
      <c r="C813" s="13" t="str">
        <f>IF($A813="","",[1]!thsiFinD("ths_adjustment_nv_fund",C$3,$A813))</f>
        <v/>
      </c>
      <c r="D813" s="13" t="str">
        <f>IF($A813="","",[1]!thsiFinD("ths_adjustment_nv_fund",D$3,$A813))</f>
        <v/>
      </c>
      <c r="E813" s="13" t="str">
        <f>IF($A813="","",[1]!thsiFinD("ths_adjustment_nv_fund",E$3,$A813))</f>
        <v/>
      </c>
      <c r="F813" s="13" t="str">
        <f>IF($A813="","",[1]!thsiFinD("ths_adjustment_nv_fund",F$3,$A813))</f>
        <v/>
      </c>
      <c r="G813" s="13" t="str">
        <f>IF($A813="","",[1]!thsiFinD("ths_adjustment_nv_fund",G$3,$A813))</f>
        <v/>
      </c>
      <c r="H813" s="13" t="str">
        <f>IF($A813="","",[1]!thsiFinD("ths_adjustment_nv_fund",H$3,$A813))</f>
        <v/>
      </c>
      <c r="I813" s="13" t="str">
        <f>IF($A813="","",[1]!thsiFinD("ths_adjustment_nv_fund",I$3,$A813))</f>
        <v/>
      </c>
      <c r="J813" s="13" t="str">
        <f>IF($A813="","",[1]!thsiFinD("ths_adjustment_nv_fund",J$3,$A813))</f>
        <v/>
      </c>
      <c r="K813" s="13" t="str">
        <f>IF($A813="","",[1]!thsiFinD("ths_adjustment_nv_fund",K$3,$A813))</f>
        <v/>
      </c>
      <c r="L813" s="13" t="str">
        <f>IF($A813="","",[1]!thsiFinD("ths_adjustment_nv_fund",L$3,$A813))</f>
        <v/>
      </c>
      <c r="M813" s="13" t="str">
        <f>IF($A813="","",[1]!thsiFinD("ths_adjustment_nv_fund",M$3,$A813))</f>
        <v/>
      </c>
      <c r="N813" s="13" t="str">
        <f>IF($A813="","",[1]!thsiFinD("ths_adjustment_nv_fund",N$3,$A813))</f>
        <v/>
      </c>
      <c r="O813" s="13" t="str">
        <f>IF($A813="","",[1]!thsiFinD("ths_adjustment_nv_fund",O$3,$A813))</f>
        <v/>
      </c>
      <c r="P813" s="13" t="str">
        <f>IF($A813="","",[1]!thsiFinD("ths_adjustment_nv_fund",P$3,$A813))</f>
        <v/>
      </c>
      <c r="Q813" s="13" t="str">
        <f>IF($A813="","",[1]!thsiFinD("ths_adjustment_nv_fund",Q$3,$A813))</f>
        <v/>
      </c>
      <c r="R813" s="13" t="str">
        <f>IF($A813="","",[1]!thsiFinD("ths_adjustment_nv_fund",R$3,$A813))</f>
        <v/>
      </c>
      <c r="S813" s="13" t="str">
        <f>IF($A813="","",[1]!thsiFinD("ths_adjustment_nv_fund",S$3,$A813))</f>
        <v/>
      </c>
      <c r="T813" s="13" t="str">
        <f>IF($A813="","",[1]!thsiFinD("ths_adjustment_nv_fund",T$3,$A813))</f>
        <v/>
      </c>
      <c r="U813" s="13" t="str">
        <f>IF($A813="","",[1]!thsiFinD("ths_adjustment_nv_fund",U$3,$A813))</f>
        <v/>
      </c>
      <c r="V813" s="13" t="str">
        <f>IF($A813="","",[1]!thsiFinD("ths_adjustment_nv_fund",V$3,$A813))</f>
        <v/>
      </c>
      <c r="W813" s="13" t="str">
        <f>IF($A813="","",[1]!thsiFinD("ths_adjustment_nv_fund",W$3,$A813))</f>
        <v/>
      </c>
      <c r="X813" s="13" t="str">
        <f>IF($A813="","",[1]!thsiFinD("ths_adjustment_nv_fund",X$3,$A813))</f>
        <v/>
      </c>
      <c r="Y813" s="13" t="str">
        <f>IF($A813="","",[1]!thsiFinD("ths_adjustment_nv_fund",Y$3,$A813))</f>
        <v/>
      </c>
      <c r="Z813" s="13" t="str">
        <f>IF($A813="","",[1]!thsiFinD("ths_adjustment_nv_fund",Z$3,$A813))</f>
        <v/>
      </c>
      <c r="AA813" s="13" t="str">
        <f>IF($A813="","",[1]!thsiFinD("ths_adjustment_nv_fund",AA$3,$A813))</f>
        <v/>
      </c>
      <c r="AB813" s="13" t="str">
        <f>IF($A813="","",[1]!thsiFinD("ths_adjustment_nv_fund",AB$3,$A813))</f>
        <v/>
      </c>
    </row>
    <row r="814" spans="2:28">
      <c r="B814" s="13" t="str">
        <f>IF($A814="","",[1]!thsiFinD("ths_adjustment_nv_fund",B$3,$A814))</f>
        <v/>
      </c>
      <c r="C814" s="13" t="str">
        <f>IF($A814="","",[1]!thsiFinD("ths_adjustment_nv_fund",C$3,$A814))</f>
        <v/>
      </c>
      <c r="D814" s="13" t="str">
        <f>IF($A814="","",[1]!thsiFinD("ths_adjustment_nv_fund",D$3,$A814))</f>
        <v/>
      </c>
      <c r="E814" s="13" t="str">
        <f>IF($A814="","",[1]!thsiFinD("ths_adjustment_nv_fund",E$3,$A814))</f>
        <v/>
      </c>
      <c r="F814" s="13" t="str">
        <f>IF($A814="","",[1]!thsiFinD("ths_adjustment_nv_fund",F$3,$A814))</f>
        <v/>
      </c>
      <c r="G814" s="13" t="str">
        <f>IF($A814="","",[1]!thsiFinD("ths_adjustment_nv_fund",G$3,$A814))</f>
        <v/>
      </c>
      <c r="H814" s="13" t="str">
        <f>IF($A814="","",[1]!thsiFinD("ths_adjustment_nv_fund",H$3,$A814))</f>
        <v/>
      </c>
      <c r="I814" s="13" t="str">
        <f>IF($A814="","",[1]!thsiFinD("ths_adjustment_nv_fund",I$3,$A814))</f>
        <v/>
      </c>
      <c r="J814" s="13" t="str">
        <f>IF($A814="","",[1]!thsiFinD("ths_adjustment_nv_fund",J$3,$A814))</f>
        <v/>
      </c>
      <c r="K814" s="13" t="str">
        <f>IF($A814="","",[1]!thsiFinD("ths_adjustment_nv_fund",K$3,$A814))</f>
        <v/>
      </c>
      <c r="L814" s="13" t="str">
        <f>IF($A814="","",[1]!thsiFinD("ths_adjustment_nv_fund",L$3,$A814))</f>
        <v/>
      </c>
      <c r="M814" s="13" t="str">
        <f>IF($A814="","",[1]!thsiFinD("ths_adjustment_nv_fund",M$3,$A814))</f>
        <v/>
      </c>
      <c r="N814" s="13" t="str">
        <f>IF($A814="","",[1]!thsiFinD("ths_adjustment_nv_fund",N$3,$A814))</f>
        <v/>
      </c>
      <c r="O814" s="13" t="str">
        <f>IF($A814="","",[1]!thsiFinD("ths_adjustment_nv_fund",O$3,$A814))</f>
        <v/>
      </c>
      <c r="P814" s="13" t="str">
        <f>IF($A814="","",[1]!thsiFinD("ths_adjustment_nv_fund",P$3,$A814))</f>
        <v/>
      </c>
      <c r="Q814" s="13" t="str">
        <f>IF($A814="","",[1]!thsiFinD("ths_adjustment_nv_fund",Q$3,$A814))</f>
        <v/>
      </c>
      <c r="R814" s="13" t="str">
        <f>IF($A814="","",[1]!thsiFinD("ths_adjustment_nv_fund",R$3,$A814))</f>
        <v/>
      </c>
      <c r="S814" s="13" t="str">
        <f>IF($A814="","",[1]!thsiFinD("ths_adjustment_nv_fund",S$3,$A814))</f>
        <v/>
      </c>
      <c r="T814" s="13" t="str">
        <f>IF($A814="","",[1]!thsiFinD("ths_adjustment_nv_fund",T$3,$A814))</f>
        <v/>
      </c>
      <c r="U814" s="13" t="str">
        <f>IF($A814="","",[1]!thsiFinD("ths_adjustment_nv_fund",U$3,$A814))</f>
        <v/>
      </c>
      <c r="V814" s="13" t="str">
        <f>IF($A814="","",[1]!thsiFinD("ths_adjustment_nv_fund",V$3,$A814))</f>
        <v/>
      </c>
      <c r="W814" s="13" t="str">
        <f>IF($A814="","",[1]!thsiFinD("ths_adjustment_nv_fund",W$3,$A814))</f>
        <v/>
      </c>
      <c r="X814" s="13" t="str">
        <f>IF($A814="","",[1]!thsiFinD("ths_adjustment_nv_fund",X$3,$A814))</f>
        <v/>
      </c>
      <c r="Y814" s="13" t="str">
        <f>IF($A814="","",[1]!thsiFinD("ths_adjustment_nv_fund",Y$3,$A814))</f>
        <v/>
      </c>
      <c r="Z814" s="13" t="str">
        <f>IF($A814="","",[1]!thsiFinD("ths_adjustment_nv_fund",Z$3,$A814))</f>
        <v/>
      </c>
      <c r="AA814" s="13" t="str">
        <f>IF($A814="","",[1]!thsiFinD("ths_adjustment_nv_fund",AA$3,$A814))</f>
        <v/>
      </c>
      <c r="AB814" s="13" t="str">
        <f>IF($A814="","",[1]!thsiFinD("ths_adjustment_nv_fund",AB$3,$A814))</f>
        <v/>
      </c>
    </row>
    <row r="815" spans="2:28">
      <c r="B815" s="13" t="str">
        <f>IF($A815="","",[1]!thsiFinD("ths_adjustment_nv_fund",B$3,$A815))</f>
        <v/>
      </c>
      <c r="C815" s="13" t="str">
        <f>IF($A815="","",[1]!thsiFinD("ths_adjustment_nv_fund",C$3,$A815))</f>
        <v/>
      </c>
      <c r="D815" s="13" t="str">
        <f>IF($A815="","",[1]!thsiFinD("ths_adjustment_nv_fund",D$3,$A815))</f>
        <v/>
      </c>
      <c r="E815" s="13" t="str">
        <f>IF($A815="","",[1]!thsiFinD("ths_adjustment_nv_fund",E$3,$A815))</f>
        <v/>
      </c>
      <c r="F815" s="13" t="str">
        <f>IF($A815="","",[1]!thsiFinD("ths_adjustment_nv_fund",F$3,$A815))</f>
        <v/>
      </c>
      <c r="G815" s="13" t="str">
        <f>IF($A815="","",[1]!thsiFinD("ths_adjustment_nv_fund",G$3,$A815))</f>
        <v/>
      </c>
      <c r="H815" s="13" t="str">
        <f>IF($A815="","",[1]!thsiFinD("ths_adjustment_nv_fund",H$3,$A815))</f>
        <v/>
      </c>
      <c r="I815" s="13" t="str">
        <f>IF($A815="","",[1]!thsiFinD("ths_adjustment_nv_fund",I$3,$A815))</f>
        <v/>
      </c>
      <c r="J815" s="13" t="str">
        <f>IF($A815="","",[1]!thsiFinD("ths_adjustment_nv_fund",J$3,$A815))</f>
        <v/>
      </c>
      <c r="K815" s="13" t="str">
        <f>IF($A815="","",[1]!thsiFinD("ths_adjustment_nv_fund",K$3,$A815))</f>
        <v/>
      </c>
      <c r="L815" s="13" t="str">
        <f>IF($A815="","",[1]!thsiFinD("ths_adjustment_nv_fund",L$3,$A815))</f>
        <v/>
      </c>
      <c r="M815" s="13" t="str">
        <f>IF($A815="","",[1]!thsiFinD("ths_adjustment_nv_fund",M$3,$A815))</f>
        <v/>
      </c>
      <c r="N815" s="13" t="str">
        <f>IF($A815="","",[1]!thsiFinD("ths_adjustment_nv_fund",N$3,$A815))</f>
        <v/>
      </c>
      <c r="O815" s="13" t="str">
        <f>IF($A815="","",[1]!thsiFinD("ths_adjustment_nv_fund",O$3,$A815))</f>
        <v/>
      </c>
      <c r="P815" s="13" t="str">
        <f>IF($A815="","",[1]!thsiFinD("ths_adjustment_nv_fund",P$3,$A815))</f>
        <v/>
      </c>
      <c r="Q815" s="13" t="str">
        <f>IF($A815="","",[1]!thsiFinD("ths_adjustment_nv_fund",Q$3,$A815))</f>
        <v/>
      </c>
      <c r="R815" s="13" t="str">
        <f>IF($A815="","",[1]!thsiFinD("ths_adjustment_nv_fund",R$3,$A815))</f>
        <v/>
      </c>
      <c r="S815" s="13" t="str">
        <f>IF($A815="","",[1]!thsiFinD("ths_adjustment_nv_fund",S$3,$A815))</f>
        <v/>
      </c>
      <c r="T815" s="13" t="str">
        <f>IF($A815="","",[1]!thsiFinD("ths_adjustment_nv_fund",T$3,$A815))</f>
        <v/>
      </c>
      <c r="U815" s="13" t="str">
        <f>IF($A815="","",[1]!thsiFinD("ths_adjustment_nv_fund",U$3,$A815))</f>
        <v/>
      </c>
      <c r="V815" s="13" t="str">
        <f>IF($A815="","",[1]!thsiFinD("ths_adjustment_nv_fund",V$3,$A815))</f>
        <v/>
      </c>
      <c r="W815" s="13" t="str">
        <f>IF($A815="","",[1]!thsiFinD("ths_adjustment_nv_fund",W$3,$A815))</f>
        <v/>
      </c>
      <c r="X815" s="13" t="str">
        <f>IF($A815="","",[1]!thsiFinD("ths_adjustment_nv_fund",X$3,$A815))</f>
        <v/>
      </c>
      <c r="Y815" s="13" t="str">
        <f>IF($A815="","",[1]!thsiFinD("ths_adjustment_nv_fund",Y$3,$A815))</f>
        <v/>
      </c>
      <c r="Z815" s="13" t="str">
        <f>IF($A815="","",[1]!thsiFinD("ths_adjustment_nv_fund",Z$3,$A815))</f>
        <v/>
      </c>
      <c r="AA815" s="13" t="str">
        <f>IF($A815="","",[1]!thsiFinD("ths_adjustment_nv_fund",AA$3,$A815))</f>
        <v/>
      </c>
      <c r="AB815" s="13" t="str">
        <f>IF($A815="","",[1]!thsiFinD("ths_adjustment_nv_fund",AB$3,$A815))</f>
        <v/>
      </c>
    </row>
    <row r="816" spans="2:28">
      <c r="B816" s="13" t="str">
        <f>IF($A816="","",[1]!thsiFinD("ths_adjustment_nv_fund",B$3,$A816))</f>
        <v/>
      </c>
      <c r="C816" s="13" t="str">
        <f>IF($A816="","",[1]!thsiFinD("ths_adjustment_nv_fund",C$3,$A816))</f>
        <v/>
      </c>
      <c r="D816" s="13" t="str">
        <f>IF($A816="","",[1]!thsiFinD("ths_adjustment_nv_fund",D$3,$A816))</f>
        <v/>
      </c>
      <c r="E816" s="13" t="str">
        <f>IF($A816="","",[1]!thsiFinD("ths_adjustment_nv_fund",E$3,$A816))</f>
        <v/>
      </c>
      <c r="F816" s="13" t="str">
        <f>IF($A816="","",[1]!thsiFinD("ths_adjustment_nv_fund",F$3,$A816))</f>
        <v/>
      </c>
      <c r="G816" s="13" t="str">
        <f>IF($A816="","",[1]!thsiFinD("ths_adjustment_nv_fund",G$3,$A816))</f>
        <v/>
      </c>
      <c r="H816" s="13" t="str">
        <f>IF($A816="","",[1]!thsiFinD("ths_adjustment_nv_fund",H$3,$A816))</f>
        <v/>
      </c>
      <c r="I816" s="13" t="str">
        <f>IF($A816="","",[1]!thsiFinD("ths_adjustment_nv_fund",I$3,$A816))</f>
        <v/>
      </c>
      <c r="J816" s="13" t="str">
        <f>IF($A816="","",[1]!thsiFinD("ths_adjustment_nv_fund",J$3,$A816))</f>
        <v/>
      </c>
      <c r="K816" s="13" t="str">
        <f>IF($A816="","",[1]!thsiFinD("ths_adjustment_nv_fund",K$3,$A816))</f>
        <v/>
      </c>
      <c r="L816" s="13" t="str">
        <f>IF($A816="","",[1]!thsiFinD("ths_adjustment_nv_fund",L$3,$A816))</f>
        <v/>
      </c>
      <c r="M816" s="13" t="str">
        <f>IF($A816="","",[1]!thsiFinD("ths_adjustment_nv_fund",M$3,$A816))</f>
        <v/>
      </c>
      <c r="N816" s="13" t="str">
        <f>IF($A816="","",[1]!thsiFinD("ths_adjustment_nv_fund",N$3,$A816))</f>
        <v/>
      </c>
      <c r="O816" s="13" t="str">
        <f>IF($A816="","",[1]!thsiFinD("ths_adjustment_nv_fund",O$3,$A816))</f>
        <v/>
      </c>
      <c r="P816" s="13" t="str">
        <f>IF($A816="","",[1]!thsiFinD("ths_adjustment_nv_fund",P$3,$A816))</f>
        <v/>
      </c>
      <c r="Q816" s="13" t="str">
        <f>IF($A816="","",[1]!thsiFinD("ths_adjustment_nv_fund",Q$3,$A816))</f>
        <v/>
      </c>
      <c r="R816" s="13" t="str">
        <f>IF($A816="","",[1]!thsiFinD("ths_adjustment_nv_fund",R$3,$A816))</f>
        <v/>
      </c>
      <c r="S816" s="13" t="str">
        <f>IF($A816="","",[1]!thsiFinD("ths_adjustment_nv_fund",S$3,$A816))</f>
        <v/>
      </c>
      <c r="T816" s="13" t="str">
        <f>IF($A816="","",[1]!thsiFinD("ths_adjustment_nv_fund",T$3,$A816))</f>
        <v/>
      </c>
      <c r="U816" s="13" t="str">
        <f>IF($A816="","",[1]!thsiFinD("ths_adjustment_nv_fund",U$3,$A816))</f>
        <v/>
      </c>
      <c r="V816" s="13" t="str">
        <f>IF($A816="","",[1]!thsiFinD("ths_adjustment_nv_fund",V$3,$A816))</f>
        <v/>
      </c>
      <c r="W816" s="13" t="str">
        <f>IF($A816="","",[1]!thsiFinD("ths_adjustment_nv_fund",W$3,$A816))</f>
        <v/>
      </c>
      <c r="X816" s="13" t="str">
        <f>IF($A816="","",[1]!thsiFinD("ths_adjustment_nv_fund",X$3,$A816))</f>
        <v/>
      </c>
      <c r="Y816" s="13" t="str">
        <f>IF($A816="","",[1]!thsiFinD("ths_adjustment_nv_fund",Y$3,$A816))</f>
        <v/>
      </c>
      <c r="Z816" s="13" t="str">
        <f>IF($A816="","",[1]!thsiFinD("ths_adjustment_nv_fund",Z$3,$A816))</f>
        <v/>
      </c>
      <c r="AA816" s="13" t="str">
        <f>IF($A816="","",[1]!thsiFinD("ths_adjustment_nv_fund",AA$3,$A816))</f>
        <v/>
      </c>
      <c r="AB816" s="13" t="str">
        <f>IF($A816="","",[1]!thsiFinD("ths_adjustment_nv_fund",AB$3,$A816))</f>
        <v/>
      </c>
    </row>
    <row r="817" spans="2:28">
      <c r="B817" s="13" t="str">
        <f>IF($A817="","",[1]!thsiFinD("ths_adjustment_nv_fund",B$3,$A817))</f>
        <v/>
      </c>
      <c r="C817" s="13" t="str">
        <f>IF($A817="","",[1]!thsiFinD("ths_adjustment_nv_fund",C$3,$A817))</f>
        <v/>
      </c>
      <c r="D817" s="13" t="str">
        <f>IF($A817="","",[1]!thsiFinD("ths_adjustment_nv_fund",D$3,$A817))</f>
        <v/>
      </c>
      <c r="E817" s="13" t="str">
        <f>IF($A817="","",[1]!thsiFinD("ths_adjustment_nv_fund",E$3,$A817))</f>
        <v/>
      </c>
      <c r="F817" s="13" t="str">
        <f>IF($A817="","",[1]!thsiFinD("ths_adjustment_nv_fund",F$3,$A817))</f>
        <v/>
      </c>
      <c r="G817" s="13" t="str">
        <f>IF($A817="","",[1]!thsiFinD("ths_adjustment_nv_fund",G$3,$A817))</f>
        <v/>
      </c>
      <c r="H817" s="13" t="str">
        <f>IF($A817="","",[1]!thsiFinD("ths_adjustment_nv_fund",H$3,$A817))</f>
        <v/>
      </c>
      <c r="I817" s="13" t="str">
        <f>IF($A817="","",[1]!thsiFinD("ths_adjustment_nv_fund",I$3,$A817))</f>
        <v/>
      </c>
      <c r="J817" s="13" t="str">
        <f>IF($A817="","",[1]!thsiFinD("ths_adjustment_nv_fund",J$3,$A817))</f>
        <v/>
      </c>
      <c r="K817" s="13" t="str">
        <f>IF($A817="","",[1]!thsiFinD("ths_adjustment_nv_fund",K$3,$A817))</f>
        <v/>
      </c>
      <c r="L817" s="13" t="str">
        <f>IF($A817="","",[1]!thsiFinD("ths_adjustment_nv_fund",L$3,$A817))</f>
        <v/>
      </c>
      <c r="M817" s="13" t="str">
        <f>IF($A817="","",[1]!thsiFinD("ths_adjustment_nv_fund",M$3,$A817))</f>
        <v/>
      </c>
      <c r="N817" s="13" t="str">
        <f>IF($A817="","",[1]!thsiFinD("ths_adjustment_nv_fund",N$3,$A817))</f>
        <v/>
      </c>
      <c r="O817" s="13" t="str">
        <f>IF($A817="","",[1]!thsiFinD("ths_adjustment_nv_fund",O$3,$A817))</f>
        <v/>
      </c>
      <c r="P817" s="13" t="str">
        <f>IF($A817="","",[1]!thsiFinD("ths_adjustment_nv_fund",P$3,$A817))</f>
        <v/>
      </c>
      <c r="Q817" s="13" t="str">
        <f>IF($A817="","",[1]!thsiFinD("ths_adjustment_nv_fund",Q$3,$A817))</f>
        <v/>
      </c>
      <c r="R817" s="13" t="str">
        <f>IF($A817="","",[1]!thsiFinD("ths_adjustment_nv_fund",R$3,$A817))</f>
        <v/>
      </c>
      <c r="S817" s="13" t="str">
        <f>IF($A817="","",[1]!thsiFinD("ths_adjustment_nv_fund",S$3,$A817))</f>
        <v/>
      </c>
      <c r="T817" s="13" t="str">
        <f>IF($A817="","",[1]!thsiFinD("ths_adjustment_nv_fund",T$3,$A817))</f>
        <v/>
      </c>
      <c r="U817" s="13" t="str">
        <f>IF($A817="","",[1]!thsiFinD("ths_adjustment_nv_fund",U$3,$A817))</f>
        <v/>
      </c>
      <c r="V817" s="13" t="str">
        <f>IF($A817="","",[1]!thsiFinD("ths_adjustment_nv_fund",V$3,$A817))</f>
        <v/>
      </c>
      <c r="W817" s="13" t="str">
        <f>IF($A817="","",[1]!thsiFinD("ths_adjustment_nv_fund",W$3,$A817))</f>
        <v/>
      </c>
      <c r="X817" s="13" t="str">
        <f>IF($A817="","",[1]!thsiFinD("ths_adjustment_nv_fund",X$3,$A817))</f>
        <v/>
      </c>
      <c r="Y817" s="13" t="str">
        <f>IF($A817="","",[1]!thsiFinD("ths_adjustment_nv_fund",Y$3,$A817))</f>
        <v/>
      </c>
      <c r="Z817" s="13" t="str">
        <f>IF($A817="","",[1]!thsiFinD("ths_adjustment_nv_fund",Z$3,$A817))</f>
        <v/>
      </c>
      <c r="AA817" s="13" t="str">
        <f>IF($A817="","",[1]!thsiFinD("ths_adjustment_nv_fund",AA$3,$A817))</f>
        <v/>
      </c>
      <c r="AB817" s="13" t="str">
        <f>IF($A817="","",[1]!thsiFinD("ths_adjustment_nv_fund",AB$3,$A817))</f>
        <v/>
      </c>
    </row>
    <row r="818" spans="2:28">
      <c r="B818" s="13" t="str">
        <f>IF($A818="","",[1]!thsiFinD("ths_adjustment_nv_fund",B$3,$A818))</f>
        <v/>
      </c>
      <c r="C818" s="13" t="str">
        <f>IF($A818="","",[1]!thsiFinD("ths_adjustment_nv_fund",C$3,$A818))</f>
        <v/>
      </c>
      <c r="D818" s="13" t="str">
        <f>IF($A818="","",[1]!thsiFinD("ths_adjustment_nv_fund",D$3,$A818))</f>
        <v/>
      </c>
      <c r="E818" s="13" t="str">
        <f>IF($A818="","",[1]!thsiFinD("ths_adjustment_nv_fund",E$3,$A818))</f>
        <v/>
      </c>
      <c r="F818" s="13" t="str">
        <f>IF($A818="","",[1]!thsiFinD("ths_adjustment_nv_fund",F$3,$A818))</f>
        <v/>
      </c>
      <c r="G818" s="13" t="str">
        <f>IF($A818="","",[1]!thsiFinD("ths_adjustment_nv_fund",G$3,$A818))</f>
        <v/>
      </c>
      <c r="H818" s="13" t="str">
        <f>IF($A818="","",[1]!thsiFinD("ths_adjustment_nv_fund",H$3,$A818))</f>
        <v/>
      </c>
      <c r="I818" s="13" t="str">
        <f>IF($A818="","",[1]!thsiFinD("ths_adjustment_nv_fund",I$3,$A818))</f>
        <v/>
      </c>
      <c r="J818" s="13" t="str">
        <f>IF($A818="","",[1]!thsiFinD("ths_adjustment_nv_fund",J$3,$A818))</f>
        <v/>
      </c>
      <c r="K818" s="13" t="str">
        <f>IF($A818="","",[1]!thsiFinD("ths_adjustment_nv_fund",K$3,$A818))</f>
        <v/>
      </c>
      <c r="L818" s="13" t="str">
        <f>IF($A818="","",[1]!thsiFinD("ths_adjustment_nv_fund",L$3,$A818))</f>
        <v/>
      </c>
      <c r="M818" s="13" t="str">
        <f>IF($A818="","",[1]!thsiFinD("ths_adjustment_nv_fund",M$3,$A818))</f>
        <v/>
      </c>
      <c r="N818" s="13" t="str">
        <f>IF($A818="","",[1]!thsiFinD("ths_adjustment_nv_fund",N$3,$A818))</f>
        <v/>
      </c>
      <c r="O818" s="13" t="str">
        <f>IF($A818="","",[1]!thsiFinD("ths_adjustment_nv_fund",O$3,$A818))</f>
        <v/>
      </c>
      <c r="P818" s="13" t="str">
        <f>IF($A818="","",[1]!thsiFinD("ths_adjustment_nv_fund",P$3,$A818))</f>
        <v/>
      </c>
      <c r="Q818" s="13" t="str">
        <f>IF($A818="","",[1]!thsiFinD("ths_adjustment_nv_fund",Q$3,$A818))</f>
        <v/>
      </c>
      <c r="R818" s="13" t="str">
        <f>IF($A818="","",[1]!thsiFinD("ths_adjustment_nv_fund",R$3,$A818))</f>
        <v/>
      </c>
      <c r="S818" s="13" t="str">
        <f>IF($A818="","",[1]!thsiFinD("ths_adjustment_nv_fund",S$3,$A818))</f>
        <v/>
      </c>
      <c r="T818" s="13" t="str">
        <f>IF($A818="","",[1]!thsiFinD("ths_adjustment_nv_fund",T$3,$A818))</f>
        <v/>
      </c>
      <c r="U818" s="13" t="str">
        <f>IF($A818="","",[1]!thsiFinD("ths_adjustment_nv_fund",U$3,$A818))</f>
        <v/>
      </c>
      <c r="V818" s="13" t="str">
        <f>IF($A818="","",[1]!thsiFinD("ths_adjustment_nv_fund",V$3,$A818))</f>
        <v/>
      </c>
      <c r="W818" s="13" t="str">
        <f>IF($A818="","",[1]!thsiFinD("ths_adjustment_nv_fund",W$3,$A818))</f>
        <v/>
      </c>
      <c r="X818" s="13" t="str">
        <f>IF($A818="","",[1]!thsiFinD("ths_adjustment_nv_fund",X$3,$A818))</f>
        <v/>
      </c>
      <c r="Y818" s="13" t="str">
        <f>IF($A818="","",[1]!thsiFinD("ths_adjustment_nv_fund",Y$3,$A818))</f>
        <v/>
      </c>
      <c r="Z818" s="13" t="str">
        <f>IF($A818="","",[1]!thsiFinD("ths_adjustment_nv_fund",Z$3,$A818))</f>
        <v/>
      </c>
      <c r="AA818" s="13" t="str">
        <f>IF($A818="","",[1]!thsiFinD("ths_adjustment_nv_fund",AA$3,$A818))</f>
        <v/>
      </c>
      <c r="AB818" s="13" t="str">
        <f>IF($A818="","",[1]!thsiFinD("ths_adjustment_nv_fund",AB$3,$A818))</f>
        <v/>
      </c>
    </row>
    <row r="819" spans="2:28">
      <c r="B819" s="13" t="str">
        <f>IF($A819="","",[1]!thsiFinD("ths_adjustment_nv_fund",B$3,$A819))</f>
        <v/>
      </c>
      <c r="C819" s="13" t="str">
        <f>IF($A819="","",[1]!thsiFinD("ths_adjustment_nv_fund",C$3,$A819))</f>
        <v/>
      </c>
      <c r="D819" s="13" t="str">
        <f>IF($A819="","",[1]!thsiFinD("ths_adjustment_nv_fund",D$3,$A819))</f>
        <v/>
      </c>
      <c r="E819" s="13" t="str">
        <f>IF($A819="","",[1]!thsiFinD("ths_adjustment_nv_fund",E$3,$A819))</f>
        <v/>
      </c>
      <c r="F819" s="13" t="str">
        <f>IF($A819="","",[1]!thsiFinD("ths_adjustment_nv_fund",F$3,$A819))</f>
        <v/>
      </c>
      <c r="G819" s="13" t="str">
        <f>IF($A819="","",[1]!thsiFinD("ths_adjustment_nv_fund",G$3,$A819))</f>
        <v/>
      </c>
      <c r="H819" s="13" t="str">
        <f>IF($A819="","",[1]!thsiFinD("ths_adjustment_nv_fund",H$3,$A819))</f>
        <v/>
      </c>
      <c r="I819" s="13" t="str">
        <f>IF($A819="","",[1]!thsiFinD("ths_adjustment_nv_fund",I$3,$A819))</f>
        <v/>
      </c>
      <c r="J819" s="13" t="str">
        <f>IF($A819="","",[1]!thsiFinD("ths_adjustment_nv_fund",J$3,$A819))</f>
        <v/>
      </c>
      <c r="K819" s="13" t="str">
        <f>IF($A819="","",[1]!thsiFinD("ths_adjustment_nv_fund",K$3,$A819))</f>
        <v/>
      </c>
      <c r="L819" s="13" t="str">
        <f>IF($A819="","",[1]!thsiFinD("ths_adjustment_nv_fund",L$3,$A819))</f>
        <v/>
      </c>
      <c r="M819" s="13" t="str">
        <f>IF($A819="","",[1]!thsiFinD("ths_adjustment_nv_fund",M$3,$A819))</f>
        <v/>
      </c>
      <c r="N819" s="13" t="str">
        <f>IF($A819="","",[1]!thsiFinD("ths_adjustment_nv_fund",N$3,$A819))</f>
        <v/>
      </c>
      <c r="O819" s="13" t="str">
        <f>IF($A819="","",[1]!thsiFinD("ths_adjustment_nv_fund",O$3,$A819))</f>
        <v/>
      </c>
      <c r="P819" s="13" t="str">
        <f>IF($A819="","",[1]!thsiFinD("ths_adjustment_nv_fund",P$3,$A819))</f>
        <v/>
      </c>
      <c r="Q819" s="13" t="str">
        <f>IF($A819="","",[1]!thsiFinD("ths_adjustment_nv_fund",Q$3,$A819))</f>
        <v/>
      </c>
      <c r="R819" s="13" t="str">
        <f>IF($A819="","",[1]!thsiFinD("ths_adjustment_nv_fund",R$3,$A819))</f>
        <v/>
      </c>
      <c r="S819" s="13" t="str">
        <f>IF($A819="","",[1]!thsiFinD("ths_adjustment_nv_fund",S$3,$A819))</f>
        <v/>
      </c>
      <c r="T819" s="13" t="str">
        <f>IF($A819="","",[1]!thsiFinD("ths_adjustment_nv_fund",T$3,$A819))</f>
        <v/>
      </c>
      <c r="U819" s="13" t="str">
        <f>IF($A819="","",[1]!thsiFinD("ths_adjustment_nv_fund",U$3,$A819))</f>
        <v/>
      </c>
      <c r="V819" s="13" t="str">
        <f>IF($A819="","",[1]!thsiFinD("ths_adjustment_nv_fund",V$3,$A819))</f>
        <v/>
      </c>
      <c r="W819" s="13" t="str">
        <f>IF($A819="","",[1]!thsiFinD("ths_adjustment_nv_fund",W$3,$A819))</f>
        <v/>
      </c>
      <c r="X819" s="13" t="str">
        <f>IF($A819="","",[1]!thsiFinD("ths_adjustment_nv_fund",X$3,$A819))</f>
        <v/>
      </c>
      <c r="Y819" s="13" t="str">
        <f>IF($A819="","",[1]!thsiFinD("ths_adjustment_nv_fund",Y$3,$A819))</f>
        <v/>
      </c>
      <c r="Z819" s="13" t="str">
        <f>IF($A819="","",[1]!thsiFinD("ths_adjustment_nv_fund",Z$3,$A819))</f>
        <v/>
      </c>
      <c r="AA819" s="13" t="str">
        <f>IF($A819="","",[1]!thsiFinD("ths_adjustment_nv_fund",AA$3,$A819))</f>
        <v/>
      </c>
      <c r="AB819" s="13" t="str">
        <f>IF($A819="","",[1]!thsiFinD("ths_adjustment_nv_fund",AB$3,$A819))</f>
        <v/>
      </c>
    </row>
    <row r="820" spans="2:28">
      <c r="B820" s="13" t="str">
        <f>IF($A820="","",[1]!thsiFinD("ths_adjustment_nv_fund",B$3,$A820))</f>
        <v/>
      </c>
      <c r="C820" s="13" t="str">
        <f>IF($A820="","",[1]!thsiFinD("ths_adjustment_nv_fund",C$3,$A820))</f>
        <v/>
      </c>
      <c r="D820" s="13" t="str">
        <f>IF($A820="","",[1]!thsiFinD("ths_adjustment_nv_fund",D$3,$A820))</f>
        <v/>
      </c>
      <c r="E820" s="13" t="str">
        <f>IF($A820="","",[1]!thsiFinD("ths_adjustment_nv_fund",E$3,$A820))</f>
        <v/>
      </c>
      <c r="F820" s="13" t="str">
        <f>IF($A820="","",[1]!thsiFinD("ths_adjustment_nv_fund",F$3,$A820))</f>
        <v/>
      </c>
      <c r="G820" s="13" t="str">
        <f>IF($A820="","",[1]!thsiFinD("ths_adjustment_nv_fund",G$3,$A820))</f>
        <v/>
      </c>
      <c r="H820" s="13" t="str">
        <f>IF($A820="","",[1]!thsiFinD("ths_adjustment_nv_fund",H$3,$A820))</f>
        <v/>
      </c>
      <c r="I820" s="13" t="str">
        <f>IF($A820="","",[1]!thsiFinD("ths_adjustment_nv_fund",I$3,$A820))</f>
        <v/>
      </c>
      <c r="J820" s="13" t="str">
        <f>IF($A820="","",[1]!thsiFinD("ths_adjustment_nv_fund",J$3,$A820))</f>
        <v/>
      </c>
      <c r="K820" s="13" t="str">
        <f>IF($A820="","",[1]!thsiFinD("ths_adjustment_nv_fund",K$3,$A820))</f>
        <v/>
      </c>
      <c r="L820" s="13" t="str">
        <f>IF($A820="","",[1]!thsiFinD("ths_adjustment_nv_fund",L$3,$A820))</f>
        <v/>
      </c>
      <c r="M820" s="13" t="str">
        <f>IF($A820="","",[1]!thsiFinD("ths_adjustment_nv_fund",M$3,$A820))</f>
        <v/>
      </c>
      <c r="N820" s="13" t="str">
        <f>IF($A820="","",[1]!thsiFinD("ths_adjustment_nv_fund",N$3,$A820))</f>
        <v/>
      </c>
      <c r="O820" s="13" t="str">
        <f>IF($A820="","",[1]!thsiFinD("ths_adjustment_nv_fund",O$3,$A820))</f>
        <v/>
      </c>
      <c r="P820" s="13" t="str">
        <f>IF($A820="","",[1]!thsiFinD("ths_adjustment_nv_fund",P$3,$A820))</f>
        <v/>
      </c>
      <c r="Q820" s="13" t="str">
        <f>IF($A820="","",[1]!thsiFinD("ths_adjustment_nv_fund",Q$3,$A820))</f>
        <v/>
      </c>
      <c r="R820" s="13" t="str">
        <f>IF($A820="","",[1]!thsiFinD("ths_adjustment_nv_fund",R$3,$A820))</f>
        <v/>
      </c>
      <c r="S820" s="13" t="str">
        <f>IF($A820="","",[1]!thsiFinD("ths_adjustment_nv_fund",S$3,$A820))</f>
        <v/>
      </c>
      <c r="T820" s="13" t="str">
        <f>IF($A820="","",[1]!thsiFinD("ths_adjustment_nv_fund",T$3,$A820))</f>
        <v/>
      </c>
      <c r="U820" s="13" t="str">
        <f>IF($A820="","",[1]!thsiFinD("ths_adjustment_nv_fund",U$3,$A820))</f>
        <v/>
      </c>
      <c r="V820" s="13" t="str">
        <f>IF($A820="","",[1]!thsiFinD("ths_adjustment_nv_fund",V$3,$A820))</f>
        <v/>
      </c>
      <c r="W820" s="13" t="str">
        <f>IF($A820="","",[1]!thsiFinD("ths_adjustment_nv_fund",W$3,$A820))</f>
        <v/>
      </c>
      <c r="X820" s="13" t="str">
        <f>IF($A820="","",[1]!thsiFinD("ths_adjustment_nv_fund",X$3,$A820))</f>
        <v/>
      </c>
      <c r="Y820" s="13" t="str">
        <f>IF($A820="","",[1]!thsiFinD("ths_adjustment_nv_fund",Y$3,$A820))</f>
        <v/>
      </c>
      <c r="Z820" s="13" t="str">
        <f>IF($A820="","",[1]!thsiFinD("ths_adjustment_nv_fund",Z$3,$A820))</f>
        <v/>
      </c>
      <c r="AA820" s="13" t="str">
        <f>IF($A820="","",[1]!thsiFinD("ths_adjustment_nv_fund",AA$3,$A820))</f>
        <v/>
      </c>
      <c r="AB820" s="13" t="str">
        <f>IF($A820="","",[1]!thsiFinD("ths_adjustment_nv_fund",AB$3,$A820))</f>
        <v/>
      </c>
    </row>
    <row r="821" spans="2:28">
      <c r="B821" s="13" t="str">
        <f>IF($A821="","",[1]!thsiFinD("ths_adjustment_nv_fund",B$3,$A821))</f>
        <v/>
      </c>
      <c r="C821" s="13" t="str">
        <f>IF($A821="","",[1]!thsiFinD("ths_adjustment_nv_fund",C$3,$A821))</f>
        <v/>
      </c>
      <c r="D821" s="13" t="str">
        <f>IF($A821="","",[1]!thsiFinD("ths_adjustment_nv_fund",D$3,$A821))</f>
        <v/>
      </c>
      <c r="E821" s="13" t="str">
        <f>IF($A821="","",[1]!thsiFinD("ths_adjustment_nv_fund",E$3,$A821))</f>
        <v/>
      </c>
      <c r="F821" s="13" t="str">
        <f>IF($A821="","",[1]!thsiFinD("ths_adjustment_nv_fund",F$3,$A821))</f>
        <v/>
      </c>
      <c r="G821" s="13" t="str">
        <f>IF($A821="","",[1]!thsiFinD("ths_adjustment_nv_fund",G$3,$A821))</f>
        <v/>
      </c>
      <c r="H821" s="13" t="str">
        <f>IF($A821="","",[1]!thsiFinD("ths_adjustment_nv_fund",H$3,$A821))</f>
        <v/>
      </c>
      <c r="I821" s="13" t="str">
        <f>IF($A821="","",[1]!thsiFinD("ths_adjustment_nv_fund",I$3,$A821))</f>
        <v/>
      </c>
      <c r="J821" s="13" t="str">
        <f>IF($A821="","",[1]!thsiFinD("ths_adjustment_nv_fund",J$3,$A821))</f>
        <v/>
      </c>
      <c r="K821" s="13" t="str">
        <f>IF($A821="","",[1]!thsiFinD("ths_adjustment_nv_fund",K$3,$A821))</f>
        <v/>
      </c>
      <c r="L821" s="13" t="str">
        <f>IF($A821="","",[1]!thsiFinD("ths_adjustment_nv_fund",L$3,$A821))</f>
        <v/>
      </c>
      <c r="M821" s="13" t="str">
        <f>IF($A821="","",[1]!thsiFinD("ths_adjustment_nv_fund",M$3,$A821))</f>
        <v/>
      </c>
      <c r="N821" s="13" t="str">
        <f>IF($A821="","",[1]!thsiFinD("ths_adjustment_nv_fund",N$3,$A821))</f>
        <v/>
      </c>
      <c r="O821" s="13" t="str">
        <f>IF($A821="","",[1]!thsiFinD("ths_adjustment_nv_fund",O$3,$A821))</f>
        <v/>
      </c>
      <c r="P821" s="13" t="str">
        <f>IF($A821="","",[1]!thsiFinD("ths_adjustment_nv_fund",P$3,$A821))</f>
        <v/>
      </c>
      <c r="Q821" s="13" t="str">
        <f>IF($A821="","",[1]!thsiFinD("ths_adjustment_nv_fund",Q$3,$A821))</f>
        <v/>
      </c>
      <c r="R821" s="13" t="str">
        <f>IF($A821="","",[1]!thsiFinD("ths_adjustment_nv_fund",R$3,$A821))</f>
        <v/>
      </c>
      <c r="S821" s="13" t="str">
        <f>IF($A821="","",[1]!thsiFinD("ths_adjustment_nv_fund",S$3,$A821))</f>
        <v/>
      </c>
      <c r="T821" s="13" t="str">
        <f>IF($A821="","",[1]!thsiFinD("ths_adjustment_nv_fund",T$3,$A821))</f>
        <v/>
      </c>
      <c r="U821" s="13" t="str">
        <f>IF($A821="","",[1]!thsiFinD("ths_adjustment_nv_fund",U$3,$A821))</f>
        <v/>
      </c>
      <c r="V821" s="13" t="str">
        <f>IF($A821="","",[1]!thsiFinD("ths_adjustment_nv_fund",V$3,$A821))</f>
        <v/>
      </c>
      <c r="W821" s="13" t="str">
        <f>IF($A821="","",[1]!thsiFinD("ths_adjustment_nv_fund",W$3,$A821))</f>
        <v/>
      </c>
      <c r="X821" s="13" t="str">
        <f>IF($A821="","",[1]!thsiFinD("ths_adjustment_nv_fund",X$3,$A821))</f>
        <v/>
      </c>
      <c r="Y821" s="13" t="str">
        <f>IF($A821="","",[1]!thsiFinD("ths_adjustment_nv_fund",Y$3,$A821))</f>
        <v/>
      </c>
      <c r="Z821" s="13" t="str">
        <f>IF($A821="","",[1]!thsiFinD("ths_adjustment_nv_fund",Z$3,$A821))</f>
        <v/>
      </c>
      <c r="AA821" s="13" t="str">
        <f>IF($A821="","",[1]!thsiFinD("ths_adjustment_nv_fund",AA$3,$A821))</f>
        <v/>
      </c>
      <c r="AB821" s="13" t="str">
        <f>IF($A821="","",[1]!thsiFinD("ths_adjustment_nv_fund",AB$3,$A821))</f>
        <v/>
      </c>
    </row>
    <row r="822" spans="2:28">
      <c r="B822" s="13" t="str">
        <f>IF($A822="","",[1]!thsiFinD("ths_adjustment_nv_fund",B$3,$A822))</f>
        <v/>
      </c>
      <c r="C822" s="13" t="str">
        <f>IF($A822="","",[1]!thsiFinD("ths_adjustment_nv_fund",C$3,$A822))</f>
        <v/>
      </c>
      <c r="D822" s="13" t="str">
        <f>IF($A822="","",[1]!thsiFinD("ths_adjustment_nv_fund",D$3,$A822))</f>
        <v/>
      </c>
      <c r="E822" s="13" t="str">
        <f>IF($A822="","",[1]!thsiFinD("ths_adjustment_nv_fund",E$3,$A822))</f>
        <v/>
      </c>
      <c r="F822" s="13" t="str">
        <f>IF($A822="","",[1]!thsiFinD("ths_adjustment_nv_fund",F$3,$A822))</f>
        <v/>
      </c>
      <c r="G822" s="13" t="str">
        <f>IF($A822="","",[1]!thsiFinD("ths_adjustment_nv_fund",G$3,$A822))</f>
        <v/>
      </c>
      <c r="H822" s="13" t="str">
        <f>IF($A822="","",[1]!thsiFinD("ths_adjustment_nv_fund",H$3,$A822))</f>
        <v/>
      </c>
      <c r="I822" s="13" t="str">
        <f>IF($A822="","",[1]!thsiFinD("ths_adjustment_nv_fund",I$3,$A822))</f>
        <v/>
      </c>
      <c r="J822" s="13" t="str">
        <f>IF($A822="","",[1]!thsiFinD("ths_adjustment_nv_fund",J$3,$A822))</f>
        <v/>
      </c>
      <c r="K822" s="13" t="str">
        <f>IF($A822="","",[1]!thsiFinD("ths_adjustment_nv_fund",K$3,$A822))</f>
        <v/>
      </c>
      <c r="L822" s="13" t="str">
        <f>IF($A822="","",[1]!thsiFinD("ths_adjustment_nv_fund",L$3,$A822))</f>
        <v/>
      </c>
      <c r="M822" s="13" t="str">
        <f>IF($A822="","",[1]!thsiFinD("ths_adjustment_nv_fund",M$3,$A822))</f>
        <v/>
      </c>
      <c r="N822" s="13" t="str">
        <f>IF($A822="","",[1]!thsiFinD("ths_adjustment_nv_fund",N$3,$A822))</f>
        <v/>
      </c>
      <c r="O822" s="13" t="str">
        <f>IF($A822="","",[1]!thsiFinD("ths_adjustment_nv_fund",O$3,$A822))</f>
        <v/>
      </c>
      <c r="P822" s="13" t="str">
        <f>IF($A822="","",[1]!thsiFinD("ths_adjustment_nv_fund",P$3,$A822))</f>
        <v/>
      </c>
      <c r="Q822" s="13" t="str">
        <f>IF($A822="","",[1]!thsiFinD("ths_adjustment_nv_fund",Q$3,$A822))</f>
        <v/>
      </c>
      <c r="R822" s="13" t="str">
        <f>IF($A822="","",[1]!thsiFinD("ths_adjustment_nv_fund",R$3,$A822))</f>
        <v/>
      </c>
      <c r="S822" s="13" t="str">
        <f>IF($A822="","",[1]!thsiFinD("ths_adjustment_nv_fund",S$3,$A822))</f>
        <v/>
      </c>
      <c r="T822" s="13" t="str">
        <f>IF($A822="","",[1]!thsiFinD("ths_adjustment_nv_fund",T$3,$A822))</f>
        <v/>
      </c>
      <c r="U822" s="13" t="str">
        <f>IF($A822="","",[1]!thsiFinD("ths_adjustment_nv_fund",U$3,$A822))</f>
        <v/>
      </c>
      <c r="V822" s="13" t="str">
        <f>IF($A822="","",[1]!thsiFinD("ths_adjustment_nv_fund",V$3,$A822))</f>
        <v/>
      </c>
      <c r="W822" s="13" t="str">
        <f>IF($A822="","",[1]!thsiFinD("ths_adjustment_nv_fund",W$3,$A822))</f>
        <v/>
      </c>
      <c r="X822" s="13" t="str">
        <f>IF($A822="","",[1]!thsiFinD("ths_adjustment_nv_fund",X$3,$A822))</f>
        <v/>
      </c>
      <c r="Y822" s="13" t="str">
        <f>IF($A822="","",[1]!thsiFinD("ths_adjustment_nv_fund",Y$3,$A822))</f>
        <v/>
      </c>
      <c r="Z822" s="13" t="str">
        <f>IF($A822="","",[1]!thsiFinD("ths_adjustment_nv_fund",Z$3,$A822))</f>
        <v/>
      </c>
      <c r="AA822" s="13" t="str">
        <f>IF($A822="","",[1]!thsiFinD("ths_adjustment_nv_fund",AA$3,$A822))</f>
        <v/>
      </c>
      <c r="AB822" s="13" t="str">
        <f>IF($A822="","",[1]!thsiFinD("ths_adjustment_nv_fund",AB$3,$A822))</f>
        <v/>
      </c>
    </row>
    <row r="823" spans="2:28">
      <c r="B823" s="13" t="str">
        <f>IF($A823="","",[1]!thsiFinD("ths_adjustment_nv_fund",B$3,$A823))</f>
        <v/>
      </c>
      <c r="C823" s="13" t="str">
        <f>IF($A823="","",[1]!thsiFinD("ths_adjustment_nv_fund",C$3,$A823))</f>
        <v/>
      </c>
      <c r="D823" s="13" t="str">
        <f>IF($A823="","",[1]!thsiFinD("ths_adjustment_nv_fund",D$3,$A823))</f>
        <v/>
      </c>
      <c r="E823" s="13" t="str">
        <f>IF($A823="","",[1]!thsiFinD("ths_adjustment_nv_fund",E$3,$A823))</f>
        <v/>
      </c>
      <c r="F823" s="13" t="str">
        <f>IF($A823="","",[1]!thsiFinD("ths_adjustment_nv_fund",F$3,$A823))</f>
        <v/>
      </c>
      <c r="G823" s="13" t="str">
        <f>IF($A823="","",[1]!thsiFinD("ths_adjustment_nv_fund",G$3,$A823))</f>
        <v/>
      </c>
      <c r="H823" s="13" t="str">
        <f>IF($A823="","",[1]!thsiFinD("ths_adjustment_nv_fund",H$3,$A823))</f>
        <v/>
      </c>
      <c r="I823" s="13" t="str">
        <f>IF($A823="","",[1]!thsiFinD("ths_adjustment_nv_fund",I$3,$A823))</f>
        <v/>
      </c>
      <c r="J823" s="13" t="str">
        <f>IF($A823="","",[1]!thsiFinD("ths_adjustment_nv_fund",J$3,$A823))</f>
        <v/>
      </c>
      <c r="K823" s="13" t="str">
        <f>IF($A823="","",[1]!thsiFinD("ths_adjustment_nv_fund",K$3,$A823))</f>
        <v/>
      </c>
      <c r="L823" s="13" t="str">
        <f>IF($A823="","",[1]!thsiFinD("ths_adjustment_nv_fund",L$3,$A823))</f>
        <v/>
      </c>
      <c r="M823" s="13" t="str">
        <f>IF($A823="","",[1]!thsiFinD("ths_adjustment_nv_fund",M$3,$A823))</f>
        <v/>
      </c>
      <c r="N823" s="13" t="str">
        <f>IF($A823="","",[1]!thsiFinD("ths_adjustment_nv_fund",N$3,$A823))</f>
        <v/>
      </c>
      <c r="O823" s="13" t="str">
        <f>IF($A823="","",[1]!thsiFinD("ths_adjustment_nv_fund",O$3,$A823))</f>
        <v/>
      </c>
      <c r="P823" s="13" t="str">
        <f>IF($A823="","",[1]!thsiFinD("ths_adjustment_nv_fund",P$3,$A823))</f>
        <v/>
      </c>
      <c r="Q823" s="13" t="str">
        <f>IF($A823="","",[1]!thsiFinD("ths_adjustment_nv_fund",Q$3,$A823))</f>
        <v/>
      </c>
      <c r="R823" s="13" t="str">
        <f>IF($A823="","",[1]!thsiFinD("ths_adjustment_nv_fund",R$3,$A823))</f>
        <v/>
      </c>
      <c r="S823" s="13" t="str">
        <f>IF($A823="","",[1]!thsiFinD("ths_adjustment_nv_fund",S$3,$A823))</f>
        <v/>
      </c>
      <c r="T823" s="13" t="str">
        <f>IF($A823="","",[1]!thsiFinD("ths_adjustment_nv_fund",T$3,$A823))</f>
        <v/>
      </c>
      <c r="U823" s="13" t="str">
        <f>IF($A823="","",[1]!thsiFinD("ths_adjustment_nv_fund",U$3,$A823))</f>
        <v/>
      </c>
      <c r="V823" s="13" t="str">
        <f>IF($A823="","",[1]!thsiFinD("ths_adjustment_nv_fund",V$3,$A823))</f>
        <v/>
      </c>
      <c r="W823" s="13" t="str">
        <f>IF($A823="","",[1]!thsiFinD("ths_adjustment_nv_fund",W$3,$A823))</f>
        <v/>
      </c>
      <c r="X823" s="13" t="str">
        <f>IF($A823="","",[1]!thsiFinD("ths_adjustment_nv_fund",X$3,$A823))</f>
        <v/>
      </c>
      <c r="Y823" s="13" t="str">
        <f>IF($A823="","",[1]!thsiFinD("ths_adjustment_nv_fund",Y$3,$A823))</f>
        <v/>
      </c>
      <c r="Z823" s="13" t="str">
        <f>IF($A823="","",[1]!thsiFinD("ths_adjustment_nv_fund",Z$3,$A823))</f>
        <v/>
      </c>
      <c r="AA823" s="13" t="str">
        <f>IF($A823="","",[1]!thsiFinD("ths_adjustment_nv_fund",AA$3,$A823))</f>
        <v/>
      </c>
      <c r="AB823" s="13" t="str">
        <f>IF($A823="","",[1]!thsiFinD("ths_adjustment_nv_fund",AB$3,$A823))</f>
        <v/>
      </c>
    </row>
    <row r="824" spans="2:28">
      <c r="B824" s="13" t="str">
        <f>IF($A824="","",[1]!thsiFinD("ths_adjustment_nv_fund",B$3,$A824))</f>
        <v/>
      </c>
      <c r="C824" s="13" t="str">
        <f>IF($A824="","",[1]!thsiFinD("ths_adjustment_nv_fund",C$3,$A824))</f>
        <v/>
      </c>
      <c r="D824" s="13" t="str">
        <f>IF($A824="","",[1]!thsiFinD("ths_adjustment_nv_fund",D$3,$A824))</f>
        <v/>
      </c>
      <c r="E824" s="13" t="str">
        <f>IF($A824="","",[1]!thsiFinD("ths_adjustment_nv_fund",E$3,$A824))</f>
        <v/>
      </c>
      <c r="F824" s="13" t="str">
        <f>IF($A824="","",[1]!thsiFinD("ths_adjustment_nv_fund",F$3,$A824))</f>
        <v/>
      </c>
      <c r="G824" s="13" t="str">
        <f>IF($A824="","",[1]!thsiFinD("ths_adjustment_nv_fund",G$3,$A824))</f>
        <v/>
      </c>
      <c r="H824" s="13" t="str">
        <f>IF($A824="","",[1]!thsiFinD("ths_adjustment_nv_fund",H$3,$A824))</f>
        <v/>
      </c>
      <c r="I824" s="13" t="str">
        <f>IF($A824="","",[1]!thsiFinD("ths_adjustment_nv_fund",I$3,$A824))</f>
        <v/>
      </c>
      <c r="J824" s="13" t="str">
        <f>IF($A824="","",[1]!thsiFinD("ths_adjustment_nv_fund",J$3,$A824))</f>
        <v/>
      </c>
      <c r="K824" s="13" t="str">
        <f>IF($A824="","",[1]!thsiFinD("ths_adjustment_nv_fund",K$3,$A824))</f>
        <v/>
      </c>
      <c r="L824" s="13" t="str">
        <f>IF($A824="","",[1]!thsiFinD("ths_adjustment_nv_fund",L$3,$A824))</f>
        <v/>
      </c>
      <c r="M824" s="13" t="str">
        <f>IF($A824="","",[1]!thsiFinD("ths_adjustment_nv_fund",M$3,$A824))</f>
        <v/>
      </c>
      <c r="N824" s="13" t="str">
        <f>IF($A824="","",[1]!thsiFinD("ths_adjustment_nv_fund",N$3,$A824))</f>
        <v/>
      </c>
      <c r="O824" s="13" t="str">
        <f>IF($A824="","",[1]!thsiFinD("ths_adjustment_nv_fund",O$3,$A824))</f>
        <v/>
      </c>
      <c r="P824" s="13" t="str">
        <f>IF($A824="","",[1]!thsiFinD("ths_adjustment_nv_fund",P$3,$A824))</f>
        <v/>
      </c>
      <c r="Q824" s="13" t="str">
        <f>IF($A824="","",[1]!thsiFinD("ths_adjustment_nv_fund",Q$3,$A824))</f>
        <v/>
      </c>
      <c r="R824" s="13" t="str">
        <f>IF($A824="","",[1]!thsiFinD("ths_adjustment_nv_fund",R$3,$A824))</f>
        <v/>
      </c>
      <c r="S824" s="13" t="str">
        <f>IF($A824="","",[1]!thsiFinD("ths_adjustment_nv_fund",S$3,$A824))</f>
        <v/>
      </c>
      <c r="T824" s="13" t="str">
        <f>IF($A824="","",[1]!thsiFinD("ths_adjustment_nv_fund",T$3,$A824))</f>
        <v/>
      </c>
      <c r="U824" s="13" t="str">
        <f>IF($A824="","",[1]!thsiFinD("ths_adjustment_nv_fund",U$3,$A824))</f>
        <v/>
      </c>
      <c r="V824" s="13" t="str">
        <f>IF($A824="","",[1]!thsiFinD("ths_adjustment_nv_fund",V$3,$A824))</f>
        <v/>
      </c>
      <c r="W824" s="13" t="str">
        <f>IF($A824="","",[1]!thsiFinD("ths_adjustment_nv_fund",W$3,$A824))</f>
        <v/>
      </c>
      <c r="X824" s="13" t="str">
        <f>IF($A824="","",[1]!thsiFinD("ths_adjustment_nv_fund",X$3,$A824))</f>
        <v/>
      </c>
      <c r="Y824" s="13" t="str">
        <f>IF($A824="","",[1]!thsiFinD("ths_adjustment_nv_fund",Y$3,$A824))</f>
        <v/>
      </c>
      <c r="Z824" s="13" t="str">
        <f>IF($A824="","",[1]!thsiFinD("ths_adjustment_nv_fund",Z$3,$A824))</f>
        <v/>
      </c>
      <c r="AA824" s="13" t="str">
        <f>IF($A824="","",[1]!thsiFinD("ths_adjustment_nv_fund",AA$3,$A824))</f>
        <v/>
      </c>
      <c r="AB824" s="13" t="str">
        <f>IF($A824="","",[1]!thsiFinD("ths_adjustment_nv_fund",AB$3,$A824))</f>
        <v/>
      </c>
    </row>
    <row r="825" spans="2:28">
      <c r="B825" s="13" t="str">
        <f>IF($A825="","",[1]!thsiFinD("ths_adjustment_nv_fund",B$3,$A825))</f>
        <v/>
      </c>
      <c r="C825" s="13" t="str">
        <f>IF($A825="","",[1]!thsiFinD("ths_adjustment_nv_fund",C$3,$A825))</f>
        <v/>
      </c>
      <c r="D825" s="13" t="str">
        <f>IF($A825="","",[1]!thsiFinD("ths_adjustment_nv_fund",D$3,$A825))</f>
        <v/>
      </c>
      <c r="E825" s="13" t="str">
        <f>IF($A825="","",[1]!thsiFinD("ths_adjustment_nv_fund",E$3,$A825))</f>
        <v/>
      </c>
      <c r="F825" s="13" t="str">
        <f>IF($A825="","",[1]!thsiFinD("ths_adjustment_nv_fund",F$3,$A825))</f>
        <v/>
      </c>
      <c r="G825" s="13" t="str">
        <f>IF($A825="","",[1]!thsiFinD("ths_adjustment_nv_fund",G$3,$A825))</f>
        <v/>
      </c>
      <c r="H825" s="13" t="str">
        <f>IF($A825="","",[1]!thsiFinD("ths_adjustment_nv_fund",H$3,$A825))</f>
        <v/>
      </c>
      <c r="I825" s="13" t="str">
        <f>IF($A825="","",[1]!thsiFinD("ths_adjustment_nv_fund",I$3,$A825))</f>
        <v/>
      </c>
      <c r="J825" s="13" t="str">
        <f>IF($A825="","",[1]!thsiFinD("ths_adjustment_nv_fund",J$3,$A825))</f>
        <v/>
      </c>
      <c r="K825" s="13" t="str">
        <f>IF($A825="","",[1]!thsiFinD("ths_adjustment_nv_fund",K$3,$A825))</f>
        <v/>
      </c>
      <c r="L825" s="13" t="str">
        <f>IF($A825="","",[1]!thsiFinD("ths_adjustment_nv_fund",L$3,$A825))</f>
        <v/>
      </c>
      <c r="M825" s="13" t="str">
        <f>IF($A825="","",[1]!thsiFinD("ths_adjustment_nv_fund",M$3,$A825))</f>
        <v/>
      </c>
      <c r="N825" s="13" t="str">
        <f>IF($A825="","",[1]!thsiFinD("ths_adjustment_nv_fund",N$3,$A825))</f>
        <v/>
      </c>
      <c r="O825" s="13" t="str">
        <f>IF($A825="","",[1]!thsiFinD("ths_adjustment_nv_fund",O$3,$A825))</f>
        <v/>
      </c>
      <c r="P825" s="13" t="str">
        <f>IF($A825="","",[1]!thsiFinD("ths_adjustment_nv_fund",P$3,$A825))</f>
        <v/>
      </c>
      <c r="Q825" s="13" t="str">
        <f>IF($A825="","",[1]!thsiFinD("ths_adjustment_nv_fund",Q$3,$A825))</f>
        <v/>
      </c>
      <c r="R825" s="13" t="str">
        <f>IF($A825="","",[1]!thsiFinD("ths_adjustment_nv_fund",R$3,$A825))</f>
        <v/>
      </c>
      <c r="S825" s="13" t="str">
        <f>IF($A825="","",[1]!thsiFinD("ths_adjustment_nv_fund",S$3,$A825))</f>
        <v/>
      </c>
      <c r="T825" s="13" t="str">
        <f>IF($A825="","",[1]!thsiFinD("ths_adjustment_nv_fund",T$3,$A825))</f>
        <v/>
      </c>
      <c r="U825" s="13" t="str">
        <f>IF($A825="","",[1]!thsiFinD("ths_adjustment_nv_fund",U$3,$A825))</f>
        <v/>
      </c>
      <c r="V825" s="13" t="str">
        <f>IF($A825="","",[1]!thsiFinD("ths_adjustment_nv_fund",V$3,$A825))</f>
        <v/>
      </c>
      <c r="W825" s="13" t="str">
        <f>IF($A825="","",[1]!thsiFinD("ths_adjustment_nv_fund",W$3,$A825))</f>
        <v/>
      </c>
      <c r="X825" s="13" t="str">
        <f>IF($A825="","",[1]!thsiFinD("ths_adjustment_nv_fund",X$3,$A825))</f>
        <v/>
      </c>
      <c r="Y825" s="13" t="str">
        <f>IF($A825="","",[1]!thsiFinD("ths_adjustment_nv_fund",Y$3,$A825))</f>
        <v/>
      </c>
      <c r="Z825" s="13" t="str">
        <f>IF($A825="","",[1]!thsiFinD("ths_adjustment_nv_fund",Z$3,$A825))</f>
        <v/>
      </c>
      <c r="AA825" s="13" t="str">
        <f>IF($A825="","",[1]!thsiFinD("ths_adjustment_nv_fund",AA$3,$A825))</f>
        <v/>
      </c>
      <c r="AB825" s="13" t="str">
        <f>IF($A825="","",[1]!thsiFinD("ths_adjustment_nv_fund",AB$3,$A825))</f>
        <v/>
      </c>
    </row>
    <row r="826" spans="2:28">
      <c r="B826" s="13" t="str">
        <f>IF($A826="","",[1]!thsiFinD("ths_adjustment_nv_fund",B$3,$A826))</f>
        <v/>
      </c>
      <c r="C826" s="13" t="str">
        <f>IF($A826="","",[1]!thsiFinD("ths_adjustment_nv_fund",C$3,$A826))</f>
        <v/>
      </c>
      <c r="D826" s="13" t="str">
        <f>IF($A826="","",[1]!thsiFinD("ths_adjustment_nv_fund",D$3,$A826))</f>
        <v/>
      </c>
      <c r="E826" s="13" t="str">
        <f>IF($A826="","",[1]!thsiFinD("ths_adjustment_nv_fund",E$3,$A826))</f>
        <v/>
      </c>
      <c r="F826" s="13" t="str">
        <f>IF($A826="","",[1]!thsiFinD("ths_adjustment_nv_fund",F$3,$A826))</f>
        <v/>
      </c>
      <c r="G826" s="13" t="str">
        <f>IF($A826="","",[1]!thsiFinD("ths_adjustment_nv_fund",G$3,$A826))</f>
        <v/>
      </c>
      <c r="H826" s="13" t="str">
        <f>IF($A826="","",[1]!thsiFinD("ths_adjustment_nv_fund",H$3,$A826))</f>
        <v/>
      </c>
      <c r="I826" s="13" t="str">
        <f>IF($A826="","",[1]!thsiFinD("ths_adjustment_nv_fund",I$3,$A826))</f>
        <v/>
      </c>
      <c r="J826" s="13" t="str">
        <f>IF($A826="","",[1]!thsiFinD("ths_adjustment_nv_fund",J$3,$A826))</f>
        <v/>
      </c>
      <c r="K826" s="13" t="str">
        <f>IF($A826="","",[1]!thsiFinD("ths_adjustment_nv_fund",K$3,$A826))</f>
        <v/>
      </c>
      <c r="L826" s="13" t="str">
        <f>IF($A826="","",[1]!thsiFinD("ths_adjustment_nv_fund",L$3,$A826))</f>
        <v/>
      </c>
      <c r="M826" s="13" t="str">
        <f>IF($A826="","",[1]!thsiFinD("ths_adjustment_nv_fund",M$3,$A826))</f>
        <v/>
      </c>
      <c r="N826" s="13" t="str">
        <f>IF($A826="","",[1]!thsiFinD("ths_adjustment_nv_fund",N$3,$A826))</f>
        <v/>
      </c>
      <c r="O826" s="13" t="str">
        <f>IF($A826="","",[1]!thsiFinD("ths_adjustment_nv_fund",O$3,$A826))</f>
        <v/>
      </c>
      <c r="P826" s="13" t="str">
        <f>IF($A826="","",[1]!thsiFinD("ths_adjustment_nv_fund",P$3,$A826))</f>
        <v/>
      </c>
      <c r="Q826" s="13" t="str">
        <f>IF($A826="","",[1]!thsiFinD("ths_adjustment_nv_fund",Q$3,$A826))</f>
        <v/>
      </c>
      <c r="R826" s="13" t="str">
        <f>IF($A826="","",[1]!thsiFinD("ths_adjustment_nv_fund",R$3,$A826))</f>
        <v/>
      </c>
      <c r="S826" s="13" t="str">
        <f>IF($A826="","",[1]!thsiFinD("ths_adjustment_nv_fund",S$3,$A826))</f>
        <v/>
      </c>
      <c r="T826" s="13" t="str">
        <f>IF($A826="","",[1]!thsiFinD("ths_adjustment_nv_fund",T$3,$A826))</f>
        <v/>
      </c>
      <c r="U826" s="13" t="str">
        <f>IF($A826="","",[1]!thsiFinD("ths_adjustment_nv_fund",U$3,$A826))</f>
        <v/>
      </c>
      <c r="V826" s="13" t="str">
        <f>IF($A826="","",[1]!thsiFinD("ths_adjustment_nv_fund",V$3,$A826))</f>
        <v/>
      </c>
      <c r="W826" s="13" t="str">
        <f>IF($A826="","",[1]!thsiFinD("ths_adjustment_nv_fund",W$3,$A826))</f>
        <v/>
      </c>
      <c r="X826" s="13" t="str">
        <f>IF($A826="","",[1]!thsiFinD("ths_adjustment_nv_fund",X$3,$A826))</f>
        <v/>
      </c>
      <c r="Y826" s="13" t="str">
        <f>IF($A826="","",[1]!thsiFinD("ths_adjustment_nv_fund",Y$3,$A826))</f>
        <v/>
      </c>
      <c r="Z826" s="13" t="str">
        <f>IF($A826="","",[1]!thsiFinD("ths_adjustment_nv_fund",Z$3,$A826))</f>
        <v/>
      </c>
      <c r="AA826" s="13" t="str">
        <f>IF($A826="","",[1]!thsiFinD("ths_adjustment_nv_fund",AA$3,$A826))</f>
        <v/>
      </c>
      <c r="AB826" s="13" t="str">
        <f>IF($A826="","",[1]!thsiFinD("ths_adjustment_nv_fund",AB$3,$A826))</f>
        <v/>
      </c>
    </row>
    <row r="827" spans="2:28">
      <c r="B827" s="13" t="str">
        <f>IF($A827="","",[1]!thsiFinD("ths_adjustment_nv_fund",B$3,$A827))</f>
        <v/>
      </c>
      <c r="C827" s="13" t="str">
        <f>IF($A827="","",[1]!thsiFinD("ths_adjustment_nv_fund",C$3,$A827))</f>
        <v/>
      </c>
      <c r="D827" s="13" t="str">
        <f>IF($A827="","",[1]!thsiFinD("ths_adjustment_nv_fund",D$3,$A827))</f>
        <v/>
      </c>
      <c r="E827" s="13" t="str">
        <f>IF($A827="","",[1]!thsiFinD("ths_adjustment_nv_fund",E$3,$A827))</f>
        <v/>
      </c>
      <c r="F827" s="13" t="str">
        <f>IF($A827="","",[1]!thsiFinD("ths_adjustment_nv_fund",F$3,$A827))</f>
        <v/>
      </c>
      <c r="G827" s="13" t="str">
        <f>IF($A827="","",[1]!thsiFinD("ths_adjustment_nv_fund",G$3,$A827))</f>
        <v/>
      </c>
      <c r="H827" s="13" t="str">
        <f>IF($A827="","",[1]!thsiFinD("ths_adjustment_nv_fund",H$3,$A827))</f>
        <v/>
      </c>
      <c r="I827" s="13" t="str">
        <f>IF($A827="","",[1]!thsiFinD("ths_adjustment_nv_fund",I$3,$A827))</f>
        <v/>
      </c>
      <c r="J827" s="13" t="str">
        <f>IF($A827="","",[1]!thsiFinD("ths_adjustment_nv_fund",J$3,$A827))</f>
        <v/>
      </c>
      <c r="K827" s="13" t="str">
        <f>IF($A827="","",[1]!thsiFinD("ths_adjustment_nv_fund",K$3,$A827))</f>
        <v/>
      </c>
      <c r="L827" s="13" t="str">
        <f>IF($A827="","",[1]!thsiFinD("ths_adjustment_nv_fund",L$3,$A827))</f>
        <v/>
      </c>
      <c r="M827" s="13" t="str">
        <f>IF($A827="","",[1]!thsiFinD("ths_adjustment_nv_fund",M$3,$A827))</f>
        <v/>
      </c>
      <c r="N827" s="13" t="str">
        <f>IF($A827="","",[1]!thsiFinD("ths_adjustment_nv_fund",N$3,$A827))</f>
        <v/>
      </c>
      <c r="O827" s="13" t="str">
        <f>IF($A827="","",[1]!thsiFinD("ths_adjustment_nv_fund",O$3,$A827))</f>
        <v/>
      </c>
      <c r="P827" s="13" t="str">
        <f>IF($A827="","",[1]!thsiFinD("ths_adjustment_nv_fund",P$3,$A827))</f>
        <v/>
      </c>
      <c r="Q827" s="13" t="str">
        <f>IF($A827="","",[1]!thsiFinD("ths_adjustment_nv_fund",Q$3,$A827))</f>
        <v/>
      </c>
      <c r="R827" s="13" t="str">
        <f>IF($A827="","",[1]!thsiFinD("ths_adjustment_nv_fund",R$3,$A827))</f>
        <v/>
      </c>
      <c r="S827" s="13" t="str">
        <f>IF($A827="","",[1]!thsiFinD("ths_adjustment_nv_fund",S$3,$A827))</f>
        <v/>
      </c>
      <c r="T827" s="13" t="str">
        <f>IF($A827="","",[1]!thsiFinD("ths_adjustment_nv_fund",T$3,$A827))</f>
        <v/>
      </c>
      <c r="U827" s="13" t="str">
        <f>IF($A827="","",[1]!thsiFinD("ths_adjustment_nv_fund",U$3,$A827))</f>
        <v/>
      </c>
      <c r="V827" s="13" t="str">
        <f>IF($A827="","",[1]!thsiFinD("ths_adjustment_nv_fund",V$3,$A827))</f>
        <v/>
      </c>
      <c r="W827" s="13" t="str">
        <f>IF($A827="","",[1]!thsiFinD("ths_adjustment_nv_fund",W$3,$A827))</f>
        <v/>
      </c>
      <c r="X827" s="13" t="str">
        <f>IF($A827="","",[1]!thsiFinD("ths_adjustment_nv_fund",X$3,$A827))</f>
        <v/>
      </c>
      <c r="Y827" s="13" t="str">
        <f>IF($A827="","",[1]!thsiFinD("ths_adjustment_nv_fund",Y$3,$A827))</f>
        <v/>
      </c>
      <c r="Z827" s="13" t="str">
        <f>IF($A827="","",[1]!thsiFinD("ths_adjustment_nv_fund",Z$3,$A827))</f>
        <v/>
      </c>
      <c r="AA827" s="13" t="str">
        <f>IF($A827="","",[1]!thsiFinD("ths_adjustment_nv_fund",AA$3,$A827))</f>
        <v/>
      </c>
      <c r="AB827" s="13" t="str">
        <f>IF($A827="","",[1]!thsiFinD("ths_adjustment_nv_fund",AB$3,$A827))</f>
        <v/>
      </c>
    </row>
    <row r="828" spans="2:28">
      <c r="B828" s="13" t="str">
        <f>IF($A828="","",[1]!thsiFinD("ths_adjustment_nv_fund",B$3,$A828))</f>
        <v/>
      </c>
      <c r="C828" s="13" t="str">
        <f>IF($A828="","",[1]!thsiFinD("ths_adjustment_nv_fund",C$3,$A828))</f>
        <v/>
      </c>
      <c r="D828" s="13" t="str">
        <f>IF($A828="","",[1]!thsiFinD("ths_adjustment_nv_fund",D$3,$A828))</f>
        <v/>
      </c>
      <c r="E828" s="13" t="str">
        <f>IF($A828="","",[1]!thsiFinD("ths_adjustment_nv_fund",E$3,$A828))</f>
        <v/>
      </c>
      <c r="F828" s="13" t="str">
        <f>IF($A828="","",[1]!thsiFinD("ths_adjustment_nv_fund",F$3,$A828))</f>
        <v/>
      </c>
      <c r="G828" s="13" t="str">
        <f>IF($A828="","",[1]!thsiFinD("ths_adjustment_nv_fund",G$3,$A828))</f>
        <v/>
      </c>
      <c r="H828" s="13" t="str">
        <f>IF($A828="","",[1]!thsiFinD("ths_adjustment_nv_fund",H$3,$A828))</f>
        <v/>
      </c>
      <c r="I828" s="13" t="str">
        <f>IF($A828="","",[1]!thsiFinD("ths_adjustment_nv_fund",I$3,$A828))</f>
        <v/>
      </c>
      <c r="J828" s="13" t="str">
        <f>IF($A828="","",[1]!thsiFinD("ths_adjustment_nv_fund",J$3,$A828))</f>
        <v/>
      </c>
      <c r="K828" s="13" t="str">
        <f>IF($A828="","",[1]!thsiFinD("ths_adjustment_nv_fund",K$3,$A828))</f>
        <v/>
      </c>
      <c r="L828" s="13" t="str">
        <f>IF($A828="","",[1]!thsiFinD("ths_adjustment_nv_fund",L$3,$A828))</f>
        <v/>
      </c>
      <c r="M828" s="13" t="str">
        <f>IF($A828="","",[1]!thsiFinD("ths_adjustment_nv_fund",M$3,$A828))</f>
        <v/>
      </c>
      <c r="N828" s="13" t="str">
        <f>IF($A828="","",[1]!thsiFinD("ths_adjustment_nv_fund",N$3,$A828))</f>
        <v/>
      </c>
      <c r="O828" s="13" t="str">
        <f>IF($A828="","",[1]!thsiFinD("ths_adjustment_nv_fund",O$3,$A828))</f>
        <v/>
      </c>
      <c r="P828" s="13" t="str">
        <f>IF($A828="","",[1]!thsiFinD("ths_adjustment_nv_fund",P$3,$A828))</f>
        <v/>
      </c>
      <c r="Q828" s="13" t="str">
        <f>IF($A828="","",[1]!thsiFinD("ths_adjustment_nv_fund",Q$3,$A828))</f>
        <v/>
      </c>
      <c r="R828" s="13" t="str">
        <f>IF($A828="","",[1]!thsiFinD("ths_adjustment_nv_fund",R$3,$A828))</f>
        <v/>
      </c>
      <c r="S828" s="13" t="str">
        <f>IF($A828="","",[1]!thsiFinD("ths_adjustment_nv_fund",S$3,$A828))</f>
        <v/>
      </c>
      <c r="T828" s="13" t="str">
        <f>IF($A828="","",[1]!thsiFinD("ths_adjustment_nv_fund",T$3,$A828))</f>
        <v/>
      </c>
      <c r="U828" s="13" t="str">
        <f>IF($A828="","",[1]!thsiFinD("ths_adjustment_nv_fund",U$3,$A828))</f>
        <v/>
      </c>
      <c r="V828" s="13" t="str">
        <f>IF($A828="","",[1]!thsiFinD("ths_adjustment_nv_fund",V$3,$A828))</f>
        <v/>
      </c>
      <c r="W828" s="13" t="str">
        <f>IF($A828="","",[1]!thsiFinD("ths_adjustment_nv_fund",W$3,$A828))</f>
        <v/>
      </c>
      <c r="X828" s="13" t="str">
        <f>IF($A828="","",[1]!thsiFinD("ths_adjustment_nv_fund",X$3,$A828))</f>
        <v/>
      </c>
      <c r="Y828" s="13" t="str">
        <f>IF($A828="","",[1]!thsiFinD("ths_adjustment_nv_fund",Y$3,$A828))</f>
        <v/>
      </c>
      <c r="Z828" s="13" t="str">
        <f>IF($A828="","",[1]!thsiFinD("ths_adjustment_nv_fund",Z$3,$A828))</f>
        <v/>
      </c>
      <c r="AA828" s="13" t="str">
        <f>IF($A828="","",[1]!thsiFinD("ths_adjustment_nv_fund",AA$3,$A828))</f>
        <v/>
      </c>
      <c r="AB828" s="13" t="str">
        <f>IF($A828="","",[1]!thsiFinD("ths_adjustment_nv_fund",AB$3,$A828))</f>
        <v/>
      </c>
    </row>
    <row r="829" spans="2:28">
      <c r="B829" s="13" t="str">
        <f>IF($A829="","",[1]!thsiFinD("ths_adjustment_nv_fund",B$3,$A829))</f>
        <v/>
      </c>
      <c r="C829" s="13" t="str">
        <f>IF($A829="","",[1]!thsiFinD("ths_adjustment_nv_fund",C$3,$A829))</f>
        <v/>
      </c>
      <c r="D829" s="13" t="str">
        <f>IF($A829="","",[1]!thsiFinD("ths_adjustment_nv_fund",D$3,$A829))</f>
        <v/>
      </c>
      <c r="E829" s="13" t="str">
        <f>IF($A829="","",[1]!thsiFinD("ths_adjustment_nv_fund",E$3,$A829))</f>
        <v/>
      </c>
      <c r="F829" s="13" t="str">
        <f>IF($A829="","",[1]!thsiFinD("ths_adjustment_nv_fund",F$3,$A829))</f>
        <v/>
      </c>
      <c r="G829" s="13" t="str">
        <f>IF($A829="","",[1]!thsiFinD("ths_adjustment_nv_fund",G$3,$A829))</f>
        <v/>
      </c>
      <c r="H829" s="13" t="str">
        <f>IF($A829="","",[1]!thsiFinD("ths_adjustment_nv_fund",H$3,$A829))</f>
        <v/>
      </c>
      <c r="I829" s="13" t="str">
        <f>IF($A829="","",[1]!thsiFinD("ths_adjustment_nv_fund",I$3,$A829))</f>
        <v/>
      </c>
      <c r="J829" s="13" t="str">
        <f>IF($A829="","",[1]!thsiFinD("ths_adjustment_nv_fund",J$3,$A829))</f>
        <v/>
      </c>
      <c r="K829" s="13" t="str">
        <f>IF($A829="","",[1]!thsiFinD("ths_adjustment_nv_fund",K$3,$A829))</f>
        <v/>
      </c>
      <c r="L829" s="13" t="str">
        <f>IF($A829="","",[1]!thsiFinD("ths_adjustment_nv_fund",L$3,$A829))</f>
        <v/>
      </c>
      <c r="M829" s="13" t="str">
        <f>IF($A829="","",[1]!thsiFinD("ths_adjustment_nv_fund",M$3,$A829))</f>
        <v/>
      </c>
      <c r="N829" s="13" t="str">
        <f>IF($A829="","",[1]!thsiFinD("ths_adjustment_nv_fund",N$3,$A829))</f>
        <v/>
      </c>
      <c r="O829" s="13" t="str">
        <f>IF($A829="","",[1]!thsiFinD("ths_adjustment_nv_fund",O$3,$A829))</f>
        <v/>
      </c>
      <c r="P829" s="13" t="str">
        <f>IF($A829="","",[1]!thsiFinD("ths_adjustment_nv_fund",P$3,$A829))</f>
        <v/>
      </c>
      <c r="Q829" s="13" t="str">
        <f>IF($A829="","",[1]!thsiFinD("ths_adjustment_nv_fund",Q$3,$A829))</f>
        <v/>
      </c>
      <c r="R829" s="13" t="str">
        <f>IF($A829="","",[1]!thsiFinD("ths_adjustment_nv_fund",R$3,$A829))</f>
        <v/>
      </c>
      <c r="S829" s="13" t="str">
        <f>IF($A829="","",[1]!thsiFinD("ths_adjustment_nv_fund",S$3,$A829))</f>
        <v/>
      </c>
      <c r="T829" s="13" t="str">
        <f>IF($A829="","",[1]!thsiFinD("ths_adjustment_nv_fund",T$3,$A829))</f>
        <v/>
      </c>
      <c r="U829" s="13" t="str">
        <f>IF($A829="","",[1]!thsiFinD("ths_adjustment_nv_fund",U$3,$A829))</f>
        <v/>
      </c>
      <c r="V829" s="13" t="str">
        <f>IF($A829="","",[1]!thsiFinD("ths_adjustment_nv_fund",V$3,$A829))</f>
        <v/>
      </c>
      <c r="W829" s="13" t="str">
        <f>IF($A829="","",[1]!thsiFinD("ths_adjustment_nv_fund",W$3,$A829))</f>
        <v/>
      </c>
      <c r="X829" s="13" t="str">
        <f>IF($A829="","",[1]!thsiFinD("ths_adjustment_nv_fund",X$3,$A829))</f>
        <v/>
      </c>
      <c r="Y829" s="13" t="str">
        <f>IF($A829="","",[1]!thsiFinD("ths_adjustment_nv_fund",Y$3,$A829))</f>
        <v/>
      </c>
      <c r="Z829" s="13" t="str">
        <f>IF($A829="","",[1]!thsiFinD("ths_adjustment_nv_fund",Z$3,$A829))</f>
        <v/>
      </c>
      <c r="AA829" s="13" t="str">
        <f>IF($A829="","",[1]!thsiFinD("ths_adjustment_nv_fund",AA$3,$A829))</f>
        <v/>
      </c>
      <c r="AB829" s="13" t="str">
        <f>IF($A829="","",[1]!thsiFinD("ths_adjustment_nv_fund",AB$3,$A829))</f>
        <v/>
      </c>
    </row>
    <row r="830" spans="2:28">
      <c r="B830" s="13" t="str">
        <f>IF($A830="","",[1]!thsiFinD("ths_adjustment_nv_fund",B$3,$A830))</f>
        <v/>
      </c>
      <c r="C830" s="13" t="str">
        <f>IF($A830="","",[1]!thsiFinD("ths_adjustment_nv_fund",C$3,$A830))</f>
        <v/>
      </c>
      <c r="D830" s="13" t="str">
        <f>IF($A830="","",[1]!thsiFinD("ths_adjustment_nv_fund",D$3,$A830))</f>
        <v/>
      </c>
      <c r="E830" s="13" t="str">
        <f>IF($A830="","",[1]!thsiFinD("ths_adjustment_nv_fund",E$3,$A830))</f>
        <v/>
      </c>
      <c r="F830" s="13" t="str">
        <f>IF($A830="","",[1]!thsiFinD("ths_adjustment_nv_fund",F$3,$A830))</f>
        <v/>
      </c>
      <c r="G830" s="13" t="str">
        <f>IF($A830="","",[1]!thsiFinD("ths_adjustment_nv_fund",G$3,$A830))</f>
        <v/>
      </c>
      <c r="H830" s="13" t="str">
        <f>IF($A830="","",[1]!thsiFinD("ths_adjustment_nv_fund",H$3,$A830))</f>
        <v/>
      </c>
      <c r="I830" s="13" t="str">
        <f>IF($A830="","",[1]!thsiFinD("ths_adjustment_nv_fund",I$3,$A830))</f>
        <v/>
      </c>
      <c r="J830" s="13" t="str">
        <f>IF($A830="","",[1]!thsiFinD("ths_adjustment_nv_fund",J$3,$A830))</f>
        <v/>
      </c>
      <c r="K830" s="13" t="str">
        <f>IF($A830="","",[1]!thsiFinD("ths_adjustment_nv_fund",K$3,$A830))</f>
        <v/>
      </c>
      <c r="L830" s="13" t="str">
        <f>IF($A830="","",[1]!thsiFinD("ths_adjustment_nv_fund",L$3,$A830))</f>
        <v/>
      </c>
      <c r="M830" s="13" t="str">
        <f>IF($A830="","",[1]!thsiFinD("ths_adjustment_nv_fund",M$3,$A830))</f>
        <v/>
      </c>
      <c r="N830" s="13" t="str">
        <f>IF($A830="","",[1]!thsiFinD("ths_adjustment_nv_fund",N$3,$A830))</f>
        <v/>
      </c>
      <c r="O830" s="13" t="str">
        <f>IF($A830="","",[1]!thsiFinD("ths_adjustment_nv_fund",O$3,$A830))</f>
        <v/>
      </c>
      <c r="P830" s="13" t="str">
        <f>IF($A830="","",[1]!thsiFinD("ths_adjustment_nv_fund",P$3,$A830))</f>
        <v/>
      </c>
      <c r="Q830" s="13" t="str">
        <f>IF($A830="","",[1]!thsiFinD("ths_adjustment_nv_fund",Q$3,$A830))</f>
        <v/>
      </c>
      <c r="R830" s="13" t="str">
        <f>IF($A830="","",[1]!thsiFinD("ths_adjustment_nv_fund",R$3,$A830))</f>
        <v/>
      </c>
      <c r="S830" s="13" t="str">
        <f>IF($A830="","",[1]!thsiFinD("ths_adjustment_nv_fund",S$3,$A830))</f>
        <v/>
      </c>
      <c r="T830" s="13" t="str">
        <f>IF($A830="","",[1]!thsiFinD("ths_adjustment_nv_fund",T$3,$A830))</f>
        <v/>
      </c>
      <c r="U830" s="13" t="str">
        <f>IF($A830="","",[1]!thsiFinD("ths_adjustment_nv_fund",U$3,$A830))</f>
        <v/>
      </c>
      <c r="V830" s="13" t="str">
        <f>IF($A830="","",[1]!thsiFinD("ths_adjustment_nv_fund",V$3,$A830))</f>
        <v/>
      </c>
      <c r="W830" s="13" t="str">
        <f>IF($A830="","",[1]!thsiFinD("ths_adjustment_nv_fund",W$3,$A830))</f>
        <v/>
      </c>
      <c r="X830" s="13" t="str">
        <f>IF($A830="","",[1]!thsiFinD("ths_adjustment_nv_fund",X$3,$A830))</f>
        <v/>
      </c>
      <c r="Y830" s="13" t="str">
        <f>IF($A830="","",[1]!thsiFinD("ths_adjustment_nv_fund",Y$3,$A830))</f>
        <v/>
      </c>
      <c r="Z830" s="13" t="str">
        <f>IF($A830="","",[1]!thsiFinD("ths_adjustment_nv_fund",Z$3,$A830))</f>
        <v/>
      </c>
      <c r="AA830" s="13" t="str">
        <f>IF($A830="","",[1]!thsiFinD("ths_adjustment_nv_fund",AA$3,$A830))</f>
        <v/>
      </c>
      <c r="AB830" s="13" t="str">
        <f>IF($A830="","",[1]!thsiFinD("ths_adjustment_nv_fund",AB$3,$A830))</f>
        <v/>
      </c>
    </row>
    <row r="831" spans="2:28">
      <c r="B831" s="13" t="str">
        <f>IF($A831="","",[1]!thsiFinD("ths_adjustment_nv_fund",B$3,$A831))</f>
        <v/>
      </c>
      <c r="C831" s="13" t="str">
        <f>IF($A831="","",[1]!thsiFinD("ths_adjustment_nv_fund",C$3,$A831))</f>
        <v/>
      </c>
      <c r="D831" s="13" t="str">
        <f>IF($A831="","",[1]!thsiFinD("ths_adjustment_nv_fund",D$3,$A831))</f>
        <v/>
      </c>
      <c r="E831" s="13" t="str">
        <f>IF($A831="","",[1]!thsiFinD("ths_adjustment_nv_fund",E$3,$A831))</f>
        <v/>
      </c>
      <c r="F831" s="13" t="str">
        <f>IF($A831="","",[1]!thsiFinD("ths_adjustment_nv_fund",F$3,$A831))</f>
        <v/>
      </c>
      <c r="G831" s="13" t="str">
        <f>IF($A831="","",[1]!thsiFinD("ths_adjustment_nv_fund",G$3,$A831))</f>
        <v/>
      </c>
      <c r="H831" s="13" t="str">
        <f>IF($A831="","",[1]!thsiFinD("ths_adjustment_nv_fund",H$3,$A831))</f>
        <v/>
      </c>
      <c r="I831" s="13" t="str">
        <f>IF($A831="","",[1]!thsiFinD("ths_adjustment_nv_fund",I$3,$A831))</f>
        <v/>
      </c>
      <c r="J831" s="13" t="str">
        <f>IF($A831="","",[1]!thsiFinD("ths_adjustment_nv_fund",J$3,$A831))</f>
        <v/>
      </c>
      <c r="K831" s="13" t="str">
        <f>IF($A831="","",[1]!thsiFinD("ths_adjustment_nv_fund",K$3,$A831))</f>
        <v/>
      </c>
      <c r="L831" s="13" t="str">
        <f>IF($A831="","",[1]!thsiFinD("ths_adjustment_nv_fund",L$3,$A831))</f>
        <v/>
      </c>
      <c r="M831" s="13" t="str">
        <f>IF($A831="","",[1]!thsiFinD("ths_adjustment_nv_fund",M$3,$A831))</f>
        <v/>
      </c>
      <c r="N831" s="13" t="str">
        <f>IF($A831="","",[1]!thsiFinD("ths_adjustment_nv_fund",N$3,$A831))</f>
        <v/>
      </c>
      <c r="O831" s="13" t="str">
        <f>IF($A831="","",[1]!thsiFinD("ths_adjustment_nv_fund",O$3,$A831))</f>
        <v/>
      </c>
      <c r="P831" s="13" t="str">
        <f>IF($A831="","",[1]!thsiFinD("ths_adjustment_nv_fund",P$3,$A831))</f>
        <v/>
      </c>
      <c r="Q831" s="13" t="str">
        <f>IF($A831="","",[1]!thsiFinD("ths_adjustment_nv_fund",Q$3,$A831))</f>
        <v/>
      </c>
      <c r="R831" s="13" t="str">
        <f>IF($A831="","",[1]!thsiFinD("ths_adjustment_nv_fund",R$3,$A831))</f>
        <v/>
      </c>
      <c r="S831" s="13" t="str">
        <f>IF($A831="","",[1]!thsiFinD("ths_adjustment_nv_fund",S$3,$A831))</f>
        <v/>
      </c>
      <c r="T831" s="13" t="str">
        <f>IF($A831="","",[1]!thsiFinD("ths_adjustment_nv_fund",T$3,$A831))</f>
        <v/>
      </c>
      <c r="U831" s="13" t="str">
        <f>IF($A831="","",[1]!thsiFinD("ths_adjustment_nv_fund",U$3,$A831))</f>
        <v/>
      </c>
      <c r="V831" s="13" t="str">
        <f>IF($A831="","",[1]!thsiFinD("ths_adjustment_nv_fund",V$3,$A831))</f>
        <v/>
      </c>
      <c r="W831" s="13" t="str">
        <f>IF($A831="","",[1]!thsiFinD("ths_adjustment_nv_fund",W$3,$A831))</f>
        <v/>
      </c>
      <c r="X831" s="13" t="str">
        <f>IF($A831="","",[1]!thsiFinD("ths_adjustment_nv_fund",X$3,$A831))</f>
        <v/>
      </c>
      <c r="Y831" s="13" t="str">
        <f>IF($A831="","",[1]!thsiFinD("ths_adjustment_nv_fund",Y$3,$A831))</f>
        <v/>
      </c>
      <c r="Z831" s="13" t="str">
        <f>IF($A831="","",[1]!thsiFinD("ths_adjustment_nv_fund",Z$3,$A831))</f>
        <v/>
      </c>
      <c r="AA831" s="13" t="str">
        <f>IF($A831="","",[1]!thsiFinD("ths_adjustment_nv_fund",AA$3,$A831))</f>
        <v/>
      </c>
      <c r="AB831" s="13" t="str">
        <f>IF($A831="","",[1]!thsiFinD("ths_adjustment_nv_fund",AB$3,$A831))</f>
        <v/>
      </c>
    </row>
    <row r="832" spans="2:28">
      <c r="B832" s="13" t="str">
        <f>IF($A832="","",[1]!thsiFinD("ths_adjustment_nv_fund",B$3,$A832))</f>
        <v/>
      </c>
      <c r="C832" s="13" t="str">
        <f>IF($A832="","",[1]!thsiFinD("ths_adjustment_nv_fund",C$3,$A832))</f>
        <v/>
      </c>
      <c r="D832" s="13" t="str">
        <f>IF($A832="","",[1]!thsiFinD("ths_adjustment_nv_fund",D$3,$A832))</f>
        <v/>
      </c>
      <c r="E832" s="13" t="str">
        <f>IF($A832="","",[1]!thsiFinD("ths_adjustment_nv_fund",E$3,$A832))</f>
        <v/>
      </c>
      <c r="F832" s="13" t="str">
        <f>IF($A832="","",[1]!thsiFinD("ths_adjustment_nv_fund",F$3,$A832))</f>
        <v/>
      </c>
      <c r="G832" s="13" t="str">
        <f>IF($A832="","",[1]!thsiFinD("ths_adjustment_nv_fund",G$3,$A832))</f>
        <v/>
      </c>
      <c r="H832" s="13" t="str">
        <f>IF($A832="","",[1]!thsiFinD("ths_adjustment_nv_fund",H$3,$A832))</f>
        <v/>
      </c>
      <c r="I832" s="13" t="str">
        <f>IF($A832="","",[1]!thsiFinD("ths_adjustment_nv_fund",I$3,$A832))</f>
        <v/>
      </c>
      <c r="J832" s="13" t="str">
        <f>IF($A832="","",[1]!thsiFinD("ths_adjustment_nv_fund",J$3,$A832))</f>
        <v/>
      </c>
      <c r="K832" s="13" t="str">
        <f>IF($A832="","",[1]!thsiFinD("ths_adjustment_nv_fund",K$3,$A832))</f>
        <v/>
      </c>
      <c r="L832" s="13" t="str">
        <f>IF($A832="","",[1]!thsiFinD("ths_adjustment_nv_fund",L$3,$A832))</f>
        <v/>
      </c>
      <c r="M832" s="13" t="str">
        <f>IF($A832="","",[1]!thsiFinD("ths_adjustment_nv_fund",M$3,$A832))</f>
        <v/>
      </c>
      <c r="N832" s="13" t="str">
        <f>IF($A832="","",[1]!thsiFinD("ths_adjustment_nv_fund",N$3,$A832))</f>
        <v/>
      </c>
      <c r="O832" s="13" t="str">
        <f>IF($A832="","",[1]!thsiFinD("ths_adjustment_nv_fund",O$3,$A832))</f>
        <v/>
      </c>
      <c r="P832" s="13" t="str">
        <f>IF($A832="","",[1]!thsiFinD("ths_adjustment_nv_fund",P$3,$A832))</f>
        <v/>
      </c>
      <c r="Q832" s="13" t="str">
        <f>IF($A832="","",[1]!thsiFinD("ths_adjustment_nv_fund",Q$3,$A832))</f>
        <v/>
      </c>
      <c r="R832" s="13" t="str">
        <f>IF($A832="","",[1]!thsiFinD("ths_adjustment_nv_fund",R$3,$A832))</f>
        <v/>
      </c>
      <c r="S832" s="13" t="str">
        <f>IF($A832="","",[1]!thsiFinD("ths_adjustment_nv_fund",S$3,$A832))</f>
        <v/>
      </c>
      <c r="T832" s="13" t="str">
        <f>IF($A832="","",[1]!thsiFinD("ths_adjustment_nv_fund",T$3,$A832))</f>
        <v/>
      </c>
      <c r="U832" s="13" t="str">
        <f>IF($A832="","",[1]!thsiFinD("ths_adjustment_nv_fund",U$3,$A832))</f>
        <v/>
      </c>
      <c r="V832" s="13" t="str">
        <f>IF($A832="","",[1]!thsiFinD("ths_adjustment_nv_fund",V$3,$A832))</f>
        <v/>
      </c>
      <c r="W832" s="13" t="str">
        <f>IF($A832="","",[1]!thsiFinD("ths_adjustment_nv_fund",W$3,$A832))</f>
        <v/>
      </c>
      <c r="X832" s="13" t="str">
        <f>IF($A832="","",[1]!thsiFinD("ths_adjustment_nv_fund",X$3,$A832))</f>
        <v/>
      </c>
      <c r="Y832" s="13" t="str">
        <f>IF($A832="","",[1]!thsiFinD("ths_adjustment_nv_fund",Y$3,$A832))</f>
        <v/>
      </c>
      <c r="Z832" s="13" t="str">
        <f>IF($A832="","",[1]!thsiFinD("ths_adjustment_nv_fund",Z$3,$A832))</f>
        <v/>
      </c>
      <c r="AA832" s="13" t="str">
        <f>IF($A832="","",[1]!thsiFinD("ths_adjustment_nv_fund",AA$3,$A832))</f>
        <v/>
      </c>
      <c r="AB832" s="13" t="str">
        <f>IF($A832="","",[1]!thsiFinD("ths_adjustment_nv_fund",AB$3,$A832))</f>
        <v/>
      </c>
    </row>
    <row r="833" spans="2:28">
      <c r="B833" s="13" t="str">
        <f>IF($A833="","",[1]!thsiFinD("ths_adjustment_nv_fund",B$3,$A833))</f>
        <v/>
      </c>
      <c r="C833" s="13" t="str">
        <f>IF($A833="","",[1]!thsiFinD("ths_adjustment_nv_fund",C$3,$A833))</f>
        <v/>
      </c>
      <c r="D833" s="13" t="str">
        <f>IF($A833="","",[1]!thsiFinD("ths_adjustment_nv_fund",D$3,$A833))</f>
        <v/>
      </c>
      <c r="E833" s="13" t="str">
        <f>IF($A833="","",[1]!thsiFinD("ths_adjustment_nv_fund",E$3,$A833))</f>
        <v/>
      </c>
      <c r="F833" s="13" t="str">
        <f>IF($A833="","",[1]!thsiFinD("ths_adjustment_nv_fund",F$3,$A833))</f>
        <v/>
      </c>
      <c r="G833" s="13" t="str">
        <f>IF($A833="","",[1]!thsiFinD("ths_adjustment_nv_fund",G$3,$A833))</f>
        <v/>
      </c>
      <c r="H833" s="13" t="str">
        <f>IF($A833="","",[1]!thsiFinD("ths_adjustment_nv_fund",H$3,$A833))</f>
        <v/>
      </c>
      <c r="I833" s="13" t="str">
        <f>IF($A833="","",[1]!thsiFinD("ths_adjustment_nv_fund",I$3,$A833))</f>
        <v/>
      </c>
      <c r="J833" s="13" t="str">
        <f>IF($A833="","",[1]!thsiFinD("ths_adjustment_nv_fund",J$3,$A833))</f>
        <v/>
      </c>
      <c r="K833" s="13" t="str">
        <f>IF($A833="","",[1]!thsiFinD("ths_adjustment_nv_fund",K$3,$A833))</f>
        <v/>
      </c>
      <c r="L833" s="13" t="str">
        <f>IF($A833="","",[1]!thsiFinD("ths_adjustment_nv_fund",L$3,$A833))</f>
        <v/>
      </c>
      <c r="M833" s="13" t="str">
        <f>IF($A833="","",[1]!thsiFinD("ths_adjustment_nv_fund",M$3,$A833))</f>
        <v/>
      </c>
      <c r="N833" s="13" t="str">
        <f>IF($A833="","",[1]!thsiFinD("ths_adjustment_nv_fund",N$3,$A833))</f>
        <v/>
      </c>
      <c r="O833" s="13" t="str">
        <f>IF($A833="","",[1]!thsiFinD("ths_adjustment_nv_fund",O$3,$A833))</f>
        <v/>
      </c>
      <c r="P833" s="13" t="str">
        <f>IF($A833="","",[1]!thsiFinD("ths_adjustment_nv_fund",P$3,$A833))</f>
        <v/>
      </c>
      <c r="Q833" s="13" t="str">
        <f>IF($A833="","",[1]!thsiFinD("ths_adjustment_nv_fund",Q$3,$A833))</f>
        <v/>
      </c>
      <c r="R833" s="13" t="str">
        <f>IF($A833="","",[1]!thsiFinD("ths_adjustment_nv_fund",R$3,$A833))</f>
        <v/>
      </c>
      <c r="S833" s="13" t="str">
        <f>IF($A833="","",[1]!thsiFinD("ths_adjustment_nv_fund",S$3,$A833))</f>
        <v/>
      </c>
      <c r="T833" s="13" t="str">
        <f>IF($A833="","",[1]!thsiFinD("ths_adjustment_nv_fund",T$3,$A833))</f>
        <v/>
      </c>
      <c r="U833" s="13" t="str">
        <f>IF($A833="","",[1]!thsiFinD("ths_adjustment_nv_fund",U$3,$A833))</f>
        <v/>
      </c>
      <c r="V833" s="13" t="str">
        <f>IF($A833="","",[1]!thsiFinD("ths_adjustment_nv_fund",V$3,$A833))</f>
        <v/>
      </c>
      <c r="W833" s="13" t="str">
        <f>IF($A833="","",[1]!thsiFinD("ths_adjustment_nv_fund",W$3,$A833))</f>
        <v/>
      </c>
      <c r="X833" s="13" t="str">
        <f>IF($A833="","",[1]!thsiFinD("ths_adjustment_nv_fund",X$3,$A833))</f>
        <v/>
      </c>
      <c r="Y833" s="13" t="str">
        <f>IF($A833="","",[1]!thsiFinD("ths_adjustment_nv_fund",Y$3,$A833))</f>
        <v/>
      </c>
      <c r="Z833" s="13" t="str">
        <f>IF($A833="","",[1]!thsiFinD("ths_adjustment_nv_fund",Z$3,$A833))</f>
        <v/>
      </c>
      <c r="AA833" s="13" t="str">
        <f>IF($A833="","",[1]!thsiFinD("ths_adjustment_nv_fund",AA$3,$A833))</f>
        <v/>
      </c>
      <c r="AB833" s="13" t="str">
        <f>IF($A833="","",[1]!thsiFinD("ths_adjustment_nv_fund",AB$3,$A833))</f>
        <v/>
      </c>
    </row>
    <row r="834" spans="2:28">
      <c r="B834" s="13" t="str">
        <f>IF($A834="","",[1]!thsiFinD("ths_adjustment_nv_fund",B$3,$A834))</f>
        <v/>
      </c>
      <c r="C834" s="13" t="str">
        <f>IF($A834="","",[1]!thsiFinD("ths_adjustment_nv_fund",C$3,$A834))</f>
        <v/>
      </c>
      <c r="D834" s="13" t="str">
        <f>IF($A834="","",[1]!thsiFinD("ths_adjustment_nv_fund",D$3,$A834))</f>
        <v/>
      </c>
      <c r="E834" s="13" t="str">
        <f>IF($A834="","",[1]!thsiFinD("ths_adjustment_nv_fund",E$3,$A834))</f>
        <v/>
      </c>
      <c r="F834" s="13" t="str">
        <f>IF($A834="","",[1]!thsiFinD("ths_adjustment_nv_fund",F$3,$A834))</f>
        <v/>
      </c>
      <c r="G834" s="13" t="str">
        <f>IF($A834="","",[1]!thsiFinD("ths_adjustment_nv_fund",G$3,$A834))</f>
        <v/>
      </c>
      <c r="H834" s="13" t="str">
        <f>IF($A834="","",[1]!thsiFinD("ths_adjustment_nv_fund",H$3,$A834))</f>
        <v/>
      </c>
      <c r="I834" s="13" t="str">
        <f>IF($A834="","",[1]!thsiFinD("ths_adjustment_nv_fund",I$3,$A834))</f>
        <v/>
      </c>
      <c r="J834" s="13" t="str">
        <f>IF($A834="","",[1]!thsiFinD("ths_adjustment_nv_fund",J$3,$A834))</f>
        <v/>
      </c>
      <c r="K834" s="13" t="str">
        <f>IF($A834="","",[1]!thsiFinD("ths_adjustment_nv_fund",K$3,$A834))</f>
        <v/>
      </c>
      <c r="L834" s="13" t="str">
        <f>IF($A834="","",[1]!thsiFinD("ths_adjustment_nv_fund",L$3,$A834))</f>
        <v/>
      </c>
      <c r="M834" s="13" t="str">
        <f>IF($A834="","",[1]!thsiFinD("ths_adjustment_nv_fund",M$3,$A834))</f>
        <v/>
      </c>
      <c r="N834" s="13" t="str">
        <f>IF($A834="","",[1]!thsiFinD("ths_adjustment_nv_fund",N$3,$A834))</f>
        <v/>
      </c>
      <c r="O834" s="13" t="str">
        <f>IF($A834="","",[1]!thsiFinD("ths_adjustment_nv_fund",O$3,$A834))</f>
        <v/>
      </c>
      <c r="P834" s="13" t="str">
        <f>IF($A834="","",[1]!thsiFinD("ths_adjustment_nv_fund",P$3,$A834))</f>
        <v/>
      </c>
      <c r="Q834" s="13" t="str">
        <f>IF($A834="","",[1]!thsiFinD("ths_adjustment_nv_fund",Q$3,$A834))</f>
        <v/>
      </c>
      <c r="R834" s="13" t="str">
        <f>IF($A834="","",[1]!thsiFinD("ths_adjustment_nv_fund",R$3,$A834))</f>
        <v/>
      </c>
      <c r="S834" s="13" t="str">
        <f>IF($A834="","",[1]!thsiFinD("ths_adjustment_nv_fund",S$3,$A834))</f>
        <v/>
      </c>
      <c r="T834" s="13" t="str">
        <f>IF($A834="","",[1]!thsiFinD("ths_adjustment_nv_fund",T$3,$A834))</f>
        <v/>
      </c>
      <c r="U834" s="13" t="str">
        <f>IF($A834="","",[1]!thsiFinD("ths_adjustment_nv_fund",U$3,$A834))</f>
        <v/>
      </c>
      <c r="V834" s="13" t="str">
        <f>IF($A834="","",[1]!thsiFinD("ths_adjustment_nv_fund",V$3,$A834))</f>
        <v/>
      </c>
      <c r="W834" s="13" t="str">
        <f>IF($A834="","",[1]!thsiFinD("ths_adjustment_nv_fund",W$3,$A834))</f>
        <v/>
      </c>
      <c r="X834" s="13" t="str">
        <f>IF($A834="","",[1]!thsiFinD("ths_adjustment_nv_fund",X$3,$A834))</f>
        <v/>
      </c>
      <c r="Y834" s="13" t="str">
        <f>IF($A834="","",[1]!thsiFinD("ths_adjustment_nv_fund",Y$3,$A834))</f>
        <v/>
      </c>
      <c r="Z834" s="13" t="str">
        <f>IF($A834="","",[1]!thsiFinD("ths_adjustment_nv_fund",Z$3,$A834))</f>
        <v/>
      </c>
      <c r="AA834" s="13" t="str">
        <f>IF($A834="","",[1]!thsiFinD("ths_adjustment_nv_fund",AA$3,$A834))</f>
        <v/>
      </c>
      <c r="AB834" s="13" t="str">
        <f>IF($A834="","",[1]!thsiFinD("ths_adjustment_nv_fund",AB$3,$A834))</f>
        <v/>
      </c>
    </row>
    <row r="835" spans="2:28">
      <c r="B835" s="13" t="str">
        <f>IF($A835="","",[1]!thsiFinD("ths_adjustment_nv_fund",B$3,$A835))</f>
        <v/>
      </c>
      <c r="C835" s="13" t="str">
        <f>IF($A835="","",[1]!thsiFinD("ths_adjustment_nv_fund",C$3,$A835))</f>
        <v/>
      </c>
      <c r="D835" s="13" t="str">
        <f>IF($A835="","",[1]!thsiFinD("ths_adjustment_nv_fund",D$3,$A835))</f>
        <v/>
      </c>
      <c r="E835" s="13" t="str">
        <f>IF($A835="","",[1]!thsiFinD("ths_adjustment_nv_fund",E$3,$A835))</f>
        <v/>
      </c>
      <c r="F835" s="13" t="str">
        <f>IF($A835="","",[1]!thsiFinD("ths_adjustment_nv_fund",F$3,$A835))</f>
        <v/>
      </c>
      <c r="G835" s="13" t="str">
        <f>IF($A835="","",[1]!thsiFinD("ths_adjustment_nv_fund",G$3,$A835))</f>
        <v/>
      </c>
      <c r="H835" s="13" t="str">
        <f>IF($A835="","",[1]!thsiFinD("ths_adjustment_nv_fund",H$3,$A835))</f>
        <v/>
      </c>
      <c r="I835" s="13" t="str">
        <f>IF($A835="","",[1]!thsiFinD("ths_adjustment_nv_fund",I$3,$A835))</f>
        <v/>
      </c>
      <c r="J835" s="13" t="str">
        <f>IF($A835="","",[1]!thsiFinD("ths_adjustment_nv_fund",J$3,$A835))</f>
        <v/>
      </c>
      <c r="K835" s="13" t="str">
        <f>IF($A835="","",[1]!thsiFinD("ths_adjustment_nv_fund",K$3,$A835))</f>
        <v/>
      </c>
      <c r="L835" s="13" t="str">
        <f>IF($A835="","",[1]!thsiFinD("ths_adjustment_nv_fund",L$3,$A835))</f>
        <v/>
      </c>
      <c r="M835" s="13" t="str">
        <f>IF($A835="","",[1]!thsiFinD("ths_adjustment_nv_fund",M$3,$A835))</f>
        <v/>
      </c>
      <c r="N835" s="13" t="str">
        <f>IF($A835="","",[1]!thsiFinD("ths_adjustment_nv_fund",N$3,$A835))</f>
        <v/>
      </c>
      <c r="O835" s="13" t="str">
        <f>IF($A835="","",[1]!thsiFinD("ths_adjustment_nv_fund",O$3,$A835))</f>
        <v/>
      </c>
      <c r="P835" s="13" t="str">
        <f>IF($A835="","",[1]!thsiFinD("ths_adjustment_nv_fund",P$3,$A835))</f>
        <v/>
      </c>
      <c r="Q835" s="13" t="str">
        <f>IF($A835="","",[1]!thsiFinD("ths_adjustment_nv_fund",Q$3,$A835))</f>
        <v/>
      </c>
      <c r="R835" s="13" t="str">
        <f>IF($A835="","",[1]!thsiFinD("ths_adjustment_nv_fund",R$3,$A835))</f>
        <v/>
      </c>
      <c r="S835" s="13" t="str">
        <f>IF($A835="","",[1]!thsiFinD("ths_adjustment_nv_fund",S$3,$A835))</f>
        <v/>
      </c>
      <c r="T835" s="13" t="str">
        <f>IF($A835="","",[1]!thsiFinD("ths_adjustment_nv_fund",T$3,$A835))</f>
        <v/>
      </c>
      <c r="U835" s="13" t="str">
        <f>IF($A835="","",[1]!thsiFinD("ths_adjustment_nv_fund",U$3,$A835))</f>
        <v/>
      </c>
      <c r="V835" s="13" t="str">
        <f>IF($A835="","",[1]!thsiFinD("ths_adjustment_nv_fund",V$3,$A835))</f>
        <v/>
      </c>
      <c r="W835" s="13" t="str">
        <f>IF($A835="","",[1]!thsiFinD("ths_adjustment_nv_fund",W$3,$A835))</f>
        <v/>
      </c>
      <c r="X835" s="13" t="str">
        <f>IF($A835="","",[1]!thsiFinD("ths_adjustment_nv_fund",X$3,$A835))</f>
        <v/>
      </c>
      <c r="Y835" s="13" t="str">
        <f>IF($A835="","",[1]!thsiFinD("ths_adjustment_nv_fund",Y$3,$A835))</f>
        <v/>
      </c>
      <c r="Z835" s="13" t="str">
        <f>IF($A835="","",[1]!thsiFinD("ths_adjustment_nv_fund",Z$3,$A835))</f>
        <v/>
      </c>
      <c r="AA835" s="13" t="str">
        <f>IF($A835="","",[1]!thsiFinD("ths_adjustment_nv_fund",AA$3,$A835))</f>
        <v/>
      </c>
      <c r="AB835" s="13" t="str">
        <f>IF($A835="","",[1]!thsiFinD("ths_adjustment_nv_fund",AB$3,$A835))</f>
        <v/>
      </c>
    </row>
    <row r="836" spans="2:28">
      <c r="B836" s="13" t="str">
        <f>IF($A836="","",[1]!thsiFinD("ths_adjustment_nv_fund",B$3,$A836))</f>
        <v/>
      </c>
      <c r="C836" s="13" t="str">
        <f>IF($A836="","",[1]!thsiFinD("ths_adjustment_nv_fund",C$3,$A836))</f>
        <v/>
      </c>
      <c r="D836" s="13" t="str">
        <f>IF($A836="","",[1]!thsiFinD("ths_adjustment_nv_fund",D$3,$A836))</f>
        <v/>
      </c>
      <c r="E836" s="13" t="str">
        <f>IF($A836="","",[1]!thsiFinD("ths_adjustment_nv_fund",E$3,$A836))</f>
        <v/>
      </c>
      <c r="F836" s="13" t="str">
        <f>IF($A836="","",[1]!thsiFinD("ths_adjustment_nv_fund",F$3,$A836))</f>
        <v/>
      </c>
      <c r="G836" s="13" t="str">
        <f>IF($A836="","",[1]!thsiFinD("ths_adjustment_nv_fund",G$3,$A836))</f>
        <v/>
      </c>
      <c r="H836" s="13" t="str">
        <f>IF($A836="","",[1]!thsiFinD("ths_adjustment_nv_fund",H$3,$A836))</f>
        <v/>
      </c>
      <c r="I836" s="13" t="str">
        <f>IF($A836="","",[1]!thsiFinD("ths_adjustment_nv_fund",I$3,$A836))</f>
        <v/>
      </c>
      <c r="J836" s="13" t="str">
        <f>IF($A836="","",[1]!thsiFinD("ths_adjustment_nv_fund",J$3,$A836))</f>
        <v/>
      </c>
      <c r="K836" s="13" t="str">
        <f>IF($A836="","",[1]!thsiFinD("ths_adjustment_nv_fund",K$3,$A836))</f>
        <v/>
      </c>
      <c r="L836" s="13" t="str">
        <f>IF($A836="","",[1]!thsiFinD("ths_adjustment_nv_fund",L$3,$A836))</f>
        <v/>
      </c>
      <c r="M836" s="13" t="str">
        <f>IF($A836="","",[1]!thsiFinD("ths_adjustment_nv_fund",M$3,$A836))</f>
        <v/>
      </c>
      <c r="N836" s="13" t="str">
        <f>IF($A836="","",[1]!thsiFinD("ths_adjustment_nv_fund",N$3,$A836))</f>
        <v/>
      </c>
      <c r="O836" s="13" t="str">
        <f>IF($A836="","",[1]!thsiFinD("ths_adjustment_nv_fund",O$3,$A836))</f>
        <v/>
      </c>
      <c r="P836" s="13" t="str">
        <f>IF($A836="","",[1]!thsiFinD("ths_adjustment_nv_fund",P$3,$A836))</f>
        <v/>
      </c>
      <c r="Q836" s="13" t="str">
        <f>IF($A836="","",[1]!thsiFinD("ths_adjustment_nv_fund",Q$3,$A836))</f>
        <v/>
      </c>
      <c r="R836" s="13" t="str">
        <f>IF($A836="","",[1]!thsiFinD("ths_adjustment_nv_fund",R$3,$A836))</f>
        <v/>
      </c>
      <c r="S836" s="13" t="str">
        <f>IF($A836="","",[1]!thsiFinD("ths_adjustment_nv_fund",S$3,$A836))</f>
        <v/>
      </c>
      <c r="T836" s="13" t="str">
        <f>IF($A836="","",[1]!thsiFinD("ths_adjustment_nv_fund",T$3,$A836))</f>
        <v/>
      </c>
      <c r="U836" s="13" t="str">
        <f>IF($A836="","",[1]!thsiFinD("ths_adjustment_nv_fund",U$3,$A836))</f>
        <v/>
      </c>
      <c r="V836" s="13" t="str">
        <f>IF($A836="","",[1]!thsiFinD("ths_adjustment_nv_fund",V$3,$A836))</f>
        <v/>
      </c>
      <c r="W836" s="13" t="str">
        <f>IF($A836="","",[1]!thsiFinD("ths_adjustment_nv_fund",W$3,$A836))</f>
        <v/>
      </c>
      <c r="X836" s="13" t="str">
        <f>IF($A836="","",[1]!thsiFinD("ths_adjustment_nv_fund",X$3,$A836))</f>
        <v/>
      </c>
      <c r="Y836" s="13" t="str">
        <f>IF($A836="","",[1]!thsiFinD("ths_adjustment_nv_fund",Y$3,$A836))</f>
        <v/>
      </c>
      <c r="Z836" s="13" t="str">
        <f>IF($A836="","",[1]!thsiFinD("ths_adjustment_nv_fund",Z$3,$A836))</f>
        <v/>
      </c>
      <c r="AA836" s="13" t="str">
        <f>IF($A836="","",[1]!thsiFinD("ths_adjustment_nv_fund",AA$3,$A836))</f>
        <v/>
      </c>
      <c r="AB836" s="13" t="str">
        <f>IF($A836="","",[1]!thsiFinD("ths_adjustment_nv_fund",AB$3,$A836))</f>
        <v/>
      </c>
    </row>
    <row r="837" spans="2:28">
      <c r="B837" s="13" t="str">
        <f>IF($A837="","",[1]!thsiFinD("ths_adjustment_nv_fund",B$3,$A837))</f>
        <v/>
      </c>
      <c r="C837" s="13" t="str">
        <f>IF($A837="","",[1]!thsiFinD("ths_adjustment_nv_fund",C$3,$A837))</f>
        <v/>
      </c>
      <c r="D837" s="13" t="str">
        <f>IF($A837="","",[1]!thsiFinD("ths_adjustment_nv_fund",D$3,$A837))</f>
        <v/>
      </c>
      <c r="E837" s="13" t="str">
        <f>IF($A837="","",[1]!thsiFinD("ths_adjustment_nv_fund",E$3,$A837))</f>
        <v/>
      </c>
      <c r="F837" s="13" t="str">
        <f>IF($A837="","",[1]!thsiFinD("ths_adjustment_nv_fund",F$3,$A837))</f>
        <v/>
      </c>
      <c r="G837" s="13" t="str">
        <f>IF($A837="","",[1]!thsiFinD("ths_adjustment_nv_fund",G$3,$A837))</f>
        <v/>
      </c>
      <c r="H837" s="13" t="str">
        <f>IF($A837="","",[1]!thsiFinD("ths_adjustment_nv_fund",H$3,$A837))</f>
        <v/>
      </c>
      <c r="I837" s="13" t="str">
        <f>IF($A837="","",[1]!thsiFinD("ths_adjustment_nv_fund",I$3,$A837))</f>
        <v/>
      </c>
      <c r="J837" s="13" t="str">
        <f>IF($A837="","",[1]!thsiFinD("ths_adjustment_nv_fund",J$3,$A837))</f>
        <v/>
      </c>
      <c r="K837" s="13" t="str">
        <f>IF($A837="","",[1]!thsiFinD("ths_adjustment_nv_fund",K$3,$A837))</f>
        <v/>
      </c>
      <c r="L837" s="13" t="str">
        <f>IF($A837="","",[1]!thsiFinD("ths_adjustment_nv_fund",L$3,$A837))</f>
        <v/>
      </c>
      <c r="M837" s="13" t="str">
        <f>IF($A837="","",[1]!thsiFinD("ths_adjustment_nv_fund",M$3,$A837))</f>
        <v/>
      </c>
      <c r="N837" s="13" t="str">
        <f>IF($A837="","",[1]!thsiFinD("ths_adjustment_nv_fund",N$3,$A837))</f>
        <v/>
      </c>
      <c r="O837" s="13" t="str">
        <f>IF($A837="","",[1]!thsiFinD("ths_adjustment_nv_fund",O$3,$A837))</f>
        <v/>
      </c>
      <c r="P837" s="13" t="str">
        <f>IF($A837="","",[1]!thsiFinD("ths_adjustment_nv_fund",P$3,$A837))</f>
        <v/>
      </c>
      <c r="Q837" s="13" t="str">
        <f>IF($A837="","",[1]!thsiFinD("ths_adjustment_nv_fund",Q$3,$A837))</f>
        <v/>
      </c>
      <c r="R837" s="13" t="str">
        <f>IF($A837="","",[1]!thsiFinD("ths_adjustment_nv_fund",R$3,$A837))</f>
        <v/>
      </c>
      <c r="S837" s="13" t="str">
        <f>IF($A837="","",[1]!thsiFinD("ths_adjustment_nv_fund",S$3,$A837))</f>
        <v/>
      </c>
      <c r="T837" s="13" t="str">
        <f>IF($A837="","",[1]!thsiFinD("ths_adjustment_nv_fund",T$3,$A837))</f>
        <v/>
      </c>
      <c r="U837" s="13" t="str">
        <f>IF($A837="","",[1]!thsiFinD("ths_adjustment_nv_fund",U$3,$A837))</f>
        <v/>
      </c>
      <c r="V837" s="13" t="str">
        <f>IF($A837="","",[1]!thsiFinD("ths_adjustment_nv_fund",V$3,$A837))</f>
        <v/>
      </c>
      <c r="W837" s="13" t="str">
        <f>IF($A837="","",[1]!thsiFinD("ths_adjustment_nv_fund",W$3,$A837))</f>
        <v/>
      </c>
      <c r="X837" s="13" t="str">
        <f>IF($A837="","",[1]!thsiFinD("ths_adjustment_nv_fund",X$3,$A837))</f>
        <v/>
      </c>
      <c r="Y837" s="13" t="str">
        <f>IF($A837="","",[1]!thsiFinD("ths_adjustment_nv_fund",Y$3,$A837))</f>
        <v/>
      </c>
      <c r="Z837" s="13" t="str">
        <f>IF($A837="","",[1]!thsiFinD("ths_adjustment_nv_fund",Z$3,$A837))</f>
        <v/>
      </c>
      <c r="AA837" s="13" t="str">
        <f>IF($A837="","",[1]!thsiFinD("ths_adjustment_nv_fund",AA$3,$A837))</f>
        <v/>
      </c>
      <c r="AB837" s="13" t="str">
        <f>IF($A837="","",[1]!thsiFinD("ths_adjustment_nv_fund",AB$3,$A837))</f>
        <v/>
      </c>
    </row>
    <row r="838" spans="2:28">
      <c r="B838" s="13" t="str">
        <f>IF($A838="","",[1]!thsiFinD("ths_adjustment_nv_fund",B$3,$A838))</f>
        <v/>
      </c>
      <c r="C838" s="13" t="str">
        <f>IF($A838="","",[1]!thsiFinD("ths_adjustment_nv_fund",C$3,$A838))</f>
        <v/>
      </c>
      <c r="D838" s="13" t="str">
        <f>IF($A838="","",[1]!thsiFinD("ths_adjustment_nv_fund",D$3,$A838))</f>
        <v/>
      </c>
      <c r="E838" s="13" t="str">
        <f>IF($A838="","",[1]!thsiFinD("ths_adjustment_nv_fund",E$3,$A838))</f>
        <v/>
      </c>
      <c r="F838" s="13" t="str">
        <f>IF($A838="","",[1]!thsiFinD("ths_adjustment_nv_fund",F$3,$A838))</f>
        <v/>
      </c>
      <c r="G838" s="13" t="str">
        <f>IF($A838="","",[1]!thsiFinD("ths_adjustment_nv_fund",G$3,$A838))</f>
        <v/>
      </c>
      <c r="H838" s="13" t="str">
        <f>IF($A838="","",[1]!thsiFinD("ths_adjustment_nv_fund",H$3,$A838))</f>
        <v/>
      </c>
      <c r="I838" s="13" t="str">
        <f>IF($A838="","",[1]!thsiFinD("ths_adjustment_nv_fund",I$3,$A838))</f>
        <v/>
      </c>
      <c r="J838" s="13" t="str">
        <f>IF($A838="","",[1]!thsiFinD("ths_adjustment_nv_fund",J$3,$A838))</f>
        <v/>
      </c>
      <c r="K838" s="13" t="str">
        <f>IF($A838="","",[1]!thsiFinD("ths_adjustment_nv_fund",K$3,$A838))</f>
        <v/>
      </c>
      <c r="L838" s="13" t="str">
        <f>IF($A838="","",[1]!thsiFinD("ths_adjustment_nv_fund",L$3,$A838))</f>
        <v/>
      </c>
      <c r="M838" s="13" t="str">
        <f>IF($A838="","",[1]!thsiFinD("ths_adjustment_nv_fund",M$3,$A838))</f>
        <v/>
      </c>
      <c r="N838" s="13" t="str">
        <f>IF($A838="","",[1]!thsiFinD("ths_adjustment_nv_fund",N$3,$A838))</f>
        <v/>
      </c>
      <c r="O838" s="13" t="str">
        <f>IF($A838="","",[1]!thsiFinD("ths_adjustment_nv_fund",O$3,$A838))</f>
        <v/>
      </c>
      <c r="P838" s="13" t="str">
        <f>IF($A838="","",[1]!thsiFinD("ths_adjustment_nv_fund",P$3,$A838))</f>
        <v/>
      </c>
      <c r="Q838" s="13" t="str">
        <f>IF($A838="","",[1]!thsiFinD("ths_adjustment_nv_fund",Q$3,$A838))</f>
        <v/>
      </c>
      <c r="R838" s="13" t="str">
        <f>IF($A838="","",[1]!thsiFinD("ths_adjustment_nv_fund",R$3,$A838))</f>
        <v/>
      </c>
      <c r="S838" s="13" t="str">
        <f>IF($A838="","",[1]!thsiFinD("ths_adjustment_nv_fund",S$3,$A838))</f>
        <v/>
      </c>
      <c r="T838" s="13" t="str">
        <f>IF($A838="","",[1]!thsiFinD("ths_adjustment_nv_fund",T$3,$A838))</f>
        <v/>
      </c>
      <c r="U838" s="13" t="str">
        <f>IF($A838="","",[1]!thsiFinD("ths_adjustment_nv_fund",U$3,$A838))</f>
        <v/>
      </c>
      <c r="V838" s="13" t="str">
        <f>IF($A838="","",[1]!thsiFinD("ths_adjustment_nv_fund",V$3,$A838))</f>
        <v/>
      </c>
      <c r="W838" s="13" t="str">
        <f>IF($A838="","",[1]!thsiFinD("ths_adjustment_nv_fund",W$3,$A838))</f>
        <v/>
      </c>
      <c r="X838" s="13" t="str">
        <f>IF($A838="","",[1]!thsiFinD("ths_adjustment_nv_fund",X$3,$A838))</f>
        <v/>
      </c>
      <c r="Y838" s="13" t="str">
        <f>IF($A838="","",[1]!thsiFinD("ths_adjustment_nv_fund",Y$3,$A838))</f>
        <v/>
      </c>
      <c r="Z838" s="13" t="str">
        <f>IF($A838="","",[1]!thsiFinD("ths_adjustment_nv_fund",Z$3,$A838))</f>
        <v/>
      </c>
      <c r="AA838" s="13" t="str">
        <f>IF($A838="","",[1]!thsiFinD("ths_adjustment_nv_fund",AA$3,$A838))</f>
        <v/>
      </c>
      <c r="AB838" s="13" t="str">
        <f>IF($A838="","",[1]!thsiFinD("ths_adjustment_nv_fund",AB$3,$A838))</f>
        <v/>
      </c>
    </row>
    <row r="839" spans="2:28">
      <c r="B839" s="13" t="str">
        <f>IF($A839="","",[1]!thsiFinD("ths_adjustment_nv_fund",B$3,$A839))</f>
        <v/>
      </c>
      <c r="C839" s="13" t="str">
        <f>IF($A839="","",[1]!thsiFinD("ths_adjustment_nv_fund",C$3,$A839))</f>
        <v/>
      </c>
      <c r="D839" s="13" t="str">
        <f>IF($A839="","",[1]!thsiFinD("ths_adjustment_nv_fund",D$3,$A839))</f>
        <v/>
      </c>
      <c r="E839" s="13" t="str">
        <f>IF($A839="","",[1]!thsiFinD("ths_adjustment_nv_fund",E$3,$A839))</f>
        <v/>
      </c>
      <c r="F839" s="13" t="str">
        <f>IF($A839="","",[1]!thsiFinD("ths_adjustment_nv_fund",F$3,$A839))</f>
        <v/>
      </c>
      <c r="G839" s="13" t="str">
        <f>IF($A839="","",[1]!thsiFinD("ths_adjustment_nv_fund",G$3,$A839))</f>
        <v/>
      </c>
      <c r="H839" s="13" t="str">
        <f>IF($A839="","",[1]!thsiFinD("ths_adjustment_nv_fund",H$3,$A839))</f>
        <v/>
      </c>
      <c r="I839" s="13" t="str">
        <f>IF($A839="","",[1]!thsiFinD("ths_adjustment_nv_fund",I$3,$A839))</f>
        <v/>
      </c>
      <c r="J839" s="13" t="str">
        <f>IF($A839="","",[1]!thsiFinD("ths_adjustment_nv_fund",J$3,$A839))</f>
        <v/>
      </c>
      <c r="K839" s="13" t="str">
        <f>IF($A839="","",[1]!thsiFinD("ths_adjustment_nv_fund",K$3,$A839))</f>
        <v/>
      </c>
      <c r="L839" s="13" t="str">
        <f>IF($A839="","",[1]!thsiFinD("ths_adjustment_nv_fund",L$3,$A839))</f>
        <v/>
      </c>
      <c r="M839" s="13" t="str">
        <f>IF($A839="","",[1]!thsiFinD("ths_adjustment_nv_fund",M$3,$A839))</f>
        <v/>
      </c>
      <c r="N839" s="13" t="str">
        <f>IF($A839="","",[1]!thsiFinD("ths_adjustment_nv_fund",N$3,$A839))</f>
        <v/>
      </c>
      <c r="O839" s="13" t="str">
        <f>IF($A839="","",[1]!thsiFinD("ths_adjustment_nv_fund",O$3,$A839))</f>
        <v/>
      </c>
      <c r="P839" s="13" t="str">
        <f>IF($A839="","",[1]!thsiFinD("ths_adjustment_nv_fund",P$3,$A839))</f>
        <v/>
      </c>
      <c r="Q839" s="13" t="str">
        <f>IF($A839="","",[1]!thsiFinD("ths_adjustment_nv_fund",Q$3,$A839))</f>
        <v/>
      </c>
      <c r="R839" s="13" t="str">
        <f>IF($A839="","",[1]!thsiFinD("ths_adjustment_nv_fund",R$3,$A839))</f>
        <v/>
      </c>
      <c r="S839" s="13" t="str">
        <f>IF($A839="","",[1]!thsiFinD("ths_adjustment_nv_fund",S$3,$A839))</f>
        <v/>
      </c>
      <c r="T839" s="13" t="str">
        <f>IF($A839="","",[1]!thsiFinD("ths_adjustment_nv_fund",T$3,$A839))</f>
        <v/>
      </c>
      <c r="U839" s="13" t="str">
        <f>IF($A839="","",[1]!thsiFinD("ths_adjustment_nv_fund",U$3,$A839))</f>
        <v/>
      </c>
      <c r="V839" s="13" t="str">
        <f>IF($A839="","",[1]!thsiFinD("ths_adjustment_nv_fund",V$3,$A839))</f>
        <v/>
      </c>
      <c r="W839" s="13" t="str">
        <f>IF($A839="","",[1]!thsiFinD("ths_adjustment_nv_fund",W$3,$A839))</f>
        <v/>
      </c>
      <c r="X839" s="13" t="str">
        <f>IF($A839="","",[1]!thsiFinD("ths_adjustment_nv_fund",X$3,$A839))</f>
        <v/>
      </c>
      <c r="Y839" s="13" t="str">
        <f>IF($A839="","",[1]!thsiFinD("ths_adjustment_nv_fund",Y$3,$A839))</f>
        <v/>
      </c>
      <c r="Z839" s="13" t="str">
        <f>IF($A839="","",[1]!thsiFinD("ths_adjustment_nv_fund",Z$3,$A839))</f>
        <v/>
      </c>
      <c r="AA839" s="13" t="str">
        <f>IF($A839="","",[1]!thsiFinD("ths_adjustment_nv_fund",AA$3,$A839))</f>
        <v/>
      </c>
      <c r="AB839" s="13" t="str">
        <f>IF($A839="","",[1]!thsiFinD("ths_adjustment_nv_fund",AB$3,$A839))</f>
        <v/>
      </c>
    </row>
    <row r="840" spans="2:28">
      <c r="B840" s="13" t="str">
        <f>IF($A840="","",[1]!thsiFinD("ths_adjustment_nv_fund",B$3,$A840))</f>
        <v/>
      </c>
      <c r="C840" s="13" t="str">
        <f>IF($A840="","",[1]!thsiFinD("ths_adjustment_nv_fund",C$3,$A840))</f>
        <v/>
      </c>
      <c r="D840" s="13" t="str">
        <f>IF($A840="","",[1]!thsiFinD("ths_adjustment_nv_fund",D$3,$A840))</f>
        <v/>
      </c>
      <c r="E840" s="13" t="str">
        <f>IF($A840="","",[1]!thsiFinD("ths_adjustment_nv_fund",E$3,$A840))</f>
        <v/>
      </c>
      <c r="F840" s="13" t="str">
        <f>IF($A840="","",[1]!thsiFinD("ths_adjustment_nv_fund",F$3,$A840))</f>
        <v/>
      </c>
      <c r="G840" s="13" t="str">
        <f>IF($A840="","",[1]!thsiFinD("ths_adjustment_nv_fund",G$3,$A840))</f>
        <v/>
      </c>
      <c r="H840" s="13" t="str">
        <f>IF($A840="","",[1]!thsiFinD("ths_adjustment_nv_fund",H$3,$A840))</f>
        <v/>
      </c>
      <c r="I840" s="13" t="str">
        <f>IF($A840="","",[1]!thsiFinD("ths_adjustment_nv_fund",I$3,$A840))</f>
        <v/>
      </c>
      <c r="J840" s="13" t="str">
        <f>IF($A840="","",[1]!thsiFinD("ths_adjustment_nv_fund",J$3,$A840))</f>
        <v/>
      </c>
      <c r="K840" s="13" t="str">
        <f>IF($A840="","",[1]!thsiFinD("ths_adjustment_nv_fund",K$3,$A840))</f>
        <v/>
      </c>
      <c r="L840" s="13" t="str">
        <f>IF($A840="","",[1]!thsiFinD("ths_adjustment_nv_fund",L$3,$A840))</f>
        <v/>
      </c>
      <c r="M840" s="13" t="str">
        <f>IF($A840="","",[1]!thsiFinD("ths_adjustment_nv_fund",M$3,$A840))</f>
        <v/>
      </c>
      <c r="N840" s="13" t="str">
        <f>IF($A840="","",[1]!thsiFinD("ths_adjustment_nv_fund",N$3,$A840))</f>
        <v/>
      </c>
      <c r="O840" s="13" t="str">
        <f>IF($A840="","",[1]!thsiFinD("ths_adjustment_nv_fund",O$3,$A840))</f>
        <v/>
      </c>
      <c r="P840" s="13" t="str">
        <f>IF($A840="","",[1]!thsiFinD("ths_adjustment_nv_fund",P$3,$A840))</f>
        <v/>
      </c>
      <c r="Q840" s="13" t="str">
        <f>IF($A840="","",[1]!thsiFinD("ths_adjustment_nv_fund",Q$3,$A840))</f>
        <v/>
      </c>
      <c r="R840" s="13" t="str">
        <f>IF($A840="","",[1]!thsiFinD("ths_adjustment_nv_fund",R$3,$A840))</f>
        <v/>
      </c>
      <c r="S840" s="13" t="str">
        <f>IF($A840="","",[1]!thsiFinD("ths_adjustment_nv_fund",S$3,$A840))</f>
        <v/>
      </c>
      <c r="T840" s="13" t="str">
        <f>IF($A840="","",[1]!thsiFinD("ths_adjustment_nv_fund",T$3,$A840))</f>
        <v/>
      </c>
      <c r="U840" s="13" t="str">
        <f>IF($A840="","",[1]!thsiFinD("ths_adjustment_nv_fund",U$3,$A840))</f>
        <v/>
      </c>
      <c r="V840" s="13" t="str">
        <f>IF($A840="","",[1]!thsiFinD("ths_adjustment_nv_fund",V$3,$A840))</f>
        <v/>
      </c>
      <c r="W840" s="13" t="str">
        <f>IF($A840="","",[1]!thsiFinD("ths_adjustment_nv_fund",W$3,$A840))</f>
        <v/>
      </c>
      <c r="X840" s="13" t="str">
        <f>IF($A840="","",[1]!thsiFinD("ths_adjustment_nv_fund",X$3,$A840))</f>
        <v/>
      </c>
      <c r="Y840" s="13" t="str">
        <f>IF($A840="","",[1]!thsiFinD("ths_adjustment_nv_fund",Y$3,$A840))</f>
        <v/>
      </c>
      <c r="Z840" s="13" t="str">
        <f>IF($A840="","",[1]!thsiFinD("ths_adjustment_nv_fund",Z$3,$A840))</f>
        <v/>
      </c>
      <c r="AA840" s="13" t="str">
        <f>IF($A840="","",[1]!thsiFinD("ths_adjustment_nv_fund",AA$3,$A840))</f>
        <v/>
      </c>
      <c r="AB840" s="13" t="str">
        <f>IF($A840="","",[1]!thsiFinD("ths_adjustment_nv_fund",AB$3,$A840))</f>
        <v/>
      </c>
    </row>
    <row r="841" spans="2:28">
      <c r="B841" s="13" t="str">
        <f>IF($A841="","",[1]!thsiFinD("ths_adjustment_nv_fund",B$3,$A841))</f>
        <v/>
      </c>
      <c r="C841" s="13" t="str">
        <f>IF($A841="","",[1]!thsiFinD("ths_adjustment_nv_fund",C$3,$A841))</f>
        <v/>
      </c>
      <c r="D841" s="13" t="str">
        <f>IF($A841="","",[1]!thsiFinD("ths_adjustment_nv_fund",D$3,$A841))</f>
        <v/>
      </c>
      <c r="E841" s="13" t="str">
        <f>IF($A841="","",[1]!thsiFinD("ths_adjustment_nv_fund",E$3,$A841))</f>
        <v/>
      </c>
      <c r="F841" s="13" t="str">
        <f>IF($A841="","",[1]!thsiFinD("ths_adjustment_nv_fund",F$3,$A841))</f>
        <v/>
      </c>
      <c r="G841" s="13" t="str">
        <f>IF($A841="","",[1]!thsiFinD("ths_adjustment_nv_fund",G$3,$A841))</f>
        <v/>
      </c>
      <c r="H841" s="13" t="str">
        <f>IF($A841="","",[1]!thsiFinD("ths_adjustment_nv_fund",H$3,$A841))</f>
        <v/>
      </c>
      <c r="I841" s="13" t="str">
        <f>IF($A841="","",[1]!thsiFinD("ths_adjustment_nv_fund",I$3,$A841))</f>
        <v/>
      </c>
      <c r="J841" s="13" t="str">
        <f>IF($A841="","",[1]!thsiFinD("ths_adjustment_nv_fund",J$3,$A841))</f>
        <v/>
      </c>
      <c r="K841" s="13" t="str">
        <f>IF($A841="","",[1]!thsiFinD("ths_adjustment_nv_fund",K$3,$A841))</f>
        <v/>
      </c>
      <c r="L841" s="13" t="str">
        <f>IF($A841="","",[1]!thsiFinD("ths_adjustment_nv_fund",L$3,$A841))</f>
        <v/>
      </c>
      <c r="M841" s="13" t="str">
        <f>IF($A841="","",[1]!thsiFinD("ths_adjustment_nv_fund",M$3,$A841))</f>
        <v/>
      </c>
      <c r="N841" s="13" t="str">
        <f>IF($A841="","",[1]!thsiFinD("ths_adjustment_nv_fund",N$3,$A841))</f>
        <v/>
      </c>
      <c r="O841" s="13" t="str">
        <f>IF($A841="","",[1]!thsiFinD("ths_adjustment_nv_fund",O$3,$A841))</f>
        <v/>
      </c>
      <c r="P841" s="13" t="str">
        <f>IF($A841="","",[1]!thsiFinD("ths_adjustment_nv_fund",P$3,$A841))</f>
        <v/>
      </c>
      <c r="Q841" s="13" t="str">
        <f>IF($A841="","",[1]!thsiFinD("ths_adjustment_nv_fund",Q$3,$A841))</f>
        <v/>
      </c>
      <c r="R841" s="13" t="str">
        <f>IF($A841="","",[1]!thsiFinD("ths_adjustment_nv_fund",R$3,$A841))</f>
        <v/>
      </c>
      <c r="S841" s="13" t="str">
        <f>IF($A841="","",[1]!thsiFinD("ths_adjustment_nv_fund",S$3,$A841))</f>
        <v/>
      </c>
      <c r="T841" s="13" t="str">
        <f>IF($A841="","",[1]!thsiFinD("ths_adjustment_nv_fund",T$3,$A841))</f>
        <v/>
      </c>
      <c r="U841" s="13" t="str">
        <f>IF($A841="","",[1]!thsiFinD("ths_adjustment_nv_fund",U$3,$A841))</f>
        <v/>
      </c>
      <c r="V841" s="13" t="str">
        <f>IF($A841="","",[1]!thsiFinD("ths_adjustment_nv_fund",V$3,$A841))</f>
        <v/>
      </c>
      <c r="W841" s="13" t="str">
        <f>IF($A841="","",[1]!thsiFinD("ths_adjustment_nv_fund",W$3,$A841))</f>
        <v/>
      </c>
      <c r="X841" s="13" t="str">
        <f>IF($A841="","",[1]!thsiFinD("ths_adjustment_nv_fund",X$3,$A841))</f>
        <v/>
      </c>
      <c r="Y841" s="13" t="str">
        <f>IF($A841="","",[1]!thsiFinD("ths_adjustment_nv_fund",Y$3,$A841))</f>
        <v/>
      </c>
      <c r="Z841" s="13" t="str">
        <f>IF($A841="","",[1]!thsiFinD("ths_adjustment_nv_fund",Z$3,$A841))</f>
        <v/>
      </c>
      <c r="AA841" s="13" t="str">
        <f>IF($A841="","",[1]!thsiFinD("ths_adjustment_nv_fund",AA$3,$A841))</f>
        <v/>
      </c>
      <c r="AB841" s="13" t="str">
        <f>IF($A841="","",[1]!thsiFinD("ths_adjustment_nv_fund",AB$3,$A841))</f>
        <v/>
      </c>
    </row>
    <row r="842" spans="2:28">
      <c r="B842" s="13" t="str">
        <f>IF($A842="","",[1]!thsiFinD("ths_adjustment_nv_fund",B$3,$A842))</f>
        <v/>
      </c>
      <c r="C842" s="13" t="str">
        <f>IF($A842="","",[1]!thsiFinD("ths_adjustment_nv_fund",C$3,$A842))</f>
        <v/>
      </c>
      <c r="D842" s="13" t="str">
        <f>IF($A842="","",[1]!thsiFinD("ths_adjustment_nv_fund",D$3,$A842))</f>
        <v/>
      </c>
      <c r="E842" s="13" t="str">
        <f>IF($A842="","",[1]!thsiFinD("ths_adjustment_nv_fund",E$3,$A842))</f>
        <v/>
      </c>
      <c r="F842" s="13" t="str">
        <f>IF($A842="","",[1]!thsiFinD("ths_adjustment_nv_fund",F$3,$A842))</f>
        <v/>
      </c>
      <c r="G842" s="13" t="str">
        <f>IF($A842="","",[1]!thsiFinD("ths_adjustment_nv_fund",G$3,$A842))</f>
        <v/>
      </c>
      <c r="H842" s="13" t="str">
        <f>IF($A842="","",[1]!thsiFinD("ths_adjustment_nv_fund",H$3,$A842))</f>
        <v/>
      </c>
      <c r="I842" s="13" t="str">
        <f>IF($A842="","",[1]!thsiFinD("ths_adjustment_nv_fund",I$3,$A842))</f>
        <v/>
      </c>
      <c r="J842" s="13" t="str">
        <f>IF($A842="","",[1]!thsiFinD("ths_adjustment_nv_fund",J$3,$A842))</f>
        <v/>
      </c>
      <c r="K842" s="13" t="str">
        <f>IF($A842="","",[1]!thsiFinD("ths_adjustment_nv_fund",K$3,$A842))</f>
        <v/>
      </c>
      <c r="L842" s="13" t="str">
        <f>IF($A842="","",[1]!thsiFinD("ths_adjustment_nv_fund",L$3,$A842))</f>
        <v/>
      </c>
      <c r="M842" s="13" t="str">
        <f>IF($A842="","",[1]!thsiFinD("ths_adjustment_nv_fund",M$3,$A842))</f>
        <v/>
      </c>
      <c r="N842" s="13" t="str">
        <f>IF($A842="","",[1]!thsiFinD("ths_adjustment_nv_fund",N$3,$A842))</f>
        <v/>
      </c>
      <c r="O842" s="13" t="str">
        <f>IF($A842="","",[1]!thsiFinD("ths_adjustment_nv_fund",O$3,$A842))</f>
        <v/>
      </c>
      <c r="P842" s="13" t="str">
        <f>IF($A842="","",[1]!thsiFinD("ths_adjustment_nv_fund",P$3,$A842))</f>
        <v/>
      </c>
      <c r="Q842" s="13" t="str">
        <f>IF($A842="","",[1]!thsiFinD("ths_adjustment_nv_fund",Q$3,$A842))</f>
        <v/>
      </c>
      <c r="R842" s="13" t="str">
        <f>IF($A842="","",[1]!thsiFinD("ths_adjustment_nv_fund",R$3,$A842))</f>
        <v/>
      </c>
      <c r="S842" s="13" t="str">
        <f>IF($A842="","",[1]!thsiFinD("ths_adjustment_nv_fund",S$3,$A842))</f>
        <v/>
      </c>
      <c r="T842" s="13" t="str">
        <f>IF($A842="","",[1]!thsiFinD("ths_adjustment_nv_fund",T$3,$A842))</f>
        <v/>
      </c>
      <c r="U842" s="13" t="str">
        <f>IF($A842="","",[1]!thsiFinD("ths_adjustment_nv_fund",U$3,$A842))</f>
        <v/>
      </c>
      <c r="V842" s="13" t="str">
        <f>IF($A842="","",[1]!thsiFinD("ths_adjustment_nv_fund",V$3,$A842))</f>
        <v/>
      </c>
      <c r="W842" s="13" t="str">
        <f>IF($A842="","",[1]!thsiFinD("ths_adjustment_nv_fund",W$3,$A842))</f>
        <v/>
      </c>
      <c r="X842" s="13" t="str">
        <f>IF($A842="","",[1]!thsiFinD("ths_adjustment_nv_fund",X$3,$A842))</f>
        <v/>
      </c>
      <c r="Y842" s="13" t="str">
        <f>IF($A842="","",[1]!thsiFinD("ths_adjustment_nv_fund",Y$3,$A842))</f>
        <v/>
      </c>
      <c r="Z842" s="13" t="str">
        <f>IF($A842="","",[1]!thsiFinD("ths_adjustment_nv_fund",Z$3,$A842))</f>
        <v/>
      </c>
      <c r="AA842" s="13" t="str">
        <f>IF($A842="","",[1]!thsiFinD("ths_adjustment_nv_fund",AA$3,$A842))</f>
        <v/>
      </c>
      <c r="AB842" s="13" t="str">
        <f>IF($A842="","",[1]!thsiFinD("ths_adjustment_nv_fund",AB$3,$A842))</f>
        <v/>
      </c>
    </row>
    <row r="843" spans="2:28">
      <c r="B843" s="13" t="str">
        <f>IF($A843="","",[1]!thsiFinD("ths_adjustment_nv_fund",B$3,$A843))</f>
        <v/>
      </c>
      <c r="C843" s="13" t="str">
        <f>IF($A843="","",[1]!thsiFinD("ths_adjustment_nv_fund",C$3,$A843))</f>
        <v/>
      </c>
      <c r="D843" s="13" t="str">
        <f>IF($A843="","",[1]!thsiFinD("ths_adjustment_nv_fund",D$3,$A843))</f>
        <v/>
      </c>
      <c r="E843" s="13" t="str">
        <f>IF($A843="","",[1]!thsiFinD("ths_adjustment_nv_fund",E$3,$A843))</f>
        <v/>
      </c>
      <c r="F843" s="13" t="str">
        <f>IF($A843="","",[1]!thsiFinD("ths_adjustment_nv_fund",F$3,$A843))</f>
        <v/>
      </c>
      <c r="G843" s="13" t="str">
        <f>IF($A843="","",[1]!thsiFinD("ths_adjustment_nv_fund",G$3,$A843))</f>
        <v/>
      </c>
      <c r="H843" s="13" t="str">
        <f>IF($A843="","",[1]!thsiFinD("ths_adjustment_nv_fund",H$3,$A843))</f>
        <v/>
      </c>
      <c r="I843" s="13" t="str">
        <f>IF($A843="","",[1]!thsiFinD("ths_adjustment_nv_fund",I$3,$A843))</f>
        <v/>
      </c>
      <c r="J843" s="13" t="str">
        <f>IF($A843="","",[1]!thsiFinD("ths_adjustment_nv_fund",J$3,$A843))</f>
        <v/>
      </c>
      <c r="K843" s="13" t="str">
        <f>IF($A843="","",[1]!thsiFinD("ths_adjustment_nv_fund",K$3,$A843))</f>
        <v/>
      </c>
      <c r="L843" s="13" t="str">
        <f>IF($A843="","",[1]!thsiFinD("ths_adjustment_nv_fund",L$3,$A843))</f>
        <v/>
      </c>
      <c r="M843" s="13" t="str">
        <f>IF($A843="","",[1]!thsiFinD("ths_adjustment_nv_fund",M$3,$A843))</f>
        <v/>
      </c>
      <c r="N843" s="13" t="str">
        <f>IF($A843="","",[1]!thsiFinD("ths_adjustment_nv_fund",N$3,$A843))</f>
        <v/>
      </c>
      <c r="O843" s="13" t="str">
        <f>IF($A843="","",[1]!thsiFinD("ths_adjustment_nv_fund",O$3,$A843))</f>
        <v/>
      </c>
      <c r="P843" s="13" t="str">
        <f>IF($A843="","",[1]!thsiFinD("ths_adjustment_nv_fund",P$3,$A843))</f>
        <v/>
      </c>
      <c r="Q843" s="13" t="str">
        <f>IF($A843="","",[1]!thsiFinD("ths_adjustment_nv_fund",Q$3,$A843))</f>
        <v/>
      </c>
      <c r="R843" s="13" t="str">
        <f>IF($A843="","",[1]!thsiFinD("ths_adjustment_nv_fund",R$3,$A843))</f>
        <v/>
      </c>
      <c r="S843" s="13" t="str">
        <f>IF($A843="","",[1]!thsiFinD("ths_adjustment_nv_fund",S$3,$A843))</f>
        <v/>
      </c>
      <c r="T843" s="13" t="str">
        <f>IF($A843="","",[1]!thsiFinD("ths_adjustment_nv_fund",T$3,$A843))</f>
        <v/>
      </c>
      <c r="U843" s="13" t="str">
        <f>IF($A843="","",[1]!thsiFinD("ths_adjustment_nv_fund",U$3,$A843))</f>
        <v/>
      </c>
      <c r="V843" s="13" t="str">
        <f>IF($A843="","",[1]!thsiFinD("ths_adjustment_nv_fund",V$3,$A843))</f>
        <v/>
      </c>
      <c r="W843" s="13" t="str">
        <f>IF($A843="","",[1]!thsiFinD("ths_adjustment_nv_fund",W$3,$A843))</f>
        <v/>
      </c>
      <c r="X843" s="13" t="str">
        <f>IF($A843="","",[1]!thsiFinD("ths_adjustment_nv_fund",X$3,$A843))</f>
        <v/>
      </c>
      <c r="Y843" s="13" t="str">
        <f>IF($A843="","",[1]!thsiFinD("ths_adjustment_nv_fund",Y$3,$A843))</f>
        <v/>
      </c>
      <c r="Z843" s="13" t="str">
        <f>IF($A843="","",[1]!thsiFinD("ths_adjustment_nv_fund",Z$3,$A843))</f>
        <v/>
      </c>
      <c r="AA843" s="13" t="str">
        <f>IF($A843="","",[1]!thsiFinD("ths_adjustment_nv_fund",AA$3,$A843))</f>
        <v/>
      </c>
      <c r="AB843" s="13" t="str">
        <f>IF($A843="","",[1]!thsiFinD("ths_adjustment_nv_fund",AB$3,$A843))</f>
        <v/>
      </c>
    </row>
    <row r="844" spans="2:28">
      <c r="B844" s="13" t="str">
        <f>IF($A844="","",[1]!thsiFinD("ths_adjustment_nv_fund",B$3,$A844))</f>
        <v/>
      </c>
      <c r="C844" s="13" t="str">
        <f>IF($A844="","",[1]!thsiFinD("ths_adjustment_nv_fund",C$3,$A844))</f>
        <v/>
      </c>
      <c r="D844" s="13" t="str">
        <f>IF($A844="","",[1]!thsiFinD("ths_adjustment_nv_fund",D$3,$A844))</f>
        <v/>
      </c>
      <c r="E844" s="13" t="str">
        <f>IF($A844="","",[1]!thsiFinD("ths_adjustment_nv_fund",E$3,$A844))</f>
        <v/>
      </c>
      <c r="F844" s="13" t="str">
        <f>IF($A844="","",[1]!thsiFinD("ths_adjustment_nv_fund",F$3,$A844))</f>
        <v/>
      </c>
      <c r="G844" s="13" t="str">
        <f>IF($A844="","",[1]!thsiFinD("ths_adjustment_nv_fund",G$3,$A844))</f>
        <v/>
      </c>
      <c r="H844" s="13" t="str">
        <f>IF($A844="","",[1]!thsiFinD("ths_adjustment_nv_fund",H$3,$A844))</f>
        <v/>
      </c>
      <c r="I844" s="13" t="str">
        <f>IF($A844="","",[1]!thsiFinD("ths_adjustment_nv_fund",I$3,$A844))</f>
        <v/>
      </c>
      <c r="J844" s="13" t="str">
        <f>IF($A844="","",[1]!thsiFinD("ths_adjustment_nv_fund",J$3,$A844))</f>
        <v/>
      </c>
      <c r="K844" s="13" t="str">
        <f>IF($A844="","",[1]!thsiFinD("ths_adjustment_nv_fund",K$3,$A844))</f>
        <v/>
      </c>
      <c r="L844" s="13" t="str">
        <f>IF($A844="","",[1]!thsiFinD("ths_adjustment_nv_fund",L$3,$A844))</f>
        <v/>
      </c>
      <c r="M844" s="13" t="str">
        <f>IF($A844="","",[1]!thsiFinD("ths_adjustment_nv_fund",M$3,$A844))</f>
        <v/>
      </c>
      <c r="N844" s="13" t="str">
        <f>IF($A844="","",[1]!thsiFinD("ths_adjustment_nv_fund",N$3,$A844))</f>
        <v/>
      </c>
      <c r="O844" s="13" t="str">
        <f>IF($A844="","",[1]!thsiFinD("ths_adjustment_nv_fund",O$3,$A844))</f>
        <v/>
      </c>
      <c r="P844" s="13" t="str">
        <f>IF($A844="","",[1]!thsiFinD("ths_adjustment_nv_fund",P$3,$A844))</f>
        <v/>
      </c>
      <c r="Q844" s="13" t="str">
        <f>IF($A844="","",[1]!thsiFinD("ths_adjustment_nv_fund",Q$3,$A844))</f>
        <v/>
      </c>
      <c r="R844" s="13" t="str">
        <f>IF($A844="","",[1]!thsiFinD("ths_adjustment_nv_fund",R$3,$A844))</f>
        <v/>
      </c>
      <c r="S844" s="13" t="str">
        <f>IF($A844="","",[1]!thsiFinD("ths_adjustment_nv_fund",S$3,$A844))</f>
        <v/>
      </c>
      <c r="T844" s="13" t="str">
        <f>IF($A844="","",[1]!thsiFinD("ths_adjustment_nv_fund",T$3,$A844))</f>
        <v/>
      </c>
      <c r="U844" s="13" t="str">
        <f>IF($A844="","",[1]!thsiFinD("ths_adjustment_nv_fund",U$3,$A844))</f>
        <v/>
      </c>
      <c r="V844" s="13" t="str">
        <f>IF($A844="","",[1]!thsiFinD("ths_adjustment_nv_fund",V$3,$A844))</f>
        <v/>
      </c>
      <c r="W844" s="13" t="str">
        <f>IF($A844="","",[1]!thsiFinD("ths_adjustment_nv_fund",W$3,$A844))</f>
        <v/>
      </c>
      <c r="X844" s="13" t="str">
        <f>IF($A844="","",[1]!thsiFinD("ths_adjustment_nv_fund",X$3,$A844))</f>
        <v/>
      </c>
      <c r="Y844" s="13" t="str">
        <f>IF($A844="","",[1]!thsiFinD("ths_adjustment_nv_fund",Y$3,$A844))</f>
        <v/>
      </c>
      <c r="Z844" s="13" t="str">
        <f>IF($A844="","",[1]!thsiFinD("ths_adjustment_nv_fund",Z$3,$A844))</f>
        <v/>
      </c>
      <c r="AA844" s="13" t="str">
        <f>IF($A844="","",[1]!thsiFinD("ths_adjustment_nv_fund",AA$3,$A844))</f>
        <v/>
      </c>
      <c r="AB844" s="13" t="str">
        <f>IF($A844="","",[1]!thsiFinD("ths_adjustment_nv_fund",AB$3,$A844))</f>
        <v/>
      </c>
    </row>
    <row r="845" spans="2:28">
      <c r="B845" s="13" t="str">
        <f>IF($A845="","",[1]!thsiFinD("ths_adjustment_nv_fund",B$3,$A845))</f>
        <v/>
      </c>
      <c r="C845" s="13" t="str">
        <f>IF($A845="","",[1]!thsiFinD("ths_adjustment_nv_fund",C$3,$A845))</f>
        <v/>
      </c>
      <c r="D845" s="13" t="str">
        <f>IF($A845="","",[1]!thsiFinD("ths_adjustment_nv_fund",D$3,$A845))</f>
        <v/>
      </c>
      <c r="E845" s="13" t="str">
        <f>IF($A845="","",[1]!thsiFinD("ths_adjustment_nv_fund",E$3,$A845))</f>
        <v/>
      </c>
      <c r="F845" s="13" t="str">
        <f>IF($A845="","",[1]!thsiFinD("ths_adjustment_nv_fund",F$3,$A845))</f>
        <v/>
      </c>
      <c r="G845" s="13" t="str">
        <f>IF($A845="","",[1]!thsiFinD("ths_adjustment_nv_fund",G$3,$A845))</f>
        <v/>
      </c>
      <c r="H845" s="13" t="str">
        <f>IF($A845="","",[1]!thsiFinD("ths_adjustment_nv_fund",H$3,$A845))</f>
        <v/>
      </c>
      <c r="I845" s="13" t="str">
        <f>IF($A845="","",[1]!thsiFinD("ths_adjustment_nv_fund",I$3,$A845))</f>
        <v/>
      </c>
      <c r="J845" s="13" t="str">
        <f>IF($A845="","",[1]!thsiFinD("ths_adjustment_nv_fund",J$3,$A845))</f>
        <v/>
      </c>
      <c r="K845" s="13" t="str">
        <f>IF($A845="","",[1]!thsiFinD("ths_adjustment_nv_fund",K$3,$A845))</f>
        <v/>
      </c>
      <c r="L845" s="13" t="str">
        <f>IF($A845="","",[1]!thsiFinD("ths_adjustment_nv_fund",L$3,$A845))</f>
        <v/>
      </c>
      <c r="M845" s="13" t="str">
        <f>IF($A845="","",[1]!thsiFinD("ths_adjustment_nv_fund",M$3,$A845))</f>
        <v/>
      </c>
      <c r="N845" s="13" t="str">
        <f>IF($A845="","",[1]!thsiFinD("ths_adjustment_nv_fund",N$3,$A845))</f>
        <v/>
      </c>
      <c r="O845" s="13" t="str">
        <f>IF($A845="","",[1]!thsiFinD("ths_adjustment_nv_fund",O$3,$A845))</f>
        <v/>
      </c>
      <c r="P845" s="13" t="str">
        <f>IF($A845="","",[1]!thsiFinD("ths_adjustment_nv_fund",P$3,$A845))</f>
        <v/>
      </c>
      <c r="Q845" s="13" t="str">
        <f>IF($A845="","",[1]!thsiFinD("ths_adjustment_nv_fund",Q$3,$A845))</f>
        <v/>
      </c>
      <c r="R845" s="13" t="str">
        <f>IF($A845="","",[1]!thsiFinD("ths_adjustment_nv_fund",R$3,$A845))</f>
        <v/>
      </c>
      <c r="S845" s="13" t="str">
        <f>IF($A845="","",[1]!thsiFinD("ths_adjustment_nv_fund",S$3,$A845))</f>
        <v/>
      </c>
      <c r="T845" s="13" t="str">
        <f>IF($A845="","",[1]!thsiFinD("ths_adjustment_nv_fund",T$3,$A845))</f>
        <v/>
      </c>
      <c r="U845" s="13" t="str">
        <f>IF($A845="","",[1]!thsiFinD("ths_adjustment_nv_fund",U$3,$A845))</f>
        <v/>
      </c>
      <c r="V845" s="13" t="str">
        <f>IF($A845="","",[1]!thsiFinD("ths_adjustment_nv_fund",V$3,$A845))</f>
        <v/>
      </c>
      <c r="W845" s="13" t="str">
        <f>IF($A845="","",[1]!thsiFinD("ths_adjustment_nv_fund",W$3,$A845))</f>
        <v/>
      </c>
      <c r="X845" s="13" t="str">
        <f>IF($A845="","",[1]!thsiFinD("ths_adjustment_nv_fund",X$3,$A845))</f>
        <v/>
      </c>
      <c r="Y845" s="13" t="str">
        <f>IF($A845="","",[1]!thsiFinD("ths_adjustment_nv_fund",Y$3,$A845))</f>
        <v/>
      </c>
      <c r="Z845" s="13" t="str">
        <f>IF($A845="","",[1]!thsiFinD("ths_adjustment_nv_fund",Z$3,$A845))</f>
        <v/>
      </c>
      <c r="AA845" s="13" t="str">
        <f>IF($A845="","",[1]!thsiFinD("ths_adjustment_nv_fund",AA$3,$A845))</f>
        <v/>
      </c>
      <c r="AB845" s="13" t="str">
        <f>IF($A845="","",[1]!thsiFinD("ths_adjustment_nv_fund",AB$3,$A845))</f>
        <v/>
      </c>
    </row>
    <row r="846" spans="2:28">
      <c r="B846" s="13" t="str">
        <f>IF($A846="","",[1]!thsiFinD("ths_adjustment_nv_fund",B$3,$A846))</f>
        <v/>
      </c>
      <c r="C846" s="13" t="str">
        <f>IF($A846="","",[1]!thsiFinD("ths_adjustment_nv_fund",C$3,$A846))</f>
        <v/>
      </c>
      <c r="D846" s="13" t="str">
        <f>IF($A846="","",[1]!thsiFinD("ths_adjustment_nv_fund",D$3,$A846))</f>
        <v/>
      </c>
      <c r="E846" s="13" t="str">
        <f>IF($A846="","",[1]!thsiFinD("ths_adjustment_nv_fund",E$3,$A846))</f>
        <v/>
      </c>
      <c r="F846" s="13" t="str">
        <f>IF($A846="","",[1]!thsiFinD("ths_adjustment_nv_fund",F$3,$A846))</f>
        <v/>
      </c>
      <c r="G846" s="13" t="str">
        <f>IF($A846="","",[1]!thsiFinD("ths_adjustment_nv_fund",G$3,$A846))</f>
        <v/>
      </c>
      <c r="H846" s="13" t="str">
        <f>IF($A846="","",[1]!thsiFinD("ths_adjustment_nv_fund",H$3,$A846))</f>
        <v/>
      </c>
      <c r="I846" s="13" t="str">
        <f>IF($A846="","",[1]!thsiFinD("ths_adjustment_nv_fund",I$3,$A846))</f>
        <v/>
      </c>
      <c r="J846" s="13" t="str">
        <f>IF($A846="","",[1]!thsiFinD("ths_adjustment_nv_fund",J$3,$A846))</f>
        <v/>
      </c>
      <c r="K846" s="13" t="str">
        <f>IF($A846="","",[1]!thsiFinD("ths_adjustment_nv_fund",K$3,$A846))</f>
        <v/>
      </c>
      <c r="L846" s="13" t="str">
        <f>IF($A846="","",[1]!thsiFinD("ths_adjustment_nv_fund",L$3,$A846))</f>
        <v/>
      </c>
      <c r="M846" s="13" t="str">
        <f>IF($A846="","",[1]!thsiFinD("ths_adjustment_nv_fund",M$3,$A846))</f>
        <v/>
      </c>
      <c r="N846" s="13" t="str">
        <f>IF($A846="","",[1]!thsiFinD("ths_adjustment_nv_fund",N$3,$A846))</f>
        <v/>
      </c>
      <c r="O846" s="13" t="str">
        <f>IF($A846="","",[1]!thsiFinD("ths_adjustment_nv_fund",O$3,$A846))</f>
        <v/>
      </c>
      <c r="P846" s="13" t="str">
        <f>IF($A846="","",[1]!thsiFinD("ths_adjustment_nv_fund",P$3,$A846))</f>
        <v/>
      </c>
      <c r="Q846" s="13" t="str">
        <f>IF($A846="","",[1]!thsiFinD("ths_adjustment_nv_fund",Q$3,$A846))</f>
        <v/>
      </c>
      <c r="R846" s="13" t="str">
        <f>IF($A846="","",[1]!thsiFinD("ths_adjustment_nv_fund",R$3,$A846))</f>
        <v/>
      </c>
      <c r="S846" s="13" t="str">
        <f>IF($A846="","",[1]!thsiFinD("ths_adjustment_nv_fund",S$3,$A846))</f>
        <v/>
      </c>
      <c r="T846" s="13" t="str">
        <f>IF($A846="","",[1]!thsiFinD("ths_adjustment_nv_fund",T$3,$A846))</f>
        <v/>
      </c>
      <c r="U846" s="13" t="str">
        <f>IF($A846="","",[1]!thsiFinD("ths_adjustment_nv_fund",U$3,$A846))</f>
        <v/>
      </c>
      <c r="V846" s="13" t="str">
        <f>IF($A846="","",[1]!thsiFinD("ths_adjustment_nv_fund",V$3,$A846))</f>
        <v/>
      </c>
      <c r="W846" s="13" t="str">
        <f>IF($A846="","",[1]!thsiFinD("ths_adjustment_nv_fund",W$3,$A846))</f>
        <v/>
      </c>
      <c r="X846" s="13" t="str">
        <f>IF($A846="","",[1]!thsiFinD("ths_adjustment_nv_fund",X$3,$A846))</f>
        <v/>
      </c>
      <c r="Y846" s="13" t="str">
        <f>IF($A846="","",[1]!thsiFinD("ths_adjustment_nv_fund",Y$3,$A846))</f>
        <v/>
      </c>
      <c r="Z846" s="13" t="str">
        <f>IF($A846="","",[1]!thsiFinD("ths_adjustment_nv_fund",Z$3,$A846))</f>
        <v/>
      </c>
      <c r="AA846" s="13" t="str">
        <f>IF($A846="","",[1]!thsiFinD("ths_adjustment_nv_fund",AA$3,$A846))</f>
        <v/>
      </c>
      <c r="AB846" s="13" t="str">
        <f>IF($A846="","",[1]!thsiFinD("ths_adjustment_nv_fund",AB$3,$A846))</f>
        <v/>
      </c>
    </row>
    <row r="847" spans="2:28">
      <c r="B847" s="13" t="str">
        <f>IF($A847="","",[1]!thsiFinD("ths_adjustment_nv_fund",B$3,$A847))</f>
        <v/>
      </c>
      <c r="C847" s="13" t="str">
        <f>IF($A847="","",[1]!thsiFinD("ths_adjustment_nv_fund",C$3,$A847))</f>
        <v/>
      </c>
      <c r="D847" s="13" t="str">
        <f>IF($A847="","",[1]!thsiFinD("ths_adjustment_nv_fund",D$3,$A847))</f>
        <v/>
      </c>
      <c r="E847" s="13" t="str">
        <f>IF($A847="","",[1]!thsiFinD("ths_adjustment_nv_fund",E$3,$A847))</f>
        <v/>
      </c>
      <c r="F847" s="13" t="str">
        <f>IF($A847="","",[1]!thsiFinD("ths_adjustment_nv_fund",F$3,$A847))</f>
        <v/>
      </c>
      <c r="G847" s="13" t="str">
        <f>IF($A847="","",[1]!thsiFinD("ths_adjustment_nv_fund",G$3,$A847))</f>
        <v/>
      </c>
      <c r="H847" s="13" t="str">
        <f>IF($A847="","",[1]!thsiFinD("ths_adjustment_nv_fund",H$3,$A847))</f>
        <v/>
      </c>
      <c r="I847" s="13" t="str">
        <f>IF($A847="","",[1]!thsiFinD("ths_adjustment_nv_fund",I$3,$A847))</f>
        <v/>
      </c>
      <c r="J847" s="13" t="str">
        <f>IF($A847="","",[1]!thsiFinD("ths_adjustment_nv_fund",J$3,$A847))</f>
        <v/>
      </c>
      <c r="K847" s="13" t="str">
        <f>IF($A847="","",[1]!thsiFinD("ths_adjustment_nv_fund",K$3,$A847))</f>
        <v/>
      </c>
      <c r="L847" s="13" t="str">
        <f>IF($A847="","",[1]!thsiFinD("ths_adjustment_nv_fund",L$3,$A847))</f>
        <v/>
      </c>
      <c r="M847" s="13" t="str">
        <f>IF($A847="","",[1]!thsiFinD("ths_adjustment_nv_fund",M$3,$A847))</f>
        <v/>
      </c>
      <c r="N847" s="13" t="str">
        <f>IF($A847="","",[1]!thsiFinD("ths_adjustment_nv_fund",N$3,$A847))</f>
        <v/>
      </c>
      <c r="O847" s="13" t="str">
        <f>IF($A847="","",[1]!thsiFinD("ths_adjustment_nv_fund",O$3,$A847))</f>
        <v/>
      </c>
      <c r="P847" s="13" t="str">
        <f>IF($A847="","",[1]!thsiFinD("ths_adjustment_nv_fund",P$3,$A847))</f>
        <v/>
      </c>
      <c r="Q847" s="13" t="str">
        <f>IF($A847="","",[1]!thsiFinD("ths_adjustment_nv_fund",Q$3,$A847))</f>
        <v/>
      </c>
      <c r="R847" s="13" t="str">
        <f>IF($A847="","",[1]!thsiFinD("ths_adjustment_nv_fund",R$3,$A847))</f>
        <v/>
      </c>
      <c r="S847" s="13" t="str">
        <f>IF($A847="","",[1]!thsiFinD("ths_adjustment_nv_fund",S$3,$A847))</f>
        <v/>
      </c>
      <c r="T847" s="13" t="str">
        <f>IF($A847="","",[1]!thsiFinD("ths_adjustment_nv_fund",T$3,$A847))</f>
        <v/>
      </c>
      <c r="U847" s="13" t="str">
        <f>IF($A847="","",[1]!thsiFinD("ths_adjustment_nv_fund",U$3,$A847))</f>
        <v/>
      </c>
      <c r="V847" s="13" t="str">
        <f>IF($A847="","",[1]!thsiFinD("ths_adjustment_nv_fund",V$3,$A847))</f>
        <v/>
      </c>
      <c r="W847" s="13" t="str">
        <f>IF($A847="","",[1]!thsiFinD("ths_adjustment_nv_fund",W$3,$A847))</f>
        <v/>
      </c>
      <c r="X847" s="13" t="str">
        <f>IF($A847="","",[1]!thsiFinD("ths_adjustment_nv_fund",X$3,$A847))</f>
        <v/>
      </c>
      <c r="Y847" s="13" t="str">
        <f>IF($A847="","",[1]!thsiFinD("ths_adjustment_nv_fund",Y$3,$A847))</f>
        <v/>
      </c>
      <c r="Z847" s="13" t="str">
        <f>IF($A847="","",[1]!thsiFinD("ths_adjustment_nv_fund",Z$3,$A847))</f>
        <v/>
      </c>
      <c r="AA847" s="13" t="str">
        <f>IF($A847="","",[1]!thsiFinD("ths_adjustment_nv_fund",AA$3,$A847))</f>
        <v/>
      </c>
      <c r="AB847" s="13" t="str">
        <f>IF($A847="","",[1]!thsiFinD("ths_adjustment_nv_fund",AB$3,$A847))</f>
        <v/>
      </c>
    </row>
    <row r="848" spans="2:28">
      <c r="B848" s="13" t="str">
        <f>IF($A848="","",[1]!thsiFinD("ths_adjustment_nv_fund",B$3,$A848))</f>
        <v/>
      </c>
      <c r="C848" s="13" t="str">
        <f>IF($A848="","",[1]!thsiFinD("ths_adjustment_nv_fund",C$3,$A848))</f>
        <v/>
      </c>
      <c r="D848" s="13" t="str">
        <f>IF($A848="","",[1]!thsiFinD("ths_adjustment_nv_fund",D$3,$A848))</f>
        <v/>
      </c>
      <c r="E848" s="13" t="str">
        <f>IF($A848="","",[1]!thsiFinD("ths_adjustment_nv_fund",E$3,$A848))</f>
        <v/>
      </c>
      <c r="F848" s="13" t="str">
        <f>IF($A848="","",[1]!thsiFinD("ths_adjustment_nv_fund",F$3,$A848))</f>
        <v/>
      </c>
      <c r="G848" s="13" t="str">
        <f>IF($A848="","",[1]!thsiFinD("ths_adjustment_nv_fund",G$3,$A848))</f>
        <v/>
      </c>
      <c r="H848" s="13" t="str">
        <f>IF($A848="","",[1]!thsiFinD("ths_adjustment_nv_fund",H$3,$A848))</f>
        <v/>
      </c>
      <c r="I848" s="13" t="str">
        <f>IF($A848="","",[1]!thsiFinD("ths_adjustment_nv_fund",I$3,$A848))</f>
        <v/>
      </c>
      <c r="J848" s="13" t="str">
        <f>IF($A848="","",[1]!thsiFinD("ths_adjustment_nv_fund",J$3,$A848))</f>
        <v/>
      </c>
      <c r="K848" s="13" t="str">
        <f>IF($A848="","",[1]!thsiFinD("ths_adjustment_nv_fund",K$3,$A848))</f>
        <v/>
      </c>
      <c r="L848" s="13" t="str">
        <f>IF($A848="","",[1]!thsiFinD("ths_adjustment_nv_fund",L$3,$A848))</f>
        <v/>
      </c>
      <c r="M848" s="13" t="str">
        <f>IF($A848="","",[1]!thsiFinD("ths_adjustment_nv_fund",M$3,$A848))</f>
        <v/>
      </c>
      <c r="N848" s="13" t="str">
        <f>IF($A848="","",[1]!thsiFinD("ths_adjustment_nv_fund",N$3,$A848))</f>
        <v/>
      </c>
      <c r="O848" s="13" t="str">
        <f>IF($A848="","",[1]!thsiFinD("ths_adjustment_nv_fund",O$3,$A848))</f>
        <v/>
      </c>
      <c r="P848" s="13" t="str">
        <f>IF($A848="","",[1]!thsiFinD("ths_adjustment_nv_fund",P$3,$A848))</f>
        <v/>
      </c>
      <c r="Q848" s="13" t="str">
        <f>IF($A848="","",[1]!thsiFinD("ths_adjustment_nv_fund",Q$3,$A848))</f>
        <v/>
      </c>
      <c r="R848" s="13" t="str">
        <f>IF($A848="","",[1]!thsiFinD("ths_adjustment_nv_fund",R$3,$A848))</f>
        <v/>
      </c>
      <c r="S848" s="13" t="str">
        <f>IF($A848="","",[1]!thsiFinD("ths_adjustment_nv_fund",S$3,$A848))</f>
        <v/>
      </c>
      <c r="T848" s="13" t="str">
        <f>IF($A848="","",[1]!thsiFinD("ths_adjustment_nv_fund",T$3,$A848))</f>
        <v/>
      </c>
      <c r="U848" s="13" t="str">
        <f>IF($A848="","",[1]!thsiFinD("ths_adjustment_nv_fund",U$3,$A848))</f>
        <v/>
      </c>
      <c r="V848" s="13" t="str">
        <f>IF($A848="","",[1]!thsiFinD("ths_adjustment_nv_fund",V$3,$A848))</f>
        <v/>
      </c>
      <c r="W848" s="13" t="str">
        <f>IF($A848="","",[1]!thsiFinD("ths_adjustment_nv_fund",W$3,$A848))</f>
        <v/>
      </c>
      <c r="X848" s="13" t="str">
        <f>IF($A848="","",[1]!thsiFinD("ths_adjustment_nv_fund",X$3,$A848))</f>
        <v/>
      </c>
      <c r="Y848" s="13" t="str">
        <f>IF($A848="","",[1]!thsiFinD("ths_adjustment_nv_fund",Y$3,$A848))</f>
        <v/>
      </c>
      <c r="Z848" s="13" t="str">
        <f>IF($A848="","",[1]!thsiFinD("ths_adjustment_nv_fund",Z$3,$A848))</f>
        <v/>
      </c>
      <c r="AA848" s="13" t="str">
        <f>IF($A848="","",[1]!thsiFinD("ths_adjustment_nv_fund",AA$3,$A848))</f>
        <v/>
      </c>
      <c r="AB848" s="13" t="str">
        <f>IF($A848="","",[1]!thsiFinD("ths_adjustment_nv_fund",AB$3,$A848))</f>
        <v/>
      </c>
    </row>
    <row r="849" spans="2:28">
      <c r="B849" s="13" t="str">
        <f>IF($A849="","",[1]!thsiFinD("ths_adjustment_nv_fund",B$3,$A849))</f>
        <v/>
      </c>
      <c r="C849" s="13" t="str">
        <f>IF($A849="","",[1]!thsiFinD("ths_adjustment_nv_fund",C$3,$A849))</f>
        <v/>
      </c>
      <c r="D849" s="13" t="str">
        <f>IF($A849="","",[1]!thsiFinD("ths_adjustment_nv_fund",D$3,$A849))</f>
        <v/>
      </c>
      <c r="E849" s="13" t="str">
        <f>IF($A849="","",[1]!thsiFinD("ths_adjustment_nv_fund",E$3,$A849))</f>
        <v/>
      </c>
      <c r="F849" s="13" t="str">
        <f>IF($A849="","",[1]!thsiFinD("ths_adjustment_nv_fund",F$3,$A849))</f>
        <v/>
      </c>
      <c r="G849" s="13" t="str">
        <f>IF($A849="","",[1]!thsiFinD("ths_adjustment_nv_fund",G$3,$A849))</f>
        <v/>
      </c>
      <c r="H849" s="13" t="str">
        <f>IF($A849="","",[1]!thsiFinD("ths_adjustment_nv_fund",H$3,$A849))</f>
        <v/>
      </c>
      <c r="I849" s="13" t="str">
        <f>IF($A849="","",[1]!thsiFinD("ths_adjustment_nv_fund",I$3,$A849))</f>
        <v/>
      </c>
      <c r="J849" s="13" t="str">
        <f>IF($A849="","",[1]!thsiFinD("ths_adjustment_nv_fund",J$3,$A849))</f>
        <v/>
      </c>
      <c r="K849" s="13" t="str">
        <f>IF($A849="","",[1]!thsiFinD("ths_adjustment_nv_fund",K$3,$A849))</f>
        <v/>
      </c>
      <c r="L849" s="13" t="str">
        <f>IF($A849="","",[1]!thsiFinD("ths_adjustment_nv_fund",L$3,$A849))</f>
        <v/>
      </c>
      <c r="M849" s="13" t="str">
        <f>IF($A849="","",[1]!thsiFinD("ths_adjustment_nv_fund",M$3,$A849))</f>
        <v/>
      </c>
      <c r="N849" s="13" t="str">
        <f>IF($A849="","",[1]!thsiFinD("ths_adjustment_nv_fund",N$3,$A849))</f>
        <v/>
      </c>
      <c r="O849" s="13" t="str">
        <f>IF($A849="","",[1]!thsiFinD("ths_adjustment_nv_fund",O$3,$A849))</f>
        <v/>
      </c>
      <c r="P849" s="13" t="str">
        <f>IF($A849="","",[1]!thsiFinD("ths_adjustment_nv_fund",P$3,$A849))</f>
        <v/>
      </c>
      <c r="Q849" s="13" t="str">
        <f>IF($A849="","",[1]!thsiFinD("ths_adjustment_nv_fund",Q$3,$A849))</f>
        <v/>
      </c>
      <c r="R849" s="13" t="str">
        <f>IF($A849="","",[1]!thsiFinD("ths_adjustment_nv_fund",R$3,$A849))</f>
        <v/>
      </c>
      <c r="S849" s="13" t="str">
        <f>IF($A849="","",[1]!thsiFinD("ths_adjustment_nv_fund",S$3,$A849))</f>
        <v/>
      </c>
      <c r="T849" s="13" t="str">
        <f>IF($A849="","",[1]!thsiFinD("ths_adjustment_nv_fund",T$3,$A849))</f>
        <v/>
      </c>
      <c r="U849" s="13" t="str">
        <f>IF($A849="","",[1]!thsiFinD("ths_adjustment_nv_fund",U$3,$A849))</f>
        <v/>
      </c>
      <c r="V849" s="13" t="str">
        <f>IF($A849="","",[1]!thsiFinD("ths_adjustment_nv_fund",V$3,$A849))</f>
        <v/>
      </c>
      <c r="W849" s="13" t="str">
        <f>IF($A849="","",[1]!thsiFinD("ths_adjustment_nv_fund",W$3,$A849))</f>
        <v/>
      </c>
      <c r="X849" s="13" t="str">
        <f>IF($A849="","",[1]!thsiFinD("ths_adjustment_nv_fund",X$3,$A849))</f>
        <v/>
      </c>
      <c r="Y849" s="13" t="str">
        <f>IF($A849="","",[1]!thsiFinD("ths_adjustment_nv_fund",Y$3,$A849))</f>
        <v/>
      </c>
      <c r="Z849" s="13" t="str">
        <f>IF($A849="","",[1]!thsiFinD("ths_adjustment_nv_fund",Z$3,$A849))</f>
        <v/>
      </c>
      <c r="AA849" s="13" t="str">
        <f>IF($A849="","",[1]!thsiFinD("ths_adjustment_nv_fund",AA$3,$A849))</f>
        <v/>
      </c>
      <c r="AB849" s="13" t="str">
        <f>IF($A849="","",[1]!thsiFinD("ths_adjustment_nv_fund",AB$3,$A849))</f>
        <v/>
      </c>
    </row>
    <row r="850" spans="2:28">
      <c r="B850" s="13" t="str">
        <f>IF($A850="","",[1]!thsiFinD("ths_adjustment_nv_fund",B$3,$A850))</f>
        <v/>
      </c>
      <c r="C850" s="13" t="str">
        <f>IF($A850="","",[1]!thsiFinD("ths_adjustment_nv_fund",C$3,$A850))</f>
        <v/>
      </c>
      <c r="D850" s="13" t="str">
        <f>IF($A850="","",[1]!thsiFinD("ths_adjustment_nv_fund",D$3,$A850))</f>
        <v/>
      </c>
      <c r="E850" s="13" t="str">
        <f>IF($A850="","",[1]!thsiFinD("ths_adjustment_nv_fund",E$3,$A850))</f>
        <v/>
      </c>
      <c r="F850" s="13" t="str">
        <f>IF($A850="","",[1]!thsiFinD("ths_adjustment_nv_fund",F$3,$A850))</f>
        <v/>
      </c>
      <c r="G850" s="13" t="str">
        <f>IF($A850="","",[1]!thsiFinD("ths_adjustment_nv_fund",G$3,$A850))</f>
        <v/>
      </c>
      <c r="H850" s="13" t="str">
        <f>IF($A850="","",[1]!thsiFinD("ths_adjustment_nv_fund",H$3,$A850))</f>
        <v/>
      </c>
      <c r="I850" s="13" t="str">
        <f>IF($A850="","",[1]!thsiFinD("ths_adjustment_nv_fund",I$3,$A850))</f>
        <v/>
      </c>
      <c r="J850" s="13" t="str">
        <f>IF($A850="","",[1]!thsiFinD("ths_adjustment_nv_fund",J$3,$A850))</f>
        <v/>
      </c>
      <c r="K850" s="13" t="str">
        <f>IF($A850="","",[1]!thsiFinD("ths_adjustment_nv_fund",K$3,$A850))</f>
        <v/>
      </c>
      <c r="L850" s="13" t="str">
        <f>IF($A850="","",[1]!thsiFinD("ths_adjustment_nv_fund",L$3,$A850))</f>
        <v/>
      </c>
      <c r="M850" s="13" t="str">
        <f>IF($A850="","",[1]!thsiFinD("ths_adjustment_nv_fund",M$3,$A850))</f>
        <v/>
      </c>
      <c r="N850" s="13" t="str">
        <f>IF($A850="","",[1]!thsiFinD("ths_adjustment_nv_fund",N$3,$A850))</f>
        <v/>
      </c>
      <c r="O850" s="13" t="str">
        <f>IF($A850="","",[1]!thsiFinD("ths_adjustment_nv_fund",O$3,$A850))</f>
        <v/>
      </c>
      <c r="P850" s="13" t="str">
        <f>IF($A850="","",[1]!thsiFinD("ths_adjustment_nv_fund",P$3,$A850))</f>
        <v/>
      </c>
      <c r="Q850" s="13" t="str">
        <f>IF($A850="","",[1]!thsiFinD("ths_adjustment_nv_fund",Q$3,$A850))</f>
        <v/>
      </c>
      <c r="R850" s="13" t="str">
        <f>IF($A850="","",[1]!thsiFinD("ths_adjustment_nv_fund",R$3,$A850))</f>
        <v/>
      </c>
      <c r="S850" s="13" t="str">
        <f>IF($A850="","",[1]!thsiFinD("ths_adjustment_nv_fund",S$3,$A850))</f>
        <v/>
      </c>
      <c r="T850" s="13" t="str">
        <f>IF($A850="","",[1]!thsiFinD("ths_adjustment_nv_fund",T$3,$A850))</f>
        <v/>
      </c>
      <c r="U850" s="13" t="str">
        <f>IF($A850="","",[1]!thsiFinD("ths_adjustment_nv_fund",U$3,$A850))</f>
        <v/>
      </c>
      <c r="V850" s="13" t="str">
        <f>IF($A850="","",[1]!thsiFinD("ths_adjustment_nv_fund",V$3,$A850))</f>
        <v/>
      </c>
      <c r="W850" s="13" t="str">
        <f>IF($A850="","",[1]!thsiFinD("ths_adjustment_nv_fund",W$3,$A850))</f>
        <v/>
      </c>
      <c r="X850" s="13" t="str">
        <f>IF($A850="","",[1]!thsiFinD("ths_adjustment_nv_fund",X$3,$A850))</f>
        <v/>
      </c>
      <c r="Y850" s="13" t="str">
        <f>IF($A850="","",[1]!thsiFinD("ths_adjustment_nv_fund",Y$3,$A850))</f>
        <v/>
      </c>
      <c r="Z850" s="13" t="str">
        <f>IF($A850="","",[1]!thsiFinD("ths_adjustment_nv_fund",Z$3,$A850))</f>
        <v/>
      </c>
      <c r="AA850" s="13" t="str">
        <f>IF($A850="","",[1]!thsiFinD("ths_adjustment_nv_fund",AA$3,$A850))</f>
        <v/>
      </c>
      <c r="AB850" s="13" t="str">
        <f>IF($A850="","",[1]!thsiFinD("ths_adjustment_nv_fund",AB$3,$A850))</f>
        <v/>
      </c>
    </row>
    <row r="851" spans="2:28">
      <c r="B851" s="13" t="str">
        <f>IF($A851="","",[1]!thsiFinD("ths_adjustment_nv_fund",B$3,$A851))</f>
        <v/>
      </c>
      <c r="C851" s="13" t="str">
        <f>IF($A851="","",[1]!thsiFinD("ths_adjustment_nv_fund",C$3,$A851))</f>
        <v/>
      </c>
      <c r="D851" s="13" t="str">
        <f>IF($A851="","",[1]!thsiFinD("ths_adjustment_nv_fund",D$3,$A851))</f>
        <v/>
      </c>
      <c r="E851" s="13" t="str">
        <f>IF($A851="","",[1]!thsiFinD("ths_adjustment_nv_fund",E$3,$A851))</f>
        <v/>
      </c>
      <c r="F851" s="13" t="str">
        <f>IF($A851="","",[1]!thsiFinD("ths_adjustment_nv_fund",F$3,$A851))</f>
        <v/>
      </c>
      <c r="G851" s="13" t="str">
        <f>IF($A851="","",[1]!thsiFinD("ths_adjustment_nv_fund",G$3,$A851))</f>
        <v/>
      </c>
      <c r="H851" s="13" t="str">
        <f>IF($A851="","",[1]!thsiFinD("ths_adjustment_nv_fund",H$3,$A851))</f>
        <v/>
      </c>
      <c r="I851" s="13" t="str">
        <f>IF($A851="","",[1]!thsiFinD("ths_adjustment_nv_fund",I$3,$A851))</f>
        <v/>
      </c>
      <c r="J851" s="13" t="str">
        <f>IF($A851="","",[1]!thsiFinD("ths_adjustment_nv_fund",J$3,$A851))</f>
        <v/>
      </c>
      <c r="K851" s="13" t="str">
        <f>IF($A851="","",[1]!thsiFinD("ths_adjustment_nv_fund",K$3,$A851))</f>
        <v/>
      </c>
      <c r="L851" s="13" t="str">
        <f>IF($A851="","",[1]!thsiFinD("ths_adjustment_nv_fund",L$3,$A851))</f>
        <v/>
      </c>
      <c r="M851" s="13" t="str">
        <f>IF($A851="","",[1]!thsiFinD("ths_adjustment_nv_fund",M$3,$A851))</f>
        <v/>
      </c>
      <c r="N851" s="13" t="str">
        <f>IF($A851="","",[1]!thsiFinD("ths_adjustment_nv_fund",N$3,$A851))</f>
        <v/>
      </c>
      <c r="O851" s="13" t="str">
        <f>IF($A851="","",[1]!thsiFinD("ths_adjustment_nv_fund",O$3,$A851))</f>
        <v/>
      </c>
      <c r="P851" s="13" t="str">
        <f>IF($A851="","",[1]!thsiFinD("ths_adjustment_nv_fund",P$3,$A851))</f>
        <v/>
      </c>
      <c r="Q851" s="13" t="str">
        <f>IF($A851="","",[1]!thsiFinD("ths_adjustment_nv_fund",Q$3,$A851))</f>
        <v/>
      </c>
      <c r="R851" s="13" t="str">
        <f>IF($A851="","",[1]!thsiFinD("ths_adjustment_nv_fund",R$3,$A851))</f>
        <v/>
      </c>
      <c r="S851" s="13" t="str">
        <f>IF($A851="","",[1]!thsiFinD("ths_adjustment_nv_fund",S$3,$A851))</f>
        <v/>
      </c>
      <c r="T851" s="13" t="str">
        <f>IF($A851="","",[1]!thsiFinD("ths_adjustment_nv_fund",T$3,$A851))</f>
        <v/>
      </c>
      <c r="U851" s="13" t="str">
        <f>IF($A851="","",[1]!thsiFinD("ths_adjustment_nv_fund",U$3,$A851))</f>
        <v/>
      </c>
      <c r="V851" s="13" t="str">
        <f>IF($A851="","",[1]!thsiFinD("ths_adjustment_nv_fund",V$3,$A851))</f>
        <v/>
      </c>
      <c r="W851" s="13" t="str">
        <f>IF($A851="","",[1]!thsiFinD("ths_adjustment_nv_fund",W$3,$A851))</f>
        <v/>
      </c>
      <c r="X851" s="13" t="str">
        <f>IF($A851="","",[1]!thsiFinD("ths_adjustment_nv_fund",X$3,$A851))</f>
        <v/>
      </c>
      <c r="Y851" s="13" t="str">
        <f>IF($A851="","",[1]!thsiFinD("ths_adjustment_nv_fund",Y$3,$A851))</f>
        <v/>
      </c>
      <c r="Z851" s="13" t="str">
        <f>IF($A851="","",[1]!thsiFinD("ths_adjustment_nv_fund",Z$3,$A851))</f>
        <v/>
      </c>
      <c r="AA851" s="13" t="str">
        <f>IF($A851="","",[1]!thsiFinD("ths_adjustment_nv_fund",AA$3,$A851))</f>
        <v/>
      </c>
      <c r="AB851" s="13" t="str">
        <f>IF($A851="","",[1]!thsiFinD("ths_adjustment_nv_fund",AB$3,$A851))</f>
        <v/>
      </c>
    </row>
    <row r="852" spans="2:28">
      <c r="B852" s="13" t="str">
        <f>IF($A852="","",[1]!thsiFinD("ths_adjustment_nv_fund",B$3,$A852))</f>
        <v/>
      </c>
      <c r="C852" s="13" t="str">
        <f>IF($A852="","",[1]!thsiFinD("ths_adjustment_nv_fund",C$3,$A852))</f>
        <v/>
      </c>
      <c r="D852" s="13" t="str">
        <f>IF($A852="","",[1]!thsiFinD("ths_adjustment_nv_fund",D$3,$A852))</f>
        <v/>
      </c>
      <c r="E852" s="13" t="str">
        <f>IF($A852="","",[1]!thsiFinD("ths_adjustment_nv_fund",E$3,$A852))</f>
        <v/>
      </c>
      <c r="F852" s="13" t="str">
        <f>IF($A852="","",[1]!thsiFinD("ths_adjustment_nv_fund",F$3,$A852))</f>
        <v/>
      </c>
      <c r="G852" s="13" t="str">
        <f>IF($A852="","",[1]!thsiFinD("ths_adjustment_nv_fund",G$3,$A852))</f>
        <v/>
      </c>
      <c r="H852" s="13" t="str">
        <f>IF($A852="","",[1]!thsiFinD("ths_adjustment_nv_fund",H$3,$A852))</f>
        <v/>
      </c>
      <c r="I852" s="13" t="str">
        <f>IF($A852="","",[1]!thsiFinD("ths_adjustment_nv_fund",I$3,$A852))</f>
        <v/>
      </c>
      <c r="J852" s="13" t="str">
        <f>IF($A852="","",[1]!thsiFinD("ths_adjustment_nv_fund",J$3,$A852))</f>
        <v/>
      </c>
      <c r="K852" s="13" t="str">
        <f>IF($A852="","",[1]!thsiFinD("ths_adjustment_nv_fund",K$3,$A852))</f>
        <v/>
      </c>
      <c r="L852" s="13" t="str">
        <f>IF($A852="","",[1]!thsiFinD("ths_adjustment_nv_fund",L$3,$A852))</f>
        <v/>
      </c>
      <c r="M852" s="13" t="str">
        <f>IF($A852="","",[1]!thsiFinD("ths_adjustment_nv_fund",M$3,$A852))</f>
        <v/>
      </c>
      <c r="N852" s="13" t="str">
        <f>IF($A852="","",[1]!thsiFinD("ths_adjustment_nv_fund",N$3,$A852))</f>
        <v/>
      </c>
      <c r="O852" s="13" t="str">
        <f>IF($A852="","",[1]!thsiFinD("ths_adjustment_nv_fund",O$3,$A852))</f>
        <v/>
      </c>
      <c r="P852" s="13" t="str">
        <f>IF($A852="","",[1]!thsiFinD("ths_adjustment_nv_fund",P$3,$A852))</f>
        <v/>
      </c>
      <c r="Q852" s="13" t="str">
        <f>IF($A852="","",[1]!thsiFinD("ths_adjustment_nv_fund",Q$3,$A852))</f>
        <v/>
      </c>
      <c r="R852" s="13" t="str">
        <f>IF($A852="","",[1]!thsiFinD("ths_adjustment_nv_fund",R$3,$A852))</f>
        <v/>
      </c>
      <c r="S852" s="13" t="str">
        <f>IF($A852="","",[1]!thsiFinD("ths_adjustment_nv_fund",S$3,$A852))</f>
        <v/>
      </c>
      <c r="T852" s="13" t="str">
        <f>IF($A852="","",[1]!thsiFinD("ths_adjustment_nv_fund",T$3,$A852))</f>
        <v/>
      </c>
      <c r="U852" s="13" t="str">
        <f>IF($A852="","",[1]!thsiFinD("ths_adjustment_nv_fund",U$3,$A852))</f>
        <v/>
      </c>
      <c r="V852" s="13" t="str">
        <f>IF($A852="","",[1]!thsiFinD("ths_adjustment_nv_fund",V$3,$A852))</f>
        <v/>
      </c>
      <c r="W852" s="13" t="str">
        <f>IF($A852="","",[1]!thsiFinD("ths_adjustment_nv_fund",W$3,$A852))</f>
        <v/>
      </c>
      <c r="X852" s="13" t="str">
        <f>IF($A852="","",[1]!thsiFinD("ths_adjustment_nv_fund",X$3,$A852))</f>
        <v/>
      </c>
      <c r="Y852" s="13" t="str">
        <f>IF($A852="","",[1]!thsiFinD("ths_adjustment_nv_fund",Y$3,$A852))</f>
        <v/>
      </c>
      <c r="Z852" s="13" t="str">
        <f>IF($A852="","",[1]!thsiFinD("ths_adjustment_nv_fund",Z$3,$A852))</f>
        <v/>
      </c>
      <c r="AA852" s="13" t="str">
        <f>IF($A852="","",[1]!thsiFinD("ths_adjustment_nv_fund",AA$3,$A852))</f>
        <v/>
      </c>
      <c r="AB852" s="13" t="str">
        <f>IF($A852="","",[1]!thsiFinD("ths_adjustment_nv_fund",AB$3,$A852))</f>
        <v/>
      </c>
    </row>
    <row r="853" spans="2:28">
      <c r="B853" s="13" t="str">
        <f>IF($A853="","",[1]!thsiFinD("ths_adjustment_nv_fund",B$3,$A853))</f>
        <v/>
      </c>
      <c r="C853" s="13" t="str">
        <f>IF($A853="","",[1]!thsiFinD("ths_adjustment_nv_fund",C$3,$A853))</f>
        <v/>
      </c>
      <c r="D853" s="13" t="str">
        <f>IF($A853="","",[1]!thsiFinD("ths_adjustment_nv_fund",D$3,$A853))</f>
        <v/>
      </c>
      <c r="E853" s="13" t="str">
        <f>IF($A853="","",[1]!thsiFinD("ths_adjustment_nv_fund",E$3,$A853))</f>
        <v/>
      </c>
      <c r="F853" s="13" t="str">
        <f>IF($A853="","",[1]!thsiFinD("ths_adjustment_nv_fund",F$3,$A853))</f>
        <v/>
      </c>
      <c r="G853" s="13" t="str">
        <f>IF($A853="","",[1]!thsiFinD("ths_adjustment_nv_fund",G$3,$A853))</f>
        <v/>
      </c>
      <c r="H853" s="13" t="str">
        <f>IF($A853="","",[1]!thsiFinD("ths_adjustment_nv_fund",H$3,$A853))</f>
        <v/>
      </c>
      <c r="I853" s="13" t="str">
        <f>IF($A853="","",[1]!thsiFinD("ths_adjustment_nv_fund",I$3,$A853))</f>
        <v/>
      </c>
      <c r="J853" s="13" t="str">
        <f>IF($A853="","",[1]!thsiFinD("ths_adjustment_nv_fund",J$3,$A853))</f>
        <v/>
      </c>
      <c r="K853" s="13" t="str">
        <f>IF($A853="","",[1]!thsiFinD("ths_adjustment_nv_fund",K$3,$A853))</f>
        <v/>
      </c>
      <c r="L853" s="13" t="str">
        <f>IF($A853="","",[1]!thsiFinD("ths_adjustment_nv_fund",L$3,$A853))</f>
        <v/>
      </c>
      <c r="M853" s="13" t="str">
        <f>IF($A853="","",[1]!thsiFinD("ths_adjustment_nv_fund",M$3,$A853))</f>
        <v/>
      </c>
      <c r="N853" s="13" t="str">
        <f>IF($A853="","",[1]!thsiFinD("ths_adjustment_nv_fund",N$3,$A853))</f>
        <v/>
      </c>
      <c r="O853" s="13" t="str">
        <f>IF($A853="","",[1]!thsiFinD("ths_adjustment_nv_fund",O$3,$A853))</f>
        <v/>
      </c>
      <c r="P853" s="13" t="str">
        <f>IF($A853="","",[1]!thsiFinD("ths_adjustment_nv_fund",P$3,$A853))</f>
        <v/>
      </c>
      <c r="Q853" s="13" t="str">
        <f>IF($A853="","",[1]!thsiFinD("ths_adjustment_nv_fund",Q$3,$A853))</f>
        <v/>
      </c>
      <c r="R853" s="13" t="str">
        <f>IF($A853="","",[1]!thsiFinD("ths_adjustment_nv_fund",R$3,$A853))</f>
        <v/>
      </c>
      <c r="S853" s="13" t="str">
        <f>IF($A853="","",[1]!thsiFinD("ths_adjustment_nv_fund",S$3,$A853))</f>
        <v/>
      </c>
      <c r="T853" s="13" t="str">
        <f>IF($A853="","",[1]!thsiFinD("ths_adjustment_nv_fund",T$3,$A853))</f>
        <v/>
      </c>
      <c r="U853" s="13" t="str">
        <f>IF($A853="","",[1]!thsiFinD("ths_adjustment_nv_fund",U$3,$A853))</f>
        <v/>
      </c>
      <c r="V853" s="13" t="str">
        <f>IF($A853="","",[1]!thsiFinD("ths_adjustment_nv_fund",V$3,$A853))</f>
        <v/>
      </c>
      <c r="W853" s="13" t="str">
        <f>IF($A853="","",[1]!thsiFinD("ths_adjustment_nv_fund",W$3,$A853))</f>
        <v/>
      </c>
      <c r="X853" s="13" t="str">
        <f>IF($A853="","",[1]!thsiFinD("ths_adjustment_nv_fund",X$3,$A853))</f>
        <v/>
      </c>
      <c r="Y853" s="13" t="str">
        <f>IF($A853="","",[1]!thsiFinD("ths_adjustment_nv_fund",Y$3,$A853))</f>
        <v/>
      </c>
      <c r="Z853" s="13" t="str">
        <f>IF($A853="","",[1]!thsiFinD("ths_adjustment_nv_fund",Z$3,$A853))</f>
        <v/>
      </c>
      <c r="AA853" s="13" t="str">
        <f>IF($A853="","",[1]!thsiFinD("ths_adjustment_nv_fund",AA$3,$A853))</f>
        <v/>
      </c>
      <c r="AB853" s="13" t="str">
        <f>IF($A853="","",[1]!thsiFinD("ths_adjustment_nv_fund",AB$3,$A853))</f>
        <v/>
      </c>
    </row>
    <row r="854" spans="2:28">
      <c r="B854" s="13" t="str">
        <f>IF($A854="","",[1]!thsiFinD("ths_adjustment_nv_fund",B$3,$A854))</f>
        <v/>
      </c>
      <c r="C854" s="13" t="str">
        <f>IF($A854="","",[1]!thsiFinD("ths_adjustment_nv_fund",C$3,$A854))</f>
        <v/>
      </c>
      <c r="D854" s="13" t="str">
        <f>IF($A854="","",[1]!thsiFinD("ths_adjustment_nv_fund",D$3,$A854))</f>
        <v/>
      </c>
      <c r="E854" s="13" t="str">
        <f>IF($A854="","",[1]!thsiFinD("ths_adjustment_nv_fund",E$3,$A854))</f>
        <v/>
      </c>
      <c r="F854" s="13" t="str">
        <f>IF($A854="","",[1]!thsiFinD("ths_adjustment_nv_fund",F$3,$A854))</f>
        <v/>
      </c>
      <c r="G854" s="13" t="str">
        <f>IF($A854="","",[1]!thsiFinD("ths_adjustment_nv_fund",G$3,$A854))</f>
        <v/>
      </c>
      <c r="H854" s="13" t="str">
        <f>IF($A854="","",[1]!thsiFinD("ths_adjustment_nv_fund",H$3,$A854))</f>
        <v/>
      </c>
      <c r="I854" s="13" t="str">
        <f>IF($A854="","",[1]!thsiFinD("ths_adjustment_nv_fund",I$3,$A854))</f>
        <v/>
      </c>
      <c r="J854" s="13" t="str">
        <f>IF($A854="","",[1]!thsiFinD("ths_adjustment_nv_fund",J$3,$A854))</f>
        <v/>
      </c>
      <c r="K854" s="13" t="str">
        <f>IF($A854="","",[1]!thsiFinD("ths_adjustment_nv_fund",K$3,$A854))</f>
        <v/>
      </c>
      <c r="L854" s="13" t="str">
        <f>IF($A854="","",[1]!thsiFinD("ths_adjustment_nv_fund",L$3,$A854))</f>
        <v/>
      </c>
      <c r="M854" s="13" t="str">
        <f>IF($A854="","",[1]!thsiFinD("ths_adjustment_nv_fund",M$3,$A854))</f>
        <v/>
      </c>
      <c r="N854" s="13" t="str">
        <f>IF($A854="","",[1]!thsiFinD("ths_adjustment_nv_fund",N$3,$A854))</f>
        <v/>
      </c>
      <c r="O854" s="13" t="str">
        <f>IF($A854="","",[1]!thsiFinD("ths_adjustment_nv_fund",O$3,$A854))</f>
        <v/>
      </c>
      <c r="P854" s="13" t="str">
        <f>IF($A854="","",[1]!thsiFinD("ths_adjustment_nv_fund",P$3,$A854))</f>
        <v/>
      </c>
      <c r="Q854" s="13" t="str">
        <f>IF($A854="","",[1]!thsiFinD("ths_adjustment_nv_fund",Q$3,$A854))</f>
        <v/>
      </c>
      <c r="R854" s="13" t="str">
        <f>IF($A854="","",[1]!thsiFinD("ths_adjustment_nv_fund",R$3,$A854))</f>
        <v/>
      </c>
      <c r="S854" s="13" t="str">
        <f>IF($A854="","",[1]!thsiFinD("ths_adjustment_nv_fund",S$3,$A854))</f>
        <v/>
      </c>
      <c r="T854" s="13" t="str">
        <f>IF($A854="","",[1]!thsiFinD("ths_adjustment_nv_fund",T$3,$A854))</f>
        <v/>
      </c>
      <c r="U854" s="13" t="str">
        <f>IF($A854="","",[1]!thsiFinD("ths_adjustment_nv_fund",U$3,$A854))</f>
        <v/>
      </c>
      <c r="V854" s="13" t="str">
        <f>IF($A854="","",[1]!thsiFinD("ths_adjustment_nv_fund",V$3,$A854))</f>
        <v/>
      </c>
      <c r="W854" s="13" t="str">
        <f>IF($A854="","",[1]!thsiFinD("ths_adjustment_nv_fund",W$3,$A854))</f>
        <v/>
      </c>
      <c r="X854" s="13" t="str">
        <f>IF($A854="","",[1]!thsiFinD("ths_adjustment_nv_fund",X$3,$A854))</f>
        <v/>
      </c>
      <c r="Y854" s="13" t="str">
        <f>IF($A854="","",[1]!thsiFinD("ths_adjustment_nv_fund",Y$3,$A854))</f>
        <v/>
      </c>
      <c r="Z854" s="13" t="str">
        <f>IF($A854="","",[1]!thsiFinD("ths_adjustment_nv_fund",Z$3,$A854))</f>
        <v/>
      </c>
      <c r="AA854" s="13" t="str">
        <f>IF($A854="","",[1]!thsiFinD("ths_adjustment_nv_fund",AA$3,$A854))</f>
        <v/>
      </c>
      <c r="AB854" s="13" t="str">
        <f>IF($A854="","",[1]!thsiFinD("ths_adjustment_nv_fund",AB$3,$A854))</f>
        <v/>
      </c>
    </row>
    <row r="855" spans="2:28">
      <c r="B855" s="13" t="str">
        <f>IF($A855="","",[1]!thsiFinD("ths_adjustment_nv_fund",B$3,$A855))</f>
        <v/>
      </c>
      <c r="C855" s="13" t="str">
        <f>IF($A855="","",[1]!thsiFinD("ths_adjustment_nv_fund",C$3,$A855))</f>
        <v/>
      </c>
      <c r="D855" s="13" t="str">
        <f>IF($A855="","",[1]!thsiFinD("ths_adjustment_nv_fund",D$3,$A855))</f>
        <v/>
      </c>
      <c r="E855" s="13" t="str">
        <f>IF($A855="","",[1]!thsiFinD("ths_adjustment_nv_fund",E$3,$A855))</f>
        <v/>
      </c>
      <c r="F855" s="13" t="str">
        <f>IF($A855="","",[1]!thsiFinD("ths_adjustment_nv_fund",F$3,$A855))</f>
        <v/>
      </c>
      <c r="G855" s="13" t="str">
        <f>IF($A855="","",[1]!thsiFinD("ths_adjustment_nv_fund",G$3,$A855))</f>
        <v/>
      </c>
      <c r="H855" s="13" t="str">
        <f>IF($A855="","",[1]!thsiFinD("ths_adjustment_nv_fund",H$3,$A855))</f>
        <v/>
      </c>
      <c r="I855" s="13" t="str">
        <f>IF($A855="","",[1]!thsiFinD("ths_adjustment_nv_fund",I$3,$A855))</f>
        <v/>
      </c>
      <c r="J855" s="13" t="str">
        <f>IF($A855="","",[1]!thsiFinD("ths_adjustment_nv_fund",J$3,$A855))</f>
        <v/>
      </c>
      <c r="K855" s="13" t="str">
        <f>IF($A855="","",[1]!thsiFinD("ths_adjustment_nv_fund",K$3,$A855))</f>
        <v/>
      </c>
      <c r="L855" s="13" t="str">
        <f>IF($A855="","",[1]!thsiFinD("ths_adjustment_nv_fund",L$3,$A855))</f>
        <v/>
      </c>
      <c r="M855" s="13" t="str">
        <f>IF($A855="","",[1]!thsiFinD("ths_adjustment_nv_fund",M$3,$A855))</f>
        <v/>
      </c>
      <c r="N855" s="13" t="str">
        <f>IF($A855="","",[1]!thsiFinD("ths_adjustment_nv_fund",N$3,$A855))</f>
        <v/>
      </c>
      <c r="O855" s="13" t="str">
        <f>IF($A855="","",[1]!thsiFinD("ths_adjustment_nv_fund",O$3,$A855))</f>
        <v/>
      </c>
      <c r="P855" s="13" t="str">
        <f>IF($A855="","",[1]!thsiFinD("ths_adjustment_nv_fund",P$3,$A855))</f>
        <v/>
      </c>
      <c r="Q855" s="13" t="str">
        <f>IF($A855="","",[1]!thsiFinD("ths_adjustment_nv_fund",Q$3,$A855))</f>
        <v/>
      </c>
      <c r="R855" s="13" t="str">
        <f>IF($A855="","",[1]!thsiFinD("ths_adjustment_nv_fund",R$3,$A855))</f>
        <v/>
      </c>
      <c r="S855" s="13" t="str">
        <f>IF($A855="","",[1]!thsiFinD("ths_adjustment_nv_fund",S$3,$A855))</f>
        <v/>
      </c>
      <c r="T855" s="13" t="str">
        <f>IF($A855="","",[1]!thsiFinD("ths_adjustment_nv_fund",T$3,$A855))</f>
        <v/>
      </c>
      <c r="U855" s="13" t="str">
        <f>IF($A855="","",[1]!thsiFinD("ths_adjustment_nv_fund",U$3,$A855))</f>
        <v/>
      </c>
      <c r="V855" s="13" t="str">
        <f>IF($A855="","",[1]!thsiFinD("ths_adjustment_nv_fund",V$3,$A855))</f>
        <v/>
      </c>
      <c r="W855" s="13" t="str">
        <f>IF($A855="","",[1]!thsiFinD("ths_adjustment_nv_fund",W$3,$A855))</f>
        <v/>
      </c>
      <c r="X855" s="13" t="str">
        <f>IF($A855="","",[1]!thsiFinD("ths_adjustment_nv_fund",X$3,$A855))</f>
        <v/>
      </c>
      <c r="Y855" s="13" t="str">
        <f>IF($A855="","",[1]!thsiFinD("ths_adjustment_nv_fund",Y$3,$A855))</f>
        <v/>
      </c>
      <c r="Z855" s="13" t="str">
        <f>IF($A855="","",[1]!thsiFinD("ths_adjustment_nv_fund",Z$3,$A855))</f>
        <v/>
      </c>
      <c r="AA855" s="13" t="str">
        <f>IF($A855="","",[1]!thsiFinD("ths_adjustment_nv_fund",AA$3,$A855))</f>
        <v/>
      </c>
      <c r="AB855" s="13" t="str">
        <f>IF($A855="","",[1]!thsiFinD("ths_adjustment_nv_fund",AB$3,$A855))</f>
        <v/>
      </c>
    </row>
    <row r="856" spans="2:28">
      <c r="B856" s="13" t="str">
        <f>IF($A856="","",[1]!thsiFinD("ths_adjustment_nv_fund",B$3,$A856))</f>
        <v/>
      </c>
      <c r="C856" s="13" t="str">
        <f>IF($A856="","",[1]!thsiFinD("ths_adjustment_nv_fund",C$3,$A856))</f>
        <v/>
      </c>
      <c r="D856" s="13" t="str">
        <f>IF($A856="","",[1]!thsiFinD("ths_adjustment_nv_fund",D$3,$A856))</f>
        <v/>
      </c>
      <c r="E856" s="13" t="str">
        <f>IF($A856="","",[1]!thsiFinD("ths_adjustment_nv_fund",E$3,$A856))</f>
        <v/>
      </c>
      <c r="F856" s="13" t="str">
        <f>IF($A856="","",[1]!thsiFinD("ths_adjustment_nv_fund",F$3,$A856))</f>
        <v/>
      </c>
      <c r="G856" s="13" t="str">
        <f>IF($A856="","",[1]!thsiFinD("ths_adjustment_nv_fund",G$3,$A856))</f>
        <v/>
      </c>
      <c r="H856" s="13" t="str">
        <f>IF($A856="","",[1]!thsiFinD("ths_adjustment_nv_fund",H$3,$A856))</f>
        <v/>
      </c>
      <c r="I856" s="13" t="str">
        <f>IF($A856="","",[1]!thsiFinD("ths_adjustment_nv_fund",I$3,$A856))</f>
        <v/>
      </c>
      <c r="J856" s="13" t="str">
        <f>IF($A856="","",[1]!thsiFinD("ths_adjustment_nv_fund",J$3,$A856))</f>
        <v/>
      </c>
      <c r="K856" s="13" t="str">
        <f>IF($A856="","",[1]!thsiFinD("ths_adjustment_nv_fund",K$3,$A856))</f>
        <v/>
      </c>
      <c r="L856" s="13" t="str">
        <f>IF($A856="","",[1]!thsiFinD("ths_adjustment_nv_fund",L$3,$A856))</f>
        <v/>
      </c>
      <c r="M856" s="13" t="str">
        <f>IF($A856="","",[1]!thsiFinD("ths_adjustment_nv_fund",M$3,$A856))</f>
        <v/>
      </c>
      <c r="N856" s="13" t="str">
        <f>IF($A856="","",[1]!thsiFinD("ths_adjustment_nv_fund",N$3,$A856))</f>
        <v/>
      </c>
      <c r="O856" s="13" t="str">
        <f>IF($A856="","",[1]!thsiFinD("ths_adjustment_nv_fund",O$3,$A856))</f>
        <v/>
      </c>
      <c r="P856" s="13" t="str">
        <f>IF($A856="","",[1]!thsiFinD("ths_adjustment_nv_fund",P$3,$A856))</f>
        <v/>
      </c>
      <c r="Q856" s="13" t="str">
        <f>IF($A856="","",[1]!thsiFinD("ths_adjustment_nv_fund",Q$3,$A856))</f>
        <v/>
      </c>
      <c r="R856" s="13" t="str">
        <f>IF($A856="","",[1]!thsiFinD("ths_adjustment_nv_fund",R$3,$A856))</f>
        <v/>
      </c>
      <c r="S856" s="13" t="str">
        <f>IF($A856="","",[1]!thsiFinD("ths_adjustment_nv_fund",S$3,$A856))</f>
        <v/>
      </c>
      <c r="T856" s="13" t="str">
        <f>IF($A856="","",[1]!thsiFinD("ths_adjustment_nv_fund",T$3,$A856))</f>
        <v/>
      </c>
      <c r="U856" s="13" t="str">
        <f>IF($A856="","",[1]!thsiFinD("ths_adjustment_nv_fund",U$3,$A856))</f>
        <v/>
      </c>
      <c r="V856" s="13" t="str">
        <f>IF($A856="","",[1]!thsiFinD("ths_adjustment_nv_fund",V$3,$A856))</f>
        <v/>
      </c>
      <c r="W856" s="13" t="str">
        <f>IF($A856="","",[1]!thsiFinD("ths_adjustment_nv_fund",W$3,$A856))</f>
        <v/>
      </c>
      <c r="X856" s="13" t="str">
        <f>IF($A856="","",[1]!thsiFinD("ths_adjustment_nv_fund",X$3,$A856))</f>
        <v/>
      </c>
      <c r="Y856" s="13" t="str">
        <f>IF($A856="","",[1]!thsiFinD("ths_adjustment_nv_fund",Y$3,$A856))</f>
        <v/>
      </c>
      <c r="Z856" s="13" t="str">
        <f>IF($A856="","",[1]!thsiFinD("ths_adjustment_nv_fund",Z$3,$A856))</f>
        <v/>
      </c>
      <c r="AA856" s="13" t="str">
        <f>IF($A856="","",[1]!thsiFinD("ths_adjustment_nv_fund",AA$3,$A856))</f>
        <v/>
      </c>
      <c r="AB856" s="13" t="str">
        <f>IF($A856="","",[1]!thsiFinD("ths_adjustment_nv_fund",AB$3,$A856))</f>
        <v/>
      </c>
    </row>
    <row r="857" spans="2:28">
      <c r="B857" s="13" t="str">
        <f>IF($A857="","",[1]!thsiFinD("ths_adjustment_nv_fund",B$3,$A857))</f>
        <v/>
      </c>
      <c r="C857" s="13" t="str">
        <f>IF($A857="","",[1]!thsiFinD("ths_adjustment_nv_fund",C$3,$A857))</f>
        <v/>
      </c>
      <c r="D857" s="13" t="str">
        <f>IF($A857="","",[1]!thsiFinD("ths_adjustment_nv_fund",D$3,$A857))</f>
        <v/>
      </c>
      <c r="E857" s="13" t="str">
        <f>IF($A857="","",[1]!thsiFinD("ths_adjustment_nv_fund",E$3,$A857))</f>
        <v/>
      </c>
      <c r="F857" s="13" t="str">
        <f>IF($A857="","",[1]!thsiFinD("ths_adjustment_nv_fund",F$3,$A857))</f>
        <v/>
      </c>
      <c r="G857" s="13" t="str">
        <f>IF($A857="","",[1]!thsiFinD("ths_adjustment_nv_fund",G$3,$A857))</f>
        <v/>
      </c>
      <c r="H857" s="13" t="str">
        <f>IF($A857="","",[1]!thsiFinD("ths_adjustment_nv_fund",H$3,$A857))</f>
        <v/>
      </c>
      <c r="I857" s="13" t="str">
        <f>IF($A857="","",[1]!thsiFinD("ths_adjustment_nv_fund",I$3,$A857))</f>
        <v/>
      </c>
      <c r="J857" s="13" t="str">
        <f>IF($A857="","",[1]!thsiFinD("ths_adjustment_nv_fund",J$3,$A857))</f>
        <v/>
      </c>
      <c r="K857" s="13" t="str">
        <f>IF($A857="","",[1]!thsiFinD("ths_adjustment_nv_fund",K$3,$A857))</f>
        <v/>
      </c>
      <c r="L857" s="13" t="str">
        <f>IF($A857="","",[1]!thsiFinD("ths_adjustment_nv_fund",L$3,$A857))</f>
        <v/>
      </c>
      <c r="M857" s="13" t="str">
        <f>IF($A857="","",[1]!thsiFinD("ths_adjustment_nv_fund",M$3,$A857))</f>
        <v/>
      </c>
      <c r="N857" s="13" t="str">
        <f>IF($A857="","",[1]!thsiFinD("ths_adjustment_nv_fund",N$3,$A857))</f>
        <v/>
      </c>
      <c r="O857" s="13" t="str">
        <f>IF($A857="","",[1]!thsiFinD("ths_adjustment_nv_fund",O$3,$A857))</f>
        <v/>
      </c>
      <c r="P857" s="13" t="str">
        <f>IF($A857="","",[1]!thsiFinD("ths_adjustment_nv_fund",P$3,$A857))</f>
        <v/>
      </c>
      <c r="Q857" s="13" t="str">
        <f>IF($A857="","",[1]!thsiFinD("ths_adjustment_nv_fund",Q$3,$A857))</f>
        <v/>
      </c>
      <c r="R857" s="13" t="str">
        <f>IF($A857="","",[1]!thsiFinD("ths_adjustment_nv_fund",R$3,$A857))</f>
        <v/>
      </c>
      <c r="S857" s="13" t="str">
        <f>IF($A857="","",[1]!thsiFinD("ths_adjustment_nv_fund",S$3,$A857))</f>
        <v/>
      </c>
      <c r="T857" s="13" t="str">
        <f>IF($A857="","",[1]!thsiFinD("ths_adjustment_nv_fund",T$3,$A857))</f>
        <v/>
      </c>
      <c r="U857" s="13" t="str">
        <f>IF($A857="","",[1]!thsiFinD("ths_adjustment_nv_fund",U$3,$A857))</f>
        <v/>
      </c>
      <c r="V857" s="13" t="str">
        <f>IF($A857="","",[1]!thsiFinD("ths_adjustment_nv_fund",V$3,$A857))</f>
        <v/>
      </c>
      <c r="W857" s="13" t="str">
        <f>IF($A857="","",[1]!thsiFinD("ths_adjustment_nv_fund",W$3,$A857))</f>
        <v/>
      </c>
      <c r="X857" s="13" t="str">
        <f>IF($A857="","",[1]!thsiFinD("ths_adjustment_nv_fund",X$3,$A857))</f>
        <v/>
      </c>
      <c r="Y857" s="13" t="str">
        <f>IF($A857="","",[1]!thsiFinD("ths_adjustment_nv_fund",Y$3,$A857))</f>
        <v/>
      </c>
      <c r="Z857" s="13" t="str">
        <f>IF($A857="","",[1]!thsiFinD("ths_adjustment_nv_fund",Z$3,$A857))</f>
        <v/>
      </c>
      <c r="AA857" s="13" t="str">
        <f>IF($A857="","",[1]!thsiFinD("ths_adjustment_nv_fund",AA$3,$A857))</f>
        <v/>
      </c>
      <c r="AB857" s="13" t="str">
        <f>IF($A857="","",[1]!thsiFinD("ths_adjustment_nv_fund",AB$3,$A857))</f>
        <v/>
      </c>
    </row>
    <row r="858" spans="2:28">
      <c r="B858" s="13" t="str">
        <f>IF($A858="","",[1]!thsiFinD("ths_adjustment_nv_fund",B$3,$A858))</f>
        <v/>
      </c>
      <c r="C858" s="13" t="str">
        <f>IF($A858="","",[1]!thsiFinD("ths_adjustment_nv_fund",C$3,$A858))</f>
        <v/>
      </c>
      <c r="D858" s="13" t="str">
        <f>IF($A858="","",[1]!thsiFinD("ths_adjustment_nv_fund",D$3,$A858))</f>
        <v/>
      </c>
      <c r="E858" s="13" t="str">
        <f>IF($A858="","",[1]!thsiFinD("ths_adjustment_nv_fund",E$3,$A858))</f>
        <v/>
      </c>
      <c r="F858" s="13" t="str">
        <f>IF($A858="","",[1]!thsiFinD("ths_adjustment_nv_fund",F$3,$A858))</f>
        <v/>
      </c>
      <c r="G858" s="13" t="str">
        <f>IF($A858="","",[1]!thsiFinD("ths_adjustment_nv_fund",G$3,$A858))</f>
        <v/>
      </c>
      <c r="H858" s="13" t="str">
        <f>IF($A858="","",[1]!thsiFinD("ths_adjustment_nv_fund",H$3,$A858))</f>
        <v/>
      </c>
      <c r="I858" s="13" t="str">
        <f>IF($A858="","",[1]!thsiFinD("ths_adjustment_nv_fund",I$3,$A858))</f>
        <v/>
      </c>
      <c r="J858" s="13" t="str">
        <f>IF($A858="","",[1]!thsiFinD("ths_adjustment_nv_fund",J$3,$A858))</f>
        <v/>
      </c>
      <c r="K858" s="13" t="str">
        <f>IF($A858="","",[1]!thsiFinD("ths_adjustment_nv_fund",K$3,$A858))</f>
        <v/>
      </c>
      <c r="L858" s="13" t="str">
        <f>IF($A858="","",[1]!thsiFinD("ths_adjustment_nv_fund",L$3,$A858))</f>
        <v/>
      </c>
      <c r="M858" s="13" t="str">
        <f>IF($A858="","",[1]!thsiFinD("ths_adjustment_nv_fund",M$3,$A858))</f>
        <v/>
      </c>
      <c r="N858" s="13" t="str">
        <f>IF($A858="","",[1]!thsiFinD("ths_adjustment_nv_fund",N$3,$A858))</f>
        <v/>
      </c>
      <c r="O858" s="13" t="str">
        <f>IF($A858="","",[1]!thsiFinD("ths_adjustment_nv_fund",O$3,$A858))</f>
        <v/>
      </c>
      <c r="P858" s="13" t="str">
        <f>IF($A858="","",[1]!thsiFinD("ths_adjustment_nv_fund",P$3,$A858))</f>
        <v/>
      </c>
      <c r="Q858" s="13" t="str">
        <f>IF($A858="","",[1]!thsiFinD("ths_adjustment_nv_fund",Q$3,$A858))</f>
        <v/>
      </c>
      <c r="R858" s="13" t="str">
        <f>IF($A858="","",[1]!thsiFinD("ths_adjustment_nv_fund",R$3,$A858))</f>
        <v/>
      </c>
      <c r="S858" s="13" t="str">
        <f>IF($A858="","",[1]!thsiFinD("ths_adjustment_nv_fund",S$3,$A858))</f>
        <v/>
      </c>
      <c r="T858" s="13" t="str">
        <f>IF($A858="","",[1]!thsiFinD("ths_adjustment_nv_fund",T$3,$A858))</f>
        <v/>
      </c>
      <c r="U858" s="13" t="str">
        <f>IF($A858="","",[1]!thsiFinD("ths_adjustment_nv_fund",U$3,$A858))</f>
        <v/>
      </c>
      <c r="V858" s="13" t="str">
        <f>IF($A858="","",[1]!thsiFinD("ths_adjustment_nv_fund",V$3,$A858))</f>
        <v/>
      </c>
      <c r="W858" s="13" t="str">
        <f>IF($A858="","",[1]!thsiFinD("ths_adjustment_nv_fund",W$3,$A858))</f>
        <v/>
      </c>
      <c r="X858" s="13" t="str">
        <f>IF($A858="","",[1]!thsiFinD("ths_adjustment_nv_fund",X$3,$A858))</f>
        <v/>
      </c>
      <c r="Y858" s="13" t="str">
        <f>IF($A858="","",[1]!thsiFinD("ths_adjustment_nv_fund",Y$3,$A858))</f>
        <v/>
      </c>
      <c r="Z858" s="13" t="str">
        <f>IF($A858="","",[1]!thsiFinD("ths_adjustment_nv_fund",Z$3,$A858))</f>
        <v/>
      </c>
      <c r="AA858" s="13" t="str">
        <f>IF($A858="","",[1]!thsiFinD("ths_adjustment_nv_fund",AA$3,$A858))</f>
        <v/>
      </c>
      <c r="AB858" s="13" t="str">
        <f>IF($A858="","",[1]!thsiFinD("ths_adjustment_nv_fund",AB$3,$A858))</f>
        <v/>
      </c>
    </row>
    <row r="859" spans="2:28">
      <c r="B859" s="13" t="str">
        <f>IF($A859="","",[1]!thsiFinD("ths_adjustment_nv_fund",B$3,$A859))</f>
        <v/>
      </c>
      <c r="C859" s="13" t="str">
        <f>IF($A859="","",[1]!thsiFinD("ths_adjustment_nv_fund",C$3,$A859))</f>
        <v/>
      </c>
      <c r="D859" s="13" t="str">
        <f>IF($A859="","",[1]!thsiFinD("ths_adjustment_nv_fund",D$3,$A859))</f>
        <v/>
      </c>
      <c r="E859" s="13" t="str">
        <f>IF($A859="","",[1]!thsiFinD("ths_adjustment_nv_fund",E$3,$A859))</f>
        <v/>
      </c>
      <c r="F859" s="13" t="str">
        <f>IF($A859="","",[1]!thsiFinD("ths_adjustment_nv_fund",F$3,$A859))</f>
        <v/>
      </c>
      <c r="G859" s="13" t="str">
        <f>IF($A859="","",[1]!thsiFinD("ths_adjustment_nv_fund",G$3,$A859))</f>
        <v/>
      </c>
      <c r="H859" s="13" t="str">
        <f>IF($A859="","",[1]!thsiFinD("ths_adjustment_nv_fund",H$3,$A859))</f>
        <v/>
      </c>
      <c r="I859" s="13" t="str">
        <f>IF($A859="","",[1]!thsiFinD("ths_adjustment_nv_fund",I$3,$A859))</f>
        <v/>
      </c>
      <c r="J859" s="13" t="str">
        <f>IF($A859="","",[1]!thsiFinD("ths_adjustment_nv_fund",J$3,$A859))</f>
        <v/>
      </c>
      <c r="K859" s="13" t="str">
        <f>IF($A859="","",[1]!thsiFinD("ths_adjustment_nv_fund",K$3,$A859))</f>
        <v/>
      </c>
      <c r="L859" s="13" t="str">
        <f>IF($A859="","",[1]!thsiFinD("ths_adjustment_nv_fund",L$3,$A859))</f>
        <v/>
      </c>
      <c r="M859" s="13" t="str">
        <f>IF($A859="","",[1]!thsiFinD("ths_adjustment_nv_fund",M$3,$A859))</f>
        <v/>
      </c>
      <c r="N859" s="13" t="str">
        <f>IF($A859="","",[1]!thsiFinD("ths_adjustment_nv_fund",N$3,$A859))</f>
        <v/>
      </c>
      <c r="O859" s="13" t="str">
        <f>IF($A859="","",[1]!thsiFinD("ths_adjustment_nv_fund",O$3,$A859))</f>
        <v/>
      </c>
      <c r="P859" s="13" t="str">
        <f>IF($A859="","",[1]!thsiFinD("ths_adjustment_nv_fund",P$3,$A859))</f>
        <v/>
      </c>
      <c r="Q859" s="13" t="str">
        <f>IF($A859="","",[1]!thsiFinD("ths_adjustment_nv_fund",Q$3,$A859))</f>
        <v/>
      </c>
      <c r="R859" s="13" t="str">
        <f>IF($A859="","",[1]!thsiFinD("ths_adjustment_nv_fund",R$3,$A859))</f>
        <v/>
      </c>
      <c r="S859" s="13" t="str">
        <f>IF($A859="","",[1]!thsiFinD("ths_adjustment_nv_fund",S$3,$A859))</f>
        <v/>
      </c>
      <c r="T859" s="13" t="str">
        <f>IF($A859="","",[1]!thsiFinD("ths_adjustment_nv_fund",T$3,$A859))</f>
        <v/>
      </c>
      <c r="U859" s="13" t="str">
        <f>IF($A859="","",[1]!thsiFinD("ths_adjustment_nv_fund",U$3,$A859))</f>
        <v/>
      </c>
      <c r="V859" s="13" t="str">
        <f>IF($A859="","",[1]!thsiFinD("ths_adjustment_nv_fund",V$3,$A859))</f>
        <v/>
      </c>
      <c r="W859" s="13" t="str">
        <f>IF($A859="","",[1]!thsiFinD("ths_adjustment_nv_fund",W$3,$A859))</f>
        <v/>
      </c>
      <c r="X859" s="13" t="str">
        <f>IF($A859="","",[1]!thsiFinD("ths_adjustment_nv_fund",X$3,$A859))</f>
        <v/>
      </c>
      <c r="Y859" s="13" t="str">
        <f>IF($A859="","",[1]!thsiFinD("ths_adjustment_nv_fund",Y$3,$A859))</f>
        <v/>
      </c>
      <c r="Z859" s="13" t="str">
        <f>IF($A859="","",[1]!thsiFinD("ths_adjustment_nv_fund",Z$3,$A859))</f>
        <v/>
      </c>
      <c r="AA859" s="13" t="str">
        <f>IF($A859="","",[1]!thsiFinD("ths_adjustment_nv_fund",AA$3,$A859))</f>
        <v/>
      </c>
      <c r="AB859" s="13" t="str">
        <f>IF($A859="","",[1]!thsiFinD("ths_adjustment_nv_fund",AB$3,$A859))</f>
        <v/>
      </c>
    </row>
    <row r="860" spans="2:28">
      <c r="B860" s="13" t="str">
        <f>IF($A860="","",[1]!thsiFinD("ths_adjustment_nv_fund",B$3,$A860))</f>
        <v/>
      </c>
      <c r="C860" s="13" t="str">
        <f>IF($A860="","",[1]!thsiFinD("ths_adjustment_nv_fund",C$3,$A860))</f>
        <v/>
      </c>
      <c r="D860" s="13" t="str">
        <f>IF($A860="","",[1]!thsiFinD("ths_adjustment_nv_fund",D$3,$A860))</f>
        <v/>
      </c>
      <c r="E860" s="13" t="str">
        <f>IF($A860="","",[1]!thsiFinD("ths_adjustment_nv_fund",E$3,$A860))</f>
        <v/>
      </c>
      <c r="F860" s="13" t="str">
        <f>IF($A860="","",[1]!thsiFinD("ths_adjustment_nv_fund",F$3,$A860))</f>
        <v/>
      </c>
      <c r="G860" s="13" t="str">
        <f>IF($A860="","",[1]!thsiFinD("ths_adjustment_nv_fund",G$3,$A860))</f>
        <v/>
      </c>
      <c r="H860" s="13" t="str">
        <f>IF($A860="","",[1]!thsiFinD("ths_adjustment_nv_fund",H$3,$A860))</f>
        <v/>
      </c>
      <c r="I860" s="13" t="str">
        <f>IF($A860="","",[1]!thsiFinD("ths_adjustment_nv_fund",I$3,$A860))</f>
        <v/>
      </c>
      <c r="J860" s="13" t="str">
        <f>IF($A860="","",[1]!thsiFinD("ths_adjustment_nv_fund",J$3,$A860))</f>
        <v/>
      </c>
      <c r="K860" s="13" t="str">
        <f>IF($A860="","",[1]!thsiFinD("ths_adjustment_nv_fund",K$3,$A860))</f>
        <v/>
      </c>
      <c r="L860" s="13" t="str">
        <f>IF($A860="","",[1]!thsiFinD("ths_adjustment_nv_fund",L$3,$A860))</f>
        <v/>
      </c>
      <c r="M860" s="13" t="str">
        <f>IF($A860="","",[1]!thsiFinD("ths_adjustment_nv_fund",M$3,$A860))</f>
        <v/>
      </c>
      <c r="N860" s="13" t="str">
        <f>IF($A860="","",[1]!thsiFinD("ths_adjustment_nv_fund",N$3,$A860))</f>
        <v/>
      </c>
      <c r="O860" s="13" t="str">
        <f>IF($A860="","",[1]!thsiFinD("ths_adjustment_nv_fund",O$3,$A860))</f>
        <v/>
      </c>
      <c r="P860" s="13" t="str">
        <f>IF($A860="","",[1]!thsiFinD("ths_adjustment_nv_fund",P$3,$A860))</f>
        <v/>
      </c>
      <c r="Q860" s="13" t="str">
        <f>IF($A860="","",[1]!thsiFinD("ths_adjustment_nv_fund",Q$3,$A860))</f>
        <v/>
      </c>
      <c r="R860" s="13" t="str">
        <f>IF($A860="","",[1]!thsiFinD("ths_adjustment_nv_fund",R$3,$A860))</f>
        <v/>
      </c>
      <c r="S860" s="13" t="str">
        <f>IF($A860="","",[1]!thsiFinD("ths_adjustment_nv_fund",S$3,$A860))</f>
        <v/>
      </c>
      <c r="T860" s="13" t="str">
        <f>IF($A860="","",[1]!thsiFinD("ths_adjustment_nv_fund",T$3,$A860))</f>
        <v/>
      </c>
      <c r="U860" s="13" t="str">
        <f>IF($A860="","",[1]!thsiFinD("ths_adjustment_nv_fund",U$3,$A860))</f>
        <v/>
      </c>
      <c r="V860" s="13" t="str">
        <f>IF($A860="","",[1]!thsiFinD("ths_adjustment_nv_fund",V$3,$A860))</f>
        <v/>
      </c>
      <c r="W860" s="13" t="str">
        <f>IF($A860="","",[1]!thsiFinD("ths_adjustment_nv_fund",W$3,$A860))</f>
        <v/>
      </c>
      <c r="X860" s="13" t="str">
        <f>IF($A860="","",[1]!thsiFinD("ths_adjustment_nv_fund",X$3,$A860))</f>
        <v/>
      </c>
      <c r="Y860" s="13" t="str">
        <f>IF($A860="","",[1]!thsiFinD("ths_adjustment_nv_fund",Y$3,$A860))</f>
        <v/>
      </c>
      <c r="Z860" s="13" t="str">
        <f>IF($A860="","",[1]!thsiFinD("ths_adjustment_nv_fund",Z$3,$A860))</f>
        <v/>
      </c>
      <c r="AA860" s="13" t="str">
        <f>IF($A860="","",[1]!thsiFinD("ths_adjustment_nv_fund",AA$3,$A860))</f>
        <v/>
      </c>
      <c r="AB860" s="13" t="str">
        <f>IF($A860="","",[1]!thsiFinD("ths_adjustment_nv_fund",AB$3,$A860))</f>
        <v/>
      </c>
    </row>
    <row r="861" spans="2:28">
      <c r="B861" s="13" t="str">
        <f>IF($A861="","",[1]!thsiFinD("ths_adjustment_nv_fund",B$3,$A861))</f>
        <v/>
      </c>
      <c r="C861" s="13" t="str">
        <f>IF($A861="","",[1]!thsiFinD("ths_adjustment_nv_fund",C$3,$A861))</f>
        <v/>
      </c>
      <c r="D861" s="13" t="str">
        <f>IF($A861="","",[1]!thsiFinD("ths_adjustment_nv_fund",D$3,$A861))</f>
        <v/>
      </c>
      <c r="E861" s="13" t="str">
        <f>IF($A861="","",[1]!thsiFinD("ths_adjustment_nv_fund",E$3,$A861))</f>
        <v/>
      </c>
      <c r="F861" s="13" t="str">
        <f>IF($A861="","",[1]!thsiFinD("ths_adjustment_nv_fund",F$3,$A861))</f>
        <v/>
      </c>
      <c r="G861" s="13" t="str">
        <f>IF($A861="","",[1]!thsiFinD("ths_adjustment_nv_fund",G$3,$A861))</f>
        <v/>
      </c>
      <c r="H861" s="13" t="str">
        <f>IF($A861="","",[1]!thsiFinD("ths_adjustment_nv_fund",H$3,$A861))</f>
        <v/>
      </c>
      <c r="I861" s="13" t="str">
        <f>IF($A861="","",[1]!thsiFinD("ths_adjustment_nv_fund",I$3,$A861))</f>
        <v/>
      </c>
      <c r="J861" s="13" t="str">
        <f>IF($A861="","",[1]!thsiFinD("ths_adjustment_nv_fund",J$3,$A861))</f>
        <v/>
      </c>
      <c r="K861" s="13" t="str">
        <f>IF($A861="","",[1]!thsiFinD("ths_adjustment_nv_fund",K$3,$A861))</f>
        <v/>
      </c>
      <c r="L861" s="13" t="str">
        <f>IF($A861="","",[1]!thsiFinD("ths_adjustment_nv_fund",L$3,$A861))</f>
        <v/>
      </c>
      <c r="M861" s="13" t="str">
        <f>IF($A861="","",[1]!thsiFinD("ths_adjustment_nv_fund",M$3,$A861))</f>
        <v/>
      </c>
      <c r="N861" s="13" t="str">
        <f>IF($A861="","",[1]!thsiFinD("ths_adjustment_nv_fund",N$3,$A861))</f>
        <v/>
      </c>
      <c r="O861" s="13" t="str">
        <f>IF($A861="","",[1]!thsiFinD("ths_adjustment_nv_fund",O$3,$A861))</f>
        <v/>
      </c>
      <c r="P861" s="13" t="str">
        <f>IF($A861="","",[1]!thsiFinD("ths_adjustment_nv_fund",P$3,$A861))</f>
        <v/>
      </c>
      <c r="Q861" s="13" t="str">
        <f>IF($A861="","",[1]!thsiFinD("ths_adjustment_nv_fund",Q$3,$A861))</f>
        <v/>
      </c>
      <c r="R861" s="13" t="str">
        <f>IF($A861="","",[1]!thsiFinD("ths_adjustment_nv_fund",R$3,$A861))</f>
        <v/>
      </c>
      <c r="S861" s="13" t="str">
        <f>IF($A861="","",[1]!thsiFinD("ths_adjustment_nv_fund",S$3,$A861))</f>
        <v/>
      </c>
      <c r="T861" s="13" t="str">
        <f>IF($A861="","",[1]!thsiFinD("ths_adjustment_nv_fund",T$3,$A861))</f>
        <v/>
      </c>
      <c r="U861" s="13" t="str">
        <f>IF($A861="","",[1]!thsiFinD("ths_adjustment_nv_fund",U$3,$A861))</f>
        <v/>
      </c>
      <c r="V861" s="13" t="str">
        <f>IF($A861="","",[1]!thsiFinD("ths_adjustment_nv_fund",V$3,$A861))</f>
        <v/>
      </c>
      <c r="W861" s="13" t="str">
        <f>IF($A861="","",[1]!thsiFinD("ths_adjustment_nv_fund",W$3,$A861))</f>
        <v/>
      </c>
      <c r="X861" s="13" t="str">
        <f>IF($A861="","",[1]!thsiFinD("ths_adjustment_nv_fund",X$3,$A861))</f>
        <v/>
      </c>
      <c r="Y861" s="13" t="str">
        <f>IF($A861="","",[1]!thsiFinD("ths_adjustment_nv_fund",Y$3,$A861))</f>
        <v/>
      </c>
      <c r="Z861" s="13" t="str">
        <f>IF($A861="","",[1]!thsiFinD("ths_adjustment_nv_fund",Z$3,$A861))</f>
        <v/>
      </c>
      <c r="AA861" s="13" t="str">
        <f>IF($A861="","",[1]!thsiFinD("ths_adjustment_nv_fund",AA$3,$A861))</f>
        <v/>
      </c>
      <c r="AB861" s="13" t="str">
        <f>IF($A861="","",[1]!thsiFinD("ths_adjustment_nv_fund",AB$3,$A861))</f>
        <v/>
      </c>
    </row>
    <row r="862" spans="2:28">
      <c r="B862" s="13" t="str">
        <f>IF($A862="","",[1]!thsiFinD("ths_adjustment_nv_fund",B$3,$A862))</f>
        <v/>
      </c>
      <c r="C862" s="13" t="str">
        <f>IF($A862="","",[1]!thsiFinD("ths_adjustment_nv_fund",C$3,$A862))</f>
        <v/>
      </c>
      <c r="D862" s="13" t="str">
        <f>IF($A862="","",[1]!thsiFinD("ths_adjustment_nv_fund",D$3,$A862))</f>
        <v/>
      </c>
      <c r="E862" s="13" t="str">
        <f>IF($A862="","",[1]!thsiFinD("ths_adjustment_nv_fund",E$3,$A862))</f>
        <v/>
      </c>
      <c r="F862" s="13" t="str">
        <f>IF($A862="","",[1]!thsiFinD("ths_adjustment_nv_fund",F$3,$A862))</f>
        <v/>
      </c>
      <c r="G862" s="13" t="str">
        <f>IF($A862="","",[1]!thsiFinD("ths_adjustment_nv_fund",G$3,$A862))</f>
        <v/>
      </c>
      <c r="H862" s="13" t="str">
        <f>IF($A862="","",[1]!thsiFinD("ths_adjustment_nv_fund",H$3,$A862))</f>
        <v/>
      </c>
      <c r="I862" s="13" t="str">
        <f>IF($A862="","",[1]!thsiFinD("ths_adjustment_nv_fund",I$3,$A862))</f>
        <v/>
      </c>
      <c r="J862" s="13" t="str">
        <f>IF($A862="","",[1]!thsiFinD("ths_adjustment_nv_fund",J$3,$A862))</f>
        <v/>
      </c>
      <c r="K862" s="13" t="str">
        <f>IF($A862="","",[1]!thsiFinD("ths_adjustment_nv_fund",K$3,$A862))</f>
        <v/>
      </c>
      <c r="L862" s="13" t="str">
        <f>IF($A862="","",[1]!thsiFinD("ths_adjustment_nv_fund",L$3,$A862))</f>
        <v/>
      </c>
      <c r="M862" s="13" t="str">
        <f>IF($A862="","",[1]!thsiFinD("ths_adjustment_nv_fund",M$3,$A862))</f>
        <v/>
      </c>
      <c r="N862" s="13" t="str">
        <f>IF($A862="","",[1]!thsiFinD("ths_adjustment_nv_fund",N$3,$A862))</f>
        <v/>
      </c>
      <c r="O862" s="13" t="str">
        <f>IF($A862="","",[1]!thsiFinD("ths_adjustment_nv_fund",O$3,$A862))</f>
        <v/>
      </c>
      <c r="P862" s="13" t="str">
        <f>IF($A862="","",[1]!thsiFinD("ths_adjustment_nv_fund",P$3,$A862))</f>
        <v/>
      </c>
      <c r="Q862" s="13" t="str">
        <f>IF($A862="","",[1]!thsiFinD("ths_adjustment_nv_fund",Q$3,$A862))</f>
        <v/>
      </c>
      <c r="R862" s="13" t="str">
        <f>IF($A862="","",[1]!thsiFinD("ths_adjustment_nv_fund",R$3,$A862))</f>
        <v/>
      </c>
      <c r="S862" s="13" t="str">
        <f>IF($A862="","",[1]!thsiFinD("ths_adjustment_nv_fund",S$3,$A862))</f>
        <v/>
      </c>
      <c r="T862" s="13" t="str">
        <f>IF($A862="","",[1]!thsiFinD("ths_adjustment_nv_fund",T$3,$A862))</f>
        <v/>
      </c>
      <c r="U862" s="13" t="str">
        <f>IF($A862="","",[1]!thsiFinD("ths_adjustment_nv_fund",U$3,$A862))</f>
        <v/>
      </c>
      <c r="V862" s="13" t="str">
        <f>IF($A862="","",[1]!thsiFinD("ths_adjustment_nv_fund",V$3,$A862))</f>
        <v/>
      </c>
      <c r="W862" s="13" t="str">
        <f>IF($A862="","",[1]!thsiFinD("ths_adjustment_nv_fund",W$3,$A862))</f>
        <v/>
      </c>
      <c r="X862" s="13" t="str">
        <f>IF($A862="","",[1]!thsiFinD("ths_adjustment_nv_fund",X$3,$A862))</f>
        <v/>
      </c>
      <c r="Y862" s="13" t="str">
        <f>IF($A862="","",[1]!thsiFinD("ths_adjustment_nv_fund",Y$3,$A862))</f>
        <v/>
      </c>
      <c r="Z862" s="13" t="str">
        <f>IF($A862="","",[1]!thsiFinD("ths_adjustment_nv_fund",Z$3,$A862))</f>
        <v/>
      </c>
      <c r="AA862" s="13" t="str">
        <f>IF($A862="","",[1]!thsiFinD("ths_adjustment_nv_fund",AA$3,$A862))</f>
        <v/>
      </c>
      <c r="AB862" s="13" t="str">
        <f>IF($A862="","",[1]!thsiFinD("ths_adjustment_nv_fund",AB$3,$A862))</f>
        <v/>
      </c>
    </row>
    <row r="863" spans="2:28">
      <c r="B863" s="13" t="str">
        <f>IF($A863="","",[1]!thsiFinD("ths_adjustment_nv_fund",B$3,$A863))</f>
        <v/>
      </c>
      <c r="C863" s="13" t="str">
        <f>IF($A863="","",[1]!thsiFinD("ths_adjustment_nv_fund",C$3,$A863))</f>
        <v/>
      </c>
      <c r="D863" s="13" t="str">
        <f>IF($A863="","",[1]!thsiFinD("ths_adjustment_nv_fund",D$3,$A863))</f>
        <v/>
      </c>
      <c r="E863" s="13" t="str">
        <f>IF($A863="","",[1]!thsiFinD("ths_adjustment_nv_fund",E$3,$A863))</f>
        <v/>
      </c>
      <c r="F863" s="13" t="str">
        <f>IF($A863="","",[1]!thsiFinD("ths_adjustment_nv_fund",F$3,$A863))</f>
        <v/>
      </c>
      <c r="G863" s="13" t="str">
        <f>IF($A863="","",[1]!thsiFinD("ths_adjustment_nv_fund",G$3,$A863))</f>
        <v/>
      </c>
      <c r="H863" s="13" t="str">
        <f>IF($A863="","",[1]!thsiFinD("ths_adjustment_nv_fund",H$3,$A863))</f>
        <v/>
      </c>
      <c r="I863" s="13" t="str">
        <f>IF($A863="","",[1]!thsiFinD("ths_adjustment_nv_fund",I$3,$A863))</f>
        <v/>
      </c>
      <c r="J863" s="13" t="str">
        <f>IF($A863="","",[1]!thsiFinD("ths_adjustment_nv_fund",J$3,$A863))</f>
        <v/>
      </c>
      <c r="K863" s="13" t="str">
        <f>IF($A863="","",[1]!thsiFinD("ths_adjustment_nv_fund",K$3,$A863))</f>
        <v/>
      </c>
      <c r="L863" s="13" t="str">
        <f>IF($A863="","",[1]!thsiFinD("ths_adjustment_nv_fund",L$3,$A863))</f>
        <v/>
      </c>
      <c r="M863" s="13" t="str">
        <f>IF($A863="","",[1]!thsiFinD("ths_adjustment_nv_fund",M$3,$A863))</f>
        <v/>
      </c>
      <c r="N863" s="13" t="str">
        <f>IF($A863="","",[1]!thsiFinD("ths_adjustment_nv_fund",N$3,$A863))</f>
        <v/>
      </c>
      <c r="O863" s="13" t="str">
        <f>IF($A863="","",[1]!thsiFinD("ths_adjustment_nv_fund",O$3,$A863))</f>
        <v/>
      </c>
      <c r="P863" s="13" t="str">
        <f>IF($A863="","",[1]!thsiFinD("ths_adjustment_nv_fund",P$3,$A863))</f>
        <v/>
      </c>
      <c r="Q863" s="13" t="str">
        <f>IF($A863="","",[1]!thsiFinD("ths_adjustment_nv_fund",Q$3,$A863))</f>
        <v/>
      </c>
      <c r="R863" s="13" t="str">
        <f>IF($A863="","",[1]!thsiFinD("ths_adjustment_nv_fund",R$3,$A863))</f>
        <v/>
      </c>
      <c r="S863" s="13" t="str">
        <f>IF($A863="","",[1]!thsiFinD("ths_adjustment_nv_fund",S$3,$A863))</f>
        <v/>
      </c>
      <c r="T863" s="13" t="str">
        <f>IF($A863="","",[1]!thsiFinD("ths_adjustment_nv_fund",T$3,$A863))</f>
        <v/>
      </c>
      <c r="U863" s="13" t="str">
        <f>IF($A863="","",[1]!thsiFinD("ths_adjustment_nv_fund",U$3,$A863))</f>
        <v/>
      </c>
      <c r="V863" s="13" t="str">
        <f>IF($A863="","",[1]!thsiFinD("ths_adjustment_nv_fund",V$3,$A863))</f>
        <v/>
      </c>
      <c r="W863" s="13" t="str">
        <f>IF($A863="","",[1]!thsiFinD("ths_adjustment_nv_fund",W$3,$A863))</f>
        <v/>
      </c>
      <c r="X863" s="13" t="str">
        <f>IF($A863="","",[1]!thsiFinD("ths_adjustment_nv_fund",X$3,$A863))</f>
        <v/>
      </c>
      <c r="Y863" s="13" t="str">
        <f>IF($A863="","",[1]!thsiFinD("ths_adjustment_nv_fund",Y$3,$A863))</f>
        <v/>
      </c>
      <c r="Z863" s="13" t="str">
        <f>IF($A863="","",[1]!thsiFinD("ths_adjustment_nv_fund",Z$3,$A863))</f>
        <v/>
      </c>
      <c r="AA863" s="13" t="str">
        <f>IF($A863="","",[1]!thsiFinD("ths_adjustment_nv_fund",AA$3,$A863))</f>
        <v/>
      </c>
      <c r="AB863" s="13" t="str">
        <f>IF($A863="","",[1]!thsiFinD("ths_adjustment_nv_fund",AB$3,$A863))</f>
        <v/>
      </c>
    </row>
    <row r="864" spans="2:28">
      <c r="B864" s="13" t="str">
        <f>IF($A864="","",[1]!thsiFinD("ths_adjustment_nv_fund",B$3,$A864))</f>
        <v/>
      </c>
      <c r="C864" s="13" t="str">
        <f>IF($A864="","",[1]!thsiFinD("ths_adjustment_nv_fund",C$3,$A864))</f>
        <v/>
      </c>
      <c r="D864" s="13" t="str">
        <f>IF($A864="","",[1]!thsiFinD("ths_adjustment_nv_fund",D$3,$A864))</f>
        <v/>
      </c>
      <c r="E864" s="13" t="str">
        <f>IF($A864="","",[1]!thsiFinD("ths_adjustment_nv_fund",E$3,$A864))</f>
        <v/>
      </c>
      <c r="F864" s="13" t="str">
        <f>IF($A864="","",[1]!thsiFinD("ths_adjustment_nv_fund",F$3,$A864))</f>
        <v/>
      </c>
      <c r="G864" s="13" t="str">
        <f>IF($A864="","",[1]!thsiFinD("ths_adjustment_nv_fund",G$3,$A864))</f>
        <v/>
      </c>
      <c r="H864" s="13" t="str">
        <f>IF($A864="","",[1]!thsiFinD("ths_adjustment_nv_fund",H$3,$A864))</f>
        <v/>
      </c>
      <c r="I864" s="13" t="str">
        <f>IF($A864="","",[1]!thsiFinD("ths_adjustment_nv_fund",I$3,$A864))</f>
        <v/>
      </c>
      <c r="J864" s="13" t="str">
        <f>IF($A864="","",[1]!thsiFinD("ths_adjustment_nv_fund",J$3,$A864))</f>
        <v/>
      </c>
      <c r="K864" s="13" t="str">
        <f>IF($A864="","",[1]!thsiFinD("ths_adjustment_nv_fund",K$3,$A864))</f>
        <v/>
      </c>
      <c r="L864" s="13" t="str">
        <f>IF($A864="","",[1]!thsiFinD("ths_adjustment_nv_fund",L$3,$A864))</f>
        <v/>
      </c>
      <c r="M864" s="13" t="str">
        <f>IF($A864="","",[1]!thsiFinD("ths_adjustment_nv_fund",M$3,$A864))</f>
        <v/>
      </c>
      <c r="N864" s="13" t="str">
        <f>IF($A864="","",[1]!thsiFinD("ths_adjustment_nv_fund",N$3,$A864))</f>
        <v/>
      </c>
      <c r="O864" s="13" t="str">
        <f>IF($A864="","",[1]!thsiFinD("ths_adjustment_nv_fund",O$3,$A864))</f>
        <v/>
      </c>
      <c r="P864" s="13" t="str">
        <f>IF($A864="","",[1]!thsiFinD("ths_adjustment_nv_fund",P$3,$A864))</f>
        <v/>
      </c>
      <c r="Q864" s="13" t="str">
        <f>IF($A864="","",[1]!thsiFinD("ths_adjustment_nv_fund",Q$3,$A864))</f>
        <v/>
      </c>
      <c r="R864" s="13" t="str">
        <f>IF($A864="","",[1]!thsiFinD("ths_adjustment_nv_fund",R$3,$A864))</f>
        <v/>
      </c>
      <c r="S864" s="13" t="str">
        <f>IF($A864="","",[1]!thsiFinD("ths_adjustment_nv_fund",S$3,$A864))</f>
        <v/>
      </c>
      <c r="T864" s="13" t="str">
        <f>IF($A864="","",[1]!thsiFinD("ths_adjustment_nv_fund",T$3,$A864))</f>
        <v/>
      </c>
      <c r="U864" s="13" t="str">
        <f>IF($A864="","",[1]!thsiFinD("ths_adjustment_nv_fund",U$3,$A864))</f>
        <v/>
      </c>
      <c r="V864" s="13" t="str">
        <f>IF($A864="","",[1]!thsiFinD("ths_adjustment_nv_fund",V$3,$A864))</f>
        <v/>
      </c>
      <c r="W864" s="13" t="str">
        <f>IF($A864="","",[1]!thsiFinD("ths_adjustment_nv_fund",W$3,$A864))</f>
        <v/>
      </c>
      <c r="X864" s="13" t="str">
        <f>IF($A864="","",[1]!thsiFinD("ths_adjustment_nv_fund",X$3,$A864))</f>
        <v/>
      </c>
      <c r="Y864" s="13" t="str">
        <f>IF($A864="","",[1]!thsiFinD("ths_adjustment_nv_fund",Y$3,$A864))</f>
        <v/>
      </c>
      <c r="Z864" s="13" t="str">
        <f>IF($A864="","",[1]!thsiFinD("ths_adjustment_nv_fund",Z$3,$A864))</f>
        <v/>
      </c>
      <c r="AA864" s="13" t="str">
        <f>IF($A864="","",[1]!thsiFinD("ths_adjustment_nv_fund",AA$3,$A864))</f>
        <v/>
      </c>
      <c r="AB864" s="13" t="str">
        <f>IF($A864="","",[1]!thsiFinD("ths_adjustment_nv_fund",AB$3,$A864))</f>
        <v/>
      </c>
    </row>
    <row r="865" spans="2:28">
      <c r="B865" s="13" t="str">
        <f>IF($A865="","",[1]!thsiFinD("ths_adjustment_nv_fund",B$3,$A865))</f>
        <v/>
      </c>
      <c r="C865" s="13" t="str">
        <f>IF($A865="","",[1]!thsiFinD("ths_adjustment_nv_fund",C$3,$A865))</f>
        <v/>
      </c>
      <c r="D865" s="13" t="str">
        <f>IF($A865="","",[1]!thsiFinD("ths_adjustment_nv_fund",D$3,$A865))</f>
        <v/>
      </c>
      <c r="E865" s="13" t="str">
        <f>IF($A865="","",[1]!thsiFinD("ths_adjustment_nv_fund",E$3,$A865))</f>
        <v/>
      </c>
      <c r="F865" s="13" t="str">
        <f>IF($A865="","",[1]!thsiFinD("ths_adjustment_nv_fund",F$3,$A865))</f>
        <v/>
      </c>
      <c r="G865" s="13" t="str">
        <f>IF($A865="","",[1]!thsiFinD("ths_adjustment_nv_fund",G$3,$A865))</f>
        <v/>
      </c>
      <c r="H865" s="13" t="str">
        <f>IF($A865="","",[1]!thsiFinD("ths_adjustment_nv_fund",H$3,$A865))</f>
        <v/>
      </c>
      <c r="I865" s="13" t="str">
        <f>IF($A865="","",[1]!thsiFinD("ths_adjustment_nv_fund",I$3,$A865))</f>
        <v/>
      </c>
      <c r="J865" s="13" t="str">
        <f>IF($A865="","",[1]!thsiFinD("ths_adjustment_nv_fund",J$3,$A865))</f>
        <v/>
      </c>
      <c r="K865" s="13" t="str">
        <f>IF($A865="","",[1]!thsiFinD("ths_adjustment_nv_fund",K$3,$A865))</f>
        <v/>
      </c>
      <c r="L865" s="13" t="str">
        <f>IF($A865="","",[1]!thsiFinD("ths_adjustment_nv_fund",L$3,$A865))</f>
        <v/>
      </c>
      <c r="M865" s="13" t="str">
        <f>IF($A865="","",[1]!thsiFinD("ths_adjustment_nv_fund",M$3,$A865))</f>
        <v/>
      </c>
      <c r="N865" s="13" t="str">
        <f>IF($A865="","",[1]!thsiFinD("ths_adjustment_nv_fund",N$3,$A865))</f>
        <v/>
      </c>
      <c r="O865" s="13" t="str">
        <f>IF($A865="","",[1]!thsiFinD("ths_adjustment_nv_fund",O$3,$A865))</f>
        <v/>
      </c>
      <c r="P865" s="13" t="str">
        <f>IF($A865="","",[1]!thsiFinD("ths_adjustment_nv_fund",P$3,$A865))</f>
        <v/>
      </c>
      <c r="Q865" s="13" t="str">
        <f>IF($A865="","",[1]!thsiFinD("ths_adjustment_nv_fund",Q$3,$A865))</f>
        <v/>
      </c>
      <c r="R865" s="13" t="str">
        <f>IF($A865="","",[1]!thsiFinD("ths_adjustment_nv_fund",R$3,$A865))</f>
        <v/>
      </c>
      <c r="S865" s="13" t="str">
        <f>IF($A865="","",[1]!thsiFinD("ths_adjustment_nv_fund",S$3,$A865))</f>
        <v/>
      </c>
      <c r="T865" s="13" t="str">
        <f>IF($A865="","",[1]!thsiFinD("ths_adjustment_nv_fund",T$3,$A865))</f>
        <v/>
      </c>
      <c r="U865" s="13" t="str">
        <f>IF($A865="","",[1]!thsiFinD("ths_adjustment_nv_fund",U$3,$A865))</f>
        <v/>
      </c>
      <c r="V865" s="13" t="str">
        <f>IF($A865="","",[1]!thsiFinD("ths_adjustment_nv_fund",V$3,$A865))</f>
        <v/>
      </c>
      <c r="W865" s="13" t="str">
        <f>IF($A865="","",[1]!thsiFinD("ths_adjustment_nv_fund",W$3,$A865))</f>
        <v/>
      </c>
      <c r="X865" s="13" t="str">
        <f>IF($A865="","",[1]!thsiFinD("ths_adjustment_nv_fund",X$3,$A865))</f>
        <v/>
      </c>
      <c r="Y865" s="13" t="str">
        <f>IF($A865="","",[1]!thsiFinD("ths_adjustment_nv_fund",Y$3,$A865))</f>
        <v/>
      </c>
      <c r="Z865" s="13" t="str">
        <f>IF($A865="","",[1]!thsiFinD("ths_adjustment_nv_fund",Z$3,$A865))</f>
        <v/>
      </c>
      <c r="AA865" s="13" t="str">
        <f>IF($A865="","",[1]!thsiFinD("ths_adjustment_nv_fund",AA$3,$A865))</f>
        <v/>
      </c>
      <c r="AB865" s="13" t="str">
        <f>IF($A865="","",[1]!thsiFinD("ths_adjustment_nv_fund",AB$3,$A865))</f>
        <v/>
      </c>
    </row>
    <row r="866" spans="2:28">
      <c r="B866" s="13" t="str">
        <f>IF($A866="","",[1]!thsiFinD("ths_adjustment_nv_fund",B$3,$A866))</f>
        <v/>
      </c>
      <c r="C866" s="13" t="str">
        <f>IF($A866="","",[1]!thsiFinD("ths_adjustment_nv_fund",C$3,$A866))</f>
        <v/>
      </c>
      <c r="D866" s="13" t="str">
        <f>IF($A866="","",[1]!thsiFinD("ths_adjustment_nv_fund",D$3,$A866))</f>
        <v/>
      </c>
      <c r="E866" s="13" t="str">
        <f>IF($A866="","",[1]!thsiFinD("ths_adjustment_nv_fund",E$3,$A866))</f>
        <v/>
      </c>
      <c r="F866" s="13" t="str">
        <f>IF($A866="","",[1]!thsiFinD("ths_adjustment_nv_fund",F$3,$A866))</f>
        <v/>
      </c>
      <c r="G866" s="13" t="str">
        <f>IF($A866="","",[1]!thsiFinD("ths_adjustment_nv_fund",G$3,$A866))</f>
        <v/>
      </c>
      <c r="H866" s="13" t="str">
        <f>IF($A866="","",[1]!thsiFinD("ths_adjustment_nv_fund",H$3,$A866))</f>
        <v/>
      </c>
      <c r="I866" s="13" t="str">
        <f>IF($A866="","",[1]!thsiFinD("ths_adjustment_nv_fund",I$3,$A866))</f>
        <v/>
      </c>
      <c r="J866" s="13" t="str">
        <f>IF($A866="","",[1]!thsiFinD("ths_adjustment_nv_fund",J$3,$A866))</f>
        <v/>
      </c>
      <c r="K866" s="13" t="str">
        <f>IF($A866="","",[1]!thsiFinD("ths_adjustment_nv_fund",K$3,$A866))</f>
        <v/>
      </c>
      <c r="L866" s="13" t="str">
        <f>IF($A866="","",[1]!thsiFinD("ths_adjustment_nv_fund",L$3,$A866))</f>
        <v/>
      </c>
      <c r="M866" s="13" t="str">
        <f>IF($A866="","",[1]!thsiFinD("ths_adjustment_nv_fund",M$3,$A866))</f>
        <v/>
      </c>
      <c r="N866" s="13" t="str">
        <f>IF($A866="","",[1]!thsiFinD("ths_adjustment_nv_fund",N$3,$A866))</f>
        <v/>
      </c>
      <c r="O866" s="13" t="str">
        <f>IF($A866="","",[1]!thsiFinD("ths_adjustment_nv_fund",O$3,$A866))</f>
        <v/>
      </c>
      <c r="P866" s="13" t="str">
        <f>IF($A866="","",[1]!thsiFinD("ths_adjustment_nv_fund",P$3,$A866))</f>
        <v/>
      </c>
      <c r="Q866" s="13" t="str">
        <f>IF($A866="","",[1]!thsiFinD("ths_adjustment_nv_fund",Q$3,$A866))</f>
        <v/>
      </c>
      <c r="R866" s="13" t="str">
        <f>IF($A866="","",[1]!thsiFinD("ths_adjustment_nv_fund",R$3,$A866))</f>
        <v/>
      </c>
      <c r="S866" s="13" t="str">
        <f>IF($A866="","",[1]!thsiFinD("ths_adjustment_nv_fund",S$3,$A866))</f>
        <v/>
      </c>
      <c r="T866" s="13" t="str">
        <f>IF($A866="","",[1]!thsiFinD("ths_adjustment_nv_fund",T$3,$A866))</f>
        <v/>
      </c>
      <c r="U866" s="13" t="str">
        <f>IF($A866="","",[1]!thsiFinD("ths_adjustment_nv_fund",U$3,$A866))</f>
        <v/>
      </c>
      <c r="V866" s="13" t="str">
        <f>IF($A866="","",[1]!thsiFinD("ths_adjustment_nv_fund",V$3,$A866))</f>
        <v/>
      </c>
      <c r="W866" s="13" t="str">
        <f>IF($A866="","",[1]!thsiFinD("ths_adjustment_nv_fund",W$3,$A866))</f>
        <v/>
      </c>
      <c r="X866" s="13" t="str">
        <f>IF($A866="","",[1]!thsiFinD("ths_adjustment_nv_fund",X$3,$A866))</f>
        <v/>
      </c>
      <c r="Y866" s="13" t="str">
        <f>IF($A866="","",[1]!thsiFinD("ths_adjustment_nv_fund",Y$3,$A866))</f>
        <v/>
      </c>
      <c r="Z866" s="13" t="str">
        <f>IF($A866="","",[1]!thsiFinD("ths_adjustment_nv_fund",Z$3,$A866))</f>
        <v/>
      </c>
      <c r="AA866" s="13" t="str">
        <f>IF($A866="","",[1]!thsiFinD("ths_adjustment_nv_fund",AA$3,$A866))</f>
        <v/>
      </c>
      <c r="AB866" s="13" t="str">
        <f>IF($A866="","",[1]!thsiFinD("ths_adjustment_nv_fund",AB$3,$A866))</f>
        <v/>
      </c>
    </row>
    <row r="867" spans="2:28">
      <c r="B867" s="13" t="str">
        <f>IF($A867="","",[1]!thsiFinD("ths_adjustment_nv_fund",B$3,$A867))</f>
        <v/>
      </c>
      <c r="C867" s="13" t="str">
        <f>IF($A867="","",[1]!thsiFinD("ths_adjustment_nv_fund",C$3,$A867))</f>
        <v/>
      </c>
      <c r="D867" s="13" t="str">
        <f>IF($A867="","",[1]!thsiFinD("ths_adjustment_nv_fund",D$3,$A867))</f>
        <v/>
      </c>
      <c r="E867" s="13" t="str">
        <f>IF($A867="","",[1]!thsiFinD("ths_adjustment_nv_fund",E$3,$A867))</f>
        <v/>
      </c>
      <c r="F867" s="13" t="str">
        <f>IF($A867="","",[1]!thsiFinD("ths_adjustment_nv_fund",F$3,$A867))</f>
        <v/>
      </c>
      <c r="G867" s="13" t="str">
        <f>IF($A867="","",[1]!thsiFinD("ths_adjustment_nv_fund",G$3,$A867))</f>
        <v/>
      </c>
      <c r="H867" s="13" t="str">
        <f>IF($A867="","",[1]!thsiFinD("ths_adjustment_nv_fund",H$3,$A867))</f>
        <v/>
      </c>
      <c r="I867" s="13" t="str">
        <f>IF($A867="","",[1]!thsiFinD("ths_adjustment_nv_fund",I$3,$A867))</f>
        <v/>
      </c>
      <c r="J867" s="13" t="str">
        <f>IF($A867="","",[1]!thsiFinD("ths_adjustment_nv_fund",J$3,$A867))</f>
        <v/>
      </c>
      <c r="K867" s="13" t="str">
        <f>IF($A867="","",[1]!thsiFinD("ths_adjustment_nv_fund",K$3,$A867))</f>
        <v/>
      </c>
      <c r="L867" s="13" t="str">
        <f>IF($A867="","",[1]!thsiFinD("ths_adjustment_nv_fund",L$3,$A867))</f>
        <v/>
      </c>
      <c r="M867" s="13" t="str">
        <f>IF($A867="","",[1]!thsiFinD("ths_adjustment_nv_fund",M$3,$A867))</f>
        <v/>
      </c>
      <c r="N867" s="13" t="str">
        <f>IF($A867="","",[1]!thsiFinD("ths_adjustment_nv_fund",N$3,$A867))</f>
        <v/>
      </c>
      <c r="O867" s="13" t="str">
        <f>IF($A867="","",[1]!thsiFinD("ths_adjustment_nv_fund",O$3,$A867))</f>
        <v/>
      </c>
      <c r="P867" s="13" t="str">
        <f>IF($A867="","",[1]!thsiFinD("ths_adjustment_nv_fund",P$3,$A867))</f>
        <v/>
      </c>
      <c r="Q867" s="13" t="str">
        <f>IF($A867="","",[1]!thsiFinD("ths_adjustment_nv_fund",Q$3,$A867))</f>
        <v/>
      </c>
      <c r="R867" s="13" t="str">
        <f>IF($A867="","",[1]!thsiFinD("ths_adjustment_nv_fund",R$3,$A867))</f>
        <v/>
      </c>
      <c r="S867" s="13" t="str">
        <f>IF($A867="","",[1]!thsiFinD("ths_adjustment_nv_fund",S$3,$A867))</f>
        <v/>
      </c>
      <c r="T867" s="13" t="str">
        <f>IF($A867="","",[1]!thsiFinD("ths_adjustment_nv_fund",T$3,$A867))</f>
        <v/>
      </c>
      <c r="U867" s="13" t="str">
        <f>IF($A867="","",[1]!thsiFinD("ths_adjustment_nv_fund",U$3,$A867))</f>
        <v/>
      </c>
      <c r="V867" s="13" t="str">
        <f>IF($A867="","",[1]!thsiFinD("ths_adjustment_nv_fund",V$3,$A867))</f>
        <v/>
      </c>
      <c r="W867" s="13" t="str">
        <f>IF($A867="","",[1]!thsiFinD("ths_adjustment_nv_fund",W$3,$A867))</f>
        <v/>
      </c>
      <c r="X867" s="13" t="str">
        <f>IF($A867="","",[1]!thsiFinD("ths_adjustment_nv_fund",X$3,$A867))</f>
        <v/>
      </c>
      <c r="Y867" s="13" t="str">
        <f>IF($A867="","",[1]!thsiFinD("ths_adjustment_nv_fund",Y$3,$A867))</f>
        <v/>
      </c>
      <c r="Z867" s="13" t="str">
        <f>IF($A867="","",[1]!thsiFinD("ths_adjustment_nv_fund",Z$3,$A867))</f>
        <v/>
      </c>
      <c r="AA867" s="13" t="str">
        <f>IF($A867="","",[1]!thsiFinD("ths_adjustment_nv_fund",AA$3,$A867))</f>
        <v/>
      </c>
      <c r="AB867" s="13" t="str">
        <f>IF($A867="","",[1]!thsiFinD("ths_adjustment_nv_fund",AB$3,$A867))</f>
        <v/>
      </c>
    </row>
    <row r="868" spans="2:28">
      <c r="B868" s="13" t="str">
        <f>IF($A868="","",[1]!thsiFinD("ths_adjustment_nv_fund",B$3,$A868))</f>
        <v/>
      </c>
      <c r="C868" s="13" t="str">
        <f>IF($A868="","",[1]!thsiFinD("ths_adjustment_nv_fund",C$3,$A868))</f>
        <v/>
      </c>
      <c r="D868" s="13" t="str">
        <f>IF($A868="","",[1]!thsiFinD("ths_adjustment_nv_fund",D$3,$A868))</f>
        <v/>
      </c>
      <c r="E868" s="13" t="str">
        <f>IF($A868="","",[1]!thsiFinD("ths_adjustment_nv_fund",E$3,$A868))</f>
        <v/>
      </c>
      <c r="F868" s="13" t="str">
        <f>IF($A868="","",[1]!thsiFinD("ths_adjustment_nv_fund",F$3,$A868))</f>
        <v/>
      </c>
      <c r="G868" s="13" t="str">
        <f>IF($A868="","",[1]!thsiFinD("ths_adjustment_nv_fund",G$3,$A868))</f>
        <v/>
      </c>
      <c r="H868" s="13" t="str">
        <f>IF($A868="","",[1]!thsiFinD("ths_adjustment_nv_fund",H$3,$A868))</f>
        <v/>
      </c>
      <c r="I868" s="13" t="str">
        <f>IF($A868="","",[1]!thsiFinD("ths_adjustment_nv_fund",I$3,$A868))</f>
        <v/>
      </c>
      <c r="J868" s="13" t="str">
        <f>IF($A868="","",[1]!thsiFinD("ths_adjustment_nv_fund",J$3,$A868))</f>
        <v/>
      </c>
      <c r="K868" s="13" t="str">
        <f>IF($A868="","",[1]!thsiFinD("ths_adjustment_nv_fund",K$3,$A868))</f>
        <v/>
      </c>
      <c r="L868" s="13" t="str">
        <f>IF($A868="","",[1]!thsiFinD("ths_adjustment_nv_fund",L$3,$A868))</f>
        <v/>
      </c>
      <c r="M868" s="13" t="str">
        <f>IF($A868="","",[1]!thsiFinD("ths_adjustment_nv_fund",M$3,$A868))</f>
        <v/>
      </c>
      <c r="N868" s="13" t="str">
        <f>IF($A868="","",[1]!thsiFinD("ths_adjustment_nv_fund",N$3,$A868))</f>
        <v/>
      </c>
      <c r="O868" s="13" t="str">
        <f>IF($A868="","",[1]!thsiFinD("ths_adjustment_nv_fund",O$3,$A868))</f>
        <v/>
      </c>
      <c r="P868" s="13" t="str">
        <f>IF($A868="","",[1]!thsiFinD("ths_adjustment_nv_fund",P$3,$A868))</f>
        <v/>
      </c>
      <c r="Q868" s="13" t="str">
        <f>IF($A868="","",[1]!thsiFinD("ths_adjustment_nv_fund",Q$3,$A868))</f>
        <v/>
      </c>
      <c r="R868" s="13" t="str">
        <f>IF($A868="","",[1]!thsiFinD("ths_adjustment_nv_fund",R$3,$A868))</f>
        <v/>
      </c>
      <c r="S868" s="13" t="str">
        <f>IF($A868="","",[1]!thsiFinD("ths_adjustment_nv_fund",S$3,$A868))</f>
        <v/>
      </c>
      <c r="T868" s="13" t="str">
        <f>IF($A868="","",[1]!thsiFinD("ths_adjustment_nv_fund",T$3,$A868))</f>
        <v/>
      </c>
      <c r="U868" s="13" t="str">
        <f>IF($A868="","",[1]!thsiFinD("ths_adjustment_nv_fund",U$3,$A868))</f>
        <v/>
      </c>
      <c r="V868" s="13" t="str">
        <f>IF($A868="","",[1]!thsiFinD("ths_adjustment_nv_fund",V$3,$A868))</f>
        <v/>
      </c>
      <c r="W868" s="13" t="str">
        <f>IF($A868="","",[1]!thsiFinD("ths_adjustment_nv_fund",W$3,$A868))</f>
        <v/>
      </c>
      <c r="X868" s="13" t="str">
        <f>IF($A868="","",[1]!thsiFinD("ths_adjustment_nv_fund",X$3,$A868))</f>
        <v/>
      </c>
      <c r="Y868" s="13" t="str">
        <f>IF($A868="","",[1]!thsiFinD("ths_adjustment_nv_fund",Y$3,$A868))</f>
        <v/>
      </c>
      <c r="Z868" s="13" t="str">
        <f>IF($A868="","",[1]!thsiFinD("ths_adjustment_nv_fund",Z$3,$A868))</f>
        <v/>
      </c>
      <c r="AA868" s="13" t="str">
        <f>IF($A868="","",[1]!thsiFinD("ths_adjustment_nv_fund",AA$3,$A868))</f>
        <v/>
      </c>
      <c r="AB868" s="13" t="str">
        <f>IF($A868="","",[1]!thsiFinD("ths_adjustment_nv_fund",AB$3,$A868))</f>
        <v/>
      </c>
    </row>
    <row r="869" spans="2:28">
      <c r="B869" s="13" t="str">
        <f>IF($A869="","",[1]!thsiFinD("ths_adjustment_nv_fund",B$3,$A869))</f>
        <v/>
      </c>
      <c r="C869" s="13" t="str">
        <f>IF($A869="","",[1]!thsiFinD("ths_adjustment_nv_fund",C$3,$A869))</f>
        <v/>
      </c>
      <c r="D869" s="13" t="str">
        <f>IF($A869="","",[1]!thsiFinD("ths_adjustment_nv_fund",D$3,$A869))</f>
        <v/>
      </c>
      <c r="E869" s="13" t="str">
        <f>IF($A869="","",[1]!thsiFinD("ths_adjustment_nv_fund",E$3,$A869))</f>
        <v/>
      </c>
      <c r="F869" s="13" t="str">
        <f>IF($A869="","",[1]!thsiFinD("ths_adjustment_nv_fund",F$3,$A869))</f>
        <v/>
      </c>
      <c r="G869" s="13" t="str">
        <f>IF($A869="","",[1]!thsiFinD("ths_adjustment_nv_fund",G$3,$A869))</f>
        <v/>
      </c>
      <c r="H869" s="13" t="str">
        <f>IF($A869="","",[1]!thsiFinD("ths_adjustment_nv_fund",H$3,$A869))</f>
        <v/>
      </c>
      <c r="I869" s="13" t="str">
        <f>IF($A869="","",[1]!thsiFinD("ths_adjustment_nv_fund",I$3,$A869))</f>
        <v/>
      </c>
      <c r="J869" s="13" t="str">
        <f>IF($A869="","",[1]!thsiFinD("ths_adjustment_nv_fund",J$3,$A869))</f>
        <v/>
      </c>
      <c r="K869" s="13" t="str">
        <f>IF($A869="","",[1]!thsiFinD("ths_adjustment_nv_fund",K$3,$A869))</f>
        <v/>
      </c>
      <c r="L869" s="13" t="str">
        <f>IF($A869="","",[1]!thsiFinD("ths_adjustment_nv_fund",L$3,$A869))</f>
        <v/>
      </c>
      <c r="M869" s="13" t="str">
        <f>IF($A869="","",[1]!thsiFinD("ths_adjustment_nv_fund",M$3,$A869))</f>
        <v/>
      </c>
      <c r="N869" s="13" t="str">
        <f>IF($A869="","",[1]!thsiFinD("ths_adjustment_nv_fund",N$3,$A869))</f>
        <v/>
      </c>
      <c r="O869" s="13" t="str">
        <f>IF($A869="","",[1]!thsiFinD("ths_adjustment_nv_fund",O$3,$A869))</f>
        <v/>
      </c>
      <c r="P869" s="13" t="str">
        <f>IF($A869="","",[1]!thsiFinD("ths_adjustment_nv_fund",P$3,$A869))</f>
        <v/>
      </c>
      <c r="Q869" s="13" t="str">
        <f>IF($A869="","",[1]!thsiFinD("ths_adjustment_nv_fund",Q$3,$A869))</f>
        <v/>
      </c>
      <c r="R869" s="13" t="str">
        <f>IF($A869="","",[1]!thsiFinD("ths_adjustment_nv_fund",R$3,$A869))</f>
        <v/>
      </c>
      <c r="S869" s="13" t="str">
        <f>IF($A869="","",[1]!thsiFinD("ths_adjustment_nv_fund",S$3,$A869))</f>
        <v/>
      </c>
      <c r="T869" s="13" t="str">
        <f>IF($A869="","",[1]!thsiFinD("ths_adjustment_nv_fund",T$3,$A869))</f>
        <v/>
      </c>
      <c r="U869" s="13" t="str">
        <f>IF($A869="","",[1]!thsiFinD("ths_adjustment_nv_fund",U$3,$A869))</f>
        <v/>
      </c>
      <c r="V869" s="13" t="str">
        <f>IF($A869="","",[1]!thsiFinD("ths_adjustment_nv_fund",V$3,$A869))</f>
        <v/>
      </c>
      <c r="W869" s="13" t="str">
        <f>IF($A869="","",[1]!thsiFinD("ths_adjustment_nv_fund",W$3,$A869))</f>
        <v/>
      </c>
      <c r="X869" s="13" t="str">
        <f>IF($A869="","",[1]!thsiFinD("ths_adjustment_nv_fund",X$3,$A869))</f>
        <v/>
      </c>
      <c r="Y869" s="13" t="str">
        <f>IF($A869="","",[1]!thsiFinD("ths_adjustment_nv_fund",Y$3,$A869))</f>
        <v/>
      </c>
      <c r="Z869" s="13" t="str">
        <f>IF($A869="","",[1]!thsiFinD("ths_adjustment_nv_fund",Z$3,$A869))</f>
        <v/>
      </c>
      <c r="AA869" s="13" t="str">
        <f>IF($A869="","",[1]!thsiFinD("ths_adjustment_nv_fund",AA$3,$A869))</f>
        <v/>
      </c>
      <c r="AB869" s="13" t="str">
        <f>IF($A869="","",[1]!thsiFinD("ths_adjustment_nv_fund",AB$3,$A869))</f>
        <v/>
      </c>
    </row>
    <row r="870" spans="2:28">
      <c r="B870" s="13" t="str">
        <f>IF($A870="","",[1]!thsiFinD("ths_adjustment_nv_fund",B$3,$A870))</f>
        <v/>
      </c>
      <c r="C870" s="13" t="str">
        <f>IF($A870="","",[1]!thsiFinD("ths_adjustment_nv_fund",C$3,$A870))</f>
        <v/>
      </c>
      <c r="D870" s="13" t="str">
        <f>IF($A870="","",[1]!thsiFinD("ths_adjustment_nv_fund",D$3,$A870))</f>
        <v/>
      </c>
      <c r="E870" s="13" t="str">
        <f>IF($A870="","",[1]!thsiFinD("ths_adjustment_nv_fund",E$3,$A870))</f>
        <v/>
      </c>
      <c r="F870" s="13" t="str">
        <f>IF($A870="","",[1]!thsiFinD("ths_adjustment_nv_fund",F$3,$A870))</f>
        <v/>
      </c>
      <c r="G870" s="13" t="str">
        <f>IF($A870="","",[1]!thsiFinD("ths_adjustment_nv_fund",G$3,$A870))</f>
        <v/>
      </c>
      <c r="H870" s="13" t="str">
        <f>IF($A870="","",[1]!thsiFinD("ths_adjustment_nv_fund",H$3,$A870))</f>
        <v/>
      </c>
      <c r="I870" s="13" t="str">
        <f>IF($A870="","",[1]!thsiFinD("ths_adjustment_nv_fund",I$3,$A870))</f>
        <v/>
      </c>
      <c r="J870" s="13" t="str">
        <f>IF($A870="","",[1]!thsiFinD("ths_adjustment_nv_fund",J$3,$A870))</f>
        <v/>
      </c>
      <c r="K870" s="13" t="str">
        <f>IF($A870="","",[1]!thsiFinD("ths_adjustment_nv_fund",K$3,$A870))</f>
        <v/>
      </c>
      <c r="L870" s="13" t="str">
        <f>IF($A870="","",[1]!thsiFinD("ths_adjustment_nv_fund",L$3,$A870))</f>
        <v/>
      </c>
      <c r="M870" s="13" t="str">
        <f>IF($A870="","",[1]!thsiFinD("ths_adjustment_nv_fund",M$3,$A870))</f>
        <v/>
      </c>
      <c r="N870" s="13" t="str">
        <f>IF($A870="","",[1]!thsiFinD("ths_adjustment_nv_fund",N$3,$A870))</f>
        <v/>
      </c>
      <c r="O870" s="13" t="str">
        <f>IF($A870="","",[1]!thsiFinD("ths_adjustment_nv_fund",O$3,$A870))</f>
        <v/>
      </c>
      <c r="P870" s="13" t="str">
        <f>IF($A870="","",[1]!thsiFinD("ths_adjustment_nv_fund",P$3,$A870))</f>
        <v/>
      </c>
      <c r="Q870" s="13" t="str">
        <f>IF($A870="","",[1]!thsiFinD("ths_adjustment_nv_fund",Q$3,$A870))</f>
        <v/>
      </c>
      <c r="R870" s="13" t="str">
        <f>IF($A870="","",[1]!thsiFinD("ths_adjustment_nv_fund",R$3,$A870))</f>
        <v/>
      </c>
      <c r="S870" s="13" t="str">
        <f>IF($A870="","",[1]!thsiFinD("ths_adjustment_nv_fund",S$3,$A870))</f>
        <v/>
      </c>
      <c r="T870" s="13" t="str">
        <f>IF($A870="","",[1]!thsiFinD("ths_adjustment_nv_fund",T$3,$A870))</f>
        <v/>
      </c>
      <c r="U870" s="13" t="str">
        <f>IF($A870="","",[1]!thsiFinD("ths_adjustment_nv_fund",U$3,$A870))</f>
        <v/>
      </c>
      <c r="V870" s="13" t="str">
        <f>IF($A870="","",[1]!thsiFinD("ths_adjustment_nv_fund",V$3,$A870))</f>
        <v/>
      </c>
      <c r="W870" s="13" t="str">
        <f>IF($A870="","",[1]!thsiFinD("ths_adjustment_nv_fund",W$3,$A870))</f>
        <v/>
      </c>
      <c r="X870" s="13" t="str">
        <f>IF($A870="","",[1]!thsiFinD("ths_adjustment_nv_fund",X$3,$A870))</f>
        <v/>
      </c>
      <c r="Y870" s="13" t="str">
        <f>IF($A870="","",[1]!thsiFinD("ths_adjustment_nv_fund",Y$3,$A870))</f>
        <v/>
      </c>
      <c r="Z870" s="13" t="str">
        <f>IF($A870="","",[1]!thsiFinD("ths_adjustment_nv_fund",Z$3,$A870))</f>
        <v/>
      </c>
      <c r="AA870" s="13" t="str">
        <f>IF($A870="","",[1]!thsiFinD("ths_adjustment_nv_fund",AA$3,$A870))</f>
        <v/>
      </c>
      <c r="AB870" s="13" t="str">
        <f>IF($A870="","",[1]!thsiFinD("ths_adjustment_nv_fund",AB$3,$A870))</f>
        <v/>
      </c>
    </row>
    <row r="871" spans="2:28">
      <c r="B871" s="13" t="str">
        <f>IF($A871="","",[1]!thsiFinD("ths_adjustment_nv_fund",B$3,$A871))</f>
        <v/>
      </c>
      <c r="C871" s="13" t="str">
        <f>IF($A871="","",[1]!thsiFinD("ths_adjustment_nv_fund",C$3,$A871))</f>
        <v/>
      </c>
      <c r="D871" s="13" t="str">
        <f>IF($A871="","",[1]!thsiFinD("ths_adjustment_nv_fund",D$3,$A871))</f>
        <v/>
      </c>
      <c r="E871" s="13" t="str">
        <f>IF($A871="","",[1]!thsiFinD("ths_adjustment_nv_fund",E$3,$A871))</f>
        <v/>
      </c>
      <c r="F871" s="13" t="str">
        <f>IF($A871="","",[1]!thsiFinD("ths_adjustment_nv_fund",F$3,$A871))</f>
        <v/>
      </c>
      <c r="G871" s="13" t="str">
        <f>IF($A871="","",[1]!thsiFinD("ths_adjustment_nv_fund",G$3,$A871))</f>
        <v/>
      </c>
      <c r="H871" s="13" t="str">
        <f>IF($A871="","",[1]!thsiFinD("ths_adjustment_nv_fund",H$3,$A871))</f>
        <v/>
      </c>
      <c r="I871" s="13" t="str">
        <f>IF($A871="","",[1]!thsiFinD("ths_adjustment_nv_fund",I$3,$A871))</f>
        <v/>
      </c>
      <c r="J871" s="13" t="str">
        <f>IF($A871="","",[1]!thsiFinD("ths_adjustment_nv_fund",J$3,$A871))</f>
        <v/>
      </c>
      <c r="K871" s="13" t="str">
        <f>IF($A871="","",[1]!thsiFinD("ths_adjustment_nv_fund",K$3,$A871))</f>
        <v/>
      </c>
      <c r="L871" s="13" t="str">
        <f>IF($A871="","",[1]!thsiFinD("ths_adjustment_nv_fund",L$3,$A871))</f>
        <v/>
      </c>
      <c r="M871" s="13" t="str">
        <f>IF($A871="","",[1]!thsiFinD("ths_adjustment_nv_fund",M$3,$A871))</f>
        <v/>
      </c>
      <c r="N871" s="13" t="str">
        <f>IF($A871="","",[1]!thsiFinD("ths_adjustment_nv_fund",N$3,$A871))</f>
        <v/>
      </c>
      <c r="O871" s="13" t="str">
        <f>IF($A871="","",[1]!thsiFinD("ths_adjustment_nv_fund",O$3,$A871))</f>
        <v/>
      </c>
      <c r="P871" s="13" t="str">
        <f>IF($A871="","",[1]!thsiFinD("ths_adjustment_nv_fund",P$3,$A871))</f>
        <v/>
      </c>
      <c r="Q871" s="13" t="str">
        <f>IF($A871="","",[1]!thsiFinD("ths_adjustment_nv_fund",Q$3,$A871))</f>
        <v/>
      </c>
      <c r="R871" s="13" t="str">
        <f>IF($A871="","",[1]!thsiFinD("ths_adjustment_nv_fund",R$3,$A871))</f>
        <v/>
      </c>
      <c r="S871" s="13" t="str">
        <f>IF($A871="","",[1]!thsiFinD("ths_adjustment_nv_fund",S$3,$A871))</f>
        <v/>
      </c>
      <c r="T871" s="13" t="str">
        <f>IF($A871="","",[1]!thsiFinD("ths_adjustment_nv_fund",T$3,$A871))</f>
        <v/>
      </c>
      <c r="U871" s="13" t="str">
        <f>IF($A871="","",[1]!thsiFinD("ths_adjustment_nv_fund",U$3,$A871))</f>
        <v/>
      </c>
      <c r="V871" s="13" t="str">
        <f>IF($A871="","",[1]!thsiFinD("ths_adjustment_nv_fund",V$3,$A871))</f>
        <v/>
      </c>
      <c r="W871" s="13" t="str">
        <f>IF($A871="","",[1]!thsiFinD("ths_adjustment_nv_fund",W$3,$A871))</f>
        <v/>
      </c>
      <c r="X871" s="13" t="str">
        <f>IF($A871="","",[1]!thsiFinD("ths_adjustment_nv_fund",X$3,$A871))</f>
        <v/>
      </c>
      <c r="Y871" s="13" t="str">
        <f>IF($A871="","",[1]!thsiFinD("ths_adjustment_nv_fund",Y$3,$A871))</f>
        <v/>
      </c>
      <c r="Z871" s="13" t="str">
        <f>IF($A871="","",[1]!thsiFinD("ths_adjustment_nv_fund",Z$3,$A871))</f>
        <v/>
      </c>
      <c r="AA871" s="13" t="str">
        <f>IF($A871="","",[1]!thsiFinD("ths_adjustment_nv_fund",AA$3,$A871))</f>
        <v/>
      </c>
      <c r="AB871" s="13" t="str">
        <f>IF($A871="","",[1]!thsiFinD("ths_adjustment_nv_fund",AB$3,$A871))</f>
        <v/>
      </c>
    </row>
    <row r="872" spans="2:28">
      <c r="B872" s="13" t="str">
        <f>IF($A872="","",[1]!thsiFinD("ths_adjustment_nv_fund",B$3,$A872))</f>
        <v/>
      </c>
      <c r="C872" s="13" t="str">
        <f>IF($A872="","",[1]!thsiFinD("ths_adjustment_nv_fund",C$3,$A872))</f>
        <v/>
      </c>
      <c r="D872" s="13" t="str">
        <f>IF($A872="","",[1]!thsiFinD("ths_adjustment_nv_fund",D$3,$A872))</f>
        <v/>
      </c>
      <c r="E872" s="13" t="str">
        <f>IF($A872="","",[1]!thsiFinD("ths_adjustment_nv_fund",E$3,$A872))</f>
        <v/>
      </c>
      <c r="F872" s="13" t="str">
        <f>IF($A872="","",[1]!thsiFinD("ths_adjustment_nv_fund",F$3,$A872))</f>
        <v/>
      </c>
      <c r="G872" s="13" t="str">
        <f>IF($A872="","",[1]!thsiFinD("ths_adjustment_nv_fund",G$3,$A872))</f>
        <v/>
      </c>
      <c r="H872" s="13" t="str">
        <f>IF($A872="","",[1]!thsiFinD("ths_adjustment_nv_fund",H$3,$A872))</f>
        <v/>
      </c>
      <c r="I872" s="13" t="str">
        <f>IF($A872="","",[1]!thsiFinD("ths_adjustment_nv_fund",I$3,$A872))</f>
        <v/>
      </c>
      <c r="J872" s="13" t="str">
        <f>IF($A872="","",[1]!thsiFinD("ths_adjustment_nv_fund",J$3,$A872))</f>
        <v/>
      </c>
      <c r="K872" s="13" t="str">
        <f>IF($A872="","",[1]!thsiFinD("ths_adjustment_nv_fund",K$3,$A872))</f>
        <v/>
      </c>
      <c r="L872" s="13" t="str">
        <f>IF($A872="","",[1]!thsiFinD("ths_adjustment_nv_fund",L$3,$A872))</f>
        <v/>
      </c>
      <c r="M872" s="13" t="str">
        <f>IF($A872="","",[1]!thsiFinD("ths_adjustment_nv_fund",M$3,$A872))</f>
        <v/>
      </c>
      <c r="N872" s="13" t="str">
        <f>IF($A872="","",[1]!thsiFinD("ths_adjustment_nv_fund",N$3,$A872))</f>
        <v/>
      </c>
      <c r="O872" s="13" t="str">
        <f>IF($A872="","",[1]!thsiFinD("ths_adjustment_nv_fund",O$3,$A872))</f>
        <v/>
      </c>
      <c r="P872" s="13" t="str">
        <f>IF($A872="","",[1]!thsiFinD("ths_adjustment_nv_fund",P$3,$A872))</f>
        <v/>
      </c>
      <c r="Q872" s="13" t="str">
        <f>IF($A872="","",[1]!thsiFinD("ths_adjustment_nv_fund",Q$3,$A872))</f>
        <v/>
      </c>
      <c r="R872" s="13" t="str">
        <f>IF($A872="","",[1]!thsiFinD("ths_adjustment_nv_fund",R$3,$A872))</f>
        <v/>
      </c>
      <c r="S872" s="13" t="str">
        <f>IF($A872="","",[1]!thsiFinD("ths_adjustment_nv_fund",S$3,$A872))</f>
        <v/>
      </c>
      <c r="T872" s="13" t="str">
        <f>IF($A872="","",[1]!thsiFinD("ths_adjustment_nv_fund",T$3,$A872))</f>
        <v/>
      </c>
      <c r="U872" s="13" t="str">
        <f>IF($A872="","",[1]!thsiFinD("ths_adjustment_nv_fund",U$3,$A872))</f>
        <v/>
      </c>
      <c r="V872" s="13" t="str">
        <f>IF($A872="","",[1]!thsiFinD("ths_adjustment_nv_fund",V$3,$A872))</f>
        <v/>
      </c>
      <c r="W872" s="13" t="str">
        <f>IF($A872="","",[1]!thsiFinD("ths_adjustment_nv_fund",W$3,$A872))</f>
        <v/>
      </c>
      <c r="X872" s="13" t="str">
        <f>IF($A872="","",[1]!thsiFinD("ths_adjustment_nv_fund",X$3,$A872))</f>
        <v/>
      </c>
      <c r="Y872" s="13" t="str">
        <f>IF($A872="","",[1]!thsiFinD("ths_adjustment_nv_fund",Y$3,$A872))</f>
        <v/>
      </c>
      <c r="Z872" s="13" t="str">
        <f>IF($A872="","",[1]!thsiFinD("ths_adjustment_nv_fund",Z$3,$A872))</f>
        <v/>
      </c>
      <c r="AA872" s="13" t="str">
        <f>IF($A872="","",[1]!thsiFinD("ths_adjustment_nv_fund",AA$3,$A872))</f>
        <v/>
      </c>
      <c r="AB872" s="13" t="str">
        <f>IF($A872="","",[1]!thsiFinD("ths_adjustment_nv_fund",AB$3,$A872))</f>
        <v/>
      </c>
    </row>
    <row r="873" spans="2:28">
      <c r="B873" s="13" t="str">
        <f>IF($A873="","",[1]!thsiFinD("ths_adjustment_nv_fund",B$3,$A873))</f>
        <v/>
      </c>
      <c r="C873" s="13" t="str">
        <f>IF($A873="","",[1]!thsiFinD("ths_adjustment_nv_fund",C$3,$A873))</f>
        <v/>
      </c>
      <c r="D873" s="13" t="str">
        <f>IF($A873="","",[1]!thsiFinD("ths_adjustment_nv_fund",D$3,$A873))</f>
        <v/>
      </c>
      <c r="E873" s="13" t="str">
        <f>IF($A873="","",[1]!thsiFinD("ths_adjustment_nv_fund",E$3,$A873))</f>
        <v/>
      </c>
      <c r="F873" s="13" t="str">
        <f>IF($A873="","",[1]!thsiFinD("ths_adjustment_nv_fund",F$3,$A873))</f>
        <v/>
      </c>
      <c r="G873" s="13" t="str">
        <f>IF($A873="","",[1]!thsiFinD("ths_adjustment_nv_fund",G$3,$A873))</f>
        <v/>
      </c>
      <c r="H873" s="13" t="str">
        <f>IF($A873="","",[1]!thsiFinD("ths_adjustment_nv_fund",H$3,$A873))</f>
        <v/>
      </c>
      <c r="I873" s="13" t="str">
        <f>IF($A873="","",[1]!thsiFinD("ths_adjustment_nv_fund",I$3,$A873))</f>
        <v/>
      </c>
      <c r="J873" s="13" t="str">
        <f>IF($A873="","",[1]!thsiFinD("ths_adjustment_nv_fund",J$3,$A873))</f>
        <v/>
      </c>
      <c r="K873" s="13" t="str">
        <f>IF($A873="","",[1]!thsiFinD("ths_adjustment_nv_fund",K$3,$A873))</f>
        <v/>
      </c>
      <c r="L873" s="13" t="str">
        <f>IF($A873="","",[1]!thsiFinD("ths_adjustment_nv_fund",L$3,$A873))</f>
        <v/>
      </c>
      <c r="M873" s="13" t="str">
        <f>IF($A873="","",[1]!thsiFinD("ths_adjustment_nv_fund",M$3,$A873))</f>
        <v/>
      </c>
      <c r="N873" s="13" t="str">
        <f>IF($A873="","",[1]!thsiFinD("ths_adjustment_nv_fund",N$3,$A873))</f>
        <v/>
      </c>
      <c r="O873" s="13" t="str">
        <f>IF($A873="","",[1]!thsiFinD("ths_adjustment_nv_fund",O$3,$A873))</f>
        <v/>
      </c>
      <c r="P873" s="13" t="str">
        <f>IF($A873="","",[1]!thsiFinD("ths_adjustment_nv_fund",P$3,$A873))</f>
        <v/>
      </c>
      <c r="Q873" s="13" t="str">
        <f>IF($A873="","",[1]!thsiFinD("ths_adjustment_nv_fund",Q$3,$A873))</f>
        <v/>
      </c>
      <c r="R873" s="13" t="str">
        <f>IF($A873="","",[1]!thsiFinD("ths_adjustment_nv_fund",R$3,$A873))</f>
        <v/>
      </c>
      <c r="S873" s="13" t="str">
        <f>IF($A873="","",[1]!thsiFinD("ths_adjustment_nv_fund",S$3,$A873))</f>
        <v/>
      </c>
      <c r="T873" s="13" t="str">
        <f>IF($A873="","",[1]!thsiFinD("ths_adjustment_nv_fund",T$3,$A873))</f>
        <v/>
      </c>
      <c r="U873" s="13" t="str">
        <f>IF($A873="","",[1]!thsiFinD("ths_adjustment_nv_fund",U$3,$A873))</f>
        <v/>
      </c>
      <c r="V873" s="13" t="str">
        <f>IF($A873="","",[1]!thsiFinD("ths_adjustment_nv_fund",V$3,$A873))</f>
        <v/>
      </c>
      <c r="W873" s="13" t="str">
        <f>IF($A873="","",[1]!thsiFinD("ths_adjustment_nv_fund",W$3,$A873))</f>
        <v/>
      </c>
      <c r="X873" s="13" t="str">
        <f>IF($A873="","",[1]!thsiFinD("ths_adjustment_nv_fund",X$3,$A873))</f>
        <v/>
      </c>
      <c r="Y873" s="13" t="str">
        <f>IF($A873="","",[1]!thsiFinD("ths_adjustment_nv_fund",Y$3,$A873))</f>
        <v/>
      </c>
      <c r="Z873" s="13" t="str">
        <f>IF($A873="","",[1]!thsiFinD("ths_adjustment_nv_fund",Z$3,$A873))</f>
        <v/>
      </c>
      <c r="AA873" s="13" t="str">
        <f>IF($A873="","",[1]!thsiFinD("ths_adjustment_nv_fund",AA$3,$A873))</f>
        <v/>
      </c>
      <c r="AB873" s="13" t="str">
        <f>IF($A873="","",[1]!thsiFinD("ths_adjustment_nv_fund",AB$3,$A873))</f>
        <v/>
      </c>
    </row>
    <row r="874" spans="2:28">
      <c r="B874" s="13" t="str">
        <f>IF($A874="","",[1]!thsiFinD("ths_adjustment_nv_fund",B$3,$A874))</f>
        <v/>
      </c>
      <c r="C874" s="13" t="str">
        <f>IF($A874="","",[1]!thsiFinD("ths_adjustment_nv_fund",C$3,$A874))</f>
        <v/>
      </c>
      <c r="D874" s="13" t="str">
        <f>IF($A874="","",[1]!thsiFinD("ths_adjustment_nv_fund",D$3,$A874))</f>
        <v/>
      </c>
      <c r="E874" s="13" t="str">
        <f>IF($A874="","",[1]!thsiFinD("ths_adjustment_nv_fund",E$3,$A874))</f>
        <v/>
      </c>
      <c r="F874" s="13" t="str">
        <f>IF($A874="","",[1]!thsiFinD("ths_adjustment_nv_fund",F$3,$A874))</f>
        <v/>
      </c>
      <c r="G874" s="13" t="str">
        <f>IF($A874="","",[1]!thsiFinD("ths_adjustment_nv_fund",G$3,$A874))</f>
        <v/>
      </c>
      <c r="H874" s="13" t="str">
        <f>IF($A874="","",[1]!thsiFinD("ths_adjustment_nv_fund",H$3,$A874))</f>
        <v/>
      </c>
      <c r="I874" s="13" t="str">
        <f>IF($A874="","",[1]!thsiFinD("ths_adjustment_nv_fund",I$3,$A874))</f>
        <v/>
      </c>
      <c r="J874" s="13" t="str">
        <f>IF($A874="","",[1]!thsiFinD("ths_adjustment_nv_fund",J$3,$A874))</f>
        <v/>
      </c>
      <c r="K874" s="13" t="str">
        <f>IF($A874="","",[1]!thsiFinD("ths_adjustment_nv_fund",K$3,$A874))</f>
        <v/>
      </c>
      <c r="L874" s="13" t="str">
        <f>IF($A874="","",[1]!thsiFinD("ths_adjustment_nv_fund",L$3,$A874))</f>
        <v/>
      </c>
      <c r="M874" s="13" t="str">
        <f>IF($A874="","",[1]!thsiFinD("ths_adjustment_nv_fund",M$3,$A874))</f>
        <v/>
      </c>
      <c r="N874" s="13" t="str">
        <f>IF($A874="","",[1]!thsiFinD("ths_adjustment_nv_fund",N$3,$A874))</f>
        <v/>
      </c>
      <c r="O874" s="13" t="str">
        <f>IF($A874="","",[1]!thsiFinD("ths_adjustment_nv_fund",O$3,$A874))</f>
        <v/>
      </c>
      <c r="P874" s="13" t="str">
        <f>IF($A874="","",[1]!thsiFinD("ths_adjustment_nv_fund",P$3,$A874))</f>
        <v/>
      </c>
      <c r="Q874" s="13" t="str">
        <f>IF($A874="","",[1]!thsiFinD("ths_adjustment_nv_fund",Q$3,$A874))</f>
        <v/>
      </c>
      <c r="R874" s="13" t="str">
        <f>IF($A874="","",[1]!thsiFinD("ths_adjustment_nv_fund",R$3,$A874))</f>
        <v/>
      </c>
      <c r="S874" s="13" t="str">
        <f>IF($A874="","",[1]!thsiFinD("ths_adjustment_nv_fund",S$3,$A874))</f>
        <v/>
      </c>
      <c r="T874" s="13" t="str">
        <f>IF($A874="","",[1]!thsiFinD("ths_adjustment_nv_fund",T$3,$A874))</f>
        <v/>
      </c>
      <c r="U874" s="13" t="str">
        <f>IF($A874="","",[1]!thsiFinD("ths_adjustment_nv_fund",U$3,$A874))</f>
        <v/>
      </c>
      <c r="V874" s="13" t="str">
        <f>IF($A874="","",[1]!thsiFinD("ths_adjustment_nv_fund",V$3,$A874))</f>
        <v/>
      </c>
      <c r="W874" s="13" t="str">
        <f>IF($A874="","",[1]!thsiFinD("ths_adjustment_nv_fund",W$3,$A874))</f>
        <v/>
      </c>
      <c r="X874" s="13" t="str">
        <f>IF($A874="","",[1]!thsiFinD("ths_adjustment_nv_fund",X$3,$A874))</f>
        <v/>
      </c>
      <c r="Y874" s="13" t="str">
        <f>IF($A874="","",[1]!thsiFinD("ths_adjustment_nv_fund",Y$3,$A874))</f>
        <v/>
      </c>
      <c r="Z874" s="13" t="str">
        <f>IF($A874="","",[1]!thsiFinD("ths_adjustment_nv_fund",Z$3,$A874))</f>
        <v/>
      </c>
      <c r="AA874" s="13" t="str">
        <f>IF($A874="","",[1]!thsiFinD("ths_adjustment_nv_fund",AA$3,$A874))</f>
        <v/>
      </c>
      <c r="AB874" s="13" t="str">
        <f>IF($A874="","",[1]!thsiFinD("ths_adjustment_nv_fund",AB$3,$A874))</f>
        <v/>
      </c>
    </row>
    <row r="875" spans="2:28">
      <c r="B875" s="13" t="str">
        <f>IF($A875="","",[1]!thsiFinD("ths_adjustment_nv_fund",B$3,$A875))</f>
        <v/>
      </c>
      <c r="C875" s="13" t="str">
        <f>IF($A875="","",[1]!thsiFinD("ths_adjustment_nv_fund",C$3,$A875))</f>
        <v/>
      </c>
      <c r="D875" s="13" t="str">
        <f>IF($A875="","",[1]!thsiFinD("ths_adjustment_nv_fund",D$3,$A875))</f>
        <v/>
      </c>
      <c r="E875" s="13" t="str">
        <f>IF($A875="","",[1]!thsiFinD("ths_adjustment_nv_fund",E$3,$A875))</f>
        <v/>
      </c>
      <c r="F875" s="13" t="str">
        <f>IF($A875="","",[1]!thsiFinD("ths_adjustment_nv_fund",F$3,$A875))</f>
        <v/>
      </c>
      <c r="G875" s="13" t="str">
        <f>IF($A875="","",[1]!thsiFinD("ths_adjustment_nv_fund",G$3,$A875))</f>
        <v/>
      </c>
      <c r="H875" s="13" t="str">
        <f>IF($A875="","",[1]!thsiFinD("ths_adjustment_nv_fund",H$3,$A875))</f>
        <v/>
      </c>
      <c r="I875" s="13" t="str">
        <f>IF($A875="","",[1]!thsiFinD("ths_adjustment_nv_fund",I$3,$A875))</f>
        <v/>
      </c>
      <c r="J875" s="13" t="str">
        <f>IF($A875="","",[1]!thsiFinD("ths_adjustment_nv_fund",J$3,$A875))</f>
        <v/>
      </c>
      <c r="K875" s="13" t="str">
        <f>IF($A875="","",[1]!thsiFinD("ths_adjustment_nv_fund",K$3,$A875))</f>
        <v/>
      </c>
      <c r="L875" s="13" t="str">
        <f>IF($A875="","",[1]!thsiFinD("ths_adjustment_nv_fund",L$3,$A875))</f>
        <v/>
      </c>
      <c r="M875" s="13" t="str">
        <f>IF($A875="","",[1]!thsiFinD("ths_adjustment_nv_fund",M$3,$A875))</f>
        <v/>
      </c>
      <c r="N875" s="13" t="str">
        <f>IF($A875="","",[1]!thsiFinD("ths_adjustment_nv_fund",N$3,$A875))</f>
        <v/>
      </c>
      <c r="O875" s="13" t="str">
        <f>IF($A875="","",[1]!thsiFinD("ths_adjustment_nv_fund",O$3,$A875))</f>
        <v/>
      </c>
      <c r="P875" s="13" t="str">
        <f>IF($A875="","",[1]!thsiFinD("ths_adjustment_nv_fund",P$3,$A875))</f>
        <v/>
      </c>
      <c r="Q875" s="13" t="str">
        <f>IF($A875="","",[1]!thsiFinD("ths_adjustment_nv_fund",Q$3,$A875))</f>
        <v/>
      </c>
      <c r="R875" s="13" t="str">
        <f>IF($A875="","",[1]!thsiFinD("ths_adjustment_nv_fund",R$3,$A875))</f>
        <v/>
      </c>
      <c r="S875" s="13" t="str">
        <f>IF($A875="","",[1]!thsiFinD("ths_adjustment_nv_fund",S$3,$A875))</f>
        <v/>
      </c>
      <c r="T875" s="13" t="str">
        <f>IF($A875="","",[1]!thsiFinD("ths_adjustment_nv_fund",T$3,$A875))</f>
        <v/>
      </c>
      <c r="U875" s="13" t="str">
        <f>IF($A875="","",[1]!thsiFinD("ths_adjustment_nv_fund",U$3,$A875))</f>
        <v/>
      </c>
      <c r="V875" s="13" t="str">
        <f>IF($A875="","",[1]!thsiFinD("ths_adjustment_nv_fund",V$3,$A875))</f>
        <v/>
      </c>
      <c r="W875" s="13" t="str">
        <f>IF($A875="","",[1]!thsiFinD("ths_adjustment_nv_fund",W$3,$A875))</f>
        <v/>
      </c>
      <c r="X875" s="13" t="str">
        <f>IF($A875="","",[1]!thsiFinD("ths_adjustment_nv_fund",X$3,$A875))</f>
        <v/>
      </c>
      <c r="Y875" s="13" t="str">
        <f>IF($A875="","",[1]!thsiFinD("ths_adjustment_nv_fund",Y$3,$A875))</f>
        <v/>
      </c>
      <c r="Z875" s="13" t="str">
        <f>IF($A875="","",[1]!thsiFinD("ths_adjustment_nv_fund",Z$3,$A875))</f>
        <v/>
      </c>
      <c r="AA875" s="13" t="str">
        <f>IF($A875="","",[1]!thsiFinD("ths_adjustment_nv_fund",AA$3,$A875))</f>
        <v/>
      </c>
      <c r="AB875" s="13" t="str">
        <f>IF($A875="","",[1]!thsiFinD("ths_adjustment_nv_fund",AB$3,$A875))</f>
        <v/>
      </c>
    </row>
    <row r="876" spans="2:28">
      <c r="B876" s="13" t="str">
        <f>IF($A876="","",[1]!thsiFinD("ths_adjustment_nv_fund",B$3,$A876))</f>
        <v/>
      </c>
      <c r="C876" s="13" t="str">
        <f>IF($A876="","",[1]!thsiFinD("ths_adjustment_nv_fund",C$3,$A876))</f>
        <v/>
      </c>
      <c r="D876" s="13" t="str">
        <f>IF($A876="","",[1]!thsiFinD("ths_adjustment_nv_fund",D$3,$A876))</f>
        <v/>
      </c>
      <c r="E876" s="13" t="str">
        <f>IF($A876="","",[1]!thsiFinD("ths_adjustment_nv_fund",E$3,$A876))</f>
        <v/>
      </c>
      <c r="F876" s="13" t="str">
        <f>IF($A876="","",[1]!thsiFinD("ths_adjustment_nv_fund",F$3,$A876))</f>
        <v/>
      </c>
      <c r="G876" s="13" t="str">
        <f>IF($A876="","",[1]!thsiFinD("ths_adjustment_nv_fund",G$3,$A876))</f>
        <v/>
      </c>
      <c r="H876" s="13" t="str">
        <f>IF($A876="","",[1]!thsiFinD("ths_adjustment_nv_fund",H$3,$A876))</f>
        <v/>
      </c>
      <c r="I876" s="13" t="str">
        <f>IF($A876="","",[1]!thsiFinD("ths_adjustment_nv_fund",I$3,$A876))</f>
        <v/>
      </c>
      <c r="J876" s="13" t="str">
        <f>IF($A876="","",[1]!thsiFinD("ths_adjustment_nv_fund",J$3,$A876))</f>
        <v/>
      </c>
      <c r="K876" s="13" t="str">
        <f>IF($A876="","",[1]!thsiFinD("ths_adjustment_nv_fund",K$3,$A876))</f>
        <v/>
      </c>
      <c r="L876" s="13" t="str">
        <f>IF($A876="","",[1]!thsiFinD("ths_adjustment_nv_fund",L$3,$A876))</f>
        <v/>
      </c>
      <c r="M876" s="13" t="str">
        <f>IF($A876="","",[1]!thsiFinD("ths_adjustment_nv_fund",M$3,$A876))</f>
        <v/>
      </c>
      <c r="N876" s="13" t="str">
        <f>IF($A876="","",[1]!thsiFinD("ths_adjustment_nv_fund",N$3,$A876))</f>
        <v/>
      </c>
      <c r="O876" s="13" t="str">
        <f>IF($A876="","",[1]!thsiFinD("ths_adjustment_nv_fund",O$3,$A876))</f>
        <v/>
      </c>
      <c r="P876" s="13" t="str">
        <f>IF($A876="","",[1]!thsiFinD("ths_adjustment_nv_fund",P$3,$A876))</f>
        <v/>
      </c>
      <c r="Q876" s="13" t="str">
        <f>IF($A876="","",[1]!thsiFinD("ths_adjustment_nv_fund",Q$3,$A876))</f>
        <v/>
      </c>
      <c r="R876" s="13" t="str">
        <f>IF($A876="","",[1]!thsiFinD("ths_adjustment_nv_fund",R$3,$A876))</f>
        <v/>
      </c>
      <c r="S876" s="13" t="str">
        <f>IF($A876="","",[1]!thsiFinD("ths_adjustment_nv_fund",S$3,$A876))</f>
        <v/>
      </c>
      <c r="T876" s="13" t="str">
        <f>IF($A876="","",[1]!thsiFinD("ths_adjustment_nv_fund",T$3,$A876))</f>
        <v/>
      </c>
      <c r="U876" s="13" t="str">
        <f>IF($A876="","",[1]!thsiFinD("ths_adjustment_nv_fund",U$3,$A876))</f>
        <v/>
      </c>
      <c r="V876" s="13" t="str">
        <f>IF($A876="","",[1]!thsiFinD("ths_adjustment_nv_fund",V$3,$A876))</f>
        <v/>
      </c>
      <c r="W876" s="13" t="str">
        <f>IF($A876="","",[1]!thsiFinD("ths_adjustment_nv_fund",W$3,$A876))</f>
        <v/>
      </c>
      <c r="X876" s="13" t="str">
        <f>IF($A876="","",[1]!thsiFinD("ths_adjustment_nv_fund",X$3,$A876))</f>
        <v/>
      </c>
      <c r="Y876" s="13" t="str">
        <f>IF($A876="","",[1]!thsiFinD("ths_adjustment_nv_fund",Y$3,$A876))</f>
        <v/>
      </c>
      <c r="Z876" s="13" t="str">
        <f>IF($A876="","",[1]!thsiFinD("ths_adjustment_nv_fund",Z$3,$A876))</f>
        <v/>
      </c>
      <c r="AA876" s="13" t="str">
        <f>IF($A876="","",[1]!thsiFinD("ths_adjustment_nv_fund",AA$3,$A876))</f>
        <v/>
      </c>
      <c r="AB876" s="13" t="str">
        <f>IF($A876="","",[1]!thsiFinD("ths_adjustment_nv_fund",AB$3,$A876))</f>
        <v/>
      </c>
    </row>
    <row r="877" spans="2:28">
      <c r="B877" s="13" t="str">
        <f>IF($A877="","",[1]!thsiFinD("ths_adjustment_nv_fund",B$3,$A877))</f>
        <v/>
      </c>
      <c r="C877" s="13" t="str">
        <f>IF($A877="","",[1]!thsiFinD("ths_adjustment_nv_fund",C$3,$A877))</f>
        <v/>
      </c>
      <c r="D877" s="13" t="str">
        <f>IF($A877="","",[1]!thsiFinD("ths_adjustment_nv_fund",D$3,$A877))</f>
        <v/>
      </c>
      <c r="E877" s="13" t="str">
        <f>IF($A877="","",[1]!thsiFinD("ths_adjustment_nv_fund",E$3,$A877))</f>
        <v/>
      </c>
      <c r="F877" s="13" t="str">
        <f>IF($A877="","",[1]!thsiFinD("ths_adjustment_nv_fund",F$3,$A877))</f>
        <v/>
      </c>
      <c r="G877" s="13" t="str">
        <f>IF($A877="","",[1]!thsiFinD("ths_adjustment_nv_fund",G$3,$A877))</f>
        <v/>
      </c>
      <c r="H877" s="13" t="str">
        <f>IF($A877="","",[1]!thsiFinD("ths_adjustment_nv_fund",H$3,$A877))</f>
        <v/>
      </c>
      <c r="I877" s="13" t="str">
        <f>IF($A877="","",[1]!thsiFinD("ths_adjustment_nv_fund",I$3,$A877))</f>
        <v/>
      </c>
      <c r="J877" s="13" t="str">
        <f>IF($A877="","",[1]!thsiFinD("ths_adjustment_nv_fund",J$3,$A877))</f>
        <v/>
      </c>
      <c r="K877" s="13" t="str">
        <f>IF($A877="","",[1]!thsiFinD("ths_adjustment_nv_fund",K$3,$A877))</f>
        <v/>
      </c>
      <c r="L877" s="13" t="str">
        <f>IF($A877="","",[1]!thsiFinD("ths_adjustment_nv_fund",L$3,$A877))</f>
        <v/>
      </c>
      <c r="M877" s="13" t="str">
        <f>IF($A877="","",[1]!thsiFinD("ths_adjustment_nv_fund",M$3,$A877))</f>
        <v/>
      </c>
      <c r="N877" s="13" t="str">
        <f>IF($A877="","",[1]!thsiFinD("ths_adjustment_nv_fund",N$3,$A877))</f>
        <v/>
      </c>
      <c r="O877" s="13" t="str">
        <f>IF($A877="","",[1]!thsiFinD("ths_adjustment_nv_fund",O$3,$A877))</f>
        <v/>
      </c>
      <c r="P877" s="13" t="str">
        <f>IF($A877="","",[1]!thsiFinD("ths_adjustment_nv_fund",P$3,$A877))</f>
        <v/>
      </c>
      <c r="Q877" s="13" t="str">
        <f>IF($A877="","",[1]!thsiFinD("ths_adjustment_nv_fund",Q$3,$A877))</f>
        <v/>
      </c>
      <c r="R877" s="13" t="str">
        <f>IF($A877="","",[1]!thsiFinD("ths_adjustment_nv_fund",R$3,$A877))</f>
        <v/>
      </c>
      <c r="S877" s="13" t="str">
        <f>IF($A877="","",[1]!thsiFinD("ths_adjustment_nv_fund",S$3,$A877))</f>
        <v/>
      </c>
      <c r="T877" s="13" t="str">
        <f>IF($A877="","",[1]!thsiFinD("ths_adjustment_nv_fund",T$3,$A877))</f>
        <v/>
      </c>
      <c r="U877" s="13" t="str">
        <f>IF($A877="","",[1]!thsiFinD("ths_adjustment_nv_fund",U$3,$A877))</f>
        <v/>
      </c>
      <c r="V877" s="13" t="str">
        <f>IF($A877="","",[1]!thsiFinD("ths_adjustment_nv_fund",V$3,$A877))</f>
        <v/>
      </c>
      <c r="W877" s="13" t="str">
        <f>IF($A877="","",[1]!thsiFinD("ths_adjustment_nv_fund",W$3,$A877))</f>
        <v/>
      </c>
      <c r="X877" s="13" t="str">
        <f>IF($A877="","",[1]!thsiFinD("ths_adjustment_nv_fund",X$3,$A877))</f>
        <v/>
      </c>
      <c r="Y877" s="13" t="str">
        <f>IF($A877="","",[1]!thsiFinD("ths_adjustment_nv_fund",Y$3,$A877))</f>
        <v/>
      </c>
      <c r="Z877" s="13" t="str">
        <f>IF($A877="","",[1]!thsiFinD("ths_adjustment_nv_fund",Z$3,$A877))</f>
        <v/>
      </c>
      <c r="AA877" s="13" t="str">
        <f>IF($A877="","",[1]!thsiFinD("ths_adjustment_nv_fund",AA$3,$A877))</f>
        <v/>
      </c>
      <c r="AB877" s="13" t="str">
        <f>IF($A877="","",[1]!thsiFinD("ths_adjustment_nv_fund",AB$3,$A877))</f>
        <v/>
      </c>
    </row>
    <row r="878" spans="2:28">
      <c r="B878" s="13" t="str">
        <f>IF($A878="","",[1]!thsiFinD("ths_adjustment_nv_fund",B$3,$A878))</f>
        <v/>
      </c>
      <c r="C878" s="13" t="str">
        <f>IF($A878="","",[1]!thsiFinD("ths_adjustment_nv_fund",C$3,$A878))</f>
        <v/>
      </c>
      <c r="D878" s="13" t="str">
        <f>IF($A878="","",[1]!thsiFinD("ths_adjustment_nv_fund",D$3,$A878))</f>
        <v/>
      </c>
      <c r="E878" s="13" t="str">
        <f>IF($A878="","",[1]!thsiFinD("ths_adjustment_nv_fund",E$3,$A878))</f>
        <v/>
      </c>
      <c r="F878" s="13" t="str">
        <f>IF($A878="","",[1]!thsiFinD("ths_adjustment_nv_fund",F$3,$A878))</f>
        <v/>
      </c>
      <c r="G878" s="13" t="str">
        <f>IF($A878="","",[1]!thsiFinD("ths_adjustment_nv_fund",G$3,$A878))</f>
        <v/>
      </c>
      <c r="H878" s="13" t="str">
        <f>IF($A878="","",[1]!thsiFinD("ths_adjustment_nv_fund",H$3,$A878))</f>
        <v/>
      </c>
      <c r="I878" s="13" t="str">
        <f>IF($A878="","",[1]!thsiFinD("ths_adjustment_nv_fund",I$3,$A878))</f>
        <v/>
      </c>
      <c r="J878" s="13" t="str">
        <f>IF($A878="","",[1]!thsiFinD("ths_adjustment_nv_fund",J$3,$A878))</f>
        <v/>
      </c>
      <c r="K878" s="13" t="str">
        <f>IF($A878="","",[1]!thsiFinD("ths_adjustment_nv_fund",K$3,$A878))</f>
        <v/>
      </c>
      <c r="L878" s="13" t="str">
        <f>IF($A878="","",[1]!thsiFinD("ths_adjustment_nv_fund",L$3,$A878))</f>
        <v/>
      </c>
      <c r="M878" s="13" t="str">
        <f>IF($A878="","",[1]!thsiFinD("ths_adjustment_nv_fund",M$3,$A878))</f>
        <v/>
      </c>
      <c r="N878" s="13" t="str">
        <f>IF($A878="","",[1]!thsiFinD("ths_adjustment_nv_fund",N$3,$A878))</f>
        <v/>
      </c>
      <c r="O878" s="13" t="str">
        <f>IF($A878="","",[1]!thsiFinD("ths_adjustment_nv_fund",O$3,$A878))</f>
        <v/>
      </c>
      <c r="P878" s="13" t="str">
        <f>IF($A878="","",[1]!thsiFinD("ths_adjustment_nv_fund",P$3,$A878))</f>
        <v/>
      </c>
      <c r="Q878" s="13" t="str">
        <f>IF($A878="","",[1]!thsiFinD("ths_adjustment_nv_fund",Q$3,$A878))</f>
        <v/>
      </c>
      <c r="R878" s="13" t="str">
        <f>IF($A878="","",[1]!thsiFinD("ths_adjustment_nv_fund",R$3,$A878))</f>
        <v/>
      </c>
      <c r="S878" s="13" t="str">
        <f>IF($A878="","",[1]!thsiFinD("ths_adjustment_nv_fund",S$3,$A878))</f>
        <v/>
      </c>
      <c r="T878" s="13" t="str">
        <f>IF($A878="","",[1]!thsiFinD("ths_adjustment_nv_fund",T$3,$A878))</f>
        <v/>
      </c>
      <c r="U878" s="13" t="str">
        <f>IF($A878="","",[1]!thsiFinD("ths_adjustment_nv_fund",U$3,$A878))</f>
        <v/>
      </c>
      <c r="V878" s="13" t="str">
        <f>IF($A878="","",[1]!thsiFinD("ths_adjustment_nv_fund",V$3,$A878))</f>
        <v/>
      </c>
      <c r="W878" s="13" t="str">
        <f>IF($A878="","",[1]!thsiFinD("ths_adjustment_nv_fund",W$3,$A878))</f>
        <v/>
      </c>
      <c r="X878" s="13" t="str">
        <f>IF($A878="","",[1]!thsiFinD("ths_adjustment_nv_fund",X$3,$A878))</f>
        <v/>
      </c>
      <c r="Y878" s="13" t="str">
        <f>IF($A878="","",[1]!thsiFinD("ths_adjustment_nv_fund",Y$3,$A878))</f>
        <v/>
      </c>
      <c r="Z878" s="13" t="str">
        <f>IF($A878="","",[1]!thsiFinD("ths_adjustment_nv_fund",Z$3,$A878))</f>
        <v/>
      </c>
      <c r="AA878" s="13" t="str">
        <f>IF($A878="","",[1]!thsiFinD("ths_adjustment_nv_fund",AA$3,$A878))</f>
        <v/>
      </c>
      <c r="AB878" s="13" t="str">
        <f>IF($A878="","",[1]!thsiFinD("ths_adjustment_nv_fund",AB$3,$A878))</f>
        <v/>
      </c>
    </row>
    <row r="879" spans="2:28">
      <c r="B879" s="13" t="str">
        <f>IF($A879="","",[1]!thsiFinD("ths_adjustment_nv_fund",B$3,$A879))</f>
        <v/>
      </c>
      <c r="C879" s="13" t="str">
        <f>IF($A879="","",[1]!thsiFinD("ths_adjustment_nv_fund",C$3,$A879))</f>
        <v/>
      </c>
      <c r="D879" s="13" t="str">
        <f>IF($A879="","",[1]!thsiFinD("ths_adjustment_nv_fund",D$3,$A879))</f>
        <v/>
      </c>
      <c r="E879" s="13" t="str">
        <f>IF($A879="","",[1]!thsiFinD("ths_adjustment_nv_fund",E$3,$A879))</f>
        <v/>
      </c>
      <c r="F879" s="13" t="str">
        <f>IF($A879="","",[1]!thsiFinD("ths_adjustment_nv_fund",F$3,$A879))</f>
        <v/>
      </c>
      <c r="G879" s="13" t="str">
        <f>IF($A879="","",[1]!thsiFinD("ths_adjustment_nv_fund",G$3,$A879))</f>
        <v/>
      </c>
      <c r="H879" s="13" t="str">
        <f>IF($A879="","",[1]!thsiFinD("ths_adjustment_nv_fund",H$3,$A879))</f>
        <v/>
      </c>
      <c r="I879" s="13" t="str">
        <f>IF($A879="","",[1]!thsiFinD("ths_adjustment_nv_fund",I$3,$A879))</f>
        <v/>
      </c>
      <c r="J879" s="13" t="str">
        <f>IF($A879="","",[1]!thsiFinD("ths_adjustment_nv_fund",J$3,$A879))</f>
        <v/>
      </c>
      <c r="K879" s="13" t="str">
        <f>IF($A879="","",[1]!thsiFinD("ths_adjustment_nv_fund",K$3,$A879))</f>
        <v/>
      </c>
      <c r="L879" s="13" t="str">
        <f>IF($A879="","",[1]!thsiFinD("ths_adjustment_nv_fund",L$3,$A879))</f>
        <v/>
      </c>
      <c r="M879" s="13" t="str">
        <f>IF($A879="","",[1]!thsiFinD("ths_adjustment_nv_fund",M$3,$A879))</f>
        <v/>
      </c>
      <c r="N879" s="13" t="str">
        <f>IF($A879="","",[1]!thsiFinD("ths_adjustment_nv_fund",N$3,$A879))</f>
        <v/>
      </c>
      <c r="O879" s="13" t="str">
        <f>IF($A879="","",[1]!thsiFinD("ths_adjustment_nv_fund",O$3,$A879))</f>
        <v/>
      </c>
      <c r="P879" s="13" t="str">
        <f>IF($A879="","",[1]!thsiFinD("ths_adjustment_nv_fund",P$3,$A879))</f>
        <v/>
      </c>
      <c r="Q879" s="13" t="str">
        <f>IF($A879="","",[1]!thsiFinD("ths_adjustment_nv_fund",Q$3,$A879))</f>
        <v/>
      </c>
      <c r="R879" s="13" t="str">
        <f>IF($A879="","",[1]!thsiFinD("ths_adjustment_nv_fund",R$3,$A879))</f>
        <v/>
      </c>
      <c r="S879" s="13" t="str">
        <f>IF($A879="","",[1]!thsiFinD("ths_adjustment_nv_fund",S$3,$A879))</f>
        <v/>
      </c>
      <c r="T879" s="13" t="str">
        <f>IF($A879="","",[1]!thsiFinD("ths_adjustment_nv_fund",T$3,$A879))</f>
        <v/>
      </c>
      <c r="U879" s="13" t="str">
        <f>IF($A879="","",[1]!thsiFinD("ths_adjustment_nv_fund",U$3,$A879))</f>
        <v/>
      </c>
      <c r="V879" s="13" t="str">
        <f>IF($A879="","",[1]!thsiFinD("ths_adjustment_nv_fund",V$3,$A879))</f>
        <v/>
      </c>
      <c r="W879" s="13" t="str">
        <f>IF($A879="","",[1]!thsiFinD("ths_adjustment_nv_fund",W$3,$A879))</f>
        <v/>
      </c>
      <c r="X879" s="13" t="str">
        <f>IF($A879="","",[1]!thsiFinD("ths_adjustment_nv_fund",X$3,$A879))</f>
        <v/>
      </c>
      <c r="Y879" s="13" t="str">
        <f>IF($A879="","",[1]!thsiFinD("ths_adjustment_nv_fund",Y$3,$A879))</f>
        <v/>
      </c>
      <c r="Z879" s="13" t="str">
        <f>IF($A879="","",[1]!thsiFinD("ths_adjustment_nv_fund",Z$3,$A879))</f>
        <v/>
      </c>
      <c r="AA879" s="13" t="str">
        <f>IF($A879="","",[1]!thsiFinD("ths_adjustment_nv_fund",AA$3,$A879))</f>
        <v/>
      </c>
      <c r="AB879" s="13" t="str">
        <f>IF($A879="","",[1]!thsiFinD("ths_adjustment_nv_fund",AB$3,$A879))</f>
        <v/>
      </c>
    </row>
    <row r="880" spans="2:28">
      <c r="B880" s="13" t="str">
        <f>IF($A880="","",[1]!thsiFinD("ths_adjustment_nv_fund",B$3,$A880))</f>
        <v/>
      </c>
      <c r="C880" s="13" t="str">
        <f>IF($A880="","",[1]!thsiFinD("ths_adjustment_nv_fund",C$3,$A880))</f>
        <v/>
      </c>
      <c r="D880" s="13" t="str">
        <f>IF($A880="","",[1]!thsiFinD("ths_adjustment_nv_fund",D$3,$A880))</f>
        <v/>
      </c>
      <c r="E880" s="13" t="str">
        <f>IF($A880="","",[1]!thsiFinD("ths_adjustment_nv_fund",E$3,$A880))</f>
        <v/>
      </c>
      <c r="F880" s="13" t="str">
        <f>IF($A880="","",[1]!thsiFinD("ths_adjustment_nv_fund",F$3,$A880))</f>
        <v/>
      </c>
      <c r="G880" s="13" t="str">
        <f>IF($A880="","",[1]!thsiFinD("ths_adjustment_nv_fund",G$3,$A880))</f>
        <v/>
      </c>
      <c r="H880" s="13" t="str">
        <f>IF($A880="","",[1]!thsiFinD("ths_adjustment_nv_fund",H$3,$A880))</f>
        <v/>
      </c>
      <c r="I880" s="13" t="str">
        <f>IF($A880="","",[1]!thsiFinD("ths_adjustment_nv_fund",I$3,$A880))</f>
        <v/>
      </c>
      <c r="J880" s="13" t="str">
        <f>IF($A880="","",[1]!thsiFinD("ths_adjustment_nv_fund",J$3,$A880))</f>
        <v/>
      </c>
      <c r="K880" s="13" t="str">
        <f>IF($A880="","",[1]!thsiFinD("ths_adjustment_nv_fund",K$3,$A880))</f>
        <v/>
      </c>
      <c r="L880" s="13" t="str">
        <f>IF($A880="","",[1]!thsiFinD("ths_adjustment_nv_fund",L$3,$A880))</f>
        <v/>
      </c>
      <c r="M880" s="13" t="str">
        <f>IF($A880="","",[1]!thsiFinD("ths_adjustment_nv_fund",M$3,$A880))</f>
        <v/>
      </c>
      <c r="N880" s="13" t="str">
        <f>IF($A880="","",[1]!thsiFinD("ths_adjustment_nv_fund",N$3,$A880))</f>
        <v/>
      </c>
      <c r="O880" s="13" t="str">
        <f>IF($A880="","",[1]!thsiFinD("ths_adjustment_nv_fund",O$3,$A880))</f>
        <v/>
      </c>
      <c r="P880" s="13" t="str">
        <f>IF($A880="","",[1]!thsiFinD("ths_adjustment_nv_fund",P$3,$A880))</f>
        <v/>
      </c>
      <c r="Q880" s="13" t="str">
        <f>IF($A880="","",[1]!thsiFinD("ths_adjustment_nv_fund",Q$3,$A880))</f>
        <v/>
      </c>
      <c r="R880" s="13" t="str">
        <f>IF($A880="","",[1]!thsiFinD("ths_adjustment_nv_fund",R$3,$A880))</f>
        <v/>
      </c>
      <c r="S880" s="13" t="str">
        <f>IF($A880="","",[1]!thsiFinD("ths_adjustment_nv_fund",S$3,$A880))</f>
        <v/>
      </c>
      <c r="T880" s="13" t="str">
        <f>IF($A880="","",[1]!thsiFinD("ths_adjustment_nv_fund",T$3,$A880))</f>
        <v/>
      </c>
      <c r="U880" s="13" t="str">
        <f>IF($A880="","",[1]!thsiFinD("ths_adjustment_nv_fund",U$3,$A880))</f>
        <v/>
      </c>
      <c r="V880" s="13" t="str">
        <f>IF($A880="","",[1]!thsiFinD("ths_adjustment_nv_fund",V$3,$A880))</f>
        <v/>
      </c>
      <c r="W880" s="13" t="str">
        <f>IF($A880="","",[1]!thsiFinD("ths_adjustment_nv_fund",W$3,$A880))</f>
        <v/>
      </c>
      <c r="X880" s="13" t="str">
        <f>IF($A880="","",[1]!thsiFinD("ths_adjustment_nv_fund",X$3,$A880))</f>
        <v/>
      </c>
      <c r="Y880" s="13" t="str">
        <f>IF($A880="","",[1]!thsiFinD("ths_adjustment_nv_fund",Y$3,$A880))</f>
        <v/>
      </c>
      <c r="Z880" s="13" t="str">
        <f>IF($A880="","",[1]!thsiFinD("ths_adjustment_nv_fund",Z$3,$A880))</f>
        <v/>
      </c>
      <c r="AA880" s="13" t="str">
        <f>IF($A880="","",[1]!thsiFinD("ths_adjustment_nv_fund",AA$3,$A880))</f>
        <v/>
      </c>
      <c r="AB880" s="13" t="str">
        <f>IF($A880="","",[1]!thsiFinD("ths_adjustment_nv_fund",AB$3,$A880))</f>
        <v/>
      </c>
    </row>
    <row r="881" spans="2:28">
      <c r="B881" s="13" t="str">
        <f>IF($A881="","",[1]!thsiFinD("ths_adjustment_nv_fund",B$3,$A881))</f>
        <v/>
      </c>
      <c r="C881" s="13" t="str">
        <f>IF($A881="","",[1]!thsiFinD("ths_adjustment_nv_fund",C$3,$A881))</f>
        <v/>
      </c>
      <c r="D881" s="13" t="str">
        <f>IF($A881="","",[1]!thsiFinD("ths_adjustment_nv_fund",D$3,$A881))</f>
        <v/>
      </c>
      <c r="E881" s="13" t="str">
        <f>IF($A881="","",[1]!thsiFinD("ths_adjustment_nv_fund",E$3,$A881))</f>
        <v/>
      </c>
      <c r="F881" s="13" t="str">
        <f>IF($A881="","",[1]!thsiFinD("ths_adjustment_nv_fund",F$3,$A881))</f>
        <v/>
      </c>
      <c r="G881" s="13" t="str">
        <f>IF($A881="","",[1]!thsiFinD("ths_adjustment_nv_fund",G$3,$A881))</f>
        <v/>
      </c>
      <c r="H881" s="13" t="str">
        <f>IF($A881="","",[1]!thsiFinD("ths_adjustment_nv_fund",H$3,$A881))</f>
        <v/>
      </c>
      <c r="I881" s="13" t="str">
        <f>IF($A881="","",[1]!thsiFinD("ths_adjustment_nv_fund",I$3,$A881))</f>
        <v/>
      </c>
      <c r="J881" s="13" t="str">
        <f>IF($A881="","",[1]!thsiFinD("ths_adjustment_nv_fund",J$3,$A881))</f>
        <v/>
      </c>
      <c r="K881" s="13" t="str">
        <f>IF($A881="","",[1]!thsiFinD("ths_adjustment_nv_fund",K$3,$A881))</f>
        <v/>
      </c>
      <c r="L881" s="13" t="str">
        <f>IF($A881="","",[1]!thsiFinD("ths_adjustment_nv_fund",L$3,$A881))</f>
        <v/>
      </c>
      <c r="M881" s="13" t="str">
        <f>IF($A881="","",[1]!thsiFinD("ths_adjustment_nv_fund",M$3,$A881))</f>
        <v/>
      </c>
      <c r="N881" s="13" t="str">
        <f>IF($A881="","",[1]!thsiFinD("ths_adjustment_nv_fund",N$3,$A881))</f>
        <v/>
      </c>
      <c r="O881" s="13" t="str">
        <f>IF($A881="","",[1]!thsiFinD("ths_adjustment_nv_fund",O$3,$A881))</f>
        <v/>
      </c>
      <c r="P881" s="13" t="str">
        <f>IF($A881="","",[1]!thsiFinD("ths_adjustment_nv_fund",P$3,$A881))</f>
        <v/>
      </c>
      <c r="Q881" s="13" t="str">
        <f>IF($A881="","",[1]!thsiFinD("ths_adjustment_nv_fund",Q$3,$A881))</f>
        <v/>
      </c>
      <c r="R881" s="13" t="str">
        <f>IF($A881="","",[1]!thsiFinD("ths_adjustment_nv_fund",R$3,$A881))</f>
        <v/>
      </c>
      <c r="S881" s="13" t="str">
        <f>IF($A881="","",[1]!thsiFinD("ths_adjustment_nv_fund",S$3,$A881))</f>
        <v/>
      </c>
      <c r="T881" s="13" t="str">
        <f>IF($A881="","",[1]!thsiFinD("ths_adjustment_nv_fund",T$3,$A881))</f>
        <v/>
      </c>
      <c r="U881" s="13" t="str">
        <f>IF($A881="","",[1]!thsiFinD("ths_adjustment_nv_fund",U$3,$A881))</f>
        <v/>
      </c>
      <c r="V881" s="13" t="str">
        <f>IF($A881="","",[1]!thsiFinD("ths_adjustment_nv_fund",V$3,$A881))</f>
        <v/>
      </c>
      <c r="W881" s="13" t="str">
        <f>IF($A881="","",[1]!thsiFinD("ths_adjustment_nv_fund",W$3,$A881))</f>
        <v/>
      </c>
      <c r="X881" s="13" t="str">
        <f>IF($A881="","",[1]!thsiFinD("ths_adjustment_nv_fund",X$3,$A881))</f>
        <v/>
      </c>
      <c r="Y881" s="13" t="str">
        <f>IF($A881="","",[1]!thsiFinD("ths_adjustment_nv_fund",Y$3,$A881))</f>
        <v/>
      </c>
      <c r="Z881" s="13" t="str">
        <f>IF($A881="","",[1]!thsiFinD("ths_adjustment_nv_fund",Z$3,$A881))</f>
        <v/>
      </c>
      <c r="AA881" s="13" t="str">
        <f>IF($A881="","",[1]!thsiFinD("ths_adjustment_nv_fund",AA$3,$A881))</f>
        <v/>
      </c>
      <c r="AB881" s="13" t="str">
        <f>IF($A881="","",[1]!thsiFinD("ths_adjustment_nv_fund",AB$3,$A881))</f>
        <v/>
      </c>
    </row>
    <row r="882" spans="2:28">
      <c r="B882" s="13" t="str">
        <f>IF($A882="","",[1]!thsiFinD("ths_adjustment_nv_fund",B$3,$A882))</f>
        <v/>
      </c>
      <c r="C882" s="13" t="str">
        <f>IF($A882="","",[1]!thsiFinD("ths_adjustment_nv_fund",C$3,$A882))</f>
        <v/>
      </c>
      <c r="D882" s="13" t="str">
        <f>IF($A882="","",[1]!thsiFinD("ths_adjustment_nv_fund",D$3,$A882))</f>
        <v/>
      </c>
      <c r="E882" s="13" t="str">
        <f>IF($A882="","",[1]!thsiFinD("ths_adjustment_nv_fund",E$3,$A882))</f>
        <v/>
      </c>
      <c r="F882" s="13" t="str">
        <f>IF($A882="","",[1]!thsiFinD("ths_adjustment_nv_fund",F$3,$A882))</f>
        <v/>
      </c>
      <c r="G882" s="13" t="str">
        <f>IF($A882="","",[1]!thsiFinD("ths_adjustment_nv_fund",G$3,$A882))</f>
        <v/>
      </c>
      <c r="H882" s="13" t="str">
        <f>IF($A882="","",[1]!thsiFinD("ths_adjustment_nv_fund",H$3,$A882))</f>
        <v/>
      </c>
      <c r="I882" s="13" t="str">
        <f>IF($A882="","",[1]!thsiFinD("ths_adjustment_nv_fund",I$3,$A882))</f>
        <v/>
      </c>
      <c r="J882" s="13" t="str">
        <f>IF($A882="","",[1]!thsiFinD("ths_adjustment_nv_fund",J$3,$A882))</f>
        <v/>
      </c>
      <c r="K882" s="13" t="str">
        <f>IF($A882="","",[1]!thsiFinD("ths_adjustment_nv_fund",K$3,$A882))</f>
        <v/>
      </c>
      <c r="L882" s="13" t="str">
        <f>IF($A882="","",[1]!thsiFinD("ths_adjustment_nv_fund",L$3,$A882))</f>
        <v/>
      </c>
      <c r="M882" s="13" t="str">
        <f>IF($A882="","",[1]!thsiFinD("ths_adjustment_nv_fund",M$3,$A882))</f>
        <v/>
      </c>
      <c r="N882" s="13" t="str">
        <f>IF($A882="","",[1]!thsiFinD("ths_adjustment_nv_fund",N$3,$A882))</f>
        <v/>
      </c>
      <c r="O882" s="13" t="str">
        <f>IF($A882="","",[1]!thsiFinD("ths_adjustment_nv_fund",O$3,$A882))</f>
        <v/>
      </c>
      <c r="P882" s="13" t="str">
        <f>IF($A882="","",[1]!thsiFinD("ths_adjustment_nv_fund",P$3,$A882))</f>
        <v/>
      </c>
      <c r="Q882" s="13" t="str">
        <f>IF($A882="","",[1]!thsiFinD("ths_adjustment_nv_fund",Q$3,$A882))</f>
        <v/>
      </c>
      <c r="R882" s="13" t="str">
        <f>IF($A882="","",[1]!thsiFinD("ths_adjustment_nv_fund",R$3,$A882))</f>
        <v/>
      </c>
      <c r="S882" s="13" t="str">
        <f>IF($A882="","",[1]!thsiFinD("ths_adjustment_nv_fund",S$3,$A882))</f>
        <v/>
      </c>
      <c r="T882" s="13" t="str">
        <f>IF($A882="","",[1]!thsiFinD("ths_adjustment_nv_fund",T$3,$A882))</f>
        <v/>
      </c>
      <c r="U882" s="13" t="str">
        <f>IF($A882="","",[1]!thsiFinD("ths_adjustment_nv_fund",U$3,$A882))</f>
        <v/>
      </c>
      <c r="V882" s="13" t="str">
        <f>IF($A882="","",[1]!thsiFinD("ths_adjustment_nv_fund",V$3,$A882))</f>
        <v/>
      </c>
      <c r="W882" s="13" t="str">
        <f>IF($A882="","",[1]!thsiFinD("ths_adjustment_nv_fund",W$3,$A882))</f>
        <v/>
      </c>
      <c r="X882" s="13" t="str">
        <f>IF($A882="","",[1]!thsiFinD("ths_adjustment_nv_fund",X$3,$A882))</f>
        <v/>
      </c>
      <c r="Y882" s="13" t="str">
        <f>IF($A882="","",[1]!thsiFinD("ths_adjustment_nv_fund",Y$3,$A882))</f>
        <v/>
      </c>
      <c r="Z882" s="13" t="str">
        <f>IF($A882="","",[1]!thsiFinD("ths_adjustment_nv_fund",Z$3,$A882))</f>
        <v/>
      </c>
      <c r="AA882" s="13" t="str">
        <f>IF($A882="","",[1]!thsiFinD("ths_adjustment_nv_fund",AA$3,$A882))</f>
        <v/>
      </c>
      <c r="AB882" s="13" t="str">
        <f>IF($A882="","",[1]!thsiFinD("ths_adjustment_nv_fund",AB$3,$A882))</f>
        <v/>
      </c>
    </row>
    <row r="883" spans="2:28">
      <c r="B883" s="13" t="str">
        <f>IF($A883="","",[1]!thsiFinD("ths_adjustment_nv_fund",B$3,$A883))</f>
        <v/>
      </c>
      <c r="C883" s="13" t="str">
        <f>IF($A883="","",[1]!thsiFinD("ths_adjustment_nv_fund",C$3,$A883))</f>
        <v/>
      </c>
      <c r="D883" s="13" t="str">
        <f>IF($A883="","",[1]!thsiFinD("ths_adjustment_nv_fund",D$3,$A883))</f>
        <v/>
      </c>
      <c r="E883" s="13" t="str">
        <f>IF($A883="","",[1]!thsiFinD("ths_adjustment_nv_fund",E$3,$A883))</f>
        <v/>
      </c>
      <c r="F883" s="13" t="str">
        <f>IF($A883="","",[1]!thsiFinD("ths_adjustment_nv_fund",F$3,$A883))</f>
        <v/>
      </c>
      <c r="G883" s="13" t="str">
        <f>IF($A883="","",[1]!thsiFinD("ths_adjustment_nv_fund",G$3,$A883))</f>
        <v/>
      </c>
      <c r="H883" s="13" t="str">
        <f>IF($A883="","",[1]!thsiFinD("ths_adjustment_nv_fund",H$3,$A883))</f>
        <v/>
      </c>
      <c r="I883" s="13" t="str">
        <f>IF($A883="","",[1]!thsiFinD("ths_adjustment_nv_fund",I$3,$A883))</f>
        <v/>
      </c>
      <c r="J883" s="13" t="str">
        <f>IF($A883="","",[1]!thsiFinD("ths_adjustment_nv_fund",J$3,$A883))</f>
        <v/>
      </c>
      <c r="K883" s="13" t="str">
        <f>IF($A883="","",[1]!thsiFinD("ths_adjustment_nv_fund",K$3,$A883))</f>
        <v/>
      </c>
      <c r="L883" s="13" t="str">
        <f>IF($A883="","",[1]!thsiFinD("ths_adjustment_nv_fund",L$3,$A883))</f>
        <v/>
      </c>
      <c r="M883" s="13" t="str">
        <f>IF($A883="","",[1]!thsiFinD("ths_adjustment_nv_fund",M$3,$A883))</f>
        <v/>
      </c>
      <c r="N883" s="13" t="str">
        <f>IF($A883="","",[1]!thsiFinD("ths_adjustment_nv_fund",N$3,$A883))</f>
        <v/>
      </c>
      <c r="O883" s="13" t="str">
        <f>IF($A883="","",[1]!thsiFinD("ths_adjustment_nv_fund",O$3,$A883))</f>
        <v/>
      </c>
      <c r="P883" s="13" t="str">
        <f>IF($A883="","",[1]!thsiFinD("ths_adjustment_nv_fund",P$3,$A883))</f>
        <v/>
      </c>
      <c r="Q883" s="13" t="str">
        <f>IF($A883="","",[1]!thsiFinD("ths_adjustment_nv_fund",Q$3,$A883))</f>
        <v/>
      </c>
      <c r="R883" s="13" t="str">
        <f>IF($A883="","",[1]!thsiFinD("ths_adjustment_nv_fund",R$3,$A883))</f>
        <v/>
      </c>
      <c r="S883" s="13" t="str">
        <f>IF($A883="","",[1]!thsiFinD("ths_adjustment_nv_fund",S$3,$A883))</f>
        <v/>
      </c>
      <c r="T883" s="13" t="str">
        <f>IF($A883="","",[1]!thsiFinD("ths_adjustment_nv_fund",T$3,$A883))</f>
        <v/>
      </c>
      <c r="U883" s="13" t="str">
        <f>IF($A883="","",[1]!thsiFinD("ths_adjustment_nv_fund",U$3,$A883))</f>
        <v/>
      </c>
      <c r="V883" s="13" t="str">
        <f>IF($A883="","",[1]!thsiFinD("ths_adjustment_nv_fund",V$3,$A883))</f>
        <v/>
      </c>
      <c r="W883" s="13" t="str">
        <f>IF($A883="","",[1]!thsiFinD("ths_adjustment_nv_fund",W$3,$A883))</f>
        <v/>
      </c>
      <c r="X883" s="13" t="str">
        <f>IF($A883="","",[1]!thsiFinD("ths_adjustment_nv_fund",X$3,$A883))</f>
        <v/>
      </c>
      <c r="Y883" s="13" t="str">
        <f>IF($A883="","",[1]!thsiFinD("ths_adjustment_nv_fund",Y$3,$A883))</f>
        <v/>
      </c>
      <c r="Z883" s="13" t="str">
        <f>IF($A883="","",[1]!thsiFinD("ths_adjustment_nv_fund",Z$3,$A883))</f>
        <v/>
      </c>
      <c r="AA883" s="13" t="str">
        <f>IF($A883="","",[1]!thsiFinD("ths_adjustment_nv_fund",AA$3,$A883))</f>
        <v/>
      </c>
      <c r="AB883" s="13" t="str">
        <f>IF($A883="","",[1]!thsiFinD("ths_adjustment_nv_fund",AB$3,$A883))</f>
        <v/>
      </c>
    </row>
    <row r="884" spans="2:28">
      <c r="B884" s="13" t="str">
        <f>IF($A884="","",[1]!thsiFinD("ths_adjustment_nv_fund",B$3,$A884))</f>
        <v/>
      </c>
      <c r="C884" s="13" t="str">
        <f>IF($A884="","",[1]!thsiFinD("ths_adjustment_nv_fund",C$3,$A884))</f>
        <v/>
      </c>
      <c r="D884" s="13" t="str">
        <f>IF($A884="","",[1]!thsiFinD("ths_adjustment_nv_fund",D$3,$A884))</f>
        <v/>
      </c>
      <c r="E884" s="13" t="str">
        <f>IF($A884="","",[1]!thsiFinD("ths_adjustment_nv_fund",E$3,$A884))</f>
        <v/>
      </c>
      <c r="F884" s="13" t="str">
        <f>IF($A884="","",[1]!thsiFinD("ths_adjustment_nv_fund",F$3,$A884))</f>
        <v/>
      </c>
      <c r="G884" s="13" t="str">
        <f>IF($A884="","",[1]!thsiFinD("ths_adjustment_nv_fund",G$3,$A884))</f>
        <v/>
      </c>
      <c r="H884" s="13" t="str">
        <f>IF($A884="","",[1]!thsiFinD("ths_adjustment_nv_fund",H$3,$A884))</f>
        <v/>
      </c>
      <c r="I884" s="13" t="str">
        <f>IF($A884="","",[1]!thsiFinD("ths_adjustment_nv_fund",I$3,$A884))</f>
        <v/>
      </c>
      <c r="J884" s="13" t="str">
        <f>IF($A884="","",[1]!thsiFinD("ths_adjustment_nv_fund",J$3,$A884))</f>
        <v/>
      </c>
      <c r="K884" s="13" t="str">
        <f>IF($A884="","",[1]!thsiFinD("ths_adjustment_nv_fund",K$3,$A884))</f>
        <v/>
      </c>
      <c r="L884" s="13" t="str">
        <f>IF($A884="","",[1]!thsiFinD("ths_adjustment_nv_fund",L$3,$A884))</f>
        <v/>
      </c>
      <c r="M884" s="13" t="str">
        <f>IF($A884="","",[1]!thsiFinD("ths_adjustment_nv_fund",M$3,$A884))</f>
        <v/>
      </c>
      <c r="N884" s="13" t="str">
        <f>IF($A884="","",[1]!thsiFinD("ths_adjustment_nv_fund",N$3,$A884))</f>
        <v/>
      </c>
      <c r="O884" s="13" t="str">
        <f>IF($A884="","",[1]!thsiFinD("ths_adjustment_nv_fund",O$3,$A884))</f>
        <v/>
      </c>
      <c r="P884" s="13" t="str">
        <f>IF($A884="","",[1]!thsiFinD("ths_adjustment_nv_fund",P$3,$A884))</f>
        <v/>
      </c>
      <c r="Q884" s="13" t="str">
        <f>IF($A884="","",[1]!thsiFinD("ths_adjustment_nv_fund",Q$3,$A884))</f>
        <v/>
      </c>
      <c r="R884" s="13" t="str">
        <f>IF($A884="","",[1]!thsiFinD("ths_adjustment_nv_fund",R$3,$A884))</f>
        <v/>
      </c>
      <c r="S884" s="13" t="str">
        <f>IF($A884="","",[1]!thsiFinD("ths_adjustment_nv_fund",S$3,$A884))</f>
        <v/>
      </c>
      <c r="T884" s="13" t="str">
        <f>IF($A884="","",[1]!thsiFinD("ths_adjustment_nv_fund",T$3,$A884))</f>
        <v/>
      </c>
      <c r="U884" s="13" t="str">
        <f>IF($A884="","",[1]!thsiFinD("ths_adjustment_nv_fund",U$3,$A884))</f>
        <v/>
      </c>
      <c r="V884" s="13" t="str">
        <f>IF($A884="","",[1]!thsiFinD("ths_adjustment_nv_fund",V$3,$A884))</f>
        <v/>
      </c>
      <c r="W884" s="13" t="str">
        <f>IF($A884="","",[1]!thsiFinD("ths_adjustment_nv_fund",W$3,$A884))</f>
        <v/>
      </c>
      <c r="X884" s="13" t="str">
        <f>IF($A884="","",[1]!thsiFinD("ths_adjustment_nv_fund",X$3,$A884))</f>
        <v/>
      </c>
      <c r="Y884" s="13" t="str">
        <f>IF($A884="","",[1]!thsiFinD("ths_adjustment_nv_fund",Y$3,$A884))</f>
        <v/>
      </c>
      <c r="Z884" s="13" t="str">
        <f>IF($A884="","",[1]!thsiFinD("ths_adjustment_nv_fund",Z$3,$A884))</f>
        <v/>
      </c>
      <c r="AA884" s="13" t="str">
        <f>IF($A884="","",[1]!thsiFinD("ths_adjustment_nv_fund",AA$3,$A884))</f>
        <v/>
      </c>
      <c r="AB884" s="13" t="str">
        <f>IF($A884="","",[1]!thsiFinD("ths_adjustment_nv_fund",AB$3,$A884))</f>
        <v/>
      </c>
    </row>
    <row r="885" spans="2:28">
      <c r="B885" s="13" t="str">
        <f>IF($A885="","",[1]!thsiFinD("ths_adjustment_nv_fund",B$3,$A885))</f>
        <v/>
      </c>
      <c r="C885" s="13" t="str">
        <f>IF($A885="","",[1]!thsiFinD("ths_adjustment_nv_fund",C$3,$A885))</f>
        <v/>
      </c>
      <c r="D885" s="13" t="str">
        <f>IF($A885="","",[1]!thsiFinD("ths_adjustment_nv_fund",D$3,$A885))</f>
        <v/>
      </c>
      <c r="E885" s="13" t="str">
        <f>IF($A885="","",[1]!thsiFinD("ths_adjustment_nv_fund",E$3,$A885))</f>
        <v/>
      </c>
      <c r="F885" s="13" t="str">
        <f>IF($A885="","",[1]!thsiFinD("ths_adjustment_nv_fund",F$3,$A885))</f>
        <v/>
      </c>
      <c r="G885" s="13" t="str">
        <f>IF($A885="","",[1]!thsiFinD("ths_adjustment_nv_fund",G$3,$A885))</f>
        <v/>
      </c>
      <c r="H885" s="13" t="str">
        <f>IF($A885="","",[1]!thsiFinD("ths_adjustment_nv_fund",H$3,$A885))</f>
        <v/>
      </c>
      <c r="I885" s="13" t="str">
        <f>IF($A885="","",[1]!thsiFinD("ths_adjustment_nv_fund",I$3,$A885))</f>
        <v/>
      </c>
      <c r="J885" s="13" t="str">
        <f>IF($A885="","",[1]!thsiFinD("ths_adjustment_nv_fund",J$3,$A885))</f>
        <v/>
      </c>
      <c r="K885" s="13" t="str">
        <f>IF($A885="","",[1]!thsiFinD("ths_adjustment_nv_fund",K$3,$A885))</f>
        <v/>
      </c>
      <c r="L885" s="13" t="str">
        <f>IF($A885="","",[1]!thsiFinD("ths_adjustment_nv_fund",L$3,$A885))</f>
        <v/>
      </c>
      <c r="M885" s="13" t="str">
        <f>IF($A885="","",[1]!thsiFinD("ths_adjustment_nv_fund",M$3,$A885))</f>
        <v/>
      </c>
      <c r="N885" s="13" t="str">
        <f>IF($A885="","",[1]!thsiFinD("ths_adjustment_nv_fund",N$3,$A885))</f>
        <v/>
      </c>
      <c r="O885" s="13" t="str">
        <f>IF($A885="","",[1]!thsiFinD("ths_adjustment_nv_fund",O$3,$A885))</f>
        <v/>
      </c>
      <c r="P885" s="13" t="str">
        <f>IF($A885="","",[1]!thsiFinD("ths_adjustment_nv_fund",P$3,$A885))</f>
        <v/>
      </c>
      <c r="Q885" s="13" t="str">
        <f>IF($A885="","",[1]!thsiFinD("ths_adjustment_nv_fund",Q$3,$A885))</f>
        <v/>
      </c>
      <c r="R885" s="13" t="str">
        <f>IF($A885="","",[1]!thsiFinD("ths_adjustment_nv_fund",R$3,$A885))</f>
        <v/>
      </c>
      <c r="S885" s="13" t="str">
        <f>IF($A885="","",[1]!thsiFinD("ths_adjustment_nv_fund",S$3,$A885))</f>
        <v/>
      </c>
      <c r="T885" s="13" t="str">
        <f>IF($A885="","",[1]!thsiFinD("ths_adjustment_nv_fund",T$3,$A885))</f>
        <v/>
      </c>
      <c r="U885" s="13" t="str">
        <f>IF($A885="","",[1]!thsiFinD("ths_adjustment_nv_fund",U$3,$A885))</f>
        <v/>
      </c>
      <c r="V885" s="13" t="str">
        <f>IF($A885="","",[1]!thsiFinD("ths_adjustment_nv_fund",V$3,$A885))</f>
        <v/>
      </c>
      <c r="W885" s="13" t="str">
        <f>IF($A885="","",[1]!thsiFinD("ths_adjustment_nv_fund",W$3,$A885))</f>
        <v/>
      </c>
      <c r="X885" s="13" t="str">
        <f>IF($A885="","",[1]!thsiFinD("ths_adjustment_nv_fund",X$3,$A885))</f>
        <v/>
      </c>
      <c r="Y885" s="13" t="str">
        <f>IF($A885="","",[1]!thsiFinD("ths_adjustment_nv_fund",Y$3,$A885))</f>
        <v/>
      </c>
      <c r="Z885" s="13" t="str">
        <f>IF($A885="","",[1]!thsiFinD("ths_adjustment_nv_fund",Z$3,$A885))</f>
        <v/>
      </c>
      <c r="AA885" s="13" t="str">
        <f>IF($A885="","",[1]!thsiFinD("ths_adjustment_nv_fund",AA$3,$A885))</f>
        <v/>
      </c>
      <c r="AB885" s="13" t="str">
        <f>IF($A885="","",[1]!thsiFinD("ths_adjustment_nv_fund",AB$3,$A885))</f>
        <v/>
      </c>
    </row>
    <row r="886" spans="2:28">
      <c r="B886" s="13" t="str">
        <f>IF($A886="","",[1]!thsiFinD("ths_adjustment_nv_fund",B$3,$A886))</f>
        <v/>
      </c>
      <c r="C886" s="13" t="str">
        <f>IF($A886="","",[1]!thsiFinD("ths_adjustment_nv_fund",C$3,$A886))</f>
        <v/>
      </c>
      <c r="D886" s="13" t="str">
        <f>IF($A886="","",[1]!thsiFinD("ths_adjustment_nv_fund",D$3,$A886))</f>
        <v/>
      </c>
      <c r="E886" s="13" t="str">
        <f>IF($A886="","",[1]!thsiFinD("ths_adjustment_nv_fund",E$3,$A886))</f>
        <v/>
      </c>
      <c r="F886" s="13" t="str">
        <f>IF($A886="","",[1]!thsiFinD("ths_adjustment_nv_fund",F$3,$A886))</f>
        <v/>
      </c>
      <c r="G886" s="13" t="str">
        <f>IF($A886="","",[1]!thsiFinD("ths_adjustment_nv_fund",G$3,$A886))</f>
        <v/>
      </c>
      <c r="H886" s="13" t="str">
        <f>IF($A886="","",[1]!thsiFinD("ths_adjustment_nv_fund",H$3,$A886))</f>
        <v/>
      </c>
      <c r="I886" s="13" t="str">
        <f>IF($A886="","",[1]!thsiFinD("ths_adjustment_nv_fund",I$3,$A886))</f>
        <v/>
      </c>
      <c r="J886" s="13" t="str">
        <f>IF($A886="","",[1]!thsiFinD("ths_adjustment_nv_fund",J$3,$A886))</f>
        <v/>
      </c>
      <c r="K886" s="13" t="str">
        <f>IF($A886="","",[1]!thsiFinD("ths_adjustment_nv_fund",K$3,$A886))</f>
        <v/>
      </c>
      <c r="L886" s="13" t="str">
        <f>IF($A886="","",[1]!thsiFinD("ths_adjustment_nv_fund",L$3,$A886))</f>
        <v/>
      </c>
      <c r="M886" s="13" t="str">
        <f>IF($A886="","",[1]!thsiFinD("ths_adjustment_nv_fund",M$3,$A886))</f>
        <v/>
      </c>
      <c r="N886" s="13" t="str">
        <f>IF($A886="","",[1]!thsiFinD("ths_adjustment_nv_fund",N$3,$A886))</f>
        <v/>
      </c>
      <c r="O886" s="13" t="str">
        <f>IF($A886="","",[1]!thsiFinD("ths_adjustment_nv_fund",O$3,$A886))</f>
        <v/>
      </c>
      <c r="P886" s="13" t="str">
        <f>IF($A886="","",[1]!thsiFinD("ths_adjustment_nv_fund",P$3,$A886))</f>
        <v/>
      </c>
      <c r="Q886" s="13" t="str">
        <f>IF($A886="","",[1]!thsiFinD("ths_adjustment_nv_fund",Q$3,$A886))</f>
        <v/>
      </c>
      <c r="R886" s="13" t="str">
        <f>IF($A886="","",[1]!thsiFinD("ths_adjustment_nv_fund",R$3,$A886))</f>
        <v/>
      </c>
      <c r="S886" s="13" t="str">
        <f>IF($A886="","",[1]!thsiFinD("ths_adjustment_nv_fund",S$3,$A886))</f>
        <v/>
      </c>
      <c r="T886" s="13" t="str">
        <f>IF($A886="","",[1]!thsiFinD("ths_adjustment_nv_fund",T$3,$A886))</f>
        <v/>
      </c>
      <c r="U886" s="13" t="str">
        <f>IF($A886="","",[1]!thsiFinD("ths_adjustment_nv_fund",U$3,$A886))</f>
        <v/>
      </c>
      <c r="V886" s="13" t="str">
        <f>IF($A886="","",[1]!thsiFinD("ths_adjustment_nv_fund",V$3,$A886))</f>
        <v/>
      </c>
      <c r="W886" s="13" t="str">
        <f>IF($A886="","",[1]!thsiFinD("ths_adjustment_nv_fund",W$3,$A886))</f>
        <v/>
      </c>
      <c r="X886" s="13" t="str">
        <f>IF($A886="","",[1]!thsiFinD("ths_adjustment_nv_fund",X$3,$A886))</f>
        <v/>
      </c>
      <c r="Y886" s="13" t="str">
        <f>IF($A886="","",[1]!thsiFinD("ths_adjustment_nv_fund",Y$3,$A886))</f>
        <v/>
      </c>
      <c r="Z886" s="13" t="str">
        <f>IF($A886="","",[1]!thsiFinD("ths_adjustment_nv_fund",Z$3,$A886))</f>
        <v/>
      </c>
      <c r="AA886" s="13" t="str">
        <f>IF($A886="","",[1]!thsiFinD("ths_adjustment_nv_fund",AA$3,$A886))</f>
        <v/>
      </c>
      <c r="AB886" s="13" t="str">
        <f>IF($A886="","",[1]!thsiFinD("ths_adjustment_nv_fund",AB$3,$A886))</f>
        <v/>
      </c>
    </row>
    <row r="887" spans="2:28">
      <c r="B887" s="13" t="str">
        <f>IF($A887="","",[1]!thsiFinD("ths_adjustment_nv_fund",B$3,$A887))</f>
        <v/>
      </c>
      <c r="C887" s="13" t="str">
        <f>IF($A887="","",[1]!thsiFinD("ths_adjustment_nv_fund",C$3,$A887))</f>
        <v/>
      </c>
      <c r="D887" s="13" t="str">
        <f>IF($A887="","",[1]!thsiFinD("ths_adjustment_nv_fund",D$3,$A887))</f>
        <v/>
      </c>
      <c r="E887" s="13" t="str">
        <f>IF($A887="","",[1]!thsiFinD("ths_adjustment_nv_fund",E$3,$A887))</f>
        <v/>
      </c>
      <c r="F887" s="13" t="str">
        <f>IF($A887="","",[1]!thsiFinD("ths_adjustment_nv_fund",F$3,$A887))</f>
        <v/>
      </c>
      <c r="G887" s="13" t="str">
        <f>IF($A887="","",[1]!thsiFinD("ths_adjustment_nv_fund",G$3,$A887))</f>
        <v/>
      </c>
      <c r="H887" s="13" t="str">
        <f>IF($A887="","",[1]!thsiFinD("ths_adjustment_nv_fund",H$3,$A887))</f>
        <v/>
      </c>
      <c r="I887" s="13" t="str">
        <f>IF($A887="","",[1]!thsiFinD("ths_adjustment_nv_fund",I$3,$A887))</f>
        <v/>
      </c>
      <c r="J887" s="13" t="str">
        <f>IF($A887="","",[1]!thsiFinD("ths_adjustment_nv_fund",J$3,$A887))</f>
        <v/>
      </c>
      <c r="K887" s="13" t="str">
        <f>IF($A887="","",[1]!thsiFinD("ths_adjustment_nv_fund",K$3,$A887))</f>
        <v/>
      </c>
      <c r="L887" s="13" t="str">
        <f>IF($A887="","",[1]!thsiFinD("ths_adjustment_nv_fund",L$3,$A887))</f>
        <v/>
      </c>
      <c r="M887" s="13" t="str">
        <f>IF($A887="","",[1]!thsiFinD("ths_adjustment_nv_fund",M$3,$A887))</f>
        <v/>
      </c>
      <c r="N887" s="13" t="str">
        <f>IF($A887="","",[1]!thsiFinD("ths_adjustment_nv_fund",N$3,$A887))</f>
        <v/>
      </c>
      <c r="O887" s="13" t="str">
        <f>IF($A887="","",[1]!thsiFinD("ths_adjustment_nv_fund",O$3,$A887))</f>
        <v/>
      </c>
      <c r="P887" s="13" t="str">
        <f>IF($A887="","",[1]!thsiFinD("ths_adjustment_nv_fund",P$3,$A887))</f>
        <v/>
      </c>
      <c r="Q887" s="13" t="str">
        <f>IF($A887="","",[1]!thsiFinD("ths_adjustment_nv_fund",Q$3,$A887))</f>
        <v/>
      </c>
      <c r="R887" s="13" t="str">
        <f>IF($A887="","",[1]!thsiFinD("ths_adjustment_nv_fund",R$3,$A887))</f>
        <v/>
      </c>
      <c r="S887" s="13" t="str">
        <f>IF($A887="","",[1]!thsiFinD("ths_adjustment_nv_fund",S$3,$A887))</f>
        <v/>
      </c>
      <c r="T887" s="13" t="str">
        <f>IF($A887="","",[1]!thsiFinD("ths_adjustment_nv_fund",T$3,$A887))</f>
        <v/>
      </c>
      <c r="U887" s="13" t="str">
        <f>IF($A887="","",[1]!thsiFinD("ths_adjustment_nv_fund",U$3,$A887))</f>
        <v/>
      </c>
      <c r="V887" s="13" t="str">
        <f>IF($A887="","",[1]!thsiFinD("ths_adjustment_nv_fund",V$3,$A887))</f>
        <v/>
      </c>
      <c r="W887" s="13" t="str">
        <f>IF($A887="","",[1]!thsiFinD("ths_adjustment_nv_fund",W$3,$A887))</f>
        <v/>
      </c>
      <c r="X887" s="13" t="str">
        <f>IF($A887="","",[1]!thsiFinD("ths_adjustment_nv_fund",X$3,$A887))</f>
        <v/>
      </c>
      <c r="Y887" s="13" t="str">
        <f>IF($A887="","",[1]!thsiFinD("ths_adjustment_nv_fund",Y$3,$A887))</f>
        <v/>
      </c>
      <c r="Z887" s="13" t="str">
        <f>IF($A887="","",[1]!thsiFinD("ths_adjustment_nv_fund",Z$3,$A887))</f>
        <v/>
      </c>
      <c r="AA887" s="13" t="str">
        <f>IF($A887="","",[1]!thsiFinD("ths_adjustment_nv_fund",AA$3,$A887))</f>
        <v/>
      </c>
      <c r="AB887" s="13" t="str">
        <f>IF($A887="","",[1]!thsiFinD("ths_adjustment_nv_fund",AB$3,$A887))</f>
        <v/>
      </c>
    </row>
    <row r="888" spans="2:28">
      <c r="B888" s="13" t="str">
        <f>IF($A888="","",[1]!thsiFinD("ths_adjustment_nv_fund",B$3,$A888))</f>
        <v/>
      </c>
      <c r="C888" s="13" t="str">
        <f>IF($A888="","",[1]!thsiFinD("ths_adjustment_nv_fund",C$3,$A888))</f>
        <v/>
      </c>
      <c r="D888" s="13" t="str">
        <f>IF($A888="","",[1]!thsiFinD("ths_adjustment_nv_fund",D$3,$A888))</f>
        <v/>
      </c>
      <c r="E888" s="13" t="str">
        <f>IF($A888="","",[1]!thsiFinD("ths_adjustment_nv_fund",E$3,$A888))</f>
        <v/>
      </c>
      <c r="F888" s="13" t="str">
        <f>IF($A888="","",[1]!thsiFinD("ths_adjustment_nv_fund",F$3,$A888))</f>
        <v/>
      </c>
      <c r="G888" s="13" t="str">
        <f>IF($A888="","",[1]!thsiFinD("ths_adjustment_nv_fund",G$3,$A888))</f>
        <v/>
      </c>
      <c r="H888" s="13" t="str">
        <f>IF($A888="","",[1]!thsiFinD("ths_adjustment_nv_fund",H$3,$A888))</f>
        <v/>
      </c>
      <c r="I888" s="13" t="str">
        <f>IF($A888="","",[1]!thsiFinD("ths_adjustment_nv_fund",I$3,$A888))</f>
        <v/>
      </c>
      <c r="J888" s="13" t="str">
        <f>IF($A888="","",[1]!thsiFinD("ths_adjustment_nv_fund",J$3,$A888))</f>
        <v/>
      </c>
      <c r="K888" s="13" t="str">
        <f>IF($A888="","",[1]!thsiFinD("ths_adjustment_nv_fund",K$3,$A888))</f>
        <v/>
      </c>
      <c r="L888" s="13" t="str">
        <f>IF($A888="","",[1]!thsiFinD("ths_adjustment_nv_fund",L$3,$A888))</f>
        <v/>
      </c>
      <c r="M888" s="13" t="str">
        <f>IF($A888="","",[1]!thsiFinD("ths_adjustment_nv_fund",M$3,$A888))</f>
        <v/>
      </c>
      <c r="N888" s="13" t="str">
        <f>IF($A888="","",[1]!thsiFinD("ths_adjustment_nv_fund",N$3,$A888))</f>
        <v/>
      </c>
      <c r="O888" s="13" t="str">
        <f>IF($A888="","",[1]!thsiFinD("ths_adjustment_nv_fund",O$3,$A888))</f>
        <v/>
      </c>
      <c r="P888" s="13" t="str">
        <f>IF($A888="","",[1]!thsiFinD("ths_adjustment_nv_fund",P$3,$A888))</f>
        <v/>
      </c>
      <c r="Q888" s="13" t="str">
        <f>IF($A888="","",[1]!thsiFinD("ths_adjustment_nv_fund",Q$3,$A888))</f>
        <v/>
      </c>
      <c r="R888" s="13" t="str">
        <f>IF($A888="","",[1]!thsiFinD("ths_adjustment_nv_fund",R$3,$A888))</f>
        <v/>
      </c>
      <c r="S888" s="13" t="str">
        <f>IF($A888="","",[1]!thsiFinD("ths_adjustment_nv_fund",S$3,$A888))</f>
        <v/>
      </c>
      <c r="T888" s="13" t="str">
        <f>IF($A888="","",[1]!thsiFinD("ths_adjustment_nv_fund",T$3,$A888))</f>
        <v/>
      </c>
      <c r="U888" s="13" t="str">
        <f>IF($A888="","",[1]!thsiFinD("ths_adjustment_nv_fund",U$3,$A888))</f>
        <v/>
      </c>
      <c r="V888" s="13" t="str">
        <f>IF($A888="","",[1]!thsiFinD("ths_adjustment_nv_fund",V$3,$A888))</f>
        <v/>
      </c>
      <c r="W888" s="13" t="str">
        <f>IF($A888="","",[1]!thsiFinD("ths_adjustment_nv_fund",W$3,$A888))</f>
        <v/>
      </c>
      <c r="X888" s="13" t="str">
        <f>IF($A888="","",[1]!thsiFinD("ths_adjustment_nv_fund",X$3,$A888))</f>
        <v/>
      </c>
      <c r="Y888" s="13" t="str">
        <f>IF($A888="","",[1]!thsiFinD("ths_adjustment_nv_fund",Y$3,$A888))</f>
        <v/>
      </c>
      <c r="Z888" s="13" t="str">
        <f>IF($A888="","",[1]!thsiFinD("ths_adjustment_nv_fund",Z$3,$A888))</f>
        <v/>
      </c>
      <c r="AA888" s="13" t="str">
        <f>IF($A888="","",[1]!thsiFinD("ths_adjustment_nv_fund",AA$3,$A888))</f>
        <v/>
      </c>
      <c r="AB888" s="13" t="str">
        <f>IF($A888="","",[1]!thsiFinD("ths_adjustment_nv_fund",AB$3,$A888))</f>
        <v/>
      </c>
    </row>
    <row r="889" spans="2:28">
      <c r="B889" s="13" t="str">
        <f>IF($A889="","",[1]!thsiFinD("ths_adjustment_nv_fund",B$3,$A889))</f>
        <v/>
      </c>
      <c r="C889" s="13" t="str">
        <f>IF($A889="","",[1]!thsiFinD("ths_adjustment_nv_fund",C$3,$A889))</f>
        <v/>
      </c>
      <c r="D889" s="13" t="str">
        <f>IF($A889="","",[1]!thsiFinD("ths_adjustment_nv_fund",D$3,$A889))</f>
        <v/>
      </c>
      <c r="E889" s="13" t="str">
        <f>IF($A889="","",[1]!thsiFinD("ths_adjustment_nv_fund",E$3,$A889))</f>
        <v/>
      </c>
      <c r="F889" s="13" t="str">
        <f>IF($A889="","",[1]!thsiFinD("ths_adjustment_nv_fund",F$3,$A889))</f>
        <v/>
      </c>
      <c r="G889" s="13" t="str">
        <f>IF($A889="","",[1]!thsiFinD("ths_adjustment_nv_fund",G$3,$A889))</f>
        <v/>
      </c>
      <c r="H889" s="13" t="str">
        <f>IF($A889="","",[1]!thsiFinD("ths_adjustment_nv_fund",H$3,$A889))</f>
        <v/>
      </c>
      <c r="I889" s="13" t="str">
        <f>IF($A889="","",[1]!thsiFinD("ths_adjustment_nv_fund",I$3,$A889))</f>
        <v/>
      </c>
      <c r="J889" s="13" t="str">
        <f>IF($A889="","",[1]!thsiFinD("ths_adjustment_nv_fund",J$3,$A889))</f>
        <v/>
      </c>
      <c r="K889" s="13" t="str">
        <f>IF($A889="","",[1]!thsiFinD("ths_adjustment_nv_fund",K$3,$A889))</f>
        <v/>
      </c>
      <c r="L889" s="13" t="str">
        <f>IF($A889="","",[1]!thsiFinD("ths_adjustment_nv_fund",L$3,$A889))</f>
        <v/>
      </c>
      <c r="M889" s="13" t="str">
        <f>IF($A889="","",[1]!thsiFinD("ths_adjustment_nv_fund",M$3,$A889))</f>
        <v/>
      </c>
      <c r="N889" s="13" t="str">
        <f>IF($A889="","",[1]!thsiFinD("ths_adjustment_nv_fund",N$3,$A889))</f>
        <v/>
      </c>
      <c r="O889" s="13" t="str">
        <f>IF($A889="","",[1]!thsiFinD("ths_adjustment_nv_fund",O$3,$A889))</f>
        <v/>
      </c>
      <c r="P889" s="13" t="str">
        <f>IF($A889="","",[1]!thsiFinD("ths_adjustment_nv_fund",P$3,$A889))</f>
        <v/>
      </c>
      <c r="Q889" s="13" t="str">
        <f>IF($A889="","",[1]!thsiFinD("ths_adjustment_nv_fund",Q$3,$A889))</f>
        <v/>
      </c>
      <c r="R889" s="13" t="str">
        <f>IF($A889="","",[1]!thsiFinD("ths_adjustment_nv_fund",R$3,$A889))</f>
        <v/>
      </c>
      <c r="S889" s="13" t="str">
        <f>IF($A889="","",[1]!thsiFinD("ths_adjustment_nv_fund",S$3,$A889))</f>
        <v/>
      </c>
      <c r="T889" s="13" t="str">
        <f>IF($A889="","",[1]!thsiFinD("ths_adjustment_nv_fund",T$3,$A889))</f>
        <v/>
      </c>
      <c r="U889" s="13" t="str">
        <f>IF($A889="","",[1]!thsiFinD("ths_adjustment_nv_fund",U$3,$A889))</f>
        <v/>
      </c>
      <c r="V889" s="13" t="str">
        <f>IF($A889="","",[1]!thsiFinD("ths_adjustment_nv_fund",V$3,$A889))</f>
        <v/>
      </c>
      <c r="W889" s="13" t="str">
        <f>IF($A889="","",[1]!thsiFinD("ths_adjustment_nv_fund",W$3,$A889))</f>
        <v/>
      </c>
      <c r="X889" s="13" t="str">
        <f>IF($A889="","",[1]!thsiFinD("ths_adjustment_nv_fund",X$3,$A889))</f>
        <v/>
      </c>
      <c r="Y889" s="13" t="str">
        <f>IF($A889="","",[1]!thsiFinD("ths_adjustment_nv_fund",Y$3,$A889))</f>
        <v/>
      </c>
      <c r="Z889" s="13" t="str">
        <f>IF($A889="","",[1]!thsiFinD("ths_adjustment_nv_fund",Z$3,$A889))</f>
        <v/>
      </c>
      <c r="AA889" s="13" t="str">
        <f>IF($A889="","",[1]!thsiFinD("ths_adjustment_nv_fund",AA$3,$A889))</f>
        <v/>
      </c>
      <c r="AB889" s="13" t="str">
        <f>IF($A889="","",[1]!thsiFinD("ths_adjustment_nv_fund",AB$3,$A889))</f>
        <v/>
      </c>
    </row>
    <row r="890" spans="2:28">
      <c r="B890" s="13" t="str">
        <f>IF($A890="","",[1]!thsiFinD("ths_adjustment_nv_fund",B$3,$A890))</f>
        <v/>
      </c>
      <c r="C890" s="13" t="str">
        <f>IF($A890="","",[1]!thsiFinD("ths_adjustment_nv_fund",C$3,$A890))</f>
        <v/>
      </c>
      <c r="D890" s="13" t="str">
        <f>IF($A890="","",[1]!thsiFinD("ths_adjustment_nv_fund",D$3,$A890))</f>
        <v/>
      </c>
      <c r="E890" s="13" t="str">
        <f>IF($A890="","",[1]!thsiFinD("ths_adjustment_nv_fund",E$3,$A890))</f>
        <v/>
      </c>
      <c r="F890" s="13" t="str">
        <f>IF($A890="","",[1]!thsiFinD("ths_adjustment_nv_fund",F$3,$A890))</f>
        <v/>
      </c>
      <c r="G890" s="13" t="str">
        <f>IF($A890="","",[1]!thsiFinD("ths_adjustment_nv_fund",G$3,$A890))</f>
        <v/>
      </c>
      <c r="H890" s="13" t="str">
        <f>IF($A890="","",[1]!thsiFinD("ths_adjustment_nv_fund",H$3,$A890))</f>
        <v/>
      </c>
      <c r="I890" s="13" t="str">
        <f>IF($A890="","",[1]!thsiFinD("ths_adjustment_nv_fund",I$3,$A890))</f>
        <v/>
      </c>
      <c r="J890" s="13" t="str">
        <f>IF($A890="","",[1]!thsiFinD("ths_adjustment_nv_fund",J$3,$A890))</f>
        <v/>
      </c>
      <c r="K890" s="13" t="str">
        <f>IF($A890="","",[1]!thsiFinD("ths_adjustment_nv_fund",K$3,$A890))</f>
        <v/>
      </c>
      <c r="L890" s="13" t="str">
        <f>IF($A890="","",[1]!thsiFinD("ths_adjustment_nv_fund",L$3,$A890))</f>
        <v/>
      </c>
      <c r="M890" s="13" t="str">
        <f>IF($A890="","",[1]!thsiFinD("ths_adjustment_nv_fund",M$3,$A890))</f>
        <v/>
      </c>
      <c r="N890" s="13" t="str">
        <f>IF($A890="","",[1]!thsiFinD("ths_adjustment_nv_fund",N$3,$A890))</f>
        <v/>
      </c>
      <c r="O890" s="13" t="str">
        <f>IF($A890="","",[1]!thsiFinD("ths_adjustment_nv_fund",O$3,$A890))</f>
        <v/>
      </c>
      <c r="P890" s="13" t="str">
        <f>IF($A890="","",[1]!thsiFinD("ths_adjustment_nv_fund",P$3,$A890))</f>
        <v/>
      </c>
      <c r="Q890" s="13" t="str">
        <f>IF($A890="","",[1]!thsiFinD("ths_adjustment_nv_fund",Q$3,$A890))</f>
        <v/>
      </c>
      <c r="R890" s="13" t="str">
        <f>IF($A890="","",[1]!thsiFinD("ths_adjustment_nv_fund",R$3,$A890))</f>
        <v/>
      </c>
      <c r="S890" s="13" t="str">
        <f>IF($A890="","",[1]!thsiFinD("ths_adjustment_nv_fund",S$3,$A890))</f>
        <v/>
      </c>
      <c r="T890" s="13" t="str">
        <f>IF($A890="","",[1]!thsiFinD("ths_adjustment_nv_fund",T$3,$A890))</f>
        <v/>
      </c>
      <c r="U890" s="13" t="str">
        <f>IF($A890="","",[1]!thsiFinD("ths_adjustment_nv_fund",U$3,$A890))</f>
        <v/>
      </c>
      <c r="V890" s="13" t="str">
        <f>IF($A890="","",[1]!thsiFinD("ths_adjustment_nv_fund",V$3,$A890))</f>
        <v/>
      </c>
      <c r="W890" s="13" t="str">
        <f>IF($A890="","",[1]!thsiFinD("ths_adjustment_nv_fund",W$3,$A890))</f>
        <v/>
      </c>
      <c r="X890" s="13" t="str">
        <f>IF($A890="","",[1]!thsiFinD("ths_adjustment_nv_fund",X$3,$A890))</f>
        <v/>
      </c>
      <c r="Y890" s="13" t="str">
        <f>IF($A890="","",[1]!thsiFinD("ths_adjustment_nv_fund",Y$3,$A890))</f>
        <v/>
      </c>
      <c r="Z890" s="13" t="str">
        <f>IF($A890="","",[1]!thsiFinD("ths_adjustment_nv_fund",Z$3,$A890))</f>
        <v/>
      </c>
      <c r="AA890" s="13" t="str">
        <f>IF($A890="","",[1]!thsiFinD("ths_adjustment_nv_fund",AA$3,$A890))</f>
        <v/>
      </c>
      <c r="AB890" s="13" t="str">
        <f>IF($A890="","",[1]!thsiFinD("ths_adjustment_nv_fund",AB$3,$A890))</f>
        <v/>
      </c>
    </row>
    <row r="891" spans="2:28">
      <c r="B891" s="13" t="str">
        <f>IF($A891="","",[1]!thsiFinD("ths_adjustment_nv_fund",B$3,$A891))</f>
        <v/>
      </c>
      <c r="C891" s="13" t="str">
        <f>IF($A891="","",[1]!thsiFinD("ths_adjustment_nv_fund",C$3,$A891))</f>
        <v/>
      </c>
      <c r="D891" s="13" t="str">
        <f>IF($A891="","",[1]!thsiFinD("ths_adjustment_nv_fund",D$3,$A891))</f>
        <v/>
      </c>
      <c r="E891" s="13" t="str">
        <f>IF($A891="","",[1]!thsiFinD("ths_adjustment_nv_fund",E$3,$A891))</f>
        <v/>
      </c>
      <c r="F891" s="13" t="str">
        <f>IF($A891="","",[1]!thsiFinD("ths_adjustment_nv_fund",F$3,$A891))</f>
        <v/>
      </c>
      <c r="G891" s="13" t="str">
        <f>IF($A891="","",[1]!thsiFinD("ths_adjustment_nv_fund",G$3,$A891))</f>
        <v/>
      </c>
      <c r="H891" s="13" t="str">
        <f>IF($A891="","",[1]!thsiFinD("ths_adjustment_nv_fund",H$3,$A891))</f>
        <v/>
      </c>
      <c r="I891" s="13" t="str">
        <f>IF($A891="","",[1]!thsiFinD("ths_adjustment_nv_fund",I$3,$A891))</f>
        <v/>
      </c>
      <c r="J891" s="13" t="str">
        <f>IF($A891="","",[1]!thsiFinD("ths_adjustment_nv_fund",J$3,$A891))</f>
        <v/>
      </c>
      <c r="K891" s="13" t="str">
        <f>IF($A891="","",[1]!thsiFinD("ths_adjustment_nv_fund",K$3,$A891))</f>
        <v/>
      </c>
      <c r="L891" s="13" t="str">
        <f>IF($A891="","",[1]!thsiFinD("ths_adjustment_nv_fund",L$3,$A891))</f>
        <v/>
      </c>
      <c r="M891" s="13" t="str">
        <f>IF($A891="","",[1]!thsiFinD("ths_adjustment_nv_fund",M$3,$A891))</f>
        <v/>
      </c>
      <c r="N891" s="13" t="str">
        <f>IF($A891="","",[1]!thsiFinD("ths_adjustment_nv_fund",N$3,$A891))</f>
        <v/>
      </c>
      <c r="O891" s="13" t="str">
        <f>IF($A891="","",[1]!thsiFinD("ths_adjustment_nv_fund",O$3,$A891))</f>
        <v/>
      </c>
      <c r="P891" s="13" t="str">
        <f>IF($A891="","",[1]!thsiFinD("ths_adjustment_nv_fund",P$3,$A891))</f>
        <v/>
      </c>
      <c r="Q891" s="13" t="str">
        <f>IF($A891="","",[1]!thsiFinD("ths_adjustment_nv_fund",Q$3,$A891))</f>
        <v/>
      </c>
      <c r="R891" s="13" t="str">
        <f>IF($A891="","",[1]!thsiFinD("ths_adjustment_nv_fund",R$3,$A891))</f>
        <v/>
      </c>
      <c r="S891" s="13" t="str">
        <f>IF($A891="","",[1]!thsiFinD("ths_adjustment_nv_fund",S$3,$A891))</f>
        <v/>
      </c>
      <c r="T891" s="13" t="str">
        <f>IF($A891="","",[1]!thsiFinD("ths_adjustment_nv_fund",T$3,$A891))</f>
        <v/>
      </c>
      <c r="U891" s="13" t="str">
        <f>IF($A891="","",[1]!thsiFinD("ths_adjustment_nv_fund",U$3,$A891))</f>
        <v/>
      </c>
      <c r="V891" s="13" t="str">
        <f>IF($A891="","",[1]!thsiFinD("ths_adjustment_nv_fund",V$3,$A891))</f>
        <v/>
      </c>
      <c r="W891" s="13" t="str">
        <f>IF($A891="","",[1]!thsiFinD("ths_adjustment_nv_fund",W$3,$A891))</f>
        <v/>
      </c>
      <c r="X891" s="13" t="str">
        <f>IF($A891="","",[1]!thsiFinD("ths_adjustment_nv_fund",X$3,$A891))</f>
        <v/>
      </c>
      <c r="Y891" s="13" t="str">
        <f>IF($A891="","",[1]!thsiFinD("ths_adjustment_nv_fund",Y$3,$A891))</f>
        <v/>
      </c>
      <c r="Z891" s="13" t="str">
        <f>IF($A891="","",[1]!thsiFinD("ths_adjustment_nv_fund",Z$3,$A891))</f>
        <v/>
      </c>
      <c r="AA891" s="13" t="str">
        <f>IF($A891="","",[1]!thsiFinD("ths_adjustment_nv_fund",AA$3,$A891))</f>
        <v/>
      </c>
      <c r="AB891" s="13" t="str">
        <f>IF($A891="","",[1]!thsiFinD("ths_adjustment_nv_fund",AB$3,$A891))</f>
        <v/>
      </c>
    </row>
    <row r="892" spans="2:28">
      <c r="B892" s="13" t="str">
        <f>IF($A892="","",[1]!thsiFinD("ths_adjustment_nv_fund",B$3,$A892))</f>
        <v/>
      </c>
      <c r="C892" s="13" t="str">
        <f>IF($A892="","",[1]!thsiFinD("ths_adjustment_nv_fund",C$3,$A892))</f>
        <v/>
      </c>
      <c r="D892" s="13" t="str">
        <f>IF($A892="","",[1]!thsiFinD("ths_adjustment_nv_fund",D$3,$A892))</f>
        <v/>
      </c>
      <c r="E892" s="13" t="str">
        <f>IF($A892="","",[1]!thsiFinD("ths_adjustment_nv_fund",E$3,$A892))</f>
        <v/>
      </c>
      <c r="F892" s="13" t="str">
        <f>IF($A892="","",[1]!thsiFinD("ths_adjustment_nv_fund",F$3,$A892))</f>
        <v/>
      </c>
      <c r="G892" s="13" t="str">
        <f>IF($A892="","",[1]!thsiFinD("ths_adjustment_nv_fund",G$3,$A892))</f>
        <v/>
      </c>
      <c r="H892" s="13" t="str">
        <f>IF($A892="","",[1]!thsiFinD("ths_adjustment_nv_fund",H$3,$A892))</f>
        <v/>
      </c>
      <c r="I892" s="13" t="str">
        <f>IF($A892="","",[1]!thsiFinD("ths_adjustment_nv_fund",I$3,$A892))</f>
        <v/>
      </c>
      <c r="J892" s="13" t="str">
        <f>IF($A892="","",[1]!thsiFinD("ths_adjustment_nv_fund",J$3,$A892))</f>
        <v/>
      </c>
      <c r="K892" s="13" t="str">
        <f>IF($A892="","",[1]!thsiFinD("ths_adjustment_nv_fund",K$3,$A892))</f>
        <v/>
      </c>
      <c r="L892" s="13" t="str">
        <f>IF($A892="","",[1]!thsiFinD("ths_adjustment_nv_fund",L$3,$A892))</f>
        <v/>
      </c>
      <c r="M892" s="13" t="str">
        <f>IF($A892="","",[1]!thsiFinD("ths_adjustment_nv_fund",M$3,$A892))</f>
        <v/>
      </c>
      <c r="N892" s="13" t="str">
        <f>IF($A892="","",[1]!thsiFinD("ths_adjustment_nv_fund",N$3,$A892))</f>
        <v/>
      </c>
      <c r="O892" s="13" t="str">
        <f>IF($A892="","",[1]!thsiFinD("ths_adjustment_nv_fund",O$3,$A892))</f>
        <v/>
      </c>
      <c r="P892" s="13" t="str">
        <f>IF($A892="","",[1]!thsiFinD("ths_adjustment_nv_fund",P$3,$A892))</f>
        <v/>
      </c>
      <c r="Q892" s="13" t="str">
        <f>IF($A892="","",[1]!thsiFinD("ths_adjustment_nv_fund",Q$3,$A892))</f>
        <v/>
      </c>
      <c r="R892" s="13" t="str">
        <f>IF($A892="","",[1]!thsiFinD("ths_adjustment_nv_fund",R$3,$A892))</f>
        <v/>
      </c>
      <c r="S892" s="13" t="str">
        <f>IF($A892="","",[1]!thsiFinD("ths_adjustment_nv_fund",S$3,$A892))</f>
        <v/>
      </c>
      <c r="T892" s="13" t="str">
        <f>IF($A892="","",[1]!thsiFinD("ths_adjustment_nv_fund",T$3,$A892))</f>
        <v/>
      </c>
      <c r="U892" s="13" t="str">
        <f>IF($A892="","",[1]!thsiFinD("ths_adjustment_nv_fund",U$3,$A892))</f>
        <v/>
      </c>
      <c r="V892" s="13" t="str">
        <f>IF($A892="","",[1]!thsiFinD("ths_adjustment_nv_fund",V$3,$A892))</f>
        <v/>
      </c>
      <c r="W892" s="13" t="str">
        <f>IF($A892="","",[1]!thsiFinD("ths_adjustment_nv_fund",W$3,$A892))</f>
        <v/>
      </c>
      <c r="X892" s="13" t="str">
        <f>IF($A892="","",[1]!thsiFinD("ths_adjustment_nv_fund",X$3,$A892))</f>
        <v/>
      </c>
      <c r="Y892" s="13" t="str">
        <f>IF($A892="","",[1]!thsiFinD("ths_adjustment_nv_fund",Y$3,$A892))</f>
        <v/>
      </c>
      <c r="Z892" s="13" t="str">
        <f>IF($A892="","",[1]!thsiFinD("ths_adjustment_nv_fund",Z$3,$A892))</f>
        <v/>
      </c>
      <c r="AA892" s="13" t="str">
        <f>IF($A892="","",[1]!thsiFinD("ths_adjustment_nv_fund",AA$3,$A892))</f>
        <v/>
      </c>
      <c r="AB892" s="13" t="str">
        <f>IF($A892="","",[1]!thsiFinD("ths_adjustment_nv_fund",AB$3,$A892))</f>
        <v/>
      </c>
    </row>
    <row r="893" spans="2:28">
      <c r="B893" s="13" t="str">
        <f>IF($A893="","",[1]!thsiFinD("ths_adjustment_nv_fund",B$3,$A893))</f>
        <v/>
      </c>
      <c r="C893" s="13" t="str">
        <f>IF($A893="","",[1]!thsiFinD("ths_adjustment_nv_fund",C$3,$A893))</f>
        <v/>
      </c>
      <c r="D893" s="13" t="str">
        <f>IF($A893="","",[1]!thsiFinD("ths_adjustment_nv_fund",D$3,$A893))</f>
        <v/>
      </c>
      <c r="E893" s="13" t="str">
        <f>IF($A893="","",[1]!thsiFinD("ths_adjustment_nv_fund",E$3,$A893))</f>
        <v/>
      </c>
      <c r="F893" s="13" t="str">
        <f>IF($A893="","",[1]!thsiFinD("ths_adjustment_nv_fund",F$3,$A893))</f>
        <v/>
      </c>
      <c r="G893" s="13" t="str">
        <f>IF($A893="","",[1]!thsiFinD("ths_adjustment_nv_fund",G$3,$A893))</f>
        <v/>
      </c>
      <c r="H893" s="13" t="str">
        <f>IF($A893="","",[1]!thsiFinD("ths_adjustment_nv_fund",H$3,$A893))</f>
        <v/>
      </c>
      <c r="I893" s="13" t="str">
        <f>IF($A893="","",[1]!thsiFinD("ths_adjustment_nv_fund",I$3,$A893))</f>
        <v/>
      </c>
      <c r="J893" s="13" t="str">
        <f>IF($A893="","",[1]!thsiFinD("ths_adjustment_nv_fund",J$3,$A893))</f>
        <v/>
      </c>
      <c r="K893" s="13" t="str">
        <f>IF($A893="","",[1]!thsiFinD("ths_adjustment_nv_fund",K$3,$A893))</f>
        <v/>
      </c>
      <c r="L893" s="13" t="str">
        <f>IF($A893="","",[1]!thsiFinD("ths_adjustment_nv_fund",L$3,$A893))</f>
        <v/>
      </c>
      <c r="M893" s="13" t="str">
        <f>IF($A893="","",[1]!thsiFinD("ths_adjustment_nv_fund",M$3,$A893))</f>
        <v/>
      </c>
      <c r="N893" s="13" t="str">
        <f>IF($A893="","",[1]!thsiFinD("ths_adjustment_nv_fund",N$3,$A893))</f>
        <v/>
      </c>
      <c r="O893" s="13" t="str">
        <f>IF($A893="","",[1]!thsiFinD("ths_adjustment_nv_fund",O$3,$A893))</f>
        <v/>
      </c>
      <c r="P893" s="13" t="str">
        <f>IF($A893="","",[1]!thsiFinD("ths_adjustment_nv_fund",P$3,$A893))</f>
        <v/>
      </c>
      <c r="Q893" s="13" t="str">
        <f>IF($A893="","",[1]!thsiFinD("ths_adjustment_nv_fund",Q$3,$A893))</f>
        <v/>
      </c>
      <c r="R893" s="13" t="str">
        <f>IF($A893="","",[1]!thsiFinD("ths_adjustment_nv_fund",R$3,$A893))</f>
        <v/>
      </c>
      <c r="S893" s="13" t="str">
        <f>IF($A893="","",[1]!thsiFinD("ths_adjustment_nv_fund",S$3,$A893))</f>
        <v/>
      </c>
      <c r="T893" s="13" t="str">
        <f>IF($A893="","",[1]!thsiFinD("ths_adjustment_nv_fund",T$3,$A893))</f>
        <v/>
      </c>
      <c r="U893" s="13" t="str">
        <f>IF($A893="","",[1]!thsiFinD("ths_adjustment_nv_fund",U$3,$A893))</f>
        <v/>
      </c>
      <c r="V893" s="13" t="str">
        <f>IF($A893="","",[1]!thsiFinD("ths_adjustment_nv_fund",V$3,$A893))</f>
        <v/>
      </c>
      <c r="W893" s="13" t="str">
        <f>IF($A893="","",[1]!thsiFinD("ths_adjustment_nv_fund",W$3,$A893))</f>
        <v/>
      </c>
      <c r="X893" s="13" t="str">
        <f>IF($A893="","",[1]!thsiFinD("ths_adjustment_nv_fund",X$3,$A893))</f>
        <v/>
      </c>
      <c r="Y893" s="13" t="str">
        <f>IF($A893="","",[1]!thsiFinD("ths_adjustment_nv_fund",Y$3,$A893))</f>
        <v/>
      </c>
      <c r="Z893" s="13" t="str">
        <f>IF($A893="","",[1]!thsiFinD("ths_adjustment_nv_fund",Z$3,$A893))</f>
        <v/>
      </c>
      <c r="AA893" s="13" t="str">
        <f>IF($A893="","",[1]!thsiFinD("ths_adjustment_nv_fund",AA$3,$A893))</f>
        <v/>
      </c>
      <c r="AB893" s="13" t="str">
        <f>IF($A893="","",[1]!thsiFinD("ths_adjustment_nv_fund",AB$3,$A893))</f>
        <v/>
      </c>
    </row>
    <row r="894" spans="2:28">
      <c r="B894" s="13" t="str">
        <f>IF($A894="","",[1]!thsiFinD("ths_adjustment_nv_fund",B$3,$A894))</f>
        <v/>
      </c>
      <c r="C894" s="13" t="str">
        <f>IF($A894="","",[1]!thsiFinD("ths_adjustment_nv_fund",C$3,$A894))</f>
        <v/>
      </c>
      <c r="D894" s="13" t="str">
        <f>IF($A894="","",[1]!thsiFinD("ths_adjustment_nv_fund",D$3,$A894))</f>
        <v/>
      </c>
      <c r="E894" s="13" t="str">
        <f>IF($A894="","",[1]!thsiFinD("ths_adjustment_nv_fund",E$3,$A894))</f>
        <v/>
      </c>
      <c r="F894" s="13" t="str">
        <f>IF($A894="","",[1]!thsiFinD("ths_adjustment_nv_fund",F$3,$A894))</f>
        <v/>
      </c>
      <c r="G894" s="13" t="str">
        <f>IF($A894="","",[1]!thsiFinD("ths_adjustment_nv_fund",G$3,$A894))</f>
        <v/>
      </c>
      <c r="H894" s="13" t="str">
        <f>IF($A894="","",[1]!thsiFinD("ths_adjustment_nv_fund",H$3,$A894))</f>
        <v/>
      </c>
      <c r="I894" s="13" t="str">
        <f>IF($A894="","",[1]!thsiFinD("ths_adjustment_nv_fund",I$3,$A894))</f>
        <v/>
      </c>
      <c r="J894" s="13" t="str">
        <f>IF($A894="","",[1]!thsiFinD("ths_adjustment_nv_fund",J$3,$A894))</f>
        <v/>
      </c>
      <c r="K894" s="13" t="str">
        <f>IF($A894="","",[1]!thsiFinD("ths_adjustment_nv_fund",K$3,$A894))</f>
        <v/>
      </c>
      <c r="L894" s="13" t="str">
        <f>IF($A894="","",[1]!thsiFinD("ths_adjustment_nv_fund",L$3,$A894))</f>
        <v/>
      </c>
      <c r="M894" s="13" t="str">
        <f>IF($A894="","",[1]!thsiFinD("ths_adjustment_nv_fund",M$3,$A894))</f>
        <v/>
      </c>
      <c r="N894" s="13" t="str">
        <f>IF($A894="","",[1]!thsiFinD("ths_adjustment_nv_fund",N$3,$A894))</f>
        <v/>
      </c>
      <c r="O894" s="13" t="str">
        <f>IF($A894="","",[1]!thsiFinD("ths_adjustment_nv_fund",O$3,$A894))</f>
        <v/>
      </c>
      <c r="P894" s="13" t="str">
        <f>IF($A894="","",[1]!thsiFinD("ths_adjustment_nv_fund",P$3,$A894))</f>
        <v/>
      </c>
      <c r="Q894" s="13" t="str">
        <f>IF($A894="","",[1]!thsiFinD("ths_adjustment_nv_fund",Q$3,$A894))</f>
        <v/>
      </c>
      <c r="R894" s="13" t="str">
        <f>IF($A894="","",[1]!thsiFinD("ths_adjustment_nv_fund",R$3,$A894))</f>
        <v/>
      </c>
      <c r="S894" s="13" t="str">
        <f>IF($A894="","",[1]!thsiFinD("ths_adjustment_nv_fund",S$3,$A894))</f>
        <v/>
      </c>
      <c r="T894" s="13" t="str">
        <f>IF($A894="","",[1]!thsiFinD("ths_adjustment_nv_fund",T$3,$A894))</f>
        <v/>
      </c>
      <c r="U894" s="13" t="str">
        <f>IF($A894="","",[1]!thsiFinD("ths_adjustment_nv_fund",U$3,$A894))</f>
        <v/>
      </c>
      <c r="V894" s="13" t="str">
        <f>IF($A894="","",[1]!thsiFinD("ths_adjustment_nv_fund",V$3,$A894))</f>
        <v/>
      </c>
      <c r="W894" s="13" t="str">
        <f>IF($A894="","",[1]!thsiFinD("ths_adjustment_nv_fund",W$3,$A894))</f>
        <v/>
      </c>
      <c r="X894" s="13" t="str">
        <f>IF($A894="","",[1]!thsiFinD("ths_adjustment_nv_fund",X$3,$A894))</f>
        <v/>
      </c>
      <c r="Y894" s="13" t="str">
        <f>IF($A894="","",[1]!thsiFinD("ths_adjustment_nv_fund",Y$3,$A894))</f>
        <v/>
      </c>
      <c r="Z894" s="13" t="str">
        <f>IF($A894="","",[1]!thsiFinD("ths_adjustment_nv_fund",Z$3,$A894))</f>
        <v/>
      </c>
      <c r="AA894" s="13" t="str">
        <f>IF($A894="","",[1]!thsiFinD("ths_adjustment_nv_fund",AA$3,$A894))</f>
        <v/>
      </c>
      <c r="AB894" s="13" t="str">
        <f>IF($A894="","",[1]!thsiFinD("ths_adjustment_nv_fund",AB$3,$A894))</f>
        <v/>
      </c>
    </row>
    <row r="895" spans="2:28">
      <c r="B895" s="13" t="str">
        <f>IF($A895="","",[1]!thsiFinD("ths_adjustment_nv_fund",B$3,$A895))</f>
        <v/>
      </c>
      <c r="C895" s="13" t="str">
        <f>IF($A895="","",[1]!thsiFinD("ths_adjustment_nv_fund",C$3,$A895))</f>
        <v/>
      </c>
      <c r="D895" s="13" t="str">
        <f>IF($A895="","",[1]!thsiFinD("ths_adjustment_nv_fund",D$3,$A895))</f>
        <v/>
      </c>
      <c r="E895" s="13" t="str">
        <f>IF($A895="","",[1]!thsiFinD("ths_adjustment_nv_fund",E$3,$A895))</f>
        <v/>
      </c>
      <c r="F895" s="13" t="str">
        <f>IF($A895="","",[1]!thsiFinD("ths_adjustment_nv_fund",F$3,$A895))</f>
        <v/>
      </c>
      <c r="G895" s="13" t="str">
        <f>IF($A895="","",[1]!thsiFinD("ths_adjustment_nv_fund",G$3,$A895))</f>
        <v/>
      </c>
      <c r="H895" s="13" t="str">
        <f>IF($A895="","",[1]!thsiFinD("ths_adjustment_nv_fund",H$3,$A895))</f>
        <v/>
      </c>
      <c r="I895" s="13" t="str">
        <f>IF($A895="","",[1]!thsiFinD("ths_adjustment_nv_fund",I$3,$A895))</f>
        <v/>
      </c>
      <c r="J895" s="13" t="str">
        <f>IF($A895="","",[1]!thsiFinD("ths_adjustment_nv_fund",J$3,$A895))</f>
        <v/>
      </c>
      <c r="K895" s="13" t="str">
        <f>IF($A895="","",[1]!thsiFinD("ths_adjustment_nv_fund",K$3,$A895))</f>
        <v/>
      </c>
      <c r="L895" s="13" t="str">
        <f>IF($A895="","",[1]!thsiFinD("ths_adjustment_nv_fund",L$3,$A895))</f>
        <v/>
      </c>
      <c r="M895" s="13" t="str">
        <f>IF($A895="","",[1]!thsiFinD("ths_adjustment_nv_fund",M$3,$A895))</f>
        <v/>
      </c>
      <c r="N895" s="13" t="str">
        <f>IF($A895="","",[1]!thsiFinD("ths_adjustment_nv_fund",N$3,$A895))</f>
        <v/>
      </c>
      <c r="O895" s="13" t="str">
        <f>IF($A895="","",[1]!thsiFinD("ths_adjustment_nv_fund",O$3,$A895))</f>
        <v/>
      </c>
      <c r="P895" s="13" t="str">
        <f>IF($A895="","",[1]!thsiFinD("ths_adjustment_nv_fund",P$3,$A895))</f>
        <v/>
      </c>
      <c r="Q895" s="13" t="str">
        <f>IF($A895="","",[1]!thsiFinD("ths_adjustment_nv_fund",Q$3,$A895))</f>
        <v/>
      </c>
      <c r="R895" s="13" t="str">
        <f>IF($A895="","",[1]!thsiFinD("ths_adjustment_nv_fund",R$3,$A895))</f>
        <v/>
      </c>
      <c r="S895" s="13" t="str">
        <f>IF($A895="","",[1]!thsiFinD("ths_adjustment_nv_fund",S$3,$A895))</f>
        <v/>
      </c>
      <c r="T895" s="13" t="str">
        <f>IF($A895="","",[1]!thsiFinD("ths_adjustment_nv_fund",T$3,$A895))</f>
        <v/>
      </c>
      <c r="U895" s="13" t="str">
        <f>IF($A895="","",[1]!thsiFinD("ths_adjustment_nv_fund",U$3,$A895))</f>
        <v/>
      </c>
      <c r="V895" s="13" t="str">
        <f>IF($A895="","",[1]!thsiFinD("ths_adjustment_nv_fund",V$3,$A895))</f>
        <v/>
      </c>
      <c r="W895" s="13" t="str">
        <f>IF($A895="","",[1]!thsiFinD("ths_adjustment_nv_fund",W$3,$A895))</f>
        <v/>
      </c>
      <c r="X895" s="13" t="str">
        <f>IF($A895="","",[1]!thsiFinD("ths_adjustment_nv_fund",X$3,$A895))</f>
        <v/>
      </c>
      <c r="Y895" s="13" t="str">
        <f>IF($A895="","",[1]!thsiFinD("ths_adjustment_nv_fund",Y$3,$A895))</f>
        <v/>
      </c>
      <c r="Z895" s="13" t="str">
        <f>IF($A895="","",[1]!thsiFinD("ths_adjustment_nv_fund",Z$3,$A895))</f>
        <v/>
      </c>
      <c r="AA895" s="13" t="str">
        <f>IF($A895="","",[1]!thsiFinD("ths_adjustment_nv_fund",AA$3,$A895))</f>
        <v/>
      </c>
      <c r="AB895" s="13" t="str">
        <f>IF($A895="","",[1]!thsiFinD("ths_adjustment_nv_fund",AB$3,$A895))</f>
        <v/>
      </c>
    </row>
    <row r="896" spans="2:28">
      <c r="B896" s="13" t="str">
        <f>IF($A896="","",[1]!thsiFinD("ths_adjustment_nv_fund",B$3,$A896))</f>
        <v/>
      </c>
      <c r="C896" s="13" t="str">
        <f>IF($A896="","",[1]!thsiFinD("ths_adjustment_nv_fund",C$3,$A896))</f>
        <v/>
      </c>
      <c r="D896" s="13" t="str">
        <f>IF($A896="","",[1]!thsiFinD("ths_adjustment_nv_fund",D$3,$A896))</f>
        <v/>
      </c>
      <c r="E896" s="13" t="str">
        <f>IF($A896="","",[1]!thsiFinD("ths_adjustment_nv_fund",E$3,$A896))</f>
        <v/>
      </c>
      <c r="F896" s="13" t="str">
        <f>IF($A896="","",[1]!thsiFinD("ths_adjustment_nv_fund",F$3,$A896))</f>
        <v/>
      </c>
      <c r="G896" s="13" t="str">
        <f>IF($A896="","",[1]!thsiFinD("ths_adjustment_nv_fund",G$3,$A896))</f>
        <v/>
      </c>
      <c r="H896" s="13" t="str">
        <f>IF($A896="","",[1]!thsiFinD("ths_adjustment_nv_fund",H$3,$A896))</f>
        <v/>
      </c>
      <c r="I896" s="13" t="str">
        <f>IF($A896="","",[1]!thsiFinD("ths_adjustment_nv_fund",I$3,$A896))</f>
        <v/>
      </c>
      <c r="J896" s="13" t="str">
        <f>IF($A896="","",[1]!thsiFinD("ths_adjustment_nv_fund",J$3,$A896))</f>
        <v/>
      </c>
      <c r="K896" s="13" t="str">
        <f>IF($A896="","",[1]!thsiFinD("ths_adjustment_nv_fund",K$3,$A896))</f>
        <v/>
      </c>
      <c r="L896" s="13" t="str">
        <f>IF($A896="","",[1]!thsiFinD("ths_adjustment_nv_fund",L$3,$A896))</f>
        <v/>
      </c>
      <c r="M896" s="13" t="str">
        <f>IF($A896="","",[1]!thsiFinD("ths_adjustment_nv_fund",M$3,$A896))</f>
        <v/>
      </c>
      <c r="N896" s="13" t="str">
        <f>IF($A896="","",[1]!thsiFinD("ths_adjustment_nv_fund",N$3,$A896))</f>
        <v/>
      </c>
      <c r="O896" s="13" t="str">
        <f>IF($A896="","",[1]!thsiFinD("ths_adjustment_nv_fund",O$3,$A896))</f>
        <v/>
      </c>
      <c r="P896" s="13" t="str">
        <f>IF($A896="","",[1]!thsiFinD("ths_adjustment_nv_fund",P$3,$A896))</f>
        <v/>
      </c>
      <c r="Q896" s="13" t="str">
        <f>IF($A896="","",[1]!thsiFinD("ths_adjustment_nv_fund",Q$3,$A896))</f>
        <v/>
      </c>
      <c r="R896" s="13" t="str">
        <f>IF($A896="","",[1]!thsiFinD("ths_adjustment_nv_fund",R$3,$A896))</f>
        <v/>
      </c>
      <c r="S896" s="13" t="str">
        <f>IF($A896="","",[1]!thsiFinD("ths_adjustment_nv_fund",S$3,$A896))</f>
        <v/>
      </c>
      <c r="T896" s="13" t="str">
        <f>IF($A896="","",[1]!thsiFinD("ths_adjustment_nv_fund",T$3,$A896))</f>
        <v/>
      </c>
      <c r="U896" s="13" t="str">
        <f>IF($A896="","",[1]!thsiFinD("ths_adjustment_nv_fund",U$3,$A896))</f>
        <v/>
      </c>
      <c r="V896" s="13" t="str">
        <f>IF($A896="","",[1]!thsiFinD("ths_adjustment_nv_fund",V$3,$A896))</f>
        <v/>
      </c>
      <c r="W896" s="13" t="str">
        <f>IF($A896="","",[1]!thsiFinD("ths_adjustment_nv_fund",W$3,$A896))</f>
        <v/>
      </c>
      <c r="X896" s="13" t="str">
        <f>IF($A896="","",[1]!thsiFinD("ths_adjustment_nv_fund",X$3,$A896))</f>
        <v/>
      </c>
      <c r="Y896" s="13" t="str">
        <f>IF($A896="","",[1]!thsiFinD("ths_adjustment_nv_fund",Y$3,$A896))</f>
        <v/>
      </c>
      <c r="Z896" s="13" t="str">
        <f>IF($A896="","",[1]!thsiFinD("ths_adjustment_nv_fund",Z$3,$A896))</f>
        <v/>
      </c>
      <c r="AA896" s="13" t="str">
        <f>IF($A896="","",[1]!thsiFinD("ths_adjustment_nv_fund",AA$3,$A896))</f>
        <v/>
      </c>
      <c r="AB896" s="13" t="str">
        <f>IF($A896="","",[1]!thsiFinD("ths_adjustment_nv_fund",AB$3,$A896))</f>
        <v/>
      </c>
    </row>
    <row r="897" spans="2:28">
      <c r="B897" s="13" t="str">
        <f>IF($A897="","",[1]!thsiFinD("ths_adjustment_nv_fund",B$3,$A897))</f>
        <v/>
      </c>
      <c r="C897" s="13" t="str">
        <f>IF($A897="","",[1]!thsiFinD("ths_adjustment_nv_fund",C$3,$A897))</f>
        <v/>
      </c>
      <c r="D897" s="13" t="str">
        <f>IF($A897="","",[1]!thsiFinD("ths_adjustment_nv_fund",D$3,$A897))</f>
        <v/>
      </c>
      <c r="E897" s="13" t="str">
        <f>IF($A897="","",[1]!thsiFinD("ths_adjustment_nv_fund",E$3,$A897))</f>
        <v/>
      </c>
      <c r="F897" s="13" t="str">
        <f>IF($A897="","",[1]!thsiFinD("ths_adjustment_nv_fund",F$3,$A897))</f>
        <v/>
      </c>
      <c r="G897" s="13" t="str">
        <f>IF($A897="","",[1]!thsiFinD("ths_adjustment_nv_fund",G$3,$A897))</f>
        <v/>
      </c>
      <c r="H897" s="13" t="str">
        <f>IF($A897="","",[1]!thsiFinD("ths_adjustment_nv_fund",H$3,$A897))</f>
        <v/>
      </c>
      <c r="I897" s="13" t="str">
        <f>IF($A897="","",[1]!thsiFinD("ths_adjustment_nv_fund",I$3,$A897))</f>
        <v/>
      </c>
      <c r="J897" s="13" t="str">
        <f>IF($A897="","",[1]!thsiFinD("ths_adjustment_nv_fund",J$3,$A897))</f>
        <v/>
      </c>
      <c r="K897" s="13" t="str">
        <f>IF($A897="","",[1]!thsiFinD("ths_adjustment_nv_fund",K$3,$A897))</f>
        <v/>
      </c>
      <c r="L897" s="13" t="str">
        <f>IF($A897="","",[1]!thsiFinD("ths_adjustment_nv_fund",L$3,$A897))</f>
        <v/>
      </c>
      <c r="M897" s="13" t="str">
        <f>IF($A897="","",[1]!thsiFinD("ths_adjustment_nv_fund",M$3,$A897))</f>
        <v/>
      </c>
      <c r="N897" s="13" t="str">
        <f>IF($A897="","",[1]!thsiFinD("ths_adjustment_nv_fund",N$3,$A897))</f>
        <v/>
      </c>
      <c r="O897" s="13" t="str">
        <f>IF($A897="","",[1]!thsiFinD("ths_adjustment_nv_fund",O$3,$A897))</f>
        <v/>
      </c>
      <c r="P897" s="13" t="str">
        <f>IF($A897="","",[1]!thsiFinD("ths_adjustment_nv_fund",P$3,$A897))</f>
        <v/>
      </c>
      <c r="Q897" s="13" t="str">
        <f>IF($A897="","",[1]!thsiFinD("ths_adjustment_nv_fund",Q$3,$A897))</f>
        <v/>
      </c>
      <c r="R897" s="13" t="str">
        <f>IF($A897="","",[1]!thsiFinD("ths_adjustment_nv_fund",R$3,$A897))</f>
        <v/>
      </c>
      <c r="S897" s="13" t="str">
        <f>IF($A897="","",[1]!thsiFinD("ths_adjustment_nv_fund",S$3,$A897))</f>
        <v/>
      </c>
      <c r="T897" s="13" t="str">
        <f>IF($A897="","",[1]!thsiFinD("ths_adjustment_nv_fund",T$3,$A897))</f>
        <v/>
      </c>
      <c r="U897" s="13" t="str">
        <f>IF($A897="","",[1]!thsiFinD("ths_adjustment_nv_fund",U$3,$A897))</f>
        <v/>
      </c>
      <c r="V897" s="13" t="str">
        <f>IF($A897="","",[1]!thsiFinD("ths_adjustment_nv_fund",V$3,$A897))</f>
        <v/>
      </c>
      <c r="W897" s="13" t="str">
        <f>IF($A897="","",[1]!thsiFinD("ths_adjustment_nv_fund",W$3,$A897))</f>
        <v/>
      </c>
      <c r="X897" s="13" t="str">
        <f>IF($A897="","",[1]!thsiFinD("ths_adjustment_nv_fund",X$3,$A897))</f>
        <v/>
      </c>
      <c r="Y897" s="13" t="str">
        <f>IF($A897="","",[1]!thsiFinD("ths_adjustment_nv_fund",Y$3,$A897))</f>
        <v/>
      </c>
      <c r="Z897" s="13" t="str">
        <f>IF($A897="","",[1]!thsiFinD("ths_adjustment_nv_fund",Z$3,$A897))</f>
        <v/>
      </c>
      <c r="AA897" s="13" t="str">
        <f>IF($A897="","",[1]!thsiFinD("ths_adjustment_nv_fund",AA$3,$A897))</f>
        <v/>
      </c>
      <c r="AB897" s="13" t="str">
        <f>IF($A897="","",[1]!thsiFinD("ths_adjustment_nv_fund",AB$3,$A897))</f>
        <v/>
      </c>
    </row>
    <row r="898" spans="2:28">
      <c r="B898" s="13" t="str">
        <f>IF($A898="","",[1]!thsiFinD("ths_adjustment_nv_fund",B$3,$A898))</f>
        <v/>
      </c>
      <c r="C898" s="13" t="str">
        <f>IF($A898="","",[1]!thsiFinD("ths_adjustment_nv_fund",C$3,$A898))</f>
        <v/>
      </c>
      <c r="D898" s="13" t="str">
        <f>IF($A898="","",[1]!thsiFinD("ths_adjustment_nv_fund",D$3,$A898))</f>
        <v/>
      </c>
      <c r="E898" s="13" t="str">
        <f>IF($A898="","",[1]!thsiFinD("ths_adjustment_nv_fund",E$3,$A898))</f>
        <v/>
      </c>
      <c r="F898" s="13" t="str">
        <f>IF($A898="","",[1]!thsiFinD("ths_adjustment_nv_fund",F$3,$A898))</f>
        <v/>
      </c>
      <c r="G898" s="13" t="str">
        <f>IF($A898="","",[1]!thsiFinD("ths_adjustment_nv_fund",G$3,$A898))</f>
        <v/>
      </c>
      <c r="H898" s="13" t="str">
        <f>IF($A898="","",[1]!thsiFinD("ths_adjustment_nv_fund",H$3,$A898))</f>
        <v/>
      </c>
      <c r="I898" s="13" t="str">
        <f>IF($A898="","",[1]!thsiFinD("ths_adjustment_nv_fund",I$3,$A898))</f>
        <v/>
      </c>
      <c r="J898" s="13" t="str">
        <f>IF($A898="","",[1]!thsiFinD("ths_adjustment_nv_fund",J$3,$A898))</f>
        <v/>
      </c>
      <c r="K898" s="13" t="str">
        <f>IF($A898="","",[1]!thsiFinD("ths_adjustment_nv_fund",K$3,$A898))</f>
        <v/>
      </c>
      <c r="L898" s="13" t="str">
        <f>IF($A898="","",[1]!thsiFinD("ths_adjustment_nv_fund",L$3,$A898))</f>
        <v/>
      </c>
      <c r="M898" s="13" t="str">
        <f>IF($A898="","",[1]!thsiFinD("ths_adjustment_nv_fund",M$3,$A898))</f>
        <v/>
      </c>
      <c r="N898" s="13" t="str">
        <f>IF($A898="","",[1]!thsiFinD("ths_adjustment_nv_fund",N$3,$A898))</f>
        <v/>
      </c>
      <c r="O898" s="13" t="str">
        <f>IF($A898="","",[1]!thsiFinD("ths_adjustment_nv_fund",O$3,$A898))</f>
        <v/>
      </c>
      <c r="P898" s="13" t="str">
        <f>IF($A898="","",[1]!thsiFinD("ths_adjustment_nv_fund",P$3,$A898))</f>
        <v/>
      </c>
      <c r="Q898" s="13" t="str">
        <f>IF($A898="","",[1]!thsiFinD("ths_adjustment_nv_fund",Q$3,$A898))</f>
        <v/>
      </c>
      <c r="R898" s="13" t="str">
        <f>IF($A898="","",[1]!thsiFinD("ths_adjustment_nv_fund",R$3,$A898))</f>
        <v/>
      </c>
      <c r="S898" s="13" t="str">
        <f>IF($A898="","",[1]!thsiFinD("ths_adjustment_nv_fund",S$3,$A898))</f>
        <v/>
      </c>
      <c r="T898" s="13" t="str">
        <f>IF($A898="","",[1]!thsiFinD("ths_adjustment_nv_fund",T$3,$A898))</f>
        <v/>
      </c>
      <c r="U898" s="13" t="str">
        <f>IF($A898="","",[1]!thsiFinD("ths_adjustment_nv_fund",U$3,$A898))</f>
        <v/>
      </c>
      <c r="V898" s="13" t="str">
        <f>IF($A898="","",[1]!thsiFinD("ths_adjustment_nv_fund",V$3,$A898))</f>
        <v/>
      </c>
      <c r="W898" s="13" t="str">
        <f>IF($A898="","",[1]!thsiFinD("ths_adjustment_nv_fund",W$3,$A898))</f>
        <v/>
      </c>
      <c r="X898" s="13" t="str">
        <f>IF($A898="","",[1]!thsiFinD("ths_adjustment_nv_fund",X$3,$A898))</f>
        <v/>
      </c>
      <c r="Y898" s="13" t="str">
        <f>IF($A898="","",[1]!thsiFinD("ths_adjustment_nv_fund",Y$3,$A898))</f>
        <v/>
      </c>
      <c r="Z898" s="13" t="str">
        <f>IF($A898="","",[1]!thsiFinD("ths_adjustment_nv_fund",Z$3,$A898))</f>
        <v/>
      </c>
      <c r="AA898" s="13" t="str">
        <f>IF($A898="","",[1]!thsiFinD("ths_adjustment_nv_fund",AA$3,$A898))</f>
        <v/>
      </c>
      <c r="AB898" s="13" t="str">
        <f>IF($A898="","",[1]!thsiFinD("ths_adjustment_nv_fund",AB$3,$A898))</f>
        <v/>
      </c>
    </row>
    <row r="899" spans="2:28">
      <c r="B899" s="13" t="str">
        <f>IF($A899="","",[1]!thsiFinD("ths_adjustment_nv_fund",B$3,$A899))</f>
        <v/>
      </c>
      <c r="C899" s="13" t="str">
        <f>IF($A899="","",[1]!thsiFinD("ths_adjustment_nv_fund",C$3,$A899))</f>
        <v/>
      </c>
      <c r="D899" s="13" t="str">
        <f>IF($A899="","",[1]!thsiFinD("ths_adjustment_nv_fund",D$3,$A899))</f>
        <v/>
      </c>
      <c r="E899" s="13" t="str">
        <f>IF($A899="","",[1]!thsiFinD("ths_adjustment_nv_fund",E$3,$A899))</f>
        <v/>
      </c>
      <c r="F899" s="13" t="str">
        <f>IF($A899="","",[1]!thsiFinD("ths_adjustment_nv_fund",F$3,$A899))</f>
        <v/>
      </c>
      <c r="G899" s="13" t="str">
        <f>IF($A899="","",[1]!thsiFinD("ths_adjustment_nv_fund",G$3,$A899))</f>
        <v/>
      </c>
      <c r="H899" s="13" t="str">
        <f>IF($A899="","",[1]!thsiFinD("ths_adjustment_nv_fund",H$3,$A899))</f>
        <v/>
      </c>
      <c r="I899" s="13" t="str">
        <f>IF($A899="","",[1]!thsiFinD("ths_adjustment_nv_fund",I$3,$A899))</f>
        <v/>
      </c>
      <c r="J899" s="13" t="str">
        <f>IF($A899="","",[1]!thsiFinD("ths_adjustment_nv_fund",J$3,$A899))</f>
        <v/>
      </c>
      <c r="K899" s="13" t="str">
        <f>IF($A899="","",[1]!thsiFinD("ths_adjustment_nv_fund",K$3,$A899))</f>
        <v/>
      </c>
      <c r="L899" s="13" t="str">
        <f>IF($A899="","",[1]!thsiFinD("ths_adjustment_nv_fund",L$3,$A899))</f>
        <v/>
      </c>
      <c r="M899" s="13" t="str">
        <f>IF($A899="","",[1]!thsiFinD("ths_adjustment_nv_fund",M$3,$A899))</f>
        <v/>
      </c>
      <c r="N899" s="13" t="str">
        <f>IF($A899="","",[1]!thsiFinD("ths_adjustment_nv_fund",N$3,$A899))</f>
        <v/>
      </c>
      <c r="O899" s="13" t="str">
        <f>IF($A899="","",[1]!thsiFinD("ths_adjustment_nv_fund",O$3,$A899))</f>
        <v/>
      </c>
      <c r="P899" s="13" t="str">
        <f>IF($A899="","",[1]!thsiFinD("ths_adjustment_nv_fund",P$3,$A899))</f>
        <v/>
      </c>
      <c r="Q899" s="13" t="str">
        <f>IF($A899="","",[1]!thsiFinD("ths_adjustment_nv_fund",Q$3,$A899))</f>
        <v/>
      </c>
      <c r="R899" s="13" t="str">
        <f>IF($A899="","",[1]!thsiFinD("ths_adjustment_nv_fund",R$3,$A899))</f>
        <v/>
      </c>
      <c r="S899" s="13" t="str">
        <f>IF($A899="","",[1]!thsiFinD("ths_adjustment_nv_fund",S$3,$A899))</f>
        <v/>
      </c>
      <c r="T899" s="13" t="str">
        <f>IF($A899="","",[1]!thsiFinD("ths_adjustment_nv_fund",T$3,$A899))</f>
        <v/>
      </c>
      <c r="U899" s="13" t="str">
        <f>IF($A899="","",[1]!thsiFinD("ths_adjustment_nv_fund",U$3,$A899))</f>
        <v/>
      </c>
      <c r="V899" s="13" t="str">
        <f>IF($A899="","",[1]!thsiFinD("ths_adjustment_nv_fund",V$3,$A899))</f>
        <v/>
      </c>
      <c r="W899" s="13" t="str">
        <f>IF($A899="","",[1]!thsiFinD("ths_adjustment_nv_fund",W$3,$A899))</f>
        <v/>
      </c>
      <c r="X899" s="13" t="str">
        <f>IF($A899="","",[1]!thsiFinD("ths_adjustment_nv_fund",X$3,$A899))</f>
        <v/>
      </c>
      <c r="Y899" s="13" t="str">
        <f>IF($A899="","",[1]!thsiFinD("ths_adjustment_nv_fund",Y$3,$A899))</f>
        <v/>
      </c>
      <c r="Z899" s="13" t="str">
        <f>IF($A899="","",[1]!thsiFinD("ths_adjustment_nv_fund",Z$3,$A899))</f>
        <v/>
      </c>
      <c r="AA899" s="13" t="str">
        <f>IF($A899="","",[1]!thsiFinD("ths_adjustment_nv_fund",AA$3,$A899))</f>
        <v/>
      </c>
      <c r="AB899" s="13" t="str">
        <f>IF($A899="","",[1]!thsiFinD("ths_adjustment_nv_fund",AB$3,$A899))</f>
        <v/>
      </c>
    </row>
    <row r="900" spans="2:28">
      <c r="B900" s="13" t="str">
        <f>IF($A900="","",[1]!thsiFinD("ths_adjustment_nv_fund",B$3,$A900))</f>
        <v/>
      </c>
      <c r="C900" s="13" t="str">
        <f>IF($A900="","",[1]!thsiFinD("ths_adjustment_nv_fund",C$3,$A900))</f>
        <v/>
      </c>
      <c r="D900" s="13" t="str">
        <f>IF($A900="","",[1]!thsiFinD("ths_adjustment_nv_fund",D$3,$A900))</f>
        <v/>
      </c>
      <c r="E900" s="13" t="str">
        <f>IF($A900="","",[1]!thsiFinD("ths_adjustment_nv_fund",E$3,$A900))</f>
        <v/>
      </c>
      <c r="F900" s="13" t="str">
        <f>IF($A900="","",[1]!thsiFinD("ths_adjustment_nv_fund",F$3,$A900))</f>
        <v/>
      </c>
      <c r="G900" s="13" t="str">
        <f>IF($A900="","",[1]!thsiFinD("ths_adjustment_nv_fund",G$3,$A900))</f>
        <v/>
      </c>
      <c r="H900" s="13" t="str">
        <f>IF($A900="","",[1]!thsiFinD("ths_adjustment_nv_fund",H$3,$A900))</f>
        <v/>
      </c>
      <c r="I900" s="13" t="str">
        <f>IF($A900="","",[1]!thsiFinD("ths_adjustment_nv_fund",I$3,$A900))</f>
        <v/>
      </c>
      <c r="J900" s="13" t="str">
        <f>IF($A900="","",[1]!thsiFinD("ths_adjustment_nv_fund",J$3,$A900))</f>
        <v/>
      </c>
      <c r="K900" s="13" t="str">
        <f>IF($A900="","",[1]!thsiFinD("ths_adjustment_nv_fund",K$3,$A900))</f>
        <v/>
      </c>
      <c r="L900" s="13" t="str">
        <f>IF($A900="","",[1]!thsiFinD("ths_adjustment_nv_fund",L$3,$A900))</f>
        <v/>
      </c>
      <c r="M900" s="13" t="str">
        <f>IF($A900="","",[1]!thsiFinD("ths_adjustment_nv_fund",M$3,$A900))</f>
        <v/>
      </c>
      <c r="N900" s="13" t="str">
        <f>IF($A900="","",[1]!thsiFinD("ths_adjustment_nv_fund",N$3,$A900))</f>
        <v/>
      </c>
      <c r="O900" s="13" t="str">
        <f>IF($A900="","",[1]!thsiFinD("ths_adjustment_nv_fund",O$3,$A900))</f>
        <v/>
      </c>
      <c r="P900" s="13" t="str">
        <f>IF($A900="","",[1]!thsiFinD("ths_adjustment_nv_fund",P$3,$A900))</f>
        <v/>
      </c>
      <c r="Q900" s="13" t="str">
        <f>IF($A900="","",[1]!thsiFinD("ths_adjustment_nv_fund",Q$3,$A900))</f>
        <v/>
      </c>
      <c r="R900" s="13" t="str">
        <f>IF($A900="","",[1]!thsiFinD("ths_adjustment_nv_fund",R$3,$A900))</f>
        <v/>
      </c>
      <c r="S900" s="13" t="str">
        <f>IF($A900="","",[1]!thsiFinD("ths_adjustment_nv_fund",S$3,$A900))</f>
        <v/>
      </c>
      <c r="T900" s="13" t="str">
        <f>IF($A900="","",[1]!thsiFinD("ths_adjustment_nv_fund",T$3,$A900))</f>
        <v/>
      </c>
      <c r="U900" s="13" t="str">
        <f>IF($A900="","",[1]!thsiFinD("ths_adjustment_nv_fund",U$3,$A900))</f>
        <v/>
      </c>
      <c r="V900" s="13" t="str">
        <f>IF($A900="","",[1]!thsiFinD("ths_adjustment_nv_fund",V$3,$A900))</f>
        <v/>
      </c>
      <c r="W900" s="13" t="str">
        <f>IF($A900="","",[1]!thsiFinD("ths_adjustment_nv_fund",W$3,$A900))</f>
        <v/>
      </c>
      <c r="X900" s="13" t="str">
        <f>IF($A900="","",[1]!thsiFinD("ths_adjustment_nv_fund",X$3,$A900))</f>
        <v/>
      </c>
      <c r="Y900" s="13" t="str">
        <f>IF($A900="","",[1]!thsiFinD("ths_adjustment_nv_fund",Y$3,$A900))</f>
        <v/>
      </c>
      <c r="Z900" s="13" t="str">
        <f>IF($A900="","",[1]!thsiFinD("ths_adjustment_nv_fund",Z$3,$A900))</f>
        <v/>
      </c>
      <c r="AA900" s="13" t="str">
        <f>IF($A900="","",[1]!thsiFinD("ths_adjustment_nv_fund",AA$3,$A900))</f>
        <v/>
      </c>
      <c r="AB900" s="13" t="str">
        <f>IF($A900="","",[1]!thsiFinD("ths_adjustment_nv_fund",AB$3,$A900))</f>
        <v/>
      </c>
    </row>
    <row r="901" spans="2:28">
      <c r="B901" s="13" t="str">
        <f>IF($A901="","",[1]!thsiFinD("ths_adjustment_nv_fund",B$3,$A901))</f>
        <v/>
      </c>
      <c r="C901" s="13" t="str">
        <f>IF($A901="","",[1]!thsiFinD("ths_adjustment_nv_fund",C$3,$A901))</f>
        <v/>
      </c>
      <c r="D901" s="13" t="str">
        <f>IF($A901="","",[1]!thsiFinD("ths_adjustment_nv_fund",D$3,$A901))</f>
        <v/>
      </c>
      <c r="E901" s="13" t="str">
        <f>IF($A901="","",[1]!thsiFinD("ths_adjustment_nv_fund",E$3,$A901))</f>
        <v/>
      </c>
      <c r="F901" s="13" t="str">
        <f>IF($A901="","",[1]!thsiFinD("ths_adjustment_nv_fund",F$3,$A901))</f>
        <v/>
      </c>
      <c r="G901" s="13" t="str">
        <f>IF($A901="","",[1]!thsiFinD("ths_adjustment_nv_fund",G$3,$A901))</f>
        <v/>
      </c>
      <c r="H901" s="13" t="str">
        <f>IF($A901="","",[1]!thsiFinD("ths_adjustment_nv_fund",H$3,$A901))</f>
        <v/>
      </c>
      <c r="I901" s="13" t="str">
        <f>IF($A901="","",[1]!thsiFinD("ths_adjustment_nv_fund",I$3,$A901))</f>
        <v/>
      </c>
      <c r="J901" s="13" t="str">
        <f>IF($A901="","",[1]!thsiFinD("ths_adjustment_nv_fund",J$3,$A901))</f>
        <v/>
      </c>
      <c r="K901" s="13" t="str">
        <f>IF($A901="","",[1]!thsiFinD("ths_adjustment_nv_fund",K$3,$A901))</f>
        <v/>
      </c>
      <c r="L901" s="13" t="str">
        <f>IF($A901="","",[1]!thsiFinD("ths_adjustment_nv_fund",L$3,$A901))</f>
        <v/>
      </c>
      <c r="M901" s="13" t="str">
        <f>IF($A901="","",[1]!thsiFinD("ths_adjustment_nv_fund",M$3,$A901))</f>
        <v/>
      </c>
      <c r="N901" s="13" t="str">
        <f>IF($A901="","",[1]!thsiFinD("ths_adjustment_nv_fund",N$3,$A901))</f>
        <v/>
      </c>
      <c r="O901" s="13" t="str">
        <f>IF($A901="","",[1]!thsiFinD("ths_adjustment_nv_fund",O$3,$A901))</f>
        <v/>
      </c>
      <c r="P901" s="13" t="str">
        <f>IF($A901="","",[1]!thsiFinD("ths_adjustment_nv_fund",P$3,$A901))</f>
        <v/>
      </c>
      <c r="Q901" s="13" t="str">
        <f>IF($A901="","",[1]!thsiFinD("ths_adjustment_nv_fund",Q$3,$A901))</f>
        <v/>
      </c>
      <c r="R901" s="13" t="str">
        <f>IF($A901="","",[1]!thsiFinD("ths_adjustment_nv_fund",R$3,$A901))</f>
        <v/>
      </c>
      <c r="S901" s="13" t="str">
        <f>IF($A901="","",[1]!thsiFinD("ths_adjustment_nv_fund",S$3,$A901))</f>
        <v/>
      </c>
      <c r="T901" s="13" t="str">
        <f>IF($A901="","",[1]!thsiFinD("ths_adjustment_nv_fund",T$3,$A901))</f>
        <v/>
      </c>
      <c r="U901" s="13" t="str">
        <f>IF($A901="","",[1]!thsiFinD("ths_adjustment_nv_fund",U$3,$A901))</f>
        <v/>
      </c>
      <c r="V901" s="13" t="str">
        <f>IF($A901="","",[1]!thsiFinD("ths_adjustment_nv_fund",V$3,$A901))</f>
        <v/>
      </c>
      <c r="W901" s="13" t="str">
        <f>IF($A901="","",[1]!thsiFinD("ths_adjustment_nv_fund",W$3,$A901))</f>
        <v/>
      </c>
      <c r="X901" s="13" t="str">
        <f>IF($A901="","",[1]!thsiFinD("ths_adjustment_nv_fund",X$3,$A901))</f>
        <v/>
      </c>
      <c r="Y901" s="13" t="str">
        <f>IF($A901="","",[1]!thsiFinD("ths_adjustment_nv_fund",Y$3,$A901))</f>
        <v/>
      </c>
      <c r="Z901" s="13" t="str">
        <f>IF($A901="","",[1]!thsiFinD("ths_adjustment_nv_fund",Z$3,$A901))</f>
        <v/>
      </c>
      <c r="AA901" s="13" t="str">
        <f>IF($A901="","",[1]!thsiFinD("ths_adjustment_nv_fund",AA$3,$A901))</f>
        <v/>
      </c>
      <c r="AB901" s="13" t="str">
        <f>IF($A901="","",[1]!thsiFinD("ths_adjustment_nv_fund",AB$3,$A901))</f>
        <v/>
      </c>
    </row>
    <row r="902" spans="2:28">
      <c r="B902" s="13" t="str">
        <f>IF($A902="","",[1]!thsiFinD("ths_adjustment_nv_fund",B$3,$A902))</f>
        <v/>
      </c>
      <c r="C902" s="13" t="str">
        <f>IF($A902="","",[1]!thsiFinD("ths_adjustment_nv_fund",C$3,$A902))</f>
        <v/>
      </c>
      <c r="D902" s="13" t="str">
        <f>IF($A902="","",[1]!thsiFinD("ths_adjustment_nv_fund",D$3,$A902))</f>
        <v/>
      </c>
      <c r="E902" s="13" t="str">
        <f>IF($A902="","",[1]!thsiFinD("ths_adjustment_nv_fund",E$3,$A902))</f>
        <v/>
      </c>
      <c r="F902" s="13" t="str">
        <f>IF($A902="","",[1]!thsiFinD("ths_adjustment_nv_fund",F$3,$A902))</f>
        <v/>
      </c>
      <c r="G902" s="13" t="str">
        <f>IF($A902="","",[1]!thsiFinD("ths_adjustment_nv_fund",G$3,$A902))</f>
        <v/>
      </c>
      <c r="H902" s="13" t="str">
        <f>IF($A902="","",[1]!thsiFinD("ths_adjustment_nv_fund",H$3,$A902))</f>
        <v/>
      </c>
      <c r="I902" s="13" t="str">
        <f>IF($A902="","",[1]!thsiFinD("ths_adjustment_nv_fund",I$3,$A902))</f>
        <v/>
      </c>
      <c r="J902" s="13" t="str">
        <f>IF($A902="","",[1]!thsiFinD("ths_adjustment_nv_fund",J$3,$A902))</f>
        <v/>
      </c>
      <c r="K902" s="13" t="str">
        <f>IF($A902="","",[1]!thsiFinD("ths_adjustment_nv_fund",K$3,$A902))</f>
        <v/>
      </c>
      <c r="L902" s="13" t="str">
        <f>IF($A902="","",[1]!thsiFinD("ths_adjustment_nv_fund",L$3,$A902))</f>
        <v/>
      </c>
      <c r="M902" s="13" t="str">
        <f>IF($A902="","",[1]!thsiFinD("ths_adjustment_nv_fund",M$3,$A902))</f>
        <v/>
      </c>
      <c r="N902" s="13" t="str">
        <f>IF($A902="","",[1]!thsiFinD("ths_adjustment_nv_fund",N$3,$A902))</f>
        <v/>
      </c>
      <c r="O902" s="13" t="str">
        <f>IF($A902="","",[1]!thsiFinD("ths_adjustment_nv_fund",O$3,$A902))</f>
        <v/>
      </c>
      <c r="P902" s="13" t="str">
        <f>IF($A902="","",[1]!thsiFinD("ths_adjustment_nv_fund",P$3,$A902))</f>
        <v/>
      </c>
      <c r="Q902" s="13" t="str">
        <f>IF($A902="","",[1]!thsiFinD("ths_adjustment_nv_fund",Q$3,$A902))</f>
        <v/>
      </c>
      <c r="R902" s="13" t="str">
        <f>IF($A902="","",[1]!thsiFinD("ths_adjustment_nv_fund",R$3,$A902))</f>
        <v/>
      </c>
      <c r="S902" s="13" t="str">
        <f>IF($A902="","",[1]!thsiFinD("ths_adjustment_nv_fund",S$3,$A902))</f>
        <v/>
      </c>
      <c r="T902" s="13" t="str">
        <f>IF($A902="","",[1]!thsiFinD("ths_adjustment_nv_fund",T$3,$A902))</f>
        <v/>
      </c>
      <c r="U902" s="13" t="str">
        <f>IF($A902="","",[1]!thsiFinD("ths_adjustment_nv_fund",U$3,$A902))</f>
        <v/>
      </c>
      <c r="V902" s="13" t="str">
        <f>IF($A902="","",[1]!thsiFinD("ths_adjustment_nv_fund",V$3,$A902))</f>
        <v/>
      </c>
      <c r="W902" s="13" t="str">
        <f>IF($A902="","",[1]!thsiFinD("ths_adjustment_nv_fund",W$3,$A902))</f>
        <v/>
      </c>
      <c r="X902" s="13" t="str">
        <f>IF($A902="","",[1]!thsiFinD("ths_adjustment_nv_fund",X$3,$A902))</f>
        <v/>
      </c>
      <c r="Y902" s="13" t="str">
        <f>IF($A902="","",[1]!thsiFinD("ths_adjustment_nv_fund",Y$3,$A902))</f>
        <v/>
      </c>
      <c r="Z902" s="13" t="str">
        <f>IF($A902="","",[1]!thsiFinD("ths_adjustment_nv_fund",Z$3,$A902))</f>
        <v/>
      </c>
      <c r="AA902" s="13" t="str">
        <f>IF($A902="","",[1]!thsiFinD("ths_adjustment_nv_fund",AA$3,$A902))</f>
        <v/>
      </c>
      <c r="AB902" s="13" t="str">
        <f>IF($A902="","",[1]!thsiFinD("ths_adjustment_nv_fund",AB$3,$A902))</f>
        <v/>
      </c>
    </row>
    <row r="903" spans="2:28">
      <c r="B903" s="13" t="str">
        <f>IF($A903="","",[1]!thsiFinD("ths_adjustment_nv_fund",B$3,$A903))</f>
        <v/>
      </c>
      <c r="C903" s="13" t="str">
        <f>IF($A903="","",[1]!thsiFinD("ths_adjustment_nv_fund",C$3,$A903))</f>
        <v/>
      </c>
      <c r="D903" s="13" t="str">
        <f>IF($A903="","",[1]!thsiFinD("ths_adjustment_nv_fund",D$3,$A903))</f>
        <v/>
      </c>
      <c r="E903" s="13" t="str">
        <f>IF($A903="","",[1]!thsiFinD("ths_adjustment_nv_fund",E$3,$A903))</f>
        <v/>
      </c>
      <c r="F903" s="13" t="str">
        <f>IF($A903="","",[1]!thsiFinD("ths_adjustment_nv_fund",F$3,$A903))</f>
        <v/>
      </c>
      <c r="G903" s="13" t="str">
        <f>IF($A903="","",[1]!thsiFinD("ths_adjustment_nv_fund",G$3,$A903))</f>
        <v/>
      </c>
      <c r="H903" s="13" t="str">
        <f>IF($A903="","",[1]!thsiFinD("ths_adjustment_nv_fund",H$3,$A903))</f>
        <v/>
      </c>
      <c r="I903" s="13" t="str">
        <f>IF($A903="","",[1]!thsiFinD("ths_adjustment_nv_fund",I$3,$A903))</f>
        <v/>
      </c>
      <c r="J903" s="13" t="str">
        <f>IF($A903="","",[1]!thsiFinD("ths_adjustment_nv_fund",J$3,$A903))</f>
        <v/>
      </c>
      <c r="K903" s="13" t="str">
        <f>IF($A903="","",[1]!thsiFinD("ths_adjustment_nv_fund",K$3,$A903))</f>
        <v/>
      </c>
      <c r="L903" s="13" t="str">
        <f>IF($A903="","",[1]!thsiFinD("ths_adjustment_nv_fund",L$3,$A903))</f>
        <v/>
      </c>
      <c r="M903" s="13" t="str">
        <f>IF($A903="","",[1]!thsiFinD("ths_adjustment_nv_fund",M$3,$A903))</f>
        <v/>
      </c>
      <c r="N903" s="13" t="str">
        <f>IF($A903="","",[1]!thsiFinD("ths_adjustment_nv_fund",N$3,$A903))</f>
        <v/>
      </c>
      <c r="O903" s="13" t="str">
        <f>IF($A903="","",[1]!thsiFinD("ths_adjustment_nv_fund",O$3,$A903))</f>
        <v/>
      </c>
      <c r="P903" s="13" t="str">
        <f>IF($A903="","",[1]!thsiFinD("ths_adjustment_nv_fund",P$3,$A903))</f>
        <v/>
      </c>
      <c r="Q903" s="13" t="str">
        <f>IF($A903="","",[1]!thsiFinD("ths_adjustment_nv_fund",Q$3,$A903))</f>
        <v/>
      </c>
      <c r="R903" s="13" t="str">
        <f>IF($A903="","",[1]!thsiFinD("ths_adjustment_nv_fund",R$3,$A903))</f>
        <v/>
      </c>
      <c r="S903" s="13" t="str">
        <f>IF($A903="","",[1]!thsiFinD("ths_adjustment_nv_fund",S$3,$A903))</f>
        <v/>
      </c>
      <c r="T903" s="13" t="str">
        <f>IF($A903="","",[1]!thsiFinD("ths_adjustment_nv_fund",T$3,$A903))</f>
        <v/>
      </c>
      <c r="U903" s="13" t="str">
        <f>IF($A903="","",[1]!thsiFinD("ths_adjustment_nv_fund",U$3,$A903))</f>
        <v/>
      </c>
      <c r="V903" s="13" t="str">
        <f>IF($A903="","",[1]!thsiFinD("ths_adjustment_nv_fund",V$3,$A903))</f>
        <v/>
      </c>
      <c r="W903" s="13" t="str">
        <f>IF($A903="","",[1]!thsiFinD("ths_adjustment_nv_fund",W$3,$A903))</f>
        <v/>
      </c>
      <c r="X903" s="13" t="str">
        <f>IF($A903="","",[1]!thsiFinD("ths_adjustment_nv_fund",X$3,$A903))</f>
        <v/>
      </c>
      <c r="Y903" s="13" t="str">
        <f>IF($A903="","",[1]!thsiFinD("ths_adjustment_nv_fund",Y$3,$A903))</f>
        <v/>
      </c>
      <c r="Z903" s="13" t="str">
        <f>IF($A903="","",[1]!thsiFinD("ths_adjustment_nv_fund",Z$3,$A903))</f>
        <v/>
      </c>
      <c r="AA903" s="13" t="str">
        <f>IF($A903="","",[1]!thsiFinD("ths_adjustment_nv_fund",AA$3,$A903))</f>
        <v/>
      </c>
      <c r="AB903" s="13" t="str">
        <f>IF($A903="","",[1]!thsiFinD("ths_adjustment_nv_fund",AB$3,$A903))</f>
        <v/>
      </c>
    </row>
    <row r="904" spans="2:28">
      <c r="B904" s="13" t="str">
        <f>IF($A904="","",[1]!thsiFinD("ths_adjustment_nv_fund",B$3,$A904))</f>
        <v/>
      </c>
      <c r="C904" s="13" t="str">
        <f>IF($A904="","",[1]!thsiFinD("ths_adjustment_nv_fund",C$3,$A904))</f>
        <v/>
      </c>
      <c r="D904" s="13" t="str">
        <f>IF($A904="","",[1]!thsiFinD("ths_adjustment_nv_fund",D$3,$A904))</f>
        <v/>
      </c>
      <c r="E904" s="13" t="str">
        <f>IF($A904="","",[1]!thsiFinD("ths_adjustment_nv_fund",E$3,$A904))</f>
        <v/>
      </c>
      <c r="F904" s="13" t="str">
        <f>IF($A904="","",[1]!thsiFinD("ths_adjustment_nv_fund",F$3,$A904))</f>
        <v/>
      </c>
      <c r="G904" s="13" t="str">
        <f>IF($A904="","",[1]!thsiFinD("ths_adjustment_nv_fund",G$3,$A904))</f>
        <v/>
      </c>
      <c r="H904" s="13" t="str">
        <f>IF($A904="","",[1]!thsiFinD("ths_adjustment_nv_fund",H$3,$A904))</f>
        <v/>
      </c>
      <c r="I904" s="13" t="str">
        <f>IF($A904="","",[1]!thsiFinD("ths_adjustment_nv_fund",I$3,$A904))</f>
        <v/>
      </c>
      <c r="J904" s="13" t="str">
        <f>IF($A904="","",[1]!thsiFinD("ths_adjustment_nv_fund",J$3,$A904))</f>
        <v/>
      </c>
      <c r="K904" s="13" t="str">
        <f>IF($A904="","",[1]!thsiFinD("ths_adjustment_nv_fund",K$3,$A904))</f>
        <v/>
      </c>
      <c r="L904" s="13" t="str">
        <f>IF($A904="","",[1]!thsiFinD("ths_adjustment_nv_fund",L$3,$A904))</f>
        <v/>
      </c>
      <c r="M904" s="13" t="str">
        <f>IF($A904="","",[1]!thsiFinD("ths_adjustment_nv_fund",M$3,$A904))</f>
        <v/>
      </c>
      <c r="N904" s="13" t="str">
        <f>IF($A904="","",[1]!thsiFinD("ths_adjustment_nv_fund",N$3,$A904))</f>
        <v/>
      </c>
      <c r="O904" s="13" t="str">
        <f>IF($A904="","",[1]!thsiFinD("ths_adjustment_nv_fund",O$3,$A904))</f>
        <v/>
      </c>
      <c r="P904" s="13" t="str">
        <f>IF($A904="","",[1]!thsiFinD("ths_adjustment_nv_fund",P$3,$A904))</f>
        <v/>
      </c>
      <c r="Q904" s="13" t="str">
        <f>IF($A904="","",[1]!thsiFinD("ths_adjustment_nv_fund",Q$3,$A904))</f>
        <v/>
      </c>
      <c r="R904" s="13" t="str">
        <f>IF($A904="","",[1]!thsiFinD("ths_adjustment_nv_fund",R$3,$A904))</f>
        <v/>
      </c>
      <c r="S904" s="13" t="str">
        <f>IF($A904="","",[1]!thsiFinD("ths_adjustment_nv_fund",S$3,$A904))</f>
        <v/>
      </c>
      <c r="T904" s="13" t="str">
        <f>IF($A904="","",[1]!thsiFinD("ths_adjustment_nv_fund",T$3,$A904))</f>
        <v/>
      </c>
      <c r="U904" s="13" t="str">
        <f>IF($A904="","",[1]!thsiFinD("ths_adjustment_nv_fund",U$3,$A904))</f>
        <v/>
      </c>
      <c r="V904" s="13" t="str">
        <f>IF($A904="","",[1]!thsiFinD("ths_adjustment_nv_fund",V$3,$A904))</f>
        <v/>
      </c>
      <c r="W904" s="13" t="str">
        <f>IF($A904="","",[1]!thsiFinD("ths_adjustment_nv_fund",W$3,$A904))</f>
        <v/>
      </c>
      <c r="X904" s="13" t="str">
        <f>IF($A904="","",[1]!thsiFinD("ths_adjustment_nv_fund",X$3,$A904))</f>
        <v/>
      </c>
      <c r="Y904" s="13" t="str">
        <f>IF($A904="","",[1]!thsiFinD("ths_adjustment_nv_fund",Y$3,$A904))</f>
        <v/>
      </c>
      <c r="Z904" s="13" t="str">
        <f>IF($A904="","",[1]!thsiFinD("ths_adjustment_nv_fund",Z$3,$A904))</f>
        <v/>
      </c>
      <c r="AA904" s="13" t="str">
        <f>IF($A904="","",[1]!thsiFinD("ths_adjustment_nv_fund",AA$3,$A904))</f>
        <v/>
      </c>
      <c r="AB904" s="13" t="str">
        <f>IF($A904="","",[1]!thsiFinD("ths_adjustment_nv_fund",AB$3,$A904))</f>
        <v/>
      </c>
    </row>
    <row r="905" spans="2:28">
      <c r="B905" s="13" t="str">
        <f>IF($A905="","",[1]!thsiFinD("ths_adjustment_nv_fund",B$3,$A905))</f>
        <v/>
      </c>
      <c r="C905" s="13" t="str">
        <f>IF($A905="","",[1]!thsiFinD("ths_adjustment_nv_fund",C$3,$A905))</f>
        <v/>
      </c>
      <c r="D905" s="13" t="str">
        <f>IF($A905="","",[1]!thsiFinD("ths_adjustment_nv_fund",D$3,$A905))</f>
        <v/>
      </c>
      <c r="E905" s="13" t="str">
        <f>IF($A905="","",[1]!thsiFinD("ths_adjustment_nv_fund",E$3,$A905))</f>
        <v/>
      </c>
      <c r="F905" s="13" t="str">
        <f>IF($A905="","",[1]!thsiFinD("ths_adjustment_nv_fund",F$3,$A905))</f>
        <v/>
      </c>
      <c r="G905" s="13" t="str">
        <f>IF($A905="","",[1]!thsiFinD("ths_adjustment_nv_fund",G$3,$A905))</f>
        <v/>
      </c>
      <c r="H905" s="13" t="str">
        <f>IF($A905="","",[1]!thsiFinD("ths_adjustment_nv_fund",H$3,$A905))</f>
        <v/>
      </c>
      <c r="I905" s="13" t="str">
        <f>IF($A905="","",[1]!thsiFinD("ths_adjustment_nv_fund",I$3,$A905))</f>
        <v/>
      </c>
      <c r="J905" s="13" t="str">
        <f>IF($A905="","",[1]!thsiFinD("ths_adjustment_nv_fund",J$3,$A905))</f>
        <v/>
      </c>
      <c r="K905" s="13" t="str">
        <f>IF($A905="","",[1]!thsiFinD("ths_adjustment_nv_fund",K$3,$A905))</f>
        <v/>
      </c>
      <c r="L905" s="13" t="str">
        <f>IF($A905="","",[1]!thsiFinD("ths_adjustment_nv_fund",L$3,$A905))</f>
        <v/>
      </c>
      <c r="M905" s="13" t="str">
        <f>IF($A905="","",[1]!thsiFinD("ths_adjustment_nv_fund",M$3,$A905))</f>
        <v/>
      </c>
      <c r="N905" s="13" t="str">
        <f>IF($A905="","",[1]!thsiFinD("ths_adjustment_nv_fund",N$3,$A905))</f>
        <v/>
      </c>
      <c r="O905" s="13" t="str">
        <f>IF($A905="","",[1]!thsiFinD("ths_adjustment_nv_fund",O$3,$A905))</f>
        <v/>
      </c>
      <c r="P905" s="13" t="str">
        <f>IF($A905="","",[1]!thsiFinD("ths_adjustment_nv_fund",P$3,$A905))</f>
        <v/>
      </c>
      <c r="Q905" s="13" t="str">
        <f>IF($A905="","",[1]!thsiFinD("ths_adjustment_nv_fund",Q$3,$A905))</f>
        <v/>
      </c>
      <c r="R905" s="13" t="str">
        <f>IF($A905="","",[1]!thsiFinD("ths_adjustment_nv_fund",R$3,$A905))</f>
        <v/>
      </c>
      <c r="S905" s="13" t="str">
        <f>IF($A905="","",[1]!thsiFinD("ths_adjustment_nv_fund",S$3,$A905))</f>
        <v/>
      </c>
      <c r="T905" s="13" t="str">
        <f>IF($A905="","",[1]!thsiFinD("ths_adjustment_nv_fund",T$3,$A905))</f>
        <v/>
      </c>
      <c r="U905" s="13" t="str">
        <f>IF($A905="","",[1]!thsiFinD("ths_adjustment_nv_fund",U$3,$A905))</f>
        <v/>
      </c>
      <c r="V905" s="13" t="str">
        <f>IF($A905="","",[1]!thsiFinD("ths_adjustment_nv_fund",V$3,$A905))</f>
        <v/>
      </c>
      <c r="W905" s="13" t="str">
        <f>IF($A905="","",[1]!thsiFinD("ths_adjustment_nv_fund",W$3,$A905))</f>
        <v/>
      </c>
      <c r="X905" s="13" t="str">
        <f>IF($A905="","",[1]!thsiFinD("ths_adjustment_nv_fund",X$3,$A905))</f>
        <v/>
      </c>
      <c r="Y905" s="13" t="str">
        <f>IF($A905="","",[1]!thsiFinD("ths_adjustment_nv_fund",Y$3,$A905))</f>
        <v/>
      </c>
      <c r="Z905" s="13" t="str">
        <f>IF($A905="","",[1]!thsiFinD("ths_adjustment_nv_fund",Z$3,$A905))</f>
        <v/>
      </c>
      <c r="AA905" s="13" t="str">
        <f>IF($A905="","",[1]!thsiFinD("ths_adjustment_nv_fund",AA$3,$A905))</f>
        <v/>
      </c>
      <c r="AB905" s="13" t="str">
        <f>IF($A905="","",[1]!thsiFinD("ths_adjustment_nv_fund",AB$3,$A905))</f>
        <v/>
      </c>
    </row>
    <row r="906" spans="2:28">
      <c r="B906" s="13" t="str">
        <f>IF($A906="","",[1]!thsiFinD("ths_adjustment_nv_fund",B$3,$A906))</f>
        <v/>
      </c>
      <c r="C906" s="13" t="str">
        <f>IF($A906="","",[1]!thsiFinD("ths_adjustment_nv_fund",C$3,$A906))</f>
        <v/>
      </c>
      <c r="D906" s="13" t="str">
        <f>IF($A906="","",[1]!thsiFinD("ths_adjustment_nv_fund",D$3,$A906))</f>
        <v/>
      </c>
      <c r="E906" s="13" t="str">
        <f>IF($A906="","",[1]!thsiFinD("ths_adjustment_nv_fund",E$3,$A906))</f>
        <v/>
      </c>
      <c r="F906" s="13" t="str">
        <f>IF($A906="","",[1]!thsiFinD("ths_adjustment_nv_fund",F$3,$A906))</f>
        <v/>
      </c>
      <c r="G906" s="13" t="str">
        <f>IF($A906="","",[1]!thsiFinD("ths_adjustment_nv_fund",G$3,$A906))</f>
        <v/>
      </c>
      <c r="H906" s="13" t="str">
        <f>IF($A906="","",[1]!thsiFinD("ths_adjustment_nv_fund",H$3,$A906))</f>
        <v/>
      </c>
      <c r="I906" s="13" t="str">
        <f>IF($A906="","",[1]!thsiFinD("ths_adjustment_nv_fund",I$3,$A906))</f>
        <v/>
      </c>
      <c r="J906" s="13" t="str">
        <f>IF($A906="","",[1]!thsiFinD("ths_adjustment_nv_fund",J$3,$A906))</f>
        <v/>
      </c>
      <c r="K906" s="13" t="str">
        <f>IF($A906="","",[1]!thsiFinD("ths_adjustment_nv_fund",K$3,$A906))</f>
        <v/>
      </c>
      <c r="L906" s="13" t="str">
        <f>IF($A906="","",[1]!thsiFinD("ths_adjustment_nv_fund",L$3,$A906))</f>
        <v/>
      </c>
      <c r="M906" s="13" t="str">
        <f>IF($A906="","",[1]!thsiFinD("ths_adjustment_nv_fund",M$3,$A906))</f>
        <v/>
      </c>
      <c r="N906" s="13" t="str">
        <f>IF($A906="","",[1]!thsiFinD("ths_adjustment_nv_fund",N$3,$A906))</f>
        <v/>
      </c>
      <c r="O906" s="13" t="str">
        <f>IF($A906="","",[1]!thsiFinD("ths_adjustment_nv_fund",O$3,$A906))</f>
        <v/>
      </c>
      <c r="P906" s="13" t="str">
        <f>IF($A906="","",[1]!thsiFinD("ths_adjustment_nv_fund",P$3,$A906))</f>
        <v/>
      </c>
      <c r="Q906" s="13" t="str">
        <f>IF($A906="","",[1]!thsiFinD("ths_adjustment_nv_fund",Q$3,$A906))</f>
        <v/>
      </c>
      <c r="R906" s="13" t="str">
        <f>IF($A906="","",[1]!thsiFinD("ths_adjustment_nv_fund",R$3,$A906))</f>
        <v/>
      </c>
      <c r="S906" s="13" t="str">
        <f>IF($A906="","",[1]!thsiFinD("ths_adjustment_nv_fund",S$3,$A906))</f>
        <v/>
      </c>
      <c r="T906" s="13" t="str">
        <f>IF($A906="","",[1]!thsiFinD("ths_adjustment_nv_fund",T$3,$A906))</f>
        <v/>
      </c>
      <c r="U906" s="13" t="str">
        <f>IF($A906="","",[1]!thsiFinD("ths_adjustment_nv_fund",U$3,$A906))</f>
        <v/>
      </c>
      <c r="V906" s="13" t="str">
        <f>IF($A906="","",[1]!thsiFinD("ths_adjustment_nv_fund",V$3,$A906))</f>
        <v/>
      </c>
      <c r="W906" s="13" t="str">
        <f>IF($A906="","",[1]!thsiFinD("ths_adjustment_nv_fund",W$3,$A906))</f>
        <v/>
      </c>
      <c r="X906" s="13" t="str">
        <f>IF($A906="","",[1]!thsiFinD("ths_adjustment_nv_fund",X$3,$A906))</f>
        <v/>
      </c>
      <c r="Y906" s="13" t="str">
        <f>IF($A906="","",[1]!thsiFinD("ths_adjustment_nv_fund",Y$3,$A906))</f>
        <v/>
      </c>
      <c r="Z906" s="13" t="str">
        <f>IF($A906="","",[1]!thsiFinD("ths_adjustment_nv_fund",Z$3,$A906))</f>
        <v/>
      </c>
      <c r="AA906" s="13" t="str">
        <f>IF($A906="","",[1]!thsiFinD("ths_adjustment_nv_fund",AA$3,$A906))</f>
        <v/>
      </c>
      <c r="AB906" s="13" t="str">
        <f>IF($A906="","",[1]!thsiFinD("ths_adjustment_nv_fund",AB$3,$A906))</f>
        <v/>
      </c>
    </row>
    <row r="907" spans="2:28">
      <c r="B907" s="13" t="str">
        <f>IF($A907="","",[1]!thsiFinD("ths_adjustment_nv_fund",B$3,$A907))</f>
        <v/>
      </c>
      <c r="C907" s="13" t="str">
        <f>IF($A907="","",[1]!thsiFinD("ths_adjustment_nv_fund",C$3,$A907))</f>
        <v/>
      </c>
      <c r="D907" s="13" t="str">
        <f>IF($A907="","",[1]!thsiFinD("ths_adjustment_nv_fund",D$3,$A907))</f>
        <v/>
      </c>
      <c r="E907" s="13" t="str">
        <f>IF($A907="","",[1]!thsiFinD("ths_adjustment_nv_fund",E$3,$A907))</f>
        <v/>
      </c>
      <c r="F907" s="13" t="str">
        <f>IF($A907="","",[1]!thsiFinD("ths_adjustment_nv_fund",F$3,$A907))</f>
        <v/>
      </c>
      <c r="G907" s="13" t="str">
        <f>IF($A907="","",[1]!thsiFinD("ths_adjustment_nv_fund",G$3,$A907))</f>
        <v/>
      </c>
      <c r="H907" s="13" t="str">
        <f>IF($A907="","",[1]!thsiFinD("ths_adjustment_nv_fund",H$3,$A907))</f>
        <v/>
      </c>
      <c r="I907" s="13" t="str">
        <f>IF($A907="","",[1]!thsiFinD("ths_adjustment_nv_fund",I$3,$A907))</f>
        <v/>
      </c>
      <c r="J907" s="13" t="str">
        <f>IF($A907="","",[1]!thsiFinD("ths_adjustment_nv_fund",J$3,$A907))</f>
        <v/>
      </c>
      <c r="K907" s="13" t="str">
        <f>IF($A907="","",[1]!thsiFinD("ths_adjustment_nv_fund",K$3,$A907))</f>
        <v/>
      </c>
      <c r="L907" s="13" t="str">
        <f>IF($A907="","",[1]!thsiFinD("ths_adjustment_nv_fund",L$3,$A907))</f>
        <v/>
      </c>
      <c r="M907" s="13" t="str">
        <f>IF($A907="","",[1]!thsiFinD("ths_adjustment_nv_fund",M$3,$A907))</f>
        <v/>
      </c>
      <c r="N907" s="13" t="str">
        <f>IF($A907="","",[1]!thsiFinD("ths_adjustment_nv_fund",N$3,$A907))</f>
        <v/>
      </c>
      <c r="O907" s="13" t="str">
        <f>IF($A907="","",[1]!thsiFinD("ths_adjustment_nv_fund",O$3,$A907))</f>
        <v/>
      </c>
      <c r="P907" s="13" t="str">
        <f>IF($A907="","",[1]!thsiFinD("ths_adjustment_nv_fund",P$3,$A907))</f>
        <v/>
      </c>
      <c r="Q907" s="13" t="str">
        <f>IF($A907="","",[1]!thsiFinD("ths_adjustment_nv_fund",Q$3,$A907))</f>
        <v/>
      </c>
      <c r="R907" s="13" t="str">
        <f>IF($A907="","",[1]!thsiFinD("ths_adjustment_nv_fund",R$3,$A907))</f>
        <v/>
      </c>
      <c r="S907" s="13" t="str">
        <f>IF($A907="","",[1]!thsiFinD("ths_adjustment_nv_fund",S$3,$A907))</f>
        <v/>
      </c>
      <c r="T907" s="13" t="str">
        <f>IF($A907="","",[1]!thsiFinD("ths_adjustment_nv_fund",T$3,$A907))</f>
        <v/>
      </c>
      <c r="U907" s="13" t="str">
        <f>IF($A907="","",[1]!thsiFinD("ths_adjustment_nv_fund",U$3,$A907))</f>
        <v/>
      </c>
      <c r="V907" s="13" t="str">
        <f>IF($A907="","",[1]!thsiFinD("ths_adjustment_nv_fund",V$3,$A907))</f>
        <v/>
      </c>
      <c r="W907" s="13" t="str">
        <f>IF($A907="","",[1]!thsiFinD("ths_adjustment_nv_fund",W$3,$A907))</f>
        <v/>
      </c>
      <c r="X907" s="13" t="str">
        <f>IF($A907="","",[1]!thsiFinD("ths_adjustment_nv_fund",X$3,$A907))</f>
        <v/>
      </c>
      <c r="Y907" s="13" t="str">
        <f>IF($A907="","",[1]!thsiFinD("ths_adjustment_nv_fund",Y$3,$A907))</f>
        <v/>
      </c>
      <c r="Z907" s="13" t="str">
        <f>IF($A907="","",[1]!thsiFinD("ths_adjustment_nv_fund",Z$3,$A907))</f>
        <v/>
      </c>
      <c r="AA907" s="13" t="str">
        <f>IF($A907="","",[1]!thsiFinD("ths_adjustment_nv_fund",AA$3,$A907))</f>
        <v/>
      </c>
      <c r="AB907" s="13" t="str">
        <f>IF($A907="","",[1]!thsiFinD("ths_adjustment_nv_fund",AB$3,$A907))</f>
        <v/>
      </c>
    </row>
    <row r="908" spans="2:28">
      <c r="B908" s="13" t="str">
        <f>IF($A908="","",[1]!thsiFinD("ths_adjustment_nv_fund",B$3,$A908))</f>
        <v/>
      </c>
      <c r="C908" s="13" t="str">
        <f>IF($A908="","",[1]!thsiFinD("ths_adjustment_nv_fund",C$3,$A908))</f>
        <v/>
      </c>
      <c r="D908" s="13" t="str">
        <f>IF($A908="","",[1]!thsiFinD("ths_adjustment_nv_fund",D$3,$A908))</f>
        <v/>
      </c>
      <c r="E908" s="13" t="str">
        <f>IF($A908="","",[1]!thsiFinD("ths_adjustment_nv_fund",E$3,$A908))</f>
        <v/>
      </c>
      <c r="F908" s="13" t="str">
        <f>IF($A908="","",[1]!thsiFinD("ths_adjustment_nv_fund",F$3,$A908))</f>
        <v/>
      </c>
      <c r="G908" s="13" t="str">
        <f>IF($A908="","",[1]!thsiFinD("ths_adjustment_nv_fund",G$3,$A908))</f>
        <v/>
      </c>
      <c r="H908" s="13" t="str">
        <f>IF($A908="","",[1]!thsiFinD("ths_adjustment_nv_fund",H$3,$A908))</f>
        <v/>
      </c>
      <c r="I908" s="13" t="str">
        <f>IF($A908="","",[1]!thsiFinD("ths_adjustment_nv_fund",I$3,$A908))</f>
        <v/>
      </c>
      <c r="J908" s="13" t="str">
        <f>IF($A908="","",[1]!thsiFinD("ths_adjustment_nv_fund",J$3,$A908))</f>
        <v/>
      </c>
      <c r="K908" s="13" t="str">
        <f>IF($A908="","",[1]!thsiFinD("ths_adjustment_nv_fund",K$3,$A908))</f>
        <v/>
      </c>
      <c r="L908" s="13" t="str">
        <f>IF($A908="","",[1]!thsiFinD("ths_adjustment_nv_fund",L$3,$A908))</f>
        <v/>
      </c>
      <c r="M908" s="13" t="str">
        <f>IF($A908="","",[1]!thsiFinD("ths_adjustment_nv_fund",M$3,$A908))</f>
        <v/>
      </c>
      <c r="N908" s="13" t="str">
        <f>IF($A908="","",[1]!thsiFinD("ths_adjustment_nv_fund",N$3,$A908))</f>
        <v/>
      </c>
      <c r="O908" s="13" t="str">
        <f>IF($A908="","",[1]!thsiFinD("ths_adjustment_nv_fund",O$3,$A908))</f>
        <v/>
      </c>
      <c r="P908" s="13" t="str">
        <f>IF($A908="","",[1]!thsiFinD("ths_adjustment_nv_fund",P$3,$A908))</f>
        <v/>
      </c>
      <c r="Q908" s="13" t="str">
        <f>IF($A908="","",[1]!thsiFinD("ths_adjustment_nv_fund",Q$3,$A908))</f>
        <v/>
      </c>
      <c r="R908" s="13" t="str">
        <f>IF($A908="","",[1]!thsiFinD("ths_adjustment_nv_fund",R$3,$A908))</f>
        <v/>
      </c>
      <c r="S908" s="13" t="str">
        <f>IF($A908="","",[1]!thsiFinD("ths_adjustment_nv_fund",S$3,$A908))</f>
        <v/>
      </c>
      <c r="T908" s="13" t="str">
        <f>IF($A908="","",[1]!thsiFinD("ths_adjustment_nv_fund",T$3,$A908))</f>
        <v/>
      </c>
      <c r="U908" s="13" t="str">
        <f>IF($A908="","",[1]!thsiFinD("ths_adjustment_nv_fund",U$3,$A908))</f>
        <v/>
      </c>
      <c r="V908" s="13" t="str">
        <f>IF($A908="","",[1]!thsiFinD("ths_adjustment_nv_fund",V$3,$A908))</f>
        <v/>
      </c>
      <c r="W908" s="13" t="str">
        <f>IF($A908="","",[1]!thsiFinD("ths_adjustment_nv_fund",W$3,$A908))</f>
        <v/>
      </c>
      <c r="X908" s="13" t="str">
        <f>IF($A908="","",[1]!thsiFinD("ths_adjustment_nv_fund",X$3,$A908))</f>
        <v/>
      </c>
      <c r="Y908" s="13" t="str">
        <f>IF($A908="","",[1]!thsiFinD("ths_adjustment_nv_fund",Y$3,$A908))</f>
        <v/>
      </c>
      <c r="Z908" s="13" t="str">
        <f>IF($A908="","",[1]!thsiFinD("ths_adjustment_nv_fund",Z$3,$A908))</f>
        <v/>
      </c>
      <c r="AA908" s="13" t="str">
        <f>IF($A908="","",[1]!thsiFinD("ths_adjustment_nv_fund",AA$3,$A908))</f>
        <v/>
      </c>
      <c r="AB908" s="13" t="str">
        <f>IF($A908="","",[1]!thsiFinD("ths_adjustment_nv_fund",AB$3,$A908))</f>
        <v/>
      </c>
    </row>
    <row r="909" spans="2:28">
      <c r="B909" s="13" t="str">
        <f>IF($A909="","",[1]!thsiFinD("ths_adjustment_nv_fund",B$3,$A909))</f>
        <v/>
      </c>
      <c r="C909" s="13" t="str">
        <f>IF($A909="","",[1]!thsiFinD("ths_adjustment_nv_fund",C$3,$A909))</f>
        <v/>
      </c>
      <c r="D909" s="13" t="str">
        <f>IF($A909="","",[1]!thsiFinD("ths_adjustment_nv_fund",D$3,$A909))</f>
        <v/>
      </c>
      <c r="E909" s="13" t="str">
        <f>IF($A909="","",[1]!thsiFinD("ths_adjustment_nv_fund",E$3,$A909))</f>
        <v/>
      </c>
      <c r="F909" s="13" t="str">
        <f>IF($A909="","",[1]!thsiFinD("ths_adjustment_nv_fund",F$3,$A909))</f>
        <v/>
      </c>
      <c r="G909" s="13" t="str">
        <f>IF($A909="","",[1]!thsiFinD("ths_adjustment_nv_fund",G$3,$A909))</f>
        <v/>
      </c>
      <c r="H909" s="13" t="str">
        <f>IF($A909="","",[1]!thsiFinD("ths_adjustment_nv_fund",H$3,$A909))</f>
        <v/>
      </c>
      <c r="I909" s="13" t="str">
        <f>IF($A909="","",[1]!thsiFinD("ths_adjustment_nv_fund",I$3,$A909))</f>
        <v/>
      </c>
      <c r="J909" s="13" t="str">
        <f>IF($A909="","",[1]!thsiFinD("ths_adjustment_nv_fund",J$3,$A909))</f>
        <v/>
      </c>
      <c r="K909" s="13" t="str">
        <f>IF($A909="","",[1]!thsiFinD("ths_adjustment_nv_fund",K$3,$A909))</f>
        <v/>
      </c>
      <c r="L909" s="13" t="str">
        <f>IF($A909="","",[1]!thsiFinD("ths_adjustment_nv_fund",L$3,$A909))</f>
        <v/>
      </c>
      <c r="M909" s="13" t="str">
        <f>IF($A909="","",[1]!thsiFinD("ths_adjustment_nv_fund",M$3,$A909))</f>
        <v/>
      </c>
      <c r="N909" s="13" t="str">
        <f>IF($A909="","",[1]!thsiFinD("ths_adjustment_nv_fund",N$3,$A909))</f>
        <v/>
      </c>
      <c r="O909" s="13" t="str">
        <f>IF($A909="","",[1]!thsiFinD("ths_adjustment_nv_fund",O$3,$A909))</f>
        <v/>
      </c>
      <c r="P909" s="13" t="str">
        <f>IF($A909="","",[1]!thsiFinD("ths_adjustment_nv_fund",P$3,$A909))</f>
        <v/>
      </c>
      <c r="Q909" s="13" t="str">
        <f>IF($A909="","",[1]!thsiFinD("ths_adjustment_nv_fund",Q$3,$A909))</f>
        <v/>
      </c>
      <c r="R909" s="13" t="str">
        <f>IF($A909="","",[1]!thsiFinD("ths_adjustment_nv_fund",R$3,$A909))</f>
        <v/>
      </c>
      <c r="S909" s="13" t="str">
        <f>IF($A909="","",[1]!thsiFinD("ths_adjustment_nv_fund",S$3,$A909))</f>
        <v/>
      </c>
      <c r="T909" s="13" t="str">
        <f>IF($A909="","",[1]!thsiFinD("ths_adjustment_nv_fund",T$3,$A909))</f>
        <v/>
      </c>
      <c r="U909" s="13" t="str">
        <f>IF($A909="","",[1]!thsiFinD("ths_adjustment_nv_fund",U$3,$A909))</f>
        <v/>
      </c>
      <c r="V909" s="13" t="str">
        <f>IF($A909="","",[1]!thsiFinD("ths_adjustment_nv_fund",V$3,$A909))</f>
        <v/>
      </c>
      <c r="W909" s="13" t="str">
        <f>IF($A909="","",[1]!thsiFinD("ths_adjustment_nv_fund",W$3,$A909))</f>
        <v/>
      </c>
      <c r="X909" s="13" t="str">
        <f>IF($A909="","",[1]!thsiFinD("ths_adjustment_nv_fund",X$3,$A909))</f>
        <v/>
      </c>
      <c r="Y909" s="13" t="str">
        <f>IF($A909="","",[1]!thsiFinD("ths_adjustment_nv_fund",Y$3,$A909))</f>
        <v/>
      </c>
      <c r="Z909" s="13" t="str">
        <f>IF($A909="","",[1]!thsiFinD("ths_adjustment_nv_fund",Z$3,$A909))</f>
        <v/>
      </c>
      <c r="AA909" s="13" t="str">
        <f>IF($A909="","",[1]!thsiFinD("ths_adjustment_nv_fund",AA$3,$A909))</f>
        <v/>
      </c>
      <c r="AB909" s="13" t="str">
        <f>IF($A909="","",[1]!thsiFinD("ths_adjustment_nv_fund",AB$3,$A909))</f>
        <v/>
      </c>
    </row>
    <row r="910" spans="2:28">
      <c r="B910" s="13" t="str">
        <f>IF($A910="","",[1]!thsiFinD("ths_adjustment_nv_fund",B$3,$A910))</f>
        <v/>
      </c>
      <c r="C910" s="13" t="str">
        <f>IF($A910="","",[1]!thsiFinD("ths_adjustment_nv_fund",C$3,$A910))</f>
        <v/>
      </c>
      <c r="D910" s="13" t="str">
        <f>IF($A910="","",[1]!thsiFinD("ths_adjustment_nv_fund",D$3,$A910))</f>
        <v/>
      </c>
      <c r="E910" s="13" t="str">
        <f>IF($A910="","",[1]!thsiFinD("ths_adjustment_nv_fund",E$3,$A910))</f>
        <v/>
      </c>
      <c r="F910" s="13" t="str">
        <f>IF($A910="","",[1]!thsiFinD("ths_adjustment_nv_fund",F$3,$A910))</f>
        <v/>
      </c>
      <c r="G910" s="13" t="str">
        <f>IF($A910="","",[1]!thsiFinD("ths_adjustment_nv_fund",G$3,$A910))</f>
        <v/>
      </c>
      <c r="H910" s="13" t="str">
        <f>IF($A910="","",[1]!thsiFinD("ths_adjustment_nv_fund",H$3,$A910))</f>
        <v/>
      </c>
      <c r="I910" s="13" t="str">
        <f>IF($A910="","",[1]!thsiFinD("ths_adjustment_nv_fund",I$3,$A910))</f>
        <v/>
      </c>
      <c r="J910" s="13" t="str">
        <f>IF($A910="","",[1]!thsiFinD("ths_adjustment_nv_fund",J$3,$A910))</f>
        <v/>
      </c>
      <c r="K910" s="13" t="str">
        <f>IF($A910="","",[1]!thsiFinD("ths_adjustment_nv_fund",K$3,$A910))</f>
        <v/>
      </c>
      <c r="L910" s="13" t="str">
        <f>IF($A910="","",[1]!thsiFinD("ths_adjustment_nv_fund",L$3,$A910))</f>
        <v/>
      </c>
      <c r="M910" s="13" t="str">
        <f>IF($A910="","",[1]!thsiFinD("ths_adjustment_nv_fund",M$3,$A910))</f>
        <v/>
      </c>
      <c r="N910" s="13" t="str">
        <f>IF($A910="","",[1]!thsiFinD("ths_adjustment_nv_fund",N$3,$A910))</f>
        <v/>
      </c>
      <c r="O910" s="13" t="str">
        <f>IF($A910="","",[1]!thsiFinD("ths_adjustment_nv_fund",O$3,$A910))</f>
        <v/>
      </c>
      <c r="P910" s="13" t="str">
        <f>IF($A910="","",[1]!thsiFinD("ths_adjustment_nv_fund",P$3,$A910))</f>
        <v/>
      </c>
      <c r="Q910" s="13" t="str">
        <f>IF($A910="","",[1]!thsiFinD("ths_adjustment_nv_fund",Q$3,$A910))</f>
        <v/>
      </c>
      <c r="R910" s="13" t="str">
        <f>IF($A910="","",[1]!thsiFinD("ths_adjustment_nv_fund",R$3,$A910))</f>
        <v/>
      </c>
      <c r="S910" s="13" t="str">
        <f>IF($A910="","",[1]!thsiFinD("ths_adjustment_nv_fund",S$3,$A910))</f>
        <v/>
      </c>
      <c r="T910" s="13" t="str">
        <f>IF($A910="","",[1]!thsiFinD("ths_adjustment_nv_fund",T$3,$A910))</f>
        <v/>
      </c>
      <c r="U910" s="13" t="str">
        <f>IF($A910="","",[1]!thsiFinD("ths_adjustment_nv_fund",U$3,$A910))</f>
        <v/>
      </c>
      <c r="V910" s="13" t="str">
        <f>IF($A910="","",[1]!thsiFinD("ths_adjustment_nv_fund",V$3,$A910))</f>
        <v/>
      </c>
      <c r="W910" s="13" t="str">
        <f>IF($A910="","",[1]!thsiFinD("ths_adjustment_nv_fund",W$3,$A910))</f>
        <v/>
      </c>
      <c r="X910" s="13" t="str">
        <f>IF($A910="","",[1]!thsiFinD("ths_adjustment_nv_fund",X$3,$A910))</f>
        <v/>
      </c>
      <c r="Y910" s="13" t="str">
        <f>IF($A910="","",[1]!thsiFinD("ths_adjustment_nv_fund",Y$3,$A910))</f>
        <v/>
      </c>
      <c r="Z910" s="13" t="str">
        <f>IF($A910="","",[1]!thsiFinD("ths_adjustment_nv_fund",Z$3,$A910))</f>
        <v/>
      </c>
      <c r="AA910" s="13" t="str">
        <f>IF($A910="","",[1]!thsiFinD("ths_adjustment_nv_fund",AA$3,$A910))</f>
        <v/>
      </c>
      <c r="AB910" s="13" t="str">
        <f>IF($A910="","",[1]!thsiFinD("ths_adjustment_nv_fund",AB$3,$A910))</f>
        <v/>
      </c>
    </row>
    <row r="911" spans="2:28">
      <c r="B911" s="13" t="str">
        <f>IF($A911="","",[1]!thsiFinD("ths_adjustment_nv_fund",B$3,$A911))</f>
        <v/>
      </c>
      <c r="C911" s="13" t="str">
        <f>IF($A911="","",[1]!thsiFinD("ths_adjustment_nv_fund",C$3,$A911))</f>
        <v/>
      </c>
      <c r="D911" s="13" t="str">
        <f>IF($A911="","",[1]!thsiFinD("ths_adjustment_nv_fund",D$3,$A911))</f>
        <v/>
      </c>
      <c r="E911" s="13" t="str">
        <f>IF($A911="","",[1]!thsiFinD("ths_adjustment_nv_fund",E$3,$A911))</f>
        <v/>
      </c>
      <c r="F911" s="13" t="str">
        <f>IF($A911="","",[1]!thsiFinD("ths_adjustment_nv_fund",F$3,$A911))</f>
        <v/>
      </c>
      <c r="G911" s="13" t="str">
        <f>IF($A911="","",[1]!thsiFinD("ths_adjustment_nv_fund",G$3,$A911))</f>
        <v/>
      </c>
      <c r="H911" s="13" t="str">
        <f>IF($A911="","",[1]!thsiFinD("ths_adjustment_nv_fund",H$3,$A911))</f>
        <v/>
      </c>
      <c r="I911" s="13" t="str">
        <f>IF($A911="","",[1]!thsiFinD("ths_adjustment_nv_fund",I$3,$A911))</f>
        <v/>
      </c>
      <c r="J911" s="13" t="str">
        <f>IF($A911="","",[1]!thsiFinD("ths_adjustment_nv_fund",J$3,$A911))</f>
        <v/>
      </c>
      <c r="K911" s="13" t="str">
        <f>IF($A911="","",[1]!thsiFinD("ths_adjustment_nv_fund",K$3,$A911))</f>
        <v/>
      </c>
      <c r="L911" s="13" t="str">
        <f>IF($A911="","",[1]!thsiFinD("ths_adjustment_nv_fund",L$3,$A911))</f>
        <v/>
      </c>
      <c r="M911" s="13" t="str">
        <f>IF($A911="","",[1]!thsiFinD("ths_adjustment_nv_fund",M$3,$A911))</f>
        <v/>
      </c>
      <c r="N911" s="13" t="str">
        <f>IF($A911="","",[1]!thsiFinD("ths_adjustment_nv_fund",N$3,$A911))</f>
        <v/>
      </c>
      <c r="O911" s="13" t="str">
        <f>IF($A911="","",[1]!thsiFinD("ths_adjustment_nv_fund",O$3,$A911))</f>
        <v/>
      </c>
      <c r="P911" s="13" t="str">
        <f>IF($A911="","",[1]!thsiFinD("ths_adjustment_nv_fund",P$3,$A911))</f>
        <v/>
      </c>
      <c r="Q911" s="13" t="str">
        <f>IF($A911="","",[1]!thsiFinD("ths_adjustment_nv_fund",Q$3,$A911))</f>
        <v/>
      </c>
      <c r="R911" s="13" t="str">
        <f>IF($A911="","",[1]!thsiFinD("ths_adjustment_nv_fund",R$3,$A911))</f>
        <v/>
      </c>
      <c r="S911" s="13" t="str">
        <f>IF($A911="","",[1]!thsiFinD("ths_adjustment_nv_fund",S$3,$A911))</f>
        <v/>
      </c>
      <c r="T911" s="13" t="str">
        <f>IF($A911="","",[1]!thsiFinD("ths_adjustment_nv_fund",T$3,$A911))</f>
        <v/>
      </c>
      <c r="U911" s="13" t="str">
        <f>IF($A911="","",[1]!thsiFinD("ths_adjustment_nv_fund",U$3,$A911))</f>
        <v/>
      </c>
      <c r="V911" s="13" t="str">
        <f>IF($A911="","",[1]!thsiFinD("ths_adjustment_nv_fund",V$3,$A911))</f>
        <v/>
      </c>
      <c r="W911" s="13" t="str">
        <f>IF($A911="","",[1]!thsiFinD("ths_adjustment_nv_fund",W$3,$A911))</f>
        <v/>
      </c>
      <c r="X911" s="13" t="str">
        <f>IF($A911="","",[1]!thsiFinD("ths_adjustment_nv_fund",X$3,$A911))</f>
        <v/>
      </c>
      <c r="Y911" s="13" t="str">
        <f>IF($A911="","",[1]!thsiFinD("ths_adjustment_nv_fund",Y$3,$A911))</f>
        <v/>
      </c>
      <c r="Z911" s="13" t="str">
        <f>IF($A911="","",[1]!thsiFinD("ths_adjustment_nv_fund",Z$3,$A911))</f>
        <v/>
      </c>
      <c r="AA911" s="13" t="str">
        <f>IF($A911="","",[1]!thsiFinD("ths_adjustment_nv_fund",AA$3,$A911))</f>
        <v/>
      </c>
      <c r="AB911" s="13" t="str">
        <f>IF($A911="","",[1]!thsiFinD("ths_adjustment_nv_fund",AB$3,$A911))</f>
        <v/>
      </c>
    </row>
    <row r="912" spans="2:28">
      <c r="B912" s="13" t="str">
        <f>IF($A912="","",[1]!thsiFinD("ths_adjustment_nv_fund",B$3,$A912))</f>
        <v/>
      </c>
      <c r="C912" s="13" t="str">
        <f>IF($A912="","",[1]!thsiFinD("ths_adjustment_nv_fund",C$3,$A912))</f>
        <v/>
      </c>
      <c r="D912" s="13" t="str">
        <f>IF($A912="","",[1]!thsiFinD("ths_adjustment_nv_fund",D$3,$A912))</f>
        <v/>
      </c>
      <c r="E912" s="13" t="str">
        <f>IF($A912="","",[1]!thsiFinD("ths_adjustment_nv_fund",E$3,$A912))</f>
        <v/>
      </c>
      <c r="F912" s="13" t="str">
        <f>IF($A912="","",[1]!thsiFinD("ths_adjustment_nv_fund",F$3,$A912))</f>
        <v/>
      </c>
      <c r="G912" s="13" t="str">
        <f>IF($A912="","",[1]!thsiFinD("ths_adjustment_nv_fund",G$3,$A912))</f>
        <v/>
      </c>
      <c r="H912" s="13" t="str">
        <f>IF($A912="","",[1]!thsiFinD("ths_adjustment_nv_fund",H$3,$A912))</f>
        <v/>
      </c>
      <c r="I912" s="13" t="str">
        <f>IF($A912="","",[1]!thsiFinD("ths_adjustment_nv_fund",I$3,$A912))</f>
        <v/>
      </c>
      <c r="J912" s="13" t="str">
        <f>IF($A912="","",[1]!thsiFinD("ths_adjustment_nv_fund",J$3,$A912))</f>
        <v/>
      </c>
      <c r="K912" s="13" t="str">
        <f>IF($A912="","",[1]!thsiFinD("ths_adjustment_nv_fund",K$3,$A912))</f>
        <v/>
      </c>
      <c r="L912" s="13" t="str">
        <f>IF($A912="","",[1]!thsiFinD("ths_adjustment_nv_fund",L$3,$A912))</f>
        <v/>
      </c>
      <c r="M912" s="13" t="str">
        <f>IF($A912="","",[1]!thsiFinD("ths_adjustment_nv_fund",M$3,$A912))</f>
        <v/>
      </c>
      <c r="N912" s="13" t="str">
        <f>IF($A912="","",[1]!thsiFinD("ths_adjustment_nv_fund",N$3,$A912))</f>
        <v/>
      </c>
      <c r="O912" s="13" t="str">
        <f>IF($A912="","",[1]!thsiFinD("ths_adjustment_nv_fund",O$3,$A912))</f>
        <v/>
      </c>
      <c r="P912" s="13" t="str">
        <f>IF($A912="","",[1]!thsiFinD("ths_adjustment_nv_fund",P$3,$A912))</f>
        <v/>
      </c>
      <c r="Q912" s="13" t="str">
        <f>IF($A912="","",[1]!thsiFinD("ths_adjustment_nv_fund",Q$3,$A912))</f>
        <v/>
      </c>
      <c r="R912" s="13" t="str">
        <f>IF($A912="","",[1]!thsiFinD("ths_adjustment_nv_fund",R$3,$A912))</f>
        <v/>
      </c>
      <c r="S912" s="13" t="str">
        <f>IF($A912="","",[1]!thsiFinD("ths_adjustment_nv_fund",S$3,$A912))</f>
        <v/>
      </c>
      <c r="T912" s="13" t="str">
        <f>IF($A912="","",[1]!thsiFinD("ths_adjustment_nv_fund",T$3,$A912))</f>
        <v/>
      </c>
      <c r="U912" s="13" t="str">
        <f>IF($A912="","",[1]!thsiFinD("ths_adjustment_nv_fund",U$3,$A912))</f>
        <v/>
      </c>
      <c r="V912" s="13" t="str">
        <f>IF($A912="","",[1]!thsiFinD("ths_adjustment_nv_fund",V$3,$A912))</f>
        <v/>
      </c>
      <c r="W912" s="13" t="str">
        <f>IF($A912="","",[1]!thsiFinD("ths_adjustment_nv_fund",W$3,$A912))</f>
        <v/>
      </c>
      <c r="X912" s="13" t="str">
        <f>IF($A912="","",[1]!thsiFinD("ths_adjustment_nv_fund",X$3,$A912))</f>
        <v/>
      </c>
      <c r="Y912" s="13" t="str">
        <f>IF($A912="","",[1]!thsiFinD("ths_adjustment_nv_fund",Y$3,$A912))</f>
        <v/>
      </c>
      <c r="Z912" s="13" t="str">
        <f>IF($A912="","",[1]!thsiFinD("ths_adjustment_nv_fund",Z$3,$A912))</f>
        <v/>
      </c>
      <c r="AA912" s="13" t="str">
        <f>IF($A912="","",[1]!thsiFinD("ths_adjustment_nv_fund",AA$3,$A912))</f>
        <v/>
      </c>
      <c r="AB912" s="13" t="str">
        <f>IF($A912="","",[1]!thsiFinD("ths_adjustment_nv_fund",AB$3,$A912))</f>
        <v/>
      </c>
    </row>
    <row r="913" spans="2:28">
      <c r="B913" s="13" t="str">
        <f>IF($A913="","",[1]!thsiFinD("ths_adjustment_nv_fund",B$3,$A913))</f>
        <v/>
      </c>
      <c r="C913" s="13" t="str">
        <f>IF($A913="","",[1]!thsiFinD("ths_adjustment_nv_fund",C$3,$A913))</f>
        <v/>
      </c>
      <c r="D913" s="13" t="str">
        <f>IF($A913="","",[1]!thsiFinD("ths_adjustment_nv_fund",D$3,$A913))</f>
        <v/>
      </c>
      <c r="E913" s="13" t="str">
        <f>IF($A913="","",[1]!thsiFinD("ths_adjustment_nv_fund",E$3,$A913))</f>
        <v/>
      </c>
      <c r="F913" s="13" t="str">
        <f>IF($A913="","",[1]!thsiFinD("ths_adjustment_nv_fund",F$3,$A913))</f>
        <v/>
      </c>
      <c r="G913" s="13" t="str">
        <f>IF($A913="","",[1]!thsiFinD("ths_adjustment_nv_fund",G$3,$A913))</f>
        <v/>
      </c>
      <c r="H913" s="13" t="str">
        <f>IF($A913="","",[1]!thsiFinD("ths_adjustment_nv_fund",H$3,$A913))</f>
        <v/>
      </c>
      <c r="I913" s="13" t="str">
        <f>IF($A913="","",[1]!thsiFinD("ths_adjustment_nv_fund",I$3,$A913))</f>
        <v/>
      </c>
      <c r="J913" s="13" t="str">
        <f>IF($A913="","",[1]!thsiFinD("ths_adjustment_nv_fund",J$3,$A913))</f>
        <v/>
      </c>
      <c r="K913" s="13" t="str">
        <f>IF($A913="","",[1]!thsiFinD("ths_adjustment_nv_fund",K$3,$A913))</f>
        <v/>
      </c>
      <c r="L913" s="13" t="str">
        <f>IF($A913="","",[1]!thsiFinD("ths_adjustment_nv_fund",L$3,$A913))</f>
        <v/>
      </c>
      <c r="M913" s="13" t="str">
        <f>IF($A913="","",[1]!thsiFinD("ths_adjustment_nv_fund",M$3,$A913))</f>
        <v/>
      </c>
      <c r="N913" s="13" t="str">
        <f>IF($A913="","",[1]!thsiFinD("ths_adjustment_nv_fund",N$3,$A913))</f>
        <v/>
      </c>
      <c r="O913" s="13" t="str">
        <f>IF($A913="","",[1]!thsiFinD("ths_adjustment_nv_fund",O$3,$A913))</f>
        <v/>
      </c>
      <c r="P913" s="13" t="str">
        <f>IF($A913="","",[1]!thsiFinD("ths_adjustment_nv_fund",P$3,$A913))</f>
        <v/>
      </c>
      <c r="Q913" s="13" t="str">
        <f>IF($A913="","",[1]!thsiFinD("ths_adjustment_nv_fund",Q$3,$A913))</f>
        <v/>
      </c>
      <c r="R913" s="13" t="str">
        <f>IF($A913="","",[1]!thsiFinD("ths_adjustment_nv_fund",R$3,$A913))</f>
        <v/>
      </c>
      <c r="S913" s="13" t="str">
        <f>IF($A913="","",[1]!thsiFinD("ths_adjustment_nv_fund",S$3,$A913))</f>
        <v/>
      </c>
      <c r="T913" s="13" t="str">
        <f>IF($A913="","",[1]!thsiFinD("ths_adjustment_nv_fund",T$3,$A913))</f>
        <v/>
      </c>
      <c r="U913" s="13" t="str">
        <f>IF($A913="","",[1]!thsiFinD("ths_adjustment_nv_fund",U$3,$A913))</f>
        <v/>
      </c>
      <c r="V913" s="13" t="str">
        <f>IF($A913="","",[1]!thsiFinD("ths_adjustment_nv_fund",V$3,$A913))</f>
        <v/>
      </c>
      <c r="W913" s="13" t="str">
        <f>IF($A913="","",[1]!thsiFinD("ths_adjustment_nv_fund",W$3,$A913))</f>
        <v/>
      </c>
      <c r="X913" s="13" t="str">
        <f>IF($A913="","",[1]!thsiFinD("ths_adjustment_nv_fund",X$3,$A913))</f>
        <v/>
      </c>
      <c r="Y913" s="13" t="str">
        <f>IF($A913="","",[1]!thsiFinD("ths_adjustment_nv_fund",Y$3,$A913))</f>
        <v/>
      </c>
      <c r="Z913" s="13" t="str">
        <f>IF($A913="","",[1]!thsiFinD("ths_adjustment_nv_fund",Z$3,$A913))</f>
        <v/>
      </c>
      <c r="AA913" s="13" t="str">
        <f>IF($A913="","",[1]!thsiFinD("ths_adjustment_nv_fund",AA$3,$A913))</f>
        <v/>
      </c>
      <c r="AB913" s="13" t="str">
        <f>IF($A913="","",[1]!thsiFinD("ths_adjustment_nv_fund",AB$3,$A913))</f>
        <v/>
      </c>
    </row>
    <row r="914" spans="2:28">
      <c r="B914" s="13" t="str">
        <f>IF($A914="","",[1]!thsiFinD("ths_adjustment_nv_fund",B$3,$A914))</f>
        <v/>
      </c>
      <c r="C914" s="13" t="str">
        <f>IF($A914="","",[1]!thsiFinD("ths_adjustment_nv_fund",C$3,$A914))</f>
        <v/>
      </c>
      <c r="D914" s="13" t="str">
        <f>IF($A914="","",[1]!thsiFinD("ths_adjustment_nv_fund",D$3,$A914))</f>
        <v/>
      </c>
      <c r="E914" s="13" t="str">
        <f>IF($A914="","",[1]!thsiFinD("ths_adjustment_nv_fund",E$3,$A914))</f>
        <v/>
      </c>
      <c r="F914" s="13" t="str">
        <f>IF($A914="","",[1]!thsiFinD("ths_adjustment_nv_fund",F$3,$A914))</f>
        <v/>
      </c>
      <c r="G914" s="13" t="str">
        <f>IF($A914="","",[1]!thsiFinD("ths_adjustment_nv_fund",G$3,$A914))</f>
        <v/>
      </c>
      <c r="H914" s="13" t="str">
        <f>IF($A914="","",[1]!thsiFinD("ths_adjustment_nv_fund",H$3,$A914))</f>
        <v/>
      </c>
      <c r="I914" s="13" t="str">
        <f>IF($A914="","",[1]!thsiFinD("ths_adjustment_nv_fund",I$3,$A914))</f>
        <v/>
      </c>
      <c r="J914" s="13" t="str">
        <f>IF($A914="","",[1]!thsiFinD("ths_adjustment_nv_fund",J$3,$A914))</f>
        <v/>
      </c>
      <c r="K914" s="13" t="str">
        <f>IF($A914="","",[1]!thsiFinD("ths_adjustment_nv_fund",K$3,$A914))</f>
        <v/>
      </c>
      <c r="L914" s="13" t="str">
        <f>IF($A914="","",[1]!thsiFinD("ths_adjustment_nv_fund",L$3,$A914))</f>
        <v/>
      </c>
      <c r="M914" s="13" t="str">
        <f>IF($A914="","",[1]!thsiFinD("ths_adjustment_nv_fund",M$3,$A914))</f>
        <v/>
      </c>
      <c r="N914" s="13" t="str">
        <f>IF($A914="","",[1]!thsiFinD("ths_adjustment_nv_fund",N$3,$A914))</f>
        <v/>
      </c>
      <c r="O914" s="13" t="str">
        <f>IF($A914="","",[1]!thsiFinD("ths_adjustment_nv_fund",O$3,$A914))</f>
        <v/>
      </c>
      <c r="P914" s="13" t="str">
        <f>IF($A914="","",[1]!thsiFinD("ths_adjustment_nv_fund",P$3,$A914))</f>
        <v/>
      </c>
      <c r="Q914" s="13" t="str">
        <f>IF($A914="","",[1]!thsiFinD("ths_adjustment_nv_fund",Q$3,$A914))</f>
        <v/>
      </c>
      <c r="R914" s="13" t="str">
        <f>IF($A914="","",[1]!thsiFinD("ths_adjustment_nv_fund",R$3,$A914))</f>
        <v/>
      </c>
      <c r="S914" s="13" t="str">
        <f>IF($A914="","",[1]!thsiFinD("ths_adjustment_nv_fund",S$3,$A914))</f>
        <v/>
      </c>
      <c r="T914" s="13" t="str">
        <f>IF($A914="","",[1]!thsiFinD("ths_adjustment_nv_fund",T$3,$A914))</f>
        <v/>
      </c>
      <c r="U914" s="13" t="str">
        <f>IF($A914="","",[1]!thsiFinD("ths_adjustment_nv_fund",U$3,$A914))</f>
        <v/>
      </c>
      <c r="V914" s="13" t="str">
        <f>IF($A914="","",[1]!thsiFinD("ths_adjustment_nv_fund",V$3,$A914))</f>
        <v/>
      </c>
      <c r="W914" s="13" t="str">
        <f>IF($A914="","",[1]!thsiFinD("ths_adjustment_nv_fund",W$3,$A914))</f>
        <v/>
      </c>
      <c r="X914" s="13" t="str">
        <f>IF($A914="","",[1]!thsiFinD("ths_adjustment_nv_fund",X$3,$A914))</f>
        <v/>
      </c>
      <c r="Y914" s="13" t="str">
        <f>IF($A914="","",[1]!thsiFinD("ths_adjustment_nv_fund",Y$3,$A914))</f>
        <v/>
      </c>
      <c r="Z914" s="13" t="str">
        <f>IF($A914="","",[1]!thsiFinD("ths_adjustment_nv_fund",Z$3,$A914))</f>
        <v/>
      </c>
      <c r="AA914" s="13" t="str">
        <f>IF($A914="","",[1]!thsiFinD("ths_adjustment_nv_fund",AA$3,$A914))</f>
        <v/>
      </c>
      <c r="AB914" s="13" t="str">
        <f>IF($A914="","",[1]!thsiFinD("ths_adjustment_nv_fund",AB$3,$A914))</f>
        <v/>
      </c>
    </row>
    <row r="915" spans="2:28">
      <c r="B915" s="13" t="str">
        <f>IF($A915="","",[1]!thsiFinD("ths_adjustment_nv_fund",B$3,$A915))</f>
        <v/>
      </c>
      <c r="C915" s="13" t="str">
        <f>IF($A915="","",[1]!thsiFinD("ths_adjustment_nv_fund",C$3,$A915))</f>
        <v/>
      </c>
      <c r="D915" s="13" t="str">
        <f>IF($A915="","",[1]!thsiFinD("ths_adjustment_nv_fund",D$3,$A915))</f>
        <v/>
      </c>
      <c r="E915" s="13" t="str">
        <f>IF($A915="","",[1]!thsiFinD("ths_adjustment_nv_fund",E$3,$A915))</f>
        <v/>
      </c>
      <c r="F915" s="13" t="str">
        <f>IF($A915="","",[1]!thsiFinD("ths_adjustment_nv_fund",F$3,$A915))</f>
        <v/>
      </c>
      <c r="G915" s="13" t="str">
        <f>IF($A915="","",[1]!thsiFinD("ths_adjustment_nv_fund",G$3,$A915))</f>
        <v/>
      </c>
      <c r="H915" s="13" t="str">
        <f>IF($A915="","",[1]!thsiFinD("ths_adjustment_nv_fund",H$3,$A915))</f>
        <v/>
      </c>
      <c r="I915" s="13" t="str">
        <f>IF($A915="","",[1]!thsiFinD("ths_adjustment_nv_fund",I$3,$A915))</f>
        <v/>
      </c>
      <c r="J915" s="13" t="str">
        <f>IF($A915="","",[1]!thsiFinD("ths_adjustment_nv_fund",J$3,$A915))</f>
        <v/>
      </c>
      <c r="K915" s="13" t="str">
        <f>IF($A915="","",[1]!thsiFinD("ths_adjustment_nv_fund",K$3,$A915))</f>
        <v/>
      </c>
      <c r="L915" s="13" t="str">
        <f>IF($A915="","",[1]!thsiFinD("ths_adjustment_nv_fund",L$3,$A915))</f>
        <v/>
      </c>
      <c r="M915" s="13" t="str">
        <f>IF($A915="","",[1]!thsiFinD("ths_adjustment_nv_fund",M$3,$A915))</f>
        <v/>
      </c>
      <c r="N915" s="13" t="str">
        <f>IF($A915="","",[1]!thsiFinD("ths_adjustment_nv_fund",N$3,$A915))</f>
        <v/>
      </c>
      <c r="O915" s="13" t="str">
        <f>IF($A915="","",[1]!thsiFinD("ths_adjustment_nv_fund",O$3,$A915))</f>
        <v/>
      </c>
      <c r="P915" s="13" t="str">
        <f>IF($A915="","",[1]!thsiFinD("ths_adjustment_nv_fund",P$3,$A915))</f>
        <v/>
      </c>
      <c r="Q915" s="13" t="str">
        <f>IF($A915="","",[1]!thsiFinD("ths_adjustment_nv_fund",Q$3,$A915))</f>
        <v/>
      </c>
      <c r="R915" s="13" t="str">
        <f>IF($A915="","",[1]!thsiFinD("ths_adjustment_nv_fund",R$3,$A915))</f>
        <v/>
      </c>
      <c r="S915" s="13" t="str">
        <f>IF($A915="","",[1]!thsiFinD("ths_adjustment_nv_fund",S$3,$A915))</f>
        <v/>
      </c>
      <c r="T915" s="13" t="str">
        <f>IF($A915="","",[1]!thsiFinD("ths_adjustment_nv_fund",T$3,$A915))</f>
        <v/>
      </c>
      <c r="U915" s="13" t="str">
        <f>IF($A915="","",[1]!thsiFinD("ths_adjustment_nv_fund",U$3,$A915))</f>
        <v/>
      </c>
      <c r="V915" s="13" t="str">
        <f>IF($A915="","",[1]!thsiFinD("ths_adjustment_nv_fund",V$3,$A915))</f>
        <v/>
      </c>
      <c r="W915" s="13" t="str">
        <f>IF($A915="","",[1]!thsiFinD("ths_adjustment_nv_fund",W$3,$A915))</f>
        <v/>
      </c>
      <c r="X915" s="13" t="str">
        <f>IF($A915="","",[1]!thsiFinD("ths_adjustment_nv_fund",X$3,$A915))</f>
        <v/>
      </c>
      <c r="Y915" s="13" t="str">
        <f>IF($A915="","",[1]!thsiFinD("ths_adjustment_nv_fund",Y$3,$A915))</f>
        <v/>
      </c>
      <c r="Z915" s="13" t="str">
        <f>IF($A915="","",[1]!thsiFinD("ths_adjustment_nv_fund",Z$3,$A915))</f>
        <v/>
      </c>
      <c r="AA915" s="13" t="str">
        <f>IF($A915="","",[1]!thsiFinD("ths_adjustment_nv_fund",AA$3,$A915))</f>
        <v/>
      </c>
      <c r="AB915" s="13" t="str">
        <f>IF($A915="","",[1]!thsiFinD("ths_adjustment_nv_fund",AB$3,$A915))</f>
        <v/>
      </c>
    </row>
    <row r="916" spans="2:28">
      <c r="B916" s="13" t="str">
        <f>IF($A916="","",[1]!thsiFinD("ths_adjustment_nv_fund",B$3,$A916))</f>
        <v/>
      </c>
      <c r="C916" s="13" t="str">
        <f>IF($A916="","",[1]!thsiFinD("ths_adjustment_nv_fund",C$3,$A916))</f>
        <v/>
      </c>
      <c r="D916" s="13" t="str">
        <f>IF($A916="","",[1]!thsiFinD("ths_adjustment_nv_fund",D$3,$A916))</f>
        <v/>
      </c>
      <c r="E916" s="13" t="str">
        <f>IF($A916="","",[1]!thsiFinD("ths_adjustment_nv_fund",E$3,$A916))</f>
        <v/>
      </c>
      <c r="F916" s="13" t="str">
        <f>IF($A916="","",[1]!thsiFinD("ths_adjustment_nv_fund",F$3,$A916))</f>
        <v/>
      </c>
      <c r="G916" s="13" t="str">
        <f>IF($A916="","",[1]!thsiFinD("ths_adjustment_nv_fund",G$3,$A916))</f>
        <v/>
      </c>
      <c r="H916" s="13" t="str">
        <f>IF($A916="","",[1]!thsiFinD("ths_adjustment_nv_fund",H$3,$A916))</f>
        <v/>
      </c>
      <c r="I916" s="13" t="str">
        <f>IF($A916="","",[1]!thsiFinD("ths_adjustment_nv_fund",I$3,$A916))</f>
        <v/>
      </c>
      <c r="J916" s="13" t="str">
        <f>IF($A916="","",[1]!thsiFinD("ths_adjustment_nv_fund",J$3,$A916))</f>
        <v/>
      </c>
      <c r="K916" s="13" t="str">
        <f>IF($A916="","",[1]!thsiFinD("ths_adjustment_nv_fund",K$3,$A916))</f>
        <v/>
      </c>
      <c r="L916" s="13" t="str">
        <f>IF($A916="","",[1]!thsiFinD("ths_adjustment_nv_fund",L$3,$A916))</f>
        <v/>
      </c>
      <c r="M916" s="13" t="str">
        <f>IF($A916="","",[1]!thsiFinD("ths_adjustment_nv_fund",M$3,$A916))</f>
        <v/>
      </c>
      <c r="N916" s="13" t="str">
        <f>IF($A916="","",[1]!thsiFinD("ths_adjustment_nv_fund",N$3,$A916))</f>
        <v/>
      </c>
      <c r="O916" s="13" t="str">
        <f>IF($A916="","",[1]!thsiFinD("ths_adjustment_nv_fund",O$3,$A916))</f>
        <v/>
      </c>
      <c r="P916" s="13" t="str">
        <f>IF($A916="","",[1]!thsiFinD("ths_adjustment_nv_fund",P$3,$A916))</f>
        <v/>
      </c>
      <c r="Q916" s="13" t="str">
        <f>IF($A916="","",[1]!thsiFinD("ths_adjustment_nv_fund",Q$3,$A916))</f>
        <v/>
      </c>
      <c r="R916" s="13" t="str">
        <f>IF($A916="","",[1]!thsiFinD("ths_adjustment_nv_fund",R$3,$A916))</f>
        <v/>
      </c>
      <c r="S916" s="13" t="str">
        <f>IF($A916="","",[1]!thsiFinD("ths_adjustment_nv_fund",S$3,$A916))</f>
        <v/>
      </c>
      <c r="T916" s="13" t="str">
        <f>IF($A916="","",[1]!thsiFinD("ths_adjustment_nv_fund",T$3,$A916))</f>
        <v/>
      </c>
      <c r="U916" s="13" t="str">
        <f>IF($A916="","",[1]!thsiFinD("ths_adjustment_nv_fund",U$3,$A916))</f>
        <v/>
      </c>
      <c r="V916" s="13" t="str">
        <f>IF($A916="","",[1]!thsiFinD("ths_adjustment_nv_fund",V$3,$A916))</f>
        <v/>
      </c>
      <c r="W916" s="13" t="str">
        <f>IF($A916="","",[1]!thsiFinD("ths_adjustment_nv_fund",W$3,$A916))</f>
        <v/>
      </c>
      <c r="X916" s="13" t="str">
        <f>IF($A916="","",[1]!thsiFinD("ths_adjustment_nv_fund",X$3,$A916))</f>
        <v/>
      </c>
      <c r="Y916" s="13" t="str">
        <f>IF($A916="","",[1]!thsiFinD("ths_adjustment_nv_fund",Y$3,$A916))</f>
        <v/>
      </c>
      <c r="Z916" s="13" t="str">
        <f>IF($A916="","",[1]!thsiFinD("ths_adjustment_nv_fund",Z$3,$A916))</f>
        <v/>
      </c>
      <c r="AA916" s="13" t="str">
        <f>IF($A916="","",[1]!thsiFinD("ths_adjustment_nv_fund",AA$3,$A916))</f>
        <v/>
      </c>
      <c r="AB916" s="13" t="str">
        <f>IF($A916="","",[1]!thsiFinD("ths_adjustment_nv_fund",AB$3,$A916))</f>
        <v/>
      </c>
    </row>
    <row r="917" spans="2:28">
      <c r="B917" s="13" t="str">
        <f>IF($A917="","",[1]!thsiFinD("ths_adjustment_nv_fund",B$3,$A917))</f>
        <v/>
      </c>
      <c r="C917" s="13" t="str">
        <f>IF($A917="","",[1]!thsiFinD("ths_adjustment_nv_fund",C$3,$A917))</f>
        <v/>
      </c>
      <c r="D917" s="13" t="str">
        <f>IF($A917="","",[1]!thsiFinD("ths_adjustment_nv_fund",D$3,$A917))</f>
        <v/>
      </c>
      <c r="E917" s="13" t="str">
        <f>IF($A917="","",[1]!thsiFinD("ths_adjustment_nv_fund",E$3,$A917))</f>
        <v/>
      </c>
      <c r="F917" s="13" t="str">
        <f>IF($A917="","",[1]!thsiFinD("ths_adjustment_nv_fund",F$3,$A917))</f>
        <v/>
      </c>
      <c r="G917" s="13" t="str">
        <f>IF($A917="","",[1]!thsiFinD("ths_adjustment_nv_fund",G$3,$A917))</f>
        <v/>
      </c>
      <c r="H917" s="13" t="str">
        <f>IF($A917="","",[1]!thsiFinD("ths_adjustment_nv_fund",H$3,$A917))</f>
        <v/>
      </c>
      <c r="I917" s="13" t="str">
        <f>IF($A917="","",[1]!thsiFinD("ths_adjustment_nv_fund",I$3,$A917))</f>
        <v/>
      </c>
      <c r="J917" s="13" t="str">
        <f>IF($A917="","",[1]!thsiFinD("ths_adjustment_nv_fund",J$3,$A917))</f>
        <v/>
      </c>
      <c r="K917" s="13" t="str">
        <f>IF($A917="","",[1]!thsiFinD("ths_adjustment_nv_fund",K$3,$A917))</f>
        <v/>
      </c>
      <c r="L917" s="13" t="str">
        <f>IF($A917="","",[1]!thsiFinD("ths_adjustment_nv_fund",L$3,$A917))</f>
        <v/>
      </c>
      <c r="M917" s="13" t="str">
        <f>IF($A917="","",[1]!thsiFinD("ths_adjustment_nv_fund",M$3,$A917))</f>
        <v/>
      </c>
      <c r="N917" s="13" t="str">
        <f>IF($A917="","",[1]!thsiFinD("ths_adjustment_nv_fund",N$3,$A917))</f>
        <v/>
      </c>
      <c r="O917" s="13" t="str">
        <f>IF($A917="","",[1]!thsiFinD("ths_adjustment_nv_fund",O$3,$A917))</f>
        <v/>
      </c>
      <c r="P917" s="13" t="str">
        <f>IF($A917="","",[1]!thsiFinD("ths_adjustment_nv_fund",P$3,$A917))</f>
        <v/>
      </c>
      <c r="Q917" s="13" t="str">
        <f>IF($A917="","",[1]!thsiFinD("ths_adjustment_nv_fund",Q$3,$A917))</f>
        <v/>
      </c>
      <c r="R917" s="13" t="str">
        <f>IF($A917="","",[1]!thsiFinD("ths_adjustment_nv_fund",R$3,$A917))</f>
        <v/>
      </c>
      <c r="S917" s="13" t="str">
        <f>IF($A917="","",[1]!thsiFinD("ths_adjustment_nv_fund",S$3,$A917))</f>
        <v/>
      </c>
      <c r="T917" s="13" t="str">
        <f>IF($A917="","",[1]!thsiFinD("ths_adjustment_nv_fund",T$3,$A917))</f>
        <v/>
      </c>
      <c r="U917" s="13" t="str">
        <f>IF($A917="","",[1]!thsiFinD("ths_adjustment_nv_fund",U$3,$A917))</f>
        <v/>
      </c>
      <c r="V917" s="13" t="str">
        <f>IF($A917="","",[1]!thsiFinD("ths_adjustment_nv_fund",V$3,$A917))</f>
        <v/>
      </c>
      <c r="W917" s="13" t="str">
        <f>IF($A917="","",[1]!thsiFinD("ths_adjustment_nv_fund",W$3,$A917))</f>
        <v/>
      </c>
      <c r="X917" s="13" t="str">
        <f>IF($A917="","",[1]!thsiFinD("ths_adjustment_nv_fund",X$3,$A917))</f>
        <v/>
      </c>
      <c r="Y917" s="13" t="str">
        <f>IF($A917="","",[1]!thsiFinD("ths_adjustment_nv_fund",Y$3,$A917))</f>
        <v/>
      </c>
      <c r="Z917" s="13" t="str">
        <f>IF($A917="","",[1]!thsiFinD("ths_adjustment_nv_fund",Z$3,$A917))</f>
        <v/>
      </c>
      <c r="AA917" s="13" t="str">
        <f>IF($A917="","",[1]!thsiFinD("ths_adjustment_nv_fund",AA$3,$A917))</f>
        <v/>
      </c>
      <c r="AB917" s="13" t="str">
        <f>IF($A917="","",[1]!thsiFinD("ths_adjustment_nv_fund",AB$3,$A917))</f>
        <v/>
      </c>
    </row>
    <row r="918" spans="2:28">
      <c r="B918" s="13" t="str">
        <f>IF($A918="","",[1]!thsiFinD("ths_adjustment_nv_fund",B$3,$A918))</f>
        <v/>
      </c>
      <c r="C918" s="13" t="str">
        <f>IF($A918="","",[1]!thsiFinD("ths_adjustment_nv_fund",C$3,$A918))</f>
        <v/>
      </c>
      <c r="D918" s="13" t="str">
        <f>IF($A918="","",[1]!thsiFinD("ths_adjustment_nv_fund",D$3,$A918))</f>
        <v/>
      </c>
      <c r="E918" s="13" t="str">
        <f>IF($A918="","",[1]!thsiFinD("ths_adjustment_nv_fund",E$3,$A918))</f>
        <v/>
      </c>
      <c r="F918" s="13" t="str">
        <f>IF($A918="","",[1]!thsiFinD("ths_adjustment_nv_fund",F$3,$A918))</f>
        <v/>
      </c>
      <c r="G918" s="13" t="str">
        <f>IF($A918="","",[1]!thsiFinD("ths_adjustment_nv_fund",G$3,$A918))</f>
        <v/>
      </c>
      <c r="H918" s="13" t="str">
        <f>IF($A918="","",[1]!thsiFinD("ths_adjustment_nv_fund",H$3,$A918))</f>
        <v/>
      </c>
      <c r="I918" s="13" t="str">
        <f>IF($A918="","",[1]!thsiFinD("ths_adjustment_nv_fund",I$3,$A918))</f>
        <v/>
      </c>
      <c r="J918" s="13" t="str">
        <f>IF($A918="","",[1]!thsiFinD("ths_adjustment_nv_fund",J$3,$A918))</f>
        <v/>
      </c>
      <c r="K918" s="13" t="str">
        <f>IF($A918="","",[1]!thsiFinD("ths_adjustment_nv_fund",K$3,$A918))</f>
        <v/>
      </c>
      <c r="L918" s="13" t="str">
        <f>IF($A918="","",[1]!thsiFinD("ths_adjustment_nv_fund",L$3,$A918))</f>
        <v/>
      </c>
      <c r="M918" s="13" t="str">
        <f>IF($A918="","",[1]!thsiFinD("ths_adjustment_nv_fund",M$3,$A918))</f>
        <v/>
      </c>
      <c r="N918" s="13" t="str">
        <f>IF($A918="","",[1]!thsiFinD("ths_adjustment_nv_fund",N$3,$A918))</f>
        <v/>
      </c>
      <c r="O918" s="13" t="str">
        <f>IF($A918="","",[1]!thsiFinD("ths_adjustment_nv_fund",O$3,$A918))</f>
        <v/>
      </c>
      <c r="P918" s="13" t="str">
        <f>IF($A918="","",[1]!thsiFinD("ths_adjustment_nv_fund",P$3,$A918))</f>
        <v/>
      </c>
      <c r="Q918" s="13" t="str">
        <f>IF($A918="","",[1]!thsiFinD("ths_adjustment_nv_fund",Q$3,$A918))</f>
        <v/>
      </c>
      <c r="R918" s="13" t="str">
        <f>IF($A918="","",[1]!thsiFinD("ths_adjustment_nv_fund",R$3,$A918))</f>
        <v/>
      </c>
      <c r="S918" s="13" t="str">
        <f>IF($A918="","",[1]!thsiFinD("ths_adjustment_nv_fund",S$3,$A918))</f>
        <v/>
      </c>
      <c r="T918" s="13" t="str">
        <f>IF($A918="","",[1]!thsiFinD("ths_adjustment_nv_fund",T$3,$A918))</f>
        <v/>
      </c>
      <c r="U918" s="13" t="str">
        <f>IF($A918="","",[1]!thsiFinD("ths_adjustment_nv_fund",U$3,$A918))</f>
        <v/>
      </c>
      <c r="V918" s="13" t="str">
        <f>IF($A918="","",[1]!thsiFinD("ths_adjustment_nv_fund",V$3,$A918))</f>
        <v/>
      </c>
      <c r="W918" s="13" t="str">
        <f>IF($A918="","",[1]!thsiFinD("ths_adjustment_nv_fund",W$3,$A918))</f>
        <v/>
      </c>
      <c r="X918" s="13" t="str">
        <f>IF($A918="","",[1]!thsiFinD("ths_adjustment_nv_fund",X$3,$A918))</f>
        <v/>
      </c>
      <c r="Y918" s="13" t="str">
        <f>IF($A918="","",[1]!thsiFinD("ths_adjustment_nv_fund",Y$3,$A918))</f>
        <v/>
      </c>
      <c r="Z918" s="13" t="str">
        <f>IF($A918="","",[1]!thsiFinD("ths_adjustment_nv_fund",Z$3,$A918))</f>
        <v/>
      </c>
      <c r="AA918" s="13" t="str">
        <f>IF($A918="","",[1]!thsiFinD("ths_adjustment_nv_fund",AA$3,$A918))</f>
        <v/>
      </c>
      <c r="AB918" s="13" t="str">
        <f>IF($A918="","",[1]!thsiFinD("ths_adjustment_nv_fund",AB$3,$A918))</f>
        <v/>
      </c>
    </row>
    <row r="919" spans="2:28">
      <c r="B919" s="13" t="str">
        <f>IF($A919="","",[1]!thsiFinD("ths_adjustment_nv_fund",B$3,$A919))</f>
        <v/>
      </c>
      <c r="C919" s="13" t="str">
        <f>IF($A919="","",[1]!thsiFinD("ths_adjustment_nv_fund",C$3,$A919))</f>
        <v/>
      </c>
      <c r="D919" s="13" t="str">
        <f>IF($A919="","",[1]!thsiFinD("ths_adjustment_nv_fund",D$3,$A919))</f>
        <v/>
      </c>
      <c r="E919" s="13" t="str">
        <f>IF($A919="","",[1]!thsiFinD("ths_adjustment_nv_fund",E$3,$A919))</f>
        <v/>
      </c>
      <c r="F919" s="13" t="str">
        <f>IF($A919="","",[1]!thsiFinD("ths_adjustment_nv_fund",F$3,$A919))</f>
        <v/>
      </c>
      <c r="G919" s="13" t="str">
        <f>IF($A919="","",[1]!thsiFinD("ths_adjustment_nv_fund",G$3,$A919))</f>
        <v/>
      </c>
      <c r="H919" s="13" t="str">
        <f>IF($A919="","",[1]!thsiFinD("ths_adjustment_nv_fund",H$3,$A919))</f>
        <v/>
      </c>
      <c r="I919" s="13" t="str">
        <f>IF($A919="","",[1]!thsiFinD("ths_adjustment_nv_fund",I$3,$A919))</f>
        <v/>
      </c>
      <c r="J919" s="13" t="str">
        <f>IF($A919="","",[1]!thsiFinD("ths_adjustment_nv_fund",J$3,$A919))</f>
        <v/>
      </c>
      <c r="K919" s="13" t="str">
        <f>IF($A919="","",[1]!thsiFinD("ths_adjustment_nv_fund",K$3,$A919))</f>
        <v/>
      </c>
      <c r="L919" s="13" t="str">
        <f>IF($A919="","",[1]!thsiFinD("ths_adjustment_nv_fund",L$3,$A919))</f>
        <v/>
      </c>
      <c r="M919" s="13" t="str">
        <f>IF($A919="","",[1]!thsiFinD("ths_adjustment_nv_fund",M$3,$A919))</f>
        <v/>
      </c>
      <c r="N919" s="13" t="str">
        <f>IF($A919="","",[1]!thsiFinD("ths_adjustment_nv_fund",N$3,$A919))</f>
        <v/>
      </c>
      <c r="O919" s="13" t="str">
        <f>IF($A919="","",[1]!thsiFinD("ths_adjustment_nv_fund",O$3,$A919))</f>
        <v/>
      </c>
      <c r="P919" s="13" t="str">
        <f>IF($A919="","",[1]!thsiFinD("ths_adjustment_nv_fund",P$3,$A919))</f>
        <v/>
      </c>
      <c r="Q919" s="13" t="str">
        <f>IF($A919="","",[1]!thsiFinD("ths_adjustment_nv_fund",Q$3,$A919))</f>
        <v/>
      </c>
      <c r="R919" s="13" t="str">
        <f>IF($A919="","",[1]!thsiFinD("ths_adjustment_nv_fund",R$3,$A919))</f>
        <v/>
      </c>
      <c r="S919" s="13" t="str">
        <f>IF($A919="","",[1]!thsiFinD("ths_adjustment_nv_fund",S$3,$A919))</f>
        <v/>
      </c>
      <c r="T919" s="13" t="str">
        <f>IF($A919="","",[1]!thsiFinD("ths_adjustment_nv_fund",T$3,$A919))</f>
        <v/>
      </c>
      <c r="U919" s="13" t="str">
        <f>IF($A919="","",[1]!thsiFinD("ths_adjustment_nv_fund",U$3,$A919))</f>
        <v/>
      </c>
      <c r="V919" s="13" t="str">
        <f>IF($A919="","",[1]!thsiFinD("ths_adjustment_nv_fund",V$3,$A919))</f>
        <v/>
      </c>
      <c r="W919" s="13" t="str">
        <f>IF($A919="","",[1]!thsiFinD("ths_adjustment_nv_fund",W$3,$A919))</f>
        <v/>
      </c>
      <c r="X919" s="13" t="str">
        <f>IF($A919="","",[1]!thsiFinD("ths_adjustment_nv_fund",X$3,$A919))</f>
        <v/>
      </c>
      <c r="Y919" s="13" t="str">
        <f>IF($A919="","",[1]!thsiFinD("ths_adjustment_nv_fund",Y$3,$A919))</f>
        <v/>
      </c>
      <c r="Z919" s="13" t="str">
        <f>IF($A919="","",[1]!thsiFinD("ths_adjustment_nv_fund",Z$3,$A919))</f>
        <v/>
      </c>
      <c r="AA919" s="13" t="str">
        <f>IF($A919="","",[1]!thsiFinD("ths_adjustment_nv_fund",AA$3,$A919))</f>
        <v/>
      </c>
      <c r="AB919" s="13" t="str">
        <f>IF($A919="","",[1]!thsiFinD("ths_adjustment_nv_fund",AB$3,$A919))</f>
        <v/>
      </c>
    </row>
    <row r="920" spans="2:28">
      <c r="B920" s="13" t="str">
        <f>IF($A920="","",[1]!thsiFinD("ths_adjustment_nv_fund",B$3,$A920))</f>
        <v/>
      </c>
      <c r="C920" s="13" t="str">
        <f>IF($A920="","",[1]!thsiFinD("ths_adjustment_nv_fund",C$3,$A920))</f>
        <v/>
      </c>
      <c r="D920" s="13" t="str">
        <f>IF($A920="","",[1]!thsiFinD("ths_adjustment_nv_fund",D$3,$A920))</f>
        <v/>
      </c>
      <c r="E920" s="13" t="str">
        <f>IF($A920="","",[1]!thsiFinD("ths_adjustment_nv_fund",E$3,$A920))</f>
        <v/>
      </c>
      <c r="F920" s="13" t="str">
        <f>IF($A920="","",[1]!thsiFinD("ths_adjustment_nv_fund",F$3,$A920))</f>
        <v/>
      </c>
      <c r="G920" s="13" t="str">
        <f>IF($A920="","",[1]!thsiFinD("ths_adjustment_nv_fund",G$3,$A920))</f>
        <v/>
      </c>
      <c r="H920" s="13" t="str">
        <f>IF($A920="","",[1]!thsiFinD("ths_adjustment_nv_fund",H$3,$A920))</f>
        <v/>
      </c>
      <c r="I920" s="13" t="str">
        <f>IF($A920="","",[1]!thsiFinD("ths_adjustment_nv_fund",I$3,$A920))</f>
        <v/>
      </c>
      <c r="J920" s="13" t="str">
        <f>IF($A920="","",[1]!thsiFinD("ths_adjustment_nv_fund",J$3,$A920))</f>
        <v/>
      </c>
      <c r="K920" s="13" t="str">
        <f>IF($A920="","",[1]!thsiFinD("ths_adjustment_nv_fund",K$3,$A920))</f>
        <v/>
      </c>
      <c r="L920" s="13" t="str">
        <f>IF($A920="","",[1]!thsiFinD("ths_adjustment_nv_fund",L$3,$A920))</f>
        <v/>
      </c>
      <c r="M920" s="13" t="str">
        <f>IF($A920="","",[1]!thsiFinD("ths_adjustment_nv_fund",M$3,$A920))</f>
        <v/>
      </c>
      <c r="N920" s="13" t="str">
        <f>IF($A920="","",[1]!thsiFinD("ths_adjustment_nv_fund",N$3,$A920))</f>
        <v/>
      </c>
      <c r="O920" s="13" t="str">
        <f>IF($A920="","",[1]!thsiFinD("ths_adjustment_nv_fund",O$3,$A920))</f>
        <v/>
      </c>
      <c r="P920" s="13" t="str">
        <f>IF($A920="","",[1]!thsiFinD("ths_adjustment_nv_fund",P$3,$A920))</f>
        <v/>
      </c>
      <c r="Q920" s="13" t="str">
        <f>IF($A920="","",[1]!thsiFinD("ths_adjustment_nv_fund",Q$3,$A920))</f>
        <v/>
      </c>
      <c r="R920" s="13" t="str">
        <f>IF($A920="","",[1]!thsiFinD("ths_adjustment_nv_fund",R$3,$A920))</f>
        <v/>
      </c>
      <c r="S920" s="13" t="str">
        <f>IF($A920="","",[1]!thsiFinD("ths_adjustment_nv_fund",S$3,$A920))</f>
        <v/>
      </c>
      <c r="T920" s="13" t="str">
        <f>IF($A920="","",[1]!thsiFinD("ths_adjustment_nv_fund",T$3,$A920))</f>
        <v/>
      </c>
      <c r="U920" s="13" t="str">
        <f>IF($A920="","",[1]!thsiFinD("ths_adjustment_nv_fund",U$3,$A920))</f>
        <v/>
      </c>
      <c r="V920" s="13" t="str">
        <f>IF($A920="","",[1]!thsiFinD("ths_adjustment_nv_fund",V$3,$A920))</f>
        <v/>
      </c>
      <c r="W920" s="13" t="str">
        <f>IF($A920="","",[1]!thsiFinD("ths_adjustment_nv_fund",W$3,$A920))</f>
        <v/>
      </c>
      <c r="X920" s="13" t="str">
        <f>IF($A920="","",[1]!thsiFinD("ths_adjustment_nv_fund",X$3,$A920))</f>
        <v/>
      </c>
      <c r="Y920" s="13" t="str">
        <f>IF($A920="","",[1]!thsiFinD("ths_adjustment_nv_fund",Y$3,$A920))</f>
        <v/>
      </c>
      <c r="Z920" s="13" t="str">
        <f>IF($A920="","",[1]!thsiFinD("ths_adjustment_nv_fund",Z$3,$A920))</f>
        <v/>
      </c>
      <c r="AA920" s="13" t="str">
        <f>IF($A920="","",[1]!thsiFinD("ths_adjustment_nv_fund",AA$3,$A920))</f>
        <v/>
      </c>
      <c r="AB920" s="13" t="str">
        <f>IF($A920="","",[1]!thsiFinD("ths_adjustment_nv_fund",AB$3,$A920))</f>
        <v/>
      </c>
    </row>
    <row r="921" spans="2:28">
      <c r="B921" s="13" t="str">
        <f>IF($A921="","",[1]!thsiFinD("ths_adjustment_nv_fund",B$3,$A921))</f>
        <v/>
      </c>
      <c r="C921" s="13" t="str">
        <f>IF($A921="","",[1]!thsiFinD("ths_adjustment_nv_fund",C$3,$A921))</f>
        <v/>
      </c>
      <c r="D921" s="13" t="str">
        <f>IF($A921="","",[1]!thsiFinD("ths_adjustment_nv_fund",D$3,$A921))</f>
        <v/>
      </c>
      <c r="E921" s="13" t="str">
        <f>IF($A921="","",[1]!thsiFinD("ths_adjustment_nv_fund",E$3,$A921))</f>
        <v/>
      </c>
      <c r="F921" s="13" t="str">
        <f>IF($A921="","",[1]!thsiFinD("ths_adjustment_nv_fund",F$3,$A921))</f>
        <v/>
      </c>
      <c r="G921" s="13" t="str">
        <f>IF($A921="","",[1]!thsiFinD("ths_adjustment_nv_fund",G$3,$A921))</f>
        <v/>
      </c>
      <c r="H921" s="13" t="str">
        <f>IF($A921="","",[1]!thsiFinD("ths_adjustment_nv_fund",H$3,$A921))</f>
        <v/>
      </c>
      <c r="I921" s="13" t="str">
        <f>IF($A921="","",[1]!thsiFinD("ths_adjustment_nv_fund",I$3,$A921))</f>
        <v/>
      </c>
      <c r="J921" s="13" t="str">
        <f>IF($A921="","",[1]!thsiFinD("ths_adjustment_nv_fund",J$3,$A921))</f>
        <v/>
      </c>
      <c r="K921" s="13" t="str">
        <f>IF($A921="","",[1]!thsiFinD("ths_adjustment_nv_fund",K$3,$A921))</f>
        <v/>
      </c>
      <c r="L921" s="13" t="str">
        <f>IF($A921="","",[1]!thsiFinD("ths_adjustment_nv_fund",L$3,$A921))</f>
        <v/>
      </c>
      <c r="M921" s="13" t="str">
        <f>IF($A921="","",[1]!thsiFinD("ths_adjustment_nv_fund",M$3,$A921))</f>
        <v/>
      </c>
      <c r="N921" s="13" t="str">
        <f>IF($A921="","",[1]!thsiFinD("ths_adjustment_nv_fund",N$3,$A921))</f>
        <v/>
      </c>
      <c r="O921" s="13" t="str">
        <f>IF($A921="","",[1]!thsiFinD("ths_adjustment_nv_fund",O$3,$A921))</f>
        <v/>
      </c>
      <c r="P921" s="13" t="str">
        <f>IF($A921="","",[1]!thsiFinD("ths_adjustment_nv_fund",P$3,$A921))</f>
        <v/>
      </c>
      <c r="Q921" s="13" t="str">
        <f>IF($A921="","",[1]!thsiFinD("ths_adjustment_nv_fund",Q$3,$A921))</f>
        <v/>
      </c>
      <c r="R921" s="13" t="str">
        <f>IF($A921="","",[1]!thsiFinD("ths_adjustment_nv_fund",R$3,$A921))</f>
        <v/>
      </c>
      <c r="S921" s="13" t="str">
        <f>IF($A921="","",[1]!thsiFinD("ths_adjustment_nv_fund",S$3,$A921))</f>
        <v/>
      </c>
      <c r="T921" s="13" t="str">
        <f>IF($A921="","",[1]!thsiFinD("ths_adjustment_nv_fund",T$3,$A921))</f>
        <v/>
      </c>
      <c r="U921" s="13" t="str">
        <f>IF($A921="","",[1]!thsiFinD("ths_adjustment_nv_fund",U$3,$A921))</f>
        <v/>
      </c>
      <c r="V921" s="13" t="str">
        <f>IF($A921="","",[1]!thsiFinD("ths_adjustment_nv_fund",V$3,$A921))</f>
        <v/>
      </c>
      <c r="W921" s="13" t="str">
        <f>IF($A921="","",[1]!thsiFinD("ths_adjustment_nv_fund",W$3,$A921))</f>
        <v/>
      </c>
      <c r="X921" s="13" t="str">
        <f>IF($A921="","",[1]!thsiFinD("ths_adjustment_nv_fund",X$3,$A921))</f>
        <v/>
      </c>
      <c r="Y921" s="13" t="str">
        <f>IF($A921="","",[1]!thsiFinD("ths_adjustment_nv_fund",Y$3,$A921))</f>
        <v/>
      </c>
      <c r="Z921" s="13" t="str">
        <f>IF($A921="","",[1]!thsiFinD("ths_adjustment_nv_fund",Z$3,$A921))</f>
        <v/>
      </c>
      <c r="AA921" s="13" t="str">
        <f>IF($A921="","",[1]!thsiFinD("ths_adjustment_nv_fund",AA$3,$A921))</f>
        <v/>
      </c>
      <c r="AB921" s="13" t="str">
        <f>IF($A921="","",[1]!thsiFinD("ths_adjustment_nv_fund",AB$3,$A921))</f>
        <v/>
      </c>
    </row>
    <row r="922" spans="2:28">
      <c r="B922" s="13" t="str">
        <f>IF($A922="","",[1]!thsiFinD("ths_adjustment_nv_fund",B$3,$A922))</f>
        <v/>
      </c>
      <c r="C922" s="13" t="str">
        <f>IF($A922="","",[1]!thsiFinD("ths_adjustment_nv_fund",C$3,$A922))</f>
        <v/>
      </c>
      <c r="D922" s="13" t="str">
        <f>IF($A922="","",[1]!thsiFinD("ths_adjustment_nv_fund",D$3,$A922))</f>
        <v/>
      </c>
      <c r="E922" s="13" t="str">
        <f>IF($A922="","",[1]!thsiFinD("ths_adjustment_nv_fund",E$3,$A922))</f>
        <v/>
      </c>
      <c r="F922" s="13" t="str">
        <f>IF($A922="","",[1]!thsiFinD("ths_adjustment_nv_fund",F$3,$A922))</f>
        <v/>
      </c>
      <c r="G922" s="13" t="str">
        <f>IF($A922="","",[1]!thsiFinD("ths_adjustment_nv_fund",G$3,$A922))</f>
        <v/>
      </c>
      <c r="H922" s="13" t="str">
        <f>IF($A922="","",[1]!thsiFinD("ths_adjustment_nv_fund",H$3,$A922))</f>
        <v/>
      </c>
      <c r="I922" s="13" t="str">
        <f>IF($A922="","",[1]!thsiFinD("ths_adjustment_nv_fund",I$3,$A922))</f>
        <v/>
      </c>
      <c r="J922" s="13" t="str">
        <f>IF($A922="","",[1]!thsiFinD("ths_adjustment_nv_fund",J$3,$A922))</f>
        <v/>
      </c>
      <c r="K922" s="13" t="str">
        <f>IF($A922="","",[1]!thsiFinD("ths_adjustment_nv_fund",K$3,$A922))</f>
        <v/>
      </c>
      <c r="L922" s="13" t="str">
        <f>IF($A922="","",[1]!thsiFinD("ths_adjustment_nv_fund",L$3,$A922))</f>
        <v/>
      </c>
      <c r="M922" s="13" t="str">
        <f>IF($A922="","",[1]!thsiFinD("ths_adjustment_nv_fund",M$3,$A922))</f>
        <v/>
      </c>
      <c r="N922" s="13" t="str">
        <f>IF($A922="","",[1]!thsiFinD("ths_adjustment_nv_fund",N$3,$A922))</f>
        <v/>
      </c>
      <c r="O922" s="13" t="str">
        <f>IF($A922="","",[1]!thsiFinD("ths_adjustment_nv_fund",O$3,$A922))</f>
        <v/>
      </c>
      <c r="P922" s="13" t="str">
        <f>IF($A922="","",[1]!thsiFinD("ths_adjustment_nv_fund",P$3,$A922))</f>
        <v/>
      </c>
      <c r="Q922" s="13" t="str">
        <f>IF($A922="","",[1]!thsiFinD("ths_adjustment_nv_fund",Q$3,$A922))</f>
        <v/>
      </c>
      <c r="R922" s="13" t="str">
        <f>IF($A922="","",[1]!thsiFinD("ths_adjustment_nv_fund",R$3,$A922))</f>
        <v/>
      </c>
      <c r="S922" s="13" t="str">
        <f>IF($A922="","",[1]!thsiFinD("ths_adjustment_nv_fund",S$3,$A922))</f>
        <v/>
      </c>
      <c r="T922" s="13" t="str">
        <f>IF($A922="","",[1]!thsiFinD("ths_adjustment_nv_fund",T$3,$A922))</f>
        <v/>
      </c>
      <c r="U922" s="13" t="str">
        <f>IF($A922="","",[1]!thsiFinD("ths_adjustment_nv_fund",U$3,$A922))</f>
        <v/>
      </c>
      <c r="V922" s="13" t="str">
        <f>IF($A922="","",[1]!thsiFinD("ths_adjustment_nv_fund",V$3,$A922))</f>
        <v/>
      </c>
      <c r="W922" s="13" t="str">
        <f>IF($A922="","",[1]!thsiFinD("ths_adjustment_nv_fund",W$3,$A922))</f>
        <v/>
      </c>
      <c r="X922" s="13" t="str">
        <f>IF($A922="","",[1]!thsiFinD("ths_adjustment_nv_fund",X$3,$A922))</f>
        <v/>
      </c>
      <c r="Y922" s="13" t="str">
        <f>IF($A922="","",[1]!thsiFinD("ths_adjustment_nv_fund",Y$3,$A922))</f>
        <v/>
      </c>
      <c r="Z922" s="13" t="str">
        <f>IF($A922="","",[1]!thsiFinD("ths_adjustment_nv_fund",Z$3,$A922))</f>
        <v/>
      </c>
      <c r="AA922" s="13" t="str">
        <f>IF($A922="","",[1]!thsiFinD("ths_adjustment_nv_fund",AA$3,$A922))</f>
        <v/>
      </c>
      <c r="AB922" s="13" t="str">
        <f>IF($A922="","",[1]!thsiFinD("ths_adjustment_nv_fund",AB$3,$A922))</f>
        <v/>
      </c>
    </row>
    <row r="923" spans="2:28">
      <c r="B923" s="13" t="str">
        <f>IF($A923="","",[1]!thsiFinD("ths_adjustment_nv_fund",B$3,$A923))</f>
        <v/>
      </c>
      <c r="C923" s="13" t="str">
        <f>IF($A923="","",[1]!thsiFinD("ths_adjustment_nv_fund",C$3,$A923))</f>
        <v/>
      </c>
      <c r="D923" s="13" t="str">
        <f>IF($A923="","",[1]!thsiFinD("ths_adjustment_nv_fund",D$3,$A923))</f>
        <v/>
      </c>
      <c r="E923" s="13" t="str">
        <f>IF($A923="","",[1]!thsiFinD("ths_adjustment_nv_fund",E$3,$A923))</f>
        <v/>
      </c>
      <c r="F923" s="13" t="str">
        <f>IF($A923="","",[1]!thsiFinD("ths_adjustment_nv_fund",F$3,$A923))</f>
        <v/>
      </c>
      <c r="G923" s="13" t="str">
        <f>IF($A923="","",[1]!thsiFinD("ths_adjustment_nv_fund",G$3,$A923))</f>
        <v/>
      </c>
      <c r="H923" s="13" t="str">
        <f>IF($A923="","",[1]!thsiFinD("ths_adjustment_nv_fund",H$3,$A923))</f>
        <v/>
      </c>
      <c r="I923" s="13" t="str">
        <f>IF($A923="","",[1]!thsiFinD("ths_adjustment_nv_fund",I$3,$A923))</f>
        <v/>
      </c>
      <c r="J923" s="13" t="str">
        <f>IF($A923="","",[1]!thsiFinD("ths_adjustment_nv_fund",J$3,$A923))</f>
        <v/>
      </c>
      <c r="K923" s="13" t="str">
        <f>IF($A923="","",[1]!thsiFinD("ths_adjustment_nv_fund",K$3,$A923))</f>
        <v/>
      </c>
      <c r="L923" s="13" t="str">
        <f>IF($A923="","",[1]!thsiFinD("ths_adjustment_nv_fund",L$3,$A923))</f>
        <v/>
      </c>
      <c r="M923" s="13" t="str">
        <f>IF($A923="","",[1]!thsiFinD("ths_adjustment_nv_fund",M$3,$A923))</f>
        <v/>
      </c>
      <c r="N923" s="13" t="str">
        <f>IF($A923="","",[1]!thsiFinD("ths_adjustment_nv_fund",N$3,$A923))</f>
        <v/>
      </c>
      <c r="O923" s="13" t="str">
        <f>IF($A923="","",[1]!thsiFinD("ths_adjustment_nv_fund",O$3,$A923))</f>
        <v/>
      </c>
      <c r="P923" s="13" t="str">
        <f>IF($A923="","",[1]!thsiFinD("ths_adjustment_nv_fund",P$3,$A923))</f>
        <v/>
      </c>
      <c r="Q923" s="13" t="str">
        <f>IF($A923="","",[1]!thsiFinD("ths_adjustment_nv_fund",Q$3,$A923))</f>
        <v/>
      </c>
      <c r="R923" s="13" t="str">
        <f>IF($A923="","",[1]!thsiFinD("ths_adjustment_nv_fund",R$3,$A923))</f>
        <v/>
      </c>
      <c r="S923" s="13" t="str">
        <f>IF($A923="","",[1]!thsiFinD("ths_adjustment_nv_fund",S$3,$A923))</f>
        <v/>
      </c>
      <c r="T923" s="13" t="str">
        <f>IF($A923="","",[1]!thsiFinD("ths_adjustment_nv_fund",T$3,$A923))</f>
        <v/>
      </c>
      <c r="U923" s="13" t="str">
        <f>IF($A923="","",[1]!thsiFinD("ths_adjustment_nv_fund",U$3,$A923))</f>
        <v/>
      </c>
      <c r="V923" s="13" t="str">
        <f>IF($A923="","",[1]!thsiFinD("ths_adjustment_nv_fund",V$3,$A923))</f>
        <v/>
      </c>
      <c r="W923" s="13" t="str">
        <f>IF($A923="","",[1]!thsiFinD("ths_adjustment_nv_fund",W$3,$A923))</f>
        <v/>
      </c>
      <c r="X923" s="13" t="str">
        <f>IF($A923="","",[1]!thsiFinD("ths_adjustment_nv_fund",X$3,$A923))</f>
        <v/>
      </c>
      <c r="Y923" s="13" t="str">
        <f>IF($A923="","",[1]!thsiFinD("ths_adjustment_nv_fund",Y$3,$A923))</f>
        <v/>
      </c>
      <c r="Z923" s="13" t="str">
        <f>IF($A923="","",[1]!thsiFinD("ths_adjustment_nv_fund",Z$3,$A923))</f>
        <v/>
      </c>
      <c r="AA923" s="13" t="str">
        <f>IF($A923="","",[1]!thsiFinD("ths_adjustment_nv_fund",AA$3,$A923))</f>
        <v/>
      </c>
      <c r="AB923" s="13" t="str">
        <f>IF($A923="","",[1]!thsiFinD("ths_adjustment_nv_fund",AB$3,$A923))</f>
        <v/>
      </c>
    </row>
    <row r="924" spans="2:28">
      <c r="B924" s="13" t="str">
        <f>IF($A924="","",[1]!thsiFinD("ths_adjustment_nv_fund",B$3,$A924))</f>
        <v/>
      </c>
      <c r="C924" s="13" t="str">
        <f>IF($A924="","",[1]!thsiFinD("ths_adjustment_nv_fund",C$3,$A924))</f>
        <v/>
      </c>
      <c r="D924" s="13" t="str">
        <f>IF($A924="","",[1]!thsiFinD("ths_adjustment_nv_fund",D$3,$A924))</f>
        <v/>
      </c>
      <c r="E924" s="13" t="str">
        <f>IF($A924="","",[1]!thsiFinD("ths_adjustment_nv_fund",E$3,$A924))</f>
        <v/>
      </c>
      <c r="F924" s="13" t="str">
        <f>IF($A924="","",[1]!thsiFinD("ths_adjustment_nv_fund",F$3,$A924))</f>
        <v/>
      </c>
      <c r="G924" s="13" t="str">
        <f>IF($A924="","",[1]!thsiFinD("ths_adjustment_nv_fund",G$3,$A924))</f>
        <v/>
      </c>
      <c r="H924" s="13" t="str">
        <f>IF($A924="","",[1]!thsiFinD("ths_adjustment_nv_fund",H$3,$A924))</f>
        <v/>
      </c>
      <c r="I924" s="13" t="str">
        <f>IF($A924="","",[1]!thsiFinD("ths_adjustment_nv_fund",I$3,$A924))</f>
        <v/>
      </c>
      <c r="J924" s="13" t="str">
        <f>IF($A924="","",[1]!thsiFinD("ths_adjustment_nv_fund",J$3,$A924))</f>
        <v/>
      </c>
      <c r="K924" s="13" t="str">
        <f>IF($A924="","",[1]!thsiFinD("ths_adjustment_nv_fund",K$3,$A924))</f>
        <v/>
      </c>
      <c r="L924" s="13" t="str">
        <f>IF($A924="","",[1]!thsiFinD("ths_adjustment_nv_fund",L$3,$A924))</f>
        <v/>
      </c>
      <c r="M924" s="13" t="str">
        <f>IF($A924="","",[1]!thsiFinD("ths_adjustment_nv_fund",M$3,$A924))</f>
        <v/>
      </c>
      <c r="N924" s="13" t="str">
        <f>IF($A924="","",[1]!thsiFinD("ths_adjustment_nv_fund",N$3,$A924))</f>
        <v/>
      </c>
      <c r="O924" s="13" t="str">
        <f>IF($A924="","",[1]!thsiFinD("ths_adjustment_nv_fund",O$3,$A924))</f>
        <v/>
      </c>
      <c r="P924" s="13" t="str">
        <f>IF($A924="","",[1]!thsiFinD("ths_adjustment_nv_fund",P$3,$A924))</f>
        <v/>
      </c>
      <c r="Q924" s="13" t="str">
        <f>IF($A924="","",[1]!thsiFinD("ths_adjustment_nv_fund",Q$3,$A924))</f>
        <v/>
      </c>
      <c r="R924" s="13" t="str">
        <f>IF($A924="","",[1]!thsiFinD("ths_adjustment_nv_fund",R$3,$A924))</f>
        <v/>
      </c>
      <c r="S924" s="13" t="str">
        <f>IF($A924="","",[1]!thsiFinD("ths_adjustment_nv_fund",S$3,$A924))</f>
        <v/>
      </c>
      <c r="T924" s="13" t="str">
        <f>IF($A924="","",[1]!thsiFinD("ths_adjustment_nv_fund",T$3,$A924))</f>
        <v/>
      </c>
      <c r="U924" s="13" t="str">
        <f>IF($A924="","",[1]!thsiFinD("ths_adjustment_nv_fund",U$3,$A924))</f>
        <v/>
      </c>
      <c r="V924" s="13" t="str">
        <f>IF($A924="","",[1]!thsiFinD("ths_adjustment_nv_fund",V$3,$A924))</f>
        <v/>
      </c>
      <c r="W924" s="13" t="str">
        <f>IF($A924="","",[1]!thsiFinD("ths_adjustment_nv_fund",W$3,$A924))</f>
        <v/>
      </c>
      <c r="X924" s="13" t="str">
        <f>IF($A924="","",[1]!thsiFinD("ths_adjustment_nv_fund",X$3,$A924))</f>
        <v/>
      </c>
      <c r="Y924" s="13" t="str">
        <f>IF($A924="","",[1]!thsiFinD("ths_adjustment_nv_fund",Y$3,$A924))</f>
        <v/>
      </c>
      <c r="Z924" s="13" t="str">
        <f>IF($A924="","",[1]!thsiFinD("ths_adjustment_nv_fund",Z$3,$A924))</f>
        <v/>
      </c>
      <c r="AA924" s="13" t="str">
        <f>IF($A924="","",[1]!thsiFinD("ths_adjustment_nv_fund",AA$3,$A924))</f>
        <v/>
      </c>
      <c r="AB924" s="13" t="str">
        <f>IF($A924="","",[1]!thsiFinD("ths_adjustment_nv_fund",AB$3,$A924))</f>
        <v/>
      </c>
    </row>
    <row r="925" spans="2:28">
      <c r="B925" s="13" t="str">
        <f>IF($A925="","",[1]!thsiFinD("ths_adjustment_nv_fund",B$3,$A925))</f>
        <v/>
      </c>
      <c r="C925" s="13" t="str">
        <f>IF($A925="","",[1]!thsiFinD("ths_adjustment_nv_fund",C$3,$A925))</f>
        <v/>
      </c>
      <c r="D925" s="13" t="str">
        <f>IF($A925="","",[1]!thsiFinD("ths_adjustment_nv_fund",D$3,$A925))</f>
        <v/>
      </c>
      <c r="E925" s="13" t="str">
        <f>IF($A925="","",[1]!thsiFinD("ths_adjustment_nv_fund",E$3,$A925))</f>
        <v/>
      </c>
      <c r="F925" s="13" t="str">
        <f>IF($A925="","",[1]!thsiFinD("ths_adjustment_nv_fund",F$3,$A925))</f>
        <v/>
      </c>
      <c r="G925" s="13" t="str">
        <f>IF($A925="","",[1]!thsiFinD("ths_adjustment_nv_fund",G$3,$A925))</f>
        <v/>
      </c>
      <c r="H925" s="13" t="str">
        <f>IF($A925="","",[1]!thsiFinD("ths_adjustment_nv_fund",H$3,$A925))</f>
        <v/>
      </c>
      <c r="I925" s="13" t="str">
        <f>IF($A925="","",[1]!thsiFinD("ths_adjustment_nv_fund",I$3,$A925))</f>
        <v/>
      </c>
      <c r="J925" s="13" t="str">
        <f>IF($A925="","",[1]!thsiFinD("ths_adjustment_nv_fund",J$3,$A925))</f>
        <v/>
      </c>
      <c r="K925" s="13" t="str">
        <f>IF($A925="","",[1]!thsiFinD("ths_adjustment_nv_fund",K$3,$A925))</f>
        <v/>
      </c>
      <c r="L925" s="13" t="str">
        <f>IF($A925="","",[1]!thsiFinD("ths_adjustment_nv_fund",L$3,$A925))</f>
        <v/>
      </c>
      <c r="M925" s="13" t="str">
        <f>IF($A925="","",[1]!thsiFinD("ths_adjustment_nv_fund",M$3,$A925))</f>
        <v/>
      </c>
      <c r="N925" s="13" t="str">
        <f>IF($A925="","",[1]!thsiFinD("ths_adjustment_nv_fund",N$3,$A925))</f>
        <v/>
      </c>
      <c r="O925" s="13" t="str">
        <f>IF($A925="","",[1]!thsiFinD("ths_adjustment_nv_fund",O$3,$A925))</f>
        <v/>
      </c>
      <c r="P925" s="13" t="str">
        <f>IF($A925="","",[1]!thsiFinD("ths_adjustment_nv_fund",P$3,$A925))</f>
        <v/>
      </c>
      <c r="Q925" s="13" t="str">
        <f>IF($A925="","",[1]!thsiFinD("ths_adjustment_nv_fund",Q$3,$A925))</f>
        <v/>
      </c>
      <c r="R925" s="13" t="str">
        <f>IF($A925="","",[1]!thsiFinD("ths_adjustment_nv_fund",R$3,$A925))</f>
        <v/>
      </c>
      <c r="S925" s="13" t="str">
        <f>IF($A925="","",[1]!thsiFinD("ths_adjustment_nv_fund",S$3,$A925))</f>
        <v/>
      </c>
      <c r="T925" s="13" t="str">
        <f>IF($A925="","",[1]!thsiFinD("ths_adjustment_nv_fund",T$3,$A925))</f>
        <v/>
      </c>
      <c r="U925" s="13" t="str">
        <f>IF($A925="","",[1]!thsiFinD("ths_adjustment_nv_fund",U$3,$A925))</f>
        <v/>
      </c>
      <c r="V925" s="13" t="str">
        <f>IF($A925="","",[1]!thsiFinD("ths_adjustment_nv_fund",V$3,$A925))</f>
        <v/>
      </c>
      <c r="W925" s="13" t="str">
        <f>IF($A925="","",[1]!thsiFinD("ths_adjustment_nv_fund",W$3,$A925))</f>
        <v/>
      </c>
      <c r="X925" s="13" t="str">
        <f>IF($A925="","",[1]!thsiFinD("ths_adjustment_nv_fund",X$3,$A925))</f>
        <v/>
      </c>
      <c r="Y925" s="13" t="str">
        <f>IF($A925="","",[1]!thsiFinD("ths_adjustment_nv_fund",Y$3,$A925))</f>
        <v/>
      </c>
      <c r="Z925" s="13" t="str">
        <f>IF($A925="","",[1]!thsiFinD("ths_adjustment_nv_fund",Z$3,$A925))</f>
        <v/>
      </c>
      <c r="AA925" s="13" t="str">
        <f>IF($A925="","",[1]!thsiFinD("ths_adjustment_nv_fund",AA$3,$A925))</f>
        <v/>
      </c>
      <c r="AB925" s="13" t="str">
        <f>IF($A925="","",[1]!thsiFinD("ths_adjustment_nv_fund",AB$3,$A925))</f>
        <v/>
      </c>
    </row>
    <row r="926" spans="2:28">
      <c r="B926" s="13" t="str">
        <f>IF($A926="","",[1]!thsiFinD("ths_adjustment_nv_fund",B$3,$A926))</f>
        <v/>
      </c>
      <c r="C926" s="13" t="str">
        <f>IF($A926="","",[1]!thsiFinD("ths_adjustment_nv_fund",C$3,$A926))</f>
        <v/>
      </c>
      <c r="D926" s="13" t="str">
        <f>IF($A926="","",[1]!thsiFinD("ths_adjustment_nv_fund",D$3,$A926))</f>
        <v/>
      </c>
      <c r="E926" s="13" t="str">
        <f>IF($A926="","",[1]!thsiFinD("ths_adjustment_nv_fund",E$3,$A926))</f>
        <v/>
      </c>
      <c r="F926" s="13" t="str">
        <f>IF($A926="","",[1]!thsiFinD("ths_adjustment_nv_fund",F$3,$A926))</f>
        <v/>
      </c>
      <c r="G926" s="13" t="str">
        <f>IF($A926="","",[1]!thsiFinD("ths_adjustment_nv_fund",G$3,$A926))</f>
        <v/>
      </c>
      <c r="H926" s="13" t="str">
        <f>IF($A926="","",[1]!thsiFinD("ths_adjustment_nv_fund",H$3,$A926))</f>
        <v/>
      </c>
      <c r="I926" s="13" t="str">
        <f>IF($A926="","",[1]!thsiFinD("ths_adjustment_nv_fund",I$3,$A926))</f>
        <v/>
      </c>
      <c r="J926" s="13" t="str">
        <f>IF($A926="","",[1]!thsiFinD("ths_adjustment_nv_fund",J$3,$A926))</f>
        <v/>
      </c>
      <c r="K926" s="13" t="str">
        <f>IF($A926="","",[1]!thsiFinD("ths_adjustment_nv_fund",K$3,$A926))</f>
        <v/>
      </c>
      <c r="L926" s="13" t="str">
        <f>IF($A926="","",[1]!thsiFinD("ths_adjustment_nv_fund",L$3,$A926))</f>
        <v/>
      </c>
      <c r="M926" s="13" t="str">
        <f>IF($A926="","",[1]!thsiFinD("ths_adjustment_nv_fund",M$3,$A926))</f>
        <v/>
      </c>
      <c r="N926" s="13" t="str">
        <f>IF($A926="","",[1]!thsiFinD("ths_adjustment_nv_fund",N$3,$A926))</f>
        <v/>
      </c>
      <c r="O926" s="13" t="str">
        <f>IF($A926="","",[1]!thsiFinD("ths_adjustment_nv_fund",O$3,$A926))</f>
        <v/>
      </c>
      <c r="P926" s="13" t="str">
        <f>IF($A926="","",[1]!thsiFinD("ths_adjustment_nv_fund",P$3,$A926))</f>
        <v/>
      </c>
      <c r="Q926" s="13" t="str">
        <f>IF($A926="","",[1]!thsiFinD("ths_adjustment_nv_fund",Q$3,$A926))</f>
        <v/>
      </c>
      <c r="R926" s="13" t="str">
        <f>IF($A926="","",[1]!thsiFinD("ths_adjustment_nv_fund",R$3,$A926))</f>
        <v/>
      </c>
      <c r="S926" s="13" t="str">
        <f>IF($A926="","",[1]!thsiFinD("ths_adjustment_nv_fund",S$3,$A926))</f>
        <v/>
      </c>
      <c r="T926" s="13" t="str">
        <f>IF($A926="","",[1]!thsiFinD("ths_adjustment_nv_fund",T$3,$A926))</f>
        <v/>
      </c>
      <c r="U926" s="13" t="str">
        <f>IF($A926="","",[1]!thsiFinD("ths_adjustment_nv_fund",U$3,$A926))</f>
        <v/>
      </c>
      <c r="V926" s="13" t="str">
        <f>IF($A926="","",[1]!thsiFinD("ths_adjustment_nv_fund",V$3,$A926))</f>
        <v/>
      </c>
      <c r="W926" s="13" t="str">
        <f>IF($A926="","",[1]!thsiFinD("ths_adjustment_nv_fund",W$3,$A926))</f>
        <v/>
      </c>
      <c r="X926" s="13" t="str">
        <f>IF($A926="","",[1]!thsiFinD("ths_adjustment_nv_fund",X$3,$A926))</f>
        <v/>
      </c>
      <c r="Y926" s="13" t="str">
        <f>IF($A926="","",[1]!thsiFinD("ths_adjustment_nv_fund",Y$3,$A926))</f>
        <v/>
      </c>
      <c r="Z926" s="13" t="str">
        <f>IF($A926="","",[1]!thsiFinD("ths_adjustment_nv_fund",Z$3,$A926))</f>
        <v/>
      </c>
      <c r="AA926" s="13" t="str">
        <f>IF($A926="","",[1]!thsiFinD("ths_adjustment_nv_fund",AA$3,$A926))</f>
        <v/>
      </c>
      <c r="AB926" s="13" t="str">
        <f>IF($A926="","",[1]!thsiFinD("ths_adjustment_nv_fund",AB$3,$A926))</f>
        <v/>
      </c>
    </row>
    <row r="927" spans="2:28">
      <c r="B927" s="13" t="str">
        <f>IF($A927="","",[1]!thsiFinD("ths_adjustment_nv_fund",B$3,$A927))</f>
        <v/>
      </c>
      <c r="C927" s="13" t="str">
        <f>IF($A927="","",[1]!thsiFinD("ths_adjustment_nv_fund",C$3,$A927))</f>
        <v/>
      </c>
      <c r="D927" s="13" t="str">
        <f>IF($A927="","",[1]!thsiFinD("ths_adjustment_nv_fund",D$3,$A927))</f>
        <v/>
      </c>
      <c r="E927" s="13" t="str">
        <f>IF($A927="","",[1]!thsiFinD("ths_adjustment_nv_fund",E$3,$A927))</f>
        <v/>
      </c>
      <c r="F927" s="13" t="str">
        <f>IF($A927="","",[1]!thsiFinD("ths_adjustment_nv_fund",F$3,$A927))</f>
        <v/>
      </c>
      <c r="G927" s="13" t="str">
        <f>IF($A927="","",[1]!thsiFinD("ths_adjustment_nv_fund",G$3,$A927))</f>
        <v/>
      </c>
      <c r="H927" s="13" t="str">
        <f>IF($A927="","",[1]!thsiFinD("ths_adjustment_nv_fund",H$3,$A927))</f>
        <v/>
      </c>
      <c r="I927" s="13" t="str">
        <f>IF($A927="","",[1]!thsiFinD("ths_adjustment_nv_fund",I$3,$A927))</f>
        <v/>
      </c>
      <c r="J927" s="13" t="str">
        <f>IF($A927="","",[1]!thsiFinD("ths_adjustment_nv_fund",J$3,$A927))</f>
        <v/>
      </c>
      <c r="K927" s="13" t="str">
        <f>IF($A927="","",[1]!thsiFinD("ths_adjustment_nv_fund",K$3,$A927))</f>
        <v/>
      </c>
      <c r="L927" s="13" t="str">
        <f>IF($A927="","",[1]!thsiFinD("ths_adjustment_nv_fund",L$3,$A927))</f>
        <v/>
      </c>
      <c r="M927" s="13" t="str">
        <f>IF($A927="","",[1]!thsiFinD("ths_adjustment_nv_fund",M$3,$A927))</f>
        <v/>
      </c>
      <c r="N927" s="13" t="str">
        <f>IF($A927="","",[1]!thsiFinD("ths_adjustment_nv_fund",N$3,$A927))</f>
        <v/>
      </c>
      <c r="O927" s="13" t="str">
        <f>IF($A927="","",[1]!thsiFinD("ths_adjustment_nv_fund",O$3,$A927))</f>
        <v/>
      </c>
      <c r="P927" s="13" t="str">
        <f>IF($A927="","",[1]!thsiFinD("ths_adjustment_nv_fund",P$3,$A927))</f>
        <v/>
      </c>
      <c r="Q927" s="13" t="str">
        <f>IF($A927="","",[1]!thsiFinD("ths_adjustment_nv_fund",Q$3,$A927))</f>
        <v/>
      </c>
      <c r="R927" s="13" t="str">
        <f>IF($A927="","",[1]!thsiFinD("ths_adjustment_nv_fund",R$3,$A927))</f>
        <v/>
      </c>
      <c r="S927" s="13" t="str">
        <f>IF($A927="","",[1]!thsiFinD("ths_adjustment_nv_fund",S$3,$A927))</f>
        <v/>
      </c>
      <c r="T927" s="13" t="str">
        <f>IF($A927="","",[1]!thsiFinD("ths_adjustment_nv_fund",T$3,$A927))</f>
        <v/>
      </c>
      <c r="U927" s="13" t="str">
        <f>IF($A927="","",[1]!thsiFinD("ths_adjustment_nv_fund",U$3,$A927))</f>
        <v/>
      </c>
      <c r="V927" s="13" t="str">
        <f>IF($A927="","",[1]!thsiFinD("ths_adjustment_nv_fund",V$3,$A927))</f>
        <v/>
      </c>
      <c r="W927" s="13" t="str">
        <f>IF($A927="","",[1]!thsiFinD("ths_adjustment_nv_fund",W$3,$A927))</f>
        <v/>
      </c>
      <c r="X927" s="13" t="str">
        <f>IF($A927="","",[1]!thsiFinD("ths_adjustment_nv_fund",X$3,$A927))</f>
        <v/>
      </c>
      <c r="Y927" s="13" t="str">
        <f>IF($A927="","",[1]!thsiFinD("ths_adjustment_nv_fund",Y$3,$A927))</f>
        <v/>
      </c>
      <c r="Z927" s="13" t="str">
        <f>IF($A927="","",[1]!thsiFinD("ths_adjustment_nv_fund",Z$3,$A927))</f>
        <v/>
      </c>
      <c r="AA927" s="13" t="str">
        <f>IF($A927="","",[1]!thsiFinD("ths_adjustment_nv_fund",AA$3,$A927))</f>
        <v/>
      </c>
      <c r="AB927" s="13" t="str">
        <f>IF($A927="","",[1]!thsiFinD("ths_adjustment_nv_fund",AB$3,$A927))</f>
        <v/>
      </c>
    </row>
    <row r="928" spans="2:28">
      <c r="B928" s="13" t="str">
        <f>IF($A928="","",[1]!thsiFinD("ths_adjustment_nv_fund",B$3,$A928))</f>
        <v/>
      </c>
      <c r="C928" s="13" t="str">
        <f>IF($A928="","",[1]!thsiFinD("ths_adjustment_nv_fund",C$3,$A928))</f>
        <v/>
      </c>
      <c r="D928" s="13" t="str">
        <f>IF($A928="","",[1]!thsiFinD("ths_adjustment_nv_fund",D$3,$A928))</f>
        <v/>
      </c>
      <c r="E928" s="13" t="str">
        <f>IF($A928="","",[1]!thsiFinD("ths_adjustment_nv_fund",E$3,$A928))</f>
        <v/>
      </c>
      <c r="F928" s="13" t="str">
        <f>IF($A928="","",[1]!thsiFinD("ths_adjustment_nv_fund",F$3,$A928))</f>
        <v/>
      </c>
      <c r="G928" s="13" t="str">
        <f>IF($A928="","",[1]!thsiFinD("ths_adjustment_nv_fund",G$3,$A928))</f>
        <v/>
      </c>
      <c r="H928" s="13" t="str">
        <f>IF($A928="","",[1]!thsiFinD("ths_adjustment_nv_fund",H$3,$A928))</f>
        <v/>
      </c>
      <c r="I928" s="13" t="str">
        <f>IF($A928="","",[1]!thsiFinD("ths_adjustment_nv_fund",I$3,$A928))</f>
        <v/>
      </c>
      <c r="J928" s="13" t="str">
        <f>IF($A928="","",[1]!thsiFinD("ths_adjustment_nv_fund",J$3,$A928))</f>
        <v/>
      </c>
      <c r="K928" s="13" t="str">
        <f>IF($A928="","",[1]!thsiFinD("ths_adjustment_nv_fund",K$3,$A928))</f>
        <v/>
      </c>
      <c r="L928" s="13" t="str">
        <f>IF($A928="","",[1]!thsiFinD("ths_adjustment_nv_fund",L$3,$A928))</f>
        <v/>
      </c>
      <c r="M928" s="13" t="str">
        <f>IF($A928="","",[1]!thsiFinD("ths_adjustment_nv_fund",M$3,$A928))</f>
        <v/>
      </c>
      <c r="N928" s="13" t="str">
        <f>IF($A928="","",[1]!thsiFinD("ths_adjustment_nv_fund",N$3,$A928))</f>
        <v/>
      </c>
      <c r="O928" s="13" t="str">
        <f>IF($A928="","",[1]!thsiFinD("ths_adjustment_nv_fund",O$3,$A928))</f>
        <v/>
      </c>
      <c r="P928" s="13" t="str">
        <f>IF($A928="","",[1]!thsiFinD("ths_adjustment_nv_fund",P$3,$A928))</f>
        <v/>
      </c>
      <c r="Q928" s="13" t="str">
        <f>IF($A928="","",[1]!thsiFinD("ths_adjustment_nv_fund",Q$3,$A928))</f>
        <v/>
      </c>
      <c r="R928" s="13" t="str">
        <f>IF($A928="","",[1]!thsiFinD("ths_adjustment_nv_fund",R$3,$A928))</f>
        <v/>
      </c>
      <c r="S928" s="13" t="str">
        <f>IF($A928="","",[1]!thsiFinD("ths_adjustment_nv_fund",S$3,$A928))</f>
        <v/>
      </c>
      <c r="T928" s="13" t="str">
        <f>IF($A928="","",[1]!thsiFinD("ths_adjustment_nv_fund",T$3,$A928))</f>
        <v/>
      </c>
      <c r="U928" s="13" t="str">
        <f>IF($A928="","",[1]!thsiFinD("ths_adjustment_nv_fund",U$3,$A928))</f>
        <v/>
      </c>
      <c r="V928" s="13" t="str">
        <f>IF($A928="","",[1]!thsiFinD("ths_adjustment_nv_fund",V$3,$A928))</f>
        <v/>
      </c>
      <c r="W928" s="13" t="str">
        <f>IF($A928="","",[1]!thsiFinD("ths_adjustment_nv_fund",W$3,$A928))</f>
        <v/>
      </c>
      <c r="X928" s="13" t="str">
        <f>IF($A928="","",[1]!thsiFinD("ths_adjustment_nv_fund",X$3,$A928))</f>
        <v/>
      </c>
      <c r="Y928" s="13" t="str">
        <f>IF($A928="","",[1]!thsiFinD("ths_adjustment_nv_fund",Y$3,$A928))</f>
        <v/>
      </c>
      <c r="Z928" s="13" t="str">
        <f>IF($A928="","",[1]!thsiFinD("ths_adjustment_nv_fund",Z$3,$A928))</f>
        <v/>
      </c>
      <c r="AA928" s="13" t="str">
        <f>IF($A928="","",[1]!thsiFinD("ths_adjustment_nv_fund",AA$3,$A928))</f>
        <v/>
      </c>
      <c r="AB928" s="13" t="str">
        <f>IF($A928="","",[1]!thsiFinD("ths_adjustment_nv_fund",AB$3,$A928))</f>
        <v/>
      </c>
    </row>
    <row r="929" spans="2:28">
      <c r="B929" s="13" t="str">
        <f>IF($A929="","",[1]!thsiFinD("ths_adjustment_nv_fund",B$3,$A929))</f>
        <v/>
      </c>
      <c r="C929" s="13" t="str">
        <f>IF($A929="","",[1]!thsiFinD("ths_adjustment_nv_fund",C$3,$A929))</f>
        <v/>
      </c>
      <c r="D929" s="13" t="str">
        <f>IF($A929="","",[1]!thsiFinD("ths_adjustment_nv_fund",D$3,$A929))</f>
        <v/>
      </c>
      <c r="E929" s="13" t="str">
        <f>IF($A929="","",[1]!thsiFinD("ths_adjustment_nv_fund",E$3,$A929))</f>
        <v/>
      </c>
      <c r="F929" s="13" t="str">
        <f>IF($A929="","",[1]!thsiFinD("ths_adjustment_nv_fund",F$3,$A929))</f>
        <v/>
      </c>
      <c r="G929" s="13" t="str">
        <f>IF($A929="","",[1]!thsiFinD("ths_adjustment_nv_fund",G$3,$A929))</f>
        <v/>
      </c>
      <c r="H929" s="13" t="str">
        <f>IF($A929="","",[1]!thsiFinD("ths_adjustment_nv_fund",H$3,$A929))</f>
        <v/>
      </c>
      <c r="I929" s="13" t="str">
        <f>IF($A929="","",[1]!thsiFinD("ths_adjustment_nv_fund",I$3,$A929))</f>
        <v/>
      </c>
      <c r="J929" s="13" t="str">
        <f>IF($A929="","",[1]!thsiFinD("ths_adjustment_nv_fund",J$3,$A929))</f>
        <v/>
      </c>
      <c r="K929" s="13" t="str">
        <f>IF($A929="","",[1]!thsiFinD("ths_adjustment_nv_fund",K$3,$A929))</f>
        <v/>
      </c>
      <c r="L929" s="13" t="str">
        <f>IF($A929="","",[1]!thsiFinD("ths_adjustment_nv_fund",L$3,$A929))</f>
        <v/>
      </c>
      <c r="M929" s="13" t="str">
        <f>IF($A929="","",[1]!thsiFinD("ths_adjustment_nv_fund",M$3,$A929))</f>
        <v/>
      </c>
      <c r="N929" s="13" t="str">
        <f>IF($A929="","",[1]!thsiFinD("ths_adjustment_nv_fund",N$3,$A929))</f>
        <v/>
      </c>
      <c r="O929" s="13" t="str">
        <f>IF($A929="","",[1]!thsiFinD("ths_adjustment_nv_fund",O$3,$A929))</f>
        <v/>
      </c>
      <c r="P929" s="13" t="str">
        <f>IF($A929="","",[1]!thsiFinD("ths_adjustment_nv_fund",P$3,$A929))</f>
        <v/>
      </c>
      <c r="Q929" s="13" t="str">
        <f>IF($A929="","",[1]!thsiFinD("ths_adjustment_nv_fund",Q$3,$A929))</f>
        <v/>
      </c>
      <c r="R929" s="13" t="str">
        <f>IF($A929="","",[1]!thsiFinD("ths_adjustment_nv_fund",R$3,$A929))</f>
        <v/>
      </c>
      <c r="S929" s="13" t="str">
        <f>IF($A929="","",[1]!thsiFinD("ths_adjustment_nv_fund",S$3,$A929))</f>
        <v/>
      </c>
      <c r="T929" s="13" t="str">
        <f>IF($A929="","",[1]!thsiFinD("ths_adjustment_nv_fund",T$3,$A929))</f>
        <v/>
      </c>
      <c r="U929" s="13" t="str">
        <f>IF($A929="","",[1]!thsiFinD("ths_adjustment_nv_fund",U$3,$A929))</f>
        <v/>
      </c>
      <c r="V929" s="13" t="str">
        <f>IF($A929="","",[1]!thsiFinD("ths_adjustment_nv_fund",V$3,$A929))</f>
        <v/>
      </c>
      <c r="W929" s="13" t="str">
        <f>IF($A929="","",[1]!thsiFinD("ths_adjustment_nv_fund",W$3,$A929))</f>
        <v/>
      </c>
      <c r="X929" s="13" t="str">
        <f>IF($A929="","",[1]!thsiFinD("ths_adjustment_nv_fund",X$3,$A929))</f>
        <v/>
      </c>
      <c r="Y929" s="13" t="str">
        <f>IF($A929="","",[1]!thsiFinD("ths_adjustment_nv_fund",Y$3,$A929))</f>
        <v/>
      </c>
      <c r="Z929" s="13" t="str">
        <f>IF($A929="","",[1]!thsiFinD("ths_adjustment_nv_fund",Z$3,$A929))</f>
        <v/>
      </c>
      <c r="AA929" s="13" t="str">
        <f>IF($A929="","",[1]!thsiFinD("ths_adjustment_nv_fund",AA$3,$A929))</f>
        <v/>
      </c>
      <c r="AB929" s="13" t="str">
        <f>IF($A929="","",[1]!thsiFinD("ths_adjustment_nv_fund",AB$3,$A929))</f>
        <v/>
      </c>
    </row>
    <row r="930" spans="2:28">
      <c r="B930" s="13" t="str">
        <f>IF($A930="","",[1]!thsiFinD("ths_adjustment_nv_fund",B$3,$A930))</f>
        <v/>
      </c>
      <c r="C930" s="13" t="str">
        <f>IF($A930="","",[1]!thsiFinD("ths_adjustment_nv_fund",C$3,$A930))</f>
        <v/>
      </c>
      <c r="D930" s="13" t="str">
        <f>IF($A930="","",[1]!thsiFinD("ths_adjustment_nv_fund",D$3,$A930))</f>
        <v/>
      </c>
      <c r="E930" s="13" t="str">
        <f>IF($A930="","",[1]!thsiFinD("ths_adjustment_nv_fund",E$3,$A930))</f>
        <v/>
      </c>
      <c r="F930" s="13" t="str">
        <f>IF($A930="","",[1]!thsiFinD("ths_adjustment_nv_fund",F$3,$A930))</f>
        <v/>
      </c>
      <c r="G930" s="13" t="str">
        <f>IF($A930="","",[1]!thsiFinD("ths_adjustment_nv_fund",G$3,$A930))</f>
        <v/>
      </c>
      <c r="H930" s="13" t="str">
        <f>IF($A930="","",[1]!thsiFinD("ths_adjustment_nv_fund",H$3,$A930))</f>
        <v/>
      </c>
      <c r="I930" s="13" t="str">
        <f>IF($A930="","",[1]!thsiFinD("ths_adjustment_nv_fund",I$3,$A930))</f>
        <v/>
      </c>
      <c r="J930" s="13" t="str">
        <f>IF($A930="","",[1]!thsiFinD("ths_adjustment_nv_fund",J$3,$A930))</f>
        <v/>
      </c>
      <c r="K930" s="13" t="str">
        <f>IF($A930="","",[1]!thsiFinD("ths_adjustment_nv_fund",K$3,$A930))</f>
        <v/>
      </c>
      <c r="L930" s="13" t="str">
        <f>IF($A930="","",[1]!thsiFinD("ths_adjustment_nv_fund",L$3,$A930))</f>
        <v/>
      </c>
      <c r="M930" s="13" t="str">
        <f>IF($A930="","",[1]!thsiFinD("ths_adjustment_nv_fund",M$3,$A930))</f>
        <v/>
      </c>
      <c r="N930" s="13" t="str">
        <f>IF($A930="","",[1]!thsiFinD("ths_adjustment_nv_fund",N$3,$A930))</f>
        <v/>
      </c>
      <c r="O930" s="13" t="str">
        <f>IF($A930="","",[1]!thsiFinD("ths_adjustment_nv_fund",O$3,$A930))</f>
        <v/>
      </c>
      <c r="P930" s="13" t="str">
        <f>IF($A930="","",[1]!thsiFinD("ths_adjustment_nv_fund",P$3,$A930))</f>
        <v/>
      </c>
      <c r="Q930" s="13" t="str">
        <f>IF($A930="","",[1]!thsiFinD("ths_adjustment_nv_fund",Q$3,$A930))</f>
        <v/>
      </c>
      <c r="R930" s="13" t="str">
        <f>IF($A930="","",[1]!thsiFinD("ths_adjustment_nv_fund",R$3,$A930))</f>
        <v/>
      </c>
      <c r="S930" s="13" t="str">
        <f>IF($A930="","",[1]!thsiFinD("ths_adjustment_nv_fund",S$3,$A930))</f>
        <v/>
      </c>
      <c r="T930" s="13" t="str">
        <f>IF($A930="","",[1]!thsiFinD("ths_adjustment_nv_fund",T$3,$A930))</f>
        <v/>
      </c>
      <c r="U930" s="13" t="str">
        <f>IF($A930="","",[1]!thsiFinD("ths_adjustment_nv_fund",U$3,$A930))</f>
        <v/>
      </c>
      <c r="V930" s="13" t="str">
        <f>IF($A930="","",[1]!thsiFinD("ths_adjustment_nv_fund",V$3,$A930))</f>
        <v/>
      </c>
      <c r="W930" s="13" t="str">
        <f>IF($A930="","",[1]!thsiFinD("ths_adjustment_nv_fund",W$3,$A930))</f>
        <v/>
      </c>
      <c r="X930" s="13" t="str">
        <f>IF($A930="","",[1]!thsiFinD("ths_adjustment_nv_fund",X$3,$A930))</f>
        <v/>
      </c>
      <c r="Y930" s="13" t="str">
        <f>IF($A930="","",[1]!thsiFinD("ths_adjustment_nv_fund",Y$3,$A930))</f>
        <v/>
      </c>
      <c r="Z930" s="13" t="str">
        <f>IF($A930="","",[1]!thsiFinD("ths_adjustment_nv_fund",Z$3,$A930))</f>
        <v/>
      </c>
      <c r="AA930" s="13" t="str">
        <f>IF($A930="","",[1]!thsiFinD("ths_adjustment_nv_fund",AA$3,$A930))</f>
        <v/>
      </c>
      <c r="AB930" s="13" t="str">
        <f>IF($A930="","",[1]!thsiFinD("ths_adjustment_nv_fund",AB$3,$A930))</f>
        <v/>
      </c>
    </row>
    <row r="931" spans="2:28">
      <c r="B931" s="13" t="str">
        <f>IF($A931="","",[1]!thsiFinD("ths_adjustment_nv_fund",B$3,$A931))</f>
        <v/>
      </c>
      <c r="C931" s="13" t="str">
        <f>IF($A931="","",[1]!thsiFinD("ths_adjustment_nv_fund",C$3,$A931))</f>
        <v/>
      </c>
      <c r="D931" s="13" t="str">
        <f>IF($A931="","",[1]!thsiFinD("ths_adjustment_nv_fund",D$3,$A931))</f>
        <v/>
      </c>
      <c r="E931" s="13" t="str">
        <f>IF($A931="","",[1]!thsiFinD("ths_adjustment_nv_fund",E$3,$A931))</f>
        <v/>
      </c>
      <c r="F931" s="13" t="str">
        <f>IF($A931="","",[1]!thsiFinD("ths_adjustment_nv_fund",F$3,$A931))</f>
        <v/>
      </c>
      <c r="G931" s="13" t="str">
        <f>IF($A931="","",[1]!thsiFinD("ths_adjustment_nv_fund",G$3,$A931))</f>
        <v/>
      </c>
      <c r="H931" s="13" t="str">
        <f>IF($A931="","",[1]!thsiFinD("ths_adjustment_nv_fund",H$3,$A931))</f>
        <v/>
      </c>
      <c r="I931" s="13" t="str">
        <f>IF($A931="","",[1]!thsiFinD("ths_adjustment_nv_fund",I$3,$A931))</f>
        <v/>
      </c>
      <c r="J931" s="13" t="str">
        <f>IF($A931="","",[1]!thsiFinD("ths_adjustment_nv_fund",J$3,$A931))</f>
        <v/>
      </c>
      <c r="K931" s="13" t="str">
        <f>IF($A931="","",[1]!thsiFinD("ths_adjustment_nv_fund",K$3,$A931))</f>
        <v/>
      </c>
      <c r="L931" s="13" t="str">
        <f>IF($A931="","",[1]!thsiFinD("ths_adjustment_nv_fund",L$3,$A931))</f>
        <v/>
      </c>
      <c r="M931" s="13" t="str">
        <f>IF($A931="","",[1]!thsiFinD("ths_adjustment_nv_fund",M$3,$A931))</f>
        <v/>
      </c>
      <c r="N931" s="13" t="str">
        <f>IF($A931="","",[1]!thsiFinD("ths_adjustment_nv_fund",N$3,$A931))</f>
        <v/>
      </c>
      <c r="O931" s="13" t="str">
        <f>IF($A931="","",[1]!thsiFinD("ths_adjustment_nv_fund",O$3,$A931))</f>
        <v/>
      </c>
      <c r="P931" s="13" t="str">
        <f>IF($A931="","",[1]!thsiFinD("ths_adjustment_nv_fund",P$3,$A931))</f>
        <v/>
      </c>
      <c r="Q931" s="13" t="str">
        <f>IF($A931="","",[1]!thsiFinD("ths_adjustment_nv_fund",Q$3,$A931))</f>
        <v/>
      </c>
      <c r="R931" s="13" t="str">
        <f>IF($A931="","",[1]!thsiFinD("ths_adjustment_nv_fund",R$3,$A931))</f>
        <v/>
      </c>
      <c r="S931" s="13" t="str">
        <f>IF($A931="","",[1]!thsiFinD("ths_adjustment_nv_fund",S$3,$A931))</f>
        <v/>
      </c>
      <c r="T931" s="13" t="str">
        <f>IF($A931="","",[1]!thsiFinD("ths_adjustment_nv_fund",T$3,$A931))</f>
        <v/>
      </c>
      <c r="U931" s="13" t="str">
        <f>IF($A931="","",[1]!thsiFinD("ths_adjustment_nv_fund",U$3,$A931))</f>
        <v/>
      </c>
      <c r="V931" s="13" t="str">
        <f>IF($A931="","",[1]!thsiFinD("ths_adjustment_nv_fund",V$3,$A931))</f>
        <v/>
      </c>
      <c r="W931" s="13" t="str">
        <f>IF($A931="","",[1]!thsiFinD("ths_adjustment_nv_fund",W$3,$A931))</f>
        <v/>
      </c>
      <c r="X931" s="13" t="str">
        <f>IF($A931="","",[1]!thsiFinD("ths_adjustment_nv_fund",X$3,$A931))</f>
        <v/>
      </c>
      <c r="Y931" s="13" t="str">
        <f>IF($A931="","",[1]!thsiFinD("ths_adjustment_nv_fund",Y$3,$A931))</f>
        <v/>
      </c>
      <c r="Z931" s="13" t="str">
        <f>IF($A931="","",[1]!thsiFinD("ths_adjustment_nv_fund",Z$3,$A931))</f>
        <v/>
      </c>
      <c r="AA931" s="13" t="str">
        <f>IF($A931="","",[1]!thsiFinD("ths_adjustment_nv_fund",AA$3,$A931))</f>
        <v/>
      </c>
      <c r="AB931" s="13" t="str">
        <f>IF($A931="","",[1]!thsiFinD("ths_adjustment_nv_fund",AB$3,$A931))</f>
        <v/>
      </c>
    </row>
    <row r="932" spans="2:28">
      <c r="B932" s="13" t="str">
        <f>IF($A932="","",[1]!thsiFinD("ths_adjustment_nv_fund",B$3,$A932))</f>
        <v/>
      </c>
      <c r="C932" s="13" t="str">
        <f>IF($A932="","",[1]!thsiFinD("ths_adjustment_nv_fund",C$3,$A932))</f>
        <v/>
      </c>
      <c r="D932" s="13" t="str">
        <f>IF($A932="","",[1]!thsiFinD("ths_adjustment_nv_fund",D$3,$A932))</f>
        <v/>
      </c>
      <c r="E932" s="13" t="str">
        <f>IF($A932="","",[1]!thsiFinD("ths_adjustment_nv_fund",E$3,$A932))</f>
        <v/>
      </c>
      <c r="F932" s="13" t="str">
        <f>IF($A932="","",[1]!thsiFinD("ths_adjustment_nv_fund",F$3,$A932))</f>
        <v/>
      </c>
      <c r="G932" s="13" t="str">
        <f>IF($A932="","",[1]!thsiFinD("ths_adjustment_nv_fund",G$3,$A932))</f>
        <v/>
      </c>
      <c r="H932" s="13" t="str">
        <f>IF($A932="","",[1]!thsiFinD("ths_adjustment_nv_fund",H$3,$A932))</f>
        <v/>
      </c>
      <c r="I932" s="13" t="str">
        <f>IF($A932="","",[1]!thsiFinD("ths_adjustment_nv_fund",I$3,$A932))</f>
        <v/>
      </c>
      <c r="J932" s="13" t="str">
        <f>IF($A932="","",[1]!thsiFinD("ths_adjustment_nv_fund",J$3,$A932))</f>
        <v/>
      </c>
      <c r="K932" s="13" t="str">
        <f>IF($A932="","",[1]!thsiFinD("ths_adjustment_nv_fund",K$3,$A932))</f>
        <v/>
      </c>
      <c r="L932" s="13" t="str">
        <f>IF($A932="","",[1]!thsiFinD("ths_adjustment_nv_fund",L$3,$A932))</f>
        <v/>
      </c>
      <c r="M932" s="13" t="str">
        <f>IF($A932="","",[1]!thsiFinD("ths_adjustment_nv_fund",M$3,$A932))</f>
        <v/>
      </c>
      <c r="N932" s="13" t="str">
        <f>IF($A932="","",[1]!thsiFinD("ths_adjustment_nv_fund",N$3,$A932))</f>
        <v/>
      </c>
      <c r="O932" s="13" t="str">
        <f>IF($A932="","",[1]!thsiFinD("ths_adjustment_nv_fund",O$3,$A932))</f>
        <v/>
      </c>
      <c r="P932" s="13" t="str">
        <f>IF($A932="","",[1]!thsiFinD("ths_adjustment_nv_fund",P$3,$A932))</f>
        <v/>
      </c>
      <c r="Q932" s="13" t="str">
        <f>IF($A932="","",[1]!thsiFinD("ths_adjustment_nv_fund",Q$3,$A932))</f>
        <v/>
      </c>
      <c r="R932" s="13" t="str">
        <f>IF($A932="","",[1]!thsiFinD("ths_adjustment_nv_fund",R$3,$A932))</f>
        <v/>
      </c>
      <c r="S932" s="13" t="str">
        <f>IF($A932="","",[1]!thsiFinD("ths_adjustment_nv_fund",S$3,$A932))</f>
        <v/>
      </c>
      <c r="T932" s="13" t="str">
        <f>IF($A932="","",[1]!thsiFinD("ths_adjustment_nv_fund",T$3,$A932))</f>
        <v/>
      </c>
      <c r="U932" s="13" t="str">
        <f>IF($A932="","",[1]!thsiFinD("ths_adjustment_nv_fund",U$3,$A932))</f>
        <v/>
      </c>
      <c r="V932" s="13" t="str">
        <f>IF($A932="","",[1]!thsiFinD("ths_adjustment_nv_fund",V$3,$A932))</f>
        <v/>
      </c>
      <c r="W932" s="13" t="str">
        <f>IF($A932="","",[1]!thsiFinD("ths_adjustment_nv_fund",W$3,$A932))</f>
        <v/>
      </c>
      <c r="X932" s="13" t="str">
        <f>IF($A932="","",[1]!thsiFinD("ths_adjustment_nv_fund",X$3,$A932))</f>
        <v/>
      </c>
      <c r="Y932" s="13" t="str">
        <f>IF($A932="","",[1]!thsiFinD("ths_adjustment_nv_fund",Y$3,$A932))</f>
        <v/>
      </c>
      <c r="Z932" s="13" t="str">
        <f>IF($A932="","",[1]!thsiFinD("ths_adjustment_nv_fund",Z$3,$A932))</f>
        <v/>
      </c>
      <c r="AA932" s="13" t="str">
        <f>IF($A932="","",[1]!thsiFinD("ths_adjustment_nv_fund",AA$3,$A932))</f>
        <v/>
      </c>
      <c r="AB932" s="13" t="str">
        <f>IF($A932="","",[1]!thsiFinD("ths_adjustment_nv_fund",AB$3,$A932))</f>
        <v/>
      </c>
    </row>
    <row r="933" spans="2:28">
      <c r="B933" s="13" t="str">
        <f>IF($A933="","",[1]!thsiFinD("ths_adjustment_nv_fund",B$3,$A933))</f>
        <v/>
      </c>
      <c r="C933" s="13" t="str">
        <f>IF($A933="","",[1]!thsiFinD("ths_adjustment_nv_fund",C$3,$A933))</f>
        <v/>
      </c>
      <c r="D933" s="13" t="str">
        <f>IF($A933="","",[1]!thsiFinD("ths_adjustment_nv_fund",D$3,$A933))</f>
        <v/>
      </c>
      <c r="E933" s="13" t="str">
        <f>IF($A933="","",[1]!thsiFinD("ths_adjustment_nv_fund",E$3,$A933))</f>
        <v/>
      </c>
      <c r="F933" s="13" t="str">
        <f>IF($A933="","",[1]!thsiFinD("ths_adjustment_nv_fund",F$3,$A933))</f>
        <v/>
      </c>
      <c r="G933" s="13" t="str">
        <f>IF($A933="","",[1]!thsiFinD("ths_adjustment_nv_fund",G$3,$A933))</f>
        <v/>
      </c>
      <c r="H933" s="13" t="str">
        <f>IF($A933="","",[1]!thsiFinD("ths_adjustment_nv_fund",H$3,$A933))</f>
        <v/>
      </c>
      <c r="I933" s="13" t="str">
        <f>IF($A933="","",[1]!thsiFinD("ths_adjustment_nv_fund",I$3,$A933))</f>
        <v/>
      </c>
      <c r="J933" s="13" t="str">
        <f>IF($A933="","",[1]!thsiFinD("ths_adjustment_nv_fund",J$3,$A933))</f>
        <v/>
      </c>
      <c r="K933" s="13" t="str">
        <f>IF($A933="","",[1]!thsiFinD("ths_adjustment_nv_fund",K$3,$A933))</f>
        <v/>
      </c>
      <c r="L933" s="13" t="str">
        <f>IF($A933="","",[1]!thsiFinD("ths_adjustment_nv_fund",L$3,$A933))</f>
        <v/>
      </c>
      <c r="M933" s="13" t="str">
        <f>IF($A933="","",[1]!thsiFinD("ths_adjustment_nv_fund",M$3,$A933))</f>
        <v/>
      </c>
      <c r="N933" s="13" t="str">
        <f>IF($A933="","",[1]!thsiFinD("ths_adjustment_nv_fund",N$3,$A933))</f>
        <v/>
      </c>
      <c r="O933" s="13" t="str">
        <f>IF($A933="","",[1]!thsiFinD("ths_adjustment_nv_fund",O$3,$A933))</f>
        <v/>
      </c>
      <c r="P933" s="13" t="str">
        <f>IF($A933="","",[1]!thsiFinD("ths_adjustment_nv_fund",P$3,$A933))</f>
        <v/>
      </c>
      <c r="Q933" s="13" t="str">
        <f>IF($A933="","",[1]!thsiFinD("ths_adjustment_nv_fund",Q$3,$A933))</f>
        <v/>
      </c>
      <c r="R933" s="13" t="str">
        <f>IF($A933="","",[1]!thsiFinD("ths_adjustment_nv_fund",R$3,$A933))</f>
        <v/>
      </c>
      <c r="S933" s="13" t="str">
        <f>IF($A933="","",[1]!thsiFinD("ths_adjustment_nv_fund",S$3,$A933))</f>
        <v/>
      </c>
      <c r="T933" s="13" t="str">
        <f>IF($A933="","",[1]!thsiFinD("ths_adjustment_nv_fund",T$3,$A933))</f>
        <v/>
      </c>
      <c r="U933" s="13" t="str">
        <f>IF($A933="","",[1]!thsiFinD("ths_adjustment_nv_fund",U$3,$A933))</f>
        <v/>
      </c>
      <c r="V933" s="13" t="str">
        <f>IF($A933="","",[1]!thsiFinD("ths_adjustment_nv_fund",V$3,$A933))</f>
        <v/>
      </c>
      <c r="W933" s="13" t="str">
        <f>IF($A933="","",[1]!thsiFinD("ths_adjustment_nv_fund",W$3,$A933))</f>
        <v/>
      </c>
      <c r="X933" s="13" t="str">
        <f>IF($A933="","",[1]!thsiFinD("ths_adjustment_nv_fund",X$3,$A933))</f>
        <v/>
      </c>
      <c r="Y933" s="13" t="str">
        <f>IF($A933="","",[1]!thsiFinD("ths_adjustment_nv_fund",Y$3,$A933))</f>
        <v/>
      </c>
      <c r="Z933" s="13" t="str">
        <f>IF($A933="","",[1]!thsiFinD("ths_adjustment_nv_fund",Z$3,$A933))</f>
        <v/>
      </c>
      <c r="AA933" s="13" t="str">
        <f>IF($A933="","",[1]!thsiFinD("ths_adjustment_nv_fund",AA$3,$A933))</f>
        <v/>
      </c>
      <c r="AB933" s="13" t="str">
        <f>IF($A933="","",[1]!thsiFinD("ths_adjustment_nv_fund",AB$3,$A933))</f>
        <v/>
      </c>
    </row>
    <row r="934" spans="2:28">
      <c r="B934" s="13" t="str">
        <f>IF($A934="","",[1]!thsiFinD("ths_adjustment_nv_fund",B$3,$A934))</f>
        <v/>
      </c>
      <c r="C934" s="13" t="str">
        <f>IF($A934="","",[1]!thsiFinD("ths_adjustment_nv_fund",C$3,$A934))</f>
        <v/>
      </c>
      <c r="D934" s="13" t="str">
        <f>IF($A934="","",[1]!thsiFinD("ths_adjustment_nv_fund",D$3,$A934))</f>
        <v/>
      </c>
      <c r="E934" s="13" t="str">
        <f>IF($A934="","",[1]!thsiFinD("ths_adjustment_nv_fund",E$3,$A934))</f>
        <v/>
      </c>
      <c r="F934" s="13" t="str">
        <f>IF($A934="","",[1]!thsiFinD("ths_adjustment_nv_fund",F$3,$A934))</f>
        <v/>
      </c>
      <c r="G934" s="13" t="str">
        <f>IF($A934="","",[1]!thsiFinD("ths_adjustment_nv_fund",G$3,$A934))</f>
        <v/>
      </c>
      <c r="H934" s="13" t="str">
        <f>IF($A934="","",[1]!thsiFinD("ths_adjustment_nv_fund",H$3,$A934))</f>
        <v/>
      </c>
      <c r="I934" s="13" t="str">
        <f>IF($A934="","",[1]!thsiFinD("ths_adjustment_nv_fund",I$3,$A934))</f>
        <v/>
      </c>
      <c r="J934" s="13" t="str">
        <f>IF($A934="","",[1]!thsiFinD("ths_adjustment_nv_fund",J$3,$A934))</f>
        <v/>
      </c>
      <c r="K934" s="13" t="str">
        <f>IF($A934="","",[1]!thsiFinD("ths_adjustment_nv_fund",K$3,$A934))</f>
        <v/>
      </c>
      <c r="L934" s="13" t="str">
        <f>IF($A934="","",[1]!thsiFinD("ths_adjustment_nv_fund",L$3,$A934))</f>
        <v/>
      </c>
      <c r="M934" s="13" t="str">
        <f>IF($A934="","",[1]!thsiFinD("ths_adjustment_nv_fund",M$3,$A934))</f>
        <v/>
      </c>
      <c r="N934" s="13" t="str">
        <f>IF($A934="","",[1]!thsiFinD("ths_adjustment_nv_fund",N$3,$A934))</f>
        <v/>
      </c>
      <c r="O934" s="13" t="str">
        <f>IF($A934="","",[1]!thsiFinD("ths_adjustment_nv_fund",O$3,$A934))</f>
        <v/>
      </c>
      <c r="P934" s="13" t="str">
        <f>IF($A934="","",[1]!thsiFinD("ths_adjustment_nv_fund",P$3,$A934))</f>
        <v/>
      </c>
      <c r="Q934" s="13" t="str">
        <f>IF($A934="","",[1]!thsiFinD("ths_adjustment_nv_fund",Q$3,$A934))</f>
        <v/>
      </c>
      <c r="R934" s="13" t="str">
        <f>IF($A934="","",[1]!thsiFinD("ths_adjustment_nv_fund",R$3,$A934))</f>
        <v/>
      </c>
      <c r="S934" s="13" t="str">
        <f>IF($A934="","",[1]!thsiFinD("ths_adjustment_nv_fund",S$3,$A934))</f>
        <v/>
      </c>
      <c r="T934" s="13" t="str">
        <f>IF($A934="","",[1]!thsiFinD("ths_adjustment_nv_fund",T$3,$A934))</f>
        <v/>
      </c>
      <c r="U934" s="13" t="str">
        <f>IF($A934="","",[1]!thsiFinD("ths_adjustment_nv_fund",U$3,$A934))</f>
        <v/>
      </c>
      <c r="V934" s="13" t="str">
        <f>IF($A934="","",[1]!thsiFinD("ths_adjustment_nv_fund",V$3,$A934))</f>
        <v/>
      </c>
      <c r="W934" s="13" t="str">
        <f>IF($A934="","",[1]!thsiFinD("ths_adjustment_nv_fund",W$3,$A934))</f>
        <v/>
      </c>
      <c r="X934" s="13" t="str">
        <f>IF($A934="","",[1]!thsiFinD("ths_adjustment_nv_fund",X$3,$A934))</f>
        <v/>
      </c>
      <c r="Y934" s="13" t="str">
        <f>IF($A934="","",[1]!thsiFinD("ths_adjustment_nv_fund",Y$3,$A934))</f>
        <v/>
      </c>
      <c r="Z934" s="13" t="str">
        <f>IF($A934="","",[1]!thsiFinD("ths_adjustment_nv_fund",Z$3,$A934))</f>
        <v/>
      </c>
      <c r="AA934" s="13" t="str">
        <f>IF($A934="","",[1]!thsiFinD("ths_adjustment_nv_fund",AA$3,$A934))</f>
        <v/>
      </c>
      <c r="AB934" s="13" t="str">
        <f>IF($A934="","",[1]!thsiFinD("ths_adjustment_nv_fund",AB$3,$A934))</f>
        <v/>
      </c>
    </row>
    <row r="935" spans="2:28">
      <c r="B935" s="13" t="str">
        <f>IF($A935="","",[1]!thsiFinD("ths_adjustment_nv_fund",B$3,$A935))</f>
        <v/>
      </c>
      <c r="C935" s="13" t="str">
        <f>IF($A935="","",[1]!thsiFinD("ths_adjustment_nv_fund",C$3,$A935))</f>
        <v/>
      </c>
      <c r="D935" s="13" t="str">
        <f>IF($A935="","",[1]!thsiFinD("ths_adjustment_nv_fund",D$3,$A935))</f>
        <v/>
      </c>
      <c r="E935" s="13" t="str">
        <f>IF($A935="","",[1]!thsiFinD("ths_adjustment_nv_fund",E$3,$A935))</f>
        <v/>
      </c>
      <c r="F935" s="13" t="str">
        <f>IF($A935="","",[1]!thsiFinD("ths_adjustment_nv_fund",F$3,$A935))</f>
        <v/>
      </c>
      <c r="G935" s="13" t="str">
        <f>IF($A935="","",[1]!thsiFinD("ths_adjustment_nv_fund",G$3,$A935))</f>
        <v/>
      </c>
      <c r="H935" s="13" t="str">
        <f>IF($A935="","",[1]!thsiFinD("ths_adjustment_nv_fund",H$3,$A935))</f>
        <v/>
      </c>
      <c r="I935" s="13" t="str">
        <f>IF($A935="","",[1]!thsiFinD("ths_adjustment_nv_fund",I$3,$A935))</f>
        <v/>
      </c>
      <c r="J935" s="13" t="str">
        <f>IF($A935="","",[1]!thsiFinD("ths_adjustment_nv_fund",J$3,$A935))</f>
        <v/>
      </c>
      <c r="K935" s="13" t="str">
        <f>IF($A935="","",[1]!thsiFinD("ths_adjustment_nv_fund",K$3,$A935))</f>
        <v/>
      </c>
      <c r="L935" s="13" t="str">
        <f>IF($A935="","",[1]!thsiFinD("ths_adjustment_nv_fund",L$3,$A935))</f>
        <v/>
      </c>
      <c r="M935" s="13" t="str">
        <f>IF($A935="","",[1]!thsiFinD("ths_adjustment_nv_fund",M$3,$A935))</f>
        <v/>
      </c>
      <c r="N935" s="13" t="str">
        <f>IF($A935="","",[1]!thsiFinD("ths_adjustment_nv_fund",N$3,$A935))</f>
        <v/>
      </c>
      <c r="O935" s="13" t="str">
        <f>IF($A935="","",[1]!thsiFinD("ths_adjustment_nv_fund",O$3,$A935))</f>
        <v/>
      </c>
      <c r="P935" s="13" t="str">
        <f>IF($A935="","",[1]!thsiFinD("ths_adjustment_nv_fund",P$3,$A935))</f>
        <v/>
      </c>
      <c r="Q935" s="13" t="str">
        <f>IF($A935="","",[1]!thsiFinD("ths_adjustment_nv_fund",Q$3,$A935))</f>
        <v/>
      </c>
      <c r="R935" s="13" t="str">
        <f>IF($A935="","",[1]!thsiFinD("ths_adjustment_nv_fund",R$3,$A935))</f>
        <v/>
      </c>
      <c r="S935" s="13" t="str">
        <f>IF($A935="","",[1]!thsiFinD("ths_adjustment_nv_fund",S$3,$A935))</f>
        <v/>
      </c>
      <c r="T935" s="13" t="str">
        <f>IF($A935="","",[1]!thsiFinD("ths_adjustment_nv_fund",T$3,$A935))</f>
        <v/>
      </c>
      <c r="U935" s="13" t="str">
        <f>IF($A935="","",[1]!thsiFinD("ths_adjustment_nv_fund",U$3,$A935))</f>
        <v/>
      </c>
      <c r="V935" s="13" t="str">
        <f>IF($A935="","",[1]!thsiFinD("ths_adjustment_nv_fund",V$3,$A935))</f>
        <v/>
      </c>
      <c r="W935" s="13" t="str">
        <f>IF($A935="","",[1]!thsiFinD("ths_adjustment_nv_fund",W$3,$A935))</f>
        <v/>
      </c>
      <c r="X935" s="13" t="str">
        <f>IF($A935="","",[1]!thsiFinD("ths_adjustment_nv_fund",X$3,$A935))</f>
        <v/>
      </c>
      <c r="Y935" s="13" t="str">
        <f>IF($A935="","",[1]!thsiFinD("ths_adjustment_nv_fund",Y$3,$A935))</f>
        <v/>
      </c>
      <c r="Z935" s="13" t="str">
        <f>IF($A935="","",[1]!thsiFinD("ths_adjustment_nv_fund",Z$3,$A935))</f>
        <v/>
      </c>
      <c r="AA935" s="13" t="str">
        <f>IF($A935="","",[1]!thsiFinD("ths_adjustment_nv_fund",AA$3,$A935))</f>
        <v/>
      </c>
      <c r="AB935" s="13" t="str">
        <f>IF($A935="","",[1]!thsiFinD("ths_adjustment_nv_fund",AB$3,$A935))</f>
        <v/>
      </c>
    </row>
    <row r="936" spans="2:28">
      <c r="B936" s="13" t="str">
        <f>IF($A936="","",[1]!thsiFinD("ths_adjustment_nv_fund",B$3,$A936))</f>
        <v/>
      </c>
      <c r="C936" s="13" t="str">
        <f>IF($A936="","",[1]!thsiFinD("ths_adjustment_nv_fund",C$3,$A936))</f>
        <v/>
      </c>
      <c r="D936" s="13" t="str">
        <f>IF($A936="","",[1]!thsiFinD("ths_adjustment_nv_fund",D$3,$A936))</f>
        <v/>
      </c>
      <c r="E936" s="13" t="str">
        <f>IF($A936="","",[1]!thsiFinD("ths_adjustment_nv_fund",E$3,$A936))</f>
        <v/>
      </c>
      <c r="F936" s="13" t="str">
        <f>IF($A936="","",[1]!thsiFinD("ths_adjustment_nv_fund",F$3,$A936))</f>
        <v/>
      </c>
      <c r="G936" s="13" t="str">
        <f>IF($A936="","",[1]!thsiFinD("ths_adjustment_nv_fund",G$3,$A936))</f>
        <v/>
      </c>
      <c r="H936" s="13" t="str">
        <f>IF($A936="","",[1]!thsiFinD("ths_adjustment_nv_fund",H$3,$A936))</f>
        <v/>
      </c>
      <c r="I936" s="13" t="str">
        <f>IF($A936="","",[1]!thsiFinD("ths_adjustment_nv_fund",I$3,$A936))</f>
        <v/>
      </c>
      <c r="J936" s="13" t="str">
        <f>IF($A936="","",[1]!thsiFinD("ths_adjustment_nv_fund",J$3,$A936))</f>
        <v/>
      </c>
      <c r="K936" s="13" t="str">
        <f>IF($A936="","",[1]!thsiFinD("ths_adjustment_nv_fund",K$3,$A936))</f>
        <v/>
      </c>
      <c r="L936" s="13" t="str">
        <f>IF($A936="","",[1]!thsiFinD("ths_adjustment_nv_fund",L$3,$A936))</f>
        <v/>
      </c>
      <c r="M936" s="13" t="str">
        <f>IF($A936="","",[1]!thsiFinD("ths_adjustment_nv_fund",M$3,$A936))</f>
        <v/>
      </c>
      <c r="N936" s="13" t="str">
        <f>IF($A936="","",[1]!thsiFinD("ths_adjustment_nv_fund",N$3,$A936))</f>
        <v/>
      </c>
      <c r="O936" s="13" t="str">
        <f>IF($A936="","",[1]!thsiFinD("ths_adjustment_nv_fund",O$3,$A936))</f>
        <v/>
      </c>
      <c r="P936" s="13" t="str">
        <f>IF($A936="","",[1]!thsiFinD("ths_adjustment_nv_fund",P$3,$A936))</f>
        <v/>
      </c>
      <c r="Q936" s="13" t="str">
        <f>IF($A936="","",[1]!thsiFinD("ths_adjustment_nv_fund",Q$3,$A936))</f>
        <v/>
      </c>
      <c r="R936" s="13" t="str">
        <f>IF($A936="","",[1]!thsiFinD("ths_adjustment_nv_fund",R$3,$A936))</f>
        <v/>
      </c>
      <c r="S936" s="13" t="str">
        <f>IF($A936="","",[1]!thsiFinD("ths_adjustment_nv_fund",S$3,$A936))</f>
        <v/>
      </c>
      <c r="T936" s="13" t="str">
        <f>IF($A936="","",[1]!thsiFinD("ths_adjustment_nv_fund",T$3,$A936))</f>
        <v/>
      </c>
      <c r="U936" s="13" t="str">
        <f>IF($A936="","",[1]!thsiFinD("ths_adjustment_nv_fund",U$3,$A936))</f>
        <v/>
      </c>
      <c r="V936" s="13" t="str">
        <f>IF($A936="","",[1]!thsiFinD("ths_adjustment_nv_fund",V$3,$A936))</f>
        <v/>
      </c>
      <c r="W936" s="13" t="str">
        <f>IF($A936="","",[1]!thsiFinD("ths_adjustment_nv_fund",W$3,$A936))</f>
        <v/>
      </c>
      <c r="X936" s="13" t="str">
        <f>IF($A936="","",[1]!thsiFinD("ths_adjustment_nv_fund",X$3,$A936))</f>
        <v/>
      </c>
      <c r="Y936" s="13" t="str">
        <f>IF($A936="","",[1]!thsiFinD("ths_adjustment_nv_fund",Y$3,$A936))</f>
        <v/>
      </c>
      <c r="Z936" s="13" t="str">
        <f>IF($A936="","",[1]!thsiFinD("ths_adjustment_nv_fund",Z$3,$A936))</f>
        <v/>
      </c>
      <c r="AA936" s="13" t="str">
        <f>IF($A936="","",[1]!thsiFinD("ths_adjustment_nv_fund",AA$3,$A936))</f>
        <v/>
      </c>
      <c r="AB936" s="13" t="str">
        <f>IF($A936="","",[1]!thsiFinD("ths_adjustment_nv_fund",AB$3,$A936))</f>
        <v/>
      </c>
    </row>
    <row r="937" spans="2:28">
      <c r="B937" s="13" t="str">
        <f>IF($A937="","",[1]!thsiFinD("ths_adjustment_nv_fund",B$3,$A937))</f>
        <v/>
      </c>
      <c r="C937" s="13" t="str">
        <f>IF($A937="","",[1]!thsiFinD("ths_adjustment_nv_fund",C$3,$A937))</f>
        <v/>
      </c>
      <c r="D937" s="13" t="str">
        <f>IF($A937="","",[1]!thsiFinD("ths_adjustment_nv_fund",D$3,$A937))</f>
        <v/>
      </c>
      <c r="E937" s="13" t="str">
        <f>IF($A937="","",[1]!thsiFinD("ths_adjustment_nv_fund",E$3,$A937))</f>
        <v/>
      </c>
      <c r="F937" s="13" t="str">
        <f>IF($A937="","",[1]!thsiFinD("ths_adjustment_nv_fund",F$3,$A937))</f>
        <v/>
      </c>
      <c r="G937" s="13" t="str">
        <f>IF($A937="","",[1]!thsiFinD("ths_adjustment_nv_fund",G$3,$A937))</f>
        <v/>
      </c>
      <c r="H937" s="13" t="str">
        <f>IF($A937="","",[1]!thsiFinD("ths_adjustment_nv_fund",H$3,$A937))</f>
        <v/>
      </c>
      <c r="I937" s="13" t="str">
        <f>IF($A937="","",[1]!thsiFinD("ths_adjustment_nv_fund",I$3,$A937))</f>
        <v/>
      </c>
      <c r="J937" s="13" t="str">
        <f>IF($A937="","",[1]!thsiFinD("ths_adjustment_nv_fund",J$3,$A937))</f>
        <v/>
      </c>
      <c r="K937" s="13" t="str">
        <f>IF($A937="","",[1]!thsiFinD("ths_adjustment_nv_fund",K$3,$A937))</f>
        <v/>
      </c>
      <c r="L937" s="13" t="str">
        <f>IF($A937="","",[1]!thsiFinD("ths_adjustment_nv_fund",L$3,$A937))</f>
        <v/>
      </c>
      <c r="M937" s="13" t="str">
        <f>IF($A937="","",[1]!thsiFinD("ths_adjustment_nv_fund",M$3,$A937))</f>
        <v/>
      </c>
      <c r="N937" s="13" t="str">
        <f>IF($A937="","",[1]!thsiFinD("ths_adjustment_nv_fund",N$3,$A937))</f>
        <v/>
      </c>
      <c r="O937" s="13" t="str">
        <f>IF($A937="","",[1]!thsiFinD("ths_adjustment_nv_fund",O$3,$A937))</f>
        <v/>
      </c>
      <c r="P937" s="13" t="str">
        <f>IF($A937="","",[1]!thsiFinD("ths_adjustment_nv_fund",P$3,$A937))</f>
        <v/>
      </c>
      <c r="Q937" s="13" t="str">
        <f>IF($A937="","",[1]!thsiFinD("ths_adjustment_nv_fund",Q$3,$A937))</f>
        <v/>
      </c>
      <c r="R937" s="13" t="str">
        <f>IF($A937="","",[1]!thsiFinD("ths_adjustment_nv_fund",R$3,$A937))</f>
        <v/>
      </c>
      <c r="S937" s="13" t="str">
        <f>IF($A937="","",[1]!thsiFinD("ths_adjustment_nv_fund",S$3,$A937))</f>
        <v/>
      </c>
      <c r="T937" s="13" t="str">
        <f>IF($A937="","",[1]!thsiFinD("ths_adjustment_nv_fund",T$3,$A937))</f>
        <v/>
      </c>
      <c r="U937" s="13" t="str">
        <f>IF($A937="","",[1]!thsiFinD("ths_adjustment_nv_fund",U$3,$A937))</f>
        <v/>
      </c>
      <c r="V937" s="13" t="str">
        <f>IF($A937="","",[1]!thsiFinD("ths_adjustment_nv_fund",V$3,$A937))</f>
        <v/>
      </c>
      <c r="W937" s="13" t="str">
        <f>IF($A937="","",[1]!thsiFinD("ths_adjustment_nv_fund",W$3,$A937))</f>
        <v/>
      </c>
      <c r="X937" s="13" t="str">
        <f>IF($A937="","",[1]!thsiFinD("ths_adjustment_nv_fund",X$3,$A937))</f>
        <v/>
      </c>
      <c r="Y937" s="13" t="str">
        <f>IF($A937="","",[1]!thsiFinD("ths_adjustment_nv_fund",Y$3,$A937))</f>
        <v/>
      </c>
      <c r="Z937" s="13" t="str">
        <f>IF($A937="","",[1]!thsiFinD("ths_adjustment_nv_fund",Z$3,$A937))</f>
        <v/>
      </c>
      <c r="AA937" s="13" t="str">
        <f>IF($A937="","",[1]!thsiFinD("ths_adjustment_nv_fund",AA$3,$A937))</f>
        <v/>
      </c>
      <c r="AB937" s="13" t="str">
        <f>IF($A937="","",[1]!thsiFinD("ths_adjustment_nv_fund",AB$3,$A937))</f>
        <v/>
      </c>
    </row>
    <row r="938" spans="2:28">
      <c r="B938" s="13" t="str">
        <f>IF($A938="","",[1]!thsiFinD("ths_adjustment_nv_fund",B$3,$A938))</f>
        <v/>
      </c>
      <c r="C938" s="13" t="str">
        <f>IF($A938="","",[1]!thsiFinD("ths_adjustment_nv_fund",C$3,$A938))</f>
        <v/>
      </c>
      <c r="D938" s="13" t="str">
        <f>IF($A938="","",[1]!thsiFinD("ths_adjustment_nv_fund",D$3,$A938))</f>
        <v/>
      </c>
      <c r="E938" s="13" t="str">
        <f>IF($A938="","",[1]!thsiFinD("ths_adjustment_nv_fund",E$3,$A938))</f>
        <v/>
      </c>
      <c r="F938" s="13" t="str">
        <f>IF($A938="","",[1]!thsiFinD("ths_adjustment_nv_fund",F$3,$A938))</f>
        <v/>
      </c>
      <c r="G938" s="13" t="str">
        <f>IF($A938="","",[1]!thsiFinD("ths_adjustment_nv_fund",G$3,$A938))</f>
        <v/>
      </c>
      <c r="H938" s="13" t="str">
        <f>IF($A938="","",[1]!thsiFinD("ths_adjustment_nv_fund",H$3,$A938))</f>
        <v/>
      </c>
      <c r="I938" s="13" t="str">
        <f>IF($A938="","",[1]!thsiFinD("ths_adjustment_nv_fund",I$3,$A938))</f>
        <v/>
      </c>
      <c r="J938" s="13" t="str">
        <f>IF($A938="","",[1]!thsiFinD("ths_adjustment_nv_fund",J$3,$A938))</f>
        <v/>
      </c>
      <c r="K938" s="13" t="str">
        <f>IF($A938="","",[1]!thsiFinD("ths_adjustment_nv_fund",K$3,$A938))</f>
        <v/>
      </c>
      <c r="L938" s="13" t="str">
        <f>IF($A938="","",[1]!thsiFinD("ths_adjustment_nv_fund",L$3,$A938))</f>
        <v/>
      </c>
      <c r="M938" s="13" t="str">
        <f>IF($A938="","",[1]!thsiFinD("ths_adjustment_nv_fund",M$3,$A938))</f>
        <v/>
      </c>
      <c r="N938" s="13" t="str">
        <f>IF($A938="","",[1]!thsiFinD("ths_adjustment_nv_fund",N$3,$A938))</f>
        <v/>
      </c>
      <c r="O938" s="13" t="str">
        <f>IF($A938="","",[1]!thsiFinD("ths_adjustment_nv_fund",O$3,$A938))</f>
        <v/>
      </c>
      <c r="P938" s="13" t="str">
        <f>IF($A938="","",[1]!thsiFinD("ths_adjustment_nv_fund",P$3,$A938))</f>
        <v/>
      </c>
      <c r="Q938" s="13" t="str">
        <f>IF($A938="","",[1]!thsiFinD("ths_adjustment_nv_fund",Q$3,$A938))</f>
        <v/>
      </c>
      <c r="R938" s="13" t="str">
        <f>IF($A938="","",[1]!thsiFinD("ths_adjustment_nv_fund",R$3,$A938))</f>
        <v/>
      </c>
      <c r="S938" s="13" t="str">
        <f>IF($A938="","",[1]!thsiFinD("ths_adjustment_nv_fund",S$3,$A938))</f>
        <v/>
      </c>
      <c r="T938" s="13" t="str">
        <f>IF($A938="","",[1]!thsiFinD("ths_adjustment_nv_fund",T$3,$A938))</f>
        <v/>
      </c>
      <c r="U938" s="13" t="str">
        <f>IF($A938="","",[1]!thsiFinD("ths_adjustment_nv_fund",U$3,$A938))</f>
        <v/>
      </c>
      <c r="V938" s="13" t="str">
        <f>IF($A938="","",[1]!thsiFinD("ths_adjustment_nv_fund",V$3,$A938))</f>
        <v/>
      </c>
      <c r="W938" s="13" t="str">
        <f>IF($A938="","",[1]!thsiFinD("ths_adjustment_nv_fund",W$3,$A938))</f>
        <v/>
      </c>
      <c r="X938" s="13" t="str">
        <f>IF($A938="","",[1]!thsiFinD("ths_adjustment_nv_fund",X$3,$A938))</f>
        <v/>
      </c>
      <c r="Y938" s="13" t="str">
        <f>IF($A938="","",[1]!thsiFinD("ths_adjustment_nv_fund",Y$3,$A938))</f>
        <v/>
      </c>
      <c r="Z938" s="13" t="str">
        <f>IF($A938="","",[1]!thsiFinD("ths_adjustment_nv_fund",Z$3,$A938))</f>
        <v/>
      </c>
      <c r="AA938" s="13" t="str">
        <f>IF($A938="","",[1]!thsiFinD("ths_adjustment_nv_fund",AA$3,$A938))</f>
        <v/>
      </c>
      <c r="AB938" s="13" t="str">
        <f>IF($A938="","",[1]!thsiFinD("ths_adjustment_nv_fund",AB$3,$A938))</f>
        <v/>
      </c>
    </row>
    <row r="939" spans="2:28">
      <c r="B939" s="13" t="str">
        <f>IF($A939="","",[1]!thsiFinD("ths_adjustment_nv_fund",B$3,$A939))</f>
        <v/>
      </c>
      <c r="C939" s="13" t="str">
        <f>IF($A939="","",[1]!thsiFinD("ths_adjustment_nv_fund",C$3,$A939))</f>
        <v/>
      </c>
      <c r="D939" s="13" t="str">
        <f>IF($A939="","",[1]!thsiFinD("ths_adjustment_nv_fund",D$3,$A939))</f>
        <v/>
      </c>
      <c r="E939" s="13" t="str">
        <f>IF($A939="","",[1]!thsiFinD("ths_adjustment_nv_fund",E$3,$A939))</f>
        <v/>
      </c>
      <c r="F939" s="13" t="str">
        <f>IF($A939="","",[1]!thsiFinD("ths_adjustment_nv_fund",F$3,$A939))</f>
        <v/>
      </c>
      <c r="G939" s="13" t="str">
        <f>IF($A939="","",[1]!thsiFinD("ths_adjustment_nv_fund",G$3,$A939))</f>
        <v/>
      </c>
      <c r="H939" s="13" t="str">
        <f>IF($A939="","",[1]!thsiFinD("ths_adjustment_nv_fund",H$3,$A939))</f>
        <v/>
      </c>
      <c r="I939" s="13" t="str">
        <f>IF($A939="","",[1]!thsiFinD("ths_adjustment_nv_fund",I$3,$A939))</f>
        <v/>
      </c>
      <c r="J939" s="13" t="str">
        <f>IF($A939="","",[1]!thsiFinD("ths_adjustment_nv_fund",J$3,$A939))</f>
        <v/>
      </c>
      <c r="K939" s="13" t="str">
        <f>IF($A939="","",[1]!thsiFinD("ths_adjustment_nv_fund",K$3,$A939))</f>
        <v/>
      </c>
      <c r="L939" s="13" t="str">
        <f>IF($A939="","",[1]!thsiFinD("ths_adjustment_nv_fund",L$3,$A939))</f>
        <v/>
      </c>
      <c r="M939" s="13" t="str">
        <f>IF($A939="","",[1]!thsiFinD("ths_adjustment_nv_fund",M$3,$A939))</f>
        <v/>
      </c>
      <c r="N939" s="13" t="str">
        <f>IF($A939="","",[1]!thsiFinD("ths_adjustment_nv_fund",N$3,$A939))</f>
        <v/>
      </c>
      <c r="O939" s="13" t="str">
        <f>IF($A939="","",[1]!thsiFinD("ths_adjustment_nv_fund",O$3,$A939))</f>
        <v/>
      </c>
      <c r="P939" s="13" t="str">
        <f>IF($A939="","",[1]!thsiFinD("ths_adjustment_nv_fund",P$3,$A939))</f>
        <v/>
      </c>
      <c r="Q939" s="13" t="str">
        <f>IF($A939="","",[1]!thsiFinD("ths_adjustment_nv_fund",Q$3,$A939))</f>
        <v/>
      </c>
      <c r="R939" s="13" t="str">
        <f>IF($A939="","",[1]!thsiFinD("ths_adjustment_nv_fund",R$3,$A939))</f>
        <v/>
      </c>
      <c r="S939" s="13" t="str">
        <f>IF($A939="","",[1]!thsiFinD("ths_adjustment_nv_fund",S$3,$A939))</f>
        <v/>
      </c>
      <c r="T939" s="13" t="str">
        <f>IF($A939="","",[1]!thsiFinD("ths_adjustment_nv_fund",T$3,$A939))</f>
        <v/>
      </c>
      <c r="U939" s="13" t="str">
        <f>IF($A939="","",[1]!thsiFinD("ths_adjustment_nv_fund",U$3,$A939))</f>
        <v/>
      </c>
      <c r="V939" s="13" t="str">
        <f>IF($A939="","",[1]!thsiFinD("ths_adjustment_nv_fund",V$3,$A939))</f>
        <v/>
      </c>
      <c r="W939" s="13" t="str">
        <f>IF($A939="","",[1]!thsiFinD("ths_adjustment_nv_fund",W$3,$A939))</f>
        <v/>
      </c>
      <c r="X939" s="13" t="str">
        <f>IF($A939="","",[1]!thsiFinD("ths_adjustment_nv_fund",X$3,$A939))</f>
        <v/>
      </c>
      <c r="Y939" s="13" t="str">
        <f>IF($A939="","",[1]!thsiFinD("ths_adjustment_nv_fund",Y$3,$A939))</f>
        <v/>
      </c>
      <c r="Z939" s="13" t="str">
        <f>IF($A939="","",[1]!thsiFinD("ths_adjustment_nv_fund",Z$3,$A939))</f>
        <v/>
      </c>
      <c r="AA939" s="13" t="str">
        <f>IF($A939="","",[1]!thsiFinD("ths_adjustment_nv_fund",AA$3,$A939))</f>
        <v/>
      </c>
      <c r="AB939" s="13" t="str">
        <f>IF($A939="","",[1]!thsiFinD("ths_adjustment_nv_fund",AB$3,$A939))</f>
        <v/>
      </c>
    </row>
    <row r="940" spans="2:28">
      <c r="B940" s="13" t="str">
        <f>IF($A940="","",[1]!thsiFinD("ths_adjustment_nv_fund",B$3,$A940))</f>
        <v/>
      </c>
      <c r="C940" s="13" t="str">
        <f>IF($A940="","",[1]!thsiFinD("ths_adjustment_nv_fund",C$3,$A940))</f>
        <v/>
      </c>
      <c r="D940" s="13" t="str">
        <f>IF($A940="","",[1]!thsiFinD("ths_adjustment_nv_fund",D$3,$A940))</f>
        <v/>
      </c>
      <c r="E940" s="13" t="str">
        <f>IF($A940="","",[1]!thsiFinD("ths_adjustment_nv_fund",E$3,$A940))</f>
        <v/>
      </c>
      <c r="F940" s="13" t="str">
        <f>IF($A940="","",[1]!thsiFinD("ths_adjustment_nv_fund",F$3,$A940))</f>
        <v/>
      </c>
      <c r="G940" s="13" t="str">
        <f>IF($A940="","",[1]!thsiFinD("ths_adjustment_nv_fund",G$3,$A940))</f>
        <v/>
      </c>
      <c r="H940" s="13" t="str">
        <f>IF($A940="","",[1]!thsiFinD("ths_adjustment_nv_fund",H$3,$A940))</f>
        <v/>
      </c>
      <c r="I940" s="13" t="str">
        <f>IF($A940="","",[1]!thsiFinD("ths_adjustment_nv_fund",I$3,$A940))</f>
        <v/>
      </c>
      <c r="J940" s="13" t="str">
        <f>IF($A940="","",[1]!thsiFinD("ths_adjustment_nv_fund",J$3,$A940))</f>
        <v/>
      </c>
      <c r="K940" s="13" t="str">
        <f>IF($A940="","",[1]!thsiFinD("ths_adjustment_nv_fund",K$3,$A940))</f>
        <v/>
      </c>
      <c r="L940" s="13" t="str">
        <f>IF($A940="","",[1]!thsiFinD("ths_adjustment_nv_fund",L$3,$A940))</f>
        <v/>
      </c>
      <c r="M940" s="13" t="str">
        <f>IF($A940="","",[1]!thsiFinD("ths_adjustment_nv_fund",M$3,$A940))</f>
        <v/>
      </c>
      <c r="N940" s="13" t="str">
        <f>IF($A940="","",[1]!thsiFinD("ths_adjustment_nv_fund",N$3,$A940))</f>
        <v/>
      </c>
      <c r="O940" s="13" t="str">
        <f>IF($A940="","",[1]!thsiFinD("ths_adjustment_nv_fund",O$3,$A940))</f>
        <v/>
      </c>
      <c r="P940" s="13" t="str">
        <f>IF($A940="","",[1]!thsiFinD("ths_adjustment_nv_fund",P$3,$A940))</f>
        <v/>
      </c>
      <c r="Q940" s="13" t="str">
        <f>IF($A940="","",[1]!thsiFinD("ths_adjustment_nv_fund",Q$3,$A940))</f>
        <v/>
      </c>
      <c r="R940" s="13" t="str">
        <f>IF($A940="","",[1]!thsiFinD("ths_adjustment_nv_fund",R$3,$A940))</f>
        <v/>
      </c>
      <c r="S940" s="13" t="str">
        <f>IF($A940="","",[1]!thsiFinD("ths_adjustment_nv_fund",S$3,$A940))</f>
        <v/>
      </c>
      <c r="T940" s="13" t="str">
        <f>IF($A940="","",[1]!thsiFinD("ths_adjustment_nv_fund",T$3,$A940))</f>
        <v/>
      </c>
      <c r="U940" s="13" t="str">
        <f>IF($A940="","",[1]!thsiFinD("ths_adjustment_nv_fund",U$3,$A940))</f>
        <v/>
      </c>
      <c r="V940" s="13" t="str">
        <f>IF($A940="","",[1]!thsiFinD("ths_adjustment_nv_fund",V$3,$A940))</f>
        <v/>
      </c>
      <c r="W940" s="13" t="str">
        <f>IF($A940="","",[1]!thsiFinD("ths_adjustment_nv_fund",W$3,$A940))</f>
        <v/>
      </c>
      <c r="X940" s="13" t="str">
        <f>IF($A940="","",[1]!thsiFinD("ths_adjustment_nv_fund",X$3,$A940))</f>
        <v/>
      </c>
      <c r="Y940" s="13" t="str">
        <f>IF($A940="","",[1]!thsiFinD("ths_adjustment_nv_fund",Y$3,$A940))</f>
        <v/>
      </c>
      <c r="Z940" s="13" t="str">
        <f>IF($A940="","",[1]!thsiFinD("ths_adjustment_nv_fund",Z$3,$A940))</f>
        <v/>
      </c>
      <c r="AA940" s="13" t="str">
        <f>IF($A940="","",[1]!thsiFinD("ths_adjustment_nv_fund",AA$3,$A940))</f>
        <v/>
      </c>
      <c r="AB940" s="13" t="str">
        <f>IF($A940="","",[1]!thsiFinD("ths_adjustment_nv_fund",AB$3,$A940))</f>
        <v/>
      </c>
    </row>
    <row r="941" spans="2:28">
      <c r="B941" s="13" t="str">
        <f>IF($A941="","",[1]!thsiFinD("ths_adjustment_nv_fund",B$3,$A941))</f>
        <v/>
      </c>
      <c r="C941" s="13" t="str">
        <f>IF($A941="","",[1]!thsiFinD("ths_adjustment_nv_fund",C$3,$A941))</f>
        <v/>
      </c>
      <c r="D941" s="13" t="str">
        <f>IF($A941="","",[1]!thsiFinD("ths_adjustment_nv_fund",D$3,$A941))</f>
        <v/>
      </c>
      <c r="E941" s="13" t="str">
        <f>IF($A941="","",[1]!thsiFinD("ths_adjustment_nv_fund",E$3,$A941))</f>
        <v/>
      </c>
      <c r="F941" s="13" t="str">
        <f>IF($A941="","",[1]!thsiFinD("ths_adjustment_nv_fund",F$3,$A941))</f>
        <v/>
      </c>
      <c r="G941" s="13" t="str">
        <f>IF($A941="","",[1]!thsiFinD("ths_adjustment_nv_fund",G$3,$A941))</f>
        <v/>
      </c>
      <c r="H941" s="13" t="str">
        <f>IF($A941="","",[1]!thsiFinD("ths_adjustment_nv_fund",H$3,$A941))</f>
        <v/>
      </c>
      <c r="I941" s="13" t="str">
        <f>IF($A941="","",[1]!thsiFinD("ths_adjustment_nv_fund",I$3,$A941))</f>
        <v/>
      </c>
      <c r="J941" s="13" t="str">
        <f>IF($A941="","",[1]!thsiFinD("ths_adjustment_nv_fund",J$3,$A941))</f>
        <v/>
      </c>
      <c r="K941" s="13" t="str">
        <f>IF($A941="","",[1]!thsiFinD("ths_adjustment_nv_fund",K$3,$A941))</f>
        <v/>
      </c>
      <c r="L941" s="13" t="str">
        <f>IF($A941="","",[1]!thsiFinD("ths_adjustment_nv_fund",L$3,$A941))</f>
        <v/>
      </c>
      <c r="M941" s="13" t="str">
        <f>IF($A941="","",[1]!thsiFinD("ths_adjustment_nv_fund",M$3,$A941))</f>
        <v/>
      </c>
      <c r="N941" s="13" t="str">
        <f>IF($A941="","",[1]!thsiFinD("ths_adjustment_nv_fund",N$3,$A941))</f>
        <v/>
      </c>
      <c r="O941" s="13" t="str">
        <f>IF($A941="","",[1]!thsiFinD("ths_adjustment_nv_fund",O$3,$A941))</f>
        <v/>
      </c>
      <c r="P941" s="13" t="str">
        <f>IF($A941="","",[1]!thsiFinD("ths_adjustment_nv_fund",P$3,$A941))</f>
        <v/>
      </c>
      <c r="Q941" s="13" t="str">
        <f>IF($A941="","",[1]!thsiFinD("ths_adjustment_nv_fund",Q$3,$A941))</f>
        <v/>
      </c>
      <c r="R941" s="13" t="str">
        <f>IF($A941="","",[1]!thsiFinD("ths_adjustment_nv_fund",R$3,$A941))</f>
        <v/>
      </c>
      <c r="S941" s="13" t="str">
        <f>IF($A941="","",[1]!thsiFinD("ths_adjustment_nv_fund",S$3,$A941))</f>
        <v/>
      </c>
      <c r="T941" s="13" t="str">
        <f>IF($A941="","",[1]!thsiFinD("ths_adjustment_nv_fund",T$3,$A941))</f>
        <v/>
      </c>
      <c r="U941" s="13" t="str">
        <f>IF($A941="","",[1]!thsiFinD("ths_adjustment_nv_fund",U$3,$A941))</f>
        <v/>
      </c>
      <c r="V941" s="13" t="str">
        <f>IF($A941="","",[1]!thsiFinD("ths_adjustment_nv_fund",V$3,$A941))</f>
        <v/>
      </c>
      <c r="W941" s="13" t="str">
        <f>IF($A941="","",[1]!thsiFinD("ths_adjustment_nv_fund",W$3,$A941))</f>
        <v/>
      </c>
      <c r="X941" s="13" t="str">
        <f>IF($A941="","",[1]!thsiFinD("ths_adjustment_nv_fund",X$3,$A941))</f>
        <v/>
      </c>
      <c r="Y941" s="13" t="str">
        <f>IF($A941="","",[1]!thsiFinD("ths_adjustment_nv_fund",Y$3,$A941))</f>
        <v/>
      </c>
      <c r="Z941" s="13" t="str">
        <f>IF($A941="","",[1]!thsiFinD("ths_adjustment_nv_fund",Z$3,$A941))</f>
        <v/>
      </c>
      <c r="AA941" s="13" t="str">
        <f>IF($A941="","",[1]!thsiFinD("ths_adjustment_nv_fund",AA$3,$A941))</f>
        <v/>
      </c>
      <c r="AB941" s="13" t="str">
        <f>IF($A941="","",[1]!thsiFinD("ths_adjustment_nv_fund",AB$3,$A941))</f>
        <v/>
      </c>
    </row>
    <row r="942" spans="2:28">
      <c r="B942" s="13" t="str">
        <f>IF($A942="","",[1]!thsiFinD("ths_adjustment_nv_fund",B$3,$A942))</f>
        <v/>
      </c>
      <c r="C942" s="13" t="str">
        <f>IF($A942="","",[1]!thsiFinD("ths_adjustment_nv_fund",C$3,$A942))</f>
        <v/>
      </c>
      <c r="D942" s="13" t="str">
        <f>IF($A942="","",[1]!thsiFinD("ths_adjustment_nv_fund",D$3,$A942))</f>
        <v/>
      </c>
      <c r="E942" s="13" t="str">
        <f>IF($A942="","",[1]!thsiFinD("ths_adjustment_nv_fund",E$3,$A942))</f>
        <v/>
      </c>
      <c r="F942" s="13" t="str">
        <f>IF($A942="","",[1]!thsiFinD("ths_adjustment_nv_fund",F$3,$A942))</f>
        <v/>
      </c>
      <c r="G942" s="13" t="str">
        <f>IF($A942="","",[1]!thsiFinD("ths_adjustment_nv_fund",G$3,$A942))</f>
        <v/>
      </c>
      <c r="H942" s="13" t="str">
        <f>IF($A942="","",[1]!thsiFinD("ths_adjustment_nv_fund",H$3,$A942))</f>
        <v/>
      </c>
      <c r="I942" s="13" t="str">
        <f>IF($A942="","",[1]!thsiFinD("ths_adjustment_nv_fund",I$3,$A942))</f>
        <v/>
      </c>
      <c r="J942" s="13" t="str">
        <f>IF($A942="","",[1]!thsiFinD("ths_adjustment_nv_fund",J$3,$A942))</f>
        <v/>
      </c>
      <c r="K942" s="13" t="str">
        <f>IF($A942="","",[1]!thsiFinD("ths_adjustment_nv_fund",K$3,$A942))</f>
        <v/>
      </c>
      <c r="L942" s="13" t="str">
        <f>IF($A942="","",[1]!thsiFinD("ths_adjustment_nv_fund",L$3,$A942))</f>
        <v/>
      </c>
      <c r="M942" s="13" t="str">
        <f>IF($A942="","",[1]!thsiFinD("ths_adjustment_nv_fund",M$3,$A942))</f>
        <v/>
      </c>
      <c r="N942" s="13" t="str">
        <f>IF($A942="","",[1]!thsiFinD("ths_adjustment_nv_fund",N$3,$A942))</f>
        <v/>
      </c>
      <c r="O942" s="13" t="str">
        <f>IF($A942="","",[1]!thsiFinD("ths_adjustment_nv_fund",O$3,$A942))</f>
        <v/>
      </c>
      <c r="P942" s="13" t="str">
        <f>IF($A942="","",[1]!thsiFinD("ths_adjustment_nv_fund",P$3,$A942))</f>
        <v/>
      </c>
      <c r="Q942" s="13" t="str">
        <f>IF($A942="","",[1]!thsiFinD("ths_adjustment_nv_fund",Q$3,$A942))</f>
        <v/>
      </c>
      <c r="R942" s="13" t="str">
        <f>IF($A942="","",[1]!thsiFinD("ths_adjustment_nv_fund",R$3,$A942))</f>
        <v/>
      </c>
      <c r="S942" s="13" t="str">
        <f>IF($A942="","",[1]!thsiFinD("ths_adjustment_nv_fund",S$3,$A942))</f>
        <v/>
      </c>
      <c r="T942" s="13" t="str">
        <f>IF($A942="","",[1]!thsiFinD("ths_adjustment_nv_fund",T$3,$A942))</f>
        <v/>
      </c>
      <c r="U942" s="13" t="str">
        <f>IF($A942="","",[1]!thsiFinD("ths_adjustment_nv_fund",U$3,$A942))</f>
        <v/>
      </c>
      <c r="V942" s="13" t="str">
        <f>IF($A942="","",[1]!thsiFinD("ths_adjustment_nv_fund",V$3,$A942))</f>
        <v/>
      </c>
      <c r="W942" s="13" t="str">
        <f>IF($A942="","",[1]!thsiFinD("ths_adjustment_nv_fund",W$3,$A942))</f>
        <v/>
      </c>
      <c r="X942" s="13" t="str">
        <f>IF($A942="","",[1]!thsiFinD("ths_adjustment_nv_fund",X$3,$A942))</f>
        <v/>
      </c>
      <c r="Y942" s="13" t="str">
        <f>IF($A942="","",[1]!thsiFinD("ths_adjustment_nv_fund",Y$3,$A942))</f>
        <v/>
      </c>
      <c r="Z942" s="13" t="str">
        <f>IF($A942="","",[1]!thsiFinD("ths_adjustment_nv_fund",Z$3,$A942))</f>
        <v/>
      </c>
      <c r="AA942" s="13" t="str">
        <f>IF($A942="","",[1]!thsiFinD("ths_adjustment_nv_fund",AA$3,$A942))</f>
        <v/>
      </c>
      <c r="AB942" s="13" t="str">
        <f>IF($A942="","",[1]!thsiFinD("ths_adjustment_nv_fund",AB$3,$A942))</f>
        <v/>
      </c>
    </row>
    <row r="943" spans="2:28">
      <c r="B943" s="13" t="str">
        <f>IF($A943="","",[1]!thsiFinD("ths_adjustment_nv_fund",B$3,$A943))</f>
        <v/>
      </c>
      <c r="C943" s="13" t="str">
        <f>IF($A943="","",[1]!thsiFinD("ths_adjustment_nv_fund",C$3,$A943))</f>
        <v/>
      </c>
      <c r="D943" s="13" t="str">
        <f>IF($A943="","",[1]!thsiFinD("ths_adjustment_nv_fund",D$3,$A943))</f>
        <v/>
      </c>
      <c r="E943" s="13" t="str">
        <f>IF($A943="","",[1]!thsiFinD("ths_adjustment_nv_fund",E$3,$A943))</f>
        <v/>
      </c>
      <c r="F943" s="13" t="str">
        <f>IF($A943="","",[1]!thsiFinD("ths_adjustment_nv_fund",F$3,$A943))</f>
        <v/>
      </c>
      <c r="G943" s="13" t="str">
        <f>IF($A943="","",[1]!thsiFinD("ths_adjustment_nv_fund",G$3,$A943))</f>
        <v/>
      </c>
      <c r="H943" s="13" t="str">
        <f>IF($A943="","",[1]!thsiFinD("ths_adjustment_nv_fund",H$3,$A943))</f>
        <v/>
      </c>
      <c r="I943" s="13" t="str">
        <f>IF($A943="","",[1]!thsiFinD("ths_adjustment_nv_fund",I$3,$A943))</f>
        <v/>
      </c>
      <c r="J943" s="13" t="str">
        <f>IF($A943="","",[1]!thsiFinD("ths_adjustment_nv_fund",J$3,$A943))</f>
        <v/>
      </c>
      <c r="K943" s="13" t="str">
        <f>IF($A943="","",[1]!thsiFinD("ths_adjustment_nv_fund",K$3,$A943))</f>
        <v/>
      </c>
      <c r="L943" s="13" t="str">
        <f>IF($A943="","",[1]!thsiFinD("ths_adjustment_nv_fund",L$3,$A943))</f>
        <v/>
      </c>
      <c r="M943" s="13" t="str">
        <f>IF($A943="","",[1]!thsiFinD("ths_adjustment_nv_fund",M$3,$A943))</f>
        <v/>
      </c>
      <c r="N943" s="13" t="str">
        <f>IF($A943="","",[1]!thsiFinD("ths_adjustment_nv_fund",N$3,$A943))</f>
        <v/>
      </c>
      <c r="O943" s="13" t="str">
        <f>IF($A943="","",[1]!thsiFinD("ths_adjustment_nv_fund",O$3,$A943))</f>
        <v/>
      </c>
      <c r="P943" s="13" t="str">
        <f>IF($A943="","",[1]!thsiFinD("ths_adjustment_nv_fund",P$3,$A943))</f>
        <v/>
      </c>
      <c r="Q943" s="13" t="str">
        <f>IF($A943="","",[1]!thsiFinD("ths_adjustment_nv_fund",Q$3,$A943))</f>
        <v/>
      </c>
      <c r="R943" s="13" t="str">
        <f>IF($A943="","",[1]!thsiFinD("ths_adjustment_nv_fund",R$3,$A943))</f>
        <v/>
      </c>
      <c r="S943" s="13" t="str">
        <f>IF($A943="","",[1]!thsiFinD("ths_adjustment_nv_fund",S$3,$A943))</f>
        <v/>
      </c>
      <c r="T943" s="13" t="str">
        <f>IF($A943="","",[1]!thsiFinD("ths_adjustment_nv_fund",T$3,$A943))</f>
        <v/>
      </c>
      <c r="U943" s="13" t="str">
        <f>IF($A943="","",[1]!thsiFinD("ths_adjustment_nv_fund",U$3,$A943))</f>
        <v/>
      </c>
      <c r="V943" s="13" t="str">
        <f>IF($A943="","",[1]!thsiFinD("ths_adjustment_nv_fund",V$3,$A943))</f>
        <v/>
      </c>
      <c r="W943" s="13" t="str">
        <f>IF($A943="","",[1]!thsiFinD("ths_adjustment_nv_fund",W$3,$A943))</f>
        <v/>
      </c>
      <c r="X943" s="13" t="str">
        <f>IF($A943="","",[1]!thsiFinD("ths_adjustment_nv_fund",X$3,$A943))</f>
        <v/>
      </c>
      <c r="Y943" s="13" t="str">
        <f>IF($A943="","",[1]!thsiFinD("ths_adjustment_nv_fund",Y$3,$A943))</f>
        <v/>
      </c>
      <c r="Z943" s="13" t="str">
        <f>IF($A943="","",[1]!thsiFinD("ths_adjustment_nv_fund",Z$3,$A943))</f>
        <v/>
      </c>
      <c r="AA943" s="13" t="str">
        <f>IF($A943="","",[1]!thsiFinD("ths_adjustment_nv_fund",AA$3,$A943))</f>
        <v/>
      </c>
      <c r="AB943" s="13" t="str">
        <f>IF($A943="","",[1]!thsiFinD("ths_adjustment_nv_fund",AB$3,$A943))</f>
        <v/>
      </c>
    </row>
    <row r="944" spans="2:28">
      <c r="B944" s="13" t="str">
        <f>IF($A944="","",[1]!thsiFinD("ths_adjustment_nv_fund",B$3,$A944))</f>
        <v/>
      </c>
      <c r="C944" s="13" t="str">
        <f>IF($A944="","",[1]!thsiFinD("ths_adjustment_nv_fund",C$3,$A944))</f>
        <v/>
      </c>
      <c r="D944" s="13" t="str">
        <f>IF($A944="","",[1]!thsiFinD("ths_adjustment_nv_fund",D$3,$A944))</f>
        <v/>
      </c>
      <c r="E944" s="13" t="str">
        <f>IF($A944="","",[1]!thsiFinD("ths_adjustment_nv_fund",E$3,$A944))</f>
        <v/>
      </c>
      <c r="F944" s="13" t="str">
        <f>IF($A944="","",[1]!thsiFinD("ths_adjustment_nv_fund",F$3,$A944))</f>
        <v/>
      </c>
      <c r="G944" s="13" t="str">
        <f>IF($A944="","",[1]!thsiFinD("ths_adjustment_nv_fund",G$3,$A944))</f>
        <v/>
      </c>
      <c r="H944" s="13" t="str">
        <f>IF($A944="","",[1]!thsiFinD("ths_adjustment_nv_fund",H$3,$A944))</f>
        <v/>
      </c>
      <c r="I944" s="13" t="str">
        <f>IF($A944="","",[1]!thsiFinD("ths_adjustment_nv_fund",I$3,$A944))</f>
        <v/>
      </c>
      <c r="J944" s="13" t="str">
        <f>IF($A944="","",[1]!thsiFinD("ths_adjustment_nv_fund",J$3,$A944))</f>
        <v/>
      </c>
      <c r="K944" s="13" t="str">
        <f>IF($A944="","",[1]!thsiFinD("ths_adjustment_nv_fund",K$3,$A944))</f>
        <v/>
      </c>
      <c r="L944" s="13" t="str">
        <f>IF($A944="","",[1]!thsiFinD("ths_adjustment_nv_fund",L$3,$A944))</f>
        <v/>
      </c>
      <c r="M944" s="13" t="str">
        <f>IF($A944="","",[1]!thsiFinD("ths_adjustment_nv_fund",M$3,$A944))</f>
        <v/>
      </c>
      <c r="N944" s="13" t="str">
        <f>IF($A944="","",[1]!thsiFinD("ths_adjustment_nv_fund",N$3,$A944))</f>
        <v/>
      </c>
      <c r="O944" s="13" t="str">
        <f>IF($A944="","",[1]!thsiFinD("ths_adjustment_nv_fund",O$3,$A944))</f>
        <v/>
      </c>
      <c r="P944" s="13" t="str">
        <f>IF($A944="","",[1]!thsiFinD("ths_adjustment_nv_fund",P$3,$A944))</f>
        <v/>
      </c>
      <c r="Q944" s="13" t="str">
        <f>IF($A944="","",[1]!thsiFinD("ths_adjustment_nv_fund",Q$3,$A944))</f>
        <v/>
      </c>
      <c r="R944" s="13" t="str">
        <f>IF($A944="","",[1]!thsiFinD("ths_adjustment_nv_fund",R$3,$A944))</f>
        <v/>
      </c>
      <c r="S944" s="13" t="str">
        <f>IF($A944="","",[1]!thsiFinD("ths_adjustment_nv_fund",S$3,$A944))</f>
        <v/>
      </c>
      <c r="T944" s="13" t="str">
        <f>IF($A944="","",[1]!thsiFinD("ths_adjustment_nv_fund",T$3,$A944))</f>
        <v/>
      </c>
      <c r="U944" s="13" t="str">
        <f>IF($A944="","",[1]!thsiFinD("ths_adjustment_nv_fund",U$3,$A944))</f>
        <v/>
      </c>
      <c r="V944" s="13" t="str">
        <f>IF($A944="","",[1]!thsiFinD("ths_adjustment_nv_fund",V$3,$A944))</f>
        <v/>
      </c>
      <c r="W944" s="13" t="str">
        <f>IF($A944="","",[1]!thsiFinD("ths_adjustment_nv_fund",W$3,$A944))</f>
        <v/>
      </c>
      <c r="X944" s="13" t="str">
        <f>IF($A944="","",[1]!thsiFinD("ths_adjustment_nv_fund",X$3,$A944))</f>
        <v/>
      </c>
      <c r="Y944" s="13" t="str">
        <f>IF($A944="","",[1]!thsiFinD("ths_adjustment_nv_fund",Y$3,$A944))</f>
        <v/>
      </c>
      <c r="Z944" s="13" t="str">
        <f>IF($A944="","",[1]!thsiFinD("ths_adjustment_nv_fund",Z$3,$A944))</f>
        <v/>
      </c>
      <c r="AA944" s="13" t="str">
        <f>IF($A944="","",[1]!thsiFinD("ths_adjustment_nv_fund",AA$3,$A944))</f>
        <v/>
      </c>
      <c r="AB944" s="13" t="str">
        <f>IF($A944="","",[1]!thsiFinD("ths_adjustment_nv_fund",AB$3,$A944))</f>
        <v/>
      </c>
    </row>
    <row r="945" spans="2:28">
      <c r="B945" s="13" t="str">
        <f>IF($A945="","",[1]!thsiFinD("ths_adjustment_nv_fund",B$3,$A945))</f>
        <v/>
      </c>
      <c r="C945" s="13" t="str">
        <f>IF($A945="","",[1]!thsiFinD("ths_adjustment_nv_fund",C$3,$A945))</f>
        <v/>
      </c>
      <c r="D945" s="13" t="str">
        <f>IF($A945="","",[1]!thsiFinD("ths_adjustment_nv_fund",D$3,$A945))</f>
        <v/>
      </c>
      <c r="E945" s="13" t="str">
        <f>IF($A945="","",[1]!thsiFinD("ths_adjustment_nv_fund",E$3,$A945))</f>
        <v/>
      </c>
      <c r="F945" s="13" t="str">
        <f>IF($A945="","",[1]!thsiFinD("ths_adjustment_nv_fund",F$3,$A945))</f>
        <v/>
      </c>
      <c r="G945" s="13" t="str">
        <f>IF($A945="","",[1]!thsiFinD("ths_adjustment_nv_fund",G$3,$A945))</f>
        <v/>
      </c>
      <c r="H945" s="13" t="str">
        <f>IF($A945="","",[1]!thsiFinD("ths_adjustment_nv_fund",H$3,$A945))</f>
        <v/>
      </c>
      <c r="I945" s="13" t="str">
        <f>IF($A945="","",[1]!thsiFinD("ths_adjustment_nv_fund",I$3,$A945))</f>
        <v/>
      </c>
      <c r="J945" s="13" t="str">
        <f>IF($A945="","",[1]!thsiFinD("ths_adjustment_nv_fund",J$3,$A945))</f>
        <v/>
      </c>
      <c r="K945" s="13" t="str">
        <f>IF($A945="","",[1]!thsiFinD("ths_adjustment_nv_fund",K$3,$A945))</f>
        <v/>
      </c>
      <c r="L945" s="13" t="str">
        <f>IF($A945="","",[1]!thsiFinD("ths_adjustment_nv_fund",L$3,$A945))</f>
        <v/>
      </c>
      <c r="M945" s="13" t="str">
        <f>IF($A945="","",[1]!thsiFinD("ths_adjustment_nv_fund",M$3,$A945))</f>
        <v/>
      </c>
      <c r="N945" s="13" t="str">
        <f>IF($A945="","",[1]!thsiFinD("ths_adjustment_nv_fund",N$3,$A945))</f>
        <v/>
      </c>
      <c r="O945" s="13" t="str">
        <f>IF($A945="","",[1]!thsiFinD("ths_adjustment_nv_fund",O$3,$A945))</f>
        <v/>
      </c>
      <c r="P945" s="13" t="str">
        <f>IF($A945="","",[1]!thsiFinD("ths_adjustment_nv_fund",P$3,$A945))</f>
        <v/>
      </c>
      <c r="Q945" s="13" t="str">
        <f>IF($A945="","",[1]!thsiFinD("ths_adjustment_nv_fund",Q$3,$A945))</f>
        <v/>
      </c>
      <c r="R945" s="13" t="str">
        <f>IF($A945="","",[1]!thsiFinD("ths_adjustment_nv_fund",R$3,$A945))</f>
        <v/>
      </c>
      <c r="S945" s="13" t="str">
        <f>IF($A945="","",[1]!thsiFinD("ths_adjustment_nv_fund",S$3,$A945))</f>
        <v/>
      </c>
      <c r="T945" s="13" t="str">
        <f>IF($A945="","",[1]!thsiFinD("ths_adjustment_nv_fund",T$3,$A945))</f>
        <v/>
      </c>
      <c r="U945" s="13" t="str">
        <f>IF($A945="","",[1]!thsiFinD("ths_adjustment_nv_fund",U$3,$A945))</f>
        <v/>
      </c>
      <c r="V945" s="13" t="str">
        <f>IF($A945="","",[1]!thsiFinD("ths_adjustment_nv_fund",V$3,$A945))</f>
        <v/>
      </c>
      <c r="W945" s="13" t="str">
        <f>IF($A945="","",[1]!thsiFinD("ths_adjustment_nv_fund",W$3,$A945))</f>
        <v/>
      </c>
      <c r="X945" s="13" t="str">
        <f>IF($A945="","",[1]!thsiFinD("ths_adjustment_nv_fund",X$3,$A945))</f>
        <v/>
      </c>
      <c r="Y945" s="13" t="str">
        <f>IF($A945="","",[1]!thsiFinD("ths_adjustment_nv_fund",Y$3,$A945))</f>
        <v/>
      </c>
      <c r="Z945" s="13" t="str">
        <f>IF($A945="","",[1]!thsiFinD("ths_adjustment_nv_fund",Z$3,$A945))</f>
        <v/>
      </c>
      <c r="AA945" s="13" t="str">
        <f>IF($A945="","",[1]!thsiFinD("ths_adjustment_nv_fund",AA$3,$A945))</f>
        <v/>
      </c>
      <c r="AB945" s="13" t="str">
        <f>IF($A945="","",[1]!thsiFinD("ths_adjustment_nv_fund",AB$3,$A945))</f>
        <v/>
      </c>
    </row>
    <row r="946" spans="2:28">
      <c r="B946" s="13" t="str">
        <f>IF($A946="","",[1]!thsiFinD("ths_adjustment_nv_fund",B$3,$A946))</f>
        <v/>
      </c>
      <c r="C946" s="13" t="str">
        <f>IF($A946="","",[1]!thsiFinD("ths_adjustment_nv_fund",C$3,$A946))</f>
        <v/>
      </c>
      <c r="D946" s="13" t="str">
        <f>IF($A946="","",[1]!thsiFinD("ths_adjustment_nv_fund",D$3,$A946))</f>
        <v/>
      </c>
      <c r="E946" s="13" t="str">
        <f>IF($A946="","",[1]!thsiFinD("ths_adjustment_nv_fund",E$3,$A946))</f>
        <v/>
      </c>
      <c r="F946" s="13" t="str">
        <f>IF($A946="","",[1]!thsiFinD("ths_adjustment_nv_fund",F$3,$A946))</f>
        <v/>
      </c>
      <c r="G946" s="13" t="str">
        <f>IF($A946="","",[1]!thsiFinD("ths_adjustment_nv_fund",G$3,$A946))</f>
        <v/>
      </c>
      <c r="H946" s="13" t="str">
        <f>IF($A946="","",[1]!thsiFinD("ths_adjustment_nv_fund",H$3,$A946))</f>
        <v/>
      </c>
      <c r="I946" s="13" t="str">
        <f>IF($A946="","",[1]!thsiFinD("ths_adjustment_nv_fund",I$3,$A946))</f>
        <v/>
      </c>
      <c r="J946" s="13" t="str">
        <f>IF($A946="","",[1]!thsiFinD("ths_adjustment_nv_fund",J$3,$A946))</f>
        <v/>
      </c>
      <c r="K946" s="13" t="str">
        <f>IF($A946="","",[1]!thsiFinD("ths_adjustment_nv_fund",K$3,$A946))</f>
        <v/>
      </c>
      <c r="L946" s="13" t="str">
        <f>IF($A946="","",[1]!thsiFinD("ths_adjustment_nv_fund",L$3,$A946))</f>
        <v/>
      </c>
      <c r="M946" s="13" t="str">
        <f>IF($A946="","",[1]!thsiFinD("ths_adjustment_nv_fund",M$3,$A946))</f>
        <v/>
      </c>
      <c r="N946" s="13" t="str">
        <f>IF($A946="","",[1]!thsiFinD("ths_adjustment_nv_fund",N$3,$A946))</f>
        <v/>
      </c>
      <c r="O946" s="13" t="str">
        <f>IF($A946="","",[1]!thsiFinD("ths_adjustment_nv_fund",O$3,$A946))</f>
        <v/>
      </c>
      <c r="P946" s="13" t="str">
        <f>IF($A946="","",[1]!thsiFinD("ths_adjustment_nv_fund",P$3,$A946))</f>
        <v/>
      </c>
      <c r="Q946" s="13" t="str">
        <f>IF($A946="","",[1]!thsiFinD("ths_adjustment_nv_fund",Q$3,$A946))</f>
        <v/>
      </c>
      <c r="R946" s="13" t="str">
        <f>IF($A946="","",[1]!thsiFinD("ths_adjustment_nv_fund",R$3,$A946))</f>
        <v/>
      </c>
      <c r="S946" s="13" t="str">
        <f>IF($A946="","",[1]!thsiFinD("ths_adjustment_nv_fund",S$3,$A946))</f>
        <v/>
      </c>
      <c r="T946" s="13" t="str">
        <f>IF($A946="","",[1]!thsiFinD("ths_adjustment_nv_fund",T$3,$A946))</f>
        <v/>
      </c>
      <c r="U946" s="13" t="str">
        <f>IF($A946="","",[1]!thsiFinD("ths_adjustment_nv_fund",U$3,$A946))</f>
        <v/>
      </c>
      <c r="V946" s="13" t="str">
        <f>IF($A946="","",[1]!thsiFinD("ths_adjustment_nv_fund",V$3,$A946))</f>
        <v/>
      </c>
      <c r="W946" s="13" t="str">
        <f>IF($A946="","",[1]!thsiFinD("ths_adjustment_nv_fund",W$3,$A946))</f>
        <v/>
      </c>
      <c r="X946" s="13" t="str">
        <f>IF($A946="","",[1]!thsiFinD("ths_adjustment_nv_fund",X$3,$A946))</f>
        <v/>
      </c>
      <c r="Y946" s="13" t="str">
        <f>IF($A946="","",[1]!thsiFinD("ths_adjustment_nv_fund",Y$3,$A946))</f>
        <v/>
      </c>
      <c r="Z946" s="13" t="str">
        <f>IF($A946="","",[1]!thsiFinD("ths_adjustment_nv_fund",Z$3,$A946))</f>
        <v/>
      </c>
      <c r="AA946" s="13" t="str">
        <f>IF($A946="","",[1]!thsiFinD("ths_adjustment_nv_fund",AA$3,$A946))</f>
        <v/>
      </c>
      <c r="AB946" s="13" t="str">
        <f>IF($A946="","",[1]!thsiFinD("ths_adjustment_nv_fund",AB$3,$A946))</f>
        <v/>
      </c>
    </row>
    <row r="947" spans="2:28">
      <c r="B947" s="13" t="str">
        <f>IF($A947="","",[1]!thsiFinD("ths_adjustment_nv_fund",B$3,$A947))</f>
        <v/>
      </c>
      <c r="C947" s="13" t="str">
        <f>IF($A947="","",[1]!thsiFinD("ths_adjustment_nv_fund",C$3,$A947))</f>
        <v/>
      </c>
      <c r="D947" s="13" t="str">
        <f>IF($A947="","",[1]!thsiFinD("ths_adjustment_nv_fund",D$3,$A947))</f>
        <v/>
      </c>
      <c r="E947" s="13" t="str">
        <f>IF($A947="","",[1]!thsiFinD("ths_adjustment_nv_fund",E$3,$A947))</f>
        <v/>
      </c>
      <c r="F947" s="13" t="str">
        <f>IF($A947="","",[1]!thsiFinD("ths_adjustment_nv_fund",F$3,$A947))</f>
        <v/>
      </c>
      <c r="G947" s="13" t="str">
        <f>IF($A947="","",[1]!thsiFinD("ths_adjustment_nv_fund",G$3,$A947))</f>
        <v/>
      </c>
      <c r="H947" s="13" t="str">
        <f>IF($A947="","",[1]!thsiFinD("ths_adjustment_nv_fund",H$3,$A947))</f>
        <v/>
      </c>
      <c r="I947" s="13" t="str">
        <f>IF($A947="","",[1]!thsiFinD("ths_adjustment_nv_fund",I$3,$A947))</f>
        <v/>
      </c>
      <c r="J947" s="13" t="str">
        <f>IF($A947="","",[1]!thsiFinD("ths_adjustment_nv_fund",J$3,$A947))</f>
        <v/>
      </c>
      <c r="K947" s="13" t="str">
        <f>IF($A947="","",[1]!thsiFinD("ths_adjustment_nv_fund",K$3,$A947))</f>
        <v/>
      </c>
      <c r="L947" s="13" t="str">
        <f>IF($A947="","",[1]!thsiFinD("ths_adjustment_nv_fund",L$3,$A947))</f>
        <v/>
      </c>
      <c r="M947" s="13" t="str">
        <f>IF($A947="","",[1]!thsiFinD("ths_adjustment_nv_fund",M$3,$A947))</f>
        <v/>
      </c>
      <c r="N947" s="13" t="str">
        <f>IF($A947="","",[1]!thsiFinD("ths_adjustment_nv_fund",N$3,$A947))</f>
        <v/>
      </c>
      <c r="O947" s="13" t="str">
        <f>IF($A947="","",[1]!thsiFinD("ths_adjustment_nv_fund",O$3,$A947))</f>
        <v/>
      </c>
      <c r="P947" s="13" t="str">
        <f>IF($A947="","",[1]!thsiFinD("ths_adjustment_nv_fund",P$3,$A947))</f>
        <v/>
      </c>
      <c r="Q947" s="13" t="str">
        <f>IF($A947="","",[1]!thsiFinD("ths_adjustment_nv_fund",Q$3,$A947))</f>
        <v/>
      </c>
      <c r="R947" s="13" t="str">
        <f>IF($A947="","",[1]!thsiFinD("ths_adjustment_nv_fund",R$3,$A947))</f>
        <v/>
      </c>
      <c r="S947" s="13" t="str">
        <f>IF($A947="","",[1]!thsiFinD("ths_adjustment_nv_fund",S$3,$A947))</f>
        <v/>
      </c>
      <c r="T947" s="13" t="str">
        <f>IF($A947="","",[1]!thsiFinD("ths_adjustment_nv_fund",T$3,$A947))</f>
        <v/>
      </c>
      <c r="U947" s="13" t="str">
        <f>IF($A947="","",[1]!thsiFinD("ths_adjustment_nv_fund",U$3,$A947))</f>
        <v/>
      </c>
      <c r="V947" s="13" t="str">
        <f>IF($A947="","",[1]!thsiFinD("ths_adjustment_nv_fund",V$3,$A947))</f>
        <v/>
      </c>
      <c r="W947" s="13" t="str">
        <f>IF($A947="","",[1]!thsiFinD("ths_adjustment_nv_fund",W$3,$A947))</f>
        <v/>
      </c>
      <c r="X947" s="13" t="str">
        <f>IF($A947="","",[1]!thsiFinD("ths_adjustment_nv_fund",X$3,$A947))</f>
        <v/>
      </c>
      <c r="Y947" s="13" t="str">
        <f>IF($A947="","",[1]!thsiFinD("ths_adjustment_nv_fund",Y$3,$A947))</f>
        <v/>
      </c>
      <c r="Z947" s="13" t="str">
        <f>IF($A947="","",[1]!thsiFinD("ths_adjustment_nv_fund",Z$3,$A947))</f>
        <v/>
      </c>
      <c r="AA947" s="13" t="str">
        <f>IF($A947="","",[1]!thsiFinD("ths_adjustment_nv_fund",AA$3,$A947))</f>
        <v/>
      </c>
      <c r="AB947" s="13" t="str">
        <f>IF($A947="","",[1]!thsiFinD("ths_adjustment_nv_fund",AB$3,$A947))</f>
        <v/>
      </c>
    </row>
    <row r="948" spans="2:28">
      <c r="B948" s="13" t="str">
        <f>IF($A948="","",[1]!thsiFinD("ths_adjustment_nv_fund",B$3,$A948))</f>
        <v/>
      </c>
      <c r="C948" s="13" t="str">
        <f>IF($A948="","",[1]!thsiFinD("ths_adjustment_nv_fund",C$3,$A948))</f>
        <v/>
      </c>
      <c r="D948" s="13" t="str">
        <f>IF($A948="","",[1]!thsiFinD("ths_adjustment_nv_fund",D$3,$A948))</f>
        <v/>
      </c>
      <c r="E948" s="13" t="str">
        <f>IF($A948="","",[1]!thsiFinD("ths_adjustment_nv_fund",E$3,$A948))</f>
        <v/>
      </c>
      <c r="F948" s="13" t="str">
        <f>IF($A948="","",[1]!thsiFinD("ths_adjustment_nv_fund",F$3,$A948))</f>
        <v/>
      </c>
      <c r="G948" s="13" t="str">
        <f>IF($A948="","",[1]!thsiFinD("ths_adjustment_nv_fund",G$3,$A948))</f>
        <v/>
      </c>
      <c r="H948" s="13" t="str">
        <f>IF($A948="","",[1]!thsiFinD("ths_adjustment_nv_fund",H$3,$A948))</f>
        <v/>
      </c>
      <c r="I948" s="13" t="str">
        <f>IF($A948="","",[1]!thsiFinD("ths_adjustment_nv_fund",I$3,$A948))</f>
        <v/>
      </c>
      <c r="J948" s="13" t="str">
        <f>IF($A948="","",[1]!thsiFinD("ths_adjustment_nv_fund",J$3,$A948))</f>
        <v/>
      </c>
      <c r="K948" s="13" t="str">
        <f>IF($A948="","",[1]!thsiFinD("ths_adjustment_nv_fund",K$3,$A948))</f>
        <v/>
      </c>
      <c r="L948" s="13" t="str">
        <f>IF($A948="","",[1]!thsiFinD("ths_adjustment_nv_fund",L$3,$A948))</f>
        <v/>
      </c>
      <c r="M948" s="13" t="str">
        <f>IF($A948="","",[1]!thsiFinD("ths_adjustment_nv_fund",M$3,$A948))</f>
        <v/>
      </c>
      <c r="N948" s="13" t="str">
        <f>IF($A948="","",[1]!thsiFinD("ths_adjustment_nv_fund",N$3,$A948))</f>
        <v/>
      </c>
      <c r="O948" s="13" t="str">
        <f>IF($A948="","",[1]!thsiFinD("ths_adjustment_nv_fund",O$3,$A948))</f>
        <v/>
      </c>
      <c r="P948" s="13" t="str">
        <f>IF($A948="","",[1]!thsiFinD("ths_adjustment_nv_fund",P$3,$A948))</f>
        <v/>
      </c>
      <c r="Q948" s="13" t="str">
        <f>IF($A948="","",[1]!thsiFinD("ths_adjustment_nv_fund",Q$3,$A948))</f>
        <v/>
      </c>
      <c r="R948" s="13" t="str">
        <f>IF($A948="","",[1]!thsiFinD("ths_adjustment_nv_fund",R$3,$A948))</f>
        <v/>
      </c>
      <c r="S948" s="13" t="str">
        <f>IF($A948="","",[1]!thsiFinD("ths_adjustment_nv_fund",S$3,$A948))</f>
        <v/>
      </c>
      <c r="T948" s="13" t="str">
        <f>IF($A948="","",[1]!thsiFinD("ths_adjustment_nv_fund",T$3,$A948))</f>
        <v/>
      </c>
      <c r="U948" s="13" t="str">
        <f>IF($A948="","",[1]!thsiFinD("ths_adjustment_nv_fund",U$3,$A948))</f>
        <v/>
      </c>
      <c r="V948" s="13" t="str">
        <f>IF($A948="","",[1]!thsiFinD("ths_adjustment_nv_fund",V$3,$A948))</f>
        <v/>
      </c>
      <c r="W948" s="13" t="str">
        <f>IF($A948="","",[1]!thsiFinD("ths_adjustment_nv_fund",W$3,$A948))</f>
        <v/>
      </c>
      <c r="X948" s="13" t="str">
        <f>IF($A948="","",[1]!thsiFinD("ths_adjustment_nv_fund",X$3,$A948))</f>
        <v/>
      </c>
      <c r="Y948" s="13" t="str">
        <f>IF($A948="","",[1]!thsiFinD("ths_adjustment_nv_fund",Y$3,$A948))</f>
        <v/>
      </c>
      <c r="Z948" s="13" t="str">
        <f>IF($A948="","",[1]!thsiFinD("ths_adjustment_nv_fund",Z$3,$A948))</f>
        <v/>
      </c>
      <c r="AA948" s="13" t="str">
        <f>IF($A948="","",[1]!thsiFinD("ths_adjustment_nv_fund",AA$3,$A948))</f>
        <v/>
      </c>
      <c r="AB948" s="13" t="str">
        <f>IF($A948="","",[1]!thsiFinD("ths_adjustment_nv_fund",AB$3,$A948))</f>
        <v/>
      </c>
    </row>
    <row r="949" spans="2:28">
      <c r="B949" s="13" t="str">
        <f>IF($A949="","",[1]!thsiFinD("ths_adjustment_nv_fund",B$3,$A949))</f>
        <v/>
      </c>
      <c r="C949" s="13" t="str">
        <f>IF($A949="","",[1]!thsiFinD("ths_adjustment_nv_fund",C$3,$A949))</f>
        <v/>
      </c>
      <c r="D949" s="13" t="str">
        <f>IF($A949="","",[1]!thsiFinD("ths_adjustment_nv_fund",D$3,$A949))</f>
        <v/>
      </c>
      <c r="E949" s="13" t="str">
        <f>IF($A949="","",[1]!thsiFinD("ths_adjustment_nv_fund",E$3,$A949))</f>
        <v/>
      </c>
      <c r="F949" s="13" t="str">
        <f>IF($A949="","",[1]!thsiFinD("ths_adjustment_nv_fund",F$3,$A949))</f>
        <v/>
      </c>
      <c r="G949" s="13" t="str">
        <f>IF($A949="","",[1]!thsiFinD("ths_adjustment_nv_fund",G$3,$A949))</f>
        <v/>
      </c>
      <c r="H949" s="13" t="str">
        <f>IF($A949="","",[1]!thsiFinD("ths_adjustment_nv_fund",H$3,$A949))</f>
        <v/>
      </c>
      <c r="I949" s="13" t="str">
        <f>IF($A949="","",[1]!thsiFinD("ths_adjustment_nv_fund",I$3,$A949))</f>
        <v/>
      </c>
      <c r="J949" s="13" t="str">
        <f>IF($A949="","",[1]!thsiFinD("ths_adjustment_nv_fund",J$3,$A949))</f>
        <v/>
      </c>
      <c r="K949" s="13" t="str">
        <f>IF($A949="","",[1]!thsiFinD("ths_adjustment_nv_fund",K$3,$A949))</f>
        <v/>
      </c>
      <c r="L949" s="13" t="str">
        <f>IF($A949="","",[1]!thsiFinD("ths_adjustment_nv_fund",L$3,$A949))</f>
        <v/>
      </c>
      <c r="M949" s="13" t="str">
        <f>IF($A949="","",[1]!thsiFinD("ths_adjustment_nv_fund",M$3,$A949))</f>
        <v/>
      </c>
      <c r="N949" s="13" t="str">
        <f>IF($A949="","",[1]!thsiFinD("ths_adjustment_nv_fund",N$3,$A949))</f>
        <v/>
      </c>
      <c r="O949" s="13" t="str">
        <f>IF($A949="","",[1]!thsiFinD("ths_adjustment_nv_fund",O$3,$A949))</f>
        <v/>
      </c>
      <c r="P949" s="13" t="str">
        <f>IF($A949="","",[1]!thsiFinD("ths_adjustment_nv_fund",P$3,$A949))</f>
        <v/>
      </c>
      <c r="Q949" s="13" t="str">
        <f>IF($A949="","",[1]!thsiFinD("ths_adjustment_nv_fund",Q$3,$A949))</f>
        <v/>
      </c>
      <c r="R949" s="13" t="str">
        <f>IF($A949="","",[1]!thsiFinD("ths_adjustment_nv_fund",R$3,$A949))</f>
        <v/>
      </c>
      <c r="S949" s="13" t="str">
        <f>IF($A949="","",[1]!thsiFinD("ths_adjustment_nv_fund",S$3,$A949))</f>
        <v/>
      </c>
      <c r="T949" s="13" t="str">
        <f>IF($A949="","",[1]!thsiFinD("ths_adjustment_nv_fund",T$3,$A949))</f>
        <v/>
      </c>
      <c r="U949" s="13" t="str">
        <f>IF($A949="","",[1]!thsiFinD("ths_adjustment_nv_fund",U$3,$A949))</f>
        <v/>
      </c>
      <c r="V949" s="13" t="str">
        <f>IF($A949="","",[1]!thsiFinD("ths_adjustment_nv_fund",V$3,$A949))</f>
        <v/>
      </c>
      <c r="W949" s="13" t="str">
        <f>IF($A949="","",[1]!thsiFinD("ths_adjustment_nv_fund",W$3,$A949))</f>
        <v/>
      </c>
      <c r="X949" s="13" t="str">
        <f>IF($A949="","",[1]!thsiFinD("ths_adjustment_nv_fund",X$3,$A949))</f>
        <v/>
      </c>
      <c r="Y949" s="13" t="str">
        <f>IF($A949="","",[1]!thsiFinD("ths_adjustment_nv_fund",Y$3,$A949))</f>
        <v/>
      </c>
      <c r="Z949" s="13" t="str">
        <f>IF($A949="","",[1]!thsiFinD("ths_adjustment_nv_fund",Z$3,$A949))</f>
        <v/>
      </c>
      <c r="AA949" s="13" t="str">
        <f>IF($A949="","",[1]!thsiFinD("ths_adjustment_nv_fund",AA$3,$A949))</f>
        <v/>
      </c>
      <c r="AB949" s="13" t="str">
        <f>IF($A949="","",[1]!thsiFinD("ths_adjustment_nv_fund",AB$3,$A949))</f>
        <v/>
      </c>
    </row>
    <row r="950" spans="2:28">
      <c r="B950" s="13" t="str">
        <f>IF($A950="","",[1]!thsiFinD("ths_adjustment_nv_fund",B$3,$A950))</f>
        <v/>
      </c>
      <c r="C950" s="13" t="str">
        <f>IF($A950="","",[1]!thsiFinD("ths_adjustment_nv_fund",C$3,$A950))</f>
        <v/>
      </c>
      <c r="D950" s="13" t="str">
        <f>IF($A950="","",[1]!thsiFinD("ths_adjustment_nv_fund",D$3,$A950))</f>
        <v/>
      </c>
      <c r="E950" s="13" t="str">
        <f>IF($A950="","",[1]!thsiFinD("ths_adjustment_nv_fund",E$3,$A950))</f>
        <v/>
      </c>
      <c r="F950" s="13" t="str">
        <f>IF($A950="","",[1]!thsiFinD("ths_adjustment_nv_fund",F$3,$A950))</f>
        <v/>
      </c>
      <c r="G950" s="13" t="str">
        <f>IF($A950="","",[1]!thsiFinD("ths_adjustment_nv_fund",G$3,$A950))</f>
        <v/>
      </c>
      <c r="H950" s="13" t="str">
        <f>IF($A950="","",[1]!thsiFinD("ths_adjustment_nv_fund",H$3,$A950))</f>
        <v/>
      </c>
      <c r="I950" s="13" t="str">
        <f>IF($A950="","",[1]!thsiFinD("ths_adjustment_nv_fund",I$3,$A950))</f>
        <v/>
      </c>
      <c r="J950" s="13" t="str">
        <f>IF($A950="","",[1]!thsiFinD("ths_adjustment_nv_fund",J$3,$A950))</f>
        <v/>
      </c>
      <c r="K950" s="13" t="str">
        <f>IF($A950="","",[1]!thsiFinD("ths_adjustment_nv_fund",K$3,$A950))</f>
        <v/>
      </c>
      <c r="L950" s="13" t="str">
        <f>IF($A950="","",[1]!thsiFinD("ths_adjustment_nv_fund",L$3,$A950))</f>
        <v/>
      </c>
      <c r="M950" s="13" t="str">
        <f>IF($A950="","",[1]!thsiFinD("ths_adjustment_nv_fund",M$3,$A950))</f>
        <v/>
      </c>
      <c r="N950" s="13" t="str">
        <f>IF($A950="","",[1]!thsiFinD("ths_adjustment_nv_fund",N$3,$A950))</f>
        <v/>
      </c>
      <c r="O950" s="13" t="str">
        <f>IF($A950="","",[1]!thsiFinD("ths_adjustment_nv_fund",O$3,$A950))</f>
        <v/>
      </c>
      <c r="P950" s="13" t="str">
        <f>IF($A950="","",[1]!thsiFinD("ths_adjustment_nv_fund",P$3,$A950))</f>
        <v/>
      </c>
      <c r="Q950" s="13" t="str">
        <f>IF($A950="","",[1]!thsiFinD("ths_adjustment_nv_fund",Q$3,$A950))</f>
        <v/>
      </c>
      <c r="R950" s="13" t="str">
        <f>IF($A950="","",[1]!thsiFinD("ths_adjustment_nv_fund",R$3,$A950))</f>
        <v/>
      </c>
      <c r="S950" s="13" t="str">
        <f>IF($A950="","",[1]!thsiFinD("ths_adjustment_nv_fund",S$3,$A950))</f>
        <v/>
      </c>
      <c r="T950" s="13" t="str">
        <f>IF($A950="","",[1]!thsiFinD("ths_adjustment_nv_fund",T$3,$A950))</f>
        <v/>
      </c>
      <c r="U950" s="13" t="str">
        <f>IF($A950="","",[1]!thsiFinD("ths_adjustment_nv_fund",U$3,$A950))</f>
        <v/>
      </c>
      <c r="V950" s="13" t="str">
        <f>IF($A950="","",[1]!thsiFinD("ths_adjustment_nv_fund",V$3,$A950))</f>
        <v/>
      </c>
      <c r="W950" s="13" t="str">
        <f>IF($A950="","",[1]!thsiFinD("ths_adjustment_nv_fund",W$3,$A950))</f>
        <v/>
      </c>
      <c r="X950" s="13" t="str">
        <f>IF($A950="","",[1]!thsiFinD("ths_adjustment_nv_fund",X$3,$A950))</f>
        <v/>
      </c>
      <c r="Y950" s="13" t="str">
        <f>IF($A950="","",[1]!thsiFinD("ths_adjustment_nv_fund",Y$3,$A950))</f>
        <v/>
      </c>
      <c r="Z950" s="13" t="str">
        <f>IF($A950="","",[1]!thsiFinD("ths_adjustment_nv_fund",Z$3,$A950))</f>
        <v/>
      </c>
      <c r="AA950" s="13" t="str">
        <f>IF($A950="","",[1]!thsiFinD("ths_adjustment_nv_fund",AA$3,$A950))</f>
        <v/>
      </c>
      <c r="AB950" s="13" t="str">
        <f>IF($A950="","",[1]!thsiFinD("ths_adjustment_nv_fund",AB$3,$A950))</f>
        <v/>
      </c>
    </row>
    <row r="951" spans="2:28">
      <c r="B951" s="13" t="str">
        <f>IF($A951="","",[1]!thsiFinD("ths_adjustment_nv_fund",B$3,$A951))</f>
        <v/>
      </c>
      <c r="C951" s="13" t="str">
        <f>IF($A951="","",[1]!thsiFinD("ths_adjustment_nv_fund",C$3,$A951))</f>
        <v/>
      </c>
      <c r="D951" s="13" t="str">
        <f>IF($A951="","",[1]!thsiFinD("ths_adjustment_nv_fund",D$3,$A951))</f>
        <v/>
      </c>
      <c r="E951" s="13" t="str">
        <f>IF($A951="","",[1]!thsiFinD("ths_adjustment_nv_fund",E$3,$A951))</f>
        <v/>
      </c>
      <c r="F951" s="13" t="str">
        <f>IF($A951="","",[1]!thsiFinD("ths_adjustment_nv_fund",F$3,$A951))</f>
        <v/>
      </c>
      <c r="G951" s="13" t="str">
        <f>IF($A951="","",[1]!thsiFinD("ths_adjustment_nv_fund",G$3,$A951))</f>
        <v/>
      </c>
      <c r="H951" s="13" t="str">
        <f>IF($A951="","",[1]!thsiFinD("ths_adjustment_nv_fund",H$3,$A951))</f>
        <v/>
      </c>
      <c r="I951" s="13" t="str">
        <f>IF($A951="","",[1]!thsiFinD("ths_adjustment_nv_fund",I$3,$A951))</f>
        <v/>
      </c>
      <c r="J951" s="13" t="str">
        <f>IF($A951="","",[1]!thsiFinD("ths_adjustment_nv_fund",J$3,$A951))</f>
        <v/>
      </c>
      <c r="K951" s="13" t="str">
        <f>IF($A951="","",[1]!thsiFinD("ths_adjustment_nv_fund",K$3,$A951))</f>
        <v/>
      </c>
      <c r="L951" s="13" t="str">
        <f>IF($A951="","",[1]!thsiFinD("ths_adjustment_nv_fund",L$3,$A951))</f>
        <v/>
      </c>
      <c r="M951" s="13" t="str">
        <f>IF($A951="","",[1]!thsiFinD("ths_adjustment_nv_fund",M$3,$A951))</f>
        <v/>
      </c>
      <c r="N951" s="13" t="str">
        <f>IF($A951="","",[1]!thsiFinD("ths_adjustment_nv_fund",N$3,$A951))</f>
        <v/>
      </c>
      <c r="O951" s="13" t="str">
        <f>IF($A951="","",[1]!thsiFinD("ths_adjustment_nv_fund",O$3,$A951))</f>
        <v/>
      </c>
      <c r="P951" s="13" t="str">
        <f>IF($A951="","",[1]!thsiFinD("ths_adjustment_nv_fund",P$3,$A951))</f>
        <v/>
      </c>
      <c r="Q951" s="13" t="str">
        <f>IF($A951="","",[1]!thsiFinD("ths_adjustment_nv_fund",Q$3,$A951))</f>
        <v/>
      </c>
      <c r="R951" s="13" t="str">
        <f>IF($A951="","",[1]!thsiFinD("ths_adjustment_nv_fund",R$3,$A951))</f>
        <v/>
      </c>
      <c r="S951" s="13" t="str">
        <f>IF($A951="","",[1]!thsiFinD("ths_adjustment_nv_fund",S$3,$A951))</f>
        <v/>
      </c>
      <c r="T951" s="13" t="str">
        <f>IF($A951="","",[1]!thsiFinD("ths_adjustment_nv_fund",T$3,$A951))</f>
        <v/>
      </c>
      <c r="U951" s="13" t="str">
        <f>IF($A951="","",[1]!thsiFinD("ths_adjustment_nv_fund",U$3,$A951))</f>
        <v/>
      </c>
      <c r="V951" s="13" t="str">
        <f>IF($A951="","",[1]!thsiFinD("ths_adjustment_nv_fund",V$3,$A951))</f>
        <v/>
      </c>
      <c r="W951" s="13" t="str">
        <f>IF($A951="","",[1]!thsiFinD("ths_adjustment_nv_fund",W$3,$A951))</f>
        <v/>
      </c>
      <c r="X951" s="13" t="str">
        <f>IF($A951="","",[1]!thsiFinD("ths_adjustment_nv_fund",X$3,$A951))</f>
        <v/>
      </c>
      <c r="Y951" s="13" t="str">
        <f>IF($A951="","",[1]!thsiFinD("ths_adjustment_nv_fund",Y$3,$A951))</f>
        <v/>
      </c>
      <c r="Z951" s="13" t="str">
        <f>IF($A951="","",[1]!thsiFinD("ths_adjustment_nv_fund",Z$3,$A951))</f>
        <v/>
      </c>
      <c r="AA951" s="13" t="str">
        <f>IF($A951="","",[1]!thsiFinD("ths_adjustment_nv_fund",AA$3,$A951))</f>
        <v/>
      </c>
      <c r="AB951" s="13" t="str">
        <f>IF($A951="","",[1]!thsiFinD("ths_adjustment_nv_fund",AB$3,$A951))</f>
        <v/>
      </c>
    </row>
    <row r="952" spans="2:28">
      <c r="B952" s="13" t="str">
        <f>IF($A952="","",[1]!thsiFinD("ths_adjustment_nv_fund",B$3,$A952))</f>
        <v/>
      </c>
      <c r="C952" s="13" t="str">
        <f>IF($A952="","",[1]!thsiFinD("ths_adjustment_nv_fund",C$3,$A952))</f>
        <v/>
      </c>
      <c r="D952" s="13" t="str">
        <f>IF($A952="","",[1]!thsiFinD("ths_adjustment_nv_fund",D$3,$A952))</f>
        <v/>
      </c>
      <c r="E952" s="13" t="str">
        <f>IF($A952="","",[1]!thsiFinD("ths_adjustment_nv_fund",E$3,$A952))</f>
        <v/>
      </c>
      <c r="F952" s="13" t="str">
        <f>IF($A952="","",[1]!thsiFinD("ths_adjustment_nv_fund",F$3,$A952))</f>
        <v/>
      </c>
      <c r="G952" s="13" t="str">
        <f>IF($A952="","",[1]!thsiFinD("ths_adjustment_nv_fund",G$3,$A952))</f>
        <v/>
      </c>
      <c r="H952" s="13" t="str">
        <f>IF($A952="","",[1]!thsiFinD("ths_adjustment_nv_fund",H$3,$A952))</f>
        <v/>
      </c>
      <c r="I952" s="13" t="str">
        <f>IF($A952="","",[1]!thsiFinD("ths_adjustment_nv_fund",I$3,$A952))</f>
        <v/>
      </c>
      <c r="J952" s="13" t="str">
        <f>IF($A952="","",[1]!thsiFinD("ths_adjustment_nv_fund",J$3,$A952))</f>
        <v/>
      </c>
      <c r="K952" s="13" t="str">
        <f>IF($A952="","",[1]!thsiFinD("ths_adjustment_nv_fund",K$3,$A952))</f>
        <v/>
      </c>
      <c r="L952" s="13" t="str">
        <f>IF($A952="","",[1]!thsiFinD("ths_adjustment_nv_fund",L$3,$A952))</f>
        <v/>
      </c>
      <c r="M952" s="13" t="str">
        <f>IF($A952="","",[1]!thsiFinD("ths_adjustment_nv_fund",M$3,$A952))</f>
        <v/>
      </c>
      <c r="N952" s="13" t="str">
        <f>IF($A952="","",[1]!thsiFinD("ths_adjustment_nv_fund",N$3,$A952))</f>
        <v/>
      </c>
      <c r="O952" s="13" t="str">
        <f>IF($A952="","",[1]!thsiFinD("ths_adjustment_nv_fund",O$3,$A952))</f>
        <v/>
      </c>
      <c r="P952" s="13" t="str">
        <f>IF($A952="","",[1]!thsiFinD("ths_adjustment_nv_fund",P$3,$A952))</f>
        <v/>
      </c>
      <c r="Q952" s="13" t="str">
        <f>IF($A952="","",[1]!thsiFinD("ths_adjustment_nv_fund",Q$3,$A952))</f>
        <v/>
      </c>
      <c r="R952" s="13" t="str">
        <f>IF($A952="","",[1]!thsiFinD("ths_adjustment_nv_fund",R$3,$A952))</f>
        <v/>
      </c>
      <c r="S952" s="13" t="str">
        <f>IF($A952="","",[1]!thsiFinD("ths_adjustment_nv_fund",S$3,$A952))</f>
        <v/>
      </c>
      <c r="T952" s="13" t="str">
        <f>IF($A952="","",[1]!thsiFinD("ths_adjustment_nv_fund",T$3,$A952))</f>
        <v/>
      </c>
      <c r="U952" s="13" t="str">
        <f>IF($A952="","",[1]!thsiFinD("ths_adjustment_nv_fund",U$3,$A952))</f>
        <v/>
      </c>
      <c r="V952" s="13" t="str">
        <f>IF($A952="","",[1]!thsiFinD("ths_adjustment_nv_fund",V$3,$A952))</f>
        <v/>
      </c>
      <c r="W952" s="13" t="str">
        <f>IF($A952="","",[1]!thsiFinD("ths_adjustment_nv_fund",W$3,$A952))</f>
        <v/>
      </c>
      <c r="X952" s="13" t="str">
        <f>IF($A952="","",[1]!thsiFinD("ths_adjustment_nv_fund",X$3,$A952))</f>
        <v/>
      </c>
      <c r="Y952" s="13" t="str">
        <f>IF($A952="","",[1]!thsiFinD("ths_adjustment_nv_fund",Y$3,$A952))</f>
        <v/>
      </c>
      <c r="Z952" s="13" t="str">
        <f>IF($A952="","",[1]!thsiFinD("ths_adjustment_nv_fund",Z$3,$A952))</f>
        <v/>
      </c>
      <c r="AA952" s="13" t="str">
        <f>IF($A952="","",[1]!thsiFinD("ths_adjustment_nv_fund",AA$3,$A952))</f>
        <v/>
      </c>
      <c r="AB952" s="13" t="str">
        <f>IF($A952="","",[1]!thsiFinD("ths_adjustment_nv_fund",AB$3,$A952))</f>
        <v/>
      </c>
    </row>
    <row r="953" spans="2:28">
      <c r="B953" s="13" t="str">
        <f>IF($A953="","",[1]!thsiFinD("ths_adjustment_nv_fund",B$3,$A953))</f>
        <v/>
      </c>
      <c r="C953" s="13" t="str">
        <f>IF($A953="","",[1]!thsiFinD("ths_adjustment_nv_fund",C$3,$A953))</f>
        <v/>
      </c>
      <c r="D953" s="13" t="str">
        <f>IF($A953="","",[1]!thsiFinD("ths_adjustment_nv_fund",D$3,$A953))</f>
        <v/>
      </c>
      <c r="E953" s="13" t="str">
        <f>IF($A953="","",[1]!thsiFinD("ths_adjustment_nv_fund",E$3,$A953))</f>
        <v/>
      </c>
      <c r="F953" s="13" t="str">
        <f>IF($A953="","",[1]!thsiFinD("ths_adjustment_nv_fund",F$3,$A953))</f>
        <v/>
      </c>
      <c r="G953" s="13" t="str">
        <f>IF($A953="","",[1]!thsiFinD("ths_adjustment_nv_fund",G$3,$A953))</f>
        <v/>
      </c>
      <c r="H953" s="13" t="str">
        <f>IF($A953="","",[1]!thsiFinD("ths_adjustment_nv_fund",H$3,$A953))</f>
        <v/>
      </c>
      <c r="I953" s="13" t="str">
        <f>IF($A953="","",[1]!thsiFinD("ths_adjustment_nv_fund",I$3,$A953))</f>
        <v/>
      </c>
      <c r="J953" s="13" t="str">
        <f>IF($A953="","",[1]!thsiFinD("ths_adjustment_nv_fund",J$3,$A953))</f>
        <v/>
      </c>
      <c r="K953" s="13" t="str">
        <f>IF($A953="","",[1]!thsiFinD("ths_adjustment_nv_fund",K$3,$A953))</f>
        <v/>
      </c>
      <c r="L953" s="13" t="str">
        <f>IF($A953="","",[1]!thsiFinD("ths_adjustment_nv_fund",L$3,$A953))</f>
        <v/>
      </c>
      <c r="M953" s="13" t="str">
        <f>IF($A953="","",[1]!thsiFinD("ths_adjustment_nv_fund",M$3,$A953))</f>
        <v/>
      </c>
      <c r="N953" s="13" t="str">
        <f>IF($A953="","",[1]!thsiFinD("ths_adjustment_nv_fund",N$3,$A953))</f>
        <v/>
      </c>
      <c r="O953" s="13" t="str">
        <f>IF($A953="","",[1]!thsiFinD("ths_adjustment_nv_fund",O$3,$A953))</f>
        <v/>
      </c>
      <c r="P953" s="13" t="str">
        <f>IF($A953="","",[1]!thsiFinD("ths_adjustment_nv_fund",P$3,$A953))</f>
        <v/>
      </c>
      <c r="Q953" s="13" t="str">
        <f>IF($A953="","",[1]!thsiFinD("ths_adjustment_nv_fund",Q$3,$A953))</f>
        <v/>
      </c>
      <c r="R953" s="13" t="str">
        <f>IF($A953="","",[1]!thsiFinD("ths_adjustment_nv_fund",R$3,$A953))</f>
        <v/>
      </c>
      <c r="S953" s="13" t="str">
        <f>IF($A953="","",[1]!thsiFinD("ths_adjustment_nv_fund",S$3,$A953))</f>
        <v/>
      </c>
      <c r="T953" s="13" t="str">
        <f>IF($A953="","",[1]!thsiFinD("ths_adjustment_nv_fund",T$3,$A953))</f>
        <v/>
      </c>
      <c r="U953" s="13" t="str">
        <f>IF($A953="","",[1]!thsiFinD("ths_adjustment_nv_fund",U$3,$A953))</f>
        <v/>
      </c>
      <c r="V953" s="13" t="str">
        <f>IF($A953="","",[1]!thsiFinD("ths_adjustment_nv_fund",V$3,$A953))</f>
        <v/>
      </c>
      <c r="W953" s="13" t="str">
        <f>IF($A953="","",[1]!thsiFinD("ths_adjustment_nv_fund",W$3,$A953))</f>
        <v/>
      </c>
      <c r="X953" s="13" t="str">
        <f>IF($A953="","",[1]!thsiFinD("ths_adjustment_nv_fund",X$3,$A953))</f>
        <v/>
      </c>
      <c r="Y953" s="13" t="str">
        <f>IF($A953="","",[1]!thsiFinD("ths_adjustment_nv_fund",Y$3,$A953))</f>
        <v/>
      </c>
      <c r="Z953" s="13" t="str">
        <f>IF($A953="","",[1]!thsiFinD("ths_adjustment_nv_fund",Z$3,$A953))</f>
        <v/>
      </c>
      <c r="AA953" s="13" t="str">
        <f>IF($A953="","",[1]!thsiFinD("ths_adjustment_nv_fund",AA$3,$A953))</f>
        <v/>
      </c>
      <c r="AB953" s="13" t="str">
        <f>IF($A953="","",[1]!thsiFinD("ths_adjustment_nv_fund",AB$3,$A953))</f>
        <v/>
      </c>
    </row>
    <row r="954" spans="2:28">
      <c r="B954" s="13" t="str">
        <f>IF($A954="","",[1]!thsiFinD("ths_adjustment_nv_fund",B$3,$A954))</f>
        <v/>
      </c>
      <c r="C954" s="13" t="str">
        <f>IF($A954="","",[1]!thsiFinD("ths_adjustment_nv_fund",C$3,$A954))</f>
        <v/>
      </c>
      <c r="D954" s="13" t="str">
        <f>IF($A954="","",[1]!thsiFinD("ths_adjustment_nv_fund",D$3,$A954))</f>
        <v/>
      </c>
      <c r="E954" s="13" t="str">
        <f>IF($A954="","",[1]!thsiFinD("ths_adjustment_nv_fund",E$3,$A954))</f>
        <v/>
      </c>
      <c r="F954" s="13" t="str">
        <f>IF($A954="","",[1]!thsiFinD("ths_adjustment_nv_fund",F$3,$A954))</f>
        <v/>
      </c>
      <c r="G954" s="13" t="str">
        <f>IF($A954="","",[1]!thsiFinD("ths_adjustment_nv_fund",G$3,$A954))</f>
        <v/>
      </c>
      <c r="H954" s="13" t="str">
        <f>IF($A954="","",[1]!thsiFinD("ths_adjustment_nv_fund",H$3,$A954))</f>
        <v/>
      </c>
      <c r="I954" s="13" t="str">
        <f>IF($A954="","",[1]!thsiFinD("ths_adjustment_nv_fund",I$3,$A954))</f>
        <v/>
      </c>
      <c r="J954" s="13" t="str">
        <f>IF($A954="","",[1]!thsiFinD("ths_adjustment_nv_fund",J$3,$A954))</f>
        <v/>
      </c>
      <c r="K954" s="13" t="str">
        <f>IF($A954="","",[1]!thsiFinD("ths_adjustment_nv_fund",K$3,$A954))</f>
        <v/>
      </c>
      <c r="L954" s="13" t="str">
        <f>IF($A954="","",[1]!thsiFinD("ths_adjustment_nv_fund",L$3,$A954))</f>
        <v/>
      </c>
      <c r="M954" s="13" t="str">
        <f>IF($A954="","",[1]!thsiFinD("ths_adjustment_nv_fund",M$3,$A954))</f>
        <v/>
      </c>
      <c r="N954" s="13" t="str">
        <f>IF($A954="","",[1]!thsiFinD("ths_adjustment_nv_fund",N$3,$A954))</f>
        <v/>
      </c>
      <c r="O954" s="13" t="str">
        <f>IF($A954="","",[1]!thsiFinD("ths_adjustment_nv_fund",O$3,$A954))</f>
        <v/>
      </c>
      <c r="P954" s="13" t="str">
        <f>IF($A954="","",[1]!thsiFinD("ths_adjustment_nv_fund",P$3,$A954))</f>
        <v/>
      </c>
      <c r="Q954" s="13" t="str">
        <f>IF($A954="","",[1]!thsiFinD("ths_adjustment_nv_fund",Q$3,$A954))</f>
        <v/>
      </c>
      <c r="R954" s="13" t="str">
        <f>IF($A954="","",[1]!thsiFinD("ths_adjustment_nv_fund",R$3,$A954))</f>
        <v/>
      </c>
      <c r="S954" s="13" t="str">
        <f>IF($A954="","",[1]!thsiFinD("ths_adjustment_nv_fund",S$3,$A954))</f>
        <v/>
      </c>
      <c r="T954" s="13" t="str">
        <f>IF($A954="","",[1]!thsiFinD("ths_adjustment_nv_fund",T$3,$A954))</f>
        <v/>
      </c>
      <c r="U954" s="13" t="str">
        <f>IF($A954="","",[1]!thsiFinD("ths_adjustment_nv_fund",U$3,$A954))</f>
        <v/>
      </c>
      <c r="V954" s="13" t="str">
        <f>IF($A954="","",[1]!thsiFinD("ths_adjustment_nv_fund",V$3,$A954))</f>
        <v/>
      </c>
      <c r="W954" s="13" t="str">
        <f>IF($A954="","",[1]!thsiFinD("ths_adjustment_nv_fund",W$3,$A954))</f>
        <v/>
      </c>
      <c r="X954" s="13" t="str">
        <f>IF($A954="","",[1]!thsiFinD("ths_adjustment_nv_fund",X$3,$A954))</f>
        <v/>
      </c>
      <c r="Y954" s="13" t="str">
        <f>IF($A954="","",[1]!thsiFinD("ths_adjustment_nv_fund",Y$3,$A954))</f>
        <v/>
      </c>
      <c r="Z954" s="13" t="str">
        <f>IF($A954="","",[1]!thsiFinD("ths_adjustment_nv_fund",Z$3,$A954))</f>
        <v/>
      </c>
      <c r="AA954" s="13" t="str">
        <f>IF($A954="","",[1]!thsiFinD("ths_adjustment_nv_fund",AA$3,$A954))</f>
        <v/>
      </c>
      <c r="AB954" s="13" t="str">
        <f>IF($A954="","",[1]!thsiFinD("ths_adjustment_nv_fund",AB$3,$A954))</f>
        <v/>
      </c>
    </row>
    <row r="955" spans="2:28">
      <c r="B955" s="13" t="str">
        <f>IF($A955="","",[1]!thsiFinD("ths_adjustment_nv_fund",B$3,$A955))</f>
        <v/>
      </c>
      <c r="C955" s="13" t="str">
        <f>IF($A955="","",[1]!thsiFinD("ths_adjustment_nv_fund",C$3,$A955))</f>
        <v/>
      </c>
      <c r="D955" s="13" t="str">
        <f>IF($A955="","",[1]!thsiFinD("ths_adjustment_nv_fund",D$3,$A955))</f>
        <v/>
      </c>
      <c r="E955" s="13" t="str">
        <f>IF($A955="","",[1]!thsiFinD("ths_adjustment_nv_fund",E$3,$A955))</f>
        <v/>
      </c>
      <c r="F955" s="13" t="str">
        <f>IF($A955="","",[1]!thsiFinD("ths_adjustment_nv_fund",F$3,$A955))</f>
        <v/>
      </c>
      <c r="G955" s="13" t="str">
        <f>IF($A955="","",[1]!thsiFinD("ths_adjustment_nv_fund",G$3,$A955))</f>
        <v/>
      </c>
      <c r="H955" s="13" t="str">
        <f>IF($A955="","",[1]!thsiFinD("ths_adjustment_nv_fund",H$3,$A955))</f>
        <v/>
      </c>
      <c r="I955" s="13" t="str">
        <f>IF($A955="","",[1]!thsiFinD("ths_adjustment_nv_fund",I$3,$A955))</f>
        <v/>
      </c>
      <c r="J955" s="13" t="str">
        <f>IF($A955="","",[1]!thsiFinD("ths_adjustment_nv_fund",J$3,$A955))</f>
        <v/>
      </c>
      <c r="K955" s="13" t="str">
        <f>IF($A955="","",[1]!thsiFinD("ths_adjustment_nv_fund",K$3,$A955))</f>
        <v/>
      </c>
      <c r="L955" s="13" t="str">
        <f>IF($A955="","",[1]!thsiFinD("ths_adjustment_nv_fund",L$3,$A955))</f>
        <v/>
      </c>
      <c r="M955" s="13" t="str">
        <f>IF($A955="","",[1]!thsiFinD("ths_adjustment_nv_fund",M$3,$A955))</f>
        <v/>
      </c>
      <c r="N955" s="13" t="str">
        <f>IF($A955="","",[1]!thsiFinD("ths_adjustment_nv_fund",N$3,$A955))</f>
        <v/>
      </c>
      <c r="O955" s="13" t="str">
        <f>IF($A955="","",[1]!thsiFinD("ths_adjustment_nv_fund",O$3,$A955))</f>
        <v/>
      </c>
      <c r="P955" s="13" t="str">
        <f>IF($A955="","",[1]!thsiFinD("ths_adjustment_nv_fund",P$3,$A955))</f>
        <v/>
      </c>
      <c r="Q955" s="13" t="str">
        <f>IF($A955="","",[1]!thsiFinD("ths_adjustment_nv_fund",Q$3,$A955))</f>
        <v/>
      </c>
      <c r="R955" s="13" t="str">
        <f>IF($A955="","",[1]!thsiFinD("ths_adjustment_nv_fund",R$3,$A955))</f>
        <v/>
      </c>
      <c r="S955" s="13" t="str">
        <f>IF($A955="","",[1]!thsiFinD("ths_adjustment_nv_fund",S$3,$A955))</f>
        <v/>
      </c>
      <c r="T955" s="13" t="str">
        <f>IF($A955="","",[1]!thsiFinD("ths_adjustment_nv_fund",T$3,$A955))</f>
        <v/>
      </c>
      <c r="U955" s="13" t="str">
        <f>IF($A955="","",[1]!thsiFinD("ths_adjustment_nv_fund",U$3,$A955))</f>
        <v/>
      </c>
      <c r="V955" s="13" t="str">
        <f>IF($A955="","",[1]!thsiFinD("ths_adjustment_nv_fund",V$3,$A955))</f>
        <v/>
      </c>
      <c r="W955" s="13" t="str">
        <f>IF($A955="","",[1]!thsiFinD("ths_adjustment_nv_fund",W$3,$A955))</f>
        <v/>
      </c>
      <c r="X955" s="13" t="str">
        <f>IF($A955="","",[1]!thsiFinD("ths_adjustment_nv_fund",X$3,$A955))</f>
        <v/>
      </c>
      <c r="Y955" s="13" t="str">
        <f>IF($A955="","",[1]!thsiFinD("ths_adjustment_nv_fund",Y$3,$A955))</f>
        <v/>
      </c>
      <c r="Z955" s="13" t="str">
        <f>IF($A955="","",[1]!thsiFinD("ths_adjustment_nv_fund",Z$3,$A955))</f>
        <v/>
      </c>
      <c r="AA955" s="13" t="str">
        <f>IF($A955="","",[1]!thsiFinD("ths_adjustment_nv_fund",AA$3,$A955))</f>
        <v/>
      </c>
      <c r="AB955" s="13" t="str">
        <f>IF($A955="","",[1]!thsiFinD("ths_adjustment_nv_fund",AB$3,$A955))</f>
        <v/>
      </c>
    </row>
    <row r="956" spans="2:28">
      <c r="B956" s="13" t="str">
        <f>IF($A956="","",[1]!thsiFinD("ths_adjustment_nv_fund",B$3,$A956))</f>
        <v/>
      </c>
      <c r="C956" s="13" t="str">
        <f>IF($A956="","",[1]!thsiFinD("ths_adjustment_nv_fund",C$3,$A956))</f>
        <v/>
      </c>
      <c r="D956" s="13" t="str">
        <f>IF($A956="","",[1]!thsiFinD("ths_adjustment_nv_fund",D$3,$A956))</f>
        <v/>
      </c>
      <c r="E956" s="13" t="str">
        <f>IF($A956="","",[1]!thsiFinD("ths_adjustment_nv_fund",E$3,$A956))</f>
        <v/>
      </c>
      <c r="F956" s="13" t="str">
        <f>IF($A956="","",[1]!thsiFinD("ths_adjustment_nv_fund",F$3,$A956))</f>
        <v/>
      </c>
      <c r="G956" s="13" t="str">
        <f>IF($A956="","",[1]!thsiFinD("ths_adjustment_nv_fund",G$3,$A956))</f>
        <v/>
      </c>
      <c r="H956" s="13" t="str">
        <f>IF($A956="","",[1]!thsiFinD("ths_adjustment_nv_fund",H$3,$A956))</f>
        <v/>
      </c>
      <c r="I956" s="13" t="str">
        <f>IF($A956="","",[1]!thsiFinD("ths_adjustment_nv_fund",I$3,$A956))</f>
        <v/>
      </c>
      <c r="J956" s="13" t="str">
        <f>IF($A956="","",[1]!thsiFinD("ths_adjustment_nv_fund",J$3,$A956))</f>
        <v/>
      </c>
      <c r="K956" s="13" t="str">
        <f>IF($A956="","",[1]!thsiFinD("ths_adjustment_nv_fund",K$3,$A956))</f>
        <v/>
      </c>
      <c r="L956" s="13" t="str">
        <f>IF($A956="","",[1]!thsiFinD("ths_adjustment_nv_fund",L$3,$A956))</f>
        <v/>
      </c>
      <c r="M956" s="13" t="str">
        <f>IF($A956="","",[1]!thsiFinD("ths_adjustment_nv_fund",M$3,$A956))</f>
        <v/>
      </c>
      <c r="N956" s="13" t="str">
        <f>IF($A956="","",[1]!thsiFinD("ths_adjustment_nv_fund",N$3,$A956))</f>
        <v/>
      </c>
      <c r="O956" s="13" t="str">
        <f>IF($A956="","",[1]!thsiFinD("ths_adjustment_nv_fund",O$3,$A956))</f>
        <v/>
      </c>
      <c r="P956" s="13" t="str">
        <f>IF($A956="","",[1]!thsiFinD("ths_adjustment_nv_fund",P$3,$A956))</f>
        <v/>
      </c>
      <c r="Q956" s="13" t="str">
        <f>IF($A956="","",[1]!thsiFinD("ths_adjustment_nv_fund",Q$3,$A956))</f>
        <v/>
      </c>
      <c r="R956" s="13" t="str">
        <f>IF($A956="","",[1]!thsiFinD("ths_adjustment_nv_fund",R$3,$A956))</f>
        <v/>
      </c>
      <c r="S956" s="13" t="str">
        <f>IF($A956="","",[1]!thsiFinD("ths_adjustment_nv_fund",S$3,$A956))</f>
        <v/>
      </c>
      <c r="T956" s="13" t="str">
        <f>IF($A956="","",[1]!thsiFinD("ths_adjustment_nv_fund",T$3,$A956))</f>
        <v/>
      </c>
      <c r="U956" s="13" t="str">
        <f>IF($A956="","",[1]!thsiFinD("ths_adjustment_nv_fund",U$3,$A956))</f>
        <v/>
      </c>
      <c r="V956" s="13" t="str">
        <f>IF($A956="","",[1]!thsiFinD("ths_adjustment_nv_fund",V$3,$A956))</f>
        <v/>
      </c>
      <c r="W956" s="13" t="str">
        <f>IF($A956="","",[1]!thsiFinD("ths_adjustment_nv_fund",W$3,$A956))</f>
        <v/>
      </c>
      <c r="X956" s="13" t="str">
        <f>IF($A956="","",[1]!thsiFinD("ths_adjustment_nv_fund",X$3,$A956))</f>
        <v/>
      </c>
      <c r="Y956" s="13" t="str">
        <f>IF($A956="","",[1]!thsiFinD("ths_adjustment_nv_fund",Y$3,$A956))</f>
        <v/>
      </c>
      <c r="Z956" s="13" t="str">
        <f>IF($A956="","",[1]!thsiFinD("ths_adjustment_nv_fund",Z$3,$A956))</f>
        <v/>
      </c>
      <c r="AA956" s="13" t="str">
        <f>IF($A956="","",[1]!thsiFinD("ths_adjustment_nv_fund",AA$3,$A956))</f>
        <v/>
      </c>
      <c r="AB956" s="13" t="str">
        <f>IF($A956="","",[1]!thsiFinD("ths_adjustment_nv_fund",AB$3,$A956))</f>
        <v/>
      </c>
    </row>
    <row r="957" spans="2:28">
      <c r="B957" s="13" t="str">
        <f>IF($A957="","",[1]!thsiFinD("ths_adjustment_nv_fund",B$3,$A957))</f>
        <v/>
      </c>
      <c r="C957" s="13" t="str">
        <f>IF($A957="","",[1]!thsiFinD("ths_adjustment_nv_fund",C$3,$A957))</f>
        <v/>
      </c>
      <c r="D957" s="13" t="str">
        <f>IF($A957="","",[1]!thsiFinD("ths_adjustment_nv_fund",D$3,$A957))</f>
        <v/>
      </c>
      <c r="E957" s="13" t="str">
        <f>IF($A957="","",[1]!thsiFinD("ths_adjustment_nv_fund",E$3,$A957))</f>
        <v/>
      </c>
      <c r="F957" s="13" t="str">
        <f>IF($A957="","",[1]!thsiFinD("ths_adjustment_nv_fund",F$3,$A957))</f>
        <v/>
      </c>
      <c r="G957" s="13" t="str">
        <f>IF($A957="","",[1]!thsiFinD("ths_adjustment_nv_fund",G$3,$A957))</f>
        <v/>
      </c>
      <c r="H957" s="13" t="str">
        <f>IF($A957="","",[1]!thsiFinD("ths_adjustment_nv_fund",H$3,$A957))</f>
        <v/>
      </c>
      <c r="I957" s="13" t="str">
        <f>IF($A957="","",[1]!thsiFinD("ths_adjustment_nv_fund",I$3,$A957))</f>
        <v/>
      </c>
      <c r="J957" s="13" t="str">
        <f>IF($A957="","",[1]!thsiFinD("ths_adjustment_nv_fund",J$3,$A957))</f>
        <v/>
      </c>
      <c r="K957" s="13" t="str">
        <f>IF($A957="","",[1]!thsiFinD("ths_adjustment_nv_fund",K$3,$A957))</f>
        <v/>
      </c>
      <c r="L957" s="13" t="str">
        <f>IF($A957="","",[1]!thsiFinD("ths_adjustment_nv_fund",L$3,$A957))</f>
        <v/>
      </c>
      <c r="M957" s="13" t="str">
        <f>IF($A957="","",[1]!thsiFinD("ths_adjustment_nv_fund",M$3,$A957))</f>
        <v/>
      </c>
      <c r="N957" s="13" t="str">
        <f>IF($A957="","",[1]!thsiFinD("ths_adjustment_nv_fund",N$3,$A957))</f>
        <v/>
      </c>
      <c r="O957" s="13" t="str">
        <f>IF($A957="","",[1]!thsiFinD("ths_adjustment_nv_fund",O$3,$A957))</f>
        <v/>
      </c>
      <c r="P957" s="13" t="str">
        <f>IF($A957="","",[1]!thsiFinD("ths_adjustment_nv_fund",P$3,$A957))</f>
        <v/>
      </c>
      <c r="Q957" s="13" t="str">
        <f>IF($A957="","",[1]!thsiFinD("ths_adjustment_nv_fund",Q$3,$A957))</f>
        <v/>
      </c>
      <c r="R957" s="13" t="str">
        <f>IF($A957="","",[1]!thsiFinD("ths_adjustment_nv_fund",R$3,$A957))</f>
        <v/>
      </c>
      <c r="S957" s="13" t="str">
        <f>IF($A957="","",[1]!thsiFinD("ths_adjustment_nv_fund",S$3,$A957))</f>
        <v/>
      </c>
      <c r="T957" s="13" t="str">
        <f>IF($A957="","",[1]!thsiFinD("ths_adjustment_nv_fund",T$3,$A957))</f>
        <v/>
      </c>
      <c r="U957" s="13" t="str">
        <f>IF($A957="","",[1]!thsiFinD("ths_adjustment_nv_fund",U$3,$A957))</f>
        <v/>
      </c>
      <c r="V957" s="13" t="str">
        <f>IF($A957="","",[1]!thsiFinD("ths_adjustment_nv_fund",V$3,$A957))</f>
        <v/>
      </c>
      <c r="W957" s="13" t="str">
        <f>IF($A957="","",[1]!thsiFinD("ths_adjustment_nv_fund",W$3,$A957))</f>
        <v/>
      </c>
      <c r="X957" s="13" t="str">
        <f>IF($A957="","",[1]!thsiFinD("ths_adjustment_nv_fund",X$3,$A957))</f>
        <v/>
      </c>
      <c r="Y957" s="13" t="str">
        <f>IF($A957="","",[1]!thsiFinD("ths_adjustment_nv_fund",Y$3,$A957))</f>
        <v/>
      </c>
      <c r="Z957" s="13" t="str">
        <f>IF($A957="","",[1]!thsiFinD("ths_adjustment_nv_fund",Z$3,$A957))</f>
        <v/>
      </c>
      <c r="AA957" s="13" t="str">
        <f>IF($A957="","",[1]!thsiFinD("ths_adjustment_nv_fund",AA$3,$A957))</f>
        <v/>
      </c>
      <c r="AB957" s="13" t="str">
        <f>IF($A957="","",[1]!thsiFinD("ths_adjustment_nv_fund",AB$3,$A957))</f>
        <v/>
      </c>
    </row>
    <row r="958" spans="2:28">
      <c r="B958" s="13" t="str">
        <f>IF($A958="","",[1]!thsiFinD("ths_adjustment_nv_fund",B$3,$A958))</f>
        <v/>
      </c>
      <c r="C958" s="13" t="str">
        <f>IF($A958="","",[1]!thsiFinD("ths_adjustment_nv_fund",C$3,$A958))</f>
        <v/>
      </c>
      <c r="D958" s="13" t="str">
        <f>IF($A958="","",[1]!thsiFinD("ths_adjustment_nv_fund",D$3,$A958))</f>
        <v/>
      </c>
      <c r="E958" s="13" t="str">
        <f>IF($A958="","",[1]!thsiFinD("ths_adjustment_nv_fund",E$3,$A958))</f>
        <v/>
      </c>
      <c r="F958" s="13" t="str">
        <f>IF($A958="","",[1]!thsiFinD("ths_adjustment_nv_fund",F$3,$A958))</f>
        <v/>
      </c>
      <c r="G958" s="13" t="str">
        <f>IF($A958="","",[1]!thsiFinD("ths_adjustment_nv_fund",G$3,$A958))</f>
        <v/>
      </c>
      <c r="H958" s="13" t="str">
        <f>IF($A958="","",[1]!thsiFinD("ths_adjustment_nv_fund",H$3,$A958))</f>
        <v/>
      </c>
      <c r="I958" s="13" t="str">
        <f>IF($A958="","",[1]!thsiFinD("ths_adjustment_nv_fund",I$3,$A958))</f>
        <v/>
      </c>
      <c r="J958" s="13" t="str">
        <f>IF($A958="","",[1]!thsiFinD("ths_adjustment_nv_fund",J$3,$A958))</f>
        <v/>
      </c>
      <c r="K958" s="13" t="str">
        <f>IF($A958="","",[1]!thsiFinD("ths_adjustment_nv_fund",K$3,$A958))</f>
        <v/>
      </c>
      <c r="L958" s="13" t="str">
        <f>IF($A958="","",[1]!thsiFinD("ths_adjustment_nv_fund",L$3,$A958))</f>
        <v/>
      </c>
      <c r="M958" s="13" t="str">
        <f>IF($A958="","",[1]!thsiFinD("ths_adjustment_nv_fund",M$3,$A958))</f>
        <v/>
      </c>
      <c r="N958" s="13" t="str">
        <f>IF($A958="","",[1]!thsiFinD("ths_adjustment_nv_fund",N$3,$A958))</f>
        <v/>
      </c>
      <c r="O958" s="13" t="str">
        <f>IF($A958="","",[1]!thsiFinD("ths_adjustment_nv_fund",O$3,$A958))</f>
        <v/>
      </c>
      <c r="P958" s="13" t="str">
        <f>IF($A958="","",[1]!thsiFinD("ths_adjustment_nv_fund",P$3,$A958))</f>
        <v/>
      </c>
      <c r="Q958" s="13" t="str">
        <f>IF($A958="","",[1]!thsiFinD("ths_adjustment_nv_fund",Q$3,$A958))</f>
        <v/>
      </c>
      <c r="R958" s="13" t="str">
        <f>IF($A958="","",[1]!thsiFinD("ths_adjustment_nv_fund",R$3,$A958))</f>
        <v/>
      </c>
      <c r="S958" s="13" t="str">
        <f>IF($A958="","",[1]!thsiFinD("ths_adjustment_nv_fund",S$3,$A958))</f>
        <v/>
      </c>
      <c r="T958" s="13" t="str">
        <f>IF($A958="","",[1]!thsiFinD("ths_adjustment_nv_fund",T$3,$A958))</f>
        <v/>
      </c>
      <c r="U958" s="13" t="str">
        <f>IF($A958="","",[1]!thsiFinD("ths_adjustment_nv_fund",U$3,$A958))</f>
        <v/>
      </c>
      <c r="V958" s="13" t="str">
        <f>IF($A958="","",[1]!thsiFinD("ths_adjustment_nv_fund",V$3,$A958))</f>
        <v/>
      </c>
      <c r="W958" s="13" t="str">
        <f>IF($A958="","",[1]!thsiFinD("ths_adjustment_nv_fund",W$3,$A958))</f>
        <v/>
      </c>
      <c r="X958" s="13" t="str">
        <f>IF($A958="","",[1]!thsiFinD("ths_adjustment_nv_fund",X$3,$A958))</f>
        <v/>
      </c>
      <c r="Y958" s="13" t="str">
        <f>IF($A958="","",[1]!thsiFinD("ths_adjustment_nv_fund",Y$3,$A958))</f>
        <v/>
      </c>
      <c r="Z958" s="13" t="str">
        <f>IF($A958="","",[1]!thsiFinD("ths_adjustment_nv_fund",Z$3,$A958))</f>
        <v/>
      </c>
      <c r="AA958" s="13" t="str">
        <f>IF($A958="","",[1]!thsiFinD("ths_adjustment_nv_fund",AA$3,$A958))</f>
        <v/>
      </c>
      <c r="AB958" s="13" t="str">
        <f>IF($A958="","",[1]!thsiFinD("ths_adjustment_nv_fund",AB$3,$A958))</f>
        <v/>
      </c>
    </row>
    <row r="959" spans="2:28">
      <c r="B959" s="13" t="str">
        <f>IF($A959="","",[1]!thsiFinD("ths_adjustment_nv_fund",B$3,$A959))</f>
        <v/>
      </c>
      <c r="C959" s="13" t="str">
        <f>IF($A959="","",[1]!thsiFinD("ths_adjustment_nv_fund",C$3,$A959))</f>
        <v/>
      </c>
      <c r="D959" s="13" t="str">
        <f>IF($A959="","",[1]!thsiFinD("ths_adjustment_nv_fund",D$3,$A959))</f>
        <v/>
      </c>
      <c r="E959" s="13" t="str">
        <f>IF($A959="","",[1]!thsiFinD("ths_adjustment_nv_fund",E$3,$A959))</f>
        <v/>
      </c>
      <c r="F959" s="13" t="str">
        <f>IF($A959="","",[1]!thsiFinD("ths_adjustment_nv_fund",F$3,$A959))</f>
        <v/>
      </c>
      <c r="G959" s="13" t="str">
        <f>IF($A959="","",[1]!thsiFinD("ths_adjustment_nv_fund",G$3,$A959))</f>
        <v/>
      </c>
      <c r="H959" s="13" t="str">
        <f>IF($A959="","",[1]!thsiFinD("ths_adjustment_nv_fund",H$3,$A959))</f>
        <v/>
      </c>
      <c r="I959" s="13" t="str">
        <f>IF($A959="","",[1]!thsiFinD("ths_adjustment_nv_fund",I$3,$A959))</f>
        <v/>
      </c>
      <c r="J959" s="13" t="str">
        <f>IF($A959="","",[1]!thsiFinD("ths_adjustment_nv_fund",J$3,$A959))</f>
        <v/>
      </c>
      <c r="K959" s="13" t="str">
        <f>IF($A959="","",[1]!thsiFinD("ths_adjustment_nv_fund",K$3,$A959))</f>
        <v/>
      </c>
      <c r="L959" s="13" t="str">
        <f>IF($A959="","",[1]!thsiFinD("ths_adjustment_nv_fund",L$3,$A959))</f>
        <v/>
      </c>
      <c r="M959" s="13" t="str">
        <f>IF($A959="","",[1]!thsiFinD("ths_adjustment_nv_fund",M$3,$A959))</f>
        <v/>
      </c>
      <c r="N959" s="13" t="str">
        <f>IF($A959="","",[1]!thsiFinD("ths_adjustment_nv_fund",N$3,$A959))</f>
        <v/>
      </c>
      <c r="O959" s="13" t="str">
        <f>IF($A959="","",[1]!thsiFinD("ths_adjustment_nv_fund",O$3,$A959))</f>
        <v/>
      </c>
      <c r="P959" s="13" t="str">
        <f>IF($A959="","",[1]!thsiFinD("ths_adjustment_nv_fund",P$3,$A959))</f>
        <v/>
      </c>
      <c r="Q959" s="13" t="str">
        <f>IF($A959="","",[1]!thsiFinD("ths_adjustment_nv_fund",Q$3,$A959))</f>
        <v/>
      </c>
      <c r="R959" s="13" t="str">
        <f>IF($A959="","",[1]!thsiFinD("ths_adjustment_nv_fund",R$3,$A959))</f>
        <v/>
      </c>
      <c r="S959" s="13" t="str">
        <f>IF($A959="","",[1]!thsiFinD("ths_adjustment_nv_fund",S$3,$A959))</f>
        <v/>
      </c>
      <c r="T959" s="13" t="str">
        <f>IF($A959="","",[1]!thsiFinD("ths_adjustment_nv_fund",T$3,$A959))</f>
        <v/>
      </c>
      <c r="U959" s="13" t="str">
        <f>IF($A959="","",[1]!thsiFinD("ths_adjustment_nv_fund",U$3,$A959))</f>
        <v/>
      </c>
      <c r="V959" s="13" t="str">
        <f>IF($A959="","",[1]!thsiFinD("ths_adjustment_nv_fund",V$3,$A959))</f>
        <v/>
      </c>
      <c r="W959" s="13" t="str">
        <f>IF($A959="","",[1]!thsiFinD("ths_adjustment_nv_fund",W$3,$A959))</f>
        <v/>
      </c>
      <c r="X959" s="13" t="str">
        <f>IF($A959="","",[1]!thsiFinD("ths_adjustment_nv_fund",X$3,$A959))</f>
        <v/>
      </c>
      <c r="Y959" s="13" t="str">
        <f>IF($A959="","",[1]!thsiFinD("ths_adjustment_nv_fund",Y$3,$A959))</f>
        <v/>
      </c>
      <c r="Z959" s="13" t="str">
        <f>IF($A959="","",[1]!thsiFinD("ths_adjustment_nv_fund",Z$3,$A959))</f>
        <v/>
      </c>
      <c r="AA959" s="13" t="str">
        <f>IF($A959="","",[1]!thsiFinD("ths_adjustment_nv_fund",AA$3,$A959))</f>
        <v/>
      </c>
      <c r="AB959" s="13" t="str">
        <f>IF($A959="","",[1]!thsiFinD("ths_adjustment_nv_fund",AB$3,$A959))</f>
        <v/>
      </c>
    </row>
    <row r="960" spans="2:28">
      <c r="B960" s="13" t="str">
        <f>IF($A960="","",[1]!thsiFinD("ths_adjustment_nv_fund",B$3,$A960))</f>
        <v/>
      </c>
      <c r="C960" s="13" t="str">
        <f>IF($A960="","",[1]!thsiFinD("ths_adjustment_nv_fund",C$3,$A960))</f>
        <v/>
      </c>
      <c r="D960" s="13" t="str">
        <f>IF($A960="","",[1]!thsiFinD("ths_adjustment_nv_fund",D$3,$A960))</f>
        <v/>
      </c>
      <c r="E960" s="13" t="str">
        <f>IF($A960="","",[1]!thsiFinD("ths_adjustment_nv_fund",E$3,$A960))</f>
        <v/>
      </c>
      <c r="F960" s="13" t="str">
        <f>IF($A960="","",[1]!thsiFinD("ths_adjustment_nv_fund",F$3,$A960))</f>
        <v/>
      </c>
      <c r="G960" s="13" t="str">
        <f>IF($A960="","",[1]!thsiFinD("ths_adjustment_nv_fund",G$3,$A960))</f>
        <v/>
      </c>
      <c r="H960" s="13" t="str">
        <f>IF($A960="","",[1]!thsiFinD("ths_adjustment_nv_fund",H$3,$A960))</f>
        <v/>
      </c>
      <c r="I960" s="13" t="str">
        <f>IF($A960="","",[1]!thsiFinD("ths_adjustment_nv_fund",I$3,$A960))</f>
        <v/>
      </c>
      <c r="J960" s="13" t="str">
        <f>IF($A960="","",[1]!thsiFinD("ths_adjustment_nv_fund",J$3,$A960))</f>
        <v/>
      </c>
      <c r="K960" s="13" t="str">
        <f>IF($A960="","",[1]!thsiFinD("ths_adjustment_nv_fund",K$3,$A960))</f>
        <v/>
      </c>
      <c r="L960" s="13" t="str">
        <f>IF($A960="","",[1]!thsiFinD("ths_adjustment_nv_fund",L$3,$A960))</f>
        <v/>
      </c>
      <c r="M960" s="13" t="str">
        <f>IF($A960="","",[1]!thsiFinD("ths_adjustment_nv_fund",M$3,$A960))</f>
        <v/>
      </c>
      <c r="N960" s="13" t="str">
        <f>IF($A960="","",[1]!thsiFinD("ths_adjustment_nv_fund",N$3,$A960))</f>
        <v/>
      </c>
      <c r="O960" s="13" t="str">
        <f>IF($A960="","",[1]!thsiFinD("ths_adjustment_nv_fund",O$3,$A960))</f>
        <v/>
      </c>
      <c r="P960" s="13" t="str">
        <f>IF($A960="","",[1]!thsiFinD("ths_adjustment_nv_fund",P$3,$A960))</f>
        <v/>
      </c>
      <c r="Q960" s="13" t="str">
        <f>IF($A960="","",[1]!thsiFinD("ths_adjustment_nv_fund",Q$3,$A960))</f>
        <v/>
      </c>
      <c r="R960" s="13" t="str">
        <f>IF($A960="","",[1]!thsiFinD("ths_adjustment_nv_fund",R$3,$A960))</f>
        <v/>
      </c>
      <c r="S960" s="13" t="str">
        <f>IF($A960="","",[1]!thsiFinD("ths_adjustment_nv_fund",S$3,$A960))</f>
        <v/>
      </c>
      <c r="T960" s="13" t="str">
        <f>IF($A960="","",[1]!thsiFinD("ths_adjustment_nv_fund",T$3,$A960))</f>
        <v/>
      </c>
      <c r="U960" s="13" t="str">
        <f>IF($A960="","",[1]!thsiFinD("ths_adjustment_nv_fund",U$3,$A960))</f>
        <v/>
      </c>
      <c r="V960" s="13" t="str">
        <f>IF($A960="","",[1]!thsiFinD("ths_adjustment_nv_fund",V$3,$A960))</f>
        <v/>
      </c>
      <c r="W960" s="13" t="str">
        <f>IF($A960="","",[1]!thsiFinD("ths_adjustment_nv_fund",W$3,$A960))</f>
        <v/>
      </c>
      <c r="X960" s="13" t="str">
        <f>IF($A960="","",[1]!thsiFinD("ths_adjustment_nv_fund",X$3,$A960))</f>
        <v/>
      </c>
      <c r="Y960" s="13" t="str">
        <f>IF($A960="","",[1]!thsiFinD("ths_adjustment_nv_fund",Y$3,$A960))</f>
        <v/>
      </c>
      <c r="Z960" s="13" t="str">
        <f>IF($A960="","",[1]!thsiFinD("ths_adjustment_nv_fund",Z$3,$A960))</f>
        <v/>
      </c>
      <c r="AA960" s="13" t="str">
        <f>IF($A960="","",[1]!thsiFinD("ths_adjustment_nv_fund",AA$3,$A960))</f>
        <v/>
      </c>
      <c r="AB960" s="13" t="str">
        <f>IF($A960="","",[1]!thsiFinD("ths_adjustment_nv_fund",AB$3,$A960))</f>
        <v/>
      </c>
    </row>
    <row r="961" spans="2:28">
      <c r="B961" s="13" t="str">
        <f>IF($A961="","",[1]!thsiFinD("ths_adjustment_nv_fund",B$3,$A961))</f>
        <v/>
      </c>
      <c r="C961" s="13" t="str">
        <f>IF($A961="","",[1]!thsiFinD("ths_adjustment_nv_fund",C$3,$A961))</f>
        <v/>
      </c>
      <c r="D961" s="13" t="str">
        <f>IF($A961="","",[1]!thsiFinD("ths_adjustment_nv_fund",D$3,$A961))</f>
        <v/>
      </c>
      <c r="E961" s="13" t="str">
        <f>IF($A961="","",[1]!thsiFinD("ths_adjustment_nv_fund",E$3,$A961))</f>
        <v/>
      </c>
      <c r="F961" s="13" t="str">
        <f>IF($A961="","",[1]!thsiFinD("ths_adjustment_nv_fund",F$3,$A961))</f>
        <v/>
      </c>
      <c r="G961" s="13" t="str">
        <f>IF($A961="","",[1]!thsiFinD("ths_adjustment_nv_fund",G$3,$A961))</f>
        <v/>
      </c>
      <c r="H961" s="13" t="str">
        <f>IF($A961="","",[1]!thsiFinD("ths_adjustment_nv_fund",H$3,$A961))</f>
        <v/>
      </c>
      <c r="I961" s="13" t="str">
        <f>IF($A961="","",[1]!thsiFinD("ths_adjustment_nv_fund",I$3,$A961))</f>
        <v/>
      </c>
      <c r="J961" s="13" t="str">
        <f>IF($A961="","",[1]!thsiFinD("ths_adjustment_nv_fund",J$3,$A961))</f>
        <v/>
      </c>
      <c r="K961" s="13" t="str">
        <f>IF($A961="","",[1]!thsiFinD("ths_adjustment_nv_fund",K$3,$A961))</f>
        <v/>
      </c>
      <c r="L961" s="13" t="str">
        <f>IF($A961="","",[1]!thsiFinD("ths_adjustment_nv_fund",L$3,$A961))</f>
        <v/>
      </c>
      <c r="M961" s="13" t="str">
        <f>IF($A961="","",[1]!thsiFinD("ths_adjustment_nv_fund",M$3,$A961))</f>
        <v/>
      </c>
      <c r="N961" s="13" t="str">
        <f>IF($A961="","",[1]!thsiFinD("ths_adjustment_nv_fund",N$3,$A961))</f>
        <v/>
      </c>
      <c r="O961" s="13" t="str">
        <f>IF($A961="","",[1]!thsiFinD("ths_adjustment_nv_fund",O$3,$A961))</f>
        <v/>
      </c>
      <c r="P961" s="13" t="str">
        <f>IF($A961="","",[1]!thsiFinD("ths_adjustment_nv_fund",P$3,$A961))</f>
        <v/>
      </c>
      <c r="Q961" s="13" t="str">
        <f>IF($A961="","",[1]!thsiFinD("ths_adjustment_nv_fund",Q$3,$A961))</f>
        <v/>
      </c>
      <c r="R961" s="13" t="str">
        <f>IF($A961="","",[1]!thsiFinD("ths_adjustment_nv_fund",R$3,$A961))</f>
        <v/>
      </c>
      <c r="S961" s="13" t="str">
        <f>IF($A961="","",[1]!thsiFinD("ths_adjustment_nv_fund",S$3,$A961))</f>
        <v/>
      </c>
      <c r="T961" s="13" t="str">
        <f>IF($A961="","",[1]!thsiFinD("ths_adjustment_nv_fund",T$3,$A961))</f>
        <v/>
      </c>
      <c r="U961" s="13" t="str">
        <f>IF($A961="","",[1]!thsiFinD("ths_adjustment_nv_fund",U$3,$A961))</f>
        <v/>
      </c>
      <c r="V961" s="13" t="str">
        <f>IF($A961="","",[1]!thsiFinD("ths_adjustment_nv_fund",V$3,$A961))</f>
        <v/>
      </c>
      <c r="W961" s="13" t="str">
        <f>IF($A961="","",[1]!thsiFinD("ths_adjustment_nv_fund",W$3,$A961))</f>
        <v/>
      </c>
      <c r="X961" s="13" t="str">
        <f>IF($A961="","",[1]!thsiFinD("ths_adjustment_nv_fund",X$3,$A961))</f>
        <v/>
      </c>
      <c r="Y961" s="13" t="str">
        <f>IF($A961="","",[1]!thsiFinD("ths_adjustment_nv_fund",Y$3,$A961))</f>
        <v/>
      </c>
      <c r="Z961" s="13" t="str">
        <f>IF($A961="","",[1]!thsiFinD("ths_adjustment_nv_fund",Z$3,$A961))</f>
        <v/>
      </c>
      <c r="AA961" s="13" t="str">
        <f>IF($A961="","",[1]!thsiFinD("ths_adjustment_nv_fund",AA$3,$A961))</f>
        <v/>
      </c>
      <c r="AB961" s="13" t="str">
        <f>IF($A961="","",[1]!thsiFinD("ths_adjustment_nv_fund",AB$3,$A961))</f>
        <v/>
      </c>
    </row>
    <row r="962" spans="2:28">
      <c r="B962" s="13" t="str">
        <f>IF($A962="","",[1]!thsiFinD("ths_adjustment_nv_fund",B$3,$A962))</f>
        <v/>
      </c>
      <c r="C962" s="13" t="str">
        <f>IF($A962="","",[1]!thsiFinD("ths_adjustment_nv_fund",C$3,$A962))</f>
        <v/>
      </c>
      <c r="D962" s="13" t="str">
        <f>IF($A962="","",[1]!thsiFinD("ths_adjustment_nv_fund",D$3,$A962))</f>
        <v/>
      </c>
      <c r="E962" s="13" t="str">
        <f>IF($A962="","",[1]!thsiFinD("ths_adjustment_nv_fund",E$3,$A962))</f>
        <v/>
      </c>
      <c r="F962" s="13" t="str">
        <f>IF($A962="","",[1]!thsiFinD("ths_adjustment_nv_fund",F$3,$A962))</f>
        <v/>
      </c>
      <c r="G962" s="13" t="str">
        <f>IF($A962="","",[1]!thsiFinD("ths_adjustment_nv_fund",G$3,$A962))</f>
        <v/>
      </c>
      <c r="H962" s="13" t="str">
        <f>IF($A962="","",[1]!thsiFinD("ths_adjustment_nv_fund",H$3,$A962))</f>
        <v/>
      </c>
      <c r="I962" s="13" t="str">
        <f>IF($A962="","",[1]!thsiFinD("ths_adjustment_nv_fund",I$3,$A962))</f>
        <v/>
      </c>
      <c r="J962" s="13" t="str">
        <f>IF($A962="","",[1]!thsiFinD("ths_adjustment_nv_fund",J$3,$A962))</f>
        <v/>
      </c>
      <c r="K962" s="13" t="str">
        <f>IF($A962="","",[1]!thsiFinD("ths_adjustment_nv_fund",K$3,$A962))</f>
        <v/>
      </c>
      <c r="L962" s="13" t="str">
        <f>IF($A962="","",[1]!thsiFinD("ths_adjustment_nv_fund",L$3,$A962))</f>
        <v/>
      </c>
      <c r="M962" s="13" t="str">
        <f>IF($A962="","",[1]!thsiFinD("ths_adjustment_nv_fund",M$3,$A962))</f>
        <v/>
      </c>
      <c r="N962" s="13" t="str">
        <f>IF($A962="","",[1]!thsiFinD("ths_adjustment_nv_fund",N$3,$A962))</f>
        <v/>
      </c>
      <c r="O962" s="13" t="str">
        <f>IF($A962="","",[1]!thsiFinD("ths_adjustment_nv_fund",O$3,$A962))</f>
        <v/>
      </c>
      <c r="P962" s="13" t="str">
        <f>IF($A962="","",[1]!thsiFinD("ths_adjustment_nv_fund",P$3,$A962))</f>
        <v/>
      </c>
      <c r="Q962" s="13" t="str">
        <f>IF($A962="","",[1]!thsiFinD("ths_adjustment_nv_fund",Q$3,$A962))</f>
        <v/>
      </c>
      <c r="R962" s="13" t="str">
        <f>IF($A962="","",[1]!thsiFinD("ths_adjustment_nv_fund",R$3,$A962))</f>
        <v/>
      </c>
      <c r="S962" s="13" t="str">
        <f>IF($A962="","",[1]!thsiFinD("ths_adjustment_nv_fund",S$3,$A962))</f>
        <v/>
      </c>
      <c r="T962" s="13" t="str">
        <f>IF($A962="","",[1]!thsiFinD("ths_adjustment_nv_fund",T$3,$A962))</f>
        <v/>
      </c>
      <c r="U962" s="13" t="str">
        <f>IF($A962="","",[1]!thsiFinD("ths_adjustment_nv_fund",U$3,$A962))</f>
        <v/>
      </c>
      <c r="V962" s="13" t="str">
        <f>IF($A962="","",[1]!thsiFinD("ths_adjustment_nv_fund",V$3,$A962))</f>
        <v/>
      </c>
      <c r="W962" s="13" t="str">
        <f>IF($A962="","",[1]!thsiFinD("ths_adjustment_nv_fund",W$3,$A962))</f>
        <v/>
      </c>
      <c r="X962" s="13" t="str">
        <f>IF($A962="","",[1]!thsiFinD("ths_adjustment_nv_fund",X$3,$A962))</f>
        <v/>
      </c>
      <c r="Y962" s="13" t="str">
        <f>IF($A962="","",[1]!thsiFinD("ths_adjustment_nv_fund",Y$3,$A962))</f>
        <v/>
      </c>
      <c r="Z962" s="13" t="str">
        <f>IF($A962="","",[1]!thsiFinD("ths_adjustment_nv_fund",Z$3,$A962))</f>
        <v/>
      </c>
      <c r="AA962" s="13" t="str">
        <f>IF($A962="","",[1]!thsiFinD("ths_adjustment_nv_fund",AA$3,$A962))</f>
        <v/>
      </c>
      <c r="AB962" s="13" t="str">
        <f>IF($A962="","",[1]!thsiFinD("ths_adjustment_nv_fund",AB$3,$A962))</f>
        <v/>
      </c>
    </row>
    <row r="963" spans="2:28">
      <c r="B963" s="13" t="str">
        <f>IF($A963="","",[1]!thsiFinD("ths_adjustment_nv_fund",B$3,$A963))</f>
        <v/>
      </c>
      <c r="C963" s="13" t="str">
        <f>IF($A963="","",[1]!thsiFinD("ths_adjustment_nv_fund",C$3,$A963))</f>
        <v/>
      </c>
      <c r="D963" s="13" t="str">
        <f>IF($A963="","",[1]!thsiFinD("ths_adjustment_nv_fund",D$3,$A963))</f>
        <v/>
      </c>
      <c r="E963" s="13" t="str">
        <f>IF($A963="","",[1]!thsiFinD("ths_adjustment_nv_fund",E$3,$A963))</f>
        <v/>
      </c>
      <c r="F963" s="13" t="str">
        <f>IF($A963="","",[1]!thsiFinD("ths_adjustment_nv_fund",F$3,$A963))</f>
        <v/>
      </c>
      <c r="G963" s="13" t="str">
        <f>IF($A963="","",[1]!thsiFinD("ths_adjustment_nv_fund",G$3,$A963))</f>
        <v/>
      </c>
      <c r="H963" s="13" t="str">
        <f>IF($A963="","",[1]!thsiFinD("ths_adjustment_nv_fund",H$3,$A963))</f>
        <v/>
      </c>
      <c r="I963" s="13" t="str">
        <f>IF($A963="","",[1]!thsiFinD("ths_adjustment_nv_fund",I$3,$A963))</f>
        <v/>
      </c>
      <c r="J963" s="13" t="str">
        <f>IF($A963="","",[1]!thsiFinD("ths_adjustment_nv_fund",J$3,$A963))</f>
        <v/>
      </c>
      <c r="K963" s="13" t="str">
        <f>IF($A963="","",[1]!thsiFinD("ths_adjustment_nv_fund",K$3,$A963))</f>
        <v/>
      </c>
      <c r="L963" s="13" t="str">
        <f>IF($A963="","",[1]!thsiFinD("ths_adjustment_nv_fund",L$3,$A963))</f>
        <v/>
      </c>
      <c r="M963" s="13" t="str">
        <f>IF($A963="","",[1]!thsiFinD("ths_adjustment_nv_fund",M$3,$A963))</f>
        <v/>
      </c>
      <c r="N963" s="13" t="str">
        <f>IF($A963="","",[1]!thsiFinD("ths_adjustment_nv_fund",N$3,$A963))</f>
        <v/>
      </c>
      <c r="O963" s="13" t="str">
        <f>IF($A963="","",[1]!thsiFinD("ths_adjustment_nv_fund",O$3,$A963))</f>
        <v/>
      </c>
      <c r="P963" s="13" t="str">
        <f>IF($A963="","",[1]!thsiFinD("ths_adjustment_nv_fund",P$3,$A963))</f>
        <v/>
      </c>
      <c r="Q963" s="13" t="str">
        <f>IF($A963="","",[1]!thsiFinD("ths_adjustment_nv_fund",Q$3,$A963))</f>
        <v/>
      </c>
      <c r="R963" s="13" t="str">
        <f>IF($A963="","",[1]!thsiFinD("ths_adjustment_nv_fund",R$3,$A963))</f>
        <v/>
      </c>
      <c r="S963" s="13" t="str">
        <f>IF($A963="","",[1]!thsiFinD("ths_adjustment_nv_fund",S$3,$A963))</f>
        <v/>
      </c>
      <c r="T963" s="13" t="str">
        <f>IF($A963="","",[1]!thsiFinD("ths_adjustment_nv_fund",T$3,$A963))</f>
        <v/>
      </c>
      <c r="U963" s="13" t="str">
        <f>IF($A963="","",[1]!thsiFinD("ths_adjustment_nv_fund",U$3,$A963))</f>
        <v/>
      </c>
      <c r="V963" s="13" t="str">
        <f>IF($A963="","",[1]!thsiFinD("ths_adjustment_nv_fund",V$3,$A963))</f>
        <v/>
      </c>
      <c r="W963" s="13" t="str">
        <f>IF($A963="","",[1]!thsiFinD("ths_adjustment_nv_fund",W$3,$A963))</f>
        <v/>
      </c>
      <c r="X963" s="13" t="str">
        <f>IF($A963="","",[1]!thsiFinD("ths_adjustment_nv_fund",X$3,$A963))</f>
        <v/>
      </c>
      <c r="Y963" s="13" t="str">
        <f>IF($A963="","",[1]!thsiFinD("ths_adjustment_nv_fund",Y$3,$A963))</f>
        <v/>
      </c>
      <c r="Z963" s="13" t="str">
        <f>IF($A963="","",[1]!thsiFinD("ths_adjustment_nv_fund",Z$3,$A963))</f>
        <v/>
      </c>
      <c r="AA963" s="13" t="str">
        <f>IF($A963="","",[1]!thsiFinD("ths_adjustment_nv_fund",AA$3,$A963))</f>
        <v/>
      </c>
      <c r="AB963" s="13" t="str">
        <f>IF($A963="","",[1]!thsiFinD("ths_adjustment_nv_fund",AB$3,$A963))</f>
        <v/>
      </c>
    </row>
    <row r="964" spans="2:28">
      <c r="B964" s="13" t="str">
        <f>IF($A964="","",[1]!thsiFinD("ths_adjustment_nv_fund",B$3,$A964))</f>
        <v/>
      </c>
      <c r="C964" s="13" t="str">
        <f>IF($A964="","",[1]!thsiFinD("ths_adjustment_nv_fund",C$3,$A964))</f>
        <v/>
      </c>
      <c r="D964" s="13" t="str">
        <f>IF($A964="","",[1]!thsiFinD("ths_adjustment_nv_fund",D$3,$A964))</f>
        <v/>
      </c>
      <c r="E964" s="13" t="str">
        <f>IF($A964="","",[1]!thsiFinD("ths_adjustment_nv_fund",E$3,$A964))</f>
        <v/>
      </c>
      <c r="F964" s="13" t="str">
        <f>IF($A964="","",[1]!thsiFinD("ths_adjustment_nv_fund",F$3,$A964))</f>
        <v/>
      </c>
      <c r="G964" s="13" t="str">
        <f>IF($A964="","",[1]!thsiFinD("ths_adjustment_nv_fund",G$3,$A964))</f>
        <v/>
      </c>
      <c r="H964" s="13" t="str">
        <f>IF($A964="","",[1]!thsiFinD("ths_adjustment_nv_fund",H$3,$A964))</f>
        <v/>
      </c>
      <c r="I964" s="13" t="str">
        <f>IF($A964="","",[1]!thsiFinD("ths_adjustment_nv_fund",I$3,$A964))</f>
        <v/>
      </c>
      <c r="J964" s="13" t="str">
        <f>IF($A964="","",[1]!thsiFinD("ths_adjustment_nv_fund",J$3,$A964))</f>
        <v/>
      </c>
      <c r="K964" s="13" t="str">
        <f>IF($A964="","",[1]!thsiFinD("ths_adjustment_nv_fund",K$3,$A964))</f>
        <v/>
      </c>
      <c r="L964" s="13" t="str">
        <f>IF($A964="","",[1]!thsiFinD("ths_adjustment_nv_fund",L$3,$A964))</f>
        <v/>
      </c>
      <c r="M964" s="13" t="str">
        <f>IF($A964="","",[1]!thsiFinD("ths_adjustment_nv_fund",M$3,$A964))</f>
        <v/>
      </c>
      <c r="N964" s="13" t="str">
        <f>IF($A964="","",[1]!thsiFinD("ths_adjustment_nv_fund",N$3,$A964))</f>
        <v/>
      </c>
      <c r="O964" s="13" t="str">
        <f>IF($A964="","",[1]!thsiFinD("ths_adjustment_nv_fund",O$3,$A964))</f>
        <v/>
      </c>
      <c r="P964" s="13" t="str">
        <f>IF($A964="","",[1]!thsiFinD("ths_adjustment_nv_fund",P$3,$A964))</f>
        <v/>
      </c>
      <c r="Q964" s="13" t="str">
        <f>IF($A964="","",[1]!thsiFinD("ths_adjustment_nv_fund",Q$3,$A964))</f>
        <v/>
      </c>
      <c r="R964" s="13" t="str">
        <f>IF($A964="","",[1]!thsiFinD("ths_adjustment_nv_fund",R$3,$A964))</f>
        <v/>
      </c>
      <c r="S964" s="13" t="str">
        <f>IF($A964="","",[1]!thsiFinD("ths_adjustment_nv_fund",S$3,$A964))</f>
        <v/>
      </c>
      <c r="T964" s="13" t="str">
        <f>IF($A964="","",[1]!thsiFinD("ths_adjustment_nv_fund",T$3,$A964))</f>
        <v/>
      </c>
      <c r="U964" s="13" t="str">
        <f>IF($A964="","",[1]!thsiFinD("ths_adjustment_nv_fund",U$3,$A964))</f>
        <v/>
      </c>
      <c r="V964" s="13" t="str">
        <f>IF($A964="","",[1]!thsiFinD("ths_adjustment_nv_fund",V$3,$A964))</f>
        <v/>
      </c>
      <c r="W964" s="13" t="str">
        <f>IF($A964="","",[1]!thsiFinD("ths_adjustment_nv_fund",W$3,$A964))</f>
        <v/>
      </c>
      <c r="X964" s="13" t="str">
        <f>IF($A964="","",[1]!thsiFinD("ths_adjustment_nv_fund",X$3,$A964))</f>
        <v/>
      </c>
      <c r="Y964" s="13" t="str">
        <f>IF($A964="","",[1]!thsiFinD("ths_adjustment_nv_fund",Y$3,$A964))</f>
        <v/>
      </c>
      <c r="Z964" s="13" t="str">
        <f>IF($A964="","",[1]!thsiFinD("ths_adjustment_nv_fund",Z$3,$A964))</f>
        <v/>
      </c>
      <c r="AA964" s="13" t="str">
        <f>IF($A964="","",[1]!thsiFinD("ths_adjustment_nv_fund",AA$3,$A964))</f>
        <v/>
      </c>
      <c r="AB964" s="13" t="str">
        <f>IF($A964="","",[1]!thsiFinD("ths_adjustment_nv_fund",AB$3,$A964))</f>
        <v/>
      </c>
    </row>
    <row r="965" spans="2:28">
      <c r="B965" s="13" t="str">
        <f>IF($A965="","",[1]!thsiFinD("ths_adjustment_nv_fund",B$3,$A965))</f>
        <v/>
      </c>
      <c r="C965" s="13" t="str">
        <f>IF($A965="","",[1]!thsiFinD("ths_adjustment_nv_fund",C$3,$A965))</f>
        <v/>
      </c>
      <c r="D965" s="13" t="str">
        <f>IF($A965="","",[1]!thsiFinD("ths_adjustment_nv_fund",D$3,$A965))</f>
        <v/>
      </c>
      <c r="E965" s="13" t="str">
        <f>IF($A965="","",[1]!thsiFinD("ths_adjustment_nv_fund",E$3,$A965))</f>
        <v/>
      </c>
      <c r="F965" s="13" t="str">
        <f>IF($A965="","",[1]!thsiFinD("ths_adjustment_nv_fund",F$3,$A965))</f>
        <v/>
      </c>
      <c r="G965" s="13" t="str">
        <f>IF($A965="","",[1]!thsiFinD("ths_adjustment_nv_fund",G$3,$A965))</f>
        <v/>
      </c>
      <c r="H965" s="13" t="str">
        <f>IF($A965="","",[1]!thsiFinD("ths_adjustment_nv_fund",H$3,$A965))</f>
        <v/>
      </c>
      <c r="I965" s="13" t="str">
        <f>IF($A965="","",[1]!thsiFinD("ths_adjustment_nv_fund",I$3,$A965))</f>
        <v/>
      </c>
      <c r="J965" s="13" t="str">
        <f>IF($A965="","",[1]!thsiFinD("ths_adjustment_nv_fund",J$3,$A965))</f>
        <v/>
      </c>
      <c r="K965" s="13" t="str">
        <f>IF($A965="","",[1]!thsiFinD("ths_adjustment_nv_fund",K$3,$A965))</f>
        <v/>
      </c>
      <c r="L965" s="13" t="str">
        <f>IF($A965="","",[1]!thsiFinD("ths_adjustment_nv_fund",L$3,$A965))</f>
        <v/>
      </c>
      <c r="M965" s="13" t="str">
        <f>IF($A965="","",[1]!thsiFinD("ths_adjustment_nv_fund",M$3,$A965))</f>
        <v/>
      </c>
      <c r="N965" s="13" t="str">
        <f>IF($A965="","",[1]!thsiFinD("ths_adjustment_nv_fund",N$3,$A965))</f>
        <v/>
      </c>
      <c r="O965" s="13" t="str">
        <f>IF($A965="","",[1]!thsiFinD("ths_adjustment_nv_fund",O$3,$A965))</f>
        <v/>
      </c>
      <c r="P965" s="13" t="str">
        <f>IF($A965="","",[1]!thsiFinD("ths_adjustment_nv_fund",P$3,$A965))</f>
        <v/>
      </c>
      <c r="Q965" s="13" t="str">
        <f>IF($A965="","",[1]!thsiFinD("ths_adjustment_nv_fund",Q$3,$A965))</f>
        <v/>
      </c>
      <c r="R965" s="13" t="str">
        <f>IF($A965="","",[1]!thsiFinD("ths_adjustment_nv_fund",R$3,$A965))</f>
        <v/>
      </c>
      <c r="S965" s="13" t="str">
        <f>IF($A965="","",[1]!thsiFinD("ths_adjustment_nv_fund",S$3,$A965))</f>
        <v/>
      </c>
      <c r="T965" s="13" t="str">
        <f>IF($A965="","",[1]!thsiFinD("ths_adjustment_nv_fund",T$3,$A965))</f>
        <v/>
      </c>
      <c r="U965" s="13" t="str">
        <f>IF($A965="","",[1]!thsiFinD("ths_adjustment_nv_fund",U$3,$A965))</f>
        <v/>
      </c>
      <c r="V965" s="13" t="str">
        <f>IF($A965="","",[1]!thsiFinD("ths_adjustment_nv_fund",V$3,$A965))</f>
        <v/>
      </c>
      <c r="W965" s="13" t="str">
        <f>IF($A965="","",[1]!thsiFinD("ths_adjustment_nv_fund",W$3,$A965))</f>
        <v/>
      </c>
      <c r="X965" s="13" t="str">
        <f>IF($A965="","",[1]!thsiFinD("ths_adjustment_nv_fund",X$3,$A965))</f>
        <v/>
      </c>
      <c r="Y965" s="13" t="str">
        <f>IF($A965="","",[1]!thsiFinD("ths_adjustment_nv_fund",Y$3,$A965))</f>
        <v/>
      </c>
      <c r="Z965" s="13" t="str">
        <f>IF($A965="","",[1]!thsiFinD("ths_adjustment_nv_fund",Z$3,$A965))</f>
        <v/>
      </c>
      <c r="AA965" s="13" t="str">
        <f>IF($A965="","",[1]!thsiFinD("ths_adjustment_nv_fund",AA$3,$A965))</f>
        <v/>
      </c>
      <c r="AB965" s="13" t="str">
        <f>IF($A965="","",[1]!thsiFinD("ths_adjustment_nv_fund",AB$3,$A965))</f>
        <v/>
      </c>
    </row>
    <row r="966" spans="2:28">
      <c r="B966" s="13" t="str">
        <f>IF($A966="","",[1]!thsiFinD("ths_adjustment_nv_fund",B$3,$A966))</f>
        <v/>
      </c>
      <c r="C966" s="13" t="str">
        <f>IF($A966="","",[1]!thsiFinD("ths_adjustment_nv_fund",C$3,$A966))</f>
        <v/>
      </c>
      <c r="D966" s="13" t="str">
        <f>IF($A966="","",[1]!thsiFinD("ths_adjustment_nv_fund",D$3,$A966))</f>
        <v/>
      </c>
      <c r="E966" s="13" t="str">
        <f>IF($A966="","",[1]!thsiFinD("ths_adjustment_nv_fund",E$3,$A966))</f>
        <v/>
      </c>
      <c r="F966" s="13" t="str">
        <f>IF($A966="","",[1]!thsiFinD("ths_adjustment_nv_fund",F$3,$A966))</f>
        <v/>
      </c>
      <c r="G966" s="13" t="str">
        <f>IF($A966="","",[1]!thsiFinD("ths_adjustment_nv_fund",G$3,$A966))</f>
        <v/>
      </c>
      <c r="H966" s="13" t="str">
        <f>IF($A966="","",[1]!thsiFinD("ths_adjustment_nv_fund",H$3,$A966))</f>
        <v/>
      </c>
      <c r="I966" s="13" t="str">
        <f>IF($A966="","",[1]!thsiFinD("ths_adjustment_nv_fund",I$3,$A966))</f>
        <v/>
      </c>
      <c r="J966" s="13" t="str">
        <f>IF($A966="","",[1]!thsiFinD("ths_adjustment_nv_fund",J$3,$A966))</f>
        <v/>
      </c>
      <c r="K966" s="13" t="str">
        <f>IF($A966="","",[1]!thsiFinD("ths_adjustment_nv_fund",K$3,$A966))</f>
        <v/>
      </c>
      <c r="L966" s="13" t="str">
        <f>IF($A966="","",[1]!thsiFinD("ths_adjustment_nv_fund",L$3,$A966))</f>
        <v/>
      </c>
      <c r="M966" s="13" t="str">
        <f>IF($A966="","",[1]!thsiFinD("ths_adjustment_nv_fund",M$3,$A966))</f>
        <v/>
      </c>
      <c r="N966" s="13" t="str">
        <f>IF($A966="","",[1]!thsiFinD("ths_adjustment_nv_fund",N$3,$A966))</f>
        <v/>
      </c>
      <c r="O966" s="13" t="str">
        <f>IF($A966="","",[1]!thsiFinD("ths_adjustment_nv_fund",O$3,$A966))</f>
        <v/>
      </c>
      <c r="P966" s="13" t="str">
        <f>IF($A966="","",[1]!thsiFinD("ths_adjustment_nv_fund",P$3,$A966))</f>
        <v/>
      </c>
      <c r="Q966" s="13" t="str">
        <f>IF($A966="","",[1]!thsiFinD("ths_adjustment_nv_fund",Q$3,$A966))</f>
        <v/>
      </c>
      <c r="R966" s="13" t="str">
        <f>IF($A966="","",[1]!thsiFinD("ths_adjustment_nv_fund",R$3,$A966))</f>
        <v/>
      </c>
      <c r="S966" s="13" t="str">
        <f>IF($A966="","",[1]!thsiFinD("ths_adjustment_nv_fund",S$3,$A966))</f>
        <v/>
      </c>
      <c r="T966" s="13" t="str">
        <f>IF($A966="","",[1]!thsiFinD("ths_adjustment_nv_fund",T$3,$A966))</f>
        <v/>
      </c>
      <c r="U966" s="13" t="str">
        <f>IF($A966="","",[1]!thsiFinD("ths_adjustment_nv_fund",U$3,$A966))</f>
        <v/>
      </c>
      <c r="V966" s="13" t="str">
        <f>IF($A966="","",[1]!thsiFinD("ths_adjustment_nv_fund",V$3,$A966))</f>
        <v/>
      </c>
      <c r="W966" s="13" t="str">
        <f>IF($A966="","",[1]!thsiFinD("ths_adjustment_nv_fund",W$3,$A966))</f>
        <v/>
      </c>
      <c r="X966" s="13" t="str">
        <f>IF($A966="","",[1]!thsiFinD("ths_adjustment_nv_fund",X$3,$A966))</f>
        <v/>
      </c>
      <c r="Y966" s="13" t="str">
        <f>IF($A966="","",[1]!thsiFinD("ths_adjustment_nv_fund",Y$3,$A966))</f>
        <v/>
      </c>
      <c r="Z966" s="13" t="str">
        <f>IF($A966="","",[1]!thsiFinD("ths_adjustment_nv_fund",Z$3,$A966))</f>
        <v/>
      </c>
      <c r="AA966" s="13" t="str">
        <f>IF($A966="","",[1]!thsiFinD("ths_adjustment_nv_fund",AA$3,$A966))</f>
        <v/>
      </c>
      <c r="AB966" s="13" t="str">
        <f>IF($A966="","",[1]!thsiFinD("ths_adjustment_nv_fund",AB$3,$A966))</f>
        <v/>
      </c>
    </row>
    <row r="967" spans="2:28">
      <c r="B967" s="13" t="str">
        <f>IF($A967="","",[1]!thsiFinD("ths_adjustment_nv_fund",B$3,$A967))</f>
        <v/>
      </c>
      <c r="C967" s="13" t="str">
        <f>IF($A967="","",[1]!thsiFinD("ths_adjustment_nv_fund",C$3,$A967))</f>
        <v/>
      </c>
      <c r="D967" s="13" t="str">
        <f>IF($A967="","",[1]!thsiFinD("ths_adjustment_nv_fund",D$3,$A967))</f>
        <v/>
      </c>
      <c r="E967" s="13" t="str">
        <f>IF($A967="","",[1]!thsiFinD("ths_adjustment_nv_fund",E$3,$A967))</f>
        <v/>
      </c>
      <c r="F967" s="13" t="str">
        <f>IF($A967="","",[1]!thsiFinD("ths_adjustment_nv_fund",F$3,$A967))</f>
        <v/>
      </c>
      <c r="G967" s="13" t="str">
        <f>IF($A967="","",[1]!thsiFinD("ths_adjustment_nv_fund",G$3,$A967))</f>
        <v/>
      </c>
      <c r="H967" s="13" t="str">
        <f>IF($A967="","",[1]!thsiFinD("ths_adjustment_nv_fund",H$3,$A967))</f>
        <v/>
      </c>
      <c r="I967" s="13" t="str">
        <f>IF($A967="","",[1]!thsiFinD("ths_adjustment_nv_fund",I$3,$A967))</f>
        <v/>
      </c>
      <c r="J967" s="13" t="str">
        <f>IF($A967="","",[1]!thsiFinD("ths_adjustment_nv_fund",J$3,$A967))</f>
        <v/>
      </c>
      <c r="K967" s="13" t="str">
        <f>IF($A967="","",[1]!thsiFinD("ths_adjustment_nv_fund",K$3,$A967))</f>
        <v/>
      </c>
      <c r="L967" s="13" t="str">
        <f>IF($A967="","",[1]!thsiFinD("ths_adjustment_nv_fund",L$3,$A967))</f>
        <v/>
      </c>
      <c r="M967" s="13" t="str">
        <f>IF($A967="","",[1]!thsiFinD("ths_adjustment_nv_fund",M$3,$A967))</f>
        <v/>
      </c>
      <c r="N967" s="13" t="str">
        <f>IF($A967="","",[1]!thsiFinD("ths_adjustment_nv_fund",N$3,$A967))</f>
        <v/>
      </c>
      <c r="O967" s="13" t="str">
        <f>IF($A967="","",[1]!thsiFinD("ths_adjustment_nv_fund",O$3,$A967))</f>
        <v/>
      </c>
      <c r="P967" s="13" t="str">
        <f>IF($A967="","",[1]!thsiFinD("ths_adjustment_nv_fund",P$3,$A967))</f>
        <v/>
      </c>
      <c r="Q967" s="13" t="str">
        <f>IF($A967="","",[1]!thsiFinD("ths_adjustment_nv_fund",Q$3,$A967))</f>
        <v/>
      </c>
      <c r="R967" s="13" t="str">
        <f>IF($A967="","",[1]!thsiFinD("ths_adjustment_nv_fund",R$3,$A967))</f>
        <v/>
      </c>
      <c r="S967" s="13" t="str">
        <f>IF($A967="","",[1]!thsiFinD("ths_adjustment_nv_fund",S$3,$A967))</f>
        <v/>
      </c>
      <c r="T967" s="13" t="str">
        <f>IF($A967="","",[1]!thsiFinD("ths_adjustment_nv_fund",T$3,$A967))</f>
        <v/>
      </c>
      <c r="U967" s="13" t="str">
        <f>IF($A967="","",[1]!thsiFinD("ths_adjustment_nv_fund",U$3,$A967))</f>
        <v/>
      </c>
      <c r="V967" s="13" t="str">
        <f>IF($A967="","",[1]!thsiFinD("ths_adjustment_nv_fund",V$3,$A967))</f>
        <v/>
      </c>
      <c r="W967" s="13" t="str">
        <f>IF($A967="","",[1]!thsiFinD("ths_adjustment_nv_fund",W$3,$A967))</f>
        <v/>
      </c>
      <c r="X967" s="13" t="str">
        <f>IF($A967="","",[1]!thsiFinD("ths_adjustment_nv_fund",X$3,$A967))</f>
        <v/>
      </c>
      <c r="Y967" s="13" t="str">
        <f>IF($A967="","",[1]!thsiFinD("ths_adjustment_nv_fund",Y$3,$A967))</f>
        <v/>
      </c>
      <c r="Z967" s="13" t="str">
        <f>IF($A967="","",[1]!thsiFinD("ths_adjustment_nv_fund",Z$3,$A967))</f>
        <v/>
      </c>
      <c r="AA967" s="13" t="str">
        <f>IF($A967="","",[1]!thsiFinD("ths_adjustment_nv_fund",AA$3,$A967))</f>
        <v/>
      </c>
      <c r="AB967" s="13" t="str">
        <f>IF($A967="","",[1]!thsiFinD("ths_adjustment_nv_fund",AB$3,$A967))</f>
        <v/>
      </c>
    </row>
    <row r="968" spans="2:28">
      <c r="B968" s="13" t="str">
        <f>IF($A968="","",[1]!thsiFinD("ths_adjustment_nv_fund",B$3,$A968))</f>
        <v/>
      </c>
      <c r="C968" s="13" t="str">
        <f>IF($A968="","",[1]!thsiFinD("ths_adjustment_nv_fund",C$3,$A968))</f>
        <v/>
      </c>
      <c r="D968" s="13" t="str">
        <f>IF($A968="","",[1]!thsiFinD("ths_adjustment_nv_fund",D$3,$A968))</f>
        <v/>
      </c>
      <c r="E968" s="13" t="str">
        <f>IF($A968="","",[1]!thsiFinD("ths_adjustment_nv_fund",E$3,$A968))</f>
        <v/>
      </c>
      <c r="F968" s="13" t="str">
        <f>IF($A968="","",[1]!thsiFinD("ths_adjustment_nv_fund",F$3,$A968))</f>
        <v/>
      </c>
      <c r="G968" s="13" t="str">
        <f>IF($A968="","",[1]!thsiFinD("ths_adjustment_nv_fund",G$3,$A968))</f>
        <v/>
      </c>
      <c r="H968" s="13" t="str">
        <f>IF($A968="","",[1]!thsiFinD("ths_adjustment_nv_fund",H$3,$A968))</f>
        <v/>
      </c>
      <c r="I968" s="13" t="str">
        <f>IF($A968="","",[1]!thsiFinD("ths_adjustment_nv_fund",I$3,$A968))</f>
        <v/>
      </c>
      <c r="J968" s="13" t="str">
        <f>IF($A968="","",[1]!thsiFinD("ths_adjustment_nv_fund",J$3,$A968))</f>
        <v/>
      </c>
      <c r="K968" s="13" t="str">
        <f>IF($A968="","",[1]!thsiFinD("ths_adjustment_nv_fund",K$3,$A968))</f>
        <v/>
      </c>
      <c r="L968" s="13" t="str">
        <f>IF($A968="","",[1]!thsiFinD("ths_adjustment_nv_fund",L$3,$A968))</f>
        <v/>
      </c>
      <c r="M968" s="13" t="str">
        <f>IF($A968="","",[1]!thsiFinD("ths_adjustment_nv_fund",M$3,$A968))</f>
        <v/>
      </c>
      <c r="N968" s="13" t="str">
        <f>IF($A968="","",[1]!thsiFinD("ths_adjustment_nv_fund",N$3,$A968))</f>
        <v/>
      </c>
      <c r="O968" s="13" t="str">
        <f>IF($A968="","",[1]!thsiFinD("ths_adjustment_nv_fund",O$3,$A968))</f>
        <v/>
      </c>
      <c r="P968" s="13" t="str">
        <f>IF($A968="","",[1]!thsiFinD("ths_adjustment_nv_fund",P$3,$A968))</f>
        <v/>
      </c>
      <c r="Q968" s="13" t="str">
        <f>IF($A968="","",[1]!thsiFinD("ths_adjustment_nv_fund",Q$3,$A968))</f>
        <v/>
      </c>
      <c r="R968" s="13" t="str">
        <f>IF($A968="","",[1]!thsiFinD("ths_adjustment_nv_fund",R$3,$A968))</f>
        <v/>
      </c>
      <c r="S968" s="13" t="str">
        <f>IF($A968="","",[1]!thsiFinD("ths_adjustment_nv_fund",S$3,$A968))</f>
        <v/>
      </c>
      <c r="T968" s="13" t="str">
        <f>IF($A968="","",[1]!thsiFinD("ths_adjustment_nv_fund",T$3,$A968))</f>
        <v/>
      </c>
      <c r="U968" s="13" t="str">
        <f>IF($A968="","",[1]!thsiFinD("ths_adjustment_nv_fund",U$3,$A968))</f>
        <v/>
      </c>
      <c r="V968" s="13" t="str">
        <f>IF($A968="","",[1]!thsiFinD("ths_adjustment_nv_fund",V$3,$A968))</f>
        <v/>
      </c>
      <c r="W968" s="13" t="str">
        <f>IF($A968="","",[1]!thsiFinD("ths_adjustment_nv_fund",W$3,$A968))</f>
        <v/>
      </c>
      <c r="X968" s="13" t="str">
        <f>IF($A968="","",[1]!thsiFinD("ths_adjustment_nv_fund",X$3,$A968))</f>
        <v/>
      </c>
      <c r="Y968" s="13" t="str">
        <f>IF($A968="","",[1]!thsiFinD("ths_adjustment_nv_fund",Y$3,$A968))</f>
        <v/>
      </c>
      <c r="Z968" s="13" t="str">
        <f>IF($A968="","",[1]!thsiFinD("ths_adjustment_nv_fund",Z$3,$A968))</f>
        <v/>
      </c>
      <c r="AA968" s="13" t="str">
        <f>IF($A968="","",[1]!thsiFinD("ths_adjustment_nv_fund",AA$3,$A968))</f>
        <v/>
      </c>
      <c r="AB968" s="13" t="str">
        <f>IF($A968="","",[1]!thsiFinD("ths_adjustment_nv_fund",AB$3,$A968))</f>
        <v/>
      </c>
    </row>
    <row r="969" spans="2:28">
      <c r="B969" s="13" t="str">
        <f>IF($A969="","",[1]!thsiFinD("ths_adjustment_nv_fund",B$3,$A969))</f>
        <v/>
      </c>
      <c r="C969" s="13" t="str">
        <f>IF($A969="","",[1]!thsiFinD("ths_adjustment_nv_fund",C$3,$A969))</f>
        <v/>
      </c>
      <c r="D969" s="13" t="str">
        <f>IF($A969="","",[1]!thsiFinD("ths_adjustment_nv_fund",D$3,$A969))</f>
        <v/>
      </c>
      <c r="E969" s="13" t="str">
        <f>IF($A969="","",[1]!thsiFinD("ths_adjustment_nv_fund",E$3,$A969))</f>
        <v/>
      </c>
      <c r="F969" s="13" t="str">
        <f>IF($A969="","",[1]!thsiFinD("ths_adjustment_nv_fund",F$3,$A969))</f>
        <v/>
      </c>
      <c r="G969" s="13" t="str">
        <f>IF($A969="","",[1]!thsiFinD("ths_adjustment_nv_fund",G$3,$A969))</f>
        <v/>
      </c>
      <c r="H969" s="13" t="str">
        <f>IF($A969="","",[1]!thsiFinD("ths_adjustment_nv_fund",H$3,$A969))</f>
        <v/>
      </c>
      <c r="I969" s="13" t="str">
        <f>IF($A969="","",[1]!thsiFinD("ths_adjustment_nv_fund",I$3,$A969))</f>
        <v/>
      </c>
      <c r="J969" s="13" t="str">
        <f>IF($A969="","",[1]!thsiFinD("ths_adjustment_nv_fund",J$3,$A969))</f>
        <v/>
      </c>
      <c r="K969" s="13" t="str">
        <f>IF($A969="","",[1]!thsiFinD("ths_adjustment_nv_fund",K$3,$A969))</f>
        <v/>
      </c>
      <c r="L969" s="13" t="str">
        <f>IF($A969="","",[1]!thsiFinD("ths_adjustment_nv_fund",L$3,$A969))</f>
        <v/>
      </c>
      <c r="M969" s="13" t="str">
        <f>IF($A969="","",[1]!thsiFinD("ths_adjustment_nv_fund",M$3,$A969))</f>
        <v/>
      </c>
      <c r="N969" s="13" t="str">
        <f>IF($A969="","",[1]!thsiFinD("ths_adjustment_nv_fund",N$3,$A969))</f>
        <v/>
      </c>
      <c r="O969" s="13" t="str">
        <f>IF($A969="","",[1]!thsiFinD("ths_adjustment_nv_fund",O$3,$A969))</f>
        <v/>
      </c>
      <c r="P969" s="13" t="str">
        <f>IF($A969="","",[1]!thsiFinD("ths_adjustment_nv_fund",P$3,$A969))</f>
        <v/>
      </c>
      <c r="Q969" s="13" t="str">
        <f>IF($A969="","",[1]!thsiFinD("ths_adjustment_nv_fund",Q$3,$A969))</f>
        <v/>
      </c>
      <c r="R969" s="13" t="str">
        <f>IF($A969="","",[1]!thsiFinD("ths_adjustment_nv_fund",R$3,$A969))</f>
        <v/>
      </c>
      <c r="S969" s="13" t="str">
        <f>IF($A969="","",[1]!thsiFinD("ths_adjustment_nv_fund",S$3,$A969))</f>
        <v/>
      </c>
      <c r="T969" s="13" t="str">
        <f>IF($A969="","",[1]!thsiFinD("ths_adjustment_nv_fund",T$3,$A969))</f>
        <v/>
      </c>
      <c r="U969" s="13" t="str">
        <f>IF($A969="","",[1]!thsiFinD("ths_adjustment_nv_fund",U$3,$A969))</f>
        <v/>
      </c>
      <c r="V969" s="13" t="str">
        <f>IF($A969="","",[1]!thsiFinD("ths_adjustment_nv_fund",V$3,$A969))</f>
        <v/>
      </c>
      <c r="W969" s="13" t="str">
        <f>IF($A969="","",[1]!thsiFinD("ths_adjustment_nv_fund",W$3,$A969))</f>
        <v/>
      </c>
      <c r="X969" s="13" t="str">
        <f>IF($A969="","",[1]!thsiFinD("ths_adjustment_nv_fund",X$3,$A969))</f>
        <v/>
      </c>
      <c r="Y969" s="13" t="str">
        <f>IF($A969="","",[1]!thsiFinD("ths_adjustment_nv_fund",Y$3,$A969))</f>
        <v/>
      </c>
      <c r="Z969" s="13" t="str">
        <f>IF($A969="","",[1]!thsiFinD("ths_adjustment_nv_fund",Z$3,$A969))</f>
        <v/>
      </c>
      <c r="AA969" s="13" t="str">
        <f>IF($A969="","",[1]!thsiFinD("ths_adjustment_nv_fund",AA$3,$A969))</f>
        <v/>
      </c>
      <c r="AB969" s="13" t="str">
        <f>IF($A969="","",[1]!thsiFinD("ths_adjustment_nv_fund",AB$3,$A969))</f>
        <v/>
      </c>
    </row>
    <row r="970" spans="2:28">
      <c r="B970" s="13" t="str">
        <f>IF($A970="","",[1]!thsiFinD("ths_adjustment_nv_fund",B$3,$A970))</f>
        <v/>
      </c>
      <c r="C970" s="13" t="str">
        <f>IF($A970="","",[1]!thsiFinD("ths_adjustment_nv_fund",C$3,$A970))</f>
        <v/>
      </c>
      <c r="D970" s="13" t="str">
        <f>IF($A970="","",[1]!thsiFinD("ths_adjustment_nv_fund",D$3,$A970))</f>
        <v/>
      </c>
      <c r="E970" s="13" t="str">
        <f>IF($A970="","",[1]!thsiFinD("ths_adjustment_nv_fund",E$3,$A970))</f>
        <v/>
      </c>
      <c r="F970" s="13" t="str">
        <f>IF($A970="","",[1]!thsiFinD("ths_adjustment_nv_fund",F$3,$A970))</f>
        <v/>
      </c>
      <c r="G970" s="13" t="str">
        <f>IF($A970="","",[1]!thsiFinD("ths_adjustment_nv_fund",G$3,$A970))</f>
        <v/>
      </c>
      <c r="H970" s="13" t="str">
        <f>IF($A970="","",[1]!thsiFinD("ths_adjustment_nv_fund",H$3,$A970))</f>
        <v/>
      </c>
      <c r="I970" s="13" t="str">
        <f>IF($A970="","",[1]!thsiFinD("ths_adjustment_nv_fund",I$3,$A970))</f>
        <v/>
      </c>
      <c r="J970" s="13" t="str">
        <f>IF($A970="","",[1]!thsiFinD("ths_adjustment_nv_fund",J$3,$A970))</f>
        <v/>
      </c>
      <c r="K970" s="13" t="str">
        <f>IF($A970="","",[1]!thsiFinD("ths_adjustment_nv_fund",K$3,$A970))</f>
        <v/>
      </c>
      <c r="L970" s="13" t="str">
        <f>IF($A970="","",[1]!thsiFinD("ths_adjustment_nv_fund",L$3,$A970))</f>
        <v/>
      </c>
      <c r="M970" s="13" t="str">
        <f>IF($A970="","",[1]!thsiFinD("ths_adjustment_nv_fund",M$3,$A970))</f>
        <v/>
      </c>
      <c r="N970" s="13" t="str">
        <f>IF($A970="","",[1]!thsiFinD("ths_adjustment_nv_fund",N$3,$A970))</f>
        <v/>
      </c>
      <c r="O970" s="13" t="str">
        <f>IF($A970="","",[1]!thsiFinD("ths_adjustment_nv_fund",O$3,$A970))</f>
        <v/>
      </c>
      <c r="P970" s="13" t="str">
        <f>IF($A970="","",[1]!thsiFinD("ths_adjustment_nv_fund",P$3,$A970))</f>
        <v/>
      </c>
      <c r="Q970" s="13" t="str">
        <f>IF($A970="","",[1]!thsiFinD("ths_adjustment_nv_fund",Q$3,$A970))</f>
        <v/>
      </c>
      <c r="R970" s="13" t="str">
        <f>IF($A970="","",[1]!thsiFinD("ths_adjustment_nv_fund",R$3,$A970))</f>
        <v/>
      </c>
      <c r="S970" s="13" t="str">
        <f>IF($A970="","",[1]!thsiFinD("ths_adjustment_nv_fund",S$3,$A970))</f>
        <v/>
      </c>
      <c r="T970" s="13" t="str">
        <f>IF($A970="","",[1]!thsiFinD("ths_adjustment_nv_fund",T$3,$A970))</f>
        <v/>
      </c>
      <c r="U970" s="13" t="str">
        <f>IF($A970="","",[1]!thsiFinD("ths_adjustment_nv_fund",U$3,$A970))</f>
        <v/>
      </c>
      <c r="V970" s="13" t="str">
        <f>IF($A970="","",[1]!thsiFinD("ths_adjustment_nv_fund",V$3,$A970))</f>
        <v/>
      </c>
      <c r="W970" s="13" t="str">
        <f>IF($A970="","",[1]!thsiFinD("ths_adjustment_nv_fund",W$3,$A970))</f>
        <v/>
      </c>
      <c r="X970" s="13" t="str">
        <f>IF($A970="","",[1]!thsiFinD("ths_adjustment_nv_fund",X$3,$A970))</f>
        <v/>
      </c>
      <c r="Y970" s="13" t="str">
        <f>IF($A970="","",[1]!thsiFinD("ths_adjustment_nv_fund",Y$3,$A970))</f>
        <v/>
      </c>
      <c r="Z970" s="13" t="str">
        <f>IF($A970="","",[1]!thsiFinD("ths_adjustment_nv_fund",Z$3,$A970))</f>
        <v/>
      </c>
      <c r="AA970" s="13" t="str">
        <f>IF($A970="","",[1]!thsiFinD("ths_adjustment_nv_fund",AA$3,$A970))</f>
        <v/>
      </c>
      <c r="AB970" s="13" t="str">
        <f>IF($A970="","",[1]!thsiFinD("ths_adjustment_nv_fund",AB$3,$A970))</f>
        <v/>
      </c>
    </row>
    <row r="971" spans="2:28">
      <c r="B971" s="13" t="str">
        <f>IF($A971="","",[1]!thsiFinD("ths_adjustment_nv_fund",B$3,$A971))</f>
        <v/>
      </c>
      <c r="C971" s="13" t="str">
        <f>IF($A971="","",[1]!thsiFinD("ths_adjustment_nv_fund",C$3,$A971))</f>
        <v/>
      </c>
      <c r="D971" s="13" t="str">
        <f>IF($A971="","",[1]!thsiFinD("ths_adjustment_nv_fund",D$3,$A971))</f>
        <v/>
      </c>
      <c r="E971" s="13" t="str">
        <f>IF($A971="","",[1]!thsiFinD("ths_adjustment_nv_fund",E$3,$A971))</f>
        <v/>
      </c>
      <c r="F971" s="13" t="str">
        <f>IF($A971="","",[1]!thsiFinD("ths_adjustment_nv_fund",F$3,$A971))</f>
        <v/>
      </c>
      <c r="G971" s="13" t="str">
        <f>IF($A971="","",[1]!thsiFinD("ths_adjustment_nv_fund",G$3,$A971))</f>
        <v/>
      </c>
      <c r="H971" s="13" t="str">
        <f>IF($A971="","",[1]!thsiFinD("ths_adjustment_nv_fund",H$3,$A971))</f>
        <v/>
      </c>
      <c r="I971" s="13" t="str">
        <f>IF($A971="","",[1]!thsiFinD("ths_adjustment_nv_fund",I$3,$A971))</f>
        <v/>
      </c>
      <c r="J971" s="13" t="str">
        <f>IF($A971="","",[1]!thsiFinD("ths_adjustment_nv_fund",J$3,$A971))</f>
        <v/>
      </c>
      <c r="K971" s="13" t="str">
        <f>IF($A971="","",[1]!thsiFinD("ths_adjustment_nv_fund",K$3,$A971))</f>
        <v/>
      </c>
      <c r="L971" s="13" t="str">
        <f>IF($A971="","",[1]!thsiFinD("ths_adjustment_nv_fund",L$3,$A971))</f>
        <v/>
      </c>
      <c r="M971" s="13" t="str">
        <f>IF($A971="","",[1]!thsiFinD("ths_adjustment_nv_fund",M$3,$A971))</f>
        <v/>
      </c>
      <c r="N971" s="13" t="str">
        <f>IF($A971="","",[1]!thsiFinD("ths_adjustment_nv_fund",N$3,$A971))</f>
        <v/>
      </c>
      <c r="O971" s="13" t="str">
        <f>IF($A971="","",[1]!thsiFinD("ths_adjustment_nv_fund",O$3,$A971))</f>
        <v/>
      </c>
      <c r="P971" s="13" t="str">
        <f>IF($A971="","",[1]!thsiFinD("ths_adjustment_nv_fund",P$3,$A971))</f>
        <v/>
      </c>
      <c r="Q971" s="13" t="str">
        <f>IF($A971="","",[1]!thsiFinD("ths_adjustment_nv_fund",Q$3,$A971))</f>
        <v/>
      </c>
      <c r="R971" s="13" t="str">
        <f>IF($A971="","",[1]!thsiFinD("ths_adjustment_nv_fund",R$3,$A971))</f>
        <v/>
      </c>
      <c r="S971" s="13" t="str">
        <f>IF($A971="","",[1]!thsiFinD("ths_adjustment_nv_fund",S$3,$A971))</f>
        <v/>
      </c>
      <c r="T971" s="13" t="str">
        <f>IF($A971="","",[1]!thsiFinD("ths_adjustment_nv_fund",T$3,$A971))</f>
        <v/>
      </c>
      <c r="U971" s="13" t="str">
        <f>IF($A971="","",[1]!thsiFinD("ths_adjustment_nv_fund",U$3,$A971))</f>
        <v/>
      </c>
      <c r="V971" s="13" t="str">
        <f>IF($A971="","",[1]!thsiFinD("ths_adjustment_nv_fund",V$3,$A971))</f>
        <v/>
      </c>
      <c r="W971" s="13" t="str">
        <f>IF($A971="","",[1]!thsiFinD("ths_adjustment_nv_fund",W$3,$A971))</f>
        <v/>
      </c>
      <c r="X971" s="13" t="str">
        <f>IF($A971="","",[1]!thsiFinD("ths_adjustment_nv_fund",X$3,$A971))</f>
        <v/>
      </c>
      <c r="Y971" s="13" t="str">
        <f>IF($A971="","",[1]!thsiFinD("ths_adjustment_nv_fund",Y$3,$A971))</f>
        <v/>
      </c>
      <c r="Z971" s="13" t="str">
        <f>IF($A971="","",[1]!thsiFinD("ths_adjustment_nv_fund",Z$3,$A971))</f>
        <v/>
      </c>
      <c r="AA971" s="13" t="str">
        <f>IF($A971="","",[1]!thsiFinD("ths_adjustment_nv_fund",AA$3,$A971))</f>
        <v/>
      </c>
      <c r="AB971" s="13" t="str">
        <f>IF($A971="","",[1]!thsiFinD("ths_adjustment_nv_fund",AB$3,$A971))</f>
        <v/>
      </c>
    </row>
    <row r="972" spans="2:28">
      <c r="B972" s="13" t="str">
        <f>IF($A972="","",[1]!thsiFinD("ths_adjustment_nv_fund",B$3,$A972))</f>
        <v/>
      </c>
      <c r="C972" s="13" t="str">
        <f>IF($A972="","",[1]!thsiFinD("ths_adjustment_nv_fund",C$3,$A972))</f>
        <v/>
      </c>
      <c r="D972" s="13" t="str">
        <f>IF($A972="","",[1]!thsiFinD("ths_adjustment_nv_fund",D$3,$A972))</f>
        <v/>
      </c>
      <c r="E972" s="13" t="str">
        <f>IF($A972="","",[1]!thsiFinD("ths_adjustment_nv_fund",E$3,$A972))</f>
        <v/>
      </c>
      <c r="F972" s="13" t="str">
        <f>IF($A972="","",[1]!thsiFinD("ths_adjustment_nv_fund",F$3,$A972))</f>
        <v/>
      </c>
      <c r="G972" s="13" t="str">
        <f>IF($A972="","",[1]!thsiFinD("ths_adjustment_nv_fund",G$3,$A972))</f>
        <v/>
      </c>
      <c r="H972" s="13" t="str">
        <f>IF($A972="","",[1]!thsiFinD("ths_adjustment_nv_fund",H$3,$A972))</f>
        <v/>
      </c>
      <c r="I972" s="13" t="str">
        <f>IF($A972="","",[1]!thsiFinD("ths_adjustment_nv_fund",I$3,$A972))</f>
        <v/>
      </c>
      <c r="J972" s="13" t="str">
        <f>IF($A972="","",[1]!thsiFinD("ths_adjustment_nv_fund",J$3,$A972))</f>
        <v/>
      </c>
      <c r="K972" s="13" t="str">
        <f>IF($A972="","",[1]!thsiFinD("ths_adjustment_nv_fund",K$3,$A972))</f>
        <v/>
      </c>
      <c r="L972" s="13" t="str">
        <f>IF($A972="","",[1]!thsiFinD("ths_adjustment_nv_fund",L$3,$A972))</f>
        <v/>
      </c>
      <c r="M972" s="13" t="str">
        <f>IF($A972="","",[1]!thsiFinD("ths_adjustment_nv_fund",M$3,$A972))</f>
        <v/>
      </c>
      <c r="N972" s="13" t="str">
        <f>IF($A972="","",[1]!thsiFinD("ths_adjustment_nv_fund",N$3,$A972))</f>
        <v/>
      </c>
      <c r="O972" s="13" t="str">
        <f>IF($A972="","",[1]!thsiFinD("ths_adjustment_nv_fund",O$3,$A972))</f>
        <v/>
      </c>
      <c r="P972" s="13" t="str">
        <f>IF($A972="","",[1]!thsiFinD("ths_adjustment_nv_fund",P$3,$A972))</f>
        <v/>
      </c>
      <c r="Q972" s="13" t="str">
        <f>IF($A972="","",[1]!thsiFinD("ths_adjustment_nv_fund",Q$3,$A972))</f>
        <v/>
      </c>
      <c r="R972" s="13" t="str">
        <f>IF($A972="","",[1]!thsiFinD("ths_adjustment_nv_fund",R$3,$A972))</f>
        <v/>
      </c>
      <c r="S972" s="13" t="str">
        <f>IF($A972="","",[1]!thsiFinD("ths_adjustment_nv_fund",S$3,$A972))</f>
        <v/>
      </c>
      <c r="T972" s="13" t="str">
        <f>IF($A972="","",[1]!thsiFinD("ths_adjustment_nv_fund",T$3,$A972))</f>
        <v/>
      </c>
      <c r="U972" s="13" t="str">
        <f>IF($A972="","",[1]!thsiFinD("ths_adjustment_nv_fund",U$3,$A972))</f>
        <v/>
      </c>
      <c r="V972" s="13" t="str">
        <f>IF($A972="","",[1]!thsiFinD("ths_adjustment_nv_fund",V$3,$A972))</f>
        <v/>
      </c>
      <c r="W972" s="13" t="str">
        <f>IF($A972="","",[1]!thsiFinD("ths_adjustment_nv_fund",W$3,$A972))</f>
        <v/>
      </c>
      <c r="X972" s="13" t="str">
        <f>IF($A972="","",[1]!thsiFinD("ths_adjustment_nv_fund",X$3,$A972))</f>
        <v/>
      </c>
      <c r="Y972" s="13" t="str">
        <f>IF($A972="","",[1]!thsiFinD("ths_adjustment_nv_fund",Y$3,$A972))</f>
        <v/>
      </c>
      <c r="Z972" s="13" t="str">
        <f>IF($A972="","",[1]!thsiFinD("ths_adjustment_nv_fund",Z$3,$A972))</f>
        <v/>
      </c>
      <c r="AA972" s="13" t="str">
        <f>IF($A972="","",[1]!thsiFinD("ths_adjustment_nv_fund",AA$3,$A972))</f>
        <v/>
      </c>
      <c r="AB972" s="13" t="str">
        <f>IF($A972="","",[1]!thsiFinD("ths_adjustment_nv_fund",AB$3,$A972))</f>
        <v/>
      </c>
    </row>
    <row r="973" spans="2:28">
      <c r="B973" s="13" t="str">
        <f>IF($A973="","",[1]!thsiFinD("ths_adjustment_nv_fund",B$3,$A973))</f>
        <v/>
      </c>
      <c r="C973" s="13" t="str">
        <f>IF($A973="","",[1]!thsiFinD("ths_adjustment_nv_fund",C$3,$A973))</f>
        <v/>
      </c>
      <c r="D973" s="13" t="str">
        <f>IF($A973="","",[1]!thsiFinD("ths_adjustment_nv_fund",D$3,$A973))</f>
        <v/>
      </c>
      <c r="E973" s="13" t="str">
        <f>IF($A973="","",[1]!thsiFinD("ths_adjustment_nv_fund",E$3,$A973))</f>
        <v/>
      </c>
      <c r="F973" s="13" t="str">
        <f>IF($A973="","",[1]!thsiFinD("ths_adjustment_nv_fund",F$3,$A973))</f>
        <v/>
      </c>
      <c r="G973" s="13" t="str">
        <f>IF($A973="","",[1]!thsiFinD("ths_adjustment_nv_fund",G$3,$A973))</f>
        <v/>
      </c>
      <c r="H973" s="13" t="str">
        <f>IF($A973="","",[1]!thsiFinD("ths_adjustment_nv_fund",H$3,$A973))</f>
        <v/>
      </c>
      <c r="I973" s="13" t="str">
        <f>IF($A973="","",[1]!thsiFinD("ths_adjustment_nv_fund",I$3,$A973))</f>
        <v/>
      </c>
      <c r="J973" s="13" t="str">
        <f>IF($A973="","",[1]!thsiFinD("ths_adjustment_nv_fund",J$3,$A973))</f>
        <v/>
      </c>
      <c r="K973" s="13" t="str">
        <f>IF($A973="","",[1]!thsiFinD("ths_adjustment_nv_fund",K$3,$A973))</f>
        <v/>
      </c>
      <c r="L973" s="13" t="str">
        <f>IF($A973="","",[1]!thsiFinD("ths_adjustment_nv_fund",L$3,$A973))</f>
        <v/>
      </c>
      <c r="M973" s="13" t="str">
        <f>IF($A973="","",[1]!thsiFinD("ths_adjustment_nv_fund",M$3,$A973))</f>
        <v/>
      </c>
      <c r="N973" s="13" t="str">
        <f>IF($A973="","",[1]!thsiFinD("ths_adjustment_nv_fund",N$3,$A973))</f>
        <v/>
      </c>
      <c r="O973" s="13" t="str">
        <f>IF($A973="","",[1]!thsiFinD("ths_adjustment_nv_fund",O$3,$A973))</f>
        <v/>
      </c>
      <c r="P973" s="13" t="str">
        <f>IF($A973="","",[1]!thsiFinD("ths_adjustment_nv_fund",P$3,$A973))</f>
        <v/>
      </c>
      <c r="Q973" s="13" t="str">
        <f>IF($A973="","",[1]!thsiFinD("ths_adjustment_nv_fund",Q$3,$A973))</f>
        <v/>
      </c>
      <c r="R973" s="13" t="str">
        <f>IF($A973="","",[1]!thsiFinD("ths_adjustment_nv_fund",R$3,$A973))</f>
        <v/>
      </c>
      <c r="S973" s="13" t="str">
        <f>IF($A973="","",[1]!thsiFinD("ths_adjustment_nv_fund",S$3,$A973))</f>
        <v/>
      </c>
      <c r="T973" s="13" t="str">
        <f>IF($A973="","",[1]!thsiFinD("ths_adjustment_nv_fund",T$3,$A973))</f>
        <v/>
      </c>
      <c r="U973" s="13" t="str">
        <f>IF($A973="","",[1]!thsiFinD("ths_adjustment_nv_fund",U$3,$A973))</f>
        <v/>
      </c>
      <c r="V973" s="13" t="str">
        <f>IF($A973="","",[1]!thsiFinD("ths_adjustment_nv_fund",V$3,$A973))</f>
        <v/>
      </c>
      <c r="W973" s="13" t="str">
        <f>IF($A973="","",[1]!thsiFinD("ths_adjustment_nv_fund",W$3,$A973))</f>
        <v/>
      </c>
      <c r="X973" s="13" t="str">
        <f>IF($A973="","",[1]!thsiFinD("ths_adjustment_nv_fund",X$3,$A973))</f>
        <v/>
      </c>
      <c r="Y973" s="13" t="str">
        <f>IF($A973="","",[1]!thsiFinD("ths_adjustment_nv_fund",Y$3,$A973))</f>
        <v/>
      </c>
      <c r="Z973" s="13" t="str">
        <f>IF($A973="","",[1]!thsiFinD("ths_adjustment_nv_fund",Z$3,$A973))</f>
        <v/>
      </c>
      <c r="AA973" s="13" t="str">
        <f>IF($A973="","",[1]!thsiFinD("ths_adjustment_nv_fund",AA$3,$A973))</f>
        <v/>
      </c>
      <c r="AB973" s="13" t="str">
        <f>IF($A973="","",[1]!thsiFinD("ths_adjustment_nv_fund",AB$3,$A973))</f>
        <v/>
      </c>
    </row>
    <row r="974" spans="2:28">
      <c r="B974" s="13" t="str">
        <f>IF($A974="","",[1]!thsiFinD("ths_adjustment_nv_fund",B$3,$A974))</f>
        <v/>
      </c>
      <c r="C974" s="13" t="str">
        <f>IF($A974="","",[1]!thsiFinD("ths_adjustment_nv_fund",C$3,$A974))</f>
        <v/>
      </c>
      <c r="D974" s="13" t="str">
        <f>IF($A974="","",[1]!thsiFinD("ths_adjustment_nv_fund",D$3,$A974))</f>
        <v/>
      </c>
      <c r="E974" s="13" t="str">
        <f>IF($A974="","",[1]!thsiFinD("ths_adjustment_nv_fund",E$3,$A974))</f>
        <v/>
      </c>
      <c r="F974" s="13" t="str">
        <f>IF($A974="","",[1]!thsiFinD("ths_adjustment_nv_fund",F$3,$A974))</f>
        <v/>
      </c>
      <c r="G974" s="13" t="str">
        <f>IF($A974="","",[1]!thsiFinD("ths_adjustment_nv_fund",G$3,$A974))</f>
        <v/>
      </c>
      <c r="H974" s="13" t="str">
        <f>IF($A974="","",[1]!thsiFinD("ths_adjustment_nv_fund",H$3,$A974))</f>
        <v/>
      </c>
      <c r="I974" s="13" t="str">
        <f>IF($A974="","",[1]!thsiFinD("ths_adjustment_nv_fund",I$3,$A974))</f>
        <v/>
      </c>
      <c r="J974" s="13" t="str">
        <f>IF($A974="","",[1]!thsiFinD("ths_adjustment_nv_fund",J$3,$A974))</f>
        <v/>
      </c>
      <c r="K974" s="13" t="str">
        <f>IF($A974="","",[1]!thsiFinD("ths_adjustment_nv_fund",K$3,$A974))</f>
        <v/>
      </c>
      <c r="L974" s="13" t="str">
        <f>IF($A974="","",[1]!thsiFinD("ths_adjustment_nv_fund",L$3,$A974))</f>
        <v/>
      </c>
      <c r="M974" s="13" t="str">
        <f>IF($A974="","",[1]!thsiFinD("ths_adjustment_nv_fund",M$3,$A974))</f>
        <v/>
      </c>
      <c r="N974" s="13" t="str">
        <f>IF($A974="","",[1]!thsiFinD("ths_adjustment_nv_fund",N$3,$A974))</f>
        <v/>
      </c>
      <c r="O974" s="13" t="str">
        <f>IF($A974="","",[1]!thsiFinD("ths_adjustment_nv_fund",O$3,$A974))</f>
        <v/>
      </c>
      <c r="P974" s="13" t="str">
        <f>IF($A974="","",[1]!thsiFinD("ths_adjustment_nv_fund",P$3,$A974))</f>
        <v/>
      </c>
      <c r="Q974" s="13" t="str">
        <f>IF($A974="","",[1]!thsiFinD("ths_adjustment_nv_fund",Q$3,$A974))</f>
        <v/>
      </c>
      <c r="R974" s="13" t="str">
        <f>IF($A974="","",[1]!thsiFinD("ths_adjustment_nv_fund",R$3,$A974))</f>
        <v/>
      </c>
      <c r="S974" s="13" t="str">
        <f>IF($A974="","",[1]!thsiFinD("ths_adjustment_nv_fund",S$3,$A974))</f>
        <v/>
      </c>
      <c r="T974" s="13" t="str">
        <f>IF($A974="","",[1]!thsiFinD("ths_adjustment_nv_fund",T$3,$A974))</f>
        <v/>
      </c>
      <c r="U974" s="13" t="str">
        <f>IF($A974="","",[1]!thsiFinD("ths_adjustment_nv_fund",U$3,$A974))</f>
        <v/>
      </c>
      <c r="V974" s="13" t="str">
        <f>IF($A974="","",[1]!thsiFinD("ths_adjustment_nv_fund",V$3,$A974))</f>
        <v/>
      </c>
      <c r="W974" s="13" t="str">
        <f>IF($A974="","",[1]!thsiFinD("ths_adjustment_nv_fund",W$3,$A974))</f>
        <v/>
      </c>
      <c r="X974" s="13" t="str">
        <f>IF($A974="","",[1]!thsiFinD("ths_adjustment_nv_fund",X$3,$A974))</f>
        <v/>
      </c>
      <c r="Y974" s="13" t="str">
        <f>IF($A974="","",[1]!thsiFinD("ths_adjustment_nv_fund",Y$3,$A974))</f>
        <v/>
      </c>
      <c r="Z974" s="13" t="str">
        <f>IF($A974="","",[1]!thsiFinD("ths_adjustment_nv_fund",Z$3,$A974))</f>
        <v/>
      </c>
      <c r="AA974" s="13" t="str">
        <f>IF($A974="","",[1]!thsiFinD("ths_adjustment_nv_fund",AA$3,$A974))</f>
        <v/>
      </c>
      <c r="AB974" s="13" t="str">
        <f>IF($A974="","",[1]!thsiFinD("ths_adjustment_nv_fund",AB$3,$A974))</f>
        <v/>
      </c>
    </row>
    <row r="975" spans="2:28">
      <c r="B975" s="13" t="str">
        <f>IF($A975="","",[1]!thsiFinD("ths_adjustment_nv_fund",B$3,$A975))</f>
        <v/>
      </c>
      <c r="C975" s="13" t="str">
        <f>IF($A975="","",[1]!thsiFinD("ths_adjustment_nv_fund",C$3,$A975))</f>
        <v/>
      </c>
      <c r="D975" s="13" t="str">
        <f>IF($A975="","",[1]!thsiFinD("ths_adjustment_nv_fund",D$3,$A975))</f>
        <v/>
      </c>
      <c r="E975" s="13" t="str">
        <f>IF($A975="","",[1]!thsiFinD("ths_adjustment_nv_fund",E$3,$A975))</f>
        <v/>
      </c>
      <c r="F975" s="13" t="str">
        <f>IF($A975="","",[1]!thsiFinD("ths_adjustment_nv_fund",F$3,$A975))</f>
        <v/>
      </c>
      <c r="G975" s="13" t="str">
        <f>IF($A975="","",[1]!thsiFinD("ths_adjustment_nv_fund",G$3,$A975))</f>
        <v/>
      </c>
      <c r="H975" s="13" t="str">
        <f>IF($A975="","",[1]!thsiFinD("ths_adjustment_nv_fund",H$3,$A975))</f>
        <v/>
      </c>
      <c r="I975" s="13" t="str">
        <f>IF($A975="","",[1]!thsiFinD("ths_adjustment_nv_fund",I$3,$A975))</f>
        <v/>
      </c>
      <c r="J975" s="13" t="str">
        <f>IF($A975="","",[1]!thsiFinD("ths_adjustment_nv_fund",J$3,$A975))</f>
        <v/>
      </c>
      <c r="K975" s="13" t="str">
        <f>IF($A975="","",[1]!thsiFinD("ths_adjustment_nv_fund",K$3,$A975))</f>
        <v/>
      </c>
      <c r="L975" s="13" t="str">
        <f>IF($A975="","",[1]!thsiFinD("ths_adjustment_nv_fund",L$3,$A975))</f>
        <v/>
      </c>
      <c r="M975" s="13" t="str">
        <f>IF($A975="","",[1]!thsiFinD("ths_adjustment_nv_fund",M$3,$A975))</f>
        <v/>
      </c>
      <c r="N975" s="13" t="str">
        <f>IF($A975="","",[1]!thsiFinD("ths_adjustment_nv_fund",N$3,$A975))</f>
        <v/>
      </c>
      <c r="O975" s="13" t="str">
        <f>IF($A975="","",[1]!thsiFinD("ths_adjustment_nv_fund",O$3,$A975))</f>
        <v/>
      </c>
      <c r="P975" s="13" t="str">
        <f>IF($A975="","",[1]!thsiFinD("ths_adjustment_nv_fund",P$3,$A975))</f>
        <v/>
      </c>
      <c r="Q975" s="13" t="str">
        <f>IF($A975="","",[1]!thsiFinD("ths_adjustment_nv_fund",Q$3,$A975))</f>
        <v/>
      </c>
      <c r="R975" s="13" t="str">
        <f>IF($A975="","",[1]!thsiFinD("ths_adjustment_nv_fund",R$3,$A975))</f>
        <v/>
      </c>
      <c r="S975" s="13" t="str">
        <f>IF($A975="","",[1]!thsiFinD("ths_adjustment_nv_fund",S$3,$A975))</f>
        <v/>
      </c>
      <c r="T975" s="13" t="str">
        <f>IF($A975="","",[1]!thsiFinD("ths_adjustment_nv_fund",T$3,$A975))</f>
        <v/>
      </c>
      <c r="U975" s="13" t="str">
        <f>IF($A975="","",[1]!thsiFinD("ths_adjustment_nv_fund",U$3,$A975))</f>
        <v/>
      </c>
      <c r="V975" s="13" t="str">
        <f>IF($A975="","",[1]!thsiFinD("ths_adjustment_nv_fund",V$3,$A975))</f>
        <v/>
      </c>
      <c r="W975" s="13" t="str">
        <f>IF($A975="","",[1]!thsiFinD("ths_adjustment_nv_fund",W$3,$A975))</f>
        <v/>
      </c>
      <c r="X975" s="13" t="str">
        <f>IF($A975="","",[1]!thsiFinD("ths_adjustment_nv_fund",X$3,$A975))</f>
        <v/>
      </c>
      <c r="Y975" s="13" t="str">
        <f>IF($A975="","",[1]!thsiFinD("ths_adjustment_nv_fund",Y$3,$A975))</f>
        <v/>
      </c>
      <c r="Z975" s="13" t="str">
        <f>IF($A975="","",[1]!thsiFinD("ths_adjustment_nv_fund",Z$3,$A975))</f>
        <v/>
      </c>
      <c r="AA975" s="13" t="str">
        <f>IF($A975="","",[1]!thsiFinD("ths_adjustment_nv_fund",AA$3,$A975))</f>
        <v/>
      </c>
      <c r="AB975" s="13" t="str">
        <f>IF($A975="","",[1]!thsiFinD("ths_adjustment_nv_fund",AB$3,$A975))</f>
        <v/>
      </c>
    </row>
    <row r="976" spans="2:28">
      <c r="B976" s="13" t="str">
        <f>IF($A976="","",[1]!thsiFinD("ths_adjustment_nv_fund",B$3,$A976))</f>
        <v/>
      </c>
      <c r="C976" s="13" t="str">
        <f>IF($A976="","",[1]!thsiFinD("ths_adjustment_nv_fund",C$3,$A976))</f>
        <v/>
      </c>
      <c r="D976" s="13" t="str">
        <f>IF($A976="","",[1]!thsiFinD("ths_adjustment_nv_fund",D$3,$A976))</f>
        <v/>
      </c>
      <c r="E976" s="13" t="str">
        <f>IF($A976="","",[1]!thsiFinD("ths_adjustment_nv_fund",E$3,$A976))</f>
        <v/>
      </c>
      <c r="F976" s="13" t="str">
        <f>IF($A976="","",[1]!thsiFinD("ths_adjustment_nv_fund",F$3,$A976))</f>
        <v/>
      </c>
      <c r="G976" s="13" t="str">
        <f>IF($A976="","",[1]!thsiFinD("ths_adjustment_nv_fund",G$3,$A976))</f>
        <v/>
      </c>
      <c r="H976" s="13" t="str">
        <f>IF($A976="","",[1]!thsiFinD("ths_adjustment_nv_fund",H$3,$A976))</f>
        <v/>
      </c>
      <c r="I976" s="13" t="str">
        <f>IF($A976="","",[1]!thsiFinD("ths_adjustment_nv_fund",I$3,$A976))</f>
        <v/>
      </c>
      <c r="J976" s="13" t="str">
        <f>IF($A976="","",[1]!thsiFinD("ths_adjustment_nv_fund",J$3,$A976))</f>
        <v/>
      </c>
      <c r="K976" s="13" t="str">
        <f>IF($A976="","",[1]!thsiFinD("ths_adjustment_nv_fund",K$3,$A976))</f>
        <v/>
      </c>
      <c r="L976" s="13" t="str">
        <f>IF($A976="","",[1]!thsiFinD("ths_adjustment_nv_fund",L$3,$A976))</f>
        <v/>
      </c>
      <c r="M976" s="13" t="str">
        <f>IF($A976="","",[1]!thsiFinD("ths_adjustment_nv_fund",M$3,$A976))</f>
        <v/>
      </c>
      <c r="N976" s="13" t="str">
        <f>IF($A976="","",[1]!thsiFinD("ths_adjustment_nv_fund",N$3,$A976))</f>
        <v/>
      </c>
      <c r="O976" s="13" t="str">
        <f>IF($A976="","",[1]!thsiFinD("ths_adjustment_nv_fund",O$3,$A976))</f>
        <v/>
      </c>
      <c r="P976" s="13" t="str">
        <f>IF($A976="","",[1]!thsiFinD("ths_adjustment_nv_fund",P$3,$A976))</f>
        <v/>
      </c>
      <c r="Q976" s="13" t="str">
        <f>IF($A976="","",[1]!thsiFinD("ths_adjustment_nv_fund",Q$3,$A976))</f>
        <v/>
      </c>
      <c r="R976" s="13" t="str">
        <f>IF($A976="","",[1]!thsiFinD("ths_adjustment_nv_fund",R$3,$A976))</f>
        <v/>
      </c>
      <c r="S976" s="13" t="str">
        <f>IF($A976="","",[1]!thsiFinD("ths_adjustment_nv_fund",S$3,$A976))</f>
        <v/>
      </c>
      <c r="T976" s="13" t="str">
        <f>IF($A976="","",[1]!thsiFinD("ths_adjustment_nv_fund",T$3,$A976))</f>
        <v/>
      </c>
      <c r="U976" s="13" t="str">
        <f>IF($A976="","",[1]!thsiFinD("ths_adjustment_nv_fund",U$3,$A976))</f>
        <v/>
      </c>
      <c r="V976" s="13" t="str">
        <f>IF($A976="","",[1]!thsiFinD("ths_adjustment_nv_fund",V$3,$A976))</f>
        <v/>
      </c>
      <c r="W976" s="13" t="str">
        <f>IF($A976="","",[1]!thsiFinD("ths_adjustment_nv_fund",W$3,$A976))</f>
        <v/>
      </c>
      <c r="X976" s="13" t="str">
        <f>IF($A976="","",[1]!thsiFinD("ths_adjustment_nv_fund",X$3,$A976))</f>
        <v/>
      </c>
      <c r="Y976" s="13" t="str">
        <f>IF($A976="","",[1]!thsiFinD("ths_adjustment_nv_fund",Y$3,$A976))</f>
        <v/>
      </c>
      <c r="Z976" s="13" t="str">
        <f>IF($A976="","",[1]!thsiFinD("ths_adjustment_nv_fund",Z$3,$A976))</f>
        <v/>
      </c>
      <c r="AA976" s="13" t="str">
        <f>IF($A976="","",[1]!thsiFinD("ths_adjustment_nv_fund",AA$3,$A976))</f>
        <v/>
      </c>
      <c r="AB976" s="13" t="str">
        <f>IF($A976="","",[1]!thsiFinD("ths_adjustment_nv_fund",AB$3,$A976))</f>
        <v/>
      </c>
    </row>
    <row r="977" spans="2:28">
      <c r="B977" s="13" t="str">
        <f>IF($A977="","",[1]!thsiFinD("ths_adjustment_nv_fund",B$3,$A977))</f>
        <v/>
      </c>
      <c r="C977" s="13" t="str">
        <f>IF($A977="","",[1]!thsiFinD("ths_adjustment_nv_fund",C$3,$A977))</f>
        <v/>
      </c>
      <c r="D977" s="13" t="str">
        <f>IF($A977="","",[1]!thsiFinD("ths_adjustment_nv_fund",D$3,$A977))</f>
        <v/>
      </c>
      <c r="E977" s="13" t="str">
        <f>IF($A977="","",[1]!thsiFinD("ths_adjustment_nv_fund",E$3,$A977))</f>
        <v/>
      </c>
      <c r="F977" s="13" t="str">
        <f>IF($A977="","",[1]!thsiFinD("ths_adjustment_nv_fund",F$3,$A977))</f>
        <v/>
      </c>
      <c r="G977" s="13" t="str">
        <f>IF($A977="","",[1]!thsiFinD("ths_adjustment_nv_fund",G$3,$A977))</f>
        <v/>
      </c>
      <c r="H977" s="13" t="str">
        <f>IF($A977="","",[1]!thsiFinD("ths_adjustment_nv_fund",H$3,$A977))</f>
        <v/>
      </c>
      <c r="I977" s="13" t="str">
        <f>IF($A977="","",[1]!thsiFinD("ths_adjustment_nv_fund",I$3,$A977))</f>
        <v/>
      </c>
      <c r="J977" s="13" t="str">
        <f>IF($A977="","",[1]!thsiFinD("ths_adjustment_nv_fund",J$3,$A977))</f>
        <v/>
      </c>
      <c r="K977" s="13" t="str">
        <f>IF($A977="","",[1]!thsiFinD("ths_adjustment_nv_fund",K$3,$A977))</f>
        <v/>
      </c>
      <c r="L977" s="13" t="str">
        <f>IF($A977="","",[1]!thsiFinD("ths_adjustment_nv_fund",L$3,$A977))</f>
        <v/>
      </c>
      <c r="M977" s="13" t="str">
        <f>IF($A977="","",[1]!thsiFinD("ths_adjustment_nv_fund",M$3,$A977))</f>
        <v/>
      </c>
      <c r="N977" s="13" t="str">
        <f>IF($A977="","",[1]!thsiFinD("ths_adjustment_nv_fund",N$3,$A977))</f>
        <v/>
      </c>
      <c r="O977" s="13" t="str">
        <f>IF($A977="","",[1]!thsiFinD("ths_adjustment_nv_fund",O$3,$A977))</f>
        <v/>
      </c>
      <c r="P977" s="13" t="str">
        <f>IF($A977="","",[1]!thsiFinD("ths_adjustment_nv_fund",P$3,$A977))</f>
        <v/>
      </c>
      <c r="Q977" s="13" t="str">
        <f>IF($A977="","",[1]!thsiFinD("ths_adjustment_nv_fund",Q$3,$A977))</f>
        <v/>
      </c>
      <c r="R977" s="13" t="str">
        <f>IF($A977="","",[1]!thsiFinD("ths_adjustment_nv_fund",R$3,$A977))</f>
        <v/>
      </c>
      <c r="S977" s="13" t="str">
        <f>IF($A977="","",[1]!thsiFinD("ths_adjustment_nv_fund",S$3,$A977))</f>
        <v/>
      </c>
      <c r="T977" s="13" t="str">
        <f>IF($A977="","",[1]!thsiFinD("ths_adjustment_nv_fund",T$3,$A977))</f>
        <v/>
      </c>
      <c r="U977" s="13" t="str">
        <f>IF($A977="","",[1]!thsiFinD("ths_adjustment_nv_fund",U$3,$A977))</f>
        <v/>
      </c>
      <c r="V977" s="13" t="str">
        <f>IF($A977="","",[1]!thsiFinD("ths_adjustment_nv_fund",V$3,$A977))</f>
        <v/>
      </c>
      <c r="W977" s="13" t="str">
        <f>IF($A977="","",[1]!thsiFinD("ths_adjustment_nv_fund",W$3,$A977))</f>
        <v/>
      </c>
      <c r="X977" s="13" t="str">
        <f>IF($A977="","",[1]!thsiFinD("ths_adjustment_nv_fund",X$3,$A977))</f>
        <v/>
      </c>
      <c r="Y977" s="13" t="str">
        <f>IF($A977="","",[1]!thsiFinD("ths_adjustment_nv_fund",Y$3,$A977))</f>
        <v/>
      </c>
      <c r="Z977" s="13" t="str">
        <f>IF($A977="","",[1]!thsiFinD("ths_adjustment_nv_fund",Z$3,$A977))</f>
        <v/>
      </c>
      <c r="AA977" s="13" t="str">
        <f>IF($A977="","",[1]!thsiFinD("ths_adjustment_nv_fund",AA$3,$A977))</f>
        <v/>
      </c>
      <c r="AB977" s="13" t="str">
        <f>IF($A977="","",[1]!thsiFinD("ths_adjustment_nv_fund",AB$3,$A977))</f>
        <v/>
      </c>
    </row>
    <row r="978" spans="2:28">
      <c r="B978" s="13" t="str">
        <f>IF($A978="","",[1]!thsiFinD("ths_adjustment_nv_fund",B$3,$A978))</f>
        <v/>
      </c>
      <c r="C978" s="13" t="str">
        <f>IF($A978="","",[1]!thsiFinD("ths_adjustment_nv_fund",C$3,$A978))</f>
        <v/>
      </c>
      <c r="D978" s="13" t="str">
        <f>IF($A978="","",[1]!thsiFinD("ths_adjustment_nv_fund",D$3,$A978))</f>
        <v/>
      </c>
      <c r="E978" s="13" t="str">
        <f>IF($A978="","",[1]!thsiFinD("ths_adjustment_nv_fund",E$3,$A978))</f>
        <v/>
      </c>
      <c r="F978" s="13" t="str">
        <f>IF($A978="","",[1]!thsiFinD("ths_adjustment_nv_fund",F$3,$A978))</f>
        <v/>
      </c>
      <c r="G978" s="13" t="str">
        <f>IF($A978="","",[1]!thsiFinD("ths_adjustment_nv_fund",G$3,$A978))</f>
        <v/>
      </c>
      <c r="H978" s="13" t="str">
        <f>IF($A978="","",[1]!thsiFinD("ths_adjustment_nv_fund",H$3,$A978))</f>
        <v/>
      </c>
      <c r="I978" s="13" t="str">
        <f>IF($A978="","",[1]!thsiFinD("ths_adjustment_nv_fund",I$3,$A978))</f>
        <v/>
      </c>
      <c r="J978" s="13" t="str">
        <f>IF($A978="","",[1]!thsiFinD("ths_adjustment_nv_fund",J$3,$A978))</f>
        <v/>
      </c>
      <c r="K978" s="13" t="str">
        <f>IF($A978="","",[1]!thsiFinD("ths_adjustment_nv_fund",K$3,$A978))</f>
        <v/>
      </c>
      <c r="L978" s="13" t="str">
        <f>IF($A978="","",[1]!thsiFinD("ths_adjustment_nv_fund",L$3,$A978))</f>
        <v/>
      </c>
      <c r="M978" s="13" t="str">
        <f>IF($A978="","",[1]!thsiFinD("ths_adjustment_nv_fund",M$3,$A978))</f>
        <v/>
      </c>
      <c r="N978" s="13" t="str">
        <f>IF($A978="","",[1]!thsiFinD("ths_adjustment_nv_fund",N$3,$A978))</f>
        <v/>
      </c>
      <c r="O978" s="13" t="str">
        <f>IF($A978="","",[1]!thsiFinD("ths_adjustment_nv_fund",O$3,$A978))</f>
        <v/>
      </c>
      <c r="P978" s="13" t="str">
        <f>IF($A978="","",[1]!thsiFinD("ths_adjustment_nv_fund",P$3,$A978))</f>
        <v/>
      </c>
      <c r="Q978" s="13" t="str">
        <f>IF($A978="","",[1]!thsiFinD("ths_adjustment_nv_fund",Q$3,$A978))</f>
        <v/>
      </c>
      <c r="R978" s="13" t="str">
        <f>IF($A978="","",[1]!thsiFinD("ths_adjustment_nv_fund",R$3,$A978))</f>
        <v/>
      </c>
      <c r="S978" s="13" t="str">
        <f>IF($A978="","",[1]!thsiFinD("ths_adjustment_nv_fund",S$3,$A978))</f>
        <v/>
      </c>
      <c r="T978" s="13" t="str">
        <f>IF($A978="","",[1]!thsiFinD("ths_adjustment_nv_fund",T$3,$A978))</f>
        <v/>
      </c>
      <c r="U978" s="13" t="str">
        <f>IF($A978="","",[1]!thsiFinD("ths_adjustment_nv_fund",U$3,$A978))</f>
        <v/>
      </c>
      <c r="V978" s="13" t="str">
        <f>IF($A978="","",[1]!thsiFinD("ths_adjustment_nv_fund",V$3,$A978))</f>
        <v/>
      </c>
      <c r="W978" s="13" t="str">
        <f>IF($A978="","",[1]!thsiFinD("ths_adjustment_nv_fund",W$3,$A978))</f>
        <v/>
      </c>
      <c r="X978" s="13" t="str">
        <f>IF($A978="","",[1]!thsiFinD("ths_adjustment_nv_fund",X$3,$A978))</f>
        <v/>
      </c>
      <c r="Y978" s="13" t="str">
        <f>IF($A978="","",[1]!thsiFinD("ths_adjustment_nv_fund",Y$3,$A978))</f>
        <v/>
      </c>
      <c r="Z978" s="13" t="str">
        <f>IF($A978="","",[1]!thsiFinD("ths_adjustment_nv_fund",Z$3,$A978))</f>
        <v/>
      </c>
      <c r="AA978" s="13" t="str">
        <f>IF($A978="","",[1]!thsiFinD("ths_adjustment_nv_fund",AA$3,$A978))</f>
        <v/>
      </c>
      <c r="AB978" s="13" t="str">
        <f>IF($A978="","",[1]!thsiFinD("ths_adjustment_nv_fund",AB$3,$A978))</f>
        <v/>
      </c>
    </row>
    <row r="979" spans="2:28">
      <c r="B979" s="13" t="str">
        <f>IF($A979="","",[1]!thsiFinD("ths_adjustment_nv_fund",B$3,$A979))</f>
        <v/>
      </c>
      <c r="C979" s="13" t="str">
        <f>IF($A979="","",[1]!thsiFinD("ths_adjustment_nv_fund",C$3,$A979))</f>
        <v/>
      </c>
      <c r="D979" s="13" t="str">
        <f>IF($A979="","",[1]!thsiFinD("ths_adjustment_nv_fund",D$3,$A979))</f>
        <v/>
      </c>
      <c r="E979" s="13" t="str">
        <f>IF($A979="","",[1]!thsiFinD("ths_adjustment_nv_fund",E$3,$A979))</f>
        <v/>
      </c>
      <c r="F979" s="13" t="str">
        <f>IF($A979="","",[1]!thsiFinD("ths_adjustment_nv_fund",F$3,$A979))</f>
        <v/>
      </c>
      <c r="G979" s="13" t="str">
        <f>IF($A979="","",[1]!thsiFinD("ths_adjustment_nv_fund",G$3,$A979))</f>
        <v/>
      </c>
      <c r="H979" s="13" t="str">
        <f>IF($A979="","",[1]!thsiFinD("ths_adjustment_nv_fund",H$3,$A979))</f>
        <v/>
      </c>
      <c r="I979" s="13" t="str">
        <f>IF($A979="","",[1]!thsiFinD("ths_adjustment_nv_fund",I$3,$A979))</f>
        <v/>
      </c>
      <c r="J979" s="13" t="str">
        <f>IF($A979="","",[1]!thsiFinD("ths_adjustment_nv_fund",J$3,$A979))</f>
        <v/>
      </c>
      <c r="K979" s="13" t="str">
        <f>IF($A979="","",[1]!thsiFinD("ths_adjustment_nv_fund",K$3,$A979))</f>
        <v/>
      </c>
      <c r="L979" s="13" t="str">
        <f>IF($A979="","",[1]!thsiFinD("ths_adjustment_nv_fund",L$3,$A979))</f>
        <v/>
      </c>
      <c r="M979" s="13" t="str">
        <f>IF($A979="","",[1]!thsiFinD("ths_adjustment_nv_fund",M$3,$A979))</f>
        <v/>
      </c>
      <c r="N979" s="13" t="str">
        <f>IF($A979="","",[1]!thsiFinD("ths_adjustment_nv_fund",N$3,$A979))</f>
        <v/>
      </c>
      <c r="O979" s="13" t="str">
        <f>IF($A979="","",[1]!thsiFinD("ths_adjustment_nv_fund",O$3,$A979))</f>
        <v/>
      </c>
      <c r="P979" s="13" t="str">
        <f>IF($A979="","",[1]!thsiFinD("ths_adjustment_nv_fund",P$3,$A979))</f>
        <v/>
      </c>
      <c r="Q979" s="13" t="str">
        <f>IF($A979="","",[1]!thsiFinD("ths_adjustment_nv_fund",Q$3,$A979))</f>
        <v/>
      </c>
      <c r="R979" s="13" t="str">
        <f>IF($A979="","",[1]!thsiFinD("ths_adjustment_nv_fund",R$3,$A979))</f>
        <v/>
      </c>
      <c r="S979" s="13" t="str">
        <f>IF($A979="","",[1]!thsiFinD("ths_adjustment_nv_fund",S$3,$A979))</f>
        <v/>
      </c>
      <c r="T979" s="13" t="str">
        <f>IF($A979="","",[1]!thsiFinD("ths_adjustment_nv_fund",T$3,$A979))</f>
        <v/>
      </c>
      <c r="U979" s="13" t="str">
        <f>IF($A979="","",[1]!thsiFinD("ths_adjustment_nv_fund",U$3,$A979))</f>
        <v/>
      </c>
      <c r="V979" s="13" t="str">
        <f>IF($A979="","",[1]!thsiFinD("ths_adjustment_nv_fund",V$3,$A979))</f>
        <v/>
      </c>
      <c r="W979" s="13" t="str">
        <f>IF($A979="","",[1]!thsiFinD("ths_adjustment_nv_fund",W$3,$A979))</f>
        <v/>
      </c>
      <c r="X979" s="13" t="str">
        <f>IF($A979="","",[1]!thsiFinD("ths_adjustment_nv_fund",X$3,$A979))</f>
        <v/>
      </c>
      <c r="Y979" s="13" t="str">
        <f>IF($A979="","",[1]!thsiFinD("ths_adjustment_nv_fund",Y$3,$A979))</f>
        <v/>
      </c>
      <c r="Z979" s="13" t="str">
        <f>IF($A979="","",[1]!thsiFinD("ths_adjustment_nv_fund",Z$3,$A979))</f>
        <v/>
      </c>
      <c r="AA979" s="13" t="str">
        <f>IF($A979="","",[1]!thsiFinD("ths_adjustment_nv_fund",AA$3,$A979))</f>
        <v/>
      </c>
      <c r="AB979" s="13" t="str">
        <f>IF($A979="","",[1]!thsiFinD("ths_adjustment_nv_fund",AB$3,$A979))</f>
        <v/>
      </c>
    </row>
    <row r="980" spans="2:28">
      <c r="B980" s="13" t="str">
        <f>IF($A980="","",[1]!thsiFinD("ths_adjustment_nv_fund",B$3,$A980))</f>
        <v/>
      </c>
      <c r="C980" s="13" t="str">
        <f>IF($A980="","",[1]!thsiFinD("ths_adjustment_nv_fund",C$3,$A980))</f>
        <v/>
      </c>
      <c r="D980" s="13" t="str">
        <f>IF($A980="","",[1]!thsiFinD("ths_adjustment_nv_fund",D$3,$A980))</f>
        <v/>
      </c>
      <c r="E980" s="13" t="str">
        <f>IF($A980="","",[1]!thsiFinD("ths_adjustment_nv_fund",E$3,$A980))</f>
        <v/>
      </c>
      <c r="F980" s="13" t="str">
        <f>IF($A980="","",[1]!thsiFinD("ths_adjustment_nv_fund",F$3,$A980))</f>
        <v/>
      </c>
      <c r="G980" s="13" t="str">
        <f>IF($A980="","",[1]!thsiFinD("ths_adjustment_nv_fund",G$3,$A980))</f>
        <v/>
      </c>
      <c r="H980" s="13" t="str">
        <f>IF($A980="","",[1]!thsiFinD("ths_adjustment_nv_fund",H$3,$A980))</f>
        <v/>
      </c>
      <c r="I980" s="13" t="str">
        <f>IF($A980="","",[1]!thsiFinD("ths_adjustment_nv_fund",I$3,$A980))</f>
        <v/>
      </c>
      <c r="J980" s="13" t="str">
        <f>IF($A980="","",[1]!thsiFinD("ths_adjustment_nv_fund",J$3,$A980))</f>
        <v/>
      </c>
      <c r="K980" s="13" t="str">
        <f>IF($A980="","",[1]!thsiFinD("ths_adjustment_nv_fund",K$3,$A980))</f>
        <v/>
      </c>
      <c r="L980" s="13" t="str">
        <f>IF($A980="","",[1]!thsiFinD("ths_adjustment_nv_fund",L$3,$A980))</f>
        <v/>
      </c>
      <c r="M980" s="13" t="str">
        <f>IF($A980="","",[1]!thsiFinD("ths_adjustment_nv_fund",M$3,$A980))</f>
        <v/>
      </c>
      <c r="N980" s="13" t="str">
        <f>IF($A980="","",[1]!thsiFinD("ths_adjustment_nv_fund",N$3,$A980))</f>
        <v/>
      </c>
      <c r="O980" s="13" t="str">
        <f>IF($A980="","",[1]!thsiFinD("ths_adjustment_nv_fund",O$3,$A980))</f>
        <v/>
      </c>
      <c r="P980" s="13" t="str">
        <f>IF($A980="","",[1]!thsiFinD("ths_adjustment_nv_fund",P$3,$A980))</f>
        <v/>
      </c>
      <c r="Q980" s="13" t="str">
        <f>IF($A980="","",[1]!thsiFinD("ths_adjustment_nv_fund",Q$3,$A980))</f>
        <v/>
      </c>
      <c r="R980" s="13" t="str">
        <f>IF($A980="","",[1]!thsiFinD("ths_adjustment_nv_fund",R$3,$A980))</f>
        <v/>
      </c>
      <c r="S980" s="13" t="str">
        <f>IF($A980="","",[1]!thsiFinD("ths_adjustment_nv_fund",S$3,$A980))</f>
        <v/>
      </c>
      <c r="T980" s="13" t="str">
        <f>IF($A980="","",[1]!thsiFinD("ths_adjustment_nv_fund",T$3,$A980))</f>
        <v/>
      </c>
      <c r="U980" s="13" t="str">
        <f>IF($A980="","",[1]!thsiFinD("ths_adjustment_nv_fund",U$3,$A980))</f>
        <v/>
      </c>
      <c r="V980" s="13" t="str">
        <f>IF($A980="","",[1]!thsiFinD("ths_adjustment_nv_fund",V$3,$A980))</f>
        <v/>
      </c>
      <c r="W980" s="13" t="str">
        <f>IF($A980="","",[1]!thsiFinD("ths_adjustment_nv_fund",W$3,$A980))</f>
        <v/>
      </c>
      <c r="X980" s="13" t="str">
        <f>IF($A980="","",[1]!thsiFinD("ths_adjustment_nv_fund",X$3,$A980))</f>
        <v/>
      </c>
      <c r="Y980" s="13" t="str">
        <f>IF($A980="","",[1]!thsiFinD("ths_adjustment_nv_fund",Y$3,$A980))</f>
        <v/>
      </c>
      <c r="Z980" s="13" t="str">
        <f>IF($A980="","",[1]!thsiFinD("ths_adjustment_nv_fund",Z$3,$A980))</f>
        <v/>
      </c>
      <c r="AA980" s="13" t="str">
        <f>IF($A980="","",[1]!thsiFinD("ths_adjustment_nv_fund",AA$3,$A980))</f>
        <v/>
      </c>
      <c r="AB980" s="13" t="str">
        <f>IF($A980="","",[1]!thsiFinD("ths_adjustment_nv_fund",AB$3,$A980))</f>
        <v/>
      </c>
    </row>
    <row r="981" spans="2:28">
      <c r="B981" s="13" t="str">
        <f>IF($A981="","",[1]!thsiFinD("ths_adjustment_nv_fund",B$3,$A981))</f>
        <v/>
      </c>
      <c r="C981" s="13" t="str">
        <f>IF($A981="","",[1]!thsiFinD("ths_adjustment_nv_fund",C$3,$A981))</f>
        <v/>
      </c>
      <c r="D981" s="13" t="str">
        <f>IF($A981="","",[1]!thsiFinD("ths_adjustment_nv_fund",D$3,$A981))</f>
        <v/>
      </c>
      <c r="E981" s="13" t="str">
        <f>IF($A981="","",[1]!thsiFinD("ths_adjustment_nv_fund",E$3,$A981))</f>
        <v/>
      </c>
      <c r="F981" s="13" t="str">
        <f>IF($A981="","",[1]!thsiFinD("ths_adjustment_nv_fund",F$3,$A981))</f>
        <v/>
      </c>
      <c r="G981" s="13" t="str">
        <f>IF($A981="","",[1]!thsiFinD("ths_adjustment_nv_fund",G$3,$A981))</f>
        <v/>
      </c>
      <c r="H981" s="13" t="str">
        <f>IF($A981="","",[1]!thsiFinD("ths_adjustment_nv_fund",H$3,$A981))</f>
        <v/>
      </c>
      <c r="I981" s="13" t="str">
        <f>IF($A981="","",[1]!thsiFinD("ths_adjustment_nv_fund",I$3,$A981))</f>
        <v/>
      </c>
      <c r="J981" s="13" t="str">
        <f>IF($A981="","",[1]!thsiFinD("ths_adjustment_nv_fund",J$3,$A981))</f>
        <v/>
      </c>
      <c r="K981" s="13" t="str">
        <f>IF($A981="","",[1]!thsiFinD("ths_adjustment_nv_fund",K$3,$A981))</f>
        <v/>
      </c>
      <c r="L981" s="13" t="str">
        <f>IF($A981="","",[1]!thsiFinD("ths_adjustment_nv_fund",L$3,$A981))</f>
        <v/>
      </c>
      <c r="M981" s="13" t="str">
        <f>IF($A981="","",[1]!thsiFinD("ths_adjustment_nv_fund",M$3,$A981))</f>
        <v/>
      </c>
      <c r="N981" s="13" t="str">
        <f>IF($A981="","",[1]!thsiFinD("ths_adjustment_nv_fund",N$3,$A981))</f>
        <v/>
      </c>
      <c r="O981" s="13" t="str">
        <f>IF($A981="","",[1]!thsiFinD("ths_adjustment_nv_fund",O$3,$A981))</f>
        <v/>
      </c>
      <c r="P981" s="13" t="str">
        <f>IF($A981="","",[1]!thsiFinD("ths_adjustment_nv_fund",P$3,$A981))</f>
        <v/>
      </c>
      <c r="Q981" s="13" t="str">
        <f>IF($A981="","",[1]!thsiFinD("ths_adjustment_nv_fund",Q$3,$A981))</f>
        <v/>
      </c>
      <c r="R981" s="13" t="str">
        <f>IF($A981="","",[1]!thsiFinD("ths_adjustment_nv_fund",R$3,$A981))</f>
        <v/>
      </c>
      <c r="S981" s="13" t="str">
        <f>IF($A981="","",[1]!thsiFinD("ths_adjustment_nv_fund",S$3,$A981))</f>
        <v/>
      </c>
      <c r="T981" s="13" t="str">
        <f>IF($A981="","",[1]!thsiFinD("ths_adjustment_nv_fund",T$3,$A981))</f>
        <v/>
      </c>
      <c r="U981" s="13" t="str">
        <f>IF($A981="","",[1]!thsiFinD("ths_adjustment_nv_fund",U$3,$A981))</f>
        <v/>
      </c>
      <c r="V981" s="13" t="str">
        <f>IF($A981="","",[1]!thsiFinD("ths_adjustment_nv_fund",V$3,$A981))</f>
        <v/>
      </c>
      <c r="W981" s="13" t="str">
        <f>IF($A981="","",[1]!thsiFinD("ths_adjustment_nv_fund",W$3,$A981))</f>
        <v/>
      </c>
      <c r="X981" s="13" t="str">
        <f>IF($A981="","",[1]!thsiFinD("ths_adjustment_nv_fund",X$3,$A981))</f>
        <v/>
      </c>
      <c r="Y981" s="13" t="str">
        <f>IF($A981="","",[1]!thsiFinD("ths_adjustment_nv_fund",Y$3,$A981))</f>
        <v/>
      </c>
      <c r="Z981" s="13" t="str">
        <f>IF($A981="","",[1]!thsiFinD("ths_adjustment_nv_fund",Z$3,$A981))</f>
        <v/>
      </c>
      <c r="AA981" s="13" t="str">
        <f>IF($A981="","",[1]!thsiFinD("ths_adjustment_nv_fund",AA$3,$A981))</f>
        <v/>
      </c>
      <c r="AB981" s="13" t="str">
        <f>IF($A981="","",[1]!thsiFinD("ths_adjustment_nv_fund",AB$3,$A981))</f>
        <v/>
      </c>
    </row>
    <row r="982" spans="2:28">
      <c r="B982" s="13" t="str">
        <f>IF($A982="","",[1]!thsiFinD("ths_adjustment_nv_fund",B$3,$A982))</f>
        <v/>
      </c>
      <c r="C982" s="13" t="str">
        <f>IF($A982="","",[1]!thsiFinD("ths_adjustment_nv_fund",C$3,$A982))</f>
        <v/>
      </c>
      <c r="D982" s="13" t="str">
        <f>IF($A982="","",[1]!thsiFinD("ths_adjustment_nv_fund",D$3,$A982))</f>
        <v/>
      </c>
      <c r="E982" s="13" t="str">
        <f>IF($A982="","",[1]!thsiFinD("ths_adjustment_nv_fund",E$3,$A982))</f>
        <v/>
      </c>
      <c r="F982" s="13" t="str">
        <f>IF($A982="","",[1]!thsiFinD("ths_adjustment_nv_fund",F$3,$A982))</f>
        <v/>
      </c>
      <c r="G982" s="13" t="str">
        <f>IF($A982="","",[1]!thsiFinD("ths_adjustment_nv_fund",G$3,$A982))</f>
        <v/>
      </c>
      <c r="H982" s="13" t="str">
        <f>IF($A982="","",[1]!thsiFinD("ths_adjustment_nv_fund",H$3,$A982))</f>
        <v/>
      </c>
      <c r="I982" s="13" t="str">
        <f>IF($A982="","",[1]!thsiFinD("ths_adjustment_nv_fund",I$3,$A982))</f>
        <v/>
      </c>
      <c r="J982" s="13" t="str">
        <f>IF($A982="","",[1]!thsiFinD("ths_adjustment_nv_fund",J$3,$A982))</f>
        <v/>
      </c>
      <c r="K982" s="13" t="str">
        <f>IF($A982="","",[1]!thsiFinD("ths_adjustment_nv_fund",K$3,$A982))</f>
        <v/>
      </c>
      <c r="L982" s="13" t="str">
        <f>IF($A982="","",[1]!thsiFinD("ths_adjustment_nv_fund",L$3,$A982))</f>
        <v/>
      </c>
      <c r="M982" s="13" t="str">
        <f>IF($A982="","",[1]!thsiFinD("ths_adjustment_nv_fund",M$3,$A982))</f>
        <v/>
      </c>
      <c r="N982" s="13" t="str">
        <f>IF($A982="","",[1]!thsiFinD("ths_adjustment_nv_fund",N$3,$A982))</f>
        <v/>
      </c>
      <c r="O982" s="13" t="str">
        <f>IF($A982="","",[1]!thsiFinD("ths_adjustment_nv_fund",O$3,$A982))</f>
        <v/>
      </c>
      <c r="P982" s="13" t="str">
        <f>IF($A982="","",[1]!thsiFinD("ths_adjustment_nv_fund",P$3,$A982))</f>
        <v/>
      </c>
      <c r="Q982" s="13" t="str">
        <f>IF($A982="","",[1]!thsiFinD("ths_adjustment_nv_fund",Q$3,$A982))</f>
        <v/>
      </c>
      <c r="R982" s="13" t="str">
        <f>IF($A982="","",[1]!thsiFinD("ths_adjustment_nv_fund",R$3,$A982))</f>
        <v/>
      </c>
      <c r="S982" s="13" t="str">
        <f>IF($A982="","",[1]!thsiFinD("ths_adjustment_nv_fund",S$3,$A982))</f>
        <v/>
      </c>
      <c r="T982" s="13" t="str">
        <f>IF($A982="","",[1]!thsiFinD("ths_adjustment_nv_fund",T$3,$A982))</f>
        <v/>
      </c>
      <c r="U982" s="13" t="str">
        <f>IF($A982="","",[1]!thsiFinD("ths_adjustment_nv_fund",U$3,$A982))</f>
        <v/>
      </c>
      <c r="V982" s="13" t="str">
        <f>IF($A982="","",[1]!thsiFinD("ths_adjustment_nv_fund",V$3,$A982))</f>
        <v/>
      </c>
      <c r="W982" s="13" t="str">
        <f>IF($A982="","",[1]!thsiFinD("ths_adjustment_nv_fund",W$3,$A982))</f>
        <v/>
      </c>
      <c r="X982" s="13" t="str">
        <f>IF($A982="","",[1]!thsiFinD("ths_adjustment_nv_fund",X$3,$A982))</f>
        <v/>
      </c>
      <c r="Y982" s="13" t="str">
        <f>IF($A982="","",[1]!thsiFinD("ths_adjustment_nv_fund",Y$3,$A982))</f>
        <v/>
      </c>
      <c r="Z982" s="13" t="str">
        <f>IF($A982="","",[1]!thsiFinD("ths_adjustment_nv_fund",Z$3,$A982))</f>
        <v/>
      </c>
      <c r="AA982" s="13" t="str">
        <f>IF($A982="","",[1]!thsiFinD("ths_adjustment_nv_fund",AA$3,$A982))</f>
        <v/>
      </c>
      <c r="AB982" s="13" t="str">
        <f>IF($A982="","",[1]!thsiFinD("ths_adjustment_nv_fund",AB$3,$A982))</f>
        <v/>
      </c>
    </row>
    <row r="983" spans="2:28">
      <c r="B983" s="13" t="str">
        <f>IF($A983="","",[1]!thsiFinD("ths_adjustment_nv_fund",B$3,$A983))</f>
        <v/>
      </c>
      <c r="C983" s="13" t="str">
        <f>IF($A983="","",[1]!thsiFinD("ths_adjustment_nv_fund",C$3,$A983))</f>
        <v/>
      </c>
      <c r="D983" s="13" t="str">
        <f>IF($A983="","",[1]!thsiFinD("ths_adjustment_nv_fund",D$3,$A983))</f>
        <v/>
      </c>
      <c r="E983" s="13" t="str">
        <f>IF($A983="","",[1]!thsiFinD("ths_adjustment_nv_fund",E$3,$A983))</f>
        <v/>
      </c>
      <c r="F983" s="13" t="str">
        <f>IF($A983="","",[1]!thsiFinD("ths_adjustment_nv_fund",F$3,$A983))</f>
        <v/>
      </c>
      <c r="G983" s="13" t="str">
        <f>IF($A983="","",[1]!thsiFinD("ths_adjustment_nv_fund",G$3,$A983))</f>
        <v/>
      </c>
      <c r="H983" s="13" t="str">
        <f>IF($A983="","",[1]!thsiFinD("ths_adjustment_nv_fund",H$3,$A983))</f>
        <v/>
      </c>
      <c r="I983" s="13" t="str">
        <f>IF($A983="","",[1]!thsiFinD("ths_adjustment_nv_fund",I$3,$A983))</f>
        <v/>
      </c>
      <c r="J983" s="13" t="str">
        <f>IF($A983="","",[1]!thsiFinD("ths_adjustment_nv_fund",J$3,$A983))</f>
        <v/>
      </c>
      <c r="K983" s="13" t="str">
        <f>IF($A983="","",[1]!thsiFinD("ths_adjustment_nv_fund",K$3,$A983))</f>
        <v/>
      </c>
      <c r="L983" s="13" t="str">
        <f>IF($A983="","",[1]!thsiFinD("ths_adjustment_nv_fund",L$3,$A983))</f>
        <v/>
      </c>
      <c r="M983" s="13" t="str">
        <f>IF($A983="","",[1]!thsiFinD("ths_adjustment_nv_fund",M$3,$A983))</f>
        <v/>
      </c>
      <c r="N983" s="13" t="str">
        <f>IF($A983="","",[1]!thsiFinD("ths_adjustment_nv_fund",N$3,$A983))</f>
        <v/>
      </c>
      <c r="O983" s="13" t="str">
        <f>IF($A983="","",[1]!thsiFinD("ths_adjustment_nv_fund",O$3,$A983))</f>
        <v/>
      </c>
      <c r="P983" s="13" t="str">
        <f>IF($A983="","",[1]!thsiFinD("ths_adjustment_nv_fund",P$3,$A983))</f>
        <v/>
      </c>
      <c r="Q983" s="13" t="str">
        <f>IF($A983="","",[1]!thsiFinD("ths_adjustment_nv_fund",Q$3,$A983))</f>
        <v/>
      </c>
      <c r="R983" s="13" t="str">
        <f>IF($A983="","",[1]!thsiFinD("ths_adjustment_nv_fund",R$3,$A983))</f>
        <v/>
      </c>
      <c r="S983" s="13" t="str">
        <f>IF($A983="","",[1]!thsiFinD("ths_adjustment_nv_fund",S$3,$A983))</f>
        <v/>
      </c>
      <c r="T983" s="13" t="str">
        <f>IF($A983="","",[1]!thsiFinD("ths_adjustment_nv_fund",T$3,$A983))</f>
        <v/>
      </c>
      <c r="U983" s="13" t="str">
        <f>IF($A983="","",[1]!thsiFinD("ths_adjustment_nv_fund",U$3,$A983))</f>
        <v/>
      </c>
      <c r="V983" s="13" t="str">
        <f>IF($A983="","",[1]!thsiFinD("ths_adjustment_nv_fund",V$3,$A983))</f>
        <v/>
      </c>
      <c r="W983" s="13" t="str">
        <f>IF($A983="","",[1]!thsiFinD("ths_adjustment_nv_fund",W$3,$A983))</f>
        <v/>
      </c>
      <c r="X983" s="13" t="str">
        <f>IF($A983="","",[1]!thsiFinD("ths_adjustment_nv_fund",X$3,$A983))</f>
        <v/>
      </c>
      <c r="Y983" s="13" t="str">
        <f>IF($A983="","",[1]!thsiFinD("ths_adjustment_nv_fund",Y$3,$A983))</f>
        <v/>
      </c>
      <c r="Z983" s="13" t="str">
        <f>IF($A983="","",[1]!thsiFinD("ths_adjustment_nv_fund",Z$3,$A983))</f>
        <v/>
      </c>
      <c r="AA983" s="13" t="str">
        <f>IF($A983="","",[1]!thsiFinD("ths_adjustment_nv_fund",AA$3,$A983))</f>
        <v/>
      </c>
      <c r="AB983" s="13" t="str">
        <f>IF($A983="","",[1]!thsiFinD("ths_adjustment_nv_fund",AB$3,$A983))</f>
        <v/>
      </c>
    </row>
    <row r="984" spans="2:28">
      <c r="B984" s="13" t="str">
        <f>IF($A984="","",[1]!thsiFinD("ths_adjustment_nv_fund",B$3,$A984))</f>
        <v/>
      </c>
      <c r="C984" s="13" t="str">
        <f>IF($A984="","",[1]!thsiFinD("ths_adjustment_nv_fund",C$3,$A984))</f>
        <v/>
      </c>
      <c r="D984" s="13" t="str">
        <f>IF($A984="","",[1]!thsiFinD("ths_adjustment_nv_fund",D$3,$A984))</f>
        <v/>
      </c>
      <c r="E984" s="13" t="str">
        <f>IF($A984="","",[1]!thsiFinD("ths_adjustment_nv_fund",E$3,$A984))</f>
        <v/>
      </c>
      <c r="F984" s="13" t="str">
        <f>IF($A984="","",[1]!thsiFinD("ths_adjustment_nv_fund",F$3,$A984))</f>
        <v/>
      </c>
      <c r="G984" s="13" t="str">
        <f>IF($A984="","",[1]!thsiFinD("ths_adjustment_nv_fund",G$3,$A984))</f>
        <v/>
      </c>
      <c r="H984" s="13" t="str">
        <f>IF($A984="","",[1]!thsiFinD("ths_adjustment_nv_fund",H$3,$A984))</f>
        <v/>
      </c>
      <c r="I984" s="13" t="str">
        <f>IF($A984="","",[1]!thsiFinD("ths_adjustment_nv_fund",I$3,$A984))</f>
        <v/>
      </c>
      <c r="J984" s="13" t="str">
        <f>IF($A984="","",[1]!thsiFinD("ths_adjustment_nv_fund",J$3,$A984))</f>
        <v/>
      </c>
      <c r="K984" s="13" t="str">
        <f>IF($A984="","",[1]!thsiFinD("ths_adjustment_nv_fund",K$3,$A984))</f>
        <v/>
      </c>
      <c r="L984" s="13" t="str">
        <f>IF($A984="","",[1]!thsiFinD("ths_adjustment_nv_fund",L$3,$A984))</f>
        <v/>
      </c>
      <c r="M984" s="13" t="str">
        <f>IF($A984="","",[1]!thsiFinD("ths_adjustment_nv_fund",M$3,$A984))</f>
        <v/>
      </c>
      <c r="N984" s="13" t="str">
        <f>IF($A984="","",[1]!thsiFinD("ths_adjustment_nv_fund",N$3,$A984))</f>
        <v/>
      </c>
      <c r="O984" s="13" t="str">
        <f>IF($A984="","",[1]!thsiFinD("ths_adjustment_nv_fund",O$3,$A984))</f>
        <v/>
      </c>
      <c r="P984" s="13" t="str">
        <f>IF($A984="","",[1]!thsiFinD("ths_adjustment_nv_fund",P$3,$A984))</f>
        <v/>
      </c>
      <c r="Q984" s="13" t="str">
        <f>IF($A984="","",[1]!thsiFinD("ths_adjustment_nv_fund",Q$3,$A984))</f>
        <v/>
      </c>
      <c r="R984" s="13" t="str">
        <f>IF($A984="","",[1]!thsiFinD("ths_adjustment_nv_fund",R$3,$A984))</f>
        <v/>
      </c>
      <c r="S984" s="13" t="str">
        <f>IF($A984="","",[1]!thsiFinD("ths_adjustment_nv_fund",S$3,$A984))</f>
        <v/>
      </c>
      <c r="T984" s="13" t="str">
        <f>IF($A984="","",[1]!thsiFinD("ths_adjustment_nv_fund",T$3,$A984))</f>
        <v/>
      </c>
      <c r="U984" s="13" t="str">
        <f>IF($A984="","",[1]!thsiFinD("ths_adjustment_nv_fund",U$3,$A984))</f>
        <v/>
      </c>
      <c r="V984" s="13" t="str">
        <f>IF($A984="","",[1]!thsiFinD("ths_adjustment_nv_fund",V$3,$A984))</f>
        <v/>
      </c>
      <c r="W984" s="13" t="str">
        <f>IF($A984="","",[1]!thsiFinD("ths_adjustment_nv_fund",W$3,$A984))</f>
        <v/>
      </c>
      <c r="X984" s="13" t="str">
        <f>IF($A984="","",[1]!thsiFinD("ths_adjustment_nv_fund",X$3,$A984))</f>
        <v/>
      </c>
      <c r="Y984" s="13" t="str">
        <f>IF($A984="","",[1]!thsiFinD("ths_adjustment_nv_fund",Y$3,$A984))</f>
        <v/>
      </c>
      <c r="Z984" s="13" t="str">
        <f>IF($A984="","",[1]!thsiFinD("ths_adjustment_nv_fund",Z$3,$A984))</f>
        <v/>
      </c>
      <c r="AA984" s="13" t="str">
        <f>IF($A984="","",[1]!thsiFinD("ths_adjustment_nv_fund",AA$3,$A984))</f>
        <v/>
      </c>
      <c r="AB984" s="13" t="str">
        <f>IF($A984="","",[1]!thsiFinD("ths_adjustment_nv_fund",AB$3,$A984))</f>
        <v/>
      </c>
    </row>
    <row r="985" spans="2:28">
      <c r="B985" s="13" t="str">
        <f>IF($A985="","",[1]!thsiFinD("ths_adjustment_nv_fund",B$3,$A985))</f>
        <v/>
      </c>
      <c r="C985" s="13" t="str">
        <f>IF($A985="","",[1]!thsiFinD("ths_adjustment_nv_fund",C$3,$A985))</f>
        <v/>
      </c>
      <c r="D985" s="13" t="str">
        <f>IF($A985="","",[1]!thsiFinD("ths_adjustment_nv_fund",D$3,$A985))</f>
        <v/>
      </c>
      <c r="E985" s="13" t="str">
        <f>IF($A985="","",[1]!thsiFinD("ths_adjustment_nv_fund",E$3,$A985))</f>
        <v/>
      </c>
      <c r="F985" s="13" t="str">
        <f>IF($A985="","",[1]!thsiFinD("ths_adjustment_nv_fund",F$3,$A985))</f>
        <v/>
      </c>
      <c r="G985" s="13" t="str">
        <f>IF($A985="","",[1]!thsiFinD("ths_adjustment_nv_fund",G$3,$A985))</f>
        <v/>
      </c>
      <c r="H985" s="13" t="str">
        <f>IF($A985="","",[1]!thsiFinD("ths_adjustment_nv_fund",H$3,$A985))</f>
        <v/>
      </c>
      <c r="I985" s="13" t="str">
        <f>IF($A985="","",[1]!thsiFinD("ths_adjustment_nv_fund",I$3,$A985))</f>
        <v/>
      </c>
      <c r="J985" s="13" t="str">
        <f>IF($A985="","",[1]!thsiFinD("ths_adjustment_nv_fund",J$3,$A985))</f>
        <v/>
      </c>
      <c r="K985" s="13" t="str">
        <f>IF($A985="","",[1]!thsiFinD("ths_adjustment_nv_fund",K$3,$A985))</f>
        <v/>
      </c>
      <c r="L985" s="13" t="str">
        <f>IF($A985="","",[1]!thsiFinD("ths_adjustment_nv_fund",L$3,$A985))</f>
        <v/>
      </c>
      <c r="M985" s="13" t="str">
        <f>IF($A985="","",[1]!thsiFinD("ths_adjustment_nv_fund",M$3,$A985))</f>
        <v/>
      </c>
      <c r="N985" s="13" t="str">
        <f>IF($A985="","",[1]!thsiFinD("ths_adjustment_nv_fund",N$3,$A985))</f>
        <v/>
      </c>
      <c r="O985" s="13" t="str">
        <f>IF($A985="","",[1]!thsiFinD("ths_adjustment_nv_fund",O$3,$A985))</f>
        <v/>
      </c>
      <c r="P985" s="13" t="str">
        <f>IF($A985="","",[1]!thsiFinD("ths_adjustment_nv_fund",P$3,$A985))</f>
        <v/>
      </c>
      <c r="Q985" s="13" t="str">
        <f>IF($A985="","",[1]!thsiFinD("ths_adjustment_nv_fund",Q$3,$A985))</f>
        <v/>
      </c>
      <c r="R985" s="13" t="str">
        <f>IF($A985="","",[1]!thsiFinD("ths_adjustment_nv_fund",R$3,$A985))</f>
        <v/>
      </c>
      <c r="S985" s="13" t="str">
        <f>IF($A985="","",[1]!thsiFinD("ths_adjustment_nv_fund",S$3,$A985))</f>
        <v/>
      </c>
      <c r="T985" s="13" t="str">
        <f>IF($A985="","",[1]!thsiFinD("ths_adjustment_nv_fund",T$3,$A985))</f>
        <v/>
      </c>
      <c r="U985" s="13" t="str">
        <f>IF($A985="","",[1]!thsiFinD("ths_adjustment_nv_fund",U$3,$A985))</f>
        <v/>
      </c>
      <c r="V985" s="13" t="str">
        <f>IF($A985="","",[1]!thsiFinD("ths_adjustment_nv_fund",V$3,$A985))</f>
        <v/>
      </c>
      <c r="W985" s="13" t="str">
        <f>IF($A985="","",[1]!thsiFinD("ths_adjustment_nv_fund",W$3,$A985))</f>
        <v/>
      </c>
      <c r="X985" s="13" t="str">
        <f>IF($A985="","",[1]!thsiFinD("ths_adjustment_nv_fund",X$3,$A985))</f>
        <v/>
      </c>
      <c r="Y985" s="13" t="str">
        <f>IF($A985="","",[1]!thsiFinD("ths_adjustment_nv_fund",Y$3,$A985))</f>
        <v/>
      </c>
      <c r="Z985" s="13" t="str">
        <f>IF($A985="","",[1]!thsiFinD("ths_adjustment_nv_fund",Z$3,$A985))</f>
        <v/>
      </c>
      <c r="AA985" s="13" t="str">
        <f>IF($A985="","",[1]!thsiFinD("ths_adjustment_nv_fund",AA$3,$A985))</f>
        <v/>
      </c>
      <c r="AB985" s="13" t="str">
        <f>IF($A985="","",[1]!thsiFinD("ths_adjustment_nv_fund",AB$3,$A985))</f>
        <v/>
      </c>
    </row>
    <row r="986" spans="2:28">
      <c r="B986" s="13" t="str">
        <f>IF($A986="","",[1]!thsiFinD("ths_adjustment_nv_fund",B$3,$A986))</f>
        <v/>
      </c>
      <c r="C986" s="13" t="str">
        <f>IF($A986="","",[1]!thsiFinD("ths_adjustment_nv_fund",C$3,$A986))</f>
        <v/>
      </c>
      <c r="D986" s="13" t="str">
        <f>IF($A986="","",[1]!thsiFinD("ths_adjustment_nv_fund",D$3,$A986))</f>
        <v/>
      </c>
      <c r="E986" s="13" t="str">
        <f>IF($A986="","",[1]!thsiFinD("ths_adjustment_nv_fund",E$3,$A986))</f>
        <v/>
      </c>
      <c r="F986" s="13" t="str">
        <f>IF($A986="","",[1]!thsiFinD("ths_adjustment_nv_fund",F$3,$A986))</f>
        <v/>
      </c>
      <c r="G986" s="13" t="str">
        <f>IF($A986="","",[1]!thsiFinD("ths_adjustment_nv_fund",G$3,$A986))</f>
        <v/>
      </c>
      <c r="H986" s="13" t="str">
        <f>IF($A986="","",[1]!thsiFinD("ths_adjustment_nv_fund",H$3,$A986))</f>
        <v/>
      </c>
      <c r="I986" s="13" t="str">
        <f>IF($A986="","",[1]!thsiFinD("ths_adjustment_nv_fund",I$3,$A986))</f>
        <v/>
      </c>
      <c r="J986" s="13" t="str">
        <f>IF($A986="","",[1]!thsiFinD("ths_adjustment_nv_fund",J$3,$A986))</f>
        <v/>
      </c>
      <c r="K986" s="13" t="str">
        <f>IF($A986="","",[1]!thsiFinD("ths_adjustment_nv_fund",K$3,$A986))</f>
        <v/>
      </c>
      <c r="L986" s="13" t="str">
        <f>IF($A986="","",[1]!thsiFinD("ths_adjustment_nv_fund",L$3,$A986))</f>
        <v/>
      </c>
      <c r="M986" s="13" t="str">
        <f>IF($A986="","",[1]!thsiFinD("ths_adjustment_nv_fund",M$3,$A986))</f>
        <v/>
      </c>
      <c r="N986" s="13" t="str">
        <f>IF($A986="","",[1]!thsiFinD("ths_adjustment_nv_fund",N$3,$A986))</f>
        <v/>
      </c>
      <c r="O986" s="13" t="str">
        <f>IF($A986="","",[1]!thsiFinD("ths_adjustment_nv_fund",O$3,$A986))</f>
        <v/>
      </c>
      <c r="P986" s="13" t="str">
        <f>IF($A986="","",[1]!thsiFinD("ths_adjustment_nv_fund",P$3,$A986))</f>
        <v/>
      </c>
      <c r="Q986" s="13" t="str">
        <f>IF($A986="","",[1]!thsiFinD("ths_adjustment_nv_fund",Q$3,$A986))</f>
        <v/>
      </c>
      <c r="R986" s="13" t="str">
        <f>IF($A986="","",[1]!thsiFinD("ths_adjustment_nv_fund",R$3,$A986))</f>
        <v/>
      </c>
      <c r="S986" s="13" t="str">
        <f>IF($A986="","",[1]!thsiFinD("ths_adjustment_nv_fund",S$3,$A986))</f>
        <v/>
      </c>
      <c r="T986" s="13" t="str">
        <f>IF($A986="","",[1]!thsiFinD("ths_adjustment_nv_fund",T$3,$A986))</f>
        <v/>
      </c>
      <c r="U986" s="13" t="str">
        <f>IF($A986="","",[1]!thsiFinD("ths_adjustment_nv_fund",U$3,$A986))</f>
        <v/>
      </c>
      <c r="V986" s="13" t="str">
        <f>IF($A986="","",[1]!thsiFinD("ths_adjustment_nv_fund",V$3,$A986))</f>
        <v/>
      </c>
      <c r="W986" s="13" t="str">
        <f>IF($A986="","",[1]!thsiFinD("ths_adjustment_nv_fund",W$3,$A986))</f>
        <v/>
      </c>
      <c r="X986" s="13" t="str">
        <f>IF($A986="","",[1]!thsiFinD("ths_adjustment_nv_fund",X$3,$A986))</f>
        <v/>
      </c>
      <c r="Y986" s="13" t="str">
        <f>IF($A986="","",[1]!thsiFinD("ths_adjustment_nv_fund",Y$3,$A986))</f>
        <v/>
      </c>
      <c r="Z986" s="13" t="str">
        <f>IF($A986="","",[1]!thsiFinD("ths_adjustment_nv_fund",Z$3,$A986))</f>
        <v/>
      </c>
      <c r="AA986" s="13" t="str">
        <f>IF($A986="","",[1]!thsiFinD("ths_adjustment_nv_fund",AA$3,$A986))</f>
        <v/>
      </c>
      <c r="AB986" s="13" t="str">
        <f>IF($A986="","",[1]!thsiFinD("ths_adjustment_nv_fund",AB$3,$A986))</f>
        <v/>
      </c>
    </row>
    <row r="987" spans="2:28">
      <c r="B987" s="13" t="str">
        <f>IF($A987="","",[1]!thsiFinD("ths_adjustment_nv_fund",B$3,$A987))</f>
        <v/>
      </c>
      <c r="C987" s="13" t="str">
        <f>IF($A987="","",[1]!thsiFinD("ths_adjustment_nv_fund",C$3,$A987))</f>
        <v/>
      </c>
      <c r="D987" s="13" t="str">
        <f>IF($A987="","",[1]!thsiFinD("ths_adjustment_nv_fund",D$3,$A987))</f>
        <v/>
      </c>
      <c r="E987" s="13" t="str">
        <f>IF($A987="","",[1]!thsiFinD("ths_adjustment_nv_fund",E$3,$A987))</f>
        <v/>
      </c>
      <c r="F987" s="13" t="str">
        <f>IF($A987="","",[1]!thsiFinD("ths_adjustment_nv_fund",F$3,$A987))</f>
        <v/>
      </c>
      <c r="G987" s="13" t="str">
        <f>IF($A987="","",[1]!thsiFinD("ths_adjustment_nv_fund",G$3,$A987))</f>
        <v/>
      </c>
      <c r="H987" s="13" t="str">
        <f>IF($A987="","",[1]!thsiFinD("ths_adjustment_nv_fund",H$3,$A987))</f>
        <v/>
      </c>
      <c r="I987" s="13" t="str">
        <f>IF($A987="","",[1]!thsiFinD("ths_adjustment_nv_fund",I$3,$A987))</f>
        <v/>
      </c>
      <c r="J987" s="13" t="str">
        <f>IF($A987="","",[1]!thsiFinD("ths_adjustment_nv_fund",J$3,$A987))</f>
        <v/>
      </c>
      <c r="K987" s="13" t="str">
        <f>IF($A987="","",[1]!thsiFinD("ths_adjustment_nv_fund",K$3,$A987))</f>
        <v/>
      </c>
      <c r="L987" s="13" t="str">
        <f>IF($A987="","",[1]!thsiFinD("ths_adjustment_nv_fund",L$3,$A987))</f>
        <v/>
      </c>
      <c r="M987" s="13" t="str">
        <f>IF($A987="","",[1]!thsiFinD("ths_adjustment_nv_fund",M$3,$A987))</f>
        <v/>
      </c>
      <c r="N987" s="13" t="str">
        <f>IF($A987="","",[1]!thsiFinD("ths_adjustment_nv_fund",N$3,$A987))</f>
        <v/>
      </c>
      <c r="O987" s="13" t="str">
        <f>IF($A987="","",[1]!thsiFinD("ths_adjustment_nv_fund",O$3,$A987))</f>
        <v/>
      </c>
      <c r="P987" s="13" t="str">
        <f>IF($A987="","",[1]!thsiFinD("ths_adjustment_nv_fund",P$3,$A987))</f>
        <v/>
      </c>
      <c r="Q987" s="13" t="str">
        <f>IF($A987="","",[1]!thsiFinD("ths_adjustment_nv_fund",Q$3,$A987))</f>
        <v/>
      </c>
      <c r="R987" s="13" t="str">
        <f>IF($A987="","",[1]!thsiFinD("ths_adjustment_nv_fund",R$3,$A987))</f>
        <v/>
      </c>
      <c r="S987" s="13" t="str">
        <f>IF($A987="","",[1]!thsiFinD("ths_adjustment_nv_fund",S$3,$A987))</f>
        <v/>
      </c>
      <c r="T987" s="13" t="str">
        <f>IF($A987="","",[1]!thsiFinD("ths_adjustment_nv_fund",T$3,$A987))</f>
        <v/>
      </c>
      <c r="U987" s="13" t="str">
        <f>IF($A987="","",[1]!thsiFinD("ths_adjustment_nv_fund",U$3,$A987))</f>
        <v/>
      </c>
      <c r="V987" s="13" t="str">
        <f>IF($A987="","",[1]!thsiFinD("ths_adjustment_nv_fund",V$3,$A987))</f>
        <v/>
      </c>
      <c r="W987" s="13" t="str">
        <f>IF($A987="","",[1]!thsiFinD("ths_adjustment_nv_fund",W$3,$A987))</f>
        <v/>
      </c>
      <c r="X987" s="13" t="str">
        <f>IF($A987="","",[1]!thsiFinD("ths_adjustment_nv_fund",X$3,$A987))</f>
        <v/>
      </c>
      <c r="Y987" s="13" t="str">
        <f>IF($A987="","",[1]!thsiFinD("ths_adjustment_nv_fund",Y$3,$A987))</f>
        <v/>
      </c>
      <c r="Z987" s="13" t="str">
        <f>IF($A987="","",[1]!thsiFinD("ths_adjustment_nv_fund",Z$3,$A987))</f>
        <v/>
      </c>
      <c r="AA987" s="13" t="str">
        <f>IF($A987="","",[1]!thsiFinD("ths_adjustment_nv_fund",AA$3,$A987))</f>
        <v/>
      </c>
      <c r="AB987" s="13" t="str">
        <f>IF($A987="","",[1]!thsiFinD("ths_adjustment_nv_fund",AB$3,$A987))</f>
        <v/>
      </c>
    </row>
    <row r="988" spans="2:28">
      <c r="B988" s="13" t="str">
        <f>IF($A988="","",[1]!thsiFinD("ths_adjustment_nv_fund",B$3,$A988))</f>
        <v/>
      </c>
      <c r="C988" s="13" t="str">
        <f>IF($A988="","",[1]!thsiFinD("ths_adjustment_nv_fund",C$3,$A988))</f>
        <v/>
      </c>
      <c r="D988" s="13" t="str">
        <f>IF($A988="","",[1]!thsiFinD("ths_adjustment_nv_fund",D$3,$A988))</f>
        <v/>
      </c>
      <c r="E988" s="13" t="str">
        <f>IF($A988="","",[1]!thsiFinD("ths_adjustment_nv_fund",E$3,$A988))</f>
        <v/>
      </c>
      <c r="F988" s="13" t="str">
        <f>IF($A988="","",[1]!thsiFinD("ths_adjustment_nv_fund",F$3,$A988))</f>
        <v/>
      </c>
      <c r="G988" s="13" t="str">
        <f>IF($A988="","",[1]!thsiFinD("ths_adjustment_nv_fund",G$3,$A988))</f>
        <v/>
      </c>
      <c r="H988" s="13" t="str">
        <f>IF($A988="","",[1]!thsiFinD("ths_adjustment_nv_fund",H$3,$A988))</f>
        <v/>
      </c>
      <c r="I988" s="13" t="str">
        <f>IF($A988="","",[1]!thsiFinD("ths_adjustment_nv_fund",I$3,$A988))</f>
        <v/>
      </c>
      <c r="J988" s="13" t="str">
        <f>IF($A988="","",[1]!thsiFinD("ths_adjustment_nv_fund",J$3,$A988))</f>
        <v/>
      </c>
      <c r="K988" s="13" t="str">
        <f>IF($A988="","",[1]!thsiFinD("ths_adjustment_nv_fund",K$3,$A988))</f>
        <v/>
      </c>
      <c r="L988" s="13" t="str">
        <f>IF($A988="","",[1]!thsiFinD("ths_adjustment_nv_fund",L$3,$A988))</f>
        <v/>
      </c>
      <c r="M988" s="13" t="str">
        <f>IF($A988="","",[1]!thsiFinD("ths_adjustment_nv_fund",M$3,$A988))</f>
        <v/>
      </c>
      <c r="N988" s="13" t="str">
        <f>IF($A988="","",[1]!thsiFinD("ths_adjustment_nv_fund",N$3,$A988))</f>
        <v/>
      </c>
      <c r="O988" s="13" t="str">
        <f>IF($A988="","",[1]!thsiFinD("ths_adjustment_nv_fund",O$3,$A988))</f>
        <v/>
      </c>
      <c r="P988" s="13" t="str">
        <f>IF($A988="","",[1]!thsiFinD("ths_adjustment_nv_fund",P$3,$A988))</f>
        <v/>
      </c>
      <c r="Q988" s="13" t="str">
        <f>IF($A988="","",[1]!thsiFinD("ths_adjustment_nv_fund",Q$3,$A988))</f>
        <v/>
      </c>
      <c r="R988" s="13" t="str">
        <f>IF($A988="","",[1]!thsiFinD("ths_adjustment_nv_fund",R$3,$A988))</f>
        <v/>
      </c>
      <c r="S988" s="13" t="str">
        <f>IF($A988="","",[1]!thsiFinD("ths_adjustment_nv_fund",S$3,$A988))</f>
        <v/>
      </c>
      <c r="T988" s="13" t="str">
        <f>IF($A988="","",[1]!thsiFinD("ths_adjustment_nv_fund",T$3,$A988))</f>
        <v/>
      </c>
      <c r="U988" s="13" t="str">
        <f>IF($A988="","",[1]!thsiFinD("ths_adjustment_nv_fund",U$3,$A988))</f>
        <v/>
      </c>
      <c r="V988" s="13" t="str">
        <f>IF($A988="","",[1]!thsiFinD("ths_adjustment_nv_fund",V$3,$A988))</f>
        <v/>
      </c>
      <c r="W988" s="13" t="str">
        <f>IF($A988="","",[1]!thsiFinD("ths_adjustment_nv_fund",W$3,$A988))</f>
        <v/>
      </c>
      <c r="X988" s="13" t="str">
        <f>IF($A988="","",[1]!thsiFinD("ths_adjustment_nv_fund",X$3,$A988))</f>
        <v/>
      </c>
      <c r="Y988" s="13" t="str">
        <f>IF($A988="","",[1]!thsiFinD("ths_adjustment_nv_fund",Y$3,$A988))</f>
        <v/>
      </c>
      <c r="Z988" s="13" t="str">
        <f>IF($A988="","",[1]!thsiFinD("ths_adjustment_nv_fund",Z$3,$A988))</f>
        <v/>
      </c>
      <c r="AA988" s="13" t="str">
        <f>IF($A988="","",[1]!thsiFinD("ths_adjustment_nv_fund",AA$3,$A988))</f>
        <v/>
      </c>
      <c r="AB988" s="13" t="str">
        <f>IF($A988="","",[1]!thsiFinD("ths_adjustment_nv_fund",AB$3,$A988))</f>
        <v/>
      </c>
    </row>
    <row r="989" spans="2:28">
      <c r="B989" s="13" t="str">
        <f>IF($A989="","",[1]!thsiFinD("ths_adjustment_nv_fund",B$3,$A989))</f>
        <v/>
      </c>
      <c r="C989" s="13" t="str">
        <f>IF($A989="","",[1]!thsiFinD("ths_adjustment_nv_fund",C$3,$A989))</f>
        <v/>
      </c>
      <c r="D989" s="13" t="str">
        <f>IF($A989="","",[1]!thsiFinD("ths_adjustment_nv_fund",D$3,$A989))</f>
        <v/>
      </c>
      <c r="E989" s="13" t="str">
        <f>IF($A989="","",[1]!thsiFinD("ths_adjustment_nv_fund",E$3,$A989))</f>
        <v/>
      </c>
      <c r="F989" s="13" t="str">
        <f>IF($A989="","",[1]!thsiFinD("ths_adjustment_nv_fund",F$3,$A989))</f>
        <v/>
      </c>
      <c r="G989" s="13" t="str">
        <f>IF($A989="","",[1]!thsiFinD("ths_adjustment_nv_fund",G$3,$A989))</f>
        <v/>
      </c>
      <c r="H989" s="13" t="str">
        <f>IF($A989="","",[1]!thsiFinD("ths_adjustment_nv_fund",H$3,$A989))</f>
        <v/>
      </c>
      <c r="I989" s="13" t="str">
        <f>IF($A989="","",[1]!thsiFinD("ths_adjustment_nv_fund",I$3,$A989))</f>
        <v/>
      </c>
      <c r="J989" s="13" t="str">
        <f>IF($A989="","",[1]!thsiFinD("ths_adjustment_nv_fund",J$3,$A989))</f>
        <v/>
      </c>
      <c r="K989" s="13" t="str">
        <f>IF($A989="","",[1]!thsiFinD("ths_adjustment_nv_fund",K$3,$A989))</f>
        <v/>
      </c>
      <c r="L989" s="13" t="str">
        <f>IF($A989="","",[1]!thsiFinD("ths_adjustment_nv_fund",L$3,$A989))</f>
        <v/>
      </c>
      <c r="M989" s="13" t="str">
        <f>IF($A989="","",[1]!thsiFinD("ths_adjustment_nv_fund",M$3,$A989))</f>
        <v/>
      </c>
      <c r="N989" s="13" t="str">
        <f>IF($A989="","",[1]!thsiFinD("ths_adjustment_nv_fund",N$3,$A989))</f>
        <v/>
      </c>
      <c r="O989" s="13" t="str">
        <f>IF($A989="","",[1]!thsiFinD("ths_adjustment_nv_fund",O$3,$A989))</f>
        <v/>
      </c>
      <c r="P989" s="13" t="str">
        <f>IF($A989="","",[1]!thsiFinD("ths_adjustment_nv_fund",P$3,$A989))</f>
        <v/>
      </c>
      <c r="Q989" s="13" t="str">
        <f>IF($A989="","",[1]!thsiFinD("ths_adjustment_nv_fund",Q$3,$A989))</f>
        <v/>
      </c>
      <c r="R989" s="13" t="str">
        <f>IF($A989="","",[1]!thsiFinD("ths_adjustment_nv_fund",R$3,$A989))</f>
        <v/>
      </c>
      <c r="S989" s="13" t="str">
        <f>IF($A989="","",[1]!thsiFinD("ths_adjustment_nv_fund",S$3,$A989))</f>
        <v/>
      </c>
      <c r="T989" s="13" t="str">
        <f>IF($A989="","",[1]!thsiFinD("ths_adjustment_nv_fund",T$3,$A989))</f>
        <v/>
      </c>
      <c r="U989" s="13" t="str">
        <f>IF($A989="","",[1]!thsiFinD("ths_adjustment_nv_fund",U$3,$A989))</f>
        <v/>
      </c>
      <c r="V989" s="13" t="str">
        <f>IF($A989="","",[1]!thsiFinD("ths_adjustment_nv_fund",V$3,$A989))</f>
        <v/>
      </c>
      <c r="W989" s="13" t="str">
        <f>IF($A989="","",[1]!thsiFinD("ths_adjustment_nv_fund",W$3,$A989))</f>
        <v/>
      </c>
      <c r="X989" s="13" t="str">
        <f>IF($A989="","",[1]!thsiFinD("ths_adjustment_nv_fund",X$3,$A989))</f>
        <v/>
      </c>
      <c r="Y989" s="13" t="str">
        <f>IF($A989="","",[1]!thsiFinD("ths_adjustment_nv_fund",Y$3,$A989))</f>
        <v/>
      </c>
      <c r="Z989" s="13" t="str">
        <f>IF($A989="","",[1]!thsiFinD("ths_adjustment_nv_fund",Z$3,$A989))</f>
        <v/>
      </c>
      <c r="AA989" s="13" t="str">
        <f>IF($A989="","",[1]!thsiFinD("ths_adjustment_nv_fund",AA$3,$A989))</f>
        <v/>
      </c>
      <c r="AB989" s="13" t="str">
        <f>IF($A989="","",[1]!thsiFinD("ths_adjustment_nv_fund",AB$3,$A989))</f>
        <v/>
      </c>
    </row>
    <row r="990" spans="2:28">
      <c r="B990" s="13" t="str">
        <f>IF($A990="","",[1]!thsiFinD("ths_adjustment_nv_fund",B$3,$A990))</f>
        <v/>
      </c>
      <c r="C990" s="13" t="str">
        <f>IF($A990="","",[1]!thsiFinD("ths_adjustment_nv_fund",C$3,$A990))</f>
        <v/>
      </c>
      <c r="D990" s="13" t="str">
        <f>IF($A990="","",[1]!thsiFinD("ths_adjustment_nv_fund",D$3,$A990))</f>
        <v/>
      </c>
      <c r="E990" s="13" t="str">
        <f>IF($A990="","",[1]!thsiFinD("ths_adjustment_nv_fund",E$3,$A990))</f>
        <v/>
      </c>
      <c r="F990" s="13" t="str">
        <f>IF($A990="","",[1]!thsiFinD("ths_adjustment_nv_fund",F$3,$A990))</f>
        <v/>
      </c>
      <c r="G990" s="13" t="str">
        <f>IF($A990="","",[1]!thsiFinD("ths_adjustment_nv_fund",G$3,$A990))</f>
        <v/>
      </c>
      <c r="H990" s="13" t="str">
        <f>IF($A990="","",[1]!thsiFinD("ths_adjustment_nv_fund",H$3,$A990))</f>
        <v/>
      </c>
      <c r="I990" s="13" t="str">
        <f>IF($A990="","",[1]!thsiFinD("ths_adjustment_nv_fund",I$3,$A990))</f>
        <v/>
      </c>
      <c r="J990" s="13" t="str">
        <f>IF($A990="","",[1]!thsiFinD("ths_adjustment_nv_fund",J$3,$A990))</f>
        <v/>
      </c>
      <c r="K990" s="13" t="str">
        <f>IF($A990="","",[1]!thsiFinD("ths_adjustment_nv_fund",K$3,$A990))</f>
        <v/>
      </c>
      <c r="L990" s="13" t="str">
        <f>IF($A990="","",[1]!thsiFinD("ths_adjustment_nv_fund",L$3,$A990))</f>
        <v/>
      </c>
      <c r="M990" s="13" t="str">
        <f>IF($A990="","",[1]!thsiFinD("ths_adjustment_nv_fund",M$3,$A990))</f>
        <v/>
      </c>
      <c r="N990" s="13" t="str">
        <f>IF($A990="","",[1]!thsiFinD("ths_adjustment_nv_fund",N$3,$A990))</f>
        <v/>
      </c>
      <c r="O990" s="13" t="str">
        <f>IF($A990="","",[1]!thsiFinD("ths_adjustment_nv_fund",O$3,$A990))</f>
        <v/>
      </c>
      <c r="P990" s="13" t="str">
        <f>IF($A990="","",[1]!thsiFinD("ths_adjustment_nv_fund",P$3,$A990))</f>
        <v/>
      </c>
      <c r="Q990" s="13" t="str">
        <f>IF($A990="","",[1]!thsiFinD("ths_adjustment_nv_fund",Q$3,$A990))</f>
        <v/>
      </c>
      <c r="R990" s="13" t="str">
        <f>IF($A990="","",[1]!thsiFinD("ths_adjustment_nv_fund",R$3,$A990))</f>
        <v/>
      </c>
      <c r="S990" s="13" t="str">
        <f>IF($A990="","",[1]!thsiFinD("ths_adjustment_nv_fund",S$3,$A990))</f>
        <v/>
      </c>
      <c r="T990" s="13" t="str">
        <f>IF($A990="","",[1]!thsiFinD("ths_adjustment_nv_fund",T$3,$A990))</f>
        <v/>
      </c>
      <c r="U990" s="13" t="str">
        <f>IF($A990="","",[1]!thsiFinD("ths_adjustment_nv_fund",U$3,$A990))</f>
        <v/>
      </c>
      <c r="V990" s="13" t="str">
        <f>IF($A990="","",[1]!thsiFinD("ths_adjustment_nv_fund",V$3,$A990))</f>
        <v/>
      </c>
      <c r="W990" s="13" t="str">
        <f>IF($A990="","",[1]!thsiFinD("ths_adjustment_nv_fund",W$3,$A990))</f>
        <v/>
      </c>
      <c r="X990" s="13" t="str">
        <f>IF($A990="","",[1]!thsiFinD("ths_adjustment_nv_fund",X$3,$A990))</f>
        <v/>
      </c>
      <c r="Y990" s="13" t="str">
        <f>IF($A990="","",[1]!thsiFinD("ths_adjustment_nv_fund",Y$3,$A990))</f>
        <v/>
      </c>
      <c r="Z990" s="13" t="str">
        <f>IF($A990="","",[1]!thsiFinD("ths_adjustment_nv_fund",Z$3,$A990))</f>
        <v/>
      </c>
      <c r="AA990" s="13" t="str">
        <f>IF($A990="","",[1]!thsiFinD("ths_adjustment_nv_fund",AA$3,$A990))</f>
        <v/>
      </c>
      <c r="AB990" s="13" t="str">
        <f>IF($A990="","",[1]!thsiFinD("ths_adjustment_nv_fund",AB$3,$A990))</f>
        <v/>
      </c>
    </row>
    <row r="991" spans="2:28">
      <c r="B991" s="13" t="str">
        <f>IF($A991="","",[1]!thsiFinD("ths_adjustment_nv_fund",B$3,$A991))</f>
        <v/>
      </c>
      <c r="C991" s="13" t="str">
        <f>IF($A991="","",[1]!thsiFinD("ths_adjustment_nv_fund",C$3,$A991))</f>
        <v/>
      </c>
      <c r="D991" s="13" t="str">
        <f>IF($A991="","",[1]!thsiFinD("ths_adjustment_nv_fund",D$3,$A991))</f>
        <v/>
      </c>
      <c r="E991" s="13" t="str">
        <f>IF($A991="","",[1]!thsiFinD("ths_adjustment_nv_fund",E$3,$A991))</f>
        <v/>
      </c>
      <c r="F991" s="13" t="str">
        <f>IF($A991="","",[1]!thsiFinD("ths_adjustment_nv_fund",F$3,$A991))</f>
        <v/>
      </c>
      <c r="G991" s="13" t="str">
        <f>IF($A991="","",[1]!thsiFinD("ths_adjustment_nv_fund",G$3,$A991))</f>
        <v/>
      </c>
      <c r="H991" s="13" t="str">
        <f>IF($A991="","",[1]!thsiFinD("ths_adjustment_nv_fund",H$3,$A991))</f>
        <v/>
      </c>
      <c r="I991" s="13" t="str">
        <f>IF($A991="","",[1]!thsiFinD("ths_adjustment_nv_fund",I$3,$A991))</f>
        <v/>
      </c>
      <c r="J991" s="13" t="str">
        <f>IF($A991="","",[1]!thsiFinD("ths_adjustment_nv_fund",J$3,$A991))</f>
        <v/>
      </c>
      <c r="K991" s="13" t="str">
        <f>IF($A991="","",[1]!thsiFinD("ths_adjustment_nv_fund",K$3,$A991))</f>
        <v/>
      </c>
      <c r="L991" s="13" t="str">
        <f>IF($A991="","",[1]!thsiFinD("ths_adjustment_nv_fund",L$3,$A991))</f>
        <v/>
      </c>
      <c r="M991" s="13" t="str">
        <f>IF($A991="","",[1]!thsiFinD("ths_adjustment_nv_fund",M$3,$A991))</f>
        <v/>
      </c>
      <c r="N991" s="13" t="str">
        <f>IF($A991="","",[1]!thsiFinD("ths_adjustment_nv_fund",N$3,$A991))</f>
        <v/>
      </c>
      <c r="O991" s="13" t="str">
        <f>IF($A991="","",[1]!thsiFinD("ths_adjustment_nv_fund",O$3,$A991))</f>
        <v/>
      </c>
      <c r="P991" s="13" t="str">
        <f>IF($A991="","",[1]!thsiFinD("ths_adjustment_nv_fund",P$3,$A991))</f>
        <v/>
      </c>
      <c r="Q991" s="13" t="str">
        <f>IF($A991="","",[1]!thsiFinD("ths_adjustment_nv_fund",Q$3,$A991))</f>
        <v/>
      </c>
      <c r="R991" s="13" t="str">
        <f>IF($A991="","",[1]!thsiFinD("ths_adjustment_nv_fund",R$3,$A991))</f>
        <v/>
      </c>
      <c r="S991" s="13" t="str">
        <f>IF($A991="","",[1]!thsiFinD("ths_adjustment_nv_fund",S$3,$A991))</f>
        <v/>
      </c>
      <c r="T991" s="13" t="str">
        <f>IF($A991="","",[1]!thsiFinD("ths_adjustment_nv_fund",T$3,$A991))</f>
        <v/>
      </c>
      <c r="U991" s="13" t="str">
        <f>IF($A991="","",[1]!thsiFinD("ths_adjustment_nv_fund",U$3,$A991))</f>
        <v/>
      </c>
      <c r="V991" s="13" t="str">
        <f>IF($A991="","",[1]!thsiFinD("ths_adjustment_nv_fund",V$3,$A991))</f>
        <v/>
      </c>
      <c r="W991" s="13" t="str">
        <f>IF($A991="","",[1]!thsiFinD("ths_adjustment_nv_fund",W$3,$A991))</f>
        <v/>
      </c>
      <c r="X991" s="13" t="str">
        <f>IF($A991="","",[1]!thsiFinD("ths_adjustment_nv_fund",X$3,$A991))</f>
        <v/>
      </c>
      <c r="Y991" s="13" t="str">
        <f>IF($A991="","",[1]!thsiFinD("ths_adjustment_nv_fund",Y$3,$A991))</f>
        <v/>
      </c>
      <c r="Z991" s="13" t="str">
        <f>IF($A991="","",[1]!thsiFinD("ths_adjustment_nv_fund",Z$3,$A991))</f>
        <v/>
      </c>
      <c r="AA991" s="13" t="str">
        <f>IF($A991="","",[1]!thsiFinD("ths_adjustment_nv_fund",AA$3,$A991))</f>
        <v/>
      </c>
      <c r="AB991" s="13" t="str">
        <f>IF($A991="","",[1]!thsiFinD("ths_adjustment_nv_fund",AB$3,$A991))</f>
        <v/>
      </c>
    </row>
    <row r="992" spans="2:28">
      <c r="B992" s="13" t="str">
        <f>IF($A992="","",[1]!thsiFinD("ths_adjustment_nv_fund",B$3,$A992))</f>
        <v/>
      </c>
      <c r="C992" s="13" t="str">
        <f>IF($A992="","",[1]!thsiFinD("ths_adjustment_nv_fund",C$3,$A992))</f>
        <v/>
      </c>
      <c r="D992" s="13" t="str">
        <f>IF($A992="","",[1]!thsiFinD("ths_adjustment_nv_fund",D$3,$A992))</f>
        <v/>
      </c>
      <c r="E992" s="13" t="str">
        <f>IF($A992="","",[1]!thsiFinD("ths_adjustment_nv_fund",E$3,$A992))</f>
        <v/>
      </c>
      <c r="F992" s="13" t="str">
        <f>IF($A992="","",[1]!thsiFinD("ths_adjustment_nv_fund",F$3,$A992))</f>
        <v/>
      </c>
      <c r="G992" s="13" t="str">
        <f>IF($A992="","",[1]!thsiFinD("ths_adjustment_nv_fund",G$3,$A992))</f>
        <v/>
      </c>
      <c r="H992" s="13" t="str">
        <f>IF($A992="","",[1]!thsiFinD("ths_adjustment_nv_fund",H$3,$A992))</f>
        <v/>
      </c>
      <c r="I992" s="13" t="str">
        <f>IF($A992="","",[1]!thsiFinD("ths_adjustment_nv_fund",I$3,$A992))</f>
        <v/>
      </c>
      <c r="J992" s="13" t="str">
        <f>IF($A992="","",[1]!thsiFinD("ths_adjustment_nv_fund",J$3,$A992))</f>
        <v/>
      </c>
      <c r="K992" s="13" t="str">
        <f>IF($A992="","",[1]!thsiFinD("ths_adjustment_nv_fund",K$3,$A992))</f>
        <v/>
      </c>
      <c r="L992" s="13" t="str">
        <f>IF($A992="","",[1]!thsiFinD("ths_adjustment_nv_fund",L$3,$A992))</f>
        <v/>
      </c>
      <c r="M992" s="13" t="str">
        <f>IF($A992="","",[1]!thsiFinD("ths_adjustment_nv_fund",M$3,$A992))</f>
        <v/>
      </c>
      <c r="N992" s="13" t="str">
        <f>IF($A992="","",[1]!thsiFinD("ths_adjustment_nv_fund",N$3,$A992))</f>
        <v/>
      </c>
      <c r="O992" s="13" t="str">
        <f>IF($A992="","",[1]!thsiFinD("ths_adjustment_nv_fund",O$3,$A992))</f>
        <v/>
      </c>
      <c r="P992" s="13" t="str">
        <f>IF($A992="","",[1]!thsiFinD("ths_adjustment_nv_fund",P$3,$A992))</f>
        <v/>
      </c>
      <c r="Q992" s="13" t="str">
        <f>IF($A992="","",[1]!thsiFinD("ths_adjustment_nv_fund",Q$3,$A992))</f>
        <v/>
      </c>
      <c r="R992" s="13" t="str">
        <f>IF($A992="","",[1]!thsiFinD("ths_adjustment_nv_fund",R$3,$A992))</f>
        <v/>
      </c>
      <c r="S992" s="13" t="str">
        <f>IF($A992="","",[1]!thsiFinD("ths_adjustment_nv_fund",S$3,$A992))</f>
        <v/>
      </c>
      <c r="T992" s="13" t="str">
        <f>IF($A992="","",[1]!thsiFinD("ths_adjustment_nv_fund",T$3,$A992))</f>
        <v/>
      </c>
      <c r="U992" s="13" t="str">
        <f>IF($A992="","",[1]!thsiFinD("ths_adjustment_nv_fund",U$3,$A992))</f>
        <v/>
      </c>
      <c r="V992" s="13" t="str">
        <f>IF($A992="","",[1]!thsiFinD("ths_adjustment_nv_fund",V$3,$A992))</f>
        <v/>
      </c>
      <c r="W992" s="13" t="str">
        <f>IF($A992="","",[1]!thsiFinD("ths_adjustment_nv_fund",W$3,$A992))</f>
        <v/>
      </c>
      <c r="X992" s="13" t="str">
        <f>IF($A992="","",[1]!thsiFinD("ths_adjustment_nv_fund",X$3,$A992))</f>
        <v/>
      </c>
      <c r="Y992" s="13" t="str">
        <f>IF($A992="","",[1]!thsiFinD("ths_adjustment_nv_fund",Y$3,$A992))</f>
        <v/>
      </c>
      <c r="Z992" s="13" t="str">
        <f>IF($A992="","",[1]!thsiFinD("ths_adjustment_nv_fund",Z$3,$A992))</f>
        <v/>
      </c>
      <c r="AA992" s="13" t="str">
        <f>IF($A992="","",[1]!thsiFinD("ths_adjustment_nv_fund",AA$3,$A992))</f>
        <v/>
      </c>
      <c r="AB992" s="13" t="str">
        <f>IF($A992="","",[1]!thsiFinD("ths_adjustment_nv_fund",AB$3,$A992))</f>
        <v/>
      </c>
    </row>
    <row r="993" spans="2:28">
      <c r="B993" s="13" t="str">
        <f>IF($A993="","",[1]!thsiFinD("ths_adjustment_nv_fund",B$3,$A993))</f>
        <v/>
      </c>
      <c r="C993" s="13" t="str">
        <f>IF($A993="","",[1]!thsiFinD("ths_adjustment_nv_fund",C$3,$A993))</f>
        <v/>
      </c>
      <c r="D993" s="13" t="str">
        <f>IF($A993="","",[1]!thsiFinD("ths_adjustment_nv_fund",D$3,$A993))</f>
        <v/>
      </c>
      <c r="E993" s="13" t="str">
        <f>IF($A993="","",[1]!thsiFinD("ths_adjustment_nv_fund",E$3,$A993))</f>
        <v/>
      </c>
      <c r="F993" s="13" t="str">
        <f>IF($A993="","",[1]!thsiFinD("ths_adjustment_nv_fund",F$3,$A993))</f>
        <v/>
      </c>
      <c r="G993" s="13" t="str">
        <f>IF($A993="","",[1]!thsiFinD("ths_adjustment_nv_fund",G$3,$A993))</f>
        <v/>
      </c>
      <c r="H993" s="13" t="str">
        <f>IF($A993="","",[1]!thsiFinD("ths_adjustment_nv_fund",H$3,$A993))</f>
        <v/>
      </c>
      <c r="I993" s="13" t="str">
        <f>IF($A993="","",[1]!thsiFinD("ths_adjustment_nv_fund",I$3,$A993))</f>
        <v/>
      </c>
      <c r="J993" s="13" t="str">
        <f>IF($A993="","",[1]!thsiFinD("ths_adjustment_nv_fund",J$3,$A993))</f>
        <v/>
      </c>
      <c r="K993" s="13" t="str">
        <f>IF($A993="","",[1]!thsiFinD("ths_adjustment_nv_fund",K$3,$A993))</f>
        <v/>
      </c>
      <c r="L993" s="13" t="str">
        <f>IF($A993="","",[1]!thsiFinD("ths_adjustment_nv_fund",L$3,$A993))</f>
        <v/>
      </c>
      <c r="M993" s="13" t="str">
        <f>IF($A993="","",[1]!thsiFinD("ths_adjustment_nv_fund",M$3,$A993))</f>
        <v/>
      </c>
      <c r="N993" s="13" t="str">
        <f>IF($A993="","",[1]!thsiFinD("ths_adjustment_nv_fund",N$3,$A993))</f>
        <v/>
      </c>
      <c r="O993" s="13" t="str">
        <f>IF($A993="","",[1]!thsiFinD("ths_adjustment_nv_fund",O$3,$A993))</f>
        <v/>
      </c>
      <c r="P993" s="13" t="str">
        <f>IF($A993="","",[1]!thsiFinD("ths_adjustment_nv_fund",P$3,$A993))</f>
        <v/>
      </c>
      <c r="Q993" s="13" t="str">
        <f>IF($A993="","",[1]!thsiFinD("ths_adjustment_nv_fund",Q$3,$A993))</f>
        <v/>
      </c>
      <c r="R993" s="13" t="str">
        <f>IF($A993="","",[1]!thsiFinD("ths_adjustment_nv_fund",R$3,$A993))</f>
        <v/>
      </c>
      <c r="S993" s="13" t="str">
        <f>IF($A993="","",[1]!thsiFinD("ths_adjustment_nv_fund",S$3,$A993))</f>
        <v/>
      </c>
      <c r="T993" s="13" t="str">
        <f>IF($A993="","",[1]!thsiFinD("ths_adjustment_nv_fund",T$3,$A993))</f>
        <v/>
      </c>
      <c r="U993" s="13" t="str">
        <f>IF($A993="","",[1]!thsiFinD("ths_adjustment_nv_fund",U$3,$A993))</f>
        <v/>
      </c>
      <c r="V993" s="13" t="str">
        <f>IF($A993="","",[1]!thsiFinD("ths_adjustment_nv_fund",V$3,$A993))</f>
        <v/>
      </c>
      <c r="W993" s="13" t="str">
        <f>IF($A993="","",[1]!thsiFinD("ths_adjustment_nv_fund",W$3,$A993))</f>
        <v/>
      </c>
      <c r="X993" s="13" t="str">
        <f>IF($A993="","",[1]!thsiFinD("ths_adjustment_nv_fund",X$3,$A993))</f>
        <v/>
      </c>
      <c r="Y993" s="13" t="str">
        <f>IF($A993="","",[1]!thsiFinD("ths_adjustment_nv_fund",Y$3,$A993))</f>
        <v/>
      </c>
      <c r="Z993" s="13" t="str">
        <f>IF($A993="","",[1]!thsiFinD("ths_adjustment_nv_fund",Z$3,$A993))</f>
        <v/>
      </c>
      <c r="AA993" s="13" t="str">
        <f>IF($A993="","",[1]!thsiFinD("ths_adjustment_nv_fund",AA$3,$A993))</f>
        <v/>
      </c>
      <c r="AB993" s="13" t="str">
        <f>IF($A993="","",[1]!thsiFinD("ths_adjustment_nv_fund",AB$3,$A993))</f>
        <v/>
      </c>
    </row>
    <row r="994" spans="2:28">
      <c r="B994" s="13" t="str">
        <f>IF($A994="","",[1]!thsiFinD("ths_adjustment_nv_fund",B$3,$A994))</f>
        <v/>
      </c>
      <c r="C994" s="13" t="str">
        <f>IF($A994="","",[1]!thsiFinD("ths_adjustment_nv_fund",C$3,$A994))</f>
        <v/>
      </c>
      <c r="D994" s="13" t="str">
        <f>IF($A994="","",[1]!thsiFinD("ths_adjustment_nv_fund",D$3,$A994))</f>
        <v/>
      </c>
      <c r="E994" s="13" t="str">
        <f>IF($A994="","",[1]!thsiFinD("ths_adjustment_nv_fund",E$3,$A994))</f>
        <v/>
      </c>
      <c r="F994" s="13" t="str">
        <f>IF($A994="","",[1]!thsiFinD("ths_adjustment_nv_fund",F$3,$A994))</f>
        <v/>
      </c>
      <c r="G994" s="13" t="str">
        <f>IF($A994="","",[1]!thsiFinD("ths_adjustment_nv_fund",G$3,$A994))</f>
        <v/>
      </c>
      <c r="H994" s="13" t="str">
        <f>IF($A994="","",[1]!thsiFinD("ths_adjustment_nv_fund",H$3,$A994))</f>
        <v/>
      </c>
      <c r="I994" s="13" t="str">
        <f>IF($A994="","",[1]!thsiFinD("ths_adjustment_nv_fund",I$3,$A994))</f>
        <v/>
      </c>
      <c r="J994" s="13" t="str">
        <f>IF($A994="","",[1]!thsiFinD("ths_adjustment_nv_fund",J$3,$A994))</f>
        <v/>
      </c>
      <c r="K994" s="13" t="str">
        <f>IF($A994="","",[1]!thsiFinD("ths_adjustment_nv_fund",K$3,$A994))</f>
        <v/>
      </c>
      <c r="L994" s="13" t="str">
        <f>IF($A994="","",[1]!thsiFinD("ths_adjustment_nv_fund",L$3,$A994))</f>
        <v/>
      </c>
      <c r="M994" s="13" t="str">
        <f>IF($A994="","",[1]!thsiFinD("ths_adjustment_nv_fund",M$3,$A994))</f>
        <v/>
      </c>
      <c r="N994" s="13" t="str">
        <f>IF($A994="","",[1]!thsiFinD("ths_adjustment_nv_fund",N$3,$A994))</f>
        <v/>
      </c>
      <c r="O994" s="13" t="str">
        <f>IF($A994="","",[1]!thsiFinD("ths_adjustment_nv_fund",O$3,$A994))</f>
        <v/>
      </c>
      <c r="P994" s="13" t="str">
        <f>IF($A994="","",[1]!thsiFinD("ths_adjustment_nv_fund",P$3,$A994))</f>
        <v/>
      </c>
      <c r="Q994" s="13" t="str">
        <f>IF($A994="","",[1]!thsiFinD("ths_adjustment_nv_fund",Q$3,$A994))</f>
        <v/>
      </c>
      <c r="R994" s="13" t="str">
        <f>IF($A994="","",[1]!thsiFinD("ths_adjustment_nv_fund",R$3,$A994))</f>
        <v/>
      </c>
      <c r="S994" s="13" t="str">
        <f>IF($A994="","",[1]!thsiFinD("ths_adjustment_nv_fund",S$3,$A994))</f>
        <v/>
      </c>
      <c r="T994" s="13" t="str">
        <f>IF($A994="","",[1]!thsiFinD("ths_adjustment_nv_fund",T$3,$A994))</f>
        <v/>
      </c>
      <c r="U994" s="13" t="str">
        <f>IF($A994="","",[1]!thsiFinD("ths_adjustment_nv_fund",U$3,$A994))</f>
        <v/>
      </c>
      <c r="V994" s="13" t="str">
        <f>IF($A994="","",[1]!thsiFinD("ths_adjustment_nv_fund",V$3,$A994))</f>
        <v/>
      </c>
      <c r="W994" s="13" t="str">
        <f>IF($A994="","",[1]!thsiFinD("ths_adjustment_nv_fund",W$3,$A994))</f>
        <v/>
      </c>
      <c r="X994" s="13" t="str">
        <f>IF($A994="","",[1]!thsiFinD("ths_adjustment_nv_fund",X$3,$A994))</f>
        <v/>
      </c>
      <c r="Y994" s="13" t="str">
        <f>IF($A994="","",[1]!thsiFinD("ths_adjustment_nv_fund",Y$3,$A994))</f>
        <v/>
      </c>
      <c r="Z994" s="13" t="str">
        <f>IF($A994="","",[1]!thsiFinD("ths_adjustment_nv_fund",Z$3,$A994))</f>
        <v/>
      </c>
      <c r="AA994" s="13" t="str">
        <f>IF($A994="","",[1]!thsiFinD("ths_adjustment_nv_fund",AA$3,$A994))</f>
        <v/>
      </c>
      <c r="AB994" s="13" t="str">
        <f>IF($A994="","",[1]!thsiFinD("ths_adjustment_nv_fund",AB$3,$A994))</f>
        <v/>
      </c>
    </row>
    <row r="995" spans="2:28">
      <c r="B995" s="13" t="str">
        <f>IF($A995="","",[1]!thsiFinD("ths_adjustment_nv_fund",B$3,$A995))</f>
        <v/>
      </c>
      <c r="C995" s="13" t="str">
        <f>IF($A995="","",[1]!thsiFinD("ths_adjustment_nv_fund",C$3,$A995))</f>
        <v/>
      </c>
      <c r="D995" s="13" t="str">
        <f>IF($A995="","",[1]!thsiFinD("ths_adjustment_nv_fund",D$3,$A995))</f>
        <v/>
      </c>
      <c r="E995" s="13" t="str">
        <f>IF($A995="","",[1]!thsiFinD("ths_adjustment_nv_fund",E$3,$A995))</f>
        <v/>
      </c>
      <c r="F995" s="13" t="str">
        <f>IF($A995="","",[1]!thsiFinD("ths_adjustment_nv_fund",F$3,$A995))</f>
        <v/>
      </c>
      <c r="G995" s="13" t="str">
        <f>IF($A995="","",[1]!thsiFinD("ths_adjustment_nv_fund",G$3,$A995))</f>
        <v/>
      </c>
      <c r="H995" s="13" t="str">
        <f>IF($A995="","",[1]!thsiFinD("ths_adjustment_nv_fund",H$3,$A995))</f>
        <v/>
      </c>
      <c r="I995" s="13" t="str">
        <f>IF($A995="","",[1]!thsiFinD("ths_adjustment_nv_fund",I$3,$A995))</f>
        <v/>
      </c>
      <c r="J995" s="13" t="str">
        <f>IF($A995="","",[1]!thsiFinD("ths_adjustment_nv_fund",J$3,$A995))</f>
        <v/>
      </c>
      <c r="K995" s="13" t="str">
        <f>IF($A995="","",[1]!thsiFinD("ths_adjustment_nv_fund",K$3,$A995))</f>
        <v/>
      </c>
      <c r="L995" s="13" t="str">
        <f>IF($A995="","",[1]!thsiFinD("ths_adjustment_nv_fund",L$3,$A995))</f>
        <v/>
      </c>
      <c r="M995" s="13" t="str">
        <f>IF($A995="","",[1]!thsiFinD("ths_adjustment_nv_fund",M$3,$A995))</f>
        <v/>
      </c>
      <c r="N995" s="13" t="str">
        <f>IF($A995="","",[1]!thsiFinD("ths_adjustment_nv_fund",N$3,$A995))</f>
        <v/>
      </c>
      <c r="O995" s="13" t="str">
        <f>IF($A995="","",[1]!thsiFinD("ths_adjustment_nv_fund",O$3,$A995))</f>
        <v/>
      </c>
      <c r="P995" s="13" t="str">
        <f>IF($A995="","",[1]!thsiFinD("ths_adjustment_nv_fund",P$3,$A995))</f>
        <v/>
      </c>
      <c r="Q995" s="13" t="str">
        <f>IF($A995="","",[1]!thsiFinD("ths_adjustment_nv_fund",Q$3,$A995))</f>
        <v/>
      </c>
      <c r="R995" s="13" t="str">
        <f>IF($A995="","",[1]!thsiFinD("ths_adjustment_nv_fund",R$3,$A995))</f>
        <v/>
      </c>
      <c r="S995" s="13" t="str">
        <f>IF($A995="","",[1]!thsiFinD("ths_adjustment_nv_fund",S$3,$A995))</f>
        <v/>
      </c>
      <c r="T995" s="13" t="str">
        <f>IF($A995="","",[1]!thsiFinD("ths_adjustment_nv_fund",T$3,$A995))</f>
        <v/>
      </c>
      <c r="U995" s="13" t="str">
        <f>IF($A995="","",[1]!thsiFinD("ths_adjustment_nv_fund",U$3,$A995))</f>
        <v/>
      </c>
      <c r="V995" s="13" t="str">
        <f>IF($A995="","",[1]!thsiFinD("ths_adjustment_nv_fund",V$3,$A995))</f>
        <v/>
      </c>
      <c r="W995" s="13" t="str">
        <f>IF($A995="","",[1]!thsiFinD("ths_adjustment_nv_fund",W$3,$A995))</f>
        <v/>
      </c>
      <c r="X995" s="13" t="str">
        <f>IF($A995="","",[1]!thsiFinD("ths_adjustment_nv_fund",X$3,$A995))</f>
        <v/>
      </c>
      <c r="Y995" s="13" t="str">
        <f>IF($A995="","",[1]!thsiFinD("ths_adjustment_nv_fund",Y$3,$A995))</f>
        <v/>
      </c>
      <c r="Z995" s="13" t="str">
        <f>IF($A995="","",[1]!thsiFinD("ths_adjustment_nv_fund",Z$3,$A995))</f>
        <v/>
      </c>
      <c r="AA995" s="13" t="str">
        <f>IF($A995="","",[1]!thsiFinD("ths_adjustment_nv_fund",AA$3,$A995))</f>
        <v/>
      </c>
      <c r="AB995" s="13" t="str">
        <f>IF($A995="","",[1]!thsiFinD("ths_adjustment_nv_fund",AB$3,$A995))</f>
        <v/>
      </c>
    </row>
    <row r="996" spans="2:28">
      <c r="B996" s="13" t="str">
        <f>IF($A996="","",[1]!thsiFinD("ths_adjustment_nv_fund",B$3,$A996))</f>
        <v/>
      </c>
      <c r="C996" s="13" t="str">
        <f>IF($A996="","",[1]!thsiFinD("ths_adjustment_nv_fund",C$3,$A996))</f>
        <v/>
      </c>
      <c r="D996" s="13" t="str">
        <f>IF($A996="","",[1]!thsiFinD("ths_adjustment_nv_fund",D$3,$A996))</f>
        <v/>
      </c>
      <c r="E996" s="13" t="str">
        <f>IF($A996="","",[1]!thsiFinD("ths_adjustment_nv_fund",E$3,$A996))</f>
        <v/>
      </c>
      <c r="F996" s="13" t="str">
        <f>IF($A996="","",[1]!thsiFinD("ths_adjustment_nv_fund",F$3,$A996))</f>
        <v/>
      </c>
      <c r="G996" s="13" t="str">
        <f>IF($A996="","",[1]!thsiFinD("ths_adjustment_nv_fund",G$3,$A996))</f>
        <v/>
      </c>
      <c r="H996" s="13" t="str">
        <f>IF($A996="","",[1]!thsiFinD("ths_adjustment_nv_fund",H$3,$A996))</f>
        <v/>
      </c>
      <c r="I996" s="13" t="str">
        <f>IF($A996="","",[1]!thsiFinD("ths_adjustment_nv_fund",I$3,$A996))</f>
        <v/>
      </c>
      <c r="J996" s="13" t="str">
        <f>IF($A996="","",[1]!thsiFinD("ths_adjustment_nv_fund",J$3,$A996))</f>
        <v/>
      </c>
      <c r="K996" s="13" t="str">
        <f>IF($A996="","",[1]!thsiFinD("ths_adjustment_nv_fund",K$3,$A996))</f>
        <v/>
      </c>
      <c r="L996" s="13" t="str">
        <f>IF($A996="","",[1]!thsiFinD("ths_adjustment_nv_fund",L$3,$A996))</f>
        <v/>
      </c>
      <c r="M996" s="13" t="str">
        <f>IF($A996="","",[1]!thsiFinD("ths_adjustment_nv_fund",M$3,$A996))</f>
        <v/>
      </c>
      <c r="N996" s="13" t="str">
        <f>IF($A996="","",[1]!thsiFinD("ths_adjustment_nv_fund",N$3,$A996))</f>
        <v/>
      </c>
      <c r="O996" s="13" t="str">
        <f>IF($A996="","",[1]!thsiFinD("ths_adjustment_nv_fund",O$3,$A996))</f>
        <v/>
      </c>
      <c r="P996" s="13" t="str">
        <f>IF($A996="","",[1]!thsiFinD("ths_adjustment_nv_fund",P$3,$A996))</f>
        <v/>
      </c>
      <c r="Q996" s="13" t="str">
        <f>IF($A996="","",[1]!thsiFinD("ths_adjustment_nv_fund",Q$3,$A996))</f>
        <v/>
      </c>
      <c r="R996" s="13" t="str">
        <f>IF($A996="","",[1]!thsiFinD("ths_adjustment_nv_fund",R$3,$A996))</f>
        <v/>
      </c>
      <c r="S996" s="13" t="str">
        <f>IF($A996="","",[1]!thsiFinD("ths_adjustment_nv_fund",S$3,$A996))</f>
        <v/>
      </c>
      <c r="T996" s="13" t="str">
        <f>IF($A996="","",[1]!thsiFinD("ths_adjustment_nv_fund",T$3,$A996))</f>
        <v/>
      </c>
      <c r="U996" s="13" t="str">
        <f>IF($A996="","",[1]!thsiFinD("ths_adjustment_nv_fund",U$3,$A996))</f>
        <v/>
      </c>
      <c r="V996" s="13" t="str">
        <f>IF($A996="","",[1]!thsiFinD("ths_adjustment_nv_fund",V$3,$A996))</f>
        <v/>
      </c>
      <c r="W996" s="13" t="str">
        <f>IF($A996="","",[1]!thsiFinD("ths_adjustment_nv_fund",W$3,$A996))</f>
        <v/>
      </c>
      <c r="X996" s="13" t="str">
        <f>IF($A996="","",[1]!thsiFinD("ths_adjustment_nv_fund",X$3,$A996))</f>
        <v/>
      </c>
      <c r="Y996" s="13" t="str">
        <f>IF($A996="","",[1]!thsiFinD("ths_adjustment_nv_fund",Y$3,$A996))</f>
        <v/>
      </c>
      <c r="Z996" s="13" t="str">
        <f>IF($A996="","",[1]!thsiFinD("ths_adjustment_nv_fund",Z$3,$A996))</f>
        <v/>
      </c>
      <c r="AA996" s="13" t="str">
        <f>IF($A996="","",[1]!thsiFinD("ths_adjustment_nv_fund",AA$3,$A996))</f>
        <v/>
      </c>
      <c r="AB996" s="13" t="str">
        <f>IF($A996="","",[1]!thsiFinD("ths_adjustment_nv_fund",AB$3,$A996))</f>
        <v/>
      </c>
    </row>
    <row r="997" spans="2:28">
      <c r="B997" s="13" t="str">
        <f>IF($A997="","",[1]!thsiFinD("ths_adjustment_nv_fund",B$3,$A997))</f>
        <v/>
      </c>
      <c r="C997" s="13" t="str">
        <f>IF($A997="","",[1]!thsiFinD("ths_adjustment_nv_fund",C$3,$A997))</f>
        <v/>
      </c>
      <c r="D997" s="13" t="str">
        <f>IF($A997="","",[1]!thsiFinD("ths_adjustment_nv_fund",D$3,$A997))</f>
        <v/>
      </c>
      <c r="E997" s="13" t="str">
        <f>IF($A997="","",[1]!thsiFinD("ths_adjustment_nv_fund",E$3,$A997))</f>
        <v/>
      </c>
      <c r="F997" s="13" t="str">
        <f>IF($A997="","",[1]!thsiFinD("ths_adjustment_nv_fund",F$3,$A997))</f>
        <v/>
      </c>
      <c r="G997" s="13" t="str">
        <f>IF($A997="","",[1]!thsiFinD("ths_adjustment_nv_fund",G$3,$A997))</f>
        <v/>
      </c>
      <c r="H997" s="13" t="str">
        <f>IF($A997="","",[1]!thsiFinD("ths_adjustment_nv_fund",H$3,$A997))</f>
        <v/>
      </c>
      <c r="I997" s="13" t="str">
        <f>IF($A997="","",[1]!thsiFinD("ths_adjustment_nv_fund",I$3,$A997))</f>
        <v/>
      </c>
      <c r="J997" s="13" t="str">
        <f>IF($A997="","",[1]!thsiFinD("ths_adjustment_nv_fund",J$3,$A997))</f>
        <v/>
      </c>
      <c r="K997" s="13" t="str">
        <f>IF($A997="","",[1]!thsiFinD("ths_adjustment_nv_fund",K$3,$A997))</f>
        <v/>
      </c>
      <c r="L997" s="13" t="str">
        <f>IF($A997="","",[1]!thsiFinD("ths_adjustment_nv_fund",L$3,$A997))</f>
        <v/>
      </c>
      <c r="M997" s="13" t="str">
        <f>IF($A997="","",[1]!thsiFinD("ths_adjustment_nv_fund",M$3,$A997))</f>
        <v/>
      </c>
      <c r="N997" s="13" t="str">
        <f>IF($A997="","",[1]!thsiFinD("ths_adjustment_nv_fund",N$3,$A997))</f>
        <v/>
      </c>
      <c r="O997" s="13" t="str">
        <f>IF($A997="","",[1]!thsiFinD("ths_adjustment_nv_fund",O$3,$A997))</f>
        <v/>
      </c>
      <c r="P997" s="13" t="str">
        <f>IF($A997="","",[1]!thsiFinD("ths_adjustment_nv_fund",P$3,$A997))</f>
        <v/>
      </c>
      <c r="Q997" s="13" t="str">
        <f>IF($A997="","",[1]!thsiFinD("ths_adjustment_nv_fund",Q$3,$A997))</f>
        <v/>
      </c>
      <c r="R997" s="13" t="str">
        <f>IF($A997="","",[1]!thsiFinD("ths_adjustment_nv_fund",R$3,$A997))</f>
        <v/>
      </c>
      <c r="S997" s="13" t="str">
        <f>IF($A997="","",[1]!thsiFinD("ths_adjustment_nv_fund",S$3,$A997))</f>
        <v/>
      </c>
      <c r="T997" s="13" t="str">
        <f>IF($A997="","",[1]!thsiFinD("ths_adjustment_nv_fund",T$3,$A997))</f>
        <v/>
      </c>
      <c r="U997" s="13" t="str">
        <f>IF($A997="","",[1]!thsiFinD("ths_adjustment_nv_fund",U$3,$A997))</f>
        <v/>
      </c>
      <c r="V997" s="13" t="str">
        <f>IF($A997="","",[1]!thsiFinD("ths_adjustment_nv_fund",V$3,$A997))</f>
        <v/>
      </c>
      <c r="W997" s="13" t="str">
        <f>IF($A997="","",[1]!thsiFinD("ths_adjustment_nv_fund",W$3,$A997))</f>
        <v/>
      </c>
      <c r="X997" s="13" t="str">
        <f>IF($A997="","",[1]!thsiFinD("ths_adjustment_nv_fund",X$3,$A997))</f>
        <v/>
      </c>
      <c r="Y997" s="13" t="str">
        <f>IF($A997="","",[1]!thsiFinD("ths_adjustment_nv_fund",Y$3,$A997))</f>
        <v/>
      </c>
      <c r="Z997" s="13" t="str">
        <f>IF($A997="","",[1]!thsiFinD("ths_adjustment_nv_fund",Z$3,$A997))</f>
        <v/>
      </c>
      <c r="AA997" s="13" t="str">
        <f>IF($A997="","",[1]!thsiFinD("ths_adjustment_nv_fund",AA$3,$A997))</f>
        <v/>
      </c>
      <c r="AB997" s="13" t="str">
        <f>IF($A997="","",[1]!thsiFinD("ths_adjustment_nv_fund",AB$3,$A997))</f>
        <v/>
      </c>
    </row>
    <row r="998" spans="2:28">
      <c r="B998" s="13" t="str">
        <f>IF($A998="","",[1]!thsiFinD("ths_adjustment_nv_fund",B$3,$A998))</f>
        <v/>
      </c>
      <c r="C998" s="13" t="str">
        <f>IF($A998="","",[1]!thsiFinD("ths_adjustment_nv_fund",C$3,$A998))</f>
        <v/>
      </c>
      <c r="D998" s="13" t="str">
        <f>IF($A998="","",[1]!thsiFinD("ths_adjustment_nv_fund",D$3,$A998))</f>
        <v/>
      </c>
      <c r="E998" s="13" t="str">
        <f>IF($A998="","",[1]!thsiFinD("ths_adjustment_nv_fund",E$3,$A998))</f>
        <v/>
      </c>
      <c r="F998" s="13" t="str">
        <f>IF($A998="","",[1]!thsiFinD("ths_adjustment_nv_fund",F$3,$A998))</f>
        <v/>
      </c>
      <c r="G998" s="13" t="str">
        <f>IF($A998="","",[1]!thsiFinD("ths_adjustment_nv_fund",G$3,$A998))</f>
        <v/>
      </c>
      <c r="H998" s="13" t="str">
        <f>IF($A998="","",[1]!thsiFinD("ths_adjustment_nv_fund",H$3,$A998))</f>
        <v/>
      </c>
      <c r="I998" s="13" t="str">
        <f>IF($A998="","",[1]!thsiFinD("ths_adjustment_nv_fund",I$3,$A998))</f>
        <v/>
      </c>
      <c r="J998" s="13" t="str">
        <f>IF($A998="","",[1]!thsiFinD("ths_adjustment_nv_fund",J$3,$A998))</f>
        <v/>
      </c>
      <c r="K998" s="13" t="str">
        <f>IF($A998="","",[1]!thsiFinD("ths_adjustment_nv_fund",K$3,$A998))</f>
        <v/>
      </c>
      <c r="L998" s="13" t="str">
        <f>IF($A998="","",[1]!thsiFinD("ths_adjustment_nv_fund",L$3,$A998))</f>
        <v/>
      </c>
      <c r="M998" s="13" t="str">
        <f>IF($A998="","",[1]!thsiFinD("ths_adjustment_nv_fund",M$3,$A998))</f>
        <v/>
      </c>
      <c r="N998" s="13" t="str">
        <f>IF($A998="","",[1]!thsiFinD("ths_adjustment_nv_fund",N$3,$A998))</f>
        <v/>
      </c>
      <c r="O998" s="13" t="str">
        <f>IF($A998="","",[1]!thsiFinD("ths_adjustment_nv_fund",O$3,$A998))</f>
        <v/>
      </c>
      <c r="P998" s="13" t="str">
        <f>IF($A998="","",[1]!thsiFinD("ths_adjustment_nv_fund",P$3,$A998))</f>
        <v/>
      </c>
      <c r="Q998" s="13" t="str">
        <f>IF($A998="","",[1]!thsiFinD("ths_adjustment_nv_fund",Q$3,$A998))</f>
        <v/>
      </c>
      <c r="R998" s="13" t="str">
        <f>IF($A998="","",[1]!thsiFinD("ths_adjustment_nv_fund",R$3,$A998))</f>
        <v/>
      </c>
      <c r="S998" s="13" t="str">
        <f>IF($A998="","",[1]!thsiFinD("ths_adjustment_nv_fund",S$3,$A998))</f>
        <v/>
      </c>
      <c r="T998" s="13" t="str">
        <f>IF($A998="","",[1]!thsiFinD("ths_adjustment_nv_fund",T$3,$A998))</f>
        <v/>
      </c>
      <c r="U998" s="13" t="str">
        <f>IF($A998="","",[1]!thsiFinD("ths_adjustment_nv_fund",U$3,$A998))</f>
        <v/>
      </c>
      <c r="V998" s="13" t="str">
        <f>IF($A998="","",[1]!thsiFinD("ths_adjustment_nv_fund",V$3,$A998))</f>
        <v/>
      </c>
      <c r="W998" s="13" t="str">
        <f>IF($A998="","",[1]!thsiFinD("ths_adjustment_nv_fund",W$3,$A998))</f>
        <v/>
      </c>
      <c r="X998" s="13" t="str">
        <f>IF($A998="","",[1]!thsiFinD("ths_adjustment_nv_fund",X$3,$A998))</f>
        <v/>
      </c>
      <c r="Y998" s="13" t="str">
        <f>IF($A998="","",[1]!thsiFinD("ths_adjustment_nv_fund",Y$3,$A998))</f>
        <v/>
      </c>
      <c r="Z998" s="13" t="str">
        <f>IF($A998="","",[1]!thsiFinD("ths_adjustment_nv_fund",Z$3,$A998))</f>
        <v/>
      </c>
      <c r="AA998" s="13" t="str">
        <f>IF($A998="","",[1]!thsiFinD("ths_adjustment_nv_fund",AA$3,$A998))</f>
        <v/>
      </c>
      <c r="AB998" s="13" t="str">
        <f>IF($A998="","",[1]!thsiFinD("ths_adjustment_nv_fund",AB$3,$A998))</f>
        <v/>
      </c>
    </row>
    <row r="999" spans="2:28">
      <c r="B999" s="13" t="str">
        <f>IF($A999="","",[1]!thsiFinD("ths_adjustment_nv_fund",B$3,$A999))</f>
        <v/>
      </c>
      <c r="C999" s="13" t="str">
        <f>IF($A999="","",[1]!thsiFinD("ths_adjustment_nv_fund",C$3,$A999))</f>
        <v/>
      </c>
      <c r="D999" s="13" t="str">
        <f>IF($A999="","",[1]!thsiFinD("ths_adjustment_nv_fund",D$3,$A999))</f>
        <v/>
      </c>
      <c r="E999" s="13" t="str">
        <f>IF($A999="","",[1]!thsiFinD("ths_adjustment_nv_fund",E$3,$A999))</f>
        <v/>
      </c>
      <c r="F999" s="13" t="str">
        <f>IF($A999="","",[1]!thsiFinD("ths_adjustment_nv_fund",F$3,$A999))</f>
        <v/>
      </c>
      <c r="G999" s="13" t="str">
        <f>IF($A999="","",[1]!thsiFinD("ths_adjustment_nv_fund",G$3,$A999))</f>
        <v/>
      </c>
      <c r="H999" s="13" t="str">
        <f>IF($A999="","",[1]!thsiFinD("ths_adjustment_nv_fund",H$3,$A999))</f>
        <v/>
      </c>
      <c r="I999" s="13" t="str">
        <f>IF($A999="","",[1]!thsiFinD("ths_adjustment_nv_fund",I$3,$A999))</f>
        <v/>
      </c>
      <c r="J999" s="13" t="str">
        <f>IF($A999="","",[1]!thsiFinD("ths_adjustment_nv_fund",J$3,$A999))</f>
        <v/>
      </c>
      <c r="K999" s="13" t="str">
        <f>IF($A999="","",[1]!thsiFinD("ths_adjustment_nv_fund",K$3,$A999))</f>
        <v/>
      </c>
      <c r="L999" s="13" t="str">
        <f>IF($A999="","",[1]!thsiFinD("ths_adjustment_nv_fund",L$3,$A999))</f>
        <v/>
      </c>
      <c r="M999" s="13" t="str">
        <f>IF($A999="","",[1]!thsiFinD("ths_adjustment_nv_fund",M$3,$A999))</f>
        <v/>
      </c>
      <c r="N999" s="13" t="str">
        <f>IF($A999="","",[1]!thsiFinD("ths_adjustment_nv_fund",N$3,$A999))</f>
        <v/>
      </c>
      <c r="O999" s="13" t="str">
        <f>IF($A999="","",[1]!thsiFinD("ths_adjustment_nv_fund",O$3,$A999))</f>
        <v/>
      </c>
      <c r="P999" s="13" t="str">
        <f>IF($A999="","",[1]!thsiFinD("ths_adjustment_nv_fund",P$3,$A999))</f>
        <v/>
      </c>
      <c r="Q999" s="13" t="str">
        <f>IF($A999="","",[1]!thsiFinD("ths_adjustment_nv_fund",Q$3,$A999))</f>
        <v/>
      </c>
      <c r="R999" s="13" t="str">
        <f>IF($A999="","",[1]!thsiFinD("ths_adjustment_nv_fund",R$3,$A999))</f>
        <v/>
      </c>
      <c r="S999" s="13" t="str">
        <f>IF($A999="","",[1]!thsiFinD("ths_adjustment_nv_fund",S$3,$A999))</f>
        <v/>
      </c>
      <c r="T999" s="13" t="str">
        <f>IF($A999="","",[1]!thsiFinD("ths_adjustment_nv_fund",T$3,$A999))</f>
        <v/>
      </c>
      <c r="U999" s="13" t="str">
        <f>IF($A999="","",[1]!thsiFinD("ths_adjustment_nv_fund",U$3,$A999))</f>
        <v/>
      </c>
      <c r="V999" s="13" t="str">
        <f>IF($A999="","",[1]!thsiFinD("ths_adjustment_nv_fund",V$3,$A999))</f>
        <v/>
      </c>
      <c r="W999" s="13" t="str">
        <f>IF($A999="","",[1]!thsiFinD("ths_adjustment_nv_fund",W$3,$A999))</f>
        <v/>
      </c>
      <c r="X999" s="13" t="str">
        <f>IF($A999="","",[1]!thsiFinD("ths_adjustment_nv_fund",X$3,$A999))</f>
        <v/>
      </c>
      <c r="Y999" s="13" t="str">
        <f>IF($A999="","",[1]!thsiFinD("ths_adjustment_nv_fund",Y$3,$A999))</f>
        <v/>
      </c>
      <c r="Z999" s="13" t="str">
        <f>IF($A999="","",[1]!thsiFinD("ths_adjustment_nv_fund",Z$3,$A999))</f>
        <v/>
      </c>
      <c r="AA999" s="13" t="str">
        <f>IF($A999="","",[1]!thsiFinD("ths_adjustment_nv_fund",AA$3,$A999))</f>
        <v/>
      </c>
      <c r="AB999" s="13" t="str">
        <f>IF($A999="","",[1]!thsiFinD("ths_adjustment_nv_fund",AB$3,$A999))</f>
        <v/>
      </c>
    </row>
    <row r="1000" spans="2:28">
      <c r="B1000" s="13" t="str">
        <f>IF($A1000="","",[1]!thsiFinD("ths_adjustment_nv_fund",B$3,$A1000))</f>
        <v/>
      </c>
      <c r="C1000" s="13" t="str">
        <f>IF($A1000="","",[1]!thsiFinD("ths_adjustment_nv_fund",C$3,$A1000))</f>
        <v/>
      </c>
      <c r="D1000" s="13" t="str">
        <f>IF($A1000="","",[1]!thsiFinD("ths_adjustment_nv_fund",D$3,$A1000))</f>
        <v/>
      </c>
      <c r="E1000" s="13" t="str">
        <f>IF($A1000="","",[1]!thsiFinD("ths_adjustment_nv_fund",E$3,$A1000))</f>
        <v/>
      </c>
      <c r="F1000" s="13" t="str">
        <f>IF($A1000="","",[1]!thsiFinD("ths_adjustment_nv_fund",F$3,$A1000))</f>
        <v/>
      </c>
      <c r="G1000" s="13" t="str">
        <f>IF($A1000="","",[1]!thsiFinD("ths_adjustment_nv_fund",G$3,$A1000))</f>
        <v/>
      </c>
      <c r="H1000" s="13" t="str">
        <f>IF($A1000="","",[1]!thsiFinD("ths_adjustment_nv_fund",H$3,$A1000))</f>
        <v/>
      </c>
      <c r="I1000" s="13" t="str">
        <f>IF($A1000="","",[1]!thsiFinD("ths_adjustment_nv_fund",I$3,$A1000))</f>
        <v/>
      </c>
      <c r="J1000" s="13" t="str">
        <f>IF($A1000="","",[1]!thsiFinD("ths_adjustment_nv_fund",J$3,$A1000))</f>
        <v/>
      </c>
      <c r="K1000" s="13" t="str">
        <f>IF($A1000="","",[1]!thsiFinD("ths_adjustment_nv_fund",K$3,$A1000))</f>
        <v/>
      </c>
      <c r="L1000" s="13" t="str">
        <f>IF($A1000="","",[1]!thsiFinD("ths_adjustment_nv_fund",L$3,$A1000))</f>
        <v/>
      </c>
      <c r="M1000" s="13" t="str">
        <f>IF($A1000="","",[1]!thsiFinD("ths_adjustment_nv_fund",M$3,$A1000))</f>
        <v/>
      </c>
      <c r="N1000" s="13" t="str">
        <f>IF($A1000="","",[1]!thsiFinD("ths_adjustment_nv_fund",N$3,$A1000))</f>
        <v/>
      </c>
      <c r="O1000" s="13" t="str">
        <f>IF($A1000="","",[1]!thsiFinD("ths_adjustment_nv_fund",O$3,$A1000))</f>
        <v/>
      </c>
      <c r="P1000" s="13" t="str">
        <f>IF($A1000="","",[1]!thsiFinD("ths_adjustment_nv_fund",P$3,$A1000))</f>
        <v/>
      </c>
      <c r="Q1000" s="13" t="str">
        <f>IF($A1000="","",[1]!thsiFinD("ths_adjustment_nv_fund",Q$3,$A1000))</f>
        <v/>
      </c>
      <c r="R1000" s="13" t="str">
        <f>IF($A1000="","",[1]!thsiFinD("ths_adjustment_nv_fund",R$3,$A1000))</f>
        <v/>
      </c>
      <c r="S1000" s="13" t="str">
        <f>IF($A1000="","",[1]!thsiFinD("ths_adjustment_nv_fund",S$3,$A1000))</f>
        <v/>
      </c>
      <c r="T1000" s="13" t="str">
        <f>IF($A1000="","",[1]!thsiFinD("ths_adjustment_nv_fund",T$3,$A1000))</f>
        <v/>
      </c>
      <c r="U1000" s="13" t="str">
        <f>IF($A1000="","",[1]!thsiFinD("ths_adjustment_nv_fund",U$3,$A1000))</f>
        <v/>
      </c>
      <c r="V1000" s="13" t="str">
        <f>IF($A1000="","",[1]!thsiFinD("ths_adjustment_nv_fund",V$3,$A1000))</f>
        <v/>
      </c>
      <c r="W1000" s="13" t="str">
        <f>IF($A1000="","",[1]!thsiFinD("ths_adjustment_nv_fund",W$3,$A1000))</f>
        <v/>
      </c>
      <c r="X1000" s="13" t="str">
        <f>IF($A1000="","",[1]!thsiFinD("ths_adjustment_nv_fund",X$3,$A1000))</f>
        <v/>
      </c>
      <c r="Y1000" s="13" t="str">
        <f>IF($A1000="","",[1]!thsiFinD("ths_adjustment_nv_fund",Y$3,$A1000))</f>
        <v/>
      </c>
      <c r="Z1000" s="13" t="str">
        <f>IF($A1000="","",[1]!thsiFinD("ths_adjustment_nv_fund",Z$3,$A1000))</f>
        <v/>
      </c>
      <c r="AA1000" s="13" t="str">
        <f>IF($A1000="","",[1]!thsiFinD("ths_adjustment_nv_fund",AA$3,$A1000))</f>
        <v/>
      </c>
      <c r="AB1000" s="13" t="str">
        <f>IF($A1000="","",[1]!thsiFinD("ths_adjustment_nv_fund",AB$3,$A1000))</f>
        <v/>
      </c>
    </row>
  </sheetData>
  <mergeCells count="1">
    <mergeCell ref="A1:D1"/>
  </mergeCells>
  <phoneticPr fontId="3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V1002"/>
  <sheetViews>
    <sheetView showGridLines="0" workbookViewId="0">
      <pane ySplit="4" topLeftCell="A38" activePane="bottomLeft" state="frozen"/>
      <selection pane="bottomLeft" activeCell="K62" sqref="K62"/>
    </sheetView>
  </sheetViews>
  <sheetFormatPr defaultColWidth="9.453125" defaultRowHeight="12.5"/>
  <cols>
    <col min="1" max="1" width="13.1796875" customWidth="1"/>
    <col min="22" max="22" width="14.81640625" customWidth="1"/>
  </cols>
  <sheetData>
    <row r="1" spans="1:22" ht="18.75" customHeight="1">
      <c r="A1" s="166" t="s">
        <v>63</v>
      </c>
      <c r="B1" s="166"/>
      <c r="C1" s="166"/>
      <c r="D1" s="166"/>
      <c r="E1" s="166"/>
      <c r="F1" s="166"/>
      <c r="G1" s="166"/>
      <c r="H1" s="166"/>
      <c r="I1" s="166"/>
      <c r="J1" s="166"/>
    </row>
    <row r="2" spans="1:22" ht="13.5" customHeight="1">
      <c r="A2" s="166"/>
      <c r="B2" s="166"/>
      <c r="C2" s="166"/>
      <c r="D2" s="166"/>
      <c r="E2" s="166"/>
      <c r="F2" s="166"/>
      <c r="G2" s="166"/>
      <c r="H2" s="166"/>
      <c r="I2" s="166"/>
      <c r="J2" s="166"/>
    </row>
    <row r="3" spans="1:22" ht="42" customHeight="1">
      <c r="B3" s="14" t="s">
        <v>64</v>
      </c>
      <c r="E3" s="14" t="s">
        <v>65</v>
      </c>
      <c r="H3" s="14" t="s">
        <v>66</v>
      </c>
      <c r="K3" s="14" t="s">
        <v>67</v>
      </c>
      <c r="N3" s="14" t="s">
        <v>68</v>
      </c>
      <c r="Q3" s="14" t="s">
        <v>69</v>
      </c>
    </row>
    <row r="4" spans="1:22" ht="13">
      <c r="A4" s="1" t="s">
        <v>70</v>
      </c>
      <c r="B4" s="1" t="s">
        <v>71</v>
      </c>
      <c r="C4" s="1" t="s">
        <v>72</v>
      </c>
      <c r="D4" s="1" t="s">
        <v>73</v>
      </c>
      <c r="E4" s="1" t="s">
        <v>71</v>
      </c>
      <c r="F4" s="1" t="s">
        <v>72</v>
      </c>
      <c r="G4" s="1" t="s">
        <v>73</v>
      </c>
      <c r="H4" s="1" t="s">
        <v>71</v>
      </c>
      <c r="I4" s="1" t="s">
        <v>72</v>
      </c>
      <c r="J4" s="1" t="s">
        <v>73</v>
      </c>
      <c r="K4" s="1" t="s">
        <v>71</v>
      </c>
      <c r="L4" s="1" t="s">
        <v>72</v>
      </c>
      <c r="M4" s="1" t="s">
        <v>73</v>
      </c>
      <c r="N4" s="1" t="s">
        <v>71</v>
      </c>
      <c r="O4" s="1" t="s">
        <v>72</v>
      </c>
      <c r="P4" s="1" t="s">
        <v>73</v>
      </c>
      <c r="Q4" s="1" t="s">
        <v>71</v>
      </c>
      <c r="R4" s="1" t="s">
        <v>72</v>
      </c>
      <c r="S4" s="1" t="s">
        <v>73</v>
      </c>
    </row>
    <row r="5" spans="1:22" ht="14">
      <c r="A5" s="15">
        <f>IF('实盘净值数据(iFinD）'!A5="","",'实盘净值数据(iFinD）'!A5)</f>
        <v>46191</v>
      </c>
      <c r="B5" s="13" t="str">
        <f>IF(OR((ROW()-1)&lt;6,'实盘净值数据(iFinD）'!$A5="",'实盘净值数据(iFinD）'!$B5=""),"",SUMPRODUCT(实盘持仓初始配置!$B$4:$X$4,'实盘净值数据(iFinD）'!$B5:$X5/'实盘净值数据(iFinD）'!$B$6:$X$6)*(1-实盘持仓初始配置!$Z$4)^(('实盘净值数据(iFinD）'!$A5-'实盘净值数据(iFinD）'!$A$6)/365))</f>
        <v/>
      </c>
      <c r="C5" s="16"/>
      <c r="D5" s="16" t="str">
        <f>IF(B5="","",B5/MAX(B$5:B5)-1)</f>
        <v/>
      </c>
      <c r="E5" s="13">
        <v>1</v>
      </c>
      <c r="F5" s="16"/>
      <c r="G5" s="16">
        <f>IF(E5="","",E5/MAX(E$5:E5)-1)</f>
        <v>0</v>
      </c>
      <c r="H5" s="13" t="str">
        <f>IF(OR((ROW()-1)&lt;7,'实盘净值数据(iFinD）'!$A5="",'实盘净值数据(iFinD）'!$B5=""),"",SUMPRODUCT(实盘持仓初始配置!$B$6:$X$6,'实盘净值数据(iFinD）'!$B5:$X5/'实盘净值数据(iFinD）'!$B$7:$X$7)*(1-实盘持仓初始配置!$Z$6)^(('实盘净值数据(iFinD）'!$A5-'实盘净值数据(iFinD）'!$A$7)/365))</f>
        <v/>
      </c>
      <c r="I5" s="16"/>
      <c r="J5" s="16" t="str">
        <f>IF(H5="","",H5/MAX(H$5:H5)-1)</f>
        <v/>
      </c>
      <c r="K5" s="13" t="str">
        <f>IF(OR((ROW()-1)&lt;8,'实盘净值数据(iFinD）'!$A5="",'实盘净值数据(iFinD）'!$B5=""),"",SUMPRODUCT(实盘持仓初始配置!$B$7:$X$7,'实盘净值数据(iFinD）'!$B5:$X5/'实盘净值数据(iFinD）'!$B$8:$X$8)*(1-实盘持仓初始配置!$Z$7)^(('实盘净值数据(iFinD）'!$A5-'实盘净值数据(iFinD）'!$A$8)/365))</f>
        <v/>
      </c>
      <c r="L5" s="16"/>
      <c r="M5" s="16" t="str">
        <f>IF(K5="","",K5/MAX(K$5:K5)-1)</f>
        <v/>
      </c>
      <c r="N5" s="13">
        <v>1</v>
      </c>
      <c r="O5" s="16"/>
      <c r="P5" s="16">
        <f>IF(N5="","",N5/MAX(N$5:N5)-1)</f>
        <v>0</v>
      </c>
      <c r="Q5" s="13" t="str">
        <f>IF(OR((ROW()-1)&lt;8,'实盘净值数据(iFinD）'!$A5="",'实盘净值数据(iFinD）'!$B5=""),"",SUMPRODUCT(实盘持仓初始配置!$B$9:$X$9,'实盘净值数据(iFinD）'!$B5:$X5/'实盘净值数据(iFinD）'!$B$8:$X$8)*(1-实盘持仓初始配置!$Z$9)^(('实盘净值数据(iFinD）'!$A5-'实盘净值数据(iFinD）'!$A$8)/365))</f>
        <v/>
      </c>
      <c r="R5" s="16"/>
      <c r="S5" s="16" t="str">
        <f>IF(Q5="","",Q5/MAX(Q$5:Q5)-1)</f>
        <v/>
      </c>
      <c r="U5" s="17"/>
    </row>
    <row r="6" spans="1:22" ht="14">
      <c r="A6" s="15">
        <f>IF('实盘净值数据(iFinD）'!A6="","",'实盘净值数据(iFinD）'!A6)</f>
        <v>46195</v>
      </c>
      <c r="B6" s="13">
        <v>1</v>
      </c>
      <c r="C6" s="16" t="str">
        <f>IF(OR(B5="",'实盘净值数据(iFinD）'!$A6="",'实盘净值数据(iFinD）'!$B6=""),"",(SUMPRODUCT(实盘持仓初始配置!$B$4:$X$4,'实盘净值数据(iFinD）'!$B5:$X5/'实盘净值数据(iFinD）'!$B$6:$X$6,'实盘净值数据(iFinD）'!$B6:$X6/'实盘净值数据(iFinD）'!$B5:$X5)/SUMPRODUCT(实盘持仓初始配置!$B$4:$X$4,'实盘净值数据(iFinD）'!$B5:$X5/'实盘净值数据(iFinD）'!$B$6:$X$6))*(1-实盘持仓初始配置!$Z$4)^(('实盘净值数据(iFinD）'!$A6-'实盘净值数据(iFinD）'!$A5)/365)-1)</f>
        <v/>
      </c>
      <c r="D6" s="16">
        <f>IF(B6="","",B6/MAX(B$5:B6)-1)</f>
        <v>0</v>
      </c>
      <c r="E6" s="13">
        <f>IF(OR((ROW()-1)&lt;5,'实盘净值数据(iFinD）'!$A6="",'实盘净值数据(iFinD）'!$B6=""),"",SUMPRODUCT(实盘持仓初始配置!$B$5:$X$5,'实盘净值数据(iFinD）'!$B6:$X6/'实盘净值数据(iFinD）'!$B$5:$X$5)*(1-实盘持仓初始配置!$Z$5)^(('实盘净值数据(iFinD）'!$A6-'实盘净值数据(iFinD）'!$A$5)/365))</f>
        <v>1.0234374728432394</v>
      </c>
      <c r="F6" s="16">
        <f>IF(OR(E5="",'实盘净值数据(iFinD）'!$A6="",'实盘净值数据(iFinD）'!$B6=""),"",(SUMPRODUCT(实盘持仓初始配置!$B$5:$X$5,'实盘净值数据(iFinD）'!$B5:$X5/'实盘净值数据(iFinD）'!$B$5:$X$5,'实盘净值数据(iFinD）'!$B6:$X6/'实盘净值数据(iFinD）'!$B5:$X5)/SUMPRODUCT(实盘持仓初始配置!$B$5:$X$5,'实盘净值数据(iFinD）'!$B5:$X5/'实盘净值数据(iFinD）'!$B$5:$X$5))*(1-实盘持仓初始配置!$Z$5)^(('实盘净值数据(iFinD）'!$A6-'实盘净值数据(iFinD）'!$A5)/365)-1)</f>
        <v>2.3437472843239604E-2</v>
      </c>
      <c r="G6" s="16">
        <f>IF(E6="","",E6/MAX(E$5:E6)-1)</f>
        <v>0</v>
      </c>
      <c r="H6" s="13" t="str">
        <f>IF(OR((ROW()-1)&lt;7,'实盘净值数据(iFinD）'!$A6="",'实盘净值数据(iFinD）'!$B6=""),"",SUMPRODUCT(实盘持仓初始配置!$B$6:$X$6,'实盘净值数据(iFinD）'!$B6:$X6/'实盘净值数据(iFinD）'!$B$7:$X$7)*(1-实盘持仓初始配置!$Z$6)^(('实盘净值数据(iFinD）'!$A6-'实盘净值数据(iFinD）'!$A$7)/365))</f>
        <v/>
      </c>
      <c r="I6" s="16" t="str">
        <f>IF(OR(H5="",'实盘净值数据(iFinD）'!$A6="",'实盘净值数据(iFinD）'!$B6=""),"",(SUMPRODUCT(实盘持仓初始配置!$B$6:$X$6,'实盘净值数据(iFinD）'!$B5:$X5/'实盘净值数据(iFinD）'!$B$7:$X$7,'实盘净值数据(iFinD）'!$B6:$X6/'实盘净值数据(iFinD）'!$B5:$X5)/SUMPRODUCT(实盘持仓初始配置!$B$6:$X$6,'实盘净值数据(iFinD）'!$B5:$X5/'实盘净值数据(iFinD）'!$B$7:$X$7))*(1-实盘持仓初始配置!$Z$6)^(('实盘净值数据(iFinD）'!$A6-'实盘净值数据(iFinD）'!$A5)/365)-1)</f>
        <v/>
      </c>
      <c r="J6" s="16" t="str">
        <f>IF(H6="","",H6/MAX(H$5:H6)-1)</f>
        <v/>
      </c>
      <c r="K6" s="13" t="str">
        <f>IF(OR((ROW()-1)&lt;8,'实盘净值数据(iFinD）'!$A6="",'实盘净值数据(iFinD）'!$B6=""),"",SUMPRODUCT(实盘持仓初始配置!$B$7:$X$7,'实盘净值数据(iFinD）'!$B6:$X6/'实盘净值数据(iFinD）'!$B$8:$X$8)*(1-实盘持仓初始配置!$Z$7)^(('实盘净值数据(iFinD）'!$A6-'实盘净值数据(iFinD）'!$A$8)/365))</f>
        <v/>
      </c>
      <c r="L6" s="16" t="str">
        <f>IF(OR(K5="",'实盘净值数据(iFinD）'!$A6="",'实盘净值数据(iFinD）'!$B6=""),"",(SUMPRODUCT(实盘持仓初始配置!$B$7:$X$7,'实盘净值数据(iFinD）'!$B5:$X5/'实盘净值数据(iFinD）'!$B$8:$X$8,'实盘净值数据(iFinD）'!$B6:$X6/'实盘净值数据(iFinD）'!$B5:$X5)/SUMPRODUCT(实盘持仓初始配置!$B$7:$X$7,'实盘净值数据(iFinD）'!$B5:$X5/'实盘净值数据(iFinD）'!$B$8:$X$8))*(1-实盘持仓初始配置!$Z$7)^(('实盘净值数据(iFinD）'!$A6-'实盘净值数据(iFinD）'!$A5)/365)-1)</f>
        <v/>
      </c>
      <c r="M6" s="16" t="str">
        <f>IF(K6="","",K6/MAX(K$5:K6)-1)</f>
        <v/>
      </c>
      <c r="N6" s="13">
        <f>IF(OR((ROW()-1)&lt;5,'实盘净值数据(iFinD）'!$A6="",'实盘净值数据(iFinD）'!$B6=""),"",SUMPRODUCT(实盘持仓初始配置!$B$8:$X$8,'实盘净值数据(iFinD）'!$B6:$X6/'实盘净值数据(iFinD）'!$B$5:$X$5)*(1-实盘持仓初始配置!$Z$8)^(('实盘净值数据(iFinD）'!$A6-'实盘净值数据(iFinD）'!$A$5)/365))</f>
        <v>1.0008955316407739</v>
      </c>
      <c r="O6" s="16">
        <f>IF(OR(N5="",'实盘净值数据(iFinD）'!$A6="",'实盘净值数据(iFinD）'!$B6=""),"",(SUMPRODUCT(实盘持仓初始配置!$B$8:$X$8,'实盘净值数据(iFinD）'!$B5:$X5/'实盘净值数据(iFinD）'!$B$5:$X$5,'实盘净值数据(iFinD）'!$B6:$X6/'实盘净值数据(iFinD）'!$B5:$X5)/SUMPRODUCT(实盘持仓初始配置!$B$8:$X$8,'实盘净值数据(iFinD）'!$B5:$X5/'实盘净值数据(iFinD）'!$B$5:$X$5))*(1-实盘持仓初始配置!$Z$8)^(('实盘净值数据(iFinD）'!$A6-'实盘净值数据(iFinD）'!$A5)/365)-1)</f>
        <v>8.9553164077393888E-4</v>
      </c>
      <c r="P6" s="16">
        <f>IF(N6="","",N6/MAX(N$5:N6)-1)</f>
        <v>0</v>
      </c>
      <c r="Q6" s="13" t="str">
        <f>IF(OR((ROW()-1)&lt;8,'实盘净值数据(iFinD）'!$A6="",'实盘净值数据(iFinD）'!$B6=""),"",SUMPRODUCT(实盘持仓初始配置!$B$9:$X$9,'实盘净值数据(iFinD）'!$B6:$X6/'实盘净值数据(iFinD）'!$B$8:$X$8)*(1-实盘持仓初始配置!$Z$9)^(('实盘净值数据(iFinD）'!$A6-'实盘净值数据(iFinD）'!$A$8)/365))</f>
        <v/>
      </c>
      <c r="R6" s="16" t="str">
        <f>IF(OR(Q5="",'实盘净值数据(iFinD）'!$A6="",'实盘净值数据(iFinD）'!$B6=""),"",(SUMPRODUCT(实盘持仓初始配置!$B$9:$X$9,'实盘净值数据(iFinD）'!$B5:$X5/'实盘净值数据(iFinD）'!$B$8:$X$8,'实盘净值数据(iFinD）'!$B6:$X6/'实盘净值数据(iFinD）'!$B5:$X5)/SUMPRODUCT(实盘持仓初始配置!$B$9:$X$9,'实盘净值数据(iFinD）'!$B5:$X5/'实盘净值数据(iFinD）'!$B$8:$X$8))*(1-实盘持仓初始配置!$Z$9)^(('实盘净值数据(iFinD）'!$A6-'实盘净值数据(iFinD）'!$A5)/365)-1)</f>
        <v/>
      </c>
      <c r="S6" s="16" t="str">
        <f>IF(Q6="","",Q6/MAX(Q$5:Q6)-1)</f>
        <v/>
      </c>
      <c r="U6" s="17"/>
      <c r="V6" s="18"/>
    </row>
    <row r="7" spans="1:22" ht="14">
      <c r="A7" s="15">
        <f>IF('实盘净值数据(iFinD）'!A7="","",'实盘净值数据(iFinD）'!A7)</f>
        <v>46196</v>
      </c>
      <c r="B7" s="13">
        <f>IF(OR((ROW()-1)&lt;6,'实盘净值数据(iFinD）'!$A7="",'实盘净值数据(iFinD）'!$B7=""),"",SUMPRODUCT(实盘持仓初始配置!$B$4:$X$4,'实盘净值数据(iFinD）'!$B7:$X7/'实盘净值数据(iFinD）'!$B$6:$X$6)*(1-实盘持仓初始配置!$Z$4)^(('实盘净值数据(iFinD）'!$A7-'实盘净值数据(iFinD）'!$A$6)/365))</f>
        <v>0.98042318811773688</v>
      </c>
      <c r="C7" s="16">
        <f>IF(OR(B6="",'实盘净值数据(iFinD）'!$A7="",'实盘净值数据(iFinD）'!$B7=""),"",(SUMPRODUCT(实盘持仓初始配置!$B$4:$X$4,'实盘净值数据(iFinD）'!$B6:$X6/'实盘净值数据(iFinD）'!$B$6:$X$6,'实盘净值数据(iFinD）'!$B7:$X7/'实盘净值数据(iFinD）'!$B6:$X6)/SUMPRODUCT(实盘持仓初始配置!$B$4:$X$4,'实盘净值数据(iFinD）'!$B6:$X6/'实盘净值数据(iFinD）'!$B$6:$X$6))*(1-实盘持仓初始配置!$Z$4)^(('实盘净值数据(iFinD）'!$A7-'实盘净值数据(iFinD）'!$A6)/365)-1)</f>
        <v>-1.9576811882263012E-2</v>
      </c>
      <c r="D7" s="16">
        <f>IF(B7="","",B7/MAX(B$5:B7)-1)</f>
        <v>-1.9576811882263123E-2</v>
      </c>
      <c r="E7" s="13">
        <f>IF(OR((ROW()-1)&lt;5,'实盘净值数据(iFinD）'!$A7="",'实盘净值数据(iFinD）'!$B7=""),"",SUMPRODUCT(实盘持仓初始配置!$B$5:$X$5,'实盘净值数据(iFinD）'!$B7:$X7/'实盘净值数据(iFinD）'!$B$5:$X$5)*(1-实盘持仓初始配置!$Z$5)^(('实盘净值数据(iFinD）'!$A7-'实盘净值数据(iFinD）'!$A$5)/365))</f>
        <v>1.0033378905556949</v>
      </c>
      <c r="F7" s="16">
        <f>IF(OR(E6="",'实盘净值数据(iFinD）'!$A7="",'实盘净值数据(iFinD）'!$B7=""),"",(SUMPRODUCT(实盘持仓初始配置!$B$5:$X$5,'实盘净值数据(iFinD）'!$B6:$X6/'实盘净值数据(iFinD）'!$B$5:$X$5,'实盘净值数据(iFinD）'!$B7:$X7/'实盘净值数据(iFinD）'!$B6:$X6)/SUMPRODUCT(实盘持仓初始配置!$B$5:$X$5,'实盘净值数据(iFinD）'!$B6:$X6/'实盘净值数据(iFinD）'!$B$5:$X$5))*(1-实盘持仓初始配置!$Z$5)^(('实盘净值数据(iFinD）'!$A7-'实盘净值数据(iFinD）'!$A6)/365)-1)</f>
        <v>-1.9639287031092856E-2</v>
      </c>
      <c r="G7" s="16">
        <f>IF(E7="","",E7/MAX(E$5:E7)-1)</f>
        <v>-1.9639287031092634E-2</v>
      </c>
      <c r="H7" s="13">
        <v>1</v>
      </c>
      <c r="I7" s="16" t="str">
        <f>IF(OR(H6="",'实盘净值数据(iFinD）'!$A7="",'实盘净值数据(iFinD）'!$B7=""),"",(SUMPRODUCT(实盘持仓初始配置!$B$6:$X$6,'实盘净值数据(iFinD）'!$B6:$X6/'实盘净值数据(iFinD）'!$B$7:$X$7,'实盘净值数据(iFinD）'!$B7:$X7/'实盘净值数据(iFinD）'!$B6:$X6)/SUMPRODUCT(实盘持仓初始配置!$B$6:$X$6,'实盘净值数据(iFinD）'!$B6:$X6/'实盘净值数据(iFinD）'!$B$7:$X$7))*(1-实盘持仓初始配置!$Z$6)^(('实盘净值数据(iFinD）'!$A7-'实盘净值数据(iFinD）'!$A6)/365)-1)</f>
        <v/>
      </c>
      <c r="J7" s="16">
        <f>IF(H7="","",H7/MAX(H$5:H7)-1)</f>
        <v>0</v>
      </c>
      <c r="K7" s="13" t="str">
        <f>IF(OR((ROW()-1)&lt;8,'实盘净值数据(iFinD）'!$A7="",'实盘净值数据(iFinD）'!$B7=""),"",SUMPRODUCT(实盘持仓初始配置!$B$7:$X$7,'实盘净值数据(iFinD）'!$B7:$X7/'实盘净值数据(iFinD）'!$B$8:$X$8)*(1-实盘持仓初始配置!$Z$7)^(('实盘净值数据(iFinD）'!$A7-'实盘净值数据(iFinD）'!$A$8)/365))</f>
        <v/>
      </c>
      <c r="L7" s="16" t="str">
        <f>IF(OR(K6="",'实盘净值数据(iFinD）'!$A7="",'实盘净值数据(iFinD）'!$B7=""),"",(SUMPRODUCT(实盘持仓初始配置!$B$7:$X$7,'实盘净值数据(iFinD）'!$B6:$X6/'实盘净值数据(iFinD）'!$B$8:$X$8,'实盘净值数据(iFinD）'!$B7:$X7/'实盘净值数据(iFinD）'!$B6:$X6)/SUMPRODUCT(实盘持仓初始配置!$B$7:$X$7,'实盘净值数据(iFinD）'!$B6:$X6/'实盘净值数据(iFinD）'!$B$8:$X$8))*(1-实盘持仓初始配置!$Z$7)^(('实盘净值数据(iFinD）'!$A7-'实盘净值数据(iFinD）'!$A6)/365)-1)</f>
        <v/>
      </c>
      <c r="M7" s="16" t="str">
        <f>IF(K7="","",K7/MAX(K$5:K7)-1)</f>
        <v/>
      </c>
      <c r="N7" s="13">
        <f>IF(OR((ROW()-1)&lt;5,'实盘净值数据(iFinD）'!$A7="",'实盘净值数据(iFinD）'!$B7=""),"",SUMPRODUCT(实盘持仓初始配置!$B$8:$X$8,'实盘净值数据(iFinD）'!$B7:$X7/'实盘净值数据(iFinD）'!$B$5:$X$5)*(1-实盘持仓初始配置!$Z$8)^(('实盘净值数据(iFinD）'!$A7-'实盘净值数据(iFinD）'!$A$5)/365))</f>
        <v>0.99782263840516405</v>
      </c>
      <c r="O7" s="16">
        <f>IF(OR(N6="",'实盘净值数据(iFinD）'!$A7="",'实盘净值数据(iFinD）'!$B7=""),"",(SUMPRODUCT(实盘持仓初始配置!$B$8:$X$8,'实盘净值数据(iFinD）'!$B6:$X6/'实盘净值数据(iFinD）'!$B$5:$X$5,'实盘净值数据(iFinD）'!$B7:$X7/'实盘净值数据(iFinD）'!$B6:$X6)/SUMPRODUCT(实盘持仓初始配置!$B$8:$X$8,'实盘净值数据(iFinD）'!$B6:$X6/'实盘净值数据(iFinD）'!$B$5:$X$5))*(1-实盘持仓初始配置!$Z$8)^(('实盘净值数据(iFinD）'!$A7-'实盘净值数据(iFinD）'!$A6)/365)-1)</f>
        <v>-3.0701438246729662E-3</v>
      </c>
      <c r="P7" s="16">
        <f>IF(N7="","",N7/MAX(N$5:N7)-1)</f>
        <v>-3.0701438246731882E-3</v>
      </c>
      <c r="Q7" s="13" t="str">
        <f>IF(OR((ROW()-1)&lt;8,'实盘净值数据(iFinD）'!$A7="",'实盘净值数据(iFinD）'!$B7=""),"",SUMPRODUCT(实盘持仓初始配置!$B$9:$X$9,'实盘净值数据(iFinD）'!$B7:$X7/'实盘净值数据(iFinD）'!$B$8:$X$8)*(1-实盘持仓初始配置!$Z$9)^(('实盘净值数据(iFinD）'!$A7-'实盘净值数据(iFinD）'!$A$8)/365))</f>
        <v/>
      </c>
      <c r="R7" s="16" t="str">
        <f>IF(OR(Q6="",'实盘净值数据(iFinD）'!$A7="",'实盘净值数据(iFinD）'!$B7=""),"",(SUMPRODUCT(实盘持仓初始配置!$B$9:$X$9,'实盘净值数据(iFinD）'!$B6:$X6/'实盘净值数据(iFinD）'!$B$8:$X$8,'实盘净值数据(iFinD）'!$B7:$X7/'实盘净值数据(iFinD）'!$B6:$X6)/SUMPRODUCT(实盘持仓初始配置!$B$9:$X$9,'实盘净值数据(iFinD）'!$B6:$X6/'实盘净值数据(iFinD）'!$B$8:$X$8))*(1-实盘持仓初始配置!$Z$9)^(('实盘净值数据(iFinD）'!$A7-'实盘净值数据(iFinD）'!$A6)/365)-1)</f>
        <v/>
      </c>
      <c r="S7" s="16" t="str">
        <f>IF(Q7="","",Q7/MAX(Q$5:Q7)-1)</f>
        <v/>
      </c>
      <c r="U7" s="17"/>
      <c r="V7" s="18"/>
    </row>
    <row r="8" spans="1:22" ht="14">
      <c r="A8" s="15">
        <f>IF('实盘净值数据(iFinD）'!A8="","",'实盘净值数据(iFinD）'!A8)</f>
        <v>46197</v>
      </c>
      <c r="B8" s="13">
        <f>IF(OR((ROW()-1)&lt;6,'实盘净值数据(iFinD）'!$A8="",'实盘净值数据(iFinD）'!$B8=""),"",SUMPRODUCT(实盘持仓初始配置!$B$4:$X$4,'实盘净值数据(iFinD）'!$B8:$X8/'实盘净值数据(iFinD）'!$B$6:$X$6)*(1-实盘持仓初始配置!$Z$4)^(('实盘净值数据(iFinD）'!$A8-'实盘净值数据(iFinD）'!$A$6)/365))</f>
        <v>1.0160197208922743</v>
      </c>
      <c r="C8" s="16">
        <f>IF(OR(B7="",'实盘净值数据(iFinD）'!$A8="",'实盘净值数据(iFinD）'!$B8=""),"",(SUMPRODUCT(实盘持仓初始配置!$B$4:$X$4,'实盘净值数据(iFinD）'!$B7:$X7/'实盘净值数据(iFinD）'!$B$6:$X$6,'实盘净值数据(iFinD）'!$B8:$X8/'实盘净值数据(iFinD）'!$B7:$X7)/SUMPRODUCT(实盘持仓初始配置!$B$4:$X$4,'实盘净值数据(iFinD）'!$B7:$X7/'实盘净值数据(iFinD）'!$B$6:$X$6))*(1-实盘持仓初始配置!$Z$4)^(('实盘净值数据(iFinD）'!$A8-'实盘净值数据(iFinD）'!$A7)/365)-1)</f>
        <v>3.6307314235271448E-2</v>
      </c>
      <c r="D8" s="16">
        <f>IF(B8="","",B8/MAX(B$5:B8)-1)</f>
        <v>0</v>
      </c>
      <c r="E8" s="13">
        <f>IF(OR((ROW()-1)&lt;5,'实盘净值数据(iFinD）'!$A8="",'实盘净值数据(iFinD）'!$B8=""),"",SUMPRODUCT(实盘持仓初始配置!$B$5:$X$5,'实盘净值数据(iFinD）'!$B8:$X8/'实盘净值数据(iFinD）'!$B$5:$X$5)*(1-实盘持仓初始配置!$Z$5)^(('实盘净值数据(iFinD）'!$A8-'实盘净值数据(iFinD）'!$A$5)/365))</f>
        <v>1.0397126768191969</v>
      </c>
      <c r="F8" s="16">
        <f>IF(OR(E7="",'实盘净值数据(iFinD）'!$A8="",'实盘净值数据(iFinD）'!$B8=""),"",(SUMPRODUCT(实盘持仓初始配置!$B$5:$X$5,'实盘净值数据(iFinD）'!$B7:$X7/'实盘净值数据(iFinD）'!$B$5:$X$5,'实盘净值数据(iFinD）'!$B8:$X8/'实盘净值数据(iFinD）'!$B7:$X7)/SUMPRODUCT(实盘持仓初始配置!$B$5:$X$5,'实盘净值数据(iFinD）'!$B7:$X7/'实盘净值数据(iFinD）'!$B$5:$X$5))*(1-实盘持仓初始配置!$Z$5)^(('实盘净值数据(iFinD）'!$A8-'实盘净值数据(iFinD）'!$A7)/365)-1)</f>
        <v>3.6253775129887478E-2</v>
      </c>
      <c r="G8" s="16">
        <f>IF(E8="","",E8/MAX(E$5:E8)-1)</f>
        <v>0</v>
      </c>
      <c r="H8" s="13">
        <f>IF(OR((ROW()-1)&lt;7,'实盘净值数据(iFinD）'!$A8="",'实盘净值数据(iFinD）'!$B8=""),"",SUMPRODUCT(实盘持仓初始配置!$B$6:$X$6,'实盘净值数据(iFinD）'!$B8:$X8/'实盘净值数据(iFinD）'!$B$7:$X$7)*(1-实盘持仓初始配置!$Z$6)^(('实盘净值数据(iFinD）'!$A8-'实盘净值数据(iFinD）'!$A$7)/365))</f>
        <v>1.039202963297934</v>
      </c>
      <c r="I8" s="16">
        <f>IF(OR(H7="",'实盘净值数据(iFinD）'!$A8="",'实盘净值数据(iFinD）'!$B8=""),"",(SUMPRODUCT(实盘持仓初始配置!$B$6:$X$6,'实盘净值数据(iFinD）'!$B7:$X7/'实盘净值数据(iFinD）'!$B$7:$X$7,'实盘净值数据(iFinD）'!$B8:$X8/'实盘净值数据(iFinD）'!$B7:$X7)/SUMPRODUCT(实盘持仓初始配置!$B$6:$X$6,'实盘净值数据(iFinD）'!$B7:$X7/'实盘净值数据(iFinD）'!$B$7:$X$7))*(1-实盘持仓初始配置!$Z$6)^(('实盘净值数据(iFinD）'!$A8-'实盘净值数据(iFinD）'!$A7)/365)-1)</f>
        <v>3.9202963297934268E-2</v>
      </c>
      <c r="J8" s="16">
        <f>IF(H8="","",H8/MAX(H$5:H8)-1)</f>
        <v>0</v>
      </c>
      <c r="K8" s="13">
        <v>1</v>
      </c>
      <c r="L8" s="16" t="str">
        <f>IF(OR(K7="",'实盘净值数据(iFinD）'!$A8="",'实盘净值数据(iFinD）'!$B8=""),"",(SUMPRODUCT(实盘持仓初始配置!$B$7:$X$7,'实盘净值数据(iFinD）'!$B7:$X7/'实盘净值数据(iFinD）'!$B$8:$X$8,'实盘净值数据(iFinD）'!$B8:$X8/'实盘净值数据(iFinD）'!$B7:$X7)/SUMPRODUCT(实盘持仓初始配置!$B$7:$X$7,'实盘净值数据(iFinD）'!$B7:$X7/'实盘净值数据(iFinD）'!$B$8:$X$8))*(1-实盘持仓初始配置!$Z$7)^(('实盘净值数据(iFinD）'!$A8-'实盘净值数据(iFinD）'!$A7)/365)-1)</f>
        <v/>
      </c>
      <c r="M8" s="16">
        <f>IF(K8="","",K8/MAX(K$5:K8)-1)</f>
        <v>0</v>
      </c>
      <c r="N8" s="13">
        <f>IF(OR((ROW()-1)&lt;5,'实盘净值数据(iFinD）'!$A8="",'实盘净值数据(iFinD）'!$B8=""),"",SUMPRODUCT(实盘持仓初始配置!$B$8:$X$8,'实盘净值数据(iFinD）'!$B8:$X8/'实盘净值数据(iFinD）'!$B$5:$X$5)*(1-实盘持仓初始配置!$Z$8)^(('实盘净值数据(iFinD）'!$A8-'实盘净值数据(iFinD）'!$A$5)/365))</f>
        <v>0.99977056884376803</v>
      </c>
      <c r="O8" s="16">
        <f>IF(OR(N7="",'实盘净值数据(iFinD）'!$A8="",'实盘净值数据(iFinD）'!$B8=""),"",(SUMPRODUCT(实盘持仓初始配置!$B$8:$X$8,'实盘净值数据(iFinD）'!$B7:$X7/'实盘净值数据(iFinD）'!$B$5:$X$5,'实盘净值数据(iFinD）'!$B8:$X8/'实盘净值数据(iFinD）'!$B7:$X7)/SUMPRODUCT(实盘持仓初始配置!$B$8:$X$8,'实盘净值数据(iFinD）'!$B7:$X7/'实盘净值数据(iFinD）'!$B$5:$X$5))*(1-实盘持仓初始配置!$Z$8)^(('实盘净值数据(iFinD）'!$A8-'实盘净值数据(iFinD）'!$A7)/365)-1)</f>
        <v>1.9521810426323949E-3</v>
      </c>
      <c r="P8" s="16">
        <f>IF(N8="","",N8/MAX(N$5:N8)-1)</f>
        <v>-1.123956258613501E-3</v>
      </c>
      <c r="Q8" s="13">
        <v>1</v>
      </c>
      <c r="R8" s="16" t="str">
        <f>IF(OR(Q7="",'实盘净值数据(iFinD）'!$A8="",'实盘净值数据(iFinD）'!$B8=""),"",(SUMPRODUCT(实盘持仓初始配置!$B$9:$X$9,'实盘净值数据(iFinD）'!$B7:$X7/'实盘净值数据(iFinD）'!$B$8:$X$8,'实盘净值数据(iFinD）'!$B8:$X8/'实盘净值数据(iFinD）'!$B7:$X7)/SUMPRODUCT(实盘持仓初始配置!$B$9:$X$9,'实盘净值数据(iFinD）'!$B7:$X7/'实盘净值数据(iFinD）'!$B$8:$X$8))*(1-实盘持仓初始配置!$Z$9)^(('实盘净值数据(iFinD）'!$A8-'实盘净值数据(iFinD）'!$A7)/365)-1)</f>
        <v/>
      </c>
      <c r="S8" s="16">
        <f>IF(Q8="","",Q8/MAX(Q$5:Q8)-1)</f>
        <v>0</v>
      </c>
      <c r="U8" s="17"/>
      <c r="V8" s="18"/>
    </row>
    <row r="9" spans="1:22" ht="14">
      <c r="A9" s="15">
        <f>IF('实盘净值数据(iFinD）'!A9="","",'实盘净值数据(iFinD）'!A9)</f>
        <v>46198</v>
      </c>
      <c r="B9" s="13">
        <f>IF(OR((ROW()-1)&lt;6,'实盘净值数据(iFinD）'!$A9="",'实盘净值数据(iFinD）'!$B9=""),"",SUMPRODUCT(实盘持仓初始配置!$B$4:$X$4,'实盘净值数据(iFinD）'!$B9:$X9/'实盘净值数据(iFinD）'!$B$6:$X$6)*(1-实盘持仓初始配置!$Z$4)^(('实盘净值数据(iFinD）'!$A9-'实盘净值数据(iFinD）'!$A$6)/365))</f>
        <v>1.0494431551246099</v>
      </c>
      <c r="C9" s="16">
        <f>IF(OR(B8="",'实盘净值数据(iFinD）'!$A9="",'实盘净值数据(iFinD）'!$B9=""),"",(SUMPRODUCT(实盘持仓初始配置!$B$4:$X$4,'实盘净值数据(iFinD）'!$B8:$X8/'实盘净值数据(iFinD）'!$B$6:$X$6,'实盘净值数据(iFinD）'!$B9:$X9/'实盘净值数据(iFinD）'!$B8:$X8)/SUMPRODUCT(实盘持仓初始配置!$B$4:$X$4,'实盘净值数据(iFinD）'!$B8:$X8/'实盘净值数据(iFinD）'!$B$6:$X$6))*(1-实盘持仓初始配置!$Z$4)^(('实盘净值数据(iFinD）'!$A9-'实盘净值数据(iFinD）'!$A8)/365)-1)</f>
        <v>3.2896442406632698E-2</v>
      </c>
      <c r="D9" s="16">
        <f>IF(B9="","",B9/MAX(B$5:B9)-1)</f>
        <v>0</v>
      </c>
      <c r="E9" s="13">
        <f>IF(OR((ROW()-1)&lt;5,'实盘净值数据(iFinD）'!$A9="",'实盘净值数据(iFinD）'!$B9=""),"",SUMPRODUCT(实盘持仓初始配置!$B$5:$X$5,'实盘净值数据(iFinD）'!$B9:$X9/'实盘净值数据(iFinD）'!$B$5:$X$5)*(1-实盘持仓初始配置!$Z$5)^(('实盘净值数据(iFinD）'!$A9-'实盘净值数据(iFinD）'!$A$5)/365))</f>
        <v>1.0739445334901312</v>
      </c>
      <c r="F9" s="16">
        <f>IF(OR(E8="",'实盘净值数据(iFinD）'!$A9="",'实盘净值数据(iFinD）'!$B9=""),"",(SUMPRODUCT(实盘持仓初始配置!$B$5:$X$5,'实盘净值数据(iFinD）'!$B8:$X8/'实盘净值数据(iFinD）'!$B$5:$X$5,'实盘净值数据(iFinD）'!$B9:$X9/'实盘净值数据(iFinD）'!$B8:$X8)/SUMPRODUCT(实盘持仓初始配置!$B$5:$X$5,'实盘净值数据(iFinD）'!$B8:$X8/'实盘净值数据(iFinD）'!$B$5:$X$5))*(1-实盘持仓初始配置!$Z$5)^(('实盘净值数据(iFinD）'!$A9-'实盘净值数据(iFinD）'!$A8)/365)-1)</f>
        <v>3.2924342882554747E-2</v>
      </c>
      <c r="G9" s="16">
        <f>IF(E9="","",E9/MAX(E$5:E9)-1)</f>
        <v>0</v>
      </c>
      <c r="H9" s="13">
        <f>IF(OR((ROW()-1)&lt;7,'实盘净值数据(iFinD）'!$A9="",'实盘净值数据(iFinD）'!$B9=""),"",SUMPRODUCT(实盘持仓初始配置!$B$6:$X$6,'实盘净值数据(iFinD）'!$B9:$X9/'实盘净值数据(iFinD）'!$B$7:$X$7)*(1-实盘持仓初始配置!$Z$6)^(('实盘净值数据(iFinD）'!$A9-'实盘净值数据(iFinD）'!$A$7)/365))</f>
        <v>1.0741076445723305</v>
      </c>
      <c r="I9" s="16">
        <f>IF(OR(H8="",'实盘净值数据(iFinD）'!$A9="",'实盘净值数据(iFinD）'!$B9=""),"",(SUMPRODUCT(实盘持仓初始配置!$B$6:$X$6,'实盘净值数据(iFinD）'!$B8:$X8/'实盘净值数据(iFinD）'!$B$7:$X$7,'实盘净值数据(iFinD）'!$B9:$X9/'实盘净值数据(iFinD）'!$B8:$X8)/SUMPRODUCT(实盘持仓初始配置!$B$6:$X$6,'实盘净值数据(iFinD）'!$B8:$X8/'实盘净值数据(iFinD）'!$B$7:$X$7))*(1-实盘持仓初始配置!$Z$6)^(('实盘净值数据(iFinD）'!$A9-'实盘净值数据(iFinD）'!$A8)/365)-1)</f>
        <v>3.3587934702982158E-2</v>
      </c>
      <c r="J9" s="16">
        <f>IF(H9="","",H9/MAX(H$5:H9)-1)</f>
        <v>0</v>
      </c>
      <c r="K9" s="13">
        <f>IF(OR((ROW()-1)&lt;8,'实盘净值数据(iFinD）'!$A9="",'实盘净值数据(iFinD）'!$B9=""),"",SUMPRODUCT(实盘持仓初始配置!$B$7:$X$7,'实盘净值数据(iFinD）'!$B9:$X9/'实盘净值数据(iFinD）'!$B$8:$X$8)*(1-实盘持仓初始配置!$Z$7)^(('实盘净值数据(iFinD）'!$A9-'实盘净值数据(iFinD）'!$A$8)/365))</f>
        <v>1.0014141946107082</v>
      </c>
      <c r="L9" s="16">
        <f>IF(OR(K8="",'实盘净值数据(iFinD）'!$A9="",'实盘净值数据(iFinD）'!$B9=""),"",(SUMPRODUCT(实盘持仓初始配置!$B$7:$X$7,'实盘净值数据(iFinD）'!$B8:$X8/'实盘净值数据(iFinD）'!$B$8:$X$8,'实盘净值数据(iFinD）'!$B9:$X9/'实盘净值数据(iFinD）'!$B8:$X8)/SUMPRODUCT(实盘持仓初始配置!$B$7:$X$7,'实盘净值数据(iFinD）'!$B8:$X8/'实盘净值数据(iFinD）'!$B$8:$X$8))*(1-实盘持仓初始配置!$Z$7)^(('实盘净值数据(iFinD）'!$A9-'实盘净值数据(iFinD）'!$A8)/365)-1)</f>
        <v>1.4141946107082415E-3</v>
      </c>
      <c r="M9" s="16">
        <f>IF(K9="","",K9/MAX(K$5:K9)-1)</f>
        <v>0</v>
      </c>
      <c r="N9" s="13">
        <f>IF(OR((ROW()-1)&lt;5,'实盘净值数据(iFinD）'!$A9="",'实盘净值数据(iFinD）'!$B9=""),"",SUMPRODUCT(实盘持仓初始配置!$B$8:$X$8,'实盘净值数据(iFinD）'!$B9:$X9/'实盘净值数据(iFinD）'!$B$5:$X$5)*(1-实盘持仓初始配置!$Z$8)^(('实盘净值数据(iFinD）'!$A9-'实盘净值数据(iFinD）'!$A$5)/365))</f>
        <v>1.0012779820956512</v>
      </c>
      <c r="O9" s="16">
        <f>IF(OR(N8="",'实盘净值数据(iFinD）'!$A9="",'实盘净值数据(iFinD）'!$B9=""),"",(SUMPRODUCT(实盘持仓初始配置!$B$8:$X$8,'实盘净值数据(iFinD）'!$B8:$X8/'实盘净值数据(iFinD）'!$B$5:$X$5,'实盘净值数据(iFinD）'!$B9:$X9/'实盘净值数据(iFinD）'!$B8:$X8)/SUMPRODUCT(实盘持仓初始配置!$B$8:$X$8,'实盘净值数据(iFinD）'!$B8:$X8/'实盘净值数据(iFinD）'!$B$5:$X$5))*(1-实盘持仓初始配置!$Z$8)^(('实盘净值数据(iFinD）'!$A9-'实盘净值数据(iFinD）'!$A8)/365)-1)</f>
        <v>1.5077591788150713E-3</v>
      </c>
      <c r="P9" s="16">
        <f>IF(N9="","",N9/MAX(N$5:N9)-1)</f>
        <v>0</v>
      </c>
      <c r="Q9" s="13">
        <f>IF(OR((ROW()-1)&lt;8,'实盘净值数据(iFinD）'!$A9="",'实盘净值数据(iFinD）'!$B9=""),"",SUMPRODUCT(实盘持仓初始配置!$B$9:$X$9,'实盘净值数据(iFinD）'!$B9:$X9/'实盘净值数据(iFinD）'!$B$8:$X$8)*(1-实盘持仓初始配置!$Z$9)^(('实盘净值数据(iFinD）'!$A9-'实盘净值数据(iFinD）'!$A$8)/365))</f>
        <v>1.0039732082294279</v>
      </c>
      <c r="R9" s="16">
        <f>IF(OR(Q8="",'实盘净值数据(iFinD）'!$A9="",'实盘净值数据(iFinD）'!$B9=""),"",(SUMPRODUCT(实盘持仓初始配置!$B$9:$X$9,'实盘净值数据(iFinD）'!$B8:$X8/'实盘净值数据(iFinD）'!$B$8:$X$8,'实盘净值数据(iFinD）'!$B9:$X9/'实盘净值数据(iFinD）'!$B8:$X8)/SUMPRODUCT(实盘持仓初始配置!$B$9:$X$9,'实盘净值数据(iFinD）'!$B8:$X8/'实盘净值数据(iFinD）'!$B$8:$X$8))*(1-实盘持仓初始配置!$Z$9)^(('实盘净值数据(iFinD）'!$A9-'实盘净值数据(iFinD）'!$A8)/365)-1)</f>
        <v>3.973208229428149E-3</v>
      </c>
      <c r="S9" s="16">
        <f>IF(Q9="","",Q9/MAX(Q$5:Q9)-1)</f>
        <v>0</v>
      </c>
      <c r="U9" s="17"/>
      <c r="V9" s="18"/>
    </row>
    <row r="10" spans="1:22" ht="14">
      <c r="A10" s="15">
        <f>IF('实盘净值数据(iFinD）'!A10="","",'实盘净值数据(iFinD）'!A10)</f>
        <v>46199</v>
      </c>
      <c r="B10" s="13">
        <f>IF(OR((ROW()-1)&lt;6,'实盘净值数据(iFinD）'!$A10="",'实盘净值数据(iFinD）'!$B10=""),"",SUMPRODUCT(实盘持仓初始配置!$B$4:$X$4,'实盘净值数据(iFinD）'!$B10:$X10/'实盘净值数据(iFinD）'!$B$6:$X$6)*(1-实盘持仓初始配置!$Z$4)^(('实盘净值数据(iFinD）'!$A10-'实盘净值数据(iFinD）'!$A$6)/365))</f>
        <v>1.0194457362958647</v>
      </c>
      <c r="C10" s="16">
        <f>IF(OR(B9="",'实盘净值数据(iFinD）'!$A10="",'实盘净值数据(iFinD）'!$B10=""),"",(SUMPRODUCT(实盘持仓初始配置!$B$4:$X$4,'实盘净值数据(iFinD）'!$B9:$X9/'实盘净值数据(iFinD）'!$B$6:$X$6,'实盘净值数据(iFinD）'!$B10:$X10/'实盘净值数据(iFinD）'!$B9:$X9)/SUMPRODUCT(实盘持仓初始配置!$B$4:$X$4,'实盘净值数据(iFinD）'!$B9:$X9/'实盘净值数据(iFinD）'!$B$6:$X$6))*(1-实盘持仓初始配置!$Z$4)^(('实盘净值数据(iFinD）'!$A10-'实盘净值数据(iFinD）'!$A9)/365)-1)</f>
        <v>-2.8584129290150306E-2</v>
      </c>
      <c r="D10" s="16">
        <f>IF(B10="","",B10/MAX(B$5:B10)-1)</f>
        <v>-2.8584129290150528E-2</v>
      </c>
      <c r="E10" s="13">
        <f>IF(OR((ROW()-1)&lt;5,'实盘净值数据(iFinD）'!$A10="",'实盘净值数据(iFinD）'!$B10=""),"",SUMPRODUCT(实盘持仓初始配置!$B$5:$X$5,'实盘净值数据(iFinD）'!$B10:$X10/'实盘净值数据(iFinD）'!$B$5:$X$5)*(1-实盘持仓初始配置!$Z$5)^(('实盘净值数据(iFinD）'!$A10-'实盘净值数据(iFinD）'!$A$5)/365))</f>
        <v>1.0431451846332738</v>
      </c>
      <c r="F10" s="16">
        <f>IF(OR(E9="",'实盘净值数据(iFinD）'!$A10="",'实盘净值数据(iFinD）'!$B10=""),"",(SUMPRODUCT(实盘持仓初始配置!$B$5:$X$5,'实盘净值数据(iFinD）'!$B9:$X9/'实盘净值数据(iFinD）'!$B$5:$X$5,'实盘净值数据(iFinD）'!$B10:$X10/'实盘净值数据(iFinD）'!$B9:$X9)/SUMPRODUCT(实盘持仓初始配置!$B$5:$X$5,'实盘净值数据(iFinD）'!$B9:$X9/'实盘净值数据(iFinD）'!$B$5:$X$5))*(1-实盘持仓初始配置!$Z$5)^(('实盘净值数据(iFinD）'!$A10-'实盘净值数据(iFinD）'!$A9)/365)-1)</f>
        <v>-2.8678714678834649E-2</v>
      </c>
      <c r="G10" s="16">
        <f>IF(E10="","",E10/MAX(E$5:E10)-1)</f>
        <v>-2.8678714678834427E-2</v>
      </c>
      <c r="H10" s="13">
        <f>IF(OR((ROW()-1)&lt;7,'实盘净值数据(iFinD）'!$A10="",'实盘净值数据(iFinD）'!$B10=""),"",SUMPRODUCT(实盘持仓初始配置!$B$6:$X$6,'实盘净值数据(iFinD）'!$B10:$X10/'实盘净值数据(iFinD）'!$B$7:$X$7)*(1-实盘持仓初始配置!$Z$6)^(('实盘净值数据(iFinD）'!$A10-'实盘净值数据(iFinD）'!$A$7)/365))</f>
        <v>1.050645670240649</v>
      </c>
      <c r="I10" s="16">
        <f>IF(OR(H9="",'实盘净值数据(iFinD）'!$A10="",'实盘净值数据(iFinD）'!$B10=""),"",(SUMPRODUCT(实盘持仓初始配置!$B$6:$X$6,'实盘净值数据(iFinD）'!$B9:$X9/'实盘净值数据(iFinD）'!$B$7:$X$7,'实盘净值数据(iFinD）'!$B10:$X10/'实盘净值数据(iFinD）'!$B9:$X9)/SUMPRODUCT(实盘持仓初始配置!$B$6:$X$6,'实盘净值数据(iFinD）'!$B9:$X9/'实盘净值数据(iFinD）'!$B$7:$X$7))*(1-实盘持仓初始配置!$Z$6)^(('实盘净值数据(iFinD）'!$A10-'实盘净值数据(iFinD）'!$A9)/365)-1)</f>
        <v>-2.1843224420047047E-2</v>
      </c>
      <c r="J10" s="16">
        <f>IF(H10="","",H10/MAX(H$5:H10)-1)</f>
        <v>-2.1843224420047047E-2</v>
      </c>
      <c r="K10" s="13">
        <f>IF(OR((ROW()-1)&lt;8,'实盘净值数据(iFinD）'!$A10="",'实盘净值数据(iFinD）'!$B10=""),"",SUMPRODUCT(实盘持仓初始配置!$B$7:$X$7,'实盘净值数据(iFinD）'!$B10:$X10/'实盘净值数据(iFinD）'!$B$8:$X$8)*(1-实盘持仓初始配置!$Z$7)^(('实盘净值数据(iFinD）'!$A10-'实盘净值数据(iFinD）'!$A$8)/365))</f>
        <v>0.999482233533317</v>
      </c>
      <c r="L10" s="16">
        <f>IF(OR(K9="",'实盘净值数据(iFinD）'!$A10="",'实盘净值数据(iFinD）'!$B10=""),"",(SUMPRODUCT(实盘持仓初始配置!$B$7:$X$7,'实盘净值数据(iFinD）'!$B9:$X9/'实盘净值数据(iFinD）'!$B$8:$X$8,'实盘净值数据(iFinD）'!$B10:$X10/'实盘净值数据(iFinD）'!$B9:$X9)/SUMPRODUCT(实盘持仓初始配置!$B$7:$X$7,'实盘净值数据(iFinD）'!$B9:$X9/'实盘净值数据(iFinD）'!$B$8:$X$8))*(1-实盘持仓初始配置!$Z$7)^(('实盘净值数据(iFinD）'!$A10-'实盘净值数据(iFinD）'!$A9)/365)-1)</f>
        <v>-1.9292327668097853E-3</v>
      </c>
      <c r="M10" s="16">
        <f>IF(K10="","",K10/MAX(K$5:K10)-1)</f>
        <v>-1.9292327668095632E-3</v>
      </c>
      <c r="N10" s="13">
        <f>IF(OR((ROW()-1)&lt;5,'实盘净值数据(iFinD）'!$A10="",'实盘净值数据(iFinD）'!$B10=""),"",SUMPRODUCT(实盘持仓初始配置!$B$8:$X$8,'实盘净值数据(iFinD）'!$B10:$X10/'实盘净值数据(iFinD）'!$B$5:$X$5)*(1-实盘持仓初始配置!$Z$8)^(('实盘净值数据(iFinD）'!$A10-'实盘净值数据(iFinD）'!$A$5)/365))</f>
        <v>0.99892980064356218</v>
      </c>
      <c r="O10" s="16">
        <f>IF(OR(N9="",'实盘净值数据(iFinD）'!$A10="",'实盘净值数据(iFinD）'!$B10=""),"",(SUMPRODUCT(实盘持仓初始配置!$B$8:$X$8,'实盘净值数据(iFinD）'!$B9:$X9/'实盘净值数据(iFinD）'!$B$5:$X$5,'实盘净值数据(iFinD）'!$B10:$X10/'实盘净值数据(iFinD）'!$B9:$X9)/SUMPRODUCT(实盘持仓初始配置!$B$8:$X$8,'实盘净值数据(iFinD）'!$B9:$X9/'实盘净值数据(iFinD）'!$B$5:$X$5))*(1-实盘持仓初始配置!$Z$8)^(('实盘净值数据(iFinD）'!$A10-'实盘净值数据(iFinD）'!$A9)/365)-1)</f>
        <v>-2.3451843484805224E-3</v>
      </c>
      <c r="P10" s="16">
        <f>IF(N10="","",N10/MAX(N$5:N10)-1)</f>
        <v>-2.3451843484806334E-3</v>
      </c>
      <c r="Q10" s="13">
        <f>IF(OR((ROW()-1)&lt;8,'实盘净值数据(iFinD）'!$A10="",'实盘净值数据(iFinD）'!$B10=""),"",SUMPRODUCT(实盘持仓初始配置!$B$9:$X$9,'实盘净值数据(iFinD）'!$B10:$X10/'实盘净值数据(iFinD）'!$B$8:$X$8)*(1-实盘持仓初始配置!$Z$9)^(('实盘净值数据(iFinD）'!$A10-'实盘净值数据(iFinD）'!$A$8)/365))</f>
        <v>0.99720804304745392</v>
      </c>
      <c r="R10" s="16">
        <f>IF(OR(Q9="",'实盘净值数据(iFinD）'!$A10="",'实盘净值数据(iFinD）'!$B10=""),"",(SUMPRODUCT(实盘持仓初始配置!$B$9:$X$9,'实盘净值数据(iFinD）'!$B9:$X9/'实盘净值数据(iFinD）'!$B$8:$X$8,'实盘净值数据(iFinD）'!$B10:$X10/'实盘净值数据(iFinD）'!$B9:$X9)/SUMPRODUCT(实盘持仓初始配置!$B$9:$X$9,'实盘净值数据(iFinD）'!$B9:$X9/'实盘净值数据(iFinD）'!$B$8:$X$8))*(1-实盘持仓初始配置!$Z$9)^(('实盘净值数据(iFinD）'!$A10-'实盘净值数据(iFinD）'!$A9)/365)-1)</f>
        <v>-6.7383921468430197E-3</v>
      </c>
      <c r="S10" s="16">
        <f>IF(Q10="","",Q10/MAX(Q$5:Q10)-1)</f>
        <v>-6.7383921468430197E-3</v>
      </c>
      <c r="U10" s="17"/>
      <c r="V10" s="18"/>
    </row>
    <row r="11" spans="1:22" ht="14">
      <c r="A11" s="15">
        <f>IF('实盘净值数据(iFinD）'!A11="","",'实盘净值数据(iFinD）'!A11)</f>
        <v>46202</v>
      </c>
      <c r="B11" s="13">
        <f>IF(OR((ROW()-1)&lt;6,'实盘净值数据(iFinD）'!$A11="",'实盘净值数据(iFinD）'!$B11=""),"",SUMPRODUCT(实盘持仓初始配置!$B$4:$X$4,'实盘净值数据(iFinD）'!$B11:$X11/'实盘净值数据(iFinD）'!$B$6:$X$6)*(1-实盘持仓初始配置!$Z$4)^(('实盘净值数据(iFinD）'!$A11-'实盘净值数据(iFinD）'!$A$6)/365))</f>
        <v>1.0294386648056562</v>
      </c>
      <c r="C11" s="16">
        <f>IF(OR(B10="",'实盘净值数据(iFinD）'!$A11="",'实盘净值数据(iFinD）'!$B11=""),"",(SUMPRODUCT(实盘持仓初始配置!$B$4:$X$4,'实盘净值数据(iFinD）'!$B10:$X10/'实盘净值数据(iFinD）'!$B$6:$X$6,'实盘净值数据(iFinD）'!$B11:$X11/'实盘净值数据(iFinD）'!$B10:$X10)/SUMPRODUCT(实盘持仓初始配置!$B$4:$X$4,'实盘净值数据(iFinD）'!$B10:$X10/'实盘净值数据(iFinD）'!$B$6:$X$6))*(1-实盘持仓初始配置!$Z$4)^(('实盘净值数据(iFinD）'!$A11-'实盘净值数据(iFinD）'!$A10)/365)-1)</f>
        <v>9.8023152719246553E-3</v>
      </c>
      <c r="D11" s="16">
        <f>IF(B11="","",B11/MAX(B$5:B11)-1)</f>
        <v>-1.906200466530128E-2</v>
      </c>
      <c r="E11" s="13">
        <f>IF(OR((ROW()-1)&lt;5,'实盘净值数据(iFinD）'!$A11="",'实盘净值数据(iFinD）'!$B11=""),"",SUMPRODUCT(实盘持仓初始配置!$B$5:$X$5,'实盘净值数据(iFinD）'!$B11:$X11/'实盘净值数据(iFinD）'!$B$5:$X$5)*(1-实盘持仓初始配置!$Z$5)^(('实盘净值数据(iFinD）'!$A11-'实盘净值数据(iFinD）'!$A$5)/365))</f>
        <v>1.0532583926143868</v>
      </c>
      <c r="F11" s="16">
        <f>IF(OR(E10="",'实盘净值数据(iFinD）'!$A11="",'实盘净值数据(iFinD）'!$B11=""),"",(SUMPRODUCT(实盘持仓初始配置!$B$5:$X$5,'实盘净值数据(iFinD）'!$B10:$X10/'实盘净值数据(iFinD）'!$B$5:$X$5,'实盘净值数据(iFinD）'!$B11:$X11/'实盘净值数据(iFinD）'!$B10:$X10)/SUMPRODUCT(实盘持仓初始配置!$B$5:$X$5,'实盘净值数据(iFinD）'!$B10:$X10/'实盘净值数据(iFinD）'!$B$5:$X$5))*(1-实盘持仓初始配置!$Z$5)^(('实盘净值数据(iFinD）'!$A11-'实盘净值数据(iFinD）'!$A10)/365)-1)</f>
        <v>9.6949189145405512E-3</v>
      </c>
      <c r="G11" s="16">
        <f>IF(E11="","",E11/MAX(E$5:E11)-1)</f>
        <v>-1.9261833577678411E-2</v>
      </c>
      <c r="H11" s="13">
        <f>IF(OR((ROW()-1)&lt;7,'实盘净值数据(iFinD）'!$A11="",'实盘净值数据(iFinD）'!$B11=""),"",SUMPRODUCT(实盘持仓初始配置!$B$6:$X$6,'实盘净值数据(iFinD）'!$B11:$X11/'实盘净值数据(iFinD）'!$B$7:$X$7)*(1-实盘持仓初始配置!$Z$6)^(('实盘净值数据(iFinD）'!$A11-'实盘净值数据(iFinD）'!$A$7)/365))</f>
        <v>1.0685098764526948</v>
      </c>
      <c r="I11" s="16">
        <f>IF(OR(H10="",'实盘净值数据(iFinD）'!$A11="",'实盘净值数据(iFinD）'!$B11=""),"",(SUMPRODUCT(实盘持仓初始配置!$B$6:$X$6,'实盘净值数据(iFinD）'!$B10:$X10/'实盘净值数据(iFinD）'!$B$7:$X$7,'实盘净值数据(iFinD）'!$B11:$X11/'实盘净值数据(iFinD）'!$B10:$X10)/SUMPRODUCT(实盘持仓初始配置!$B$6:$X$6,'实盘净值数据(iFinD）'!$B10:$X10/'实盘净值数据(iFinD）'!$B$7:$X$7))*(1-实盘持仓初始配置!$Z$6)^(('实盘净值数据(iFinD）'!$A11-'实盘净值数据(iFinD）'!$A10)/365)-1)</f>
        <v>1.7003074126745288E-2</v>
      </c>
      <c r="J11" s="16">
        <f>IF(H11="","",H11/MAX(H$5:H11)-1)</f>
        <v>-5.2115522572828699E-3</v>
      </c>
      <c r="K11" s="13">
        <f>IF(OR((ROW()-1)&lt;8,'实盘净值数据(iFinD）'!$A11="",'实盘净值数据(iFinD）'!$B11=""),"",SUMPRODUCT(实盘持仓初始配置!$B$7:$X$7,'实盘净值数据(iFinD）'!$B11:$X11/'实盘净值数据(iFinD）'!$B$8:$X$8)*(1-实盘持仓初始配置!$Z$7)^(('实盘净值数据(iFinD）'!$A11-'实盘净值数据(iFinD）'!$A$8)/365))</f>
        <v>1.0013813603515529</v>
      </c>
      <c r="L11" s="16">
        <f>IF(OR(K10="",'实盘净值数据(iFinD）'!$A11="",'实盘净值数据(iFinD）'!$B11=""),"",(SUMPRODUCT(实盘持仓初始配置!$B$7:$X$7,'实盘净值数据(iFinD）'!$B10:$X10/'实盘净值数据(iFinD）'!$B$8:$X$8,'实盘净值数据(iFinD）'!$B11:$X11/'实盘净值数据(iFinD）'!$B10:$X10)/SUMPRODUCT(实盘持仓初始配置!$B$7:$X$7,'实盘净值数据(iFinD）'!$B10:$X10/'实盘净值数据(iFinD）'!$B$8:$X$8))*(1-实盘持仓初始配置!$Z$7)^(('实盘净值数据(iFinD）'!$A11-'实盘净值数据(iFinD）'!$A10)/365)-1)</f>
        <v>1.9001106318041749E-3</v>
      </c>
      <c r="M11" s="16">
        <f>IF(K11="","",K11/MAX(K$5:K11)-1)</f>
        <v>-3.2787890697050237E-5</v>
      </c>
      <c r="N11" s="13">
        <f>IF(OR((ROW()-1)&lt;5,'实盘净值数据(iFinD）'!$A11="",'实盘净值数据(iFinD）'!$B11=""),"",SUMPRODUCT(实盘持仓初始配置!$B$8:$X$8,'实盘净值数据(iFinD）'!$B11:$X11/'实盘净值数据(iFinD）'!$B$5:$X$5)*(1-实盘持仓初始配置!$Z$8)^(('实盘净值数据(iFinD）'!$A11-'实盘净值数据(iFinD）'!$A$5)/365))</f>
        <v>1.0005210497548791</v>
      </c>
      <c r="O11" s="16">
        <f>IF(OR(N10="",'实盘净值数据(iFinD）'!$A11="",'实盘净值数据(iFinD）'!$B11=""),"",(SUMPRODUCT(实盘持仓初始配置!$B$8:$X$8,'实盘净值数据(iFinD）'!$B10:$X10/'实盘净值数据(iFinD）'!$B$5:$X$5,'实盘净值数据(iFinD）'!$B11:$X11/'实盘净值数据(iFinD）'!$B10:$X10)/SUMPRODUCT(实盘持仓初始配置!$B$8:$X$8,'实盘净值数据(iFinD）'!$B10:$X10/'实盘净值数据(iFinD）'!$B$5:$X$5))*(1-实盘持仓初始配置!$Z$8)^(('实盘净值数据(iFinD）'!$A11-'实盘净值数据(iFinD）'!$A10)/365)-1)</f>
        <v>1.5929538895442796E-3</v>
      </c>
      <c r="P11" s="16">
        <f>IF(N11="","",N11/MAX(N$5:N11)-1)</f>
        <v>-7.5596622946594305E-4</v>
      </c>
      <c r="Q11" s="13">
        <f>IF(OR((ROW()-1)&lt;8,'实盘净值数据(iFinD）'!$A11="",'实盘净值数据(iFinD）'!$B11=""),"",SUMPRODUCT(实盘持仓初始配置!$B$9:$X$9,'实盘净值数据(iFinD）'!$B11:$X11/'实盘净值数据(iFinD）'!$B$8:$X$8)*(1-实盘持仓初始配置!$Z$9)^(('实盘净值数据(iFinD）'!$A11-'实盘净值数据(iFinD）'!$A$8)/365))</f>
        <v>1.0009806053834995</v>
      </c>
      <c r="R11" s="16">
        <f>IF(OR(Q10="",'实盘净值数据(iFinD）'!$A11="",'实盘净值数据(iFinD）'!$B11=""),"",(SUMPRODUCT(实盘持仓初始配置!$B$9:$X$9,'实盘净值数据(iFinD）'!$B10:$X10/'实盘净值数据(iFinD）'!$B$8:$X$8,'实盘净值数据(iFinD）'!$B11:$X11/'实盘净值数据(iFinD）'!$B10:$X10)/SUMPRODUCT(实盘持仓初始配置!$B$9:$X$9,'实盘净值数据(iFinD）'!$B10:$X10/'实盘净值数据(iFinD）'!$B$8:$X$8))*(1-实盘持仓初始配置!$Z$9)^(('实盘净值数据(iFinD）'!$A11-'实盘净值数据(iFinD）'!$A10)/365)-1)</f>
        <v>3.7831246572348487E-3</v>
      </c>
      <c r="S11" s="16">
        <f>IF(Q11="","",Q11/MAX(Q$5:Q11)-1)</f>
        <v>-2.9807596670892167E-3</v>
      </c>
      <c r="U11" s="17"/>
      <c r="V11" s="18"/>
    </row>
    <row r="12" spans="1:22">
      <c r="A12" s="15">
        <f>IF('实盘净值数据(iFinD）'!A12="","",'实盘净值数据(iFinD）'!A12)</f>
        <v>46203</v>
      </c>
      <c r="B12" s="13">
        <f>IF(OR((ROW()-1)&lt;6,'实盘净值数据(iFinD）'!$A12="",'实盘净值数据(iFinD）'!$B12=""),"",SUMPRODUCT(实盘持仓初始配置!$B$4:$X$4,'实盘净值数据(iFinD）'!$B12:$X12/'实盘净值数据(iFinD）'!$B$6:$X$6)*(1-实盘持仓初始配置!$Z$4)^(('实盘净值数据(iFinD）'!$A12-'实盘净值数据(iFinD）'!$A$6)/365))</f>
        <v>1.0748479117145109</v>
      </c>
      <c r="C12" s="16">
        <f>IF(OR(B11="",'实盘净值数据(iFinD）'!$A12="",'实盘净值数据(iFinD）'!$B12=""),"",(SUMPRODUCT(实盘持仓初始配置!$B$4:$X$4,'实盘净值数据(iFinD）'!$B11:$X11/'实盘净值数据(iFinD）'!$B$6:$X$6,'实盘净值数据(iFinD）'!$B12:$X12/'实盘净值数据(iFinD）'!$B11:$X11)/SUMPRODUCT(实盘持仓初始配置!$B$4:$X$4,'实盘净值数据(iFinD）'!$B11:$X11/'实盘净值数据(iFinD）'!$B$6:$X$6))*(1-实盘持仓初始配置!$Z$4)^(('实盘净值数据(iFinD）'!$A12-'实盘净值数据(iFinD）'!$A11)/365)-1)</f>
        <v>4.4110687174769625E-2</v>
      </c>
      <c r="D12" s="16">
        <f>IF(B12="","",B12/MAX(B$5:B12)-1)</f>
        <v>0</v>
      </c>
      <c r="E12" s="13">
        <f>IF(OR((ROW()-1)&lt;5,'实盘净值数据(iFinD）'!$A12="",'实盘净值数据(iFinD）'!$B12=""),"",SUMPRODUCT(实盘持仓初始配置!$B$5:$X$5,'实盘净值数据(iFinD）'!$B12:$X12/'实盘净值数据(iFinD）'!$B$5:$X$5)*(1-实盘持仓初始配置!$Z$5)^(('实盘净值数据(iFinD）'!$A12-'实盘净值数据(iFinD）'!$A$5)/365))</f>
        <v>1.0997368712958928</v>
      </c>
      <c r="F12" s="16">
        <f>IF(OR(E11="",'实盘净值数据(iFinD）'!$A12="",'实盘净值数据(iFinD）'!$B12=""),"",(SUMPRODUCT(实盘持仓初始配置!$B$5:$X$5,'实盘净值数据(iFinD）'!$B11:$X11/'实盘净值数据(iFinD）'!$B$5:$X$5,'实盘净值数据(iFinD）'!$B12:$X12/'实盘净值数据(iFinD）'!$B11:$X11)/SUMPRODUCT(实盘持仓初始配置!$B$5:$X$5,'实盘净值数据(iFinD）'!$B11:$X11/'实盘净值数据(iFinD）'!$B$5:$X$5))*(1-实盘持仓初始配置!$Z$5)^(('实盘净值数据(iFinD）'!$A12-'实盘净值数据(iFinD）'!$A11)/365)-1)</f>
        <v>4.412827755033355E-2</v>
      </c>
      <c r="G12" s="16">
        <f>IF(E12="","",E12/MAX(E$5:E12)-1)</f>
        <v>0</v>
      </c>
      <c r="H12" s="13">
        <f>IF(OR((ROW()-1)&lt;7,'实盘净值数据(iFinD）'!$A12="",'实盘净值数据(iFinD）'!$B12=""),"",SUMPRODUCT(实盘持仓初始配置!$B$6:$X$6,'实盘净值数据(iFinD）'!$B12:$X12/'实盘净值数据(iFinD）'!$B$7:$X$7)*(1-实盘持仓初始配置!$Z$6)^(('实盘净值数据(iFinD）'!$A12-'实盘净值数据(iFinD）'!$A$7)/365))</f>
        <v>1.1117066956825354</v>
      </c>
      <c r="I12" s="16">
        <f>IF(OR(H11="",'实盘净值数据(iFinD）'!$A12="",'实盘净值数据(iFinD）'!$B12=""),"",(SUMPRODUCT(实盘持仓初始配置!$B$6:$X$6,'实盘净值数据(iFinD）'!$B11:$X11/'实盘净值数据(iFinD）'!$B$7:$X$7,'实盘净值数据(iFinD）'!$B12:$X12/'实盘净值数据(iFinD）'!$B11:$X11)/SUMPRODUCT(实盘持仓初始配置!$B$6:$X$6,'实盘净值数据(iFinD）'!$B11:$X11/'实盘净值数据(iFinD）'!$B$7:$X$7))*(1-实盘持仓初始配置!$Z$6)^(('实盘净值数据(iFinD）'!$A12-'实盘净值数据(iFinD）'!$A11)/365)-1)</f>
        <v>4.042715952542042E-2</v>
      </c>
      <c r="J12" s="16">
        <f>IF(H12="","",H12/MAX(H$5:H12)-1)</f>
        <v>0</v>
      </c>
      <c r="K12" s="13">
        <f>IF(OR((ROW()-1)&lt;8,'实盘净值数据(iFinD）'!$A12="",'实盘净值数据(iFinD）'!$B12=""),"",SUMPRODUCT(实盘持仓初始配置!$B$7:$X$7,'实盘净值数据(iFinD）'!$B12:$X12/'实盘净值数据(iFinD）'!$B$8:$X$8)*(1-实盘持仓初始配置!$Z$7)^(('实盘净值数据(iFinD）'!$A12-'实盘净值数据(iFinD）'!$A$8)/365))</f>
        <v>1.0032719936317975</v>
      </c>
      <c r="L12" s="16">
        <f>IF(OR(K11="",'实盘净值数据(iFinD）'!$A12="",'实盘净值数据(iFinD）'!$B12=""),"",(SUMPRODUCT(实盘持仓初始配置!$B$7:$X$7,'实盘净值数据(iFinD）'!$B11:$X11/'实盘净值数据(iFinD）'!$B$8:$X$8,'实盘净值数据(iFinD）'!$B12:$X12/'实盘净值数据(iFinD）'!$B11:$X11)/SUMPRODUCT(实盘持仓初始配置!$B$7:$X$7,'实盘净值数据(iFinD）'!$B11:$X11/'实盘净值数据(iFinD）'!$B$8:$X$8))*(1-实盘持仓初始配置!$Z$7)^(('实盘净值数据(iFinD）'!$A12-'实盘净值数据(iFinD）'!$A11)/365)-1)</f>
        <v>1.888025237039237E-3</v>
      </c>
      <c r="M12" s="16">
        <f>IF(K12="","",K12/MAX(K$5:K12)-1)</f>
        <v>0</v>
      </c>
      <c r="N12" s="13">
        <f>IF(OR((ROW()-1)&lt;5,'实盘净值数据(iFinD）'!$A12="",'实盘净值数据(iFinD）'!$B12=""),"",SUMPRODUCT(实盘持仓初始配置!$B$8:$X$8,'实盘净值数据(iFinD）'!$B12:$X12/'实盘净值数据(iFinD）'!$B$5:$X$5)*(1-实盘持仓初始配置!$Z$8)^(('实盘净值数据(iFinD）'!$A12-'实盘净值数据(iFinD）'!$A$5)/365))</f>
        <v>1.0027101391424882</v>
      </c>
      <c r="O12" s="16">
        <f>IF(OR(N11="",'实盘净值数据(iFinD）'!$A12="",'实盘净值数据(iFinD）'!$B12=""),"",(SUMPRODUCT(实盘持仓初始配置!$B$8:$X$8,'实盘净值数据(iFinD）'!$B11:$X11/'实盘净值数据(iFinD）'!$B$5:$X$5,'实盘净值数据(iFinD）'!$B12:$X12/'实盘净值数据(iFinD）'!$B11:$X11)/SUMPRODUCT(实盘持仓初始配置!$B$8:$X$8,'实盘净值数据(iFinD）'!$B11:$X11/'实盘净值数据(iFinD）'!$B$5:$X$5))*(1-实盘持仓初始配置!$Z$8)^(('实盘净值数据(iFinD）'!$A12-'实盘净值数据(iFinD）'!$A11)/365)-1)</f>
        <v>2.1879493571328457E-3</v>
      </c>
      <c r="P12" s="16">
        <f>IF(N12="","",N12/MAX(N$5:N12)-1)</f>
        <v>0</v>
      </c>
      <c r="Q12" s="13">
        <f>IF(OR((ROW()-1)&lt;8,'实盘净值数据(iFinD）'!$A12="",'实盘净值数据(iFinD）'!$B12=""),"",SUMPRODUCT(实盘持仓初始配置!$B$9:$X$9,'实盘净值数据(iFinD）'!$B12:$X12/'实盘净值数据(iFinD）'!$B$8:$X$8)*(1-实盘持仓初始配置!$Z$9)^(('实盘净值数据(iFinD）'!$A12-'实盘净值数据(iFinD）'!$A$8)/365))</f>
        <v>1.0087618711402628</v>
      </c>
      <c r="R12" s="16">
        <f>IF(OR(Q11="",'实盘净值数据(iFinD）'!$A12="",'实盘净值数据(iFinD）'!$B12=""),"",(SUMPRODUCT(实盘持仓初始配置!$B$9:$X$9,'实盘净值数据(iFinD）'!$B11:$X11/'实盘净值数据(iFinD）'!$B$8:$X$8,'实盘净值数据(iFinD）'!$B12:$X12/'实盘净值数据(iFinD）'!$B11:$X11)/SUMPRODUCT(实盘持仓初始配置!$B$9:$X$9,'实盘净值数据(iFinD）'!$B11:$X11/'实盘净值数据(iFinD）'!$B$8:$X$8))*(1-实盘持仓初始配置!$Z$9)^(('实盘净值数据(iFinD）'!$A12-'实盘净值数据(iFinD）'!$A11)/365)-1)</f>
        <v>7.7736428807049229E-3</v>
      </c>
      <c r="S12" s="16">
        <f>IF(Q12="","",Q12/MAX(Q$5:Q12)-1)</f>
        <v>0</v>
      </c>
    </row>
    <row r="13" spans="1:22">
      <c r="A13" s="15">
        <f>IF('实盘净值数据(iFinD）'!A13="","",'实盘净值数据(iFinD）'!A13)</f>
        <v>46204</v>
      </c>
      <c r="B13" s="13">
        <f>IF(OR((ROW()-1)&lt;6,'实盘净值数据(iFinD）'!$A13="",'实盘净值数据(iFinD）'!$B13=""),"",SUMPRODUCT(实盘持仓初始配置!$B$4:$X$4,'实盘净值数据(iFinD）'!$B13:$X13/'实盘净值数据(iFinD）'!$B$6:$X$6)*(1-实盘持仓初始配置!$Z$4)^(('实盘净值数据(iFinD）'!$A13-'实盘净值数据(iFinD）'!$A$6)/365))</f>
        <v>1.0416673271387726</v>
      </c>
      <c r="C13" s="16">
        <f>IF(OR(B12="",'实盘净值数据(iFinD）'!$A13="",'实盘净值数据(iFinD）'!$B13=""),"",(SUMPRODUCT(实盘持仓初始配置!$B$4:$X$4,'实盘净值数据(iFinD）'!$B12:$X12/'实盘净值数据(iFinD）'!$B$6:$X$6,'实盘净值数据(iFinD）'!$B13:$X13/'实盘净值数据(iFinD）'!$B12:$X12)/SUMPRODUCT(实盘持仓初始配置!$B$4:$X$4,'实盘净值数据(iFinD）'!$B12:$X12/'实盘净值数据(iFinD）'!$B$6:$X$6))*(1-实盘持仓初始配置!$Z$4)^(('实盘净值数据(iFinD）'!$A13-'实盘净值数据(iFinD）'!$A12)/365)-1)</f>
        <v>-3.0870027483991924E-2</v>
      </c>
      <c r="D13" s="16">
        <f>IF(B13="","",B13/MAX(B$5:B13)-1)</f>
        <v>-3.0870027483991924E-2</v>
      </c>
      <c r="E13" s="13">
        <f>IF(OR((ROW()-1)&lt;5,'实盘净值数据(iFinD）'!$A13="",'实盘净值数据(iFinD）'!$B13=""),"",SUMPRODUCT(实盘持仓初始配置!$B$5:$X$5,'实盘净值数据(iFinD）'!$B13:$X13/'实盘净值数据(iFinD）'!$B$5:$X$5)*(1-实盘持仓初始配置!$Z$5)^(('实盘净值数据(iFinD）'!$A13-'实盘净值数据(iFinD）'!$A$5)/365))</f>
        <v>1.0657543280201871</v>
      </c>
      <c r="F13" s="16">
        <f>IF(OR(E12="",'实盘净值数据(iFinD）'!$A13="",'实盘净值数据(iFinD）'!$B13=""),"",(SUMPRODUCT(实盘持仓初始配置!$B$5:$X$5,'实盘净值数据(iFinD）'!$B12:$X12/'实盘净值数据(iFinD）'!$B$5:$X$5,'实盘净值数据(iFinD）'!$B13:$X13/'实盘净值数据(iFinD）'!$B12:$X12)/SUMPRODUCT(实盘持仓初始配置!$B$5:$X$5,'实盘净值数据(iFinD）'!$B12:$X12/'实盘净值数据(iFinD）'!$B$5:$X$5))*(1-实盘持仓初始配置!$Z$5)^(('实盘净值数据(iFinD）'!$A13-'实盘净值数据(iFinD）'!$A12)/365)-1)</f>
        <v>-3.0900612830832896E-2</v>
      </c>
      <c r="G13" s="16">
        <f>IF(E13="","",E13/MAX(E$5:E13)-1)</f>
        <v>-3.0900612830832785E-2</v>
      </c>
      <c r="H13" s="13">
        <f>IF(OR((ROW()-1)&lt;7,'实盘净值数据(iFinD）'!$A13="",'实盘净值数据(iFinD）'!$B13=""),"",SUMPRODUCT(实盘持仓初始配置!$B$6:$X$6,'实盘净值数据(iFinD）'!$B13:$X13/'实盘净值数据(iFinD）'!$B$7:$X$7)*(1-实盘持仓初始配置!$Z$6)^(('实盘净值数据(iFinD）'!$A13-'实盘净值数据(iFinD）'!$A$7)/365))</f>
        <v>1.0836174881519127</v>
      </c>
      <c r="I13" s="16">
        <f>IF(OR(H12="",'实盘净值数据(iFinD）'!$A13="",'实盘净值数据(iFinD）'!$B13=""),"",(SUMPRODUCT(实盘持仓初始配置!$B$6:$X$6,'实盘净值数据(iFinD）'!$B12:$X12/'实盘净值数据(iFinD）'!$B$7:$X$7,'实盘净值数据(iFinD）'!$B13:$X13/'实盘净值数据(iFinD）'!$B12:$X12)/SUMPRODUCT(实盘持仓初始配置!$B$6:$X$6,'实盘净值数据(iFinD）'!$B12:$X12/'实盘净值数据(iFinD）'!$B$7:$X$7))*(1-实盘持仓初始配置!$Z$6)^(('实盘净值数据(iFinD）'!$A13-'实盘净值数据(iFinD）'!$A12)/365)-1)</f>
        <v>-2.5266743143412818E-2</v>
      </c>
      <c r="J13" s="16">
        <f>IF(H13="","",H13/MAX(H$5:H13)-1)</f>
        <v>-2.5266743143412707E-2</v>
      </c>
      <c r="K13" s="13">
        <f>IF(OR((ROW()-1)&lt;8,'实盘净值数据(iFinD）'!$A13="",'实盘净值数据(iFinD）'!$B13=""),"",SUMPRODUCT(实盘持仓初始配置!$B$7:$X$7,'实盘净值数据(iFinD）'!$B13:$X13/'实盘净值数据(iFinD）'!$B$8:$X$8)*(1-实盘持仓初始配置!$Z$7)^(('实盘净值数据(iFinD）'!$A13-'实盘净值数据(iFinD）'!$A$8)/365))</f>
        <v>1.0008642071384042</v>
      </c>
      <c r="L13" s="16">
        <f>IF(OR(K12="",'实盘净值数据(iFinD）'!$A13="",'实盘净值数据(iFinD）'!$B13=""),"",(SUMPRODUCT(实盘持仓初始配置!$B$7:$X$7,'实盘净值数据(iFinD）'!$B12:$X12/'实盘净值数据(iFinD）'!$B$8:$X$8,'实盘净值数据(iFinD）'!$B13:$X13/'实盘净值数据(iFinD）'!$B12:$X12)/SUMPRODUCT(实盘持仓初始配置!$B$7:$X$7,'实盘净值数据(iFinD）'!$B12:$X12/'实盘净值数据(iFinD）'!$B$8:$X$8))*(1-实盘持仓初始配置!$Z$7)^(('实盘净值数据(iFinD）'!$A13-'实盘净值数据(iFinD）'!$A12)/365)-1)</f>
        <v>-2.3999339248743645E-3</v>
      </c>
      <c r="M13" s="16">
        <f>IF(K13="","",K13/MAX(K$5:K13)-1)</f>
        <v>-2.3999339248744755E-3</v>
      </c>
      <c r="N13" s="13">
        <f>IF(OR((ROW()-1)&lt;5,'实盘净值数据(iFinD）'!$A13="",'实盘净值数据(iFinD）'!$B13=""),"",SUMPRODUCT(实盘持仓初始配置!$B$8:$X$8,'实盘净值数据(iFinD）'!$B13:$X13/'实盘净值数据(iFinD）'!$B$5:$X$5)*(1-实盘持仓初始配置!$Z$8)^(('实盘净值数据(iFinD）'!$A13-'实盘净值数据(iFinD）'!$A$5)/365))</f>
        <v>0.99998436731801976</v>
      </c>
      <c r="O13" s="16">
        <f>IF(OR(N12="",'实盘净值数据(iFinD）'!$A13="",'实盘净值数据(iFinD）'!$B13=""),"",(SUMPRODUCT(实盘持仓初始配置!$B$8:$X$8,'实盘净值数据(iFinD）'!$B12:$X12/'实盘净值数据(iFinD）'!$B$5:$X$5,'实盘净值数据(iFinD）'!$B13:$X13/'实盘净值数据(iFinD）'!$B12:$X12)/SUMPRODUCT(实盘持仓初始配置!$B$8:$X$8,'实盘净值数据(iFinD）'!$B12:$X12/'实盘净值数据(iFinD）'!$B$5:$X$5))*(1-实盘持仓初始配置!$Z$8)^(('实盘净值数据(iFinD）'!$A13-'实盘净值数据(iFinD）'!$A12)/365)-1)</f>
        <v>-2.7184045698385173E-3</v>
      </c>
      <c r="P13" s="16">
        <f>IF(N13="","",N13/MAX(N$5:N13)-1)</f>
        <v>-2.7184045698386283E-3</v>
      </c>
      <c r="Q13" s="13">
        <f>IF(OR((ROW()-1)&lt;8,'实盘净值数据(iFinD）'!$A13="",'实盘净值数据(iFinD）'!$B13=""),"",SUMPRODUCT(实盘持仓初始配置!$B$9:$X$9,'实盘净值数据(iFinD）'!$B13:$X13/'实盘净值数据(iFinD）'!$B$8:$X$8)*(1-实盘持仓初始配置!$Z$9)^(('实盘净值数据(iFinD）'!$A13-'实盘净值数据(iFinD）'!$A$8)/365))</f>
        <v>1.0039155476418373</v>
      </c>
      <c r="R13" s="16">
        <f>IF(OR(Q12="",'实盘净值数据(iFinD）'!$A13="",'实盘净值数据(iFinD）'!$B13=""),"",(SUMPRODUCT(实盘持仓初始配置!$B$9:$X$9,'实盘净值数据(iFinD）'!$B12:$X12/'实盘净值数据(iFinD）'!$B$8:$X$8,'实盘净值数据(iFinD）'!$B13:$X13/'实盘净值数据(iFinD）'!$B12:$X12)/SUMPRODUCT(实盘持仓初始配置!$B$9:$X$9,'实盘净值数据(iFinD）'!$B12:$X12/'实盘净值数据(iFinD）'!$B$8:$X$8))*(1-实盘持仓初始配置!$Z$9)^(('实盘净值数据(iFinD）'!$A13-'实盘净值数据(iFinD）'!$A12)/365)-1)</f>
        <v>-4.8042294589777379E-3</v>
      </c>
      <c r="S13" s="16">
        <f>IF(Q13="","",Q13/MAX(Q$5:Q13)-1)</f>
        <v>-4.8042294589777379E-3</v>
      </c>
    </row>
    <row r="14" spans="1:22">
      <c r="A14" s="15">
        <f>IF('实盘净值数据(iFinD）'!A14="","",'实盘净值数据(iFinD）'!A14)</f>
        <v>46205</v>
      </c>
      <c r="B14" s="13">
        <f>IF(OR((ROW()-1)&lt;6,'实盘净值数据(iFinD）'!$A14="",'实盘净值数据(iFinD）'!$B14=""),"",SUMPRODUCT(实盘持仓初始配置!$B$4:$X$4,'实盘净值数据(iFinD）'!$B14:$X14/'实盘净值数据(iFinD）'!$B$6:$X$6)*(1-实盘持仓初始配置!$Z$4)^(('实盘净值数据(iFinD）'!$A14-'实盘净值数据(iFinD）'!$A$6)/365))</f>
        <v>0.9502400516447862</v>
      </c>
      <c r="C14" s="16">
        <f>IF(OR(B13="",'实盘净值数据(iFinD）'!$A14="",'实盘净值数据(iFinD）'!$B14=""),"",(SUMPRODUCT(实盘持仓初始配置!$B$4:$X$4,'实盘净值数据(iFinD）'!$B13:$X13/'实盘净值数据(iFinD）'!$B$6:$X$6,'实盘净值数据(iFinD）'!$B14:$X14/'实盘净值数据(iFinD）'!$B13:$X13)/SUMPRODUCT(实盘持仓初始配置!$B$4:$X$4,'实盘净值数据(iFinD）'!$B13:$X13/'实盘净值数据(iFinD）'!$B$6:$X$6))*(1-实盘持仓初始配置!$Z$4)^(('实盘净值数据(iFinD）'!$A14-'实盘净值数据(iFinD）'!$A13)/365)-1)</f>
        <v>-8.7770128823294269E-2</v>
      </c>
      <c r="D14" s="16">
        <f>IF(B14="","",B14/MAX(B$5:B14)-1)</f>
        <v>-0.1159306900182373</v>
      </c>
      <c r="E14" s="13">
        <f>IF(OR((ROW()-1)&lt;5,'实盘净值数据(iFinD）'!$A14="",'实盘净值数据(iFinD）'!$B14=""),"",SUMPRODUCT(实盘持仓初始配置!$B$5:$X$5,'实盘净值数据(iFinD）'!$B14:$X14/'实盘净值数据(iFinD）'!$B$5:$X$5)*(1-实盘持仓初始配置!$Z$5)^(('实盘净值数据(iFinD）'!$A14-'实盘净值数据(iFinD）'!$A$5)/365))</f>
        <v>0.97222777037242381</v>
      </c>
      <c r="F14" s="16">
        <f>IF(OR(E13="",'实盘净值数据(iFinD）'!$A14="",'实盘净值数据(iFinD）'!$B14=""),"",(SUMPRODUCT(实盘持仓初始配置!$B$5:$X$5,'实盘净值数据(iFinD）'!$B13:$X13/'实盘净值数据(iFinD）'!$B$5:$X$5,'实盘净值数据(iFinD）'!$B14:$X14/'实盘净值数据(iFinD）'!$B13:$X13)/SUMPRODUCT(实盘持仓初始配置!$B$5:$X$5,'实盘净值数据(iFinD）'!$B13:$X13/'实盘净值数据(iFinD）'!$B$5:$X$5))*(1-实盘持仓初始配置!$Z$5)^(('实盘净值数据(iFinD）'!$A14-'实盘净值数据(iFinD）'!$A13)/365)-1)</f>
        <v>-8.7756207212880244E-2</v>
      </c>
      <c r="G14" s="16">
        <f>IF(E14="","",E14/MAX(E$5:E14)-1)</f>
        <v>-0.1159450994611253</v>
      </c>
      <c r="H14" s="13">
        <f>IF(OR((ROW()-1)&lt;7,'实盘净值数据(iFinD）'!$A14="",'实盘净值数据(iFinD）'!$B14=""),"",SUMPRODUCT(实盘持仓初始配置!$B$6:$X$6,'实盘净值数据(iFinD）'!$B14:$X14/'实盘净值数据(iFinD）'!$B$7:$X$7)*(1-实盘持仓初始配置!$Z$6)^(('实盘净值数据(iFinD）'!$A14-'实盘净值数据(iFinD）'!$A$7)/365))</f>
        <v>0.9917522529182049</v>
      </c>
      <c r="I14" s="16">
        <f>IF(OR(H13="",'实盘净值数据(iFinD）'!$A14="",'实盘净值数据(iFinD）'!$B14=""),"",(SUMPRODUCT(实盘持仓初始配置!$B$6:$X$6,'实盘净值数据(iFinD）'!$B13:$X13/'实盘净值数据(iFinD）'!$B$7:$X$7,'实盘净值数据(iFinD）'!$B14:$X14/'实盘净值数据(iFinD）'!$B13:$X13)/SUMPRODUCT(实盘持仓初始配置!$B$6:$X$6,'实盘净值数据(iFinD）'!$B13:$X13/'实盘净值数据(iFinD）'!$B$7:$X$7))*(1-实盘持仓初始配置!$Z$6)^(('实盘净值数据(iFinD）'!$A14-'实盘净值数据(iFinD）'!$A13)/365)-1)</f>
        <v>-8.477644209155577E-2</v>
      </c>
      <c r="J14" s="16">
        <f>IF(H14="","",H14/MAX(H$5:H14)-1)</f>
        <v>-0.10790116064802879</v>
      </c>
      <c r="K14" s="13">
        <f>IF(OR('实盘净值数据(iFinD）'!$A14="",'实盘净值数据(iFinD）'!$B14=""),"",分期持仓明细!$AB$9*SUMPRODUCT(分期持仓明细!$B$9:$Y$9,'实盘净值数据(iFinD）'!$B14:$Y14/'实盘净值数据(iFinD）'!$B$13:$Y$13)*(1-实盘持仓初始配置!$Z$7)^(('实盘净值数据(iFinD）'!$A14-'实盘净值数据(iFinD）'!$A$8)/365))</f>
        <v>0.9953694470930653</v>
      </c>
      <c r="L14" s="16">
        <f t="shared" ref="L14:L59" si="0">IF(OR(K13="",K14=""),"",K14/K13-1)</f>
        <v>-5.4900155347238355E-3</v>
      </c>
      <c r="M14" s="16">
        <f>IF(K14="","",K14/MAX(K$5:K14)-1)</f>
        <v>-7.8767737850683472E-3</v>
      </c>
      <c r="N14" s="13">
        <f>IF(OR('实盘净值数据(iFinD）'!$A14="",'实盘净值数据(iFinD）'!$B14=""),"",分期持仓明细!$AB$11*SUMPRODUCT(分期持仓明细!$B$11:$Y$11,'实盘净值数据(iFinD）'!$B14:$Y14/'实盘净值数据(iFinD）'!$B$13:$Y$13)*(1-实盘持仓初始配置!$Z$8)^(('实盘净值数据(iFinD）'!$A14-'实盘净值数据(iFinD）'!$A$5)/365))</f>
        <v>0.99415279612394647</v>
      </c>
      <c r="O14" s="16">
        <f t="shared" ref="O14:O59" si="1">IF(OR(N13="",N14=""),"",N14/N13-1)</f>
        <v>-5.8316623585963345E-3</v>
      </c>
      <c r="P14" s="16">
        <f>IF(N14="","",N14/MAX(N$5:N14)-1)</f>
        <v>-8.5342141108295522E-3</v>
      </c>
      <c r="Q14" s="13">
        <f>IF(OR('实盘净值数据(iFinD）'!$A14="",'实盘净值数据(iFinD）'!$B14=""),"",分期持仓明细!$AB$13*SUMPRODUCT(分期持仓明细!$B$13:$Y$13,'实盘净值数据(iFinD）'!$B14:$Y14/'实盘净值数据(iFinD）'!$B$13:$Y$13)*(1-实盘持仓初始配置!$Z$9)^(('实盘净值数据(iFinD）'!$A14-'实盘净值数据(iFinD）'!$A$8)/365))</f>
        <v>0.98752211337914908</v>
      </c>
      <c r="R14" s="16">
        <f t="shared" ref="R14:R59" si="2">IF(OR(Q13="",Q14=""),"",Q14/Q13-1)</f>
        <v>-1.6329495345695055E-2</v>
      </c>
      <c r="S14" s="16">
        <f>IF(Q14="","",Q14/MAX(Q$5:Q14)-1)</f>
        <v>-2.1055274162082638E-2</v>
      </c>
    </row>
    <row r="15" spans="1:22">
      <c r="A15" s="15">
        <f>IF('实盘净值数据(iFinD）'!A15="","",'实盘净值数据(iFinD）'!A15)</f>
        <v>46206</v>
      </c>
      <c r="B15" s="13">
        <f>IF(OR((ROW()-1)&lt;6,'实盘净值数据(iFinD）'!$A15="",'实盘净值数据(iFinD）'!$B15=""),"",SUMPRODUCT(实盘持仓初始配置!$B$4:$X$4,'实盘净值数据(iFinD）'!$B15:$X15/'实盘净值数据(iFinD）'!$B$6:$X$6)*(1-实盘持仓初始配置!$Z$4)^(('实盘净值数据(iFinD）'!$A15-'实盘净值数据(iFinD）'!$A$6)/365))</f>
        <v>0.94321899538470466</v>
      </c>
      <c r="C15" s="16">
        <f>IF(OR(B14="",'实盘净值数据(iFinD）'!$A15="",'实盘净值数据(iFinD）'!$B15=""),"",(SUMPRODUCT(实盘持仓初始配置!$B$4:$X$4,'实盘净值数据(iFinD）'!$B14:$X14/'实盘净值数据(iFinD）'!$B$6:$X$6,'实盘净值数据(iFinD）'!$B15:$X15/'实盘净值数据(iFinD）'!$B14:$X14)/SUMPRODUCT(实盘持仓初始配置!$B$4:$X$4,'实盘净值数据(iFinD）'!$B14:$X14/'实盘净值数据(iFinD）'!$B$6:$X$6))*(1-实盘持仓初始配置!$Z$4)^(('实盘净值数据(iFinD）'!$A15-'实盘净值数据(iFinD）'!$A14)/365)-1)</f>
        <v>-7.3887185116313647E-3</v>
      </c>
      <c r="D15" s="16">
        <f>IF(B15="","",B15/MAX(B$5:B15)-1)</f>
        <v>-0.12246282929446495</v>
      </c>
      <c r="E15" s="13">
        <f>IF(OR((ROW()-1)&lt;5,'实盘净值数据(iFinD）'!$A15="",'实盘净值数据(iFinD）'!$B15=""),"",SUMPRODUCT(实盘持仓初始配置!$B$5:$X$5,'实盘净值数据(iFinD）'!$B15:$X15/'实盘净值数据(iFinD）'!$B$5:$X$5)*(1-实盘持仓初始配置!$Z$5)^(('实盘净值数据(iFinD）'!$A15-'实盘净值数据(iFinD）'!$A$5)/365))</f>
        <v>0.9650764877591137</v>
      </c>
      <c r="F15" s="16">
        <f>IF(OR(E14="",'实盘净值数据(iFinD）'!$A15="",'实盘净值数据(iFinD）'!$B15=""),"",(SUMPRODUCT(实盘持仓初始配置!$B$5:$X$5,'实盘净值数据(iFinD）'!$B14:$X14/'实盘净值数据(iFinD）'!$B$5:$X$5,'实盘净值数据(iFinD）'!$B15:$X15/'实盘净值数据(iFinD）'!$B14:$X14)/SUMPRODUCT(实盘持仓初始配置!$B$5:$X$5,'实盘净值数据(iFinD）'!$B14:$X14/'实盘净值数据(iFinD）'!$B$5:$X$5))*(1-实盘持仓初始配置!$Z$5)^(('实盘净值数据(iFinD）'!$A15-'实盘净值数据(iFinD）'!$A14)/365)-1)</f>
        <v>-7.3555629979286108E-3</v>
      </c>
      <c r="G15" s="16">
        <f>IF(E15="","",E15/MAX(E$5:E15)-1)</f>
        <v>-0.12244782097566653</v>
      </c>
      <c r="H15" s="13">
        <f>IF(OR((ROW()-1)&lt;7,'实盘净值数据(iFinD）'!$A15="",'实盘净值数据(iFinD）'!$B15=""),"",SUMPRODUCT(实盘持仓初始配置!$B$6:$X$6,'实盘净值数据(iFinD）'!$B15:$X15/'实盘净值数据(iFinD）'!$B$7:$X$7)*(1-实盘持仓初始配置!$Z$6)^(('实盘净值数据(iFinD）'!$A15-'实盘净值数据(iFinD）'!$A$7)/365))</f>
        <v>0.98876258967330444</v>
      </c>
      <c r="I15" s="16">
        <f>IF(OR(H14="",'实盘净值数据(iFinD）'!$A15="",'实盘净值数据(iFinD）'!$B15=""),"",(SUMPRODUCT(实盘持仓初始配置!$B$6:$X$6,'实盘净值数据(iFinD）'!$B14:$X14/'实盘净值数据(iFinD）'!$B$7:$X$7,'实盘净值数据(iFinD）'!$B15:$X15/'实盘净值数据(iFinD）'!$B14:$X14)/SUMPRODUCT(实盘持仓初始配置!$B$6:$X$6,'实盘净值数据(iFinD）'!$B14:$X14/'实盘净值数据(iFinD）'!$B$7:$X$7))*(1-实盘持仓初始配置!$Z$6)^(('实盘净值数据(iFinD）'!$A15-'实盘净值数据(iFinD）'!$A14)/365)-1)</f>
        <v>-3.0145262953558127E-3</v>
      </c>
      <c r="J15" s="16">
        <f>IF(H15="","",H15/MAX(H$5:H15)-1)</f>
        <v>-0.1105904160573119</v>
      </c>
      <c r="K15" s="13">
        <f>IF(OR('实盘净值数据(iFinD）'!$A15="",'实盘净值数据(iFinD）'!$B15=""),"",分期持仓明细!$AB$9*SUMPRODUCT(分期持仓明细!$B$9:$Y$9,'实盘净值数据(iFinD）'!$B15:$Y15/'实盘净值数据(iFinD）'!$B$13:$Y$13)*(1-实盘持仓初始配置!$Z$7)^(('实盘净值数据(iFinD）'!$A15-'实盘净值数据(iFinD）'!$A$8)/365))</f>
        <v>0.99652454720825456</v>
      </c>
      <c r="L15" s="16">
        <f t="shared" si="0"/>
        <v>1.1604737502870499E-3</v>
      </c>
      <c r="M15" s="16">
        <f>IF(K15="","",K15/MAX(K$5:K15)-1)</f>
        <v>-6.725440823995843E-3</v>
      </c>
      <c r="N15" s="13">
        <f>IF(OR('实盘净值数据(iFinD）'!$A15="",'实盘净值数据(iFinD）'!$B15=""),"",分期持仓明细!$AB$11*SUMPRODUCT(分期持仓明细!$B$11:$Y$11,'实盘净值数据(iFinD）'!$B15:$Y15/'实盘净值数据(iFinD）'!$B$13:$Y$13)*(1-实盘持仓初始配置!$Z$8)^(('实盘净值数据(iFinD）'!$A15-'实盘净值数据(iFinD）'!$A$5)/365))</f>
        <v>0.9950266275137456</v>
      </c>
      <c r="O15" s="16">
        <f t="shared" si="1"/>
        <v>8.7897091192234988E-4</v>
      </c>
      <c r="P15" s="16">
        <f>IF(N15="","",N15/MAX(N$5:N15)-1)</f>
        <v>-7.6627445248668158E-3</v>
      </c>
      <c r="Q15" s="13">
        <f>IF(OR('实盘净值数据(iFinD）'!$A15="",'实盘净值数据(iFinD）'!$B15=""),"",分期持仓明细!$AB$13*SUMPRODUCT(分期持仓明细!$B$13:$Y$13,'实盘净值数据(iFinD）'!$B15:$Y15/'实盘净值数据(iFinD）'!$B$13:$Y$13)*(1-实盘持仓初始配置!$Z$9)^(('实盘净值数据(iFinD）'!$A15-'实盘净值数据(iFinD）'!$A$8)/365))</f>
        <v>0.99030293727219687</v>
      </c>
      <c r="R15" s="16">
        <f t="shared" si="2"/>
        <v>2.8159611368421267E-3</v>
      </c>
      <c r="S15" s="16">
        <f>IF(Q15="","",Q15/MAX(Q$5:Q15)-1)</f>
        <v>-1.8298603859006612E-2</v>
      </c>
    </row>
    <row r="16" spans="1:22">
      <c r="A16" s="15">
        <f>IF('实盘净值数据(iFinD）'!A16="","",'实盘净值数据(iFinD）'!A16)</f>
        <v>46209</v>
      </c>
      <c r="B16" s="13">
        <f>IF(OR((ROW()-1)&lt;6,'实盘净值数据(iFinD）'!$A16="",'实盘净值数据(iFinD）'!$B16=""),"",SUMPRODUCT(实盘持仓初始配置!$B$4:$X$4,'实盘净值数据(iFinD）'!$B16:$X16/'实盘净值数据(iFinD）'!$B$6:$X$6)*(1-实盘持仓初始配置!$Z$4)^(('实盘净值数据(iFinD）'!$A16-'实盘净值数据(iFinD）'!$A$6)/365))</f>
        <v>0.92459185139429301</v>
      </c>
      <c r="C16" s="16">
        <f>IF(OR(B15="",'实盘净值数据(iFinD）'!$A16="",'实盘净值数据(iFinD）'!$B16=""),"",(SUMPRODUCT(实盘持仓初始配置!$B$4:$X$4,'实盘净值数据(iFinD）'!$B15:$X15/'实盘净值数据(iFinD）'!$B$6:$X$6,'实盘净值数据(iFinD）'!$B16:$X16/'实盘净值数据(iFinD）'!$B15:$X15)/SUMPRODUCT(实盘持仓初始配置!$B$4:$X$4,'实盘净值数据(iFinD）'!$B15:$X15/'实盘净值数据(iFinD）'!$B$6:$X$6))*(1-实盘持仓初始配置!$Z$4)^(('实盘净值数据(iFinD）'!$A16-'实盘净值数据(iFinD）'!$A15)/365)-1)</f>
        <v>-1.9748482676405832E-2</v>
      </c>
      <c r="D16" s="16">
        <f>IF(B16="","",B16/MAX(B$5:B16)-1)</f>
        <v>-0.13979285690804522</v>
      </c>
      <c r="E16" s="13">
        <f>IF(OR((ROW()-1)&lt;5,'实盘净值数据(iFinD）'!$A16="",'实盘净值数据(iFinD）'!$B16=""),"",SUMPRODUCT(实盘持仓初始配置!$B$5:$X$5,'实盘净值数据(iFinD）'!$B16:$X16/'实盘净值数据(iFinD）'!$B$5:$X$5)*(1-实盘持仓初始配置!$Z$5)^(('实盘净值数据(iFinD）'!$A16-'实盘净值数据(iFinD）'!$A$5)/365))</f>
        <v>0.94597775731161959</v>
      </c>
      <c r="F16" s="16">
        <f>IF(OR(E15="",'实盘净值数据(iFinD）'!$A16="",'实盘净值数据(iFinD）'!$B16=""),"",(SUMPRODUCT(实盘持仓初始配置!$B$5:$X$5,'实盘净值数据(iFinD）'!$B15:$X15/'实盘净值数据(iFinD）'!$B$5:$X$5,'实盘净值数据(iFinD）'!$B16:$X16/'实盘净值数据(iFinD）'!$B15:$X15)/SUMPRODUCT(实盘持仓初始配置!$B$5:$X$5,'实盘净值数据(iFinD）'!$B15:$X15/'实盘净值数据(iFinD）'!$B$5:$X$5))*(1-实盘持仓初始配置!$Z$5)^(('实盘净值数据(iFinD）'!$A16-'实盘净值数据(iFinD）'!$A15)/365)-1)</f>
        <v>-1.9789861932955177E-2</v>
      </c>
      <c r="G16" s="16">
        <f>IF(E16="","",E16/MAX(E$5:E16)-1)</f>
        <v>-0.13981445743752197</v>
      </c>
      <c r="H16" s="13">
        <f>IF(OR((ROW()-1)&lt;7,'实盘净值数据(iFinD）'!$A16="",'实盘净值数据(iFinD）'!$B16=""),"",SUMPRODUCT(实盘持仓初始配置!$B$6:$X$6,'实盘净值数据(iFinD）'!$B16:$X16/'实盘净值数据(iFinD）'!$B$7:$X$7)*(1-实盘持仓初始配置!$Z$6)^(('实盘净值数据(iFinD）'!$A16-'实盘净值数据(iFinD）'!$A$7)/365))</f>
        <v>0.97195202442112383</v>
      </c>
      <c r="I16" s="16">
        <f>IF(OR(H15="",'实盘净值数据(iFinD）'!$A16="",'实盘净值数据(iFinD）'!$B16=""),"",(SUMPRODUCT(实盘持仓初始配置!$B$6:$X$6,'实盘净值数据(iFinD）'!$B15:$X15/'实盘净值数据(iFinD）'!$B$7:$X$7,'实盘净值数据(iFinD）'!$B16:$X16/'实盘净值数据(iFinD）'!$B15:$X15)/SUMPRODUCT(实盘持仓初始配置!$B$6:$X$6,'实盘净值数据(iFinD）'!$B15:$X15/'实盘净值数据(iFinD）'!$B$7:$X$7))*(1-实盘持仓初始配置!$Z$6)^(('实盘净值数据(iFinD）'!$A16-'实盘净值数据(iFinD）'!$A15)/365)-1)</f>
        <v>-1.7001619425887737E-2</v>
      </c>
      <c r="J16" s="16">
        <f>IF(H16="","",H16/MAX(H$5:H16)-1)</f>
        <v>-0.12571181931724251</v>
      </c>
      <c r="K16" s="13">
        <f>IF(OR('实盘净值数据(iFinD）'!$A16="",'实盘净值数据(iFinD）'!$B16=""),"",分期持仓明细!$AB$9*SUMPRODUCT(分期持仓明细!$B$9:$Y$9,'实盘净值数据(iFinD）'!$B16:$Y16/'实盘净值数据(iFinD）'!$B$13:$Y$13)*(1-实盘持仓初始配置!$Z$7)^(('实盘净值数据(iFinD）'!$A16-'实盘净值数据(iFinD）'!$A$8)/365))</f>
        <v>0.99573236628105344</v>
      </c>
      <c r="L16" s="16">
        <f t="shared" si="0"/>
        <v>-7.9494371656008145E-4</v>
      </c>
      <c r="M16" s="16">
        <f>IF(K16="","",K16/MAX(K$5:K16)-1)</f>
        <v>-7.5150381936318622E-3</v>
      </c>
      <c r="N16" s="13">
        <f>IF(OR('实盘净值数据(iFinD）'!$A16="",'实盘净值数据(iFinD）'!$B16=""),"",分期持仓明细!$AB$11*SUMPRODUCT(分期持仓明细!$B$11:$Y$11,'实盘净值数据(iFinD）'!$B16:$Y16/'实盘净值数据(iFinD）'!$B$13:$Y$13)*(1-实盘持仓初始配置!$Z$8)^(('实盘净值数据(iFinD）'!$A16-'实盘净值数据(iFinD）'!$A$5)/365))</f>
        <v>0.99412575303434447</v>
      </c>
      <c r="O16" s="16">
        <f t="shared" si="1"/>
        <v>-9.053772577444219E-4</v>
      </c>
      <c r="P16" s="16">
        <f>IF(N16="","",N16/MAX(N$5:N16)-1)</f>
        <v>-8.5611841079865636E-3</v>
      </c>
      <c r="Q16" s="13">
        <f>IF(OR('实盘净值数据(iFinD）'!$A16="",'实盘净值数据(iFinD）'!$B16=""),"",分期持仓明细!$AB$13*SUMPRODUCT(分期持仓明细!$B$13:$Y$13,'实盘净值数据(iFinD）'!$B16:$Y16/'实盘净值数据(iFinD）'!$B$13:$Y$13)*(1-实盘持仓初始配置!$Z$9)^(('实盘净值数据(iFinD）'!$A16-'实盘净值数据(iFinD）'!$A$8)/365))</f>
        <v>0.98670140137911</v>
      </c>
      <c r="R16" s="16">
        <f t="shared" si="2"/>
        <v>-3.636802192071964E-3</v>
      </c>
      <c r="S16" s="16">
        <f>IF(Q16="","",Q16/MAX(Q$5:Q16)-1)</f>
        <v>-2.1868857648452367E-2</v>
      </c>
    </row>
    <row r="17" spans="1:19">
      <c r="A17" s="15">
        <f>IF('实盘净值数据(iFinD）'!A17="","",'实盘净值数据(iFinD）'!A17)</f>
        <v>46210</v>
      </c>
      <c r="B17" s="13">
        <f>IF(OR((ROW()-1)&lt;6,'实盘净值数据(iFinD）'!$A17="",'实盘净值数据(iFinD）'!$B17=""),"",SUMPRODUCT(实盘持仓初始配置!$B$4:$X$4,'实盘净值数据(iFinD）'!$B17:$X17/'实盘净值数据(iFinD）'!$B$6:$X$6)*(1-实盘持仓初始配置!$Z$4)^(('实盘净值数据(iFinD）'!$A17-'实盘净值数据(iFinD）'!$A$6)/365))</f>
        <v>0.93094051945631884</v>
      </c>
      <c r="C17" s="16">
        <f>IF(OR(B16="",'实盘净值数据(iFinD）'!$A17="",'实盘净值数据(iFinD）'!$B17=""),"",(SUMPRODUCT(实盘持仓初始配置!$B$4:$X$4,'实盘净值数据(iFinD）'!$B16:$X16/'实盘净值数据(iFinD）'!$B$6:$X$6,'实盘净值数据(iFinD）'!$B17:$X17/'实盘净值数据(iFinD）'!$B16:$X16)/SUMPRODUCT(实盘持仓初始配置!$B$4:$X$4,'实盘净值数据(iFinD）'!$B16:$X16/'实盘净值数据(iFinD）'!$B$6:$X$6))*(1-实盘持仓初始配置!$Z$4)^(('实盘净值数据(iFinD）'!$A17-'实盘净值数据(iFinD）'!$A16)/365)-1)</f>
        <v>6.8664546983105978E-3</v>
      </c>
      <c r="D17" s="16">
        <f>IF(B17="","",B17/MAX(B$5:B17)-1)</f>
        <v>-0.13388628352884135</v>
      </c>
      <c r="E17" s="13">
        <f>IF(OR((ROW()-1)&lt;5,'实盘净值数据(iFinD）'!$A17="",'实盘净值数据(iFinD）'!$B17=""),"",SUMPRODUCT(实盘持仓初始配置!$B$5:$X$5,'实盘净值数据(iFinD）'!$B17:$X17/'实盘净值数据(iFinD）'!$B$5:$X$5)*(1-实盘持仓初始配置!$Z$5)^(('实盘净值数据(iFinD）'!$A17-'实盘净值数据(iFinD）'!$A$5)/365))</f>
        <v>0.95247542928901296</v>
      </c>
      <c r="F17" s="16">
        <f>IF(OR(E16="",'实盘净值数据(iFinD）'!$A17="",'实盘净值数据(iFinD）'!$B17=""),"",(SUMPRODUCT(实盘持仓初始配置!$B$5:$X$5,'实盘净值数据(iFinD）'!$B16:$X16/'实盘净值数据(iFinD）'!$B$5:$X$5,'实盘净值数据(iFinD）'!$B17:$X17/'实盘净值数据(iFinD）'!$B16:$X16)/SUMPRODUCT(实盘持仓初始配置!$B$5:$X$5,'实盘净值数据(iFinD）'!$B16:$X16/'实盘净值数据(iFinD）'!$B$5:$X$5))*(1-实盘持仓初始配置!$Z$5)^(('实盘净值数据(iFinD）'!$A17-'实盘净值数据(iFinD）'!$A16)/365)-1)</f>
        <v>6.8687365291326685E-3</v>
      </c>
      <c r="G17" s="16">
        <f>IF(E17="","",E17/MAX(E$5:E17)-1)</f>
        <v>-0.13390606957949125</v>
      </c>
      <c r="H17" s="13">
        <f>IF(OR((ROW()-1)&lt;7,'实盘净值数据(iFinD）'!$A17="",'实盘净值数据(iFinD）'!$B17=""),"",SUMPRODUCT(实盘持仓初始配置!$B$6:$X$6,'实盘净值数据(iFinD）'!$B17:$X17/'实盘净值数据(iFinD）'!$B$7:$X$7)*(1-实盘持仓初始配置!$Z$6)^(('实盘净值数据(iFinD）'!$A17-'实盘净值数据(iFinD）'!$A$7)/365))</f>
        <v>0.97477427077798739</v>
      </c>
      <c r="I17" s="16">
        <f>IF(OR(H16="",'实盘净值数据(iFinD）'!$A17="",'实盘净值数据(iFinD）'!$B17=""),"",(SUMPRODUCT(实盘持仓初始配置!$B$6:$X$6,'实盘净值数据(iFinD）'!$B16:$X16/'实盘净值数据(iFinD）'!$B$7:$X$7,'实盘净值数据(iFinD）'!$B17:$X17/'实盘净值数据(iFinD）'!$B16:$X16)/SUMPRODUCT(实盘持仓初始配置!$B$6:$X$6,'实盘净值数据(iFinD）'!$B16:$X16/'实盘净值数据(iFinD）'!$B$7:$X$7))*(1-实盘持仓初始配置!$Z$6)^(('实盘净值数据(iFinD）'!$A17-'实盘净值数据(iFinD）'!$A16)/365)-1)</f>
        <v>2.903688953726391E-3</v>
      </c>
      <c r="J17" s="16">
        <f>IF(H17="","",H17/MAX(H$5:H17)-1)</f>
        <v>-0.12317315838462051</v>
      </c>
      <c r="K17" s="13">
        <f>IF(OR('实盘净值数据(iFinD）'!$A17="",'实盘净值数据(iFinD）'!$B17=""),"",分期持仓明细!$AB$9*SUMPRODUCT(分期持仓明细!$B$9:$Y$9,'实盘净值数据(iFinD）'!$B17:$Y17/'实盘净值数据(iFinD）'!$B$13:$Y$13)*(1-实盘持仓初始配置!$Z$7)^(('实盘净值数据(iFinD）'!$A17-'实盘净值数据(iFinD）'!$A$8)/365))</f>
        <v>0.99489593645290364</v>
      </c>
      <c r="L17" s="16">
        <f t="shared" si="0"/>
        <v>-8.4001470322170313E-4</v>
      </c>
      <c r="M17" s="16">
        <f>IF(K17="","",K17/MAX(K$5:K17)-1)</f>
        <v>-8.3487401542755579E-3</v>
      </c>
      <c r="N17" s="13">
        <f>IF(OR('实盘净值数据(iFinD）'!$A17="",'实盘净值数据(iFinD）'!$B17=""),"",分期持仓明细!$AB$11*SUMPRODUCT(分期持仓明细!$B$11:$Y$11,'实盘净值数据(iFinD）'!$B17:$Y17/'实盘净值数据(iFinD）'!$B$13:$Y$13)*(1-实盘持仓初始配置!$Z$8)^(('实盘净值数据(iFinD）'!$A17-'实盘净值数据(iFinD）'!$A$5)/365))</f>
        <v>0.99350804574205498</v>
      </c>
      <c r="O17" s="16">
        <f t="shared" si="1"/>
        <v>-6.2135729851486854E-4</v>
      </c>
      <c r="P17" s="16">
        <f>IF(N17="","",N17/MAX(N$5:N17)-1)</f>
        <v>-9.1772218522720994E-3</v>
      </c>
      <c r="Q17" s="13">
        <f>IF(OR('实盘净值数据(iFinD）'!$A17="",'实盘净值数据(iFinD）'!$B17=""),"",分期持仓明细!$AB$13*SUMPRODUCT(分期持仓明细!$B$13:$Y$13,'实盘净值数据(iFinD）'!$B17:$Y17/'实盘净值数据(iFinD）'!$B$13:$Y$13)*(1-实盘持仓初始配置!$Z$9)^(('实盘净值数据(iFinD）'!$A17-'实盘净值数据(iFinD）'!$A$8)/365))</f>
        <v>0.98405318400777231</v>
      </c>
      <c r="R17" s="16">
        <f t="shared" si="2"/>
        <v>-2.6839096079485092E-3</v>
      </c>
      <c r="S17" s="16">
        <f>IF(Q17="","",Q17/MAX(Q$5:Q17)-1)</f>
        <v>-2.4494073219243351E-2</v>
      </c>
    </row>
    <row r="18" spans="1:19">
      <c r="A18" s="15">
        <f>IF('实盘净值数据(iFinD）'!A18="","",'实盘净值数据(iFinD）'!A18)</f>
        <v>46211</v>
      </c>
      <c r="B18" s="13">
        <f>IF(OR((ROW()-1)&lt;6,'实盘净值数据(iFinD）'!$A18="",'实盘净值数据(iFinD）'!$B18=""),"",SUMPRODUCT(实盘持仓初始配置!$B$4:$X$4,'实盘净值数据(iFinD）'!$B18:$X18/'实盘净值数据(iFinD）'!$B$6:$X$6)*(1-实盘持仓初始配置!$Z$4)^(('实盘净值数据(iFinD）'!$A18-'实盘净值数据(iFinD）'!$A$6)/365))</f>
        <v>0.93624162720445936</v>
      </c>
      <c r="C18" s="16">
        <f>IF(OR(B17="",'实盘净值数据(iFinD）'!$A18="",'实盘净值数据(iFinD）'!$B18=""),"",(SUMPRODUCT(实盘持仓初始配置!$B$4:$X$4,'实盘净值数据(iFinD）'!$B17:$X17/'实盘净值数据(iFinD）'!$B$6:$X$6,'实盘净值数据(iFinD）'!$B18:$X18/'实盘净值数据(iFinD）'!$B17:$X17)/SUMPRODUCT(实盘持仓初始配置!$B$4:$X$4,'实盘净值数据(iFinD）'!$B17:$X17/'实盘净值数据(iFinD）'!$B$6:$X$6))*(1-实盘持仓初始配置!$Z$4)^(('实盘净值数据(iFinD）'!$A18-'实盘净值数据(iFinD）'!$A17)/365)-1)</f>
        <v>5.6943570908660757E-3</v>
      </c>
      <c r="D18" s="16">
        <f>IF(B18="","",B18/MAX(B$5:B18)-1)</f>
        <v>-0.12895432274595753</v>
      </c>
      <c r="E18" s="13">
        <f>IF(OR((ROW()-1)&lt;5,'实盘净值数据(iFinD）'!$A18="",'实盘净值数据(iFinD）'!$B18=""),"",SUMPRODUCT(实盘持仓初始配置!$B$5:$X$5,'实盘净值数据(iFinD）'!$B18:$X18/'实盘净值数据(iFinD）'!$B$5:$X$5)*(1-实盘持仓初始配置!$Z$5)^(('实盘净值数据(iFinD）'!$A18-'实盘净值数据(iFinD）'!$A$5)/365))</f>
        <v>0.9578161514912864</v>
      </c>
      <c r="F18" s="16">
        <f>IF(OR(E17="",'实盘净值数据(iFinD）'!$A18="",'实盘净值数据(iFinD）'!$B18=""),"",(SUMPRODUCT(实盘持仓初始配置!$B$5:$X$5,'实盘净值数据(iFinD）'!$B17:$X17/'实盘净值数据(iFinD）'!$B$5:$X$5,'实盘净值数据(iFinD）'!$B18:$X18/'实盘净值数据(iFinD）'!$B17:$X17)/SUMPRODUCT(实盘持仓初始配置!$B$5:$X$5,'实盘净值数据(iFinD）'!$B17:$X17/'实盘净值数据(iFinD）'!$B$5:$X$5))*(1-实盘持仓初始配置!$Z$5)^(('实盘净值数据(iFinD）'!$A18-'实盘净值数据(iFinD）'!$A17)/365)-1)</f>
        <v>5.6072020737165662E-3</v>
      </c>
      <c r="G18" s="16">
        <f>IF(E18="","",E18/MAX(E$5:E18)-1)</f>
        <v>-0.12904970589680409</v>
      </c>
      <c r="H18" s="13">
        <f>IF(OR((ROW()-1)&lt;7,'实盘净值数据(iFinD）'!$A18="",'实盘净值数据(iFinD）'!$B18=""),"",SUMPRODUCT(实盘持仓初始配置!$B$6:$X$6,'实盘净值数据(iFinD）'!$B18:$X18/'实盘净值数据(iFinD）'!$B$7:$X$7)*(1-实盘持仓初始配置!$Z$6)^(('实盘净值数据(iFinD）'!$A18-'实盘净值数据(iFinD）'!$A$7)/365))</f>
        <v>0.98001297325673131</v>
      </c>
      <c r="I18" s="16">
        <f>IF(OR(H17="",'实盘净值数据(iFinD）'!$A18="",'实盘净值数据(iFinD）'!$B18=""),"",(SUMPRODUCT(实盘持仓初始配置!$B$6:$X$6,'实盘净值数据(iFinD）'!$B17:$X17/'实盘净值数据(iFinD）'!$B$7:$X$7,'实盘净值数据(iFinD）'!$B18:$X18/'实盘净值数据(iFinD）'!$B17:$X17)/SUMPRODUCT(实盘持仓初始配置!$B$6:$X$6,'实盘净值数据(iFinD）'!$B17:$X17/'实盘净值数据(iFinD）'!$B$7:$X$7))*(1-实盘持仓初始配置!$Z$6)^(('实盘净值数据(iFinD）'!$A18-'实盘净值数据(iFinD）'!$A17)/365)-1)</f>
        <v>5.3742724195651181E-3</v>
      </c>
      <c r="J18" s="16">
        <f>IF(H18="","",H18/MAX(H$5:H18)-1)</f>
        <v>-0.11846085207299251</v>
      </c>
      <c r="K18" s="13">
        <f>IF(OR('实盘净值数据(iFinD）'!$A18="",'实盘净值数据(iFinD）'!$B18=""),"",分期持仓明细!$AB$14*SUMPRODUCT(分期持仓明细!$B$14:$Y$14,'实盘净值数据(iFinD）'!$B18:$Y18/'实盘净值数据(iFinD）'!$B$17:$Y$17)*(1-实盘持仓初始配置!$Z$7)^(('实盘净值数据(iFinD）'!$A18-'实盘净值数据(iFinD）'!$A$8)/365))</f>
        <v>0.9950051524362421</v>
      </c>
      <c r="L18" s="16">
        <f t="shared" si="0"/>
        <v>1.0977628849095922E-4</v>
      </c>
      <c r="M18" s="16">
        <f>IF(K18="","",K18/MAX(K$5:K18)-1)</f>
        <v>-8.239880359492413E-3</v>
      </c>
      <c r="N18" s="13">
        <f>IF(OR('实盘净值数据(iFinD）'!$A18="",'实盘净值数据(iFinD）'!$B18=""),"",分期持仓明细!$AB$15*SUMPRODUCT(分期持仓明细!$B$15:$Y$15,'实盘净值数据(iFinD）'!$B18:$Y18/'实盘净值数据(iFinD）'!$B$17:$Y$17)*(1-实盘持仓初始配置!$Z$8)^(('实盘净值数据(iFinD）'!$A18-'实盘净值数据(iFinD）'!$A$5)/365))</f>
        <v>0.99365826895890297</v>
      </c>
      <c r="O18" s="16">
        <f t="shared" si="1"/>
        <v>1.5120483169894783E-4</v>
      </c>
      <c r="P18" s="16">
        <f>IF(N18="","",N18/MAX(N$5:N18)-1)</f>
        <v>-9.0274046608587177E-3</v>
      </c>
      <c r="Q18" s="13">
        <f>IF(OR('实盘净值数据(iFinD）'!$A18="",'实盘净值数据(iFinD）'!$B18=""),"",分期持仓明细!$AB$16*SUMPRODUCT(分期持仓明细!$B$16:$Y$16,'实盘净值数据(iFinD）'!$B18:$Y18/'实盘净值数据(iFinD）'!$B$17:$Y$17)*(1-实盘持仓初始配置!$Z$9)^(('实盘净值数据(iFinD）'!$A18-'实盘净值数据(iFinD）'!$A$8)/365))</f>
        <v>0.98291598797716351</v>
      </c>
      <c r="R18" s="16">
        <f t="shared" si="2"/>
        <v>-1.1556245628689954E-3</v>
      </c>
      <c r="S18" s="16">
        <f>IF(Q18="","",Q18/MAX(Q$5:Q18)-1)</f>
        <v>-2.5621391829455442E-2</v>
      </c>
    </row>
    <row r="19" spans="1:19">
      <c r="A19" s="15">
        <f>IF('实盘净值数据(iFinD）'!A19="","",'实盘净值数据(iFinD）'!A19)</f>
        <v>46212</v>
      </c>
      <c r="B19" s="13">
        <f>IF(OR((ROW()-1)&lt;6,'实盘净值数据(iFinD）'!$A19="",'实盘净值数据(iFinD）'!$B19=""),"",SUMPRODUCT(实盘持仓初始配置!$B$4:$X$4,'实盘净值数据(iFinD）'!$B19:$X19/'实盘净值数据(iFinD）'!$B$6:$X$6)*(1-实盘持仓初始配置!$Z$4)^(('实盘净值数据(iFinD）'!$A19-'实盘净值数据(iFinD）'!$A$6)/365))</f>
        <v>1.000119640739735</v>
      </c>
      <c r="C19" s="16">
        <f>IF(OR(B18="",'实盘净值数据(iFinD）'!$A19="",'实盘净值数据(iFinD）'!$B19=""),"",(SUMPRODUCT(实盘持仓初始配置!$B$4:$X$4,'实盘净值数据(iFinD）'!$B18:$X18/'实盘净值数据(iFinD）'!$B$6:$X$6,'实盘净值数据(iFinD）'!$B19:$X19/'实盘净值数据(iFinD）'!$B18:$X18)/SUMPRODUCT(实盘持仓初始配置!$B$4:$X$4,'实盘净值数据(iFinD）'!$B18:$X18/'实盘净值数据(iFinD）'!$B$6:$X$6))*(1-实盘持仓初始配置!$Z$4)^(('实盘净值数据(iFinD）'!$A19-'实盘净值数据(iFinD）'!$A18)/365)-1)</f>
        <v>6.8228127952406625E-2</v>
      </c>
      <c r="D19" s="16">
        <f>IF(B19="","",B19/MAX(B$5:B19)-1)</f>
        <v>-6.952450682587763E-2</v>
      </c>
      <c r="E19" s="13">
        <f>IF(OR((ROW()-1)&lt;5,'实盘净值数据(iFinD）'!$A19="",'实盘净值数据(iFinD）'!$B19=""),"",SUMPRODUCT(实盘持仓初始配置!$B$5:$X$5,'实盘净值数据(iFinD）'!$B19:$X19/'实盘净值数据(iFinD）'!$B$5:$X$5)*(1-实盘持仓初始配置!$Z$5)^(('实盘净值数据(iFinD）'!$A19-'实盘净值数据(iFinD）'!$A$5)/365))</f>
        <v>1.0231939223043951</v>
      </c>
      <c r="F19" s="16">
        <f>IF(OR(E18="",'实盘净值数据(iFinD）'!$A19="",'实盘净值数据(iFinD）'!$B19=""),"",(SUMPRODUCT(实盘持仓初始配置!$B$5:$X$5,'实盘净值数据(iFinD）'!$B18:$X18/'实盘净值数据(iFinD）'!$B$5:$X$5,'实盘净值数据(iFinD）'!$B19:$X19/'实盘净值数据(iFinD）'!$B18:$X18)/SUMPRODUCT(实盘持仓初始配置!$B$5:$X$5,'实盘净值数据(iFinD）'!$B18:$X18/'实盘净值数据(iFinD）'!$B$5:$X$5))*(1-实盘持仓初始配置!$Z$5)^(('实盘净值数据(iFinD）'!$A19-'实盘净值数据(iFinD）'!$A18)/365)-1)</f>
        <v>6.8257118770985281E-2</v>
      </c>
      <c r="G19" s="16">
        <f>IF(E19="","",E19/MAX(E$5:E19)-1)</f>
        <v>-6.9601148228577658E-2</v>
      </c>
      <c r="H19" s="13">
        <f>IF(OR((ROW()-1)&lt;7,'实盘净值数据(iFinD）'!$A19="",'实盘净值数据(iFinD）'!$B19=""),"",SUMPRODUCT(实盘持仓初始配置!$B$6:$X$6,'实盘净值数据(iFinD）'!$B19:$X19/'实盘净值数据(iFinD）'!$B$7:$X$7)*(1-实盘持仓初始配置!$Z$6)^(('实盘净值数据(iFinD）'!$A19-'实盘净值数据(iFinD）'!$A$7)/365))</f>
        <v>1.0473336640835054</v>
      </c>
      <c r="I19" s="16">
        <f>IF(OR(H18="",'实盘净值数据(iFinD）'!$A19="",'实盘净值数据(iFinD）'!$B19=""),"",(SUMPRODUCT(实盘持仓初始配置!$B$6:$X$6,'实盘净值数据(iFinD）'!$B18:$X18/'实盘净值数据(iFinD）'!$B$7:$X$7,'实盘净值数据(iFinD）'!$B19:$X19/'实盘净值数据(iFinD）'!$B18:$X18)/SUMPRODUCT(实盘持仓初始配置!$B$6:$X$6,'实盘净值数据(iFinD）'!$B18:$X18/'实盘净值数据(iFinD）'!$B$7:$X$7))*(1-实盘持仓初始配置!$Z$6)^(('实盘净值数据(iFinD）'!$A19-'实盘净值数据(iFinD）'!$A18)/365)-1)</f>
        <v>6.8693673108282782E-2</v>
      </c>
      <c r="J19" s="16">
        <f>IF(H19="","",H19/MAX(H$5:H19)-1)</f>
        <v>-5.7904690013140581E-2</v>
      </c>
      <c r="K19" s="13">
        <f>IF(OR('实盘净值数据(iFinD）'!$A19="",'实盘净值数据(iFinD）'!$B19=""),"",分期持仓明细!$AB$14*SUMPRODUCT(分期持仓明细!$B$14:$Y$14,'实盘净值数据(iFinD）'!$B19:$Y19/'实盘净值数据(iFinD）'!$B$17:$Y$17)*(1-实盘持仓初始配置!$Z$7)^(('实盘净值数据(iFinD）'!$A19-'实盘净值数据(iFinD）'!$A$8)/365))</f>
        <v>1.0000251971614045</v>
      </c>
      <c r="L19" s="16">
        <f t="shared" si="0"/>
        <v>5.045244954632544E-3</v>
      </c>
      <c r="M19" s="16">
        <f>IF(K19="","",K19/MAX(K$5:K19)-1)</f>
        <v>-3.2362076196703615E-3</v>
      </c>
      <c r="N19" s="13">
        <f>IF(OR('实盘净值数据(iFinD）'!$A19="",'实盘净值数据(iFinD）'!$B19=""),"",分期持仓明细!$AB$15*SUMPRODUCT(分期持仓明细!$B$15:$Y$15,'实盘净值数据(iFinD）'!$B19:$Y19/'实盘净值数据(iFinD）'!$B$17:$Y$17)*(1-实盘持仓初始配置!$Z$8)^(('实盘净值数据(iFinD）'!$A19-'实盘净值数据(iFinD）'!$A$5)/365))</f>
        <v>0.99875367924501923</v>
      </c>
      <c r="O19" s="16">
        <f t="shared" si="1"/>
        <v>5.1279302404989568E-3</v>
      </c>
      <c r="P19" s="16">
        <f>IF(N19="","",N19/MAX(N$5:N19)-1)</f>
        <v>-3.9457663217133954E-3</v>
      </c>
      <c r="Q19" s="13">
        <f>IF(OR('实盘净值数据(iFinD）'!$A19="",'实盘净值数据(iFinD）'!$B19=""),"",分期持仓明细!$AB$16*SUMPRODUCT(分期持仓明细!$B$16:$Y$16,'实盘净值数据(iFinD）'!$B19:$Y19/'实盘净值数据(iFinD）'!$B$17:$Y$17)*(1-实盘持仓初始配置!$Z$9)^(('实盘净值数据(iFinD）'!$A19-'实盘净值数据(iFinD）'!$A$8)/365))</f>
        <v>0.99677409001455453</v>
      </c>
      <c r="R19" s="16">
        <f t="shared" si="2"/>
        <v>1.4098968993180083E-2</v>
      </c>
      <c r="S19" s="16">
        <f>IF(Q19="","",Q19/MAX(Q$5:Q19)-1)</f>
        <v>-1.1883658045240941E-2</v>
      </c>
    </row>
    <row r="20" spans="1:19">
      <c r="A20" s="15">
        <f>IF('实盘净值数据(iFinD）'!A20="","",'实盘净值数据(iFinD）'!A20)</f>
        <v>46213</v>
      </c>
      <c r="B20" s="13">
        <f>IF(OR((ROW()-1)&lt;6,'实盘净值数据(iFinD）'!$A20="",'实盘净值数据(iFinD）'!$B20=""),"",SUMPRODUCT(实盘持仓初始配置!$B$4:$X$4,'实盘净值数据(iFinD）'!$B20:$X20/'实盘净值数据(iFinD）'!$B$6:$X$6)*(1-实盘持仓初始配置!$Z$4)^(('实盘净值数据(iFinD）'!$A20-'实盘净值数据(iFinD）'!$A$6)/365))</f>
        <v>0.95179417704073732</v>
      </c>
      <c r="C20" s="16">
        <f>IF(OR(B19="",'实盘净值数据(iFinD）'!$A20="",'实盘净值数据(iFinD）'!$B20=""),"",(SUMPRODUCT(实盘持仓初始配置!$B$4:$X$4,'实盘净值数据(iFinD）'!$B19:$X19/'实盘净值数据(iFinD）'!$B$6:$X$6,'实盘净值数据(iFinD）'!$B20:$X20/'实盘净值数据(iFinD）'!$B19:$X19)/SUMPRODUCT(实盘持仓初始配置!$B$4:$X$4,'实盘净值数据(iFinD）'!$B19:$X19/'实盘净值数据(iFinD）'!$B$6:$X$6))*(1-实盘持仓初始配置!$Z$4)^(('实盘净值数据(iFinD）'!$A20-'实盘净值数据(iFinD）'!$A19)/365)-1)</f>
        <v>-4.8319682696416288E-2</v>
      </c>
      <c r="D20" s="16">
        <f>IF(B20="","",B20/MAX(B$5:B20)-1)</f>
        <v>-0.11448478741284263</v>
      </c>
      <c r="E20" s="13">
        <f>IF(OR((ROW()-1)&lt;5,'实盘净值数据(iFinD）'!$A20="",'实盘净值数据(iFinD）'!$B20=""),"",SUMPRODUCT(实盘持仓初始配置!$B$5:$X$5,'实盘净值数据(iFinD）'!$B20:$X20/'实盘净值数据(iFinD）'!$B$5:$X$5)*(1-实盘持仓初始配置!$Z$5)^(('实盘净值数据(iFinD）'!$A20-'实盘净值数据(iFinD）'!$A$5)/365))</f>
        <v>0.9737422822209042</v>
      </c>
      <c r="F20" s="16">
        <f>IF(OR(E19="",'实盘净值数据(iFinD）'!$A20="",'实盘净值数据(iFinD）'!$B20=""),"",(SUMPRODUCT(实盘持仓初始配置!$B$5:$X$5,'实盘净值数据(iFinD）'!$B19:$X19/'实盘净值数据(iFinD）'!$B$5:$X$5,'实盘净值数据(iFinD）'!$B20:$X20/'实盘净值数据(iFinD）'!$B19:$X19)/SUMPRODUCT(实盘持仓初始配置!$B$5:$X$5,'实盘净值数据(iFinD）'!$B19:$X19/'实盘净值数据(iFinD）'!$B$5:$X$5))*(1-实盘持仓初始配置!$Z$5)^(('实盘净值数据(iFinD）'!$A20-'实盘净值数据(iFinD）'!$A19)/365)-1)</f>
        <v>-4.833066245362172E-2</v>
      </c>
      <c r="G20" s="16">
        <f>IF(E20="","",E20/MAX(E$5:E20)-1)</f>
        <v>-0.1145679410807795</v>
      </c>
      <c r="H20" s="13">
        <f>IF(OR((ROW()-1)&lt;7,'实盘净值数据(iFinD）'!$A20="",'实盘净值数据(iFinD）'!$B20=""),"",SUMPRODUCT(实盘持仓初始配置!$B$6:$X$6,'实盘净值数据(iFinD）'!$B20:$X20/'实盘净值数据(iFinD）'!$B$7:$X$7)*(1-实盘持仓初始配置!$Z$6)^(('实盘净值数据(iFinD）'!$A20-'实盘净值数据(iFinD）'!$A$7)/365))</f>
        <v>0.99344026231902305</v>
      </c>
      <c r="I20" s="16">
        <f>IF(OR(H19="",'实盘净值数据(iFinD）'!$A20="",'实盘净值数据(iFinD）'!$B20=""),"",(SUMPRODUCT(实盘持仓初始配置!$B$6:$X$6,'实盘净值数据(iFinD）'!$B19:$X19/'实盘净值数据(iFinD）'!$B$7:$X$7,'实盘净值数据(iFinD）'!$B20:$X20/'实盘净值数据(iFinD）'!$B19:$X19)/SUMPRODUCT(实盘持仓初始配置!$B$6:$X$6,'实盘净值数据(iFinD）'!$B19:$X19/'实盘净值数据(iFinD）'!$B$7:$X$7))*(1-实盘持仓初始配置!$Z$6)^(('实盘净值数据(iFinD）'!$A20-'实盘净值数据(iFinD）'!$A19)/365)-1)</f>
        <v>-5.1457719361711729E-2</v>
      </c>
      <c r="J20" s="16">
        <f>IF(H20="","",H20/MAX(H$5:H20)-1)</f>
        <v>-0.10638276608642927</v>
      </c>
      <c r="K20" s="13">
        <f>IF(OR('实盘净值数据(iFinD）'!$A20="",'实盘净值数据(iFinD）'!$B20=""),"",分期持仓明细!$AB$14*SUMPRODUCT(分期持仓明细!$B$14:$Y$14,'实盘净值数据(iFinD）'!$B20:$Y20/'实盘净值数据(iFinD）'!$B$17:$Y$17)*(1-实盘持仓初始配置!$Z$7)^(('实盘净值数据(iFinD）'!$A20-'实盘净值数据(iFinD）'!$A$8)/365))</f>
        <v>0.996179521171354</v>
      </c>
      <c r="L20" s="16">
        <f t="shared" si="0"/>
        <v>-3.8455790923733746E-3</v>
      </c>
      <c r="M20" s="16">
        <f>IF(K20="","",K20/MAX(K$5:K20)-1)</f>
        <v>-7.0693416196829784E-3</v>
      </c>
      <c r="N20" s="13">
        <f>IF(OR('实盘净值数据(iFinD）'!$A20="",'实盘净值数据(iFinD）'!$B20=""),"",分期持仓明细!$AB$15*SUMPRODUCT(分期持仓明细!$B$15:$Y$15,'实盘净值数据(iFinD）'!$B20:$Y20/'实盘净值数据(iFinD）'!$B$17:$Y$17)*(1-实盘持仓初始配置!$Z$8)^(('实盘净值数据(iFinD）'!$A20-'实盘净值数据(iFinD）'!$A$5)/365))</f>
        <v>0.99502796314950503</v>
      </c>
      <c r="O20" s="16">
        <f t="shared" si="1"/>
        <v>-3.7303653272452442E-3</v>
      </c>
      <c r="P20" s="16">
        <f>IF(N20="","",N20/MAX(N$5:N20)-1)</f>
        <v>-7.6614124990825871E-3</v>
      </c>
      <c r="Q20" s="13">
        <f>IF(OR('实盘净值数据(iFinD）'!$A20="",'实盘净值数据(iFinD）'!$B20=""),"",分期持仓明细!$AB$16*SUMPRODUCT(分期持仓明细!$B$16:$Y$16,'实盘净值数据(iFinD）'!$B20:$Y20/'实盘净值数据(iFinD）'!$B$17:$Y$17)*(1-实盘持仓初始配置!$Z$9)^(('实盘净值数据(iFinD）'!$A20-'实盘净值数据(iFinD）'!$A$8)/365))</f>
        <v>0.9860201572522912</v>
      </c>
      <c r="R20" s="16">
        <f t="shared" si="2"/>
        <v>-1.0788736254276343E-2</v>
      </c>
      <c r="S20" s="16">
        <f>IF(Q20="","",Q20/MAX(Q$5:Q20)-1)</f>
        <v>-2.2544184647131149E-2</v>
      </c>
    </row>
    <row r="21" spans="1:19">
      <c r="A21" s="15">
        <f>IF('实盘净值数据(iFinD）'!A21="","",'实盘净值数据(iFinD）'!A21)</f>
        <v>46216</v>
      </c>
      <c r="B21" s="13">
        <f>IF(OR('实盘净值数据(iFinD）'!$A21="",'实盘净值数据(iFinD）'!$B21=""),"",分期持仓明细!$AB$17*SUMPRODUCT(分期持仓明细!$B$17:$Y$17,'实盘净值数据(iFinD）'!$B21:$Y21/'实盘净值数据(iFinD）'!$B$20:$Y$20)*(1-实盘持仓初始配置!$Z$4)^(('实盘净值数据(iFinD）'!$A21-'实盘净值数据(iFinD）'!$A$6)/365))</f>
        <v>0.91697362913212932</v>
      </c>
      <c r="C21" s="16">
        <f t="shared" ref="C21:C59" si="3">IF(OR(B20="",B21=""),"",B21/B20-1)</f>
        <v>-3.6584115293571196E-2</v>
      </c>
      <c r="D21" s="16">
        <f>IF(B21="","",B21/MAX(B$5:B21)-1)</f>
        <v>-0.14688057804434229</v>
      </c>
      <c r="E21" s="13">
        <f>IF(OR('实盘净值数据(iFinD）'!$A21="",'实盘净值数据(iFinD）'!$B21=""),"",分期持仓明细!$AB$18*SUMPRODUCT(分期持仓明细!$B$18:$Y$18,'实盘净值数据(iFinD）'!$B21:$Y21/'实盘净值数据(iFinD）'!$B$20:$Y$20)*(1-实盘持仓初始配置!$Z$5)^(('实盘净值数据(iFinD）'!$A21-'实盘净值数据(iFinD）'!$A$5)/365))</f>
        <v>0.93808139669337876</v>
      </c>
      <c r="F21" s="16">
        <f t="shared" ref="F21:F59" si="4">IF(OR(E20="",E21=""),"",E21/E20-1)</f>
        <v>-3.6622509034105355E-2</v>
      </c>
      <c r="G21" s="16">
        <f>IF(E21="","",E21/MAX(E$5:E21)-1)</f>
        <v>-0.1469946846576351</v>
      </c>
      <c r="H21" s="13">
        <f>IF(OR('实盘净值数据(iFinD）'!$A21="",'实盘净值数据(iFinD）'!$B21=""),"",分期持仓明细!$AB$19*SUMPRODUCT(分期持仓明细!$B$19:$Y$19,'实盘净值数据(iFinD）'!$B21:$Y21/'实盘净值数据(iFinD）'!$B$20:$Y$20)*(1-实盘持仓初始配置!$Z$6)^(('实盘净值数据(iFinD）'!$A21-'实盘净值数据(iFinD）'!$A$7)/365))</f>
        <v>0.95546551536216096</v>
      </c>
      <c r="I21" s="16">
        <f t="shared" ref="I21:I59" si="5">IF(OR(H20="",H21=""),"",H21/H20-1)</f>
        <v>-3.822549618455795E-2</v>
      </c>
      <c r="J21" s="16">
        <f>IF(H21="","",H21/MAX(H$5:H21)-1)</f>
        <v>-0.14054172825184774</v>
      </c>
      <c r="K21" s="13">
        <f>IF(OR('实盘净值数据(iFinD）'!$A21="",'实盘净值数据(iFinD）'!$B21=""),"",分期持仓明细!$AB$14*SUMPRODUCT(分期持仓明细!$B$14:$Y$14,'实盘净值数据(iFinD）'!$B21:$Y21/'实盘净值数据(iFinD）'!$B$17:$Y$17)*(1-实盘持仓初始配置!$Z$7)^(('实盘净值数据(iFinD）'!$A21-'实盘净值数据(iFinD）'!$A$8)/365))</f>
        <v>0.99091999764701377</v>
      </c>
      <c r="L21" s="16">
        <f t="shared" si="0"/>
        <v>-5.279694485343156E-3</v>
      </c>
      <c r="M21" s="16">
        <f>IF(K21="","",K21/MAX(K$5:K21)-1)</f>
        <v>-1.2311712141061637E-2</v>
      </c>
      <c r="N21" s="13">
        <f>IF(OR('实盘净值数据(iFinD）'!$A21="",'实盘净值数据(iFinD）'!$B21=""),"",分期持仓明细!$AB$15*SUMPRODUCT(分期持仓明细!$B$15:$Y$15,'实盘净值数据(iFinD）'!$B21:$Y21/'实盘净值数据(iFinD）'!$B$17:$Y$17)*(1-实盘持仓初始配置!$Z$8)^(('实盘净值数据(iFinD）'!$A21-'实盘净值数据(iFinD）'!$A$5)/365))</f>
        <v>0.98984401811572498</v>
      </c>
      <c r="O21" s="16">
        <f t="shared" si="1"/>
        <v>-5.2098485929698013E-3</v>
      </c>
      <c r="P21" s="16">
        <f>IF(N21="","",N21/MAX(N$5:N21)-1)</f>
        <v>-1.2831346292923929E-2</v>
      </c>
      <c r="Q21" s="13">
        <f>IF(OR('实盘净值数据(iFinD）'!$A21="",'实盘净值数据(iFinD）'!$B21=""),"",分期持仓明细!$AB$16*SUMPRODUCT(分期持仓明细!$B$16:$Y$16,'实盘净值数据(iFinD）'!$B21:$Y21/'实盘净值数据(iFinD）'!$B$17:$Y$17)*(1-实盘持仓初始配置!$Z$9)^(('实盘净值数据(iFinD）'!$A21-'实盘净值数据(iFinD）'!$A$8)/365))</f>
        <v>0.97202141801703834</v>
      </c>
      <c r="R21" s="16">
        <f t="shared" si="2"/>
        <v>-1.4197214055200136E-2</v>
      </c>
      <c r="S21" s="16">
        <f>IF(Q21="","",Q21/MAX(Q$5:Q21)-1)</f>
        <v>-3.6421334087196056E-2</v>
      </c>
    </row>
    <row r="22" spans="1:19">
      <c r="A22" s="15">
        <f>IF('实盘净值数据(iFinD）'!A22="","",'实盘净值数据(iFinD）'!A22)</f>
        <v>46217</v>
      </c>
      <c r="B22" s="13">
        <f>IF(OR('实盘净值数据(iFinD）'!$A22="",'实盘净值数据(iFinD）'!$B22=""),"",分期持仓明细!$AB$17*SUMPRODUCT(分期持仓明细!$B$17:$Y$17,'实盘净值数据(iFinD）'!$B22:$Y22/'实盘净值数据(iFinD）'!$B$20:$Y$20)*(1-实盘持仓初始配置!$Z$4)^(('实盘净值数据(iFinD）'!$A22-'实盘净值数据(iFinD）'!$A$6)/365))</f>
        <v>0.94637062365446645</v>
      </c>
      <c r="C22" s="16">
        <f t="shared" si="3"/>
        <v>3.205871312805364E-2</v>
      </c>
      <c r="D22" s="16">
        <f>IF(B22="","",B22/MAX(B$5:B22)-1)</f>
        <v>-0.11953066723189498</v>
      </c>
      <c r="E22" s="13">
        <f>IF(OR('实盘净值数据(iFinD）'!$A22="",'实盘净值数据(iFinD）'!$B22=""),"",分期持仓明细!$AB$18*SUMPRODUCT(分期持仓明细!$B$18:$Y$18,'实盘净值数据(iFinD）'!$B22:$Y22/'实盘净值数据(iFinD）'!$B$20:$Y$20)*(1-实盘持仓初始配置!$Z$5)^(('实盘净值数据(iFinD）'!$A22-'实盘净值数据(iFinD）'!$A$5)/365))</f>
        <v>0.96830009922126759</v>
      </c>
      <c r="F22" s="16">
        <f t="shared" si="4"/>
        <v>3.2213305406552095E-2</v>
      </c>
      <c r="G22" s="16">
        <f>IF(E22="","",E22/MAX(E$5:E22)-1)</f>
        <v>-0.11951656392109922</v>
      </c>
      <c r="H22" s="13">
        <f>IF(OR('实盘净值数据(iFinD）'!$A22="",'实盘净值数据(iFinD）'!$B22=""),"",分期持仓明细!$AB$19*SUMPRODUCT(分期持仓明细!$B$19:$Y$19,'实盘净值数据(iFinD）'!$B22:$Y22/'实盘净值数据(iFinD）'!$B$20:$Y$20)*(1-实盘持仓初始配置!$Z$6)^(('实盘净值数据(iFinD）'!$A22-'实盘净值数据(iFinD）'!$A$7)/365))</f>
        <v>0.98122069665460177</v>
      </c>
      <c r="I22" s="16">
        <f t="shared" si="5"/>
        <v>2.6955636680072725E-2</v>
      </c>
      <c r="J22" s="16">
        <f>IF(H22="","",H22/MAX(H$5:H22)-1)</f>
        <v>-0.11737448333692135</v>
      </c>
      <c r="K22" s="13">
        <f>IF(OR('实盘净值数据(iFinD）'!$A22="",'实盘净值数据(iFinD）'!$B22=""),"",分期持仓明细!$AB$14*SUMPRODUCT(分期持仓明细!$B$14:$Y$14,'实盘净值数据(iFinD）'!$B22:$Y22/'实盘净值数据(iFinD）'!$B$17:$Y$17)*(1-实盘持仓初始配置!$Z$7)^(('实盘净值数据(iFinD）'!$A22-'实盘净值数据(iFinD）'!$A$8)/365))</f>
        <v>0.99334753088252004</v>
      </c>
      <c r="L22" s="16">
        <f t="shared" si="0"/>
        <v>2.4497772184137734E-3</v>
      </c>
      <c r="M22" s="16">
        <f>IF(K22="","",K22/MAX(K$5:K22)-1)</f>
        <v>-9.8920958745707388E-3</v>
      </c>
      <c r="N22" s="13">
        <f>IF(OR('实盘净值数据(iFinD）'!$A22="",'实盘净值数据(iFinD）'!$B22=""),"",分期持仓明细!$AB$15*SUMPRODUCT(分期持仓明细!$B$15:$Y$15,'实盘净值数据(iFinD）'!$B22:$Y22/'实盘净值数据(iFinD）'!$B$17:$Y$17)*(1-实盘持仓初始配置!$Z$8)^(('实盘净值数据(iFinD）'!$A22-'实盘净值数据(iFinD）'!$A$5)/365))</f>
        <v>0.99259572537929164</v>
      </c>
      <c r="O22" s="16">
        <f t="shared" si="1"/>
        <v>2.7799402867583201E-3</v>
      </c>
      <c r="P22" s="16">
        <f>IF(N22="","",N22/MAX(N$5:N22)-1)</f>
        <v>-1.00870763826586E-2</v>
      </c>
      <c r="Q22" s="13">
        <f>IF(OR('实盘净值数据(iFinD）'!$A22="",'实盘净值数据(iFinD）'!$B22=""),"",分期持仓明细!$AB$16*SUMPRODUCT(分期持仓明细!$B$16:$Y$16,'实盘净值数据(iFinD）'!$B22:$Y22/'实盘净值数据(iFinD）'!$B$17:$Y$17)*(1-实盘持仓初始配置!$Z$9)^(('实盘净值数据(iFinD）'!$A22-'实盘净值数据(iFinD）'!$A$8)/365))</f>
        <v>0.97923592239467783</v>
      </c>
      <c r="R22" s="16">
        <f t="shared" si="2"/>
        <v>7.4221660592184158E-3</v>
      </c>
      <c r="S22" s="16">
        <f>IF(Q22="","",Q22/MAX(Q$5:Q22)-1)</f>
        <v>-2.9269493217671028E-2</v>
      </c>
    </row>
    <row r="23" spans="1:19">
      <c r="A23" s="15">
        <f>IF('实盘净值数据(iFinD）'!A23="","",'实盘净值数据(iFinD）'!A23)</f>
        <v>46218</v>
      </c>
      <c r="B23" s="13">
        <f>IF(OR('实盘净值数据(iFinD）'!$A23="",'实盘净值数据(iFinD）'!$B23=""),"",分期持仓明细!$AB$17*SUMPRODUCT(分期持仓明细!$B$17:$Y$17,'实盘净值数据(iFinD）'!$B23:$Y23/'实盘净值数据(iFinD）'!$B$20:$Y$20)*(1-实盘持仓初始配置!$Z$4)^(('实盘净值数据(iFinD）'!$A23-'实盘净值数据(iFinD）'!$A$6)/365))</f>
        <v>0.91699688948477942</v>
      </c>
      <c r="C23" s="16">
        <f t="shared" si="3"/>
        <v>-3.1038298775862838E-2</v>
      </c>
      <c r="D23" s="16">
        <f>IF(B23="","",B23/MAX(B$5:B23)-1)</f>
        <v>-0.14685893744533607</v>
      </c>
      <c r="E23" s="13">
        <f>IF(OR('实盘净值数据(iFinD）'!$A23="",'实盘净值数据(iFinD）'!$B23=""),"",分期持仓明细!$AB$18*SUMPRODUCT(分期持仓明细!$B$18:$Y$18,'实盘净值数据(iFinD）'!$B23:$Y23/'实盘净值数据(iFinD）'!$B$20:$Y$20)*(1-实盘持仓初始配置!$Z$5)^(('实盘净值数据(iFinD）'!$A23-'实盘净值数据(iFinD）'!$A$5)/365))</f>
        <v>0.93822864166205733</v>
      </c>
      <c r="F23" s="16">
        <f t="shared" si="4"/>
        <v>-3.1055927375608583E-2</v>
      </c>
      <c r="G23" s="16">
        <f>IF(E23="","",E23/MAX(E$5:E23)-1)</f>
        <v>-0.14686079356739179</v>
      </c>
      <c r="H23" s="13">
        <f>IF(OR('实盘净值数据(iFinD）'!$A23="",'实盘净值数据(iFinD）'!$B23=""),"",分期持仓明细!$AB$19*SUMPRODUCT(分期持仓明细!$B$19:$Y$19,'实盘净值数据(iFinD）'!$B23:$Y23/'实盘净值数据(iFinD）'!$B$20:$Y$20)*(1-实盘持仓初始配置!$Z$6)^(('实盘净值数据(iFinD）'!$A23-'实盘净值数据(iFinD）'!$A$7)/365))</f>
        <v>0.9454808705016986</v>
      </c>
      <c r="I23" s="16">
        <f t="shared" si="5"/>
        <v>-3.6423840502707971E-2</v>
      </c>
      <c r="J23" s="16">
        <f>IF(H23="","",H23/MAX(H$5:H23)-1)</f>
        <v>-0.14952309437947753</v>
      </c>
      <c r="K23" s="13">
        <f>IF(OR('实盘净值数据(iFinD）'!$A23="",'实盘净值数据(iFinD）'!$B23=""),"",分期持仓明细!$AB$14*SUMPRODUCT(分期持仓明细!$B$14:$Y$14,'实盘净值数据(iFinD）'!$B23:$Y23/'实盘净值数据(iFinD）'!$B$17:$Y$17)*(1-实盘持仓初始配置!$Z$7)^(('实盘净值数据(iFinD）'!$A23-'实盘净值数据(iFinD）'!$A$8)/365))</f>
        <v>0.99071728198972964</v>
      </c>
      <c r="L23" s="16">
        <f t="shared" si="0"/>
        <v>-2.647863724444588E-3</v>
      </c>
      <c r="M23" s="16">
        <f>IF(K23="","",K23/MAX(K$5:K23)-1)</f>
        <v>-1.2513766677190286E-2</v>
      </c>
      <c r="N23" s="13">
        <f>IF(OR('实盘净值数据(iFinD）'!$A23="",'实盘净值数据(iFinD）'!$B23=""),"",分期持仓明细!$AB$15*SUMPRODUCT(分期持仓明细!$B$15:$Y$15,'实盘净值数据(iFinD）'!$B23:$Y23/'实盘净值数据(iFinD）'!$B$17:$Y$17)*(1-实盘持仓初始配置!$Z$8)^(('实盘净值数据(iFinD）'!$A23-'实盘净值数据(iFinD）'!$A$5)/365))</f>
        <v>0.99020099872472989</v>
      </c>
      <c r="O23" s="16">
        <f t="shared" si="1"/>
        <v>-2.4125901344644873E-3</v>
      </c>
      <c r="P23" s="16">
        <f>IF(N23="","",N23/MAX(N$5:N23)-1)</f>
        <v>-1.2475330536156792E-2</v>
      </c>
      <c r="Q23" s="13">
        <f>IF(OR('实盘净值数据(iFinD）'!$A23="",'实盘净值数据(iFinD）'!$B23=""),"",分期持仓明细!$AB$16*SUMPRODUCT(分期持仓明细!$B$16:$Y$16,'实盘净值数据(iFinD）'!$B23:$Y23/'实盘净值数据(iFinD）'!$B$17:$Y$17)*(1-实盘持仓初始配置!$Z$9)^(('实盘净值数据(iFinD）'!$A23-'实盘净值数据(iFinD）'!$A$8)/365))</f>
        <v>0.97194176165457125</v>
      </c>
      <c r="R23" s="16">
        <f t="shared" si="2"/>
        <v>-7.4488287993653701E-3</v>
      </c>
      <c r="S23" s="16">
        <f>IF(Q23="","",Q23/MAX(Q$5:Q23)-1)</f>
        <v>-3.6500298573013734E-2</v>
      </c>
    </row>
    <row r="24" spans="1:19">
      <c r="A24" s="15">
        <f>IF('实盘净值数据(iFinD）'!A24="","",'实盘净值数据(iFinD）'!A24)</f>
        <v>46219</v>
      </c>
      <c r="B24" s="13">
        <f>IF(OR('实盘净值数据(iFinD）'!$A24="",'实盘净值数据(iFinD）'!$B24=""),"",分期持仓明细!$AB$17*SUMPRODUCT(分期持仓明细!$B$17:$Y$17,'实盘净值数据(iFinD）'!$B24:$Y24/'实盘净值数据(iFinD）'!$B$20:$Y$20)*(1-实盘持仓初始配置!$Z$4)^(('实盘净值数据(iFinD）'!$A24-'实盘净值数据(iFinD）'!$A$6)/365))</f>
        <v>0.87559563769905591</v>
      </c>
      <c r="C24" s="16">
        <f t="shared" si="3"/>
        <v>-4.5148737428089891E-2</v>
      </c>
      <c r="D24" s="16">
        <f>IF(B24="","",B24/MAX(B$5:B24)-1)</f>
        <v>-0.18537717926773822</v>
      </c>
      <c r="E24" s="13">
        <f>IF(OR('实盘净值数据(iFinD）'!$A24="",'实盘净值数据(iFinD）'!$B24=""),"",分期持仓明细!$AB$18*SUMPRODUCT(分期持仓明细!$B$18:$Y$18,'实盘净值数据(iFinD）'!$B24:$Y24/'实盘净值数据(iFinD）'!$B$20:$Y$20)*(1-实盘持仓初始配置!$Z$5)^(('实盘净值数据(iFinD）'!$A24-'实盘净值数据(iFinD）'!$A$5)/365))</f>
        <v>0.89587465029610514</v>
      </c>
      <c r="F24" s="16">
        <f t="shared" si="4"/>
        <v>-4.5142505232970476E-2</v>
      </c>
      <c r="G24" s="16">
        <f>IF(E24="","",E24/MAX(E$5:E24)-1)</f>
        <v>-0.18537363465822809</v>
      </c>
      <c r="H24" s="13">
        <f>IF(OR('实盘净值数据(iFinD）'!$A24="",'实盘净值数据(iFinD）'!$B24=""),"",分期持仓明细!$AB$19*SUMPRODUCT(分期持仓明细!$B$19:$Y$19,'实盘净值数据(iFinD）'!$B24:$Y24/'实盘净值数据(iFinD）'!$B$20:$Y$20)*(1-实盘持仓初始配置!$Z$6)^(('实盘净值数据(iFinD）'!$A24-'实盘净值数据(iFinD）'!$A$7)/365))</f>
        <v>0.90360617948177735</v>
      </c>
      <c r="I24" s="16">
        <f t="shared" si="5"/>
        <v>-4.4289305396206902E-2</v>
      </c>
      <c r="J24" s="16">
        <f>IF(H24="","",H24/MAX(H$5:H24)-1)</f>
        <v>-0.18719012578492589</v>
      </c>
      <c r="K24" s="13">
        <f>IF(OR('实盘净值数据(iFinD）'!$A24="",'实盘净值数据(iFinD）'!$B24=""),"",分期持仓明细!$AB$14*SUMPRODUCT(分期持仓明细!$B$14:$Y$14,'实盘净值数据(iFinD）'!$B24:$Y24/'实盘净值数据(iFinD）'!$B$17:$Y$17)*(1-实盘持仓初始配置!$Z$7)^(('实盘净值数据(iFinD）'!$A24-'实盘净值数据(iFinD）'!$A$8)/365))</f>
        <v>0.98676187132227156</v>
      </c>
      <c r="L24" s="16">
        <f t="shared" si="0"/>
        <v>-3.9924716560048035E-3</v>
      </c>
      <c r="M24" s="16">
        <f>IF(K24="","",K24/MAX(K$5:K24)-1)</f>
        <v>-1.6456277474426573E-2</v>
      </c>
      <c r="N24" s="13">
        <f>IF(OR('实盘净值数据(iFinD）'!$A24="",'实盘净值数据(iFinD）'!$B24=""),"",分期持仓明细!$AB$15*SUMPRODUCT(分期持仓明细!$B$15:$Y$15,'实盘净值数据(iFinD）'!$B24:$Y24/'实盘净值数据(iFinD）'!$B$17:$Y$17)*(1-实盘持仓初始配置!$Z$8)^(('实盘净值数据(iFinD）'!$A24-'实盘净值数据(iFinD）'!$A$5)/365))</f>
        <v>0.9861176198208752</v>
      </c>
      <c r="O24" s="16">
        <f t="shared" si="1"/>
        <v>-4.1237879068124483E-3</v>
      </c>
      <c r="P24" s="16">
        <f>IF(N24="","",N24/MAX(N$5:N24)-1)</f>
        <v>-1.6547672825770743E-2</v>
      </c>
      <c r="Q24" s="13">
        <f>IF(OR('实盘净值数据(iFinD）'!$A24="",'实盘净值数据(iFinD）'!$B24=""),"",分期持仓明细!$AB$16*SUMPRODUCT(分期持仓明细!$B$16:$Y$16,'实盘净值数据(iFinD）'!$B24:$Y24/'实盘净值数据(iFinD）'!$B$17:$Y$17)*(1-实盘持仓初始配置!$Z$9)^(('实盘净值数据(iFinD）'!$A24-'实盘净值数据(iFinD）'!$A$8)/365))</f>
        <v>0.96152631831469659</v>
      </c>
      <c r="R24" s="16">
        <f t="shared" si="2"/>
        <v>-1.0716118754012682E-2</v>
      </c>
      <c r="S24" s="16">
        <f>IF(Q24="","",Q24/MAX(Q$5:Q24)-1)</f>
        <v>-4.682527579296103E-2</v>
      </c>
    </row>
    <row r="25" spans="1:19">
      <c r="A25" s="15">
        <f>IF('实盘净值数据(iFinD）'!A25="","",'实盘净值数据(iFinD）'!A25)</f>
        <v>46220</v>
      </c>
      <c r="B25" s="13">
        <f>IF(OR('实盘净值数据(iFinD）'!$A25="",'实盘净值数据(iFinD）'!$B25=""),"",分期持仓明细!$AB$17*SUMPRODUCT(分期持仓明细!$B$17:$Y$17,'实盘净值数据(iFinD）'!$B25:$Y25/'实盘净值数据(iFinD）'!$B$20:$Y$20)*(1-实盘持仓初始配置!$Z$4)^(('实盘净值数据(iFinD）'!$A25-'实盘净值数据(iFinD）'!$A$6)/365))</f>
        <v>0.80395186275888708</v>
      </c>
      <c r="C25" s="16">
        <f t="shared" si="3"/>
        <v>-8.1822900726685632E-2</v>
      </c>
      <c r="D25" s="16">
        <f>IF(B25="","",B25/MAX(B$5:B25)-1)</f>
        <v>-0.25203198145820671</v>
      </c>
      <c r="E25" s="13">
        <f>IF(OR('实盘净值数据(iFinD）'!$A25="",'实盘净值数据(iFinD）'!$B25=""),"",分期持仓明细!$AB$18*SUMPRODUCT(分期持仓明细!$B$18:$Y$18,'实盘净值数据(iFinD）'!$B25:$Y25/'实盘净值数据(iFinD）'!$B$20:$Y$20)*(1-实盘持仓初始配置!$Z$5)^(('实盘净值数据(iFinD）'!$A25-'实盘净值数据(iFinD）'!$A$5)/365))</f>
        <v>0.82248092101937031</v>
      </c>
      <c r="F25" s="16">
        <f t="shared" si="4"/>
        <v>-8.1924105400768554E-2</v>
      </c>
      <c r="G25" s="16">
        <f>IF(E25="","",E25/MAX(E$5:E25)-1)</f>
        <v>-0.25211117087473245</v>
      </c>
      <c r="H25" s="13">
        <f>IF(OR('实盘净值数据(iFinD）'!$A25="",'实盘净值数据(iFinD）'!$B25=""),"",分期持仓明细!$AB$19*SUMPRODUCT(分期持仓明细!$B$19:$Y$19,'实盘净值数据(iFinD）'!$B25:$Y25/'实盘净值数据(iFinD）'!$B$20:$Y$20)*(1-实盘持仓初始配置!$Z$6)^(('实盘净值数据(iFinD）'!$A25-'实盘净值数据(iFinD）'!$A$7)/365))</f>
        <v>0.83721468119835341</v>
      </c>
      <c r="I25" s="16">
        <f t="shared" si="5"/>
        <v>-7.347393122244894E-2</v>
      </c>
      <c r="J25" s="16">
        <f>IF(H25="","",H25/MAX(H$5:H25)-1)</f>
        <v>-0.24691046257993154</v>
      </c>
      <c r="K25" s="13">
        <f>IF(OR('实盘净值数据(iFinD）'!$A25="",'实盘净值数据(iFinD）'!$B25=""),"",分期持仓明细!$AB$20*SUMPRODUCT(分期持仓明细!$B$20:$Y$20,'实盘净值数据(iFinD）'!$B25:$Y25/'实盘净值数据(iFinD）'!$B$25:$Y$25)*(1-实盘持仓初始配置!$Z$7)^(('实盘净值数据(iFinD）'!$A25-'实盘净值数据(iFinD）'!$A$8)/365))</f>
        <v>0.9801796358017143</v>
      </c>
      <c r="L25" s="16">
        <f t="shared" si="0"/>
        <v>-6.6705410006742127E-3</v>
      </c>
      <c r="M25" s="16">
        <f>IF(K25="","",K25/MAX(K$5:K25)-1)</f>
        <v>-2.3017046201489144E-2</v>
      </c>
      <c r="N25" s="13">
        <f>IF(OR('实盘净值数据(iFinD）'!$A25="",'实盘净值数据(iFinD）'!$B25=""),"",分期持仓明细!$AB$21*SUMPRODUCT(分期持仓明细!$B$21:$Y$21,'实盘净值数据(iFinD）'!$B25:$Y25/'实盘净值数据(iFinD）'!$B$25:$Y$25)*(1-实盘持仓初始配置!$Z$8)^(('实盘净值数据(iFinD）'!$A25-'实盘净值数据(iFinD）'!$A$5)/365))</f>
        <v>0.9790047810904865</v>
      </c>
      <c r="O25" s="16">
        <f t="shared" si="1"/>
        <v>-7.2129719492090016E-3</v>
      </c>
      <c r="P25" s="16">
        <f>IF(N25="","",N25/MAX(N$5:N25)-1)</f>
        <v>-2.3641286875062839E-2</v>
      </c>
      <c r="Q25" s="13">
        <f>IF(OR('实盘净值数据(iFinD）'!$A25="",'实盘净值数据(iFinD）'!$B25=""),"",分期持仓明细!$AB$22*SUMPRODUCT(分期持仓明细!$B$22:$Y$22,'实盘净值数据(iFinD）'!$B25:$Y25/'实盘净值数据(iFinD）'!$B$25:$Y$25)*(1-实盘持仓初始配置!$Z$9)^(('实盘净值数据(iFinD）'!$A25-'实盘净值数据(iFinD）'!$A$8)/365))</f>
        <v>0.94210028710651716</v>
      </c>
      <c r="R25" s="16">
        <f t="shared" si="2"/>
        <v>-2.020332760337562E-2</v>
      </c>
      <c r="S25" s="16">
        <f>IF(Q25="","",Q25/MAX(Q$5:Q25)-1)</f>
        <v>-6.6082577009373034E-2</v>
      </c>
    </row>
    <row r="26" spans="1:19">
      <c r="A26" s="15">
        <f>IF('实盘净值数据(iFinD）'!A26="","",'实盘净值数据(iFinD）'!A26)</f>
        <v>46223</v>
      </c>
      <c r="B26" s="13">
        <f>IF(OR('实盘净值数据(iFinD）'!$A26="",'实盘净值数据(iFinD）'!$B26=""),"",分期持仓明细!$AB$17*SUMPRODUCT(分期持仓明细!$B$17:$Y$17,'实盘净值数据(iFinD）'!$B26:$Y26/'实盘净值数据(iFinD）'!$B$20:$Y$20)*(1-实盘持仓初始配置!$Z$4)^(('实盘净值数据(iFinD）'!$A26-'实盘净值数据(iFinD）'!$A$6)/365))</f>
        <v>0.7725846198142714</v>
      </c>
      <c r="C26" s="16">
        <f t="shared" si="3"/>
        <v>-3.9016319754486384E-2</v>
      </c>
      <c r="D26" s="16">
        <f>IF(B26="","",B26/MAX(B$5:B26)-1)</f>
        <v>-0.28121494083576293</v>
      </c>
      <c r="E26" s="13">
        <f>IF(OR('实盘净值数据(iFinD）'!$A26="",'实盘净值数据(iFinD）'!$B26=""),"",分期持仓明细!$AB$18*SUMPRODUCT(分期持仓明细!$B$18:$Y$18,'实盘净值数据(iFinD）'!$B26:$Y26/'实盘净值数据(iFinD）'!$B$20:$Y$20)*(1-实盘持仓初始配置!$Z$5)^(('实盘净值数据(iFinD）'!$A26-'实盘净值数据(iFinD）'!$A$5)/365))</f>
        <v>0.79035973856508246</v>
      </c>
      <c r="F26" s="16">
        <f t="shared" si="4"/>
        <v>-3.9054015276703713E-2</v>
      </c>
      <c r="G26" s="16">
        <f>IF(E26="","",E26/MAX(E$5:E26)-1)</f>
        <v>-0.28131923263266678</v>
      </c>
      <c r="H26" s="13">
        <f>IF(OR('实盘净值数据(iFinD）'!$A26="",'实盘净值数据(iFinD）'!$B26=""),"",分期持仓明细!$AB$19*SUMPRODUCT(分期持仓明细!$B$19:$Y$19,'实盘净值数据(iFinD）'!$B26:$Y26/'实盘净值数据(iFinD）'!$B$20:$Y$20)*(1-实盘持仓初始配置!$Z$6)^(('实盘净值数据(iFinD）'!$A26-'实盘净值数据(iFinD）'!$A$7)/365))</f>
        <v>0.80811386650276029</v>
      </c>
      <c r="I26" s="16">
        <f t="shared" si="5"/>
        <v>-3.4759083123028223E-2</v>
      </c>
      <c r="J26" s="16">
        <f>IF(H26="","",H26/MAX(H$5:H26)-1)</f>
        <v>-0.27308716441019854</v>
      </c>
      <c r="K26" s="13">
        <f>IF(OR('实盘净值数据(iFinD）'!$A26="",'实盘净值数据(iFinD）'!$B26=""),"",分期持仓明细!$AB$20*SUMPRODUCT(分期持仓明细!$B$20:$Y$20,'实盘净值数据(iFinD）'!$B26:$Y26/'实盘净值数据(iFinD）'!$B$25:$Y$25)*(1-实盘持仓初始配置!$Z$7)^(('实盘净值数据(iFinD）'!$A26-'实盘净值数据(iFinD）'!$A$8)/365))</f>
        <v>0.97692785405628013</v>
      </c>
      <c r="L26" s="16">
        <f t="shared" si="0"/>
        <v>-3.3175365276533197E-3</v>
      </c>
      <c r="M26" s="16">
        <f>IF(K26="","",K26/MAX(K$5:K26)-1)</f>
        <v>-2.6258222837610368E-2</v>
      </c>
      <c r="N26" s="13">
        <f>IF(OR('实盘净值数据(iFinD）'!$A26="",'实盘净值数据(iFinD）'!$B26=""),"",分期持仓明细!$AB$21*SUMPRODUCT(分期持仓明细!$B$21:$Y$21,'实盘净值数据(iFinD）'!$B26:$Y26/'实盘净值数据(iFinD）'!$B$25:$Y$25)*(1-实盘持仓初始配置!$Z$8)^(('实盘净值数据(iFinD）'!$A26-'实盘净值数据(iFinD）'!$A$5)/365))</f>
        <v>0.97551609956302554</v>
      </c>
      <c r="O26" s="16">
        <f t="shared" si="1"/>
        <v>-3.5634979469405526E-3</v>
      </c>
      <c r="P26" s="16">
        <f>IF(N26="","",N26/MAX(N$5:N26)-1)</f>
        <v>-2.7120539144761091E-2</v>
      </c>
      <c r="Q26" s="13">
        <f>IF(OR('实盘净值数据(iFinD）'!$A26="",'实盘净值数据(iFinD）'!$B26=""),"",分期持仓明细!$AB$22*SUMPRODUCT(分期持仓明细!$B$22:$Y$22,'实盘净值数据(iFinD）'!$B26:$Y26/'实盘净值数据(iFinD）'!$B$25:$Y$25)*(1-实盘持仓初始配置!$Z$9)^(('实盘净值数据(iFinD）'!$A26-'实盘净值数据(iFinD）'!$A$8)/365))</f>
        <v>0.93309057637493542</v>
      </c>
      <c r="R26" s="16">
        <f t="shared" si="2"/>
        <v>-9.5634306186800355E-3</v>
      </c>
      <c r="S26" s="16">
        <f>IF(Q26="","",Q26/MAX(Q$5:Q26)-1)</f>
        <v>-7.5014031487720345E-2</v>
      </c>
    </row>
    <row r="27" spans="1:19">
      <c r="A27" s="15">
        <f>IF('实盘净值数据(iFinD）'!A27="","",'实盘净值数据(iFinD）'!A27)</f>
        <v>46224</v>
      </c>
      <c r="B27" s="13">
        <f>IF(OR('实盘净值数据(iFinD）'!$A27="",'实盘净值数据(iFinD）'!$B27=""),"",分期持仓明细!$AB$17*SUMPRODUCT(分期持仓明细!$B$17:$Y$17,'实盘净值数据(iFinD）'!$B27:$Y27/'实盘净值数据(iFinD）'!$B$20:$Y$20)*(1-实盘持仓初始配置!$Z$4)^(('实盘净值数据(iFinD）'!$A27-'实盘净值数据(iFinD）'!$A$6)/365))</f>
        <v>0.85977786369144249</v>
      </c>
      <c r="C27" s="16">
        <f t="shared" si="3"/>
        <v>0.11285915049426198</v>
      </c>
      <c r="D27" s="16">
        <f>IF(B27="","",B27/MAX(B$5:B27)-1)</f>
        <v>-0.20009346967051922</v>
      </c>
      <c r="E27" s="13">
        <f>IF(OR('实盘净值数据(iFinD）'!$A27="",'实盘净值数据(iFinD）'!$B27=""),"",分期持仓明细!$AB$18*SUMPRODUCT(分期持仓明细!$B$18:$Y$18,'实盘净值数据(iFinD）'!$B27:$Y27/'实盘净值数据(iFinD）'!$B$20:$Y$20)*(1-实盘持仓初始配置!$Z$5)^(('实盘净值数据(iFinD）'!$A27-'实盘净值数据(iFinD）'!$A$5)/365))</f>
        <v>0.87956638034701318</v>
      </c>
      <c r="F27" s="16">
        <f t="shared" si="4"/>
        <v>0.11286840337273207</v>
      </c>
      <c r="G27" s="16">
        <f>IF(E27="","",E27/MAX(E$5:E27)-1)</f>
        <v>-0.20020288188522606</v>
      </c>
      <c r="H27" s="13">
        <f>IF(OR('实盘净值数据(iFinD）'!$A27="",'实盘净值数据(iFinD）'!$B27=""),"",分期持仓明细!$AB$19*SUMPRODUCT(分期持仓明细!$B$19:$Y$19,'实盘净值数据(iFinD）'!$B27:$Y27/'实盘净值数据(iFinD）'!$B$20:$Y$20)*(1-实盘持仓初始配置!$Z$6)^(('实盘净值数据(iFinD）'!$A27-'实盘净值数据(iFinD）'!$A$7)/365))</f>
        <v>0.90141211983560632</v>
      </c>
      <c r="I27" s="16">
        <f t="shared" si="5"/>
        <v>0.11545186538700158</v>
      </c>
      <c r="J27" s="16">
        <f>IF(H27="","",H27/MAX(H$5:H27)-1)</f>
        <v>-0.1891637215676012</v>
      </c>
      <c r="K27" s="13">
        <f>IF(OR('实盘净值数据(iFinD）'!$A27="",'实盘净值数据(iFinD）'!$B27=""),"",分期持仓明细!$AB$20*SUMPRODUCT(分期持仓明细!$B$20:$Y$20,'实盘净值数据(iFinD）'!$B27:$Y27/'实盘净值数据(iFinD）'!$B$25:$Y$25)*(1-实盘持仓初始配置!$Z$7)^(('实盘净值数据(iFinD）'!$A27-'实盘净值数据(iFinD）'!$A$8)/365))</f>
        <v>0.98595161384431096</v>
      </c>
      <c r="L27" s="16">
        <f t="shared" si="0"/>
        <v>9.2368742999429099E-3</v>
      </c>
      <c r="M27" s="16">
        <f>IF(K27="","",K27/MAX(K$5:K27)-1)</f>
        <v>-1.7263892441358397E-2</v>
      </c>
      <c r="N27" s="13">
        <f>IF(OR('实盘净值数据(iFinD）'!$A27="",'实盘净值数据(iFinD）'!$B27=""),"",分期持仓明细!$AB$21*SUMPRODUCT(分期持仓明细!$B$21:$Y$21,'实盘净值数据(iFinD）'!$B27:$Y27/'实盘净值数据(iFinD）'!$B$25:$Y$25)*(1-实盘持仓初始配置!$Z$8)^(('实盘净值数据(iFinD）'!$A27-'实盘净值数据(iFinD）'!$A$5)/365))</f>
        <v>0.98451181946051036</v>
      </c>
      <c r="O27" s="16">
        <f t="shared" si="1"/>
        <v>9.2214981398199836E-3</v>
      </c>
      <c r="P27" s="16">
        <f>IF(N27="","",N27/MAX(N$5:N27)-1)</f>
        <v>-1.8149133006215457E-2</v>
      </c>
      <c r="Q27" s="13">
        <f>IF(OR('实盘净值数据(iFinD）'!$A27="",'实盘净值数据(iFinD）'!$B27=""),"",分期持仓明细!$AB$22*SUMPRODUCT(分期持仓明细!$B$22:$Y$22,'实盘净值数据(iFinD）'!$B27:$Y27/'实盘净值数据(iFinD）'!$B$25:$Y$25)*(1-实盘持仓初始配置!$Z$9)^(('实盘净值数据(iFinD）'!$A27-'实盘净值数据(iFinD）'!$A$8)/365))</f>
        <v>0.95862869099830639</v>
      </c>
      <c r="R27" s="16">
        <f t="shared" si="2"/>
        <v>2.7369384355575344E-2</v>
      </c>
      <c r="S27" s="16">
        <f>IF(Q27="","",Q27/MAX(Q$5:Q27)-1)</f>
        <v>-4.9697734991993703E-2</v>
      </c>
    </row>
    <row r="28" spans="1:19">
      <c r="A28" s="15">
        <f>IF('实盘净值数据(iFinD）'!A28="","",'实盘净值数据(iFinD）'!A28)</f>
        <v>46225</v>
      </c>
      <c r="B28" s="13">
        <f>IF(OR('实盘净值数据(iFinD）'!$A28="",'实盘净值数据(iFinD）'!$B28=""),"",分期持仓明细!$AB$17*SUMPRODUCT(分期持仓明细!$B$17:$Y$17,'实盘净值数据(iFinD）'!$B28:$Y28/'实盘净值数据(iFinD）'!$B$20:$Y$20)*(1-实盘持仓初始配置!$Z$4)^(('实盘净值数据(iFinD）'!$A28-'实盘净值数据(iFinD）'!$A$6)/365))</f>
        <v>0.83406264853237666</v>
      </c>
      <c r="C28" s="16">
        <f t="shared" si="3"/>
        <v>-2.9909138447293815E-2</v>
      </c>
      <c r="D28" s="16">
        <f>IF(B28="","",B28/MAX(B$5:B28)-1)</f>
        <v>-0.22401798483103808</v>
      </c>
      <c r="E28" s="13">
        <f>IF(OR('实盘净值数据(iFinD）'!$A28="",'实盘净值数据(iFinD）'!$B28=""),"",分期持仓明细!$AB$18*SUMPRODUCT(分期持仓明细!$B$18:$Y$18,'实盘净值数据(iFinD）'!$B28:$Y28/'实盘净值数据(iFinD）'!$B$20:$Y$20)*(1-实盘持仓初始配置!$Z$5)^(('实盘净值数据(iFinD）'!$A28-'实盘净值数据(iFinD）'!$A$5)/365))</f>
        <v>0.85321196799992882</v>
      </c>
      <c r="F28" s="16">
        <f t="shared" si="4"/>
        <v>-2.9962960085726298E-2</v>
      </c>
      <c r="G28" s="16">
        <f>IF(E28="","",E28/MAX(E$5:E28)-1)</f>
        <v>-0.22416717101197792</v>
      </c>
      <c r="H28" s="13">
        <f>IF(OR('实盘净值数据(iFinD）'!$A28="",'实盘净值数据(iFinD）'!$B28=""),"",分期持仓明细!$AB$19*SUMPRODUCT(分期持仓明细!$B$19:$Y$19,'实盘净值数据(iFinD）'!$B28:$Y28/'实盘净值数据(iFinD）'!$B$20:$Y$20)*(1-实盘持仓初始配置!$Z$6)^(('实盘净值数据(iFinD）'!$A28-'实盘净值数据(iFinD）'!$A$7)/365))</f>
        <v>0.87692454413373422</v>
      </c>
      <c r="I28" s="16">
        <f t="shared" si="5"/>
        <v>-2.7165793717459641E-2</v>
      </c>
      <c r="J28" s="16">
        <f>IF(H28="","",H28/MAX(H$5:H28)-1)</f>
        <v>-0.21119073264612842</v>
      </c>
      <c r="K28" s="13">
        <f>IF(OR('实盘净值数据(iFinD）'!$A28="",'实盘净值数据(iFinD）'!$B28=""),"",分期持仓明细!$AB$20*SUMPRODUCT(分期持仓明细!$B$20:$Y$20,'实盘净值数据(iFinD）'!$B28:$Y28/'实盘净值数据(iFinD）'!$B$25:$Y$25)*(1-实盘持仓初始配置!$Z$7)^(('实盘净值数据(iFinD）'!$A28-'实盘净值数据(iFinD）'!$A$8)/365))</f>
        <v>0.98579850868578778</v>
      </c>
      <c r="L28" s="16">
        <f t="shared" si="0"/>
        <v>-1.5528668585085281E-4</v>
      </c>
      <c r="M28" s="16">
        <f>IF(K28="","",K28/MAX(K$5:K28)-1)</f>
        <v>-1.7416498274567149E-2</v>
      </c>
      <c r="N28" s="13">
        <f>IF(OR('实盘净值数据(iFinD）'!$A28="",'实盘净值数据(iFinD）'!$B28=""),"",分期持仓明细!$AB$21*SUMPRODUCT(分期持仓明细!$B$21:$Y$21,'实盘净值数据(iFinD）'!$B28:$Y28/'实盘净值数据(iFinD）'!$B$25:$Y$25)*(1-实盘持仓初始配置!$Z$8)^(('实盘净值数据(iFinD）'!$A28-'实盘净值数据(iFinD）'!$A$5)/365))</f>
        <v>0.98416489616962055</v>
      </c>
      <c r="O28" s="16">
        <f t="shared" si="1"/>
        <v>-3.523810319310261E-4</v>
      </c>
      <c r="P28" s="16">
        <f>IF(N28="","",N28/MAX(N$5:N28)-1)</f>
        <v>-1.8495118627929075E-2</v>
      </c>
      <c r="Q28" s="13">
        <f>IF(OR('实盘净值数据(iFinD）'!$A28="",'实盘净值数据(iFinD）'!$B28=""),"",分期持仓明细!$AB$22*SUMPRODUCT(分期持仓明细!$B$22:$Y$22,'实盘净值数据(iFinD）'!$B28:$Y28/'实盘净值数据(iFinD）'!$B$25:$Y$25)*(1-实盘持仓初始配置!$Z$9)^(('实盘净值数据(iFinD）'!$A28-'实盘净值数据(iFinD）'!$A$8)/365))</f>
        <v>0.95473536714260399</v>
      </c>
      <c r="R28" s="16">
        <f t="shared" si="2"/>
        <v>-4.0613471016061053E-3</v>
      </c>
      <c r="S28" s="16">
        <f>IF(Q28="","",Q28/MAX(Q$5:Q28)-1)</f>
        <v>-5.3557242341633615E-2</v>
      </c>
    </row>
    <row r="29" spans="1:19">
      <c r="A29" s="15">
        <f>IF('实盘净值数据(iFinD）'!A29="","",'实盘净值数据(iFinD）'!A29)</f>
        <v>46226</v>
      </c>
      <c r="B29" s="13">
        <f>IF(OR('实盘净值数据(iFinD）'!$A29="",'实盘净值数据(iFinD）'!$B29=""),"",分期持仓明细!$AB$17*SUMPRODUCT(分期持仓明细!$B$17:$Y$17,'实盘净值数据(iFinD）'!$B29:$Y29/'实盘净值数据(iFinD）'!$B$20:$Y$20)*(1-实盘持仓初始配置!$Z$4)^(('实盘净值数据(iFinD）'!$A29-'实盘净值数据(iFinD）'!$A$6)/365))</f>
        <v>0.81192392134913194</v>
      </c>
      <c r="C29" s="16">
        <f t="shared" si="3"/>
        <v>-2.654324255162388E-2</v>
      </c>
      <c r="D29" s="16">
        <f>IF(B29="","",B29/MAX(B$5:B29)-1)</f>
        <v>-0.24461506367536567</v>
      </c>
      <c r="E29" s="13">
        <f>IF(OR('实盘净值数据(iFinD）'!$A29="",'实盘净值数据(iFinD）'!$B29=""),"",分期持仓明细!$AB$18*SUMPRODUCT(分期持仓明细!$B$18:$Y$18,'实盘净值数据(iFinD）'!$B29:$Y29/'实盘净值数据(iFinD）'!$B$20:$Y$20)*(1-实盘持仓初始配置!$Z$5)^(('实盘净值数据(iFinD）'!$A29-'实盘净值数据(iFinD）'!$A$5)/365))</f>
        <v>0.83060416834710382</v>
      </c>
      <c r="F29" s="16">
        <f t="shared" si="4"/>
        <v>-2.6497283794344129E-2</v>
      </c>
      <c r="G29" s="16">
        <f>IF(E29="","",E29/MAX(E$5:E29)-1)</f>
        <v>-0.2447246336586425</v>
      </c>
      <c r="H29" s="13">
        <f>IF(OR('实盘净值数据(iFinD）'!$A29="",'实盘净值数据(iFinD）'!$B29=""),"",分期持仓明细!$AB$19*SUMPRODUCT(分期持仓明细!$B$19:$Y$19,'实盘净值数据(iFinD）'!$B29:$Y29/'实盘净值数据(iFinD）'!$B$20:$Y$20)*(1-实盘持仓初始配置!$Z$6)^(('实盘净值数据(iFinD）'!$A29-'实盘净值数据(iFinD）'!$A$7)/365))</f>
        <v>0.85192377866811053</v>
      </c>
      <c r="I29" s="16">
        <f t="shared" si="5"/>
        <v>-2.8509597128816289E-2</v>
      </c>
      <c r="J29" s="16">
        <f>IF(H29="","",H29/MAX(H$5:H29)-1)</f>
        <v>-0.23367936706986414</v>
      </c>
      <c r="K29" s="13">
        <f>IF(OR('实盘净值数据(iFinD）'!$A29="",'实盘净值数据(iFinD）'!$B29=""),"",分期持仓明细!$AB$20*SUMPRODUCT(分期持仓明细!$B$20:$Y$20,'实盘净值数据(iFinD）'!$B29:$Y29/'实盘净值数据(iFinD）'!$B$25:$Y$25)*(1-实盘持仓初始配置!$Z$7)^(('实盘净值数据(iFinD）'!$A29-'实盘净值数据(iFinD）'!$A$8)/365))</f>
        <v>0.98447784718233267</v>
      </c>
      <c r="L29" s="16">
        <f t="shared" si="0"/>
        <v>-1.3396870575669295E-3</v>
      </c>
      <c r="M29" s="16">
        <f>IF(K29="","",K29/MAX(K$5:K29)-1)</f>
        <v>-1.873285267480751E-2</v>
      </c>
      <c r="N29" s="13">
        <f>IF(OR('实盘净值数据(iFinD）'!$A29="",'实盘净值数据(iFinD）'!$B29=""),"",分期持仓明细!$AB$21*SUMPRODUCT(分期持仓明细!$B$21:$Y$21,'实盘净值数据(iFinD）'!$B29:$Y29/'实盘净值数据(iFinD）'!$B$25:$Y$25)*(1-实盘持仓初始配置!$Z$8)^(('实盘净值数据(iFinD）'!$A29-'实盘净值数据(iFinD）'!$A$5)/365))</f>
        <v>0.98294067506944183</v>
      </c>
      <c r="O29" s="16">
        <f t="shared" si="1"/>
        <v>-1.2439186816592951E-3</v>
      </c>
      <c r="P29" s="16">
        <f>IF(N29="","",N29/MAX(N$5:N29)-1)</f>
        <v>-1.9716030886007707E-2</v>
      </c>
      <c r="Q29" s="13">
        <f>IF(OR('实盘净值数据(iFinD）'!$A29="",'实盘净值数据(iFinD）'!$B29=""),"",分期持仓明细!$AB$22*SUMPRODUCT(分期持仓明细!$B$22:$Y$22,'实盘净值数据(iFinD）'!$B29:$Y29/'实盘净值数据(iFinD）'!$B$25:$Y$25)*(1-实盘持仓初始配置!$Z$9)^(('实盘净值数据(iFinD）'!$A29-'实盘净值数据(iFinD）'!$A$8)/365))</f>
        <v>0.95057923744523387</v>
      </c>
      <c r="R29" s="16">
        <f t="shared" si="2"/>
        <v>-4.3531745449095771E-3</v>
      </c>
      <c r="S29" s="16">
        <f>IF(Q29="","",Q29/MAX(Q$5:Q29)-1)</f>
        <v>-5.7677272862486029E-2</v>
      </c>
    </row>
    <row r="30" spans="1:19">
      <c r="A30" s="15">
        <f>IF('实盘净值数据(iFinD）'!A30="","",'实盘净值数据(iFinD）'!A30)</f>
        <v>46227</v>
      </c>
      <c r="B30" s="13">
        <f>IF(OR('实盘净值数据(iFinD）'!$A30="",'实盘净值数据(iFinD）'!$B30=""),"",分期持仓明细!$AB$17*SUMPRODUCT(分期持仓明细!$B$17:$Y$17,'实盘净值数据(iFinD）'!$B30:$Y30/'实盘净值数据(iFinD）'!$B$20:$Y$20)*(1-实盘持仓初始配置!$Z$4)^(('实盘净值数据(iFinD）'!$A30-'实盘净值数据(iFinD）'!$A$6)/365))</f>
        <v>0.81167965590769986</v>
      </c>
      <c r="C30" s="16">
        <f t="shared" si="3"/>
        <v>-3.0084769645188914E-4</v>
      </c>
      <c r="D30" s="16">
        <f>IF(B30="","",B30/MAX(B$5:B30)-1)</f>
        <v>-0.24484231949339341</v>
      </c>
      <c r="E30" s="13">
        <f>IF(OR('实盘净值数据(iFinD）'!$A30="",'实盘净值数据(iFinD）'!$B30=""),"",分期持仓明细!$AB$18*SUMPRODUCT(分期持仓明细!$B$18:$Y$18,'实盘净值数据(iFinD）'!$B30:$Y30/'实盘净值数据(iFinD）'!$B$20:$Y$20)*(1-实盘持仓初始配置!$Z$5)^(('实盘净值数据(iFinD）'!$A30-'实盘净值数据(iFinD）'!$A$5)/365))</f>
        <v>0.83029356330213822</v>
      </c>
      <c r="F30" s="16">
        <f t="shared" si="4"/>
        <v>-3.7395074188428801E-4</v>
      </c>
      <c r="G30" s="16">
        <f>IF(E30="","",E30/MAX(E$5:E30)-1)</f>
        <v>-0.24500706944221273</v>
      </c>
      <c r="H30" s="13">
        <f>IF(OR('实盘净值数据(iFinD）'!$A30="",'实盘净值数据(iFinD）'!$B30=""),"",分期持仓明细!$AB$19*SUMPRODUCT(分期持仓明细!$B$19:$Y$19,'实盘净值数据(iFinD）'!$B30:$Y30/'实盘净值数据(iFinD）'!$B$20:$Y$20)*(1-实盘持仓初始配置!$Z$6)^(('实盘净值数据(iFinD）'!$A30-'实盘净值数据(iFinD）'!$A$7)/365))</f>
        <v>0.85634618908665328</v>
      </c>
      <c r="I30" s="16">
        <f t="shared" si="5"/>
        <v>5.1910869602169729E-3</v>
      </c>
      <c r="J30" s="16">
        <f>IF(H30="","",H30/MAX(H$5:H30)-1)</f>
        <v>-0.22970133002491533</v>
      </c>
      <c r="K30" s="13">
        <f>IF(OR('实盘净值数据(iFinD）'!$A30="",'实盘净值数据(iFinD）'!$B30=""),"",分期持仓明细!$AB$20*SUMPRODUCT(分期持仓明细!$B$20:$Y$20,'实盘净值数据(iFinD）'!$B30:$Y30/'实盘净值数据(iFinD）'!$B$25:$Y$25)*(1-实盘持仓初始配置!$Z$7)^(('实盘净值数据(iFinD）'!$A30-'实盘净值数据(iFinD）'!$A$8)/365))</f>
        <v>0.98345040579106224</v>
      </c>
      <c r="L30" s="16">
        <f t="shared" si="0"/>
        <v>-1.0436409455134577E-3</v>
      </c>
      <c r="M30" s="16">
        <f>IF(K30="","",K30/MAX(K$5:K30)-1)</f>
        <v>-1.9756943248243286E-2</v>
      </c>
      <c r="N30" s="13">
        <f>IF(OR('实盘净值数据(iFinD）'!$A30="",'实盘净值数据(iFinD）'!$B30=""),"",分期持仓明细!$AB$21*SUMPRODUCT(分期持仓明细!$B$21:$Y$21,'实盘净值数据(iFinD）'!$B30:$Y30/'实盘净值数据(iFinD）'!$B$25:$Y$25)*(1-实盘持仓初始配置!$Z$8)^(('实盘净值数据(iFinD）'!$A30-'实盘净值数据(iFinD）'!$A$5)/365))</f>
        <v>0.98167072753263529</v>
      </c>
      <c r="O30" s="16">
        <f t="shared" si="1"/>
        <v>-1.2919879795562084E-3</v>
      </c>
      <c r="P30" s="16">
        <f>IF(N30="","",N30/MAX(N$5:N30)-1)</f>
        <v>-2.0982545990654522E-2</v>
      </c>
      <c r="Q30" s="13">
        <f>IF(OR('实盘净值数据(iFinD）'!$A30="",'实盘净值数据(iFinD）'!$B30=""),"",分期持仓明细!$AB$22*SUMPRODUCT(分期持仓明细!$B$22:$Y$22,'实盘净值数据(iFinD）'!$B30:$Y30/'实盘净值数据(iFinD）'!$B$25:$Y$25)*(1-实盘持仓初始配置!$Z$9)^(('实盘净值数据(iFinD）'!$A30-'实盘净值数据(iFinD）'!$A$8)/365))</f>
        <v>0.94741055273696939</v>
      </c>
      <c r="R30" s="16">
        <f t="shared" si="2"/>
        <v>-3.3334251195940023E-3</v>
      </c>
      <c r="S30" s="16">
        <f>IF(Q30="","",Q30/MAX(Q$5:Q30)-1)</f>
        <v>-6.0818435111890667E-2</v>
      </c>
    </row>
    <row r="31" spans="1:19">
      <c r="A31" s="15">
        <f>IF('实盘净值数据(iFinD）'!A31="","",'实盘净值数据(iFinD）'!A31)</f>
        <v>46230</v>
      </c>
      <c r="B31" s="13">
        <f>IF(OR('实盘净值数据(iFinD）'!$A31="",'实盘净值数据(iFinD）'!$B31=""),"",分期持仓明细!$AB$17*SUMPRODUCT(分期持仓明细!$B$17:$Y$17,'实盘净值数据(iFinD）'!$B31:$Y31/'实盘净值数据(iFinD）'!$B$20:$Y$20)*(1-实盘持仓初始配置!$Z$4)^(('实盘净值数据(iFinD）'!$A31-'实盘净值数据(iFinD）'!$A$6)/365))</f>
        <v>0.83469124014895102</v>
      </c>
      <c r="C31" s="16">
        <f t="shared" si="3"/>
        <v>2.8350574113524374E-2</v>
      </c>
      <c r="D31" s="16">
        <f>IF(B31="","",B31/MAX(B$5:B31)-1)</f>
        <v>-0.22343316570479377</v>
      </c>
      <c r="E31" s="13">
        <f>IF(OR('实盘净值数据(iFinD）'!$A31="",'实盘净值数据(iFinD）'!$B31=""),"",分期持仓明细!$AB$18*SUMPRODUCT(分期持仓明细!$B$18:$Y$18,'实盘净值数据(iFinD）'!$B31:$Y31/'实盘净值数据(iFinD）'!$B$20:$Y$20)*(1-实盘持仓初始配置!$Z$5)^(('实盘净值数据(iFinD）'!$A31-'实盘净值数据(iFinD）'!$A$5)/365))</f>
        <v>0.85390475841332225</v>
      </c>
      <c r="F31" s="16">
        <f t="shared" si="4"/>
        <v>2.8437165063981196E-2</v>
      </c>
      <c r="G31" s="16">
        <f>IF(E31="","",E31/MAX(E$5:E31)-1)</f>
        <v>-0.22353721085380207</v>
      </c>
      <c r="H31" s="13">
        <f>IF(OR('实盘净值数据(iFinD）'!$A31="",'实盘净值数据(iFinD）'!$B31=""),"",分期持仓明细!$AB$19*SUMPRODUCT(分期持仓明细!$B$19:$Y$19,'实盘净值数据(iFinD）'!$B31:$Y31/'实盘净值数据(iFinD）'!$B$20:$Y$20)*(1-实盘持仓初始配置!$Z$6)^(('实盘净值数据(iFinD）'!$A31-'实盘净值数据(iFinD）'!$A$7)/365))</f>
        <v>0.87898017619041946</v>
      </c>
      <c r="I31" s="16">
        <f t="shared" si="5"/>
        <v>2.6430884369213814E-2</v>
      </c>
      <c r="J31" s="16">
        <f>IF(H31="","",H31/MAX(H$5:H31)-1)</f>
        <v>-0.20934165494904466</v>
      </c>
      <c r="K31" s="13">
        <f>IF(OR('实盘净值数据(iFinD）'!$A31="",'实盘净值数据(iFinD）'!$B31=""),"",分期持仓明细!$AB$20*SUMPRODUCT(分期持仓明细!$B$20:$Y$20,'实盘净值数据(iFinD）'!$B31:$Y31/'实盘净值数据(iFinD）'!$B$25:$Y$25)*(1-实盘持仓初始配置!$Z$7)^(('实盘净值数据(iFinD）'!$A31-'实盘净值数据(iFinD）'!$A$8)/365))</f>
        <v>0.98696437228355804</v>
      </c>
      <c r="L31" s="16">
        <f t="shared" si="0"/>
        <v>3.5730998449985396E-3</v>
      </c>
      <c r="M31" s="16">
        <f>IF(K31="","",K31/MAX(K$5:K31)-1)</f>
        <v>-1.6254436934102667E-2</v>
      </c>
      <c r="N31" s="13">
        <f>IF(OR('实盘净值数据(iFinD）'!$A31="",'实盘净值数据(iFinD）'!$B31=""),"",分期持仓明细!$AB$21*SUMPRODUCT(分期持仓明细!$B$21:$Y$21,'实盘净值数据(iFinD）'!$B31:$Y31/'实盘净值数据(iFinD）'!$B$25:$Y$25)*(1-实盘持仓初始配置!$Z$8)^(('实盘净值数据(iFinD）'!$A31-'实盘净值数据(iFinD）'!$A$5)/365))</f>
        <v>0.98530566690705634</v>
      </c>
      <c r="O31" s="16">
        <f t="shared" si="1"/>
        <v>3.7028091726409862E-3</v>
      </c>
      <c r="P31" s="16">
        <f>IF(N31="","",N31/MAX(N$5:N31)-1)</f>
        <v>-1.7357431181773131E-2</v>
      </c>
      <c r="Q31" s="13">
        <f>IF(OR('实盘净值数据(iFinD）'!$A31="",'实盘净值数据(iFinD）'!$B31=""),"",分期持仓明细!$AB$22*SUMPRODUCT(分期持仓明细!$B$22:$Y$22,'实盘净值数据(iFinD）'!$B31:$Y31/'实盘净值数据(iFinD）'!$B$25:$Y$25)*(1-实盘持仓初始配置!$Z$9)^(('实盘净值数据(iFinD）'!$A31-'实盘净值数据(iFinD）'!$A$8)/365))</f>
        <v>0.95708142162899978</v>
      </c>
      <c r="R31" s="16">
        <f t="shared" si="2"/>
        <v>1.0207685426441904E-2</v>
      </c>
      <c r="S31" s="16">
        <f>IF(Q31="","",Q31/MAX(Q$5:Q31)-1)</f>
        <v>-5.1231565139199353E-2</v>
      </c>
    </row>
    <row r="32" spans="1:19">
      <c r="A32" s="15">
        <f>IF('实盘净值数据(iFinD）'!A32="","",'实盘净值数据(iFinD）'!A32)</f>
        <v>46231</v>
      </c>
      <c r="B32" s="13">
        <f>IF(OR('实盘净值数据(iFinD）'!$A32="",'实盘净值数据(iFinD）'!$B32=""),"",分期持仓明细!$AB$17*SUMPRODUCT(分期持仓明细!$B$17:$Y$17,'实盘净值数据(iFinD）'!$B32:$Y32/'实盘净值数据(iFinD）'!$B$20:$Y$20)*(1-实盘持仓初始配置!$Z$4)^(('实盘净值数据(iFinD）'!$A32-'实盘净值数据(iFinD）'!$A$6)/365))</f>
        <v>0.76869284885503608</v>
      </c>
      <c r="C32" s="16">
        <f t="shared" si="3"/>
        <v>-7.9069227181703172E-2</v>
      </c>
      <c r="D32" s="16">
        <f>IF(B32="","",B32/MAX(B$5:B32)-1)</f>
        <v>-0.28483570514745749</v>
      </c>
      <c r="E32" s="13">
        <f>IF(OR('实盘净值数据(iFinD）'!$A32="",'实盘净值数据(iFinD）'!$B32=""),"",分期持仓明细!$AB$18*SUMPRODUCT(分期持仓明细!$B$18:$Y$18,'实盘净值数据(iFinD）'!$B32:$Y32/'实盘净值数据(iFinD）'!$B$20:$Y$20)*(1-实盘持仓初始配置!$Z$5)^(('实盘净值数据(iFinD）'!$A32-'实盘净值数据(iFinD）'!$A$5)/365))</f>
        <v>0.7862607541617691</v>
      </c>
      <c r="F32" s="16">
        <f t="shared" si="4"/>
        <v>-7.9217270527037975E-2</v>
      </c>
      <c r="G32" s="16">
        <f>IF(E32="","",E32/MAX(E$5:E32)-1)</f>
        <v>-0.28504647367577485</v>
      </c>
      <c r="H32" s="13">
        <f>IF(OR('实盘净值数据(iFinD）'!$A32="",'实盘净值数据(iFinD）'!$B32=""),"",分期持仓明细!$AB$19*SUMPRODUCT(分期持仓明细!$B$19:$Y$19,'实盘净值数据(iFinD）'!$B32:$Y32/'实盘净值数据(iFinD）'!$B$20:$Y$20)*(1-实盘持仓初始配置!$Z$6)^(('实盘净值数据(iFinD）'!$A32-'实盘净值数据(iFinD）'!$A$7)/365))</f>
        <v>0.81331518475104281</v>
      </c>
      <c r="I32" s="16">
        <f t="shared" si="5"/>
        <v>-7.4705884407967771E-2</v>
      </c>
      <c r="J32" s="16">
        <f>IF(H32="","",H32/MAX(H$5:H32)-1)</f>
        <v>-0.2684084858806165</v>
      </c>
      <c r="K32" s="13">
        <f>IF(OR('实盘净值数据(iFinD）'!$A32="",'实盘净值数据(iFinD）'!$B32=""),"",分期持仓明细!$AB$20*SUMPRODUCT(分期持仓明细!$B$20:$Y$20,'实盘净值数据(iFinD）'!$B32:$Y32/'实盘净值数据(iFinD）'!$B$25:$Y$25)*(1-实盘持仓初始配置!$Z$7)^(('实盘净值数据(iFinD）'!$A32-'实盘净值数据(iFinD）'!$A$8)/365))</f>
        <v>0.9806986308480341</v>
      </c>
      <c r="L32" s="16">
        <f t="shared" si="0"/>
        <v>-6.3484980932257962E-3</v>
      </c>
      <c r="M32" s="16">
        <f>IF(K32="","",K32/MAX(K$5:K32)-1)</f>
        <v>-2.2499743765445834E-2</v>
      </c>
      <c r="N32" s="13">
        <f>IF(OR('实盘净值数据(iFinD）'!$A32="",'实盘净值数据(iFinD）'!$B32=""),"",分期持仓明细!$AB$21*SUMPRODUCT(分期持仓明细!$B$21:$Y$21,'实盘净值数据(iFinD）'!$B32:$Y32/'实盘净值数据(iFinD）'!$B$25:$Y$25)*(1-实盘持仓初始配置!$Z$8)^(('实盘净值数据(iFinD）'!$A32-'实盘净值数据(iFinD）'!$A$5)/365))</f>
        <v>0.97879642351182894</v>
      </c>
      <c r="O32" s="16">
        <f t="shared" si="1"/>
        <v>-6.6063188448518551E-3</v>
      </c>
      <c r="P32" s="16">
        <f>IF(N32="","",N32/MAX(N$5:N32)-1)</f>
        <v>-2.3849081301910546E-2</v>
      </c>
      <c r="Q32" s="13">
        <f>IF(OR('实盘净值数据(iFinD）'!$A32="",'实盘净值数据(iFinD）'!$B32=""),"",分期持仓明细!$AB$22*SUMPRODUCT(分期持仓明细!$B$22:$Y$22,'实盘净值数据(iFinD）'!$B32:$Y32/'实盘净值数据(iFinD）'!$B$25:$Y$25)*(1-实盘持仓初始配置!$Z$9)^(('实盘净值数据(iFinD）'!$A32-'实盘净值数据(iFinD）'!$A$8)/365))</f>
        <v>0.93946694791941554</v>
      </c>
      <c r="R32" s="16">
        <f t="shared" si="2"/>
        <v>-1.840436279664015E-2</v>
      </c>
      <c r="S32" s="16">
        <f>IF(Q32="","",Q32/MAX(Q$5:Q32)-1)</f>
        <v>-6.8693043624378003E-2</v>
      </c>
    </row>
    <row r="33" spans="1:19">
      <c r="A33" s="15">
        <f>IF('实盘净值数据(iFinD）'!A33="","",'实盘净值数据(iFinD）'!A33)</f>
        <v>46232</v>
      </c>
      <c r="B33" s="13">
        <f>IF(OR('实盘净值数据(iFinD）'!$A33="",'实盘净值数据(iFinD）'!$B33=""),"",分期持仓明细!$AB$17*SUMPRODUCT(分期持仓明细!$B$17:$Y$17,'实盘净值数据(iFinD）'!$B33:$Y33/'实盘净值数据(iFinD）'!$B$20:$Y$20)*(1-实盘持仓初始配置!$Z$4)^(('实盘净值数据(iFinD）'!$A33-'实盘净值数据(iFinD）'!$A$6)/365))</f>
        <v>0.75909621549224715</v>
      </c>
      <c r="C33" s="16">
        <f t="shared" si="3"/>
        <v>-1.2484353636284085E-2</v>
      </c>
      <c r="D33" s="16">
        <f>IF(B33="","",B33/MAX(B$5:B33)-1)</f>
        <v>-0.29376406911244035</v>
      </c>
      <c r="E33" s="13">
        <f>IF(OR('实盘净值数据(iFinD）'!$A33="",'实盘净值数据(iFinD）'!$B33=""),"",分期持仓明细!$AB$18*SUMPRODUCT(分期持仓明细!$B$18:$Y$18,'实盘净值数据(iFinD）'!$B33:$Y33/'实盘净值数据(iFinD）'!$B$20:$Y$20)*(1-实盘持仓初始配置!$Z$5)^(('实盘净值数据(iFinD）'!$A33-'实盘净值数据(iFinD）'!$A$5)/365))</f>
        <v>0.77644814898918524</v>
      </c>
      <c r="F33" s="16">
        <f t="shared" si="4"/>
        <v>-1.2480090250778231E-2</v>
      </c>
      <c r="G33" s="16">
        <f>IF(E33="","",E33/MAX(E$5:E33)-1)</f>
        <v>-0.29396915820941338</v>
      </c>
      <c r="H33" s="13">
        <f>IF(OR('实盘净值数据(iFinD）'!$A33="",'实盘净值数据(iFinD）'!$B33=""),"",分期持仓明细!$AB$19*SUMPRODUCT(分期持仓明细!$B$19:$Y$19,'实盘净值数据(iFinD）'!$B33:$Y33/'实盘净值数据(iFinD）'!$B$20:$Y$20)*(1-实盘持仓初始配置!$Z$6)^(('实盘净值数据(iFinD）'!$A33-'实盘净值数据(iFinD）'!$A$7)/365))</f>
        <v>0.80514197361881068</v>
      </c>
      <c r="I33" s="16">
        <f t="shared" si="5"/>
        <v>-1.0049254317972656E-2</v>
      </c>
      <c r="J33" s="16">
        <f>IF(H33="","",H33/MAX(H$5:H33)-1)</f>
        <v>-0.27576043506287284</v>
      </c>
      <c r="K33" s="13">
        <f>IF(OR('实盘净值数据(iFinD）'!$A33="",'实盘净值数据(iFinD）'!$B33=""),"",分期持仓明细!$AB$20*SUMPRODUCT(分期持仓明细!$B$20:$Y$20,'实盘净值数据(iFinD）'!$B33:$Y33/'实盘净值数据(iFinD）'!$B$25:$Y$25)*(1-实盘持仓初始配置!$Z$7)^(('实盘净值数据(iFinD）'!$A33-'实盘净值数据(iFinD）'!$A$8)/365))</f>
        <v>0.98026906419805526</v>
      </c>
      <c r="L33" s="16">
        <f t="shared" si="0"/>
        <v>-4.3802105607859687E-4</v>
      </c>
      <c r="M33" s="16">
        <f>IF(K33="","",K33/MAX(K$5:K33)-1)</f>
        <v>-2.2927909459998674E-2</v>
      </c>
      <c r="N33" s="13">
        <f>IF(OR('实盘净值数据(iFinD）'!$A33="",'实盘净值数据(iFinD）'!$B33=""),"",分期持仓明细!$AB$21*SUMPRODUCT(分期持仓明细!$B$21:$Y$21,'实盘净值数据(iFinD）'!$B33:$Y33/'实盘净值数据(iFinD）'!$B$25:$Y$25)*(1-实盘持仓初始配置!$Z$8)^(('实盘净值数据(iFinD）'!$A33-'实盘净值数据(iFinD）'!$A$5)/365))</f>
        <v>0.9782589797667538</v>
      </c>
      <c r="O33" s="16">
        <f t="shared" si="1"/>
        <v>-5.490863392684231E-4</v>
      </c>
      <c r="P33" s="16">
        <f>IF(N33="","",N33/MAX(N$5:N33)-1)</f>
        <v>-2.4385072436431954E-2</v>
      </c>
      <c r="Q33" s="13">
        <f>IF(OR('实盘净值数据(iFinD）'!$A33="",'实盘净值数据(iFinD）'!$B33=""),"",分期持仓明细!$AB$22*SUMPRODUCT(分期持仓明细!$B$22:$Y$22,'实盘净值数据(iFinD）'!$B33:$Y33/'实盘净值数据(iFinD）'!$B$25:$Y$25)*(1-实盘持仓初始配置!$Z$9)^(('实盘净值数据(iFinD）'!$A33-'实盘净值数据(iFinD）'!$A$8)/365))</f>
        <v>0.93860410362572089</v>
      </c>
      <c r="R33" s="16">
        <f t="shared" si="2"/>
        <v>-9.184402874475861E-4</v>
      </c>
      <c r="S33" s="16">
        <f>IF(Q33="","",Q33/MAX(Q$5:Q33)-1)</f>
        <v>-6.9548393453093604E-2</v>
      </c>
    </row>
    <row r="34" spans="1:19">
      <c r="A34" s="15">
        <f>IF('实盘净值数据(iFinD）'!A34="","",'实盘净值数据(iFinD）'!A34)</f>
        <v>46233</v>
      </c>
      <c r="B34" s="13">
        <f>IF(OR('实盘净值数据(iFinD）'!$A34="",'实盘净值数据(iFinD）'!$B34=""),"",分期持仓明细!$AB$17*SUMPRODUCT(分期持仓明细!$B$17:$Y$17,'实盘净值数据(iFinD）'!$B34:$Y34/'实盘净值数据(iFinD）'!$B$20:$Y$20)*(1-实盘持仓初始配置!$Z$4)^(('实盘净值数据(iFinD）'!$A34-'实盘净值数据(iFinD）'!$A$6)/365))</f>
        <v>0.70197151091105148</v>
      </c>
      <c r="C34" s="16">
        <f t="shared" si="3"/>
        <v>-7.5253575785715565E-2</v>
      </c>
      <c r="D34" s="16">
        <f>IF(B34="","",B34/MAX(B$5:B34)-1)</f>
        <v>-0.34691084826008267</v>
      </c>
      <c r="E34" s="13">
        <f>IF(OR('实盘净值数据(iFinD）'!$A34="",'实盘净值数据(iFinD）'!$B34=""),"",分期持仓明细!$AB$18*SUMPRODUCT(分期持仓明细!$B$18:$Y$18,'实盘净值数据(iFinD）'!$B34:$Y34/'实盘净值数据(iFinD）'!$B$20:$Y$20)*(1-实盘持仓初始配置!$Z$5)^(('实盘净值数据(iFinD）'!$A34-'实盘净值数据(iFinD）'!$A$5)/365))</f>
        <v>0.71793541970282437</v>
      </c>
      <c r="F34" s="16">
        <f t="shared" si="4"/>
        <v>-7.5359480684621838E-2</v>
      </c>
      <c r="G34" s="16">
        <f>IF(E34="","",E34/MAX(E$5:E34)-1)</f>
        <v>-0.34717527579407836</v>
      </c>
      <c r="H34" s="13">
        <f>IF(OR('实盘净值数据(iFinD）'!$A34="",'实盘净值数据(iFinD）'!$B34=""),"",分期持仓明细!$AB$19*SUMPRODUCT(分期持仓明细!$B$19:$Y$19,'实盘净值数据(iFinD）'!$B34:$Y34/'实盘净值数据(iFinD）'!$B$20:$Y$20)*(1-实盘持仓初始配置!$Z$6)^(('实盘净值数据(iFinD）'!$A34-'实盘净值数据(iFinD）'!$A$7)/365))</f>
        <v>0.74787436802830576</v>
      </c>
      <c r="I34" s="16">
        <f t="shared" si="5"/>
        <v>-7.1127338366311355E-2</v>
      </c>
      <c r="J34" s="16">
        <f>IF(H34="","",H34/MAX(H$5:H34)-1)</f>
        <v>-0.32727366765642607</v>
      </c>
      <c r="K34" s="13">
        <f>IF(OR('实盘净值数据(iFinD）'!$A34="",'实盘净值数据(iFinD）'!$B34=""),"",分期持仓明细!$AB$20*SUMPRODUCT(分期持仓明细!$B$20:$Y$20,'实盘净值数据(iFinD）'!$B34:$Y34/'实盘净值数据(iFinD）'!$B$25:$Y$25)*(1-实盘持仓初始配置!$Z$7)^(('实盘净值数据(iFinD）'!$A34-'实盘净值数据(iFinD）'!$A$8)/365))</f>
        <v>0.9761214913199201</v>
      </c>
      <c r="L34" s="16">
        <f t="shared" si="0"/>
        <v>-4.2310555638397362E-3</v>
      </c>
      <c r="M34" s="16">
        <f>IF(K34="","",K34/MAX(K$5:K34)-1)</f>
        <v>-2.7061955764950518E-2</v>
      </c>
      <c r="N34" s="13">
        <f>IF(OR('实盘净值数据(iFinD）'!$A34="",'实盘净值数据(iFinD）'!$B34=""),"",分期持仓明细!$AB$21*SUMPRODUCT(分期持仓明细!$B$21:$Y$21,'实盘净值数据(iFinD）'!$B34:$Y34/'实盘净值数据(iFinD）'!$B$25:$Y$25)*(1-实盘持仓初始配置!$Z$8)^(('实盘净值数据(iFinD）'!$A34-'实盘净值数据(iFinD）'!$A$5)/365))</f>
        <v>0.97390321005734459</v>
      </c>
      <c r="O34" s="16">
        <f t="shared" si="1"/>
        <v>-4.4525731932946178E-3</v>
      </c>
      <c r="P34" s="16">
        <f>IF(N34="","",N34/MAX(N$5:N34)-1)</f>
        <v>-2.8729069309879618E-2</v>
      </c>
      <c r="Q34" s="13">
        <f>IF(OR('实盘净值数据(iFinD）'!$A34="",'实盘净值数据(iFinD）'!$B34=""),"",分期持仓明细!$AB$22*SUMPRODUCT(分期持仓明细!$B$22:$Y$22,'实盘净值数据(iFinD）'!$B34:$Y34/'实盘净值数据(iFinD）'!$B$25:$Y$25)*(1-实盘持仓初始配置!$Z$9)^(('实盘净值数据(iFinD）'!$A34-'实盘净值数据(iFinD）'!$A$8)/365))</f>
        <v>0.92445284206535505</v>
      </c>
      <c r="R34" s="16">
        <f t="shared" si="2"/>
        <v>-1.507692274698258E-2</v>
      </c>
      <c r="S34" s="16">
        <f>IF(Q34="","",Q34/MAX(Q$5:Q34)-1)</f>
        <v>-8.3576740444807229E-2</v>
      </c>
    </row>
    <row r="35" spans="1:19">
      <c r="A35" s="15">
        <f>IF('实盘净值数据(iFinD）'!A35="","",'实盘净值数据(iFinD）'!A35)</f>
        <v>46234</v>
      </c>
      <c r="B35" s="13">
        <f>IF(OR('实盘净值数据(iFinD）'!$A35="",'实盘净值数据(iFinD）'!$B35=""),"",分期持仓明细!$AB$17*SUMPRODUCT(分期持仓明细!$B$17:$Y$17,'实盘净值数据(iFinD）'!$B35:$Y35/'实盘净值数据(iFinD）'!$B$20:$Y$20)*(1-实盘持仓初始配置!$Z$4)^(('实盘净值数据(iFinD）'!$A35-'实盘净值数据(iFinD）'!$A$6)/365))</f>
        <v>0.72624632001160483</v>
      </c>
      <c r="C35" s="16">
        <f t="shared" si="3"/>
        <v>3.4580903531324703E-2</v>
      </c>
      <c r="D35" s="16">
        <f>IF(B35="","",B35/MAX(B$5:B35)-1)</f>
        <v>-0.32432643530640981</v>
      </c>
      <c r="E35" s="13">
        <f>IF(OR('实盘净值数据(iFinD）'!$A35="",'实盘净值数据(iFinD）'!$B35=""),"",分期持仓明细!$AB$18*SUMPRODUCT(分期持仓明细!$B$18:$Y$18,'实盘净值数据(iFinD）'!$B35:$Y35/'实盘净值数据(iFinD）'!$B$20:$Y$20)*(1-实盘持仓初始配置!$Z$5)^(('实盘净值数据(iFinD）'!$A35-'实盘净值数据(iFinD）'!$A$5)/365))</f>
        <v>0.74282726366224527</v>
      </c>
      <c r="F35" s="16">
        <f t="shared" si="4"/>
        <v>3.4671424861200562E-2</v>
      </c>
      <c r="G35" s="16">
        <f>IF(E35="","",E35/MAX(E$5:E35)-1)</f>
        <v>-0.32454091242123884</v>
      </c>
      <c r="H35" s="13">
        <f>IF(OR('实盘净值数据(iFinD）'!$A35="",'实盘净值数据(iFinD）'!$B35=""),"",分期持仓明细!$AB$19*SUMPRODUCT(分期持仓明细!$B$19:$Y$19,'实盘净值数据(iFinD）'!$B35:$Y35/'实盘净值数据(iFinD）'!$B$20:$Y$20)*(1-实盘持仓初始配置!$Z$6)^(('实盘净值数据(iFinD）'!$A35-'实盘净值数据(iFinD）'!$A$7)/365))</f>
        <v>0.77133249538722459</v>
      </c>
      <c r="I35" s="16">
        <f t="shared" si="5"/>
        <v>3.1366401045089587E-2</v>
      </c>
      <c r="J35" s="16">
        <f>IF(H35="","",H35/MAX(H$5:H35)-1)</f>
        <v>-0.30617266372254526</v>
      </c>
      <c r="K35" s="13">
        <f>IF(OR('实盘净值数据(iFinD）'!$A35="",'实盘净值数据(iFinD）'!$B35=""),"",分期持仓明细!$AB$20*SUMPRODUCT(分期持仓明细!$B$20:$Y$20,'实盘净值数据(iFinD）'!$B35:$Y35/'实盘净值数据(iFinD）'!$B$25:$Y$25)*(1-实盘持仓初始配置!$Z$7)^(('实盘净值数据(iFinD）'!$A35-'实盘净值数据(iFinD）'!$A$8)/365))</f>
        <v>0.97927214944896834</v>
      </c>
      <c r="L35" s="16">
        <f t="shared" si="0"/>
        <v>3.2277315447566401E-3</v>
      </c>
      <c r="M35" s="16">
        <f>IF(K35="","",K35/MAX(K$5:K35)-1)</f>
        <v>-2.3921572948479186E-2</v>
      </c>
      <c r="N35" s="13">
        <f>IF(OR('实盘净值数据(iFinD）'!$A35="",'实盘净值数据(iFinD）'!$B35=""),"",分期持仓明细!$AB$21*SUMPRODUCT(分期持仓明细!$B$21:$Y$21,'实盘净值数据(iFinD）'!$B35:$Y35/'实盘净值数据(iFinD）'!$B$25:$Y$25)*(1-实盘持仓初始配置!$Z$8)^(('实盘净值数据(iFinD）'!$A35-'实盘净值数据(iFinD）'!$A$5)/365))</f>
        <v>0.97719837247619623</v>
      </c>
      <c r="O35" s="16">
        <f t="shared" si="1"/>
        <v>3.3834598601001353E-3</v>
      </c>
      <c r="P35" s="16">
        <f>IF(N35="","",N35/MAX(N$5:N35)-1)</f>
        <v>-2.5442813102607542E-2</v>
      </c>
      <c r="Q35" s="13">
        <f>IF(OR('实盘净值数据(iFinD）'!$A35="",'实盘净值数据(iFinD）'!$B35=""),"",分期持仓明细!$AB$22*SUMPRODUCT(分期持仓明细!$B$22:$Y$22,'实盘净值数据(iFinD）'!$B35:$Y35/'实盘净值数据(iFinD）'!$B$25:$Y$25)*(1-实盘持仓初始配置!$Z$9)^(('实盘净值数据(iFinD）'!$A35-'实盘净值数据(iFinD）'!$A$8)/365))</f>
        <v>0.93264826644668219</v>
      </c>
      <c r="R35" s="16">
        <f t="shared" si="2"/>
        <v>8.8651621893631738E-3</v>
      </c>
      <c r="S35" s="16">
        <f>IF(Q35="","",Q35/MAX(Q$5:Q35)-1)</f>
        <v>-7.5452499614745538E-2</v>
      </c>
    </row>
    <row r="36" spans="1:19">
      <c r="A36" s="15">
        <f>IF('实盘净值数据(iFinD）'!A36="","",'实盘净值数据(iFinD）'!A36)</f>
        <v>46237</v>
      </c>
      <c r="B36" s="13">
        <f>IF(OR('实盘净值数据(iFinD）'!$A36="",'实盘净值数据(iFinD）'!$B36=""),"",分期持仓明细!$AB$17*SUMPRODUCT(分期持仓明细!$B$17:$Y$17,'实盘净值数据(iFinD）'!$B36:$Y36/'实盘净值数据(iFinD）'!$B$20:$Y$20)*(1-实盘持仓初始配置!$Z$4)^(('实盘净值数据(iFinD）'!$A36-'实盘净值数据(iFinD）'!$A$6)/365))</f>
        <v>0.6962683081309522</v>
      </c>
      <c r="C36" s="16">
        <f t="shared" si="3"/>
        <v>-4.1278022421061822E-2</v>
      </c>
      <c r="D36" s="16">
        <f>IF(B36="","",B36/MAX(B$5:B36)-1)</f>
        <v>-0.35221690385915061</v>
      </c>
      <c r="E36" s="13">
        <f>IF(OR('实盘净值数据(iFinD）'!$A36="",'实盘净值数据(iFinD）'!$B36=""),"",分期持仓明细!$AB$18*SUMPRODUCT(分期持仓明细!$B$18:$Y$18,'实盘净值数据(iFinD）'!$B36:$Y36/'实盘净值数据(iFinD）'!$B$20:$Y$20)*(1-实盘持仓初始配置!$Z$5)^(('实盘净值数据(iFinD）'!$A36-'实盘净值数据(iFinD）'!$A$5)/365))</f>
        <v>0.71222410579163131</v>
      </c>
      <c r="F36" s="16">
        <f t="shared" si="4"/>
        <v>-4.1198215746331091E-2</v>
      </c>
      <c r="G36" s="16">
        <f>IF(E36="","",E36/MAX(E$5:E36)-1)</f>
        <v>-0.35236862163912863</v>
      </c>
      <c r="H36" s="13">
        <f>IF(OR('实盘净值数据(iFinD）'!$A36="",'实盘净值数据(iFinD）'!$B36=""),"",分期持仓明细!$AB$19*SUMPRODUCT(分期持仓明细!$B$19:$Y$19,'实盘净值数据(iFinD）'!$B36:$Y36/'实盘净值数据(iFinD）'!$B$20:$Y$20)*(1-实盘持仓初始配置!$Z$6)^(('实盘净值数据(iFinD）'!$A36-'实盘净值数据(iFinD）'!$A$7)/365))</f>
        <v>0.73222495499610107</v>
      </c>
      <c r="I36" s="16">
        <f t="shared" si="5"/>
        <v>-5.0701274255910533E-2</v>
      </c>
      <c r="J36" s="16">
        <f>IF(H36="","",H36/MAX(H$5:H36)-1)</f>
        <v>-0.34135059378539634</v>
      </c>
      <c r="K36" s="13">
        <f>IF(OR('实盘净值数据(iFinD）'!$A36="",'实盘净值数据(iFinD）'!$B36=""),"",分期持仓明细!$AB$20*SUMPRODUCT(分期持仓明细!$B$20:$Y$20,'实盘净值数据(iFinD）'!$B36:$Y36/'实盘净值数据(iFinD）'!$B$25:$Y$25)*(1-实盘持仓初始配置!$Z$7)^(('实盘净值数据(iFinD）'!$A36-'实盘净值数据(iFinD）'!$A$8)/365))</f>
        <v>0.97645840479381407</v>
      </c>
      <c r="L36" s="16">
        <f t="shared" si="0"/>
        <v>-2.8733020302247336E-3</v>
      </c>
      <c r="M36" s="16">
        <f>IF(K36="","",K36/MAX(K$5:K36)-1)</f>
        <v>-2.672614107458493E-2</v>
      </c>
      <c r="N36" s="13">
        <f>IF(OR('实盘净值数据(iFinD）'!$A36="",'实盘净值数据(iFinD）'!$B36=""),"",分期持仓明细!$AB$21*SUMPRODUCT(分期持仓明细!$B$21:$Y$21,'实盘净值数据(iFinD）'!$B36:$Y36/'实盘净值数据(iFinD）'!$B$25:$Y$25)*(1-实盘持仓初始配置!$Z$8)^(('实盘净值数据(iFinD）'!$A36-'实盘净值数据(iFinD）'!$A$5)/365))</f>
        <v>0.97483599855662972</v>
      </c>
      <c r="O36" s="16">
        <f t="shared" si="1"/>
        <v>-2.4174967807000236E-3</v>
      </c>
      <c r="P36" s="16">
        <f>IF(N36="","",N36/MAX(N$5:N36)-1)</f>
        <v>-2.7798801964540099E-2</v>
      </c>
      <c r="Q36" s="13">
        <f>IF(OR('实盘净值数据(iFinD）'!$A36="",'实盘净值数据(iFinD）'!$B36=""),"",分期持仓明细!$AB$22*SUMPRODUCT(分期持仓明细!$B$22:$Y$22,'实盘净值数据(iFinD）'!$B36:$Y36/'实盘净值数据(iFinD）'!$B$25:$Y$25)*(1-实盘持仓初始配置!$Z$9)^(('实盘净值数据(iFinD）'!$A36-'实盘净值数据(iFinD）'!$A$8)/365))</f>
        <v>0.92408565948164412</v>
      </c>
      <c r="R36" s="16">
        <f t="shared" si="2"/>
        <v>-9.1809605754814561E-3</v>
      </c>
      <c r="S36" s="16">
        <f>IF(Q36="","",Q36/MAX(Q$5:Q36)-1)</f>
        <v>-8.3940733765942466E-2</v>
      </c>
    </row>
    <row r="37" spans="1:19">
      <c r="A37" s="15">
        <f>IF('实盘净值数据(iFinD）'!A37="","",'实盘净值数据(iFinD）'!A37)</f>
        <v>46238</v>
      </c>
      <c r="B37" s="13">
        <f>IF(OR('实盘净值数据(iFinD）'!$A37="",'实盘净值数据(iFinD）'!$B37=""),"",分期持仓明细!$AB$17*SUMPRODUCT(分期持仓明细!$B$17:$Y$17,'实盘净值数据(iFinD）'!$B37:$Y37/'实盘净值数据(iFinD）'!$B$20:$Y$20)*(1-实盘持仓初始配置!$Z$4)^(('实盘净值数据(iFinD）'!$A37-'实盘净值数据(iFinD）'!$A$6)/365))</f>
        <v>0.74614458366388403</v>
      </c>
      <c r="C37" s="16">
        <f t="shared" si="3"/>
        <v>7.1633700615813867E-2</v>
      </c>
      <c r="D37" s="16">
        <f>IF(B37="","",B37/MAX(B$5:B37)-1)</f>
        <v>-0.30581380348621212</v>
      </c>
      <c r="E37" s="13">
        <f>IF(OR('实盘净值数据(iFinD）'!$A37="",'实盘净值数据(iFinD）'!$B37=""),"",分期持仓明细!$AB$18*SUMPRODUCT(分期持仓明细!$B$18:$Y$18,'实盘净值数据(iFinD）'!$B37:$Y37/'实盘净值数据(iFinD）'!$B$20:$Y$20)*(1-实盘持仓初始配置!$Z$5)^(('实盘净值数据(iFinD）'!$A37-'实盘净值数据(iFinD）'!$A$5)/365))</f>
        <v>0.76336947663905597</v>
      </c>
      <c r="F37" s="16">
        <f t="shared" si="4"/>
        <v>7.1810783195237482E-2</v>
      </c>
      <c r="G37" s="16">
        <f>IF(E37="","",E37/MAX(E$5:E37)-1)</f>
        <v>-0.30586170513722333</v>
      </c>
      <c r="H37" s="13">
        <f>IF(OR('实盘净值数据(iFinD）'!$A37="",'实盘净值数据(iFinD）'!$B37=""),"",分期持仓明细!$AB$19*SUMPRODUCT(分期持仓明细!$B$19:$Y$19,'实盘净值数据(iFinD）'!$B37:$Y37/'实盘净值数据(iFinD）'!$B$20:$Y$20)*(1-实盘持仓初始配置!$Z$6)^(('实盘净值数据(iFinD）'!$A37-'实盘净值数据(iFinD）'!$A$7)/365))</f>
        <v>0.77918745072942763</v>
      </c>
      <c r="I37" s="16">
        <f t="shared" si="5"/>
        <v>6.4136704728366745E-2</v>
      </c>
      <c r="J37" s="16">
        <f>IF(H37="","",H37/MAX(H$5:H37)-1)</f>
        <v>-0.29910699129949625</v>
      </c>
      <c r="K37" s="13">
        <f>IF(OR('实盘净值数据(iFinD）'!$A37="",'实盘净值数据(iFinD）'!$B37=""),"",分期持仓明细!$AB$20*SUMPRODUCT(分期持仓明细!$B$20:$Y$20,'实盘净值数据(iFinD）'!$B37:$Y37/'实盘净值数据(iFinD）'!$B$25:$Y$25)*(1-实盘持仓初始配置!$Z$7)^(('实盘净值数据(iFinD）'!$A37-'实盘净值数据(iFinD）'!$A$8)/365))</f>
        <v>0.9809307866654694</v>
      </c>
      <c r="L37" s="16">
        <f t="shared" si="0"/>
        <v>4.5802072568565944E-3</v>
      </c>
      <c r="M37" s="16">
        <f>IF(K37="","",K37/MAX(K$5:K37)-1)</f>
        <v>-2.2268345083025776E-2</v>
      </c>
      <c r="N37" s="13">
        <f>IF(OR('实盘净值数据(iFinD）'!$A37="",'实盘净值数据(iFinD）'!$B37=""),"",分期持仓明细!$AB$21*SUMPRODUCT(分期持仓明细!$B$21:$Y$21,'实盘净值数据(iFinD）'!$B37:$Y37/'实盘净值数据(iFinD）'!$B$25:$Y$25)*(1-实盘持仓初始配置!$Z$8)^(('实盘净值数据(iFinD）'!$A37-'实盘净值数据(iFinD）'!$A$5)/365))</f>
        <v>0.97968557339554074</v>
      </c>
      <c r="O37" s="16">
        <f t="shared" si="1"/>
        <v>4.9747596991611687E-3</v>
      </c>
      <c r="P37" s="16">
        <f>IF(N37="","",N37/MAX(N$5:N37)-1)</f>
        <v>-2.296233462507713E-2</v>
      </c>
      <c r="Q37" s="13">
        <f>IF(OR('实盘净值数据(iFinD）'!$A37="",'实盘净值数据(iFinD）'!$B37=""),"",分期持仓明细!$AB$22*SUMPRODUCT(分期持仓明细!$B$22:$Y$22,'实盘净值数据(iFinD）'!$B37:$Y37/'实盘净值数据(iFinD）'!$B$25:$Y$25)*(1-实盘持仓初始配置!$Z$9)^(('实盘净值数据(iFinD）'!$A37-'实盘净值数据(iFinD）'!$A$8)/365))</f>
        <v>0.93652463834702993</v>
      </c>
      <c r="R37" s="16">
        <f t="shared" si="2"/>
        <v>1.3460850450123019E-2</v>
      </c>
      <c r="S37" s="16">
        <f>IF(Q37="","",Q37/MAX(Q$5:Q37)-1)</f>
        <v>-7.1609796979716256E-2</v>
      </c>
    </row>
    <row r="38" spans="1:19">
      <c r="A38" s="15">
        <f>IF('实盘净值数据(iFinD）'!A38="","",'实盘净值数据(iFinD）'!A38)</f>
        <v>46239</v>
      </c>
      <c r="B38" s="13">
        <f>IF(OR('实盘净值数据(iFinD）'!$A38="",'实盘净值数据(iFinD）'!$B38=""),"",分期持仓明细!$AB$17*SUMPRODUCT(分期持仓明细!$B$17:$Y$17,'实盘净值数据(iFinD）'!$B38:$Y38/'实盘净值数据(iFinD）'!$B$20:$Y$20)*(1-实盘持仓初始配置!$Z$4)^(('实盘净值数据(iFinD）'!$A38-'实盘净值数据(iFinD）'!$A$6)/365))</f>
        <v>0.77896150349312188</v>
      </c>
      <c r="C38" s="16">
        <f t="shared" si="3"/>
        <v>4.3981984923207484E-2</v>
      </c>
      <c r="D38" s="16">
        <f>IF(B38="","",B38/MAX(B$5:B38)-1)</f>
        <v>-0.27528211665724389</v>
      </c>
      <c r="E38" s="13">
        <f>IF(OR('实盘净值数据(iFinD）'!$A38="",'实盘净值数据(iFinD）'!$B38=""),"",分期持仓明细!$AB$18*SUMPRODUCT(分期持仓明细!$B$18:$Y$18,'实盘净值数据(iFinD）'!$B38:$Y38/'实盘净值数据(iFinD）'!$B$20:$Y$20)*(1-实盘持仓初始配置!$Z$5)^(('实盘净值数据(iFinD）'!$A38-'实盘净值数据(iFinD）'!$A$5)/365))</f>
        <v>0.79692340056760913</v>
      </c>
      <c r="F38" s="16">
        <f t="shared" si="4"/>
        <v>4.3955024343236282E-2</v>
      </c>
      <c r="G38" s="16">
        <f>IF(E38="","",E38/MAX(E$5:E38)-1)</f>
        <v>-0.27535083948895744</v>
      </c>
      <c r="H38" s="13">
        <f>IF(OR('实盘净值数据(iFinD）'!$A38="",'实盘净值数据(iFinD）'!$B38=""),"",分期持仓明细!$AB$19*SUMPRODUCT(分期持仓明细!$B$19:$Y$19,'实盘净值数据(iFinD）'!$B38:$Y38/'实盘净值数据(iFinD）'!$B$20:$Y$20)*(1-实盘持仓初始配置!$Z$6)^(('实盘净值数据(iFinD）'!$A38-'实盘净值数据(iFinD）'!$A$7)/365))</f>
        <v>0.81627637308703827</v>
      </c>
      <c r="I38" s="16">
        <f t="shared" si="5"/>
        <v>4.7599486263401936E-2</v>
      </c>
      <c r="J38" s="16">
        <f>IF(H38="","",H38/MAX(H$5:H38)-1)</f>
        <v>-0.26574484415974209</v>
      </c>
      <c r="K38" s="13">
        <f>IF(OR('实盘净值数据(iFinD）'!$A38="",'实盘净值数据(iFinD）'!$B38=""),"",分期持仓明细!$AB$20*SUMPRODUCT(分期持仓明细!$B$20:$Y$20,'实盘净值数据(iFinD）'!$B38:$Y38/'实盘净值数据(iFinD）'!$B$25:$Y$25)*(1-实盘持仓初始配置!$Z$7)^(('实盘净值数据(iFinD）'!$A38-'实盘净值数据(iFinD）'!$A$8)/365))</f>
        <v>0.98575511215025358</v>
      </c>
      <c r="L38" s="16">
        <f t="shared" si="0"/>
        <v>4.9181099730633004E-3</v>
      </c>
      <c r="M38" s="16">
        <f>IF(K38="","",K38/MAX(K$5:K38)-1)</f>
        <v>-1.7459753279999046E-2</v>
      </c>
      <c r="N38" s="13">
        <f>IF(OR('实盘净值数据(iFinD）'!$A38="",'实盘净值数据(iFinD）'!$B38=""),"",分期持仓明细!$AB$21*SUMPRODUCT(分期持仓明细!$B$21:$Y$21,'实盘净值数据(iFinD）'!$B38:$Y38/'实盘净值数据(iFinD）'!$B$25:$Y$25)*(1-实盘持仓初始配置!$Z$8)^(('实盘净值数据(iFinD）'!$A38-'实盘净值数据(iFinD）'!$A$5)/365))</f>
        <v>0.98435681211622128</v>
      </c>
      <c r="O38" s="16">
        <f t="shared" si="1"/>
        <v>4.7680999368913124E-3</v>
      </c>
      <c r="P38" s="16">
        <f>IF(N38="","",N38/MAX(N$5:N38)-1)</f>
        <v>-1.8303721394462569E-2</v>
      </c>
      <c r="Q38" s="13">
        <f>IF(OR('实盘净值数据(iFinD）'!$A38="",'实盘净值数据(iFinD）'!$B38=""),"",分期持仓明细!$AB$22*SUMPRODUCT(分期持仓明细!$B$22:$Y$22,'实盘净值数据(iFinD）'!$B38:$Y38/'实盘净值数据(iFinD）'!$B$25:$Y$25)*(1-实盘持仓初始配置!$Z$9)^(('实盘净值数据(iFinD）'!$A38-'实盘净值数据(iFinD）'!$A$8)/365))</f>
        <v>0.94971573113282171</v>
      </c>
      <c r="R38" s="16">
        <f t="shared" si="2"/>
        <v>1.4085152964127046E-2</v>
      </c>
      <c r="S38" s="16">
        <f>IF(Q38="","",Q38/MAX(Q$5:Q38)-1)</f>
        <v>-5.8533278959778445E-2</v>
      </c>
    </row>
    <row r="39" spans="1:19">
      <c r="A39" s="15">
        <f>IF('实盘净值数据(iFinD）'!A39="","",'实盘净值数据(iFinD）'!A39)</f>
        <v>46240</v>
      </c>
      <c r="B39" s="13">
        <f>IF(OR('实盘净值数据(iFinD）'!$A39="",'实盘净值数据(iFinD）'!$B39=""),"",分期持仓明细!$AB$17*SUMPRODUCT(分期持仓明细!$B$17:$Y$17,'实盘净值数据(iFinD）'!$B39:$Y39/'实盘净值数据(iFinD）'!$B$20:$Y$20)*(1-实盘持仓初始配置!$Z$4)^(('实盘净值数据(iFinD）'!$A39-'实盘净值数据(iFinD）'!$A$6)/365))</f>
        <v>0.79001227829138299</v>
      </c>
      <c r="C39" s="16">
        <f t="shared" si="3"/>
        <v>1.4186548049814673E-2</v>
      </c>
      <c r="D39" s="16">
        <f>IF(B39="","",B39/MAX(B$5:B39)-1)</f>
        <v>-0.26500087158264185</v>
      </c>
      <c r="E39" s="13">
        <f>IF(OR('实盘净值数据(iFinD）'!$A39="",'实盘净值数据(iFinD）'!$B39=""),"",分期持仓明细!$AB$18*SUMPRODUCT(分期持仓明细!$B$18:$Y$18,'实盘净值数据(iFinD）'!$B39:$Y39/'实盘净值数据(iFinD）'!$B$20:$Y$20)*(1-实盘持仓初始配置!$Z$5)^(('实盘净值数据(iFinD）'!$A39-'实盘净值数据(iFinD）'!$A$5)/365))</f>
        <v>0.80826511012075786</v>
      </c>
      <c r="F39" s="16">
        <f t="shared" si="4"/>
        <v>1.4231869142091513E-2</v>
      </c>
      <c r="G39" s="16">
        <f>IF(E39="","",E39/MAX(E$5:E39)-1)</f>
        <v>-0.26503772746263787</v>
      </c>
      <c r="H39" s="13">
        <f>IF(OR('实盘净值数据(iFinD）'!$A39="",'实盘净值数据(iFinD）'!$B39=""),"",分期持仓明细!$AB$19*SUMPRODUCT(分期持仓明细!$B$19:$Y$19,'实盘净值数据(iFinD）'!$B39:$Y39/'实盘净值数据(iFinD）'!$B$20:$Y$20)*(1-实盘持仓初始配置!$Z$6)^(('实盘净值数据(iFinD）'!$A39-'实盘净值数据(iFinD）'!$A$7)/365))</f>
        <v>0.82647704725758364</v>
      </c>
      <c r="I39" s="16">
        <f t="shared" si="5"/>
        <v>1.249659368672873E-2</v>
      </c>
      <c r="J39" s="16">
        <f>IF(H39="","",H39/MAX(H$5:H39)-1)</f>
        <v>-0.25656915581482065</v>
      </c>
      <c r="K39" s="13">
        <f>IF(OR('实盘净值数据(iFinD）'!$A39="",'实盘净值数据(iFinD）'!$B39=""),"",分期持仓明细!$AB$20*SUMPRODUCT(分期持仓明细!$B$20:$Y$20,'实盘净值数据(iFinD）'!$B39:$Y39/'实盘净值数据(iFinD）'!$B$25:$Y$25)*(1-实盘持仓初始配置!$Z$7)^(('实盘净值数据(iFinD）'!$A39-'实盘净值数据(iFinD）'!$A$8)/365))</f>
        <v>0.98807991531029082</v>
      </c>
      <c r="L39" s="16">
        <f t="shared" si="0"/>
        <v>2.358398279026952E-3</v>
      </c>
      <c r="M39" s="16">
        <f>IF(K39="","",K39/MAX(K$5:K39)-1)</f>
        <v>-1.5142532053059821E-2</v>
      </c>
      <c r="N39" s="13">
        <f>IF(OR('实盘净值数据(iFinD）'!$A39="",'实盘净值数据(iFinD）'!$B39=""),"",分期持仓明细!$AB$21*SUMPRODUCT(分期持仓明细!$B$21:$Y$21,'实盘净值数据(iFinD）'!$B39:$Y39/'实盘净值数据(iFinD）'!$B$25:$Y$25)*(1-实盘持仓初始配置!$Z$8)^(('实盘净值数据(iFinD）'!$A39-'实盘净值数据(iFinD）'!$A$5)/365))</f>
        <v>0.98673128064354332</v>
      </c>
      <c r="O39" s="16">
        <f t="shared" si="1"/>
        <v>2.4122030732101063E-3</v>
      </c>
      <c r="P39" s="16">
        <f>IF(N39="","",N39/MAX(N$5:N39)-1)</f>
        <v>-1.5935670614251385E-2</v>
      </c>
      <c r="Q39" s="13">
        <f>IF(OR('实盘净值数据(iFinD）'!$A39="",'实盘净值数据(iFinD）'!$B39=""),"",分期持仓明细!$AB$22*SUMPRODUCT(分期持仓明细!$B$22:$Y$22,'实盘净值数据(iFinD）'!$B39:$Y39/'实盘净值数据(iFinD）'!$B$25:$Y$25)*(1-实盘持仓初始配置!$Z$9)^(('实盘净值数据(iFinD）'!$A39-'实盘净值数据(iFinD）'!$A$8)/365))</f>
        <v>0.95513401394071007</v>
      </c>
      <c r="R39" s="16">
        <f t="shared" si="2"/>
        <v>5.7051627453041931E-3</v>
      </c>
      <c r="S39" s="16">
        <f>IF(Q39="","",Q39/MAX(Q$5:Q39)-1)</f>
        <v>-5.3162058096956066E-2</v>
      </c>
    </row>
    <row r="40" spans="1:19">
      <c r="A40" s="15">
        <f>IF('实盘净值数据(iFinD）'!A40="","",'实盘净值数据(iFinD）'!A40)</f>
        <v>46241</v>
      </c>
      <c r="B40" s="13">
        <f>IF(OR('实盘净值数据(iFinD）'!$A40="",'实盘净值数据(iFinD）'!$B40=""),"",分期持仓明细!$AB$17*SUMPRODUCT(分期持仓明细!$B$17:$Y$17,'实盘净值数据(iFinD）'!$B40:$Y40/'实盘净值数据(iFinD）'!$B$20:$Y$20)*(1-实盘持仓初始配置!$Z$4)^(('实盘净值数据(iFinD）'!$A40-'实盘净值数据(iFinD）'!$A$6)/365))</f>
        <v>0.81131379383137059</v>
      </c>
      <c r="C40" s="16">
        <f t="shared" si="3"/>
        <v>2.6963524650601478E-2</v>
      </c>
      <c r="D40" s="16">
        <f>IF(B40="","",B40/MAX(B$5:B40)-1)</f>
        <v>-0.24518270446538981</v>
      </c>
      <c r="E40" s="13">
        <f>IF(OR('实盘净值数据(iFinD）'!$A40="",'实盘净值数据(iFinD）'!$B40=""),"",分期持仓明细!$AB$18*SUMPRODUCT(分期持仓明细!$B$18:$Y$18,'实盘净值数据(iFinD）'!$B40:$Y40/'实盘净值数据(iFinD）'!$B$20:$Y$20)*(1-实盘持仓初始配置!$Z$5)^(('实盘净值数据(iFinD）'!$A40-'实盘净值数据(iFinD）'!$A$5)/365))</f>
        <v>0.83008467669236141</v>
      </c>
      <c r="F40" s="16">
        <f t="shared" si="4"/>
        <v>2.699555665386022E-2</v>
      </c>
      <c r="G40" s="16">
        <f>IF(E40="","",E40/MAX(E$5:E40)-1)</f>
        <v>-0.24519701179590569</v>
      </c>
      <c r="H40" s="13">
        <f>IF(OR('实盘净值数据(iFinD）'!$A40="",'实盘净值数据(iFinD）'!$B40=""),"",分期持仓明细!$AB$19*SUMPRODUCT(分期持仓明细!$B$19:$Y$19,'实盘净值数据(iFinD）'!$B40:$Y40/'实盘净值数据(iFinD）'!$B$20:$Y$20)*(1-实盘持仓初始配置!$Z$6)^(('实盘净值数据(iFinD）'!$A40-'实盘净值数据(iFinD）'!$A$7)/365))</f>
        <v>0.84783459383647197</v>
      </c>
      <c r="I40" s="16">
        <f t="shared" si="5"/>
        <v>2.5841669347935303E-2</v>
      </c>
      <c r="J40" s="16">
        <f>IF(H40="","",H40/MAX(H$5:H40)-1)</f>
        <v>-0.23735766175633088</v>
      </c>
      <c r="K40" s="13">
        <f>IF(OR('实盘净值数据(iFinD）'!$A40="",'实盘净值数据(iFinD）'!$B40=""),"",分期持仓明细!$AB$20*SUMPRODUCT(分期持仓明细!$B$20:$Y$20,'实盘净值数据(iFinD）'!$B40:$Y40/'实盘净值数据(iFinD）'!$B$25:$Y$25)*(1-实盘持仓初始配置!$Z$7)^(('实盘净值数据(iFinD）'!$A40-'实盘净值数据(iFinD）'!$A$8)/365))</f>
        <v>0.99118243223928182</v>
      </c>
      <c r="L40" s="16">
        <f t="shared" si="0"/>
        <v>3.139945343405337E-3</v>
      </c>
      <c r="M40" s="16">
        <f>IF(K40="","",K40/MAX(K$5:K40)-1)</f>
        <v>-1.2050133432661703E-2</v>
      </c>
      <c r="N40" s="13">
        <f>IF(OR('实盘净值数据(iFinD）'!$A40="",'实盘净值数据(iFinD）'!$B40=""),"",分期持仓明细!$AB$21*SUMPRODUCT(分期持仓明细!$B$21:$Y$21,'实盘净值数据(iFinD）'!$B40:$Y40/'实盘净值数据(iFinD）'!$B$25:$Y$25)*(1-实盘持仓初始配置!$Z$8)^(('实盘净值数据(iFinD）'!$A40-'实盘净值数据(iFinD）'!$A$5)/365))</f>
        <v>0.98991772635449637</v>
      </c>
      <c r="O40" s="16">
        <f t="shared" si="1"/>
        <v>3.2292943108835903E-3</v>
      </c>
      <c r="P40" s="16">
        <f>IF(N40="","",N40/MAX(N$5:N40)-1)</f>
        <v>-1.2757837273822514E-2</v>
      </c>
      <c r="Q40" s="13">
        <f>IF(OR('实盘净值数据(iFinD）'!$A40="",'实盘净值数据(iFinD）'!$B40=""),"",分期持仓明细!$AB$22*SUMPRODUCT(分期持仓明细!$B$22:$Y$22,'实盘净值数据(iFinD）'!$B40:$Y40/'实盘净值数据(iFinD）'!$B$25:$Y$25)*(1-实盘持仓初始配置!$Z$9)^(('实盘净值数据(iFinD）'!$A40-'实盘净值数据(iFinD）'!$A$8)/365))</f>
        <v>0.96277386059938297</v>
      </c>
      <c r="R40" s="16">
        <f t="shared" si="2"/>
        <v>7.9987169833395377E-3</v>
      </c>
      <c r="S40" s="16">
        <f>IF(Q40="","",Q40/MAX(Q$5:Q40)-1)</f>
        <v>-4.5588569370585863E-2</v>
      </c>
    </row>
    <row r="41" spans="1:19">
      <c r="A41" s="15">
        <f>IF('实盘净值数据(iFinD）'!A41="","",'实盘净值数据(iFinD）'!A41)</f>
        <v>46244</v>
      </c>
      <c r="B41" s="13">
        <f>IF(OR('实盘净值数据(iFinD）'!$A41="",'实盘净值数据(iFinD）'!$B41=""),"",分期持仓明细!$AB$17*SUMPRODUCT(分期持仓明细!$B$17:$Y$17,'实盘净值数据(iFinD）'!$B41:$Y41/'实盘净值数据(iFinD）'!$B$20:$Y$20)*(1-实盘持仓初始配置!$Z$4)^(('实盘净值数据(iFinD）'!$A41-'实盘净值数据(iFinD）'!$A$6)/365))</f>
        <v>0.81333484775718323</v>
      </c>
      <c r="C41" s="16">
        <f t="shared" si="3"/>
        <v>2.4910878394761582E-3</v>
      </c>
      <c r="D41" s="16">
        <f>IF(B41="","",B41/MAX(B$5:B41)-1)</f>
        <v>-0.24330238827945716</v>
      </c>
      <c r="E41" s="13">
        <f>IF(OR('实盘净值数据(iFinD）'!$A41="",'实盘净值数据(iFinD）'!$B41=""),"",分期持仓明细!$AB$18*SUMPRODUCT(分期持仓明细!$B$18:$Y$18,'实盘净值数据(iFinD）'!$B41:$Y41/'实盘净值数据(iFinD）'!$B$20:$Y$20)*(1-实盘持仓初始配置!$Z$5)^(('实盘净值数据(iFinD）'!$A41-'实盘净值数据(iFinD）'!$A$5)/365))</f>
        <v>0.83211163195446736</v>
      </c>
      <c r="F41" s="16">
        <f t="shared" si="4"/>
        <v>2.4418656542157802E-3</v>
      </c>
      <c r="G41" s="16">
        <f>IF(E41="","",E41/MAX(E$5:E41)-1)</f>
        <v>-0.24335388430331062</v>
      </c>
      <c r="H41" s="13">
        <f>IF(OR('实盘净值数据(iFinD）'!$A41="",'实盘净值数据(iFinD）'!$B41=""),"",分期持仓明细!$AB$19*SUMPRODUCT(分期持仓明细!$B$19:$Y$19,'实盘净值数据(iFinD）'!$B41:$Y41/'实盘净值数据(iFinD）'!$B$20:$Y$20)*(1-实盘持仓初始配置!$Z$6)^(('实盘净值数据(iFinD）'!$A41-'实盘净值数据(iFinD）'!$A$7)/365))</f>
        <v>0.85249753265663131</v>
      </c>
      <c r="I41" s="16">
        <f t="shared" si="5"/>
        <v>5.4998213732462276E-3</v>
      </c>
      <c r="J41" s="16">
        <f>IF(H41="","",H41/MAX(H$5:H41)-1)</f>
        <v>-0.23316326512431584</v>
      </c>
      <c r="K41" s="13">
        <f>IF(OR('实盘净值数据(iFinD）'!$A41="",'实盘净值数据(iFinD）'!$B41=""),"",分期持仓明细!$AB$20*SUMPRODUCT(分期持仓明细!$B$20:$Y$20,'实盘净值数据(iFinD）'!$B41:$Y41/'实盘净值数据(iFinD）'!$B$25:$Y$25)*(1-实盘持仓初始配置!$Z$7)^(('实盘净值数据(iFinD）'!$A41-'实盘净值数据(iFinD）'!$A$8)/365))</f>
        <v>0.99340887946259904</v>
      </c>
      <c r="L41" s="16">
        <f t="shared" si="0"/>
        <v>2.246253717680613E-3</v>
      </c>
      <c r="M41" s="16">
        <f>IF(K41="","",K41/MAX(K$5:K41)-1)</f>
        <v>-9.8309473720027407E-3</v>
      </c>
      <c r="N41" s="13">
        <f>IF(OR('实盘净值数据(iFinD）'!$A41="",'实盘净值数据(iFinD）'!$B41=""),"",分期持仓明细!$AB$21*SUMPRODUCT(分期持仓明细!$B$21:$Y$21,'实盘净值数据(iFinD）'!$B41:$Y41/'实盘净值数据(iFinD）'!$B$25:$Y$25)*(1-实盘持仓初始配置!$Z$8)^(('实盘净值数据(iFinD）'!$A41-'实盘净值数据(iFinD）'!$A$5)/365))</f>
        <v>0.9919944749306091</v>
      </c>
      <c r="O41" s="16">
        <f t="shared" si="1"/>
        <v>2.0979001798064889E-3</v>
      </c>
      <c r="P41" s="16">
        <f>IF(N41="","",N41/MAX(N$5:N41)-1)</f>
        <v>-1.0686701763126694E-2</v>
      </c>
      <c r="Q41" s="13">
        <f>IF(OR('实盘净值数据(iFinD）'!$A41="",'实盘净值数据(iFinD）'!$B41=""),"",分期持仓明细!$AB$22*SUMPRODUCT(分期持仓明细!$B$22:$Y$22,'实盘净值数据(iFinD）'!$B41:$Y41/'实盘净值数据(iFinD）'!$B$25:$Y$25)*(1-实盘持仓初始配置!$Z$9)^(('实盘净值数据(iFinD）'!$A41-'实盘净值数据(iFinD）'!$A$8)/365))</f>
        <v>0.96690387122170962</v>
      </c>
      <c r="R41" s="16">
        <f t="shared" si="2"/>
        <v>4.2896995767578439E-3</v>
      </c>
      <c r="S41" s="16">
        <f>IF(Q41="","",Q41/MAX(Q$5:Q41)-1)</f>
        <v>-4.1494431060562054E-2</v>
      </c>
    </row>
    <row r="42" spans="1:19">
      <c r="A42" s="15">
        <f>IF('实盘净值数据(iFinD）'!A42="","",'实盘净值数据(iFinD）'!A42)</f>
        <v>46245</v>
      </c>
      <c r="B42" s="13">
        <f>IF(OR('实盘净值数据(iFinD）'!$A42="",'实盘净值数据(iFinD）'!$B42=""),"",分期持仓明细!$AB$17*SUMPRODUCT(分期持仓明细!$B$17:$Y$17,'实盘净值数据(iFinD）'!$B42:$Y42/'实盘净值数据(iFinD）'!$B$20:$Y$20)*(1-实盘持仓初始配置!$Z$4)^(('实盘净值数据(iFinD）'!$A42-'实盘净值数据(iFinD）'!$A$6)/365))</f>
        <v>0.80390380258733718</v>
      </c>
      <c r="C42" s="16">
        <f t="shared" si="3"/>
        <v>-1.1595525749145907E-2</v>
      </c>
      <c r="D42" s="16">
        <f>IF(B42="","",B42/MAX(B$5:B42)-1)</f>
        <v>-0.2520766949204799</v>
      </c>
      <c r="E42" s="13">
        <f>IF(OR('实盘净值数据(iFinD）'!$A42="",'实盘净值数据(iFinD）'!$B42=""),"",分期持仓明细!$AB$18*SUMPRODUCT(分期持仓明细!$B$18:$Y$18,'实盘净值数据(iFinD）'!$B42:$Y42/'实盘净值数据(iFinD）'!$B$20:$Y$20)*(1-实盘持仓初始配置!$Z$5)^(('实盘净值数据(iFinD）'!$A42-'实盘净值数据(iFinD）'!$A$5)/365))</f>
        <v>0.82249407267954855</v>
      </c>
      <c r="F42" s="16">
        <f t="shared" si="4"/>
        <v>-1.1558015662308518E-2</v>
      </c>
      <c r="G42" s="16">
        <f>IF(E42="","",E42/MAX(E$5:E42)-1)</f>
        <v>-0.25209921195935781</v>
      </c>
      <c r="H42" s="13">
        <f>IF(OR('实盘净值数据(iFinD）'!$A42="",'实盘净值数据(iFinD）'!$B42=""),"",分期持仓明细!$AB$19*SUMPRODUCT(分期持仓明细!$B$19:$Y$19,'实盘净值数据(iFinD）'!$B42:$Y42/'实盘净值数据(iFinD）'!$B$20:$Y$20)*(1-实盘持仓初始配置!$Z$6)^(('实盘净值数据(iFinD）'!$A42-'实盘净值数据(iFinD）'!$A$7)/365))</f>
        <v>0.84046441743138178</v>
      </c>
      <c r="I42" s="16">
        <f t="shared" si="5"/>
        <v>-1.4115132025955379E-2</v>
      </c>
      <c r="J42" s="16">
        <f>IF(H42="","",H42/MAX(H$5:H42)-1)</f>
        <v>-0.24398726687943861</v>
      </c>
      <c r="K42" s="13">
        <f>IF(OR('实盘净值数据(iFinD）'!$A42="",'实盘净值数据(iFinD）'!$B42=""),"",分期持仓明细!$AB$20*SUMPRODUCT(分期持仓明细!$B$20:$Y$20,'实盘净值数据(iFinD）'!$B42:$Y42/'实盘净值数据(iFinD）'!$B$25:$Y$25)*(1-实盘持仓初始配置!$Z$7)^(('实盘净值数据(iFinD）'!$A42-'实盘净值数据(iFinD）'!$A$8)/365))</f>
        <v>0.99204013612030795</v>
      </c>
      <c r="L42" s="16">
        <f t="shared" si="0"/>
        <v>-1.3778247513063224E-3</v>
      </c>
      <c r="M42" s="16">
        <f>IF(K42="","",K42/MAX(K$5:K42)-1)</f>
        <v>-1.1195226800691183E-2</v>
      </c>
      <c r="N42" s="13">
        <f>IF(OR('实盘净值数据(iFinD）'!$A42="",'实盘净值数据(iFinD）'!$B42=""),"",分期持仓明细!$AB$21*SUMPRODUCT(分期持仓明细!$B$21:$Y$21,'实盘净值数据(iFinD）'!$B42:$Y42/'实盘净值数据(iFinD）'!$B$25:$Y$25)*(1-实盘持仓初始配置!$Z$8)^(('实盘净值数据(iFinD）'!$A42-'实盘净值数据(iFinD）'!$A$5)/365))</f>
        <v>0.99073929663758642</v>
      </c>
      <c r="O42" s="16">
        <f t="shared" si="1"/>
        <v>-1.2653077459030548E-3</v>
      </c>
      <c r="P42" s="16">
        <f>IF(N42="","",N42/MAX(N$5:N42)-1)</f>
        <v>-1.1938487542510701E-2</v>
      </c>
      <c r="Q42" s="13">
        <f>IF(OR('实盘净值数据(iFinD）'!$A42="",'实盘净值数据(iFinD）'!$B42=""),"",分期持仓明细!$AB$22*SUMPRODUCT(分期持仓明细!$B$22:$Y$22,'实盘净值数据(iFinD）'!$B42:$Y42/'实盘净值数据(iFinD）'!$B$25:$Y$25)*(1-实盘持仓初始配置!$Z$9)^(('实盘净值数据(iFinD）'!$A42-'实盘净值数据(iFinD）'!$A$8)/365))</f>
        <v>0.9636551856543506</v>
      </c>
      <c r="R42" s="16">
        <f t="shared" si="2"/>
        <v>-3.3598847455789116E-3</v>
      </c>
      <c r="S42" s="16">
        <f>IF(Q42="","",Q42/MAX(Q$5:Q42)-1)</f>
        <v>-4.4714899300194122E-2</v>
      </c>
    </row>
    <row r="43" spans="1:19">
      <c r="A43" s="15">
        <f>IF('实盘净值数据(iFinD）'!A43="","",'实盘净值数据(iFinD）'!A43)</f>
        <v>46246</v>
      </c>
      <c r="B43" s="13">
        <f>IF(OR('实盘净值数据(iFinD）'!$A43="",'实盘净值数据(iFinD）'!$B43=""),"",分期持仓明细!$AB$17*SUMPRODUCT(分期持仓明细!$B$17:$Y$17,'实盘净值数据(iFinD）'!$B43:$Y43/'实盘净值数据(iFinD）'!$B$20:$Y$20)*(1-实盘持仓初始配置!$Z$4)^(('实盘净值数据(iFinD）'!$A43-'实盘净值数据(iFinD）'!$A$6)/365))</f>
        <v>0.82830533304129883</v>
      </c>
      <c r="C43" s="16">
        <f t="shared" si="3"/>
        <v>3.0353794042802251E-2</v>
      </c>
      <c r="D43" s="16">
        <f>IF(B43="","",B43/MAX(B$5:B43)-1)</f>
        <v>-0.22937438495828422</v>
      </c>
      <c r="E43" s="13">
        <f>IF(OR('实盘净值数据(iFinD）'!$A43="",'实盘净值数据(iFinD）'!$B43=""),"",分期持仓明细!$AB$18*SUMPRODUCT(分期持仓明细!$B$18:$Y$18,'实盘净值数据(iFinD）'!$B43:$Y43/'实盘净值数据(iFinD）'!$B$20:$Y$20)*(1-实盘持仓初始配置!$Z$5)^(('实盘净值数据(iFinD）'!$A43-'实盘净值数据(iFinD）'!$A$5)/365))</f>
        <v>0.84749604001398571</v>
      </c>
      <c r="F43" s="16">
        <f t="shared" si="4"/>
        <v>3.0397747734503433E-2</v>
      </c>
      <c r="G43" s="16">
        <f>IF(E43="","",E43/MAX(E$5:E43)-1)</f>
        <v>-0.22936471247406209</v>
      </c>
      <c r="H43" s="13">
        <f>IF(OR('实盘净值数据(iFinD）'!$A43="",'实盘净值数据(iFinD）'!$B43=""),"",分期持仓明细!$AB$19*SUMPRODUCT(分期持仓明细!$B$19:$Y$19,'实盘净值数据(iFinD）'!$B43:$Y43/'实盘净值数据(iFinD）'!$B$20:$Y$20)*(1-实盘持仓初始配置!$Z$6)^(('实盘净值数据(iFinD）'!$A43-'实盘净值数据(iFinD）'!$A$7)/365))</f>
        <v>0.86079932414595484</v>
      </c>
      <c r="I43" s="16">
        <f t="shared" si="5"/>
        <v>2.4194845484024619E-2</v>
      </c>
      <c r="J43" s="16">
        <f>IF(H43="","",H43/MAX(H$5:H43)-1)</f>
        <v>-0.2256956556176315</v>
      </c>
      <c r="K43" s="13">
        <f>IF(OR('实盘净值数据(iFinD）'!$A43="",'实盘净值数据(iFinD）'!$B43=""),"",分期持仓明细!$AB$20*SUMPRODUCT(分期持仓明细!$B$20:$Y$20,'实盘净值数据(iFinD）'!$B43:$Y43/'实盘净值数据(iFinD）'!$B$25:$Y$25)*(1-实盘持仓初始配置!$Z$7)^(('实盘净值数据(iFinD）'!$A43-'实盘净值数据(iFinD）'!$A$8)/365))</f>
        <v>0.99444411358789253</v>
      </c>
      <c r="L43" s="16">
        <f t="shared" si="0"/>
        <v>2.4232663377774522E-3</v>
      </c>
      <c r="M43" s="16">
        <f>IF(K43="","",K43/MAX(K$5:K43)-1)</f>
        <v>-8.7990894791635244E-3</v>
      </c>
      <c r="N43" s="13">
        <f>IF(OR('实盘净值数据(iFinD）'!$A43="",'实盘净值数据(iFinD）'!$B43=""),"",分期持仓明细!$AB$21*SUMPRODUCT(分期持仓明细!$B$21:$Y$21,'实盘净值数据(iFinD）'!$B43:$Y43/'实盘净值数据(iFinD）'!$B$25:$Y$25)*(1-实盘持仓初始配置!$Z$8)^(('实盘净值数据(iFinD）'!$A43-'实盘净值数据(iFinD）'!$A$5)/365))</f>
        <v>0.99347449449349057</v>
      </c>
      <c r="O43" s="16">
        <f t="shared" si="1"/>
        <v>2.7607644767770889E-3</v>
      </c>
      <c r="P43" s="16">
        <f>IF(N43="","",N43/MAX(N$5:N43)-1)</f>
        <v>-9.2106824180474556E-3</v>
      </c>
      <c r="Q43" s="13">
        <f>IF(OR('实盘净值数据(iFinD）'!$A43="",'实盘净值数据(iFinD）'!$B43=""),"",分期持仓明细!$AB$22*SUMPRODUCT(分期持仓明细!$B$22:$Y$22,'实盘净值数据(iFinD）'!$B43:$Y43/'实盘净值数据(iFinD）'!$B$25:$Y$25)*(1-实盘持仓初始配置!$Z$9)^(('实盘净值数据(iFinD）'!$A43-'实盘净值数据(iFinD）'!$A$8)/365))</f>
        <v>0.97013061127071021</v>
      </c>
      <c r="R43" s="16">
        <f t="shared" si="2"/>
        <v>6.7196500498907241E-3</v>
      </c>
      <c r="S43" s="16">
        <f>IF(Q43="","",Q43/MAX(Q$5:Q43)-1)</f>
        <v>-3.8295717725616907E-2</v>
      </c>
    </row>
    <row r="44" spans="1:19">
      <c r="A44" s="15">
        <f>IF('实盘净值数据(iFinD）'!A44="","",'实盘净值数据(iFinD）'!A44)</f>
        <v>46247</v>
      </c>
      <c r="B44" s="13">
        <f>IF(OR('实盘净值数据(iFinD）'!$A44="",'实盘净值数据(iFinD）'!$B44=""),"",分期持仓明细!$AB$17*SUMPRODUCT(分期持仓明细!$B$17:$Y$17,'实盘净值数据(iFinD）'!$B44:$Y44/'实盘净值数据(iFinD）'!$B$20:$Y$20)*(1-实盘持仓初始配置!$Z$4)^(('实盘净值数据(iFinD）'!$A44-'实盘净值数据(iFinD）'!$A$6)/365))</f>
        <v>0.82438313522875573</v>
      </c>
      <c r="C44" s="16">
        <f t="shared" si="3"/>
        <v>-4.7352077260469638E-3</v>
      </c>
      <c r="D44" s="16">
        <f>IF(B44="","",B44/MAX(B$5:B44)-1)</f>
        <v>-0.23302345732451946</v>
      </c>
      <c r="E44" s="13">
        <f>IF(OR('实盘净值数据(iFinD）'!$A44="",'实盘净值数据(iFinD）'!$B44=""),"",分期持仓明细!$AB$18*SUMPRODUCT(分期持仓明细!$B$18:$Y$18,'实盘净值数据(iFinD）'!$B44:$Y44/'实盘净值数据(iFinD）'!$B$20:$Y$20)*(1-实盘持仓初始配置!$Z$5)^(('实盘净值数据(iFinD）'!$A44-'实盘净值数据(iFinD）'!$A$5)/365))</f>
        <v>0.84350945139145028</v>
      </c>
      <c r="F44" s="16">
        <f t="shared" si="4"/>
        <v>-4.7039613571169259E-3</v>
      </c>
      <c r="G44" s="16">
        <f>IF(E44="","",E44/MAX(E$5:E44)-1)</f>
        <v>-0.23298975108701481</v>
      </c>
      <c r="H44" s="13">
        <f>IF(OR('实盘净值数据(iFinD）'!$A44="",'实盘净值数据(iFinD）'!$B44=""),"",分期持仓明细!$AB$19*SUMPRODUCT(分期持仓明细!$B$19:$Y$19,'实盘净值数据(iFinD）'!$B44:$Y44/'实盘净值数据(iFinD）'!$B$20:$Y$20)*(1-实盘持仓初始配置!$Z$6)^(('实盘净值数据(iFinD）'!$A44-'实盘净值数据(iFinD）'!$A$7)/365))</f>
        <v>0.85324518033636265</v>
      </c>
      <c r="I44" s="16">
        <f t="shared" si="5"/>
        <v>-8.7757315760987886E-3</v>
      </c>
      <c r="J44" s="16">
        <f>IF(H44="","",H44/MAX(H$5:H44)-1)</f>
        <v>-0.23249074270213832</v>
      </c>
      <c r="K44" s="13">
        <f>IF(OR('实盘净值数据(iFinD）'!$A44="",'实盘净值数据(iFinD）'!$B44=""),"",分期持仓明细!$AB$20*SUMPRODUCT(分期持仓明细!$B$20:$Y$20,'实盘净值数据(iFinD）'!$B44:$Y44/'实盘净值数据(iFinD）'!$B$25:$Y$25)*(1-实盘持仓初始配置!$Z$7)^(('实盘净值数据(iFinD）'!$A44-'实盘净值数据(iFinD）'!$A$8)/365))</f>
        <v>0.99374808320021091</v>
      </c>
      <c r="L44" s="16">
        <f t="shared" si="0"/>
        <v>-6.9991905846811253E-4</v>
      </c>
      <c r="M44" s="16">
        <f>IF(K44="","",K44/MAX(K$5:K44)-1)</f>
        <v>-9.4928498872081102E-3</v>
      </c>
      <c r="N44" s="13">
        <f>IF(OR('实盘净值数据(iFinD）'!$A44="",'实盘净值数据(iFinD）'!$B44=""),"",分期持仓明细!$AB$21*SUMPRODUCT(分期持仓明细!$B$21:$Y$21,'实盘净值数据(iFinD）'!$B44:$Y44/'实盘净值数据(iFinD）'!$B$25:$Y$25)*(1-实盘持仓初始配置!$Z$8)^(('实盘净值数据(iFinD）'!$A44-'实盘净值数据(iFinD）'!$A$5)/365))</f>
        <v>0.99299759081711703</v>
      </c>
      <c r="O44" s="16">
        <f t="shared" si="1"/>
        <v>-4.8003615494596197E-4</v>
      </c>
      <c r="P44" s="16">
        <f>IF(N44="","",N44/MAX(N$5:N44)-1)</f>
        <v>-9.6862971124209718E-3</v>
      </c>
      <c r="Q44" s="13">
        <f>IF(OR('实盘净值数据(iFinD）'!$A44="",'实盘净值数据(iFinD）'!$B44=""),"",分期持仓明细!$AB$22*SUMPRODUCT(分期持仓明细!$B$22:$Y$22,'实盘净值数据(iFinD）'!$B44:$Y44/'实盘净值数据(iFinD）'!$B$25:$Y$25)*(1-实盘持仓初始配置!$Z$9)^(('实盘净值数据(iFinD）'!$A44-'实盘净值数据(iFinD）'!$A$8)/365))</f>
        <v>0.96690757815179629</v>
      </c>
      <c r="R44" s="16">
        <f t="shared" si="2"/>
        <v>-3.3222672096618888E-3</v>
      </c>
      <c r="S44" s="16">
        <f>IF(Q44="","",Q44/MAX(Q$5:Q44)-1)</f>
        <v>-4.1490756328008471E-2</v>
      </c>
    </row>
    <row r="45" spans="1:19">
      <c r="A45" s="15">
        <f>IF('实盘净值数据(iFinD）'!A45="","",'实盘净值数据(iFinD）'!A45)</f>
        <v>46248</v>
      </c>
      <c r="B45" s="13">
        <f>IF(OR('实盘净值数据(iFinD）'!$A45="",'实盘净值数据(iFinD）'!$B45=""),"",分期持仓明细!$AB$17*SUMPRODUCT(分期持仓明细!$B$17:$Y$17,'实盘净值数据(iFinD）'!$B45:$Y45/'实盘净值数据(iFinD）'!$B$20:$Y$20)*(1-实盘持仓初始配置!$Z$4)^(('实盘净值数据(iFinD）'!$A45-'实盘净值数据(iFinD）'!$A$6)/365))</f>
        <v>0.83551715435720697</v>
      </c>
      <c r="C45" s="16">
        <f t="shared" si="3"/>
        <v>1.3505879308607804E-2</v>
      </c>
      <c r="D45" s="16">
        <f>IF(B45="","",B45/MAX(B$5:B45)-1)</f>
        <v>-0.22266476470661112</v>
      </c>
      <c r="E45" s="13">
        <f>IF(OR('实盘净值数据(iFinD）'!$A45="",'实盘净值数据(iFinD）'!$B45=""),"",分期持仓明细!$AB$18*SUMPRODUCT(分期持仓明细!$B$18:$Y$18,'实盘净值数据(iFinD）'!$B45:$Y45/'实盘净值数据(iFinD）'!$B$20:$Y$20)*(1-实盘持仓初始配置!$Z$5)^(('实盘净值数据(iFinD）'!$A45-'实盘净值数据(iFinD）'!$A$5)/365))</f>
        <v>0.85496078801066921</v>
      </c>
      <c r="F45" s="16">
        <f t="shared" si="4"/>
        <v>1.3575824906678635E-2</v>
      </c>
      <c r="G45" s="16">
        <f>IF(E45="","",E45/MAX(E$5:E45)-1)</f>
        <v>-0.2225769542461441</v>
      </c>
      <c r="H45" s="13">
        <f>IF(OR('实盘净值数据(iFinD）'!$A45="",'实盘净值数据(iFinD）'!$B45=""),"",分期持仓明细!$AB$19*SUMPRODUCT(分期持仓明细!$B$19:$Y$19,'实盘净值数据(iFinD）'!$B45:$Y45/'实盘净值数据(iFinD）'!$B$20:$Y$20)*(1-实盘持仓初始配置!$Z$6)^(('实盘净值数据(iFinD）'!$A45-'实盘净值数据(iFinD）'!$A$7)/365))</f>
        <v>0.85968862851962957</v>
      </c>
      <c r="I45" s="16">
        <f t="shared" si="5"/>
        <v>7.5516959623807001E-3</v>
      </c>
      <c r="J45" s="16">
        <f>IF(H45="","",H45/MAX(H$5:H45)-1)</f>
        <v>-0.22669474614271223</v>
      </c>
      <c r="K45" s="13">
        <f>IF(OR('实盘净值数据(iFinD）'!$A45="",'实盘净值数据(iFinD）'!$B45=""),"",分期持仓明细!$AB$20*SUMPRODUCT(分期持仓明细!$B$20:$Y$20,'实盘净值数据(iFinD）'!$B45:$Y45/'实盘净值数据(iFinD）'!$B$25:$Y$25)*(1-实盘持仓初始配置!$Z$7)^(('实盘净值数据(iFinD）'!$A45-'实盘净值数据(iFinD）'!$A$8)/365))</f>
        <v>0.994115670668685</v>
      </c>
      <c r="L45" s="16">
        <f t="shared" si="0"/>
        <v>3.6990005282855343E-4</v>
      </c>
      <c r="M45" s="16">
        <f>IF(K45="","",K45/MAX(K$5:K45)-1)</f>
        <v>-9.1264612400542289E-3</v>
      </c>
      <c r="N45" s="13">
        <f>IF(OR('实盘净值数据(iFinD）'!$A45="",'实盘净值数据(iFinD）'!$B45=""),"",分期持仓明细!$AB$21*SUMPRODUCT(分期持仓明细!$B$21:$Y$21,'实盘净值数据(iFinD）'!$B45:$Y45/'实盘净值数据(iFinD）'!$B$25:$Y$25)*(1-实盘持仓初始配置!$Z$8)^(('实盘净值数据(iFinD）'!$A45-'实盘净值数据(iFinD）'!$A$5)/365))</f>
        <v>0.99372212189107401</v>
      </c>
      <c r="O45" s="16">
        <f t="shared" si="1"/>
        <v>7.296403139918084E-4</v>
      </c>
      <c r="P45" s="16">
        <f>IF(N45="","",N45/MAX(N$5:N45)-1)</f>
        <v>-8.9637243112956622E-3</v>
      </c>
      <c r="Q45" s="13">
        <f>IF(OR('实盘净值数据(iFinD）'!$A45="",'实盘净值数据(iFinD）'!$B45=""),"",分期持仓明细!$AB$22*SUMPRODUCT(分期持仓明细!$B$22:$Y$22,'实盘净值数据(iFinD）'!$B45:$Y45/'实盘净值数据(iFinD）'!$B$25:$Y$25)*(1-实盘持仓初始配置!$Z$9)^(('实盘净值数据(iFinD）'!$A45-'实盘净值数据(iFinD）'!$A$8)/365))</f>
        <v>0.9682286227764374</v>
      </c>
      <c r="R45" s="16">
        <f t="shared" si="2"/>
        <v>1.3662573905628417E-3</v>
      </c>
      <c r="S45" s="16">
        <f>IF(Q45="","",Q45/MAX(Q$5:Q45)-1)</f>
        <v>-4.0181185989918822E-2</v>
      </c>
    </row>
    <row r="46" spans="1:19">
      <c r="A46" s="15">
        <f>IF('实盘净值数据(iFinD）'!A46="","",'实盘净值数据(iFinD）'!A46)</f>
        <v>46251</v>
      </c>
      <c r="B46" s="13">
        <f>IF(OR('实盘净值数据(iFinD）'!$A46="",'实盘净值数据(iFinD）'!$B46=""),"",分期持仓明细!$AB$17*SUMPRODUCT(分期持仓明细!$B$17:$Y$17,'实盘净值数据(iFinD）'!$B46:$Y46/'实盘净值数据(iFinD）'!$B$20:$Y$20)*(1-实盘持仓初始配置!$Z$4)^(('实盘净值数据(iFinD）'!$A46-'实盘净值数据(iFinD）'!$A$6)/365))</f>
        <v>0.87689411795961425</v>
      </c>
      <c r="C46" s="16">
        <f t="shared" si="3"/>
        <v>4.9522578186009802E-2</v>
      </c>
      <c r="D46" s="16">
        <f>IF(B46="","",B46/MAX(B$5:B46)-1)</f>
        <v>-0.1841691197400539</v>
      </c>
      <c r="E46" s="13">
        <f>IF(OR('实盘净值数据(iFinD）'!$A46="",'实盘净值数据(iFinD）'!$B46=""),"",分期持仓明细!$AB$18*SUMPRODUCT(分期持仓明细!$B$18:$Y$18,'实盘净值数据(iFinD）'!$B46:$Y46/'实盘净值数据(iFinD）'!$B$20:$Y$20)*(1-实盘持仓初始配置!$Z$5)^(('实盘净值数据(iFinD）'!$A46-'实盘净值数据(iFinD）'!$A$5)/365))</f>
        <v>0.89736673193518768</v>
      </c>
      <c r="F46" s="16">
        <f t="shared" si="4"/>
        <v>4.9599869981392875E-2</v>
      </c>
      <c r="G46" s="16">
        <f>IF(E46="","",E46/MAX(E$5:E46)-1)</f>
        <v>-0.18401687225621433</v>
      </c>
      <c r="H46" s="13">
        <f>IF(OR('实盘净值数据(iFinD）'!$A46="",'实盘净值数据(iFinD）'!$B46=""),"",分期持仓明细!$AB$19*SUMPRODUCT(分期持仓明细!$B$19:$Y$19,'实盘净值数据(iFinD）'!$B46:$Y46/'实盘净值数据(iFinD）'!$B$20:$Y$20)*(1-实盘持仓初始配置!$Z$6)^(('实盘净值数据(iFinD）'!$A46-'实盘净值数据(iFinD）'!$A$7)/365))</f>
        <v>0.90237415611570237</v>
      </c>
      <c r="I46" s="16">
        <f t="shared" si="5"/>
        <v>4.9652311523041393E-2</v>
      </c>
      <c r="J46" s="16">
        <f>IF(H46="","",H46/MAX(H$5:H46)-1)</f>
        <v>-0.18829835277578566</v>
      </c>
      <c r="K46" s="13">
        <f>IF(OR('实盘净值数据(iFinD）'!$A46="",'实盘净值数据(iFinD）'!$B46=""),"",分期持仓明细!$AB$20*SUMPRODUCT(分期持仓明细!$B$20:$Y$20,'实盘净值数据(iFinD）'!$B46:$Y46/'实盘净值数据(iFinD）'!$B$25:$Y$25)*(1-实盘持仓初始配置!$Z$7)^(('实盘净值数据(iFinD）'!$A46-'实盘净值数据(iFinD）'!$A$8)/365))</f>
        <v>0.99895898030685437</v>
      </c>
      <c r="L46" s="16">
        <f t="shared" si="0"/>
        <v>4.8719779609867064E-3</v>
      </c>
      <c r="M46" s="16">
        <f>IF(K46="","",K46/MAX(K$5:K46)-1)</f>
        <v>-4.2989471970908966E-3</v>
      </c>
      <c r="N46" s="13">
        <f>IF(OR('实盘净值数据(iFinD）'!$A46="",'实盘净值数据(iFinD）'!$B46=""),"",分期持仓明细!$AB$21*SUMPRODUCT(分期持仓明细!$B$21:$Y$21,'实盘净值数据(iFinD）'!$B46:$Y46/'实盘净值数据(iFinD）'!$B$25:$Y$25)*(1-实盘持仓初始配置!$Z$8)^(('实盘净值数据(iFinD）'!$A46-'实盘净值数据(iFinD）'!$A$5)/365))</f>
        <v>0.99865469890573955</v>
      </c>
      <c r="O46" s="16">
        <f t="shared" si="1"/>
        <v>4.9637387615752981E-3</v>
      </c>
      <c r="P46" s="16">
        <f>IF(N46="","",N46/MAX(N$5:N46)-1)</f>
        <v>-4.0444791355324083E-3</v>
      </c>
      <c r="Q46" s="13">
        <f>IF(OR('实盘净值数据(iFinD）'!$A46="",'实盘净值数据(iFinD）'!$B46=""),"",分期持仓明细!$AB$22*SUMPRODUCT(分期持仓明细!$B$22:$Y$22,'实盘净值数据(iFinD）'!$B46:$Y46/'实盘净值数据(iFinD）'!$B$25:$Y$25)*(1-实盘持仓初始配置!$Z$9)^(('实盘净值数据(iFinD）'!$A46-'实盘净值数据(iFinD）'!$A$8)/365))</f>
        <v>0.98134194706126798</v>
      </c>
      <c r="R46" s="16">
        <f t="shared" si="2"/>
        <v>1.3543623867705579E-2</v>
      </c>
      <c r="S46" s="16">
        <f>IF(Q46="","",Q46/MAX(Q$5:Q46)-1)</f>
        <v>-2.7181760991819126E-2</v>
      </c>
    </row>
    <row r="47" spans="1:19">
      <c r="A47" s="15">
        <f>IF('实盘净值数据(iFinD）'!A47="","",'实盘净值数据(iFinD）'!A47)</f>
        <v>46252</v>
      </c>
      <c r="B47" s="13">
        <f>IF(OR('实盘净值数据(iFinD）'!$A47="",'实盘净值数据(iFinD）'!$B47=""),"",分期持仓明细!$AB$17*SUMPRODUCT(分期持仓明细!$B$17:$Y$17,'实盘净值数据(iFinD）'!$B47:$Y47/'实盘净值数据(iFinD）'!$B$20:$Y$20)*(1-实盘持仓初始配置!$Z$4)^(('实盘净值数据(iFinD）'!$A47-'实盘净值数据(iFinD）'!$A$6)/365))</f>
        <v>0.87902436130755246</v>
      </c>
      <c r="C47" s="16">
        <f t="shared" si="3"/>
        <v>2.4293050943196004E-3</v>
      </c>
      <c r="D47" s="16">
        <f>IF(B47="","",B47/MAX(B$5:B47)-1)</f>
        <v>-0.18218721762653511</v>
      </c>
      <c r="E47" s="13">
        <f>IF(OR('实盘净值数据(iFinD）'!$A47="",'实盘净值数据(iFinD）'!$B47=""),"",分期持仓明细!$AB$18*SUMPRODUCT(分期持仓明细!$B$18:$Y$18,'实盘净值数据(iFinD）'!$B47:$Y47/'实盘净值数据(iFinD）'!$B$20:$Y$20)*(1-实盘持仓初始配置!$Z$5)^(('实盘净值数据(iFinD）'!$A47-'实盘净值数据(iFinD）'!$A$5)/365))</f>
        <v>0.89952242814841865</v>
      </c>
      <c r="F47" s="16">
        <f t="shared" si="4"/>
        <v>2.4022466362021433E-3</v>
      </c>
      <c r="G47" s="16">
        <f>IF(E47="","",E47/MAX(E$5:E47)-1)</f>
        <v>-0.18205667953239413</v>
      </c>
      <c r="H47" s="13">
        <f>IF(OR('实盘净值数据(iFinD）'!$A47="",'实盘净值数据(iFinD）'!$B47=""),"",分期持仓明细!$AB$19*SUMPRODUCT(分期持仓明细!$B$19:$Y$19,'实盘净值数据(iFinD）'!$B47:$Y47/'实盘净值数据(iFinD）'!$B$20:$Y$20)*(1-实盘持仓初始配置!$Z$6)^(('实盘净值数据(iFinD）'!$A47-'实盘净值数据(iFinD）'!$A$7)/365))</f>
        <v>0.9042710753133324</v>
      </c>
      <c r="I47" s="16">
        <f t="shared" si="5"/>
        <v>2.1021426475635874E-3</v>
      </c>
      <c r="J47" s="16">
        <f>IF(H47="","",H47/MAX(H$5:H47)-1)</f>
        <v>-0.18659204012605801</v>
      </c>
      <c r="K47" s="13">
        <f>IF(OR('实盘净值数据(iFinD）'!$A47="",'实盘净值数据(iFinD）'!$B47=""),"",分期持仓明细!$AB$20*SUMPRODUCT(分期持仓明细!$B$20:$Y$20,'实盘净值数据(iFinD）'!$B47:$Y47/'实盘净值数据(iFinD）'!$B$25:$Y$25)*(1-实盘持仓初始配置!$Z$7)^(('实盘净值数据(iFinD）'!$A47-'实盘净值数据(iFinD）'!$A$8)/365))</f>
        <v>0.99978136728927813</v>
      </c>
      <c r="L47" s="16">
        <f t="shared" si="0"/>
        <v>8.23243995635492E-4</v>
      </c>
      <c r="M47" s="16">
        <f>IF(K47="","",K47/MAX(K$5:K47)-1)</f>
        <v>-3.4792422839229342E-3</v>
      </c>
      <c r="N47" s="13">
        <f>IF(OR('实盘净值数据(iFinD）'!$A47="",'实盘净值数据(iFinD）'!$B47=""),"",分期持仓明细!$AB$21*SUMPRODUCT(分期持仓明细!$B$21:$Y$21,'实盘净值数据(iFinD）'!$B47:$Y47/'实盘净值数据(iFinD）'!$B$25:$Y$25)*(1-实盘持仓初始配置!$Z$8)^(('实盘净值数据(iFinD）'!$A47-'实盘净值数据(iFinD）'!$A$5)/365))</f>
        <v>0.99950584672572562</v>
      </c>
      <c r="O47" s="16">
        <f t="shared" si="1"/>
        <v>8.5229441259193628E-4</v>
      </c>
      <c r="P47" s="16">
        <f>IF(N47="","",N47/MAX(N$5:N47)-1)</f>
        <v>-3.1956318099095604E-3</v>
      </c>
      <c r="Q47" s="13">
        <f>IF(OR('实盘净值数据(iFinD）'!$A47="",'实盘净值数据(iFinD）'!$B47=""),"",分期持仓明细!$AB$22*SUMPRODUCT(分期持仓明细!$B$22:$Y$22,'实盘净值数据(iFinD）'!$B47:$Y47/'实盘净值数据(iFinD）'!$B$25:$Y$25)*(1-实盘持仓初始配置!$Z$9)^(('实盘净值数据(iFinD）'!$A47-'实盘净值数据(iFinD）'!$A$8)/365))</f>
        <v>0.98234070097590909</v>
      </c>
      <c r="R47" s="16">
        <f t="shared" si="2"/>
        <v>1.0177430177442659E-3</v>
      </c>
      <c r="S47" s="16">
        <f>IF(Q47="","",Q47/MAX(Q$5:Q47)-1)</f>
        <v>-2.6191682021534324E-2</v>
      </c>
    </row>
    <row r="48" spans="1:19">
      <c r="A48" s="15">
        <f>IF('实盘净值数据(iFinD）'!A48="","",'实盘净值数据(iFinD）'!A48)</f>
        <v>46253</v>
      </c>
      <c r="B48" s="13">
        <f>IF(OR('实盘净值数据(iFinD）'!$A48="",'实盘净值数据(iFinD）'!$B48=""),"",分期持仓明细!$AB$17*SUMPRODUCT(分期持仓明细!$B$17:$Y$17,'实盘净值数据(iFinD）'!$B48:$Y48/'实盘净值数据(iFinD）'!$B$20:$Y$20)*(1-实盘持仓初始配置!$Z$4)^(('实盘净值数据(iFinD）'!$A48-'实盘净值数据(iFinD）'!$A$6)/365))</f>
        <v>0.81673011277623475</v>
      </c>
      <c r="C48" s="16">
        <f t="shared" si="3"/>
        <v>-7.086748817593036E-2</v>
      </c>
      <c r="D48" s="16">
        <f>IF(B48="","",B48/MAX(B$5:B48)-1)</f>
        <v>-0.24014355531151133</v>
      </c>
      <c r="E48" s="13">
        <f>IF(OR('实盘净值数据(iFinD）'!$A48="",'实盘净值数据(iFinD）'!$B48=""),"",分期持仓明细!$AB$18*SUMPRODUCT(分期持仓明细!$B$18:$Y$18,'实盘净值数据(iFinD）'!$B48:$Y48/'实盘净值数据(iFinD）'!$B$20:$Y$20)*(1-实盘持仓初始配置!$Z$5)^(('实盘净值数据(iFinD）'!$A48-'实盘净值数据(iFinD）'!$A$5)/365))</f>
        <v>0.83570045037146312</v>
      </c>
      <c r="F48" s="16">
        <f t="shared" si="4"/>
        <v>-7.0950957730233633E-2</v>
      </c>
      <c r="G48" s="16">
        <f>IF(E48="","",E48/MAX(E$5:E48)-1)</f>
        <v>-0.24009054148861819</v>
      </c>
      <c r="H48" s="13">
        <f>IF(OR('实盘净值数据(iFinD）'!$A48="",'实盘净值数据(iFinD）'!$B48=""),"",分期持仓明细!$AB$19*SUMPRODUCT(分期持仓明细!$B$19:$Y$19,'实盘净值数据(iFinD）'!$B48:$Y48/'实盘净值数据(iFinD）'!$B$20:$Y$20)*(1-实盘持仓初始配置!$Z$6)^(('实盘净值数据(iFinD）'!$A48-'实盘净值数据(iFinD）'!$A$7)/365))</f>
        <v>0.83953438942791037</v>
      </c>
      <c r="I48" s="16">
        <f t="shared" si="5"/>
        <v>-7.1589911092744596E-2</v>
      </c>
      <c r="J48" s="16">
        <f>IF(H48="","",H48/MAX(H$5:H48)-1)</f>
        <v>-0.24482384365556431</v>
      </c>
      <c r="K48" s="13">
        <f>IF(OR('实盘净值数据(iFinD）'!$A48="",'实盘净值数据(iFinD）'!$B48=""),"",分期持仓明细!$AB$20*SUMPRODUCT(分期持仓明细!$B$20:$Y$20,'实盘净值数据(iFinD）'!$B48:$Y48/'实盘净值数据(iFinD）'!$B$25:$Y$25)*(1-实盘持仓初始配置!$Z$7)^(('实盘净值数据(iFinD）'!$A48-'实盘净值数据(iFinD）'!$A$8)/365))</f>
        <v>0.99214513915581581</v>
      </c>
      <c r="L48" s="16">
        <f t="shared" si="0"/>
        <v>-7.6378980278123398E-3</v>
      </c>
      <c r="M48" s="16">
        <f>IF(K48="","",K48/MAX(K$5:K48)-1)</f>
        <v>-1.1090566213956654E-2</v>
      </c>
      <c r="N48" s="13">
        <f>IF(OR('实盘净值数据(iFinD）'!$A48="",'实盘净值数据(iFinD）'!$B48=""),"",分期持仓明细!$AB$21*SUMPRODUCT(分期持仓明细!$B$21:$Y$21,'实盘净值数据(iFinD）'!$B48:$Y48/'实盘净值数据(iFinD）'!$B$25:$Y$25)*(1-实盘持仓初始配置!$Z$8)^(('实盘净值数据(iFinD）'!$A48-'实盘净值数据(iFinD）'!$A$5)/365))</f>
        <v>0.99178991023315655</v>
      </c>
      <c r="O48" s="16">
        <f t="shared" si="1"/>
        <v>-7.71975123291746E-3</v>
      </c>
      <c r="P48" s="16">
        <f>IF(N48="","",N48/MAX(N$5:N48)-1)</f>
        <v>-1.089071356022242E-2</v>
      </c>
      <c r="Q48" s="13">
        <f>IF(OR('实盘净值数据(iFinD）'!$A48="",'实盘净值数据(iFinD）'!$B48=""),"",分期持仓明细!$AB$22*SUMPRODUCT(分期持仓明细!$B$22:$Y$22,'实盘净值数据(iFinD）'!$B48:$Y48/'实盘净值数据(iFinD）'!$B$25:$Y$25)*(1-实盘持仓初始配置!$Z$9)^(('实盘净值数据(iFinD）'!$A48-'实盘净值数据(iFinD）'!$A$8)/365))</f>
        <v>0.96178627410995754</v>
      </c>
      <c r="R48" s="16">
        <f t="shared" si="2"/>
        <v>-2.0923928781054979E-2</v>
      </c>
      <c r="S48" s="16">
        <f>IF(Q48="","",Q48/MAX(Q$5:Q48)-1)</f>
        <v>-4.6567577913314673E-2</v>
      </c>
    </row>
    <row r="49" spans="1:19">
      <c r="A49" s="15">
        <f>IF('实盘净值数据(iFinD）'!A49="","",'实盘净值数据(iFinD）'!A49)</f>
        <v>46254</v>
      </c>
      <c r="B49" s="13">
        <f>IF(OR('实盘净值数据(iFinD）'!$A49="",'实盘净值数据(iFinD）'!$B49=""),"",分期持仓明细!$AB$17*SUMPRODUCT(分期持仓明细!$B$17:$Y$17,'实盘净值数据(iFinD）'!$B49:$Y49/'实盘净值数据(iFinD）'!$B$20:$Y$20)*(1-实盘持仓初始配置!$Z$4)^(('实盘净值数据(iFinD）'!$A49-'实盘净值数据(iFinD）'!$A$6)/365))</f>
        <v>0.82583566974225264</v>
      </c>
      <c r="C49" s="16">
        <f t="shared" si="3"/>
        <v>1.1148795451004334E-2</v>
      </c>
      <c r="D49" s="16">
        <f>IF(B49="","",B49/MAX(B$5:B49)-1)</f>
        <v>-0.23167207123755207</v>
      </c>
      <c r="E49" s="13">
        <f>IF(OR('实盘净值数据(iFinD）'!$A49="",'实盘净值数据(iFinD）'!$B49=""),"",分期持仓明细!$AB$18*SUMPRODUCT(分期持仓明细!$B$18:$Y$18,'实盘净值数据(iFinD）'!$B49:$Y49/'实盘净值数据(iFinD）'!$B$20:$Y$20)*(1-实盘持仓初始配置!$Z$5)^(('实盘净值数据(iFinD）'!$A49-'实盘净值数据(iFinD）'!$A$5)/365))</f>
        <v>0.8450321202494574</v>
      </c>
      <c r="F49" s="16">
        <f t="shared" si="4"/>
        <v>1.1166285567808965E-2</v>
      </c>
      <c r="G49" s="16">
        <f>IF(E49="","",E49/MAX(E$5:E49)-1)</f>
        <v>-0.23160517546920101</v>
      </c>
      <c r="H49" s="13">
        <f>IF(OR('实盘净值数据(iFinD）'!$A49="",'实盘净值数据(iFinD）'!$B49=""),"",分期持仓明细!$AB$19*SUMPRODUCT(分期持仓明细!$B$19:$Y$19,'实盘净值数据(iFinD）'!$B49:$Y49/'实盘净值数据(iFinD）'!$B$20:$Y$20)*(1-实盘持仓初始配置!$Z$6)^(('实盘净值数据(iFinD）'!$A49-'实盘净值数据(iFinD）'!$A$7)/365))</f>
        <v>0.845698974359399</v>
      </c>
      <c r="I49" s="16">
        <f t="shared" si="5"/>
        <v>7.3428617208752822E-3</v>
      </c>
      <c r="J49" s="16">
        <f>IF(H49="","",H49/MAX(H$5:H49)-1)</f>
        <v>-0.23927868956462506</v>
      </c>
      <c r="K49" s="13">
        <f>IF(OR('实盘净值数据(iFinD）'!$A49="",'实盘净值数据(iFinD）'!$B49=""),"",分期持仓明细!$AB$20*SUMPRODUCT(分期持仓明细!$B$20:$Y$20,'实盘净值数据(iFinD）'!$B49:$Y49/'实盘净值数据(iFinD）'!$B$25:$Y$25)*(1-实盘持仓初始配置!$Z$7)^(('实盘净值数据(iFinD）'!$A49-'实盘净值数据(iFinD）'!$A$8)/365))</f>
        <v>0.99403509454319372</v>
      </c>
      <c r="L49" s="16">
        <f t="shared" si="0"/>
        <v>1.9049182551920119E-3</v>
      </c>
      <c r="M49" s="16">
        <f>IF(K49="","",K49/MAX(K$5:K49)-1)</f>
        <v>-9.2067745808059875E-3</v>
      </c>
      <c r="N49" s="13">
        <f>IF(OR('实盘净值数据(iFinD）'!$A49="",'实盘净值数据(iFinD）'!$B49=""),"",分期持仓明细!$AB$21*SUMPRODUCT(分期持仓明细!$B$21:$Y$21,'实盘净值数据(iFinD）'!$B49:$Y49/'实盘净值数据(iFinD）'!$B$25:$Y$25)*(1-实盘持仓初始配置!$Z$8)^(('实盘净值数据(iFinD）'!$A49-'实盘净值数据(iFinD）'!$A$5)/365))</f>
        <v>0.99384685157613673</v>
      </c>
      <c r="O49" s="16">
        <f t="shared" si="1"/>
        <v>2.0739688131095058E-3</v>
      </c>
      <c r="P49" s="16">
        <f>IF(N49="","",N49/MAX(N$5:N49)-1)</f>
        <v>-8.8393317473893784E-3</v>
      </c>
      <c r="Q49" s="13">
        <f>IF(OR('实盘净值数据(iFinD）'!$A49="",'实盘净值数据(iFinD）'!$B49=""),"",分期持仓明细!$AB$22*SUMPRODUCT(分期持仓明细!$B$22:$Y$22,'实盘净值数据(iFinD）'!$B49:$Y49/'实盘净值数据(iFinD）'!$B$25:$Y$25)*(1-实盘持仓初始配置!$Z$9)^(('实盘净值数据(iFinD）'!$A49-'实盘净值数据(iFinD）'!$A$8)/365))</f>
        <v>0.96654590706912602</v>
      </c>
      <c r="R49" s="16">
        <f t="shared" si="2"/>
        <v>4.9487428624130914E-3</v>
      </c>
      <c r="S49" s="16">
        <f>IF(Q49="","",Q49/MAX(Q$5:Q49)-1)</f>
        <v>-4.1849286019720044E-2</v>
      </c>
    </row>
    <row r="50" spans="1:19">
      <c r="A50" s="15">
        <f>IF('实盘净值数据(iFinD）'!A50="","",'实盘净值数据(iFinD）'!A50)</f>
        <v>46255</v>
      </c>
      <c r="B50" s="13">
        <f>IF(OR('实盘净值数据(iFinD）'!$A50="",'实盘净值数据(iFinD）'!$B50=""),"",分期持仓明细!$AB$17*SUMPRODUCT(分期持仓明细!$B$17:$Y$17,'实盘净值数据(iFinD）'!$B50:$Y50/'实盘净值数据(iFinD）'!$B$20:$Y$20)*(1-实盘持仓初始配置!$Z$4)^(('实盘净值数据(iFinD）'!$A50-'实盘净值数据(iFinD）'!$A$6)/365))</f>
        <v>0.83068821536380733</v>
      </c>
      <c r="C50" s="16">
        <f t="shared" si="3"/>
        <v>5.8759215656900565E-3</v>
      </c>
      <c r="D50" s="16">
        <f>IF(B50="","",B50/MAX(B$5:B50)-1)</f>
        <v>-0.22715743659141474</v>
      </c>
      <c r="E50" s="13">
        <f>IF(OR('实盘净值数据(iFinD）'!$A50="",'实盘净值数据(iFinD）'!$B50=""),"",分期持仓明细!$AB$18*SUMPRODUCT(分期持仓明细!$B$18:$Y$18,'实盘净值数据(iFinD）'!$B50:$Y50/'实盘净值数据(iFinD）'!$B$20:$Y$20)*(1-实盘持仓初始配置!$Z$5)^(('实盘净值数据(iFinD）'!$A50-'实盘净值数据(iFinD）'!$A$5)/365))</f>
        <v>0.85004474222692461</v>
      </c>
      <c r="F50" s="16">
        <f t="shared" si="4"/>
        <v>5.9318715316849513E-3</v>
      </c>
      <c r="G50" s="16">
        <f>IF(E50="","",E50/MAX(E$5:E50)-1)</f>
        <v>-0.22704715608447268</v>
      </c>
      <c r="H50" s="13">
        <f>IF(OR('实盘净值数据(iFinD）'!$A50="",'实盘净值数据(iFinD）'!$B50=""),"",分期持仓明细!$AB$19*SUMPRODUCT(分期持仓明细!$B$19:$Y$19,'实盘净值数据(iFinD）'!$B50:$Y50/'实盘净值数据(iFinD）'!$B$20:$Y$20)*(1-实盘持仓初始配置!$Z$6)^(('实盘净值数据(iFinD）'!$A50-'实盘净值数据(iFinD）'!$A$7)/365))</f>
        <v>0.85225365760008931</v>
      </c>
      <c r="I50" s="16">
        <f t="shared" si="5"/>
        <v>7.7506103701443507E-3</v>
      </c>
      <c r="J50" s="16">
        <f>IF(H50="","",H50/MAX(H$5:H50)-1)</f>
        <v>-0.23338263508717483</v>
      </c>
      <c r="K50" s="13">
        <f>IF(OR('实盘净值数据(iFinD）'!$A50="",'实盘净值数据(iFinD）'!$B50=""),"",分期持仓明细!$AB$20*SUMPRODUCT(分期持仓明细!$B$20:$Y$20,'实盘净值数据(iFinD）'!$B50:$Y50/'实盘净值数据(iFinD）'!$B$25:$Y$25)*(1-实盘持仓初始配置!$Z$7)^(('实盘净值数据(iFinD）'!$A50-'实盘净值数据(iFinD）'!$A$8)/365))</f>
        <v>0.99539134647786609</v>
      </c>
      <c r="L50" s="16">
        <f t="shared" si="0"/>
        <v>1.3643903943809654E-3</v>
      </c>
      <c r="M50" s="16">
        <f>IF(K50="","",K50/MAX(K$5:K50)-1)</f>
        <v>-7.8549458212262557E-3</v>
      </c>
      <c r="N50" s="13">
        <f>IF(OR('实盘净值数据(iFinD）'!$A50="",'实盘净值数据(iFinD）'!$B50=""),"",分期持仓明细!$AB$21*SUMPRODUCT(分期持仓明细!$B$21:$Y$21,'实盘净值数据(iFinD）'!$B50:$Y50/'实盘净值数据(iFinD）'!$B$25:$Y$25)*(1-实盘持仓初始配置!$Z$8)^(('实盘净值数据(iFinD）'!$A50-'实盘净值数据(iFinD）'!$A$5)/365))</f>
        <v>0.99508534181085639</v>
      </c>
      <c r="O50" s="16">
        <f t="shared" si="1"/>
        <v>1.2461580300380248E-3</v>
      </c>
      <c r="P50" s="16">
        <f>IF(N50="","",N50/MAX(N$5:N50)-1)</f>
        <v>-7.6041889215885394E-3</v>
      </c>
      <c r="Q50" s="13">
        <f>IF(OR('实盘净值数据(iFinD）'!$A50="",'实盘净值数据(iFinD）'!$B50=""),"",分期持仓明细!$AB$22*SUMPRODUCT(分期持仓明细!$B$22:$Y$22,'实盘净值数据(iFinD）'!$B50:$Y50/'实盘净值数据(iFinD）'!$B$25:$Y$25)*(1-实盘持仓初始配置!$Z$9)^(('实盘净值数据(iFinD）'!$A50-'实盘净值数据(iFinD）'!$A$8)/365))</f>
        <v>0.96996762115645929</v>
      </c>
      <c r="R50" s="16">
        <f t="shared" si="2"/>
        <v>3.5401464765485446E-3</v>
      </c>
      <c r="S50" s="16">
        <f>IF(Q50="","",Q50/MAX(Q$5:Q50)-1)</f>
        <v>-3.8457292145620214E-2</v>
      </c>
    </row>
    <row r="51" spans="1:19">
      <c r="A51" s="15">
        <f>IF('实盘净值数据(iFinD）'!A51="","",'实盘净值数据(iFinD）'!A51)</f>
        <v>46258</v>
      </c>
      <c r="B51" s="13">
        <f>IF(OR('实盘净值数据(iFinD）'!$A51="",'实盘净值数据(iFinD）'!$B51=""),"",分期持仓明细!$AB$17*SUMPRODUCT(分期持仓明细!$B$17:$Y$17,'实盘净值数据(iFinD）'!$B51:$Y51/'实盘净值数据(iFinD）'!$B$20:$Y$20)*(1-实盘持仓初始配置!$Z$4)^(('实盘净值数据(iFinD）'!$A51-'实盘净值数据(iFinD）'!$A$6)/365))</f>
        <v>0.81091217806369975</v>
      </c>
      <c r="C51" s="16">
        <f t="shared" si="3"/>
        <v>-2.3806810948252655E-2</v>
      </c>
      <c r="D51" s="16">
        <f>IF(B51="","",B51/MAX(B$5:B51)-1)</f>
        <v>-0.24555635339124593</v>
      </c>
      <c r="E51" s="13">
        <f>IF(OR('实盘净值数据(iFinD）'!$A51="",'实盘净值数据(iFinD）'!$B51=""),"",分期持仓明细!$AB$18*SUMPRODUCT(分期持仓明细!$B$18:$Y$18,'实盘净值数据(iFinD）'!$B51:$Y51/'实盘净值数据(iFinD）'!$B$20:$Y$20)*(1-实盘持仓初始配置!$Z$5)^(('实盘净值数据(iFinD）'!$A51-'实盘净值数据(iFinD）'!$A$5)/365))</f>
        <v>0.82976181971860674</v>
      </c>
      <c r="F51" s="16">
        <f t="shared" si="4"/>
        <v>-2.3861005780920652E-2</v>
      </c>
      <c r="G51" s="16">
        <f>IF(E51="","",E51/MAX(E$5:E51)-1)</f>
        <v>-0.24549058836152016</v>
      </c>
      <c r="H51" s="13">
        <f>IF(OR('实盘净值数据(iFinD）'!$A51="",'实盘净值数据(iFinD）'!$B51=""),"",分期持仓明细!$AB$19*SUMPRODUCT(分期持仓明细!$B$19:$Y$19,'实盘净值数据(iFinD）'!$B51:$Y51/'实盘净值数据(iFinD）'!$B$20:$Y$20)*(1-实盘持仓初始配置!$Z$6)^(('实盘净值数据(iFinD）'!$A51-'实盘净值数据(iFinD）'!$A$7)/365))</f>
        <v>0.83142419341260654</v>
      </c>
      <c r="I51" s="16">
        <f t="shared" si="5"/>
        <v>-2.4440451503766725E-2</v>
      </c>
      <c r="J51" s="16">
        <f>IF(H51="","",H51/MAX(H$5:H51)-1)</f>
        <v>-0.25211910961627215</v>
      </c>
      <c r="K51" s="13">
        <f>IF(OR('实盘净值数据(iFinD）'!$A51="",'实盘净值数据(iFinD）'!$B51=""),"",分期持仓明细!$AB$20*SUMPRODUCT(分期持仓明细!$B$20:$Y$20,'实盘净值数据(iFinD）'!$B51:$Y51/'实盘净值数据(iFinD）'!$B$25:$Y$25)*(1-实盘持仓初始配置!$Z$7)^(('实盘净值数据(iFinD）'!$A51-'实盘净值数据(iFinD）'!$A$8)/365))</f>
        <v>0.99512807000945391</v>
      </c>
      <c r="L51" s="16">
        <f t="shared" si="0"/>
        <v>-2.644954362359675E-4</v>
      </c>
      <c r="M51" s="16">
        <f>IF(K51="","",K51/MAX(K$5:K51)-1)</f>
        <v>-8.1173636601407084E-3</v>
      </c>
      <c r="N51" s="13">
        <f>IF(OR('实盘净值数据(iFinD）'!$A51="",'实盘净值数据(iFinD）'!$B51=""),"",分期持仓明细!$AB$21*SUMPRODUCT(分期持仓明细!$B$21:$Y$21,'实盘净值数据(iFinD）'!$B51:$Y51/'实盘净值数据(iFinD）'!$B$25:$Y$25)*(1-实盘持仓初始配置!$Z$8)^(('实盘净值数据(iFinD）'!$A51-'实盘净值数据(iFinD）'!$A$5)/365))</f>
        <v>0.9947842173581124</v>
      </c>
      <c r="O51" s="16">
        <f t="shared" si="1"/>
        <v>-3.0261168574341468E-4</v>
      </c>
      <c r="P51" s="16">
        <f>IF(N51="","",N51/MAX(N$5:N51)-1)</f>
        <v>-7.9044994909036603E-3</v>
      </c>
      <c r="Q51" s="13">
        <f>IF(OR('实盘净值数据(iFinD）'!$A51="",'实盘净值数据(iFinD）'!$B51=""),"",分期持仓明细!$AB$22*SUMPRODUCT(分期持仓明细!$B$22:$Y$22,'实盘净值数据(iFinD）'!$B51:$Y51/'实盘净值数据(iFinD）'!$B$25:$Y$25)*(1-实盘持仓初始配置!$Z$9)^(('实盘净值数据(iFinD）'!$A51-'实盘净值数据(iFinD）'!$A$8)/365))</f>
        <v>0.96680658683041598</v>
      </c>
      <c r="R51" s="16">
        <f t="shared" si="2"/>
        <v>-3.2589070574072787E-3</v>
      </c>
      <c r="S51" s="16">
        <f>IF(Q51="","",Q51/MAX(Q$5:Q51)-1)</f>
        <v>-4.15908704622453E-2</v>
      </c>
    </row>
    <row r="52" spans="1:19">
      <c r="A52" s="15">
        <f>IF('实盘净值数据(iFinD）'!A52="","",'实盘净值数据(iFinD）'!A52)</f>
        <v>46259</v>
      </c>
      <c r="B52" s="13">
        <f>IF(OR('实盘净值数据(iFinD）'!$A52="",'实盘净值数据(iFinD）'!$B52=""),"",分期持仓明细!$AB$17*SUMPRODUCT(分期持仓明细!$B$17:$Y$17,'实盘净值数据(iFinD）'!$B52:$Y52/'实盘净值数据(iFinD）'!$B$20:$Y$20)*(1-实盘持仓初始配置!$Z$4)^(('实盘净值数据(iFinD）'!$A52-'实盘净值数据(iFinD）'!$A$6)/365))</f>
        <v>0.80387297499360533</v>
      </c>
      <c r="C52" s="16">
        <f t="shared" si="3"/>
        <v>-8.6805985413891396E-3</v>
      </c>
      <c r="D52" s="16">
        <f>IF(B52="","",B52/MAX(B$5:B52)-1)</f>
        <v>-0.25210537580955816</v>
      </c>
      <c r="E52" s="13">
        <f>IF(OR('实盘净值数据(iFinD）'!$A52="",'实盘净值数据(iFinD）'!$B52=""),"",分期持仓明细!$AB$18*SUMPRODUCT(分期持仓明细!$B$18:$Y$18,'实盘净值数据(iFinD）'!$B52:$Y52/'实盘净值数据(iFinD）'!$B$20:$Y$20)*(1-实盘持仓初始配置!$Z$5)^(('实盘净值数据(iFinD）'!$A52-'实盘净值数据(iFinD）'!$A$5)/365))</f>
        <v>0.822580041822354</v>
      </c>
      <c r="F52" s="16">
        <f t="shared" si="4"/>
        <v>-8.6552281939029641E-3</v>
      </c>
      <c r="G52" s="16">
        <f>IF(E52="","",E52/MAX(E$5:E52)-1)</f>
        <v>-0.2520210394936987</v>
      </c>
      <c r="H52" s="13">
        <f>IF(OR('实盘净值数据(iFinD）'!$A52="",'实盘净值数据(iFinD）'!$B52=""),"",分期持仓明细!$AB$19*SUMPRODUCT(分期持仓明细!$B$19:$Y$19,'实盘净值数据(iFinD）'!$B52:$Y52/'实盘净值数据(iFinD）'!$B$20:$Y$20)*(1-实盘持仓初始配置!$Z$6)^(('实盘净值数据(iFinD）'!$A52-'实盘净值数据(iFinD）'!$A$7)/365))</f>
        <v>0.82257588327730524</v>
      </c>
      <c r="I52" s="16">
        <f t="shared" si="5"/>
        <v>-1.064235345255371E-2</v>
      </c>
      <c r="J52" s="16">
        <f>IF(H52="","",H52/MAX(H$5:H52)-1)</f>
        <v>-0.26007832239214634</v>
      </c>
      <c r="K52" s="13">
        <f>IF(OR('实盘净值数据(iFinD）'!$A52="",'实盘净值数据(iFinD）'!$B52=""),"",分期持仓明细!$AB$20*SUMPRODUCT(分期持仓明细!$B$20:$Y$20,'实盘净值数据(iFinD）'!$B52:$Y52/'实盘净值数据(iFinD）'!$B$25:$Y$25)*(1-实盘持仓初始配置!$Z$7)^(('实盘净值数据(iFinD）'!$A52-'实盘净值数据(iFinD）'!$A$8)/365))</f>
        <v>0.99427738526118392</v>
      </c>
      <c r="L52" s="16">
        <f t="shared" si="0"/>
        <v>-8.5484951526082487E-4</v>
      </c>
      <c r="M52" s="16">
        <f>IF(K52="","",K52/MAX(K$5:K52)-1)</f>
        <v>-8.9652740510113293E-3</v>
      </c>
      <c r="N52" s="13">
        <f>IF(OR('实盘净值数据(iFinD）'!$A52="",'实盘净值数据(iFinD）'!$B52=""),"",分期持仓明细!$AB$21*SUMPRODUCT(分期持仓明细!$B$21:$Y$21,'实盘净值数据(iFinD）'!$B52:$Y52/'实盘净值数据(iFinD）'!$B$25:$Y$25)*(1-实盘持仓初始配置!$Z$8)^(('实盘净值数据(iFinD）'!$A52-'实盘净值数据(iFinD）'!$A$5)/365))</f>
        <v>0.99402797023660394</v>
      </c>
      <c r="O52" s="16">
        <f t="shared" si="1"/>
        <v>-7.602122232265307E-4</v>
      </c>
      <c r="P52" s="16">
        <f>IF(N52="","",N52/MAX(N$5:N52)-1)</f>
        <v>-8.658702616998748E-3</v>
      </c>
      <c r="Q52" s="13">
        <f>IF(OR('实盘净值数据(iFinD）'!$A52="",'实盘净值数据(iFinD）'!$B52=""),"",分期持仓明细!$AB$22*SUMPRODUCT(分期持仓明细!$B$22:$Y$22,'实盘净值数据(iFinD）'!$B52:$Y52/'实盘净值数据(iFinD）'!$B$25:$Y$25)*(1-实盘持仓初始配置!$Z$9)^(('实盘净值数据(iFinD）'!$A52-'实盘净值数据(iFinD）'!$A$8)/365))</f>
        <v>0.96469905375962695</v>
      </c>
      <c r="R52" s="16">
        <f t="shared" si="2"/>
        <v>-2.179891096623976E-3</v>
      </c>
      <c r="S52" s="16">
        <f>IF(Q52="","",Q52/MAX(Q$5:Q52)-1)</f>
        <v>-4.3680097990647759E-2</v>
      </c>
    </row>
    <row r="53" spans="1:19">
      <c r="A53" s="15">
        <f>IF('实盘净值数据(iFinD）'!A53="","",'实盘净值数据(iFinD）'!A53)</f>
        <v>46260</v>
      </c>
      <c r="B53" s="13">
        <f>IF(OR('实盘净值数据(iFinD）'!$A53="",'实盘净值数据(iFinD）'!$B53=""),"",分期持仓明细!$AB$17*SUMPRODUCT(分期持仓明细!$B$17:$Y$17,'实盘净值数据(iFinD）'!$B53:$Y53/'实盘净值数据(iFinD）'!$B$20:$Y$20)*(1-实盘持仓初始配置!$Z$4)^(('实盘净值数据(iFinD）'!$A53-'实盘净值数据(iFinD）'!$A$6)/365))</f>
        <v>0.81172592191144455</v>
      </c>
      <c r="C53" s="16">
        <f t="shared" si="3"/>
        <v>9.7688903124297788E-3</v>
      </c>
      <c r="D53" s="16">
        <f>IF(B53="","",B53/MAX(B$5:B53)-1)</f>
        <v>-0.24479927526058576</v>
      </c>
      <c r="E53" s="13">
        <f>IF(OR('实盘净值数据(iFinD）'!$A53="",'实盘净值数据(iFinD）'!$B53=""),"",分期持仓明细!$AB$18*SUMPRODUCT(分期持仓明细!$B$18:$Y$18,'实盘净值数据(iFinD）'!$B53:$Y53/'实盘净值数据(iFinD）'!$B$20:$Y$20)*(1-实盘持仓初始配置!$Z$5)^(('实盘净值数据(iFinD）'!$A53-'实盘净值数据(iFinD）'!$A$5)/365))</f>
        <v>0.83058903659412076</v>
      </c>
      <c r="F53" s="16">
        <f t="shared" si="4"/>
        <v>9.7364321580468705E-3</v>
      </c>
      <c r="G53" s="16">
        <f>IF(E53="","",E53/MAX(E$5:E53)-1)</f>
        <v>-0.24473839308908263</v>
      </c>
      <c r="H53" s="13">
        <f>IF(OR('实盘净值数据(iFinD）'!$A53="",'实盘净值数据(iFinD）'!$B53=""),"",分期持仓明细!$AB$19*SUMPRODUCT(分期持仓明细!$B$19:$Y$19,'实盘净值数据(iFinD）'!$B53:$Y53/'实盘净值数据(iFinD）'!$B$20:$Y$20)*(1-实盘持仓初始配置!$Z$6)^(('实盘净值数据(iFinD）'!$A53-'实盘净值数据(iFinD）'!$A$7)/365))</f>
        <v>0.83243030315140709</v>
      </c>
      <c r="I53" s="16">
        <f t="shared" si="5"/>
        <v>1.1979952335631205E-2</v>
      </c>
      <c r="J53" s="16">
        <f>IF(H53="","",H53/MAX(H$5:H53)-1)</f>
        <v>-0.25121409596230404</v>
      </c>
      <c r="K53" s="13">
        <f>IF(OR('实盘净值数据(iFinD）'!$A53="",'实盘净值数据(iFinD）'!$B53=""),"",分期持仓明细!$AB$20*SUMPRODUCT(分期持仓明细!$B$20:$Y$20,'实盘净值数据(iFinD）'!$B53:$Y53/'实盘净值数据(iFinD）'!$B$25:$Y$25)*(1-实盘持仓初始配置!$Z$7)^(('实盘净值数据(iFinD）'!$A53-'实盘净值数据(iFinD）'!$A$8)/365))</f>
        <v>0.99489475437294561</v>
      </c>
      <c r="L53" s="16">
        <f t="shared" si="0"/>
        <v>6.2092241150546457E-4</v>
      </c>
      <c r="M53" s="16">
        <f>IF(K53="","",K53/MAX(K$5:K53)-1)</f>
        <v>-8.3499183790894937E-3</v>
      </c>
      <c r="N53" s="13">
        <f>IF(OR('实盘净值数据(iFinD）'!$A53="",'实盘净值数据(iFinD）'!$B53=""),"",分期持仓明细!$AB$21*SUMPRODUCT(分期持仓明细!$B$21:$Y$21,'实盘净值数据(iFinD）'!$B53:$Y53/'实盘净值数据(iFinD）'!$B$25:$Y$25)*(1-实盘持仓初始配置!$Z$8)^(('实盘净值数据(iFinD）'!$A53-'实盘净值数据(iFinD）'!$A$5)/365))</f>
        <v>0.99457091931146535</v>
      </c>
      <c r="O53" s="16">
        <f t="shared" si="1"/>
        <v>5.4621106359031835E-4</v>
      </c>
      <c r="P53" s="16">
        <f>IF(N53="","",N53/MAX(N$5:N53)-1)</f>
        <v>-8.1172210325742844E-3</v>
      </c>
      <c r="Q53" s="13">
        <f>IF(OR('实盘净值数据(iFinD）'!$A53="",'实盘净值数据(iFinD）'!$B53=""),"",分期持仓明细!$AB$22*SUMPRODUCT(分期持仓明细!$B$22:$Y$22,'实盘净值数据(iFinD）'!$B53:$Y53/'实盘净值数据(iFinD）'!$B$25:$Y$25)*(1-实盘持仓初始配置!$Z$9)^(('实盘净值数据(iFinD）'!$A53-'实盘净值数据(iFinD）'!$A$8)/365))</f>
        <v>0.96704981847960669</v>
      </c>
      <c r="R53" s="16">
        <f t="shared" si="2"/>
        <v>2.4367855558875551E-3</v>
      </c>
      <c r="S53" s="16">
        <f>IF(Q53="","",Q53/MAX(Q$5:Q53)-1)</f>
        <v>-4.1349751466623674E-2</v>
      </c>
    </row>
    <row r="54" spans="1:19">
      <c r="A54" s="15">
        <f>IF('实盘净值数据(iFinD）'!A54="","",'实盘净值数据(iFinD）'!A54)</f>
        <v>46261</v>
      </c>
      <c r="B54" s="13">
        <f>IF(OR('实盘净值数据(iFinD）'!$A54="",'实盘净值数据(iFinD）'!$B54=""),"",分期持仓明细!$AB$17*SUMPRODUCT(分期持仓明细!$B$17:$Y$17,'实盘净值数据(iFinD）'!$B54:$Y54/'实盘净值数据(iFinD）'!$B$20:$Y$20)*(1-实盘持仓初始配置!$Z$4)^(('实盘净值数据(iFinD）'!$A54-'实盘净值数据(iFinD）'!$A$6)/365))</f>
        <v>0.84253183479133931</v>
      </c>
      <c r="C54" s="16">
        <f t="shared" si="3"/>
        <v>3.7951126172431904E-2</v>
      </c>
      <c r="D54" s="16">
        <f>IF(B54="","",B54/MAX(B$5:B54)-1)</f>
        <v>-0.21613855727048836</v>
      </c>
      <c r="E54" s="13">
        <f>IF(OR('实盘净值数据(iFinD）'!$A54="",'实盘净值数据(iFinD）'!$B54=""),"",分期持仓明细!$AB$18*SUMPRODUCT(分期持仓明细!$B$18:$Y$18,'实盘净值数据(iFinD）'!$B54:$Y54/'实盘净值数据(iFinD）'!$B$20:$Y$20)*(1-实盘持仓初始配置!$Z$5)^(('实盘净值数据(iFinD）'!$A54-'实盘净值数据(iFinD）'!$A$5)/365))</f>
        <v>0.86217768714604248</v>
      </c>
      <c r="F54" s="16">
        <f t="shared" si="4"/>
        <v>3.8031624738815273E-2</v>
      </c>
      <c r="G54" s="16">
        <f>IF(E54="","",E54/MAX(E$5:E54)-1)</f>
        <v>-0.216014567075412</v>
      </c>
      <c r="H54" s="13">
        <f>IF(OR('实盘净值数据(iFinD）'!$A54="",'实盘净值数据(iFinD）'!$B54=""),"",分期持仓明细!$AB$19*SUMPRODUCT(分期持仓明细!$B$19:$Y$19,'实盘净值数据(iFinD）'!$B54:$Y54/'实盘净值数据(iFinD）'!$B$20:$Y$20)*(1-实盘持仓初始配置!$Z$6)^(('实盘净值数据(iFinD）'!$A54-'实盘净值数据(iFinD）'!$A$7)/365))</f>
        <v>0.86188107725695751</v>
      </c>
      <c r="I54" s="16">
        <f t="shared" si="5"/>
        <v>3.5379267181956164E-2</v>
      </c>
      <c r="J54" s="16">
        <f>IF(H54="","",H54/MAX(H$5:H54)-1)</f>
        <v>-0.22472259940127171</v>
      </c>
      <c r="K54" s="13">
        <f>IF(OR('实盘净值数据(iFinD）'!$A54="",'实盘净值数据(iFinD）'!$B54=""),"",分期持仓明细!$AB$20*SUMPRODUCT(分期持仓明细!$B$20:$Y$20,'实盘净值数据(iFinD）'!$B54:$Y54/'实盘净值数据(iFinD）'!$B$25:$Y$25)*(1-实盘持仓初始配置!$Z$7)^(('实盘净值数据(iFinD）'!$A54-'实盘净值数据(iFinD）'!$A$8)/365))</f>
        <v>0.99675913946805039</v>
      </c>
      <c r="L54" s="16">
        <f t="shared" si="0"/>
        <v>1.8739520807704579E-3</v>
      </c>
      <c r="M54" s="16">
        <f>IF(K54="","",K54/MAX(K$5:K54)-1)</f>
        <v>-6.4916136452398687E-3</v>
      </c>
      <c r="N54" s="13">
        <f>IF(OR('实盘净值数据(iFinD）'!$A54="",'实盘净值数据(iFinD）'!$B54=""),"",分期持仓明细!$AB$21*SUMPRODUCT(分期持仓明细!$B$21:$Y$21,'实盘净值数据(iFinD）'!$B54:$Y54/'实盘净值数据(iFinD）'!$B$25:$Y$25)*(1-实盘持仓初始配置!$Z$8)^(('实盘净值数据(iFinD）'!$A54-'实盘净值数据(iFinD）'!$A$5)/365))</f>
        <v>0.99667352594592551</v>
      </c>
      <c r="O54" s="16">
        <f t="shared" si="1"/>
        <v>2.1140841679905265E-3</v>
      </c>
      <c r="P54" s="16">
        <f>IF(N54="","",N54/MAX(N$5:N54)-1)</f>
        <v>-6.0202973530567583E-3</v>
      </c>
      <c r="Q54" s="13">
        <f>IF(OR('实盘净值数据(iFinD）'!$A54="",'实盘净值数据(iFinD）'!$B54=""),"",分期持仓明细!$AB$22*SUMPRODUCT(分期持仓明细!$B$22:$Y$22,'实盘净值数据(iFinD）'!$B54:$Y54/'实盘净值数据(iFinD）'!$B$25:$Y$25)*(1-实盘持仓初始配置!$Z$9)^(('实盘净值数据(iFinD）'!$A54-'实盘净值数据(iFinD）'!$A$8)/365))</f>
        <v>0.97444448491427305</v>
      </c>
      <c r="R54" s="16">
        <f t="shared" si="2"/>
        <v>7.6466240863291013E-3</v>
      </c>
      <c r="S54" s="16">
        <f>IF(Q54="","",Q54/MAX(Q$5:Q54)-1)</f>
        <v>-3.401931338582298E-2</v>
      </c>
    </row>
    <row r="55" spans="1:19">
      <c r="A55" s="15">
        <f>IF('实盘净值数据(iFinD）'!A55="","",'实盘净值数据(iFinD）'!A55)</f>
        <v>46262</v>
      </c>
      <c r="B55" s="13">
        <f>IF(OR('实盘净值数据(iFinD）'!$A55="",'实盘净值数据(iFinD）'!$B55=""),"",分期持仓明细!$AB$17*SUMPRODUCT(分期持仓明细!$B$17:$Y$17,'实盘净值数据(iFinD）'!$B55:$Y55/'实盘净值数据(iFinD）'!$B$20:$Y$20)*(1-实盘持仓初始配置!$Z$4)^(('实盘净值数据(iFinD）'!$A55-'实盘净值数据(iFinD）'!$A$6)/365))</f>
        <v>0.82529512213198775</v>
      </c>
      <c r="C55" s="16">
        <f t="shared" si="3"/>
        <v>-2.0458233086967481E-2</v>
      </c>
      <c r="D55" s="16">
        <f>IF(B55="","",B55/MAX(B$5:B55)-1)</f>
        <v>-0.23217497737373527</v>
      </c>
      <c r="E55" s="13">
        <f>IF(OR('实盘净值数据(iFinD）'!$A55="",'实盘净值数据(iFinD）'!$B55=""),"",分期持仓明细!$AB$18*SUMPRODUCT(分期持仓明细!$B$18:$Y$18,'实盘净值数据(iFinD）'!$B55:$Y55/'实盘净值数据(iFinD）'!$B$20:$Y$20)*(1-实盘持仓初始配置!$Z$5)^(('实盘净值数据(iFinD）'!$A55-'实盘净值数据(iFinD）'!$A$5)/365))</f>
        <v>0.84453319404594596</v>
      </c>
      <c r="F55" s="16">
        <f t="shared" si="4"/>
        <v>-2.0465031005966861E-2</v>
      </c>
      <c r="G55" s="16">
        <f>IF(E55="","",E55/MAX(E$5:E55)-1)</f>
        <v>-0.23205885326844</v>
      </c>
      <c r="H55" s="13">
        <f>IF(OR('实盘净值数据(iFinD）'!$A55="",'实盘净值数据(iFinD）'!$B55=""),"",分期持仓明细!$AB$19*SUMPRODUCT(分期持仓明细!$B$19:$Y$19,'实盘净值数据(iFinD）'!$B55:$Y55/'实盘净值数据(iFinD）'!$B$20:$Y$20)*(1-实盘持仓初始配置!$Z$6)^(('实盘净值数据(iFinD）'!$A55-'实盘净值数据(iFinD）'!$A$7)/365))</f>
        <v>0.84381856004176514</v>
      </c>
      <c r="I55" s="16">
        <f t="shared" si="5"/>
        <v>-2.0957087574864253E-2</v>
      </c>
      <c r="J55" s="16">
        <f>IF(H55="","",H55/MAX(H$5:H55)-1)</f>
        <v>-0.24097015578043235</v>
      </c>
      <c r="K55" s="13">
        <f>IF(OR('实盘净值数据(iFinD）'!$A55="",'实盘净值数据(iFinD）'!$B55=""),"",分期持仓明细!$AB$20*SUMPRODUCT(分期持仓明细!$B$20:$Y$20,'实盘净值数据(iFinD）'!$B55:$Y55/'实盘净值数据(iFinD）'!$B$25:$Y$25)*(1-实盘持仓初始配置!$Z$7)^(('实盘净值数据(iFinD）'!$A55-'实盘净值数据(iFinD）'!$A$8)/365))</f>
        <v>0.99544472257449301</v>
      </c>
      <c r="L55" s="16">
        <f t="shared" si="0"/>
        <v>-1.318690585830895E-3</v>
      </c>
      <c r="M55" s="16">
        <f>IF(K55="","",K55/MAX(K$5:K55)-1)</f>
        <v>-7.8017438012698559E-3</v>
      </c>
      <c r="N55" s="13">
        <f>IF(OR('实盘净值数据(iFinD）'!$A55="",'实盘净值数据(iFinD）'!$B55=""),"",分期持仓明细!$AB$21*SUMPRODUCT(分期持仓明细!$B$21:$Y$21,'实盘净值数据(iFinD）'!$B55:$Y55/'实盘净值数据(iFinD）'!$B$25:$Y$25)*(1-实盘持仓初始配置!$Z$8)^(('实盘净值数据(iFinD）'!$A55-'实盘净值数据(iFinD）'!$A$5)/365))</f>
        <v>0.99534449010760007</v>
      </c>
      <c r="O55" s="16">
        <f t="shared" si="1"/>
        <v>-1.3334715969947064E-3</v>
      </c>
      <c r="P55" s="16">
        <f>IF(N55="","",N55/MAX(N$5:N55)-1)</f>
        <v>-7.3457410545256785E-3</v>
      </c>
      <c r="Q55" s="13">
        <f>IF(OR('实盘净值数据(iFinD）'!$A55="",'实盘净值数据(iFinD）'!$B55=""),"",分期持仓明细!$AB$22*SUMPRODUCT(分期持仓明细!$B$22:$Y$22,'实盘净值数据(iFinD）'!$B55:$Y55/'实盘净值数据(iFinD）'!$B$25:$Y$25)*(1-实盘持仓初始配置!$Z$9)^(('实盘净值数据(iFinD）'!$A55-'实盘净值数据(iFinD）'!$A$8)/365))</f>
        <v>0.9706880520372988</v>
      </c>
      <c r="R55" s="16">
        <f t="shared" si="2"/>
        <v>-3.8549480602835251E-3</v>
      </c>
      <c r="S55" s="16">
        <f>IF(Q55="","",Q55/MAX(Q$5:Q55)-1)</f>
        <v>-3.7743118759957617E-2</v>
      </c>
    </row>
    <row r="56" spans="1:19">
      <c r="A56" s="15">
        <f>IF('实盘净值数据(iFinD）'!A56="","",'实盘净值数据(iFinD）'!A56)</f>
        <v>46265</v>
      </c>
      <c r="B56" s="13">
        <f>IF(OR('实盘净值数据(iFinD）'!$A56="",'实盘净值数据(iFinD）'!$B56=""),"",分期持仓明细!$AB$17*SUMPRODUCT(分期持仓明细!$B$17:$Y$17,'实盘净值数据(iFinD）'!$B56:$Y56/'实盘净值数据(iFinD）'!$B$20:$Y$20)*(1-实盘持仓初始配置!$Z$4)^(('实盘净值数据(iFinD）'!$A56-'实盘净值数据(iFinD）'!$A$6)/365))</f>
        <v>0.82921309797789811</v>
      </c>
      <c r="C56" s="16">
        <f t="shared" si="3"/>
        <v>4.7473633865531273E-3</v>
      </c>
      <c r="D56" s="16">
        <f>IF(B56="","",B56/MAX(B$5:B56)-1)</f>
        <v>-0.22852983297403995</v>
      </c>
      <c r="E56" s="13">
        <f>IF(OR('实盘净值数据(iFinD）'!$A56="",'实盘净值数据(iFinD）'!$B56=""),"",分期持仓明细!$AB$18*SUMPRODUCT(分期持仓明细!$B$18:$Y$18,'实盘净值数据(iFinD）'!$B56:$Y56/'实盘净值数据(iFinD）'!$B$20:$Y$20)*(1-实盘持仓初始配置!$Z$5)^(('实盘净值数据(iFinD）'!$A56-'实盘净值数据(iFinD）'!$A$5)/365))</f>
        <v>0.84858335858677658</v>
      </c>
      <c r="F56" s="16">
        <f t="shared" si="4"/>
        <v>4.7957434584984249E-3</v>
      </c>
      <c r="G56" s="16">
        <f>IF(E56="","",E56/MAX(E$5:E56)-1)</f>
        <v>-0.2283760045374903</v>
      </c>
      <c r="H56" s="13">
        <f>IF(OR('实盘净值数据(iFinD）'!$A56="",'实盘净值数据(iFinD）'!$B56=""),"",分期持仓明细!$AB$19*SUMPRODUCT(分期持仓明细!$B$19:$Y$19,'实盘净值数据(iFinD）'!$B56:$Y56/'实盘净值数据(iFinD）'!$B$20:$Y$20)*(1-实盘持仓初始配置!$Z$6)^(('实盘净值数据(iFinD）'!$A56-'实盘净值数据(iFinD）'!$A$7)/365))</f>
        <v>0.85026427200012245</v>
      </c>
      <c r="I56" s="16">
        <f t="shared" si="5"/>
        <v>7.6387416247851725E-3</v>
      </c>
      <c r="J56" s="16">
        <f>IF(H56="","",H56/MAX(H$5:H56)-1)</f>
        <v>-0.23517212291493816</v>
      </c>
      <c r="K56" s="13">
        <f>IF(OR('实盘净值数据(iFinD）'!$A56="",'实盘净值数据(iFinD）'!$B56=""),"",分期持仓明细!$AB$20*SUMPRODUCT(分期持仓明细!$B$20:$Y$20,'实盘净值数据(iFinD）'!$B56:$Y56/'实盘净值数据(iFinD）'!$B$25:$Y$25)*(1-实盘持仓初始配置!$Z$7)^(('实盘净值数据(iFinD）'!$A56-'实盘净值数据(iFinD）'!$A$8)/365))</f>
        <v>0.99467191549696121</v>
      </c>
      <c r="L56" s="16">
        <f t="shared" si="0"/>
        <v>-7.7634353772360054E-4</v>
      </c>
      <c r="M56" s="16">
        <f>IF(K56="","",K56/MAX(K$5:K56)-1)</f>
        <v>-8.5720305056103951E-3</v>
      </c>
      <c r="N56" s="13">
        <f>IF(OR('实盘净值数据(iFinD）'!$A56="",'实盘净值数据(iFinD）'!$B56=""),"",分期持仓明细!$AB$21*SUMPRODUCT(分期持仓明细!$B$21:$Y$21,'实盘净值数据(iFinD）'!$B56:$Y56/'实盘净值数据(iFinD）'!$B$25:$Y$25)*(1-实盘持仓初始配置!$Z$8)^(('实盘净值数据(iFinD）'!$A56-'实盘净值数据(iFinD）'!$A$5)/365))</f>
        <v>0.99454579473662941</v>
      </c>
      <c r="O56" s="16">
        <f t="shared" si="1"/>
        <v>-8.024310968801629E-4</v>
      </c>
      <c r="P56" s="16">
        <f>IF(N56="","",N56/MAX(N$5:N56)-1)</f>
        <v>-8.1422777003540281E-3</v>
      </c>
      <c r="Q56" s="13">
        <f>IF(OR('实盘净值数据(iFinD）'!$A56="",'实盘净值数据(iFinD）'!$B56=""),"",分期持仓明细!$AB$22*SUMPRODUCT(分期持仓明细!$B$22:$Y$22,'实盘净值数据(iFinD）'!$B56:$Y56/'实盘净值数据(iFinD）'!$B$25:$Y$25)*(1-实盘持仓初始配置!$Z$9)^(('实盘净值数据(iFinD）'!$A56-'实盘净值数据(iFinD）'!$A$8)/365))</f>
        <v>0.96984713116383037</v>
      </c>
      <c r="R56" s="16">
        <f t="shared" si="2"/>
        <v>-8.6631423113070483E-4</v>
      </c>
      <c r="S56" s="16">
        <f>IF(Q56="","",Q56/MAX(Q$5:Q56)-1)</f>
        <v>-3.8576735590179378E-2</v>
      </c>
    </row>
    <row r="57" spans="1:19">
      <c r="A57" s="15">
        <f>IF('实盘净值数据(iFinD）'!A57="","",'实盘净值数据(iFinD）'!A57)</f>
        <v>46266</v>
      </c>
      <c r="B57" s="13">
        <f>IF(OR('实盘净值数据(iFinD）'!$A57="",'实盘净值数据(iFinD）'!$B57=""),"",分期持仓明细!$AB$17*SUMPRODUCT(分期持仓明细!$B$17:$Y$17,'实盘净值数据(iFinD）'!$B57:$Y57/'实盘净值数据(iFinD）'!$B$20:$Y$20)*(1-实盘持仓初始配置!$Z$4)^(('实盘净值数据(iFinD）'!$A57-'实盘净值数据(iFinD）'!$A$6)/365))</f>
        <v>0.80431702740255684</v>
      </c>
      <c r="C57" s="16">
        <f t="shared" si="3"/>
        <v>-3.002373049346696E-2</v>
      </c>
      <c r="D57" s="16">
        <f>IF(B57="","",B57/MAX(B$5:B57)-1)</f>
        <v>-0.25169224535257728</v>
      </c>
      <c r="E57" s="13">
        <f>IF(OR('实盘净值数据(iFinD）'!$A57="",'实盘净值数据(iFinD）'!$B57=""),"",分期持仓明细!$AB$18*SUMPRODUCT(分期持仓明细!$B$18:$Y$18,'实盘净值数据(iFinD）'!$B57:$Y57/'实盘净值数据(iFinD）'!$B$20:$Y$20)*(1-实盘持仓初始配置!$Z$5)^(('实盘净值数据(iFinD）'!$A57-'实盘净值数据(iFinD）'!$A$5)/365))</f>
        <v>0.82310644044768921</v>
      </c>
      <c r="F57" s="16">
        <f t="shared" si="4"/>
        <v>-3.0022882114394078E-2</v>
      </c>
      <c r="G57" s="16">
        <f>IF(E57="","",E57/MAX(E$5:E57)-1)</f>
        <v>-0.25154238078989899</v>
      </c>
      <c r="H57" s="13">
        <f>IF(OR('实盘净值数据(iFinD）'!$A57="",'实盘净值数据(iFinD）'!$B57=""),"",分期持仓明细!$AB$19*SUMPRODUCT(分期持仓明细!$B$19:$Y$19,'实盘净值数据(iFinD）'!$B57:$Y57/'实盘净值数据(iFinD）'!$B$20:$Y$20)*(1-实盘持仓初始配置!$Z$6)^(('实盘净值数据(iFinD）'!$A57-'实盘净值数据(iFinD）'!$A$7)/365))</f>
        <v>0.8251553271521076</v>
      </c>
      <c r="I57" s="16">
        <f t="shared" si="5"/>
        <v>-2.9530753760768635E-2</v>
      </c>
      <c r="J57" s="16">
        <f>IF(H57="","",H57/MAX(H$5:H57)-1)</f>
        <v>-0.25775806662250855</v>
      </c>
      <c r="K57" s="13">
        <f>IF(OR('实盘净值数据(iFinD）'!$A57="",'实盘净值数据(iFinD）'!$B57=""),"",分期持仓明细!$AB$20*SUMPRODUCT(分期持仓明细!$B$20:$Y$20,'实盘净值数据(iFinD）'!$B57:$Y57/'实盘净值数据(iFinD）'!$B$25:$Y$25)*(1-实盘持仓初始配置!$Z$7)^(('实盘净值数据(iFinD）'!$A57-'实盘净值数据(iFinD）'!$A$8)/365))</f>
        <v>0.9929234386719451</v>
      </c>
      <c r="L57" s="16">
        <f t="shared" si="0"/>
        <v>-1.7578427597833013E-3</v>
      </c>
      <c r="M57" s="16">
        <f>IF(K57="","",K57/MAX(K$5:K57)-1)</f>
        <v>-1.0314804983632797E-2</v>
      </c>
      <c r="N57" s="13">
        <f>IF(OR('实盘净值数据(iFinD）'!$A57="",'实盘净值数据(iFinD）'!$B57=""),"",分期持仓明细!$AB$21*SUMPRODUCT(分期持仓明细!$B$21:$Y$21,'实盘净值数据(iFinD）'!$B57:$Y57/'实盘净值数据(iFinD）'!$B$25:$Y$25)*(1-实盘持仓初始配置!$Z$8)^(('实盘净值数据(iFinD）'!$A57-'实盘净值数据(iFinD）'!$A$5)/365))</f>
        <v>0.99272451228945513</v>
      </c>
      <c r="O57" s="16">
        <f t="shared" si="1"/>
        <v>-1.8312705727709933E-3</v>
      </c>
      <c r="P57" s="16">
        <f>IF(N57="","",N57/MAX(N$5:N57)-1)</f>
        <v>-9.9586375595770438E-3</v>
      </c>
      <c r="Q57" s="13">
        <f>IF(OR('实盘净值数据(iFinD）'!$A57="",'实盘净值数据(iFinD）'!$B57=""),"",分期持仓明细!$AB$22*SUMPRODUCT(分期持仓明细!$B$22:$Y$22,'实盘净值数据(iFinD）'!$B57:$Y57/'实盘净值数据(iFinD）'!$B$25:$Y$25)*(1-实盘持仓初始配置!$Z$9)^(('实盘净值数据(iFinD）'!$A57-'实盘净值数据(iFinD）'!$A$8)/365))</f>
        <v>0.96365593560167917</v>
      </c>
      <c r="R57" s="16">
        <f t="shared" si="2"/>
        <v>-6.3836818847127219E-3</v>
      </c>
      <c r="S57" s="16">
        <f>IF(Q57="","",Q57/MAX(Q$5:Q57)-1)</f>
        <v>-4.4714155866733662E-2</v>
      </c>
    </row>
    <row r="58" spans="1:19">
      <c r="A58" s="15">
        <f>IF('实盘净值数据(iFinD）'!A58="","",'实盘净值数据(iFinD）'!A58)</f>
        <v>46267</v>
      </c>
      <c r="B58" s="13">
        <f>IF(OR('实盘净值数据(iFinD）'!$A58="",'实盘净值数据(iFinD）'!$B58=""),"",分期持仓明细!$AB$17*SUMPRODUCT(分期持仓明细!$B$17:$Y$17,'实盘净值数据(iFinD）'!$B58:$Y58/'实盘净值数据(iFinD）'!$B$20:$Y$20)*(1-实盘持仓初始配置!$Z$4)^(('实盘净值数据(iFinD）'!$A58-'实盘净值数据(iFinD）'!$A$6)/365))</f>
        <v>0.79223521178555889</v>
      </c>
      <c r="C58" s="16">
        <f t="shared" si="3"/>
        <v>-1.5021210797954487E-2</v>
      </c>
      <c r="D58" s="16">
        <f>IF(B58="","",B58/MAX(B$5:B58)-1)</f>
        <v>-0.26293273387688032</v>
      </c>
      <c r="E58" s="13">
        <f>IF(OR('实盘净值数据(iFinD）'!$A58="",'实盘净值数据(iFinD）'!$B58=""),"",分期持仓明细!$AB$18*SUMPRODUCT(分期持仓明细!$B$18:$Y$18,'实盘净值数据(iFinD）'!$B58:$Y58/'实盘净值数据(iFinD）'!$B$20:$Y$20)*(1-实盘持仓初始配置!$Z$5)^(('实盘净值数据(iFinD）'!$A58-'实盘净值数据(iFinD）'!$A$5)/365))</f>
        <v>0.81072712133576563</v>
      </c>
      <c r="F58" s="16">
        <f t="shared" si="4"/>
        <v>-1.5039754889040191E-2</v>
      </c>
      <c r="G58" s="16">
        <f>IF(E58="","",E58/MAX(E$5:E58)-1)</f>
        <v>-0.26279899992765343</v>
      </c>
      <c r="H58" s="13">
        <f>IF(OR('实盘净值数据(iFinD）'!$A58="",'实盘净值数据(iFinD）'!$B58=""),"",分期持仓明细!$AB$19*SUMPRODUCT(分期持仓明细!$B$19:$Y$19,'实盘净值数据(iFinD）'!$B58:$Y58/'实盘净值数据(iFinD）'!$B$20:$Y$20)*(1-实盘持仓初始配置!$Z$6)^(('实盘净值数据(iFinD）'!$A58-'实盘净值数据(iFinD）'!$A$7)/365))</f>
        <v>0.81178658007148585</v>
      </c>
      <c r="I58" s="16">
        <f t="shared" si="5"/>
        <v>-1.6201491574637017E-2</v>
      </c>
      <c r="J58" s="16">
        <f>IF(H58="","",H58/MAX(H$5:H58)-1)</f>
        <v>-0.26978349305246629</v>
      </c>
      <c r="K58" s="13">
        <f>IF(OR('实盘净值数据(iFinD）'!$A58="",'实盘净值数据(iFinD）'!$B58=""),"",分期持仓明细!$AB$20*SUMPRODUCT(分期持仓明细!$B$20:$Y$20,'实盘净值数据(iFinD）'!$B58:$Y58/'实盘净值数据(iFinD）'!$B$25:$Y$25)*(1-实盘持仓初始配置!$Z$7)^(('实盘净值数据(iFinD）'!$A58-'实盘净值数据(iFinD）'!$A$8)/365))</f>
        <v>0.98997513143231231</v>
      </c>
      <c r="L58" s="16">
        <f t="shared" si="0"/>
        <v>-2.9693198133948773E-3</v>
      </c>
      <c r="M58" s="16">
        <f>IF(K58="","",K58/MAX(K$5:K58)-1)</f>
        <v>-1.3253496842218437E-2</v>
      </c>
      <c r="N58" s="13">
        <f>IF(OR('实盘净值数据(iFinD）'!$A58="",'实盘净值数据(iFinD）'!$B58=""),"",分期持仓明细!$AB$21*SUMPRODUCT(分期持仓明细!$B$21:$Y$21,'实盘净值数据(iFinD）'!$B58:$Y58/'实盘净值数据(iFinD）'!$B$25:$Y$25)*(1-实盘持仓初始配置!$Z$8)^(('实盘净值数据(iFinD）'!$A58-'实盘净值数据(iFinD）'!$A$5)/365))</f>
        <v>0.98986420962271293</v>
      </c>
      <c r="O58" s="16">
        <f t="shared" si="1"/>
        <v>-2.8812652768547276E-3</v>
      </c>
      <c r="P58" s="16">
        <f>IF(N58="","",N58/MAX(N$5:N58)-1)</f>
        <v>-1.2811209359826603E-2</v>
      </c>
      <c r="Q58" s="13">
        <f>IF(OR('实盘净值数据(iFinD）'!$A58="",'实盘净值数据(iFinD）'!$B58=""),"",分期持仓明细!$AB$22*SUMPRODUCT(分期持仓明细!$B$22:$Y$22,'实盘净值数据(iFinD）'!$B58:$Y58/'实盘净值数据(iFinD）'!$B$25:$Y$25)*(1-实盘持仓初始配置!$Z$9)^(('实盘净值数据(iFinD）'!$A58-'实盘净值数据(iFinD）'!$A$8)/365))</f>
        <v>0.95663921437228283</v>
      </c>
      <c r="R58" s="16">
        <f t="shared" si="2"/>
        <v>-7.2813552743959953E-3</v>
      </c>
      <c r="S58" s="16">
        <f>IF(Q58="","",Q58/MAX(Q$5:Q58)-1)</f>
        <v>-5.1669931486469367E-2</v>
      </c>
    </row>
    <row r="59" spans="1:19">
      <c r="A59" s="15">
        <f>IF('实盘净值数据(iFinD）'!A59="","",'实盘净值数据(iFinD）'!A59)</f>
        <v>46268</v>
      </c>
      <c r="B59" s="13">
        <f>IF(OR('实盘净值数据(iFinD）'!$A59="",'实盘净值数据(iFinD）'!$B59=""),"",分期持仓明细!$AB$17*SUMPRODUCT(分期持仓明细!$B$17:$Y$17,'实盘净值数据(iFinD）'!$B59:$Y59/'实盘净值数据(iFinD）'!$B$20:$Y$20)*(1-实盘持仓初始配置!$Z$4)^(('实盘净值数据(iFinD）'!$A59-'实盘净值数据(iFinD）'!$A$6)/365))</f>
        <v>0.78846776908562322</v>
      </c>
      <c r="C59" s="16">
        <f t="shared" si="3"/>
        <v>-4.7554597976584567E-3</v>
      </c>
      <c r="D59" s="16">
        <f>IF(B59="","",B59/MAX(B$5:B59)-1)</f>
        <v>-0.26643782762909884</v>
      </c>
      <c r="E59" s="13">
        <f>IF(OR('实盘净值数据(iFinD）'!$A59="",'实盘净值数据(iFinD）'!$B59=""),"",分期持仓明细!$AB$18*SUMPRODUCT(分期持仓明细!$B$18:$Y$18,'实盘净值数据(iFinD）'!$B59:$Y59/'实盘净值数据(iFinD）'!$B$20:$Y$20)*(1-实盘持仓初始配置!$Z$5)^(('实盘净值数据(iFinD）'!$A59-'实盘净值数据(iFinD）'!$A$5)/365))</f>
        <v>0.80688850106442223</v>
      </c>
      <c r="F59" s="16">
        <f t="shared" si="4"/>
        <v>-4.734787045262312E-3</v>
      </c>
      <c r="G59" s="16">
        <f>IF(E59="","",E59/MAX(E$5:E59)-1)</f>
        <v>-0.26628948967255039</v>
      </c>
      <c r="H59" s="13">
        <f>IF(OR('实盘净值数据(iFinD）'!$A59="",'实盘净值数据(iFinD）'!$B59=""),"",分期持仓明细!$AB$19*SUMPRODUCT(分期持仓明细!$B$19:$Y$19,'实盘净值数据(iFinD）'!$B59:$Y59/'实盘净值数据(iFinD）'!$B$20:$Y$20)*(1-实盘持仓初始配置!$Z$6)^(('实盘净值数据(iFinD）'!$A59-'实盘净值数据(iFinD）'!$A$7)/365))</f>
        <v>0.8064983248125529</v>
      </c>
      <c r="I59" s="16">
        <f t="shared" si="5"/>
        <v>-6.5143418094781858E-3</v>
      </c>
      <c r="J59" s="16">
        <f>IF(H59="","",H59/MAX(H$5:H59)-1)</f>
        <v>-0.27454037297364575</v>
      </c>
      <c r="K59" s="13">
        <f>IF(OR('实盘净值数据(iFinD）'!$A59="",'实盘净值数据(iFinD）'!$B59=""),"",分期持仓明细!$AB$20*SUMPRODUCT(分期持仓明细!$B$20:$Y$20,'实盘净值数据(iFinD）'!$B59:$Y59/'实盘净值数据(iFinD）'!$B$25:$Y$25)*(1-实盘持仓初始配置!$Z$7)^(('实盘净值数据(iFinD）'!$A59-'实盘净值数据(iFinD）'!$A$8)/365))</f>
        <v>0.99136541199745853</v>
      </c>
      <c r="L59" s="16">
        <f t="shared" si="0"/>
        <v>1.4043590803485273E-3</v>
      </c>
      <c r="M59" s="16">
        <f>IF(K59="","",K59/MAX(K$5:K59)-1)</f>
        <v>-1.1867750430506585E-2</v>
      </c>
      <c r="N59" s="13">
        <f>IF(OR('实盘净值数据(iFinD）'!$A59="",'实盘净值数据(iFinD）'!$B59=""),"",分期持仓明细!$AB$21*SUMPRODUCT(分期持仓明细!$B$21:$Y$21,'实盘净值数据(iFinD）'!$B59:$Y59/'实盘净值数据(iFinD）'!$B$25:$Y$25)*(1-实盘持仓初始配置!$Z$8)^(('实盘净值数据(iFinD）'!$A59-'实盘净值数据(iFinD）'!$A$5)/365))</f>
        <v>0.99128882275518337</v>
      </c>
      <c r="O59" s="16">
        <f t="shared" si="1"/>
        <v>1.4392005677359432E-3</v>
      </c>
      <c r="P59" s="16">
        <f>IF(N59="","",N59/MAX(N$5:N59)-1)</f>
        <v>-1.1390446691874723E-2</v>
      </c>
      <c r="Q59" s="13">
        <f>IF(OR('实盘净值数据(iFinD）'!$A59="",'实盘净值数据(iFinD）'!$B59=""),"",分期持仓明细!$AB$22*SUMPRODUCT(分期持仓明细!$B$22:$Y$22,'实盘净值数据(iFinD）'!$B59:$Y59/'实盘净值数据(iFinD）'!$B$25:$Y$25)*(1-实盘持仓初始配置!$Z$9)^(('实盘净值数据(iFinD）'!$A59-'实盘净值数据(iFinD）'!$A$8)/365))</f>
        <v>0.95835822684860839</v>
      </c>
      <c r="R59" s="16">
        <f t="shared" si="2"/>
        <v>1.7969287172212578E-3</v>
      </c>
      <c r="S59" s="16">
        <f>IF(Q59="","",Q59/MAX(Q$5:Q59)-1)</f>
        <v>-4.9965849952952945E-2</v>
      </c>
    </row>
    <row r="60" spans="1:19">
      <c r="A60" s="15">
        <f>IF('实盘净值数据(iFinD）'!A60="","",'实盘净值数据(iFinD）'!A60)</f>
        <v>46269</v>
      </c>
      <c r="B60" s="13">
        <f>IF(OR('实盘净值数据(iFinD）'!$A60="",'实盘净值数据(iFinD）'!$B60=""),"",分期持仓明细!$AB$17*SUMPRODUCT(分期持仓明细!$B$17:$Y$17,'实盘净值数据(iFinD）'!$B60:$Y60/'实盘净值数据(iFinD）'!$B$20:$Y$20)*(1-实盘持仓初始配置!$Z$4)^(('实盘净值数据(iFinD）'!$A60-'实盘净值数据(iFinD）'!$A$6)/365))</f>
        <v>0.76892611058517346</v>
      </c>
      <c r="C60" s="16">
        <f t="shared" ref="C60:C123" si="6">IF(OR(B59="",B60=""),"",B60/B59-1)</f>
        <v>-2.4784346636149701E-2</v>
      </c>
      <c r="D60" s="16">
        <f>IF(B60="","",B60/MAX(B$5:B60)-1)</f>
        <v>-0.28461868678830626</v>
      </c>
      <c r="E60" s="13">
        <f>IF(OR('实盘净值数据(iFinD）'!$A60="",'实盘净值数据(iFinD）'!$B60=""),"",分期持仓明细!$AB$18*SUMPRODUCT(分期持仓明细!$B$18:$Y$18,'实盘净值数据(iFinD）'!$B60:$Y60/'实盘净值数据(iFinD）'!$B$20:$Y$20)*(1-实盘持仓初始配置!$Z$5)^(('实盘净值数据(iFinD）'!$A60-'实盘净值数据(iFinD）'!$A$5)/365))</f>
        <v>0.78689307916126394</v>
      </c>
      <c r="F60" s="16">
        <f t="shared" ref="F60:F123" si="7">IF(OR(E59="",E60=""),"",E60/E59-1)</f>
        <v>-2.4780898323350731E-2</v>
      </c>
      <c r="G60" s="16">
        <f>IF(E60="","",E60/MAX(E$5:E60)-1)</f>
        <v>-0.28447149522774873</v>
      </c>
      <c r="H60" s="13">
        <f>IF(OR('实盘净值数据(iFinD）'!$A60="",'实盘净值数据(iFinD）'!$B60=""),"",分期持仓明细!$AB$19*SUMPRODUCT(分期持仓明细!$B$19:$Y$19,'实盘净值数据(iFinD）'!$B60:$Y60/'实盘净值数据(iFinD）'!$B$20:$Y$20)*(1-实盘持仓初始配置!$Z$6)^(('实盘净值数据(iFinD）'!$A60-'实盘净值数据(iFinD）'!$A$7)/365))</f>
        <v>0.78467341959258174</v>
      </c>
      <c r="I60" s="16">
        <f t="shared" ref="I60:I123" si="8">IF(OR(H59="",H60=""),"",H60/H59-1)</f>
        <v>-2.7061315006505104E-2</v>
      </c>
      <c r="J60" s="16">
        <f>IF(H60="","",H60/MAX(H$5:H60)-1)</f>
        <v>-0.29417226446510758</v>
      </c>
      <c r="K60" s="13">
        <f>IF(OR('实盘净值数据(iFinD）'!$A60="",'实盘净值数据(iFinD）'!$B60=""),"",分期持仓明细!$AB$20*SUMPRODUCT(分期持仓明细!$B$20:$Y$20,'实盘净值数据(iFinD）'!$B60:$Y60/'实盘净值数据(iFinD）'!$B$25:$Y$25)*(1-实盘持仓初始配置!$Z$7)^(('实盘净值数据(iFinD）'!$A60-'实盘净值数据(iFinD）'!$A$8)/365))</f>
        <v>0.98996201248663152</v>
      </c>
      <c r="L60" s="16">
        <f t="shared" ref="L60:L123" si="9">IF(OR(K59="",K60=""),"",K60/K59-1)</f>
        <v>-1.4156228307373731E-3</v>
      </c>
      <c r="M60" s="16">
        <f>IF(K60="","",K60/MAX(K$5:K60)-1)</f>
        <v>-1.3266573002785109E-2</v>
      </c>
      <c r="N60" s="13">
        <f>IF(OR('实盘净值数据(iFinD）'!$A60="",'实盘净值数据(iFinD）'!$B60=""),"",分期持仓明细!$AB$21*SUMPRODUCT(分期持仓明细!$B$21:$Y$21,'实盘净值数据(iFinD）'!$B60:$Y60/'实盘净值数据(iFinD）'!$B$25:$Y$25)*(1-实盘持仓初始配置!$Z$8)^(('实盘净值数据(iFinD）'!$A60-'实盘净值数据(iFinD）'!$A$5)/365))</f>
        <v>0.98992443341714009</v>
      </c>
      <c r="O60" s="16">
        <f t="shared" ref="O60:O123" si="10">IF(OR(N59="",N60=""),"",N60/N59-1)</f>
        <v>-1.376379221396995E-3</v>
      </c>
      <c r="P60" s="16">
        <f>IF(N60="","",N60/MAX(N$5:N60)-1)</f>
        <v>-1.2751148339122609E-2</v>
      </c>
      <c r="Q60" s="13">
        <f>IF(OR('实盘净值数据(iFinD）'!$A60="",'实盘净值数据(iFinD）'!$B60=""),"",分期持仓明细!$AB$22*SUMPRODUCT(分期持仓明细!$B$22:$Y$22,'实盘净值数据(iFinD）'!$B60:$Y60/'实盘净值数据(iFinD）'!$B$25:$Y$25)*(1-实盘持仓初始配置!$Z$9)^(('实盘净值数据(iFinD）'!$A60-'实盘净值数据(iFinD）'!$A$8)/365))</f>
        <v>0.95353177722050331</v>
      </c>
      <c r="R60" s="16">
        <f t="shared" ref="R60:R123" si="11">IF(OR(Q59="",Q60=""),"",Q60/Q59-1)</f>
        <v>-5.0361644454975929E-3</v>
      </c>
      <c r="S60" s="16">
        <f>IF(Q60="","",Q60/MAX(Q$5:Q60)-1)</f>
        <v>-5.475037816142847E-2</v>
      </c>
    </row>
    <row r="61" spans="1:19">
      <c r="A61" s="15">
        <f>IF('实盘净值数据(iFinD）'!A61="","",'实盘净值数据(iFinD）'!A61)</f>
        <v>46272</v>
      </c>
      <c r="B61" s="13">
        <f>IF(OR('实盘净值数据(iFinD）'!$A61="",'实盘净值数据(iFinD）'!$B61=""),"",分期持仓明细!$AB$17*SUMPRODUCT(分期持仓明细!$B$17:$Y$17,'实盘净值数据(iFinD）'!$B61:$Y61/'实盘净值数据(iFinD）'!$B$20:$Y$20)*(1-实盘持仓初始配置!$Z$4)^(('实盘净值数据(iFinD）'!$A61-'实盘净值数据(iFinD）'!$A$6)/365))</f>
        <v>0.81281403528418172</v>
      </c>
      <c r="C61" s="16">
        <f t="shared" si="6"/>
        <v>5.7076907774153085E-2</v>
      </c>
      <c r="D61" s="16">
        <f>IF(B61="","",B61/MAX(B$5:B61)-1)</f>
        <v>-0.24378693355076986</v>
      </c>
      <c r="E61" s="13">
        <f>IF(OR('实盘净值数据(iFinD）'!$A61="",'实盘净值数据(iFinD）'!$B61=""),"",分期持仓明细!$AB$18*SUMPRODUCT(分期持仓明细!$B$18:$Y$18,'实盘净值数据(iFinD）'!$B61:$Y61/'实盘净值数据(iFinD）'!$B$20:$Y$20)*(1-实盘持仓初始配置!$Z$5)^(('实盘净值数据(iFinD）'!$A61-'实盘净值数据(iFinD）'!$A$5)/365))</f>
        <v>0.83193295898880537</v>
      </c>
      <c r="F61" s="16">
        <f t="shared" si="7"/>
        <v>5.723761082706269E-2</v>
      </c>
      <c r="G61" s="16">
        <f>IF(E61="","",E61/MAX(E$5:E61)-1)</f>
        <v>-0.24351635313592457</v>
      </c>
      <c r="H61" s="13">
        <f>IF(OR('实盘净值数据(iFinD）'!$A61="",'实盘净值数据(iFinD）'!$B61=""),"",分期持仓明细!$AB$19*SUMPRODUCT(分期持仓明细!$B$19:$Y$19,'实盘净值数据(iFinD）'!$B61:$Y61/'实盘净值数据(iFinD）'!$B$20:$Y$20)*(1-实盘持仓初始配置!$Z$6)^(('实盘净值数据(iFinD）'!$A61-'实盘净值数据(iFinD）'!$A$7)/365))</f>
        <v>0.82687940469607291</v>
      </c>
      <c r="I61" s="16">
        <f t="shared" si="8"/>
        <v>5.3787963310144127E-2</v>
      </c>
      <c r="J61" s="16">
        <f>IF(H61="","",H61/MAX(H$5:H61)-1)</f>
        <v>-0.25620722812287466</v>
      </c>
      <c r="K61" s="13">
        <f>IF(OR('实盘净值数据(iFinD）'!$A61="",'实盘净值数据(iFinD）'!$B61=""),"",分期持仓明细!$AB$20*SUMPRODUCT(分期持仓明细!$B$20:$Y$20,'实盘净值数据(iFinD）'!$B61:$Y61/'实盘净值数据(iFinD）'!$B$25:$Y$25)*(1-实盘持仓初始配置!$Z$7)^(('实盘净值数据(iFinD）'!$A61-'实盘净值数据(iFinD）'!$A$8)/365))</f>
        <v>0.99258684475046999</v>
      </c>
      <c r="L61" s="16">
        <f t="shared" si="9"/>
        <v>2.6514474603376303E-3</v>
      </c>
      <c r="M61" s="16">
        <f>IF(K61="","",K61/MAX(K$5:K61)-1)</f>
        <v>-1.0650301163743103E-2</v>
      </c>
      <c r="N61" s="13">
        <f>IF(OR('实盘净值数据(iFinD）'!$A61="",'实盘净值数据(iFinD）'!$B61=""),"",分期持仓明细!$AB$21*SUMPRODUCT(分期持仓明细!$B$21:$Y$21,'实盘净值数据(iFinD）'!$B61:$Y61/'实盘净值数据(iFinD）'!$B$25:$Y$25)*(1-实盘持仓初始配置!$Z$8)^(('实盘净值数据(iFinD）'!$A61-'实盘净值数据(iFinD）'!$A$5)/365))</f>
        <v>0.99288752592822493</v>
      </c>
      <c r="O61" s="16">
        <f t="shared" si="10"/>
        <v>2.9932512129804412E-3</v>
      </c>
      <c r="P61" s="16">
        <f>IF(N61="","",N61/MAX(N$5:N61)-1)</f>
        <v>-9.796064516375047E-3</v>
      </c>
      <c r="Q61" s="13">
        <f>IF(OR('实盘净值数据(iFinD）'!$A61="",'实盘净值数据(iFinD）'!$B61=""),"",分期持仓明细!$AB$22*SUMPRODUCT(分期持仓明细!$B$22:$Y$22,'实盘净值数据(iFinD）'!$B61:$Y61/'实盘净值数据(iFinD）'!$B$25:$Y$25)*(1-实盘持仓初始配置!$Z$9)^(('实盘净值数据(iFinD）'!$A61-'实盘净值数据(iFinD）'!$A$8)/365))</f>
        <v>0.96164033211582012</v>
      </c>
      <c r="R61" s="16">
        <f t="shared" si="11"/>
        <v>8.5037070489175637E-3</v>
      </c>
      <c r="S61" s="16">
        <f>IF(Q61="","",Q61/MAX(Q$5:Q61)-1)</f>
        <v>-4.6712252289213163E-2</v>
      </c>
    </row>
    <row r="62" spans="1:19">
      <c r="A62" s="15">
        <f>IF('实盘净值数据(iFinD）'!A62="","",'实盘净值数据(iFinD）'!A62)</f>
        <v>46273</v>
      </c>
      <c r="B62" s="13">
        <f>IF(OR('实盘净值数据(iFinD）'!$A62="",'实盘净值数据(iFinD）'!$B62=""),"",分期持仓明细!$AB$17*SUMPRODUCT(分期持仓明细!$B$17:$Y$17,'实盘净值数据(iFinD）'!$B62:$Y62/'实盘净值数据(iFinD）'!$B$20:$Y$20)*(1-实盘持仓初始配置!$Z$4)^(('实盘净值数据(iFinD）'!$A62-'实盘净值数据(iFinD）'!$A$6)/365))</f>
        <v>0.80503419454881331</v>
      </c>
      <c r="C62" s="16">
        <f t="shared" si="6"/>
        <v>-9.5714891692887383E-3</v>
      </c>
      <c r="D62" s="16">
        <f>IF(B62="","",B62/MAX(B$5:B62)-1)</f>
        <v>-0.25102501872596328</v>
      </c>
      <c r="E62" s="13">
        <f>IF(OR('实盘净值数据(iFinD）'!$A62="",'实盘净值数据(iFinD）'!$B62=""),"",分期持仓明细!$AB$18*SUMPRODUCT(分期持仓明细!$B$18:$Y$18,'实盘净值数据(iFinD）'!$B62:$Y62/'实盘净值数据(iFinD）'!$B$20:$Y$20)*(1-实盘持仓初始配置!$Z$5)^(('实盘净值数据(iFinD）'!$A62-'实盘净值数据(iFinD）'!$A$5)/365))</f>
        <v>0.82398386294683612</v>
      </c>
      <c r="F62" s="16">
        <f t="shared" si="7"/>
        <v>-9.5549718953690244E-3</v>
      </c>
      <c r="G62" s="16">
        <f>IF(E62="","",E62/MAX(E$5:E62)-1)</f>
        <v>-0.25074453312101708</v>
      </c>
      <c r="H62" s="13">
        <f>IF(OR('实盘净值数据(iFinD）'!$A62="",'实盘净值数据(iFinD）'!$B62=""),"",分期持仓明细!$AB$19*SUMPRODUCT(分期持仓明细!$B$19:$Y$19,'实盘净值数据(iFinD）'!$B62:$Y62/'实盘净值数据(iFinD）'!$B$20:$Y$20)*(1-实盘持仓初始配置!$Z$6)^(('实盘净值数据(iFinD）'!$A62-'实盘净值数据(iFinD）'!$A$7)/365))</f>
        <v>0.81827818348174886</v>
      </c>
      <c r="I62" s="16">
        <f t="shared" si="8"/>
        <v>-1.0402026178757628E-2</v>
      </c>
      <c r="J62" s="16">
        <f>IF(H62="","",H62/MAX(H$5:H62)-1)</f>
        <v>-0.26394418000751119</v>
      </c>
      <c r="K62" s="13">
        <f>IF(OR('实盘净值数据(iFinD）'!$A62="",'实盘净值数据(iFinD）'!$B62=""),"",分期持仓明细!$AB$20*SUMPRODUCT(分期持仓明细!$B$20:$Y$20,'实盘净值数据(iFinD）'!$B62:$Y62/'实盘净值数据(iFinD）'!$B$25:$Y$25)*(1-实盘持仓初始配置!$Z$7)^(('实盘净值数据(iFinD）'!$A62-'实盘净值数据(iFinD）'!$A$8)/365))</f>
        <v>0.99219342573655611</v>
      </c>
      <c r="L62" s="16">
        <f t="shared" si="9"/>
        <v>-3.9635727190479031E-4</v>
      </c>
      <c r="M62" s="16">
        <f>IF(K62="","",K62/MAX(K$5:K62)-1)</f>
        <v>-1.104243711133357E-2</v>
      </c>
      <c r="N62" s="13">
        <f>IF(OR('实盘净值数据(iFinD）'!$A62="",'实盘净值数据(iFinD）'!$B62=""),"",分期持仓明细!$AB$21*SUMPRODUCT(分期持仓明细!$B$21:$Y$21,'实盘净值数据(iFinD）'!$B62:$Y62/'实盘净值数据(iFinD）'!$B$25:$Y$25)*(1-实盘持仓初始配置!$Z$8)^(('实盘净值数据(iFinD）'!$A62-'实盘净值数据(iFinD）'!$A$5)/365))</f>
        <v>0.99251659085007748</v>
      </c>
      <c r="O62" s="16">
        <f t="shared" si="10"/>
        <v>-3.7359224329125418E-4</v>
      </c>
      <c r="P62" s="16">
        <f>IF(N62="","",N62/MAX(N$5:N62)-1)</f>
        <v>-1.0165997025948226E-2</v>
      </c>
      <c r="Q62" s="13">
        <f>IF(OR('实盘净值数据(iFinD）'!$A62="",'实盘净值数据(iFinD）'!$B62=""),"",分期持仓明细!$AB$22*SUMPRODUCT(分期持仓明细!$B$22:$Y$22,'实盘净值数据(iFinD）'!$B62:$Y62/'实盘净值数据(iFinD）'!$B$25:$Y$25)*(1-实盘持仓初始配置!$Z$9)^(('实盘净值数据(iFinD）'!$A62-'实盘净值数据(iFinD）'!$A$8)/365))</f>
        <v>0.96048641830304904</v>
      </c>
      <c r="R62" s="16">
        <f t="shared" si="11"/>
        <v>-1.1999432368151597E-3</v>
      </c>
      <c r="S62" s="16">
        <f>IF(Q62="","",Q62/MAX(Q$5:Q62)-1)</f>
        <v>-4.7856143474817481E-2</v>
      </c>
    </row>
    <row r="63" spans="1:19">
      <c r="A63" s="15">
        <f>IF('实盘净值数据(iFinD）'!A63="","",'实盘净值数据(iFinD）'!A63)</f>
        <v>46274</v>
      </c>
      <c r="B63" s="13">
        <f>IF(OR('实盘净值数据(iFinD）'!$A63="",'实盘净值数据(iFinD）'!$B63=""),"",分期持仓明细!$AB$17*SUMPRODUCT(分期持仓明细!$B$17:$Y$17,'实盘净值数据(iFinD）'!$B63:$Y63/'实盘净值数据(iFinD）'!$B$20:$Y$20)*(1-实盘持仓初始配置!$Z$4)^(('实盘净值数据(iFinD）'!$A63-'实盘净值数据(iFinD）'!$A$6)/365))</f>
        <v>0.80617970266413785</v>
      </c>
      <c r="C63" s="16">
        <f t="shared" si="6"/>
        <v>1.4229310047713106E-3</v>
      </c>
      <c r="D63" s="16">
        <f>IF(B63="","",B63/MAX(B$5:B63)-1)</f>
        <v>-0.2499592790033105</v>
      </c>
      <c r="E63" s="13">
        <f>IF(OR('实盘净值数据(iFinD）'!$A63="",'实盘净值数据(iFinD）'!$B63=""),"",分期持仓明细!$AB$18*SUMPRODUCT(分期持仓明细!$B$18:$Y$18,'实盘净值数据(iFinD）'!$B63:$Y63/'实盘净值数据(iFinD）'!$B$20:$Y$20)*(1-实盘持仓初始配置!$Z$5)^(('实盘净值数据(iFinD）'!$A63-'实盘净值数据(iFinD）'!$A$5)/365))</f>
        <v>0.82518255775218696</v>
      </c>
      <c r="F63" s="16">
        <f t="shared" si="7"/>
        <v>1.4547551951611393E-3</v>
      </c>
      <c r="G63" s="16">
        <f>IF(E63="","",E63/MAX(E$5:E63)-1)</f>
        <v>-0.249654549838072</v>
      </c>
      <c r="H63" s="13">
        <f>IF(OR('实盘净值数据(iFinD）'!$A63="",'实盘净值数据(iFinD）'!$B63=""),"",分期持仓明细!$AB$19*SUMPRODUCT(分期持仓明细!$B$19:$Y$19,'实盘净值数据(iFinD）'!$B63:$Y63/'实盘净值数据(iFinD）'!$B$20:$Y$20)*(1-实盘持仓初始配置!$Z$6)^(('实盘净值数据(iFinD）'!$A63-'实盘净值数据(iFinD）'!$A$7)/365))</f>
        <v>0.81774477209477714</v>
      </c>
      <c r="I63" s="16">
        <f t="shared" si="8"/>
        <v>-6.5187047356196626E-4</v>
      </c>
      <c r="J63" s="16">
        <f>IF(H63="","",H63/MAX(H$5:H63)-1)</f>
        <v>-0.26442399306345776</v>
      </c>
      <c r="K63" s="13">
        <f>IF(OR('实盘净值数据(iFinD）'!$A63="",'实盘净值数据(iFinD）'!$B63=""),"",分期持仓明细!$AB$20*SUMPRODUCT(分期持仓明细!$B$20:$Y$20,'实盘净值数据(iFinD）'!$B63:$Y63/'实盘净值数据(iFinD）'!$B$25:$Y$25)*(1-实盘持仓初始配置!$Z$7)^(('实盘净值数据(iFinD）'!$A63-'实盘净值数据(iFinD）'!$A$8)/365))</f>
        <v>0.99214494133809417</v>
      </c>
      <c r="L63" s="16">
        <f t="shared" si="9"/>
        <v>-4.8865873532588644E-5</v>
      </c>
      <c r="M63" s="16">
        <f>IF(K63="","",K63/MAX(K$5:K63)-1)</f>
        <v>-1.1090763386530811E-2</v>
      </c>
      <c r="N63" s="13">
        <f>IF(OR('实盘净值数据(iFinD）'!$A63="",'实盘净值数据(iFinD）'!$B63=""),"",分期持仓明细!$AB$21*SUMPRODUCT(分期持仓明细!$B$21:$Y$21,'实盘净值数据(iFinD）'!$B63:$Y63/'实盘净值数据(iFinD）'!$B$25:$Y$25)*(1-实盘持仓初始配置!$Z$8)^(('实盘净值数据(iFinD）'!$A63-'实盘净值数据(iFinD）'!$A$5)/365))</f>
        <v>0.99258240976083978</v>
      </c>
      <c r="O63" s="16">
        <f t="shared" si="10"/>
        <v>6.6315174344744321E-5</v>
      </c>
      <c r="P63" s="16">
        <f>IF(N63="","",N63/MAX(N$5:N63)-1)</f>
        <v>-1.0100356011468636E-2</v>
      </c>
      <c r="Q63" s="13">
        <f>IF(OR('实盘净值数据(iFinD）'!$A63="",'实盘净值数据(iFinD）'!$B63=""),"",分期持仓明细!$AB$22*SUMPRODUCT(分期持仓明细!$B$22:$Y$22,'实盘净值数据(iFinD）'!$B63:$Y63/'实盘净值数据(iFinD）'!$B$25:$Y$25)*(1-实盘持仓初始配置!$Z$9)^(('实盘净值数据(iFinD）'!$A63-'实盘净值数据(iFinD）'!$A$8)/365))</f>
        <v>0.96037426203200194</v>
      </c>
      <c r="R63" s="16">
        <f t="shared" si="11"/>
        <v>-1.1677028317091942E-4</v>
      </c>
      <c r="S63" s="16">
        <f>IF(Q63="","",Q63/MAX(Q$5:Q63)-1)</f>
        <v>-4.7967325582563447E-2</v>
      </c>
    </row>
    <row r="64" spans="1:19">
      <c r="A64" s="15">
        <f>IF('实盘净值数据(iFinD）'!A64="","",'实盘净值数据(iFinD）'!A64)</f>
        <v>46275</v>
      </c>
      <c r="B64" s="13">
        <f>IF(OR('实盘净值数据(iFinD）'!$A64="",'实盘净值数据(iFinD）'!$B64=""),"",分期持仓明细!$AB$17*SUMPRODUCT(分期持仓明细!$B$17:$Y$17,'实盘净值数据(iFinD）'!$B64:$Y64/'实盘净值数据(iFinD）'!$B$20:$Y$20)*(1-实盘持仓初始配置!$Z$4)^(('实盘净值数据(iFinD）'!$A64-'实盘净值数据(iFinD）'!$A$6)/365))</f>
        <v>0.80517626903228889</v>
      </c>
      <c r="C64" s="16">
        <f t="shared" si="6"/>
        <v>-1.244677369738989E-3</v>
      </c>
      <c r="D64" s="16">
        <f>IF(B64="","",B64/MAX(B$5:B64)-1)</f>
        <v>-0.25089283771511772</v>
      </c>
      <c r="E64" s="13">
        <f>IF(OR('实盘净值数据(iFinD）'!$A64="",'实盘净值数据(iFinD）'!$B64=""),"",分期持仓明细!$AB$18*SUMPRODUCT(分期持仓明细!$B$18:$Y$18,'实盘净值数据(iFinD）'!$B64:$Y64/'实盘净值数据(iFinD）'!$B$20:$Y$20)*(1-实盘持仓初始配置!$Z$5)^(('实盘净值数据(iFinD）'!$A64-'实盘净值数据(iFinD）'!$A$5)/365))</f>
        <v>0.82415304352344354</v>
      </c>
      <c r="F64" s="16">
        <f t="shared" si="7"/>
        <v>-1.2476199588462578E-3</v>
      </c>
      <c r="G64" s="16">
        <f>IF(E64="","",E64/MAX(E$5:E64)-1)</f>
        <v>-0.25059069579772353</v>
      </c>
      <c r="H64" s="13">
        <f>IF(OR('实盘净值数据(iFinD）'!$A64="",'实盘净值数据(iFinD）'!$B64=""),"",分期持仓明细!$AB$19*SUMPRODUCT(分期持仓明细!$B$19:$Y$19,'实盘净值数据(iFinD）'!$B64:$Y64/'实盘净值数据(iFinD）'!$B$20:$Y$20)*(1-实盘持仓初始配置!$Z$6)^(('实盘净值数据(iFinD）'!$A64-'实盘净值数据(iFinD）'!$A$7)/365))</f>
        <v>0.81463138321165651</v>
      </c>
      <c r="I64" s="16">
        <f t="shared" si="8"/>
        <v>-3.8072868080161193E-3</v>
      </c>
      <c r="J64" s="16">
        <f>IF(H64="","",H64/MAX(H$5:H64)-1)</f>
        <v>-0.26722454189096045</v>
      </c>
      <c r="K64" s="13">
        <f>IF(OR('实盘净值数据(iFinD）'!$A64="",'实盘净值数据(iFinD）'!$B64=""),"",分期持仓明细!$AB$20*SUMPRODUCT(分期持仓明细!$B$20:$Y$20,'实盘净值数据(iFinD）'!$B64:$Y64/'实盘净值数据(iFinD）'!$B$25:$Y$25)*(1-实盘持仓初始配置!$Z$7)^(('实盘净值数据(iFinD）'!$A64-'实盘净值数据(iFinD）'!$A$8)/365))</f>
        <v>0.99152316494789294</v>
      </c>
      <c r="L64" s="16">
        <f t="shared" si="9"/>
        <v>-6.2669914877822031E-4</v>
      </c>
      <c r="M64" s="16">
        <f>IF(K64="","",K64/MAX(K$5:K64)-1)</f>
        <v>-1.1710511963335501E-2</v>
      </c>
      <c r="N64" s="13">
        <f>IF(OR('实盘净值数据(iFinD）'!$A64="",'实盘净值数据(iFinD）'!$B64=""),"",分期持仓明细!$AB$21*SUMPRODUCT(分期持仓明细!$B$21:$Y$21,'实盘净值数据(iFinD）'!$B64:$Y64/'实盘净值数据(iFinD）'!$B$25:$Y$25)*(1-实盘持仓初始配置!$Z$8)^(('实盘净值数据(iFinD）'!$A64-'实盘净值数据(iFinD）'!$A$5)/365))</f>
        <v>0.99208715983738782</v>
      </c>
      <c r="O64" s="16">
        <f t="shared" si="10"/>
        <v>-4.9895093705243365E-4</v>
      </c>
      <c r="P64" s="16">
        <f>IF(N64="","",N64/MAX(N$5:N64)-1)</f>
        <v>-1.0594267366424659E-2</v>
      </c>
      <c r="Q64" s="13">
        <f>IF(OR('实盘净值数据(iFinD）'!$A64="",'实盘净值数据(iFinD）'!$B64=""),"",分期持仓明细!$AB$22*SUMPRODUCT(分期持仓明细!$B$22:$Y$22,'实盘净值数据(iFinD）'!$B64:$Y64/'实盘净值数据(iFinD）'!$B$25:$Y$25)*(1-实盘持仓初始配置!$Z$9)^(('实盘净值数据(iFinD）'!$A64-'实盘净值数据(iFinD）'!$A$8)/365))</f>
        <v>0.95881996225332244</v>
      </c>
      <c r="R64" s="16">
        <f t="shared" si="11"/>
        <v>-1.6184313138409845E-3</v>
      </c>
      <c r="S64" s="16">
        <f>IF(Q64="","",Q64/MAX(Q$5:Q64)-1)</f>
        <v>-4.9508125074640419E-2</v>
      </c>
    </row>
    <row r="65" spans="1:19">
      <c r="A65" s="15">
        <f>IF('实盘净值数据(iFinD）'!A65="","",'实盘净值数据(iFinD）'!A65)</f>
        <v>46276</v>
      </c>
      <c r="B65" s="13">
        <f>IF(OR('实盘净值数据(iFinD）'!$A65="",'实盘净值数据(iFinD）'!$B65=""),"",分期持仓明细!$AB$17*SUMPRODUCT(分期持仓明细!$B$17:$Y$17,'实盘净值数据(iFinD）'!$B65:$Y65/'实盘净值数据(iFinD）'!$B$20:$Y$20)*(1-实盘持仓初始配置!$Z$4)^(('实盘净值数据(iFinD）'!$A65-'实盘净值数据(iFinD）'!$A$6)/365))</f>
        <v>0.80038083972554597</v>
      </c>
      <c r="C65" s="16">
        <f t="shared" si="6"/>
        <v>-5.9557509221009886E-3</v>
      </c>
      <c r="D65" s="16">
        <f>IF(B65="","",B65/MAX(B$5:B65)-1)</f>
        <v>-0.25535433338764846</v>
      </c>
      <c r="E65" s="13">
        <f>IF(OR('实盘净值数据(iFinD）'!$A65="",'实盘净值数据(iFinD）'!$B65=""),"",分期持仓明细!$AB$18*SUMPRODUCT(分期持仓明细!$B$18:$Y$18,'实盘净值数据(iFinD）'!$B65:$Y65/'实盘净值数据(iFinD）'!$B$20:$Y$20)*(1-实盘持仓初始配置!$Z$5)^(('实盘净值数据(iFinD）'!$A65-'实盘净值数据(iFinD）'!$A$5)/365))</f>
        <v>0.81927586744682934</v>
      </c>
      <c r="F65" s="16">
        <f t="shared" si="7"/>
        <v>-5.9178038774972963E-3</v>
      </c>
      <c r="G65" s="16">
        <f>IF(E65="","",E65/MAX(E$5:E65)-1)</f>
        <v>-0.25502555308396424</v>
      </c>
      <c r="H65" s="13">
        <f>IF(OR('实盘净值数据(iFinD）'!$A65="",'实盘净值数据(iFinD）'!$B65=""),"",分期持仓明细!$AB$19*SUMPRODUCT(分期持仓明细!$B$19:$Y$19,'实盘净值数据(iFinD）'!$B65:$Y65/'实盘净值数据(iFinD）'!$B$20:$Y$20)*(1-实盘持仓初始配置!$Z$6)^(('实盘净值数据(iFinD）'!$A65-'实盘净值数据(iFinD）'!$A$7)/365))</f>
        <v>0.81020461492280371</v>
      </c>
      <c r="I65" s="16">
        <f t="shared" si="8"/>
        <v>-5.4340753131808528E-3</v>
      </c>
      <c r="J65" s="16">
        <f>IF(H65="","",H65/MAX(H$5:H65)-1)</f>
        <v>-0.27120649891797555</v>
      </c>
      <c r="K65" s="13">
        <f>IF(OR('实盘净值数据(iFinD）'!$A65="",'实盘净值数据(iFinD）'!$B65="",'实盘净值数据(iFinD）'!$Z65="",'实盘净值数据(iFinD）'!$AA65=""),"",分期持仓明细!$AB$23*(SUMPRODUCT(分期持仓明细!$B$23:$Y$23,'实盘净值数据(iFinD）'!$B65:$Y65/'实盘净值数据(iFinD）'!$B$65:$Y$65)+SUMPRODUCT(分期持仓明细!$AC$23:$AD$23,'实盘净值数据(iFinD）'!$Z65:$AA65/'实盘净值数据(iFinD）'!$Z$65:$AA$65))*(1-实盘持仓初始配置!$Z$7)^(('实盘净值数据(iFinD）'!$A65-'实盘净值数据(iFinD）'!$A$8)/365))</f>
        <v>0.98931920629143588</v>
      </c>
      <c r="L65" s="16">
        <f t="shared" si="9"/>
        <v>-2.2228009736644516E-3</v>
      </c>
      <c r="M65" s="16">
        <f>IF(K65="","",K65/MAX(K$5:K65)-1)</f>
        <v>-1.3907282799605736E-2</v>
      </c>
      <c r="N65" s="13">
        <f>IF(OR('实盘净值数据(iFinD）'!$A65="",'实盘净值数据(iFinD）'!$B65="",'实盘净值数据(iFinD）'!$Z65="",'实盘净值数据(iFinD）'!$AA65=""),"",分期持仓明细!$AB$24*(SUMPRODUCT(分期持仓明细!$B$24:$Y$24,'实盘净值数据(iFinD）'!$B65:$Y65/'实盘净值数据(iFinD）'!$B$65:$Y$65)+SUMPRODUCT(分期持仓明细!$AC$24:$AD$24,'实盘净值数据(iFinD）'!$Z65:$AA65/'实盘净值数据(iFinD）'!$Z$65:$AA$65))*(1-实盘持仓初始配置!$Z$8)^(('实盘净值数据(iFinD）'!$A65-'实盘净值数据(iFinD）'!$A$5)/365))</f>
        <v>0.98987275511258466</v>
      </c>
      <c r="O65" s="16">
        <f t="shared" si="10"/>
        <v>-2.2320667119268833E-3</v>
      </c>
      <c r="P65" s="16">
        <f>IF(N65="","",N65/MAX(N$5:N65)-1)</f>
        <v>-1.2802686966825738E-2</v>
      </c>
      <c r="Q65" s="13">
        <f>IF(OR('实盘净值数据(iFinD）'!$A65="",'实盘净值数据(iFinD）'!$B65="",'实盘净值数据(iFinD）'!$Z65="",'实盘净值数据(iFinD）'!$AA65=""),"",分期持仓明细!$AB$25*(SUMPRODUCT(分期持仓明细!$B$25:$Y$25,'实盘净值数据(iFinD）'!$B65:$Y65/'实盘净值数据(iFinD）'!$B$65:$Y$65)+SUMPRODUCT(分期持仓明细!$AC$25:$AD$25,'实盘净值数据(iFinD）'!$Z65:$AA65/'实盘净值数据(iFinD）'!$Z$65:$AA$65))*(1-实盘持仓初始配置!$Z$9)^(('实盘净值数据(iFinD）'!$A65-'实盘净值数据(iFinD）'!$A$8)/365))</f>
        <v>0.95367520054577093</v>
      </c>
      <c r="R65" s="16">
        <f t="shared" si="11"/>
        <v>-5.3657223567402657E-3</v>
      </c>
      <c r="S65" s="16">
        <f>IF(Q65="","",Q65/MAX(Q$5:Q65)-1)</f>
        <v>-5.4608200577827337E-2</v>
      </c>
    </row>
    <row r="66" spans="1:19">
      <c r="A66" s="15">
        <f>IF('实盘净值数据(iFinD）'!A66="","",'实盘净值数据(iFinD）'!A66)</f>
        <v>46279</v>
      </c>
      <c r="B66" s="13">
        <f>IF(OR('实盘净值数据(iFinD）'!$A66="",'实盘净值数据(iFinD）'!$B66=""),"",分期持仓明细!$AB$17*SUMPRODUCT(分期持仓明细!$B$17:$Y$17,'实盘净值数据(iFinD）'!$B66:$Y66/'实盘净值数据(iFinD）'!$B$20:$Y$20)*(1-实盘持仓初始配置!$Z$4)^(('实盘净值数据(iFinD）'!$A66-'实盘净值数据(iFinD）'!$A$6)/365))</f>
        <v>0.78748331494314971</v>
      </c>
      <c r="C66" s="16">
        <f t="shared" si="6"/>
        <v>-1.6114234802046101E-2</v>
      </c>
      <c r="D66" s="16">
        <f>IF(B66="","",B66/MAX(B$5:B66)-1)</f>
        <v>-0.26735372850376593</v>
      </c>
      <c r="E66" s="13">
        <f>IF(OR('实盘净值数据(iFinD）'!$A66="",'实盘净值数据(iFinD）'!$B66=""),"",分期持仓明细!$AB$18*SUMPRODUCT(分期持仓明细!$B$18:$Y$18,'实盘净值数据(iFinD）'!$B66:$Y66/'实盘净值数据(iFinD）'!$B$20:$Y$20)*(1-实盘持仓初始配置!$Z$5)^(('实盘净值数据(iFinD）'!$A66-'实盘净值数据(iFinD）'!$A$5)/365))</f>
        <v>0.80607282528132818</v>
      </c>
      <c r="F66" s="16">
        <f t="shared" si="7"/>
        <v>-1.6115502348002519E-2</v>
      </c>
      <c r="G66" s="16">
        <f>IF(E66="","",E66/MAX(E$5:E66)-1)</f>
        <v>-0.26703119053244151</v>
      </c>
      <c r="H66" s="13">
        <f>IF(OR('实盘净值数据(iFinD）'!$A66="",'实盘净值数据(iFinD）'!$B66=""),"",分期持仓明细!$AB$19*SUMPRODUCT(分期持仓明细!$B$19:$Y$19,'实盘净值数据(iFinD）'!$B66:$Y66/'实盘净值数据(iFinD）'!$B$20:$Y$20)*(1-实盘持仓初始配置!$Z$6)^(('实盘净值数据(iFinD）'!$A66-'实盘净值数据(iFinD）'!$A$7)/365))</f>
        <v>0.797318385314013</v>
      </c>
      <c r="I66" s="16">
        <f t="shared" si="8"/>
        <v>-1.5904907688064074E-2</v>
      </c>
      <c r="J66" s="16">
        <f>IF(H66="","",H66/MAX(H$5:H66)-1)</f>
        <v>-0.28279789227634622</v>
      </c>
      <c r="K66" s="13">
        <f>IF(OR('实盘净值数据(iFinD）'!$A66="",'实盘净值数据(iFinD）'!$B66="",'实盘净值数据(iFinD）'!$Z66="",'实盘净值数据(iFinD）'!$AA66=""),"",分期持仓明细!$AB$23*(SUMPRODUCT(分期持仓明细!$B$23:$Y$23,'实盘净值数据(iFinD）'!$B66:$Y66/'实盘净值数据(iFinD）'!$B$65:$Y$65)+SUMPRODUCT(分期持仓明细!$AC$23:$AD$23,'实盘净值数据(iFinD）'!$Z66:$AA66/'实盘净值数据(iFinD）'!$Z$65:$AA$65))*(1-实盘持仓初始配置!$Z$7)^(('实盘净值数据(iFinD）'!$A66-'实盘净值数据(iFinD）'!$A$8)/365))</f>
        <v>0.98823166354882208</v>
      </c>
      <c r="L66" s="16">
        <f t="shared" si="9"/>
        <v>-1.0992839679020427E-3</v>
      </c>
      <c r="M66" s="16">
        <f>IF(K66="","",K66/MAX(K$5:K66)-1)</f>
        <v>-1.4991278714489131E-2</v>
      </c>
      <c r="N66" s="13">
        <f>IF(OR('实盘净值数据(iFinD）'!$A66="",'实盘净值数据(iFinD）'!$B66="",'实盘净值数据(iFinD）'!$Z66="",'实盘净值数据(iFinD）'!$AA66=""),"",分期持仓明细!$AB$24*(SUMPRODUCT(分期持仓明细!$B$24:$Y$24,'实盘净值数据(iFinD）'!$B66:$Y66/'实盘净值数据(iFinD）'!$B$65:$Y$65)+SUMPRODUCT(分期持仓明细!$AC$24:$AD$24,'实盘净值数据(iFinD）'!$Z66:$AA66/'实盘净值数据(iFinD）'!$Z$65:$AA$65))*(1-实盘持仓初始配置!$Z$8)^(('实盘净值数据(iFinD）'!$A66-'实盘净值数据(iFinD）'!$A$5)/365))</f>
        <v>0.98883694954010737</v>
      </c>
      <c r="O66" s="16">
        <f t="shared" si="10"/>
        <v>-1.046402749371067E-3</v>
      </c>
      <c r="P66" s="16">
        <f>IF(N66="","",N66/MAX(N$5:N66)-1)</f>
        <v>-1.3835692949355272E-2</v>
      </c>
      <c r="Q66" s="13">
        <f>IF(OR('实盘净值数据(iFinD）'!$A66="",'实盘净值数据(iFinD）'!$B66="",'实盘净值数据(iFinD）'!$Z66="",'实盘净值数据(iFinD）'!$AA66=""),"",分期持仓明细!$AB$25*(SUMPRODUCT(分期持仓明细!$B$25:$Y$25,'实盘净值数据(iFinD）'!$B66:$Y66/'实盘净值数据(iFinD）'!$B$65:$Y$65)+SUMPRODUCT(分期持仓明细!$AC$25:$AD$25,'实盘净值数据(iFinD）'!$Z66:$AA66/'实盘净值数据(iFinD）'!$Z$65:$AA$65))*(1-实盘持仓初始配置!$Z$9)^(('实盘净值数据(iFinD）'!$A66-'实盘净值数据(iFinD）'!$A$8)/365))</f>
        <v>0.95086502536399697</v>
      </c>
      <c r="R66" s="16">
        <f t="shared" si="11"/>
        <v>-2.946679519574058E-3</v>
      </c>
      <c r="S66" s="16">
        <f>IF(Q66="","",Q66/MAX(Q$5:Q66)-1)</f>
        <v>-5.7393967231157972E-2</v>
      </c>
    </row>
    <row r="67" spans="1:19">
      <c r="A67" s="15">
        <f>IF('实盘净值数据(iFinD）'!A67="","",'实盘净值数据(iFinD）'!A67)</f>
        <v>46280</v>
      </c>
      <c r="B67" s="13">
        <f>IF(OR('实盘净值数据(iFinD）'!$A67="",'实盘净值数据(iFinD）'!$B67=""),"",分期持仓明细!$AB$17*SUMPRODUCT(分期持仓明细!$B$17:$Y$17,'实盘净值数据(iFinD）'!$B67:$Y67/'实盘净值数据(iFinD）'!$B$20:$Y$20)*(1-实盘持仓初始配置!$Z$4)^(('实盘净值数据(iFinD）'!$A67-'实盘净值数据(iFinD）'!$A$6)/365))</f>
        <v>0.79629168130557926</v>
      </c>
      <c r="C67" s="16">
        <f t="shared" si="6"/>
        <v>1.1185464117503763E-2</v>
      </c>
      <c r="D67" s="16">
        <f>IF(B67="","",B67/MAX(B$5:B67)-1)</f>
        <v>-0.25915873992312188</v>
      </c>
      <c r="E67" s="13">
        <f>IF(OR('实盘净值数据(iFinD）'!$A67="",'实盘净值数据(iFinD）'!$B67=""),"",分期持仓明细!$AB$18*SUMPRODUCT(分期持仓明细!$B$18:$Y$18,'实盘净值数据(iFinD）'!$B67:$Y67/'实盘净值数据(iFinD）'!$B$20:$Y$20)*(1-实盘持仓初始配置!$Z$5)^(('实盘净值数据(iFinD）'!$A67-'实盘净值数据(iFinD）'!$A$5)/365))</f>
        <v>0.81506942507388946</v>
      </c>
      <c r="F67" s="16">
        <f t="shared" si="7"/>
        <v>1.1161026039330002E-2</v>
      </c>
      <c r="G67" s="16">
        <f>IF(E67="","",E67/MAX(E$5:E67)-1)</f>
        <v>-0.25885050656395725</v>
      </c>
      <c r="H67" s="13">
        <f>IF(OR('实盘净值数据(iFinD）'!$A67="",'实盘净值数据(iFinD）'!$B67=""),"",分期持仓明细!$AB$19*SUMPRODUCT(分期持仓明细!$B$19:$Y$19,'实盘净值数据(iFinD）'!$B67:$Y67/'实盘净值数据(iFinD）'!$B$20:$Y$20)*(1-实盘持仓初始配置!$Z$6)^(('实盘净值数据(iFinD）'!$A67-'实盘净值数据(iFinD）'!$A$7)/365))</f>
        <v>0.80809182063580631</v>
      </c>
      <c r="I67" s="16">
        <f t="shared" si="8"/>
        <v>1.3512086915630661E-2</v>
      </c>
      <c r="J67" s="16">
        <f>IF(H67="","",H67/MAX(H$5:H67)-1)</f>
        <v>-0.27310699506071057</v>
      </c>
      <c r="K67" s="13">
        <f>IF(OR('实盘净值数据(iFinD）'!$A67="",'实盘净值数据(iFinD）'!$B67="",'实盘净值数据(iFinD）'!$Z67="",'实盘净值数据(iFinD）'!$AA67=""),"",分期持仓明细!$AB$23*(SUMPRODUCT(分期持仓明细!$B$23:$Y$23,'实盘净值数据(iFinD）'!$B67:$Y67/'实盘净值数据(iFinD）'!$B$65:$Y$65)+SUMPRODUCT(分期持仓明细!$AC$23:$AD$23,'实盘净值数据(iFinD）'!$Z67:$AA67/'实盘净值数据(iFinD）'!$Z$65:$AA$65))*(1-实盘持仓初始配置!$Z$7)^(('实盘净值数据(iFinD）'!$A67-'实盘净值数据(iFinD）'!$A$8)/365))</f>
        <v>0.98844991210941446</v>
      </c>
      <c r="L67" s="16">
        <f t="shared" si="9"/>
        <v>2.2084756908991032E-4</v>
      </c>
      <c r="M67" s="16">
        <f>IF(K67="","",K67/MAX(K$5:K67)-1)</f>
        <v>-1.4773741932860962E-2</v>
      </c>
      <c r="N67" s="13">
        <f>IF(OR('实盘净值数据(iFinD）'!$A67="",'实盘净值数据(iFinD）'!$B67="",'实盘净值数据(iFinD）'!$Z67="",'实盘净值数据(iFinD）'!$AA67=""),"",分期持仓明细!$AB$24*(SUMPRODUCT(分期持仓明细!$B$24:$Y$24,'实盘净值数据(iFinD）'!$B67:$Y67/'实盘净值数据(iFinD）'!$B$65:$Y$65)+SUMPRODUCT(分期持仓明细!$AC$24:$AD$24,'实盘净值数据(iFinD）'!$Z67:$AA67/'实盘净值数据(iFinD）'!$Z$65:$AA$65))*(1-实盘持仓初始配置!$Z$8)^(('实盘净值数据(iFinD）'!$A67-'实盘净值数据(iFinD）'!$A$5)/365))</f>
        <v>0.9891021485330691</v>
      </c>
      <c r="O67" s="16">
        <f t="shared" si="10"/>
        <v>2.6819284320334091E-4</v>
      </c>
      <c r="P67" s="16">
        <f>IF(N67="","",N67/MAX(N$5:N67)-1)</f>
        <v>-1.3571210739981687E-2</v>
      </c>
      <c r="Q67" s="13">
        <f>IF(OR('实盘净值数据(iFinD）'!$A67="",'实盘净值数据(iFinD）'!$B67="",'实盘净值数据(iFinD）'!$Z67="",'实盘净值数据(iFinD）'!$AA67=""),"",分期持仓明细!$AB$25*(SUMPRODUCT(分期持仓明细!$B$25:$Y$25,'实盘净值数据(iFinD）'!$B67:$Y67/'实盘净值数据(iFinD）'!$B$65:$Y$65)+SUMPRODUCT(分期持仓明细!$AC$25:$AD$25,'实盘净值数据(iFinD）'!$Z67:$AA67/'实盘净值数据(iFinD）'!$Z$65:$AA$65))*(1-实盘持仓初始配置!$Z$9)^(('实盘净值数据(iFinD）'!$A67-'实盘净值数据(iFinD）'!$A$8)/365))</f>
        <v>0.95140352169494435</v>
      </c>
      <c r="R67" s="16">
        <f t="shared" si="11"/>
        <v>5.6632257637323491E-4</v>
      </c>
      <c r="S67" s="16">
        <f>IF(Q67="","",Q67/MAX(Q$5:Q67)-1)</f>
        <v>-5.6860148154175394E-2</v>
      </c>
    </row>
    <row r="68" spans="1:19">
      <c r="A68" s="15">
        <f>IF('实盘净值数据(iFinD）'!A68="","",'实盘净值数据(iFinD）'!A68)</f>
        <v>46281</v>
      </c>
      <c r="B68" s="13">
        <f>IF(OR('实盘净值数据(iFinD）'!$A68="",'实盘净值数据(iFinD）'!$B68=""),"",分期持仓明细!$AB$17*SUMPRODUCT(分期持仓明细!$B$17:$Y$17,'实盘净值数据(iFinD）'!$B68:$Y68/'实盘净值数据(iFinD）'!$B$20:$Y$20)*(1-实盘持仓初始配置!$Z$4)^(('实盘净值数据(iFinD）'!$A68-'实盘净值数据(iFinD）'!$A$6)/365))</f>
        <v>0.83169100485561154</v>
      </c>
      <c r="C68" s="16">
        <f t="shared" si="6"/>
        <v>4.4455222101519976E-2</v>
      </c>
      <c r="D68" s="16">
        <f>IF(B68="","",B68/MAX(B$5:B68)-1)</f>
        <v>-0.22622447716443439</v>
      </c>
      <c r="E68" s="13">
        <f>IF(OR('实盘净值数据(iFinD）'!$A68="",'实盘净值数据(iFinD）'!$B68=""),"",分期持仓明细!$AB$18*SUMPRODUCT(分期持仓明细!$B$18:$Y$18,'实盘净值数据(iFinD）'!$B68:$Y68/'实盘净值数据(iFinD）'!$B$20:$Y$20)*(1-实盘持仓初始配置!$Z$5)^(('实盘净值数据(iFinD）'!$A68-'实盘净值数据(iFinD）'!$A$5)/365))</f>
        <v>0.85134100942334767</v>
      </c>
      <c r="F68" s="16">
        <f t="shared" si="7"/>
        <v>4.4501220673527353E-2</v>
      </c>
      <c r="G68" s="16">
        <f>IF(E68="","",E68/MAX(E$5:E68)-1)</f>
        <v>-0.22586844940448692</v>
      </c>
      <c r="H68" s="13">
        <f>IF(OR('实盘净值数据(iFinD）'!$A68="",'实盘净值数据(iFinD）'!$B68=""),"",分期持仓明细!$AB$19*SUMPRODUCT(分期持仓明细!$B$19:$Y$19,'实盘净值数据(iFinD）'!$B68:$Y68/'实盘净值数据(iFinD）'!$B$20:$Y$20)*(1-实盘持仓初始配置!$Z$6)^(('实盘净值数据(iFinD）'!$A68-'实盘净值数据(iFinD）'!$A$7)/365))</f>
        <v>0.84193341491630336</v>
      </c>
      <c r="I68" s="16">
        <f t="shared" si="8"/>
        <v>4.1878402201708242E-2</v>
      </c>
      <c r="J68" s="16">
        <f>IF(H68="","",H68/MAX(H$5:H68)-1)</f>
        <v>-0.24266587744225465</v>
      </c>
      <c r="K68" s="13">
        <f>IF(OR('实盘净值数据(iFinD）'!$A68="",'实盘净值数据(iFinD）'!$B68="",'实盘净值数据(iFinD）'!$Z68="",'实盘净值数据(iFinD）'!$AA68=""),"",分期持仓明细!$AB$23*(SUMPRODUCT(分期持仓明细!$B$23:$Y$23,'实盘净值数据(iFinD）'!$B68:$Y68/'实盘净值数据(iFinD）'!$B$65:$Y$65)+SUMPRODUCT(分期持仓明细!$AC$23:$AD$23,'实盘净值数据(iFinD）'!$Z68:$AA68/'实盘净值数据(iFinD）'!$Z$65:$AA$65))*(1-实盘持仓初始配置!$Z$7)^(('实盘净值数据(iFinD）'!$A68-'实盘净值数据(iFinD）'!$A$8)/365))</f>
        <v>0.99202541693513502</v>
      </c>
      <c r="L68" s="16">
        <f t="shared" si="9"/>
        <v>3.6172847828881416E-3</v>
      </c>
      <c r="M68" s="16">
        <f>IF(K68="","",K68/MAX(K$5:K68)-1)</f>
        <v>-1.120989798185279E-2</v>
      </c>
      <c r="N68" s="13">
        <f>IF(OR('实盘净值数据(iFinD）'!$A68="",'实盘净值数据(iFinD）'!$B68="",'实盘净值数据(iFinD）'!$Z68="",'实盘净值数据(iFinD）'!$AA68=""),"",分期持仓明细!$AB$24*(SUMPRODUCT(分期持仓明细!$B$24:$Y$24,'实盘净值数据(iFinD）'!$B68:$Y68/'实盘净值数据(iFinD）'!$B$65:$Y$65)+SUMPRODUCT(分期持仓明细!$AC$24:$AD$24,'实盘净值数据(iFinD）'!$Z68:$AA68/'实盘净值数据(iFinD）'!$Z$65:$AA$65))*(1-实盘持仓初始配置!$Z$8)^(('实盘净值数据(iFinD）'!$A68-'实盘净值数据(iFinD）'!$A$5)/365))</f>
        <v>0.99285115141066649</v>
      </c>
      <c r="O68" s="16">
        <f t="shared" si="10"/>
        <v>3.7903091032180924E-3</v>
      </c>
      <c r="P68" s="16">
        <f>IF(N68="","",N68/MAX(N$5:N68)-1)</f>
        <v>-9.8323407203730895E-3</v>
      </c>
      <c r="Q68" s="13">
        <f>IF(OR('实盘净值数据(iFinD）'!$A68="",'实盘净值数据(iFinD）'!$B68="",'实盘净值数据(iFinD）'!$Z68="",'实盘净值数据(iFinD）'!$AA68=""),"",分期持仓明细!$AB$25*(SUMPRODUCT(分期持仓明细!$B$25:$Y$25,'实盘净值数据(iFinD）'!$B68:$Y68/'实盘净值数据(iFinD）'!$B$65:$Y$65)+SUMPRODUCT(分期持仓明细!$AC$25:$AD$25,'实盘净值数据(iFinD）'!$Z68:$AA68/'实盘净值数据(iFinD）'!$Z$65:$AA$65))*(1-实盘持仓初始配置!$Z$9)^(('实盘净值数据(iFinD）'!$A68-'实盘净值数据(iFinD）'!$A$8)/365))</f>
        <v>0.9608856821856866</v>
      </c>
      <c r="R68" s="16">
        <f t="shared" si="11"/>
        <v>9.9664971534365598E-3</v>
      </c>
      <c r="S68" s="16">
        <f>IF(Q68="","",Q68/MAX(Q$5:Q68)-1)</f>
        <v>-4.7460347505461242E-2</v>
      </c>
    </row>
    <row r="69" spans="1:19">
      <c r="A69" s="15">
        <f>IF('实盘净值数据(iFinD）'!A69="","",'实盘净值数据(iFinD）'!A69)</f>
        <v>46282</v>
      </c>
      <c r="B69" s="13">
        <f>IF(OR('实盘净值数据(iFinD）'!$A69="",'实盘净值数据(iFinD）'!$B69=""),"",分期持仓明细!$AB$17*SUMPRODUCT(分期持仓明细!$B$17:$Y$17,'实盘净值数据(iFinD）'!$B69:$Y69/'实盘净值数据(iFinD）'!$B$20:$Y$20)*(1-实盘持仓初始配置!$Z$4)^(('实盘净值数据(iFinD）'!$A69-'实盘净值数据(iFinD）'!$A$6)/365))</f>
        <v>0.83165656755046369</v>
      </c>
      <c r="C69" s="16">
        <f t="shared" si="6"/>
        <v>-4.1406369609364724E-5</v>
      </c>
      <c r="D69" s="16">
        <f>IF(B69="","",B69/MAX(B$5:B69)-1)</f>
        <v>-0.22625651639972755</v>
      </c>
      <c r="E69" s="13">
        <f>IF(OR('实盘净值数据(iFinD）'!$A69="",'实盘净值数据(iFinD）'!$B69=""),"",分期持仓明细!$AB$18*SUMPRODUCT(分期持仓明细!$B$18:$Y$18,'实盘净值数据(iFinD）'!$B69:$Y69/'实盘净值数据(iFinD）'!$B$20:$Y$20)*(1-实盘持仓初始配置!$Z$5)^(('实盘净值数据(iFinD）'!$A69-'实盘净值数据(iFinD）'!$A$5)/365))</f>
        <v>0.85131285130410705</v>
      </c>
      <c r="F69" s="16">
        <f t="shared" si="7"/>
        <v>-3.3075018034955939E-5</v>
      </c>
      <c r="G69" s="16">
        <f>IF(E69="","",E69/MAX(E$5:E69)-1)</f>
        <v>-0.22589405381948435</v>
      </c>
      <c r="H69" s="13">
        <f>IF(OR('实盘净值数据(iFinD）'!$A69="",'实盘净值数据(iFinD）'!$B69=""),"",分期持仓明细!$AB$19*SUMPRODUCT(分期持仓明细!$B$19:$Y$19,'实盘净值数据(iFinD）'!$B69:$Y69/'实盘净值数据(iFinD）'!$B$20:$Y$20)*(1-实盘持仓初始配置!$Z$6)^(('实盘净值数据(iFinD）'!$A69-'实盘净值数据(iFinD）'!$A$7)/365))</f>
        <v>0.84189855351013876</v>
      </c>
      <c r="I69" s="16">
        <f t="shared" si="8"/>
        <v>-4.1406369609475746E-5</v>
      </c>
      <c r="J69" s="16">
        <f>IF(H69="","",H69/MAX(H$5:H69)-1)</f>
        <v>-0.24269723589885117</v>
      </c>
      <c r="K69" s="13">
        <f>IF(OR('实盘净值数据(iFinD）'!$A69="",'实盘净值数据(iFinD）'!$B69="",'实盘净值数据(iFinD）'!$Z69="",'实盘净值数据(iFinD）'!$AA69=""),"",分期持仓明细!$AB$23*(SUMPRODUCT(分期持仓明细!$B$23:$Y$23,'实盘净值数据(iFinD）'!$B69:$Y69/'实盘净值数据(iFinD）'!$B$65:$Y$65)+SUMPRODUCT(分期持仓明细!$AC$23:$AD$23,'实盘净值数据(iFinD）'!$Z69:$AA69/'实盘净值数据(iFinD）'!$Z$65:$AA$65))*(1-实盘持仓初始配置!$Z$7)^(('实盘净值数据(iFinD）'!$A69-'实盘净值数据(iFinD）'!$A$8)/365))</f>
        <v>0.99200358671375266</v>
      </c>
      <c r="L69" s="16">
        <f t="shared" si="9"/>
        <v>-2.2005707726480139E-5</v>
      </c>
      <c r="M69" s="16">
        <f>IF(K69="","",K69/MAX(K$5:K69)-1)</f>
        <v>-1.1231657007840679E-2</v>
      </c>
      <c r="N69" s="13">
        <f>IF(OR('实盘净值数据(iFinD）'!$A69="",'实盘净值数据(iFinD）'!$B69="",'实盘净值数据(iFinD）'!$Z69="",'实盘净值数据(iFinD）'!$AA69=""),"",分期持仓明细!$AB$24*(SUMPRODUCT(分期持仓明细!$B$24:$Y$24,'实盘净值数据(iFinD）'!$B69:$Y69/'实盘净值数据(iFinD）'!$B$65:$Y$65)+SUMPRODUCT(分期持仓明细!$AC$24:$AD$24,'实盘净值数据(iFinD）'!$Z69:$AA69/'实盘净值数据(iFinD）'!$Z$65:$AA$65))*(1-实盘持仓初始配置!$Z$8)^(('实盘净值数据(iFinD）'!$A69-'实盘净值数据(iFinD）'!$A$5)/365))</f>
        <v>0.99283751668806741</v>
      </c>
      <c r="O69" s="16">
        <f t="shared" si="10"/>
        <v>-1.373289700046243E-5</v>
      </c>
      <c r="P69" s="16">
        <f>IF(N69="","",N69/MAX(N$5:N69)-1)</f>
        <v>-9.8459385908511443E-3</v>
      </c>
      <c r="Q69" s="13">
        <f>IF(OR('实盘净值数据(iFinD）'!$A69="",'实盘净值数据(iFinD）'!$B69="",'实盘净值数据(iFinD）'!$Z69="",'实盘净值数据(iFinD）'!$AA69=""),"",分期持仓明细!$AB$25*(SUMPRODUCT(分期持仓明细!$B$25:$Y$25,'实盘净值数据(iFinD）'!$B69:$Y69/'实盘净值数据(iFinD）'!$B$65:$Y$65)+SUMPRODUCT(分期持仓明细!$AC$25:$AD$25,'实盘净值数据(iFinD）'!$Z69:$AA69/'实盘净值数据(iFinD）'!$Z$65:$AA$65))*(1-实盘持仓初始配置!$Z$9)^(('实盘净值数据(iFinD）'!$A69-'实盘净值数据(iFinD）'!$A$8)/365))</f>
        <v>0.96085390087441869</v>
      </c>
      <c r="R69" s="16">
        <f t="shared" si="11"/>
        <v>-3.3075018035066961E-5</v>
      </c>
      <c r="S69" s="16">
        <f>IF(Q69="","",Q69/MAX(Q$5:Q69)-1)</f>
        <v>-4.7491852771646692E-2</v>
      </c>
    </row>
    <row r="70" spans="1:19">
      <c r="A70" s="15" t="str">
        <f>IF('实盘净值数据(iFinD）'!A70="","",'实盘净值数据(iFinD）'!A70)</f>
        <v/>
      </c>
      <c r="B70" s="13" t="str">
        <f>IF(OR('实盘净值数据(iFinD）'!$A70="",'实盘净值数据(iFinD）'!$B70=""),"",分期持仓明细!$AB$17*SUMPRODUCT(分期持仓明细!$B$17:$Y$17,'实盘净值数据(iFinD）'!$B70:$Y70/'实盘净值数据(iFinD）'!$B$20:$Y$20)*(1-实盘持仓初始配置!$Z$4)^(('实盘净值数据(iFinD）'!$A70-'实盘净值数据(iFinD）'!$A$6)/365))</f>
        <v/>
      </c>
      <c r="C70" s="16" t="str">
        <f t="shared" si="6"/>
        <v/>
      </c>
      <c r="D70" s="16" t="str">
        <f>IF(B70="","",B70/MAX(B$5:B70)-1)</f>
        <v/>
      </c>
      <c r="E70" s="13" t="str">
        <f>IF(OR('实盘净值数据(iFinD）'!$A70="",'实盘净值数据(iFinD）'!$B70=""),"",分期持仓明细!$AB$18*SUMPRODUCT(分期持仓明细!$B$18:$Y$18,'实盘净值数据(iFinD）'!$B70:$Y70/'实盘净值数据(iFinD）'!$B$20:$Y$20)*(1-实盘持仓初始配置!$Z$5)^(('实盘净值数据(iFinD）'!$A70-'实盘净值数据(iFinD）'!$A$5)/365))</f>
        <v/>
      </c>
      <c r="F70" s="16" t="str">
        <f t="shared" si="7"/>
        <v/>
      </c>
      <c r="G70" s="16" t="str">
        <f>IF(E70="","",E70/MAX(E$5:E70)-1)</f>
        <v/>
      </c>
      <c r="H70" s="13" t="str">
        <f>IF(OR('实盘净值数据(iFinD）'!$A70="",'实盘净值数据(iFinD）'!$B70=""),"",分期持仓明细!$AB$19*SUMPRODUCT(分期持仓明细!$B$19:$Y$19,'实盘净值数据(iFinD）'!$B70:$Y70/'实盘净值数据(iFinD）'!$B$20:$Y$20)*(1-实盘持仓初始配置!$Z$6)^(('实盘净值数据(iFinD）'!$A70-'实盘净值数据(iFinD）'!$A$7)/365))</f>
        <v/>
      </c>
      <c r="I70" s="16" t="str">
        <f t="shared" si="8"/>
        <v/>
      </c>
      <c r="J70" s="16" t="str">
        <f>IF(H70="","",H70/MAX(H$5:H70)-1)</f>
        <v/>
      </c>
      <c r="K70" s="13" t="str">
        <f>IF(OR('实盘净值数据(iFinD）'!$A70="",'实盘净值数据(iFinD）'!$B70="",'实盘净值数据(iFinD）'!$Z70="",'实盘净值数据(iFinD）'!$AA70=""),"",分期持仓明细!$AB$23*(SUMPRODUCT(分期持仓明细!$B$23:$Y$23,'实盘净值数据(iFinD）'!$B70:$Y70/'实盘净值数据(iFinD）'!$B$65:$Y$65)+SUMPRODUCT(分期持仓明细!$AC$23:$AD$23,'实盘净值数据(iFinD）'!$Z70:$AA70/'实盘净值数据(iFinD）'!$Z$65:$AA$65))*(1-实盘持仓初始配置!$Z$7)^(('实盘净值数据(iFinD）'!$A70-'实盘净值数据(iFinD）'!$A$8)/365))</f>
        <v/>
      </c>
      <c r="L70" s="16" t="str">
        <f t="shared" si="9"/>
        <v/>
      </c>
      <c r="M70" s="16" t="str">
        <f>IF(K70="","",K70/MAX(K$5:K70)-1)</f>
        <v/>
      </c>
      <c r="N70" s="13" t="str">
        <f>IF(OR('实盘净值数据(iFinD）'!$A70="",'实盘净值数据(iFinD）'!$B70="",'实盘净值数据(iFinD）'!$Z70="",'实盘净值数据(iFinD）'!$AA70=""),"",分期持仓明细!$AB$24*(SUMPRODUCT(分期持仓明细!$B$24:$Y$24,'实盘净值数据(iFinD）'!$B70:$Y70/'实盘净值数据(iFinD）'!$B$65:$Y$65)+SUMPRODUCT(分期持仓明细!$AC$24:$AD$24,'实盘净值数据(iFinD）'!$Z70:$AA70/'实盘净值数据(iFinD）'!$Z$65:$AA$65))*(1-实盘持仓初始配置!$Z$8)^(('实盘净值数据(iFinD）'!$A70-'实盘净值数据(iFinD）'!$A$5)/365))</f>
        <v/>
      </c>
      <c r="O70" s="16" t="str">
        <f t="shared" si="10"/>
        <v/>
      </c>
      <c r="P70" s="16" t="str">
        <f>IF(N70="","",N70/MAX(N$5:N70)-1)</f>
        <v/>
      </c>
      <c r="Q70" s="13" t="str">
        <f>IF(OR('实盘净值数据(iFinD）'!$A70="",'实盘净值数据(iFinD）'!$B70="",'实盘净值数据(iFinD）'!$Z70="",'实盘净值数据(iFinD）'!$AA70=""),"",分期持仓明细!$AB$25*(SUMPRODUCT(分期持仓明细!$B$25:$Y$25,'实盘净值数据(iFinD）'!$B70:$Y70/'实盘净值数据(iFinD）'!$B$65:$Y$65)+SUMPRODUCT(分期持仓明细!$AC$25:$AD$25,'实盘净值数据(iFinD）'!$Z70:$AA70/'实盘净值数据(iFinD）'!$Z$65:$AA$65))*(1-实盘持仓初始配置!$Z$9)^(('实盘净值数据(iFinD）'!$A70-'实盘净值数据(iFinD）'!$A$8)/365))</f>
        <v/>
      </c>
      <c r="R70" s="16" t="str">
        <f t="shared" si="11"/>
        <v/>
      </c>
      <c r="S70" s="16" t="str">
        <f>IF(Q70="","",Q70/MAX(Q$5:Q70)-1)</f>
        <v/>
      </c>
    </row>
    <row r="71" spans="1:19">
      <c r="A71" s="15" t="str">
        <f>IF('实盘净值数据(iFinD）'!A71="","",'实盘净值数据(iFinD）'!A71)</f>
        <v/>
      </c>
      <c r="B71" s="13" t="str">
        <f>IF(OR('实盘净值数据(iFinD）'!$A71="",'实盘净值数据(iFinD）'!$B71=""),"",分期持仓明细!$AB$17*SUMPRODUCT(分期持仓明细!$B$17:$Y$17,'实盘净值数据(iFinD）'!$B71:$Y71/'实盘净值数据(iFinD）'!$B$20:$Y$20)*(1-实盘持仓初始配置!$Z$4)^(('实盘净值数据(iFinD）'!$A71-'实盘净值数据(iFinD）'!$A$6)/365))</f>
        <v/>
      </c>
      <c r="C71" s="16" t="str">
        <f t="shared" si="6"/>
        <v/>
      </c>
      <c r="D71" s="16" t="str">
        <f>IF(B71="","",B71/MAX(B$5:B71)-1)</f>
        <v/>
      </c>
      <c r="E71" s="13" t="str">
        <f>IF(OR('实盘净值数据(iFinD）'!$A71="",'实盘净值数据(iFinD）'!$B71=""),"",分期持仓明细!$AB$18*SUMPRODUCT(分期持仓明细!$B$18:$Y$18,'实盘净值数据(iFinD）'!$B71:$Y71/'实盘净值数据(iFinD）'!$B$20:$Y$20)*(1-实盘持仓初始配置!$Z$5)^(('实盘净值数据(iFinD）'!$A71-'实盘净值数据(iFinD）'!$A$5)/365))</f>
        <v/>
      </c>
      <c r="F71" s="16" t="str">
        <f t="shared" si="7"/>
        <v/>
      </c>
      <c r="G71" s="16" t="str">
        <f>IF(E71="","",E71/MAX(E$5:E71)-1)</f>
        <v/>
      </c>
      <c r="H71" s="13" t="str">
        <f>IF(OR('实盘净值数据(iFinD）'!$A71="",'实盘净值数据(iFinD）'!$B71=""),"",分期持仓明细!$AB$19*SUMPRODUCT(分期持仓明细!$B$19:$Y$19,'实盘净值数据(iFinD）'!$B71:$Y71/'实盘净值数据(iFinD）'!$B$20:$Y$20)*(1-实盘持仓初始配置!$Z$6)^(('实盘净值数据(iFinD）'!$A71-'实盘净值数据(iFinD）'!$A$7)/365))</f>
        <v/>
      </c>
      <c r="I71" s="16" t="str">
        <f t="shared" si="8"/>
        <v/>
      </c>
      <c r="J71" s="16" t="str">
        <f>IF(H71="","",H71/MAX(H$5:H71)-1)</f>
        <v/>
      </c>
      <c r="K71" s="13" t="str">
        <f>IF(OR('实盘净值数据(iFinD）'!$A71="",'实盘净值数据(iFinD）'!$B71="",'实盘净值数据(iFinD）'!$Z71="",'实盘净值数据(iFinD）'!$AA71=""),"",分期持仓明细!$AB$23*(SUMPRODUCT(分期持仓明细!$B$23:$Y$23,'实盘净值数据(iFinD）'!$B71:$Y71/'实盘净值数据(iFinD）'!$B$65:$Y$65)+SUMPRODUCT(分期持仓明细!$AC$23:$AD$23,'实盘净值数据(iFinD）'!$Z71:$AA71/'实盘净值数据(iFinD）'!$Z$65:$AA$65))*(1-实盘持仓初始配置!$Z$7)^(('实盘净值数据(iFinD）'!$A71-'实盘净值数据(iFinD）'!$A$8)/365))</f>
        <v/>
      </c>
      <c r="L71" s="16" t="str">
        <f t="shared" si="9"/>
        <v/>
      </c>
      <c r="M71" s="16" t="str">
        <f>IF(K71="","",K71/MAX(K$5:K71)-1)</f>
        <v/>
      </c>
      <c r="N71" s="13" t="str">
        <f>IF(OR('实盘净值数据(iFinD）'!$A71="",'实盘净值数据(iFinD）'!$B71="",'实盘净值数据(iFinD）'!$Z71="",'实盘净值数据(iFinD）'!$AA71=""),"",分期持仓明细!$AB$24*(SUMPRODUCT(分期持仓明细!$B$24:$Y$24,'实盘净值数据(iFinD）'!$B71:$Y71/'实盘净值数据(iFinD）'!$B$65:$Y$65)+SUMPRODUCT(分期持仓明细!$AC$24:$AD$24,'实盘净值数据(iFinD）'!$Z71:$AA71/'实盘净值数据(iFinD）'!$Z$65:$AA$65))*(1-实盘持仓初始配置!$Z$8)^(('实盘净值数据(iFinD）'!$A71-'实盘净值数据(iFinD）'!$A$5)/365))</f>
        <v/>
      </c>
      <c r="O71" s="16" t="str">
        <f t="shared" si="10"/>
        <v/>
      </c>
      <c r="P71" s="16" t="str">
        <f>IF(N71="","",N71/MAX(N$5:N71)-1)</f>
        <v/>
      </c>
      <c r="Q71" s="13" t="str">
        <f>IF(OR('实盘净值数据(iFinD）'!$A71="",'实盘净值数据(iFinD）'!$B71="",'实盘净值数据(iFinD）'!$Z71="",'实盘净值数据(iFinD）'!$AA71=""),"",分期持仓明细!$AB$25*(SUMPRODUCT(分期持仓明细!$B$25:$Y$25,'实盘净值数据(iFinD）'!$B71:$Y71/'实盘净值数据(iFinD）'!$B$65:$Y$65)+SUMPRODUCT(分期持仓明细!$AC$25:$AD$25,'实盘净值数据(iFinD）'!$Z71:$AA71/'实盘净值数据(iFinD）'!$Z$65:$AA$65))*(1-实盘持仓初始配置!$Z$9)^(('实盘净值数据(iFinD）'!$A71-'实盘净值数据(iFinD）'!$A$8)/365))</f>
        <v/>
      </c>
      <c r="R71" s="16" t="str">
        <f t="shared" si="11"/>
        <v/>
      </c>
      <c r="S71" s="16" t="str">
        <f>IF(Q71="","",Q71/MAX(Q$5:Q71)-1)</f>
        <v/>
      </c>
    </row>
    <row r="72" spans="1:19">
      <c r="A72" s="15" t="str">
        <f>IF('实盘净值数据(iFinD）'!A72="","",'实盘净值数据(iFinD）'!A72)</f>
        <v/>
      </c>
      <c r="B72" s="13" t="str">
        <f>IF(OR('实盘净值数据(iFinD）'!$A72="",'实盘净值数据(iFinD）'!$B72=""),"",分期持仓明细!$AB$17*SUMPRODUCT(分期持仓明细!$B$17:$Y$17,'实盘净值数据(iFinD）'!$B72:$Y72/'实盘净值数据(iFinD）'!$B$20:$Y$20)*(1-实盘持仓初始配置!$Z$4)^(('实盘净值数据(iFinD）'!$A72-'实盘净值数据(iFinD）'!$A$6)/365))</f>
        <v/>
      </c>
      <c r="C72" s="16" t="str">
        <f t="shared" si="6"/>
        <v/>
      </c>
      <c r="D72" s="16" t="str">
        <f>IF(B72="","",B72/MAX(B$5:B72)-1)</f>
        <v/>
      </c>
      <c r="E72" s="13" t="str">
        <f>IF(OR('实盘净值数据(iFinD）'!$A72="",'实盘净值数据(iFinD）'!$B72=""),"",分期持仓明细!$AB$18*SUMPRODUCT(分期持仓明细!$B$18:$Y$18,'实盘净值数据(iFinD）'!$B72:$Y72/'实盘净值数据(iFinD）'!$B$20:$Y$20)*(1-实盘持仓初始配置!$Z$5)^(('实盘净值数据(iFinD）'!$A72-'实盘净值数据(iFinD）'!$A$5)/365))</f>
        <v/>
      </c>
      <c r="F72" s="16" t="str">
        <f t="shared" si="7"/>
        <v/>
      </c>
      <c r="G72" s="16" t="str">
        <f>IF(E72="","",E72/MAX(E$5:E72)-1)</f>
        <v/>
      </c>
      <c r="H72" s="13" t="str">
        <f>IF(OR('实盘净值数据(iFinD）'!$A72="",'实盘净值数据(iFinD）'!$B72=""),"",分期持仓明细!$AB$19*SUMPRODUCT(分期持仓明细!$B$19:$Y$19,'实盘净值数据(iFinD）'!$B72:$Y72/'实盘净值数据(iFinD）'!$B$20:$Y$20)*(1-实盘持仓初始配置!$Z$6)^(('实盘净值数据(iFinD）'!$A72-'实盘净值数据(iFinD）'!$A$7)/365))</f>
        <v/>
      </c>
      <c r="I72" s="16" t="str">
        <f t="shared" si="8"/>
        <v/>
      </c>
      <c r="J72" s="16" t="str">
        <f>IF(H72="","",H72/MAX(H$5:H72)-1)</f>
        <v/>
      </c>
      <c r="K72" s="13" t="str">
        <f>IF(OR('实盘净值数据(iFinD）'!$A72="",'实盘净值数据(iFinD）'!$B72="",'实盘净值数据(iFinD）'!$Z72="",'实盘净值数据(iFinD）'!$AA72=""),"",分期持仓明细!$AB$23*(SUMPRODUCT(分期持仓明细!$B$23:$Y$23,'实盘净值数据(iFinD）'!$B72:$Y72/'实盘净值数据(iFinD）'!$B$65:$Y$65)+SUMPRODUCT(分期持仓明细!$AC$23:$AD$23,'实盘净值数据(iFinD）'!$Z72:$AA72/'实盘净值数据(iFinD）'!$Z$65:$AA$65))*(1-实盘持仓初始配置!$Z$7)^(('实盘净值数据(iFinD）'!$A72-'实盘净值数据(iFinD）'!$A$8)/365))</f>
        <v/>
      </c>
      <c r="L72" s="16" t="str">
        <f t="shared" si="9"/>
        <v/>
      </c>
      <c r="M72" s="16" t="str">
        <f>IF(K72="","",K72/MAX(K$5:K72)-1)</f>
        <v/>
      </c>
      <c r="N72" s="13" t="str">
        <f>IF(OR('实盘净值数据(iFinD）'!$A72="",'实盘净值数据(iFinD）'!$B72="",'实盘净值数据(iFinD）'!$Z72="",'实盘净值数据(iFinD）'!$AA72=""),"",分期持仓明细!$AB$24*(SUMPRODUCT(分期持仓明细!$B$24:$Y$24,'实盘净值数据(iFinD）'!$B72:$Y72/'实盘净值数据(iFinD）'!$B$65:$Y$65)+SUMPRODUCT(分期持仓明细!$AC$24:$AD$24,'实盘净值数据(iFinD）'!$Z72:$AA72/'实盘净值数据(iFinD）'!$Z$65:$AA$65))*(1-实盘持仓初始配置!$Z$8)^(('实盘净值数据(iFinD）'!$A72-'实盘净值数据(iFinD）'!$A$5)/365))</f>
        <v/>
      </c>
      <c r="O72" s="16" t="str">
        <f t="shared" si="10"/>
        <v/>
      </c>
      <c r="P72" s="16" t="str">
        <f>IF(N72="","",N72/MAX(N$5:N72)-1)</f>
        <v/>
      </c>
      <c r="Q72" s="13" t="str">
        <f>IF(OR('实盘净值数据(iFinD）'!$A72="",'实盘净值数据(iFinD）'!$B72="",'实盘净值数据(iFinD）'!$Z72="",'实盘净值数据(iFinD）'!$AA72=""),"",分期持仓明细!$AB$25*(SUMPRODUCT(分期持仓明细!$B$25:$Y$25,'实盘净值数据(iFinD）'!$B72:$Y72/'实盘净值数据(iFinD）'!$B$65:$Y$65)+SUMPRODUCT(分期持仓明细!$AC$25:$AD$25,'实盘净值数据(iFinD）'!$Z72:$AA72/'实盘净值数据(iFinD）'!$Z$65:$AA$65))*(1-实盘持仓初始配置!$Z$9)^(('实盘净值数据(iFinD）'!$A72-'实盘净值数据(iFinD）'!$A$8)/365))</f>
        <v/>
      </c>
      <c r="R72" s="16" t="str">
        <f t="shared" si="11"/>
        <v/>
      </c>
      <c r="S72" s="16" t="str">
        <f>IF(Q72="","",Q72/MAX(Q$5:Q72)-1)</f>
        <v/>
      </c>
    </row>
    <row r="73" spans="1:19">
      <c r="A73" s="15" t="str">
        <f>IF('实盘净值数据(iFinD）'!A73="","",'实盘净值数据(iFinD）'!A73)</f>
        <v/>
      </c>
      <c r="B73" s="13" t="str">
        <f>IF(OR('实盘净值数据(iFinD）'!$A73="",'实盘净值数据(iFinD）'!$B73=""),"",分期持仓明细!$AB$17*SUMPRODUCT(分期持仓明细!$B$17:$Y$17,'实盘净值数据(iFinD）'!$B73:$Y73/'实盘净值数据(iFinD）'!$B$20:$Y$20)*(1-实盘持仓初始配置!$Z$4)^(('实盘净值数据(iFinD）'!$A73-'实盘净值数据(iFinD）'!$A$6)/365))</f>
        <v/>
      </c>
      <c r="C73" s="16" t="str">
        <f t="shared" si="6"/>
        <v/>
      </c>
      <c r="D73" s="16" t="str">
        <f>IF(B73="","",B73/MAX(B$5:B73)-1)</f>
        <v/>
      </c>
      <c r="E73" s="13" t="str">
        <f>IF(OR('实盘净值数据(iFinD）'!$A73="",'实盘净值数据(iFinD）'!$B73=""),"",分期持仓明细!$AB$18*SUMPRODUCT(分期持仓明细!$B$18:$Y$18,'实盘净值数据(iFinD）'!$B73:$Y73/'实盘净值数据(iFinD）'!$B$20:$Y$20)*(1-实盘持仓初始配置!$Z$5)^(('实盘净值数据(iFinD）'!$A73-'实盘净值数据(iFinD）'!$A$5)/365))</f>
        <v/>
      </c>
      <c r="F73" s="16" t="str">
        <f t="shared" si="7"/>
        <v/>
      </c>
      <c r="G73" s="16" t="str">
        <f>IF(E73="","",E73/MAX(E$5:E73)-1)</f>
        <v/>
      </c>
      <c r="H73" s="13" t="str">
        <f>IF(OR('实盘净值数据(iFinD）'!$A73="",'实盘净值数据(iFinD）'!$B73=""),"",分期持仓明细!$AB$19*SUMPRODUCT(分期持仓明细!$B$19:$Y$19,'实盘净值数据(iFinD）'!$B73:$Y73/'实盘净值数据(iFinD）'!$B$20:$Y$20)*(1-实盘持仓初始配置!$Z$6)^(('实盘净值数据(iFinD）'!$A73-'实盘净值数据(iFinD）'!$A$7)/365))</f>
        <v/>
      </c>
      <c r="I73" s="16" t="str">
        <f t="shared" si="8"/>
        <v/>
      </c>
      <c r="J73" s="16" t="str">
        <f>IF(H73="","",H73/MAX(H$5:H73)-1)</f>
        <v/>
      </c>
      <c r="K73" s="13" t="str">
        <f>IF(OR('实盘净值数据(iFinD）'!$A73="",'实盘净值数据(iFinD）'!$B73="",'实盘净值数据(iFinD）'!$Z73="",'实盘净值数据(iFinD）'!$AA73=""),"",分期持仓明细!$AB$23*(SUMPRODUCT(分期持仓明细!$B$23:$Y$23,'实盘净值数据(iFinD）'!$B73:$Y73/'实盘净值数据(iFinD）'!$B$65:$Y$65)+SUMPRODUCT(分期持仓明细!$AC$23:$AD$23,'实盘净值数据(iFinD）'!$Z73:$AA73/'实盘净值数据(iFinD）'!$Z$65:$AA$65))*(1-实盘持仓初始配置!$Z$7)^(('实盘净值数据(iFinD）'!$A73-'实盘净值数据(iFinD）'!$A$8)/365))</f>
        <v/>
      </c>
      <c r="L73" s="16" t="str">
        <f t="shared" si="9"/>
        <v/>
      </c>
      <c r="M73" s="16" t="str">
        <f>IF(K73="","",K73/MAX(K$5:K73)-1)</f>
        <v/>
      </c>
      <c r="N73" s="13" t="str">
        <f>IF(OR('实盘净值数据(iFinD）'!$A73="",'实盘净值数据(iFinD）'!$B73="",'实盘净值数据(iFinD）'!$Z73="",'实盘净值数据(iFinD）'!$AA73=""),"",分期持仓明细!$AB$24*(SUMPRODUCT(分期持仓明细!$B$24:$Y$24,'实盘净值数据(iFinD）'!$B73:$Y73/'实盘净值数据(iFinD）'!$B$65:$Y$65)+SUMPRODUCT(分期持仓明细!$AC$24:$AD$24,'实盘净值数据(iFinD）'!$Z73:$AA73/'实盘净值数据(iFinD）'!$Z$65:$AA$65))*(1-实盘持仓初始配置!$Z$8)^(('实盘净值数据(iFinD）'!$A73-'实盘净值数据(iFinD）'!$A$5)/365))</f>
        <v/>
      </c>
      <c r="O73" s="16" t="str">
        <f t="shared" si="10"/>
        <v/>
      </c>
      <c r="P73" s="16" t="str">
        <f>IF(N73="","",N73/MAX(N$5:N73)-1)</f>
        <v/>
      </c>
      <c r="Q73" s="13" t="str">
        <f>IF(OR('实盘净值数据(iFinD）'!$A73="",'实盘净值数据(iFinD）'!$B73="",'实盘净值数据(iFinD）'!$Z73="",'实盘净值数据(iFinD）'!$AA73=""),"",分期持仓明细!$AB$25*(SUMPRODUCT(分期持仓明细!$B$25:$Y$25,'实盘净值数据(iFinD）'!$B73:$Y73/'实盘净值数据(iFinD）'!$B$65:$Y$65)+SUMPRODUCT(分期持仓明细!$AC$25:$AD$25,'实盘净值数据(iFinD）'!$Z73:$AA73/'实盘净值数据(iFinD）'!$Z$65:$AA$65))*(1-实盘持仓初始配置!$Z$9)^(('实盘净值数据(iFinD）'!$A73-'实盘净值数据(iFinD）'!$A$8)/365))</f>
        <v/>
      </c>
      <c r="R73" s="16" t="str">
        <f t="shared" si="11"/>
        <v/>
      </c>
      <c r="S73" s="16" t="str">
        <f>IF(Q73="","",Q73/MAX(Q$5:Q73)-1)</f>
        <v/>
      </c>
    </row>
    <row r="74" spans="1:19">
      <c r="A74" s="15" t="str">
        <f>IF('实盘净值数据(iFinD）'!A74="","",'实盘净值数据(iFinD）'!A74)</f>
        <v/>
      </c>
      <c r="B74" s="13" t="str">
        <f>IF(OR('实盘净值数据(iFinD）'!$A74="",'实盘净值数据(iFinD）'!$B74=""),"",分期持仓明细!$AB$17*SUMPRODUCT(分期持仓明细!$B$17:$Y$17,'实盘净值数据(iFinD）'!$B74:$Y74/'实盘净值数据(iFinD）'!$B$20:$Y$20)*(1-实盘持仓初始配置!$Z$4)^(('实盘净值数据(iFinD）'!$A74-'实盘净值数据(iFinD）'!$A$6)/365))</f>
        <v/>
      </c>
      <c r="C74" s="16" t="str">
        <f t="shared" si="6"/>
        <v/>
      </c>
      <c r="D74" s="16" t="str">
        <f>IF(B74="","",B74/MAX(B$5:B74)-1)</f>
        <v/>
      </c>
      <c r="E74" s="13" t="str">
        <f>IF(OR('实盘净值数据(iFinD）'!$A74="",'实盘净值数据(iFinD）'!$B74=""),"",分期持仓明细!$AB$18*SUMPRODUCT(分期持仓明细!$B$18:$Y$18,'实盘净值数据(iFinD）'!$B74:$Y74/'实盘净值数据(iFinD）'!$B$20:$Y$20)*(1-实盘持仓初始配置!$Z$5)^(('实盘净值数据(iFinD）'!$A74-'实盘净值数据(iFinD）'!$A$5)/365))</f>
        <v/>
      </c>
      <c r="F74" s="16" t="str">
        <f t="shared" si="7"/>
        <v/>
      </c>
      <c r="G74" s="16" t="str">
        <f>IF(E74="","",E74/MAX(E$5:E74)-1)</f>
        <v/>
      </c>
      <c r="H74" s="13" t="str">
        <f>IF(OR('实盘净值数据(iFinD）'!$A74="",'实盘净值数据(iFinD）'!$B74=""),"",分期持仓明细!$AB$19*SUMPRODUCT(分期持仓明细!$B$19:$Y$19,'实盘净值数据(iFinD）'!$B74:$Y74/'实盘净值数据(iFinD）'!$B$20:$Y$20)*(1-实盘持仓初始配置!$Z$6)^(('实盘净值数据(iFinD）'!$A74-'实盘净值数据(iFinD）'!$A$7)/365))</f>
        <v/>
      </c>
      <c r="I74" s="16" t="str">
        <f t="shared" si="8"/>
        <v/>
      </c>
      <c r="J74" s="16" t="str">
        <f>IF(H74="","",H74/MAX(H$5:H74)-1)</f>
        <v/>
      </c>
      <c r="K74" s="13" t="str">
        <f>IF(OR('实盘净值数据(iFinD）'!$A74="",'实盘净值数据(iFinD）'!$B74="",'实盘净值数据(iFinD）'!$Z74="",'实盘净值数据(iFinD）'!$AA74=""),"",分期持仓明细!$AB$23*(SUMPRODUCT(分期持仓明细!$B$23:$Y$23,'实盘净值数据(iFinD）'!$B74:$Y74/'实盘净值数据(iFinD）'!$B$65:$Y$65)+SUMPRODUCT(分期持仓明细!$AC$23:$AD$23,'实盘净值数据(iFinD）'!$Z74:$AA74/'实盘净值数据(iFinD）'!$Z$65:$AA$65))*(1-实盘持仓初始配置!$Z$7)^(('实盘净值数据(iFinD）'!$A74-'实盘净值数据(iFinD）'!$A$8)/365))</f>
        <v/>
      </c>
      <c r="L74" s="16" t="str">
        <f t="shared" si="9"/>
        <v/>
      </c>
      <c r="M74" s="16" t="str">
        <f>IF(K74="","",K74/MAX(K$5:K74)-1)</f>
        <v/>
      </c>
      <c r="N74" s="13" t="str">
        <f>IF(OR('实盘净值数据(iFinD）'!$A74="",'实盘净值数据(iFinD）'!$B74="",'实盘净值数据(iFinD）'!$Z74="",'实盘净值数据(iFinD）'!$AA74=""),"",分期持仓明细!$AB$24*(SUMPRODUCT(分期持仓明细!$B$24:$Y$24,'实盘净值数据(iFinD）'!$B74:$Y74/'实盘净值数据(iFinD）'!$B$65:$Y$65)+SUMPRODUCT(分期持仓明细!$AC$24:$AD$24,'实盘净值数据(iFinD）'!$Z74:$AA74/'实盘净值数据(iFinD）'!$Z$65:$AA$65))*(1-实盘持仓初始配置!$Z$8)^(('实盘净值数据(iFinD）'!$A74-'实盘净值数据(iFinD）'!$A$5)/365))</f>
        <v/>
      </c>
      <c r="O74" s="16" t="str">
        <f t="shared" si="10"/>
        <v/>
      </c>
      <c r="P74" s="16" t="str">
        <f>IF(N74="","",N74/MAX(N$5:N74)-1)</f>
        <v/>
      </c>
      <c r="Q74" s="13" t="str">
        <f>IF(OR('实盘净值数据(iFinD）'!$A74="",'实盘净值数据(iFinD）'!$B74="",'实盘净值数据(iFinD）'!$Z74="",'实盘净值数据(iFinD）'!$AA74=""),"",分期持仓明细!$AB$25*(SUMPRODUCT(分期持仓明细!$B$25:$Y$25,'实盘净值数据(iFinD）'!$B74:$Y74/'实盘净值数据(iFinD）'!$B$65:$Y$65)+SUMPRODUCT(分期持仓明细!$AC$25:$AD$25,'实盘净值数据(iFinD）'!$Z74:$AA74/'实盘净值数据(iFinD）'!$Z$65:$AA$65))*(1-实盘持仓初始配置!$Z$9)^(('实盘净值数据(iFinD）'!$A74-'实盘净值数据(iFinD）'!$A$8)/365))</f>
        <v/>
      </c>
      <c r="R74" s="16" t="str">
        <f t="shared" si="11"/>
        <v/>
      </c>
      <c r="S74" s="16" t="str">
        <f>IF(Q74="","",Q74/MAX(Q$5:Q74)-1)</f>
        <v/>
      </c>
    </row>
    <row r="75" spans="1:19">
      <c r="A75" s="15" t="str">
        <f>IF('实盘净值数据(iFinD）'!A75="","",'实盘净值数据(iFinD）'!A75)</f>
        <v/>
      </c>
      <c r="B75" s="13" t="str">
        <f>IF(OR('实盘净值数据(iFinD）'!$A75="",'实盘净值数据(iFinD）'!$B75=""),"",分期持仓明细!$AB$17*SUMPRODUCT(分期持仓明细!$B$17:$Y$17,'实盘净值数据(iFinD）'!$B75:$Y75/'实盘净值数据(iFinD）'!$B$20:$Y$20)*(1-实盘持仓初始配置!$Z$4)^(('实盘净值数据(iFinD）'!$A75-'实盘净值数据(iFinD）'!$A$6)/365))</f>
        <v/>
      </c>
      <c r="C75" s="16" t="str">
        <f t="shared" si="6"/>
        <v/>
      </c>
      <c r="D75" s="16" t="str">
        <f>IF(B75="","",B75/MAX(B$5:B75)-1)</f>
        <v/>
      </c>
      <c r="E75" s="13" t="str">
        <f>IF(OR('实盘净值数据(iFinD）'!$A75="",'实盘净值数据(iFinD）'!$B75=""),"",分期持仓明细!$AB$18*SUMPRODUCT(分期持仓明细!$B$18:$Y$18,'实盘净值数据(iFinD）'!$B75:$Y75/'实盘净值数据(iFinD）'!$B$20:$Y$20)*(1-实盘持仓初始配置!$Z$5)^(('实盘净值数据(iFinD）'!$A75-'实盘净值数据(iFinD）'!$A$5)/365))</f>
        <v/>
      </c>
      <c r="F75" s="16" t="str">
        <f t="shared" si="7"/>
        <v/>
      </c>
      <c r="G75" s="16" t="str">
        <f>IF(E75="","",E75/MAX(E$5:E75)-1)</f>
        <v/>
      </c>
      <c r="H75" s="13" t="str">
        <f>IF(OR('实盘净值数据(iFinD）'!$A75="",'实盘净值数据(iFinD）'!$B75=""),"",分期持仓明细!$AB$19*SUMPRODUCT(分期持仓明细!$B$19:$Y$19,'实盘净值数据(iFinD）'!$B75:$Y75/'实盘净值数据(iFinD）'!$B$20:$Y$20)*(1-实盘持仓初始配置!$Z$6)^(('实盘净值数据(iFinD）'!$A75-'实盘净值数据(iFinD）'!$A$7)/365))</f>
        <v/>
      </c>
      <c r="I75" s="16" t="str">
        <f t="shared" si="8"/>
        <v/>
      </c>
      <c r="J75" s="16" t="str">
        <f>IF(H75="","",H75/MAX(H$5:H75)-1)</f>
        <v/>
      </c>
      <c r="K75" s="13" t="str">
        <f>IF(OR('实盘净值数据(iFinD）'!$A75="",'实盘净值数据(iFinD）'!$B75="",'实盘净值数据(iFinD）'!$Z75="",'实盘净值数据(iFinD）'!$AA75=""),"",分期持仓明细!$AB$23*(SUMPRODUCT(分期持仓明细!$B$23:$Y$23,'实盘净值数据(iFinD）'!$B75:$Y75/'实盘净值数据(iFinD）'!$B$65:$Y$65)+SUMPRODUCT(分期持仓明细!$AC$23:$AD$23,'实盘净值数据(iFinD）'!$Z75:$AA75/'实盘净值数据(iFinD）'!$Z$65:$AA$65))*(1-实盘持仓初始配置!$Z$7)^(('实盘净值数据(iFinD）'!$A75-'实盘净值数据(iFinD）'!$A$8)/365))</f>
        <v/>
      </c>
      <c r="L75" s="16" t="str">
        <f t="shared" si="9"/>
        <v/>
      </c>
      <c r="M75" s="16" t="str">
        <f>IF(K75="","",K75/MAX(K$5:K75)-1)</f>
        <v/>
      </c>
      <c r="N75" s="13" t="str">
        <f>IF(OR('实盘净值数据(iFinD）'!$A75="",'实盘净值数据(iFinD）'!$B75="",'实盘净值数据(iFinD）'!$Z75="",'实盘净值数据(iFinD）'!$AA75=""),"",分期持仓明细!$AB$24*(SUMPRODUCT(分期持仓明细!$B$24:$Y$24,'实盘净值数据(iFinD）'!$B75:$Y75/'实盘净值数据(iFinD）'!$B$65:$Y$65)+SUMPRODUCT(分期持仓明细!$AC$24:$AD$24,'实盘净值数据(iFinD）'!$Z75:$AA75/'实盘净值数据(iFinD）'!$Z$65:$AA$65))*(1-实盘持仓初始配置!$Z$8)^(('实盘净值数据(iFinD）'!$A75-'实盘净值数据(iFinD）'!$A$5)/365))</f>
        <v/>
      </c>
      <c r="O75" s="16" t="str">
        <f t="shared" si="10"/>
        <v/>
      </c>
      <c r="P75" s="16" t="str">
        <f>IF(N75="","",N75/MAX(N$5:N75)-1)</f>
        <v/>
      </c>
      <c r="Q75" s="13" t="str">
        <f>IF(OR('实盘净值数据(iFinD）'!$A75="",'实盘净值数据(iFinD）'!$B75="",'实盘净值数据(iFinD）'!$Z75="",'实盘净值数据(iFinD）'!$AA75=""),"",分期持仓明细!$AB$25*(SUMPRODUCT(分期持仓明细!$B$25:$Y$25,'实盘净值数据(iFinD）'!$B75:$Y75/'实盘净值数据(iFinD）'!$B$65:$Y$65)+SUMPRODUCT(分期持仓明细!$AC$25:$AD$25,'实盘净值数据(iFinD）'!$Z75:$AA75/'实盘净值数据(iFinD）'!$Z$65:$AA$65))*(1-实盘持仓初始配置!$Z$9)^(('实盘净值数据(iFinD）'!$A75-'实盘净值数据(iFinD）'!$A$8)/365))</f>
        <v/>
      </c>
      <c r="R75" s="16" t="str">
        <f t="shared" si="11"/>
        <v/>
      </c>
      <c r="S75" s="16" t="str">
        <f>IF(Q75="","",Q75/MAX(Q$5:Q75)-1)</f>
        <v/>
      </c>
    </row>
    <row r="76" spans="1:19">
      <c r="A76" s="15" t="str">
        <f>IF('实盘净值数据(iFinD）'!A76="","",'实盘净值数据(iFinD）'!A76)</f>
        <v/>
      </c>
      <c r="B76" s="13" t="str">
        <f>IF(OR('实盘净值数据(iFinD）'!$A76="",'实盘净值数据(iFinD）'!$B76=""),"",分期持仓明细!$AB$17*SUMPRODUCT(分期持仓明细!$B$17:$Y$17,'实盘净值数据(iFinD）'!$B76:$Y76/'实盘净值数据(iFinD）'!$B$20:$Y$20)*(1-实盘持仓初始配置!$Z$4)^(('实盘净值数据(iFinD）'!$A76-'实盘净值数据(iFinD）'!$A$6)/365))</f>
        <v/>
      </c>
      <c r="C76" s="16" t="str">
        <f t="shared" si="6"/>
        <v/>
      </c>
      <c r="D76" s="16" t="str">
        <f>IF(B76="","",B76/MAX(B$5:B76)-1)</f>
        <v/>
      </c>
      <c r="E76" s="13" t="str">
        <f>IF(OR('实盘净值数据(iFinD）'!$A76="",'实盘净值数据(iFinD）'!$B76=""),"",分期持仓明细!$AB$18*SUMPRODUCT(分期持仓明细!$B$18:$Y$18,'实盘净值数据(iFinD）'!$B76:$Y76/'实盘净值数据(iFinD）'!$B$20:$Y$20)*(1-实盘持仓初始配置!$Z$5)^(('实盘净值数据(iFinD）'!$A76-'实盘净值数据(iFinD）'!$A$5)/365))</f>
        <v/>
      </c>
      <c r="F76" s="16" t="str">
        <f t="shared" si="7"/>
        <v/>
      </c>
      <c r="G76" s="16" t="str">
        <f>IF(E76="","",E76/MAX(E$5:E76)-1)</f>
        <v/>
      </c>
      <c r="H76" s="13" t="str">
        <f>IF(OR('实盘净值数据(iFinD）'!$A76="",'实盘净值数据(iFinD）'!$B76=""),"",分期持仓明细!$AB$19*SUMPRODUCT(分期持仓明细!$B$19:$Y$19,'实盘净值数据(iFinD）'!$B76:$Y76/'实盘净值数据(iFinD）'!$B$20:$Y$20)*(1-实盘持仓初始配置!$Z$6)^(('实盘净值数据(iFinD）'!$A76-'实盘净值数据(iFinD）'!$A$7)/365))</f>
        <v/>
      </c>
      <c r="I76" s="16" t="str">
        <f t="shared" si="8"/>
        <v/>
      </c>
      <c r="J76" s="16" t="str">
        <f>IF(H76="","",H76/MAX(H$5:H76)-1)</f>
        <v/>
      </c>
      <c r="K76" s="13" t="str">
        <f>IF(OR('实盘净值数据(iFinD）'!$A76="",'实盘净值数据(iFinD）'!$B76="",'实盘净值数据(iFinD）'!$Z76="",'实盘净值数据(iFinD）'!$AA76=""),"",分期持仓明细!$AB$23*(SUMPRODUCT(分期持仓明细!$B$23:$Y$23,'实盘净值数据(iFinD）'!$B76:$Y76/'实盘净值数据(iFinD）'!$B$65:$Y$65)+SUMPRODUCT(分期持仓明细!$AC$23:$AD$23,'实盘净值数据(iFinD）'!$Z76:$AA76/'实盘净值数据(iFinD）'!$Z$65:$AA$65))*(1-实盘持仓初始配置!$Z$7)^(('实盘净值数据(iFinD）'!$A76-'实盘净值数据(iFinD）'!$A$8)/365))</f>
        <v/>
      </c>
      <c r="L76" s="16" t="str">
        <f t="shared" si="9"/>
        <v/>
      </c>
      <c r="M76" s="16" t="str">
        <f>IF(K76="","",K76/MAX(K$5:K76)-1)</f>
        <v/>
      </c>
      <c r="N76" s="13" t="str">
        <f>IF(OR('实盘净值数据(iFinD）'!$A76="",'实盘净值数据(iFinD）'!$B76="",'实盘净值数据(iFinD）'!$Z76="",'实盘净值数据(iFinD）'!$AA76=""),"",分期持仓明细!$AB$24*(SUMPRODUCT(分期持仓明细!$B$24:$Y$24,'实盘净值数据(iFinD）'!$B76:$Y76/'实盘净值数据(iFinD）'!$B$65:$Y$65)+SUMPRODUCT(分期持仓明细!$AC$24:$AD$24,'实盘净值数据(iFinD）'!$Z76:$AA76/'实盘净值数据(iFinD）'!$Z$65:$AA$65))*(1-实盘持仓初始配置!$Z$8)^(('实盘净值数据(iFinD）'!$A76-'实盘净值数据(iFinD）'!$A$5)/365))</f>
        <v/>
      </c>
      <c r="O76" s="16" t="str">
        <f t="shared" si="10"/>
        <v/>
      </c>
      <c r="P76" s="16" t="str">
        <f>IF(N76="","",N76/MAX(N$5:N76)-1)</f>
        <v/>
      </c>
      <c r="Q76" s="13" t="str">
        <f>IF(OR('实盘净值数据(iFinD）'!$A76="",'实盘净值数据(iFinD）'!$B76="",'实盘净值数据(iFinD）'!$Z76="",'实盘净值数据(iFinD）'!$AA76=""),"",分期持仓明细!$AB$25*(SUMPRODUCT(分期持仓明细!$B$25:$Y$25,'实盘净值数据(iFinD）'!$B76:$Y76/'实盘净值数据(iFinD）'!$B$65:$Y$65)+SUMPRODUCT(分期持仓明细!$AC$25:$AD$25,'实盘净值数据(iFinD）'!$Z76:$AA76/'实盘净值数据(iFinD）'!$Z$65:$AA$65))*(1-实盘持仓初始配置!$Z$9)^(('实盘净值数据(iFinD）'!$A76-'实盘净值数据(iFinD）'!$A$8)/365))</f>
        <v/>
      </c>
      <c r="R76" s="16" t="str">
        <f t="shared" si="11"/>
        <v/>
      </c>
      <c r="S76" s="16" t="str">
        <f>IF(Q76="","",Q76/MAX(Q$5:Q76)-1)</f>
        <v/>
      </c>
    </row>
    <row r="77" spans="1:19">
      <c r="A77" s="15" t="str">
        <f>IF('实盘净值数据(iFinD）'!A77="","",'实盘净值数据(iFinD）'!A77)</f>
        <v/>
      </c>
      <c r="B77" s="13" t="str">
        <f>IF(OR('实盘净值数据(iFinD）'!$A77="",'实盘净值数据(iFinD）'!$B77=""),"",分期持仓明细!$AB$17*SUMPRODUCT(分期持仓明细!$B$17:$Y$17,'实盘净值数据(iFinD）'!$B77:$Y77/'实盘净值数据(iFinD）'!$B$20:$Y$20)*(1-实盘持仓初始配置!$Z$4)^(('实盘净值数据(iFinD）'!$A77-'实盘净值数据(iFinD）'!$A$6)/365))</f>
        <v/>
      </c>
      <c r="C77" s="16" t="str">
        <f t="shared" si="6"/>
        <v/>
      </c>
      <c r="D77" s="16" t="str">
        <f>IF(B77="","",B77/MAX(B$5:B77)-1)</f>
        <v/>
      </c>
      <c r="E77" s="13" t="str">
        <f>IF(OR('实盘净值数据(iFinD）'!$A77="",'实盘净值数据(iFinD）'!$B77=""),"",分期持仓明细!$AB$18*SUMPRODUCT(分期持仓明细!$B$18:$Y$18,'实盘净值数据(iFinD）'!$B77:$Y77/'实盘净值数据(iFinD）'!$B$20:$Y$20)*(1-实盘持仓初始配置!$Z$5)^(('实盘净值数据(iFinD）'!$A77-'实盘净值数据(iFinD）'!$A$5)/365))</f>
        <v/>
      </c>
      <c r="F77" s="16" t="str">
        <f t="shared" si="7"/>
        <v/>
      </c>
      <c r="G77" s="16" t="str">
        <f>IF(E77="","",E77/MAX(E$5:E77)-1)</f>
        <v/>
      </c>
      <c r="H77" s="13" t="str">
        <f>IF(OR('实盘净值数据(iFinD）'!$A77="",'实盘净值数据(iFinD）'!$B77=""),"",分期持仓明细!$AB$19*SUMPRODUCT(分期持仓明细!$B$19:$Y$19,'实盘净值数据(iFinD）'!$B77:$Y77/'实盘净值数据(iFinD）'!$B$20:$Y$20)*(1-实盘持仓初始配置!$Z$6)^(('实盘净值数据(iFinD）'!$A77-'实盘净值数据(iFinD）'!$A$7)/365))</f>
        <v/>
      </c>
      <c r="I77" s="16" t="str">
        <f t="shared" si="8"/>
        <v/>
      </c>
      <c r="J77" s="16" t="str">
        <f>IF(H77="","",H77/MAX(H$5:H77)-1)</f>
        <v/>
      </c>
      <c r="K77" s="13" t="str">
        <f>IF(OR('实盘净值数据(iFinD）'!$A77="",'实盘净值数据(iFinD）'!$B77="",'实盘净值数据(iFinD）'!$Z77="",'实盘净值数据(iFinD）'!$AA77=""),"",分期持仓明细!$AB$23*(SUMPRODUCT(分期持仓明细!$B$23:$Y$23,'实盘净值数据(iFinD）'!$B77:$Y77/'实盘净值数据(iFinD）'!$B$65:$Y$65)+SUMPRODUCT(分期持仓明细!$AC$23:$AD$23,'实盘净值数据(iFinD）'!$Z77:$AA77/'实盘净值数据(iFinD）'!$Z$65:$AA$65))*(1-实盘持仓初始配置!$Z$7)^(('实盘净值数据(iFinD）'!$A77-'实盘净值数据(iFinD）'!$A$8)/365))</f>
        <v/>
      </c>
      <c r="L77" s="16" t="str">
        <f t="shared" si="9"/>
        <v/>
      </c>
      <c r="M77" s="16" t="str">
        <f>IF(K77="","",K77/MAX(K$5:K77)-1)</f>
        <v/>
      </c>
      <c r="N77" s="13" t="str">
        <f>IF(OR('实盘净值数据(iFinD）'!$A77="",'实盘净值数据(iFinD）'!$B77="",'实盘净值数据(iFinD）'!$Z77="",'实盘净值数据(iFinD）'!$AA77=""),"",分期持仓明细!$AB$24*(SUMPRODUCT(分期持仓明细!$B$24:$Y$24,'实盘净值数据(iFinD）'!$B77:$Y77/'实盘净值数据(iFinD）'!$B$65:$Y$65)+SUMPRODUCT(分期持仓明细!$AC$24:$AD$24,'实盘净值数据(iFinD）'!$Z77:$AA77/'实盘净值数据(iFinD）'!$Z$65:$AA$65))*(1-实盘持仓初始配置!$Z$8)^(('实盘净值数据(iFinD）'!$A77-'实盘净值数据(iFinD）'!$A$5)/365))</f>
        <v/>
      </c>
      <c r="O77" s="16" t="str">
        <f t="shared" si="10"/>
        <v/>
      </c>
      <c r="P77" s="16" t="str">
        <f>IF(N77="","",N77/MAX(N$5:N77)-1)</f>
        <v/>
      </c>
      <c r="Q77" s="13" t="str">
        <f>IF(OR('实盘净值数据(iFinD）'!$A77="",'实盘净值数据(iFinD）'!$B77="",'实盘净值数据(iFinD）'!$Z77="",'实盘净值数据(iFinD）'!$AA77=""),"",分期持仓明细!$AB$25*(SUMPRODUCT(分期持仓明细!$B$25:$Y$25,'实盘净值数据(iFinD）'!$B77:$Y77/'实盘净值数据(iFinD）'!$B$65:$Y$65)+SUMPRODUCT(分期持仓明细!$AC$25:$AD$25,'实盘净值数据(iFinD）'!$Z77:$AA77/'实盘净值数据(iFinD）'!$Z$65:$AA$65))*(1-实盘持仓初始配置!$Z$9)^(('实盘净值数据(iFinD）'!$A77-'实盘净值数据(iFinD）'!$A$8)/365))</f>
        <v/>
      </c>
      <c r="R77" s="16" t="str">
        <f t="shared" si="11"/>
        <v/>
      </c>
      <c r="S77" s="16" t="str">
        <f>IF(Q77="","",Q77/MAX(Q$5:Q77)-1)</f>
        <v/>
      </c>
    </row>
    <row r="78" spans="1:19">
      <c r="A78" s="15" t="str">
        <f>IF('实盘净值数据(iFinD）'!A78="","",'实盘净值数据(iFinD）'!A78)</f>
        <v/>
      </c>
      <c r="B78" s="13" t="str">
        <f>IF(OR('实盘净值数据(iFinD）'!$A78="",'实盘净值数据(iFinD）'!$B78=""),"",分期持仓明细!$AB$17*SUMPRODUCT(分期持仓明细!$B$17:$Y$17,'实盘净值数据(iFinD）'!$B78:$Y78/'实盘净值数据(iFinD）'!$B$20:$Y$20)*(1-实盘持仓初始配置!$Z$4)^(('实盘净值数据(iFinD）'!$A78-'实盘净值数据(iFinD）'!$A$6)/365))</f>
        <v/>
      </c>
      <c r="C78" s="16" t="str">
        <f t="shared" si="6"/>
        <v/>
      </c>
      <c r="D78" s="16" t="str">
        <f>IF(B78="","",B78/MAX(B$5:B78)-1)</f>
        <v/>
      </c>
      <c r="E78" s="13" t="str">
        <f>IF(OR('实盘净值数据(iFinD）'!$A78="",'实盘净值数据(iFinD）'!$B78=""),"",分期持仓明细!$AB$18*SUMPRODUCT(分期持仓明细!$B$18:$Y$18,'实盘净值数据(iFinD）'!$B78:$Y78/'实盘净值数据(iFinD）'!$B$20:$Y$20)*(1-实盘持仓初始配置!$Z$5)^(('实盘净值数据(iFinD）'!$A78-'实盘净值数据(iFinD）'!$A$5)/365))</f>
        <v/>
      </c>
      <c r="F78" s="16" t="str">
        <f t="shared" si="7"/>
        <v/>
      </c>
      <c r="G78" s="16" t="str">
        <f>IF(E78="","",E78/MAX(E$5:E78)-1)</f>
        <v/>
      </c>
      <c r="H78" s="13" t="str">
        <f>IF(OR('实盘净值数据(iFinD）'!$A78="",'实盘净值数据(iFinD）'!$B78=""),"",分期持仓明细!$AB$19*SUMPRODUCT(分期持仓明细!$B$19:$Y$19,'实盘净值数据(iFinD）'!$B78:$Y78/'实盘净值数据(iFinD）'!$B$20:$Y$20)*(1-实盘持仓初始配置!$Z$6)^(('实盘净值数据(iFinD）'!$A78-'实盘净值数据(iFinD）'!$A$7)/365))</f>
        <v/>
      </c>
      <c r="I78" s="16" t="str">
        <f t="shared" si="8"/>
        <v/>
      </c>
      <c r="J78" s="16" t="str">
        <f>IF(H78="","",H78/MAX(H$5:H78)-1)</f>
        <v/>
      </c>
      <c r="K78" s="13" t="str">
        <f>IF(OR('实盘净值数据(iFinD）'!$A78="",'实盘净值数据(iFinD）'!$B78="",'实盘净值数据(iFinD）'!$Z78="",'实盘净值数据(iFinD）'!$AA78=""),"",分期持仓明细!$AB$23*(SUMPRODUCT(分期持仓明细!$B$23:$Y$23,'实盘净值数据(iFinD）'!$B78:$Y78/'实盘净值数据(iFinD）'!$B$65:$Y$65)+SUMPRODUCT(分期持仓明细!$AC$23:$AD$23,'实盘净值数据(iFinD）'!$Z78:$AA78/'实盘净值数据(iFinD）'!$Z$65:$AA$65))*(1-实盘持仓初始配置!$Z$7)^(('实盘净值数据(iFinD）'!$A78-'实盘净值数据(iFinD）'!$A$8)/365))</f>
        <v/>
      </c>
      <c r="L78" s="16" t="str">
        <f t="shared" si="9"/>
        <v/>
      </c>
      <c r="M78" s="16" t="str">
        <f>IF(K78="","",K78/MAX(K$5:K78)-1)</f>
        <v/>
      </c>
      <c r="N78" s="13" t="str">
        <f>IF(OR('实盘净值数据(iFinD）'!$A78="",'实盘净值数据(iFinD）'!$B78="",'实盘净值数据(iFinD）'!$Z78="",'实盘净值数据(iFinD）'!$AA78=""),"",分期持仓明细!$AB$24*(SUMPRODUCT(分期持仓明细!$B$24:$Y$24,'实盘净值数据(iFinD）'!$B78:$Y78/'实盘净值数据(iFinD）'!$B$65:$Y$65)+SUMPRODUCT(分期持仓明细!$AC$24:$AD$24,'实盘净值数据(iFinD）'!$Z78:$AA78/'实盘净值数据(iFinD）'!$Z$65:$AA$65))*(1-实盘持仓初始配置!$Z$8)^(('实盘净值数据(iFinD）'!$A78-'实盘净值数据(iFinD）'!$A$5)/365))</f>
        <v/>
      </c>
      <c r="O78" s="16" t="str">
        <f t="shared" si="10"/>
        <v/>
      </c>
      <c r="P78" s="16" t="str">
        <f>IF(N78="","",N78/MAX(N$5:N78)-1)</f>
        <v/>
      </c>
      <c r="Q78" s="13" t="str">
        <f>IF(OR('实盘净值数据(iFinD）'!$A78="",'实盘净值数据(iFinD）'!$B78="",'实盘净值数据(iFinD）'!$Z78="",'实盘净值数据(iFinD）'!$AA78=""),"",分期持仓明细!$AB$25*(SUMPRODUCT(分期持仓明细!$B$25:$Y$25,'实盘净值数据(iFinD）'!$B78:$Y78/'实盘净值数据(iFinD）'!$B$65:$Y$65)+SUMPRODUCT(分期持仓明细!$AC$25:$AD$25,'实盘净值数据(iFinD）'!$Z78:$AA78/'实盘净值数据(iFinD）'!$Z$65:$AA$65))*(1-实盘持仓初始配置!$Z$9)^(('实盘净值数据(iFinD）'!$A78-'实盘净值数据(iFinD）'!$A$8)/365))</f>
        <v/>
      </c>
      <c r="R78" s="16" t="str">
        <f t="shared" si="11"/>
        <v/>
      </c>
      <c r="S78" s="16" t="str">
        <f>IF(Q78="","",Q78/MAX(Q$5:Q78)-1)</f>
        <v/>
      </c>
    </row>
    <row r="79" spans="1:19">
      <c r="A79" s="15" t="str">
        <f>IF('实盘净值数据(iFinD）'!A79="","",'实盘净值数据(iFinD）'!A79)</f>
        <v/>
      </c>
      <c r="B79" s="13" t="str">
        <f>IF(OR('实盘净值数据(iFinD）'!$A79="",'实盘净值数据(iFinD）'!$B79=""),"",分期持仓明细!$AB$17*SUMPRODUCT(分期持仓明细!$B$17:$Y$17,'实盘净值数据(iFinD）'!$B79:$Y79/'实盘净值数据(iFinD）'!$B$20:$Y$20)*(1-实盘持仓初始配置!$Z$4)^(('实盘净值数据(iFinD）'!$A79-'实盘净值数据(iFinD）'!$A$6)/365))</f>
        <v/>
      </c>
      <c r="C79" s="16" t="str">
        <f t="shared" si="6"/>
        <v/>
      </c>
      <c r="D79" s="16" t="str">
        <f>IF(B79="","",B79/MAX(B$5:B79)-1)</f>
        <v/>
      </c>
      <c r="E79" s="13" t="str">
        <f>IF(OR('实盘净值数据(iFinD）'!$A79="",'实盘净值数据(iFinD）'!$B79=""),"",分期持仓明细!$AB$18*SUMPRODUCT(分期持仓明细!$B$18:$Y$18,'实盘净值数据(iFinD）'!$B79:$Y79/'实盘净值数据(iFinD）'!$B$20:$Y$20)*(1-实盘持仓初始配置!$Z$5)^(('实盘净值数据(iFinD）'!$A79-'实盘净值数据(iFinD）'!$A$5)/365))</f>
        <v/>
      </c>
      <c r="F79" s="16" t="str">
        <f t="shared" si="7"/>
        <v/>
      </c>
      <c r="G79" s="16" t="str">
        <f>IF(E79="","",E79/MAX(E$5:E79)-1)</f>
        <v/>
      </c>
      <c r="H79" s="13" t="str">
        <f>IF(OR('实盘净值数据(iFinD）'!$A79="",'实盘净值数据(iFinD）'!$B79=""),"",分期持仓明细!$AB$19*SUMPRODUCT(分期持仓明细!$B$19:$Y$19,'实盘净值数据(iFinD）'!$B79:$Y79/'实盘净值数据(iFinD）'!$B$20:$Y$20)*(1-实盘持仓初始配置!$Z$6)^(('实盘净值数据(iFinD）'!$A79-'实盘净值数据(iFinD）'!$A$7)/365))</f>
        <v/>
      </c>
      <c r="I79" s="16" t="str">
        <f t="shared" si="8"/>
        <v/>
      </c>
      <c r="J79" s="16" t="str">
        <f>IF(H79="","",H79/MAX(H$5:H79)-1)</f>
        <v/>
      </c>
      <c r="K79" s="13" t="str">
        <f>IF(OR('实盘净值数据(iFinD）'!$A79="",'实盘净值数据(iFinD）'!$B79="",'实盘净值数据(iFinD）'!$Z79="",'实盘净值数据(iFinD）'!$AA79=""),"",分期持仓明细!$AB$23*(SUMPRODUCT(分期持仓明细!$B$23:$Y$23,'实盘净值数据(iFinD）'!$B79:$Y79/'实盘净值数据(iFinD）'!$B$65:$Y$65)+SUMPRODUCT(分期持仓明细!$AC$23:$AD$23,'实盘净值数据(iFinD）'!$Z79:$AA79/'实盘净值数据(iFinD）'!$Z$65:$AA$65))*(1-实盘持仓初始配置!$Z$7)^(('实盘净值数据(iFinD）'!$A79-'实盘净值数据(iFinD）'!$A$8)/365))</f>
        <v/>
      </c>
      <c r="L79" s="16" t="str">
        <f t="shared" si="9"/>
        <v/>
      </c>
      <c r="M79" s="16" t="str">
        <f>IF(K79="","",K79/MAX(K$5:K79)-1)</f>
        <v/>
      </c>
      <c r="N79" s="13" t="str">
        <f>IF(OR('实盘净值数据(iFinD）'!$A79="",'实盘净值数据(iFinD）'!$B79="",'实盘净值数据(iFinD）'!$Z79="",'实盘净值数据(iFinD）'!$AA79=""),"",分期持仓明细!$AB$24*(SUMPRODUCT(分期持仓明细!$B$24:$Y$24,'实盘净值数据(iFinD）'!$B79:$Y79/'实盘净值数据(iFinD）'!$B$65:$Y$65)+SUMPRODUCT(分期持仓明细!$AC$24:$AD$24,'实盘净值数据(iFinD）'!$Z79:$AA79/'实盘净值数据(iFinD）'!$Z$65:$AA$65))*(1-实盘持仓初始配置!$Z$8)^(('实盘净值数据(iFinD）'!$A79-'实盘净值数据(iFinD）'!$A$5)/365))</f>
        <v/>
      </c>
      <c r="O79" s="16" t="str">
        <f t="shared" si="10"/>
        <v/>
      </c>
      <c r="P79" s="16" t="str">
        <f>IF(N79="","",N79/MAX(N$5:N79)-1)</f>
        <v/>
      </c>
      <c r="Q79" s="13" t="str">
        <f>IF(OR('实盘净值数据(iFinD）'!$A79="",'实盘净值数据(iFinD）'!$B79="",'实盘净值数据(iFinD）'!$Z79="",'实盘净值数据(iFinD）'!$AA79=""),"",分期持仓明细!$AB$25*(SUMPRODUCT(分期持仓明细!$B$25:$Y$25,'实盘净值数据(iFinD）'!$B79:$Y79/'实盘净值数据(iFinD）'!$B$65:$Y$65)+SUMPRODUCT(分期持仓明细!$AC$25:$AD$25,'实盘净值数据(iFinD）'!$Z79:$AA79/'实盘净值数据(iFinD）'!$Z$65:$AA$65))*(1-实盘持仓初始配置!$Z$9)^(('实盘净值数据(iFinD）'!$A79-'实盘净值数据(iFinD）'!$A$8)/365))</f>
        <v/>
      </c>
      <c r="R79" s="16" t="str">
        <f t="shared" si="11"/>
        <v/>
      </c>
      <c r="S79" s="16" t="str">
        <f>IF(Q79="","",Q79/MAX(Q$5:Q79)-1)</f>
        <v/>
      </c>
    </row>
    <row r="80" spans="1:19">
      <c r="A80" s="15" t="str">
        <f>IF('实盘净值数据(iFinD）'!A80="","",'实盘净值数据(iFinD）'!A80)</f>
        <v/>
      </c>
      <c r="B80" s="13" t="str">
        <f>IF(OR('实盘净值数据(iFinD）'!$A80="",'实盘净值数据(iFinD）'!$B80=""),"",分期持仓明细!$AB$17*SUMPRODUCT(分期持仓明细!$B$17:$Y$17,'实盘净值数据(iFinD）'!$B80:$Y80/'实盘净值数据(iFinD）'!$B$20:$Y$20)*(1-实盘持仓初始配置!$Z$4)^(('实盘净值数据(iFinD）'!$A80-'实盘净值数据(iFinD）'!$A$6)/365))</f>
        <v/>
      </c>
      <c r="C80" s="16" t="str">
        <f t="shared" si="6"/>
        <v/>
      </c>
      <c r="D80" s="16" t="str">
        <f>IF(B80="","",B80/MAX(B$5:B80)-1)</f>
        <v/>
      </c>
      <c r="E80" s="13" t="str">
        <f>IF(OR('实盘净值数据(iFinD）'!$A80="",'实盘净值数据(iFinD）'!$B80=""),"",分期持仓明细!$AB$18*SUMPRODUCT(分期持仓明细!$B$18:$Y$18,'实盘净值数据(iFinD）'!$B80:$Y80/'实盘净值数据(iFinD）'!$B$20:$Y$20)*(1-实盘持仓初始配置!$Z$5)^(('实盘净值数据(iFinD）'!$A80-'实盘净值数据(iFinD）'!$A$5)/365))</f>
        <v/>
      </c>
      <c r="F80" s="16" t="str">
        <f t="shared" si="7"/>
        <v/>
      </c>
      <c r="G80" s="16" t="str">
        <f>IF(E80="","",E80/MAX(E$5:E80)-1)</f>
        <v/>
      </c>
      <c r="H80" s="13" t="str">
        <f>IF(OR('实盘净值数据(iFinD）'!$A80="",'实盘净值数据(iFinD）'!$B80=""),"",分期持仓明细!$AB$19*SUMPRODUCT(分期持仓明细!$B$19:$Y$19,'实盘净值数据(iFinD）'!$B80:$Y80/'实盘净值数据(iFinD）'!$B$20:$Y$20)*(1-实盘持仓初始配置!$Z$6)^(('实盘净值数据(iFinD）'!$A80-'实盘净值数据(iFinD）'!$A$7)/365))</f>
        <v/>
      </c>
      <c r="I80" s="16" t="str">
        <f t="shared" si="8"/>
        <v/>
      </c>
      <c r="J80" s="16" t="str">
        <f>IF(H80="","",H80/MAX(H$5:H80)-1)</f>
        <v/>
      </c>
      <c r="K80" s="13" t="str">
        <f>IF(OR('实盘净值数据(iFinD）'!$A80="",'实盘净值数据(iFinD）'!$B80="",'实盘净值数据(iFinD）'!$Z80="",'实盘净值数据(iFinD）'!$AA80=""),"",分期持仓明细!$AB$23*(SUMPRODUCT(分期持仓明细!$B$23:$Y$23,'实盘净值数据(iFinD）'!$B80:$Y80/'实盘净值数据(iFinD）'!$B$65:$Y$65)+SUMPRODUCT(分期持仓明细!$AC$23:$AD$23,'实盘净值数据(iFinD）'!$Z80:$AA80/'实盘净值数据(iFinD）'!$Z$65:$AA$65))*(1-实盘持仓初始配置!$Z$7)^(('实盘净值数据(iFinD）'!$A80-'实盘净值数据(iFinD）'!$A$8)/365))</f>
        <v/>
      </c>
      <c r="L80" s="16" t="str">
        <f t="shared" si="9"/>
        <v/>
      </c>
      <c r="M80" s="16" t="str">
        <f>IF(K80="","",K80/MAX(K$5:K80)-1)</f>
        <v/>
      </c>
      <c r="N80" s="13" t="str">
        <f>IF(OR('实盘净值数据(iFinD）'!$A80="",'实盘净值数据(iFinD）'!$B80="",'实盘净值数据(iFinD）'!$Z80="",'实盘净值数据(iFinD）'!$AA80=""),"",分期持仓明细!$AB$24*(SUMPRODUCT(分期持仓明细!$B$24:$Y$24,'实盘净值数据(iFinD）'!$B80:$Y80/'实盘净值数据(iFinD）'!$B$65:$Y$65)+SUMPRODUCT(分期持仓明细!$AC$24:$AD$24,'实盘净值数据(iFinD）'!$Z80:$AA80/'实盘净值数据(iFinD）'!$Z$65:$AA$65))*(1-实盘持仓初始配置!$Z$8)^(('实盘净值数据(iFinD）'!$A80-'实盘净值数据(iFinD）'!$A$5)/365))</f>
        <v/>
      </c>
      <c r="O80" s="16" t="str">
        <f t="shared" si="10"/>
        <v/>
      </c>
      <c r="P80" s="16" t="str">
        <f>IF(N80="","",N80/MAX(N$5:N80)-1)</f>
        <v/>
      </c>
      <c r="Q80" s="13" t="str">
        <f>IF(OR('实盘净值数据(iFinD）'!$A80="",'实盘净值数据(iFinD）'!$B80="",'实盘净值数据(iFinD）'!$Z80="",'实盘净值数据(iFinD）'!$AA80=""),"",分期持仓明细!$AB$25*(SUMPRODUCT(分期持仓明细!$B$25:$Y$25,'实盘净值数据(iFinD）'!$B80:$Y80/'实盘净值数据(iFinD）'!$B$65:$Y$65)+SUMPRODUCT(分期持仓明细!$AC$25:$AD$25,'实盘净值数据(iFinD）'!$Z80:$AA80/'实盘净值数据(iFinD）'!$Z$65:$AA$65))*(1-实盘持仓初始配置!$Z$9)^(('实盘净值数据(iFinD）'!$A80-'实盘净值数据(iFinD）'!$A$8)/365))</f>
        <v/>
      </c>
      <c r="R80" s="16" t="str">
        <f t="shared" si="11"/>
        <v/>
      </c>
      <c r="S80" s="16" t="str">
        <f>IF(Q80="","",Q80/MAX(Q$5:Q80)-1)</f>
        <v/>
      </c>
    </row>
    <row r="81" spans="1:19">
      <c r="A81" s="15" t="str">
        <f>IF('实盘净值数据(iFinD）'!A81="","",'实盘净值数据(iFinD）'!A81)</f>
        <v/>
      </c>
      <c r="B81" s="13" t="str">
        <f>IF(OR('实盘净值数据(iFinD）'!$A81="",'实盘净值数据(iFinD）'!$B81=""),"",分期持仓明细!$AB$17*SUMPRODUCT(分期持仓明细!$B$17:$Y$17,'实盘净值数据(iFinD）'!$B81:$Y81/'实盘净值数据(iFinD）'!$B$20:$Y$20)*(1-实盘持仓初始配置!$Z$4)^(('实盘净值数据(iFinD）'!$A81-'实盘净值数据(iFinD）'!$A$6)/365))</f>
        <v/>
      </c>
      <c r="C81" s="16" t="str">
        <f t="shared" si="6"/>
        <v/>
      </c>
      <c r="D81" s="16" t="str">
        <f>IF(B81="","",B81/MAX(B$5:B81)-1)</f>
        <v/>
      </c>
      <c r="E81" s="13" t="str">
        <f>IF(OR('实盘净值数据(iFinD）'!$A81="",'实盘净值数据(iFinD）'!$B81=""),"",分期持仓明细!$AB$18*SUMPRODUCT(分期持仓明细!$B$18:$Y$18,'实盘净值数据(iFinD）'!$B81:$Y81/'实盘净值数据(iFinD）'!$B$20:$Y$20)*(1-实盘持仓初始配置!$Z$5)^(('实盘净值数据(iFinD）'!$A81-'实盘净值数据(iFinD）'!$A$5)/365))</f>
        <v/>
      </c>
      <c r="F81" s="16" t="str">
        <f t="shared" si="7"/>
        <v/>
      </c>
      <c r="G81" s="16" t="str">
        <f>IF(E81="","",E81/MAX(E$5:E81)-1)</f>
        <v/>
      </c>
      <c r="H81" s="13" t="str">
        <f>IF(OR('实盘净值数据(iFinD）'!$A81="",'实盘净值数据(iFinD）'!$B81=""),"",分期持仓明细!$AB$19*SUMPRODUCT(分期持仓明细!$B$19:$Y$19,'实盘净值数据(iFinD）'!$B81:$Y81/'实盘净值数据(iFinD）'!$B$20:$Y$20)*(1-实盘持仓初始配置!$Z$6)^(('实盘净值数据(iFinD）'!$A81-'实盘净值数据(iFinD）'!$A$7)/365))</f>
        <v/>
      </c>
      <c r="I81" s="16" t="str">
        <f t="shared" si="8"/>
        <v/>
      </c>
      <c r="J81" s="16" t="str">
        <f>IF(H81="","",H81/MAX(H$5:H81)-1)</f>
        <v/>
      </c>
      <c r="K81" s="13" t="str">
        <f>IF(OR('实盘净值数据(iFinD）'!$A81="",'实盘净值数据(iFinD）'!$B81="",'实盘净值数据(iFinD）'!$Z81="",'实盘净值数据(iFinD）'!$AA81=""),"",分期持仓明细!$AB$23*(SUMPRODUCT(分期持仓明细!$B$23:$Y$23,'实盘净值数据(iFinD）'!$B81:$Y81/'实盘净值数据(iFinD）'!$B$65:$Y$65)+SUMPRODUCT(分期持仓明细!$AC$23:$AD$23,'实盘净值数据(iFinD）'!$Z81:$AA81/'实盘净值数据(iFinD）'!$Z$65:$AA$65))*(1-实盘持仓初始配置!$Z$7)^(('实盘净值数据(iFinD）'!$A81-'实盘净值数据(iFinD）'!$A$8)/365))</f>
        <v/>
      </c>
      <c r="L81" s="16" t="str">
        <f t="shared" si="9"/>
        <v/>
      </c>
      <c r="M81" s="16" t="str">
        <f>IF(K81="","",K81/MAX(K$5:K81)-1)</f>
        <v/>
      </c>
      <c r="N81" s="13" t="str">
        <f>IF(OR('实盘净值数据(iFinD）'!$A81="",'实盘净值数据(iFinD）'!$B81="",'实盘净值数据(iFinD）'!$Z81="",'实盘净值数据(iFinD）'!$AA81=""),"",分期持仓明细!$AB$24*(SUMPRODUCT(分期持仓明细!$B$24:$Y$24,'实盘净值数据(iFinD）'!$B81:$Y81/'实盘净值数据(iFinD）'!$B$65:$Y$65)+SUMPRODUCT(分期持仓明细!$AC$24:$AD$24,'实盘净值数据(iFinD）'!$Z81:$AA81/'实盘净值数据(iFinD）'!$Z$65:$AA$65))*(1-实盘持仓初始配置!$Z$8)^(('实盘净值数据(iFinD）'!$A81-'实盘净值数据(iFinD）'!$A$5)/365))</f>
        <v/>
      </c>
      <c r="O81" s="16" t="str">
        <f t="shared" si="10"/>
        <v/>
      </c>
      <c r="P81" s="16" t="str">
        <f>IF(N81="","",N81/MAX(N$5:N81)-1)</f>
        <v/>
      </c>
      <c r="Q81" s="13" t="str">
        <f>IF(OR('实盘净值数据(iFinD）'!$A81="",'实盘净值数据(iFinD）'!$B81="",'实盘净值数据(iFinD）'!$Z81="",'实盘净值数据(iFinD）'!$AA81=""),"",分期持仓明细!$AB$25*(SUMPRODUCT(分期持仓明细!$B$25:$Y$25,'实盘净值数据(iFinD）'!$B81:$Y81/'实盘净值数据(iFinD）'!$B$65:$Y$65)+SUMPRODUCT(分期持仓明细!$AC$25:$AD$25,'实盘净值数据(iFinD）'!$Z81:$AA81/'实盘净值数据(iFinD）'!$Z$65:$AA$65))*(1-实盘持仓初始配置!$Z$9)^(('实盘净值数据(iFinD）'!$A81-'实盘净值数据(iFinD）'!$A$8)/365))</f>
        <v/>
      </c>
      <c r="R81" s="16" t="str">
        <f t="shared" si="11"/>
        <v/>
      </c>
      <c r="S81" s="16" t="str">
        <f>IF(Q81="","",Q81/MAX(Q$5:Q81)-1)</f>
        <v/>
      </c>
    </row>
    <row r="82" spans="1:19">
      <c r="A82" s="15" t="str">
        <f>IF('实盘净值数据(iFinD）'!A82="","",'实盘净值数据(iFinD）'!A82)</f>
        <v/>
      </c>
      <c r="B82" s="13" t="str">
        <f>IF(OR('实盘净值数据(iFinD）'!$A82="",'实盘净值数据(iFinD）'!$B82=""),"",分期持仓明细!$AB$17*SUMPRODUCT(分期持仓明细!$B$17:$Y$17,'实盘净值数据(iFinD）'!$B82:$Y82/'实盘净值数据(iFinD）'!$B$20:$Y$20)*(1-实盘持仓初始配置!$Z$4)^(('实盘净值数据(iFinD）'!$A82-'实盘净值数据(iFinD）'!$A$6)/365))</f>
        <v/>
      </c>
      <c r="C82" s="16" t="str">
        <f t="shared" si="6"/>
        <v/>
      </c>
      <c r="D82" s="16" t="str">
        <f>IF(B82="","",B82/MAX(B$5:B82)-1)</f>
        <v/>
      </c>
      <c r="E82" s="13" t="str">
        <f>IF(OR('实盘净值数据(iFinD）'!$A82="",'实盘净值数据(iFinD）'!$B82=""),"",分期持仓明细!$AB$18*SUMPRODUCT(分期持仓明细!$B$18:$Y$18,'实盘净值数据(iFinD）'!$B82:$Y82/'实盘净值数据(iFinD）'!$B$20:$Y$20)*(1-实盘持仓初始配置!$Z$5)^(('实盘净值数据(iFinD）'!$A82-'实盘净值数据(iFinD）'!$A$5)/365))</f>
        <v/>
      </c>
      <c r="F82" s="16" t="str">
        <f t="shared" si="7"/>
        <v/>
      </c>
      <c r="G82" s="16" t="str">
        <f>IF(E82="","",E82/MAX(E$5:E82)-1)</f>
        <v/>
      </c>
      <c r="H82" s="13" t="str">
        <f>IF(OR('实盘净值数据(iFinD）'!$A82="",'实盘净值数据(iFinD）'!$B82=""),"",分期持仓明细!$AB$19*SUMPRODUCT(分期持仓明细!$B$19:$Y$19,'实盘净值数据(iFinD）'!$B82:$Y82/'实盘净值数据(iFinD）'!$B$20:$Y$20)*(1-实盘持仓初始配置!$Z$6)^(('实盘净值数据(iFinD）'!$A82-'实盘净值数据(iFinD）'!$A$7)/365))</f>
        <v/>
      </c>
      <c r="I82" s="16" t="str">
        <f t="shared" si="8"/>
        <v/>
      </c>
      <c r="J82" s="16" t="str">
        <f>IF(H82="","",H82/MAX(H$5:H82)-1)</f>
        <v/>
      </c>
      <c r="K82" s="13" t="str">
        <f>IF(OR('实盘净值数据(iFinD）'!$A82="",'实盘净值数据(iFinD）'!$B82="",'实盘净值数据(iFinD）'!$Z82="",'实盘净值数据(iFinD）'!$AA82=""),"",分期持仓明细!$AB$23*(SUMPRODUCT(分期持仓明细!$B$23:$Y$23,'实盘净值数据(iFinD）'!$B82:$Y82/'实盘净值数据(iFinD）'!$B$65:$Y$65)+SUMPRODUCT(分期持仓明细!$AC$23:$AD$23,'实盘净值数据(iFinD）'!$Z82:$AA82/'实盘净值数据(iFinD）'!$Z$65:$AA$65))*(1-实盘持仓初始配置!$Z$7)^(('实盘净值数据(iFinD）'!$A82-'实盘净值数据(iFinD）'!$A$8)/365))</f>
        <v/>
      </c>
      <c r="L82" s="16" t="str">
        <f t="shared" si="9"/>
        <v/>
      </c>
      <c r="M82" s="16" t="str">
        <f>IF(K82="","",K82/MAX(K$5:K82)-1)</f>
        <v/>
      </c>
      <c r="N82" s="13" t="str">
        <f>IF(OR('实盘净值数据(iFinD）'!$A82="",'实盘净值数据(iFinD）'!$B82="",'实盘净值数据(iFinD）'!$Z82="",'实盘净值数据(iFinD）'!$AA82=""),"",分期持仓明细!$AB$24*(SUMPRODUCT(分期持仓明细!$B$24:$Y$24,'实盘净值数据(iFinD）'!$B82:$Y82/'实盘净值数据(iFinD）'!$B$65:$Y$65)+SUMPRODUCT(分期持仓明细!$AC$24:$AD$24,'实盘净值数据(iFinD）'!$Z82:$AA82/'实盘净值数据(iFinD）'!$Z$65:$AA$65))*(1-实盘持仓初始配置!$Z$8)^(('实盘净值数据(iFinD）'!$A82-'实盘净值数据(iFinD）'!$A$5)/365))</f>
        <v/>
      </c>
      <c r="O82" s="16" t="str">
        <f t="shared" si="10"/>
        <v/>
      </c>
      <c r="P82" s="16" t="str">
        <f>IF(N82="","",N82/MAX(N$5:N82)-1)</f>
        <v/>
      </c>
      <c r="Q82" s="13" t="str">
        <f>IF(OR('实盘净值数据(iFinD）'!$A82="",'实盘净值数据(iFinD）'!$B82="",'实盘净值数据(iFinD）'!$Z82="",'实盘净值数据(iFinD）'!$AA82=""),"",分期持仓明细!$AB$25*(SUMPRODUCT(分期持仓明细!$B$25:$Y$25,'实盘净值数据(iFinD）'!$B82:$Y82/'实盘净值数据(iFinD）'!$B$65:$Y$65)+SUMPRODUCT(分期持仓明细!$AC$25:$AD$25,'实盘净值数据(iFinD）'!$Z82:$AA82/'实盘净值数据(iFinD）'!$Z$65:$AA$65))*(1-实盘持仓初始配置!$Z$9)^(('实盘净值数据(iFinD）'!$A82-'实盘净值数据(iFinD）'!$A$8)/365))</f>
        <v/>
      </c>
      <c r="R82" s="16" t="str">
        <f t="shared" si="11"/>
        <v/>
      </c>
      <c r="S82" s="16" t="str">
        <f>IF(Q82="","",Q82/MAX(Q$5:Q82)-1)</f>
        <v/>
      </c>
    </row>
    <row r="83" spans="1:19">
      <c r="A83" s="15" t="str">
        <f>IF('实盘净值数据(iFinD）'!A83="","",'实盘净值数据(iFinD）'!A83)</f>
        <v/>
      </c>
      <c r="B83" s="13" t="str">
        <f>IF(OR('实盘净值数据(iFinD）'!$A83="",'实盘净值数据(iFinD）'!$B83=""),"",分期持仓明细!$AB$17*SUMPRODUCT(分期持仓明细!$B$17:$Y$17,'实盘净值数据(iFinD）'!$B83:$Y83/'实盘净值数据(iFinD）'!$B$20:$Y$20)*(1-实盘持仓初始配置!$Z$4)^(('实盘净值数据(iFinD）'!$A83-'实盘净值数据(iFinD）'!$A$6)/365))</f>
        <v/>
      </c>
      <c r="C83" s="16" t="str">
        <f t="shared" si="6"/>
        <v/>
      </c>
      <c r="D83" s="16" t="str">
        <f>IF(B83="","",B83/MAX(B$5:B83)-1)</f>
        <v/>
      </c>
      <c r="E83" s="13" t="str">
        <f>IF(OR('实盘净值数据(iFinD）'!$A83="",'实盘净值数据(iFinD）'!$B83=""),"",分期持仓明细!$AB$18*SUMPRODUCT(分期持仓明细!$B$18:$Y$18,'实盘净值数据(iFinD）'!$B83:$Y83/'实盘净值数据(iFinD）'!$B$20:$Y$20)*(1-实盘持仓初始配置!$Z$5)^(('实盘净值数据(iFinD）'!$A83-'实盘净值数据(iFinD）'!$A$5)/365))</f>
        <v/>
      </c>
      <c r="F83" s="16" t="str">
        <f t="shared" si="7"/>
        <v/>
      </c>
      <c r="G83" s="16" t="str">
        <f>IF(E83="","",E83/MAX(E$5:E83)-1)</f>
        <v/>
      </c>
      <c r="H83" s="13" t="str">
        <f>IF(OR('实盘净值数据(iFinD）'!$A83="",'实盘净值数据(iFinD）'!$B83=""),"",分期持仓明细!$AB$19*SUMPRODUCT(分期持仓明细!$B$19:$Y$19,'实盘净值数据(iFinD）'!$B83:$Y83/'实盘净值数据(iFinD）'!$B$20:$Y$20)*(1-实盘持仓初始配置!$Z$6)^(('实盘净值数据(iFinD）'!$A83-'实盘净值数据(iFinD）'!$A$7)/365))</f>
        <v/>
      </c>
      <c r="I83" s="16" t="str">
        <f t="shared" si="8"/>
        <v/>
      </c>
      <c r="J83" s="16" t="str">
        <f>IF(H83="","",H83/MAX(H$5:H83)-1)</f>
        <v/>
      </c>
      <c r="K83" s="13" t="str">
        <f>IF(OR('实盘净值数据(iFinD）'!$A83="",'实盘净值数据(iFinD）'!$B83="",'实盘净值数据(iFinD）'!$Z83="",'实盘净值数据(iFinD）'!$AA83=""),"",分期持仓明细!$AB$23*(SUMPRODUCT(分期持仓明细!$B$23:$Y$23,'实盘净值数据(iFinD）'!$B83:$Y83/'实盘净值数据(iFinD）'!$B$65:$Y$65)+SUMPRODUCT(分期持仓明细!$AC$23:$AD$23,'实盘净值数据(iFinD）'!$Z83:$AA83/'实盘净值数据(iFinD）'!$Z$65:$AA$65))*(1-实盘持仓初始配置!$Z$7)^(('实盘净值数据(iFinD）'!$A83-'实盘净值数据(iFinD）'!$A$8)/365))</f>
        <v/>
      </c>
      <c r="L83" s="16" t="str">
        <f t="shared" si="9"/>
        <v/>
      </c>
      <c r="M83" s="16" t="str">
        <f>IF(K83="","",K83/MAX(K$5:K83)-1)</f>
        <v/>
      </c>
      <c r="N83" s="13" t="str">
        <f>IF(OR('实盘净值数据(iFinD）'!$A83="",'实盘净值数据(iFinD）'!$B83="",'实盘净值数据(iFinD）'!$Z83="",'实盘净值数据(iFinD）'!$AA83=""),"",分期持仓明细!$AB$24*(SUMPRODUCT(分期持仓明细!$B$24:$Y$24,'实盘净值数据(iFinD）'!$B83:$Y83/'实盘净值数据(iFinD）'!$B$65:$Y$65)+SUMPRODUCT(分期持仓明细!$AC$24:$AD$24,'实盘净值数据(iFinD）'!$Z83:$AA83/'实盘净值数据(iFinD）'!$Z$65:$AA$65))*(1-实盘持仓初始配置!$Z$8)^(('实盘净值数据(iFinD）'!$A83-'实盘净值数据(iFinD）'!$A$5)/365))</f>
        <v/>
      </c>
      <c r="O83" s="16" t="str">
        <f t="shared" si="10"/>
        <v/>
      </c>
      <c r="P83" s="16" t="str">
        <f>IF(N83="","",N83/MAX(N$5:N83)-1)</f>
        <v/>
      </c>
      <c r="Q83" s="13" t="str">
        <f>IF(OR('实盘净值数据(iFinD）'!$A83="",'实盘净值数据(iFinD）'!$B83="",'实盘净值数据(iFinD）'!$Z83="",'实盘净值数据(iFinD）'!$AA83=""),"",分期持仓明细!$AB$25*(SUMPRODUCT(分期持仓明细!$B$25:$Y$25,'实盘净值数据(iFinD）'!$B83:$Y83/'实盘净值数据(iFinD）'!$B$65:$Y$65)+SUMPRODUCT(分期持仓明细!$AC$25:$AD$25,'实盘净值数据(iFinD）'!$Z83:$AA83/'实盘净值数据(iFinD）'!$Z$65:$AA$65))*(1-实盘持仓初始配置!$Z$9)^(('实盘净值数据(iFinD）'!$A83-'实盘净值数据(iFinD）'!$A$8)/365))</f>
        <v/>
      </c>
      <c r="R83" s="16" t="str">
        <f t="shared" si="11"/>
        <v/>
      </c>
      <c r="S83" s="16" t="str">
        <f>IF(Q83="","",Q83/MAX(Q$5:Q83)-1)</f>
        <v/>
      </c>
    </row>
    <row r="84" spans="1:19">
      <c r="A84" s="15" t="str">
        <f>IF('实盘净值数据(iFinD）'!A84="","",'实盘净值数据(iFinD）'!A84)</f>
        <v/>
      </c>
      <c r="B84" s="13" t="str">
        <f>IF(OR('实盘净值数据(iFinD）'!$A84="",'实盘净值数据(iFinD）'!$B84=""),"",分期持仓明细!$AB$17*SUMPRODUCT(分期持仓明细!$B$17:$Y$17,'实盘净值数据(iFinD）'!$B84:$Y84/'实盘净值数据(iFinD）'!$B$20:$Y$20)*(1-实盘持仓初始配置!$Z$4)^(('实盘净值数据(iFinD）'!$A84-'实盘净值数据(iFinD）'!$A$6)/365))</f>
        <v/>
      </c>
      <c r="C84" s="16" t="str">
        <f t="shared" si="6"/>
        <v/>
      </c>
      <c r="D84" s="16" t="str">
        <f>IF(B84="","",B84/MAX(B$5:B84)-1)</f>
        <v/>
      </c>
      <c r="E84" s="13" t="str">
        <f>IF(OR('实盘净值数据(iFinD）'!$A84="",'实盘净值数据(iFinD）'!$B84=""),"",分期持仓明细!$AB$18*SUMPRODUCT(分期持仓明细!$B$18:$Y$18,'实盘净值数据(iFinD）'!$B84:$Y84/'实盘净值数据(iFinD）'!$B$20:$Y$20)*(1-实盘持仓初始配置!$Z$5)^(('实盘净值数据(iFinD）'!$A84-'实盘净值数据(iFinD）'!$A$5)/365))</f>
        <v/>
      </c>
      <c r="F84" s="16" t="str">
        <f t="shared" si="7"/>
        <v/>
      </c>
      <c r="G84" s="16" t="str">
        <f>IF(E84="","",E84/MAX(E$5:E84)-1)</f>
        <v/>
      </c>
      <c r="H84" s="13" t="str">
        <f>IF(OR('实盘净值数据(iFinD）'!$A84="",'实盘净值数据(iFinD）'!$B84=""),"",分期持仓明细!$AB$19*SUMPRODUCT(分期持仓明细!$B$19:$Y$19,'实盘净值数据(iFinD）'!$B84:$Y84/'实盘净值数据(iFinD）'!$B$20:$Y$20)*(1-实盘持仓初始配置!$Z$6)^(('实盘净值数据(iFinD）'!$A84-'实盘净值数据(iFinD）'!$A$7)/365))</f>
        <v/>
      </c>
      <c r="I84" s="16" t="str">
        <f t="shared" si="8"/>
        <v/>
      </c>
      <c r="J84" s="16" t="str">
        <f>IF(H84="","",H84/MAX(H$5:H84)-1)</f>
        <v/>
      </c>
      <c r="K84" s="13" t="str">
        <f>IF(OR('实盘净值数据(iFinD）'!$A84="",'实盘净值数据(iFinD）'!$B84="",'实盘净值数据(iFinD）'!$Z84="",'实盘净值数据(iFinD）'!$AA84=""),"",分期持仓明细!$AB$23*(SUMPRODUCT(分期持仓明细!$B$23:$Y$23,'实盘净值数据(iFinD）'!$B84:$Y84/'实盘净值数据(iFinD）'!$B$65:$Y$65)+SUMPRODUCT(分期持仓明细!$AC$23:$AD$23,'实盘净值数据(iFinD）'!$Z84:$AA84/'实盘净值数据(iFinD）'!$Z$65:$AA$65))*(1-实盘持仓初始配置!$Z$7)^(('实盘净值数据(iFinD）'!$A84-'实盘净值数据(iFinD）'!$A$8)/365))</f>
        <v/>
      </c>
      <c r="L84" s="16" t="str">
        <f t="shared" si="9"/>
        <v/>
      </c>
      <c r="M84" s="16" t="str">
        <f>IF(K84="","",K84/MAX(K$5:K84)-1)</f>
        <v/>
      </c>
      <c r="N84" s="13" t="str">
        <f>IF(OR('实盘净值数据(iFinD）'!$A84="",'实盘净值数据(iFinD）'!$B84="",'实盘净值数据(iFinD）'!$Z84="",'实盘净值数据(iFinD）'!$AA84=""),"",分期持仓明细!$AB$24*(SUMPRODUCT(分期持仓明细!$B$24:$Y$24,'实盘净值数据(iFinD）'!$B84:$Y84/'实盘净值数据(iFinD）'!$B$65:$Y$65)+SUMPRODUCT(分期持仓明细!$AC$24:$AD$24,'实盘净值数据(iFinD）'!$Z84:$AA84/'实盘净值数据(iFinD）'!$Z$65:$AA$65))*(1-实盘持仓初始配置!$Z$8)^(('实盘净值数据(iFinD）'!$A84-'实盘净值数据(iFinD）'!$A$5)/365))</f>
        <v/>
      </c>
      <c r="O84" s="16" t="str">
        <f t="shared" si="10"/>
        <v/>
      </c>
      <c r="P84" s="16" t="str">
        <f>IF(N84="","",N84/MAX(N$5:N84)-1)</f>
        <v/>
      </c>
      <c r="Q84" s="13" t="str">
        <f>IF(OR('实盘净值数据(iFinD）'!$A84="",'实盘净值数据(iFinD）'!$B84="",'实盘净值数据(iFinD）'!$Z84="",'实盘净值数据(iFinD）'!$AA84=""),"",分期持仓明细!$AB$25*(SUMPRODUCT(分期持仓明细!$B$25:$Y$25,'实盘净值数据(iFinD）'!$B84:$Y84/'实盘净值数据(iFinD）'!$B$65:$Y$65)+SUMPRODUCT(分期持仓明细!$AC$25:$AD$25,'实盘净值数据(iFinD）'!$Z84:$AA84/'实盘净值数据(iFinD）'!$Z$65:$AA$65))*(1-实盘持仓初始配置!$Z$9)^(('实盘净值数据(iFinD）'!$A84-'实盘净值数据(iFinD）'!$A$8)/365))</f>
        <v/>
      </c>
      <c r="R84" s="16" t="str">
        <f t="shared" si="11"/>
        <v/>
      </c>
      <c r="S84" s="16" t="str">
        <f>IF(Q84="","",Q84/MAX(Q$5:Q84)-1)</f>
        <v/>
      </c>
    </row>
    <row r="85" spans="1:19">
      <c r="A85" s="15" t="str">
        <f>IF('实盘净值数据(iFinD）'!A85="","",'实盘净值数据(iFinD）'!A85)</f>
        <v/>
      </c>
      <c r="B85" s="13" t="str">
        <f>IF(OR('实盘净值数据(iFinD）'!$A85="",'实盘净值数据(iFinD）'!$B85=""),"",分期持仓明细!$AB$17*SUMPRODUCT(分期持仓明细!$B$17:$Y$17,'实盘净值数据(iFinD）'!$B85:$Y85/'实盘净值数据(iFinD）'!$B$20:$Y$20)*(1-实盘持仓初始配置!$Z$4)^(('实盘净值数据(iFinD）'!$A85-'实盘净值数据(iFinD）'!$A$6)/365))</f>
        <v/>
      </c>
      <c r="C85" s="16" t="str">
        <f t="shared" si="6"/>
        <v/>
      </c>
      <c r="D85" s="16" t="str">
        <f>IF(B85="","",B85/MAX(B$5:B85)-1)</f>
        <v/>
      </c>
      <c r="E85" s="13" t="str">
        <f>IF(OR('实盘净值数据(iFinD）'!$A85="",'实盘净值数据(iFinD）'!$B85=""),"",分期持仓明细!$AB$18*SUMPRODUCT(分期持仓明细!$B$18:$Y$18,'实盘净值数据(iFinD）'!$B85:$Y85/'实盘净值数据(iFinD）'!$B$20:$Y$20)*(1-实盘持仓初始配置!$Z$5)^(('实盘净值数据(iFinD）'!$A85-'实盘净值数据(iFinD）'!$A$5)/365))</f>
        <v/>
      </c>
      <c r="F85" s="16" t="str">
        <f t="shared" si="7"/>
        <v/>
      </c>
      <c r="G85" s="16" t="str">
        <f>IF(E85="","",E85/MAX(E$5:E85)-1)</f>
        <v/>
      </c>
      <c r="H85" s="13" t="str">
        <f>IF(OR('实盘净值数据(iFinD）'!$A85="",'实盘净值数据(iFinD）'!$B85=""),"",分期持仓明细!$AB$19*SUMPRODUCT(分期持仓明细!$B$19:$Y$19,'实盘净值数据(iFinD）'!$B85:$Y85/'实盘净值数据(iFinD）'!$B$20:$Y$20)*(1-实盘持仓初始配置!$Z$6)^(('实盘净值数据(iFinD）'!$A85-'实盘净值数据(iFinD）'!$A$7)/365))</f>
        <v/>
      </c>
      <c r="I85" s="16" t="str">
        <f t="shared" si="8"/>
        <v/>
      </c>
      <c r="J85" s="16" t="str">
        <f>IF(H85="","",H85/MAX(H$5:H85)-1)</f>
        <v/>
      </c>
      <c r="K85" s="13" t="str">
        <f>IF(OR('实盘净值数据(iFinD）'!$A85="",'实盘净值数据(iFinD）'!$B85="",'实盘净值数据(iFinD）'!$Z85="",'实盘净值数据(iFinD）'!$AA85=""),"",分期持仓明细!$AB$23*(SUMPRODUCT(分期持仓明细!$B$23:$Y$23,'实盘净值数据(iFinD）'!$B85:$Y85/'实盘净值数据(iFinD）'!$B$65:$Y$65)+SUMPRODUCT(分期持仓明细!$AC$23:$AD$23,'实盘净值数据(iFinD）'!$Z85:$AA85/'实盘净值数据(iFinD）'!$Z$65:$AA$65))*(1-实盘持仓初始配置!$Z$7)^(('实盘净值数据(iFinD）'!$A85-'实盘净值数据(iFinD）'!$A$8)/365))</f>
        <v/>
      </c>
      <c r="L85" s="16" t="str">
        <f t="shared" si="9"/>
        <v/>
      </c>
      <c r="M85" s="16" t="str">
        <f>IF(K85="","",K85/MAX(K$5:K85)-1)</f>
        <v/>
      </c>
      <c r="N85" s="13" t="str">
        <f>IF(OR('实盘净值数据(iFinD）'!$A85="",'实盘净值数据(iFinD）'!$B85="",'实盘净值数据(iFinD）'!$Z85="",'实盘净值数据(iFinD）'!$AA85=""),"",分期持仓明细!$AB$24*(SUMPRODUCT(分期持仓明细!$B$24:$Y$24,'实盘净值数据(iFinD）'!$B85:$Y85/'实盘净值数据(iFinD）'!$B$65:$Y$65)+SUMPRODUCT(分期持仓明细!$AC$24:$AD$24,'实盘净值数据(iFinD）'!$Z85:$AA85/'实盘净值数据(iFinD）'!$Z$65:$AA$65))*(1-实盘持仓初始配置!$Z$8)^(('实盘净值数据(iFinD）'!$A85-'实盘净值数据(iFinD）'!$A$5)/365))</f>
        <v/>
      </c>
      <c r="O85" s="16" t="str">
        <f t="shared" si="10"/>
        <v/>
      </c>
      <c r="P85" s="16" t="str">
        <f>IF(N85="","",N85/MAX(N$5:N85)-1)</f>
        <v/>
      </c>
      <c r="Q85" s="13" t="str">
        <f>IF(OR('实盘净值数据(iFinD）'!$A85="",'实盘净值数据(iFinD）'!$B85="",'实盘净值数据(iFinD）'!$Z85="",'实盘净值数据(iFinD）'!$AA85=""),"",分期持仓明细!$AB$25*(SUMPRODUCT(分期持仓明细!$B$25:$Y$25,'实盘净值数据(iFinD）'!$B85:$Y85/'实盘净值数据(iFinD）'!$B$65:$Y$65)+SUMPRODUCT(分期持仓明细!$AC$25:$AD$25,'实盘净值数据(iFinD）'!$Z85:$AA85/'实盘净值数据(iFinD）'!$Z$65:$AA$65))*(1-实盘持仓初始配置!$Z$9)^(('实盘净值数据(iFinD）'!$A85-'实盘净值数据(iFinD）'!$A$8)/365))</f>
        <v/>
      </c>
      <c r="R85" s="16" t="str">
        <f t="shared" si="11"/>
        <v/>
      </c>
      <c r="S85" s="16" t="str">
        <f>IF(Q85="","",Q85/MAX(Q$5:Q85)-1)</f>
        <v/>
      </c>
    </row>
    <row r="86" spans="1:19">
      <c r="A86" s="15" t="str">
        <f>IF('实盘净值数据(iFinD）'!A86="","",'实盘净值数据(iFinD）'!A86)</f>
        <v/>
      </c>
      <c r="B86" s="13" t="str">
        <f>IF(OR('实盘净值数据(iFinD）'!$A86="",'实盘净值数据(iFinD）'!$B86=""),"",分期持仓明细!$AB$17*SUMPRODUCT(分期持仓明细!$B$17:$Y$17,'实盘净值数据(iFinD）'!$B86:$Y86/'实盘净值数据(iFinD）'!$B$20:$Y$20)*(1-实盘持仓初始配置!$Z$4)^(('实盘净值数据(iFinD）'!$A86-'实盘净值数据(iFinD）'!$A$6)/365))</f>
        <v/>
      </c>
      <c r="C86" s="16" t="str">
        <f t="shared" si="6"/>
        <v/>
      </c>
      <c r="D86" s="16" t="str">
        <f>IF(B86="","",B86/MAX(B$5:B86)-1)</f>
        <v/>
      </c>
      <c r="E86" s="13" t="str">
        <f>IF(OR('实盘净值数据(iFinD）'!$A86="",'实盘净值数据(iFinD）'!$B86=""),"",分期持仓明细!$AB$18*SUMPRODUCT(分期持仓明细!$B$18:$Y$18,'实盘净值数据(iFinD）'!$B86:$Y86/'实盘净值数据(iFinD）'!$B$20:$Y$20)*(1-实盘持仓初始配置!$Z$5)^(('实盘净值数据(iFinD）'!$A86-'实盘净值数据(iFinD）'!$A$5)/365))</f>
        <v/>
      </c>
      <c r="F86" s="16" t="str">
        <f t="shared" si="7"/>
        <v/>
      </c>
      <c r="G86" s="16" t="str">
        <f>IF(E86="","",E86/MAX(E$5:E86)-1)</f>
        <v/>
      </c>
      <c r="H86" s="13" t="str">
        <f>IF(OR('实盘净值数据(iFinD）'!$A86="",'实盘净值数据(iFinD）'!$B86=""),"",分期持仓明细!$AB$19*SUMPRODUCT(分期持仓明细!$B$19:$Y$19,'实盘净值数据(iFinD）'!$B86:$Y86/'实盘净值数据(iFinD）'!$B$20:$Y$20)*(1-实盘持仓初始配置!$Z$6)^(('实盘净值数据(iFinD）'!$A86-'实盘净值数据(iFinD）'!$A$7)/365))</f>
        <v/>
      </c>
      <c r="I86" s="16" t="str">
        <f t="shared" si="8"/>
        <v/>
      </c>
      <c r="J86" s="16" t="str">
        <f>IF(H86="","",H86/MAX(H$5:H86)-1)</f>
        <v/>
      </c>
      <c r="K86" s="13" t="str">
        <f>IF(OR('实盘净值数据(iFinD）'!$A86="",'实盘净值数据(iFinD）'!$B86="",'实盘净值数据(iFinD）'!$Z86="",'实盘净值数据(iFinD）'!$AA86=""),"",分期持仓明细!$AB$23*(SUMPRODUCT(分期持仓明细!$B$23:$Y$23,'实盘净值数据(iFinD）'!$B86:$Y86/'实盘净值数据(iFinD）'!$B$65:$Y$65)+SUMPRODUCT(分期持仓明细!$AC$23:$AD$23,'实盘净值数据(iFinD）'!$Z86:$AA86/'实盘净值数据(iFinD）'!$Z$65:$AA$65))*(1-实盘持仓初始配置!$Z$7)^(('实盘净值数据(iFinD）'!$A86-'实盘净值数据(iFinD）'!$A$8)/365))</f>
        <v/>
      </c>
      <c r="L86" s="16" t="str">
        <f t="shared" si="9"/>
        <v/>
      </c>
      <c r="M86" s="16" t="str">
        <f>IF(K86="","",K86/MAX(K$5:K86)-1)</f>
        <v/>
      </c>
      <c r="N86" s="13" t="str">
        <f>IF(OR('实盘净值数据(iFinD）'!$A86="",'实盘净值数据(iFinD）'!$B86="",'实盘净值数据(iFinD）'!$Z86="",'实盘净值数据(iFinD）'!$AA86=""),"",分期持仓明细!$AB$24*(SUMPRODUCT(分期持仓明细!$B$24:$Y$24,'实盘净值数据(iFinD）'!$B86:$Y86/'实盘净值数据(iFinD）'!$B$65:$Y$65)+SUMPRODUCT(分期持仓明细!$AC$24:$AD$24,'实盘净值数据(iFinD）'!$Z86:$AA86/'实盘净值数据(iFinD）'!$Z$65:$AA$65))*(1-实盘持仓初始配置!$Z$8)^(('实盘净值数据(iFinD）'!$A86-'实盘净值数据(iFinD）'!$A$5)/365))</f>
        <v/>
      </c>
      <c r="O86" s="16" t="str">
        <f t="shared" si="10"/>
        <v/>
      </c>
      <c r="P86" s="16" t="str">
        <f>IF(N86="","",N86/MAX(N$5:N86)-1)</f>
        <v/>
      </c>
      <c r="Q86" s="13" t="str">
        <f>IF(OR('实盘净值数据(iFinD）'!$A86="",'实盘净值数据(iFinD）'!$B86="",'实盘净值数据(iFinD）'!$Z86="",'实盘净值数据(iFinD）'!$AA86=""),"",分期持仓明细!$AB$25*(SUMPRODUCT(分期持仓明细!$B$25:$Y$25,'实盘净值数据(iFinD）'!$B86:$Y86/'实盘净值数据(iFinD）'!$B$65:$Y$65)+SUMPRODUCT(分期持仓明细!$AC$25:$AD$25,'实盘净值数据(iFinD）'!$Z86:$AA86/'实盘净值数据(iFinD）'!$Z$65:$AA$65))*(1-实盘持仓初始配置!$Z$9)^(('实盘净值数据(iFinD）'!$A86-'实盘净值数据(iFinD）'!$A$8)/365))</f>
        <v/>
      </c>
      <c r="R86" s="16" t="str">
        <f t="shared" si="11"/>
        <v/>
      </c>
      <c r="S86" s="16" t="str">
        <f>IF(Q86="","",Q86/MAX(Q$5:Q86)-1)</f>
        <v/>
      </c>
    </row>
    <row r="87" spans="1:19">
      <c r="A87" s="15" t="str">
        <f>IF('实盘净值数据(iFinD）'!A87="","",'实盘净值数据(iFinD）'!A87)</f>
        <v/>
      </c>
      <c r="B87" s="13" t="str">
        <f>IF(OR('实盘净值数据(iFinD）'!$A87="",'实盘净值数据(iFinD）'!$B87=""),"",分期持仓明细!$AB$17*SUMPRODUCT(分期持仓明细!$B$17:$Y$17,'实盘净值数据(iFinD）'!$B87:$Y87/'实盘净值数据(iFinD）'!$B$20:$Y$20)*(1-实盘持仓初始配置!$Z$4)^(('实盘净值数据(iFinD）'!$A87-'实盘净值数据(iFinD）'!$A$6)/365))</f>
        <v/>
      </c>
      <c r="C87" s="16" t="str">
        <f t="shared" si="6"/>
        <v/>
      </c>
      <c r="D87" s="16" t="str">
        <f>IF(B87="","",B87/MAX(B$5:B87)-1)</f>
        <v/>
      </c>
      <c r="E87" s="13" t="str">
        <f>IF(OR('实盘净值数据(iFinD）'!$A87="",'实盘净值数据(iFinD）'!$B87=""),"",分期持仓明细!$AB$18*SUMPRODUCT(分期持仓明细!$B$18:$Y$18,'实盘净值数据(iFinD）'!$B87:$Y87/'实盘净值数据(iFinD）'!$B$20:$Y$20)*(1-实盘持仓初始配置!$Z$5)^(('实盘净值数据(iFinD）'!$A87-'实盘净值数据(iFinD）'!$A$5)/365))</f>
        <v/>
      </c>
      <c r="F87" s="16" t="str">
        <f t="shared" si="7"/>
        <v/>
      </c>
      <c r="G87" s="16" t="str">
        <f>IF(E87="","",E87/MAX(E$5:E87)-1)</f>
        <v/>
      </c>
      <c r="H87" s="13" t="str">
        <f>IF(OR('实盘净值数据(iFinD）'!$A87="",'实盘净值数据(iFinD）'!$B87=""),"",分期持仓明细!$AB$19*SUMPRODUCT(分期持仓明细!$B$19:$Y$19,'实盘净值数据(iFinD）'!$B87:$Y87/'实盘净值数据(iFinD）'!$B$20:$Y$20)*(1-实盘持仓初始配置!$Z$6)^(('实盘净值数据(iFinD）'!$A87-'实盘净值数据(iFinD）'!$A$7)/365))</f>
        <v/>
      </c>
      <c r="I87" s="16" t="str">
        <f t="shared" si="8"/>
        <v/>
      </c>
      <c r="J87" s="16" t="str">
        <f>IF(H87="","",H87/MAX(H$5:H87)-1)</f>
        <v/>
      </c>
      <c r="K87" s="13" t="str">
        <f>IF(OR('实盘净值数据(iFinD）'!$A87="",'实盘净值数据(iFinD）'!$B87="",'实盘净值数据(iFinD）'!$Z87="",'实盘净值数据(iFinD）'!$AA87=""),"",分期持仓明细!$AB$23*(SUMPRODUCT(分期持仓明细!$B$23:$Y$23,'实盘净值数据(iFinD）'!$B87:$Y87/'实盘净值数据(iFinD）'!$B$65:$Y$65)+SUMPRODUCT(分期持仓明细!$AC$23:$AD$23,'实盘净值数据(iFinD）'!$Z87:$AA87/'实盘净值数据(iFinD）'!$Z$65:$AA$65))*(1-实盘持仓初始配置!$Z$7)^(('实盘净值数据(iFinD）'!$A87-'实盘净值数据(iFinD）'!$A$8)/365))</f>
        <v/>
      </c>
      <c r="L87" s="16" t="str">
        <f t="shared" si="9"/>
        <v/>
      </c>
      <c r="M87" s="16" t="str">
        <f>IF(K87="","",K87/MAX(K$5:K87)-1)</f>
        <v/>
      </c>
      <c r="N87" s="13" t="str">
        <f>IF(OR('实盘净值数据(iFinD）'!$A87="",'实盘净值数据(iFinD）'!$B87="",'实盘净值数据(iFinD）'!$Z87="",'实盘净值数据(iFinD）'!$AA87=""),"",分期持仓明细!$AB$24*(SUMPRODUCT(分期持仓明细!$B$24:$Y$24,'实盘净值数据(iFinD）'!$B87:$Y87/'实盘净值数据(iFinD）'!$B$65:$Y$65)+SUMPRODUCT(分期持仓明细!$AC$24:$AD$24,'实盘净值数据(iFinD）'!$Z87:$AA87/'实盘净值数据(iFinD）'!$Z$65:$AA$65))*(1-实盘持仓初始配置!$Z$8)^(('实盘净值数据(iFinD）'!$A87-'实盘净值数据(iFinD）'!$A$5)/365))</f>
        <v/>
      </c>
      <c r="O87" s="16" t="str">
        <f t="shared" si="10"/>
        <v/>
      </c>
      <c r="P87" s="16" t="str">
        <f>IF(N87="","",N87/MAX(N$5:N87)-1)</f>
        <v/>
      </c>
      <c r="Q87" s="13" t="str">
        <f>IF(OR('实盘净值数据(iFinD）'!$A87="",'实盘净值数据(iFinD）'!$B87="",'实盘净值数据(iFinD）'!$Z87="",'实盘净值数据(iFinD）'!$AA87=""),"",分期持仓明细!$AB$25*(SUMPRODUCT(分期持仓明细!$B$25:$Y$25,'实盘净值数据(iFinD）'!$B87:$Y87/'实盘净值数据(iFinD）'!$B$65:$Y$65)+SUMPRODUCT(分期持仓明细!$AC$25:$AD$25,'实盘净值数据(iFinD）'!$Z87:$AA87/'实盘净值数据(iFinD）'!$Z$65:$AA$65))*(1-实盘持仓初始配置!$Z$9)^(('实盘净值数据(iFinD）'!$A87-'实盘净值数据(iFinD）'!$A$8)/365))</f>
        <v/>
      </c>
      <c r="R87" s="16" t="str">
        <f t="shared" si="11"/>
        <v/>
      </c>
      <c r="S87" s="16" t="str">
        <f>IF(Q87="","",Q87/MAX(Q$5:Q87)-1)</f>
        <v/>
      </c>
    </row>
    <row r="88" spans="1:19">
      <c r="A88" s="15" t="str">
        <f>IF('实盘净值数据(iFinD）'!A88="","",'实盘净值数据(iFinD）'!A88)</f>
        <v/>
      </c>
      <c r="B88" s="13" t="str">
        <f>IF(OR('实盘净值数据(iFinD）'!$A88="",'实盘净值数据(iFinD）'!$B88=""),"",分期持仓明细!$AB$17*SUMPRODUCT(分期持仓明细!$B$17:$Y$17,'实盘净值数据(iFinD）'!$B88:$Y88/'实盘净值数据(iFinD）'!$B$20:$Y$20)*(1-实盘持仓初始配置!$Z$4)^(('实盘净值数据(iFinD）'!$A88-'实盘净值数据(iFinD）'!$A$6)/365))</f>
        <v/>
      </c>
      <c r="C88" s="16" t="str">
        <f t="shared" si="6"/>
        <v/>
      </c>
      <c r="D88" s="16" t="str">
        <f>IF(B88="","",B88/MAX(B$5:B88)-1)</f>
        <v/>
      </c>
      <c r="E88" s="13" t="str">
        <f>IF(OR('实盘净值数据(iFinD）'!$A88="",'实盘净值数据(iFinD）'!$B88=""),"",分期持仓明细!$AB$18*SUMPRODUCT(分期持仓明细!$B$18:$Y$18,'实盘净值数据(iFinD）'!$B88:$Y88/'实盘净值数据(iFinD）'!$B$20:$Y$20)*(1-实盘持仓初始配置!$Z$5)^(('实盘净值数据(iFinD）'!$A88-'实盘净值数据(iFinD）'!$A$5)/365))</f>
        <v/>
      </c>
      <c r="F88" s="16" t="str">
        <f t="shared" si="7"/>
        <v/>
      </c>
      <c r="G88" s="16" t="str">
        <f>IF(E88="","",E88/MAX(E$5:E88)-1)</f>
        <v/>
      </c>
      <c r="H88" s="13" t="str">
        <f>IF(OR('实盘净值数据(iFinD）'!$A88="",'实盘净值数据(iFinD）'!$B88=""),"",分期持仓明细!$AB$19*SUMPRODUCT(分期持仓明细!$B$19:$Y$19,'实盘净值数据(iFinD）'!$B88:$Y88/'实盘净值数据(iFinD）'!$B$20:$Y$20)*(1-实盘持仓初始配置!$Z$6)^(('实盘净值数据(iFinD）'!$A88-'实盘净值数据(iFinD）'!$A$7)/365))</f>
        <v/>
      </c>
      <c r="I88" s="16" t="str">
        <f t="shared" si="8"/>
        <v/>
      </c>
      <c r="J88" s="16" t="str">
        <f>IF(H88="","",H88/MAX(H$5:H88)-1)</f>
        <v/>
      </c>
      <c r="K88" s="13" t="str">
        <f>IF(OR('实盘净值数据(iFinD）'!$A88="",'实盘净值数据(iFinD）'!$B88="",'实盘净值数据(iFinD）'!$Z88="",'实盘净值数据(iFinD）'!$AA88=""),"",分期持仓明细!$AB$23*(SUMPRODUCT(分期持仓明细!$B$23:$Y$23,'实盘净值数据(iFinD）'!$B88:$Y88/'实盘净值数据(iFinD）'!$B$65:$Y$65)+SUMPRODUCT(分期持仓明细!$AC$23:$AD$23,'实盘净值数据(iFinD）'!$Z88:$AA88/'实盘净值数据(iFinD）'!$Z$65:$AA$65))*(1-实盘持仓初始配置!$Z$7)^(('实盘净值数据(iFinD）'!$A88-'实盘净值数据(iFinD）'!$A$8)/365))</f>
        <v/>
      </c>
      <c r="L88" s="16" t="str">
        <f t="shared" si="9"/>
        <v/>
      </c>
      <c r="M88" s="16" t="str">
        <f>IF(K88="","",K88/MAX(K$5:K88)-1)</f>
        <v/>
      </c>
      <c r="N88" s="13" t="str">
        <f>IF(OR('实盘净值数据(iFinD）'!$A88="",'实盘净值数据(iFinD）'!$B88="",'实盘净值数据(iFinD）'!$Z88="",'实盘净值数据(iFinD）'!$AA88=""),"",分期持仓明细!$AB$24*(SUMPRODUCT(分期持仓明细!$B$24:$Y$24,'实盘净值数据(iFinD）'!$B88:$Y88/'实盘净值数据(iFinD）'!$B$65:$Y$65)+SUMPRODUCT(分期持仓明细!$AC$24:$AD$24,'实盘净值数据(iFinD）'!$Z88:$AA88/'实盘净值数据(iFinD）'!$Z$65:$AA$65))*(1-实盘持仓初始配置!$Z$8)^(('实盘净值数据(iFinD）'!$A88-'实盘净值数据(iFinD）'!$A$5)/365))</f>
        <v/>
      </c>
      <c r="O88" s="16" t="str">
        <f t="shared" si="10"/>
        <v/>
      </c>
      <c r="P88" s="16" t="str">
        <f>IF(N88="","",N88/MAX(N$5:N88)-1)</f>
        <v/>
      </c>
      <c r="Q88" s="13" t="str">
        <f>IF(OR('实盘净值数据(iFinD）'!$A88="",'实盘净值数据(iFinD）'!$B88="",'实盘净值数据(iFinD）'!$Z88="",'实盘净值数据(iFinD）'!$AA88=""),"",分期持仓明细!$AB$25*(SUMPRODUCT(分期持仓明细!$B$25:$Y$25,'实盘净值数据(iFinD）'!$B88:$Y88/'实盘净值数据(iFinD）'!$B$65:$Y$65)+SUMPRODUCT(分期持仓明细!$AC$25:$AD$25,'实盘净值数据(iFinD）'!$Z88:$AA88/'实盘净值数据(iFinD）'!$Z$65:$AA$65))*(1-实盘持仓初始配置!$Z$9)^(('实盘净值数据(iFinD）'!$A88-'实盘净值数据(iFinD）'!$A$8)/365))</f>
        <v/>
      </c>
      <c r="R88" s="16" t="str">
        <f t="shared" si="11"/>
        <v/>
      </c>
      <c r="S88" s="16" t="str">
        <f>IF(Q88="","",Q88/MAX(Q$5:Q88)-1)</f>
        <v/>
      </c>
    </row>
    <row r="89" spans="1:19">
      <c r="A89" s="15" t="str">
        <f>IF('实盘净值数据(iFinD）'!A89="","",'实盘净值数据(iFinD）'!A89)</f>
        <v/>
      </c>
      <c r="B89" s="13" t="str">
        <f>IF(OR('实盘净值数据(iFinD）'!$A89="",'实盘净值数据(iFinD）'!$B89=""),"",分期持仓明细!$AB$17*SUMPRODUCT(分期持仓明细!$B$17:$Y$17,'实盘净值数据(iFinD）'!$B89:$Y89/'实盘净值数据(iFinD）'!$B$20:$Y$20)*(1-实盘持仓初始配置!$Z$4)^(('实盘净值数据(iFinD）'!$A89-'实盘净值数据(iFinD）'!$A$6)/365))</f>
        <v/>
      </c>
      <c r="C89" s="16" t="str">
        <f t="shared" si="6"/>
        <v/>
      </c>
      <c r="D89" s="16" t="str">
        <f>IF(B89="","",B89/MAX(B$5:B89)-1)</f>
        <v/>
      </c>
      <c r="E89" s="13" t="str">
        <f>IF(OR('实盘净值数据(iFinD）'!$A89="",'实盘净值数据(iFinD）'!$B89=""),"",分期持仓明细!$AB$18*SUMPRODUCT(分期持仓明细!$B$18:$Y$18,'实盘净值数据(iFinD）'!$B89:$Y89/'实盘净值数据(iFinD）'!$B$20:$Y$20)*(1-实盘持仓初始配置!$Z$5)^(('实盘净值数据(iFinD）'!$A89-'实盘净值数据(iFinD）'!$A$5)/365))</f>
        <v/>
      </c>
      <c r="F89" s="16" t="str">
        <f t="shared" si="7"/>
        <v/>
      </c>
      <c r="G89" s="16" t="str">
        <f>IF(E89="","",E89/MAX(E$5:E89)-1)</f>
        <v/>
      </c>
      <c r="H89" s="13" t="str">
        <f>IF(OR('实盘净值数据(iFinD）'!$A89="",'实盘净值数据(iFinD）'!$B89=""),"",分期持仓明细!$AB$19*SUMPRODUCT(分期持仓明细!$B$19:$Y$19,'实盘净值数据(iFinD）'!$B89:$Y89/'实盘净值数据(iFinD）'!$B$20:$Y$20)*(1-实盘持仓初始配置!$Z$6)^(('实盘净值数据(iFinD）'!$A89-'实盘净值数据(iFinD）'!$A$7)/365))</f>
        <v/>
      </c>
      <c r="I89" s="16" t="str">
        <f t="shared" si="8"/>
        <v/>
      </c>
      <c r="J89" s="16" t="str">
        <f>IF(H89="","",H89/MAX(H$5:H89)-1)</f>
        <v/>
      </c>
      <c r="K89" s="13" t="str">
        <f>IF(OR('实盘净值数据(iFinD）'!$A89="",'实盘净值数据(iFinD）'!$B89="",'实盘净值数据(iFinD）'!$Z89="",'实盘净值数据(iFinD）'!$AA89=""),"",分期持仓明细!$AB$23*(SUMPRODUCT(分期持仓明细!$B$23:$Y$23,'实盘净值数据(iFinD）'!$B89:$Y89/'实盘净值数据(iFinD）'!$B$65:$Y$65)+SUMPRODUCT(分期持仓明细!$AC$23:$AD$23,'实盘净值数据(iFinD）'!$Z89:$AA89/'实盘净值数据(iFinD）'!$Z$65:$AA$65))*(1-实盘持仓初始配置!$Z$7)^(('实盘净值数据(iFinD）'!$A89-'实盘净值数据(iFinD）'!$A$8)/365))</f>
        <v/>
      </c>
      <c r="L89" s="16" t="str">
        <f t="shared" si="9"/>
        <v/>
      </c>
      <c r="M89" s="16" t="str">
        <f>IF(K89="","",K89/MAX(K$5:K89)-1)</f>
        <v/>
      </c>
      <c r="N89" s="13" t="str">
        <f>IF(OR('实盘净值数据(iFinD）'!$A89="",'实盘净值数据(iFinD）'!$B89="",'实盘净值数据(iFinD）'!$Z89="",'实盘净值数据(iFinD）'!$AA89=""),"",分期持仓明细!$AB$24*(SUMPRODUCT(分期持仓明细!$B$24:$Y$24,'实盘净值数据(iFinD）'!$B89:$Y89/'实盘净值数据(iFinD）'!$B$65:$Y$65)+SUMPRODUCT(分期持仓明细!$AC$24:$AD$24,'实盘净值数据(iFinD）'!$Z89:$AA89/'实盘净值数据(iFinD）'!$Z$65:$AA$65))*(1-实盘持仓初始配置!$Z$8)^(('实盘净值数据(iFinD）'!$A89-'实盘净值数据(iFinD）'!$A$5)/365))</f>
        <v/>
      </c>
      <c r="O89" s="16" t="str">
        <f t="shared" si="10"/>
        <v/>
      </c>
      <c r="P89" s="16" t="str">
        <f>IF(N89="","",N89/MAX(N$5:N89)-1)</f>
        <v/>
      </c>
      <c r="Q89" s="13" t="str">
        <f>IF(OR('实盘净值数据(iFinD）'!$A89="",'实盘净值数据(iFinD）'!$B89="",'实盘净值数据(iFinD）'!$Z89="",'实盘净值数据(iFinD）'!$AA89=""),"",分期持仓明细!$AB$25*(SUMPRODUCT(分期持仓明细!$B$25:$Y$25,'实盘净值数据(iFinD）'!$B89:$Y89/'实盘净值数据(iFinD）'!$B$65:$Y$65)+SUMPRODUCT(分期持仓明细!$AC$25:$AD$25,'实盘净值数据(iFinD）'!$Z89:$AA89/'实盘净值数据(iFinD）'!$Z$65:$AA$65))*(1-实盘持仓初始配置!$Z$9)^(('实盘净值数据(iFinD）'!$A89-'实盘净值数据(iFinD）'!$A$8)/365))</f>
        <v/>
      </c>
      <c r="R89" s="16" t="str">
        <f t="shared" si="11"/>
        <v/>
      </c>
      <c r="S89" s="16" t="str">
        <f>IF(Q89="","",Q89/MAX(Q$5:Q89)-1)</f>
        <v/>
      </c>
    </row>
    <row r="90" spans="1:19">
      <c r="A90" s="15" t="str">
        <f>IF('实盘净值数据(iFinD）'!A90="","",'实盘净值数据(iFinD）'!A90)</f>
        <v/>
      </c>
      <c r="B90" s="13" t="str">
        <f>IF(OR('实盘净值数据(iFinD）'!$A90="",'实盘净值数据(iFinD）'!$B90=""),"",分期持仓明细!$AB$17*SUMPRODUCT(分期持仓明细!$B$17:$Y$17,'实盘净值数据(iFinD）'!$B90:$Y90/'实盘净值数据(iFinD）'!$B$20:$Y$20)*(1-实盘持仓初始配置!$Z$4)^(('实盘净值数据(iFinD）'!$A90-'实盘净值数据(iFinD）'!$A$6)/365))</f>
        <v/>
      </c>
      <c r="C90" s="16" t="str">
        <f t="shared" si="6"/>
        <v/>
      </c>
      <c r="D90" s="16" t="str">
        <f>IF(B90="","",B90/MAX(B$5:B90)-1)</f>
        <v/>
      </c>
      <c r="E90" s="13" t="str">
        <f>IF(OR('实盘净值数据(iFinD）'!$A90="",'实盘净值数据(iFinD）'!$B90=""),"",分期持仓明细!$AB$18*SUMPRODUCT(分期持仓明细!$B$18:$Y$18,'实盘净值数据(iFinD）'!$B90:$Y90/'实盘净值数据(iFinD）'!$B$20:$Y$20)*(1-实盘持仓初始配置!$Z$5)^(('实盘净值数据(iFinD）'!$A90-'实盘净值数据(iFinD）'!$A$5)/365))</f>
        <v/>
      </c>
      <c r="F90" s="16" t="str">
        <f t="shared" si="7"/>
        <v/>
      </c>
      <c r="G90" s="16" t="str">
        <f>IF(E90="","",E90/MAX(E$5:E90)-1)</f>
        <v/>
      </c>
      <c r="H90" s="13" t="str">
        <f>IF(OR('实盘净值数据(iFinD）'!$A90="",'实盘净值数据(iFinD）'!$B90=""),"",分期持仓明细!$AB$19*SUMPRODUCT(分期持仓明细!$B$19:$Y$19,'实盘净值数据(iFinD）'!$B90:$Y90/'实盘净值数据(iFinD）'!$B$20:$Y$20)*(1-实盘持仓初始配置!$Z$6)^(('实盘净值数据(iFinD）'!$A90-'实盘净值数据(iFinD）'!$A$7)/365))</f>
        <v/>
      </c>
      <c r="I90" s="16" t="str">
        <f t="shared" si="8"/>
        <v/>
      </c>
      <c r="J90" s="16" t="str">
        <f>IF(H90="","",H90/MAX(H$5:H90)-1)</f>
        <v/>
      </c>
      <c r="K90" s="13" t="str">
        <f>IF(OR('实盘净值数据(iFinD）'!$A90="",'实盘净值数据(iFinD）'!$B90="",'实盘净值数据(iFinD）'!$Z90="",'实盘净值数据(iFinD）'!$AA90=""),"",分期持仓明细!$AB$23*(SUMPRODUCT(分期持仓明细!$B$23:$Y$23,'实盘净值数据(iFinD）'!$B90:$Y90/'实盘净值数据(iFinD）'!$B$65:$Y$65)+SUMPRODUCT(分期持仓明细!$AC$23:$AD$23,'实盘净值数据(iFinD）'!$Z90:$AA90/'实盘净值数据(iFinD）'!$Z$65:$AA$65))*(1-实盘持仓初始配置!$Z$7)^(('实盘净值数据(iFinD）'!$A90-'实盘净值数据(iFinD）'!$A$8)/365))</f>
        <v/>
      </c>
      <c r="L90" s="16" t="str">
        <f t="shared" si="9"/>
        <v/>
      </c>
      <c r="M90" s="16" t="str">
        <f>IF(K90="","",K90/MAX(K$5:K90)-1)</f>
        <v/>
      </c>
      <c r="N90" s="13" t="str">
        <f>IF(OR('实盘净值数据(iFinD）'!$A90="",'实盘净值数据(iFinD）'!$B90="",'实盘净值数据(iFinD）'!$Z90="",'实盘净值数据(iFinD）'!$AA90=""),"",分期持仓明细!$AB$24*(SUMPRODUCT(分期持仓明细!$B$24:$Y$24,'实盘净值数据(iFinD）'!$B90:$Y90/'实盘净值数据(iFinD）'!$B$65:$Y$65)+SUMPRODUCT(分期持仓明细!$AC$24:$AD$24,'实盘净值数据(iFinD）'!$Z90:$AA90/'实盘净值数据(iFinD）'!$Z$65:$AA$65))*(1-实盘持仓初始配置!$Z$8)^(('实盘净值数据(iFinD）'!$A90-'实盘净值数据(iFinD）'!$A$5)/365))</f>
        <v/>
      </c>
      <c r="O90" s="16" t="str">
        <f t="shared" si="10"/>
        <v/>
      </c>
      <c r="P90" s="16" t="str">
        <f>IF(N90="","",N90/MAX(N$5:N90)-1)</f>
        <v/>
      </c>
      <c r="Q90" s="13" t="str">
        <f>IF(OR('实盘净值数据(iFinD）'!$A90="",'实盘净值数据(iFinD）'!$B90="",'实盘净值数据(iFinD）'!$Z90="",'实盘净值数据(iFinD）'!$AA90=""),"",分期持仓明细!$AB$25*(SUMPRODUCT(分期持仓明细!$B$25:$Y$25,'实盘净值数据(iFinD）'!$B90:$Y90/'实盘净值数据(iFinD）'!$B$65:$Y$65)+SUMPRODUCT(分期持仓明细!$AC$25:$AD$25,'实盘净值数据(iFinD）'!$Z90:$AA90/'实盘净值数据(iFinD）'!$Z$65:$AA$65))*(1-实盘持仓初始配置!$Z$9)^(('实盘净值数据(iFinD）'!$A90-'实盘净值数据(iFinD）'!$A$8)/365))</f>
        <v/>
      </c>
      <c r="R90" s="16" t="str">
        <f t="shared" si="11"/>
        <v/>
      </c>
      <c r="S90" s="16" t="str">
        <f>IF(Q90="","",Q90/MAX(Q$5:Q90)-1)</f>
        <v/>
      </c>
    </row>
    <row r="91" spans="1:19">
      <c r="A91" s="15" t="str">
        <f>IF('实盘净值数据(iFinD）'!A91="","",'实盘净值数据(iFinD）'!A91)</f>
        <v/>
      </c>
      <c r="B91" s="13" t="str">
        <f>IF(OR('实盘净值数据(iFinD）'!$A91="",'实盘净值数据(iFinD）'!$B91=""),"",分期持仓明细!$AB$17*SUMPRODUCT(分期持仓明细!$B$17:$Y$17,'实盘净值数据(iFinD）'!$B91:$Y91/'实盘净值数据(iFinD）'!$B$20:$Y$20)*(1-实盘持仓初始配置!$Z$4)^(('实盘净值数据(iFinD）'!$A91-'实盘净值数据(iFinD）'!$A$6)/365))</f>
        <v/>
      </c>
      <c r="C91" s="16" t="str">
        <f t="shared" si="6"/>
        <v/>
      </c>
      <c r="D91" s="16" t="str">
        <f>IF(B91="","",B91/MAX(B$5:B91)-1)</f>
        <v/>
      </c>
      <c r="E91" s="13" t="str">
        <f>IF(OR('实盘净值数据(iFinD）'!$A91="",'实盘净值数据(iFinD）'!$B91=""),"",分期持仓明细!$AB$18*SUMPRODUCT(分期持仓明细!$B$18:$Y$18,'实盘净值数据(iFinD）'!$B91:$Y91/'实盘净值数据(iFinD）'!$B$20:$Y$20)*(1-实盘持仓初始配置!$Z$5)^(('实盘净值数据(iFinD）'!$A91-'实盘净值数据(iFinD）'!$A$5)/365))</f>
        <v/>
      </c>
      <c r="F91" s="16" t="str">
        <f t="shared" si="7"/>
        <v/>
      </c>
      <c r="G91" s="16" t="str">
        <f>IF(E91="","",E91/MAX(E$5:E91)-1)</f>
        <v/>
      </c>
      <c r="H91" s="13" t="str">
        <f>IF(OR('实盘净值数据(iFinD）'!$A91="",'实盘净值数据(iFinD）'!$B91=""),"",分期持仓明细!$AB$19*SUMPRODUCT(分期持仓明细!$B$19:$Y$19,'实盘净值数据(iFinD）'!$B91:$Y91/'实盘净值数据(iFinD）'!$B$20:$Y$20)*(1-实盘持仓初始配置!$Z$6)^(('实盘净值数据(iFinD）'!$A91-'实盘净值数据(iFinD）'!$A$7)/365))</f>
        <v/>
      </c>
      <c r="I91" s="16" t="str">
        <f t="shared" si="8"/>
        <v/>
      </c>
      <c r="J91" s="16" t="str">
        <f>IF(H91="","",H91/MAX(H$5:H91)-1)</f>
        <v/>
      </c>
      <c r="K91" s="13" t="str">
        <f>IF(OR('实盘净值数据(iFinD）'!$A91="",'实盘净值数据(iFinD）'!$B91="",'实盘净值数据(iFinD）'!$Z91="",'实盘净值数据(iFinD）'!$AA91=""),"",分期持仓明细!$AB$23*(SUMPRODUCT(分期持仓明细!$B$23:$Y$23,'实盘净值数据(iFinD）'!$B91:$Y91/'实盘净值数据(iFinD）'!$B$65:$Y$65)+SUMPRODUCT(分期持仓明细!$AC$23:$AD$23,'实盘净值数据(iFinD）'!$Z91:$AA91/'实盘净值数据(iFinD）'!$Z$65:$AA$65))*(1-实盘持仓初始配置!$Z$7)^(('实盘净值数据(iFinD）'!$A91-'实盘净值数据(iFinD）'!$A$8)/365))</f>
        <v/>
      </c>
      <c r="L91" s="16" t="str">
        <f t="shared" si="9"/>
        <v/>
      </c>
      <c r="M91" s="16" t="str">
        <f>IF(K91="","",K91/MAX(K$5:K91)-1)</f>
        <v/>
      </c>
      <c r="N91" s="13" t="str">
        <f>IF(OR('实盘净值数据(iFinD）'!$A91="",'实盘净值数据(iFinD）'!$B91="",'实盘净值数据(iFinD）'!$Z91="",'实盘净值数据(iFinD）'!$AA91=""),"",分期持仓明细!$AB$24*(SUMPRODUCT(分期持仓明细!$B$24:$Y$24,'实盘净值数据(iFinD）'!$B91:$Y91/'实盘净值数据(iFinD）'!$B$65:$Y$65)+SUMPRODUCT(分期持仓明细!$AC$24:$AD$24,'实盘净值数据(iFinD）'!$Z91:$AA91/'实盘净值数据(iFinD）'!$Z$65:$AA$65))*(1-实盘持仓初始配置!$Z$8)^(('实盘净值数据(iFinD）'!$A91-'实盘净值数据(iFinD）'!$A$5)/365))</f>
        <v/>
      </c>
      <c r="O91" s="16" t="str">
        <f t="shared" si="10"/>
        <v/>
      </c>
      <c r="P91" s="16" t="str">
        <f>IF(N91="","",N91/MAX(N$5:N91)-1)</f>
        <v/>
      </c>
      <c r="Q91" s="13" t="str">
        <f>IF(OR('实盘净值数据(iFinD）'!$A91="",'实盘净值数据(iFinD）'!$B91="",'实盘净值数据(iFinD）'!$Z91="",'实盘净值数据(iFinD）'!$AA91=""),"",分期持仓明细!$AB$25*(SUMPRODUCT(分期持仓明细!$B$25:$Y$25,'实盘净值数据(iFinD）'!$B91:$Y91/'实盘净值数据(iFinD）'!$B$65:$Y$65)+SUMPRODUCT(分期持仓明细!$AC$25:$AD$25,'实盘净值数据(iFinD）'!$Z91:$AA91/'实盘净值数据(iFinD）'!$Z$65:$AA$65))*(1-实盘持仓初始配置!$Z$9)^(('实盘净值数据(iFinD）'!$A91-'实盘净值数据(iFinD）'!$A$8)/365))</f>
        <v/>
      </c>
      <c r="R91" s="16" t="str">
        <f t="shared" si="11"/>
        <v/>
      </c>
      <c r="S91" s="16" t="str">
        <f>IF(Q91="","",Q91/MAX(Q$5:Q91)-1)</f>
        <v/>
      </c>
    </row>
    <row r="92" spans="1:19">
      <c r="A92" s="15" t="str">
        <f>IF('实盘净值数据(iFinD）'!A92="","",'实盘净值数据(iFinD）'!A92)</f>
        <v/>
      </c>
      <c r="B92" s="13" t="str">
        <f>IF(OR('实盘净值数据(iFinD）'!$A92="",'实盘净值数据(iFinD）'!$B92=""),"",分期持仓明细!$AB$17*SUMPRODUCT(分期持仓明细!$B$17:$Y$17,'实盘净值数据(iFinD）'!$B92:$Y92/'实盘净值数据(iFinD）'!$B$20:$Y$20)*(1-实盘持仓初始配置!$Z$4)^(('实盘净值数据(iFinD）'!$A92-'实盘净值数据(iFinD）'!$A$6)/365))</f>
        <v/>
      </c>
      <c r="C92" s="16" t="str">
        <f t="shared" si="6"/>
        <v/>
      </c>
      <c r="D92" s="16" t="str">
        <f>IF(B92="","",B92/MAX(B$5:B92)-1)</f>
        <v/>
      </c>
      <c r="E92" s="13" t="str">
        <f>IF(OR('实盘净值数据(iFinD）'!$A92="",'实盘净值数据(iFinD）'!$B92=""),"",分期持仓明细!$AB$18*SUMPRODUCT(分期持仓明细!$B$18:$Y$18,'实盘净值数据(iFinD）'!$B92:$Y92/'实盘净值数据(iFinD）'!$B$20:$Y$20)*(1-实盘持仓初始配置!$Z$5)^(('实盘净值数据(iFinD）'!$A92-'实盘净值数据(iFinD）'!$A$5)/365))</f>
        <v/>
      </c>
      <c r="F92" s="16" t="str">
        <f t="shared" si="7"/>
        <v/>
      </c>
      <c r="G92" s="16" t="str">
        <f>IF(E92="","",E92/MAX(E$5:E92)-1)</f>
        <v/>
      </c>
      <c r="H92" s="13" t="str">
        <f>IF(OR('实盘净值数据(iFinD）'!$A92="",'实盘净值数据(iFinD）'!$B92=""),"",分期持仓明细!$AB$19*SUMPRODUCT(分期持仓明细!$B$19:$Y$19,'实盘净值数据(iFinD）'!$B92:$Y92/'实盘净值数据(iFinD）'!$B$20:$Y$20)*(1-实盘持仓初始配置!$Z$6)^(('实盘净值数据(iFinD）'!$A92-'实盘净值数据(iFinD）'!$A$7)/365))</f>
        <v/>
      </c>
      <c r="I92" s="16" t="str">
        <f t="shared" si="8"/>
        <v/>
      </c>
      <c r="J92" s="16" t="str">
        <f>IF(H92="","",H92/MAX(H$5:H92)-1)</f>
        <v/>
      </c>
      <c r="K92" s="13" t="str">
        <f>IF(OR('实盘净值数据(iFinD）'!$A92="",'实盘净值数据(iFinD）'!$B92="",'实盘净值数据(iFinD）'!$Z92="",'实盘净值数据(iFinD）'!$AA92=""),"",分期持仓明细!$AB$23*(SUMPRODUCT(分期持仓明细!$B$23:$Y$23,'实盘净值数据(iFinD）'!$B92:$Y92/'实盘净值数据(iFinD）'!$B$65:$Y$65)+SUMPRODUCT(分期持仓明细!$AC$23:$AD$23,'实盘净值数据(iFinD）'!$Z92:$AA92/'实盘净值数据(iFinD）'!$Z$65:$AA$65))*(1-实盘持仓初始配置!$Z$7)^(('实盘净值数据(iFinD）'!$A92-'实盘净值数据(iFinD）'!$A$8)/365))</f>
        <v/>
      </c>
      <c r="L92" s="16" t="str">
        <f t="shared" si="9"/>
        <v/>
      </c>
      <c r="M92" s="16" t="str">
        <f>IF(K92="","",K92/MAX(K$5:K92)-1)</f>
        <v/>
      </c>
      <c r="N92" s="13" t="str">
        <f>IF(OR('实盘净值数据(iFinD）'!$A92="",'实盘净值数据(iFinD）'!$B92="",'实盘净值数据(iFinD）'!$Z92="",'实盘净值数据(iFinD）'!$AA92=""),"",分期持仓明细!$AB$24*(SUMPRODUCT(分期持仓明细!$B$24:$Y$24,'实盘净值数据(iFinD）'!$B92:$Y92/'实盘净值数据(iFinD）'!$B$65:$Y$65)+SUMPRODUCT(分期持仓明细!$AC$24:$AD$24,'实盘净值数据(iFinD）'!$Z92:$AA92/'实盘净值数据(iFinD）'!$Z$65:$AA$65))*(1-实盘持仓初始配置!$Z$8)^(('实盘净值数据(iFinD）'!$A92-'实盘净值数据(iFinD）'!$A$5)/365))</f>
        <v/>
      </c>
      <c r="O92" s="16" t="str">
        <f t="shared" si="10"/>
        <v/>
      </c>
      <c r="P92" s="16" t="str">
        <f>IF(N92="","",N92/MAX(N$5:N92)-1)</f>
        <v/>
      </c>
      <c r="Q92" s="13" t="str">
        <f>IF(OR('实盘净值数据(iFinD）'!$A92="",'实盘净值数据(iFinD）'!$B92="",'实盘净值数据(iFinD）'!$Z92="",'实盘净值数据(iFinD）'!$AA92=""),"",分期持仓明细!$AB$25*(SUMPRODUCT(分期持仓明细!$B$25:$Y$25,'实盘净值数据(iFinD）'!$B92:$Y92/'实盘净值数据(iFinD）'!$B$65:$Y$65)+SUMPRODUCT(分期持仓明细!$AC$25:$AD$25,'实盘净值数据(iFinD）'!$Z92:$AA92/'实盘净值数据(iFinD）'!$Z$65:$AA$65))*(1-实盘持仓初始配置!$Z$9)^(('实盘净值数据(iFinD）'!$A92-'实盘净值数据(iFinD）'!$A$8)/365))</f>
        <v/>
      </c>
      <c r="R92" s="16" t="str">
        <f t="shared" si="11"/>
        <v/>
      </c>
      <c r="S92" s="16" t="str">
        <f>IF(Q92="","",Q92/MAX(Q$5:Q92)-1)</f>
        <v/>
      </c>
    </row>
    <row r="93" spans="1:19">
      <c r="A93" s="15" t="str">
        <f>IF('实盘净值数据(iFinD）'!A93="","",'实盘净值数据(iFinD）'!A93)</f>
        <v/>
      </c>
      <c r="B93" s="13" t="str">
        <f>IF(OR('实盘净值数据(iFinD）'!$A93="",'实盘净值数据(iFinD）'!$B93=""),"",分期持仓明细!$AB$17*SUMPRODUCT(分期持仓明细!$B$17:$Y$17,'实盘净值数据(iFinD）'!$B93:$Y93/'实盘净值数据(iFinD）'!$B$20:$Y$20)*(1-实盘持仓初始配置!$Z$4)^(('实盘净值数据(iFinD）'!$A93-'实盘净值数据(iFinD）'!$A$6)/365))</f>
        <v/>
      </c>
      <c r="C93" s="16" t="str">
        <f t="shared" si="6"/>
        <v/>
      </c>
      <c r="D93" s="16" t="str">
        <f>IF(B93="","",B93/MAX(B$5:B93)-1)</f>
        <v/>
      </c>
      <c r="E93" s="13" t="str">
        <f>IF(OR('实盘净值数据(iFinD）'!$A93="",'实盘净值数据(iFinD）'!$B93=""),"",分期持仓明细!$AB$18*SUMPRODUCT(分期持仓明细!$B$18:$Y$18,'实盘净值数据(iFinD）'!$B93:$Y93/'实盘净值数据(iFinD）'!$B$20:$Y$20)*(1-实盘持仓初始配置!$Z$5)^(('实盘净值数据(iFinD）'!$A93-'实盘净值数据(iFinD）'!$A$5)/365))</f>
        <v/>
      </c>
      <c r="F93" s="16" t="str">
        <f t="shared" si="7"/>
        <v/>
      </c>
      <c r="G93" s="16" t="str">
        <f>IF(E93="","",E93/MAX(E$5:E93)-1)</f>
        <v/>
      </c>
      <c r="H93" s="13" t="str">
        <f>IF(OR('实盘净值数据(iFinD）'!$A93="",'实盘净值数据(iFinD）'!$B93=""),"",分期持仓明细!$AB$19*SUMPRODUCT(分期持仓明细!$B$19:$Y$19,'实盘净值数据(iFinD）'!$B93:$Y93/'实盘净值数据(iFinD）'!$B$20:$Y$20)*(1-实盘持仓初始配置!$Z$6)^(('实盘净值数据(iFinD）'!$A93-'实盘净值数据(iFinD）'!$A$7)/365))</f>
        <v/>
      </c>
      <c r="I93" s="16" t="str">
        <f t="shared" si="8"/>
        <v/>
      </c>
      <c r="J93" s="16" t="str">
        <f>IF(H93="","",H93/MAX(H$5:H93)-1)</f>
        <v/>
      </c>
      <c r="K93" s="13" t="str">
        <f>IF(OR('实盘净值数据(iFinD）'!$A93="",'实盘净值数据(iFinD）'!$B93="",'实盘净值数据(iFinD）'!$Z93="",'实盘净值数据(iFinD）'!$AA93=""),"",分期持仓明细!$AB$23*(SUMPRODUCT(分期持仓明细!$B$23:$Y$23,'实盘净值数据(iFinD）'!$B93:$Y93/'实盘净值数据(iFinD）'!$B$65:$Y$65)+SUMPRODUCT(分期持仓明细!$AC$23:$AD$23,'实盘净值数据(iFinD）'!$Z93:$AA93/'实盘净值数据(iFinD）'!$Z$65:$AA$65))*(1-实盘持仓初始配置!$Z$7)^(('实盘净值数据(iFinD）'!$A93-'实盘净值数据(iFinD）'!$A$8)/365))</f>
        <v/>
      </c>
      <c r="L93" s="16" t="str">
        <f t="shared" si="9"/>
        <v/>
      </c>
      <c r="M93" s="16" t="str">
        <f>IF(K93="","",K93/MAX(K$5:K93)-1)</f>
        <v/>
      </c>
      <c r="N93" s="13" t="str">
        <f>IF(OR('实盘净值数据(iFinD）'!$A93="",'实盘净值数据(iFinD）'!$B93="",'实盘净值数据(iFinD）'!$Z93="",'实盘净值数据(iFinD）'!$AA93=""),"",分期持仓明细!$AB$24*(SUMPRODUCT(分期持仓明细!$B$24:$Y$24,'实盘净值数据(iFinD）'!$B93:$Y93/'实盘净值数据(iFinD）'!$B$65:$Y$65)+SUMPRODUCT(分期持仓明细!$AC$24:$AD$24,'实盘净值数据(iFinD）'!$Z93:$AA93/'实盘净值数据(iFinD）'!$Z$65:$AA$65))*(1-实盘持仓初始配置!$Z$8)^(('实盘净值数据(iFinD）'!$A93-'实盘净值数据(iFinD）'!$A$5)/365))</f>
        <v/>
      </c>
      <c r="O93" s="16" t="str">
        <f t="shared" si="10"/>
        <v/>
      </c>
      <c r="P93" s="16" t="str">
        <f>IF(N93="","",N93/MAX(N$5:N93)-1)</f>
        <v/>
      </c>
      <c r="Q93" s="13" t="str">
        <f>IF(OR('实盘净值数据(iFinD）'!$A93="",'实盘净值数据(iFinD）'!$B93="",'实盘净值数据(iFinD）'!$Z93="",'实盘净值数据(iFinD）'!$AA93=""),"",分期持仓明细!$AB$25*(SUMPRODUCT(分期持仓明细!$B$25:$Y$25,'实盘净值数据(iFinD）'!$B93:$Y93/'实盘净值数据(iFinD）'!$B$65:$Y$65)+SUMPRODUCT(分期持仓明细!$AC$25:$AD$25,'实盘净值数据(iFinD）'!$Z93:$AA93/'实盘净值数据(iFinD）'!$Z$65:$AA$65))*(1-实盘持仓初始配置!$Z$9)^(('实盘净值数据(iFinD）'!$A93-'实盘净值数据(iFinD）'!$A$8)/365))</f>
        <v/>
      </c>
      <c r="R93" s="16" t="str">
        <f t="shared" si="11"/>
        <v/>
      </c>
      <c r="S93" s="16" t="str">
        <f>IF(Q93="","",Q93/MAX(Q$5:Q93)-1)</f>
        <v/>
      </c>
    </row>
    <row r="94" spans="1:19">
      <c r="A94" s="15" t="str">
        <f>IF('实盘净值数据(iFinD）'!A94="","",'实盘净值数据(iFinD）'!A94)</f>
        <v/>
      </c>
      <c r="B94" s="13" t="str">
        <f>IF(OR('实盘净值数据(iFinD）'!$A94="",'实盘净值数据(iFinD）'!$B94=""),"",分期持仓明细!$AB$17*SUMPRODUCT(分期持仓明细!$B$17:$Y$17,'实盘净值数据(iFinD）'!$B94:$Y94/'实盘净值数据(iFinD）'!$B$20:$Y$20)*(1-实盘持仓初始配置!$Z$4)^(('实盘净值数据(iFinD）'!$A94-'实盘净值数据(iFinD）'!$A$6)/365))</f>
        <v/>
      </c>
      <c r="C94" s="16" t="str">
        <f t="shared" si="6"/>
        <v/>
      </c>
      <c r="D94" s="16" t="str">
        <f>IF(B94="","",B94/MAX(B$5:B94)-1)</f>
        <v/>
      </c>
      <c r="E94" s="13" t="str">
        <f>IF(OR('实盘净值数据(iFinD）'!$A94="",'实盘净值数据(iFinD）'!$B94=""),"",分期持仓明细!$AB$18*SUMPRODUCT(分期持仓明细!$B$18:$Y$18,'实盘净值数据(iFinD）'!$B94:$Y94/'实盘净值数据(iFinD）'!$B$20:$Y$20)*(1-实盘持仓初始配置!$Z$5)^(('实盘净值数据(iFinD）'!$A94-'实盘净值数据(iFinD）'!$A$5)/365))</f>
        <v/>
      </c>
      <c r="F94" s="16" t="str">
        <f t="shared" si="7"/>
        <v/>
      </c>
      <c r="G94" s="16" t="str">
        <f>IF(E94="","",E94/MAX(E$5:E94)-1)</f>
        <v/>
      </c>
      <c r="H94" s="13" t="str">
        <f>IF(OR('实盘净值数据(iFinD）'!$A94="",'实盘净值数据(iFinD）'!$B94=""),"",分期持仓明细!$AB$19*SUMPRODUCT(分期持仓明细!$B$19:$Y$19,'实盘净值数据(iFinD）'!$B94:$Y94/'实盘净值数据(iFinD）'!$B$20:$Y$20)*(1-实盘持仓初始配置!$Z$6)^(('实盘净值数据(iFinD）'!$A94-'实盘净值数据(iFinD）'!$A$7)/365))</f>
        <v/>
      </c>
      <c r="I94" s="16" t="str">
        <f t="shared" si="8"/>
        <v/>
      </c>
      <c r="J94" s="16" t="str">
        <f>IF(H94="","",H94/MAX(H$5:H94)-1)</f>
        <v/>
      </c>
      <c r="K94" s="13" t="str">
        <f>IF(OR('实盘净值数据(iFinD）'!$A94="",'实盘净值数据(iFinD）'!$B94="",'实盘净值数据(iFinD）'!$Z94="",'实盘净值数据(iFinD）'!$AA94=""),"",分期持仓明细!$AB$23*(SUMPRODUCT(分期持仓明细!$B$23:$Y$23,'实盘净值数据(iFinD）'!$B94:$Y94/'实盘净值数据(iFinD）'!$B$65:$Y$65)+SUMPRODUCT(分期持仓明细!$AC$23:$AD$23,'实盘净值数据(iFinD）'!$Z94:$AA94/'实盘净值数据(iFinD）'!$Z$65:$AA$65))*(1-实盘持仓初始配置!$Z$7)^(('实盘净值数据(iFinD）'!$A94-'实盘净值数据(iFinD）'!$A$8)/365))</f>
        <v/>
      </c>
      <c r="L94" s="16" t="str">
        <f t="shared" si="9"/>
        <v/>
      </c>
      <c r="M94" s="16" t="str">
        <f>IF(K94="","",K94/MAX(K$5:K94)-1)</f>
        <v/>
      </c>
      <c r="N94" s="13" t="str">
        <f>IF(OR('实盘净值数据(iFinD）'!$A94="",'实盘净值数据(iFinD）'!$B94="",'实盘净值数据(iFinD）'!$Z94="",'实盘净值数据(iFinD）'!$AA94=""),"",分期持仓明细!$AB$24*(SUMPRODUCT(分期持仓明细!$B$24:$Y$24,'实盘净值数据(iFinD）'!$B94:$Y94/'实盘净值数据(iFinD）'!$B$65:$Y$65)+SUMPRODUCT(分期持仓明细!$AC$24:$AD$24,'实盘净值数据(iFinD）'!$Z94:$AA94/'实盘净值数据(iFinD）'!$Z$65:$AA$65))*(1-实盘持仓初始配置!$Z$8)^(('实盘净值数据(iFinD）'!$A94-'实盘净值数据(iFinD）'!$A$5)/365))</f>
        <v/>
      </c>
      <c r="O94" s="16" t="str">
        <f t="shared" si="10"/>
        <v/>
      </c>
      <c r="P94" s="16" t="str">
        <f>IF(N94="","",N94/MAX(N$5:N94)-1)</f>
        <v/>
      </c>
      <c r="Q94" s="13" t="str">
        <f>IF(OR('实盘净值数据(iFinD）'!$A94="",'实盘净值数据(iFinD）'!$B94="",'实盘净值数据(iFinD）'!$Z94="",'实盘净值数据(iFinD）'!$AA94=""),"",分期持仓明细!$AB$25*(SUMPRODUCT(分期持仓明细!$B$25:$Y$25,'实盘净值数据(iFinD）'!$B94:$Y94/'实盘净值数据(iFinD）'!$B$65:$Y$65)+SUMPRODUCT(分期持仓明细!$AC$25:$AD$25,'实盘净值数据(iFinD）'!$Z94:$AA94/'实盘净值数据(iFinD）'!$Z$65:$AA$65))*(1-实盘持仓初始配置!$Z$9)^(('实盘净值数据(iFinD）'!$A94-'实盘净值数据(iFinD）'!$A$8)/365))</f>
        <v/>
      </c>
      <c r="R94" s="16" t="str">
        <f t="shared" si="11"/>
        <v/>
      </c>
      <c r="S94" s="16" t="str">
        <f>IF(Q94="","",Q94/MAX(Q$5:Q94)-1)</f>
        <v/>
      </c>
    </row>
    <row r="95" spans="1:19">
      <c r="A95" s="15" t="str">
        <f>IF('实盘净值数据(iFinD）'!A95="","",'实盘净值数据(iFinD）'!A95)</f>
        <v/>
      </c>
      <c r="B95" s="13" t="str">
        <f>IF(OR('实盘净值数据(iFinD）'!$A95="",'实盘净值数据(iFinD）'!$B95=""),"",分期持仓明细!$AB$17*SUMPRODUCT(分期持仓明细!$B$17:$Y$17,'实盘净值数据(iFinD）'!$B95:$Y95/'实盘净值数据(iFinD）'!$B$20:$Y$20)*(1-实盘持仓初始配置!$Z$4)^(('实盘净值数据(iFinD）'!$A95-'实盘净值数据(iFinD）'!$A$6)/365))</f>
        <v/>
      </c>
      <c r="C95" s="16" t="str">
        <f t="shared" si="6"/>
        <v/>
      </c>
      <c r="D95" s="16" t="str">
        <f>IF(B95="","",B95/MAX(B$5:B95)-1)</f>
        <v/>
      </c>
      <c r="E95" s="13" t="str">
        <f>IF(OR('实盘净值数据(iFinD）'!$A95="",'实盘净值数据(iFinD）'!$B95=""),"",分期持仓明细!$AB$18*SUMPRODUCT(分期持仓明细!$B$18:$Y$18,'实盘净值数据(iFinD）'!$B95:$Y95/'实盘净值数据(iFinD）'!$B$20:$Y$20)*(1-实盘持仓初始配置!$Z$5)^(('实盘净值数据(iFinD）'!$A95-'实盘净值数据(iFinD）'!$A$5)/365))</f>
        <v/>
      </c>
      <c r="F95" s="16" t="str">
        <f t="shared" si="7"/>
        <v/>
      </c>
      <c r="G95" s="16" t="str">
        <f>IF(E95="","",E95/MAX(E$5:E95)-1)</f>
        <v/>
      </c>
      <c r="H95" s="13" t="str">
        <f>IF(OR('实盘净值数据(iFinD）'!$A95="",'实盘净值数据(iFinD）'!$B95=""),"",分期持仓明细!$AB$19*SUMPRODUCT(分期持仓明细!$B$19:$Y$19,'实盘净值数据(iFinD）'!$B95:$Y95/'实盘净值数据(iFinD）'!$B$20:$Y$20)*(1-实盘持仓初始配置!$Z$6)^(('实盘净值数据(iFinD）'!$A95-'实盘净值数据(iFinD）'!$A$7)/365))</f>
        <v/>
      </c>
      <c r="I95" s="16" t="str">
        <f t="shared" si="8"/>
        <v/>
      </c>
      <c r="J95" s="16" t="str">
        <f>IF(H95="","",H95/MAX(H$5:H95)-1)</f>
        <v/>
      </c>
      <c r="K95" s="13" t="str">
        <f>IF(OR('实盘净值数据(iFinD）'!$A95="",'实盘净值数据(iFinD）'!$B95="",'实盘净值数据(iFinD）'!$Z95="",'实盘净值数据(iFinD）'!$AA95=""),"",分期持仓明细!$AB$23*(SUMPRODUCT(分期持仓明细!$B$23:$Y$23,'实盘净值数据(iFinD）'!$B95:$Y95/'实盘净值数据(iFinD）'!$B$65:$Y$65)+SUMPRODUCT(分期持仓明细!$AC$23:$AD$23,'实盘净值数据(iFinD）'!$Z95:$AA95/'实盘净值数据(iFinD）'!$Z$65:$AA$65))*(1-实盘持仓初始配置!$Z$7)^(('实盘净值数据(iFinD）'!$A95-'实盘净值数据(iFinD）'!$A$8)/365))</f>
        <v/>
      </c>
      <c r="L95" s="16" t="str">
        <f t="shared" si="9"/>
        <v/>
      </c>
      <c r="M95" s="16" t="str">
        <f>IF(K95="","",K95/MAX(K$5:K95)-1)</f>
        <v/>
      </c>
      <c r="N95" s="13" t="str">
        <f>IF(OR('实盘净值数据(iFinD）'!$A95="",'实盘净值数据(iFinD）'!$B95="",'实盘净值数据(iFinD）'!$Z95="",'实盘净值数据(iFinD）'!$AA95=""),"",分期持仓明细!$AB$24*(SUMPRODUCT(分期持仓明细!$B$24:$Y$24,'实盘净值数据(iFinD）'!$B95:$Y95/'实盘净值数据(iFinD）'!$B$65:$Y$65)+SUMPRODUCT(分期持仓明细!$AC$24:$AD$24,'实盘净值数据(iFinD）'!$Z95:$AA95/'实盘净值数据(iFinD）'!$Z$65:$AA$65))*(1-实盘持仓初始配置!$Z$8)^(('实盘净值数据(iFinD）'!$A95-'实盘净值数据(iFinD）'!$A$5)/365))</f>
        <v/>
      </c>
      <c r="O95" s="16" t="str">
        <f t="shared" si="10"/>
        <v/>
      </c>
      <c r="P95" s="16" t="str">
        <f>IF(N95="","",N95/MAX(N$5:N95)-1)</f>
        <v/>
      </c>
      <c r="Q95" s="13" t="str">
        <f>IF(OR('实盘净值数据(iFinD）'!$A95="",'实盘净值数据(iFinD）'!$B95="",'实盘净值数据(iFinD）'!$Z95="",'实盘净值数据(iFinD）'!$AA95=""),"",分期持仓明细!$AB$25*(SUMPRODUCT(分期持仓明细!$B$25:$Y$25,'实盘净值数据(iFinD）'!$B95:$Y95/'实盘净值数据(iFinD）'!$B$65:$Y$65)+SUMPRODUCT(分期持仓明细!$AC$25:$AD$25,'实盘净值数据(iFinD）'!$Z95:$AA95/'实盘净值数据(iFinD）'!$Z$65:$AA$65))*(1-实盘持仓初始配置!$Z$9)^(('实盘净值数据(iFinD）'!$A95-'实盘净值数据(iFinD）'!$A$8)/365))</f>
        <v/>
      </c>
      <c r="R95" s="16" t="str">
        <f t="shared" si="11"/>
        <v/>
      </c>
      <c r="S95" s="16" t="str">
        <f>IF(Q95="","",Q95/MAX(Q$5:Q95)-1)</f>
        <v/>
      </c>
    </row>
    <row r="96" spans="1:19">
      <c r="A96" s="15" t="str">
        <f>IF('实盘净值数据(iFinD）'!A96="","",'实盘净值数据(iFinD）'!A96)</f>
        <v/>
      </c>
      <c r="B96" s="13" t="str">
        <f>IF(OR('实盘净值数据(iFinD）'!$A96="",'实盘净值数据(iFinD）'!$B96=""),"",分期持仓明细!$AB$17*SUMPRODUCT(分期持仓明细!$B$17:$Y$17,'实盘净值数据(iFinD）'!$B96:$Y96/'实盘净值数据(iFinD）'!$B$20:$Y$20)*(1-实盘持仓初始配置!$Z$4)^(('实盘净值数据(iFinD）'!$A96-'实盘净值数据(iFinD）'!$A$6)/365))</f>
        <v/>
      </c>
      <c r="C96" s="16" t="str">
        <f t="shared" si="6"/>
        <v/>
      </c>
      <c r="D96" s="16" t="str">
        <f>IF(B96="","",B96/MAX(B$5:B96)-1)</f>
        <v/>
      </c>
      <c r="E96" s="13" t="str">
        <f>IF(OR('实盘净值数据(iFinD）'!$A96="",'实盘净值数据(iFinD）'!$B96=""),"",分期持仓明细!$AB$18*SUMPRODUCT(分期持仓明细!$B$18:$Y$18,'实盘净值数据(iFinD）'!$B96:$Y96/'实盘净值数据(iFinD）'!$B$20:$Y$20)*(1-实盘持仓初始配置!$Z$5)^(('实盘净值数据(iFinD）'!$A96-'实盘净值数据(iFinD）'!$A$5)/365))</f>
        <v/>
      </c>
      <c r="F96" s="16" t="str">
        <f t="shared" si="7"/>
        <v/>
      </c>
      <c r="G96" s="16" t="str">
        <f>IF(E96="","",E96/MAX(E$5:E96)-1)</f>
        <v/>
      </c>
      <c r="H96" s="13" t="str">
        <f>IF(OR('实盘净值数据(iFinD）'!$A96="",'实盘净值数据(iFinD）'!$B96=""),"",分期持仓明细!$AB$19*SUMPRODUCT(分期持仓明细!$B$19:$Y$19,'实盘净值数据(iFinD）'!$B96:$Y96/'实盘净值数据(iFinD）'!$B$20:$Y$20)*(1-实盘持仓初始配置!$Z$6)^(('实盘净值数据(iFinD）'!$A96-'实盘净值数据(iFinD）'!$A$7)/365))</f>
        <v/>
      </c>
      <c r="I96" s="16" t="str">
        <f t="shared" si="8"/>
        <v/>
      </c>
      <c r="J96" s="16" t="str">
        <f>IF(H96="","",H96/MAX(H$5:H96)-1)</f>
        <v/>
      </c>
      <c r="K96" s="13" t="str">
        <f>IF(OR('实盘净值数据(iFinD）'!$A96="",'实盘净值数据(iFinD）'!$B96="",'实盘净值数据(iFinD）'!$Z96="",'实盘净值数据(iFinD）'!$AA96=""),"",分期持仓明细!$AB$23*(SUMPRODUCT(分期持仓明细!$B$23:$Y$23,'实盘净值数据(iFinD）'!$B96:$Y96/'实盘净值数据(iFinD）'!$B$65:$Y$65)+SUMPRODUCT(分期持仓明细!$AC$23:$AD$23,'实盘净值数据(iFinD）'!$Z96:$AA96/'实盘净值数据(iFinD）'!$Z$65:$AA$65))*(1-实盘持仓初始配置!$Z$7)^(('实盘净值数据(iFinD）'!$A96-'实盘净值数据(iFinD）'!$A$8)/365))</f>
        <v/>
      </c>
      <c r="L96" s="16" t="str">
        <f t="shared" si="9"/>
        <v/>
      </c>
      <c r="M96" s="16" t="str">
        <f>IF(K96="","",K96/MAX(K$5:K96)-1)</f>
        <v/>
      </c>
      <c r="N96" s="13" t="str">
        <f>IF(OR('实盘净值数据(iFinD）'!$A96="",'实盘净值数据(iFinD）'!$B96="",'实盘净值数据(iFinD）'!$Z96="",'实盘净值数据(iFinD）'!$AA96=""),"",分期持仓明细!$AB$24*(SUMPRODUCT(分期持仓明细!$B$24:$Y$24,'实盘净值数据(iFinD）'!$B96:$Y96/'实盘净值数据(iFinD）'!$B$65:$Y$65)+SUMPRODUCT(分期持仓明细!$AC$24:$AD$24,'实盘净值数据(iFinD）'!$Z96:$AA96/'实盘净值数据(iFinD）'!$Z$65:$AA$65))*(1-实盘持仓初始配置!$Z$8)^(('实盘净值数据(iFinD）'!$A96-'实盘净值数据(iFinD）'!$A$5)/365))</f>
        <v/>
      </c>
      <c r="O96" s="16" t="str">
        <f t="shared" si="10"/>
        <v/>
      </c>
      <c r="P96" s="16" t="str">
        <f>IF(N96="","",N96/MAX(N$5:N96)-1)</f>
        <v/>
      </c>
      <c r="Q96" s="13" t="str">
        <f>IF(OR('实盘净值数据(iFinD）'!$A96="",'实盘净值数据(iFinD）'!$B96="",'实盘净值数据(iFinD）'!$Z96="",'实盘净值数据(iFinD）'!$AA96=""),"",分期持仓明细!$AB$25*(SUMPRODUCT(分期持仓明细!$B$25:$Y$25,'实盘净值数据(iFinD）'!$B96:$Y96/'实盘净值数据(iFinD）'!$B$65:$Y$65)+SUMPRODUCT(分期持仓明细!$AC$25:$AD$25,'实盘净值数据(iFinD）'!$Z96:$AA96/'实盘净值数据(iFinD）'!$Z$65:$AA$65))*(1-实盘持仓初始配置!$Z$9)^(('实盘净值数据(iFinD）'!$A96-'实盘净值数据(iFinD）'!$A$8)/365))</f>
        <v/>
      </c>
      <c r="R96" s="16" t="str">
        <f t="shared" si="11"/>
        <v/>
      </c>
      <c r="S96" s="16" t="str">
        <f>IF(Q96="","",Q96/MAX(Q$5:Q96)-1)</f>
        <v/>
      </c>
    </row>
    <row r="97" spans="1:19">
      <c r="A97" s="15" t="str">
        <f>IF('实盘净值数据(iFinD）'!A97="","",'实盘净值数据(iFinD）'!A97)</f>
        <v/>
      </c>
      <c r="B97" s="13" t="str">
        <f>IF(OR('实盘净值数据(iFinD）'!$A97="",'实盘净值数据(iFinD）'!$B97=""),"",分期持仓明细!$AB$17*SUMPRODUCT(分期持仓明细!$B$17:$Y$17,'实盘净值数据(iFinD）'!$B97:$Y97/'实盘净值数据(iFinD）'!$B$20:$Y$20)*(1-实盘持仓初始配置!$Z$4)^(('实盘净值数据(iFinD）'!$A97-'实盘净值数据(iFinD）'!$A$6)/365))</f>
        <v/>
      </c>
      <c r="C97" s="16" t="str">
        <f t="shared" si="6"/>
        <v/>
      </c>
      <c r="D97" s="16" t="str">
        <f>IF(B97="","",B97/MAX(B$5:B97)-1)</f>
        <v/>
      </c>
      <c r="E97" s="13" t="str">
        <f>IF(OR('实盘净值数据(iFinD）'!$A97="",'实盘净值数据(iFinD）'!$B97=""),"",分期持仓明细!$AB$18*SUMPRODUCT(分期持仓明细!$B$18:$Y$18,'实盘净值数据(iFinD）'!$B97:$Y97/'实盘净值数据(iFinD）'!$B$20:$Y$20)*(1-实盘持仓初始配置!$Z$5)^(('实盘净值数据(iFinD）'!$A97-'实盘净值数据(iFinD）'!$A$5)/365))</f>
        <v/>
      </c>
      <c r="F97" s="16" t="str">
        <f t="shared" si="7"/>
        <v/>
      </c>
      <c r="G97" s="16" t="str">
        <f>IF(E97="","",E97/MAX(E$5:E97)-1)</f>
        <v/>
      </c>
      <c r="H97" s="13" t="str">
        <f>IF(OR('实盘净值数据(iFinD）'!$A97="",'实盘净值数据(iFinD）'!$B97=""),"",分期持仓明细!$AB$19*SUMPRODUCT(分期持仓明细!$B$19:$Y$19,'实盘净值数据(iFinD）'!$B97:$Y97/'实盘净值数据(iFinD）'!$B$20:$Y$20)*(1-实盘持仓初始配置!$Z$6)^(('实盘净值数据(iFinD）'!$A97-'实盘净值数据(iFinD）'!$A$7)/365))</f>
        <v/>
      </c>
      <c r="I97" s="16" t="str">
        <f t="shared" si="8"/>
        <v/>
      </c>
      <c r="J97" s="16" t="str">
        <f>IF(H97="","",H97/MAX(H$5:H97)-1)</f>
        <v/>
      </c>
      <c r="K97" s="13" t="str">
        <f>IF(OR('实盘净值数据(iFinD）'!$A97="",'实盘净值数据(iFinD）'!$B97="",'实盘净值数据(iFinD）'!$Z97="",'实盘净值数据(iFinD）'!$AA97=""),"",分期持仓明细!$AB$23*(SUMPRODUCT(分期持仓明细!$B$23:$Y$23,'实盘净值数据(iFinD）'!$B97:$Y97/'实盘净值数据(iFinD）'!$B$65:$Y$65)+SUMPRODUCT(分期持仓明细!$AC$23:$AD$23,'实盘净值数据(iFinD）'!$Z97:$AA97/'实盘净值数据(iFinD）'!$Z$65:$AA$65))*(1-实盘持仓初始配置!$Z$7)^(('实盘净值数据(iFinD）'!$A97-'实盘净值数据(iFinD）'!$A$8)/365))</f>
        <v/>
      </c>
      <c r="L97" s="16" t="str">
        <f t="shared" si="9"/>
        <v/>
      </c>
      <c r="M97" s="16" t="str">
        <f>IF(K97="","",K97/MAX(K$5:K97)-1)</f>
        <v/>
      </c>
      <c r="N97" s="13" t="str">
        <f>IF(OR('实盘净值数据(iFinD）'!$A97="",'实盘净值数据(iFinD）'!$B97="",'实盘净值数据(iFinD）'!$Z97="",'实盘净值数据(iFinD）'!$AA97=""),"",分期持仓明细!$AB$24*(SUMPRODUCT(分期持仓明细!$B$24:$Y$24,'实盘净值数据(iFinD）'!$B97:$Y97/'实盘净值数据(iFinD）'!$B$65:$Y$65)+SUMPRODUCT(分期持仓明细!$AC$24:$AD$24,'实盘净值数据(iFinD）'!$Z97:$AA97/'实盘净值数据(iFinD）'!$Z$65:$AA$65))*(1-实盘持仓初始配置!$Z$8)^(('实盘净值数据(iFinD）'!$A97-'实盘净值数据(iFinD）'!$A$5)/365))</f>
        <v/>
      </c>
      <c r="O97" s="16" t="str">
        <f t="shared" si="10"/>
        <v/>
      </c>
      <c r="P97" s="16" t="str">
        <f>IF(N97="","",N97/MAX(N$5:N97)-1)</f>
        <v/>
      </c>
      <c r="Q97" s="13" t="str">
        <f>IF(OR('实盘净值数据(iFinD）'!$A97="",'实盘净值数据(iFinD）'!$B97="",'实盘净值数据(iFinD）'!$Z97="",'实盘净值数据(iFinD）'!$AA97=""),"",分期持仓明细!$AB$25*(SUMPRODUCT(分期持仓明细!$B$25:$Y$25,'实盘净值数据(iFinD）'!$B97:$Y97/'实盘净值数据(iFinD）'!$B$65:$Y$65)+SUMPRODUCT(分期持仓明细!$AC$25:$AD$25,'实盘净值数据(iFinD）'!$Z97:$AA97/'实盘净值数据(iFinD）'!$Z$65:$AA$65))*(1-实盘持仓初始配置!$Z$9)^(('实盘净值数据(iFinD）'!$A97-'实盘净值数据(iFinD）'!$A$8)/365))</f>
        <v/>
      </c>
      <c r="R97" s="16" t="str">
        <f t="shared" si="11"/>
        <v/>
      </c>
      <c r="S97" s="16" t="str">
        <f>IF(Q97="","",Q97/MAX(Q$5:Q97)-1)</f>
        <v/>
      </c>
    </row>
    <row r="98" spans="1:19">
      <c r="A98" s="15" t="str">
        <f>IF('实盘净值数据(iFinD）'!A98="","",'实盘净值数据(iFinD）'!A98)</f>
        <v/>
      </c>
      <c r="B98" s="13" t="str">
        <f>IF(OR('实盘净值数据(iFinD）'!$A98="",'实盘净值数据(iFinD）'!$B98=""),"",分期持仓明细!$AB$17*SUMPRODUCT(分期持仓明细!$B$17:$Y$17,'实盘净值数据(iFinD）'!$B98:$Y98/'实盘净值数据(iFinD）'!$B$20:$Y$20)*(1-实盘持仓初始配置!$Z$4)^(('实盘净值数据(iFinD）'!$A98-'实盘净值数据(iFinD）'!$A$6)/365))</f>
        <v/>
      </c>
      <c r="C98" s="16" t="str">
        <f t="shared" si="6"/>
        <v/>
      </c>
      <c r="D98" s="16" t="str">
        <f>IF(B98="","",B98/MAX(B$5:B98)-1)</f>
        <v/>
      </c>
      <c r="E98" s="13" t="str">
        <f>IF(OR('实盘净值数据(iFinD）'!$A98="",'实盘净值数据(iFinD）'!$B98=""),"",分期持仓明细!$AB$18*SUMPRODUCT(分期持仓明细!$B$18:$Y$18,'实盘净值数据(iFinD）'!$B98:$Y98/'实盘净值数据(iFinD）'!$B$20:$Y$20)*(1-实盘持仓初始配置!$Z$5)^(('实盘净值数据(iFinD）'!$A98-'实盘净值数据(iFinD）'!$A$5)/365))</f>
        <v/>
      </c>
      <c r="F98" s="16" t="str">
        <f t="shared" si="7"/>
        <v/>
      </c>
      <c r="G98" s="16" t="str">
        <f>IF(E98="","",E98/MAX(E$5:E98)-1)</f>
        <v/>
      </c>
      <c r="H98" s="13" t="str">
        <f>IF(OR('实盘净值数据(iFinD）'!$A98="",'实盘净值数据(iFinD）'!$B98=""),"",分期持仓明细!$AB$19*SUMPRODUCT(分期持仓明细!$B$19:$Y$19,'实盘净值数据(iFinD）'!$B98:$Y98/'实盘净值数据(iFinD）'!$B$20:$Y$20)*(1-实盘持仓初始配置!$Z$6)^(('实盘净值数据(iFinD）'!$A98-'实盘净值数据(iFinD）'!$A$7)/365))</f>
        <v/>
      </c>
      <c r="I98" s="16" t="str">
        <f t="shared" si="8"/>
        <v/>
      </c>
      <c r="J98" s="16" t="str">
        <f>IF(H98="","",H98/MAX(H$5:H98)-1)</f>
        <v/>
      </c>
      <c r="K98" s="13" t="str">
        <f>IF(OR('实盘净值数据(iFinD）'!$A98="",'实盘净值数据(iFinD）'!$B98="",'实盘净值数据(iFinD）'!$Z98="",'实盘净值数据(iFinD）'!$AA98=""),"",分期持仓明细!$AB$23*(SUMPRODUCT(分期持仓明细!$B$23:$Y$23,'实盘净值数据(iFinD）'!$B98:$Y98/'实盘净值数据(iFinD）'!$B$65:$Y$65)+SUMPRODUCT(分期持仓明细!$AC$23:$AD$23,'实盘净值数据(iFinD）'!$Z98:$AA98/'实盘净值数据(iFinD）'!$Z$65:$AA$65))*(1-实盘持仓初始配置!$Z$7)^(('实盘净值数据(iFinD）'!$A98-'实盘净值数据(iFinD）'!$A$8)/365))</f>
        <v/>
      </c>
      <c r="L98" s="16" t="str">
        <f t="shared" si="9"/>
        <v/>
      </c>
      <c r="M98" s="16" t="str">
        <f>IF(K98="","",K98/MAX(K$5:K98)-1)</f>
        <v/>
      </c>
      <c r="N98" s="13" t="str">
        <f>IF(OR('实盘净值数据(iFinD）'!$A98="",'实盘净值数据(iFinD）'!$B98="",'实盘净值数据(iFinD）'!$Z98="",'实盘净值数据(iFinD）'!$AA98=""),"",分期持仓明细!$AB$24*(SUMPRODUCT(分期持仓明细!$B$24:$Y$24,'实盘净值数据(iFinD）'!$B98:$Y98/'实盘净值数据(iFinD）'!$B$65:$Y$65)+SUMPRODUCT(分期持仓明细!$AC$24:$AD$24,'实盘净值数据(iFinD）'!$Z98:$AA98/'实盘净值数据(iFinD）'!$Z$65:$AA$65))*(1-实盘持仓初始配置!$Z$8)^(('实盘净值数据(iFinD）'!$A98-'实盘净值数据(iFinD）'!$A$5)/365))</f>
        <v/>
      </c>
      <c r="O98" s="16" t="str">
        <f t="shared" si="10"/>
        <v/>
      </c>
      <c r="P98" s="16" t="str">
        <f>IF(N98="","",N98/MAX(N$5:N98)-1)</f>
        <v/>
      </c>
      <c r="Q98" s="13" t="str">
        <f>IF(OR('实盘净值数据(iFinD）'!$A98="",'实盘净值数据(iFinD）'!$B98="",'实盘净值数据(iFinD）'!$Z98="",'实盘净值数据(iFinD）'!$AA98=""),"",分期持仓明细!$AB$25*(SUMPRODUCT(分期持仓明细!$B$25:$Y$25,'实盘净值数据(iFinD）'!$B98:$Y98/'实盘净值数据(iFinD）'!$B$65:$Y$65)+SUMPRODUCT(分期持仓明细!$AC$25:$AD$25,'实盘净值数据(iFinD）'!$Z98:$AA98/'实盘净值数据(iFinD）'!$Z$65:$AA$65))*(1-实盘持仓初始配置!$Z$9)^(('实盘净值数据(iFinD）'!$A98-'实盘净值数据(iFinD）'!$A$8)/365))</f>
        <v/>
      </c>
      <c r="R98" s="16" t="str">
        <f t="shared" si="11"/>
        <v/>
      </c>
      <c r="S98" s="16" t="str">
        <f>IF(Q98="","",Q98/MAX(Q$5:Q98)-1)</f>
        <v/>
      </c>
    </row>
    <row r="99" spans="1:19">
      <c r="A99" s="15" t="str">
        <f>IF('实盘净值数据(iFinD）'!A99="","",'实盘净值数据(iFinD）'!A99)</f>
        <v/>
      </c>
      <c r="B99" s="13" t="str">
        <f>IF(OR('实盘净值数据(iFinD）'!$A99="",'实盘净值数据(iFinD）'!$B99=""),"",分期持仓明细!$AB$17*SUMPRODUCT(分期持仓明细!$B$17:$Y$17,'实盘净值数据(iFinD）'!$B99:$Y99/'实盘净值数据(iFinD）'!$B$20:$Y$20)*(1-实盘持仓初始配置!$Z$4)^(('实盘净值数据(iFinD）'!$A99-'实盘净值数据(iFinD）'!$A$6)/365))</f>
        <v/>
      </c>
      <c r="C99" s="16" t="str">
        <f t="shared" si="6"/>
        <v/>
      </c>
      <c r="D99" s="16" t="str">
        <f>IF(B99="","",B99/MAX(B$5:B99)-1)</f>
        <v/>
      </c>
      <c r="E99" s="13" t="str">
        <f>IF(OR('实盘净值数据(iFinD）'!$A99="",'实盘净值数据(iFinD）'!$B99=""),"",分期持仓明细!$AB$18*SUMPRODUCT(分期持仓明细!$B$18:$Y$18,'实盘净值数据(iFinD）'!$B99:$Y99/'实盘净值数据(iFinD）'!$B$20:$Y$20)*(1-实盘持仓初始配置!$Z$5)^(('实盘净值数据(iFinD）'!$A99-'实盘净值数据(iFinD）'!$A$5)/365))</f>
        <v/>
      </c>
      <c r="F99" s="16" t="str">
        <f t="shared" si="7"/>
        <v/>
      </c>
      <c r="G99" s="16" t="str">
        <f>IF(E99="","",E99/MAX(E$5:E99)-1)</f>
        <v/>
      </c>
      <c r="H99" s="13" t="str">
        <f>IF(OR('实盘净值数据(iFinD）'!$A99="",'实盘净值数据(iFinD）'!$B99=""),"",分期持仓明细!$AB$19*SUMPRODUCT(分期持仓明细!$B$19:$Y$19,'实盘净值数据(iFinD）'!$B99:$Y99/'实盘净值数据(iFinD）'!$B$20:$Y$20)*(1-实盘持仓初始配置!$Z$6)^(('实盘净值数据(iFinD）'!$A99-'实盘净值数据(iFinD）'!$A$7)/365))</f>
        <v/>
      </c>
      <c r="I99" s="16" t="str">
        <f t="shared" si="8"/>
        <v/>
      </c>
      <c r="J99" s="16" t="str">
        <f>IF(H99="","",H99/MAX(H$5:H99)-1)</f>
        <v/>
      </c>
      <c r="K99" s="13" t="str">
        <f>IF(OR('实盘净值数据(iFinD）'!$A99="",'实盘净值数据(iFinD）'!$B99="",'实盘净值数据(iFinD）'!$Z99="",'实盘净值数据(iFinD）'!$AA99=""),"",分期持仓明细!$AB$23*(SUMPRODUCT(分期持仓明细!$B$23:$Y$23,'实盘净值数据(iFinD）'!$B99:$Y99/'实盘净值数据(iFinD）'!$B$65:$Y$65)+SUMPRODUCT(分期持仓明细!$AC$23:$AD$23,'实盘净值数据(iFinD）'!$Z99:$AA99/'实盘净值数据(iFinD）'!$Z$65:$AA$65))*(1-实盘持仓初始配置!$Z$7)^(('实盘净值数据(iFinD）'!$A99-'实盘净值数据(iFinD）'!$A$8)/365))</f>
        <v/>
      </c>
      <c r="L99" s="16" t="str">
        <f t="shared" si="9"/>
        <v/>
      </c>
      <c r="M99" s="16" t="str">
        <f>IF(K99="","",K99/MAX(K$5:K99)-1)</f>
        <v/>
      </c>
      <c r="N99" s="13" t="str">
        <f>IF(OR('实盘净值数据(iFinD）'!$A99="",'实盘净值数据(iFinD）'!$B99="",'实盘净值数据(iFinD）'!$Z99="",'实盘净值数据(iFinD）'!$AA99=""),"",分期持仓明细!$AB$24*(SUMPRODUCT(分期持仓明细!$B$24:$Y$24,'实盘净值数据(iFinD）'!$B99:$Y99/'实盘净值数据(iFinD）'!$B$65:$Y$65)+SUMPRODUCT(分期持仓明细!$AC$24:$AD$24,'实盘净值数据(iFinD）'!$Z99:$AA99/'实盘净值数据(iFinD）'!$Z$65:$AA$65))*(1-实盘持仓初始配置!$Z$8)^(('实盘净值数据(iFinD）'!$A99-'实盘净值数据(iFinD）'!$A$5)/365))</f>
        <v/>
      </c>
      <c r="O99" s="16" t="str">
        <f t="shared" si="10"/>
        <v/>
      </c>
      <c r="P99" s="16" t="str">
        <f>IF(N99="","",N99/MAX(N$5:N99)-1)</f>
        <v/>
      </c>
      <c r="Q99" s="13" t="str">
        <f>IF(OR('实盘净值数据(iFinD）'!$A99="",'实盘净值数据(iFinD）'!$B99="",'实盘净值数据(iFinD）'!$Z99="",'实盘净值数据(iFinD）'!$AA99=""),"",分期持仓明细!$AB$25*(SUMPRODUCT(分期持仓明细!$B$25:$Y$25,'实盘净值数据(iFinD）'!$B99:$Y99/'实盘净值数据(iFinD）'!$B$65:$Y$65)+SUMPRODUCT(分期持仓明细!$AC$25:$AD$25,'实盘净值数据(iFinD）'!$Z99:$AA99/'实盘净值数据(iFinD）'!$Z$65:$AA$65))*(1-实盘持仓初始配置!$Z$9)^(('实盘净值数据(iFinD）'!$A99-'实盘净值数据(iFinD）'!$A$8)/365))</f>
        <v/>
      </c>
      <c r="R99" s="16" t="str">
        <f t="shared" si="11"/>
        <v/>
      </c>
      <c r="S99" s="16" t="str">
        <f>IF(Q99="","",Q99/MAX(Q$5:Q99)-1)</f>
        <v/>
      </c>
    </row>
    <row r="100" spans="1:19">
      <c r="A100" s="15" t="str">
        <f>IF('实盘净值数据(iFinD）'!A100="","",'实盘净值数据(iFinD）'!A100)</f>
        <v/>
      </c>
      <c r="B100" s="13" t="str">
        <f>IF(OR('实盘净值数据(iFinD）'!$A100="",'实盘净值数据(iFinD）'!$B100=""),"",分期持仓明细!$AB$17*SUMPRODUCT(分期持仓明细!$B$17:$Y$17,'实盘净值数据(iFinD）'!$B100:$Y100/'实盘净值数据(iFinD）'!$B$20:$Y$20)*(1-实盘持仓初始配置!$Z$4)^(('实盘净值数据(iFinD）'!$A100-'实盘净值数据(iFinD）'!$A$6)/365))</f>
        <v/>
      </c>
      <c r="C100" s="16" t="str">
        <f t="shared" si="6"/>
        <v/>
      </c>
      <c r="D100" s="16" t="str">
        <f>IF(B100="","",B100/MAX(B$5:B100)-1)</f>
        <v/>
      </c>
      <c r="E100" s="13" t="str">
        <f>IF(OR('实盘净值数据(iFinD）'!$A100="",'实盘净值数据(iFinD）'!$B100=""),"",分期持仓明细!$AB$18*SUMPRODUCT(分期持仓明细!$B$18:$Y$18,'实盘净值数据(iFinD）'!$B100:$Y100/'实盘净值数据(iFinD）'!$B$20:$Y$20)*(1-实盘持仓初始配置!$Z$5)^(('实盘净值数据(iFinD）'!$A100-'实盘净值数据(iFinD）'!$A$5)/365))</f>
        <v/>
      </c>
      <c r="F100" s="16" t="str">
        <f t="shared" si="7"/>
        <v/>
      </c>
      <c r="G100" s="16" t="str">
        <f>IF(E100="","",E100/MAX(E$5:E100)-1)</f>
        <v/>
      </c>
      <c r="H100" s="13" t="str">
        <f>IF(OR('实盘净值数据(iFinD）'!$A100="",'实盘净值数据(iFinD）'!$B100=""),"",分期持仓明细!$AB$19*SUMPRODUCT(分期持仓明细!$B$19:$Y$19,'实盘净值数据(iFinD）'!$B100:$Y100/'实盘净值数据(iFinD）'!$B$20:$Y$20)*(1-实盘持仓初始配置!$Z$6)^(('实盘净值数据(iFinD）'!$A100-'实盘净值数据(iFinD）'!$A$7)/365))</f>
        <v/>
      </c>
      <c r="I100" s="16" t="str">
        <f t="shared" si="8"/>
        <v/>
      </c>
      <c r="J100" s="16" t="str">
        <f>IF(H100="","",H100/MAX(H$5:H100)-1)</f>
        <v/>
      </c>
      <c r="K100" s="13" t="str">
        <f>IF(OR('实盘净值数据(iFinD）'!$A100="",'实盘净值数据(iFinD）'!$B100="",'实盘净值数据(iFinD）'!$Z100="",'实盘净值数据(iFinD）'!$AA100=""),"",分期持仓明细!$AB$23*(SUMPRODUCT(分期持仓明细!$B$23:$Y$23,'实盘净值数据(iFinD）'!$B100:$Y100/'实盘净值数据(iFinD）'!$B$65:$Y$65)+SUMPRODUCT(分期持仓明细!$AC$23:$AD$23,'实盘净值数据(iFinD）'!$Z100:$AA100/'实盘净值数据(iFinD）'!$Z$65:$AA$65))*(1-实盘持仓初始配置!$Z$7)^(('实盘净值数据(iFinD）'!$A100-'实盘净值数据(iFinD）'!$A$8)/365))</f>
        <v/>
      </c>
      <c r="L100" s="16" t="str">
        <f t="shared" si="9"/>
        <v/>
      </c>
      <c r="M100" s="16" t="str">
        <f>IF(K100="","",K100/MAX(K$5:K100)-1)</f>
        <v/>
      </c>
      <c r="N100" s="13" t="str">
        <f>IF(OR('实盘净值数据(iFinD）'!$A100="",'实盘净值数据(iFinD）'!$B100="",'实盘净值数据(iFinD）'!$Z100="",'实盘净值数据(iFinD）'!$AA100=""),"",分期持仓明细!$AB$24*(SUMPRODUCT(分期持仓明细!$B$24:$Y$24,'实盘净值数据(iFinD）'!$B100:$Y100/'实盘净值数据(iFinD）'!$B$65:$Y$65)+SUMPRODUCT(分期持仓明细!$AC$24:$AD$24,'实盘净值数据(iFinD）'!$Z100:$AA100/'实盘净值数据(iFinD）'!$Z$65:$AA$65))*(1-实盘持仓初始配置!$Z$8)^(('实盘净值数据(iFinD）'!$A100-'实盘净值数据(iFinD）'!$A$5)/365))</f>
        <v/>
      </c>
      <c r="O100" s="16" t="str">
        <f t="shared" si="10"/>
        <v/>
      </c>
      <c r="P100" s="16" t="str">
        <f>IF(N100="","",N100/MAX(N$5:N100)-1)</f>
        <v/>
      </c>
      <c r="Q100" s="13" t="str">
        <f>IF(OR('实盘净值数据(iFinD）'!$A100="",'实盘净值数据(iFinD）'!$B100="",'实盘净值数据(iFinD）'!$Z100="",'实盘净值数据(iFinD）'!$AA100=""),"",分期持仓明细!$AB$25*(SUMPRODUCT(分期持仓明细!$B$25:$Y$25,'实盘净值数据(iFinD）'!$B100:$Y100/'实盘净值数据(iFinD）'!$B$65:$Y$65)+SUMPRODUCT(分期持仓明细!$AC$25:$AD$25,'实盘净值数据(iFinD）'!$Z100:$AA100/'实盘净值数据(iFinD）'!$Z$65:$AA$65))*(1-实盘持仓初始配置!$Z$9)^(('实盘净值数据(iFinD）'!$A100-'实盘净值数据(iFinD）'!$A$8)/365))</f>
        <v/>
      </c>
      <c r="R100" s="16" t="str">
        <f t="shared" si="11"/>
        <v/>
      </c>
      <c r="S100" s="16" t="str">
        <f>IF(Q100="","",Q100/MAX(Q$5:Q100)-1)</f>
        <v/>
      </c>
    </row>
    <row r="101" spans="1:19">
      <c r="A101" s="15" t="str">
        <f>IF('实盘净值数据(iFinD）'!A101="","",'实盘净值数据(iFinD）'!A101)</f>
        <v/>
      </c>
      <c r="B101" s="13" t="str">
        <f>IF(OR('实盘净值数据(iFinD）'!$A101="",'实盘净值数据(iFinD）'!$B101=""),"",分期持仓明细!$AB$17*SUMPRODUCT(分期持仓明细!$B$17:$Y$17,'实盘净值数据(iFinD）'!$B101:$Y101/'实盘净值数据(iFinD）'!$B$20:$Y$20)*(1-实盘持仓初始配置!$Z$4)^(('实盘净值数据(iFinD）'!$A101-'实盘净值数据(iFinD）'!$A$6)/365))</f>
        <v/>
      </c>
      <c r="C101" s="16" t="str">
        <f t="shared" si="6"/>
        <v/>
      </c>
      <c r="D101" s="16" t="str">
        <f>IF(B101="","",B101/MAX(B$5:B101)-1)</f>
        <v/>
      </c>
      <c r="E101" s="13" t="str">
        <f>IF(OR('实盘净值数据(iFinD）'!$A101="",'实盘净值数据(iFinD）'!$B101=""),"",分期持仓明细!$AB$18*SUMPRODUCT(分期持仓明细!$B$18:$Y$18,'实盘净值数据(iFinD）'!$B101:$Y101/'实盘净值数据(iFinD）'!$B$20:$Y$20)*(1-实盘持仓初始配置!$Z$5)^(('实盘净值数据(iFinD）'!$A101-'实盘净值数据(iFinD）'!$A$5)/365))</f>
        <v/>
      </c>
      <c r="F101" s="16" t="str">
        <f t="shared" si="7"/>
        <v/>
      </c>
      <c r="G101" s="16" t="str">
        <f>IF(E101="","",E101/MAX(E$5:E101)-1)</f>
        <v/>
      </c>
      <c r="H101" s="13" t="str">
        <f>IF(OR('实盘净值数据(iFinD）'!$A101="",'实盘净值数据(iFinD）'!$B101=""),"",分期持仓明细!$AB$19*SUMPRODUCT(分期持仓明细!$B$19:$Y$19,'实盘净值数据(iFinD）'!$B101:$Y101/'实盘净值数据(iFinD）'!$B$20:$Y$20)*(1-实盘持仓初始配置!$Z$6)^(('实盘净值数据(iFinD）'!$A101-'实盘净值数据(iFinD）'!$A$7)/365))</f>
        <v/>
      </c>
      <c r="I101" s="16" t="str">
        <f t="shared" si="8"/>
        <v/>
      </c>
      <c r="J101" s="16" t="str">
        <f>IF(H101="","",H101/MAX(H$5:H101)-1)</f>
        <v/>
      </c>
      <c r="K101" s="13" t="str">
        <f>IF(OR('实盘净值数据(iFinD）'!$A101="",'实盘净值数据(iFinD）'!$B101="",'实盘净值数据(iFinD）'!$Z101="",'实盘净值数据(iFinD）'!$AA101=""),"",分期持仓明细!$AB$23*(SUMPRODUCT(分期持仓明细!$B$23:$Y$23,'实盘净值数据(iFinD）'!$B101:$Y101/'实盘净值数据(iFinD）'!$B$65:$Y$65)+SUMPRODUCT(分期持仓明细!$AC$23:$AD$23,'实盘净值数据(iFinD）'!$Z101:$AA101/'实盘净值数据(iFinD）'!$Z$65:$AA$65))*(1-实盘持仓初始配置!$Z$7)^(('实盘净值数据(iFinD）'!$A101-'实盘净值数据(iFinD）'!$A$8)/365))</f>
        <v/>
      </c>
      <c r="L101" s="16" t="str">
        <f t="shared" si="9"/>
        <v/>
      </c>
      <c r="M101" s="16" t="str">
        <f>IF(K101="","",K101/MAX(K$5:K101)-1)</f>
        <v/>
      </c>
      <c r="N101" s="13" t="str">
        <f>IF(OR('实盘净值数据(iFinD）'!$A101="",'实盘净值数据(iFinD）'!$B101="",'实盘净值数据(iFinD）'!$Z101="",'实盘净值数据(iFinD）'!$AA101=""),"",分期持仓明细!$AB$24*(SUMPRODUCT(分期持仓明细!$B$24:$Y$24,'实盘净值数据(iFinD）'!$B101:$Y101/'实盘净值数据(iFinD）'!$B$65:$Y$65)+SUMPRODUCT(分期持仓明细!$AC$24:$AD$24,'实盘净值数据(iFinD）'!$Z101:$AA101/'实盘净值数据(iFinD）'!$Z$65:$AA$65))*(1-实盘持仓初始配置!$Z$8)^(('实盘净值数据(iFinD）'!$A101-'实盘净值数据(iFinD）'!$A$5)/365))</f>
        <v/>
      </c>
      <c r="O101" s="16" t="str">
        <f t="shared" si="10"/>
        <v/>
      </c>
      <c r="P101" s="16" t="str">
        <f>IF(N101="","",N101/MAX(N$5:N101)-1)</f>
        <v/>
      </c>
      <c r="Q101" s="13" t="str">
        <f>IF(OR('实盘净值数据(iFinD）'!$A101="",'实盘净值数据(iFinD）'!$B101="",'实盘净值数据(iFinD）'!$Z101="",'实盘净值数据(iFinD）'!$AA101=""),"",分期持仓明细!$AB$25*(SUMPRODUCT(分期持仓明细!$B$25:$Y$25,'实盘净值数据(iFinD）'!$B101:$Y101/'实盘净值数据(iFinD）'!$B$65:$Y$65)+SUMPRODUCT(分期持仓明细!$AC$25:$AD$25,'实盘净值数据(iFinD）'!$Z101:$AA101/'实盘净值数据(iFinD）'!$Z$65:$AA$65))*(1-实盘持仓初始配置!$Z$9)^(('实盘净值数据(iFinD）'!$A101-'实盘净值数据(iFinD）'!$A$8)/365))</f>
        <v/>
      </c>
      <c r="R101" s="16" t="str">
        <f t="shared" si="11"/>
        <v/>
      </c>
      <c r="S101" s="16" t="str">
        <f>IF(Q101="","",Q101/MAX(Q$5:Q101)-1)</f>
        <v/>
      </c>
    </row>
    <row r="102" spans="1:19">
      <c r="A102" s="15" t="str">
        <f>IF('实盘净值数据(iFinD）'!A102="","",'实盘净值数据(iFinD）'!A102)</f>
        <v/>
      </c>
      <c r="B102" s="13" t="str">
        <f>IF(OR('实盘净值数据(iFinD）'!$A102="",'实盘净值数据(iFinD）'!$B102=""),"",分期持仓明细!$AB$17*SUMPRODUCT(分期持仓明细!$B$17:$Y$17,'实盘净值数据(iFinD）'!$B102:$Y102/'实盘净值数据(iFinD）'!$B$20:$Y$20)*(1-实盘持仓初始配置!$Z$4)^(('实盘净值数据(iFinD）'!$A102-'实盘净值数据(iFinD）'!$A$6)/365))</f>
        <v/>
      </c>
      <c r="C102" s="16" t="str">
        <f t="shared" si="6"/>
        <v/>
      </c>
      <c r="D102" s="16" t="str">
        <f>IF(B102="","",B102/MAX(B$5:B102)-1)</f>
        <v/>
      </c>
      <c r="E102" s="13" t="str">
        <f>IF(OR('实盘净值数据(iFinD）'!$A102="",'实盘净值数据(iFinD）'!$B102=""),"",分期持仓明细!$AB$18*SUMPRODUCT(分期持仓明细!$B$18:$Y$18,'实盘净值数据(iFinD）'!$B102:$Y102/'实盘净值数据(iFinD）'!$B$20:$Y$20)*(1-实盘持仓初始配置!$Z$5)^(('实盘净值数据(iFinD）'!$A102-'实盘净值数据(iFinD）'!$A$5)/365))</f>
        <v/>
      </c>
      <c r="F102" s="16" t="str">
        <f t="shared" si="7"/>
        <v/>
      </c>
      <c r="G102" s="16" t="str">
        <f>IF(E102="","",E102/MAX(E$5:E102)-1)</f>
        <v/>
      </c>
      <c r="H102" s="13" t="str">
        <f>IF(OR('实盘净值数据(iFinD）'!$A102="",'实盘净值数据(iFinD）'!$B102=""),"",分期持仓明细!$AB$19*SUMPRODUCT(分期持仓明细!$B$19:$Y$19,'实盘净值数据(iFinD）'!$B102:$Y102/'实盘净值数据(iFinD）'!$B$20:$Y$20)*(1-实盘持仓初始配置!$Z$6)^(('实盘净值数据(iFinD）'!$A102-'实盘净值数据(iFinD）'!$A$7)/365))</f>
        <v/>
      </c>
      <c r="I102" s="16" t="str">
        <f t="shared" si="8"/>
        <v/>
      </c>
      <c r="J102" s="16" t="str">
        <f>IF(H102="","",H102/MAX(H$5:H102)-1)</f>
        <v/>
      </c>
      <c r="K102" s="13" t="str">
        <f>IF(OR('实盘净值数据(iFinD）'!$A102="",'实盘净值数据(iFinD）'!$B102="",'实盘净值数据(iFinD）'!$Z102="",'实盘净值数据(iFinD）'!$AA102=""),"",分期持仓明细!$AB$23*(SUMPRODUCT(分期持仓明细!$B$23:$Y$23,'实盘净值数据(iFinD）'!$B102:$Y102/'实盘净值数据(iFinD）'!$B$65:$Y$65)+SUMPRODUCT(分期持仓明细!$AC$23:$AD$23,'实盘净值数据(iFinD）'!$Z102:$AA102/'实盘净值数据(iFinD）'!$Z$65:$AA$65))*(1-实盘持仓初始配置!$Z$7)^(('实盘净值数据(iFinD）'!$A102-'实盘净值数据(iFinD）'!$A$8)/365))</f>
        <v/>
      </c>
      <c r="L102" s="16" t="str">
        <f t="shared" si="9"/>
        <v/>
      </c>
      <c r="M102" s="16" t="str">
        <f>IF(K102="","",K102/MAX(K$5:K102)-1)</f>
        <v/>
      </c>
      <c r="N102" s="13" t="str">
        <f>IF(OR('实盘净值数据(iFinD）'!$A102="",'实盘净值数据(iFinD）'!$B102="",'实盘净值数据(iFinD）'!$Z102="",'实盘净值数据(iFinD）'!$AA102=""),"",分期持仓明细!$AB$24*(SUMPRODUCT(分期持仓明细!$B$24:$Y$24,'实盘净值数据(iFinD）'!$B102:$Y102/'实盘净值数据(iFinD）'!$B$65:$Y$65)+SUMPRODUCT(分期持仓明细!$AC$24:$AD$24,'实盘净值数据(iFinD）'!$Z102:$AA102/'实盘净值数据(iFinD）'!$Z$65:$AA$65))*(1-实盘持仓初始配置!$Z$8)^(('实盘净值数据(iFinD）'!$A102-'实盘净值数据(iFinD）'!$A$5)/365))</f>
        <v/>
      </c>
      <c r="O102" s="16" t="str">
        <f t="shared" si="10"/>
        <v/>
      </c>
      <c r="P102" s="16" t="str">
        <f>IF(N102="","",N102/MAX(N$5:N102)-1)</f>
        <v/>
      </c>
      <c r="Q102" s="13" t="str">
        <f>IF(OR('实盘净值数据(iFinD）'!$A102="",'实盘净值数据(iFinD）'!$B102="",'实盘净值数据(iFinD）'!$Z102="",'实盘净值数据(iFinD）'!$AA102=""),"",分期持仓明细!$AB$25*(SUMPRODUCT(分期持仓明细!$B$25:$Y$25,'实盘净值数据(iFinD）'!$B102:$Y102/'实盘净值数据(iFinD）'!$B$65:$Y$65)+SUMPRODUCT(分期持仓明细!$AC$25:$AD$25,'实盘净值数据(iFinD）'!$Z102:$AA102/'实盘净值数据(iFinD）'!$Z$65:$AA$65))*(1-实盘持仓初始配置!$Z$9)^(('实盘净值数据(iFinD）'!$A102-'实盘净值数据(iFinD）'!$A$8)/365))</f>
        <v/>
      </c>
      <c r="R102" s="16" t="str">
        <f t="shared" si="11"/>
        <v/>
      </c>
      <c r="S102" s="16" t="str">
        <f>IF(Q102="","",Q102/MAX(Q$5:Q102)-1)</f>
        <v/>
      </c>
    </row>
    <row r="103" spans="1:19">
      <c r="A103" s="15" t="str">
        <f>IF('实盘净值数据(iFinD）'!A103="","",'实盘净值数据(iFinD）'!A103)</f>
        <v/>
      </c>
      <c r="B103" s="13" t="str">
        <f>IF(OR('实盘净值数据(iFinD）'!$A103="",'实盘净值数据(iFinD）'!$B103=""),"",分期持仓明细!$AB$17*SUMPRODUCT(分期持仓明细!$B$17:$Y$17,'实盘净值数据(iFinD）'!$B103:$Y103/'实盘净值数据(iFinD）'!$B$20:$Y$20)*(1-实盘持仓初始配置!$Z$4)^(('实盘净值数据(iFinD）'!$A103-'实盘净值数据(iFinD）'!$A$6)/365))</f>
        <v/>
      </c>
      <c r="C103" s="16" t="str">
        <f t="shared" si="6"/>
        <v/>
      </c>
      <c r="D103" s="16" t="str">
        <f>IF(B103="","",B103/MAX(B$5:B103)-1)</f>
        <v/>
      </c>
      <c r="E103" s="13" t="str">
        <f>IF(OR('实盘净值数据(iFinD）'!$A103="",'实盘净值数据(iFinD）'!$B103=""),"",分期持仓明细!$AB$18*SUMPRODUCT(分期持仓明细!$B$18:$Y$18,'实盘净值数据(iFinD）'!$B103:$Y103/'实盘净值数据(iFinD）'!$B$20:$Y$20)*(1-实盘持仓初始配置!$Z$5)^(('实盘净值数据(iFinD）'!$A103-'实盘净值数据(iFinD）'!$A$5)/365))</f>
        <v/>
      </c>
      <c r="F103" s="16" t="str">
        <f t="shared" si="7"/>
        <v/>
      </c>
      <c r="G103" s="16" t="str">
        <f>IF(E103="","",E103/MAX(E$5:E103)-1)</f>
        <v/>
      </c>
      <c r="H103" s="13" t="str">
        <f>IF(OR('实盘净值数据(iFinD）'!$A103="",'实盘净值数据(iFinD）'!$B103=""),"",分期持仓明细!$AB$19*SUMPRODUCT(分期持仓明细!$B$19:$Y$19,'实盘净值数据(iFinD）'!$B103:$Y103/'实盘净值数据(iFinD）'!$B$20:$Y$20)*(1-实盘持仓初始配置!$Z$6)^(('实盘净值数据(iFinD）'!$A103-'实盘净值数据(iFinD）'!$A$7)/365))</f>
        <v/>
      </c>
      <c r="I103" s="16" t="str">
        <f t="shared" si="8"/>
        <v/>
      </c>
      <c r="J103" s="16" t="str">
        <f>IF(H103="","",H103/MAX(H$5:H103)-1)</f>
        <v/>
      </c>
      <c r="K103" s="13" t="str">
        <f>IF(OR('实盘净值数据(iFinD）'!$A103="",'实盘净值数据(iFinD）'!$B103="",'实盘净值数据(iFinD）'!$Z103="",'实盘净值数据(iFinD）'!$AA103=""),"",分期持仓明细!$AB$23*(SUMPRODUCT(分期持仓明细!$B$23:$Y$23,'实盘净值数据(iFinD）'!$B103:$Y103/'实盘净值数据(iFinD）'!$B$65:$Y$65)+SUMPRODUCT(分期持仓明细!$AC$23:$AD$23,'实盘净值数据(iFinD）'!$Z103:$AA103/'实盘净值数据(iFinD）'!$Z$65:$AA$65))*(1-实盘持仓初始配置!$Z$7)^(('实盘净值数据(iFinD）'!$A103-'实盘净值数据(iFinD）'!$A$8)/365))</f>
        <v/>
      </c>
      <c r="L103" s="16" t="str">
        <f t="shared" si="9"/>
        <v/>
      </c>
      <c r="M103" s="16" t="str">
        <f>IF(K103="","",K103/MAX(K$5:K103)-1)</f>
        <v/>
      </c>
      <c r="N103" s="13" t="str">
        <f>IF(OR('实盘净值数据(iFinD）'!$A103="",'实盘净值数据(iFinD）'!$B103="",'实盘净值数据(iFinD）'!$Z103="",'实盘净值数据(iFinD）'!$AA103=""),"",分期持仓明细!$AB$24*(SUMPRODUCT(分期持仓明细!$B$24:$Y$24,'实盘净值数据(iFinD）'!$B103:$Y103/'实盘净值数据(iFinD）'!$B$65:$Y$65)+SUMPRODUCT(分期持仓明细!$AC$24:$AD$24,'实盘净值数据(iFinD）'!$Z103:$AA103/'实盘净值数据(iFinD）'!$Z$65:$AA$65))*(1-实盘持仓初始配置!$Z$8)^(('实盘净值数据(iFinD）'!$A103-'实盘净值数据(iFinD）'!$A$5)/365))</f>
        <v/>
      </c>
      <c r="O103" s="16" t="str">
        <f t="shared" si="10"/>
        <v/>
      </c>
      <c r="P103" s="16" t="str">
        <f>IF(N103="","",N103/MAX(N$5:N103)-1)</f>
        <v/>
      </c>
      <c r="Q103" s="13" t="str">
        <f>IF(OR('实盘净值数据(iFinD）'!$A103="",'实盘净值数据(iFinD）'!$B103="",'实盘净值数据(iFinD）'!$Z103="",'实盘净值数据(iFinD）'!$AA103=""),"",分期持仓明细!$AB$25*(SUMPRODUCT(分期持仓明细!$B$25:$Y$25,'实盘净值数据(iFinD）'!$B103:$Y103/'实盘净值数据(iFinD）'!$B$65:$Y$65)+SUMPRODUCT(分期持仓明细!$AC$25:$AD$25,'实盘净值数据(iFinD）'!$Z103:$AA103/'实盘净值数据(iFinD）'!$Z$65:$AA$65))*(1-实盘持仓初始配置!$Z$9)^(('实盘净值数据(iFinD）'!$A103-'实盘净值数据(iFinD）'!$A$8)/365))</f>
        <v/>
      </c>
      <c r="R103" s="16" t="str">
        <f t="shared" si="11"/>
        <v/>
      </c>
      <c r="S103" s="16" t="str">
        <f>IF(Q103="","",Q103/MAX(Q$5:Q103)-1)</f>
        <v/>
      </c>
    </row>
    <row r="104" spans="1:19">
      <c r="A104" s="15" t="str">
        <f>IF('实盘净值数据(iFinD）'!A104="","",'实盘净值数据(iFinD）'!A104)</f>
        <v/>
      </c>
      <c r="B104" s="13" t="str">
        <f>IF(OR('实盘净值数据(iFinD）'!$A104="",'实盘净值数据(iFinD）'!$B104=""),"",分期持仓明细!$AB$17*SUMPRODUCT(分期持仓明细!$B$17:$Y$17,'实盘净值数据(iFinD）'!$B104:$Y104/'实盘净值数据(iFinD）'!$B$20:$Y$20)*(1-实盘持仓初始配置!$Z$4)^(('实盘净值数据(iFinD）'!$A104-'实盘净值数据(iFinD）'!$A$6)/365))</f>
        <v/>
      </c>
      <c r="C104" s="16" t="str">
        <f t="shared" si="6"/>
        <v/>
      </c>
      <c r="D104" s="16" t="str">
        <f>IF(B104="","",B104/MAX(B$5:B104)-1)</f>
        <v/>
      </c>
      <c r="E104" s="13" t="str">
        <f>IF(OR('实盘净值数据(iFinD）'!$A104="",'实盘净值数据(iFinD）'!$B104=""),"",分期持仓明细!$AB$18*SUMPRODUCT(分期持仓明细!$B$18:$Y$18,'实盘净值数据(iFinD）'!$B104:$Y104/'实盘净值数据(iFinD）'!$B$20:$Y$20)*(1-实盘持仓初始配置!$Z$5)^(('实盘净值数据(iFinD）'!$A104-'实盘净值数据(iFinD）'!$A$5)/365))</f>
        <v/>
      </c>
      <c r="F104" s="16" t="str">
        <f t="shared" si="7"/>
        <v/>
      </c>
      <c r="G104" s="16" t="str">
        <f>IF(E104="","",E104/MAX(E$5:E104)-1)</f>
        <v/>
      </c>
      <c r="H104" s="13" t="str">
        <f>IF(OR('实盘净值数据(iFinD）'!$A104="",'实盘净值数据(iFinD）'!$B104=""),"",分期持仓明细!$AB$19*SUMPRODUCT(分期持仓明细!$B$19:$Y$19,'实盘净值数据(iFinD）'!$B104:$Y104/'实盘净值数据(iFinD）'!$B$20:$Y$20)*(1-实盘持仓初始配置!$Z$6)^(('实盘净值数据(iFinD）'!$A104-'实盘净值数据(iFinD）'!$A$7)/365))</f>
        <v/>
      </c>
      <c r="I104" s="16" t="str">
        <f t="shared" si="8"/>
        <v/>
      </c>
      <c r="J104" s="16" t="str">
        <f>IF(H104="","",H104/MAX(H$5:H104)-1)</f>
        <v/>
      </c>
      <c r="K104" s="13" t="str">
        <f>IF(OR('实盘净值数据(iFinD）'!$A104="",'实盘净值数据(iFinD）'!$B104="",'实盘净值数据(iFinD）'!$Z104="",'实盘净值数据(iFinD）'!$AA104=""),"",分期持仓明细!$AB$23*(SUMPRODUCT(分期持仓明细!$B$23:$Y$23,'实盘净值数据(iFinD）'!$B104:$Y104/'实盘净值数据(iFinD）'!$B$65:$Y$65)+SUMPRODUCT(分期持仓明细!$AC$23:$AD$23,'实盘净值数据(iFinD）'!$Z104:$AA104/'实盘净值数据(iFinD）'!$Z$65:$AA$65))*(1-实盘持仓初始配置!$Z$7)^(('实盘净值数据(iFinD）'!$A104-'实盘净值数据(iFinD）'!$A$8)/365))</f>
        <v/>
      </c>
      <c r="L104" s="16" t="str">
        <f t="shared" si="9"/>
        <v/>
      </c>
      <c r="M104" s="16" t="str">
        <f>IF(K104="","",K104/MAX(K$5:K104)-1)</f>
        <v/>
      </c>
      <c r="N104" s="13" t="str">
        <f>IF(OR('实盘净值数据(iFinD）'!$A104="",'实盘净值数据(iFinD）'!$B104="",'实盘净值数据(iFinD）'!$Z104="",'实盘净值数据(iFinD）'!$AA104=""),"",分期持仓明细!$AB$24*(SUMPRODUCT(分期持仓明细!$B$24:$Y$24,'实盘净值数据(iFinD）'!$B104:$Y104/'实盘净值数据(iFinD）'!$B$65:$Y$65)+SUMPRODUCT(分期持仓明细!$AC$24:$AD$24,'实盘净值数据(iFinD）'!$Z104:$AA104/'实盘净值数据(iFinD）'!$Z$65:$AA$65))*(1-实盘持仓初始配置!$Z$8)^(('实盘净值数据(iFinD）'!$A104-'实盘净值数据(iFinD）'!$A$5)/365))</f>
        <v/>
      </c>
      <c r="O104" s="16" t="str">
        <f t="shared" si="10"/>
        <v/>
      </c>
      <c r="P104" s="16" t="str">
        <f>IF(N104="","",N104/MAX(N$5:N104)-1)</f>
        <v/>
      </c>
      <c r="Q104" s="13" t="str">
        <f>IF(OR('实盘净值数据(iFinD）'!$A104="",'实盘净值数据(iFinD）'!$B104="",'实盘净值数据(iFinD）'!$Z104="",'实盘净值数据(iFinD）'!$AA104=""),"",分期持仓明细!$AB$25*(SUMPRODUCT(分期持仓明细!$B$25:$Y$25,'实盘净值数据(iFinD）'!$B104:$Y104/'实盘净值数据(iFinD）'!$B$65:$Y$65)+SUMPRODUCT(分期持仓明细!$AC$25:$AD$25,'实盘净值数据(iFinD）'!$Z104:$AA104/'实盘净值数据(iFinD）'!$Z$65:$AA$65))*(1-实盘持仓初始配置!$Z$9)^(('实盘净值数据(iFinD）'!$A104-'实盘净值数据(iFinD）'!$A$8)/365))</f>
        <v/>
      </c>
      <c r="R104" s="16" t="str">
        <f t="shared" si="11"/>
        <v/>
      </c>
      <c r="S104" s="16" t="str">
        <f>IF(Q104="","",Q104/MAX(Q$5:Q104)-1)</f>
        <v/>
      </c>
    </row>
    <row r="105" spans="1:19">
      <c r="A105" s="15" t="str">
        <f>IF('实盘净值数据(iFinD）'!A105="","",'实盘净值数据(iFinD）'!A105)</f>
        <v/>
      </c>
      <c r="B105" s="13" t="str">
        <f>IF(OR('实盘净值数据(iFinD）'!$A105="",'实盘净值数据(iFinD）'!$B105=""),"",分期持仓明细!$AB$17*SUMPRODUCT(分期持仓明细!$B$17:$Y$17,'实盘净值数据(iFinD）'!$B105:$Y105/'实盘净值数据(iFinD）'!$B$20:$Y$20)*(1-实盘持仓初始配置!$Z$4)^(('实盘净值数据(iFinD）'!$A105-'实盘净值数据(iFinD）'!$A$6)/365))</f>
        <v/>
      </c>
      <c r="C105" s="16" t="str">
        <f t="shared" si="6"/>
        <v/>
      </c>
      <c r="D105" s="16" t="str">
        <f>IF(B105="","",B105/MAX(B$5:B105)-1)</f>
        <v/>
      </c>
      <c r="E105" s="13" t="str">
        <f>IF(OR('实盘净值数据(iFinD）'!$A105="",'实盘净值数据(iFinD）'!$B105=""),"",分期持仓明细!$AB$18*SUMPRODUCT(分期持仓明细!$B$18:$Y$18,'实盘净值数据(iFinD）'!$B105:$Y105/'实盘净值数据(iFinD）'!$B$20:$Y$20)*(1-实盘持仓初始配置!$Z$5)^(('实盘净值数据(iFinD）'!$A105-'实盘净值数据(iFinD）'!$A$5)/365))</f>
        <v/>
      </c>
      <c r="F105" s="16" t="str">
        <f t="shared" si="7"/>
        <v/>
      </c>
      <c r="G105" s="16" t="str">
        <f>IF(E105="","",E105/MAX(E$5:E105)-1)</f>
        <v/>
      </c>
      <c r="H105" s="13" t="str">
        <f>IF(OR('实盘净值数据(iFinD）'!$A105="",'实盘净值数据(iFinD）'!$B105=""),"",分期持仓明细!$AB$19*SUMPRODUCT(分期持仓明细!$B$19:$Y$19,'实盘净值数据(iFinD）'!$B105:$Y105/'实盘净值数据(iFinD）'!$B$20:$Y$20)*(1-实盘持仓初始配置!$Z$6)^(('实盘净值数据(iFinD）'!$A105-'实盘净值数据(iFinD）'!$A$7)/365))</f>
        <v/>
      </c>
      <c r="I105" s="16" t="str">
        <f t="shared" si="8"/>
        <v/>
      </c>
      <c r="J105" s="16" t="str">
        <f>IF(H105="","",H105/MAX(H$5:H105)-1)</f>
        <v/>
      </c>
      <c r="K105" s="13" t="str">
        <f>IF(OR('实盘净值数据(iFinD）'!$A105="",'实盘净值数据(iFinD）'!$B105="",'实盘净值数据(iFinD）'!$Z105="",'实盘净值数据(iFinD）'!$AA105=""),"",分期持仓明细!$AB$23*(SUMPRODUCT(分期持仓明细!$B$23:$Y$23,'实盘净值数据(iFinD）'!$B105:$Y105/'实盘净值数据(iFinD）'!$B$65:$Y$65)+SUMPRODUCT(分期持仓明细!$AC$23:$AD$23,'实盘净值数据(iFinD）'!$Z105:$AA105/'实盘净值数据(iFinD）'!$Z$65:$AA$65))*(1-实盘持仓初始配置!$Z$7)^(('实盘净值数据(iFinD）'!$A105-'实盘净值数据(iFinD）'!$A$8)/365))</f>
        <v/>
      </c>
      <c r="L105" s="16" t="str">
        <f t="shared" si="9"/>
        <v/>
      </c>
      <c r="M105" s="16" t="str">
        <f>IF(K105="","",K105/MAX(K$5:K105)-1)</f>
        <v/>
      </c>
      <c r="N105" s="13" t="str">
        <f>IF(OR('实盘净值数据(iFinD）'!$A105="",'实盘净值数据(iFinD）'!$B105="",'实盘净值数据(iFinD）'!$Z105="",'实盘净值数据(iFinD）'!$AA105=""),"",分期持仓明细!$AB$24*(SUMPRODUCT(分期持仓明细!$B$24:$Y$24,'实盘净值数据(iFinD）'!$B105:$Y105/'实盘净值数据(iFinD）'!$B$65:$Y$65)+SUMPRODUCT(分期持仓明细!$AC$24:$AD$24,'实盘净值数据(iFinD）'!$Z105:$AA105/'实盘净值数据(iFinD）'!$Z$65:$AA$65))*(1-实盘持仓初始配置!$Z$8)^(('实盘净值数据(iFinD）'!$A105-'实盘净值数据(iFinD）'!$A$5)/365))</f>
        <v/>
      </c>
      <c r="O105" s="16" t="str">
        <f t="shared" si="10"/>
        <v/>
      </c>
      <c r="P105" s="16" t="str">
        <f>IF(N105="","",N105/MAX(N$5:N105)-1)</f>
        <v/>
      </c>
      <c r="Q105" s="13" t="str">
        <f>IF(OR('实盘净值数据(iFinD）'!$A105="",'实盘净值数据(iFinD）'!$B105="",'实盘净值数据(iFinD）'!$Z105="",'实盘净值数据(iFinD）'!$AA105=""),"",分期持仓明细!$AB$25*(SUMPRODUCT(分期持仓明细!$B$25:$Y$25,'实盘净值数据(iFinD）'!$B105:$Y105/'实盘净值数据(iFinD）'!$B$65:$Y$65)+SUMPRODUCT(分期持仓明细!$AC$25:$AD$25,'实盘净值数据(iFinD）'!$Z105:$AA105/'实盘净值数据(iFinD）'!$Z$65:$AA$65))*(1-实盘持仓初始配置!$Z$9)^(('实盘净值数据(iFinD）'!$A105-'实盘净值数据(iFinD）'!$A$8)/365))</f>
        <v/>
      </c>
      <c r="R105" s="16" t="str">
        <f t="shared" si="11"/>
        <v/>
      </c>
      <c r="S105" s="16" t="str">
        <f>IF(Q105="","",Q105/MAX(Q$5:Q105)-1)</f>
        <v/>
      </c>
    </row>
    <row r="106" spans="1:19">
      <c r="A106" s="15" t="str">
        <f>IF('实盘净值数据(iFinD）'!A106="","",'实盘净值数据(iFinD）'!A106)</f>
        <v/>
      </c>
      <c r="B106" s="13" t="str">
        <f>IF(OR('实盘净值数据(iFinD）'!$A106="",'实盘净值数据(iFinD）'!$B106=""),"",分期持仓明细!$AB$17*SUMPRODUCT(分期持仓明细!$B$17:$Y$17,'实盘净值数据(iFinD）'!$B106:$Y106/'实盘净值数据(iFinD）'!$B$20:$Y$20)*(1-实盘持仓初始配置!$Z$4)^(('实盘净值数据(iFinD）'!$A106-'实盘净值数据(iFinD）'!$A$6)/365))</f>
        <v/>
      </c>
      <c r="C106" s="16" t="str">
        <f t="shared" si="6"/>
        <v/>
      </c>
      <c r="D106" s="16" t="str">
        <f>IF(B106="","",B106/MAX(B$5:B106)-1)</f>
        <v/>
      </c>
      <c r="E106" s="13" t="str">
        <f>IF(OR('实盘净值数据(iFinD）'!$A106="",'实盘净值数据(iFinD）'!$B106=""),"",分期持仓明细!$AB$18*SUMPRODUCT(分期持仓明细!$B$18:$Y$18,'实盘净值数据(iFinD）'!$B106:$Y106/'实盘净值数据(iFinD）'!$B$20:$Y$20)*(1-实盘持仓初始配置!$Z$5)^(('实盘净值数据(iFinD）'!$A106-'实盘净值数据(iFinD）'!$A$5)/365))</f>
        <v/>
      </c>
      <c r="F106" s="16" t="str">
        <f t="shared" si="7"/>
        <v/>
      </c>
      <c r="G106" s="16" t="str">
        <f>IF(E106="","",E106/MAX(E$5:E106)-1)</f>
        <v/>
      </c>
      <c r="H106" s="13" t="str">
        <f>IF(OR('实盘净值数据(iFinD）'!$A106="",'实盘净值数据(iFinD）'!$B106=""),"",分期持仓明细!$AB$19*SUMPRODUCT(分期持仓明细!$B$19:$Y$19,'实盘净值数据(iFinD）'!$B106:$Y106/'实盘净值数据(iFinD）'!$B$20:$Y$20)*(1-实盘持仓初始配置!$Z$6)^(('实盘净值数据(iFinD）'!$A106-'实盘净值数据(iFinD）'!$A$7)/365))</f>
        <v/>
      </c>
      <c r="I106" s="16" t="str">
        <f t="shared" si="8"/>
        <v/>
      </c>
      <c r="J106" s="16" t="str">
        <f>IF(H106="","",H106/MAX(H$5:H106)-1)</f>
        <v/>
      </c>
      <c r="K106" s="13" t="str">
        <f>IF(OR('实盘净值数据(iFinD）'!$A106="",'实盘净值数据(iFinD）'!$B106="",'实盘净值数据(iFinD）'!$Z106="",'实盘净值数据(iFinD）'!$AA106=""),"",分期持仓明细!$AB$23*(SUMPRODUCT(分期持仓明细!$B$23:$Y$23,'实盘净值数据(iFinD）'!$B106:$Y106/'实盘净值数据(iFinD）'!$B$65:$Y$65)+SUMPRODUCT(分期持仓明细!$AC$23:$AD$23,'实盘净值数据(iFinD）'!$Z106:$AA106/'实盘净值数据(iFinD）'!$Z$65:$AA$65))*(1-实盘持仓初始配置!$Z$7)^(('实盘净值数据(iFinD）'!$A106-'实盘净值数据(iFinD）'!$A$8)/365))</f>
        <v/>
      </c>
      <c r="L106" s="16" t="str">
        <f t="shared" si="9"/>
        <v/>
      </c>
      <c r="M106" s="16" t="str">
        <f>IF(K106="","",K106/MAX(K$5:K106)-1)</f>
        <v/>
      </c>
      <c r="N106" s="13" t="str">
        <f>IF(OR('实盘净值数据(iFinD）'!$A106="",'实盘净值数据(iFinD）'!$B106="",'实盘净值数据(iFinD）'!$Z106="",'实盘净值数据(iFinD）'!$AA106=""),"",分期持仓明细!$AB$24*(SUMPRODUCT(分期持仓明细!$B$24:$Y$24,'实盘净值数据(iFinD）'!$B106:$Y106/'实盘净值数据(iFinD）'!$B$65:$Y$65)+SUMPRODUCT(分期持仓明细!$AC$24:$AD$24,'实盘净值数据(iFinD）'!$Z106:$AA106/'实盘净值数据(iFinD）'!$Z$65:$AA$65))*(1-实盘持仓初始配置!$Z$8)^(('实盘净值数据(iFinD）'!$A106-'实盘净值数据(iFinD）'!$A$5)/365))</f>
        <v/>
      </c>
      <c r="O106" s="16" t="str">
        <f t="shared" si="10"/>
        <v/>
      </c>
      <c r="P106" s="16" t="str">
        <f>IF(N106="","",N106/MAX(N$5:N106)-1)</f>
        <v/>
      </c>
      <c r="Q106" s="13" t="str">
        <f>IF(OR('实盘净值数据(iFinD）'!$A106="",'实盘净值数据(iFinD）'!$B106="",'实盘净值数据(iFinD）'!$Z106="",'实盘净值数据(iFinD）'!$AA106=""),"",分期持仓明细!$AB$25*(SUMPRODUCT(分期持仓明细!$B$25:$Y$25,'实盘净值数据(iFinD）'!$B106:$Y106/'实盘净值数据(iFinD）'!$B$65:$Y$65)+SUMPRODUCT(分期持仓明细!$AC$25:$AD$25,'实盘净值数据(iFinD）'!$Z106:$AA106/'实盘净值数据(iFinD）'!$Z$65:$AA$65))*(1-实盘持仓初始配置!$Z$9)^(('实盘净值数据(iFinD）'!$A106-'实盘净值数据(iFinD）'!$A$8)/365))</f>
        <v/>
      </c>
      <c r="R106" s="16" t="str">
        <f t="shared" si="11"/>
        <v/>
      </c>
      <c r="S106" s="16" t="str">
        <f>IF(Q106="","",Q106/MAX(Q$5:Q106)-1)</f>
        <v/>
      </c>
    </row>
    <row r="107" spans="1:19">
      <c r="A107" s="15" t="str">
        <f>IF('实盘净值数据(iFinD）'!A107="","",'实盘净值数据(iFinD）'!A107)</f>
        <v/>
      </c>
      <c r="B107" s="13" t="str">
        <f>IF(OR('实盘净值数据(iFinD）'!$A107="",'实盘净值数据(iFinD）'!$B107=""),"",分期持仓明细!$AB$17*SUMPRODUCT(分期持仓明细!$B$17:$Y$17,'实盘净值数据(iFinD）'!$B107:$Y107/'实盘净值数据(iFinD）'!$B$20:$Y$20)*(1-实盘持仓初始配置!$Z$4)^(('实盘净值数据(iFinD）'!$A107-'实盘净值数据(iFinD）'!$A$6)/365))</f>
        <v/>
      </c>
      <c r="C107" s="16" t="str">
        <f t="shared" si="6"/>
        <v/>
      </c>
      <c r="D107" s="16" t="str">
        <f>IF(B107="","",B107/MAX(B$5:B107)-1)</f>
        <v/>
      </c>
      <c r="E107" s="13" t="str">
        <f>IF(OR('实盘净值数据(iFinD）'!$A107="",'实盘净值数据(iFinD）'!$B107=""),"",分期持仓明细!$AB$18*SUMPRODUCT(分期持仓明细!$B$18:$Y$18,'实盘净值数据(iFinD）'!$B107:$Y107/'实盘净值数据(iFinD）'!$B$20:$Y$20)*(1-实盘持仓初始配置!$Z$5)^(('实盘净值数据(iFinD）'!$A107-'实盘净值数据(iFinD）'!$A$5)/365))</f>
        <v/>
      </c>
      <c r="F107" s="16" t="str">
        <f t="shared" si="7"/>
        <v/>
      </c>
      <c r="G107" s="16" t="str">
        <f>IF(E107="","",E107/MAX(E$5:E107)-1)</f>
        <v/>
      </c>
      <c r="H107" s="13" t="str">
        <f>IF(OR('实盘净值数据(iFinD）'!$A107="",'实盘净值数据(iFinD）'!$B107=""),"",分期持仓明细!$AB$19*SUMPRODUCT(分期持仓明细!$B$19:$Y$19,'实盘净值数据(iFinD）'!$B107:$Y107/'实盘净值数据(iFinD）'!$B$20:$Y$20)*(1-实盘持仓初始配置!$Z$6)^(('实盘净值数据(iFinD）'!$A107-'实盘净值数据(iFinD）'!$A$7)/365))</f>
        <v/>
      </c>
      <c r="I107" s="16" t="str">
        <f t="shared" si="8"/>
        <v/>
      </c>
      <c r="J107" s="16" t="str">
        <f>IF(H107="","",H107/MAX(H$5:H107)-1)</f>
        <v/>
      </c>
      <c r="K107" s="13" t="str">
        <f>IF(OR('实盘净值数据(iFinD）'!$A107="",'实盘净值数据(iFinD）'!$B107="",'实盘净值数据(iFinD）'!$Z107="",'实盘净值数据(iFinD）'!$AA107=""),"",分期持仓明细!$AB$23*(SUMPRODUCT(分期持仓明细!$B$23:$Y$23,'实盘净值数据(iFinD）'!$B107:$Y107/'实盘净值数据(iFinD）'!$B$65:$Y$65)+SUMPRODUCT(分期持仓明细!$AC$23:$AD$23,'实盘净值数据(iFinD）'!$Z107:$AA107/'实盘净值数据(iFinD）'!$Z$65:$AA$65))*(1-实盘持仓初始配置!$Z$7)^(('实盘净值数据(iFinD）'!$A107-'实盘净值数据(iFinD）'!$A$8)/365))</f>
        <v/>
      </c>
      <c r="L107" s="16" t="str">
        <f t="shared" si="9"/>
        <v/>
      </c>
      <c r="M107" s="16" t="str">
        <f>IF(K107="","",K107/MAX(K$5:K107)-1)</f>
        <v/>
      </c>
      <c r="N107" s="13" t="str">
        <f>IF(OR('实盘净值数据(iFinD）'!$A107="",'实盘净值数据(iFinD）'!$B107="",'实盘净值数据(iFinD）'!$Z107="",'实盘净值数据(iFinD）'!$AA107=""),"",分期持仓明细!$AB$24*(SUMPRODUCT(分期持仓明细!$B$24:$Y$24,'实盘净值数据(iFinD）'!$B107:$Y107/'实盘净值数据(iFinD）'!$B$65:$Y$65)+SUMPRODUCT(分期持仓明细!$AC$24:$AD$24,'实盘净值数据(iFinD）'!$Z107:$AA107/'实盘净值数据(iFinD）'!$Z$65:$AA$65))*(1-实盘持仓初始配置!$Z$8)^(('实盘净值数据(iFinD）'!$A107-'实盘净值数据(iFinD）'!$A$5)/365))</f>
        <v/>
      </c>
      <c r="O107" s="16" t="str">
        <f t="shared" si="10"/>
        <v/>
      </c>
      <c r="P107" s="16" t="str">
        <f>IF(N107="","",N107/MAX(N$5:N107)-1)</f>
        <v/>
      </c>
      <c r="Q107" s="13" t="str">
        <f>IF(OR('实盘净值数据(iFinD）'!$A107="",'实盘净值数据(iFinD）'!$B107="",'实盘净值数据(iFinD）'!$Z107="",'实盘净值数据(iFinD）'!$AA107=""),"",分期持仓明细!$AB$25*(SUMPRODUCT(分期持仓明细!$B$25:$Y$25,'实盘净值数据(iFinD）'!$B107:$Y107/'实盘净值数据(iFinD）'!$B$65:$Y$65)+SUMPRODUCT(分期持仓明细!$AC$25:$AD$25,'实盘净值数据(iFinD）'!$Z107:$AA107/'实盘净值数据(iFinD）'!$Z$65:$AA$65))*(1-实盘持仓初始配置!$Z$9)^(('实盘净值数据(iFinD）'!$A107-'实盘净值数据(iFinD）'!$A$8)/365))</f>
        <v/>
      </c>
      <c r="R107" s="16" t="str">
        <f t="shared" si="11"/>
        <v/>
      </c>
      <c r="S107" s="16" t="str">
        <f>IF(Q107="","",Q107/MAX(Q$5:Q107)-1)</f>
        <v/>
      </c>
    </row>
    <row r="108" spans="1:19">
      <c r="A108" s="15" t="str">
        <f>IF('实盘净值数据(iFinD）'!A108="","",'实盘净值数据(iFinD）'!A108)</f>
        <v/>
      </c>
      <c r="B108" s="13" t="str">
        <f>IF(OR('实盘净值数据(iFinD）'!$A108="",'实盘净值数据(iFinD）'!$B108=""),"",分期持仓明细!$AB$17*SUMPRODUCT(分期持仓明细!$B$17:$Y$17,'实盘净值数据(iFinD）'!$B108:$Y108/'实盘净值数据(iFinD）'!$B$20:$Y$20)*(1-实盘持仓初始配置!$Z$4)^(('实盘净值数据(iFinD）'!$A108-'实盘净值数据(iFinD）'!$A$6)/365))</f>
        <v/>
      </c>
      <c r="C108" s="16" t="str">
        <f t="shared" si="6"/>
        <v/>
      </c>
      <c r="D108" s="16" t="str">
        <f>IF(B108="","",B108/MAX(B$5:B108)-1)</f>
        <v/>
      </c>
      <c r="E108" s="13" t="str">
        <f>IF(OR('实盘净值数据(iFinD）'!$A108="",'实盘净值数据(iFinD）'!$B108=""),"",分期持仓明细!$AB$18*SUMPRODUCT(分期持仓明细!$B$18:$Y$18,'实盘净值数据(iFinD）'!$B108:$Y108/'实盘净值数据(iFinD）'!$B$20:$Y$20)*(1-实盘持仓初始配置!$Z$5)^(('实盘净值数据(iFinD）'!$A108-'实盘净值数据(iFinD）'!$A$5)/365))</f>
        <v/>
      </c>
      <c r="F108" s="16" t="str">
        <f t="shared" si="7"/>
        <v/>
      </c>
      <c r="G108" s="16" t="str">
        <f>IF(E108="","",E108/MAX(E$5:E108)-1)</f>
        <v/>
      </c>
      <c r="H108" s="13" t="str">
        <f>IF(OR('实盘净值数据(iFinD）'!$A108="",'实盘净值数据(iFinD）'!$B108=""),"",分期持仓明细!$AB$19*SUMPRODUCT(分期持仓明细!$B$19:$Y$19,'实盘净值数据(iFinD）'!$B108:$Y108/'实盘净值数据(iFinD）'!$B$20:$Y$20)*(1-实盘持仓初始配置!$Z$6)^(('实盘净值数据(iFinD）'!$A108-'实盘净值数据(iFinD）'!$A$7)/365))</f>
        <v/>
      </c>
      <c r="I108" s="16" t="str">
        <f t="shared" si="8"/>
        <v/>
      </c>
      <c r="J108" s="16" t="str">
        <f>IF(H108="","",H108/MAX(H$5:H108)-1)</f>
        <v/>
      </c>
      <c r="K108" s="13" t="str">
        <f>IF(OR('实盘净值数据(iFinD）'!$A108="",'实盘净值数据(iFinD）'!$B108="",'实盘净值数据(iFinD）'!$Z108="",'实盘净值数据(iFinD）'!$AA108=""),"",分期持仓明细!$AB$23*(SUMPRODUCT(分期持仓明细!$B$23:$Y$23,'实盘净值数据(iFinD）'!$B108:$Y108/'实盘净值数据(iFinD）'!$B$65:$Y$65)+SUMPRODUCT(分期持仓明细!$AC$23:$AD$23,'实盘净值数据(iFinD）'!$Z108:$AA108/'实盘净值数据(iFinD）'!$Z$65:$AA$65))*(1-实盘持仓初始配置!$Z$7)^(('实盘净值数据(iFinD）'!$A108-'实盘净值数据(iFinD）'!$A$8)/365))</f>
        <v/>
      </c>
      <c r="L108" s="16" t="str">
        <f t="shared" si="9"/>
        <v/>
      </c>
      <c r="M108" s="16" t="str">
        <f>IF(K108="","",K108/MAX(K$5:K108)-1)</f>
        <v/>
      </c>
      <c r="N108" s="13" t="str">
        <f>IF(OR('实盘净值数据(iFinD）'!$A108="",'实盘净值数据(iFinD）'!$B108="",'实盘净值数据(iFinD）'!$Z108="",'实盘净值数据(iFinD）'!$AA108=""),"",分期持仓明细!$AB$24*(SUMPRODUCT(分期持仓明细!$B$24:$Y$24,'实盘净值数据(iFinD）'!$B108:$Y108/'实盘净值数据(iFinD）'!$B$65:$Y$65)+SUMPRODUCT(分期持仓明细!$AC$24:$AD$24,'实盘净值数据(iFinD）'!$Z108:$AA108/'实盘净值数据(iFinD）'!$Z$65:$AA$65))*(1-实盘持仓初始配置!$Z$8)^(('实盘净值数据(iFinD）'!$A108-'实盘净值数据(iFinD）'!$A$5)/365))</f>
        <v/>
      </c>
      <c r="O108" s="16" t="str">
        <f t="shared" si="10"/>
        <v/>
      </c>
      <c r="P108" s="16" t="str">
        <f>IF(N108="","",N108/MAX(N$5:N108)-1)</f>
        <v/>
      </c>
      <c r="Q108" s="13" t="str">
        <f>IF(OR('实盘净值数据(iFinD）'!$A108="",'实盘净值数据(iFinD）'!$B108="",'实盘净值数据(iFinD）'!$Z108="",'实盘净值数据(iFinD）'!$AA108=""),"",分期持仓明细!$AB$25*(SUMPRODUCT(分期持仓明细!$B$25:$Y$25,'实盘净值数据(iFinD）'!$B108:$Y108/'实盘净值数据(iFinD）'!$B$65:$Y$65)+SUMPRODUCT(分期持仓明细!$AC$25:$AD$25,'实盘净值数据(iFinD）'!$Z108:$AA108/'实盘净值数据(iFinD）'!$Z$65:$AA$65))*(1-实盘持仓初始配置!$Z$9)^(('实盘净值数据(iFinD）'!$A108-'实盘净值数据(iFinD）'!$A$8)/365))</f>
        <v/>
      </c>
      <c r="R108" s="16" t="str">
        <f t="shared" si="11"/>
        <v/>
      </c>
      <c r="S108" s="16" t="str">
        <f>IF(Q108="","",Q108/MAX(Q$5:Q108)-1)</f>
        <v/>
      </c>
    </row>
    <row r="109" spans="1:19">
      <c r="A109" s="15" t="str">
        <f>IF('实盘净值数据(iFinD）'!A109="","",'实盘净值数据(iFinD）'!A109)</f>
        <v/>
      </c>
      <c r="B109" s="13" t="str">
        <f>IF(OR('实盘净值数据(iFinD）'!$A109="",'实盘净值数据(iFinD）'!$B109=""),"",分期持仓明细!$AB$17*SUMPRODUCT(分期持仓明细!$B$17:$Y$17,'实盘净值数据(iFinD）'!$B109:$Y109/'实盘净值数据(iFinD）'!$B$20:$Y$20)*(1-实盘持仓初始配置!$Z$4)^(('实盘净值数据(iFinD）'!$A109-'实盘净值数据(iFinD）'!$A$6)/365))</f>
        <v/>
      </c>
      <c r="C109" s="16" t="str">
        <f t="shared" si="6"/>
        <v/>
      </c>
      <c r="D109" s="16" t="str">
        <f>IF(B109="","",B109/MAX(B$5:B109)-1)</f>
        <v/>
      </c>
      <c r="E109" s="13" t="str">
        <f>IF(OR('实盘净值数据(iFinD）'!$A109="",'实盘净值数据(iFinD）'!$B109=""),"",分期持仓明细!$AB$18*SUMPRODUCT(分期持仓明细!$B$18:$Y$18,'实盘净值数据(iFinD）'!$B109:$Y109/'实盘净值数据(iFinD）'!$B$20:$Y$20)*(1-实盘持仓初始配置!$Z$5)^(('实盘净值数据(iFinD）'!$A109-'实盘净值数据(iFinD）'!$A$5)/365))</f>
        <v/>
      </c>
      <c r="F109" s="16" t="str">
        <f t="shared" si="7"/>
        <v/>
      </c>
      <c r="G109" s="16" t="str">
        <f>IF(E109="","",E109/MAX(E$5:E109)-1)</f>
        <v/>
      </c>
      <c r="H109" s="13" t="str">
        <f>IF(OR('实盘净值数据(iFinD）'!$A109="",'实盘净值数据(iFinD）'!$B109=""),"",分期持仓明细!$AB$19*SUMPRODUCT(分期持仓明细!$B$19:$Y$19,'实盘净值数据(iFinD）'!$B109:$Y109/'实盘净值数据(iFinD）'!$B$20:$Y$20)*(1-实盘持仓初始配置!$Z$6)^(('实盘净值数据(iFinD）'!$A109-'实盘净值数据(iFinD）'!$A$7)/365))</f>
        <v/>
      </c>
      <c r="I109" s="16" t="str">
        <f t="shared" si="8"/>
        <v/>
      </c>
      <c r="J109" s="16" t="str">
        <f>IF(H109="","",H109/MAX(H$5:H109)-1)</f>
        <v/>
      </c>
      <c r="K109" s="13" t="str">
        <f>IF(OR('实盘净值数据(iFinD）'!$A109="",'实盘净值数据(iFinD）'!$B109="",'实盘净值数据(iFinD）'!$Z109="",'实盘净值数据(iFinD）'!$AA109=""),"",分期持仓明细!$AB$23*(SUMPRODUCT(分期持仓明细!$B$23:$Y$23,'实盘净值数据(iFinD）'!$B109:$Y109/'实盘净值数据(iFinD）'!$B$65:$Y$65)+SUMPRODUCT(分期持仓明细!$AC$23:$AD$23,'实盘净值数据(iFinD）'!$Z109:$AA109/'实盘净值数据(iFinD）'!$Z$65:$AA$65))*(1-实盘持仓初始配置!$Z$7)^(('实盘净值数据(iFinD）'!$A109-'实盘净值数据(iFinD）'!$A$8)/365))</f>
        <v/>
      </c>
      <c r="L109" s="16" t="str">
        <f t="shared" si="9"/>
        <v/>
      </c>
      <c r="M109" s="16" t="str">
        <f>IF(K109="","",K109/MAX(K$5:K109)-1)</f>
        <v/>
      </c>
      <c r="N109" s="13" t="str">
        <f>IF(OR('实盘净值数据(iFinD）'!$A109="",'实盘净值数据(iFinD）'!$B109="",'实盘净值数据(iFinD）'!$Z109="",'实盘净值数据(iFinD）'!$AA109=""),"",分期持仓明细!$AB$24*(SUMPRODUCT(分期持仓明细!$B$24:$Y$24,'实盘净值数据(iFinD）'!$B109:$Y109/'实盘净值数据(iFinD）'!$B$65:$Y$65)+SUMPRODUCT(分期持仓明细!$AC$24:$AD$24,'实盘净值数据(iFinD）'!$Z109:$AA109/'实盘净值数据(iFinD）'!$Z$65:$AA$65))*(1-实盘持仓初始配置!$Z$8)^(('实盘净值数据(iFinD）'!$A109-'实盘净值数据(iFinD）'!$A$5)/365))</f>
        <v/>
      </c>
      <c r="O109" s="16" t="str">
        <f t="shared" si="10"/>
        <v/>
      </c>
      <c r="P109" s="16" t="str">
        <f>IF(N109="","",N109/MAX(N$5:N109)-1)</f>
        <v/>
      </c>
      <c r="Q109" s="13" t="str">
        <f>IF(OR('实盘净值数据(iFinD）'!$A109="",'实盘净值数据(iFinD）'!$B109="",'实盘净值数据(iFinD）'!$Z109="",'实盘净值数据(iFinD）'!$AA109=""),"",分期持仓明细!$AB$25*(SUMPRODUCT(分期持仓明细!$B$25:$Y$25,'实盘净值数据(iFinD）'!$B109:$Y109/'实盘净值数据(iFinD）'!$B$65:$Y$65)+SUMPRODUCT(分期持仓明细!$AC$25:$AD$25,'实盘净值数据(iFinD）'!$Z109:$AA109/'实盘净值数据(iFinD）'!$Z$65:$AA$65))*(1-实盘持仓初始配置!$Z$9)^(('实盘净值数据(iFinD）'!$A109-'实盘净值数据(iFinD）'!$A$8)/365))</f>
        <v/>
      </c>
      <c r="R109" s="16" t="str">
        <f t="shared" si="11"/>
        <v/>
      </c>
      <c r="S109" s="16" t="str">
        <f>IF(Q109="","",Q109/MAX(Q$5:Q109)-1)</f>
        <v/>
      </c>
    </row>
    <row r="110" spans="1:19">
      <c r="A110" s="15" t="str">
        <f>IF('实盘净值数据(iFinD）'!A110="","",'实盘净值数据(iFinD）'!A110)</f>
        <v/>
      </c>
      <c r="B110" s="13" t="str">
        <f>IF(OR('实盘净值数据(iFinD）'!$A110="",'实盘净值数据(iFinD）'!$B110=""),"",分期持仓明细!$AB$17*SUMPRODUCT(分期持仓明细!$B$17:$Y$17,'实盘净值数据(iFinD）'!$B110:$Y110/'实盘净值数据(iFinD）'!$B$20:$Y$20)*(1-实盘持仓初始配置!$Z$4)^(('实盘净值数据(iFinD）'!$A110-'实盘净值数据(iFinD）'!$A$6)/365))</f>
        <v/>
      </c>
      <c r="C110" s="16" t="str">
        <f t="shared" si="6"/>
        <v/>
      </c>
      <c r="D110" s="16" t="str">
        <f>IF(B110="","",B110/MAX(B$5:B110)-1)</f>
        <v/>
      </c>
      <c r="E110" s="13" t="str">
        <f>IF(OR('实盘净值数据(iFinD）'!$A110="",'实盘净值数据(iFinD）'!$B110=""),"",分期持仓明细!$AB$18*SUMPRODUCT(分期持仓明细!$B$18:$Y$18,'实盘净值数据(iFinD）'!$B110:$Y110/'实盘净值数据(iFinD）'!$B$20:$Y$20)*(1-实盘持仓初始配置!$Z$5)^(('实盘净值数据(iFinD）'!$A110-'实盘净值数据(iFinD）'!$A$5)/365))</f>
        <v/>
      </c>
      <c r="F110" s="16" t="str">
        <f t="shared" si="7"/>
        <v/>
      </c>
      <c r="G110" s="16" t="str">
        <f>IF(E110="","",E110/MAX(E$5:E110)-1)</f>
        <v/>
      </c>
      <c r="H110" s="13" t="str">
        <f>IF(OR('实盘净值数据(iFinD）'!$A110="",'实盘净值数据(iFinD）'!$B110=""),"",分期持仓明细!$AB$19*SUMPRODUCT(分期持仓明细!$B$19:$Y$19,'实盘净值数据(iFinD）'!$B110:$Y110/'实盘净值数据(iFinD）'!$B$20:$Y$20)*(1-实盘持仓初始配置!$Z$6)^(('实盘净值数据(iFinD）'!$A110-'实盘净值数据(iFinD）'!$A$7)/365))</f>
        <v/>
      </c>
      <c r="I110" s="16" t="str">
        <f t="shared" si="8"/>
        <v/>
      </c>
      <c r="J110" s="16" t="str">
        <f>IF(H110="","",H110/MAX(H$5:H110)-1)</f>
        <v/>
      </c>
      <c r="K110" s="13" t="str">
        <f>IF(OR('实盘净值数据(iFinD）'!$A110="",'实盘净值数据(iFinD）'!$B110="",'实盘净值数据(iFinD）'!$Z110="",'实盘净值数据(iFinD）'!$AA110=""),"",分期持仓明细!$AB$23*(SUMPRODUCT(分期持仓明细!$B$23:$Y$23,'实盘净值数据(iFinD）'!$B110:$Y110/'实盘净值数据(iFinD）'!$B$65:$Y$65)+SUMPRODUCT(分期持仓明细!$AC$23:$AD$23,'实盘净值数据(iFinD）'!$Z110:$AA110/'实盘净值数据(iFinD）'!$Z$65:$AA$65))*(1-实盘持仓初始配置!$Z$7)^(('实盘净值数据(iFinD）'!$A110-'实盘净值数据(iFinD）'!$A$8)/365))</f>
        <v/>
      </c>
      <c r="L110" s="16" t="str">
        <f t="shared" si="9"/>
        <v/>
      </c>
      <c r="M110" s="16" t="str">
        <f>IF(K110="","",K110/MAX(K$5:K110)-1)</f>
        <v/>
      </c>
      <c r="N110" s="13" t="str">
        <f>IF(OR('实盘净值数据(iFinD）'!$A110="",'实盘净值数据(iFinD）'!$B110="",'实盘净值数据(iFinD）'!$Z110="",'实盘净值数据(iFinD）'!$AA110=""),"",分期持仓明细!$AB$24*(SUMPRODUCT(分期持仓明细!$B$24:$Y$24,'实盘净值数据(iFinD）'!$B110:$Y110/'实盘净值数据(iFinD）'!$B$65:$Y$65)+SUMPRODUCT(分期持仓明细!$AC$24:$AD$24,'实盘净值数据(iFinD）'!$Z110:$AA110/'实盘净值数据(iFinD）'!$Z$65:$AA$65))*(1-实盘持仓初始配置!$Z$8)^(('实盘净值数据(iFinD）'!$A110-'实盘净值数据(iFinD）'!$A$5)/365))</f>
        <v/>
      </c>
      <c r="O110" s="16" t="str">
        <f t="shared" si="10"/>
        <v/>
      </c>
      <c r="P110" s="16" t="str">
        <f>IF(N110="","",N110/MAX(N$5:N110)-1)</f>
        <v/>
      </c>
      <c r="Q110" s="13" t="str">
        <f>IF(OR('实盘净值数据(iFinD）'!$A110="",'实盘净值数据(iFinD）'!$B110="",'实盘净值数据(iFinD）'!$Z110="",'实盘净值数据(iFinD）'!$AA110=""),"",分期持仓明细!$AB$25*(SUMPRODUCT(分期持仓明细!$B$25:$Y$25,'实盘净值数据(iFinD）'!$B110:$Y110/'实盘净值数据(iFinD）'!$B$65:$Y$65)+SUMPRODUCT(分期持仓明细!$AC$25:$AD$25,'实盘净值数据(iFinD）'!$Z110:$AA110/'实盘净值数据(iFinD）'!$Z$65:$AA$65))*(1-实盘持仓初始配置!$Z$9)^(('实盘净值数据(iFinD）'!$A110-'实盘净值数据(iFinD）'!$A$8)/365))</f>
        <v/>
      </c>
      <c r="R110" s="16" t="str">
        <f t="shared" si="11"/>
        <v/>
      </c>
      <c r="S110" s="16" t="str">
        <f>IF(Q110="","",Q110/MAX(Q$5:Q110)-1)</f>
        <v/>
      </c>
    </row>
    <row r="111" spans="1:19">
      <c r="A111" s="15" t="str">
        <f>IF('实盘净值数据(iFinD）'!A111="","",'实盘净值数据(iFinD）'!A111)</f>
        <v/>
      </c>
      <c r="B111" s="13" t="str">
        <f>IF(OR('实盘净值数据(iFinD）'!$A111="",'实盘净值数据(iFinD）'!$B111=""),"",分期持仓明细!$AB$17*SUMPRODUCT(分期持仓明细!$B$17:$Y$17,'实盘净值数据(iFinD）'!$B111:$Y111/'实盘净值数据(iFinD）'!$B$20:$Y$20)*(1-实盘持仓初始配置!$Z$4)^(('实盘净值数据(iFinD）'!$A111-'实盘净值数据(iFinD）'!$A$6)/365))</f>
        <v/>
      </c>
      <c r="C111" s="16" t="str">
        <f t="shared" si="6"/>
        <v/>
      </c>
      <c r="D111" s="16" t="str">
        <f>IF(B111="","",B111/MAX(B$5:B111)-1)</f>
        <v/>
      </c>
      <c r="E111" s="13" t="str">
        <f>IF(OR('实盘净值数据(iFinD）'!$A111="",'实盘净值数据(iFinD）'!$B111=""),"",分期持仓明细!$AB$18*SUMPRODUCT(分期持仓明细!$B$18:$Y$18,'实盘净值数据(iFinD）'!$B111:$Y111/'实盘净值数据(iFinD）'!$B$20:$Y$20)*(1-实盘持仓初始配置!$Z$5)^(('实盘净值数据(iFinD）'!$A111-'实盘净值数据(iFinD）'!$A$5)/365))</f>
        <v/>
      </c>
      <c r="F111" s="16" t="str">
        <f t="shared" si="7"/>
        <v/>
      </c>
      <c r="G111" s="16" t="str">
        <f>IF(E111="","",E111/MAX(E$5:E111)-1)</f>
        <v/>
      </c>
      <c r="H111" s="13" t="str">
        <f>IF(OR('实盘净值数据(iFinD）'!$A111="",'实盘净值数据(iFinD）'!$B111=""),"",分期持仓明细!$AB$19*SUMPRODUCT(分期持仓明细!$B$19:$Y$19,'实盘净值数据(iFinD）'!$B111:$Y111/'实盘净值数据(iFinD）'!$B$20:$Y$20)*(1-实盘持仓初始配置!$Z$6)^(('实盘净值数据(iFinD）'!$A111-'实盘净值数据(iFinD）'!$A$7)/365))</f>
        <v/>
      </c>
      <c r="I111" s="16" t="str">
        <f t="shared" si="8"/>
        <v/>
      </c>
      <c r="J111" s="16" t="str">
        <f>IF(H111="","",H111/MAX(H$5:H111)-1)</f>
        <v/>
      </c>
      <c r="K111" s="13" t="str">
        <f>IF(OR('实盘净值数据(iFinD）'!$A111="",'实盘净值数据(iFinD）'!$B111="",'实盘净值数据(iFinD）'!$Z111="",'实盘净值数据(iFinD）'!$AA111=""),"",分期持仓明细!$AB$23*(SUMPRODUCT(分期持仓明细!$B$23:$Y$23,'实盘净值数据(iFinD）'!$B111:$Y111/'实盘净值数据(iFinD）'!$B$65:$Y$65)+SUMPRODUCT(分期持仓明细!$AC$23:$AD$23,'实盘净值数据(iFinD）'!$Z111:$AA111/'实盘净值数据(iFinD）'!$Z$65:$AA$65))*(1-实盘持仓初始配置!$Z$7)^(('实盘净值数据(iFinD）'!$A111-'实盘净值数据(iFinD）'!$A$8)/365))</f>
        <v/>
      </c>
      <c r="L111" s="16" t="str">
        <f t="shared" si="9"/>
        <v/>
      </c>
      <c r="M111" s="16" t="str">
        <f>IF(K111="","",K111/MAX(K$5:K111)-1)</f>
        <v/>
      </c>
      <c r="N111" s="13" t="str">
        <f>IF(OR('实盘净值数据(iFinD）'!$A111="",'实盘净值数据(iFinD）'!$B111="",'实盘净值数据(iFinD）'!$Z111="",'实盘净值数据(iFinD）'!$AA111=""),"",分期持仓明细!$AB$24*(SUMPRODUCT(分期持仓明细!$B$24:$Y$24,'实盘净值数据(iFinD）'!$B111:$Y111/'实盘净值数据(iFinD）'!$B$65:$Y$65)+SUMPRODUCT(分期持仓明细!$AC$24:$AD$24,'实盘净值数据(iFinD）'!$Z111:$AA111/'实盘净值数据(iFinD）'!$Z$65:$AA$65))*(1-实盘持仓初始配置!$Z$8)^(('实盘净值数据(iFinD）'!$A111-'实盘净值数据(iFinD）'!$A$5)/365))</f>
        <v/>
      </c>
      <c r="O111" s="16" t="str">
        <f t="shared" si="10"/>
        <v/>
      </c>
      <c r="P111" s="16" t="str">
        <f>IF(N111="","",N111/MAX(N$5:N111)-1)</f>
        <v/>
      </c>
      <c r="Q111" s="13" t="str">
        <f>IF(OR('实盘净值数据(iFinD）'!$A111="",'实盘净值数据(iFinD）'!$B111="",'实盘净值数据(iFinD）'!$Z111="",'实盘净值数据(iFinD）'!$AA111=""),"",分期持仓明细!$AB$25*(SUMPRODUCT(分期持仓明细!$B$25:$Y$25,'实盘净值数据(iFinD）'!$B111:$Y111/'实盘净值数据(iFinD）'!$B$65:$Y$65)+SUMPRODUCT(分期持仓明细!$AC$25:$AD$25,'实盘净值数据(iFinD）'!$Z111:$AA111/'实盘净值数据(iFinD）'!$Z$65:$AA$65))*(1-实盘持仓初始配置!$Z$9)^(('实盘净值数据(iFinD）'!$A111-'实盘净值数据(iFinD）'!$A$8)/365))</f>
        <v/>
      </c>
      <c r="R111" s="16" t="str">
        <f t="shared" si="11"/>
        <v/>
      </c>
      <c r="S111" s="16" t="str">
        <f>IF(Q111="","",Q111/MAX(Q$5:Q111)-1)</f>
        <v/>
      </c>
    </row>
    <row r="112" spans="1:19">
      <c r="A112" s="15" t="str">
        <f>IF('实盘净值数据(iFinD）'!A112="","",'实盘净值数据(iFinD）'!A112)</f>
        <v/>
      </c>
      <c r="B112" s="13" t="str">
        <f>IF(OR('实盘净值数据(iFinD）'!$A112="",'实盘净值数据(iFinD）'!$B112=""),"",分期持仓明细!$AB$17*SUMPRODUCT(分期持仓明细!$B$17:$Y$17,'实盘净值数据(iFinD）'!$B112:$Y112/'实盘净值数据(iFinD）'!$B$20:$Y$20)*(1-实盘持仓初始配置!$Z$4)^(('实盘净值数据(iFinD）'!$A112-'实盘净值数据(iFinD）'!$A$6)/365))</f>
        <v/>
      </c>
      <c r="C112" s="16" t="str">
        <f t="shared" si="6"/>
        <v/>
      </c>
      <c r="D112" s="16" t="str">
        <f>IF(B112="","",B112/MAX(B$5:B112)-1)</f>
        <v/>
      </c>
      <c r="E112" s="13" t="str">
        <f>IF(OR('实盘净值数据(iFinD）'!$A112="",'实盘净值数据(iFinD）'!$B112=""),"",分期持仓明细!$AB$18*SUMPRODUCT(分期持仓明细!$B$18:$Y$18,'实盘净值数据(iFinD）'!$B112:$Y112/'实盘净值数据(iFinD）'!$B$20:$Y$20)*(1-实盘持仓初始配置!$Z$5)^(('实盘净值数据(iFinD）'!$A112-'实盘净值数据(iFinD）'!$A$5)/365))</f>
        <v/>
      </c>
      <c r="F112" s="16" t="str">
        <f t="shared" si="7"/>
        <v/>
      </c>
      <c r="G112" s="16" t="str">
        <f>IF(E112="","",E112/MAX(E$5:E112)-1)</f>
        <v/>
      </c>
      <c r="H112" s="13" t="str">
        <f>IF(OR('实盘净值数据(iFinD）'!$A112="",'实盘净值数据(iFinD）'!$B112=""),"",分期持仓明细!$AB$19*SUMPRODUCT(分期持仓明细!$B$19:$Y$19,'实盘净值数据(iFinD）'!$B112:$Y112/'实盘净值数据(iFinD）'!$B$20:$Y$20)*(1-实盘持仓初始配置!$Z$6)^(('实盘净值数据(iFinD）'!$A112-'实盘净值数据(iFinD）'!$A$7)/365))</f>
        <v/>
      </c>
      <c r="I112" s="16" t="str">
        <f t="shared" si="8"/>
        <v/>
      </c>
      <c r="J112" s="16" t="str">
        <f>IF(H112="","",H112/MAX(H$5:H112)-1)</f>
        <v/>
      </c>
      <c r="K112" s="13" t="str">
        <f>IF(OR('实盘净值数据(iFinD）'!$A112="",'实盘净值数据(iFinD）'!$B112="",'实盘净值数据(iFinD）'!$Z112="",'实盘净值数据(iFinD）'!$AA112=""),"",分期持仓明细!$AB$23*(SUMPRODUCT(分期持仓明细!$B$23:$Y$23,'实盘净值数据(iFinD）'!$B112:$Y112/'实盘净值数据(iFinD）'!$B$65:$Y$65)+SUMPRODUCT(分期持仓明细!$AC$23:$AD$23,'实盘净值数据(iFinD）'!$Z112:$AA112/'实盘净值数据(iFinD）'!$Z$65:$AA$65))*(1-实盘持仓初始配置!$Z$7)^(('实盘净值数据(iFinD）'!$A112-'实盘净值数据(iFinD）'!$A$8)/365))</f>
        <v/>
      </c>
      <c r="L112" s="16" t="str">
        <f t="shared" si="9"/>
        <v/>
      </c>
      <c r="M112" s="16" t="str">
        <f>IF(K112="","",K112/MAX(K$5:K112)-1)</f>
        <v/>
      </c>
      <c r="N112" s="13" t="str">
        <f>IF(OR('实盘净值数据(iFinD）'!$A112="",'实盘净值数据(iFinD）'!$B112="",'实盘净值数据(iFinD）'!$Z112="",'实盘净值数据(iFinD）'!$AA112=""),"",分期持仓明细!$AB$24*(SUMPRODUCT(分期持仓明细!$B$24:$Y$24,'实盘净值数据(iFinD）'!$B112:$Y112/'实盘净值数据(iFinD）'!$B$65:$Y$65)+SUMPRODUCT(分期持仓明细!$AC$24:$AD$24,'实盘净值数据(iFinD）'!$Z112:$AA112/'实盘净值数据(iFinD）'!$Z$65:$AA$65))*(1-实盘持仓初始配置!$Z$8)^(('实盘净值数据(iFinD）'!$A112-'实盘净值数据(iFinD）'!$A$5)/365))</f>
        <v/>
      </c>
      <c r="O112" s="16" t="str">
        <f t="shared" si="10"/>
        <v/>
      </c>
      <c r="P112" s="16" t="str">
        <f>IF(N112="","",N112/MAX(N$5:N112)-1)</f>
        <v/>
      </c>
      <c r="Q112" s="13" t="str">
        <f>IF(OR('实盘净值数据(iFinD）'!$A112="",'实盘净值数据(iFinD）'!$B112="",'实盘净值数据(iFinD）'!$Z112="",'实盘净值数据(iFinD）'!$AA112=""),"",分期持仓明细!$AB$25*(SUMPRODUCT(分期持仓明细!$B$25:$Y$25,'实盘净值数据(iFinD）'!$B112:$Y112/'实盘净值数据(iFinD）'!$B$65:$Y$65)+SUMPRODUCT(分期持仓明细!$AC$25:$AD$25,'实盘净值数据(iFinD）'!$Z112:$AA112/'实盘净值数据(iFinD）'!$Z$65:$AA$65))*(1-实盘持仓初始配置!$Z$9)^(('实盘净值数据(iFinD）'!$A112-'实盘净值数据(iFinD）'!$A$8)/365))</f>
        <v/>
      </c>
      <c r="R112" s="16" t="str">
        <f t="shared" si="11"/>
        <v/>
      </c>
      <c r="S112" s="16" t="str">
        <f>IF(Q112="","",Q112/MAX(Q$5:Q112)-1)</f>
        <v/>
      </c>
    </row>
    <row r="113" spans="1:19">
      <c r="A113" s="15" t="str">
        <f>IF('实盘净值数据(iFinD）'!A113="","",'实盘净值数据(iFinD）'!A113)</f>
        <v/>
      </c>
      <c r="B113" s="13" t="str">
        <f>IF(OR('实盘净值数据(iFinD）'!$A113="",'实盘净值数据(iFinD）'!$B113=""),"",分期持仓明细!$AB$17*SUMPRODUCT(分期持仓明细!$B$17:$Y$17,'实盘净值数据(iFinD）'!$B113:$Y113/'实盘净值数据(iFinD）'!$B$20:$Y$20)*(1-实盘持仓初始配置!$Z$4)^(('实盘净值数据(iFinD）'!$A113-'实盘净值数据(iFinD）'!$A$6)/365))</f>
        <v/>
      </c>
      <c r="C113" s="16" t="str">
        <f t="shared" si="6"/>
        <v/>
      </c>
      <c r="D113" s="16" t="str">
        <f>IF(B113="","",B113/MAX(B$5:B113)-1)</f>
        <v/>
      </c>
      <c r="E113" s="13" t="str">
        <f>IF(OR('实盘净值数据(iFinD）'!$A113="",'实盘净值数据(iFinD）'!$B113=""),"",分期持仓明细!$AB$18*SUMPRODUCT(分期持仓明细!$B$18:$Y$18,'实盘净值数据(iFinD）'!$B113:$Y113/'实盘净值数据(iFinD）'!$B$20:$Y$20)*(1-实盘持仓初始配置!$Z$5)^(('实盘净值数据(iFinD）'!$A113-'实盘净值数据(iFinD）'!$A$5)/365))</f>
        <v/>
      </c>
      <c r="F113" s="16" t="str">
        <f t="shared" si="7"/>
        <v/>
      </c>
      <c r="G113" s="16" t="str">
        <f>IF(E113="","",E113/MAX(E$5:E113)-1)</f>
        <v/>
      </c>
      <c r="H113" s="13" t="str">
        <f>IF(OR('实盘净值数据(iFinD）'!$A113="",'实盘净值数据(iFinD）'!$B113=""),"",分期持仓明细!$AB$19*SUMPRODUCT(分期持仓明细!$B$19:$Y$19,'实盘净值数据(iFinD）'!$B113:$Y113/'实盘净值数据(iFinD）'!$B$20:$Y$20)*(1-实盘持仓初始配置!$Z$6)^(('实盘净值数据(iFinD）'!$A113-'实盘净值数据(iFinD）'!$A$7)/365))</f>
        <v/>
      </c>
      <c r="I113" s="16" t="str">
        <f t="shared" si="8"/>
        <v/>
      </c>
      <c r="J113" s="16" t="str">
        <f>IF(H113="","",H113/MAX(H$5:H113)-1)</f>
        <v/>
      </c>
      <c r="K113" s="13" t="str">
        <f>IF(OR('实盘净值数据(iFinD）'!$A113="",'实盘净值数据(iFinD）'!$B113="",'实盘净值数据(iFinD）'!$Z113="",'实盘净值数据(iFinD）'!$AA113=""),"",分期持仓明细!$AB$23*(SUMPRODUCT(分期持仓明细!$B$23:$Y$23,'实盘净值数据(iFinD）'!$B113:$Y113/'实盘净值数据(iFinD）'!$B$65:$Y$65)+SUMPRODUCT(分期持仓明细!$AC$23:$AD$23,'实盘净值数据(iFinD）'!$Z113:$AA113/'实盘净值数据(iFinD）'!$Z$65:$AA$65))*(1-实盘持仓初始配置!$Z$7)^(('实盘净值数据(iFinD）'!$A113-'实盘净值数据(iFinD）'!$A$8)/365))</f>
        <v/>
      </c>
      <c r="L113" s="16" t="str">
        <f t="shared" si="9"/>
        <v/>
      </c>
      <c r="M113" s="16" t="str">
        <f>IF(K113="","",K113/MAX(K$5:K113)-1)</f>
        <v/>
      </c>
      <c r="N113" s="13" t="str">
        <f>IF(OR('实盘净值数据(iFinD）'!$A113="",'实盘净值数据(iFinD）'!$B113="",'实盘净值数据(iFinD）'!$Z113="",'实盘净值数据(iFinD）'!$AA113=""),"",分期持仓明细!$AB$24*(SUMPRODUCT(分期持仓明细!$B$24:$Y$24,'实盘净值数据(iFinD）'!$B113:$Y113/'实盘净值数据(iFinD）'!$B$65:$Y$65)+SUMPRODUCT(分期持仓明细!$AC$24:$AD$24,'实盘净值数据(iFinD）'!$Z113:$AA113/'实盘净值数据(iFinD）'!$Z$65:$AA$65))*(1-实盘持仓初始配置!$Z$8)^(('实盘净值数据(iFinD）'!$A113-'实盘净值数据(iFinD）'!$A$5)/365))</f>
        <v/>
      </c>
      <c r="O113" s="16" t="str">
        <f t="shared" si="10"/>
        <v/>
      </c>
      <c r="P113" s="16" t="str">
        <f>IF(N113="","",N113/MAX(N$5:N113)-1)</f>
        <v/>
      </c>
      <c r="Q113" s="13" t="str">
        <f>IF(OR('实盘净值数据(iFinD）'!$A113="",'实盘净值数据(iFinD）'!$B113="",'实盘净值数据(iFinD）'!$Z113="",'实盘净值数据(iFinD）'!$AA113=""),"",分期持仓明细!$AB$25*(SUMPRODUCT(分期持仓明细!$B$25:$Y$25,'实盘净值数据(iFinD）'!$B113:$Y113/'实盘净值数据(iFinD）'!$B$65:$Y$65)+SUMPRODUCT(分期持仓明细!$AC$25:$AD$25,'实盘净值数据(iFinD）'!$Z113:$AA113/'实盘净值数据(iFinD）'!$Z$65:$AA$65))*(1-实盘持仓初始配置!$Z$9)^(('实盘净值数据(iFinD）'!$A113-'实盘净值数据(iFinD）'!$A$8)/365))</f>
        <v/>
      </c>
      <c r="R113" s="16" t="str">
        <f t="shared" si="11"/>
        <v/>
      </c>
      <c r="S113" s="16" t="str">
        <f>IF(Q113="","",Q113/MAX(Q$5:Q113)-1)</f>
        <v/>
      </c>
    </row>
    <row r="114" spans="1:19">
      <c r="A114" s="15" t="str">
        <f>IF('实盘净值数据(iFinD）'!A114="","",'实盘净值数据(iFinD）'!A114)</f>
        <v/>
      </c>
      <c r="B114" s="13" t="str">
        <f>IF(OR('实盘净值数据(iFinD）'!$A114="",'实盘净值数据(iFinD）'!$B114=""),"",分期持仓明细!$AB$17*SUMPRODUCT(分期持仓明细!$B$17:$Y$17,'实盘净值数据(iFinD）'!$B114:$Y114/'实盘净值数据(iFinD）'!$B$20:$Y$20)*(1-实盘持仓初始配置!$Z$4)^(('实盘净值数据(iFinD）'!$A114-'实盘净值数据(iFinD）'!$A$6)/365))</f>
        <v/>
      </c>
      <c r="C114" s="16" t="str">
        <f t="shared" si="6"/>
        <v/>
      </c>
      <c r="D114" s="16" t="str">
        <f>IF(B114="","",B114/MAX(B$5:B114)-1)</f>
        <v/>
      </c>
      <c r="E114" s="13" t="str">
        <f>IF(OR('实盘净值数据(iFinD）'!$A114="",'实盘净值数据(iFinD）'!$B114=""),"",分期持仓明细!$AB$18*SUMPRODUCT(分期持仓明细!$B$18:$Y$18,'实盘净值数据(iFinD）'!$B114:$Y114/'实盘净值数据(iFinD）'!$B$20:$Y$20)*(1-实盘持仓初始配置!$Z$5)^(('实盘净值数据(iFinD）'!$A114-'实盘净值数据(iFinD）'!$A$5)/365))</f>
        <v/>
      </c>
      <c r="F114" s="16" t="str">
        <f t="shared" si="7"/>
        <v/>
      </c>
      <c r="G114" s="16" t="str">
        <f>IF(E114="","",E114/MAX(E$5:E114)-1)</f>
        <v/>
      </c>
      <c r="H114" s="13" t="str">
        <f>IF(OR('实盘净值数据(iFinD）'!$A114="",'实盘净值数据(iFinD）'!$B114=""),"",分期持仓明细!$AB$19*SUMPRODUCT(分期持仓明细!$B$19:$Y$19,'实盘净值数据(iFinD）'!$B114:$Y114/'实盘净值数据(iFinD）'!$B$20:$Y$20)*(1-实盘持仓初始配置!$Z$6)^(('实盘净值数据(iFinD）'!$A114-'实盘净值数据(iFinD）'!$A$7)/365))</f>
        <v/>
      </c>
      <c r="I114" s="16" t="str">
        <f t="shared" si="8"/>
        <v/>
      </c>
      <c r="J114" s="16" t="str">
        <f>IF(H114="","",H114/MAX(H$5:H114)-1)</f>
        <v/>
      </c>
      <c r="K114" s="13" t="str">
        <f>IF(OR('实盘净值数据(iFinD）'!$A114="",'实盘净值数据(iFinD）'!$B114="",'实盘净值数据(iFinD）'!$Z114="",'实盘净值数据(iFinD）'!$AA114=""),"",分期持仓明细!$AB$23*(SUMPRODUCT(分期持仓明细!$B$23:$Y$23,'实盘净值数据(iFinD）'!$B114:$Y114/'实盘净值数据(iFinD）'!$B$65:$Y$65)+SUMPRODUCT(分期持仓明细!$AC$23:$AD$23,'实盘净值数据(iFinD）'!$Z114:$AA114/'实盘净值数据(iFinD）'!$Z$65:$AA$65))*(1-实盘持仓初始配置!$Z$7)^(('实盘净值数据(iFinD）'!$A114-'实盘净值数据(iFinD）'!$A$8)/365))</f>
        <v/>
      </c>
      <c r="L114" s="16" t="str">
        <f t="shared" si="9"/>
        <v/>
      </c>
      <c r="M114" s="16" t="str">
        <f>IF(K114="","",K114/MAX(K$5:K114)-1)</f>
        <v/>
      </c>
      <c r="N114" s="13" t="str">
        <f>IF(OR('实盘净值数据(iFinD）'!$A114="",'实盘净值数据(iFinD）'!$B114="",'实盘净值数据(iFinD）'!$Z114="",'实盘净值数据(iFinD）'!$AA114=""),"",分期持仓明细!$AB$24*(SUMPRODUCT(分期持仓明细!$B$24:$Y$24,'实盘净值数据(iFinD）'!$B114:$Y114/'实盘净值数据(iFinD）'!$B$65:$Y$65)+SUMPRODUCT(分期持仓明细!$AC$24:$AD$24,'实盘净值数据(iFinD）'!$Z114:$AA114/'实盘净值数据(iFinD）'!$Z$65:$AA$65))*(1-实盘持仓初始配置!$Z$8)^(('实盘净值数据(iFinD）'!$A114-'实盘净值数据(iFinD）'!$A$5)/365))</f>
        <v/>
      </c>
      <c r="O114" s="16" t="str">
        <f t="shared" si="10"/>
        <v/>
      </c>
      <c r="P114" s="16" t="str">
        <f>IF(N114="","",N114/MAX(N$5:N114)-1)</f>
        <v/>
      </c>
      <c r="Q114" s="13" t="str">
        <f>IF(OR('实盘净值数据(iFinD）'!$A114="",'实盘净值数据(iFinD）'!$B114="",'实盘净值数据(iFinD）'!$Z114="",'实盘净值数据(iFinD）'!$AA114=""),"",分期持仓明细!$AB$25*(SUMPRODUCT(分期持仓明细!$B$25:$Y$25,'实盘净值数据(iFinD）'!$B114:$Y114/'实盘净值数据(iFinD）'!$B$65:$Y$65)+SUMPRODUCT(分期持仓明细!$AC$25:$AD$25,'实盘净值数据(iFinD）'!$Z114:$AA114/'实盘净值数据(iFinD）'!$Z$65:$AA$65))*(1-实盘持仓初始配置!$Z$9)^(('实盘净值数据(iFinD）'!$A114-'实盘净值数据(iFinD）'!$A$8)/365))</f>
        <v/>
      </c>
      <c r="R114" s="16" t="str">
        <f t="shared" si="11"/>
        <v/>
      </c>
      <c r="S114" s="16" t="str">
        <f>IF(Q114="","",Q114/MAX(Q$5:Q114)-1)</f>
        <v/>
      </c>
    </row>
    <row r="115" spans="1:19">
      <c r="A115" s="15" t="str">
        <f>IF('实盘净值数据(iFinD）'!A115="","",'实盘净值数据(iFinD）'!A115)</f>
        <v/>
      </c>
      <c r="B115" s="13" t="str">
        <f>IF(OR('实盘净值数据(iFinD）'!$A115="",'实盘净值数据(iFinD）'!$B115=""),"",分期持仓明细!$AB$17*SUMPRODUCT(分期持仓明细!$B$17:$Y$17,'实盘净值数据(iFinD）'!$B115:$Y115/'实盘净值数据(iFinD）'!$B$20:$Y$20)*(1-实盘持仓初始配置!$Z$4)^(('实盘净值数据(iFinD）'!$A115-'实盘净值数据(iFinD）'!$A$6)/365))</f>
        <v/>
      </c>
      <c r="C115" s="16" t="str">
        <f t="shared" si="6"/>
        <v/>
      </c>
      <c r="D115" s="16" t="str">
        <f>IF(B115="","",B115/MAX(B$5:B115)-1)</f>
        <v/>
      </c>
      <c r="E115" s="13" t="str">
        <f>IF(OR('实盘净值数据(iFinD）'!$A115="",'实盘净值数据(iFinD）'!$B115=""),"",分期持仓明细!$AB$18*SUMPRODUCT(分期持仓明细!$B$18:$Y$18,'实盘净值数据(iFinD）'!$B115:$Y115/'实盘净值数据(iFinD）'!$B$20:$Y$20)*(1-实盘持仓初始配置!$Z$5)^(('实盘净值数据(iFinD）'!$A115-'实盘净值数据(iFinD）'!$A$5)/365))</f>
        <v/>
      </c>
      <c r="F115" s="16" t="str">
        <f t="shared" si="7"/>
        <v/>
      </c>
      <c r="G115" s="16" t="str">
        <f>IF(E115="","",E115/MAX(E$5:E115)-1)</f>
        <v/>
      </c>
      <c r="H115" s="13" t="str">
        <f>IF(OR('实盘净值数据(iFinD）'!$A115="",'实盘净值数据(iFinD）'!$B115=""),"",分期持仓明细!$AB$19*SUMPRODUCT(分期持仓明细!$B$19:$Y$19,'实盘净值数据(iFinD）'!$B115:$Y115/'实盘净值数据(iFinD）'!$B$20:$Y$20)*(1-实盘持仓初始配置!$Z$6)^(('实盘净值数据(iFinD）'!$A115-'实盘净值数据(iFinD）'!$A$7)/365))</f>
        <v/>
      </c>
      <c r="I115" s="16" t="str">
        <f t="shared" si="8"/>
        <v/>
      </c>
      <c r="J115" s="16" t="str">
        <f>IF(H115="","",H115/MAX(H$5:H115)-1)</f>
        <v/>
      </c>
      <c r="K115" s="13" t="str">
        <f>IF(OR('实盘净值数据(iFinD）'!$A115="",'实盘净值数据(iFinD）'!$B115="",'实盘净值数据(iFinD）'!$Z115="",'实盘净值数据(iFinD）'!$AA115=""),"",分期持仓明细!$AB$23*(SUMPRODUCT(分期持仓明细!$B$23:$Y$23,'实盘净值数据(iFinD）'!$B115:$Y115/'实盘净值数据(iFinD）'!$B$65:$Y$65)+SUMPRODUCT(分期持仓明细!$AC$23:$AD$23,'实盘净值数据(iFinD）'!$Z115:$AA115/'实盘净值数据(iFinD）'!$Z$65:$AA$65))*(1-实盘持仓初始配置!$Z$7)^(('实盘净值数据(iFinD）'!$A115-'实盘净值数据(iFinD）'!$A$8)/365))</f>
        <v/>
      </c>
      <c r="L115" s="16" t="str">
        <f t="shared" si="9"/>
        <v/>
      </c>
      <c r="M115" s="16" t="str">
        <f>IF(K115="","",K115/MAX(K$5:K115)-1)</f>
        <v/>
      </c>
      <c r="N115" s="13" t="str">
        <f>IF(OR('实盘净值数据(iFinD）'!$A115="",'实盘净值数据(iFinD）'!$B115="",'实盘净值数据(iFinD）'!$Z115="",'实盘净值数据(iFinD）'!$AA115=""),"",分期持仓明细!$AB$24*(SUMPRODUCT(分期持仓明细!$B$24:$Y$24,'实盘净值数据(iFinD）'!$B115:$Y115/'实盘净值数据(iFinD）'!$B$65:$Y$65)+SUMPRODUCT(分期持仓明细!$AC$24:$AD$24,'实盘净值数据(iFinD）'!$Z115:$AA115/'实盘净值数据(iFinD）'!$Z$65:$AA$65))*(1-实盘持仓初始配置!$Z$8)^(('实盘净值数据(iFinD）'!$A115-'实盘净值数据(iFinD）'!$A$5)/365))</f>
        <v/>
      </c>
      <c r="O115" s="16" t="str">
        <f t="shared" si="10"/>
        <v/>
      </c>
      <c r="P115" s="16" t="str">
        <f>IF(N115="","",N115/MAX(N$5:N115)-1)</f>
        <v/>
      </c>
      <c r="Q115" s="13" t="str">
        <f>IF(OR('实盘净值数据(iFinD）'!$A115="",'实盘净值数据(iFinD）'!$B115="",'实盘净值数据(iFinD）'!$Z115="",'实盘净值数据(iFinD）'!$AA115=""),"",分期持仓明细!$AB$25*(SUMPRODUCT(分期持仓明细!$B$25:$Y$25,'实盘净值数据(iFinD）'!$B115:$Y115/'实盘净值数据(iFinD）'!$B$65:$Y$65)+SUMPRODUCT(分期持仓明细!$AC$25:$AD$25,'实盘净值数据(iFinD）'!$Z115:$AA115/'实盘净值数据(iFinD）'!$Z$65:$AA$65))*(1-实盘持仓初始配置!$Z$9)^(('实盘净值数据(iFinD）'!$A115-'实盘净值数据(iFinD）'!$A$8)/365))</f>
        <v/>
      </c>
      <c r="R115" s="16" t="str">
        <f t="shared" si="11"/>
        <v/>
      </c>
      <c r="S115" s="16" t="str">
        <f>IF(Q115="","",Q115/MAX(Q$5:Q115)-1)</f>
        <v/>
      </c>
    </row>
    <row r="116" spans="1:19">
      <c r="A116" s="15" t="str">
        <f>IF('实盘净值数据(iFinD）'!A116="","",'实盘净值数据(iFinD）'!A116)</f>
        <v/>
      </c>
      <c r="B116" s="13" t="str">
        <f>IF(OR('实盘净值数据(iFinD）'!$A116="",'实盘净值数据(iFinD）'!$B116=""),"",分期持仓明细!$AB$17*SUMPRODUCT(分期持仓明细!$B$17:$Y$17,'实盘净值数据(iFinD）'!$B116:$Y116/'实盘净值数据(iFinD）'!$B$20:$Y$20)*(1-实盘持仓初始配置!$Z$4)^(('实盘净值数据(iFinD）'!$A116-'实盘净值数据(iFinD）'!$A$6)/365))</f>
        <v/>
      </c>
      <c r="C116" s="16" t="str">
        <f t="shared" si="6"/>
        <v/>
      </c>
      <c r="D116" s="16" t="str">
        <f>IF(B116="","",B116/MAX(B$5:B116)-1)</f>
        <v/>
      </c>
      <c r="E116" s="13" t="str">
        <f>IF(OR('实盘净值数据(iFinD）'!$A116="",'实盘净值数据(iFinD）'!$B116=""),"",分期持仓明细!$AB$18*SUMPRODUCT(分期持仓明细!$B$18:$Y$18,'实盘净值数据(iFinD）'!$B116:$Y116/'实盘净值数据(iFinD）'!$B$20:$Y$20)*(1-实盘持仓初始配置!$Z$5)^(('实盘净值数据(iFinD）'!$A116-'实盘净值数据(iFinD）'!$A$5)/365))</f>
        <v/>
      </c>
      <c r="F116" s="16" t="str">
        <f t="shared" si="7"/>
        <v/>
      </c>
      <c r="G116" s="16" t="str">
        <f>IF(E116="","",E116/MAX(E$5:E116)-1)</f>
        <v/>
      </c>
      <c r="H116" s="13" t="str">
        <f>IF(OR('实盘净值数据(iFinD）'!$A116="",'实盘净值数据(iFinD）'!$B116=""),"",分期持仓明细!$AB$19*SUMPRODUCT(分期持仓明细!$B$19:$Y$19,'实盘净值数据(iFinD）'!$B116:$Y116/'实盘净值数据(iFinD）'!$B$20:$Y$20)*(1-实盘持仓初始配置!$Z$6)^(('实盘净值数据(iFinD）'!$A116-'实盘净值数据(iFinD）'!$A$7)/365))</f>
        <v/>
      </c>
      <c r="I116" s="16" t="str">
        <f t="shared" si="8"/>
        <v/>
      </c>
      <c r="J116" s="16" t="str">
        <f>IF(H116="","",H116/MAX(H$5:H116)-1)</f>
        <v/>
      </c>
      <c r="K116" s="13" t="str">
        <f>IF(OR('实盘净值数据(iFinD）'!$A116="",'实盘净值数据(iFinD）'!$B116="",'实盘净值数据(iFinD）'!$Z116="",'实盘净值数据(iFinD）'!$AA116=""),"",分期持仓明细!$AB$23*(SUMPRODUCT(分期持仓明细!$B$23:$Y$23,'实盘净值数据(iFinD）'!$B116:$Y116/'实盘净值数据(iFinD）'!$B$65:$Y$65)+SUMPRODUCT(分期持仓明细!$AC$23:$AD$23,'实盘净值数据(iFinD）'!$Z116:$AA116/'实盘净值数据(iFinD）'!$Z$65:$AA$65))*(1-实盘持仓初始配置!$Z$7)^(('实盘净值数据(iFinD）'!$A116-'实盘净值数据(iFinD）'!$A$8)/365))</f>
        <v/>
      </c>
      <c r="L116" s="16" t="str">
        <f t="shared" si="9"/>
        <v/>
      </c>
      <c r="M116" s="16" t="str">
        <f>IF(K116="","",K116/MAX(K$5:K116)-1)</f>
        <v/>
      </c>
      <c r="N116" s="13" t="str">
        <f>IF(OR('实盘净值数据(iFinD）'!$A116="",'实盘净值数据(iFinD）'!$B116="",'实盘净值数据(iFinD）'!$Z116="",'实盘净值数据(iFinD）'!$AA116=""),"",分期持仓明细!$AB$24*(SUMPRODUCT(分期持仓明细!$B$24:$Y$24,'实盘净值数据(iFinD）'!$B116:$Y116/'实盘净值数据(iFinD）'!$B$65:$Y$65)+SUMPRODUCT(分期持仓明细!$AC$24:$AD$24,'实盘净值数据(iFinD）'!$Z116:$AA116/'实盘净值数据(iFinD）'!$Z$65:$AA$65))*(1-实盘持仓初始配置!$Z$8)^(('实盘净值数据(iFinD）'!$A116-'实盘净值数据(iFinD）'!$A$5)/365))</f>
        <v/>
      </c>
      <c r="O116" s="16" t="str">
        <f t="shared" si="10"/>
        <v/>
      </c>
      <c r="P116" s="16" t="str">
        <f>IF(N116="","",N116/MAX(N$5:N116)-1)</f>
        <v/>
      </c>
      <c r="Q116" s="13" t="str">
        <f>IF(OR('实盘净值数据(iFinD）'!$A116="",'实盘净值数据(iFinD）'!$B116="",'实盘净值数据(iFinD）'!$Z116="",'实盘净值数据(iFinD）'!$AA116=""),"",分期持仓明细!$AB$25*(SUMPRODUCT(分期持仓明细!$B$25:$Y$25,'实盘净值数据(iFinD）'!$B116:$Y116/'实盘净值数据(iFinD）'!$B$65:$Y$65)+SUMPRODUCT(分期持仓明细!$AC$25:$AD$25,'实盘净值数据(iFinD）'!$Z116:$AA116/'实盘净值数据(iFinD）'!$Z$65:$AA$65))*(1-实盘持仓初始配置!$Z$9)^(('实盘净值数据(iFinD）'!$A116-'实盘净值数据(iFinD）'!$A$8)/365))</f>
        <v/>
      </c>
      <c r="R116" s="16" t="str">
        <f t="shared" si="11"/>
        <v/>
      </c>
      <c r="S116" s="16" t="str">
        <f>IF(Q116="","",Q116/MAX(Q$5:Q116)-1)</f>
        <v/>
      </c>
    </row>
    <row r="117" spans="1:19">
      <c r="A117" s="15" t="str">
        <f>IF('实盘净值数据(iFinD）'!A117="","",'实盘净值数据(iFinD）'!A117)</f>
        <v/>
      </c>
      <c r="B117" s="13" t="str">
        <f>IF(OR('实盘净值数据(iFinD）'!$A117="",'实盘净值数据(iFinD）'!$B117=""),"",分期持仓明细!$AB$17*SUMPRODUCT(分期持仓明细!$B$17:$Y$17,'实盘净值数据(iFinD）'!$B117:$Y117/'实盘净值数据(iFinD）'!$B$20:$Y$20)*(1-实盘持仓初始配置!$Z$4)^(('实盘净值数据(iFinD）'!$A117-'实盘净值数据(iFinD）'!$A$6)/365))</f>
        <v/>
      </c>
      <c r="C117" s="16" t="str">
        <f t="shared" si="6"/>
        <v/>
      </c>
      <c r="D117" s="16" t="str">
        <f>IF(B117="","",B117/MAX(B$5:B117)-1)</f>
        <v/>
      </c>
      <c r="E117" s="13" t="str">
        <f>IF(OR('实盘净值数据(iFinD）'!$A117="",'实盘净值数据(iFinD）'!$B117=""),"",分期持仓明细!$AB$18*SUMPRODUCT(分期持仓明细!$B$18:$Y$18,'实盘净值数据(iFinD）'!$B117:$Y117/'实盘净值数据(iFinD）'!$B$20:$Y$20)*(1-实盘持仓初始配置!$Z$5)^(('实盘净值数据(iFinD）'!$A117-'实盘净值数据(iFinD）'!$A$5)/365))</f>
        <v/>
      </c>
      <c r="F117" s="16" t="str">
        <f t="shared" si="7"/>
        <v/>
      </c>
      <c r="G117" s="16" t="str">
        <f>IF(E117="","",E117/MAX(E$5:E117)-1)</f>
        <v/>
      </c>
      <c r="H117" s="13" t="str">
        <f>IF(OR('实盘净值数据(iFinD）'!$A117="",'实盘净值数据(iFinD）'!$B117=""),"",分期持仓明细!$AB$19*SUMPRODUCT(分期持仓明细!$B$19:$Y$19,'实盘净值数据(iFinD）'!$B117:$Y117/'实盘净值数据(iFinD）'!$B$20:$Y$20)*(1-实盘持仓初始配置!$Z$6)^(('实盘净值数据(iFinD）'!$A117-'实盘净值数据(iFinD）'!$A$7)/365))</f>
        <v/>
      </c>
      <c r="I117" s="16" t="str">
        <f t="shared" si="8"/>
        <v/>
      </c>
      <c r="J117" s="16" t="str">
        <f>IF(H117="","",H117/MAX(H$5:H117)-1)</f>
        <v/>
      </c>
      <c r="K117" s="13" t="str">
        <f>IF(OR('实盘净值数据(iFinD）'!$A117="",'实盘净值数据(iFinD）'!$B117="",'实盘净值数据(iFinD）'!$Z117="",'实盘净值数据(iFinD）'!$AA117=""),"",分期持仓明细!$AB$23*(SUMPRODUCT(分期持仓明细!$B$23:$Y$23,'实盘净值数据(iFinD）'!$B117:$Y117/'实盘净值数据(iFinD）'!$B$65:$Y$65)+SUMPRODUCT(分期持仓明细!$AC$23:$AD$23,'实盘净值数据(iFinD）'!$Z117:$AA117/'实盘净值数据(iFinD）'!$Z$65:$AA$65))*(1-实盘持仓初始配置!$Z$7)^(('实盘净值数据(iFinD）'!$A117-'实盘净值数据(iFinD）'!$A$8)/365))</f>
        <v/>
      </c>
      <c r="L117" s="16" t="str">
        <f t="shared" si="9"/>
        <v/>
      </c>
      <c r="M117" s="16" t="str">
        <f>IF(K117="","",K117/MAX(K$5:K117)-1)</f>
        <v/>
      </c>
      <c r="N117" s="13" t="str">
        <f>IF(OR('实盘净值数据(iFinD）'!$A117="",'实盘净值数据(iFinD）'!$B117="",'实盘净值数据(iFinD）'!$Z117="",'实盘净值数据(iFinD）'!$AA117=""),"",分期持仓明细!$AB$24*(SUMPRODUCT(分期持仓明细!$B$24:$Y$24,'实盘净值数据(iFinD）'!$B117:$Y117/'实盘净值数据(iFinD）'!$B$65:$Y$65)+SUMPRODUCT(分期持仓明细!$AC$24:$AD$24,'实盘净值数据(iFinD）'!$Z117:$AA117/'实盘净值数据(iFinD）'!$Z$65:$AA$65))*(1-实盘持仓初始配置!$Z$8)^(('实盘净值数据(iFinD）'!$A117-'实盘净值数据(iFinD）'!$A$5)/365))</f>
        <v/>
      </c>
      <c r="O117" s="16" t="str">
        <f t="shared" si="10"/>
        <v/>
      </c>
      <c r="P117" s="16" t="str">
        <f>IF(N117="","",N117/MAX(N$5:N117)-1)</f>
        <v/>
      </c>
      <c r="Q117" s="13" t="str">
        <f>IF(OR('实盘净值数据(iFinD）'!$A117="",'实盘净值数据(iFinD）'!$B117="",'实盘净值数据(iFinD）'!$Z117="",'实盘净值数据(iFinD）'!$AA117=""),"",分期持仓明细!$AB$25*(SUMPRODUCT(分期持仓明细!$B$25:$Y$25,'实盘净值数据(iFinD）'!$B117:$Y117/'实盘净值数据(iFinD）'!$B$65:$Y$65)+SUMPRODUCT(分期持仓明细!$AC$25:$AD$25,'实盘净值数据(iFinD）'!$Z117:$AA117/'实盘净值数据(iFinD）'!$Z$65:$AA$65))*(1-实盘持仓初始配置!$Z$9)^(('实盘净值数据(iFinD）'!$A117-'实盘净值数据(iFinD）'!$A$8)/365))</f>
        <v/>
      </c>
      <c r="R117" s="16" t="str">
        <f t="shared" si="11"/>
        <v/>
      </c>
      <c r="S117" s="16" t="str">
        <f>IF(Q117="","",Q117/MAX(Q$5:Q117)-1)</f>
        <v/>
      </c>
    </row>
    <row r="118" spans="1:19">
      <c r="A118" s="15" t="str">
        <f>IF('实盘净值数据(iFinD）'!A118="","",'实盘净值数据(iFinD）'!A118)</f>
        <v/>
      </c>
      <c r="B118" s="13" t="str">
        <f>IF(OR('实盘净值数据(iFinD）'!$A118="",'实盘净值数据(iFinD）'!$B118=""),"",分期持仓明细!$AB$17*SUMPRODUCT(分期持仓明细!$B$17:$Y$17,'实盘净值数据(iFinD）'!$B118:$Y118/'实盘净值数据(iFinD）'!$B$20:$Y$20)*(1-实盘持仓初始配置!$Z$4)^(('实盘净值数据(iFinD）'!$A118-'实盘净值数据(iFinD）'!$A$6)/365))</f>
        <v/>
      </c>
      <c r="C118" s="16" t="str">
        <f t="shared" si="6"/>
        <v/>
      </c>
      <c r="D118" s="16" t="str">
        <f>IF(B118="","",B118/MAX(B$5:B118)-1)</f>
        <v/>
      </c>
      <c r="E118" s="13" t="str">
        <f>IF(OR('实盘净值数据(iFinD）'!$A118="",'实盘净值数据(iFinD）'!$B118=""),"",分期持仓明细!$AB$18*SUMPRODUCT(分期持仓明细!$B$18:$Y$18,'实盘净值数据(iFinD）'!$B118:$Y118/'实盘净值数据(iFinD）'!$B$20:$Y$20)*(1-实盘持仓初始配置!$Z$5)^(('实盘净值数据(iFinD）'!$A118-'实盘净值数据(iFinD）'!$A$5)/365))</f>
        <v/>
      </c>
      <c r="F118" s="16" t="str">
        <f t="shared" si="7"/>
        <v/>
      </c>
      <c r="G118" s="16" t="str">
        <f>IF(E118="","",E118/MAX(E$5:E118)-1)</f>
        <v/>
      </c>
      <c r="H118" s="13" t="str">
        <f>IF(OR('实盘净值数据(iFinD）'!$A118="",'实盘净值数据(iFinD）'!$B118=""),"",分期持仓明细!$AB$19*SUMPRODUCT(分期持仓明细!$B$19:$Y$19,'实盘净值数据(iFinD）'!$B118:$Y118/'实盘净值数据(iFinD）'!$B$20:$Y$20)*(1-实盘持仓初始配置!$Z$6)^(('实盘净值数据(iFinD）'!$A118-'实盘净值数据(iFinD）'!$A$7)/365))</f>
        <v/>
      </c>
      <c r="I118" s="16" t="str">
        <f t="shared" si="8"/>
        <v/>
      </c>
      <c r="J118" s="16" t="str">
        <f>IF(H118="","",H118/MAX(H$5:H118)-1)</f>
        <v/>
      </c>
      <c r="K118" s="13" t="str">
        <f>IF(OR('实盘净值数据(iFinD）'!$A118="",'实盘净值数据(iFinD）'!$B118="",'实盘净值数据(iFinD）'!$Z118="",'实盘净值数据(iFinD）'!$AA118=""),"",分期持仓明细!$AB$23*(SUMPRODUCT(分期持仓明细!$B$23:$Y$23,'实盘净值数据(iFinD）'!$B118:$Y118/'实盘净值数据(iFinD）'!$B$65:$Y$65)+SUMPRODUCT(分期持仓明细!$AC$23:$AD$23,'实盘净值数据(iFinD）'!$Z118:$AA118/'实盘净值数据(iFinD）'!$Z$65:$AA$65))*(1-实盘持仓初始配置!$Z$7)^(('实盘净值数据(iFinD）'!$A118-'实盘净值数据(iFinD）'!$A$8)/365))</f>
        <v/>
      </c>
      <c r="L118" s="16" t="str">
        <f t="shared" si="9"/>
        <v/>
      </c>
      <c r="M118" s="16" t="str">
        <f>IF(K118="","",K118/MAX(K$5:K118)-1)</f>
        <v/>
      </c>
      <c r="N118" s="13" t="str">
        <f>IF(OR('实盘净值数据(iFinD）'!$A118="",'实盘净值数据(iFinD）'!$B118="",'实盘净值数据(iFinD）'!$Z118="",'实盘净值数据(iFinD）'!$AA118=""),"",分期持仓明细!$AB$24*(SUMPRODUCT(分期持仓明细!$B$24:$Y$24,'实盘净值数据(iFinD）'!$B118:$Y118/'实盘净值数据(iFinD）'!$B$65:$Y$65)+SUMPRODUCT(分期持仓明细!$AC$24:$AD$24,'实盘净值数据(iFinD）'!$Z118:$AA118/'实盘净值数据(iFinD）'!$Z$65:$AA$65))*(1-实盘持仓初始配置!$Z$8)^(('实盘净值数据(iFinD）'!$A118-'实盘净值数据(iFinD）'!$A$5)/365))</f>
        <v/>
      </c>
      <c r="O118" s="16" t="str">
        <f t="shared" si="10"/>
        <v/>
      </c>
      <c r="P118" s="16" t="str">
        <f>IF(N118="","",N118/MAX(N$5:N118)-1)</f>
        <v/>
      </c>
      <c r="Q118" s="13" t="str">
        <f>IF(OR('实盘净值数据(iFinD）'!$A118="",'实盘净值数据(iFinD）'!$B118="",'实盘净值数据(iFinD）'!$Z118="",'实盘净值数据(iFinD）'!$AA118=""),"",分期持仓明细!$AB$25*(SUMPRODUCT(分期持仓明细!$B$25:$Y$25,'实盘净值数据(iFinD）'!$B118:$Y118/'实盘净值数据(iFinD）'!$B$65:$Y$65)+SUMPRODUCT(分期持仓明细!$AC$25:$AD$25,'实盘净值数据(iFinD）'!$Z118:$AA118/'实盘净值数据(iFinD）'!$Z$65:$AA$65))*(1-实盘持仓初始配置!$Z$9)^(('实盘净值数据(iFinD）'!$A118-'实盘净值数据(iFinD）'!$A$8)/365))</f>
        <v/>
      </c>
      <c r="R118" s="16" t="str">
        <f t="shared" si="11"/>
        <v/>
      </c>
      <c r="S118" s="16" t="str">
        <f>IF(Q118="","",Q118/MAX(Q$5:Q118)-1)</f>
        <v/>
      </c>
    </row>
    <row r="119" spans="1:19">
      <c r="A119" s="15" t="str">
        <f>IF('实盘净值数据(iFinD）'!A119="","",'实盘净值数据(iFinD）'!A119)</f>
        <v/>
      </c>
      <c r="B119" s="13" t="str">
        <f>IF(OR('实盘净值数据(iFinD）'!$A119="",'实盘净值数据(iFinD）'!$B119=""),"",分期持仓明细!$AB$17*SUMPRODUCT(分期持仓明细!$B$17:$Y$17,'实盘净值数据(iFinD）'!$B119:$Y119/'实盘净值数据(iFinD）'!$B$20:$Y$20)*(1-实盘持仓初始配置!$Z$4)^(('实盘净值数据(iFinD）'!$A119-'实盘净值数据(iFinD）'!$A$6)/365))</f>
        <v/>
      </c>
      <c r="C119" s="16" t="str">
        <f t="shared" si="6"/>
        <v/>
      </c>
      <c r="D119" s="16" t="str">
        <f>IF(B119="","",B119/MAX(B$5:B119)-1)</f>
        <v/>
      </c>
      <c r="E119" s="13" t="str">
        <f>IF(OR('实盘净值数据(iFinD）'!$A119="",'实盘净值数据(iFinD）'!$B119=""),"",分期持仓明细!$AB$18*SUMPRODUCT(分期持仓明细!$B$18:$Y$18,'实盘净值数据(iFinD）'!$B119:$Y119/'实盘净值数据(iFinD）'!$B$20:$Y$20)*(1-实盘持仓初始配置!$Z$5)^(('实盘净值数据(iFinD）'!$A119-'实盘净值数据(iFinD）'!$A$5)/365))</f>
        <v/>
      </c>
      <c r="F119" s="16" t="str">
        <f t="shared" si="7"/>
        <v/>
      </c>
      <c r="G119" s="16" t="str">
        <f>IF(E119="","",E119/MAX(E$5:E119)-1)</f>
        <v/>
      </c>
      <c r="H119" s="13" t="str">
        <f>IF(OR('实盘净值数据(iFinD）'!$A119="",'实盘净值数据(iFinD）'!$B119=""),"",分期持仓明细!$AB$19*SUMPRODUCT(分期持仓明细!$B$19:$Y$19,'实盘净值数据(iFinD）'!$B119:$Y119/'实盘净值数据(iFinD）'!$B$20:$Y$20)*(1-实盘持仓初始配置!$Z$6)^(('实盘净值数据(iFinD）'!$A119-'实盘净值数据(iFinD）'!$A$7)/365))</f>
        <v/>
      </c>
      <c r="I119" s="16" t="str">
        <f t="shared" si="8"/>
        <v/>
      </c>
      <c r="J119" s="16" t="str">
        <f>IF(H119="","",H119/MAX(H$5:H119)-1)</f>
        <v/>
      </c>
      <c r="K119" s="13" t="str">
        <f>IF(OR('实盘净值数据(iFinD）'!$A119="",'实盘净值数据(iFinD）'!$B119="",'实盘净值数据(iFinD）'!$Z119="",'实盘净值数据(iFinD）'!$AA119=""),"",分期持仓明细!$AB$23*(SUMPRODUCT(分期持仓明细!$B$23:$Y$23,'实盘净值数据(iFinD）'!$B119:$Y119/'实盘净值数据(iFinD）'!$B$65:$Y$65)+SUMPRODUCT(分期持仓明细!$AC$23:$AD$23,'实盘净值数据(iFinD）'!$Z119:$AA119/'实盘净值数据(iFinD）'!$Z$65:$AA$65))*(1-实盘持仓初始配置!$Z$7)^(('实盘净值数据(iFinD）'!$A119-'实盘净值数据(iFinD）'!$A$8)/365))</f>
        <v/>
      </c>
      <c r="L119" s="16" t="str">
        <f t="shared" si="9"/>
        <v/>
      </c>
      <c r="M119" s="16" t="str">
        <f>IF(K119="","",K119/MAX(K$5:K119)-1)</f>
        <v/>
      </c>
      <c r="N119" s="13" t="str">
        <f>IF(OR('实盘净值数据(iFinD）'!$A119="",'实盘净值数据(iFinD）'!$B119="",'实盘净值数据(iFinD）'!$Z119="",'实盘净值数据(iFinD）'!$AA119=""),"",分期持仓明细!$AB$24*(SUMPRODUCT(分期持仓明细!$B$24:$Y$24,'实盘净值数据(iFinD）'!$B119:$Y119/'实盘净值数据(iFinD）'!$B$65:$Y$65)+SUMPRODUCT(分期持仓明细!$AC$24:$AD$24,'实盘净值数据(iFinD）'!$Z119:$AA119/'实盘净值数据(iFinD）'!$Z$65:$AA$65))*(1-实盘持仓初始配置!$Z$8)^(('实盘净值数据(iFinD）'!$A119-'实盘净值数据(iFinD）'!$A$5)/365))</f>
        <v/>
      </c>
      <c r="O119" s="16" t="str">
        <f t="shared" si="10"/>
        <v/>
      </c>
      <c r="P119" s="16" t="str">
        <f>IF(N119="","",N119/MAX(N$5:N119)-1)</f>
        <v/>
      </c>
      <c r="Q119" s="13" t="str">
        <f>IF(OR('实盘净值数据(iFinD）'!$A119="",'实盘净值数据(iFinD）'!$B119="",'实盘净值数据(iFinD）'!$Z119="",'实盘净值数据(iFinD）'!$AA119=""),"",分期持仓明细!$AB$25*(SUMPRODUCT(分期持仓明细!$B$25:$Y$25,'实盘净值数据(iFinD）'!$B119:$Y119/'实盘净值数据(iFinD）'!$B$65:$Y$65)+SUMPRODUCT(分期持仓明细!$AC$25:$AD$25,'实盘净值数据(iFinD）'!$Z119:$AA119/'实盘净值数据(iFinD）'!$Z$65:$AA$65))*(1-实盘持仓初始配置!$Z$9)^(('实盘净值数据(iFinD）'!$A119-'实盘净值数据(iFinD）'!$A$8)/365))</f>
        <v/>
      </c>
      <c r="R119" s="16" t="str">
        <f t="shared" si="11"/>
        <v/>
      </c>
      <c r="S119" s="16" t="str">
        <f>IF(Q119="","",Q119/MAX(Q$5:Q119)-1)</f>
        <v/>
      </c>
    </row>
    <row r="120" spans="1:19">
      <c r="A120" s="15" t="str">
        <f>IF('实盘净值数据(iFinD）'!A120="","",'实盘净值数据(iFinD）'!A120)</f>
        <v/>
      </c>
      <c r="B120" s="13" t="str">
        <f>IF(OR('实盘净值数据(iFinD）'!$A120="",'实盘净值数据(iFinD）'!$B120=""),"",分期持仓明细!$AB$17*SUMPRODUCT(分期持仓明细!$B$17:$Y$17,'实盘净值数据(iFinD）'!$B120:$Y120/'实盘净值数据(iFinD）'!$B$20:$Y$20)*(1-实盘持仓初始配置!$Z$4)^(('实盘净值数据(iFinD）'!$A120-'实盘净值数据(iFinD）'!$A$6)/365))</f>
        <v/>
      </c>
      <c r="C120" s="16" t="str">
        <f t="shared" si="6"/>
        <v/>
      </c>
      <c r="D120" s="16" t="str">
        <f>IF(B120="","",B120/MAX(B$5:B120)-1)</f>
        <v/>
      </c>
      <c r="E120" s="13" t="str">
        <f>IF(OR('实盘净值数据(iFinD）'!$A120="",'实盘净值数据(iFinD）'!$B120=""),"",分期持仓明细!$AB$18*SUMPRODUCT(分期持仓明细!$B$18:$Y$18,'实盘净值数据(iFinD）'!$B120:$Y120/'实盘净值数据(iFinD）'!$B$20:$Y$20)*(1-实盘持仓初始配置!$Z$5)^(('实盘净值数据(iFinD）'!$A120-'实盘净值数据(iFinD）'!$A$5)/365))</f>
        <v/>
      </c>
      <c r="F120" s="16" t="str">
        <f t="shared" si="7"/>
        <v/>
      </c>
      <c r="G120" s="16" t="str">
        <f>IF(E120="","",E120/MAX(E$5:E120)-1)</f>
        <v/>
      </c>
      <c r="H120" s="13" t="str">
        <f>IF(OR('实盘净值数据(iFinD）'!$A120="",'实盘净值数据(iFinD）'!$B120=""),"",分期持仓明细!$AB$19*SUMPRODUCT(分期持仓明细!$B$19:$Y$19,'实盘净值数据(iFinD）'!$B120:$Y120/'实盘净值数据(iFinD）'!$B$20:$Y$20)*(1-实盘持仓初始配置!$Z$6)^(('实盘净值数据(iFinD）'!$A120-'实盘净值数据(iFinD）'!$A$7)/365))</f>
        <v/>
      </c>
      <c r="I120" s="16" t="str">
        <f t="shared" si="8"/>
        <v/>
      </c>
      <c r="J120" s="16" t="str">
        <f>IF(H120="","",H120/MAX(H$5:H120)-1)</f>
        <v/>
      </c>
      <c r="K120" s="13" t="str">
        <f>IF(OR('实盘净值数据(iFinD）'!$A120="",'实盘净值数据(iFinD）'!$B120="",'实盘净值数据(iFinD）'!$Z120="",'实盘净值数据(iFinD）'!$AA120=""),"",分期持仓明细!$AB$23*(SUMPRODUCT(分期持仓明细!$B$23:$Y$23,'实盘净值数据(iFinD）'!$B120:$Y120/'实盘净值数据(iFinD）'!$B$65:$Y$65)+SUMPRODUCT(分期持仓明细!$AC$23:$AD$23,'实盘净值数据(iFinD）'!$Z120:$AA120/'实盘净值数据(iFinD）'!$Z$65:$AA$65))*(1-实盘持仓初始配置!$Z$7)^(('实盘净值数据(iFinD）'!$A120-'实盘净值数据(iFinD）'!$A$8)/365))</f>
        <v/>
      </c>
      <c r="L120" s="16" t="str">
        <f t="shared" si="9"/>
        <v/>
      </c>
      <c r="M120" s="16" t="str">
        <f>IF(K120="","",K120/MAX(K$5:K120)-1)</f>
        <v/>
      </c>
      <c r="N120" s="13" t="str">
        <f>IF(OR('实盘净值数据(iFinD）'!$A120="",'实盘净值数据(iFinD）'!$B120="",'实盘净值数据(iFinD）'!$Z120="",'实盘净值数据(iFinD）'!$AA120=""),"",分期持仓明细!$AB$24*(SUMPRODUCT(分期持仓明细!$B$24:$Y$24,'实盘净值数据(iFinD）'!$B120:$Y120/'实盘净值数据(iFinD）'!$B$65:$Y$65)+SUMPRODUCT(分期持仓明细!$AC$24:$AD$24,'实盘净值数据(iFinD）'!$Z120:$AA120/'实盘净值数据(iFinD）'!$Z$65:$AA$65))*(1-实盘持仓初始配置!$Z$8)^(('实盘净值数据(iFinD）'!$A120-'实盘净值数据(iFinD）'!$A$5)/365))</f>
        <v/>
      </c>
      <c r="O120" s="16" t="str">
        <f t="shared" si="10"/>
        <v/>
      </c>
      <c r="P120" s="16" t="str">
        <f>IF(N120="","",N120/MAX(N$5:N120)-1)</f>
        <v/>
      </c>
      <c r="Q120" s="13" t="str">
        <f>IF(OR('实盘净值数据(iFinD）'!$A120="",'实盘净值数据(iFinD）'!$B120="",'实盘净值数据(iFinD）'!$Z120="",'实盘净值数据(iFinD）'!$AA120=""),"",分期持仓明细!$AB$25*(SUMPRODUCT(分期持仓明细!$B$25:$Y$25,'实盘净值数据(iFinD）'!$B120:$Y120/'实盘净值数据(iFinD）'!$B$65:$Y$65)+SUMPRODUCT(分期持仓明细!$AC$25:$AD$25,'实盘净值数据(iFinD）'!$Z120:$AA120/'实盘净值数据(iFinD）'!$Z$65:$AA$65))*(1-实盘持仓初始配置!$Z$9)^(('实盘净值数据(iFinD）'!$A120-'实盘净值数据(iFinD）'!$A$8)/365))</f>
        <v/>
      </c>
      <c r="R120" s="16" t="str">
        <f t="shared" si="11"/>
        <v/>
      </c>
      <c r="S120" s="16" t="str">
        <f>IF(Q120="","",Q120/MAX(Q$5:Q120)-1)</f>
        <v/>
      </c>
    </row>
    <row r="121" spans="1:19">
      <c r="A121" s="15" t="str">
        <f>IF('实盘净值数据(iFinD）'!A121="","",'实盘净值数据(iFinD）'!A121)</f>
        <v/>
      </c>
      <c r="B121" s="13" t="str">
        <f>IF(OR('实盘净值数据(iFinD）'!$A121="",'实盘净值数据(iFinD）'!$B121=""),"",分期持仓明细!$AB$17*SUMPRODUCT(分期持仓明细!$B$17:$Y$17,'实盘净值数据(iFinD）'!$B121:$Y121/'实盘净值数据(iFinD）'!$B$20:$Y$20)*(1-实盘持仓初始配置!$Z$4)^(('实盘净值数据(iFinD）'!$A121-'实盘净值数据(iFinD）'!$A$6)/365))</f>
        <v/>
      </c>
      <c r="C121" s="16" t="str">
        <f t="shared" si="6"/>
        <v/>
      </c>
      <c r="D121" s="16" t="str">
        <f>IF(B121="","",B121/MAX(B$5:B121)-1)</f>
        <v/>
      </c>
      <c r="E121" s="13" t="str">
        <f>IF(OR('实盘净值数据(iFinD）'!$A121="",'实盘净值数据(iFinD）'!$B121=""),"",分期持仓明细!$AB$18*SUMPRODUCT(分期持仓明细!$B$18:$Y$18,'实盘净值数据(iFinD）'!$B121:$Y121/'实盘净值数据(iFinD）'!$B$20:$Y$20)*(1-实盘持仓初始配置!$Z$5)^(('实盘净值数据(iFinD）'!$A121-'实盘净值数据(iFinD）'!$A$5)/365))</f>
        <v/>
      </c>
      <c r="F121" s="16" t="str">
        <f t="shared" si="7"/>
        <v/>
      </c>
      <c r="G121" s="16" t="str">
        <f>IF(E121="","",E121/MAX(E$5:E121)-1)</f>
        <v/>
      </c>
      <c r="H121" s="13" t="str">
        <f>IF(OR('实盘净值数据(iFinD）'!$A121="",'实盘净值数据(iFinD）'!$B121=""),"",分期持仓明细!$AB$19*SUMPRODUCT(分期持仓明细!$B$19:$Y$19,'实盘净值数据(iFinD）'!$B121:$Y121/'实盘净值数据(iFinD）'!$B$20:$Y$20)*(1-实盘持仓初始配置!$Z$6)^(('实盘净值数据(iFinD）'!$A121-'实盘净值数据(iFinD）'!$A$7)/365))</f>
        <v/>
      </c>
      <c r="I121" s="16" t="str">
        <f t="shared" si="8"/>
        <v/>
      </c>
      <c r="J121" s="16" t="str">
        <f>IF(H121="","",H121/MAX(H$5:H121)-1)</f>
        <v/>
      </c>
      <c r="K121" s="13" t="str">
        <f>IF(OR('实盘净值数据(iFinD）'!$A121="",'实盘净值数据(iFinD）'!$B121="",'实盘净值数据(iFinD）'!$Z121="",'实盘净值数据(iFinD）'!$AA121=""),"",分期持仓明细!$AB$23*(SUMPRODUCT(分期持仓明细!$B$23:$Y$23,'实盘净值数据(iFinD）'!$B121:$Y121/'实盘净值数据(iFinD）'!$B$65:$Y$65)+SUMPRODUCT(分期持仓明细!$AC$23:$AD$23,'实盘净值数据(iFinD）'!$Z121:$AA121/'实盘净值数据(iFinD）'!$Z$65:$AA$65))*(1-实盘持仓初始配置!$Z$7)^(('实盘净值数据(iFinD）'!$A121-'实盘净值数据(iFinD）'!$A$8)/365))</f>
        <v/>
      </c>
      <c r="L121" s="16" t="str">
        <f t="shared" si="9"/>
        <v/>
      </c>
      <c r="M121" s="16" t="str">
        <f>IF(K121="","",K121/MAX(K$5:K121)-1)</f>
        <v/>
      </c>
      <c r="N121" s="13" t="str">
        <f>IF(OR('实盘净值数据(iFinD）'!$A121="",'实盘净值数据(iFinD）'!$B121="",'实盘净值数据(iFinD）'!$Z121="",'实盘净值数据(iFinD）'!$AA121=""),"",分期持仓明细!$AB$24*(SUMPRODUCT(分期持仓明细!$B$24:$Y$24,'实盘净值数据(iFinD）'!$B121:$Y121/'实盘净值数据(iFinD）'!$B$65:$Y$65)+SUMPRODUCT(分期持仓明细!$AC$24:$AD$24,'实盘净值数据(iFinD）'!$Z121:$AA121/'实盘净值数据(iFinD）'!$Z$65:$AA$65))*(1-实盘持仓初始配置!$Z$8)^(('实盘净值数据(iFinD）'!$A121-'实盘净值数据(iFinD）'!$A$5)/365))</f>
        <v/>
      </c>
      <c r="O121" s="16" t="str">
        <f t="shared" si="10"/>
        <v/>
      </c>
      <c r="P121" s="16" t="str">
        <f>IF(N121="","",N121/MAX(N$5:N121)-1)</f>
        <v/>
      </c>
      <c r="Q121" s="13" t="str">
        <f>IF(OR('实盘净值数据(iFinD）'!$A121="",'实盘净值数据(iFinD）'!$B121="",'实盘净值数据(iFinD）'!$Z121="",'实盘净值数据(iFinD）'!$AA121=""),"",分期持仓明细!$AB$25*(SUMPRODUCT(分期持仓明细!$B$25:$Y$25,'实盘净值数据(iFinD）'!$B121:$Y121/'实盘净值数据(iFinD）'!$B$65:$Y$65)+SUMPRODUCT(分期持仓明细!$AC$25:$AD$25,'实盘净值数据(iFinD）'!$Z121:$AA121/'实盘净值数据(iFinD）'!$Z$65:$AA$65))*(1-实盘持仓初始配置!$Z$9)^(('实盘净值数据(iFinD）'!$A121-'实盘净值数据(iFinD）'!$A$8)/365))</f>
        <v/>
      </c>
      <c r="R121" s="16" t="str">
        <f t="shared" si="11"/>
        <v/>
      </c>
      <c r="S121" s="16" t="str">
        <f>IF(Q121="","",Q121/MAX(Q$5:Q121)-1)</f>
        <v/>
      </c>
    </row>
    <row r="122" spans="1:19">
      <c r="A122" s="15" t="str">
        <f>IF('实盘净值数据(iFinD）'!A122="","",'实盘净值数据(iFinD）'!A122)</f>
        <v/>
      </c>
      <c r="B122" s="13" t="str">
        <f>IF(OR('实盘净值数据(iFinD）'!$A122="",'实盘净值数据(iFinD）'!$B122=""),"",分期持仓明细!$AB$17*SUMPRODUCT(分期持仓明细!$B$17:$Y$17,'实盘净值数据(iFinD）'!$B122:$Y122/'实盘净值数据(iFinD）'!$B$20:$Y$20)*(1-实盘持仓初始配置!$Z$4)^(('实盘净值数据(iFinD）'!$A122-'实盘净值数据(iFinD）'!$A$6)/365))</f>
        <v/>
      </c>
      <c r="C122" s="16" t="str">
        <f t="shared" si="6"/>
        <v/>
      </c>
      <c r="D122" s="16" t="str">
        <f>IF(B122="","",B122/MAX(B$5:B122)-1)</f>
        <v/>
      </c>
      <c r="E122" s="13" t="str">
        <f>IF(OR('实盘净值数据(iFinD）'!$A122="",'实盘净值数据(iFinD）'!$B122=""),"",分期持仓明细!$AB$18*SUMPRODUCT(分期持仓明细!$B$18:$Y$18,'实盘净值数据(iFinD）'!$B122:$Y122/'实盘净值数据(iFinD）'!$B$20:$Y$20)*(1-实盘持仓初始配置!$Z$5)^(('实盘净值数据(iFinD）'!$A122-'实盘净值数据(iFinD）'!$A$5)/365))</f>
        <v/>
      </c>
      <c r="F122" s="16" t="str">
        <f t="shared" si="7"/>
        <v/>
      </c>
      <c r="G122" s="16" t="str">
        <f>IF(E122="","",E122/MAX(E$5:E122)-1)</f>
        <v/>
      </c>
      <c r="H122" s="13" t="str">
        <f>IF(OR('实盘净值数据(iFinD）'!$A122="",'实盘净值数据(iFinD）'!$B122=""),"",分期持仓明细!$AB$19*SUMPRODUCT(分期持仓明细!$B$19:$Y$19,'实盘净值数据(iFinD）'!$B122:$Y122/'实盘净值数据(iFinD）'!$B$20:$Y$20)*(1-实盘持仓初始配置!$Z$6)^(('实盘净值数据(iFinD）'!$A122-'实盘净值数据(iFinD）'!$A$7)/365))</f>
        <v/>
      </c>
      <c r="I122" s="16" t="str">
        <f t="shared" si="8"/>
        <v/>
      </c>
      <c r="J122" s="16" t="str">
        <f>IF(H122="","",H122/MAX(H$5:H122)-1)</f>
        <v/>
      </c>
      <c r="K122" s="13" t="str">
        <f>IF(OR('实盘净值数据(iFinD）'!$A122="",'实盘净值数据(iFinD）'!$B122="",'实盘净值数据(iFinD）'!$Z122="",'实盘净值数据(iFinD）'!$AA122=""),"",分期持仓明细!$AB$23*(SUMPRODUCT(分期持仓明细!$B$23:$Y$23,'实盘净值数据(iFinD）'!$B122:$Y122/'实盘净值数据(iFinD）'!$B$65:$Y$65)+SUMPRODUCT(分期持仓明细!$AC$23:$AD$23,'实盘净值数据(iFinD）'!$Z122:$AA122/'实盘净值数据(iFinD）'!$Z$65:$AA$65))*(1-实盘持仓初始配置!$Z$7)^(('实盘净值数据(iFinD）'!$A122-'实盘净值数据(iFinD）'!$A$8)/365))</f>
        <v/>
      </c>
      <c r="L122" s="16" t="str">
        <f t="shared" si="9"/>
        <v/>
      </c>
      <c r="M122" s="16" t="str">
        <f>IF(K122="","",K122/MAX(K$5:K122)-1)</f>
        <v/>
      </c>
      <c r="N122" s="13" t="str">
        <f>IF(OR('实盘净值数据(iFinD）'!$A122="",'实盘净值数据(iFinD）'!$B122="",'实盘净值数据(iFinD）'!$Z122="",'实盘净值数据(iFinD）'!$AA122=""),"",分期持仓明细!$AB$24*(SUMPRODUCT(分期持仓明细!$B$24:$Y$24,'实盘净值数据(iFinD）'!$B122:$Y122/'实盘净值数据(iFinD）'!$B$65:$Y$65)+SUMPRODUCT(分期持仓明细!$AC$24:$AD$24,'实盘净值数据(iFinD）'!$Z122:$AA122/'实盘净值数据(iFinD）'!$Z$65:$AA$65))*(1-实盘持仓初始配置!$Z$8)^(('实盘净值数据(iFinD）'!$A122-'实盘净值数据(iFinD）'!$A$5)/365))</f>
        <v/>
      </c>
      <c r="O122" s="16" t="str">
        <f t="shared" si="10"/>
        <v/>
      </c>
      <c r="P122" s="16" t="str">
        <f>IF(N122="","",N122/MAX(N$5:N122)-1)</f>
        <v/>
      </c>
      <c r="Q122" s="13" t="str">
        <f>IF(OR('实盘净值数据(iFinD）'!$A122="",'实盘净值数据(iFinD）'!$B122="",'实盘净值数据(iFinD）'!$Z122="",'实盘净值数据(iFinD）'!$AA122=""),"",分期持仓明细!$AB$25*(SUMPRODUCT(分期持仓明细!$B$25:$Y$25,'实盘净值数据(iFinD）'!$B122:$Y122/'实盘净值数据(iFinD）'!$B$65:$Y$65)+SUMPRODUCT(分期持仓明细!$AC$25:$AD$25,'实盘净值数据(iFinD）'!$Z122:$AA122/'实盘净值数据(iFinD）'!$Z$65:$AA$65))*(1-实盘持仓初始配置!$Z$9)^(('实盘净值数据(iFinD）'!$A122-'实盘净值数据(iFinD）'!$A$8)/365))</f>
        <v/>
      </c>
      <c r="R122" s="16" t="str">
        <f t="shared" si="11"/>
        <v/>
      </c>
      <c r="S122" s="16" t="str">
        <f>IF(Q122="","",Q122/MAX(Q$5:Q122)-1)</f>
        <v/>
      </c>
    </row>
    <row r="123" spans="1:19">
      <c r="A123" s="15" t="str">
        <f>IF('实盘净值数据(iFinD）'!A123="","",'实盘净值数据(iFinD）'!A123)</f>
        <v/>
      </c>
      <c r="B123" s="13" t="str">
        <f>IF(OR('实盘净值数据(iFinD）'!$A123="",'实盘净值数据(iFinD）'!$B123=""),"",分期持仓明细!$AB$17*SUMPRODUCT(分期持仓明细!$B$17:$Y$17,'实盘净值数据(iFinD）'!$B123:$Y123/'实盘净值数据(iFinD）'!$B$20:$Y$20)*(1-实盘持仓初始配置!$Z$4)^(('实盘净值数据(iFinD）'!$A123-'实盘净值数据(iFinD）'!$A$6)/365))</f>
        <v/>
      </c>
      <c r="C123" s="16" t="str">
        <f t="shared" si="6"/>
        <v/>
      </c>
      <c r="D123" s="16" t="str">
        <f>IF(B123="","",B123/MAX(B$5:B123)-1)</f>
        <v/>
      </c>
      <c r="E123" s="13" t="str">
        <f>IF(OR('实盘净值数据(iFinD）'!$A123="",'实盘净值数据(iFinD）'!$B123=""),"",分期持仓明细!$AB$18*SUMPRODUCT(分期持仓明细!$B$18:$Y$18,'实盘净值数据(iFinD）'!$B123:$Y123/'实盘净值数据(iFinD）'!$B$20:$Y$20)*(1-实盘持仓初始配置!$Z$5)^(('实盘净值数据(iFinD）'!$A123-'实盘净值数据(iFinD）'!$A$5)/365))</f>
        <v/>
      </c>
      <c r="F123" s="16" t="str">
        <f t="shared" si="7"/>
        <v/>
      </c>
      <c r="G123" s="16" t="str">
        <f>IF(E123="","",E123/MAX(E$5:E123)-1)</f>
        <v/>
      </c>
      <c r="H123" s="13" t="str">
        <f>IF(OR('实盘净值数据(iFinD）'!$A123="",'实盘净值数据(iFinD）'!$B123=""),"",分期持仓明细!$AB$19*SUMPRODUCT(分期持仓明细!$B$19:$Y$19,'实盘净值数据(iFinD）'!$B123:$Y123/'实盘净值数据(iFinD）'!$B$20:$Y$20)*(1-实盘持仓初始配置!$Z$6)^(('实盘净值数据(iFinD）'!$A123-'实盘净值数据(iFinD）'!$A$7)/365))</f>
        <v/>
      </c>
      <c r="I123" s="16" t="str">
        <f t="shared" si="8"/>
        <v/>
      </c>
      <c r="J123" s="16" t="str">
        <f>IF(H123="","",H123/MAX(H$5:H123)-1)</f>
        <v/>
      </c>
      <c r="K123" s="13" t="str">
        <f>IF(OR('实盘净值数据(iFinD）'!$A123="",'实盘净值数据(iFinD）'!$B123="",'实盘净值数据(iFinD）'!$Z123="",'实盘净值数据(iFinD）'!$AA123=""),"",分期持仓明细!$AB$23*(SUMPRODUCT(分期持仓明细!$B$23:$Y$23,'实盘净值数据(iFinD）'!$B123:$Y123/'实盘净值数据(iFinD）'!$B$65:$Y$65)+SUMPRODUCT(分期持仓明细!$AC$23:$AD$23,'实盘净值数据(iFinD）'!$Z123:$AA123/'实盘净值数据(iFinD）'!$Z$65:$AA$65))*(1-实盘持仓初始配置!$Z$7)^(('实盘净值数据(iFinD）'!$A123-'实盘净值数据(iFinD）'!$A$8)/365))</f>
        <v/>
      </c>
      <c r="L123" s="16" t="str">
        <f t="shared" si="9"/>
        <v/>
      </c>
      <c r="M123" s="16" t="str">
        <f>IF(K123="","",K123/MAX(K$5:K123)-1)</f>
        <v/>
      </c>
      <c r="N123" s="13" t="str">
        <f>IF(OR('实盘净值数据(iFinD）'!$A123="",'实盘净值数据(iFinD）'!$B123="",'实盘净值数据(iFinD）'!$Z123="",'实盘净值数据(iFinD）'!$AA123=""),"",分期持仓明细!$AB$24*(SUMPRODUCT(分期持仓明细!$B$24:$Y$24,'实盘净值数据(iFinD）'!$B123:$Y123/'实盘净值数据(iFinD）'!$B$65:$Y$65)+SUMPRODUCT(分期持仓明细!$AC$24:$AD$24,'实盘净值数据(iFinD）'!$Z123:$AA123/'实盘净值数据(iFinD）'!$Z$65:$AA$65))*(1-实盘持仓初始配置!$Z$8)^(('实盘净值数据(iFinD）'!$A123-'实盘净值数据(iFinD）'!$A$5)/365))</f>
        <v/>
      </c>
      <c r="O123" s="16" t="str">
        <f t="shared" si="10"/>
        <v/>
      </c>
      <c r="P123" s="16" t="str">
        <f>IF(N123="","",N123/MAX(N$5:N123)-1)</f>
        <v/>
      </c>
      <c r="Q123" s="13" t="str">
        <f>IF(OR('实盘净值数据(iFinD）'!$A123="",'实盘净值数据(iFinD）'!$B123="",'实盘净值数据(iFinD）'!$Z123="",'实盘净值数据(iFinD）'!$AA123=""),"",分期持仓明细!$AB$25*(SUMPRODUCT(分期持仓明细!$B$25:$Y$25,'实盘净值数据(iFinD）'!$B123:$Y123/'实盘净值数据(iFinD）'!$B$65:$Y$65)+SUMPRODUCT(分期持仓明细!$AC$25:$AD$25,'实盘净值数据(iFinD）'!$Z123:$AA123/'实盘净值数据(iFinD）'!$Z$65:$AA$65))*(1-实盘持仓初始配置!$Z$9)^(('实盘净值数据(iFinD）'!$A123-'实盘净值数据(iFinD）'!$A$8)/365))</f>
        <v/>
      </c>
      <c r="R123" s="16" t="str">
        <f t="shared" si="11"/>
        <v/>
      </c>
      <c r="S123" s="16" t="str">
        <f>IF(Q123="","",Q123/MAX(Q$5:Q123)-1)</f>
        <v/>
      </c>
    </row>
    <row r="124" spans="1:19">
      <c r="A124" s="15" t="str">
        <f>IF('实盘净值数据(iFinD）'!A124="","",'实盘净值数据(iFinD）'!A124)</f>
        <v/>
      </c>
      <c r="B124" s="13" t="str">
        <f>IF(OR('实盘净值数据(iFinD）'!$A124="",'实盘净值数据(iFinD）'!$B124=""),"",分期持仓明细!$AB$17*SUMPRODUCT(分期持仓明细!$B$17:$Y$17,'实盘净值数据(iFinD）'!$B124:$Y124/'实盘净值数据(iFinD）'!$B$20:$Y$20)*(1-实盘持仓初始配置!$Z$4)^(('实盘净值数据(iFinD）'!$A124-'实盘净值数据(iFinD）'!$A$6)/365))</f>
        <v/>
      </c>
      <c r="C124" s="16" t="str">
        <f t="shared" ref="C124:C187" si="12">IF(OR(B123="",B124=""),"",B124/B123-1)</f>
        <v/>
      </c>
      <c r="D124" s="16" t="str">
        <f>IF(B124="","",B124/MAX(B$5:B124)-1)</f>
        <v/>
      </c>
      <c r="E124" s="13" t="str">
        <f>IF(OR('实盘净值数据(iFinD）'!$A124="",'实盘净值数据(iFinD）'!$B124=""),"",分期持仓明细!$AB$18*SUMPRODUCT(分期持仓明细!$B$18:$Y$18,'实盘净值数据(iFinD）'!$B124:$Y124/'实盘净值数据(iFinD）'!$B$20:$Y$20)*(1-实盘持仓初始配置!$Z$5)^(('实盘净值数据(iFinD）'!$A124-'实盘净值数据(iFinD）'!$A$5)/365))</f>
        <v/>
      </c>
      <c r="F124" s="16" t="str">
        <f t="shared" ref="F124:F187" si="13">IF(OR(E123="",E124=""),"",E124/E123-1)</f>
        <v/>
      </c>
      <c r="G124" s="16" t="str">
        <f>IF(E124="","",E124/MAX(E$5:E124)-1)</f>
        <v/>
      </c>
      <c r="H124" s="13" t="str">
        <f>IF(OR('实盘净值数据(iFinD）'!$A124="",'实盘净值数据(iFinD）'!$B124=""),"",分期持仓明细!$AB$19*SUMPRODUCT(分期持仓明细!$B$19:$Y$19,'实盘净值数据(iFinD）'!$B124:$Y124/'实盘净值数据(iFinD）'!$B$20:$Y$20)*(1-实盘持仓初始配置!$Z$6)^(('实盘净值数据(iFinD）'!$A124-'实盘净值数据(iFinD）'!$A$7)/365))</f>
        <v/>
      </c>
      <c r="I124" s="16" t="str">
        <f t="shared" ref="I124:I187" si="14">IF(OR(H123="",H124=""),"",H124/H123-1)</f>
        <v/>
      </c>
      <c r="J124" s="16" t="str">
        <f>IF(H124="","",H124/MAX(H$5:H124)-1)</f>
        <v/>
      </c>
      <c r="K124" s="13" t="str">
        <f>IF(OR('实盘净值数据(iFinD）'!$A124="",'实盘净值数据(iFinD）'!$B124="",'实盘净值数据(iFinD）'!$Z124="",'实盘净值数据(iFinD）'!$AA124=""),"",分期持仓明细!$AB$23*(SUMPRODUCT(分期持仓明细!$B$23:$Y$23,'实盘净值数据(iFinD）'!$B124:$Y124/'实盘净值数据(iFinD）'!$B$65:$Y$65)+SUMPRODUCT(分期持仓明细!$AC$23:$AD$23,'实盘净值数据(iFinD）'!$Z124:$AA124/'实盘净值数据(iFinD）'!$Z$65:$AA$65))*(1-实盘持仓初始配置!$Z$7)^(('实盘净值数据(iFinD）'!$A124-'实盘净值数据(iFinD）'!$A$8)/365))</f>
        <v/>
      </c>
      <c r="L124" s="16" t="str">
        <f t="shared" ref="L124:L187" si="15">IF(OR(K123="",K124=""),"",K124/K123-1)</f>
        <v/>
      </c>
      <c r="M124" s="16" t="str">
        <f>IF(K124="","",K124/MAX(K$5:K124)-1)</f>
        <v/>
      </c>
      <c r="N124" s="13" t="str">
        <f>IF(OR('实盘净值数据(iFinD）'!$A124="",'实盘净值数据(iFinD）'!$B124="",'实盘净值数据(iFinD）'!$Z124="",'实盘净值数据(iFinD）'!$AA124=""),"",分期持仓明细!$AB$24*(SUMPRODUCT(分期持仓明细!$B$24:$Y$24,'实盘净值数据(iFinD）'!$B124:$Y124/'实盘净值数据(iFinD）'!$B$65:$Y$65)+SUMPRODUCT(分期持仓明细!$AC$24:$AD$24,'实盘净值数据(iFinD）'!$Z124:$AA124/'实盘净值数据(iFinD）'!$Z$65:$AA$65))*(1-实盘持仓初始配置!$Z$8)^(('实盘净值数据(iFinD）'!$A124-'实盘净值数据(iFinD）'!$A$5)/365))</f>
        <v/>
      </c>
      <c r="O124" s="16" t="str">
        <f t="shared" ref="O124:O187" si="16">IF(OR(N123="",N124=""),"",N124/N123-1)</f>
        <v/>
      </c>
      <c r="P124" s="16" t="str">
        <f>IF(N124="","",N124/MAX(N$5:N124)-1)</f>
        <v/>
      </c>
      <c r="Q124" s="13" t="str">
        <f>IF(OR('实盘净值数据(iFinD）'!$A124="",'实盘净值数据(iFinD）'!$B124="",'实盘净值数据(iFinD）'!$Z124="",'实盘净值数据(iFinD）'!$AA124=""),"",分期持仓明细!$AB$25*(SUMPRODUCT(分期持仓明细!$B$25:$Y$25,'实盘净值数据(iFinD）'!$B124:$Y124/'实盘净值数据(iFinD）'!$B$65:$Y$65)+SUMPRODUCT(分期持仓明细!$AC$25:$AD$25,'实盘净值数据(iFinD）'!$Z124:$AA124/'实盘净值数据(iFinD）'!$Z$65:$AA$65))*(1-实盘持仓初始配置!$Z$9)^(('实盘净值数据(iFinD）'!$A124-'实盘净值数据(iFinD）'!$A$8)/365))</f>
        <v/>
      </c>
      <c r="R124" s="16" t="str">
        <f t="shared" ref="R124:R187" si="17">IF(OR(Q123="",Q124=""),"",Q124/Q123-1)</f>
        <v/>
      </c>
      <c r="S124" s="16" t="str">
        <f>IF(Q124="","",Q124/MAX(Q$5:Q124)-1)</f>
        <v/>
      </c>
    </row>
    <row r="125" spans="1:19">
      <c r="A125" s="15" t="str">
        <f>IF('实盘净值数据(iFinD）'!A125="","",'实盘净值数据(iFinD）'!A125)</f>
        <v/>
      </c>
      <c r="B125" s="13" t="str">
        <f>IF(OR('实盘净值数据(iFinD）'!$A125="",'实盘净值数据(iFinD）'!$B125=""),"",分期持仓明细!$AB$17*SUMPRODUCT(分期持仓明细!$B$17:$Y$17,'实盘净值数据(iFinD）'!$B125:$Y125/'实盘净值数据(iFinD）'!$B$20:$Y$20)*(1-实盘持仓初始配置!$Z$4)^(('实盘净值数据(iFinD）'!$A125-'实盘净值数据(iFinD）'!$A$6)/365))</f>
        <v/>
      </c>
      <c r="C125" s="16" t="str">
        <f t="shared" si="12"/>
        <v/>
      </c>
      <c r="D125" s="16" t="str">
        <f>IF(B125="","",B125/MAX(B$5:B125)-1)</f>
        <v/>
      </c>
      <c r="E125" s="13" t="str">
        <f>IF(OR('实盘净值数据(iFinD）'!$A125="",'实盘净值数据(iFinD）'!$B125=""),"",分期持仓明细!$AB$18*SUMPRODUCT(分期持仓明细!$B$18:$Y$18,'实盘净值数据(iFinD）'!$B125:$Y125/'实盘净值数据(iFinD）'!$B$20:$Y$20)*(1-实盘持仓初始配置!$Z$5)^(('实盘净值数据(iFinD）'!$A125-'实盘净值数据(iFinD）'!$A$5)/365))</f>
        <v/>
      </c>
      <c r="F125" s="16" t="str">
        <f t="shared" si="13"/>
        <v/>
      </c>
      <c r="G125" s="16" t="str">
        <f>IF(E125="","",E125/MAX(E$5:E125)-1)</f>
        <v/>
      </c>
      <c r="H125" s="13" t="str">
        <f>IF(OR('实盘净值数据(iFinD）'!$A125="",'实盘净值数据(iFinD）'!$B125=""),"",分期持仓明细!$AB$19*SUMPRODUCT(分期持仓明细!$B$19:$Y$19,'实盘净值数据(iFinD）'!$B125:$Y125/'实盘净值数据(iFinD）'!$B$20:$Y$20)*(1-实盘持仓初始配置!$Z$6)^(('实盘净值数据(iFinD）'!$A125-'实盘净值数据(iFinD）'!$A$7)/365))</f>
        <v/>
      </c>
      <c r="I125" s="16" t="str">
        <f t="shared" si="14"/>
        <v/>
      </c>
      <c r="J125" s="16" t="str">
        <f>IF(H125="","",H125/MAX(H$5:H125)-1)</f>
        <v/>
      </c>
      <c r="K125" s="13" t="str">
        <f>IF(OR('实盘净值数据(iFinD）'!$A125="",'实盘净值数据(iFinD）'!$B125="",'实盘净值数据(iFinD）'!$Z125="",'实盘净值数据(iFinD）'!$AA125=""),"",分期持仓明细!$AB$23*(SUMPRODUCT(分期持仓明细!$B$23:$Y$23,'实盘净值数据(iFinD）'!$B125:$Y125/'实盘净值数据(iFinD）'!$B$65:$Y$65)+SUMPRODUCT(分期持仓明细!$AC$23:$AD$23,'实盘净值数据(iFinD）'!$Z125:$AA125/'实盘净值数据(iFinD）'!$Z$65:$AA$65))*(1-实盘持仓初始配置!$Z$7)^(('实盘净值数据(iFinD）'!$A125-'实盘净值数据(iFinD）'!$A$8)/365))</f>
        <v/>
      </c>
      <c r="L125" s="16" t="str">
        <f t="shared" si="15"/>
        <v/>
      </c>
      <c r="M125" s="16" t="str">
        <f>IF(K125="","",K125/MAX(K$5:K125)-1)</f>
        <v/>
      </c>
      <c r="N125" s="13" t="str">
        <f>IF(OR('实盘净值数据(iFinD）'!$A125="",'实盘净值数据(iFinD）'!$B125="",'实盘净值数据(iFinD）'!$Z125="",'实盘净值数据(iFinD）'!$AA125=""),"",分期持仓明细!$AB$24*(SUMPRODUCT(分期持仓明细!$B$24:$Y$24,'实盘净值数据(iFinD）'!$B125:$Y125/'实盘净值数据(iFinD）'!$B$65:$Y$65)+SUMPRODUCT(分期持仓明细!$AC$24:$AD$24,'实盘净值数据(iFinD）'!$Z125:$AA125/'实盘净值数据(iFinD）'!$Z$65:$AA$65))*(1-实盘持仓初始配置!$Z$8)^(('实盘净值数据(iFinD）'!$A125-'实盘净值数据(iFinD）'!$A$5)/365))</f>
        <v/>
      </c>
      <c r="O125" s="16" t="str">
        <f t="shared" si="16"/>
        <v/>
      </c>
      <c r="P125" s="16" t="str">
        <f>IF(N125="","",N125/MAX(N$5:N125)-1)</f>
        <v/>
      </c>
      <c r="Q125" s="13" t="str">
        <f>IF(OR('实盘净值数据(iFinD）'!$A125="",'实盘净值数据(iFinD）'!$B125="",'实盘净值数据(iFinD）'!$Z125="",'实盘净值数据(iFinD）'!$AA125=""),"",分期持仓明细!$AB$25*(SUMPRODUCT(分期持仓明细!$B$25:$Y$25,'实盘净值数据(iFinD）'!$B125:$Y125/'实盘净值数据(iFinD）'!$B$65:$Y$65)+SUMPRODUCT(分期持仓明细!$AC$25:$AD$25,'实盘净值数据(iFinD）'!$Z125:$AA125/'实盘净值数据(iFinD）'!$Z$65:$AA$65))*(1-实盘持仓初始配置!$Z$9)^(('实盘净值数据(iFinD）'!$A125-'实盘净值数据(iFinD）'!$A$8)/365))</f>
        <v/>
      </c>
      <c r="R125" s="16" t="str">
        <f t="shared" si="17"/>
        <v/>
      </c>
      <c r="S125" s="16" t="str">
        <f>IF(Q125="","",Q125/MAX(Q$5:Q125)-1)</f>
        <v/>
      </c>
    </row>
    <row r="126" spans="1:19">
      <c r="A126" s="15" t="str">
        <f>IF('实盘净值数据(iFinD）'!A126="","",'实盘净值数据(iFinD）'!A126)</f>
        <v/>
      </c>
      <c r="B126" s="13" t="str">
        <f>IF(OR('实盘净值数据(iFinD）'!$A126="",'实盘净值数据(iFinD）'!$B126=""),"",分期持仓明细!$AB$17*SUMPRODUCT(分期持仓明细!$B$17:$Y$17,'实盘净值数据(iFinD）'!$B126:$Y126/'实盘净值数据(iFinD）'!$B$20:$Y$20)*(1-实盘持仓初始配置!$Z$4)^(('实盘净值数据(iFinD）'!$A126-'实盘净值数据(iFinD）'!$A$6)/365))</f>
        <v/>
      </c>
      <c r="C126" s="16" t="str">
        <f t="shared" si="12"/>
        <v/>
      </c>
      <c r="D126" s="16" t="str">
        <f>IF(B126="","",B126/MAX(B$5:B126)-1)</f>
        <v/>
      </c>
      <c r="E126" s="13" t="str">
        <f>IF(OR('实盘净值数据(iFinD）'!$A126="",'实盘净值数据(iFinD）'!$B126=""),"",分期持仓明细!$AB$18*SUMPRODUCT(分期持仓明细!$B$18:$Y$18,'实盘净值数据(iFinD）'!$B126:$Y126/'实盘净值数据(iFinD）'!$B$20:$Y$20)*(1-实盘持仓初始配置!$Z$5)^(('实盘净值数据(iFinD）'!$A126-'实盘净值数据(iFinD）'!$A$5)/365))</f>
        <v/>
      </c>
      <c r="F126" s="16" t="str">
        <f t="shared" si="13"/>
        <v/>
      </c>
      <c r="G126" s="16" t="str">
        <f>IF(E126="","",E126/MAX(E$5:E126)-1)</f>
        <v/>
      </c>
      <c r="H126" s="13" t="str">
        <f>IF(OR('实盘净值数据(iFinD）'!$A126="",'实盘净值数据(iFinD）'!$B126=""),"",分期持仓明细!$AB$19*SUMPRODUCT(分期持仓明细!$B$19:$Y$19,'实盘净值数据(iFinD）'!$B126:$Y126/'实盘净值数据(iFinD）'!$B$20:$Y$20)*(1-实盘持仓初始配置!$Z$6)^(('实盘净值数据(iFinD）'!$A126-'实盘净值数据(iFinD）'!$A$7)/365))</f>
        <v/>
      </c>
      <c r="I126" s="16" t="str">
        <f t="shared" si="14"/>
        <v/>
      </c>
      <c r="J126" s="16" t="str">
        <f>IF(H126="","",H126/MAX(H$5:H126)-1)</f>
        <v/>
      </c>
      <c r="K126" s="13" t="str">
        <f>IF(OR('实盘净值数据(iFinD）'!$A126="",'实盘净值数据(iFinD）'!$B126="",'实盘净值数据(iFinD）'!$Z126="",'实盘净值数据(iFinD）'!$AA126=""),"",分期持仓明细!$AB$23*(SUMPRODUCT(分期持仓明细!$B$23:$Y$23,'实盘净值数据(iFinD）'!$B126:$Y126/'实盘净值数据(iFinD）'!$B$65:$Y$65)+SUMPRODUCT(分期持仓明细!$AC$23:$AD$23,'实盘净值数据(iFinD）'!$Z126:$AA126/'实盘净值数据(iFinD）'!$Z$65:$AA$65))*(1-实盘持仓初始配置!$Z$7)^(('实盘净值数据(iFinD）'!$A126-'实盘净值数据(iFinD）'!$A$8)/365))</f>
        <v/>
      </c>
      <c r="L126" s="16" t="str">
        <f t="shared" si="15"/>
        <v/>
      </c>
      <c r="M126" s="16" t="str">
        <f>IF(K126="","",K126/MAX(K$5:K126)-1)</f>
        <v/>
      </c>
      <c r="N126" s="13" t="str">
        <f>IF(OR('实盘净值数据(iFinD）'!$A126="",'实盘净值数据(iFinD）'!$B126="",'实盘净值数据(iFinD）'!$Z126="",'实盘净值数据(iFinD）'!$AA126=""),"",分期持仓明细!$AB$24*(SUMPRODUCT(分期持仓明细!$B$24:$Y$24,'实盘净值数据(iFinD）'!$B126:$Y126/'实盘净值数据(iFinD）'!$B$65:$Y$65)+SUMPRODUCT(分期持仓明细!$AC$24:$AD$24,'实盘净值数据(iFinD）'!$Z126:$AA126/'实盘净值数据(iFinD）'!$Z$65:$AA$65))*(1-实盘持仓初始配置!$Z$8)^(('实盘净值数据(iFinD）'!$A126-'实盘净值数据(iFinD）'!$A$5)/365))</f>
        <v/>
      </c>
      <c r="O126" s="16" t="str">
        <f t="shared" si="16"/>
        <v/>
      </c>
      <c r="P126" s="16" t="str">
        <f>IF(N126="","",N126/MAX(N$5:N126)-1)</f>
        <v/>
      </c>
      <c r="Q126" s="13" t="str">
        <f>IF(OR('实盘净值数据(iFinD）'!$A126="",'实盘净值数据(iFinD）'!$B126="",'实盘净值数据(iFinD）'!$Z126="",'实盘净值数据(iFinD）'!$AA126=""),"",分期持仓明细!$AB$25*(SUMPRODUCT(分期持仓明细!$B$25:$Y$25,'实盘净值数据(iFinD）'!$B126:$Y126/'实盘净值数据(iFinD）'!$B$65:$Y$65)+SUMPRODUCT(分期持仓明细!$AC$25:$AD$25,'实盘净值数据(iFinD）'!$Z126:$AA126/'实盘净值数据(iFinD）'!$Z$65:$AA$65))*(1-实盘持仓初始配置!$Z$9)^(('实盘净值数据(iFinD）'!$A126-'实盘净值数据(iFinD）'!$A$8)/365))</f>
        <v/>
      </c>
      <c r="R126" s="16" t="str">
        <f t="shared" si="17"/>
        <v/>
      </c>
      <c r="S126" s="16" t="str">
        <f>IF(Q126="","",Q126/MAX(Q$5:Q126)-1)</f>
        <v/>
      </c>
    </row>
    <row r="127" spans="1:19">
      <c r="A127" s="15" t="str">
        <f>IF('实盘净值数据(iFinD）'!A127="","",'实盘净值数据(iFinD）'!A127)</f>
        <v/>
      </c>
      <c r="B127" s="13" t="str">
        <f>IF(OR('实盘净值数据(iFinD）'!$A127="",'实盘净值数据(iFinD）'!$B127=""),"",分期持仓明细!$AB$17*SUMPRODUCT(分期持仓明细!$B$17:$Y$17,'实盘净值数据(iFinD）'!$B127:$Y127/'实盘净值数据(iFinD）'!$B$20:$Y$20)*(1-实盘持仓初始配置!$Z$4)^(('实盘净值数据(iFinD）'!$A127-'实盘净值数据(iFinD）'!$A$6)/365))</f>
        <v/>
      </c>
      <c r="C127" s="16" t="str">
        <f t="shared" si="12"/>
        <v/>
      </c>
      <c r="D127" s="16" t="str">
        <f>IF(B127="","",B127/MAX(B$5:B127)-1)</f>
        <v/>
      </c>
      <c r="E127" s="13" t="str">
        <f>IF(OR('实盘净值数据(iFinD）'!$A127="",'实盘净值数据(iFinD）'!$B127=""),"",分期持仓明细!$AB$18*SUMPRODUCT(分期持仓明细!$B$18:$Y$18,'实盘净值数据(iFinD）'!$B127:$Y127/'实盘净值数据(iFinD）'!$B$20:$Y$20)*(1-实盘持仓初始配置!$Z$5)^(('实盘净值数据(iFinD）'!$A127-'实盘净值数据(iFinD）'!$A$5)/365))</f>
        <v/>
      </c>
      <c r="F127" s="16" t="str">
        <f t="shared" si="13"/>
        <v/>
      </c>
      <c r="G127" s="16" t="str">
        <f>IF(E127="","",E127/MAX(E$5:E127)-1)</f>
        <v/>
      </c>
      <c r="H127" s="13" t="str">
        <f>IF(OR('实盘净值数据(iFinD）'!$A127="",'实盘净值数据(iFinD）'!$B127=""),"",分期持仓明细!$AB$19*SUMPRODUCT(分期持仓明细!$B$19:$Y$19,'实盘净值数据(iFinD）'!$B127:$Y127/'实盘净值数据(iFinD）'!$B$20:$Y$20)*(1-实盘持仓初始配置!$Z$6)^(('实盘净值数据(iFinD）'!$A127-'实盘净值数据(iFinD）'!$A$7)/365))</f>
        <v/>
      </c>
      <c r="I127" s="16" t="str">
        <f t="shared" si="14"/>
        <v/>
      </c>
      <c r="J127" s="16" t="str">
        <f>IF(H127="","",H127/MAX(H$5:H127)-1)</f>
        <v/>
      </c>
      <c r="K127" s="13" t="str">
        <f>IF(OR('实盘净值数据(iFinD）'!$A127="",'实盘净值数据(iFinD）'!$B127="",'实盘净值数据(iFinD）'!$Z127="",'实盘净值数据(iFinD）'!$AA127=""),"",分期持仓明细!$AB$23*(SUMPRODUCT(分期持仓明细!$B$23:$Y$23,'实盘净值数据(iFinD）'!$B127:$Y127/'实盘净值数据(iFinD）'!$B$65:$Y$65)+SUMPRODUCT(分期持仓明细!$AC$23:$AD$23,'实盘净值数据(iFinD）'!$Z127:$AA127/'实盘净值数据(iFinD）'!$Z$65:$AA$65))*(1-实盘持仓初始配置!$Z$7)^(('实盘净值数据(iFinD）'!$A127-'实盘净值数据(iFinD）'!$A$8)/365))</f>
        <v/>
      </c>
      <c r="L127" s="16" t="str">
        <f t="shared" si="15"/>
        <v/>
      </c>
      <c r="M127" s="16" t="str">
        <f>IF(K127="","",K127/MAX(K$5:K127)-1)</f>
        <v/>
      </c>
      <c r="N127" s="13" t="str">
        <f>IF(OR('实盘净值数据(iFinD）'!$A127="",'实盘净值数据(iFinD）'!$B127="",'实盘净值数据(iFinD）'!$Z127="",'实盘净值数据(iFinD）'!$AA127=""),"",分期持仓明细!$AB$24*(SUMPRODUCT(分期持仓明细!$B$24:$Y$24,'实盘净值数据(iFinD）'!$B127:$Y127/'实盘净值数据(iFinD）'!$B$65:$Y$65)+SUMPRODUCT(分期持仓明细!$AC$24:$AD$24,'实盘净值数据(iFinD）'!$Z127:$AA127/'实盘净值数据(iFinD）'!$Z$65:$AA$65))*(1-实盘持仓初始配置!$Z$8)^(('实盘净值数据(iFinD）'!$A127-'实盘净值数据(iFinD）'!$A$5)/365))</f>
        <v/>
      </c>
      <c r="O127" s="16" t="str">
        <f t="shared" si="16"/>
        <v/>
      </c>
      <c r="P127" s="16" t="str">
        <f>IF(N127="","",N127/MAX(N$5:N127)-1)</f>
        <v/>
      </c>
      <c r="Q127" s="13" t="str">
        <f>IF(OR('实盘净值数据(iFinD）'!$A127="",'实盘净值数据(iFinD）'!$B127="",'实盘净值数据(iFinD）'!$Z127="",'实盘净值数据(iFinD）'!$AA127=""),"",分期持仓明细!$AB$25*(SUMPRODUCT(分期持仓明细!$B$25:$Y$25,'实盘净值数据(iFinD）'!$B127:$Y127/'实盘净值数据(iFinD）'!$B$65:$Y$65)+SUMPRODUCT(分期持仓明细!$AC$25:$AD$25,'实盘净值数据(iFinD）'!$Z127:$AA127/'实盘净值数据(iFinD）'!$Z$65:$AA$65))*(1-实盘持仓初始配置!$Z$9)^(('实盘净值数据(iFinD）'!$A127-'实盘净值数据(iFinD）'!$A$8)/365))</f>
        <v/>
      </c>
      <c r="R127" s="16" t="str">
        <f t="shared" si="17"/>
        <v/>
      </c>
      <c r="S127" s="16" t="str">
        <f>IF(Q127="","",Q127/MAX(Q$5:Q127)-1)</f>
        <v/>
      </c>
    </row>
    <row r="128" spans="1:19">
      <c r="A128" s="15" t="str">
        <f>IF('实盘净值数据(iFinD）'!A128="","",'实盘净值数据(iFinD）'!A128)</f>
        <v/>
      </c>
      <c r="B128" s="13" t="str">
        <f>IF(OR('实盘净值数据(iFinD）'!$A128="",'实盘净值数据(iFinD）'!$B128=""),"",分期持仓明细!$AB$17*SUMPRODUCT(分期持仓明细!$B$17:$Y$17,'实盘净值数据(iFinD）'!$B128:$Y128/'实盘净值数据(iFinD）'!$B$20:$Y$20)*(1-实盘持仓初始配置!$Z$4)^(('实盘净值数据(iFinD）'!$A128-'实盘净值数据(iFinD）'!$A$6)/365))</f>
        <v/>
      </c>
      <c r="C128" s="16" t="str">
        <f t="shared" si="12"/>
        <v/>
      </c>
      <c r="D128" s="16" t="str">
        <f>IF(B128="","",B128/MAX(B$5:B128)-1)</f>
        <v/>
      </c>
      <c r="E128" s="13" t="str">
        <f>IF(OR('实盘净值数据(iFinD）'!$A128="",'实盘净值数据(iFinD）'!$B128=""),"",分期持仓明细!$AB$18*SUMPRODUCT(分期持仓明细!$B$18:$Y$18,'实盘净值数据(iFinD）'!$B128:$Y128/'实盘净值数据(iFinD）'!$B$20:$Y$20)*(1-实盘持仓初始配置!$Z$5)^(('实盘净值数据(iFinD）'!$A128-'实盘净值数据(iFinD）'!$A$5)/365))</f>
        <v/>
      </c>
      <c r="F128" s="16" t="str">
        <f t="shared" si="13"/>
        <v/>
      </c>
      <c r="G128" s="16" t="str">
        <f>IF(E128="","",E128/MAX(E$5:E128)-1)</f>
        <v/>
      </c>
      <c r="H128" s="13" t="str">
        <f>IF(OR('实盘净值数据(iFinD）'!$A128="",'实盘净值数据(iFinD）'!$B128=""),"",分期持仓明细!$AB$19*SUMPRODUCT(分期持仓明细!$B$19:$Y$19,'实盘净值数据(iFinD）'!$B128:$Y128/'实盘净值数据(iFinD）'!$B$20:$Y$20)*(1-实盘持仓初始配置!$Z$6)^(('实盘净值数据(iFinD）'!$A128-'实盘净值数据(iFinD）'!$A$7)/365))</f>
        <v/>
      </c>
      <c r="I128" s="16" t="str">
        <f t="shared" si="14"/>
        <v/>
      </c>
      <c r="J128" s="16" t="str">
        <f>IF(H128="","",H128/MAX(H$5:H128)-1)</f>
        <v/>
      </c>
      <c r="K128" s="13" t="str">
        <f>IF(OR('实盘净值数据(iFinD）'!$A128="",'实盘净值数据(iFinD）'!$B128="",'实盘净值数据(iFinD）'!$Z128="",'实盘净值数据(iFinD）'!$AA128=""),"",分期持仓明细!$AB$23*(SUMPRODUCT(分期持仓明细!$B$23:$Y$23,'实盘净值数据(iFinD）'!$B128:$Y128/'实盘净值数据(iFinD）'!$B$65:$Y$65)+SUMPRODUCT(分期持仓明细!$AC$23:$AD$23,'实盘净值数据(iFinD）'!$Z128:$AA128/'实盘净值数据(iFinD）'!$Z$65:$AA$65))*(1-实盘持仓初始配置!$Z$7)^(('实盘净值数据(iFinD）'!$A128-'实盘净值数据(iFinD）'!$A$8)/365))</f>
        <v/>
      </c>
      <c r="L128" s="16" t="str">
        <f t="shared" si="15"/>
        <v/>
      </c>
      <c r="M128" s="16" t="str">
        <f>IF(K128="","",K128/MAX(K$5:K128)-1)</f>
        <v/>
      </c>
      <c r="N128" s="13" t="str">
        <f>IF(OR('实盘净值数据(iFinD）'!$A128="",'实盘净值数据(iFinD）'!$B128="",'实盘净值数据(iFinD）'!$Z128="",'实盘净值数据(iFinD）'!$AA128=""),"",分期持仓明细!$AB$24*(SUMPRODUCT(分期持仓明细!$B$24:$Y$24,'实盘净值数据(iFinD）'!$B128:$Y128/'实盘净值数据(iFinD）'!$B$65:$Y$65)+SUMPRODUCT(分期持仓明细!$AC$24:$AD$24,'实盘净值数据(iFinD）'!$Z128:$AA128/'实盘净值数据(iFinD）'!$Z$65:$AA$65))*(1-实盘持仓初始配置!$Z$8)^(('实盘净值数据(iFinD）'!$A128-'实盘净值数据(iFinD）'!$A$5)/365))</f>
        <v/>
      </c>
      <c r="O128" s="16" t="str">
        <f t="shared" si="16"/>
        <v/>
      </c>
      <c r="P128" s="16" t="str">
        <f>IF(N128="","",N128/MAX(N$5:N128)-1)</f>
        <v/>
      </c>
      <c r="Q128" s="13" t="str">
        <f>IF(OR('实盘净值数据(iFinD）'!$A128="",'实盘净值数据(iFinD）'!$B128="",'实盘净值数据(iFinD）'!$Z128="",'实盘净值数据(iFinD）'!$AA128=""),"",分期持仓明细!$AB$25*(SUMPRODUCT(分期持仓明细!$B$25:$Y$25,'实盘净值数据(iFinD）'!$B128:$Y128/'实盘净值数据(iFinD）'!$B$65:$Y$65)+SUMPRODUCT(分期持仓明细!$AC$25:$AD$25,'实盘净值数据(iFinD）'!$Z128:$AA128/'实盘净值数据(iFinD）'!$Z$65:$AA$65))*(1-实盘持仓初始配置!$Z$9)^(('实盘净值数据(iFinD）'!$A128-'实盘净值数据(iFinD）'!$A$8)/365))</f>
        <v/>
      </c>
      <c r="R128" s="16" t="str">
        <f t="shared" si="17"/>
        <v/>
      </c>
      <c r="S128" s="16" t="str">
        <f>IF(Q128="","",Q128/MAX(Q$5:Q128)-1)</f>
        <v/>
      </c>
    </row>
    <row r="129" spans="1:19">
      <c r="A129" s="15" t="str">
        <f>IF('实盘净值数据(iFinD）'!A129="","",'实盘净值数据(iFinD）'!A129)</f>
        <v/>
      </c>
      <c r="B129" s="13" t="str">
        <f>IF(OR('实盘净值数据(iFinD）'!$A129="",'实盘净值数据(iFinD）'!$B129=""),"",分期持仓明细!$AB$17*SUMPRODUCT(分期持仓明细!$B$17:$Y$17,'实盘净值数据(iFinD）'!$B129:$Y129/'实盘净值数据(iFinD）'!$B$20:$Y$20)*(1-实盘持仓初始配置!$Z$4)^(('实盘净值数据(iFinD）'!$A129-'实盘净值数据(iFinD）'!$A$6)/365))</f>
        <v/>
      </c>
      <c r="C129" s="16" t="str">
        <f t="shared" si="12"/>
        <v/>
      </c>
      <c r="D129" s="16" t="str">
        <f>IF(B129="","",B129/MAX(B$5:B129)-1)</f>
        <v/>
      </c>
      <c r="E129" s="13" t="str">
        <f>IF(OR('实盘净值数据(iFinD）'!$A129="",'实盘净值数据(iFinD）'!$B129=""),"",分期持仓明细!$AB$18*SUMPRODUCT(分期持仓明细!$B$18:$Y$18,'实盘净值数据(iFinD）'!$B129:$Y129/'实盘净值数据(iFinD）'!$B$20:$Y$20)*(1-实盘持仓初始配置!$Z$5)^(('实盘净值数据(iFinD）'!$A129-'实盘净值数据(iFinD）'!$A$5)/365))</f>
        <v/>
      </c>
      <c r="F129" s="16" t="str">
        <f t="shared" si="13"/>
        <v/>
      </c>
      <c r="G129" s="16" t="str">
        <f>IF(E129="","",E129/MAX(E$5:E129)-1)</f>
        <v/>
      </c>
      <c r="H129" s="13" t="str">
        <f>IF(OR('实盘净值数据(iFinD）'!$A129="",'实盘净值数据(iFinD）'!$B129=""),"",分期持仓明细!$AB$19*SUMPRODUCT(分期持仓明细!$B$19:$Y$19,'实盘净值数据(iFinD）'!$B129:$Y129/'实盘净值数据(iFinD）'!$B$20:$Y$20)*(1-实盘持仓初始配置!$Z$6)^(('实盘净值数据(iFinD）'!$A129-'实盘净值数据(iFinD）'!$A$7)/365))</f>
        <v/>
      </c>
      <c r="I129" s="16" t="str">
        <f t="shared" si="14"/>
        <v/>
      </c>
      <c r="J129" s="16" t="str">
        <f>IF(H129="","",H129/MAX(H$5:H129)-1)</f>
        <v/>
      </c>
      <c r="K129" s="13" t="str">
        <f>IF(OR('实盘净值数据(iFinD）'!$A129="",'实盘净值数据(iFinD）'!$B129="",'实盘净值数据(iFinD）'!$Z129="",'实盘净值数据(iFinD）'!$AA129=""),"",分期持仓明细!$AB$23*(SUMPRODUCT(分期持仓明细!$B$23:$Y$23,'实盘净值数据(iFinD）'!$B129:$Y129/'实盘净值数据(iFinD）'!$B$65:$Y$65)+SUMPRODUCT(分期持仓明细!$AC$23:$AD$23,'实盘净值数据(iFinD）'!$Z129:$AA129/'实盘净值数据(iFinD）'!$Z$65:$AA$65))*(1-实盘持仓初始配置!$Z$7)^(('实盘净值数据(iFinD）'!$A129-'实盘净值数据(iFinD）'!$A$8)/365))</f>
        <v/>
      </c>
      <c r="L129" s="16" t="str">
        <f t="shared" si="15"/>
        <v/>
      </c>
      <c r="M129" s="16" t="str">
        <f>IF(K129="","",K129/MAX(K$5:K129)-1)</f>
        <v/>
      </c>
      <c r="N129" s="13" t="str">
        <f>IF(OR('实盘净值数据(iFinD）'!$A129="",'实盘净值数据(iFinD）'!$B129="",'实盘净值数据(iFinD）'!$Z129="",'实盘净值数据(iFinD）'!$AA129=""),"",分期持仓明细!$AB$24*(SUMPRODUCT(分期持仓明细!$B$24:$Y$24,'实盘净值数据(iFinD）'!$B129:$Y129/'实盘净值数据(iFinD）'!$B$65:$Y$65)+SUMPRODUCT(分期持仓明细!$AC$24:$AD$24,'实盘净值数据(iFinD）'!$Z129:$AA129/'实盘净值数据(iFinD）'!$Z$65:$AA$65))*(1-实盘持仓初始配置!$Z$8)^(('实盘净值数据(iFinD）'!$A129-'实盘净值数据(iFinD）'!$A$5)/365))</f>
        <v/>
      </c>
      <c r="O129" s="16" t="str">
        <f t="shared" si="16"/>
        <v/>
      </c>
      <c r="P129" s="16" t="str">
        <f>IF(N129="","",N129/MAX(N$5:N129)-1)</f>
        <v/>
      </c>
      <c r="Q129" s="13" t="str">
        <f>IF(OR('实盘净值数据(iFinD）'!$A129="",'实盘净值数据(iFinD）'!$B129="",'实盘净值数据(iFinD）'!$Z129="",'实盘净值数据(iFinD）'!$AA129=""),"",分期持仓明细!$AB$25*(SUMPRODUCT(分期持仓明细!$B$25:$Y$25,'实盘净值数据(iFinD）'!$B129:$Y129/'实盘净值数据(iFinD）'!$B$65:$Y$65)+SUMPRODUCT(分期持仓明细!$AC$25:$AD$25,'实盘净值数据(iFinD）'!$Z129:$AA129/'实盘净值数据(iFinD）'!$Z$65:$AA$65))*(1-实盘持仓初始配置!$Z$9)^(('实盘净值数据(iFinD）'!$A129-'实盘净值数据(iFinD）'!$A$8)/365))</f>
        <v/>
      </c>
      <c r="R129" s="16" t="str">
        <f t="shared" si="17"/>
        <v/>
      </c>
      <c r="S129" s="16" t="str">
        <f>IF(Q129="","",Q129/MAX(Q$5:Q129)-1)</f>
        <v/>
      </c>
    </row>
    <row r="130" spans="1:19">
      <c r="A130" s="15" t="str">
        <f>IF('实盘净值数据(iFinD）'!A130="","",'实盘净值数据(iFinD）'!A130)</f>
        <v/>
      </c>
      <c r="B130" s="13" t="str">
        <f>IF(OR('实盘净值数据(iFinD）'!$A130="",'实盘净值数据(iFinD）'!$B130=""),"",分期持仓明细!$AB$17*SUMPRODUCT(分期持仓明细!$B$17:$Y$17,'实盘净值数据(iFinD）'!$B130:$Y130/'实盘净值数据(iFinD）'!$B$20:$Y$20)*(1-实盘持仓初始配置!$Z$4)^(('实盘净值数据(iFinD）'!$A130-'实盘净值数据(iFinD）'!$A$6)/365))</f>
        <v/>
      </c>
      <c r="C130" s="16" t="str">
        <f t="shared" si="12"/>
        <v/>
      </c>
      <c r="D130" s="16" t="str">
        <f>IF(B130="","",B130/MAX(B$5:B130)-1)</f>
        <v/>
      </c>
      <c r="E130" s="13" t="str">
        <f>IF(OR('实盘净值数据(iFinD）'!$A130="",'实盘净值数据(iFinD）'!$B130=""),"",分期持仓明细!$AB$18*SUMPRODUCT(分期持仓明细!$B$18:$Y$18,'实盘净值数据(iFinD）'!$B130:$Y130/'实盘净值数据(iFinD）'!$B$20:$Y$20)*(1-实盘持仓初始配置!$Z$5)^(('实盘净值数据(iFinD）'!$A130-'实盘净值数据(iFinD）'!$A$5)/365))</f>
        <v/>
      </c>
      <c r="F130" s="16" t="str">
        <f t="shared" si="13"/>
        <v/>
      </c>
      <c r="G130" s="16" t="str">
        <f>IF(E130="","",E130/MAX(E$5:E130)-1)</f>
        <v/>
      </c>
      <c r="H130" s="13" t="str">
        <f>IF(OR('实盘净值数据(iFinD）'!$A130="",'实盘净值数据(iFinD）'!$B130=""),"",分期持仓明细!$AB$19*SUMPRODUCT(分期持仓明细!$B$19:$Y$19,'实盘净值数据(iFinD）'!$B130:$Y130/'实盘净值数据(iFinD）'!$B$20:$Y$20)*(1-实盘持仓初始配置!$Z$6)^(('实盘净值数据(iFinD）'!$A130-'实盘净值数据(iFinD）'!$A$7)/365))</f>
        <v/>
      </c>
      <c r="I130" s="16" t="str">
        <f t="shared" si="14"/>
        <v/>
      </c>
      <c r="J130" s="16" t="str">
        <f>IF(H130="","",H130/MAX(H$5:H130)-1)</f>
        <v/>
      </c>
      <c r="K130" s="13" t="str">
        <f>IF(OR('实盘净值数据(iFinD）'!$A130="",'实盘净值数据(iFinD）'!$B130="",'实盘净值数据(iFinD）'!$Z130="",'实盘净值数据(iFinD）'!$AA130=""),"",分期持仓明细!$AB$23*(SUMPRODUCT(分期持仓明细!$B$23:$Y$23,'实盘净值数据(iFinD）'!$B130:$Y130/'实盘净值数据(iFinD）'!$B$65:$Y$65)+SUMPRODUCT(分期持仓明细!$AC$23:$AD$23,'实盘净值数据(iFinD）'!$Z130:$AA130/'实盘净值数据(iFinD）'!$Z$65:$AA$65))*(1-实盘持仓初始配置!$Z$7)^(('实盘净值数据(iFinD）'!$A130-'实盘净值数据(iFinD）'!$A$8)/365))</f>
        <v/>
      </c>
      <c r="L130" s="16" t="str">
        <f t="shared" si="15"/>
        <v/>
      </c>
      <c r="M130" s="16" t="str">
        <f>IF(K130="","",K130/MAX(K$5:K130)-1)</f>
        <v/>
      </c>
      <c r="N130" s="13" t="str">
        <f>IF(OR('实盘净值数据(iFinD）'!$A130="",'实盘净值数据(iFinD）'!$B130="",'实盘净值数据(iFinD）'!$Z130="",'实盘净值数据(iFinD）'!$AA130=""),"",分期持仓明细!$AB$24*(SUMPRODUCT(分期持仓明细!$B$24:$Y$24,'实盘净值数据(iFinD）'!$B130:$Y130/'实盘净值数据(iFinD）'!$B$65:$Y$65)+SUMPRODUCT(分期持仓明细!$AC$24:$AD$24,'实盘净值数据(iFinD）'!$Z130:$AA130/'实盘净值数据(iFinD）'!$Z$65:$AA$65))*(1-实盘持仓初始配置!$Z$8)^(('实盘净值数据(iFinD）'!$A130-'实盘净值数据(iFinD）'!$A$5)/365))</f>
        <v/>
      </c>
      <c r="O130" s="16" t="str">
        <f t="shared" si="16"/>
        <v/>
      </c>
      <c r="P130" s="16" t="str">
        <f>IF(N130="","",N130/MAX(N$5:N130)-1)</f>
        <v/>
      </c>
      <c r="Q130" s="13" t="str">
        <f>IF(OR('实盘净值数据(iFinD）'!$A130="",'实盘净值数据(iFinD）'!$B130="",'实盘净值数据(iFinD）'!$Z130="",'实盘净值数据(iFinD）'!$AA130=""),"",分期持仓明细!$AB$25*(SUMPRODUCT(分期持仓明细!$B$25:$Y$25,'实盘净值数据(iFinD）'!$B130:$Y130/'实盘净值数据(iFinD）'!$B$65:$Y$65)+SUMPRODUCT(分期持仓明细!$AC$25:$AD$25,'实盘净值数据(iFinD）'!$Z130:$AA130/'实盘净值数据(iFinD）'!$Z$65:$AA$65))*(1-实盘持仓初始配置!$Z$9)^(('实盘净值数据(iFinD）'!$A130-'实盘净值数据(iFinD）'!$A$8)/365))</f>
        <v/>
      </c>
      <c r="R130" s="16" t="str">
        <f t="shared" si="17"/>
        <v/>
      </c>
      <c r="S130" s="16" t="str">
        <f>IF(Q130="","",Q130/MAX(Q$5:Q130)-1)</f>
        <v/>
      </c>
    </row>
    <row r="131" spans="1:19">
      <c r="A131" s="15" t="str">
        <f>IF('实盘净值数据(iFinD）'!A131="","",'实盘净值数据(iFinD）'!A131)</f>
        <v/>
      </c>
      <c r="B131" s="13" t="str">
        <f>IF(OR('实盘净值数据(iFinD）'!$A131="",'实盘净值数据(iFinD）'!$B131=""),"",分期持仓明细!$AB$17*SUMPRODUCT(分期持仓明细!$B$17:$Y$17,'实盘净值数据(iFinD）'!$B131:$Y131/'实盘净值数据(iFinD）'!$B$20:$Y$20)*(1-实盘持仓初始配置!$Z$4)^(('实盘净值数据(iFinD）'!$A131-'实盘净值数据(iFinD）'!$A$6)/365))</f>
        <v/>
      </c>
      <c r="C131" s="16" t="str">
        <f t="shared" si="12"/>
        <v/>
      </c>
      <c r="D131" s="16" t="str">
        <f>IF(B131="","",B131/MAX(B$5:B131)-1)</f>
        <v/>
      </c>
      <c r="E131" s="13" t="str">
        <f>IF(OR('实盘净值数据(iFinD）'!$A131="",'实盘净值数据(iFinD）'!$B131=""),"",分期持仓明细!$AB$18*SUMPRODUCT(分期持仓明细!$B$18:$Y$18,'实盘净值数据(iFinD）'!$B131:$Y131/'实盘净值数据(iFinD）'!$B$20:$Y$20)*(1-实盘持仓初始配置!$Z$5)^(('实盘净值数据(iFinD）'!$A131-'实盘净值数据(iFinD）'!$A$5)/365))</f>
        <v/>
      </c>
      <c r="F131" s="16" t="str">
        <f t="shared" si="13"/>
        <v/>
      </c>
      <c r="G131" s="16" t="str">
        <f>IF(E131="","",E131/MAX(E$5:E131)-1)</f>
        <v/>
      </c>
      <c r="H131" s="13" t="str">
        <f>IF(OR('实盘净值数据(iFinD）'!$A131="",'实盘净值数据(iFinD）'!$B131=""),"",分期持仓明细!$AB$19*SUMPRODUCT(分期持仓明细!$B$19:$Y$19,'实盘净值数据(iFinD）'!$B131:$Y131/'实盘净值数据(iFinD）'!$B$20:$Y$20)*(1-实盘持仓初始配置!$Z$6)^(('实盘净值数据(iFinD）'!$A131-'实盘净值数据(iFinD）'!$A$7)/365))</f>
        <v/>
      </c>
      <c r="I131" s="16" t="str">
        <f t="shared" si="14"/>
        <v/>
      </c>
      <c r="J131" s="16" t="str">
        <f>IF(H131="","",H131/MAX(H$5:H131)-1)</f>
        <v/>
      </c>
      <c r="K131" s="13" t="str">
        <f>IF(OR('实盘净值数据(iFinD）'!$A131="",'实盘净值数据(iFinD）'!$B131="",'实盘净值数据(iFinD）'!$Z131="",'实盘净值数据(iFinD）'!$AA131=""),"",分期持仓明细!$AB$23*(SUMPRODUCT(分期持仓明细!$B$23:$Y$23,'实盘净值数据(iFinD）'!$B131:$Y131/'实盘净值数据(iFinD）'!$B$65:$Y$65)+SUMPRODUCT(分期持仓明细!$AC$23:$AD$23,'实盘净值数据(iFinD）'!$Z131:$AA131/'实盘净值数据(iFinD）'!$Z$65:$AA$65))*(1-实盘持仓初始配置!$Z$7)^(('实盘净值数据(iFinD）'!$A131-'实盘净值数据(iFinD）'!$A$8)/365))</f>
        <v/>
      </c>
      <c r="L131" s="16" t="str">
        <f t="shared" si="15"/>
        <v/>
      </c>
      <c r="M131" s="16" t="str">
        <f>IF(K131="","",K131/MAX(K$5:K131)-1)</f>
        <v/>
      </c>
      <c r="N131" s="13" t="str">
        <f>IF(OR('实盘净值数据(iFinD）'!$A131="",'实盘净值数据(iFinD）'!$B131="",'实盘净值数据(iFinD）'!$Z131="",'实盘净值数据(iFinD）'!$AA131=""),"",分期持仓明细!$AB$24*(SUMPRODUCT(分期持仓明细!$B$24:$Y$24,'实盘净值数据(iFinD）'!$B131:$Y131/'实盘净值数据(iFinD）'!$B$65:$Y$65)+SUMPRODUCT(分期持仓明细!$AC$24:$AD$24,'实盘净值数据(iFinD）'!$Z131:$AA131/'实盘净值数据(iFinD）'!$Z$65:$AA$65))*(1-实盘持仓初始配置!$Z$8)^(('实盘净值数据(iFinD）'!$A131-'实盘净值数据(iFinD）'!$A$5)/365))</f>
        <v/>
      </c>
      <c r="O131" s="16" t="str">
        <f t="shared" si="16"/>
        <v/>
      </c>
      <c r="P131" s="16" t="str">
        <f>IF(N131="","",N131/MAX(N$5:N131)-1)</f>
        <v/>
      </c>
      <c r="Q131" s="13" t="str">
        <f>IF(OR('实盘净值数据(iFinD）'!$A131="",'实盘净值数据(iFinD）'!$B131="",'实盘净值数据(iFinD）'!$Z131="",'实盘净值数据(iFinD）'!$AA131=""),"",分期持仓明细!$AB$25*(SUMPRODUCT(分期持仓明细!$B$25:$Y$25,'实盘净值数据(iFinD）'!$B131:$Y131/'实盘净值数据(iFinD）'!$B$65:$Y$65)+SUMPRODUCT(分期持仓明细!$AC$25:$AD$25,'实盘净值数据(iFinD）'!$Z131:$AA131/'实盘净值数据(iFinD）'!$Z$65:$AA$65))*(1-实盘持仓初始配置!$Z$9)^(('实盘净值数据(iFinD）'!$A131-'实盘净值数据(iFinD）'!$A$8)/365))</f>
        <v/>
      </c>
      <c r="R131" s="16" t="str">
        <f t="shared" si="17"/>
        <v/>
      </c>
      <c r="S131" s="16" t="str">
        <f>IF(Q131="","",Q131/MAX(Q$5:Q131)-1)</f>
        <v/>
      </c>
    </row>
    <row r="132" spans="1:19">
      <c r="A132" s="15" t="str">
        <f>IF('实盘净值数据(iFinD）'!A132="","",'实盘净值数据(iFinD）'!A132)</f>
        <v/>
      </c>
      <c r="B132" s="13" t="str">
        <f>IF(OR('实盘净值数据(iFinD）'!$A132="",'实盘净值数据(iFinD）'!$B132=""),"",分期持仓明细!$AB$17*SUMPRODUCT(分期持仓明细!$B$17:$Y$17,'实盘净值数据(iFinD）'!$B132:$Y132/'实盘净值数据(iFinD）'!$B$20:$Y$20)*(1-实盘持仓初始配置!$Z$4)^(('实盘净值数据(iFinD）'!$A132-'实盘净值数据(iFinD）'!$A$6)/365))</f>
        <v/>
      </c>
      <c r="C132" s="16" t="str">
        <f t="shared" si="12"/>
        <v/>
      </c>
      <c r="D132" s="16" t="str">
        <f>IF(B132="","",B132/MAX(B$5:B132)-1)</f>
        <v/>
      </c>
      <c r="E132" s="13" t="str">
        <f>IF(OR('实盘净值数据(iFinD）'!$A132="",'实盘净值数据(iFinD）'!$B132=""),"",分期持仓明细!$AB$18*SUMPRODUCT(分期持仓明细!$B$18:$Y$18,'实盘净值数据(iFinD）'!$B132:$Y132/'实盘净值数据(iFinD）'!$B$20:$Y$20)*(1-实盘持仓初始配置!$Z$5)^(('实盘净值数据(iFinD）'!$A132-'实盘净值数据(iFinD）'!$A$5)/365))</f>
        <v/>
      </c>
      <c r="F132" s="16" t="str">
        <f t="shared" si="13"/>
        <v/>
      </c>
      <c r="G132" s="16" t="str">
        <f>IF(E132="","",E132/MAX(E$5:E132)-1)</f>
        <v/>
      </c>
      <c r="H132" s="13" t="str">
        <f>IF(OR('实盘净值数据(iFinD）'!$A132="",'实盘净值数据(iFinD）'!$B132=""),"",分期持仓明细!$AB$19*SUMPRODUCT(分期持仓明细!$B$19:$Y$19,'实盘净值数据(iFinD）'!$B132:$Y132/'实盘净值数据(iFinD）'!$B$20:$Y$20)*(1-实盘持仓初始配置!$Z$6)^(('实盘净值数据(iFinD）'!$A132-'实盘净值数据(iFinD）'!$A$7)/365))</f>
        <v/>
      </c>
      <c r="I132" s="16" t="str">
        <f t="shared" si="14"/>
        <v/>
      </c>
      <c r="J132" s="16" t="str">
        <f>IF(H132="","",H132/MAX(H$5:H132)-1)</f>
        <v/>
      </c>
      <c r="K132" s="13" t="str">
        <f>IF(OR('实盘净值数据(iFinD）'!$A132="",'实盘净值数据(iFinD）'!$B132="",'实盘净值数据(iFinD）'!$Z132="",'实盘净值数据(iFinD）'!$AA132=""),"",分期持仓明细!$AB$23*(SUMPRODUCT(分期持仓明细!$B$23:$Y$23,'实盘净值数据(iFinD）'!$B132:$Y132/'实盘净值数据(iFinD）'!$B$65:$Y$65)+SUMPRODUCT(分期持仓明细!$AC$23:$AD$23,'实盘净值数据(iFinD）'!$Z132:$AA132/'实盘净值数据(iFinD）'!$Z$65:$AA$65))*(1-实盘持仓初始配置!$Z$7)^(('实盘净值数据(iFinD）'!$A132-'实盘净值数据(iFinD）'!$A$8)/365))</f>
        <v/>
      </c>
      <c r="L132" s="16" t="str">
        <f t="shared" si="15"/>
        <v/>
      </c>
      <c r="M132" s="16" t="str">
        <f>IF(K132="","",K132/MAX(K$5:K132)-1)</f>
        <v/>
      </c>
      <c r="N132" s="13" t="str">
        <f>IF(OR('实盘净值数据(iFinD）'!$A132="",'实盘净值数据(iFinD）'!$B132="",'实盘净值数据(iFinD）'!$Z132="",'实盘净值数据(iFinD）'!$AA132=""),"",分期持仓明细!$AB$24*(SUMPRODUCT(分期持仓明细!$B$24:$Y$24,'实盘净值数据(iFinD）'!$B132:$Y132/'实盘净值数据(iFinD）'!$B$65:$Y$65)+SUMPRODUCT(分期持仓明细!$AC$24:$AD$24,'实盘净值数据(iFinD）'!$Z132:$AA132/'实盘净值数据(iFinD）'!$Z$65:$AA$65))*(1-实盘持仓初始配置!$Z$8)^(('实盘净值数据(iFinD）'!$A132-'实盘净值数据(iFinD）'!$A$5)/365))</f>
        <v/>
      </c>
      <c r="O132" s="16" t="str">
        <f t="shared" si="16"/>
        <v/>
      </c>
      <c r="P132" s="16" t="str">
        <f>IF(N132="","",N132/MAX(N$5:N132)-1)</f>
        <v/>
      </c>
      <c r="Q132" s="13" t="str">
        <f>IF(OR('实盘净值数据(iFinD）'!$A132="",'实盘净值数据(iFinD）'!$B132="",'实盘净值数据(iFinD）'!$Z132="",'实盘净值数据(iFinD）'!$AA132=""),"",分期持仓明细!$AB$25*(SUMPRODUCT(分期持仓明细!$B$25:$Y$25,'实盘净值数据(iFinD）'!$B132:$Y132/'实盘净值数据(iFinD）'!$B$65:$Y$65)+SUMPRODUCT(分期持仓明细!$AC$25:$AD$25,'实盘净值数据(iFinD）'!$Z132:$AA132/'实盘净值数据(iFinD）'!$Z$65:$AA$65))*(1-实盘持仓初始配置!$Z$9)^(('实盘净值数据(iFinD）'!$A132-'实盘净值数据(iFinD）'!$A$8)/365))</f>
        <v/>
      </c>
      <c r="R132" s="16" t="str">
        <f t="shared" si="17"/>
        <v/>
      </c>
      <c r="S132" s="16" t="str">
        <f>IF(Q132="","",Q132/MAX(Q$5:Q132)-1)</f>
        <v/>
      </c>
    </row>
    <row r="133" spans="1:19">
      <c r="A133" s="15" t="str">
        <f>IF('实盘净值数据(iFinD）'!A133="","",'实盘净值数据(iFinD）'!A133)</f>
        <v/>
      </c>
      <c r="B133" s="13" t="str">
        <f>IF(OR('实盘净值数据(iFinD）'!$A133="",'实盘净值数据(iFinD）'!$B133=""),"",分期持仓明细!$AB$17*SUMPRODUCT(分期持仓明细!$B$17:$Y$17,'实盘净值数据(iFinD）'!$B133:$Y133/'实盘净值数据(iFinD）'!$B$20:$Y$20)*(1-实盘持仓初始配置!$Z$4)^(('实盘净值数据(iFinD）'!$A133-'实盘净值数据(iFinD）'!$A$6)/365))</f>
        <v/>
      </c>
      <c r="C133" s="16" t="str">
        <f t="shared" si="12"/>
        <v/>
      </c>
      <c r="D133" s="16" t="str">
        <f>IF(B133="","",B133/MAX(B$5:B133)-1)</f>
        <v/>
      </c>
      <c r="E133" s="13" t="str">
        <f>IF(OR('实盘净值数据(iFinD）'!$A133="",'实盘净值数据(iFinD）'!$B133=""),"",分期持仓明细!$AB$18*SUMPRODUCT(分期持仓明细!$B$18:$Y$18,'实盘净值数据(iFinD）'!$B133:$Y133/'实盘净值数据(iFinD）'!$B$20:$Y$20)*(1-实盘持仓初始配置!$Z$5)^(('实盘净值数据(iFinD）'!$A133-'实盘净值数据(iFinD）'!$A$5)/365))</f>
        <v/>
      </c>
      <c r="F133" s="16" t="str">
        <f t="shared" si="13"/>
        <v/>
      </c>
      <c r="G133" s="16" t="str">
        <f>IF(E133="","",E133/MAX(E$5:E133)-1)</f>
        <v/>
      </c>
      <c r="H133" s="13" t="str">
        <f>IF(OR('实盘净值数据(iFinD）'!$A133="",'实盘净值数据(iFinD）'!$B133=""),"",分期持仓明细!$AB$19*SUMPRODUCT(分期持仓明细!$B$19:$Y$19,'实盘净值数据(iFinD）'!$B133:$Y133/'实盘净值数据(iFinD）'!$B$20:$Y$20)*(1-实盘持仓初始配置!$Z$6)^(('实盘净值数据(iFinD）'!$A133-'实盘净值数据(iFinD）'!$A$7)/365))</f>
        <v/>
      </c>
      <c r="I133" s="16" t="str">
        <f t="shared" si="14"/>
        <v/>
      </c>
      <c r="J133" s="16" t="str">
        <f>IF(H133="","",H133/MAX(H$5:H133)-1)</f>
        <v/>
      </c>
      <c r="K133" s="13" t="str">
        <f>IF(OR('实盘净值数据(iFinD）'!$A133="",'实盘净值数据(iFinD）'!$B133="",'实盘净值数据(iFinD）'!$Z133="",'实盘净值数据(iFinD）'!$AA133=""),"",分期持仓明细!$AB$23*(SUMPRODUCT(分期持仓明细!$B$23:$Y$23,'实盘净值数据(iFinD）'!$B133:$Y133/'实盘净值数据(iFinD）'!$B$65:$Y$65)+SUMPRODUCT(分期持仓明细!$AC$23:$AD$23,'实盘净值数据(iFinD）'!$Z133:$AA133/'实盘净值数据(iFinD）'!$Z$65:$AA$65))*(1-实盘持仓初始配置!$Z$7)^(('实盘净值数据(iFinD）'!$A133-'实盘净值数据(iFinD）'!$A$8)/365))</f>
        <v/>
      </c>
      <c r="L133" s="16" t="str">
        <f t="shared" si="15"/>
        <v/>
      </c>
      <c r="M133" s="16" t="str">
        <f>IF(K133="","",K133/MAX(K$5:K133)-1)</f>
        <v/>
      </c>
      <c r="N133" s="13" t="str">
        <f>IF(OR('实盘净值数据(iFinD）'!$A133="",'实盘净值数据(iFinD）'!$B133="",'实盘净值数据(iFinD）'!$Z133="",'实盘净值数据(iFinD）'!$AA133=""),"",分期持仓明细!$AB$24*(SUMPRODUCT(分期持仓明细!$B$24:$Y$24,'实盘净值数据(iFinD）'!$B133:$Y133/'实盘净值数据(iFinD）'!$B$65:$Y$65)+SUMPRODUCT(分期持仓明细!$AC$24:$AD$24,'实盘净值数据(iFinD）'!$Z133:$AA133/'实盘净值数据(iFinD）'!$Z$65:$AA$65))*(1-实盘持仓初始配置!$Z$8)^(('实盘净值数据(iFinD）'!$A133-'实盘净值数据(iFinD）'!$A$5)/365))</f>
        <v/>
      </c>
      <c r="O133" s="16" t="str">
        <f t="shared" si="16"/>
        <v/>
      </c>
      <c r="P133" s="16" t="str">
        <f>IF(N133="","",N133/MAX(N$5:N133)-1)</f>
        <v/>
      </c>
      <c r="Q133" s="13" t="str">
        <f>IF(OR('实盘净值数据(iFinD）'!$A133="",'实盘净值数据(iFinD）'!$B133="",'实盘净值数据(iFinD）'!$Z133="",'实盘净值数据(iFinD）'!$AA133=""),"",分期持仓明细!$AB$25*(SUMPRODUCT(分期持仓明细!$B$25:$Y$25,'实盘净值数据(iFinD）'!$B133:$Y133/'实盘净值数据(iFinD）'!$B$65:$Y$65)+SUMPRODUCT(分期持仓明细!$AC$25:$AD$25,'实盘净值数据(iFinD）'!$Z133:$AA133/'实盘净值数据(iFinD）'!$Z$65:$AA$65))*(1-实盘持仓初始配置!$Z$9)^(('实盘净值数据(iFinD）'!$A133-'实盘净值数据(iFinD）'!$A$8)/365))</f>
        <v/>
      </c>
      <c r="R133" s="16" t="str">
        <f t="shared" si="17"/>
        <v/>
      </c>
      <c r="S133" s="16" t="str">
        <f>IF(Q133="","",Q133/MAX(Q$5:Q133)-1)</f>
        <v/>
      </c>
    </row>
    <row r="134" spans="1:19">
      <c r="A134" s="15" t="str">
        <f>IF('实盘净值数据(iFinD）'!A134="","",'实盘净值数据(iFinD）'!A134)</f>
        <v/>
      </c>
      <c r="B134" s="13" t="str">
        <f>IF(OR('实盘净值数据(iFinD）'!$A134="",'实盘净值数据(iFinD）'!$B134=""),"",分期持仓明细!$AB$17*SUMPRODUCT(分期持仓明细!$B$17:$Y$17,'实盘净值数据(iFinD）'!$B134:$Y134/'实盘净值数据(iFinD）'!$B$20:$Y$20)*(1-实盘持仓初始配置!$Z$4)^(('实盘净值数据(iFinD）'!$A134-'实盘净值数据(iFinD）'!$A$6)/365))</f>
        <v/>
      </c>
      <c r="C134" s="16" t="str">
        <f t="shared" si="12"/>
        <v/>
      </c>
      <c r="D134" s="16" t="str">
        <f>IF(B134="","",B134/MAX(B$5:B134)-1)</f>
        <v/>
      </c>
      <c r="E134" s="13" t="str">
        <f>IF(OR('实盘净值数据(iFinD）'!$A134="",'实盘净值数据(iFinD）'!$B134=""),"",分期持仓明细!$AB$18*SUMPRODUCT(分期持仓明细!$B$18:$Y$18,'实盘净值数据(iFinD）'!$B134:$Y134/'实盘净值数据(iFinD）'!$B$20:$Y$20)*(1-实盘持仓初始配置!$Z$5)^(('实盘净值数据(iFinD）'!$A134-'实盘净值数据(iFinD）'!$A$5)/365))</f>
        <v/>
      </c>
      <c r="F134" s="16" t="str">
        <f t="shared" si="13"/>
        <v/>
      </c>
      <c r="G134" s="16" t="str">
        <f>IF(E134="","",E134/MAX(E$5:E134)-1)</f>
        <v/>
      </c>
      <c r="H134" s="13" t="str">
        <f>IF(OR('实盘净值数据(iFinD）'!$A134="",'实盘净值数据(iFinD）'!$B134=""),"",分期持仓明细!$AB$19*SUMPRODUCT(分期持仓明细!$B$19:$Y$19,'实盘净值数据(iFinD）'!$B134:$Y134/'实盘净值数据(iFinD）'!$B$20:$Y$20)*(1-实盘持仓初始配置!$Z$6)^(('实盘净值数据(iFinD）'!$A134-'实盘净值数据(iFinD）'!$A$7)/365))</f>
        <v/>
      </c>
      <c r="I134" s="16" t="str">
        <f t="shared" si="14"/>
        <v/>
      </c>
      <c r="J134" s="16" t="str">
        <f>IF(H134="","",H134/MAX(H$5:H134)-1)</f>
        <v/>
      </c>
      <c r="K134" s="13" t="str">
        <f>IF(OR('实盘净值数据(iFinD）'!$A134="",'实盘净值数据(iFinD）'!$B134="",'实盘净值数据(iFinD）'!$Z134="",'实盘净值数据(iFinD）'!$AA134=""),"",分期持仓明细!$AB$23*(SUMPRODUCT(分期持仓明细!$B$23:$Y$23,'实盘净值数据(iFinD）'!$B134:$Y134/'实盘净值数据(iFinD）'!$B$65:$Y$65)+SUMPRODUCT(分期持仓明细!$AC$23:$AD$23,'实盘净值数据(iFinD）'!$Z134:$AA134/'实盘净值数据(iFinD）'!$Z$65:$AA$65))*(1-实盘持仓初始配置!$Z$7)^(('实盘净值数据(iFinD）'!$A134-'实盘净值数据(iFinD）'!$A$8)/365))</f>
        <v/>
      </c>
      <c r="L134" s="16" t="str">
        <f t="shared" si="15"/>
        <v/>
      </c>
      <c r="M134" s="16" t="str">
        <f>IF(K134="","",K134/MAX(K$5:K134)-1)</f>
        <v/>
      </c>
      <c r="N134" s="13" t="str">
        <f>IF(OR('实盘净值数据(iFinD）'!$A134="",'实盘净值数据(iFinD）'!$B134="",'实盘净值数据(iFinD）'!$Z134="",'实盘净值数据(iFinD）'!$AA134=""),"",分期持仓明细!$AB$24*(SUMPRODUCT(分期持仓明细!$B$24:$Y$24,'实盘净值数据(iFinD）'!$B134:$Y134/'实盘净值数据(iFinD）'!$B$65:$Y$65)+SUMPRODUCT(分期持仓明细!$AC$24:$AD$24,'实盘净值数据(iFinD）'!$Z134:$AA134/'实盘净值数据(iFinD）'!$Z$65:$AA$65))*(1-实盘持仓初始配置!$Z$8)^(('实盘净值数据(iFinD）'!$A134-'实盘净值数据(iFinD）'!$A$5)/365))</f>
        <v/>
      </c>
      <c r="O134" s="16" t="str">
        <f t="shared" si="16"/>
        <v/>
      </c>
      <c r="P134" s="16" t="str">
        <f>IF(N134="","",N134/MAX(N$5:N134)-1)</f>
        <v/>
      </c>
      <c r="Q134" s="13" t="str">
        <f>IF(OR('实盘净值数据(iFinD）'!$A134="",'实盘净值数据(iFinD）'!$B134="",'实盘净值数据(iFinD）'!$Z134="",'实盘净值数据(iFinD）'!$AA134=""),"",分期持仓明细!$AB$25*(SUMPRODUCT(分期持仓明细!$B$25:$Y$25,'实盘净值数据(iFinD）'!$B134:$Y134/'实盘净值数据(iFinD）'!$B$65:$Y$65)+SUMPRODUCT(分期持仓明细!$AC$25:$AD$25,'实盘净值数据(iFinD）'!$Z134:$AA134/'实盘净值数据(iFinD）'!$Z$65:$AA$65))*(1-实盘持仓初始配置!$Z$9)^(('实盘净值数据(iFinD）'!$A134-'实盘净值数据(iFinD）'!$A$8)/365))</f>
        <v/>
      </c>
      <c r="R134" s="16" t="str">
        <f t="shared" si="17"/>
        <v/>
      </c>
      <c r="S134" s="16" t="str">
        <f>IF(Q134="","",Q134/MAX(Q$5:Q134)-1)</f>
        <v/>
      </c>
    </row>
    <row r="135" spans="1:19">
      <c r="A135" s="15" t="str">
        <f>IF('实盘净值数据(iFinD）'!A135="","",'实盘净值数据(iFinD）'!A135)</f>
        <v/>
      </c>
      <c r="B135" s="13" t="str">
        <f>IF(OR('实盘净值数据(iFinD）'!$A135="",'实盘净值数据(iFinD）'!$B135=""),"",分期持仓明细!$AB$17*SUMPRODUCT(分期持仓明细!$B$17:$Y$17,'实盘净值数据(iFinD）'!$B135:$Y135/'实盘净值数据(iFinD）'!$B$20:$Y$20)*(1-实盘持仓初始配置!$Z$4)^(('实盘净值数据(iFinD）'!$A135-'实盘净值数据(iFinD）'!$A$6)/365))</f>
        <v/>
      </c>
      <c r="C135" s="16" t="str">
        <f t="shared" si="12"/>
        <v/>
      </c>
      <c r="D135" s="16" t="str">
        <f>IF(B135="","",B135/MAX(B$5:B135)-1)</f>
        <v/>
      </c>
      <c r="E135" s="13" t="str">
        <f>IF(OR('实盘净值数据(iFinD）'!$A135="",'实盘净值数据(iFinD）'!$B135=""),"",分期持仓明细!$AB$18*SUMPRODUCT(分期持仓明细!$B$18:$Y$18,'实盘净值数据(iFinD）'!$B135:$Y135/'实盘净值数据(iFinD）'!$B$20:$Y$20)*(1-实盘持仓初始配置!$Z$5)^(('实盘净值数据(iFinD）'!$A135-'实盘净值数据(iFinD）'!$A$5)/365))</f>
        <v/>
      </c>
      <c r="F135" s="16" t="str">
        <f t="shared" si="13"/>
        <v/>
      </c>
      <c r="G135" s="16" t="str">
        <f>IF(E135="","",E135/MAX(E$5:E135)-1)</f>
        <v/>
      </c>
      <c r="H135" s="13" t="str">
        <f>IF(OR('实盘净值数据(iFinD）'!$A135="",'实盘净值数据(iFinD）'!$B135=""),"",分期持仓明细!$AB$19*SUMPRODUCT(分期持仓明细!$B$19:$Y$19,'实盘净值数据(iFinD）'!$B135:$Y135/'实盘净值数据(iFinD）'!$B$20:$Y$20)*(1-实盘持仓初始配置!$Z$6)^(('实盘净值数据(iFinD）'!$A135-'实盘净值数据(iFinD）'!$A$7)/365))</f>
        <v/>
      </c>
      <c r="I135" s="16" t="str">
        <f t="shared" si="14"/>
        <v/>
      </c>
      <c r="J135" s="16" t="str">
        <f>IF(H135="","",H135/MAX(H$5:H135)-1)</f>
        <v/>
      </c>
      <c r="K135" s="13" t="str">
        <f>IF(OR('实盘净值数据(iFinD）'!$A135="",'实盘净值数据(iFinD）'!$B135="",'实盘净值数据(iFinD）'!$Z135="",'实盘净值数据(iFinD）'!$AA135=""),"",分期持仓明细!$AB$23*(SUMPRODUCT(分期持仓明细!$B$23:$Y$23,'实盘净值数据(iFinD）'!$B135:$Y135/'实盘净值数据(iFinD）'!$B$65:$Y$65)+SUMPRODUCT(分期持仓明细!$AC$23:$AD$23,'实盘净值数据(iFinD）'!$Z135:$AA135/'实盘净值数据(iFinD）'!$Z$65:$AA$65))*(1-实盘持仓初始配置!$Z$7)^(('实盘净值数据(iFinD）'!$A135-'实盘净值数据(iFinD）'!$A$8)/365))</f>
        <v/>
      </c>
      <c r="L135" s="16" t="str">
        <f t="shared" si="15"/>
        <v/>
      </c>
      <c r="M135" s="16" t="str">
        <f>IF(K135="","",K135/MAX(K$5:K135)-1)</f>
        <v/>
      </c>
      <c r="N135" s="13" t="str">
        <f>IF(OR('实盘净值数据(iFinD）'!$A135="",'实盘净值数据(iFinD）'!$B135="",'实盘净值数据(iFinD）'!$Z135="",'实盘净值数据(iFinD）'!$AA135=""),"",分期持仓明细!$AB$24*(SUMPRODUCT(分期持仓明细!$B$24:$Y$24,'实盘净值数据(iFinD）'!$B135:$Y135/'实盘净值数据(iFinD）'!$B$65:$Y$65)+SUMPRODUCT(分期持仓明细!$AC$24:$AD$24,'实盘净值数据(iFinD）'!$Z135:$AA135/'实盘净值数据(iFinD）'!$Z$65:$AA$65))*(1-实盘持仓初始配置!$Z$8)^(('实盘净值数据(iFinD）'!$A135-'实盘净值数据(iFinD）'!$A$5)/365))</f>
        <v/>
      </c>
      <c r="O135" s="16" t="str">
        <f t="shared" si="16"/>
        <v/>
      </c>
      <c r="P135" s="16" t="str">
        <f>IF(N135="","",N135/MAX(N$5:N135)-1)</f>
        <v/>
      </c>
      <c r="Q135" s="13" t="str">
        <f>IF(OR('实盘净值数据(iFinD）'!$A135="",'实盘净值数据(iFinD）'!$B135="",'实盘净值数据(iFinD）'!$Z135="",'实盘净值数据(iFinD）'!$AA135=""),"",分期持仓明细!$AB$25*(SUMPRODUCT(分期持仓明细!$B$25:$Y$25,'实盘净值数据(iFinD）'!$B135:$Y135/'实盘净值数据(iFinD）'!$B$65:$Y$65)+SUMPRODUCT(分期持仓明细!$AC$25:$AD$25,'实盘净值数据(iFinD）'!$Z135:$AA135/'实盘净值数据(iFinD）'!$Z$65:$AA$65))*(1-实盘持仓初始配置!$Z$9)^(('实盘净值数据(iFinD）'!$A135-'实盘净值数据(iFinD）'!$A$8)/365))</f>
        <v/>
      </c>
      <c r="R135" s="16" t="str">
        <f t="shared" si="17"/>
        <v/>
      </c>
      <c r="S135" s="16" t="str">
        <f>IF(Q135="","",Q135/MAX(Q$5:Q135)-1)</f>
        <v/>
      </c>
    </row>
    <row r="136" spans="1:19">
      <c r="A136" s="15" t="str">
        <f>IF('实盘净值数据(iFinD）'!A136="","",'实盘净值数据(iFinD）'!A136)</f>
        <v/>
      </c>
      <c r="B136" s="13" t="str">
        <f>IF(OR('实盘净值数据(iFinD）'!$A136="",'实盘净值数据(iFinD）'!$B136=""),"",分期持仓明细!$AB$17*SUMPRODUCT(分期持仓明细!$B$17:$Y$17,'实盘净值数据(iFinD）'!$B136:$Y136/'实盘净值数据(iFinD）'!$B$20:$Y$20)*(1-实盘持仓初始配置!$Z$4)^(('实盘净值数据(iFinD）'!$A136-'实盘净值数据(iFinD）'!$A$6)/365))</f>
        <v/>
      </c>
      <c r="C136" s="16" t="str">
        <f t="shared" si="12"/>
        <v/>
      </c>
      <c r="D136" s="16" t="str">
        <f>IF(B136="","",B136/MAX(B$5:B136)-1)</f>
        <v/>
      </c>
      <c r="E136" s="13" t="str">
        <f>IF(OR('实盘净值数据(iFinD）'!$A136="",'实盘净值数据(iFinD）'!$B136=""),"",分期持仓明细!$AB$18*SUMPRODUCT(分期持仓明细!$B$18:$Y$18,'实盘净值数据(iFinD）'!$B136:$Y136/'实盘净值数据(iFinD）'!$B$20:$Y$20)*(1-实盘持仓初始配置!$Z$5)^(('实盘净值数据(iFinD）'!$A136-'实盘净值数据(iFinD）'!$A$5)/365))</f>
        <v/>
      </c>
      <c r="F136" s="16" t="str">
        <f t="shared" si="13"/>
        <v/>
      </c>
      <c r="G136" s="16" t="str">
        <f>IF(E136="","",E136/MAX(E$5:E136)-1)</f>
        <v/>
      </c>
      <c r="H136" s="13" t="str">
        <f>IF(OR('实盘净值数据(iFinD）'!$A136="",'实盘净值数据(iFinD）'!$B136=""),"",分期持仓明细!$AB$19*SUMPRODUCT(分期持仓明细!$B$19:$Y$19,'实盘净值数据(iFinD）'!$B136:$Y136/'实盘净值数据(iFinD）'!$B$20:$Y$20)*(1-实盘持仓初始配置!$Z$6)^(('实盘净值数据(iFinD）'!$A136-'实盘净值数据(iFinD）'!$A$7)/365))</f>
        <v/>
      </c>
      <c r="I136" s="16" t="str">
        <f t="shared" si="14"/>
        <v/>
      </c>
      <c r="J136" s="16" t="str">
        <f>IF(H136="","",H136/MAX(H$5:H136)-1)</f>
        <v/>
      </c>
      <c r="K136" s="13" t="str">
        <f>IF(OR('实盘净值数据(iFinD）'!$A136="",'实盘净值数据(iFinD）'!$B136="",'实盘净值数据(iFinD）'!$Z136="",'实盘净值数据(iFinD）'!$AA136=""),"",分期持仓明细!$AB$23*(SUMPRODUCT(分期持仓明细!$B$23:$Y$23,'实盘净值数据(iFinD）'!$B136:$Y136/'实盘净值数据(iFinD）'!$B$65:$Y$65)+SUMPRODUCT(分期持仓明细!$AC$23:$AD$23,'实盘净值数据(iFinD）'!$Z136:$AA136/'实盘净值数据(iFinD）'!$Z$65:$AA$65))*(1-实盘持仓初始配置!$Z$7)^(('实盘净值数据(iFinD）'!$A136-'实盘净值数据(iFinD）'!$A$8)/365))</f>
        <v/>
      </c>
      <c r="L136" s="16" t="str">
        <f t="shared" si="15"/>
        <v/>
      </c>
      <c r="M136" s="16" t="str">
        <f>IF(K136="","",K136/MAX(K$5:K136)-1)</f>
        <v/>
      </c>
      <c r="N136" s="13" t="str">
        <f>IF(OR('实盘净值数据(iFinD）'!$A136="",'实盘净值数据(iFinD）'!$B136="",'实盘净值数据(iFinD）'!$Z136="",'实盘净值数据(iFinD）'!$AA136=""),"",分期持仓明细!$AB$24*(SUMPRODUCT(分期持仓明细!$B$24:$Y$24,'实盘净值数据(iFinD）'!$B136:$Y136/'实盘净值数据(iFinD）'!$B$65:$Y$65)+SUMPRODUCT(分期持仓明细!$AC$24:$AD$24,'实盘净值数据(iFinD）'!$Z136:$AA136/'实盘净值数据(iFinD）'!$Z$65:$AA$65))*(1-实盘持仓初始配置!$Z$8)^(('实盘净值数据(iFinD）'!$A136-'实盘净值数据(iFinD）'!$A$5)/365))</f>
        <v/>
      </c>
      <c r="O136" s="16" t="str">
        <f t="shared" si="16"/>
        <v/>
      </c>
      <c r="P136" s="16" t="str">
        <f>IF(N136="","",N136/MAX(N$5:N136)-1)</f>
        <v/>
      </c>
      <c r="Q136" s="13" t="str">
        <f>IF(OR('实盘净值数据(iFinD）'!$A136="",'实盘净值数据(iFinD）'!$B136="",'实盘净值数据(iFinD）'!$Z136="",'实盘净值数据(iFinD）'!$AA136=""),"",分期持仓明细!$AB$25*(SUMPRODUCT(分期持仓明细!$B$25:$Y$25,'实盘净值数据(iFinD）'!$B136:$Y136/'实盘净值数据(iFinD）'!$B$65:$Y$65)+SUMPRODUCT(分期持仓明细!$AC$25:$AD$25,'实盘净值数据(iFinD）'!$Z136:$AA136/'实盘净值数据(iFinD）'!$Z$65:$AA$65))*(1-实盘持仓初始配置!$Z$9)^(('实盘净值数据(iFinD）'!$A136-'实盘净值数据(iFinD）'!$A$8)/365))</f>
        <v/>
      </c>
      <c r="R136" s="16" t="str">
        <f t="shared" si="17"/>
        <v/>
      </c>
      <c r="S136" s="16" t="str">
        <f>IF(Q136="","",Q136/MAX(Q$5:Q136)-1)</f>
        <v/>
      </c>
    </row>
    <row r="137" spans="1:19">
      <c r="A137" s="15" t="str">
        <f>IF('实盘净值数据(iFinD）'!A137="","",'实盘净值数据(iFinD）'!A137)</f>
        <v/>
      </c>
      <c r="B137" s="13" t="str">
        <f>IF(OR('实盘净值数据(iFinD）'!$A137="",'实盘净值数据(iFinD）'!$B137=""),"",分期持仓明细!$AB$17*SUMPRODUCT(分期持仓明细!$B$17:$Y$17,'实盘净值数据(iFinD）'!$B137:$Y137/'实盘净值数据(iFinD）'!$B$20:$Y$20)*(1-实盘持仓初始配置!$Z$4)^(('实盘净值数据(iFinD）'!$A137-'实盘净值数据(iFinD）'!$A$6)/365))</f>
        <v/>
      </c>
      <c r="C137" s="16" t="str">
        <f t="shared" si="12"/>
        <v/>
      </c>
      <c r="D137" s="16" t="str">
        <f>IF(B137="","",B137/MAX(B$5:B137)-1)</f>
        <v/>
      </c>
      <c r="E137" s="13" t="str">
        <f>IF(OR('实盘净值数据(iFinD）'!$A137="",'实盘净值数据(iFinD）'!$B137=""),"",分期持仓明细!$AB$18*SUMPRODUCT(分期持仓明细!$B$18:$Y$18,'实盘净值数据(iFinD）'!$B137:$Y137/'实盘净值数据(iFinD）'!$B$20:$Y$20)*(1-实盘持仓初始配置!$Z$5)^(('实盘净值数据(iFinD）'!$A137-'实盘净值数据(iFinD）'!$A$5)/365))</f>
        <v/>
      </c>
      <c r="F137" s="16" t="str">
        <f t="shared" si="13"/>
        <v/>
      </c>
      <c r="G137" s="16" t="str">
        <f>IF(E137="","",E137/MAX(E$5:E137)-1)</f>
        <v/>
      </c>
      <c r="H137" s="13" t="str">
        <f>IF(OR('实盘净值数据(iFinD）'!$A137="",'实盘净值数据(iFinD）'!$B137=""),"",分期持仓明细!$AB$19*SUMPRODUCT(分期持仓明细!$B$19:$Y$19,'实盘净值数据(iFinD）'!$B137:$Y137/'实盘净值数据(iFinD）'!$B$20:$Y$20)*(1-实盘持仓初始配置!$Z$6)^(('实盘净值数据(iFinD）'!$A137-'实盘净值数据(iFinD）'!$A$7)/365))</f>
        <v/>
      </c>
      <c r="I137" s="16" t="str">
        <f t="shared" si="14"/>
        <v/>
      </c>
      <c r="J137" s="16" t="str">
        <f>IF(H137="","",H137/MAX(H$5:H137)-1)</f>
        <v/>
      </c>
      <c r="K137" s="13" t="str">
        <f>IF(OR('实盘净值数据(iFinD）'!$A137="",'实盘净值数据(iFinD）'!$B137="",'实盘净值数据(iFinD）'!$Z137="",'实盘净值数据(iFinD）'!$AA137=""),"",分期持仓明细!$AB$23*(SUMPRODUCT(分期持仓明细!$B$23:$Y$23,'实盘净值数据(iFinD）'!$B137:$Y137/'实盘净值数据(iFinD）'!$B$65:$Y$65)+SUMPRODUCT(分期持仓明细!$AC$23:$AD$23,'实盘净值数据(iFinD）'!$Z137:$AA137/'实盘净值数据(iFinD）'!$Z$65:$AA$65))*(1-实盘持仓初始配置!$Z$7)^(('实盘净值数据(iFinD）'!$A137-'实盘净值数据(iFinD）'!$A$8)/365))</f>
        <v/>
      </c>
      <c r="L137" s="16" t="str">
        <f t="shared" si="15"/>
        <v/>
      </c>
      <c r="M137" s="16" t="str">
        <f>IF(K137="","",K137/MAX(K$5:K137)-1)</f>
        <v/>
      </c>
      <c r="N137" s="13" t="str">
        <f>IF(OR('实盘净值数据(iFinD）'!$A137="",'实盘净值数据(iFinD）'!$B137="",'实盘净值数据(iFinD）'!$Z137="",'实盘净值数据(iFinD）'!$AA137=""),"",分期持仓明细!$AB$24*(SUMPRODUCT(分期持仓明细!$B$24:$Y$24,'实盘净值数据(iFinD）'!$B137:$Y137/'实盘净值数据(iFinD）'!$B$65:$Y$65)+SUMPRODUCT(分期持仓明细!$AC$24:$AD$24,'实盘净值数据(iFinD）'!$Z137:$AA137/'实盘净值数据(iFinD）'!$Z$65:$AA$65))*(1-实盘持仓初始配置!$Z$8)^(('实盘净值数据(iFinD）'!$A137-'实盘净值数据(iFinD）'!$A$5)/365))</f>
        <v/>
      </c>
      <c r="O137" s="16" t="str">
        <f t="shared" si="16"/>
        <v/>
      </c>
      <c r="P137" s="16" t="str">
        <f>IF(N137="","",N137/MAX(N$5:N137)-1)</f>
        <v/>
      </c>
      <c r="Q137" s="13" t="str">
        <f>IF(OR('实盘净值数据(iFinD）'!$A137="",'实盘净值数据(iFinD）'!$B137="",'实盘净值数据(iFinD）'!$Z137="",'实盘净值数据(iFinD）'!$AA137=""),"",分期持仓明细!$AB$25*(SUMPRODUCT(分期持仓明细!$B$25:$Y$25,'实盘净值数据(iFinD）'!$B137:$Y137/'实盘净值数据(iFinD）'!$B$65:$Y$65)+SUMPRODUCT(分期持仓明细!$AC$25:$AD$25,'实盘净值数据(iFinD）'!$Z137:$AA137/'实盘净值数据(iFinD）'!$Z$65:$AA$65))*(1-实盘持仓初始配置!$Z$9)^(('实盘净值数据(iFinD）'!$A137-'实盘净值数据(iFinD）'!$A$8)/365))</f>
        <v/>
      </c>
      <c r="R137" s="16" t="str">
        <f t="shared" si="17"/>
        <v/>
      </c>
      <c r="S137" s="16" t="str">
        <f>IF(Q137="","",Q137/MAX(Q$5:Q137)-1)</f>
        <v/>
      </c>
    </row>
    <row r="138" spans="1:19">
      <c r="A138" s="15" t="str">
        <f>IF('实盘净值数据(iFinD）'!A138="","",'实盘净值数据(iFinD）'!A138)</f>
        <v/>
      </c>
      <c r="B138" s="13" t="str">
        <f>IF(OR('实盘净值数据(iFinD）'!$A138="",'实盘净值数据(iFinD）'!$B138=""),"",分期持仓明细!$AB$17*SUMPRODUCT(分期持仓明细!$B$17:$Y$17,'实盘净值数据(iFinD）'!$B138:$Y138/'实盘净值数据(iFinD）'!$B$20:$Y$20)*(1-实盘持仓初始配置!$Z$4)^(('实盘净值数据(iFinD）'!$A138-'实盘净值数据(iFinD）'!$A$6)/365))</f>
        <v/>
      </c>
      <c r="C138" s="16" t="str">
        <f t="shared" si="12"/>
        <v/>
      </c>
      <c r="D138" s="16" t="str">
        <f>IF(B138="","",B138/MAX(B$5:B138)-1)</f>
        <v/>
      </c>
      <c r="E138" s="13" t="str">
        <f>IF(OR('实盘净值数据(iFinD）'!$A138="",'实盘净值数据(iFinD）'!$B138=""),"",分期持仓明细!$AB$18*SUMPRODUCT(分期持仓明细!$B$18:$Y$18,'实盘净值数据(iFinD）'!$B138:$Y138/'实盘净值数据(iFinD）'!$B$20:$Y$20)*(1-实盘持仓初始配置!$Z$5)^(('实盘净值数据(iFinD）'!$A138-'实盘净值数据(iFinD）'!$A$5)/365))</f>
        <v/>
      </c>
      <c r="F138" s="16" t="str">
        <f t="shared" si="13"/>
        <v/>
      </c>
      <c r="G138" s="16" t="str">
        <f>IF(E138="","",E138/MAX(E$5:E138)-1)</f>
        <v/>
      </c>
      <c r="H138" s="13" t="str">
        <f>IF(OR('实盘净值数据(iFinD）'!$A138="",'实盘净值数据(iFinD）'!$B138=""),"",分期持仓明细!$AB$19*SUMPRODUCT(分期持仓明细!$B$19:$Y$19,'实盘净值数据(iFinD）'!$B138:$Y138/'实盘净值数据(iFinD）'!$B$20:$Y$20)*(1-实盘持仓初始配置!$Z$6)^(('实盘净值数据(iFinD）'!$A138-'实盘净值数据(iFinD）'!$A$7)/365))</f>
        <v/>
      </c>
      <c r="I138" s="16" t="str">
        <f t="shared" si="14"/>
        <v/>
      </c>
      <c r="J138" s="16" t="str">
        <f>IF(H138="","",H138/MAX(H$5:H138)-1)</f>
        <v/>
      </c>
      <c r="K138" s="13" t="str">
        <f>IF(OR('实盘净值数据(iFinD）'!$A138="",'实盘净值数据(iFinD）'!$B138="",'实盘净值数据(iFinD）'!$Z138="",'实盘净值数据(iFinD）'!$AA138=""),"",分期持仓明细!$AB$23*(SUMPRODUCT(分期持仓明细!$B$23:$Y$23,'实盘净值数据(iFinD）'!$B138:$Y138/'实盘净值数据(iFinD）'!$B$65:$Y$65)+SUMPRODUCT(分期持仓明细!$AC$23:$AD$23,'实盘净值数据(iFinD）'!$Z138:$AA138/'实盘净值数据(iFinD）'!$Z$65:$AA$65))*(1-实盘持仓初始配置!$Z$7)^(('实盘净值数据(iFinD）'!$A138-'实盘净值数据(iFinD）'!$A$8)/365))</f>
        <v/>
      </c>
      <c r="L138" s="16" t="str">
        <f t="shared" si="15"/>
        <v/>
      </c>
      <c r="M138" s="16" t="str">
        <f>IF(K138="","",K138/MAX(K$5:K138)-1)</f>
        <v/>
      </c>
      <c r="N138" s="13" t="str">
        <f>IF(OR('实盘净值数据(iFinD）'!$A138="",'实盘净值数据(iFinD）'!$B138="",'实盘净值数据(iFinD）'!$Z138="",'实盘净值数据(iFinD）'!$AA138=""),"",分期持仓明细!$AB$24*(SUMPRODUCT(分期持仓明细!$B$24:$Y$24,'实盘净值数据(iFinD）'!$B138:$Y138/'实盘净值数据(iFinD）'!$B$65:$Y$65)+SUMPRODUCT(分期持仓明细!$AC$24:$AD$24,'实盘净值数据(iFinD）'!$Z138:$AA138/'实盘净值数据(iFinD）'!$Z$65:$AA$65))*(1-实盘持仓初始配置!$Z$8)^(('实盘净值数据(iFinD）'!$A138-'实盘净值数据(iFinD）'!$A$5)/365))</f>
        <v/>
      </c>
      <c r="O138" s="16" t="str">
        <f t="shared" si="16"/>
        <v/>
      </c>
      <c r="P138" s="16" t="str">
        <f>IF(N138="","",N138/MAX(N$5:N138)-1)</f>
        <v/>
      </c>
      <c r="Q138" s="13" t="str">
        <f>IF(OR('实盘净值数据(iFinD）'!$A138="",'实盘净值数据(iFinD）'!$B138="",'实盘净值数据(iFinD）'!$Z138="",'实盘净值数据(iFinD）'!$AA138=""),"",分期持仓明细!$AB$25*(SUMPRODUCT(分期持仓明细!$B$25:$Y$25,'实盘净值数据(iFinD）'!$B138:$Y138/'实盘净值数据(iFinD）'!$B$65:$Y$65)+SUMPRODUCT(分期持仓明细!$AC$25:$AD$25,'实盘净值数据(iFinD）'!$Z138:$AA138/'实盘净值数据(iFinD）'!$Z$65:$AA$65))*(1-实盘持仓初始配置!$Z$9)^(('实盘净值数据(iFinD）'!$A138-'实盘净值数据(iFinD）'!$A$8)/365))</f>
        <v/>
      </c>
      <c r="R138" s="16" t="str">
        <f t="shared" si="17"/>
        <v/>
      </c>
      <c r="S138" s="16" t="str">
        <f>IF(Q138="","",Q138/MAX(Q$5:Q138)-1)</f>
        <v/>
      </c>
    </row>
    <row r="139" spans="1:19">
      <c r="A139" s="15" t="str">
        <f>IF('实盘净值数据(iFinD）'!A139="","",'实盘净值数据(iFinD）'!A139)</f>
        <v/>
      </c>
      <c r="B139" s="13" t="str">
        <f>IF(OR('实盘净值数据(iFinD）'!$A139="",'实盘净值数据(iFinD）'!$B139=""),"",分期持仓明细!$AB$17*SUMPRODUCT(分期持仓明细!$B$17:$Y$17,'实盘净值数据(iFinD）'!$B139:$Y139/'实盘净值数据(iFinD）'!$B$20:$Y$20)*(1-实盘持仓初始配置!$Z$4)^(('实盘净值数据(iFinD）'!$A139-'实盘净值数据(iFinD）'!$A$6)/365))</f>
        <v/>
      </c>
      <c r="C139" s="16" t="str">
        <f t="shared" si="12"/>
        <v/>
      </c>
      <c r="D139" s="16" t="str">
        <f>IF(B139="","",B139/MAX(B$5:B139)-1)</f>
        <v/>
      </c>
      <c r="E139" s="13" t="str">
        <f>IF(OR('实盘净值数据(iFinD）'!$A139="",'实盘净值数据(iFinD）'!$B139=""),"",分期持仓明细!$AB$18*SUMPRODUCT(分期持仓明细!$B$18:$Y$18,'实盘净值数据(iFinD）'!$B139:$Y139/'实盘净值数据(iFinD）'!$B$20:$Y$20)*(1-实盘持仓初始配置!$Z$5)^(('实盘净值数据(iFinD）'!$A139-'实盘净值数据(iFinD）'!$A$5)/365))</f>
        <v/>
      </c>
      <c r="F139" s="16" t="str">
        <f t="shared" si="13"/>
        <v/>
      </c>
      <c r="G139" s="16" t="str">
        <f>IF(E139="","",E139/MAX(E$5:E139)-1)</f>
        <v/>
      </c>
      <c r="H139" s="13" t="str">
        <f>IF(OR('实盘净值数据(iFinD）'!$A139="",'实盘净值数据(iFinD）'!$B139=""),"",分期持仓明细!$AB$19*SUMPRODUCT(分期持仓明细!$B$19:$Y$19,'实盘净值数据(iFinD）'!$B139:$Y139/'实盘净值数据(iFinD）'!$B$20:$Y$20)*(1-实盘持仓初始配置!$Z$6)^(('实盘净值数据(iFinD）'!$A139-'实盘净值数据(iFinD）'!$A$7)/365))</f>
        <v/>
      </c>
      <c r="I139" s="16" t="str">
        <f t="shared" si="14"/>
        <v/>
      </c>
      <c r="J139" s="16" t="str">
        <f>IF(H139="","",H139/MAX(H$5:H139)-1)</f>
        <v/>
      </c>
      <c r="K139" s="13" t="str">
        <f>IF(OR('实盘净值数据(iFinD）'!$A139="",'实盘净值数据(iFinD）'!$B139="",'实盘净值数据(iFinD）'!$Z139="",'实盘净值数据(iFinD）'!$AA139=""),"",分期持仓明细!$AB$23*(SUMPRODUCT(分期持仓明细!$B$23:$Y$23,'实盘净值数据(iFinD）'!$B139:$Y139/'实盘净值数据(iFinD）'!$B$65:$Y$65)+SUMPRODUCT(分期持仓明细!$AC$23:$AD$23,'实盘净值数据(iFinD）'!$Z139:$AA139/'实盘净值数据(iFinD）'!$Z$65:$AA$65))*(1-实盘持仓初始配置!$Z$7)^(('实盘净值数据(iFinD）'!$A139-'实盘净值数据(iFinD）'!$A$8)/365))</f>
        <v/>
      </c>
      <c r="L139" s="16" t="str">
        <f t="shared" si="15"/>
        <v/>
      </c>
      <c r="M139" s="16" t="str">
        <f>IF(K139="","",K139/MAX(K$5:K139)-1)</f>
        <v/>
      </c>
      <c r="N139" s="13" t="str">
        <f>IF(OR('实盘净值数据(iFinD）'!$A139="",'实盘净值数据(iFinD）'!$B139="",'实盘净值数据(iFinD）'!$Z139="",'实盘净值数据(iFinD）'!$AA139=""),"",分期持仓明细!$AB$24*(SUMPRODUCT(分期持仓明细!$B$24:$Y$24,'实盘净值数据(iFinD）'!$B139:$Y139/'实盘净值数据(iFinD）'!$B$65:$Y$65)+SUMPRODUCT(分期持仓明细!$AC$24:$AD$24,'实盘净值数据(iFinD）'!$Z139:$AA139/'实盘净值数据(iFinD）'!$Z$65:$AA$65))*(1-实盘持仓初始配置!$Z$8)^(('实盘净值数据(iFinD）'!$A139-'实盘净值数据(iFinD）'!$A$5)/365))</f>
        <v/>
      </c>
      <c r="O139" s="16" t="str">
        <f t="shared" si="16"/>
        <v/>
      </c>
      <c r="P139" s="16" t="str">
        <f>IF(N139="","",N139/MAX(N$5:N139)-1)</f>
        <v/>
      </c>
      <c r="Q139" s="13" t="str">
        <f>IF(OR('实盘净值数据(iFinD）'!$A139="",'实盘净值数据(iFinD）'!$B139="",'实盘净值数据(iFinD）'!$Z139="",'实盘净值数据(iFinD）'!$AA139=""),"",分期持仓明细!$AB$25*(SUMPRODUCT(分期持仓明细!$B$25:$Y$25,'实盘净值数据(iFinD）'!$B139:$Y139/'实盘净值数据(iFinD）'!$B$65:$Y$65)+SUMPRODUCT(分期持仓明细!$AC$25:$AD$25,'实盘净值数据(iFinD）'!$Z139:$AA139/'实盘净值数据(iFinD）'!$Z$65:$AA$65))*(1-实盘持仓初始配置!$Z$9)^(('实盘净值数据(iFinD）'!$A139-'实盘净值数据(iFinD）'!$A$8)/365))</f>
        <v/>
      </c>
      <c r="R139" s="16" t="str">
        <f t="shared" si="17"/>
        <v/>
      </c>
      <c r="S139" s="16" t="str">
        <f>IF(Q139="","",Q139/MAX(Q$5:Q139)-1)</f>
        <v/>
      </c>
    </row>
    <row r="140" spans="1:19">
      <c r="A140" s="15" t="str">
        <f>IF('实盘净值数据(iFinD）'!A140="","",'实盘净值数据(iFinD）'!A140)</f>
        <v/>
      </c>
      <c r="B140" s="13" t="str">
        <f>IF(OR('实盘净值数据(iFinD）'!$A140="",'实盘净值数据(iFinD）'!$B140=""),"",分期持仓明细!$AB$17*SUMPRODUCT(分期持仓明细!$B$17:$Y$17,'实盘净值数据(iFinD）'!$B140:$Y140/'实盘净值数据(iFinD）'!$B$20:$Y$20)*(1-实盘持仓初始配置!$Z$4)^(('实盘净值数据(iFinD）'!$A140-'实盘净值数据(iFinD）'!$A$6)/365))</f>
        <v/>
      </c>
      <c r="C140" s="16" t="str">
        <f t="shared" si="12"/>
        <v/>
      </c>
      <c r="D140" s="16" t="str">
        <f>IF(B140="","",B140/MAX(B$5:B140)-1)</f>
        <v/>
      </c>
      <c r="E140" s="13" t="str">
        <f>IF(OR('实盘净值数据(iFinD）'!$A140="",'实盘净值数据(iFinD）'!$B140=""),"",分期持仓明细!$AB$18*SUMPRODUCT(分期持仓明细!$B$18:$Y$18,'实盘净值数据(iFinD）'!$B140:$Y140/'实盘净值数据(iFinD）'!$B$20:$Y$20)*(1-实盘持仓初始配置!$Z$5)^(('实盘净值数据(iFinD）'!$A140-'实盘净值数据(iFinD）'!$A$5)/365))</f>
        <v/>
      </c>
      <c r="F140" s="16" t="str">
        <f t="shared" si="13"/>
        <v/>
      </c>
      <c r="G140" s="16" t="str">
        <f>IF(E140="","",E140/MAX(E$5:E140)-1)</f>
        <v/>
      </c>
      <c r="H140" s="13" t="str">
        <f>IF(OR('实盘净值数据(iFinD）'!$A140="",'实盘净值数据(iFinD）'!$B140=""),"",分期持仓明细!$AB$19*SUMPRODUCT(分期持仓明细!$B$19:$Y$19,'实盘净值数据(iFinD）'!$B140:$Y140/'实盘净值数据(iFinD）'!$B$20:$Y$20)*(1-实盘持仓初始配置!$Z$6)^(('实盘净值数据(iFinD）'!$A140-'实盘净值数据(iFinD）'!$A$7)/365))</f>
        <v/>
      </c>
      <c r="I140" s="16" t="str">
        <f t="shared" si="14"/>
        <v/>
      </c>
      <c r="J140" s="16" t="str">
        <f>IF(H140="","",H140/MAX(H$5:H140)-1)</f>
        <v/>
      </c>
      <c r="K140" s="13" t="str">
        <f>IF(OR('实盘净值数据(iFinD）'!$A140="",'实盘净值数据(iFinD）'!$B140="",'实盘净值数据(iFinD）'!$Z140="",'实盘净值数据(iFinD）'!$AA140=""),"",分期持仓明细!$AB$23*(SUMPRODUCT(分期持仓明细!$B$23:$Y$23,'实盘净值数据(iFinD）'!$B140:$Y140/'实盘净值数据(iFinD）'!$B$65:$Y$65)+SUMPRODUCT(分期持仓明细!$AC$23:$AD$23,'实盘净值数据(iFinD）'!$Z140:$AA140/'实盘净值数据(iFinD）'!$Z$65:$AA$65))*(1-实盘持仓初始配置!$Z$7)^(('实盘净值数据(iFinD）'!$A140-'实盘净值数据(iFinD）'!$A$8)/365))</f>
        <v/>
      </c>
      <c r="L140" s="16" t="str">
        <f t="shared" si="15"/>
        <v/>
      </c>
      <c r="M140" s="16" t="str">
        <f>IF(K140="","",K140/MAX(K$5:K140)-1)</f>
        <v/>
      </c>
      <c r="N140" s="13" t="str">
        <f>IF(OR('实盘净值数据(iFinD）'!$A140="",'实盘净值数据(iFinD）'!$B140="",'实盘净值数据(iFinD）'!$Z140="",'实盘净值数据(iFinD）'!$AA140=""),"",分期持仓明细!$AB$24*(SUMPRODUCT(分期持仓明细!$B$24:$Y$24,'实盘净值数据(iFinD）'!$B140:$Y140/'实盘净值数据(iFinD）'!$B$65:$Y$65)+SUMPRODUCT(分期持仓明细!$AC$24:$AD$24,'实盘净值数据(iFinD）'!$Z140:$AA140/'实盘净值数据(iFinD）'!$Z$65:$AA$65))*(1-实盘持仓初始配置!$Z$8)^(('实盘净值数据(iFinD）'!$A140-'实盘净值数据(iFinD）'!$A$5)/365))</f>
        <v/>
      </c>
      <c r="O140" s="16" t="str">
        <f t="shared" si="16"/>
        <v/>
      </c>
      <c r="P140" s="16" t="str">
        <f>IF(N140="","",N140/MAX(N$5:N140)-1)</f>
        <v/>
      </c>
      <c r="Q140" s="13" t="str">
        <f>IF(OR('实盘净值数据(iFinD）'!$A140="",'实盘净值数据(iFinD）'!$B140="",'实盘净值数据(iFinD）'!$Z140="",'实盘净值数据(iFinD）'!$AA140=""),"",分期持仓明细!$AB$25*(SUMPRODUCT(分期持仓明细!$B$25:$Y$25,'实盘净值数据(iFinD）'!$B140:$Y140/'实盘净值数据(iFinD）'!$B$65:$Y$65)+SUMPRODUCT(分期持仓明细!$AC$25:$AD$25,'实盘净值数据(iFinD）'!$Z140:$AA140/'实盘净值数据(iFinD）'!$Z$65:$AA$65))*(1-实盘持仓初始配置!$Z$9)^(('实盘净值数据(iFinD）'!$A140-'实盘净值数据(iFinD）'!$A$8)/365))</f>
        <v/>
      </c>
      <c r="R140" s="16" t="str">
        <f t="shared" si="17"/>
        <v/>
      </c>
      <c r="S140" s="16" t="str">
        <f>IF(Q140="","",Q140/MAX(Q$5:Q140)-1)</f>
        <v/>
      </c>
    </row>
    <row r="141" spans="1:19">
      <c r="A141" s="15" t="str">
        <f>IF('实盘净值数据(iFinD）'!A141="","",'实盘净值数据(iFinD）'!A141)</f>
        <v/>
      </c>
      <c r="B141" s="13" t="str">
        <f>IF(OR('实盘净值数据(iFinD）'!$A141="",'实盘净值数据(iFinD）'!$B141=""),"",分期持仓明细!$AB$17*SUMPRODUCT(分期持仓明细!$B$17:$Y$17,'实盘净值数据(iFinD）'!$B141:$Y141/'实盘净值数据(iFinD）'!$B$20:$Y$20)*(1-实盘持仓初始配置!$Z$4)^(('实盘净值数据(iFinD）'!$A141-'实盘净值数据(iFinD）'!$A$6)/365))</f>
        <v/>
      </c>
      <c r="C141" s="16" t="str">
        <f t="shared" si="12"/>
        <v/>
      </c>
      <c r="D141" s="16" t="str">
        <f>IF(B141="","",B141/MAX(B$5:B141)-1)</f>
        <v/>
      </c>
      <c r="E141" s="13" t="str">
        <f>IF(OR('实盘净值数据(iFinD）'!$A141="",'实盘净值数据(iFinD）'!$B141=""),"",分期持仓明细!$AB$18*SUMPRODUCT(分期持仓明细!$B$18:$Y$18,'实盘净值数据(iFinD）'!$B141:$Y141/'实盘净值数据(iFinD）'!$B$20:$Y$20)*(1-实盘持仓初始配置!$Z$5)^(('实盘净值数据(iFinD）'!$A141-'实盘净值数据(iFinD）'!$A$5)/365))</f>
        <v/>
      </c>
      <c r="F141" s="16" t="str">
        <f t="shared" si="13"/>
        <v/>
      </c>
      <c r="G141" s="16" t="str">
        <f>IF(E141="","",E141/MAX(E$5:E141)-1)</f>
        <v/>
      </c>
      <c r="H141" s="13" t="str">
        <f>IF(OR('实盘净值数据(iFinD）'!$A141="",'实盘净值数据(iFinD）'!$B141=""),"",分期持仓明细!$AB$19*SUMPRODUCT(分期持仓明细!$B$19:$Y$19,'实盘净值数据(iFinD）'!$B141:$Y141/'实盘净值数据(iFinD）'!$B$20:$Y$20)*(1-实盘持仓初始配置!$Z$6)^(('实盘净值数据(iFinD）'!$A141-'实盘净值数据(iFinD）'!$A$7)/365))</f>
        <v/>
      </c>
      <c r="I141" s="16" t="str">
        <f t="shared" si="14"/>
        <v/>
      </c>
      <c r="J141" s="16" t="str">
        <f>IF(H141="","",H141/MAX(H$5:H141)-1)</f>
        <v/>
      </c>
      <c r="K141" s="13" t="str">
        <f>IF(OR('实盘净值数据(iFinD）'!$A141="",'实盘净值数据(iFinD）'!$B141="",'实盘净值数据(iFinD）'!$Z141="",'实盘净值数据(iFinD）'!$AA141=""),"",分期持仓明细!$AB$23*(SUMPRODUCT(分期持仓明细!$B$23:$Y$23,'实盘净值数据(iFinD）'!$B141:$Y141/'实盘净值数据(iFinD）'!$B$65:$Y$65)+SUMPRODUCT(分期持仓明细!$AC$23:$AD$23,'实盘净值数据(iFinD）'!$Z141:$AA141/'实盘净值数据(iFinD）'!$Z$65:$AA$65))*(1-实盘持仓初始配置!$Z$7)^(('实盘净值数据(iFinD）'!$A141-'实盘净值数据(iFinD）'!$A$8)/365))</f>
        <v/>
      </c>
      <c r="L141" s="16" t="str">
        <f t="shared" si="15"/>
        <v/>
      </c>
      <c r="M141" s="16" t="str">
        <f>IF(K141="","",K141/MAX(K$5:K141)-1)</f>
        <v/>
      </c>
      <c r="N141" s="13" t="str">
        <f>IF(OR('实盘净值数据(iFinD）'!$A141="",'实盘净值数据(iFinD）'!$B141="",'实盘净值数据(iFinD）'!$Z141="",'实盘净值数据(iFinD）'!$AA141=""),"",分期持仓明细!$AB$24*(SUMPRODUCT(分期持仓明细!$B$24:$Y$24,'实盘净值数据(iFinD）'!$B141:$Y141/'实盘净值数据(iFinD）'!$B$65:$Y$65)+SUMPRODUCT(分期持仓明细!$AC$24:$AD$24,'实盘净值数据(iFinD）'!$Z141:$AA141/'实盘净值数据(iFinD）'!$Z$65:$AA$65))*(1-实盘持仓初始配置!$Z$8)^(('实盘净值数据(iFinD）'!$A141-'实盘净值数据(iFinD）'!$A$5)/365))</f>
        <v/>
      </c>
      <c r="O141" s="16" t="str">
        <f t="shared" si="16"/>
        <v/>
      </c>
      <c r="P141" s="16" t="str">
        <f>IF(N141="","",N141/MAX(N$5:N141)-1)</f>
        <v/>
      </c>
      <c r="Q141" s="13" t="str">
        <f>IF(OR('实盘净值数据(iFinD）'!$A141="",'实盘净值数据(iFinD）'!$B141="",'实盘净值数据(iFinD）'!$Z141="",'实盘净值数据(iFinD）'!$AA141=""),"",分期持仓明细!$AB$25*(SUMPRODUCT(分期持仓明细!$B$25:$Y$25,'实盘净值数据(iFinD）'!$B141:$Y141/'实盘净值数据(iFinD）'!$B$65:$Y$65)+SUMPRODUCT(分期持仓明细!$AC$25:$AD$25,'实盘净值数据(iFinD）'!$Z141:$AA141/'实盘净值数据(iFinD）'!$Z$65:$AA$65))*(1-实盘持仓初始配置!$Z$9)^(('实盘净值数据(iFinD）'!$A141-'实盘净值数据(iFinD）'!$A$8)/365))</f>
        <v/>
      </c>
      <c r="R141" s="16" t="str">
        <f t="shared" si="17"/>
        <v/>
      </c>
      <c r="S141" s="16" t="str">
        <f>IF(Q141="","",Q141/MAX(Q$5:Q141)-1)</f>
        <v/>
      </c>
    </row>
    <row r="142" spans="1:19">
      <c r="A142" s="15" t="str">
        <f>IF('实盘净值数据(iFinD）'!A142="","",'实盘净值数据(iFinD）'!A142)</f>
        <v/>
      </c>
      <c r="B142" s="13" t="str">
        <f>IF(OR('实盘净值数据(iFinD）'!$A142="",'实盘净值数据(iFinD）'!$B142=""),"",分期持仓明细!$AB$17*SUMPRODUCT(分期持仓明细!$B$17:$Y$17,'实盘净值数据(iFinD）'!$B142:$Y142/'实盘净值数据(iFinD）'!$B$20:$Y$20)*(1-实盘持仓初始配置!$Z$4)^(('实盘净值数据(iFinD）'!$A142-'实盘净值数据(iFinD）'!$A$6)/365))</f>
        <v/>
      </c>
      <c r="C142" s="16" t="str">
        <f t="shared" si="12"/>
        <v/>
      </c>
      <c r="D142" s="16" t="str">
        <f>IF(B142="","",B142/MAX(B$5:B142)-1)</f>
        <v/>
      </c>
      <c r="E142" s="13" t="str">
        <f>IF(OR('实盘净值数据(iFinD）'!$A142="",'实盘净值数据(iFinD）'!$B142=""),"",分期持仓明细!$AB$18*SUMPRODUCT(分期持仓明细!$B$18:$Y$18,'实盘净值数据(iFinD）'!$B142:$Y142/'实盘净值数据(iFinD）'!$B$20:$Y$20)*(1-实盘持仓初始配置!$Z$5)^(('实盘净值数据(iFinD）'!$A142-'实盘净值数据(iFinD）'!$A$5)/365))</f>
        <v/>
      </c>
      <c r="F142" s="16" t="str">
        <f t="shared" si="13"/>
        <v/>
      </c>
      <c r="G142" s="16" t="str">
        <f>IF(E142="","",E142/MAX(E$5:E142)-1)</f>
        <v/>
      </c>
      <c r="H142" s="13" t="str">
        <f>IF(OR('实盘净值数据(iFinD）'!$A142="",'实盘净值数据(iFinD）'!$B142=""),"",分期持仓明细!$AB$19*SUMPRODUCT(分期持仓明细!$B$19:$Y$19,'实盘净值数据(iFinD）'!$B142:$Y142/'实盘净值数据(iFinD）'!$B$20:$Y$20)*(1-实盘持仓初始配置!$Z$6)^(('实盘净值数据(iFinD）'!$A142-'实盘净值数据(iFinD）'!$A$7)/365))</f>
        <v/>
      </c>
      <c r="I142" s="16" t="str">
        <f t="shared" si="14"/>
        <v/>
      </c>
      <c r="J142" s="16" t="str">
        <f>IF(H142="","",H142/MAX(H$5:H142)-1)</f>
        <v/>
      </c>
      <c r="K142" s="13" t="str">
        <f>IF(OR('实盘净值数据(iFinD）'!$A142="",'实盘净值数据(iFinD）'!$B142="",'实盘净值数据(iFinD）'!$Z142="",'实盘净值数据(iFinD）'!$AA142=""),"",分期持仓明细!$AB$23*(SUMPRODUCT(分期持仓明细!$B$23:$Y$23,'实盘净值数据(iFinD）'!$B142:$Y142/'实盘净值数据(iFinD）'!$B$65:$Y$65)+SUMPRODUCT(分期持仓明细!$AC$23:$AD$23,'实盘净值数据(iFinD）'!$Z142:$AA142/'实盘净值数据(iFinD）'!$Z$65:$AA$65))*(1-实盘持仓初始配置!$Z$7)^(('实盘净值数据(iFinD）'!$A142-'实盘净值数据(iFinD）'!$A$8)/365))</f>
        <v/>
      </c>
      <c r="L142" s="16" t="str">
        <f t="shared" si="15"/>
        <v/>
      </c>
      <c r="M142" s="16" t="str">
        <f>IF(K142="","",K142/MAX(K$5:K142)-1)</f>
        <v/>
      </c>
      <c r="N142" s="13" t="str">
        <f>IF(OR('实盘净值数据(iFinD）'!$A142="",'实盘净值数据(iFinD）'!$B142="",'实盘净值数据(iFinD）'!$Z142="",'实盘净值数据(iFinD）'!$AA142=""),"",分期持仓明细!$AB$24*(SUMPRODUCT(分期持仓明细!$B$24:$Y$24,'实盘净值数据(iFinD）'!$B142:$Y142/'实盘净值数据(iFinD）'!$B$65:$Y$65)+SUMPRODUCT(分期持仓明细!$AC$24:$AD$24,'实盘净值数据(iFinD）'!$Z142:$AA142/'实盘净值数据(iFinD）'!$Z$65:$AA$65))*(1-实盘持仓初始配置!$Z$8)^(('实盘净值数据(iFinD）'!$A142-'实盘净值数据(iFinD）'!$A$5)/365))</f>
        <v/>
      </c>
      <c r="O142" s="16" t="str">
        <f t="shared" si="16"/>
        <v/>
      </c>
      <c r="P142" s="16" t="str">
        <f>IF(N142="","",N142/MAX(N$5:N142)-1)</f>
        <v/>
      </c>
      <c r="Q142" s="13" t="str">
        <f>IF(OR('实盘净值数据(iFinD）'!$A142="",'实盘净值数据(iFinD）'!$B142="",'实盘净值数据(iFinD）'!$Z142="",'实盘净值数据(iFinD）'!$AA142=""),"",分期持仓明细!$AB$25*(SUMPRODUCT(分期持仓明细!$B$25:$Y$25,'实盘净值数据(iFinD）'!$B142:$Y142/'实盘净值数据(iFinD）'!$B$65:$Y$65)+SUMPRODUCT(分期持仓明细!$AC$25:$AD$25,'实盘净值数据(iFinD）'!$Z142:$AA142/'实盘净值数据(iFinD）'!$Z$65:$AA$65))*(1-实盘持仓初始配置!$Z$9)^(('实盘净值数据(iFinD）'!$A142-'实盘净值数据(iFinD）'!$A$8)/365))</f>
        <v/>
      </c>
      <c r="R142" s="16" t="str">
        <f t="shared" si="17"/>
        <v/>
      </c>
      <c r="S142" s="16" t="str">
        <f>IF(Q142="","",Q142/MAX(Q$5:Q142)-1)</f>
        <v/>
      </c>
    </row>
    <row r="143" spans="1:19">
      <c r="A143" s="15" t="str">
        <f>IF('实盘净值数据(iFinD）'!A143="","",'实盘净值数据(iFinD）'!A143)</f>
        <v/>
      </c>
      <c r="B143" s="13" t="str">
        <f>IF(OR('实盘净值数据(iFinD）'!$A143="",'实盘净值数据(iFinD）'!$B143=""),"",分期持仓明细!$AB$17*SUMPRODUCT(分期持仓明细!$B$17:$Y$17,'实盘净值数据(iFinD）'!$B143:$Y143/'实盘净值数据(iFinD）'!$B$20:$Y$20)*(1-实盘持仓初始配置!$Z$4)^(('实盘净值数据(iFinD）'!$A143-'实盘净值数据(iFinD）'!$A$6)/365))</f>
        <v/>
      </c>
      <c r="C143" s="16" t="str">
        <f t="shared" si="12"/>
        <v/>
      </c>
      <c r="D143" s="16" t="str">
        <f>IF(B143="","",B143/MAX(B$5:B143)-1)</f>
        <v/>
      </c>
      <c r="E143" s="13" t="str">
        <f>IF(OR('实盘净值数据(iFinD）'!$A143="",'实盘净值数据(iFinD）'!$B143=""),"",分期持仓明细!$AB$18*SUMPRODUCT(分期持仓明细!$B$18:$Y$18,'实盘净值数据(iFinD）'!$B143:$Y143/'实盘净值数据(iFinD）'!$B$20:$Y$20)*(1-实盘持仓初始配置!$Z$5)^(('实盘净值数据(iFinD）'!$A143-'实盘净值数据(iFinD）'!$A$5)/365))</f>
        <v/>
      </c>
      <c r="F143" s="16" t="str">
        <f t="shared" si="13"/>
        <v/>
      </c>
      <c r="G143" s="16" t="str">
        <f>IF(E143="","",E143/MAX(E$5:E143)-1)</f>
        <v/>
      </c>
      <c r="H143" s="13" t="str">
        <f>IF(OR('实盘净值数据(iFinD）'!$A143="",'实盘净值数据(iFinD）'!$B143=""),"",分期持仓明细!$AB$19*SUMPRODUCT(分期持仓明细!$B$19:$Y$19,'实盘净值数据(iFinD）'!$B143:$Y143/'实盘净值数据(iFinD）'!$B$20:$Y$20)*(1-实盘持仓初始配置!$Z$6)^(('实盘净值数据(iFinD）'!$A143-'实盘净值数据(iFinD）'!$A$7)/365))</f>
        <v/>
      </c>
      <c r="I143" s="16" t="str">
        <f t="shared" si="14"/>
        <v/>
      </c>
      <c r="J143" s="16" t="str">
        <f>IF(H143="","",H143/MAX(H$5:H143)-1)</f>
        <v/>
      </c>
      <c r="K143" s="13" t="str">
        <f>IF(OR('实盘净值数据(iFinD）'!$A143="",'实盘净值数据(iFinD）'!$B143="",'实盘净值数据(iFinD）'!$Z143="",'实盘净值数据(iFinD）'!$AA143=""),"",分期持仓明细!$AB$23*(SUMPRODUCT(分期持仓明细!$B$23:$Y$23,'实盘净值数据(iFinD）'!$B143:$Y143/'实盘净值数据(iFinD）'!$B$65:$Y$65)+SUMPRODUCT(分期持仓明细!$AC$23:$AD$23,'实盘净值数据(iFinD）'!$Z143:$AA143/'实盘净值数据(iFinD）'!$Z$65:$AA$65))*(1-实盘持仓初始配置!$Z$7)^(('实盘净值数据(iFinD）'!$A143-'实盘净值数据(iFinD）'!$A$8)/365))</f>
        <v/>
      </c>
      <c r="L143" s="16" t="str">
        <f t="shared" si="15"/>
        <v/>
      </c>
      <c r="M143" s="16" t="str">
        <f>IF(K143="","",K143/MAX(K$5:K143)-1)</f>
        <v/>
      </c>
      <c r="N143" s="13" t="str">
        <f>IF(OR('实盘净值数据(iFinD）'!$A143="",'实盘净值数据(iFinD）'!$B143="",'实盘净值数据(iFinD）'!$Z143="",'实盘净值数据(iFinD）'!$AA143=""),"",分期持仓明细!$AB$24*(SUMPRODUCT(分期持仓明细!$B$24:$Y$24,'实盘净值数据(iFinD）'!$B143:$Y143/'实盘净值数据(iFinD）'!$B$65:$Y$65)+SUMPRODUCT(分期持仓明细!$AC$24:$AD$24,'实盘净值数据(iFinD）'!$Z143:$AA143/'实盘净值数据(iFinD）'!$Z$65:$AA$65))*(1-实盘持仓初始配置!$Z$8)^(('实盘净值数据(iFinD）'!$A143-'实盘净值数据(iFinD）'!$A$5)/365))</f>
        <v/>
      </c>
      <c r="O143" s="16" t="str">
        <f t="shared" si="16"/>
        <v/>
      </c>
      <c r="P143" s="16" t="str">
        <f>IF(N143="","",N143/MAX(N$5:N143)-1)</f>
        <v/>
      </c>
      <c r="Q143" s="13" t="str">
        <f>IF(OR('实盘净值数据(iFinD）'!$A143="",'实盘净值数据(iFinD）'!$B143="",'实盘净值数据(iFinD）'!$Z143="",'实盘净值数据(iFinD）'!$AA143=""),"",分期持仓明细!$AB$25*(SUMPRODUCT(分期持仓明细!$B$25:$Y$25,'实盘净值数据(iFinD）'!$B143:$Y143/'实盘净值数据(iFinD）'!$B$65:$Y$65)+SUMPRODUCT(分期持仓明细!$AC$25:$AD$25,'实盘净值数据(iFinD）'!$Z143:$AA143/'实盘净值数据(iFinD）'!$Z$65:$AA$65))*(1-实盘持仓初始配置!$Z$9)^(('实盘净值数据(iFinD）'!$A143-'实盘净值数据(iFinD）'!$A$8)/365))</f>
        <v/>
      </c>
      <c r="R143" s="16" t="str">
        <f t="shared" si="17"/>
        <v/>
      </c>
      <c r="S143" s="16" t="str">
        <f>IF(Q143="","",Q143/MAX(Q$5:Q143)-1)</f>
        <v/>
      </c>
    </row>
    <row r="144" spans="1:19">
      <c r="A144" s="15" t="str">
        <f>IF('实盘净值数据(iFinD）'!A144="","",'实盘净值数据(iFinD）'!A144)</f>
        <v/>
      </c>
      <c r="B144" s="13" t="str">
        <f>IF(OR('实盘净值数据(iFinD）'!$A144="",'实盘净值数据(iFinD）'!$B144=""),"",分期持仓明细!$AB$17*SUMPRODUCT(分期持仓明细!$B$17:$Y$17,'实盘净值数据(iFinD）'!$B144:$Y144/'实盘净值数据(iFinD）'!$B$20:$Y$20)*(1-实盘持仓初始配置!$Z$4)^(('实盘净值数据(iFinD）'!$A144-'实盘净值数据(iFinD）'!$A$6)/365))</f>
        <v/>
      </c>
      <c r="C144" s="16" t="str">
        <f t="shared" si="12"/>
        <v/>
      </c>
      <c r="D144" s="16" t="str">
        <f>IF(B144="","",B144/MAX(B$5:B144)-1)</f>
        <v/>
      </c>
      <c r="E144" s="13" t="str">
        <f>IF(OR('实盘净值数据(iFinD）'!$A144="",'实盘净值数据(iFinD）'!$B144=""),"",分期持仓明细!$AB$18*SUMPRODUCT(分期持仓明细!$B$18:$Y$18,'实盘净值数据(iFinD）'!$B144:$Y144/'实盘净值数据(iFinD）'!$B$20:$Y$20)*(1-实盘持仓初始配置!$Z$5)^(('实盘净值数据(iFinD）'!$A144-'实盘净值数据(iFinD）'!$A$5)/365))</f>
        <v/>
      </c>
      <c r="F144" s="16" t="str">
        <f t="shared" si="13"/>
        <v/>
      </c>
      <c r="G144" s="16" t="str">
        <f>IF(E144="","",E144/MAX(E$5:E144)-1)</f>
        <v/>
      </c>
      <c r="H144" s="13" t="str">
        <f>IF(OR('实盘净值数据(iFinD）'!$A144="",'实盘净值数据(iFinD）'!$B144=""),"",分期持仓明细!$AB$19*SUMPRODUCT(分期持仓明细!$B$19:$Y$19,'实盘净值数据(iFinD）'!$B144:$Y144/'实盘净值数据(iFinD）'!$B$20:$Y$20)*(1-实盘持仓初始配置!$Z$6)^(('实盘净值数据(iFinD）'!$A144-'实盘净值数据(iFinD）'!$A$7)/365))</f>
        <v/>
      </c>
      <c r="I144" s="16" t="str">
        <f t="shared" si="14"/>
        <v/>
      </c>
      <c r="J144" s="16" t="str">
        <f>IF(H144="","",H144/MAX(H$5:H144)-1)</f>
        <v/>
      </c>
      <c r="K144" s="13" t="str">
        <f>IF(OR('实盘净值数据(iFinD）'!$A144="",'实盘净值数据(iFinD）'!$B144="",'实盘净值数据(iFinD）'!$Z144="",'实盘净值数据(iFinD）'!$AA144=""),"",分期持仓明细!$AB$23*(SUMPRODUCT(分期持仓明细!$B$23:$Y$23,'实盘净值数据(iFinD）'!$B144:$Y144/'实盘净值数据(iFinD）'!$B$65:$Y$65)+SUMPRODUCT(分期持仓明细!$AC$23:$AD$23,'实盘净值数据(iFinD）'!$Z144:$AA144/'实盘净值数据(iFinD）'!$Z$65:$AA$65))*(1-实盘持仓初始配置!$Z$7)^(('实盘净值数据(iFinD）'!$A144-'实盘净值数据(iFinD）'!$A$8)/365))</f>
        <v/>
      </c>
      <c r="L144" s="16" t="str">
        <f t="shared" si="15"/>
        <v/>
      </c>
      <c r="M144" s="16" t="str">
        <f>IF(K144="","",K144/MAX(K$5:K144)-1)</f>
        <v/>
      </c>
      <c r="N144" s="13" t="str">
        <f>IF(OR('实盘净值数据(iFinD）'!$A144="",'实盘净值数据(iFinD）'!$B144="",'实盘净值数据(iFinD）'!$Z144="",'实盘净值数据(iFinD）'!$AA144=""),"",分期持仓明细!$AB$24*(SUMPRODUCT(分期持仓明细!$B$24:$Y$24,'实盘净值数据(iFinD）'!$B144:$Y144/'实盘净值数据(iFinD）'!$B$65:$Y$65)+SUMPRODUCT(分期持仓明细!$AC$24:$AD$24,'实盘净值数据(iFinD）'!$Z144:$AA144/'实盘净值数据(iFinD）'!$Z$65:$AA$65))*(1-实盘持仓初始配置!$Z$8)^(('实盘净值数据(iFinD）'!$A144-'实盘净值数据(iFinD）'!$A$5)/365))</f>
        <v/>
      </c>
      <c r="O144" s="16" t="str">
        <f t="shared" si="16"/>
        <v/>
      </c>
      <c r="P144" s="16" t="str">
        <f>IF(N144="","",N144/MAX(N$5:N144)-1)</f>
        <v/>
      </c>
      <c r="Q144" s="13" t="str">
        <f>IF(OR('实盘净值数据(iFinD）'!$A144="",'实盘净值数据(iFinD）'!$B144="",'实盘净值数据(iFinD）'!$Z144="",'实盘净值数据(iFinD）'!$AA144=""),"",分期持仓明细!$AB$25*(SUMPRODUCT(分期持仓明细!$B$25:$Y$25,'实盘净值数据(iFinD）'!$B144:$Y144/'实盘净值数据(iFinD）'!$B$65:$Y$65)+SUMPRODUCT(分期持仓明细!$AC$25:$AD$25,'实盘净值数据(iFinD）'!$Z144:$AA144/'实盘净值数据(iFinD）'!$Z$65:$AA$65))*(1-实盘持仓初始配置!$Z$9)^(('实盘净值数据(iFinD）'!$A144-'实盘净值数据(iFinD）'!$A$8)/365))</f>
        <v/>
      </c>
      <c r="R144" s="16" t="str">
        <f t="shared" si="17"/>
        <v/>
      </c>
      <c r="S144" s="16" t="str">
        <f>IF(Q144="","",Q144/MAX(Q$5:Q144)-1)</f>
        <v/>
      </c>
    </row>
    <row r="145" spans="1:19">
      <c r="A145" s="15" t="str">
        <f>IF('实盘净值数据(iFinD）'!A145="","",'实盘净值数据(iFinD）'!A145)</f>
        <v/>
      </c>
      <c r="B145" s="13" t="str">
        <f>IF(OR('实盘净值数据(iFinD）'!$A145="",'实盘净值数据(iFinD）'!$B145=""),"",分期持仓明细!$AB$17*SUMPRODUCT(分期持仓明细!$B$17:$Y$17,'实盘净值数据(iFinD）'!$B145:$Y145/'实盘净值数据(iFinD）'!$B$20:$Y$20)*(1-实盘持仓初始配置!$Z$4)^(('实盘净值数据(iFinD）'!$A145-'实盘净值数据(iFinD）'!$A$6)/365))</f>
        <v/>
      </c>
      <c r="C145" s="16" t="str">
        <f t="shared" si="12"/>
        <v/>
      </c>
      <c r="D145" s="16" t="str">
        <f>IF(B145="","",B145/MAX(B$5:B145)-1)</f>
        <v/>
      </c>
      <c r="E145" s="13" t="str">
        <f>IF(OR('实盘净值数据(iFinD）'!$A145="",'实盘净值数据(iFinD）'!$B145=""),"",分期持仓明细!$AB$18*SUMPRODUCT(分期持仓明细!$B$18:$Y$18,'实盘净值数据(iFinD）'!$B145:$Y145/'实盘净值数据(iFinD）'!$B$20:$Y$20)*(1-实盘持仓初始配置!$Z$5)^(('实盘净值数据(iFinD）'!$A145-'实盘净值数据(iFinD）'!$A$5)/365))</f>
        <v/>
      </c>
      <c r="F145" s="16" t="str">
        <f t="shared" si="13"/>
        <v/>
      </c>
      <c r="G145" s="16" t="str">
        <f>IF(E145="","",E145/MAX(E$5:E145)-1)</f>
        <v/>
      </c>
      <c r="H145" s="13" t="str">
        <f>IF(OR('实盘净值数据(iFinD）'!$A145="",'实盘净值数据(iFinD）'!$B145=""),"",分期持仓明细!$AB$19*SUMPRODUCT(分期持仓明细!$B$19:$Y$19,'实盘净值数据(iFinD）'!$B145:$Y145/'实盘净值数据(iFinD）'!$B$20:$Y$20)*(1-实盘持仓初始配置!$Z$6)^(('实盘净值数据(iFinD）'!$A145-'实盘净值数据(iFinD）'!$A$7)/365))</f>
        <v/>
      </c>
      <c r="I145" s="16" t="str">
        <f t="shared" si="14"/>
        <v/>
      </c>
      <c r="J145" s="16" t="str">
        <f>IF(H145="","",H145/MAX(H$5:H145)-1)</f>
        <v/>
      </c>
      <c r="K145" s="13" t="str">
        <f>IF(OR('实盘净值数据(iFinD）'!$A145="",'实盘净值数据(iFinD）'!$B145="",'实盘净值数据(iFinD）'!$Z145="",'实盘净值数据(iFinD）'!$AA145=""),"",分期持仓明细!$AB$23*(SUMPRODUCT(分期持仓明细!$B$23:$Y$23,'实盘净值数据(iFinD）'!$B145:$Y145/'实盘净值数据(iFinD）'!$B$65:$Y$65)+SUMPRODUCT(分期持仓明细!$AC$23:$AD$23,'实盘净值数据(iFinD）'!$Z145:$AA145/'实盘净值数据(iFinD）'!$Z$65:$AA$65))*(1-实盘持仓初始配置!$Z$7)^(('实盘净值数据(iFinD）'!$A145-'实盘净值数据(iFinD）'!$A$8)/365))</f>
        <v/>
      </c>
      <c r="L145" s="16" t="str">
        <f t="shared" si="15"/>
        <v/>
      </c>
      <c r="M145" s="16" t="str">
        <f>IF(K145="","",K145/MAX(K$5:K145)-1)</f>
        <v/>
      </c>
      <c r="N145" s="13" t="str">
        <f>IF(OR('实盘净值数据(iFinD）'!$A145="",'实盘净值数据(iFinD）'!$B145="",'实盘净值数据(iFinD）'!$Z145="",'实盘净值数据(iFinD）'!$AA145=""),"",分期持仓明细!$AB$24*(SUMPRODUCT(分期持仓明细!$B$24:$Y$24,'实盘净值数据(iFinD）'!$B145:$Y145/'实盘净值数据(iFinD）'!$B$65:$Y$65)+SUMPRODUCT(分期持仓明细!$AC$24:$AD$24,'实盘净值数据(iFinD）'!$Z145:$AA145/'实盘净值数据(iFinD）'!$Z$65:$AA$65))*(1-实盘持仓初始配置!$Z$8)^(('实盘净值数据(iFinD）'!$A145-'实盘净值数据(iFinD）'!$A$5)/365))</f>
        <v/>
      </c>
      <c r="O145" s="16" t="str">
        <f t="shared" si="16"/>
        <v/>
      </c>
      <c r="P145" s="16" t="str">
        <f>IF(N145="","",N145/MAX(N$5:N145)-1)</f>
        <v/>
      </c>
      <c r="Q145" s="13" t="str">
        <f>IF(OR('实盘净值数据(iFinD）'!$A145="",'实盘净值数据(iFinD）'!$B145="",'实盘净值数据(iFinD）'!$Z145="",'实盘净值数据(iFinD）'!$AA145=""),"",分期持仓明细!$AB$25*(SUMPRODUCT(分期持仓明细!$B$25:$Y$25,'实盘净值数据(iFinD）'!$B145:$Y145/'实盘净值数据(iFinD）'!$B$65:$Y$65)+SUMPRODUCT(分期持仓明细!$AC$25:$AD$25,'实盘净值数据(iFinD）'!$Z145:$AA145/'实盘净值数据(iFinD）'!$Z$65:$AA$65))*(1-实盘持仓初始配置!$Z$9)^(('实盘净值数据(iFinD）'!$A145-'实盘净值数据(iFinD）'!$A$8)/365))</f>
        <v/>
      </c>
      <c r="R145" s="16" t="str">
        <f t="shared" si="17"/>
        <v/>
      </c>
      <c r="S145" s="16" t="str">
        <f>IF(Q145="","",Q145/MAX(Q$5:Q145)-1)</f>
        <v/>
      </c>
    </row>
    <row r="146" spans="1:19">
      <c r="A146" s="15" t="str">
        <f>IF('实盘净值数据(iFinD）'!A146="","",'实盘净值数据(iFinD）'!A146)</f>
        <v/>
      </c>
      <c r="B146" s="13" t="str">
        <f>IF(OR('实盘净值数据(iFinD）'!$A146="",'实盘净值数据(iFinD）'!$B146=""),"",分期持仓明细!$AB$17*SUMPRODUCT(分期持仓明细!$B$17:$Y$17,'实盘净值数据(iFinD）'!$B146:$Y146/'实盘净值数据(iFinD）'!$B$20:$Y$20)*(1-实盘持仓初始配置!$Z$4)^(('实盘净值数据(iFinD）'!$A146-'实盘净值数据(iFinD）'!$A$6)/365))</f>
        <v/>
      </c>
      <c r="C146" s="16" t="str">
        <f t="shared" si="12"/>
        <v/>
      </c>
      <c r="D146" s="16" t="str">
        <f>IF(B146="","",B146/MAX(B$5:B146)-1)</f>
        <v/>
      </c>
      <c r="E146" s="13" t="str">
        <f>IF(OR('实盘净值数据(iFinD）'!$A146="",'实盘净值数据(iFinD）'!$B146=""),"",分期持仓明细!$AB$18*SUMPRODUCT(分期持仓明细!$B$18:$Y$18,'实盘净值数据(iFinD）'!$B146:$Y146/'实盘净值数据(iFinD）'!$B$20:$Y$20)*(1-实盘持仓初始配置!$Z$5)^(('实盘净值数据(iFinD）'!$A146-'实盘净值数据(iFinD）'!$A$5)/365))</f>
        <v/>
      </c>
      <c r="F146" s="16" t="str">
        <f t="shared" si="13"/>
        <v/>
      </c>
      <c r="G146" s="16" t="str">
        <f>IF(E146="","",E146/MAX(E$5:E146)-1)</f>
        <v/>
      </c>
      <c r="H146" s="13" t="str">
        <f>IF(OR('实盘净值数据(iFinD）'!$A146="",'实盘净值数据(iFinD）'!$B146=""),"",分期持仓明细!$AB$19*SUMPRODUCT(分期持仓明细!$B$19:$Y$19,'实盘净值数据(iFinD）'!$B146:$Y146/'实盘净值数据(iFinD）'!$B$20:$Y$20)*(1-实盘持仓初始配置!$Z$6)^(('实盘净值数据(iFinD）'!$A146-'实盘净值数据(iFinD）'!$A$7)/365))</f>
        <v/>
      </c>
      <c r="I146" s="16" t="str">
        <f t="shared" si="14"/>
        <v/>
      </c>
      <c r="J146" s="16" t="str">
        <f>IF(H146="","",H146/MAX(H$5:H146)-1)</f>
        <v/>
      </c>
      <c r="K146" s="13" t="str">
        <f>IF(OR('实盘净值数据(iFinD）'!$A146="",'实盘净值数据(iFinD）'!$B146="",'实盘净值数据(iFinD）'!$Z146="",'实盘净值数据(iFinD）'!$AA146=""),"",分期持仓明细!$AB$23*(SUMPRODUCT(分期持仓明细!$B$23:$Y$23,'实盘净值数据(iFinD）'!$B146:$Y146/'实盘净值数据(iFinD）'!$B$65:$Y$65)+SUMPRODUCT(分期持仓明细!$AC$23:$AD$23,'实盘净值数据(iFinD）'!$Z146:$AA146/'实盘净值数据(iFinD）'!$Z$65:$AA$65))*(1-实盘持仓初始配置!$Z$7)^(('实盘净值数据(iFinD）'!$A146-'实盘净值数据(iFinD）'!$A$8)/365))</f>
        <v/>
      </c>
      <c r="L146" s="16" t="str">
        <f t="shared" si="15"/>
        <v/>
      </c>
      <c r="M146" s="16" t="str">
        <f>IF(K146="","",K146/MAX(K$5:K146)-1)</f>
        <v/>
      </c>
      <c r="N146" s="13" t="str">
        <f>IF(OR('实盘净值数据(iFinD）'!$A146="",'实盘净值数据(iFinD）'!$B146="",'实盘净值数据(iFinD）'!$Z146="",'实盘净值数据(iFinD）'!$AA146=""),"",分期持仓明细!$AB$24*(SUMPRODUCT(分期持仓明细!$B$24:$Y$24,'实盘净值数据(iFinD）'!$B146:$Y146/'实盘净值数据(iFinD）'!$B$65:$Y$65)+SUMPRODUCT(分期持仓明细!$AC$24:$AD$24,'实盘净值数据(iFinD）'!$Z146:$AA146/'实盘净值数据(iFinD）'!$Z$65:$AA$65))*(1-实盘持仓初始配置!$Z$8)^(('实盘净值数据(iFinD）'!$A146-'实盘净值数据(iFinD）'!$A$5)/365))</f>
        <v/>
      </c>
      <c r="O146" s="16" t="str">
        <f t="shared" si="16"/>
        <v/>
      </c>
      <c r="P146" s="16" t="str">
        <f>IF(N146="","",N146/MAX(N$5:N146)-1)</f>
        <v/>
      </c>
      <c r="Q146" s="13" t="str">
        <f>IF(OR('实盘净值数据(iFinD）'!$A146="",'实盘净值数据(iFinD）'!$B146="",'实盘净值数据(iFinD）'!$Z146="",'实盘净值数据(iFinD）'!$AA146=""),"",分期持仓明细!$AB$25*(SUMPRODUCT(分期持仓明细!$B$25:$Y$25,'实盘净值数据(iFinD）'!$B146:$Y146/'实盘净值数据(iFinD）'!$B$65:$Y$65)+SUMPRODUCT(分期持仓明细!$AC$25:$AD$25,'实盘净值数据(iFinD）'!$Z146:$AA146/'实盘净值数据(iFinD）'!$Z$65:$AA$65))*(1-实盘持仓初始配置!$Z$9)^(('实盘净值数据(iFinD）'!$A146-'实盘净值数据(iFinD）'!$A$8)/365))</f>
        <v/>
      </c>
      <c r="R146" s="16" t="str">
        <f t="shared" si="17"/>
        <v/>
      </c>
      <c r="S146" s="16" t="str">
        <f>IF(Q146="","",Q146/MAX(Q$5:Q146)-1)</f>
        <v/>
      </c>
    </row>
    <row r="147" spans="1:19">
      <c r="A147" s="15" t="str">
        <f>IF('实盘净值数据(iFinD）'!A147="","",'实盘净值数据(iFinD）'!A147)</f>
        <v/>
      </c>
      <c r="B147" s="13" t="str">
        <f>IF(OR('实盘净值数据(iFinD）'!$A147="",'实盘净值数据(iFinD）'!$B147=""),"",分期持仓明细!$AB$17*SUMPRODUCT(分期持仓明细!$B$17:$Y$17,'实盘净值数据(iFinD）'!$B147:$Y147/'实盘净值数据(iFinD）'!$B$20:$Y$20)*(1-实盘持仓初始配置!$Z$4)^(('实盘净值数据(iFinD）'!$A147-'实盘净值数据(iFinD）'!$A$6)/365))</f>
        <v/>
      </c>
      <c r="C147" s="16" t="str">
        <f t="shared" si="12"/>
        <v/>
      </c>
      <c r="D147" s="16" t="str">
        <f>IF(B147="","",B147/MAX(B$5:B147)-1)</f>
        <v/>
      </c>
      <c r="E147" s="13" t="str">
        <f>IF(OR('实盘净值数据(iFinD）'!$A147="",'实盘净值数据(iFinD）'!$B147=""),"",分期持仓明细!$AB$18*SUMPRODUCT(分期持仓明细!$B$18:$Y$18,'实盘净值数据(iFinD）'!$B147:$Y147/'实盘净值数据(iFinD）'!$B$20:$Y$20)*(1-实盘持仓初始配置!$Z$5)^(('实盘净值数据(iFinD）'!$A147-'实盘净值数据(iFinD）'!$A$5)/365))</f>
        <v/>
      </c>
      <c r="F147" s="16" t="str">
        <f t="shared" si="13"/>
        <v/>
      </c>
      <c r="G147" s="16" t="str">
        <f>IF(E147="","",E147/MAX(E$5:E147)-1)</f>
        <v/>
      </c>
      <c r="H147" s="13" t="str">
        <f>IF(OR('实盘净值数据(iFinD）'!$A147="",'实盘净值数据(iFinD）'!$B147=""),"",分期持仓明细!$AB$19*SUMPRODUCT(分期持仓明细!$B$19:$Y$19,'实盘净值数据(iFinD）'!$B147:$Y147/'实盘净值数据(iFinD）'!$B$20:$Y$20)*(1-实盘持仓初始配置!$Z$6)^(('实盘净值数据(iFinD）'!$A147-'实盘净值数据(iFinD）'!$A$7)/365))</f>
        <v/>
      </c>
      <c r="I147" s="16" t="str">
        <f t="shared" si="14"/>
        <v/>
      </c>
      <c r="J147" s="16" t="str">
        <f>IF(H147="","",H147/MAX(H$5:H147)-1)</f>
        <v/>
      </c>
      <c r="K147" s="13" t="str">
        <f>IF(OR('实盘净值数据(iFinD）'!$A147="",'实盘净值数据(iFinD）'!$B147="",'实盘净值数据(iFinD）'!$Z147="",'实盘净值数据(iFinD）'!$AA147=""),"",分期持仓明细!$AB$23*(SUMPRODUCT(分期持仓明细!$B$23:$Y$23,'实盘净值数据(iFinD）'!$B147:$Y147/'实盘净值数据(iFinD）'!$B$65:$Y$65)+SUMPRODUCT(分期持仓明细!$AC$23:$AD$23,'实盘净值数据(iFinD）'!$Z147:$AA147/'实盘净值数据(iFinD）'!$Z$65:$AA$65))*(1-实盘持仓初始配置!$Z$7)^(('实盘净值数据(iFinD）'!$A147-'实盘净值数据(iFinD）'!$A$8)/365))</f>
        <v/>
      </c>
      <c r="L147" s="16" t="str">
        <f t="shared" si="15"/>
        <v/>
      </c>
      <c r="M147" s="16" t="str">
        <f>IF(K147="","",K147/MAX(K$5:K147)-1)</f>
        <v/>
      </c>
      <c r="N147" s="13" t="str">
        <f>IF(OR('实盘净值数据(iFinD）'!$A147="",'实盘净值数据(iFinD）'!$B147="",'实盘净值数据(iFinD）'!$Z147="",'实盘净值数据(iFinD）'!$AA147=""),"",分期持仓明细!$AB$24*(SUMPRODUCT(分期持仓明细!$B$24:$Y$24,'实盘净值数据(iFinD）'!$B147:$Y147/'实盘净值数据(iFinD）'!$B$65:$Y$65)+SUMPRODUCT(分期持仓明细!$AC$24:$AD$24,'实盘净值数据(iFinD）'!$Z147:$AA147/'实盘净值数据(iFinD）'!$Z$65:$AA$65))*(1-实盘持仓初始配置!$Z$8)^(('实盘净值数据(iFinD）'!$A147-'实盘净值数据(iFinD）'!$A$5)/365))</f>
        <v/>
      </c>
      <c r="O147" s="16" t="str">
        <f t="shared" si="16"/>
        <v/>
      </c>
      <c r="P147" s="16" t="str">
        <f>IF(N147="","",N147/MAX(N$5:N147)-1)</f>
        <v/>
      </c>
      <c r="Q147" s="13" t="str">
        <f>IF(OR('实盘净值数据(iFinD）'!$A147="",'实盘净值数据(iFinD）'!$B147="",'实盘净值数据(iFinD）'!$Z147="",'实盘净值数据(iFinD）'!$AA147=""),"",分期持仓明细!$AB$25*(SUMPRODUCT(分期持仓明细!$B$25:$Y$25,'实盘净值数据(iFinD）'!$B147:$Y147/'实盘净值数据(iFinD）'!$B$65:$Y$65)+SUMPRODUCT(分期持仓明细!$AC$25:$AD$25,'实盘净值数据(iFinD）'!$Z147:$AA147/'实盘净值数据(iFinD）'!$Z$65:$AA$65))*(1-实盘持仓初始配置!$Z$9)^(('实盘净值数据(iFinD）'!$A147-'实盘净值数据(iFinD）'!$A$8)/365))</f>
        <v/>
      </c>
      <c r="R147" s="16" t="str">
        <f t="shared" si="17"/>
        <v/>
      </c>
      <c r="S147" s="16" t="str">
        <f>IF(Q147="","",Q147/MAX(Q$5:Q147)-1)</f>
        <v/>
      </c>
    </row>
    <row r="148" spans="1:19">
      <c r="A148" s="15" t="str">
        <f>IF('实盘净值数据(iFinD）'!A148="","",'实盘净值数据(iFinD）'!A148)</f>
        <v/>
      </c>
      <c r="B148" s="13" t="str">
        <f>IF(OR('实盘净值数据(iFinD）'!$A148="",'实盘净值数据(iFinD）'!$B148=""),"",分期持仓明细!$AB$17*SUMPRODUCT(分期持仓明细!$B$17:$Y$17,'实盘净值数据(iFinD）'!$B148:$Y148/'实盘净值数据(iFinD）'!$B$20:$Y$20)*(1-实盘持仓初始配置!$Z$4)^(('实盘净值数据(iFinD）'!$A148-'实盘净值数据(iFinD）'!$A$6)/365))</f>
        <v/>
      </c>
      <c r="C148" s="16" t="str">
        <f t="shared" si="12"/>
        <v/>
      </c>
      <c r="D148" s="16" t="str">
        <f>IF(B148="","",B148/MAX(B$5:B148)-1)</f>
        <v/>
      </c>
      <c r="E148" s="13" t="str">
        <f>IF(OR('实盘净值数据(iFinD）'!$A148="",'实盘净值数据(iFinD）'!$B148=""),"",分期持仓明细!$AB$18*SUMPRODUCT(分期持仓明细!$B$18:$Y$18,'实盘净值数据(iFinD）'!$B148:$Y148/'实盘净值数据(iFinD）'!$B$20:$Y$20)*(1-实盘持仓初始配置!$Z$5)^(('实盘净值数据(iFinD）'!$A148-'实盘净值数据(iFinD）'!$A$5)/365))</f>
        <v/>
      </c>
      <c r="F148" s="16" t="str">
        <f t="shared" si="13"/>
        <v/>
      </c>
      <c r="G148" s="16" t="str">
        <f>IF(E148="","",E148/MAX(E$5:E148)-1)</f>
        <v/>
      </c>
      <c r="H148" s="13" t="str">
        <f>IF(OR('实盘净值数据(iFinD）'!$A148="",'实盘净值数据(iFinD）'!$B148=""),"",分期持仓明细!$AB$19*SUMPRODUCT(分期持仓明细!$B$19:$Y$19,'实盘净值数据(iFinD）'!$B148:$Y148/'实盘净值数据(iFinD）'!$B$20:$Y$20)*(1-实盘持仓初始配置!$Z$6)^(('实盘净值数据(iFinD）'!$A148-'实盘净值数据(iFinD）'!$A$7)/365))</f>
        <v/>
      </c>
      <c r="I148" s="16" t="str">
        <f t="shared" si="14"/>
        <v/>
      </c>
      <c r="J148" s="16" t="str">
        <f>IF(H148="","",H148/MAX(H$5:H148)-1)</f>
        <v/>
      </c>
      <c r="K148" s="13" t="str">
        <f>IF(OR('实盘净值数据(iFinD）'!$A148="",'实盘净值数据(iFinD）'!$B148="",'实盘净值数据(iFinD）'!$Z148="",'实盘净值数据(iFinD）'!$AA148=""),"",分期持仓明细!$AB$23*(SUMPRODUCT(分期持仓明细!$B$23:$Y$23,'实盘净值数据(iFinD）'!$B148:$Y148/'实盘净值数据(iFinD）'!$B$65:$Y$65)+SUMPRODUCT(分期持仓明细!$AC$23:$AD$23,'实盘净值数据(iFinD）'!$Z148:$AA148/'实盘净值数据(iFinD）'!$Z$65:$AA$65))*(1-实盘持仓初始配置!$Z$7)^(('实盘净值数据(iFinD）'!$A148-'实盘净值数据(iFinD）'!$A$8)/365))</f>
        <v/>
      </c>
      <c r="L148" s="16" t="str">
        <f t="shared" si="15"/>
        <v/>
      </c>
      <c r="M148" s="16" t="str">
        <f>IF(K148="","",K148/MAX(K$5:K148)-1)</f>
        <v/>
      </c>
      <c r="N148" s="13" t="str">
        <f>IF(OR('实盘净值数据(iFinD）'!$A148="",'实盘净值数据(iFinD）'!$B148="",'实盘净值数据(iFinD）'!$Z148="",'实盘净值数据(iFinD）'!$AA148=""),"",分期持仓明细!$AB$24*(SUMPRODUCT(分期持仓明细!$B$24:$Y$24,'实盘净值数据(iFinD）'!$B148:$Y148/'实盘净值数据(iFinD）'!$B$65:$Y$65)+SUMPRODUCT(分期持仓明细!$AC$24:$AD$24,'实盘净值数据(iFinD）'!$Z148:$AA148/'实盘净值数据(iFinD）'!$Z$65:$AA$65))*(1-实盘持仓初始配置!$Z$8)^(('实盘净值数据(iFinD）'!$A148-'实盘净值数据(iFinD）'!$A$5)/365))</f>
        <v/>
      </c>
      <c r="O148" s="16" t="str">
        <f t="shared" si="16"/>
        <v/>
      </c>
      <c r="P148" s="16" t="str">
        <f>IF(N148="","",N148/MAX(N$5:N148)-1)</f>
        <v/>
      </c>
      <c r="Q148" s="13" t="str">
        <f>IF(OR('实盘净值数据(iFinD）'!$A148="",'实盘净值数据(iFinD）'!$B148="",'实盘净值数据(iFinD）'!$Z148="",'实盘净值数据(iFinD）'!$AA148=""),"",分期持仓明细!$AB$25*(SUMPRODUCT(分期持仓明细!$B$25:$Y$25,'实盘净值数据(iFinD）'!$B148:$Y148/'实盘净值数据(iFinD）'!$B$65:$Y$65)+SUMPRODUCT(分期持仓明细!$AC$25:$AD$25,'实盘净值数据(iFinD）'!$Z148:$AA148/'实盘净值数据(iFinD）'!$Z$65:$AA$65))*(1-实盘持仓初始配置!$Z$9)^(('实盘净值数据(iFinD）'!$A148-'实盘净值数据(iFinD）'!$A$8)/365))</f>
        <v/>
      </c>
      <c r="R148" s="16" t="str">
        <f t="shared" si="17"/>
        <v/>
      </c>
      <c r="S148" s="16" t="str">
        <f>IF(Q148="","",Q148/MAX(Q$5:Q148)-1)</f>
        <v/>
      </c>
    </row>
    <row r="149" spans="1:19">
      <c r="A149" s="15" t="str">
        <f>IF('实盘净值数据(iFinD）'!A149="","",'实盘净值数据(iFinD）'!A149)</f>
        <v/>
      </c>
      <c r="B149" s="13" t="str">
        <f>IF(OR('实盘净值数据(iFinD）'!$A149="",'实盘净值数据(iFinD）'!$B149=""),"",分期持仓明细!$AB$17*SUMPRODUCT(分期持仓明细!$B$17:$Y$17,'实盘净值数据(iFinD）'!$B149:$Y149/'实盘净值数据(iFinD）'!$B$20:$Y$20)*(1-实盘持仓初始配置!$Z$4)^(('实盘净值数据(iFinD）'!$A149-'实盘净值数据(iFinD）'!$A$6)/365))</f>
        <v/>
      </c>
      <c r="C149" s="16" t="str">
        <f t="shared" si="12"/>
        <v/>
      </c>
      <c r="D149" s="16" t="str">
        <f>IF(B149="","",B149/MAX(B$5:B149)-1)</f>
        <v/>
      </c>
      <c r="E149" s="13" t="str">
        <f>IF(OR('实盘净值数据(iFinD）'!$A149="",'实盘净值数据(iFinD）'!$B149=""),"",分期持仓明细!$AB$18*SUMPRODUCT(分期持仓明细!$B$18:$Y$18,'实盘净值数据(iFinD）'!$B149:$Y149/'实盘净值数据(iFinD）'!$B$20:$Y$20)*(1-实盘持仓初始配置!$Z$5)^(('实盘净值数据(iFinD）'!$A149-'实盘净值数据(iFinD）'!$A$5)/365))</f>
        <v/>
      </c>
      <c r="F149" s="16" t="str">
        <f t="shared" si="13"/>
        <v/>
      </c>
      <c r="G149" s="16" t="str">
        <f>IF(E149="","",E149/MAX(E$5:E149)-1)</f>
        <v/>
      </c>
      <c r="H149" s="13" t="str">
        <f>IF(OR('实盘净值数据(iFinD）'!$A149="",'实盘净值数据(iFinD）'!$B149=""),"",分期持仓明细!$AB$19*SUMPRODUCT(分期持仓明细!$B$19:$Y$19,'实盘净值数据(iFinD）'!$B149:$Y149/'实盘净值数据(iFinD）'!$B$20:$Y$20)*(1-实盘持仓初始配置!$Z$6)^(('实盘净值数据(iFinD）'!$A149-'实盘净值数据(iFinD）'!$A$7)/365))</f>
        <v/>
      </c>
      <c r="I149" s="16" t="str">
        <f t="shared" si="14"/>
        <v/>
      </c>
      <c r="J149" s="16" t="str">
        <f>IF(H149="","",H149/MAX(H$5:H149)-1)</f>
        <v/>
      </c>
      <c r="K149" s="13" t="str">
        <f>IF(OR('实盘净值数据(iFinD）'!$A149="",'实盘净值数据(iFinD）'!$B149="",'实盘净值数据(iFinD）'!$Z149="",'实盘净值数据(iFinD）'!$AA149=""),"",分期持仓明细!$AB$23*(SUMPRODUCT(分期持仓明细!$B$23:$Y$23,'实盘净值数据(iFinD）'!$B149:$Y149/'实盘净值数据(iFinD）'!$B$65:$Y$65)+SUMPRODUCT(分期持仓明细!$AC$23:$AD$23,'实盘净值数据(iFinD）'!$Z149:$AA149/'实盘净值数据(iFinD）'!$Z$65:$AA$65))*(1-实盘持仓初始配置!$Z$7)^(('实盘净值数据(iFinD）'!$A149-'实盘净值数据(iFinD）'!$A$8)/365))</f>
        <v/>
      </c>
      <c r="L149" s="16" t="str">
        <f t="shared" si="15"/>
        <v/>
      </c>
      <c r="M149" s="16" t="str">
        <f>IF(K149="","",K149/MAX(K$5:K149)-1)</f>
        <v/>
      </c>
      <c r="N149" s="13" t="str">
        <f>IF(OR('实盘净值数据(iFinD）'!$A149="",'实盘净值数据(iFinD）'!$B149="",'实盘净值数据(iFinD）'!$Z149="",'实盘净值数据(iFinD）'!$AA149=""),"",分期持仓明细!$AB$24*(SUMPRODUCT(分期持仓明细!$B$24:$Y$24,'实盘净值数据(iFinD）'!$B149:$Y149/'实盘净值数据(iFinD）'!$B$65:$Y$65)+SUMPRODUCT(分期持仓明细!$AC$24:$AD$24,'实盘净值数据(iFinD）'!$Z149:$AA149/'实盘净值数据(iFinD）'!$Z$65:$AA$65))*(1-实盘持仓初始配置!$Z$8)^(('实盘净值数据(iFinD）'!$A149-'实盘净值数据(iFinD）'!$A$5)/365))</f>
        <v/>
      </c>
      <c r="O149" s="16" t="str">
        <f t="shared" si="16"/>
        <v/>
      </c>
      <c r="P149" s="16" t="str">
        <f>IF(N149="","",N149/MAX(N$5:N149)-1)</f>
        <v/>
      </c>
      <c r="Q149" s="13" t="str">
        <f>IF(OR('实盘净值数据(iFinD）'!$A149="",'实盘净值数据(iFinD）'!$B149="",'实盘净值数据(iFinD）'!$Z149="",'实盘净值数据(iFinD）'!$AA149=""),"",分期持仓明细!$AB$25*(SUMPRODUCT(分期持仓明细!$B$25:$Y$25,'实盘净值数据(iFinD）'!$B149:$Y149/'实盘净值数据(iFinD）'!$B$65:$Y$65)+SUMPRODUCT(分期持仓明细!$AC$25:$AD$25,'实盘净值数据(iFinD）'!$Z149:$AA149/'实盘净值数据(iFinD）'!$Z$65:$AA$65))*(1-实盘持仓初始配置!$Z$9)^(('实盘净值数据(iFinD）'!$A149-'实盘净值数据(iFinD）'!$A$8)/365))</f>
        <v/>
      </c>
      <c r="R149" s="16" t="str">
        <f t="shared" si="17"/>
        <v/>
      </c>
      <c r="S149" s="16" t="str">
        <f>IF(Q149="","",Q149/MAX(Q$5:Q149)-1)</f>
        <v/>
      </c>
    </row>
    <row r="150" spans="1:19">
      <c r="A150" s="15" t="str">
        <f>IF('实盘净值数据(iFinD）'!A150="","",'实盘净值数据(iFinD）'!A150)</f>
        <v/>
      </c>
      <c r="B150" s="13" t="str">
        <f>IF(OR('实盘净值数据(iFinD）'!$A150="",'实盘净值数据(iFinD）'!$B150=""),"",分期持仓明细!$AB$17*SUMPRODUCT(分期持仓明细!$B$17:$Y$17,'实盘净值数据(iFinD）'!$B150:$Y150/'实盘净值数据(iFinD）'!$B$20:$Y$20)*(1-实盘持仓初始配置!$Z$4)^(('实盘净值数据(iFinD）'!$A150-'实盘净值数据(iFinD）'!$A$6)/365))</f>
        <v/>
      </c>
      <c r="C150" s="16" t="str">
        <f t="shared" si="12"/>
        <v/>
      </c>
      <c r="D150" s="16" t="str">
        <f>IF(B150="","",B150/MAX(B$5:B150)-1)</f>
        <v/>
      </c>
      <c r="E150" s="13" t="str">
        <f>IF(OR('实盘净值数据(iFinD）'!$A150="",'实盘净值数据(iFinD）'!$B150=""),"",分期持仓明细!$AB$18*SUMPRODUCT(分期持仓明细!$B$18:$Y$18,'实盘净值数据(iFinD）'!$B150:$Y150/'实盘净值数据(iFinD）'!$B$20:$Y$20)*(1-实盘持仓初始配置!$Z$5)^(('实盘净值数据(iFinD）'!$A150-'实盘净值数据(iFinD）'!$A$5)/365))</f>
        <v/>
      </c>
      <c r="F150" s="16" t="str">
        <f t="shared" si="13"/>
        <v/>
      </c>
      <c r="G150" s="16" t="str">
        <f>IF(E150="","",E150/MAX(E$5:E150)-1)</f>
        <v/>
      </c>
      <c r="H150" s="13" t="str">
        <f>IF(OR('实盘净值数据(iFinD）'!$A150="",'实盘净值数据(iFinD）'!$B150=""),"",分期持仓明细!$AB$19*SUMPRODUCT(分期持仓明细!$B$19:$Y$19,'实盘净值数据(iFinD）'!$B150:$Y150/'实盘净值数据(iFinD）'!$B$20:$Y$20)*(1-实盘持仓初始配置!$Z$6)^(('实盘净值数据(iFinD）'!$A150-'实盘净值数据(iFinD）'!$A$7)/365))</f>
        <v/>
      </c>
      <c r="I150" s="16" t="str">
        <f t="shared" si="14"/>
        <v/>
      </c>
      <c r="J150" s="16" t="str">
        <f>IF(H150="","",H150/MAX(H$5:H150)-1)</f>
        <v/>
      </c>
      <c r="K150" s="13" t="str">
        <f>IF(OR('实盘净值数据(iFinD）'!$A150="",'实盘净值数据(iFinD）'!$B150="",'实盘净值数据(iFinD）'!$Z150="",'实盘净值数据(iFinD）'!$AA150=""),"",分期持仓明细!$AB$23*(SUMPRODUCT(分期持仓明细!$B$23:$Y$23,'实盘净值数据(iFinD）'!$B150:$Y150/'实盘净值数据(iFinD）'!$B$65:$Y$65)+SUMPRODUCT(分期持仓明细!$AC$23:$AD$23,'实盘净值数据(iFinD）'!$Z150:$AA150/'实盘净值数据(iFinD）'!$Z$65:$AA$65))*(1-实盘持仓初始配置!$Z$7)^(('实盘净值数据(iFinD）'!$A150-'实盘净值数据(iFinD）'!$A$8)/365))</f>
        <v/>
      </c>
      <c r="L150" s="16" t="str">
        <f t="shared" si="15"/>
        <v/>
      </c>
      <c r="M150" s="16" t="str">
        <f>IF(K150="","",K150/MAX(K$5:K150)-1)</f>
        <v/>
      </c>
      <c r="N150" s="13" t="str">
        <f>IF(OR('实盘净值数据(iFinD）'!$A150="",'实盘净值数据(iFinD）'!$B150="",'实盘净值数据(iFinD）'!$Z150="",'实盘净值数据(iFinD）'!$AA150=""),"",分期持仓明细!$AB$24*(SUMPRODUCT(分期持仓明细!$B$24:$Y$24,'实盘净值数据(iFinD）'!$B150:$Y150/'实盘净值数据(iFinD）'!$B$65:$Y$65)+SUMPRODUCT(分期持仓明细!$AC$24:$AD$24,'实盘净值数据(iFinD）'!$Z150:$AA150/'实盘净值数据(iFinD）'!$Z$65:$AA$65))*(1-实盘持仓初始配置!$Z$8)^(('实盘净值数据(iFinD）'!$A150-'实盘净值数据(iFinD）'!$A$5)/365))</f>
        <v/>
      </c>
      <c r="O150" s="16" t="str">
        <f t="shared" si="16"/>
        <v/>
      </c>
      <c r="P150" s="16" t="str">
        <f>IF(N150="","",N150/MAX(N$5:N150)-1)</f>
        <v/>
      </c>
      <c r="Q150" s="13" t="str">
        <f>IF(OR('实盘净值数据(iFinD）'!$A150="",'实盘净值数据(iFinD）'!$B150="",'实盘净值数据(iFinD）'!$Z150="",'实盘净值数据(iFinD）'!$AA150=""),"",分期持仓明细!$AB$25*(SUMPRODUCT(分期持仓明细!$B$25:$Y$25,'实盘净值数据(iFinD）'!$B150:$Y150/'实盘净值数据(iFinD）'!$B$65:$Y$65)+SUMPRODUCT(分期持仓明细!$AC$25:$AD$25,'实盘净值数据(iFinD）'!$Z150:$AA150/'实盘净值数据(iFinD）'!$Z$65:$AA$65))*(1-实盘持仓初始配置!$Z$9)^(('实盘净值数据(iFinD）'!$A150-'实盘净值数据(iFinD）'!$A$8)/365))</f>
        <v/>
      </c>
      <c r="R150" s="16" t="str">
        <f t="shared" si="17"/>
        <v/>
      </c>
      <c r="S150" s="16" t="str">
        <f>IF(Q150="","",Q150/MAX(Q$5:Q150)-1)</f>
        <v/>
      </c>
    </row>
    <row r="151" spans="1:19">
      <c r="A151" s="15" t="str">
        <f>IF('实盘净值数据(iFinD）'!A151="","",'实盘净值数据(iFinD）'!A151)</f>
        <v/>
      </c>
      <c r="B151" s="13" t="str">
        <f>IF(OR('实盘净值数据(iFinD）'!$A151="",'实盘净值数据(iFinD）'!$B151=""),"",分期持仓明细!$AB$17*SUMPRODUCT(分期持仓明细!$B$17:$Y$17,'实盘净值数据(iFinD）'!$B151:$Y151/'实盘净值数据(iFinD）'!$B$20:$Y$20)*(1-实盘持仓初始配置!$Z$4)^(('实盘净值数据(iFinD）'!$A151-'实盘净值数据(iFinD）'!$A$6)/365))</f>
        <v/>
      </c>
      <c r="C151" s="16" t="str">
        <f t="shared" si="12"/>
        <v/>
      </c>
      <c r="D151" s="16" t="str">
        <f>IF(B151="","",B151/MAX(B$5:B151)-1)</f>
        <v/>
      </c>
      <c r="E151" s="13" t="str">
        <f>IF(OR('实盘净值数据(iFinD）'!$A151="",'实盘净值数据(iFinD）'!$B151=""),"",分期持仓明细!$AB$18*SUMPRODUCT(分期持仓明细!$B$18:$Y$18,'实盘净值数据(iFinD）'!$B151:$Y151/'实盘净值数据(iFinD）'!$B$20:$Y$20)*(1-实盘持仓初始配置!$Z$5)^(('实盘净值数据(iFinD）'!$A151-'实盘净值数据(iFinD）'!$A$5)/365))</f>
        <v/>
      </c>
      <c r="F151" s="16" t="str">
        <f t="shared" si="13"/>
        <v/>
      </c>
      <c r="G151" s="16" t="str">
        <f>IF(E151="","",E151/MAX(E$5:E151)-1)</f>
        <v/>
      </c>
      <c r="H151" s="13" t="str">
        <f>IF(OR('实盘净值数据(iFinD）'!$A151="",'实盘净值数据(iFinD）'!$B151=""),"",分期持仓明细!$AB$19*SUMPRODUCT(分期持仓明细!$B$19:$Y$19,'实盘净值数据(iFinD）'!$B151:$Y151/'实盘净值数据(iFinD）'!$B$20:$Y$20)*(1-实盘持仓初始配置!$Z$6)^(('实盘净值数据(iFinD）'!$A151-'实盘净值数据(iFinD）'!$A$7)/365))</f>
        <v/>
      </c>
      <c r="I151" s="16" t="str">
        <f t="shared" si="14"/>
        <v/>
      </c>
      <c r="J151" s="16" t="str">
        <f>IF(H151="","",H151/MAX(H$5:H151)-1)</f>
        <v/>
      </c>
      <c r="K151" s="13" t="str">
        <f>IF(OR('实盘净值数据(iFinD）'!$A151="",'实盘净值数据(iFinD）'!$B151="",'实盘净值数据(iFinD）'!$Z151="",'实盘净值数据(iFinD）'!$AA151=""),"",分期持仓明细!$AB$23*(SUMPRODUCT(分期持仓明细!$B$23:$Y$23,'实盘净值数据(iFinD）'!$B151:$Y151/'实盘净值数据(iFinD）'!$B$65:$Y$65)+SUMPRODUCT(分期持仓明细!$AC$23:$AD$23,'实盘净值数据(iFinD）'!$Z151:$AA151/'实盘净值数据(iFinD）'!$Z$65:$AA$65))*(1-实盘持仓初始配置!$Z$7)^(('实盘净值数据(iFinD）'!$A151-'实盘净值数据(iFinD）'!$A$8)/365))</f>
        <v/>
      </c>
      <c r="L151" s="16" t="str">
        <f t="shared" si="15"/>
        <v/>
      </c>
      <c r="M151" s="16" t="str">
        <f>IF(K151="","",K151/MAX(K$5:K151)-1)</f>
        <v/>
      </c>
      <c r="N151" s="13" t="str">
        <f>IF(OR('实盘净值数据(iFinD）'!$A151="",'实盘净值数据(iFinD）'!$B151="",'实盘净值数据(iFinD）'!$Z151="",'实盘净值数据(iFinD）'!$AA151=""),"",分期持仓明细!$AB$24*(SUMPRODUCT(分期持仓明细!$B$24:$Y$24,'实盘净值数据(iFinD）'!$B151:$Y151/'实盘净值数据(iFinD）'!$B$65:$Y$65)+SUMPRODUCT(分期持仓明细!$AC$24:$AD$24,'实盘净值数据(iFinD）'!$Z151:$AA151/'实盘净值数据(iFinD）'!$Z$65:$AA$65))*(1-实盘持仓初始配置!$Z$8)^(('实盘净值数据(iFinD）'!$A151-'实盘净值数据(iFinD）'!$A$5)/365))</f>
        <v/>
      </c>
      <c r="O151" s="16" t="str">
        <f t="shared" si="16"/>
        <v/>
      </c>
      <c r="P151" s="16" t="str">
        <f>IF(N151="","",N151/MAX(N$5:N151)-1)</f>
        <v/>
      </c>
      <c r="Q151" s="13" t="str">
        <f>IF(OR('实盘净值数据(iFinD）'!$A151="",'实盘净值数据(iFinD）'!$B151="",'实盘净值数据(iFinD）'!$Z151="",'实盘净值数据(iFinD）'!$AA151=""),"",分期持仓明细!$AB$25*(SUMPRODUCT(分期持仓明细!$B$25:$Y$25,'实盘净值数据(iFinD）'!$B151:$Y151/'实盘净值数据(iFinD）'!$B$65:$Y$65)+SUMPRODUCT(分期持仓明细!$AC$25:$AD$25,'实盘净值数据(iFinD）'!$Z151:$AA151/'实盘净值数据(iFinD）'!$Z$65:$AA$65))*(1-实盘持仓初始配置!$Z$9)^(('实盘净值数据(iFinD）'!$A151-'实盘净值数据(iFinD）'!$A$8)/365))</f>
        <v/>
      </c>
      <c r="R151" s="16" t="str">
        <f t="shared" si="17"/>
        <v/>
      </c>
      <c r="S151" s="16" t="str">
        <f>IF(Q151="","",Q151/MAX(Q$5:Q151)-1)</f>
        <v/>
      </c>
    </row>
    <row r="152" spans="1:19">
      <c r="A152" s="15" t="str">
        <f>IF('实盘净值数据(iFinD）'!A152="","",'实盘净值数据(iFinD）'!A152)</f>
        <v/>
      </c>
      <c r="B152" s="13" t="str">
        <f>IF(OR('实盘净值数据(iFinD）'!$A152="",'实盘净值数据(iFinD）'!$B152=""),"",分期持仓明细!$AB$17*SUMPRODUCT(分期持仓明细!$B$17:$Y$17,'实盘净值数据(iFinD）'!$B152:$Y152/'实盘净值数据(iFinD）'!$B$20:$Y$20)*(1-实盘持仓初始配置!$Z$4)^(('实盘净值数据(iFinD）'!$A152-'实盘净值数据(iFinD）'!$A$6)/365))</f>
        <v/>
      </c>
      <c r="C152" s="16" t="str">
        <f t="shared" si="12"/>
        <v/>
      </c>
      <c r="D152" s="16" t="str">
        <f>IF(B152="","",B152/MAX(B$5:B152)-1)</f>
        <v/>
      </c>
      <c r="E152" s="13" t="str">
        <f>IF(OR('实盘净值数据(iFinD）'!$A152="",'实盘净值数据(iFinD）'!$B152=""),"",分期持仓明细!$AB$18*SUMPRODUCT(分期持仓明细!$B$18:$Y$18,'实盘净值数据(iFinD）'!$B152:$Y152/'实盘净值数据(iFinD）'!$B$20:$Y$20)*(1-实盘持仓初始配置!$Z$5)^(('实盘净值数据(iFinD）'!$A152-'实盘净值数据(iFinD）'!$A$5)/365))</f>
        <v/>
      </c>
      <c r="F152" s="16" t="str">
        <f t="shared" si="13"/>
        <v/>
      </c>
      <c r="G152" s="16" t="str">
        <f>IF(E152="","",E152/MAX(E$5:E152)-1)</f>
        <v/>
      </c>
      <c r="H152" s="13" t="str">
        <f>IF(OR('实盘净值数据(iFinD）'!$A152="",'实盘净值数据(iFinD）'!$B152=""),"",分期持仓明细!$AB$19*SUMPRODUCT(分期持仓明细!$B$19:$Y$19,'实盘净值数据(iFinD）'!$B152:$Y152/'实盘净值数据(iFinD）'!$B$20:$Y$20)*(1-实盘持仓初始配置!$Z$6)^(('实盘净值数据(iFinD）'!$A152-'实盘净值数据(iFinD）'!$A$7)/365))</f>
        <v/>
      </c>
      <c r="I152" s="16" t="str">
        <f t="shared" si="14"/>
        <v/>
      </c>
      <c r="J152" s="16" t="str">
        <f>IF(H152="","",H152/MAX(H$5:H152)-1)</f>
        <v/>
      </c>
      <c r="K152" s="13" t="str">
        <f>IF(OR('实盘净值数据(iFinD）'!$A152="",'实盘净值数据(iFinD）'!$B152="",'实盘净值数据(iFinD）'!$Z152="",'实盘净值数据(iFinD）'!$AA152=""),"",分期持仓明细!$AB$23*(SUMPRODUCT(分期持仓明细!$B$23:$Y$23,'实盘净值数据(iFinD）'!$B152:$Y152/'实盘净值数据(iFinD）'!$B$65:$Y$65)+SUMPRODUCT(分期持仓明细!$AC$23:$AD$23,'实盘净值数据(iFinD）'!$Z152:$AA152/'实盘净值数据(iFinD）'!$Z$65:$AA$65))*(1-实盘持仓初始配置!$Z$7)^(('实盘净值数据(iFinD）'!$A152-'实盘净值数据(iFinD）'!$A$8)/365))</f>
        <v/>
      </c>
      <c r="L152" s="16" t="str">
        <f t="shared" si="15"/>
        <v/>
      </c>
      <c r="M152" s="16" t="str">
        <f>IF(K152="","",K152/MAX(K$5:K152)-1)</f>
        <v/>
      </c>
      <c r="N152" s="13" t="str">
        <f>IF(OR('实盘净值数据(iFinD）'!$A152="",'实盘净值数据(iFinD）'!$B152="",'实盘净值数据(iFinD）'!$Z152="",'实盘净值数据(iFinD）'!$AA152=""),"",分期持仓明细!$AB$24*(SUMPRODUCT(分期持仓明细!$B$24:$Y$24,'实盘净值数据(iFinD）'!$B152:$Y152/'实盘净值数据(iFinD）'!$B$65:$Y$65)+SUMPRODUCT(分期持仓明细!$AC$24:$AD$24,'实盘净值数据(iFinD）'!$Z152:$AA152/'实盘净值数据(iFinD）'!$Z$65:$AA$65))*(1-实盘持仓初始配置!$Z$8)^(('实盘净值数据(iFinD）'!$A152-'实盘净值数据(iFinD）'!$A$5)/365))</f>
        <v/>
      </c>
      <c r="O152" s="16" t="str">
        <f t="shared" si="16"/>
        <v/>
      </c>
      <c r="P152" s="16" t="str">
        <f>IF(N152="","",N152/MAX(N$5:N152)-1)</f>
        <v/>
      </c>
      <c r="Q152" s="13" t="str">
        <f>IF(OR('实盘净值数据(iFinD）'!$A152="",'实盘净值数据(iFinD）'!$B152="",'实盘净值数据(iFinD）'!$Z152="",'实盘净值数据(iFinD）'!$AA152=""),"",分期持仓明细!$AB$25*(SUMPRODUCT(分期持仓明细!$B$25:$Y$25,'实盘净值数据(iFinD）'!$B152:$Y152/'实盘净值数据(iFinD）'!$B$65:$Y$65)+SUMPRODUCT(分期持仓明细!$AC$25:$AD$25,'实盘净值数据(iFinD）'!$Z152:$AA152/'实盘净值数据(iFinD）'!$Z$65:$AA$65))*(1-实盘持仓初始配置!$Z$9)^(('实盘净值数据(iFinD）'!$A152-'实盘净值数据(iFinD）'!$A$8)/365))</f>
        <v/>
      </c>
      <c r="R152" s="16" t="str">
        <f t="shared" si="17"/>
        <v/>
      </c>
      <c r="S152" s="16" t="str">
        <f>IF(Q152="","",Q152/MAX(Q$5:Q152)-1)</f>
        <v/>
      </c>
    </row>
    <row r="153" spans="1:19">
      <c r="A153" s="15" t="str">
        <f>IF('实盘净值数据(iFinD）'!A153="","",'实盘净值数据(iFinD）'!A153)</f>
        <v/>
      </c>
      <c r="B153" s="13" t="str">
        <f>IF(OR('实盘净值数据(iFinD）'!$A153="",'实盘净值数据(iFinD）'!$B153=""),"",分期持仓明细!$AB$17*SUMPRODUCT(分期持仓明细!$B$17:$Y$17,'实盘净值数据(iFinD）'!$B153:$Y153/'实盘净值数据(iFinD）'!$B$20:$Y$20)*(1-实盘持仓初始配置!$Z$4)^(('实盘净值数据(iFinD）'!$A153-'实盘净值数据(iFinD）'!$A$6)/365))</f>
        <v/>
      </c>
      <c r="C153" s="16" t="str">
        <f t="shared" si="12"/>
        <v/>
      </c>
      <c r="D153" s="16" t="str">
        <f>IF(B153="","",B153/MAX(B$5:B153)-1)</f>
        <v/>
      </c>
      <c r="E153" s="13" t="str">
        <f>IF(OR('实盘净值数据(iFinD）'!$A153="",'实盘净值数据(iFinD）'!$B153=""),"",分期持仓明细!$AB$18*SUMPRODUCT(分期持仓明细!$B$18:$Y$18,'实盘净值数据(iFinD）'!$B153:$Y153/'实盘净值数据(iFinD）'!$B$20:$Y$20)*(1-实盘持仓初始配置!$Z$5)^(('实盘净值数据(iFinD）'!$A153-'实盘净值数据(iFinD）'!$A$5)/365))</f>
        <v/>
      </c>
      <c r="F153" s="16" t="str">
        <f t="shared" si="13"/>
        <v/>
      </c>
      <c r="G153" s="16" t="str">
        <f>IF(E153="","",E153/MAX(E$5:E153)-1)</f>
        <v/>
      </c>
      <c r="H153" s="13" t="str">
        <f>IF(OR('实盘净值数据(iFinD）'!$A153="",'实盘净值数据(iFinD）'!$B153=""),"",分期持仓明细!$AB$19*SUMPRODUCT(分期持仓明细!$B$19:$Y$19,'实盘净值数据(iFinD）'!$B153:$Y153/'实盘净值数据(iFinD）'!$B$20:$Y$20)*(1-实盘持仓初始配置!$Z$6)^(('实盘净值数据(iFinD）'!$A153-'实盘净值数据(iFinD）'!$A$7)/365))</f>
        <v/>
      </c>
      <c r="I153" s="16" t="str">
        <f t="shared" si="14"/>
        <v/>
      </c>
      <c r="J153" s="16" t="str">
        <f>IF(H153="","",H153/MAX(H$5:H153)-1)</f>
        <v/>
      </c>
      <c r="K153" s="13" t="str">
        <f>IF(OR('实盘净值数据(iFinD）'!$A153="",'实盘净值数据(iFinD）'!$B153="",'实盘净值数据(iFinD）'!$Z153="",'实盘净值数据(iFinD）'!$AA153=""),"",分期持仓明细!$AB$23*(SUMPRODUCT(分期持仓明细!$B$23:$Y$23,'实盘净值数据(iFinD）'!$B153:$Y153/'实盘净值数据(iFinD）'!$B$65:$Y$65)+SUMPRODUCT(分期持仓明细!$AC$23:$AD$23,'实盘净值数据(iFinD）'!$Z153:$AA153/'实盘净值数据(iFinD）'!$Z$65:$AA$65))*(1-实盘持仓初始配置!$Z$7)^(('实盘净值数据(iFinD）'!$A153-'实盘净值数据(iFinD）'!$A$8)/365))</f>
        <v/>
      </c>
      <c r="L153" s="16" t="str">
        <f t="shared" si="15"/>
        <v/>
      </c>
      <c r="M153" s="16" t="str">
        <f>IF(K153="","",K153/MAX(K$5:K153)-1)</f>
        <v/>
      </c>
      <c r="N153" s="13" t="str">
        <f>IF(OR('实盘净值数据(iFinD）'!$A153="",'实盘净值数据(iFinD）'!$B153="",'实盘净值数据(iFinD）'!$Z153="",'实盘净值数据(iFinD）'!$AA153=""),"",分期持仓明细!$AB$24*(SUMPRODUCT(分期持仓明细!$B$24:$Y$24,'实盘净值数据(iFinD）'!$B153:$Y153/'实盘净值数据(iFinD）'!$B$65:$Y$65)+SUMPRODUCT(分期持仓明细!$AC$24:$AD$24,'实盘净值数据(iFinD）'!$Z153:$AA153/'实盘净值数据(iFinD）'!$Z$65:$AA$65))*(1-实盘持仓初始配置!$Z$8)^(('实盘净值数据(iFinD）'!$A153-'实盘净值数据(iFinD）'!$A$5)/365))</f>
        <v/>
      </c>
      <c r="O153" s="16" t="str">
        <f t="shared" si="16"/>
        <v/>
      </c>
      <c r="P153" s="16" t="str">
        <f>IF(N153="","",N153/MAX(N$5:N153)-1)</f>
        <v/>
      </c>
      <c r="Q153" s="13" t="str">
        <f>IF(OR('实盘净值数据(iFinD）'!$A153="",'实盘净值数据(iFinD）'!$B153="",'实盘净值数据(iFinD）'!$Z153="",'实盘净值数据(iFinD）'!$AA153=""),"",分期持仓明细!$AB$25*(SUMPRODUCT(分期持仓明细!$B$25:$Y$25,'实盘净值数据(iFinD）'!$B153:$Y153/'实盘净值数据(iFinD）'!$B$65:$Y$65)+SUMPRODUCT(分期持仓明细!$AC$25:$AD$25,'实盘净值数据(iFinD）'!$Z153:$AA153/'实盘净值数据(iFinD）'!$Z$65:$AA$65))*(1-实盘持仓初始配置!$Z$9)^(('实盘净值数据(iFinD）'!$A153-'实盘净值数据(iFinD）'!$A$8)/365))</f>
        <v/>
      </c>
      <c r="R153" s="16" t="str">
        <f t="shared" si="17"/>
        <v/>
      </c>
      <c r="S153" s="16" t="str">
        <f>IF(Q153="","",Q153/MAX(Q$5:Q153)-1)</f>
        <v/>
      </c>
    </row>
    <row r="154" spans="1:19">
      <c r="A154" s="15" t="str">
        <f>IF('实盘净值数据(iFinD）'!A154="","",'实盘净值数据(iFinD）'!A154)</f>
        <v/>
      </c>
      <c r="B154" s="13" t="str">
        <f>IF(OR('实盘净值数据(iFinD）'!$A154="",'实盘净值数据(iFinD）'!$B154=""),"",分期持仓明细!$AB$17*SUMPRODUCT(分期持仓明细!$B$17:$Y$17,'实盘净值数据(iFinD）'!$B154:$Y154/'实盘净值数据(iFinD）'!$B$20:$Y$20)*(1-实盘持仓初始配置!$Z$4)^(('实盘净值数据(iFinD）'!$A154-'实盘净值数据(iFinD）'!$A$6)/365))</f>
        <v/>
      </c>
      <c r="C154" s="16" t="str">
        <f t="shared" si="12"/>
        <v/>
      </c>
      <c r="D154" s="16" t="str">
        <f>IF(B154="","",B154/MAX(B$5:B154)-1)</f>
        <v/>
      </c>
      <c r="E154" s="13" t="str">
        <f>IF(OR('实盘净值数据(iFinD）'!$A154="",'实盘净值数据(iFinD）'!$B154=""),"",分期持仓明细!$AB$18*SUMPRODUCT(分期持仓明细!$B$18:$Y$18,'实盘净值数据(iFinD）'!$B154:$Y154/'实盘净值数据(iFinD）'!$B$20:$Y$20)*(1-实盘持仓初始配置!$Z$5)^(('实盘净值数据(iFinD）'!$A154-'实盘净值数据(iFinD）'!$A$5)/365))</f>
        <v/>
      </c>
      <c r="F154" s="16" t="str">
        <f t="shared" si="13"/>
        <v/>
      </c>
      <c r="G154" s="16" t="str">
        <f>IF(E154="","",E154/MAX(E$5:E154)-1)</f>
        <v/>
      </c>
      <c r="H154" s="13" t="str">
        <f>IF(OR('实盘净值数据(iFinD）'!$A154="",'实盘净值数据(iFinD）'!$B154=""),"",分期持仓明细!$AB$19*SUMPRODUCT(分期持仓明细!$B$19:$Y$19,'实盘净值数据(iFinD）'!$B154:$Y154/'实盘净值数据(iFinD）'!$B$20:$Y$20)*(1-实盘持仓初始配置!$Z$6)^(('实盘净值数据(iFinD）'!$A154-'实盘净值数据(iFinD）'!$A$7)/365))</f>
        <v/>
      </c>
      <c r="I154" s="16" t="str">
        <f t="shared" si="14"/>
        <v/>
      </c>
      <c r="J154" s="16" t="str">
        <f>IF(H154="","",H154/MAX(H$5:H154)-1)</f>
        <v/>
      </c>
      <c r="K154" s="13" t="str">
        <f>IF(OR('实盘净值数据(iFinD）'!$A154="",'实盘净值数据(iFinD）'!$B154="",'实盘净值数据(iFinD）'!$Z154="",'实盘净值数据(iFinD）'!$AA154=""),"",分期持仓明细!$AB$23*(SUMPRODUCT(分期持仓明细!$B$23:$Y$23,'实盘净值数据(iFinD）'!$B154:$Y154/'实盘净值数据(iFinD）'!$B$65:$Y$65)+SUMPRODUCT(分期持仓明细!$AC$23:$AD$23,'实盘净值数据(iFinD）'!$Z154:$AA154/'实盘净值数据(iFinD）'!$Z$65:$AA$65))*(1-实盘持仓初始配置!$Z$7)^(('实盘净值数据(iFinD）'!$A154-'实盘净值数据(iFinD）'!$A$8)/365))</f>
        <v/>
      </c>
      <c r="L154" s="16" t="str">
        <f t="shared" si="15"/>
        <v/>
      </c>
      <c r="M154" s="16" t="str">
        <f>IF(K154="","",K154/MAX(K$5:K154)-1)</f>
        <v/>
      </c>
      <c r="N154" s="13" t="str">
        <f>IF(OR('实盘净值数据(iFinD）'!$A154="",'实盘净值数据(iFinD）'!$B154="",'实盘净值数据(iFinD）'!$Z154="",'实盘净值数据(iFinD）'!$AA154=""),"",分期持仓明细!$AB$24*(SUMPRODUCT(分期持仓明细!$B$24:$Y$24,'实盘净值数据(iFinD）'!$B154:$Y154/'实盘净值数据(iFinD）'!$B$65:$Y$65)+SUMPRODUCT(分期持仓明细!$AC$24:$AD$24,'实盘净值数据(iFinD）'!$Z154:$AA154/'实盘净值数据(iFinD）'!$Z$65:$AA$65))*(1-实盘持仓初始配置!$Z$8)^(('实盘净值数据(iFinD）'!$A154-'实盘净值数据(iFinD）'!$A$5)/365))</f>
        <v/>
      </c>
      <c r="O154" s="16" t="str">
        <f t="shared" si="16"/>
        <v/>
      </c>
      <c r="P154" s="16" t="str">
        <f>IF(N154="","",N154/MAX(N$5:N154)-1)</f>
        <v/>
      </c>
      <c r="Q154" s="13" t="str">
        <f>IF(OR('实盘净值数据(iFinD）'!$A154="",'实盘净值数据(iFinD）'!$B154="",'实盘净值数据(iFinD）'!$Z154="",'实盘净值数据(iFinD）'!$AA154=""),"",分期持仓明细!$AB$25*(SUMPRODUCT(分期持仓明细!$B$25:$Y$25,'实盘净值数据(iFinD）'!$B154:$Y154/'实盘净值数据(iFinD）'!$B$65:$Y$65)+SUMPRODUCT(分期持仓明细!$AC$25:$AD$25,'实盘净值数据(iFinD）'!$Z154:$AA154/'实盘净值数据(iFinD）'!$Z$65:$AA$65))*(1-实盘持仓初始配置!$Z$9)^(('实盘净值数据(iFinD）'!$A154-'实盘净值数据(iFinD）'!$A$8)/365))</f>
        <v/>
      </c>
      <c r="R154" s="16" t="str">
        <f t="shared" si="17"/>
        <v/>
      </c>
      <c r="S154" s="16" t="str">
        <f>IF(Q154="","",Q154/MAX(Q$5:Q154)-1)</f>
        <v/>
      </c>
    </row>
    <row r="155" spans="1:19">
      <c r="A155" s="15" t="str">
        <f>IF('实盘净值数据(iFinD）'!A155="","",'实盘净值数据(iFinD）'!A155)</f>
        <v/>
      </c>
      <c r="B155" s="13" t="str">
        <f>IF(OR('实盘净值数据(iFinD）'!$A155="",'实盘净值数据(iFinD）'!$B155=""),"",分期持仓明细!$AB$17*SUMPRODUCT(分期持仓明细!$B$17:$Y$17,'实盘净值数据(iFinD）'!$B155:$Y155/'实盘净值数据(iFinD）'!$B$20:$Y$20)*(1-实盘持仓初始配置!$Z$4)^(('实盘净值数据(iFinD）'!$A155-'实盘净值数据(iFinD）'!$A$6)/365))</f>
        <v/>
      </c>
      <c r="C155" s="16" t="str">
        <f t="shared" si="12"/>
        <v/>
      </c>
      <c r="D155" s="16" t="str">
        <f>IF(B155="","",B155/MAX(B$5:B155)-1)</f>
        <v/>
      </c>
      <c r="E155" s="13" t="str">
        <f>IF(OR('实盘净值数据(iFinD）'!$A155="",'实盘净值数据(iFinD）'!$B155=""),"",分期持仓明细!$AB$18*SUMPRODUCT(分期持仓明细!$B$18:$Y$18,'实盘净值数据(iFinD）'!$B155:$Y155/'实盘净值数据(iFinD）'!$B$20:$Y$20)*(1-实盘持仓初始配置!$Z$5)^(('实盘净值数据(iFinD）'!$A155-'实盘净值数据(iFinD）'!$A$5)/365))</f>
        <v/>
      </c>
      <c r="F155" s="16" t="str">
        <f t="shared" si="13"/>
        <v/>
      </c>
      <c r="G155" s="16" t="str">
        <f>IF(E155="","",E155/MAX(E$5:E155)-1)</f>
        <v/>
      </c>
      <c r="H155" s="13" t="str">
        <f>IF(OR('实盘净值数据(iFinD）'!$A155="",'实盘净值数据(iFinD）'!$B155=""),"",分期持仓明细!$AB$19*SUMPRODUCT(分期持仓明细!$B$19:$Y$19,'实盘净值数据(iFinD）'!$B155:$Y155/'实盘净值数据(iFinD）'!$B$20:$Y$20)*(1-实盘持仓初始配置!$Z$6)^(('实盘净值数据(iFinD）'!$A155-'实盘净值数据(iFinD）'!$A$7)/365))</f>
        <v/>
      </c>
      <c r="I155" s="16" t="str">
        <f t="shared" si="14"/>
        <v/>
      </c>
      <c r="J155" s="16" t="str">
        <f>IF(H155="","",H155/MAX(H$5:H155)-1)</f>
        <v/>
      </c>
      <c r="K155" s="13" t="str">
        <f>IF(OR('实盘净值数据(iFinD）'!$A155="",'实盘净值数据(iFinD）'!$B155="",'实盘净值数据(iFinD）'!$Z155="",'实盘净值数据(iFinD）'!$AA155=""),"",分期持仓明细!$AB$23*(SUMPRODUCT(分期持仓明细!$B$23:$Y$23,'实盘净值数据(iFinD）'!$B155:$Y155/'实盘净值数据(iFinD）'!$B$65:$Y$65)+SUMPRODUCT(分期持仓明细!$AC$23:$AD$23,'实盘净值数据(iFinD）'!$Z155:$AA155/'实盘净值数据(iFinD）'!$Z$65:$AA$65))*(1-实盘持仓初始配置!$Z$7)^(('实盘净值数据(iFinD）'!$A155-'实盘净值数据(iFinD）'!$A$8)/365))</f>
        <v/>
      </c>
      <c r="L155" s="16" t="str">
        <f t="shared" si="15"/>
        <v/>
      </c>
      <c r="M155" s="16" t="str">
        <f>IF(K155="","",K155/MAX(K$5:K155)-1)</f>
        <v/>
      </c>
      <c r="N155" s="13" t="str">
        <f>IF(OR('实盘净值数据(iFinD）'!$A155="",'实盘净值数据(iFinD）'!$B155="",'实盘净值数据(iFinD）'!$Z155="",'实盘净值数据(iFinD）'!$AA155=""),"",分期持仓明细!$AB$24*(SUMPRODUCT(分期持仓明细!$B$24:$Y$24,'实盘净值数据(iFinD）'!$B155:$Y155/'实盘净值数据(iFinD）'!$B$65:$Y$65)+SUMPRODUCT(分期持仓明细!$AC$24:$AD$24,'实盘净值数据(iFinD）'!$Z155:$AA155/'实盘净值数据(iFinD）'!$Z$65:$AA$65))*(1-实盘持仓初始配置!$Z$8)^(('实盘净值数据(iFinD）'!$A155-'实盘净值数据(iFinD）'!$A$5)/365))</f>
        <v/>
      </c>
      <c r="O155" s="16" t="str">
        <f t="shared" si="16"/>
        <v/>
      </c>
      <c r="P155" s="16" t="str">
        <f>IF(N155="","",N155/MAX(N$5:N155)-1)</f>
        <v/>
      </c>
      <c r="Q155" s="13" t="str">
        <f>IF(OR('实盘净值数据(iFinD）'!$A155="",'实盘净值数据(iFinD）'!$B155="",'实盘净值数据(iFinD）'!$Z155="",'实盘净值数据(iFinD）'!$AA155=""),"",分期持仓明细!$AB$25*(SUMPRODUCT(分期持仓明细!$B$25:$Y$25,'实盘净值数据(iFinD）'!$B155:$Y155/'实盘净值数据(iFinD）'!$B$65:$Y$65)+SUMPRODUCT(分期持仓明细!$AC$25:$AD$25,'实盘净值数据(iFinD）'!$Z155:$AA155/'实盘净值数据(iFinD）'!$Z$65:$AA$65))*(1-实盘持仓初始配置!$Z$9)^(('实盘净值数据(iFinD）'!$A155-'实盘净值数据(iFinD）'!$A$8)/365))</f>
        <v/>
      </c>
      <c r="R155" s="16" t="str">
        <f t="shared" si="17"/>
        <v/>
      </c>
      <c r="S155" s="16" t="str">
        <f>IF(Q155="","",Q155/MAX(Q$5:Q155)-1)</f>
        <v/>
      </c>
    </row>
    <row r="156" spans="1:19">
      <c r="A156" s="15" t="str">
        <f>IF('实盘净值数据(iFinD）'!A156="","",'实盘净值数据(iFinD）'!A156)</f>
        <v/>
      </c>
      <c r="B156" s="13" t="str">
        <f>IF(OR('实盘净值数据(iFinD）'!$A156="",'实盘净值数据(iFinD）'!$B156=""),"",分期持仓明细!$AB$17*SUMPRODUCT(分期持仓明细!$B$17:$Y$17,'实盘净值数据(iFinD）'!$B156:$Y156/'实盘净值数据(iFinD）'!$B$20:$Y$20)*(1-实盘持仓初始配置!$Z$4)^(('实盘净值数据(iFinD）'!$A156-'实盘净值数据(iFinD）'!$A$6)/365))</f>
        <v/>
      </c>
      <c r="C156" s="16" t="str">
        <f t="shared" si="12"/>
        <v/>
      </c>
      <c r="D156" s="16" t="str">
        <f>IF(B156="","",B156/MAX(B$5:B156)-1)</f>
        <v/>
      </c>
      <c r="E156" s="13" t="str">
        <f>IF(OR('实盘净值数据(iFinD）'!$A156="",'实盘净值数据(iFinD）'!$B156=""),"",分期持仓明细!$AB$18*SUMPRODUCT(分期持仓明细!$B$18:$Y$18,'实盘净值数据(iFinD）'!$B156:$Y156/'实盘净值数据(iFinD）'!$B$20:$Y$20)*(1-实盘持仓初始配置!$Z$5)^(('实盘净值数据(iFinD）'!$A156-'实盘净值数据(iFinD）'!$A$5)/365))</f>
        <v/>
      </c>
      <c r="F156" s="16" t="str">
        <f t="shared" si="13"/>
        <v/>
      </c>
      <c r="G156" s="16" t="str">
        <f>IF(E156="","",E156/MAX(E$5:E156)-1)</f>
        <v/>
      </c>
      <c r="H156" s="13" t="str">
        <f>IF(OR('实盘净值数据(iFinD）'!$A156="",'实盘净值数据(iFinD）'!$B156=""),"",分期持仓明细!$AB$19*SUMPRODUCT(分期持仓明细!$B$19:$Y$19,'实盘净值数据(iFinD）'!$B156:$Y156/'实盘净值数据(iFinD）'!$B$20:$Y$20)*(1-实盘持仓初始配置!$Z$6)^(('实盘净值数据(iFinD）'!$A156-'实盘净值数据(iFinD）'!$A$7)/365))</f>
        <v/>
      </c>
      <c r="I156" s="16" t="str">
        <f t="shared" si="14"/>
        <v/>
      </c>
      <c r="J156" s="16" t="str">
        <f>IF(H156="","",H156/MAX(H$5:H156)-1)</f>
        <v/>
      </c>
      <c r="K156" s="13" t="str">
        <f>IF(OR('实盘净值数据(iFinD）'!$A156="",'实盘净值数据(iFinD）'!$B156="",'实盘净值数据(iFinD）'!$Z156="",'实盘净值数据(iFinD）'!$AA156=""),"",分期持仓明细!$AB$23*(SUMPRODUCT(分期持仓明细!$B$23:$Y$23,'实盘净值数据(iFinD）'!$B156:$Y156/'实盘净值数据(iFinD）'!$B$65:$Y$65)+SUMPRODUCT(分期持仓明细!$AC$23:$AD$23,'实盘净值数据(iFinD）'!$Z156:$AA156/'实盘净值数据(iFinD）'!$Z$65:$AA$65))*(1-实盘持仓初始配置!$Z$7)^(('实盘净值数据(iFinD）'!$A156-'实盘净值数据(iFinD）'!$A$8)/365))</f>
        <v/>
      </c>
      <c r="L156" s="16" t="str">
        <f t="shared" si="15"/>
        <v/>
      </c>
      <c r="M156" s="16" t="str">
        <f>IF(K156="","",K156/MAX(K$5:K156)-1)</f>
        <v/>
      </c>
      <c r="N156" s="13" t="str">
        <f>IF(OR('实盘净值数据(iFinD）'!$A156="",'实盘净值数据(iFinD）'!$B156="",'实盘净值数据(iFinD）'!$Z156="",'实盘净值数据(iFinD）'!$AA156=""),"",分期持仓明细!$AB$24*(SUMPRODUCT(分期持仓明细!$B$24:$Y$24,'实盘净值数据(iFinD）'!$B156:$Y156/'实盘净值数据(iFinD）'!$B$65:$Y$65)+SUMPRODUCT(分期持仓明细!$AC$24:$AD$24,'实盘净值数据(iFinD）'!$Z156:$AA156/'实盘净值数据(iFinD）'!$Z$65:$AA$65))*(1-实盘持仓初始配置!$Z$8)^(('实盘净值数据(iFinD）'!$A156-'实盘净值数据(iFinD）'!$A$5)/365))</f>
        <v/>
      </c>
      <c r="O156" s="16" t="str">
        <f t="shared" si="16"/>
        <v/>
      </c>
      <c r="P156" s="16" t="str">
        <f>IF(N156="","",N156/MAX(N$5:N156)-1)</f>
        <v/>
      </c>
      <c r="Q156" s="13" t="str">
        <f>IF(OR('实盘净值数据(iFinD）'!$A156="",'实盘净值数据(iFinD）'!$B156="",'实盘净值数据(iFinD）'!$Z156="",'实盘净值数据(iFinD）'!$AA156=""),"",分期持仓明细!$AB$25*(SUMPRODUCT(分期持仓明细!$B$25:$Y$25,'实盘净值数据(iFinD）'!$B156:$Y156/'实盘净值数据(iFinD）'!$B$65:$Y$65)+SUMPRODUCT(分期持仓明细!$AC$25:$AD$25,'实盘净值数据(iFinD）'!$Z156:$AA156/'实盘净值数据(iFinD）'!$Z$65:$AA$65))*(1-实盘持仓初始配置!$Z$9)^(('实盘净值数据(iFinD）'!$A156-'实盘净值数据(iFinD）'!$A$8)/365))</f>
        <v/>
      </c>
      <c r="R156" s="16" t="str">
        <f t="shared" si="17"/>
        <v/>
      </c>
      <c r="S156" s="16" t="str">
        <f>IF(Q156="","",Q156/MAX(Q$5:Q156)-1)</f>
        <v/>
      </c>
    </row>
    <row r="157" spans="1:19">
      <c r="A157" s="15" t="str">
        <f>IF('实盘净值数据(iFinD）'!A157="","",'实盘净值数据(iFinD）'!A157)</f>
        <v/>
      </c>
      <c r="B157" s="13" t="str">
        <f>IF(OR('实盘净值数据(iFinD）'!$A157="",'实盘净值数据(iFinD）'!$B157=""),"",分期持仓明细!$AB$17*SUMPRODUCT(分期持仓明细!$B$17:$Y$17,'实盘净值数据(iFinD）'!$B157:$Y157/'实盘净值数据(iFinD）'!$B$20:$Y$20)*(1-实盘持仓初始配置!$Z$4)^(('实盘净值数据(iFinD）'!$A157-'实盘净值数据(iFinD）'!$A$6)/365))</f>
        <v/>
      </c>
      <c r="C157" s="16" t="str">
        <f t="shared" si="12"/>
        <v/>
      </c>
      <c r="D157" s="16" t="str">
        <f>IF(B157="","",B157/MAX(B$5:B157)-1)</f>
        <v/>
      </c>
      <c r="E157" s="13" t="str">
        <f>IF(OR('实盘净值数据(iFinD）'!$A157="",'实盘净值数据(iFinD）'!$B157=""),"",分期持仓明细!$AB$18*SUMPRODUCT(分期持仓明细!$B$18:$Y$18,'实盘净值数据(iFinD）'!$B157:$Y157/'实盘净值数据(iFinD）'!$B$20:$Y$20)*(1-实盘持仓初始配置!$Z$5)^(('实盘净值数据(iFinD）'!$A157-'实盘净值数据(iFinD）'!$A$5)/365))</f>
        <v/>
      </c>
      <c r="F157" s="16" t="str">
        <f t="shared" si="13"/>
        <v/>
      </c>
      <c r="G157" s="16" t="str">
        <f>IF(E157="","",E157/MAX(E$5:E157)-1)</f>
        <v/>
      </c>
      <c r="H157" s="13" t="str">
        <f>IF(OR('实盘净值数据(iFinD）'!$A157="",'实盘净值数据(iFinD）'!$B157=""),"",分期持仓明细!$AB$19*SUMPRODUCT(分期持仓明细!$B$19:$Y$19,'实盘净值数据(iFinD）'!$B157:$Y157/'实盘净值数据(iFinD）'!$B$20:$Y$20)*(1-实盘持仓初始配置!$Z$6)^(('实盘净值数据(iFinD）'!$A157-'实盘净值数据(iFinD）'!$A$7)/365))</f>
        <v/>
      </c>
      <c r="I157" s="16" t="str">
        <f t="shared" si="14"/>
        <v/>
      </c>
      <c r="J157" s="16" t="str">
        <f>IF(H157="","",H157/MAX(H$5:H157)-1)</f>
        <v/>
      </c>
      <c r="K157" s="13" t="str">
        <f>IF(OR('实盘净值数据(iFinD）'!$A157="",'实盘净值数据(iFinD）'!$B157="",'实盘净值数据(iFinD）'!$Z157="",'实盘净值数据(iFinD）'!$AA157=""),"",分期持仓明细!$AB$23*(SUMPRODUCT(分期持仓明细!$B$23:$Y$23,'实盘净值数据(iFinD）'!$B157:$Y157/'实盘净值数据(iFinD）'!$B$65:$Y$65)+SUMPRODUCT(分期持仓明细!$AC$23:$AD$23,'实盘净值数据(iFinD）'!$Z157:$AA157/'实盘净值数据(iFinD）'!$Z$65:$AA$65))*(1-实盘持仓初始配置!$Z$7)^(('实盘净值数据(iFinD）'!$A157-'实盘净值数据(iFinD）'!$A$8)/365))</f>
        <v/>
      </c>
      <c r="L157" s="16" t="str">
        <f t="shared" si="15"/>
        <v/>
      </c>
      <c r="M157" s="16" t="str">
        <f>IF(K157="","",K157/MAX(K$5:K157)-1)</f>
        <v/>
      </c>
      <c r="N157" s="13" t="str">
        <f>IF(OR('实盘净值数据(iFinD）'!$A157="",'实盘净值数据(iFinD）'!$B157="",'实盘净值数据(iFinD）'!$Z157="",'实盘净值数据(iFinD）'!$AA157=""),"",分期持仓明细!$AB$24*(SUMPRODUCT(分期持仓明细!$B$24:$Y$24,'实盘净值数据(iFinD）'!$B157:$Y157/'实盘净值数据(iFinD）'!$B$65:$Y$65)+SUMPRODUCT(分期持仓明细!$AC$24:$AD$24,'实盘净值数据(iFinD）'!$Z157:$AA157/'实盘净值数据(iFinD）'!$Z$65:$AA$65))*(1-实盘持仓初始配置!$Z$8)^(('实盘净值数据(iFinD）'!$A157-'实盘净值数据(iFinD）'!$A$5)/365))</f>
        <v/>
      </c>
      <c r="O157" s="16" t="str">
        <f t="shared" si="16"/>
        <v/>
      </c>
      <c r="P157" s="16" t="str">
        <f>IF(N157="","",N157/MAX(N$5:N157)-1)</f>
        <v/>
      </c>
      <c r="Q157" s="13" t="str">
        <f>IF(OR('实盘净值数据(iFinD）'!$A157="",'实盘净值数据(iFinD）'!$B157="",'实盘净值数据(iFinD）'!$Z157="",'实盘净值数据(iFinD）'!$AA157=""),"",分期持仓明细!$AB$25*(SUMPRODUCT(分期持仓明细!$B$25:$Y$25,'实盘净值数据(iFinD）'!$B157:$Y157/'实盘净值数据(iFinD）'!$B$65:$Y$65)+SUMPRODUCT(分期持仓明细!$AC$25:$AD$25,'实盘净值数据(iFinD）'!$Z157:$AA157/'实盘净值数据(iFinD）'!$Z$65:$AA$65))*(1-实盘持仓初始配置!$Z$9)^(('实盘净值数据(iFinD）'!$A157-'实盘净值数据(iFinD）'!$A$8)/365))</f>
        <v/>
      </c>
      <c r="R157" s="16" t="str">
        <f t="shared" si="17"/>
        <v/>
      </c>
      <c r="S157" s="16" t="str">
        <f>IF(Q157="","",Q157/MAX(Q$5:Q157)-1)</f>
        <v/>
      </c>
    </row>
    <row r="158" spans="1:19">
      <c r="A158" s="15" t="str">
        <f>IF('实盘净值数据(iFinD）'!A158="","",'实盘净值数据(iFinD）'!A158)</f>
        <v/>
      </c>
      <c r="B158" s="13" t="str">
        <f>IF(OR('实盘净值数据(iFinD）'!$A158="",'实盘净值数据(iFinD）'!$B158=""),"",分期持仓明细!$AB$17*SUMPRODUCT(分期持仓明细!$B$17:$Y$17,'实盘净值数据(iFinD）'!$B158:$Y158/'实盘净值数据(iFinD）'!$B$20:$Y$20)*(1-实盘持仓初始配置!$Z$4)^(('实盘净值数据(iFinD）'!$A158-'实盘净值数据(iFinD）'!$A$6)/365))</f>
        <v/>
      </c>
      <c r="C158" s="16" t="str">
        <f t="shared" si="12"/>
        <v/>
      </c>
      <c r="D158" s="16" t="str">
        <f>IF(B158="","",B158/MAX(B$5:B158)-1)</f>
        <v/>
      </c>
      <c r="E158" s="13" t="str">
        <f>IF(OR('实盘净值数据(iFinD）'!$A158="",'实盘净值数据(iFinD）'!$B158=""),"",分期持仓明细!$AB$18*SUMPRODUCT(分期持仓明细!$B$18:$Y$18,'实盘净值数据(iFinD）'!$B158:$Y158/'实盘净值数据(iFinD）'!$B$20:$Y$20)*(1-实盘持仓初始配置!$Z$5)^(('实盘净值数据(iFinD）'!$A158-'实盘净值数据(iFinD）'!$A$5)/365))</f>
        <v/>
      </c>
      <c r="F158" s="16" t="str">
        <f t="shared" si="13"/>
        <v/>
      </c>
      <c r="G158" s="16" t="str">
        <f>IF(E158="","",E158/MAX(E$5:E158)-1)</f>
        <v/>
      </c>
      <c r="H158" s="13" t="str">
        <f>IF(OR('实盘净值数据(iFinD）'!$A158="",'实盘净值数据(iFinD）'!$B158=""),"",分期持仓明细!$AB$19*SUMPRODUCT(分期持仓明细!$B$19:$Y$19,'实盘净值数据(iFinD）'!$B158:$Y158/'实盘净值数据(iFinD）'!$B$20:$Y$20)*(1-实盘持仓初始配置!$Z$6)^(('实盘净值数据(iFinD）'!$A158-'实盘净值数据(iFinD）'!$A$7)/365))</f>
        <v/>
      </c>
      <c r="I158" s="16" t="str">
        <f t="shared" si="14"/>
        <v/>
      </c>
      <c r="J158" s="16" t="str">
        <f>IF(H158="","",H158/MAX(H$5:H158)-1)</f>
        <v/>
      </c>
      <c r="K158" s="13" t="str">
        <f>IF(OR('实盘净值数据(iFinD）'!$A158="",'实盘净值数据(iFinD）'!$B158="",'实盘净值数据(iFinD）'!$Z158="",'实盘净值数据(iFinD）'!$AA158=""),"",分期持仓明细!$AB$23*(SUMPRODUCT(分期持仓明细!$B$23:$Y$23,'实盘净值数据(iFinD）'!$B158:$Y158/'实盘净值数据(iFinD）'!$B$65:$Y$65)+SUMPRODUCT(分期持仓明细!$AC$23:$AD$23,'实盘净值数据(iFinD）'!$Z158:$AA158/'实盘净值数据(iFinD）'!$Z$65:$AA$65))*(1-实盘持仓初始配置!$Z$7)^(('实盘净值数据(iFinD）'!$A158-'实盘净值数据(iFinD）'!$A$8)/365))</f>
        <v/>
      </c>
      <c r="L158" s="16" t="str">
        <f t="shared" si="15"/>
        <v/>
      </c>
      <c r="M158" s="16" t="str">
        <f>IF(K158="","",K158/MAX(K$5:K158)-1)</f>
        <v/>
      </c>
      <c r="N158" s="13" t="str">
        <f>IF(OR('实盘净值数据(iFinD）'!$A158="",'实盘净值数据(iFinD）'!$B158="",'实盘净值数据(iFinD）'!$Z158="",'实盘净值数据(iFinD）'!$AA158=""),"",分期持仓明细!$AB$24*(SUMPRODUCT(分期持仓明细!$B$24:$Y$24,'实盘净值数据(iFinD）'!$B158:$Y158/'实盘净值数据(iFinD）'!$B$65:$Y$65)+SUMPRODUCT(分期持仓明细!$AC$24:$AD$24,'实盘净值数据(iFinD）'!$Z158:$AA158/'实盘净值数据(iFinD）'!$Z$65:$AA$65))*(1-实盘持仓初始配置!$Z$8)^(('实盘净值数据(iFinD）'!$A158-'实盘净值数据(iFinD）'!$A$5)/365))</f>
        <v/>
      </c>
      <c r="O158" s="16" t="str">
        <f t="shared" si="16"/>
        <v/>
      </c>
      <c r="P158" s="16" t="str">
        <f>IF(N158="","",N158/MAX(N$5:N158)-1)</f>
        <v/>
      </c>
      <c r="Q158" s="13" t="str">
        <f>IF(OR('实盘净值数据(iFinD）'!$A158="",'实盘净值数据(iFinD）'!$B158="",'实盘净值数据(iFinD）'!$Z158="",'实盘净值数据(iFinD）'!$AA158=""),"",分期持仓明细!$AB$25*(SUMPRODUCT(分期持仓明细!$B$25:$Y$25,'实盘净值数据(iFinD）'!$B158:$Y158/'实盘净值数据(iFinD）'!$B$65:$Y$65)+SUMPRODUCT(分期持仓明细!$AC$25:$AD$25,'实盘净值数据(iFinD）'!$Z158:$AA158/'实盘净值数据(iFinD）'!$Z$65:$AA$65))*(1-实盘持仓初始配置!$Z$9)^(('实盘净值数据(iFinD）'!$A158-'实盘净值数据(iFinD）'!$A$8)/365))</f>
        <v/>
      </c>
      <c r="R158" s="16" t="str">
        <f t="shared" si="17"/>
        <v/>
      </c>
      <c r="S158" s="16" t="str">
        <f>IF(Q158="","",Q158/MAX(Q$5:Q158)-1)</f>
        <v/>
      </c>
    </row>
    <row r="159" spans="1:19">
      <c r="A159" s="15" t="str">
        <f>IF('实盘净值数据(iFinD）'!A159="","",'实盘净值数据(iFinD）'!A159)</f>
        <v/>
      </c>
      <c r="B159" s="13" t="str">
        <f>IF(OR('实盘净值数据(iFinD）'!$A159="",'实盘净值数据(iFinD）'!$B159=""),"",分期持仓明细!$AB$17*SUMPRODUCT(分期持仓明细!$B$17:$Y$17,'实盘净值数据(iFinD）'!$B159:$Y159/'实盘净值数据(iFinD）'!$B$20:$Y$20)*(1-实盘持仓初始配置!$Z$4)^(('实盘净值数据(iFinD）'!$A159-'实盘净值数据(iFinD）'!$A$6)/365))</f>
        <v/>
      </c>
      <c r="C159" s="16" t="str">
        <f t="shared" si="12"/>
        <v/>
      </c>
      <c r="D159" s="16" t="str">
        <f>IF(B159="","",B159/MAX(B$5:B159)-1)</f>
        <v/>
      </c>
      <c r="E159" s="13" t="str">
        <f>IF(OR('实盘净值数据(iFinD）'!$A159="",'实盘净值数据(iFinD）'!$B159=""),"",分期持仓明细!$AB$18*SUMPRODUCT(分期持仓明细!$B$18:$Y$18,'实盘净值数据(iFinD）'!$B159:$Y159/'实盘净值数据(iFinD）'!$B$20:$Y$20)*(1-实盘持仓初始配置!$Z$5)^(('实盘净值数据(iFinD）'!$A159-'实盘净值数据(iFinD）'!$A$5)/365))</f>
        <v/>
      </c>
      <c r="F159" s="16" t="str">
        <f t="shared" si="13"/>
        <v/>
      </c>
      <c r="G159" s="16" t="str">
        <f>IF(E159="","",E159/MAX(E$5:E159)-1)</f>
        <v/>
      </c>
      <c r="H159" s="13" t="str">
        <f>IF(OR('实盘净值数据(iFinD）'!$A159="",'实盘净值数据(iFinD）'!$B159=""),"",分期持仓明细!$AB$19*SUMPRODUCT(分期持仓明细!$B$19:$Y$19,'实盘净值数据(iFinD）'!$B159:$Y159/'实盘净值数据(iFinD）'!$B$20:$Y$20)*(1-实盘持仓初始配置!$Z$6)^(('实盘净值数据(iFinD）'!$A159-'实盘净值数据(iFinD）'!$A$7)/365))</f>
        <v/>
      </c>
      <c r="I159" s="16" t="str">
        <f t="shared" si="14"/>
        <v/>
      </c>
      <c r="J159" s="16" t="str">
        <f>IF(H159="","",H159/MAX(H$5:H159)-1)</f>
        <v/>
      </c>
      <c r="K159" s="13" t="str">
        <f>IF(OR('实盘净值数据(iFinD）'!$A159="",'实盘净值数据(iFinD）'!$B159="",'实盘净值数据(iFinD）'!$Z159="",'实盘净值数据(iFinD）'!$AA159=""),"",分期持仓明细!$AB$23*(SUMPRODUCT(分期持仓明细!$B$23:$Y$23,'实盘净值数据(iFinD）'!$B159:$Y159/'实盘净值数据(iFinD）'!$B$65:$Y$65)+SUMPRODUCT(分期持仓明细!$AC$23:$AD$23,'实盘净值数据(iFinD）'!$Z159:$AA159/'实盘净值数据(iFinD）'!$Z$65:$AA$65))*(1-实盘持仓初始配置!$Z$7)^(('实盘净值数据(iFinD）'!$A159-'实盘净值数据(iFinD）'!$A$8)/365))</f>
        <v/>
      </c>
      <c r="L159" s="16" t="str">
        <f t="shared" si="15"/>
        <v/>
      </c>
      <c r="M159" s="16" t="str">
        <f>IF(K159="","",K159/MAX(K$5:K159)-1)</f>
        <v/>
      </c>
      <c r="N159" s="13" t="str">
        <f>IF(OR('实盘净值数据(iFinD）'!$A159="",'实盘净值数据(iFinD）'!$B159="",'实盘净值数据(iFinD）'!$Z159="",'实盘净值数据(iFinD）'!$AA159=""),"",分期持仓明细!$AB$24*(SUMPRODUCT(分期持仓明细!$B$24:$Y$24,'实盘净值数据(iFinD）'!$B159:$Y159/'实盘净值数据(iFinD）'!$B$65:$Y$65)+SUMPRODUCT(分期持仓明细!$AC$24:$AD$24,'实盘净值数据(iFinD）'!$Z159:$AA159/'实盘净值数据(iFinD）'!$Z$65:$AA$65))*(1-实盘持仓初始配置!$Z$8)^(('实盘净值数据(iFinD）'!$A159-'实盘净值数据(iFinD）'!$A$5)/365))</f>
        <v/>
      </c>
      <c r="O159" s="16" t="str">
        <f t="shared" si="16"/>
        <v/>
      </c>
      <c r="P159" s="16" t="str">
        <f>IF(N159="","",N159/MAX(N$5:N159)-1)</f>
        <v/>
      </c>
      <c r="Q159" s="13" t="str">
        <f>IF(OR('实盘净值数据(iFinD）'!$A159="",'实盘净值数据(iFinD）'!$B159="",'实盘净值数据(iFinD）'!$Z159="",'实盘净值数据(iFinD）'!$AA159=""),"",分期持仓明细!$AB$25*(SUMPRODUCT(分期持仓明细!$B$25:$Y$25,'实盘净值数据(iFinD）'!$B159:$Y159/'实盘净值数据(iFinD）'!$B$65:$Y$65)+SUMPRODUCT(分期持仓明细!$AC$25:$AD$25,'实盘净值数据(iFinD）'!$Z159:$AA159/'实盘净值数据(iFinD）'!$Z$65:$AA$65))*(1-实盘持仓初始配置!$Z$9)^(('实盘净值数据(iFinD）'!$A159-'实盘净值数据(iFinD）'!$A$8)/365))</f>
        <v/>
      </c>
      <c r="R159" s="16" t="str">
        <f t="shared" si="17"/>
        <v/>
      </c>
      <c r="S159" s="16" t="str">
        <f>IF(Q159="","",Q159/MAX(Q$5:Q159)-1)</f>
        <v/>
      </c>
    </row>
    <row r="160" spans="1:19">
      <c r="A160" s="15" t="str">
        <f>IF('实盘净值数据(iFinD）'!A160="","",'实盘净值数据(iFinD）'!A160)</f>
        <v/>
      </c>
      <c r="B160" s="13" t="str">
        <f>IF(OR('实盘净值数据(iFinD）'!$A160="",'实盘净值数据(iFinD）'!$B160=""),"",分期持仓明细!$AB$17*SUMPRODUCT(分期持仓明细!$B$17:$Y$17,'实盘净值数据(iFinD）'!$B160:$Y160/'实盘净值数据(iFinD）'!$B$20:$Y$20)*(1-实盘持仓初始配置!$Z$4)^(('实盘净值数据(iFinD）'!$A160-'实盘净值数据(iFinD）'!$A$6)/365))</f>
        <v/>
      </c>
      <c r="C160" s="16" t="str">
        <f t="shared" si="12"/>
        <v/>
      </c>
      <c r="D160" s="16" t="str">
        <f>IF(B160="","",B160/MAX(B$5:B160)-1)</f>
        <v/>
      </c>
      <c r="E160" s="13" t="str">
        <f>IF(OR('实盘净值数据(iFinD）'!$A160="",'实盘净值数据(iFinD）'!$B160=""),"",分期持仓明细!$AB$18*SUMPRODUCT(分期持仓明细!$B$18:$Y$18,'实盘净值数据(iFinD）'!$B160:$Y160/'实盘净值数据(iFinD）'!$B$20:$Y$20)*(1-实盘持仓初始配置!$Z$5)^(('实盘净值数据(iFinD）'!$A160-'实盘净值数据(iFinD）'!$A$5)/365))</f>
        <v/>
      </c>
      <c r="F160" s="16" t="str">
        <f t="shared" si="13"/>
        <v/>
      </c>
      <c r="G160" s="16" t="str">
        <f>IF(E160="","",E160/MAX(E$5:E160)-1)</f>
        <v/>
      </c>
      <c r="H160" s="13" t="str">
        <f>IF(OR('实盘净值数据(iFinD）'!$A160="",'实盘净值数据(iFinD）'!$B160=""),"",分期持仓明细!$AB$19*SUMPRODUCT(分期持仓明细!$B$19:$Y$19,'实盘净值数据(iFinD）'!$B160:$Y160/'实盘净值数据(iFinD）'!$B$20:$Y$20)*(1-实盘持仓初始配置!$Z$6)^(('实盘净值数据(iFinD）'!$A160-'实盘净值数据(iFinD）'!$A$7)/365))</f>
        <v/>
      </c>
      <c r="I160" s="16" t="str">
        <f t="shared" si="14"/>
        <v/>
      </c>
      <c r="J160" s="16" t="str">
        <f>IF(H160="","",H160/MAX(H$5:H160)-1)</f>
        <v/>
      </c>
      <c r="K160" s="13" t="str">
        <f>IF(OR('实盘净值数据(iFinD）'!$A160="",'实盘净值数据(iFinD）'!$B160="",'实盘净值数据(iFinD）'!$Z160="",'实盘净值数据(iFinD）'!$AA160=""),"",分期持仓明细!$AB$23*(SUMPRODUCT(分期持仓明细!$B$23:$Y$23,'实盘净值数据(iFinD）'!$B160:$Y160/'实盘净值数据(iFinD）'!$B$65:$Y$65)+SUMPRODUCT(分期持仓明细!$AC$23:$AD$23,'实盘净值数据(iFinD）'!$Z160:$AA160/'实盘净值数据(iFinD）'!$Z$65:$AA$65))*(1-实盘持仓初始配置!$Z$7)^(('实盘净值数据(iFinD）'!$A160-'实盘净值数据(iFinD）'!$A$8)/365))</f>
        <v/>
      </c>
      <c r="L160" s="16" t="str">
        <f t="shared" si="15"/>
        <v/>
      </c>
      <c r="M160" s="16" t="str">
        <f>IF(K160="","",K160/MAX(K$5:K160)-1)</f>
        <v/>
      </c>
      <c r="N160" s="13" t="str">
        <f>IF(OR('实盘净值数据(iFinD）'!$A160="",'实盘净值数据(iFinD）'!$B160="",'实盘净值数据(iFinD）'!$Z160="",'实盘净值数据(iFinD）'!$AA160=""),"",分期持仓明细!$AB$24*(SUMPRODUCT(分期持仓明细!$B$24:$Y$24,'实盘净值数据(iFinD）'!$B160:$Y160/'实盘净值数据(iFinD）'!$B$65:$Y$65)+SUMPRODUCT(分期持仓明细!$AC$24:$AD$24,'实盘净值数据(iFinD）'!$Z160:$AA160/'实盘净值数据(iFinD）'!$Z$65:$AA$65))*(1-实盘持仓初始配置!$Z$8)^(('实盘净值数据(iFinD）'!$A160-'实盘净值数据(iFinD）'!$A$5)/365))</f>
        <v/>
      </c>
      <c r="O160" s="16" t="str">
        <f t="shared" si="16"/>
        <v/>
      </c>
      <c r="P160" s="16" t="str">
        <f>IF(N160="","",N160/MAX(N$5:N160)-1)</f>
        <v/>
      </c>
      <c r="Q160" s="13" t="str">
        <f>IF(OR('实盘净值数据(iFinD）'!$A160="",'实盘净值数据(iFinD）'!$B160="",'实盘净值数据(iFinD）'!$Z160="",'实盘净值数据(iFinD）'!$AA160=""),"",分期持仓明细!$AB$25*(SUMPRODUCT(分期持仓明细!$B$25:$Y$25,'实盘净值数据(iFinD）'!$B160:$Y160/'实盘净值数据(iFinD）'!$B$65:$Y$65)+SUMPRODUCT(分期持仓明细!$AC$25:$AD$25,'实盘净值数据(iFinD）'!$Z160:$AA160/'实盘净值数据(iFinD）'!$Z$65:$AA$65))*(1-实盘持仓初始配置!$Z$9)^(('实盘净值数据(iFinD）'!$A160-'实盘净值数据(iFinD）'!$A$8)/365))</f>
        <v/>
      </c>
      <c r="R160" s="16" t="str">
        <f t="shared" si="17"/>
        <v/>
      </c>
      <c r="S160" s="16" t="str">
        <f>IF(Q160="","",Q160/MAX(Q$5:Q160)-1)</f>
        <v/>
      </c>
    </row>
    <row r="161" spans="1:19">
      <c r="A161" s="15" t="str">
        <f>IF('实盘净值数据(iFinD）'!A161="","",'实盘净值数据(iFinD）'!A161)</f>
        <v/>
      </c>
      <c r="B161" s="13" t="str">
        <f>IF(OR('实盘净值数据(iFinD）'!$A161="",'实盘净值数据(iFinD）'!$B161=""),"",分期持仓明细!$AB$17*SUMPRODUCT(分期持仓明细!$B$17:$Y$17,'实盘净值数据(iFinD）'!$B161:$Y161/'实盘净值数据(iFinD）'!$B$20:$Y$20)*(1-实盘持仓初始配置!$Z$4)^(('实盘净值数据(iFinD）'!$A161-'实盘净值数据(iFinD）'!$A$6)/365))</f>
        <v/>
      </c>
      <c r="C161" s="16" t="str">
        <f t="shared" si="12"/>
        <v/>
      </c>
      <c r="D161" s="16" t="str">
        <f>IF(B161="","",B161/MAX(B$5:B161)-1)</f>
        <v/>
      </c>
      <c r="E161" s="13" t="str">
        <f>IF(OR('实盘净值数据(iFinD）'!$A161="",'实盘净值数据(iFinD）'!$B161=""),"",分期持仓明细!$AB$18*SUMPRODUCT(分期持仓明细!$B$18:$Y$18,'实盘净值数据(iFinD）'!$B161:$Y161/'实盘净值数据(iFinD）'!$B$20:$Y$20)*(1-实盘持仓初始配置!$Z$5)^(('实盘净值数据(iFinD）'!$A161-'实盘净值数据(iFinD）'!$A$5)/365))</f>
        <v/>
      </c>
      <c r="F161" s="16" t="str">
        <f t="shared" si="13"/>
        <v/>
      </c>
      <c r="G161" s="16" t="str">
        <f>IF(E161="","",E161/MAX(E$5:E161)-1)</f>
        <v/>
      </c>
      <c r="H161" s="13" t="str">
        <f>IF(OR('实盘净值数据(iFinD）'!$A161="",'实盘净值数据(iFinD）'!$B161=""),"",分期持仓明细!$AB$19*SUMPRODUCT(分期持仓明细!$B$19:$Y$19,'实盘净值数据(iFinD）'!$B161:$Y161/'实盘净值数据(iFinD）'!$B$20:$Y$20)*(1-实盘持仓初始配置!$Z$6)^(('实盘净值数据(iFinD）'!$A161-'实盘净值数据(iFinD）'!$A$7)/365))</f>
        <v/>
      </c>
      <c r="I161" s="16" t="str">
        <f t="shared" si="14"/>
        <v/>
      </c>
      <c r="J161" s="16" t="str">
        <f>IF(H161="","",H161/MAX(H$5:H161)-1)</f>
        <v/>
      </c>
      <c r="K161" s="13" t="str">
        <f>IF(OR('实盘净值数据(iFinD）'!$A161="",'实盘净值数据(iFinD）'!$B161="",'实盘净值数据(iFinD）'!$Z161="",'实盘净值数据(iFinD）'!$AA161=""),"",分期持仓明细!$AB$23*(SUMPRODUCT(分期持仓明细!$B$23:$Y$23,'实盘净值数据(iFinD）'!$B161:$Y161/'实盘净值数据(iFinD）'!$B$65:$Y$65)+SUMPRODUCT(分期持仓明细!$AC$23:$AD$23,'实盘净值数据(iFinD）'!$Z161:$AA161/'实盘净值数据(iFinD）'!$Z$65:$AA$65))*(1-实盘持仓初始配置!$Z$7)^(('实盘净值数据(iFinD）'!$A161-'实盘净值数据(iFinD）'!$A$8)/365))</f>
        <v/>
      </c>
      <c r="L161" s="16" t="str">
        <f t="shared" si="15"/>
        <v/>
      </c>
      <c r="M161" s="16" t="str">
        <f>IF(K161="","",K161/MAX(K$5:K161)-1)</f>
        <v/>
      </c>
      <c r="N161" s="13" t="str">
        <f>IF(OR('实盘净值数据(iFinD）'!$A161="",'实盘净值数据(iFinD）'!$B161="",'实盘净值数据(iFinD）'!$Z161="",'实盘净值数据(iFinD）'!$AA161=""),"",分期持仓明细!$AB$24*(SUMPRODUCT(分期持仓明细!$B$24:$Y$24,'实盘净值数据(iFinD）'!$B161:$Y161/'实盘净值数据(iFinD）'!$B$65:$Y$65)+SUMPRODUCT(分期持仓明细!$AC$24:$AD$24,'实盘净值数据(iFinD）'!$Z161:$AA161/'实盘净值数据(iFinD）'!$Z$65:$AA$65))*(1-实盘持仓初始配置!$Z$8)^(('实盘净值数据(iFinD）'!$A161-'实盘净值数据(iFinD）'!$A$5)/365))</f>
        <v/>
      </c>
      <c r="O161" s="16" t="str">
        <f t="shared" si="16"/>
        <v/>
      </c>
      <c r="P161" s="16" t="str">
        <f>IF(N161="","",N161/MAX(N$5:N161)-1)</f>
        <v/>
      </c>
      <c r="Q161" s="13" t="str">
        <f>IF(OR('实盘净值数据(iFinD）'!$A161="",'实盘净值数据(iFinD）'!$B161="",'实盘净值数据(iFinD）'!$Z161="",'实盘净值数据(iFinD）'!$AA161=""),"",分期持仓明细!$AB$25*(SUMPRODUCT(分期持仓明细!$B$25:$Y$25,'实盘净值数据(iFinD）'!$B161:$Y161/'实盘净值数据(iFinD）'!$B$65:$Y$65)+SUMPRODUCT(分期持仓明细!$AC$25:$AD$25,'实盘净值数据(iFinD）'!$Z161:$AA161/'实盘净值数据(iFinD）'!$Z$65:$AA$65))*(1-实盘持仓初始配置!$Z$9)^(('实盘净值数据(iFinD）'!$A161-'实盘净值数据(iFinD）'!$A$8)/365))</f>
        <v/>
      </c>
      <c r="R161" s="16" t="str">
        <f t="shared" si="17"/>
        <v/>
      </c>
      <c r="S161" s="16" t="str">
        <f>IF(Q161="","",Q161/MAX(Q$5:Q161)-1)</f>
        <v/>
      </c>
    </row>
    <row r="162" spans="1:19">
      <c r="A162" s="15" t="str">
        <f>IF('实盘净值数据(iFinD）'!A162="","",'实盘净值数据(iFinD）'!A162)</f>
        <v/>
      </c>
      <c r="B162" s="13" t="str">
        <f>IF(OR('实盘净值数据(iFinD）'!$A162="",'实盘净值数据(iFinD）'!$B162=""),"",分期持仓明细!$AB$17*SUMPRODUCT(分期持仓明细!$B$17:$Y$17,'实盘净值数据(iFinD）'!$B162:$Y162/'实盘净值数据(iFinD）'!$B$20:$Y$20)*(1-实盘持仓初始配置!$Z$4)^(('实盘净值数据(iFinD）'!$A162-'实盘净值数据(iFinD）'!$A$6)/365))</f>
        <v/>
      </c>
      <c r="C162" s="16" t="str">
        <f t="shared" si="12"/>
        <v/>
      </c>
      <c r="D162" s="16" t="str">
        <f>IF(B162="","",B162/MAX(B$5:B162)-1)</f>
        <v/>
      </c>
      <c r="E162" s="13" t="str">
        <f>IF(OR('实盘净值数据(iFinD）'!$A162="",'实盘净值数据(iFinD）'!$B162=""),"",分期持仓明细!$AB$18*SUMPRODUCT(分期持仓明细!$B$18:$Y$18,'实盘净值数据(iFinD）'!$B162:$Y162/'实盘净值数据(iFinD）'!$B$20:$Y$20)*(1-实盘持仓初始配置!$Z$5)^(('实盘净值数据(iFinD）'!$A162-'实盘净值数据(iFinD）'!$A$5)/365))</f>
        <v/>
      </c>
      <c r="F162" s="16" t="str">
        <f t="shared" si="13"/>
        <v/>
      </c>
      <c r="G162" s="16" t="str">
        <f>IF(E162="","",E162/MAX(E$5:E162)-1)</f>
        <v/>
      </c>
      <c r="H162" s="13" t="str">
        <f>IF(OR('实盘净值数据(iFinD）'!$A162="",'实盘净值数据(iFinD）'!$B162=""),"",分期持仓明细!$AB$19*SUMPRODUCT(分期持仓明细!$B$19:$Y$19,'实盘净值数据(iFinD）'!$B162:$Y162/'实盘净值数据(iFinD）'!$B$20:$Y$20)*(1-实盘持仓初始配置!$Z$6)^(('实盘净值数据(iFinD）'!$A162-'实盘净值数据(iFinD）'!$A$7)/365))</f>
        <v/>
      </c>
      <c r="I162" s="16" t="str">
        <f t="shared" si="14"/>
        <v/>
      </c>
      <c r="J162" s="16" t="str">
        <f>IF(H162="","",H162/MAX(H$5:H162)-1)</f>
        <v/>
      </c>
      <c r="K162" s="13" t="str">
        <f>IF(OR('实盘净值数据(iFinD）'!$A162="",'实盘净值数据(iFinD）'!$B162="",'实盘净值数据(iFinD）'!$Z162="",'实盘净值数据(iFinD）'!$AA162=""),"",分期持仓明细!$AB$23*(SUMPRODUCT(分期持仓明细!$B$23:$Y$23,'实盘净值数据(iFinD）'!$B162:$Y162/'实盘净值数据(iFinD）'!$B$65:$Y$65)+SUMPRODUCT(分期持仓明细!$AC$23:$AD$23,'实盘净值数据(iFinD）'!$Z162:$AA162/'实盘净值数据(iFinD）'!$Z$65:$AA$65))*(1-实盘持仓初始配置!$Z$7)^(('实盘净值数据(iFinD）'!$A162-'实盘净值数据(iFinD）'!$A$8)/365))</f>
        <v/>
      </c>
      <c r="L162" s="16" t="str">
        <f t="shared" si="15"/>
        <v/>
      </c>
      <c r="M162" s="16" t="str">
        <f>IF(K162="","",K162/MAX(K$5:K162)-1)</f>
        <v/>
      </c>
      <c r="N162" s="13" t="str">
        <f>IF(OR('实盘净值数据(iFinD）'!$A162="",'实盘净值数据(iFinD）'!$B162="",'实盘净值数据(iFinD）'!$Z162="",'实盘净值数据(iFinD）'!$AA162=""),"",分期持仓明细!$AB$24*(SUMPRODUCT(分期持仓明细!$B$24:$Y$24,'实盘净值数据(iFinD）'!$B162:$Y162/'实盘净值数据(iFinD）'!$B$65:$Y$65)+SUMPRODUCT(分期持仓明细!$AC$24:$AD$24,'实盘净值数据(iFinD）'!$Z162:$AA162/'实盘净值数据(iFinD）'!$Z$65:$AA$65))*(1-实盘持仓初始配置!$Z$8)^(('实盘净值数据(iFinD）'!$A162-'实盘净值数据(iFinD）'!$A$5)/365))</f>
        <v/>
      </c>
      <c r="O162" s="16" t="str">
        <f t="shared" si="16"/>
        <v/>
      </c>
      <c r="P162" s="16" t="str">
        <f>IF(N162="","",N162/MAX(N$5:N162)-1)</f>
        <v/>
      </c>
      <c r="Q162" s="13" t="str">
        <f>IF(OR('实盘净值数据(iFinD）'!$A162="",'实盘净值数据(iFinD）'!$B162="",'实盘净值数据(iFinD）'!$Z162="",'实盘净值数据(iFinD）'!$AA162=""),"",分期持仓明细!$AB$25*(SUMPRODUCT(分期持仓明细!$B$25:$Y$25,'实盘净值数据(iFinD）'!$B162:$Y162/'实盘净值数据(iFinD）'!$B$65:$Y$65)+SUMPRODUCT(分期持仓明细!$AC$25:$AD$25,'实盘净值数据(iFinD）'!$Z162:$AA162/'实盘净值数据(iFinD）'!$Z$65:$AA$65))*(1-实盘持仓初始配置!$Z$9)^(('实盘净值数据(iFinD）'!$A162-'实盘净值数据(iFinD）'!$A$8)/365))</f>
        <v/>
      </c>
      <c r="R162" s="16" t="str">
        <f t="shared" si="17"/>
        <v/>
      </c>
      <c r="S162" s="16" t="str">
        <f>IF(Q162="","",Q162/MAX(Q$5:Q162)-1)</f>
        <v/>
      </c>
    </row>
    <row r="163" spans="1:19">
      <c r="A163" s="15" t="str">
        <f>IF('实盘净值数据(iFinD）'!A163="","",'实盘净值数据(iFinD）'!A163)</f>
        <v/>
      </c>
      <c r="B163" s="13" t="str">
        <f>IF(OR('实盘净值数据(iFinD）'!$A163="",'实盘净值数据(iFinD）'!$B163=""),"",分期持仓明细!$AB$17*SUMPRODUCT(分期持仓明细!$B$17:$Y$17,'实盘净值数据(iFinD）'!$B163:$Y163/'实盘净值数据(iFinD）'!$B$20:$Y$20)*(1-实盘持仓初始配置!$Z$4)^(('实盘净值数据(iFinD）'!$A163-'实盘净值数据(iFinD）'!$A$6)/365))</f>
        <v/>
      </c>
      <c r="C163" s="16" t="str">
        <f t="shared" si="12"/>
        <v/>
      </c>
      <c r="D163" s="16" t="str">
        <f>IF(B163="","",B163/MAX(B$5:B163)-1)</f>
        <v/>
      </c>
      <c r="E163" s="13" t="str">
        <f>IF(OR('实盘净值数据(iFinD）'!$A163="",'实盘净值数据(iFinD）'!$B163=""),"",分期持仓明细!$AB$18*SUMPRODUCT(分期持仓明细!$B$18:$Y$18,'实盘净值数据(iFinD）'!$B163:$Y163/'实盘净值数据(iFinD）'!$B$20:$Y$20)*(1-实盘持仓初始配置!$Z$5)^(('实盘净值数据(iFinD）'!$A163-'实盘净值数据(iFinD）'!$A$5)/365))</f>
        <v/>
      </c>
      <c r="F163" s="16" t="str">
        <f t="shared" si="13"/>
        <v/>
      </c>
      <c r="G163" s="16" t="str">
        <f>IF(E163="","",E163/MAX(E$5:E163)-1)</f>
        <v/>
      </c>
      <c r="H163" s="13" t="str">
        <f>IF(OR('实盘净值数据(iFinD）'!$A163="",'实盘净值数据(iFinD）'!$B163=""),"",分期持仓明细!$AB$19*SUMPRODUCT(分期持仓明细!$B$19:$Y$19,'实盘净值数据(iFinD）'!$B163:$Y163/'实盘净值数据(iFinD）'!$B$20:$Y$20)*(1-实盘持仓初始配置!$Z$6)^(('实盘净值数据(iFinD）'!$A163-'实盘净值数据(iFinD）'!$A$7)/365))</f>
        <v/>
      </c>
      <c r="I163" s="16" t="str">
        <f t="shared" si="14"/>
        <v/>
      </c>
      <c r="J163" s="16" t="str">
        <f>IF(H163="","",H163/MAX(H$5:H163)-1)</f>
        <v/>
      </c>
      <c r="K163" s="13" t="str">
        <f>IF(OR('实盘净值数据(iFinD）'!$A163="",'实盘净值数据(iFinD）'!$B163="",'实盘净值数据(iFinD）'!$Z163="",'实盘净值数据(iFinD）'!$AA163=""),"",分期持仓明细!$AB$23*(SUMPRODUCT(分期持仓明细!$B$23:$Y$23,'实盘净值数据(iFinD）'!$B163:$Y163/'实盘净值数据(iFinD）'!$B$65:$Y$65)+SUMPRODUCT(分期持仓明细!$AC$23:$AD$23,'实盘净值数据(iFinD）'!$Z163:$AA163/'实盘净值数据(iFinD）'!$Z$65:$AA$65))*(1-实盘持仓初始配置!$Z$7)^(('实盘净值数据(iFinD）'!$A163-'实盘净值数据(iFinD）'!$A$8)/365))</f>
        <v/>
      </c>
      <c r="L163" s="16" t="str">
        <f t="shared" si="15"/>
        <v/>
      </c>
      <c r="M163" s="16" t="str">
        <f>IF(K163="","",K163/MAX(K$5:K163)-1)</f>
        <v/>
      </c>
      <c r="N163" s="13" t="str">
        <f>IF(OR('实盘净值数据(iFinD）'!$A163="",'实盘净值数据(iFinD）'!$B163="",'实盘净值数据(iFinD）'!$Z163="",'实盘净值数据(iFinD）'!$AA163=""),"",分期持仓明细!$AB$24*(SUMPRODUCT(分期持仓明细!$B$24:$Y$24,'实盘净值数据(iFinD）'!$B163:$Y163/'实盘净值数据(iFinD）'!$B$65:$Y$65)+SUMPRODUCT(分期持仓明细!$AC$24:$AD$24,'实盘净值数据(iFinD）'!$Z163:$AA163/'实盘净值数据(iFinD）'!$Z$65:$AA$65))*(1-实盘持仓初始配置!$Z$8)^(('实盘净值数据(iFinD）'!$A163-'实盘净值数据(iFinD）'!$A$5)/365))</f>
        <v/>
      </c>
      <c r="O163" s="16" t="str">
        <f t="shared" si="16"/>
        <v/>
      </c>
      <c r="P163" s="16" t="str">
        <f>IF(N163="","",N163/MAX(N$5:N163)-1)</f>
        <v/>
      </c>
      <c r="Q163" s="13" t="str">
        <f>IF(OR('实盘净值数据(iFinD）'!$A163="",'实盘净值数据(iFinD）'!$B163="",'实盘净值数据(iFinD）'!$Z163="",'实盘净值数据(iFinD）'!$AA163=""),"",分期持仓明细!$AB$25*(SUMPRODUCT(分期持仓明细!$B$25:$Y$25,'实盘净值数据(iFinD）'!$B163:$Y163/'实盘净值数据(iFinD）'!$B$65:$Y$65)+SUMPRODUCT(分期持仓明细!$AC$25:$AD$25,'实盘净值数据(iFinD）'!$Z163:$AA163/'实盘净值数据(iFinD）'!$Z$65:$AA$65))*(1-实盘持仓初始配置!$Z$9)^(('实盘净值数据(iFinD）'!$A163-'实盘净值数据(iFinD）'!$A$8)/365))</f>
        <v/>
      </c>
      <c r="R163" s="16" t="str">
        <f t="shared" si="17"/>
        <v/>
      </c>
      <c r="S163" s="16" t="str">
        <f>IF(Q163="","",Q163/MAX(Q$5:Q163)-1)</f>
        <v/>
      </c>
    </row>
    <row r="164" spans="1:19">
      <c r="A164" s="15" t="str">
        <f>IF('实盘净值数据(iFinD）'!A164="","",'实盘净值数据(iFinD）'!A164)</f>
        <v/>
      </c>
      <c r="B164" s="13" t="str">
        <f>IF(OR('实盘净值数据(iFinD）'!$A164="",'实盘净值数据(iFinD）'!$B164=""),"",分期持仓明细!$AB$17*SUMPRODUCT(分期持仓明细!$B$17:$Y$17,'实盘净值数据(iFinD）'!$B164:$Y164/'实盘净值数据(iFinD）'!$B$20:$Y$20)*(1-实盘持仓初始配置!$Z$4)^(('实盘净值数据(iFinD）'!$A164-'实盘净值数据(iFinD）'!$A$6)/365))</f>
        <v/>
      </c>
      <c r="C164" s="16" t="str">
        <f t="shared" si="12"/>
        <v/>
      </c>
      <c r="D164" s="16" t="str">
        <f>IF(B164="","",B164/MAX(B$5:B164)-1)</f>
        <v/>
      </c>
      <c r="E164" s="13" t="str">
        <f>IF(OR('实盘净值数据(iFinD）'!$A164="",'实盘净值数据(iFinD）'!$B164=""),"",分期持仓明细!$AB$18*SUMPRODUCT(分期持仓明细!$B$18:$Y$18,'实盘净值数据(iFinD）'!$B164:$Y164/'实盘净值数据(iFinD）'!$B$20:$Y$20)*(1-实盘持仓初始配置!$Z$5)^(('实盘净值数据(iFinD）'!$A164-'实盘净值数据(iFinD）'!$A$5)/365))</f>
        <v/>
      </c>
      <c r="F164" s="16" t="str">
        <f t="shared" si="13"/>
        <v/>
      </c>
      <c r="G164" s="16" t="str">
        <f>IF(E164="","",E164/MAX(E$5:E164)-1)</f>
        <v/>
      </c>
      <c r="H164" s="13" t="str">
        <f>IF(OR('实盘净值数据(iFinD）'!$A164="",'实盘净值数据(iFinD）'!$B164=""),"",分期持仓明细!$AB$19*SUMPRODUCT(分期持仓明细!$B$19:$Y$19,'实盘净值数据(iFinD）'!$B164:$Y164/'实盘净值数据(iFinD）'!$B$20:$Y$20)*(1-实盘持仓初始配置!$Z$6)^(('实盘净值数据(iFinD）'!$A164-'实盘净值数据(iFinD）'!$A$7)/365))</f>
        <v/>
      </c>
      <c r="I164" s="16" t="str">
        <f t="shared" si="14"/>
        <v/>
      </c>
      <c r="J164" s="16" t="str">
        <f>IF(H164="","",H164/MAX(H$5:H164)-1)</f>
        <v/>
      </c>
      <c r="K164" s="13" t="str">
        <f>IF(OR('实盘净值数据(iFinD）'!$A164="",'实盘净值数据(iFinD）'!$B164="",'实盘净值数据(iFinD）'!$Z164="",'实盘净值数据(iFinD）'!$AA164=""),"",分期持仓明细!$AB$23*(SUMPRODUCT(分期持仓明细!$B$23:$Y$23,'实盘净值数据(iFinD）'!$B164:$Y164/'实盘净值数据(iFinD）'!$B$65:$Y$65)+SUMPRODUCT(分期持仓明细!$AC$23:$AD$23,'实盘净值数据(iFinD）'!$Z164:$AA164/'实盘净值数据(iFinD）'!$Z$65:$AA$65))*(1-实盘持仓初始配置!$Z$7)^(('实盘净值数据(iFinD）'!$A164-'实盘净值数据(iFinD）'!$A$8)/365))</f>
        <v/>
      </c>
      <c r="L164" s="16" t="str">
        <f t="shared" si="15"/>
        <v/>
      </c>
      <c r="M164" s="16" t="str">
        <f>IF(K164="","",K164/MAX(K$5:K164)-1)</f>
        <v/>
      </c>
      <c r="N164" s="13" t="str">
        <f>IF(OR('实盘净值数据(iFinD）'!$A164="",'实盘净值数据(iFinD）'!$B164="",'实盘净值数据(iFinD）'!$Z164="",'实盘净值数据(iFinD）'!$AA164=""),"",分期持仓明细!$AB$24*(SUMPRODUCT(分期持仓明细!$B$24:$Y$24,'实盘净值数据(iFinD）'!$B164:$Y164/'实盘净值数据(iFinD）'!$B$65:$Y$65)+SUMPRODUCT(分期持仓明细!$AC$24:$AD$24,'实盘净值数据(iFinD）'!$Z164:$AA164/'实盘净值数据(iFinD）'!$Z$65:$AA$65))*(1-实盘持仓初始配置!$Z$8)^(('实盘净值数据(iFinD）'!$A164-'实盘净值数据(iFinD）'!$A$5)/365))</f>
        <v/>
      </c>
      <c r="O164" s="16" t="str">
        <f t="shared" si="16"/>
        <v/>
      </c>
      <c r="P164" s="16" t="str">
        <f>IF(N164="","",N164/MAX(N$5:N164)-1)</f>
        <v/>
      </c>
      <c r="Q164" s="13" t="str">
        <f>IF(OR('实盘净值数据(iFinD）'!$A164="",'实盘净值数据(iFinD）'!$B164="",'实盘净值数据(iFinD）'!$Z164="",'实盘净值数据(iFinD）'!$AA164=""),"",分期持仓明细!$AB$25*(SUMPRODUCT(分期持仓明细!$B$25:$Y$25,'实盘净值数据(iFinD）'!$B164:$Y164/'实盘净值数据(iFinD）'!$B$65:$Y$65)+SUMPRODUCT(分期持仓明细!$AC$25:$AD$25,'实盘净值数据(iFinD）'!$Z164:$AA164/'实盘净值数据(iFinD）'!$Z$65:$AA$65))*(1-实盘持仓初始配置!$Z$9)^(('实盘净值数据(iFinD）'!$A164-'实盘净值数据(iFinD）'!$A$8)/365))</f>
        <v/>
      </c>
      <c r="R164" s="16" t="str">
        <f t="shared" si="17"/>
        <v/>
      </c>
      <c r="S164" s="16" t="str">
        <f>IF(Q164="","",Q164/MAX(Q$5:Q164)-1)</f>
        <v/>
      </c>
    </row>
    <row r="165" spans="1:19">
      <c r="A165" s="15" t="str">
        <f>IF('实盘净值数据(iFinD）'!A165="","",'实盘净值数据(iFinD）'!A165)</f>
        <v/>
      </c>
      <c r="B165" s="13" t="str">
        <f>IF(OR('实盘净值数据(iFinD）'!$A165="",'实盘净值数据(iFinD）'!$B165=""),"",分期持仓明细!$AB$17*SUMPRODUCT(分期持仓明细!$B$17:$Y$17,'实盘净值数据(iFinD）'!$B165:$Y165/'实盘净值数据(iFinD）'!$B$20:$Y$20)*(1-实盘持仓初始配置!$Z$4)^(('实盘净值数据(iFinD）'!$A165-'实盘净值数据(iFinD）'!$A$6)/365))</f>
        <v/>
      </c>
      <c r="C165" s="16" t="str">
        <f t="shared" si="12"/>
        <v/>
      </c>
      <c r="D165" s="16" t="str">
        <f>IF(B165="","",B165/MAX(B$5:B165)-1)</f>
        <v/>
      </c>
      <c r="E165" s="13" t="str">
        <f>IF(OR('实盘净值数据(iFinD）'!$A165="",'实盘净值数据(iFinD）'!$B165=""),"",分期持仓明细!$AB$18*SUMPRODUCT(分期持仓明细!$B$18:$Y$18,'实盘净值数据(iFinD）'!$B165:$Y165/'实盘净值数据(iFinD）'!$B$20:$Y$20)*(1-实盘持仓初始配置!$Z$5)^(('实盘净值数据(iFinD）'!$A165-'实盘净值数据(iFinD）'!$A$5)/365))</f>
        <v/>
      </c>
      <c r="F165" s="16" t="str">
        <f t="shared" si="13"/>
        <v/>
      </c>
      <c r="G165" s="16" t="str">
        <f>IF(E165="","",E165/MAX(E$5:E165)-1)</f>
        <v/>
      </c>
      <c r="H165" s="13" t="str">
        <f>IF(OR('实盘净值数据(iFinD）'!$A165="",'实盘净值数据(iFinD）'!$B165=""),"",分期持仓明细!$AB$19*SUMPRODUCT(分期持仓明细!$B$19:$Y$19,'实盘净值数据(iFinD）'!$B165:$Y165/'实盘净值数据(iFinD）'!$B$20:$Y$20)*(1-实盘持仓初始配置!$Z$6)^(('实盘净值数据(iFinD）'!$A165-'实盘净值数据(iFinD）'!$A$7)/365))</f>
        <v/>
      </c>
      <c r="I165" s="16" t="str">
        <f t="shared" si="14"/>
        <v/>
      </c>
      <c r="J165" s="16" t="str">
        <f>IF(H165="","",H165/MAX(H$5:H165)-1)</f>
        <v/>
      </c>
      <c r="K165" s="13" t="str">
        <f>IF(OR('实盘净值数据(iFinD）'!$A165="",'实盘净值数据(iFinD）'!$B165="",'实盘净值数据(iFinD）'!$Z165="",'实盘净值数据(iFinD）'!$AA165=""),"",分期持仓明细!$AB$23*(SUMPRODUCT(分期持仓明细!$B$23:$Y$23,'实盘净值数据(iFinD）'!$B165:$Y165/'实盘净值数据(iFinD）'!$B$65:$Y$65)+SUMPRODUCT(分期持仓明细!$AC$23:$AD$23,'实盘净值数据(iFinD）'!$Z165:$AA165/'实盘净值数据(iFinD）'!$Z$65:$AA$65))*(1-实盘持仓初始配置!$Z$7)^(('实盘净值数据(iFinD）'!$A165-'实盘净值数据(iFinD）'!$A$8)/365))</f>
        <v/>
      </c>
      <c r="L165" s="16" t="str">
        <f t="shared" si="15"/>
        <v/>
      </c>
      <c r="M165" s="16" t="str">
        <f>IF(K165="","",K165/MAX(K$5:K165)-1)</f>
        <v/>
      </c>
      <c r="N165" s="13" t="str">
        <f>IF(OR('实盘净值数据(iFinD）'!$A165="",'实盘净值数据(iFinD）'!$B165="",'实盘净值数据(iFinD）'!$Z165="",'实盘净值数据(iFinD）'!$AA165=""),"",分期持仓明细!$AB$24*(SUMPRODUCT(分期持仓明细!$B$24:$Y$24,'实盘净值数据(iFinD）'!$B165:$Y165/'实盘净值数据(iFinD）'!$B$65:$Y$65)+SUMPRODUCT(分期持仓明细!$AC$24:$AD$24,'实盘净值数据(iFinD）'!$Z165:$AA165/'实盘净值数据(iFinD）'!$Z$65:$AA$65))*(1-实盘持仓初始配置!$Z$8)^(('实盘净值数据(iFinD）'!$A165-'实盘净值数据(iFinD）'!$A$5)/365))</f>
        <v/>
      </c>
      <c r="O165" s="16" t="str">
        <f t="shared" si="16"/>
        <v/>
      </c>
      <c r="P165" s="16" t="str">
        <f>IF(N165="","",N165/MAX(N$5:N165)-1)</f>
        <v/>
      </c>
      <c r="Q165" s="13" t="str">
        <f>IF(OR('实盘净值数据(iFinD）'!$A165="",'实盘净值数据(iFinD）'!$B165="",'实盘净值数据(iFinD）'!$Z165="",'实盘净值数据(iFinD）'!$AA165=""),"",分期持仓明细!$AB$25*(SUMPRODUCT(分期持仓明细!$B$25:$Y$25,'实盘净值数据(iFinD）'!$B165:$Y165/'实盘净值数据(iFinD）'!$B$65:$Y$65)+SUMPRODUCT(分期持仓明细!$AC$25:$AD$25,'实盘净值数据(iFinD）'!$Z165:$AA165/'实盘净值数据(iFinD）'!$Z$65:$AA$65))*(1-实盘持仓初始配置!$Z$9)^(('实盘净值数据(iFinD）'!$A165-'实盘净值数据(iFinD）'!$A$8)/365))</f>
        <v/>
      </c>
      <c r="R165" s="16" t="str">
        <f t="shared" si="17"/>
        <v/>
      </c>
      <c r="S165" s="16" t="str">
        <f>IF(Q165="","",Q165/MAX(Q$5:Q165)-1)</f>
        <v/>
      </c>
    </row>
    <row r="166" spans="1:19">
      <c r="A166" s="15" t="str">
        <f>IF('实盘净值数据(iFinD）'!A166="","",'实盘净值数据(iFinD）'!A166)</f>
        <v/>
      </c>
      <c r="B166" s="13" t="str">
        <f>IF(OR('实盘净值数据(iFinD）'!$A166="",'实盘净值数据(iFinD）'!$B166=""),"",分期持仓明细!$AB$17*SUMPRODUCT(分期持仓明细!$B$17:$Y$17,'实盘净值数据(iFinD）'!$B166:$Y166/'实盘净值数据(iFinD）'!$B$20:$Y$20)*(1-实盘持仓初始配置!$Z$4)^(('实盘净值数据(iFinD）'!$A166-'实盘净值数据(iFinD）'!$A$6)/365))</f>
        <v/>
      </c>
      <c r="C166" s="16" t="str">
        <f t="shared" si="12"/>
        <v/>
      </c>
      <c r="D166" s="16" t="str">
        <f>IF(B166="","",B166/MAX(B$5:B166)-1)</f>
        <v/>
      </c>
      <c r="E166" s="13" t="str">
        <f>IF(OR('实盘净值数据(iFinD）'!$A166="",'实盘净值数据(iFinD）'!$B166=""),"",分期持仓明细!$AB$18*SUMPRODUCT(分期持仓明细!$B$18:$Y$18,'实盘净值数据(iFinD）'!$B166:$Y166/'实盘净值数据(iFinD）'!$B$20:$Y$20)*(1-实盘持仓初始配置!$Z$5)^(('实盘净值数据(iFinD）'!$A166-'实盘净值数据(iFinD）'!$A$5)/365))</f>
        <v/>
      </c>
      <c r="F166" s="16" t="str">
        <f t="shared" si="13"/>
        <v/>
      </c>
      <c r="G166" s="16" t="str">
        <f>IF(E166="","",E166/MAX(E$5:E166)-1)</f>
        <v/>
      </c>
      <c r="H166" s="13" t="str">
        <f>IF(OR('实盘净值数据(iFinD）'!$A166="",'实盘净值数据(iFinD）'!$B166=""),"",分期持仓明细!$AB$19*SUMPRODUCT(分期持仓明细!$B$19:$Y$19,'实盘净值数据(iFinD）'!$B166:$Y166/'实盘净值数据(iFinD）'!$B$20:$Y$20)*(1-实盘持仓初始配置!$Z$6)^(('实盘净值数据(iFinD）'!$A166-'实盘净值数据(iFinD）'!$A$7)/365))</f>
        <v/>
      </c>
      <c r="I166" s="16" t="str">
        <f t="shared" si="14"/>
        <v/>
      </c>
      <c r="J166" s="16" t="str">
        <f>IF(H166="","",H166/MAX(H$5:H166)-1)</f>
        <v/>
      </c>
      <c r="K166" s="13" t="str">
        <f>IF(OR('实盘净值数据(iFinD）'!$A166="",'实盘净值数据(iFinD）'!$B166="",'实盘净值数据(iFinD）'!$Z166="",'实盘净值数据(iFinD）'!$AA166=""),"",分期持仓明细!$AB$23*(SUMPRODUCT(分期持仓明细!$B$23:$Y$23,'实盘净值数据(iFinD）'!$B166:$Y166/'实盘净值数据(iFinD）'!$B$65:$Y$65)+SUMPRODUCT(分期持仓明细!$AC$23:$AD$23,'实盘净值数据(iFinD）'!$Z166:$AA166/'实盘净值数据(iFinD）'!$Z$65:$AA$65))*(1-实盘持仓初始配置!$Z$7)^(('实盘净值数据(iFinD）'!$A166-'实盘净值数据(iFinD）'!$A$8)/365))</f>
        <v/>
      </c>
      <c r="L166" s="16" t="str">
        <f t="shared" si="15"/>
        <v/>
      </c>
      <c r="M166" s="16" t="str">
        <f>IF(K166="","",K166/MAX(K$5:K166)-1)</f>
        <v/>
      </c>
      <c r="N166" s="13" t="str">
        <f>IF(OR('实盘净值数据(iFinD）'!$A166="",'实盘净值数据(iFinD）'!$B166="",'实盘净值数据(iFinD）'!$Z166="",'实盘净值数据(iFinD）'!$AA166=""),"",分期持仓明细!$AB$24*(SUMPRODUCT(分期持仓明细!$B$24:$Y$24,'实盘净值数据(iFinD）'!$B166:$Y166/'实盘净值数据(iFinD）'!$B$65:$Y$65)+SUMPRODUCT(分期持仓明细!$AC$24:$AD$24,'实盘净值数据(iFinD）'!$Z166:$AA166/'实盘净值数据(iFinD）'!$Z$65:$AA$65))*(1-实盘持仓初始配置!$Z$8)^(('实盘净值数据(iFinD）'!$A166-'实盘净值数据(iFinD）'!$A$5)/365))</f>
        <v/>
      </c>
      <c r="O166" s="16" t="str">
        <f t="shared" si="16"/>
        <v/>
      </c>
      <c r="P166" s="16" t="str">
        <f>IF(N166="","",N166/MAX(N$5:N166)-1)</f>
        <v/>
      </c>
      <c r="Q166" s="13" t="str">
        <f>IF(OR('实盘净值数据(iFinD）'!$A166="",'实盘净值数据(iFinD）'!$B166="",'实盘净值数据(iFinD）'!$Z166="",'实盘净值数据(iFinD）'!$AA166=""),"",分期持仓明细!$AB$25*(SUMPRODUCT(分期持仓明细!$B$25:$Y$25,'实盘净值数据(iFinD）'!$B166:$Y166/'实盘净值数据(iFinD）'!$B$65:$Y$65)+SUMPRODUCT(分期持仓明细!$AC$25:$AD$25,'实盘净值数据(iFinD）'!$Z166:$AA166/'实盘净值数据(iFinD）'!$Z$65:$AA$65))*(1-实盘持仓初始配置!$Z$9)^(('实盘净值数据(iFinD）'!$A166-'实盘净值数据(iFinD）'!$A$8)/365))</f>
        <v/>
      </c>
      <c r="R166" s="16" t="str">
        <f t="shared" si="17"/>
        <v/>
      </c>
      <c r="S166" s="16" t="str">
        <f>IF(Q166="","",Q166/MAX(Q$5:Q166)-1)</f>
        <v/>
      </c>
    </row>
    <row r="167" spans="1:19">
      <c r="A167" s="15" t="str">
        <f>IF('实盘净值数据(iFinD）'!A167="","",'实盘净值数据(iFinD）'!A167)</f>
        <v/>
      </c>
      <c r="B167" s="13" t="str">
        <f>IF(OR('实盘净值数据(iFinD）'!$A167="",'实盘净值数据(iFinD）'!$B167=""),"",分期持仓明细!$AB$17*SUMPRODUCT(分期持仓明细!$B$17:$Y$17,'实盘净值数据(iFinD）'!$B167:$Y167/'实盘净值数据(iFinD）'!$B$20:$Y$20)*(1-实盘持仓初始配置!$Z$4)^(('实盘净值数据(iFinD）'!$A167-'实盘净值数据(iFinD）'!$A$6)/365))</f>
        <v/>
      </c>
      <c r="C167" s="16" t="str">
        <f t="shared" si="12"/>
        <v/>
      </c>
      <c r="D167" s="16" t="str">
        <f>IF(B167="","",B167/MAX(B$5:B167)-1)</f>
        <v/>
      </c>
      <c r="E167" s="13" t="str">
        <f>IF(OR('实盘净值数据(iFinD）'!$A167="",'实盘净值数据(iFinD）'!$B167=""),"",分期持仓明细!$AB$18*SUMPRODUCT(分期持仓明细!$B$18:$Y$18,'实盘净值数据(iFinD）'!$B167:$Y167/'实盘净值数据(iFinD）'!$B$20:$Y$20)*(1-实盘持仓初始配置!$Z$5)^(('实盘净值数据(iFinD）'!$A167-'实盘净值数据(iFinD）'!$A$5)/365))</f>
        <v/>
      </c>
      <c r="F167" s="16" t="str">
        <f t="shared" si="13"/>
        <v/>
      </c>
      <c r="G167" s="16" t="str">
        <f>IF(E167="","",E167/MAX(E$5:E167)-1)</f>
        <v/>
      </c>
      <c r="H167" s="13" t="str">
        <f>IF(OR('实盘净值数据(iFinD）'!$A167="",'实盘净值数据(iFinD）'!$B167=""),"",分期持仓明细!$AB$19*SUMPRODUCT(分期持仓明细!$B$19:$Y$19,'实盘净值数据(iFinD）'!$B167:$Y167/'实盘净值数据(iFinD）'!$B$20:$Y$20)*(1-实盘持仓初始配置!$Z$6)^(('实盘净值数据(iFinD）'!$A167-'实盘净值数据(iFinD）'!$A$7)/365))</f>
        <v/>
      </c>
      <c r="I167" s="16" t="str">
        <f t="shared" si="14"/>
        <v/>
      </c>
      <c r="J167" s="16" t="str">
        <f>IF(H167="","",H167/MAX(H$5:H167)-1)</f>
        <v/>
      </c>
      <c r="K167" s="13" t="str">
        <f>IF(OR('实盘净值数据(iFinD）'!$A167="",'实盘净值数据(iFinD）'!$B167="",'实盘净值数据(iFinD）'!$Z167="",'实盘净值数据(iFinD）'!$AA167=""),"",分期持仓明细!$AB$23*(SUMPRODUCT(分期持仓明细!$B$23:$Y$23,'实盘净值数据(iFinD）'!$B167:$Y167/'实盘净值数据(iFinD）'!$B$65:$Y$65)+SUMPRODUCT(分期持仓明细!$AC$23:$AD$23,'实盘净值数据(iFinD）'!$Z167:$AA167/'实盘净值数据(iFinD）'!$Z$65:$AA$65))*(1-实盘持仓初始配置!$Z$7)^(('实盘净值数据(iFinD）'!$A167-'实盘净值数据(iFinD）'!$A$8)/365))</f>
        <v/>
      </c>
      <c r="L167" s="16" t="str">
        <f t="shared" si="15"/>
        <v/>
      </c>
      <c r="M167" s="16" t="str">
        <f>IF(K167="","",K167/MAX(K$5:K167)-1)</f>
        <v/>
      </c>
      <c r="N167" s="13" t="str">
        <f>IF(OR('实盘净值数据(iFinD）'!$A167="",'实盘净值数据(iFinD）'!$B167="",'实盘净值数据(iFinD）'!$Z167="",'实盘净值数据(iFinD）'!$AA167=""),"",分期持仓明细!$AB$24*(SUMPRODUCT(分期持仓明细!$B$24:$Y$24,'实盘净值数据(iFinD）'!$B167:$Y167/'实盘净值数据(iFinD）'!$B$65:$Y$65)+SUMPRODUCT(分期持仓明细!$AC$24:$AD$24,'实盘净值数据(iFinD）'!$Z167:$AA167/'实盘净值数据(iFinD）'!$Z$65:$AA$65))*(1-实盘持仓初始配置!$Z$8)^(('实盘净值数据(iFinD）'!$A167-'实盘净值数据(iFinD）'!$A$5)/365))</f>
        <v/>
      </c>
      <c r="O167" s="16" t="str">
        <f t="shared" si="16"/>
        <v/>
      </c>
      <c r="P167" s="16" t="str">
        <f>IF(N167="","",N167/MAX(N$5:N167)-1)</f>
        <v/>
      </c>
      <c r="Q167" s="13" t="str">
        <f>IF(OR('实盘净值数据(iFinD）'!$A167="",'实盘净值数据(iFinD）'!$B167="",'实盘净值数据(iFinD）'!$Z167="",'实盘净值数据(iFinD）'!$AA167=""),"",分期持仓明细!$AB$25*(SUMPRODUCT(分期持仓明细!$B$25:$Y$25,'实盘净值数据(iFinD）'!$B167:$Y167/'实盘净值数据(iFinD）'!$B$65:$Y$65)+SUMPRODUCT(分期持仓明细!$AC$25:$AD$25,'实盘净值数据(iFinD）'!$Z167:$AA167/'实盘净值数据(iFinD）'!$Z$65:$AA$65))*(1-实盘持仓初始配置!$Z$9)^(('实盘净值数据(iFinD）'!$A167-'实盘净值数据(iFinD）'!$A$8)/365))</f>
        <v/>
      </c>
      <c r="R167" s="16" t="str">
        <f t="shared" si="17"/>
        <v/>
      </c>
      <c r="S167" s="16" t="str">
        <f>IF(Q167="","",Q167/MAX(Q$5:Q167)-1)</f>
        <v/>
      </c>
    </row>
    <row r="168" spans="1:19">
      <c r="A168" s="15" t="str">
        <f>IF('实盘净值数据(iFinD）'!A168="","",'实盘净值数据(iFinD）'!A168)</f>
        <v/>
      </c>
      <c r="B168" s="13" t="str">
        <f>IF(OR('实盘净值数据(iFinD）'!$A168="",'实盘净值数据(iFinD）'!$B168=""),"",分期持仓明细!$AB$17*SUMPRODUCT(分期持仓明细!$B$17:$Y$17,'实盘净值数据(iFinD）'!$B168:$Y168/'实盘净值数据(iFinD）'!$B$20:$Y$20)*(1-实盘持仓初始配置!$Z$4)^(('实盘净值数据(iFinD）'!$A168-'实盘净值数据(iFinD）'!$A$6)/365))</f>
        <v/>
      </c>
      <c r="C168" s="16" t="str">
        <f t="shared" si="12"/>
        <v/>
      </c>
      <c r="D168" s="16" t="str">
        <f>IF(B168="","",B168/MAX(B$5:B168)-1)</f>
        <v/>
      </c>
      <c r="E168" s="13" t="str">
        <f>IF(OR('实盘净值数据(iFinD）'!$A168="",'实盘净值数据(iFinD）'!$B168=""),"",分期持仓明细!$AB$18*SUMPRODUCT(分期持仓明细!$B$18:$Y$18,'实盘净值数据(iFinD）'!$B168:$Y168/'实盘净值数据(iFinD）'!$B$20:$Y$20)*(1-实盘持仓初始配置!$Z$5)^(('实盘净值数据(iFinD）'!$A168-'实盘净值数据(iFinD）'!$A$5)/365))</f>
        <v/>
      </c>
      <c r="F168" s="16" t="str">
        <f t="shared" si="13"/>
        <v/>
      </c>
      <c r="G168" s="16" t="str">
        <f>IF(E168="","",E168/MAX(E$5:E168)-1)</f>
        <v/>
      </c>
      <c r="H168" s="13" t="str">
        <f>IF(OR('实盘净值数据(iFinD）'!$A168="",'实盘净值数据(iFinD）'!$B168=""),"",分期持仓明细!$AB$19*SUMPRODUCT(分期持仓明细!$B$19:$Y$19,'实盘净值数据(iFinD）'!$B168:$Y168/'实盘净值数据(iFinD）'!$B$20:$Y$20)*(1-实盘持仓初始配置!$Z$6)^(('实盘净值数据(iFinD）'!$A168-'实盘净值数据(iFinD）'!$A$7)/365))</f>
        <v/>
      </c>
      <c r="I168" s="16" t="str">
        <f t="shared" si="14"/>
        <v/>
      </c>
      <c r="J168" s="16" t="str">
        <f>IF(H168="","",H168/MAX(H$5:H168)-1)</f>
        <v/>
      </c>
      <c r="K168" s="13" t="str">
        <f>IF(OR('实盘净值数据(iFinD）'!$A168="",'实盘净值数据(iFinD）'!$B168="",'实盘净值数据(iFinD）'!$Z168="",'实盘净值数据(iFinD）'!$AA168=""),"",分期持仓明细!$AB$23*(SUMPRODUCT(分期持仓明细!$B$23:$Y$23,'实盘净值数据(iFinD）'!$B168:$Y168/'实盘净值数据(iFinD）'!$B$65:$Y$65)+SUMPRODUCT(分期持仓明细!$AC$23:$AD$23,'实盘净值数据(iFinD）'!$Z168:$AA168/'实盘净值数据(iFinD）'!$Z$65:$AA$65))*(1-实盘持仓初始配置!$Z$7)^(('实盘净值数据(iFinD）'!$A168-'实盘净值数据(iFinD）'!$A$8)/365))</f>
        <v/>
      </c>
      <c r="L168" s="16" t="str">
        <f t="shared" si="15"/>
        <v/>
      </c>
      <c r="M168" s="16" t="str">
        <f>IF(K168="","",K168/MAX(K$5:K168)-1)</f>
        <v/>
      </c>
      <c r="N168" s="13" t="str">
        <f>IF(OR('实盘净值数据(iFinD）'!$A168="",'实盘净值数据(iFinD）'!$B168="",'实盘净值数据(iFinD）'!$Z168="",'实盘净值数据(iFinD）'!$AA168=""),"",分期持仓明细!$AB$24*(SUMPRODUCT(分期持仓明细!$B$24:$Y$24,'实盘净值数据(iFinD）'!$B168:$Y168/'实盘净值数据(iFinD）'!$B$65:$Y$65)+SUMPRODUCT(分期持仓明细!$AC$24:$AD$24,'实盘净值数据(iFinD）'!$Z168:$AA168/'实盘净值数据(iFinD）'!$Z$65:$AA$65))*(1-实盘持仓初始配置!$Z$8)^(('实盘净值数据(iFinD）'!$A168-'实盘净值数据(iFinD）'!$A$5)/365))</f>
        <v/>
      </c>
      <c r="O168" s="16" t="str">
        <f t="shared" si="16"/>
        <v/>
      </c>
      <c r="P168" s="16" t="str">
        <f>IF(N168="","",N168/MAX(N$5:N168)-1)</f>
        <v/>
      </c>
      <c r="Q168" s="13" t="str">
        <f>IF(OR('实盘净值数据(iFinD）'!$A168="",'实盘净值数据(iFinD）'!$B168="",'实盘净值数据(iFinD）'!$Z168="",'实盘净值数据(iFinD）'!$AA168=""),"",分期持仓明细!$AB$25*(SUMPRODUCT(分期持仓明细!$B$25:$Y$25,'实盘净值数据(iFinD）'!$B168:$Y168/'实盘净值数据(iFinD）'!$B$65:$Y$65)+SUMPRODUCT(分期持仓明细!$AC$25:$AD$25,'实盘净值数据(iFinD）'!$Z168:$AA168/'实盘净值数据(iFinD）'!$Z$65:$AA$65))*(1-实盘持仓初始配置!$Z$9)^(('实盘净值数据(iFinD）'!$A168-'实盘净值数据(iFinD）'!$A$8)/365))</f>
        <v/>
      </c>
      <c r="R168" s="16" t="str">
        <f t="shared" si="17"/>
        <v/>
      </c>
      <c r="S168" s="16" t="str">
        <f>IF(Q168="","",Q168/MAX(Q$5:Q168)-1)</f>
        <v/>
      </c>
    </row>
    <row r="169" spans="1:19">
      <c r="A169" s="15" t="str">
        <f>IF('实盘净值数据(iFinD）'!A169="","",'实盘净值数据(iFinD）'!A169)</f>
        <v/>
      </c>
      <c r="B169" s="13" t="str">
        <f>IF(OR('实盘净值数据(iFinD）'!$A169="",'实盘净值数据(iFinD）'!$B169=""),"",分期持仓明细!$AB$17*SUMPRODUCT(分期持仓明细!$B$17:$Y$17,'实盘净值数据(iFinD）'!$B169:$Y169/'实盘净值数据(iFinD）'!$B$20:$Y$20)*(1-实盘持仓初始配置!$Z$4)^(('实盘净值数据(iFinD）'!$A169-'实盘净值数据(iFinD）'!$A$6)/365))</f>
        <v/>
      </c>
      <c r="C169" s="16" t="str">
        <f t="shared" si="12"/>
        <v/>
      </c>
      <c r="D169" s="16" t="str">
        <f>IF(B169="","",B169/MAX(B$5:B169)-1)</f>
        <v/>
      </c>
      <c r="E169" s="13" t="str">
        <f>IF(OR('实盘净值数据(iFinD）'!$A169="",'实盘净值数据(iFinD）'!$B169=""),"",分期持仓明细!$AB$18*SUMPRODUCT(分期持仓明细!$B$18:$Y$18,'实盘净值数据(iFinD）'!$B169:$Y169/'实盘净值数据(iFinD）'!$B$20:$Y$20)*(1-实盘持仓初始配置!$Z$5)^(('实盘净值数据(iFinD）'!$A169-'实盘净值数据(iFinD）'!$A$5)/365))</f>
        <v/>
      </c>
      <c r="F169" s="16" t="str">
        <f t="shared" si="13"/>
        <v/>
      </c>
      <c r="G169" s="16" t="str">
        <f>IF(E169="","",E169/MAX(E$5:E169)-1)</f>
        <v/>
      </c>
      <c r="H169" s="13" t="str">
        <f>IF(OR('实盘净值数据(iFinD）'!$A169="",'实盘净值数据(iFinD）'!$B169=""),"",分期持仓明细!$AB$19*SUMPRODUCT(分期持仓明细!$B$19:$Y$19,'实盘净值数据(iFinD）'!$B169:$Y169/'实盘净值数据(iFinD）'!$B$20:$Y$20)*(1-实盘持仓初始配置!$Z$6)^(('实盘净值数据(iFinD）'!$A169-'实盘净值数据(iFinD）'!$A$7)/365))</f>
        <v/>
      </c>
      <c r="I169" s="16" t="str">
        <f t="shared" si="14"/>
        <v/>
      </c>
      <c r="J169" s="16" t="str">
        <f>IF(H169="","",H169/MAX(H$5:H169)-1)</f>
        <v/>
      </c>
      <c r="K169" s="13" t="str">
        <f>IF(OR('实盘净值数据(iFinD）'!$A169="",'实盘净值数据(iFinD）'!$B169="",'实盘净值数据(iFinD）'!$Z169="",'实盘净值数据(iFinD）'!$AA169=""),"",分期持仓明细!$AB$23*(SUMPRODUCT(分期持仓明细!$B$23:$Y$23,'实盘净值数据(iFinD）'!$B169:$Y169/'实盘净值数据(iFinD）'!$B$65:$Y$65)+SUMPRODUCT(分期持仓明细!$AC$23:$AD$23,'实盘净值数据(iFinD）'!$Z169:$AA169/'实盘净值数据(iFinD）'!$Z$65:$AA$65))*(1-实盘持仓初始配置!$Z$7)^(('实盘净值数据(iFinD）'!$A169-'实盘净值数据(iFinD）'!$A$8)/365))</f>
        <v/>
      </c>
      <c r="L169" s="16" t="str">
        <f t="shared" si="15"/>
        <v/>
      </c>
      <c r="M169" s="16" t="str">
        <f>IF(K169="","",K169/MAX(K$5:K169)-1)</f>
        <v/>
      </c>
      <c r="N169" s="13" t="str">
        <f>IF(OR('实盘净值数据(iFinD）'!$A169="",'实盘净值数据(iFinD）'!$B169="",'实盘净值数据(iFinD）'!$Z169="",'实盘净值数据(iFinD）'!$AA169=""),"",分期持仓明细!$AB$24*(SUMPRODUCT(分期持仓明细!$B$24:$Y$24,'实盘净值数据(iFinD）'!$B169:$Y169/'实盘净值数据(iFinD）'!$B$65:$Y$65)+SUMPRODUCT(分期持仓明细!$AC$24:$AD$24,'实盘净值数据(iFinD）'!$Z169:$AA169/'实盘净值数据(iFinD）'!$Z$65:$AA$65))*(1-实盘持仓初始配置!$Z$8)^(('实盘净值数据(iFinD）'!$A169-'实盘净值数据(iFinD）'!$A$5)/365))</f>
        <v/>
      </c>
      <c r="O169" s="16" t="str">
        <f t="shared" si="16"/>
        <v/>
      </c>
      <c r="P169" s="16" t="str">
        <f>IF(N169="","",N169/MAX(N$5:N169)-1)</f>
        <v/>
      </c>
      <c r="Q169" s="13" t="str">
        <f>IF(OR('实盘净值数据(iFinD）'!$A169="",'实盘净值数据(iFinD）'!$B169="",'实盘净值数据(iFinD）'!$Z169="",'实盘净值数据(iFinD）'!$AA169=""),"",分期持仓明细!$AB$25*(SUMPRODUCT(分期持仓明细!$B$25:$Y$25,'实盘净值数据(iFinD）'!$B169:$Y169/'实盘净值数据(iFinD）'!$B$65:$Y$65)+SUMPRODUCT(分期持仓明细!$AC$25:$AD$25,'实盘净值数据(iFinD）'!$Z169:$AA169/'实盘净值数据(iFinD）'!$Z$65:$AA$65))*(1-实盘持仓初始配置!$Z$9)^(('实盘净值数据(iFinD）'!$A169-'实盘净值数据(iFinD）'!$A$8)/365))</f>
        <v/>
      </c>
      <c r="R169" s="16" t="str">
        <f t="shared" si="17"/>
        <v/>
      </c>
      <c r="S169" s="16" t="str">
        <f>IF(Q169="","",Q169/MAX(Q$5:Q169)-1)</f>
        <v/>
      </c>
    </row>
    <row r="170" spans="1:19">
      <c r="A170" s="15" t="str">
        <f>IF('实盘净值数据(iFinD）'!A170="","",'实盘净值数据(iFinD）'!A170)</f>
        <v/>
      </c>
      <c r="B170" s="13" t="str">
        <f>IF(OR('实盘净值数据(iFinD）'!$A170="",'实盘净值数据(iFinD）'!$B170=""),"",分期持仓明细!$AB$17*SUMPRODUCT(分期持仓明细!$B$17:$Y$17,'实盘净值数据(iFinD）'!$B170:$Y170/'实盘净值数据(iFinD）'!$B$20:$Y$20)*(1-实盘持仓初始配置!$Z$4)^(('实盘净值数据(iFinD）'!$A170-'实盘净值数据(iFinD）'!$A$6)/365))</f>
        <v/>
      </c>
      <c r="C170" s="16" t="str">
        <f t="shared" si="12"/>
        <v/>
      </c>
      <c r="D170" s="16" t="str">
        <f>IF(B170="","",B170/MAX(B$5:B170)-1)</f>
        <v/>
      </c>
      <c r="E170" s="13" t="str">
        <f>IF(OR('实盘净值数据(iFinD）'!$A170="",'实盘净值数据(iFinD）'!$B170=""),"",分期持仓明细!$AB$18*SUMPRODUCT(分期持仓明细!$B$18:$Y$18,'实盘净值数据(iFinD）'!$B170:$Y170/'实盘净值数据(iFinD）'!$B$20:$Y$20)*(1-实盘持仓初始配置!$Z$5)^(('实盘净值数据(iFinD）'!$A170-'实盘净值数据(iFinD）'!$A$5)/365))</f>
        <v/>
      </c>
      <c r="F170" s="16" t="str">
        <f t="shared" si="13"/>
        <v/>
      </c>
      <c r="G170" s="16" t="str">
        <f>IF(E170="","",E170/MAX(E$5:E170)-1)</f>
        <v/>
      </c>
      <c r="H170" s="13" t="str">
        <f>IF(OR('实盘净值数据(iFinD）'!$A170="",'实盘净值数据(iFinD）'!$B170=""),"",分期持仓明细!$AB$19*SUMPRODUCT(分期持仓明细!$B$19:$Y$19,'实盘净值数据(iFinD）'!$B170:$Y170/'实盘净值数据(iFinD）'!$B$20:$Y$20)*(1-实盘持仓初始配置!$Z$6)^(('实盘净值数据(iFinD）'!$A170-'实盘净值数据(iFinD）'!$A$7)/365))</f>
        <v/>
      </c>
      <c r="I170" s="16" t="str">
        <f t="shared" si="14"/>
        <v/>
      </c>
      <c r="J170" s="16" t="str">
        <f>IF(H170="","",H170/MAX(H$5:H170)-1)</f>
        <v/>
      </c>
      <c r="K170" s="13" t="str">
        <f>IF(OR('实盘净值数据(iFinD）'!$A170="",'实盘净值数据(iFinD）'!$B170="",'实盘净值数据(iFinD）'!$Z170="",'实盘净值数据(iFinD）'!$AA170=""),"",分期持仓明细!$AB$23*(SUMPRODUCT(分期持仓明细!$B$23:$Y$23,'实盘净值数据(iFinD）'!$B170:$Y170/'实盘净值数据(iFinD）'!$B$65:$Y$65)+SUMPRODUCT(分期持仓明细!$AC$23:$AD$23,'实盘净值数据(iFinD）'!$Z170:$AA170/'实盘净值数据(iFinD）'!$Z$65:$AA$65))*(1-实盘持仓初始配置!$Z$7)^(('实盘净值数据(iFinD）'!$A170-'实盘净值数据(iFinD）'!$A$8)/365))</f>
        <v/>
      </c>
      <c r="L170" s="16" t="str">
        <f t="shared" si="15"/>
        <v/>
      </c>
      <c r="M170" s="16" t="str">
        <f>IF(K170="","",K170/MAX(K$5:K170)-1)</f>
        <v/>
      </c>
      <c r="N170" s="13" t="str">
        <f>IF(OR('实盘净值数据(iFinD）'!$A170="",'实盘净值数据(iFinD）'!$B170="",'实盘净值数据(iFinD）'!$Z170="",'实盘净值数据(iFinD）'!$AA170=""),"",分期持仓明细!$AB$24*(SUMPRODUCT(分期持仓明细!$B$24:$Y$24,'实盘净值数据(iFinD）'!$B170:$Y170/'实盘净值数据(iFinD）'!$B$65:$Y$65)+SUMPRODUCT(分期持仓明细!$AC$24:$AD$24,'实盘净值数据(iFinD）'!$Z170:$AA170/'实盘净值数据(iFinD）'!$Z$65:$AA$65))*(1-实盘持仓初始配置!$Z$8)^(('实盘净值数据(iFinD）'!$A170-'实盘净值数据(iFinD）'!$A$5)/365))</f>
        <v/>
      </c>
      <c r="O170" s="16" t="str">
        <f t="shared" si="16"/>
        <v/>
      </c>
      <c r="P170" s="16" t="str">
        <f>IF(N170="","",N170/MAX(N$5:N170)-1)</f>
        <v/>
      </c>
      <c r="Q170" s="13" t="str">
        <f>IF(OR('实盘净值数据(iFinD）'!$A170="",'实盘净值数据(iFinD）'!$B170="",'实盘净值数据(iFinD）'!$Z170="",'实盘净值数据(iFinD）'!$AA170=""),"",分期持仓明细!$AB$25*(SUMPRODUCT(分期持仓明细!$B$25:$Y$25,'实盘净值数据(iFinD）'!$B170:$Y170/'实盘净值数据(iFinD）'!$B$65:$Y$65)+SUMPRODUCT(分期持仓明细!$AC$25:$AD$25,'实盘净值数据(iFinD）'!$Z170:$AA170/'实盘净值数据(iFinD）'!$Z$65:$AA$65))*(1-实盘持仓初始配置!$Z$9)^(('实盘净值数据(iFinD）'!$A170-'实盘净值数据(iFinD）'!$A$8)/365))</f>
        <v/>
      </c>
      <c r="R170" s="16" t="str">
        <f t="shared" si="17"/>
        <v/>
      </c>
      <c r="S170" s="16" t="str">
        <f>IF(Q170="","",Q170/MAX(Q$5:Q170)-1)</f>
        <v/>
      </c>
    </row>
    <row r="171" spans="1:19">
      <c r="A171" s="15" t="str">
        <f>IF('实盘净值数据(iFinD）'!A171="","",'实盘净值数据(iFinD）'!A171)</f>
        <v/>
      </c>
      <c r="B171" s="13" t="str">
        <f>IF(OR('实盘净值数据(iFinD）'!$A171="",'实盘净值数据(iFinD）'!$B171=""),"",分期持仓明细!$AB$17*SUMPRODUCT(分期持仓明细!$B$17:$Y$17,'实盘净值数据(iFinD）'!$B171:$Y171/'实盘净值数据(iFinD）'!$B$20:$Y$20)*(1-实盘持仓初始配置!$Z$4)^(('实盘净值数据(iFinD）'!$A171-'实盘净值数据(iFinD）'!$A$6)/365))</f>
        <v/>
      </c>
      <c r="C171" s="16" t="str">
        <f t="shared" si="12"/>
        <v/>
      </c>
      <c r="D171" s="16" t="str">
        <f>IF(B171="","",B171/MAX(B$5:B171)-1)</f>
        <v/>
      </c>
      <c r="E171" s="13" t="str">
        <f>IF(OR('实盘净值数据(iFinD）'!$A171="",'实盘净值数据(iFinD）'!$B171=""),"",分期持仓明细!$AB$18*SUMPRODUCT(分期持仓明细!$B$18:$Y$18,'实盘净值数据(iFinD）'!$B171:$Y171/'实盘净值数据(iFinD）'!$B$20:$Y$20)*(1-实盘持仓初始配置!$Z$5)^(('实盘净值数据(iFinD）'!$A171-'实盘净值数据(iFinD）'!$A$5)/365))</f>
        <v/>
      </c>
      <c r="F171" s="16" t="str">
        <f t="shared" si="13"/>
        <v/>
      </c>
      <c r="G171" s="16" t="str">
        <f>IF(E171="","",E171/MAX(E$5:E171)-1)</f>
        <v/>
      </c>
      <c r="H171" s="13" t="str">
        <f>IF(OR('实盘净值数据(iFinD）'!$A171="",'实盘净值数据(iFinD）'!$B171=""),"",分期持仓明细!$AB$19*SUMPRODUCT(分期持仓明细!$B$19:$Y$19,'实盘净值数据(iFinD）'!$B171:$Y171/'实盘净值数据(iFinD）'!$B$20:$Y$20)*(1-实盘持仓初始配置!$Z$6)^(('实盘净值数据(iFinD）'!$A171-'实盘净值数据(iFinD）'!$A$7)/365))</f>
        <v/>
      </c>
      <c r="I171" s="16" t="str">
        <f t="shared" si="14"/>
        <v/>
      </c>
      <c r="J171" s="16" t="str">
        <f>IF(H171="","",H171/MAX(H$5:H171)-1)</f>
        <v/>
      </c>
      <c r="K171" s="13" t="str">
        <f>IF(OR('实盘净值数据(iFinD）'!$A171="",'实盘净值数据(iFinD）'!$B171="",'实盘净值数据(iFinD）'!$Z171="",'实盘净值数据(iFinD）'!$AA171=""),"",分期持仓明细!$AB$23*(SUMPRODUCT(分期持仓明细!$B$23:$Y$23,'实盘净值数据(iFinD）'!$B171:$Y171/'实盘净值数据(iFinD）'!$B$65:$Y$65)+SUMPRODUCT(分期持仓明细!$AC$23:$AD$23,'实盘净值数据(iFinD）'!$Z171:$AA171/'实盘净值数据(iFinD）'!$Z$65:$AA$65))*(1-实盘持仓初始配置!$Z$7)^(('实盘净值数据(iFinD）'!$A171-'实盘净值数据(iFinD）'!$A$8)/365))</f>
        <v/>
      </c>
      <c r="L171" s="16" t="str">
        <f t="shared" si="15"/>
        <v/>
      </c>
      <c r="M171" s="16" t="str">
        <f>IF(K171="","",K171/MAX(K$5:K171)-1)</f>
        <v/>
      </c>
      <c r="N171" s="13" t="str">
        <f>IF(OR('实盘净值数据(iFinD）'!$A171="",'实盘净值数据(iFinD）'!$B171="",'实盘净值数据(iFinD）'!$Z171="",'实盘净值数据(iFinD）'!$AA171=""),"",分期持仓明细!$AB$24*(SUMPRODUCT(分期持仓明细!$B$24:$Y$24,'实盘净值数据(iFinD）'!$B171:$Y171/'实盘净值数据(iFinD）'!$B$65:$Y$65)+SUMPRODUCT(分期持仓明细!$AC$24:$AD$24,'实盘净值数据(iFinD）'!$Z171:$AA171/'实盘净值数据(iFinD）'!$Z$65:$AA$65))*(1-实盘持仓初始配置!$Z$8)^(('实盘净值数据(iFinD）'!$A171-'实盘净值数据(iFinD）'!$A$5)/365))</f>
        <v/>
      </c>
      <c r="O171" s="16" t="str">
        <f t="shared" si="16"/>
        <v/>
      </c>
      <c r="P171" s="16" t="str">
        <f>IF(N171="","",N171/MAX(N$5:N171)-1)</f>
        <v/>
      </c>
      <c r="Q171" s="13" t="str">
        <f>IF(OR('实盘净值数据(iFinD）'!$A171="",'实盘净值数据(iFinD）'!$B171="",'实盘净值数据(iFinD）'!$Z171="",'实盘净值数据(iFinD）'!$AA171=""),"",分期持仓明细!$AB$25*(SUMPRODUCT(分期持仓明细!$B$25:$Y$25,'实盘净值数据(iFinD）'!$B171:$Y171/'实盘净值数据(iFinD）'!$B$65:$Y$65)+SUMPRODUCT(分期持仓明细!$AC$25:$AD$25,'实盘净值数据(iFinD）'!$Z171:$AA171/'实盘净值数据(iFinD）'!$Z$65:$AA$65))*(1-实盘持仓初始配置!$Z$9)^(('实盘净值数据(iFinD）'!$A171-'实盘净值数据(iFinD）'!$A$8)/365))</f>
        <v/>
      </c>
      <c r="R171" s="16" t="str">
        <f t="shared" si="17"/>
        <v/>
      </c>
      <c r="S171" s="16" t="str">
        <f>IF(Q171="","",Q171/MAX(Q$5:Q171)-1)</f>
        <v/>
      </c>
    </row>
    <row r="172" spans="1:19">
      <c r="A172" s="15" t="str">
        <f>IF('实盘净值数据(iFinD）'!A172="","",'实盘净值数据(iFinD）'!A172)</f>
        <v/>
      </c>
      <c r="B172" s="13" t="str">
        <f>IF(OR('实盘净值数据(iFinD）'!$A172="",'实盘净值数据(iFinD）'!$B172=""),"",分期持仓明细!$AB$17*SUMPRODUCT(分期持仓明细!$B$17:$Y$17,'实盘净值数据(iFinD）'!$B172:$Y172/'实盘净值数据(iFinD）'!$B$20:$Y$20)*(1-实盘持仓初始配置!$Z$4)^(('实盘净值数据(iFinD）'!$A172-'实盘净值数据(iFinD）'!$A$6)/365))</f>
        <v/>
      </c>
      <c r="C172" s="16" t="str">
        <f t="shared" si="12"/>
        <v/>
      </c>
      <c r="D172" s="16" t="str">
        <f>IF(B172="","",B172/MAX(B$5:B172)-1)</f>
        <v/>
      </c>
      <c r="E172" s="13" t="str">
        <f>IF(OR('实盘净值数据(iFinD）'!$A172="",'实盘净值数据(iFinD）'!$B172=""),"",分期持仓明细!$AB$18*SUMPRODUCT(分期持仓明细!$B$18:$Y$18,'实盘净值数据(iFinD）'!$B172:$Y172/'实盘净值数据(iFinD）'!$B$20:$Y$20)*(1-实盘持仓初始配置!$Z$5)^(('实盘净值数据(iFinD）'!$A172-'实盘净值数据(iFinD）'!$A$5)/365))</f>
        <v/>
      </c>
      <c r="F172" s="16" t="str">
        <f t="shared" si="13"/>
        <v/>
      </c>
      <c r="G172" s="16" t="str">
        <f>IF(E172="","",E172/MAX(E$5:E172)-1)</f>
        <v/>
      </c>
      <c r="H172" s="13" t="str">
        <f>IF(OR('实盘净值数据(iFinD）'!$A172="",'实盘净值数据(iFinD）'!$B172=""),"",分期持仓明细!$AB$19*SUMPRODUCT(分期持仓明细!$B$19:$Y$19,'实盘净值数据(iFinD）'!$B172:$Y172/'实盘净值数据(iFinD）'!$B$20:$Y$20)*(1-实盘持仓初始配置!$Z$6)^(('实盘净值数据(iFinD）'!$A172-'实盘净值数据(iFinD）'!$A$7)/365))</f>
        <v/>
      </c>
      <c r="I172" s="16" t="str">
        <f t="shared" si="14"/>
        <v/>
      </c>
      <c r="J172" s="16" t="str">
        <f>IF(H172="","",H172/MAX(H$5:H172)-1)</f>
        <v/>
      </c>
      <c r="K172" s="13" t="str">
        <f>IF(OR('实盘净值数据(iFinD）'!$A172="",'实盘净值数据(iFinD）'!$B172="",'实盘净值数据(iFinD）'!$Z172="",'实盘净值数据(iFinD）'!$AA172=""),"",分期持仓明细!$AB$23*(SUMPRODUCT(分期持仓明细!$B$23:$Y$23,'实盘净值数据(iFinD）'!$B172:$Y172/'实盘净值数据(iFinD）'!$B$65:$Y$65)+SUMPRODUCT(分期持仓明细!$AC$23:$AD$23,'实盘净值数据(iFinD）'!$Z172:$AA172/'实盘净值数据(iFinD）'!$Z$65:$AA$65))*(1-实盘持仓初始配置!$Z$7)^(('实盘净值数据(iFinD）'!$A172-'实盘净值数据(iFinD）'!$A$8)/365))</f>
        <v/>
      </c>
      <c r="L172" s="16" t="str">
        <f t="shared" si="15"/>
        <v/>
      </c>
      <c r="M172" s="16" t="str">
        <f>IF(K172="","",K172/MAX(K$5:K172)-1)</f>
        <v/>
      </c>
      <c r="N172" s="13" t="str">
        <f>IF(OR('实盘净值数据(iFinD）'!$A172="",'实盘净值数据(iFinD）'!$B172="",'实盘净值数据(iFinD）'!$Z172="",'实盘净值数据(iFinD）'!$AA172=""),"",分期持仓明细!$AB$24*(SUMPRODUCT(分期持仓明细!$B$24:$Y$24,'实盘净值数据(iFinD）'!$B172:$Y172/'实盘净值数据(iFinD）'!$B$65:$Y$65)+SUMPRODUCT(分期持仓明细!$AC$24:$AD$24,'实盘净值数据(iFinD）'!$Z172:$AA172/'实盘净值数据(iFinD）'!$Z$65:$AA$65))*(1-实盘持仓初始配置!$Z$8)^(('实盘净值数据(iFinD）'!$A172-'实盘净值数据(iFinD）'!$A$5)/365))</f>
        <v/>
      </c>
      <c r="O172" s="16" t="str">
        <f t="shared" si="16"/>
        <v/>
      </c>
      <c r="P172" s="16" t="str">
        <f>IF(N172="","",N172/MAX(N$5:N172)-1)</f>
        <v/>
      </c>
      <c r="Q172" s="13" t="str">
        <f>IF(OR('实盘净值数据(iFinD）'!$A172="",'实盘净值数据(iFinD）'!$B172="",'实盘净值数据(iFinD）'!$Z172="",'实盘净值数据(iFinD）'!$AA172=""),"",分期持仓明细!$AB$25*(SUMPRODUCT(分期持仓明细!$B$25:$Y$25,'实盘净值数据(iFinD）'!$B172:$Y172/'实盘净值数据(iFinD）'!$B$65:$Y$65)+SUMPRODUCT(分期持仓明细!$AC$25:$AD$25,'实盘净值数据(iFinD）'!$Z172:$AA172/'实盘净值数据(iFinD）'!$Z$65:$AA$65))*(1-实盘持仓初始配置!$Z$9)^(('实盘净值数据(iFinD）'!$A172-'实盘净值数据(iFinD）'!$A$8)/365))</f>
        <v/>
      </c>
      <c r="R172" s="16" t="str">
        <f t="shared" si="17"/>
        <v/>
      </c>
      <c r="S172" s="16" t="str">
        <f>IF(Q172="","",Q172/MAX(Q$5:Q172)-1)</f>
        <v/>
      </c>
    </row>
    <row r="173" spans="1:19">
      <c r="A173" s="15" t="str">
        <f>IF('实盘净值数据(iFinD）'!A173="","",'实盘净值数据(iFinD）'!A173)</f>
        <v/>
      </c>
      <c r="B173" s="13" t="str">
        <f>IF(OR('实盘净值数据(iFinD）'!$A173="",'实盘净值数据(iFinD）'!$B173=""),"",分期持仓明细!$AB$17*SUMPRODUCT(分期持仓明细!$B$17:$Y$17,'实盘净值数据(iFinD）'!$B173:$Y173/'实盘净值数据(iFinD）'!$B$20:$Y$20)*(1-实盘持仓初始配置!$Z$4)^(('实盘净值数据(iFinD）'!$A173-'实盘净值数据(iFinD）'!$A$6)/365))</f>
        <v/>
      </c>
      <c r="C173" s="16" t="str">
        <f t="shared" si="12"/>
        <v/>
      </c>
      <c r="D173" s="16" t="str">
        <f>IF(B173="","",B173/MAX(B$5:B173)-1)</f>
        <v/>
      </c>
      <c r="E173" s="13" t="str">
        <f>IF(OR('实盘净值数据(iFinD）'!$A173="",'实盘净值数据(iFinD）'!$B173=""),"",分期持仓明细!$AB$18*SUMPRODUCT(分期持仓明细!$B$18:$Y$18,'实盘净值数据(iFinD）'!$B173:$Y173/'实盘净值数据(iFinD）'!$B$20:$Y$20)*(1-实盘持仓初始配置!$Z$5)^(('实盘净值数据(iFinD）'!$A173-'实盘净值数据(iFinD）'!$A$5)/365))</f>
        <v/>
      </c>
      <c r="F173" s="16" t="str">
        <f t="shared" si="13"/>
        <v/>
      </c>
      <c r="G173" s="16" t="str">
        <f>IF(E173="","",E173/MAX(E$5:E173)-1)</f>
        <v/>
      </c>
      <c r="H173" s="13" t="str">
        <f>IF(OR('实盘净值数据(iFinD）'!$A173="",'实盘净值数据(iFinD）'!$B173=""),"",分期持仓明细!$AB$19*SUMPRODUCT(分期持仓明细!$B$19:$Y$19,'实盘净值数据(iFinD）'!$B173:$Y173/'实盘净值数据(iFinD）'!$B$20:$Y$20)*(1-实盘持仓初始配置!$Z$6)^(('实盘净值数据(iFinD）'!$A173-'实盘净值数据(iFinD）'!$A$7)/365))</f>
        <v/>
      </c>
      <c r="I173" s="16" t="str">
        <f t="shared" si="14"/>
        <v/>
      </c>
      <c r="J173" s="16" t="str">
        <f>IF(H173="","",H173/MAX(H$5:H173)-1)</f>
        <v/>
      </c>
      <c r="K173" s="13" t="str">
        <f>IF(OR('实盘净值数据(iFinD）'!$A173="",'实盘净值数据(iFinD）'!$B173="",'实盘净值数据(iFinD）'!$Z173="",'实盘净值数据(iFinD）'!$AA173=""),"",分期持仓明细!$AB$23*(SUMPRODUCT(分期持仓明细!$B$23:$Y$23,'实盘净值数据(iFinD）'!$B173:$Y173/'实盘净值数据(iFinD）'!$B$65:$Y$65)+SUMPRODUCT(分期持仓明细!$AC$23:$AD$23,'实盘净值数据(iFinD）'!$Z173:$AA173/'实盘净值数据(iFinD）'!$Z$65:$AA$65))*(1-实盘持仓初始配置!$Z$7)^(('实盘净值数据(iFinD）'!$A173-'实盘净值数据(iFinD）'!$A$8)/365))</f>
        <v/>
      </c>
      <c r="L173" s="16" t="str">
        <f t="shared" si="15"/>
        <v/>
      </c>
      <c r="M173" s="16" t="str">
        <f>IF(K173="","",K173/MAX(K$5:K173)-1)</f>
        <v/>
      </c>
      <c r="N173" s="13" t="str">
        <f>IF(OR('实盘净值数据(iFinD）'!$A173="",'实盘净值数据(iFinD）'!$B173="",'实盘净值数据(iFinD）'!$Z173="",'实盘净值数据(iFinD）'!$AA173=""),"",分期持仓明细!$AB$24*(SUMPRODUCT(分期持仓明细!$B$24:$Y$24,'实盘净值数据(iFinD）'!$B173:$Y173/'实盘净值数据(iFinD）'!$B$65:$Y$65)+SUMPRODUCT(分期持仓明细!$AC$24:$AD$24,'实盘净值数据(iFinD）'!$Z173:$AA173/'实盘净值数据(iFinD）'!$Z$65:$AA$65))*(1-实盘持仓初始配置!$Z$8)^(('实盘净值数据(iFinD）'!$A173-'实盘净值数据(iFinD）'!$A$5)/365))</f>
        <v/>
      </c>
      <c r="O173" s="16" t="str">
        <f t="shared" si="16"/>
        <v/>
      </c>
      <c r="P173" s="16" t="str">
        <f>IF(N173="","",N173/MAX(N$5:N173)-1)</f>
        <v/>
      </c>
      <c r="Q173" s="13" t="str">
        <f>IF(OR('实盘净值数据(iFinD）'!$A173="",'实盘净值数据(iFinD）'!$B173="",'实盘净值数据(iFinD）'!$Z173="",'实盘净值数据(iFinD）'!$AA173=""),"",分期持仓明细!$AB$25*(SUMPRODUCT(分期持仓明细!$B$25:$Y$25,'实盘净值数据(iFinD）'!$B173:$Y173/'实盘净值数据(iFinD）'!$B$65:$Y$65)+SUMPRODUCT(分期持仓明细!$AC$25:$AD$25,'实盘净值数据(iFinD）'!$Z173:$AA173/'实盘净值数据(iFinD）'!$Z$65:$AA$65))*(1-实盘持仓初始配置!$Z$9)^(('实盘净值数据(iFinD）'!$A173-'实盘净值数据(iFinD）'!$A$8)/365))</f>
        <v/>
      </c>
      <c r="R173" s="16" t="str">
        <f t="shared" si="17"/>
        <v/>
      </c>
      <c r="S173" s="16" t="str">
        <f>IF(Q173="","",Q173/MAX(Q$5:Q173)-1)</f>
        <v/>
      </c>
    </row>
    <row r="174" spans="1:19">
      <c r="A174" s="15" t="str">
        <f>IF('实盘净值数据(iFinD）'!A174="","",'实盘净值数据(iFinD）'!A174)</f>
        <v/>
      </c>
      <c r="B174" s="13" t="str">
        <f>IF(OR('实盘净值数据(iFinD）'!$A174="",'实盘净值数据(iFinD）'!$B174=""),"",分期持仓明细!$AB$17*SUMPRODUCT(分期持仓明细!$B$17:$Y$17,'实盘净值数据(iFinD）'!$B174:$Y174/'实盘净值数据(iFinD）'!$B$20:$Y$20)*(1-实盘持仓初始配置!$Z$4)^(('实盘净值数据(iFinD）'!$A174-'实盘净值数据(iFinD）'!$A$6)/365))</f>
        <v/>
      </c>
      <c r="C174" s="16" t="str">
        <f t="shared" si="12"/>
        <v/>
      </c>
      <c r="D174" s="16" t="str">
        <f>IF(B174="","",B174/MAX(B$5:B174)-1)</f>
        <v/>
      </c>
      <c r="E174" s="13" t="str">
        <f>IF(OR('实盘净值数据(iFinD）'!$A174="",'实盘净值数据(iFinD）'!$B174=""),"",分期持仓明细!$AB$18*SUMPRODUCT(分期持仓明细!$B$18:$Y$18,'实盘净值数据(iFinD）'!$B174:$Y174/'实盘净值数据(iFinD）'!$B$20:$Y$20)*(1-实盘持仓初始配置!$Z$5)^(('实盘净值数据(iFinD）'!$A174-'实盘净值数据(iFinD）'!$A$5)/365))</f>
        <v/>
      </c>
      <c r="F174" s="16" t="str">
        <f t="shared" si="13"/>
        <v/>
      </c>
      <c r="G174" s="16" t="str">
        <f>IF(E174="","",E174/MAX(E$5:E174)-1)</f>
        <v/>
      </c>
      <c r="H174" s="13" t="str">
        <f>IF(OR('实盘净值数据(iFinD）'!$A174="",'实盘净值数据(iFinD）'!$B174=""),"",分期持仓明细!$AB$19*SUMPRODUCT(分期持仓明细!$B$19:$Y$19,'实盘净值数据(iFinD）'!$B174:$Y174/'实盘净值数据(iFinD）'!$B$20:$Y$20)*(1-实盘持仓初始配置!$Z$6)^(('实盘净值数据(iFinD）'!$A174-'实盘净值数据(iFinD）'!$A$7)/365))</f>
        <v/>
      </c>
      <c r="I174" s="16" t="str">
        <f t="shared" si="14"/>
        <v/>
      </c>
      <c r="J174" s="16" t="str">
        <f>IF(H174="","",H174/MAX(H$5:H174)-1)</f>
        <v/>
      </c>
      <c r="K174" s="13" t="str">
        <f>IF(OR('实盘净值数据(iFinD）'!$A174="",'实盘净值数据(iFinD）'!$B174="",'实盘净值数据(iFinD）'!$Z174="",'实盘净值数据(iFinD）'!$AA174=""),"",分期持仓明细!$AB$23*(SUMPRODUCT(分期持仓明细!$B$23:$Y$23,'实盘净值数据(iFinD）'!$B174:$Y174/'实盘净值数据(iFinD）'!$B$65:$Y$65)+SUMPRODUCT(分期持仓明细!$AC$23:$AD$23,'实盘净值数据(iFinD）'!$Z174:$AA174/'实盘净值数据(iFinD）'!$Z$65:$AA$65))*(1-实盘持仓初始配置!$Z$7)^(('实盘净值数据(iFinD）'!$A174-'实盘净值数据(iFinD）'!$A$8)/365))</f>
        <v/>
      </c>
      <c r="L174" s="16" t="str">
        <f t="shared" si="15"/>
        <v/>
      </c>
      <c r="M174" s="16" t="str">
        <f>IF(K174="","",K174/MAX(K$5:K174)-1)</f>
        <v/>
      </c>
      <c r="N174" s="13" t="str">
        <f>IF(OR('实盘净值数据(iFinD）'!$A174="",'实盘净值数据(iFinD）'!$B174="",'实盘净值数据(iFinD）'!$Z174="",'实盘净值数据(iFinD）'!$AA174=""),"",分期持仓明细!$AB$24*(SUMPRODUCT(分期持仓明细!$B$24:$Y$24,'实盘净值数据(iFinD）'!$B174:$Y174/'实盘净值数据(iFinD）'!$B$65:$Y$65)+SUMPRODUCT(分期持仓明细!$AC$24:$AD$24,'实盘净值数据(iFinD）'!$Z174:$AA174/'实盘净值数据(iFinD）'!$Z$65:$AA$65))*(1-实盘持仓初始配置!$Z$8)^(('实盘净值数据(iFinD）'!$A174-'实盘净值数据(iFinD）'!$A$5)/365))</f>
        <v/>
      </c>
      <c r="O174" s="16" t="str">
        <f t="shared" si="16"/>
        <v/>
      </c>
      <c r="P174" s="16" t="str">
        <f>IF(N174="","",N174/MAX(N$5:N174)-1)</f>
        <v/>
      </c>
      <c r="Q174" s="13" t="str">
        <f>IF(OR('实盘净值数据(iFinD）'!$A174="",'实盘净值数据(iFinD）'!$B174="",'实盘净值数据(iFinD）'!$Z174="",'实盘净值数据(iFinD）'!$AA174=""),"",分期持仓明细!$AB$25*(SUMPRODUCT(分期持仓明细!$B$25:$Y$25,'实盘净值数据(iFinD）'!$B174:$Y174/'实盘净值数据(iFinD）'!$B$65:$Y$65)+SUMPRODUCT(分期持仓明细!$AC$25:$AD$25,'实盘净值数据(iFinD）'!$Z174:$AA174/'实盘净值数据(iFinD）'!$Z$65:$AA$65))*(1-实盘持仓初始配置!$Z$9)^(('实盘净值数据(iFinD）'!$A174-'实盘净值数据(iFinD）'!$A$8)/365))</f>
        <v/>
      </c>
      <c r="R174" s="16" t="str">
        <f t="shared" si="17"/>
        <v/>
      </c>
      <c r="S174" s="16" t="str">
        <f>IF(Q174="","",Q174/MAX(Q$5:Q174)-1)</f>
        <v/>
      </c>
    </row>
    <row r="175" spans="1:19">
      <c r="A175" s="15" t="str">
        <f>IF('实盘净值数据(iFinD）'!A175="","",'实盘净值数据(iFinD）'!A175)</f>
        <v/>
      </c>
      <c r="B175" s="13" t="str">
        <f>IF(OR('实盘净值数据(iFinD）'!$A175="",'实盘净值数据(iFinD）'!$B175=""),"",分期持仓明细!$AB$17*SUMPRODUCT(分期持仓明细!$B$17:$Y$17,'实盘净值数据(iFinD）'!$B175:$Y175/'实盘净值数据(iFinD）'!$B$20:$Y$20)*(1-实盘持仓初始配置!$Z$4)^(('实盘净值数据(iFinD）'!$A175-'实盘净值数据(iFinD）'!$A$6)/365))</f>
        <v/>
      </c>
      <c r="C175" s="16" t="str">
        <f t="shared" si="12"/>
        <v/>
      </c>
      <c r="D175" s="16" t="str">
        <f>IF(B175="","",B175/MAX(B$5:B175)-1)</f>
        <v/>
      </c>
      <c r="E175" s="13" t="str">
        <f>IF(OR('实盘净值数据(iFinD）'!$A175="",'实盘净值数据(iFinD）'!$B175=""),"",分期持仓明细!$AB$18*SUMPRODUCT(分期持仓明细!$B$18:$Y$18,'实盘净值数据(iFinD）'!$B175:$Y175/'实盘净值数据(iFinD）'!$B$20:$Y$20)*(1-实盘持仓初始配置!$Z$5)^(('实盘净值数据(iFinD）'!$A175-'实盘净值数据(iFinD）'!$A$5)/365))</f>
        <v/>
      </c>
      <c r="F175" s="16" t="str">
        <f t="shared" si="13"/>
        <v/>
      </c>
      <c r="G175" s="16" t="str">
        <f>IF(E175="","",E175/MAX(E$5:E175)-1)</f>
        <v/>
      </c>
      <c r="H175" s="13" t="str">
        <f>IF(OR('实盘净值数据(iFinD）'!$A175="",'实盘净值数据(iFinD）'!$B175=""),"",分期持仓明细!$AB$19*SUMPRODUCT(分期持仓明细!$B$19:$Y$19,'实盘净值数据(iFinD）'!$B175:$Y175/'实盘净值数据(iFinD）'!$B$20:$Y$20)*(1-实盘持仓初始配置!$Z$6)^(('实盘净值数据(iFinD）'!$A175-'实盘净值数据(iFinD）'!$A$7)/365))</f>
        <v/>
      </c>
      <c r="I175" s="16" t="str">
        <f t="shared" si="14"/>
        <v/>
      </c>
      <c r="J175" s="16" t="str">
        <f>IF(H175="","",H175/MAX(H$5:H175)-1)</f>
        <v/>
      </c>
      <c r="K175" s="13" t="str">
        <f>IF(OR('实盘净值数据(iFinD）'!$A175="",'实盘净值数据(iFinD）'!$B175="",'实盘净值数据(iFinD）'!$Z175="",'实盘净值数据(iFinD）'!$AA175=""),"",分期持仓明细!$AB$23*(SUMPRODUCT(分期持仓明细!$B$23:$Y$23,'实盘净值数据(iFinD）'!$B175:$Y175/'实盘净值数据(iFinD）'!$B$65:$Y$65)+SUMPRODUCT(分期持仓明细!$AC$23:$AD$23,'实盘净值数据(iFinD）'!$Z175:$AA175/'实盘净值数据(iFinD）'!$Z$65:$AA$65))*(1-实盘持仓初始配置!$Z$7)^(('实盘净值数据(iFinD）'!$A175-'实盘净值数据(iFinD）'!$A$8)/365))</f>
        <v/>
      </c>
      <c r="L175" s="16" t="str">
        <f t="shared" si="15"/>
        <v/>
      </c>
      <c r="M175" s="16" t="str">
        <f>IF(K175="","",K175/MAX(K$5:K175)-1)</f>
        <v/>
      </c>
      <c r="N175" s="13" t="str">
        <f>IF(OR('实盘净值数据(iFinD）'!$A175="",'实盘净值数据(iFinD）'!$B175="",'实盘净值数据(iFinD）'!$Z175="",'实盘净值数据(iFinD）'!$AA175=""),"",分期持仓明细!$AB$24*(SUMPRODUCT(分期持仓明细!$B$24:$Y$24,'实盘净值数据(iFinD）'!$B175:$Y175/'实盘净值数据(iFinD）'!$B$65:$Y$65)+SUMPRODUCT(分期持仓明细!$AC$24:$AD$24,'实盘净值数据(iFinD）'!$Z175:$AA175/'实盘净值数据(iFinD）'!$Z$65:$AA$65))*(1-实盘持仓初始配置!$Z$8)^(('实盘净值数据(iFinD）'!$A175-'实盘净值数据(iFinD）'!$A$5)/365))</f>
        <v/>
      </c>
      <c r="O175" s="16" t="str">
        <f t="shared" si="16"/>
        <v/>
      </c>
      <c r="P175" s="16" t="str">
        <f>IF(N175="","",N175/MAX(N$5:N175)-1)</f>
        <v/>
      </c>
      <c r="Q175" s="13" t="str">
        <f>IF(OR('实盘净值数据(iFinD）'!$A175="",'实盘净值数据(iFinD）'!$B175="",'实盘净值数据(iFinD）'!$Z175="",'实盘净值数据(iFinD）'!$AA175=""),"",分期持仓明细!$AB$25*(SUMPRODUCT(分期持仓明细!$B$25:$Y$25,'实盘净值数据(iFinD）'!$B175:$Y175/'实盘净值数据(iFinD）'!$B$65:$Y$65)+SUMPRODUCT(分期持仓明细!$AC$25:$AD$25,'实盘净值数据(iFinD）'!$Z175:$AA175/'实盘净值数据(iFinD）'!$Z$65:$AA$65))*(1-实盘持仓初始配置!$Z$9)^(('实盘净值数据(iFinD）'!$A175-'实盘净值数据(iFinD）'!$A$8)/365))</f>
        <v/>
      </c>
      <c r="R175" s="16" t="str">
        <f t="shared" si="17"/>
        <v/>
      </c>
      <c r="S175" s="16" t="str">
        <f>IF(Q175="","",Q175/MAX(Q$5:Q175)-1)</f>
        <v/>
      </c>
    </row>
    <row r="176" spans="1:19">
      <c r="A176" s="15" t="str">
        <f>IF('实盘净值数据(iFinD）'!A176="","",'实盘净值数据(iFinD）'!A176)</f>
        <v/>
      </c>
      <c r="B176" s="13" t="str">
        <f>IF(OR('实盘净值数据(iFinD）'!$A176="",'实盘净值数据(iFinD）'!$B176=""),"",分期持仓明细!$AB$17*SUMPRODUCT(分期持仓明细!$B$17:$Y$17,'实盘净值数据(iFinD）'!$B176:$Y176/'实盘净值数据(iFinD）'!$B$20:$Y$20)*(1-实盘持仓初始配置!$Z$4)^(('实盘净值数据(iFinD）'!$A176-'实盘净值数据(iFinD）'!$A$6)/365))</f>
        <v/>
      </c>
      <c r="C176" s="16" t="str">
        <f t="shared" si="12"/>
        <v/>
      </c>
      <c r="D176" s="16" t="str">
        <f>IF(B176="","",B176/MAX(B$5:B176)-1)</f>
        <v/>
      </c>
      <c r="E176" s="13" t="str">
        <f>IF(OR('实盘净值数据(iFinD）'!$A176="",'实盘净值数据(iFinD）'!$B176=""),"",分期持仓明细!$AB$18*SUMPRODUCT(分期持仓明细!$B$18:$Y$18,'实盘净值数据(iFinD）'!$B176:$Y176/'实盘净值数据(iFinD）'!$B$20:$Y$20)*(1-实盘持仓初始配置!$Z$5)^(('实盘净值数据(iFinD）'!$A176-'实盘净值数据(iFinD）'!$A$5)/365))</f>
        <v/>
      </c>
      <c r="F176" s="16" t="str">
        <f t="shared" si="13"/>
        <v/>
      </c>
      <c r="G176" s="16" t="str">
        <f>IF(E176="","",E176/MAX(E$5:E176)-1)</f>
        <v/>
      </c>
      <c r="H176" s="13" t="str">
        <f>IF(OR('实盘净值数据(iFinD）'!$A176="",'实盘净值数据(iFinD）'!$B176=""),"",分期持仓明细!$AB$19*SUMPRODUCT(分期持仓明细!$B$19:$Y$19,'实盘净值数据(iFinD）'!$B176:$Y176/'实盘净值数据(iFinD）'!$B$20:$Y$20)*(1-实盘持仓初始配置!$Z$6)^(('实盘净值数据(iFinD）'!$A176-'实盘净值数据(iFinD）'!$A$7)/365))</f>
        <v/>
      </c>
      <c r="I176" s="16" t="str">
        <f t="shared" si="14"/>
        <v/>
      </c>
      <c r="J176" s="16" t="str">
        <f>IF(H176="","",H176/MAX(H$5:H176)-1)</f>
        <v/>
      </c>
      <c r="K176" s="13" t="str">
        <f>IF(OR('实盘净值数据(iFinD）'!$A176="",'实盘净值数据(iFinD）'!$B176="",'实盘净值数据(iFinD）'!$Z176="",'实盘净值数据(iFinD）'!$AA176=""),"",分期持仓明细!$AB$23*(SUMPRODUCT(分期持仓明细!$B$23:$Y$23,'实盘净值数据(iFinD）'!$B176:$Y176/'实盘净值数据(iFinD）'!$B$65:$Y$65)+SUMPRODUCT(分期持仓明细!$AC$23:$AD$23,'实盘净值数据(iFinD）'!$Z176:$AA176/'实盘净值数据(iFinD）'!$Z$65:$AA$65))*(1-实盘持仓初始配置!$Z$7)^(('实盘净值数据(iFinD）'!$A176-'实盘净值数据(iFinD）'!$A$8)/365))</f>
        <v/>
      </c>
      <c r="L176" s="16" t="str">
        <f t="shared" si="15"/>
        <v/>
      </c>
      <c r="M176" s="16" t="str">
        <f>IF(K176="","",K176/MAX(K$5:K176)-1)</f>
        <v/>
      </c>
      <c r="N176" s="13" t="str">
        <f>IF(OR('实盘净值数据(iFinD）'!$A176="",'实盘净值数据(iFinD）'!$B176="",'实盘净值数据(iFinD）'!$Z176="",'实盘净值数据(iFinD）'!$AA176=""),"",分期持仓明细!$AB$24*(SUMPRODUCT(分期持仓明细!$B$24:$Y$24,'实盘净值数据(iFinD）'!$B176:$Y176/'实盘净值数据(iFinD）'!$B$65:$Y$65)+SUMPRODUCT(分期持仓明细!$AC$24:$AD$24,'实盘净值数据(iFinD）'!$Z176:$AA176/'实盘净值数据(iFinD）'!$Z$65:$AA$65))*(1-实盘持仓初始配置!$Z$8)^(('实盘净值数据(iFinD）'!$A176-'实盘净值数据(iFinD）'!$A$5)/365))</f>
        <v/>
      </c>
      <c r="O176" s="16" t="str">
        <f t="shared" si="16"/>
        <v/>
      </c>
      <c r="P176" s="16" t="str">
        <f>IF(N176="","",N176/MAX(N$5:N176)-1)</f>
        <v/>
      </c>
      <c r="Q176" s="13" t="str">
        <f>IF(OR('实盘净值数据(iFinD）'!$A176="",'实盘净值数据(iFinD）'!$B176="",'实盘净值数据(iFinD）'!$Z176="",'实盘净值数据(iFinD）'!$AA176=""),"",分期持仓明细!$AB$25*(SUMPRODUCT(分期持仓明细!$B$25:$Y$25,'实盘净值数据(iFinD）'!$B176:$Y176/'实盘净值数据(iFinD）'!$B$65:$Y$65)+SUMPRODUCT(分期持仓明细!$AC$25:$AD$25,'实盘净值数据(iFinD）'!$Z176:$AA176/'实盘净值数据(iFinD）'!$Z$65:$AA$65))*(1-实盘持仓初始配置!$Z$9)^(('实盘净值数据(iFinD）'!$A176-'实盘净值数据(iFinD）'!$A$8)/365))</f>
        <v/>
      </c>
      <c r="R176" s="16" t="str">
        <f t="shared" si="17"/>
        <v/>
      </c>
      <c r="S176" s="16" t="str">
        <f>IF(Q176="","",Q176/MAX(Q$5:Q176)-1)</f>
        <v/>
      </c>
    </row>
    <row r="177" spans="1:19">
      <c r="A177" s="15" t="str">
        <f>IF('实盘净值数据(iFinD）'!A177="","",'实盘净值数据(iFinD）'!A177)</f>
        <v/>
      </c>
      <c r="B177" s="13" t="str">
        <f>IF(OR('实盘净值数据(iFinD）'!$A177="",'实盘净值数据(iFinD）'!$B177=""),"",分期持仓明细!$AB$17*SUMPRODUCT(分期持仓明细!$B$17:$Y$17,'实盘净值数据(iFinD）'!$B177:$Y177/'实盘净值数据(iFinD）'!$B$20:$Y$20)*(1-实盘持仓初始配置!$Z$4)^(('实盘净值数据(iFinD）'!$A177-'实盘净值数据(iFinD）'!$A$6)/365))</f>
        <v/>
      </c>
      <c r="C177" s="16" t="str">
        <f t="shared" si="12"/>
        <v/>
      </c>
      <c r="D177" s="16" t="str">
        <f>IF(B177="","",B177/MAX(B$5:B177)-1)</f>
        <v/>
      </c>
      <c r="E177" s="13" t="str">
        <f>IF(OR('实盘净值数据(iFinD）'!$A177="",'实盘净值数据(iFinD）'!$B177=""),"",分期持仓明细!$AB$18*SUMPRODUCT(分期持仓明细!$B$18:$Y$18,'实盘净值数据(iFinD）'!$B177:$Y177/'实盘净值数据(iFinD）'!$B$20:$Y$20)*(1-实盘持仓初始配置!$Z$5)^(('实盘净值数据(iFinD）'!$A177-'实盘净值数据(iFinD）'!$A$5)/365))</f>
        <v/>
      </c>
      <c r="F177" s="16" t="str">
        <f t="shared" si="13"/>
        <v/>
      </c>
      <c r="G177" s="16" t="str">
        <f>IF(E177="","",E177/MAX(E$5:E177)-1)</f>
        <v/>
      </c>
      <c r="H177" s="13" t="str">
        <f>IF(OR('实盘净值数据(iFinD）'!$A177="",'实盘净值数据(iFinD）'!$B177=""),"",分期持仓明细!$AB$19*SUMPRODUCT(分期持仓明细!$B$19:$Y$19,'实盘净值数据(iFinD）'!$B177:$Y177/'实盘净值数据(iFinD）'!$B$20:$Y$20)*(1-实盘持仓初始配置!$Z$6)^(('实盘净值数据(iFinD）'!$A177-'实盘净值数据(iFinD）'!$A$7)/365))</f>
        <v/>
      </c>
      <c r="I177" s="16" t="str">
        <f t="shared" si="14"/>
        <v/>
      </c>
      <c r="J177" s="16" t="str">
        <f>IF(H177="","",H177/MAX(H$5:H177)-1)</f>
        <v/>
      </c>
      <c r="K177" s="13" t="str">
        <f>IF(OR('实盘净值数据(iFinD）'!$A177="",'实盘净值数据(iFinD）'!$B177="",'实盘净值数据(iFinD）'!$Z177="",'实盘净值数据(iFinD）'!$AA177=""),"",分期持仓明细!$AB$23*(SUMPRODUCT(分期持仓明细!$B$23:$Y$23,'实盘净值数据(iFinD）'!$B177:$Y177/'实盘净值数据(iFinD）'!$B$65:$Y$65)+SUMPRODUCT(分期持仓明细!$AC$23:$AD$23,'实盘净值数据(iFinD）'!$Z177:$AA177/'实盘净值数据(iFinD）'!$Z$65:$AA$65))*(1-实盘持仓初始配置!$Z$7)^(('实盘净值数据(iFinD）'!$A177-'实盘净值数据(iFinD）'!$A$8)/365))</f>
        <v/>
      </c>
      <c r="L177" s="16" t="str">
        <f t="shared" si="15"/>
        <v/>
      </c>
      <c r="M177" s="16" t="str">
        <f>IF(K177="","",K177/MAX(K$5:K177)-1)</f>
        <v/>
      </c>
      <c r="N177" s="13" t="str">
        <f>IF(OR('实盘净值数据(iFinD）'!$A177="",'实盘净值数据(iFinD）'!$B177="",'实盘净值数据(iFinD）'!$Z177="",'实盘净值数据(iFinD）'!$AA177=""),"",分期持仓明细!$AB$24*(SUMPRODUCT(分期持仓明细!$B$24:$Y$24,'实盘净值数据(iFinD）'!$B177:$Y177/'实盘净值数据(iFinD）'!$B$65:$Y$65)+SUMPRODUCT(分期持仓明细!$AC$24:$AD$24,'实盘净值数据(iFinD）'!$Z177:$AA177/'实盘净值数据(iFinD）'!$Z$65:$AA$65))*(1-实盘持仓初始配置!$Z$8)^(('实盘净值数据(iFinD）'!$A177-'实盘净值数据(iFinD）'!$A$5)/365))</f>
        <v/>
      </c>
      <c r="O177" s="16" t="str">
        <f t="shared" si="16"/>
        <v/>
      </c>
      <c r="P177" s="16" t="str">
        <f>IF(N177="","",N177/MAX(N$5:N177)-1)</f>
        <v/>
      </c>
      <c r="Q177" s="13" t="str">
        <f>IF(OR('实盘净值数据(iFinD）'!$A177="",'实盘净值数据(iFinD）'!$B177="",'实盘净值数据(iFinD）'!$Z177="",'实盘净值数据(iFinD）'!$AA177=""),"",分期持仓明细!$AB$25*(SUMPRODUCT(分期持仓明细!$B$25:$Y$25,'实盘净值数据(iFinD）'!$B177:$Y177/'实盘净值数据(iFinD）'!$B$65:$Y$65)+SUMPRODUCT(分期持仓明细!$AC$25:$AD$25,'实盘净值数据(iFinD）'!$Z177:$AA177/'实盘净值数据(iFinD）'!$Z$65:$AA$65))*(1-实盘持仓初始配置!$Z$9)^(('实盘净值数据(iFinD）'!$A177-'实盘净值数据(iFinD）'!$A$8)/365))</f>
        <v/>
      </c>
      <c r="R177" s="16" t="str">
        <f t="shared" si="17"/>
        <v/>
      </c>
      <c r="S177" s="16" t="str">
        <f>IF(Q177="","",Q177/MAX(Q$5:Q177)-1)</f>
        <v/>
      </c>
    </row>
    <row r="178" spans="1:19">
      <c r="A178" s="15" t="str">
        <f>IF('实盘净值数据(iFinD）'!A178="","",'实盘净值数据(iFinD）'!A178)</f>
        <v/>
      </c>
      <c r="B178" s="13" t="str">
        <f>IF(OR('实盘净值数据(iFinD）'!$A178="",'实盘净值数据(iFinD）'!$B178=""),"",分期持仓明细!$AB$17*SUMPRODUCT(分期持仓明细!$B$17:$Y$17,'实盘净值数据(iFinD）'!$B178:$Y178/'实盘净值数据(iFinD）'!$B$20:$Y$20)*(1-实盘持仓初始配置!$Z$4)^(('实盘净值数据(iFinD）'!$A178-'实盘净值数据(iFinD）'!$A$6)/365))</f>
        <v/>
      </c>
      <c r="C178" s="16" t="str">
        <f t="shared" si="12"/>
        <v/>
      </c>
      <c r="D178" s="16" t="str">
        <f>IF(B178="","",B178/MAX(B$5:B178)-1)</f>
        <v/>
      </c>
      <c r="E178" s="13" t="str">
        <f>IF(OR('实盘净值数据(iFinD）'!$A178="",'实盘净值数据(iFinD）'!$B178=""),"",分期持仓明细!$AB$18*SUMPRODUCT(分期持仓明细!$B$18:$Y$18,'实盘净值数据(iFinD）'!$B178:$Y178/'实盘净值数据(iFinD）'!$B$20:$Y$20)*(1-实盘持仓初始配置!$Z$5)^(('实盘净值数据(iFinD）'!$A178-'实盘净值数据(iFinD）'!$A$5)/365))</f>
        <v/>
      </c>
      <c r="F178" s="16" t="str">
        <f t="shared" si="13"/>
        <v/>
      </c>
      <c r="G178" s="16" t="str">
        <f>IF(E178="","",E178/MAX(E$5:E178)-1)</f>
        <v/>
      </c>
      <c r="H178" s="13" t="str">
        <f>IF(OR('实盘净值数据(iFinD）'!$A178="",'实盘净值数据(iFinD）'!$B178=""),"",分期持仓明细!$AB$19*SUMPRODUCT(分期持仓明细!$B$19:$Y$19,'实盘净值数据(iFinD）'!$B178:$Y178/'实盘净值数据(iFinD）'!$B$20:$Y$20)*(1-实盘持仓初始配置!$Z$6)^(('实盘净值数据(iFinD）'!$A178-'实盘净值数据(iFinD）'!$A$7)/365))</f>
        <v/>
      </c>
      <c r="I178" s="16" t="str">
        <f t="shared" si="14"/>
        <v/>
      </c>
      <c r="J178" s="16" t="str">
        <f>IF(H178="","",H178/MAX(H$5:H178)-1)</f>
        <v/>
      </c>
      <c r="K178" s="13" t="str">
        <f>IF(OR('实盘净值数据(iFinD）'!$A178="",'实盘净值数据(iFinD）'!$B178="",'实盘净值数据(iFinD）'!$Z178="",'实盘净值数据(iFinD）'!$AA178=""),"",分期持仓明细!$AB$23*(SUMPRODUCT(分期持仓明细!$B$23:$Y$23,'实盘净值数据(iFinD）'!$B178:$Y178/'实盘净值数据(iFinD）'!$B$65:$Y$65)+SUMPRODUCT(分期持仓明细!$AC$23:$AD$23,'实盘净值数据(iFinD）'!$Z178:$AA178/'实盘净值数据(iFinD）'!$Z$65:$AA$65))*(1-实盘持仓初始配置!$Z$7)^(('实盘净值数据(iFinD）'!$A178-'实盘净值数据(iFinD）'!$A$8)/365))</f>
        <v/>
      </c>
      <c r="L178" s="16" t="str">
        <f t="shared" si="15"/>
        <v/>
      </c>
      <c r="M178" s="16" t="str">
        <f>IF(K178="","",K178/MAX(K$5:K178)-1)</f>
        <v/>
      </c>
      <c r="N178" s="13" t="str">
        <f>IF(OR('实盘净值数据(iFinD）'!$A178="",'实盘净值数据(iFinD）'!$B178="",'实盘净值数据(iFinD）'!$Z178="",'实盘净值数据(iFinD）'!$AA178=""),"",分期持仓明细!$AB$24*(SUMPRODUCT(分期持仓明细!$B$24:$Y$24,'实盘净值数据(iFinD）'!$B178:$Y178/'实盘净值数据(iFinD）'!$B$65:$Y$65)+SUMPRODUCT(分期持仓明细!$AC$24:$AD$24,'实盘净值数据(iFinD）'!$Z178:$AA178/'实盘净值数据(iFinD）'!$Z$65:$AA$65))*(1-实盘持仓初始配置!$Z$8)^(('实盘净值数据(iFinD）'!$A178-'实盘净值数据(iFinD）'!$A$5)/365))</f>
        <v/>
      </c>
      <c r="O178" s="16" t="str">
        <f t="shared" si="16"/>
        <v/>
      </c>
      <c r="P178" s="16" t="str">
        <f>IF(N178="","",N178/MAX(N$5:N178)-1)</f>
        <v/>
      </c>
      <c r="Q178" s="13" t="str">
        <f>IF(OR('实盘净值数据(iFinD）'!$A178="",'实盘净值数据(iFinD）'!$B178="",'实盘净值数据(iFinD）'!$Z178="",'实盘净值数据(iFinD）'!$AA178=""),"",分期持仓明细!$AB$25*(SUMPRODUCT(分期持仓明细!$B$25:$Y$25,'实盘净值数据(iFinD）'!$B178:$Y178/'实盘净值数据(iFinD）'!$B$65:$Y$65)+SUMPRODUCT(分期持仓明细!$AC$25:$AD$25,'实盘净值数据(iFinD）'!$Z178:$AA178/'实盘净值数据(iFinD）'!$Z$65:$AA$65))*(1-实盘持仓初始配置!$Z$9)^(('实盘净值数据(iFinD）'!$A178-'实盘净值数据(iFinD）'!$A$8)/365))</f>
        <v/>
      </c>
      <c r="R178" s="16" t="str">
        <f t="shared" si="17"/>
        <v/>
      </c>
      <c r="S178" s="16" t="str">
        <f>IF(Q178="","",Q178/MAX(Q$5:Q178)-1)</f>
        <v/>
      </c>
    </row>
    <row r="179" spans="1:19">
      <c r="A179" s="15" t="str">
        <f>IF('实盘净值数据(iFinD）'!A179="","",'实盘净值数据(iFinD）'!A179)</f>
        <v/>
      </c>
      <c r="B179" s="13" t="str">
        <f>IF(OR('实盘净值数据(iFinD）'!$A179="",'实盘净值数据(iFinD）'!$B179=""),"",分期持仓明细!$AB$17*SUMPRODUCT(分期持仓明细!$B$17:$Y$17,'实盘净值数据(iFinD）'!$B179:$Y179/'实盘净值数据(iFinD）'!$B$20:$Y$20)*(1-实盘持仓初始配置!$Z$4)^(('实盘净值数据(iFinD）'!$A179-'实盘净值数据(iFinD）'!$A$6)/365))</f>
        <v/>
      </c>
      <c r="C179" s="16" t="str">
        <f t="shared" si="12"/>
        <v/>
      </c>
      <c r="D179" s="16" t="str">
        <f>IF(B179="","",B179/MAX(B$5:B179)-1)</f>
        <v/>
      </c>
      <c r="E179" s="13" t="str">
        <f>IF(OR('实盘净值数据(iFinD）'!$A179="",'实盘净值数据(iFinD）'!$B179=""),"",分期持仓明细!$AB$18*SUMPRODUCT(分期持仓明细!$B$18:$Y$18,'实盘净值数据(iFinD）'!$B179:$Y179/'实盘净值数据(iFinD）'!$B$20:$Y$20)*(1-实盘持仓初始配置!$Z$5)^(('实盘净值数据(iFinD）'!$A179-'实盘净值数据(iFinD）'!$A$5)/365))</f>
        <v/>
      </c>
      <c r="F179" s="16" t="str">
        <f t="shared" si="13"/>
        <v/>
      </c>
      <c r="G179" s="16" t="str">
        <f>IF(E179="","",E179/MAX(E$5:E179)-1)</f>
        <v/>
      </c>
      <c r="H179" s="13" t="str">
        <f>IF(OR('实盘净值数据(iFinD）'!$A179="",'实盘净值数据(iFinD）'!$B179=""),"",分期持仓明细!$AB$19*SUMPRODUCT(分期持仓明细!$B$19:$Y$19,'实盘净值数据(iFinD）'!$B179:$Y179/'实盘净值数据(iFinD）'!$B$20:$Y$20)*(1-实盘持仓初始配置!$Z$6)^(('实盘净值数据(iFinD）'!$A179-'实盘净值数据(iFinD）'!$A$7)/365))</f>
        <v/>
      </c>
      <c r="I179" s="16" t="str">
        <f t="shared" si="14"/>
        <v/>
      </c>
      <c r="J179" s="16" t="str">
        <f>IF(H179="","",H179/MAX(H$5:H179)-1)</f>
        <v/>
      </c>
      <c r="K179" s="13" t="str">
        <f>IF(OR('实盘净值数据(iFinD）'!$A179="",'实盘净值数据(iFinD）'!$B179="",'实盘净值数据(iFinD）'!$Z179="",'实盘净值数据(iFinD）'!$AA179=""),"",分期持仓明细!$AB$23*(SUMPRODUCT(分期持仓明细!$B$23:$Y$23,'实盘净值数据(iFinD）'!$B179:$Y179/'实盘净值数据(iFinD）'!$B$65:$Y$65)+SUMPRODUCT(分期持仓明细!$AC$23:$AD$23,'实盘净值数据(iFinD）'!$Z179:$AA179/'实盘净值数据(iFinD）'!$Z$65:$AA$65))*(1-实盘持仓初始配置!$Z$7)^(('实盘净值数据(iFinD）'!$A179-'实盘净值数据(iFinD）'!$A$8)/365))</f>
        <v/>
      </c>
      <c r="L179" s="16" t="str">
        <f t="shared" si="15"/>
        <v/>
      </c>
      <c r="M179" s="16" t="str">
        <f>IF(K179="","",K179/MAX(K$5:K179)-1)</f>
        <v/>
      </c>
      <c r="N179" s="13" t="str">
        <f>IF(OR('实盘净值数据(iFinD）'!$A179="",'实盘净值数据(iFinD）'!$B179="",'实盘净值数据(iFinD）'!$Z179="",'实盘净值数据(iFinD）'!$AA179=""),"",分期持仓明细!$AB$24*(SUMPRODUCT(分期持仓明细!$B$24:$Y$24,'实盘净值数据(iFinD）'!$B179:$Y179/'实盘净值数据(iFinD）'!$B$65:$Y$65)+SUMPRODUCT(分期持仓明细!$AC$24:$AD$24,'实盘净值数据(iFinD）'!$Z179:$AA179/'实盘净值数据(iFinD）'!$Z$65:$AA$65))*(1-实盘持仓初始配置!$Z$8)^(('实盘净值数据(iFinD）'!$A179-'实盘净值数据(iFinD）'!$A$5)/365))</f>
        <v/>
      </c>
      <c r="O179" s="16" t="str">
        <f t="shared" si="16"/>
        <v/>
      </c>
      <c r="P179" s="16" t="str">
        <f>IF(N179="","",N179/MAX(N$5:N179)-1)</f>
        <v/>
      </c>
      <c r="Q179" s="13" t="str">
        <f>IF(OR('实盘净值数据(iFinD）'!$A179="",'实盘净值数据(iFinD）'!$B179="",'实盘净值数据(iFinD）'!$Z179="",'实盘净值数据(iFinD）'!$AA179=""),"",分期持仓明细!$AB$25*(SUMPRODUCT(分期持仓明细!$B$25:$Y$25,'实盘净值数据(iFinD）'!$B179:$Y179/'实盘净值数据(iFinD）'!$B$65:$Y$65)+SUMPRODUCT(分期持仓明细!$AC$25:$AD$25,'实盘净值数据(iFinD）'!$Z179:$AA179/'实盘净值数据(iFinD）'!$Z$65:$AA$65))*(1-实盘持仓初始配置!$Z$9)^(('实盘净值数据(iFinD）'!$A179-'实盘净值数据(iFinD）'!$A$8)/365))</f>
        <v/>
      </c>
      <c r="R179" s="16" t="str">
        <f t="shared" si="17"/>
        <v/>
      </c>
      <c r="S179" s="16" t="str">
        <f>IF(Q179="","",Q179/MAX(Q$5:Q179)-1)</f>
        <v/>
      </c>
    </row>
    <row r="180" spans="1:19">
      <c r="A180" s="15" t="str">
        <f>IF('实盘净值数据(iFinD）'!A180="","",'实盘净值数据(iFinD）'!A180)</f>
        <v/>
      </c>
      <c r="B180" s="13" t="str">
        <f>IF(OR('实盘净值数据(iFinD）'!$A180="",'实盘净值数据(iFinD）'!$B180=""),"",分期持仓明细!$AB$17*SUMPRODUCT(分期持仓明细!$B$17:$Y$17,'实盘净值数据(iFinD）'!$B180:$Y180/'实盘净值数据(iFinD）'!$B$20:$Y$20)*(1-实盘持仓初始配置!$Z$4)^(('实盘净值数据(iFinD）'!$A180-'实盘净值数据(iFinD）'!$A$6)/365))</f>
        <v/>
      </c>
      <c r="C180" s="16" t="str">
        <f t="shared" si="12"/>
        <v/>
      </c>
      <c r="D180" s="16" t="str">
        <f>IF(B180="","",B180/MAX(B$5:B180)-1)</f>
        <v/>
      </c>
      <c r="E180" s="13" t="str">
        <f>IF(OR('实盘净值数据(iFinD）'!$A180="",'实盘净值数据(iFinD）'!$B180=""),"",分期持仓明细!$AB$18*SUMPRODUCT(分期持仓明细!$B$18:$Y$18,'实盘净值数据(iFinD）'!$B180:$Y180/'实盘净值数据(iFinD）'!$B$20:$Y$20)*(1-实盘持仓初始配置!$Z$5)^(('实盘净值数据(iFinD）'!$A180-'实盘净值数据(iFinD）'!$A$5)/365))</f>
        <v/>
      </c>
      <c r="F180" s="16" t="str">
        <f t="shared" si="13"/>
        <v/>
      </c>
      <c r="G180" s="16" t="str">
        <f>IF(E180="","",E180/MAX(E$5:E180)-1)</f>
        <v/>
      </c>
      <c r="H180" s="13" t="str">
        <f>IF(OR('实盘净值数据(iFinD）'!$A180="",'实盘净值数据(iFinD）'!$B180=""),"",分期持仓明细!$AB$19*SUMPRODUCT(分期持仓明细!$B$19:$Y$19,'实盘净值数据(iFinD）'!$B180:$Y180/'实盘净值数据(iFinD）'!$B$20:$Y$20)*(1-实盘持仓初始配置!$Z$6)^(('实盘净值数据(iFinD）'!$A180-'实盘净值数据(iFinD）'!$A$7)/365))</f>
        <v/>
      </c>
      <c r="I180" s="16" t="str">
        <f t="shared" si="14"/>
        <v/>
      </c>
      <c r="J180" s="16" t="str">
        <f>IF(H180="","",H180/MAX(H$5:H180)-1)</f>
        <v/>
      </c>
      <c r="K180" s="13" t="str">
        <f>IF(OR('实盘净值数据(iFinD）'!$A180="",'实盘净值数据(iFinD）'!$B180="",'实盘净值数据(iFinD）'!$Z180="",'实盘净值数据(iFinD）'!$AA180=""),"",分期持仓明细!$AB$23*(SUMPRODUCT(分期持仓明细!$B$23:$Y$23,'实盘净值数据(iFinD）'!$B180:$Y180/'实盘净值数据(iFinD）'!$B$65:$Y$65)+SUMPRODUCT(分期持仓明细!$AC$23:$AD$23,'实盘净值数据(iFinD）'!$Z180:$AA180/'实盘净值数据(iFinD）'!$Z$65:$AA$65))*(1-实盘持仓初始配置!$Z$7)^(('实盘净值数据(iFinD）'!$A180-'实盘净值数据(iFinD）'!$A$8)/365))</f>
        <v/>
      </c>
      <c r="L180" s="16" t="str">
        <f t="shared" si="15"/>
        <v/>
      </c>
      <c r="M180" s="16" t="str">
        <f>IF(K180="","",K180/MAX(K$5:K180)-1)</f>
        <v/>
      </c>
      <c r="N180" s="13" t="str">
        <f>IF(OR('实盘净值数据(iFinD）'!$A180="",'实盘净值数据(iFinD）'!$B180="",'实盘净值数据(iFinD）'!$Z180="",'实盘净值数据(iFinD）'!$AA180=""),"",分期持仓明细!$AB$24*(SUMPRODUCT(分期持仓明细!$B$24:$Y$24,'实盘净值数据(iFinD）'!$B180:$Y180/'实盘净值数据(iFinD）'!$B$65:$Y$65)+SUMPRODUCT(分期持仓明细!$AC$24:$AD$24,'实盘净值数据(iFinD）'!$Z180:$AA180/'实盘净值数据(iFinD）'!$Z$65:$AA$65))*(1-实盘持仓初始配置!$Z$8)^(('实盘净值数据(iFinD）'!$A180-'实盘净值数据(iFinD）'!$A$5)/365))</f>
        <v/>
      </c>
      <c r="O180" s="16" t="str">
        <f t="shared" si="16"/>
        <v/>
      </c>
      <c r="P180" s="16" t="str">
        <f>IF(N180="","",N180/MAX(N$5:N180)-1)</f>
        <v/>
      </c>
      <c r="Q180" s="13" t="str">
        <f>IF(OR('实盘净值数据(iFinD）'!$A180="",'实盘净值数据(iFinD）'!$B180="",'实盘净值数据(iFinD）'!$Z180="",'实盘净值数据(iFinD）'!$AA180=""),"",分期持仓明细!$AB$25*(SUMPRODUCT(分期持仓明细!$B$25:$Y$25,'实盘净值数据(iFinD）'!$B180:$Y180/'实盘净值数据(iFinD）'!$B$65:$Y$65)+SUMPRODUCT(分期持仓明细!$AC$25:$AD$25,'实盘净值数据(iFinD）'!$Z180:$AA180/'实盘净值数据(iFinD）'!$Z$65:$AA$65))*(1-实盘持仓初始配置!$Z$9)^(('实盘净值数据(iFinD）'!$A180-'实盘净值数据(iFinD）'!$A$8)/365))</f>
        <v/>
      </c>
      <c r="R180" s="16" t="str">
        <f t="shared" si="17"/>
        <v/>
      </c>
      <c r="S180" s="16" t="str">
        <f>IF(Q180="","",Q180/MAX(Q$5:Q180)-1)</f>
        <v/>
      </c>
    </row>
    <row r="181" spans="1:19">
      <c r="A181" s="15" t="str">
        <f>IF('实盘净值数据(iFinD）'!A181="","",'实盘净值数据(iFinD）'!A181)</f>
        <v/>
      </c>
      <c r="B181" s="13" t="str">
        <f>IF(OR('实盘净值数据(iFinD）'!$A181="",'实盘净值数据(iFinD）'!$B181=""),"",分期持仓明细!$AB$17*SUMPRODUCT(分期持仓明细!$B$17:$Y$17,'实盘净值数据(iFinD）'!$B181:$Y181/'实盘净值数据(iFinD）'!$B$20:$Y$20)*(1-实盘持仓初始配置!$Z$4)^(('实盘净值数据(iFinD）'!$A181-'实盘净值数据(iFinD）'!$A$6)/365))</f>
        <v/>
      </c>
      <c r="C181" s="16" t="str">
        <f t="shared" si="12"/>
        <v/>
      </c>
      <c r="D181" s="16" t="str">
        <f>IF(B181="","",B181/MAX(B$5:B181)-1)</f>
        <v/>
      </c>
      <c r="E181" s="13" t="str">
        <f>IF(OR('实盘净值数据(iFinD）'!$A181="",'实盘净值数据(iFinD）'!$B181=""),"",分期持仓明细!$AB$18*SUMPRODUCT(分期持仓明细!$B$18:$Y$18,'实盘净值数据(iFinD）'!$B181:$Y181/'实盘净值数据(iFinD）'!$B$20:$Y$20)*(1-实盘持仓初始配置!$Z$5)^(('实盘净值数据(iFinD）'!$A181-'实盘净值数据(iFinD）'!$A$5)/365))</f>
        <v/>
      </c>
      <c r="F181" s="16" t="str">
        <f t="shared" si="13"/>
        <v/>
      </c>
      <c r="G181" s="16" t="str">
        <f>IF(E181="","",E181/MAX(E$5:E181)-1)</f>
        <v/>
      </c>
      <c r="H181" s="13" t="str">
        <f>IF(OR('实盘净值数据(iFinD）'!$A181="",'实盘净值数据(iFinD）'!$B181=""),"",分期持仓明细!$AB$19*SUMPRODUCT(分期持仓明细!$B$19:$Y$19,'实盘净值数据(iFinD）'!$B181:$Y181/'实盘净值数据(iFinD）'!$B$20:$Y$20)*(1-实盘持仓初始配置!$Z$6)^(('实盘净值数据(iFinD）'!$A181-'实盘净值数据(iFinD）'!$A$7)/365))</f>
        <v/>
      </c>
      <c r="I181" s="16" t="str">
        <f t="shared" si="14"/>
        <v/>
      </c>
      <c r="J181" s="16" t="str">
        <f>IF(H181="","",H181/MAX(H$5:H181)-1)</f>
        <v/>
      </c>
      <c r="K181" s="13" t="str">
        <f>IF(OR('实盘净值数据(iFinD）'!$A181="",'实盘净值数据(iFinD）'!$B181="",'实盘净值数据(iFinD）'!$Z181="",'实盘净值数据(iFinD）'!$AA181=""),"",分期持仓明细!$AB$23*(SUMPRODUCT(分期持仓明细!$B$23:$Y$23,'实盘净值数据(iFinD）'!$B181:$Y181/'实盘净值数据(iFinD）'!$B$65:$Y$65)+SUMPRODUCT(分期持仓明细!$AC$23:$AD$23,'实盘净值数据(iFinD）'!$Z181:$AA181/'实盘净值数据(iFinD）'!$Z$65:$AA$65))*(1-实盘持仓初始配置!$Z$7)^(('实盘净值数据(iFinD）'!$A181-'实盘净值数据(iFinD）'!$A$8)/365))</f>
        <v/>
      </c>
      <c r="L181" s="16" t="str">
        <f t="shared" si="15"/>
        <v/>
      </c>
      <c r="M181" s="16" t="str">
        <f>IF(K181="","",K181/MAX(K$5:K181)-1)</f>
        <v/>
      </c>
      <c r="N181" s="13" t="str">
        <f>IF(OR('实盘净值数据(iFinD）'!$A181="",'实盘净值数据(iFinD）'!$B181="",'实盘净值数据(iFinD）'!$Z181="",'实盘净值数据(iFinD）'!$AA181=""),"",分期持仓明细!$AB$24*(SUMPRODUCT(分期持仓明细!$B$24:$Y$24,'实盘净值数据(iFinD）'!$B181:$Y181/'实盘净值数据(iFinD）'!$B$65:$Y$65)+SUMPRODUCT(分期持仓明细!$AC$24:$AD$24,'实盘净值数据(iFinD）'!$Z181:$AA181/'实盘净值数据(iFinD）'!$Z$65:$AA$65))*(1-实盘持仓初始配置!$Z$8)^(('实盘净值数据(iFinD）'!$A181-'实盘净值数据(iFinD）'!$A$5)/365))</f>
        <v/>
      </c>
      <c r="O181" s="16" t="str">
        <f t="shared" si="16"/>
        <v/>
      </c>
      <c r="P181" s="16" t="str">
        <f>IF(N181="","",N181/MAX(N$5:N181)-1)</f>
        <v/>
      </c>
      <c r="Q181" s="13" t="str">
        <f>IF(OR('实盘净值数据(iFinD）'!$A181="",'实盘净值数据(iFinD）'!$B181="",'实盘净值数据(iFinD）'!$Z181="",'实盘净值数据(iFinD）'!$AA181=""),"",分期持仓明细!$AB$25*(SUMPRODUCT(分期持仓明细!$B$25:$Y$25,'实盘净值数据(iFinD）'!$B181:$Y181/'实盘净值数据(iFinD）'!$B$65:$Y$65)+SUMPRODUCT(分期持仓明细!$AC$25:$AD$25,'实盘净值数据(iFinD）'!$Z181:$AA181/'实盘净值数据(iFinD）'!$Z$65:$AA$65))*(1-实盘持仓初始配置!$Z$9)^(('实盘净值数据(iFinD）'!$A181-'实盘净值数据(iFinD）'!$A$8)/365))</f>
        <v/>
      </c>
      <c r="R181" s="16" t="str">
        <f t="shared" si="17"/>
        <v/>
      </c>
      <c r="S181" s="16" t="str">
        <f>IF(Q181="","",Q181/MAX(Q$5:Q181)-1)</f>
        <v/>
      </c>
    </row>
    <row r="182" spans="1:19">
      <c r="A182" s="15" t="str">
        <f>IF('实盘净值数据(iFinD）'!A182="","",'实盘净值数据(iFinD）'!A182)</f>
        <v/>
      </c>
      <c r="B182" s="13" t="str">
        <f>IF(OR('实盘净值数据(iFinD）'!$A182="",'实盘净值数据(iFinD）'!$B182=""),"",分期持仓明细!$AB$17*SUMPRODUCT(分期持仓明细!$B$17:$Y$17,'实盘净值数据(iFinD）'!$B182:$Y182/'实盘净值数据(iFinD）'!$B$20:$Y$20)*(1-实盘持仓初始配置!$Z$4)^(('实盘净值数据(iFinD）'!$A182-'实盘净值数据(iFinD）'!$A$6)/365))</f>
        <v/>
      </c>
      <c r="C182" s="16" t="str">
        <f t="shared" si="12"/>
        <v/>
      </c>
      <c r="D182" s="16" t="str">
        <f>IF(B182="","",B182/MAX(B$5:B182)-1)</f>
        <v/>
      </c>
      <c r="E182" s="13" t="str">
        <f>IF(OR('实盘净值数据(iFinD）'!$A182="",'实盘净值数据(iFinD）'!$B182=""),"",分期持仓明细!$AB$18*SUMPRODUCT(分期持仓明细!$B$18:$Y$18,'实盘净值数据(iFinD）'!$B182:$Y182/'实盘净值数据(iFinD）'!$B$20:$Y$20)*(1-实盘持仓初始配置!$Z$5)^(('实盘净值数据(iFinD）'!$A182-'实盘净值数据(iFinD）'!$A$5)/365))</f>
        <v/>
      </c>
      <c r="F182" s="16" t="str">
        <f t="shared" si="13"/>
        <v/>
      </c>
      <c r="G182" s="16" t="str">
        <f>IF(E182="","",E182/MAX(E$5:E182)-1)</f>
        <v/>
      </c>
      <c r="H182" s="13" t="str">
        <f>IF(OR('实盘净值数据(iFinD）'!$A182="",'实盘净值数据(iFinD）'!$B182=""),"",分期持仓明细!$AB$19*SUMPRODUCT(分期持仓明细!$B$19:$Y$19,'实盘净值数据(iFinD）'!$B182:$Y182/'实盘净值数据(iFinD）'!$B$20:$Y$20)*(1-实盘持仓初始配置!$Z$6)^(('实盘净值数据(iFinD）'!$A182-'实盘净值数据(iFinD）'!$A$7)/365))</f>
        <v/>
      </c>
      <c r="I182" s="16" t="str">
        <f t="shared" si="14"/>
        <v/>
      </c>
      <c r="J182" s="16" t="str">
        <f>IF(H182="","",H182/MAX(H$5:H182)-1)</f>
        <v/>
      </c>
      <c r="K182" s="13" t="str">
        <f>IF(OR('实盘净值数据(iFinD）'!$A182="",'实盘净值数据(iFinD）'!$B182="",'实盘净值数据(iFinD）'!$Z182="",'实盘净值数据(iFinD）'!$AA182=""),"",分期持仓明细!$AB$23*(SUMPRODUCT(分期持仓明细!$B$23:$Y$23,'实盘净值数据(iFinD）'!$B182:$Y182/'实盘净值数据(iFinD）'!$B$65:$Y$65)+SUMPRODUCT(分期持仓明细!$AC$23:$AD$23,'实盘净值数据(iFinD）'!$Z182:$AA182/'实盘净值数据(iFinD）'!$Z$65:$AA$65))*(1-实盘持仓初始配置!$Z$7)^(('实盘净值数据(iFinD）'!$A182-'实盘净值数据(iFinD）'!$A$8)/365))</f>
        <v/>
      </c>
      <c r="L182" s="16" t="str">
        <f t="shared" si="15"/>
        <v/>
      </c>
      <c r="M182" s="16" t="str">
        <f>IF(K182="","",K182/MAX(K$5:K182)-1)</f>
        <v/>
      </c>
      <c r="N182" s="13" t="str">
        <f>IF(OR('实盘净值数据(iFinD）'!$A182="",'实盘净值数据(iFinD）'!$B182="",'实盘净值数据(iFinD）'!$Z182="",'实盘净值数据(iFinD）'!$AA182=""),"",分期持仓明细!$AB$24*(SUMPRODUCT(分期持仓明细!$B$24:$Y$24,'实盘净值数据(iFinD）'!$B182:$Y182/'实盘净值数据(iFinD）'!$B$65:$Y$65)+SUMPRODUCT(分期持仓明细!$AC$24:$AD$24,'实盘净值数据(iFinD）'!$Z182:$AA182/'实盘净值数据(iFinD）'!$Z$65:$AA$65))*(1-实盘持仓初始配置!$Z$8)^(('实盘净值数据(iFinD）'!$A182-'实盘净值数据(iFinD）'!$A$5)/365))</f>
        <v/>
      </c>
      <c r="O182" s="16" t="str">
        <f t="shared" si="16"/>
        <v/>
      </c>
      <c r="P182" s="16" t="str">
        <f>IF(N182="","",N182/MAX(N$5:N182)-1)</f>
        <v/>
      </c>
      <c r="Q182" s="13" t="str">
        <f>IF(OR('实盘净值数据(iFinD）'!$A182="",'实盘净值数据(iFinD）'!$B182="",'实盘净值数据(iFinD）'!$Z182="",'实盘净值数据(iFinD）'!$AA182=""),"",分期持仓明细!$AB$25*(SUMPRODUCT(分期持仓明细!$B$25:$Y$25,'实盘净值数据(iFinD）'!$B182:$Y182/'实盘净值数据(iFinD）'!$B$65:$Y$65)+SUMPRODUCT(分期持仓明细!$AC$25:$AD$25,'实盘净值数据(iFinD）'!$Z182:$AA182/'实盘净值数据(iFinD）'!$Z$65:$AA$65))*(1-实盘持仓初始配置!$Z$9)^(('实盘净值数据(iFinD）'!$A182-'实盘净值数据(iFinD）'!$A$8)/365))</f>
        <v/>
      </c>
      <c r="R182" s="16" t="str">
        <f t="shared" si="17"/>
        <v/>
      </c>
      <c r="S182" s="16" t="str">
        <f>IF(Q182="","",Q182/MAX(Q$5:Q182)-1)</f>
        <v/>
      </c>
    </row>
    <row r="183" spans="1:19">
      <c r="A183" s="15" t="str">
        <f>IF('实盘净值数据(iFinD）'!A183="","",'实盘净值数据(iFinD）'!A183)</f>
        <v/>
      </c>
      <c r="B183" s="13" t="str">
        <f>IF(OR('实盘净值数据(iFinD）'!$A183="",'实盘净值数据(iFinD）'!$B183=""),"",分期持仓明细!$AB$17*SUMPRODUCT(分期持仓明细!$B$17:$Y$17,'实盘净值数据(iFinD）'!$B183:$Y183/'实盘净值数据(iFinD）'!$B$20:$Y$20)*(1-实盘持仓初始配置!$Z$4)^(('实盘净值数据(iFinD）'!$A183-'实盘净值数据(iFinD）'!$A$6)/365))</f>
        <v/>
      </c>
      <c r="C183" s="16" t="str">
        <f t="shared" si="12"/>
        <v/>
      </c>
      <c r="D183" s="16" t="str">
        <f>IF(B183="","",B183/MAX(B$5:B183)-1)</f>
        <v/>
      </c>
      <c r="E183" s="13" t="str">
        <f>IF(OR('实盘净值数据(iFinD）'!$A183="",'实盘净值数据(iFinD）'!$B183=""),"",分期持仓明细!$AB$18*SUMPRODUCT(分期持仓明细!$B$18:$Y$18,'实盘净值数据(iFinD）'!$B183:$Y183/'实盘净值数据(iFinD）'!$B$20:$Y$20)*(1-实盘持仓初始配置!$Z$5)^(('实盘净值数据(iFinD）'!$A183-'实盘净值数据(iFinD）'!$A$5)/365))</f>
        <v/>
      </c>
      <c r="F183" s="16" t="str">
        <f t="shared" si="13"/>
        <v/>
      </c>
      <c r="G183" s="16" t="str">
        <f>IF(E183="","",E183/MAX(E$5:E183)-1)</f>
        <v/>
      </c>
      <c r="H183" s="13" t="str">
        <f>IF(OR('实盘净值数据(iFinD）'!$A183="",'实盘净值数据(iFinD）'!$B183=""),"",分期持仓明细!$AB$19*SUMPRODUCT(分期持仓明细!$B$19:$Y$19,'实盘净值数据(iFinD）'!$B183:$Y183/'实盘净值数据(iFinD）'!$B$20:$Y$20)*(1-实盘持仓初始配置!$Z$6)^(('实盘净值数据(iFinD）'!$A183-'实盘净值数据(iFinD）'!$A$7)/365))</f>
        <v/>
      </c>
      <c r="I183" s="16" t="str">
        <f t="shared" si="14"/>
        <v/>
      </c>
      <c r="J183" s="16" t="str">
        <f>IF(H183="","",H183/MAX(H$5:H183)-1)</f>
        <v/>
      </c>
      <c r="K183" s="13" t="str">
        <f>IF(OR('实盘净值数据(iFinD）'!$A183="",'实盘净值数据(iFinD）'!$B183="",'实盘净值数据(iFinD）'!$Z183="",'实盘净值数据(iFinD）'!$AA183=""),"",分期持仓明细!$AB$23*(SUMPRODUCT(分期持仓明细!$B$23:$Y$23,'实盘净值数据(iFinD）'!$B183:$Y183/'实盘净值数据(iFinD）'!$B$65:$Y$65)+SUMPRODUCT(分期持仓明细!$AC$23:$AD$23,'实盘净值数据(iFinD）'!$Z183:$AA183/'实盘净值数据(iFinD）'!$Z$65:$AA$65))*(1-实盘持仓初始配置!$Z$7)^(('实盘净值数据(iFinD）'!$A183-'实盘净值数据(iFinD）'!$A$8)/365))</f>
        <v/>
      </c>
      <c r="L183" s="16" t="str">
        <f t="shared" si="15"/>
        <v/>
      </c>
      <c r="M183" s="16" t="str">
        <f>IF(K183="","",K183/MAX(K$5:K183)-1)</f>
        <v/>
      </c>
      <c r="N183" s="13" t="str">
        <f>IF(OR('实盘净值数据(iFinD）'!$A183="",'实盘净值数据(iFinD）'!$B183="",'实盘净值数据(iFinD）'!$Z183="",'实盘净值数据(iFinD）'!$AA183=""),"",分期持仓明细!$AB$24*(SUMPRODUCT(分期持仓明细!$B$24:$Y$24,'实盘净值数据(iFinD）'!$B183:$Y183/'实盘净值数据(iFinD）'!$B$65:$Y$65)+SUMPRODUCT(分期持仓明细!$AC$24:$AD$24,'实盘净值数据(iFinD）'!$Z183:$AA183/'实盘净值数据(iFinD）'!$Z$65:$AA$65))*(1-实盘持仓初始配置!$Z$8)^(('实盘净值数据(iFinD）'!$A183-'实盘净值数据(iFinD）'!$A$5)/365))</f>
        <v/>
      </c>
      <c r="O183" s="16" t="str">
        <f t="shared" si="16"/>
        <v/>
      </c>
      <c r="P183" s="16" t="str">
        <f>IF(N183="","",N183/MAX(N$5:N183)-1)</f>
        <v/>
      </c>
      <c r="Q183" s="13" t="str">
        <f>IF(OR('实盘净值数据(iFinD）'!$A183="",'实盘净值数据(iFinD）'!$B183="",'实盘净值数据(iFinD）'!$Z183="",'实盘净值数据(iFinD）'!$AA183=""),"",分期持仓明细!$AB$25*(SUMPRODUCT(分期持仓明细!$B$25:$Y$25,'实盘净值数据(iFinD）'!$B183:$Y183/'实盘净值数据(iFinD）'!$B$65:$Y$65)+SUMPRODUCT(分期持仓明细!$AC$25:$AD$25,'实盘净值数据(iFinD）'!$Z183:$AA183/'实盘净值数据(iFinD）'!$Z$65:$AA$65))*(1-实盘持仓初始配置!$Z$9)^(('实盘净值数据(iFinD）'!$A183-'实盘净值数据(iFinD）'!$A$8)/365))</f>
        <v/>
      </c>
      <c r="R183" s="16" t="str">
        <f t="shared" si="17"/>
        <v/>
      </c>
      <c r="S183" s="16" t="str">
        <f>IF(Q183="","",Q183/MAX(Q$5:Q183)-1)</f>
        <v/>
      </c>
    </row>
    <row r="184" spans="1:19">
      <c r="A184" s="15" t="str">
        <f>IF('实盘净值数据(iFinD）'!A184="","",'实盘净值数据(iFinD）'!A184)</f>
        <v/>
      </c>
      <c r="B184" s="13" t="str">
        <f>IF(OR('实盘净值数据(iFinD）'!$A184="",'实盘净值数据(iFinD）'!$B184=""),"",分期持仓明细!$AB$17*SUMPRODUCT(分期持仓明细!$B$17:$Y$17,'实盘净值数据(iFinD）'!$B184:$Y184/'实盘净值数据(iFinD）'!$B$20:$Y$20)*(1-实盘持仓初始配置!$Z$4)^(('实盘净值数据(iFinD）'!$A184-'实盘净值数据(iFinD）'!$A$6)/365))</f>
        <v/>
      </c>
      <c r="C184" s="16" t="str">
        <f t="shared" si="12"/>
        <v/>
      </c>
      <c r="D184" s="16" t="str">
        <f>IF(B184="","",B184/MAX(B$5:B184)-1)</f>
        <v/>
      </c>
      <c r="E184" s="13" t="str">
        <f>IF(OR('实盘净值数据(iFinD）'!$A184="",'实盘净值数据(iFinD）'!$B184=""),"",分期持仓明细!$AB$18*SUMPRODUCT(分期持仓明细!$B$18:$Y$18,'实盘净值数据(iFinD）'!$B184:$Y184/'实盘净值数据(iFinD）'!$B$20:$Y$20)*(1-实盘持仓初始配置!$Z$5)^(('实盘净值数据(iFinD）'!$A184-'实盘净值数据(iFinD）'!$A$5)/365))</f>
        <v/>
      </c>
      <c r="F184" s="16" t="str">
        <f t="shared" si="13"/>
        <v/>
      </c>
      <c r="G184" s="16" t="str">
        <f>IF(E184="","",E184/MAX(E$5:E184)-1)</f>
        <v/>
      </c>
      <c r="H184" s="13" t="str">
        <f>IF(OR('实盘净值数据(iFinD）'!$A184="",'实盘净值数据(iFinD）'!$B184=""),"",分期持仓明细!$AB$19*SUMPRODUCT(分期持仓明细!$B$19:$Y$19,'实盘净值数据(iFinD）'!$B184:$Y184/'实盘净值数据(iFinD）'!$B$20:$Y$20)*(1-实盘持仓初始配置!$Z$6)^(('实盘净值数据(iFinD）'!$A184-'实盘净值数据(iFinD）'!$A$7)/365))</f>
        <v/>
      </c>
      <c r="I184" s="16" t="str">
        <f t="shared" si="14"/>
        <v/>
      </c>
      <c r="J184" s="16" t="str">
        <f>IF(H184="","",H184/MAX(H$5:H184)-1)</f>
        <v/>
      </c>
      <c r="K184" s="13" t="str">
        <f>IF(OR('实盘净值数据(iFinD）'!$A184="",'实盘净值数据(iFinD）'!$B184="",'实盘净值数据(iFinD）'!$Z184="",'实盘净值数据(iFinD）'!$AA184=""),"",分期持仓明细!$AB$23*(SUMPRODUCT(分期持仓明细!$B$23:$Y$23,'实盘净值数据(iFinD）'!$B184:$Y184/'实盘净值数据(iFinD）'!$B$65:$Y$65)+SUMPRODUCT(分期持仓明细!$AC$23:$AD$23,'实盘净值数据(iFinD）'!$Z184:$AA184/'实盘净值数据(iFinD）'!$Z$65:$AA$65))*(1-实盘持仓初始配置!$Z$7)^(('实盘净值数据(iFinD）'!$A184-'实盘净值数据(iFinD）'!$A$8)/365))</f>
        <v/>
      </c>
      <c r="L184" s="16" t="str">
        <f t="shared" si="15"/>
        <v/>
      </c>
      <c r="M184" s="16" t="str">
        <f>IF(K184="","",K184/MAX(K$5:K184)-1)</f>
        <v/>
      </c>
      <c r="N184" s="13" t="str">
        <f>IF(OR('实盘净值数据(iFinD）'!$A184="",'实盘净值数据(iFinD）'!$B184="",'实盘净值数据(iFinD）'!$Z184="",'实盘净值数据(iFinD）'!$AA184=""),"",分期持仓明细!$AB$24*(SUMPRODUCT(分期持仓明细!$B$24:$Y$24,'实盘净值数据(iFinD）'!$B184:$Y184/'实盘净值数据(iFinD）'!$B$65:$Y$65)+SUMPRODUCT(分期持仓明细!$AC$24:$AD$24,'实盘净值数据(iFinD）'!$Z184:$AA184/'实盘净值数据(iFinD）'!$Z$65:$AA$65))*(1-实盘持仓初始配置!$Z$8)^(('实盘净值数据(iFinD）'!$A184-'实盘净值数据(iFinD）'!$A$5)/365))</f>
        <v/>
      </c>
      <c r="O184" s="16" t="str">
        <f t="shared" si="16"/>
        <v/>
      </c>
      <c r="P184" s="16" t="str">
        <f>IF(N184="","",N184/MAX(N$5:N184)-1)</f>
        <v/>
      </c>
      <c r="Q184" s="13" t="str">
        <f>IF(OR('实盘净值数据(iFinD）'!$A184="",'实盘净值数据(iFinD）'!$B184="",'实盘净值数据(iFinD）'!$Z184="",'实盘净值数据(iFinD）'!$AA184=""),"",分期持仓明细!$AB$25*(SUMPRODUCT(分期持仓明细!$B$25:$Y$25,'实盘净值数据(iFinD）'!$B184:$Y184/'实盘净值数据(iFinD）'!$B$65:$Y$65)+SUMPRODUCT(分期持仓明细!$AC$25:$AD$25,'实盘净值数据(iFinD）'!$Z184:$AA184/'实盘净值数据(iFinD）'!$Z$65:$AA$65))*(1-实盘持仓初始配置!$Z$9)^(('实盘净值数据(iFinD）'!$A184-'实盘净值数据(iFinD）'!$A$8)/365))</f>
        <v/>
      </c>
      <c r="R184" s="16" t="str">
        <f t="shared" si="17"/>
        <v/>
      </c>
      <c r="S184" s="16" t="str">
        <f>IF(Q184="","",Q184/MAX(Q$5:Q184)-1)</f>
        <v/>
      </c>
    </row>
    <row r="185" spans="1:19">
      <c r="A185" s="15" t="str">
        <f>IF('实盘净值数据(iFinD）'!A185="","",'实盘净值数据(iFinD）'!A185)</f>
        <v/>
      </c>
      <c r="B185" s="13" t="str">
        <f>IF(OR('实盘净值数据(iFinD）'!$A185="",'实盘净值数据(iFinD）'!$B185=""),"",分期持仓明细!$AB$17*SUMPRODUCT(分期持仓明细!$B$17:$Y$17,'实盘净值数据(iFinD）'!$B185:$Y185/'实盘净值数据(iFinD）'!$B$20:$Y$20)*(1-实盘持仓初始配置!$Z$4)^(('实盘净值数据(iFinD）'!$A185-'实盘净值数据(iFinD）'!$A$6)/365))</f>
        <v/>
      </c>
      <c r="C185" s="16" t="str">
        <f t="shared" si="12"/>
        <v/>
      </c>
      <c r="D185" s="16" t="str">
        <f>IF(B185="","",B185/MAX(B$5:B185)-1)</f>
        <v/>
      </c>
      <c r="E185" s="13" t="str">
        <f>IF(OR('实盘净值数据(iFinD）'!$A185="",'实盘净值数据(iFinD）'!$B185=""),"",分期持仓明细!$AB$18*SUMPRODUCT(分期持仓明细!$B$18:$Y$18,'实盘净值数据(iFinD）'!$B185:$Y185/'实盘净值数据(iFinD）'!$B$20:$Y$20)*(1-实盘持仓初始配置!$Z$5)^(('实盘净值数据(iFinD）'!$A185-'实盘净值数据(iFinD）'!$A$5)/365))</f>
        <v/>
      </c>
      <c r="F185" s="16" t="str">
        <f t="shared" si="13"/>
        <v/>
      </c>
      <c r="G185" s="16" t="str">
        <f>IF(E185="","",E185/MAX(E$5:E185)-1)</f>
        <v/>
      </c>
      <c r="H185" s="13" t="str">
        <f>IF(OR('实盘净值数据(iFinD）'!$A185="",'实盘净值数据(iFinD）'!$B185=""),"",分期持仓明细!$AB$19*SUMPRODUCT(分期持仓明细!$B$19:$Y$19,'实盘净值数据(iFinD）'!$B185:$Y185/'实盘净值数据(iFinD）'!$B$20:$Y$20)*(1-实盘持仓初始配置!$Z$6)^(('实盘净值数据(iFinD）'!$A185-'实盘净值数据(iFinD）'!$A$7)/365))</f>
        <v/>
      </c>
      <c r="I185" s="16" t="str">
        <f t="shared" si="14"/>
        <v/>
      </c>
      <c r="J185" s="16" t="str">
        <f>IF(H185="","",H185/MAX(H$5:H185)-1)</f>
        <v/>
      </c>
      <c r="K185" s="13" t="str">
        <f>IF(OR('实盘净值数据(iFinD）'!$A185="",'实盘净值数据(iFinD）'!$B185="",'实盘净值数据(iFinD）'!$Z185="",'实盘净值数据(iFinD）'!$AA185=""),"",分期持仓明细!$AB$23*(SUMPRODUCT(分期持仓明细!$B$23:$Y$23,'实盘净值数据(iFinD）'!$B185:$Y185/'实盘净值数据(iFinD）'!$B$65:$Y$65)+SUMPRODUCT(分期持仓明细!$AC$23:$AD$23,'实盘净值数据(iFinD）'!$Z185:$AA185/'实盘净值数据(iFinD）'!$Z$65:$AA$65))*(1-实盘持仓初始配置!$Z$7)^(('实盘净值数据(iFinD）'!$A185-'实盘净值数据(iFinD）'!$A$8)/365))</f>
        <v/>
      </c>
      <c r="L185" s="16" t="str">
        <f t="shared" si="15"/>
        <v/>
      </c>
      <c r="M185" s="16" t="str">
        <f>IF(K185="","",K185/MAX(K$5:K185)-1)</f>
        <v/>
      </c>
      <c r="N185" s="13" t="str">
        <f>IF(OR('实盘净值数据(iFinD）'!$A185="",'实盘净值数据(iFinD）'!$B185="",'实盘净值数据(iFinD）'!$Z185="",'实盘净值数据(iFinD）'!$AA185=""),"",分期持仓明细!$AB$24*(SUMPRODUCT(分期持仓明细!$B$24:$Y$24,'实盘净值数据(iFinD）'!$B185:$Y185/'实盘净值数据(iFinD）'!$B$65:$Y$65)+SUMPRODUCT(分期持仓明细!$AC$24:$AD$24,'实盘净值数据(iFinD）'!$Z185:$AA185/'实盘净值数据(iFinD）'!$Z$65:$AA$65))*(1-实盘持仓初始配置!$Z$8)^(('实盘净值数据(iFinD）'!$A185-'实盘净值数据(iFinD）'!$A$5)/365))</f>
        <v/>
      </c>
      <c r="O185" s="16" t="str">
        <f t="shared" si="16"/>
        <v/>
      </c>
      <c r="P185" s="16" t="str">
        <f>IF(N185="","",N185/MAX(N$5:N185)-1)</f>
        <v/>
      </c>
      <c r="Q185" s="13" t="str">
        <f>IF(OR('实盘净值数据(iFinD）'!$A185="",'实盘净值数据(iFinD）'!$B185="",'实盘净值数据(iFinD）'!$Z185="",'实盘净值数据(iFinD）'!$AA185=""),"",分期持仓明细!$AB$25*(SUMPRODUCT(分期持仓明细!$B$25:$Y$25,'实盘净值数据(iFinD）'!$B185:$Y185/'实盘净值数据(iFinD）'!$B$65:$Y$65)+SUMPRODUCT(分期持仓明细!$AC$25:$AD$25,'实盘净值数据(iFinD）'!$Z185:$AA185/'实盘净值数据(iFinD）'!$Z$65:$AA$65))*(1-实盘持仓初始配置!$Z$9)^(('实盘净值数据(iFinD）'!$A185-'实盘净值数据(iFinD）'!$A$8)/365))</f>
        <v/>
      </c>
      <c r="R185" s="16" t="str">
        <f t="shared" si="17"/>
        <v/>
      </c>
      <c r="S185" s="16" t="str">
        <f>IF(Q185="","",Q185/MAX(Q$5:Q185)-1)</f>
        <v/>
      </c>
    </row>
    <row r="186" spans="1:19">
      <c r="A186" s="15" t="str">
        <f>IF('实盘净值数据(iFinD）'!A186="","",'实盘净值数据(iFinD）'!A186)</f>
        <v/>
      </c>
      <c r="B186" s="13" t="str">
        <f>IF(OR('实盘净值数据(iFinD）'!$A186="",'实盘净值数据(iFinD）'!$B186=""),"",分期持仓明细!$AB$17*SUMPRODUCT(分期持仓明细!$B$17:$Y$17,'实盘净值数据(iFinD）'!$B186:$Y186/'实盘净值数据(iFinD）'!$B$20:$Y$20)*(1-实盘持仓初始配置!$Z$4)^(('实盘净值数据(iFinD）'!$A186-'实盘净值数据(iFinD）'!$A$6)/365))</f>
        <v/>
      </c>
      <c r="C186" s="16" t="str">
        <f t="shared" si="12"/>
        <v/>
      </c>
      <c r="D186" s="16" t="str">
        <f>IF(B186="","",B186/MAX(B$5:B186)-1)</f>
        <v/>
      </c>
      <c r="E186" s="13" t="str">
        <f>IF(OR('实盘净值数据(iFinD）'!$A186="",'实盘净值数据(iFinD）'!$B186=""),"",分期持仓明细!$AB$18*SUMPRODUCT(分期持仓明细!$B$18:$Y$18,'实盘净值数据(iFinD）'!$B186:$Y186/'实盘净值数据(iFinD）'!$B$20:$Y$20)*(1-实盘持仓初始配置!$Z$5)^(('实盘净值数据(iFinD）'!$A186-'实盘净值数据(iFinD）'!$A$5)/365))</f>
        <v/>
      </c>
      <c r="F186" s="16" t="str">
        <f t="shared" si="13"/>
        <v/>
      </c>
      <c r="G186" s="16" t="str">
        <f>IF(E186="","",E186/MAX(E$5:E186)-1)</f>
        <v/>
      </c>
      <c r="H186" s="13" t="str">
        <f>IF(OR('实盘净值数据(iFinD）'!$A186="",'实盘净值数据(iFinD）'!$B186=""),"",分期持仓明细!$AB$19*SUMPRODUCT(分期持仓明细!$B$19:$Y$19,'实盘净值数据(iFinD）'!$B186:$Y186/'实盘净值数据(iFinD）'!$B$20:$Y$20)*(1-实盘持仓初始配置!$Z$6)^(('实盘净值数据(iFinD）'!$A186-'实盘净值数据(iFinD）'!$A$7)/365))</f>
        <v/>
      </c>
      <c r="I186" s="16" t="str">
        <f t="shared" si="14"/>
        <v/>
      </c>
      <c r="J186" s="16" t="str">
        <f>IF(H186="","",H186/MAX(H$5:H186)-1)</f>
        <v/>
      </c>
      <c r="K186" s="13" t="str">
        <f>IF(OR('实盘净值数据(iFinD）'!$A186="",'实盘净值数据(iFinD）'!$B186="",'实盘净值数据(iFinD）'!$Z186="",'实盘净值数据(iFinD）'!$AA186=""),"",分期持仓明细!$AB$23*(SUMPRODUCT(分期持仓明细!$B$23:$Y$23,'实盘净值数据(iFinD）'!$B186:$Y186/'实盘净值数据(iFinD）'!$B$65:$Y$65)+SUMPRODUCT(分期持仓明细!$AC$23:$AD$23,'实盘净值数据(iFinD）'!$Z186:$AA186/'实盘净值数据(iFinD）'!$Z$65:$AA$65))*(1-实盘持仓初始配置!$Z$7)^(('实盘净值数据(iFinD）'!$A186-'实盘净值数据(iFinD）'!$A$8)/365))</f>
        <v/>
      </c>
      <c r="L186" s="16" t="str">
        <f t="shared" si="15"/>
        <v/>
      </c>
      <c r="M186" s="16" t="str">
        <f>IF(K186="","",K186/MAX(K$5:K186)-1)</f>
        <v/>
      </c>
      <c r="N186" s="13" t="str">
        <f>IF(OR('实盘净值数据(iFinD）'!$A186="",'实盘净值数据(iFinD）'!$B186="",'实盘净值数据(iFinD）'!$Z186="",'实盘净值数据(iFinD）'!$AA186=""),"",分期持仓明细!$AB$24*(SUMPRODUCT(分期持仓明细!$B$24:$Y$24,'实盘净值数据(iFinD）'!$B186:$Y186/'实盘净值数据(iFinD）'!$B$65:$Y$65)+SUMPRODUCT(分期持仓明细!$AC$24:$AD$24,'实盘净值数据(iFinD）'!$Z186:$AA186/'实盘净值数据(iFinD）'!$Z$65:$AA$65))*(1-实盘持仓初始配置!$Z$8)^(('实盘净值数据(iFinD）'!$A186-'实盘净值数据(iFinD）'!$A$5)/365))</f>
        <v/>
      </c>
      <c r="O186" s="16" t="str">
        <f t="shared" si="16"/>
        <v/>
      </c>
      <c r="P186" s="16" t="str">
        <f>IF(N186="","",N186/MAX(N$5:N186)-1)</f>
        <v/>
      </c>
      <c r="Q186" s="13" t="str">
        <f>IF(OR('实盘净值数据(iFinD）'!$A186="",'实盘净值数据(iFinD）'!$B186="",'实盘净值数据(iFinD）'!$Z186="",'实盘净值数据(iFinD）'!$AA186=""),"",分期持仓明细!$AB$25*(SUMPRODUCT(分期持仓明细!$B$25:$Y$25,'实盘净值数据(iFinD）'!$B186:$Y186/'实盘净值数据(iFinD）'!$B$65:$Y$65)+SUMPRODUCT(分期持仓明细!$AC$25:$AD$25,'实盘净值数据(iFinD）'!$Z186:$AA186/'实盘净值数据(iFinD）'!$Z$65:$AA$65))*(1-实盘持仓初始配置!$Z$9)^(('实盘净值数据(iFinD）'!$A186-'实盘净值数据(iFinD）'!$A$8)/365))</f>
        <v/>
      </c>
      <c r="R186" s="16" t="str">
        <f t="shared" si="17"/>
        <v/>
      </c>
      <c r="S186" s="16" t="str">
        <f>IF(Q186="","",Q186/MAX(Q$5:Q186)-1)</f>
        <v/>
      </c>
    </row>
    <row r="187" spans="1:19">
      <c r="A187" s="15" t="str">
        <f>IF('实盘净值数据(iFinD）'!A187="","",'实盘净值数据(iFinD）'!A187)</f>
        <v/>
      </c>
      <c r="B187" s="13" t="str">
        <f>IF(OR('实盘净值数据(iFinD）'!$A187="",'实盘净值数据(iFinD）'!$B187=""),"",分期持仓明细!$AB$17*SUMPRODUCT(分期持仓明细!$B$17:$Y$17,'实盘净值数据(iFinD）'!$B187:$Y187/'实盘净值数据(iFinD）'!$B$20:$Y$20)*(1-实盘持仓初始配置!$Z$4)^(('实盘净值数据(iFinD）'!$A187-'实盘净值数据(iFinD）'!$A$6)/365))</f>
        <v/>
      </c>
      <c r="C187" s="16" t="str">
        <f t="shared" si="12"/>
        <v/>
      </c>
      <c r="D187" s="16" t="str">
        <f>IF(B187="","",B187/MAX(B$5:B187)-1)</f>
        <v/>
      </c>
      <c r="E187" s="13" t="str">
        <f>IF(OR('实盘净值数据(iFinD）'!$A187="",'实盘净值数据(iFinD）'!$B187=""),"",分期持仓明细!$AB$18*SUMPRODUCT(分期持仓明细!$B$18:$Y$18,'实盘净值数据(iFinD）'!$B187:$Y187/'实盘净值数据(iFinD）'!$B$20:$Y$20)*(1-实盘持仓初始配置!$Z$5)^(('实盘净值数据(iFinD）'!$A187-'实盘净值数据(iFinD）'!$A$5)/365))</f>
        <v/>
      </c>
      <c r="F187" s="16" t="str">
        <f t="shared" si="13"/>
        <v/>
      </c>
      <c r="G187" s="16" t="str">
        <f>IF(E187="","",E187/MAX(E$5:E187)-1)</f>
        <v/>
      </c>
      <c r="H187" s="13" t="str">
        <f>IF(OR('实盘净值数据(iFinD）'!$A187="",'实盘净值数据(iFinD）'!$B187=""),"",分期持仓明细!$AB$19*SUMPRODUCT(分期持仓明细!$B$19:$Y$19,'实盘净值数据(iFinD）'!$B187:$Y187/'实盘净值数据(iFinD）'!$B$20:$Y$20)*(1-实盘持仓初始配置!$Z$6)^(('实盘净值数据(iFinD）'!$A187-'实盘净值数据(iFinD）'!$A$7)/365))</f>
        <v/>
      </c>
      <c r="I187" s="16" t="str">
        <f t="shared" si="14"/>
        <v/>
      </c>
      <c r="J187" s="16" t="str">
        <f>IF(H187="","",H187/MAX(H$5:H187)-1)</f>
        <v/>
      </c>
      <c r="K187" s="13" t="str">
        <f>IF(OR('实盘净值数据(iFinD）'!$A187="",'实盘净值数据(iFinD）'!$B187="",'实盘净值数据(iFinD）'!$Z187="",'实盘净值数据(iFinD）'!$AA187=""),"",分期持仓明细!$AB$23*(SUMPRODUCT(分期持仓明细!$B$23:$Y$23,'实盘净值数据(iFinD）'!$B187:$Y187/'实盘净值数据(iFinD）'!$B$65:$Y$65)+SUMPRODUCT(分期持仓明细!$AC$23:$AD$23,'实盘净值数据(iFinD）'!$Z187:$AA187/'实盘净值数据(iFinD）'!$Z$65:$AA$65))*(1-实盘持仓初始配置!$Z$7)^(('实盘净值数据(iFinD）'!$A187-'实盘净值数据(iFinD）'!$A$8)/365))</f>
        <v/>
      </c>
      <c r="L187" s="16" t="str">
        <f t="shared" si="15"/>
        <v/>
      </c>
      <c r="M187" s="16" t="str">
        <f>IF(K187="","",K187/MAX(K$5:K187)-1)</f>
        <v/>
      </c>
      <c r="N187" s="13" t="str">
        <f>IF(OR('实盘净值数据(iFinD）'!$A187="",'实盘净值数据(iFinD）'!$B187="",'实盘净值数据(iFinD）'!$Z187="",'实盘净值数据(iFinD）'!$AA187=""),"",分期持仓明细!$AB$24*(SUMPRODUCT(分期持仓明细!$B$24:$Y$24,'实盘净值数据(iFinD）'!$B187:$Y187/'实盘净值数据(iFinD）'!$B$65:$Y$65)+SUMPRODUCT(分期持仓明细!$AC$24:$AD$24,'实盘净值数据(iFinD）'!$Z187:$AA187/'实盘净值数据(iFinD）'!$Z$65:$AA$65))*(1-实盘持仓初始配置!$Z$8)^(('实盘净值数据(iFinD）'!$A187-'实盘净值数据(iFinD）'!$A$5)/365))</f>
        <v/>
      </c>
      <c r="O187" s="16" t="str">
        <f t="shared" si="16"/>
        <v/>
      </c>
      <c r="P187" s="16" t="str">
        <f>IF(N187="","",N187/MAX(N$5:N187)-1)</f>
        <v/>
      </c>
      <c r="Q187" s="13" t="str">
        <f>IF(OR('实盘净值数据(iFinD）'!$A187="",'实盘净值数据(iFinD）'!$B187="",'实盘净值数据(iFinD）'!$Z187="",'实盘净值数据(iFinD）'!$AA187=""),"",分期持仓明细!$AB$25*(SUMPRODUCT(分期持仓明细!$B$25:$Y$25,'实盘净值数据(iFinD）'!$B187:$Y187/'实盘净值数据(iFinD）'!$B$65:$Y$65)+SUMPRODUCT(分期持仓明细!$AC$25:$AD$25,'实盘净值数据(iFinD）'!$Z187:$AA187/'实盘净值数据(iFinD）'!$Z$65:$AA$65))*(1-实盘持仓初始配置!$Z$9)^(('实盘净值数据(iFinD）'!$A187-'实盘净值数据(iFinD）'!$A$8)/365))</f>
        <v/>
      </c>
      <c r="R187" s="16" t="str">
        <f t="shared" si="17"/>
        <v/>
      </c>
      <c r="S187" s="16" t="str">
        <f>IF(Q187="","",Q187/MAX(Q$5:Q187)-1)</f>
        <v/>
      </c>
    </row>
    <row r="188" spans="1:19">
      <c r="A188" s="15" t="str">
        <f>IF('实盘净值数据(iFinD）'!A188="","",'实盘净值数据(iFinD）'!A188)</f>
        <v/>
      </c>
      <c r="B188" s="13" t="str">
        <f>IF(OR('实盘净值数据(iFinD）'!$A188="",'实盘净值数据(iFinD）'!$B188=""),"",分期持仓明细!$AB$17*SUMPRODUCT(分期持仓明细!$B$17:$Y$17,'实盘净值数据(iFinD）'!$B188:$Y188/'实盘净值数据(iFinD）'!$B$20:$Y$20)*(1-实盘持仓初始配置!$Z$4)^(('实盘净值数据(iFinD）'!$A188-'实盘净值数据(iFinD）'!$A$6)/365))</f>
        <v/>
      </c>
      <c r="C188" s="16" t="str">
        <f t="shared" ref="C188:C251" si="18">IF(OR(B187="",B188=""),"",B188/B187-1)</f>
        <v/>
      </c>
      <c r="D188" s="16" t="str">
        <f>IF(B188="","",B188/MAX(B$5:B188)-1)</f>
        <v/>
      </c>
      <c r="E188" s="13" t="str">
        <f>IF(OR('实盘净值数据(iFinD）'!$A188="",'实盘净值数据(iFinD）'!$B188=""),"",分期持仓明细!$AB$18*SUMPRODUCT(分期持仓明细!$B$18:$Y$18,'实盘净值数据(iFinD）'!$B188:$Y188/'实盘净值数据(iFinD）'!$B$20:$Y$20)*(1-实盘持仓初始配置!$Z$5)^(('实盘净值数据(iFinD）'!$A188-'实盘净值数据(iFinD）'!$A$5)/365))</f>
        <v/>
      </c>
      <c r="F188" s="16" t="str">
        <f t="shared" ref="F188:F251" si="19">IF(OR(E187="",E188=""),"",E188/E187-1)</f>
        <v/>
      </c>
      <c r="G188" s="16" t="str">
        <f>IF(E188="","",E188/MAX(E$5:E188)-1)</f>
        <v/>
      </c>
      <c r="H188" s="13" t="str">
        <f>IF(OR('实盘净值数据(iFinD）'!$A188="",'实盘净值数据(iFinD）'!$B188=""),"",分期持仓明细!$AB$19*SUMPRODUCT(分期持仓明细!$B$19:$Y$19,'实盘净值数据(iFinD）'!$B188:$Y188/'实盘净值数据(iFinD）'!$B$20:$Y$20)*(1-实盘持仓初始配置!$Z$6)^(('实盘净值数据(iFinD）'!$A188-'实盘净值数据(iFinD）'!$A$7)/365))</f>
        <v/>
      </c>
      <c r="I188" s="16" t="str">
        <f t="shared" ref="I188:I251" si="20">IF(OR(H187="",H188=""),"",H188/H187-1)</f>
        <v/>
      </c>
      <c r="J188" s="16" t="str">
        <f>IF(H188="","",H188/MAX(H$5:H188)-1)</f>
        <v/>
      </c>
      <c r="K188" s="13" t="str">
        <f>IF(OR('实盘净值数据(iFinD）'!$A188="",'实盘净值数据(iFinD）'!$B188="",'实盘净值数据(iFinD）'!$Z188="",'实盘净值数据(iFinD）'!$AA188=""),"",分期持仓明细!$AB$23*(SUMPRODUCT(分期持仓明细!$B$23:$Y$23,'实盘净值数据(iFinD）'!$B188:$Y188/'实盘净值数据(iFinD）'!$B$65:$Y$65)+SUMPRODUCT(分期持仓明细!$AC$23:$AD$23,'实盘净值数据(iFinD）'!$Z188:$AA188/'实盘净值数据(iFinD）'!$Z$65:$AA$65))*(1-实盘持仓初始配置!$Z$7)^(('实盘净值数据(iFinD）'!$A188-'实盘净值数据(iFinD）'!$A$8)/365))</f>
        <v/>
      </c>
      <c r="L188" s="16" t="str">
        <f t="shared" ref="L188:L251" si="21">IF(OR(K187="",K188=""),"",K188/K187-1)</f>
        <v/>
      </c>
      <c r="M188" s="16" t="str">
        <f>IF(K188="","",K188/MAX(K$5:K188)-1)</f>
        <v/>
      </c>
      <c r="N188" s="13" t="str">
        <f>IF(OR('实盘净值数据(iFinD）'!$A188="",'实盘净值数据(iFinD）'!$B188="",'实盘净值数据(iFinD）'!$Z188="",'实盘净值数据(iFinD）'!$AA188=""),"",分期持仓明细!$AB$24*(SUMPRODUCT(分期持仓明细!$B$24:$Y$24,'实盘净值数据(iFinD）'!$B188:$Y188/'实盘净值数据(iFinD）'!$B$65:$Y$65)+SUMPRODUCT(分期持仓明细!$AC$24:$AD$24,'实盘净值数据(iFinD）'!$Z188:$AA188/'实盘净值数据(iFinD）'!$Z$65:$AA$65))*(1-实盘持仓初始配置!$Z$8)^(('实盘净值数据(iFinD）'!$A188-'实盘净值数据(iFinD）'!$A$5)/365))</f>
        <v/>
      </c>
      <c r="O188" s="16" t="str">
        <f t="shared" ref="O188:O251" si="22">IF(OR(N187="",N188=""),"",N188/N187-1)</f>
        <v/>
      </c>
      <c r="P188" s="16" t="str">
        <f>IF(N188="","",N188/MAX(N$5:N188)-1)</f>
        <v/>
      </c>
      <c r="Q188" s="13" t="str">
        <f>IF(OR('实盘净值数据(iFinD）'!$A188="",'实盘净值数据(iFinD）'!$B188="",'实盘净值数据(iFinD）'!$Z188="",'实盘净值数据(iFinD）'!$AA188=""),"",分期持仓明细!$AB$25*(SUMPRODUCT(分期持仓明细!$B$25:$Y$25,'实盘净值数据(iFinD）'!$B188:$Y188/'实盘净值数据(iFinD）'!$B$65:$Y$65)+SUMPRODUCT(分期持仓明细!$AC$25:$AD$25,'实盘净值数据(iFinD）'!$Z188:$AA188/'实盘净值数据(iFinD）'!$Z$65:$AA$65))*(1-实盘持仓初始配置!$Z$9)^(('实盘净值数据(iFinD）'!$A188-'实盘净值数据(iFinD）'!$A$8)/365))</f>
        <v/>
      </c>
      <c r="R188" s="16" t="str">
        <f t="shared" ref="R188:R251" si="23">IF(OR(Q187="",Q188=""),"",Q188/Q187-1)</f>
        <v/>
      </c>
      <c r="S188" s="16" t="str">
        <f>IF(Q188="","",Q188/MAX(Q$5:Q188)-1)</f>
        <v/>
      </c>
    </row>
    <row r="189" spans="1:19">
      <c r="A189" s="15" t="str">
        <f>IF('实盘净值数据(iFinD）'!A189="","",'实盘净值数据(iFinD）'!A189)</f>
        <v/>
      </c>
      <c r="B189" s="13" t="str">
        <f>IF(OR('实盘净值数据(iFinD）'!$A189="",'实盘净值数据(iFinD）'!$B189=""),"",分期持仓明细!$AB$17*SUMPRODUCT(分期持仓明细!$B$17:$Y$17,'实盘净值数据(iFinD）'!$B189:$Y189/'实盘净值数据(iFinD）'!$B$20:$Y$20)*(1-实盘持仓初始配置!$Z$4)^(('实盘净值数据(iFinD）'!$A189-'实盘净值数据(iFinD）'!$A$6)/365))</f>
        <v/>
      </c>
      <c r="C189" s="16" t="str">
        <f t="shared" si="18"/>
        <v/>
      </c>
      <c r="D189" s="16" t="str">
        <f>IF(B189="","",B189/MAX(B$5:B189)-1)</f>
        <v/>
      </c>
      <c r="E189" s="13" t="str">
        <f>IF(OR('实盘净值数据(iFinD）'!$A189="",'实盘净值数据(iFinD）'!$B189=""),"",分期持仓明细!$AB$18*SUMPRODUCT(分期持仓明细!$B$18:$Y$18,'实盘净值数据(iFinD）'!$B189:$Y189/'实盘净值数据(iFinD）'!$B$20:$Y$20)*(1-实盘持仓初始配置!$Z$5)^(('实盘净值数据(iFinD）'!$A189-'实盘净值数据(iFinD）'!$A$5)/365))</f>
        <v/>
      </c>
      <c r="F189" s="16" t="str">
        <f t="shared" si="19"/>
        <v/>
      </c>
      <c r="G189" s="16" t="str">
        <f>IF(E189="","",E189/MAX(E$5:E189)-1)</f>
        <v/>
      </c>
      <c r="H189" s="13" t="str">
        <f>IF(OR('实盘净值数据(iFinD）'!$A189="",'实盘净值数据(iFinD）'!$B189=""),"",分期持仓明细!$AB$19*SUMPRODUCT(分期持仓明细!$B$19:$Y$19,'实盘净值数据(iFinD）'!$B189:$Y189/'实盘净值数据(iFinD）'!$B$20:$Y$20)*(1-实盘持仓初始配置!$Z$6)^(('实盘净值数据(iFinD）'!$A189-'实盘净值数据(iFinD）'!$A$7)/365))</f>
        <v/>
      </c>
      <c r="I189" s="16" t="str">
        <f t="shared" si="20"/>
        <v/>
      </c>
      <c r="J189" s="16" t="str">
        <f>IF(H189="","",H189/MAX(H$5:H189)-1)</f>
        <v/>
      </c>
      <c r="K189" s="13" t="str">
        <f>IF(OR('实盘净值数据(iFinD）'!$A189="",'实盘净值数据(iFinD）'!$B189="",'实盘净值数据(iFinD）'!$Z189="",'实盘净值数据(iFinD）'!$AA189=""),"",分期持仓明细!$AB$23*(SUMPRODUCT(分期持仓明细!$B$23:$Y$23,'实盘净值数据(iFinD）'!$B189:$Y189/'实盘净值数据(iFinD）'!$B$65:$Y$65)+SUMPRODUCT(分期持仓明细!$AC$23:$AD$23,'实盘净值数据(iFinD）'!$Z189:$AA189/'实盘净值数据(iFinD）'!$Z$65:$AA$65))*(1-实盘持仓初始配置!$Z$7)^(('实盘净值数据(iFinD）'!$A189-'实盘净值数据(iFinD）'!$A$8)/365))</f>
        <v/>
      </c>
      <c r="L189" s="16" t="str">
        <f t="shared" si="21"/>
        <v/>
      </c>
      <c r="M189" s="16" t="str">
        <f>IF(K189="","",K189/MAX(K$5:K189)-1)</f>
        <v/>
      </c>
      <c r="N189" s="13" t="str">
        <f>IF(OR('实盘净值数据(iFinD）'!$A189="",'实盘净值数据(iFinD）'!$B189="",'实盘净值数据(iFinD）'!$Z189="",'实盘净值数据(iFinD）'!$AA189=""),"",分期持仓明细!$AB$24*(SUMPRODUCT(分期持仓明细!$B$24:$Y$24,'实盘净值数据(iFinD）'!$B189:$Y189/'实盘净值数据(iFinD）'!$B$65:$Y$65)+SUMPRODUCT(分期持仓明细!$AC$24:$AD$24,'实盘净值数据(iFinD）'!$Z189:$AA189/'实盘净值数据(iFinD）'!$Z$65:$AA$65))*(1-实盘持仓初始配置!$Z$8)^(('实盘净值数据(iFinD）'!$A189-'实盘净值数据(iFinD）'!$A$5)/365))</f>
        <v/>
      </c>
      <c r="O189" s="16" t="str">
        <f t="shared" si="22"/>
        <v/>
      </c>
      <c r="P189" s="16" t="str">
        <f>IF(N189="","",N189/MAX(N$5:N189)-1)</f>
        <v/>
      </c>
      <c r="Q189" s="13" t="str">
        <f>IF(OR('实盘净值数据(iFinD）'!$A189="",'实盘净值数据(iFinD）'!$B189="",'实盘净值数据(iFinD）'!$Z189="",'实盘净值数据(iFinD）'!$AA189=""),"",分期持仓明细!$AB$25*(SUMPRODUCT(分期持仓明细!$B$25:$Y$25,'实盘净值数据(iFinD）'!$B189:$Y189/'实盘净值数据(iFinD）'!$B$65:$Y$65)+SUMPRODUCT(分期持仓明细!$AC$25:$AD$25,'实盘净值数据(iFinD）'!$Z189:$AA189/'实盘净值数据(iFinD）'!$Z$65:$AA$65))*(1-实盘持仓初始配置!$Z$9)^(('实盘净值数据(iFinD）'!$A189-'实盘净值数据(iFinD）'!$A$8)/365))</f>
        <v/>
      </c>
      <c r="R189" s="16" t="str">
        <f t="shared" si="23"/>
        <v/>
      </c>
      <c r="S189" s="16" t="str">
        <f>IF(Q189="","",Q189/MAX(Q$5:Q189)-1)</f>
        <v/>
      </c>
    </row>
    <row r="190" spans="1:19">
      <c r="A190" s="15" t="str">
        <f>IF('实盘净值数据(iFinD）'!A190="","",'实盘净值数据(iFinD）'!A190)</f>
        <v/>
      </c>
      <c r="B190" s="13" t="str">
        <f>IF(OR('实盘净值数据(iFinD）'!$A190="",'实盘净值数据(iFinD）'!$B190=""),"",分期持仓明细!$AB$17*SUMPRODUCT(分期持仓明细!$B$17:$Y$17,'实盘净值数据(iFinD）'!$B190:$Y190/'实盘净值数据(iFinD）'!$B$20:$Y$20)*(1-实盘持仓初始配置!$Z$4)^(('实盘净值数据(iFinD）'!$A190-'实盘净值数据(iFinD）'!$A$6)/365))</f>
        <v/>
      </c>
      <c r="C190" s="16" t="str">
        <f t="shared" si="18"/>
        <v/>
      </c>
      <c r="D190" s="16" t="str">
        <f>IF(B190="","",B190/MAX(B$5:B190)-1)</f>
        <v/>
      </c>
      <c r="E190" s="13" t="str">
        <f>IF(OR('实盘净值数据(iFinD）'!$A190="",'实盘净值数据(iFinD）'!$B190=""),"",分期持仓明细!$AB$18*SUMPRODUCT(分期持仓明细!$B$18:$Y$18,'实盘净值数据(iFinD）'!$B190:$Y190/'实盘净值数据(iFinD）'!$B$20:$Y$20)*(1-实盘持仓初始配置!$Z$5)^(('实盘净值数据(iFinD）'!$A190-'实盘净值数据(iFinD）'!$A$5)/365))</f>
        <v/>
      </c>
      <c r="F190" s="16" t="str">
        <f t="shared" si="19"/>
        <v/>
      </c>
      <c r="G190" s="16" t="str">
        <f>IF(E190="","",E190/MAX(E$5:E190)-1)</f>
        <v/>
      </c>
      <c r="H190" s="13" t="str">
        <f>IF(OR('实盘净值数据(iFinD）'!$A190="",'实盘净值数据(iFinD）'!$B190=""),"",分期持仓明细!$AB$19*SUMPRODUCT(分期持仓明细!$B$19:$Y$19,'实盘净值数据(iFinD）'!$B190:$Y190/'实盘净值数据(iFinD）'!$B$20:$Y$20)*(1-实盘持仓初始配置!$Z$6)^(('实盘净值数据(iFinD）'!$A190-'实盘净值数据(iFinD）'!$A$7)/365))</f>
        <v/>
      </c>
      <c r="I190" s="16" t="str">
        <f t="shared" si="20"/>
        <v/>
      </c>
      <c r="J190" s="16" t="str">
        <f>IF(H190="","",H190/MAX(H$5:H190)-1)</f>
        <v/>
      </c>
      <c r="K190" s="13" t="str">
        <f>IF(OR('实盘净值数据(iFinD）'!$A190="",'实盘净值数据(iFinD）'!$B190="",'实盘净值数据(iFinD）'!$Z190="",'实盘净值数据(iFinD）'!$AA190=""),"",分期持仓明细!$AB$23*(SUMPRODUCT(分期持仓明细!$B$23:$Y$23,'实盘净值数据(iFinD）'!$B190:$Y190/'实盘净值数据(iFinD）'!$B$65:$Y$65)+SUMPRODUCT(分期持仓明细!$AC$23:$AD$23,'实盘净值数据(iFinD）'!$Z190:$AA190/'实盘净值数据(iFinD）'!$Z$65:$AA$65))*(1-实盘持仓初始配置!$Z$7)^(('实盘净值数据(iFinD）'!$A190-'实盘净值数据(iFinD）'!$A$8)/365))</f>
        <v/>
      </c>
      <c r="L190" s="16" t="str">
        <f t="shared" si="21"/>
        <v/>
      </c>
      <c r="M190" s="16" t="str">
        <f>IF(K190="","",K190/MAX(K$5:K190)-1)</f>
        <v/>
      </c>
      <c r="N190" s="13" t="str">
        <f>IF(OR('实盘净值数据(iFinD）'!$A190="",'实盘净值数据(iFinD）'!$B190="",'实盘净值数据(iFinD）'!$Z190="",'实盘净值数据(iFinD）'!$AA190=""),"",分期持仓明细!$AB$24*(SUMPRODUCT(分期持仓明细!$B$24:$Y$24,'实盘净值数据(iFinD）'!$B190:$Y190/'实盘净值数据(iFinD）'!$B$65:$Y$65)+SUMPRODUCT(分期持仓明细!$AC$24:$AD$24,'实盘净值数据(iFinD）'!$Z190:$AA190/'实盘净值数据(iFinD）'!$Z$65:$AA$65))*(1-实盘持仓初始配置!$Z$8)^(('实盘净值数据(iFinD）'!$A190-'实盘净值数据(iFinD）'!$A$5)/365))</f>
        <v/>
      </c>
      <c r="O190" s="16" t="str">
        <f t="shared" si="22"/>
        <v/>
      </c>
      <c r="P190" s="16" t="str">
        <f>IF(N190="","",N190/MAX(N$5:N190)-1)</f>
        <v/>
      </c>
      <c r="Q190" s="13" t="str">
        <f>IF(OR('实盘净值数据(iFinD）'!$A190="",'实盘净值数据(iFinD）'!$B190="",'实盘净值数据(iFinD）'!$Z190="",'实盘净值数据(iFinD）'!$AA190=""),"",分期持仓明细!$AB$25*(SUMPRODUCT(分期持仓明细!$B$25:$Y$25,'实盘净值数据(iFinD）'!$B190:$Y190/'实盘净值数据(iFinD）'!$B$65:$Y$65)+SUMPRODUCT(分期持仓明细!$AC$25:$AD$25,'实盘净值数据(iFinD）'!$Z190:$AA190/'实盘净值数据(iFinD）'!$Z$65:$AA$65))*(1-实盘持仓初始配置!$Z$9)^(('实盘净值数据(iFinD）'!$A190-'实盘净值数据(iFinD）'!$A$8)/365))</f>
        <v/>
      </c>
      <c r="R190" s="16" t="str">
        <f t="shared" si="23"/>
        <v/>
      </c>
      <c r="S190" s="16" t="str">
        <f>IF(Q190="","",Q190/MAX(Q$5:Q190)-1)</f>
        <v/>
      </c>
    </row>
    <row r="191" spans="1:19">
      <c r="A191" s="15" t="str">
        <f>IF('实盘净值数据(iFinD）'!A191="","",'实盘净值数据(iFinD）'!A191)</f>
        <v/>
      </c>
      <c r="B191" s="13" t="str">
        <f>IF(OR('实盘净值数据(iFinD）'!$A191="",'实盘净值数据(iFinD）'!$B191=""),"",分期持仓明细!$AB$17*SUMPRODUCT(分期持仓明细!$B$17:$Y$17,'实盘净值数据(iFinD）'!$B191:$Y191/'实盘净值数据(iFinD）'!$B$20:$Y$20)*(1-实盘持仓初始配置!$Z$4)^(('实盘净值数据(iFinD）'!$A191-'实盘净值数据(iFinD）'!$A$6)/365))</f>
        <v/>
      </c>
      <c r="C191" s="16" t="str">
        <f t="shared" si="18"/>
        <v/>
      </c>
      <c r="D191" s="16" t="str">
        <f>IF(B191="","",B191/MAX(B$5:B191)-1)</f>
        <v/>
      </c>
      <c r="E191" s="13" t="str">
        <f>IF(OR('实盘净值数据(iFinD）'!$A191="",'实盘净值数据(iFinD）'!$B191=""),"",分期持仓明细!$AB$18*SUMPRODUCT(分期持仓明细!$B$18:$Y$18,'实盘净值数据(iFinD）'!$B191:$Y191/'实盘净值数据(iFinD）'!$B$20:$Y$20)*(1-实盘持仓初始配置!$Z$5)^(('实盘净值数据(iFinD）'!$A191-'实盘净值数据(iFinD）'!$A$5)/365))</f>
        <v/>
      </c>
      <c r="F191" s="16" t="str">
        <f t="shared" si="19"/>
        <v/>
      </c>
      <c r="G191" s="16" t="str">
        <f>IF(E191="","",E191/MAX(E$5:E191)-1)</f>
        <v/>
      </c>
      <c r="H191" s="13" t="str">
        <f>IF(OR('实盘净值数据(iFinD）'!$A191="",'实盘净值数据(iFinD）'!$B191=""),"",分期持仓明细!$AB$19*SUMPRODUCT(分期持仓明细!$B$19:$Y$19,'实盘净值数据(iFinD）'!$B191:$Y191/'实盘净值数据(iFinD）'!$B$20:$Y$20)*(1-实盘持仓初始配置!$Z$6)^(('实盘净值数据(iFinD）'!$A191-'实盘净值数据(iFinD）'!$A$7)/365))</f>
        <v/>
      </c>
      <c r="I191" s="16" t="str">
        <f t="shared" si="20"/>
        <v/>
      </c>
      <c r="J191" s="16" t="str">
        <f>IF(H191="","",H191/MAX(H$5:H191)-1)</f>
        <v/>
      </c>
      <c r="K191" s="13" t="str">
        <f>IF(OR('实盘净值数据(iFinD）'!$A191="",'实盘净值数据(iFinD）'!$B191="",'实盘净值数据(iFinD）'!$Z191="",'实盘净值数据(iFinD）'!$AA191=""),"",分期持仓明细!$AB$23*(SUMPRODUCT(分期持仓明细!$B$23:$Y$23,'实盘净值数据(iFinD）'!$B191:$Y191/'实盘净值数据(iFinD）'!$B$65:$Y$65)+SUMPRODUCT(分期持仓明细!$AC$23:$AD$23,'实盘净值数据(iFinD）'!$Z191:$AA191/'实盘净值数据(iFinD）'!$Z$65:$AA$65))*(1-实盘持仓初始配置!$Z$7)^(('实盘净值数据(iFinD）'!$A191-'实盘净值数据(iFinD）'!$A$8)/365))</f>
        <v/>
      </c>
      <c r="L191" s="16" t="str">
        <f t="shared" si="21"/>
        <v/>
      </c>
      <c r="M191" s="16" t="str">
        <f>IF(K191="","",K191/MAX(K$5:K191)-1)</f>
        <v/>
      </c>
      <c r="N191" s="13" t="str">
        <f>IF(OR('实盘净值数据(iFinD）'!$A191="",'实盘净值数据(iFinD）'!$B191="",'实盘净值数据(iFinD）'!$Z191="",'实盘净值数据(iFinD）'!$AA191=""),"",分期持仓明细!$AB$24*(SUMPRODUCT(分期持仓明细!$B$24:$Y$24,'实盘净值数据(iFinD）'!$B191:$Y191/'实盘净值数据(iFinD）'!$B$65:$Y$65)+SUMPRODUCT(分期持仓明细!$AC$24:$AD$24,'实盘净值数据(iFinD）'!$Z191:$AA191/'实盘净值数据(iFinD）'!$Z$65:$AA$65))*(1-实盘持仓初始配置!$Z$8)^(('实盘净值数据(iFinD）'!$A191-'实盘净值数据(iFinD）'!$A$5)/365))</f>
        <v/>
      </c>
      <c r="O191" s="16" t="str">
        <f t="shared" si="22"/>
        <v/>
      </c>
      <c r="P191" s="16" t="str">
        <f>IF(N191="","",N191/MAX(N$5:N191)-1)</f>
        <v/>
      </c>
      <c r="Q191" s="13" t="str">
        <f>IF(OR('实盘净值数据(iFinD）'!$A191="",'实盘净值数据(iFinD）'!$B191="",'实盘净值数据(iFinD）'!$Z191="",'实盘净值数据(iFinD）'!$AA191=""),"",分期持仓明细!$AB$25*(SUMPRODUCT(分期持仓明细!$B$25:$Y$25,'实盘净值数据(iFinD）'!$B191:$Y191/'实盘净值数据(iFinD）'!$B$65:$Y$65)+SUMPRODUCT(分期持仓明细!$AC$25:$AD$25,'实盘净值数据(iFinD）'!$Z191:$AA191/'实盘净值数据(iFinD）'!$Z$65:$AA$65))*(1-实盘持仓初始配置!$Z$9)^(('实盘净值数据(iFinD）'!$A191-'实盘净值数据(iFinD）'!$A$8)/365))</f>
        <v/>
      </c>
      <c r="R191" s="16" t="str">
        <f t="shared" si="23"/>
        <v/>
      </c>
      <c r="S191" s="16" t="str">
        <f>IF(Q191="","",Q191/MAX(Q$5:Q191)-1)</f>
        <v/>
      </c>
    </row>
    <row r="192" spans="1:19">
      <c r="A192" s="15" t="str">
        <f>IF('实盘净值数据(iFinD）'!A192="","",'实盘净值数据(iFinD）'!A192)</f>
        <v/>
      </c>
      <c r="B192" s="13" t="str">
        <f>IF(OR('实盘净值数据(iFinD）'!$A192="",'实盘净值数据(iFinD）'!$B192=""),"",分期持仓明细!$AB$17*SUMPRODUCT(分期持仓明细!$B$17:$Y$17,'实盘净值数据(iFinD）'!$B192:$Y192/'实盘净值数据(iFinD）'!$B$20:$Y$20)*(1-实盘持仓初始配置!$Z$4)^(('实盘净值数据(iFinD）'!$A192-'实盘净值数据(iFinD）'!$A$6)/365))</f>
        <v/>
      </c>
      <c r="C192" s="16" t="str">
        <f t="shared" si="18"/>
        <v/>
      </c>
      <c r="D192" s="16" t="str">
        <f>IF(B192="","",B192/MAX(B$5:B192)-1)</f>
        <v/>
      </c>
      <c r="E192" s="13" t="str">
        <f>IF(OR('实盘净值数据(iFinD）'!$A192="",'实盘净值数据(iFinD）'!$B192=""),"",分期持仓明细!$AB$18*SUMPRODUCT(分期持仓明细!$B$18:$Y$18,'实盘净值数据(iFinD）'!$B192:$Y192/'实盘净值数据(iFinD）'!$B$20:$Y$20)*(1-实盘持仓初始配置!$Z$5)^(('实盘净值数据(iFinD）'!$A192-'实盘净值数据(iFinD）'!$A$5)/365))</f>
        <v/>
      </c>
      <c r="F192" s="16" t="str">
        <f t="shared" si="19"/>
        <v/>
      </c>
      <c r="G192" s="16" t="str">
        <f>IF(E192="","",E192/MAX(E$5:E192)-1)</f>
        <v/>
      </c>
      <c r="H192" s="13" t="str">
        <f>IF(OR('实盘净值数据(iFinD）'!$A192="",'实盘净值数据(iFinD）'!$B192=""),"",分期持仓明细!$AB$19*SUMPRODUCT(分期持仓明细!$B$19:$Y$19,'实盘净值数据(iFinD）'!$B192:$Y192/'实盘净值数据(iFinD）'!$B$20:$Y$20)*(1-实盘持仓初始配置!$Z$6)^(('实盘净值数据(iFinD）'!$A192-'实盘净值数据(iFinD）'!$A$7)/365))</f>
        <v/>
      </c>
      <c r="I192" s="16" t="str">
        <f t="shared" si="20"/>
        <v/>
      </c>
      <c r="J192" s="16" t="str">
        <f>IF(H192="","",H192/MAX(H$5:H192)-1)</f>
        <v/>
      </c>
      <c r="K192" s="13" t="str">
        <f>IF(OR('实盘净值数据(iFinD）'!$A192="",'实盘净值数据(iFinD）'!$B192="",'实盘净值数据(iFinD）'!$Z192="",'实盘净值数据(iFinD）'!$AA192=""),"",分期持仓明细!$AB$23*(SUMPRODUCT(分期持仓明细!$B$23:$Y$23,'实盘净值数据(iFinD）'!$B192:$Y192/'实盘净值数据(iFinD）'!$B$65:$Y$65)+SUMPRODUCT(分期持仓明细!$AC$23:$AD$23,'实盘净值数据(iFinD）'!$Z192:$AA192/'实盘净值数据(iFinD）'!$Z$65:$AA$65))*(1-实盘持仓初始配置!$Z$7)^(('实盘净值数据(iFinD）'!$A192-'实盘净值数据(iFinD）'!$A$8)/365))</f>
        <v/>
      </c>
      <c r="L192" s="16" t="str">
        <f t="shared" si="21"/>
        <v/>
      </c>
      <c r="M192" s="16" t="str">
        <f>IF(K192="","",K192/MAX(K$5:K192)-1)</f>
        <v/>
      </c>
      <c r="N192" s="13" t="str">
        <f>IF(OR('实盘净值数据(iFinD）'!$A192="",'实盘净值数据(iFinD）'!$B192="",'实盘净值数据(iFinD）'!$Z192="",'实盘净值数据(iFinD）'!$AA192=""),"",分期持仓明细!$AB$24*(SUMPRODUCT(分期持仓明细!$B$24:$Y$24,'实盘净值数据(iFinD）'!$B192:$Y192/'实盘净值数据(iFinD）'!$B$65:$Y$65)+SUMPRODUCT(分期持仓明细!$AC$24:$AD$24,'实盘净值数据(iFinD）'!$Z192:$AA192/'实盘净值数据(iFinD）'!$Z$65:$AA$65))*(1-实盘持仓初始配置!$Z$8)^(('实盘净值数据(iFinD）'!$A192-'实盘净值数据(iFinD）'!$A$5)/365))</f>
        <v/>
      </c>
      <c r="O192" s="16" t="str">
        <f t="shared" si="22"/>
        <v/>
      </c>
      <c r="P192" s="16" t="str">
        <f>IF(N192="","",N192/MAX(N$5:N192)-1)</f>
        <v/>
      </c>
      <c r="Q192" s="13" t="str">
        <f>IF(OR('实盘净值数据(iFinD）'!$A192="",'实盘净值数据(iFinD）'!$B192="",'实盘净值数据(iFinD）'!$Z192="",'实盘净值数据(iFinD）'!$AA192=""),"",分期持仓明细!$AB$25*(SUMPRODUCT(分期持仓明细!$B$25:$Y$25,'实盘净值数据(iFinD）'!$B192:$Y192/'实盘净值数据(iFinD）'!$B$65:$Y$65)+SUMPRODUCT(分期持仓明细!$AC$25:$AD$25,'实盘净值数据(iFinD）'!$Z192:$AA192/'实盘净值数据(iFinD）'!$Z$65:$AA$65))*(1-实盘持仓初始配置!$Z$9)^(('实盘净值数据(iFinD）'!$A192-'实盘净值数据(iFinD）'!$A$8)/365))</f>
        <v/>
      </c>
      <c r="R192" s="16" t="str">
        <f t="shared" si="23"/>
        <v/>
      </c>
      <c r="S192" s="16" t="str">
        <f>IF(Q192="","",Q192/MAX(Q$5:Q192)-1)</f>
        <v/>
      </c>
    </row>
    <row r="193" spans="1:19">
      <c r="A193" s="15" t="str">
        <f>IF('实盘净值数据(iFinD）'!A193="","",'实盘净值数据(iFinD）'!A193)</f>
        <v/>
      </c>
      <c r="B193" s="13" t="str">
        <f>IF(OR('实盘净值数据(iFinD）'!$A193="",'实盘净值数据(iFinD）'!$B193=""),"",分期持仓明细!$AB$17*SUMPRODUCT(分期持仓明细!$B$17:$Y$17,'实盘净值数据(iFinD）'!$B193:$Y193/'实盘净值数据(iFinD）'!$B$20:$Y$20)*(1-实盘持仓初始配置!$Z$4)^(('实盘净值数据(iFinD）'!$A193-'实盘净值数据(iFinD）'!$A$6)/365))</f>
        <v/>
      </c>
      <c r="C193" s="16" t="str">
        <f t="shared" si="18"/>
        <v/>
      </c>
      <c r="D193" s="16" t="str">
        <f>IF(B193="","",B193/MAX(B$5:B193)-1)</f>
        <v/>
      </c>
      <c r="E193" s="13" t="str">
        <f>IF(OR('实盘净值数据(iFinD）'!$A193="",'实盘净值数据(iFinD）'!$B193=""),"",分期持仓明细!$AB$18*SUMPRODUCT(分期持仓明细!$B$18:$Y$18,'实盘净值数据(iFinD）'!$B193:$Y193/'实盘净值数据(iFinD）'!$B$20:$Y$20)*(1-实盘持仓初始配置!$Z$5)^(('实盘净值数据(iFinD）'!$A193-'实盘净值数据(iFinD）'!$A$5)/365))</f>
        <v/>
      </c>
      <c r="F193" s="16" t="str">
        <f t="shared" si="19"/>
        <v/>
      </c>
      <c r="G193" s="16" t="str">
        <f>IF(E193="","",E193/MAX(E$5:E193)-1)</f>
        <v/>
      </c>
      <c r="H193" s="13" t="str">
        <f>IF(OR('实盘净值数据(iFinD）'!$A193="",'实盘净值数据(iFinD）'!$B193=""),"",分期持仓明细!$AB$19*SUMPRODUCT(分期持仓明细!$B$19:$Y$19,'实盘净值数据(iFinD）'!$B193:$Y193/'实盘净值数据(iFinD）'!$B$20:$Y$20)*(1-实盘持仓初始配置!$Z$6)^(('实盘净值数据(iFinD）'!$A193-'实盘净值数据(iFinD）'!$A$7)/365))</f>
        <v/>
      </c>
      <c r="I193" s="16" t="str">
        <f t="shared" si="20"/>
        <v/>
      </c>
      <c r="J193" s="16" t="str">
        <f>IF(H193="","",H193/MAX(H$5:H193)-1)</f>
        <v/>
      </c>
      <c r="K193" s="13" t="str">
        <f>IF(OR('实盘净值数据(iFinD）'!$A193="",'实盘净值数据(iFinD）'!$B193="",'实盘净值数据(iFinD）'!$Z193="",'实盘净值数据(iFinD）'!$AA193=""),"",分期持仓明细!$AB$23*(SUMPRODUCT(分期持仓明细!$B$23:$Y$23,'实盘净值数据(iFinD）'!$B193:$Y193/'实盘净值数据(iFinD）'!$B$65:$Y$65)+SUMPRODUCT(分期持仓明细!$AC$23:$AD$23,'实盘净值数据(iFinD）'!$Z193:$AA193/'实盘净值数据(iFinD）'!$Z$65:$AA$65))*(1-实盘持仓初始配置!$Z$7)^(('实盘净值数据(iFinD）'!$A193-'实盘净值数据(iFinD）'!$A$8)/365))</f>
        <v/>
      </c>
      <c r="L193" s="16" t="str">
        <f t="shared" si="21"/>
        <v/>
      </c>
      <c r="M193" s="16" t="str">
        <f>IF(K193="","",K193/MAX(K$5:K193)-1)</f>
        <v/>
      </c>
      <c r="N193" s="13" t="str">
        <f>IF(OR('实盘净值数据(iFinD）'!$A193="",'实盘净值数据(iFinD）'!$B193="",'实盘净值数据(iFinD）'!$Z193="",'实盘净值数据(iFinD）'!$AA193=""),"",分期持仓明细!$AB$24*(SUMPRODUCT(分期持仓明细!$B$24:$Y$24,'实盘净值数据(iFinD）'!$B193:$Y193/'实盘净值数据(iFinD）'!$B$65:$Y$65)+SUMPRODUCT(分期持仓明细!$AC$24:$AD$24,'实盘净值数据(iFinD）'!$Z193:$AA193/'实盘净值数据(iFinD）'!$Z$65:$AA$65))*(1-实盘持仓初始配置!$Z$8)^(('实盘净值数据(iFinD）'!$A193-'实盘净值数据(iFinD）'!$A$5)/365))</f>
        <v/>
      </c>
      <c r="O193" s="16" t="str">
        <f t="shared" si="22"/>
        <v/>
      </c>
      <c r="P193" s="16" t="str">
        <f>IF(N193="","",N193/MAX(N$5:N193)-1)</f>
        <v/>
      </c>
      <c r="Q193" s="13" t="str">
        <f>IF(OR('实盘净值数据(iFinD）'!$A193="",'实盘净值数据(iFinD）'!$B193="",'实盘净值数据(iFinD）'!$Z193="",'实盘净值数据(iFinD）'!$AA193=""),"",分期持仓明细!$AB$25*(SUMPRODUCT(分期持仓明细!$B$25:$Y$25,'实盘净值数据(iFinD）'!$B193:$Y193/'实盘净值数据(iFinD）'!$B$65:$Y$65)+SUMPRODUCT(分期持仓明细!$AC$25:$AD$25,'实盘净值数据(iFinD）'!$Z193:$AA193/'实盘净值数据(iFinD）'!$Z$65:$AA$65))*(1-实盘持仓初始配置!$Z$9)^(('实盘净值数据(iFinD）'!$A193-'实盘净值数据(iFinD）'!$A$8)/365))</f>
        <v/>
      </c>
      <c r="R193" s="16" t="str">
        <f t="shared" si="23"/>
        <v/>
      </c>
      <c r="S193" s="16" t="str">
        <f>IF(Q193="","",Q193/MAX(Q$5:Q193)-1)</f>
        <v/>
      </c>
    </row>
    <row r="194" spans="1:19">
      <c r="A194" s="15" t="str">
        <f>IF('实盘净值数据(iFinD）'!A194="","",'实盘净值数据(iFinD）'!A194)</f>
        <v/>
      </c>
      <c r="B194" s="13" t="str">
        <f>IF(OR('实盘净值数据(iFinD）'!$A194="",'实盘净值数据(iFinD）'!$B194=""),"",分期持仓明细!$AB$17*SUMPRODUCT(分期持仓明细!$B$17:$Y$17,'实盘净值数据(iFinD）'!$B194:$Y194/'实盘净值数据(iFinD）'!$B$20:$Y$20)*(1-实盘持仓初始配置!$Z$4)^(('实盘净值数据(iFinD）'!$A194-'实盘净值数据(iFinD）'!$A$6)/365))</f>
        <v/>
      </c>
      <c r="C194" s="16" t="str">
        <f t="shared" si="18"/>
        <v/>
      </c>
      <c r="D194" s="16" t="str">
        <f>IF(B194="","",B194/MAX(B$5:B194)-1)</f>
        <v/>
      </c>
      <c r="E194" s="13" t="str">
        <f>IF(OR('实盘净值数据(iFinD）'!$A194="",'实盘净值数据(iFinD）'!$B194=""),"",分期持仓明细!$AB$18*SUMPRODUCT(分期持仓明细!$B$18:$Y$18,'实盘净值数据(iFinD）'!$B194:$Y194/'实盘净值数据(iFinD）'!$B$20:$Y$20)*(1-实盘持仓初始配置!$Z$5)^(('实盘净值数据(iFinD）'!$A194-'实盘净值数据(iFinD）'!$A$5)/365))</f>
        <v/>
      </c>
      <c r="F194" s="16" t="str">
        <f t="shared" si="19"/>
        <v/>
      </c>
      <c r="G194" s="16" t="str">
        <f>IF(E194="","",E194/MAX(E$5:E194)-1)</f>
        <v/>
      </c>
      <c r="H194" s="13" t="str">
        <f>IF(OR('实盘净值数据(iFinD）'!$A194="",'实盘净值数据(iFinD）'!$B194=""),"",分期持仓明细!$AB$19*SUMPRODUCT(分期持仓明细!$B$19:$Y$19,'实盘净值数据(iFinD）'!$B194:$Y194/'实盘净值数据(iFinD）'!$B$20:$Y$20)*(1-实盘持仓初始配置!$Z$6)^(('实盘净值数据(iFinD）'!$A194-'实盘净值数据(iFinD）'!$A$7)/365))</f>
        <v/>
      </c>
      <c r="I194" s="16" t="str">
        <f t="shared" si="20"/>
        <v/>
      </c>
      <c r="J194" s="16" t="str">
        <f>IF(H194="","",H194/MAX(H$5:H194)-1)</f>
        <v/>
      </c>
      <c r="K194" s="13" t="str">
        <f>IF(OR('实盘净值数据(iFinD）'!$A194="",'实盘净值数据(iFinD）'!$B194="",'实盘净值数据(iFinD）'!$Z194="",'实盘净值数据(iFinD）'!$AA194=""),"",分期持仓明细!$AB$23*(SUMPRODUCT(分期持仓明细!$B$23:$Y$23,'实盘净值数据(iFinD）'!$B194:$Y194/'实盘净值数据(iFinD）'!$B$65:$Y$65)+SUMPRODUCT(分期持仓明细!$AC$23:$AD$23,'实盘净值数据(iFinD）'!$Z194:$AA194/'实盘净值数据(iFinD）'!$Z$65:$AA$65))*(1-实盘持仓初始配置!$Z$7)^(('实盘净值数据(iFinD）'!$A194-'实盘净值数据(iFinD）'!$A$8)/365))</f>
        <v/>
      </c>
      <c r="L194" s="16" t="str">
        <f t="shared" si="21"/>
        <v/>
      </c>
      <c r="M194" s="16" t="str">
        <f>IF(K194="","",K194/MAX(K$5:K194)-1)</f>
        <v/>
      </c>
      <c r="N194" s="13" t="str">
        <f>IF(OR('实盘净值数据(iFinD）'!$A194="",'实盘净值数据(iFinD）'!$B194="",'实盘净值数据(iFinD）'!$Z194="",'实盘净值数据(iFinD）'!$AA194=""),"",分期持仓明细!$AB$24*(SUMPRODUCT(分期持仓明细!$B$24:$Y$24,'实盘净值数据(iFinD）'!$B194:$Y194/'实盘净值数据(iFinD）'!$B$65:$Y$65)+SUMPRODUCT(分期持仓明细!$AC$24:$AD$24,'实盘净值数据(iFinD）'!$Z194:$AA194/'实盘净值数据(iFinD）'!$Z$65:$AA$65))*(1-实盘持仓初始配置!$Z$8)^(('实盘净值数据(iFinD）'!$A194-'实盘净值数据(iFinD）'!$A$5)/365))</f>
        <v/>
      </c>
      <c r="O194" s="16" t="str">
        <f t="shared" si="22"/>
        <v/>
      </c>
      <c r="P194" s="16" t="str">
        <f>IF(N194="","",N194/MAX(N$5:N194)-1)</f>
        <v/>
      </c>
      <c r="Q194" s="13" t="str">
        <f>IF(OR('实盘净值数据(iFinD）'!$A194="",'实盘净值数据(iFinD）'!$B194="",'实盘净值数据(iFinD）'!$Z194="",'实盘净值数据(iFinD）'!$AA194=""),"",分期持仓明细!$AB$25*(SUMPRODUCT(分期持仓明细!$B$25:$Y$25,'实盘净值数据(iFinD）'!$B194:$Y194/'实盘净值数据(iFinD）'!$B$65:$Y$65)+SUMPRODUCT(分期持仓明细!$AC$25:$AD$25,'实盘净值数据(iFinD）'!$Z194:$AA194/'实盘净值数据(iFinD）'!$Z$65:$AA$65))*(1-实盘持仓初始配置!$Z$9)^(('实盘净值数据(iFinD）'!$A194-'实盘净值数据(iFinD）'!$A$8)/365))</f>
        <v/>
      </c>
      <c r="R194" s="16" t="str">
        <f t="shared" si="23"/>
        <v/>
      </c>
      <c r="S194" s="16" t="str">
        <f>IF(Q194="","",Q194/MAX(Q$5:Q194)-1)</f>
        <v/>
      </c>
    </row>
    <row r="195" spans="1:19">
      <c r="A195" s="15" t="str">
        <f>IF('实盘净值数据(iFinD）'!A195="","",'实盘净值数据(iFinD）'!A195)</f>
        <v/>
      </c>
      <c r="B195" s="13" t="str">
        <f>IF(OR('实盘净值数据(iFinD）'!$A195="",'实盘净值数据(iFinD）'!$B195=""),"",分期持仓明细!$AB$17*SUMPRODUCT(分期持仓明细!$B$17:$Y$17,'实盘净值数据(iFinD）'!$B195:$Y195/'实盘净值数据(iFinD）'!$B$20:$Y$20)*(1-实盘持仓初始配置!$Z$4)^(('实盘净值数据(iFinD）'!$A195-'实盘净值数据(iFinD）'!$A$6)/365))</f>
        <v/>
      </c>
      <c r="C195" s="16" t="str">
        <f t="shared" si="18"/>
        <v/>
      </c>
      <c r="D195" s="16" t="str">
        <f>IF(B195="","",B195/MAX(B$5:B195)-1)</f>
        <v/>
      </c>
      <c r="E195" s="13" t="str">
        <f>IF(OR('实盘净值数据(iFinD）'!$A195="",'实盘净值数据(iFinD）'!$B195=""),"",分期持仓明细!$AB$18*SUMPRODUCT(分期持仓明细!$B$18:$Y$18,'实盘净值数据(iFinD）'!$B195:$Y195/'实盘净值数据(iFinD）'!$B$20:$Y$20)*(1-实盘持仓初始配置!$Z$5)^(('实盘净值数据(iFinD）'!$A195-'实盘净值数据(iFinD）'!$A$5)/365))</f>
        <v/>
      </c>
      <c r="F195" s="16" t="str">
        <f t="shared" si="19"/>
        <v/>
      </c>
      <c r="G195" s="16" t="str">
        <f>IF(E195="","",E195/MAX(E$5:E195)-1)</f>
        <v/>
      </c>
      <c r="H195" s="13" t="str">
        <f>IF(OR('实盘净值数据(iFinD）'!$A195="",'实盘净值数据(iFinD）'!$B195=""),"",分期持仓明细!$AB$19*SUMPRODUCT(分期持仓明细!$B$19:$Y$19,'实盘净值数据(iFinD）'!$B195:$Y195/'实盘净值数据(iFinD）'!$B$20:$Y$20)*(1-实盘持仓初始配置!$Z$6)^(('实盘净值数据(iFinD）'!$A195-'实盘净值数据(iFinD）'!$A$7)/365))</f>
        <v/>
      </c>
      <c r="I195" s="16" t="str">
        <f t="shared" si="20"/>
        <v/>
      </c>
      <c r="J195" s="16" t="str">
        <f>IF(H195="","",H195/MAX(H$5:H195)-1)</f>
        <v/>
      </c>
      <c r="K195" s="13" t="str">
        <f>IF(OR('实盘净值数据(iFinD）'!$A195="",'实盘净值数据(iFinD）'!$B195="",'实盘净值数据(iFinD）'!$Z195="",'实盘净值数据(iFinD）'!$AA195=""),"",分期持仓明细!$AB$23*(SUMPRODUCT(分期持仓明细!$B$23:$Y$23,'实盘净值数据(iFinD）'!$B195:$Y195/'实盘净值数据(iFinD）'!$B$65:$Y$65)+SUMPRODUCT(分期持仓明细!$AC$23:$AD$23,'实盘净值数据(iFinD）'!$Z195:$AA195/'实盘净值数据(iFinD）'!$Z$65:$AA$65))*(1-实盘持仓初始配置!$Z$7)^(('实盘净值数据(iFinD）'!$A195-'实盘净值数据(iFinD）'!$A$8)/365))</f>
        <v/>
      </c>
      <c r="L195" s="16" t="str">
        <f t="shared" si="21"/>
        <v/>
      </c>
      <c r="M195" s="16" t="str">
        <f>IF(K195="","",K195/MAX(K$5:K195)-1)</f>
        <v/>
      </c>
      <c r="N195" s="13" t="str">
        <f>IF(OR('实盘净值数据(iFinD）'!$A195="",'实盘净值数据(iFinD）'!$B195="",'实盘净值数据(iFinD）'!$Z195="",'实盘净值数据(iFinD）'!$AA195=""),"",分期持仓明细!$AB$24*(SUMPRODUCT(分期持仓明细!$B$24:$Y$24,'实盘净值数据(iFinD）'!$B195:$Y195/'实盘净值数据(iFinD）'!$B$65:$Y$65)+SUMPRODUCT(分期持仓明细!$AC$24:$AD$24,'实盘净值数据(iFinD）'!$Z195:$AA195/'实盘净值数据(iFinD）'!$Z$65:$AA$65))*(1-实盘持仓初始配置!$Z$8)^(('实盘净值数据(iFinD）'!$A195-'实盘净值数据(iFinD）'!$A$5)/365))</f>
        <v/>
      </c>
      <c r="O195" s="16" t="str">
        <f t="shared" si="22"/>
        <v/>
      </c>
      <c r="P195" s="16" t="str">
        <f>IF(N195="","",N195/MAX(N$5:N195)-1)</f>
        <v/>
      </c>
      <c r="Q195" s="13" t="str">
        <f>IF(OR('实盘净值数据(iFinD）'!$A195="",'实盘净值数据(iFinD）'!$B195="",'实盘净值数据(iFinD）'!$Z195="",'实盘净值数据(iFinD）'!$AA195=""),"",分期持仓明细!$AB$25*(SUMPRODUCT(分期持仓明细!$B$25:$Y$25,'实盘净值数据(iFinD）'!$B195:$Y195/'实盘净值数据(iFinD）'!$B$65:$Y$65)+SUMPRODUCT(分期持仓明细!$AC$25:$AD$25,'实盘净值数据(iFinD）'!$Z195:$AA195/'实盘净值数据(iFinD）'!$Z$65:$AA$65))*(1-实盘持仓初始配置!$Z$9)^(('实盘净值数据(iFinD）'!$A195-'实盘净值数据(iFinD）'!$A$8)/365))</f>
        <v/>
      </c>
      <c r="R195" s="16" t="str">
        <f t="shared" si="23"/>
        <v/>
      </c>
      <c r="S195" s="16" t="str">
        <f>IF(Q195="","",Q195/MAX(Q$5:Q195)-1)</f>
        <v/>
      </c>
    </row>
    <row r="196" spans="1:19">
      <c r="A196" s="15" t="str">
        <f>IF('实盘净值数据(iFinD）'!A196="","",'实盘净值数据(iFinD）'!A196)</f>
        <v/>
      </c>
      <c r="B196" s="13" t="str">
        <f>IF(OR('实盘净值数据(iFinD）'!$A196="",'实盘净值数据(iFinD）'!$B196=""),"",分期持仓明细!$AB$17*SUMPRODUCT(分期持仓明细!$B$17:$Y$17,'实盘净值数据(iFinD）'!$B196:$Y196/'实盘净值数据(iFinD）'!$B$20:$Y$20)*(1-实盘持仓初始配置!$Z$4)^(('实盘净值数据(iFinD）'!$A196-'实盘净值数据(iFinD）'!$A$6)/365))</f>
        <v/>
      </c>
      <c r="C196" s="16" t="str">
        <f t="shared" si="18"/>
        <v/>
      </c>
      <c r="D196" s="16" t="str">
        <f>IF(B196="","",B196/MAX(B$5:B196)-1)</f>
        <v/>
      </c>
      <c r="E196" s="13" t="str">
        <f>IF(OR('实盘净值数据(iFinD）'!$A196="",'实盘净值数据(iFinD）'!$B196=""),"",分期持仓明细!$AB$18*SUMPRODUCT(分期持仓明细!$B$18:$Y$18,'实盘净值数据(iFinD）'!$B196:$Y196/'实盘净值数据(iFinD）'!$B$20:$Y$20)*(1-实盘持仓初始配置!$Z$5)^(('实盘净值数据(iFinD）'!$A196-'实盘净值数据(iFinD）'!$A$5)/365))</f>
        <v/>
      </c>
      <c r="F196" s="16" t="str">
        <f t="shared" si="19"/>
        <v/>
      </c>
      <c r="G196" s="16" t="str">
        <f>IF(E196="","",E196/MAX(E$5:E196)-1)</f>
        <v/>
      </c>
      <c r="H196" s="13" t="str">
        <f>IF(OR('实盘净值数据(iFinD）'!$A196="",'实盘净值数据(iFinD）'!$B196=""),"",分期持仓明细!$AB$19*SUMPRODUCT(分期持仓明细!$B$19:$Y$19,'实盘净值数据(iFinD）'!$B196:$Y196/'实盘净值数据(iFinD）'!$B$20:$Y$20)*(1-实盘持仓初始配置!$Z$6)^(('实盘净值数据(iFinD）'!$A196-'实盘净值数据(iFinD）'!$A$7)/365))</f>
        <v/>
      </c>
      <c r="I196" s="16" t="str">
        <f t="shared" si="20"/>
        <v/>
      </c>
      <c r="J196" s="16" t="str">
        <f>IF(H196="","",H196/MAX(H$5:H196)-1)</f>
        <v/>
      </c>
      <c r="K196" s="13" t="str">
        <f>IF(OR('实盘净值数据(iFinD）'!$A196="",'实盘净值数据(iFinD）'!$B196="",'实盘净值数据(iFinD）'!$Z196="",'实盘净值数据(iFinD）'!$AA196=""),"",分期持仓明细!$AB$23*(SUMPRODUCT(分期持仓明细!$B$23:$Y$23,'实盘净值数据(iFinD）'!$B196:$Y196/'实盘净值数据(iFinD）'!$B$65:$Y$65)+SUMPRODUCT(分期持仓明细!$AC$23:$AD$23,'实盘净值数据(iFinD）'!$Z196:$AA196/'实盘净值数据(iFinD）'!$Z$65:$AA$65))*(1-实盘持仓初始配置!$Z$7)^(('实盘净值数据(iFinD）'!$A196-'实盘净值数据(iFinD）'!$A$8)/365))</f>
        <v/>
      </c>
      <c r="L196" s="16" t="str">
        <f t="shared" si="21"/>
        <v/>
      </c>
      <c r="M196" s="16" t="str">
        <f>IF(K196="","",K196/MAX(K$5:K196)-1)</f>
        <v/>
      </c>
      <c r="N196" s="13" t="str">
        <f>IF(OR('实盘净值数据(iFinD）'!$A196="",'实盘净值数据(iFinD）'!$B196="",'实盘净值数据(iFinD）'!$Z196="",'实盘净值数据(iFinD）'!$AA196=""),"",分期持仓明细!$AB$24*(SUMPRODUCT(分期持仓明细!$B$24:$Y$24,'实盘净值数据(iFinD）'!$B196:$Y196/'实盘净值数据(iFinD）'!$B$65:$Y$65)+SUMPRODUCT(分期持仓明细!$AC$24:$AD$24,'实盘净值数据(iFinD）'!$Z196:$AA196/'实盘净值数据(iFinD）'!$Z$65:$AA$65))*(1-实盘持仓初始配置!$Z$8)^(('实盘净值数据(iFinD）'!$A196-'实盘净值数据(iFinD）'!$A$5)/365))</f>
        <v/>
      </c>
      <c r="O196" s="16" t="str">
        <f t="shared" si="22"/>
        <v/>
      </c>
      <c r="P196" s="16" t="str">
        <f>IF(N196="","",N196/MAX(N$5:N196)-1)</f>
        <v/>
      </c>
      <c r="Q196" s="13" t="str">
        <f>IF(OR('实盘净值数据(iFinD）'!$A196="",'实盘净值数据(iFinD）'!$B196="",'实盘净值数据(iFinD）'!$Z196="",'实盘净值数据(iFinD）'!$AA196=""),"",分期持仓明细!$AB$25*(SUMPRODUCT(分期持仓明细!$B$25:$Y$25,'实盘净值数据(iFinD）'!$B196:$Y196/'实盘净值数据(iFinD）'!$B$65:$Y$65)+SUMPRODUCT(分期持仓明细!$AC$25:$AD$25,'实盘净值数据(iFinD）'!$Z196:$AA196/'实盘净值数据(iFinD）'!$Z$65:$AA$65))*(1-实盘持仓初始配置!$Z$9)^(('实盘净值数据(iFinD）'!$A196-'实盘净值数据(iFinD）'!$A$8)/365))</f>
        <v/>
      </c>
      <c r="R196" s="16" t="str">
        <f t="shared" si="23"/>
        <v/>
      </c>
      <c r="S196" s="16" t="str">
        <f>IF(Q196="","",Q196/MAX(Q$5:Q196)-1)</f>
        <v/>
      </c>
    </row>
    <row r="197" spans="1:19">
      <c r="A197" s="15" t="str">
        <f>IF('实盘净值数据(iFinD）'!A197="","",'实盘净值数据(iFinD）'!A197)</f>
        <v/>
      </c>
      <c r="B197" s="13" t="str">
        <f>IF(OR('实盘净值数据(iFinD）'!$A197="",'实盘净值数据(iFinD）'!$B197=""),"",分期持仓明细!$AB$17*SUMPRODUCT(分期持仓明细!$B$17:$Y$17,'实盘净值数据(iFinD）'!$B197:$Y197/'实盘净值数据(iFinD）'!$B$20:$Y$20)*(1-实盘持仓初始配置!$Z$4)^(('实盘净值数据(iFinD）'!$A197-'实盘净值数据(iFinD）'!$A$6)/365))</f>
        <v/>
      </c>
      <c r="C197" s="16" t="str">
        <f t="shared" si="18"/>
        <v/>
      </c>
      <c r="D197" s="16" t="str">
        <f>IF(B197="","",B197/MAX(B$5:B197)-1)</f>
        <v/>
      </c>
      <c r="E197" s="13" t="str">
        <f>IF(OR('实盘净值数据(iFinD）'!$A197="",'实盘净值数据(iFinD）'!$B197=""),"",分期持仓明细!$AB$18*SUMPRODUCT(分期持仓明细!$B$18:$Y$18,'实盘净值数据(iFinD）'!$B197:$Y197/'实盘净值数据(iFinD）'!$B$20:$Y$20)*(1-实盘持仓初始配置!$Z$5)^(('实盘净值数据(iFinD）'!$A197-'实盘净值数据(iFinD）'!$A$5)/365))</f>
        <v/>
      </c>
      <c r="F197" s="16" t="str">
        <f t="shared" si="19"/>
        <v/>
      </c>
      <c r="G197" s="16" t="str">
        <f>IF(E197="","",E197/MAX(E$5:E197)-1)</f>
        <v/>
      </c>
      <c r="H197" s="13" t="str">
        <f>IF(OR('实盘净值数据(iFinD）'!$A197="",'实盘净值数据(iFinD）'!$B197=""),"",分期持仓明细!$AB$19*SUMPRODUCT(分期持仓明细!$B$19:$Y$19,'实盘净值数据(iFinD）'!$B197:$Y197/'实盘净值数据(iFinD）'!$B$20:$Y$20)*(1-实盘持仓初始配置!$Z$6)^(('实盘净值数据(iFinD）'!$A197-'实盘净值数据(iFinD）'!$A$7)/365))</f>
        <v/>
      </c>
      <c r="I197" s="16" t="str">
        <f t="shared" si="20"/>
        <v/>
      </c>
      <c r="J197" s="16" t="str">
        <f>IF(H197="","",H197/MAX(H$5:H197)-1)</f>
        <v/>
      </c>
      <c r="K197" s="13" t="str">
        <f>IF(OR('实盘净值数据(iFinD）'!$A197="",'实盘净值数据(iFinD）'!$B197="",'实盘净值数据(iFinD）'!$Z197="",'实盘净值数据(iFinD）'!$AA197=""),"",分期持仓明细!$AB$23*(SUMPRODUCT(分期持仓明细!$B$23:$Y$23,'实盘净值数据(iFinD）'!$B197:$Y197/'实盘净值数据(iFinD）'!$B$65:$Y$65)+SUMPRODUCT(分期持仓明细!$AC$23:$AD$23,'实盘净值数据(iFinD）'!$Z197:$AA197/'实盘净值数据(iFinD）'!$Z$65:$AA$65))*(1-实盘持仓初始配置!$Z$7)^(('实盘净值数据(iFinD）'!$A197-'实盘净值数据(iFinD）'!$A$8)/365))</f>
        <v/>
      </c>
      <c r="L197" s="16" t="str">
        <f t="shared" si="21"/>
        <v/>
      </c>
      <c r="M197" s="16" t="str">
        <f>IF(K197="","",K197/MAX(K$5:K197)-1)</f>
        <v/>
      </c>
      <c r="N197" s="13" t="str">
        <f>IF(OR('实盘净值数据(iFinD）'!$A197="",'实盘净值数据(iFinD）'!$B197="",'实盘净值数据(iFinD）'!$Z197="",'实盘净值数据(iFinD）'!$AA197=""),"",分期持仓明细!$AB$24*(SUMPRODUCT(分期持仓明细!$B$24:$Y$24,'实盘净值数据(iFinD）'!$B197:$Y197/'实盘净值数据(iFinD）'!$B$65:$Y$65)+SUMPRODUCT(分期持仓明细!$AC$24:$AD$24,'实盘净值数据(iFinD）'!$Z197:$AA197/'实盘净值数据(iFinD）'!$Z$65:$AA$65))*(1-实盘持仓初始配置!$Z$8)^(('实盘净值数据(iFinD）'!$A197-'实盘净值数据(iFinD）'!$A$5)/365))</f>
        <v/>
      </c>
      <c r="O197" s="16" t="str">
        <f t="shared" si="22"/>
        <v/>
      </c>
      <c r="P197" s="16" t="str">
        <f>IF(N197="","",N197/MAX(N$5:N197)-1)</f>
        <v/>
      </c>
      <c r="Q197" s="13" t="str">
        <f>IF(OR('实盘净值数据(iFinD）'!$A197="",'实盘净值数据(iFinD）'!$B197="",'实盘净值数据(iFinD）'!$Z197="",'实盘净值数据(iFinD）'!$AA197=""),"",分期持仓明细!$AB$25*(SUMPRODUCT(分期持仓明细!$B$25:$Y$25,'实盘净值数据(iFinD）'!$B197:$Y197/'实盘净值数据(iFinD）'!$B$65:$Y$65)+SUMPRODUCT(分期持仓明细!$AC$25:$AD$25,'实盘净值数据(iFinD）'!$Z197:$AA197/'实盘净值数据(iFinD）'!$Z$65:$AA$65))*(1-实盘持仓初始配置!$Z$9)^(('实盘净值数据(iFinD）'!$A197-'实盘净值数据(iFinD）'!$A$8)/365))</f>
        <v/>
      </c>
      <c r="R197" s="16" t="str">
        <f t="shared" si="23"/>
        <v/>
      </c>
      <c r="S197" s="16" t="str">
        <f>IF(Q197="","",Q197/MAX(Q$5:Q197)-1)</f>
        <v/>
      </c>
    </row>
    <row r="198" spans="1:19">
      <c r="A198" s="15" t="str">
        <f>IF('实盘净值数据(iFinD）'!A198="","",'实盘净值数据(iFinD）'!A198)</f>
        <v/>
      </c>
      <c r="B198" s="13" t="str">
        <f>IF(OR('实盘净值数据(iFinD）'!$A198="",'实盘净值数据(iFinD）'!$B198=""),"",分期持仓明细!$AB$17*SUMPRODUCT(分期持仓明细!$B$17:$Y$17,'实盘净值数据(iFinD）'!$B198:$Y198/'实盘净值数据(iFinD）'!$B$20:$Y$20)*(1-实盘持仓初始配置!$Z$4)^(('实盘净值数据(iFinD）'!$A198-'实盘净值数据(iFinD）'!$A$6)/365))</f>
        <v/>
      </c>
      <c r="C198" s="16" t="str">
        <f t="shared" si="18"/>
        <v/>
      </c>
      <c r="D198" s="16" t="str">
        <f>IF(B198="","",B198/MAX(B$5:B198)-1)</f>
        <v/>
      </c>
      <c r="E198" s="13" t="str">
        <f>IF(OR('实盘净值数据(iFinD）'!$A198="",'实盘净值数据(iFinD）'!$B198=""),"",分期持仓明细!$AB$18*SUMPRODUCT(分期持仓明细!$B$18:$Y$18,'实盘净值数据(iFinD）'!$B198:$Y198/'实盘净值数据(iFinD）'!$B$20:$Y$20)*(1-实盘持仓初始配置!$Z$5)^(('实盘净值数据(iFinD）'!$A198-'实盘净值数据(iFinD）'!$A$5)/365))</f>
        <v/>
      </c>
      <c r="F198" s="16" t="str">
        <f t="shared" si="19"/>
        <v/>
      </c>
      <c r="G198" s="16" t="str">
        <f>IF(E198="","",E198/MAX(E$5:E198)-1)</f>
        <v/>
      </c>
      <c r="H198" s="13" t="str">
        <f>IF(OR('实盘净值数据(iFinD）'!$A198="",'实盘净值数据(iFinD）'!$B198=""),"",分期持仓明细!$AB$19*SUMPRODUCT(分期持仓明细!$B$19:$Y$19,'实盘净值数据(iFinD）'!$B198:$Y198/'实盘净值数据(iFinD）'!$B$20:$Y$20)*(1-实盘持仓初始配置!$Z$6)^(('实盘净值数据(iFinD）'!$A198-'实盘净值数据(iFinD）'!$A$7)/365))</f>
        <v/>
      </c>
      <c r="I198" s="16" t="str">
        <f t="shared" si="20"/>
        <v/>
      </c>
      <c r="J198" s="16" t="str">
        <f>IF(H198="","",H198/MAX(H$5:H198)-1)</f>
        <v/>
      </c>
      <c r="K198" s="13" t="str">
        <f>IF(OR('实盘净值数据(iFinD）'!$A198="",'实盘净值数据(iFinD）'!$B198="",'实盘净值数据(iFinD）'!$Z198="",'实盘净值数据(iFinD）'!$AA198=""),"",分期持仓明细!$AB$23*(SUMPRODUCT(分期持仓明细!$B$23:$Y$23,'实盘净值数据(iFinD）'!$B198:$Y198/'实盘净值数据(iFinD）'!$B$65:$Y$65)+SUMPRODUCT(分期持仓明细!$AC$23:$AD$23,'实盘净值数据(iFinD）'!$Z198:$AA198/'实盘净值数据(iFinD）'!$Z$65:$AA$65))*(1-实盘持仓初始配置!$Z$7)^(('实盘净值数据(iFinD）'!$A198-'实盘净值数据(iFinD）'!$A$8)/365))</f>
        <v/>
      </c>
      <c r="L198" s="16" t="str">
        <f t="shared" si="21"/>
        <v/>
      </c>
      <c r="M198" s="16" t="str">
        <f>IF(K198="","",K198/MAX(K$5:K198)-1)</f>
        <v/>
      </c>
      <c r="N198" s="13" t="str">
        <f>IF(OR('实盘净值数据(iFinD）'!$A198="",'实盘净值数据(iFinD）'!$B198="",'实盘净值数据(iFinD）'!$Z198="",'实盘净值数据(iFinD）'!$AA198=""),"",分期持仓明细!$AB$24*(SUMPRODUCT(分期持仓明细!$B$24:$Y$24,'实盘净值数据(iFinD）'!$B198:$Y198/'实盘净值数据(iFinD）'!$B$65:$Y$65)+SUMPRODUCT(分期持仓明细!$AC$24:$AD$24,'实盘净值数据(iFinD）'!$Z198:$AA198/'实盘净值数据(iFinD）'!$Z$65:$AA$65))*(1-实盘持仓初始配置!$Z$8)^(('实盘净值数据(iFinD）'!$A198-'实盘净值数据(iFinD）'!$A$5)/365))</f>
        <v/>
      </c>
      <c r="O198" s="16" t="str">
        <f t="shared" si="22"/>
        <v/>
      </c>
      <c r="P198" s="16" t="str">
        <f>IF(N198="","",N198/MAX(N$5:N198)-1)</f>
        <v/>
      </c>
      <c r="Q198" s="13" t="str">
        <f>IF(OR('实盘净值数据(iFinD）'!$A198="",'实盘净值数据(iFinD）'!$B198="",'实盘净值数据(iFinD）'!$Z198="",'实盘净值数据(iFinD）'!$AA198=""),"",分期持仓明细!$AB$25*(SUMPRODUCT(分期持仓明细!$B$25:$Y$25,'实盘净值数据(iFinD）'!$B198:$Y198/'实盘净值数据(iFinD）'!$B$65:$Y$65)+SUMPRODUCT(分期持仓明细!$AC$25:$AD$25,'实盘净值数据(iFinD）'!$Z198:$AA198/'实盘净值数据(iFinD）'!$Z$65:$AA$65))*(1-实盘持仓初始配置!$Z$9)^(('实盘净值数据(iFinD）'!$A198-'实盘净值数据(iFinD）'!$A$8)/365))</f>
        <v/>
      </c>
      <c r="R198" s="16" t="str">
        <f t="shared" si="23"/>
        <v/>
      </c>
      <c r="S198" s="16" t="str">
        <f>IF(Q198="","",Q198/MAX(Q$5:Q198)-1)</f>
        <v/>
      </c>
    </row>
    <row r="199" spans="1:19">
      <c r="A199" s="15" t="str">
        <f>IF('实盘净值数据(iFinD）'!A199="","",'实盘净值数据(iFinD）'!A199)</f>
        <v/>
      </c>
      <c r="B199" s="13" t="str">
        <f>IF(OR('实盘净值数据(iFinD）'!$A199="",'实盘净值数据(iFinD）'!$B199=""),"",分期持仓明细!$AB$17*SUMPRODUCT(分期持仓明细!$B$17:$Y$17,'实盘净值数据(iFinD）'!$B199:$Y199/'实盘净值数据(iFinD）'!$B$20:$Y$20)*(1-实盘持仓初始配置!$Z$4)^(('实盘净值数据(iFinD）'!$A199-'实盘净值数据(iFinD）'!$A$6)/365))</f>
        <v/>
      </c>
      <c r="C199" s="16" t="str">
        <f t="shared" si="18"/>
        <v/>
      </c>
      <c r="D199" s="16" t="str">
        <f>IF(B199="","",B199/MAX(B$5:B199)-1)</f>
        <v/>
      </c>
      <c r="E199" s="13" t="str">
        <f>IF(OR('实盘净值数据(iFinD）'!$A199="",'实盘净值数据(iFinD）'!$B199=""),"",分期持仓明细!$AB$18*SUMPRODUCT(分期持仓明细!$B$18:$Y$18,'实盘净值数据(iFinD）'!$B199:$Y199/'实盘净值数据(iFinD）'!$B$20:$Y$20)*(1-实盘持仓初始配置!$Z$5)^(('实盘净值数据(iFinD）'!$A199-'实盘净值数据(iFinD）'!$A$5)/365))</f>
        <v/>
      </c>
      <c r="F199" s="16" t="str">
        <f t="shared" si="19"/>
        <v/>
      </c>
      <c r="G199" s="16" t="str">
        <f>IF(E199="","",E199/MAX(E$5:E199)-1)</f>
        <v/>
      </c>
      <c r="H199" s="13" t="str">
        <f>IF(OR('实盘净值数据(iFinD）'!$A199="",'实盘净值数据(iFinD）'!$B199=""),"",分期持仓明细!$AB$19*SUMPRODUCT(分期持仓明细!$B$19:$Y$19,'实盘净值数据(iFinD）'!$B199:$Y199/'实盘净值数据(iFinD）'!$B$20:$Y$20)*(1-实盘持仓初始配置!$Z$6)^(('实盘净值数据(iFinD）'!$A199-'实盘净值数据(iFinD）'!$A$7)/365))</f>
        <v/>
      </c>
      <c r="I199" s="16" t="str">
        <f t="shared" si="20"/>
        <v/>
      </c>
      <c r="J199" s="16" t="str">
        <f>IF(H199="","",H199/MAX(H$5:H199)-1)</f>
        <v/>
      </c>
      <c r="K199" s="13" t="str">
        <f>IF(OR('实盘净值数据(iFinD）'!$A199="",'实盘净值数据(iFinD）'!$B199="",'实盘净值数据(iFinD）'!$Z199="",'实盘净值数据(iFinD）'!$AA199=""),"",分期持仓明细!$AB$23*(SUMPRODUCT(分期持仓明细!$B$23:$Y$23,'实盘净值数据(iFinD）'!$B199:$Y199/'实盘净值数据(iFinD）'!$B$65:$Y$65)+SUMPRODUCT(分期持仓明细!$AC$23:$AD$23,'实盘净值数据(iFinD）'!$Z199:$AA199/'实盘净值数据(iFinD）'!$Z$65:$AA$65))*(1-实盘持仓初始配置!$Z$7)^(('实盘净值数据(iFinD）'!$A199-'实盘净值数据(iFinD）'!$A$8)/365))</f>
        <v/>
      </c>
      <c r="L199" s="16" t="str">
        <f t="shared" si="21"/>
        <v/>
      </c>
      <c r="M199" s="16" t="str">
        <f>IF(K199="","",K199/MAX(K$5:K199)-1)</f>
        <v/>
      </c>
      <c r="N199" s="13" t="str">
        <f>IF(OR('实盘净值数据(iFinD）'!$A199="",'实盘净值数据(iFinD）'!$B199="",'实盘净值数据(iFinD）'!$Z199="",'实盘净值数据(iFinD）'!$AA199=""),"",分期持仓明细!$AB$24*(SUMPRODUCT(分期持仓明细!$B$24:$Y$24,'实盘净值数据(iFinD）'!$B199:$Y199/'实盘净值数据(iFinD）'!$B$65:$Y$65)+SUMPRODUCT(分期持仓明细!$AC$24:$AD$24,'实盘净值数据(iFinD）'!$Z199:$AA199/'实盘净值数据(iFinD）'!$Z$65:$AA$65))*(1-实盘持仓初始配置!$Z$8)^(('实盘净值数据(iFinD）'!$A199-'实盘净值数据(iFinD）'!$A$5)/365))</f>
        <v/>
      </c>
      <c r="O199" s="16" t="str">
        <f t="shared" si="22"/>
        <v/>
      </c>
      <c r="P199" s="16" t="str">
        <f>IF(N199="","",N199/MAX(N$5:N199)-1)</f>
        <v/>
      </c>
      <c r="Q199" s="13" t="str">
        <f>IF(OR('实盘净值数据(iFinD）'!$A199="",'实盘净值数据(iFinD）'!$B199="",'实盘净值数据(iFinD）'!$Z199="",'实盘净值数据(iFinD）'!$AA199=""),"",分期持仓明细!$AB$25*(SUMPRODUCT(分期持仓明细!$B$25:$Y$25,'实盘净值数据(iFinD）'!$B199:$Y199/'实盘净值数据(iFinD）'!$B$65:$Y$65)+SUMPRODUCT(分期持仓明细!$AC$25:$AD$25,'实盘净值数据(iFinD）'!$Z199:$AA199/'实盘净值数据(iFinD）'!$Z$65:$AA$65))*(1-实盘持仓初始配置!$Z$9)^(('实盘净值数据(iFinD）'!$A199-'实盘净值数据(iFinD）'!$A$8)/365))</f>
        <v/>
      </c>
      <c r="R199" s="16" t="str">
        <f t="shared" si="23"/>
        <v/>
      </c>
      <c r="S199" s="16" t="str">
        <f>IF(Q199="","",Q199/MAX(Q$5:Q199)-1)</f>
        <v/>
      </c>
    </row>
    <row r="200" spans="1:19">
      <c r="A200" s="15" t="str">
        <f>IF('实盘净值数据(iFinD）'!A200="","",'实盘净值数据(iFinD）'!A200)</f>
        <v/>
      </c>
      <c r="B200" s="13" t="str">
        <f>IF(OR('实盘净值数据(iFinD）'!$A200="",'实盘净值数据(iFinD）'!$B200=""),"",分期持仓明细!$AB$17*SUMPRODUCT(分期持仓明细!$B$17:$Y$17,'实盘净值数据(iFinD）'!$B200:$Y200/'实盘净值数据(iFinD）'!$B$20:$Y$20)*(1-实盘持仓初始配置!$Z$4)^(('实盘净值数据(iFinD）'!$A200-'实盘净值数据(iFinD）'!$A$6)/365))</f>
        <v/>
      </c>
      <c r="C200" s="16" t="str">
        <f t="shared" si="18"/>
        <v/>
      </c>
      <c r="D200" s="16" t="str">
        <f>IF(B200="","",B200/MAX(B$5:B200)-1)</f>
        <v/>
      </c>
      <c r="E200" s="13" t="str">
        <f>IF(OR('实盘净值数据(iFinD）'!$A200="",'实盘净值数据(iFinD）'!$B200=""),"",分期持仓明细!$AB$18*SUMPRODUCT(分期持仓明细!$B$18:$Y$18,'实盘净值数据(iFinD）'!$B200:$Y200/'实盘净值数据(iFinD）'!$B$20:$Y$20)*(1-实盘持仓初始配置!$Z$5)^(('实盘净值数据(iFinD）'!$A200-'实盘净值数据(iFinD）'!$A$5)/365))</f>
        <v/>
      </c>
      <c r="F200" s="16" t="str">
        <f t="shared" si="19"/>
        <v/>
      </c>
      <c r="G200" s="16" t="str">
        <f>IF(E200="","",E200/MAX(E$5:E200)-1)</f>
        <v/>
      </c>
      <c r="H200" s="13" t="str">
        <f>IF(OR('实盘净值数据(iFinD）'!$A200="",'实盘净值数据(iFinD）'!$B200=""),"",分期持仓明细!$AB$19*SUMPRODUCT(分期持仓明细!$B$19:$Y$19,'实盘净值数据(iFinD）'!$B200:$Y200/'实盘净值数据(iFinD）'!$B$20:$Y$20)*(1-实盘持仓初始配置!$Z$6)^(('实盘净值数据(iFinD）'!$A200-'实盘净值数据(iFinD）'!$A$7)/365))</f>
        <v/>
      </c>
      <c r="I200" s="16" t="str">
        <f t="shared" si="20"/>
        <v/>
      </c>
      <c r="J200" s="16" t="str">
        <f>IF(H200="","",H200/MAX(H$5:H200)-1)</f>
        <v/>
      </c>
      <c r="K200" s="13" t="str">
        <f>IF(OR('实盘净值数据(iFinD）'!$A200="",'实盘净值数据(iFinD）'!$B200="",'实盘净值数据(iFinD）'!$Z200="",'实盘净值数据(iFinD）'!$AA200=""),"",分期持仓明细!$AB$23*(SUMPRODUCT(分期持仓明细!$B$23:$Y$23,'实盘净值数据(iFinD）'!$B200:$Y200/'实盘净值数据(iFinD）'!$B$65:$Y$65)+SUMPRODUCT(分期持仓明细!$AC$23:$AD$23,'实盘净值数据(iFinD）'!$Z200:$AA200/'实盘净值数据(iFinD）'!$Z$65:$AA$65))*(1-实盘持仓初始配置!$Z$7)^(('实盘净值数据(iFinD）'!$A200-'实盘净值数据(iFinD）'!$A$8)/365))</f>
        <v/>
      </c>
      <c r="L200" s="16" t="str">
        <f t="shared" si="21"/>
        <v/>
      </c>
      <c r="M200" s="16" t="str">
        <f>IF(K200="","",K200/MAX(K$5:K200)-1)</f>
        <v/>
      </c>
      <c r="N200" s="13" t="str">
        <f>IF(OR('实盘净值数据(iFinD）'!$A200="",'实盘净值数据(iFinD）'!$B200="",'实盘净值数据(iFinD）'!$Z200="",'实盘净值数据(iFinD）'!$AA200=""),"",分期持仓明细!$AB$24*(SUMPRODUCT(分期持仓明细!$B$24:$Y$24,'实盘净值数据(iFinD）'!$B200:$Y200/'实盘净值数据(iFinD）'!$B$65:$Y$65)+SUMPRODUCT(分期持仓明细!$AC$24:$AD$24,'实盘净值数据(iFinD）'!$Z200:$AA200/'实盘净值数据(iFinD）'!$Z$65:$AA$65))*(1-实盘持仓初始配置!$Z$8)^(('实盘净值数据(iFinD）'!$A200-'实盘净值数据(iFinD）'!$A$5)/365))</f>
        <v/>
      </c>
      <c r="O200" s="16" t="str">
        <f t="shared" si="22"/>
        <v/>
      </c>
      <c r="P200" s="16" t="str">
        <f>IF(N200="","",N200/MAX(N$5:N200)-1)</f>
        <v/>
      </c>
      <c r="Q200" s="13" t="str">
        <f>IF(OR('实盘净值数据(iFinD）'!$A200="",'实盘净值数据(iFinD）'!$B200="",'实盘净值数据(iFinD）'!$Z200="",'实盘净值数据(iFinD）'!$AA200=""),"",分期持仓明细!$AB$25*(SUMPRODUCT(分期持仓明细!$B$25:$Y$25,'实盘净值数据(iFinD）'!$B200:$Y200/'实盘净值数据(iFinD）'!$B$65:$Y$65)+SUMPRODUCT(分期持仓明细!$AC$25:$AD$25,'实盘净值数据(iFinD）'!$Z200:$AA200/'实盘净值数据(iFinD）'!$Z$65:$AA$65))*(1-实盘持仓初始配置!$Z$9)^(('实盘净值数据(iFinD）'!$A200-'实盘净值数据(iFinD）'!$A$8)/365))</f>
        <v/>
      </c>
      <c r="R200" s="16" t="str">
        <f t="shared" si="23"/>
        <v/>
      </c>
      <c r="S200" s="16" t="str">
        <f>IF(Q200="","",Q200/MAX(Q$5:Q200)-1)</f>
        <v/>
      </c>
    </row>
    <row r="201" spans="1:19">
      <c r="A201" s="15" t="str">
        <f>IF('实盘净值数据(iFinD）'!A201="","",'实盘净值数据(iFinD）'!A201)</f>
        <v/>
      </c>
      <c r="B201" s="13" t="str">
        <f>IF(OR('实盘净值数据(iFinD）'!$A201="",'实盘净值数据(iFinD）'!$B201=""),"",分期持仓明细!$AB$17*SUMPRODUCT(分期持仓明细!$B$17:$Y$17,'实盘净值数据(iFinD）'!$B201:$Y201/'实盘净值数据(iFinD）'!$B$20:$Y$20)*(1-实盘持仓初始配置!$Z$4)^(('实盘净值数据(iFinD）'!$A201-'实盘净值数据(iFinD）'!$A$6)/365))</f>
        <v/>
      </c>
      <c r="C201" s="16" t="str">
        <f t="shared" si="18"/>
        <v/>
      </c>
      <c r="D201" s="16" t="str">
        <f>IF(B201="","",B201/MAX(B$5:B201)-1)</f>
        <v/>
      </c>
      <c r="E201" s="13" t="str">
        <f>IF(OR('实盘净值数据(iFinD）'!$A201="",'实盘净值数据(iFinD）'!$B201=""),"",分期持仓明细!$AB$18*SUMPRODUCT(分期持仓明细!$B$18:$Y$18,'实盘净值数据(iFinD）'!$B201:$Y201/'实盘净值数据(iFinD）'!$B$20:$Y$20)*(1-实盘持仓初始配置!$Z$5)^(('实盘净值数据(iFinD）'!$A201-'实盘净值数据(iFinD）'!$A$5)/365))</f>
        <v/>
      </c>
      <c r="F201" s="16" t="str">
        <f t="shared" si="19"/>
        <v/>
      </c>
      <c r="G201" s="16" t="str">
        <f>IF(E201="","",E201/MAX(E$5:E201)-1)</f>
        <v/>
      </c>
      <c r="H201" s="13" t="str">
        <f>IF(OR('实盘净值数据(iFinD）'!$A201="",'实盘净值数据(iFinD）'!$B201=""),"",分期持仓明细!$AB$19*SUMPRODUCT(分期持仓明细!$B$19:$Y$19,'实盘净值数据(iFinD）'!$B201:$Y201/'实盘净值数据(iFinD）'!$B$20:$Y$20)*(1-实盘持仓初始配置!$Z$6)^(('实盘净值数据(iFinD）'!$A201-'实盘净值数据(iFinD）'!$A$7)/365))</f>
        <v/>
      </c>
      <c r="I201" s="16" t="str">
        <f t="shared" si="20"/>
        <v/>
      </c>
      <c r="J201" s="16" t="str">
        <f>IF(H201="","",H201/MAX(H$5:H201)-1)</f>
        <v/>
      </c>
      <c r="K201" s="13" t="str">
        <f>IF(OR('实盘净值数据(iFinD）'!$A201="",'实盘净值数据(iFinD）'!$B201="",'实盘净值数据(iFinD）'!$Z201="",'实盘净值数据(iFinD）'!$AA201=""),"",分期持仓明细!$AB$23*(SUMPRODUCT(分期持仓明细!$B$23:$Y$23,'实盘净值数据(iFinD）'!$B201:$Y201/'实盘净值数据(iFinD）'!$B$65:$Y$65)+SUMPRODUCT(分期持仓明细!$AC$23:$AD$23,'实盘净值数据(iFinD）'!$Z201:$AA201/'实盘净值数据(iFinD）'!$Z$65:$AA$65))*(1-实盘持仓初始配置!$Z$7)^(('实盘净值数据(iFinD）'!$A201-'实盘净值数据(iFinD）'!$A$8)/365))</f>
        <v/>
      </c>
      <c r="L201" s="16" t="str">
        <f t="shared" si="21"/>
        <v/>
      </c>
      <c r="M201" s="16" t="str">
        <f>IF(K201="","",K201/MAX(K$5:K201)-1)</f>
        <v/>
      </c>
      <c r="N201" s="13" t="str">
        <f>IF(OR('实盘净值数据(iFinD）'!$A201="",'实盘净值数据(iFinD）'!$B201="",'实盘净值数据(iFinD）'!$Z201="",'实盘净值数据(iFinD）'!$AA201=""),"",分期持仓明细!$AB$24*(SUMPRODUCT(分期持仓明细!$B$24:$Y$24,'实盘净值数据(iFinD）'!$B201:$Y201/'实盘净值数据(iFinD）'!$B$65:$Y$65)+SUMPRODUCT(分期持仓明细!$AC$24:$AD$24,'实盘净值数据(iFinD）'!$Z201:$AA201/'实盘净值数据(iFinD）'!$Z$65:$AA$65))*(1-实盘持仓初始配置!$Z$8)^(('实盘净值数据(iFinD）'!$A201-'实盘净值数据(iFinD）'!$A$5)/365))</f>
        <v/>
      </c>
      <c r="O201" s="16" t="str">
        <f t="shared" si="22"/>
        <v/>
      </c>
      <c r="P201" s="16" t="str">
        <f>IF(N201="","",N201/MAX(N$5:N201)-1)</f>
        <v/>
      </c>
      <c r="Q201" s="13" t="str">
        <f>IF(OR('实盘净值数据(iFinD）'!$A201="",'实盘净值数据(iFinD）'!$B201="",'实盘净值数据(iFinD）'!$Z201="",'实盘净值数据(iFinD）'!$AA201=""),"",分期持仓明细!$AB$25*(SUMPRODUCT(分期持仓明细!$B$25:$Y$25,'实盘净值数据(iFinD）'!$B201:$Y201/'实盘净值数据(iFinD）'!$B$65:$Y$65)+SUMPRODUCT(分期持仓明细!$AC$25:$AD$25,'实盘净值数据(iFinD）'!$Z201:$AA201/'实盘净值数据(iFinD）'!$Z$65:$AA$65))*(1-实盘持仓初始配置!$Z$9)^(('实盘净值数据(iFinD）'!$A201-'实盘净值数据(iFinD）'!$A$8)/365))</f>
        <v/>
      </c>
      <c r="R201" s="16" t="str">
        <f t="shared" si="23"/>
        <v/>
      </c>
      <c r="S201" s="16" t="str">
        <f>IF(Q201="","",Q201/MAX(Q$5:Q201)-1)</f>
        <v/>
      </c>
    </row>
    <row r="202" spans="1:19">
      <c r="A202" s="15" t="str">
        <f>IF('实盘净值数据(iFinD）'!A202="","",'实盘净值数据(iFinD）'!A202)</f>
        <v/>
      </c>
      <c r="B202" s="13" t="str">
        <f>IF(OR('实盘净值数据(iFinD）'!$A202="",'实盘净值数据(iFinD）'!$B202=""),"",分期持仓明细!$AB$17*SUMPRODUCT(分期持仓明细!$B$17:$Y$17,'实盘净值数据(iFinD）'!$B202:$Y202/'实盘净值数据(iFinD）'!$B$20:$Y$20)*(1-实盘持仓初始配置!$Z$4)^(('实盘净值数据(iFinD）'!$A202-'实盘净值数据(iFinD）'!$A$6)/365))</f>
        <v/>
      </c>
      <c r="C202" s="16" t="str">
        <f t="shared" si="18"/>
        <v/>
      </c>
      <c r="D202" s="16" t="str">
        <f>IF(B202="","",B202/MAX(B$5:B202)-1)</f>
        <v/>
      </c>
      <c r="E202" s="13" t="str">
        <f>IF(OR('实盘净值数据(iFinD）'!$A202="",'实盘净值数据(iFinD）'!$B202=""),"",分期持仓明细!$AB$18*SUMPRODUCT(分期持仓明细!$B$18:$Y$18,'实盘净值数据(iFinD）'!$B202:$Y202/'实盘净值数据(iFinD）'!$B$20:$Y$20)*(1-实盘持仓初始配置!$Z$5)^(('实盘净值数据(iFinD）'!$A202-'实盘净值数据(iFinD）'!$A$5)/365))</f>
        <v/>
      </c>
      <c r="F202" s="16" t="str">
        <f t="shared" si="19"/>
        <v/>
      </c>
      <c r="G202" s="16" t="str">
        <f>IF(E202="","",E202/MAX(E$5:E202)-1)</f>
        <v/>
      </c>
      <c r="H202" s="13" t="str">
        <f>IF(OR('实盘净值数据(iFinD）'!$A202="",'实盘净值数据(iFinD）'!$B202=""),"",分期持仓明细!$AB$19*SUMPRODUCT(分期持仓明细!$B$19:$Y$19,'实盘净值数据(iFinD）'!$B202:$Y202/'实盘净值数据(iFinD）'!$B$20:$Y$20)*(1-实盘持仓初始配置!$Z$6)^(('实盘净值数据(iFinD）'!$A202-'实盘净值数据(iFinD）'!$A$7)/365))</f>
        <v/>
      </c>
      <c r="I202" s="16" t="str">
        <f t="shared" si="20"/>
        <v/>
      </c>
      <c r="J202" s="16" t="str">
        <f>IF(H202="","",H202/MAX(H$5:H202)-1)</f>
        <v/>
      </c>
      <c r="K202" s="13" t="str">
        <f>IF(OR('实盘净值数据(iFinD）'!$A202="",'实盘净值数据(iFinD）'!$B202="",'实盘净值数据(iFinD）'!$Z202="",'实盘净值数据(iFinD）'!$AA202=""),"",分期持仓明细!$AB$23*(SUMPRODUCT(分期持仓明细!$B$23:$Y$23,'实盘净值数据(iFinD）'!$B202:$Y202/'实盘净值数据(iFinD）'!$B$65:$Y$65)+SUMPRODUCT(分期持仓明细!$AC$23:$AD$23,'实盘净值数据(iFinD）'!$Z202:$AA202/'实盘净值数据(iFinD）'!$Z$65:$AA$65))*(1-实盘持仓初始配置!$Z$7)^(('实盘净值数据(iFinD）'!$A202-'实盘净值数据(iFinD）'!$A$8)/365))</f>
        <v/>
      </c>
      <c r="L202" s="16" t="str">
        <f t="shared" si="21"/>
        <v/>
      </c>
      <c r="M202" s="16" t="str">
        <f>IF(K202="","",K202/MAX(K$5:K202)-1)</f>
        <v/>
      </c>
      <c r="N202" s="13" t="str">
        <f>IF(OR('实盘净值数据(iFinD）'!$A202="",'实盘净值数据(iFinD）'!$B202="",'实盘净值数据(iFinD）'!$Z202="",'实盘净值数据(iFinD）'!$AA202=""),"",分期持仓明细!$AB$24*(SUMPRODUCT(分期持仓明细!$B$24:$Y$24,'实盘净值数据(iFinD）'!$B202:$Y202/'实盘净值数据(iFinD）'!$B$65:$Y$65)+SUMPRODUCT(分期持仓明细!$AC$24:$AD$24,'实盘净值数据(iFinD）'!$Z202:$AA202/'实盘净值数据(iFinD）'!$Z$65:$AA$65))*(1-实盘持仓初始配置!$Z$8)^(('实盘净值数据(iFinD）'!$A202-'实盘净值数据(iFinD）'!$A$5)/365))</f>
        <v/>
      </c>
      <c r="O202" s="16" t="str">
        <f t="shared" si="22"/>
        <v/>
      </c>
      <c r="P202" s="16" t="str">
        <f>IF(N202="","",N202/MAX(N$5:N202)-1)</f>
        <v/>
      </c>
      <c r="Q202" s="13" t="str">
        <f>IF(OR('实盘净值数据(iFinD）'!$A202="",'实盘净值数据(iFinD）'!$B202="",'实盘净值数据(iFinD）'!$Z202="",'实盘净值数据(iFinD）'!$AA202=""),"",分期持仓明细!$AB$25*(SUMPRODUCT(分期持仓明细!$B$25:$Y$25,'实盘净值数据(iFinD）'!$B202:$Y202/'实盘净值数据(iFinD）'!$B$65:$Y$65)+SUMPRODUCT(分期持仓明细!$AC$25:$AD$25,'实盘净值数据(iFinD）'!$Z202:$AA202/'实盘净值数据(iFinD）'!$Z$65:$AA$65))*(1-实盘持仓初始配置!$Z$9)^(('实盘净值数据(iFinD）'!$A202-'实盘净值数据(iFinD）'!$A$8)/365))</f>
        <v/>
      </c>
      <c r="R202" s="16" t="str">
        <f t="shared" si="23"/>
        <v/>
      </c>
      <c r="S202" s="16" t="str">
        <f>IF(Q202="","",Q202/MAX(Q$5:Q202)-1)</f>
        <v/>
      </c>
    </row>
    <row r="203" spans="1:19">
      <c r="A203" s="15" t="str">
        <f>IF('实盘净值数据(iFinD）'!A203="","",'实盘净值数据(iFinD）'!A203)</f>
        <v/>
      </c>
      <c r="B203" s="13" t="str">
        <f>IF(OR('实盘净值数据(iFinD）'!$A203="",'实盘净值数据(iFinD）'!$B203=""),"",分期持仓明细!$AB$17*SUMPRODUCT(分期持仓明细!$B$17:$Y$17,'实盘净值数据(iFinD）'!$B203:$Y203/'实盘净值数据(iFinD）'!$B$20:$Y$20)*(1-实盘持仓初始配置!$Z$4)^(('实盘净值数据(iFinD）'!$A203-'实盘净值数据(iFinD）'!$A$6)/365))</f>
        <v/>
      </c>
      <c r="C203" s="16" t="str">
        <f t="shared" si="18"/>
        <v/>
      </c>
      <c r="D203" s="16" t="str">
        <f>IF(B203="","",B203/MAX(B$5:B203)-1)</f>
        <v/>
      </c>
      <c r="E203" s="13" t="str">
        <f>IF(OR('实盘净值数据(iFinD）'!$A203="",'实盘净值数据(iFinD）'!$B203=""),"",分期持仓明细!$AB$18*SUMPRODUCT(分期持仓明细!$B$18:$Y$18,'实盘净值数据(iFinD）'!$B203:$Y203/'实盘净值数据(iFinD）'!$B$20:$Y$20)*(1-实盘持仓初始配置!$Z$5)^(('实盘净值数据(iFinD）'!$A203-'实盘净值数据(iFinD）'!$A$5)/365))</f>
        <v/>
      </c>
      <c r="F203" s="16" t="str">
        <f t="shared" si="19"/>
        <v/>
      </c>
      <c r="G203" s="16" t="str">
        <f>IF(E203="","",E203/MAX(E$5:E203)-1)</f>
        <v/>
      </c>
      <c r="H203" s="13" t="str">
        <f>IF(OR('实盘净值数据(iFinD）'!$A203="",'实盘净值数据(iFinD）'!$B203=""),"",分期持仓明细!$AB$19*SUMPRODUCT(分期持仓明细!$B$19:$Y$19,'实盘净值数据(iFinD）'!$B203:$Y203/'实盘净值数据(iFinD）'!$B$20:$Y$20)*(1-实盘持仓初始配置!$Z$6)^(('实盘净值数据(iFinD）'!$A203-'实盘净值数据(iFinD）'!$A$7)/365))</f>
        <v/>
      </c>
      <c r="I203" s="16" t="str">
        <f t="shared" si="20"/>
        <v/>
      </c>
      <c r="J203" s="16" t="str">
        <f>IF(H203="","",H203/MAX(H$5:H203)-1)</f>
        <v/>
      </c>
      <c r="K203" s="13" t="str">
        <f>IF(OR('实盘净值数据(iFinD）'!$A203="",'实盘净值数据(iFinD）'!$B203="",'实盘净值数据(iFinD）'!$Z203="",'实盘净值数据(iFinD）'!$AA203=""),"",分期持仓明细!$AB$23*(SUMPRODUCT(分期持仓明细!$B$23:$Y$23,'实盘净值数据(iFinD）'!$B203:$Y203/'实盘净值数据(iFinD）'!$B$65:$Y$65)+SUMPRODUCT(分期持仓明细!$AC$23:$AD$23,'实盘净值数据(iFinD）'!$Z203:$AA203/'实盘净值数据(iFinD）'!$Z$65:$AA$65))*(1-实盘持仓初始配置!$Z$7)^(('实盘净值数据(iFinD）'!$A203-'实盘净值数据(iFinD）'!$A$8)/365))</f>
        <v/>
      </c>
      <c r="L203" s="16" t="str">
        <f t="shared" si="21"/>
        <v/>
      </c>
      <c r="M203" s="16" t="str">
        <f>IF(K203="","",K203/MAX(K$5:K203)-1)</f>
        <v/>
      </c>
      <c r="N203" s="13" t="str">
        <f>IF(OR('实盘净值数据(iFinD）'!$A203="",'实盘净值数据(iFinD）'!$B203="",'实盘净值数据(iFinD）'!$Z203="",'实盘净值数据(iFinD）'!$AA203=""),"",分期持仓明细!$AB$24*(SUMPRODUCT(分期持仓明细!$B$24:$Y$24,'实盘净值数据(iFinD）'!$B203:$Y203/'实盘净值数据(iFinD）'!$B$65:$Y$65)+SUMPRODUCT(分期持仓明细!$AC$24:$AD$24,'实盘净值数据(iFinD）'!$Z203:$AA203/'实盘净值数据(iFinD）'!$Z$65:$AA$65))*(1-实盘持仓初始配置!$Z$8)^(('实盘净值数据(iFinD）'!$A203-'实盘净值数据(iFinD）'!$A$5)/365))</f>
        <v/>
      </c>
      <c r="O203" s="16" t="str">
        <f t="shared" si="22"/>
        <v/>
      </c>
      <c r="P203" s="16" t="str">
        <f>IF(N203="","",N203/MAX(N$5:N203)-1)</f>
        <v/>
      </c>
      <c r="Q203" s="13" t="str">
        <f>IF(OR('实盘净值数据(iFinD）'!$A203="",'实盘净值数据(iFinD）'!$B203="",'实盘净值数据(iFinD）'!$Z203="",'实盘净值数据(iFinD）'!$AA203=""),"",分期持仓明细!$AB$25*(SUMPRODUCT(分期持仓明细!$B$25:$Y$25,'实盘净值数据(iFinD）'!$B203:$Y203/'实盘净值数据(iFinD）'!$B$65:$Y$65)+SUMPRODUCT(分期持仓明细!$AC$25:$AD$25,'实盘净值数据(iFinD）'!$Z203:$AA203/'实盘净值数据(iFinD）'!$Z$65:$AA$65))*(1-实盘持仓初始配置!$Z$9)^(('实盘净值数据(iFinD）'!$A203-'实盘净值数据(iFinD）'!$A$8)/365))</f>
        <v/>
      </c>
      <c r="R203" s="16" t="str">
        <f t="shared" si="23"/>
        <v/>
      </c>
      <c r="S203" s="16" t="str">
        <f>IF(Q203="","",Q203/MAX(Q$5:Q203)-1)</f>
        <v/>
      </c>
    </row>
    <row r="204" spans="1:19">
      <c r="A204" s="15" t="str">
        <f>IF('实盘净值数据(iFinD）'!A204="","",'实盘净值数据(iFinD）'!A204)</f>
        <v/>
      </c>
      <c r="B204" s="13" t="str">
        <f>IF(OR('实盘净值数据(iFinD）'!$A204="",'实盘净值数据(iFinD）'!$B204=""),"",分期持仓明细!$AB$17*SUMPRODUCT(分期持仓明细!$B$17:$Y$17,'实盘净值数据(iFinD）'!$B204:$Y204/'实盘净值数据(iFinD）'!$B$20:$Y$20)*(1-实盘持仓初始配置!$Z$4)^(('实盘净值数据(iFinD）'!$A204-'实盘净值数据(iFinD）'!$A$6)/365))</f>
        <v/>
      </c>
      <c r="C204" s="16" t="str">
        <f t="shared" si="18"/>
        <v/>
      </c>
      <c r="D204" s="16" t="str">
        <f>IF(B204="","",B204/MAX(B$5:B204)-1)</f>
        <v/>
      </c>
      <c r="E204" s="13" t="str">
        <f>IF(OR('实盘净值数据(iFinD）'!$A204="",'实盘净值数据(iFinD）'!$B204=""),"",分期持仓明细!$AB$18*SUMPRODUCT(分期持仓明细!$B$18:$Y$18,'实盘净值数据(iFinD）'!$B204:$Y204/'实盘净值数据(iFinD）'!$B$20:$Y$20)*(1-实盘持仓初始配置!$Z$5)^(('实盘净值数据(iFinD）'!$A204-'实盘净值数据(iFinD）'!$A$5)/365))</f>
        <v/>
      </c>
      <c r="F204" s="16" t="str">
        <f t="shared" si="19"/>
        <v/>
      </c>
      <c r="G204" s="16" t="str">
        <f>IF(E204="","",E204/MAX(E$5:E204)-1)</f>
        <v/>
      </c>
      <c r="H204" s="13" t="str">
        <f>IF(OR('实盘净值数据(iFinD）'!$A204="",'实盘净值数据(iFinD）'!$B204=""),"",分期持仓明细!$AB$19*SUMPRODUCT(分期持仓明细!$B$19:$Y$19,'实盘净值数据(iFinD）'!$B204:$Y204/'实盘净值数据(iFinD）'!$B$20:$Y$20)*(1-实盘持仓初始配置!$Z$6)^(('实盘净值数据(iFinD）'!$A204-'实盘净值数据(iFinD）'!$A$7)/365))</f>
        <v/>
      </c>
      <c r="I204" s="16" t="str">
        <f t="shared" si="20"/>
        <v/>
      </c>
      <c r="J204" s="16" t="str">
        <f>IF(H204="","",H204/MAX(H$5:H204)-1)</f>
        <v/>
      </c>
      <c r="K204" s="13" t="str">
        <f>IF(OR('实盘净值数据(iFinD）'!$A204="",'实盘净值数据(iFinD）'!$B204="",'实盘净值数据(iFinD）'!$Z204="",'实盘净值数据(iFinD）'!$AA204=""),"",分期持仓明细!$AB$23*(SUMPRODUCT(分期持仓明细!$B$23:$Y$23,'实盘净值数据(iFinD）'!$B204:$Y204/'实盘净值数据(iFinD）'!$B$65:$Y$65)+SUMPRODUCT(分期持仓明细!$AC$23:$AD$23,'实盘净值数据(iFinD）'!$Z204:$AA204/'实盘净值数据(iFinD）'!$Z$65:$AA$65))*(1-实盘持仓初始配置!$Z$7)^(('实盘净值数据(iFinD）'!$A204-'实盘净值数据(iFinD）'!$A$8)/365))</f>
        <v/>
      </c>
      <c r="L204" s="16" t="str">
        <f t="shared" si="21"/>
        <v/>
      </c>
      <c r="M204" s="16" t="str">
        <f>IF(K204="","",K204/MAX(K$5:K204)-1)</f>
        <v/>
      </c>
      <c r="N204" s="13" t="str">
        <f>IF(OR('实盘净值数据(iFinD）'!$A204="",'实盘净值数据(iFinD）'!$B204="",'实盘净值数据(iFinD）'!$Z204="",'实盘净值数据(iFinD）'!$AA204=""),"",分期持仓明细!$AB$24*(SUMPRODUCT(分期持仓明细!$B$24:$Y$24,'实盘净值数据(iFinD）'!$B204:$Y204/'实盘净值数据(iFinD）'!$B$65:$Y$65)+SUMPRODUCT(分期持仓明细!$AC$24:$AD$24,'实盘净值数据(iFinD）'!$Z204:$AA204/'实盘净值数据(iFinD）'!$Z$65:$AA$65))*(1-实盘持仓初始配置!$Z$8)^(('实盘净值数据(iFinD）'!$A204-'实盘净值数据(iFinD）'!$A$5)/365))</f>
        <v/>
      </c>
      <c r="O204" s="16" t="str">
        <f t="shared" si="22"/>
        <v/>
      </c>
      <c r="P204" s="16" t="str">
        <f>IF(N204="","",N204/MAX(N$5:N204)-1)</f>
        <v/>
      </c>
      <c r="Q204" s="13" t="str">
        <f>IF(OR('实盘净值数据(iFinD）'!$A204="",'实盘净值数据(iFinD）'!$B204="",'实盘净值数据(iFinD）'!$Z204="",'实盘净值数据(iFinD）'!$AA204=""),"",分期持仓明细!$AB$25*(SUMPRODUCT(分期持仓明细!$B$25:$Y$25,'实盘净值数据(iFinD）'!$B204:$Y204/'实盘净值数据(iFinD）'!$B$65:$Y$65)+SUMPRODUCT(分期持仓明细!$AC$25:$AD$25,'实盘净值数据(iFinD）'!$Z204:$AA204/'实盘净值数据(iFinD）'!$Z$65:$AA$65))*(1-实盘持仓初始配置!$Z$9)^(('实盘净值数据(iFinD）'!$A204-'实盘净值数据(iFinD）'!$A$8)/365))</f>
        <v/>
      </c>
      <c r="R204" s="16" t="str">
        <f t="shared" si="23"/>
        <v/>
      </c>
      <c r="S204" s="16" t="str">
        <f>IF(Q204="","",Q204/MAX(Q$5:Q204)-1)</f>
        <v/>
      </c>
    </row>
    <row r="205" spans="1:19">
      <c r="A205" s="15" t="str">
        <f>IF('实盘净值数据(iFinD）'!A205="","",'实盘净值数据(iFinD）'!A205)</f>
        <v/>
      </c>
      <c r="B205" s="13" t="str">
        <f>IF(OR('实盘净值数据(iFinD）'!$A205="",'实盘净值数据(iFinD）'!$B205=""),"",分期持仓明细!$AB$17*SUMPRODUCT(分期持仓明细!$B$17:$Y$17,'实盘净值数据(iFinD）'!$B205:$Y205/'实盘净值数据(iFinD）'!$B$20:$Y$20)*(1-实盘持仓初始配置!$Z$4)^(('实盘净值数据(iFinD）'!$A205-'实盘净值数据(iFinD）'!$A$6)/365))</f>
        <v/>
      </c>
      <c r="C205" s="16" t="str">
        <f t="shared" si="18"/>
        <v/>
      </c>
      <c r="D205" s="16" t="str">
        <f>IF(B205="","",B205/MAX(B$5:B205)-1)</f>
        <v/>
      </c>
      <c r="E205" s="13" t="str">
        <f>IF(OR('实盘净值数据(iFinD）'!$A205="",'实盘净值数据(iFinD）'!$B205=""),"",分期持仓明细!$AB$18*SUMPRODUCT(分期持仓明细!$B$18:$Y$18,'实盘净值数据(iFinD）'!$B205:$Y205/'实盘净值数据(iFinD）'!$B$20:$Y$20)*(1-实盘持仓初始配置!$Z$5)^(('实盘净值数据(iFinD）'!$A205-'实盘净值数据(iFinD）'!$A$5)/365))</f>
        <v/>
      </c>
      <c r="F205" s="16" t="str">
        <f t="shared" si="19"/>
        <v/>
      </c>
      <c r="G205" s="16" t="str">
        <f>IF(E205="","",E205/MAX(E$5:E205)-1)</f>
        <v/>
      </c>
      <c r="H205" s="13" t="str">
        <f>IF(OR('实盘净值数据(iFinD）'!$A205="",'实盘净值数据(iFinD）'!$B205=""),"",分期持仓明细!$AB$19*SUMPRODUCT(分期持仓明细!$B$19:$Y$19,'实盘净值数据(iFinD）'!$B205:$Y205/'实盘净值数据(iFinD）'!$B$20:$Y$20)*(1-实盘持仓初始配置!$Z$6)^(('实盘净值数据(iFinD）'!$A205-'实盘净值数据(iFinD）'!$A$7)/365))</f>
        <v/>
      </c>
      <c r="I205" s="16" t="str">
        <f t="shared" si="20"/>
        <v/>
      </c>
      <c r="J205" s="16" t="str">
        <f>IF(H205="","",H205/MAX(H$5:H205)-1)</f>
        <v/>
      </c>
      <c r="K205" s="13" t="str">
        <f>IF(OR('实盘净值数据(iFinD）'!$A205="",'实盘净值数据(iFinD）'!$B205="",'实盘净值数据(iFinD）'!$Z205="",'实盘净值数据(iFinD）'!$AA205=""),"",分期持仓明细!$AB$23*(SUMPRODUCT(分期持仓明细!$B$23:$Y$23,'实盘净值数据(iFinD）'!$B205:$Y205/'实盘净值数据(iFinD）'!$B$65:$Y$65)+SUMPRODUCT(分期持仓明细!$AC$23:$AD$23,'实盘净值数据(iFinD）'!$Z205:$AA205/'实盘净值数据(iFinD）'!$Z$65:$AA$65))*(1-实盘持仓初始配置!$Z$7)^(('实盘净值数据(iFinD）'!$A205-'实盘净值数据(iFinD）'!$A$8)/365))</f>
        <v/>
      </c>
      <c r="L205" s="16" t="str">
        <f t="shared" si="21"/>
        <v/>
      </c>
      <c r="M205" s="16" t="str">
        <f>IF(K205="","",K205/MAX(K$5:K205)-1)</f>
        <v/>
      </c>
      <c r="N205" s="13" t="str">
        <f>IF(OR('实盘净值数据(iFinD）'!$A205="",'实盘净值数据(iFinD）'!$B205="",'实盘净值数据(iFinD）'!$Z205="",'实盘净值数据(iFinD）'!$AA205=""),"",分期持仓明细!$AB$24*(SUMPRODUCT(分期持仓明细!$B$24:$Y$24,'实盘净值数据(iFinD）'!$B205:$Y205/'实盘净值数据(iFinD）'!$B$65:$Y$65)+SUMPRODUCT(分期持仓明细!$AC$24:$AD$24,'实盘净值数据(iFinD）'!$Z205:$AA205/'实盘净值数据(iFinD）'!$Z$65:$AA$65))*(1-实盘持仓初始配置!$Z$8)^(('实盘净值数据(iFinD）'!$A205-'实盘净值数据(iFinD）'!$A$5)/365))</f>
        <v/>
      </c>
      <c r="O205" s="16" t="str">
        <f t="shared" si="22"/>
        <v/>
      </c>
      <c r="P205" s="16" t="str">
        <f>IF(N205="","",N205/MAX(N$5:N205)-1)</f>
        <v/>
      </c>
      <c r="Q205" s="13" t="str">
        <f>IF(OR('实盘净值数据(iFinD）'!$A205="",'实盘净值数据(iFinD）'!$B205="",'实盘净值数据(iFinD）'!$Z205="",'实盘净值数据(iFinD）'!$AA205=""),"",分期持仓明细!$AB$25*(SUMPRODUCT(分期持仓明细!$B$25:$Y$25,'实盘净值数据(iFinD）'!$B205:$Y205/'实盘净值数据(iFinD）'!$B$65:$Y$65)+SUMPRODUCT(分期持仓明细!$AC$25:$AD$25,'实盘净值数据(iFinD）'!$Z205:$AA205/'实盘净值数据(iFinD）'!$Z$65:$AA$65))*(1-实盘持仓初始配置!$Z$9)^(('实盘净值数据(iFinD）'!$A205-'实盘净值数据(iFinD）'!$A$8)/365))</f>
        <v/>
      </c>
      <c r="R205" s="16" t="str">
        <f t="shared" si="23"/>
        <v/>
      </c>
      <c r="S205" s="16" t="str">
        <f>IF(Q205="","",Q205/MAX(Q$5:Q205)-1)</f>
        <v/>
      </c>
    </row>
    <row r="206" spans="1:19">
      <c r="A206" s="15" t="str">
        <f>IF('实盘净值数据(iFinD）'!A206="","",'实盘净值数据(iFinD）'!A206)</f>
        <v/>
      </c>
      <c r="B206" s="13" t="str">
        <f>IF(OR('实盘净值数据(iFinD）'!$A206="",'实盘净值数据(iFinD）'!$B206=""),"",分期持仓明细!$AB$17*SUMPRODUCT(分期持仓明细!$B$17:$Y$17,'实盘净值数据(iFinD）'!$B206:$Y206/'实盘净值数据(iFinD）'!$B$20:$Y$20)*(1-实盘持仓初始配置!$Z$4)^(('实盘净值数据(iFinD）'!$A206-'实盘净值数据(iFinD）'!$A$6)/365))</f>
        <v/>
      </c>
      <c r="C206" s="16" t="str">
        <f t="shared" si="18"/>
        <v/>
      </c>
      <c r="D206" s="16" t="str">
        <f>IF(B206="","",B206/MAX(B$5:B206)-1)</f>
        <v/>
      </c>
      <c r="E206" s="13" t="str">
        <f>IF(OR('实盘净值数据(iFinD）'!$A206="",'实盘净值数据(iFinD）'!$B206=""),"",分期持仓明细!$AB$18*SUMPRODUCT(分期持仓明细!$B$18:$Y$18,'实盘净值数据(iFinD）'!$B206:$Y206/'实盘净值数据(iFinD）'!$B$20:$Y$20)*(1-实盘持仓初始配置!$Z$5)^(('实盘净值数据(iFinD）'!$A206-'实盘净值数据(iFinD）'!$A$5)/365))</f>
        <v/>
      </c>
      <c r="F206" s="16" t="str">
        <f t="shared" si="19"/>
        <v/>
      </c>
      <c r="G206" s="16" t="str">
        <f>IF(E206="","",E206/MAX(E$5:E206)-1)</f>
        <v/>
      </c>
      <c r="H206" s="13" t="str">
        <f>IF(OR('实盘净值数据(iFinD）'!$A206="",'实盘净值数据(iFinD）'!$B206=""),"",分期持仓明细!$AB$19*SUMPRODUCT(分期持仓明细!$B$19:$Y$19,'实盘净值数据(iFinD）'!$B206:$Y206/'实盘净值数据(iFinD）'!$B$20:$Y$20)*(1-实盘持仓初始配置!$Z$6)^(('实盘净值数据(iFinD）'!$A206-'实盘净值数据(iFinD）'!$A$7)/365))</f>
        <v/>
      </c>
      <c r="I206" s="16" t="str">
        <f t="shared" si="20"/>
        <v/>
      </c>
      <c r="J206" s="16" t="str">
        <f>IF(H206="","",H206/MAX(H$5:H206)-1)</f>
        <v/>
      </c>
      <c r="K206" s="13" t="str">
        <f>IF(OR('实盘净值数据(iFinD）'!$A206="",'实盘净值数据(iFinD）'!$B206="",'实盘净值数据(iFinD）'!$Z206="",'实盘净值数据(iFinD）'!$AA206=""),"",分期持仓明细!$AB$23*(SUMPRODUCT(分期持仓明细!$B$23:$Y$23,'实盘净值数据(iFinD）'!$B206:$Y206/'实盘净值数据(iFinD）'!$B$65:$Y$65)+SUMPRODUCT(分期持仓明细!$AC$23:$AD$23,'实盘净值数据(iFinD）'!$Z206:$AA206/'实盘净值数据(iFinD）'!$Z$65:$AA$65))*(1-实盘持仓初始配置!$Z$7)^(('实盘净值数据(iFinD）'!$A206-'实盘净值数据(iFinD）'!$A$8)/365))</f>
        <v/>
      </c>
      <c r="L206" s="16" t="str">
        <f t="shared" si="21"/>
        <v/>
      </c>
      <c r="M206" s="16" t="str">
        <f>IF(K206="","",K206/MAX(K$5:K206)-1)</f>
        <v/>
      </c>
      <c r="N206" s="13" t="str">
        <f>IF(OR('实盘净值数据(iFinD）'!$A206="",'实盘净值数据(iFinD）'!$B206="",'实盘净值数据(iFinD）'!$Z206="",'实盘净值数据(iFinD）'!$AA206=""),"",分期持仓明细!$AB$24*(SUMPRODUCT(分期持仓明细!$B$24:$Y$24,'实盘净值数据(iFinD）'!$B206:$Y206/'实盘净值数据(iFinD）'!$B$65:$Y$65)+SUMPRODUCT(分期持仓明细!$AC$24:$AD$24,'实盘净值数据(iFinD）'!$Z206:$AA206/'实盘净值数据(iFinD）'!$Z$65:$AA$65))*(1-实盘持仓初始配置!$Z$8)^(('实盘净值数据(iFinD）'!$A206-'实盘净值数据(iFinD）'!$A$5)/365))</f>
        <v/>
      </c>
      <c r="O206" s="16" t="str">
        <f t="shared" si="22"/>
        <v/>
      </c>
      <c r="P206" s="16" t="str">
        <f>IF(N206="","",N206/MAX(N$5:N206)-1)</f>
        <v/>
      </c>
      <c r="Q206" s="13" t="str">
        <f>IF(OR('实盘净值数据(iFinD）'!$A206="",'实盘净值数据(iFinD）'!$B206="",'实盘净值数据(iFinD）'!$Z206="",'实盘净值数据(iFinD）'!$AA206=""),"",分期持仓明细!$AB$25*(SUMPRODUCT(分期持仓明细!$B$25:$Y$25,'实盘净值数据(iFinD）'!$B206:$Y206/'实盘净值数据(iFinD）'!$B$65:$Y$65)+SUMPRODUCT(分期持仓明细!$AC$25:$AD$25,'实盘净值数据(iFinD）'!$Z206:$AA206/'实盘净值数据(iFinD）'!$Z$65:$AA$65))*(1-实盘持仓初始配置!$Z$9)^(('实盘净值数据(iFinD）'!$A206-'实盘净值数据(iFinD）'!$A$8)/365))</f>
        <v/>
      </c>
      <c r="R206" s="16" t="str">
        <f t="shared" si="23"/>
        <v/>
      </c>
      <c r="S206" s="16" t="str">
        <f>IF(Q206="","",Q206/MAX(Q$5:Q206)-1)</f>
        <v/>
      </c>
    </row>
    <row r="207" spans="1:19">
      <c r="A207" s="15" t="str">
        <f>IF('实盘净值数据(iFinD）'!A207="","",'实盘净值数据(iFinD）'!A207)</f>
        <v/>
      </c>
      <c r="B207" s="13" t="str">
        <f>IF(OR('实盘净值数据(iFinD）'!$A207="",'实盘净值数据(iFinD）'!$B207=""),"",分期持仓明细!$AB$17*SUMPRODUCT(分期持仓明细!$B$17:$Y$17,'实盘净值数据(iFinD）'!$B207:$Y207/'实盘净值数据(iFinD）'!$B$20:$Y$20)*(1-实盘持仓初始配置!$Z$4)^(('实盘净值数据(iFinD）'!$A207-'实盘净值数据(iFinD）'!$A$6)/365))</f>
        <v/>
      </c>
      <c r="C207" s="16" t="str">
        <f t="shared" si="18"/>
        <v/>
      </c>
      <c r="D207" s="16" t="str">
        <f>IF(B207="","",B207/MAX(B$5:B207)-1)</f>
        <v/>
      </c>
      <c r="E207" s="13" t="str">
        <f>IF(OR('实盘净值数据(iFinD）'!$A207="",'实盘净值数据(iFinD）'!$B207=""),"",分期持仓明细!$AB$18*SUMPRODUCT(分期持仓明细!$B$18:$Y$18,'实盘净值数据(iFinD）'!$B207:$Y207/'实盘净值数据(iFinD）'!$B$20:$Y$20)*(1-实盘持仓初始配置!$Z$5)^(('实盘净值数据(iFinD）'!$A207-'实盘净值数据(iFinD）'!$A$5)/365))</f>
        <v/>
      </c>
      <c r="F207" s="16" t="str">
        <f t="shared" si="19"/>
        <v/>
      </c>
      <c r="G207" s="16" t="str">
        <f>IF(E207="","",E207/MAX(E$5:E207)-1)</f>
        <v/>
      </c>
      <c r="H207" s="13" t="str">
        <f>IF(OR('实盘净值数据(iFinD）'!$A207="",'实盘净值数据(iFinD）'!$B207=""),"",分期持仓明细!$AB$19*SUMPRODUCT(分期持仓明细!$B$19:$Y$19,'实盘净值数据(iFinD）'!$B207:$Y207/'实盘净值数据(iFinD）'!$B$20:$Y$20)*(1-实盘持仓初始配置!$Z$6)^(('实盘净值数据(iFinD）'!$A207-'实盘净值数据(iFinD）'!$A$7)/365))</f>
        <v/>
      </c>
      <c r="I207" s="16" t="str">
        <f t="shared" si="20"/>
        <v/>
      </c>
      <c r="J207" s="16" t="str">
        <f>IF(H207="","",H207/MAX(H$5:H207)-1)</f>
        <v/>
      </c>
      <c r="K207" s="13" t="str">
        <f>IF(OR('实盘净值数据(iFinD）'!$A207="",'实盘净值数据(iFinD）'!$B207="",'实盘净值数据(iFinD）'!$Z207="",'实盘净值数据(iFinD）'!$AA207=""),"",分期持仓明细!$AB$23*(SUMPRODUCT(分期持仓明细!$B$23:$Y$23,'实盘净值数据(iFinD）'!$B207:$Y207/'实盘净值数据(iFinD）'!$B$65:$Y$65)+SUMPRODUCT(分期持仓明细!$AC$23:$AD$23,'实盘净值数据(iFinD）'!$Z207:$AA207/'实盘净值数据(iFinD）'!$Z$65:$AA$65))*(1-实盘持仓初始配置!$Z$7)^(('实盘净值数据(iFinD）'!$A207-'实盘净值数据(iFinD）'!$A$8)/365))</f>
        <v/>
      </c>
      <c r="L207" s="16" t="str">
        <f t="shared" si="21"/>
        <v/>
      </c>
      <c r="M207" s="16" t="str">
        <f>IF(K207="","",K207/MAX(K$5:K207)-1)</f>
        <v/>
      </c>
      <c r="N207" s="13" t="str">
        <f>IF(OR('实盘净值数据(iFinD）'!$A207="",'实盘净值数据(iFinD）'!$B207="",'实盘净值数据(iFinD）'!$Z207="",'实盘净值数据(iFinD）'!$AA207=""),"",分期持仓明细!$AB$24*(SUMPRODUCT(分期持仓明细!$B$24:$Y$24,'实盘净值数据(iFinD）'!$B207:$Y207/'实盘净值数据(iFinD）'!$B$65:$Y$65)+SUMPRODUCT(分期持仓明细!$AC$24:$AD$24,'实盘净值数据(iFinD）'!$Z207:$AA207/'实盘净值数据(iFinD）'!$Z$65:$AA$65))*(1-实盘持仓初始配置!$Z$8)^(('实盘净值数据(iFinD）'!$A207-'实盘净值数据(iFinD）'!$A$5)/365))</f>
        <v/>
      </c>
      <c r="O207" s="16" t="str">
        <f t="shared" si="22"/>
        <v/>
      </c>
      <c r="P207" s="16" t="str">
        <f>IF(N207="","",N207/MAX(N$5:N207)-1)</f>
        <v/>
      </c>
      <c r="Q207" s="13" t="str">
        <f>IF(OR('实盘净值数据(iFinD）'!$A207="",'实盘净值数据(iFinD）'!$B207="",'实盘净值数据(iFinD）'!$Z207="",'实盘净值数据(iFinD）'!$AA207=""),"",分期持仓明细!$AB$25*(SUMPRODUCT(分期持仓明细!$B$25:$Y$25,'实盘净值数据(iFinD）'!$B207:$Y207/'实盘净值数据(iFinD）'!$B$65:$Y$65)+SUMPRODUCT(分期持仓明细!$AC$25:$AD$25,'实盘净值数据(iFinD）'!$Z207:$AA207/'实盘净值数据(iFinD）'!$Z$65:$AA$65))*(1-实盘持仓初始配置!$Z$9)^(('实盘净值数据(iFinD）'!$A207-'实盘净值数据(iFinD）'!$A$8)/365))</f>
        <v/>
      </c>
      <c r="R207" s="16" t="str">
        <f t="shared" si="23"/>
        <v/>
      </c>
      <c r="S207" s="16" t="str">
        <f>IF(Q207="","",Q207/MAX(Q$5:Q207)-1)</f>
        <v/>
      </c>
    </row>
    <row r="208" spans="1:19">
      <c r="A208" s="15" t="str">
        <f>IF('实盘净值数据(iFinD）'!A208="","",'实盘净值数据(iFinD）'!A208)</f>
        <v/>
      </c>
      <c r="B208" s="13" t="str">
        <f>IF(OR('实盘净值数据(iFinD）'!$A208="",'实盘净值数据(iFinD）'!$B208=""),"",分期持仓明细!$AB$17*SUMPRODUCT(分期持仓明细!$B$17:$Y$17,'实盘净值数据(iFinD）'!$B208:$Y208/'实盘净值数据(iFinD）'!$B$20:$Y$20)*(1-实盘持仓初始配置!$Z$4)^(('实盘净值数据(iFinD）'!$A208-'实盘净值数据(iFinD）'!$A$6)/365))</f>
        <v/>
      </c>
      <c r="C208" s="16" t="str">
        <f t="shared" si="18"/>
        <v/>
      </c>
      <c r="D208" s="16" t="str">
        <f>IF(B208="","",B208/MAX(B$5:B208)-1)</f>
        <v/>
      </c>
      <c r="E208" s="13" t="str">
        <f>IF(OR('实盘净值数据(iFinD）'!$A208="",'实盘净值数据(iFinD）'!$B208=""),"",分期持仓明细!$AB$18*SUMPRODUCT(分期持仓明细!$B$18:$Y$18,'实盘净值数据(iFinD）'!$B208:$Y208/'实盘净值数据(iFinD）'!$B$20:$Y$20)*(1-实盘持仓初始配置!$Z$5)^(('实盘净值数据(iFinD）'!$A208-'实盘净值数据(iFinD）'!$A$5)/365))</f>
        <v/>
      </c>
      <c r="F208" s="16" t="str">
        <f t="shared" si="19"/>
        <v/>
      </c>
      <c r="G208" s="16" t="str">
        <f>IF(E208="","",E208/MAX(E$5:E208)-1)</f>
        <v/>
      </c>
      <c r="H208" s="13" t="str">
        <f>IF(OR('实盘净值数据(iFinD）'!$A208="",'实盘净值数据(iFinD）'!$B208=""),"",分期持仓明细!$AB$19*SUMPRODUCT(分期持仓明细!$B$19:$Y$19,'实盘净值数据(iFinD）'!$B208:$Y208/'实盘净值数据(iFinD）'!$B$20:$Y$20)*(1-实盘持仓初始配置!$Z$6)^(('实盘净值数据(iFinD）'!$A208-'实盘净值数据(iFinD）'!$A$7)/365))</f>
        <v/>
      </c>
      <c r="I208" s="16" t="str">
        <f t="shared" si="20"/>
        <v/>
      </c>
      <c r="J208" s="16" t="str">
        <f>IF(H208="","",H208/MAX(H$5:H208)-1)</f>
        <v/>
      </c>
      <c r="K208" s="13" t="str">
        <f>IF(OR('实盘净值数据(iFinD）'!$A208="",'实盘净值数据(iFinD）'!$B208="",'实盘净值数据(iFinD）'!$Z208="",'实盘净值数据(iFinD）'!$AA208=""),"",分期持仓明细!$AB$23*(SUMPRODUCT(分期持仓明细!$B$23:$Y$23,'实盘净值数据(iFinD）'!$B208:$Y208/'实盘净值数据(iFinD）'!$B$65:$Y$65)+SUMPRODUCT(分期持仓明细!$AC$23:$AD$23,'实盘净值数据(iFinD）'!$Z208:$AA208/'实盘净值数据(iFinD）'!$Z$65:$AA$65))*(1-实盘持仓初始配置!$Z$7)^(('实盘净值数据(iFinD）'!$A208-'实盘净值数据(iFinD）'!$A$8)/365))</f>
        <v/>
      </c>
      <c r="L208" s="16" t="str">
        <f t="shared" si="21"/>
        <v/>
      </c>
      <c r="M208" s="16" t="str">
        <f>IF(K208="","",K208/MAX(K$5:K208)-1)</f>
        <v/>
      </c>
      <c r="N208" s="13" t="str">
        <f>IF(OR('实盘净值数据(iFinD）'!$A208="",'实盘净值数据(iFinD）'!$B208="",'实盘净值数据(iFinD）'!$Z208="",'实盘净值数据(iFinD）'!$AA208=""),"",分期持仓明细!$AB$24*(SUMPRODUCT(分期持仓明细!$B$24:$Y$24,'实盘净值数据(iFinD）'!$B208:$Y208/'实盘净值数据(iFinD）'!$B$65:$Y$65)+SUMPRODUCT(分期持仓明细!$AC$24:$AD$24,'实盘净值数据(iFinD）'!$Z208:$AA208/'实盘净值数据(iFinD）'!$Z$65:$AA$65))*(1-实盘持仓初始配置!$Z$8)^(('实盘净值数据(iFinD）'!$A208-'实盘净值数据(iFinD）'!$A$5)/365))</f>
        <v/>
      </c>
      <c r="O208" s="16" t="str">
        <f t="shared" si="22"/>
        <v/>
      </c>
      <c r="P208" s="16" t="str">
        <f>IF(N208="","",N208/MAX(N$5:N208)-1)</f>
        <v/>
      </c>
      <c r="Q208" s="13" t="str">
        <f>IF(OR('实盘净值数据(iFinD）'!$A208="",'实盘净值数据(iFinD）'!$B208="",'实盘净值数据(iFinD）'!$Z208="",'实盘净值数据(iFinD）'!$AA208=""),"",分期持仓明细!$AB$25*(SUMPRODUCT(分期持仓明细!$B$25:$Y$25,'实盘净值数据(iFinD）'!$B208:$Y208/'实盘净值数据(iFinD）'!$B$65:$Y$65)+SUMPRODUCT(分期持仓明细!$AC$25:$AD$25,'实盘净值数据(iFinD）'!$Z208:$AA208/'实盘净值数据(iFinD）'!$Z$65:$AA$65))*(1-实盘持仓初始配置!$Z$9)^(('实盘净值数据(iFinD）'!$A208-'实盘净值数据(iFinD）'!$A$8)/365))</f>
        <v/>
      </c>
      <c r="R208" s="16" t="str">
        <f t="shared" si="23"/>
        <v/>
      </c>
      <c r="S208" s="16" t="str">
        <f>IF(Q208="","",Q208/MAX(Q$5:Q208)-1)</f>
        <v/>
      </c>
    </row>
    <row r="209" spans="1:19">
      <c r="A209" s="15" t="str">
        <f>IF('实盘净值数据(iFinD）'!A209="","",'实盘净值数据(iFinD）'!A209)</f>
        <v/>
      </c>
      <c r="B209" s="13" t="str">
        <f>IF(OR('实盘净值数据(iFinD）'!$A209="",'实盘净值数据(iFinD）'!$B209=""),"",分期持仓明细!$AB$17*SUMPRODUCT(分期持仓明细!$B$17:$Y$17,'实盘净值数据(iFinD）'!$B209:$Y209/'实盘净值数据(iFinD）'!$B$20:$Y$20)*(1-实盘持仓初始配置!$Z$4)^(('实盘净值数据(iFinD）'!$A209-'实盘净值数据(iFinD）'!$A$6)/365))</f>
        <v/>
      </c>
      <c r="C209" s="16" t="str">
        <f t="shared" si="18"/>
        <v/>
      </c>
      <c r="D209" s="16" t="str">
        <f>IF(B209="","",B209/MAX(B$5:B209)-1)</f>
        <v/>
      </c>
      <c r="E209" s="13" t="str">
        <f>IF(OR('实盘净值数据(iFinD）'!$A209="",'实盘净值数据(iFinD）'!$B209=""),"",分期持仓明细!$AB$18*SUMPRODUCT(分期持仓明细!$B$18:$Y$18,'实盘净值数据(iFinD）'!$B209:$Y209/'实盘净值数据(iFinD）'!$B$20:$Y$20)*(1-实盘持仓初始配置!$Z$5)^(('实盘净值数据(iFinD）'!$A209-'实盘净值数据(iFinD）'!$A$5)/365))</f>
        <v/>
      </c>
      <c r="F209" s="16" t="str">
        <f t="shared" si="19"/>
        <v/>
      </c>
      <c r="G209" s="16" t="str">
        <f>IF(E209="","",E209/MAX(E$5:E209)-1)</f>
        <v/>
      </c>
      <c r="H209" s="13" t="str">
        <f>IF(OR('实盘净值数据(iFinD）'!$A209="",'实盘净值数据(iFinD）'!$B209=""),"",分期持仓明细!$AB$19*SUMPRODUCT(分期持仓明细!$B$19:$Y$19,'实盘净值数据(iFinD）'!$B209:$Y209/'实盘净值数据(iFinD）'!$B$20:$Y$20)*(1-实盘持仓初始配置!$Z$6)^(('实盘净值数据(iFinD）'!$A209-'实盘净值数据(iFinD）'!$A$7)/365))</f>
        <v/>
      </c>
      <c r="I209" s="16" t="str">
        <f t="shared" si="20"/>
        <v/>
      </c>
      <c r="J209" s="16" t="str">
        <f>IF(H209="","",H209/MAX(H$5:H209)-1)</f>
        <v/>
      </c>
      <c r="K209" s="13" t="str">
        <f>IF(OR('实盘净值数据(iFinD）'!$A209="",'实盘净值数据(iFinD）'!$B209="",'实盘净值数据(iFinD）'!$Z209="",'实盘净值数据(iFinD）'!$AA209=""),"",分期持仓明细!$AB$23*(SUMPRODUCT(分期持仓明细!$B$23:$Y$23,'实盘净值数据(iFinD）'!$B209:$Y209/'实盘净值数据(iFinD）'!$B$65:$Y$65)+SUMPRODUCT(分期持仓明细!$AC$23:$AD$23,'实盘净值数据(iFinD）'!$Z209:$AA209/'实盘净值数据(iFinD）'!$Z$65:$AA$65))*(1-实盘持仓初始配置!$Z$7)^(('实盘净值数据(iFinD）'!$A209-'实盘净值数据(iFinD）'!$A$8)/365))</f>
        <v/>
      </c>
      <c r="L209" s="16" t="str">
        <f t="shared" si="21"/>
        <v/>
      </c>
      <c r="M209" s="16" t="str">
        <f>IF(K209="","",K209/MAX(K$5:K209)-1)</f>
        <v/>
      </c>
      <c r="N209" s="13" t="str">
        <f>IF(OR('实盘净值数据(iFinD）'!$A209="",'实盘净值数据(iFinD）'!$B209="",'实盘净值数据(iFinD）'!$Z209="",'实盘净值数据(iFinD）'!$AA209=""),"",分期持仓明细!$AB$24*(SUMPRODUCT(分期持仓明细!$B$24:$Y$24,'实盘净值数据(iFinD）'!$B209:$Y209/'实盘净值数据(iFinD）'!$B$65:$Y$65)+SUMPRODUCT(分期持仓明细!$AC$24:$AD$24,'实盘净值数据(iFinD）'!$Z209:$AA209/'实盘净值数据(iFinD）'!$Z$65:$AA$65))*(1-实盘持仓初始配置!$Z$8)^(('实盘净值数据(iFinD）'!$A209-'实盘净值数据(iFinD）'!$A$5)/365))</f>
        <v/>
      </c>
      <c r="O209" s="16" t="str">
        <f t="shared" si="22"/>
        <v/>
      </c>
      <c r="P209" s="16" t="str">
        <f>IF(N209="","",N209/MAX(N$5:N209)-1)</f>
        <v/>
      </c>
      <c r="Q209" s="13" t="str">
        <f>IF(OR('实盘净值数据(iFinD）'!$A209="",'实盘净值数据(iFinD）'!$B209="",'实盘净值数据(iFinD）'!$Z209="",'实盘净值数据(iFinD）'!$AA209=""),"",分期持仓明细!$AB$25*(SUMPRODUCT(分期持仓明细!$B$25:$Y$25,'实盘净值数据(iFinD）'!$B209:$Y209/'实盘净值数据(iFinD）'!$B$65:$Y$65)+SUMPRODUCT(分期持仓明细!$AC$25:$AD$25,'实盘净值数据(iFinD）'!$Z209:$AA209/'实盘净值数据(iFinD）'!$Z$65:$AA$65))*(1-实盘持仓初始配置!$Z$9)^(('实盘净值数据(iFinD）'!$A209-'实盘净值数据(iFinD）'!$A$8)/365))</f>
        <v/>
      </c>
      <c r="R209" s="16" t="str">
        <f t="shared" si="23"/>
        <v/>
      </c>
      <c r="S209" s="16" t="str">
        <f>IF(Q209="","",Q209/MAX(Q$5:Q209)-1)</f>
        <v/>
      </c>
    </row>
    <row r="210" spans="1:19">
      <c r="A210" s="15" t="str">
        <f>IF('实盘净值数据(iFinD）'!A210="","",'实盘净值数据(iFinD）'!A210)</f>
        <v/>
      </c>
      <c r="B210" s="13" t="str">
        <f>IF(OR('实盘净值数据(iFinD）'!$A210="",'实盘净值数据(iFinD）'!$B210=""),"",分期持仓明细!$AB$17*SUMPRODUCT(分期持仓明细!$B$17:$Y$17,'实盘净值数据(iFinD）'!$B210:$Y210/'实盘净值数据(iFinD）'!$B$20:$Y$20)*(1-实盘持仓初始配置!$Z$4)^(('实盘净值数据(iFinD）'!$A210-'实盘净值数据(iFinD）'!$A$6)/365))</f>
        <v/>
      </c>
      <c r="C210" s="16" t="str">
        <f t="shared" si="18"/>
        <v/>
      </c>
      <c r="D210" s="16" t="str">
        <f>IF(B210="","",B210/MAX(B$5:B210)-1)</f>
        <v/>
      </c>
      <c r="E210" s="13" t="str">
        <f>IF(OR('实盘净值数据(iFinD）'!$A210="",'实盘净值数据(iFinD）'!$B210=""),"",分期持仓明细!$AB$18*SUMPRODUCT(分期持仓明细!$B$18:$Y$18,'实盘净值数据(iFinD）'!$B210:$Y210/'实盘净值数据(iFinD）'!$B$20:$Y$20)*(1-实盘持仓初始配置!$Z$5)^(('实盘净值数据(iFinD）'!$A210-'实盘净值数据(iFinD）'!$A$5)/365))</f>
        <v/>
      </c>
      <c r="F210" s="16" t="str">
        <f t="shared" si="19"/>
        <v/>
      </c>
      <c r="G210" s="16" t="str">
        <f>IF(E210="","",E210/MAX(E$5:E210)-1)</f>
        <v/>
      </c>
      <c r="H210" s="13" t="str">
        <f>IF(OR('实盘净值数据(iFinD）'!$A210="",'实盘净值数据(iFinD）'!$B210=""),"",分期持仓明细!$AB$19*SUMPRODUCT(分期持仓明细!$B$19:$Y$19,'实盘净值数据(iFinD）'!$B210:$Y210/'实盘净值数据(iFinD）'!$B$20:$Y$20)*(1-实盘持仓初始配置!$Z$6)^(('实盘净值数据(iFinD）'!$A210-'实盘净值数据(iFinD）'!$A$7)/365))</f>
        <v/>
      </c>
      <c r="I210" s="16" t="str">
        <f t="shared" si="20"/>
        <v/>
      </c>
      <c r="J210" s="16" t="str">
        <f>IF(H210="","",H210/MAX(H$5:H210)-1)</f>
        <v/>
      </c>
      <c r="K210" s="13" t="str">
        <f>IF(OR('实盘净值数据(iFinD）'!$A210="",'实盘净值数据(iFinD）'!$B210="",'实盘净值数据(iFinD）'!$Z210="",'实盘净值数据(iFinD）'!$AA210=""),"",分期持仓明细!$AB$23*(SUMPRODUCT(分期持仓明细!$B$23:$Y$23,'实盘净值数据(iFinD）'!$B210:$Y210/'实盘净值数据(iFinD）'!$B$65:$Y$65)+SUMPRODUCT(分期持仓明细!$AC$23:$AD$23,'实盘净值数据(iFinD）'!$Z210:$AA210/'实盘净值数据(iFinD）'!$Z$65:$AA$65))*(1-实盘持仓初始配置!$Z$7)^(('实盘净值数据(iFinD）'!$A210-'实盘净值数据(iFinD）'!$A$8)/365))</f>
        <v/>
      </c>
      <c r="L210" s="16" t="str">
        <f t="shared" si="21"/>
        <v/>
      </c>
      <c r="M210" s="16" t="str">
        <f>IF(K210="","",K210/MAX(K$5:K210)-1)</f>
        <v/>
      </c>
      <c r="N210" s="13" t="str">
        <f>IF(OR('实盘净值数据(iFinD）'!$A210="",'实盘净值数据(iFinD）'!$B210="",'实盘净值数据(iFinD）'!$Z210="",'实盘净值数据(iFinD）'!$AA210=""),"",分期持仓明细!$AB$24*(SUMPRODUCT(分期持仓明细!$B$24:$Y$24,'实盘净值数据(iFinD）'!$B210:$Y210/'实盘净值数据(iFinD）'!$B$65:$Y$65)+SUMPRODUCT(分期持仓明细!$AC$24:$AD$24,'实盘净值数据(iFinD）'!$Z210:$AA210/'实盘净值数据(iFinD）'!$Z$65:$AA$65))*(1-实盘持仓初始配置!$Z$8)^(('实盘净值数据(iFinD）'!$A210-'实盘净值数据(iFinD）'!$A$5)/365))</f>
        <v/>
      </c>
      <c r="O210" s="16" t="str">
        <f t="shared" si="22"/>
        <v/>
      </c>
      <c r="P210" s="16" t="str">
        <f>IF(N210="","",N210/MAX(N$5:N210)-1)</f>
        <v/>
      </c>
      <c r="Q210" s="13" t="str">
        <f>IF(OR('实盘净值数据(iFinD）'!$A210="",'实盘净值数据(iFinD）'!$B210="",'实盘净值数据(iFinD）'!$Z210="",'实盘净值数据(iFinD）'!$AA210=""),"",分期持仓明细!$AB$25*(SUMPRODUCT(分期持仓明细!$B$25:$Y$25,'实盘净值数据(iFinD）'!$B210:$Y210/'实盘净值数据(iFinD）'!$B$65:$Y$65)+SUMPRODUCT(分期持仓明细!$AC$25:$AD$25,'实盘净值数据(iFinD）'!$Z210:$AA210/'实盘净值数据(iFinD）'!$Z$65:$AA$65))*(1-实盘持仓初始配置!$Z$9)^(('实盘净值数据(iFinD）'!$A210-'实盘净值数据(iFinD）'!$A$8)/365))</f>
        <v/>
      </c>
      <c r="R210" s="16" t="str">
        <f t="shared" si="23"/>
        <v/>
      </c>
      <c r="S210" s="16" t="str">
        <f>IF(Q210="","",Q210/MAX(Q$5:Q210)-1)</f>
        <v/>
      </c>
    </row>
    <row r="211" spans="1:19">
      <c r="A211" s="15" t="str">
        <f>IF('实盘净值数据(iFinD）'!A211="","",'实盘净值数据(iFinD）'!A211)</f>
        <v/>
      </c>
      <c r="B211" s="13" t="str">
        <f>IF(OR('实盘净值数据(iFinD）'!$A211="",'实盘净值数据(iFinD）'!$B211=""),"",分期持仓明细!$AB$17*SUMPRODUCT(分期持仓明细!$B$17:$Y$17,'实盘净值数据(iFinD）'!$B211:$Y211/'实盘净值数据(iFinD）'!$B$20:$Y$20)*(1-实盘持仓初始配置!$Z$4)^(('实盘净值数据(iFinD）'!$A211-'实盘净值数据(iFinD）'!$A$6)/365))</f>
        <v/>
      </c>
      <c r="C211" s="16" t="str">
        <f t="shared" si="18"/>
        <v/>
      </c>
      <c r="D211" s="16" t="str">
        <f>IF(B211="","",B211/MAX(B$5:B211)-1)</f>
        <v/>
      </c>
      <c r="E211" s="13" t="str">
        <f>IF(OR('实盘净值数据(iFinD）'!$A211="",'实盘净值数据(iFinD）'!$B211=""),"",分期持仓明细!$AB$18*SUMPRODUCT(分期持仓明细!$B$18:$Y$18,'实盘净值数据(iFinD）'!$B211:$Y211/'实盘净值数据(iFinD）'!$B$20:$Y$20)*(1-实盘持仓初始配置!$Z$5)^(('实盘净值数据(iFinD）'!$A211-'实盘净值数据(iFinD）'!$A$5)/365))</f>
        <v/>
      </c>
      <c r="F211" s="16" t="str">
        <f t="shared" si="19"/>
        <v/>
      </c>
      <c r="G211" s="16" t="str">
        <f>IF(E211="","",E211/MAX(E$5:E211)-1)</f>
        <v/>
      </c>
      <c r="H211" s="13" t="str">
        <f>IF(OR('实盘净值数据(iFinD）'!$A211="",'实盘净值数据(iFinD）'!$B211=""),"",分期持仓明细!$AB$19*SUMPRODUCT(分期持仓明细!$B$19:$Y$19,'实盘净值数据(iFinD）'!$B211:$Y211/'实盘净值数据(iFinD）'!$B$20:$Y$20)*(1-实盘持仓初始配置!$Z$6)^(('实盘净值数据(iFinD）'!$A211-'实盘净值数据(iFinD）'!$A$7)/365))</f>
        <v/>
      </c>
      <c r="I211" s="16" t="str">
        <f t="shared" si="20"/>
        <v/>
      </c>
      <c r="J211" s="16" t="str">
        <f>IF(H211="","",H211/MAX(H$5:H211)-1)</f>
        <v/>
      </c>
      <c r="K211" s="13" t="str">
        <f>IF(OR('实盘净值数据(iFinD）'!$A211="",'实盘净值数据(iFinD）'!$B211="",'实盘净值数据(iFinD）'!$Z211="",'实盘净值数据(iFinD）'!$AA211=""),"",分期持仓明细!$AB$23*(SUMPRODUCT(分期持仓明细!$B$23:$Y$23,'实盘净值数据(iFinD）'!$B211:$Y211/'实盘净值数据(iFinD）'!$B$65:$Y$65)+SUMPRODUCT(分期持仓明细!$AC$23:$AD$23,'实盘净值数据(iFinD）'!$Z211:$AA211/'实盘净值数据(iFinD）'!$Z$65:$AA$65))*(1-实盘持仓初始配置!$Z$7)^(('实盘净值数据(iFinD）'!$A211-'实盘净值数据(iFinD）'!$A$8)/365))</f>
        <v/>
      </c>
      <c r="L211" s="16" t="str">
        <f t="shared" si="21"/>
        <v/>
      </c>
      <c r="M211" s="16" t="str">
        <f>IF(K211="","",K211/MAX(K$5:K211)-1)</f>
        <v/>
      </c>
      <c r="N211" s="13" t="str">
        <f>IF(OR('实盘净值数据(iFinD）'!$A211="",'实盘净值数据(iFinD）'!$B211="",'实盘净值数据(iFinD）'!$Z211="",'实盘净值数据(iFinD）'!$AA211=""),"",分期持仓明细!$AB$24*(SUMPRODUCT(分期持仓明细!$B$24:$Y$24,'实盘净值数据(iFinD）'!$B211:$Y211/'实盘净值数据(iFinD）'!$B$65:$Y$65)+SUMPRODUCT(分期持仓明细!$AC$24:$AD$24,'实盘净值数据(iFinD）'!$Z211:$AA211/'实盘净值数据(iFinD）'!$Z$65:$AA$65))*(1-实盘持仓初始配置!$Z$8)^(('实盘净值数据(iFinD）'!$A211-'实盘净值数据(iFinD）'!$A$5)/365))</f>
        <v/>
      </c>
      <c r="O211" s="16" t="str">
        <f t="shared" si="22"/>
        <v/>
      </c>
      <c r="P211" s="16" t="str">
        <f>IF(N211="","",N211/MAX(N$5:N211)-1)</f>
        <v/>
      </c>
      <c r="Q211" s="13" t="str">
        <f>IF(OR('实盘净值数据(iFinD）'!$A211="",'实盘净值数据(iFinD）'!$B211="",'实盘净值数据(iFinD）'!$Z211="",'实盘净值数据(iFinD）'!$AA211=""),"",分期持仓明细!$AB$25*(SUMPRODUCT(分期持仓明细!$B$25:$Y$25,'实盘净值数据(iFinD）'!$B211:$Y211/'实盘净值数据(iFinD）'!$B$65:$Y$65)+SUMPRODUCT(分期持仓明细!$AC$25:$AD$25,'实盘净值数据(iFinD）'!$Z211:$AA211/'实盘净值数据(iFinD）'!$Z$65:$AA$65))*(1-实盘持仓初始配置!$Z$9)^(('实盘净值数据(iFinD）'!$A211-'实盘净值数据(iFinD）'!$A$8)/365))</f>
        <v/>
      </c>
      <c r="R211" s="16" t="str">
        <f t="shared" si="23"/>
        <v/>
      </c>
      <c r="S211" s="16" t="str">
        <f>IF(Q211="","",Q211/MAX(Q$5:Q211)-1)</f>
        <v/>
      </c>
    </row>
    <row r="212" spans="1:19">
      <c r="A212" s="15" t="str">
        <f>IF('实盘净值数据(iFinD）'!A212="","",'实盘净值数据(iFinD）'!A212)</f>
        <v/>
      </c>
      <c r="B212" s="13" t="str">
        <f>IF(OR('实盘净值数据(iFinD）'!$A212="",'实盘净值数据(iFinD）'!$B212=""),"",分期持仓明细!$AB$17*SUMPRODUCT(分期持仓明细!$B$17:$Y$17,'实盘净值数据(iFinD）'!$B212:$Y212/'实盘净值数据(iFinD）'!$B$20:$Y$20)*(1-实盘持仓初始配置!$Z$4)^(('实盘净值数据(iFinD）'!$A212-'实盘净值数据(iFinD）'!$A$6)/365))</f>
        <v/>
      </c>
      <c r="C212" s="16" t="str">
        <f t="shared" si="18"/>
        <v/>
      </c>
      <c r="D212" s="16" t="str">
        <f>IF(B212="","",B212/MAX(B$5:B212)-1)</f>
        <v/>
      </c>
      <c r="E212" s="13" t="str">
        <f>IF(OR('实盘净值数据(iFinD）'!$A212="",'实盘净值数据(iFinD）'!$B212=""),"",分期持仓明细!$AB$18*SUMPRODUCT(分期持仓明细!$B$18:$Y$18,'实盘净值数据(iFinD）'!$B212:$Y212/'实盘净值数据(iFinD）'!$B$20:$Y$20)*(1-实盘持仓初始配置!$Z$5)^(('实盘净值数据(iFinD）'!$A212-'实盘净值数据(iFinD）'!$A$5)/365))</f>
        <v/>
      </c>
      <c r="F212" s="16" t="str">
        <f t="shared" si="19"/>
        <v/>
      </c>
      <c r="G212" s="16" t="str">
        <f>IF(E212="","",E212/MAX(E$5:E212)-1)</f>
        <v/>
      </c>
      <c r="H212" s="13" t="str">
        <f>IF(OR('实盘净值数据(iFinD）'!$A212="",'实盘净值数据(iFinD）'!$B212=""),"",分期持仓明细!$AB$19*SUMPRODUCT(分期持仓明细!$B$19:$Y$19,'实盘净值数据(iFinD）'!$B212:$Y212/'实盘净值数据(iFinD）'!$B$20:$Y$20)*(1-实盘持仓初始配置!$Z$6)^(('实盘净值数据(iFinD）'!$A212-'实盘净值数据(iFinD）'!$A$7)/365))</f>
        <v/>
      </c>
      <c r="I212" s="16" t="str">
        <f t="shared" si="20"/>
        <v/>
      </c>
      <c r="J212" s="16" t="str">
        <f>IF(H212="","",H212/MAX(H$5:H212)-1)</f>
        <v/>
      </c>
      <c r="K212" s="13" t="str">
        <f>IF(OR('实盘净值数据(iFinD）'!$A212="",'实盘净值数据(iFinD）'!$B212="",'实盘净值数据(iFinD）'!$Z212="",'实盘净值数据(iFinD）'!$AA212=""),"",分期持仓明细!$AB$23*(SUMPRODUCT(分期持仓明细!$B$23:$Y$23,'实盘净值数据(iFinD）'!$B212:$Y212/'实盘净值数据(iFinD）'!$B$65:$Y$65)+SUMPRODUCT(分期持仓明细!$AC$23:$AD$23,'实盘净值数据(iFinD）'!$Z212:$AA212/'实盘净值数据(iFinD）'!$Z$65:$AA$65))*(1-实盘持仓初始配置!$Z$7)^(('实盘净值数据(iFinD）'!$A212-'实盘净值数据(iFinD）'!$A$8)/365))</f>
        <v/>
      </c>
      <c r="L212" s="16" t="str">
        <f t="shared" si="21"/>
        <v/>
      </c>
      <c r="M212" s="16" t="str">
        <f>IF(K212="","",K212/MAX(K$5:K212)-1)</f>
        <v/>
      </c>
      <c r="N212" s="13" t="str">
        <f>IF(OR('实盘净值数据(iFinD）'!$A212="",'实盘净值数据(iFinD）'!$B212="",'实盘净值数据(iFinD）'!$Z212="",'实盘净值数据(iFinD）'!$AA212=""),"",分期持仓明细!$AB$24*(SUMPRODUCT(分期持仓明细!$B$24:$Y$24,'实盘净值数据(iFinD）'!$B212:$Y212/'实盘净值数据(iFinD）'!$B$65:$Y$65)+SUMPRODUCT(分期持仓明细!$AC$24:$AD$24,'实盘净值数据(iFinD）'!$Z212:$AA212/'实盘净值数据(iFinD）'!$Z$65:$AA$65))*(1-实盘持仓初始配置!$Z$8)^(('实盘净值数据(iFinD）'!$A212-'实盘净值数据(iFinD）'!$A$5)/365))</f>
        <v/>
      </c>
      <c r="O212" s="16" t="str">
        <f t="shared" si="22"/>
        <v/>
      </c>
      <c r="P212" s="16" t="str">
        <f>IF(N212="","",N212/MAX(N$5:N212)-1)</f>
        <v/>
      </c>
      <c r="Q212" s="13" t="str">
        <f>IF(OR('实盘净值数据(iFinD）'!$A212="",'实盘净值数据(iFinD）'!$B212="",'实盘净值数据(iFinD）'!$Z212="",'实盘净值数据(iFinD）'!$AA212=""),"",分期持仓明细!$AB$25*(SUMPRODUCT(分期持仓明细!$B$25:$Y$25,'实盘净值数据(iFinD）'!$B212:$Y212/'实盘净值数据(iFinD）'!$B$65:$Y$65)+SUMPRODUCT(分期持仓明细!$AC$25:$AD$25,'实盘净值数据(iFinD）'!$Z212:$AA212/'实盘净值数据(iFinD）'!$Z$65:$AA$65))*(1-实盘持仓初始配置!$Z$9)^(('实盘净值数据(iFinD）'!$A212-'实盘净值数据(iFinD）'!$A$8)/365))</f>
        <v/>
      </c>
      <c r="R212" s="16" t="str">
        <f t="shared" si="23"/>
        <v/>
      </c>
      <c r="S212" s="16" t="str">
        <f>IF(Q212="","",Q212/MAX(Q$5:Q212)-1)</f>
        <v/>
      </c>
    </row>
    <row r="213" spans="1:19">
      <c r="A213" s="15" t="str">
        <f>IF('实盘净值数据(iFinD）'!A213="","",'实盘净值数据(iFinD）'!A213)</f>
        <v/>
      </c>
      <c r="B213" s="13" t="str">
        <f>IF(OR('实盘净值数据(iFinD）'!$A213="",'实盘净值数据(iFinD）'!$B213=""),"",分期持仓明细!$AB$17*SUMPRODUCT(分期持仓明细!$B$17:$Y$17,'实盘净值数据(iFinD）'!$B213:$Y213/'实盘净值数据(iFinD）'!$B$20:$Y$20)*(1-实盘持仓初始配置!$Z$4)^(('实盘净值数据(iFinD）'!$A213-'实盘净值数据(iFinD）'!$A$6)/365))</f>
        <v/>
      </c>
      <c r="C213" s="16" t="str">
        <f t="shared" si="18"/>
        <v/>
      </c>
      <c r="D213" s="16" t="str">
        <f>IF(B213="","",B213/MAX(B$5:B213)-1)</f>
        <v/>
      </c>
      <c r="E213" s="13" t="str">
        <f>IF(OR('实盘净值数据(iFinD）'!$A213="",'实盘净值数据(iFinD）'!$B213=""),"",分期持仓明细!$AB$18*SUMPRODUCT(分期持仓明细!$B$18:$Y$18,'实盘净值数据(iFinD）'!$B213:$Y213/'实盘净值数据(iFinD）'!$B$20:$Y$20)*(1-实盘持仓初始配置!$Z$5)^(('实盘净值数据(iFinD）'!$A213-'实盘净值数据(iFinD）'!$A$5)/365))</f>
        <v/>
      </c>
      <c r="F213" s="16" t="str">
        <f t="shared" si="19"/>
        <v/>
      </c>
      <c r="G213" s="16" t="str">
        <f>IF(E213="","",E213/MAX(E$5:E213)-1)</f>
        <v/>
      </c>
      <c r="H213" s="13" t="str">
        <f>IF(OR('实盘净值数据(iFinD）'!$A213="",'实盘净值数据(iFinD）'!$B213=""),"",分期持仓明细!$AB$19*SUMPRODUCT(分期持仓明细!$B$19:$Y$19,'实盘净值数据(iFinD）'!$B213:$Y213/'实盘净值数据(iFinD）'!$B$20:$Y$20)*(1-实盘持仓初始配置!$Z$6)^(('实盘净值数据(iFinD）'!$A213-'实盘净值数据(iFinD）'!$A$7)/365))</f>
        <v/>
      </c>
      <c r="I213" s="16" t="str">
        <f t="shared" si="20"/>
        <v/>
      </c>
      <c r="J213" s="16" t="str">
        <f>IF(H213="","",H213/MAX(H$5:H213)-1)</f>
        <v/>
      </c>
      <c r="K213" s="13" t="str">
        <f>IF(OR('实盘净值数据(iFinD）'!$A213="",'实盘净值数据(iFinD）'!$B213="",'实盘净值数据(iFinD）'!$Z213="",'实盘净值数据(iFinD）'!$AA213=""),"",分期持仓明细!$AB$23*(SUMPRODUCT(分期持仓明细!$B$23:$Y$23,'实盘净值数据(iFinD）'!$B213:$Y213/'实盘净值数据(iFinD）'!$B$65:$Y$65)+SUMPRODUCT(分期持仓明细!$AC$23:$AD$23,'实盘净值数据(iFinD）'!$Z213:$AA213/'实盘净值数据(iFinD）'!$Z$65:$AA$65))*(1-实盘持仓初始配置!$Z$7)^(('实盘净值数据(iFinD）'!$A213-'实盘净值数据(iFinD）'!$A$8)/365))</f>
        <v/>
      </c>
      <c r="L213" s="16" t="str">
        <f t="shared" si="21"/>
        <v/>
      </c>
      <c r="M213" s="16" t="str">
        <f>IF(K213="","",K213/MAX(K$5:K213)-1)</f>
        <v/>
      </c>
      <c r="N213" s="13" t="str">
        <f>IF(OR('实盘净值数据(iFinD）'!$A213="",'实盘净值数据(iFinD）'!$B213="",'实盘净值数据(iFinD）'!$Z213="",'实盘净值数据(iFinD）'!$AA213=""),"",分期持仓明细!$AB$24*(SUMPRODUCT(分期持仓明细!$B$24:$Y$24,'实盘净值数据(iFinD）'!$B213:$Y213/'实盘净值数据(iFinD）'!$B$65:$Y$65)+SUMPRODUCT(分期持仓明细!$AC$24:$AD$24,'实盘净值数据(iFinD）'!$Z213:$AA213/'实盘净值数据(iFinD）'!$Z$65:$AA$65))*(1-实盘持仓初始配置!$Z$8)^(('实盘净值数据(iFinD）'!$A213-'实盘净值数据(iFinD）'!$A$5)/365))</f>
        <v/>
      </c>
      <c r="O213" s="16" t="str">
        <f t="shared" si="22"/>
        <v/>
      </c>
      <c r="P213" s="16" t="str">
        <f>IF(N213="","",N213/MAX(N$5:N213)-1)</f>
        <v/>
      </c>
      <c r="Q213" s="13" t="str">
        <f>IF(OR('实盘净值数据(iFinD）'!$A213="",'实盘净值数据(iFinD）'!$B213="",'实盘净值数据(iFinD）'!$Z213="",'实盘净值数据(iFinD）'!$AA213=""),"",分期持仓明细!$AB$25*(SUMPRODUCT(分期持仓明细!$B$25:$Y$25,'实盘净值数据(iFinD）'!$B213:$Y213/'实盘净值数据(iFinD）'!$B$65:$Y$65)+SUMPRODUCT(分期持仓明细!$AC$25:$AD$25,'实盘净值数据(iFinD）'!$Z213:$AA213/'实盘净值数据(iFinD）'!$Z$65:$AA$65))*(1-实盘持仓初始配置!$Z$9)^(('实盘净值数据(iFinD）'!$A213-'实盘净值数据(iFinD）'!$A$8)/365))</f>
        <v/>
      </c>
      <c r="R213" s="16" t="str">
        <f t="shared" si="23"/>
        <v/>
      </c>
      <c r="S213" s="16" t="str">
        <f>IF(Q213="","",Q213/MAX(Q$5:Q213)-1)</f>
        <v/>
      </c>
    </row>
    <row r="214" spans="1:19">
      <c r="A214" s="15" t="str">
        <f>IF('实盘净值数据(iFinD）'!A214="","",'实盘净值数据(iFinD）'!A214)</f>
        <v/>
      </c>
      <c r="B214" s="13" t="str">
        <f>IF(OR('实盘净值数据(iFinD）'!$A214="",'实盘净值数据(iFinD）'!$B214=""),"",分期持仓明细!$AB$17*SUMPRODUCT(分期持仓明细!$B$17:$Y$17,'实盘净值数据(iFinD）'!$B214:$Y214/'实盘净值数据(iFinD）'!$B$20:$Y$20)*(1-实盘持仓初始配置!$Z$4)^(('实盘净值数据(iFinD）'!$A214-'实盘净值数据(iFinD）'!$A$6)/365))</f>
        <v/>
      </c>
      <c r="C214" s="16" t="str">
        <f t="shared" si="18"/>
        <v/>
      </c>
      <c r="D214" s="16" t="str">
        <f>IF(B214="","",B214/MAX(B$5:B214)-1)</f>
        <v/>
      </c>
      <c r="E214" s="13" t="str">
        <f>IF(OR('实盘净值数据(iFinD）'!$A214="",'实盘净值数据(iFinD）'!$B214=""),"",分期持仓明细!$AB$18*SUMPRODUCT(分期持仓明细!$B$18:$Y$18,'实盘净值数据(iFinD）'!$B214:$Y214/'实盘净值数据(iFinD）'!$B$20:$Y$20)*(1-实盘持仓初始配置!$Z$5)^(('实盘净值数据(iFinD）'!$A214-'实盘净值数据(iFinD）'!$A$5)/365))</f>
        <v/>
      </c>
      <c r="F214" s="16" t="str">
        <f t="shared" si="19"/>
        <v/>
      </c>
      <c r="G214" s="16" t="str">
        <f>IF(E214="","",E214/MAX(E$5:E214)-1)</f>
        <v/>
      </c>
      <c r="H214" s="13" t="str">
        <f>IF(OR('实盘净值数据(iFinD）'!$A214="",'实盘净值数据(iFinD）'!$B214=""),"",分期持仓明细!$AB$19*SUMPRODUCT(分期持仓明细!$B$19:$Y$19,'实盘净值数据(iFinD）'!$B214:$Y214/'实盘净值数据(iFinD）'!$B$20:$Y$20)*(1-实盘持仓初始配置!$Z$6)^(('实盘净值数据(iFinD）'!$A214-'实盘净值数据(iFinD）'!$A$7)/365))</f>
        <v/>
      </c>
      <c r="I214" s="16" t="str">
        <f t="shared" si="20"/>
        <v/>
      </c>
      <c r="J214" s="16" t="str">
        <f>IF(H214="","",H214/MAX(H$5:H214)-1)</f>
        <v/>
      </c>
      <c r="K214" s="13" t="str">
        <f>IF(OR('实盘净值数据(iFinD）'!$A214="",'实盘净值数据(iFinD）'!$B214="",'实盘净值数据(iFinD）'!$Z214="",'实盘净值数据(iFinD）'!$AA214=""),"",分期持仓明细!$AB$23*(SUMPRODUCT(分期持仓明细!$B$23:$Y$23,'实盘净值数据(iFinD）'!$B214:$Y214/'实盘净值数据(iFinD）'!$B$65:$Y$65)+SUMPRODUCT(分期持仓明细!$AC$23:$AD$23,'实盘净值数据(iFinD）'!$Z214:$AA214/'实盘净值数据(iFinD）'!$Z$65:$AA$65))*(1-实盘持仓初始配置!$Z$7)^(('实盘净值数据(iFinD）'!$A214-'实盘净值数据(iFinD）'!$A$8)/365))</f>
        <v/>
      </c>
      <c r="L214" s="16" t="str">
        <f t="shared" si="21"/>
        <v/>
      </c>
      <c r="M214" s="16" t="str">
        <f>IF(K214="","",K214/MAX(K$5:K214)-1)</f>
        <v/>
      </c>
      <c r="N214" s="13" t="str">
        <f>IF(OR('实盘净值数据(iFinD）'!$A214="",'实盘净值数据(iFinD）'!$B214="",'实盘净值数据(iFinD）'!$Z214="",'实盘净值数据(iFinD）'!$AA214=""),"",分期持仓明细!$AB$24*(SUMPRODUCT(分期持仓明细!$B$24:$Y$24,'实盘净值数据(iFinD）'!$B214:$Y214/'实盘净值数据(iFinD）'!$B$65:$Y$65)+SUMPRODUCT(分期持仓明细!$AC$24:$AD$24,'实盘净值数据(iFinD）'!$Z214:$AA214/'实盘净值数据(iFinD）'!$Z$65:$AA$65))*(1-实盘持仓初始配置!$Z$8)^(('实盘净值数据(iFinD）'!$A214-'实盘净值数据(iFinD）'!$A$5)/365))</f>
        <v/>
      </c>
      <c r="O214" s="16" t="str">
        <f t="shared" si="22"/>
        <v/>
      </c>
      <c r="P214" s="16" t="str">
        <f>IF(N214="","",N214/MAX(N$5:N214)-1)</f>
        <v/>
      </c>
      <c r="Q214" s="13" t="str">
        <f>IF(OR('实盘净值数据(iFinD）'!$A214="",'实盘净值数据(iFinD）'!$B214="",'实盘净值数据(iFinD）'!$Z214="",'实盘净值数据(iFinD）'!$AA214=""),"",分期持仓明细!$AB$25*(SUMPRODUCT(分期持仓明细!$B$25:$Y$25,'实盘净值数据(iFinD）'!$B214:$Y214/'实盘净值数据(iFinD）'!$B$65:$Y$65)+SUMPRODUCT(分期持仓明细!$AC$25:$AD$25,'实盘净值数据(iFinD）'!$Z214:$AA214/'实盘净值数据(iFinD）'!$Z$65:$AA$65))*(1-实盘持仓初始配置!$Z$9)^(('实盘净值数据(iFinD）'!$A214-'实盘净值数据(iFinD）'!$A$8)/365))</f>
        <v/>
      </c>
      <c r="R214" s="16" t="str">
        <f t="shared" si="23"/>
        <v/>
      </c>
      <c r="S214" s="16" t="str">
        <f>IF(Q214="","",Q214/MAX(Q$5:Q214)-1)</f>
        <v/>
      </c>
    </row>
    <row r="215" spans="1:19">
      <c r="A215" s="15" t="str">
        <f>IF('实盘净值数据(iFinD）'!A215="","",'实盘净值数据(iFinD）'!A215)</f>
        <v/>
      </c>
      <c r="B215" s="13" t="str">
        <f>IF(OR('实盘净值数据(iFinD）'!$A215="",'实盘净值数据(iFinD）'!$B215=""),"",分期持仓明细!$AB$17*SUMPRODUCT(分期持仓明细!$B$17:$Y$17,'实盘净值数据(iFinD）'!$B215:$Y215/'实盘净值数据(iFinD）'!$B$20:$Y$20)*(1-实盘持仓初始配置!$Z$4)^(('实盘净值数据(iFinD）'!$A215-'实盘净值数据(iFinD）'!$A$6)/365))</f>
        <v/>
      </c>
      <c r="C215" s="16" t="str">
        <f t="shared" si="18"/>
        <v/>
      </c>
      <c r="D215" s="16" t="str">
        <f>IF(B215="","",B215/MAX(B$5:B215)-1)</f>
        <v/>
      </c>
      <c r="E215" s="13" t="str">
        <f>IF(OR('实盘净值数据(iFinD）'!$A215="",'实盘净值数据(iFinD）'!$B215=""),"",分期持仓明细!$AB$18*SUMPRODUCT(分期持仓明细!$B$18:$Y$18,'实盘净值数据(iFinD）'!$B215:$Y215/'实盘净值数据(iFinD）'!$B$20:$Y$20)*(1-实盘持仓初始配置!$Z$5)^(('实盘净值数据(iFinD）'!$A215-'实盘净值数据(iFinD）'!$A$5)/365))</f>
        <v/>
      </c>
      <c r="F215" s="16" t="str">
        <f t="shared" si="19"/>
        <v/>
      </c>
      <c r="G215" s="16" t="str">
        <f>IF(E215="","",E215/MAX(E$5:E215)-1)</f>
        <v/>
      </c>
      <c r="H215" s="13" t="str">
        <f>IF(OR('实盘净值数据(iFinD）'!$A215="",'实盘净值数据(iFinD）'!$B215=""),"",分期持仓明细!$AB$19*SUMPRODUCT(分期持仓明细!$B$19:$Y$19,'实盘净值数据(iFinD）'!$B215:$Y215/'实盘净值数据(iFinD）'!$B$20:$Y$20)*(1-实盘持仓初始配置!$Z$6)^(('实盘净值数据(iFinD）'!$A215-'实盘净值数据(iFinD）'!$A$7)/365))</f>
        <v/>
      </c>
      <c r="I215" s="16" t="str">
        <f t="shared" si="20"/>
        <v/>
      </c>
      <c r="J215" s="16" t="str">
        <f>IF(H215="","",H215/MAX(H$5:H215)-1)</f>
        <v/>
      </c>
      <c r="K215" s="13" t="str">
        <f>IF(OR('实盘净值数据(iFinD）'!$A215="",'实盘净值数据(iFinD）'!$B215="",'实盘净值数据(iFinD）'!$Z215="",'实盘净值数据(iFinD）'!$AA215=""),"",分期持仓明细!$AB$23*(SUMPRODUCT(分期持仓明细!$B$23:$Y$23,'实盘净值数据(iFinD）'!$B215:$Y215/'实盘净值数据(iFinD）'!$B$65:$Y$65)+SUMPRODUCT(分期持仓明细!$AC$23:$AD$23,'实盘净值数据(iFinD）'!$Z215:$AA215/'实盘净值数据(iFinD）'!$Z$65:$AA$65))*(1-实盘持仓初始配置!$Z$7)^(('实盘净值数据(iFinD）'!$A215-'实盘净值数据(iFinD）'!$A$8)/365))</f>
        <v/>
      </c>
      <c r="L215" s="16" t="str">
        <f t="shared" si="21"/>
        <v/>
      </c>
      <c r="M215" s="16" t="str">
        <f>IF(K215="","",K215/MAX(K$5:K215)-1)</f>
        <v/>
      </c>
      <c r="N215" s="13" t="str">
        <f>IF(OR('实盘净值数据(iFinD）'!$A215="",'实盘净值数据(iFinD）'!$B215="",'实盘净值数据(iFinD）'!$Z215="",'实盘净值数据(iFinD）'!$AA215=""),"",分期持仓明细!$AB$24*(SUMPRODUCT(分期持仓明细!$B$24:$Y$24,'实盘净值数据(iFinD）'!$B215:$Y215/'实盘净值数据(iFinD）'!$B$65:$Y$65)+SUMPRODUCT(分期持仓明细!$AC$24:$AD$24,'实盘净值数据(iFinD）'!$Z215:$AA215/'实盘净值数据(iFinD）'!$Z$65:$AA$65))*(1-实盘持仓初始配置!$Z$8)^(('实盘净值数据(iFinD）'!$A215-'实盘净值数据(iFinD）'!$A$5)/365))</f>
        <v/>
      </c>
      <c r="O215" s="16" t="str">
        <f t="shared" si="22"/>
        <v/>
      </c>
      <c r="P215" s="16" t="str">
        <f>IF(N215="","",N215/MAX(N$5:N215)-1)</f>
        <v/>
      </c>
      <c r="Q215" s="13" t="str">
        <f>IF(OR('实盘净值数据(iFinD）'!$A215="",'实盘净值数据(iFinD）'!$B215="",'实盘净值数据(iFinD）'!$Z215="",'实盘净值数据(iFinD）'!$AA215=""),"",分期持仓明细!$AB$25*(SUMPRODUCT(分期持仓明细!$B$25:$Y$25,'实盘净值数据(iFinD）'!$B215:$Y215/'实盘净值数据(iFinD）'!$B$65:$Y$65)+SUMPRODUCT(分期持仓明细!$AC$25:$AD$25,'实盘净值数据(iFinD）'!$Z215:$AA215/'实盘净值数据(iFinD）'!$Z$65:$AA$65))*(1-实盘持仓初始配置!$Z$9)^(('实盘净值数据(iFinD）'!$A215-'实盘净值数据(iFinD）'!$A$8)/365))</f>
        <v/>
      </c>
      <c r="R215" s="16" t="str">
        <f t="shared" si="23"/>
        <v/>
      </c>
      <c r="S215" s="16" t="str">
        <f>IF(Q215="","",Q215/MAX(Q$5:Q215)-1)</f>
        <v/>
      </c>
    </row>
    <row r="216" spans="1:19">
      <c r="A216" s="15" t="str">
        <f>IF('实盘净值数据(iFinD）'!A216="","",'实盘净值数据(iFinD）'!A216)</f>
        <v/>
      </c>
      <c r="B216" s="13" t="str">
        <f>IF(OR('实盘净值数据(iFinD）'!$A216="",'实盘净值数据(iFinD）'!$B216=""),"",分期持仓明细!$AB$17*SUMPRODUCT(分期持仓明细!$B$17:$Y$17,'实盘净值数据(iFinD）'!$B216:$Y216/'实盘净值数据(iFinD）'!$B$20:$Y$20)*(1-实盘持仓初始配置!$Z$4)^(('实盘净值数据(iFinD）'!$A216-'实盘净值数据(iFinD）'!$A$6)/365))</f>
        <v/>
      </c>
      <c r="C216" s="16" t="str">
        <f t="shared" si="18"/>
        <v/>
      </c>
      <c r="D216" s="16" t="str">
        <f>IF(B216="","",B216/MAX(B$5:B216)-1)</f>
        <v/>
      </c>
      <c r="E216" s="13" t="str">
        <f>IF(OR('实盘净值数据(iFinD）'!$A216="",'实盘净值数据(iFinD）'!$B216=""),"",分期持仓明细!$AB$18*SUMPRODUCT(分期持仓明细!$B$18:$Y$18,'实盘净值数据(iFinD）'!$B216:$Y216/'实盘净值数据(iFinD）'!$B$20:$Y$20)*(1-实盘持仓初始配置!$Z$5)^(('实盘净值数据(iFinD）'!$A216-'实盘净值数据(iFinD）'!$A$5)/365))</f>
        <v/>
      </c>
      <c r="F216" s="16" t="str">
        <f t="shared" si="19"/>
        <v/>
      </c>
      <c r="G216" s="16" t="str">
        <f>IF(E216="","",E216/MAX(E$5:E216)-1)</f>
        <v/>
      </c>
      <c r="H216" s="13" t="str">
        <f>IF(OR('实盘净值数据(iFinD）'!$A216="",'实盘净值数据(iFinD）'!$B216=""),"",分期持仓明细!$AB$19*SUMPRODUCT(分期持仓明细!$B$19:$Y$19,'实盘净值数据(iFinD）'!$B216:$Y216/'实盘净值数据(iFinD）'!$B$20:$Y$20)*(1-实盘持仓初始配置!$Z$6)^(('实盘净值数据(iFinD）'!$A216-'实盘净值数据(iFinD）'!$A$7)/365))</f>
        <v/>
      </c>
      <c r="I216" s="16" t="str">
        <f t="shared" si="20"/>
        <v/>
      </c>
      <c r="J216" s="16" t="str">
        <f>IF(H216="","",H216/MAX(H$5:H216)-1)</f>
        <v/>
      </c>
      <c r="K216" s="13" t="str">
        <f>IF(OR('实盘净值数据(iFinD）'!$A216="",'实盘净值数据(iFinD）'!$B216="",'实盘净值数据(iFinD）'!$Z216="",'实盘净值数据(iFinD）'!$AA216=""),"",分期持仓明细!$AB$23*(SUMPRODUCT(分期持仓明细!$B$23:$Y$23,'实盘净值数据(iFinD）'!$B216:$Y216/'实盘净值数据(iFinD）'!$B$65:$Y$65)+SUMPRODUCT(分期持仓明细!$AC$23:$AD$23,'实盘净值数据(iFinD）'!$Z216:$AA216/'实盘净值数据(iFinD）'!$Z$65:$AA$65))*(1-实盘持仓初始配置!$Z$7)^(('实盘净值数据(iFinD）'!$A216-'实盘净值数据(iFinD）'!$A$8)/365))</f>
        <v/>
      </c>
      <c r="L216" s="16" t="str">
        <f t="shared" si="21"/>
        <v/>
      </c>
      <c r="M216" s="16" t="str">
        <f>IF(K216="","",K216/MAX(K$5:K216)-1)</f>
        <v/>
      </c>
      <c r="N216" s="13" t="str">
        <f>IF(OR('实盘净值数据(iFinD）'!$A216="",'实盘净值数据(iFinD）'!$B216="",'实盘净值数据(iFinD）'!$Z216="",'实盘净值数据(iFinD）'!$AA216=""),"",分期持仓明细!$AB$24*(SUMPRODUCT(分期持仓明细!$B$24:$Y$24,'实盘净值数据(iFinD）'!$B216:$Y216/'实盘净值数据(iFinD）'!$B$65:$Y$65)+SUMPRODUCT(分期持仓明细!$AC$24:$AD$24,'实盘净值数据(iFinD）'!$Z216:$AA216/'实盘净值数据(iFinD）'!$Z$65:$AA$65))*(1-实盘持仓初始配置!$Z$8)^(('实盘净值数据(iFinD）'!$A216-'实盘净值数据(iFinD）'!$A$5)/365))</f>
        <v/>
      </c>
      <c r="O216" s="16" t="str">
        <f t="shared" si="22"/>
        <v/>
      </c>
      <c r="P216" s="16" t="str">
        <f>IF(N216="","",N216/MAX(N$5:N216)-1)</f>
        <v/>
      </c>
      <c r="Q216" s="13" t="str">
        <f>IF(OR('实盘净值数据(iFinD）'!$A216="",'实盘净值数据(iFinD）'!$B216="",'实盘净值数据(iFinD）'!$Z216="",'实盘净值数据(iFinD）'!$AA216=""),"",分期持仓明细!$AB$25*(SUMPRODUCT(分期持仓明细!$B$25:$Y$25,'实盘净值数据(iFinD）'!$B216:$Y216/'实盘净值数据(iFinD）'!$B$65:$Y$65)+SUMPRODUCT(分期持仓明细!$AC$25:$AD$25,'实盘净值数据(iFinD）'!$Z216:$AA216/'实盘净值数据(iFinD）'!$Z$65:$AA$65))*(1-实盘持仓初始配置!$Z$9)^(('实盘净值数据(iFinD）'!$A216-'实盘净值数据(iFinD）'!$A$8)/365))</f>
        <v/>
      </c>
      <c r="R216" s="16" t="str">
        <f t="shared" si="23"/>
        <v/>
      </c>
      <c r="S216" s="16" t="str">
        <f>IF(Q216="","",Q216/MAX(Q$5:Q216)-1)</f>
        <v/>
      </c>
    </row>
    <row r="217" spans="1:19">
      <c r="A217" s="15" t="str">
        <f>IF('实盘净值数据(iFinD）'!A217="","",'实盘净值数据(iFinD）'!A217)</f>
        <v/>
      </c>
      <c r="B217" s="13" t="str">
        <f>IF(OR('实盘净值数据(iFinD）'!$A217="",'实盘净值数据(iFinD）'!$B217=""),"",分期持仓明细!$AB$17*SUMPRODUCT(分期持仓明细!$B$17:$Y$17,'实盘净值数据(iFinD）'!$B217:$Y217/'实盘净值数据(iFinD）'!$B$20:$Y$20)*(1-实盘持仓初始配置!$Z$4)^(('实盘净值数据(iFinD）'!$A217-'实盘净值数据(iFinD）'!$A$6)/365))</f>
        <v/>
      </c>
      <c r="C217" s="16" t="str">
        <f t="shared" si="18"/>
        <v/>
      </c>
      <c r="D217" s="16" t="str">
        <f>IF(B217="","",B217/MAX(B$5:B217)-1)</f>
        <v/>
      </c>
      <c r="E217" s="13" t="str">
        <f>IF(OR('实盘净值数据(iFinD）'!$A217="",'实盘净值数据(iFinD）'!$B217=""),"",分期持仓明细!$AB$18*SUMPRODUCT(分期持仓明细!$B$18:$Y$18,'实盘净值数据(iFinD）'!$B217:$Y217/'实盘净值数据(iFinD）'!$B$20:$Y$20)*(1-实盘持仓初始配置!$Z$5)^(('实盘净值数据(iFinD）'!$A217-'实盘净值数据(iFinD）'!$A$5)/365))</f>
        <v/>
      </c>
      <c r="F217" s="16" t="str">
        <f t="shared" si="19"/>
        <v/>
      </c>
      <c r="G217" s="16" t="str">
        <f>IF(E217="","",E217/MAX(E$5:E217)-1)</f>
        <v/>
      </c>
      <c r="H217" s="13" t="str">
        <f>IF(OR('实盘净值数据(iFinD）'!$A217="",'实盘净值数据(iFinD）'!$B217=""),"",分期持仓明细!$AB$19*SUMPRODUCT(分期持仓明细!$B$19:$Y$19,'实盘净值数据(iFinD）'!$B217:$Y217/'实盘净值数据(iFinD）'!$B$20:$Y$20)*(1-实盘持仓初始配置!$Z$6)^(('实盘净值数据(iFinD）'!$A217-'实盘净值数据(iFinD）'!$A$7)/365))</f>
        <v/>
      </c>
      <c r="I217" s="16" t="str">
        <f t="shared" si="20"/>
        <v/>
      </c>
      <c r="J217" s="16" t="str">
        <f>IF(H217="","",H217/MAX(H$5:H217)-1)</f>
        <v/>
      </c>
      <c r="K217" s="13" t="str">
        <f>IF(OR('实盘净值数据(iFinD）'!$A217="",'实盘净值数据(iFinD）'!$B217="",'实盘净值数据(iFinD）'!$Z217="",'实盘净值数据(iFinD）'!$AA217=""),"",分期持仓明细!$AB$23*(SUMPRODUCT(分期持仓明细!$B$23:$Y$23,'实盘净值数据(iFinD）'!$B217:$Y217/'实盘净值数据(iFinD）'!$B$65:$Y$65)+SUMPRODUCT(分期持仓明细!$AC$23:$AD$23,'实盘净值数据(iFinD）'!$Z217:$AA217/'实盘净值数据(iFinD）'!$Z$65:$AA$65))*(1-实盘持仓初始配置!$Z$7)^(('实盘净值数据(iFinD）'!$A217-'实盘净值数据(iFinD）'!$A$8)/365))</f>
        <v/>
      </c>
      <c r="L217" s="16" t="str">
        <f t="shared" si="21"/>
        <v/>
      </c>
      <c r="M217" s="16" t="str">
        <f>IF(K217="","",K217/MAX(K$5:K217)-1)</f>
        <v/>
      </c>
      <c r="N217" s="13" t="str">
        <f>IF(OR('实盘净值数据(iFinD）'!$A217="",'实盘净值数据(iFinD）'!$B217="",'实盘净值数据(iFinD）'!$Z217="",'实盘净值数据(iFinD）'!$AA217=""),"",分期持仓明细!$AB$24*(SUMPRODUCT(分期持仓明细!$B$24:$Y$24,'实盘净值数据(iFinD）'!$B217:$Y217/'实盘净值数据(iFinD）'!$B$65:$Y$65)+SUMPRODUCT(分期持仓明细!$AC$24:$AD$24,'实盘净值数据(iFinD）'!$Z217:$AA217/'实盘净值数据(iFinD）'!$Z$65:$AA$65))*(1-实盘持仓初始配置!$Z$8)^(('实盘净值数据(iFinD）'!$A217-'实盘净值数据(iFinD）'!$A$5)/365))</f>
        <v/>
      </c>
      <c r="O217" s="16" t="str">
        <f t="shared" si="22"/>
        <v/>
      </c>
      <c r="P217" s="16" t="str">
        <f>IF(N217="","",N217/MAX(N$5:N217)-1)</f>
        <v/>
      </c>
      <c r="Q217" s="13" t="str">
        <f>IF(OR('实盘净值数据(iFinD）'!$A217="",'实盘净值数据(iFinD）'!$B217="",'实盘净值数据(iFinD）'!$Z217="",'实盘净值数据(iFinD）'!$AA217=""),"",分期持仓明细!$AB$25*(SUMPRODUCT(分期持仓明细!$B$25:$Y$25,'实盘净值数据(iFinD）'!$B217:$Y217/'实盘净值数据(iFinD）'!$B$65:$Y$65)+SUMPRODUCT(分期持仓明细!$AC$25:$AD$25,'实盘净值数据(iFinD）'!$Z217:$AA217/'实盘净值数据(iFinD）'!$Z$65:$AA$65))*(1-实盘持仓初始配置!$Z$9)^(('实盘净值数据(iFinD）'!$A217-'实盘净值数据(iFinD）'!$A$8)/365))</f>
        <v/>
      </c>
      <c r="R217" s="16" t="str">
        <f t="shared" si="23"/>
        <v/>
      </c>
      <c r="S217" s="16" t="str">
        <f>IF(Q217="","",Q217/MAX(Q$5:Q217)-1)</f>
        <v/>
      </c>
    </row>
    <row r="218" spans="1:19">
      <c r="A218" s="15" t="str">
        <f>IF('实盘净值数据(iFinD）'!A218="","",'实盘净值数据(iFinD）'!A218)</f>
        <v/>
      </c>
      <c r="B218" s="13" t="str">
        <f>IF(OR('实盘净值数据(iFinD）'!$A218="",'实盘净值数据(iFinD）'!$B218=""),"",分期持仓明细!$AB$17*SUMPRODUCT(分期持仓明细!$B$17:$Y$17,'实盘净值数据(iFinD）'!$B218:$Y218/'实盘净值数据(iFinD）'!$B$20:$Y$20)*(1-实盘持仓初始配置!$Z$4)^(('实盘净值数据(iFinD）'!$A218-'实盘净值数据(iFinD）'!$A$6)/365))</f>
        <v/>
      </c>
      <c r="C218" s="16" t="str">
        <f t="shared" si="18"/>
        <v/>
      </c>
      <c r="D218" s="16" t="str">
        <f>IF(B218="","",B218/MAX(B$5:B218)-1)</f>
        <v/>
      </c>
      <c r="E218" s="13" t="str">
        <f>IF(OR('实盘净值数据(iFinD）'!$A218="",'实盘净值数据(iFinD）'!$B218=""),"",分期持仓明细!$AB$18*SUMPRODUCT(分期持仓明细!$B$18:$Y$18,'实盘净值数据(iFinD）'!$B218:$Y218/'实盘净值数据(iFinD）'!$B$20:$Y$20)*(1-实盘持仓初始配置!$Z$5)^(('实盘净值数据(iFinD）'!$A218-'实盘净值数据(iFinD）'!$A$5)/365))</f>
        <v/>
      </c>
      <c r="F218" s="16" t="str">
        <f t="shared" si="19"/>
        <v/>
      </c>
      <c r="G218" s="16" t="str">
        <f>IF(E218="","",E218/MAX(E$5:E218)-1)</f>
        <v/>
      </c>
      <c r="H218" s="13" t="str">
        <f>IF(OR('实盘净值数据(iFinD）'!$A218="",'实盘净值数据(iFinD）'!$B218=""),"",分期持仓明细!$AB$19*SUMPRODUCT(分期持仓明细!$B$19:$Y$19,'实盘净值数据(iFinD）'!$B218:$Y218/'实盘净值数据(iFinD）'!$B$20:$Y$20)*(1-实盘持仓初始配置!$Z$6)^(('实盘净值数据(iFinD）'!$A218-'实盘净值数据(iFinD）'!$A$7)/365))</f>
        <v/>
      </c>
      <c r="I218" s="16" t="str">
        <f t="shared" si="20"/>
        <v/>
      </c>
      <c r="J218" s="16" t="str">
        <f>IF(H218="","",H218/MAX(H$5:H218)-1)</f>
        <v/>
      </c>
      <c r="K218" s="13" t="str">
        <f>IF(OR('实盘净值数据(iFinD）'!$A218="",'实盘净值数据(iFinD）'!$B218="",'实盘净值数据(iFinD）'!$Z218="",'实盘净值数据(iFinD）'!$AA218=""),"",分期持仓明细!$AB$23*(SUMPRODUCT(分期持仓明细!$B$23:$Y$23,'实盘净值数据(iFinD）'!$B218:$Y218/'实盘净值数据(iFinD）'!$B$65:$Y$65)+SUMPRODUCT(分期持仓明细!$AC$23:$AD$23,'实盘净值数据(iFinD）'!$Z218:$AA218/'实盘净值数据(iFinD）'!$Z$65:$AA$65))*(1-实盘持仓初始配置!$Z$7)^(('实盘净值数据(iFinD）'!$A218-'实盘净值数据(iFinD）'!$A$8)/365))</f>
        <v/>
      </c>
      <c r="L218" s="16" t="str">
        <f t="shared" si="21"/>
        <v/>
      </c>
      <c r="M218" s="16" t="str">
        <f>IF(K218="","",K218/MAX(K$5:K218)-1)</f>
        <v/>
      </c>
      <c r="N218" s="13" t="str">
        <f>IF(OR('实盘净值数据(iFinD）'!$A218="",'实盘净值数据(iFinD）'!$B218="",'实盘净值数据(iFinD）'!$Z218="",'实盘净值数据(iFinD）'!$AA218=""),"",分期持仓明细!$AB$24*(SUMPRODUCT(分期持仓明细!$B$24:$Y$24,'实盘净值数据(iFinD）'!$B218:$Y218/'实盘净值数据(iFinD）'!$B$65:$Y$65)+SUMPRODUCT(分期持仓明细!$AC$24:$AD$24,'实盘净值数据(iFinD）'!$Z218:$AA218/'实盘净值数据(iFinD）'!$Z$65:$AA$65))*(1-实盘持仓初始配置!$Z$8)^(('实盘净值数据(iFinD）'!$A218-'实盘净值数据(iFinD）'!$A$5)/365))</f>
        <v/>
      </c>
      <c r="O218" s="16" t="str">
        <f t="shared" si="22"/>
        <v/>
      </c>
      <c r="P218" s="16" t="str">
        <f>IF(N218="","",N218/MAX(N$5:N218)-1)</f>
        <v/>
      </c>
      <c r="Q218" s="13" t="str">
        <f>IF(OR('实盘净值数据(iFinD）'!$A218="",'实盘净值数据(iFinD）'!$B218="",'实盘净值数据(iFinD）'!$Z218="",'实盘净值数据(iFinD）'!$AA218=""),"",分期持仓明细!$AB$25*(SUMPRODUCT(分期持仓明细!$B$25:$Y$25,'实盘净值数据(iFinD）'!$B218:$Y218/'实盘净值数据(iFinD）'!$B$65:$Y$65)+SUMPRODUCT(分期持仓明细!$AC$25:$AD$25,'实盘净值数据(iFinD）'!$Z218:$AA218/'实盘净值数据(iFinD）'!$Z$65:$AA$65))*(1-实盘持仓初始配置!$Z$9)^(('实盘净值数据(iFinD）'!$A218-'实盘净值数据(iFinD）'!$A$8)/365))</f>
        <v/>
      </c>
      <c r="R218" s="16" t="str">
        <f t="shared" si="23"/>
        <v/>
      </c>
      <c r="S218" s="16" t="str">
        <f>IF(Q218="","",Q218/MAX(Q$5:Q218)-1)</f>
        <v/>
      </c>
    </row>
    <row r="219" spans="1:19">
      <c r="A219" s="15" t="str">
        <f>IF('实盘净值数据(iFinD）'!A219="","",'实盘净值数据(iFinD）'!A219)</f>
        <v/>
      </c>
      <c r="B219" s="13" t="str">
        <f>IF(OR('实盘净值数据(iFinD）'!$A219="",'实盘净值数据(iFinD）'!$B219=""),"",分期持仓明细!$AB$17*SUMPRODUCT(分期持仓明细!$B$17:$Y$17,'实盘净值数据(iFinD）'!$B219:$Y219/'实盘净值数据(iFinD）'!$B$20:$Y$20)*(1-实盘持仓初始配置!$Z$4)^(('实盘净值数据(iFinD）'!$A219-'实盘净值数据(iFinD）'!$A$6)/365))</f>
        <v/>
      </c>
      <c r="C219" s="16" t="str">
        <f t="shared" si="18"/>
        <v/>
      </c>
      <c r="D219" s="16" t="str">
        <f>IF(B219="","",B219/MAX(B$5:B219)-1)</f>
        <v/>
      </c>
      <c r="E219" s="13" t="str">
        <f>IF(OR('实盘净值数据(iFinD）'!$A219="",'实盘净值数据(iFinD）'!$B219=""),"",分期持仓明细!$AB$18*SUMPRODUCT(分期持仓明细!$B$18:$Y$18,'实盘净值数据(iFinD）'!$B219:$Y219/'实盘净值数据(iFinD）'!$B$20:$Y$20)*(1-实盘持仓初始配置!$Z$5)^(('实盘净值数据(iFinD）'!$A219-'实盘净值数据(iFinD）'!$A$5)/365))</f>
        <v/>
      </c>
      <c r="F219" s="16" t="str">
        <f t="shared" si="19"/>
        <v/>
      </c>
      <c r="G219" s="16" t="str">
        <f>IF(E219="","",E219/MAX(E$5:E219)-1)</f>
        <v/>
      </c>
      <c r="H219" s="13" t="str">
        <f>IF(OR('实盘净值数据(iFinD）'!$A219="",'实盘净值数据(iFinD）'!$B219=""),"",分期持仓明细!$AB$19*SUMPRODUCT(分期持仓明细!$B$19:$Y$19,'实盘净值数据(iFinD）'!$B219:$Y219/'实盘净值数据(iFinD）'!$B$20:$Y$20)*(1-实盘持仓初始配置!$Z$6)^(('实盘净值数据(iFinD）'!$A219-'实盘净值数据(iFinD）'!$A$7)/365))</f>
        <v/>
      </c>
      <c r="I219" s="16" t="str">
        <f t="shared" si="20"/>
        <v/>
      </c>
      <c r="J219" s="16" t="str">
        <f>IF(H219="","",H219/MAX(H$5:H219)-1)</f>
        <v/>
      </c>
      <c r="K219" s="13" t="str">
        <f>IF(OR('实盘净值数据(iFinD）'!$A219="",'实盘净值数据(iFinD）'!$B219="",'实盘净值数据(iFinD）'!$Z219="",'实盘净值数据(iFinD）'!$AA219=""),"",分期持仓明细!$AB$23*(SUMPRODUCT(分期持仓明细!$B$23:$Y$23,'实盘净值数据(iFinD）'!$B219:$Y219/'实盘净值数据(iFinD）'!$B$65:$Y$65)+SUMPRODUCT(分期持仓明细!$AC$23:$AD$23,'实盘净值数据(iFinD）'!$Z219:$AA219/'实盘净值数据(iFinD）'!$Z$65:$AA$65))*(1-实盘持仓初始配置!$Z$7)^(('实盘净值数据(iFinD）'!$A219-'实盘净值数据(iFinD）'!$A$8)/365))</f>
        <v/>
      </c>
      <c r="L219" s="16" t="str">
        <f t="shared" si="21"/>
        <v/>
      </c>
      <c r="M219" s="16" t="str">
        <f>IF(K219="","",K219/MAX(K$5:K219)-1)</f>
        <v/>
      </c>
      <c r="N219" s="13" t="str">
        <f>IF(OR('实盘净值数据(iFinD）'!$A219="",'实盘净值数据(iFinD）'!$B219="",'实盘净值数据(iFinD）'!$Z219="",'实盘净值数据(iFinD）'!$AA219=""),"",分期持仓明细!$AB$24*(SUMPRODUCT(分期持仓明细!$B$24:$Y$24,'实盘净值数据(iFinD）'!$B219:$Y219/'实盘净值数据(iFinD）'!$B$65:$Y$65)+SUMPRODUCT(分期持仓明细!$AC$24:$AD$24,'实盘净值数据(iFinD）'!$Z219:$AA219/'实盘净值数据(iFinD）'!$Z$65:$AA$65))*(1-实盘持仓初始配置!$Z$8)^(('实盘净值数据(iFinD）'!$A219-'实盘净值数据(iFinD）'!$A$5)/365))</f>
        <v/>
      </c>
      <c r="O219" s="16" t="str">
        <f t="shared" si="22"/>
        <v/>
      </c>
      <c r="P219" s="16" t="str">
        <f>IF(N219="","",N219/MAX(N$5:N219)-1)</f>
        <v/>
      </c>
      <c r="Q219" s="13" t="str">
        <f>IF(OR('实盘净值数据(iFinD）'!$A219="",'实盘净值数据(iFinD）'!$B219="",'实盘净值数据(iFinD）'!$Z219="",'实盘净值数据(iFinD）'!$AA219=""),"",分期持仓明细!$AB$25*(SUMPRODUCT(分期持仓明细!$B$25:$Y$25,'实盘净值数据(iFinD）'!$B219:$Y219/'实盘净值数据(iFinD）'!$B$65:$Y$65)+SUMPRODUCT(分期持仓明细!$AC$25:$AD$25,'实盘净值数据(iFinD）'!$Z219:$AA219/'实盘净值数据(iFinD）'!$Z$65:$AA$65))*(1-实盘持仓初始配置!$Z$9)^(('实盘净值数据(iFinD）'!$A219-'实盘净值数据(iFinD）'!$A$8)/365))</f>
        <v/>
      </c>
      <c r="R219" s="16" t="str">
        <f t="shared" si="23"/>
        <v/>
      </c>
      <c r="S219" s="16" t="str">
        <f>IF(Q219="","",Q219/MAX(Q$5:Q219)-1)</f>
        <v/>
      </c>
    </row>
    <row r="220" spans="1:19">
      <c r="A220" s="15" t="str">
        <f>IF('实盘净值数据(iFinD）'!A220="","",'实盘净值数据(iFinD）'!A220)</f>
        <v/>
      </c>
      <c r="B220" s="13" t="str">
        <f>IF(OR('实盘净值数据(iFinD）'!$A220="",'实盘净值数据(iFinD）'!$B220=""),"",分期持仓明细!$AB$17*SUMPRODUCT(分期持仓明细!$B$17:$Y$17,'实盘净值数据(iFinD）'!$B220:$Y220/'实盘净值数据(iFinD）'!$B$20:$Y$20)*(1-实盘持仓初始配置!$Z$4)^(('实盘净值数据(iFinD）'!$A220-'实盘净值数据(iFinD）'!$A$6)/365))</f>
        <v/>
      </c>
      <c r="C220" s="16" t="str">
        <f t="shared" si="18"/>
        <v/>
      </c>
      <c r="D220" s="16" t="str">
        <f>IF(B220="","",B220/MAX(B$5:B220)-1)</f>
        <v/>
      </c>
      <c r="E220" s="13" t="str">
        <f>IF(OR('实盘净值数据(iFinD）'!$A220="",'实盘净值数据(iFinD）'!$B220=""),"",分期持仓明细!$AB$18*SUMPRODUCT(分期持仓明细!$B$18:$Y$18,'实盘净值数据(iFinD）'!$B220:$Y220/'实盘净值数据(iFinD）'!$B$20:$Y$20)*(1-实盘持仓初始配置!$Z$5)^(('实盘净值数据(iFinD）'!$A220-'实盘净值数据(iFinD）'!$A$5)/365))</f>
        <v/>
      </c>
      <c r="F220" s="16" t="str">
        <f t="shared" si="19"/>
        <v/>
      </c>
      <c r="G220" s="16" t="str">
        <f>IF(E220="","",E220/MAX(E$5:E220)-1)</f>
        <v/>
      </c>
      <c r="H220" s="13" t="str">
        <f>IF(OR('实盘净值数据(iFinD）'!$A220="",'实盘净值数据(iFinD）'!$B220=""),"",分期持仓明细!$AB$19*SUMPRODUCT(分期持仓明细!$B$19:$Y$19,'实盘净值数据(iFinD）'!$B220:$Y220/'实盘净值数据(iFinD）'!$B$20:$Y$20)*(1-实盘持仓初始配置!$Z$6)^(('实盘净值数据(iFinD）'!$A220-'实盘净值数据(iFinD）'!$A$7)/365))</f>
        <v/>
      </c>
      <c r="I220" s="16" t="str">
        <f t="shared" si="20"/>
        <v/>
      </c>
      <c r="J220" s="16" t="str">
        <f>IF(H220="","",H220/MAX(H$5:H220)-1)</f>
        <v/>
      </c>
      <c r="K220" s="13" t="str">
        <f>IF(OR('实盘净值数据(iFinD）'!$A220="",'实盘净值数据(iFinD）'!$B220="",'实盘净值数据(iFinD）'!$Z220="",'实盘净值数据(iFinD）'!$AA220=""),"",分期持仓明细!$AB$23*(SUMPRODUCT(分期持仓明细!$B$23:$Y$23,'实盘净值数据(iFinD）'!$B220:$Y220/'实盘净值数据(iFinD）'!$B$65:$Y$65)+SUMPRODUCT(分期持仓明细!$AC$23:$AD$23,'实盘净值数据(iFinD）'!$Z220:$AA220/'实盘净值数据(iFinD）'!$Z$65:$AA$65))*(1-实盘持仓初始配置!$Z$7)^(('实盘净值数据(iFinD）'!$A220-'实盘净值数据(iFinD）'!$A$8)/365))</f>
        <v/>
      </c>
      <c r="L220" s="16" t="str">
        <f t="shared" si="21"/>
        <v/>
      </c>
      <c r="M220" s="16" t="str">
        <f>IF(K220="","",K220/MAX(K$5:K220)-1)</f>
        <v/>
      </c>
      <c r="N220" s="13" t="str">
        <f>IF(OR('实盘净值数据(iFinD）'!$A220="",'实盘净值数据(iFinD）'!$B220="",'实盘净值数据(iFinD）'!$Z220="",'实盘净值数据(iFinD）'!$AA220=""),"",分期持仓明细!$AB$24*(SUMPRODUCT(分期持仓明细!$B$24:$Y$24,'实盘净值数据(iFinD）'!$B220:$Y220/'实盘净值数据(iFinD）'!$B$65:$Y$65)+SUMPRODUCT(分期持仓明细!$AC$24:$AD$24,'实盘净值数据(iFinD）'!$Z220:$AA220/'实盘净值数据(iFinD）'!$Z$65:$AA$65))*(1-实盘持仓初始配置!$Z$8)^(('实盘净值数据(iFinD）'!$A220-'实盘净值数据(iFinD）'!$A$5)/365))</f>
        <v/>
      </c>
      <c r="O220" s="16" t="str">
        <f t="shared" si="22"/>
        <v/>
      </c>
      <c r="P220" s="16" t="str">
        <f>IF(N220="","",N220/MAX(N$5:N220)-1)</f>
        <v/>
      </c>
      <c r="Q220" s="13" t="str">
        <f>IF(OR('实盘净值数据(iFinD）'!$A220="",'实盘净值数据(iFinD）'!$B220="",'实盘净值数据(iFinD）'!$Z220="",'实盘净值数据(iFinD）'!$AA220=""),"",分期持仓明细!$AB$25*(SUMPRODUCT(分期持仓明细!$B$25:$Y$25,'实盘净值数据(iFinD）'!$B220:$Y220/'实盘净值数据(iFinD）'!$B$65:$Y$65)+SUMPRODUCT(分期持仓明细!$AC$25:$AD$25,'实盘净值数据(iFinD）'!$Z220:$AA220/'实盘净值数据(iFinD）'!$Z$65:$AA$65))*(1-实盘持仓初始配置!$Z$9)^(('实盘净值数据(iFinD）'!$A220-'实盘净值数据(iFinD）'!$A$8)/365))</f>
        <v/>
      </c>
      <c r="R220" s="16" t="str">
        <f t="shared" si="23"/>
        <v/>
      </c>
      <c r="S220" s="16" t="str">
        <f>IF(Q220="","",Q220/MAX(Q$5:Q220)-1)</f>
        <v/>
      </c>
    </row>
    <row r="221" spans="1:19">
      <c r="A221" s="15" t="str">
        <f>IF('实盘净值数据(iFinD）'!A221="","",'实盘净值数据(iFinD）'!A221)</f>
        <v/>
      </c>
      <c r="B221" s="13" t="str">
        <f>IF(OR('实盘净值数据(iFinD）'!$A221="",'实盘净值数据(iFinD）'!$B221=""),"",分期持仓明细!$AB$17*SUMPRODUCT(分期持仓明细!$B$17:$Y$17,'实盘净值数据(iFinD）'!$B221:$Y221/'实盘净值数据(iFinD）'!$B$20:$Y$20)*(1-实盘持仓初始配置!$Z$4)^(('实盘净值数据(iFinD）'!$A221-'实盘净值数据(iFinD）'!$A$6)/365))</f>
        <v/>
      </c>
      <c r="C221" s="16" t="str">
        <f t="shared" si="18"/>
        <v/>
      </c>
      <c r="D221" s="16" t="str">
        <f>IF(B221="","",B221/MAX(B$5:B221)-1)</f>
        <v/>
      </c>
      <c r="E221" s="13" t="str">
        <f>IF(OR('实盘净值数据(iFinD）'!$A221="",'实盘净值数据(iFinD）'!$B221=""),"",分期持仓明细!$AB$18*SUMPRODUCT(分期持仓明细!$B$18:$Y$18,'实盘净值数据(iFinD）'!$B221:$Y221/'实盘净值数据(iFinD）'!$B$20:$Y$20)*(1-实盘持仓初始配置!$Z$5)^(('实盘净值数据(iFinD）'!$A221-'实盘净值数据(iFinD）'!$A$5)/365))</f>
        <v/>
      </c>
      <c r="F221" s="16" t="str">
        <f t="shared" si="19"/>
        <v/>
      </c>
      <c r="G221" s="16" t="str">
        <f>IF(E221="","",E221/MAX(E$5:E221)-1)</f>
        <v/>
      </c>
      <c r="H221" s="13" t="str">
        <f>IF(OR('实盘净值数据(iFinD）'!$A221="",'实盘净值数据(iFinD）'!$B221=""),"",分期持仓明细!$AB$19*SUMPRODUCT(分期持仓明细!$B$19:$Y$19,'实盘净值数据(iFinD）'!$B221:$Y221/'实盘净值数据(iFinD）'!$B$20:$Y$20)*(1-实盘持仓初始配置!$Z$6)^(('实盘净值数据(iFinD）'!$A221-'实盘净值数据(iFinD）'!$A$7)/365))</f>
        <v/>
      </c>
      <c r="I221" s="16" t="str">
        <f t="shared" si="20"/>
        <v/>
      </c>
      <c r="J221" s="16" t="str">
        <f>IF(H221="","",H221/MAX(H$5:H221)-1)</f>
        <v/>
      </c>
      <c r="K221" s="13" t="str">
        <f>IF(OR('实盘净值数据(iFinD）'!$A221="",'实盘净值数据(iFinD）'!$B221="",'实盘净值数据(iFinD）'!$Z221="",'实盘净值数据(iFinD）'!$AA221=""),"",分期持仓明细!$AB$23*(SUMPRODUCT(分期持仓明细!$B$23:$Y$23,'实盘净值数据(iFinD）'!$B221:$Y221/'实盘净值数据(iFinD）'!$B$65:$Y$65)+SUMPRODUCT(分期持仓明细!$AC$23:$AD$23,'实盘净值数据(iFinD）'!$Z221:$AA221/'实盘净值数据(iFinD）'!$Z$65:$AA$65))*(1-实盘持仓初始配置!$Z$7)^(('实盘净值数据(iFinD）'!$A221-'实盘净值数据(iFinD）'!$A$8)/365))</f>
        <v/>
      </c>
      <c r="L221" s="16" t="str">
        <f t="shared" si="21"/>
        <v/>
      </c>
      <c r="M221" s="16" t="str">
        <f>IF(K221="","",K221/MAX(K$5:K221)-1)</f>
        <v/>
      </c>
      <c r="N221" s="13" t="str">
        <f>IF(OR('实盘净值数据(iFinD）'!$A221="",'实盘净值数据(iFinD）'!$B221="",'实盘净值数据(iFinD）'!$Z221="",'实盘净值数据(iFinD）'!$AA221=""),"",分期持仓明细!$AB$24*(SUMPRODUCT(分期持仓明细!$B$24:$Y$24,'实盘净值数据(iFinD）'!$B221:$Y221/'实盘净值数据(iFinD）'!$B$65:$Y$65)+SUMPRODUCT(分期持仓明细!$AC$24:$AD$24,'实盘净值数据(iFinD）'!$Z221:$AA221/'实盘净值数据(iFinD）'!$Z$65:$AA$65))*(1-实盘持仓初始配置!$Z$8)^(('实盘净值数据(iFinD）'!$A221-'实盘净值数据(iFinD）'!$A$5)/365))</f>
        <v/>
      </c>
      <c r="O221" s="16" t="str">
        <f t="shared" si="22"/>
        <v/>
      </c>
      <c r="P221" s="16" t="str">
        <f>IF(N221="","",N221/MAX(N$5:N221)-1)</f>
        <v/>
      </c>
      <c r="Q221" s="13" t="str">
        <f>IF(OR('实盘净值数据(iFinD）'!$A221="",'实盘净值数据(iFinD）'!$B221="",'实盘净值数据(iFinD）'!$Z221="",'实盘净值数据(iFinD）'!$AA221=""),"",分期持仓明细!$AB$25*(SUMPRODUCT(分期持仓明细!$B$25:$Y$25,'实盘净值数据(iFinD）'!$B221:$Y221/'实盘净值数据(iFinD）'!$B$65:$Y$65)+SUMPRODUCT(分期持仓明细!$AC$25:$AD$25,'实盘净值数据(iFinD）'!$Z221:$AA221/'实盘净值数据(iFinD）'!$Z$65:$AA$65))*(1-实盘持仓初始配置!$Z$9)^(('实盘净值数据(iFinD）'!$A221-'实盘净值数据(iFinD）'!$A$8)/365))</f>
        <v/>
      </c>
      <c r="R221" s="16" t="str">
        <f t="shared" si="23"/>
        <v/>
      </c>
      <c r="S221" s="16" t="str">
        <f>IF(Q221="","",Q221/MAX(Q$5:Q221)-1)</f>
        <v/>
      </c>
    </row>
    <row r="222" spans="1:19">
      <c r="A222" s="15" t="str">
        <f>IF('实盘净值数据(iFinD）'!A222="","",'实盘净值数据(iFinD）'!A222)</f>
        <v/>
      </c>
      <c r="B222" s="13" t="str">
        <f>IF(OR('实盘净值数据(iFinD）'!$A222="",'实盘净值数据(iFinD）'!$B222=""),"",分期持仓明细!$AB$17*SUMPRODUCT(分期持仓明细!$B$17:$Y$17,'实盘净值数据(iFinD）'!$B222:$Y222/'实盘净值数据(iFinD）'!$B$20:$Y$20)*(1-实盘持仓初始配置!$Z$4)^(('实盘净值数据(iFinD）'!$A222-'实盘净值数据(iFinD）'!$A$6)/365))</f>
        <v/>
      </c>
      <c r="C222" s="16" t="str">
        <f t="shared" si="18"/>
        <v/>
      </c>
      <c r="D222" s="16" t="str">
        <f>IF(B222="","",B222/MAX(B$5:B222)-1)</f>
        <v/>
      </c>
      <c r="E222" s="13" t="str">
        <f>IF(OR('实盘净值数据(iFinD）'!$A222="",'实盘净值数据(iFinD）'!$B222=""),"",分期持仓明细!$AB$18*SUMPRODUCT(分期持仓明细!$B$18:$Y$18,'实盘净值数据(iFinD）'!$B222:$Y222/'实盘净值数据(iFinD）'!$B$20:$Y$20)*(1-实盘持仓初始配置!$Z$5)^(('实盘净值数据(iFinD）'!$A222-'实盘净值数据(iFinD）'!$A$5)/365))</f>
        <v/>
      </c>
      <c r="F222" s="16" t="str">
        <f t="shared" si="19"/>
        <v/>
      </c>
      <c r="G222" s="16" t="str">
        <f>IF(E222="","",E222/MAX(E$5:E222)-1)</f>
        <v/>
      </c>
      <c r="H222" s="13" t="str">
        <f>IF(OR('实盘净值数据(iFinD）'!$A222="",'实盘净值数据(iFinD）'!$B222=""),"",分期持仓明细!$AB$19*SUMPRODUCT(分期持仓明细!$B$19:$Y$19,'实盘净值数据(iFinD）'!$B222:$Y222/'实盘净值数据(iFinD）'!$B$20:$Y$20)*(1-实盘持仓初始配置!$Z$6)^(('实盘净值数据(iFinD）'!$A222-'实盘净值数据(iFinD）'!$A$7)/365))</f>
        <v/>
      </c>
      <c r="I222" s="16" t="str">
        <f t="shared" si="20"/>
        <v/>
      </c>
      <c r="J222" s="16" t="str">
        <f>IF(H222="","",H222/MAX(H$5:H222)-1)</f>
        <v/>
      </c>
      <c r="K222" s="13" t="str">
        <f>IF(OR('实盘净值数据(iFinD）'!$A222="",'实盘净值数据(iFinD）'!$B222="",'实盘净值数据(iFinD）'!$Z222="",'实盘净值数据(iFinD）'!$AA222=""),"",分期持仓明细!$AB$23*(SUMPRODUCT(分期持仓明细!$B$23:$Y$23,'实盘净值数据(iFinD）'!$B222:$Y222/'实盘净值数据(iFinD）'!$B$65:$Y$65)+SUMPRODUCT(分期持仓明细!$AC$23:$AD$23,'实盘净值数据(iFinD）'!$Z222:$AA222/'实盘净值数据(iFinD）'!$Z$65:$AA$65))*(1-实盘持仓初始配置!$Z$7)^(('实盘净值数据(iFinD）'!$A222-'实盘净值数据(iFinD）'!$A$8)/365))</f>
        <v/>
      </c>
      <c r="L222" s="16" t="str">
        <f t="shared" si="21"/>
        <v/>
      </c>
      <c r="M222" s="16" t="str">
        <f>IF(K222="","",K222/MAX(K$5:K222)-1)</f>
        <v/>
      </c>
      <c r="N222" s="13" t="str">
        <f>IF(OR('实盘净值数据(iFinD）'!$A222="",'实盘净值数据(iFinD）'!$B222="",'实盘净值数据(iFinD）'!$Z222="",'实盘净值数据(iFinD）'!$AA222=""),"",分期持仓明细!$AB$24*(SUMPRODUCT(分期持仓明细!$B$24:$Y$24,'实盘净值数据(iFinD）'!$B222:$Y222/'实盘净值数据(iFinD）'!$B$65:$Y$65)+SUMPRODUCT(分期持仓明细!$AC$24:$AD$24,'实盘净值数据(iFinD）'!$Z222:$AA222/'实盘净值数据(iFinD）'!$Z$65:$AA$65))*(1-实盘持仓初始配置!$Z$8)^(('实盘净值数据(iFinD）'!$A222-'实盘净值数据(iFinD）'!$A$5)/365))</f>
        <v/>
      </c>
      <c r="O222" s="16" t="str">
        <f t="shared" si="22"/>
        <v/>
      </c>
      <c r="P222" s="16" t="str">
        <f>IF(N222="","",N222/MAX(N$5:N222)-1)</f>
        <v/>
      </c>
      <c r="Q222" s="13" t="str">
        <f>IF(OR('实盘净值数据(iFinD）'!$A222="",'实盘净值数据(iFinD）'!$B222="",'实盘净值数据(iFinD）'!$Z222="",'实盘净值数据(iFinD）'!$AA222=""),"",分期持仓明细!$AB$25*(SUMPRODUCT(分期持仓明细!$B$25:$Y$25,'实盘净值数据(iFinD）'!$B222:$Y222/'实盘净值数据(iFinD）'!$B$65:$Y$65)+SUMPRODUCT(分期持仓明细!$AC$25:$AD$25,'实盘净值数据(iFinD）'!$Z222:$AA222/'实盘净值数据(iFinD）'!$Z$65:$AA$65))*(1-实盘持仓初始配置!$Z$9)^(('实盘净值数据(iFinD）'!$A222-'实盘净值数据(iFinD）'!$A$8)/365))</f>
        <v/>
      </c>
      <c r="R222" s="16" t="str">
        <f t="shared" si="23"/>
        <v/>
      </c>
      <c r="S222" s="16" t="str">
        <f>IF(Q222="","",Q222/MAX(Q$5:Q222)-1)</f>
        <v/>
      </c>
    </row>
    <row r="223" spans="1:19">
      <c r="A223" s="15" t="str">
        <f>IF('实盘净值数据(iFinD）'!A223="","",'实盘净值数据(iFinD）'!A223)</f>
        <v/>
      </c>
      <c r="B223" s="13" t="str">
        <f>IF(OR('实盘净值数据(iFinD）'!$A223="",'实盘净值数据(iFinD）'!$B223=""),"",分期持仓明细!$AB$17*SUMPRODUCT(分期持仓明细!$B$17:$Y$17,'实盘净值数据(iFinD）'!$B223:$Y223/'实盘净值数据(iFinD）'!$B$20:$Y$20)*(1-实盘持仓初始配置!$Z$4)^(('实盘净值数据(iFinD）'!$A223-'实盘净值数据(iFinD）'!$A$6)/365))</f>
        <v/>
      </c>
      <c r="C223" s="16" t="str">
        <f t="shared" si="18"/>
        <v/>
      </c>
      <c r="D223" s="16" t="str">
        <f>IF(B223="","",B223/MAX(B$5:B223)-1)</f>
        <v/>
      </c>
      <c r="E223" s="13" t="str">
        <f>IF(OR('实盘净值数据(iFinD）'!$A223="",'实盘净值数据(iFinD）'!$B223=""),"",分期持仓明细!$AB$18*SUMPRODUCT(分期持仓明细!$B$18:$Y$18,'实盘净值数据(iFinD）'!$B223:$Y223/'实盘净值数据(iFinD）'!$B$20:$Y$20)*(1-实盘持仓初始配置!$Z$5)^(('实盘净值数据(iFinD）'!$A223-'实盘净值数据(iFinD）'!$A$5)/365))</f>
        <v/>
      </c>
      <c r="F223" s="16" t="str">
        <f t="shared" si="19"/>
        <v/>
      </c>
      <c r="G223" s="16" t="str">
        <f>IF(E223="","",E223/MAX(E$5:E223)-1)</f>
        <v/>
      </c>
      <c r="H223" s="13" t="str">
        <f>IF(OR('实盘净值数据(iFinD）'!$A223="",'实盘净值数据(iFinD）'!$B223=""),"",分期持仓明细!$AB$19*SUMPRODUCT(分期持仓明细!$B$19:$Y$19,'实盘净值数据(iFinD）'!$B223:$Y223/'实盘净值数据(iFinD）'!$B$20:$Y$20)*(1-实盘持仓初始配置!$Z$6)^(('实盘净值数据(iFinD）'!$A223-'实盘净值数据(iFinD）'!$A$7)/365))</f>
        <v/>
      </c>
      <c r="I223" s="16" t="str">
        <f t="shared" si="20"/>
        <v/>
      </c>
      <c r="J223" s="16" t="str">
        <f>IF(H223="","",H223/MAX(H$5:H223)-1)</f>
        <v/>
      </c>
      <c r="K223" s="13" t="str">
        <f>IF(OR('实盘净值数据(iFinD）'!$A223="",'实盘净值数据(iFinD）'!$B223="",'实盘净值数据(iFinD）'!$Z223="",'实盘净值数据(iFinD）'!$AA223=""),"",分期持仓明细!$AB$23*(SUMPRODUCT(分期持仓明细!$B$23:$Y$23,'实盘净值数据(iFinD）'!$B223:$Y223/'实盘净值数据(iFinD）'!$B$65:$Y$65)+SUMPRODUCT(分期持仓明细!$AC$23:$AD$23,'实盘净值数据(iFinD）'!$Z223:$AA223/'实盘净值数据(iFinD）'!$Z$65:$AA$65))*(1-实盘持仓初始配置!$Z$7)^(('实盘净值数据(iFinD）'!$A223-'实盘净值数据(iFinD）'!$A$8)/365))</f>
        <v/>
      </c>
      <c r="L223" s="16" t="str">
        <f t="shared" si="21"/>
        <v/>
      </c>
      <c r="M223" s="16" t="str">
        <f>IF(K223="","",K223/MAX(K$5:K223)-1)</f>
        <v/>
      </c>
      <c r="N223" s="13" t="str">
        <f>IF(OR('实盘净值数据(iFinD）'!$A223="",'实盘净值数据(iFinD）'!$B223="",'实盘净值数据(iFinD）'!$Z223="",'实盘净值数据(iFinD）'!$AA223=""),"",分期持仓明细!$AB$24*(SUMPRODUCT(分期持仓明细!$B$24:$Y$24,'实盘净值数据(iFinD）'!$B223:$Y223/'实盘净值数据(iFinD）'!$B$65:$Y$65)+SUMPRODUCT(分期持仓明细!$AC$24:$AD$24,'实盘净值数据(iFinD）'!$Z223:$AA223/'实盘净值数据(iFinD）'!$Z$65:$AA$65))*(1-实盘持仓初始配置!$Z$8)^(('实盘净值数据(iFinD）'!$A223-'实盘净值数据(iFinD）'!$A$5)/365))</f>
        <v/>
      </c>
      <c r="O223" s="16" t="str">
        <f t="shared" si="22"/>
        <v/>
      </c>
      <c r="P223" s="16" t="str">
        <f>IF(N223="","",N223/MAX(N$5:N223)-1)</f>
        <v/>
      </c>
      <c r="Q223" s="13" t="str">
        <f>IF(OR('实盘净值数据(iFinD）'!$A223="",'实盘净值数据(iFinD）'!$B223="",'实盘净值数据(iFinD）'!$Z223="",'实盘净值数据(iFinD）'!$AA223=""),"",分期持仓明细!$AB$25*(SUMPRODUCT(分期持仓明细!$B$25:$Y$25,'实盘净值数据(iFinD）'!$B223:$Y223/'实盘净值数据(iFinD）'!$B$65:$Y$65)+SUMPRODUCT(分期持仓明细!$AC$25:$AD$25,'实盘净值数据(iFinD）'!$Z223:$AA223/'实盘净值数据(iFinD）'!$Z$65:$AA$65))*(1-实盘持仓初始配置!$Z$9)^(('实盘净值数据(iFinD）'!$A223-'实盘净值数据(iFinD）'!$A$8)/365))</f>
        <v/>
      </c>
      <c r="R223" s="16" t="str">
        <f t="shared" si="23"/>
        <v/>
      </c>
      <c r="S223" s="16" t="str">
        <f>IF(Q223="","",Q223/MAX(Q$5:Q223)-1)</f>
        <v/>
      </c>
    </row>
    <row r="224" spans="1:19">
      <c r="A224" s="15" t="str">
        <f>IF('实盘净值数据(iFinD）'!A224="","",'实盘净值数据(iFinD）'!A224)</f>
        <v/>
      </c>
      <c r="B224" s="13" t="str">
        <f>IF(OR('实盘净值数据(iFinD）'!$A224="",'实盘净值数据(iFinD）'!$B224=""),"",分期持仓明细!$AB$17*SUMPRODUCT(分期持仓明细!$B$17:$Y$17,'实盘净值数据(iFinD）'!$B224:$Y224/'实盘净值数据(iFinD）'!$B$20:$Y$20)*(1-实盘持仓初始配置!$Z$4)^(('实盘净值数据(iFinD）'!$A224-'实盘净值数据(iFinD）'!$A$6)/365))</f>
        <v/>
      </c>
      <c r="C224" s="16" t="str">
        <f t="shared" si="18"/>
        <v/>
      </c>
      <c r="D224" s="16" t="str">
        <f>IF(B224="","",B224/MAX(B$5:B224)-1)</f>
        <v/>
      </c>
      <c r="E224" s="13" t="str">
        <f>IF(OR('实盘净值数据(iFinD）'!$A224="",'实盘净值数据(iFinD）'!$B224=""),"",分期持仓明细!$AB$18*SUMPRODUCT(分期持仓明细!$B$18:$Y$18,'实盘净值数据(iFinD）'!$B224:$Y224/'实盘净值数据(iFinD）'!$B$20:$Y$20)*(1-实盘持仓初始配置!$Z$5)^(('实盘净值数据(iFinD）'!$A224-'实盘净值数据(iFinD）'!$A$5)/365))</f>
        <v/>
      </c>
      <c r="F224" s="16" t="str">
        <f t="shared" si="19"/>
        <v/>
      </c>
      <c r="G224" s="16" t="str">
        <f>IF(E224="","",E224/MAX(E$5:E224)-1)</f>
        <v/>
      </c>
      <c r="H224" s="13" t="str">
        <f>IF(OR('实盘净值数据(iFinD）'!$A224="",'实盘净值数据(iFinD）'!$B224=""),"",分期持仓明细!$AB$19*SUMPRODUCT(分期持仓明细!$B$19:$Y$19,'实盘净值数据(iFinD）'!$B224:$Y224/'实盘净值数据(iFinD）'!$B$20:$Y$20)*(1-实盘持仓初始配置!$Z$6)^(('实盘净值数据(iFinD）'!$A224-'实盘净值数据(iFinD）'!$A$7)/365))</f>
        <v/>
      </c>
      <c r="I224" s="16" t="str">
        <f t="shared" si="20"/>
        <v/>
      </c>
      <c r="J224" s="16" t="str">
        <f>IF(H224="","",H224/MAX(H$5:H224)-1)</f>
        <v/>
      </c>
      <c r="K224" s="13" t="str">
        <f>IF(OR('实盘净值数据(iFinD）'!$A224="",'实盘净值数据(iFinD）'!$B224="",'实盘净值数据(iFinD）'!$Z224="",'实盘净值数据(iFinD）'!$AA224=""),"",分期持仓明细!$AB$23*(SUMPRODUCT(分期持仓明细!$B$23:$Y$23,'实盘净值数据(iFinD）'!$B224:$Y224/'实盘净值数据(iFinD）'!$B$65:$Y$65)+SUMPRODUCT(分期持仓明细!$AC$23:$AD$23,'实盘净值数据(iFinD）'!$Z224:$AA224/'实盘净值数据(iFinD）'!$Z$65:$AA$65))*(1-实盘持仓初始配置!$Z$7)^(('实盘净值数据(iFinD）'!$A224-'实盘净值数据(iFinD）'!$A$8)/365))</f>
        <v/>
      </c>
      <c r="L224" s="16" t="str">
        <f t="shared" si="21"/>
        <v/>
      </c>
      <c r="M224" s="16" t="str">
        <f>IF(K224="","",K224/MAX(K$5:K224)-1)</f>
        <v/>
      </c>
      <c r="N224" s="13" t="str">
        <f>IF(OR('实盘净值数据(iFinD）'!$A224="",'实盘净值数据(iFinD）'!$B224="",'实盘净值数据(iFinD）'!$Z224="",'实盘净值数据(iFinD）'!$AA224=""),"",分期持仓明细!$AB$24*(SUMPRODUCT(分期持仓明细!$B$24:$Y$24,'实盘净值数据(iFinD）'!$B224:$Y224/'实盘净值数据(iFinD）'!$B$65:$Y$65)+SUMPRODUCT(分期持仓明细!$AC$24:$AD$24,'实盘净值数据(iFinD）'!$Z224:$AA224/'实盘净值数据(iFinD）'!$Z$65:$AA$65))*(1-实盘持仓初始配置!$Z$8)^(('实盘净值数据(iFinD）'!$A224-'实盘净值数据(iFinD）'!$A$5)/365))</f>
        <v/>
      </c>
      <c r="O224" s="16" t="str">
        <f t="shared" si="22"/>
        <v/>
      </c>
      <c r="P224" s="16" t="str">
        <f>IF(N224="","",N224/MAX(N$5:N224)-1)</f>
        <v/>
      </c>
      <c r="Q224" s="13" t="str">
        <f>IF(OR('实盘净值数据(iFinD）'!$A224="",'实盘净值数据(iFinD）'!$B224="",'实盘净值数据(iFinD）'!$Z224="",'实盘净值数据(iFinD）'!$AA224=""),"",分期持仓明细!$AB$25*(SUMPRODUCT(分期持仓明细!$B$25:$Y$25,'实盘净值数据(iFinD）'!$B224:$Y224/'实盘净值数据(iFinD）'!$B$65:$Y$65)+SUMPRODUCT(分期持仓明细!$AC$25:$AD$25,'实盘净值数据(iFinD）'!$Z224:$AA224/'实盘净值数据(iFinD）'!$Z$65:$AA$65))*(1-实盘持仓初始配置!$Z$9)^(('实盘净值数据(iFinD）'!$A224-'实盘净值数据(iFinD）'!$A$8)/365))</f>
        <v/>
      </c>
      <c r="R224" s="16" t="str">
        <f t="shared" si="23"/>
        <v/>
      </c>
      <c r="S224" s="16" t="str">
        <f>IF(Q224="","",Q224/MAX(Q$5:Q224)-1)</f>
        <v/>
      </c>
    </row>
    <row r="225" spans="1:19">
      <c r="A225" s="15" t="str">
        <f>IF('实盘净值数据(iFinD）'!A225="","",'实盘净值数据(iFinD）'!A225)</f>
        <v/>
      </c>
      <c r="B225" s="13" t="str">
        <f>IF(OR('实盘净值数据(iFinD）'!$A225="",'实盘净值数据(iFinD）'!$B225=""),"",分期持仓明细!$AB$17*SUMPRODUCT(分期持仓明细!$B$17:$Y$17,'实盘净值数据(iFinD）'!$B225:$Y225/'实盘净值数据(iFinD）'!$B$20:$Y$20)*(1-实盘持仓初始配置!$Z$4)^(('实盘净值数据(iFinD）'!$A225-'实盘净值数据(iFinD）'!$A$6)/365))</f>
        <v/>
      </c>
      <c r="C225" s="16" t="str">
        <f t="shared" si="18"/>
        <v/>
      </c>
      <c r="D225" s="16" t="str">
        <f>IF(B225="","",B225/MAX(B$5:B225)-1)</f>
        <v/>
      </c>
      <c r="E225" s="13" t="str">
        <f>IF(OR('实盘净值数据(iFinD）'!$A225="",'实盘净值数据(iFinD）'!$B225=""),"",分期持仓明细!$AB$18*SUMPRODUCT(分期持仓明细!$B$18:$Y$18,'实盘净值数据(iFinD）'!$B225:$Y225/'实盘净值数据(iFinD）'!$B$20:$Y$20)*(1-实盘持仓初始配置!$Z$5)^(('实盘净值数据(iFinD）'!$A225-'实盘净值数据(iFinD）'!$A$5)/365))</f>
        <v/>
      </c>
      <c r="F225" s="16" t="str">
        <f t="shared" si="19"/>
        <v/>
      </c>
      <c r="G225" s="16" t="str">
        <f>IF(E225="","",E225/MAX(E$5:E225)-1)</f>
        <v/>
      </c>
      <c r="H225" s="13" t="str">
        <f>IF(OR('实盘净值数据(iFinD）'!$A225="",'实盘净值数据(iFinD）'!$B225=""),"",分期持仓明细!$AB$19*SUMPRODUCT(分期持仓明细!$B$19:$Y$19,'实盘净值数据(iFinD）'!$B225:$Y225/'实盘净值数据(iFinD）'!$B$20:$Y$20)*(1-实盘持仓初始配置!$Z$6)^(('实盘净值数据(iFinD）'!$A225-'实盘净值数据(iFinD）'!$A$7)/365))</f>
        <v/>
      </c>
      <c r="I225" s="16" t="str">
        <f t="shared" si="20"/>
        <v/>
      </c>
      <c r="J225" s="16" t="str">
        <f>IF(H225="","",H225/MAX(H$5:H225)-1)</f>
        <v/>
      </c>
      <c r="K225" s="13" t="str">
        <f>IF(OR('实盘净值数据(iFinD）'!$A225="",'实盘净值数据(iFinD）'!$B225="",'实盘净值数据(iFinD）'!$Z225="",'实盘净值数据(iFinD）'!$AA225=""),"",分期持仓明细!$AB$23*(SUMPRODUCT(分期持仓明细!$B$23:$Y$23,'实盘净值数据(iFinD）'!$B225:$Y225/'实盘净值数据(iFinD）'!$B$65:$Y$65)+SUMPRODUCT(分期持仓明细!$AC$23:$AD$23,'实盘净值数据(iFinD）'!$Z225:$AA225/'实盘净值数据(iFinD）'!$Z$65:$AA$65))*(1-实盘持仓初始配置!$Z$7)^(('实盘净值数据(iFinD）'!$A225-'实盘净值数据(iFinD）'!$A$8)/365))</f>
        <v/>
      </c>
      <c r="L225" s="16" t="str">
        <f t="shared" si="21"/>
        <v/>
      </c>
      <c r="M225" s="16" t="str">
        <f>IF(K225="","",K225/MAX(K$5:K225)-1)</f>
        <v/>
      </c>
      <c r="N225" s="13" t="str">
        <f>IF(OR('实盘净值数据(iFinD）'!$A225="",'实盘净值数据(iFinD）'!$B225="",'实盘净值数据(iFinD）'!$Z225="",'实盘净值数据(iFinD）'!$AA225=""),"",分期持仓明细!$AB$24*(SUMPRODUCT(分期持仓明细!$B$24:$Y$24,'实盘净值数据(iFinD）'!$B225:$Y225/'实盘净值数据(iFinD）'!$B$65:$Y$65)+SUMPRODUCT(分期持仓明细!$AC$24:$AD$24,'实盘净值数据(iFinD）'!$Z225:$AA225/'实盘净值数据(iFinD）'!$Z$65:$AA$65))*(1-实盘持仓初始配置!$Z$8)^(('实盘净值数据(iFinD）'!$A225-'实盘净值数据(iFinD）'!$A$5)/365))</f>
        <v/>
      </c>
      <c r="O225" s="16" t="str">
        <f t="shared" si="22"/>
        <v/>
      </c>
      <c r="P225" s="16" t="str">
        <f>IF(N225="","",N225/MAX(N$5:N225)-1)</f>
        <v/>
      </c>
      <c r="Q225" s="13" t="str">
        <f>IF(OR('实盘净值数据(iFinD）'!$A225="",'实盘净值数据(iFinD）'!$B225="",'实盘净值数据(iFinD）'!$Z225="",'实盘净值数据(iFinD）'!$AA225=""),"",分期持仓明细!$AB$25*(SUMPRODUCT(分期持仓明细!$B$25:$Y$25,'实盘净值数据(iFinD）'!$B225:$Y225/'实盘净值数据(iFinD）'!$B$65:$Y$65)+SUMPRODUCT(分期持仓明细!$AC$25:$AD$25,'实盘净值数据(iFinD）'!$Z225:$AA225/'实盘净值数据(iFinD）'!$Z$65:$AA$65))*(1-实盘持仓初始配置!$Z$9)^(('实盘净值数据(iFinD）'!$A225-'实盘净值数据(iFinD）'!$A$8)/365))</f>
        <v/>
      </c>
      <c r="R225" s="16" t="str">
        <f t="shared" si="23"/>
        <v/>
      </c>
      <c r="S225" s="16" t="str">
        <f>IF(Q225="","",Q225/MAX(Q$5:Q225)-1)</f>
        <v/>
      </c>
    </row>
    <row r="226" spans="1:19">
      <c r="A226" s="15" t="str">
        <f>IF('实盘净值数据(iFinD）'!A226="","",'实盘净值数据(iFinD）'!A226)</f>
        <v/>
      </c>
      <c r="B226" s="13" t="str">
        <f>IF(OR('实盘净值数据(iFinD）'!$A226="",'实盘净值数据(iFinD）'!$B226=""),"",分期持仓明细!$AB$17*SUMPRODUCT(分期持仓明细!$B$17:$Y$17,'实盘净值数据(iFinD）'!$B226:$Y226/'实盘净值数据(iFinD）'!$B$20:$Y$20)*(1-实盘持仓初始配置!$Z$4)^(('实盘净值数据(iFinD）'!$A226-'实盘净值数据(iFinD）'!$A$6)/365))</f>
        <v/>
      </c>
      <c r="C226" s="16" t="str">
        <f t="shared" si="18"/>
        <v/>
      </c>
      <c r="D226" s="16" t="str">
        <f>IF(B226="","",B226/MAX(B$5:B226)-1)</f>
        <v/>
      </c>
      <c r="E226" s="13" t="str">
        <f>IF(OR('实盘净值数据(iFinD）'!$A226="",'实盘净值数据(iFinD）'!$B226=""),"",分期持仓明细!$AB$18*SUMPRODUCT(分期持仓明细!$B$18:$Y$18,'实盘净值数据(iFinD）'!$B226:$Y226/'实盘净值数据(iFinD）'!$B$20:$Y$20)*(1-实盘持仓初始配置!$Z$5)^(('实盘净值数据(iFinD）'!$A226-'实盘净值数据(iFinD）'!$A$5)/365))</f>
        <v/>
      </c>
      <c r="F226" s="16" t="str">
        <f t="shared" si="19"/>
        <v/>
      </c>
      <c r="G226" s="16" t="str">
        <f>IF(E226="","",E226/MAX(E$5:E226)-1)</f>
        <v/>
      </c>
      <c r="H226" s="13" t="str">
        <f>IF(OR('实盘净值数据(iFinD）'!$A226="",'实盘净值数据(iFinD）'!$B226=""),"",分期持仓明细!$AB$19*SUMPRODUCT(分期持仓明细!$B$19:$Y$19,'实盘净值数据(iFinD）'!$B226:$Y226/'实盘净值数据(iFinD）'!$B$20:$Y$20)*(1-实盘持仓初始配置!$Z$6)^(('实盘净值数据(iFinD）'!$A226-'实盘净值数据(iFinD）'!$A$7)/365))</f>
        <v/>
      </c>
      <c r="I226" s="16" t="str">
        <f t="shared" si="20"/>
        <v/>
      </c>
      <c r="J226" s="16" t="str">
        <f>IF(H226="","",H226/MAX(H$5:H226)-1)</f>
        <v/>
      </c>
      <c r="K226" s="13" t="str">
        <f>IF(OR('实盘净值数据(iFinD）'!$A226="",'实盘净值数据(iFinD）'!$B226="",'实盘净值数据(iFinD）'!$Z226="",'实盘净值数据(iFinD）'!$AA226=""),"",分期持仓明细!$AB$23*(SUMPRODUCT(分期持仓明细!$B$23:$Y$23,'实盘净值数据(iFinD）'!$B226:$Y226/'实盘净值数据(iFinD）'!$B$65:$Y$65)+SUMPRODUCT(分期持仓明细!$AC$23:$AD$23,'实盘净值数据(iFinD）'!$Z226:$AA226/'实盘净值数据(iFinD）'!$Z$65:$AA$65))*(1-实盘持仓初始配置!$Z$7)^(('实盘净值数据(iFinD）'!$A226-'实盘净值数据(iFinD）'!$A$8)/365))</f>
        <v/>
      </c>
      <c r="L226" s="16" t="str">
        <f t="shared" si="21"/>
        <v/>
      </c>
      <c r="M226" s="16" t="str">
        <f>IF(K226="","",K226/MAX(K$5:K226)-1)</f>
        <v/>
      </c>
      <c r="N226" s="13" t="str">
        <f>IF(OR('实盘净值数据(iFinD）'!$A226="",'实盘净值数据(iFinD）'!$B226="",'实盘净值数据(iFinD）'!$Z226="",'实盘净值数据(iFinD）'!$AA226=""),"",分期持仓明细!$AB$24*(SUMPRODUCT(分期持仓明细!$B$24:$Y$24,'实盘净值数据(iFinD）'!$B226:$Y226/'实盘净值数据(iFinD）'!$B$65:$Y$65)+SUMPRODUCT(分期持仓明细!$AC$24:$AD$24,'实盘净值数据(iFinD）'!$Z226:$AA226/'实盘净值数据(iFinD）'!$Z$65:$AA$65))*(1-实盘持仓初始配置!$Z$8)^(('实盘净值数据(iFinD）'!$A226-'实盘净值数据(iFinD）'!$A$5)/365))</f>
        <v/>
      </c>
      <c r="O226" s="16" t="str">
        <f t="shared" si="22"/>
        <v/>
      </c>
      <c r="P226" s="16" t="str">
        <f>IF(N226="","",N226/MAX(N$5:N226)-1)</f>
        <v/>
      </c>
      <c r="Q226" s="13" t="str">
        <f>IF(OR('实盘净值数据(iFinD）'!$A226="",'实盘净值数据(iFinD）'!$B226="",'实盘净值数据(iFinD）'!$Z226="",'实盘净值数据(iFinD）'!$AA226=""),"",分期持仓明细!$AB$25*(SUMPRODUCT(分期持仓明细!$B$25:$Y$25,'实盘净值数据(iFinD）'!$B226:$Y226/'实盘净值数据(iFinD）'!$B$65:$Y$65)+SUMPRODUCT(分期持仓明细!$AC$25:$AD$25,'实盘净值数据(iFinD）'!$Z226:$AA226/'实盘净值数据(iFinD）'!$Z$65:$AA$65))*(1-实盘持仓初始配置!$Z$9)^(('实盘净值数据(iFinD）'!$A226-'实盘净值数据(iFinD）'!$A$8)/365))</f>
        <v/>
      </c>
      <c r="R226" s="16" t="str">
        <f t="shared" si="23"/>
        <v/>
      </c>
      <c r="S226" s="16" t="str">
        <f>IF(Q226="","",Q226/MAX(Q$5:Q226)-1)</f>
        <v/>
      </c>
    </row>
    <row r="227" spans="1:19">
      <c r="A227" s="15" t="str">
        <f>IF('实盘净值数据(iFinD）'!A227="","",'实盘净值数据(iFinD）'!A227)</f>
        <v/>
      </c>
      <c r="B227" s="13" t="str">
        <f>IF(OR('实盘净值数据(iFinD）'!$A227="",'实盘净值数据(iFinD）'!$B227=""),"",分期持仓明细!$AB$17*SUMPRODUCT(分期持仓明细!$B$17:$Y$17,'实盘净值数据(iFinD）'!$B227:$Y227/'实盘净值数据(iFinD）'!$B$20:$Y$20)*(1-实盘持仓初始配置!$Z$4)^(('实盘净值数据(iFinD）'!$A227-'实盘净值数据(iFinD）'!$A$6)/365))</f>
        <v/>
      </c>
      <c r="C227" s="16" t="str">
        <f t="shared" si="18"/>
        <v/>
      </c>
      <c r="D227" s="16" t="str">
        <f>IF(B227="","",B227/MAX(B$5:B227)-1)</f>
        <v/>
      </c>
      <c r="E227" s="13" t="str">
        <f>IF(OR('实盘净值数据(iFinD）'!$A227="",'实盘净值数据(iFinD）'!$B227=""),"",分期持仓明细!$AB$18*SUMPRODUCT(分期持仓明细!$B$18:$Y$18,'实盘净值数据(iFinD）'!$B227:$Y227/'实盘净值数据(iFinD）'!$B$20:$Y$20)*(1-实盘持仓初始配置!$Z$5)^(('实盘净值数据(iFinD）'!$A227-'实盘净值数据(iFinD）'!$A$5)/365))</f>
        <v/>
      </c>
      <c r="F227" s="16" t="str">
        <f t="shared" si="19"/>
        <v/>
      </c>
      <c r="G227" s="16" t="str">
        <f>IF(E227="","",E227/MAX(E$5:E227)-1)</f>
        <v/>
      </c>
      <c r="H227" s="13" t="str">
        <f>IF(OR('实盘净值数据(iFinD）'!$A227="",'实盘净值数据(iFinD）'!$B227=""),"",分期持仓明细!$AB$19*SUMPRODUCT(分期持仓明细!$B$19:$Y$19,'实盘净值数据(iFinD）'!$B227:$Y227/'实盘净值数据(iFinD）'!$B$20:$Y$20)*(1-实盘持仓初始配置!$Z$6)^(('实盘净值数据(iFinD）'!$A227-'实盘净值数据(iFinD）'!$A$7)/365))</f>
        <v/>
      </c>
      <c r="I227" s="16" t="str">
        <f t="shared" si="20"/>
        <v/>
      </c>
      <c r="J227" s="16" t="str">
        <f>IF(H227="","",H227/MAX(H$5:H227)-1)</f>
        <v/>
      </c>
      <c r="K227" s="13" t="str">
        <f>IF(OR('实盘净值数据(iFinD）'!$A227="",'实盘净值数据(iFinD）'!$B227="",'实盘净值数据(iFinD）'!$Z227="",'实盘净值数据(iFinD）'!$AA227=""),"",分期持仓明细!$AB$23*(SUMPRODUCT(分期持仓明细!$B$23:$Y$23,'实盘净值数据(iFinD）'!$B227:$Y227/'实盘净值数据(iFinD）'!$B$65:$Y$65)+SUMPRODUCT(分期持仓明细!$AC$23:$AD$23,'实盘净值数据(iFinD）'!$Z227:$AA227/'实盘净值数据(iFinD）'!$Z$65:$AA$65))*(1-实盘持仓初始配置!$Z$7)^(('实盘净值数据(iFinD）'!$A227-'实盘净值数据(iFinD）'!$A$8)/365))</f>
        <v/>
      </c>
      <c r="L227" s="16" t="str">
        <f t="shared" si="21"/>
        <v/>
      </c>
      <c r="M227" s="16" t="str">
        <f>IF(K227="","",K227/MAX(K$5:K227)-1)</f>
        <v/>
      </c>
      <c r="N227" s="13" t="str">
        <f>IF(OR('实盘净值数据(iFinD）'!$A227="",'实盘净值数据(iFinD）'!$B227="",'实盘净值数据(iFinD）'!$Z227="",'实盘净值数据(iFinD）'!$AA227=""),"",分期持仓明细!$AB$24*(SUMPRODUCT(分期持仓明细!$B$24:$Y$24,'实盘净值数据(iFinD）'!$B227:$Y227/'实盘净值数据(iFinD）'!$B$65:$Y$65)+SUMPRODUCT(分期持仓明细!$AC$24:$AD$24,'实盘净值数据(iFinD）'!$Z227:$AA227/'实盘净值数据(iFinD）'!$Z$65:$AA$65))*(1-实盘持仓初始配置!$Z$8)^(('实盘净值数据(iFinD）'!$A227-'实盘净值数据(iFinD）'!$A$5)/365))</f>
        <v/>
      </c>
      <c r="O227" s="16" t="str">
        <f t="shared" si="22"/>
        <v/>
      </c>
      <c r="P227" s="16" t="str">
        <f>IF(N227="","",N227/MAX(N$5:N227)-1)</f>
        <v/>
      </c>
      <c r="Q227" s="13" t="str">
        <f>IF(OR('实盘净值数据(iFinD）'!$A227="",'实盘净值数据(iFinD）'!$B227="",'实盘净值数据(iFinD）'!$Z227="",'实盘净值数据(iFinD）'!$AA227=""),"",分期持仓明细!$AB$25*(SUMPRODUCT(分期持仓明细!$B$25:$Y$25,'实盘净值数据(iFinD）'!$B227:$Y227/'实盘净值数据(iFinD）'!$B$65:$Y$65)+SUMPRODUCT(分期持仓明细!$AC$25:$AD$25,'实盘净值数据(iFinD）'!$Z227:$AA227/'实盘净值数据(iFinD）'!$Z$65:$AA$65))*(1-实盘持仓初始配置!$Z$9)^(('实盘净值数据(iFinD）'!$A227-'实盘净值数据(iFinD）'!$A$8)/365))</f>
        <v/>
      </c>
      <c r="R227" s="16" t="str">
        <f t="shared" si="23"/>
        <v/>
      </c>
      <c r="S227" s="16" t="str">
        <f>IF(Q227="","",Q227/MAX(Q$5:Q227)-1)</f>
        <v/>
      </c>
    </row>
    <row r="228" spans="1:19">
      <c r="A228" s="15" t="str">
        <f>IF('实盘净值数据(iFinD）'!A228="","",'实盘净值数据(iFinD）'!A228)</f>
        <v/>
      </c>
      <c r="B228" s="13" t="str">
        <f>IF(OR('实盘净值数据(iFinD）'!$A228="",'实盘净值数据(iFinD）'!$B228=""),"",分期持仓明细!$AB$17*SUMPRODUCT(分期持仓明细!$B$17:$Y$17,'实盘净值数据(iFinD）'!$B228:$Y228/'实盘净值数据(iFinD）'!$B$20:$Y$20)*(1-实盘持仓初始配置!$Z$4)^(('实盘净值数据(iFinD）'!$A228-'实盘净值数据(iFinD）'!$A$6)/365))</f>
        <v/>
      </c>
      <c r="C228" s="16" t="str">
        <f t="shared" si="18"/>
        <v/>
      </c>
      <c r="D228" s="16" t="str">
        <f>IF(B228="","",B228/MAX(B$5:B228)-1)</f>
        <v/>
      </c>
      <c r="E228" s="13" t="str">
        <f>IF(OR('实盘净值数据(iFinD）'!$A228="",'实盘净值数据(iFinD）'!$B228=""),"",分期持仓明细!$AB$18*SUMPRODUCT(分期持仓明细!$B$18:$Y$18,'实盘净值数据(iFinD）'!$B228:$Y228/'实盘净值数据(iFinD）'!$B$20:$Y$20)*(1-实盘持仓初始配置!$Z$5)^(('实盘净值数据(iFinD）'!$A228-'实盘净值数据(iFinD）'!$A$5)/365))</f>
        <v/>
      </c>
      <c r="F228" s="16" t="str">
        <f t="shared" si="19"/>
        <v/>
      </c>
      <c r="G228" s="16" t="str">
        <f>IF(E228="","",E228/MAX(E$5:E228)-1)</f>
        <v/>
      </c>
      <c r="H228" s="13" t="str">
        <f>IF(OR('实盘净值数据(iFinD）'!$A228="",'实盘净值数据(iFinD）'!$B228=""),"",分期持仓明细!$AB$19*SUMPRODUCT(分期持仓明细!$B$19:$Y$19,'实盘净值数据(iFinD）'!$B228:$Y228/'实盘净值数据(iFinD）'!$B$20:$Y$20)*(1-实盘持仓初始配置!$Z$6)^(('实盘净值数据(iFinD）'!$A228-'实盘净值数据(iFinD）'!$A$7)/365))</f>
        <v/>
      </c>
      <c r="I228" s="16" t="str">
        <f t="shared" si="20"/>
        <v/>
      </c>
      <c r="J228" s="16" t="str">
        <f>IF(H228="","",H228/MAX(H$5:H228)-1)</f>
        <v/>
      </c>
      <c r="K228" s="13" t="str">
        <f>IF(OR('实盘净值数据(iFinD）'!$A228="",'实盘净值数据(iFinD）'!$B228="",'实盘净值数据(iFinD）'!$Z228="",'实盘净值数据(iFinD）'!$AA228=""),"",分期持仓明细!$AB$23*(SUMPRODUCT(分期持仓明细!$B$23:$Y$23,'实盘净值数据(iFinD）'!$B228:$Y228/'实盘净值数据(iFinD）'!$B$65:$Y$65)+SUMPRODUCT(分期持仓明细!$AC$23:$AD$23,'实盘净值数据(iFinD）'!$Z228:$AA228/'实盘净值数据(iFinD）'!$Z$65:$AA$65))*(1-实盘持仓初始配置!$Z$7)^(('实盘净值数据(iFinD）'!$A228-'实盘净值数据(iFinD）'!$A$8)/365))</f>
        <v/>
      </c>
      <c r="L228" s="16" t="str">
        <f t="shared" si="21"/>
        <v/>
      </c>
      <c r="M228" s="16" t="str">
        <f>IF(K228="","",K228/MAX(K$5:K228)-1)</f>
        <v/>
      </c>
      <c r="N228" s="13" t="str">
        <f>IF(OR('实盘净值数据(iFinD）'!$A228="",'实盘净值数据(iFinD）'!$B228="",'实盘净值数据(iFinD）'!$Z228="",'实盘净值数据(iFinD）'!$AA228=""),"",分期持仓明细!$AB$24*(SUMPRODUCT(分期持仓明细!$B$24:$Y$24,'实盘净值数据(iFinD）'!$B228:$Y228/'实盘净值数据(iFinD）'!$B$65:$Y$65)+SUMPRODUCT(分期持仓明细!$AC$24:$AD$24,'实盘净值数据(iFinD）'!$Z228:$AA228/'实盘净值数据(iFinD）'!$Z$65:$AA$65))*(1-实盘持仓初始配置!$Z$8)^(('实盘净值数据(iFinD）'!$A228-'实盘净值数据(iFinD）'!$A$5)/365))</f>
        <v/>
      </c>
      <c r="O228" s="16" t="str">
        <f t="shared" si="22"/>
        <v/>
      </c>
      <c r="P228" s="16" t="str">
        <f>IF(N228="","",N228/MAX(N$5:N228)-1)</f>
        <v/>
      </c>
      <c r="Q228" s="13" t="str">
        <f>IF(OR('实盘净值数据(iFinD）'!$A228="",'实盘净值数据(iFinD）'!$B228="",'实盘净值数据(iFinD）'!$Z228="",'实盘净值数据(iFinD）'!$AA228=""),"",分期持仓明细!$AB$25*(SUMPRODUCT(分期持仓明细!$B$25:$Y$25,'实盘净值数据(iFinD）'!$B228:$Y228/'实盘净值数据(iFinD）'!$B$65:$Y$65)+SUMPRODUCT(分期持仓明细!$AC$25:$AD$25,'实盘净值数据(iFinD）'!$Z228:$AA228/'实盘净值数据(iFinD）'!$Z$65:$AA$65))*(1-实盘持仓初始配置!$Z$9)^(('实盘净值数据(iFinD）'!$A228-'实盘净值数据(iFinD）'!$A$8)/365))</f>
        <v/>
      </c>
      <c r="R228" s="16" t="str">
        <f t="shared" si="23"/>
        <v/>
      </c>
      <c r="S228" s="16" t="str">
        <f>IF(Q228="","",Q228/MAX(Q$5:Q228)-1)</f>
        <v/>
      </c>
    </row>
    <row r="229" spans="1:19">
      <c r="A229" s="15" t="str">
        <f>IF('实盘净值数据(iFinD）'!A229="","",'实盘净值数据(iFinD）'!A229)</f>
        <v/>
      </c>
      <c r="B229" s="13" t="str">
        <f>IF(OR('实盘净值数据(iFinD）'!$A229="",'实盘净值数据(iFinD）'!$B229=""),"",分期持仓明细!$AB$17*SUMPRODUCT(分期持仓明细!$B$17:$Y$17,'实盘净值数据(iFinD）'!$B229:$Y229/'实盘净值数据(iFinD）'!$B$20:$Y$20)*(1-实盘持仓初始配置!$Z$4)^(('实盘净值数据(iFinD）'!$A229-'实盘净值数据(iFinD）'!$A$6)/365))</f>
        <v/>
      </c>
      <c r="C229" s="16" t="str">
        <f t="shared" si="18"/>
        <v/>
      </c>
      <c r="D229" s="16" t="str">
        <f>IF(B229="","",B229/MAX(B$5:B229)-1)</f>
        <v/>
      </c>
      <c r="E229" s="13" t="str">
        <f>IF(OR('实盘净值数据(iFinD）'!$A229="",'实盘净值数据(iFinD）'!$B229=""),"",分期持仓明细!$AB$18*SUMPRODUCT(分期持仓明细!$B$18:$Y$18,'实盘净值数据(iFinD）'!$B229:$Y229/'实盘净值数据(iFinD）'!$B$20:$Y$20)*(1-实盘持仓初始配置!$Z$5)^(('实盘净值数据(iFinD）'!$A229-'实盘净值数据(iFinD）'!$A$5)/365))</f>
        <v/>
      </c>
      <c r="F229" s="16" t="str">
        <f t="shared" si="19"/>
        <v/>
      </c>
      <c r="G229" s="16" t="str">
        <f>IF(E229="","",E229/MAX(E$5:E229)-1)</f>
        <v/>
      </c>
      <c r="H229" s="13" t="str">
        <f>IF(OR('实盘净值数据(iFinD）'!$A229="",'实盘净值数据(iFinD）'!$B229=""),"",分期持仓明细!$AB$19*SUMPRODUCT(分期持仓明细!$B$19:$Y$19,'实盘净值数据(iFinD）'!$B229:$Y229/'实盘净值数据(iFinD）'!$B$20:$Y$20)*(1-实盘持仓初始配置!$Z$6)^(('实盘净值数据(iFinD）'!$A229-'实盘净值数据(iFinD）'!$A$7)/365))</f>
        <v/>
      </c>
      <c r="I229" s="16" t="str">
        <f t="shared" si="20"/>
        <v/>
      </c>
      <c r="J229" s="16" t="str">
        <f>IF(H229="","",H229/MAX(H$5:H229)-1)</f>
        <v/>
      </c>
      <c r="K229" s="13" t="str">
        <f>IF(OR('实盘净值数据(iFinD）'!$A229="",'实盘净值数据(iFinD）'!$B229="",'实盘净值数据(iFinD）'!$Z229="",'实盘净值数据(iFinD）'!$AA229=""),"",分期持仓明细!$AB$23*(SUMPRODUCT(分期持仓明细!$B$23:$Y$23,'实盘净值数据(iFinD）'!$B229:$Y229/'实盘净值数据(iFinD）'!$B$65:$Y$65)+SUMPRODUCT(分期持仓明细!$AC$23:$AD$23,'实盘净值数据(iFinD）'!$Z229:$AA229/'实盘净值数据(iFinD）'!$Z$65:$AA$65))*(1-实盘持仓初始配置!$Z$7)^(('实盘净值数据(iFinD）'!$A229-'实盘净值数据(iFinD）'!$A$8)/365))</f>
        <v/>
      </c>
      <c r="L229" s="16" t="str">
        <f t="shared" si="21"/>
        <v/>
      </c>
      <c r="M229" s="16" t="str">
        <f>IF(K229="","",K229/MAX(K$5:K229)-1)</f>
        <v/>
      </c>
      <c r="N229" s="13" t="str">
        <f>IF(OR('实盘净值数据(iFinD）'!$A229="",'实盘净值数据(iFinD）'!$B229="",'实盘净值数据(iFinD）'!$Z229="",'实盘净值数据(iFinD）'!$AA229=""),"",分期持仓明细!$AB$24*(SUMPRODUCT(分期持仓明细!$B$24:$Y$24,'实盘净值数据(iFinD）'!$B229:$Y229/'实盘净值数据(iFinD）'!$B$65:$Y$65)+SUMPRODUCT(分期持仓明细!$AC$24:$AD$24,'实盘净值数据(iFinD）'!$Z229:$AA229/'实盘净值数据(iFinD）'!$Z$65:$AA$65))*(1-实盘持仓初始配置!$Z$8)^(('实盘净值数据(iFinD）'!$A229-'实盘净值数据(iFinD）'!$A$5)/365))</f>
        <v/>
      </c>
      <c r="O229" s="16" t="str">
        <f t="shared" si="22"/>
        <v/>
      </c>
      <c r="P229" s="16" t="str">
        <f>IF(N229="","",N229/MAX(N$5:N229)-1)</f>
        <v/>
      </c>
      <c r="Q229" s="13" t="str">
        <f>IF(OR('实盘净值数据(iFinD）'!$A229="",'实盘净值数据(iFinD）'!$B229="",'实盘净值数据(iFinD）'!$Z229="",'实盘净值数据(iFinD）'!$AA229=""),"",分期持仓明细!$AB$25*(SUMPRODUCT(分期持仓明细!$B$25:$Y$25,'实盘净值数据(iFinD）'!$B229:$Y229/'实盘净值数据(iFinD）'!$B$65:$Y$65)+SUMPRODUCT(分期持仓明细!$AC$25:$AD$25,'实盘净值数据(iFinD）'!$Z229:$AA229/'实盘净值数据(iFinD）'!$Z$65:$AA$65))*(1-实盘持仓初始配置!$Z$9)^(('实盘净值数据(iFinD）'!$A229-'实盘净值数据(iFinD）'!$A$8)/365))</f>
        <v/>
      </c>
      <c r="R229" s="16" t="str">
        <f t="shared" si="23"/>
        <v/>
      </c>
      <c r="S229" s="16" t="str">
        <f>IF(Q229="","",Q229/MAX(Q$5:Q229)-1)</f>
        <v/>
      </c>
    </row>
    <row r="230" spans="1:19">
      <c r="A230" s="15" t="str">
        <f>IF('实盘净值数据(iFinD）'!A230="","",'实盘净值数据(iFinD）'!A230)</f>
        <v/>
      </c>
      <c r="B230" s="13" t="str">
        <f>IF(OR('实盘净值数据(iFinD）'!$A230="",'实盘净值数据(iFinD）'!$B230=""),"",分期持仓明细!$AB$17*SUMPRODUCT(分期持仓明细!$B$17:$Y$17,'实盘净值数据(iFinD）'!$B230:$Y230/'实盘净值数据(iFinD）'!$B$20:$Y$20)*(1-实盘持仓初始配置!$Z$4)^(('实盘净值数据(iFinD）'!$A230-'实盘净值数据(iFinD）'!$A$6)/365))</f>
        <v/>
      </c>
      <c r="C230" s="16" t="str">
        <f t="shared" si="18"/>
        <v/>
      </c>
      <c r="D230" s="16" t="str">
        <f>IF(B230="","",B230/MAX(B$5:B230)-1)</f>
        <v/>
      </c>
      <c r="E230" s="13" t="str">
        <f>IF(OR('实盘净值数据(iFinD）'!$A230="",'实盘净值数据(iFinD）'!$B230=""),"",分期持仓明细!$AB$18*SUMPRODUCT(分期持仓明细!$B$18:$Y$18,'实盘净值数据(iFinD）'!$B230:$Y230/'实盘净值数据(iFinD）'!$B$20:$Y$20)*(1-实盘持仓初始配置!$Z$5)^(('实盘净值数据(iFinD）'!$A230-'实盘净值数据(iFinD）'!$A$5)/365))</f>
        <v/>
      </c>
      <c r="F230" s="16" t="str">
        <f t="shared" si="19"/>
        <v/>
      </c>
      <c r="G230" s="16" t="str">
        <f>IF(E230="","",E230/MAX(E$5:E230)-1)</f>
        <v/>
      </c>
      <c r="H230" s="13" t="str">
        <f>IF(OR('实盘净值数据(iFinD）'!$A230="",'实盘净值数据(iFinD）'!$B230=""),"",分期持仓明细!$AB$19*SUMPRODUCT(分期持仓明细!$B$19:$Y$19,'实盘净值数据(iFinD）'!$B230:$Y230/'实盘净值数据(iFinD）'!$B$20:$Y$20)*(1-实盘持仓初始配置!$Z$6)^(('实盘净值数据(iFinD）'!$A230-'实盘净值数据(iFinD）'!$A$7)/365))</f>
        <v/>
      </c>
      <c r="I230" s="16" t="str">
        <f t="shared" si="20"/>
        <v/>
      </c>
      <c r="J230" s="16" t="str">
        <f>IF(H230="","",H230/MAX(H$5:H230)-1)</f>
        <v/>
      </c>
      <c r="K230" s="13" t="str">
        <f>IF(OR('实盘净值数据(iFinD）'!$A230="",'实盘净值数据(iFinD）'!$B230="",'实盘净值数据(iFinD）'!$Z230="",'实盘净值数据(iFinD）'!$AA230=""),"",分期持仓明细!$AB$23*(SUMPRODUCT(分期持仓明细!$B$23:$Y$23,'实盘净值数据(iFinD）'!$B230:$Y230/'实盘净值数据(iFinD）'!$B$65:$Y$65)+SUMPRODUCT(分期持仓明细!$AC$23:$AD$23,'实盘净值数据(iFinD）'!$Z230:$AA230/'实盘净值数据(iFinD）'!$Z$65:$AA$65))*(1-实盘持仓初始配置!$Z$7)^(('实盘净值数据(iFinD）'!$A230-'实盘净值数据(iFinD）'!$A$8)/365))</f>
        <v/>
      </c>
      <c r="L230" s="16" t="str">
        <f t="shared" si="21"/>
        <v/>
      </c>
      <c r="M230" s="16" t="str">
        <f>IF(K230="","",K230/MAX(K$5:K230)-1)</f>
        <v/>
      </c>
      <c r="N230" s="13" t="str">
        <f>IF(OR('实盘净值数据(iFinD）'!$A230="",'实盘净值数据(iFinD）'!$B230="",'实盘净值数据(iFinD）'!$Z230="",'实盘净值数据(iFinD）'!$AA230=""),"",分期持仓明细!$AB$24*(SUMPRODUCT(分期持仓明细!$B$24:$Y$24,'实盘净值数据(iFinD）'!$B230:$Y230/'实盘净值数据(iFinD）'!$B$65:$Y$65)+SUMPRODUCT(分期持仓明细!$AC$24:$AD$24,'实盘净值数据(iFinD）'!$Z230:$AA230/'实盘净值数据(iFinD）'!$Z$65:$AA$65))*(1-实盘持仓初始配置!$Z$8)^(('实盘净值数据(iFinD）'!$A230-'实盘净值数据(iFinD）'!$A$5)/365))</f>
        <v/>
      </c>
      <c r="O230" s="16" t="str">
        <f t="shared" si="22"/>
        <v/>
      </c>
      <c r="P230" s="16" t="str">
        <f>IF(N230="","",N230/MAX(N$5:N230)-1)</f>
        <v/>
      </c>
      <c r="Q230" s="13" t="str">
        <f>IF(OR('实盘净值数据(iFinD）'!$A230="",'实盘净值数据(iFinD）'!$B230="",'实盘净值数据(iFinD）'!$Z230="",'实盘净值数据(iFinD）'!$AA230=""),"",分期持仓明细!$AB$25*(SUMPRODUCT(分期持仓明细!$B$25:$Y$25,'实盘净值数据(iFinD）'!$B230:$Y230/'实盘净值数据(iFinD）'!$B$65:$Y$65)+SUMPRODUCT(分期持仓明细!$AC$25:$AD$25,'实盘净值数据(iFinD）'!$Z230:$AA230/'实盘净值数据(iFinD）'!$Z$65:$AA$65))*(1-实盘持仓初始配置!$Z$9)^(('实盘净值数据(iFinD）'!$A230-'实盘净值数据(iFinD）'!$A$8)/365))</f>
        <v/>
      </c>
      <c r="R230" s="16" t="str">
        <f t="shared" si="23"/>
        <v/>
      </c>
      <c r="S230" s="16" t="str">
        <f>IF(Q230="","",Q230/MAX(Q$5:Q230)-1)</f>
        <v/>
      </c>
    </row>
    <row r="231" spans="1:19">
      <c r="A231" s="15" t="str">
        <f>IF('实盘净值数据(iFinD）'!A231="","",'实盘净值数据(iFinD）'!A231)</f>
        <v/>
      </c>
      <c r="B231" s="13" t="str">
        <f>IF(OR('实盘净值数据(iFinD）'!$A231="",'实盘净值数据(iFinD）'!$B231=""),"",分期持仓明细!$AB$17*SUMPRODUCT(分期持仓明细!$B$17:$Y$17,'实盘净值数据(iFinD）'!$B231:$Y231/'实盘净值数据(iFinD）'!$B$20:$Y$20)*(1-实盘持仓初始配置!$Z$4)^(('实盘净值数据(iFinD）'!$A231-'实盘净值数据(iFinD）'!$A$6)/365))</f>
        <v/>
      </c>
      <c r="C231" s="16" t="str">
        <f t="shared" si="18"/>
        <v/>
      </c>
      <c r="D231" s="16" t="str">
        <f>IF(B231="","",B231/MAX(B$5:B231)-1)</f>
        <v/>
      </c>
      <c r="E231" s="13" t="str">
        <f>IF(OR('实盘净值数据(iFinD）'!$A231="",'实盘净值数据(iFinD）'!$B231=""),"",分期持仓明细!$AB$18*SUMPRODUCT(分期持仓明细!$B$18:$Y$18,'实盘净值数据(iFinD）'!$B231:$Y231/'实盘净值数据(iFinD）'!$B$20:$Y$20)*(1-实盘持仓初始配置!$Z$5)^(('实盘净值数据(iFinD）'!$A231-'实盘净值数据(iFinD）'!$A$5)/365))</f>
        <v/>
      </c>
      <c r="F231" s="16" t="str">
        <f t="shared" si="19"/>
        <v/>
      </c>
      <c r="G231" s="16" t="str">
        <f>IF(E231="","",E231/MAX(E$5:E231)-1)</f>
        <v/>
      </c>
      <c r="H231" s="13" t="str">
        <f>IF(OR('实盘净值数据(iFinD）'!$A231="",'实盘净值数据(iFinD）'!$B231=""),"",分期持仓明细!$AB$19*SUMPRODUCT(分期持仓明细!$B$19:$Y$19,'实盘净值数据(iFinD）'!$B231:$Y231/'实盘净值数据(iFinD）'!$B$20:$Y$20)*(1-实盘持仓初始配置!$Z$6)^(('实盘净值数据(iFinD）'!$A231-'实盘净值数据(iFinD）'!$A$7)/365))</f>
        <v/>
      </c>
      <c r="I231" s="16" t="str">
        <f t="shared" si="20"/>
        <v/>
      </c>
      <c r="J231" s="16" t="str">
        <f>IF(H231="","",H231/MAX(H$5:H231)-1)</f>
        <v/>
      </c>
      <c r="K231" s="13" t="str">
        <f>IF(OR('实盘净值数据(iFinD）'!$A231="",'实盘净值数据(iFinD）'!$B231="",'实盘净值数据(iFinD）'!$Z231="",'实盘净值数据(iFinD）'!$AA231=""),"",分期持仓明细!$AB$23*(SUMPRODUCT(分期持仓明细!$B$23:$Y$23,'实盘净值数据(iFinD）'!$B231:$Y231/'实盘净值数据(iFinD）'!$B$65:$Y$65)+SUMPRODUCT(分期持仓明细!$AC$23:$AD$23,'实盘净值数据(iFinD）'!$Z231:$AA231/'实盘净值数据(iFinD）'!$Z$65:$AA$65))*(1-实盘持仓初始配置!$Z$7)^(('实盘净值数据(iFinD）'!$A231-'实盘净值数据(iFinD）'!$A$8)/365))</f>
        <v/>
      </c>
      <c r="L231" s="16" t="str">
        <f t="shared" si="21"/>
        <v/>
      </c>
      <c r="M231" s="16" t="str">
        <f>IF(K231="","",K231/MAX(K$5:K231)-1)</f>
        <v/>
      </c>
      <c r="N231" s="13" t="str">
        <f>IF(OR('实盘净值数据(iFinD）'!$A231="",'实盘净值数据(iFinD）'!$B231="",'实盘净值数据(iFinD）'!$Z231="",'实盘净值数据(iFinD）'!$AA231=""),"",分期持仓明细!$AB$24*(SUMPRODUCT(分期持仓明细!$B$24:$Y$24,'实盘净值数据(iFinD）'!$B231:$Y231/'实盘净值数据(iFinD）'!$B$65:$Y$65)+SUMPRODUCT(分期持仓明细!$AC$24:$AD$24,'实盘净值数据(iFinD）'!$Z231:$AA231/'实盘净值数据(iFinD）'!$Z$65:$AA$65))*(1-实盘持仓初始配置!$Z$8)^(('实盘净值数据(iFinD）'!$A231-'实盘净值数据(iFinD）'!$A$5)/365))</f>
        <v/>
      </c>
      <c r="O231" s="16" t="str">
        <f t="shared" si="22"/>
        <v/>
      </c>
      <c r="P231" s="16" t="str">
        <f>IF(N231="","",N231/MAX(N$5:N231)-1)</f>
        <v/>
      </c>
      <c r="Q231" s="13" t="str">
        <f>IF(OR('实盘净值数据(iFinD）'!$A231="",'实盘净值数据(iFinD）'!$B231="",'实盘净值数据(iFinD）'!$Z231="",'实盘净值数据(iFinD）'!$AA231=""),"",分期持仓明细!$AB$25*(SUMPRODUCT(分期持仓明细!$B$25:$Y$25,'实盘净值数据(iFinD）'!$B231:$Y231/'实盘净值数据(iFinD）'!$B$65:$Y$65)+SUMPRODUCT(分期持仓明细!$AC$25:$AD$25,'实盘净值数据(iFinD）'!$Z231:$AA231/'实盘净值数据(iFinD）'!$Z$65:$AA$65))*(1-实盘持仓初始配置!$Z$9)^(('实盘净值数据(iFinD）'!$A231-'实盘净值数据(iFinD）'!$A$8)/365))</f>
        <v/>
      </c>
      <c r="R231" s="16" t="str">
        <f t="shared" si="23"/>
        <v/>
      </c>
      <c r="S231" s="16" t="str">
        <f>IF(Q231="","",Q231/MAX(Q$5:Q231)-1)</f>
        <v/>
      </c>
    </row>
    <row r="232" spans="1:19">
      <c r="A232" s="15" t="str">
        <f>IF('实盘净值数据(iFinD）'!A232="","",'实盘净值数据(iFinD）'!A232)</f>
        <v/>
      </c>
      <c r="B232" s="13" t="str">
        <f>IF(OR('实盘净值数据(iFinD）'!$A232="",'实盘净值数据(iFinD）'!$B232=""),"",分期持仓明细!$AB$17*SUMPRODUCT(分期持仓明细!$B$17:$Y$17,'实盘净值数据(iFinD）'!$B232:$Y232/'实盘净值数据(iFinD）'!$B$20:$Y$20)*(1-实盘持仓初始配置!$Z$4)^(('实盘净值数据(iFinD）'!$A232-'实盘净值数据(iFinD）'!$A$6)/365))</f>
        <v/>
      </c>
      <c r="C232" s="16" t="str">
        <f t="shared" si="18"/>
        <v/>
      </c>
      <c r="D232" s="16" t="str">
        <f>IF(B232="","",B232/MAX(B$5:B232)-1)</f>
        <v/>
      </c>
      <c r="E232" s="13" t="str">
        <f>IF(OR('实盘净值数据(iFinD）'!$A232="",'实盘净值数据(iFinD）'!$B232=""),"",分期持仓明细!$AB$18*SUMPRODUCT(分期持仓明细!$B$18:$Y$18,'实盘净值数据(iFinD）'!$B232:$Y232/'实盘净值数据(iFinD）'!$B$20:$Y$20)*(1-实盘持仓初始配置!$Z$5)^(('实盘净值数据(iFinD）'!$A232-'实盘净值数据(iFinD）'!$A$5)/365))</f>
        <v/>
      </c>
      <c r="F232" s="16" t="str">
        <f t="shared" si="19"/>
        <v/>
      </c>
      <c r="G232" s="16" t="str">
        <f>IF(E232="","",E232/MAX(E$5:E232)-1)</f>
        <v/>
      </c>
      <c r="H232" s="13" t="str">
        <f>IF(OR('实盘净值数据(iFinD）'!$A232="",'实盘净值数据(iFinD）'!$B232=""),"",分期持仓明细!$AB$19*SUMPRODUCT(分期持仓明细!$B$19:$Y$19,'实盘净值数据(iFinD）'!$B232:$Y232/'实盘净值数据(iFinD）'!$B$20:$Y$20)*(1-实盘持仓初始配置!$Z$6)^(('实盘净值数据(iFinD）'!$A232-'实盘净值数据(iFinD）'!$A$7)/365))</f>
        <v/>
      </c>
      <c r="I232" s="16" t="str">
        <f t="shared" si="20"/>
        <v/>
      </c>
      <c r="J232" s="16" t="str">
        <f>IF(H232="","",H232/MAX(H$5:H232)-1)</f>
        <v/>
      </c>
      <c r="K232" s="13" t="str">
        <f>IF(OR('实盘净值数据(iFinD）'!$A232="",'实盘净值数据(iFinD）'!$B232="",'实盘净值数据(iFinD）'!$Z232="",'实盘净值数据(iFinD）'!$AA232=""),"",分期持仓明细!$AB$23*(SUMPRODUCT(分期持仓明细!$B$23:$Y$23,'实盘净值数据(iFinD）'!$B232:$Y232/'实盘净值数据(iFinD）'!$B$65:$Y$65)+SUMPRODUCT(分期持仓明细!$AC$23:$AD$23,'实盘净值数据(iFinD）'!$Z232:$AA232/'实盘净值数据(iFinD）'!$Z$65:$AA$65))*(1-实盘持仓初始配置!$Z$7)^(('实盘净值数据(iFinD）'!$A232-'实盘净值数据(iFinD）'!$A$8)/365))</f>
        <v/>
      </c>
      <c r="L232" s="16" t="str">
        <f t="shared" si="21"/>
        <v/>
      </c>
      <c r="M232" s="16" t="str">
        <f>IF(K232="","",K232/MAX(K$5:K232)-1)</f>
        <v/>
      </c>
      <c r="N232" s="13" t="str">
        <f>IF(OR('实盘净值数据(iFinD）'!$A232="",'实盘净值数据(iFinD）'!$B232="",'实盘净值数据(iFinD）'!$Z232="",'实盘净值数据(iFinD）'!$AA232=""),"",分期持仓明细!$AB$24*(SUMPRODUCT(分期持仓明细!$B$24:$Y$24,'实盘净值数据(iFinD）'!$B232:$Y232/'实盘净值数据(iFinD）'!$B$65:$Y$65)+SUMPRODUCT(分期持仓明细!$AC$24:$AD$24,'实盘净值数据(iFinD）'!$Z232:$AA232/'实盘净值数据(iFinD）'!$Z$65:$AA$65))*(1-实盘持仓初始配置!$Z$8)^(('实盘净值数据(iFinD）'!$A232-'实盘净值数据(iFinD）'!$A$5)/365))</f>
        <v/>
      </c>
      <c r="O232" s="16" t="str">
        <f t="shared" si="22"/>
        <v/>
      </c>
      <c r="P232" s="16" t="str">
        <f>IF(N232="","",N232/MAX(N$5:N232)-1)</f>
        <v/>
      </c>
      <c r="Q232" s="13" t="str">
        <f>IF(OR('实盘净值数据(iFinD）'!$A232="",'实盘净值数据(iFinD）'!$B232="",'实盘净值数据(iFinD）'!$Z232="",'实盘净值数据(iFinD）'!$AA232=""),"",分期持仓明细!$AB$25*(SUMPRODUCT(分期持仓明细!$B$25:$Y$25,'实盘净值数据(iFinD）'!$B232:$Y232/'实盘净值数据(iFinD）'!$B$65:$Y$65)+SUMPRODUCT(分期持仓明细!$AC$25:$AD$25,'实盘净值数据(iFinD）'!$Z232:$AA232/'实盘净值数据(iFinD）'!$Z$65:$AA$65))*(1-实盘持仓初始配置!$Z$9)^(('实盘净值数据(iFinD）'!$A232-'实盘净值数据(iFinD）'!$A$8)/365))</f>
        <v/>
      </c>
      <c r="R232" s="16" t="str">
        <f t="shared" si="23"/>
        <v/>
      </c>
      <c r="S232" s="16" t="str">
        <f>IF(Q232="","",Q232/MAX(Q$5:Q232)-1)</f>
        <v/>
      </c>
    </row>
    <row r="233" spans="1:19">
      <c r="A233" s="15" t="str">
        <f>IF('实盘净值数据(iFinD）'!A233="","",'实盘净值数据(iFinD）'!A233)</f>
        <v/>
      </c>
      <c r="B233" s="13" t="str">
        <f>IF(OR('实盘净值数据(iFinD）'!$A233="",'实盘净值数据(iFinD）'!$B233=""),"",分期持仓明细!$AB$17*SUMPRODUCT(分期持仓明细!$B$17:$Y$17,'实盘净值数据(iFinD）'!$B233:$Y233/'实盘净值数据(iFinD）'!$B$20:$Y$20)*(1-实盘持仓初始配置!$Z$4)^(('实盘净值数据(iFinD）'!$A233-'实盘净值数据(iFinD）'!$A$6)/365))</f>
        <v/>
      </c>
      <c r="C233" s="16" t="str">
        <f t="shared" si="18"/>
        <v/>
      </c>
      <c r="D233" s="16" t="str">
        <f>IF(B233="","",B233/MAX(B$5:B233)-1)</f>
        <v/>
      </c>
      <c r="E233" s="13" t="str">
        <f>IF(OR('实盘净值数据(iFinD）'!$A233="",'实盘净值数据(iFinD）'!$B233=""),"",分期持仓明细!$AB$18*SUMPRODUCT(分期持仓明细!$B$18:$Y$18,'实盘净值数据(iFinD）'!$B233:$Y233/'实盘净值数据(iFinD）'!$B$20:$Y$20)*(1-实盘持仓初始配置!$Z$5)^(('实盘净值数据(iFinD）'!$A233-'实盘净值数据(iFinD）'!$A$5)/365))</f>
        <v/>
      </c>
      <c r="F233" s="16" t="str">
        <f t="shared" si="19"/>
        <v/>
      </c>
      <c r="G233" s="16" t="str">
        <f>IF(E233="","",E233/MAX(E$5:E233)-1)</f>
        <v/>
      </c>
      <c r="H233" s="13" t="str">
        <f>IF(OR('实盘净值数据(iFinD）'!$A233="",'实盘净值数据(iFinD）'!$B233=""),"",分期持仓明细!$AB$19*SUMPRODUCT(分期持仓明细!$B$19:$Y$19,'实盘净值数据(iFinD）'!$B233:$Y233/'实盘净值数据(iFinD）'!$B$20:$Y$20)*(1-实盘持仓初始配置!$Z$6)^(('实盘净值数据(iFinD）'!$A233-'实盘净值数据(iFinD）'!$A$7)/365))</f>
        <v/>
      </c>
      <c r="I233" s="16" t="str">
        <f t="shared" si="20"/>
        <v/>
      </c>
      <c r="J233" s="16" t="str">
        <f>IF(H233="","",H233/MAX(H$5:H233)-1)</f>
        <v/>
      </c>
      <c r="K233" s="13" t="str">
        <f>IF(OR('实盘净值数据(iFinD）'!$A233="",'实盘净值数据(iFinD）'!$B233="",'实盘净值数据(iFinD）'!$Z233="",'实盘净值数据(iFinD）'!$AA233=""),"",分期持仓明细!$AB$23*(SUMPRODUCT(分期持仓明细!$B$23:$Y$23,'实盘净值数据(iFinD）'!$B233:$Y233/'实盘净值数据(iFinD）'!$B$65:$Y$65)+SUMPRODUCT(分期持仓明细!$AC$23:$AD$23,'实盘净值数据(iFinD）'!$Z233:$AA233/'实盘净值数据(iFinD）'!$Z$65:$AA$65))*(1-实盘持仓初始配置!$Z$7)^(('实盘净值数据(iFinD）'!$A233-'实盘净值数据(iFinD）'!$A$8)/365))</f>
        <v/>
      </c>
      <c r="L233" s="16" t="str">
        <f t="shared" si="21"/>
        <v/>
      </c>
      <c r="M233" s="16" t="str">
        <f>IF(K233="","",K233/MAX(K$5:K233)-1)</f>
        <v/>
      </c>
      <c r="N233" s="13" t="str">
        <f>IF(OR('实盘净值数据(iFinD）'!$A233="",'实盘净值数据(iFinD）'!$B233="",'实盘净值数据(iFinD）'!$Z233="",'实盘净值数据(iFinD）'!$AA233=""),"",分期持仓明细!$AB$24*(SUMPRODUCT(分期持仓明细!$B$24:$Y$24,'实盘净值数据(iFinD）'!$B233:$Y233/'实盘净值数据(iFinD）'!$B$65:$Y$65)+SUMPRODUCT(分期持仓明细!$AC$24:$AD$24,'实盘净值数据(iFinD）'!$Z233:$AA233/'实盘净值数据(iFinD）'!$Z$65:$AA$65))*(1-实盘持仓初始配置!$Z$8)^(('实盘净值数据(iFinD）'!$A233-'实盘净值数据(iFinD）'!$A$5)/365))</f>
        <v/>
      </c>
      <c r="O233" s="16" t="str">
        <f t="shared" si="22"/>
        <v/>
      </c>
      <c r="P233" s="16" t="str">
        <f>IF(N233="","",N233/MAX(N$5:N233)-1)</f>
        <v/>
      </c>
      <c r="Q233" s="13" t="str">
        <f>IF(OR('实盘净值数据(iFinD）'!$A233="",'实盘净值数据(iFinD）'!$B233="",'实盘净值数据(iFinD）'!$Z233="",'实盘净值数据(iFinD）'!$AA233=""),"",分期持仓明细!$AB$25*(SUMPRODUCT(分期持仓明细!$B$25:$Y$25,'实盘净值数据(iFinD）'!$B233:$Y233/'实盘净值数据(iFinD）'!$B$65:$Y$65)+SUMPRODUCT(分期持仓明细!$AC$25:$AD$25,'实盘净值数据(iFinD）'!$Z233:$AA233/'实盘净值数据(iFinD）'!$Z$65:$AA$65))*(1-实盘持仓初始配置!$Z$9)^(('实盘净值数据(iFinD）'!$A233-'实盘净值数据(iFinD）'!$A$8)/365))</f>
        <v/>
      </c>
      <c r="R233" s="16" t="str">
        <f t="shared" si="23"/>
        <v/>
      </c>
      <c r="S233" s="16" t="str">
        <f>IF(Q233="","",Q233/MAX(Q$5:Q233)-1)</f>
        <v/>
      </c>
    </row>
    <row r="234" spans="1:19">
      <c r="A234" s="15" t="str">
        <f>IF('实盘净值数据(iFinD）'!A234="","",'实盘净值数据(iFinD）'!A234)</f>
        <v/>
      </c>
      <c r="B234" s="13" t="str">
        <f>IF(OR('实盘净值数据(iFinD）'!$A234="",'实盘净值数据(iFinD）'!$B234=""),"",分期持仓明细!$AB$17*SUMPRODUCT(分期持仓明细!$B$17:$Y$17,'实盘净值数据(iFinD）'!$B234:$Y234/'实盘净值数据(iFinD）'!$B$20:$Y$20)*(1-实盘持仓初始配置!$Z$4)^(('实盘净值数据(iFinD）'!$A234-'实盘净值数据(iFinD）'!$A$6)/365))</f>
        <v/>
      </c>
      <c r="C234" s="16" t="str">
        <f t="shared" si="18"/>
        <v/>
      </c>
      <c r="D234" s="16" t="str">
        <f>IF(B234="","",B234/MAX(B$5:B234)-1)</f>
        <v/>
      </c>
      <c r="E234" s="13" t="str">
        <f>IF(OR('实盘净值数据(iFinD）'!$A234="",'实盘净值数据(iFinD）'!$B234=""),"",分期持仓明细!$AB$18*SUMPRODUCT(分期持仓明细!$B$18:$Y$18,'实盘净值数据(iFinD）'!$B234:$Y234/'实盘净值数据(iFinD）'!$B$20:$Y$20)*(1-实盘持仓初始配置!$Z$5)^(('实盘净值数据(iFinD）'!$A234-'实盘净值数据(iFinD）'!$A$5)/365))</f>
        <v/>
      </c>
      <c r="F234" s="16" t="str">
        <f t="shared" si="19"/>
        <v/>
      </c>
      <c r="G234" s="16" t="str">
        <f>IF(E234="","",E234/MAX(E$5:E234)-1)</f>
        <v/>
      </c>
      <c r="H234" s="13" t="str">
        <f>IF(OR('实盘净值数据(iFinD）'!$A234="",'实盘净值数据(iFinD）'!$B234=""),"",分期持仓明细!$AB$19*SUMPRODUCT(分期持仓明细!$B$19:$Y$19,'实盘净值数据(iFinD）'!$B234:$Y234/'实盘净值数据(iFinD）'!$B$20:$Y$20)*(1-实盘持仓初始配置!$Z$6)^(('实盘净值数据(iFinD）'!$A234-'实盘净值数据(iFinD）'!$A$7)/365))</f>
        <v/>
      </c>
      <c r="I234" s="16" t="str">
        <f t="shared" si="20"/>
        <v/>
      </c>
      <c r="J234" s="16" t="str">
        <f>IF(H234="","",H234/MAX(H$5:H234)-1)</f>
        <v/>
      </c>
      <c r="K234" s="13" t="str">
        <f>IF(OR('实盘净值数据(iFinD）'!$A234="",'实盘净值数据(iFinD）'!$B234="",'实盘净值数据(iFinD）'!$Z234="",'实盘净值数据(iFinD）'!$AA234=""),"",分期持仓明细!$AB$23*(SUMPRODUCT(分期持仓明细!$B$23:$Y$23,'实盘净值数据(iFinD）'!$B234:$Y234/'实盘净值数据(iFinD）'!$B$65:$Y$65)+SUMPRODUCT(分期持仓明细!$AC$23:$AD$23,'实盘净值数据(iFinD）'!$Z234:$AA234/'实盘净值数据(iFinD）'!$Z$65:$AA$65))*(1-实盘持仓初始配置!$Z$7)^(('实盘净值数据(iFinD）'!$A234-'实盘净值数据(iFinD）'!$A$8)/365))</f>
        <v/>
      </c>
      <c r="L234" s="16" t="str">
        <f t="shared" si="21"/>
        <v/>
      </c>
      <c r="M234" s="16" t="str">
        <f>IF(K234="","",K234/MAX(K$5:K234)-1)</f>
        <v/>
      </c>
      <c r="N234" s="13" t="str">
        <f>IF(OR('实盘净值数据(iFinD）'!$A234="",'实盘净值数据(iFinD）'!$B234="",'实盘净值数据(iFinD）'!$Z234="",'实盘净值数据(iFinD）'!$AA234=""),"",分期持仓明细!$AB$24*(SUMPRODUCT(分期持仓明细!$B$24:$Y$24,'实盘净值数据(iFinD）'!$B234:$Y234/'实盘净值数据(iFinD）'!$B$65:$Y$65)+SUMPRODUCT(分期持仓明细!$AC$24:$AD$24,'实盘净值数据(iFinD）'!$Z234:$AA234/'实盘净值数据(iFinD）'!$Z$65:$AA$65))*(1-实盘持仓初始配置!$Z$8)^(('实盘净值数据(iFinD）'!$A234-'实盘净值数据(iFinD）'!$A$5)/365))</f>
        <v/>
      </c>
      <c r="O234" s="16" t="str">
        <f t="shared" si="22"/>
        <v/>
      </c>
      <c r="P234" s="16" t="str">
        <f>IF(N234="","",N234/MAX(N$5:N234)-1)</f>
        <v/>
      </c>
      <c r="Q234" s="13" t="str">
        <f>IF(OR('实盘净值数据(iFinD）'!$A234="",'实盘净值数据(iFinD）'!$B234="",'实盘净值数据(iFinD）'!$Z234="",'实盘净值数据(iFinD）'!$AA234=""),"",分期持仓明细!$AB$25*(SUMPRODUCT(分期持仓明细!$B$25:$Y$25,'实盘净值数据(iFinD）'!$B234:$Y234/'实盘净值数据(iFinD）'!$B$65:$Y$65)+SUMPRODUCT(分期持仓明细!$AC$25:$AD$25,'实盘净值数据(iFinD）'!$Z234:$AA234/'实盘净值数据(iFinD）'!$Z$65:$AA$65))*(1-实盘持仓初始配置!$Z$9)^(('实盘净值数据(iFinD）'!$A234-'实盘净值数据(iFinD）'!$A$8)/365))</f>
        <v/>
      </c>
      <c r="R234" s="16" t="str">
        <f t="shared" si="23"/>
        <v/>
      </c>
      <c r="S234" s="16" t="str">
        <f>IF(Q234="","",Q234/MAX(Q$5:Q234)-1)</f>
        <v/>
      </c>
    </row>
    <row r="235" spans="1:19">
      <c r="A235" s="15" t="str">
        <f>IF('实盘净值数据(iFinD）'!A235="","",'实盘净值数据(iFinD）'!A235)</f>
        <v/>
      </c>
      <c r="B235" s="13" t="str">
        <f>IF(OR('实盘净值数据(iFinD）'!$A235="",'实盘净值数据(iFinD）'!$B235=""),"",分期持仓明细!$AB$17*SUMPRODUCT(分期持仓明细!$B$17:$Y$17,'实盘净值数据(iFinD）'!$B235:$Y235/'实盘净值数据(iFinD）'!$B$20:$Y$20)*(1-实盘持仓初始配置!$Z$4)^(('实盘净值数据(iFinD）'!$A235-'实盘净值数据(iFinD）'!$A$6)/365))</f>
        <v/>
      </c>
      <c r="C235" s="16" t="str">
        <f t="shared" si="18"/>
        <v/>
      </c>
      <c r="D235" s="16" t="str">
        <f>IF(B235="","",B235/MAX(B$5:B235)-1)</f>
        <v/>
      </c>
      <c r="E235" s="13" t="str">
        <f>IF(OR('实盘净值数据(iFinD）'!$A235="",'实盘净值数据(iFinD）'!$B235=""),"",分期持仓明细!$AB$18*SUMPRODUCT(分期持仓明细!$B$18:$Y$18,'实盘净值数据(iFinD）'!$B235:$Y235/'实盘净值数据(iFinD）'!$B$20:$Y$20)*(1-实盘持仓初始配置!$Z$5)^(('实盘净值数据(iFinD）'!$A235-'实盘净值数据(iFinD）'!$A$5)/365))</f>
        <v/>
      </c>
      <c r="F235" s="16" t="str">
        <f t="shared" si="19"/>
        <v/>
      </c>
      <c r="G235" s="16" t="str">
        <f>IF(E235="","",E235/MAX(E$5:E235)-1)</f>
        <v/>
      </c>
      <c r="H235" s="13" t="str">
        <f>IF(OR('实盘净值数据(iFinD）'!$A235="",'实盘净值数据(iFinD）'!$B235=""),"",分期持仓明细!$AB$19*SUMPRODUCT(分期持仓明细!$B$19:$Y$19,'实盘净值数据(iFinD）'!$B235:$Y235/'实盘净值数据(iFinD）'!$B$20:$Y$20)*(1-实盘持仓初始配置!$Z$6)^(('实盘净值数据(iFinD）'!$A235-'实盘净值数据(iFinD）'!$A$7)/365))</f>
        <v/>
      </c>
      <c r="I235" s="16" t="str">
        <f t="shared" si="20"/>
        <v/>
      </c>
      <c r="J235" s="16" t="str">
        <f>IF(H235="","",H235/MAX(H$5:H235)-1)</f>
        <v/>
      </c>
      <c r="K235" s="13" t="str">
        <f>IF(OR('实盘净值数据(iFinD）'!$A235="",'实盘净值数据(iFinD）'!$B235="",'实盘净值数据(iFinD）'!$Z235="",'实盘净值数据(iFinD）'!$AA235=""),"",分期持仓明细!$AB$23*(SUMPRODUCT(分期持仓明细!$B$23:$Y$23,'实盘净值数据(iFinD）'!$B235:$Y235/'实盘净值数据(iFinD）'!$B$65:$Y$65)+SUMPRODUCT(分期持仓明细!$AC$23:$AD$23,'实盘净值数据(iFinD）'!$Z235:$AA235/'实盘净值数据(iFinD）'!$Z$65:$AA$65))*(1-实盘持仓初始配置!$Z$7)^(('实盘净值数据(iFinD）'!$A235-'实盘净值数据(iFinD）'!$A$8)/365))</f>
        <v/>
      </c>
      <c r="L235" s="16" t="str">
        <f t="shared" si="21"/>
        <v/>
      </c>
      <c r="M235" s="16" t="str">
        <f>IF(K235="","",K235/MAX(K$5:K235)-1)</f>
        <v/>
      </c>
      <c r="N235" s="13" t="str">
        <f>IF(OR('实盘净值数据(iFinD）'!$A235="",'实盘净值数据(iFinD）'!$B235="",'实盘净值数据(iFinD）'!$Z235="",'实盘净值数据(iFinD）'!$AA235=""),"",分期持仓明细!$AB$24*(SUMPRODUCT(分期持仓明细!$B$24:$Y$24,'实盘净值数据(iFinD）'!$B235:$Y235/'实盘净值数据(iFinD）'!$B$65:$Y$65)+SUMPRODUCT(分期持仓明细!$AC$24:$AD$24,'实盘净值数据(iFinD）'!$Z235:$AA235/'实盘净值数据(iFinD）'!$Z$65:$AA$65))*(1-实盘持仓初始配置!$Z$8)^(('实盘净值数据(iFinD）'!$A235-'实盘净值数据(iFinD）'!$A$5)/365))</f>
        <v/>
      </c>
      <c r="O235" s="16" t="str">
        <f t="shared" si="22"/>
        <v/>
      </c>
      <c r="P235" s="16" t="str">
        <f>IF(N235="","",N235/MAX(N$5:N235)-1)</f>
        <v/>
      </c>
      <c r="Q235" s="13" t="str">
        <f>IF(OR('实盘净值数据(iFinD）'!$A235="",'实盘净值数据(iFinD）'!$B235="",'实盘净值数据(iFinD）'!$Z235="",'实盘净值数据(iFinD）'!$AA235=""),"",分期持仓明细!$AB$25*(SUMPRODUCT(分期持仓明细!$B$25:$Y$25,'实盘净值数据(iFinD）'!$B235:$Y235/'实盘净值数据(iFinD）'!$B$65:$Y$65)+SUMPRODUCT(分期持仓明细!$AC$25:$AD$25,'实盘净值数据(iFinD）'!$Z235:$AA235/'实盘净值数据(iFinD）'!$Z$65:$AA$65))*(1-实盘持仓初始配置!$Z$9)^(('实盘净值数据(iFinD）'!$A235-'实盘净值数据(iFinD）'!$A$8)/365))</f>
        <v/>
      </c>
      <c r="R235" s="16" t="str">
        <f t="shared" si="23"/>
        <v/>
      </c>
      <c r="S235" s="16" t="str">
        <f>IF(Q235="","",Q235/MAX(Q$5:Q235)-1)</f>
        <v/>
      </c>
    </row>
    <row r="236" spans="1:19">
      <c r="A236" s="15" t="str">
        <f>IF('实盘净值数据(iFinD）'!A236="","",'实盘净值数据(iFinD）'!A236)</f>
        <v/>
      </c>
      <c r="B236" s="13" t="str">
        <f>IF(OR('实盘净值数据(iFinD）'!$A236="",'实盘净值数据(iFinD）'!$B236=""),"",分期持仓明细!$AB$17*SUMPRODUCT(分期持仓明细!$B$17:$Y$17,'实盘净值数据(iFinD）'!$B236:$Y236/'实盘净值数据(iFinD）'!$B$20:$Y$20)*(1-实盘持仓初始配置!$Z$4)^(('实盘净值数据(iFinD）'!$A236-'实盘净值数据(iFinD）'!$A$6)/365))</f>
        <v/>
      </c>
      <c r="C236" s="16" t="str">
        <f t="shared" si="18"/>
        <v/>
      </c>
      <c r="D236" s="16" t="str">
        <f>IF(B236="","",B236/MAX(B$5:B236)-1)</f>
        <v/>
      </c>
      <c r="E236" s="13" t="str">
        <f>IF(OR('实盘净值数据(iFinD）'!$A236="",'实盘净值数据(iFinD）'!$B236=""),"",分期持仓明细!$AB$18*SUMPRODUCT(分期持仓明细!$B$18:$Y$18,'实盘净值数据(iFinD）'!$B236:$Y236/'实盘净值数据(iFinD）'!$B$20:$Y$20)*(1-实盘持仓初始配置!$Z$5)^(('实盘净值数据(iFinD）'!$A236-'实盘净值数据(iFinD）'!$A$5)/365))</f>
        <v/>
      </c>
      <c r="F236" s="16" t="str">
        <f t="shared" si="19"/>
        <v/>
      </c>
      <c r="G236" s="16" t="str">
        <f>IF(E236="","",E236/MAX(E$5:E236)-1)</f>
        <v/>
      </c>
      <c r="H236" s="13" t="str">
        <f>IF(OR('实盘净值数据(iFinD）'!$A236="",'实盘净值数据(iFinD）'!$B236=""),"",分期持仓明细!$AB$19*SUMPRODUCT(分期持仓明细!$B$19:$Y$19,'实盘净值数据(iFinD）'!$B236:$Y236/'实盘净值数据(iFinD）'!$B$20:$Y$20)*(1-实盘持仓初始配置!$Z$6)^(('实盘净值数据(iFinD）'!$A236-'实盘净值数据(iFinD）'!$A$7)/365))</f>
        <v/>
      </c>
      <c r="I236" s="16" t="str">
        <f t="shared" si="20"/>
        <v/>
      </c>
      <c r="J236" s="16" t="str">
        <f>IF(H236="","",H236/MAX(H$5:H236)-1)</f>
        <v/>
      </c>
      <c r="K236" s="13" t="str">
        <f>IF(OR('实盘净值数据(iFinD）'!$A236="",'实盘净值数据(iFinD）'!$B236="",'实盘净值数据(iFinD）'!$Z236="",'实盘净值数据(iFinD）'!$AA236=""),"",分期持仓明细!$AB$23*(SUMPRODUCT(分期持仓明细!$B$23:$Y$23,'实盘净值数据(iFinD）'!$B236:$Y236/'实盘净值数据(iFinD）'!$B$65:$Y$65)+SUMPRODUCT(分期持仓明细!$AC$23:$AD$23,'实盘净值数据(iFinD）'!$Z236:$AA236/'实盘净值数据(iFinD）'!$Z$65:$AA$65))*(1-实盘持仓初始配置!$Z$7)^(('实盘净值数据(iFinD）'!$A236-'实盘净值数据(iFinD）'!$A$8)/365))</f>
        <v/>
      </c>
      <c r="L236" s="16" t="str">
        <f t="shared" si="21"/>
        <v/>
      </c>
      <c r="M236" s="16" t="str">
        <f>IF(K236="","",K236/MAX(K$5:K236)-1)</f>
        <v/>
      </c>
      <c r="N236" s="13" t="str">
        <f>IF(OR('实盘净值数据(iFinD）'!$A236="",'实盘净值数据(iFinD）'!$B236="",'实盘净值数据(iFinD）'!$Z236="",'实盘净值数据(iFinD）'!$AA236=""),"",分期持仓明细!$AB$24*(SUMPRODUCT(分期持仓明细!$B$24:$Y$24,'实盘净值数据(iFinD）'!$B236:$Y236/'实盘净值数据(iFinD）'!$B$65:$Y$65)+SUMPRODUCT(分期持仓明细!$AC$24:$AD$24,'实盘净值数据(iFinD）'!$Z236:$AA236/'实盘净值数据(iFinD）'!$Z$65:$AA$65))*(1-实盘持仓初始配置!$Z$8)^(('实盘净值数据(iFinD）'!$A236-'实盘净值数据(iFinD）'!$A$5)/365))</f>
        <v/>
      </c>
      <c r="O236" s="16" t="str">
        <f t="shared" si="22"/>
        <v/>
      </c>
      <c r="P236" s="16" t="str">
        <f>IF(N236="","",N236/MAX(N$5:N236)-1)</f>
        <v/>
      </c>
      <c r="Q236" s="13" t="str">
        <f>IF(OR('实盘净值数据(iFinD）'!$A236="",'实盘净值数据(iFinD）'!$B236="",'实盘净值数据(iFinD）'!$Z236="",'实盘净值数据(iFinD）'!$AA236=""),"",分期持仓明细!$AB$25*(SUMPRODUCT(分期持仓明细!$B$25:$Y$25,'实盘净值数据(iFinD）'!$B236:$Y236/'实盘净值数据(iFinD）'!$B$65:$Y$65)+SUMPRODUCT(分期持仓明细!$AC$25:$AD$25,'实盘净值数据(iFinD）'!$Z236:$AA236/'实盘净值数据(iFinD）'!$Z$65:$AA$65))*(1-实盘持仓初始配置!$Z$9)^(('实盘净值数据(iFinD）'!$A236-'实盘净值数据(iFinD）'!$A$8)/365))</f>
        <v/>
      </c>
      <c r="R236" s="16" t="str">
        <f t="shared" si="23"/>
        <v/>
      </c>
      <c r="S236" s="16" t="str">
        <f>IF(Q236="","",Q236/MAX(Q$5:Q236)-1)</f>
        <v/>
      </c>
    </row>
    <row r="237" spans="1:19">
      <c r="A237" s="15" t="str">
        <f>IF('实盘净值数据(iFinD）'!A237="","",'实盘净值数据(iFinD）'!A237)</f>
        <v/>
      </c>
      <c r="B237" s="13" t="str">
        <f>IF(OR('实盘净值数据(iFinD）'!$A237="",'实盘净值数据(iFinD）'!$B237=""),"",分期持仓明细!$AB$17*SUMPRODUCT(分期持仓明细!$B$17:$Y$17,'实盘净值数据(iFinD）'!$B237:$Y237/'实盘净值数据(iFinD）'!$B$20:$Y$20)*(1-实盘持仓初始配置!$Z$4)^(('实盘净值数据(iFinD）'!$A237-'实盘净值数据(iFinD）'!$A$6)/365))</f>
        <v/>
      </c>
      <c r="C237" s="16" t="str">
        <f t="shared" si="18"/>
        <v/>
      </c>
      <c r="D237" s="16" t="str">
        <f>IF(B237="","",B237/MAX(B$5:B237)-1)</f>
        <v/>
      </c>
      <c r="E237" s="13" t="str">
        <f>IF(OR('实盘净值数据(iFinD）'!$A237="",'实盘净值数据(iFinD）'!$B237=""),"",分期持仓明细!$AB$18*SUMPRODUCT(分期持仓明细!$B$18:$Y$18,'实盘净值数据(iFinD）'!$B237:$Y237/'实盘净值数据(iFinD）'!$B$20:$Y$20)*(1-实盘持仓初始配置!$Z$5)^(('实盘净值数据(iFinD）'!$A237-'实盘净值数据(iFinD）'!$A$5)/365))</f>
        <v/>
      </c>
      <c r="F237" s="16" t="str">
        <f t="shared" si="19"/>
        <v/>
      </c>
      <c r="G237" s="16" t="str">
        <f>IF(E237="","",E237/MAX(E$5:E237)-1)</f>
        <v/>
      </c>
      <c r="H237" s="13" t="str">
        <f>IF(OR('实盘净值数据(iFinD）'!$A237="",'实盘净值数据(iFinD）'!$B237=""),"",分期持仓明细!$AB$19*SUMPRODUCT(分期持仓明细!$B$19:$Y$19,'实盘净值数据(iFinD）'!$B237:$Y237/'实盘净值数据(iFinD）'!$B$20:$Y$20)*(1-实盘持仓初始配置!$Z$6)^(('实盘净值数据(iFinD）'!$A237-'实盘净值数据(iFinD）'!$A$7)/365))</f>
        <v/>
      </c>
      <c r="I237" s="16" t="str">
        <f t="shared" si="20"/>
        <v/>
      </c>
      <c r="J237" s="16" t="str">
        <f>IF(H237="","",H237/MAX(H$5:H237)-1)</f>
        <v/>
      </c>
      <c r="K237" s="13" t="str">
        <f>IF(OR('实盘净值数据(iFinD）'!$A237="",'实盘净值数据(iFinD）'!$B237="",'实盘净值数据(iFinD）'!$Z237="",'实盘净值数据(iFinD）'!$AA237=""),"",分期持仓明细!$AB$23*(SUMPRODUCT(分期持仓明细!$B$23:$Y$23,'实盘净值数据(iFinD）'!$B237:$Y237/'实盘净值数据(iFinD）'!$B$65:$Y$65)+SUMPRODUCT(分期持仓明细!$AC$23:$AD$23,'实盘净值数据(iFinD）'!$Z237:$AA237/'实盘净值数据(iFinD）'!$Z$65:$AA$65))*(1-实盘持仓初始配置!$Z$7)^(('实盘净值数据(iFinD）'!$A237-'实盘净值数据(iFinD）'!$A$8)/365))</f>
        <v/>
      </c>
      <c r="L237" s="16" t="str">
        <f t="shared" si="21"/>
        <v/>
      </c>
      <c r="M237" s="16" t="str">
        <f>IF(K237="","",K237/MAX(K$5:K237)-1)</f>
        <v/>
      </c>
      <c r="N237" s="13" t="str">
        <f>IF(OR('实盘净值数据(iFinD）'!$A237="",'实盘净值数据(iFinD）'!$B237="",'实盘净值数据(iFinD）'!$Z237="",'实盘净值数据(iFinD）'!$AA237=""),"",分期持仓明细!$AB$24*(SUMPRODUCT(分期持仓明细!$B$24:$Y$24,'实盘净值数据(iFinD）'!$B237:$Y237/'实盘净值数据(iFinD）'!$B$65:$Y$65)+SUMPRODUCT(分期持仓明细!$AC$24:$AD$24,'实盘净值数据(iFinD）'!$Z237:$AA237/'实盘净值数据(iFinD）'!$Z$65:$AA$65))*(1-实盘持仓初始配置!$Z$8)^(('实盘净值数据(iFinD）'!$A237-'实盘净值数据(iFinD）'!$A$5)/365))</f>
        <v/>
      </c>
      <c r="O237" s="16" t="str">
        <f t="shared" si="22"/>
        <v/>
      </c>
      <c r="P237" s="16" t="str">
        <f>IF(N237="","",N237/MAX(N$5:N237)-1)</f>
        <v/>
      </c>
      <c r="Q237" s="13" t="str">
        <f>IF(OR('实盘净值数据(iFinD）'!$A237="",'实盘净值数据(iFinD）'!$B237="",'实盘净值数据(iFinD）'!$Z237="",'实盘净值数据(iFinD）'!$AA237=""),"",分期持仓明细!$AB$25*(SUMPRODUCT(分期持仓明细!$B$25:$Y$25,'实盘净值数据(iFinD）'!$B237:$Y237/'实盘净值数据(iFinD）'!$B$65:$Y$65)+SUMPRODUCT(分期持仓明细!$AC$25:$AD$25,'实盘净值数据(iFinD）'!$Z237:$AA237/'实盘净值数据(iFinD）'!$Z$65:$AA$65))*(1-实盘持仓初始配置!$Z$9)^(('实盘净值数据(iFinD）'!$A237-'实盘净值数据(iFinD）'!$A$8)/365))</f>
        <v/>
      </c>
      <c r="R237" s="16" t="str">
        <f t="shared" si="23"/>
        <v/>
      </c>
      <c r="S237" s="16" t="str">
        <f>IF(Q237="","",Q237/MAX(Q$5:Q237)-1)</f>
        <v/>
      </c>
    </row>
    <row r="238" spans="1:19">
      <c r="A238" s="15" t="str">
        <f>IF('实盘净值数据(iFinD）'!A238="","",'实盘净值数据(iFinD）'!A238)</f>
        <v/>
      </c>
      <c r="B238" s="13" t="str">
        <f>IF(OR('实盘净值数据(iFinD）'!$A238="",'实盘净值数据(iFinD）'!$B238=""),"",分期持仓明细!$AB$17*SUMPRODUCT(分期持仓明细!$B$17:$Y$17,'实盘净值数据(iFinD）'!$B238:$Y238/'实盘净值数据(iFinD）'!$B$20:$Y$20)*(1-实盘持仓初始配置!$Z$4)^(('实盘净值数据(iFinD）'!$A238-'实盘净值数据(iFinD）'!$A$6)/365))</f>
        <v/>
      </c>
      <c r="C238" s="16" t="str">
        <f t="shared" si="18"/>
        <v/>
      </c>
      <c r="D238" s="16" t="str">
        <f>IF(B238="","",B238/MAX(B$5:B238)-1)</f>
        <v/>
      </c>
      <c r="E238" s="13" t="str">
        <f>IF(OR('实盘净值数据(iFinD）'!$A238="",'实盘净值数据(iFinD）'!$B238=""),"",分期持仓明细!$AB$18*SUMPRODUCT(分期持仓明细!$B$18:$Y$18,'实盘净值数据(iFinD）'!$B238:$Y238/'实盘净值数据(iFinD）'!$B$20:$Y$20)*(1-实盘持仓初始配置!$Z$5)^(('实盘净值数据(iFinD）'!$A238-'实盘净值数据(iFinD）'!$A$5)/365))</f>
        <v/>
      </c>
      <c r="F238" s="16" t="str">
        <f t="shared" si="19"/>
        <v/>
      </c>
      <c r="G238" s="16" t="str">
        <f>IF(E238="","",E238/MAX(E$5:E238)-1)</f>
        <v/>
      </c>
      <c r="H238" s="13" t="str">
        <f>IF(OR('实盘净值数据(iFinD）'!$A238="",'实盘净值数据(iFinD）'!$B238=""),"",分期持仓明细!$AB$19*SUMPRODUCT(分期持仓明细!$B$19:$Y$19,'实盘净值数据(iFinD）'!$B238:$Y238/'实盘净值数据(iFinD）'!$B$20:$Y$20)*(1-实盘持仓初始配置!$Z$6)^(('实盘净值数据(iFinD）'!$A238-'实盘净值数据(iFinD）'!$A$7)/365))</f>
        <v/>
      </c>
      <c r="I238" s="16" t="str">
        <f t="shared" si="20"/>
        <v/>
      </c>
      <c r="J238" s="16" t="str">
        <f>IF(H238="","",H238/MAX(H$5:H238)-1)</f>
        <v/>
      </c>
      <c r="K238" s="13" t="str">
        <f>IF(OR('实盘净值数据(iFinD）'!$A238="",'实盘净值数据(iFinD）'!$B238="",'实盘净值数据(iFinD）'!$Z238="",'实盘净值数据(iFinD）'!$AA238=""),"",分期持仓明细!$AB$23*(SUMPRODUCT(分期持仓明细!$B$23:$Y$23,'实盘净值数据(iFinD）'!$B238:$Y238/'实盘净值数据(iFinD）'!$B$65:$Y$65)+SUMPRODUCT(分期持仓明细!$AC$23:$AD$23,'实盘净值数据(iFinD）'!$Z238:$AA238/'实盘净值数据(iFinD）'!$Z$65:$AA$65))*(1-实盘持仓初始配置!$Z$7)^(('实盘净值数据(iFinD）'!$A238-'实盘净值数据(iFinD）'!$A$8)/365))</f>
        <v/>
      </c>
      <c r="L238" s="16" t="str">
        <f t="shared" si="21"/>
        <v/>
      </c>
      <c r="M238" s="16" t="str">
        <f>IF(K238="","",K238/MAX(K$5:K238)-1)</f>
        <v/>
      </c>
      <c r="N238" s="13" t="str">
        <f>IF(OR('实盘净值数据(iFinD）'!$A238="",'实盘净值数据(iFinD）'!$B238="",'实盘净值数据(iFinD）'!$Z238="",'实盘净值数据(iFinD）'!$AA238=""),"",分期持仓明细!$AB$24*(SUMPRODUCT(分期持仓明细!$B$24:$Y$24,'实盘净值数据(iFinD）'!$B238:$Y238/'实盘净值数据(iFinD）'!$B$65:$Y$65)+SUMPRODUCT(分期持仓明细!$AC$24:$AD$24,'实盘净值数据(iFinD）'!$Z238:$AA238/'实盘净值数据(iFinD）'!$Z$65:$AA$65))*(1-实盘持仓初始配置!$Z$8)^(('实盘净值数据(iFinD）'!$A238-'实盘净值数据(iFinD）'!$A$5)/365))</f>
        <v/>
      </c>
      <c r="O238" s="16" t="str">
        <f t="shared" si="22"/>
        <v/>
      </c>
      <c r="P238" s="16" t="str">
        <f>IF(N238="","",N238/MAX(N$5:N238)-1)</f>
        <v/>
      </c>
      <c r="Q238" s="13" t="str">
        <f>IF(OR('实盘净值数据(iFinD）'!$A238="",'实盘净值数据(iFinD）'!$B238="",'实盘净值数据(iFinD）'!$Z238="",'实盘净值数据(iFinD）'!$AA238=""),"",分期持仓明细!$AB$25*(SUMPRODUCT(分期持仓明细!$B$25:$Y$25,'实盘净值数据(iFinD）'!$B238:$Y238/'实盘净值数据(iFinD）'!$B$65:$Y$65)+SUMPRODUCT(分期持仓明细!$AC$25:$AD$25,'实盘净值数据(iFinD）'!$Z238:$AA238/'实盘净值数据(iFinD）'!$Z$65:$AA$65))*(1-实盘持仓初始配置!$Z$9)^(('实盘净值数据(iFinD）'!$A238-'实盘净值数据(iFinD）'!$A$8)/365))</f>
        <v/>
      </c>
      <c r="R238" s="16" t="str">
        <f t="shared" si="23"/>
        <v/>
      </c>
      <c r="S238" s="16" t="str">
        <f>IF(Q238="","",Q238/MAX(Q$5:Q238)-1)</f>
        <v/>
      </c>
    </row>
    <row r="239" spans="1:19">
      <c r="A239" s="15" t="str">
        <f>IF('实盘净值数据(iFinD）'!A239="","",'实盘净值数据(iFinD）'!A239)</f>
        <v/>
      </c>
      <c r="B239" s="13" t="str">
        <f>IF(OR('实盘净值数据(iFinD）'!$A239="",'实盘净值数据(iFinD）'!$B239=""),"",分期持仓明细!$AB$17*SUMPRODUCT(分期持仓明细!$B$17:$Y$17,'实盘净值数据(iFinD）'!$B239:$Y239/'实盘净值数据(iFinD）'!$B$20:$Y$20)*(1-实盘持仓初始配置!$Z$4)^(('实盘净值数据(iFinD）'!$A239-'实盘净值数据(iFinD）'!$A$6)/365))</f>
        <v/>
      </c>
      <c r="C239" s="16" t="str">
        <f t="shared" si="18"/>
        <v/>
      </c>
      <c r="D239" s="16" t="str">
        <f>IF(B239="","",B239/MAX(B$5:B239)-1)</f>
        <v/>
      </c>
      <c r="E239" s="13" t="str">
        <f>IF(OR('实盘净值数据(iFinD）'!$A239="",'实盘净值数据(iFinD）'!$B239=""),"",分期持仓明细!$AB$18*SUMPRODUCT(分期持仓明细!$B$18:$Y$18,'实盘净值数据(iFinD）'!$B239:$Y239/'实盘净值数据(iFinD）'!$B$20:$Y$20)*(1-实盘持仓初始配置!$Z$5)^(('实盘净值数据(iFinD）'!$A239-'实盘净值数据(iFinD）'!$A$5)/365))</f>
        <v/>
      </c>
      <c r="F239" s="16" t="str">
        <f t="shared" si="19"/>
        <v/>
      </c>
      <c r="G239" s="16" t="str">
        <f>IF(E239="","",E239/MAX(E$5:E239)-1)</f>
        <v/>
      </c>
      <c r="H239" s="13" t="str">
        <f>IF(OR('实盘净值数据(iFinD）'!$A239="",'实盘净值数据(iFinD）'!$B239=""),"",分期持仓明细!$AB$19*SUMPRODUCT(分期持仓明细!$B$19:$Y$19,'实盘净值数据(iFinD）'!$B239:$Y239/'实盘净值数据(iFinD）'!$B$20:$Y$20)*(1-实盘持仓初始配置!$Z$6)^(('实盘净值数据(iFinD）'!$A239-'实盘净值数据(iFinD）'!$A$7)/365))</f>
        <v/>
      </c>
      <c r="I239" s="16" t="str">
        <f t="shared" si="20"/>
        <v/>
      </c>
      <c r="J239" s="16" t="str">
        <f>IF(H239="","",H239/MAX(H$5:H239)-1)</f>
        <v/>
      </c>
      <c r="K239" s="13" t="str">
        <f>IF(OR('实盘净值数据(iFinD）'!$A239="",'实盘净值数据(iFinD）'!$B239="",'实盘净值数据(iFinD）'!$Z239="",'实盘净值数据(iFinD）'!$AA239=""),"",分期持仓明细!$AB$23*(SUMPRODUCT(分期持仓明细!$B$23:$Y$23,'实盘净值数据(iFinD）'!$B239:$Y239/'实盘净值数据(iFinD）'!$B$65:$Y$65)+SUMPRODUCT(分期持仓明细!$AC$23:$AD$23,'实盘净值数据(iFinD）'!$Z239:$AA239/'实盘净值数据(iFinD）'!$Z$65:$AA$65))*(1-实盘持仓初始配置!$Z$7)^(('实盘净值数据(iFinD）'!$A239-'实盘净值数据(iFinD）'!$A$8)/365))</f>
        <v/>
      </c>
      <c r="L239" s="16" t="str">
        <f t="shared" si="21"/>
        <v/>
      </c>
      <c r="M239" s="16" t="str">
        <f>IF(K239="","",K239/MAX(K$5:K239)-1)</f>
        <v/>
      </c>
      <c r="N239" s="13" t="str">
        <f>IF(OR('实盘净值数据(iFinD）'!$A239="",'实盘净值数据(iFinD）'!$B239="",'实盘净值数据(iFinD）'!$Z239="",'实盘净值数据(iFinD）'!$AA239=""),"",分期持仓明细!$AB$24*(SUMPRODUCT(分期持仓明细!$B$24:$Y$24,'实盘净值数据(iFinD）'!$B239:$Y239/'实盘净值数据(iFinD）'!$B$65:$Y$65)+SUMPRODUCT(分期持仓明细!$AC$24:$AD$24,'实盘净值数据(iFinD）'!$Z239:$AA239/'实盘净值数据(iFinD）'!$Z$65:$AA$65))*(1-实盘持仓初始配置!$Z$8)^(('实盘净值数据(iFinD）'!$A239-'实盘净值数据(iFinD）'!$A$5)/365))</f>
        <v/>
      </c>
      <c r="O239" s="16" t="str">
        <f t="shared" si="22"/>
        <v/>
      </c>
      <c r="P239" s="16" t="str">
        <f>IF(N239="","",N239/MAX(N$5:N239)-1)</f>
        <v/>
      </c>
      <c r="Q239" s="13" t="str">
        <f>IF(OR('实盘净值数据(iFinD）'!$A239="",'实盘净值数据(iFinD）'!$B239="",'实盘净值数据(iFinD）'!$Z239="",'实盘净值数据(iFinD）'!$AA239=""),"",分期持仓明细!$AB$25*(SUMPRODUCT(分期持仓明细!$B$25:$Y$25,'实盘净值数据(iFinD）'!$B239:$Y239/'实盘净值数据(iFinD）'!$B$65:$Y$65)+SUMPRODUCT(分期持仓明细!$AC$25:$AD$25,'实盘净值数据(iFinD）'!$Z239:$AA239/'实盘净值数据(iFinD）'!$Z$65:$AA$65))*(1-实盘持仓初始配置!$Z$9)^(('实盘净值数据(iFinD）'!$A239-'实盘净值数据(iFinD）'!$A$8)/365))</f>
        <v/>
      </c>
      <c r="R239" s="16" t="str">
        <f t="shared" si="23"/>
        <v/>
      </c>
      <c r="S239" s="16" t="str">
        <f>IF(Q239="","",Q239/MAX(Q$5:Q239)-1)</f>
        <v/>
      </c>
    </row>
    <row r="240" spans="1:19">
      <c r="A240" s="15" t="str">
        <f>IF('实盘净值数据(iFinD）'!A240="","",'实盘净值数据(iFinD）'!A240)</f>
        <v/>
      </c>
      <c r="B240" s="13" t="str">
        <f>IF(OR('实盘净值数据(iFinD）'!$A240="",'实盘净值数据(iFinD）'!$B240=""),"",分期持仓明细!$AB$17*SUMPRODUCT(分期持仓明细!$B$17:$Y$17,'实盘净值数据(iFinD）'!$B240:$Y240/'实盘净值数据(iFinD）'!$B$20:$Y$20)*(1-实盘持仓初始配置!$Z$4)^(('实盘净值数据(iFinD）'!$A240-'实盘净值数据(iFinD）'!$A$6)/365))</f>
        <v/>
      </c>
      <c r="C240" s="16" t="str">
        <f t="shared" si="18"/>
        <v/>
      </c>
      <c r="D240" s="16" t="str">
        <f>IF(B240="","",B240/MAX(B$5:B240)-1)</f>
        <v/>
      </c>
      <c r="E240" s="13" t="str">
        <f>IF(OR('实盘净值数据(iFinD）'!$A240="",'实盘净值数据(iFinD）'!$B240=""),"",分期持仓明细!$AB$18*SUMPRODUCT(分期持仓明细!$B$18:$Y$18,'实盘净值数据(iFinD）'!$B240:$Y240/'实盘净值数据(iFinD）'!$B$20:$Y$20)*(1-实盘持仓初始配置!$Z$5)^(('实盘净值数据(iFinD）'!$A240-'实盘净值数据(iFinD）'!$A$5)/365))</f>
        <v/>
      </c>
      <c r="F240" s="16" t="str">
        <f t="shared" si="19"/>
        <v/>
      </c>
      <c r="G240" s="16" t="str">
        <f>IF(E240="","",E240/MAX(E$5:E240)-1)</f>
        <v/>
      </c>
      <c r="H240" s="13" t="str">
        <f>IF(OR('实盘净值数据(iFinD）'!$A240="",'实盘净值数据(iFinD）'!$B240=""),"",分期持仓明细!$AB$19*SUMPRODUCT(分期持仓明细!$B$19:$Y$19,'实盘净值数据(iFinD）'!$B240:$Y240/'实盘净值数据(iFinD）'!$B$20:$Y$20)*(1-实盘持仓初始配置!$Z$6)^(('实盘净值数据(iFinD）'!$A240-'实盘净值数据(iFinD）'!$A$7)/365))</f>
        <v/>
      </c>
      <c r="I240" s="16" t="str">
        <f t="shared" si="20"/>
        <v/>
      </c>
      <c r="J240" s="16" t="str">
        <f>IF(H240="","",H240/MAX(H$5:H240)-1)</f>
        <v/>
      </c>
      <c r="K240" s="13" t="str">
        <f>IF(OR('实盘净值数据(iFinD）'!$A240="",'实盘净值数据(iFinD）'!$B240="",'实盘净值数据(iFinD）'!$Z240="",'实盘净值数据(iFinD）'!$AA240=""),"",分期持仓明细!$AB$23*(SUMPRODUCT(分期持仓明细!$B$23:$Y$23,'实盘净值数据(iFinD）'!$B240:$Y240/'实盘净值数据(iFinD）'!$B$65:$Y$65)+SUMPRODUCT(分期持仓明细!$AC$23:$AD$23,'实盘净值数据(iFinD）'!$Z240:$AA240/'实盘净值数据(iFinD）'!$Z$65:$AA$65))*(1-实盘持仓初始配置!$Z$7)^(('实盘净值数据(iFinD）'!$A240-'实盘净值数据(iFinD）'!$A$8)/365))</f>
        <v/>
      </c>
      <c r="L240" s="16" t="str">
        <f t="shared" si="21"/>
        <v/>
      </c>
      <c r="M240" s="16" t="str">
        <f>IF(K240="","",K240/MAX(K$5:K240)-1)</f>
        <v/>
      </c>
      <c r="N240" s="13" t="str">
        <f>IF(OR('实盘净值数据(iFinD）'!$A240="",'实盘净值数据(iFinD）'!$B240="",'实盘净值数据(iFinD）'!$Z240="",'实盘净值数据(iFinD）'!$AA240=""),"",分期持仓明细!$AB$24*(SUMPRODUCT(分期持仓明细!$B$24:$Y$24,'实盘净值数据(iFinD）'!$B240:$Y240/'实盘净值数据(iFinD）'!$B$65:$Y$65)+SUMPRODUCT(分期持仓明细!$AC$24:$AD$24,'实盘净值数据(iFinD）'!$Z240:$AA240/'实盘净值数据(iFinD）'!$Z$65:$AA$65))*(1-实盘持仓初始配置!$Z$8)^(('实盘净值数据(iFinD）'!$A240-'实盘净值数据(iFinD）'!$A$5)/365))</f>
        <v/>
      </c>
      <c r="O240" s="16" t="str">
        <f t="shared" si="22"/>
        <v/>
      </c>
      <c r="P240" s="16" t="str">
        <f>IF(N240="","",N240/MAX(N$5:N240)-1)</f>
        <v/>
      </c>
      <c r="Q240" s="13" t="str">
        <f>IF(OR('实盘净值数据(iFinD）'!$A240="",'实盘净值数据(iFinD）'!$B240="",'实盘净值数据(iFinD）'!$Z240="",'实盘净值数据(iFinD）'!$AA240=""),"",分期持仓明细!$AB$25*(SUMPRODUCT(分期持仓明细!$B$25:$Y$25,'实盘净值数据(iFinD）'!$B240:$Y240/'实盘净值数据(iFinD）'!$B$65:$Y$65)+SUMPRODUCT(分期持仓明细!$AC$25:$AD$25,'实盘净值数据(iFinD）'!$Z240:$AA240/'实盘净值数据(iFinD）'!$Z$65:$AA$65))*(1-实盘持仓初始配置!$Z$9)^(('实盘净值数据(iFinD）'!$A240-'实盘净值数据(iFinD）'!$A$8)/365))</f>
        <v/>
      </c>
      <c r="R240" s="16" t="str">
        <f t="shared" si="23"/>
        <v/>
      </c>
      <c r="S240" s="16" t="str">
        <f>IF(Q240="","",Q240/MAX(Q$5:Q240)-1)</f>
        <v/>
      </c>
    </row>
    <row r="241" spans="1:19">
      <c r="A241" s="15" t="str">
        <f>IF('实盘净值数据(iFinD）'!A241="","",'实盘净值数据(iFinD）'!A241)</f>
        <v/>
      </c>
      <c r="B241" s="13" t="str">
        <f>IF(OR('实盘净值数据(iFinD）'!$A241="",'实盘净值数据(iFinD）'!$B241=""),"",分期持仓明细!$AB$17*SUMPRODUCT(分期持仓明细!$B$17:$Y$17,'实盘净值数据(iFinD）'!$B241:$Y241/'实盘净值数据(iFinD）'!$B$20:$Y$20)*(1-实盘持仓初始配置!$Z$4)^(('实盘净值数据(iFinD）'!$A241-'实盘净值数据(iFinD）'!$A$6)/365))</f>
        <v/>
      </c>
      <c r="C241" s="16" t="str">
        <f t="shared" si="18"/>
        <v/>
      </c>
      <c r="D241" s="16" t="str">
        <f>IF(B241="","",B241/MAX(B$5:B241)-1)</f>
        <v/>
      </c>
      <c r="E241" s="13" t="str">
        <f>IF(OR('实盘净值数据(iFinD）'!$A241="",'实盘净值数据(iFinD）'!$B241=""),"",分期持仓明细!$AB$18*SUMPRODUCT(分期持仓明细!$B$18:$Y$18,'实盘净值数据(iFinD）'!$B241:$Y241/'实盘净值数据(iFinD）'!$B$20:$Y$20)*(1-实盘持仓初始配置!$Z$5)^(('实盘净值数据(iFinD）'!$A241-'实盘净值数据(iFinD）'!$A$5)/365))</f>
        <v/>
      </c>
      <c r="F241" s="16" t="str">
        <f t="shared" si="19"/>
        <v/>
      </c>
      <c r="G241" s="16" t="str">
        <f>IF(E241="","",E241/MAX(E$5:E241)-1)</f>
        <v/>
      </c>
      <c r="H241" s="13" t="str">
        <f>IF(OR('实盘净值数据(iFinD）'!$A241="",'实盘净值数据(iFinD）'!$B241=""),"",分期持仓明细!$AB$19*SUMPRODUCT(分期持仓明细!$B$19:$Y$19,'实盘净值数据(iFinD）'!$B241:$Y241/'实盘净值数据(iFinD）'!$B$20:$Y$20)*(1-实盘持仓初始配置!$Z$6)^(('实盘净值数据(iFinD）'!$A241-'实盘净值数据(iFinD）'!$A$7)/365))</f>
        <v/>
      </c>
      <c r="I241" s="16" t="str">
        <f t="shared" si="20"/>
        <v/>
      </c>
      <c r="J241" s="16" t="str">
        <f>IF(H241="","",H241/MAX(H$5:H241)-1)</f>
        <v/>
      </c>
      <c r="K241" s="13" t="str">
        <f>IF(OR('实盘净值数据(iFinD）'!$A241="",'实盘净值数据(iFinD）'!$B241="",'实盘净值数据(iFinD）'!$Z241="",'实盘净值数据(iFinD）'!$AA241=""),"",分期持仓明细!$AB$23*(SUMPRODUCT(分期持仓明细!$B$23:$Y$23,'实盘净值数据(iFinD）'!$B241:$Y241/'实盘净值数据(iFinD）'!$B$65:$Y$65)+SUMPRODUCT(分期持仓明细!$AC$23:$AD$23,'实盘净值数据(iFinD）'!$Z241:$AA241/'实盘净值数据(iFinD）'!$Z$65:$AA$65))*(1-实盘持仓初始配置!$Z$7)^(('实盘净值数据(iFinD）'!$A241-'实盘净值数据(iFinD）'!$A$8)/365))</f>
        <v/>
      </c>
      <c r="L241" s="16" t="str">
        <f t="shared" si="21"/>
        <v/>
      </c>
      <c r="M241" s="16" t="str">
        <f>IF(K241="","",K241/MAX(K$5:K241)-1)</f>
        <v/>
      </c>
      <c r="N241" s="13" t="str">
        <f>IF(OR('实盘净值数据(iFinD）'!$A241="",'实盘净值数据(iFinD）'!$B241="",'实盘净值数据(iFinD）'!$Z241="",'实盘净值数据(iFinD）'!$AA241=""),"",分期持仓明细!$AB$24*(SUMPRODUCT(分期持仓明细!$B$24:$Y$24,'实盘净值数据(iFinD）'!$B241:$Y241/'实盘净值数据(iFinD）'!$B$65:$Y$65)+SUMPRODUCT(分期持仓明细!$AC$24:$AD$24,'实盘净值数据(iFinD）'!$Z241:$AA241/'实盘净值数据(iFinD）'!$Z$65:$AA$65))*(1-实盘持仓初始配置!$Z$8)^(('实盘净值数据(iFinD）'!$A241-'实盘净值数据(iFinD）'!$A$5)/365))</f>
        <v/>
      </c>
      <c r="O241" s="16" t="str">
        <f t="shared" si="22"/>
        <v/>
      </c>
      <c r="P241" s="16" t="str">
        <f>IF(N241="","",N241/MAX(N$5:N241)-1)</f>
        <v/>
      </c>
      <c r="Q241" s="13" t="str">
        <f>IF(OR('实盘净值数据(iFinD）'!$A241="",'实盘净值数据(iFinD）'!$B241="",'实盘净值数据(iFinD）'!$Z241="",'实盘净值数据(iFinD）'!$AA241=""),"",分期持仓明细!$AB$25*(SUMPRODUCT(分期持仓明细!$B$25:$Y$25,'实盘净值数据(iFinD）'!$B241:$Y241/'实盘净值数据(iFinD）'!$B$65:$Y$65)+SUMPRODUCT(分期持仓明细!$AC$25:$AD$25,'实盘净值数据(iFinD）'!$Z241:$AA241/'实盘净值数据(iFinD）'!$Z$65:$AA$65))*(1-实盘持仓初始配置!$Z$9)^(('实盘净值数据(iFinD）'!$A241-'实盘净值数据(iFinD）'!$A$8)/365))</f>
        <v/>
      </c>
      <c r="R241" s="16" t="str">
        <f t="shared" si="23"/>
        <v/>
      </c>
      <c r="S241" s="16" t="str">
        <f>IF(Q241="","",Q241/MAX(Q$5:Q241)-1)</f>
        <v/>
      </c>
    </row>
    <row r="242" spans="1:19">
      <c r="A242" s="15" t="str">
        <f>IF('实盘净值数据(iFinD）'!A242="","",'实盘净值数据(iFinD）'!A242)</f>
        <v/>
      </c>
      <c r="B242" s="13" t="str">
        <f>IF(OR('实盘净值数据(iFinD）'!$A242="",'实盘净值数据(iFinD）'!$B242=""),"",分期持仓明细!$AB$17*SUMPRODUCT(分期持仓明细!$B$17:$Y$17,'实盘净值数据(iFinD）'!$B242:$Y242/'实盘净值数据(iFinD）'!$B$20:$Y$20)*(1-实盘持仓初始配置!$Z$4)^(('实盘净值数据(iFinD）'!$A242-'实盘净值数据(iFinD）'!$A$6)/365))</f>
        <v/>
      </c>
      <c r="C242" s="16" t="str">
        <f t="shared" si="18"/>
        <v/>
      </c>
      <c r="D242" s="16" t="str">
        <f>IF(B242="","",B242/MAX(B$5:B242)-1)</f>
        <v/>
      </c>
      <c r="E242" s="13" t="str">
        <f>IF(OR('实盘净值数据(iFinD）'!$A242="",'实盘净值数据(iFinD）'!$B242=""),"",分期持仓明细!$AB$18*SUMPRODUCT(分期持仓明细!$B$18:$Y$18,'实盘净值数据(iFinD）'!$B242:$Y242/'实盘净值数据(iFinD）'!$B$20:$Y$20)*(1-实盘持仓初始配置!$Z$5)^(('实盘净值数据(iFinD）'!$A242-'实盘净值数据(iFinD）'!$A$5)/365))</f>
        <v/>
      </c>
      <c r="F242" s="16" t="str">
        <f t="shared" si="19"/>
        <v/>
      </c>
      <c r="G242" s="16" t="str">
        <f>IF(E242="","",E242/MAX(E$5:E242)-1)</f>
        <v/>
      </c>
      <c r="H242" s="13" t="str">
        <f>IF(OR('实盘净值数据(iFinD）'!$A242="",'实盘净值数据(iFinD）'!$B242=""),"",分期持仓明细!$AB$19*SUMPRODUCT(分期持仓明细!$B$19:$Y$19,'实盘净值数据(iFinD）'!$B242:$Y242/'实盘净值数据(iFinD）'!$B$20:$Y$20)*(1-实盘持仓初始配置!$Z$6)^(('实盘净值数据(iFinD）'!$A242-'实盘净值数据(iFinD）'!$A$7)/365))</f>
        <v/>
      </c>
      <c r="I242" s="16" t="str">
        <f t="shared" si="20"/>
        <v/>
      </c>
      <c r="J242" s="16" t="str">
        <f>IF(H242="","",H242/MAX(H$5:H242)-1)</f>
        <v/>
      </c>
      <c r="K242" s="13" t="str">
        <f>IF(OR('实盘净值数据(iFinD）'!$A242="",'实盘净值数据(iFinD）'!$B242="",'实盘净值数据(iFinD）'!$Z242="",'实盘净值数据(iFinD）'!$AA242=""),"",分期持仓明细!$AB$23*(SUMPRODUCT(分期持仓明细!$B$23:$Y$23,'实盘净值数据(iFinD）'!$B242:$Y242/'实盘净值数据(iFinD）'!$B$65:$Y$65)+SUMPRODUCT(分期持仓明细!$AC$23:$AD$23,'实盘净值数据(iFinD）'!$Z242:$AA242/'实盘净值数据(iFinD）'!$Z$65:$AA$65))*(1-实盘持仓初始配置!$Z$7)^(('实盘净值数据(iFinD）'!$A242-'实盘净值数据(iFinD）'!$A$8)/365))</f>
        <v/>
      </c>
      <c r="L242" s="16" t="str">
        <f t="shared" si="21"/>
        <v/>
      </c>
      <c r="M242" s="16" t="str">
        <f>IF(K242="","",K242/MAX(K$5:K242)-1)</f>
        <v/>
      </c>
      <c r="N242" s="13" t="str">
        <f>IF(OR('实盘净值数据(iFinD）'!$A242="",'实盘净值数据(iFinD）'!$B242="",'实盘净值数据(iFinD）'!$Z242="",'实盘净值数据(iFinD）'!$AA242=""),"",分期持仓明细!$AB$24*(SUMPRODUCT(分期持仓明细!$B$24:$Y$24,'实盘净值数据(iFinD）'!$B242:$Y242/'实盘净值数据(iFinD）'!$B$65:$Y$65)+SUMPRODUCT(分期持仓明细!$AC$24:$AD$24,'实盘净值数据(iFinD）'!$Z242:$AA242/'实盘净值数据(iFinD）'!$Z$65:$AA$65))*(1-实盘持仓初始配置!$Z$8)^(('实盘净值数据(iFinD）'!$A242-'实盘净值数据(iFinD）'!$A$5)/365))</f>
        <v/>
      </c>
      <c r="O242" s="16" t="str">
        <f t="shared" si="22"/>
        <v/>
      </c>
      <c r="P242" s="16" t="str">
        <f>IF(N242="","",N242/MAX(N$5:N242)-1)</f>
        <v/>
      </c>
      <c r="Q242" s="13" t="str">
        <f>IF(OR('实盘净值数据(iFinD）'!$A242="",'实盘净值数据(iFinD）'!$B242="",'实盘净值数据(iFinD）'!$Z242="",'实盘净值数据(iFinD）'!$AA242=""),"",分期持仓明细!$AB$25*(SUMPRODUCT(分期持仓明细!$B$25:$Y$25,'实盘净值数据(iFinD）'!$B242:$Y242/'实盘净值数据(iFinD）'!$B$65:$Y$65)+SUMPRODUCT(分期持仓明细!$AC$25:$AD$25,'实盘净值数据(iFinD）'!$Z242:$AA242/'实盘净值数据(iFinD）'!$Z$65:$AA$65))*(1-实盘持仓初始配置!$Z$9)^(('实盘净值数据(iFinD）'!$A242-'实盘净值数据(iFinD）'!$A$8)/365))</f>
        <v/>
      </c>
      <c r="R242" s="16" t="str">
        <f t="shared" si="23"/>
        <v/>
      </c>
      <c r="S242" s="16" t="str">
        <f>IF(Q242="","",Q242/MAX(Q$5:Q242)-1)</f>
        <v/>
      </c>
    </row>
    <row r="243" spans="1:19">
      <c r="A243" s="15" t="str">
        <f>IF('实盘净值数据(iFinD）'!A243="","",'实盘净值数据(iFinD）'!A243)</f>
        <v/>
      </c>
      <c r="B243" s="13" t="str">
        <f>IF(OR('实盘净值数据(iFinD）'!$A243="",'实盘净值数据(iFinD）'!$B243=""),"",分期持仓明细!$AB$17*SUMPRODUCT(分期持仓明细!$B$17:$Y$17,'实盘净值数据(iFinD）'!$B243:$Y243/'实盘净值数据(iFinD）'!$B$20:$Y$20)*(1-实盘持仓初始配置!$Z$4)^(('实盘净值数据(iFinD）'!$A243-'实盘净值数据(iFinD）'!$A$6)/365))</f>
        <v/>
      </c>
      <c r="C243" s="16" t="str">
        <f t="shared" si="18"/>
        <v/>
      </c>
      <c r="D243" s="16" t="str">
        <f>IF(B243="","",B243/MAX(B$5:B243)-1)</f>
        <v/>
      </c>
      <c r="E243" s="13" t="str">
        <f>IF(OR('实盘净值数据(iFinD）'!$A243="",'实盘净值数据(iFinD）'!$B243=""),"",分期持仓明细!$AB$18*SUMPRODUCT(分期持仓明细!$B$18:$Y$18,'实盘净值数据(iFinD）'!$B243:$Y243/'实盘净值数据(iFinD）'!$B$20:$Y$20)*(1-实盘持仓初始配置!$Z$5)^(('实盘净值数据(iFinD）'!$A243-'实盘净值数据(iFinD）'!$A$5)/365))</f>
        <v/>
      </c>
      <c r="F243" s="16" t="str">
        <f t="shared" si="19"/>
        <v/>
      </c>
      <c r="G243" s="16" t="str">
        <f>IF(E243="","",E243/MAX(E$5:E243)-1)</f>
        <v/>
      </c>
      <c r="H243" s="13" t="str">
        <f>IF(OR('实盘净值数据(iFinD）'!$A243="",'实盘净值数据(iFinD）'!$B243=""),"",分期持仓明细!$AB$19*SUMPRODUCT(分期持仓明细!$B$19:$Y$19,'实盘净值数据(iFinD）'!$B243:$Y243/'实盘净值数据(iFinD）'!$B$20:$Y$20)*(1-实盘持仓初始配置!$Z$6)^(('实盘净值数据(iFinD）'!$A243-'实盘净值数据(iFinD）'!$A$7)/365))</f>
        <v/>
      </c>
      <c r="I243" s="16" t="str">
        <f t="shared" si="20"/>
        <v/>
      </c>
      <c r="J243" s="16" t="str">
        <f>IF(H243="","",H243/MAX(H$5:H243)-1)</f>
        <v/>
      </c>
      <c r="K243" s="13" t="str">
        <f>IF(OR('实盘净值数据(iFinD）'!$A243="",'实盘净值数据(iFinD）'!$B243="",'实盘净值数据(iFinD）'!$Z243="",'实盘净值数据(iFinD）'!$AA243=""),"",分期持仓明细!$AB$23*(SUMPRODUCT(分期持仓明细!$B$23:$Y$23,'实盘净值数据(iFinD）'!$B243:$Y243/'实盘净值数据(iFinD）'!$B$65:$Y$65)+SUMPRODUCT(分期持仓明细!$AC$23:$AD$23,'实盘净值数据(iFinD）'!$Z243:$AA243/'实盘净值数据(iFinD）'!$Z$65:$AA$65))*(1-实盘持仓初始配置!$Z$7)^(('实盘净值数据(iFinD）'!$A243-'实盘净值数据(iFinD）'!$A$8)/365))</f>
        <v/>
      </c>
      <c r="L243" s="16" t="str">
        <f t="shared" si="21"/>
        <v/>
      </c>
      <c r="M243" s="16" t="str">
        <f>IF(K243="","",K243/MAX(K$5:K243)-1)</f>
        <v/>
      </c>
      <c r="N243" s="13" t="str">
        <f>IF(OR('实盘净值数据(iFinD）'!$A243="",'实盘净值数据(iFinD）'!$B243="",'实盘净值数据(iFinD）'!$Z243="",'实盘净值数据(iFinD）'!$AA243=""),"",分期持仓明细!$AB$24*(SUMPRODUCT(分期持仓明细!$B$24:$Y$24,'实盘净值数据(iFinD）'!$B243:$Y243/'实盘净值数据(iFinD）'!$B$65:$Y$65)+SUMPRODUCT(分期持仓明细!$AC$24:$AD$24,'实盘净值数据(iFinD）'!$Z243:$AA243/'实盘净值数据(iFinD）'!$Z$65:$AA$65))*(1-实盘持仓初始配置!$Z$8)^(('实盘净值数据(iFinD）'!$A243-'实盘净值数据(iFinD）'!$A$5)/365))</f>
        <v/>
      </c>
      <c r="O243" s="16" t="str">
        <f t="shared" si="22"/>
        <v/>
      </c>
      <c r="P243" s="16" t="str">
        <f>IF(N243="","",N243/MAX(N$5:N243)-1)</f>
        <v/>
      </c>
      <c r="Q243" s="13" t="str">
        <f>IF(OR('实盘净值数据(iFinD）'!$A243="",'实盘净值数据(iFinD）'!$B243="",'实盘净值数据(iFinD）'!$Z243="",'实盘净值数据(iFinD）'!$AA243=""),"",分期持仓明细!$AB$25*(SUMPRODUCT(分期持仓明细!$B$25:$Y$25,'实盘净值数据(iFinD）'!$B243:$Y243/'实盘净值数据(iFinD）'!$B$65:$Y$65)+SUMPRODUCT(分期持仓明细!$AC$25:$AD$25,'实盘净值数据(iFinD）'!$Z243:$AA243/'实盘净值数据(iFinD）'!$Z$65:$AA$65))*(1-实盘持仓初始配置!$Z$9)^(('实盘净值数据(iFinD）'!$A243-'实盘净值数据(iFinD）'!$A$8)/365))</f>
        <v/>
      </c>
      <c r="R243" s="16" t="str">
        <f t="shared" si="23"/>
        <v/>
      </c>
      <c r="S243" s="16" t="str">
        <f>IF(Q243="","",Q243/MAX(Q$5:Q243)-1)</f>
        <v/>
      </c>
    </row>
    <row r="244" spans="1:19">
      <c r="A244" s="15" t="str">
        <f>IF('实盘净值数据(iFinD）'!A244="","",'实盘净值数据(iFinD）'!A244)</f>
        <v/>
      </c>
      <c r="B244" s="13" t="str">
        <f>IF(OR('实盘净值数据(iFinD）'!$A244="",'实盘净值数据(iFinD）'!$B244=""),"",分期持仓明细!$AB$17*SUMPRODUCT(分期持仓明细!$B$17:$Y$17,'实盘净值数据(iFinD）'!$B244:$Y244/'实盘净值数据(iFinD）'!$B$20:$Y$20)*(1-实盘持仓初始配置!$Z$4)^(('实盘净值数据(iFinD）'!$A244-'实盘净值数据(iFinD）'!$A$6)/365))</f>
        <v/>
      </c>
      <c r="C244" s="16" t="str">
        <f t="shared" si="18"/>
        <v/>
      </c>
      <c r="D244" s="16" t="str">
        <f>IF(B244="","",B244/MAX(B$5:B244)-1)</f>
        <v/>
      </c>
      <c r="E244" s="13" t="str">
        <f>IF(OR('实盘净值数据(iFinD）'!$A244="",'实盘净值数据(iFinD）'!$B244=""),"",分期持仓明细!$AB$18*SUMPRODUCT(分期持仓明细!$B$18:$Y$18,'实盘净值数据(iFinD）'!$B244:$Y244/'实盘净值数据(iFinD）'!$B$20:$Y$20)*(1-实盘持仓初始配置!$Z$5)^(('实盘净值数据(iFinD）'!$A244-'实盘净值数据(iFinD）'!$A$5)/365))</f>
        <v/>
      </c>
      <c r="F244" s="16" t="str">
        <f t="shared" si="19"/>
        <v/>
      </c>
      <c r="G244" s="16" t="str">
        <f>IF(E244="","",E244/MAX(E$5:E244)-1)</f>
        <v/>
      </c>
      <c r="H244" s="13" t="str">
        <f>IF(OR('实盘净值数据(iFinD）'!$A244="",'实盘净值数据(iFinD）'!$B244=""),"",分期持仓明细!$AB$19*SUMPRODUCT(分期持仓明细!$B$19:$Y$19,'实盘净值数据(iFinD）'!$B244:$Y244/'实盘净值数据(iFinD）'!$B$20:$Y$20)*(1-实盘持仓初始配置!$Z$6)^(('实盘净值数据(iFinD）'!$A244-'实盘净值数据(iFinD）'!$A$7)/365))</f>
        <v/>
      </c>
      <c r="I244" s="16" t="str">
        <f t="shared" si="20"/>
        <v/>
      </c>
      <c r="J244" s="16" t="str">
        <f>IF(H244="","",H244/MAX(H$5:H244)-1)</f>
        <v/>
      </c>
      <c r="K244" s="13" t="str">
        <f>IF(OR('实盘净值数据(iFinD）'!$A244="",'实盘净值数据(iFinD）'!$B244="",'实盘净值数据(iFinD）'!$Z244="",'实盘净值数据(iFinD）'!$AA244=""),"",分期持仓明细!$AB$23*(SUMPRODUCT(分期持仓明细!$B$23:$Y$23,'实盘净值数据(iFinD）'!$B244:$Y244/'实盘净值数据(iFinD）'!$B$65:$Y$65)+SUMPRODUCT(分期持仓明细!$AC$23:$AD$23,'实盘净值数据(iFinD）'!$Z244:$AA244/'实盘净值数据(iFinD）'!$Z$65:$AA$65))*(1-实盘持仓初始配置!$Z$7)^(('实盘净值数据(iFinD）'!$A244-'实盘净值数据(iFinD）'!$A$8)/365))</f>
        <v/>
      </c>
      <c r="L244" s="16" t="str">
        <f t="shared" si="21"/>
        <v/>
      </c>
      <c r="M244" s="16" t="str">
        <f>IF(K244="","",K244/MAX(K$5:K244)-1)</f>
        <v/>
      </c>
      <c r="N244" s="13" t="str">
        <f>IF(OR('实盘净值数据(iFinD）'!$A244="",'实盘净值数据(iFinD）'!$B244="",'实盘净值数据(iFinD）'!$Z244="",'实盘净值数据(iFinD）'!$AA244=""),"",分期持仓明细!$AB$24*(SUMPRODUCT(分期持仓明细!$B$24:$Y$24,'实盘净值数据(iFinD）'!$B244:$Y244/'实盘净值数据(iFinD）'!$B$65:$Y$65)+SUMPRODUCT(分期持仓明细!$AC$24:$AD$24,'实盘净值数据(iFinD）'!$Z244:$AA244/'实盘净值数据(iFinD）'!$Z$65:$AA$65))*(1-实盘持仓初始配置!$Z$8)^(('实盘净值数据(iFinD）'!$A244-'实盘净值数据(iFinD）'!$A$5)/365))</f>
        <v/>
      </c>
      <c r="O244" s="16" t="str">
        <f t="shared" si="22"/>
        <v/>
      </c>
      <c r="P244" s="16" t="str">
        <f>IF(N244="","",N244/MAX(N$5:N244)-1)</f>
        <v/>
      </c>
      <c r="Q244" s="13" t="str">
        <f>IF(OR('实盘净值数据(iFinD）'!$A244="",'实盘净值数据(iFinD）'!$B244="",'实盘净值数据(iFinD）'!$Z244="",'实盘净值数据(iFinD）'!$AA244=""),"",分期持仓明细!$AB$25*(SUMPRODUCT(分期持仓明细!$B$25:$Y$25,'实盘净值数据(iFinD）'!$B244:$Y244/'实盘净值数据(iFinD）'!$B$65:$Y$65)+SUMPRODUCT(分期持仓明细!$AC$25:$AD$25,'实盘净值数据(iFinD）'!$Z244:$AA244/'实盘净值数据(iFinD）'!$Z$65:$AA$65))*(1-实盘持仓初始配置!$Z$9)^(('实盘净值数据(iFinD）'!$A244-'实盘净值数据(iFinD）'!$A$8)/365))</f>
        <v/>
      </c>
      <c r="R244" s="16" t="str">
        <f t="shared" si="23"/>
        <v/>
      </c>
      <c r="S244" s="16" t="str">
        <f>IF(Q244="","",Q244/MAX(Q$5:Q244)-1)</f>
        <v/>
      </c>
    </row>
    <row r="245" spans="1:19">
      <c r="A245" s="15" t="str">
        <f>IF('实盘净值数据(iFinD）'!A245="","",'实盘净值数据(iFinD）'!A245)</f>
        <v/>
      </c>
      <c r="B245" s="13" t="str">
        <f>IF(OR('实盘净值数据(iFinD）'!$A245="",'实盘净值数据(iFinD）'!$B245=""),"",分期持仓明细!$AB$17*SUMPRODUCT(分期持仓明细!$B$17:$Y$17,'实盘净值数据(iFinD）'!$B245:$Y245/'实盘净值数据(iFinD）'!$B$20:$Y$20)*(1-实盘持仓初始配置!$Z$4)^(('实盘净值数据(iFinD）'!$A245-'实盘净值数据(iFinD）'!$A$6)/365))</f>
        <v/>
      </c>
      <c r="C245" s="16" t="str">
        <f t="shared" si="18"/>
        <v/>
      </c>
      <c r="D245" s="16" t="str">
        <f>IF(B245="","",B245/MAX(B$5:B245)-1)</f>
        <v/>
      </c>
      <c r="E245" s="13" t="str">
        <f>IF(OR('实盘净值数据(iFinD）'!$A245="",'实盘净值数据(iFinD）'!$B245=""),"",分期持仓明细!$AB$18*SUMPRODUCT(分期持仓明细!$B$18:$Y$18,'实盘净值数据(iFinD）'!$B245:$Y245/'实盘净值数据(iFinD）'!$B$20:$Y$20)*(1-实盘持仓初始配置!$Z$5)^(('实盘净值数据(iFinD）'!$A245-'实盘净值数据(iFinD）'!$A$5)/365))</f>
        <v/>
      </c>
      <c r="F245" s="16" t="str">
        <f t="shared" si="19"/>
        <v/>
      </c>
      <c r="G245" s="16" t="str">
        <f>IF(E245="","",E245/MAX(E$5:E245)-1)</f>
        <v/>
      </c>
      <c r="H245" s="13" t="str">
        <f>IF(OR('实盘净值数据(iFinD）'!$A245="",'实盘净值数据(iFinD）'!$B245=""),"",分期持仓明细!$AB$19*SUMPRODUCT(分期持仓明细!$B$19:$Y$19,'实盘净值数据(iFinD）'!$B245:$Y245/'实盘净值数据(iFinD）'!$B$20:$Y$20)*(1-实盘持仓初始配置!$Z$6)^(('实盘净值数据(iFinD）'!$A245-'实盘净值数据(iFinD）'!$A$7)/365))</f>
        <v/>
      </c>
      <c r="I245" s="16" t="str">
        <f t="shared" si="20"/>
        <v/>
      </c>
      <c r="J245" s="16" t="str">
        <f>IF(H245="","",H245/MAX(H$5:H245)-1)</f>
        <v/>
      </c>
      <c r="K245" s="13" t="str">
        <f>IF(OR('实盘净值数据(iFinD）'!$A245="",'实盘净值数据(iFinD）'!$B245="",'实盘净值数据(iFinD）'!$Z245="",'实盘净值数据(iFinD）'!$AA245=""),"",分期持仓明细!$AB$23*(SUMPRODUCT(分期持仓明细!$B$23:$Y$23,'实盘净值数据(iFinD）'!$B245:$Y245/'实盘净值数据(iFinD）'!$B$65:$Y$65)+SUMPRODUCT(分期持仓明细!$AC$23:$AD$23,'实盘净值数据(iFinD）'!$Z245:$AA245/'实盘净值数据(iFinD）'!$Z$65:$AA$65))*(1-实盘持仓初始配置!$Z$7)^(('实盘净值数据(iFinD）'!$A245-'实盘净值数据(iFinD）'!$A$8)/365))</f>
        <v/>
      </c>
      <c r="L245" s="16" t="str">
        <f t="shared" si="21"/>
        <v/>
      </c>
      <c r="M245" s="16" t="str">
        <f>IF(K245="","",K245/MAX(K$5:K245)-1)</f>
        <v/>
      </c>
      <c r="N245" s="13" t="str">
        <f>IF(OR('实盘净值数据(iFinD）'!$A245="",'实盘净值数据(iFinD）'!$B245="",'实盘净值数据(iFinD）'!$Z245="",'实盘净值数据(iFinD）'!$AA245=""),"",分期持仓明细!$AB$24*(SUMPRODUCT(分期持仓明细!$B$24:$Y$24,'实盘净值数据(iFinD）'!$B245:$Y245/'实盘净值数据(iFinD）'!$B$65:$Y$65)+SUMPRODUCT(分期持仓明细!$AC$24:$AD$24,'实盘净值数据(iFinD）'!$Z245:$AA245/'实盘净值数据(iFinD）'!$Z$65:$AA$65))*(1-实盘持仓初始配置!$Z$8)^(('实盘净值数据(iFinD）'!$A245-'实盘净值数据(iFinD）'!$A$5)/365))</f>
        <v/>
      </c>
      <c r="O245" s="16" t="str">
        <f t="shared" si="22"/>
        <v/>
      </c>
      <c r="P245" s="16" t="str">
        <f>IF(N245="","",N245/MAX(N$5:N245)-1)</f>
        <v/>
      </c>
      <c r="Q245" s="13" t="str">
        <f>IF(OR('实盘净值数据(iFinD）'!$A245="",'实盘净值数据(iFinD）'!$B245="",'实盘净值数据(iFinD）'!$Z245="",'实盘净值数据(iFinD）'!$AA245=""),"",分期持仓明细!$AB$25*(SUMPRODUCT(分期持仓明细!$B$25:$Y$25,'实盘净值数据(iFinD）'!$B245:$Y245/'实盘净值数据(iFinD）'!$B$65:$Y$65)+SUMPRODUCT(分期持仓明细!$AC$25:$AD$25,'实盘净值数据(iFinD）'!$Z245:$AA245/'实盘净值数据(iFinD）'!$Z$65:$AA$65))*(1-实盘持仓初始配置!$Z$9)^(('实盘净值数据(iFinD）'!$A245-'实盘净值数据(iFinD）'!$A$8)/365))</f>
        <v/>
      </c>
      <c r="R245" s="16" t="str">
        <f t="shared" si="23"/>
        <v/>
      </c>
      <c r="S245" s="16" t="str">
        <f>IF(Q245="","",Q245/MAX(Q$5:Q245)-1)</f>
        <v/>
      </c>
    </row>
    <row r="246" spans="1:19">
      <c r="A246" s="15" t="str">
        <f>IF('实盘净值数据(iFinD）'!A246="","",'实盘净值数据(iFinD）'!A246)</f>
        <v/>
      </c>
      <c r="B246" s="13" t="str">
        <f>IF(OR('实盘净值数据(iFinD）'!$A246="",'实盘净值数据(iFinD）'!$B246=""),"",分期持仓明细!$AB$17*SUMPRODUCT(分期持仓明细!$B$17:$Y$17,'实盘净值数据(iFinD）'!$B246:$Y246/'实盘净值数据(iFinD）'!$B$20:$Y$20)*(1-实盘持仓初始配置!$Z$4)^(('实盘净值数据(iFinD）'!$A246-'实盘净值数据(iFinD）'!$A$6)/365))</f>
        <v/>
      </c>
      <c r="C246" s="16" t="str">
        <f t="shared" si="18"/>
        <v/>
      </c>
      <c r="D246" s="16" t="str">
        <f>IF(B246="","",B246/MAX(B$5:B246)-1)</f>
        <v/>
      </c>
      <c r="E246" s="13" t="str">
        <f>IF(OR('实盘净值数据(iFinD）'!$A246="",'实盘净值数据(iFinD）'!$B246=""),"",分期持仓明细!$AB$18*SUMPRODUCT(分期持仓明细!$B$18:$Y$18,'实盘净值数据(iFinD）'!$B246:$Y246/'实盘净值数据(iFinD）'!$B$20:$Y$20)*(1-实盘持仓初始配置!$Z$5)^(('实盘净值数据(iFinD）'!$A246-'实盘净值数据(iFinD）'!$A$5)/365))</f>
        <v/>
      </c>
      <c r="F246" s="16" t="str">
        <f t="shared" si="19"/>
        <v/>
      </c>
      <c r="G246" s="16" t="str">
        <f>IF(E246="","",E246/MAX(E$5:E246)-1)</f>
        <v/>
      </c>
      <c r="H246" s="13" t="str">
        <f>IF(OR('实盘净值数据(iFinD）'!$A246="",'实盘净值数据(iFinD）'!$B246=""),"",分期持仓明细!$AB$19*SUMPRODUCT(分期持仓明细!$B$19:$Y$19,'实盘净值数据(iFinD）'!$B246:$Y246/'实盘净值数据(iFinD）'!$B$20:$Y$20)*(1-实盘持仓初始配置!$Z$6)^(('实盘净值数据(iFinD）'!$A246-'实盘净值数据(iFinD）'!$A$7)/365))</f>
        <v/>
      </c>
      <c r="I246" s="16" t="str">
        <f t="shared" si="20"/>
        <v/>
      </c>
      <c r="J246" s="16" t="str">
        <f>IF(H246="","",H246/MAX(H$5:H246)-1)</f>
        <v/>
      </c>
      <c r="K246" s="13" t="str">
        <f>IF(OR('实盘净值数据(iFinD）'!$A246="",'实盘净值数据(iFinD）'!$B246="",'实盘净值数据(iFinD）'!$Z246="",'实盘净值数据(iFinD）'!$AA246=""),"",分期持仓明细!$AB$23*(SUMPRODUCT(分期持仓明细!$B$23:$Y$23,'实盘净值数据(iFinD）'!$B246:$Y246/'实盘净值数据(iFinD）'!$B$65:$Y$65)+SUMPRODUCT(分期持仓明细!$AC$23:$AD$23,'实盘净值数据(iFinD）'!$Z246:$AA246/'实盘净值数据(iFinD）'!$Z$65:$AA$65))*(1-实盘持仓初始配置!$Z$7)^(('实盘净值数据(iFinD）'!$A246-'实盘净值数据(iFinD）'!$A$8)/365))</f>
        <v/>
      </c>
      <c r="L246" s="16" t="str">
        <f t="shared" si="21"/>
        <v/>
      </c>
      <c r="M246" s="16" t="str">
        <f>IF(K246="","",K246/MAX(K$5:K246)-1)</f>
        <v/>
      </c>
      <c r="N246" s="13" t="str">
        <f>IF(OR('实盘净值数据(iFinD）'!$A246="",'实盘净值数据(iFinD）'!$B246="",'实盘净值数据(iFinD）'!$Z246="",'实盘净值数据(iFinD）'!$AA246=""),"",分期持仓明细!$AB$24*(SUMPRODUCT(分期持仓明细!$B$24:$Y$24,'实盘净值数据(iFinD）'!$B246:$Y246/'实盘净值数据(iFinD）'!$B$65:$Y$65)+SUMPRODUCT(分期持仓明细!$AC$24:$AD$24,'实盘净值数据(iFinD）'!$Z246:$AA246/'实盘净值数据(iFinD）'!$Z$65:$AA$65))*(1-实盘持仓初始配置!$Z$8)^(('实盘净值数据(iFinD）'!$A246-'实盘净值数据(iFinD）'!$A$5)/365))</f>
        <v/>
      </c>
      <c r="O246" s="16" t="str">
        <f t="shared" si="22"/>
        <v/>
      </c>
      <c r="P246" s="16" t="str">
        <f>IF(N246="","",N246/MAX(N$5:N246)-1)</f>
        <v/>
      </c>
      <c r="Q246" s="13" t="str">
        <f>IF(OR('实盘净值数据(iFinD）'!$A246="",'实盘净值数据(iFinD）'!$B246="",'实盘净值数据(iFinD）'!$Z246="",'实盘净值数据(iFinD）'!$AA246=""),"",分期持仓明细!$AB$25*(SUMPRODUCT(分期持仓明细!$B$25:$Y$25,'实盘净值数据(iFinD）'!$B246:$Y246/'实盘净值数据(iFinD）'!$B$65:$Y$65)+SUMPRODUCT(分期持仓明细!$AC$25:$AD$25,'实盘净值数据(iFinD）'!$Z246:$AA246/'实盘净值数据(iFinD）'!$Z$65:$AA$65))*(1-实盘持仓初始配置!$Z$9)^(('实盘净值数据(iFinD）'!$A246-'实盘净值数据(iFinD）'!$A$8)/365))</f>
        <v/>
      </c>
      <c r="R246" s="16" t="str">
        <f t="shared" si="23"/>
        <v/>
      </c>
      <c r="S246" s="16" t="str">
        <f>IF(Q246="","",Q246/MAX(Q$5:Q246)-1)</f>
        <v/>
      </c>
    </row>
    <row r="247" spans="1:19">
      <c r="A247" s="15" t="str">
        <f>IF('实盘净值数据(iFinD）'!A247="","",'实盘净值数据(iFinD）'!A247)</f>
        <v/>
      </c>
      <c r="B247" s="13" t="str">
        <f>IF(OR('实盘净值数据(iFinD）'!$A247="",'实盘净值数据(iFinD）'!$B247=""),"",分期持仓明细!$AB$17*SUMPRODUCT(分期持仓明细!$B$17:$Y$17,'实盘净值数据(iFinD）'!$B247:$Y247/'实盘净值数据(iFinD）'!$B$20:$Y$20)*(1-实盘持仓初始配置!$Z$4)^(('实盘净值数据(iFinD）'!$A247-'实盘净值数据(iFinD）'!$A$6)/365))</f>
        <v/>
      </c>
      <c r="C247" s="16" t="str">
        <f t="shared" si="18"/>
        <v/>
      </c>
      <c r="D247" s="16" t="str">
        <f>IF(B247="","",B247/MAX(B$5:B247)-1)</f>
        <v/>
      </c>
      <c r="E247" s="13" t="str">
        <f>IF(OR('实盘净值数据(iFinD）'!$A247="",'实盘净值数据(iFinD）'!$B247=""),"",分期持仓明细!$AB$18*SUMPRODUCT(分期持仓明细!$B$18:$Y$18,'实盘净值数据(iFinD）'!$B247:$Y247/'实盘净值数据(iFinD）'!$B$20:$Y$20)*(1-实盘持仓初始配置!$Z$5)^(('实盘净值数据(iFinD）'!$A247-'实盘净值数据(iFinD）'!$A$5)/365))</f>
        <v/>
      </c>
      <c r="F247" s="16" t="str">
        <f t="shared" si="19"/>
        <v/>
      </c>
      <c r="G247" s="16" t="str">
        <f>IF(E247="","",E247/MAX(E$5:E247)-1)</f>
        <v/>
      </c>
      <c r="H247" s="13" t="str">
        <f>IF(OR('实盘净值数据(iFinD）'!$A247="",'实盘净值数据(iFinD）'!$B247=""),"",分期持仓明细!$AB$19*SUMPRODUCT(分期持仓明细!$B$19:$Y$19,'实盘净值数据(iFinD）'!$B247:$Y247/'实盘净值数据(iFinD）'!$B$20:$Y$20)*(1-实盘持仓初始配置!$Z$6)^(('实盘净值数据(iFinD）'!$A247-'实盘净值数据(iFinD）'!$A$7)/365))</f>
        <v/>
      </c>
      <c r="I247" s="16" t="str">
        <f t="shared" si="20"/>
        <v/>
      </c>
      <c r="J247" s="16" t="str">
        <f>IF(H247="","",H247/MAX(H$5:H247)-1)</f>
        <v/>
      </c>
      <c r="K247" s="13" t="str">
        <f>IF(OR('实盘净值数据(iFinD）'!$A247="",'实盘净值数据(iFinD）'!$B247="",'实盘净值数据(iFinD）'!$Z247="",'实盘净值数据(iFinD）'!$AA247=""),"",分期持仓明细!$AB$23*(SUMPRODUCT(分期持仓明细!$B$23:$Y$23,'实盘净值数据(iFinD）'!$B247:$Y247/'实盘净值数据(iFinD）'!$B$65:$Y$65)+SUMPRODUCT(分期持仓明细!$AC$23:$AD$23,'实盘净值数据(iFinD）'!$Z247:$AA247/'实盘净值数据(iFinD）'!$Z$65:$AA$65))*(1-实盘持仓初始配置!$Z$7)^(('实盘净值数据(iFinD）'!$A247-'实盘净值数据(iFinD）'!$A$8)/365))</f>
        <v/>
      </c>
      <c r="L247" s="16" t="str">
        <f t="shared" si="21"/>
        <v/>
      </c>
      <c r="M247" s="16" t="str">
        <f>IF(K247="","",K247/MAX(K$5:K247)-1)</f>
        <v/>
      </c>
      <c r="N247" s="13" t="str">
        <f>IF(OR('实盘净值数据(iFinD）'!$A247="",'实盘净值数据(iFinD）'!$B247="",'实盘净值数据(iFinD）'!$Z247="",'实盘净值数据(iFinD）'!$AA247=""),"",分期持仓明细!$AB$24*(SUMPRODUCT(分期持仓明细!$B$24:$Y$24,'实盘净值数据(iFinD）'!$B247:$Y247/'实盘净值数据(iFinD）'!$B$65:$Y$65)+SUMPRODUCT(分期持仓明细!$AC$24:$AD$24,'实盘净值数据(iFinD）'!$Z247:$AA247/'实盘净值数据(iFinD）'!$Z$65:$AA$65))*(1-实盘持仓初始配置!$Z$8)^(('实盘净值数据(iFinD）'!$A247-'实盘净值数据(iFinD）'!$A$5)/365))</f>
        <v/>
      </c>
      <c r="O247" s="16" t="str">
        <f t="shared" si="22"/>
        <v/>
      </c>
      <c r="P247" s="16" t="str">
        <f>IF(N247="","",N247/MAX(N$5:N247)-1)</f>
        <v/>
      </c>
      <c r="Q247" s="13" t="str">
        <f>IF(OR('实盘净值数据(iFinD）'!$A247="",'实盘净值数据(iFinD）'!$B247="",'实盘净值数据(iFinD）'!$Z247="",'实盘净值数据(iFinD）'!$AA247=""),"",分期持仓明细!$AB$25*(SUMPRODUCT(分期持仓明细!$B$25:$Y$25,'实盘净值数据(iFinD）'!$B247:$Y247/'实盘净值数据(iFinD）'!$B$65:$Y$65)+SUMPRODUCT(分期持仓明细!$AC$25:$AD$25,'实盘净值数据(iFinD）'!$Z247:$AA247/'实盘净值数据(iFinD）'!$Z$65:$AA$65))*(1-实盘持仓初始配置!$Z$9)^(('实盘净值数据(iFinD）'!$A247-'实盘净值数据(iFinD）'!$A$8)/365))</f>
        <v/>
      </c>
      <c r="R247" s="16" t="str">
        <f t="shared" si="23"/>
        <v/>
      </c>
      <c r="S247" s="16" t="str">
        <f>IF(Q247="","",Q247/MAX(Q$5:Q247)-1)</f>
        <v/>
      </c>
    </row>
    <row r="248" spans="1:19">
      <c r="A248" s="15" t="str">
        <f>IF('实盘净值数据(iFinD）'!A248="","",'实盘净值数据(iFinD）'!A248)</f>
        <v/>
      </c>
      <c r="B248" s="13" t="str">
        <f>IF(OR('实盘净值数据(iFinD）'!$A248="",'实盘净值数据(iFinD）'!$B248=""),"",分期持仓明细!$AB$17*SUMPRODUCT(分期持仓明细!$B$17:$Y$17,'实盘净值数据(iFinD）'!$B248:$Y248/'实盘净值数据(iFinD）'!$B$20:$Y$20)*(1-实盘持仓初始配置!$Z$4)^(('实盘净值数据(iFinD）'!$A248-'实盘净值数据(iFinD）'!$A$6)/365))</f>
        <v/>
      </c>
      <c r="C248" s="16" t="str">
        <f t="shared" si="18"/>
        <v/>
      </c>
      <c r="D248" s="16" t="str">
        <f>IF(B248="","",B248/MAX(B$5:B248)-1)</f>
        <v/>
      </c>
      <c r="E248" s="13" t="str">
        <f>IF(OR('实盘净值数据(iFinD）'!$A248="",'实盘净值数据(iFinD）'!$B248=""),"",分期持仓明细!$AB$18*SUMPRODUCT(分期持仓明细!$B$18:$Y$18,'实盘净值数据(iFinD）'!$B248:$Y248/'实盘净值数据(iFinD）'!$B$20:$Y$20)*(1-实盘持仓初始配置!$Z$5)^(('实盘净值数据(iFinD）'!$A248-'实盘净值数据(iFinD）'!$A$5)/365))</f>
        <v/>
      </c>
      <c r="F248" s="16" t="str">
        <f t="shared" si="19"/>
        <v/>
      </c>
      <c r="G248" s="16" t="str">
        <f>IF(E248="","",E248/MAX(E$5:E248)-1)</f>
        <v/>
      </c>
      <c r="H248" s="13" t="str">
        <f>IF(OR('实盘净值数据(iFinD）'!$A248="",'实盘净值数据(iFinD）'!$B248=""),"",分期持仓明细!$AB$19*SUMPRODUCT(分期持仓明细!$B$19:$Y$19,'实盘净值数据(iFinD）'!$B248:$Y248/'实盘净值数据(iFinD）'!$B$20:$Y$20)*(1-实盘持仓初始配置!$Z$6)^(('实盘净值数据(iFinD）'!$A248-'实盘净值数据(iFinD）'!$A$7)/365))</f>
        <v/>
      </c>
      <c r="I248" s="16" t="str">
        <f t="shared" si="20"/>
        <v/>
      </c>
      <c r="J248" s="16" t="str">
        <f>IF(H248="","",H248/MAX(H$5:H248)-1)</f>
        <v/>
      </c>
      <c r="K248" s="13" t="str">
        <f>IF(OR('实盘净值数据(iFinD）'!$A248="",'实盘净值数据(iFinD）'!$B248="",'实盘净值数据(iFinD）'!$Z248="",'实盘净值数据(iFinD）'!$AA248=""),"",分期持仓明细!$AB$23*(SUMPRODUCT(分期持仓明细!$B$23:$Y$23,'实盘净值数据(iFinD）'!$B248:$Y248/'实盘净值数据(iFinD）'!$B$65:$Y$65)+SUMPRODUCT(分期持仓明细!$AC$23:$AD$23,'实盘净值数据(iFinD）'!$Z248:$AA248/'实盘净值数据(iFinD）'!$Z$65:$AA$65))*(1-实盘持仓初始配置!$Z$7)^(('实盘净值数据(iFinD）'!$A248-'实盘净值数据(iFinD）'!$A$8)/365))</f>
        <v/>
      </c>
      <c r="L248" s="16" t="str">
        <f t="shared" si="21"/>
        <v/>
      </c>
      <c r="M248" s="16" t="str">
        <f>IF(K248="","",K248/MAX(K$5:K248)-1)</f>
        <v/>
      </c>
      <c r="N248" s="13" t="str">
        <f>IF(OR('实盘净值数据(iFinD）'!$A248="",'实盘净值数据(iFinD）'!$B248="",'实盘净值数据(iFinD）'!$Z248="",'实盘净值数据(iFinD）'!$AA248=""),"",分期持仓明细!$AB$24*(SUMPRODUCT(分期持仓明细!$B$24:$Y$24,'实盘净值数据(iFinD）'!$B248:$Y248/'实盘净值数据(iFinD）'!$B$65:$Y$65)+SUMPRODUCT(分期持仓明细!$AC$24:$AD$24,'实盘净值数据(iFinD）'!$Z248:$AA248/'实盘净值数据(iFinD）'!$Z$65:$AA$65))*(1-实盘持仓初始配置!$Z$8)^(('实盘净值数据(iFinD）'!$A248-'实盘净值数据(iFinD）'!$A$5)/365))</f>
        <v/>
      </c>
      <c r="O248" s="16" t="str">
        <f t="shared" si="22"/>
        <v/>
      </c>
      <c r="P248" s="16" t="str">
        <f>IF(N248="","",N248/MAX(N$5:N248)-1)</f>
        <v/>
      </c>
      <c r="Q248" s="13" t="str">
        <f>IF(OR('实盘净值数据(iFinD）'!$A248="",'实盘净值数据(iFinD）'!$B248="",'实盘净值数据(iFinD）'!$Z248="",'实盘净值数据(iFinD）'!$AA248=""),"",分期持仓明细!$AB$25*(SUMPRODUCT(分期持仓明细!$B$25:$Y$25,'实盘净值数据(iFinD）'!$B248:$Y248/'实盘净值数据(iFinD）'!$B$65:$Y$65)+SUMPRODUCT(分期持仓明细!$AC$25:$AD$25,'实盘净值数据(iFinD）'!$Z248:$AA248/'实盘净值数据(iFinD）'!$Z$65:$AA$65))*(1-实盘持仓初始配置!$Z$9)^(('实盘净值数据(iFinD）'!$A248-'实盘净值数据(iFinD）'!$A$8)/365))</f>
        <v/>
      </c>
      <c r="R248" s="16" t="str">
        <f t="shared" si="23"/>
        <v/>
      </c>
      <c r="S248" s="16" t="str">
        <f>IF(Q248="","",Q248/MAX(Q$5:Q248)-1)</f>
        <v/>
      </c>
    </row>
    <row r="249" spans="1:19">
      <c r="A249" s="15" t="str">
        <f>IF('实盘净值数据(iFinD）'!A249="","",'实盘净值数据(iFinD）'!A249)</f>
        <v/>
      </c>
      <c r="B249" s="13" t="str">
        <f>IF(OR('实盘净值数据(iFinD）'!$A249="",'实盘净值数据(iFinD）'!$B249=""),"",分期持仓明细!$AB$17*SUMPRODUCT(分期持仓明细!$B$17:$Y$17,'实盘净值数据(iFinD）'!$B249:$Y249/'实盘净值数据(iFinD）'!$B$20:$Y$20)*(1-实盘持仓初始配置!$Z$4)^(('实盘净值数据(iFinD）'!$A249-'实盘净值数据(iFinD）'!$A$6)/365))</f>
        <v/>
      </c>
      <c r="C249" s="16" t="str">
        <f t="shared" si="18"/>
        <v/>
      </c>
      <c r="D249" s="16" t="str">
        <f>IF(B249="","",B249/MAX(B$5:B249)-1)</f>
        <v/>
      </c>
      <c r="E249" s="13" t="str">
        <f>IF(OR('实盘净值数据(iFinD）'!$A249="",'实盘净值数据(iFinD）'!$B249=""),"",分期持仓明细!$AB$18*SUMPRODUCT(分期持仓明细!$B$18:$Y$18,'实盘净值数据(iFinD）'!$B249:$Y249/'实盘净值数据(iFinD）'!$B$20:$Y$20)*(1-实盘持仓初始配置!$Z$5)^(('实盘净值数据(iFinD）'!$A249-'实盘净值数据(iFinD）'!$A$5)/365))</f>
        <v/>
      </c>
      <c r="F249" s="16" t="str">
        <f t="shared" si="19"/>
        <v/>
      </c>
      <c r="G249" s="16" t="str">
        <f>IF(E249="","",E249/MAX(E$5:E249)-1)</f>
        <v/>
      </c>
      <c r="H249" s="13" t="str">
        <f>IF(OR('实盘净值数据(iFinD）'!$A249="",'实盘净值数据(iFinD）'!$B249=""),"",分期持仓明细!$AB$19*SUMPRODUCT(分期持仓明细!$B$19:$Y$19,'实盘净值数据(iFinD）'!$B249:$Y249/'实盘净值数据(iFinD）'!$B$20:$Y$20)*(1-实盘持仓初始配置!$Z$6)^(('实盘净值数据(iFinD）'!$A249-'实盘净值数据(iFinD）'!$A$7)/365))</f>
        <v/>
      </c>
      <c r="I249" s="16" t="str">
        <f t="shared" si="20"/>
        <v/>
      </c>
      <c r="J249" s="16" t="str">
        <f>IF(H249="","",H249/MAX(H$5:H249)-1)</f>
        <v/>
      </c>
      <c r="K249" s="13" t="str">
        <f>IF(OR('实盘净值数据(iFinD）'!$A249="",'实盘净值数据(iFinD）'!$B249="",'实盘净值数据(iFinD）'!$Z249="",'实盘净值数据(iFinD）'!$AA249=""),"",分期持仓明细!$AB$23*(SUMPRODUCT(分期持仓明细!$B$23:$Y$23,'实盘净值数据(iFinD）'!$B249:$Y249/'实盘净值数据(iFinD）'!$B$65:$Y$65)+SUMPRODUCT(分期持仓明细!$AC$23:$AD$23,'实盘净值数据(iFinD）'!$Z249:$AA249/'实盘净值数据(iFinD）'!$Z$65:$AA$65))*(1-实盘持仓初始配置!$Z$7)^(('实盘净值数据(iFinD）'!$A249-'实盘净值数据(iFinD）'!$A$8)/365))</f>
        <v/>
      </c>
      <c r="L249" s="16" t="str">
        <f t="shared" si="21"/>
        <v/>
      </c>
      <c r="M249" s="16" t="str">
        <f>IF(K249="","",K249/MAX(K$5:K249)-1)</f>
        <v/>
      </c>
      <c r="N249" s="13" t="str">
        <f>IF(OR('实盘净值数据(iFinD）'!$A249="",'实盘净值数据(iFinD）'!$B249="",'实盘净值数据(iFinD）'!$Z249="",'实盘净值数据(iFinD）'!$AA249=""),"",分期持仓明细!$AB$24*(SUMPRODUCT(分期持仓明细!$B$24:$Y$24,'实盘净值数据(iFinD）'!$B249:$Y249/'实盘净值数据(iFinD）'!$B$65:$Y$65)+SUMPRODUCT(分期持仓明细!$AC$24:$AD$24,'实盘净值数据(iFinD）'!$Z249:$AA249/'实盘净值数据(iFinD）'!$Z$65:$AA$65))*(1-实盘持仓初始配置!$Z$8)^(('实盘净值数据(iFinD）'!$A249-'实盘净值数据(iFinD）'!$A$5)/365))</f>
        <v/>
      </c>
      <c r="O249" s="16" t="str">
        <f t="shared" si="22"/>
        <v/>
      </c>
      <c r="P249" s="16" t="str">
        <f>IF(N249="","",N249/MAX(N$5:N249)-1)</f>
        <v/>
      </c>
      <c r="Q249" s="13" t="str">
        <f>IF(OR('实盘净值数据(iFinD）'!$A249="",'实盘净值数据(iFinD）'!$B249="",'实盘净值数据(iFinD）'!$Z249="",'实盘净值数据(iFinD）'!$AA249=""),"",分期持仓明细!$AB$25*(SUMPRODUCT(分期持仓明细!$B$25:$Y$25,'实盘净值数据(iFinD）'!$B249:$Y249/'实盘净值数据(iFinD）'!$B$65:$Y$65)+SUMPRODUCT(分期持仓明细!$AC$25:$AD$25,'实盘净值数据(iFinD）'!$Z249:$AA249/'实盘净值数据(iFinD）'!$Z$65:$AA$65))*(1-实盘持仓初始配置!$Z$9)^(('实盘净值数据(iFinD）'!$A249-'实盘净值数据(iFinD）'!$A$8)/365))</f>
        <v/>
      </c>
      <c r="R249" s="16" t="str">
        <f t="shared" si="23"/>
        <v/>
      </c>
      <c r="S249" s="16" t="str">
        <f>IF(Q249="","",Q249/MAX(Q$5:Q249)-1)</f>
        <v/>
      </c>
    </row>
    <row r="250" spans="1:19">
      <c r="A250" s="15" t="str">
        <f>IF('实盘净值数据(iFinD）'!A250="","",'实盘净值数据(iFinD）'!A250)</f>
        <v/>
      </c>
      <c r="B250" s="13" t="str">
        <f>IF(OR('实盘净值数据(iFinD）'!$A250="",'实盘净值数据(iFinD）'!$B250=""),"",分期持仓明细!$AB$17*SUMPRODUCT(分期持仓明细!$B$17:$Y$17,'实盘净值数据(iFinD）'!$B250:$Y250/'实盘净值数据(iFinD）'!$B$20:$Y$20)*(1-实盘持仓初始配置!$Z$4)^(('实盘净值数据(iFinD）'!$A250-'实盘净值数据(iFinD）'!$A$6)/365))</f>
        <v/>
      </c>
      <c r="C250" s="16" t="str">
        <f t="shared" si="18"/>
        <v/>
      </c>
      <c r="D250" s="16" t="str">
        <f>IF(B250="","",B250/MAX(B$5:B250)-1)</f>
        <v/>
      </c>
      <c r="E250" s="13" t="str">
        <f>IF(OR('实盘净值数据(iFinD）'!$A250="",'实盘净值数据(iFinD）'!$B250=""),"",分期持仓明细!$AB$18*SUMPRODUCT(分期持仓明细!$B$18:$Y$18,'实盘净值数据(iFinD）'!$B250:$Y250/'实盘净值数据(iFinD）'!$B$20:$Y$20)*(1-实盘持仓初始配置!$Z$5)^(('实盘净值数据(iFinD）'!$A250-'实盘净值数据(iFinD）'!$A$5)/365))</f>
        <v/>
      </c>
      <c r="F250" s="16" t="str">
        <f t="shared" si="19"/>
        <v/>
      </c>
      <c r="G250" s="16" t="str">
        <f>IF(E250="","",E250/MAX(E$5:E250)-1)</f>
        <v/>
      </c>
      <c r="H250" s="13" t="str">
        <f>IF(OR('实盘净值数据(iFinD）'!$A250="",'实盘净值数据(iFinD）'!$B250=""),"",分期持仓明细!$AB$19*SUMPRODUCT(分期持仓明细!$B$19:$Y$19,'实盘净值数据(iFinD）'!$B250:$Y250/'实盘净值数据(iFinD）'!$B$20:$Y$20)*(1-实盘持仓初始配置!$Z$6)^(('实盘净值数据(iFinD）'!$A250-'实盘净值数据(iFinD）'!$A$7)/365))</f>
        <v/>
      </c>
      <c r="I250" s="16" t="str">
        <f t="shared" si="20"/>
        <v/>
      </c>
      <c r="J250" s="16" t="str">
        <f>IF(H250="","",H250/MAX(H$5:H250)-1)</f>
        <v/>
      </c>
      <c r="K250" s="13" t="str">
        <f>IF(OR('实盘净值数据(iFinD）'!$A250="",'实盘净值数据(iFinD）'!$B250="",'实盘净值数据(iFinD）'!$Z250="",'实盘净值数据(iFinD）'!$AA250=""),"",分期持仓明细!$AB$23*(SUMPRODUCT(分期持仓明细!$B$23:$Y$23,'实盘净值数据(iFinD）'!$B250:$Y250/'实盘净值数据(iFinD）'!$B$65:$Y$65)+SUMPRODUCT(分期持仓明细!$AC$23:$AD$23,'实盘净值数据(iFinD）'!$Z250:$AA250/'实盘净值数据(iFinD）'!$Z$65:$AA$65))*(1-实盘持仓初始配置!$Z$7)^(('实盘净值数据(iFinD）'!$A250-'实盘净值数据(iFinD）'!$A$8)/365))</f>
        <v/>
      </c>
      <c r="L250" s="16" t="str">
        <f t="shared" si="21"/>
        <v/>
      </c>
      <c r="M250" s="16" t="str">
        <f>IF(K250="","",K250/MAX(K$5:K250)-1)</f>
        <v/>
      </c>
      <c r="N250" s="13" t="str">
        <f>IF(OR('实盘净值数据(iFinD）'!$A250="",'实盘净值数据(iFinD）'!$B250="",'实盘净值数据(iFinD）'!$Z250="",'实盘净值数据(iFinD）'!$AA250=""),"",分期持仓明细!$AB$24*(SUMPRODUCT(分期持仓明细!$B$24:$Y$24,'实盘净值数据(iFinD）'!$B250:$Y250/'实盘净值数据(iFinD）'!$B$65:$Y$65)+SUMPRODUCT(分期持仓明细!$AC$24:$AD$24,'实盘净值数据(iFinD）'!$Z250:$AA250/'实盘净值数据(iFinD）'!$Z$65:$AA$65))*(1-实盘持仓初始配置!$Z$8)^(('实盘净值数据(iFinD）'!$A250-'实盘净值数据(iFinD）'!$A$5)/365))</f>
        <v/>
      </c>
      <c r="O250" s="16" t="str">
        <f t="shared" si="22"/>
        <v/>
      </c>
      <c r="P250" s="16" t="str">
        <f>IF(N250="","",N250/MAX(N$5:N250)-1)</f>
        <v/>
      </c>
      <c r="Q250" s="13" t="str">
        <f>IF(OR('实盘净值数据(iFinD）'!$A250="",'实盘净值数据(iFinD）'!$B250="",'实盘净值数据(iFinD）'!$Z250="",'实盘净值数据(iFinD）'!$AA250=""),"",分期持仓明细!$AB$25*(SUMPRODUCT(分期持仓明细!$B$25:$Y$25,'实盘净值数据(iFinD）'!$B250:$Y250/'实盘净值数据(iFinD）'!$B$65:$Y$65)+SUMPRODUCT(分期持仓明细!$AC$25:$AD$25,'实盘净值数据(iFinD）'!$Z250:$AA250/'实盘净值数据(iFinD）'!$Z$65:$AA$65))*(1-实盘持仓初始配置!$Z$9)^(('实盘净值数据(iFinD）'!$A250-'实盘净值数据(iFinD）'!$A$8)/365))</f>
        <v/>
      </c>
      <c r="R250" s="16" t="str">
        <f t="shared" si="23"/>
        <v/>
      </c>
      <c r="S250" s="16" t="str">
        <f>IF(Q250="","",Q250/MAX(Q$5:Q250)-1)</f>
        <v/>
      </c>
    </row>
    <row r="251" spans="1:19">
      <c r="A251" s="15" t="str">
        <f>IF('实盘净值数据(iFinD）'!A251="","",'实盘净值数据(iFinD）'!A251)</f>
        <v/>
      </c>
      <c r="B251" s="13" t="str">
        <f>IF(OR('实盘净值数据(iFinD）'!$A251="",'实盘净值数据(iFinD）'!$B251=""),"",分期持仓明细!$AB$17*SUMPRODUCT(分期持仓明细!$B$17:$Y$17,'实盘净值数据(iFinD）'!$B251:$Y251/'实盘净值数据(iFinD）'!$B$20:$Y$20)*(1-实盘持仓初始配置!$Z$4)^(('实盘净值数据(iFinD）'!$A251-'实盘净值数据(iFinD）'!$A$6)/365))</f>
        <v/>
      </c>
      <c r="C251" s="16" t="str">
        <f t="shared" si="18"/>
        <v/>
      </c>
      <c r="D251" s="16" t="str">
        <f>IF(B251="","",B251/MAX(B$5:B251)-1)</f>
        <v/>
      </c>
      <c r="E251" s="13" t="str">
        <f>IF(OR('实盘净值数据(iFinD）'!$A251="",'实盘净值数据(iFinD）'!$B251=""),"",分期持仓明细!$AB$18*SUMPRODUCT(分期持仓明细!$B$18:$Y$18,'实盘净值数据(iFinD）'!$B251:$Y251/'实盘净值数据(iFinD）'!$B$20:$Y$20)*(1-实盘持仓初始配置!$Z$5)^(('实盘净值数据(iFinD）'!$A251-'实盘净值数据(iFinD）'!$A$5)/365))</f>
        <v/>
      </c>
      <c r="F251" s="16" t="str">
        <f t="shared" si="19"/>
        <v/>
      </c>
      <c r="G251" s="16" t="str">
        <f>IF(E251="","",E251/MAX(E$5:E251)-1)</f>
        <v/>
      </c>
      <c r="H251" s="13" t="str">
        <f>IF(OR('实盘净值数据(iFinD）'!$A251="",'实盘净值数据(iFinD）'!$B251=""),"",分期持仓明细!$AB$19*SUMPRODUCT(分期持仓明细!$B$19:$Y$19,'实盘净值数据(iFinD）'!$B251:$Y251/'实盘净值数据(iFinD）'!$B$20:$Y$20)*(1-实盘持仓初始配置!$Z$6)^(('实盘净值数据(iFinD）'!$A251-'实盘净值数据(iFinD）'!$A$7)/365))</f>
        <v/>
      </c>
      <c r="I251" s="16" t="str">
        <f t="shared" si="20"/>
        <v/>
      </c>
      <c r="J251" s="16" t="str">
        <f>IF(H251="","",H251/MAX(H$5:H251)-1)</f>
        <v/>
      </c>
      <c r="K251" s="13" t="str">
        <f>IF(OR('实盘净值数据(iFinD）'!$A251="",'实盘净值数据(iFinD）'!$B251="",'实盘净值数据(iFinD）'!$Z251="",'实盘净值数据(iFinD）'!$AA251=""),"",分期持仓明细!$AB$23*(SUMPRODUCT(分期持仓明细!$B$23:$Y$23,'实盘净值数据(iFinD）'!$B251:$Y251/'实盘净值数据(iFinD）'!$B$65:$Y$65)+SUMPRODUCT(分期持仓明细!$AC$23:$AD$23,'实盘净值数据(iFinD）'!$Z251:$AA251/'实盘净值数据(iFinD）'!$Z$65:$AA$65))*(1-实盘持仓初始配置!$Z$7)^(('实盘净值数据(iFinD）'!$A251-'实盘净值数据(iFinD）'!$A$8)/365))</f>
        <v/>
      </c>
      <c r="L251" s="16" t="str">
        <f t="shared" si="21"/>
        <v/>
      </c>
      <c r="M251" s="16" t="str">
        <f>IF(K251="","",K251/MAX(K$5:K251)-1)</f>
        <v/>
      </c>
      <c r="N251" s="13" t="str">
        <f>IF(OR('实盘净值数据(iFinD）'!$A251="",'实盘净值数据(iFinD）'!$B251="",'实盘净值数据(iFinD）'!$Z251="",'实盘净值数据(iFinD）'!$AA251=""),"",分期持仓明细!$AB$24*(SUMPRODUCT(分期持仓明细!$B$24:$Y$24,'实盘净值数据(iFinD）'!$B251:$Y251/'实盘净值数据(iFinD）'!$B$65:$Y$65)+SUMPRODUCT(分期持仓明细!$AC$24:$AD$24,'实盘净值数据(iFinD）'!$Z251:$AA251/'实盘净值数据(iFinD）'!$Z$65:$AA$65))*(1-实盘持仓初始配置!$Z$8)^(('实盘净值数据(iFinD）'!$A251-'实盘净值数据(iFinD）'!$A$5)/365))</f>
        <v/>
      </c>
      <c r="O251" s="16" t="str">
        <f t="shared" si="22"/>
        <v/>
      </c>
      <c r="P251" s="16" t="str">
        <f>IF(N251="","",N251/MAX(N$5:N251)-1)</f>
        <v/>
      </c>
      <c r="Q251" s="13" t="str">
        <f>IF(OR('实盘净值数据(iFinD）'!$A251="",'实盘净值数据(iFinD）'!$B251="",'实盘净值数据(iFinD）'!$Z251="",'实盘净值数据(iFinD）'!$AA251=""),"",分期持仓明细!$AB$25*(SUMPRODUCT(分期持仓明细!$B$25:$Y$25,'实盘净值数据(iFinD）'!$B251:$Y251/'实盘净值数据(iFinD）'!$B$65:$Y$65)+SUMPRODUCT(分期持仓明细!$AC$25:$AD$25,'实盘净值数据(iFinD）'!$Z251:$AA251/'实盘净值数据(iFinD）'!$Z$65:$AA$65))*(1-实盘持仓初始配置!$Z$9)^(('实盘净值数据(iFinD）'!$A251-'实盘净值数据(iFinD）'!$A$8)/365))</f>
        <v/>
      </c>
      <c r="R251" s="16" t="str">
        <f t="shared" si="23"/>
        <v/>
      </c>
      <c r="S251" s="16" t="str">
        <f>IF(Q251="","",Q251/MAX(Q$5:Q251)-1)</f>
        <v/>
      </c>
    </row>
    <row r="252" spans="1:19">
      <c r="A252" s="15" t="str">
        <f>IF('实盘净值数据(iFinD）'!A252="","",'实盘净值数据(iFinD）'!A252)</f>
        <v/>
      </c>
      <c r="B252" s="13" t="str">
        <f>IF(OR('实盘净值数据(iFinD）'!$A252="",'实盘净值数据(iFinD）'!$B252=""),"",分期持仓明细!$AB$17*SUMPRODUCT(分期持仓明细!$B$17:$Y$17,'实盘净值数据(iFinD）'!$B252:$Y252/'实盘净值数据(iFinD）'!$B$20:$Y$20)*(1-实盘持仓初始配置!$Z$4)^(('实盘净值数据(iFinD）'!$A252-'实盘净值数据(iFinD）'!$A$6)/365))</f>
        <v/>
      </c>
      <c r="C252" s="16" t="str">
        <f t="shared" ref="C252:C315" si="24">IF(OR(B251="",B252=""),"",B252/B251-1)</f>
        <v/>
      </c>
      <c r="D252" s="16" t="str">
        <f>IF(B252="","",B252/MAX(B$5:B252)-1)</f>
        <v/>
      </c>
      <c r="E252" s="13" t="str">
        <f>IF(OR('实盘净值数据(iFinD）'!$A252="",'实盘净值数据(iFinD）'!$B252=""),"",分期持仓明细!$AB$18*SUMPRODUCT(分期持仓明细!$B$18:$Y$18,'实盘净值数据(iFinD）'!$B252:$Y252/'实盘净值数据(iFinD）'!$B$20:$Y$20)*(1-实盘持仓初始配置!$Z$5)^(('实盘净值数据(iFinD）'!$A252-'实盘净值数据(iFinD）'!$A$5)/365))</f>
        <v/>
      </c>
      <c r="F252" s="16" t="str">
        <f t="shared" ref="F252:F315" si="25">IF(OR(E251="",E252=""),"",E252/E251-1)</f>
        <v/>
      </c>
      <c r="G252" s="16" t="str">
        <f>IF(E252="","",E252/MAX(E$5:E252)-1)</f>
        <v/>
      </c>
      <c r="H252" s="13" t="str">
        <f>IF(OR('实盘净值数据(iFinD）'!$A252="",'实盘净值数据(iFinD）'!$B252=""),"",分期持仓明细!$AB$19*SUMPRODUCT(分期持仓明细!$B$19:$Y$19,'实盘净值数据(iFinD）'!$B252:$Y252/'实盘净值数据(iFinD）'!$B$20:$Y$20)*(1-实盘持仓初始配置!$Z$6)^(('实盘净值数据(iFinD）'!$A252-'实盘净值数据(iFinD）'!$A$7)/365))</f>
        <v/>
      </c>
      <c r="I252" s="16" t="str">
        <f t="shared" ref="I252:I315" si="26">IF(OR(H251="",H252=""),"",H252/H251-1)</f>
        <v/>
      </c>
      <c r="J252" s="16" t="str">
        <f>IF(H252="","",H252/MAX(H$5:H252)-1)</f>
        <v/>
      </c>
      <c r="K252" s="13" t="str">
        <f>IF(OR('实盘净值数据(iFinD）'!$A252="",'实盘净值数据(iFinD）'!$B252="",'实盘净值数据(iFinD）'!$Z252="",'实盘净值数据(iFinD）'!$AA252=""),"",分期持仓明细!$AB$23*(SUMPRODUCT(分期持仓明细!$B$23:$Y$23,'实盘净值数据(iFinD）'!$B252:$Y252/'实盘净值数据(iFinD）'!$B$65:$Y$65)+SUMPRODUCT(分期持仓明细!$AC$23:$AD$23,'实盘净值数据(iFinD）'!$Z252:$AA252/'实盘净值数据(iFinD）'!$Z$65:$AA$65))*(1-实盘持仓初始配置!$Z$7)^(('实盘净值数据(iFinD）'!$A252-'实盘净值数据(iFinD）'!$A$8)/365))</f>
        <v/>
      </c>
      <c r="L252" s="16" t="str">
        <f t="shared" ref="L252:L315" si="27">IF(OR(K251="",K252=""),"",K252/K251-1)</f>
        <v/>
      </c>
      <c r="M252" s="16" t="str">
        <f>IF(K252="","",K252/MAX(K$5:K252)-1)</f>
        <v/>
      </c>
      <c r="N252" s="13" t="str">
        <f>IF(OR('实盘净值数据(iFinD）'!$A252="",'实盘净值数据(iFinD）'!$B252="",'实盘净值数据(iFinD）'!$Z252="",'实盘净值数据(iFinD）'!$AA252=""),"",分期持仓明细!$AB$24*(SUMPRODUCT(分期持仓明细!$B$24:$Y$24,'实盘净值数据(iFinD）'!$B252:$Y252/'实盘净值数据(iFinD）'!$B$65:$Y$65)+SUMPRODUCT(分期持仓明细!$AC$24:$AD$24,'实盘净值数据(iFinD）'!$Z252:$AA252/'实盘净值数据(iFinD）'!$Z$65:$AA$65))*(1-实盘持仓初始配置!$Z$8)^(('实盘净值数据(iFinD）'!$A252-'实盘净值数据(iFinD）'!$A$5)/365))</f>
        <v/>
      </c>
      <c r="O252" s="16" t="str">
        <f t="shared" ref="O252:O315" si="28">IF(OR(N251="",N252=""),"",N252/N251-1)</f>
        <v/>
      </c>
      <c r="P252" s="16" t="str">
        <f>IF(N252="","",N252/MAX(N$5:N252)-1)</f>
        <v/>
      </c>
      <c r="Q252" s="13" t="str">
        <f>IF(OR('实盘净值数据(iFinD）'!$A252="",'实盘净值数据(iFinD）'!$B252="",'实盘净值数据(iFinD）'!$Z252="",'实盘净值数据(iFinD）'!$AA252=""),"",分期持仓明细!$AB$25*(SUMPRODUCT(分期持仓明细!$B$25:$Y$25,'实盘净值数据(iFinD）'!$B252:$Y252/'实盘净值数据(iFinD）'!$B$65:$Y$65)+SUMPRODUCT(分期持仓明细!$AC$25:$AD$25,'实盘净值数据(iFinD）'!$Z252:$AA252/'实盘净值数据(iFinD）'!$Z$65:$AA$65))*(1-实盘持仓初始配置!$Z$9)^(('实盘净值数据(iFinD）'!$A252-'实盘净值数据(iFinD）'!$A$8)/365))</f>
        <v/>
      </c>
      <c r="R252" s="16" t="str">
        <f t="shared" ref="R252:R315" si="29">IF(OR(Q251="",Q252=""),"",Q252/Q251-1)</f>
        <v/>
      </c>
      <c r="S252" s="16" t="str">
        <f>IF(Q252="","",Q252/MAX(Q$5:Q252)-1)</f>
        <v/>
      </c>
    </row>
    <row r="253" spans="1:19">
      <c r="A253" s="15" t="str">
        <f>IF('实盘净值数据(iFinD）'!A253="","",'实盘净值数据(iFinD）'!A253)</f>
        <v/>
      </c>
      <c r="B253" s="13" t="str">
        <f>IF(OR('实盘净值数据(iFinD）'!$A253="",'实盘净值数据(iFinD）'!$B253=""),"",分期持仓明细!$AB$17*SUMPRODUCT(分期持仓明细!$B$17:$Y$17,'实盘净值数据(iFinD）'!$B253:$Y253/'实盘净值数据(iFinD）'!$B$20:$Y$20)*(1-实盘持仓初始配置!$Z$4)^(('实盘净值数据(iFinD）'!$A253-'实盘净值数据(iFinD）'!$A$6)/365))</f>
        <v/>
      </c>
      <c r="C253" s="16" t="str">
        <f t="shared" si="24"/>
        <v/>
      </c>
      <c r="D253" s="16" t="str">
        <f>IF(B253="","",B253/MAX(B$5:B253)-1)</f>
        <v/>
      </c>
      <c r="E253" s="13" t="str">
        <f>IF(OR('实盘净值数据(iFinD）'!$A253="",'实盘净值数据(iFinD）'!$B253=""),"",分期持仓明细!$AB$18*SUMPRODUCT(分期持仓明细!$B$18:$Y$18,'实盘净值数据(iFinD）'!$B253:$Y253/'实盘净值数据(iFinD）'!$B$20:$Y$20)*(1-实盘持仓初始配置!$Z$5)^(('实盘净值数据(iFinD）'!$A253-'实盘净值数据(iFinD）'!$A$5)/365))</f>
        <v/>
      </c>
      <c r="F253" s="16" t="str">
        <f t="shared" si="25"/>
        <v/>
      </c>
      <c r="G253" s="16" t="str">
        <f>IF(E253="","",E253/MAX(E$5:E253)-1)</f>
        <v/>
      </c>
      <c r="H253" s="13" t="str">
        <f>IF(OR('实盘净值数据(iFinD）'!$A253="",'实盘净值数据(iFinD）'!$B253=""),"",分期持仓明细!$AB$19*SUMPRODUCT(分期持仓明细!$B$19:$Y$19,'实盘净值数据(iFinD）'!$B253:$Y253/'实盘净值数据(iFinD）'!$B$20:$Y$20)*(1-实盘持仓初始配置!$Z$6)^(('实盘净值数据(iFinD）'!$A253-'实盘净值数据(iFinD）'!$A$7)/365))</f>
        <v/>
      </c>
      <c r="I253" s="16" t="str">
        <f t="shared" si="26"/>
        <v/>
      </c>
      <c r="J253" s="16" t="str">
        <f>IF(H253="","",H253/MAX(H$5:H253)-1)</f>
        <v/>
      </c>
      <c r="K253" s="13" t="str">
        <f>IF(OR('实盘净值数据(iFinD）'!$A253="",'实盘净值数据(iFinD）'!$B253="",'实盘净值数据(iFinD）'!$Z253="",'实盘净值数据(iFinD）'!$AA253=""),"",分期持仓明细!$AB$23*(SUMPRODUCT(分期持仓明细!$B$23:$Y$23,'实盘净值数据(iFinD）'!$B253:$Y253/'实盘净值数据(iFinD）'!$B$65:$Y$65)+SUMPRODUCT(分期持仓明细!$AC$23:$AD$23,'实盘净值数据(iFinD）'!$Z253:$AA253/'实盘净值数据(iFinD）'!$Z$65:$AA$65))*(1-实盘持仓初始配置!$Z$7)^(('实盘净值数据(iFinD）'!$A253-'实盘净值数据(iFinD）'!$A$8)/365))</f>
        <v/>
      </c>
      <c r="L253" s="16" t="str">
        <f t="shared" si="27"/>
        <v/>
      </c>
      <c r="M253" s="16" t="str">
        <f>IF(K253="","",K253/MAX(K$5:K253)-1)</f>
        <v/>
      </c>
      <c r="N253" s="13" t="str">
        <f>IF(OR('实盘净值数据(iFinD）'!$A253="",'实盘净值数据(iFinD）'!$B253="",'实盘净值数据(iFinD）'!$Z253="",'实盘净值数据(iFinD）'!$AA253=""),"",分期持仓明细!$AB$24*(SUMPRODUCT(分期持仓明细!$B$24:$Y$24,'实盘净值数据(iFinD）'!$B253:$Y253/'实盘净值数据(iFinD）'!$B$65:$Y$65)+SUMPRODUCT(分期持仓明细!$AC$24:$AD$24,'实盘净值数据(iFinD）'!$Z253:$AA253/'实盘净值数据(iFinD）'!$Z$65:$AA$65))*(1-实盘持仓初始配置!$Z$8)^(('实盘净值数据(iFinD）'!$A253-'实盘净值数据(iFinD）'!$A$5)/365))</f>
        <v/>
      </c>
      <c r="O253" s="16" t="str">
        <f t="shared" si="28"/>
        <v/>
      </c>
      <c r="P253" s="16" t="str">
        <f>IF(N253="","",N253/MAX(N$5:N253)-1)</f>
        <v/>
      </c>
      <c r="Q253" s="13" t="str">
        <f>IF(OR('实盘净值数据(iFinD）'!$A253="",'实盘净值数据(iFinD）'!$B253="",'实盘净值数据(iFinD）'!$Z253="",'实盘净值数据(iFinD）'!$AA253=""),"",分期持仓明细!$AB$25*(SUMPRODUCT(分期持仓明细!$B$25:$Y$25,'实盘净值数据(iFinD）'!$B253:$Y253/'实盘净值数据(iFinD）'!$B$65:$Y$65)+SUMPRODUCT(分期持仓明细!$AC$25:$AD$25,'实盘净值数据(iFinD）'!$Z253:$AA253/'实盘净值数据(iFinD）'!$Z$65:$AA$65))*(1-实盘持仓初始配置!$Z$9)^(('实盘净值数据(iFinD）'!$A253-'实盘净值数据(iFinD）'!$A$8)/365))</f>
        <v/>
      </c>
      <c r="R253" s="16" t="str">
        <f t="shared" si="29"/>
        <v/>
      </c>
      <c r="S253" s="16" t="str">
        <f>IF(Q253="","",Q253/MAX(Q$5:Q253)-1)</f>
        <v/>
      </c>
    </row>
    <row r="254" spans="1:19">
      <c r="A254" s="15" t="str">
        <f>IF('实盘净值数据(iFinD）'!A254="","",'实盘净值数据(iFinD）'!A254)</f>
        <v/>
      </c>
      <c r="B254" s="13" t="str">
        <f>IF(OR('实盘净值数据(iFinD）'!$A254="",'实盘净值数据(iFinD）'!$B254=""),"",分期持仓明细!$AB$17*SUMPRODUCT(分期持仓明细!$B$17:$Y$17,'实盘净值数据(iFinD）'!$B254:$Y254/'实盘净值数据(iFinD）'!$B$20:$Y$20)*(1-实盘持仓初始配置!$Z$4)^(('实盘净值数据(iFinD）'!$A254-'实盘净值数据(iFinD）'!$A$6)/365))</f>
        <v/>
      </c>
      <c r="C254" s="16" t="str">
        <f t="shared" si="24"/>
        <v/>
      </c>
      <c r="D254" s="16" t="str">
        <f>IF(B254="","",B254/MAX(B$5:B254)-1)</f>
        <v/>
      </c>
      <c r="E254" s="13" t="str">
        <f>IF(OR('实盘净值数据(iFinD）'!$A254="",'实盘净值数据(iFinD）'!$B254=""),"",分期持仓明细!$AB$18*SUMPRODUCT(分期持仓明细!$B$18:$Y$18,'实盘净值数据(iFinD）'!$B254:$Y254/'实盘净值数据(iFinD）'!$B$20:$Y$20)*(1-实盘持仓初始配置!$Z$5)^(('实盘净值数据(iFinD）'!$A254-'实盘净值数据(iFinD）'!$A$5)/365))</f>
        <v/>
      </c>
      <c r="F254" s="16" t="str">
        <f t="shared" si="25"/>
        <v/>
      </c>
      <c r="G254" s="16" t="str">
        <f>IF(E254="","",E254/MAX(E$5:E254)-1)</f>
        <v/>
      </c>
      <c r="H254" s="13" t="str">
        <f>IF(OR('实盘净值数据(iFinD）'!$A254="",'实盘净值数据(iFinD）'!$B254=""),"",分期持仓明细!$AB$19*SUMPRODUCT(分期持仓明细!$B$19:$Y$19,'实盘净值数据(iFinD）'!$B254:$Y254/'实盘净值数据(iFinD）'!$B$20:$Y$20)*(1-实盘持仓初始配置!$Z$6)^(('实盘净值数据(iFinD）'!$A254-'实盘净值数据(iFinD）'!$A$7)/365))</f>
        <v/>
      </c>
      <c r="I254" s="16" t="str">
        <f t="shared" si="26"/>
        <v/>
      </c>
      <c r="J254" s="16" t="str">
        <f>IF(H254="","",H254/MAX(H$5:H254)-1)</f>
        <v/>
      </c>
      <c r="K254" s="13" t="str">
        <f>IF(OR('实盘净值数据(iFinD）'!$A254="",'实盘净值数据(iFinD）'!$B254="",'实盘净值数据(iFinD）'!$Z254="",'实盘净值数据(iFinD）'!$AA254=""),"",分期持仓明细!$AB$23*(SUMPRODUCT(分期持仓明细!$B$23:$Y$23,'实盘净值数据(iFinD）'!$B254:$Y254/'实盘净值数据(iFinD）'!$B$65:$Y$65)+SUMPRODUCT(分期持仓明细!$AC$23:$AD$23,'实盘净值数据(iFinD）'!$Z254:$AA254/'实盘净值数据(iFinD）'!$Z$65:$AA$65))*(1-实盘持仓初始配置!$Z$7)^(('实盘净值数据(iFinD）'!$A254-'实盘净值数据(iFinD）'!$A$8)/365))</f>
        <v/>
      </c>
      <c r="L254" s="16" t="str">
        <f t="shared" si="27"/>
        <v/>
      </c>
      <c r="M254" s="16" t="str">
        <f>IF(K254="","",K254/MAX(K$5:K254)-1)</f>
        <v/>
      </c>
      <c r="N254" s="13" t="str">
        <f>IF(OR('实盘净值数据(iFinD）'!$A254="",'实盘净值数据(iFinD）'!$B254="",'实盘净值数据(iFinD）'!$Z254="",'实盘净值数据(iFinD）'!$AA254=""),"",分期持仓明细!$AB$24*(SUMPRODUCT(分期持仓明细!$B$24:$Y$24,'实盘净值数据(iFinD）'!$B254:$Y254/'实盘净值数据(iFinD）'!$B$65:$Y$65)+SUMPRODUCT(分期持仓明细!$AC$24:$AD$24,'实盘净值数据(iFinD）'!$Z254:$AA254/'实盘净值数据(iFinD）'!$Z$65:$AA$65))*(1-实盘持仓初始配置!$Z$8)^(('实盘净值数据(iFinD）'!$A254-'实盘净值数据(iFinD）'!$A$5)/365))</f>
        <v/>
      </c>
      <c r="O254" s="16" t="str">
        <f t="shared" si="28"/>
        <v/>
      </c>
      <c r="P254" s="16" t="str">
        <f>IF(N254="","",N254/MAX(N$5:N254)-1)</f>
        <v/>
      </c>
      <c r="Q254" s="13" t="str">
        <f>IF(OR('实盘净值数据(iFinD）'!$A254="",'实盘净值数据(iFinD）'!$B254="",'实盘净值数据(iFinD）'!$Z254="",'实盘净值数据(iFinD）'!$AA254=""),"",分期持仓明细!$AB$25*(SUMPRODUCT(分期持仓明细!$B$25:$Y$25,'实盘净值数据(iFinD）'!$B254:$Y254/'实盘净值数据(iFinD）'!$B$65:$Y$65)+SUMPRODUCT(分期持仓明细!$AC$25:$AD$25,'实盘净值数据(iFinD）'!$Z254:$AA254/'实盘净值数据(iFinD）'!$Z$65:$AA$65))*(1-实盘持仓初始配置!$Z$9)^(('实盘净值数据(iFinD）'!$A254-'实盘净值数据(iFinD）'!$A$8)/365))</f>
        <v/>
      </c>
      <c r="R254" s="16" t="str">
        <f t="shared" si="29"/>
        <v/>
      </c>
      <c r="S254" s="16" t="str">
        <f>IF(Q254="","",Q254/MAX(Q$5:Q254)-1)</f>
        <v/>
      </c>
    </row>
    <row r="255" spans="1:19">
      <c r="A255" s="15" t="str">
        <f>IF('实盘净值数据(iFinD）'!A255="","",'实盘净值数据(iFinD）'!A255)</f>
        <v/>
      </c>
      <c r="B255" s="13" t="str">
        <f>IF(OR('实盘净值数据(iFinD）'!$A255="",'实盘净值数据(iFinD）'!$B255=""),"",分期持仓明细!$AB$17*SUMPRODUCT(分期持仓明细!$B$17:$Y$17,'实盘净值数据(iFinD）'!$B255:$Y255/'实盘净值数据(iFinD）'!$B$20:$Y$20)*(1-实盘持仓初始配置!$Z$4)^(('实盘净值数据(iFinD）'!$A255-'实盘净值数据(iFinD）'!$A$6)/365))</f>
        <v/>
      </c>
      <c r="C255" s="16" t="str">
        <f t="shared" si="24"/>
        <v/>
      </c>
      <c r="D255" s="16" t="str">
        <f>IF(B255="","",B255/MAX(B$5:B255)-1)</f>
        <v/>
      </c>
      <c r="E255" s="13" t="str">
        <f>IF(OR('实盘净值数据(iFinD）'!$A255="",'实盘净值数据(iFinD）'!$B255=""),"",分期持仓明细!$AB$18*SUMPRODUCT(分期持仓明细!$B$18:$Y$18,'实盘净值数据(iFinD）'!$B255:$Y255/'实盘净值数据(iFinD）'!$B$20:$Y$20)*(1-实盘持仓初始配置!$Z$5)^(('实盘净值数据(iFinD）'!$A255-'实盘净值数据(iFinD）'!$A$5)/365))</f>
        <v/>
      </c>
      <c r="F255" s="16" t="str">
        <f t="shared" si="25"/>
        <v/>
      </c>
      <c r="G255" s="16" t="str">
        <f>IF(E255="","",E255/MAX(E$5:E255)-1)</f>
        <v/>
      </c>
      <c r="H255" s="13" t="str">
        <f>IF(OR('实盘净值数据(iFinD）'!$A255="",'实盘净值数据(iFinD）'!$B255=""),"",分期持仓明细!$AB$19*SUMPRODUCT(分期持仓明细!$B$19:$Y$19,'实盘净值数据(iFinD）'!$B255:$Y255/'实盘净值数据(iFinD）'!$B$20:$Y$20)*(1-实盘持仓初始配置!$Z$6)^(('实盘净值数据(iFinD）'!$A255-'实盘净值数据(iFinD）'!$A$7)/365))</f>
        <v/>
      </c>
      <c r="I255" s="16" t="str">
        <f t="shared" si="26"/>
        <v/>
      </c>
      <c r="J255" s="16" t="str">
        <f>IF(H255="","",H255/MAX(H$5:H255)-1)</f>
        <v/>
      </c>
      <c r="K255" s="13" t="str">
        <f>IF(OR('实盘净值数据(iFinD）'!$A255="",'实盘净值数据(iFinD）'!$B255="",'实盘净值数据(iFinD）'!$Z255="",'实盘净值数据(iFinD）'!$AA255=""),"",分期持仓明细!$AB$23*(SUMPRODUCT(分期持仓明细!$B$23:$Y$23,'实盘净值数据(iFinD）'!$B255:$Y255/'实盘净值数据(iFinD）'!$B$65:$Y$65)+SUMPRODUCT(分期持仓明细!$AC$23:$AD$23,'实盘净值数据(iFinD）'!$Z255:$AA255/'实盘净值数据(iFinD）'!$Z$65:$AA$65))*(1-实盘持仓初始配置!$Z$7)^(('实盘净值数据(iFinD）'!$A255-'实盘净值数据(iFinD）'!$A$8)/365))</f>
        <v/>
      </c>
      <c r="L255" s="16" t="str">
        <f t="shared" si="27"/>
        <v/>
      </c>
      <c r="M255" s="16" t="str">
        <f>IF(K255="","",K255/MAX(K$5:K255)-1)</f>
        <v/>
      </c>
      <c r="N255" s="13" t="str">
        <f>IF(OR('实盘净值数据(iFinD）'!$A255="",'实盘净值数据(iFinD）'!$B255="",'实盘净值数据(iFinD）'!$Z255="",'实盘净值数据(iFinD）'!$AA255=""),"",分期持仓明细!$AB$24*(SUMPRODUCT(分期持仓明细!$B$24:$Y$24,'实盘净值数据(iFinD）'!$B255:$Y255/'实盘净值数据(iFinD）'!$B$65:$Y$65)+SUMPRODUCT(分期持仓明细!$AC$24:$AD$24,'实盘净值数据(iFinD）'!$Z255:$AA255/'实盘净值数据(iFinD）'!$Z$65:$AA$65))*(1-实盘持仓初始配置!$Z$8)^(('实盘净值数据(iFinD）'!$A255-'实盘净值数据(iFinD）'!$A$5)/365))</f>
        <v/>
      </c>
      <c r="O255" s="16" t="str">
        <f t="shared" si="28"/>
        <v/>
      </c>
      <c r="P255" s="16" t="str">
        <f>IF(N255="","",N255/MAX(N$5:N255)-1)</f>
        <v/>
      </c>
      <c r="Q255" s="13" t="str">
        <f>IF(OR('实盘净值数据(iFinD）'!$A255="",'实盘净值数据(iFinD）'!$B255="",'实盘净值数据(iFinD）'!$Z255="",'实盘净值数据(iFinD）'!$AA255=""),"",分期持仓明细!$AB$25*(SUMPRODUCT(分期持仓明细!$B$25:$Y$25,'实盘净值数据(iFinD）'!$B255:$Y255/'实盘净值数据(iFinD）'!$B$65:$Y$65)+SUMPRODUCT(分期持仓明细!$AC$25:$AD$25,'实盘净值数据(iFinD）'!$Z255:$AA255/'实盘净值数据(iFinD）'!$Z$65:$AA$65))*(1-实盘持仓初始配置!$Z$9)^(('实盘净值数据(iFinD）'!$A255-'实盘净值数据(iFinD）'!$A$8)/365))</f>
        <v/>
      </c>
      <c r="R255" s="16" t="str">
        <f t="shared" si="29"/>
        <v/>
      </c>
      <c r="S255" s="16" t="str">
        <f>IF(Q255="","",Q255/MAX(Q$5:Q255)-1)</f>
        <v/>
      </c>
    </row>
    <row r="256" spans="1:19">
      <c r="A256" s="15" t="str">
        <f>IF('实盘净值数据(iFinD）'!A256="","",'实盘净值数据(iFinD）'!A256)</f>
        <v/>
      </c>
      <c r="B256" s="13" t="str">
        <f>IF(OR('实盘净值数据(iFinD）'!$A256="",'实盘净值数据(iFinD）'!$B256=""),"",分期持仓明细!$AB$17*SUMPRODUCT(分期持仓明细!$B$17:$Y$17,'实盘净值数据(iFinD）'!$B256:$Y256/'实盘净值数据(iFinD）'!$B$20:$Y$20)*(1-实盘持仓初始配置!$Z$4)^(('实盘净值数据(iFinD）'!$A256-'实盘净值数据(iFinD）'!$A$6)/365))</f>
        <v/>
      </c>
      <c r="C256" s="16" t="str">
        <f t="shared" si="24"/>
        <v/>
      </c>
      <c r="D256" s="16" t="str">
        <f>IF(B256="","",B256/MAX(B$5:B256)-1)</f>
        <v/>
      </c>
      <c r="E256" s="13" t="str">
        <f>IF(OR('实盘净值数据(iFinD）'!$A256="",'实盘净值数据(iFinD）'!$B256=""),"",分期持仓明细!$AB$18*SUMPRODUCT(分期持仓明细!$B$18:$Y$18,'实盘净值数据(iFinD）'!$B256:$Y256/'实盘净值数据(iFinD）'!$B$20:$Y$20)*(1-实盘持仓初始配置!$Z$5)^(('实盘净值数据(iFinD）'!$A256-'实盘净值数据(iFinD）'!$A$5)/365))</f>
        <v/>
      </c>
      <c r="F256" s="16" t="str">
        <f t="shared" si="25"/>
        <v/>
      </c>
      <c r="G256" s="16" t="str">
        <f>IF(E256="","",E256/MAX(E$5:E256)-1)</f>
        <v/>
      </c>
      <c r="H256" s="13" t="str">
        <f>IF(OR('实盘净值数据(iFinD）'!$A256="",'实盘净值数据(iFinD）'!$B256=""),"",分期持仓明细!$AB$19*SUMPRODUCT(分期持仓明细!$B$19:$Y$19,'实盘净值数据(iFinD）'!$B256:$Y256/'实盘净值数据(iFinD）'!$B$20:$Y$20)*(1-实盘持仓初始配置!$Z$6)^(('实盘净值数据(iFinD）'!$A256-'实盘净值数据(iFinD）'!$A$7)/365))</f>
        <v/>
      </c>
      <c r="I256" s="16" t="str">
        <f t="shared" si="26"/>
        <v/>
      </c>
      <c r="J256" s="16" t="str">
        <f>IF(H256="","",H256/MAX(H$5:H256)-1)</f>
        <v/>
      </c>
      <c r="K256" s="13" t="str">
        <f>IF(OR('实盘净值数据(iFinD）'!$A256="",'实盘净值数据(iFinD）'!$B256="",'实盘净值数据(iFinD）'!$Z256="",'实盘净值数据(iFinD）'!$AA256=""),"",分期持仓明细!$AB$23*(SUMPRODUCT(分期持仓明细!$B$23:$Y$23,'实盘净值数据(iFinD）'!$B256:$Y256/'实盘净值数据(iFinD）'!$B$65:$Y$65)+SUMPRODUCT(分期持仓明细!$AC$23:$AD$23,'实盘净值数据(iFinD）'!$Z256:$AA256/'实盘净值数据(iFinD）'!$Z$65:$AA$65))*(1-实盘持仓初始配置!$Z$7)^(('实盘净值数据(iFinD）'!$A256-'实盘净值数据(iFinD）'!$A$8)/365))</f>
        <v/>
      </c>
      <c r="L256" s="16" t="str">
        <f t="shared" si="27"/>
        <v/>
      </c>
      <c r="M256" s="16" t="str">
        <f>IF(K256="","",K256/MAX(K$5:K256)-1)</f>
        <v/>
      </c>
      <c r="N256" s="13" t="str">
        <f>IF(OR('实盘净值数据(iFinD）'!$A256="",'实盘净值数据(iFinD）'!$B256="",'实盘净值数据(iFinD）'!$Z256="",'实盘净值数据(iFinD）'!$AA256=""),"",分期持仓明细!$AB$24*(SUMPRODUCT(分期持仓明细!$B$24:$Y$24,'实盘净值数据(iFinD）'!$B256:$Y256/'实盘净值数据(iFinD）'!$B$65:$Y$65)+SUMPRODUCT(分期持仓明细!$AC$24:$AD$24,'实盘净值数据(iFinD）'!$Z256:$AA256/'实盘净值数据(iFinD）'!$Z$65:$AA$65))*(1-实盘持仓初始配置!$Z$8)^(('实盘净值数据(iFinD）'!$A256-'实盘净值数据(iFinD）'!$A$5)/365))</f>
        <v/>
      </c>
      <c r="O256" s="16" t="str">
        <f t="shared" si="28"/>
        <v/>
      </c>
      <c r="P256" s="16" t="str">
        <f>IF(N256="","",N256/MAX(N$5:N256)-1)</f>
        <v/>
      </c>
      <c r="Q256" s="13" t="str">
        <f>IF(OR('实盘净值数据(iFinD）'!$A256="",'实盘净值数据(iFinD）'!$B256="",'实盘净值数据(iFinD）'!$Z256="",'实盘净值数据(iFinD）'!$AA256=""),"",分期持仓明细!$AB$25*(SUMPRODUCT(分期持仓明细!$B$25:$Y$25,'实盘净值数据(iFinD）'!$B256:$Y256/'实盘净值数据(iFinD）'!$B$65:$Y$65)+SUMPRODUCT(分期持仓明细!$AC$25:$AD$25,'实盘净值数据(iFinD）'!$Z256:$AA256/'实盘净值数据(iFinD）'!$Z$65:$AA$65))*(1-实盘持仓初始配置!$Z$9)^(('实盘净值数据(iFinD）'!$A256-'实盘净值数据(iFinD）'!$A$8)/365))</f>
        <v/>
      </c>
      <c r="R256" s="16" t="str">
        <f t="shared" si="29"/>
        <v/>
      </c>
      <c r="S256" s="16" t="str">
        <f>IF(Q256="","",Q256/MAX(Q$5:Q256)-1)</f>
        <v/>
      </c>
    </row>
    <row r="257" spans="1:19">
      <c r="A257" s="15" t="str">
        <f>IF('实盘净值数据(iFinD）'!A257="","",'实盘净值数据(iFinD）'!A257)</f>
        <v/>
      </c>
      <c r="B257" s="13" t="str">
        <f>IF(OR('实盘净值数据(iFinD）'!$A257="",'实盘净值数据(iFinD）'!$B257=""),"",分期持仓明细!$AB$17*SUMPRODUCT(分期持仓明细!$B$17:$Y$17,'实盘净值数据(iFinD）'!$B257:$Y257/'实盘净值数据(iFinD）'!$B$20:$Y$20)*(1-实盘持仓初始配置!$Z$4)^(('实盘净值数据(iFinD）'!$A257-'实盘净值数据(iFinD）'!$A$6)/365))</f>
        <v/>
      </c>
      <c r="C257" s="16" t="str">
        <f t="shared" si="24"/>
        <v/>
      </c>
      <c r="D257" s="16" t="str">
        <f>IF(B257="","",B257/MAX(B$5:B257)-1)</f>
        <v/>
      </c>
      <c r="E257" s="13" t="str">
        <f>IF(OR('实盘净值数据(iFinD）'!$A257="",'实盘净值数据(iFinD）'!$B257=""),"",分期持仓明细!$AB$18*SUMPRODUCT(分期持仓明细!$B$18:$Y$18,'实盘净值数据(iFinD）'!$B257:$Y257/'实盘净值数据(iFinD）'!$B$20:$Y$20)*(1-实盘持仓初始配置!$Z$5)^(('实盘净值数据(iFinD）'!$A257-'实盘净值数据(iFinD）'!$A$5)/365))</f>
        <v/>
      </c>
      <c r="F257" s="16" t="str">
        <f t="shared" si="25"/>
        <v/>
      </c>
      <c r="G257" s="16" t="str">
        <f>IF(E257="","",E257/MAX(E$5:E257)-1)</f>
        <v/>
      </c>
      <c r="H257" s="13" t="str">
        <f>IF(OR('实盘净值数据(iFinD）'!$A257="",'实盘净值数据(iFinD）'!$B257=""),"",分期持仓明细!$AB$19*SUMPRODUCT(分期持仓明细!$B$19:$Y$19,'实盘净值数据(iFinD）'!$B257:$Y257/'实盘净值数据(iFinD）'!$B$20:$Y$20)*(1-实盘持仓初始配置!$Z$6)^(('实盘净值数据(iFinD）'!$A257-'实盘净值数据(iFinD）'!$A$7)/365))</f>
        <v/>
      </c>
      <c r="I257" s="16" t="str">
        <f t="shared" si="26"/>
        <v/>
      </c>
      <c r="J257" s="16" t="str">
        <f>IF(H257="","",H257/MAX(H$5:H257)-1)</f>
        <v/>
      </c>
      <c r="K257" s="13" t="str">
        <f>IF(OR('实盘净值数据(iFinD）'!$A257="",'实盘净值数据(iFinD）'!$B257="",'实盘净值数据(iFinD）'!$Z257="",'实盘净值数据(iFinD）'!$AA257=""),"",分期持仓明细!$AB$23*(SUMPRODUCT(分期持仓明细!$B$23:$Y$23,'实盘净值数据(iFinD）'!$B257:$Y257/'实盘净值数据(iFinD）'!$B$65:$Y$65)+SUMPRODUCT(分期持仓明细!$AC$23:$AD$23,'实盘净值数据(iFinD）'!$Z257:$AA257/'实盘净值数据(iFinD）'!$Z$65:$AA$65))*(1-实盘持仓初始配置!$Z$7)^(('实盘净值数据(iFinD）'!$A257-'实盘净值数据(iFinD）'!$A$8)/365))</f>
        <v/>
      </c>
      <c r="L257" s="16" t="str">
        <f t="shared" si="27"/>
        <v/>
      </c>
      <c r="M257" s="16" t="str">
        <f>IF(K257="","",K257/MAX(K$5:K257)-1)</f>
        <v/>
      </c>
      <c r="N257" s="13" t="str">
        <f>IF(OR('实盘净值数据(iFinD）'!$A257="",'实盘净值数据(iFinD）'!$B257="",'实盘净值数据(iFinD）'!$Z257="",'实盘净值数据(iFinD）'!$AA257=""),"",分期持仓明细!$AB$24*(SUMPRODUCT(分期持仓明细!$B$24:$Y$24,'实盘净值数据(iFinD）'!$B257:$Y257/'实盘净值数据(iFinD）'!$B$65:$Y$65)+SUMPRODUCT(分期持仓明细!$AC$24:$AD$24,'实盘净值数据(iFinD）'!$Z257:$AA257/'实盘净值数据(iFinD）'!$Z$65:$AA$65))*(1-实盘持仓初始配置!$Z$8)^(('实盘净值数据(iFinD）'!$A257-'实盘净值数据(iFinD）'!$A$5)/365))</f>
        <v/>
      </c>
      <c r="O257" s="16" t="str">
        <f t="shared" si="28"/>
        <v/>
      </c>
      <c r="P257" s="16" t="str">
        <f>IF(N257="","",N257/MAX(N$5:N257)-1)</f>
        <v/>
      </c>
      <c r="Q257" s="13" t="str">
        <f>IF(OR('实盘净值数据(iFinD）'!$A257="",'实盘净值数据(iFinD）'!$B257="",'实盘净值数据(iFinD）'!$Z257="",'实盘净值数据(iFinD）'!$AA257=""),"",分期持仓明细!$AB$25*(SUMPRODUCT(分期持仓明细!$B$25:$Y$25,'实盘净值数据(iFinD）'!$B257:$Y257/'实盘净值数据(iFinD）'!$B$65:$Y$65)+SUMPRODUCT(分期持仓明细!$AC$25:$AD$25,'实盘净值数据(iFinD）'!$Z257:$AA257/'实盘净值数据(iFinD）'!$Z$65:$AA$65))*(1-实盘持仓初始配置!$Z$9)^(('实盘净值数据(iFinD）'!$A257-'实盘净值数据(iFinD）'!$A$8)/365))</f>
        <v/>
      </c>
      <c r="R257" s="16" t="str">
        <f t="shared" si="29"/>
        <v/>
      </c>
      <c r="S257" s="16" t="str">
        <f>IF(Q257="","",Q257/MAX(Q$5:Q257)-1)</f>
        <v/>
      </c>
    </row>
    <row r="258" spans="1:19">
      <c r="A258" s="15" t="str">
        <f>IF('实盘净值数据(iFinD）'!A258="","",'实盘净值数据(iFinD）'!A258)</f>
        <v/>
      </c>
      <c r="B258" s="13" t="str">
        <f>IF(OR('实盘净值数据(iFinD）'!$A258="",'实盘净值数据(iFinD）'!$B258=""),"",分期持仓明细!$AB$17*SUMPRODUCT(分期持仓明细!$B$17:$Y$17,'实盘净值数据(iFinD）'!$B258:$Y258/'实盘净值数据(iFinD）'!$B$20:$Y$20)*(1-实盘持仓初始配置!$Z$4)^(('实盘净值数据(iFinD）'!$A258-'实盘净值数据(iFinD）'!$A$6)/365))</f>
        <v/>
      </c>
      <c r="C258" s="16" t="str">
        <f t="shared" si="24"/>
        <v/>
      </c>
      <c r="D258" s="16" t="str">
        <f>IF(B258="","",B258/MAX(B$5:B258)-1)</f>
        <v/>
      </c>
      <c r="E258" s="13" t="str">
        <f>IF(OR('实盘净值数据(iFinD）'!$A258="",'实盘净值数据(iFinD）'!$B258=""),"",分期持仓明细!$AB$18*SUMPRODUCT(分期持仓明细!$B$18:$Y$18,'实盘净值数据(iFinD）'!$B258:$Y258/'实盘净值数据(iFinD）'!$B$20:$Y$20)*(1-实盘持仓初始配置!$Z$5)^(('实盘净值数据(iFinD）'!$A258-'实盘净值数据(iFinD）'!$A$5)/365))</f>
        <v/>
      </c>
      <c r="F258" s="16" t="str">
        <f t="shared" si="25"/>
        <v/>
      </c>
      <c r="G258" s="16" t="str">
        <f>IF(E258="","",E258/MAX(E$5:E258)-1)</f>
        <v/>
      </c>
      <c r="H258" s="13" t="str">
        <f>IF(OR('实盘净值数据(iFinD）'!$A258="",'实盘净值数据(iFinD）'!$B258=""),"",分期持仓明细!$AB$19*SUMPRODUCT(分期持仓明细!$B$19:$Y$19,'实盘净值数据(iFinD）'!$B258:$Y258/'实盘净值数据(iFinD）'!$B$20:$Y$20)*(1-实盘持仓初始配置!$Z$6)^(('实盘净值数据(iFinD）'!$A258-'实盘净值数据(iFinD）'!$A$7)/365))</f>
        <v/>
      </c>
      <c r="I258" s="16" t="str">
        <f t="shared" si="26"/>
        <v/>
      </c>
      <c r="J258" s="16" t="str">
        <f>IF(H258="","",H258/MAX(H$5:H258)-1)</f>
        <v/>
      </c>
      <c r="K258" s="13" t="str">
        <f>IF(OR('实盘净值数据(iFinD）'!$A258="",'实盘净值数据(iFinD）'!$B258="",'实盘净值数据(iFinD）'!$Z258="",'实盘净值数据(iFinD）'!$AA258=""),"",分期持仓明细!$AB$23*(SUMPRODUCT(分期持仓明细!$B$23:$Y$23,'实盘净值数据(iFinD）'!$B258:$Y258/'实盘净值数据(iFinD）'!$B$65:$Y$65)+SUMPRODUCT(分期持仓明细!$AC$23:$AD$23,'实盘净值数据(iFinD）'!$Z258:$AA258/'实盘净值数据(iFinD）'!$Z$65:$AA$65))*(1-实盘持仓初始配置!$Z$7)^(('实盘净值数据(iFinD）'!$A258-'实盘净值数据(iFinD）'!$A$8)/365))</f>
        <v/>
      </c>
      <c r="L258" s="16" t="str">
        <f t="shared" si="27"/>
        <v/>
      </c>
      <c r="M258" s="16" t="str">
        <f>IF(K258="","",K258/MAX(K$5:K258)-1)</f>
        <v/>
      </c>
      <c r="N258" s="13" t="str">
        <f>IF(OR('实盘净值数据(iFinD）'!$A258="",'实盘净值数据(iFinD）'!$B258="",'实盘净值数据(iFinD）'!$Z258="",'实盘净值数据(iFinD）'!$AA258=""),"",分期持仓明细!$AB$24*(SUMPRODUCT(分期持仓明细!$B$24:$Y$24,'实盘净值数据(iFinD）'!$B258:$Y258/'实盘净值数据(iFinD）'!$B$65:$Y$65)+SUMPRODUCT(分期持仓明细!$AC$24:$AD$24,'实盘净值数据(iFinD）'!$Z258:$AA258/'实盘净值数据(iFinD）'!$Z$65:$AA$65))*(1-实盘持仓初始配置!$Z$8)^(('实盘净值数据(iFinD）'!$A258-'实盘净值数据(iFinD）'!$A$5)/365))</f>
        <v/>
      </c>
      <c r="O258" s="16" t="str">
        <f t="shared" si="28"/>
        <v/>
      </c>
      <c r="P258" s="16" t="str">
        <f>IF(N258="","",N258/MAX(N$5:N258)-1)</f>
        <v/>
      </c>
      <c r="Q258" s="13" t="str">
        <f>IF(OR('实盘净值数据(iFinD）'!$A258="",'实盘净值数据(iFinD）'!$B258="",'实盘净值数据(iFinD）'!$Z258="",'实盘净值数据(iFinD）'!$AA258=""),"",分期持仓明细!$AB$25*(SUMPRODUCT(分期持仓明细!$B$25:$Y$25,'实盘净值数据(iFinD）'!$B258:$Y258/'实盘净值数据(iFinD）'!$B$65:$Y$65)+SUMPRODUCT(分期持仓明细!$AC$25:$AD$25,'实盘净值数据(iFinD）'!$Z258:$AA258/'实盘净值数据(iFinD）'!$Z$65:$AA$65))*(1-实盘持仓初始配置!$Z$9)^(('实盘净值数据(iFinD）'!$A258-'实盘净值数据(iFinD）'!$A$8)/365))</f>
        <v/>
      </c>
      <c r="R258" s="16" t="str">
        <f t="shared" si="29"/>
        <v/>
      </c>
      <c r="S258" s="16" t="str">
        <f>IF(Q258="","",Q258/MAX(Q$5:Q258)-1)</f>
        <v/>
      </c>
    </row>
    <row r="259" spans="1:19">
      <c r="A259" s="15" t="str">
        <f>IF('实盘净值数据(iFinD）'!A259="","",'实盘净值数据(iFinD）'!A259)</f>
        <v/>
      </c>
      <c r="B259" s="13" t="str">
        <f>IF(OR('实盘净值数据(iFinD）'!$A259="",'实盘净值数据(iFinD）'!$B259=""),"",分期持仓明细!$AB$17*SUMPRODUCT(分期持仓明细!$B$17:$Y$17,'实盘净值数据(iFinD）'!$B259:$Y259/'实盘净值数据(iFinD）'!$B$20:$Y$20)*(1-实盘持仓初始配置!$Z$4)^(('实盘净值数据(iFinD）'!$A259-'实盘净值数据(iFinD）'!$A$6)/365))</f>
        <v/>
      </c>
      <c r="C259" s="16" t="str">
        <f t="shared" si="24"/>
        <v/>
      </c>
      <c r="D259" s="16" t="str">
        <f>IF(B259="","",B259/MAX(B$5:B259)-1)</f>
        <v/>
      </c>
      <c r="E259" s="13" t="str">
        <f>IF(OR('实盘净值数据(iFinD）'!$A259="",'实盘净值数据(iFinD）'!$B259=""),"",分期持仓明细!$AB$18*SUMPRODUCT(分期持仓明细!$B$18:$Y$18,'实盘净值数据(iFinD）'!$B259:$Y259/'实盘净值数据(iFinD）'!$B$20:$Y$20)*(1-实盘持仓初始配置!$Z$5)^(('实盘净值数据(iFinD）'!$A259-'实盘净值数据(iFinD）'!$A$5)/365))</f>
        <v/>
      </c>
      <c r="F259" s="16" t="str">
        <f t="shared" si="25"/>
        <v/>
      </c>
      <c r="G259" s="16" t="str">
        <f>IF(E259="","",E259/MAX(E$5:E259)-1)</f>
        <v/>
      </c>
      <c r="H259" s="13" t="str">
        <f>IF(OR('实盘净值数据(iFinD）'!$A259="",'实盘净值数据(iFinD）'!$B259=""),"",分期持仓明细!$AB$19*SUMPRODUCT(分期持仓明细!$B$19:$Y$19,'实盘净值数据(iFinD）'!$B259:$Y259/'实盘净值数据(iFinD）'!$B$20:$Y$20)*(1-实盘持仓初始配置!$Z$6)^(('实盘净值数据(iFinD）'!$A259-'实盘净值数据(iFinD）'!$A$7)/365))</f>
        <v/>
      </c>
      <c r="I259" s="16" t="str">
        <f t="shared" si="26"/>
        <v/>
      </c>
      <c r="J259" s="16" t="str">
        <f>IF(H259="","",H259/MAX(H$5:H259)-1)</f>
        <v/>
      </c>
      <c r="K259" s="13" t="str">
        <f>IF(OR('实盘净值数据(iFinD）'!$A259="",'实盘净值数据(iFinD）'!$B259="",'实盘净值数据(iFinD）'!$Z259="",'实盘净值数据(iFinD）'!$AA259=""),"",分期持仓明细!$AB$23*(SUMPRODUCT(分期持仓明细!$B$23:$Y$23,'实盘净值数据(iFinD）'!$B259:$Y259/'实盘净值数据(iFinD）'!$B$65:$Y$65)+SUMPRODUCT(分期持仓明细!$AC$23:$AD$23,'实盘净值数据(iFinD）'!$Z259:$AA259/'实盘净值数据(iFinD）'!$Z$65:$AA$65))*(1-实盘持仓初始配置!$Z$7)^(('实盘净值数据(iFinD）'!$A259-'实盘净值数据(iFinD）'!$A$8)/365))</f>
        <v/>
      </c>
      <c r="L259" s="16" t="str">
        <f t="shared" si="27"/>
        <v/>
      </c>
      <c r="M259" s="16" t="str">
        <f>IF(K259="","",K259/MAX(K$5:K259)-1)</f>
        <v/>
      </c>
      <c r="N259" s="13" t="str">
        <f>IF(OR('实盘净值数据(iFinD）'!$A259="",'实盘净值数据(iFinD）'!$B259="",'实盘净值数据(iFinD）'!$Z259="",'实盘净值数据(iFinD）'!$AA259=""),"",分期持仓明细!$AB$24*(SUMPRODUCT(分期持仓明细!$B$24:$Y$24,'实盘净值数据(iFinD）'!$B259:$Y259/'实盘净值数据(iFinD）'!$B$65:$Y$65)+SUMPRODUCT(分期持仓明细!$AC$24:$AD$24,'实盘净值数据(iFinD）'!$Z259:$AA259/'实盘净值数据(iFinD）'!$Z$65:$AA$65))*(1-实盘持仓初始配置!$Z$8)^(('实盘净值数据(iFinD）'!$A259-'实盘净值数据(iFinD）'!$A$5)/365))</f>
        <v/>
      </c>
      <c r="O259" s="16" t="str">
        <f t="shared" si="28"/>
        <v/>
      </c>
      <c r="P259" s="16" t="str">
        <f>IF(N259="","",N259/MAX(N$5:N259)-1)</f>
        <v/>
      </c>
      <c r="Q259" s="13" t="str">
        <f>IF(OR('实盘净值数据(iFinD）'!$A259="",'实盘净值数据(iFinD）'!$B259="",'实盘净值数据(iFinD）'!$Z259="",'实盘净值数据(iFinD）'!$AA259=""),"",分期持仓明细!$AB$25*(SUMPRODUCT(分期持仓明细!$B$25:$Y$25,'实盘净值数据(iFinD）'!$B259:$Y259/'实盘净值数据(iFinD）'!$B$65:$Y$65)+SUMPRODUCT(分期持仓明细!$AC$25:$AD$25,'实盘净值数据(iFinD）'!$Z259:$AA259/'实盘净值数据(iFinD）'!$Z$65:$AA$65))*(1-实盘持仓初始配置!$Z$9)^(('实盘净值数据(iFinD）'!$A259-'实盘净值数据(iFinD）'!$A$8)/365))</f>
        <v/>
      </c>
      <c r="R259" s="16" t="str">
        <f t="shared" si="29"/>
        <v/>
      </c>
      <c r="S259" s="16" t="str">
        <f>IF(Q259="","",Q259/MAX(Q$5:Q259)-1)</f>
        <v/>
      </c>
    </row>
    <row r="260" spans="1:19">
      <c r="A260" s="15" t="str">
        <f>IF('实盘净值数据(iFinD）'!A260="","",'实盘净值数据(iFinD）'!A260)</f>
        <v/>
      </c>
      <c r="B260" s="13" t="str">
        <f>IF(OR('实盘净值数据(iFinD）'!$A260="",'实盘净值数据(iFinD）'!$B260=""),"",分期持仓明细!$AB$17*SUMPRODUCT(分期持仓明细!$B$17:$Y$17,'实盘净值数据(iFinD）'!$B260:$Y260/'实盘净值数据(iFinD）'!$B$20:$Y$20)*(1-实盘持仓初始配置!$Z$4)^(('实盘净值数据(iFinD）'!$A260-'实盘净值数据(iFinD）'!$A$6)/365))</f>
        <v/>
      </c>
      <c r="C260" s="16" t="str">
        <f t="shared" si="24"/>
        <v/>
      </c>
      <c r="D260" s="16" t="str">
        <f>IF(B260="","",B260/MAX(B$5:B260)-1)</f>
        <v/>
      </c>
      <c r="E260" s="13" t="str">
        <f>IF(OR('实盘净值数据(iFinD）'!$A260="",'实盘净值数据(iFinD）'!$B260=""),"",分期持仓明细!$AB$18*SUMPRODUCT(分期持仓明细!$B$18:$Y$18,'实盘净值数据(iFinD）'!$B260:$Y260/'实盘净值数据(iFinD）'!$B$20:$Y$20)*(1-实盘持仓初始配置!$Z$5)^(('实盘净值数据(iFinD）'!$A260-'实盘净值数据(iFinD）'!$A$5)/365))</f>
        <v/>
      </c>
      <c r="F260" s="16" t="str">
        <f t="shared" si="25"/>
        <v/>
      </c>
      <c r="G260" s="16" t="str">
        <f>IF(E260="","",E260/MAX(E$5:E260)-1)</f>
        <v/>
      </c>
      <c r="H260" s="13" t="str">
        <f>IF(OR('实盘净值数据(iFinD）'!$A260="",'实盘净值数据(iFinD）'!$B260=""),"",分期持仓明细!$AB$19*SUMPRODUCT(分期持仓明细!$B$19:$Y$19,'实盘净值数据(iFinD）'!$B260:$Y260/'实盘净值数据(iFinD）'!$B$20:$Y$20)*(1-实盘持仓初始配置!$Z$6)^(('实盘净值数据(iFinD）'!$A260-'实盘净值数据(iFinD）'!$A$7)/365))</f>
        <v/>
      </c>
      <c r="I260" s="16" t="str">
        <f t="shared" si="26"/>
        <v/>
      </c>
      <c r="J260" s="16" t="str">
        <f>IF(H260="","",H260/MAX(H$5:H260)-1)</f>
        <v/>
      </c>
      <c r="K260" s="13" t="str">
        <f>IF(OR('实盘净值数据(iFinD）'!$A260="",'实盘净值数据(iFinD）'!$B260="",'实盘净值数据(iFinD）'!$Z260="",'实盘净值数据(iFinD）'!$AA260=""),"",分期持仓明细!$AB$23*(SUMPRODUCT(分期持仓明细!$B$23:$Y$23,'实盘净值数据(iFinD）'!$B260:$Y260/'实盘净值数据(iFinD）'!$B$65:$Y$65)+SUMPRODUCT(分期持仓明细!$AC$23:$AD$23,'实盘净值数据(iFinD）'!$Z260:$AA260/'实盘净值数据(iFinD）'!$Z$65:$AA$65))*(1-实盘持仓初始配置!$Z$7)^(('实盘净值数据(iFinD）'!$A260-'实盘净值数据(iFinD）'!$A$8)/365))</f>
        <v/>
      </c>
      <c r="L260" s="16" t="str">
        <f t="shared" si="27"/>
        <v/>
      </c>
      <c r="M260" s="16" t="str">
        <f>IF(K260="","",K260/MAX(K$5:K260)-1)</f>
        <v/>
      </c>
      <c r="N260" s="13" t="str">
        <f>IF(OR('实盘净值数据(iFinD）'!$A260="",'实盘净值数据(iFinD）'!$B260="",'实盘净值数据(iFinD）'!$Z260="",'实盘净值数据(iFinD）'!$AA260=""),"",分期持仓明细!$AB$24*(SUMPRODUCT(分期持仓明细!$B$24:$Y$24,'实盘净值数据(iFinD）'!$B260:$Y260/'实盘净值数据(iFinD）'!$B$65:$Y$65)+SUMPRODUCT(分期持仓明细!$AC$24:$AD$24,'实盘净值数据(iFinD）'!$Z260:$AA260/'实盘净值数据(iFinD）'!$Z$65:$AA$65))*(1-实盘持仓初始配置!$Z$8)^(('实盘净值数据(iFinD）'!$A260-'实盘净值数据(iFinD）'!$A$5)/365))</f>
        <v/>
      </c>
      <c r="O260" s="16" t="str">
        <f t="shared" si="28"/>
        <v/>
      </c>
      <c r="P260" s="16" t="str">
        <f>IF(N260="","",N260/MAX(N$5:N260)-1)</f>
        <v/>
      </c>
      <c r="Q260" s="13" t="str">
        <f>IF(OR('实盘净值数据(iFinD）'!$A260="",'实盘净值数据(iFinD）'!$B260="",'实盘净值数据(iFinD）'!$Z260="",'实盘净值数据(iFinD）'!$AA260=""),"",分期持仓明细!$AB$25*(SUMPRODUCT(分期持仓明细!$B$25:$Y$25,'实盘净值数据(iFinD）'!$B260:$Y260/'实盘净值数据(iFinD）'!$B$65:$Y$65)+SUMPRODUCT(分期持仓明细!$AC$25:$AD$25,'实盘净值数据(iFinD）'!$Z260:$AA260/'实盘净值数据(iFinD）'!$Z$65:$AA$65))*(1-实盘持仓初始配置!$Z$9)^(('实盘净值数据(iFinD）'!$A260-'实盘净值数据(iFinD）'!$A$8)/365))</f>
        <v/>
      </c>
      <c r="R260" s="16" t="str">
        <f t="shared" si="29"/>
        <v/>
      </c>
      <c r="S260" s="16" t="str">
        <f>IF(Q260="","",Q260/MAX(Q$5:Q260)-1)</f>
        <v/>
      </c>
    </row>
    <row r="261" spans="1:19">
      <c r="A261" s="15" t="str">
        <f>IF('实盘净值数据(iFinD）'!A261="","",'实盘净值数据(iFinD）'!A261)</f>
        <v/>
      </c>
      <c r="B261" s="13" t="str">
        <f>IF(OR('实盘净值数据(iFinD）'!$A261="",'实盘净值数据(iFinD）'!$B261=""),"",分期持仓明细!$AB$17*SUMPRODUCT(分期持仓明细!$B$17:$Y$17,'实盘净值数据(iFinD）'!$B261:$Y261/'实盘净值数据(iFinD）'!$B$20:$Y$20)*(1-实盘持仓初始配置!$Z$4)^(('实盘净值数据(iFinD）'!$A261-'实盘净值数据(iFinD）'!$A$6)/365))</f>
        <v/>
      </c>
      <c r="C261" s="16" t="str">
        <f t="shared" si="24"/>
        <v/>
      </c>
      <c r="D261" s="16" t="str">
        <f>IF(B261="","",B261/MAX(B$5:B261)-1)</f>
        <v/>
      </c>
      <c r="E261" s="13" t="str">
        <f>IF(OR('实盘净值数据(iFinD）'!$A261="",'实盘净值数据(iFinD）'!$B261=""),"",分期持仓明细!$AB$18*SUMPRODUCT(分期持仓明细!$B$18:$Y$18,'实盘净值数据(iFinD）'!$B261:$Y261/'实盘净值数据(iFinD）'!$B$20:$Y$20)*(1-实盘持仓初始配置!$Z$5)^(('实盘净值数据(iFinD）'!$A261-'实盘净值数据(iFinD）'!$A$5)/365))</f>
        <v/>
      </c>
      <c r="F261" s="16" t="str">
        <f t="shared" si="25"/>
        <v/>
      </c>
      <c r="G261" s="16" t="str">
        <f>IF(E261="","",E261/MAX(E$5:E261)-1)</f>
        <v/>
      </c>
      <c r="H261" s="13" t="str">
        <f>IF(OR('实盘净值数据(iFinD）'!$A261="",'实盘净值数据(iFinD）'!$B261=""),"",分期持仓明细!$AB$19*SUMPRODUCT(分期持仓明细!$B$19:$Y$19,'实盘净值数据(iFinD）'!$B261:$Y261/'实盘净值数据(iFinD）'!$B$20:$Y$20)*(1-实盘持仓初始配置!$Z$6)^(('实盘净值数据(iFinD）'!$A261-'实盘净值数据(iFinD）'!$A$7)/365))</f>
        <v/>
      </c>
      <c r="I261" s="16" t="str">
        <f t="shared" si="26"/>
        <v/>
      </c>
      <c r="J261" s="16" t="str">
        <f>IF(H261="","",H261/MAX(H$5:H261)-1)</f>
        <v/>
      </c>
      <c r="K261" s="13" t="str">
        <f>IF(OR('实盘净值数据(iFinD）'!$A261="",'实盘净值数据(iFinD）'!$B261="",'实盘净值数据(iFinD）'!$Z261="",'实盘净值数据(iFinD）'!$AA261=""),"",分期持仓明细!$AB$23*(SUMPRODUCT(分期持仓明细!$B$23:$Y$23,'实盘净值数据(iFinD）'!$B261:$Y261/'实盘净值数据(iFinD）'!$B$65:$Y$65)+SUMPRODUCT(分期持仓明细!$AC$23:$AD$23,'实盘净值数据(iFinD）'!$Z261:$AA261/'实盘净值数据(iFinD）'!$Z$65:$AA$65))*(1-实盘持仓初始配置!$Z$7)^(('实盘净值数据(iFinD）'!$A261-'实盘净值数据(iFinD）'!$A$8)/365))</f>
        <v/>
      </c>
      <c r="L261" s="16" t="str">
        <f t="shared" si="27"/>
        <v/>
      </c>
      <c r="M261" s="16" t="str">
        <f>IF(K261="","",K261/MAX(K$5:K261)-1)</f>
        <v/>
      </c>
      <c r="N261" s="13" t="str">
        <f>IF(OR('实盘净值数据(iFinD）'!$A261="",'实盘净值数据(iFinD）'!$B261="",'实盘净值数据(iFinD）'!$Z261="",'实盘净值数据(iFinD）'!$AA261=""),"",分期持仓明细!$AB$24*(SUMPRODUCT(分期持仓明细!$B$24:$Y$24,'实盘净值数据(iFinD）'!$B261:$Y261/'实盘净值数据(iFinD）'!$B$65:$Y$65)+SUMPRODUCT(分期持仓明细!$AC$24:$AD$24,'实盘净值数据(iFinD）'!$Z261:$AA261/'实盘净值数据(iFinD）'!$Z$65:$AA$65))*(1-实盘持仓初始配置!$Z$8)^(('实盘净值数据(iFinD）'!$A261-'实盘净值数据(iFinD）'!$A$5)/365))</f>
        <v/>
      </c>
      <c r="O261" s="16" t="str">
        <f t="shared" si="28"/>
        <v/>
      </c>
      <c r="P261" s="16" t="str">
        <f>IF(N261="","",N261/MAX(N$5:N261)-1)</f>
        <v/>
      </c>
      <c r="Q261" s="13" t="str">
        <f>IF(OR('实盘净值数据(iFinD）'!$A261="",'实盘净值数据(iFinD）'!$B261="",'实盘净值数据(iFinD）'!$Z261="",'实盘净值数据(iFinD）'!$AA261=""),"",分期持仓明细!$AB$25*(SUMPRODUCT(分期持仓明细!$B$25:$Y$25,'实盘净值数据(iFinD）'!$B261:$Y261/'实盘净值数据(iFinD）'!$B$65:$Y$65)+SUMPRODUCT(分期持仓明细!$AC$25:$AD$25,'实盘净值数据(iFinD）'!$Z261:$AA261/'实盘净值数据(iFinD）'!$Z$65:$AA$65))*(1-实盘持仓初始配置!$Z$9)^(('实盘净值数据(iFinD）'!$A261-'实盘净值数据(iFinD）'!$A$8)/365))</f>
        <v/>
      </c>
      <c r="R261" s="16" t="str">
        <f t="shared" si="29"/>
        <v/>
      </c>
      <c r="S261" s="16" t="str">
        <f>IF(Q261="","",Q261/MAX(Q$5:Q261)-1)</f>
        <v/>
      </c>
    </row>
    <row r="262" spans="1:19">
      <c r="A262" s="15" t="str">
        <f>IF('实盘净值数据(iFinD）'!A262="","",'实盘净值数据(iFinD）'!A262)</f>
        <v/>
      </c>
      <c r="B262" s="13" t="str">
        <f>IF(OR('实盘净值数据(iFinD）'!$A262="",'实盘净值数据(iFinD）'!$B262=""),"",分期持仓明细!$AB$17*SUMPRODUCT(分期持仓明细!$B$17:$Y$17,'实盘净值数据(iFinD）'!$B262:$Y262/'实盘净值数据(iFinD）'!$B$20:$Y$20)*(1-实盘持仓初始配置!$Z$4)^(('实盘净值数据(iFinD）'!$A262-'实盘净值数据(iFinD）'!$A$6)/365))</f>
        <v/>
      </c>
      <c r="C262" s="16" t="str">
        <f t="shared" si="24"/>
        <v/>
      </c>
      <c r="D262" s="16" t="str">
        <f>IF(B262="","",B262/MAX(B$5:B262)-1)</f>
        <v/>
      </c>
      <c r="E262" s="13" t="str">
        <f>IF(OR('实盘净值数据(iFinD）'!$A262="",'实盘净值数据(iFinD）'!$B262=""),"",分期持仓明细!$AB$18*SUMPRODUCT(分期持仓明细!$B$18:$Y$18,'实盘净值数据(iFinD）'!$B262:$Y262/'实盘净值数据(iFinD）'!$B$20:$Y$20)*(1-实盘持仓初始配置!$Z$5)^(('实盘净值数据(iFinD）'!$A262-'实盘净值数据(iFinD）'!$A$5)/365))</f>
        <v/>
      </c>
      <c r="F262" s="16" t="str">
        <f t="shared" si="25"/>
        <v/>
      </c>
      <c r="G262" s="16" t="str">
        <f>IF(E262="","",E262/MAX(E$5:E262)-1)</f>
        <v/>
      </c>
      <c r="H262" s="13" t="str">
        <f>IF(OR('实盘净值数据(iFinD）'!$A262="",'实盘净值数据(iFinD）'!$B262=""),"",分期持仓明细!$AB$19*SUMPRODUCT(分期持仓明细!$B$19:$Y$19,'实盘净值数据(iFinD）'!$B262:$Y262/'实盘净值数据(iFinD）'!$B$20:$Y$20)*(1-实盘持仓初始配置!$Z$6)^(('实盘净值数据(iFinD）'!$A262-'实盘净值数据(iFinD）'!$A$7)/365))</f>
        <v/>
      </c>
      <c r="I262" s="16" t="str">
        <f t="shared" si="26"/>
        <v/>
      </c>
      <c r="J262" s="16" t="str">
        <f>IF(H262="","",H262/MAX(H$5:H262)-1)</f>
        <v/>
      </c>
      <c r="K262" s="13" t="str">
        <f>IF(OR('实盘净值数据(iFinD）'!$A262="",'实盘净值数据(iFinD）'!$B262="",'实盘净值数据(iFinD）'!$Z262="",'实盘净值数据(iFinD）'!$AA262=""),"",分期持仓明细!$AB$23*(SUMPRODUCT(分期持仓明细!$B$23:$Y$23,'实盘净值数据(iFinD）'!$B262:$Y262/'实盘净值数据(iFinD）'!$B$65:$Y$65)+SUMPRODUCT(分期持仓明细!$AC$23:$AD$23,'实盘净值数据(iFinD）'!$Z262:$AA262/'实盘净值数据(iFinD）'!$Z$65:$AA$65))*(1-实盘持仓初始配置!$Z$7)^(('实盘净值数据(iFinD）'!$A262-'实盘净值数据(iFinD）'!$A$8)/365))</f>
        <v/>
      </c>
      <c r="L262" s="16" t="str">
        <f t="shared" si="27"/>
        <v/>
      </c>
      <c r="M262" s="16" t="str">
        <f>IF(K262="","",K262/MAX(K$5:K262)-1)</f>
        <v/>
      </c>
      <c r="N262" s="13" t="str">
        <f>IF(OR('实盘净值数据(iFinD）'!$A262="",'实盘净值数据(iFinD）'!$B262="",'实盘净值数据(iFinD）'!$Z262="",'实盘净值数据(iFinD）'!$AA262=""),"",分期持仓明细!$AB$24*(SUMPRODUCT(分期持仓明细!$B$24:$Y$24,'实盘净值数据(iFinD）'!$B262:$Y262/'实盘净值数据(iFinD）'!$B$65:$Y$65)+SUMPRODUCT(分期持仓明细!$AC$24:$AD$24,'实盘净值数据(iFinD）'!$Z262:$AA262/'实盘净值数据(iFinD）'!$Z$65:$AA$65))*(1-实盘持仓初始配置!$Z$8)^(('实盘净值数据(iFinD）'!$A262-'实盘净值数据(iFinD）'!$A$5)/365))</f>
        <v/>
      </c>
      <c r="O262" s="16" t="str">
        <f t="shared" si="28"/>
        <v/>
      </c>
      <c r="P262" s="16" t="str">
        <f>IF(N262="","",N262/MAX(N$5:N262)-1)</f>
        <v/>
      </c>
      <c r="Q262" s="13" t="str">
        <f>IF(OR('实盘净值数据(iFinD）'!$A262="",'实盘净值数据(iFinD）'!$B262="",'实盘净值数据(iFinD）'!$Z262="",'实盘净值数据(iFinD）'!$AA262=""),"",分期持仓明细!$AB$25*(SUMPRODUCT(分期持仓明细!$B$25:$Y$25,'实盘净值数据(iFinD）'!$B262:$Y262/'实盘净值数据(iFinD）'!$B$65:$Y$65)+SUMPRODUCT(分期持仓明细!$AC$25:$AD$25,'实盘净值数据(iFinD）'!$Z262:$AA262/'实盘净值数据(iFinD）'!$Z$65:$AA$65))*(1-实盘持仓初始配置!$Z$9)^(('实盘净值数据(iFinD）'!$A262-'实盘净值数据(iFinD）'!$A$8)/365))</f>
        <v/>
      </c>
      <c r="R262" s="16" t="str">
        <f t="shared" si="29"/>
        <v/>
      </c>
      <c r="S262" s="16" t="str">
        <f>IF(Q262="","",Q262/MAX(Q$5:Q262)-1)</f>
        <v/>
      </c>
    </row>
    <row r="263" spans="1:19">
      <c r="A263" s="15" t="str">
        <f>IF('实盘净值数据(iFinD）'!A263="","",'实盘净值数据(iFinD）'!A263)</f>
        <v/>
      </c>
      <c r="B263" s="13" t="str">
        <f>IF(OR('实盘净值数据(iFinD）'!$A263="",'实盘净值数据(iFinD）'!$B263=""),"",分期持仓明细!$AB$17*SUMPRODUCT(分期持仓明细!$B$17:$Y$17,'实盘净值数据(iFinD）'!$B263:$Y263/'实盘净值数据(iFinD）'!$B$20:$Y$20)*(1-实盘持仓初始配置!$Z$4)^(('实盘净值数据(iFinD）'!$A263-'实盘净值数据(iFinD）'!$A$6)/365))</f>
        <v/>
      </c>
      <c r="C263" s="16" t="str">
        <f t="shared" si="24"/>
        <v/>
      </c>
      <c r="D263" s="16" t="str">
        <f>IF(B263="","",B263/MAX(B$5:B263)-1)</f>
        <v/>
      </c>
      <c r="E263" s="13" t="str">
        <f>IF(OR('实盘净值数据(iFinD）'!$A263="",'实盘净值数据(iFinD）'!$B263=""),"",分期持仓明细!$AB$18*SUMPRODUCT(分期持仓明细!$B$18:$Y$18,'实盘净值数据(iFinD）'!$B263:$Y263/'实盘净值数据(iFinD）'!$B$20:$Y$20)*(1-实盘持仓初始配置!$Z$5)^(('实盘净值数据(iFinD）'!$A263-'实盘净值数据(iFinD）'!$A$5)/365))</f>
        <v/>
      </c>
      <c r="F263" s="16" t="str">
        <f t="shared" si="25"/>
        <v/>
      </c>
      <c r="G263" s="16" t="str">
        <f>IF(E263="","",E263/MAX(E$5:E263)-1)</f>
        <v/>
      </c>
      <c r="H263" s="13" t="str">
        <f>IF(OR('实盘净值数据(iFinD）'!$A263="",'实盘净值数据(iFinD）'!$B263=""),"",分期持仓明细!$AB$19*SUMPRODUCT(分期持仓明细!$B$19:$Y$19,'实盘净值数据(iFinD）'!$B263:$Y263/'实盘净值数据(iFinD）'!$B$20:$Y$20)*(1-实盘持仓初始配置!$Z$6)^(('实盘净值数据(iFinD）'!$A263-'实盘净值数据(iFinD）'!$A$7)/365))</f>
        <v/>
      </c>
      <c r="I263" s="16" t="str">
        <f t="shared" si="26"/>
        <v/>
      </c>
      <c r="J263" s="16" t="str">
        <f>IF(H263="","",H263/MAX(H$5:H263)-1)</f>
        <v/>
      </c>
      <c r="K263" s="13" t="str">
        <f>IF(OR('实盘净值数据(iFinD）'!$A263="",'实盘净值数据(iFinD）'!$B263="",'实盘净值数据(iFinD）'!$Z263="",'实盘净值数据(iFinD）'!$AA263=""),"",分期持仓明细!$AB$23*(SUMPRODUCT(分期持仓明细!$B$23:$Y$23,'实盘净值数据(iFinD）'!$B263:$Y263/'实盘净值数据(iFinD）'!$B$65:$Y$65)+SUMPRODUCT(分期持仓明细!$AC$23:$AD$23,'实盘净值数据(iFinD）'!$Z263:$AA263/'实盘净值数据(iFinD）'!$Z$65:$AA$65))*(1-实盘持仓初始配置!$Z$7)^(('实盘净值数据(iFinD）'!$A263-'实盘净值数据(iFinD）'!$A$8)/365))</f>
        <v/>
      </c>
      <c r="L263" s="16" t="str">
        <f t="shared" si="27"/>
        <v/>
      </c>
      <c r="M263" s="16" t="str">
        <f>IF(K263="","",K263/MAX(K$5:K263)-1)</f>
        <v/>
      </c>
      <c r="N263" s="13" t="str">
        <f>IF(OR('实盘净值数据(iFinD）'!$A263="",'实盘净值数据(iFinD）'!$B263="",'实盘净值数据(iFinD）'!$Z263="",'实盘净值数据(iFinD）'!$AA263=""),"",分期持仓明细!$AB$24*(SUMPRODUCT(分期持仓明细!$B$24:$Y$24,'实盘净值数据(iFinD）'!$B263:$Y263/'实盘净值数据(iFinD）'!$B$65:$Y$65)+SUMPRODUCT(分期持仓明细!$AC$24:$AD$24,'实盘净值数据(iFinD）'!$Z263:$AA263/'实盘净值数据(iFinD）'!$Z$65:$AA$65))*(1-实盘持仓初始配置!$Z$8)^(('实盘净值数据(iFinD）'!$A263-'实盘净值数据(iFinD）'!$A$5)/365))</f>
        <v/>
      </c>
      <c r="O263" s="16" t="str">
        <f t="shared" si="28"/>
        <v/>
      </c>
      <c r="P263" s="16" t="str">
        <f>IF(N263="","",N263/MAX(N$5:N263)-1)</f>
        <v/>
      </c>
      <c r="Q263" s="13" t="str">
        <f>IF(OR('实盘净值数据(iFinD）'!$A263="",'实盘净值数据(iFinD）'!$B263="",'实盘净值数据(iFinD）'!$Z263="",'实盘净值数据(iFinD）'!$AA263=""),"",分期持仓明细!$AB$25*(SUMPRODUCT(分期持仓明细!$B$25:$Y$25,'实盘净值数据(iFinD）'!$B263:$Y263/'实盘净值数据(iFinD）'!$B$65:$Y$65)+SUMPRODUCT(分期持仓明细!$AC$25:$AD$25,'实盘净值数据(iFinD）'!$Z263:$AA263/'实盘净值数据(iFinD）'!$Z$65:$AA$65))*(1-实盘持仓初始配置!$Z$9)^(('实盘净值数据(iFinD）'!$A263-'实盘净值数据(iFinD）'!$A$8)/365))</f>
        <v/>
      </c>
      <c r="R263" s="16" t="str">
        <f t="shared" si="29"/>
        <v/>
      </c>
      <c r="S263" s="16" t="str">
        <f>IF(Q263="","",Q263/MAX(Q$5:Q263)-1)</f>
        <v/>
      </c>
    </row>
    <row r="264" spans="1:19">
      <c r="A264" s="15" t="str">
        <f>IF('实盘净值数据(iFinD）'!A264="","",'实盘净值数据(iFinD）'!A264)</f>
        <v/>
      </c>
      <c r="B264" s="13" t="str">
        <f>IF(OR('实盘净值数据(iFinD）'!$A264="",'实盘净值数据(iFinD）'!$B264=""),"",分期持仓明细!$AB$17*SUMPRODUCT(分期持仓明细!$B$17:$Y$17,'实盘净值数据(iFinD）'!$B264:$Y264/'实盘净值数据(iFinD）'!$B$20:$Y$20)*(1-实盘持仓初始配置!$Z$4)^(('实盘净值数据(iFinD）'!$A264-'实盘净值数据(iFinD）'!$A$6)/365))</f>
        <v/>
      </c>
      <c r="C264" s="16" t="str">
        <f t="shared" si="24"/>
        <v/>
      </c>
      <c r="D264" s="16" t="str">
        <f>IF(B264="","",B264/MAX(B$5:B264)-1)</f>
        <v/>
      </c>
      <c r="E264" s="13" t="str">
        <f>IF(OR('实盘净值数据(iFinD）'!$A264="",'实盘净值数据(iFinD）'!$B264=""),"",分期持仓明细!$AB$18*SUMPRODUCT(分期持仓明细!$B$18:$Y$18,'实盘净值数据(iFinD）'!$B264:$Y264/'实盘净值数据(iFinD）'!$B$20:$Y$20)*(1-实盘持仓初始配置!$Z$5)^(('实盘净值数据(iFinD）'!$A264-'实盘净值数据(iFinD）'!$A$5)/365))</f>
        <v/>
      </c>
      <c r="F264" s="16" t="str">
        <f t="shared" si="25"/>
        <v/>
      </c>
      <c r="G264" s="16" t="str">
        <f>IF(E264="","",E264/MAX(E$5:E264)-1)</f>
        <v/>
      </c>
      <c r="H264" s="13" t="str">
        <f>IF(OR('实盘净值数据(iFinD）'!$A264="",'实盘净值数据(iFinD）'!$B264=""),"",分期持仓明细!$AB$19*SUMPRODUCT(分期持仓明细!$B$19:$Y$19,'实盘净值数据(iFinD）'!$B264:$Y264/'实盘净值数据(iFinD）'!$B$20:$Y$20)*(1-实盘持仓初始配置!$Z$6)^(('实盘净值数据(iFinD）'!$A264-'实盘净值数据(iFinD）'!$A$7)/365))</f>
        <v/>
      </c>
      <c r="I264" s="16" t="str">
        <f t="shared" si="26"/>
        <v/>
      </c>
      <c r="J264" s="16" t="str">
        <f>IF(H264="","",H264/MAX(H$5:H264)-1)</f>
        <v/>
      </c>
      <c r="K264" s="13" t="str">
        <f>IF(OR('实盘净值数据(iFinD）'!$A264="",'实盘净值数据(iFinD）'!$B264="",'实盘净值数据(iFinD）'!$Z264="",'实盘净值数据(iFinD）'!$AA264=""),"",分期持仓明细!$AB$23*(SUMPRODUCT(分期持仓明细!$B$23:$Y$23,'实盘净值数据(iFinD）'!$B264:$Y264/'实盘净值数据(iFinD）'!$B$65:$Y$65)+SUMPRODUCT(分期持仓明细!$AC$23:$AD$23,'实盘净值数据(iFinD）'!$Z264:$AA264/'实盘净值数据(iFinD）'!$Z$65:$AA$65))*(1-实盘持仓初始配置!$Z$7)^(('实盘净值数据(iFinD）'!$A264-'实盘净值数据(iFinD）'!$A$8)/365))</f>
        <v/>
      </c>
      <c r="L264" s="16" t="str">
        <f t="shared" si="27"/>
        <v/>
      </c>
      <c r="M264" s="16" t="str">
        <f>IF(K264="","",K264/MAX(K$5:K264)-1)</f>
        <v/>
      </c>
      <c r="N264" s="13" t="str">
        <f>IF(OR('实盘净值数据(iFinD）'!$A264="",'实盘净值数据(iFinD）'!$B264="",'实盘净值数据(iFinD）'!$Z264="",'实盘净值数据(iFinD）'!$AA264=""),"",分期持仓明细!$AB$24*(SUMPRODUCT(分期持仓明细!$B$24:$Y$24,'实盘净值数据(iFinD）'!$B264:$Y264/'实盘净值数据(iFinD）'!$B$65:$Y$65)+SUMPRODUCT(分期持仓明细!$AC$24:$AD$24,'实盘净值数据(iFinD）'!$Z264:$AA264/'实盘净值数据(iFinD）'!$Z$65:$AA$65))*(1-实盘持仓初始配置!$Z$8)^(('实盘净值数据(iFinD）'!$A264-'实盘净值数据(iFinD）'!$A$5)/365))</f>
        <v/>
      </c>
      <c r="O264" s="16" t="str">
        <f t="shared" si="28"/>
        <v/>
      </c>
      <c r="P264" s="16" t="str">
        <f>IF(N264="","",N264/MAX(N$5:N264)-1)</f>
        <v/>
      </c>
      <c r="Q264" s="13" t="str">
        <f>IF(OR('实盘净值数据(iFinD）'!$A264="",'实盘净值数据(iFinD）'!$B264="",'实盘净值数据(iFinD）'!$Z264="",'实盘净值数据(iFinD）'!$AA264=""),"",分期持仓明细!$AB$25*(SUMPRODUCT(分期持仓明细!$B$25:$Y$25,'实盘净值数据(iFinD）'!$B264:$Y264/'实盘净值数据(iFinD）'!$B$65:$Y$65)+SUMPRODUCT(分期持仓明细!$AC$25:$AD$25,'实盘净值数据(iFinD）'!$Z264:$AA264/'实盘净值数据(iFinD）'!$Z$65:$AA$65))*(1-实盘持仓初始配置!$Z$9)^(('实盘净值数据(iFinD）'!$A264-'实盘净值数据(iFinD）'!$A$8)/365))</f>
        <v/>
      </c>
      <c r="R264" s="16" t="str">
        <f t="shared" si="29"/>
        <v/>
      </c>
      <c r="S264" s="16" t="str">
        <f>IF(Q264="","",Q264/MAX(Q$5:Q264)-1)</f>
        <v/>
      </c>
    </row>
    <row r="265" spans="1:19">
      <c r="A265" s="15" t="str">
        <f>IF('实盘净值数据(iFinD）'!A265="","",'实盘净值数据(iFinD）'!A265)</f>
        <v/>
      </c>
      <c r="B265" s="13" t="str">
        <f>IF(OR('实盘净值数据(iFinD）'!$A265="",'实盘净值数据(iFinD）'!$B265=""),"",分期持仓明细!$AB$17*SUMPRODUCT(分期持仓明细!$B$17:$Y$17,'实盘净值数据(iFinD）'!$B265:$Y265/'实盘净值数据(iFinD）'!$B$20:$Y$20)*(1-实盘持仓初始配置!$Z$4)^(('实盘净值数据(iFinD）'!$A265-'实盘净值数据(iFinD）'!$A$6)/365))</f>
        <v/>
      </c>
      <c r="C265" s="16" t="str">
        <f t="shared" si="24"/>
        <v/>
      </c>
      <c r="D265" s="16" t="str">
        <f>IF(B265="","",B265/MAX(B$5:B265)-1)</f>
        <v/>
      </c>
      <c r="E265" s="13" t="str">
        <f>IF(OR('实盘净值数据(iFinD）'!$A265="",'实盘净值数据(iFinD）'!$B265=""),"",分期持仓明细!$AB$18*SUMPRODUCT(分期持仓明细!$B$18:$Y$18,'实盘净值数据(iFinD）'!$B265:$Y265/'实盘净值数据(iFinD）'!$B$20:$Y$20)*(1-实盘持仓初始配置!$Z$5)^(('实盘净值数据(iFinD）'!$A265-'实盘净值数据(iFinD）'!$A$5)/365))</f>
        <v/>
      </c>
      <c r="F265" s="16" t="str">
        <f t="shared" si="25"/>
        <v/>
      </c>
      <c r="G265" s="16" t="str">
        <f>IF(E265="","",E265/MAX(E$5:E265)-1)</f>
        <v/>
      </c>
      <c r="H265" s="13" t="str">
        <f>IF(OR('实盘净值数据(iFinD）'!$A265="",'实盘净值数据(iFinD）'!$B265=""),"",分期持仓明细!$AB$19*SUMPRODUCT(分期持仓明细!$B$19:$Y$19,'实盘净值数据(iFinD）'!$B265:$Y265/'实盘净值数据(iFinD）'!$B$20:$Y$20)*(1-实盘持仓初始配置!$Z$6)^(('实盘净值数据(iFinD）'!$A265-'实盘净值数据(iFinD）'!$A$7)/365))</f>
        <v/>
      </c>
      <c r="I265" s="16" t="str">
        <f t="shared" si="26"/>
        <v/>
      </c>
      <c r="J265" s="16" t="str">
        <f>IF(H265="","",H265/MAX(H$5:H265)-1)</f>
        <v/>
      </c>
      <c r="K265" s="13" t="str">
        <f>IF(OR('实盘净值数据(iFinD）'!$A265="",'实盘净值数据(iFinD）'!$B265="",'实盘净值数据(iFinD）'!$Z265="",'实盘净值数据(iFinD）'!$AA265=""),"",分期持仓明细!$AB$23*(SUMPRODUCT(分期持仓明细!$B$23:$Y$23,'实盘净值数据(iFinD）'!$B265:$Y265/'实盘净值数据(iFinD）'!$B$65:$Y$65)+SUMPRODUCT(分期持仓明细!$AC$23:$AD$23,'实盘净值数据(iFinD）'!$Z265:$AA265/'实盘净值数据(iFinD）'!$Z$65:$AA$65))*(1-实盘持仓初始配置!$Z$7)^(('实盘净值数据(iFinD）'!$A265-'实盘净值数据(iFinD）'!$A$8)/365))</f>
        <v/>
      </c>
      <c r="L265" s="16" t="str">
        <f t="shared" si="27"/>
        <v/>
      </c>
      <c r="M265" s="16" t="str">
        <f>IF(K265="","",K265/MAX(K$5:K265)-1)</f>
        <v/>
      </c>
      <c r="N265" s="13" t="str">
        <f>IF(OR('实盘净值数据(iFinD）'!$A265="",'实盘净值数据(iFinD）'!$B265="",'实盘净值数据(iFinD）'!$Z265="",'实盘净值数据(iFinD）'!$AA265=""),"",分期持仓明细!$AB$24*(SUMPRODUCT(分期持仓明细!$B$24:$Y$24,'实盘净值数据(iFinD）'!$B265:$Y265/'实盘净值数据(iFinD）'!$B$65:$Y$65)+SUMPRODUCT(分期持仓明细!$AC$24:$AD$24,'实盘净值数据(iFinD）'!$Z265:$AA265/'实盘净值数据(iFinD）'!$Z$65:$AA$65))*(1-实盘持仓初始配置!$Z$8)^(('实盘净值数据(iFinD）'!$A265-'实盘净值数据(iFinD）'!$A$5)/365))</f>
        <v/>
      </c>
      <c r="O265" s="16" t="str">
        <f t="shared" si="28"/>
        <v/>
      </c>
      <c r="P265" s="16" t="str">
        <f>IF(N265="","",N265/MAX(N$5:N265)-1)</f>
        <v/>
      </c>
      <c r="Q265" s="13" t="str">
        <f>IF(OR('实盘净值数据(iFinD）'!$A265="",'实盘净值数据(iFinD）'!$B265="",'实盘净值数据(iFinD）'!$Z265="",'实盘净值数据(iFinD）'!$AA265=""),"",分期持仓明细!$AB$25*(SUMPRODUCT(分期持仓明细!$B$25:$Y$25,'实盘净值数据(iFinD）'!$B265:$Y265/'实盘净值数据(iFinD）'!$B$65:$Y$65)+SUMPRODUCT(分期持仓明细!$AC$25:$AD$25,'实盘净值数据(iFinD）'!$Z265:$AA265/'实盘净值数据(iFinD）'!$Z$65:$AA$65))*(1-实盘持仓初始配置!$Z$9)^(('实盘净值数据(iFinD）'!$A265-'实盘净值数据(iFinD）'!$A$8)/365))</f>
        <v/>
      </c>
      <c r="R265" s="16" t="str">
        <f t="shared" si="29"/>
        <v/>
      </c>
      <c r="S265" s="16" t="str">
        <f>IF(Q265="","",Q265/MAX(Q$5:Q265)-1)</f>
        <v/>
      </c>
    </row>
    <row r="266" spans="1:19">
      <c r="A266" s="15" t="str">
        <f>IF('实盘净值数据(iFinD）'!A266="","",'实盘净值数据(iFinD）'!A266)</f>
        <v/>
      </c>
      <c r="B266" s="13" t="str">
        <f>IF(OR('实盘净值数据(iFinD）'!$A266="",'实盘净值数据(iFinD）'!$B266=""),"",分期持仓明细!$AB$17*SUMPRODUCT(分期持仓明细!$B$17:$Y$17,'实盘净值数据(iFinD）'!$B266:$Y266/'实盘净值数据(iFinD）'!$B$20:$Y$20)*(1-实盘持仓初始配置!$Z$4)^(('实盘净值数据(iFinD）'!$A266-'实盘净值数据(iFinD）'!$A$6)/365))</f>
        <v/>
      </c>
      <c r="C266" s="16" t="str">
        <f t="shared" si="24"/>
        <v/>
      </c>
      <c r="D266" s="16" t="str">
        <f>IF(B266="","",B266/MAX(B$5:B266)-1)</f>
        <v/>
      </c>
      <c r="E266" s="13" t="str">
        <f>IF(OR('实盘净值数据(iFinD）'!$A266="",'实盘净值数据(iFinD）'!$B266=""),"",分期持仓明细!$AB$18*SUMPRODUCT(分期持仓明细!$B$18:$Y$18,'实盘净值数据(iFinD）'!$B266:$Y266/'实盘净值数据(iFinD）'!$B$20:$Y$20)*(1-实盘持仓初始配置!$Z$5)^(('实盘净值数据(iFinD）'!$A266-'实盘净值数据(iFinD）'!$A$5)/365))</f>
        <v/>
      </c>
      <c r="F266" s="16" t="str">
        <f t="shared" si="25"/>
        <v/>
      </c>
      <c r="G266" s="16" t="str">
        <f>IF(E266="","",E266/MAX(E$5:E266)-1)</f>
        <v/>
      </c>
      <c r="H266" s="13" t="str">
        <f>IF(OR('实盘净值数据(iFinD）'!$A266="",'实盘净值数据(iFinD）'!$B266=""),"",分期持仓明细!$AB$19*SUMPRODUCT(分期持仓明细!$B$19:$Y$19,'实盘净值数据(iFinD）'!$B266:$Y266/'实盘净值数据(iFinD）'!$B$20:$Y$20)*(1-实盘持仓初始配置!$Z$6)^(('实盘净值数据(iFinD）'!$A266-'实盘净值数据(iFinD）'!$A$7)/365))</f>
        <v/>
      </c>
      <c r="I266" s="16" t="str">
        <f t="shared" si="26"/>
        <v/>
      </c>
      <c r="J266" s="16" t="str">
        <f>IF(H266="","",H266/MAX(H$5:H266)-1)</f>
        <v/>
      </c>
      <c r="K266" s="13" t="str">
        <f>IF(OR('实盘净值数据(iFinD）'!$A266="",'实盘净值数据(iFinD）'!$B266="",'实盘净值数据(iFinD）'!$Z266="",'实盘净值数据(iFinD）'!$AA266=""),"",分期持仓明细!$AB$23*(SUMPRODUCT(分期持仓明细!$B$23:$Y$23,'实盘净值数据(iFinD）'!$B266:$Y266/'实盘净值数据(iFinD）'!$B$65:$Y$65)+SUMPRODUCT(分期持仓明细!$AC$23:$AD$23,'实盘净值数据(iFinD）'!$Z266:$AA266/'实盘净值数据(iFinD）'!$Z$65:$AA$65))*(1-实盘持仓初始配置!$Z$7)^(('实盘净值数据(iFinD）'!$A266-'实盘净值数据(iFinD）'!$A$8)/365))</f>
        <v/>
      </c>
      <c r="L266" s="16" t="str">
        <f t="shared" si="27"/>
        <v/>
      </c>
      <c r="M266" s="16" t="str">
        <f>IF(K266="","",K266/MAX(K$5:K266)-1)</f>
        <v/>
      </c>
      <c r="N266" s="13" t="str">
        <f>IF(OR('实盘净值数据(iFinD）'!$A266="",'实盘净值数据(iFinD）'!$B266="",'实盘净值数据(iFinD）'!$Z266="",'实盘净值数据(iFinD）'!$AA266=""),"",分期持仓明细!$AB$24*(SUMPRODUCT(分期持仓明细!$B$24:$Y$24,'实盘净值数据(iFinD）'!$B266:$Y266/'实盘净值数据(iFinD）'!$B$65:$Y$65)+SUMPRODUCT(分期持仓明细!$AC$24:$AD$24,'实盘净值数据(iFinD）'!$Z266:$AA266/'实盘净值数据(iFinD）'!$Z$65:$AA$65))*(1-实盘持仓初始配置!$Z$8)^(('实盘净值数据(iFinD）'!$A266-'实盘净值数据(iFinD）'!$A$5)/365))</f>
        <v/>
      </c>
      <c r="O266" s="16" t="str">
        <f t="shared" si="28"/>
        <v/>
      </c>
      <c r="P266" s="16" t="str">
        <f>IF(N266="","",N266/MAX(N$5:N266)-1)</f>
        <v/>
      </c>
      <c r="Q266" s="13" t="str">
        <f>IF(OR('实盘净值数据(iFinD）'!$A266="",'实盘净值数据(iFinD）'!$B266="",'实盘净值数据(iFinD）'!$Z266="",'实盘净值数据(iFinD）'!$AA266=""),"",分期持仓明细!$AB$25*(SUMPRODUCT(分期持仓明细!$B$25:$Y$25,'实盘净值数据(iFinD）'!$B266:$Y266/'实盘净值数据(iFinD）'!$B$65:$Y$65)+SUMPRODUCT(分期持仓明细!$AC$25:$AD$25,'实盘净值数据(iFinD）'!$Z266:$AA266/'实盘净值数据(iFinD）'!$Z$65:$AA$65))*(1-实盘持仓初始配置!$Z$9)^(('实盘净值数据(iFinD）'!$A266-'实盘净值数据(iFinD）'!$A$8)/365))</f>
        <v/>
      </c>
      <c r="R266" s="16" t="str">
        <f t="shared" si="29"/>
        <v/>
      </c>
      <c r="S266" s="16" t="str">
        <f>IF(Q266="","",Q266/MAX(Q$5:Q266)-1)</f>
        <v/>
      </c>
    </row>
    <row r="267" spans="1:19">
      <c r="A267" s="15" t="str">
        <f>IF('实盘净值数据(iFinD）'!A267="","",'实盘净值数据(iFinD）'!A267)</f>
        <v/>
      </c>
      <c r="B267" s="13" t="str">
        <f>IF(OR('实盘净值数据(iFinD）'!$A267="",'实盘净值数据(iFinD）'!$B267=""),"",分期持仓明细!$AB$17*SUMPRODUCT(分期持仓明细!$B$17:$Y$17,'实盘净值数据(iFinD）'!$B267:$Y267/'实盘净值数据(iFinD）'!$B$20:$Y$20)*(1-实盘持仓初始配置!$Z$4)^(('实盘净值数据(iFinD）'!$A267-'实盘净值数据(iFinD）'!$A$6)/365))</f>
        <v/>
      </c>
      <c r="C267" s="16" t="str">
        <f t="shared" si="24"/>
        <v/>
      </c>
      <c r="D267" s="16" t="str">
        <f>IF(B267="","",B267/MAX(B$5:B267)-1)</f>
        <v/>
      </c>
      <c r="E267" s="13" t="str">
        <f>IF(OR('实盘净值数据(iFinD）'!$A267="",'实盘净值数据(iFinD）'!$B267=""),"",分期持仓明细!$AB$18*SUMPRODUCT(分期持仓明细!$B$18:$Y$18,'实盘净值数据(iFinD）'!$B267:$Y267/'实盘净值数据(iFinD）'!$B$20:$Y$20)*(1-实盘持仓初始配置!$Z$5)^(('实盘净值数据(iFinD）'!$A267-'实盘净值数据(iFinD）'!$A$5)/365))</f>
        <v/>
      </c>
      <c r="F267" s="16" t="str">
        <f t="shared" si="25"/>
        <v/>
      </c>
      <c r="G267" s="16" t="str">
        <f>IF(E267="","",E267/MAX(E$5:E267)-1)</f>
        <v/>
      </c>
      <c r="H267" s="13" t="str">
        <f>IF(OR('实盘净值数据(iFinD）'!$A267="",'实盘净值数据(iFinD）'!$B267=""),"",分期持仓明细!$AB$19*SUMPRODUCT(分期持仓明细!$B$19:$Y$19,'实盘净值数据(iFinD）'!$B267:$Y267/'实盘净值数据(iFinD）'!$B$20:$Y$20)*(1-实盘持仓初始配置!$Z$6)^(('实盘净值数据(iFinD）'!$A267-'实盘净值数据(iFinD）'!$A$7)/365))</f>
        <v/>
      </c>
      <c r="I267" s="16" t="str">
        <f t="shared" si="26"/>
        <v/>
      </c>
      <c r="J267" s="16" t="str">
        <f>IF(H267="","",H267/MAX(H$5:H267)-1)</f>
        <v/>
      </c>
      <c r="K267" s="13" t="str">
        <f>IF(OR('实盘净值数据(iFinD）'!$A267="",'实盘净值数据(iFinD）'!$B267="",'实盘净值数据(iFinD）'!$Z267="",'实盘净值数据(iFinD）'!$AA267=""),"",分期持仓明细!$AB$23*(SUMPRODUCT(分期持仓明细!$B$23:$Y$23,'实盘净值数据(iFinD）'!$B267:$Y267/'实盘净值数据(iFinD）'!$B$65:$Y$65)+SUMPRODUCT(分期持仓明细!$AC$23:$AD$23,'实盘净值数据(iFinD）'!$Z267:$AA267/'实盘净值数据(iFinD）'!$Z$65:$AA$65))*(1-实盘持仓初始配置!$Z$7)^(('实盘净值数据(iFinD）'!$A267-'实盘净值数据(iFinD）'!$A$8)/365))</f>
        <v/>
      </c>
      <c r="L267" s="16" t="str">
        <f t="shared" si="27"/>
        <v/>
      </c>
      <c r="M267" s="16" t="str">
        <f>IF(K267="","",K267/MAX(K$5:K267)-1)</f>
        <v/>
      </c>
      <c r="N267" s="13" t="str">
        <f>IF(OR('实盘净值数据(iFinD）'!$A267="",'实盘净值数据(iFinD）'!$B267="",'实盘净值数据(iFinD）'!$Z267="",'实盘净值数据(iFinD）'!$AA267=""),"",分期持仓明细!$AB$24*(SUMPRODUCT(分期持仓明细!$B$24:$Y$24,'实盘净值数据(iFinD）'!$B267:$Y267/'实盘净值数据(iFinD）'!$B$65:$Y$65)+SUMPRODUCT(分期持仓明细!$AC$24:$AD$24,'实盘净值数据(iFinD）'!$Z267:$AA267/'实盘净值数据(iFinD）'!$Z$65:$AA$65))*(1-实盘持仓初始配置!$Z$8)^(('实盘净值数据(iFinD）'!$A267-'实盘净值数据(iFinD）'!$A$5)/365))</f>
        <v/>
      </c>
      <c r="O267" s="16" t="str">
        <f t="shared" si="28"/>
        <v/>
      </c>
      <c r="P267" s="16" t="str">
        <f>IF(N267="","",N267/MAX(N$5:N267)-1)</f>
        <v/>
      </c>
      <c r="Q267" s="13" t="str">
        <f>IF(OR('实盘净值数据(iFinD）'!$A267="",'实盘净值数据(iFinD）'!$B267="",'实盘净值数据(iFinD）'!$Z267="",'实盘净值数据(iFinD）'!$AA267=""),"",分期持仓明细!$AB$25*(SUMPRODUCT(分期持仓明细!$B$25:$Y$25,'实盘净值数据(iFinD）'!$B267:$Y267/'实盘净值数据(iFinD）'!$B$65:$Y$65)+SUMPRODUCT(分期持仓明细!$AC$25:$AD$25,'实盘净值数据(iFinD）'!$Z267:$AA267/'实盘净值数据(iFinD）'!$Z$65:$AA$65))*(1-实盘持仓初始配置!$Z$9)^(('实盘净值数据(iFinD）'!$A267-'实盘净值数据(iFinD）'!$A$8)/365))</f>
        <v/>
      </c>
      <c r="R267" s="16" t="str">
        <f t="shared" si="29"/>
        <v/>
      </c>
      <c r="S267" s="16" t="str">
        <f>IF(Q267="","",Q267/MAX(Q$5:Q267)-1)</f>
        <v/>
      </c>
    </row>
    <row r="268" spans="1:19">
      <c r="A268" s="15" t="str">
        <f>IF('实盘净值数据(iFinD）'!A268="","",'实盘净值数据(iFinD）'!A268)</f>
        <v/>
      </c>
      <c r="B268" s="13" t="str">
        <f>IF(OR('实盘净值数据(iFinD）'!$A268="",'实盘净值数据(iFinD）'!$B268=""),"",分期持仓明细!$AB$17*SUMPRODUCT(分期持仓明细!$B$17:$Y$17,'实盘净值数据(iFinD）'!$B268:$Y268/'实盘净值数据(iFinD）'!$B$20:$Y$20)*(1-实盘持仓初始配置!$Z$4)^(('实盘净值数据(iFinD）'!$A268-'实盘净值数据(iFinD）'!$A$6)/365))</f>
        <v/>
      </c>
      <c r="C268" s="16" t="str">
        <f t="shared" si="24"/>
        <v/>
      </c>
      <c r="D268" s="16" t="str">
        <f>IF(B268="","",B268/MAX(B$5:B268)-1)</f>
        <v/>
      </c>
      <c r="E268" s="13" t="str">
        <f>IF(OR('实盘净值数据(iFinD）'!$A268="",'实盘净值数据(iFinD）'!$B268=""),"",分期持仓明细!$AB$18*SUMPRODUCT(分期持仓明细!$B$18:$Y$18,'实盘净值数据(iFinD）'!$B268:$Y268/'实盘净值数据(iFinD）'!$B$20:$Y$20)*(1-实盘持仓初始配置!$Z$5)^(('实盘净值数据(iFinD）'!$A268-'实盘净值数据(iFinD）'!$A$5)/365))</f>
        <v/>
      </c>
      <c r="F268" s="16" t="str">
        <f t="shared" si="25"/>
        <v/>
      </c>
      <c r="G268" s="16" t="str">
        <f>IF(E268="","",E268/MAX(E$5:E268)-1)</f>
        <v/>
      </c>
      <c r="H268" s="13" t="str">
        <f>IF(OR('实盘净值数据(iFinD）'!$A268="",'实盘净值数据(iFinD）'!$B268=""),"",分期持仓明细!$AB$19*SUMPRODUCT(分期持仓明细!$B$19:$Y$19,'实盘净值数据(iFinD）'!$B268:$Y268/'实盘净值数据(iFinD）'!$B$20:$Y$20)*(1-实盘持仓初始配置!$Z$6)^(('实盘净值数据(iFinD）'!$A268-'实盘净值数据(iFinD）'!$A$7)/365))</f>
        <v/>
      </c>
      <c r="I268" s="16" t="str">
        <f t="shared" si="26"/>
        <v/>
      </c>
      <c r="J268" s="16" t="str">
        <f>IF(H268="","",H268/MAX(H$5:H268)-1)</f>
        <v/>
      </c>
      <c r="K268" s="13" t="str">
        <f>IF(OR('实盘净值数据(iFinD）'!$A268="",'实盘净值数据(iFinD）'!$B268="",'实盘净值数据(iFinD）'!$Z268="",'实盘净值数据(iFinD）'!$AA268=""),"",分期持仓明细!$AB$23*(SUMPRODUCT(分期持仓明细!$B$23:$Y$23,'实盘净值数据(iFinD）'!$B268:$Y268/'实盘净值数据(iFinD）'!$B$65:$Y$65)+SUMPRODUCT(分期持仓明细!$AC$23:$AD$23,'实盘净值数据(iFinD）'!$Z268:$AA268/'实盘净值数据(iFinD）'!$Z$65:$AA$65))*(1-实盘持仓初始配置!$Z$7)^(('实盘净值数据(iFinD）'!$A268-'实盘净值数据(iFinD）'!$A$8)/365))</f>
        <v/>
      </c>
      <c r="L268" s="16" t="str">
        <f t="shared" si="27"/>
        <v/>
      </c>
      <c r="M268" s="16" t="str">
        <f>IF(K268="","",K268/MAX(K$5:K268)-1)</f>
        <v/>
      </c>
      <c r="N268" s="13" t="str">
        <f>IF(OR('实盘净值数据(iFinD）'!$A268="",'实盘净值数据(iFinD）'!$B268="",'实盘净值数据(iFinD）'!$Z268="",'实盘净值数据(iFinD）'!$AA268=""),"",分期持仓明细!$AB$24*(SUMPRODUCT(分期持仓明细!$B$24:$Y$24,'实盘净值数据(iFinD）'!$B268:$Y268/'实盘净值数据(iFinD）'!$B$65:$Y$65)+SUMPRODUCT(分期持仓明细!$AC$24:$AD$24,'实盘净值数据(iFinD）'!$Z268:$AA268/'实盘净值数据(iFinD）'!$Z$65:$AA$65))*(1-实盘持仓初始配置!$Z$8)^(('实盘净值数据(iFinD）'!$A268-'实盘净值数据(iFinD）'!$A$5)/365))</f>
        <v/>
      </c>
      <c r="O268" s="16" t="str">
        <f t="shared" si="28"/>
        <v/>
      </c>
      <c r="P268" s="16" t="str">
        <f>IF(N268="","",N268/MAX(N$5:N268)-1)</f>
        <v/>
      </c>
      <c r="Q268" s="13" t="str">
        <f>IF(OR('实盘净值数据(iFinD）'!$A268="",'实盘净值数据(iFinD）'!$B268="",'实盘净值数据(iFinD）'!$Z268="",'实盘净值数据(iFinD）'!$AA268=""),"",分期持仓明细!$AB$25*(SUMPRODUCT(分期持仓明细!$B$25:$Y$25,'实盘净值数据(iFinD）'!$B268:$Y268/'实盘净值数据(iFinD）'!$B$65:$Y$65)+SUMPRODUCT(分期持仓明细!$AC$25:$AD$25,'实盘净值数据(iFinD）'!$Z268:$AA268/'实盘净值数据(iFinD）'!$Z$65:$AA$65))*(1-实盘持仓初始配置!$Z$9)^(('实盘净值数据(iFinD）'!$A268-'实盘净值数据(iFinD）'!$A$8)/365))</f>
        <v/>
      </c>
      <c r="R268" s="16" t="str">
        <f t="shared" si="29"/>
        <v/>
      </c>
      <c r="S268" s="16" t="str">
        <f>IF(Q268="","",Q268/MAX(Q$5:Q268)-1)</f>
        <v/>
      </c>
    </row>
    <row r="269" spans="1:19">
      <c r="A269" s="15" t="str">
        <f>IF('实盘净值数据(iFinD）'!A269="","",'实盘净值数据(iFinD）'!A269)</f>
        <v/>
      </c>
      <c r="B269" s="13" t="str">
        <f>IF(OR('实盘净值数据(iFinD）'!$A269="",'实盘净值数据(iFinD）'!$B269=""),"",分期持仓明细!$AB$17*SUMPRODUCT(分期持仓明细!$B$17:$Y$17,'实盘净值数据(iFinD）'!$B269:$Y269/'实盘净值数据(iFinD）'!$B$20:$Y$20)*(1-实盘持仓初始配置!$Z$4)^(('实盘净值数据(iFinD）'!$A269-'实盘净值数据(iFinD）'!$A$6)/365))</f>
        <v/>
      </c>
      <c r="C269" s="16" t="str">
        <f t="shared" si="24"/>
        <v/>
      </c>
      <c r="D269" s="16" t="str">
        <f>IF(B269="","",B269/MAX(B$5:B269)-1)</f>
        <v/>
      </c>
      <c r="E269" s="13" t="str">
        <f>IF(OR('实盘净值数据(iFinD）'!$A269="",'实盘净值数据(iFinD）'!$B269=""),"",分期持仓明细!$AB$18*SUMPRODUCT(分期持仓明细!$B$18:$Y$18,'实盘净值数据(iFinD）'!$B269:$Y269/'实盘净值数据(iFinD）'!$B$20:$Y$20)*(1-实盘持仓初始配置!$Z$5)^(('实盘净值数据(iFinD）'!$A269-'实盘净值数据(iFinD）'!$A$5)/365))</f>
        <v/>
      </c>
      <c r="F269" s="16" t="str">
        <f t="shared" si="25"/>
        <v/>
      </c>
      <c r="G269" s="16" t="str">
        <f>IF(E269="","",E269/MAX(E$5:E269)-1)</f>
        <v/>
      </c>
      <c r="H269" s="13" t="str">
        <f>IF(OR('实盘净值数据(iFinD）'!$A269="",'实盘净值数据(iFinD）'!$B269=""),"",分期持仓明细!$AB$19*SUMPRODUCT(分期持仓明细!$B$19:$Y$19,'实盘净值数据(iFinD）'!$B269:$Y269/'实盘净值数据(iFinD）'!$B$20:$Y$20)*(1-实盘持仓初始配置!$Z$6)^(('实盘净值数据(iFinD）'!$A269-'实盘净值数据(iFinD）'!$A$7)/365))</f>
        <v/>
      </c>
      <c r="I269" s="16" t="str">
        <f t="shared" si="26"/>
        <v/>
      </c>
      <c r="J269" s="16" t="str">
        <f>IF(H269="","",H269/MAX(H$5:H269)-1)</f>
        <v/>
      </c>
      <c r="K269" s="13" t="str">
        <f>IF(OR('实盘净值数据(iFinD）'!$A269="",'实盘净值数据(iFinD）'!$B269="",'实盘净值数据(iFinD）'!$Z269="",'实盘净值数据(iFinD）'!$AA269=""),"",分期持仓明细!$AB$23*(SUMPRODUCT(分期持仓明细!$B$23:$Y$23,'实盘净值数据(iFinD）'!$B269:$Y269/'实盘净值数据(iFinD）'!$B$65:$Y$65)+SUMPRODUCT(分期持仓明细!$AC$23:$AD$23,'实盘净值数据(iFinD）'!$Z269:$AA269/'实盘净值数据(iFinD）'!$Z$65:$AA$65))*(1-实盘持仓初始配置!$Z$7)^(('实盘净值数据(iFinD）'!$A269-'实盘净值数据(iFinD）'!$A$8)/365))</f>
        <v/>
      </c>
      <c r="L269" s="16" t="str">
        <f t="shared" si="27"/>
        <v/>
      </c>
      <c r="M269" s="16" t="str">
        <f>IF(K269="","",K269/MAX(K$5:K269)-1)</f>
        <v/>
      </c>
      <c r="N269" s="13" t="str">
        <f>IF(OR('实盘净值数据(iFinD）'!$A269="",'实盘净值数据(iFinD）'!$B269="",'实盘净值数据(iFinD）'!$Z269="",'实盘净值数据(iFinD）'!$AA269=""),"",分期持仓明细!$AB$24*(SUMPRODUCT(分期持仓明细!$B$24:$Y$24,'实盘净值数据(iFinD）'!$B269:$Y269/'实盘净值数据(iFinD）'!$B$65:$Y$65)+SUMPRODUCT(分期持仓明细!$AC$24:$AD$24,'实盘净值数据(iFinD）'!$Z269:$AA269/'实盘净值数据(iFinD）'!$Z$65:$AA$65))*(1-实盘持仓初始配置!$Z$8)^(('实盘净值数据(iFinD）'!$A269-'实盘净值数据(iFinD）'!$A$5)/365))</f>
        <v/>
      </c>
      <c r="O269" s="16" t="str">
        <f t="shared" si="28"/>
        <v/>
      </c>
      <c r="P269" s="16" t="str">
        <f>IF(N269="","",N269/MAX(N$5:N269)-1)</f>
        <v/>
      </c>
      <c r="Q269" s="13" t="str">
        <f>IF(OR('实盘净值数据(iFinD）'!$A269="",'实盘净值数据(iFinD）'!$B269="",'实盘净值数据(iFinD）'!$Z269="",'实盘净值数据(iFinD）'!$AA269=""),"",分期持仓明细!$AB$25*(SUMPRODUCT(分期持仓明细!$B$25:$Y$25,'实盘净值数据(iFinD）'!$B269:$Y269/'实盘净值数据(iFinD）'!$B$65:$Y$65)+SUMPRODUCT(分期持仓明细!$AC$25:$AD$25,'实盘净值数据(iFinD）'!$Z269:$AA269/'实盘净值数据(iFinD）'!$Z$65:$AA$65))*(1-实盘持仓初始配置!$Z$9)^(('实盘净值数据(iFinD）'!$A269-'实盘净值数据(iFinD）'!$A$8)/365))</f>
        <v/>
      </c>
      <c r="R269" s="16" t="str">
        <f t="shared" si="29"/>
        <v/>
      </c>
      <c r="S269" s="16" t="str">
        <f>IF(Q269="","",Q269/MAX(Q$5:Q269)-1)</f>
        <v/>
      </c>
    </row>
    <row r="270" spans="1:19">
      <c r="A270" s="15" t="str">
        <f>IF('实盘净值数据(iFinD）'!A270="","",'实盘净值数据(iFinD）'!A270)</f>
        <v/>
      </c>
      <c r="B270" s="13" t="str">
        <f>IF(OR('实盘净值数据(iFinD）'!$A270="",'实盘净值数据(iFinD）'!$B270=""),"",分期持仓明细!$AB$17*SUMPRODUCT(分期持仓明细!$B$17:$Y$17,'实盘净值数据(iFinD）'!$B270:$Y270/'实盘净值数据(iFinD）'!$B$20:$Y$20)*(1-实盘持仓初始配置!$Z$4)^(('实盘净值数据(iFinD）'!$A270-'实盘净值数据(iFinD）'!$A$6)/365))</f>
        <v/>
      </c>
      <c r="C270" s="16" t="str">
        <f t="shared" si="24"/>
        <v/>
      </c>
      <c r="D270" s="16" t="str">
        <f>IF(B270="","",B270/MAX(B$5:B270)-1)</f>
        <v/>
      </c>
      <c r="E270" s="13" t="str">
        <f>IF(OR('实盘净值数据(iFinD）'!$A270="",'实盘净值数据(iFinD）'!$B270=""),"",分期持仓明细!$AB$18*SUMPRODUCT(分期持仓明细!$B$18:$Y$18,'实盘净值数据(iFinD）'!$B270:$Y270/'实盘净值数据(iFinD）'!$B$20:$Y$20)*(1-实盘持仓初始配置!$Z$5)^(('实盘净值数据(iFinD）'!$A270-'实盘净值数据(iFinD）'!$A$5)/365))</f>
        <v/>
      </c>
      <c r="F270" s="16" t="str">
        <f t="shared" si="25"/>
        <v/>
      </c>
      <c r="G270" s="16" t="str">
        <f>IF(E270="","",E270/MAX(E$5:E270)-1)</f>
        <v/>
      </c>
      <c r="H270" s="13" t="str">
        <f>IF(OR('实盘净值数据(iFinD）'!$A270="",'实盘净值数据(iFinD）'!$B270=""),"",分期持仓明细!$AB$19*SUMPRODUCT(分期持仓明细!$B$19:$Y$19,'实盘净值数据(iFinD）'!$B270:$Y270/'实盘净值数据(iFinD）'!$B$20:$Y$20)*(1-实盘持仓初始配置!$Z$6)^(('实盘净值数据(iFinD）'!$A270-'实盘净值数据(iFinD）'!$A$7)/365))</f>
        <v/>
      </c>
      <c r="I270" s="16" t="str">
        <f t="shared" si="26"/>
        <v/>
      </c>
      <c r="J270" s="16" t="str">
        <f>IF(H270="","",H270/MAX(H$5:H270)-1)</f>
        <v/>
      </c>
      <c r="K270" s="13" t="str">
        <f>IF(OR('实盘净值数据(iFinD）'!$A270="",'实盘净值数据(iFinD）'!$B270="",'实盘净值数据(iFinD）'!$Z270="",'实盘净值数据(iFinD）'!$AA270=""),"",分期持仓明细!$AB$23*(SUMPRODUCT(分期持仓明细!$B$23:$Y$23,'实盘净值数据(iFinD）'!$B270:$Y270/'实盘净值数据(iFinD）'!$B$65:$Y$65)+SUMPRODUCT(分期持仓明细!$AC$23:$AD$23,'实盘净值数据(iFinD）'!$Z270:$AA270/'实盘净值数据(iFinD）'!$Z$65:$AA$65))*(1-实盘持仓初始配置!$Z$7)^(('实盘净值数据(iFinD）'!$A270-'实盘净值数据(iFinD）'!$A$8)/365))</f>
        <v/>
      </c>
      <c r="L270" s="16" t="str">
        <f t="shared" si="27"/>
        <v/>
      </c>
      <c r="M270" s="16" t="str">
        <f>IF(K270="","",K270/MAX(K$5:K270)-1)</f>
        <v/>
      </c>
      <c r="N270" s="13" t="str">
        <f>IF(OR('实盘净值数据(iFinD）'!$A270="",'实盘净值数据(iFinD）'!$B270="",'实盘净值数据(iFinD）'!$Z270="",'实盘净值数据(iFinD）'!$AA270=""),"",分期持仓明细!$AB$24*(SUMPRODUCT(分期持仓明细!$B$24:$Y$24,'实盘净值数据(iFinD）'!$B270:$Y270/'实盘净值数据(iFinD）'!$B$65:$Y$65)+SUMPRODUCT(分期持仓明细!$AC$24:$AD$24,'实盘净值数据(iFinD）'!$Z270:$AA270/'实盘净值数据(iFinD）'!$Z$65:$AA$65))*(1-实盘持仓初始配置!$Z$8)^(('实盘净值数据(iFinD）'!$A270-'实盘净值数据(iFinD）'!$A$5)/365))</f>
        <v/>
      </c>
      <c r="O270" s="16" t="str">
        <f t="shared" si="28"/>
        <v/>
      </c>
      <c r="P270" s="16" t="str">
        <f>IF(N270="","",N270/MAX(N$5:N270)-1)</f>
        <v/>
      </c>
      <c r="Q270" s="13" t="str">
        <f>IF(OR('实盘净值数据(iFinD）'!$A270="",'实盘净值数据(iFinD）'!$B270="",'实盘净值数据(iFinD）'!$Z270="",'实盘净值数据(iFinD）'!$AA270=""),"",分期持仓明细!$AB$25*(SUMPRODUCT(分期持仓明细!$B$25:$Y$25,'实盘净值数据(iFinD）'!$B270:$Y270/'实盘净值数据(iFinD）'!$B$65:$Y$65)+SUMPRODUCT(分期持仓明细!$AC$25:$AD$25,'实盘净值数据(iFinD）'!$Z270:$AA270/'实盘净值数据(iFinD）'!$Z$65:$AA$65))*(1-实盘持仓初始配置!$Z$9)^(('实盘净值数据(iFinD）'!$A270-'实盘净值数据(iFinD）'!$A$8)/365))</f>
        <v/>
      </c>
      <c r="R270" s="16" t="str">
        <f t="shared" si="29"/>
        <v/>
      </c>
      <c r="S270" s="16" t="str">
        <f>IF(Q270="","",Q270/MAX(Q$5:Q270)-1)</f>
        <v/>
      </c>
    </row>
    <row r="271" spans="1:19">
      <c r="A271" s="15" t="str">
        <f>IF('实盘净值数据(iFinD）'!A271="","",'实盘净值数据(iFinD）'!A271)</f>
        <v/>
      </c>
      <c r="B271" s="13" t="str">
        <f>IF(OR('实盘净值数据(iFinD）'!$A271="",'实盘净值数据(iFinD）'!$B271=""),"",分期持仓明细!$AB$17*SUMPRODUCT(分期持仓明细!$B$17:$Y$17,'实盘净值数据(iFinD）'!$B271:$Y271/'实盘净值数据(iFinD）'!$B$20:$Y$20)*(1-实盘持仓初始配置!$Z$4)^(('实盘净值数据(iFinD）'!$A271-'实盘净值数据(iFinD）'!$A$6)/365))</f>
        <v/>
      </c>
      <c r="C271" s="16" t="str">
        <f t="shared" si="24"/>
        <v/>
      </c>
      <c r="D271" s="16" t="str">
        <f>IF(B271="","",B271/MAX(B$5:B271)-1)</f>
        <v/>
      </c>
      <c r="E271" s="13" t="str">
        <f>IF(OR('实盘净值数据(iFinD）'!$A271="",'实盘净值数据(iFinD）'!$B271=""),"",分期持仓明细!$AB$18*SUMPRODUCT(分期持仓明细!$B$18:$Y$18,'实盘净值数据(iFinD）'!$B271:$Y271/'实盘净值数据(iFinD）'!$B$20:$Y$20)*(1-实盘持仓初始配置!$Z$5)^(('实盘净值数据(iFinD）'!$A271-'实盘净值数据(iFinD）'!$A$5)/365))</f>
        <v/>
      </c>
      <c r="F271" s="16" t="str">
        <f t="shared" si="25"/>
        <v/>
      </c>
      <c r="G271" s="16" t="str">
        <f>IF(E271="","",E271/MAX(E$5:E271)-1)</f>
        <v/>
      </c>
      <c r="H271" s="13" t="str">
        <f>IF(OR('实盘净值数据(iFinD）'!$A271="",'实盘净值数据(iFinD）'!$B271=""),"",分期持仓明细!$AB$19*SUMPRODUCT(分期持仓明细!$B$19:$Y$19,'实盘净值数据(iFinD）'!$B271:$Y271/'实盘净值数据(iFinD）'!$B$20:$Y$20)*(1-实盘持仓初始配置!$Z$6)^(('实盘净值数据(iFinD）'!$A271-'实盘净值数据(iFinD）'!$A$7)/365))</f>
        <v/>
      </c>
      <c r="I271" s="16" t="str">
        <f t="shared" si="26"/>
        <v/>
      </c>
      <c r="J271" s="16" t="str">
        <f>IF(H271="","",H271/MAX(H$5:H271)-1)</f>
        <v/>
      </c>
      <c r="K271" s="13" t="str">
        <f>IF(OR('实盘净值数据(iFinD）'!$A271="",'实盘净值数据(iFinD）'!$B271="",'实盘净值数据(iFinD）'!$Z271="",'实盘净值数据(iFinD）'!$AA271=""),"",分期持仓明细!$AB$23*(SUMPRODUCT(分期持仓明细!$B$23:$Y$23,'实盘净值数据(iFinD）'!$B271:$Y271/'实盘净值数据(iFinD）'!$B$65:$Y$65)+SUMPRODUCT(分期持仓明细!$AC$23:$AD$23,'实盘净值数据(iFinD）'!$Z271:$AA271/'实盘净值数据(iFinD）'!$Z$65:$AA$65))*(1-实盘持仓初始配置!$Z$7)^(('实盘净值数据(iFinD）'!$A271-'实盘净值数据(iFinD）'!$A$8)/365))</f>
        <v/>
      </c>
      <c r="L271" s="16" t="str">
        <f t="shared" si="27"/>
        <v/>
      </c>
      <c r="M271" s="16" t="str">
        <f>IF(K271="","",K271/MAX(K$5:K271)-1)</f>
        <v/>
      </c>
      <c r="N271" s="13" t="str">
        <f>IF(OR('实盘净值数据(iFinD）'!$A271="",'实盘净值数据(iFinD）'!$B271="",'实盘净值数据(iFinD）'!$Z271="",'实盘净值数据(iFinD）'!$AA271=""),"",分期持仓明细!$AB$24*(SUMPRODUCT(分期持仓明细!$B$24:$Y$24,'实盘净值数据(iFinD）'!$B271:$Y271/'实盘净值数据(iFinD）'!$B$65:$Y$65)+SUMPRODUCT(分期持仓明细!$AC$24:$AD$24,'实盘净值数据(iFinD）'!$Z271:$AA271/'实盘净值数据(iFinD）'!$Z$65:$AA$65))*(1-实盘持仓初始配置!$Z$8)^(('实盘净值数据(iFinD）'!$A271-'实盘净值数据(iFinD）'!$A$5)/365))</f>
        <v/>
      </c>
      <c r="O271" s="16" t="str">
        <f t="shared" si="28"/>
        <v/>
      </c>
      <c r="P271" s="16" t="str">
        <f>IF(N271="","",N271/MAX(N$5:N271)-1)</f>
        <v/>
      </c>
      <c r="Q271" s="13" t="str">
        <f>IF(OR('实盘净值数据(iFinD）'!$A271="",'实盘净值数据(iFinD）'!$B271="",'实盘净值数据(iFinD）'!$Z271="",'实盘净值数据(iFinD）'!$AA271=""),"",分期持仓明细!$AB$25*(SUMPRODUCT(分期持仓明细!$B$25:$Y$25,'实盘净值数据(iFinD）'!$B271:$Y271/'实盘净值数据(iFinD）'!$B$65:$Y$65)+SUMPRODUCT(分期持仓明细!$AC$25:$AD$25,'实盘净值数据(iFinD）'!$Z271:$AA271/'实盘净值数据(iFinD）'!$Z$65:$AA$65))*(1-实盘持仓初始配置!$Z$9)^(('实盘净值数据(iFinD）'!$A271-'实盘净值数据(iFinD）'!$A$8)/365))</f>
        <v/>
      </c>
      <c r="R271" s="16" t="str">
        <f t="shared" si="29"/>
        <v/>
      </c>
      <c r="S271" s="16" t="str">
        <f>IF(Q271="","",Q271/MAX(Q$5:Q271)-1)</f>
        <v/>
      </c>
    </row>
    <row r="272" spans="1:19">
      <c r="A272" s="15" t="str">
        <f>IF('实盘净值数据(iFinD）'!A272="","",'实盘净值数据(iFinD）'!A272)</f>
        <v/>
      </c>
      <c r="B272" s="13" t="str">
        <f>IF(OR('实盘净值数据(iFinD）'!$A272="",'实盘净值数据(iFinD）'!$B272=""),"",分期持仓明细!$AB$17*SUMPRODUCT(分期持仓明细!$B$17:$Y$17,'实盘净值数据(iFinD）'!$B272:$Y272/'实盘净值数据(iFinD）'!$B$20:$Y$20)*(1-实盘持仓初始配置!$Z$4)^(('实盘净值数据(iFinD）'!$A272-'实盘净值数据(iFinD）'!$A$6)/365))</f>
        <v/>
      </c>
      <c r="C272" s="16" t="str">
        <f t="shared" si="24"/>
        <v/>
      </c>
      <c r="D272" s="16" t="str">
        <f>IF(B272="","",B272/MAX(B$5:B272)-1)</f>
        <v/>
      </c>
      <c r="E272" s="13" t="str">
        <f>IF(OR('实盘净值数据(iFinD）'!$A272="",'实盘净值数据(iFinD）'!$B272=""),"",分期持仓明细!$AB$18*SUMPRODUCT(分期持仓明细!$B$18:$Y$18,'实盘净值数据(iFinD）'!$B272:$Y272/'实盘净值数据(iFinD）'!$B$20:$Y$20)*(1-实盘持仓初始配置!$Z$5)^(('实盘净值数据(iFinD）'!$A272-'实盘净值数据(iFinD）'!$A$5)/365))</f>
        <v/>
      </c>
      <c r="F272" s="16" t="str">
        <f t="shared" si="25"/>
        <v/>
      </c>
      <c r="G272" s="16" t="str">
        <f>IF(E272="","",E272/MAX(E$5:E272)-1)</f>
        <v/>
      </c>
      <c r="H272" s="13" t="str">
        <f>IF(OR('实盘净值数据(iFinD）'!$A272="",'实盘净值数据(iFinD）'!$B272=""),"",分期持仓明细!$AB$19*SUMPRODUCT(分期持仓明细!$B$19:$Y$19,'实盘净值数据(iFinD）'!$B272:$Y272/'实盘净值数据(iFinD）'!$B$20:$Y$20)*(1-实盘持仓初始配置!$Z$6)^(('实盘净值数据(iFinD）'!$A272-'实盘净值数据(iFinD）'!$A$7)/365))</f>
        <v/>
      </c>
      <c r="I272" s="16" t="str">
        <f t="shared" si="26"/>
        <v/>
      </c>
      <c r="J272" s="16" t="str">
        <f>IF(H272="","",H272/MAX(H$5:H272)-1)</f>
        <v/>
      </c>
      <c r="K272" s="13" t="str">
        <f>IF(OR('实盘净值数据(iFinD）'!$A272="",'实盘净值数据(iFinD）'!$B272="",'实盘净值数据(iFinD）'!$Z272="",'实盘净值数据(iFinD）'!$AA272=""),"",分期持仓明细!$AB$23*(SUMPRODUCT(分期持仓明细!$B$23:$Y$23,'实盘净值数据(iFinD）'!$B272:$Y272/'实盘净值数据(iFinD）'!$B$65:$Y$65)+SUMPRODUCT(分期持仓明细!$AC$23:$AD$23,'实盘净值数据(iFinD）'!$Z272:$AA272/'实盘净值数据(iFinD）'!$Z$65:$AA$65))*(1-实盘持仓初始配置!$Z$7)^(('实盘净值数据(iFinD）'!$A272-'实盘净值数据(iFinD）'!$A$8)/365))</f>
        <v/>
      </c>
      <c r="L272" s="16" t="str">
        <f t="shared" si="27"/>
        <v/>
      </c>
      <c r="M272" s="16" t="str">
        <f>IF(K272="","",K272/MAX(K$5:K272)-1)</f>
        <v/>
      </c>
      <c r="N272" s="13" t="str">
        <f>IF(OR('实盘净值数据(iFinD）'!$A272="",'实盘净值数据(iFinD）'!$B272="",'实盘净值数据(iFinD）'!$Z272="",'实盘净值数据(iFinD）'!$AA272=""),"",分期持仓明细!$AB$24*(SUMPRODUCT(分期持仓明细!$B$24:$Y$24,'实盘净值数据(iFinD）'!$B272:$Y272/'实盘净值数据(iFinD）'!$B$65:$Y$65)+SUMPRODUCT(分期持仓明细!$AC$24:$AD$24,'实盘净值数据(iFinD）'!$Z272:$AA272/'实盘净值数据(iFinD）'!$Z$65:$AA$65))*(1-实盘持仓初始配置!$Z$8)^(('实盘净值数据(iFinD）'!$A272-'实盘净值数据(iFinD）'!$A$5)/365))</f>
        <v/>
      </c>
      <c r="O272" s="16" t="str">
        <f t="shared" si="28"/>
        <v/>
      </c>
      <c r="P272" s="16" t="str">
        <f>IF(N272="","",N272/MAX(N$5:N272)-1)</f>
        <v/>
      </c>
      <c r="Q272" s="13" t="str">
        <f>IF(OR('实盘净值数据(iFinD）'!$A272="",'实盘净值数据(iFinD）'!$B272="",'实盘净值数据(iFinD）'!$Z272="",'实盘净值数据(iFinD）'!$AA272=""),"",分期持仓明细!$AB$25*(SUMPRODUCT(分期持仓明细!$B$25:$Y$25,'实盘净值数据(iFinD）'!$B272:$Y272/'实盘净值数据(iFinD）'!$B$65:$Y$65)+SUMPRODUCT(分期持仓明细!$AC$25:$AD$25,'实盘净值数据(iFinD）'!$Z272:$AA272/'实盘净值数据(iFinD）'!$Z$65:$AA$65))*(1-实盘持仓初始配置!$Z$9)^(('实盘净值数据(iFinD）'!$A272-'实盘净值数据(iFinD）'!$A$8)/365))</f>
        <v/>
      </c>
      <c r="R272" s="16" t="str">
        <f t="shared" si="29"/>
        <v/>
      </c>
      <c r="S272" s="16" t="str">
        <f>IF(Q272="","",Q272/MAX(Q$5:Q272)-1)</f>
        <v/>
      </c>
    </row>
    <row r="273" spans="1:19">
      <c r="A273" s="15" t="str">
        <f>IF('实盘净值数据(iFinD）'!A273="","",'实盘净值数据(iFinD）'!A273)</f>
        <v/>
      </c>
      <c r="B273" s="13" t="str">
        <f>IF(OR('实盘净值数据(iFinD）'!$A273="",'实盘净值数据(iFinD）'!$B273=""),"",分期持仓明细!$AB$17*SUMPRODUCT(分期持仓明细!$B$17:$Y$17,'实盘净值数据(iFinD）'!$B273:$Y273/'实盘净值数据(iFinD）'!$B$20:$Y$20)*(1-实盘持仓初始配置!$Z$4)^(('实盘净值数据(iFinD）'!$A273-'实盘净值数据(iFinD）'!$A$6)/365))</f>
        <v/>
      </c>
      <c r="C273" s="16" t="str">
        <f t="shared" si="24"/>
        <v/>
      </c>
      <c r="D273" s="16" t="str">
        <f>IF(B273="","",B273/MAX(B$5:B273)-1)</f>
        <v/>
      </c>
      <c r="E273" s="13" t="str">
        <f>IF(OR('实盘净值数据(iFinD）'!$A273="",'实盘净值数据(iFinD）'!$B273=""),"",分期持仓明细!$AB$18*SUMPRODUCT(分期持仓明细!$B$18:$Y$18,'实盘净值数据(iFinD）'!$B273:$Y273/'实盘净值数据(iFinD）'!$B$20:$Y$20)*(1-实盘持仓初始配置!$Z$5)^(('实盘净值数据(iFinD）'!$A273-'实盘净值数据(iFinD）'!$A$5)/365))</f>
        <v/>
      </c>
      <c r="F273" s="16" t="str">
        <f t="shared" si="25"/>
        <v/>
      </c>
      <c r="G273" s="16" t="str">
        <f>IF(E273="","",E273/MAX(E$5:E273)-1)</f>
        <v/>
      </c>
      <c r="H273" s="13" t="str">
        <f>IF(OR('实盘净值数据(iFinD）'!$A273="",'实盘净值数据(iFinD）'!$B273=""),"",分期持仓明细!$AB$19*SUMPRODUCT(分期持仓明细!$B$19:$Y$19,'实盘净值数据(iFinD）'!$B273:$Y273/'实盘净值数据(iFinD）'!$B$20:$Y$20)*(1-实盘持仓初始配置!$Z$6)^(('实盘净值数据(iFinD）'!$A273-'实盘净值数据(iFinD）'!$A$7)/365))</f>
        <v/>
      </c>
      <c r="I273" s="16" t="str">
        <f t="shared" si="26"/>
        <v/>
      </c>
      <c r="J273" s="16" t="str">
        <f>IF(H273="","",H273/MAX(H$5:H273)-1)</f>
        <v/>
      </c>
      <c r="K273" s="13" t="str">
        <f>IF(OR('实盘净值数据(iFinD）'!$A273="",'实盘净值数据(iFinD）'!$B273="",'实盘净值数据(iFinD）'!$Z273="",'实盘净值数据(iFinD）'!$AA273=""),"",分期持仓明细!$AB$23*(SUMPRODUCT(分期持仓明细!$B$23:$Y$23,'实盘净值数据(iFinD）'!$B273:$Y273/'实盘净值数据(iFinD）'!$B$65:$Y$65)+SUMPRODUCT(分期持仓明细!$AC$23:$AD$23,'实盘净值数据(iFinD）'!$Z273:$AA273/'实盘净值数据(iFinD）'!$Z$65:$AA$65))*(1-实盘持仓初始配置!$Z$7)^(('实盘净值数据(iFinD）'!$A273-'实盘净值数据(iFinD）'!$A$8)/365))</f>
        <v/>
      </c>
      <c r="L273" s="16" t="str">
        <f t="shared" si="27"/>
        <v/>
      </c>
      <c r="M273" s="16" t="str">
        <f>IF(K273="","",K273/MAX(K$5:K273)-1)</f>
        <v/>
      </c>
      <c r="N273" s="13" t="str">
        <f>IF(OR('实盘净值数据(iFinD）'!$A273="",'实盘净值数据(iFinD）'!$B273="",'实盘净值数据(iFinD）'!$Z273="",'实盘净值数据(iFinD）'!$AA273=""),"",分期持仓明细!$AB$24*(SUMPRODUCT(分期持仓明细!$B$24:$Y$24,'实盘净值数据(iFinD）'!$B273:$Y273/'实盘净值数据(iFinD）'!$B$65:$Y$65)+SUMPRODUCT(分期持仓明细!$AC$24:$AD$24,'实盘净值数据(iFinD）'!$Z273:$AA273/'实盘净值数据(iFinD）'!$Z$65:$AA$65))*(1-实盘持仓初始配置!$Z$8)^(('实盘净值数据(iFinD）'!$A273-'实盘净值数据(iFinD）'!$A$5)/365))</f>
        <v/>
      </c>
      <c r="O273" s="16" t="str">
        <f t="shared" si="28"/>
        <v/>
      </c>
      <c r="P273" s="16" t="str">
        <f>IF(N273="","",N273/MAX(N$5:N273)-1)</f>
        <v/>
      </c>
      <c r="Q273" s="13" t="str">
        <f>IF(OR('实盘净值数据(iFinD）'!$A273="",'实盘净值数据(iFinD）'!$B273="",'实盘净值数据(iFinD）'!$Z273="",'实盘净值数据(iFinD）'!$AA273=""),"",分期持仓明细!$AB$25*(SUMPRODUCT(分期持仓明细!$B$25:$Y$25,'实盘净值数据(iFinD）'!$B273:$Y273/'实盘净值数据(iFinD）'!$B$65:$Y$65)+SUMPRODUCT(分期持仓明细!$AC$25:$AD$25,'实盘净值数据(iFinD）'!$Z273:$AA273/'实盘净值数据(iFinD）'!$Z$65:$AA$65))*(1-实盘持仓初始配置!$Z$9)^(('实盘净值数据(iFinD）'!$A273-'实盘净值数据(iFinD）'!$A$8)/365))</f>
        <v/>
      </c>
      <c r="R273" s="16" t="str">
        <f t="shared" si="29"/>
        <v/>
      </c>
      <c r="S273" s="16" t="str">
        <f>IF(Q273="","",Q273/MAX(Q$5:Q273)-1)</f>
        <v/>
      </c>
    </row>
    <row r="274" spans="1:19">
      <c r="A274" s="15" t="str">
        <f>IF('实盘净值数据(iFinD）'!A274="","",'实盘净值数据(iFinD）'!A274)</f>
        <v/>
      </c>
      <c r="B274" s="13" t="str">
        <f>IF(OR('实盘净值数据(iFinD）'!$A274="",'实盘净值数据(iFinD）'!$B274=""),"",分期持仓明细!$AB$17*SUMPRODUCT(分期持仓明细!$B$17:$Y$17,'实盘净值数据(iFinD）'!$B274:$Y274/'实盘净值数据(iFinD）'!$B$20:$Y$20)*(1-实盘持仓初始配置!$Z$4)^(('实盘净值数据(iFinD）'!$A274-'实盘净值数据(iFinD）'!$A$6)/365))</f>
        <v/>
      </c>
      <c r="C274" s="16" t="str">
        <f t="shared" si="24"/>
        <v/>
      </c>
      <c r="D274" s="16" t="str">
        <f>IF(B274="","",B274/MAX(B$5:B274)-1)</f>
        <v/>
      </c>
      <c r="E274" s="13" t="str">
        <f>IF(OR('实盘净值数据(iFinD）'!$A274="",'实盘净值数据(iFinD）'!$B274=""),"",分期持仓明细!$AB$18*SUMPRODUCT(分期持仓明细!$B$18:$Y$18,'实盘净值数据(iFinD）'!$B274:$Y274/'实盘净值数据(iFinD）'!$B$20:$Y$20)*(1-实盘持仓初始配置!$Z$5)^(('实盘净值数据(iFinD）'!$A274-'实盘净值数据(iFinD）'!$A$5)/365))</f>
        <v/>
      </c>
      <c r="F274" s="16" t="str">
        <f t="shared" si="25"/>
        <v/>
      </c>
      <c r="G274" s="16" t="str">
        <f>IF(E274="","",E274/MAX(E$5:E274)-1)</f>
        <v/>
      </c>
      <c r="H274" s="13" t="str">
        <f>IF(OR('实盘净值数据(iFinD）'!$A274="",'实盘净值数据(iFinD）'!$B274=""),"",分期持仓明细!$AB$19*SUMPRODUCT(分期持仓明细!$B$19:$Y$19,'实盘净值数据(iFinD）'!$B274:$Y274/'实盘净值数据(iFinD）'!$B$20:$Y$20)*(1-实盘持仓初始配置!$Z$6)^(('实盘净值数据(iFinD）'!$A274-'实盘净值数据(iFinD）'!$A$7)/365))</f>
        <v/>
      </c>
      <c r="I274" s="16" t="str">
        <f t="shared" si="26"/>
        <v/>
      </c>
      <c r="J274" s="16" t="str">
        <f>IF(H274="","",H274/MAX(H$5:H274)-1)</f>
        <v/>
      </c>
      <c r="K274" s="13" t="str">
        <f>IF(OR('实盘净值数据(iFinD）'!$A274="",'实盘净值数据(iFinD）'!$B274="",'实盘净值数据(iFinD）'!$Z274="",'实盘净值数据(iFinD）'!$AA274=""),"",分期持仓明细!$AB$23*(SUMPRODUCT(分期持仓明细!$B$23:$Y$23,'实盘净值数据(iFinD）'!$B274:$Y274/'实盘净值数据(iFinD）'!$B$65:$Y$65)+SUMPRODUCT(分期持仓明细!$AC$23:$AD$23,'实盘净值数据(iFinD）'!$Z274:$AA274/'实盘净值数据(iFinD）'!$Z$65:$AA$65))*(1-实盘持仓初始配置!$Z$7)^(('实盘净值数据(iFinD）'!$A274-'实盘净值数据(iFinD）'!$A$8)/365))</f>
        <v/>
      </c>
      <c r="L274" s="16" t="str">
        <f t="shared" si="27"/>
        <v/>
      </c>
      <c r="M274" s="16" t="str">
        <f>IF(K274="","",K274/MAX(K$5:K274)-1)</f>
        <v/>
      </c>
      <c r="N274" s="13" t="str">
        <f>IF(OR('实盘净值数据(iFinD）'!$A274="",'实盘净值数据(iFinD）'!$B274="",'实盘净值数据(iFinD）'!$Z274="",'实盘净值数据(iFinD）'!$AA274=""),"",分期持仓明细!$AB$24*(SUMPRODUCT(分期持仓明细!$B$24:$Y$24,'实盘净值数据(iFinD）'!$B274:$Y274/'实盘净值数据(iFinD）'!$B$65:$Y$65)+SUMPRODUCT(分期持仓明细!$AC$24:$AD$24,'实盘净值数据(iFinD）'!$Z274:$AA274/'实盘净值数据(iFinD）'!$Z$65:$AA$65))*(1-实盘持仓初始配置!$Z$8)^(('实盘净值数据(iFinD）'!$A274-'实盘净值数据(iFinD）'!$A$5)/365))</f>
        <v/>
      </c>
      <c r="O274" s="16" t="str">
        <f t="shared" si="28"/>
        <v/>
      </c>
      <c r="P274" s="16" t="str">
        <f>IF(N274="","",N274/MAX(N$5:N274)-1)</f>
        <v/>
      </c>
      <c r="Q274" s="13" t="str">
        <f>IF(OR('实盘净值数据(iFinD）'!$A274="",'实盘净值数据(iFinD）'!$B274="",'实盘净值数据(iFinD）'!$Z274="",'实盘净值数据(iFinD）'!$AA274=""),"",分期持仓明细!$AB$25*(SUMPRODUCT(分期持仓明细!$B$25:$Y$25,'实盘净值数据(iFinD）'!$B274:$Y274/'实盘净值数据(iFinD）'!$B$65:$Y$65)+SUMPRODUCT(分期持仓明细!$AC$25:$AD$25,'实盘净值数据(iFinD）'!$Z274:$AA274/'实盘净值数据(iFinD）'!$Z$65:$AA$65))*(1-实盘持仓初始配置!$Z$9)^(('实盘净值数据(iFinD）'!$A274-'实盘净值数据(iFinD）'!$A$8)/365))</f>
        <v/>
      </c>
      <c r="R274" s="16" t="str">
        <f t="shared" si="29"/>
        <v/>
      </c>
      <c r="S274" s="16" t="str">
        <f>IF(Q274="","",Q274/MAX(Q$5:Q274)-1)</f>
        <v/>
      </c>
    </row>
    <row r="275" spans="1:19">
      <c r="A275" s="15" t="str">
        <f>IF('实盘净值数据(iFinD）'!A275="","",'实盘净值数据(iFinD）'!A275)</f>
        <v/>
      </c>
      <c r="B275" s="13" t="str">
        <f>IF(OR('实盘净值数据(iFinD）'!$A275="",'实盘净值数据(iFinD）'!$B275=""),"",分期持仓明细!$AB$17*SUMPRODUCT(分期持仓明细!$B$17:$Y$17,'实盘净值数据(iFinD）'!$B275:$Y275/'实盘净值数据(iFinD）'!$B$20:$Y$20)*(1-实盘持仓初始配置!$Z$4)^(('实盘净值数据(iFinD）'!$A275-'实盘净值数据(iFinD）'!$A$6)/365))</f>
        <v/>
      </c>
      <c r="C275" s="16" t="str">
        <f t="shared" si="24"/>
        <v/>
      </c>
      <c r="D275" s="16" t="str">
        <f>IF(B275="","",B275/MAX(B$5:B275)-1)</f>
        <v/>
      </c>
      <c r="E275" s="13" t="str">
        <f>IF(OR('实盘净值数据(iFinD）'!$A275="",'实盘净值数据(iFinD）'!$B275=""),"",分期持仓明细!$AB$18*SUMPRODUCT(分期持仓明细!$B$18:$Y$18,'实盘净值数据(iFinD）'!$B275:$Y275/'实盘净值数据(iFinD）'!$B$20:$Y$20)*(1-实盘持仓初始配置!$Z$5)^(('实盘净值数据(iFinD）'!$A275-'实盘净值数据(iFinD）'!$A$5)/365))</f>
        <v/>
      </c>
      <c r="F275" s="16" t="str">
        <f t="shared" si="25"/>
        <v/>
      </c>
      <c r="G275" s="16" t="str">
        <f>IF(E275="","",E275/MAX(E$5:E275)-1)</f>
        <v/>
      </c>
      <c r="H275" s="13" t="str">
        <f>IF(OR('实盘净值数据(iFinD）'!$A275="",'实盘净值数据(iFinD）'!$B275=""),"",分期持仓明细!$AB$19*SUMPRODUCT(分期持仓明细!$B$19:$Y$19,'实盘净值数据(iFinD）'!$B275:$Y275/'实盘净值数据(iFinD）'!$B$20:$Y$20)*(1-实盘持仓初始配置!$Z$6)^(('实盘净值数据(iFinD）'!$A275-'实盘净值数据(iFinD）'!$A$7)/365))</f>
        <v/>
      </c>
      <c r="I275" s="16" t="str">
        <f t="shared" si="26"/>
        <v/>
      </c>
      <c r="J275" s="16" t="str">
        <f>IF(H275="","",H275/MAX(H$5:H275)-1)</f>
        <v/>
      </c>
      <c r="K275" s="13" t="str">
        <f>IF(OR('实盘净值数据(iFinD）'!$A275="",'实盘净值数据(iFinD）'!$B275="",'实盘净值数据(iFinD）'!$Z275="",'实盘净值数据(iFinD）'!$AA275=""),"",分期持仓明细!$AB$23*(SUMPRODUCT(分期持仓明细!$B$23:$Y$23,'实盘净值数据(iFinD）'!$B275:$Y275/'实盘净值数据(iFinD）'!$B$65:$Y$65)+SUMPRODUCT(分期持仓明细!$AC$23:$AD$23,'实盘净值数据(iFinD）'!$Z275:$AA275/'实盘净值数据(iFinD）'!$Z$65:$AA$65))*(1-实盘持仓初始配置!$Z$7)^(('实盘净值数据(iFinD）'!$A275-'实盘净值数据(iFinD）'!$A$8)/365))</f>
        <v/>
      </c>
      <c r="L275" s="16" t="str">
        <f t="shared" si="27"/>
        <v/>
      </c>
      <c r="M275" s="16" t="str">
        <f>IF(K275="","",K275/MAX(K$5:K275)-1)</f>
        <v/>
      </c>
      <c r="N275" s="13" t="str">
        <f>IF(OR('实盘净值数据(iFinD）'!$A275="",'实盘净值数据(iFinD）'!$B275="",'实盘净值数据(iFinD）'!$Z275="",'实盘净值数据(iFinD）'!$AA275=""),"",分期持仓明细!$AB$24*(SUMPRODUCT(分期持仓明细!$B$24:$Y$24,'实盘净值数据(iFinD）'!$B275:$Y275/'实盘净值数据(iFinD）'!$B$65:$Y$65)+SUMPRODUCT(分期持仓明细!$AC$24:$AD$24,'实盘净值数据(iFinD）'!$Z275:$AA275/'实盘净值数据(iFinD）'!$Z$65:$AA$65))*(1-实盘持仓初始配置!$Z$8)^(('实盘净值数据(iFinD）'!$A275-'实盘净值数据(iFinD）'!$A$5)/365))</f>
        <v/>
      </c>
      <c r="O275" s="16" t="str">
        <f t="shared" si="28"/>
        <v/>
      </c>
      <c r="P275" s="16" t="str">
        <f>IF(N275="","",N275/MAX(N$5:N275)-1)</f>
        <v/>
      </c>
      <c r="Q275" s="13" t="str">
        <f>IF(OR('实盘净值数据(iFinD）'!$A275="",'实盘净值数据(iFinD）'!$B275="",'实盘净值数据(iFinD）'!$Z275="",'实盘净值数据(iFinD）'!$AA275=""),"",分期持仓明细!$AB$25*(SUMPRODUCT(分期持仓明细!$B$25:$Y$25,'实盘净值数据(iFinD）'!$B275:$Y275/'实盘净值数据(iFinD）'!$B$65:$Y$65)+SUMPRODUCT(分期持仓明细!$AC$25:$AD$25,'实盘净值数据(iFinD）'!$Z275:$AA275/'实盘净值数据(iFinD）'!$Z$65:$AA$65))*(1-实盘持仓初始配置!$Z$9)^(('实盘净值数据(iFinD）'!$A275-'实盘净值数据(iFinD）'!$A$8)/365))</f>
        <v/>
      </c>
      <c r="R275" s="16" t="str">
        <f t="shared" si="29"/>
        <v/>
      </c>
      <c r="S275" s="16" t="str">
        <f>IF(Q275="","",Q275/MAX(Q$5:Q275)-1)</f>
        <v/>
      </c>
    </row>
    <row r="276" spans="1:19">
      <c r="A276" s="15" t="str">
        <f>IF('实盘净值数据(iFinD）'!A276="","",'实盘净值数据(iFinD）'!A276)</f>
        <v/>
      </c>
      <c r="B276" s="13" t="str">
        <f>IF(OR('实盘净值数据(iFinD）'!$A276="",'实盘净值数据(iFinD）'!$B276=""),"",分期持仓明细!$AB$17*SUMPRODUCT(分期持仓明细!$B$17:$Y$17,'实盘净值数据(iFinD）'!$B276:$Y276/'实盘净值数据(iFinD）'!$B$20:$Y$20)*(1-实盘持仓初始配置!$Z$4)^(('实盘净值数据(iFinD）'!$A276-'实盘净值数据(iFinD）'!$A$6)/365))</f>
        <v/>
      </c>
      <c r="C276" s="16" t="str">
        <f t="shared" si="24"/>
        <v/>
      </c>
      <c r="D276" s="16" t="str">
        <f>IF(B276="","",B276/MAX(B$5:B276)-1)</f>
        <v/>
      </c>
      <c r="E276" s="13" t="str">
        <f>IF(OR('实盘净值数据(iFinD）'!$A276="",'实盘净值数据(iFinD）'!$B276=""),"",分期持仓明细!$AB$18*SUMPRODUCT(分期持仓明细!$B$18:$Y$18,'实盘净值数据(iFinD）'!$B276:$Y276/'实盘净值数据(iFinD）'!$B$20:$Y$20)*(1-实盘持仓初始配置!$Z$5)^(('实盘净值数据(iFinD）'!$A276-'实盘净值数据(iFinD）'!$A$5)/365))</f>
        <v/>
      </c>
      <c r="F276" s="16" t="str">
        <f t="shared" si="25"/>
        <v/>
      </c>
      <c r="G276" s="16" t="str">
        <f>IF(E276="","",E276/MAX(E$5:E276)-1)</f>
        <v/>
      </c>
      <c r="H276" s="13" t="str">
        <f>IF(OR('实盘净值数据(iFinD）'!$A276="",'实盘净值数据(iFinD）'!$B276=""),"",分期持仓明细!$AB$19*SUMPRODUCT(分期持仓明细!$B$19:$Y$19,'实盘净值数据(iFinD）'!$B276:$Y276/'实盘净值数据(iFinD）'!$B$20:$Y$20)*(1-实盘持仓初始配置!$Z$6)^(('实盘净值数据(iFinD）'!$A276-'实盘净值数据(iFinD）'!$A$7)/365))</f>
        <v/>
      </c>
      <c r="I276" s="16" t="str">
        <f t="shared" si="26"/>
        <v/>
      </c>
      <c r="J276" s="16" t="str">
        <f>IF(H276="","",H276/MAX(H$5:H276)-1)</f>
        <v/>
      </c>
      <c r="K276" s="13" t="str">
        <f>IF(OR('实盘净值数据(iFinD）'!$A276="",'实盘净值数据(iFinD）'!$B276="",'实盘净值数据(iFinD）'!$Z276="",'实盘净值数据(iFinD）'!$AA276=""),"",分期持仓明细!$AB$23*(SUMPRODUCT(分期持仓明细!$B$23:$Y$23,'实盘净值数据(iFinD）'!$B276:$Y276/'实盘净值数据(iFinD）'!$B$65:$Y$65)+SUMPRODUCT(分期持仓明细!$AC$23:$AD$23,'实盘净值数据(iFinD）'!$Z276:$AA276/'实盘净值数据(iFinD）'!$Z$65:$AA$65))*(1-实盘持仓初始配置!$Z$7)^(('实盘净值数据(iFinD）'!$A276-'实盘净值数据(iFinD）'!$A$8)/365))</f>
        <v/>
      </c>
      <c r="L276" s="16" t="str">
        <f t="shared" si="27"/>
        <v/>
      </c>
      <c r="M276" s="16" t="str">
        <f>IF(K276="","",K276/MAX(K$5:K276)-1)</f>
        <v/>
      </c>
      <c r="N276" s="13" t="str">
        <f>IF(OR('实盘净值数据(iFinD）'!$A276="",'实盘净值数据(iFinD）'!$B276="",'实盘净值数据(iFinD）'!$Z276="",'实盘净值数据(iFinD）'!$AA276=""),"",分期持仓明细!$AB$24*(SUMPRODUCT(分期持仓明细!$B$24:$Y$24,'实盘净值数据(iFinD）'!$B276:$Y276/'实盘净值数据(iFinD）'!$B$65:$Y$65)+SUMPRODUCT(分期持仓明细!$AC$24:$AD$24,'实盘净值数据(iFinD）'!$Z276:$AA276/'实盘净值数据(iFinD）'!$Z$65:$AA$65))*(1-实盘持仓初始配置!$Z$8)^(('实盘净值数据(iFinD）'!$A276-'实盘净值数据(iFinD）'!$A$5)/365))</f>
        <v/>
      </c>
      <c r="O276" s="16" t="str">
        <f t="shared" si="28"/>
        <v/>
      </c>
      <c r="P276" s="16" t="str">
        <f>IF(N276="","",N276/MAX(N$5:N276)-1)</f>
        <v/>
      </c>
      <c r="Q276" s="13" t="str">
        <f>IF(OR('实盘净值数据(iFinD）'!$A276="",'实盘净值数据(iFinD）'!$B276="",'实盘净值数据(iFinD）'!$Z276="",'实盘净值数据(iFinD）'!$AA276=""),"",分期持仓明细!$AB$25*(SUMPRODUCT(分期持仓明细!$B$25:$Y$25,'实盘净值数据(iFinD）'!$B276:$Y276/'实盘净值数据(iFinD）'!$B$65:$Y$65)+SUMPRODUCT(分期持仓明细!$AC$25:$AD$25,'实盘净值数据(iFinD）'!$Z276:$AA276/'实盘净值数据(iFinD）'!$Z$65:$AA$65))*(1-实盘持仓初始配置!$Z$9)^(('实盘净值数据(iFinD）'!$A276-'实盘净值数据(iFinD）'!$A$8)/365))</f>
        <v/>
      </c>
      <c r="R276" s="16" t="str">
        <f t="shared" si="29"/>
        <v/>
      </c>
      <c r="S276" s="16" t="str">
        <f>IF(Q276="","",Q276/MAX(Q$5:Q276)-1)</f>
        <v/>
      </c>
    </row>
    <row r="277" spans="1:19">
      <c r="A277" s="15" t="str">
        <f>IF('实盘净值数据(iFinD）'!A277="","",'实盘净值数据(iFinD）'!A277)</f>
        <v/>
      </c>
      <c r="B277" s="13" t="str">
        <f>IF(OR('实盘净值数据(iFinD）'!$A277="",'实盘净值数据(iFinD）'!$B277=""),"",分期持仓明细!$AB$17*SUMPRODUCT(分期持仓明细!$B$17:$Y$17,'实盘净值数据(iFinD）'!$B277:$Y277/'实盘净值数据(iFinD）'!$B$20:$Y$20)*(1-实盘持仓初始配置!$Z$4)^(('实盘净值数据(iFinD）'!$A277-'实盘净值数据(iFinD）'!$A$6)/365))</f>
        <v/>
      </c>
      <c r="C277" s="16" t="str">
        <f t="shared" si="24"/>
        <v/>
      </c>
      <c r="D277" s="16" t="str">
        <f>IF(B277="","",B277/MAX(B$5:B277)-1)</f>
        <v/>
      </c>
      <c r="E277" s="13" t="str">
        <f>IF(OR('实盘净值数据(iFinD）'!$A277="",'实盘净值数据(iFinD）'!$B277=""),"",分期持仓明细!$AB$18*SUMPRODUCT(分期持仓明细!$B$18:$Y$18,'实盘净值数据(iFinD）'!$B277:$Y277/'实盘净值数据(iFinD）'!$B$20:$Y$20)*(1-实盘持仓初始配置!$Z$5)^(('实盘净值数据(iFinD）'!$A277-'实盘净值数据(iFinD）'!$A$5)/365))</f>
        <v/>
      </c>
      <c r="F277" s="16" t="str">
        <f t="shared" si="25"/>
        <v/>
      </c>
      <c r="G277" s="16" t="str">
        <f>IF(E277="","",E277/MAX(E$5:E277)-1)</f>
        <v/>
      </c>
      <c r="H277" s="13" t="str">
        <f>IF(OR('实盘净值数据(iFinD）'!$A277="",'实盘净值数据(iFinD）'!$B277=""),"",分期持仓明细!$AB$19*SUMPRODUCT(分期持仓明细!$B$19:$Y$19,'实盘净值数据(iFinD）'!$B277:$Y277/'实盘净值数据(iFinD）'!$B$20:$Y$20)*(1-实盘持仓初始配置!$Z$6)^(('实盘净值数据(iFinD）'!$A277-'实盘净值数据(iFinD）'!$A$7)/365))</f>
        <v/>
      </c>
      <c r="I277" s="16" t="str">
        <f t="shared" si="26"/>
        <v/>
      </c>
      <c r="J277" s="16" t="str">
        <f>IF(H277="","",H277/MAX(H$5:H277)-1)</f>
        <v/>
      </c>
      <c r="K277" s="13" t="str">
        <f>IF(OR('实盘净值数据(iFinD）'!$A277="",'实盘净值数据(iFinD）'!$B277="",'实盘净值数据(iFinD）'!$Z277="",'实盘净值数据(iFinD）'!$AA277=""),"",分期持仓明细!$AB$23*(SUMPRODUCT(分期持仓明细!$B$23:$Y$23,'实盘净值数据(iFinD）'!$B277:$Y277/'实盘净值数据(iFinD）'!$B$65:$Y$65)+SUMPRODUCT(分期持仓明细!$AC$23:$AD$23,'实盘净值数据(iFinD）'!$Z277:$AA277/'实盘净值数据(iFinD）'!$Z$65:$AA$65))*(1-实盘持仓初始配置!$Z$7)^(('实盘净值数据(iFinD）'!$A277-'实盘净值数据(iFinD）'!$A$8)/365))</f>
        <v/>
      </c>
      <c r="L277" s="16" t="str">
        <f t="shared" si="27"/>
        <v/>
      </c>
      <c r="M277" s="16" t="str">
        <f>IF(K277="","",K277/MAX(K$5:K277)-1)</f>
        <v/>
      </c>
      <c r="N277" s="13" t="str">
        <f>IF(OR('实盘净值数据(iFinD）'!$A277="",'实盘净值数据(iFinD）'!$B277="",'实盘净值数据(iFinD）'!$Z277="",'实盘净值数据(iFinD）'!$AA277=""),"",分期持仓明细!$AB$24*(SUMPRODUCT(分期持仓明细!$B$24:$Y$24,'实盘净值数据(iFinD）'!$B277:$Y277/'实盘净值数据(iFinD）'!$B$65:$Y$65)+SUMPRODUCT(分期持仓明细!$AC$24:$AD$24,'实盘净值数据(iFinD）'!$Z277:$AA277/'实盘净值数据(iFinD）'!$Z$65:$AA$65))*(1-实盘持仓初始配置!$Z$8)^(('实盘净值数据(iFinD）'!$A277-'实盘净值数据(iFinD）'!$A$5)/365))</f>
        <v/>
      </c>
      <c r="O277" s="16" t="str">
        <f t="shared" si="28"/>
        <v/>
      </c>
      <c r="P277" s="16" t="str">
        <f>IF(N277="","",N277/MAX(N$5:N277)-1)</f>
        <v/>
      </c>
      <c r="Q277" s="13" t="str">
        <f>IF(OR('实盘净值数据(iFinD）'!$A277="",'实盘净值数据(iFinD）'!$B277="",'实盘净值数据(iFinD）'!$Z277="",'实盘净值数据(iFinD）'!$AA277=""),"",分期持仓明细!$AB$25*(SUMPRODUCT(分期持仓明细!$B$25:$Y$25,'实盘净值数据(iFinD）'!$B277:$Y277/'实盘净值数据(iFinD）'!$B$65:$Y$65)+SUMPRODUCT(分期持仓明细!$AC$25:$AD$25,'实盘净值数据(iFinD）'!$Z277:$AA277/'实盘净值数据(iFinD）'!$Z$65:$AA$65))*(1-实盘持仓初始配置!$Z$9)^(('实盘净值数据(iFinD）'!$A277-'实盘净值数据(iFinD）'!$A$8)/365))</f>
        <v/>
      </c>
      <c r="R277" s="16" t="str">
        <f t="shared" si="29"/>
        <v/>
      </c>
      <c r="S277" s="16" t="str">
        <f>IF(Q277="","",Q277/MAX(Q$5:Q277)-1)</f>
        <v/>
      </c>
    </row>
    <row r="278" spans="1:19">
      <c r="A278" s="15" t="str">
        <f>IF('实盘净值数据(iFinD）'!A278="","",'实盘净值数据(iFinD）'!A278)</f>
        <v/>
      </c>
      <c r="B278" s="13" t="str">
        <f>IF(OR('实盘净值数据(iFinD）'!$A278="",'实盘净值数据(iFinD）'!$B278=""),"",分期持仓明细!$AB$17*SUMPRODUCT(分期持仓明细!$B$17:$Y$17,'实盘净值数据(iFinD）'!$B278:$Y278/'实盘净值数据(iFinD）'!$B$20:$Y$20)*(1-实盘持仓初始配置!$Z$4)^(('实盘净值数据(iFinD）'!$A278-'实盘净值数据(iFinD）'!$A$6)/365))</f>
        <v/>
      </c>
      <c r="C278" s="16" t="str">
        <f t="shared" si="24"/>
        <v/>
      </c>
      <c r="D278" s="16" t="str">
        <f>IF(B278="","",B278/MAX(B$5:B278)-1)</f>
        <v/>
      </c>
      <c r="E278" s="13" t="str">
        <f>IF(OR('实盘净值数据(iFinD）'!$A278="",'实盘净值数据(iFinD）'!$B278=""),"",分期持仓明细!$AB$18*SUMPRODUCT(分期持仓明细!$B$18:$Y$18,'实盘净值数据(iFinD）'!$B278:$Y278/'实盘净值数据(iFinD）'!$B$20:$Y$20)*(1-实盘持仓初始配置!$Z$5)^(('实盘净值数据(iFinD）'!$A278-'实盘净值数据(iFinD）'!$A$5)/365))</f>
        <v/>
      </c>
      <c r="F278" s="16" t="str">
        <f t="shared" si="25"/>
        <v/>
      </c>
      <c r="G278" s="16" t="str">
        <f>IF(E278="","",E278/MAX(E$5:E278)-1)</f>
        <v/>
      </c>
      <c r="H278" s="13" t="str">
        <f>IF(OR('实盘净值数据(iFinD）'!$A278="",'实盘净值数据(iFinD）'!$B278=""),"",分期持仓明细!$AB$19*SUMPRODUCT(分期持仓明细!$B$19:$Y$19,'实盘净值数据(iFinD）'!$B278:$Y278/'实盘净值数据(iFinD）'!$B$20:$Y$20)*(1-实盘持仓初始配置!$Z$6)^(('实盘净值数据(iFinD）'!$A278-'实盘净值数据(iFinD）'!$A$7)/365))</f>
        <v/>
      </c>
      <c r="I278" s="16" t="str">
        <f t="shared" si="26"/>
        <v/>
      </c>
      <c r="J278" s="16" t="str">
        <f>IF(H278="","",H278/MAX(H$5:H278)-1)</f>
        <v/>
      </c>
      <c r="K278" s="13" t="str">
        <f>IF(OR('实盘净值数据(iFinD）'!$A278="",'实盘净值数据(iFinD）'!$B278="",'实盘净值数据(iFinD）'!$Z278="",'实盘净值数据(iFinD）'!$AA278=""),"",分期持仓明细!$AB$23*(SUMPRODUCT(分期持仓明细!$B$23:$Y$23,'实盘净值数据(iFinD）'!$B278:$Y278/'实盘净值数据(iFinD）'!$B$65:$Y$65)+SUMPRODUCT(分期持仓明细!$AC$23:$AD$23,'实盘净值数据(iFinD）'!$Z278:$AA278/'实盘净值数据(iFinD）'!$Z$65:$AA$65))*(1-实盘持仓初始配置!$Z$7)^(('实盘净值数据(iFinD）'!$A278-'实盘净值数据(iFinD）'!$A$8)/365))</f>
        <v/>
      </c>
      <c r="L278" s="16" t="str">
        <f t="shared" si="27"/>
        <v/>
      </c>
      <c r="M278" s="16" t="str">
        <f>IF(K278="","",K278/MAX(K$5:K278)-1)</f>
        <v/>
      </c>
      <c r="N278" s="13" t="str">
        <f>IF(OR('实盘净值数据(iFinD）'!$A278="",'实盘净值数据(iFinD）'!$B278="",'实盘净值数据(iFinD）'!$Z278="",'实盘净值数据(iFinD）'!$AA278=""),"",分期持仓明细!$AB$24*(SUMPRODUCT(分期持仓明细!$B$24:$Y$24,'实盘净值数据(iFinD）'!$B278:$Y278/'实盘净值数据(iFinD）'!$B$65:$Y$65)+SUMPRODUCT(分期持仓明细!$AC$24:$AD$24,'实盘净值数据(iFinD）'!$Z278:$AA278/'实盘净值数据(iFinD）'!$Z$65:$AA$65))*(1-实盘持仓初始配置!$Z$8)^(('实盘净值数据(iFinD）'!$A278-'实盘净值数据(iFinD）'!$A$5)/365))</f>
        <v/>
      </c>
      <c r="O278" s="16" t="str">
        <f t="shared" si="28"/>
        <v/>
      </c>
      <c r="P278" s="16" t="str">
        <f>IF(N278="","",N278/MAX(N$5:N278)-1)</f>
        <v/>
      </c>
      <c r="Q278" s="13" t="str">
        <f>IF(OR('实盘净值数据(iFinD）'!$A278="",'实盘净值数据(iFinD）'!$B278="",'实盘净值数据(iFinD）'!$Z278="",'实盘净值数据(iFinD）'!$AA278=""),"",分期持仓明细!$AB$25*(SUMPRODUCT(分期持仓明细!$B$25:$Y$25,'实盘净值数据(iFinD）'!$B278:$Y278/'实盘净值数据(iFinD）'!$B$65:$Y$65)+SUMPRODUCT(分期持仓明细!$AC$25:$AD$25,'实盘净值数据(iFinD）'!$Z278:$AA278/'实盘净值数据(iFinD）'!$Z$65:$AA$65))*(1-实盘持仓初始配置!$Z$9)^(('实盘净值数据(iFinD）'!$A278-'实盘净值数据(iFinD）'!$A$8)/365))</f>
        <v/>
      </c>
      <c r="R278" s="16" t="str">
        <f t="shared" si="29"/>
        <v/>
      </c>
      <c r="S278" s="16" t="str">
        <f>IF(Q278="","",Q278/MAX(Q$5:Q278)-1)</f>
        <v/>
      </c>
    </row>
    <row r="279" spans="1:19">
      <c r="A279" s="15" t="str">
        <f>IF('实盘净值数据(iFinD）'!A279="","",'实盘净值数据(iFinD）'!A279)</f>
        <v/>
      </c>
      <c r="B279" s="13" t="str">
        <f>IF(OR('实盘净值数据(iFinD）'!$A279="",'实盘净值数据(iFinD）'!$B279=""),"",分期持仓明细!$AB$17*SUMPRODUCT(分期持仓明细!$B$17:$Y$17,'实盘净值数据(iFinD）'!$B279:$Y279/'实盘净值数据(iFinD）'!$B$20:$Y$20)*(1-实盘持仓初始配置!$Z$4)^(('实盘净值数据(iFinD）'!$A279-'实盘净值数据(iFinD）'!$A$6)/365))</f>
        <v/>
      </c>
      <c r="C279" s="16" t="str">
        <f t="shared" si="24"/>
        <v/>
      </c>
      <c r="D279" s="16" t="str">
        <f>IF(B279="","",B279/MAX(B$5:B279)-1)</f>
        <v/>
      </c>
      <c r="E279" s="13" t="str">
        <f>IF(OR('实盘净值数据(iFinD）'!$A279="",'实盘净值数据(iFinD）'!$B279=""),"",分期持仓明细!$AB$18*SUMPRODUCT(分期持仓明细!$B$18:$Y$18,'实盘净值数据(iFinD）'!$B279:$Y279/'实盘净值数据(iFinD）'!$B$20:$Y$20)*(1-实盘持仓初始配置!$Z$5)^(('实盘净值数据(iFinD）'!$A279-'实盘净值数据(iFinD）'!$A$5)/365))</f>
        <v/>
      </c>
      <c r="F279" s="16" t="str">
        <f t="shared" si="25"/>
        <v/>
      </c>
      <c r="G279" s="16" t="str">
        <f>IF(E279="","",E279/MAX(E$5:E279)-1)</f>
        <v/>
      </c>
      <c r="H279" s="13" t="str">
        <f>IF(OR('实盘净值数据(iFinD）'!$A279="",'实盘净值数据(iFinD）'!$B279=""),"",分期持仓明细!$AB$19*SUMPRODUCT(分期持仓明细!$B$19:$Y$19,'实盘净值数据(iFinD）'!$B279:$Y279/'实盘净值数据(iFinD）'!$B$20:$Y$20)*(1-实盘持仓初始配置!$Z$6)^(('实盘净值数据(iFinD）'!$A279-'实盘净值数据(iFinD）'!$A$7)/365))</f>
        <v/>
      </c>
      <c r="I279" s="16" t="str">
        <f t="shared" si="26"/>
        <v/>
      </c>
      <c r="J279" s="16" t="str">
        <f>IF(H279="","",H279/MAX(H$5:H279)-1)</f>
        <v/>
      </c>
      <c r="K279" s="13" t="str">
        <f>IF(OR('实盘净值数据(iFinD）'!$A279="",'实盘净值数据(iFinD）'!$B279="",'实盘净值数据(iFinD）'!$Z279="",'实盘净值数据(iFinD）'!$AA279=""),"",分期持仓明细!$AB$23*(SUMPRODUCT(分期持仓明细!$B$23:$Y$23,'实盘净值数据(iFinD）'!$B279:$Y279/'实盘净值数据(iFinD）'!$B$65:$Y$65)+SUMPRODUCT(分期持仓明细!$AC$23:$AD$23,'实盘净值数据(iFinD）'!$Z279:$AA279/'实盘净值数据(iFinD）'!$Z$65:$AA$65))*(1-实盘持仓初始配置!$Z$7)^(('实盘净值数据(iFinD）'!$A279-'实盘净值数据(iFinD）'!$A$8)/365))</f>
        <v/>
      </c>
      <c r="L279" s="16" t="str">
        <f t="shared" si="27"/>
        <v/>
      </c>
      <c r="M279" s="16" t="str">
        <f>IF(K279="","",K279/MAX(K$5:K279)-1)</f>
        <v/>
      </c>
      <c r="N279" s="13" t="str">
        <f>IF(OR('实盘净值数据(iFinD）'!$A279="",'实盘净值数据(iFinD）'!$B279="",'实盘净值数据(iFinD）'!$Z279="",'实盘净值数据(iFinD）'!$AA279=""),"",分期持仓明细!$AB$24*(SUMPRODUCT(分期持仓明细!$B$24:$Y$24,'实盘净值数据(iFinD）'!$B279:$Y279/'实盘净值数据(iFinD）'!$B$65:$Y$65)+SUMPRODUCT(分期持仓明细!$AC$24:$AD$24,'实盘净值数据(iFinD）'!$Z279:$AA279/'实盘净值数据(iFinD）'!$Z$65:$AA$65))*(1-实盘持仓初始配置!$Z$8)^(('实盘净值数据(iFinD）'!$A279-'实盘净值数据(iFinD）'!$A$5)/365))</f>
        <v/>
      </c>
      <c r="O279" s="16" t="str">
        <f t="shared" si="28"/>
        <v/>
      </c>
      <c r="P279" s="16" t="str">
        <f>IF(N279="","",N279/MAX(N$5:N279)-1)</f>
        <v/>
      </c>
      <c r="Q279" s="13" t="str">
        <f>IF(OR('实盘净值数据(iFinD）'!$A279="",'实盘净值数据(iFinD）'!$B279="",'实盘净值数据(iFinD）'!$Z279="",'实盘净值数据(iFinD）'!$AA279=""),"",分期持仓明细!$AB$25*(SUMPRODUCT(分期持仓明细!$B$25:$Y$25,'实盘净值数据(iFinD）'!$B279:$Y279/'实盘净值数据(iFinD）'!$B$65:$Y$65)+SUMPRODUCT(分期持仓明细!$AC$25:$AD$25,'实盘净值数据(iFinD）'!$Z279:$AA279/'实盘净值数据(iFinD）'!$Z$65:$AA$65))*(1-实盘持仓初始配置!$Z$9)^(('实盘净值数据(iFinD）'!$A279-'实盘净值数据(iFinD）'!$A$8)/365))</f>
        <v/>
      </c>
      <c r="R279" s="16" t="str">
        <f t="shared" si="29"/>
        <v/>
      </c>
      <c r="S279" s="16" t="str">
        <f>IF(Q279="","",Q279/MAX(Q$5:Q279)-1)</f>
        <v/>
      </c>
    </row>
    <row r="280" spans="1:19">
      <c r="A280" s="15" t="str">
        <f>IF('实盘净值数据(iFinD）'!A280="","",'实盘净值数据(iFinD）'!A280)</f>
        <v/>
      </c>
      <c r="B280" s="13" t="str">
        <f>IF(OR('实盘净值数据(iFinD）'!$A280="",'实盘净值数据(iFinD）'!$B280=""),"",分期持仓明细!$AB$17*SUMPRODUCT(分期持仓明细!$B$17:$Y$17,'实盘净值数据(iFinD）'!$B280:$Y280/'实盘净值数据(iFinD）'!$B$20:$Y$20)*(1-实盘持仓初始配置!$Z$4)^(('实盘净值数据(iFinD）'!$A280-'实盘净值数据(iFinD）'!$A$6)/365))</f>
        <v/>
      </c>
      <c r="C280" s="16" t="str">
        <f t="shared" si="24"/>
        <v/>
      </c>
      <c r="D280" s="16" t="str">
        <f>IF(B280="","",B280/MAX(B$5:B280)-1)</f>
        <v/>
      </c>
      <c r="E280" s="13" t="str">
        <f>IF(OR('实盘净值数据(iFinD）'!$A280="",'实盘净值数据(iFinD）'!$B280=""),"",分期持仓明细!$AB$18*SUMPRODUCT(分期持仓明细!$B$18:$Y$18,'实盘净值数据(iFinD）'!$B280:$Y280/'实盘净值数据(iFinD）'!$B$20:$Y$20)*(1-实盘持仓初始配置!$Z$5)^(('实盘净值数据(iFinD）'!$A280-'实盘净值数据(iFinD）'!$A$5)/365))</f>
        <v/>
      </c>
      <c r="F280" s="16" t="str">
        <f t="shared" si="25"/>
        <v/>
      </c>
      <c r="G280" s="16" t="str">
        <f>IF(E280="","",E280/MAX(E$5:E280)-1)</f>
        <v/>
      </c>
      <c r="H280" s="13" t="str">
        <f>IF(OR('实盘净值数据(iFinD）'!$A280="",'实盘净值数据(iFinD）'!$B280=""),"",分期持仓明细!$AB$19*SUMPRODUCT(分期持仓明细!$B$19:$Y$19,'实盘净值数据(iFinD）'!$B280:$Y280/'实盘净值数据(iFinD）'!$B$20:$Y$20)*(1-实盘持仓初始配置!$Z$6)^(('实盘净值数据(iFinD）'!$A280-'实盘净值数据(iFinD）'!$A$7)/365))</f>
        <v/>
      </c>
      <c r="I280" s="16" t="str">
        <f t="shared" si="26"/>
        <v/>
      </c>
      <c r="J280" s="16" t="str">
        <f>IF(H280="","",H280/MAX(H$5:H280)-1)</f>
        <v/>
      </c>
      <c r="K280" s="13" t="str">
        <f>IF(OR('实盘净值数据(iFinD）'!$A280="",'实盘净值数据(iFinD）'!$B280="",'实盘净值数据(iFinD）'!$Z280="",'实盘净值数据(iFinD）'!$AA280=""),"",分期持仓明细!$AB$23*(SUMPRODUCT(分期持仓明细!$B$23:$Y$23,'实盘净值数据(iFinD）'!$B280:$Y280/'实盘净值数据(iFinD）'!$B$65:$Y$65)+SUMPRODUCT(分期持仓明细!$AC$23:$AD$23,'实盘净值数据(iFinD）'!$Z280:$AA280/'实盘净值数据(iFinD）'!$Z$65:$AA$65))*(1-实盘持仓初始配置!$Z$7)^(('实盘净值数据(iFinD）'!$A280-'实盘净值数据(iFinD）'!$A$8)/365))</f>
        <v/>
      </c>
      <c r="L280" s="16" t="str">
        <f t="shared" si="27"/>
        <v/>
      </c>
      <c r="M280" s="16" t="str">
        <f>IF(K280="","",K280/MAX(K$5:K280)-1)</f>
        <v/>
      </c>
      <c r="N280" s="13" t="str">
        <f>IF(OR('实盘净值数据(iFinD）'!$A280="",'实盘净值数据(iFinD）'!$B280="",'实盘净值数据(iFinD）'!$Z280="",'实盘净值数据(iFinD）'!$AA280=""),"",分期持仓明细!$AB$24*(SUMPRODUCT(分期持仓明细!$B$24:$Y$24,'实盘净值数据(iFinD）'!$B280:$Y280/'实盘净值数据(iFinD）'!$B$65:$Y$65)+SUMPRODUCT(分期持仓明细!$AC$24:$AD$24,'实盘净值数据(iFinD）'!$Z280:$AA280/'实盘净值数据(iFinD）'!$Z$65:$AA$65))*(1-实盘持仓初始配置!$Z$8)^(('实盘净值数据(iFinD）'!$A280-'实盘净值数据(iFinD）'!$A$5)/365))</f>
        <v/>
      </c>
      <c r="O280" s="16" t="str">
        <f t="shared" si="28"/>
        <v/>
      </c>
      <c r="P280" s="16" t="str">
        <f>IF(N280="","",N280/MAX(N$5:N280)-1)</f>
        <v/>
      </c>
      <c r="Q280" s="13" t="str">
        <f>IF(OR('实盘净值数据(iFinD）'!$A280="",'实盘净值数据(iFinD）'!$B280="",'实盘净值数据(iFinD）'!$Z280="",'实盘净值数据(iFinD）'!$AA280=""),"",分期持仓明细!$AB$25*(SUMPRODUCT(分期持仓明细!$B$25:$Y$25,'实盘净值数据(iFinD）'!$B280:$Y280/'实盘净值数据(iFinD）'!$B$65:$Y$65)+SUMPRODUCT(分期持仓明细!$AC$25:$AD$25,'实盘净值数据(iFinD）'!$Z280:$AA280/'实盘净值数据(iFinD）'!$Z$65:$AA$65))*(1-实盘持仓初始配置!$Z$9)^(('实盘净值数据(iFinD）'!$A280-'实盘净值数据(iFinD）'!$A$8)/365))</f>
        <v/>
      </c>
      <c r="R280" s="16" t="str">
        <f t="shared" si="29"/>
        <v/>
      </c>
      <c r="S280" s="16" t="str">
        <f>IF(Q280="","",Q280/MAX(Q$5:Q280)-1)</f>
        <v/>
      </c>
    </row>
    <row r="281" spans="1:19">
      <c r="A281" s="15" t="str">
        <f>IF('实盘净值数据(iFinD）'!A281="","",'实盘净值数据(iFinD）'!A281)</f>
        <v/>
      </c>
      <c r="B281" s="13" t="str">
        <f>IF(OR('实盘净值数据(iFinD）'!$A281="",'实盘净值数据(iFinD）'!$B281=""),"",分期持仓明细!$AB$17*SUMPRODUCT(分期持仓明细!$B$17:$Y$17,'实盘净值数据(iFinD）'!$B281:$Y281/'实盘净值数据(iFinD）'!$B$20:$Y$20)*(1-实盘持仓初始配置!$Z$4)^(('实盘净值数据(iFinD）'!$A281-'实盘净值数据(iFinD）'!$A$6)/365))</f>
        <v/>
      </c>
      <c r="C281" s="16" t="str">
        <f t="shared" si="24"/>
        <v/>
      </c>
      <c r="D281" s="16" t="str">
        <f>IF(B281="","",B281/MAX(B$5:B281)-1)</f>
        <v/>
      </c>
      <c r="E281" s="13" t="str">
        <f>IF(OR('实盘净值数据(iFinD）'!$A281="",'实盘净值数据(iFinD）'!$B281=""),"",分期持仓明细!$AB$18*SUMPRODUCT(分期持仓明细!$B$18:$Y$18,'实盘净值数据(iFinD）'!$B281:$Y281/'实盘净值数据(iFinD）'!$B$20:$Y$20)*(1-实盘持仓初始配置!$Z$5)^(('实盘净值数据(iFinD）'!$A281-'实盘净值数据(iFinD）'!$A$5)/365))</f>
        <v/>
      </c>
      <c r="F281" s="16" t="str">
        <f t="shared" si="25"/>
        <v/>
      </c>
      <c r="G281" s="16" t="str">
        <f>IF(E281="","",E281/MAX(E$5:E281)-1)</f>
        <v/>
      </c>
      <c r="H281" s="13" t="str">
        <f>IF(OR('实盘净值数据(iFinD）'!$A281="",'实盘净值数据(iFinD）'!$B281=""),"",分期持仓明细!$AB$19*SUMPRODUCT(分期持仓明细!$B$19:$Y$19,'实盘净值数据(iFinD）'!$B281:$Y281/'实盘净值数据(iFinD）'!$B$20:$Y$20)*(1-实盘持仓初始配置!$Z$6)^(('实盘净值数据(iFinD）'!$A281-'实盘净值数据(iFinD）'!$A$7)/365))</f>
        <v/>
      </c>
      <c r="I281" s="16" t="str">
        <f t="shared" si="26"/>
        <v/>
      </c>
      <c r="J281" s="16" t="str">
        <f>IF(H281="","",H281/MAX(H$5:H281)-1)</f>
        <v/>
      </c>
      <c r="K281" s="13" t="str">
        <f>IF(OR('实盘净值数据(iFinD）'!$A281="",'实盘净值数据(iFinD）'!$B281="",'实盘净值数据(iFinD）'!$Z281="",'实盘净值数据(iFinD）'!$AA281=""),"",分期持仓明细!$AB$23*(SUMPRODUCT(分期持仓明细!$B$23:$Y$23,'实盘净值数据(iFinD）'!$B281:$Y281/'实盘净值数据(iFinD）'!$B$65:$Y$65)+SUMPRODUCT(分期持仓明细!$AC$23:$AD$23,'实盘净值数据(iFinD）'!$Z281:$AA281/'实盘净值数据(iFinD）'!$Z$65:$AA$65))*(1-实盘持仓初始配置!$Z$7)^(('实盘净值数据(iFinD）'!$A281-'实盘净值数据(iFinD）'!$A$8)/365))</f>
        <v/>
      </c>
      <c r="L281" s="16" t="str">
        <f t="shared" si="27"/>
        <v/>
      </c>
      <c r="M281" s="16" t="str">
        <f>IF(K281="","",K281/MAX(K$5:K281)-1)</f>
        <v/>
      </c>
      <c r="N281" s="13" t="str">
        <f>IF(OR('实盘净值数据(iFinD）'!$A281="",'实盘净值数据(iFinD）'!$B281="",'实盘净值数据(iFinD）'!$Z281="",'实盘净值数据(iFinD）'!$AA281=""),"",分期持仓明细!$AB$24*(SUMPRODUCT(分期持仓明细!$B$24:$Y$24,'实盘净值数据(iFinD）'!$B281:$Y281/'实盘净值数据(iFinD）'!$B$65:$Y$65)+SUMPRODUCT(分期持仓明细!$AC$24:$AD$24,'实盘净值数据(iFinD）'!$Z281:$AA281/'实盘净值数据(iFinD）'!$Z$65:$AA$65))*(1-实盘持仓初始配置!$Z$8)^(('实盘净值数据(iFinD）'!$A281-'实盘净值数据(iFinD）'!$A$5)/365))</f>
        <v/>
      </c>
      <c r="O281" s="16" t="str">
        <f t="shared" si="28"/>
        <v/>
      </c>
      <c r="P281" s="16" t="str">
        <f>IF(N281="","",N281/MAX(N$5:N281)-1)</f>
        <v/>
      </c>
      <c r="Q281" s="13" t="str">
        <f>IF(OR('实盘净值数据(iFinD）'!$A281="",'实盘净值数据(iFinD）'!$B281="",'实盘净值数据(iFinD）'!$Z281="",'实盘净值数据(iFinD）'!$AA281=""),"",分期持仓明细!$AB$25*(SUMPRODUCT(分期持仓明细!$B$25:$Y$25,'实盘净值数据(iFinD）'!$B281:$Y281/'实盘净值数据(iFinD）'!$B$65:$Y$65)+SUMPRODUCT(分期持仓明细!$AC$25:$AD$25,'实盘净值数据(iFinD）'!$Z281:$AA281/'实盘净值数据(iFinD）'!$Z$65:$AA$65))*(1-实盘持仓初始配置!$Z$9)^(('实盘净值数据(iFinD）'!$A281-'实盘净值数据(iFinD）'!$A$8)/365))</f>
        <v/>
      </c>
      <c r="R281" s="16" t="str">
        <f t="shared" si="29"/>
        <v/>
      </c>
      <c r="S281" s="16" t="str">
        <f>IF(Q281="","",Q281/MAX(Q$5:Q281)-1)</f>
        <v/>
      </c>
    </row>
    <row r="282" spans="1:19">
      <c r="A282" s="15" t="str">
        <f>IF('实盘净值数据(iFinD）'!A282="","",'实盘净值数据(iFinD）'!A282)</f>
        <v/>
      </c>
      <c r="B282" s="13" t="str">
        <f>IF(OR('实盘净值数据(iFinD）'!$A282="",'实盘净值数据(iFinD）'!$B282=""),"",分期持仓明细!$AB$17*SUMPRODUCT(分期持仓明细!$B$17:$Y$17,'实盘净值数据(iFinD）'!$B282:$Y282/'实盘净值数据(iFinD）'!$B$20:$Y$20)*(1-实盘持仓初始配置!$Z$4)^(('实盘净值数据(iFinD）'!$A282-'实盘净值数据(iFinD）'!$A$6)/365))</f>
        <v/>
      </c>
      <c r="C282" s="16" t="str">
        <f t="shared" si="24"/>
        <v/>
      </c>
      <c r="D282" s="16" t="str">
        <f>IF(B282="","",B282/MAX(B$5:B282)-1)</f>
        <v/>
      </c>
      <c r="E282" s="13" t="str">
        <f>IF(OR('实盘净值数据(iFinD）'!$A282="",'实盘净值数据(iFinD）'!$B282=""),"",分期持仓明细!$AB$18*SUMPRODUCT(分期持仓明细!$B$18:$Y$18,'实盘净值数据(iFinD）'!$B282:$Y282/'实盘净值数据(iFinD）'!$B$20:$Y$20)*(1-实盘持仓初始配置!$Z$5)^(('实盘净值数据(iFinD）'!$A282-'实盘净值数据(iFinD）'!$A$5)/365))</f>
        <v/>
      </c>
      <c r="F282" s="16" t="str">
        <f t="shared" si="25"/>
        <v/>
      </c>
      <c r="G282" s="16" t="str">
        <f>IF(E282="","",E282/MAX(E$5:E282)-1)</f>
        <v/>
      </c>
      <c r="H282" s="13" t="str">
        <f>IF(OR('实盘净值数据(iFinD）'!$A282="",'实盘净值数据(iFinD）'!$B282=""),"",分期持仓明细!$AB$19*SUMPRODUCT(分期持仓明细!$B$19:$Y$19,'实盘净值数据(iFinD）'!$B282:$Y282/'实盘净值数据(iFinD）'!$B$20:$Y$20)*(1-实盘持仓初始配置!$Z$6)^(('实盘净值数据(iFinD）'!$A282-'实盘净值数据(iFinD）'!$A$7)/365))</f>
        <v/>
      </c>
      <c r="I282" s="16" t="str">
        <f t="shared" si="26"/>
        <v/>
      </c>
      <c r="J282" s="16" t="str">
        <f>IF(H282="","",H282/MAX(H$5:H282)-1)</f>
        <v/>
      </c>
      <c r="K282" s="13" t="str">
        <f>IF(OR('实盘净值数据(iFinD）'!$A282="",'实盘净值数据(iFinD）'!$B282="",'实盘净值数据(iFinD）'!$Z282="",'实盘净值数据(iFinD）'!$AA282=""),"",分期持仓明细!$AB$23*(SUMPRODUCT(分期持仓明细!$B$23:$Y$23,'实盘净值数据(iFinD）'!$B282:$Y282/'实盘净值数据(iFinD）'!$B$65:$Y$65)+SUMPRODUCT(分期持仓明细!$AC$23:$AD$23,'实盘净值数据(iFinD）'!$Z282:$AA282/'实盘净值数据(iFinD）'!$Z$65:$AA$65))*(1-实盘持仓初始配置!$Z$7)^(('实盘净值数据(iFinD）'!$A282-'实盘净值数据(iFinD）'!$A$8)/365))</f>
        <v/>
      </c>
      <c r="L282" s="16" t="str">
        <f t="shared" si="27"/>
        <v/>
      </c>
      <c r="M282" s="16" t="str">
        <f>IF(K282="","",K282/MAX(K$5:K282)-1)</f>
        <v/>
      </c>
      <c r="N282" s="13" t="str">
        <f>IF(OR('实盘净值数据(iFinD）'!$A282="",'实盘净值数据(iFinD）'!$B282="",'实盘净值数据(iFinD）'!$Z282="",'实盘净值数据(iFinD）'!$AA282=""),"",分期持仓明细!$AB$24*(SUMPRODUCT(分期持仓明细!$B$24:$Y$24,'实盘净值数据(iFinD）'!$B282:$Y282/'实盘净值数据(iFinD）'!$B$65:$Y$65)+SUMPRODUCT(分期持仓明细!$AC$24:$AD$24,'实盘净值数据(iFinD）'!$Z282:$AA282/'实盘净值数据(iFinD）'!$Z$65:$AA$65))*(1-实盘持仓初始配置!$Z$8)^(('实盘净值数据(iFinD）'!$A282-'实盘净值数据(iFinD）'!$A$5)/365))</f>
        <v/>
      </c>
      <c r="O282" s="16" t="str">
        <f t="shared" si="28"/>
        <v/>
      </c>
      <c r="P282" s="16" t="str">
        <f>IF(N282="","",N282/MAX(N$5:N282)-1)</f>
        <v/>
      </c>
      <c r="Q282" s="13" t="str">
        <f>IF(OR('实盘净值数据(iFinD）'!$A282="",'实盘净值数据(iFinD）'!$B282="",'实盘净值数据(iFinD）'!$Z282="",'实盘净值数据(iFinD）'!$AA282=""),"",分期持仓明细!$AB$25*(SUMPRODUCT(分期持仓明细!$B$25:$Y$25,'实盘净值数据(iFinD）'!$B282:$Y282/'实盘净值数据(iFinD）'!$B$65:$Y$65)+SUMPRODUCT(分期持仓明细!$AC$25:$AD$25,'实盘净值数据(iFinD）'!$Z282:$AA282/'实盘净值数据(iFinD）'!$Z$65:$AA$65))*(1-实盘持仓初始配置!$Z$9)^(('实盘净值数据(iFinD）'!$A282-'实盘净值数据(iFinD）'!$A$8)/365))</f>
        <v/>
      </c>
      <c r="R282" s="16" t="str">
        <f t="shared" si="29"/>
        <v/>
      </c>
      <c r="S282" s="16" t="str">
        <f>IF(Q282="","",Q282/MAX(Q$5:Q282)-1)</f>
        <v/>
      </c>
    </row>
    <row r="283" spans="1:19">
      <c r="A283" s="15" t="str">
        <f>IF('实盘净值数据(iFinD）'!A283="","",'实盘净值数据(iFinD）'!A283)</f>
        <v/>
      </c>
      <c r="B283" s="13" t="str">
        <f>IF(OR('实盘净值数据(iFinD）'!$A283="",'实盘净值数据(iFinD）'!$B283=""),"",分期持仓明细!$AB$17*SUMPRODUCT(分期持仓明细!$B$17:$Y$17,'实盘净值数据(iFinD）'!$B283:$Y283/'实盘净值数据(iFinD）'!$B$20:$Y$20)*(1-实盘持仓初始配置!$Z$4)^(('实盘净值数据(iFinD）'!$A283-'实盘净值数据(iFinD）'!$A$6)/365))</f>
        <v/>
      </c>
      <c r="C283" s="16" t="str">
        <f t="shared" si="24"/>
        <v/>
      </c>
      <c r="D283" s="16" t="str">
        <f>IF(B283="","",B283/MAX(B$5:B283)-1)</f>
        <v/>
      </c>
      <c r="E283" s="13" t="str">
        <f>IF(OR('实盘净值数据(iFinD）'!$A283="",'实盘净值数据(iFinD）'!$B283=""),"",分期持仓明细!$AB$18*SUMPRODUCT(分期持仓明细!$B$18:$Y$18,'实盘净值数据(iFinD）'!$B283:$Y283/'实盘净值数据(iFinD）'!$B$20:$Y$20)*(1-实盘持仓初始配置!$Z$5)^(('实盘净值数据(iFinD）'!$A283-'实盘净值数据(iFinD）'!$A$5)/365))</f>
        <v/>
      </c>
      <c r="F283" s="16" t="str">
        <f t="shared" si="25"/>
        <v/>
      </c>
      <c r="G283" s="16" t="str">
        <f>IF(E283="","",E283/MAX(E$5:E283)-1)</f>
        <v/>
      </c>
      <c r="H283" s="13" t="str">
        <f>IF(OR('实盘净值数据(iFinD）'!$A283="",'实盘净值数据(iFinD）'!$B283=""),"",分期持仓明细!$AB$19*SUMPRODUCT(分期持仓明细!$B$19:$Y$19,'实盘净值数据(iFinD）'!$B283:$Y283/'实盘净值数据(iFinD）'!$B$20:$Y$20)*(1-实盘持仓初始配置!$Z$6)^(('实盘净值数据(iFinD）'!$A283-'实盘净值数据(iFinD）'!$A$7)/365))</f>
        <v/>
      </c>
      <c r="I283" s="16" t="str">
        <f t="shared" si="26"/>
        <v/>
      </c>
      <c r="J283" s="16" t="str">
        <f>IF(H283="","",H283/MAX(H$5:H283)-1)</f>
        <v/>
      </c>
      <c r="K283" s="13" t="str">
        <f>IF(OR('实盘净值数据(iFinD）'!$A283="",'实盘净值数据(iFinD）'!$B283="",'实盘净值数据(iFinD）'!$Z283="",'实盘净值数据(iFinD）'!$AA283=""),"",分期持仓明细!$AB$23*(SUMPRODUCT(分期持仓明细!$B$23:$Y$23,'实盘净值数据(iFinD）'!$B283:$Y283/'实盘净值数据(iFinD）'!$B$65:$Y$65)+SUMPRODUCT(分期持仓明细!$AC$23:$AD$23,'实盘净值数据(iFinD）'!$Z283:$AA283/'实盘净值数据(iFinD）'!$Z$65:$AA$65))*(1-实盘持仓初始配置!$Z$7)^(('实盘净值数据(iFinD）'!$A283-'实盘净值数据(iFinD）'!$A$8)/365))</f>
        <v/>
      </c>
      <c r="L283" s="16" t="str">
        <f t="shared" si="27"/>
        <v/>
      </c>
      <c r="M283" s="16" t="str">
        <f>IF(K283="","",K283/MAX(K$5:K283)-1)</f>
        <v/>
      </c>
      <c r="N283" s="13" t="str">
        <f>IF(OR('实盘净值数据(iFinD）'!$A283="",'实盘净值数据(iFinD）'!$B283="",'实盘净值数据(iFinD）'!$Z283="",'实盘净值数据(iFinD）'!$AA283=""),"",分期持仓明细!$AB$24*(SUMPRODUCT(分期持仓明细!$B$24:$Y$24,'实盘净值数据(iFinD）'!$B283:$Y283/'实盘净值数据(iFinD）'!$B$65:$Y$65)+SUMPRODUCT(分期持仓明细!$AC$24:$AD$24,'实盘净值数据(iFinD）'!$Z283:$AA283/'实盘净值数据(iFinD）'!$Z$65:$AA$65))*(1-实盘持仓初始配置!$Z$8)^(('实盘净值数据(iFinD）'!$A283-'实盘净值数据(iFinD）'!$A$5)/365))</f>
        <v/>
      </c>
      <c r="O283" s="16" t="str">
        <f t="shared" si="28"/>
        <v/>
      </c>
      <c r="P283" s="16" t="str">
        <f>IF(N283="","",N283/MAX(N$5:N283)-1)</f>
        <v/>
      </c>
      <c r="Q283" s="13" t="str">
        <f>IF(OR('实盘净值数据(iFinD）'!$A283="",'实盘净值数据(iFinD）'!$B283="",'实盘净值数据(iFinD）'!$Z283="",'实盘净值数据(iFinD）'!$AA283=""),"",分期持仓明细!$AB$25*(SUMPRODUCT(分期持仓明细!$B$25:$Y$25,'实盘净值数据(iFinD）'!$B283:$Y283/'实盘净值数据(iFinD）'!$B$65:$Y$65)+SUMPRODUCT(分期持仓明细!$AC$25:$AD$25,'实盘净值数据(iFinD）'!$Z283:$AA283/'实盘净值数据(iFinD）'!$Z$65:$AA$65))*(1-实盘持仓初始配置!$Z$9)^(('实盘净值数据(iFinD）'!$A283-'实盘净值数据(iFinD）'!$A$8)/365))</f>
        <v/>
      </c>
      <c r="R283" s="16" t="str">
        <f t="shared" si="29"/>
        <v/>
      </c>
      <c r="S283" s="16" t="str">
        <f>IF(Q283="","",Q283/MAX(Q$5:Q283)-1)</f>
        <v/>
      </c>
    </row>
    <row r="284" spans="1:19">
      <c r="A284" s="15" t="str">
        <f>IF('实盘净值数据(iFinD）'!A284="","",'实盘净值数据(iFinD）'!A284)</f>
        <v/>
      </c>
      <c r="B284" s="13" t="str">
        <f>IF(OR('实盘净值数据(iFinD）'!$A284="",'实盘净值数据(iFinD）'!$B284=""),"",分期持仓明细!$AB$17*SUMPRODUCT(分期持仓明细!$B$17:$Y$17,'实盘净值数据(iFinD）'!$B284:$Y284/'实盘净值数据(iFinD）'!$B$20:$Y$20)*(1-实盘持仓初始配置!$Z$4)^(('实盘净值数据(iFinD）'!$A284-'实盘净值数据(iFinD）'!$A$6)/365))</f>
        <v/>
      </c>
      <c r="C284" s="16" t="str">
        <f t="shared" si="24"/>
        <v/>
      </c>
      <c r="D284" s="16" t="str">
        <f>IF(B284="","",B284/MAX(B$5:B284)-1)</f>
        <v/>
      </c>
      <c r="E284" s="13" t="str">
        <f>IF(OR('实盘净值数据(iFinD）'!$A284="",'实盘净值数据(iFinD）'!$B284=""),"",分期持仓明细!$AB$18*SUMPRODUCT(分期持仓明细!$B$18:$Y$18,'实盘净值数据(iFinD）'!$B284:$Y284/'实盘净值数据(iFinD）'!$B$20:$Y$20)*(1-实盘持仓初始配置!$Z$5)^(('实盘净值数据(iFinD）'!$A284-'实盘净值数据(iFinD）'!$A$5)/365))</f>
        <v/>
      </c>
      <c r="F284" s="16" t="str">
        <f t="shared" si="25"/>
        <v/>
      </c>
      <c r="G284" s="16" t="str">
        <f>IF(E284="","",E284/MAX(E$5:E284)-1)</f>
        <v/>
      </c>
      <c r="H284" s="13" t="str">
        <f>IF(OR('实盘净值数据(iFinD）'!$A284="",'实盘净值数据(iFinD）'!$B284=""),"",分期持仓明细!$AB$19*SUMPRODUCT(分期持仓明细!$B$19:$Y$19,'实盘净值数据(iFinD）'!$B284:$Y284/'实盘净值数据(iFinD）'!$B$20:$Y$20)*(1-实盘持仓初始配置!$Z$6)^(('实盘净值数据(iFinD）'!$A284-'实盘净值数据(iFinD）'!$A$7)/365))</f>
        <v/>
      </c>
      <c r="I284" s="16" t="str">
        <f t="shared" si="26"/>
        <v/>
      </c>
      <c r="J284" s="16" t="str">
        <f>IF(H284="","",H284/MAX(H$5:H284)-1)</f>
        <v/>
      </c>
      <c r="K284" s="13" t="str">
        <f>IF(OR('实盘净值数据(iFinD）'!$A284="",'实盘净值数据(iFinD）'!$B284="",'实盘净值数据(iFinD）'!$Z284="",'实盘净值数据(iFinD）'!$AA284=""),"",分期持仓明细!$AB$23*(SUMPRODUCT(分期持仓明细!$B$23:$Y$23,'实盘净值数据(iFinD）'!$B284:$Y284/'实盘净值数据(iFinD）'!$B$65:$Y$65)+SUMPRODUCT(分期持仓明细!$AC$23:$AD$23,'实盘净值数据(iFinD）'!$Z284:$AA284/'实盘净值数据(iFinD）'!$Z$65:$AA$65))*(1-实盘持仓初始配置!$Z$7)^(('实盘净值数据(iFinD）'!$A284-'实盘净值数据(iFinD）'!$A$8)/365))</f>
        <v/>
      </c>
      <c r="L284" s="16" t="str">
        <f t="shared" si="27"/>
        <v/>
      </c>
      <c r="M284" s="16" t="str">
        <f>IF(K284="","",K284/MAX(K$5:K284)-1)</f>
        <v/>
      </c>
      <c r="N284" s="13" t="str">
        <f>IF(OR('实盘净值数据(iFinD）'!$A284="",'实盘净值数据(iFinD）'!$B284="",'实盘净值数据(iFinD）'!$Z284="",'实盘净值数据(iFinD）'!$AA284=""),"",分期持仓明细!$AB$24*(SUMPRODUCT(分期持仓明细!$B$24:$Y$24,'实盘净值数据(iFinD）'!$B284:$Y284/'实盘净值数据(iFinD）'!$B$65:$Y$65)+SUMPRODUCT(分期持仓明细!$AC$24:$AD$24,'实盘净值数据(iFinD）'!$Z284:$AA284/'实盘净值数据(iFinD）'!$Z$65:$AA$65))*(1-实盘持仓初始配置!$Z$8)^(('实盘净值数据(iFinD）'!$A284-'实盘净值数据(iFinD）'!$A$5)/365))</f>
        <v/>
      </c>
      <c r="O284" s="16" t="str">
        <f t="shared" si="28"/>
        <v/>
      </c>
      <c r="P284" s="16" t="str">
        <f>IF(N284="","",N284/MAX(N$5:N284)-1)</f>
        <v/>
      </c>
      <c r="Q284" s="13" t="str">
        <f>IF(OR('实盘净值数据(iFinD）'!$A284="",'实盘净值数据(iFinD）'!$B284="",'实盘净值数据(iFinD）'!$Z284="",'实盘净值数据(iFinD）'!$AA284=""),"",分期持仓明细!$AB$25*(SUMPRODUCT(分期持仓明细!$B$25:$Y$25,'实盘净值数据(iFinD）'!$B284:$Y284/'实盘净值数据(iFinD）'!$B$65:$Y$65)+SUMPRODUCT(分期持仓明细!$AC$25:$AD$25,'实盘净值数据(iFinD）'!$Z284:$AA284/'实盘净值数据(iFinD）'!$Z$65:$AA$65))*(1-实盘持仓初始配置!$Z$9)^(('实盘净值数据(iFinD）'!$A284-'实盘净值数据(iFinD）'!$A$8)/365))</f>
        <v/>
      </c>
      <c r="R284" s="16" t="str">
        <f t="shared" si="29"/>
        <v/>
      </c>
      <c r="S284" s="16" t="str">
        <f>IF(Q284="","",Q284/MAX(Q$5:Q284)-1)</f>
        <v/>
      </c>
    </row>
    <row r="285" spans="1:19">
      <c r="A285" s="15" t="str">
        <f>IF('实盘净值数据(iFinD）'!A285="","",'实盘净值数据(iFinD）'!A285)</f>
        <v/>
      </c>
      <c r="B285" s="13" t="str">
        <f>IF(OR('实盘净值数据(iFinD）'!$A285="",'实盘净值数据(iFinD）'!$B285=""),"",分期持仓明细!$AB$17*SUMPRODUCT(分期持仓明细!$B$17:$Y$17,'实盘净值数据(iFinD）'!$B285:$Y285/'实盘净值数据(iFinD）'!$B$20:$Y$20)*(1-实盘持仓初始配置!$Z$4)^(('实盘净值数据(iFinD）'!$A285-'实盘净值数据(iFinD）'!$A$6)/365))</f>
        <v/>
      </c>
      <c r="C285" s="16" t="str">
        <f t="shared" si="24"/>
        <v/>
      </c>
      <c r="D285" s="16" t="str">
        <f>IF(B285="","",B285/MAX(B$5:B285)-1)</f>
        <v/>
      </c>
      <c r="E285" s="13" t="str">
        <f>IF(OR('实盘净值数据(iFinD）'!$A285="",'实盘净值数据(iFinD）'!$B285=""),"",分期持仓明细!$AB$18*SUMPRODUCT(分期持仓明细!$B$18:$Y$18,'实盘净值数据(iFinD）'!$B285:$Y285/'实盘净值数据(iFinD）'!$B$20:$Y$20)*(1-实盘持仓初始配置!$Z$5)^(('实盘净值数据(iFinD）'!$A285-'实盘净值数据(iFinD）'!$A$5)/365))</f>
        <v/>
      </c>
      <c r="F285" s="16" t="str">
        <f t="shared" si="25"/>
        <v/>
      </c>
      <c r="G285" s="16" t="str">
        <f>IF(E285="","",E285/MAX(E$5:E285)-1)</f>
        <v/>
      </c>
      <c r="H285" s="13" t="str">
        <f>IF(OR('实盘净值数据(iFinD）'!$A285="",'实盘净值数据(iFinD）'!$B285=""),"",分期持仓明细!$AB$19*SUMPRODUCT(分期持仓明细!$B$19:$Y$19,'实盘净值数据(iFinD）'!$B285:$Y285/'实盘净值数据(iFinD）'!$B$20:$Y$20)*(1-实盘持仓初始配置!$Z$6)^(('实盘净值数据(iFinD）'!$A285-'实盘净值数据(iFinD）'!$A$7)/365))</f>
        <v/>
      </c>
      <c r="I285" s="16" t="str">
        <f t="shared" si="26"/>
        <v/>
      </c>
      <c r="J285" s="16" t="str">
        <f>IF(H285="","",H285/MAX(H$5:H285)-1)</f>
        <v/>
      </c>
      <c r="K285" s="13" t="str">
        <f>IF(OR('实盘净值数据(iFinD）'!$A285="",'实盘净值数据(iFinD）'!$B285="",'实盘净值数据(iFinD）'!$Z285="",'实盘净值数据(iFinD）'!$AA285=""),"",分期持仓明细!$AB$23*(SUMPRODUCT(分期持仓明细!$B$23:$Y$23,'实盘净值数据(iFinD）'!$B285:$Y285/'实盘净值数据(iFinD）'!$B$65:$Y$65)+SUMPRODUCT(分期持仓明细!$AC$23:$AD$23,'实盘净值数据(iFinD）'!$Z285:$AA285/'实盘净值数据(iFinD）'!$Z$65:$AA$65))*(1-实盘持仓初始配置!$Z$7)^(('实盘净值数据(iFinD）'!$A285-'实盘净值数据(iFinD）'!$A$8)/365))</f>
        <v/>
      </c>
      <c r="L285" s="16" t="str">
        <f t="shared" si="27"/>
        <v/>
      </c>
      <c r="M285" s="16" t="str">
        <f>IF(K285="","",K285/MAX(K$5:K285)-1)</f>
        <v/>
      </c>
      <c r="N285" s="13" t="str">
        <f>IF(OR('实盘净值数据(iFinD）'!$A285="",'实盘净值数据(iFinD）'!$B285="",'实盘净值数据(iFinD）'!$Z285="",'实盘净值数据(iFinD）'!$AA285=""),"",分期持仓明细!$AB$24*(SUMPRODUCT(分期持仓明细!$B$24:$Y$24,'实盘净值数据(iFinD）'!$B285:$Y285/'实盘净值数据(iFinD）'!$B$65:$Y$65)+SUMPRODUCT(分期持仓明细!$AC$24:$AD$24,'实盘净值数据(iFinD）'!$Z285:$AA285/'实盘净值数据(iFinD）'!$Z$65:$AA$65))*(1-实盘持仓初始配置!$Z$8)^(('实盘净值数据(iFinD）'!$A285-'实盘净值数据(iFinD）'!$A$5)/365))</f>
        <v/>
      </c>
      <c r="O285" s="16" t="str">
        <f t="shared" si="28"/>
        <v/>
      </c>
      <c r="P285" s="16" t="str">
        <f>IF(N285="","",N285/MAX(N$5:N285)-1)</f>
        <v/>
      </c>
      <c r="Q285" s="13" t="str">
        <f>IF(OR('实盘净值数据(iFinD）'!$A285="",'实盘净值数据(iFinD）'!$B285="",'实盘净值数据(iFinD）'!$Z285="",'实盘净值数据(iFinD）'!$AA285=""),"",分期持仓明细!$AB$25*(SUMPRODUCT(分期持仓明细!$B$25:$Y$25,'实盘净值数据(iFinD）'!$B285:$Y285/'实盘净值数据(iFinD）'!$B$65:$Y$65)+SUMPRODUCT(分期持仓明细!$AC$25:$AD$25,'实盘净值数据(iFinD）'!$Z285:$AA285/'实盘净值数据(iFinD）'!$Z$65:$AA$65))*(1-实盘持仓初始配置!$Z$9)^(('实盘净值数据(iFinD）'!$A285-'实盘净值数据(iFinD）'!$A$8)/365))</f>
        <v/>
      </c>
      <c r="R285" s="16" t="str">
        <f t="shared" si="29"/>
        <v/>
      </c>
      <c r="S285" s="16" t="str">
        <f>IF(Q285="","",Q285/MAX(Q$5:Q285)-1)</f>
        <v/>
      </c>
    </row>
    <row r="286" spans="1:19">
      <c r="A286" s="15" t="str">
        <f>IF('实盘净值数据(iFinD）'!A286="","",'实盘净值数据(iFinD）'!A286)</f>
        <v/>
      </c>
      <c r="B286" s="13" t="str">
        <f>IF(OR('实盘净值数据(iFinD）'!$A286="",'实盘净值数据(iFinD）'!$B286=""),"",分期持仓明细!$AB$17*SUMPRODUCT(分期持仓明细!$B$17:$Y$17,'实盘净值数据(iFinD）'!$B286:$Y286/'实盘净值数据(iFinD）'!$B$20:$Y$20)*(1-实盘持仓初始配置!$Z$4)^(('实盘净值数据(iFinD）'!$A286-'实盘净值数据(iFinD）'!$A$6)/365))</f>
        <v/>
      </c>
      <c r="C286" s="16" t="str">
        <f t="shared" si="24"/>
        <v/>
      </c>
      <c r="D286" s="16" t="str">
        <f>IF(B286="","",B286/MAX(B$5:B286)-1)</f>
        <v/>
      </c>
      <c r="E286" s="13" t="str">
        <f>IF(OR('实盘净值数据(iFinD）'!$A286="",'实盘净值数据(iFinD）'!$B286=""),"",分期持仓明细!$AB$18*SUMPRODUCT(分期持仓明细!$B$18:$Y$18,'实盘净值数据(iFinD）'!$B286:$Y286/'实盘净值数据(iFinD）'!$B$20:$Y$20)*(1-实盘持仓初始配置!$Z$5)^(('实盘净值数据(iFinD）'!$A286-'实盘净值数据(iFinD）'!$A$5)/365))</f>
        <v/>
      </c>
      <c r="F286" s="16" t="str">
        <f t="shared" si="25"/>
        <v/>
      </c>
      <c r="G286" s="16" t="str">
        <f>IF(E286="","",E286/MAX(E$5:E286)-1)</f>
        <v/>
      </c>
      <c r="H286" s="13" t="str">
        <f>IF(OR('实盘净值数据(iFinD）'!$A286="",'实盘净值数据(iFinD）'!$B286=""),"",分期持仓明细!$AB$19*SUMPRODUCT(分期持仓明细!$B$19:$Y$19,'实盘净值数据(iFinD）'!$B286:$Y286/'实盘净值数据(iFinD）'!$B$20:$Y$20)*(1-实盘持仓初始配置!$Z$6)^(('实盘净值数据(iFinD）'!$A286-'实盘净值数据(iFinD）'!$A$7)/365))</f>
        <v/>
      </c>
      <c r="I286" s="16" t="str">
        <f t="shared" si="26"/>
        <v/>
      </c>
      <c r="J286" s="16" t="str">
        <f>IF(H286="","",H286/MAX(H$5:H286)-1)</f>
        <v/>
      </c>
      <c r="K286" s="13" t="str">
        <f>IF(OR('实盘净值数据(iFinD）'!$A286="",'实盘净值数据(iFinD）'!$B286="",'实盘净值数据(iFinD）'!$Z286="",'实盘净值数据(iFinD）'!$AA286=""),"",分期持仓明细!$AB$23*(SUMPRODUCT(分期持仓明细!$B$23:$Y$23,'实盘净值数据(iFinD）'!$B286:$Y286/'实盘净值数据(iFinD）'!$B$65:$Y$65)+SUMPRODUCT(分期持仓明细!$AC$23:$AD$23,'实盘净值数据(iFinD）'!$Z286:$AA286/'实盘净值数据(iFinD）'!$Z$65:$AA$65))*(1-实盘持仓初始配置!$Z$7)^(('实盘净值数据(iFinD）'!$A286-'实盘净值数据(iFinD）'!$A$8)/365))</f>
        <v/>
      </c>
      <c r="L286" s="16" t="str">
        <f t="shared" si="27"/>
        <v/>
      </c>
      <c r="M286" s="16" t="str">
        <f>IF(K286="","",K286/MAX(K$5:K286)-1)</f>
        <v/>
      </c>
      <c r="N286" s="13" t="str">
        <f>IF(OR('实盘净值数据(iFinD）'!$A286="",'实盘净值数据(iFinD）'!$B286="",'实盘净值数据(iFinD）'!$Z286="",'实盘净值数据(iFinD）'!$AA286=""),"",分期持仓明细!$AB$24*(SUMPRODUCT(分期持仓明细!$B$24:$Y$24,'实盘净值数据(iFinD）'!$B286:$Y286/'实盘净值数据(iFinD）'!$B$65:$Y$65)+SUMPRODUCT(分期持仓明细!$AC$24:$AD$24,'实盘净值数据(iFinD）'!$Z286:$AA286/'实盘净值数据(iFinD）'!$Z$65:$AA$65))*(1-实盘持仓初始配置!$Z$8)^(('实盘净值数据(iFinD）'!$A286-'实盘净值数据(iFinD）'!$A$5)/365))</f>
        <v/>
      </c>
      <c r="O286" s="16" t="str">
        <f t="shared" si="28"/>
        <v/>
      </c>
      <c r="P286" s="16" t="str">
        <f>IF(N286="","",N286/MAX(N$5:N286)-1)</f>
        <v/>
      </c>
      <c r="Q286" s="13" t="str">
        <f>IF(OR('实盘净值数据(iFinD）'!$A286="",'实盘净值数据(iFinD）'!$B286="",'实盘净值数据(iFinD）'!$Z286="",'实盘净值数据(iFinD）'!$AA286=""),"",分期持仓明细!$AB$25*(SUMPRODUCT(分期持仓明细!$B$25:$Y$25,'实盘净值数据(iFinD）'!$B286:$Y286/'实盘净值数据(iFinD）'!$B$65:$Y$65)+SUMPRODUCT(分期持仓明细!$AC$25:$AD$25,'实盘净值数据(iFinD）'!$Z286:$AA286/'实盘净值数据(iFinD）'!$Z$65:$AA$65))*(1-实盘持仓初始配置!$Z$9)^(('实盘净值数据(iFinD）'!$A286-'实盘净值数据(iFinD）'!$A$8)/365))</f>
        <v/>
      </c>
      <c r="R286" s="16" t="str">
        <f t="shared" si="29"/>
        <v/>
      </c>
      <c r="S286" s="16" t="str">
        <f>IF(Q286="","",Q286/MAX(Q$5:Q286)-1)</f>
        <v/>
      </c>
    </row>
    <row r="287" spans="1:19">
      <c r="A287" s="15" t="str">
        <f>IF('实盘净值数据(iFinD）'!A287="","",'实盘净值数据(iFinD）'!A287)</f>
        <v/>
      </c>
      <c r="B287" s="13" t="str">
        <f>IF(OR('实盘净值数据(iFinD）'!$A287="",'实盘净值数据(iFinD）'!$B287=""),"",分期持仓明细!$AB$17*SUMPRODUCT(分期持仓明细!$B$17:$Y$17,'实盘净值数据(iFinD）'!$B287:$Y287/'实盘净值数据(iFinD）'!$B$20:$Y$20)*(1-实盘持仓初始配置!$Z$4)^(('实盘净值数据(iFinD）'!$A287-'实盘净值数据(iFinD）'!$A$6)/365))</f>
        <v/>
      </c>
      <c r="C287" s="16" t="str">
        <f t="shared" si="24"/>
        <v/>
      </c>
      <c r="D287" s="16" t="str">
        <f>IF(B287="","",B287/MAX(B$5:B287)-1)</f>
        <v/>
      </c>
      <c r="E287" s="13" t="str">
        <f>IF(OR('实盘净值数据(iFinD）'!$A287="",'实盘净值数据(iFinD）'!$B287=""),"",分期持仓明细!$AB$18*SUMPRODUCT(分期持仓明细!$B$18:$Y$18,'实盘净值数据(iFinD）'!$B287:$Y287/'实盘净值数据(iFinD）'!$B$20:$Y$20)*(1-实盘持仓初始配置!$Z$5)^(('实盘净值数据(iFinD）'!$A287-'实盘净值数据(iFinD）'!$A$5)/365))</f>
        <v/>
      </c>
      <c r="F287" s="16" t="str">
        <f t="shared" si="25"/>
        <v/>
      </c>
      <c r="G287" s="16" t="str">
        <f>IF(E287="","",E287/MAX(E$5:E287)-1)</f>
        <v/>
      </c>
      <c r="H287" s="13" t="str">
        <f>IF(OR('实盘净值数据(iFinD）'!$A287="",'实盘净值数据(iFinD）'!$B287=""),"",分期持仓明细!$AB$19*SUMPRODUCT(分期持仓明细!$B$19:$Y$19,'实盘净值数据(iFinD）'!$B287:$Y287/'实盘净值数据(iFinD）'!$B$20:$Y$20)*(1-实盘持仓初始配置!$Z$6)^(('实盘净值数据(iFinD）'!$A287-'实盘净值数据(iFinD）'!$A$7)/365))</f>
        <v/>
      </c>
      <c r="I287" s="16" t="str">
        <f t="shared" si="26"/>
        <v/>
      </c>
      <c r="J287" s="16" t="str">
        <f>IF(H287="","",H287/MAX(H$5:H287)-1)</f>
        <v/>
      </c>
      <c r="K287" s="13" t="str">
        <f>IF(OR('实盘净值数据(iFinD）'!$A287="",'实盘净值数据(iFinD）'!$B287="",'实盘净值数据(iFinD）'!$Z287="",'实盘净值数据(iFinD）'!$AA287=""),"",分期持仓明细!$AB$23*(SUMPRODUCT(分期持仓明细!$B$23:$Y$23,'实盘净值数据(iFinD）'!$B287:$Y287/'实盘净值数据(iFinD）'!$B$65:$Y$65)+SUMPRODUCT(分期持仓明细!$AC$23:$AD$23,'实盘净值数据(iFinD）'!$Z287:$AA287/'实盘净值数据(iFinD）'!$Z$65:$AA$65))*(1-实盘持仓初始配置!$Z$7)^(('实盘净值数据(iFinD）'!$A287-'实盘净值数据(iFinD）'!$A$8)/365))</f>
        <v/>
      </c>
      <c r="L287" s="16" t="str">
        <f t="shared" si="27"/>
        <v/>
      </c>
      <c r="M287" s="16" t="str">
        <f>IF(K287="","",K287/MAX(K$5:K287)-1)</f>
        <v/>
      </c>
      <c r="N287" s="13" t="str">
        <f>IF(OR('实盘净值数据(iFinD）'!$A287="",'实盘净值数据(iFinD）'!$B287="",'实盘净值数据(iFinD）'!$Z287="",'实盘净值数据(iFinD）'!$AA287=""),"",分期持仓明细!$AB$24*(SUMPRODUCT(分期持仓明细!$B$24:$Y$24,'实盘净值数据(iFinD）'!$B287:$Y287/'实盘净值数据(iFinD）'!$B$65:$Y$65)+SUMPRODUCT(分期持仓明细!$AC$24:$AD$24,'实盘净值数据(iFinD）'!$Z287:$AA287/'实盘净值数据(iFinD）'!$Z$65:$AA$65))*(1-实盘持仓初始配置!$Z$8)^(('实盘净值数据(iFinD）'!$A287-'实盘净值数据(iFinD）'!$A$5)/365))</f>
        <v/>
      </c>
      <c r="O287" s="16" t="str">
        <f t="shared" si="28"/>
        <v/>
      </c>
      <c r="P287" s="16" t="str">
        <f>IF(N287="","",N287/MAX(N$5:N287)-1)</f>
        <v/>
      </c>
      <c r="Q287" s="13" t="str">
        <f>IF(OR('实盘净值数据(iFinD）'!$A287="",'实盘净值数据(iFinD）'!$B287="",'实盘净值数据(iFinD）'!$Z287="",'实盘净值数据(iFinD）'!$AA287=""),"",分期持仓明细!$AB$25*(SUMPRODUCT(分期持仓明细!$B$25:$Y$25,'实盘净值数据(iFinD）'!$B287:$Y287/'实盘净值数据(iFinD）'!$B$65:$Y$65)+SUMPRODUCT(分期持仓明细!$AC$25:$AD$25,'实盘净值数据(iFinD）'!$Z287:$AA287/'实盘净值数据(iFinD）'!$Z$65:$AA$65))*(1-实盘持仓初始配置!$Z$9)^(('实盘净值数据(iFinD）'!$A287-'实盘净值数据(iFinD）'!$A$8)/365))</f>
        <v/>
      </c>
      <c r="R287" s="16" t="str">
        <f t="shared" si="29"/>
        <v/>
      </c>
      <c r="S287" s="16" t="str">
        <f>IF(Q287="","",Q287/MAX(Q$5:Q287)-1)</f>
        <v/>
      </c>
    </row>
    <row r="288" spans="1:19">
      <c r="A288" s="15" t="str">
        <f>IF('实盘净值数据(iFinD）'!A288="","",'实盘净值数据(iFinD）'!A288)</f>
        <v/>
      </c>
      <c r="B288" s="13" t="str">
        <f>IF(OR('实盘净值数据(iFinD）'!$A288="",'实盘净值数据(iFinD）'!$B288=""),"",分期持仓明细!$AB$17*SUMPRODUCT(分期持仓明细!$B$17:$Y$17,'实盘净值数据(iFinD）'!$B288:$Y288/'实盘净值数据(iFinD）'!$B$20:$Y$20)*(1-实盘持仓初始配置!$Z$4)^(('实盘净值数据(iFinD）'!$A288-'实盘净值数据(iFinD）'!$A$6)/365))</f>
        <v/>
      </c>
      <c r="C288" s="16" t="str">
        <f t="shared" si="24"/>
        <v/>
      </c>
      <c r="D288" s="16" t="str">
        <f>IF(B288="","",B288/MAX(B$5:B288)-1)</f>
        <v/>
      </c>
      <c r="E288" s="13" t="str">
        <f>IF(OR('实盘净值数据(iFinD）'!$A288="",'实盘净值数据(iFinD）'!$B288=""),"",分期持仓明细!$AB$18*SUMPRODUCT(分期持仓明细!$B$18:$Y$18,'实盘净值数据(iFinD）'!$B288:$Y288/'实盘净值数据(iFinD）'!$B$20:$Y$20)*(1-实盘持仓初始配置!$Z$5)^(('实盘净值数据(iFinD）'!$A288-'实盘净值数据(iFinD）'!$A$5)/365))</f>
        <v/>
      </c>
      <c r="F288" s="16" t="str">
        <f t="shared" si="25"/>
        <v/>
      </c>
      <c r="G288" s="16" t="str">
        <f>IF(E288="","",E288/MAX(E$5:E288)-1)</f>
        <v/>
      </c>
      <c r="H288" s="13" t="str">
        <f>IF(OR('实盘净值数据(iFinD）'!$A288="",'实盘净值数据(iFinD）'!$B288=""),"",分期持仓明细!$AB$19*SUMPRODUCT(分期持仓明细!$B$19:$Y$19,'实盘净值数据(iFinD）'!$B288:$Y288/'实盘净值数据(iFinD）'!$B$20:$Y$20)*(1-实盘持仓初始配置!$Z$6)^(('实盘净值数据(iFinD）'!$A288-'实盘净值数据(iFinD）'!$A$7)/365))</f>
        <v/>
      </c>
      <c r="I288" s="16" t="str">
        <f t="shared" si="26"/>
        <v/>
      </c>
      <c r="J288" s="16" t="str">
        <f>IF(H288="","",H288/MAX(H$5:H288)-1)</f>
        <v/>
      </c>
      <c r="K288" s="13" t="str">
        <f>IF(OR('实盘净值数据(iFinD）'!$A288="",'实盘净值数据(iFinD）'!$B288="",'实盘净值数据(iFinD）'!$Z288="",'实盘净值数据(iFinD）'!$AA288=""),"",分期持仓明细!$AB$23*(SUMPRODUCT(分期持仓明细!$B$23:$Y$23,'实盘净值数据(iFinD）'!$B288:$Y288/'实盘净值数据(iFinD）'!$B$65:$Y$65)+SUMPRODUCT(分期持仓明细!$AC$23:$AD$23,'实盘净值数据(iFinD）'!$Z288:$AA288/'实盘净值数据(iFinD）'!$Z$65:$AA$65))*(1-实盘持仓初始配置!$Z$7)^(('实盘净值数据(iFinD）'!$A288-'实盘净值数据(iFinD）'!$A$8)/365))</f>
        <v/>
      </c>
      <c r="L288" s="16" t="str">
        <f t="shared" si="27"/>
        <v/>
      </c>
      <c r="M288" s="16" t="str">
        <f>IF(K288="","",K288/MAX(K$5:K288)-1)</f>
        <v/>
      </c>
      <c r="N288" s="13" t="str">
        <f>IF(OR('实盘净值数据(iFinD）'!$A288="",'实盘净值数据(iFinD）'!$B288="",'实盘净值数据(iFinD）'!$Z288="",'实盘净值数据(iFinD）'!$AA288=""),"",分期持仓明细!$AB$24*(SUMPRODUCT(分期持仓明细!$B$24:$Y$24,'实盘净值数据(iFinD）'!$B288:$Y288/'实盘净值数据(iFinD）'!$B$65:$Y$65)+SUMPRODUCT(分期持仓明细!$AC$24:$AD$24,'实盘净值数据(iFinD）'!$Z288:$AA288/'实盘净值数据(iFinD）'!$Z$65:$AA$65))*(1-实盘持仓初始配置!$Z$8)^(('实盘净值数据(iFinD）'!$A288-'实盘净值数据(iFinD）'!$A$5)/365))</f>
        <v/>
      </c>
      <c r="O288" s="16" t="str">
        <f t="shared" si="28"/>
        <v/>
      </c>
      <c r="P288" s="16" t="str">
        <f>IF(N288="","",N288/MAX(N$5:N288)-1)</f>
        <v/>
      </c>
      <c r="Q288" s="13" t="str">
        <f>IF(OR('实盘净值数据(iFinD）'!$A288="",'实盘净值数据(iFinD）'!$B288="",'实盘净值数据(iFinD）'!$Z288="",'实盘净值数据(iFinD）'!$AA288=""),"",分期持仓明细!$AB$25*(SUMPRODUCT(分期持仓明细!$B$25:$Y$25,'实盘净值数据(iFinD）'!$B288:$Y288/'实盘净值数据(iFinD）'!$B$65:$Y$65)+SUMPRODUCT(分期持仓明细!$AC$25:$AD$25,'实盘净值数据(iFinD）'!$Z288:$AA288/'实盘净值数据(iFinD）'!$Z$65:$AA$65))*(1-实盘持仓初始配置!$Z$9)^(('实盘净值数据(iFinD）'!$A288-'实盘净值数据(iFinD）'!$A$8)/365))</f>
        <v/>
      </c>
      <c r="R288" s="16" t="str">
        <f t="shared" si="29"/>
        <v/>
      </c>
      <c r="S288" s="16" t="str">
        <f>IF(Q288="","",Q288/MAX(Q$5:Q288)-1)</f>
        <v/>
      </c>
    </row>
    <row r="289" spans="1:19">
      <c r="A289" s="15" t="str">
        <f>IF('实盘净值数据(iFinD）'!A289="","",'实盘净值数据(iFinD）'!A289)</f>
        <v/>
      </c>
      <c r="B289" s="13" t="str">
        <f>IF(OR('实盘净值数据(iFinD）'!$A289="",'实盘净值数据(iFinD）'!$B289=""),"",分期持仓明细!$AB$17*SUMPRODUCT(分期持仓明细!$B$17:$Y$17,'实盘净值数据(iFinD）'!$B289:$Y289/'实盘净值数据(iFinD）'!$B$20:$Y$20)*(1-实盘持仓初始配置!$Z$4)^(('实盘净值数据(iFinD）'!$A289-'实盘净值数据(iFinD）'!$A$6)/365))</f>
        <v/>
      </c>
      <c r="C289" s="16" t="str">
        <f t="shared" si="24"/>
        <v/>
      </c>
      <c r="D289" s="16" t="str">
        <f>IF(B289="","",B289/MAX(B$5:B289)-1)</f>
        <v/>
      </c>
      <c r="E289" s="13" t="str">
        <f>IF(OR('实盘净值数据(iFinD）'!$A289="",'实盘净值数据(iFinD）'!$B289=""),"",分期持仓明细!$AB$18*SUMPRODUCT(分期持仓明细!$B$18:$Y$18,'实盘净值数据(iFinD）'!$B289:$Y289/'实盘净值数据(iFinD）'!$B$20:$Y$20)*(1-实盘持仓初始配置!$Z$5)^(('实盘净值数据(iFinD）'!$A289-'实盘净值数据(iFinD）'!$A$5)/365))</f>
        <v/>
      </c>
      <c r="F289" s="16" t="str">
        <f t="shared" si="25"/>
        <v/>
      </c>
      <c r="G289" s="16" t="str">
        <f>IF(E289="","",E289/MAX(E$5:E289)-1)</f>
        <v/>
      </c>
      <c r="H289" s="13" t="str">
        <f>IF(OR('实盘净值数据(iFinD）'!$A289="",'实盘净值数据(iFinD）'!$B289=""),"",分期持仓明细!$AB$19*SUMPRODUCT(分期持仓明细!$B$19:$Y$19,'实盘净值数据(iFinD）'!$B289:$Y289/'实盘净值数据(iFinD）'!$B$20:$Y$20)*(1-实盘持仓初始配置!$Z$6)^(('实盘净值数据(iFinD）'!$A289-'实盘净值数据(iFinD）'!$A$7)/365))</f>
        <v/>
      </c>
      <c r="I289" s="16" t="str">
        <f t="shared" si="26"/>
        <v/>
      </c>
      <c r="J289" s="16" t="str">
        <f>IF(H289="","",H289/MAX(H$5:H289)-1)</f>
        <v/>
      </c>
      <c r="K289" s="13" t="str">
        <f>IF(OR('实盘净值数据(iFinD）'!$A289="",'实盘净值数据(iFinD）'!$B289="",'实盘净值数据(iFinD）'!$Z289="",'实盘净值数据(iFinD）'!$AA289=""),"",分期持仓明细!$AB$23*(SUMPRODUCT(分期持仓明细!$B$23:$Y$23,'实盘净值数据(iFinD）'!$B289:$Y289/'实盘净值数据(iFinD）'!$B$65:$Y$65)+SUMPRODUCT(分期持仓明细!$AC$23:$AD$23,'实盘净值数据(iFinD）'!$Z289:$AA289/'实盘净值数据(iFinD）'!$Z$65:$AA$65))*(1-实盘持仓初始配置!$Z$7)^(('实盘净值数据(iFinD）'!$A289-'实盘净值数据(iFinD）'!$A$8)/365))</f>
        <v/>
      </c>
      <c r="L289" s="16" t="str">
        <f t="shared" si="27"/>
        <v/>
      </c>
      <c r="M289" s="16" t="str">
        <f>IF(K289="","",K289/MAX(K$5:K289)-1)</f>
        <v/>
      </c>
      <c r="N289" s="13" t="str">
        <f>IF(OR('实盘净值数据(iFinD）'!$A289="",'实盘净值数据(iFinD）'!$B289="",'实盘净值数据(iFinD）'!$Z289="",'实盘净值数据(iFinD）'!$AA289=""),"",分期持仓明细!$AB$24*(SUMPRODUCT(分期持仓明细!$B$24:$Y$24,'实盘净值数据(iFinD）'!$B289:$Y289/'实盘净值数据(iFinD）'!$B$65:$Y$65)+SUMPRODUCT(分期持仓明细!$AC$24:$AD$24,'实盘净值数据(iFinD）'!$Z289:$AA289/'实盘净值数据(iFinD）'!$Z$65:$AA$65))*(1-实盘持仓初始配置!$Z$8)^(('实盘净值数据(iFinD）'!$A289-'实盘净值数据(iFinD）'!$A$5)/365))</f>
        <v/>
      </c>
      <c r="O289" s="16" t="str">
        <f t="shared" si="28"/>
        <v/>
      </c>
      <c r="P289" s="16" t="str">
        <f>IF(N289="","",N289/MAX(N$5:N289)-1)</f>
        <v/>
      </c>
      <c r="Q289" s="13" t="str">
        <f>IF(OR('实盘净值数据(iFinD）'!$A289="",'实盘净值数据(iFinD）'!$B289="",'实盘净值数据(iFinD）'!$Z289="",'实盘净值数据(iFinD）'!$AA289=""),"",分期持仓明细!$AB$25*(SUMPRODUCT(分期持仓明细!$B$25:$Y$25,'实盘净值数据(iFinD）'!$B289:$Y289/'实盘净值数据(iFinD）'!$B$65:$Y$65)+SUMPRODUCT(分期持仓明细!$AC$25:$AD$25,'实盘净值数据(iFinD）'!$Z289:$AA289/'实盘净值数据(iFinD）'!$Z$65:$AA$65))*(1-实盘持仓初始配置!$Z$9)^(('实盘净值数据(iFinD）'!$A289-'实盘净值数据(iFinD）'!$A$8)/365))</f>
        <v/>
      </c>
      <c r="R289" s="16" t="str">
        <f t="shared" si="29"/>
        <v/>
      </c>
      <c r="S289" s="16" t="str">
        <f>IF(Q289="","",Q289/MAX(Q$5:Q289)-1)</f>
        <v/>
      </c>
    </row>
    <row r="290" spans="1:19">
      <c r="A290" s="15" t="str">
        <f>IF('实盘净值数据(iFinD）'!A290="","",'实盘净值数据(iFinD）'!A290)</f>
        <v/>
      </c>
      <c r="B290" s="13" t="str">
        <f>IF(OR('实盘净值数据(iFinD）'!$A290="",'实盘净值数据(iFinD）'!$B290=""),"",分期持仓明细!$AB$17*SUMPRODUCT(分期持仓明细!$B$17:$Y$17,'实盘净值数据(iFinD）'!$B290:$Y290/'实盘净值数据(iFinD）'!$B$20:$Y$20)*(1-实盘持仓初始配置!$Z$4)^(('实盘净值数据(iFinD）'!$A290-'实盘净值数据(iFinD）'!$A$6)/365))</f>
        <v/>
      </c>
      <c r="C290" s="16" t="str">
        <f t="shared" si="24"/>
        <v/>
      </c>
      <c r="D290" s="16" t="str">
        <f>IF(B290="","",B290/MAX(B$5:B290)-1)</f>
        <v/>
      </c>
      <c r="E290" s="13" t="str">
        <f>IF(OR('实盘净值数据(iFinD）'!$A290="",'实盘净值数据(iFinD）'!$B290=""),"",分期持仓明细!$AB$18*SUMPRODUCT(分期持仓明细!$B$18:$Y$18,'实盘净值数据(iFinD）'!$B290:$Y290/'实盘净值数据(iFinD）'!$B$20:$Y$20)*(1-实盘持仓初始配置!$Z$5)^(('实盘净值数据(iFinD）'!$A290-'实盘净值数据(iFinD）'!$A$5)/365))</f>
        <v/>
      </c>
      <c r="F290" s="16" t="str">
        <f t="shared" si="25"/>
        <v/>
      </c>
      <c r="G290" s="16" t="str">
        <f>IF(E290="","",E290/MAX(E$5:E290)-1)</f>
        <v/>
      </c>
      <c r="H290" s="13" t="str">
        <f>IF(OR('实盘净值数据(iFinD）'!$A290="",'实盘净值数据(iFinD）'!$B290=""),"",分期持仓明细!$AB$19*SUMPRODUCT(分期持仓明细!$B$19:$Y$19,'实盘净值数据(iFinD）'!$B290:$Y290/'实盘净值数据(iFinD）'!$B$20:$Y$20)*(1-实盘持仓初始配置!$Z$6)^(('实盘净值数据(iFinD）'!$A290-'实盘净值数据(iFinD）'!$A$7)/365))</f>
        <v/>
      </c>
      <c r="I290" s="16" t="str">
        <f t="shared" si="26"/>
        <v/>
      </c>
      <c r="J290" s="16" t="str">
        <f>IF(H290="","",H290/MAX(H$5:H290)-1)</f>
        <v/>
      </c>
      <c r="K290" s="13" t="str">
        <f>IF(OR('实盘净值数据(iFinD）'!$A290="",'实盘净值数据(iFinD）'!$B290="",'实盘净值数据(iFinD）'!$Z290="",'实盘净值数据(iFinD）'!$AA290=""),"",分期持仓明细!$AB$23*(SUMPRODUCT(分期持仓明细!$B$23:$Y$23,'实盘净值数据(iFinD）'!$B290:$Y290/'实盘净值数据(iFinD）'!$B$65:$Y$65)+SUMPRODUCT(分期持仓明细!$AC$23:$AD$23,'实盘净值数据(iFinD）'!$Z290:$AA290/'实盘净值数据(iFinD）'!$Z$65:$AA$65))*(1-实盘持仓初始配置!$Z$7)^(('实盘净值数据(iFinD）'!$A290-'实盘净值数据(iFinD）'!$A$8)/365))</f>
        <v/>
      </c>
      <c r="L290" s="16" t="str">
        <f t="shared" si="27"/>
        <v/>
      </c>
      <c r="M290" s="16" t="str">
        <f>IF(K290="","",K290/MAX(K$5:K290)-1)</f>
        <v/>
      </c>
      <c r="N290" s="13" t="str">
        <f>IF(OR('实盘净值数据(iFinD）'!$A290="",'实盘净值数据(iFinD）'!$B290="",'实盘净值数据(iFinD）'!$Z290="",'实盘净值数据(iFinD）'!$AA290=""),"",分期持仓明细!$AB$24*(SUMPRODUCT(分期持仓明细!$B$24:$Y$24,'实盘净值数据(iFinD）'!$B290:$Y290/'实盘净值数据(iFinD）'!$B$65:$Y$65)+SUMPRODUCT(分期持仓明细!$AC$24:$AD$24,'实盘净值数据(iFinD）'!$Z290:$AA290/'实盘净值数据(iFinD）'!$Z$65:$AA$65))*(1-实盘持仓初始配置!$Z$8)^(('实盘净值数据(iFinD）'!$A290-'实盘净值数据(iFinD）'!$A$5)/365))</f>
        <v/>
      </c>
      <c r="O290" s="16" t="str">
        <f t="shared" si="28"/>
        <v/>
      </c>
      <c r="P290" s="16" t="str">
        <f>IF(N290="","",N290/MAX(N$5:N290)-1)</f>
        <v/>
      </c>
      <c r="Q290" s="13" t="str">
        <f>IF(OR('实盘净值数据(iFinD）'!$A290="",'实盘净值数据(iFinD）'!$B290="",'实盘净值数据(iFinD）'!$Z290="",'实盘净值数据(iFinD）'!$AA290=""),"",分期持仓明细!$AB$25*(SUMPRODUCT(分期持仓明细!$B$25:$Y$25,'实盘净值数据(iFinD）'!$B290:$Y290/'实盘净值数据(iFinD）'!$B$65:$Y$65)+SUMPRODUCT(分期持仓明细!$AC$25:$AD$25,'实盘净值数据(iFinD）'!$Z290:$AA290/'实盘净值数据(iFinD）'!$Z$65:$AA$65))*(1-实盘持仓初始配置!$Z$9)^(('实盘净值数据(iFinD）'!$A290-'实盘净值数据(iFinD）'!$A$8)/365))</f>
        <v/>
      </c>
      <c r="R290" s="16" t="str">
        <f t="shared" si="29"/>
        <v/>
      </c>
      <c r="S290" s="16" t="str">
        <f>IF(Q290="","",Q290/MAX(Q$5:Q290)-1)</f>
        <v/>
      </c>
    </row>
    <row r="291" spans="1:19">
      <c r="A291" s="15" t="str">
        <f>IF('实盘净值数据(iFinD）'!A291="","",'实盘净值数据(iFinD）'!A291)</f>
        <v/>
      </c>
      <c r="B291" s="13" t="str">
        <f>IF(OR('实盘净值数据(iFinD）'!$A291="",'实盘净值数据(iFinD）'!$B291=""),"",分期持仓明细!$AB$17*SUMPRODUCT(分期持仓明细!$B$17:$Y$17,'实盘净值数据(iFinD）'!$B291:$Y291/'实盘净值数据(iFinD）'!$B$20:$Y$20)*(1-实盘持仓初始配置!$Z$4)^(('实盘净值数据(iFinD）'!$A291-'实盘净值数据(iFinD）'!$A$6)/365))</f>
        <v/>
      </c>
      <c r="C291" s="16" t="str">
        <f t="shared" si="24"/>
        <v/>
      </c>
      <c r="D291" s="16" t="str">
        <f>IF(B291="","",B291/MAX(B$5:B291)-1)</f>
        <v/>
      </c>
      <c r="E291" s="13" t="str">
        <f>IF(OR('实盘净值数据(iFinD）'!$A291="",'实盘净值数据(iFinD）'!$B291=""),"",分期持仓明细!$AB$18*SUMPRODUCT(分期持仓明细!$B$18:$Y$18,'实盘净值数据(iFinD）'!$B291:$Y291/'实盘净值数据(iFinD）'!$B$20:$Y$20)*(1-实盘持仓初始配置!$Z$5)^(('实盘净值数据(iFinD）'!$A291-'实盘净值数据(iFinD）'!$A$5)/365))</f>
        <v/>
      </c>
      <c r="F291" s="16" t="str">
        <f t="shared" si="25"/>
        <v/>
      </c>
      <c r="G291" s="16" t="str">
        <f>IF(E291="","",E291/MAX(E$5:E291)-1)</f>
        <v/>
      </c>
      <c r="H291" s="13" t="str">
        <f>IF(OR('实盘净值数据(iFinD）'!$A291="",'实盘净值数据(iFinD）'!$B291=""),"",分期持仓明细!$AB$19*SUMPRODUCT(分期持仓明细!$B$19:$Y$19,'实盘净值数据(iFinD）'!$B291:$Y291/'实盘净值数据(iFinD）'!$B$20:$Y$20)*(1-实盘持仓初始配置!$Z$6)^(('实盘净值数据(iFinD）'!$A291-'实盘净值数据(iFinD）'!$A$7)/365))</f>
        <v/>
      </c>
      <c r="I291" s="16" t="str">
        <f t="shared" si="26"/>
        <v/>
      </c>
      <c r="J291" s="16" t="str">
        <f>IF(H291="","",H291/MAX(H$5:H291)-1)</f>
        <v/>
      </c>
      <c r="K291" s="13" t="str">
        <f>IF(OR('实盘净值数据(iFinD）'!$A291="",'实盘净值数据(iFinD）'!$B291="",'实盘净值数据(iFinD）'!$Z291="",'实盘净值数据(iFinD）'!$AA291=""),"",分期持仓明细!$AB$23*(SUMPRODUCT(分期持仓明细!$B$23:$Y$23,'实盘净值数据(iFinD）'!$B291:$Y291/'实盘净值数据(iFinD）'!$B$65:$Y$65)+SUMPRODUCT(分期持仓明细!$AC$23:$AD$23,'实盘净值数据(iFinD）'!$Z291:$AA291/'实盘净值数据(iFinD）'!$Z$65:$AA$65))*(1-实盘持仓初始配置!$Z$7)^(('实盘净值数据(iFinD）'!$A291-'实盘净值数据(iFinD）'!$A$8)/365))</f>
        <v/>
      </c>
      <c r="L291" s="16" t="str">
        <f t="shared" si="27"/>
        <v/>
      </c>
      <c r="M291" s="16" t="str">
        <f>IF(K291="","",K291/MAX(K$5:K291)-1)</f>
        <v/>
      </c>
      <c r="N291" s="13" t="str">
        <f>IF(OR('实盘净值数据(iFinD）'!$A291="",'实盘净值数据(iFinD）'!$B291="",'实盘净值数据(iFinD）'!$Z291="",'实盘净值数据(iFinD）'!$AA291=""),"",分期持仓明细!$AB$24*(SUMPRODUCT(分期持仓明细!$B$24:$Y$24,'实盘净值数据(iFinD）'!$B291:$Y291/'实盘净值数据(iFinD）'!$B$65:$Y$65)+SUMPRODUCT(分期持仓明细!$AC$24:$AD$24,'实盘净值数据(iFinD）'!$Z291:$AA291/'实盘净值数据(iFinD）'!$Z$65:$AA$65))*(1-实盘持仓初始配置!$Z$8)^(('实盘净值数据(iFinD）'!$A291-'实盘净值数据(iFinD）'!$A$5)/365))</f>
        <v/>
      </c>
      <c r="O291" s="16" t="str">
        <f t="shared" si="28"/>
        <v/>
      </c>
      <c r="P291" s="16" t="str">
        <f>IF(N291="","",N291/MAX(N$5:N291)-1)</f>
        <v/>
      </c>
      <c r="Q291" s="13" t="str">
        <f>IF(OR('实盘净值数据(iFinD）'!$A291="",'实盘净值数据(iFinD）'!$B291="",'实盘净值数据(iFinD）'!$Z291="",'实盘净值数据(iFinD）'!$AA291=""),"",分期持仓明细!$AB$25*(SUMPRODUCT(分期持仓明细!$B$25:$Y$25,'实盘净值数据(iFinD）'!$B291:$Y291/'实盘净值数据(iFinD）'!$B$65:$Y$65)+SUMPRODUCT(分期持仓明细!$AC$25:$AD$25,'实盘净值数据(iFinD）'!$Z291:$AA291/'实盘净值数据(iFinD）'!$Z$65:$AA$65))*(1-实盘持仓初始配置!$Z$9)^(('实盘净值数据(iFinD）'!$A291-'实盘净值数据(iFinD）'!$A$8)/365))</f>
        <v/>
      </c>
      <c r="R291" s="16" t="str">
        <f t="shared" si="29"/>
        <v/>
      </c>
      <c r="S291" s="16" t="str">
        <f>IF(Q291="","",Q291/MAX(Q$5:Q291)-1)</f>
        <v/>
      </c>
    </row>
    <row r="292" spans="1:19">
      <c r="A292" s="15" t="str">
        <f>IF('实盘净值数据(iFinD）'!A292="","",'实盘净值数据(iFinD）'!A292)</f>
        <v/>
      </c>
      <c r="B292" s="13" t="str">
        <f>IF(OR('实盘净值数据(iFinD）'!$A292="",'实盘净值数据(iFinD）'!$B292=""),"",分期持仓明细!$AB$17*SUMPRODUCT(分期持仓明细!$B$17:$Y$17,'实盘净值数据(iFinD）'!$B292:$Y292/'实盘净值数据(iFinD）'!$B$20:$Y$20)*(1-实盘持仓初始配置!$Z$4)^(('实盘净值数据(iFinD）'!$A292-'实盘净值数据(iFinD）'!$A$6)/365))</f>
        <v/>
      </c>
      <c r="C292" s="16" t="str">
        <f t="shared" si="24"/>
        <v/>
      </c>
      <c r="D292" s="16" t="str">
        <f>IF(B292="","",B292/MAX(B$5:B292)-1)</f>
        <v/>
      </c>
      <c r="E292" s="13" t="str">
        <f>IF(OR('实盘净值数据(iFinD）'!$A292="",'实盘净值数据(iFinD）'!$B292=""),"",分期持仓明细!$AB$18*SUMPRODUCT(分期持仓明细!$B$18:$Y$18,'实盘净值数据(iFinD）'!$B292:$Y292/'实盘净值数据(iFinD）'!$B$20:$Y$20)*(1-实盘持仓初始配置!$Z$5)^(('实盘净值数据(iFinD）'!$A292-'实盘净值数据(iFinD）'!$A$5)/365))</f>
        <v/>
      </c>
      <c r="F292" s="16" t="str">
        <f t="shared" si="25"/>
        <v/>
      </c>
      <c r="G292" s="16" t="str">
        <f>IF(E292="","",E292/MAX(E$5:E292)-1)</f>
        <v/>
      </c>
      <c r="H292" s="13" t="str">
        <f>IF(OR('实盘净值数据(iFinD）'!$A292="",'实盘净值数据(iFinD）'!$B292=""),"",分期持仓明细!$AB$19*SUMPRODUCT(分期持仓明细!$B$19:$Y$19,'实盘净值数据(iFinD）'!$B292:$Y292/'实盘净值数据(iFinD）'!$B$20:$Y$20)*(1-实盘持仓初始配置!$Z$6)^(('实盘净值数据(iFinD）'!$A292-'实盘净值数据(iFinD）'!$A$7)/365))</f>
        <v/>
      </c>
      <c r="I292" s="16" t="str">
        <f t="shared" si="26"/>
        <v/>
      </c>
      <c r="J292" s="16" t="str">
        <f>IF(H292="","",H292/MAX(H$5:H292)-1)</f>
        <v/>
      </c>
      <c r="K292" s="13" t="str">
        <f>IF(OR('实盘净值数据(iFinD）'!$A292="",'实盘净值数据(iFinD）'!$B292="",'实盘净值数据(iFinD）'!$Z292="",'实盘净值数据(iFinD）'!$AA292=""),"",分期持仓明细!$AB$23*(SUMPRODUCT(分期持仓明细!$B$23:$Y$23,'实盘净值数据(iFinD）'!$B292:$Y292/'实盘净值数据(iFinD）'!$B$65:$Y$65)+SUMPRODUCT(分期持仓明细!$AC$23:$AD$23,'实盘净值数据(iFinD）'!$Z292:$AA292/'实盘净值数据(iFinD）'!$Z$65:$AA$65))*(1-实盘持仓初始配置!$Z$7)^(('实盘净值数据(iFinD）'!$A292-'实盘净值数据(iFinD）'!$A$8)/365))</f>
        <v/>
      </c>
      <c r="L292" s="16" t="str">
        <f t="shared" si="27"/>
        <v/>
      </c>
      <c r="M292" s="16" t="str">
        <f>IF(K292="","",K292/MAX(K$5:K292)-1)</f>
        <v/>
      </c>
      <c r="N292" s="13" t="str">
        <f>IF(OR('实盘净值数据(iFinD）'!$A292="",'实盘净值数据(iFinD）'!$B292="",'实盘净值数据(iFinD）'!$Z292="",'实盘净值数据(iFinD）'!$AA292=""),"",分期持仓明细!$AB$24*(SUMPRODUCT(分期持仓明细!$B$24:$Y$24,'实盘净值数据(iFinD）'!$B292:$Y292/'实盘净值数据(iFinD）'!$B$65:$Y$65)+SUMPRODUCT(分期持仓明细!$AC$24:$AD$24,'实盘净值数据(iFinD）'!$Z292:$AA292/'实盘净值数据(iFinD）'!$Z$65:$AA$65))*(1-实盘持仓初始配置!$Z$8)^(('实盘净值数据(iFinD）'!$A292-'实盘净值数据(iFinD）'!$A$5)/365))</f>
        <v/>
      </c>
      <c r="O292" s="16" t="str">
        <f t="shared" si="28"/>
        <v/>
      </c>
      <c r="P292" s="16" t="str">
        <f>IF(N292="","",N292/MAX(N$5:N292)-1)</f>
        <v/>
      </c>
      <c r="Q292" s="13" t="str">
        <f>IF(OR('实盘净值数据(iFinD）'!$A292="",'实盘净值数据(iFinD）'!$B292="",'实盘净值数据(iFinD）'!$Z292="",'实盘净值数据(iFinD）'!$AA292=""),"",分期持仓明细!$AB$25*(SUMPRODUCT(分期持仓明细!$B$25:$Y$25,'实盘净值数据(iFinD）'!$B292:$Y292/'实盘净值数据(iFinD）'!$B$65:$Y$65)+SUMPRODUCT(分期持仓明细!$AC$25:$AD$25,'实盘净值数据(iFinD）'!$Z292:$AA292/'实盘净值数据(iFinD）'!$Z$65:$AA$65))*(1-实盘持仓初始配置!$Z$9)^(('实盘净值数据(iFinD）'!$A292-'实盘净值数据(iFinD）'!$A$8)/365))</f>
        <v/>
      </c>
      <c r="R292" s="16" t="str">
        <f t="shared" si="29"/>
        <v/>
      </c>
      <c r="S292" s="16" t="str">
        <f>IF(Q292="","",Q292/MAX(Q$5:Q292)-1)</f>
        <v/>
      </c>
    </row>
    <row r="293" spans="1:19">
      <c r="A293" s="15" t="str">
        <f>IF('实盘净值数据(iFinD）'!A293="","",'实盘净值数据(iFinD）'!A293)</f>
        <v/>
      </c>
      <c r="B293" s="13" t="str">
        <f>IF(OR('实盘净值数据(iFinD）'!$A293="",'实盘净值数据(iFinD）'!$B293=""),"",分期持仓明细!$AB$17*SUMPRODUCT(分期持仓明细!$B$17:$Y$17,'实盘净值数据(iFinD）'!$B293:$Y293/'实盘净值数据(iFinD）'!$B$20:$Y$20)*(1-实盘持仓初始配置!$Z$4)^(('实盘净值数据(iFinD）'!$A293-'实盘净值数据(iFinD）'!$A$6)/365))</f>
        <v/>
      </c>
      <c r="C293" s="16" t="str">
        <f t="shared" si="24"/>
        <v/>
      </c>
      <c r="D293" s="16" t="str">
        <f>IF(B293="","",B293/MAX(B$5:B293)-1)</f>
        <v/>
      </c>
      <c r="E293" s="13" t="str">
        <f>IF(OR('实盘净值数据(iFinD）'!$A293="",'实盘净值数据(iFinD）'!$B293=""),"",分期持仓明细!$AB$18*SUMPRODUCT(分期持仓明细!$B$18:$Y$18,'实盘净值数据(iFinD）'!$B293:$Y293/'实盘净值数据(iFinD）'!$B$20:$Y$20)*(1-实盘持仓初始配置!$Z$5)^(('实盘净值数据(iFinD）'!$A293-'实盘净值数据(iFinD）'!$A$5)/365))</f>
        <v/>
      </c>
      <c r="F293" s="16" t="str">
        <f t="shared" si="25"/>
        <v/>
      </c>
      <c r="G293" s="16" t="str">
        <f>IF(E293="","",E293/MAX(E$5:E293)-1)</f>
        <v/>
      </c>
      <c r="H293" s="13" t="str">
        <f>IF(OR('实盘净值数据(iFinD）'!$A293="",'实盘净值数据(iFinD）'!$B293=""),"",分期持仓明细!$AB$19*SUMPRODUCT(分期持仓明细!$B$19:$Y$19,'实盘净值数据(iFinD）'!$B293:$Y293/'实盘净值数据(iFinD）'!$B$20:$Y$20)*(1-实盘持仓初始配置!$Z$6)^(('实盘净值数据(iFinD）'!$A293-'实盘净值数据(iFinD）'!$A$7)/365))</f>
        <v/>
      </c>
      <c r="I293" s="16" t="str">
        <f t="shared" si="26"/>
        <v/>
      </c>
      <c r="J293" s="16" t="str">
        <f>IF(H293="","",H293/MAX(H$5:H293)-1)</f>
        <v/>
      </c>
      <c r="K293" s="13" t="str">
        <f>IF(OR('实盘净值数据(iFinD）'!$A293="",'实盘净值数据(iFinD）'!$B293="",'实盘净值数据(iFinD）'!$Z293="",'实盘净值数据(iFinD）'!$AA293=""),"",分期持仓明细!$AB$23*(SUMPRODUCT(分期持仓明细!$B$23:$Y$23,'实盘净值数据(iFinD）'!$B293:$Y293/'实盘净值数据(iFinD）'!$B$65:$Y$65)+SUMPRODUCT(分期持仓明细!$AC$23:$AD$23,'实盘净值数据(iFinD）'!$Z293:$AA293/'实盘净值数据(iFinD）'!$Z$65:$AA$65))*(1-实盘持仓初始配置!$Z$7)^(('实盘净值数据(iFinD）'!$A293-'实盘净值数据(iFinD）'!$A$8)/365))</f>
        <v/>
      </c>
      <c r="L293" s="16" t="str">
        <f t="shared" si="27"/>
        <v/>
      </c>
      <c r="M293" s="16" t="str">
        <f>IF(K293="","",K293/MAX(K$5:K293)-1)</f>
        <v/>
      </c>
      <c r="N293" s="13" t="str">
        <f>IF(OR('实盘净值数据(iFinD）'!$A293="",'实盘净值数据(iFinD）'!$B293="",'实盘净值数据(iFinD）'!$Z293="",'实盘净值数据(iFinD）'!$AA293=""),"",分期持仓明细!$AB$24*(SUMPRODUCT(分期持仓明细!$B$24:$Y$24,'实盘净值数据(iFinD）'!$B293:$Y293/'实盘净值数据(iFinD）'!$B$65:$Y$65)+SUMPRODUCT(分期持仓明细!$AC$24:$AD$24,'实盘净值数据(iFinD）'!$Z293:$AA293/'实盘净值数据(iFinD）'!$Z$65:$AA$65))*(1-实盘持仓初始配置!$Z$8)^(('实盘净值数据(iFinD）'!$A293-'实盘净值数据(iFinD）'!$A$5)/365))</f>
        <v/>
      </c>
      <c r="O293" s="16" t="str">
        <f t="shared" si="28"/>
        <v/>
      </c>
      <c r="P293" s="16" t="str">
        <f>IF(N293="","",N293/MAX(N$5:N293)-1)</f>
        <v/>
      </c>
      <c r="Q293" s="13" t="str">
        <f>IF(OR('实盘净值数据(iFinD）'!$A293="",'实盘净值数据(iFinD）'!$B293="",'实盘净值数据(iFinD）'!$Z293="",'实盘净值数据(iFinD）'!$AA293=""),"",分期持仓明细!$AB$25*(SUMPRODUCT(分期持仓明细!$B$25:$Y$25,'实盘净值数据(iFinD）'!$B293:$Y293/'实盘净值数据(iFinD）'!$B$65:$Y$65)+SUMPRODUCT(分期持仓明细!$AC$25:$AD$25,'实盘净值数据(iFinD）'!$Z293:$AA293/'实盘净值数据(iFinD）'!$Z$65:$AA$65))*(1-实盘持仓初始配置!$Z$9)^(('实盘净值数据(iFinD）'!$A293-'实盘净值数据(iFinD）'!$A$8)/365))</f>
        <v/>
      </c>
      <c r="R293" s="16" t="str">
        <f t="shared" si="29"/>
        <v/>
      </c>
      <c r="S293" s="16" t="str">
        <f>IF(Q293="","",Q293/MAX(Q$5:Q293)-1)</f>
        <v/>
      </c>
    </row>
    <row r="294" spans="1:19">
      <c r="A294" s="15" t="str">
        <f>IF('实盘净值数据(iFinD）'!A294="","",'实盘净值数据(iFinD）'!A294)</f>
        <v/>
      </c>
      <c r="B294" s="13" t="str">
        <f>IF(OR('实盘净值数据(iFinD）'!$A294="",'实盘净值数据(iFinD）'!$B294=""),"",分期持仓明细!$AB$17*SUMPRODUCT(分期持仓明细!$B$17:$Y$17,'实盘净值数据(iFinD）'!$B294:$Y294/'实盘净值数据(iFinD）'!$B$20:$Y$20)*(1-实盘持仓初始配置!$Z$4)^(('实盘净值数据(iFinD）'!$A294-'实盘净值数据(iFinD）'!$A$6)/365))</f>
        <v/>
      </c>
      <c r="C294" s="16" t="str">
        <f t="shared" si="24"/>
        <v/>
      </c>
      <c r="D294" s="16" t="str">
        <f>IF(B294="","",B294/MAX(B$5:B294)-1)</f>
        <v/>
      </c>
      <c r="E294" s="13" t="str">
        <f>IF(OR('实盘净值数据(iFinD）'!$A294="",'实盘净值数据(iFinD）'!$B294=""),"",分期持仓明细!$AB$18*SUMPRODUCT(分期持仓明细!$B$18:$Y$18,'实盘净值数据(iFinD）'!$B294:$Y294/'实盘净值数据(iFinD）'!$B$20:$Y$20)*(1-实盘持仓初始配置!$Z$5)^(('实盘净值数据(iFinD）'!$A294-'实盘净值数据(iFinD）'!$A$5)/365))</f>
        <v/>
      </c>
      <c r="F294" s="16" t="str">
        <f t="shared" si="25"/>
        <v/>
      </c>
      <c r="G294" s="16" t="str">
        <f>IF(E294="","",E294/MAX(E$5:E294)-1)</f>
        <v/>
      </c>
      <c r="H294" s="13" t="str">
        <f>IF(OR('实盘净值数据(iFinD）'!$A294="",'实盘净值数据(iFinD）'!$B294=""),"",分期持仓明细!$AB$19*SUMPRODUCT(分期持仓明细!$B$19:$Y$19,'实盘净值数据(iFinD）'!$B294:$Y294/'实盘净值数据(iFinD）'!$B$20:$Y$20)*(1-实盘持仓初始配置!$Z$6)^(('实盘净值数据(iFinD）'!$A294-'实盘净值数据(iFinD）'!$A$7)/365))</f>
        <v/>
      </c>
      <c r="I294" s="16" t="str">
        <f t="shared" si="26"/>
        <v/>
      </c>
      <c r="J294" s="16" t="str">
        <f>IF(H294="","",H294/MAX(H$5:H294)-1)</f>
        <v/>
      </c>
      <c r="K294" s="13" t="str">
        <f>IF(OR('实盘净值数据(iFinD）'!$A294="",'实盘净值数据(iFinD）'!$B294="",'实盘净值数据(iFinD）'!$Z294="",'实盘净值数据(iFinD）'!$AA294=""),"",分期持仓明细!$AB$23*(SUMPRODUCT(分期持仓明细!$B$23:$Y$23,'实盘净值数据(iFinD）'!$B294:$Y294/'实盘净值数据(iFinD）'!$B$65:$Y$65)+SUMPRODUCT(分期持仓明细!$AC$23:$AD$23,'实盘净值数据(iFinD）'!$Z294:$AA294/'实盘净值数据(iFinD）'!$Z$65:$AA$65))*(1-实盘持仓初始配置!$Z$7)^(('实盘净值数据(iFinD）'!$A294-'实盘净值数据(iFinD）'!$A$8)/365))</f>
        <v/>
      </c>
      <c r="L294" s="16" t="str">
        <f t="shared" si="27"/>
        <v/>
      </c>
      <c r="M294" s="16" t="str">
        <f>IF(K294="","",K294/MAX(K$5:K294)-1)</f>
        <v/>
      </c>
      <c r="N294" s="13" t="str">
        <f>IF(OR('实盘净值数据(iFinD）'!$A294="",'实盘净值数据(iFinD）'!$B294="",'实盘净值数据(iFinD）'!$Z294="",'实盘净值数据(iFinD）'!$AA294=""),"",分期持仓明细!$AB$24*(SUMPRODUCT(分期持仓明细!$B$24:$Y$24,'实盘净值数据(iFinD）'!$B294:$Y294/'实盘净值数据(iFinD）'!$B$65:$Y$65)+SUMPRODUCT(分期持仓明细!$AC$24:$AD$24,'实盘净值数据(iFinD）'!$Z294:$AA294/'实盘净值数据(iFinD）'!$Z$65:$AA$65))*(1-实盘持仓初始配置!$Z$8)^(('实盘净值数据(iFinD）'!$A294-'实盘净值数据(iFinD）'!$A$5)/365))</f>
        <v/>
      </c>
      <c r="O294" s="16" t="str">
        <f t="shared" si="28"/>
        <v/>
      </c>
      <c r="P294" s="16" t="str">
        <f>IF(N294="","",N294/MAX(N$5:N294)-1)</f>
        <v/>
      </c>
      <c r="Q294" s="13" t="str">
        <f>IF(OR('实盘净值数据(iFinD）'!$A294="",'实盘净值数据(iFinD）'!$B294="",'实盘净值数据(iFinD）'!$Z294="",'实盘净值数据(iFinD）'!$AA294=""),"",分期持仓明细!$AB$25*(SUMPRODUCT(分期持仓明细!$B$25:$Y$25,'实盘净值数据(iFinD）'!$B294:$Y294/'实盘净值数据(iFinD）'!$B$65:$Y$65)+SUMPRODUCT(分期持仓明细!$AC$25:$AD$25,'实盘净值数据(iFinD）'!$Z294:$AA294/'实盘净值数据(iFinD）'!$Z$65:$AA$65))*(1-实盘持仓初始配置!$Z$9)^(('实盘净值数据(iFinD）'!$A294-'实盘净值数据(iFinD）'!$A$8)/365))</f>
        <v/>
      </c>
      <c r="R294" s="16" t="str">
        <f t="shared" si="29"/>
        <v/>
      </c>
      <c r="S294" s="16" t="str">
        <f>IF(Q294="","",Q294/MAX(Q$5:Q294)-1)</f>
        <v/>
      </c>
    </row>
    <row r="295" spans="1:19">
      <c r="A295" s="15" t="str">
        <f>IF('实盘净值数据(iFinD）'!A295="","",'实盘净值数据(iFinD）'!A295)</f>
        <v/>
      </c>
      <c r="B295" s="13" t="str">
        <f>IF(OR('实盘净值数据(iFinD）'!$A295="",'实盘净值数据(iFinD）'!$B295=""),"",分期持仓明细!$AB$17*SUMPRODUCT(分期持仓明细!$B$17:$Y$17,'实盘净值数据(iFinD）'!$B295:$Y295/'实盘净值数据(iFinD）'!$B$20:$Y$20)*(1-实盘持仓初始配置!$Z$4)^(('实盘净值数据(iFinD）'!$A295-'实盘净值数据(iFinD）'!$A$6)/365))</f>
        <v/>
      </c>
      <c r="C295" s="16" t="str">
        <f t="shared" si="24"/>
        <v/>
      </c>
      <c r="D295" s="16" t="str">
        <f>IF(B295="","",B295/MAX(B$5:B295)-1)</f>
        <v/>
      </c>
      <c r="E295" s="13" t="str">
        <f>IF(OR('实盘净值数据(iFinD）'!$A295="",'实盘净值数据(iFinD）'!$B295=""),"",分期持仓明细!$AB$18*SUMPRODUCT(分期持仓明细!$B$18:$Y$18,'实盘净值数据(iFinD）'!$B295:$Y295/'实盘净值数据(iFinD）'!$B$20:$Y$20)*(1-实盘持仓初始配置!$Z$5)^(('实盘净值数据(iFinD）'!$A295-'实盘净值数据(iFinD）'!$A$5)/365))</f>
        <v/>
      </c>
      <c r="F295" s="16" t="str">
        <f t="shared" si="25"/>
        <v/>
      </c>
      <c r="G295" s="16" t="str">
        <f>IF(E295="","",E295/MAX(E$5:E295)-1)</f>
        <v/>
      </c>
      <c r="H295" s="13" t="str">
        <f>IF(OR('实盘净值数据(iFinD）'!$A295="",'实盘净值数据(iFinD）'!$B295=""),"",分期持仓明细!$AB$19*SUMPRODUCT(分期持仓明细!$B$19:$Y$19,'实盘净值数据(iFinD）'!$B295:$Y295/'实盘净值数据(iFinD）'!$B$20:$Y$20)*(1-实盘持仓初始配置!$Z$6)^(('实盘净值数据(iFinD）'!$A295-'实盘净值数据(iFinD）'!$A$7)/365))</f>
        <v/>
      </c>
      <c r="I295" s="16" t="str">
        <f t="shared" si="26"/>
        <v/>
      </c>
      <c r="J295" s="16" t="str">
        <f>IF(H295="","",H295/MAX(H$5:H295)-1)</f>
        <v/>
      </c>
      <c r="K295" s="13" t="str">
        <f>IF(OR('实盘净值数据(iFinD）'!$A295="",'实盘净值数据(iFinD）'!$B295="",'实盘净值数据(iFinD）'!$Z295="",'实盘净值数据(iFinD）'!$AA295=""),"",分期持仓明细!$AB$23*(SUMPRODUCT(分期持仓明细!$B$23:$Y$23,'实盘净值数据(iFinD）'!$B295:$Y295/'实盘净值数据(iFinD）'!$B$65:$Y$65)+SUMPRODUCT(分期持仓明细!$AC$23:$AD$23,'实盘净值数据(iFinD）'!$Z295:$AA295/'实盘净值数据(iFinD）'!$Z$65:$AA$65))*(1-实盘持仓初始配置!$Z$7)^(('实盘净值数据(iFinD）'!$A295-'实盘净值数据(iFinD）'!$A$8)/365))</f>
        <v/>
      </c>
      <c r="L295" s="16" t="str">
        <f t="shared" si="27"/>
        <v/>
      </c>
      <c r="M295" s="16" t="str">
        <f>IF(K295="","",K295/MAX(K$5:K295)-1)</f>
        <v/>
      </c>
      <c r="N295" s="13" t="str">
        <f>IF(OR('实盘净值数据(iFinD）'!$A295="",'实盘净值数据(iFinD）'!$B295="",'实盘净值数据(iFinD）'!$Z295="",'实盘净值数据(iFinD）'!$AA295=""),"",分期持仓明细!$AB$24*(SUMPRODUCT(分期持仓明细!$B$24:$Y$24,'实盘净值数据(iFinD）'!$B295:$Y295/'实盘净值数据(iFinD）'!$B$65:$Y$65)+SUMPRODUCT(分期持仓明细!$AC$24:$AD$24,'实盘净值数据(iFinD）'!$Z295:$AA295/'实盘净值数据(iFinD）'!$Z$65:$AA$65))*(1-实盘持仓初始配置!$Z$8)^(('实盘净值数据(iFinD）'!$A295-'实盘净值数据(iFinD）'!$A$5)/365))</f>
        <v/>
      </c>
      <c r="O295" s="16" t="str">
        <f t="shared" si="28"/>
        <v/>
      </c>
      <c r="P295" s="16" t="str">
        <f>IF(N295="","",N295/MAX(N$5:N295)-1)</f>
        <v/>
      </c>
      <c r="Q295" s="13" t="str">
        <f>IF(OR('实盘净值数据(iFinD）'!$A295="",'实盘净值数据(iFinD）'!$B295="",'实盘净值数据(iFinD）'!$Z295="",'实盘净值数据(iFinD）'!$AA295=""),"",分期持仓明细!$AB$25*(SUMPRODUCT(分期持仓明细!$B$25:$Y$25,'实盘净值数据(iFinD）'!$B295:$Y295/'实盘净值数据(iFinD）'!$B$65:$Y$65)+SUMPRODUCT(分期持仓明细!$AC$25:$AD$25,'实盘净值数据(iFinD）'!$Z295:$AA295/'实盘净值数据(iFinD）'!$Z$65:$AA$65))*(1-实盘持仓初始配置!$Z$9)^(('实盘净值数据(iFinD）'!$A295-'实盘净值数据(iFinD）'!$A$8)/365))</f>
        <v/>
      </c>
      <c r="R295" s="16" t="str">
        <f t="shared" si="29"/>
        <v/>
      </c>
      <c r="S295" s="16" t="str">
        <f>IF(Q295="","",Q295/MAX(Q$5:Q295)-1)</f>
        <v/>
      </c>
    </row>
    <row r="296" spans="1:19">
      <c r="A296" s="15" t="str">
        <f>IF('实盘净值数据(iFinD）'!A296="","",'实盘净值数据(iFinD）'!A296)</f>
        <v/>
      </c>
      <c r="B296" s="13" t="str">
        <f>IF(OR('实盘净值数据(iFinD）'!$A296="",'实盘净值数据(iFinD）'!$B296=""),"",分期持仓明细!$AB$17*SUMPRODUCT(分期持仓明细!$B$17:$Y$17,'实盘净值数据(iFinD）'!$B296:$Y296/'实盘净值数据(iFinD）'!$B$20:$Y$20)*(1-实盘持仓初始配置!$Z$4)^(('实盘净值数据(iFinD）'!$A296-'实盘净值数据(iFinD）'!$A$6)/365))</f>
        <v/>
      </c>
      <c r="C296" s="16" t="str">
        <f t="shared" si="24"/>
        <v/>
      </c>
      <c r="D296" s="16" t="str">
        <f>IF(B296="","",B296/MAX(B$5:B296)-1)</f>
        <v/>
      </c>
      <c r="E296" s="13" t="str">
        <f>IF(OR('实盘净值数据(iFinD）'!$A296="",'实盘净值数据(iFinD）'!$B296=""),"",分期持仓明细!$AB$18*SUMPRODUCT(分期持仓明细!$B$18:$Y$18,'实盘净值数据(iFinD）'!$B296:$Y296/'实盘净值数据(iFinD）'!$B$20:$Y$20)*(1-实盘持仓初始配置!$Z$5)^(('实盘净值数据(iFinD）'!$A296-'实盘净值数据(iFinD）'!$A$5)/365))</f>
        <v/>
      </c>
      <c r="F296" s="16" t="str">
        <f t="shared" si="25"/>
        <v/>
      </c>
      <c r="G296" s="16" t="str">
        <f>IF(E296="","",E296/MAX(E$5:E296)-1)</f>
        <v/>
      </c>
      <c r="H296" s="13" t="str">
        <f>IF(OR('实盘净值数据(iFinD）'!$A296="",'实盘净值数据(iFinD）'!$B296=""),"",分期持仓明细!$AB$19*SUMPRODUCT(分期持仓明细!$B$19:$Y$19,'实盘净值数据(iFinD）'!$B296:$Y296/'实盘净值数据(iFinD）'!$B$20:$Y$20)*(1-实盘持仓初始配置!$Z$6)^(('实盘净值数据(iFinD）'!$A296-'实盘净值数据(iFinD）'!$A$7)/365))</f>
        <v/>
      </c>
      <c r="I296" s="16" t="str">
        <f t="shared" si="26"/>
        <v/>
      </c>
      <c r="J296" s="16" t="str">
        <f>IF(H296="","",H296/MAX(H$5:H296)-1)</f>
        <v/>
      </c>
      <c r="K296" s="13" t="str">
        <f>IF(OR('实盘净值数据(iFinD）'!$A296="",'实盘净值数据(iFinD）'!$B296="",'实盘净值数据(iFinD）'!$Z296="",'实盘净值数据(iFinD）'!$AA296=""),"",分期持仓明细!$AB$23*(SUMPRODUCT(分期持仓明细!$B$23:$Y$23,'实盘净值数据(iFinD）'!$B296:$Y296/'实盘净值数据(iFinD）'!$B$65:$Y$65)+SUMPRODUCT(分期持仓明细!$AC$23:$AD$23,'实盘净值数据(iFinD）'!$Z296:$AA296/'实盘净值数据(iFinD）'!$Z$65:$AA$65))*(1-实盘持仓初始配置!$Z$7)^(('实盘净值数据(iFinD）'!$A296-'实盘净值数据(iFinD）'!$A$8)/365))</f>
        <v/>
      </c>
      <c r="L296" s="16" t="str">
        <f t="shared" si="27"/>
        <v/>
      </c>
      <c r="M296" s="16" t="str">
        <f>IF(K296="","",K296/MAX(K$5:K296)-1)</f>
        <v/>
      </c>
      <c r="N296" s="13" t="str">
        <f>IF(OR('实盘净值数据(iFinD）'!$A296="",'实盘净值数据(iFinD）'!$B296="",'实盘净值数据(iFinD）'!$Z296="",'实盘净值数据(iFinD）'!$AA296=""),"",分期持仓明细!$AB$24*(SUMPRODUCT(分期持仓明细!$B$24:$Y$24,'实盘净值数据(iFinD）'!$B296:$Y296/'实盘净值数据(iFinD）'!$B$65:$Y$65)+SUMPRODUCT(分期持仓明细!$AC$24:$AD$24,'实盘净值数据(iFinD）'!$Z296:$AA296/'实盘净值数据(iFinD）'!$Z$65:$AA$65))*(1-实盘持仓初始配置!$Z$8)^(('实盘净值数据(iFinD）'!$A296-'实盘净值数据(iFinD）'!$A$5)/365))</f>
        <v/>
      </c>
      <c r="O296" s="16" t="str">
        <f t="shared" si="28"/>
        <v/>
      </c>
      <c r="P296" s="16" t="str">
        <f>IF(N296="","",N296/MAX(N$5:N296)-1)</f>
        <v/>
      </c>
      <c r="Q296" s="13" t="str">
        <f>IF(OR('实盘净值数据(iFinD）'!$A296="",'实盘净值数据(iFinD）'!$B296="",'实盘净值数据(iFinD）'!$Z296="",'实盘净值数据(iFinD）'!$AA296=""),"",分期持仓明细!$AB$25*(SUMPRODUCT(分期持仓明细!$B$25:$Y$25,'实盘净值数据(iFinD）'!$B296:$Y296/'实盘净值数据(iFinD）'!$B$65:$Y$65)+SUMPRODUCT(分期持仓明细!$AC$25:$AD$25,'实盘净值数据(iFinD）'!$Z296:$AA296/'实盘净值数据(iFinD）'!$Z$65:$AA$65))*(1-实盘持仓初始配置!$Z$9)^(('实盘净值数据(iFinD）'!$A296-'实盘净值数据(iFinD）'!$A$8)/365))</f>
        <v/>
      </c>
      <c r="R296" s="16" t="str">
        <f t="shared" si="29"/>
        <v/>
      </c>
      <c r="S296" s="16" t="str">
        <f>IF(Q296="","",Q296/MAX(Q$5:Q296)-1)</f>
        <v/>
      </c>
    </row>
    <row r="297" spans="1:19">
      <c r="A297" s="15" t="str">
        <f>IF('实盘净值数据(iFinD）'!A297="","",'实盘净值数据(iFinD）'!A297)</f>
        <v/>
      </c>
      <c r="B297" s="13" t="str">
        <f>IF(OR('实盘净值数据(iFinD）'!$A297="",'实盘净值数据(iFinD）'!$B297=""),"",分期持仓明细!$AB$17*SUMPRODUCT(分期持仓明细!$B$17:$Y$17,'实盘净值数据(iFinD）'!$B297:$Y297/'实盘净值数据(iFinD）'!$B$20:$Y$20)*(1-实盘持仓初始配置!$Z$4)^(('实盘净值数据(iFinD）'!$A297-'实盘净值数据(iFinD）'!$A$6)/365))</f>
        <v/>
      </c>
      <c r="C297" s="16" t="str">
        <f t="shared" si="24"/>
        <v/>
      </c>
      <c r="D297" s="16" t="str">
        <f>IF(B297="","",B297/MAX(B$5:B297)-1)</f>
        <v/>
      </c>
      <c r="E297" s="13" t="str">
        <f>IF(OR('实盘净值数据(iFinD）'!$A297="",'实盘净值数据(iFinD）'!$B297=""),"",分期持仓明细!$AB$18*SUMPRODUCT(分期持仓明细!$B$18:$Y$18,'实盘净值数据(iFinD）'!$B297:$Y297/'实盘净值数据(iFinD）'!$B$20:$Y$20)*(1-实盘持仓初始配置!$Z$5)^(('实盘净值数据(iFinD）'!$A297-'实盘净值数据(iFinD）'!$A$5)/365))</f>
        <v/>
      </c>
      <c r="F297" s="16" t="str">
        <f t="shared" si="25"/>
        <v/>
      </c>
      <c r="G297" s="16" t="str">
        <f>IF(E297="","",E297/MAX(E$5:E297)-1)</f>
        <v/>
      </c>
      <c r="H297" s="13" t="str">
        <f>IF(OR('实盘净值数据(iFinD）'!$A297="",'实盘净值数据(iFinD）'!$B297=""),"",分期持仓明细!$AB$19*SUMPRODUCT(分期持仓明细!$B$19:$Y$19,'实盘净值数据(iFinD）'!$B297:$Y297/'实盘净值数据(iFinD）'!$B$20:$Y$20)*(1-实盘持仓初始配置!$Z$6)^(('实盘净值数据(iFinD）'!$A297-'实盘净值数据(iFinD）'!$A$7)/365))</f>
        <v/>
      </c>
      <c r="I297" s="16" t="str">
        <f t="shared" si="26"/>
        <v/>
      </c>
      <c r="J297" s="16" t="str">
        <f>IF(H297="","",H297/MAX(H$5:H297)-1)</f>
        <v/>
      </c>
      <c r="K297" s="13" t="str">
        <f>IF(OR('实盘净值数据(iFinD）'!$A297="",'实盘净值数据(iFinD）'!$B297="",'实盘净值数据(iFinD）'!$Z297="",'实盘净值数据(iFinD）'!$AA297=""),"",分期持仓明细!$AB$23*(SUMPRODUCT(分期持仓明细!$B$23:$Y$23,'实盘净值数据(iFinD）'!$B297:$Y297/'实盘净值数据(iFinD）'!$B$65:$Y$65)+SUMPRODUCT(分期持仓明细!$AC$23:$AD$23,'实盘净值数据(iFinD）'!$Z297:$AA297/'实盘净值数据(iFinD）'!$Z$65:$AA$65))*(1-实盘持仓初始配置!$Z$7)^(('实盘净值数据(iFinD）'!$A297-'实盘净值数据(iFinD）'!$A$8)/365))</f>
        <v/>
      </c>
      <c r="L297" s="16" t="str">
        <f t="shared" si="27"/>
        <v/>
      </c>
      <c r="M297" s="16" t="str">
        <f>IF(K297="","",K297/MAX(K$5:K297)-1)</f>
        <v/>
      </c>
      <c r="N297" s="13" t="str">
        <f>IF(OR('实盘净值数据(iFinD）'!$A297="",'实盘净值数据(iFinD）'!$B297="",'实盘净值数据(iFinD）'!$Z297="",'实盘净值数据(iFinD）'!$AA297=""),"",分期持仓明细!$AB$24*(SUMPRODUCT(分期持仓明细!$B$24:$Y$24,'实盘净值数据(iFinD）'!$B297:$Y297/'实盘净值数据(iFinD）'!$B$65:$Y$65)+SUMPRODUCT(分期持仓明细!$AC$24:$AD$24,'实盘净值数据(iFinD）'!$Z297:$AA297/'实盘净值数据(iFinD）'!$Z$65:$AA$65))*(1-实盘持仓初始配置!$Z$8)^(('实盘净值数据(iFinD）'!$A297-'实盘净值数据(iFinD）'!$A$5)/365))</f>
        <v/>
      </c>
      <c r="O297" s="16" t="str">
        <f t="shared" si="28"/>
        <v/>
      </c>
      <c r="P297" s="16" t="str">
        <f>IF(N297="","",N297/MAX(N$5:N297)-1)</f>
        <v/>
      </c>
      <c r="Q297" s="13" t="str">
        <f>IF(OR('实盘净值数据(iFinD）'!$A297="",'实盘净值数据(iFinD）'!$B297="",'实盘净值数据(iFinD）'!$Z297="",'实盘净值数据(iFinD）'!$AA297=""),"",分期持仓明细!$AB$25*(SUMPRODUCT(分期持仓明细!$B$25:$Y$25,'实盘净值数据(iFinD）'!$B297:$Y297/'实盘净值数据(iFinD）'!$B$65:$Y$65)+SUMPRODUCT(分期持仓明细!$AC$25:$AD$25,'实盘净值数据(iFinD）'!$Z297:$AA297/'实盘净值数据(iFinD）'!$Z$65:$AA$65))*(1-实盘持仓初始配置!$Z$9)^(('实盘净值数据(iFinD）'!$A297-'实盘净值数据(iFinD）'!$A$8)/365))</f>
        <v/>
      </c>
      <c r="R297" s="16" t="str">
        <f t="shared" si="29"/>
        <v/>
      </c>
      <c r="S297" s="16" t="str">
        <f>IF(Q297="","",Q297/MAX(Q$5:Q297)-1)</f>
        <v/>
      </c>
    </row>
    <row r="298" spans="1:19">
      <c r="A298" s="15" t="str">
        <f>IF('实盘净值数据(iFinD）'!A298="","",'实盘净值数据(iFinD）'!A298)</f>
        <v/>
      </c>
      <c r="B298" s="13" t="str">
        <f>IF(OR('实盘净值数据(iFinD）'!$A298="",'实盘净值数据(iFinD）'!$B298=""),"",分期持仓明细!$AB$17*SUMPRODUCT(分期持仓明细!$B$17:$Y$17,'实盘净值数据(iFinD）'!$B298:$Y298/'实盘净值数据(iFinD）'!$B$20:$Y$20)*(1-实盘持仓初始配置!$Z$4)^(('实盘净值数据(iFinD）'!$A298-'实盘净值数据(iFinD）'!$A$6)/365))</f>
        <v/>
      </c>
      <c r="C298" s="16" t="str">
        <f t="shared" si="24"/>
        <v/>
      </c>
      <c r="D298" s="16" t="str">
        <f>IF(B298="","",B298/MAX(B$5:B298)-1)</f>
        <v/>
      </c>
      <c r="E298" s="13" t="str">
        <f>IF(OR('实盘净值数据(iFinD）'!$A298="",'实盘净值数据(iFinD）'!$B298=""),"",分期持仓明细!$AB$18*SUMPRODUCT(分期持仓明细!$B$18:$Y$18,'实盘净值数据(iFinD）'!$B298:$Y298/'实盘净值数据(iFinD）'!$B$20:$Y$20)*(1-实盘持仓初始配置!$Z$5)^(('实盘净值数据(iFinD）'!$A298-'实盘净值数据(iFinD）'!$A$5)/365))</f>
        <v/>
      </c>
      <c r="F298" s="16" t="str">
        <f t="shared" si="25"/>
        <v/>
      </c>
      <c r="G298" s="16" t="str">
        <f>IF(E298="","",E298/MAX(E$5:E298)-1)</f>
        <v/>
      </c>
      <c r="H298" s="13" t="str">
        <f>IF(OR('实盘净值数据(iFinD）'!$A298="",'实盘净值数据(iFinD）'!$B298=""),"",分期持仓明细!$AB$19*SUMPRODUCT(分期持仓明细!$B$19:$Y$19,'实盘净值数据(iFinD）'!$B298:$Y298/'实盘净值数据(iFinD）'!$B$20:$Y$20)*(1-实盘持仓初始配置!$Z$6)^(('实盘净值数据(iFinD）'!$A298-'实盘净值数据(iFinD）'!$A$7)/365))</f>
        <v/>
      </c>
      <c r="I298" s="16" t="str">
        <f t="shared" si="26"/>
        <v/>
      </c>
      <c r="J298" s="16" t="str">
        <f>IF(H298="","",H298/MAX(H$5:H298)-1)</f>
        <v/>
      </c>
      <c r="K298" s="13" t="str">
        <f>IF(OR('实盘净值数据(iFinD）'!$A298="",'实盘净值数据(iFinD）'!$B298="",'实盘净值数据(iFinD）'!$Z298="",'实盘净值数据(iFinD）'!$AA298=""),"",分期持仓明细!$AB$23*(SUMPRODUCT(分期持仓明细!$B$23:$Y$23,'实盘净值数据(iFinD）'!$B298:$Y298/'实盘净值数据(iFinD）'!$B$65:$Y$65)+SUMPRODUCT(分期持仓明细!$AC$23:$AD$23,'实盘净值数据(iFinD）'!$Z298:$AA298/'实盘净值数据(iFinD）'!$Z$65:$AA$65))*(1-实盘持仓初始配置!$Z$7)^(('实盘净值数据(iFinD）'!$A298-'实盘净值数据(iFinD）'!$A$8)/365))</f>
        <v/>
      </c>
      <c r="L298" s="16" t="str">
        <f t="shared" si="27"/>
        <v/>
      </c>
      <c r="M298" s="16" t="str">
        <f>IF(K298="","",K298/MAX(K$5:K298)-1)</f>
        <v/>
      </c>
      <c r="N298" s="13" t="str">
        <f>IF(OR('实盘净值数据(iFinD）'!$A298="",'实盘净值数据(iFinD）'!$B298="",'实盘净值数据(iFinD）'!$Z298="",'实盘净值数据(iFinD）'!$AA298=""),"",分期持仓明细!$AB$24*(SUMPRODUCT(分期持仓明细!$B$24:$Y$24,'实盘净值数据(iFinD）'!$B298:$Y298/'实盘净值数据(iFinD）'!$B$65:$Y$65)+SUMPRODUCT(分期持仓明细!$AC$24:$AD$24,'实盘净值数据(iFinD）'!$Z298:$AA298/'实盘净值数据(iFinD）'!$Z$65:$AA$65))*(1-实盘持仓初始配置!$Z$8)^(('实盘净值数据(iFinD）'!$A298-'实盘净值数据(iFinD）'!$A$5)/365))</f>
        <v/>
      </c>
      <c r="O298" s="16" t="str">
        <f t="shared" si="28"/>
        <v/>
      </c>
      <c r="P298" s="16" t="str">
        <f>IF(N298="","",N298/MAX(N$5:N298)-1)</f>
        <v/>
      </c>
      <c r="Q298" s="13" t="str">
        <f>IF(OR('实盘净值数据(iFinD）'!$A298="",'实盘净值数据(iFinD）'!$B298="",'实盘净值数据(iFinD）'!$Z298="",'实盘净值数据(iFinD）'!$AA298=""),"",分期持仓明细!$AB$25*(SUMPRODUCT(分期持仓明细!$B$25:$Y$25,'实盘净值数据(iFinD）'!$B298:$Y298/'实盘净值数据(iFinD）'!$B$65:$Y$65)+SUMPRODUCT(分期持仓明细!$AC$25:$AD$25,'实盘净值数据(iFinD）'!$Z298:$AA298/'实盘净值数据(iFinD）'!$Z$65:$AA$65))*(1-实盘持仓初始配置!$Z$9)^(('实盘净值数据(iFinD）'!$A298-'实盘净值数据(iFinD）'!$A$8)/365))</f>
        <v/>
      </c>
      <c r="R298" s="16" t="str">
        <f t="shared" si="29"/>
        <v/>
      </c>
      <c r="S298" s="16" t="str">
        <f>IF(Q298="","",Q298/MAX(Q$5:Q298)-1)</f>
        <v/>
      </c>
    </row>
    <row r="299" spans="1:19">
      <c r="A299" s="15" t="str">
        <f>IF('实盘净值数据(iFinD）'!A299="","",'实盘净值数据(iFinD）'!A299)</f>
        <v/>
      </c>
      <c r="B299" s="13" t="str">
        <f>IF(OR('实盘净值数据(iFinD）'!$A299="",'实盘净值数据(iFinD）'!$B299=""),"",分期持仓明细!$AB$17*SUMPRODUCT(分期持仓明细!$B$17:$Y$17,'实盘净值数据(iFinD）'!$B299:$Y299/'实盘净值数据(iFinD）'!$B$20:$Y$20)*(1-实盘持仓初始配置!$Z$4)^(('实盘净值数据(iFinD）'!$A299-'实盘净值数据(iFinD）'!$A$6)/365))</f>
        <v/>
      </c>
      <c r="C299" s="16" t="str">
        <f t="shared" si="24"/>
        <v/>
      </c>
      <c r="D299" s="16" t="str">
        <f>IF(B299="","",B299/MAX(B$5:B299)-1)</f>
        <v/>
      </c>
      <c r="E299" s="13" t="str">
        <f>IF(OR('实盘净值数据(iFinD）'!$A299="",'实盘净值数据(iFinD）'!$B299=""),"",分期持仓明细!$AB$18*SUMPRODUCT(分期持仓明细!$B$18:$Y$18,'实盘净值数据(iFinD）'!$B299:$Y299/'实盘净值数据(iFinD）'!$B$20:$Y$20)*(1-实盘持仓初始配置!$Z$5)^(('实盘净值数据(iFinD）'!$A299-'实盘净值数据(iFinD）'!$A$5)/365))</f>
        <v/>
      </c>
      <c r="F299" s="16" t="str">
        <f t="shared" si="25"/>
        <v/>
      </c>
      <c r="G299" s="16" t="str">
        <f>IF(E299="","",E299/MAX(E$5:E299)-1)</f>
        <v/>
      </c>
      <c r="H299" s="13" t="str">
        <f>IF(OR('实盘净值数据(iFinD）'!$A299="",'实盘净值数据(iFinD）'!$B299=""),"",分期持仓明细!$AB$19*SUMPRODUCT(分期持仓明细!$B$19:$Y$19,'实盘净值数据(iFinD）'!$B299:$Y299/'实盘净值数据(iFinD）'!$B$20:$Y$20)*(1-实盘持仓初始配置!$Z$6)^(('实盘净值数据(iFinD）'!$A299-'实盘净值数据(iFinD）'!$A$7)/365))</f>
        <v/>
      </c>
      <c r="I299" s="16" t="str">
        <f t="shared" si="26"/>
        <v/>
      </c>
      <c r="J299" s="16" t="str">
        <f>IF(H299="","",H299/MAX(H$5:H299)-1)</f>
        <v/>
      </c>
      <c r="K299" s="13" t="str">
        <f>IF(OR('实盘净值数据(iFinD）'!$A299="",'实盘净值数据(iFinD）'!$B299="",'实盘净值数据(iFinD）'!$Z299="",'实盘净值数据(iFinD）'!$AA299=""),"",分期持仓明细!$AB$23*(SUMPRODUCT(分期持仓明细!$B$23:$Y$23,'实盘净值数据(iFinD）'!$B299:$Y299/'实盘净值数据(iFinD）'!$B$65:$Y$65)+SUMPRODUCT(分期持仓明细!$AC$23:$AD$23,'实盘净值数据(iFinD）'!$Z299:$AA299/'实盘净值数据(iFinD）'!$Z$65:$AA$65))*(1-实盘持仓初始配置!$Z$7)^(('实盘净值数据(iFinD）'!$A299-'实盘净值数据(iFinD）'!$A$8)/365))</f>
        <v/>
      </c>
      <c r="L299" s="16" t="str">
        <f t="shared" si="27"/>
        <v/>
      </c>
      <c r="M299" s="16" t="str">
        <f>IF(K299="","",K299/MAX(K$5:K299)-1)</f>
        <v/>
      </c>
      <c r="N299" s="13" t="str">
        <f>IF(OR('实盘净值数据(iFinD）'!$A299="",'实盘净值数据(iFinD）'!$B299="",'实盘净值数据(iFinD）'!$Z299="",'实盘净值数据(iFinD）'!$AA299=""),"",分期持仓明细!$AB$24*(SUMPRODUCT(分期持仓明细!$B$24:$Y$24,'实盘净值数据(iFinD）'!$B299:$Y299/'实盘净值数据(iFinD）'!$B$65:$Y$65)+SUMPRODUCT(分期持仓明细!$AC$24:$AD$24,'实盘净值数据(iFinD）'!$Z299:$AA299/'实盘净值数据(iFinD）'!$Z$65:$AA$65))*(1-实盘持仓初始配置!$Z$8)^(('实盘净值数据(iFinD）'!$A299-'实盘净值数据(iFinD）'!$A$5)/365))</f>
        <v/>
      </c>
      <c r="O299" s="16" t="str">
        <f t="shared" si="28"/>
        <v/>
      </c>
      <c r="P299" s="16" t="str">
        <f>IF(N299="","",N299/MAX(N$5:N299)-1)</f>
        <v/>
      </c>
      <c r="Q299" s="13" t="str">
        <f>IF(OR('实盘净值数据(iFinD）'!$A299="",'实盘净值数据(iFinD）'!$B299="",'实盘净值数据(iFinD）'!$Z299="",'实盘净值数据(iFinD）'!$AA299=""),"",分期持仓明细!$AB$25*(SUMPRODUCT(分期持仓明细!$B$25:$Y$25,'实盘净值数据(iFinD）'!$B299:$Y299/'实盘净值数据(iFinD）'!$B$65:$Y$65)+SUMPRODUCT(分期持仓明细!$AC$25:$AD$25,'实盘净值数据(iFinD）'!$Z299:$AA299/'实盘净值数据(iFinD）'!$Z$65:$AA$65))*(1-实盘持仓初始配置!$Z$9)^(('实盘净值数据(iFinD）'!$A299-'实盘净值数据(iFinD）'!$A$8)/365))</f>
        <v/>
      </c>
      <c r="R299" s="16" t="str">
        <f t="shared" si="29"/>
        <v/>
      </c>
      <c r="S299" s="16" t="str">
        <f>IF(Q299="","",Q299/MAX(Q$5:Q299)-1)</f>
        <v/>
      </c>
    </row>
    <row r="300" spans="1:19">
      <c r="A300" s="15" t="str">
        <f>IF('实盘净值数据(iFinD）'!A300="","",'实盘净值数据(iFinD）'!A300)</f>
        <v/>
      </c>
      <c r="B300" s="13" t="str">
        <f>IF(OR('实盘净值数据(iFinD）'!$A300="",'实盘净值数据(iFinD）'!$B300=""),"",分期持仓明细!$AB$17*SUMPRODUCT(分期持仓明细!$B$17:$Y$17,'实盘净值数据(iFinD）'!$B300:$Y300/'实盘净值数据(iFinD）'!$B$20:$Y$20)*(1-实盘持仓初始配置!$Z$4)^(('实盘净值数据(iFinD）'!$A300-'实盘净值数据(iFinD）'!$A$6)/365))</f>
        <v/>
      </c>
      <c r="C300" s="16" t="str">
        <f t="shared" si="24"/>
        <v/>
      </c>
      <c r="D300" s="16" t="str">
        <f>IF(B300="","",B300/MAX(B$5:B300)-1)</f>
        <v/>
      </c>
      <c r="E300" s="13" t="str">
        <f>IF(OR('实盘净值数据(iFinD）'!$A300="",'实盘净值数据(iFinD）'!$B300=""),"",分期持仓明细!$AB$18*SUMPRODUCT(分期持仓明细!$B$18:$Y$18,'实盘净值数据(iFinD）'!$B300:$Y300/'实盘净值数据(iFinD）'!$B$20:$Y$20)*(1-实盘持仓初始配置!$Z$5)^(('实盘净值数据(iFinD）'!$A300-'实盘净值数据(iFinD）'!$A$5)/365))</f>
        <v/>
      </c>
      <c r="F300" s="16" t="str">
        <f t="shared" si="25"/>
        <v/>
      </c>
      <c r="G300" s="16" t="str">
        <f>IF(E300="","",E300/MAX(E$5:E300)-1)</f>
        <v/>
      </c>
      <c r="H300" s="13" t="str">
        <f>IF(OR('实盘净值数据(iFinD）'!$A300="",'实盘净值数据(iFinD）'!$B300=""),"",分期持仓明细!$AB$19*SUMPRODUCT(分期持仓明细!$B$19:$Y$19,'实盘净值数据(iFinD）'!$B300:$Y300/'实盘净值数据(iFinD）'!$B$20:$Y$20)*(1-实盘持仓初始配置!$Z$6)^(('实盘净值数据(iFinD）'!$A300-'实盘净值数据(iFinD）'!$A$7)/365))</f>
        <v/>
      </c>
      <c r="I300" s="16" t="str">
        <f t="shared" si="26"/>
        <v/>
      </c>
      <c r="J300" s="16" t="str">
        <f>IF(H300="","",H300/MAX(H$5:H300)-1)</f>
        <v/>
      </c>
      <c r="K300" s="13" t="str">
        <f>IF(OR('实盘净值数据(iFinD）'!$A300="",'实盘净值数据(iFinD）'!$B300="",'实盘净值数据(iFinD）'!$Z300="",'实盘净值数据(iFinD）'!$AA300=""),"",分期持仓明细!$AB$23*(SUMPRODUCT(分期持仓明细!$B$23:$Y$23,'实盘净值数据(iFinD）'!$B300:$Y300/'实盘净值数据(iFinD）'!$B$65:$Y$65)+SUMPRODUCT(分期持仓明细!$AC$23:$AD$23,'实盘净值数据(iFinD）'!$Z300:$AA300/'实盘净值数据(iFinD）'!$Z$65:$AA$65))*(1-实盘持仓初始配置!$Z$7)^(('实盘净值数据(iFinD）'!$A300-'实盘净值数据(iFinD）'!$A$8)/365))</f>
        <v/>
      </c>
      <c r="L300" s="16" t="str">
        <f t="shared" si="27"/>
        <v/>
      </c>
      <c r="M300" s="16" t="str">
        <f>IF(K300="","",K300/MAX(K$5:K300)-1)</f>
        <v/>
      </c>
      <c r="N300" s="13" t="str">
        <f>IF(OR('实盘净值数据(iFinD）'!$A300="",'实盘净值数据(iFinD）'!$B300="",'实盘净值数据(iFinD）'!$Z300="",'实盘净值数据(iFinD）'!$AA300=""),"",分期持仓明细!$AB$24*(SUMPRODUCT(分期持仓明细!$B$24:$Y$24,'实盘净值数据(iFinD）'!$B300:$Y300/'实盘净值数据(iFinD）'!$B$65:$Y$65)+SUMPRODUCT(分期持仓明细!$AC$24:$AD$24,'实盘净值数据(iFinD）'!$Z300:$AA300/'实盘净值数据(iFinD）'!$Z$65:$AA$65))*(1-实盘持仓初始配置!$Z$8)^(('实盘净值数据(iFinD）'!$A300-'实盘净值数据(iFinD）'!$A$5)/365))</f>
        <v/>
      </c>
      <c r="O300" s="16" t="str">
        <f t="shared" si="28"/>
        <v/>
      </c>
      <c r="P300" s="16" t="str">
        <f>IF(N300="","",N300/MAX(N$5:N300)-1)</f>
        <v/>
      </c>
      <c r="Q300" s="13" t="str">
        <f>IF(OR('实盘净值数据(iFinD）'!$A300="",'实盘净值数据(iFinD）'!$B300="",'实盘净值数据(iFinD）'!$Z300="",'实盘净值数据(iFinD）'!$AA300=""),"",分期持仓明细!$AB$25*(SUMPRODUCT(分期持仓明细!$B$25:$Y$25,'实盘净值数据(iFinD）'!$B300:$Y300/'实盘净值数据(iFinD）'!$B$65:$Y$65)+SUMPRODUCT(分期持仓明细!$AC$25:$AD$25,'实盘净值数据(iFinD）'!$Z300:$AA300/'实盘净值数据(iFinD）'!$Z$65:$AA$65))*(1-实盘持仓初始配置!$Z$9)^(('实盘净值数据(iFinD）'!$A300-'实盘净值数据(iFinD）'!$A$8)/365))</f>
        <v/>
      </c>
      <c r="R300" s="16" t="str">
        <f t="shared" si="29"/>
        <v/>
      </c>
      <c r="S300" s="16" t="str">
        <f>IF(Q300="","",Q300/MAX(Q$5:Q300)-1)</f>
        <v/>
      </c>
    </row>
    <row r="301" spans="1:19">
      <c r="A301" s="15" t="str">
        <f>IF('实盘净值数据(iFinD）'!A301="","",'实盘净值数据(iFinD）'!A301)</f>
        <v/>
      </c>
      <c r="B301" s="13" t="str">
        <f>IF(OR('实盘净值数据(iFinD）'!$A301="",'实盘净值数据(iFinD）'!$B301=""),"",分期持仓明细!$AB$17*SUMPRODUCT(分期持仓明细!$B$17:$Y$17,'实盘净值数据(iFinD）'!$B301:$Y301/'实盘净值数据(iFinD）'!$B$20:$Y$20)*(1-实盘持仓初始配置!$Z$4)^(('实盘净值数据(iFinD）'!$A301-'实盘净值数据(iFinD）'!$A$6)/365))</f>
        <v/>
      </c>
      <c r="C301" s="16" t="str">
        <f t="shared" si="24"/>
        <v/>
      </c>
      <c r="D301" s="16" t="str">
        <f>IF(B301="","",B301/MAX(B$5:B301)-1)</f>
        <v/>
      </c>
      <c r="E301" s="13" t="str">
        <f>IF(OR('实盘净值数据(iFinD）'!$A301="",'实盘净值数据(iFinD）'!$B301=""),"",分期持仓明细!$AB$18*SUMPRODUCT(分期持仓明细!$B$18:$Y$18,'实盘净值数据(iFinD）'!$B301:$Y301/'实盘净值数据(iFinD）'!$B$20:$Y$20)*(1-实盘持仓初始配置!$Z$5)^(('实盘净值数据(iFinD）'!$A301-'实盘净值数据(iFinD）'!$A$5)/365))</f>
        <v/>
      </c>
      <c r="F301" s="16" t="str">
        <f t="shared" si="25"/>
        <v/>
      </c>
      <c r="G301" s="16" t="str">
        <f>IF(E301="","",E301/MAX(E$5:E301)-1)</f>
        <v/>
      </c>
      <c r="H301" s="13" t="str">
        <f>IF(OR('实盘净值数据(iFinD）'!$A301="",'实盘净值数据(iFinD）'!$B301=""),"",分期持仓明细!$AB$19*SUMPRODUCT(分期持仓明细!$B$19:$Y$19,'实盘净值数据(iFinD）'!$B301:$Y301/'实盘净值数据(iFinD）'!$B$20:$Y$20)*(1-实盘持仓初始配置!$Z$6)^(('实盘净值数据(iFinD）'!$A301-'实盘净值数据(iFinD）'!$A$7)/365))</f>
        <v/>
      </c>
      <c r="I301" s="16" t="str">
        <f t="shared" si="26"/>
        <v/>
      </c>
      <c r="J301" s="16" t="str">
        <f>IF(H301="","",H301/MAX(H$5:H301)-1)</f>
        <v/>
      </c>
      <c r="K301" s="13" t="str">
        <f>IF(OR('实盘净值数据(iFinD）'!$A301="",'实盘净值数据(iFinD）'!$B301="",'实盘净值数据(iFinD）'!$Z301="",'实盘净值数据(iFinD）'!$AA301=""),"",分期持仓明细!$AB$23*(SUMPRODUCT(分期持仓明细!$B$23:$Y$23,'实盘净值数据(iFinD）'!$B301:$Y301/'实盘净值数据(iFinD）'!$B$65:$Y$65)+SUMPRODUCT(分期持仓明细!$AC$23:$AD$23,'实盘净值数据(iFinD）'!$Z301:$AA301/'实盘净值数据(iFinD）'!$Z$65:$AA$65))*(1-实盘持仓初始配置!$Z$7)^(('实盘净值数据(iFinD）'!$A301-'实盘净值数据(iFinD）'!$A$8)/365))</f>
        <v/>
      </c>
      <c r="L301" s="16" t="str">
        <f t="shared" si="27"/>
        <v/>
      </c>
      <c r="M301" s="16" t="str">
        <f>IF(K301="","",K301/MAX(K$5:K301)-1)</f>
        <v/>
      </c>
      <c r="N301" s="13" t="str">
        <f>IF(OR('实盘净值数据(iFinD）'!$A301="",'实盘净值数据(iFinD）'!$B301="",'实盘净值数据(iFinD）'!$Z301="",'实盘净值数据(iFinD）'!$AA301=""),"",分期持仓明细!$AB$24*(SUMPRODUCT(分期持仓明细!$B$24:$Y$24,'实盘净值数据(iFinD）'!$B301:$Y301/'实盘净值数据(iFinD）'!$B$65:$Y$65)+SUMPRODUCT(分期持仓明细!$AC$24:$AD$24,'实盘净值数据(iFinD）'!$Z301:$AA301/'实盘净值数据(iFinD）'!$Z$65:$AA$65))*(1-实盘持仓初始配置!$Z$8)^(('实盘净值数据(iFinD）'!$A301-'实盘净值数据(iFinD）'!$A$5)/365))</f>
        <v/>
      </c>
      <c r="O301" s="16" t="str">
        <f t="shared" si="28"/>
        <v/>
      </c>
      <c r="P301" s="16" t="str">
        <f>IF(N301="","",N301/MAX(N$5:N301)-1)</f>
        <v/>
      </c>
      <c r="Q301" s="13" t="str">
        <f>IF(OR('实盘净值数据(iFinD）'!$A301="",'实盘净值数据(iFinD）'!$B301="",'实盘净值数据(iFinD）'!$Z301="",'实盘净值数据(iFinD）'!$AA301=""),"",分期持仓明细!$AB$25*(SUMPRODUCT(分期持仓明细!$B$25:$Y$25,'实盘净值数据(iFinD）'!$B301:$Y301/'实盘净值数据(iFinD）'!$B$65:$Y$65)+SUMPRODUCT(分期持仓明细!$AC$25:$AD$25,'实盘净值数据(iFinD）'!$Z301:$AA301/'实盘净值数据(iFinD）'!$Z$65:$AA$65))*(1-实盘持仓初始配置!$Z$9)^(('实盘净值数据(iFinD）'!$A301-'实盘净值数据(iFinD）'!$A$8)/365))</f>
        <v/>
      </c>
      <c r="R301" s="16" t="str">
        <f t="shared" si="29"/>
        <v/>
      </c>
      <c r="S301" s="16" t="str">
        <f>IF(Q301="","",Q301/MAX(Q$5:Q301)-1)</f>
        <v/>
      </c>
    </row>
    <row r="302" spans="1:19">
      <c r="A302" s="15" t="str">
        <f>IF('实盘净值数据(iFinD）'!A302="","",'实盘净值数据(iFinD）'!A302)</f>
        <v/>
      </c>
      <c r="B302" s="13" t="str">
        <f>IF(OR('实盘净值数据(iFinD）'!$A302="",'实盘净值数据(iFinD）'!$B302=""),"",分期持仓明细!$AB$17*SUMPRODUCT(分期持仓明细!$B$17:$Y$17,'实盘净值数据(iFinD）'!$B302:$Y302/'实盘净值数据(iFinD）'!$B$20:$Y$20)*(1-实盘持仓初始配置!$Z$4)^(('实盘净值数据(iFinD）'!$A302-'实盘净值数据(iFinD）'!$A$6)/365))</f>
        <v/>
      </c>
      <c r="C302" s="16" t="str">
        <f t="shared" si="24"/>
        <v/>
      </c>
      <c r="D302" s="16" t="str">
        <f>IF(B302="","",B302/MAX(B$5:B302)-1)</f>
        <v/>
      </c>
      <c r="E302" s="13" t="str">
        <f>IF(OR('实盘净值数据(iFinD）'!$A302="",'实盘净值数据(iFinD）'!$B302=""),"",分期持仓明细!$AB$18*SUMPRODUCT(分期持仓明细!$B$18:$Y$18,'实盘净值数据(iFinD）'!$B302:$Y302/'实盘净值数据(iFinD）'!$B$20:$Y$20)*(1-实盘持仓初始配置!$Z$5)^(('实盘净值数据(iFinD）'!$A302-'实盘净值数据(iFinD）'!$A$5)/365))</f>
        <v/>
      </c>
      <c r="F302" s="16" t="str">
        <f t="shared" si="25"/>
        <v/>
      </c>
      <c r="G302" s="16" t="str">
        <f>IF(E302="","",E302/MAX(E$5:E302)-1)</f>
        <v/>
      </c>
      <c r="H302" s="13" t="str">
        <f>IF(OR('实盘净值数据(iFinD）'!$A302="",'实盘净值数据(iFinD）'!$B302=""),"",分期持仓明细!$AB$19*SUMPRODUCT(分期持仓明细!$B$19:$Y$19,'实盘净值数据(iFinD）'!$B302:$Y302/'实盘净值数据(iFinD）'!$B$20:$Y$20)*(1-实盘持仓初始配置!$Z$6)^(('实盘净值数据(iFinD）'!$A302-'实盘净值数据(iFinD）'!$A$7)/365))</f>
        <v/>
      </c>
      <c r="I302" s="16" t="str">
        <f t="shared" si="26"/>
        <v/>
      </c>
      <c r="J302" s="16" t="str">
        <f>IF(H302="","",H302/MAX(H$5:H302)-1)</f>
        <v/>
      </c>
      <c r="K302" s="13" t="str">
        <f>IF(OR('实盘净值数据(iFinD）'!$A302="",'实盘净值数据(iFinD）'!$B302="",'实盘净值数据(iFinD）'!$Z302="",'实盘净值数据(iFinD）'!$AA302=""),"",分期持仓明细!$AB$23*(SUMPRODUCT(分期持仓明细!$B$23:$Y$23,'实盘净值数据(iFinD）'!$B302:$Y302/'实盘净值数据(iFinD）'!$B$65:$Y$65)+SUMPRODUCT(分期持仓明细!$AC$23:$AD$23,'实盘净值数据(iFinD）'!$Z302:$AA302/'实盘净值数据(iFinD）'!$Z$65:$AA$65))*(1-实盘持仓初始配置!$Z$7)^(('实盘净值数据(iFinD）'!$A302-'实盘净值数据(iFinD）'!$A$8)/365))</f>
        <v/>
      </c>
      <c r="L302" s="16" t="str">
        <f t="shared" si="27"/>
        <v/>
      </c>
      <c r="M302" s="16" t="str">
        <f>IF(K302="","",K302/MAX(K$5:K302)-1)</f>
        <v/>
      </c>
      <c r="N302" s="13" t="str">
        <f>IF(OR('实盘净值数据(iFinD）'!$A302="",'实盘净值数据(iFinD）'!$B302="",'实盘净值数据(iFinD）'!$Z302="",'实盘净值数据(iFinD）'!$AA302=""),"",分期持仓明细!$AB$24*(SUMPRODUCT(分期持仓明细!$B$24:$Y$24,'实盘净值数据(iFinD）'!$B302:$Y302/'实盘净值数据(iFinD）'!$B$65:$Y$65)+SUMPRODUCT(分期持仓明细!$AC$24:$AD$24,'实盘净值数据(iFinD）'!$Z302:$AA302/'实盘净值数据(iFinD）'!$Z$65:$AA$65))*(1-实盘持仓初始配置!$Z$8)^(('实盘净值数据(iFinD）'!$A302-'实盘净值数据(iFinD）'!$A$5)/365))</f>
        <v/>
      </c>
      <c r="O302" s="16" t="str">
        <f t="shared" si="28"/>
        <v/>
      </c>
      <c r="P302" s="16" t="str">
        <f>IF(N302="","",N302/MAX(N$5:N302)-1)</f>
        <v/>
      </c>
      <c r="Q302" s="13" t="str">
        <f>IF(OR('实盘净值数据(iFinD）'!$A302="",'实盘净值数据(iFinD）'!$B302="",'实盘净值数据(iFinD）'!$Z302="",'实盘净值数据(iFinD）'!$AA302=""),"",分期持仓明细!$AB$25*(SUMPRODUCT(分期持仓明细!$B$25:$Y$25,'实盘净值数据(iFinD）'!$B302:$Y302/'实盘净值数据(iFinD）'!$B$65:$Y$65)+SUMPRODUCT(分期持仓明细!$AC$25:$AD$25,'实盘净值数据(iFinD）'!$Z302:$AA302/'实盘净值数据(iFinD）'!$Z$65:$AA$65))*(1-实盘持仓初始配置!$Z$9)^(('实盘净值数据(iFinD）'!$A302-'实盘净值数据(iFinD）'!$A$8)/365))</f>
        <v/>
      </c>
      <c r="R302" s="16" t="str">
        <f t="shared" si="29"/>
        <v/>
      </c>
      <c r="S302" s="16" t="str">
        <f>IF(Q302="","",Q302/MAX(Q$5:Q302)-1)</f>
        <v/>
      </c>
    </row>
    <row r="303" spans="1:19">
      <c r="A303" s="15" t="str">
        <f>IF('实盘净值数据(iFinD）'!A303="","",'实盘净值数据(iFinD）'!A303)</f>
        <v/>
      </c>
      <c r="B303" s="13" t="str">
        <f>IF(OR('实盘净值数据(iFinD）'!$A303="",'实盘净值数据(iFinD）'!$B303=""),"",分期持仓明细!$AB$17*SUMPRODUCT(分期持仓明细!$B$17:$Y$17,'实盘净值数据(iFinD）'!$B303:$Y303/'实盘净值数据(iFinD）'!$B$20:$Y$20)*(1-实盘持仓初始配置!$Z$4)^(('实盘净值数据(iFinD）'!$A303-'实盘净值数据(iFinD）'!$A$6)/365))</f>
        <v/>
      </c>
      <c r="C303" s="16" t="str">
        <f t="shared" si="24"/>
        <v/>
      </c>
      <c r="D303" s="16" t="str">
        <f>IF(B303="","",B303/MAX(B$5:B303)-1)</f>
        <v/>
      </c>
      <c r="E303" s="13" t="str">
        <f>IF(OR('实盘净值数据(iFinD）'!$A303="",'实盘净值数据(iFinD）'!$B303=""),"",分期持仓明细!$AB$18*SUMPRODUCT(分期持仓明细!$B$18:$Y$18,'实盘净值数据(iFinD）'!$B303:$Y303/'实盘净值数据(iFinD）'!$B$20:$Y$20)*(1-实盘持仓初始配置!$Z$5)^(('实盘净值数据(iFinD）'!$A303-'实盘净值数据(iFinD）'!$A$5)/365))</f>
        <v/>
      </c>
      <c r="F303" s="16" t="str">
        <f t="shared" si="25"/>
        <v/>
      </c>
      <c r="G303" s="16" t="str">
        <f>IF(E303="","",E303/MAX(E$5:E303)-1)</f>
        <v/>
      </c>
      <c r="H303" s="13" t="str">
        <f>IF(OR('实盘净值数据(iFinD）'!$A303="",'实盘净值数据(iFinD）'!$B303=""),"",分期持仓明细!$AB$19*SUMPRODUCT(分期持仓明细!$B$19:$Y$19,'实盘净值数据(iFinD）'!$B303:$Y303/'实盘净值数据(iFinD）'!$B$20:$Y$20)*(1-实盘持仓初始配置!$Z$6)^(('实盘净值数据(iFinD）'!$A303-'实盘净值数据(iFinD）'!$A$7)/365))</f>
        <v/>
      </c>
      <c r="I303" s="16" t="str">
        <f t="shared" si="26"/>
        <v/>
      </c>
      <c r="J303" s="16" t="str">
        <f>IF(H303="","",H303/MAX(H$5:H303)-1)</f>
        <v/>
      </c>
      <c r="K303" s="13" t="str">
        <f>IF(OR('实盘净值数据(iFinD）'!$A303="",'实盘净值数据(iFinD）'!$B303="",'实盘净值数据(iFinD）'!$Z303="",'实盘净值数据(iFinD）'!$AA303=""),"",分期持仓明细!$AB$23*(SUMPRODUCT(分期持仓明细!$B$23:$Y$23,'实盘净值数据(iFinD）'!$B303:$Y303/'实盘净值数据(iFinD）'!$B$65:$Y$65)+SUMPRODUCT(分期持仓明细!$AC$23:$AD$23,'实盘净值数据(iFinD）'!$Z303:$AA303/'实盘净值数据(iFinD）'!$Z$65:$AA$65))*(1-实盘持仓初始配置!$Z$7)^(('实盘净值数据(iFinD）'!$A303-'实盘净值数据(iFinD）'!$A$8)/365))</f>
        <v/>
      </c>
      <c r="L303" s="16" t="str">
        <f t="shared" si="27"/>
        <v/>
      </c>
      <c r="M303" s="16" t="str">
        <f>IF(K303="","",K303/MAX(K$5:K303)-1)</f>
        <v/>
      </c>
      <c r="N303" s="13" t="str">
        <f>IF(OR('实盘净值数据(iFinD）'!$A303="",'实盘净值数据(iFinD）'!$B303="",'实盘净值数据(iFinD）'!$Z303="",'实盘净值数据(iFinD）'!$AA303=""),"",分期持仓明细!$AB$24*(SUMPRODUCT(分期持仓明细!$B$24:$Y$24,'实盘净值数据(iFinD）'!$B303:$Y303/'实盘净值数据(iFinD）'!$B$65:$Y$65)+SUMPRODUCT(分期持仓明细!$AC$24:$AD$24,'实盘净值数据(iFinD）'!$Z303:$AA303/'实盘净值数据(iFinD）'!$Z$65:$AA$65))*(1-实盘持仓初始配置!$Z$8)^(('实盘净值数据(iFinD）'!$A303-'实盘净值数据(iFinD）'!$A$5)/365))</f>
        <v/>
      </c>
      <c r="O303" s="16" t="str">
        <f t="shared" si="28"/>
        <v/>
      </c>
      <c r="P303" s="16" t="str">
        <f>IF(N303="","",N303/MAX(N$5:N303)-1)</f>
        <v/>
      </c>
      <c r="Q303" s="13" t="str">
        <f>IF(OR('实盘净值数据(iFinD）'!$A303="",'实盘净值数据(iFinD）'!$B303="",'实盘净值数据(iFinD）'!$Z303="",'实盘净值数据(iFinD）'!$AA303=""),"",分期持仓明细!$AB$25*(SUMPRODUCT(分期持仓明细!$B$25:$Y$25,'实盘净值数据(iFinD）'!$B303:$Y303/'实盘净值数据(iFinD）'!$B$65:$Y$65)+SUMPRODUCT(分期持仓明细!$AC$25:$AD$25,'实盘净值数据(iFinD）'!$Z303:$AA303/'实盘净值数据(iFinD）'!$Z$65:$AA$65))*(1-实盘持仓初始配置!$Z$9)^(('实盘净值数据(iFinD）'!$A303-'实盘净值数据(iFinD）'!$A$8)/365))</f>
        <v/>
      </c>
      <c r="R303" s="16" t="str">
        <f t="shared" si="29"/>
        <v/>
      </c>
      <c r="S303" s="16" t="str">
        <f>IF(Q303="","",Q303/MAX(Q$5:Q303)-1)</f>
        <v/>
      </c>
    </row>
    <row r="304" spans="1:19">
      <c r="A304" s="15" t="str">
        <f>IF('实盘净值数据(iFinD）'!A304="","",'实盘净值数据(iFinD）'!A304)</f>
        <v/>
      </c>
      <c r="B304" s="13" t="str">
        <f>IF(OR('实盘净值数据(iFinD）'!$A304="",'实盘净值数据(iFinD）'!$B304=""),"",分期持仓明细!$AB$17*SUMPRODUCT(分期持仓明细!$B$17:$Y$17,'实盘净值数据(iFinD）'!$B304:$Y304/'实盘净值数据(iFinD）'!$B$20:$Y$20)*(1-实盘持仓初始配置!$Z$4)^(('实盘净值数据(iFinD）'!$A304-'实盘净值数据(iFinD）'!$A$6)/365))</f>
        <v/>
      </c>
      <c r="C304" s="16" t="str">
        <f t="shared" si="24"/>
        <v/>
      </c>
      <c r="D304" s="16" t="str">
        <f>IF(B304="","",B304/MAX(B$5:B304)-1)</f>
        <v/>
      </c>
      <c r="E304" s="13" t="str">
        <f>IF(OR('实盘净值数据(iFinD）'!$A304="",'实盘净值数据(iFinD）'!$B304=""),"",分期持仓明细!$AB$18*SUMPRODUCT(分期持仓明细!$B$18:$Y$18,'实盘净值数据(iFinD）'!$B304:$Y304/'实盘净值数据(iFinD）'!$B$20:$Y$20)*(1-实盘持仓初始配置!$Z$5)^(('实盘净值数据(iFinD）'!$A304-'实盘净值数据(iFinD）'!$A$5)/365))</f>
        <v/>
      </c>
      <c r="F304" s="16" t="str">
        <f t="shared" si="25"/>
        <v/>
      </c>
      <c r="G304" s="16" t="str">
        <f>IF(E304="","",E304/MAX(E$5:E304)-1)</f>
        <v/>
      </c>
      <c r="H304" s="13" t="str">
        <f>IF(OR('实盘净值数据(iFinD）'!$A304="",'实盘净值数据(iFinD）'!$B304=""),"",分期持仓明细!$AB$19*SUMPRODUCT(分期持仓明细!$B$19:$Y$19,'实盘净值数据(iFinD）'!$B304:$Y304/'实盘净值数据(iFinD）'!$B$20:$Y$20)*(1-实盘持仓初始配置!$Z$6)^(('实盘净值数据(iFinD）'!$A304-'实盘净值数据(iFinD）'!$A$7)/365))</f>
        <v/>
      </c>
      <c r="I304" s="16" t="str">
        <f t="shared" si="26"/>
        <v/>
      </c>
      <c r="J304" s="16" t="str">
        <f>IF(H304="","",H304/MAX(H$5:H304)-1)</f>
        <v/>
      </c>
      <c r="K304" s="13" t="str">
        <f>IF(OR('实盘净值数据(iFinD）'!$A304="",'实盘净值数据(iFinD）'!$B304="",'实盘净值数据(iFinD）'!$Z304="",'实盘净值数据(iFinD）'!$AA304=""),"",分期持仓明细!$AB$23*(SUMPRODUCT(分期持仓明细!$B$23:$Y$23,'实盘净值数据(iFinD）'!$B304:$Y304/'实盘净值数据(iFinD）'!$B$65:$Y$65)+SUMPRODUCT(分期持仓明细!$AC$23:$AD$23,'实盘净值数据(iFinD）'!$Z304:$AA304/'实盘净值数据(iFinD）'!$Z$65:$AA$65))*(1-实盘持仓初始配置!$Z$7)^(('实盘净值数据(iFinD）'!$A304-'实盘净值数据(iFinD）'!$A$8)/365))</f>
        <v/>
      </c>
      <c r="L304" s="16" t="str">
        <f t="shared" si="27"/>
        <v/>
      </c>
      <c r="M304" s="16" t="str">
        <f>IF(K304="","",K304/MAX(K$5:K304)-1)</f>
        <v/>
      </c>
      <c r="N304" s="13" t="str">
        <f>IF(OR('实盘净值数据(iFinD）'!$A304="",'实盘净值数据(iFinD）'!$B304="",'实盘净值数据(iFinD）'!$Z304="",'实盘净值数据(iFinD）'!$AA304=""),"",分期持仓明细!$AB$24*(SUMPRODUCT(分期持仓明细!$B$24:$Y$24,'实盘净值数据(iFinD）'!$B304:$Y304/'实盘净值数据(iFinD）'!$B$65:$Y$65)+SUMPRODUCT(分期持仓明细!$AC$24:$AD$24,'实盘净值数据(iFinD）'!$Z304:$AA304/'实盘净值数据(iFinD）'!$Z$65:$AA$65))*(1-实盘持仓初始配置!$Z$8)^(('实盘净值数据(iFinD）'!$A304-'实盘净值数据(iFinD）'!$A$5)/365))</f>
        <v/>
      </c>
      <c r="O304" s="16" t="str">
        <f t="shared" si="28"/>
        <v/>
      </c>
      <c r="P304" s="16" t="str">
        <f>IF(N304="","",N304/MAX(N$5:N304)-1)</f>
        <v/>
      </c>
      <c r="Q304" s="13" t="str">
        <f>IF(OR('实盘净值数据(iFinD）'!$A304="",'实盘净值数据(iFinD）'!$B304="",'实盘净值数据(iFinD）'!$Z304="",'实盘净值数据(iFinD）'!$AA304=""),"",分期持仓明细!$AB$25*(SUMPRODUCT(分期持仓明细!$B$25:$Y$25,'实盘净值数据(iFinD）'!$B304:$Y304/'实盘净值数据(iFinD）'!$B$65:$Y$65)+SUMPRODUCT(分期持仓明细!$AC$25:$AD$25,'实盘净值数据(iFinD）'!$Z304:$AA304/'实盘净值数据(iFinD）'!$Z$65:$AA$65))*(1-实盘持仓初始配置!$Z$9)^(('实盘净值数据(iFinD）'!$A304-'实盘净值数据(iFinD）'!$A$8)/365))</f>
        <v/>
      </c>
      <c r="R304" s="16" t="str">
        <f t="shared" si="29"/>
        <v/>
      </c>
      <c r="S304" s="16" t="str">
        <f>IF(Q304="","",Q304/MAX(Q$5:Q304)-1)</f>
        <v/>
      </c>
    </row>
    <row r="305" spans="1:19">
      <c r="A305" s="15" t="str">
        <f>IF('实盘净值数据(iFinD）'!A305="","",'实盘净值数据(iFinD）'!A305)</f>
        <v/>
      </c>
      <c r="B305" s="13" t="str">
        <f>IF(OR('实盘净值数据(iFinD）'!$A305="",'实盘净值数据(iFinD）'!$B305=""),"",分期持仓明细!$AB$17*SUMPRODUCT(分期持仓明细!$B$17:$Y$17,'实盘净值数据(iFinD）'!$B305:$Y305/'实盘净值数据(iFinD）'!$B$20:$Y$20)*(1-实盘持仓初始配置!$Z$4)^(('实盘净值数据(iFinD）'!$A305-'实盘净值数据(iFinD）'!$A$6)/365))</f>
        <v/>
      </c>
      <c r="C305" s="16" t="str">
        <f t="shared" si="24"/>
        <v/>
      </c>
      <c r="D305" s="16" t="str">
        <f>IF(B305="","",B305/MAX(B$5:B305)-1)</f>
        <v/>
      </c>
      <c r="E305" s="13" t="str">
        <f>IF(OR('实盘净值数据(iFinD）'!$A305="",'实盘净值数据(iFinD）'!$B305=""),"",分期持仓明细!$AB$18*SUMPRODUCT(分期持仓明细!$B$18:$Y$18,'实盘净值数据(iFinD）'!$B305:$Y305/'实盘净值数据(iFinD）'!$B$20:$Y$20)*(1-实盘持仓初始配置!$Z$5)^(('实盘净值数据(iFinD）'!$A305-'实盘净值数据(iFinD）'!$A$5)/365))</f>
        <v/>
      </c>
      <c r="F305" s="16" t="str">
        <f t="shared" si="25"/>
        <v/>
      </c>
      <c r="G305" s="16" t="str">
        <f>IF(E305="","",E305/MAX(E$5:E305)-1)</f>
        <v/>
      </c>
      <c r="H305" s="13" t="str">
        <f>IF(OR('实盘净值数据(iFinD）'!$A305="",'实盘净值数据(iFinD）'!$B305=""),"",分期持仓明细!$AB$19*SUMPRODUCT(分期持仓明细!$B$19:$Y$19,'实盘净值数据(iFinD）'!$B305:$Y305/'实盘净值数据(iFinD）'!$B$20:$Y$20)*(1-实盘持仓初始配置!$Z$6)^(('实盘净值数据(iFinD）'!$A305-'实盘净值数据(iFinD）'!$A$7)/365))</f>
        <v/>
      </c>
      <c r="I305" s="16" t="str">
        <f t="shared" si="26"/>
        <v/>
      </c>
      <c r="J305" s="16" t="str">
        <f>IF(H305="","",H305/MAX(H$5:H305)-1)</f>
        <v/>
      </c>
      <c r="K305" s="13" t="str">
        <f>IF(OR('实盘净值数据(iFinD）'!$A305="",'实盘净值数据(iFinD）'!$B305="",'实盘净值数据(iFinD）'!$Z305="",'实盘净值数据(iFinD）'!$AA305=""),"",分期持仓明细!$AB$23*(SUMPRODUCT(分期持仓明细!$B$23:$Y$23,'实盘净值数据(iFinD）'!$B305:$Y305/'实盘净值数据(iFinD）'!$B$65:$Y$65)+SUMPRODUCT(分期持仓明细!$AC$23:$AD$23,'实盘净值数据(iFinD）'!$Z305:$AA305/'实盘净值数据(iFinD）'!$Z$65:$AA$65))*(1-实盘持仓初始配置!$Z$7)^(('实盘净值数据(iFinD）'!$A305-'实盘净值数据(iFinD）'!$A$8)/365))</f>
        <v/>
      </c>
      <c r="L305" s="16" t="str">
        <f t="shared" si="27"/>
        <v/>
      </c>
      <c r="M305" s="16" t="str">
        <f>IF(K305="","",K305/MAX(K$5:K305)-1)</f>
        <v/>
      </c>
      <c r="N305" s="13" t="str">
        <f>IF(OR('实盘净值数据(iFinD）'!$A305="",'实盘净值数据(iFinD）'!$B305="",'实盘净值数据(iFinD）'!$Z305="",'实盘净值数据(iFinD）'!$AA305=""),"",分期持仓明细!$AB$24*(SUMPRODUCT(分期持仓明细!$B$24:$Y$24,'实盘净值数据(iFinD）'!$B305:$Y305/'实盘净值数据(iFinD）'!$B$65:$Y$65)+SUMPRODUCT(分期持仓明细!$AC$24:$AD$24,'实盘净值数据(iFinD）'!$Z305:$AA305/'实盘净值数据(iFinD）'!$Z$65:$AA$65))*(1-实盘持仓初始配置!$Z$8)^(('实盘净值数据(iFinD）'!$A305-'实盘净值数据(iFinD）'!$A$5)/365))</f>
        <v/>
      </c>
      <c r="O305" s="16" t="str">
        <f t="shared" si="28"/>
        <v/>
      </c>
      <c r="P305" s="16" t="str">
        <f>IF(N305="","",N305/MAX(N$5:N305)-1)</f>
        <v/>
      </c>
      <c r="Q305" s="13" t="str">
        <f>IF(OR('实盘净值数据(iFinD）'!$A305="",'实盘净值数据(iFinD）'!$B305="",'实盘净值数据(iFinD）'!$Z305="",'实盘净值数据(iFinD）'!$AA305=""),"",分期持仓明细!$AB$25*(SUMPRODUCT(分期持仓明细!$B$25:$Y$25,'实盘净值数据(iFinD）'!$B305:$Y305/'实盘净值数据(iFinD）'!$B$65:$Y$65)+SUMPRODUCT(分期持仓明细!$AC$25:$AD$25,'实盘净值数据(iFinD）'!$Z305:$AA305/'实盘净值数据(iFinD）'!$Z$65:$AA$65))*(1-实盘持仓初始配置!$Z$9)^(('实盘净值数据(iFinD）'!$A305-'实盘净值数据(iFinD）'!$A$8)/365))</f>
        <v/>
      </c>
      <c r="R305" s="16" t="str">
        <f t="shared" si="29"/>
        <v/>
      </c>
      <c r="S305" s="16" t="str">
        <f>IF(Q305="","",Q305/MAX(Q$5:Q305)-1)</f>
        <v/>
      </c>
    </row>
    <row r="306" spans="1:19">
      <c r="A306" s="15" t="str">
        <f>IF('实盘净值数据(iFinD）'!A306="","",'实盘净值数据(iFinD）'!A306)</f>
        <v/>
      </c>
      <c r="B306" s="13" t="str">
        <f>IF(OR('实盘净值数据(iFinD）'!$A306="",'实盘净值数据(iFinD）'!$B306=""),"",分期持仓明细!$AB$17*SUMPRODUCT(分期持仓明细!$B$17:$Y$17,'实盘净值数据(iFinD）'!$B306:$Y306/'实盘净值数据(iFinD）'!$B$20:$Y$20)*(1-实盘持仓初始配置!$Z$4)^(('实盘净值数据(iFinD）'!$A306-'实盘净值数据(iFinD）'!$A$6)/365))</f>
        <v/>
      </c>
      <c r="C306" s="16" t="str">
        <f t="shared" si="24"/>
        <v/>
      </c>
      <c r="D306" s="16" t="str">
        <f>IF(B306="","",B306/MAX(B$5:B306)-1)</f>
        <v/>
      </c>
      <c r="E306" s="13" t="str">
        <f>IF(OR('实盘净值数据(iFinD）'!$A306="",'实盘净值数据(iFinD）'!$B306=""),"",分期持仓明细!$AB$18*SUMPRODUCT(分期持仓明细!$B$18:$Y$18,'实盘净值数据(iFinD）'!$B306:$Y306/'实盘净值数据(iFinD）'!$B$20:$Y$20)*(1-实盘持仓初始配置!$Z$5)^(('实盘净值数据(iFinD）'!$A306-'实盘净值数据(iFinD）'!$A$5)/365))</f>
        <v/>
      </c>
      <c r="F306" s="16" t="str">
        <f t="shared" si="25"/>
        <v/>
      </c>
      <c r="G306" s="16" t="str">
        <f>IF(E306="","",E306/MAX(E$5:E306)-1)</f>
        <v/>
      </c>
      <c r="H306" s="13" t="str">
        <f>IF(OR('实盘净值数据(iFinD）'!$A306="",'实盘净值数据(iFinD）'!$B306=""),"",分期持仓明细!$AB$19*SUMPRODUCT(分期持仓明细!$B$19:$Y$19,'实盘净值数据(iFinD）'!$B306:$Y306/'实盘净值数据(iFinD）'!$B$20:$Y$20)*(1-实盘持仓初始配置!$Z$6)^(('实盘净值数据(iFinD）'!$A306-'实盘净值数据(iFinD）'!$A$7)/365))</f>
        <v/>
      </c>
      <c r="I306" s="16" t="str">
        <f t="shared" si="26"/>
        <v/>
      </c>
      <c r="J306" s="16" t="str">
        <f>IF(H306="","",H306/MAX(H$5:H306)-1)</f>
        <v/>
      </c>
      <c r="K306" s="13" t="str">
        <f>IF(OR('实盘净值数据(iFinD）'!$A306="",'实盘净值数据(iFinD）'!$B306="",'实盘净值数据(iFinD）'!$Z306="",'实盘净值数据(iFinD）'!$AA306=""),"",分期持仓明细!$AB$23*(SUMPRODUCT(分期持仓明细!$B$23:$Y$23,'实盘净值数据(iFinD）'!$B306:$Y306/'实盘净值数据(iFinD）'!$B$65:$Y$65)+SUMPRODUCT(分期持仓明细!$AC$23:$AD$23,'实盘净值数据(iFinD）'!$Z306:$AA306/'实盘净值数据(iFinD）'!$Z$65:$AA$65))*(1-实盘持仓初始配置!$Z$7)^(('实盘净值数据(iFinD）'!$A306-'实盘净值数据(iFinD）'!$A$8)/365))</f>
        <v/>
      </c>
      <c r="L306" s="16" t="str">
        <f t="shared" si="27"/>
        <v/>
      </c>
      <c r="M306" s="16" t="str">
        <f>IF(K306="","",K306/MAX(K$5:K306)-1)</f>
        <v/>
      </c>
      <c r="N306" s="13" t="str">
        <f>IF(OR('实盘净值数据(iFinD）'!$A306="",'实盘净值数据(iFinD）'!$B306="",'实盘净值数据(iFinD）'!$Z306="",'实盘净值数据(iFinD）'!$AA306=""),"",分期持仓明细!$AB$24*(SUMPRODUCT(分期持仓明细!$B$24:$Y$24,'实盘净值数据(iFinD）'!$B306:$Y306/'实盘净值数据(iFinD）'!$B$65:$Y$65)+SUMPRODUCT(分期持仓明细!$AC$24:$AD$24,'实盘净值数据(iFinD）'!$Z306:$AA306/'实盘净值数据(iFinD）'!$Z$65:$AA$65))*(1-实盘持仓初始配置!$Z$8)^(('实盘净值数据(iFinD）'!$A306-'实盘净值数据(iFinD）'!$A$5)/365))</f>
        <v/>
      </c>
      <c r="O306" s="16" t="str">
        <f t="shared" si="28"/>
        <v/>
      </c>
      <c r="P306" s="16" t="str">
        <f>IF(N306="","",N306/MAX(N$5:N306)-1)</f>
        <v/>
      </c>
      <c r="Q306" s="13" t="str">
        <f>IF(OR('实盘净值数据(iFinD）'!$A306="",'实盘净值数据(iFinD）'!$B306="",'实盘净值数据(iFinD）'!$Z306="",'实盘净值数据(iFinD）'!$AA306=""),"",分期持仓明细!$AB$25*(SUMPRODUCT(分期持仓明细!$B$25:$Y$25,'实盘净值数据(iFinD）'!$B306:$Y306/'实盘净值数据(iFinD）'!$B$65:$Y$65)+SUMPRODUCT(分期持仓明细!$AC$25:$AD$25,'实盘净值数据(iFinD）'!$Z306:$AA306/'实盘净值数据(iFinD）'!$Z$65:$AA$65))*(1-实盘持仓初始配置!$Z$9)^(('实盘净值数据(iFinD）'!$A306-'实盘净值数据(iFinD）'!$A$8)/365))</f>
        <v/>
      </c>
      <c r="R306" s="16" t="str">
        <f t="shared" si="29"/>
        <v/>
      </c>
      <c r="S306" s="16" t="str">
        <f>IF(Q306="","",Q306/MAX(Q$5:Q306)-1)</f>
        <v/>
      </c>
    </row>
    <row r="307" spans="1:19">
      <c r="A307" s="15" t="str">
        <f>IF('实盘净值数据(iFinD）'!A307="","",'实盘净值数据(iFinD）'!A307)</f>
        <v/>
      </c>
      <c r="B307" s="13" t="str">
        <f>IF(OR('实盘净值数据(iFinD）'!$A307="",'实盘净值数据(iFinD）'!$B307=""),"",分期持仓明细!$AB$17*SUMPRODUCT(分期持仓明细!$B$17:$Y$17,'实盘净值数据(iFinD）'!$B307:$Y307/'实盘净值数据(iFinD）'!$B$20:$Y$20)*(1-实盘持仓初始配置!$Z$4)^(('实盘净值数据(iFinD）'!$A307-'实盘净值数据(iFinD）'!$A$6)/365))</f>
        <v/>
      </c>
      <c r="C307" s="16" t="str">
        <f t="shared" si="24"/>
        <v/>
      </c>
      <c r="D307" s="16" t="str">
        <f>IF(B307="","",B307/MAX(B$5:B307)-1)</f>
        <v/>
      </c>
      <c r="E307" s="13" t="str">
        <f>IF(OR('实盘净值数据(iFinD）'!$A307="",'实盘净值数据(iFinD）'!$B307=""),"",分期持仓明细!$AB$18*SUMPRODUCT(分期持仓明细!$B$18:$Y$18,'实盘净值数据(iFinD）'!$B307:$Y307/'实盘净值数据(iFinD）'!$B$20:$Y$20)*(1-实盘持仓初始配置!$Z$5)^(('实盘净值数据(iFinD）'!$A307-'实盘净值数据(iFinD）'!$A$5)/365))</f>
        <v/>
      </c>
      <c r="F307" s="16" t="str">
        <f t="shared" si="25"/>
        <v/>
      </c>
      <c r="G307" s="16" t="str">
        <f>IF(E307="","",E307/MAX(E$5:E307)-1)</f>
        <v/>
      </c>
      <c r="H307" s="13" t="str">
        <f>IF(OR('实盘净值数据(iFinD）'!$A307="",'实盘净值数据(iFinD）'!$B307=""),"",分期持仓明细!$AB$19*SUMPRODUCT(分期持仓明细!$B$19:$Y$19,'实盘净值数据(iFinD）'!$B307:$Y307/'实盘净值数据(iFinD）'!$B$20:$Y$20)*(1-实盘持仓初始配置!$Z$6)^(('实盘净值数据(iFinD）'!$A307-'实盘净值数据(iFinD）'!$A$7)/365))</f>
        <v/>
      </c>
      <c r="I307" s="16" t="str">
        <f t="shared" si="26"/>
        <v/>
      </c>
      <c r="J307" s="16" t="str">
        <f>IF(H307="","",H307/MAX(H$5:H307)-1)</f>
        <v/>
      </c>
      <c r="K307" s="13" t="str">
        <f>IF(OR('实盘净值数据(iFinD）'!$A307="",'实盘净值数据(iFinD）'!$B307="",'实盘净值数据(iFinD）'!$Z307="",'实盘净值数据(iFinD）'!$AA307=""),"",分期持仓明细!$AB$23*(SUMPRODUCT(分期持仓明细!$B$23:$Y$23,'实盘净值数据(iFinD）'!$B307:$Y307/'实盘净值数据(iFinD）'!$B$65:$Y$65)+SUMPRODUCT(分期持仓明细!$AC$23:$AD$23,'实盘净值数据(iFinD）'!$Z307:$AA307/'实盘净值数据(iFinD）'!$Z$65:$AA$65))*(1-实盘持仓初始配置!$Z$7)^(('实盘净值数据(iFinD）'!$A307-'实盘净值数据(iFinD）'!$A$8)/365))</f>
        <v/>
      </c>
      <c r="L307" s="16" t="str">
        <f t="shared" si="27"/>
        <v/>
      </c>
      <c r="M307" s="16" t="str">
        <f>IF(K307="","",K307/MAX(K$5:K307)-1)</f>
        <v/>
      </c>
      <c r="N307" s="13" t="str">
        <f>IF(OR('实盘净值数据(iFinD）'!$A307="",'实盘净值数据(iFinD）'!$B307="",'实盘净值数据(iFinD）'!$Z307="",'实盘净值数据(iFinD）'!$AA307=""),"",分期持仓明细!$AB$24*(SUMPRODUCT(分期持仓明细!$B$24:$Y$24,'实盘净值数据(iFinD）'!$B307:$Y307/'实盘净值数据(iFinD）'!$B$65:$Y$65)+SUMPRODUCT(分期持仓明细!$AC$24:$AD$24,'实盘净值数据(iFinD）'!$Z307:$AA307/'实盘净值数据(iFinD）'!$Z$65:$AA$65))*(1-实盘持仓初始配置!$Z$8)^(('实盘净值数据(iFinD）'!$A307-'实盘净值数据(iFinD）'!$A$5)/365))</f>
        <v/>
      </c>
      <c r="O307" s="16" t="str">
        <f t="shared" si="28"/>
        <v/>
      </c>
      <c r="P307" s="16" t="str">
        <f>IF(N307="","",N307/MAX(N$5:N307)-1)</f>
        <v/>
      </c>
      <c r="Q307" s="13" t="str">
        <f>IF(OR('实盘净值数据(iFinD）'!$A307="",'实盘净值数据(iFinD）'!$B307="",'实盘净值数据(iFinD）'!$Z307="",'实盘净值数据(iFinD）'!$AA307=""),"",分期持仓明细!$AB$25*(SUMPRODUCT(分期持仓明细!$B$25:$Y$25,'实盘净值数据(iFinD）'!$B307:$Y307/'实盘净值数据(iFinD）'!$B$65:$Y$65)+SUMPRODUCT(分期持仓明细!$AC$25:$AD$25,'实盘净值数据(iFinD）'!$Z307:$AA307/'实盘净值数据(iFinD）'!$Z$65:$AA$65))*(1-实盘持仓初始配置!$Z$9)^(('实盘净值数据(iFinD）'!$A307-'实盘净值数据(iFinD）'!$A$8)/365))</f>
        <v/>
      </c>
      <c r="R307" s="16" t="str">
        <f t="shared" si="29"/>
        <v/>
      </c>
      <c r="S307" s="16" t="str">
        <f>IF(Q307="","",Q307/MAX(Q$5:Q307)-1)</f>
        <v/>
      </c>
    </row>
    <row r="308" spans="1:19">
      <c r="A308" s="15" t="str">
        <f>IF('实盘净值数据(iFinD）'!A308="","",'实盘净值数据(iFinD）'!A308)</f>
        <v/>
      </c>
      <c r="B308" s="13" t="str">
        <f>IF(OR('实盘净值数据(iFinD）'!$A308="",'实盘净值数据(iFinD）'!$B308=""),"",分期持仓明细!$AB$17*SUMPRODUCT(分期持仓明细!$B$17:$Y$17,'实盘净值数据(iFinD）'!$B308:$Y308/'实盘净值数据(iFinD）'!$B$20:$Y$20)*(1-实盘持仓初始配置!$Z$4)^(('实盘净值数据(iFinD）'!$A308-'实盘净值数据(iFinD）'!$A$6)/365))</f>
        <v/>
      </c>
      <c r="C308" s="16" t="str">
        <f t="shared" si="24"/>
        <v/>
      </c>
      <c r="D308" s="16" t="str">
        <f>IF(B308="","",B308/MAX(B$5:B308)-1)</f>
        <v/>
      </c>
      <c r="E308" s="13" t="str">
        <f>IF(OR('实盘净值数据(iFinD）'!$A308="",'实盘净值数据(iFinD）'!$B308=""),"",分期持仓明细!$AB$18*SUMPRODUCT(分期持仓明细!$B$18:$Y$18,'实盘净值数据(iFinD）'!$B308:$Y308/'实盘净值数据(iFinD）'!$B$20:$Y$20)*(1-实盘持仓初始配置!$Z$5)^(('实盘净值数据(iFinD）'!$A308-'实盘净值数据(iFinD）'!$A$5)/365))</f>
        <v/>
      </c>
      <c r="F308" s="16" t="str">
        <f t="shared" si="25"/>
        <v/>
      </c>
      <c r="G308" s="16" t="str">
        <f>IF(E308="","",E308/MAX(E$5:E308)-1)</f>
        <v/>
      </c>
      <c r="H308" s="13" t="str">
        <f>IF(OR('实盘净值数据(iFinD）'!$A308="",'实盘净值数据(iFinD）'!$B308=""),"",分期持仓明细!$AB$19*SUMPRODUCT(分期持仓明细!$B$19:$Y$19,'实盘净值数据(iFinD）'!$B308:$Y308/'实盘净值数据(iFinD）'!$B$20:$Y$20)*(1-实盘持仓初始配置!$Z$6)^(('实盘净值数据(iFinD）'!$A308-'实盘净值数据(iFinD）'!$A$7)/365))</f>
        <v/>
      </c>
      <c r="I308" s="16" t="str">
        <f t="shared" si="26"/>
        <v/>
      </c>
      <c r="J308" s="16" t="str">
        <f>IF(H308="","",H308/MAX(H$5:H308)-1)</f>
        <v/>
      </c>
      <c r="K308" s="13" t="str">
        <f>IF(OR('实盘净值数据(iFinD）'!$A308="",'实盘净值数据(iFinD）'!$B308="",'实盘净值数据(iFinD）'!$Z308="",'实盘净值数据(iFinD）'!$AA308=""),"",分期持仓明细!$AB$23*(SUMPRODUCT(分期持仓明细!$B$23:$Y$23,'实盘净值数据(iFinD）'!$B308:$Y308/'实盘净值数据(iFinD）'!$B$65:$Y$65)+SUMPRODUCT(分期持仓明细!$AC$23:$AD$23,'实盘净值数据(iFinD）'!$Z308:$AA308/'实盘净值数据(iFinD）'!$Z$65:$AA$65))*(1-实盘持仓初始配置!$Z$7)^(('实盘净值数据(iFinD）'!$A308-'实盘净值数据(iFinD）'!$A$8)/365))</f>
        <v/>
      </c>
      <c r="L308" s="16" t="str">
        <f t="shared" si="27"/>
        <v/>
      </c>
      <c r="M308" s="16" t="str">
        <f>IF(K308="","",K308/MAX(K$5:K308)-1)</f>
        <v/>
      </c>
      <c r="N308" s="13" t="str">
        <f>IF(OR('实盘净值数据(iFinD）'!$A308="",'实盘净值数据(iFinD）'!$B308="",'实盘净值数据(iFinD）'!$Z308="",'实盘净值数据(iFinD）'!$AA308=""),"",分期持仓明细!$AB$24*(SUMPRODUCT(分期持仓明细!$B$24:$Y$24,'实盘净值数据(iFinD）'!$B308:$Y308/'实盘净值数据(iFinD）'!$B$65:$Y$65)+SUMPRODUCT(分期持仓明细!$AC$24:$AD$24,'实盘净值数据(iFinD）'!$Z308:$AA308/'实盘净值数据(iFinD）'!$Z$65:$AA$65))*(1-实盘持仓初始配置!$Z$8)^(('实盘净值数据(iFinD）'!$A308-'实盘净值数据(iFinD）'!$A$5)/365))</f>
        <v/>
      </c>
      <c r="O308" s="16" t="str">
        <f t="shared" si="28"/>
        <v/>
      </c>
      <c r="P308" s="16" t="str">
        <f>IF(N308="","",N308/MAX(N$5:N308)-1)</f>
        <v/>
      </c>
      <c r="Q308" s="13" t="str">
        <f>IF(OR('实盘净值数据(iFinD）'!$A308="",'实盘净值数据(iFinD）'!$B308="",'实盘净值数据(iFinD）'!$Z308="",'实盘净值数据(iFinD）'!$AA308=""),"",分期持仓明细!$AB$25*(SUMPRODUCT(分期持仓明细!$B$25:$Y$25,'实盘净值数据(iFinD）'!$B308:$Y308/'实盘净值数据(iFinD）'!$B$65:$Y$65)+SUMPRODUCT(分期持仓明细!$AC$25:$AD$25,'实盘净值数据(iFinD）'!$Z308:$AA308/'实盘净值数据(iFinD）'!$Z$65:$AA$65))*(1-实盘持仓初始配置!$Z$9)^(('实盘净值数据(iFinD）'!$A308-'实盘净值数据(iFinD）'!$A$8)/365))</f>
        <v/>
      </c>
      <c r="R308" s="16" t="str">
        <f t="shared" si="29"/>
        <v/>
      </c>
      <c r="S308" s="16" t="str">
        <f>IF(Q308="","",Q308/MAX(Q$5:Q308)-1)</f>
        <v/>
      </c>
    </row>
    <row r="309" spans="1:19">
      <c r="A309" s="15" t="str">
        <f>IF('实盘净值数据(iFinD）'!A309="","",'实盘净值数据(iFinD）'!A309)</f>
        <v/>
      </c>
      <c r="B309" s="13" t="str">
        <f>IF(OR('实盘净值数据(iFinD）'!$A309="",'实盘净值数据(iFinD）'!$B309=""),"",分期持仓明细!$AB$17*SUMPRODUCT(分期持仓明细!$B$17:$Y$17,'实盘净值数据(iFinD）'!$B309:$Y309/'实盘净值数据(iFinD）'!$B$20:$Y$20)*(1-实盘持仓初始配置!$Z$4)^(('实盘净值数据(iFinD）'!$A309-'实盘净值数据(iFinD）'!$A$6)/365))</f>
        <v/>
      </c>
      <c r="C309" s="16" t="str">
        <f t="shared" si="24"/>
        <v/>
      </c>
      <c r="D309" s="16" t="str">
        <f>IF(B309="","",B309/MAX(B$5:B309)-1)</f>
        <v/>
      </c>
      <c r="E309" s="13" t="str">
        <f>IF(OR('实盘净值数据(iFinD）'!$A309="",'实盘净值数据(iFinD）'!$B309=""),"",分期持仓明细!$AB$18*SUMPRODUCT(分期持仓明细!$B$18:$Y$18,'实盘净值数据(iFinD）'!$B309:$Y309/'实盘净值数据(iFinD）'!$B$20:$Y$20)*(1-实盘持仓初始配置!$Z$5)^(('实盘净值数据(iFinD）'!$A309-'实盘净值数据(iFinD）'!$A$5)/365))</f>
        <v/>
      </c>
      <c r="F309" s="16" t="str">
        <f t="shared" si="25"/>
        <v/>
      </c>
      <c r="G309" s="16" t="str">
        <f>IF(E309="","",E309/MAX(E$5:E309)-1)</f>
        <v/>
      </c>
      <c r="H309" s="13" t="str">
        <f>IF(OR('实盘净值数据(iFinD）'!$A309="",'实盘净值数据(iFinD）'!$B309=""),"",分期持仓明细!$AB$19*SUMPRODUCT(分期持仓明细!$B$19:$Y$19,'实盘净值数据(iFinD）'!$B309:$Y309/'实盘净值数据(iFinD）'!$B$20:$Y$20)*(1-实盘持仓初始配置!$Z$6)^(('实盘净值数据(iFinD）'!$A309-'实盘净值数据(iFinD）'!$A$7)/365))</f>
        <v/>
      </c>
      <c r="I309" s="16" t="str">
        <f t="shared" si="26"/>
        <v/>
      </c>
      <c r="J309" s="16" t="str">
        <f>IF(H309="","",H309/MAX(H$5:H309)-1)</f>
        <v/>
      </c>
      <c r="K309" s="13" t="str">
        <f>IF(OR('实盘净值数据(iFinD）'!$A309="",'实盘净值数据(iFinD）'!$B309="",'实盘净值数据(iFinD）'!$Z309="",'实盘净值数据(iFinD）'!$AA309=""),"",分期持仓明细!$AB$23*(SUMPRODUCT(分期持仓明细!$B$23:$Y$23,'实盘净值数据(iFinD）'!$B309:$Y309/'实盘净值数据(iFinD）'!$B$65:$Y$65)+SUMPRODUCT(分期持仓明细!$AC$23:$AD$23,'实盘净值数据(iFinD）'!$Z309:$AA309/'实盘净值数据(iFinD）'!$Z$65:$AA$65))*(1-实盘持仓初始配置!$Z$7)^(('实盘净值数据(iFinD）'!$A309-'实盘净值数据(iFinD）'!$A$8)/365))</f>
        <v/>
      </c>
      <c r="L309" s="16" t="str">
        <f t="shared" si="27"/>
        <v/>
      </c>
      <c r="M309" s="16" t="str">
        <f>IF(K309="","",K309/MAX(K$5:K309)-1)</f>
        <v/>
      </c>
      <c r="N309" s="13" t="str">
        <f>IF(OR('实盘净值数据(iFinD）'!$A309="",'实盘净值数据(iFinD）'!$B309="",'实盘净值数据(iFinD）'!$Z309="",'实盘净值数据(iFinD）'!$AA309=""),"",分期持仓明细!$AB$24*(SUMPRODUCT(分期持仓明细!$B$24:$Y$24,'实盘净值数据(iFinD）'!$B309:$Y309/'实盘净值数据(iFinD）'!$B$65:$Y$65)+SUMPRODUCT(分期持仓明细!$AC$24:$AD$24,'实盘净值数据(iFinD）'!$Z309:$AA309/'实盘净值数据(iFinD）'!$Z$65:$AA$65))*(1-实盘持仓初始配置!$Z$8)^(('实盘净值数据(iFinD）'!$A309-'实盘净值数据(iFinD）'!$A$5)/365))</f>
        <v/>
      </c>
      <c r="O309" s="16" t="str">
        <f t="shared" si="28"/>
        <v/>
      </c>
      <c r="P309" s="16" t="str">
        <f>IF(N309="","",N309/MAX(N$5:N309)-1)</f>
        <v/>
      </c>
      <c r="Q309" s="13" t="str">
        <f>IF(OR('实盘净值数据(iFinD）'!$A309="",'实盘净值数据(iFinD）'!$B309="",'实盘净值数据(iFinD）'!$Z309="",'实盘净值数据(iFinD）'!$AA309=""),"",分期持仓明细!$AB$25*(SUMPRODUCT(分期持仓明细!$B$25:$Y$25,'实盘净值数据(iFinD）'!$B309:$Y309/'实盘净值数据(iFinD）'!$B$65:$Y$65)+SUMPRODUCT(分期持仓明细!$AC$25:$AD$25,'实盘净值数据(iFinD）'!$Z309:$AA309/'实盘净值数据(iFinD）'!$Z$65:$AA$65))*(1-实盘持仓初始配置!$Z$9)^(('实盘净值数据(iFinD）'!$A309-'实盘净值数据(iFinD）'!$A$8)/365))</f>
        <v/>
      </c>
      <c r="R309" s="16" t="str">
        <f t="shared" si="29"/>
        <v/>
      </c>
      <c r="S309" s="16" t="str">
        <f>IF(Q309="","",Q309/MAX(Q$5:Q309)-1)</f>
        <v/>
      </c>
    </row>
    <row r="310" spans="1:19">
      <c r="A310" s="15" t="str">
        <f>IF('实盘净值数据(iFinD）'!A310="","",'实盘净值数据(iFinD）'!A310)</f>
        <v/>
      </c>
      <c r="B310" s="13" t="str">
        <f>IF(OR('实盘净值数据(iFinD）'!$A310="",'实盘净值数据(iFinD）'!$B310=""),"",分期持仓明细!$AB$17*SUMPRODUCT(分期持仓明细!$B$17:$Y$17,'实盘净值数据(iFinD）'!$B310:$Y310/'实盘净值数据(iFinD）'!$B$20:$Y$20)*(1-实盘持仓初始配置!$Z$4)^(('实盘净值数据(iFinD）'!$A310-'实盘净值数据(iFinD）'!$A$6)/365))</f>
        <v/>
      </c>
      <c r="C310" s="16" t="str">
        <f t="shared" si="24"/>
        <v/>
      </c>
      <c r="D310" s="16" t="str">
        <f>IF(B310="","",B310/MAX(B$5:B310)-1)</f>
        <v/>
      </c>
      <c r="E310" s="13" t="str">
        <f>IF(OR('实盘净值数据(iFinD）'!$A310="",'实盘净值数据(iFinD）'!$B310=""),"",分期持仓明细!$AB$18*SUMPRODUCT(分期持仓明细!$B$18:$Y$18,'实盘净值数据(iFinD）'!$B310:$Y310/'实盘净值数据(iFinD）'!$B$20:$Y$20)*(1-实盘持仓初始配置!$Z$5)^(('实盘净值数据(iFinD）'!$A310-'实盘净值数据(iFinD）'!$A$5)/365))</f>
        <v/>
      </c>
      <c r="F310" s="16" t="str">
        <f t="shared" si="25"/>
        <v/>
      </c>
      <c r="G310" s="16" t="str">
        <f>IF(E310="","",E310/MAX(E$5:E310)-1)</f>
        <v/>
      </c>
      <c r="H310" s="13" t="str">
        <f>IF(OR('实盘净值数据(iFinD）'!$A310="",'实盘净值数据(iFinD）'!$B310=""),"",分期持仓明细!$AB$19*SUMPRODUCT(分期持仓明细!$B$19:$Y$19,'实盘净值数据(iFinD）'!$B310:$Y310/'实盘净值数据(iFinD）'!$B$20:$Y$20)*(1-实盘持仓初始配置!$Z$6)^(('实盘净值数据(iFinD）'!$A310-'实盘净值数据(iFinD）'!$A$7)/365))</f>
        <v/>
      </c>
      <c r="I310" s="16" t="str">
        <f t="shared" si="26"/>
        <v/>
      </c>
      <c r="J310" s="16" t="str">
        <f>IF(H310="","",H310/MAX(H$5:H310)-1)</f>
        <v/>
      </c>
      <c r="K310" s="13" t="str">
        <f>IF(OR('实盘净值数据(iFinD）'!$A310="",'实盘净值数据(iFinD）'!$B310="",'实盘净值数据(iFinD）'!$Z310="",'实盘净值数据(iFinD）'!$AA310=""),"",分期持仓明细!$AB$23*(SUMPRODUCT(分期持仓明细!$B$23:$Y$23,'实盘净值数据(iFinD）'!$B310:$Y310/'实盘净值数据(iFinD）'!$B$65:$Y$65)+SUMPRODUCT(分期持仓明细!$AC$23:$AD$23,'实盘净值数据(iFinD）'!$Z310:$AA310/'实盘净值数据(iFinD）'!$Z$65:$AA$65))*(1-实盘持仓初始配置!$Z$7)^(('实盘净值数据(iFinD）'!$A310-'实盘净值数据(iFinD）'!$A$8)/365))</f>
        <v/>
      </c>
      <c r="L310" s="16" t="str">
        <f t="shared" si="27"/>
        <v/>
      </c>
      <c r="M310" s="16" t="str">
        <f>IF(K310="","",K310/MAX(K$5:K310)-1)</f>
        <v/>
      </c>
      <c r="N310" s="13" t="str">
        <f>IF(OR('实盘净值数据(iFinD）'!$A310="",'实盘净值数据(iFinD）'!$B310="",'实盘净值数据(iFinD）'!$Z310="",'实盘净值数据(iFinD）'!$AA310=""),"",分期持仓明细!$AB$24*(SUMPRODUCT(分期持仓明细!$B$24:$Y$24,'实盘净值数据(iFinD）'!$B310:$Y310/'实盘净值数据(iFinD）'!$B$65:$Y$65)+SUMPRODUCT(分期持仓明细!$AC$24:$AD$24,'实盘净值数据(iFinD）'!$Z310:$AA310/'实盘净值数据(iFinD）'!$Z$65:$AA$65))*(1-实盘持仓初始配置!$Z$8)^(('实盘净值数据(iFinD）'!$A310-'实盘净值数据(iFinD）'!$A$5)/365))</f>
        <v/>
      </c>
      <c r="O310" s="16" t="str">
        <f t="shared" si="28"/>
        <v/>
      </c>
      <c r="P310" s="16" t="str">
        <f>IF(N310="","",N310/MAX(N$5:N310)-1)</f>
        <v/>
      </c>
      <c r="Q310" s="13" t="str">
        <f>IF(OR('实盘净值数据(iFinD）'!$A310="",'实盘净值数据(iFinD）'!$B310="",'实盘净值数据(iFinD）'!$Z310="",'实盘净值数据(iFinD）'!$AA310=""),"",分期持仓明细!$AB$25*(SUMPRODUCT(分期持仓明细!$B$25:$Y$25,'实盘净值数据(iFinD）'!$B310:$Y310/'实盘净值数据(iFinD）'!$B$65:$Y$65)+SUMPRODUCT(分期持仓明细!$AC$25:$AD$25,'实盘净值数据(iFinD）'!$Z310:$AA310/'实盘净值数据(iFinD）'!$Z$65:$AA$65))*(1-实盘持仓初始配置!$Z$9)^(('实盘净值数据(iFinD）'!$A310-'实盘净值数据(iFinD）'!$A$8)/365))</f>
        <v/>
      </c>
      <c r="R310" s="16" t="str">
        <f t="shared" si="29"/>
        <v/>
      </c>
      <c r="S310" s="16" t="str">
        <f>IF(Q310="","",Q310/MAX(Q$5:Q310)-1)</f>
        <v/>
      </c>
    </row>
    <row r="311" spans="1:19">
      <c r="A311" s="15" t="str">
        <f>IF('实盘净值数据(iFinD）'!A311="","",'实盘净值数据(iFinD）'!A311)</f>
        <v/>
      </c>
      <c r="B311" s="13" t="str">
        <f>IF(OR('实盘净值数据(iFinD）'!$A311="",'实盘净值数据(iFinD）'!$B311=""),"",分期持仓明细!$AB$17*SUMPRODUCT(分期持仓明细!$B$17:$Y$17,'实盘净值数据(iFinD）'!$B311:$Y311/'实盘净值数据(iFinD）'!$B$20:$Y$20)*(1-实盘持仓初始配置!$Z$4)^(('实盘净值数据(iFinD）'!$A311-'实盘净值数据(iFinD）'!$A$6)/365))</f>
        <v/>
      </c>
      <c r="C311" s="16" t="str">
        <f t="shared" si="24"/>
        <v/>
      </c>
      <c r="D311" s="16" t="str">
        <f>IF(B311="","",B311/MAX(B$5:B311)-1)</f>
        <v/>
      </c>
      <c r="E311" s="13" t="str">
        <f>IF(OR('实盘净值数据(iFinD）'!$A311="",'实盘净值数据(iFinD）'!$B311=""),"",分期持仓明细!$AB$18*SUMPRODUCT(分期持仓明细!$B$18:$Y$18,'实盘净值数据(iFinD）'!$B311:$Y311/'实盘净值数据(iFinD）'!$B$20:$Y$20)*(1-实盘持仓初始配置!$Z$5)^(('实盘净值数据(iFinD）'!$A311-'实盘净值数据(iFinD）'!$A$5)/365))</f>
        <v/>
      </c>
      <c r="F311" s="16" t="str">
        <f t="shared" si="25"/>
        <v/>
      </c>
      <c r="G311" s="16" t="str">
        <f>IF(E311="","",E311/MAX(E$5:E311)-1)</f>
        <v/>
      </c>
      <c r="H311" s="13" t="str">
        <f>IF(OR('实盘净值数据(iFinD）'!$A311="",'实盘净值数据(iFinD）'!$B311=""),"",分期持仓明细!$AB$19*SUMPRODUCT(分期持仓明细!$B$19:$Y$19,'实盘净值数据(iFinD）'!$B311:$Y311/'实盘净值数据(iFinD）'!$B$20:$Y$20)*(1-实盘持仓初始配置!$Z$6)^(('实盘净值数据(iFinD）'!$A311-'实盘净值数据(iFinD）'!$A$7)/365))</f>
        <v/>
      </c>
      <c r="I311" s="16" t="str">
        <f t="shared" si="26"/>
        <v/>
      </c>
      <c r="J311" s="16" t="str">
        <f>IF(H311="","",H311/MAX(H$5:H311)-1)</f>
        <v/>
      </c>
      <c r="K311" s="13" t="str">
        <f>IF(OR('实盘净值数据(iFinD）'!$A311="",'实盘净值数据(iFinD）'!$B311="",'实盘净值数据(iFinD）'!$Z311="",'实盘净值数据(iFinD）'!$AA311=""),"",分期持仓明细!$AB$23*(SUMPRODUCT(分期持仓明细!$B$23:$Y$23,'实盘净值数据(iFinD）'!$B311:$Y311/'实盘净值数据(iFinD）'!$B$65:$Y$65)+SUMPRODUCT(分期持仓明细!$AC$23:$AD$23,'实盘净值数据(iFinD）'!$Z311:$AA311/'实盘净值数据(iFinD）'!$Z$65:$AA$65))*(1-实盘持仓初始配置!$Z$7)^(('实盘净值数据(iFinD）'!$A311-'实盘净值数据(iFinD）'!$A$8)/365))</f>
        <v/>
      </c>
      <c r="L311" s="16" t="str">
        <f t="shared" si="27"/>
        <v/>
      </c>
      <c r="M311" s="16" t="str">
        <f>IF(K311="","",K311/MAX(K$5:K311)-1)</f>
        <v/>
      </c>
      <c r="N311" s="13" t="str">
        <f>IF(OR('实盘净值数据(iFinD）'!$A311="",'实盘净值数据(iFinD）'!$B311="",'实盘净值数据(iFinD）'!$Z311="",'实盘净值数据(iFinD）'!$AA311=""),"",分期持仓明细!$AB$24*(SUMPRODUCT(分期持仓明细!$B$24:$Y$24,'实盘净值数据(iFinD）'!$B311:$Y311/'实盘净值数据(iFinD）'!$B$65:$Y$65)+SUMPRODUCT(分期持仓明细!$AC$24:$AD$24,'实盘净值数据(iFinD）'!$Z311:$AA311/'实盘净值数据(iFinD）'!$Z$65:$AA$65))*(1-实盘持仓初始配置!$Z$8)^(('实盘净值数据(iFinD）'!$A311-'实盘净值数据(iFinD）'!$A$5)/365))</f>
        <v/>
      </c>
      <c r="O311" s="16" t="str">
        <f t="shared" si="28"/>
        <v/>
      </c>
      <c r="P311" s="16" t="str">
        <f>IF(N311="","",N311/MAX(N$5:N311)-1)</f>
        <v/>
      </c>
      <c r="Q311" s="13" t="str">
        <f>IF(OR('实盘净值数据(iFinD）'!$A311="",'实盘净值数据(iFinD）'!$B311="",'实盘净值数据(iFinD）'!$Z311="",'实盘净值数据(iFinD）'!$AA311=""),"",分期持仓明细!$AB$25*(SUMPRODUCT(分期持仓明细!$B$25:$Y$25,'实盘净值数据(iFinD）'!$B311:$Y311/'实盘净值数据(iFinD）'!$B$65:$Y$65)+SUMPRODUCT(分期持仓明细!$AC$25:$AD$25,'实盘净值数据(iFinD）'!$Z311:$AA311/'实盘净值数据(iFinD）'!$Z$65:$AA$65))*(1-实盘持仓初始配置!$Z$9)^(('实盘净值数据(iFinD）'!$A311-'实盘净值数据(iFinD）'!$A$8)/365))</f>
        <v/>
      </c>
      <c r="R311" s="16" t="str">
        <f t="shared" si="29"/>
        <v/>
      </c>
      <c r="S311" s="16" t="str">
        <f>IF(Q311="","",Q311/MAX(Q$5:Q311)-1)</f>
        <v/>
      </c>
    </row>
    <row r="312" spans="1:19">
      <c r="A312" s="15" t="str">
        <f>IF('实盘净值数据(iFinD）'!A312="","",'实盘净值数据(iFinD）'!A312)</f>
        <v/>
      </c>
      <c r="B312" s="13" t="str">
        <f>IF(OR('实盘净值数据(iFinD）'!$A312="",'实盘净值数据(iFinD）'!$B312=""),"",分期持仓明细!$AB$17*SUMPRODUCT(分期持仓明细!$B$17:$Y$17,'实盘净值数据(iFinD）'!$B312:$Y312/'实盘净值数据(iFinD）'!$B$20:$Y$20)*(1-实盘持仓初始配置!$Z$4)^(('实盘净值数据(iFinD）'!$A312-'实盘净值数据(iFinD）'!$A$6)/365))</f>
        <v/>
      </c>
      <c r="C312" s="16" t="str">
        <f t="shared" si="24"/>
        <v/>
      </c>
      <c r="D312" s="16" t="str">
        <f>IF(B312="","",B312/MAX(B$5:B312)-1)</f>
        <v/>
      </c>
      <c r="E312" s="13" t="str">
        <f>IF(OR('实盘净值数据(iFinD）'!$A312="",'实盘净值数据(iFinD）'!$B312=""),"",分期持仓明细!$AB$18*SUMPRODUCT(分期持仓明细!$B$18:$Y$18,'实盘净值数据(iFinD）'!$B312:$Y312/'实盘净值数据(iFinD）'!$B$20:$Y$20)*(1-实盘持仓初始配置!$Z$5)^(('实盘净值数据(iFinD）'!$A312-'实盘净值数据(iFinD）'!$A$5)/365))</f>
        <v/>
      </c>
      <c r="F312" s="16" t="str">
        <f t="shared" si="25"/>
        <v/>
      </c>
      <c r="G312" s="16" t="str">
        <f>IF(E312="","",E312/MAX(E$5:E312)-1)</f>
        <v/>
      </c>
      <c r="H312" s="13" t="str">
        <f>IF(OR('实盘净值数据(iFinD）'!$A312="",'实盘净值数据(iFinD）'!$B312=""),"",分期持仓明细!$AB$19*SUMPRODUCT(分期持仓明细!$B$19:$Y$19,'实盘净值数据(iFinD）'!$B312:$Y312/'实盘净值数据(iFinD）'!$B$20:$Y$20)*(1-实盘持仓初始配置!$Z$6)^(('实盘净值数据(iFinD）'!$A312-'实盘净值数据(iFinD）'!$A$7)/365))</f>
        <v/>
      </c>
      <c r="I312" s="16" t="str">
        <f t="shared" si="26"/>
        <v/>
      </c>
      <c r="J312" s="16" t="str">
        <f>IF(H312="","",H312/MAX(H$5:H312)-1)</f>
        <v/>
      </c>
      <c r="K312" s="13" t="str">
        <f>IF(OR('实盘净值数据(iFinD）'!$A312="",'实盘净值数据(iFinD）'!$B312="",'实盘净值数据(iFinD）'!$Z312="",'实盘净值数据(iFinD）'!$AA312=""),"",分期持仓明细!$AB$23*(SUMPRODUCT(分期持仓明细!$B$23:$Y$23,'实盘净值数据(iFinD）'!$B312:$Y312/'实盘净值数据(iFinD）'!$B$65:$Y$65)+SUMPRODUCT(分期持仓明细!$AC$23:$AD$23,'实盘净值数据(iFinD）'!$Z312:$AA312/'实盘净值数据(iFinD）'!$Z$65:$AA$65))*(1-实盘持仓初始配置!$Z$7)^(('实盘净值数据(iFinD）'!$A312-'实盘净值数据(iFinD）'!$A$8)/365))</f>
        <v/>
      </c>
      <c r="L312" s="16" t="str">
        <f t="shared" si="27"/>
        <v/>
      </c>
      <c r="M312" s="16" t="str">
        <f>IF(K312="","",K312/MAX(K$5:K312)-1)</f>
        <v/>
      </c>
      <c r="N312" s="13" t="str">
        <f>IF(OR('实盘净值数据(iFinD）'!$A312="",'实盘净值数据(iFinD）'!$B312="",'实盘净值数据(iFinD）'!$Z312="",'实盘净值数据(iFinD）'!$AA312=""),"",分期持仓明细!$AB$24*(SUMPRODUCT(分期持仓明细!$B$24:$Y$24,'实盘净值数据(iFinD）'!$B312:$Y312/'实盘净值数据(iFinD）'!$B$65:$Y$65)+SUMPRODUCT(分期持仓明细!$AC$24:$AD$24,'实盘净值数据(iFinD）'!$Z312:$AA312/'实盘净值数据(iFinD）'!$Z$65:$AA$65))*(1-实盘持仓初始配置!$Z$8)^(('实盘净值数据(iFinD）'!$A312-'实盘净值数据(iFinD）'!$A$5)/365))</f>
        <v/>
      </c>
      <c r="O312" s="16" t="str">
        <f t="shared" si="28"/>
        <v/>
      </c>
      <c r="P312" s="16" t="str">
        <f>IF(N312="","",N312/MAX(N$5:N312)-1)</f>
        <v/>
      </c>
      <c r="Q312" s="13" t="str">
        <f>IF(OR('实盘净值数据(iFinD）'!$A312="",'实盘净值数据(iFinD）'!$B312="",'实盘净值数据(iFinD）'!$Z312="",'实盘净值数据(iFinD）'!$AA312=""),"",分期持仓明细!$AB$25*(SUMPRODUCT(分期持仓明细!$B$25:$Y$25,'实盘净值数据(iFinD）'!$B312:$Y312/'实盘净值数据(iFinD）'!$B$65:$Y$65)+SUMPRODUCT(分期持仓明细!$AC$25:$AD$25,'实盘净值数据(iFinD）'!$Z312:$AA312/'实盘净值数据(iFinD）'!$Z$65:$AA$65))*(1-实盘持仓初始配置!$Z$9)^(('实盘净值数据(iFinD）'!$A312-'实盘净值数据(iFinD）'!$A$8)/365))</f>
        <v/>
      </c>
      <c r="R312" s="16" t="str">
        <f t="shared" si="29"/>
        <v/>
      </c>
      <c r="S312" s="16" t="str">
        <f>IF(Q312="","",Q312/MAX(Q$5:Q312)-1)</f>
        <v/>
      </c>
    </row>
    <row r="313" spans="1:19">
      <c r="A313" s="15" t="str">
        <f>IF('实盘净值数据(iFinD）'!A313="","",'实盘净值数据(iFinD）'!A313)</f>
        <v/>
      </c>
      <c r="B313" s="13" t="str">
        <f>IF(OR('实盘净值数据(iFinD）'!$A313="",'实盘净值数据(iFinD）'!$B313=""),"",分期持仓明细!$AB$17*SUMPRODUCT(分期持仓明细!$B$17:$Y$17,'实盘净值数据(iFinD）'!$B313:$Y313/'实盘净值数据(iFinD）'!$B$20:$Y$20)*(1-实盘持仓初始配置!$Z$4)^(('实盘净值数据(iFinD）'!$A313-'实盘净值数据(iFinD）'!$A$6)/365))</f>
        <v/>
      </c>
      <c r="C313" s="16" t="str">
        <f t="shared" si="24"/>
        <v/>
      </c>
      <c r="D313" s="16" t="str">
        <f>IF(B313="","",B313/MAX(B$5:B313)-1)</f>
        <v/>
      </c>
      <c r="E313" s="13" t="str">
        <f>IF(OR('实盘净值数据(iFinD）'!$A313="",'实盘净值数据(iFinD）'!$B313=""),"",分期持仓明细!$AB$18*SUMPRODUCT(分期持仓明细!$B$18:$Y$18,'实盘净值数据(iFinD）'!$B313:$Y313/'实盘净值数据(iFinD）'!$B$20:$Y$20)*(1-实盘持仓初始配置!$Z$5)^(('实盘净值数据(iFinD）'!$A313-'实盘净值数据(iFinD）'!$A$5)/365))</f>
        <v/>
      </c>
      <c r="F313" s="16" t="str">
        <f t="shared" si="25"/>
        <v/>
      </c>
      <c r="G313" s="16" t="str">
        <f>IF(E313="","",E313/MAX(E$5:E313)-1)</f>
        <v/>
      </c>
      <c r="H313" s="13" t="str">
        <f>IF(OR('实盘净值数据(iFinD）'!$A313="",'实盘净值数据(iFinD）'!$B313=""),"",分期持仓明细!$AB$19*SUMPRODUCT(分期持仓明细!$B$19:$Y$19,'实盘净值数据(iFinD）'!$B313:$Y313/'实盘净值数据(iFinD）'!$B$20:$Y$20)*(1-实盘持仓初始配置!$Z$6)^(('实盘净值数据(iFinD）'!$A313-'实盘净值数据(iFinD）'!$A$7)/365))</f>
        <v/>
      </c>
      <c r="I313" s="16" t="str">
        <f t="shared" si="26"/>
        <v/>
      </c>
      <c r="J313" s="16" t="str">
        <f>IF(H313="","",H313/MAX(H$5:H313)-1)</f>
        <v/>
      </c>
      <c r="K313" s="13" t="str">
        <f>IF(OR('实盘净值数据(iFinD）'!$A313="",'实盘净值数据(iFinD）'!$B313="",'实盘净值数据(iFinD）'!$Z313="",'实盘净值数据(iFinD）'!$AA313=""),"",分期持仓明细!$AB$23*(SUMPRODUCT(分期持仓明细!$B$23:$Y$23,'实盘净值数据(iFinD）'!$B313:$Y313/'实盘净值数据(iFinD）'!$B$65:$Y$65)+SUMPRODUCT(分期持仓明细!$AC$23:$AD$23,'实盘净值数据(iFinD）'!$Z313:$AA313/'实盘净值数据(iFinD）'!$Z$65:$AA$65))*(1-实盘持仓初始配置!$Z$7)^(('实盘净值数据(iFinD）'!$A313-'实盘净值数据(iFinD）'!$A$8)/365))</f>
        <v/>
      </c>
      <c r="L313" s="16" t="str">
        <f t="shared" si="27"/>
        <v/>
      </c>
      <c r="M313" s="16" t="str">
        <f>IF(K313="","",K313/MAX(K$5:K313)-1)</f>
        <v/>
      </c>
      <c r="N313" s="13" t="str">
        <f>IF(OR('实盘净值数据(iFinD）'!$A313="",'实盘净值数据(iFinD）'!$B313="",'实盘净值数据(iFinD）'!$Z313="",'实盘净值数据(iFinD）'!$AA313=""),"",分期持仓明细!$AB$24*(SUMPRODUCT(分期持仓明细!$B$24:$Y$24,'实盘净值数据(iFinD）'!$B313:$Y313/'实盘净值数据(iFinD）'!$B$65:$Y$65)+SUMPRODUCT(分期持仓明细!$AC$24:$AD$24,'实盘净值数据(iFinD）'!$Z313:$AA313/'实盘净值数据(iFinD）'!$Z$65:$AA$65))*(1-实盘持仓初始配置!$Z$8)^(('实盘净值数据(iFinD）'!$A313-'实盘净值数据(iFinD）'!$A$5)/365))</f>
        <v/>
      </c>
      <c r="O313" s="16" t="str">
        <f t="shared" si="28"/>
        <v/>
      </c>
      <c r="P313" s="16" t="str">
        <f>IF(N313="","",N313/MAX(N$5:N313)-1)</f>
        <v/>
      </c>
      <c r="Q313" s="13" t="str">
        <f>IF(OR('实盘净值数据(iFinD）'!$A313="",'实盘净值数据(iFinD）'!$B313="",'实盘净值数据(iFinD）'!$Z313="",'实盘净值数据(iFinD）'!$AA313=""),"",分期持仓明细!$AB$25*(SUMPRODUCT(分期持仓明细!$B$25:$Y$25,'实盘净值数据(iFinD）'!$B313:$Y313/'实盘净值数据(iFinD）'!$B$65:$Y$65)+SUMPRODUCT(分期持仓明细!$AC$25:$AD$25,'实盘净值数据(iFinD）'!$Z313:$AA313/'实盘净值数据(iFinD）'!$Z$65:$AA$65))*(1-实盘持仓初始配置!$Z$9)^(('实盘净值数据(iFinD）'!$A313-'实盘净值数据(iFinD）'!$A$8)/365))</f>
        <v/>
      </c>
      <c r="R313" s="16" t="str">
        <f t="shared" si="29"/>
        <v/>
      </c>
      <c r="S313" s="16" t="str">
        <f>IF(Q313="","",Q313/MAX(Q$5:Q313)-1)</f>
        <v/>
      </c>
    </row>
    <row r="314" spans="1:19">
      <c r="A314" s="15" t="str">
        <f>IF('实盘净值数据(iFinD）'!A314="","",'实盘净值数据(iFinD）'!A314)</f>
        <v/>
      </c>
      <c r="B314" s="13" t="str">
        <f>IF(OR('实盘净值数据(iFinD）'!$A314="",'实盘净值数据(iFinD）'!$B314=""),"",分期持仓明细!$AB$17*SUMPRODUCT(分期持仓明细!$B$17:$Y$17,'实盘净值数据(iFinD）'!$B314:$Y314/'实盘净值数据(iFinD）'!$B$20:$Y$20)*(1-实盘持仓初始配置!$Z$4)^(('实盘净值数据(iFinD）'!$A314-'实盘净值数据(iFinD）'!$A$6)/365))</f>
        <v/>
      </c>
      <c r="C314" s="16" t="str">
        <f t="shared" si="24"/>
        <v/>
      </c>
      <c r="D314" s="16" t="str">
        <f>IF(B314="","",B314/MAX(B$5:B314)-1)</f>
        <v/>
      </c>
      <c r="E314" s="13" t="str">
        <f>IF(OR('实盘净值数据(iFinD）'!$A314="",'实盘净值数据(iFinD）'!$B314=""),"",分期持仓明细!$AB$18*SUMPRODUCT(分期持仓明细!$B$18:$Y$18,'实盘净值数据(iFinD）'!$B314:$Y314/'实盘净值数据(iFinD）'!$B$20:$Y$20)*(1-实盘持仓初始配置!$Z$5)^(('实盘净值数据(iFinD）'!$A314-'实盘净值数据(iFinD）'!$A$5)/365))</f>
        <v/>
      </c>
      <c r="F314" s="16" t="str">
        <f t="shared" si="25"/>
        <v/>
      </c>
      <c r="G314" s="16" t="str">
        <f>IF(E314="","",E314/MAX(E$5:E314)-1)</f>
        <v/>
      </c>
      <c r="H314" s="13" t="str">
        <f>IF(OR('实盘净值数据(iFinD）'!$A314="",'实盘净值数据(iFinD）'!$B314=""),"",分期持仓明细!$AB$19*SUMPRODUCT(分期持仓明细!$B$19:$Y$19,'实盘净值数据(iFinD）'!$B314:$Y314/'实盘净值数据(iFinD）'!$B$20:$Y$20)*(1-实盘持仓初始配置!$Z$6)^(('实盘净值数据(iFinD）'!$A314-'实盘净值数据(iFinD）'!$A$7)/365))</f>
        <v/>
      </c>
      <c r="I314" s="16" t="str">
        <f t="shared" si="26"/>
        <v/>
      </c>
      <c r="J314" s="16" t="str">
        <f>IF(H314="","",H314/MAX(H$5:H314)-1)</f>
        <v/>
      </c>
      <c r="K314" s="13" t="str">
        <f>IF(OR('实盘净值数据(iFinD）'!$A314="",'实盘净值数据(iFinD）'!$B314="",'实盘净值数据(iFinD）'!$Z314="",'实盘净值数据(iFinD）'!$AA314=""),"",分期持仓明细!$AB$23*(SUMPRODUCT(分期持仓明细!$B$23:$Y$23,'实盘净值数据(iFinD）'!$B314:$Y314/'实盘净值数据(iFinD）'!$B$65:$Y$65)+SUMPRODUCT(分期持仓明细!$AC$23:$AD$23,'实盘净值数据(iFinD）'!$Z314:$AA314/'实盘净值数据(iFinD）'!$Z$65:$AA$65))*(1-实盘持仓初始配置!$Z$7)^(('实盘净值数据(iFinD）'!$A314-'实盘净值数据(iFinD）'!$A$8)/365))</f>
        <v/>
      </c>
      <c r="L314" s="16" t="str">
        <f t="shared" si="27"/>
        <v/>
      </c>
      <c r="M314" s="16" t="str">
        <f>IF(K314="","",K314/MAX(K$5:K314)-1)</f>
        <v/>
      </c>
      <c r="N314" s="13" t="str">
        <f>IF(OR('实盘净值数据(iFinD）'!$A314="",'实盘净值数据(iFinD）'!$B314="",'实盘净值数据(iFinD）'!$Z314="",'实盘净值数据(iFinD）'!$AA314=""),"",分期持仓明细!$AB$24*(SUMPRODUCT(分期持仓明细!$B$24:$Y$24,'实盘净值数据(iFinD）'!$B314:$Y314/'实盘净值数据(iFinD）'!$B$65:$Y$65)+SUMPRODUCT(分期持仓明细!$AC$24:$AD$24,'实盘净值数据(iFinD）'!$Z314:$AA314/'实盘净值数据(iFinD）'!$Z$65:$AA$65))*(1-实盘持仓初始配置!$Z$8)^(('实盘净值数据(iFinD）'!$A314-'实盘净值数据(iFinD）'!$A$5)/365))</f>
        <v/>
      </c>
      <c r="O314" s="16" t="str">
        <f t="shared" si="28"/>
        <v/>
      </c>
      <c r="P314" s="16" t="str">
        <f>IF(N314="","",N314/MAX(N$5:N314)-1)</f>
        <v/>
      </c>
      <c r="Q314" s="13" t="str">
        <f>IF(OR('实盘净值数据(iFinD）'!$A314="",'实盘净值数据(iFinD）'!$B314="",'实盘净值数据(iFinD）'!$Z314="",'实盘净值数据(iFinD）'!$AA314=""),"",分期持仓明细!$AB$25*(SUMPRODUCT(分期持仓明细!$B$25:$Y$25,'实盘净值数据(iFinD）'!$B314:$Y314/'实盘净值数据(iFinD）'!$B$65:$Y$65)+SUMPRODUCT(分期持仓明细!$AC$25:$AD$25,'实盘净值数据(iFinD）'!$Z314:$AA314/'实盘净值数据(iFinD）'!$Z$65:$AA$65))*(1-实盘持仓初始配置!$Z$9)^(('实盘净值数据(iFinD）'!$A314-'实盘净值数据(iFinD）'!$A$8)/365))</f>
        <v/>
      </c>
      <c r="R314" s="16" t="str">
        <f t="shared" si="29"/>
        <v/>
      </c>
      <c r="S314" s="16" t="str">
        <f>IF(Q314="","",Q314/MAX(Q$5:Q314)-1)</f>
        <v/>
      </c>
    </row>
    <row r="315" spans="1:19">
      <c r="A315" s="15" t="str">
        <f>IF('实盘净值数据(iFinD）'!A315="","",'实盘净值数据(iFinD）'!A315)</f>
        <v/>
      </c>
      <c r="B315" s="13" t="str">
        <f>IF(OR('实盘净值数据(iFinD）'!$A315="",'实盘净值数据(iFinD）'!$B315=""),"",分期持仓明细!$AB$17*SUMPRODUCT(分期持仓明细!$B$17:$Y$17,'实盘净值数据(iFinD）'!$B315:$Y315/'实盘净值数据(iFinD）'!$B$20:$Y$20)*(1-实盘持仓初始配置!$Z$4)^(('实盘净值数据(iFinD）'!$A315-'实盘净值数据(iFinD）'!$A$6)/365))</f>
        <v/>
      </c>
      <c r="C315" s="16" t="str">
        <f t="shared" si="24"/>
        <v/>
      </c>
      <c r="D315" s="16" t="str">
        <f>IF(B315="","",B315/MAX(B$5:B315)-1)</f>
        <v/>
      </c>
      <c r="E315" s="13" t="str">
        <f>IF(OR('实盘净值数据(iFinD）'!$A315="",'实盘净值数据(iFinD）'!$B315=""),"",分期持仓明细!$AB$18*SUMPRODUCT(分期持仓明细!$B$18:$Y$18,'实盘净值数据(iFinD）'!$B315:$Y315/'实盘净值数据(iFinD）'!$B$20:$Y$20)*(1-实盘持仓初始配置!$Z$5)^(('实盘净值数据(iFinD）'!$A315-'实盘净值数据(iFinD）'!$A$5)/365))</f>
        <v/>
      </c>
      <c r="F315" s="16" t="str">
        <f t="shared" si="25"/>
        <v/>
      </c>
      <c r="G315" s="16" t="str">
        <f>IF(E315="","",E315/MAX(E$5:E315)-1)</f>
        <v/>
      </c>
      <c r="H315" s="13" t="str">
        <f>IF(OR('实盘净值数据(iFinD）'!$A315="",'实盘净值数据(iFinD）'!$B315=""),"",分期持仓明细!$AB$19*SUMPRODUCT(分期持仓明细!$B$19:$Y$19,'实盘净值数据(iFinD）'!$B315:$Y315/'实盘净值数据(iFinD）'!$B$20:$Y$20)*(1-实盘持仓初始配置!$Z$6)^(('实盘净值数据(iFinD）'!$A315-'实盘净值数据(iFinD）'!$A$7)/365))</f>
        <v/>
      </c>
      <c r="I315" s="16" t="str">
        <f t="shared" si="26"/>
        <v/>
      </c>
      <c r="J315" s="16" t="str">
        <f>IF(H315="","",H315/MAX(H$5:H315)-1)</f>
        <v/>
      </c>
      <c r="K315" s="13" t="str">
        <f>IF(OR('实盘净值数据(iFinD）'!$A315="",'实盘净值数据(iFinD）'!$B315="",'实盘净值数据(iFinD）'!$Z315="",'实盘净值数据(iFinD）'!$AA315=""),"",分期持仓明细!$AB$23*(SUMPRODUCT(分期持仓明细!$B$23:$Y$23,'实盘净值数据(iFinD）'!$B315:$Y315/'实盘净值数据(iFinD）'!$B$65:$Y$65)+SUMPRODUCT(分期持仓明细!$AC$23:$AD$23,'实盘净值数据(iFinD）'!$Z315:$AA315/'实盘净值数据(iFinD）'!$Z$65:$AA$65))*(1-实盘持仓初始配置!$Z$7)^(('实盘净值数据(iFinD）'!$A315-'实盘净值数据(iFinD）'!$A$8)/365))</f>
        <v/>
      </c>
      <c r="L315" s="16" t="str">
        <f t="shared" si="27"/>
        <v/>
      </c>
      <c r="M315" s="16" t="str">
        <f>IF(K315="","",K315/MAX(K$5:K315)-1)</f>
        <v/>
      </c>
      <c r="N315" s="13" t="str">
        <f>IF(OR('实盘净值数据(iFinD）'!$A315="",'实盘净值数据(iFinD）'!$B315="",'实盘净值数据(iFinD）'!$Z315="",'实盘净值数据(iFinD）'!$AA315=""),"",分期持仓明细!$AB$24*(SUMPRODUCT(分期持仓明细!$B$24:$Y$24,'实盘净值数据(iFinD）'!$B315:$Y315/'实盘净值数据(iFinD）'!$B$65:$Y$65)+SUMPRODUCT(分期持仓明细!$AC$24:$AD$24,'实盘净值数据(iFinD）'!$Z315:$AA315/'实盘净值数据(iFinD）'!$Z$65:$AA$65))*(1-实盘持仓初始配置!$Z$8)^(('实盘净值数据(iFinD）'!$A315-'实盘净值数据(iFinD）'!$A$5)/365))</f>
        <v/>
      </c>
      <c r="O315" s="16" t="str">
        <f t="shared" si="28"/>
        <v/>
      </c>
      <c r="P315" s="16" t="str">
        <f>IF(N315="","",N315/MAX(N$5:N315)-1)</f>
        <v/>
      </c>
      <c r="Q315" s="13" t="str">
        <f>IF(OR('实盘净值数据(iFinD）'!$A315="",'实盘净值数据(iFinD）'!$B315="",'实盘净值数据(iFinD）'!$Z315="",'实盘净值数据(iFinD）'!$AA315=""),"",分期持仓明细!$AB$25*(SUMPRODUCT(分期持仓明细!$B$25:$Y$25,'实盘净值数据(iFinD）'!$B315:$Y315/'实盘净值数据(iFinD）'!$B$65:$Y$65)+SUMPRODUCT(分期持仓明细!$AC$25:$AD$25,'实盘净值数据(iFinD）'!$Z315:$AA315/'实盘净值数据(iFinD）'!$Z$65:$AA$65))*(1-实盘持仓初始配置!$Z$9)^(('实盘净值数据(iFinD）'!$A315-'实盘净值数据(iFinD）'!$A$8)/365))</f>
        <v/>
      </c>
      <c r="R315" s="16" t="str">
        <f t="shared" si="29"/>
        <v/>
      </c>
      <c r="S315" s="16" t="str">
        <f>IF(Q315="","",Q315/MAX(Q$5:Q315)-1)</f>
        <v/>
      </c>
    </row>
    <row r="316" spans="1:19">
      <c r="A316" s="15" t="str">
        <f>IF('实盘净值数据(iFinD）'!A316="","",'实盘净值数据(iFinD）'!A316)</f>
        <v/>
      </c>
      <c r="B316" s="13" t="str">
        <f>IF(OR('实盘净值数据(iFinD）'!$A316="",'实盘净值数据(iFinD）'!$B316=""),"",分期持仓明细!$AB$17*SUMPRODUCT(分期持仓明细!$B$17:$Y$17,'实盘净值数据(iFinD）'!$B316:$Y316/'实盘净值数据(iFinD）'!$B$20:$Y$20)*(1-实盘持仓初始配置!$Z$4)^(('实盘净值数据(iFinD）'!$A316-'实盘净值数据(iFinD）'!$A$6)/365))</f>
        <v/>
      </c>
      <c r="C316" s="16" t="str">
        <f t="shared" ref="C316:C379" si="30">IF(OR(B315="",B316=""),"",B316/B315-1)</f>
        <v/>
      </c>
      <c r="D316" s="16" t="str">
        <f>IF(B316="","",B316/MAX(B$5:B316)-1)</f>
        <v/>
      </c>
      <c r="E316" s="13" t="str">
        <f>IF(OR('实盘净值数据(iFinD）'!$A316="",'实盘净值数据(iFinD）'!$B316=""),"",分期持仓明细!$AB$18*SUMPRODUCT(分期持仓明细!$B$18:$Y$18,'实盘净值数据(iFinD）'!$B316:$Y316/'实盘净值数据(iFinD）'!$B$20:$Y$20)*(1-实盘持仓初始配置!$Z$5)^(('实盘净值数据(iFinD）'!$A316-'实盘净值数据(iFinD）'!$A$5)/365))</f>
        <v/>
      </c>
      <c r="F316" s="16" t="str">
        <f t="shared" ref="F316:F379" si="31">IF(OR(E315="",E316=""),"",E316/E315-1)</f>
        <v/>
      </c>
      <c r="G316" s="16" t="str">
        <f>IF(E316="","",E316/MAX(E$5:E316)-1)</f>
        <v/>
      </c>
      <c r="H316" s="13" t="str">
        <f>IF(OR('实盘净值数据(iFinD）'!$A316="",'实盘净值数据(iFinD）'!$B316=""),"",分期持仓明细!$AB$19*SUMPRODUCT(分期持仓明细!$B$19:$Y$19,'实盘净值数据(iFinD）'!$B316:$Y316/'实盘净值数据(iFinD）'!$B$20:$Y$20)*(1-实盘持仓初始配置!$Z$6)^(('实盘净值数据(iFinD）'!$A316-'实盘净值数据(iFinD）'!$A$7)/365))</f>
        <v/>
      </c>
      <c r="I316" s="16" t="str">
        <f t="shared" ref="I316:I379" si="32">IF(OR(H315="",H316=""),"",H316/H315-1)</f>
        <v/>
      </c>
      <c r="J316" s="16" t="str">
        <f>IF(H316="","",H316/MAX(H$5:H316)-1)</f>
        <v/>
      </c>
      <c r="K316" s="13" t="str">
        <f>IF(OR('实盘净值数据(iFinD）'!$A316="",'实盘净值数据(iFinD）'!$B316="",'实盘净值数据(iFinD）'!$Z316="",'实盘净值数据(iFinD）'!$AA316=""),"",分期持仓明细!$AB$23*(SUMPRODUCT(分期持仓明细!$B$23:$Y$23,'实盘净值数据(iFinD）'!$B316:$Y316/'实盘净值数据(iFinD）'!$B$65:$Y$65)+SUMPRODUCT(分期持仓明细!$AC$23:$AD$23,'实盘净值数据(iFinD）'!$Z316:$AA316/'实盘净值数据(iFinD）'!$Z$65:$AA$65))*(1-实盘持仓初始配置!$Z$7)^(('实盘净值数据(iFinD）'!$A316-'实盘净值数据(iFinD）'!$A$8)/365))</f>
        <v/>
      </c>
      <c r="L316" s="16" t="str">
        <f t="shared" ref="L316:L379" si="33">IF(OR(K315="",K316=""),"",K316/K315-1)</f>
        <v/>
      </c>
      <c r="M316" s="16" t="str">
        <f>IF(K316="","",K316/MAX(K$5:K316)-1)</f>
        <v/>
      </c>
      <c r="N316" s="13" t="str">
        <f>IF(OR('实盘净值数据(iFinD）'!$A316="",'实盘净值数据(iFinD）'!$B316="",'实盘净值数据(iFinD）'!$Z316="",'实盘净值数据(iFinD）'!$AA316=""),"",分期持仓明细!$AB$24*(SUMPRODUCT(分期持仓明细!$B$24:$Y$24,'实盘净值数据(iFinD）'!$B316:$Y316/'实盘净值数据(iFinD）'!$B$65:$Y$65)+SUMPRODUCT(分期持仓明细!$AC$24:$AD$24,'实盘净值数据(iFinD）'!$Z316:$AA316/'实盘净值数据(iFinD）'!$Z$65:$AA$65))*(1-实盘持仓初始配置!$Z$8)^(('实盘净值数据(iFinD）'!$A316-'实盘净值数据(iFinD）'!$A$5)/365))</f>
        <v/>
      </c>
      <c r="O316" s="16" t="str">
        <f t="shared" ref="O316:O379" si="34">IF(OR(N315="",N316=""),"",N316/N315-1)</f>
        <v/>
      </c>
      <c r="P316" s="16" t="str">
        <f>IF(N316="","",N316/MAX(N$5:N316)-1)</f>
        <v/>
      </c>
      <c r="Q316" s="13" t="str">
        <f>IF(OR('实盘净值数据(iFinD）'!$A316="",'实盘净值数据(iFinD）'!$B316="",'实盘净值数据(iFinD）'!$Z316="",'实盘净值数据(iFinD）'!$AA316=""),"",分期持仓明细!$AB$25*(SUMPRODUCT(分期持仓明细!$B$25:$Y$25,'实盘净值数据(iFinD）'!$B316:$Y316/'实盘净值数据(iFinD）'!$B$65:$Y$65)+SUMPRODUCT(分期持仓明细!$AC$25:$AD$25,'实盘净值数据(iFinD）'!$Z316:$AA316/'实盘净值数据(iFinD）'!$Z$65:$AA$65))*(1-实盘持仓初始配置!$Z$9)^(('实盘净值数据(iFinD）'!$A316-'实盘净值数据(iFinD）'!$A$8)/365))</f>
        <v/>
      </c>
      <c r="R316" s="16" t="str">
        <f t="shared" ref="R316:R379" si="35">IF(OR(Q315="",Q316=""),"",Q316/Q315-1)</f>
        <v/>
      </c>
      <c r="S316" s="16" t="str">
        <f>IF(Q316="","",Q316/MAX(Q$5:Q316)-1)</f>
        <v/>
      </c>
    </row>
    <row r="317" spans="1:19">
      <c r="A317" s="15" t="str">
        <f>IF('实盘净值数据(iFinD）'!A317="","",'实盘净值数据(iFinD）'!A317)</f>
        <v/>
      </c>
      <c r="B317" s="13" t="str">
        <f>IF(OR('实盘净值数据(iFinD）'!$A317="",'实盘净值数据(iFinD）'!$B317=""),"",分期持仓明细!$AB$17*SUMPRODUCT(分期持仓明细!$B$17:$Y$17,'实盘净值数据(iFinD）'!$B317:$Y317/'实盘净值数据(iFinD）'!$B$20:$Y$20)*(1-实盘持仓初始配置!$Z$4)^(('实盘净值数据(iFinD）'!$A317-'实盘净值数据(iFinD）'!$A$6)/365))</f>
        <v/>
      </c>
      <c r="C317" s="16" t="str">
        <f t="shared" si="30"/>
        <v/>
      </c>
      <c r="D317" s="16" t="str">
        <f>IF(B317="","",B317/MAX(B$5:B317)-1)</f>
        <v/>
      </c>
      <c r="E317" s="13" t="str">
        <f>IF(OR('实盘净值数据(iFinD）'!$A317="",'实盘净值数据(iFinD）'!$B317=""),"",分期持仓明细!$AB$18*SUMPRODUCT(分期持仓明细!$B$18:$Y$18,'实盘净值数据(iFinD）'!$B317:$Y317/'实盘净值数据(iFinD）'!$B$20:$Y$20)*(1-实盘持仓初始配置!$Z$5)^(('实盘净值数据(iFinD）'!$A317-'实盘净值数据(iFinD）'!$A$5)/365))</f>
        <v/>
      </c>
      <c r="F317" s="16" t="str">
        <f t="shared" si="31"/>
        <v/>
      </c>
      <c r="G317" s="16" t="str">
        <f>IF(E317="","",E317/MAX(E$5:E317)-1)</f>
        <v/>
      </c>
      <c r="H317" s="13" t="str">
        <f>IF(OR('实盘净值数据(iFinD）'!$A317="",'实盘净值数据(iFinD）'!$B317=""),"",分期持仓明细!$AB$19*SUMPRODUCT(分期持仓明细!$B$19:$Y$19,'实盘净值数据(iFinD）'!$B317:$Y317/'实盘净值数据(iFinD）'!$B$20:$Y$20)*(1-实盘持仓初始配置!$Z$6)^(('实盘净值数据(iFinD）'!$A317-'实盘净值数据(iFinD）'!$A$7)/365))</f>
        <v/>
      </c>
      <c r="I317" s="16" t="str">
        <f t="shared" si="32"/>
        <v/>
      </c>
      <c r="J317" s="16" t="str">
        <f>IF(H317="","",H317/MAX(H$5:H317)-1)</f>
        <v/>
      </c>
      <c r="K317" s="13" t="str">
        <f>IF(OR('实盘净值数据(iFinD）'!$A317="",'实盘净值数据(iFinD）'!$B317="",'实盘净值数据(iFinD）'!$Z317="",'实盘净值数据(iFinD）'!$AA317=""),"",分期持仓明细!$AB$23*(SUMPRODUCT(分期持仓明细!$B$23:$Y$23,'实盘净值数据(iFinD）'!$B317:$Y317/'实盘净值数据(iFinD）'!$B$65:$Y$65)+SUMPRODUCT(分期持仓明细!$AC$23:$AD$23,'实盘净值数据(iFinD）'!$Z317:$AA317/'实盘净值数据(iFinD）'!$Z$65:$AA$65))*(1-实盘持仓初始配置!$Z$7)^(('实盘净值数据(iFinD）'!$A317-'实盘净值数据(iFinD）'!$A$8)/365))</f>
        <v/>
      </c>
      <c r="L317" s="16" t="str">
        <f t="shared" si="33"/>
        <v/>
      </c>
      <c r="M317" s="16" t="str">
        <f>IF(K317="","",K317/MAX(K$5:K317)-1)</f>
        <v/>
      </c>
      <c r="N317" s="13" t="str">
        <f>IF(OR('实盘净值数据(iFinD）'!$A317="",'实盘净值数据(iFinD）'!$B317="",'实盘净值数据(iFinD）'!$Z317="",'实盘净值数据(iFinD）'!$AA317=""),"",分期持仓明细!$AB$24*(SUMPRODUCT(分期持仓明细!$B$24:$Y$24,'实盘净值数据(iFinD）'!$B317:$Y317/'实盘净值数据(iFinD）'!$B$65:$Y$65)+SUMPRODUCT(分期持仓明细!$AC$24:$AD$24,'实盘净值数据(iFinD）'!$Z317:$AA317/'实盘净值数据(iFinD）'!$Z$65:$AA$65))*(1-实盘持仓初始配置!$Z$8)^(('实盘净值数据(iFinD）'!$A317-'实盘净值数据(iFinD）'!$A$5)/365))</f>
        <v/>
      </c>
      <c r="O317" s="16" t="str">
        <f t="shared" si="34"/>
        <v/>
      </c>
      <c r="P317" s="16" t="str">
        <f>IF(N317="","",N317/MAX(N$5:N317)-1)</f>
        <v/>
      </c>
      <c r="Q317" s="13" t="str">
        <f>IF(OR('实盘净值数据(iFinD）'!$A317="",'实盘净值数据(iFinD）'!$B317="",'实盘净值数据(iFinD）'!$Z317="",'实盘净值数据(iFinD）'!$AA317=""),"",分期持仓明细!$AB$25*(SUMPRODUCT(分期持仓明细!$B$25:$Y$25,'实盘净值数据(iFinD）'!$B317:$Y317/'实盘净值数据(iFinD）'!$B$65:$Y$65)+SUMPRODUCT(分期持仓明细!$AC$25:$AD$25,'实盘净值数据(iFinD）'!$Z317:$AA317/'实盘净值数据(iFinD）'!$Z$65:$AA$65))*(1-实盘持仓初始配置!$Z$9)^(('实盘净值数据(iFinD）'!$A317-'实盘净值数据(iFinD）'!$A$8)/365))</f>
        <v/>
      </c>
      <c r="R317" s="16" t="str">
        <f t="shared" si="35"/>
        <v/>
      </c>
      <c r="S317" s="16" t="str">
        <f>IF(Q317="","",Q317/MAX(Q$5:Q317)-1)</f>
        <v/>
      </c>
    </row>
    <row r="318" spans="1:19">
      <c r="A318" s="15" t="str">
        <f>IF('实盘净值数据(iFinD）'!A318="","",'实盘净值数据(iFinD）'!A318)</f>
        <v/>
      </c>
      <c r="B318" s="13" t="str">
        <f>IF(OR('实盘净值数据(iFinD）'!$A318="",'实盘净值数据(iFinD）'!$B318=""),"",分期持仓明细!$AB$17*SUMPRODUCT(分期持仓明细!$B$17:$Y$17,'实盘净值数据(iFinD）'!$B318:$Y318/'实盘净值数据(iFinD）'!$B$20:$Y$20)*(1-实盘持仓初始配置!$Z$4)^(('实盘净值数据(iFinD）'!$A318-'实盘净值数据(iFinD）'!$A$6)/365))</f>
        <v/>
      </c>
      <c r="C318" s="16" t="str">
        <f t="shared" si="30"/>
        <v/>
      </c>
      <c r="D318" s="16" t="str">
        <f>IF(B318="","",B318/MAX(B$5:B318)-1)</f>
        <v/>
      </c>
      <c r="E318" s="13" t="str">
        <f>IF(OR('实盘净值数据(iFinD）'!$A318="",'实盘净值数据(iFinD）'!$B318=""),"",分期持仓明细!$AB$18*SUMPRODUCT(分期持仓明细!$B$18:$Y$18,'实盘净值数据(iFinD）'!$B318:$Y318/'实盘净值数据(iFinD）'!$B$20:$Y$20)*(1-实盘持仓初始配置!$Z$5)^(('实盘净值数据(iFinD）'!$A318-'实盘净值数据(iFinD）'!$A$5)/365))</f>
        <v/>
      </c>
      <c r="F318" s="16" t="str">
        <f t="shared" si="31"/>
        <v/>
      </c>
      <c r="G318" s="16" t="str">
        <f>IF(E318="","",E318/MAX(E$5:E318)-1)</f>
        <v/>
      </c>
      <c r="H318" s="13" t="str">
        <f>IF(OR('实盘净值数据(iFinD）'!$A318="",'实盘净值数据(iFinD）'!$B318=""),"",分期持仓明细!$AB$19*SUMPRODUCT(分期持仓明细!$B$19:$Y$19,'实盘净值数据(iFinD）'!$B318:$Y318/'实盘净值数据(iFinD）'!$B$20:$Y$20)*(1-实盘持仓初始配置!$Z$6)^(('实盘净值数据(iFinD）'!$A318-'实盘净值数据(iFinD）'!$A$7)/365))</f>
        <v/>
      </c>
      <c r="I318" s="16" t="str">
        <f t="shared" si="32"/>
        <v/>
      </c>
      <c r="J318" s="16" t="str">
        <f>IF(H318="","",H318/MAX(H$5:H318)-1)</f>
        <v/>
      </c>
      <c r="K318" s="13" t="str">
        <f>IF(OR('实盘净值数据(iFinD）'!$A318="",'实盘净值数据(iFinD）'!$B318="",'实盘净值数据(iFinD）'!$Z318="",'实盘净值数据(iFinD）'!$AA318=""),"",分期持仓明细!$AB$23*(SUMPRODUCT(分期持仓明细!$B$23:$Y$23,'实盘净值数据(iFinD）'!$B318:$Y318/'实盘净值数据(iFinD）'!$B$65:$Y$65)+SUMPRODUCT(分期持仓明细!$AC$23:$AD$23,'实盘净值数据(iFinD）'!$Z318:$AA318/'实盘净值数据(iFinD）'!$Z$65:$AA$65))*(1-实盘持仓初始配置!$Z$7)^(('实盘净值数据(iFinD）'!$A318-'实盘净值数据(iFinD）'!$A$8)/365))</f>
        <v/>
      </c>
      <c r="L318" s="16" t="str">
        <f t="shared" si="33"/>
        <v/>
      </c>
      <c r="M318" s="16" t="str">
        <f>IF(K318="","",K318/MAX(K$5:K318)-1)</f>
        <v/>
      </c>
      <c r="N318" s="13" t="str">
        <f>IF(OR('实盘净值数据(iFinD）'!$A318="",'实盘净值数据(iFinD）'!$B318="",'实盘净值数据(iFinD）'!$Z318="",'实盘净值数据(iFinD）'!$AA318=""),"",分期持仓明细!$AB$24*(SUMPRODUCT(分期持仓明细!$B$24:$Y$24,'实盘净值数据(iFinD）'!$B318:$Y318/'实盘净值数据(iFinD）'!$B$65:$Y$65)+SUMPRODUCT(分期持仓明细!$AC$24:$AD$24,'实盘净值数据(iFinD）'!$Z318:$AA318/'实盘净值数据(iFinD）'!$Z$65:$AA$65))*(1-实盘持仓初始配置!$Z$8)^(('实盘净值数据(iFinD）'!$A318-'实盘净值数据(iFinD）'!$A$5)/365))</f>
        <v/>
      </c>
      <c r="O318" s="16" t="str">
        <f t="shared" si="34"/>
        <v/>
      </c>
      <c r="P318" s="16" t="str">
        <f>IF(N318="","",N318/MAX(N$5:N318)-1)</f>
        <v/>
      </c>
      <c r="Q318" s="13" t="str">
        <f>IF(OR('实盘净值数据(iFinD）'!$A318="",'实盘净值数据(iFinD）'!$B318="",'实盘净值数据(iFinD）'!$Z318="",'实盘净值数据(iFinD）'!$AA318=""),"",分期持仓明细!$AB$25*(SUMPRODUCT(分期持仓明细!$B$25:$Y$25,'实盘净值数据(iFinD）'!$B318:$Y318/'实盘净值数据(iFinD）'!$B$65:$Y$65)+SUMPRODUCT(分期持仓明细!$AC$25:$AD$25,'实盘净值数据(iFinD）'!$Z318:$AA318/'实盘净值数据(iFinD）'!$Z$65:$AA$65))*(1-实盘持仓初始配置!$Z$9)^(('实盘净值数据(iFinD）'!$A318-'实盘净值数据(iFinD）'!$A$8)/365))</f>
        <v/>
      </c>
      <c r="R318" s="16" t="str">
        <f t="shared" si="35"/>
        <v/>
      </c>
      <c r="S318" s="16" t="str">
        <f>IF(Q318="","",Q318/MAX(Q$5:Q318)-1)</f>
        <v/>
      </c>
    </row>
    <row r="319" spans="1:19">
      <c r="A319" s="15" t="str">
        <f>IF('实盘净值数据(iFinD）'!A319="","",'实盘净值数据(iFinD）'!A319)</f>
        <v/>
      </c>
      <c r="B319" s="13" t="str">
        <f>IF(OR('实盘净值数据(iFinD）'!$A319="",'实盘净值数据(iFinD）'!$B319=""),"",分期持仓明细!$AB$17*SUMPRODUCT(分期持仓明细!$B$17:$Y$17,'实盘净值数据(iFinD）'!$B319:$Y319/'实盘净值数据(iFinD）'!$B$20:$Y$20)*(1-实盘持仓初始配置!$Z$4)^(('实盘净值数据(iFinD）'!$A319-'实盘净值数据(iFinD）'!$A$6)/365))</f>
        <v/>
      </c>
      <c r="C319" s="16" t="str">
        <f t="shared" si="30"/>
        <v/>
      </c>
      <c r="D319" s="16" t="str">
        <f>IF(B319="","",B319/MAX(B$5:B319)-1)</f>
        <v/>
      </c>
      <c r="E319" s="13" t="str">
        <f>IF(OR('实盘净值数据(iFinD）'!$A319="",'实盘净值数据(iFinD）'!$B319=""),"",分期持仓明细!$AB$18*SUMPRODUCT(分期持仓明细!$B$18:$Y$18,'实盘净值数据(iFinD）'!$B319:$Y319/'实盘净值数据(iFinD）'!$B$20:$Y$20)*(1-实盘持仓初始配置!$Z$5)^(('实盘净值数据(iFinD）'!$A319-'实盘净值数据(iFinD）'!$A$5)/365))</f>
        <v/>
      </c>
      <c r="F319" s="16" t="str">
        <f t="shared" si="31"/>
        <v/>
      </c>
      <c r="G319" s="16" t="str">
        <f>IF(E319="","",E319/MAX(E$5:E319)-1)</f>
        <v/>
      </c>
      <c r="H319" s="13" t="str">
        <f>IF(OR('实盘净值数据(iFinD）'!$A319="",'实盘净值数据(iFinD）'!$B319=""),"",分期持仓明细!$AB$19*SUMPRODUCT(分期持仓明细!$B$19:$Y$19,'实盘净值数据(iFinD）'!$B319:$Y319/'实盘净值数据(iFinD）'!$B$20:$Y$20)*(1-实盘持仓初始配置!$Z$6)^(('实盘净值数据(iFinD）'!$A319-'实盘净值数据(iFinD）'!$A$7)/365))</f>
        <v/>
      </c>
      <c r="I319" s="16" t="str">
        <f t="shared" si="32"/>
        <v/>
      </c>
      <c r="J319" s="16" t="str">
        <f>IF(H319="","",H319/MAX(H$5:H319)-1)</f>
        <v/>
      </c>
      <c r="K319" s="13" t="str">
        <f>IF(OR('实盘净值数据(iFinD）'!$A319="",'实盘净值数据(iFinD）'!$B319="",'实盘净值数据(iFinD）'!$Z319="",'实盘净值数据(iFinD）'!$AA319=""),"",分期持仓明细!$AB$23*(SUMPRODUCT(分期持仓明细!$B$23:$Y$23,'实盘净值数据(iFinD）'!$B319:$Y319/'实盘净值数据(iFinD）'!$B$65:$Y$65)+SUMPRODUCT(分期持仓明细!$AC$23:$AD$23,'实盘净值数据(iFinD）'!$Z319:$AA319/'实盘净值数据(iFinD）'!$Z$65:$AA$65))*(1-实盘持仓初始配置!$Z$7)^(('实盘净值数据(iFinD）'!$A319-'实盘净值数据(iFinD）'!$A$8)/365))</f>
        <v/>
      </c>
      <c r="L319" s="16" t="str">
        <f t="shared" si="33"/>
        <v/>
      </c>
      <c r="M319" s="16" t="str">
        <f>IF(K319="","",K319/MAX(K$5:K319)-1)</f>
        <v/>
      </c>
      <c r="N319" s="13" t="str">
        <f>IF(OR('实盘净值数据(iFinD）'!$A319="",'实盘净值数据(iFinD）'!$B319="",'实盘净值数据(iFinD）'!$Z319="",'实盘净值数据(iFinD）'!$AA319=""),"",分期持仓明细!$AB$24*(SUMPRODUCT(分期持仓明细!$B$24:$Y$24,'实盘净值数据(iFinD）'!$B319:$Y319/'实盘净值数据(iFinD）'!$B$65:$Y$65)+SUMPRODUCT(分期持仓明细!$AC$24:$AD$24,'实盘净值数据(iFinD）'!$Z319:$AA319/'实盘净值数据(iFinD）'!$Z$65:$AA$65))*(1-实盘持仓初始配置!$Z$8)^(('实盘净值数据(iFinD）'!$A319-'实盘净值数据(iFinD）'!$A$5)/365))</f>
        <v/>
      </c>
      <c r="O319" s="16" t="str">
        <f t="shared" si="34"/>
        <v/>
      </c>
      <c r="P319" s="16" t="str">
        <f>IF(N319="","",N319/MAX(N$5:N319)-1)</f>
        <v/>
      </c>
      <c r="Q319" s="13" t="str">
        <f>IF(OR('实盘净值数据(iFinD）'!$A319="",'实盘净值数据(iFinD）'!$B319="",'实盘净值数据(iFinD）'!$Z319="",'实盘净值数据(iFinD）'!$AA319=""),"",分期持仓明细!$AB$25*(SUMPRODUCT(分期持仓明细!$B$25:$Y$25,'实盘净值数据(iFinD）'!$B319:$Y319/'实盘净值数据(iFinD）'!$B$65:$Y$65)+SUMPRODUCT(分期持仓明细!$AC$25:$AD$25,'实盘净值数据(iFinD）'!$Z319:$AA319/'实盘净值数据(iFinD）'!$Z$65:$AA$65))*(1-实盘持仓初始配置!$Z$9)^(('实盘净值数据(iFinD）'!$A319-'实盘净值数据(iFinD）'!$A$8)/365))</f>
        <v/>
      </c>
      <c r="R319" s="16" t="str">
        <f t="shared" si="35"/>
        <v/>
      </c>
      <c r="S319" s="16" t="str">
        <f>IF(Q319="","",Q319/MAX(Q$5:Q319)-1)</f>
        <v/>
      </c>
    </row>
    <row r="320" spans="1:19">
      <c r="A320" s="15" t="str">
        <f>IF('实盘净值数据(iFinD）'!A320="","",'实盘净值数据(iFinD）'!A320)</f>
        <v/>
      </c>
      <c r="B320" s="13" t="str">
        <f>IF(OR('实盘净值数据(iFinD）'!$A320="",'实盘净值数据(iFinD）'!$B320=""),"",分期持仓明细!$AB$17*SUMPRODUCT(分期持仓明细!$B$17:$Y$17,'实盘净值数据(iFinD）'!$B320:$Y320/'实盘净值数据(iFinD）'!$B$20:$Y$20)*(1-实盘持仓初始配置!$Z$4)^(('实盘净值数据(iFinD）'!$A320-'实盘净值数据(iFinD）'!$A$6)/365))</f>
        <v/>
      </c>
      <c r="C320" s="16" t="str">
        <f t="shared" si="30"/>
        <v/>
      </c>
      <c r="D320" s="16" t="str">
        <f>IF(B320="","",B320/MAX(B$5:B320)-1)</f>
        <v/>
      </c>
      <c r="E320" s="13" t="str">
        <f>IF(OR('实盘净值数据(iFinD）'!$A320="",'实盘净值数据(iFinD）'!$B320=""),"",分期持仓明细!$AB$18*SUMPRODUCT(分期持仓明细!$B$18:$Y$18,'实盘净值数据(iFinD）'!$B320:$Y320/'实盘净值数据(iFinD）'!$B$20:$Y$20)*(1-实盘持仓初始配置!$Z$5)^(('实盘净值数据(iFinD）'!$A320-'实盘净值数据(iFinD）'!$A$5)/365))</f>
        <v/>
      </c>
      <c r="F320" s="16" t="str">
        <f t="shared" si="31"/>
        <v/>
      </c>
      <c r="G320" s="16" t="str">
        <f>IF(E320="","",E320/MAX(E$5:E320)-1)</f>
        <v/>
      </c>
      <c r="H320" s="13" t="str">
        <f>IF(OR('实盘净值数据(iFinD）'!$A320="",'实盘净值数据(iFinD）'!$B320=""),"",分期持仓明细!$AB$19*SUMPRODUCT(分期持仓明细!$B$19:$Y$19,'实盘净值数据(iFinD）'!$B320:$Y320/'实盘净值数据(iFinD）'!$B$20:$Y$20)*(1-实盘持仓初始配置!$Z$6)^(('实盘净值数据(iFinD）'!$A320-'实盘净值数据(iFinD）'!$A$7)/365))</f>
        <v/>
      </c>
      <c r="I320" s="16" t="str">
        <f t="shared" si="32"/>
        <v/>
      </c>
      <c r="J320" s="16" t="str">
        <f>IF(H320="","",H320/MAX(H$5:H320)-1)</f>
        <v/>
      </c>
      <c r="K320" s="13" t="str">
        <f>IF(OR('实盘净值数据(iFinD）'!$A320="",'实盘净值数据(iFinD）'!$B320="",'实盘净值数据(iFinD）'!$Z320="",'实盘净值数据(iFinD）'!$AA320=""),"",分期持仓明细!$AB$23*(SUMPRODUCT(分期持仓明细!$B$23:$Y$23,'实盘净值数据(iFinD）'!$B320:$Y320/'实盘净值数据(iFinD）'!$B$65:$Y$65)+SUMPRODUCT(分期持仓明细!$AC$23:$AD$23,'实盘净值数据(iFinD）'!$Z320:$AA320/'实盘净值数据(iFinD）'!$Z$65:$AA$65))*(1-实盘持仓初始配置!$Z$7)^(('实盘净值数据(iFinD）'!$A320-'实盘净值数据(iFinD）'!$A$8)/365))</f>
        <v/>
      </c>
      <c r="L320" s="16" t="str">
        <f t="shared" si="33"/>
        <v/>
      </c>
      <c r="M320" s="16" t="str">
        <f>IF(K320="","",K320/MAX(K$5:K320)-1)</f>
        <v/>
      </c>
      <c r="N320" s="13" t="str">
        <f>IF(OR('实盘净值数据(iFinD）'!$A320="",'实盘净值数据(iFinD）'!$B320="",'实盘净值数据(iFinD）'!$Z320="",'实盘净值数据(iFinD）'!$AA320=""),"",分期持仓明细!$AB$24*(SUMPRODUCT(分期持仓明细!$B$24:$Y$24,'实盘净值数据(iFinD）'!$B320:$Y320/'实盘净值数据(iFinD）'!$B$65:$Y$65)+SUMPRODUCT(分期持仓明细!$AC$24:$AD$24,'实盘净值数据(iFinD）'!$Z320:$AA320/'实盘净值数据(iFinD）'!$Z$65:$AA$65))*(1-实盘持仓初始配置!$Z$8)^(('实盘净值数据(iFinD）'!$A320-'实盘净值数据(iFinD）'!$A$5)/365))</f>
        <v/>
      </c>
      <c r="O320" s="16" t="str">
        <f t="shared" si="34"/>
        <v/>
      </c>
      <c r="P320" s="16" t="str">
        <f>IF(N320="","",N320/MAX(N$5:N320)-1)</f>
        <v/>
      </c>
      <c r="Q320" s="13" t="str">
        <f>IF(OR('实盘净值数据(iFinD）'!$A320="",'实盘净值数据(iFinD）'!$B320="",'实盘净值数据(iFinD）'!$Z320="",'实盘净值数据(iFinD）'!$AA320=""),"",分期持仓明细!$AB$25*(SUMPRODUCT(分期持仓明细!$B$25:$Y$25,'实盘净值数据(iFinD）'!$B320:$Y320/'实盘净值数据(iFinD）'!$B$65:$Y$65)+SUMPRODUCT(分期持仓明细!$AC$25:$AD$25,'实盘净值数据(iFinD）'!$Z320:$AA320/'实盘净值数据(iFinD）'!$Z$65:$AA$65))*(1-实盘持仓初始配置!$Z$9)^(('实盘净值数据(iFinD）'!$A320-'实盘净值数据(iFinD）'!$A$8)/365))</f>
        <v/>
      </c>
      <c r="R320" s="16" t="str">
        <f t="shared" si="35"/>
        <v/>
      </c>
      <c r="S320" s="16" t="str">
        <f>IF(Q320="","",Q320/MAX(Q$5:Q320)-1)</f>
        <v/>
      </c>
    </row>
    <row r="321" spans="1:19">
      <c r="A321" s="15" t="str">
        <f>IF('实盘净值数据(iFinD）'!A321="","",'实盘净值数据(iFinD）'!A321)</f>
        <v/>
      </c>
      <c r="B321" s="13" t="str">
        <f>IF(OR('实盘净值数据(iFinD）'!$A321="",'实盘净值数据(iFinD）'!$B321=""),"",分期持仓明细!$AB$17*SUMPRODUCT(分期持仓明细!$B$17:$Y$17,'实盘净值数据(iFinD）'!$B321:$Y321/'实盘净值数据(iFinD）'!$B$20:$Y$20)*(1-实盘持仓初始配置!$Z$4)^(('实盘净值数据(iFinD）'!$A321-'实盘净值数据(iFinD）'!$A$6)/365))</f>
        <v/>
      </c>
      <c r="C321" s="16" t="str">
        <f t="shared" si="30"/>
        <v/>
      </c>
      <c r="D321" s="16" t="str">
        <f>IF(B321="","",B321/MAX(B$5:B321)-1)</f>
        <v/>
      </c>
      <c r="E321" s="13" t="str">
        <f>IF(OR('实盘净值数据(iFinD）'!$A321="",'实盘净值数据(iFinD）'!$B321=""),"",分期持仓明细!$AB$18*SUMPRODUCT(分期持仓明细!$B$18:$Y$18,'实盘净值数据(iFinD）'!$B321:$Y321/'实盘净值数据(iFinD）'!$B$20:$Y$20)*(1-实盘持仓初始配置!$Z$5)^(('实盘净值数据(iFinD）'!$A321-'实盘净值数据(iFinD）'!$A$5)/365))</f>
        <v/>
      </c>
      <c r="F321" s="16" t="str">
        <f t="shared" si="31"/>
        <v/>
      </c>
      <c r="G321" s="16" t="str">
        <f>IF(E321="","",E321/MAX(E$5:E321)-1)</f>
        <v/>
      </c>
      <c r="H321" s="13" t="str">
        <f>IF(OR('实盘净值数据(iFinD）'!$A321="",'实盘净值数据(iFinD）'!$B321=""),"",分期持仓明细!$AB$19*SUMPRODUCT(分期持仓明细!$B$19:$Y$19,'实盘净值数据(iFinD）'!$B321:$Y321/'实盘净值数据(iFinD）'!$B$20:$Y$20)*(1-实盘持仓初始配置!$Z$6)^(('实盘净值数据(iFinD）'!$A321-'实盘净值数据(iFinD）'!$A$7)/365))</f>
        <v/>
      </c>
      <c r="I321" s="16" t="str">
        <f t="shared" si="32"/>
        <v/>
      </c>
      <c r="J321" s="16" t="str">
        <f>IF(H321="","",H321/MAX(H$5:H321)-1)</f>
        <v/>
      </c>
      <c r="K321" s="13" t="str">
        <f>IF(OR('实盘净值数据(iFinD）'!$A321="",'实盘净值数据(iFinD）'!$B321="",'实盘净值数据(iFinD）'!$Z321="",'实盘净值数据(iFinD）'!$AA321=""),"",分期持仓明细!$AB$23*(SUMPRODUCT(分期持仓明细!$B$23:$Y$23,'实盘净值数据(iFinD）'!$B321:$Y321/'实盘净值数据(iFinD）'!$B$65:$Y$65)+SUMPRODUCT(分期持仓明细!$AC$23:$AD$23,'实盘净值数据(iFinD）'!$Z321:$AA321/'实盘净值数据(iFinD）'!$Z$65:$AA$65))*(1-实盘持仓初始配置!$Z$7)^(('实盘净值数据(iFinD）'!$A321-'实盘净值数据(iFinD）'!$A$8)/365))</f>
        <v/>
      </c>
      <c r="L321" s="16" t="str">
        <f t="shared" si="33"/>
        <v/>
      </c>
      <c r="M321" s="16" t="str">
        <f>IF(K321="","",K321/MAX(K$5:K321)-1)</f>
        <v/>
      </c>
      <c r="N321" s="13" t="str">
        <f>IF(OR('实盘净值数据(iFinD）'!$A321="",'实盘净值数据(iFinD）'!$B321="",'实盘净值数据(iFinD）'!$Z321="",'实盘净值数据(iFinD）'!$AA321=""),"",分期持仓明细!$AB$24*(SUMPRODUCT(分期持仓明细!$B$24:$Y$24,'实盘净值数据(iFinD）'!$B321:$Y321/'实盘净值数据(iFinD）'!$B$65:$Y$65)+SUMPRODUCT(分期持仓明细!$AC$24:$AD$24,'实盘净值数据(iFinD）'!$Z321:$AA321/'实盘净值数据(iFinD）'!$Z$65:$AA$65))*(1-实盘持仓初始配置!$Z$8)^(('实盘净值数据(iFinD）'!$A321-'实盘净值数据(iFinD）'!$A$5)/365))</f>
        <v/>
      </c>
      <c r="O321" s="16" t="str">
        <f t="shared" si="34"/>
        <v/>
      </c>
      <c r="P321" s="16" t="str">
        <f>IF(N321="","",N321/MAX(N$5:N321)-1)</f>
        <v/>
      </c>
      <c r="Q321" s="13" t="str">
        <f>IF(OR('实盘净值数据(iFinD）'!$A321="",'实盘净值数据(iFinD）'!$B321="",'实盘净值数据(iFinD）'!$Z321="",'实盘净值数据(iFinD）'!$AA321=""),"",分期持仓明细!$AB$25*(SUMPRODUCT(分期持仓明细!$B$25:$Y$25,'实盘净值数据(iFinD）'!$B321:$Y321/'实盘净值数据(iFinD）'!$B$65:$Y$65)+SUMPRODUCT(分期持仓明细!$AC$25:$AD$25,'实盘净值数据(iFinD）'!$Z321:$AA321/'实盘净值数据(iFinD）'!$Z$65:$AA$65))*(1-实盘持仓初始配置!$Z$9)^(('实盘净值数据(iFinD）'!$A321-'实盘净值数据(iFinD）'!$A$8)/365))</f>
        <v/>
      </c>
      <c r="R321" s="16" t="str">
        <f t="shared" si="35"/>
        <v/>
      </c>
      <c r="S321" s="16" t="str">
        <f>IF(Q321="","",Q321/MAX(Q$5:Q321)-1)</f>
        <v/>
      </c>
    </row>
    <row r="322" spans="1:19">
      <c r="A322" s="15" t="str">
        <f>IF('实盘净值数据(iFinD）'!A322="","",'实盘净值数据(iFinD）'!A322)</f>
        <v/>
      </c>
      <c r="B322" s="13" t="str">
        <f>IF(OR('实盘净值数据(iFinD）'!$A322="",'实盘净值数据(iFinD）'!$B322=""),"",分期持仓明细!$AB$17*SUMPRODUCT(分期持仓明细!$B$17:$Y$17,'实盘净值数据(iFinD）'!$B322:$Y322/'实盘净值数据(iFinD）'!$B$20:$Y$20)*(1-实盘持仓初始配置!$Z$4)^(('实盘净值数据(iFinD）'!$A322-'实盘净值数据(iFinD）'!$A$6)/365))</f>
        <v/>
      </c>
      <c r="C322" s="16" t="str">
        <f t="shared" si="30"/>
        <v/>
      </c>
      <c r="D322" s="16" t="str">
        <f>IF(B322="","",B322/MAX(B$5:B322)-1)</f>
        <v/>
      </c>
      <c r="E322" s="13" t="str">
        <f>IF(OR('实盘净值数据(iFinD）'!$A322="",'实盘净值数据(iFinD）'!$B322=""),"",分期持仓明细!$AB$18*SUMPRODUCT(分期持仓明细!$B$18:$Y$18,'实盘净值数据(iFinD）'!$B322:$Y322/'实盘净值数据(iFinD）'!$B$20:$Y$20)*(1-实盘持仓初始配置!$Z$5)^(('实盘净值数据(iFinD）'!$A322-'实盘净值数据(iFinD）'!$A$5)/365))</f>
        <v/>
      </c>
      <c r="F322" s="16" t="str">
        <f t="shared" si="31"/>
        <v/>
      </c>
      <c r="G322" s="16" t="str">
        <f>IF(E322="","",E322/MAX(E$5:E322)-1)</f>
        <v/>
      </c>
      <c r="H322" s="13" t="str">
        <f>IF(OR('实盘净值数据(iFinD）'!$A322="",'实盘净值数据(iFinD）'!$B322=""),"",分期持仓明细!$AB$19*SUMPRODUCT(分期持仓明细!$B$19:$Y$19,'实盘净值数据(iFinD）'!$B322:$Y322/'实盘净值数据(iFinD）'!$B$20:$Y$20)*(1-实盘持仓初始配置!$Z$6)^(('实盘净值数据(iFinD）'!$A322-'实盘净值数据(iFinD）'!$A$7)/365))</f>
        <v/>
      </c>
      <c r="I322" s="16" t="str">
        <f t="shared" si="32"/>
        <v/>
      </c>
      <c r="J322" s="16" t="str">
        <f>IF(H322="","",H322/MAX(H$5:H322)-1)</f>
        <v/>
      </c>
      <c r="K322" s="13" t="str">
        <f>IF(OR('实盘净值数据(iFinD）'!$A322="",'实盘净值数据(iFinD）'!$B322="",'实盘净值数据(iFinD）'!$Z322="",'实盘净值数据(iFinD）'!$AA322=""),"",分期持仓明细!$AB$23*(SUMPRODUCT(分期持仓明细!$B$23:$Y$23,'实盘净值数据(iFinD）'!$B322:$Y322/'实盘净值数据(iFinD）'!$B$65:$Y$65)+SUMPRODUCT(分期持仓明细!$AC$23:$AD$23,'实盘净值数据(iFinD）'!$Z322:$AA322/'实盘净值数据(iFinD）'!$Z$65:$AA$65))*(1-实盘持仓初始配置!$Z$7)^(('实盘净值数据(iFinD）'!$A322-'实盘净值数据(iFinD）'!$A$8)/365))</f>
        <v/>
      </c>
      <c r="L322" s="16" t="str">
        <f t="shared" si="33"/>
        <v/>
      </c>
      <c r="M322" s="16" t="str">
        <f>IF(K322="","",K322/MAX(K$5:K322)-1)</f>
        <v/>
      </c>
      <c r="N322" s="13" t="str">
        <f>IF(OR('实盘净值数据(iFinD）'!$A322="",'实盘净值数据(iFinD）'!$B322="",'实盘净值数据(iFinD）'!$Z322="",'实盘净值数据(iFinD）'!$AA322=""),"",分期持仓明细!$AB$24*(SUMPRODUCT(分期持仓明细!$B$24:$Y$24,'实盘净值数据(iFinD）'!$B322:$Y322/'实盘净值数据(iFinD）'!$B$65:$Y$65)+SUMPRODUCT(分期持仓明细!$AC$24:$AD$24,'实盘净值数据(iFinD）'!$Z322:$AA322/'实盘净值数据(iFinD）'!$Z$65:$AA$65))*(1-实盘持仓初始配置!$Z$8)^(('实盘净值数据(iFinD）'!$A322-'实盘净值数据(iFinD）'!$A$5)/365))</f>
        <v/>
      </c>
      <c r="O322" s="16" t="str">
        <f t="shared" si="34"/>
        <v/>
      </c>
      <c r="P322" s="16" t="str">
        <f>IF(N322="","",N322/MAX(N$5:N322)-1)</f>
        <v/>
      </c>
      <c r="Q322" s="13" t="str">
        <f>IF(OR('实盘净值数据(iFinD）'!$A322="",'实盘净值数据(iFinD）'!$B322="",'实盘净值数据(iFinD）'!$Z322="",'实盘净值数据(iFinD）'!$AA322=""),"",分期持仓明细!$AB$25*(SUMPRODUCT(分期持仓明细!$B$25:$Y$25,'实盘净值数据(iFinD）'!$B322:$Y322/'实盘净值数据(iFinD）'!$B$65:$Y$65)+SUMPRODUCT(分期持仓明细!$AC$25:$AD$25,'实盘净值数据(iFinD）'!$Z322:$AA322/'实盘净值数据(iFinD）'!$Z$65:$AA$65))*(1-实盘持仓初始配置!$Z$9)^(('实盘净值数据(iFinD）'!$A322-'实盘净值数据(iFinD）'!$A$8)/365))</f>
        <v/>
      </c>
      <c r="R322" s="16" t="str">
        <f t="shared" si="35"/>
        <v/>
      </c>
      <c r="S322" s="16" t="str">
        <f>IF(Q322="","",Q322/MAX(Q$5:Q322)-1)</f>
        <v/>
      </c>
    </row>
    <row r="323" spans="1:19">
      <c r="A323" s="15" t="str">
        <f>IF('实盘净值数据(iFinD）'!A323="","",'实盘净值数据(iFinD）'!A323)</f>
        <v/>
      </c>
      <c r="B323" s="13" t="str">
        <f>IF(OR('实盘净值数据(iFinD）'!$A323="",'实盘净值数据(iFinD）'!$B323=""),"",分期持仓明细!$AB$17*SUMPRODUCT(分期持仓明细!$B$17:$Y$17,'实盘净值数据(iFinD）'!$B323:$Y323/'实盘净值数据(iFinD）'!$B$20:$Y$20)*(1-实盘持仓初始配置!$Z$4)^(('实盘净值数据(iFinD）'!$A323-'实盘净值数据(iFinD）'!$A$6)/365))</f>
        <v/>
      </c>
      <c r="C323" s="16" t="str">
        <f t="shared" si="30"/>
        <v/>
      </c>
      <c r="D323" s="16" t="str">
        <f>IF(B323="","",B323/MAX(B$5:B323)-1)</f>
        <v/>
      </c>
      <c r="E323" s="13" t="str">
        <f>IF(OR('实盘净值数据(iFinD）'!$A323="",'实盘净值数据(iFinD）'!$B323=""),"",分期持仓明细!$AB$18*SUMPRODUCT(分期持仓明细!$B$18:$Y$18,'实盘净值数据(iFinD）'!$B323:$Y323/'实盘净值数据(iFinD）'!$B$20:$Y$20)*(1-实盘持仓初始配置!$Z$5)^(('实盘净值数据(iFinD）'!$A323-'实盘净值数据(iFinD）'!$A$5)/365))</f>
        <v/>
      </c>
      <c r="F323" s="16" t="str">
        <f t="shared" si="31"/>
        <v/>
      </c>
      <c r="G323" s="16" t="str">
        <f>IF(E323="","",E323/MAX(E$5:E323)-1)</f>
        <v/>
      </c>
      <c r="H323" s="13" t="str">
        <f>IF(OR('实盘净值数据(iFinD）'!$A323="",'实盘净值数据(iFinD）'!$B323=""),"",分期持仓明细!$AB$19*SUMPRODUCT(分期持仓明细!$B$19:$Y$19,'实盘净值数据(iFinD）'!$B323:$Y323/'实盘净值数据(iFinD）'!$B$20:$Y$20)*(1-实盘持仓初始配置!$Z$6)^(('实盘净值数据(iFinD）'!$A323-'实盘净值数据(iFinD）'!$A$7)/365))</f>
        <v/>
      </c>
      <c r="I323" s="16" t="str">
        <f t="shared" si="32"/>
        <v/>
      </c>
      <c r="J323" s="16" t="str">
        <f>IF(H323="","",H323/MAX(H$5:H323)-1)</f>
        <v/>
      </c>
      <c r="K323" s="13" t="str">
        <f>IF(OR('实盘净值数据(iFinD）'!$A323="",'实盘净值数据(iFinD）'!$B323="",'实盘净值数据(iFinD）'!$Z323="",'实盘净值数据(iFinD）'!$AA323=""),"",分期持仓明细!$AB$23*(SUMPRODUCT(分期持仓明细!$B$23:$Y$23,'实盘净值数据(iFinD）'!$B323:$Y323/'实盘净值数据(iFinD）'!$B$65:$Y$65)+SUMPRODUCT(分期持仓明细!$AC$23:$AD$23,'实盘净值数据(iFinD）'!$Z323:$AA323/'实盘净值数据(iFinD）'!$Z$65:$AA$65))*(1-实盘持仓初始配置!$Z$7)^(('实盘净值数据(iFinD）'!$A323-'实盘净值数据(iFinD）'!$A$8)/365))</f>
        <v/>
      </c>
      <c r="L323" s="16" t="str">
        <f t="shared" si="33"/>
        <v/>
      </c>
      <c r="M323" s="16" t="str">
        <f>IF(K323="","",K323/MAX(K$5:K323)-1)</f>
        <v/>
      </c>
      <c r="N323" s="13" t="str">
        <f>IF(OR('实盘净值数据(iFinD）'!$A323="",'实盘净值数据(iFinD）'!$B323="",'实盘净值数据(iFinD）'!$Z323="",'实盘净值数据(iFinD）'!$AA323=""),"",分期持仓明细!$AB$24*(SUMPRODUCT(分期持仓明细!$B$24:$Y$24,'实盘净值数据(iFinD）'!$B323:$Y323/'实盘净值数据(iFinD）'!$B$65:$Y$65)+SUMPRODUCT(分期持仓明细!$AC$24:$AD$24,'实盘净值数据(iFinD）'!$Z323:$AA323/'实盘净值数据(iFinD）'!$Z$65:$AA$65))*(1-实盘持仓初始配置!$Z$8)^(('实盘净值数据(iFinD）'!$A323-'实盘净值数据(iFinD）'!$A$5)/365))</f>
        <v/>
      </c>
      <c r="O323" s="16" t="str">
        <f t="shared" si="34"/>
        <v/>
      </c>
      <c r="P323" s="16" t="str">
        <f>IF(N323="","",N323/MAX(N$5:N323)-1)</f>
        <v/>
      </c>
      <c r="Q323" s="13" t="str">
        <f>IF(OR('实盘净值数据(iFinD）'!$A323="",'实盘净值数据(iFinD）'!$B323="",'实盘净值数据(iFinD）'!$Z323="",'实盘净值数据(iFinD）'!$AA323=""),"",分期持仓明细!$AB$25*(SUMPRODUCT(分期持仓明细!$B$25:$Y$25,'实盘净值数据(iFinD）'!$B323:$Y323/'实盘净值数据(iFinD）'!$B$65:$Y$65)+SUMPRODUCT(分期持仓明细!$AC$25:$AD$25,'实盘净值数据(iFinD）'!$Z323:$AA323/'实盘净值数据(iFinD）'!$Z$65:$AA$65))*(1-实盘持仓初始配置!$Z$9)^(('实盘净值数据(iFinD）'!$A323-'实盘净值数据(iFinD）'!$A$8)/365))</f>
        <v/>
      </c>
      <c r="R323" s="16" t="str">
        <f t="shared" si="35"/>
        <v/>
      </c>
      <c r="S323" s="16" t="str">
        <f>IF(Q323="","",Q323/MAX(Q$5:Q323)-1)</f>
        <v/>
      </c>
    </row>
    <row r="324" spans="1:19">
      <c r="A324" s="15" t="str">
        <f>IF('实盘净值数据(iFinD）'!A324="","",'实盘净值数据(iFinD）'!A324)</f>
        <v/>
      </c>
      <c r="B324" s="13" t="str">
        <f>IF(OR('实盘净值数据(iFinD）'!$A324="",'实盘净值数据(iFinD）'!$B324=""),"",分期持仓明细!$AB$17*SUMPRODUCT(分期持仓明细!$B$17:$Y$17,'实盘净值数据(iFinD）'!$B324:$Y324/'实盘净值数据(iFinD）'!$B$20:$Y$20)*(1-实盘持仓初始配置!$Z$4)^(('实盘净值数据(iFinD）'!$A324-'实盘净值数据(iFinD）'!$A$6)/365))</f>
        <v/>
      </c>
      <c r="C324" s="16" t="str">
        <f t="shared" si="30"/>
        <v/>
      </c>
      <c r="D324" s="16" t="str">
        <f>IF(B324="","",B324/MAX(B$5:B324)-1)</f>
        <v/>
      </c>
      <c r="E324" s="13" t="str">
        <f>IF(OR('实盘净值数据(iFinD）'!$A324="",'实盘净值数据(iFinD）'!$B324=""),"",分期持仓明细!$AB$18*SUMPRODUCT(分期持仓明细!$B$18:$Y$18,'实盘净值数据(iFinD）'!$B324:$Y324/'实盘净值数据(iFinD）'!$B$20:$Y$20)*(1-实盘持仓初始配置!$Z$5)^(('实盘净值数据(iFinD）'!$A324-'实盘净值数据(iFinD）'!$A$5)/365))</f>
        <v/>
      </c>
      <c r="F324" s="16" t="str">
        <f t="shared" si="31"/>
        <v/>
      </c>
      <c r="G324" s="16" t="str">
        <f>IF(E324="","",E324/MAX(E$5:E324)-1)</f>
        <v/>
      </c>
      <c r="H324" s="13" t="str">
        <f>IF(OR('实盘净值数据(iFinD）'!$A324="",'实盘净值数据(iFinD）'!$B324=""),"",分期持仓明细!$AB$19*SUMPRODUCT(分期持仓明细!$B$19:$Y$19,'实盘净值数据(iFinD）'!$B324:$Y324/'实盘净值数据(iFinD）'!$B$20:$Y$20)*(1-实盘持仓初始配置!$Z$6)^(('实盘净值数据(iFinD）'!$A324-'实盘净值数据(iFinD）'!$A$7)/365))</f>
        <v/>
      </c>
      <c r="I324" s="16" t="str">
        <f t="shared" si="32"/>
        <v/>
      </c>
      <c r="J324" s="16" t="str">
        <f>IF(H324="","",H324/MAX(H$5:H324)-1)</f>
        <v/>
      </c>
      <c r="K324" s="13" t="str">
        <f>IF(OR('实盘净值数据(iFinD）'!$A324="",'实盘净值数据(iFinD）'!$B324="",'实盘净值数据(iFinD）'!$Z324="",'实盘净值数据(iFinD）'!$AA324=""),"",分期持仓明细!$AB$23*(SUMPRODUCT(分期持仓明细!$B$23:$Y$23,'实盘净值数据(iFinD）'!$B324:$Y324/'实盘净值数据(iFinD）'!$B$65:$Y$65)+SUMPRODUCT(分期持仓明细!$AC$23:$AD$23,'实盘净值数据(iFinD）'!$Z324:$AA324/'实盘净值数据(iFinD）'!$Z$65:$AA$65))*(1-实盘持仓初始配置!$Z$7)^(('实盘净值数据(iFinD）'!$A324-'实盘净值数据(iFinD）'!$A$8)/365))</f>
        <v/>
      </c>
      <c r="L324" s="16" t="str">
        <f t="shared" si="33"/>
        <v/>
      </c>
      <c r="M324" s="16" t="str">
        <f>IF(K324="","",K324/MAX(K$5:K324)-1)</f>
        <v/>
      </c>
      <c r="N324" s="13" t="str">
        <f>IF(OR('实盘净值数据(iFinD）'!$A324="",'实盘净值数据(iFinD）'!$B324="",'实盘净值数据(iFinD）'!$Z324="",'实盘净值数据(iFinD）'!$AA324=""),"",分期持仓明细!$AB$24*(SUMPRODUCT(分期持仓明细!$B$24:$Y$24,'实盘净值数据(iFinD）'!$B324:$Y324/'实盘净值数据(iFinD）'!$B$65:$Y$65)+SUMPRODUCT(分期持仓明细!$AC$24:$AD$24,'实盘净值数据(iFinD）'!$Z324:$AA324/'实盘净值数据(iFinD）'!$Z$65:$AA$65))*(1-实盘持仓初始配置!$Z$8)^(('实盘净值数据(iFinD）'!$A324-'实盘净值数据(iFinD）'!$A$5)/365))</f>
        <v/>
      </c>
      <c r="O324" s="16" t="str">
        <f t="shared" si="34"/>
        <v/>
      </c>
      <c r="P324" s="16" t="str">
        <f>IF(N324="","",N324/MAX(N$5:N324)-1)</f>
        <v/>
      </c>
      <c r="Q324" s="13" t="str">
        <f>IF(OR('实盘净值数据(iFinD）'!$A324="",'实盘净值数据(iFinD）'!$B324="",'实盘净值数据(iFinD）'!$Z324="",'实盘净值数据(iFinD）'!$AA324=""),"",分期持仓明细!$AB$25*(SUMPRODUCT(分期持仓明细!$B$25:$Y$25,'实盘净值数据(iFinD）'!$B324:$Y324/'实盘净值数据(iFinD）'!$B$65:$Y$65)+SUMPRODUCT(分期持仓明细!$AC$25:$AD$25,'实盘净值数据(iFinD）'!$Z324:$AA324/'实盘净值数据(iFinD）'!$Z$65:$AA$65))*(1-实盘持仓初始配置!$Z$9)^(('实盘净值数据(iFinD）'!$A324-'实盘净值数据(iFinD）'!$A$8)/365))</f>
        <v/>
      </c>
      <c r="R324" s="16" t="str">
        <f t="shared" si="35"/>
        <v/>
      </c>
      <c r="S324" s="16" t="str">
        <f>IF(Q324="","",Q324/MAX(Q$5:Q324)-1)</f>
        <v/>
      </c>
    </row>
    <row r="325" spans="1:19">
      <c r="A325" s="15" t="str">
        <f>IF('实盘净值数据(iFinD）'!A325="","",'实盘净值数据(iFinD）'!A325)</f>
        <v/>
      </c>
      <c r="B325" s="13" t="str">
        <f>IF(OR('实盘净值数据(iFinD）'!$A325="",'实盘净值数据(iFinD）'!$B325=""),"",分期持仓明细!$AB$17*SUMPRODUCT(分期持仓明细!$B$17:$Y$17,'实盘净值数据(iFinD）'!$B325:$Y325/'实盘净值数据(iFinD）'!$B$20:$Y$20)*(1-实盘持仓初始配置!$Z$4)^(('实盘净值数据(iFinD）'!$A325-'实盘净值数据(iFinD）'!$A$6)/365))</f>
        <v/>
      </c>
      <c r="C325" s="16" t="str">
        <f t="shared" si="30"/>
        <v/>
      </c>
      <c r="D325" s="16" t="str">
        <f>IF(B325="","",B325/MAX(B$5:B325)-1)</f>
        <v/>
      </c>
      <c r="E325" s="13" t="str">
        <f>IF(OR('实盘净值数据(iFinD）'!$A325="",'实盘净值数据(iFinD）'!$B325=""),"",分期持仓明细!$AB$18*SUMPRODUCT(分期持仓明细!$B$18:$Y$18,'实盘净值数据(iFinD）'!$B325:$Y325/'实盘净值数据(iFinD）'!$B$20:$Y$20)*(1-实盘持仓初始配置!$Z$5)^(('实盘净值数据(iFinD）'!$A325-'实盘净值数据(iFinD）'!$A$5)/365))</f>
        <v/>
      </c>
      <c r="F325" s="16" t="str">
        <f t="shared" si="31"/>
        <v/>
      </c>
      <c r="G325" s="16" t="str">
        <f>IF(E325="","",E325/MAX(E$5:E325)-1)</f>
        <v/>
      </c>
      <c r="H325" s="13" t="str">
        <f>IF(OR('实盘净值数据(iFinD）'!$A325="",'实盘净值数据(iFinD）'!$B325=""),"",分期持仓明细!$AB$19*SUMPRODUCT(分期持仓明细!$B$19:$Y$19,'实盘净值数据(iFinD）'!$B325:$Y325/'实盘净值数据(iFinD）'!$B$20:$Y$20)*(1-实盘持仓初始配置!$Z$6)^(('实盘净值数据(iFinD）'!$A325-'实盘净值数据(iFinD）'!$A$7)/365))</f>
        <v/>
      </c>
      <c r="I325" s="16" t="str">
        <f t="shared" si="32"/>
        <v/>
      </c>
      <c r="J325" s="16" t="str">
        <f>IF(H325="","",H325/MAX(H$5:H325)-1)</f>
        <v/>
      </c>
      <c r="K325" s="13" t="str">
        <f>IF(OR('实盘净值数据(iFinD）'!$A325="",'实盘净值数据(iFinD）'!$B325="",'实盘净值数据(iFinD）'!$Z325="",'实盘净值数据(iFinD）'!$AA325=""),"",分期持仓明细!$AB$23*(SUMPRODUCT(分期持仓明细!$B$23:$Y$23,'实盘净值数据(iFinD）'!$B325:$Y325/'实盘净值数据(iFinD）'!$B$65:$Y$65)+SUMPRODUCT(分期持仓明细!$AC$23:$AD$23,'实盘净值数据(iFinD）'!$Z325:$AA325/'实盘净值数据(iFinD）'!$Z$65:$AA$65))*(1-实盘持仓初始配置!$Z$7)^(('实盘净值数据(iFinD）'!$A325-'实盘净值数据(iFinD）'!$A$8)/365))</f>
        <v/>
      </c>
      <c r="L325" s="16" t="str">
        <f t="shared" si="33"/>
        <v/>
      </c>
      <c r="M325" s="16" t="str">
        <f>IF(K325="","",K325/MAX(K$5:K325)-1)</f>
        <v/>
      </c>
      <c r="N325" s="13" t="str">
        <f>IF(OR('实盘净值数据(iFinD）'!$A325="",'实盘净值数据(iFinD）'!$B325="",'实盘净值数据(iFinD）'!$Z325="",'实盘净值数据(iFinD）'!$AA325=""),"",分期持仓明细!$AB$24*(SUMPRODUCT(分期持仓明细!$B$24:$Y$24,'实盘净值数据(iFinD）'!$B325:$Y325/'实盘净值数据(iFinD）'!$B$65:$Y$65)+SUMPRODUCT(分期持仓明细!$AC$24:$AD$24,'实盘净值数据(iFinD）'!$Z325:$AA325/'实盘净值数据(iFinD）'!$Z$65:$AA$65))*(1-实盘持仓初始配置!$Z$8)^(('实盘净值数据(iFinD）'!$A325-'实盘净值数据(iFinD）'!$A$5)/365))</f>
        <v/>
      </c>
      <c r="O325" s="16" t="str">
        <f t="shared" si="34"/>
        <v/>
      </c>
      <c r="P325" s="16" t="str">
        <f>IF(N325="","",N325/MAX(N$5:N325)-1)</f>
        <v/>
      </c>
      <c r="Q325" s="13" t="str">
        <f>IF(OR('实盘净值数据(iFinD）'!$A325="",'实盘净值数据(iFinD）'!$B325="",'实盘净值数据(iFinD）'!$Z325="",'实盘净值数据(iFinD）'!$AA325=""),"",分期持仓明细!$AB$25*(SUMPRODUCT(分期持仓明细!$B$25:$Y$25,'实盘净值数据(iFinD）'!$B325:$Y325/'实盘净值数据(iFinD）'!$B$65:$Y$65)+SUMPRODUCT(分期持仓明细!$AC$25:$AD$25,'实盘净值数据(iFinD）'!$Z325:$AA325/'实盘净值数据(iFinD）'!$Z$65:$AA$65))*(1-实盘持仓初始配置!$Z$9)^(('实盘净值数据(iFinD）'!$A325-'实盘净值数据(iFinD）'!$A$8)/365))</f>
        <v/>
      </c>
      <c r="R325" s="16" t="str">
        <f t="shared" si="35"/>
        <v/>
      </c>
      <c r="S325" s="16" t="str">
        <f>IF(Q325="","",Q325/MAX(Q$5:Q325)-1)</f>
        <v/>
      </c>
    </row>
    <row r="326" spans="1:19">
      <c r="A326" s="15" t="str">
        <f>IF('实盘净值数据(iFinD）'!A326="","",'实盘净值数据(iFinD）'!A326)</f>
        <v/>
      </c>
      <c r="B326" s="13" t="str">
        <f>IF(OR('实盘净值数据(iFinD）'!$A326="",'实盘净值数据(iFinD）'!$B326=""),"",分期持仓明细!$AB$17*SUMPRODUCT(分期持仓明细!$B$17:$Y$17,'实盘净值数据(iFinD）'!$B326:$Y326/'实盘净值数据(iFinD）'!$B$20:$Y$20)*(1-实盘持仓初始配置!$Z$4)^(('实盘净值数据(iFinD）'!$A326-'实盘净值数据(iFinD）'!$A$6)/365))</f>
        <v/>
      </c>
      <c r="C326" s="16" t="str">
        <f t="shared" si="30"/>
        <v/>
      </c>
      <c r="D326" s="16" t="str">
        <f>IF(B326="","",B326/MAX(B$5:B326)-1)</f>
        <v/>
      </c>
      <c r="E326" s="13" t="str">
        <f>IF(OR('实盘净值数据(iFinD）'!$A326="",'实盘净值数据(iFinD）'!$B326=""),"",分期持仓明细!$AB$18*SUMPRODUCT(分期持仓明细!$B$18:$Y$18,'实盘净值数据(iFinD）'!$B326:$Y326/'实盘净值数据(iFinD）'!$B$20:$Y$20)*(1-实盘持仓初始配置!$Z$5)^(('实盘净值数据(iFinD）'!$A326-'实盘净值数据(iFinD）'!$A$5)/365))</f>
        <v/>
      </c>
      <c r="F326" s="16" t="str">
        <f t="shared" si="31"/>
        <v/>
      </c>
      <c r="G326" s="16" t="str">
        <f>IF(E326="","",E326/MAX(E$5:E326)-1)</f>
        <v/>
      </c>
      <c r="H326" s="13" t="str">
        <f>IF(OR('实盘净值数据(iFinD）'!$A326="",'实盘净值数据(iFinD）'!$B326=""),"",分期持仓明细!$AB$19*SUMPRODUCT(分期持仓明细!$B$19:$Y$19,'实盘净值数据(iFinD）'!$B326:$Y326/'实盘净值数据(iFinD）'!$B$20:$Y$20)*(1-实盘持仓初始配置!$Z$6)^(('实盘净值数据(iFinD）'!$A326-'实盘净值数据(iFinD）'!$A$7)/365))</f>
        <v/>
      </c>
      <c r="I326" s="16" t="str">
        <f t="shared" si="32"/>
        <v/>
      </c>
      <c r="J326" s="16" t="str">
        <f>IF(H326="","",H326/MAX(H$5:H326)-1)</f>
        <v/>
      </c>
      <c r="K326" s="13" t="str">
        <f>IF(OR('实盘净值数据(iFinD）'!$A326="",'实盘净值数据(iFinD）'!$B326="",'实盘净值数据(iFinD）'!$Z326="",'实盘净值数据(iFinD）'!$AA326=""),"",分期持仓明细!$AB$23*(SUMPRODUCT(分期持仓明细!$B$23:$Y$23,'实盘净值数据(iFinD）'!$B326:$Y326/'实盘净值数据(iFinD）'!$B$65:$Y$65)+SUMPRODUCT(分期持仓明细!$AC$23:$AD$23,'实盘净值数据(iFinD）'!$Z326:$AA326/'实盘净值数据(iFinD）'!$Z$65:$AA$65))*(1-实盘持仓初始配置!$Z$7)^(('实盘净值数据(iFinD）'!$A326-'实盘净值数据(iFinD）'!$A$8)/365))</f>
        <v/>
      </c>
      <c r="L326" s="16" t="str">
        <f t="shared" si="33"/>
        <v/>
      </c>
      <c r="M326" s="16" t="str">
        <f>IF(K326="","",K326/MAX(K$5:K326)-1)</f>
        <v/>
      </c>
      <c r="N326" s="13" t="str">
        <f>IF(OR('实盘净值数据(iFinD）'!$A326="",'实盘净值数据(iFinD）'!$B326="",'实盘净值数据(iFinD）'!$Z326="",'实盘净值数据(iFinD）'!$AA326=""),"",分期持仓明细!$AB$24*(SUMPRODUCT(分期持仓明细!$B$24:$Y$24,'实盘净值数据(iFinD）'!$B326:$Y326/'实盘净值数据(iFinD）'!$B$65:$Y$65)+SUMPRODUCT(分期持仓明细!$AC$24:$AD$24,'实盘净值数据(iFinD）'!$Z326:$AA326/'实盘净值数据(iFinD）'!$Z$65:$AA$65))*(1-实盘持仓初始配置!$Z$8)^(('实盘净值数据(iFinD）'!$A326-'实盘净值数据(iFinD）'!$A$5)/365))</f>
        <v/>
      </c>
      <c r="O326" s="16" t="str">
        <f t="shared" si="34"/>
        <v/>
      </c>
      <c r="P326" s="16" t="str">
        <f>IF(N326="","",N326/MAX(N$5:N326)-1)</f>
        <v/>
      </c>
      <c r="Q326" s="13" t="str">
        <f>IF(OR('实盘净值数据(iFinD）'!$A326="",'实盘净值数据(iFinD）'!$B326="",'实盘净值数据(iFinD）'!$Z326="",'实盘净值数据(iFinD）'!$AA326=""),"",分期持仓明细!$AB$25*(SUMPRODUCT(分期持仓明细!$B$25:$Y$25,'实盘净值数据(iFinD）'!$B326:$Y326/'实盘净值数据(iFinD）'!$B$65:$Y$65)+SUMPRODUCT(分期持仓明细!$AC$25:$AD$25,'实盘净值数据(iFinD）'!$Z326:$AA326/'实盘净值数据(iFinD）'!$Z$65:$AA$65))*(1-实盘持仓初始配置!$Z$9)^(('实盘净值数据(iFinD）'!$A326-'实盘净值数据(iFinD）'!$A$8)/365))</f>
        <v/>
      </c>
      <c r="R326" s="16" t="str">
        <f t="shared" si="35"/>
        <v/>
      </c>
      <c r="S326" s="16" t="str">
        <f>IF(Q326="","",Q326/MAX(Q$5:Q326)-1)</f>
        <v/>
      </c>
    </row>
    <row r="327" spans="1:19">
      <c r="A327" s="15" t="str">
        <f>IF('实盘净值数据(iFinD）'!A327="","",'实盘净值数据(iFinD）'!A327)</f>
        <v/>
      </c>
      <c r="B327" s="13" t="str">
        <f>IF(OR('实盘净值数据(iFinD）'!$A327="",'实盘净值数据(iFinD）'!$B327=""),"",分期持仓明细!$AB$17*SUMPRODUCT(分期持仓明细!$B$17:$Y$17,'实盘净值数据(iFinD）'!$B327:$Y327/'实盘净值数据(iFinD）'!$B$20:$Y$20)*(1-实盘持仓初始配置!$Z$4)^(('实盘净值数据(iFinD）'!$A327-'实盘净值数据(iFinD）'!$A$6)/365))</f>
        <v/>
      </c>
      <c r="C327" s="16" t="str">
        <f t="shared" si="30"/>
        <v/>
      </c>
      <c r="D327" s="16" t="str">
        <f>IF(B327="","",B327/MAX(B$5:B327)-1)</f>
        <v/>
      </c>
      <c r="E327" s="13" t="str">
        <f>IF(OR('实盘净值数据(iFinD）'!$A327="",'实盘净值数据(iFinD）'!$B327=""),"",分期持仓明细!$AB$18*SUMPRODUCT(分期持仓明细!$B$18:$Y$18,'实盘净值数据(iFinD）'!$B327:$Y327/'实盘净值数据(iFinD）'!$B$20:$Y$20)*(1-实盘持仓初始配置!$Z$5)^(('实盘净值数据(iFinD）'!$A327-'实盘净值数据(iFinD）'!$A$5)/365))</f>
        <v/>
      </c>
      <c r="F327" s="16" t="str">
        <f t="shared" si="31"/>
        <v/>
      </c>
      <c r="G327" s="16" t="str">
        <f>IF(E327="","",E327/MAX(E$5:E327)-1)</f>
        <v/>
      </c>
      <c r="H327" s="13" t="str">
        <f>IF(OR('实盘净值数据(iFinD）'!$A327="",'实盘净值数据(iFinD）'!$B327=""),"",分期持仓明细!$AB$19*SUMPRODUCT(分期持仓明细!$B$19:$Y$19,'实盘净值数据(iFinD）'!$B327:$Y327/'实盘净值数据(iFinD）'!$B$20:$Y$20)*(1-实盘持仓初始配置!$Z$6)^(('实盘净值数据(iFinD）'!$A327-'实盘净值数据(iFinD）'!$A$7)/365))</f>
        <v/>
      </c>
      <c r="I327" s="16" t="str">
        <f t="shared" si="32"/>
        <v/>
      </c>
      <c r="J327" s="16" t="str">
        <f>IF(H327="","",H327/MAX(H$5:H327)-1)</f>
        <v/>
      </c>
      <c r="K327" s="13" t="str">
        <f>IF(OR('实盘净值数据(iFinD）'!$A327="",'实盘净值数据(iFinD）'!$B327="",'实盘净值数据(iFinD）'!$Z327="",'实盘净值数据(iFinD）'!$AA327=""),"",分期持仓明细!$AB$23*(SUMPRODUCT(分期持仓明细!$B$23:$Y$23,'实盘净值数据(iFinD）'!$B327:$Y327/'实盘净值数据(iFinD）'!$B$65:$Y$65)+SUMPRODUCT(分期持仓明细!$AC$23:$AD$23,'实盘净值数据(iFinD）'!$Z327:$AA327/'实盘净值数据(iFinD）'!$Z$65:$AA$65))*(1-实盘持仓初始配置!$Z$7)^(('实盘净值数据(iFinD）'!$A327-'实盘净值数据(iFinD）'!$A$8)/365))</f>
        <v/>
      </c>
      <c r="L327" s="16" t="str">
        <f t="shared" si="33"/>
        <v/>
      </c>
      <c r="M327" s="16" t="str">
        <f>IF(K327="","",K327/MAX(K$5:K327)-1)</f>
        <v/>
      </c>
      <c r="N327" s="13" t="str">
        <f>IF(OR('实盘净值数据(iFinD）'!$A327="",'实盘净值数据(iFinD）'!$B327="",'实盘净值数据(iFinD）'!$Z327="",'实盘净值数据(iFinD）'!$AA327=""),"",分期持仓明细!$AB$24*(SUMPRODUCT(分期持仓明细!$B$24:$Y$24,'实盘净值数据(iFinD）'!$B327:$Y327/'实盘净值数据(iFinD）'!$B$65:$Y$65)+SUMPRODUCT(分期持仓明细!$AC$24:$AD$24,'实盘净值数据(iFinD）'!$Z327:$AA327/'实盘净值数据(iFinD）'!$Z$65:$AA$65))*(1-实盘持仓初始配置!$Z$8)^(('实盘净值数据(iFinD）'!$A327-'实盘净值数据(iFinD）'!$A$5)/365))</f>
        <v/>
      </c>
      <c r="O327" s="16" t="str">
        <f t="shared" si="34"/>
        <v/>
      </c>
      <c r="P327" s="16" t="str">
        <f>IF(N327="","",N327/MAX(N$5:N327)-1)</f>
        <v/>
      </c>
      <c r="Q327" s="13" t="str">
        <f>IF(OR('实盘净值数据(iFinD）'!$A327="",'实盘净值数据(iFinD）'!$B327="",'实盘净值数据(iFinD）'!$Z327="",'实盘净值数据(iFinD）'!$AA327=""),"",分期持仓明细!$AB$25*(SUMPRODUCT(分期持仓明细!$B$25:$Y$25,'实盘净值数据(iFinD）'!$B327:$Y327/'实盘净值数据(iFinD）'!$B$65:$Y$65)+SUMPRODUCT(分期持仓明细!$AC$25:$AD$25,'实盘净值数据(iFinD）'!$Z327:$AA327/'实盘净值数据(iFinD）'!$Z$65:$AA$65))*(1-实盘持仓初始配置!$Z$9)^(('实盘净值数据(iFinD）'!$A327-'实盘净值数据(iFinD）'!$A$8)/365))</f>
        <v/>
      </c>
      <c r="R327" s="16" t="str">
        <f t="shared" si="35"/>
        <v/>
      </c>
      <c r="S327" s="16" t="str">
        <f>IF(Q327="","",Q327/MAX(Q$5:Q327)-1)</f>
        <v/>
      </c>
    </row>
    <row r="328" spans="1:19">
      <c r="A328" s="15" t="str">
        <f>IF('实盘净值数据(iFinD）'!A328="","",'实盘净值数据(iFinD）'!A328)</f>
        <v/>
      </c>
      <c r="B328" s="13" t="str">
        <f>IF(OR('实盘净值数据(iFinD）'!$A328="",'实盘净值数据(iFinD）'!$B328=""),"",分期持仓明细!$AB$17*SUMPRODUCT(分期持仓明细!$B$17:$Y$17,'实盘净值数据(iFinD）'!$B328:$Y328/'实盘净值数据(iFinD）'!$B$20:$Y$20)*(1-实盘持仓初始配置!$Z$4)^(('实盘净值数据(iFinD）'!$A328-'实盘净值数据(iFinD）'!$A$6)/365))</f>
        <v/>
      </c>
      <c r="C328" s="16" t="str">
        <f t="shared" si="30"/>
        <v/>
      </c>
      <c r="D328" s="16" t="str">
        <f>IF(B328="","",B328/MAX(B$5:B328)-1)</f>
        <v/>
      </c>
      <c r="E328" s="13" t="str">
        <f>IF(OR('实盘净值数据(iFinD）'!$A328="",'实盘净值数据(iFinD）'!$B328=""),"",分期持仓明细!$AB$18*SUMPRODUCT(分期持仓明细!$B$18:$Y$18,'实盘净值数据(iFinD）'!$B328:$Y328/'实盘净值数据(iFinD）'!$B$20:$Y$20)*(1-实盘持仓初始配置!$Z$5)^(('实盘净值数据(iFinD）'!$A328-'实盘净值数据(iFinD）'!$A$5)/365))</f>
        <v/>
      </c>
      <c r="F328" s="16" t="str">
        <f t="shared" si="31"/>
        <v/>
      </c>
      <c r="G328" s="16" t="str">
        <f>IF(E328="","",E328/MAX(E$5:E328)-1)</f>
        <v/>
      </c>
      <c r="H328" s="13" t="str">
        <f>IF(OR('实盘净值数据(iFinD）'!$A328="",'实盘净值数据(iFinD）'!$B328=""),"",分期持仓明细!$AB$19*SUMPRODUCT(分期持仓明细!$B$19:$Y$19,'实盘净值数据(iFinD）'!$B328:$Y328/'实盘净值数据(iFinD）'!$B$20:$Y$20)*(1-实盘持仓初始配置!$Z$6)^(('实盘净值数据(iFinD）'!$A328-'实盘净值数据(iFinD）'!$A$7)/365))</f>
        <v/>
      </c>
      <c r="I328" s="16" t="str">
        <f t="shared" si="32"/>
        <v/>
      </c>
      <c r="J328" s="16" t="str">
        <f>IF(H328="","",H328/MAX(H$5:H328)-1)</f>
        <v/>
      </c>
      <c r="K328" s="13" t="str">
        <f>IF(OR('实盘净值数据(iFinD）'!$A328="",'实盘净值数据(iFinD）'!$B328="",'实盘净值数据(iFinD）'!$Z328="",'实盘净值数据(iFinD）'!$AA328=""),"",分期持仓明细!$AB$23*(SUMPRODUCT(分期持仓明细!$B$23:$Y$23,'实盘净值数据(iFinD）'!$B328:$Y328/'实盘净值数据(iFinD）'!$B$65:$Y$65)+SUMPRODUCT(分期持仓明细!$AC$23:$AD$23,'实盘净值数据(iFinD）'!$Z328:$AA328/'实盘净值数据(iFinD）'!$Z$65:$AA$65))*(1-实盘持仓初始配置!$Z$7)^(('实盘净值数据(iFinD）'!$A328-'实盘净值数据(iFinD）'!$A$8)/365))</f>
        <v/>
      </c>
      <c r="L328" s="16" t="str">
        <f t="shared" si="33"/>
        <v/>
      </c>
      <c r="M328" s="16" t="str">
        <f>IF(K328="","",K328/MAX(K$5:K328)-1)</f>
        <v/>
      </c>
      <c r="N328" s="13" t="str">
        <f>IF(OR('实盘净值数据(iFinD）'!$A328="",'实盘净值数据(iFinD）'!$B328="",'实盘净值数据(iFinD）'!$Z328="",'实盘净值数据(iFinD）'!$AA328=""),"",分期持仓明细!$AB$24*(SUMPRODUCT(分期持仓明细!$B$24:$Y$24,'实盘净值数据(iFinD）'!$B328:$Y328/'实盘净值数据(iFinD）'!$B$65:$Y$65)+SUMPRODUCT(分期持仓明细!$AC$24:$AD$24,'实盘净值数据(iFinD）'!$Z328:$AA328/'实盘净值数据(iFinD）'!$Z$65:$AA$65))*(1-实盘持仓初始配置!$Z$8)^(('实盘净值数据(iFinD）'!$A328-'实盘净值数据(iFinD）'!$A$5)/365))</f>
        <v/>
      </c>
      <c r="O328" s="16" t="str">
        <f t="shared" si="34"/>
        <v/>
      </c>
      <c r="P328" s="16" t="str">
        <f>IF(N328="","",N328/MAX(N$5:N328)-1)</f>
        <v/>
      </c>
      <c r="Q328" s="13" t="str">
        <f>IF(OR('实盘净值数据(iFinD）'!$A328="",'实盘净值数据(iFinD）'!$B328="",'实盘净值数据(iFinD）'!$Z328="",'实盘净值数据(iFinD）'!$AA328=""),"",分期持仓明细!$AB$25*(SUMPRODUCT(分期持仓明细!$B$25:$Y$25,'实盘净值数据(iFinD）'!$B328:$Y328/'实盘净值数据(iFinD）'!$B$65:$Y$65)+SUMPRODUCT(分期持仓明细!$AC$25:$AD$25,'实盘净值数据(iFinD）'!$Z328:$AA328/'实盘净值数据(iFinD）'!$Z$65:$AA$65))*(1-实盘持仓初始配置!$Z$9)^(('实盘净值数据(iFinD）'!$A328-'实盘净值数据(iFinD）'!$A$8)/365))</f>
        <v/>
      </c>
      <c r="R328" s="16" t="str">
        <f t="shared" si="35"/>
        <v/>
      </c>
      <c r="S328" s="16" t="str">
        <f>IF(Q328="","",Q328/MAX(Q$5:Q328)-1)</f>
        <v/>
      </c>
    </row>
    <row r="329" spans="1:19">
      <c r="A329" s="15" t="str">
        <f>IF('实盘净值数据(iFinD）'!A329="","",'实盘净值数据(iFinD）'!A329)</f>
        <v/>
      </c>
      <c r="B329" s="13" t="str">
        <f>IF(OR('实盘净值数据(iFinD）'!$A329="",'实盘净值数据(iFinD）'!$B329=""),"",分期持仓明细!$AB$17*SUMPRODUCT(分期持仓明细!$B$17:$Y$17,'实盘净值数据(iFinD）'!$B329:$Y329/'实盘净值数据(iFinD）'!$B$20:$Y$20)*(1-实盘持仓初始配置!$Z$4)^(('实盘净值数据(iFinD）'!$A329-'实盘净值数据(iFinD）'!$A$6)/365))</f>
        <v/>
      </c>
      <c r="C329" s="16" t="str">
        <f t="shared" si="30"/>
        <v/>
      </c>
      <c r="D329" s="16" t="str">
        <f>IF(B329="","",B329/MAX(B$5:B329)-1)</f>
        <v/>
      </c>
      <c r="E329" s="13" t="str">
        <f>IF(OR('实盘净值数据(iFinD）'!$A329="",'实盘净值数据(iFinD）'!$B329=""),"",分期持仓明细!$AB$18*SUMPRODUCT(分期持仓明细!$B$18:$Y$18,'实盘净值数据(iFinD）'!$B329:$Y329/'实盘净值数据(iFinD）'!$B$20:$Y$20)*(1-实盘持仓初始配置!$Z$5)^(('实盘净值数据(iFinD）'!$A329-'实盘净值数据(iFinD）'!$A$5)/365))</f>
        <v/>
      </c>
      <c r="F329" s="16" t="str">
        <f t="shared" si="31"/>
        <v/>
      </c>
      <c r="G329" s="16" t="str">
        <f>IF(E329="","",E329/MAX(E$5:E329)-1)</f>
        <v/>
      </c>
      <c r="H329" s="13" t="str">
        <f>IF(OR('实盘净值数据(iFinD）'!$A329="",'实盘净值数据(iFinD）'!$B329=""),"",分期持仓明细!$AB$19*SUMPRODUCT(分期持仓明细!$B$19:$Y$19,'实盘净值数据(iFinD）'!$B329:$Y329/'实盘净值数据(iFinD）'!$B$20:$Y$20)*(1-实盘持仓初始配置!$Z$6)^(('实盘净值数据(iFinD）'!$A329-'实盘净值数据(iFinD）'!$A$7)/365))</f>
        <v/>
      </c>
      <c r="I329" s="16" t="str">
        <f t="shared" si="32"/>
        <v/>
      </c>
      <c r="J329" s="16" t="str">
        <f>IF(H329="","",H329/MAX(H$5:H329)-1)</f>
        <v/>
      </c>
      <c r="K329" s="13" t="str">
        <f>IF(OR('实盘净值数据(iFinD）'!$A329="",'实盘净值数据(iFinD）'!$B329="",'实盘净值数据(iFinD）'!$Z329="",'实盘净值数据(iFinD）'!$AA329=""),"",分期持仓明细!$AB$23*(SUMPRODUCT(分期持仓明细!$B$23:$Y$23,'实盘净值数据(iFinD）'!$B329:$Y329/'实盘净值数据(iFinD）'!$B$65:$Y$65)+SUMPRODUCT(分期持仓明细!$AC$23:$AD$23,'实盘净值数据(iFinD）'!$Z329:$AA329/'实盘净值数据(iFinD）'!$Z$65:$AA$65))*(1-实盘持仓初始配置!$Z$7)^(('实盘净值数据(iFinD）'!$A329-'实盘净值数据(iFinD）'!$A$8)/365))</f>
        <v/>
      </c>
      <c r="L329" s="16" t="str">
        <f t="shared" si="33"/>
        <v/>
      </c>
      <c r="M329" s="16" t="str">
        <f>IF(K329="","",K329/MAX(K$5:K329)-1)</f>
        <v/>
      </c>
      <c r="N329" s="13" t="str">
        <f>IF(OR('实盘净值数据(iFinD）'!$A329="",'实盘净值数据(iFinD）'!$B329="",'实盘净值数据(iFinD）'!$Z329="",'实盘净值数据(iFinD）'!$AA329=""),"",分期持仓明细!$AB$24*(SUMPRODUCT(分期持仓明细!$B$24:$Y$24,'实盘净值数据(iFinD）'!$B329:$Y329/'实盘净值数据(iFinD）'!$B$65:$Y$65)+SUMPRODUCT(分期持仓明细!$AC$24:$AD$24,'实盘净值数据(iFinD）'!$Z329:$AA329/'实盘净值数据(iFinD）'!$Z$65:$AA$65))*(1-实盘持仓初始配置!$Z$8)^(('实盘净值数据(iFinD）'!$A329-'实盘净值数据(iFinD）'!$A$5)/365))</f>
        <v/>
      </c>
      <c r="O329" s="16" t="str">
        <f t="shared" si="34"/>
        <v/>
      </c>
      <c r="P329" s="16" t="str">
        <f>IF(N329="","",N329/MAX(N$5:N329)-1)</f>
        <v/>
      </c>
      <c r="Q329" s="13" t="str">
        <f>IF(OR('实盘净值数据(iFinD）'!$A329="",'实盘净值数据(iFinD）'!$B329="",'实盘净值数据(iFinD）'!$Z329="",'实盘净值数据(iFinD）'!$AA329=""),"",分期持仓明细!$AB$25*(SUMPRODUCT(分期持仓明细!$B$25:$Y$25,'实盘净值数据(iFinD）'!$B329:$Y329/'实盘净值数据(iFinD）'!$B$65:$Y$65)+SUMPRODUCT(分期持仓明细!$AC$25:$AD$25,'实盘净值数据(iFinD）'!$Z329:$AA329/'实盘净值数据(iFinD）'!$Z$65:$AA$65))*(1-实盘持仓初始配置!$Z$9)^(('实盘净值数据(iFinD）'!$A329-'实盘净值数据(iFinD）'!$A$8)/365))</f>
        <v/>
      </c>
      <c r="R329" s="16" t="str">
        <f t="shared" si="35"/>
        <v/>
      </c>
      <c r="S329" s="16" t="str">
        <f>IF(Q329="","",Q329/MAX(Q$5:Q329)-1)</f>
        <v/>
      </c>
    </row>
    <row r="330" spans="1:19">
      <c r="A330" s="15" t="str">
        <f>IF('实盘净值数据(iFinD）'!A330="","",'实盘净值数据(iFinD）'!A330)</f>
        <v/>
      </c>
      <c r="B330" s="13" t="str">
        <f>IF(OR('实盘净值数据(iFinD）'!$A330="",'实盘净值数据(iFinD）'!$B330=""),"",分期持仓明细!$AB$17*SUMPRODUCT(分期持仓明细!$B$17:$Y$17,'实盘净值数据(iFinD）'!$B330:$Y330/'实盘净值数据(iFinD）'!$B$20:$Y$20)*(1-实盘持仓初始配置!$Z$4)^(('实盘净值数据(iFinD）'!$A330-'实盘净值数据(iFinD）'!$A$6)/365))</f>
        <v/>
      </c>
      <c r="C330" s="16" t="str">
        <f t="shared" si="30"/>
        <v/>
      </c>
      <c r="D330" s="16" t="str">
        <f>IF(B330="","",B330/MAX(B$5:B330)-1)</f>
        <v/>
      </c>
      <c r="E330" s="13" t="str">
        <f>IF(OR('实盘净值数据(iFinD）'!$A330="",'实盘净值数据(iFinD）'!$B330=""),"",分期持仓明细!$AB$18*SUMPRODUCT(分期持仓明细!$B$18:$Y$18,'实盘净值数据(iFinD）'!$B330:$Y330/'实盘净值数据(iFinD）'!$B$20:$Y$20)*(1-实盘持仓初始配置!$Z$5)^(('实盘净值数据(iFinD）'!$A330-'实盘净值数据(iFinD）'!$A$5)/365))</f>
        <v/>
      </c>
      <c r="F330" s="16" t="str">
        <f t="shared" si="31"/>
        <v/>
      </c>
      <c r="G330" s="16" t="str">
        <f>IF(E330="","",E330/MAX(E$5:E330)-1)</f>
        <v/>
      </c>
      <c r="H330" s="13" t="str">
        <f>IF(OR('实盘净值数据(iFinD）'!$A330="",'实盘净值数据(iFinD）'!$B330=""),"",分期持仓明细!$AB$19*SUMPRODUCT(分期持仓明细!$B$19:$Y$19,'实盘净值数据(iFinD）'!$B330:$Y330/'实盘净值数据(iFinD）'!$B$20:$Y$20)*(1-实盘持仓初始配置!$Z$6)^(('实盘净值数据(iFinD）'!$A330-'实盘净值数据(iFinD）'!$A$7)/365))</f>
        <v/>
      </c>
      <c r="I330" s="16" t="str">
        <f t="shared" si="32"/>
        <v/>
      </c>
      <c r="J330" s="16" t="str">
        <f>IF(H330="","",H330/MAX(H$5:H330)-1)</f>
        <v/>
      </c>
      <c r="K330" s="13" t="str">
        <f>IF(OR('实盘净值数据(iFinD）'!$A330="",'实盘净值数据(iFinD）'!$B330="",'实盘净值数据(iFinD）'!$Z330="",'实盘净值数据(iFinD）'!$AA330=""),"",分期持仓明细!$AB$23*(SUMPRODUCT(分期持仓明细!$B$23:$Y$23,'实盘净值数据(iFinD）'!$B330:$Y330/'实盘净值数据(iFinD）'!$B$65:$Y$65)+SUMPRODUCT(分期持仓明细!$AC$23:$AD$23,'实盘净值数据(iFinD）'!$Z330:$AA330/'实盘净值数据(iFinD）'!$Z$65:$AA$65))*(1-实盘持仓初始配置!$Z$7)^(('实盘净值数据(iFinD）'!$A330-'实盘净值数据(iFinD）'!$A$8)/365))</f>
        <v/>
      </c>
      <c r="L330" s="16" t="str">
        <f t="shared" si="33"/>
        <v/>
      </c>
      <c r="M330" s="16" t="str">
        <f>IF(K330="","",K330/MAX(K$5:K330)-1)</f>
        <v/>
      </c>
      <c r="N330" s="13" t="str">
        <f>IF(OR('实盘净值数据(iFinD）'!$A330="",'实盘净值数据(iFinD）'!$B330="",'实盘净值数据(iFinD）'!$Z330="",'实盘净值数据(iFinD）'!$AA330=""),"",分期持仓明细!$AB$24*(SUMPRODUCT(分期持仓明细!$B$24:$Y$24,'实盘净值数据(iFinD）'!$B330:$Y330/'实盘净值数据(iFinD）'!$B$65:$Y$65)+SUMPRODUCT(分期持仓明细!$AC$24:$AD$24,'实盘净值数据(iFinD）'!$Z330:$AA330/'实盘净值数据(iFinD）'!$Z$65:$AA$65))*(1-实盘持仓初始配置!$Z$8)^(('实盘净值数据(iFinD）'!$A330-'实盘净值数据(iFinD）'!$A$5)/365))</f>
        <v/>
      </c>
      <c r="O330" s="16" t="str">
        <f t="shared" si="34"/>
        <v/>
      </c>
      <c r="P330" s="16" t="str">
        <f>IF(N330="","",N330/MAX(N$5:N330)-1)</f>
        <v/>
      </c>
      <c r="Q330" s="13" t="str">
        <f>IF(OR('实盘净值数据(iFinD）'!$A330="",'实盘净值数据(iFinD）'!$B330="",'实盘净值数据(iFinD）'!$Z330="",'实盘净值数据(iFinD）'!$AA330=""),"",分期持仓明细!$AB$25*(SUMPRODUCT(分期持仓明细!$B$25:$Y$25,'实盘净值数据(iFinD）'!$B330:$Y330/'实盘净值数据(iFinD）'!$B$65:$Y$65)+SUMPRODUCT(分期持仓明细!$AC$25:$AD$25,'实盘净值数据(iFinD）'!$Z330:$AA330/'实盘净值数据(iFinD）'!$Z$65:$AA$65))*(1-实盘持仓初始配置!$Z$9)^(('实盘净值数据(iFinD）'!$A330-'实盘净值数据(iFinD）'!$A$8)/365))</f>
        <v/>
      </c>
      <c r="R330" s="16" t="str">
        <f t="shared" si="35"/>
        <v/>
      </c>
      <c r="S330" s="16" t="str">
        <f>IF(Q330="","",Q330/MAX(Q$5:Q330)-1)</f>
        <v/>
      </c>
    </row>
    <row r="331" spans="1:19">
      <c r="A331" s="15" t="str">
        <f>IF('实盘净值数据(iFinD）'!A331="","",'实盘净值数据(iFinD）'!A331)</f>
        <v/>
      </c>
      <c r="B331" s="13" t="str">
        <f>IF(OR('实盘净值数据(iFinD）'!$A331="",'实盘净值数据(iFinD）'!$B331=""),"",分期持仓明细!$AB$17*SUMPRODUCT(分期持仓明细!$B$17:$Y$17,'实盘净值数据(iFinD）'!$B331:$Y331/'实盘净值数据(iFinD）'!$B$20:$Y$20)*(1-实盘持仓初始配置!$Z$4)^(('实盘净值数据(iFinD）'!$A331-'实盘净值数据(iFinD）'!$A$6)/365))</f>
        <v/>
      </c>
      <c r="C331" s="16" t="str">
        <f t="shared" si="30"/>
        <v/>
      </c>
      <c r="D331" s="16" t="str">
        <f>IF(B331="","",B331/MAX(B$5:B331)-1)</f>
        <v/>
      </c>
      <c r="E331" s="13" t="str">
        <f>IF(OR('实盘净值数据(iFinD）'!$A331="",'实盘净值数据(iFinD）'!$B331=""),"",分期持仓明细!$AB$18*SUMPRODUCT(分期持仓明细!$B$18:$Y$18,'实盘净值数据(iFinD）'!$B331:$Y331/'实盘净值数据(iFinD）'!$B$20:$Y$20)*(1-实盘持仓初始配置!$Z$5)^(('实盘净值数据(iFinD）'!$A331-'实盘净值数据(iFinD）'!$A$5)/365))</f>
        <v/>
      </c>
      <c r="F331" s="16" t="str">
        <f t="shared" si="31"/>
        <v/>
      </c>
      <c r="G331" s="16" t="str">
        <f>IF(E331="","",E331/MAX(E$5:E331)-1)</f>
        <v/>
      </c>
      <c r="H331" s="13" t="str">
        <f>IF(OR('实盘净值数据(iFinD）'!$A331="",'实盘净值数据(iFinD）'!$B331=""),"",分期持仓明细!$AB$19*SUMPRODUCT(分期持仓明细!$B$19:$Y$19,'实盘净值数据(iFinD）'!$B331:$Y331/'实盘净值数据(iFinD）'!$B$20:$Y$20)*(1-实盘持仓初始配置!$Z$6)^(('实盘净值数据(iFinD）'!$A331-'实盘净值数据(iFinD）'!$A$7)/365))</f>
        <v/>
      </c>
      <c r="I331" s="16" t="str">
        <f t="shared" si="32"/>
        <v/>
      </c>
      <c r="J331" s="16" t="str">
        <f>IF(H331="","",H331/MAX(H$5:H331)-1)</f>
        <v/>
      </c>
      <c r="K331" s="13" t="str">
        <f>IF(OR('实盘净值数据(iFinD）'!$A331="",'实盘净值数据(iFinD）'!$B331="",'实盘净值数据(iFinD）'!$Z331="",'实盘净值数据(iFinD）'!$AA331=""),"",分期持仓明细!$AB$23*(SUMPRODUCT(分期持仓明细!$B$23:$Y$23,'实盘净值数据(iFinD）'!$B331:$Y331/'实盘净值数据(iFinD）'!$B$65:$Y$65)+SUMPRODUCT(分期持仓明细!$AC$23:$AD$23,'实盘净值数据(iFinD）'!$Z331:$AA331/'实盘净值数据(iFinD）'!$Z$65:$AA$65))*(1-实盘持仓初始配置!$Z$7)^(('实盘净值数据(iFinD）'!$A331-'实盘净值数据(iFinD）'!$A$8)/365))</f>
        <v/>
      </c>
      <c r="L331" s="16" t="str">
        <f t="shared" si="33"/>
        <v/>
      </c>
      <c r="M331" s="16" t="str">
        <f>IF(K331="","",K331/MAX(K$5:K331)-1)</f>
        <v/>
      </c>
      <c r="N331" s="13" t="str">
        <f>IF(OR('实盘净值数据(iFinD）'!$A331="",'实盘净值数据(iFinD）'!$B331="",'实盘净值数据(iFinD）'!$Z331="",'实盘净值数据(iFinD）'!$AA331=""),"",分期持仓明细!$AB$24*(SUMPRODUCT(分期持仓明细!$B$24:$Y$24,'实盘净值数据(iFinD）'!$B331:$Y331/'实盘净值数据(iFinD）'!$B$65:$Y$65)+SUMPRODUCT(分期持仓明细!$AC$24:$AD$24,'实盘净值数据(iFinD）'!$Z331:$AA331/'实盘净值数据(iFinD）'!$Z$65:$AA$65))*(1-实盘持仓初始配置!$Z$8)^(('实盘净值数据(iFinD）'!$A331-'实盘净值数据(iFinD）'!$A$5)/365))</f>
        <v/>
      </c>
      <c r="O331" s="16" t="str">
        <f t="shared" si="34"/>
        <v/>
      </c>
      <c r="P331" s="16" t="str">
        <f>IF(N331="","",N331/MAX(N$5:N331)-1)</f>
        <v/>
      </c>
      <c r="Q331" s="13" t="str">
        <f>IF(OR('实盘净值数据(iFinD）'!$A331="",'实盘净值数据(iFinD）'!$B331="",'实盘净值数据(iFinD）'!$Z331="",'实盘净值数据(iFinD）'!$AA331=""),"",分期持仓明细!$AB$25*(SUMPRODUCT(分期持仓明细!$B$25:$Y$25,'实盘净值数据(iFinD）'!$B331:$Y331/'实盘净值数据(iFinD）'!$B$65:$Y$65)+SUMPRODUCT(分期持仓明细!$AC$25:$AD$25,'实盘净值数据(iFinD）'!$Z331:$AA331/'实盘净值数据(iFinD）'!$Z$65:$AA$65))*(1-实盘持仓初始配置!$Z$9)^(('实盘净值数据(iFinD）'!$A331-'实盘净值数据(iFinD）'!$A$8)/365))</f>
        <v/>
      </c>
      <c r="R331" s="16" t="str">
        <f t="shared" si="35"/>
        <v/>
      </c>
      <c r="S331" s="16" t="str">
        <f>IF(Q331="","",Q331/MAX(Q$5:Q331)-1)</f>
        <v/>
      </c>
    </row>
    <row r="332" spans="1:19">
      <c r="A332" s="15" t="str">
        <f>IF('实盘净值数据(iFinD）'!A332="","",'实盘净值数据(iFinD）'!A332)</f>
        <v/>
      </c>
      <c r="B332" s="13" t="str">
        <f>IF(OR('实盘净值数据(iFinD）'!$A332="",'实盘净值数据(iFinD）'!$B332=""),"",分期持仓明细!$AB$17*SUMPRODUCT(分期持仓明细!$B$17:$Y$17,'实盘净值数据(iFinD）'!$B332:$Y332/'实盘净值数据(iFinD）'!$B$20:$Y$20)*(1-实盘持仓初始配置!$Z$4)^(('实盘净值数据(iFinD）'!$A332-'实盘净值数据(iFinD）'!$A$6)/365))</f>
        <v/>
      </c>
      <c r="C332" s="16" t="str">
        <f t="shared" si="30"/>
        <v/>
      </c>
      <c r="D332" s="16" t="str">
        <f>IF(B332="","",B332/MAX(B$5:B332)-1)</f>
        <v/>
      </c>
      <c r="E332" s="13" t="str">
        <f>IF(OR('实盘净值数据(iFinD）'!$A332="",'实盘净值数据(iFinD）'!$B332=""),"",分期持仓明细!$AB$18*SUMPRODUCT(分期持仓明细!$B$18:$Y$18,'实盘净值数据(iFinD）'!$B332:$Y332/'实盘净值数据(iFinD）'!$B$20:$Y$20)*(1-实盘持仓初始配置!$Z$5)^(('实盘净值数据(iFinD）'!$A332-'实盘净值数据(iFinD）'!$A$5)/365))</f>
        <v/>
      </c>
      <c r="F332" s="16" t="str">
        <f t="shared" si="31"/>
        <v/>
      </c>
      <c r="G332" s="16" t="str">
        <f>IF(E332="","",E332/MAX(E$5:E332)-1)</f>
        <v/>
      </c>
      <c r="H332" s="13" t="str">
        <f>IF(OR('实盘净值数据(iFinD）'!$A332="",'实盘净值数据(iFinD）'!$B332=""),"",分期持仓明细!$AB$19*SUMPRODUCT(分期持仓明细!$B$19:$Y$19,'实盘净值数据(iFinD）'!$B332:$Y332/'实盘净值数据(iFinD）'!$B$20:$Y$20)*(1-实盘持仓初始配置!$Z$6)^(('实盘净值数据(iFinD）'!$A332-'实盘净值数据(iFinD）'!$A$7)/365))</f>
        <v/>
      </c>
      <c r="I332" s="16" t="str">
        <f t="shared" si="32"/>
        <v/>
      </c>
      <c r="J332" s="16" t="str">
        <f>IF(H332="","",H332/MAX(H$5:H332)-1)</f>
        <v/>
      </c>
      <c r="K332" s="13" t="str">
        <f>IF(OR('实盘净值数据(iFinD）'!$A332="",'实盘净值数据(iFinD）'!$B332="",'实盘净值数据(iFinD）'!$Z332="",'实盘净值数据(iFinD）'!$AA332=""),"",分期持仓明细!$AB$23*(SUMPRODUCT(分期持仓明细!$B$23:$Y$23,'实盘净值数据(iFinD）'!$B332:$Y332/'实盘净值数据(iFinD）'!$B$65:$Y$65)+SUMPRODUCT(分期持仓明细!$AC$23:$AD$23,'实盘净值数据(iFinD）'!$Z332:$AA332/'实盘净值数据(iFinD）'!$Z$65:$AA$65))*(1-实盘持仓初始配置!$Z$7)^(('实盘净值数据(iFinD）'!$A332-'实盘净值数据(iFinD）'!$A$8)/365))</f>
        <v/>
      </c>
      <c r="L332" s="16" t="str">
        <f t="shared" si="33"/>
        <v/>
      </c>
      <c r="M332" s="16" t="str">
        <f>IF(K332="","",K332/MAX(K$5:K332)-1)</f>
        <v/>
      </c>
      <c r="N332" s="13" t="str">
        <f>IF(OR('实盘净值数据(iFinD）'!$A332="",'实盘净值数据(iFinD）'!$B332="",'实盘净值数据(iFinD）'!$Z332="",'实盘净值数据(iFinD）'!$AA332=""),"",分期持仓明细!$AB$24*(SUMPRODUCT(分期持仓明细!$B$24:$Y$24,'实盘净值数据(iFinD）'!$B332:$Y332/'实盘净值数据(iFinD）'!$B$65:$Y$65)+SUMPRODUCT(分期持仓明细!$AC$24:$AD$24,'实盘净值数据(iFinD）'!$Z332:$AA332/'实盘净值数据(iFinD）'!$Z$65:$AA$65))*(1-实盘持仓初始配置!$Z$8)^(('实盘净值数据(iFinD）'!$A332-'实盘净值数据(iFinD）'!$A$5)/365))</f>
        <v/>
      </c>
      <c r="O332" s="16" t="str">
        <f t="shared" si="34"/>
        <v/>
      </c>
      <c r="P332" s="16" t="str">
        <f>IF(N332="","",N332/MAX(N$5:N332)-1)</f>
        <v/>
      </c>
      <c r="Q332" s="13" t="str">
        <f>IF(OR('实盘净值数据(iFinD）'!$A332="",'实盘净值数据(iFinD）'!$B332="",'实盘净值数据(iFinD）'!$Z332="",'实盘净值数据(iFinD）'!$AA332=""),"",分期持仓明细!$AB$25*(SUMPRODUCT(分期持仓明细!$B$25:$Y$25,'实盘净值数据(iFinD）'!$B332:$Y332/'实盘净值数据(iFinD）'!$B$65:$Y$65)+SUMPRODUCT(分期持仓明细!$AC$25:$AD$25,'实盘净值数据(iFinD）'!$Z332:$AA332/'实盘净值数据(iFinD）'!$Z$65:$AA$65))*(1-实盘持仓初始配置!$Z$9)^(('实盘净值数据(iFinD）'!$A332-'实盘净值数据(iFinD）'!$A$8)/365))</f>
        <v/>
      </c>
      <c r="R332" s="16" t="str">
        <f t="shared" si="35"/>
        <v/>
      </c>
      <c r="S332" s="16" t="str">
        <f>IF(Q332="","",Q332/MAX(Q$5:Q332)-1)</f>
        <v/>
      </c>
    </row>
    <row r="333" spans="1:19">
      <c r="A333" s="15" t="str">
        <f>IF('实盘净值数据(iFinD）'!A333="","",'实盘净值数据(iFinD）'!A333)</f>
        <v/>
      </c>
      <c r="B333" s="13" t="str">
        <f>IF(OR('实盘净值数据(iFinD）'!$A333="",'实盘净值数据(iFinD）'!$B333=""),"",分期持仓明细!$AB$17*SUMPRODUCT(分期持仓明细!$B$17:$Y$17,'实盘净值数据(iFinD）'!$B333:$Y333/'实盘净值数据(iFinD）'!$B$20:$Y$20)*(1-实盘持仓初始配置!$Z$4)^(('实盘净值数据(iFinD）'!$A333-'实盘净值数据(iFinD）'!$A$6)/365))</f>
        <v/>
      </c>
      <c r="C333" s="16" t="str">
        <f t="shared" si="30"/>
        <v/>
      </c>
      <c r="D333" s="16" t="str">
        <f>IF(B333="","",B333/MAX(B$5:B333)-1)</f>
        <v/>
      </c>
      <c r="E333" s="13" t="str">
        <f>IF(OR('实盘净值数据(iFinD）'!$A333="",'实盘净值数据(iFinD）'!$B333=""),"",分期持仓明细!$AB$18*SUMPRODUCT(分期持仓明细!$B$18:$Y$18,'实盘净值数据(iFinD）'!$B333:$Y333/'实盘净值数据(iFinD）'!$B$20:$Y$20)*(1-实盘持仓初始配置!$Z$5)^(('实盘净值数据(iFinD）'!$A333-'实盘净值数据(iFinD）'!$A$5)/365))</f>
        <v/>
      </c>
      <c r="F333" s="16" t="str">
        <f t="shared" si="31"/>
        <v/>
      </c>
      <c r="G333" s="16" t="str">
        <f>IF(E333="","",E333/MAX(E$5:E333)-1)</f>
        <v/>
      </c>
      <c r="H333" s="13" t="str">
        <f>IF(OR('实盘净值数据(iFinD）'!$A333="",'实盘净值数据(iFinD）'!$B333=""),"",分期持仓明细!$AB$19*SUMPRODUCT(分期持仓明细!$B$19:$Y$19,'实盘净值数据(iFinD）'!$B333:$Y333/'实盘净值数据(iFinD）'!$B$20:$Y$20)*(1-实盘持仓初始配置!$Z$6)^(('实盘净值数据(iFinD）'!$A333-'实盘净值数据(iFinD）'!$A$7)/365))</f>
        <v/>
      </c>
      <c r="I333" s="16" t="str">
        <f t="shared" si="32"/>
        <v/>
      </c>
      <c r="J333" s="16" t="str">
        <f>IF(H333="","",H333/MAX(H$5:H333)-1)</f>
        <v/>
      </c>
      <c r="K333" s="13" t="str">
        <f>IF(OR('实盘净值数据(iFinD）'!$A333="",'实盘净值数据(iFinD）'!$B333="",'实盘净值数据(iFinD）'!$Z333="",'实盘净值数据(iFinD）'!$AA333=""),"",分期持仓明细!$AB$23*(SUMPRODUCT(分期持仓明细!$B$23:$Y$23,'实盘净值数据(iFinD）'!$B333:$Y333/'实盘净值数据(iFinD）'!$B$65:$Y$65)+SUMPRODUCT(分期持仓明细!$AC$23:$AD$23,'实盘净值数据(iFinD）'!$Z333:$AA333/'实盘净值数据(iFinD）'!$Z$65:$AA$65))*(1-实盘持仓初始配置!$Z$7)^(('实盘净值数据(iFinD）'!$A333-'实盘净值数据(iFinD）'!$A$8)/365))</f>
        <v/>
      </c>
      <c r="L333" s="16" t="str">
        <f t="shared" si="33"/>
        <v/>
      </c>
      <c r="M333" s="16" t="str">
        <f>IF(K333="","",K333/MAX(K$5:K333)-1)</f>
        <v/>
      </c>
      <c r="N333" s="13" t="str">
        <f>IF(OR('实盘净值数据(iFinD）'!$A333="",'实盘净值数据(iFinD）'!$B333="",'实盘净值数据(iFinD）'!$Z333="",'实盘净值数据(iFinD）'!$AA333=""),"",分期持仓明细!$AB$24*(SUMPRODUCT(分期持仓明细!$B$24:$Y$24,'实盘净值数据(iFinD）'!$B333:$Y333/'实盘净值数据(iFinD）'!$B$65:$Y$65)+SUMPRODUCT(分期持仓明细!$AC$24:$AD$24,'实盘净值数据(iFinD）'!$Z333:$AA333/'实盘净值数据(iFinD）'!$Z$65:$AA$65))*(1-实盘持仓初始配置!$Z$8)^(('实盘净值数据(iFinD）'!$A333-'实盘净值数据(iFinD）'!$A$5)/365))</f>
        <v/>
      </c>
      <c r="O333" s="16" t="str">
        <f t="shared" si="34"/>
        <v/>
      </c>
      <c r="P333" s="16" t="str">
        <f>IF(N333="","",N333/MAX(N$5:N333)-1)</f>
        <v/>
      </c>
      <c r="Q333" s="13" t="str">
        <f>IF(OR('实盘净值数据(iFinD）'!$A333="",'实盘净值数据(iFinD）'!$B333="",'实盘净值数据(iFinD）'!$Z333="",'实盘净值数据(iFinD）'!$AA333=""),"",分期持仓明细!$AB$25*(SUMPRODUCT(分期持仓明细!$B$25:$Y$25,'实盘净值数据(iFinD）'!$B333:$Y333/'实盘净值数据(iFinD）'!$B$65:$Y$65)+SUMPRODUCT(分期持仓明细!$AC$25:$AD$25,'实盘净值数据(iFinD）'!$Z333:$AA333/'实盘净值数据(iFinD）'!$Z$65:$AA$65))*(1-实盘持仓初始配置!$Z$9)^(('实盘净值数据(iFinD）'!$A333-'实盘净值数据(iFinD）'!$A$8)/365))</f>
        <v/>
      </c>
      <c r="R333" s="16" t="str">
        <f t="shared" si="35"/>
        <v/>
      </c>
      <c r="S333" s="16" t="str">
        <f>IF(Q333="","",Q333/MAX(Q$5:Q333)-1)</f>
        <v/>
      </c>
    </row>
    <row r="334" spans="1:19">
      <c r="A334" s="15" t="str">
        <f>IF('实盘净值数据(iFinD）'!A334="","",'实盘净值数据(iFinD）'!A334)</f>
        <v/>
      </c>
      <c r="B334" s="13" t="str">
        <f>IF(OR('实盘净值数据(iFinD）'!$A334="",'实盘净值数据(iFinD）'!$B334=""),"",分期持仓明细!$AB$17*SUMPRODUCT(分期持仓明细!$B$17:$Y$17,'实盘净值数据(iFinD）'!$B334:$Y334/'实盘净值数据(iFinD）'!$B$20:$Y$20)*(1-实盘持仓初始配置!$Z$4)^(('实盘净值数据(iFinD）'!$A334-'实盘净值数据(iFinD）'!$A$6)/365))</f>
        <v/>
      </c>
      <c r="C334" s="16" t="str">
        <f t="shared" si="30"/>
        <v/>
      </c>
      <c r="D334" s="16" t="str">
        <f>IF(B334="","",B334/MAX(B$5:B334)-1)</f>
        <v/>
      </c>
      <c r="E334" s="13" t="str">
        <f>IF(OR('实盘净值数据(iFinD）'!$A334="",'实盘净值数据(iFinD）'!$B334=""),"",分期持仓明细!$AB$18*SUMPRODUCT(分期持仓明细!$B$18:$Y$18,'实盘净值数据(iFinD）'!$B334:$Y334/'实盘净值数据(iFinD）'!$B$20:$Y$20)*(1-实盘持仓初始配置!$Z$5)^(('实盘净值数据(iFinD）'!$A334-'实盘净值数据(iFinD）'!$A$5)/365))</f>
        <v/>
      </c>
      <c r="F334" s="16" t="str">
        <f t="shared" si="31"/>
        <v/>
      </c>
      <c r="G334" s="16" t="str">
        <f>IF(E334="","",E334/MAX(E$5:E334)-1)</f>
        <v/>
      </c>
      <c r="H334" s="13" t="str">
        <f>IF(OR('实盘净值数据(iFinD）'!$A334="",'实盘净值数据(iFinD）'!$B334=""),"",分期持仓明细!$AB$19*SUMPRODUCT(分期持仓明细!$B$19:$Y$19,'实盘净值数据(iFinD）'!$B334:$Y334/'实盘净值数据(iFinD）'!$B$20:$Y$20)*(1-实盘持仓初始配置!$Z$6)^(('实盘净值数据(iFinD）'!$A334-'实盘净值数据(iFinD）'!$A$7)/365))</f>
        <v/>
      </c>
      <c r="I334" s="16" t="str">
        <f t="shared" si="32"/>
        <v/>
      </c>
      <c r="J334" s="16" t="str">
        <f>IF(H334="","",H334/MAX(H$5:H334)-1)</f>
        <v/>
      </c>
      <c r="K334" s="13" t="str">
        <f>IF(OR('实盘净值数据(iFinD）'!$A334="",'实盘净值数据(iFinD）'!$B334="",'实盘净值数据(iFinD）'!$Z334="",'实盘净值数据(iFinD）'!$AA334=""),"",分期持仓明细!$AB$23*(SUMPRODUCT(分期持仓明细!$B$23:$Y$23,'实盘净值数据(iFinD）'!$B334:$Y334/'实盘净值数据(iFinD）'!$B$65:$Y$65)+SUMPRODUCT(分期持仓明细!$AC$23:$AD$23,'实盘净值数据(iFinD）'!$Z334:$AA334/'实盘净值数据(iFinD）'!$Z$65:$AA$65))*(1-实盘持仓初始配置!$Z$7)^(('实盘净值数据(iFinD）'!$A334-'实盘净值数据(iFinD）'!$A$8)/365))</f>
        <v/>
      </c>
      <c r="L334" s="16" t="str">
        <f t="shared" si="33"/>
        <v/>
      </c>
      <c r="M334" s="16" t="str">
        <f>IF(K334="","",K334/MAX(K$5:K334)-1)</f>
        <v/>
      </c>
      <c r="N334" s="13" t="str">
        <f>IF(OR('实盘净值数据(iFinD）'!$A334="",'实盘净值数据(iFinD）'!$B334="",'实盘净值数据(iFinD）'!$Z334="",'实盘净值数据(iFinD）'!$AA334=""),"",分期持仓明细!$AB$24*(SUMPRODUCT(分期持仓明细!$B$24:$Y$24,'实盘净值数据(iFinD）'!$B334:$Y334/'实盘净值数据(iFinD）'!$B$65:$Y$65)+SUMPRODUCT(分期持仓明细!$AC$24:$AD$24,'实盘净值数据(iFinD）'!$Z334:$AA334/'实盘净值数据(iFinD）'!$Z$65:$AA$65))*(1-实盘持仓初始配置!$Z$8)^(('实盘净值数据(iFinD）'!$A334-'实盘净值数据(iFinD）'!$A$5)/365))</f>
        <v/>
      </c>
      <c r="O334" s="16" t="str">
        <f t="shared" si="34"/>
        <v/>
      </c>
      <c r="P334" s="16" t="str">
        <f>IF(N334="","",N334/MAX(N$5:N334)-1)</f>
        <v/>
      </c>
      <c r="Q334" s="13" t="str">
        <f>IF(OR('实盘净值数据(iFinD）'!$A334="",'实盘净值数据(iFinD）'!$B334="",'实盘净值数据(iFinD）'!$Z334="",'实盘净值数据(iFinD）'!$AA334=""),"",分期持仓明细!$AB$25*(SUMPRODUCT(分期持仓明细!$B$25:$Y$25,'实盘净值数据(iFinD）'!$B334:$Y334/'实盘净值数据(iFinD）'!$B$65:$Y$65)+SUMPRODUCT(分期持仓明细!$AC$25:$AD$25,'实盘净值数据(iFinD）'!$Z334:$AA334/'实盘净值数据(iFinD）'!$Z$65:$AA$65))*(1-实盘持仓初始配置!$Z$9)^(('实盘净值数据(iFinD）'!$A334-'实盘净值数据(iFinD）'!$A$8)/365))</f>
        <v/>
      </c>
      <c r="R334" s="16" t="str">
        <f t="shared" si="35"/>
        <v/>
      </c>
      <c r="S334" s="16" t="str">
        <f>IF(Q334="","",Q334/MAX(Q$5:Q334)-1)</f>
        <v/>
      </c>
    </row>
    <row r="335" spans="1:19">
      <c r="A335" s="15" t="str">
        <f>IF('实盘净值数据(iFinD）'!A335="","",'实盘净值数据(iFinD）'!A335)</f>
        <v/>
      </c>
      <c r="B335" s="13" t="str">
        <f>IF(OR('实盘净值数据(iFinD）'!$A335="",'实盘净值数据(iFinD）'!$B335=""),"",分期持仓明细!$AB$17*SUMPRODUCT(分期持仓明细!$B$17:$Y$17,'实盘净值数据(iFinD）'!$B335:$Y335/'实盘净值数据(iFinD）'!$B$20:$Y$20)*(1-实盘持仓初始配置!$Z$4)^(('实盘净值数据(iFinD）'!$A335-'实盘净值数据(iFinD）'!$A$6)/365))</f>
        <v/>
      </c>
      <c r="C335" s="16" t="str">
        <f t="shared" si="30"/>
        <v/>
      </c>
      <c r="D335" s="16" t="str">
        <f>IF(B335="","",B335/MAX(B$5:B335)-1)</f>
        <v/>
      </c>
      <c r="E335" s="13" t="str">
        <f>IF(OR('实盘净值数据(iFinD）'!$A335="",'实盘净值数据(iFinD）'!$B335=""),"",分期持仓明细!$AB$18*SUMPRODUCT(分期持仓明细!$B$18:$Y$18,'实盘净值数据(iFinD）'!$B335:$Y335/'实盘净值数据(iFinD）'!$B$20:$Y$20)*(1-实盘持仓初始配置!$Z$5)^(('实盘净值数据(iFinD）'!$A335-'实盘净值数据(iFinD）'!$A$5)/365))</f>
        <v/>
      </c>
      <c r="F335" s="16" t="str">
        <f t="shared" si="31"/>
        <v/>
      </c>
      <c r="G335" s="16" t="str">
        <f>IF(E335="","",E335/MAX(E$5:E335)-1)</f>
        <v/>
      </c>
      <c r="H335" s="13" t="str">
        <f>IF(OR('实盘净值数据(iFinD）'!$A335="",'实盘净值数据(iFinD）'!$B335=""),"",分期持仓明细!$AB$19*SUMPRODUCT(分期持仓明细!$B$19:$Y$19,'实盘净值数据(iFinD）'!$B335:$Y335/'实盘净值数据(iFinD）'!$B$20:$Y$20)*(1-实盘持仓初始配置!$Z$6)^(('实盘净值数据(iFinD）'!$A335-'实盘净值数据(iFinD）'!$A$7)/365))</f>
        <v/>
      </c>
      <c r="I335" s="16" t="str">
        <f t="shared" si="32"/>
        <v/>
      </c>
      <c r="J335" s="16" t="str">
        <f>IF(H335="","",H335/MAX(H$5:H335)-1)</f>
        <v/>
      </c>
      <c r="K335" s="13" t="str">
        <f>IF(OR('实盘净值数据(iFinD）'!$A335="",'实盘净值数据(iFinD）'!$B335="",'实盘净值数据(iFinD）'!$Z335="",'实盘净值数据(iFinD）'!$AA335=""),"",分期持仓明细!$AB$23*(SUMPRODUCT(分期持仓明细!$B$23:$Y$23,'实盘净值数据(iFinD）'!$B335:$Y335/'实盘净值数据(iFinD）'!$B$65:$Y$65)+SUMPRODUCT(分期持仓明细!$AC$23:$AD$23,'实盘净值数据(iFinD）'!$Z335:$AA335/'实盘净值数据(iFinD）'!$Z$65:$AA$65))*(1-实盘持仓初始配置!$Z$7)^(('实盘净值数据(iFinD）'!$A335-'实盘净值数据(iFinD）'!$A$8)/365))</f>
        <v/>
      </c>
      <c r="L335" s="16" t="str">
        <f t="shared" si="33"/>
        <v/>
      </c>
      <c r="M335" s="16" t="str">
        <f>IF(K335="","",K335/MAX(K$5:K335)-1)</f>
        <v/>
      </c>
      <c r="N335" s="13" t="str">
        <f>IF(OR('实盘净值数据(iFinD）'!$A335="",'实盘净值数据(iFinD）'!$B335="",'实盘净值数据(iFinD）'!$Z335="",'实盘净值数据(iFinD）'!$AA335=""),"",分期持仓明细!$AB$24*(SUMPRODUCT(分期持仓明细!$B$24:$Y$24,'实盘净值数据(iFinD）'!$B335:$Y335/'实盘净值数据(iFinD）'!$B$65:$Y$65)+SUMPRODUCT(分期持仓明细!$AC$24:$AD$24,'实盘净值数据(iFinD）'!$Z335:$AA335/'实盘净值数据(iFinD）'!$Z$65:$AA$65))*(1-实盘持仓初始配置!$Z$8)^(('实盘净值数据(iFinD）'!$A335-'实盘净值数据(iFinD）'!$A$5)/365))</f>
        <v/>
      </c>
      <c r="O335" s="16" t="str">
        <f t="shared" si="34"/>
        <v/>
      </c>
      <c r="P335" s="16" t="str">
        <f>IF(N335="","",N335/MAX(N$5:N335)-1)</f>
        <v/>
      </c>
      <c r="Q335" s="13" t="str">
        <f>IF(OR('实盘净值数据(iFinD）'!$A335="",'实盘净值数据(iFinD）'!$B335="",'实盘净值数据(iFinD）'!$Z335="",'实盘净值数据(iFinD）'!$AA335=""),"",分期持仓明细!$AB$25*(SUMPRODUCT(分期持仓明细!$B$25:$Y$25,'实盘净值数据(iFinD）'!$B335:$Y335/'实盘净值数据(iFinD）'!$B$65:$Y$65)+SUMPRODUCT(分期持仓明细!$AC$25:$AD$25,'实盘净值数据(iFinD）'!$Z335:$AA335/'实盘净值数据(iFinD）'!$Z$65:$AA$65))*(1-实盘持仓初始配置!$Z$9)^(('实盘净值数据(iFinD）'!$A335-'实盘净值数据(iFinD）'!$A$8)/365))</f>
        <v/>
      </c>
      <c r="R335" s="16" t="str">
        <f t="shared" si="35"/>
        <v/>
      </c>
      <c r="S335" s="16" t="str">
        <f>IF(Q335="","",Q335/MAX(Q$5:Q335)-1)</f>
        <v/>
      </c>
    </row>
    <row r="336" spans="1:19">
      <c r="A336" s="15" t="str">
        <f>IF('实盘净值数据(iFinD）'!A336="","",'实盘净值数据(iFinD）'!A336)</f>
        <v/>
      </c>
      <c r="B336" s="13" t="str">
        <f>IF(OR('实盘净值数据(iFinD）'!$A336="",'实盘净值数据(iFinD）'!$B336=""),"",分期持仓明细!$AB$17*SUMPRODUCT(分期持仓明细!$B$17:$Y$17,'实盘净值数据(iFinD）'!$B336:$Y336/'实盘净值数据(iFinD）'!$B$20:$Y$20)*(1-实盘持仓初始配置!$Z$4)^(('实盘净值数据(iFinD）'!$A336-'实盘净值数据(iFinD）'!$A$6)/365))</f>
        <v/>
      </c>
      <c r="C336" s="16" t="str">
        <f t="shared" si="30"/>
        <v/>
      </c>
      <c r="D336" s="16" t="str">
        <f>IF(B336="","",B336/MAX(B$5:B336)-1)</f>
        <v/>
      </c>
      <c r="E336" s="13" t="str">
        <f>IF(OR('实盘净值数据(iFinD）'!$A336="",'实盘净值数据(iFinD）'!$B336=""),"",分期持仓明细!$AB$18*SUMPRODUCT(分期持仓明细!$B$18:$Y$18,'实盘净值数据(iFinD）'!$B336:$Y336/'实盘净值数据(iFinD）'!$B$20:$Y$20)*(1-实盘持仓初始配置!$Z$5)^(('实盘净值数据(iFinD）'!$A336-'实盘净值数据(iFinD）'!$A$5)/365))</f>
        <v/>
      </c>
      <c r="F336" s="16" t="str">
        <f t="shared" si="31"/>
        <v/>
      </c>
      <c r="G336" s="16" t="str">
        <f>IF(E336="","",E336/MAX(E$5:E336)-1)</f>
        <v/>
      </c>
      <c r="H336" s="13" t="str">
        <f>IF(OR('实盘净值数据(iFinD）'!$A336="",'实盘净值数据(iFinD）'!$B336=""),"",分期持仓明细!$AB$19*SUMPRODUCT(分期持仓明细!$B$19:$Y$19,'实盘净值数据(iFinD）'!$B336:$Y336/'实盘净值数据(iFinD）'!$B$20:$Y$20)*(1-实盘持仓初始配置!$Z$6)^(('实盘净值数据(iFinD）'!$A336-'实盘净值数据(iFinD）'!$A$7)/365))</f>
        <v/>
      </c>
      <c r="I336" s="16" t="str">
        <f t="shared" si="32"/>
        <v/>
      </c>
      <c r="J336" s="16" t="str">
        <f>IF(H336="","",H336/MAX(H$5:H336)-1)</f>
        <v/>
      </c>
      <c r="K336" s="13" t="str">
        <f>IF(OR('实盘净值数据(iFinD）'!$A336="",'实盘净值数据(iFinD）'!$B336="",'实盘净值数据(iFinD）'!$Z336="",'实盘净值数据(iFinD）'!$AA336=""),"",分期持仓明细!$AB$23*(SUMPRODUCT(分期持仓明细!$B$23:$Y$23,'实盘净值数据(iFinD）'!$B336:$Y336/'实盘净值数据(iFinD）'!$B$65:$Y$65)+SUMPRODUCT(分期持仓明细!$AC$23:$AD$23,'实盘净值数据(iFinD）'!$Z336:$AA336/'实盘净值数据(iFinD）'!$Z$65:$AA$65))*(1-实盘持仓初始配置!$Z$7)^(('实盘净值数据(iFinD）'!$A336-'实盘净值数据(iFinD）'!$A$8)/365))</f>
        <v/>
      </c>
      <c r="L336" s="16" t="str">
        <f t="shared" si="33"/>
        <v/>
      </c>
      <c r="M336" s="16" t="str">
        <f>IF(K336="","",K336/MAX(K$5:K336)-1)</f>
        <v/>
      </c>
      <c r="N336" s="13" t="str">
        <f>IF(OR('实盘净值数据(iFinD）'!$A336="",'实盘净值数据(iFinD）'!$B336="",'实盘净值数据(iFinD）'!$Z336="",'实盘净值数据(iFinD）'!$AA336=""),"",分期持仓明细!$AB$24*(SUMPRODUCT(分期持仓明细!$B$24:$Y$24,'实盘净值数据(iFinD）'!$B336:$Y336/'实盘净值数据(iFinD）'!$B$65:$Y$65)+SUMPRODUCT(分期持仓明细!$AC$24:$AD$24,'实盘净值数据(iFinD）'!$Z336:$AA336/'实盘净值数据(iFinD）'!$Z$65:$AA$65))*(1-实盘持仓初始配置!$Z$8)^(('实盘净值数据(iFinD）'!$A336-'实盘净值数据(iFinD）'!$A$5)/365))</f>
        <v/>
      </c>
      <c r="O336" s="16" t="str">
        <f t="shared" si="34"/>
        <v/>
      </c>
      <c r="P336" s="16" t="str">
        <f>IF(N336="","",N336/MAX(N$5:N336)-1)</f>
        <v/>
      </c>
      <c r="Q336" s="13" t="str">
        <f>IF(OR('实盘净值数据(iFinD）'!$A336="",'实盘净值数据(iFinD）'!$B336="",'实盘净值数据(iFinD）'!$Z336="",'实盘净值数据(iFinD）'!$AA336=""),"",分期持仓明细!$AB$25*(SUMPRODUCT(分期持仓明细!$B$25:$Y$25,'实盘净值数据(iFinD）'!$B336:$Y336/'实盘净值数据(iFinD）'!$B$65:$Y$65)+SUMPRODUCT(分期持仓明细!$AC$25:$AD$25,'实盘净值数据(iFinD）'!$Z336:$AA336/'实盘净值数据(iFinD）'!$Z$65:$AA$65))*(1-实盘持仓初始配置!$Z$9)^(('实盘净值数据(iFinD）'!$A336-'实盘净值数据(iFinD）'!$A$8)/365))</f>
        <v/>
      </c>
      <c r="R336" s="16" t="str">
        <f t="shared" si="35"/>
        <v/>
      </c>
      <c r="S336" s="16" t="str">
        <f>IF(Q336="","",Q336/MAX(Q$5:Q336)-1)</f>
        <v/>
      </c>
    </row>
    <row r="337" spans="1:19">
      <c r="A337" s="15" t="str">
        <f>IF('实盘净值数据(iFinD）'!A337="","",'实盘净值数据(iFinD）'!A337)</f>
        <v/>
      </c>
      <c r="B337" s="13" t="str">
        <f>IF(OR('实盘净值数据(iFinD）'!$A337="",'实盘净值数据(iFinD）'!$B337=""),"",分期持仓明细!$AB$17*SUMPRODUCT(分期持仓明细!$B$17:$Y$17,'实盘净值数据(iFinD）'!$B337:$Y337/'实盘净值数据(iFinD）'!$B$20:$Y$20)*(1-实盘持仓初始配置!$Z$4)^(('实盘净值数据(iFinD）'!$A337-'实盘净值数据(iFinD）'!$A$6)/365))</f>
        <v/>
      </c>
      <c r="C337" s="16" t="str">
        <f t="shared" si="30"/>
        <v/>
      </c>
      <c r="D337" s="16" t="str">
        <f>IF(B337="","",B337/MAX(B$5:B337)-1)</f>
        <v/>
      </c>
      <c r="E337" s="13" t="str">
        <f>IF(OR('实盘净值数据(iFinD）'!$A337="",'实盘净值数据(iFinD）'!$B337=""),"",分期持仓明细!$AB$18*SUMPRODUCT(分期持仓明细!$B$18:$Y$18,'实盘净值数据(iFinD）'!$B337:$Y337/'实盘净值数据(iFinD）'!$B$20:$Y$20)*(1-实盘持仓初始配置!$Z$5)^(('实盘净值数据(iFinD）'!$A337-'实盘净值数据(iFinD）'!$A$5)/365))</f>
        <v/>
      </c>
      <c r="F337" s="16" t="str">
        <f t="shared" si="31"/>
        <v/>
      </c>
      <c r="G337" s="16" t="str">
        <f>IF(E337="","",E337/MAX(E$5:E337)-1)</f>
        <v/>
      </c>
      <c r="H337" s="13" t="str">
        <f>IF(OR('实盘净值数据(iFinD）'!$A337="",'实盘净值数据(iFinD）'!$B337=""),"",分期持仓明细!$AB$19*SUMPRODUCT(分期持仓明细!$B$19:$Y$19,'实盘净值数据(iFinD）'!$B337:$Y337/'实盘净值数据(iFinD）'!$B$20:$Y$20)*(1-实盘持仓初始配置!$Z$6)^(('实盘净值数据(iFinD）'!$A337-'实盘净值数据(iFinD）'!$A$7)/365))</f>
        <v/>
      </c>
      <c r="I337" s="16" t="str">
        <f t="shared" si="32"/>
        <v/>
      </c>
      <c r="J337" s="16" t="str">
        <f>IF(H337="","",H337/MAX(H$5:H337)-1)</f>
        <v/>
      </c>
      <c r="K337" s="13" t="str">
        <f>IF(OR('实盘净值数据(iFinD）'!$A337="",'实盘净值数据(iFinD）'!$B337="",'实盘净值数据(iFinD）'!$Z337="",'实盘净值数据(iFinD）'!$AA337=""),"",分期持仓明细!$AB$23*(SUMPRODUCT(分期持仓明细!$B$23:$Y$23,'实盘净值数据(iFinD）'!$B337:$Y337/'实盘净值数据(iFinD）'!$B$65:$Y$65)+SUMPRODUCT(分期持仓明细!$AC$23:$AD$23,'实盘净值数据(iFinD）'!$Z337:$AA337/'实盘净值数据(iFinD）'!$Z$65:$AA$65))*(1-实盘持仓初始配置!$Z$7)^(('实盘净值数据(iFinD）'!$A337-'实盘净值数据(iFinD）'!$A$8)/365))</f>
        <v/>
      </c>
      <c r="L337" s="16" t="str">
        <f t="shared" si="33"/>
        <v/>
      </c>
      <c r="M337" s="16" t="str">
        <f>IF(K337="","",K337/MAX(K$5:K337)-1)</f>
        <v/>
      </c>
      <c r="N337" s="13" t="str">
        <f>IF(OR('实盘净值数据(iFinD）'!$A337="",'实盘净值数据(iFinD）'!$B337="",'实盘净值数据(iFinD）'!$Z337="",'实盘净值数据(iFinD）'!$AA337=""),"",分期持仓明细!$AB$24*(SUMPRODUCT(分期持仓明细!$B$24:$Y$24,'实盘净值数据(iFinD）'!$B337:$Y337/'实盘净值数据(iFinD）'!$B$65:$Y$65)+SUMPRODUCT(分期持仓明细!$AC$24:$AD$24,'实盘净值数据(iFinD）'!$Z337:$AA337/'实盘净值数据(iFinD）'!$Z$65:$AA$65))*(1-实盘持仓初始配置!$Z$8)^(('实盘净值数据(iFinD）'!$A337-'实盘净值数据(iFinD）'!$A$5)/365))</f>
        <v/>
      </c>
      <c r="O337" s="16" t="str">
        <f t="shared" si="34"/>
        <v/>
      </c>
      <c r="P337" s="16" t="str">
        <f>IF(N337="","",N337/MAX(N$5:N337)-1)</f>
        <v/>
      </c>
      <c r="Q337" s="13" t="str">
        <f>IF(OR('实盘净值数据(iFinD）'!$A337="",'实盘净值数据(iFinD）'!$B337="",'实盘净值数据(iFinD）'!$Z337="",'实盘净值数据(iFinD）'!$AA337=""),"",分期持仓明细!$AB$25*(SUMPRODUCT(分期持仓明细!$B$25:$Y$25,'实盘净值数据(iFinD）'!$B337:$Y337/'实盘净值数据(iFinD）'!$B$65:$Y$65)+SUMPRODUCT(分期持仓明细!$AC$25:$AD$25,'实盘净值数据(iFinD）'!$Z337:$AA337/'实盘净值数据(iFinD）'!$Z$65:$AA$65))*(1-实盘持仓初始配置!$Z$9)^(('实盘净值数据(iFinD）'!$A337-'实盘净值数据(iFinD）'!$A$8)/365))</f>
        <v/>
      </c>
      <c r="R337" s="16" t="str">
        <f t="shared" si="35"/>
        <v/>
      </c>
      <c r="S337" s="16" t="str">
        <f>IF(Q337="","",Q337/MAX(Q$5:Q337)-1)</f>
        <v/>
      </c>
    </row>
    <row r="338" spans="1:19">
      <c r="A338" s="15" t="str">
        <f>IF('实盘净值数据(iFinD）'!A338="","",'实盘净值数据(iFinD）'!A338)</f>
        <v/>
      </c>
      <c r="B338" s="13" t="str">
        <f>IF(OR('实盘净值数据(iFinD）'!$A338="",'实盘净值数据(iFinD）'!$B338=""),"",分期持仓明细!$AB$17*SUMPRODUCT(分期持仓明细!$B$17:$Y$17,'实盘净值数据(iFinD）'!$B338:$Y338/'实盘净值数据(iFinD）'!$B$20:$Y$20)*(1-实盘持仓初始配置!$Z$4)^(('实盘净值数据(iFinD）'!$A338-'实盘净值数据(iFinD）'!$A$6)/365))</f>
        <v/>
      </c>
      <c r="C338" s="16" t="str">
        <f t="shared" si="30"/>
        <v/>
      </c>
      <c r="D338" s="16" t="str">
        <f>IF(B338="","",B338/MAX(B$5:B338)-1)</f>
        <v/>
      </c>
      <c r="E338" s="13" t="str">
        <f>IF(OR('实盘净值数据(iFinD）'!$A338="",'实盘净值数据(iFinD）'!$B338=""),"",分期持仓明细!$AB$18*SUMPRODUCT(分期持仓明细!$B$18:$Y$18,'实盘净值数据(iFinD）'!$B338:$Y338/'实盘净值数据(iFinD）'!$B$20:$Y$20)*(1-实盘持仓初始配置!$Z$5)^(('实盘净值数据(iFinD）'!$A338-'实盘净值数据(iFinD）'!$A$5)/365))</f>
        <v/>
      </c>
      <c r="F338" s="16" t="str">
        <f t="shared" si="31"/>
        <v/>
      </c>
      <c r="G338" s="16" t="str">
        <f>IF(E338="","",E338/MAX(E$5:E338)-1)</f>
        <v/>
      </c>
      <c r="H338" s="13" t="str">
        <f>IF(OR('实盘净值数据(iFinD）'!$A338="",'实盘净值数据(iFinD）'!$B338=""),"",分期持仓明细!$AB$19*SUMPRODUCT(分期持仓明细!$B$19:$Y$19,'实盘净值数据(iFinD）'!$B338:$Y338/'实盘净值数据(iFinD）'!$B$20:$Y$20)*(1-实盘持仓初始配置!$Z$6)^(('实盘净值数据(iFinD）'!$A338-'实盘净值数据(iFinD）'!$A$7)/365))</f>
        <v/>
      </c>
      <c r="I338" s="16" t="str">
        <f t="shared" si="32"/>
        <v/>
      </c>
      <c r="J338" s="16" t="str">
        <f>IF(H338="","",H338/MAX(H$5:H338)-1)</f>
        <v/>
      </c>
      <c r="K338" s="13" t="str">
        <f>IF(OR('实盘净值数据(iFinD）'!$A338="",'实盘净值数据(iFinD）'!$B338="",'实盘净值数据(iFinD）'!$Z338="",'实盘净值数据(iFinD）'!$AA338=""),"",分期持仓明细!$AB$23*(SUMPRODUCT(分期持仓明细!$B$23:$Y$23,'实盘净值数据(iFinD）'!$B338:$Y338/'实盘净值数据(iFinD）'!$B$65:$Y$65)+SUMPRODUCT(分期持仓明细!$AC$23:$AD$23,'实盘净值数据(iFinD）'!$Z338:$AA338/'实盘净值数据(iFinD）'!$Z$65:$AA$65))*(1-实盘持仓初始配置!$Z$7)^(('实盘净值数据(iFinD）'!$A338-'实盘净值数据(iFinD）'!$A$8)/365))</f>
        <v/>
      </c>
      <c r="L338" s="16" t="str">
        <f t="shared" si="33"/>
        <v/>
      </c>
      <c r="M338" s="16" t="str">
        <f>IF(K338="","",K338/MAX(K$5:K338)-1)</f>
        <v/>
      </c>
      <c r="N338" s="13" t="str">
        <f>IF(OR('实盘净值数据(iFinD）'!$A338="",'实盘净值数据(iFinD）'!$B338="",'实盘净值数据(iFinD）'!$Z338="",'实盘净值数据(iFinD）'!$AA338=""),"",分期持仓明细!$AB$24*(SUMPRODUCT(分期持仓明细!$B$24:$Y$24,'实盘净值数据(iFinD）'!$B338:$Y338/'实盘净值数据(iFinD）'!$B$65:$Y$65)+SUMPRODUCT(分期持仓明细!$AC$24:$AD$24,'实盘净值数据(iFinD）'!$Z338:$AA338/'实盘净值数据(iFinD）'!$Z$65:$AA$65))*(1-实盘持仓初始配置!$Z$8)^(('实盘净值数据(iFinD）'!$A338-'实盘净值数据(iFinD）'!$A$5)/365))</f>
        <v/>
      </c>
      <c r="O338" s="16" t="str">
        <f t="shared" si="34"/>
        <v/>
      </c>
      <c r="P338" s="16" t="str">
        <f>IF(N338="","",N338/MAX(N$5:N338)-1)</f>
        <v/>
      </c>
      <c r="Q338" s="13" t="str">
        <f>IF(OR('实盘净值数据(iFinD）'!$A338="",'实盘净值数据(iFinD）'!$B338="",'实盘净值数据(iFinD）'!$Z338="",'实盘净值数据(iFinD）'!$AA338=""),"",分期持仓明细!$AB$25*(SUMPRODUCT(分期持仓明细!$B$25:$Y$25,'实盘净值数据(iFinD）'!$B338:$Y338/'实盘净值数据(iFinD）'!$B$65:$Y$65)+SUMPRODUCT(分期持仓明细!$AC$25:$AD$25,'实盘净值数据(iFinD）'!$Z338:$AA338/'实盘净值数据(iFinD）'!$Z$65:$AA$65))*(1-实盘持仓初始配置!$Z$9)^(('实盘净值数据(iFinD）'!$A338-'实盘净值数据(iFinD）'!$A$8)/365))</f>
        <v/>
      </c>
      <c r="R338" s="16" t="str">
        <f t="shared" si="35"/>
        <v/>
      </c>
      <c r="S338" s="16" t="str">
        <f>IF(Q338="","",Q338/MAX(Q$5:Q338)-1)</f>
        <v/>
      </c>
    </row>
    <row r="339" spans="1:19">
      <c r="A339" s="15" t="str">
        <f>IF('实盘净值数据(iFinD）'!A339="","",'实盘净值数据(iFinD）'!A339)</f>
        <v/>
      </c>
      <c r="B339" s="13" t="str">
        <f>IF(OR('实盘净值数据(iFinD）'!$A339="",'实盘净值数据(iFinD）'!$B339=""),"",分期持仓明细!$AB$17*SUMPRODUCT(分期持仓明细!$B$17:$Y$17,'实盘净值数据(iFinD）'!$B339:$Y339/'实盘净值数据(iFinD）'!$B$20:$Y$20)*(1-实盘持仓初始配置!$Z$4)^(('实盘净值数据(iFinD）'!$A339-'实盘净值数据(iFinD）'!$A$6)/365))</f>
        <v/>
      </c>
      <c r="C339" s="16" t="str">
        <f t="shared" si="30"/>
        <v/>
      </c>
      <c r="D339" s="16" t="str">
        <f>IF(B339="","",B339/MAX(B$5:B339)-1)</f>
        <v/>
      </c>
      <c r="E339" s="13" t="str">
        <f>IF(OR('实盘净值数据(iFinD）'!$A339="",'实盘净值数据(iFinD）'!$B339=""),"",分期持仓明细!$AB$18*SUMPRODUCT(分期持仓明细!$B$18:$Y$18,'实盘净值数据(iFinD）'!$B339:$Y339/'实盘净值数据(iFinD）'!$B$20:$Y$20)*(1-实盘持仓初始配置!$Z$5)^(('实盘净值数据(iFinD）'!$A339-'实盘净值数据(iFinD）'!$A$5)/365))</f>
        <v/>
      </c>
      <c r="F339" s="16" t="str">
        <f t="shared" si="31"/>
        <v/>
      </c>
      <c r="G339" s="16" t="str">
        <f>IF(E339="","",E339/MAX(E$5:E339)-1)</f>
        <v/>
      </c>
      <c r="H339" s="13" t="str">
        <f>IF(OR('实盘净值数据(iFinD）'!$A339="",'实盘净值数据(iFinD）'!$B339=""),"",分期持仓明细!$AB$19*SUMPRODUCT(分期持仓明细!$B$19:$Y$19,'实盘净值数据(iFinD）'!$B339:$Y339/'实盘净值数据(iFinD）'!$B$20:$Y$20)*(1-实盘持仓初始配置!$Z$6)^(('实盘净值数据(iFinD）'!$A339-'实盘净值数据(iFinD）'!$A$7)/365))</f>
        <v/>
      </c>
      <c r="I339" s="16" t="str">
        <f t="shared" si="32"/>
        <v/>
      </c>
      <c r="J339" s="16" t="str">
        <f>IF(H339="","",H339/MAX(H$5:H339)-1)</f>
        <v/>
      </c>
      <c r="K339" s="13" t="str">
        <f>IF(OR('实盘净值数据(iFinD）'!$A339="",'实盘净值数据(iFinD）'!$B339="",'实盘净值数据(iFinD）'!$Z339="",'实盘净值数据(iFinD）'!$AA339=""),"",分期持仓明细!$AB$23*(SUMPRODUCT(分期持仓明细!$B$23:$Y$23,'实盘净值数据(iFinD）'!$B339:$Y339/'实盘净值数据(iFinD）'!$B$65:$Y$65)+SUMPRODUCT(分期持仓明细!$AC$23:$AD$23,'实盘净值数据(iFinD）'!$Z339:$AA339/'实盘净值数据(iFinD）'!$Z$65:$AA$65))*(1-实盘持仓初始配置!$Z$7)^(('实盘净值数据(iFinD）'!$A339-'实盘净值数据(iFinD）'!$A$8)/365))</f>
        <v/>
      </c>
      <c r="L339" s="16" t="str">
        <f t="shared" si="33"/>
        <v/>
      </c>
      <c r="M339" s="16" t="str">
        <f>IF(K339="","",K339/MAX(K$5:K339)-1)</f>
        <v/>
      </c>
      <c r="N339" s="13" t="str">
        <f>IF(OR('实盘净值数据(iFinD）'!$A339="",'实盘净值数据(iFinD）'!$B339="",'实盘净值数据(iFinD）'!$Z339="",'实盘净值数据(iFinD）'!$AA339=""),"",分期持仓明细!$AB$24*(SUMPRODUCT(分期持仓明细!$B$24:$Y$24,'实盘净值数据(iFinD）'!$B339:$Y339/'实盘净值数据(iFinD）'!$B$65:$Y$65)+SUMPRODUCT(分期持仓明细!$AC$24:$AD$24,'实盘净值数据(iFinD）'!$Z339:$AA339/'实盘净值数据(iFinD）'!$Z$65:$AA$65))*(1-实盘持仓初始配置!$Z$8)^(('实盘净值数据(iFinD）'!$A339-'实盘净值数据(iFinD）'!$A$5)/365))</f>
        <v/>
      </c>
      <c r="O339" s="16" t="str">
        <f t="shared" si="34"/>
        <v/>
      </c>
      <c r="P339" s="16" t="str">
        <f>IF(N339="","",N339/MAX(N$5:N339)-1)</f>
        <v/>
      </c>
      <c r="Q339" s="13" t="str">
        <f>IF(OR('实盘净值数据(iFinD）'!$A339="",'实盘净值数据(iFinD）'!$B339="",'实盘净值数据(iFinD）'!$Z339="",'实盘净值数据(iFinD）'!$AA339=""),"",分期持仓明细!$AB$25*(SUMPRODUCT(分期持仓明细!$B$25:$Y$25,'实盘净值数据(iFinD）'!$B339:$Y339/'实盘净值数据(iFinD）'!$B$65:$Y$65)+SUMPRODUCT(分期持仓明细!$AC$25:$AD$25,'实盘净值数据(iFinD）'!$Z339:$AA339/'实盘净值数据(iFinD）'!$Z$65:$AA$65))*(1-实盘持仓初始配置!$Z$9)^(('实盘净值数据(iFinD）'!$A339-'实盘净值数据(iFinD）'!$A$8)/365))</f>
        <v/>
      </c>
      <c r="R339" s="16" t="str">
        <f t="shared" si="35"/>
        <v/>
      </c>
      <c r="S339" s="16" t="str">
        <f>IF(Q339="","",Q339/MAX(Q$5:Q339)-1)</f>
        <v/>
      </c>
    </row>
    <row r="340" spans="1:19">
      <c r="A340" s="15" t="str">
        <f>IF('实盘净值数据(iFinD）'!A340="","",'实盘净值数据(iFinD）'!A340)</f>
        <v/>
      </c>
      <c r="B340" s="13" t="str">
        <f>IF(OR('实盘净值数据(iFinD）'!$A340="",'实盘净值数据(iFinD）'!$B340=""),"",分期持仓明细!$AB$17*SUMPRODUCT(分期持仓明细!$B$17:$Y$17,'实盘净值数据(iFinD）'!$B340:$Y340/'实盘净值数据(iFinD）'!$B$20:$Y$20)*(1-实盘持仓初始配置!$Z$4)^(('实盘净值数据(iFinD）'!$A340-'实盘净值数据(iFinD）'!$A$6)/365))</f>
        <v/>
      </c>
      <c r="C340" s="16" t="str">
        <f t="shared" si="30"/>
        <v/>
      </c>
      <c r="D340" s="16" t="str">
        <f>IF(B340="","",B340/MAX(B$5:B340)-1)</f>
        <v/>
      </c>
      <c r="E340" s="13" t="str">
        <f>IF(OR('实盘净值数据(iFinD）'!$A340="",'实盘净值数据(iFinD）'!$B340=""),"",分期持仓明细!$AB$18*SUMPRODUCT(分期持仓明细!$B$18:$Y$18,'实盘净值数据(iFinD）'!$B340:$Y340/'实盘净值数据(iFinD）'!$B$20:$Y$20)*(1-实盘持仓初始配置!$Z$5)^(('实盘净值数据(iFinD）'!$A340-'实盘净值数据(iFinD）'!$A$5)/365))</f>
        <v/>
      </c>
      <c r="F340" s="16" t="str">
        <f t="shared" si="31"/>
        <v/>
      </c>
      <c r="G340" s="16" t="str">
        <f>IF(E340="","",E340/MAX(E$5:E340)-1)</f>
        <v/>
      </c>
      <c r="H340" s="13" t="str">
        <f>IF(OR('实盘净值数据(iFinD）'!$A340="",'实盘净值数据(iFinD）'!$B340=""),"",分期持仓明细!$AB$19*SUMPRODUCT(分期持仓明细!$B$19:$Y$19,'实盘净值数据(iFinD）'!$B340:$Y340/'实盘净值数据(iFinD）'!$B$20:$Y$20)*(1-实盘持仓初始配置!$Z$6)^(('实盘净值数据(iFinD）'!$A340-'实盘净值数据(iFinD）'!$A$7)/365))</f>
        <v/>
      </c>
      <c r="I340" s="16" t="str">
        <f t="shared" si="32"/>
        <v/>
      </c>
      <c r="J340" s="16" t="str">
        <f>IF(H340="","",H340/MAX(H$5:H340)-1)</f>
        <v/>
      </c>
      <c r="K340" s="13" t="str">
        <f>IF(OR('实盘净值数据(iFinD）'!$A340="",'实盘净值数据(iFinD）'!$B340="",'实盘净值数据(iFinD）'!$Z340="",'实盘净值数据(iFinD）'!$AA340=""),"",分期持仓明细!$AB$23*(SUMPRODUCT(分期持仓明细!$B$23:$Y$23,'实盘净值数据(iFinD）'!$B340:$Y340/'实盘净值数据(iFinD）'!$B$65:$Y$65)+SUMPRODUCT(分期持仓明细!$AC$23:$AD$23,'实盘净值数据(iFinD）'!$Z340:$AA340/'实盘净值数据(iFinD）'!$Z$65:$AA$65))*(1-实盘持仓初始配置!$Z$7)^(('实盘净值数据(iFinD）'!$A340-'实盘净值数据(iFinD）'!$A$8)/365))</f>
        <v/>
      </c>
      <c r="L340" s="16" t="str">
        <f t="shared" si="33"/>
        <v/>
      </c>
      <c r="M340" s="16" t="str">
        <f>IF(K340="","",K340/MAX(K$5:K340)-1)</f>
        <v/>
      </c>
      <c r="N340" s="13" t="str">
        <f>IF(OR('实盘净值数据(iFinD）'!$A340="",'实盘净值数据(iFinD）'!$B340="",'实盘净值数据(iFinD）'!$Z340="",'实盘净值数据(iFinD）'!$AA340=""),"",分期持仓明细!$AB$24*(SUMPRODUCT(分期持仓明细!$B$24:$Y$24,'实盘净值数据(iFinD）'!$B340:$Y340/'实盘净值数据(iFinD）'!$B$65:$Y$65)+SUMPRODUCT(分期持仓明细!$AC$24:$AD$24,'实盘净值数据(iFinD）'!$Z340:$AA340/'实盘净值数据(iFinD）'!$Z$65:$AA$65))*(1-实盘持仓初始配置!$Z$8)^(('实盘净值数据(iFinD）'!$A340-'实盘净值数据(iFinD）'!$A$5)/365))</f>
        <v/>
      </c>
      <c r="O340" s="16" t="str">
        <f t="shared" si="34"/>
        <v/>
      </c>
      <c r="P340" s="16" t="str">
        <f>IF(N340="","",N340/MAX(N$5:N340)-1)</f>
        <v/>
      </c>
      <c r="Q340" s="13" t="str">
        <f>IF(OR('实盘净值数据(iFinD）'!$A340="",'实盘净值数据(iFinD）'!$B340="",'实盘净值数据(iFinD）'!$Z340="",'实盘净值数据(iFinD）'!$AA340=""),"",分期持仓明细!$AB$25*(SUMPRODUCT(分期持仓明细!$B$25:$Y$25,'实盘净值数据(iFinD）'!$B340:$Y340/'实盘净值数据(iFinD）'!$B$65:$Y$65)+SUMPRODUCT(分期持仓明细!$AC$25:$AD$25,'实盘净值数据(iFinD）'!$Z340:$AA340/'实盘净值数据(iFinD）'!$Z$65:$AA$65))*(1-实盘持仓初始配置!$Z$9)^(('实盘净值数据(iFinD）'!$A340-'实盘净值数据(iFinD）'!$A$8)/365))</f>
        <v/>
      </c>
      <c r="R340" s="16" t="str">
        <f t="shared" si="35"/>
        <v/>
      </c>
      <c r="S340" s="16" t="str">
        <f>IF(Q340="","",Q340/MAX(Q$5:Q340)-1)</f>
        <v/>
      </c>
    </row>
    <row r="341" spans="1:19">
      <c r="A341" s="15" t="str">
        <f>IF('实盘净值数据(iFinD）'!A341="","",'实盘净值数据(iFinD）'!A341)</f>
        <v/>
      </c>
      <c r="B341" s="13" t="str">
        <f>IF(OR('实盘净值数据(iFinD）'!$A341="",'实盘净值数据(iFinD）'!$B341=""),"",分期持仓明细!$AB$17*SUMPRODUCT(分期持仓明细!$B$17:$Y$17,'实盘净值数据(iFinD）'!$B341:$Y341/'实盘净值数据(iFinD）'!$B$20:$Y$20)*(1-实盘持仓初始配置!$Z$4)^(('实盘净值数据(iFinD）'!$A341-'实盘净值数据(iFinD）'!$A$6)/365))</f>
        <v/>
      </c>
      <c r="C341" s="16" t="str">
        <f t="shared" si="30"/>
        <v/>
      </c>
      <c r="D341" s="16" t="str">
        <f>IF(B341="","",B341/MAX(B$5:B341)-1)</f>
        <v/>
      </c>
      <c r="E341" s="13" t="str">
        <f>IF(OR('实盘净值数据(iFinD）'!$A341="",'实盘净值数据(iFinD）'!$B341=""),"",分期持仓明细!$AB$18*SUMPRODUCT(分期持仓明细!$B$18:$Y$18,'实盘净值数据(iFinD）'!$B341:$Y341/'实盘净值数据(iFinD）'!$B$20:$Y$20)*(1-实盘持仓初始配置!$Z$5)^(('实盘净值数据(iFinD）'!$A341-'实盘净值数据(iFinD）'!$A$5)/365))</f>
        <v/>
      </c>
      <c r="F341" s="16" t="str">
        <f t="shared" si="31"/>
        <v/>
      </c>
      <c r="G341" s="16" t="str">
        <f>IF(E341="","",E341/MAX(E$5:E341)-1)</f>
        <v/>
      </c>
      <c r="H341" s="13" t="str">
        <f>IF(OR('实盘净值数据(iFinD）'!$A341="",'实盘净值数据(iFinD）'!$B341=""),"",分期持仓明细!$AB$19*SUMPRODUCT(分期持仓明细!$B$19:$Y$19,'实盘净值数据(iFinD）'!$B341:$Y341/'实盘净值数据(iFinD）'!$B$20:$Y$20)*(1-实盘持仓初始配置!$Z$6)^(('实盘净值数据(iFinD）'!$A341-'实盘净值数据(iFinD）'!$A$7)/365))</f>
        <v/>
      </c>
      <c r="I341" s="16" t="str">
        <f t="shared" si="32"/>
        <v/>
      </c>
      <c r="J341" s="16" t="str">
        <f>IF(H341="","",H341/MAX(H$5:H341)-1)</f>
        <v/>
      </c>
      <c r="K341" s="13" t="str">
        <f>IF(OR('实盘净值数据(iFinD）'!$A341="",'实盘净值数据(iFinD）'!$B341="",'实盘净值数据(iFinD）'!$Z341="",'实盘净值数据(iFinD）'!$AA341=""),"",分期持仓明细!$AB$23*(SUMPRODUCT(分期持仓明细!$B$23:$Y$23,'实盘净值数据(iFinD）'!$B341:$Y341/'实盘净值数据(iFinD）'!$B$65:$Y$65)+SUMPRODUCT(分期持仓明细!$AC$23:$AD$23,'实盘净值数据(iFinD）'!$Z341:$AA341/'实盘净值数据(iFinD）'!$Z$65:$AA$65))*(1-实盘持仓初始配置!$Z$7)^(('实盘净值数据(iFinD）'!$A341-'实盘净值数据(iFinD）'!$A$8)/365))</f>
        <v/>
      </c>
      <c r="L341" s="16" t="str">
        <f t="shared" si="33"/>
        <v/>
      </c>
      <c r="M341" s="16" t="str">
        <f>IF(K341="","",K341/MAX(K$5:K341)-1)</f>
        <v/>
      </c>
      <c r="N341" s="13" t="str">
        <f>IF(OR('实盘净值数据(iFinD）'!$A341="",'实盘净值数据(iFinD）'!$B341="",'实盘净值数据(iFinD）'!$Z341="",'实盘净值数据(iFinD）'!$AA341=""),"",分期持仓明细!$AB$24*(SUMPRODUCT(分期持仓明细!$B$24:$Y$24,'实盘净值数据(iFinD）'!$B341:$Y341/'实盘净值数据(iFinD）'!$B$65:$Y$65)+SUMPRODUCT(分期持仓明细!$AC$24:$AD$24,'实盘净值数据(iFinD）'!$Z341:$AA341/'实盘净值数据(iFinD）'!$Z$65:$AA$65))*(1-实盘持仓初始配置!$Z$8)^(('实盘净值数据(iFinD）'!$A341-'实盘净值数据(iFinD）'!$A$5)/365))</f>
        <v/>
      </c>
      <c r="O341" s="16" t="str">
        <f t="shared" si="34"/>
        <v/>
      </c>
      <c r="P341" s="16" t="str">
        <f>IF(N341="","",N341/MAX(N$5:N341)-1)</f>
        <v/>
      </c>
      <c r="Q341" s="13" t="str">
        <f>IF(OR('实盘净值数据(iFinD）'!$A341="",'实盘净值数据(iFinD）'!$B341="",'实盘净值数据(iFinD）'!$Z341="",'实盘净值数据(iFinD）'!$AA341=""),"",分期持仓明细!$AB$25*(SUMPRODUCT(分期持仓明细!$B$25:$Y$25,'实盘净值数据(iFinD）'!$B341:$Y341/'实盘净值数据(iFinD）'!$B$65:$Y$65)+SUMPRODUCT(分期持仓明细!$AC$25:$AD$25,'实盘净值数据(iFinD）'!$Z341:$AA341/'实盘净值数据(iFinD）'!$Z$65:$AA$65))*(1-实盘持仓初始配置!$Z$9)^(('实盘净值数据(iFinD）'!$A341-'实盘净值数据(iFinD）'!$A$8)/365))</f>
        <v/>
      </c>
      <c r="R341" s="16" t="str">
        <f t="shared" si="35"/>
        <v/>
      </c>
      <c r="S341" s="16" t="str">
        <f>IF(Q341="","",Q341/MAX(Q$5:Q341)-1)</f>
        <v/>
      </c>
    </row>
    <row r="342" spans="1:19">
      <c r="A342" s="15" t="str">
        <f>IF('实盘净值数据(iFinD）'!A342="","",'实盘净值数据(iFinD）'!A342)</f>
        <v/>
      </c>
      <c r="B342" s="13" t="str">
        <f>IF(OR('实盘净值数据(iFinD）'!$A342="",'实盘净值数据(iFinD）'!$B342=""),"",分期持仓明细!$AB$17*SUMPRODUCT(分期持仓明细!$B$17:$Y$17,'实盘净值数据(iFinD）'!$B342:$Y342/'实盘净值数据(iFinD）'!$B$20:$Y$20)*(1-实盘持仓初始配置!$Z$4)^(('实盘净值数据(iFinD）'!$A342-'实盘净值数据(iFinD）'!$A$6)/365))</f>
        <v/>
      </c>
      <c r="C342" s="16" t="str">
        <f t="shared" si="30"/>
        <v/>
      </c>
      <c r="D342" s="16" t="str">
        <f>IF(B342="","",B342/MAX(B$5:B342)-1)</f>
        <v/>
      </c>
      <c r="E342" s="13" t="str">
        <f>IF(OR('实盘净值数据(iFinD）'!$A342="",'实盘净值数据(iFinD）'!$B342=""),"",分期持仓明细!$AB$18*SUMPRODUCT(分期持仓明细!$B$18:$Y$18,'实盘净值数据(iFinD）'!$B342:$Y342/'实盘净值数据(iFinD）'!$B$20:$Y$20)*(1-实盘持仓初始配置!$Z$5)^(('实盘净值数据(iFinD）'!$A342-'实盘净值数据(iFinD）'!$A$5)/365))</f>
        <v/>
      </c>
      <c r="F342" s="16" t="str">
        <f t="shared" si="31"/>
        <v/>
      </c>
      <c r="G342" s="16" t="str">
        <f>IF(E342="","",E342/MAX(E$5:E342)-1)</f>
        <v/>
      </c>
      <c r="H342" s="13" t="str">
        <f>IF(OR('实盘净值数据(iFinD）'!$A342="",'实盘净值数据(iFinD）'!$B342=""),"",分期持仓明细!$AB$19*SUMPRODUCT(分期持仓明细!$B$19:$Y$19,'实盘净值数据(iFinD）'!$B342:$Y342/'实盘净值数据(iFinD）'!$B$20:$Y$20)*(1-实盘持仓初始配置!$Z$6)^(('实盘净值数据(iFinD）'!$A342-'实盘净值数据(iFinD）'!$A$7)/365))</f>
        <v/>
      </c>
      <c r="I342" s="16" t="str">
        <f t="shared" si="32"/>
        <v/>
      </c>
      <c r="J342" s="16" t="str">
        <f>IF(H342="","",H342/MAX(H$5:H342)-1)</f>
        <v/>
      </c>
      <c r="K342" s="13" t="str">
        <f>IF(OR('实盘净值数据(iFinD）'!$A342="",'实盘净值数据(iFinD）'!$B342="",'实盘净值数据(iFinD）'!$Z342="",'实盘净值数据(iFinD）'!$AA342=""),"",分期持仓明细!$AB$23*(SUMPRODUCT(分期持仓明细!$B$23:$Y$23,'实盘净值数据(iFinD）'!$B342:$Y342/'实盘净值数据(iFinD）'!$B$65:$Y$65)+SUMPRODUCT(分期持仓明细!$AC$23:$AD$23,'实盘净值数据(iFinD）'!$Z342:$AA342/'实盘净值数据(iFinD）'!$Z$65:$AA$65))*(1-实盘持仓初始配置!$Z$7)^(('实盘净值数据(iFinD）'!$A342-'实盘净值数据(iFinD）'!$A$8)/365))</f>
        <v/>
      </c>
      <c r="L342" s="16" t="str">
        <f t="shared" si="33"/>
        <v/>
      </c>
      <c r="M342" s="16" t="str">
        <f>IF(K342="","",K342/MAX(K$5:K342)-1)</f>
        <v/>
      </c>
      <c r="N342" s="13" t="str">
        <f>IF(OR('实盘净值数据(iFinD）'!$A342="",'实盘净值数据(iFinD）'!$B342="",'实盘净值数据(iFinD）'!$Z342="",'实盘净值数据(iFinD）'!$AA342=""),"",分期持仓明细!$AB$24*(SUMPRODUCT(分期持仓明细!$B$24:$Y$24,'实盘净值数据(iFinD）'!$B342:$Y342/'实盘净值数据(iFinD）'!$B$65:$Y$65)+SUMPRODUCT(分期持仓明细!$AC$24:$AD$24,'实盘净值数据(iFinD）'!$Z342:$AA342/'实盘净值数据(iFinD）'!$Z$65:$AA$65))*(1-实盘持仓初始配置!$Z$8)^(('实盘净值数据(iFinD）'!$A342-'实盘净值数据(iFinD）'!$A$5)/365))</f>
        <v/>
      </c>
      <c r="O342" s="16" t="str">
        <f t="shared" si="34"/>
        <v/>
      </c>
      <c r="P342" s="16" t="str">
        <f>IF(N342="","",N342/MAX(N$5:N342)-1)</f>
        <v/>
      </c>
      <c r="Q342" s="13" t="str">
        <f>IF(OR('实盘净值数据(iFinD）'!$A342="",'实盘净值数据(iFinD）'!$B342="",'实盘净值数据(iFinD）'!$Z342="",'实盘净值数据(iFinD）'!$AA342=""),"",分期持仓明细!$AB$25*(SUMPRODUCT(分期持仓明细!$B$25:$Y$25,'实盘净值数据(iFinD）'!$B342:$Y342/'实盘净值数据(iFinD）'!$B$65:$Y$65)+SUMPRODUCT(分期持仓明细!$AC$25:$AD$25,'实盘净值数据(iFinD）'!$Z342:$AA342/'实盘净值数据(iFinD）'!$Z$65:$AA$65))*(1-实盘持仓初始配置!$Z$9)^(('实盘净值数据(iFinD）'!$A342-'实盘净值数据(iFinD）'!$A$8)/365))</f>
        <v/>
      </c>
      <c r="R342" s="16" t="str">
        <f t="shared" si="35"/>
        <v/>
      </c>
      <c r="S342" s="16" t="str">
        <f>IF(Q342="","",Q342/MAX(Q$5:Q342)-1)</f>
        <v/>
      </c>
    </row>
    <row r="343" spans="1:19">
      <c r="A343" s="15" t="str">
        <f>IF('实盘净值数据(iFinD）'!A343="","",'实盘净值数据(iFinD）'!A343)</f>
        <v/>
      </c>
      <c r="B343" s="13" t="str">
        <f>IF(OR('实盘净值数据(iFinD）'!$A343="",'实盘净值数据(iFinD）'!$B343=""),"",分期持仓明细!$AB$17*SUMPRODUCT(分期持仓明细!$B$17:$Y$17,'实盘净值数据(iFinD）'!$B343:$Y343/'实盘净值数据(iFinD）'!$B$20:$Y$20)*(1-实盘持仓初始配置!$Z$4)^(('实盘净值数据(iFinD）'!$A343-'实盘净值数据(iFinD）'!$A$6)/365))</f>
        <v/>
      </c>
      <c r="C343" s="16" t="str">
        <f t="shared" si="30"/>
        <v/>
      </c>
      <c r="D343" s="16" t="str">
        <f>IF(B343="","",B343/MAX(B$5:B343)-1)</f>
        <v/>
      </c>
      <c r="E343" s="13" t="str">
        <f>IF(OR('实盘净值数据(iFinD）'!$A343="",'实盘净值数据(iFinD）'!$B343=""),"",分期持仓明细!$AB$18*SUMPRODUCT(分期持仓明细!$B$18:$Y$18,'实盘净值数据(iFinD）'!$B343:$Y343/'实盘净值数据(iFinD）'!$B$20:$Y$20)*(1-实盘持仓初始配置!$Z$5)^(('实盘净值数据(iFinD）'!$A343-'实盘净值数据(iFinD）'!$A$5)/365))</f>
        <v/>
      </c>
      <c r="F343" s="16" t="str">
        <f t="shared" si="31"/>
        <v/>
      </c>
      <c r="G343" s="16" t="str">
        <f>IF(E343="","",E343/MAX(E$5:E343)-1)</f>
        <v/>
      </c>
      <c r="H343" s="13" t="str">
        <f>IF(OR('实盘净值数据(iFinD）'!$A343="",'实盘净值数据(iFinD）'!$B343=""),"",分期持仓明细!$AB$19*SUMPRODUCT(分期持仓明细!$B$19:$Y$19,'实盘净值数据(iFinD）'!$B343:$Y343/'实盘净值数据(iFinD）'!$B$20:$Y$20)*(1-实盘持仓初始配置!$Z$6)^(('实盘净值数据(iFinD）'!$A343-'实盘净值数据(iFinD）'!$A$7)/365))</f>
        <v/>
      </c>
      <c r="I343" s="16" t="str">
        <f t="shared" si="32"/>
        <v/>
      </c>
      <c r="J343" s="16" t="str">
        <f>IF(H343="","",H343/MAX(H$5:H343)-1)</f>
        <v/>
      </c>
      <c r="K343" s="13" t="str">
        <f>IF(OR('实盘净值数据(iFinD）'!$A343="",'实盘净值数据(iFinD）'!$B343="",'实盘净值数据(iFinD）'!$Z343="",'实盘净值数据(iFinD）'!$AA343=""),"",分期持仓明细!$AB$23*(SUMPRODUCT(分期持仓明细!$B$23:$Y$23,'实盘净值数据(iFinD）'!$B343:$Y343/'实盘净值数据(iFinD）'!$B$65:$Y$65)+SUMPRODUCT(分期持仓明细!$AC$23:$AD$23,'实盘净值数据(iFinD）'!$Z343:$AA343/'实盘净值数据(iFinD）'!$Z$65:$AA$65))*(1-实盘持仓初始配置!$Z$7)^(('实盘净值数据(iFinD）'!$A343-'实盘净值数据(iFinD）'!$A$8)/365))</f>
        <v/>
      </c>
      <c r="L343" s="16" t="str">
        <f t="shared" si="33"/>
        <v/>
      </c>
      <c r="M343" s="16" t="str">
        <f>IF(K343="","",K343/MAX(K$5:K343)-1)</f>
        <v/>
      </c>
      <c r="N343" s="13" t="str">
        <f>IF(OR('实盘净值数据(iFinD）'!$A343="",'实盘净值数据(iFinD）'!$B343="",'实盘净值数据(iFinD）'!$Z343="",'实盘净值数据(iFinD）'!$AA343=""),"",分期持仓明细!$AB$24*(SUMPRODUCT(分期持仓明细!$B$24:$Y$24,'实盘净值数据(iFinD）'!$B343:$Y343/'实盘净值数据(iFinD）'!$B$65:$Y$65)+SUMPRODUCT(分期持仓明细!$AC$24:$AD$24,'实盘净值数据(iFinD）'!$Z343:$AA343/'实盘净值数据(iFinD）'!$Z$65:$AA$65))*(1-实盘持仓初始配置!$Z$8)^(('实盘净值数据(iFinD）'!$A343-'实盘净值数据(iFinD）'!$A$5)/365))</f>
        <v/>
      </c>
      <c r="O343" s="16" t="str">
        <f t="shared" si="34"/>
        <v/>
      </c>
      <c r="P343" s="16" t="str">
        <f>IF(N343="","",N343/MAX(N$5:N343)-1)</f>
        <v/>
      </c>
      <c r="Q343" s="13" t="str">
        <f>IF(OR('实盘净值数据(iFinD）'!$A343="",'实盘净值数据(iFinD）'!$B343="",'实盘净值数据(iFinD）'!$Z343="",'实盘净值数据(iFinD）'!$AA343=""),"",分期持仓明细!$AB$25*(SUMPRODUCT(分期持仓明细!$B$25:$Y$25,'实盘净值数据(iFinD）'!$B343:$Y343/'实盘净值数据(iFinD）'!$B$65:$Y$65)+SUMPRODUCT(分期持仓明细!$AC$25:$AD$25,'实盘净值数据(iFinD）'!$Z343:$AA343/'实盘净值数据(iFinD）'!$Z$65:$AA$65))*(1-实盘持仓初始配置!$Z$9)^(('实盘净值数据(iFinD）'!$A343-'实盘净值数据(iFinD）'!$A$8)/365))</f>
        <v/>
      </c>
      <c r="R343" s="16" t="str">
        <f t="shared" si="35"/>
        <v/>
      </c>
      <c r="S343" s="16" t="str">
        <f>IF(Q343="","",Q343/MAX(Q$5:Q343)-1)</f>
        <v/>
      </c>
    </row>
    <row r="344" spans="1:19">
      <c r="A344" s="15" t="str">
        <f>IF('实盘净值数据(iFinD）'!A344="","",'实盘净值数据(iFinD）'!A344)</f>
        <v/>
      </c>
      <c r="B344" s="13" t="str">
        <f>IF(OR('实盘净值数据(iFinD）'!$A344="",'实盘净值数据(iFinD）'!$B344=""),"",分期持仓明细!$AB$17*SUMPRODUCT(分期持仓明细!$B$17:$Y$17,'实盘净值数据(iFinD）'!$B344:$Y344/'实盘净值数据(iFinD）'!$B$20:$Y$20)*(1-实盘持仓初始配置!$Z$4)^(('实盘净值数据(iFinD）'!$A344-'实盘净值数据(iFinD）'!$A$6)/365))</f>
        <v/>
      </c>
      <c r="C344" s="16" t="str">
        <f t="shared" si="30"/>
        <v/>
      </c>
      <c r="D344" s="16" t="str">
        <f>IF(B344="","",B344/MAX(B$5:B344)-1)</f>
        <v/>
      </c>
      <c r="E344" s="13" t="str">
        <f>IF(OR('实盘净值数据(iFinD）'!$A344="",'实盘净值数据(iFinD）'!$B344=""),"",分期持仓明细!$AB$18*SUMPRODUCT(分期持仓明细!$B$18:$Y$18,'实盘净值数据(iFinD）'!$B344:$Y344/'实盘净值数据(iFinD）'!$B$20:$Y$20)*(1-实盘持仓初始配置!$Z$5)^(('实盘净值数据(iFinD）'!$A344-'实盘净值数据(iFinD）'!$A$5)/365))</f>
        <v/>
      </c>
      <c r="F344" s="16" t="str">
        <f t="shared" si="31"/>
        <v/>
      </c>
      <c r="G344" s="16" t="str">
        <f>IF(E344="","",E344/MAX(E$5:E344)-1)</f>
        <v/>
      </c>
      <c r="H344" s="13" t="str">
        <f>IF(OR('实盘净值数据(iFinD）'!$A344="",'实盘净值数据(iFinD）'!$B344=""),"",分期持仓明细!$AB$19*SUMPRODUCT(分期持仓明细!$B$19:$Y$19,'实盘净值数据(iFinD）'!$B344:$Y344/'实盘净值数据(iFinD）'!$B$20:$Y$20)*(1-实盘持仓初始配置!$Z$6)^(('实盘净值数据(iFinD）'!$A344-'实盘净值数据(iFinD）'!$A$7)/365))</f>
        <v/>
      </c>
      <c r="I344" s="16" t="str">
        <f t="shared" si="32"/>
        <v/>
      </c>
      <c r="J344" s="16" t="str">
        <f>IF(H344="","",H344/MAX(H$5:H344)-1)</f>
        <v/>
      </c>
      <c r="K344" s="13" t="str">
        <f>IF(OR('实盘净值数据(iFinD）'!$A344="",'实盘净值数据(iFinD）'!$B344="",'实盘净值数据(iFinD）'!$Z344="",'实盘净值数据(iFinD）'!$AA344=""),"",分期持仓明细!$AB$23*(SUMPRODUCT(分期持仓明细!$B$23:$Y$23,'实盘净值数据(iFinD）'!$B344:$Y344/'实盘净值数据(iFinD）'!$B$65:$Y$65)+SUMPRODUCT(分期持仓明细!$AC$23:$AD$23,'实盘净值数据(iFinD）'!$Z344:$AA344/'实盘净值数据(iFinD）'!$Z$65:$AA$65))*(1-实盘持仓初始配置!$Z$7)^(('实盘净值数据(iFinD）'!$A344-'实盘净值数据(iFinD）'!$A$8)/365))</f>
        <v/>
      </c>
      <c r="L344" s="16" t="str">
        <f t="shared" si="33"/>
        <v/>
      </c>
      <c r="M344" s="16" t="str">
        <f>IF(K344="","",K344/MAX(K$5:K344)-1)</f>
        <v/>
      </c>
      <c r="N344" s="13" t="str">
        <f>IF(OR('实盘净值数据(iFinD）'!$A344="",'实盘净值数据(iFinD）'!$B344="",'实盘净值数据(iFinD）'!$Z344="",'实盘净值数据(iFinD）'!$AA344=""),"",分期持仓明细!$AB$24*(SUMPRODUCT(分期持仓明细!$B$24:$Y$24,'实盘净值数据(iFinD）'!$B344:$Y344/'实盘净值数据(iFinD）'!$B$65:$Y$65)+SUMPRODUCT(分期持仓明细!$AC$24:$AD$24,'实盘净值数据(iFinD）'!$Z344:$AA344/'实盘净值数据(iFinD）'!$Z$65:$AA$65))*(1-实盘持仓初始配置!$Z$8)^(('实盘净值数据(iFinD）'!$A344-'实盘净值数据(iFinD）'!$A$5)/365))</f>
        <v/>
      </c>
      <c r="O344" s="16" t="str">
        <f t="shared" si="34"/>
        <v/>
      </c>
      <c r="P344" s="16" t="str">
        <f>IF(N344="","",N344/MAX(N$5:N344)-1)</f>
        <v/>
      </c>
      <c r="Q344" s="13" t="str">
        <f>IF(OR('实盘净值数据(iFinD）'!$A344="",'实盘净值数据(iFinD）'!$B344="",'实盘净值数据(iFinD）'!$Z344="",'实盘净值数据(iFinD）'!$AA344=""),"",分期持仓明细!$AB$25*(SUMPRODUCT(分期持仓明细!$B$25:$Y$25,'实盘净值数据(iFinD）'!$B344:$Y344/'实盘净值数据(iFinD）'!$B$65:$Y$65)+SUMPRODUCT(分期持仓明细!$AC$25:$AD$25,'实盘净值数据(iFinD）'!$Z344:$AA344/'实盘净值数据(iFinD）'!$Z$65:$AA$65))*(1-实盘持仓初始配置!$Z$9)^(('实盘净值数据(iFinD）'!$A344-'实盘净值数据(iFinD）'!$A$8)/365))</f>
        <v/>
      </c>
      <c r="R344" s="16" t="str">
        <f t="shared" si="35"/>
        <v/>
      </c>
      <c r="S344" s="16" t="str">
        <f>IF(Q344="","",Q344/MAX(Q$5:Q344)-1)</f>
        <v/>
      </c>
    </row>
    <row r="345" spans="1:19">
      <c r="A345" s="15" t="str">
        <f>IF('实盘净值数据(iFinD）'!A345="","",'实盘净值数据(iFinD）'!A345)</f>
        <v/>
      </c>
      <c r="B345" s="13" t="str">
        <f>IF(OR('实盘净值数据(iFinD）'!$A345="",'实盘净值数据(iFinD）'!$B345=""),"",分期持仓明细!$AB$17*SUMPRODUCT(分期持仓明细!$B$17:$Y$17,'实盘净值数据(iFinD）'!$B345:$Y345/'实盘净值数据(iFinD）'!$B$20:$Y$20)*(1-实盘持仓初始配置!$Z$4)^(('实盘净值数据(iFinD）'!$A345-'实盘净值数据(iFinD）'!$A$6)/365))</f>
        <v/>
      </c>
      <c r="C345" s="16" t="str">
        <f t="shared" si="30"/>
        <v/>
      </c>
      <c r="D345" s="16" t="str">
        <f>IF(B345="","",B345/MAX(B$5:B345)-1)</f>
        <v/>
      </c>
      <c r="E345" s="13" t="str">
        <f>IF(OR('实盘净值数据(iFinD）'!$A345="",'实盘净值数据(iFinD）'!$B345=""),"",分期持仓明细!$AB$18*SUMPRODUCT(分期持仓明细!$B$18:$Y$18,'实盘净值数据(iFinD）'!$B345:$Y345/'实盘净值数据(iFinD）'!$B$20:$Y$20)*(1-实盘持仓初始配置!$Z$5)^(('实盘净值数据(iFinD）'!$A345-'实盘净值数据(iFinD）'!$A$5)/365))</f>
        <v/>
      </c>
      <c r="F345" s="16" t="str">
        <f t="shared" si="31"/>
        <v/>
      </c>
      <c r="G345" s="16" t="str">
        <f>IF(E345="","",E345/MAX(E$5:E345)-1)</f>
        <v/>
      </c>
      <c r="H345" s="13" t="str">
        <f>IF(OR('实盘净值数据(iFinD）'!$A345="",'实盘净值数据(iFinD）'!$B345=""),"",分期持仓明细!$AB$19*SUMPRODUCT(分期持仓明细!$B$19:$Y$19,'实盘净值数据(iFinD）'!$B345:$Y345/'实盘净值数据(iFinD）'!$B$20:$Y$20)*(1-实盘持仓初始配置!$Z$6)^(('实盘净值数据(iFinD）'!$A345-'实盘净值数据(iFinD）'!$A$7)/365))</f>
        <v/>
      </c>
      <c r="I345" s="16" t="str">
        <f t="shared" si="32"/>
        <v/>
      </c>
      <c r="J345" s="16" t="str">
        <f>IF(H345="","",H345/MAX(H$5:H345)-1)</f>
        <v/>
      </c>
      <c r="K345" s="13" t="str">
        <f>IF(OR('实盘净值数据(iFinD）'!$A345="",'实盘净值数据(iFinD）'!$B345="",'实盘净值数据(iFinD）'!$Z345="",'实盘净值数据(iFinD）'!$AA345=""),"",分期持仓明细!$AB$23*(SUMPRODUCT(分期持仓明细!$B$23:$Y$23,'实盘净值数据(iFinD）'!$B345:$Y345/'实盘净值数据(iFinD）'!$B$65:$Y$65)+SUMPRODUCT(分期持仓明细!$AC$23:$AD$23,'实盘净值数据(iFinD）'!$Z345:$AA345/'实盘净值数据(iFinD）'!$Z$65:$AA$65))*(1-实盘持仓初始配置!$Z$7)^(('实盘净值数据(iFinD）'!$A345-'实盘净值数据(iFinD）'!$A$8)/365))</f>
        <v/>
      </c>
      <c r="L345" s="16" t="str">
        <f t="shared" si="33"/>
        <v/>
      </c>
      <c r="M345" s="16" t="str">
        <f>IF(K345="","",K345/MAX(K$5:K345)-1)</f>
        <v/>
      </c>
      <c r="N345" s="13" t="str">
        <f>IF(OR('实盘净值数据(iFinD）'!$A345="",'实盘净值数据(iFinD）'!$B345="",'实盘净值数据(iFinD）'!$Z345="",'实盘净值数据(iFinD）'!$AA345=""),"",分期持仓明细!$AB$24*(SUMPRODUCT(分期持仓明细!$B$24:$Y$24,'实盘净值数据(iFinD）'!$B345:$Y345/'实盘净值数据(iFinD）'!$B$65:$Y$65)+SUMPRODUCT(分期持仓明细!$AC$24:$AD$24,'实盘净值数据(iFinD）'!$Z345:$AA345/'实盘净值数据(iFinD）'!$Z$65:$AA$65))*(1-实盘持仓初始配置!$Z$8)^(('实盘净值数据(iFinD）'!$A345-'实盘净值数据(iFinD）'!$A$5)/365))</f>
        <v/>
      </c>
      <c r="O345" s="16" t="str">
        <f t="shared" si="34"/>
        <v/>
      </c>
      <c r="P345" s="16" t="str">
        <f>IF(N345="","",N345/MAX(N$5:N345)-1)</f>
        <v/>
      </c>
      <c r="Q345" s="13" t="str">
        <f>IF(OR('实盘净值数据(iFinD）'!$A345="",'实盘净值数据(iFinD）'!$B345="",'实盘净值数据(iFinD）'!$Z345="",'实盘净值数据(iFinD）'!$AA345=""),"",分期持仓明细!$AB$25*(SUMPRODUCT(分期持仓明细!$B$25:$Y$25,'实盘净值数据(iFinD）'!$B345:$Y345/'实盘净值数据(iFinD）'!$B$65:$Y$65)+SUMPRODUCT(分期持仓明细!$AC$25:$AD$25,'实盘净值数据(iFinD）'!$Z345:$AA345/'实盘净值数据(iFinD）'!$Z$65:$AA$65))*(1-实盘持仓初始配置!$Z$9)^(('实盘净值数据(iFinD）'!$A345-'实盘净值数据(iFinD）'!$A$8)/365))</f>
        <v/>
      </c>
      <c r="R345" s="16" t="str">
        <f t="shared" si="35"/>
        <v/>
      </c>
      <c r="S345" s="16" t="str">
        <f>IF(Q345="","",Q345/MAX(Q$5:Q345)-1)</f>
        <v/>
      </c>
    </row>
    <row r="346" spans="1:19">
      <c r="A346" s="15" t="str">
        <f>IF('实盘净值数据(iFinD）'!A346="","",'实盘净值数据(iFinD）'!A346)</f>
        <v/>
      </c>
      <c r="B346" s="13" t="str">
        <f>IF(OR('实盘净值数据(iFinD）'!$A346="",'实盘净值数据(iFinD）'!$B346=""),"",分期持仓明细!$AB$17*SUMPRODUCT(分期持仓明细!$B$17:$Y$17,'实盘净值数据(iFinD）'!$B346:$Y346/'实盘净值数据(iFinD）'!$B$20:$Y$20)*(1-实盘持仓初始配置!$Z$4)^(('实盘净值数据(iFinD）'!$A346-'实盘净值数据(iFinD）'!$A$6)/365))</f>
        <v/>
      </c>
      <c r="C346" s="16" t="str">
        <f t="shared" si="30"/>
        <v/>
      </c>
      <c r="D346" s="16" t="str">
        <f>IF(B346="","",B346/MAX(B$5:B346)-1)</f>
        <v/>
      </c>
      <c r="E346" s="13" t="str">
        <f>IF(OR('实盘净值数据(iFinD）'!$A346="",'实盘净值数据(iFinD）'!$B346=""),"",分期持仓明细!$AB$18*SUMPRODUCT(分期持仓明细!$B$18:$Y$18,'实盘净值数据(iFinD）'!$B346:$Y346/'实盘净值数据(iFinD）'!$B$20:$Y$20)*(1-实盘持仓初始配置!$Z$5)^(('实盘净值数据(iFinD）'!$A346-'实盘净值数据(iFinD）'!$A$5)/365))</f>
        <v/>
      </c>
      <c r="F346" s="16" t="str">
        <f t="shared" si="31"/>
        <v/>
      </c>
      <c r="G346" s="16" t="str">
        <f>IF(E346="","",E346/MAX(E$5:E346)-1)</f>
        <v/>
      </c>
      <c r="H346" s="13" t="str">
        <f>IF(OR('实盘净值数据(iFinD）'!$A346="",'实盘净值数据(iFinD）'!$B346=""),"",分期持仓明细!$AB$19*SUMPRODUCT(分期持仓明细!$B$19:$Y$19,'实盘净值数据(iFinD）'!$B346:$Y346/'实盘净值数据(iFinD）'!$B$20:$Y$20)*(1-实盘持仓初始配置!$Z$6)^(('实盘净值数据(iFinD）'!$A346-'实盘净值数据(iFinD）'!$A$7)/365))</f>
        <v/>
      </c>
      <c r="I346" s="16" t="str">
        <f t="shared" si="32"/>
        <v/>
      </c>
      <c r="J346" s="16" t="str">
        <f>IF(H346="","",H346/MAX(H$5:H346)-1)</f>
        <v/>
      </c>
      <c r="K346" s="13" t="str">
        <f>IF(OR('实盘净值数据(iFinD）'!$A346="",'实盘净值数据(iFinD）'!$B346="",'实盘净值数据(iFinD）'!$Z346="",'实盘净值数据(iFinD）'!$AA346=""),"",分期持仓明细!$AB$23*(SUMPRODUCT(分期持仓明细!$B$23:$Y$23,'实盘净值数据(iFinD）'!$B346:$Y346/'实盘净值数据(iFinD）'!$B$65:$Y$65)+SUMPRODUCT(分期持仓明细!$AC$23:$AD$23,'实盘净值数据(iFinD）'!$Z346:$AA346/'实盘净值数据(iFinD）'!$Z$65:$AA$65))*(1-实盘持仓初始配置!$Z$7)^(('实盘净值数据(iFinD）'!$A346-'实盘净值数据(iFinD）'!$A$8)/365))</f>
        <v/>
      </c>
      <c r="L346" s="16" t="str">
        <f t="shared" si="33"/>
        <v/>
      </c>
      <c r="M346" s="16" t="str">
        <f>IF(K346="","",K346/MAX(K$5:K346)-1)</f>
        <v/>
      </c>
      <c r="N346" s="13" t="str">
        <f>IF(OR('实盘净值数据(iFinD）'!$A346="",'实盘净值数据(iFinD）'!$B346="",'实盘净值数据(iFinD）'!$Z346="",'实盘净值数据(iFinD）'!$AA346=""),"",分期持仓明细!$AB$24*(SUMPRODUCT(分期持仓明细!$B$24:$Y$24,'实盘净值数据(iFinD）'!$B346:$Y346/'实盘净值数据(iFinD）'!$B$65:$Y$65)+SUMPRODUCT(分期持仓明细!$AC$24:$AD$24,'实盘净值数据(iFinD）'!$Z346:$AA346/'实盘净值数据(iFinD）'!$Z$65:$AA$65))*(1-实盘持仓初始配置!$Z$8)^(('实盘净值数据(iFinD）'!$A346-'实盘净值数据(iFinD）'!$A$5)/365))</f>
        <v/>
      </c>
      <c r="O346" s="16" t="str">
        <f t="shared" si="34"/>
        <v/>
      </c>
      <c r="P346" s="16" t="str">
        <f>IF(N346="","",N346/MAX(N$5:N346)-1)</f>
        <v/>
      </c>
      <c r="Q346" s="13" t="str">
        <f>IF(OR('实盘净值数据(iFinD）'!$A346="",'实盘净值数据(iFinD）'!$B346="",'实盘净值数据(iFinD）'!$Z346="",'实盘净值数据(iFinD）'!$AA346=""),"",分期持仓明细!$AB$25*(SUMPRODUCT(分期持仓明细!$B$25:$Y$25,'实盘净值数据(iFinD）'!$B346:$Y346/'实盘净值数据(iFinD）'!$B$65:$Y$65)+SUMPRODUCT(分期持仓明细!$AC$25:$AD$25,'实盘净值数据(iFinD）'!$Z346:$AA346/'实盘净值数据(iFinD）'!$Z$65:$AA$65))*(1-实盘持仓初始配置!$Z$9)^(('实盘净值数据(iFinD）'!$A346-'实盘净值数据(iFinD）'!$A$8)/365))</f>
        <v/>
      </c>
      <c r="R346" s="16" t="str">
        <f t="shared" si="35"/>
        <v/>
      </c>
      <c r="S346" s="16" t="str">
        <f>IF(Q346="","",Q346/MAX(Q$5:Q346)-1)</f>
        <v/>
      </c>
    </row>
    <row r="347" spans="1:19">
      <c r="A347" s="15" t="str">
        <f>IF('实盘净值数据(iFinD）'!A347="","",'实盘净值数据(iFinD）'!A347)</f>
        <v/>
      </c>
      <c r="B347" s="13" t="str">
        <f>IF(OR('实盘净值数据(iFinD）'!$A347="",'实盘净值数据(iFinD）'!$B347=""),"",分期持仓明细!$AB$17*SUMPRODUCT(分期持仓明细!$B$17:$Y$17,'实盘净值数据(iFinD）'!$B347:$Y347/'实盘净值数据(iFinD）'!$B$20:$Y$20)*(1-实盘持仓初始配置!$Z$4)^(('实盘净值数据(iFinD）'!$A347-'实盘净值数据(iFinD）'!$A$6)/365))</f>
        <v/>
      </c>
      <c r="C347" s="16" t="str">
        <f t="shared" si="30"/>
        <v/>
      </c>
      <c r="D347" s="16" t="str">
        <f>IF(B347="","",B347/MAX(B$5:B347)-1)</f>
        <v/>
      </c>
      <c r="E347" s="13" t="str">
        <f>IF(OR('实盘净值数据(iFinD）'!$A347="",'实盘净值数据(iFinD）'!$B347=""),"",分期持仓明细!$AB$18*SUMPRODUCT(分期持仓明细!$B$18:$Y$18,'实盘净值数据(iFinD）'!$B347:$Y347/'实盘净值数据(iFinD）'!$B$20:$Y$20)*(1-实盘持仓初始配置!$Z$5)^(('实盘净值数据(iFinD）'!$A347-'实盘净值数据(iFinD）'!$A$5)/365))</f>
        <v/>
      </c>
      <c r="F347" s="16" t="str">
        <f t="shared" si="31"/>
        <v/>
      </c>
      <c r="G347" s="16" t="str">
        <f>IF(E347="","",E347/MAX(E$5:E347)-1)</f>
        <v/>
      </c>
      <c r="H347" s="13" t="str">
        <f>IF(OR('实盘净值数据(iFinD）'!$A347="",'实盘净值数据(iFinD）'!$B347=""),"",分期持仓明细!$AB$19*SUMPRODUCT(分期持仓明细!$B$19:$Y$19,'实盘净值数据(iFinD）'!$B347:$Y347/'实盘净值数据(iFinD）'!$B$20:$Y$20)*(1-实盘持仓初始配置!$Z$6)^(('实盘净值数据(iFinD）'!$A347-'实盘净值数据(iFinD）'!$A$7)/365))</f>
        <v/>
      </c>
      <c r="I347" s="16" t="str">
        <f t="shared" si="32"/>
        <v/>
      </c>
      <c r="J347" s="16" t="str">
        <f>IF(H347="","",H347/MAX(H$5:H347)-1)</f>
        <v/>
      </c>
      <c r="K347" s="13" t="str">
        <f>IF(OR('实盘净值数据(iFinD）'!$A347="",'实盘净值数据(iFinD）'!$B347="",'实盘净值数据(iFinD）'!$Z347="",'实盘净值数据(iFinD）'!$AA347=""),"",分期持仓明细!$AB$23*(SUMPRODUCT(分期持仓明细!$B$23:$Y$23,'实盘净值数据(iFinD）'!$B347:$Y347/'实盘净值数据(iFinD）'!$B$65:$Y$65)+SUMPRODUCT(分期持仓明细!$AC$23:$AD$23,'实盘净值数据(iFinD）'!$Z347:$AA347/'实盘净值数据(iFinD）'!$Z$65:$AA$65))*(1-实盘持仓初始配置!$Z$7)^(('实盘净值数据(iFinD）'!$A347-'实盘净值数据(iFinD）'!$A$8)/365))</f>
        <v/>
      </c>
      <c r="L347" s="16" t="str">
        <f t="shared" si="33"/>
        <v/>
      </c>
      <c r="M347" s="16" t="str">
        <f>IF(K347="","",K347/MAX(K$5:K347)-1)</f>
        <v/>
      </c>
      <c r="N347" s="13" t="str">
        <f>IF(OR('实盘净值数据(iFinD）'!$A347="",'实盘净值数据(iFinD）'!$B347="",'实盘净值数据(iFinD）'!$Z347="",'实盘净值数据(iFinD）'!$AA347=""),"",分期持仓明细!$AB$24*(SUMPRODUCT(分期持仓明细!$B$24:$Y$24,'实盘净值数据(iFinD）'!$B347:$Y347/'实盘净值数据(iFinD）'!$B$65:$Y$65)+SUMPRODUCT(分期持仓明细!$AC$24:$AD$24,'实盘净值数据(iFinD）'!$Z347:$AA347/'实盘净值数据(iFinD）'!$Z$65:$AA$65))*(1-实盘持仓初始配置!$Z$8)^(('实盘净值数据(iFinD）'!$A347-'实盘净值数据(iFinD）'!$A$5)/365))</f>
        <v/>
      </c>
      <c r="O347" s="16" t="str">
        <f t="shared" si="34"/>
        <v/>
      </c>
      <c r="P347" s="16" t="str">
        <f>IF(N347="","",N347/MAX(N$5:N347)-1)</f>
        <v/>
      </c>
      <c r="Q347" s="13" t="str">
        <f>IF(OR('实盘净值数据(iFinD）'!$A347="",'实盘净值数据(iFinD）'!$B347="",'实盘净值数据(iFinD）'!$Z347="",'实盘净值数据(iFinD）'!$AA347=""),"",分期持仓明细!$AB$25*(SUMPRODUCT(分期持仓明细!$B$25:$Y$25,'实盘净值数据(iFinD）'!$B347:$Y347/'实盘净值数据(iFinD）'!$B$65:$Y$65)+SUMPRODUCT(分期持仓明细!$AC$25:$AD$25,'实盘净值数据(iFinD）'!$Z347:$AA347/'实盘净值数据(iFinD）'!$Z$65:$AA$65))*(1-实盘持仓初始配置!$Z$9)^(('实盘净值数据(iFinD）'!$A347-'实盘净值数据(iFinD）'!$A$8)/365))</f>
        <v/>
      </c>
      <c r="R347" s="16" t="str">
        <f t="shared" si="35"/>
        <v/>
      </c>
      <c r="S347" s="16" t="str">
        <f>IF(Q347="","",Q347/MAX(Q$5:Q347)-1)</f>
        <v/>
      </c>
    </row>
    <row r="348" spans="1:19">
      <c r="A348" s="15" t="str">
        <f>IF('实盘净值数据(iFinD）'!A348="","",'实盘净值数据(iFinD）'!A348)</f>
        <v/>
      </c>
      <c r="B348" s="13" t="str">
        <f>IF(OR('实盘净值数据(iFinD）'!$A348="",'实盘净值数据(iFinD）'!$B348=""),"",分期持仓明细!$AB$17*SUMPRODUCT(分期持仓明细!$B$17:$Y$17,'实盘净值数据(iFinD）'!$B348:$Y348/'实盘净值数据(iFinD）'!$B$20:$Y$20)*(1-实盘持仓初始配置!$Z$4)^(('实盘净值数据(iFinD）'!$A348-'实盘净值数据(iFinD）'!$A$6)/365))</f>
        <v/>
      </c>
      <c r="C348" s="16" t="str">
        <f t="shared" si="30"/>
        <v/>
      </c>
      <c r="D348" s="16" t="str">
        <f>IF(B348="","",B348/MAX(B$5:B348)-1)</f>
        <v/>
      </c>
      <c r="E348" s="13" t="str">
        <f>IF(OR('实盘净值数据(iFinD）'!$A348="",'实盘净值数据(iFinD）'!$B348=""),"",分期持仓明细!$AB$18*SUMPRODUCT(分期持仓明细!$B$18:$Y$18,'实盘净值数据(iFinD）'!$B348:$Y348/'实盘净值数据(iFinD）'!$B$20:$Y$20)*(1-实盘持仓初始配置!$Z$5)^(('实盘净值数据(iFinD）'!$A348-'实盘净值数据(iFinD）'!$A$5)/365))</f>
        <v/>
      </c>
      <c r="F348" s="16" t="str">
        <f t="shared" si="31"/>
        <v/>
      </c>
      <c r="G348" s="16" t="str">
        <f>IF(E348="","",E348/MAX(E$5:E348)-1)</f>
        <v/>
      </c>
      <c r="H348" s="13" t="str">
        <f>IF(OR('实盘净值数据(iFinD）'!$A348="",'实盘净值数据(iFinD）'!$B348=""),"",分期持仓明细!$AB$19*SUMPRODUCT(分期持仓明细!$B$19:$Y$19,'实盘净值数据(iFinD）'!$B348:$Y348/'实盘净值数据(iFinD）'!$B$20:$Y$20)*(1-实盘持仓初始配置!$Z$6)^(('实盘净值数据(iFinD）'!$A348-'实盘净值数据(iFinD）'!$A$7)/365))</f>
        <v/>
      </c>
      <c r="I348" s="16" t="str">
        <f t="shared" si="32"/>
        <v/>
      </c>
      <c r="J348" s="16" t="str">
        <f>IF(H348="","",H348/MAX(H$5:H348)-1)</f>
        <v/>
      </c>
      <c r="K348" s="13" t="str">
        <f>IF(OR('实盘净值数据(iFinD）'!$A348="",'实盘净值数据(iFinD）'!$B348="",'实盘净值数据(iFinD）'!$Z348="",'实盘净值数据(iFinD）'!$AA348=""),"",分期持仓明细!$AB$23*(SUMPRODUCT(分期持仓明细!$B$23:$Y$23,'实盘净值数据(iFinD）'!$B348:$Y348/'实盘净值数据(iFinD）'!$B$65:$Y$65)+SUMPRODUCT(分期持仓明细!$AC$23:$AD$23,'实盘净值数据(iFinD）'!$Z348:$AA348/'实盘净值数据(iFinD）'!$Z$65:$AA$65))*(1-实盘持仓初始配置!$Z$7)^(('实盘净值数据(iFinD）'!$A348-'实盘净值数据(iFinD）'!$A$8)/365))</f>
        <v/>
      </c>
      <c r="L348" s="16" t="str">
        <f t="shared" si="33"/>
        <v/>
      </c>
      <c r="M348" s="16" t="str">
        <f>IF(K348="","",K348/MAX(K$5:K348)-1)</f>
        <v/>
      </c>
      <c r="N348" s="13" t="str">
        <f>IF(OR('实盘净值数据(iFinD）'!$A348="",'实盘净值数据(iFinD）'!$B348="",'实盘净值数据(iFinD）'!$Z348="",'实盘净值数据(iFinD）'!$AA348=""),"",分期持仓明细!$AB$24*(SUMPRODUCT(分期持仓明细!$B$24:$Y$24,'实盘净值数据(iFinD）'!$B348:$Y348/'实盘净值数据(iFinD）'!$B$65:$Y$65)+SUMPRODUCT(分期持仓明细!$AC$24:$AD$24,'实盘净值数据(iFinD）'!$Z348:$AA348/'实盘净值数据(iFinD）'!$Z$65:$AA$65))*(1-实盘持仓初始配置!$Z$8)^(('实盘净值数据(iFinD）'!$A348-'实盘净值数据(iFinD）'!$A$5)/365))</f>
        <v/>
      </c>
      <c r="O348" s="16" t="str">
        <f t="shared" si="34"/>
        <v/>
      </c>
      <c r="P348" s="16" t="str">
        <f>IF(N348="","",N348/MAX(N$5:N348)-1)</f>
        <v/>
      </c>
      <c r="Q348" s="13" t="str">
        <f>IF(OR('实盘净值数据(iFinD）'!$A348="",'实盘净值数据(iFinD）'!$B348="",'实盘净值数据(iFinD）'!$Z348="",'实盘净值数据(iFinD）'!$AA348=""),"",分期持仓明细!$AB$25*(SUMPRODUCT(分期持仓明细!$B$25:$Y$25,'实盘净值数据(iFinD）'!$B348:$Y348/'实盘净值数据(iFinD）'!$B$65:$Y$65)+SUMPRODUCT(分期持仓明细!$AC$25:$AD$25,'实盘净值数据(iFinD）'!$Z348:$AA348/'实盘净值数据(iFinD）'!$Z$65:$AA$65))*(1-实盘持仓初始配置!$Z$9)^(('实盘净值数据(iFinD）'!$A348-'实盘净值数据(iFinD）'!$A$8)/365))</f>
        <v/>
      </c>
      <c r="R348" s="16" t="str">
        <f t="shared" si="35"/>
        <v/>
      </c>
      <c r="S348" s="16" t="str">
        <f>IF(Q348="","",Q348/MAX(Q$5:Q348)-1)</f>
        <v/>
      </c>
    </row>
    <row r="349" spans="1:19">
      <c r="A349" s="15" t="str">
        <f>IF('实盘净值数据(iFinD）'!A349="","",'实盘净值数据(iFinD）'!A349)</f>
        <v/>
      </c>
      <c r="B349" s="13" t="str">
        <f>IF(OR('实盘净值数据(iFinD）'!$A349="",'实盘净值数据(iFinD）'!$B349=""),"",分期持仓明细!$AB$17*SUMPRODUCT(分期持仓明细!$B$17:$Y$17,'实盘净值数据(iFinD）'!$B349:$Y349/'实盘净值数据(iFinD）'!$B$20:$Y$20)*(1-实盘持仓初始配置!$Z$4)^(('实盘净值数据(iFinD）'!$A349-'实盘净值数据(iFinD）'!$A$6)/365))</f>
        <v/>
      </c>
      <c r="C349" s="16" t="str">
        <f t="shared" si="30"/>
        <v/>
      </c>
      <c r="D349" s="16" t="str">
        <f>IF(B349="","",B349/MAX(B$5:B349)-1)</f>
        <v/>
      </c>
      <c r="E349" s="13" t="str">
        <f>IF(OR('实盘净值数据(iFinD）'!$A349="",'实盘净值数据(iFinD）'!$B349=""),"",分期持仓明细!$AB$18*SUMPRODUCT(分期持仓明细!$B$18:$Y$18,'实盘净值数据(iFinD）'!$B349:$Y349/'实盘净值数据(iFinD）'!$B$20:$Y$20)*(1-实盘持仓初始配置!$Z$5)^(('实盘净值数据(iFinD）'!$A349-'实盘净值数据(iFinD）'!$A$5)/365))</f>
        <v/>
      </c>
      <c r="F349" s="16" t="str">
        <f t="shared" si="31"/>
        <v/>
      </c>
      <c r="G349" s="16" t="str">
        <f>IF(E349="","",E349/MAX(E$5:E349)-1)</f>
        <v/>
      </c>
      <c r="H349" s="13" t="str">
        <f>IF(OR('实盘净值数据(iFinD）'!$A349="",'实盘净值数据(iFinD）'!$B349=""),"",分期持仓明细!$AB$19*SUMPRODUCT(分期持仓明细!$B$19:$Y$19,'实盘净值数据(iFinD）'!$B349:$Y349/'实盘净值数据(iFinD）'!$B$20:$Y$20)*(1-实盘持仓初始配置!$Z$6)^(('实盘净值数据(iFinD）'!$A349-'实盘净值数据(iFinD）'!$A$7)/365))</f>
        <v/>
      </c>
      <c r="I349" s="16" t="str">
        <f t="shared" si="32"/>
        <v/>
      </c>
      <c r="J349" s="16" t="str">
        <f>IF(H349="","",H349/MAX(H$5:H349)-1)</f>
        <v/>
      </c>
      <c r="K349" s="13" t="str">
        <f>IF(OR('实盘净值数据(iFinD）'!$A349="",'实盘净值数据(iFinD）'!$B349="",'实盘净值数据(iFinD）'!$Z349="",'实盘净值数据(iFinD）'!$AA349=""),"",分期持仓明细!$AB$23*(SUMPRODUCT(分期持仓明细!$B$23:$Y$23,'实盘净值数据(iFinD）'!$B349:$Y349/'实盘净值数据(iFinD）'!$B$65:$Y$65)+SUMPRODUCT(分期持仓明细!$AC$23:$AD$23,'实盘净值数据(iFinD）'!$Z349:$AA349/'实盘净值数据(iFinD）'!$Z$65:$AA$65))*(1-实盘持仓初始配置!$Z$7)^(('实盘净值数据(iFinD）'!$A349-'实盘净值数据(iFinD）'!$A$8)/365))</f>
        <v/>
      </c>
      <c r="L349" s="16" t="str">
        <f t="shared" si="33"/>
        <v/>
      </c>
      <c r="M349" s="16" t="str">
        <f>IF(K349="","",K349/MAX(K$5:K349)-1)</f>
        <v/>
      </c>
      <c r="N349" s="13" t="str">
        <f>IF(OR('实盘净值数据(iFinD）'!$A349="",'实盘净值数据(iFinD）'!$B349="",'实盘净值数据(iFinD）'!$Z349="",'实盘净值数据(iFinD）'!$AA349=""),"",分期持仓明细!$AB$24*(SUMPRODUCT(分期持仓明细!$B$24:$Y$24,'实盘净值数据(iFinD）'!$B349:$Y349/'实盘净值数据(iFinD）'!$B$65:$Y$65)+SUMPRODUCT(分期持仓明细!$AC$24:$AD$24,'实盘净值数据(iFinD）'!$Z349:$AA349/'实盘净值数据(iFinD）'!$Z$65:$AA$65))*(1-实盘持仓初始配置!$Z$8)^(('实盘净值数据(iFinD）'!$A349-'实盘净值数据(iFinD）'!$A$5)/365))</f>
        <v/>
      </c>
      <c r="O349" s="16" t="str">
        <f t="shared" si="34"/>
        <v/>
      </c>
      <c r="P349" s="16" t="str">
        <f>IF(N349="","",N349/MAX(N$5:N349)-1)</f>
        <v/>
      </c>
      <c r="Q349" s="13" t="str">
        <f>IF(OR('实盘净值数据(iFinD）'!$A349="",'实盘净值数据(iFinD）'!$B349="",'实盘净值数据(iFinD）'!$Z349="",'实盘净值数据(iFinD）'!$AA349=""),"",分期持仓明细!$AB$25*(SUMPRODUCT(分期持仓明细!$B$25:$Y$25,'实盘净值数据(iFinD）'!$B349:$Y349/'实盘净值数据(iFinD）'!$B$65:$Y$65)+SUMPRODUCT(分期持仓明细!$AC$25:$AD$25,'实盘净值数据(iFinD）'!$Z349:$AA349/'实盘净值数据(iFinD）'!$Z$65:$AA$65))*(1-实盘持仓初始配置!$Z$9)^(('实盘净值数据(iFinD）'!$A349-'实盘净值数据(iFinD）'!$A$8)/365))</f>
        <v/>
      </c>
      <c r="R349" s="16" t="str">
        <f t="shared" si="35"/>
        <v/>
      </c>
      <c r="S349" s="16" t="str">
        <f>IF(Q349="","",Q349/MAX(Q$5:Q349)-1)</f>
        <v/>
      </c>
    </row>
    <row r="350" spans="1:19">
      <c r="A350" s="15" t="str">
        <f>IF('实盘净值数据(iFinD）'!A350="","",'实盘净值数据(iFinD）'!A350)</f>
        <v/>
      </c>
      <c r="B350" s="13" t="str">
        <f>IF(OR('实盘净值数据(iFinD）'!$A350="",'实盘净值数据(iFinD）'!$B350=""),"",分期持仓明细!$AB$17*SUMPRODUCT(分期持仓明细!$B$17:$Y$17,'实盘净值数据(iFinD）'!$B350:$Y350/'实盘净值数据(iFinD）'!$B$20:$Y$20)*(1-实盘持仓初始配置!$Z$4)^(('实盘净值数据(iFinD）'!$A350-'实盘净值数据(iFinD）'!$A$6)/365))</f>
        <v/>
      </c>
      <c r="C350" s="16" t="str">
        <f t="shared" si="30"/>
        <v/>
      </c>
      <c r="D350" s="16" t="str">
        <f>IF(B350="","",B350/MAX(B$5:B350)-1)</f>
        <v/>
      </c>
      <c r="E350" s="13" t="str">
        <f>IF(OR('实盘净值数据(iFinD）'!$A350="",'实盘净值数据(iFinD）'!$B350=""),"",分期持仓明细!$AB$18*SUMPRODUCT(分期持仓明细!$B$18:$Y$18,'实盘净值数据(iFinD）'!$B350:$Y350/'实盘净值数据(iFinD）'!$B$20:$Y$20)*(1-实盘持仓初始配置!$Z$5)^(('实盘净值数据(iFinD）'!$A350-'实盘净值数据(iFinD）'!$A$5)/365))</f>
        <v/>
      </c>
      <c r="F350" s="16" t="str">
        <f t="shared" si="31"/>
        <v/>
      </c>
      <c r="G350" s="16" t="str">
        <f>IF(E350="","",E350/MAX(E$5:E350)-1)</f>
        <v/>
      </c>
      <c r="H350" s="13" t="str">
        <f>IF(OR('实盘净值数据(iFinD）'!$A350="",'实盘净值数据(iFinD）'!$B350=""),"",分期持仓明细!$AB$19*SUMPRODUCT(分期持仓明细!$B$19:$Y$19,'实盘净值数据(iFinD）'!$B350:$Y350/'实盘净值数据(iFinD）'!$B$20:$Y$20)*(1-实盘持仓初始配置!$Z$6)^(('实盘净值数据(iFinD）'!$A350-'实盘净值数据(iFinD）'!$A$7)/365))</f>
        <v/>
      </c>
      <c r="I350" s="16" t="str">
        <f t="shared" si="32"/>
        <v/>
      </c>
      <c r="J350" s="16" t="str">
        <f>IF(H350="","",H350/MAX(H$5:H350)-1)</f>
        <v/>
      </c>
      <c r="K350" s="13" t="str">
        <f>IF(OR('实盘净值数据(iFinD）'!$A350="",'实盘净值数据(iFinD）'!$B350="",'实盘净值数据(iFinD）'!$Z350="",'实盘净值数据(iFinD）'!$AA350=""),"",分期持仓明细!$AB$23*(SUMPRODUCT(分期持仓明细!$B$23:$Y$23,'实盘净值数据(iFinD）'!$B350:$Y350/'实盘净值数据(iFinD）'!$B$65:$Y$65)+SUMPRODUCT(分期持仓明细!$AC$23:$AD$23,'实盘净值数据(iFinD）'!$Z350:$AA350/'实盘净值数据(iFinD）'!$Z$65:$AA$65))*(1-实盘持仓初始配置!$Z$7)^(('实盘净值数据(iFinD）'!$A350-'实盘净值数据(iFinD）'!$A$8)/365))</f>
        <v/>
      </c>
      <c r="L350" s="16" t="str">
        <f t="shared" si="33"/>
        <v/>
      </c>
      <c r="M350" s="16" t="str">
        <f>IF(K350="","",K350/MAX(K$5:K350)-1)</f>
        <v/>
      </c>
      <c r="N350" s="13" t="str">
        <f>IF(OR('实盘净值数据(iFinD）'!$A350="",'实盘净值数据(iFinD）'!$B350="",'实盘净值数据(iFinD）'!$Z350="",'实盘净值数据(iFinD）'!$AA350=""),"",分期持仓明细!$AB$24*(SUMPRODUCT(分期持仓明细!$B$24:$Y$24,'实盘净值数据(iFinD）'!$B350:$Y350/'实盘净值数据(iFinD）'!$B$65:$Y$65)+SUMPRODUCT(分期持仓明细!$AC$24:$AD$24,'实盘净值数据(iFinD）'!$Z350:$AA350/'实盘净值数据(iFinD）'!$Z$65:$AA$65))*(1-实盘持仓初始配置!$Z$8)^(('实盘净值数据(iFinD）'!$A350-'实盘净值数据(iFinD）'!$A$5)/365))</f>
        <v/>
      </c>
      <c r="O350" s="16" t="str">
        <f t="shared" si="34"/>
        <v/>
      </c>
      <c r="P350" s="16" t="str">
        <f>IF(N350="","",N350/MAX(N$5:N350)-1)</f>
        <v/>
      </c>
      <c r="Q350" s="13" t="str">
        <f>IF(OR('实盘净值数据(iFinD）'!$A350="",'实盘净值数据(iFinD）'!$B350="",'实盘净值数据(iFinD）'!$Z350="",'实盘净值数据(iFinD）'!$AA350=""),"",分期持仓明细!$AB$25*(SUMPRODUCT(分期持仓明细!$B$25:$Y$25,'实盘净值数据(iFinD）'!$B350:$Y350/'实盘净值数据(iFinD）'!$B$65:$Y$65)+SUMPRODUCT(分期持仓明细!$AC$25:$AD$25,'实盘净值数据(iFinD）'!$Z350:$AA350/'实盘净值数据(iFinD）'!$Z$65:$AA$65))*(1-实盘持仓初始配置!$Z$9)^(('实盘净值数据(iFinD）'!$A350-'实盘净值数据(iFinD）'!$A$8)/365))</f>
        <v/>
      </c>
      <c r="R350" s="16" t="str">
        <f t="shared" si="35"/>
        <v/>
      </c>
      <c r="S350" s="16" t="str">
        <f>IF(Q350="","",Q350/MAX(Q$5:Q350)-1)</f>
        <v/>
      </c>
    </row>
    <row r="351" spans="1:19">
      <c r="A351" s="15" t="str">
        <f>IF('实盘净值数据(iFinD）'!A351="","",'实盘净值数据(iFinD）'!A351)</f>
        <v/>
      </c>
      <c r="B351" s="13" t="str">
        <f>IF(OR('实盘净值数据(iFinD）'!$A351="",'实盘净值数据(iFinD）'!$B351=""),"",分期持仓明细!$AB$17*SUMPRODUCT(分期持仓明细!$B$17:$Y$17,'实盘净值数据(iFinD）'!$B351:$Y351/'实盘净值数据(iFinD）'!$B$20:$Y$20)*(1-实盘持仓初始配置!$Z$4)^(('实盘净值数据(iFinD）'!$A351-'实盘净值数据(iFinD）'!$A$6)/365))</f>
        <v/>
      </c>
      <c r="C351" s="16" t="str">
        <f t="shared" si="30"/>
        <v/>
      </c>
      <c r="D351" s="16" t="str">
        <f>IF(B351="","",B351/MAX(B$5:B351)-1)</f>
        <v/>
      </c>
      <c r="E351" s="13" t="str">
        <f>IF(OR('实盘净值数据(iFinD）'!$A351="",'实盘净值数据(iFinD）'!$B351=""),"",分期持仓明细!$AB$18*SUMPRODUCT(分期持仓明细!$B$18:$Y$18,'实盘净值数据(iFinD）'!$B351:$Y351/'实盘净值数据(iFinD）'!$B$20:$Y$20)*(1-实盘持仓初始配置!$Z$5)^(('实盘净值数据(iFinD）'!$A351-'实盘净值数据(iFinD）'!$A$5)/365))</f>
        <v/>
      </c>
      <c r="F351" s="16" t="str">
        <f t="shared" si="31"/>
        <v/>
      </c>
      <c r="G351" s="16" t="str">
        <f>IF(E351="","",E351/MAX(E$5:E351)-1)</f>
        <v/>
      </c>
      <c r="H351" s="13" t="str">
        <f>IF(OR('实盘净值数据(iFinD）'!$A351="",'实盘净值数据(iFinD）'!$B351=""),"",分期持仓明细!$AB$19*SUMPRODUCT(分期持仓明细!$B$19:$Y$19,'实盘净值数据(iFinD）'!$B351:$Y351/'实盘净值数据(iFinD）'!$B$20:$Y$20)*(1-实盘持仓初始配置!$Z$6)^(('实盘净值数据(iFinD）'!$A351-'实盘净值数据(iFinD）'!$A$7)/365))</f>
        <v/>
      </c>
      <c r="I351" s="16" t="str">
        <f t="shared" si="32"/>
        <v/>
      </c>
      <c r="J351" s="16" t="str">
        <f>IF(H351="","",H351/MAX(H$5:H351)-1)</f>
        <v/>
      </c>
      <c r="K351" s="13" t="str">
        <f>IF(OR('实盘净值数据(iFinD）'!$A351="",'实盘净值数据(iFinD）'!$B351="",'实盘净值数据(iFinD）'!$Z351="",'实盘净值数据(iFinD）'!$AA351=""),"",分期持仓明细!$AB$23*(SUMPRODUCT(分期持仓明细!$B$23:$Y$23,'实盘净值数据(iFinD）'!$B351:$Y351/'实盘净值数据(iFinD）'!$B$65:$Y$65)+SUMPRODUCT(分期持仓明细!$AC$23:$AD$23,'实盘净值数据(iFinD）'!$Z351:$AA351/'实盘净值数据(iFinD）'!$Z$65:$AA$65))*(1-实盘持仓初始配置!$Z$7)^(('实盘净值数据(iFinD）'!$A351-'实盘净值数据(iFinD）'!$A$8)/365))</f>
        <v/>
      </c>
      <c r="L351" s="16" t="str">
        <f t="shared" si="33"/>
        <v/>
      </c>
      <c r="M351" s="16" t="str">
        <f>IF(K351="","",K351/MAX(K$5:K351)-1)</f>
        <v/>
      </c>
      <c r="N351" s="13" t="str">
        <f>IF(OR('实盘净值数据(iFinD）'!$A351="",'实盘净值数据(iFinD）'!$B351="",'实盘净值数据(iFinD）'!$Z351="",'实盘净值数据(iFinD）'!$AA351=""),"",分期持仓明细!$AB$24*(SUMPRODUCT(分期持仓明细!$B$24:$Y$24,'实盘净值数据(iFinD）'!$B351:$Y351/'实盘净值数据(iFinD）'!$B$65:$Y$65)+SUMPRODUCT(分期持仓明细!$AC$24:$AD$24,'实盘净值数据(iFinD）'!$Z351:$AA351/'实盘净值数据(iFinD）'!$Z$65:$AA$65))*(1-实盘持仓初始配置!$Z$8)^(('实盘净值数据(iFinD）'!$A351-'实盘净值数据(iFinD）'!$A$5)/365))</f>
        <v/>
      </c>
      <c r="O351" s="16" t="str">
        <f t="shared" si="34"/>
        <v/>
      </c>
      <c r="P351" s="16" t="str">
        <f>IF(N351="","",N351/MAX(N$5:N351)-1)</f>
        <v/>
      </c>
      <c r="Q351" s="13" t="str">
        <f>IF(OR('实盘净值数据(iFinD）'!$A351="",'实盘净值数据(iFinD）'!$B351="",'实盘净值数据(iFinD）'!$Z351="",'实盘净值数据(iFinD）'!$AA351=""),"",分期持仓明细!$AB$25*(SUMPRODUCT(分期持仓明细!$B$25:$Y$25,'实盘净值数据(iFinD）'!$B351:$Y351/'实盘净值数据(iFinD）'!$B$65:$Y$65)+SUMPRODUCT(分期持仓明细!$AC$25:$AD$25,'实盘净值数据(iFinD）'!$Z351:$AA351/'实盘净值数据(iFinD）'!$Z$65:$AA$65))*(1-实盘持仓初始配置!$Z$9)^(('实盘净值数据(iFinD）'!$A351-'实盘净值数据(iFinD）'!$A$8)/365))</f>
        <v/>
      </c>
      <c r="R351" s="16" t="str">
        <f t="shared" si="35"/>
        <v/>
      </c>
      <c r="S351" s="16" t="str">
        <f>IF(Q351="","",Q351/MAX(Q$5:Q351)-1)</f>
        <v/>
      </c>
    </row>
    <row r="352" spans="1:19">
      <c r="A352" s="15" t="str">
        <f>IF('实盘净值数据(iFinD）'!A352="","",'实盘净值数据(iFinD）'!A352)</f>
        <v/>
      </c>
      <c r="B352" s="13" t="str">
        <f>IF(OR('实盘净值数据(iFinD）'!$A352="",'实盘净值数据(iFinD）'!$B352=""),"",分期持仓明细!$AB$17*SUMPRODUCT(分期持仓明细!$B$17:$Y$17,'实盘净值数据(iFinD）'!$B352:$Y352/'实盘净值数据(iFinD）'!$B$20:$Y$20)*(1-实盘持仓初始配置!$Z$4)^(('实盘净值数据(iFinD）'!$A352-'实盘净值数据(iFinD）'!$A$6)/365))</f>
        <v/>
      </c>
      <c r="C352" s="16" t="str">
        <f t="shared" si="30"/>
        <v/>
      </c>
      <c r="D352" s="16" t="str">
        <f>IF(B352="","",B352/MAX(B$5:B352)-1)</f>
        <v/>
      </c>
      <c r="E352" s="13" t="str">
        <f>IF(OR('实盘净值数据(iFinD）'!$A352="",'实盘净值数据(iFinD）'!$B352=""),"",分期持仓明细!$AB$18*SUMPRODUCT(分期持仓明细!$B$18:$Y$18,'实盘净值数据(iFinD）'!$B352:$Y352/'实盘净值数据(iFinD）'!$B$20:$Y$20)*(1-实盘持仓初始配置!$Z$5)^(('实盘净值数据(iFinD）'!$A352-'实盘净值数据(iFinD）'!$A$5)/365))</f>
        <v/>
      </c>
      <c r="F352" s="16" t="str">
        <f t="shared" si="31"/>
        <v/>
      </c>
      <c r="G352" s="16" t="str">
        <f>IF(E352="","",E352/MAX(E$5:E352)-1)</f>
        <v/>
      </c>
      <c r="H352" s="13" t="str">
        <f>IF(OR('实盘净值数据(iFinD）'!$A352="",'实盘净值数据(iFinD）'!$B352=""),"",分期持仓明细!$AB$19*SUMPRODUCT(分期持仓明细!$B$19:$Y$19,'实盘净值数据(iFinD）'!$B352:$Y352/'实盘净值数据(iFinD）'!$B$20:$Y$20)*(1-实盘持仓初始配置!$Z$6)^(('实盘净值数据(iFinD）'!$A352-'实盘净值数据(iFinD）'!$A$7)/365))</f>
        <v/>
      </c>
      <c r="I352" s="16" t="str">
        <f t="shared" si="32"/>
        <v/>
      </c>
      <c r="J352" s="16" t="str">
        <f>IF(H352="","",H352/MAX(H$5:H352)-1)</f>
        <v/>
      </c>
      <c r="K352" s="13" t="str">
        <f>IF(OR('实盘净值数据(iFinD）'!$A352="",'实盘净值数据(iFinD）'!$B352="",'实盘净值数据(iFinD）'!$Z352="",'实盘净值数据(iFinD）'!$AA352=""),"",分期持仓明细!$AB$23*(SUMPRODUCT(分期持仓明细!$B$23:$Y$23,'实盘净值数据(iFinD）'!$B352:$Y352/'实盘净值数据(iFinD）'!$B$65:$Y$65)+SUMPRODUCT(分期持仓明细!$AC$23:$AD$23,'实盘净值数据(iFinD）'!$Z352:$AA352/'实盘净值数据(iFinD）'!$Z$65:$AA$65))*(1-实盘持仓初始配置!$Z$7)^(('实盘净值数据(iFinD）'!$A352-'实盘净值数据(iFinD）'!$A$8)/365))</f>
        <v/>
      </c>
      <c r="L352" s="16" t="str">
        <f t="shared" si="33"/>
        <v/>
      </c>
      <c r="M352" s="16" t="str">
        <f>IF(K352="","",K352/MAX(K$5:K352)-1)</f>
        <v/>
      </c>
      <c r="N352" s="13" t="str">
        <f>IF(OR('实盘净值数据(iFinD）'!$A352="",'实盘净值数据(iFinD）'!$B352="",'实盘净值数据(iFinD）'!$Z352="",'实盘净值数据(iFinD）'!$AA352=""),"",分期持仓明细!$AB$24*(SUMPRODUCT(分期持仓明细!$B$24:$Y$24,'实盘净值数据(iFinD）'!$B352:$Y352/'实盘净值数据(iFinD）'!$B$65:$Y$65)+SUMPRODUCT(分期持仓明细!$AC$24:$AD$24,'实盘净值数据(iFinD）'!$Z352:$AA352/'实盘净值数据(iFinD）'!$Z$65:$AA$65))*(1-实盘持仓初始配置!$Z$8)^(('实盘净值数据(iFinD）'!$A352-'实盘净值数据(iFinD）'!$A$5)/365))</f>
        <v/>
      </c>
      <c r="O352" s="16" t="str">
        <f t="shared" si="34"/>
        <v/>
      </c>
      <c r="P352" s="16" t="str">
        <f>IF(N352="","",N352/MAX(N$5:N352)-1)</f>
        <v/>
      </c>
      <c r="Q352" s="13" t="str">
        <f>IF(OR('实盘净值数据(iFinD）'!$A352="",'实盘净值数据(iFinD）'!$B352="",'实盘净值数据(iFinD）'!$Z352="",'实盘净值数据(iFinD）'!$AA352=""),"",分期持仓明细!$AB$25*(SUMPRODUCT(分期持仓明细!$B$25:$Y$25,'实盘净值数据(iFinD）'!$B352:$Y352/'实盘净值数据(iFinD）'!$B$65:$Y$65)+SUMPRODUCT(分期持仓明细!$AC$25:$AD$25,'实盘净值数据(iFinD）'!$Z352:$AA352/'实盘净值数据(iFinD）'!$Z$65:$AA$65))*(1-实盘持仓初始配置!$Z$9)^(('实盘净值数据(iFinD）'!$A352-'实盘净值数据(iFinD）'!$A$8)/365))</f>
        <v/>
      </c>
      <c r="R352" s="16" t="str">
        <f t="shared" si="35"/>
        <v/>
      </c>
      <c r="S352" s="16" t="str">
        <f>IF(Q352="","",Q352/MAX(Q$5:Q352)-1)</f>
        <v/>
      </c>
    </row>
    <row r="353" spans="1:19">
      <c r="A353" s="15" t="str">
        <f>IF('实盘净值数据(iFinD）'!A353="","",'实盘净值数据(iFinD）'!A353)</f>
        <v/>
      </c>
      <c r="B353" s="13" t="str">
        <f>IF(OR('实盘净值数据(iFinD）'!$A353="",'实盘净值数据(iFinD）'!$B353=""),"",分期持仓明细!$AB$17*SUMPRODUCT(分期持仓明细!$B$17:$Y$17,'实盘净值数据(iFinD）'!$B353:$Y353/'实盘净值数据(iFinD）'!$B$20:$Y$20)*(1-实盘持仓初始配置!$Z$4)^(('实盘净值数据(iFinD）'!$A353-'实盘净值数据(iFinD）'!$A$6)/365))</f>
        <v/>
      </c>
      <c r="C353" s="16" t="str">
        <f t="shared" si="30"/>
        <v/>
      </c>
      <c r="D353" s="16" t="str">
        <f>IF(B353="","",B353/MAX(B$5:B353)-1)</f>
        <v/>
      </c>
      <c r="E353" s="13" t="str">
        <f>IF(OR('实盘净值数据(iFinD）'!$A353="",'实盘净值数据(iFinD）'!$B353=""),"",分期持仓明细!$AB$18*SUMPRODUCT(分期持仓明细!$B$18:$Y$18,'实盘净值数据(iFinD）'!$B353:$Y353/'实盘净值数据(iFinD）'!$B$20:$Y$20)*(1-实盘持仓初始配置!$Z$5)^(('实盘净值数据(iFinD）'!$A353-'实盘净值数据(iFinD）'!$A$5)/365))</f>
        <v/>
      </c>
      <c r="F353" s="16" t="str">
        <f t="shared" si="31"/>
        <v/>
      </c>
      <c r="G353" s="16" t="str">
        <f>IF(E353="","",E353/MAX(E$5:E353)-1)</f>
        <v/>
      </c>
      <c r="H353" s="13" t="str">
        <f>IF(OR('实盘净值数据(iFinD）'!$A353="",'实盘净值数据(iFinD）'!$B353=""),"",分期持仓明细!$AB$19*SUMPRODUCT(分期持仓明细!$B$19:$Y$19,'实盘净值数据(iFinD）'!$B353:$Y353/'实盘净值数据(iFinD）'!$B$20:$Y$20)*(1-实盘持仓初始配置!$Z$6)^(('实盘净值数据(iFinD）'!$A353-'实盘净值数据(iFinD）'!$A$7)/365))</f>
        <v/>
      </c>
      <c r="I353" s="16" t="str">
        <f t="shared" si="32"/>
        <v/>
      </c>
      <c r="J353" s="16" t="str">
        <f>IF(H353="","",H353/MAX(H$5:H353)-1)</f>
        <v/>
      </c>
      <c r="K353" s="13" t="str">
        <f>IF(OR('实盘净值数据(iFinD）'!$A353="",'实盘净值数据(iFinD）'!$B353="",'实盘净值数据(iFinD）'!$Z353="",'实盘净值数据(iFinD）'!$AA353=""),"",分期持仓明细!$AB$23*(SUMPRODUCT(分期持仓明细!$B$23:$Y$23,'实盘净值数据(iFinD）'!$B353:$Y353/'实盘净值数据(iFinD）'!$B$65:$Y$65)+SUMPRODUCT(分期持仓明细!$AC$23:$AD$23,'实盘净值数据(iFinD）'!$Z353:$AA353/'实盘净值数据(iFinD）'!$Z$65:$AA$65))*(1-实盘持仓初始配置!$Z$7)^(('实盘净值数据(iFinD）'!$A353-'实盘净值数据(iFinD）'!$A$8)/365))</f>
        <v/>
      </c>
      <c r="L353" s="16" t="str">
        <f t="shared" si="33"/>
        <v/>
      </c>
      <c r="M353" s="16" t="str">
        <f>IF(K353="","",K353/MAX(K$5:K353)-1)</f>
        <v/>
      </c>
      <c r="N353" s="13" t="str">
        <f>IF(OR('实盘净值数据(iFinD）'!$A353="",'实盘净值数据(iFinD）'!$B353="",'实盘净值数据(iFinD）'!$Z353="",'实盘净值数据(iFinD）'!$AA353=""),"",分期持仓明细!$AB$24*(SUMPRODUCT(分期持仓明细!$B$24:$Y$24,'实盘净值数据(iFinD）'!$B353:$Y353/'实盘净值数据(iFinD）'!$B$65:$Y$65)+SUMPRODUCT(分期持仓明细!$AC$24:$AD$24,'实盘净值数据(iFinD）'!$Z353:$AA353/'实盘净值数据(iFinD）'!$Z$65:$AA$65))*(1-实盘持仓初始配置!$Z$8)^(('实盘净值数据(iFinD）'!$A353-'实盘净值数据(iFinD）'!$A$5)/365))</f>
        <v/>
      </c>
      <c r="O353" s="16" t="str">
        <f t="shared" si="34"/>
        <v/>
      </c>
      <c r="P353" s="16" t="str">
        <f>IF(N353="","",N353/MAX(N$5:N353)-1)</f>
        <v/>
      </c>
      <c r="Q353" s="13" t="str">
        <f>IF(OR('实盘净值数据(iFinD）'!$A353="",'实盘净值数据(iFinD）'!$B353="",'实盘净值数据(iFinD）'!$Z353="",'实盘净值数据(iFinD）'!$AA353=""),"",分期持仓明细!$AB$25*(SUMPRODUCT(分期持仓明细!$B$25:$Y$25,'实盘净值数据(iFinD）'!$B353:$Y353/'实盘净值数据(iFinD）'!$B$65:$Y$65)+SUMPRODUCT(分期持仓明细!$AC$25:$AD$25,'实盘净值数据(iFinD）'!$Z353:$AA353/'实盘净值数据(iFinD）'!$Z$65:$AA$65))*(1-实盘持仓初始配置!$Z$9)^(('实盘净值数据(iFinD）'!$A353-'实盘净值数据(iFinD）'!$A$8)/365))</f>
        <v/>
      </c>
      <c r="R353" s="16" t="str">
        <f t="shared" si="35"/>
        <v/>
      </c>
      <c r="S353" s="16" t="str">
        <f>IF(Q353="","",Q353/MAX(Q$5:Q353)-1)</f>
        <v/>
      </c>
    </row>
    <row r="354" spans="1:19">
      <c r="A354" s="15" t="str">
        <f>IF('实盘净值数据(iFinD）'!A354="","",'实盘净值数据(iFinD）'!A354)</f>
        <v/>
      </c>
      <c r="B354" s="13" t="str">
        <f>IF(OR('实盘净值数据(iFinD）'!$A354="",'实盘净值数据(iFinD）'!$B354=""),"",分期持仓明细!$AB$17*SUMPRODUCT(分期持仓明细!$B$17:$Y$17,'实盘净值数据(iFinD）'!$B354:$Y354/'实盘净值数据(iFinD）'!$B$20:$Y$20)*(1-实盘持仓初始配置!$Z$4)^(('实盘净值数据(iFinD）'!$A354-'实盘净值数据(iFinD）'!$A$6)/365))</f>
        <v/>
      </c>
      <c r="C354" s="16" t="str">
        <f t="shared" si="30"/>
        <v/>
      </c>
      <c r="D354" s="16" t="str">
        <f>IF(B354="","",B354/MAX(B$5:B354)-1)</f>
        <v/>
      </c>
      <c r="E354" s="13" t="str">
        <f>IF(OR('实盘净值数据(iFinD）'!$A354="",'实盘净值数据(iFinD）'!$B354=""),"",分期持仓明细!$AB$18*SUMPRODUCT(分期持仓明细!$B$18:$Y$18,'实盘净值数据(iFinD）'!$B354:$Y354/'实盘净值数据(iFinD）'!$B$20:$Y$20)*(1-实盘持仓初始配置!$Z$5)^(('实盘净值数据(iFinD）'!$A354-'实盘净值数据(iFinD）'!$A$5)/365))</f>
        <v/>
      </c>
      <c r="F354" s="16" t="str">
        <f t="shared" si="31"/>
        <v/>
      </c>
      <c r="G354" s="16" t="str">
        <f>IF(E354="","",E354/MAX(E$5:E354)-1)</f>
        <v/>
      </c>
      <c r="H354" s="13" t="str">
        <f>IF(OR('实盘净值数据(iFinD）'!$A354="",'实盘净值数据(iFinD）'!$B354=""),"",分期持仓明细!$AB$19*SUMPRODUCT(分期持仓明细!$B$19:$Y$19,'实盘净值数据(iFinD）'!$B354:$Y354/'实盘净值数据(iFinD）'!$B$20:$Y$20)*(1-实盘持仓初始配置!$Z$6)^(('实盘净值数据(iFinD）'!$A354-'实盘净值数据(iFinD）'!$A$7)/365))</f>
        <v/>
      </c>
      <c r="I354" s="16" t="str">
        <f t="shared" si="32"/>
        <v/>
      </c>
      <c r="J354" s="16" t="str">
        <f>IF(H354="","",H354/MAX(H$5:H354)-1)</f>
        <v/>
      </c>
      <c r="K354" s="13" t="str">
        <f>IF(OR('实盘净值数据(iFinD）'!$A354="",'实盘净值数据(iFinD）'!$B354="",'实盘净值数据(iFinD）'!$Z354="",'实盘净值数据(iFinD）'!$AA354=""),"",分期持仓明细!$AB$23*(SUMPRODUCT(分期持仓明细!$B$23:$Y$23,'实盘净值数据(iFinD）'!$B354:$Y354/'实盘净值数据(iFinD）'!$B$65:$Y$65)+SUMPRODUCT(分期持仓明细!$AC$23:$AD$23,'实盘净值数据(iFinD）'!$Z354:$AA354/'实盘净值数据(iFinD）'!$Z$65:$AA$65))*(1-实盘持仓初始配置!$Z$7)^(('实盘净值数据(iFinD）'!$A354-'实盘净值数据(iFinD）'!$A$8)/365))</f>
        <v/>
      </c>
      <c r="L354" s="16" t="str">
        <f t="shared" si="33"/>
        <v/>
      </c>
      <c r="M354" s="16" t="str">
        <f>IF(K354="","",K354/MAX(K$5:K354)-1)</f>
        <v/>
      </c>
      <c r="N354" s="13" t="str">
        <f>IF(OR('实盘净值数据(iFinD）'!$A354="",'实盘净值数据(iFinD）'!$B354="",'实盘净值数据(iFinD）'!$Z354="",'实盘净值数据(iFinD）'!$AA354=""),"",分期持仓明细!$AB$24*(SUMPRODUCT(分期持仓明细!$B$24:$Y$24,'实盘净值数据(iFinD）'!$B354:$Y354/'实盘净值数据(iFinD）'!$B$65:$Y$65)+SUMPRODUCT(分期持仓明细!$AC$24:$AD$24,'实盘净值数据(iFinD）'!$Z354:$AA354/'实盘净值数据(iFinD）'!$Z$65:$AA$65))*(1-实盘持仓初始配置!$Z$8)^(('实盘净值数据(iFinD）'!$A354-'实盘净值数据(iFinD）'!$A$5)/365))</f>
        <v/>
      </c>
      <c r="O354" s="16" t="str">
        <f t="shared" si="34"/>
        <v/>
      </c>
      <c r="P354" s="16" t="str">
        <f>IF(N354="","",N354/MAX(N$5:N354)-1)</f>
        <v/>
      </c>
      <c r="Q354" s="13" t="str">
        <f>IF(OR('实盘净值数据(iFinD）'!$A354="",'实盘净值数据(iFinD）'!$B354="",'实盘净值数据(iFinD）'!$Z354="",'实盘净值数据(iFinD）'!$AA354=""),"",分期持仓明细!$AB$25*(SUMPRODUCT(分期持仓明细!$B$25:$Y$25,'实盘净值数据(iFinD）'!$B354:$Y354/'实盘净值数据(iFinD）'!$B$65:$Y$65)+SUMPRODUCT(分期持仓明细!$AC$25:$AD$25,'实盘净值数据(iFinD）'!$Z354:$AA354/'实盘净值数据(iFinD）'!$Z$65:$AA$65))*(1-实盘持仓初始配置!$Z$9)^(('实盘净值数据(iFinD）'!$A354-'实盘净值数据(iFinD）'!$A$8)/365))</f>
        <v/>
      </c>
      <c r="R354" s="16" t="str">
        <f t="shared" si="35"/>
        <v/>
      </c>
      <c r="S354" s="16" t="str">
        <f>IF(Q354="","",Q354/MAX(Q$5:Q354)-1)</f>
        <v/>
      </c>
    </row>
    <row r="355" spans="1:19">
      <c r="A355" s="15" t="str">
        <f>IF('实盘净值数据(iFinD）'!A355="","",'实盘净值数据(iFinD）'!A355)</f>
        <v/>
      </c>
      <c r="B355" s="13" t="str">
        <f>IF(OR('实盘净值数据(iFinD）'!$A355="",'实盘净值数据(iFinD）'!$B355=""),"",分期持仓明细!$AB$17*SUMPRODUCT(分期持仓明细!$B$17:$Y$17,'实盘净值数据(iFinD）'!$B355:$Y355/'实盘净值数据(iFinD）'!$B$20:$Y$20)*(1-实盘持仓初始配置!$Z$4)^(('实盘净值数据(iFinD）'!$A355-'实盘净值数据(iFinD）'!$A$6)/365))</f>
        <v/>
      </c>
      <c r="C355" s="16" t="str">
        <f t="shared" si="30"/>
        <v/>
      </c>
      <c r="D355" s="16" t="str">
        <f>IF(B355="","",B355/MAX(B$5:B355)-1)</f>
        <v/>
      </c>
      <c r="E355" s="13" t="str">
        <f>IF(OR('实盘净值数据(iFinD）'!$A355="",'实盘净值数据(iFinD）'!$B355=""),"",分期持仓明细!$AB$18*SUMPRODUCT(分期持仓明细!$B$18:$Y$18,'实盘净值数据(iFinD）'!$B355:$Y355/'实盘净值数据(iFinD）'!$B$20:$Y$20)*(1-实盘持仓初始配置!$Z$5)^(('实盘净值数据(iFinD）'!$A355-'实盘净值数据(iFinD）'!$A$5)/365))</f>
        <v/>
      </c>
      <c r="F355" s="16" t="str">
        <f t="shared" si="31"/>
        <v/>
      </c>
      <c r="G355" s="16" t="str">
        <f>IF(E355="","",E355/MAX(E$5:E355)-1)</f>
        <v/>
      </c>
      <c r="H355" s="13" t="str">
        <f>IF(OR('实盘净值数据(iFinD）'!$A355="",'实盘净值数据(iFinD）'!$B355=""),"",分期持仓明细!$AB$19*SUMPRODUCT(分期持仓明细!$B$19:$Y$19,'实盘净值数据(iFinD）'!$B355:$Y355/'实盘净值数据(iFinD）'!$B$20:$Y$20)*(1-实盘持仓初始配置!$Z$6)^(('实盘净值数据(iFinD）'!$A355-'实盘净值数据(iFinD）'!$A$7)/365))</f>
        <v/>
      </c>
      <c r="I355" s="16" t="str">
        <f t="shared" si="32"/>
        <v/>
      </c>
      <c r="J355" s="16" t="str">
        <f>IF(H355="","",H355/MAX(H$5:H355)-1)</f>
        <v/>
      </c>
      <c r="K355" s="13" t="str">
        <f>IF(OR('实盘净值数据(iFinD）'!$A355="",'实盘净值数据(iFinD）'!$B355="",'实盘净值数据(iFinD）'!$Z355="",'实盘净值数据(iFinD）'!$AA355=""),"",分期持仓明细!$AB$23*(SUMPRODUCT(分期持仓明细!$B$23:$Y$23,'实盘净值数据(iFinD）'!$B355:$Y355/'实盘净值数据(iFinD）'!$B$65:$Y$65)+SUMPRODUCT(分期持仓明细!$AC$23:$AD$23,'实盘净值数据(iFinD）'!$Z355:$AA355/'实盘净值数据(iFinD）'!$Z$65:$AA$65))*(1-实盘持仓初始配置!$Z$7)^(('实盘净值数据(iFinD）'!$A355-'实盘净值数据(iFinD）'!$A$8)/365))</f>
        <v/>
      </c>
      <c r="L355" s="16" t="str">
        <f t="shared" si="33"/>
        <v/>
      </c>
      <c r="M355" s="16" t="str">
        <f>IF(K355="","",K355/MAX(K$5:K355)-1)</f>
        <v/>
      </c>
      <c r="N355" s="13" t="str">
        <f>IF(OR('实盘净值数据(iFinD）'!$A355="",'实盘净值数据(iFinD）'!$B355="",'实盘净值数据(iFinD）'!$Z355="",'实盘净值数据(iFinD）'!$AA355=""),"",分期持仓明细!$AB$24*(SUMPRODUCT(分期持仓明细!$B$24:$Y$24,'实盘净值数据(iFinD）'!$B355:$Y355/'实盘净值数据(iFinD）'!$B$65:$Y$65)+SUMPRODUCT(分期持仓明细!$AC$24:$AD$24,'实盘净值数据(iFinD）'!$Z355:$AA355/'实盘净值数据(iFinD）'!$Z$65:$AA$65))*(1-实盘持仓初始配置!$Z$8)^(('实盘净值数据(iFinD）'!$A355-'实盘净值数据(iFinD）'!$A$5)/365))</f>
        <v/>
      </c>
      <c r="O355" s="16" t="str">
        <f t="shared" si="34"/>
        <v/>
      </c>
      <c r="P355" s="16" t="str">
        <f>IF(N355="","",N355/MAX(N$5:N355)-1)</f>
        <v/>
      </c>
      <c r="Q355" s="13" t="str">
        <f>IF(OR('实盘净值数据(iFinD）'!$A355="",'实盘净值数据(iFinD）'!$B355="",'实盘净值数据(iFinD）'!$Z355="",'实盘净值数据(iFinD）'!$AA355=""),"",分期持仓明细!$AB$25*(SUMPRODUCT(分期持仓明细!$B$25:$Y$25,'实盘净值数据(iFinD）'!$B355:$Y355/'实盘净值数据(iFinD）'!$B$65:$Y$65)+SUMPRODUCT(分期持仓明细!$AC$25:$AD$25,'实盘净值数据(iFinD）'!$Z355:$AA355/'实盘净值数据(iFinD）'!$Z$65:$AA$65))*(1-实盘持仓初始配置!$Z$9)^(('实盘净值数据(iFinD）'!$A355-'实盘净值数据(iFinD）'!$A$8)/365))</f>
        <v/>
      </c>
      <c r="R355" s="16" t="str">
        <f t="shared" si="35"/>
        <v/>
      </c>
      <c r="S355" s="16" t="str">
        <f>IF(Q355="","",Q355/MAX(Q$5:Q355)-1)</f>
        <v/>
      </c>
    </row>
    <row r="356" spans="1:19">
      <c r="A356" s="15" t="str">
        <f>IF('实盘净值数据(iFinD）'!A356="","",'实盘净值数据(iFinD）'!A356)</f>
        <v/>
      </c>
      <c r="B356" s="13" t="str">
        <f>IF(OR('实盘净值数据(iFinD）'!$A356="",'实盘净值数据(iFinD）'!$B356=""),"",分期持仓明细!$AB$17*SUMPRODUCT(分期持仓明细!$B$17:$Y$17,'实盘净值数据(iFinD）'!$B356:$Y356/'实盘净值数据(iFinD）'!$B$20:$Y$20)*(1-实盘持仓初始配置!$Z$4)^(('实盘净值数据(iFinD）'!$A356-'实盘净值数据(iFinD）'!$A$6)/365))</f>
        <v/>
      </c>
      <c r="C356" s="16" t="str">
        <f t="shared" si="30"/>
        <v/>
      </c>
      <c r="D356" s="16" t="str">
        <f>IF(B356="","",B356/MAX(B$5:B356)-1)</f>
        <v/>
      </c>
      <c r="E356" s="13" t="str">
        <f>IF(OR('实盘净值数据(iFinD）'!$A356="",'实盘净值数据(iFinD）'!$B356=""),"",分期持仓明细!$AB$18*SUMPRODUCT(分期持仓明细!$B$18:$Y$18,'实盘净值数据(iFinD）'!$B356:$Y356/'实盘净值数据(iFinD）'!$B$20:$Y$20)*(1-实盘持仓初始配置!$Z$5)^(('实盘净值数据(iFinD）'!$A356-'实盘净值数据(iFinD）'!$A$5)/365))</f>
        <v/>
      </c>
      <c r="F356" s="16" t="str">
        <f t="shared" si="31"/>
        <v/>
      </c>
      <c r="G356" s="16" t="str">
        <f>IF(E356="","",E356/MAX(E$5:E356)-1)</f>
        <v/>
      </c>
      <c r="H356" s="13" t="str">
        <f>IF(OR('实盘净值数据(iFinD）'!$A356="",'实盘净值数据(iFinD）'!$B356=""),"",分期持仓明细!$AB$19*SUMPRODUCT(分期持仓明细!$B$19:$Y$19,'实盘净值数据(iFinD）'!$B356:$Y356/'实盘净值数据(iFinD）'!$B$20:$Y$20)*(1-实盘持仓初始配置!$Z$6)^(('实盘净值数据(iFinD）'!$A356-'实盘净值数据(iFinD）'!$A$7)/365))</f>
        <v/>
      </c>
      <c r="I356" s="16" t="str">
        <f t="shared" si="32"/>
        <v/>
      </c>
      <c r="J356" s="16" t="str">
        <f>IF(H356="","",H356/MAX(H$5:H356)-1)</f>
        <v/>
      </c>
      <c r="K356" s="13" t="str">
        <f>IF(OR('实盘净值数据(iFinD）'!$A356="",'实盘净值数据(iFinD）'!$B356="",'实盘净值数据(iFinD）'!$Z356="",'实盘净值数据(iFinD）'!$AA356=""),"",分期持仓明细!$AB$23*(SUMPRODUCT(分期持仓明细!$B$23:$Y$23,'实盘净值数据(iFinD）'!$B356:$Y356/'实盘净值数据(iFinD）'!$B$65:$Y$65)+SUMPRODUCT(分期持仓明细!$AC$23:$AD$23,'实盘净值数据(iFinD）'!$Z356:$AA356/'实盘净值数据(iFinD）'!$Z$65:$AA$65))*(1-实盘持仓初始配置!$Z$7)^(('实盘净值数据(iFinD）'!$A356-'实盘净值数据(iFinD）'!$A$8)/365))</f>
        <v/>
      </c>
      <c r="L356" s="16" t="str">
        <f t="shared" si="33"/>
        <v/>
      </c>
      <c r="M356" s="16" t="str">
        <f>IF(K356="","",K356/MAX(K$5:K356)-1)</f>
        <v/>
      </c>
      <c r="N356" s="13" t="str">
        <f>IF(OR('实盘净值数据(iFinD）'!$A356="",'实盘净值数据(iFinD）'!$B356="",'实盘净值数据(iFinD）'!$Z356="",'实盘净值数据(iFinD）'!$AA356=""),"",分期持仓明细!$AB$24*(SUMPRODUCT(分期持仓明细!$B$24:$Y$24,'实盘净值数据(iFinD）'!$B356:$Y356/'实盘净值数据(iFinD）'!$B$65:$Y$65)+SUMPRODUCT(分期持仓明细!$AC$24:$AD$24,'实盘净值数据(iFinD）'!$Z356:$AA356/'实盘净值数据(iFinD）'!$Z$65:$AA$65))*(1-实盘持仓初始配置!$Z$8)^(('实盘净值数据(iFinD）'!$A356-'实盘净值数据(iFinD）'!$A$5)/365))</f>
        <v/>
      </c>
      <c r="O356" s="16" t="str">
        <f t="shared" si="34"/>
        <v/>
      </c>
      <c r="P356" s="16" t="str">
        <f>IF(N356="","",N356/MAX(N$5:N356)-1)</f>
        <v/>
      </c>
      <c r="Q356" s="13" t="str">
        <f>IF(OR('实盘净值数据(iFinD）'!$A356="",'实盘净值数据(iFinD）'!$B356="",'实盘净值数据(iFinD）'!$Z356="",'实盘净值数据(iFinD）'!$AA356=""),"",分期持仓明细!$AB$25*(SUMPRODUCT(分期持仓明细!$B$25:$Y$25,'实盘净值数据(iFinD）'!$B356:$Y356/'实盘净值数据(iFinD）'!$B$65:$Y$65)+SUMPRODUCT(分期持仓明细!$AC$25:$AD$25,'实盘净值数据(iFinD）'!$Z356:$AA356/'实盘净值数据(iFinD）'!$Z$65:$AA$65))*(1-实盘持仓初始配置!$Z$9)^(('实盘净值数据(iFinD）'!$A356-'实盘净值数据(iFinD）'!$A$8)/365))</f>
        <v/>
      </c>
      <c r="R356" s="16" t="str">
        <f t="shared" si="35"/>
        <v/>
      </c>
      <c r="S356" s="16" t="str">
        <f>IF(Q356="","",Q356/MAX(Q$5:Q356)-1)</f>
        <v/>
      </c>
    </row>
    <row r="357" spans="1:19">
      <c r="A357" s="15" t="str">
        <f>IF('实盘净值数据(iFinD）'!A357="","",'实盘净值数据(iFinD）'!A357)</f>
        <v/>
      </c>
      <c r="B357" s="13" t="str">
        <f>IF(OR('实盘净值数据(iFinD）'!$A357="",'实盘净值数据(iFinD）'!$B357=""),"",分期持仓明细!$AB$17*SUMPRODUCT(分期持仓明细!$B$17:$Y$17,'实盘净值数据(iFinD）'!$B357:$Y357/'实盘净值数据(iFinD）'!$B$20:$Y$20)*(1-实盘持仓初始配置!$Z$4)^(('实盘净值数据(iFinD）'!$A357-'实盘净值数据(iFinD）'!$A$6)/365))</f>
        <v/>
      </c>
      <c r="C357" s="16" t="str">
        <f t="shared" si="30"/>
        <v/>
      </c>
      <c r="D357" s="16" t="str">
        <f>IF(B357="","",B357/MAX(B$5:B357)-1)</f>
        <v/>
      </c>
      <c r="E357" s="13" t="str">
        <f>IF(OR('实盘净值数据(iFinD）'!$A357="",'实盘净值数据(iFinD）'!$B357=""),"",分期持仓明细!$AB$18*SUMPRODUCT(分期持仓明细!$B$18:$Y$18,'实盘净值数据(iFinD）'!$B357:$Y357/'实盘净值数据(iFinD）'!$B$20:$Y$20)*(1-实盘持仓初始配置!$Z$5)^(('实盘净值数据(iFinD）'!$A357-'实盘净值数据(iFinD）'!$A$5)/365))</f>
        <v/>
      </c>
      <c r="F357" s="16" t="str">
        <f t="shared" si="31"/>
        <v/>
      </c>
      <c r="G357" s="16" t="str">
        <f>IF(E357="","",E357/MAX(E$5:E357)-1)</f>
        <v/>
      </c>
      <c r="H357" s="13" t="str">
        <f>IF(OR('实盘净值数据(iFinD）'!$A357="",'实盘净值数据(iFinD）'!$B357=""),"",分期持仓明细!$AB$19*SUMPRODUCT(分期持仓明细!$B$19:$Y$19,'实盘净值数据(iFinD）'!$B357:$Y357/'实盘净值数据(iFinD）'!$B$20:$Y$20)*(1-实盘持仓初始配置!$Z$6)^(('实盘净值数据(iFinD）'!$A357-'实盘净值数据(iFinD）'!$A$7)/365))</f>
        <v/>
      </c>
      <c r="I357" s="16" t="str">
        <f t="shared" si="32"/>
        <v/>
      </c>
      <c r="J357" s="16" t="str">
        <f>IF(H357="","",H357/MAX(H$5:H357)-1)</f>
        <v/>
      </c>
      <c r="K357" s="13" t="str">
        <f>IF(OR('实盘净值数据(iFinD）'!$A357="",'实盘净值数据(iFinD）'!$B357="",'实盘净值数据(iFinD）'!$Z357="",'实盘净值数据(iFinD）'!$AA357=""),"",分期持仓明细!$AB$23*(SUMPRODUCT(分期持仓明细!$B$23:$Y$23,'实盘净值数据(iFinD）'!$B357:$Y357/'实盘净值数据(iFinD）'!$B$65:$Y$65)+SUMPRODUCT(分期持仓明细!$AC$23:$AD$23,'实盘净值数据(iFinD）'!$Z357:$AA357/'实盘净值数据(iFinD）'!$Z$65:$AA$65))*(1-实盘持仓初始配置!$Z$7)^(('实盘净值数据(iFinD）'!$A357-'实盘净值数据(iFinD）'!$A$8)/365))</f>
        <v/>
      </c>
      <c r="L357" s="16" t="str">
        <f t="shared" si="33"/>
        <v/>
      </c>
      <c r="M357" s="16" t="str">
        <f>IF(K357="","",K357/MAX(K$5:K357)-1)</f>
        <v/>
      </c>
      <c r="N357" s="13" t="str">
        <f>IF(OR('实盘净值数据(iFinD）'!$A357="",'实盘净值数据(iFinD）'!$B357="",'实盘净值数据(iFinD）'!$Z357="",'实盘净值数据(iFinD）'!$AA357=""),"",分期持仓明细!$AB$24*(SUMPRODUCT(分期持仓明细!$B$24:$Y$24,'实盘净值数据(iFinD）'!$B357:$Y357/'实盘净值数据(iFinD）'!$B$65:$Y$65)+SUMPRODUCT(分期持仓明细!$AC$24:$AD$24,'实盘净值数据(iFinD）'!$Z357:$AA357/'实盘净值数据(iFinD）'!$Z$65:$AA$65))*(1-实盘持仓初始配置!$Z$8)^(('实盘净值数据(iFinD）'!$A357-'实盘净值数据(iFinD）'!$A$5)/365))</f>
        <v/>
      </c>
      <c r="O357" s="16" t="str">
        <f t="shared" si="34"/>
        <v/>
      </c>
      <c r="P357" s="16" t="str">
        <f>IF(N357="","",N357/MAX(N$5:N357)-1)</f>
        <v/>
      </c>
      <c r="Q357" s="13" t="str">
        <f>IF(OR('实盘净值数据(iFinD）'!$A357="",'实盘净值数据(iFinD）'!$B357="",'实盘净值数据(iFinD）'!$Z357="",'实盘净值数据(iFinD）'!$AA357=""),"",分期持仓明细!$AB$25*(SUMPRODUCT(分期持仓明细!$B$25:$Y$25,'实盘净值数据(iFinD）'!$B357:$Y357/'实盘净值数据(iFinD）'!$B$65:$Y$65)+SUMPRODUCT(分期持仓明细!$AC$25:$AD$25,'实盘净值数据(iFinD）'!$Z357:$AA357/'实盘净值数据(iFinD）'!$Z$65:$AA$65))*(1-实盘持仓初始配置!$Z$9)^(('实盘净值数据(iFinD）'!$A357-'实盘净值数据(iFinD）'!$A$8)/365))</f>
        <v/>
      </c>
      <c r="R357" s="16" t="str">
        <f t="shared" si="35"/>
        <v/>
      </c>
      <c r="S357" s="16" t="str">
        <f>IF(Q357="","",Q357/MAX(Q$5:Q357)-1)</f>
        <v/>
      </c>
    </row>
    <row r="358" spans="1:19">
      <c r="A358" s="15" t="str">
        <f>IF('实盘净值数据(iFinD）'!A358="","",'实盘净值数据(iFinD）'!A358)</f>
        <v/>
      </c>
      <c r="B358" s="13" t="str">
        <f>IF(OR('实盘净值数据(iFinD）'!$A358="",'实盘净值数据(iFinD）'!$B358=""),"",分期持仓明细!$AB$17*SUMPRODUCT(分期持仓明细!$B$17:$Y$17,'实盘净值数据(iFinD）'!$B358:$Y358/'实盘净值数据(iFinD）'!$B$20:$Y$20)*(1-实盘持仓初始配置!$Z$4)^(('实盘净值数据(iFinD）'!$A358-'实盘净值数据(iFinD）'!$A$6)/365))</f>
        <v/>
      </c>
      <c r="C358" s="16" t="str">
        <f t="shared" si="30"/>
        <v/>
      </c>
      <c r="D358" s="16" t="str">
        <f>IF(B358="","",B358/MAX(B$5:B358)-1)</f>
        <v/>
      </c>
      <c r="E358" s="13" t="str">
        <f>IF(OR('实盘净值数据(iFinD）'!$A358="",'实盘净值数据(iFinD）'!$B358=""),"",分期持仓明细!$AB$18*SUMPRODUCT(分期持仓明细!$B$18:$Y$18,'实盘净值数据(iFinD）'!$B358:$Y358/'实盘净值数据(iFinD）'!$B$20:$Y$20)*(1-实盘持仓初始配置!$Z$5)^(('实盘净值数据(iFinD）'!$A358-'实盘净值数据(iFinD）'!$A$5)/365))</f>
        <v/>
      </c>
      <c r="F358" s="16" t="str">
        <f t="shared" si="31"/>
        <v/>
      </c>
      <c r="G358" s="16" t="str">
        <f>IF(E358="","",E358/MAX(E$5:E358)-1)</f>
        <v/>
      </c>
      <c r="H358" s="13" t="str">
        <f>IF(OR('实盘净值数据(iFinD）'!$A358="",'实盘净值数据(iFinD）'!$B358=""),"",分期持仓明细!$AB$19*SUMPRODUCT(分期持仓明细!$B$19:$Y$19,'实盘净值数据(iFinD）'!$B358:$Y358/'实盘净值数据(iFinD）'!$B$20:$Y$20)*(1-实盘持仓初始配置!$Z$6)^(('实盘净值数据(iFinD）'!$A358-'实盘净值数据(iFinD）'!$A$7)/365))</f>
        <v/>
      </c>
      <c r="I358" s="16" t="str">
        <f t="shared" si="32"/>
        <v/>
      </c>
      <c r="J358" s="16" t="str">
        <f>IF(H358="","",H358/MAX(H$5:H358)-1)</f>
        <v/>
      </c>
      <c r="K358" s="13" t="str">
        <f>IF(OR('实盘净值数据(iFinD）'!$A358="",'实盘净值数据(iFinD）'!$B358="",'实盘净值数据(iFinD）'!$Z358="",'实盘净值数据(iFinD）'!$AA358=""),"",分期持仓明细!$AB$23*(SUMPRODUCT(分期持仓明细!$B$23:$Y$23,'实盘净值数据(iFinD）'!$B358:$Y358/'实盘净值数据(iFinD）'!$B$65:$Y$65)+SUMPRODUCT(分期持仓明细!$AC$23:$AD$23,'实盘净值数据(iFinD）'!$Z358:$AA358/'实盘净值数据(iFinD）'!$Z$65:$AA$65))*(1-实盘持仓初始配置!$Z$7)^(('实盘净值数据(iFinD）'!$A358-'实盘净值数据(iFinD）'!$A$8)/365))</f>
        <v/>
      </c>
      <c r="L358" s="16" t="str">
        <f t="shared" si="33"/>
        <v/>
      </c>
      <c r="M358" s="16" t="str">
        <f>IF(K358="","",K358/MAX(K$5:K358)-1)</f>
        <v/>
      </c>
      <c r="N358" s="13" t="str">
        <f>IF(OR('实盘净值数据(iFinD）'!$A358="",'实盘净值数据(iFinD）'!$B358="",'实盘净值数据(iFinD）'!$Z358="",'实盘净值数据(iFinD）'!$AA358=""),"",分期持仓明细!$AB$24*(SUMPRODUCT(分期持仓明细!$B$24:$Y$24,'实盘净值数据(iFinD）'!$B358:$Y358/'实盘净值数据(iFinD）'!$B$65:$Y$65)+SUMPRODUCT(分期持仓明细!$AC$24:$AD$24,'实盘净值数据(iFinD）'!$Z358:$AA358/'实盘净值数据(iFinD）'!$Z$65:$AA$65))*(1-实盘持仓初始配置!$Z$8)^(('实盘净值数据(iFinD）'!$A358-'实盘净值数据(iFinD）'!$A$5)/365))</f>
        <v/>
      </c>
      <c r="O358" s="16" t="str">
        <f t="shared" si="34"/>
        <v/>
      </c>
      <c r="P358" s="16" t="str">
        <f>IF(N358="","",N358/MAX(N$5:N358)-1)</f>
        <v/>
      </c>
      <c r="Q358" s="13" t="str">
        <f>IF(OR('实盘净值数据(iFinD）'!$A358="",'实盘净值数据(iFinD）'!$B358="",'实盘净值数据(iFinD）'!$Z358="",'实盘净值数据(iFinD）'!$AA358=""),"",分期持仓明细!$AB$25*(SUMPRODUCT(分期持仓明细!$B$25:$Y$25,'实盘净值数据(iFinD）'!$B358:$Y358/'实盘净值数据(iFinD）'!$B$65:$Y$65)+SUMPRODUCT(分期持仓明细!$AC$25:$AD$25,'实盘净值数据(iFinD）'!$Z358:$AA358/'实盘净值数据(iFinD）'!$Z$65:$AA$65))*(1-实盘持仓初始配置!$Z$9)^(('实盘净值数据(iFinD）'!$A358-'实盘净值数据(iFinD）'!$A$8)/365))</f>
        <v/>
      </c>
      <c r="R358" s="16" t="str">
        <f t="shared" si="35"/>
        <v/>
      </c>
      <c r="S358" s="16" t="str">
        <f>IF(Q358="","",Q358/MAX(Q$5:Q358)-1)</f>
        <v/>
      </c>
    </row>
    <row r="359" spans="1:19">
      <c r="A359" s="15" t="str">
        <f>IF('实盘净值数据(iFinD）'!A359="","",'实盘净值数据(iFinD）'!A359)</f>
        <v/>
      </c>
      <c r="B359" s="13" t="str">
        <f>IF(OR('实盘净值数据(iFinD）'!$A359="",'实盘净值数据(iFinD）'!$B359=""),"",分期持仓明细!$AB$17*SUMPRODUCT(分期持仓明细!$B$17:$Y$17,'实盘净值数据(iFinD）'!$B359:$Y359/'实盘净值数据(iFinD）'!$B$20:$Y$20)*(1-实盘持仓初始配置!$Z$4)^(('实盘净值数据(iFinD）'!$A359-'实盘净值数据(iFinD）'!$A$6)/365))</f>
        <v/>
      </c>
      <c r="C359" s="16" t="str">
        <f t="shared" si="30"/>
        <v/>
      </c>
      <c r="D359" s="16" t="str">
        <f>IF(B359="","",B359/MAX(B$5:B359)-1)</f>
        <v/>
      </c>
      <c r="E359" s="13" t="str">
        <f>IF(OR('实盘净值数据(iFinD）'!$A359="",'实盘净值数据(iFinD）'!$B359=""),"",分期持仓明细!$AB$18*SUMPRODUCT(分期持仓明细!$B$18:$Y$18,'实盘净值数据(iFinD）'!$B359:$Y359/'实盘净值数据(iFinD）'!$B$20:$Y$20)*(1-实盘持仓初始配置!$Z$5)^(('实盘净值数据(iFinD）'!$A359-'实盘净值数据(iFinD）'!$A$5)/365))</f>
        <v/>
      </c>
      <c r="F359" s="16" t="str">
        <f t="shared" si="31"/>
        <v/>
      </c>
      <c r="G359" s="16" t="str">
        <f>IF(E359="","",E359/MAX(E$5:E359)-1)</f>
        <v/>
      </c>
      <c r="H359" s="13" t="str">
        <f>IF(OR('实盘净值数据(iFinD）'!$A359="",'实盘净值数据(iFinD）'!$B359=""),"",分期持仓明细!$AB$19*SUMPRODUCT(分期持仓明细!$B$19:$Y$19,'实盘净值数据(iFinD）'!$B359:$Y359/'实盘净值数据(iFinD）'!$B$20:$Y$20)*(1-实盘持仓初始配置!$Z$6)^(('实盘净值数据(iFinD）'!$A359-'实盘净值数据(iFinD）'!$A$7)/365))</f>
        <v/>
      </c>
      <c r="I359" s="16" t="str">
        <f t="shared" si="32"/>
        <v/>
      </c>
      <c r="J359" s="16" t="str">
        <f>IF(H359="","",H359/MAX(H$5:H359)-1)</f>
        <v/>
      </c>
      <c r="K359" s="13" t="str">
        <f>IF(OR('实盘净值数据(iFinD）'!$A359="",'实盘净值数据(iFinD）'!$B359="",'实盘净值数据(iFinD）'!$Z359="",'实盘净值数据(iFinD）'!$AA359=""),"",分期持仓明细!$AB$23*(SUMPRODUCT(分期持仓明细!$B$23:$Y$23,'实盘净值数据(iFinD）'!$B359:$Y359/'实盘净值数据(iFinD）'!$B$65:$Y$65)+SUMPRODUCT(分期持仓明细!$AC$23:$AD$23,'实盘净值数据(iFinD）'!$Z359:$AA359/'实盘净值数据(iFinD）'!$Z$65:$AA$65))*(1-实盘持仓初始配置!$Z$7)^(('实盘净值数据(iFinD）'!$A359-'实盘净值数据(iFinD）'!$A$8)/365))</f>
        <v/>
      </c>
      <c r="L359" s="16" t="str">
        <f t="shared" si="33"/>
        <v/>
      </c>
      <c r="M359" s="16" t="str">
        <f>IF(K359="","",K359/MAX(K$5:K359)-1)</f>
        <v/>
      </c>
      <c r="N359" s="13" t="str">
        <f>IF(OR('实盘净值数据(iFinD）'!$A359="",'实盘净值数据(iFinD）'!$B359="",'实盘净值数据(iFinD）'!$Z359="",'实盘净值数据(iFinD）'!$AA359=""),"",分期持仓明细!$AB$24*(SUMPRODUCT(分期持仓明细!$B$24:$Y$24,'实盘净值数据(iFinD）'!$B359:$Y359/'实盘净值数据(iFinD）'!$B$65:$Y$65)+SUMPRODUCT(分期持仓明细!$AC$24:$AD$24,'实盘净值数据(iFinD）'!$Z359:$AA359/'实盘净值数据(iFinD）'!$Z$65:$AA$65))*(1-实盘持仓初始配置!$Z$8)^(('实盘净值数据(iFinD）'!$A359-'实盘净值数据(iFinD）'!$A$5)/365))</f>
        <v/>
      </c>
      <c r="O359" s="16" t="str">
        <f t="shared" si="34"/>
        <v/>
      </c>
      <c r="P359" s="16" t="str">
        <f>IF(N359="","",N359/MAX(N$5:N359)-1)</f>
        <v/>
      </c>
      <c r="Q359" s="13" t="str">
        <f>IF(OR('实盘净值数据(iFinD）'!$A359="",'实盘净值数据(iFinD）'!$B359="",'实盘净值数据(iFinD）'!$Z359="",'实盘净值数据(iFinD）'!$AA359=""),"",分期持仓明细!$AB$25*(SUMPRODUCT(分期持仓明细!$B$25:$Y$25,'实盘净值数据(iFinD）'!$B359:$Y359/'实盘净值数据(iFinD）'!$B$65:$Y$65)+SUMPRODUCT(分期持仓明细!$AC$25:$AD$25,'实盘净值数据(iFinD）'!$Z359:$AA359/'实盘净值数据(iFinD）'!$Z$65:$AA$65))*(1-实盘持仓初始配置!$Z$9)^(('实盘净值数据(iFinD）'!$A359-'实盘净值数据(iFinD）'!$A$8)/365))</f>
        <v/>
      </c>
      <c r="R359" s="16" t="str">
        <f t="shared" si="35"/>
        <v/>
      </c>
      <c r="S359" s="16" t="str">
        <f>IF(Q359="","",Q359/MAX(Q$5:Q359)-1)</f>
        <v/>
      </c>
    </row>
    <row r="360" spans="1:19">
      <c r="A360" s="15" t="str">
        <f>IF('实盘净值数据(iFinD）'!A360="","",'实盘净值数据(iFinD）'!A360)</f>
        <v/>
      </c>
      <c r="B360" s="13" t="str">
        <f>IF(OR('实盘净值数据(iFinD）'!$A360="",'实盘净值数据(iFinD）'!$B360=""),"",分期持仓明细!$AB$17*SUMPRODUCT(分期持仓明细!$B$17:$Y$17,'实盘净值数据(iFinD）'!$B360:$Y360/'实盘净值数据(iFinD）'!$B$20:$Y$20)*(1-实盘持仓初始配置!$Z$4)^(('实盘净值数据(iFinD）'!$A360-'实盘净值数据(iFinD）'!$A$6)/365))</f>
        <v/>
      </c>
      <c r="C360" s="16" t="str">
        <f t="shared" si="30"/>
        <v/>
      </c>
      <c r="D360" s="16" t="str">
        <f>IF(B360="","",B360/MAX(B$5:B360)-1)</f>
        <v/>
      </c>
      <c r="E360" s="13" t="str">
        <f>IF(OR('实盘净值数据(iFinD）'!$A360="",'实盘净值数据(iFinD）'!$B360=""),"",分期持仓明细!$AB$18*SUMPRODUCT(分期持仓明细!$B$18:$Y$18,'实盘净值数据(iFinD）'!$B360:$Y360/'实盘净值数据(iFinD）'!$B$20:$Y$20)*(1-实盘持仓初始配置!$Z$5)^(('实盘净值数据(iFinD）'!$A360-'实盘净值数据(iFinD）'!$A$5)/365))</f>
        <v/>
      </c>
      <c r="F360" s="16" t="str">
        <f t="shared" si="31"/>
        <v/>
      </c>
      <c r="G360" s="16" t="str">
        <f>IF(E360="","",E360/MAX(E$5:E360)-1)</f>
        <v/>
      </c>
      <c r="H360" s="13" t="str">
        <f>IF(OR('实盘净值数据(iFinD）'!$A360="",'实盘净值数据(iFinD）'!$B360=""),"",分期持仓明细!$AB$19*SUMPRODUCT(分期持仓明细!$B$19:$Y$19,'实盘净值数据(iFinD）'!$B360:$Y360/'实盘净值数据(iFinD）'!$B$20:$Y$20)*(1-实盘持仓初始配置!$Z$6)^(('实盘净值数据(iFinD）'!$A360-'实盘净值数据(iFinD）'!$A$7)/365))</f>
        <v/>
      </c>
      <c r="I360" s="16" t="str">
        <f t="shared" si="32"/>
        <v/>
      </c>
      <c r="J360" s="16" t="str">
        <f>IF(H360="","",H360/MAX(H$5:H360)-1)</f>
        <v/>
      </c>
      <c r="K360" s="13" t="str">
        <f>IF(OR('实盘净值数据(iFinD）'!$A360="",'实盘净值数据(iFinD）'!$B360="",'实盘净值数据(iFinD）'!$Z360="",'实盘净值数据(iFinD）'!$AA360=""),"",分期持仓明细!$AB$23*(SUMPRODUCT(分期持仓明细!$B$23:$Y$23,'实盘净值数据(iFinD）'!$B360:$Y360/'实盘净值数据(iFinD）'!$B$65:$Y$65)+SUMPRODUCT(分期持仓明细!$AC$23:$AD$23,'实盘净值数据(iFinD）'!$Z360:$AA360/'实盘净值数据(iFinD）'!$Z$65:$AA$65))*(1-实盘持仓初始配置!$Z$7)^(('实盘净值数据(iFinD）'!$A360-'实盘净值数据(iFinD）'!$A$8)/365))</f>
        <v/>
      </c>
      <c r="L360" s="16" t="str">
        <f t="shared" si="33"/>
        <v/>
      </c>
      <c r="M360" s="16" t="str">
        <f>IF(K360="","",K360/MAX(K$5:K360)-1)</f>
        <v/>
      </c>
      <c r="N360" s="13" t="str">
        <f>IF(OR('实盘净值数据(iFinD）'!$A360="",'实盘净值数据(iFinD）'!$B360="",'实盘净值数据(iFinD）'!$Z360="",'实盘净值数据(iFinD）'!$AA360=""),"",分期持仓明细!$AB$24*(SUMPRODUCT(分期持仓明细!$B$24:$Y$24,'实盘净值数据(iFinD）'!$B360:$Y360/'实盘净值数据(iFinD）'!$B$65:$Y$65)+SUMPRODUCT(分期持仓明细!$AC$24:$AD$24,'实盘净值数据(iFinD）'!$Z360:$AA360/'实盘净值数据(iFinD）'!$Z$65:$AA$65))*(1-实盘持仓初始配置!$Z$8)^(('实盘净值数据(iFinD）'!$A360-'实盘净值数据(iFinD）'!$A$5)/365))</f>
        <v/>
      </c>
      <c r="O360" s="16" t="str">
        <f t="shared" si="34"/>
        <v/>
      </c>
      <c r="P360" s="16" t="str">
        <f>IF(N360="","",N360/MAX(N$5:N360)-1)</f>
        <v/>
      </c>
      <c r="Q360" s="13" t="str">
        <f>IF(OR('实盘净值数据(iFinD）'!$A360="",'实盘净值数据(iFinD）'!$B360="",'实盘净值数据(iFinD）'!$Z360="",'实盘净值数据(iFinD）'!$AA360=""),"",分期持仓明细!$AB$25*(SUMPRODUCT(分期持仓明细!$B$25:$Y$25,'实盘净值数据(iFinD）'!$B360:$Y360/'实盘净值数据(iFinD）'!$B$65:$Y$65)+SUMPRODUCT(分期持仓明细!$AC$25:$AD$25,'实盘净值数据(iFinD）'!$Z360:$AA360/'实盘净值数据(iFinD）'!$Z$65:$AA$65))*(1-实盘持仓初始配置!$Z$9)^(('实盘净值数据(iFinD）'!$A360-'实盘净值数据(iFinD）'!$A$8)/365))</f>
        <v/>
      </c>
      <c r="R360" s="16" t="str">
        <f t="shared" si="35"/>
        <v/>
      </c>
      <c r="S360" s="16" t="str">
        <f>IF(Q360="","",Q360/MAX(Q$5:Q360)-1)</f>
        <v/>
      </c>
    </row>
    <row r="361" spans="1:19">
      <c r="A361" s="15" t="str">
        <f>IF('实盘净值数据(iFinD）'!A361="","",'实盘净值数据(iFinD）'!A361)</f>
        <v/>
      </c>
      <c r="B361" s="13" t="str">
        <f>IF(OR('实盘净值数据(iFinD）'!$A361="",'实盘净值数据(iFinD）'!$B361=""),"",分期持仓明细!$AB$17*SUMPRODUCT(分期持仓明细!$B$17:$Y$17,'实盘净值数据(iFinD）'!$B361:$Y361/'实盘净值数据(iFinD）'!$B$20:$Y$20)*(1-实盘持仓初始配置!$Z$4)^(('实盘净值数据(iFinD）'!$A361-'实盘净值数据(iFinD）'!$A$6)/365))</f>
        <v/>
      </c>
      <c r="C361" s="16" t="str">
        <f t="shared" si="30"/>
        <v/>
      </c>
      <c r="D361" s="16" t="str">
        <f>IF(B361="","",B361/MAX(B$5:B361)-1)</f>
        <v/>
      </c>
      <c r="E361" s="13" t="str">
        <f>IF(OR('实盘净值数据(iFinD）'!$A361="",'实盘净值数据(iFinD）'!$B361=""),"",分期持仓明细!$AB$18*SUMPRODUCT(分期持仓明细!$B$18:$Y$18,'实盘净值数据(iFinD）'!$B361:$Y361/'实盘净值数据(iFinD）'!$B$20:$Y$20)*(1-实盘持仓初始配置!$Z$5)^(('实盘净值数据(iFinD）'!$A361-'实盘净值数据(iFinD）'!$A$5)/365))</f>
        <v/>
      </c>
      <c r="F361" s="16" t="str">
        <f t="shared" si="31"/>
        <v/>
      </c>
      <c r="G361" s="16" t="str">
        <f>IF(E361="","",E361/MAX(E$5:E361)-1)</f>
        <v/>
      </c>
      <c r="H361" s="13" t="str">
        <f>IF(OR('实盘净值数据(iFinD）'!$A361="",'实盘净值数据(iFinD）'!$B361=""),"",分期持仓明细!$AB$19*SUMPRODUCT(分期持仓明细!$B$19:$Y$19,'实盘净值数据(iFinD）'!$B361:$Y361/'实盘净值数据(iFinD）'!$B$20:$Y$20)*(1-实盘持仓初始配置!$Z$6)^(('实盘净值数据(iFinD）'!$A361-'实盘净值数据(iFinD）'!$A$7)/365))</f>
        <v/>
      </c>
      <c r="I361" s="16" t="str">
        <f t="shared" si="32"/>
        <v/>
      </c>
      <c r="J361" s="16" t="str">
        <f>IF(H361="","",H361/MAX(H$5:H361)-1)</f>
        <v/>
      </c>
      <c r="K361" s="13" t="str">
        <f>IF(OR('实盘净值数据(iFinD）'!$A361="",'实盘净值数据(iFinD）'!$B361="",'实盘净值数据(iFinD）'!$Z361="",'实盘净值数据(iFinD）'!$AA361=""),"",分期持仓明细!$AB$23*(SUMPRODUCT(分期持仓明细!$B$23:$Y$23,'实盘净值数据(iFinD）'!$B361:$Y361/'实盘净值数据(iFinD）'!$B$65:$Y$65)+SUMPRODUCT(分期持仓明细!$AC$23:$AD$23,'实盘净值数据(iFinD）'!$Z361:$AA361/'实盘净值数据(iFinD）'!$Z$65:$AA$65))*(1-实盘持仓初始配置!$Z$7)^(('实盘净值数据(iFinD）'!$A361-'实盘净值数据(iFinD）'!$A$8)/365))</f>
        <v/>
      </c>
      <c r="L361" s="16" t="str">
        <f t="shared" si="33"/>
        <v/>
      </c>
      <c r="M361" s="16" t="str">
        <f>IF(K361="","",K361/MAX(K$5:K361)-1)</f>
        <v/>
      </c>
      <c r="N361" s="13" t="str">
        <f>IF(OR('实盘净值数据(iFinD）'!$A361="",'实盘净值数据(iFinD）'!$B361="",'实盘净值数据(iFinD）'!$Z361="",'实盘净值数据(iFinD）'!$AA361=""),"",分期持仓明细!$AB$24*(SUMPRODUCT(分期持仓明细!$B$24:$Y$24,'实盘净值数据(iFinD）'!$B361:$Y361/'实盘净值数据(iFinD）'!$B$65:$Y$65)+SUMPRODUCT(分期持仓明细!$AC$24:$AD$24,'实盘净值数据(iFinD）'!$Z361:$AA361/'实盘净值数据(iFinD）'!$Z$65:$AA$65))*(1-实盘持仓初始配置!$Z$8)^(('实盘净值数据(iFinD）'!$A361-'实盘净值数据(iFinD）'!$A$5)/365))</f>
        <v/>
      </c>
      <c r="O361" s="16" t="str">
        <f t="shared" si="34"/>
        <v/>
      </c>
      <c r="P361" s="16" t="str">
        <f>IF(N361="","",N361/MAX(N$5:N361)-1)</f>
        <v/>
      </c>
      <c r="Q361" s="13" t="str">
        <f>IF(OR('实盘净值数据(iFinD）'!$A361="",'实盘净值数据(iFinD）'!$B361="",'实盘净值数据(iFinD）'!$Z361="",'实盘净值数据(iFinD）'!$AA361=""),"",分期持仓明细!$AB$25*(SUMPRODUCT(分期持仓明细!$B$25:$Y$25,'实盘净值数据(iFinD）'!$B361:$Y361/'实盘净值数据(iFinD）'!$B$65:$Y$65)+SUMPRODUCT(分期持仓明细!$AC$25:$AD$25,'实盘净值数据(iFinD）'!$Z361:$AA361/'实盘净值数据(iFinD）'!$Z$65:$AA$65))*(1-实盘持仓初始配置!$Z$9)^(('实盘净值数据(iFinD）'!$A361-'实盘净值数据(iFinD）'!$A$8)/365))</f>
        <v/>
      </c>
      <c r="R361" s="16" t="str">
        <f t="shared" si="35"/>
        <v/>
      </c>
      <c r="S361" s="16" t="str">
        <f>IF(Q361="","",Q361/MAX(Q$5:Q361)-1)</f>
        <v/>
      </c>
    </row>
    <row r="362" spans="1:19">
      <c r="A362" s="15" t="str">
        <f>IF('实盘净值数据(iFinD）'!A362="","",'实盘净值数据(iFinD）'!A362)</f>
        <v/>
      </c>
      <c r="B362" s="13" t="str">
        <f>IF(OR('实盘净值数据(iFinD）'!$A362="",'实盘净值数据(iFinD）'!$B362=""),"",分期持仓明细!$AB$17*SUMPRODUCT(分期持仓明细!$B$17:$Y$17,'实盘净值数据(iFinD）'!$B362:$Y362/'实盘净值数据(iFinD）'!$B$20:$Y$20)*(1-实盘持仓初始配置!$Z$4)^(('实盘净值数据(iFinD）'!$A362-'实盘净值数据(iFinD）'!$A$6)/365))</f>
        <v/>
      </c>
      <c r="C362" s="16" t="str">
        <f t="shared" si="30"/>
        <v/>
      </c>
      <c r="D362" s="16" t="str">
        <f>IF(B362="","",B362/MAX(B$5:B362)-1)</f>
        <v/>
      </c>
      <c r="E362" s="13" t="str">
        <f>IF(OR('实盘净值数据(iFinD）'!$A362="",'实盘净值数据(iFinD）'!$B362=""),"",分期持仓明细!$AB$18*SUMPRODUCT(分期持仓明细!$B$18:$Y$18,'实盘净值数据(iFinD）'!$B362:$Y362/'实盘净值数据(iFinD）'!$B$20:$Y$20)*(1-实盘持仓初始配置!$Z$5)^(('实盘净值数据(iFinD）'!$A362-'实盘净值数据(iFinD）'!$A$5)/365))</f>
        <v/>
      </c>
      <c r="F362" s="16" t="str">
        <f t="shared" si="31"/>
        <v/>
      </c>
      <c r="G362" s="16" t="str">
        <f>IF(E362="","",E362/MAX(E$5:E362)-1)</f>
        <v/>
      </c>
      <c r="H362" s="13" t="str">
        <f>IF(OR('实盘净值数据(iFinD）'!$A362="",'实盘净值数据(iFinD）'!$B362=""),"",分期持仓明细!$AB$19*SUMPRODUCT(分期持仓明细!$B$19:$Y$19,'实盘净值数据(iFinD）'!$B362:$Y362/'实盘净值数据(iFinD）'!$B$20:$Y$20)*(1-实盘持仓初始配置!$Z$6)^(('实盘净值数据(iFinD）'!$A362-'实盘净值数据(iFinD）'!$A$7)/365))</f>
        <v/>
      </c>
      <c r="I362" s="16" t="str">
        <f t="shared" si="32"/>
        <v/>
      </c>
      <c r="J362" s="16" t="str">
        <f>IF(H362="","",H362/MAX(H$5:H362)-1)</f>
        <v/>
      </c>
      <c r="K362" s="13" t="str">
        <f>IF(OR('实盘净值数据(iFinD）'!$A362="",'实盘净值数据(iFinD）'!$B362="",'实盘净值数据(iFinD）'!$Z362="",'实盘净值数据(iFinD）'!$AA362=""),"",分期持仓明细!$AB$23*(SUMPRODUCT(分期持仓明细!$B$23:$Y$23,'实盘净值数据(iFinD）'!$B362:$Y362/'实盘净值数据(iFinD）'!$B$65:$Y$65)+SUMPRODUCT(分期持仓明细!$AC$23:$AD$23,'实盘净值数据(iFinD）'!$Z362:$AA362/'实盘净值数据(iFinD）'!$Z$65:$AA$65))*(1-实盘持仓初始配置!$Z$7)^(('实盘净值数据(iFinD）'!$A362-'实盘净值数据(iFinD）'!$A$8)/365))</f>
        <v/>
      </c>
      <c r="L362" s="16" t="str">
        <f t="shared" si="33"/>
        <v/>
      </c>
      <c r="M362" s="16" t="str">
        <f>IF(K362="","",K362/MAX(K$5:K362)-1)</f>
        <v/>
      </c>
      <c r="N362" s="13" t="str">
        <f>IF(OR('实盘净值数据(iFinD）'!$A362="",'实盘净值数据(iFinD）'!$B362="",'实盘净值数据(iFinD）'!$Z362="",'实盘净值数据(iFinD）'!$AA362=""),"",分期持仓明细!$AB$24*(SUMPRODUCT(分期持仓明细!$B$24:$Y$24,'实盘净值数据(iFinD）'!$B362:$Y362/'实盘净值数据(iFinD）'!$B$65:$Y$65)+SUMPRODUCT(分期持仓明细!$AC$24:$AD$24,'实盘净值数据(iFinD）'!$Z362:$AA362/'实盘净值数据(iFinD）'!$Z$65:$AA$65))*(1-实盘持仓初始配置!$Z$8)^(('实盘净值数据(iFinD）'!$A362-'实盘净值数据(iFinD）'!$A$5)/365))</f>
        <v/>
      </c>
      <c r="O362" s="16" t="str">
        <f t="shared" si="34"/>
        <v/>
      </c>
      <c r="P362" s="16" t="str">
        <f>IF(N362="","",N362/MAX(N$5:N362)-1)</f>
        <v/>
      </c>
      <c r="Q362" s="13" t="str">
        <f>IF(OR('实盘净值数据(iFinD）'!$A362="",'实盘净值数据(iFinD）'!$B362="",'实盘净值数据(iFinD）'!$Z362="",'实盘净值数据(iFinD）'!$AA362=""),"",分期持仓明细!$AB$25*(SUMPRODUCT(分期持仓明细!$B$25:$Y$25,'实盘净值数据(iFinD）'!$B362:$Y362/'实盘净值数据(iFinD）'!$B$65:$Y$65)+SUMPRODUCT(分期持仓明细!$AC$25:$AD$25,'实盘净值数据(iFinD）'!$Z362:$AA362/'实盘净值数据(iFinD）'!$Z$65:$AA$65))*(1-实盘持仓初始配置!$Z$9)^(('实盘净值数据(iFinD）'!$A362-'实盘净值数据(iFinD）'!$A$8)/365))</f>
        <v/>
      </c>
      <c r="R362" s="16" t="str">
        <f t="shared" si="35"/>
        <v/>
      </c>
      <c r="S362" s="16" t="str">
        <f>IF(Q362="","",Q362/MAX(Q$5:Q362)-1)</f>
        <v/>
      </c>
    </row>
    <row r="363" spans="1:19">
      <c r="A363" s="15" t="str">
        <f>IF('实盘净值数据(iFinD）'!A363="","",'实盘净值数据(iFinD）'!A363)</f>
        <v/>
      </c>
      <c r="B363" s="13" t="str">
        <f>IF(OR('实盘净值数据(iFinD）'!$A363="",'实盘净值数据(iFinD）'!$B363=""),"",分期持仓明细!$AB$17*SUMPRODUCT(分期持仓明细!$B$17:$Y$17,'实盘净值数据(iFinD）'!$B363:$Y363/'实盘净值数据(iFinD）'!$B$20:$Y$20)*(1-实盘持仓初始配置!$Z$4)^(('实盘净值数据(iFinD）'!$A363-'实盘净值数据(iFinD）'!$A$6)/365))</f>
        <v/>
      </c>
      <c r="C363" s="16" t="str">
        <f t="shared" si="30"/>
        <v/>
      </c>
      <c r="D363" s="16" t="str">
        <f>IF(B363="","",B363/MAX(B$5:B363)-1)</f>
        <v/>
      </c>
      <c r="E363" s="13" t="str">
        <f>IF(OR('实盘净值数据(iFinD）'!$A363="",'实盘净值数据(iFinD）'!$B363=""),"",分期持仓明细!$AB$18*SUMPRODUCT(分期持仓明细!$B$18:$Y$18,'实盘净值数据(iFinD）'!$B363:$Y363/'实盘净值数据(iFinD）'!$B$20:$Y$20)*(1-实盘持仓初始配置!$Z$5)^(('实盘净值数据(iFinD）'!$A363-'实盘净值数据(iFinD）'!$A$5)/365))</f>
        <v/>
      </c>
      <c r="F363" s="16" t="str">
        <f t="shared" si="31"/>
        <v/>
      </c>
      <c r="G363" s="16" t="str">
        <f>IF(E363="","",E363/MAX(E$5:E363)-1)</f>
        <v/>
      </c>
      <c r="H363" s="13" t="str">
        <f>IF(OR('实盘净值数据(iFinD）'!$A363="",'实盘净值数据(iFinD）'!$B363=""),"",分期持仓明细!$AB$19*SUMPRODUCT(分期持仓明细!$B$19:$Y$19,'实盘净值数据(iFinD）'!$B363:$Y363/'实盘净值数据(iFinD）'!$B$20:$Y$20)*(1-实盘持仓初始配置!$Z$6)^(('实盘净值数据(iFinD）'!$A363-'实盘净值数据(iFinD）'!$A$7)/365))</f>
        <v/>
      </c>
      <c r="I363" s="16" t="str">
        <f t="shared" si="32"/>
        <v/>
      </c>
      <c r="J363" s="16" t="str">
        <f>IF(H363="","",H363/MAX(H$5:H363)-1)</f>
        <v/>
      </c>
      <c r="K363" s="13" t="str">
        <f>IF(OR('实盘净值数据(iFinD）'!$A363="",'实盘净值数据(iFinD）'!$B363="",'实盘净值数据(iFinD）'!$Z363="",'实盘净值数据(iFinD）'!$AA363=""),"",分期持仓明细!$AB$23*(SUMPRODUCT(分期持仓明细!$B$23:$Y$23,'实盘净值数据(iFinD）'!$B363:$Y363/'实盘净值数据(iFinD）'!$B$65:$Y$65)+SUMPRODUCT(分期持仓明细!$AC$23:$AD$23,'实盘净值数据(iFinD）'!$Z363:$AA363/'实盘净值数据(iFinD）'!$Z$65:$AA$65))*(1-实盘持仓初始配置!$Z$7)^(('实盘净值数据(iFinD）'!$A363-'实盘净值数据(iFinD）'!$A$8)/365))</f>
        <v/>
      </c>
      <c r="L363" s="16" t="str">
        <f t="shared" si="33"/>
        <v/>
      </c>
      <c r="M363" s="16" t="str">
        <f>IF(K363="","",K363/MAX(K$5:K363)-1)</f>
        <v/>
      </c>
      <c r="N363" s="13" t="str">
        <f>IF(OR('实盘净值数据(iFinD）'!$A363="",'实盘净值数据(iFinD）'!$B363="",'实盘净值数据(iFinD）'!$Z363="",'实盘净值数据(iFinD）'!$AA363=""),"",分期持仓明细!$AB$24*(SUMPRODUCT(分期持仓明细!$B$24:$Y$24,'实盘净值数据(iFinD）'!$B363:$Y363/'实盘净值数据(iFinD）'!$B$65:$Y$65)+SUMPRODUCT(分期持仓明细!$AC$24:$AD$24,'实盘净值数据(iFinD）'!$Z363:$AA363/'实盘净值数据(iFinD）'!$Z$65:$AA$65))*(1-实盘持仓初始配置!$Z$8)^(('实盘净值数据(iFinD）'!$A363-'实盘净值数据(iFinD）'!$A$5)/365))</f>
        <v/>
      </c>
      <c r="O363" s="16" t="str">
        <f t="shared" si="34"/>
        <v/>
      </c>
      <c r="P363" s="16" t="str">
        <f>IF(N363="","",N363/MAX(N$5:N363)-1)</f>
        <v/>
      </c>
      <c r="Q363" s="13" t="str">
        <f>IF(OR('实盘净值数据(iFinD）'!$A363="",'实盘净值数据(iFinD）'!$B363="",'实盘净值数据(iFinD）'!$Z363="",'实盘净值数据(iFinD）'!$AA363=""),"",分期持仓明细!$AB$25*(SUMPRODUCT(分期持仓明细!$B$25:$Y$25,'实盘净值数据(iFinD）'!$B363:$Y363/'实盘净值数据(iFinD）'!$B$65:$Y$65)+SUMPRODUCT(分期持仓明细!$AC$25:$AD$25,'实盘净值数据(iFinD）'!$Z363:$AA363/'实盘净值数据(iFinD）'!$Z$65:$AA$65))*(1-实盘持仓初始配置!$Z$9)^(('实盘净值数据(iFinD）'!$A363-'实盘净值数据(iFinD）'!$A$8)/365))</f>
        <v/>
      </c>
      <c r="R363" s="16" t="str">
        <f t="shared" si="35"/>
        <v/>
      </c>
      <c r="S363" s="16" t="str">
        <f>IF(Q363="","",Q363/MAX(Q$5:Q363)-1)</f>
        <v/>
      </c>
    </row>
    <row r="364" spans="1:19">
      <c r="A364" s="15" t="str">
        <f>IF('实盘净值数据(iFinD）'!A364="","",'实盘净值数据(iFinD）'!A364)</f>
        <v/>
      </c>
      <c r="B364" s="13" t="str">
        <f>IF(OR('实盘净值数据(iFinD）'!$A364="",'实盘净值数据(iFinD）'!$B364=""),"",分期持仓明细!$AB$17*SUMPRODUCT(分期持仓明细!$B$17:$Y$17,'实盘净值数据(iFinD）'!$B364:$Y364/'实盘净值数据(iFinD）'!$B$20:$Y$20)*(1-实盘持仓初始配置!$Z$4)^(('实盘净值数据(iFinD）'!$A364-'实盘净值数据(iFinD）'!$A$6)/365))</f>
        <v/>
      </c>
      <c r="C364" s="16" t="str">
        <f t="shared" si="30"/>
        <v/>
      </c>
      <c r="D364" s="16" t="str">
        <f>IF(B364="","",B364/MAX(B$5:B364)-1)</f>
        <v/>
      </c>
      <c r="E364" s="13" t="str">
        <f>IF(OR('实盘净值数据(iFinD）'!$A364="",'实盘净值数据(iFinD）'!$B364=""),"",分期持仓明细!$AB$18*SUMPRODUCT(分期持仓明细!$B$18:$Y$18,'实盘净值数据(iFinD）'!$B364:$Y364/'实盘净值数据(iFinD）'!$B$20:$Y$20)*(1-实盘持仓初始配置!$Z$5)^(('实盘净值数据(iFinD）'!$A364-'实盘净值数据(iFinD）'!$A$5)/365))</f>
        <v/>
      </c>
      <c r="F364" s="16" t="str">
        <f t="shared" si="31"/>
        <v/>
      </c>
      <c r="G364" s="16" t="str">
        <f>IF(E364="","",E364/MAX(E$5:E364)-1)</f>
        <v/>
      </c>
      <c r="H364" s="13" t="str">
        <f>IF(OR('实盘净值数据(iFinD）'!$A364="",'实盘净值数据(iFinD）'!$B364=""),"",分期持仓明细!$AB$19*SUMPRODUCT(分期持仓明细!$B$19:$Y$19,'实盘净值数据(iFinD）'!$B364:$Y364/'实盘净值数据(iFinD）'!$B$20:$Y$20)*(1-实盘持仓初始配置!$Z$6)^(('实盘净值数据(iFinD）'!$A364-'实盘净值数据(iFinD）'!$A$7)/365))</f>
        <v/>
      </c>
      <c r="I364" s="16" t="str">
        <f t="shared" si="32"/>
        <v/>
      </c>
      <c r="J364" s="16" t="str">
        <f>IF(H364="","",H364/MAX(H$5:H364)-1)</f>
        <v/>
      </c>
      <c r="K364" s="13" t="str">
        <f>IF(OR('实盘净值数据(iFinD）'!$A364="",'实盘净值数据(iFinD）'!$B364="",'实盘净值数据(iFinD）'!$Z364="",'实盘净值数据(iFinD）'!$AA364=""),"",分期持仓明细!$AB$23*(SUMPRODUCT(分期持仓明细!$B$23:$Y$23,'实盘净值数据(iFinD）'!$B364:$Y364/'实盘净值数据(iFinD）'!$B$65:$Y$65)+SUMPRODUCT(分期持仓明细!$AC$23:$AD$23,'实盘净值数据(iFinD）'!$Z364:$AA364/'实盘净值数据(iFinD）'!$Z$65:$AA$65))*(1-实盘持仓初始配置!$Z$7)^(('实盘净值数据(iFinD）'!$A364-'实盘净值数据(iFinD）'!$A$8)/365))</f>
        <v/>
      </c>
      <c r="L364" s="16" t="str">
        <f t="shared" si="33"/>
        <v/>
      </c>
      <c r="M364" s="16" t="str">
        <f>IF(K364="","",K364/MAX(K$5:K364)-1)</f>
        <v/>
      </c>
      <c r="N364" s="13" t="str">
        <f>IF(OR('实盘净值数据(iFinD）'!$A364="",'实盘净值数据(iFinD）'!$B364="",'实盘净值数据(iFinD）'!$Z364="",'实盘净值数据(iFinD）'!$AA364=""),"",分期持仓明细!$AB$24*(SUMPRODUCT(分期持仓明细!$B$24:$Y$24,'实盘净值数据(iFinD）'!$B364:$Y364/'实盘净值数据(iFinD）'!$B$65:$Y$65)+SUMPRODUCT(分期持仓明细!$AC$24:$AD$24,'实盘净值数据(iFinD）'!$Z364:$AA364/'实盘净值数据(iFinD）'!$Z$65:$AA$65))*(1-实盘持仓初始配置!$Z$8)^(('实盘净值数据(iFinD）'!$A364-'实盘净值数据(iFinD）'!$A$5)/365))</f>
        <v/>
      </c>
      <c r="O364" s="16" t="str">
        <f t="shared" si="34"/>
        <v/>
      </c>
      <c r="P364" s="16" t="str">
        <f>IF(N364="","",N364/MAX(N$5:N364)-1)</f>
        <v/>
      </c>
      <c r="Q364" s="13" t="str">
        <f>IF(OR('实盘净值数据(iFinD）'!$A364="",'实盘净值数据(iFinD）'!$B364="",'实盘净值数据(iFinD）'!$Z364="",'实盘净值数据(iFinD）'!$AA364=""),"",分期持仓明细!$AB$25*(SUMPRODUCT(分期持仓明细!$B$25:$Y$25,'实盘净值数据(iFinD）'!$B364:$Y364/'实盘净值数据(iFinD）'!$B$65:$Y$65)+SUMPRODUCT(分期持仓明细!$AC$25:$AD$25,'实盘净值数据(iFinD）'!$Z364:$AA364/'实盘净值数据(iFinD）'!$Z$65:$AA$65))*(1-实盘持仓初始配置!$Z$9)^(('实盘净值数据(iFinD）'!$A364-'实盘净值数据(iFinD）'!$A$8)/365))</f>
        <v/>
      </c>
      <c r="R364" s="16" t="str">
        <f t="shared" si="35"/>
        <v/>
      </c>
      <c r="S364" s="16" t="str">
        <f>IF(Q364="","",Q364/MAX(Q$5:Q364)-1)</f>
        <v/>
      </c>
    </row>
    <row r="365" spans="1:19">
      <c r="A365" s="15" t="str">
        <f>IF('实盘净值数据(iFinD）'!A365="","",'实盘净值数据(iFinD）'!A365)</f>
        <v/>
      </c>
      <c r="B365" s="13" t="str">
        <f>IF(OR('实盘净值数据(iFinD）'!$A365="",'实盘净值数据(iFinD）'!$B365=""),"",分期持仓明细!$AB$17*SUMPRODUCT(分期持仓明细!$B$17:$Y$17,'实盘净值数据(iFinD）'!$B365:$Y365/'实盘净值数据(iFinD）'!$B$20:$Y$20)*(1-实盘持仓初始配置!$Z$4)^(('实盘净值数据(iFinD）'!$A365-'实盘净值数据(iFinD）'!$A$6)/365))</f>
        <v/>
      </c>
      <c r="C365" s="16" t="str">
        <f t="shared" si="30"/>
        <v/>
      </c>
      <c r="D365" s="16" t="str">
        <f>IF(B365="","",B365/MAX(B$5:B365)-1)</f>
        <v/>
      </c>
      <c r="E365" s="13" t="str">
        <f>IF(OR('实盘净值数据(iFinD）'!$A365="",'实盘净值数据(iFinD）'!$B365=""),"",分期持仓明细!$AB$18*SUMPRODUCT(分期持仓明细!$B$18:$Y$18,'实盘净值数据(iFinD）'!$B365:$Y365/'实盘净值数据(iFinD）'!$B$20:$Y$20)*(1-实盘持仓初始配置!$Z$5)^(('实盘净值数据(iFinD）'!$A365-'实盘净值数据(iFinD）'!$A$5)/365))</f>
        <v/>
      </c>
      <c r="F365" s="16" t="str">
        <f t="shared" si="31"/>
        <v/>
      </c>
      <c r="G365" s="16" t="str">
        <f>IF(E365="","",E365/MAX(E$5:E365)-1)</f>
        <v/>
      </c>
      <c r="H365" s="13" t="str">
        <f>IF(OR('实盘净值数据(iFinD）'!$A365="",'实盘净值数据(iFinD）'!$B365=""),"",分期持仓明细!$AB$19*SUMPRODUCT(分期持仓明细!$B$19:$Y$19,'实盘净值数据(iFinD）'!$B365:$Y365/'实盘净值数据(iFinD）'!$B$20:$Y$20)*(1-实盘持仓初始配置!$Z$6)^(('实盘净值数据(iFinD）'!$A365-'实盘净值数据(iFinD）'!$A$7)/365))</f>
        <v/>
      </c>
      <c r="I365" s="16" t="str">
        <f t="shared" si="32"/>
        <v/>
      </c>
      <c r="J365" s="16" t="str">
        <f>IF(H365="","",H365/MAX(H$5:H365)-1)</f>
        <v/>
      </c>
      <c r="K365" s="13" t="str">
        <f>IF(OR('实盘净值数据(iFinD）'!$A365="",'实盘净值数据(iFinD）'!$B365="",'实盘净值数据(iFinD）'!$Z365="",'实盘净值数据(iFinD）'!$AA365=""),"",分期持仓明细!$AB$23*(SUMPRODUCT(分期持仓明细!$B$23:$Y$23,'实盘净值数据(iFinD）'!$B365:$Y365/'实盘净值数据(iFinD）'!$B$65:$Y$65)+SUMPRODUCT(分期持仓明细!$AC$23:$AD$23,'实盘净值数据(iFinD）'!$Z365:$AA365/'实盘净值数据(iFinD）'!$Z$65:$AA$65))*(1-实盘持仓初始配置!$Z$7)^(('实盘净值数据(iFinD）'!$A365-'实盘净值数据(iFinD）'!$A$8)/365))</f>
        <v/>
      </c>
      <c r="L365" s="16" t="str">
        <f t="shared" si="33"/>
        <v/>
      </c>
      <c r="M365" s="16" t="str">
        <f>IF(K365="","",K365/MAX(K$5:K365)-1)</f>
        <v/>
      </c>
      <c r="N365" s="13" t="str">
        <f>IF(OR('实盘净值数据(iFinD）'!$A365="",'实盘净值数据(iFinD）'!$B365="",'实盘净值数据(iFinD）'!$Z365="",'实盘净值数据(iFinD）'!$AA365=""),"",分期持仓明细!$AB$24*(SUMPRODUCT(分期持仓明细!$B$24:$Y$24,'实盘净值数据(iFinD）'!$B365:$Y365/'实盘净值数据(iFinD）'!$B$65:$Y$65)+SUMPRODUCT(分期持仓明细!$AC$24:$AD$24,'实盘净值数据(iFinD）'!$Z365:$AA365/'实盘净值数据(iFinD）'!$Z$65:$AA$65))*(1-实盘持仓初始配置!$Z$8)^(('实盘净值数据(iFinD）'!$A365-'实盘净值数据(iFinD）'!$A$5)/365))</f>
        <v/>
      </c>
      <c r="O365" s="16" t="str">
        <f t="shared" si="34"/>
        <v/>
      </c>
      <c r="P365" s="16" t="str">
        <f>IF(N365="","",N365/MAX(N$5:N365)-1)</f>
        <v/>
      </c>
      <c r="Q365" s="13" t="str">
        <f>IF(OR('实盘净值数据(iFinD）'!$A365="",'实盘净值数据(iFinD）'!$B365="",'实盘净值数据(iFinD）'!$Z365="",'实盘净值数据(iFinD）'!$AA365=""),"",分期持仓明细!$AB$25*(SUMPRODUCT(分期持仓明细!$B$25:$Y$25,'实盘净值数据(iFinD）'!$B365:$Y365/'实盘净值数据(iFinD）'!$B$65:$Y$65)+SUMPRODUCT(分期持仓明细!$AC$25:$AD$25,'实盘净值数据(iFinD）'!$Z365:$AA365/'实盘净值数据(iFinD）'!$Z$65:$AA$65))*(1-实盘持仓初始配置!$Z$9)^(('实盘净值数据(iFinD）'!$A365-'实盘净值数据(iFinD）'!$A$8)/365))</f>
        <v/>
      </c>
      <c r="R365" s="16" t="str">
        <f t="shared" si="35"/>
        <v/>
      </c>
      <c r="S365" s="16" t="str">
        <f>IF(Q365="","",Q365/MAX(Q$5:Q365)-1)</f>
        <v/>
      </c>
    </row>
    <row r="366" spans="1:19">
      <c r="A366" s="15" t="str">
        <f>IF('实盘净值数据(iFinD）'!A366="","",'实盘净值数据(iFinD）'!A366)</f>
        <v/>
      </c>
      <c r="B366" s="13" t="str">
        <f>IF(OR('实盘净值数据(iFinD）'!$A366="",'实盘净值数据(iFinD）'!$B366=""),"",分期持仓明细!$AB$17*SUMPRODUCT(分期持仓明细!$B$17:$Y$17,'实盘净值数据(iFinD）'!$B366:$Y366/'实盘净值数据(iFinD）'!$B$20:$Y$20)*(1-实盘持仓初始配置!$Z$4)^(('实盘净值数据(iFinD）'!$A366-'实盘净值数据(iFinD）'!$A$6)/365))</f>
        <v/>
      </c>
      <c r="C366" s="16" t="str">
        <f t="shared" si="30"/>
        <v/>
      </c>
      <c r="D366" s="16" t="str">
        <f>IF(B366="","",B366/MAX(B$5:B366)-1)</f>
        <v/>
      </c>
      <c r="E366" s="13" t="str">
        <f>IF(OR('实盘净值数据(iFinD）'!$A366="",'实盘净值数据(iFinD）'!$B366=""),"",分期持仓明细!$AB$18*SUMPRODUCT(分期持仓明细!$B$18:$Y$18,'实盘净值数据(iFinD）'!$B366:$Y366/'实盘净值数据(iFinD）'!$B$20:$Y$20)*(1-实盘持仓初始配置!$Z$5)^(('实盘净值数据(iFinD）'!$A366-'实盘净值数据(iFinD）'!$A$5)/365))</f>
        <v/>
      </c>
      <c r="F366" s="16" t="str">
        <f t="shared" si="31"/>
        <v/>
      </c>
      <c r="G366" s="16" t="str">
        <f>IF(E366="","",E366/MAX(E$5:E366)-1)</f>
        <v/>
      </c>
      <c r="H366" s="13" t="str">
        <f>IF(OR('实盘净值数据(iFinD）'!$A366="",'实盘净值数据(iFinD）'!$B366=""),"",分期持仓明细!$AB$19*SUMPRODUCT(分期持仓明细!$B$19:$Y$19,'实盘净值数据(iFinD）'!$B366:$Y366/'实盘净值数据(iFinD）'!$B$20:$Y$20)*(1-实盘持仓初始配置!$Z$6)^(('实盘净值数据(iFinD）'!$A366-'实盘净值数据(iFinD）'!$A$7)/365))</f>
        <v/>
      </c>
      <c r="I366" s="16" t="str">
        <f t="shared" si="32"/>
        <v/>
      </c>
      <c r="J366" s="16" t="str">
        <f>IF(H366="","",H366/MAX(H$5:H366)-1)</f>
        <v/>
      </c>
      <c r="K366" s="13" t="str">
        <f>IF(OR('实盘净值数据(iFinD）'!$A366="",'实盘净值数据(iFinD）'!$B366="",'实盘净值数据(iFinD）'!$Z366="",'实盘净值数据(iFinD）'!$AA366=""),"",分期持仓明细!$AB$23*(SUMPRODUCT(分期持仓明细!$B$23:$Y$23,'实盘净值数据(iFinD）'!$B366:$Y366/'实盘净值数据(iFinD）'!$B$65:$Y$65)+SUMPRODUCT(分期持仓明细!$AC$23:$AD$23,'实盘净值数据(iFinD）'!$Z366:$AA366/'实盘净值数据(iFinD）'!$Z$65:$AA$65))*(1-实盘持仓初始配置!$Z$7)^(('实盘净值数据(iFinD）'!$A366-'实盘净值数据(iFinD）'!$A$8)/365))</f>
        <v/>
      </c>
      <c r="L366" s="16" t="str">
        <f t="shared" si="33"/>
        <v/>
      </c>
      <c r="M366" s="16" t="str">
        <f>IF(K366="","",K366/MAX(K$5:K366)-1)</f>
        <v/>
      </c>
      <c r="N366" s="13" t="str">
        <f>IF(OR('实盘净值数据(iFinD）'!$A366="",'实盘净值数据(iFinD）'!$B366="",'实盘净值数据(iFinD）'!$Z366="",'实盘净值数据(iFinD）'!$AA366=""),"",分期持仓明细!$AB$24*(SUMPRODUCT(分期持仓明细!$B$24:$Y$24,'实盘净值数据(iFinD）'!$B366:$Y366/'实盘净值数据(iFinD）'!$B$65:$Y$65)+SUMPRODUCT(分期持仓明细!$AC$24:$AD$24,'实盘净值数据(iFinD）'!$Z366:$AA366/'实盘净值数据(iFinD）'!$Z$65:$AA$65))*(1-实盘持仓初始配置!$Z$8)^(('实盘净值数据(iFinD）'!$A366-'实盘净值数据(iFinD）'!$A$5)/365))</f>
        <v/>
      </c>
      <c r="O366" s="16" t="str">
        <f t="shared" si="34"/>
        <v/>
      </c>
      <c r="P366" s="16" t="str">
        <f>IF(N366="","",N366/MAX(N$5:N366)-1)</f>
        <v/>
      </c>
      <c r="Q366" s="13" t="str">
        <f>IF(OR('实盘净值数据(iFinD）'!$A366="",'实盘净值数据(iFinD）'!$B366="",'实盘净值数据(iFinD）'!$Z366="",'实盘净值数据(iFinD）'!$AA366=""),"",分期持仓明细!$AB$25*(SUMPRODUCT(分期持仓明细!$B$25:$Y$25,'实盘净值数据(iFinD）'!$B366:$Y366/'实盘净值数据(iFinD）'!$B$65:$Y$65)+SUMPRODUCT(分期持仓明细!$AC$25:$AD$25,'实盘净值数据(iFinD）'!$Z366:$AA366/'实盘净值数据(iFinD）'!$Z$65:$AA$65))*(1-实盘持仓初始配置!$Z$9)^(('实盘净值数据(iFinD）'!$A366-'实盘净值数据(iFinD）'!$A$8)/365))</f>
        <v/>
      </c>
      <c r="R366" s="16" t="str">
        <f t="shared" si="35"/>
        <v/>
      </c>
      <c r="S366" s="16" t="str">
        <f>IF(Q366="","",Q366/MAX(Q$5:Q366)-1)</f>
        <v/>
      </c>
    </row>
    <row r="367" spans="1:19">
      <c r="A367" s="15" t="str">
        <f>IF('实盘净值数据(iFinD）'!A367="","",'实盘净值数据(iFinD）'!A367)</f>
        <v/>
      </c>
      <c r="B367" s="13" t="str">
        <f>IF(OR('实盘净值数据(iFinD）'!$A367="",'实盘净值数据(iFinD）'!$B367=""),"",分期持仓明细!$AB$17*SUMPRODUCT(分期持仓明细!$B$17:$Y$17,'实盘净值数据(iFinD）'!$B367:$Y367/'实盘净值数据(iFinD）'!$B$20:$Y$20)*(1-实盘持仓初始配置!$Z$4)^(('实盘净值数据(iFinD）'!$A367-'实盘净值数据(iFinD）'!$A$6)/365))</f>
        <v/>
      </c>
      <c r="C367" s="16" t="str">
        <f t="shared" si="30"/>
        <v/>
      </c>
      <c r="D367" s="16" t="str">
        <f>IF(B367="","",B367/MAX(B$5:B367)-1)</f>
        <v/>
      </c>
      <c r="E367" s="13" t="str">
        <f>IF(OR('实盘净值数据(iFinD）'!$A367="",'实盘净值数据(iFinD）'!$B367=""),"",分期持仓明细!$AB$18*SUMPRODUCT(分期持仓明细!$B$18:$Y$18,'实盘净值数据(iFinD）'!$B367:$Y367/'实盘净值数据(iFinD）'!$B$20:$Y$20)*(1-实盘持仓初始配置!$Z$5)^(('实盘净值数据(iFinD）'!$A367-'实盘净值数据(iFinD）'!$A$5)/365))</f>
        <v/>
      </c>
      <c r="F367" s="16" t="str">
        <f t="shared" si="31"/>
        <v/>
      </c>
      <c r="G367" s="16" t="str">
        <f>IF(E367="","",E367/MAX(E$5:E367)-1)</f>
        <v/>
      </c>
      <c r="H367" s="13" t="str">
        <f>IF(OR('实盘净值数据(iFinD）'!$A367="",'实盘净值数据(iFinD）'!$B367=""),"",分期持仓明细!$AB$19*SUMPRODUCT(分期持仓明细!$B$19:$Y$19,'实盘净值数据(iFinD）'!$B367:$Y367/'实盘净值数据(iFinD）'!$B$20:$Y$20)*(1-实盘持仓初始配置!$Z$6)^(('实盘净值数据(iFinD）'!$A367-'实盘净值数据(iFinD）'!$A$7)/365))</f>
        <v/>
      </c>
      <c r="I367" s="16" t="str">
        <f t="shared" si="32"/>
        <v/>
      </c>
      <c r="J367" s="16" t="str">
        <f>IF(H367="","",H367/MAX(H$5:H367)-1)</f>
        <v/>
      </c>
      <c r="K367" s="13" t="str">
        <f>IF(OR('实盘净值数据(iFinD）'!$A367="",'实盘净值数据(iFinD）'!$B367="",'实盘净值数据(iFinD）'!$Z367="",'实盘净值数据(iFinD）'!$AA367=""),"",分期持仓明细!$AB$23*(SUMPRODUCT(分期持仓明细!$B$23:$Y$23,'实盘净值数据(iFinD）'!$B367:$Y367/'实盘净值数据(iFinD）'!$B$65:$Y$65)+SUMPRODUCT(分期持仓明细!$AC$23:$AD$23,'实盘净值数据(iFinD）'!$Z367:$AA367/'实盘净值数据(iFinD）'!$Z$65:$AA$65))*(1-实盘持仓初始配置!$Z$7)^(('实盘净值数据(iFinD）'!$A367-'实盘净值数据(iFinD）'!$A$8)/365))</f>
        <v/>
      </c>
      <c r="L367" s="16" t="str">
        <f t="shared" si="33"/>
        <v/>
      </c>
      <c r="M367" s="16" t="str">
        <f>IF(K367="","",K367/MAX(K$5:K367)-1)</f>
        <v/>
      </c>
      <c r="N367" s="13" t="str">
        <f>IF(OR('实盘净值数据(iFinD）'!$A367="",'实盘净值数据(iFinD）'!$B367="",'实盘净值数据(iFinD）'!$Z367="",'实盘净值数据(iFinD）'!$AA367=""),"",分期持仓明细!$AB$24*(SUMPRODUCT(分期持仓明细!$B$24:$Y$24,'实盘净值数据(iFinD）'!$B367:$Y367/'实盘净值数据(iFinD）'!$B$65:$Y$65)+SUMPRODUCT(分期持仓明细!$AC$24:$AD$24,'实盘净值数据(iFinD）'!$Z367:$AA367/'实盘净值数据(iFinD）'!$Z$65:$AA$65))*(1-实盘持仓初始配置!$Z$8)^(('实盘净值数据(iFinD）'!$A367-'实盘净值数据(iFinD）'!$A$5)/365))</f>
        <v/>
      </c>
      <c r="O367" s="16" t="str">
        <f t="shared" si="34"/>
        <v/>
      </c>
      <c r="P367" s="16" t="str">
        <f>IF(N367="","",N367/MAX(N$5:N367)-1)</f>
        <v/>
      </c>
      <c r="Q367" s="13" t="str">
        <f>IF(OR('实盘净值数据(iFinD）'!$A367="",'实盘净值数据(iFinD）'!$B367="",'实盘净值数据(iFinD）'!$Z367="",'实盘净值数据(iFinD）'!$AA367=""),"",分期持仓明细!$AB$25*(SUMPRODUCT(分期持仓明细!$B$25:$Y$25,'实盘净值数据(iFinD）'!$B367:$Y367/'实盘净值数据(iFinD）'!$B$65:$Y$65)+SUMPRODUCT(分期持仓明细!$AC$25:$AD$25,'实盘净值数据(iFinD）'!$Z367:$AA367/'实盘净值数据(iFinD）'!$Z$65:$AA$65))*(1-实盘持仓初始配置!$Z$9)^(('实盘净值数据(iFinD）'!$A367-'实盘净值数据(iFinD）'!$A$8)/365))</f>
        <v/>
      </c>
      <c r="R367" s="16" t="str">
        <f t="shared" si="35"/>
        <v/>
      </c>
      <c r="S367" s="16" t="str">
        <f>IF(Q367="","",Q367/MAX(Q$5:Q367)-1)</f>
        <v/>
      </c>
    </row>
    <row r="368" spans="1:19">
      <c r="A368" s="15" t="str">
        <f>IF('实盘净值数据(iFinD）'!A368="","",'实盘净值数据(iFinD）'!A368)</f>
        <v/>
      </c>
      <c r="B368" s="13" t="str">
        <f>IF(OR('实盘净值数据(iFinD）'!$A368="",'实盘净值数据(iFinD）'!$B368=""),"",分期持仓明细!$AB$17*SUMPRODUCT(分期持仓明细!$B$17:$Y$17,'实盘净值数据(iFinD）'!$B368:$Y368/'实盘净值数据(iFinD）'!$B$20:$Y$20)*(1-实盘持仓初始配置!$Z$4)^(('实盘净值数据(iFinD）'!$A368-'实盘净值数据(iFinD）'!$A$6)/365))</f>
        <v/>
      </c>
      <c r="C368" s="16" t="str">
        <f t="shared" si="30"/>
        <v/>
      </c>
      <c r="D368" s="16" t="str">
        <f>IF(B368="","",B368/MAX(B$5:B368)-1)</f>
        <v/>
      </c>
      <c r="E368" s="13" t="str">
        <f>IF(OR('实盘净值数据(iFinD）'!$A368="",'实盘净值数据(iFinD）'!$B368=""),"",分期持仓明细!$AB$18*SUMPRODUCT(分期持仓明细!$B$18:$Y$18,'实盘净值数据(iFinD）'!$B368:$Y368/'实盘净值数据(iFinD）'!$B$20:$Y$20)*(1-实盘持仓初始配置!$Z$5)^(('实盘净值数据(iFinD）'!$A368-'实盘净值数据(iFinD）'!$A$5)/365))</f>
        <v/>
      </c>
      <c r="F368" s="16" t="str">
        <f t="shared" si="31"/>
        <v/>
      </c>
      <c r="G368" s="16" t="str">
        <f>IF(E368="","",E368/MAX(E$5:E368)-1)</f>
        <v/>
      </c>
      <c r="H368" s="13" t="str">
        <f>IF(OR('实盘净值数据(iFinD）'!$A368="",'实盘净值数据(iFinD）'!$B368=""),"",分期持仓明细!$AB$19*SUMPRODUCT(分期持仓明细!$B$19:$Y$19,'实盘净值数据(iFinD）'!$B368:$Y368/'实盘净值数据(iFinD）'!$B$20:$Y$20)*(1-实盘持仓初始配置!$Z$6)^(('实盘净值数据(iFinD）'!$A368-'实盘净值数据(iFinD）'!$A$7)/365))</f>
        <v/>
      </c>
      <c r="I368" s="16" t="str">
        <f t="shared" si="32"/>
        <v/>
      </c>
      <c r="J368" s="16" t="str">
        <f>IF(H368="","",H368/MAX(H$5:H368)-1)</f>
        <v/>
      </c>
      <c r="K368" s="13" t="str">
        <f>IF(OR('实盘净值数据(iFinD）'!$A368="",'实盘净值数据(iFinD）'!$B368="",'实盘净值数据(iFinD）'!$Z368="",'实盘净值数据(iFinD）'!$AA368=""),"",分期持仓明细!$AB$23*(SUMPRODUCT(分期持仓明细!$B$23:$Y$23,'实盘净值数据(iFinD）'!$B368:$Y368/'实盘净值数据(iFinD）'!$B$65:$Y$65)+SUMPRODUCT(分期持仓明细!$AC$23:$AD$23,'实盘净值数据(iFinD）'!$Z368:$AA368/'实盘净值数据(iFinD）'!$Z$65:$AA$65))*(1-实盘持仓初始配置!$Z$7)^(('实盘净值数据(iFinD）'!$A368-'实盘净值数据(iFinD）'!$A$8)/365))</f>
        <v/>
      </c>
      <c r="L368" s="16" t="str">
        <f t="shared" si="33"/>
        <v/>
      </c>
      <c r="M368" s="16" t="str">
        <f>IF(K368="","",K368/MAX(K$5:K368)-1)</f>
        <v/>
      </c>
      <c r="N368" s="13" t="str">
        <f>IF(OR('实盘净值数据(iFinD）'!$A368="",'实盘净值数据(iFinD）'!$B368="",'实盘净值数据(iFinD）'!$Z368="",'实盘净值数据(iFinD）'!$AA368=""),"",分期持仓明细!$AB$24*(SUMPRODUCT(分期持仓明细!$B$24:$Y$24,'实盘净值数据(iFinD）'!$B368:$Y368/'实盘净值数据(iFinD）'!$B$65:$Y$65)+SUMPRODUCT(分期持仓明细!$AC$24:$AD$24,'实盘净值数据(iFinD）'!$Z368:$AA368/'实盘净值数据(iFinD）'!$Z$65:$AA$65))*(1-实盘持仓初始配置!$Z$8)^(('实盘净值数据(iFinD）'!$A368-'实盘净值数据(iFinD）'!$A$5)/365))</f>
        <v/>
      </c>
      <c r="O368" s="16" t="str">
        <f t="shared" si="34"/>
        <v/>
      </c>
      <c r="P368" s="16" t="str">
        <f>IF(N368="","",N368/MAX(N$5:N368)-1)</f>
        <v/>
      </c>
      <c r="Q368" s="13" t="str">
        <f>IF(OR('实盘净值数据(iFinD）'!$A368="",'实盘净值数据(iFinD）'!$B368="",'实盘净值数据(iFinD）'!$Z368="",'实盘净值数据(iFinD）'!$AA368=""),"",分期持仓明细!$AB$25*(SUMPRODUCT(分期持仓明细!$B$25:$Y$25,'实盘净值数据(iFinD）'!$B368:$Y368/'实盘净值数据(iFinD）'!$B$65:$Y$65)+SUMPRODUCT(分期持仓明细!$AC$25:$AD$25,'实盘净值数据(iFinD）'!$Z368:$AA368/'实盘净值数据(iFinD）'!$Z$65:$AA$65))*(1-实盘持仓初始配置!$Z$9)^(('实盘净值数据(iFinD）'!$A368-'实盘净值数据(iFinD）'!$A$8)/365))</f>
        <v/>
      </c>
      <c r="R368" s="16" t="str">
        <f t="shared" si="35"/>
        <v/>
      </c>
      <c r="S368" s="16" t="str">
        <f>IF(Q368="","",Q368/MAX(Q$5:Q368)-1)</f>
        <v/>
      </c>
    </row>
    <row r="369" spans="1:19">
      <c r="A369" s="15" t="str">
        <f>IF('实盘净值数据(iFinD）'!A369="","",'实盘净值数据(iFinD）'!A369)</f>
        <v/>
      </c>
      <c r="B369" s="13" t="str">
        <f>IF(OR('实盘净值数据(iFinD）'!$A369="",'实盘净值数据(iFinD）'!$B369=""),"",分期持仓明细!$AB$17*SUMPRODUCT(分期持仓明细!$B$17:$Y$17,'实盘净值数据(iFinD）'!$B369:$Y369/'实盘净值数据(iFinD）'!$B$20:$Y$20)*(1-实盘持仓初始配置!$Z$4)^(('实盘净值数据(iFinD）'!$A369-'实盘净值数据(iFinD）'!$A$6)/365))</f>
        <v/>
      </c>
      <c r="C369" s="16" t="str">
        <f t="shared" si="30"/>
        <v/>
      </c>
      <c r="D369" s="16" t="str">
        <f>IF(B369="","",B369/MAX(B$5:B369)-1)</f>
        <v/>
      </c>
      <c r="E369" s="13" t="str">
        <f>IF(OR('实盘净值数据(iFinD）'!$A369="",'实盘净值数据(iFinD）'!$B369=""),"",分期持仓明细!$AB$18*SUMPRODUCT(分期持仓明细!$B$18:$Y$18,'实盘净值数据(iFinD）'!$B369:$Y369/'实盘净值数据(iFinD）'!$B$20:$Y$20)*(1-实盘持仓初始配置!$Z$5)^(('实盘净值数据(iFinD）'!$A369-'实盘净值数据(iFinD）'!$A$5)/365))</f>
        <v/>
      </c>
      <c r="F369" s="16" t="str">
        <f t="shared" si="31"/>
        <v/>
      </c>
      <c r="G369" s="16" t="str">
        <f>IF(E369="","",E369/MAX(E$5:E369)-1)</f>
        <v/>
      </c>
      <c r="H369" s="13" t="str">
        <f>IF(OR('实盘净值数据(iFinD）'!$A369="",'实盘净值数据(iFinD）'!$B369=""),"",分期持仓明细!$AB$19*SUMPRODUCT(分期持仓明细!$B$19:$Y$19,'实盘净值数据(iFinD）'!$B369:$Y369/'实盘净值数据(iFinD）'!$B$20:$Y$20)*(1-实盘持仓初始配置!$Z$6)^(('实盘净值数据(iFinD）'!$A369-'实盘净值数据(iFinD）'!$A$7)/365))</f>
        <v/>
      </c>
      <c r="I369" s="16" t="str">
        <f t="shared" si="32"/>
        <v/>
      </c>
      <c r="J369" s="16" t="str">
        <f>IF(H369="","",H369/MAX(H$5:H369)-1)</f>
        <v/>
      </c>
      <c r="K369" s="13" t="str">
        <f>IF(OR('实盘净值数据(iFinD）'!$A369="",'实盘净值数据(iFinD）'!$B369="",'实盘净值数据(iFinD）'!$Z369="",'实盘净值数据(iFinD）'!$AA369=""),"",分期持仓明细!$AB$23*(SUMPRODUCT(分期持仓明细!$B$23:$Y$23,'实盘净值数据(iFinD）'!$B369:$Y369/'实盘净值数据(iFinD）'!$B$65:$Y$65)+SUMPRODUCT(分期持仓明细!$AC$23:$AD$23,'实盘净值数据(iFinD）'!$Z369:$AA369/'实盘净值数据(iFinD）'!$Z$65:$AA$65))*(1-实盘持仓初始配置!$Z$7)^(('实盘净值数据(iFinD）'!$A369-'实盘净值数据(iFinD）'!$A$8)/365))</f>
        <v/>
      </c>
      <c r="L369" s="16" t="str">
        <f t="shared" si="33"/>
        <v/>
      </c>
      <c r="M369" s="16" t="str">
        <f>IF(K369="","",K369/MAX(K$5:K369)-1)</f>
        <v/>
      </c>
      <c r="N369" s="13" t="str">
        <f>IF(OR('实盘净值数据(iFinD）'!$A369="",'实盘净值数据(iFinD）'!$B369="",'实盘净值数据(iFinD）'!$Z369="",'实盘净值数据(iFinD）'!$AA369=""),"",分期持仓明细!$AB$24*(SUMPRODUCT(分期持仓明细!$B$24:$Y$24,'实盘净值数据(iFinD）'!$B369:$Y369/'实盘净值数据(iFinD）'!$B$65:$Y$65)+SUMPRODUCT(分期持仓明细!$AC$24:$AD$24,'实盘净值数据(iFinD）'!$Z369:$AA369/'实盘净值数据(iFinD）'!$Z$65:$AA$65))*(1-实盘持仓初始配置!$Z$8)^(('实盘净值数据(iFinD）'!$A369-'实盘净值数据(iFinD）'!$A$5)/365))</f>
        <v/>
      </c>
      <c r="O369" s="16" t="str">
        <f t="shared" si="34"/>
        <v/>
      </c>
      <c r="P369" s="16" t="str">
        <f>IF(N369="","",N369/MAX(N$5:N369)-1)</f>
        <v/>
      </c>
      <c r="Q369" s="13" t="str">
        <f>IF(OR('实盘净值数据(iFinD）'!$A369="",'实盘净值数据(iFinD）'!$B369="",'实盘净值数据(iFinD）'!$Z369="",'实盘净值数据(iFinD）'!$AA369=""),"",分期持仓明细!$AB$25*(SUMPRODUCT(分期持仓明细!$B$25:$Y$25,'实盘净值数据(iFinD）'!$B369:$Y369/'实盘净值数据(iFinD）'!$B$65:$Y$65)+SUMPRODUCT(分期持仓明细!$AC$25:$AD$25,'实盘净值数据(iFinD）'!$Z369:$AA369/'实盘净值数据(iFinD）'!$Z$65:$AA$65))*(1-实盘持仓初始配置!$Z$9)^(('实盘净值数据(iFinD）'!$A369-'实盘净值数据(iFinD）'!$A$8)/365))</f>
        <v/>
      </c>
      <c r="R369" s="16" t="str">
        <f t="shared" si="35"/>
        <v/>
      </c>
      <c r="S369" s="16" t="str">
        <f>IF(Q369="","",Q369/MAX(Q$5:Q369)-1)</f>
        <v/>
      </c>
    </row>
    <row r="370" spans="1:19">
      <c r="A370" s="15" t="str">
        <f>IF('实盘净值数据(iFinD）'!A370="","",'实盘净值数据(iFinD）'!A370)</f>
        <v/>
      </c>
      <c r="B370" s="13" t="str">
        <f>IF(OR('实盘净值数据(iFinD）'!$A370="",'实盘净值数据(iFinD）'!$B370=""),"",分期持仓明细!$AB$17*SUMPRODUCT(分期持仓明细!$B$17:$Y$17,'实盘净值数据(iFinD）'!$B370:$Y370/'实盘净值数据(iFinD）'!$B$20:$Y$20)*(1-实盘持仓初始配置!$Z$4)^(('实盘净值数据(iFinD）'!$A370-'实盘净值数据(iFinD）'!$A$6)/365))</f>
        <v/>
      </c>
      <c r="C370" s="16" t="str">
        <f t="shared" si="30"/>
        <v/>
      </c>
      <c r="D370" s="16" t="str">
        <f>IF(B370="","",B370/MAX(B$5:B370)-1)</f>
        <v/>
      </c>
      <c r="E370" s="13" t="str">
        <f>IF(OR('实盘净值数据(iFinD）'!$A370="",'实盘净值数据(iFinD）'!$B370=""),"",分期持仓明细!$AB$18*SUMPRODUCT(分期持仓明细!$B$18:$Y$18,'实盘净值数据(iFinD）'!$B370:$Y370/'实盘净值数据(iFinD）'!$B$20:$Y$20)*(1-实盘持仓初始配置!$Z$5)^(('实盘净值数据(iFinD）'!$A370-'实盘净值数据(iFinD）'!$A$5)/365))</f>
        <v/>
      </c>
      <c r="F370" s="16" t="str">
        <f t="shared" si="31"/>
        <v/>
      </c>
      <c r="G370" s="16" t="str">
        <f>IF(E370="","",E370/MAX(E$5:E370)-1)</f>
        <v/>
      </c>
      <c r="H370" s="13" t="str">
        <f>IF(OR('实盘净值数据(iFinD）'!$A370="",'实盘净值数据(iFinD）'!$B370=""),"",分期持仓明细!$AB$19*SUMPRODUCT(分期持仓明细!$B$19:$Y$19,'实盘净值数据(iFinD）'!$B370:$Y370/'实盘净值数据(iFinD）'!$B$20:$Y$20)*(1-实盘持仓初始配置!$Z$6)^(('实盘净值数据(iFinD）'!$A370-'实盘净值数据(iFinD）'!$A$7)/365))</f>
        <v/>
      </c>
      <c r="I370" s="16" t="str">
        <f t="shared" si="32"/>
        <v/>
      </c>
      <c r="J370" s="16" t="str">
        <f>IF(H370="","",H370/MAX(H$5:H370)-1)</f>
        <v/>
      </c>
      <c r="K370" s="13" t="str">
        <f>IF(OR('实盘净值数据(iFinD）'!$A370="",'实盘净值数据(iFinD）'!$B370="",'实盘净值数据(iFinD）'!$Z370="",'实盘净值数据(iFinD）'!$AA370=""),"",分期持仓明细!$AB$23*(SUMPRODUCT(分期持仓明细!$B$23:$Y$23,'实盘净值数据(iFinD）'!$B370:$Y370/'实盘净值数据(iFinD）'!$B$65:$Y$65)+SUMPRODUCT(分期持仓明细!$AC$23:$AD$23,'实盘净值数据(iFinD）'!$Z370:$AA370/'实盘净值数据(iFinD）'!$Z$65:$AA$65))*(1-实盘持仓初始配置!$Z$7)^(('实盘净值数据(iFinD）'!$A370-'实盘净值数据(iFinD）'!$A$8)/365))</f>
        <v/>
      </c>
      <c r="L370" s="16" t="str">
        <f t="shared" si="33"/>
        <v/>
      </c>
      <c r="M370" s="16" t="str">
        <f>IF(K370="","",K370/MAX(K$5:K370)-1)</f>
        <v/>
      </c>
      <c r="N370" s="13" t="str">
        <f>IF(OR('实盘净值数据(iFinD）'!$A370="",'实盘净值数据(iFinD）'!$B370="",'实盘净值数据(iFinD）'!$Z370="",'实盘净值数据(iFinD）'!$AA370=""),"",分期持仓明细!$AB$24*(SUMPRODUCT(分期持仓明细!$B$24:$Y$24,'实盘净值数据(iFinD）'!$B370:$Y370/'实盘净值数据(iFinD）'!$B$65:$Y$65)+SUMPRODUCT(分期持仓明细!$AC$24:$AD$24,'实盘净值数据(iFinD）'!$Z370:$AA370/'实盘净值数据(iFinD）'!$Z$65:$AA$65))*(1-实盘持仓初始配置!$Z$8)^(('实盘净值数据(iFinD）'!$A370-'实盘净值数据(iFinD）'!$A$5)/365))</f>
        <v/>
      </c>
      <c r="O370" s="16" t="str">
        <f t="shared" si="34"/>
        <v/>
      </c>
      <c r="P370" s="16" t="str">
        <f>IF(N370="","",N370/MAX(N$5:N370)-1)</f>
        <v/>
      </c>
      <c r="Q370" s="13" t="str">
        <f>IF(OR('实盘净值数据(iFinD）'!$A370="",'实盘净值数据(iFinD）'!$B370="",'实盘净值数据(iFinD）'!$Z370="",'实盘净值数据(iFinD）'!$AA370=""),"",分期持仓明细!$AB$25*(SUMPRODUCT(分期持仓明细!$B$25:$Y$25,'实盘净值数据(iFinD）'!$B370:$Y370/'实盘净值数据(iFinD）'!$B$65:$Y$65)+SUMPRODUCT(分期持仓明细!$AC$25:$AD$25,'实盘净值数据(iFinD）'!$Z370:$AA370/'实盘净值数据(iFinD）'!$Z$65:$AA$65))*(1-实盘持仓初始配置!$Z$9)^(('实盘净值数据(iFinD）'!$A370-'实盘净值数据(iFinD）'!$A$8)/365))</f>
        <v/>
      </c>
      <c r="R370" s="16" t="str">
        <f t="shared" si="35"/>
        <v/>
      </c>
      <c r="S370" s="16" t="str">
        <f>IF(Q370="","",Q370/MAX(Q$5:Q370)-1)</f>
        <v/>
      </c>
    </row>
    <row r="371" spans="1:19">
      <c r="A371" s="15" t="str">
        <f>IF('实盘净值数据(iFinD）'!A371="","",'实盘净值数据(iFinD）'!A371)</f>
        <v/>
      </c>
      <c r="B371" s="13" t="str">
        <f>IF(OR('实盘净值数据(iFinD）'!$A371="",'实盘净值数据(iFinD）'!$B371=""),"",分期持仓明细!$AB$17*SUMPRODUCT(分期持仓明细!$B$17:$Y$17,'实盘净值数据(iFinD）'!$B371:$Y371/'实盘净值数据(iFinD）'!$B$20:$Y$20)*(1-实盘持仓初始配置!$Z$4)^(('实盘净值数据(iFinD）'!$A371-'实盘净值数据(iFinD）'!$A$6)/365))</f>
        <v/>
      </c>
      <c r="C371" s="16" t="str">
        <f t="shared" si="30"/>
        <v/>
      </c>
      <c r="D371" s="16" t="str">
        <f>IF(B371="","",B371/MAX(B$5:B371)-1)</f>
        <v/>
      </c>
      <c r="E371" s="13" t="str">
        <f>IF(OR('实盘净值数据(iFinD）'!$A371="",'实盘净值数据(iFinD）'!$B371=""),"",分期持仓明细!$AB$18*SUMPRODUCT(分期持仓明细!$B$18:$Y$18,'实盘净值数据(iFinD）'!$B371:$Y371/'实盘净值数据(iFinD）'!$B$20:$Y$20)*(1-实盘持仓初始配置!$Z$5)^(('实盘净值数据(iFinD）'!$A371-'实盘净值数据(iFinD）'!$A$5)/365))</f>
        <v/>
      </c>
      <c r="F371" s="16" t="str">
        <f t="shared" si="31"/>
        <v/>
      </c>
      <c r="G371" s="16" t="str">
        <f>IF(E371="","",E371/MAX(E$5:E371)-1)</f>
        <v/>
      </c>
      <c r="H371" s="13" t="str">
        <f>IF(OR('实盘净值数据(iFinD）'!$A371="",'实盘净值数据(iFinD）'!$B371=""),"",分期持仓明细!$AB$19*SUMPRODUCT(分期持仓明细!$B$19:$Y$19,'实盘净值数据(iFinD）'!$B371:$Y371/'实盘净值数据(iFinD）'!$B$20:$Y$20)*(1-实盘持仓初始配置!$Z$6)^(('实盘净值数据(iFinD）'!$A371-'实盘净值数据(iFinD）'!$A$7)/365))</f>
        <v/>
      </c>
      <c r="I371" s="16" t="str">
        <f t="shared" si="32"/>
        <v/>
      </c>
      <c r="J371" s="16" t="str">
        <f>IF(H371="","",H371/MAX(H$5:H371)-1)</f>
        <v/>
      </c>
      <c r="K371" s="13" t="str">
        <f>IF(OR('实盘净值数据(iFinD）'!$A371="",'实盘净值数据(iFinD）'!$B371="",'实盘净值数据(iFinD）'!$Z371="",'实盘净值数据(iFinD）'!$AA371=""),"",分期持仓明细!$AB$23*(SUMPRODUCT(分期持仓明细!$B$23:$Y$23,'实盘净值数据(iFinD）'!$B371:$Y371/'实盘净值数据(iFinD）'!$B$65:$Y$65)+SUMPRODUCT(分期持仓明细!$AC$23:$AD$23,'实盘净值数据(iFinD）'!$Z371:$AA371/'实盘净值数据(iFinD）'!$Z$65:$AA$65))*(1-实盘持仓初始配置!$Z$7)^(('实盘净值数据(iFinD）'!$A371-'实盘净值数据(iFinD）'!$A$8)/365))</f>
        <v/>
      </c>
      <c r="L371" s="16" t="str">
        <f t="shared" si="33"/>
        <v/>
      </c>
      <c r="M371" s="16" t="str">
        <f>IF(K371="","",K371/MAX(K$5:K371)-1)</f>
        <v/>
      </c>
      <c r="N371" s="13" t="str">
        <f>IF(OR('实盘净值数据(iFinD）'!$A371="",'实盘净值数据(iFinD）'!$B371="",'实盘净值数据(iFinD）'!$Z371="",'实盘净值数据(iFinD）'!$AA371=""),"",分期持仓明细!$AB$24*(SUMPRODUCT(分期持仓明细!$B$24:$Y$24,'实盘净值数据(iFinD）'!$B371:$Y371/'实盘净值数据(iFinD）'!$B$65:$Y$65)+SUMPRODUCT(分期持仓明细!$AC$24:$AD$24,'实盘净值数据(iFinD）'!$Z371:$AA371/'实盘净值数据(iFinD）'!$Z$65:$AA$65))*(1-实盘持仓初始配置!$Z$8)^(('实盘净值数据(iFinD）'!$A371-'实盘净值数据(iFinD）'!$A$5)/365))</f>
        <v/>
      </c>
      <c r="O371" s="16" t="str">
        <f t="shared" si="34"/>
        <v/>
      </c>
      <c r="P371" s="16" t="str">
        <f>IF(N371="","",N371/MAX(N$5:N371)-1)</f>
        <v/>
      </c>
      <c r="Q371" s="13" t="str">
        <f>IF(OR('实盘净值数据(iFinD）'!$A371="",'实盘净值数据(iFinD）'!$B371="",'实盘净值数据(iFinD）'!$Z371="",'实盘净值数据(iFinD）'!$AA371=""),"",分期持仓明细!$AB$25*(SUMPRODUCT(分期持仓明细!$B$25:$Y$25,'实盘净值数据(iFinD）'!$B371:$Y371/'实盘净值数据(iFinD）'!$B$65:$Y$65)+SUMPRODUCT(分期持仓明细!$AC$25:$AD$25,'实盘净值数据(iFinD）'!$Z371:$AA371/'实盘净值数据(iFinD）'!$Z$65:$AA$65))*(1-实盘持仓初始配置!$Z$9)^(('实盘净值数据(iFinD）'!$A371-'实盘净值数据(iFinD）'!$A$8)/365))</f>
        <v/>
      </c>
      <c r="R371" s="16" t="str">
        <f t="shared" si="35"/>
        <v/>
      </c>
      <c r="S371" s="16" t="str">
        <f>IF(Q371="","",Q371/MAX(Q$5:Q371)-1)</f>
        <v/>
      </c>
    </row>
    <row r="372" spans="1:19">
      <c r="A372" s="15" t="str">
        <f>IF('实盘净值数据(iFinD）'!A372="","",'实盘净值数据(iFinD）'!A372)</f>
        <v/>
      </c>
      <c r="B372" s="13" t="str">
        <f>IF(OR('实盘净值数据(iFinD）'!$A372="",'实盘净值数据(iFinD）'!$B372=""),"",分期持仓明细!$AB$17*SUMPRODUCT(分期持仓明细!$B$17:$Y$17,'实盘净值数据(iFinD）'!$B372:$Y372/'实盘净值数据(iFinD）'!$B$20:$Y$20)*(1-实盘持仓初始配置!$Z$4)^(('实盘净值数据(iFinD）'!$A372-'实盘净值数据(iFinD）'!$A$6)/365))</f>
        <v/>
      </c>
      <c r="C372" s="16" t="str">
        <f t="shared" si="30"/>
        <v/>
      </c>
      <c r="D372" s="16" t="str">
        <f>IF(B372="","",B372/MAX(B$5:B372)-1)</f>
        <v/>
      </c>
      <c r="E372" s="13" t="str">
        <f>IF(OR('实盘净值数据(iFinD）'!$A372="",'实盘净值数据(iFinD）'!$B372=""),"",分期持仓明细!$AB$18*SUMPRODUCT(分期持仓明细!$B$18:$Y$18,'实盘净值数据(iFinD）'!$B372:$Y372/'实盘净值数据(iFinD）'!$B$20:$Y$20)*(1-实盘持仓初始配置!$Z$5)^(('实盘净值数据(iFinD）'!$A372-'实盘净值数据(iFinD）'!$A$5)/365))</f>
        <v/>
      </c>
      <c r="F372" s="16" t="str">
        <f t="shared" si="31"/>
        <v/>
      </c>
      <c r="G372" s="16" t="str">
        <f>IF(E372="","",E372/MAX(E$5:E372)-1)</f>
        <v/>
      </c>
      <c r="H372" s="13" t="str">
        <f>IF(OR('实盘净值数据(iFinD）'!$A372="",'实盘净值数据(iFinD）'!$B372=""),"",分期持仓明细!$AB$19*SUMPRODUCT(分期持仓明细!$B$19:$Y$19,'实盘净值数据(iFinD）'!$B372:$Y372/'实盘净值数据(iFinD）'!$B$20:$Y$20)*(1-实盘持仓初始配置!$Z$6)^(('实盘净值数据(iFinD）'!$A372-'实盘净值数据(iFinD）'!$A$7)/365))</f>
        <v/>
      </c>
      <c r="I372" s="16" t="str">
        <f t="shared" si="32"/>
        <v/>
      </c>
      <c r="J372" s="16" t="str">
        <f>IF(H372="","",H372/MAX(H$5:H372)-1)</f>
        <v/>
      </c>
      <c r="K372" s="13" t="str">
        <f>IF(OR('实盘净值数据(iFinD）'!$A372="",'实盘净值数据(iFinD）'!$B372="",'实盘净值数据(iFinD）'!$Z372="",'实盘净值数据(iFinD）'!$AA372=""),"",分期持仓明细!$AB$23*(SUMPRODUCT(分期持仓明细!$B$23:$Y$23,'实盘净值数据(iFinD）'!$B372:$Y372/'实盘净值数据(iFinD）'!$B$65:$Y$65)+SUMPRODUCT(分期持仓明细!$AC$23:$AD$23,'实盘净值数据(iFinD）'!$Z372:$AA372/'实盘净值数据(iFinD）'!$Z$65:$AA$65))*(1-实盘持仓初始配置!$Z$7)^(('实盘净值数据(iFinD）'!$A372-'实盘净值数据(iFinD）'!$A$8)/365))</f>
        <v/>
      </c>
      <c r="L372" s="16" t="str">
        <f t="shared" si="33"/>
        <v/>
      </c>
      <c r="M372" s="16" t="str">
        <f>IF(K372="","",K372/MAX(K$5:K372)-1)</f>
        <v/>
      </c>
      <c r="N372" s="13" t="str">
        <f>IF(OR('实盘净值数据(iFinD）'!$A372="",'实盘净值数据(iFinD）'!$B372="",'实盘净值数据(iFinD）'!$Z372="",'实盘净值数据(iFinD）'!$AA372=""),"",分期持仓明细!$AB$24*(SUMPRODUCT(分期持仓明细!$B$24:$Y$24,'实盘净值数据(iFinD）'!$B372:$Y372/'实盘净值数据(iFinD）'!$B$65:$Y$65)+SUMPRODUCT(分期持仓明细!$AC$24:$AD$24,'实盘净值数据(iFinD）'!$Z372:$AA372/'实盘净值数据(iFinD）'!$Z$65:$AA$65))*(1-实盘持仓初始配置!$Z$8)^(('实盘净值数据(iFinD）'!$A372-'实盘净值数据(iFinD）'!$A$5)/365))</f>
        <v/>
      </c>
      <c r="O372" s="16" t="str">
        <f t="shared" si="34"/>
        <v/>
      </c>
      <c r="P372" s="16" t="str">
        <f>IF(N372="","",N372/MAX(N$5:N372)-1)</f>
        <v/>
      </c>
      <c r="Q372" s="13" t="str">
        <f>IF(OR('实盘净值数据(iFinD）'!$A372="",'实盘净值数据(iFinD）'!$B372="",'实盘净值数据(iFinD）'!$Z372="",'实盘净值数据(iFinD）'!$AA372=""),"",分期持仓明细!$AB$25*(SUMPRODUCT(分期持仓明细!$B$25:$Y$25,'实盘净值数据(iFinD）'!$B372:$Y372/'实盘净值数据(iFinD）'!$B$65:$Y$65)+SUMPRODUCT(分期持仓明细!$AC$25:$AD$25,'实盘净值数据(iFinD）'!$Z372:$AA372/'实盘净值数据(iFinD）'!$Z$65:$AA$65))*(1-实盘持仓初始配置!$Z$9)^(('实盘净值数据(iFinD）'!$A372-'实盘净值数据(iFinD）'!$A$8)/365))</f>
        <v/>
      </c>
      <c r="R372" s="16" t="str">
        <f t="shared" si="35"/>
        <v/>
      </c>
      <c r="S372" s="16" t="str">
        <f>IF(Q372="","",Q372/MAX(Q$5:Q372)-1)</f>
        <v/>
      </c>
    </row>
    <row r="373" spans="1:19">
      <c r="A373" s="15" t="str">
        <f>IF('实盘净值数据(iFinD）'!A373="","",'实盘净值数据(iFinD）'!A373)</f>
        <v/>
      </c>
      <c r="B373" s="13" t="str">
        <f>IF(OR('实盘净值数据(iFinD）'!$A373="",'实盘净值数据(iFinD）'!$B373=""),"",分期持仓明细!$AB$17*SUMPRODUCT(分期持仓明细!$B$17:$Y$17,'实盘净值数据(iFinD）'!$B373:$Y373/'实盘净值数据(iFinD）'!$B$20:$Y$20)*(1-实盘持仓初始配置!$Z$4)^(('实盘净值数据(iFinD）'!$A373-'实盘净值数据(iFinD）'!$A$6)/365))</f>
        <v/>
      </c>
      <c r="C373" s="16" t="str">
        <f t="shared" si="30"/>
        <v/>
      </c>
      <c r="D373" s="16" t="str">
        <f>IF(B373="","",B373/MAX(B$5:B373)-1)</f>
        <v/>
      </c>
      <c r="E373" s="13" t="str">
        <f>IF(OR('实盘净值数据(iFinD）'!$A373="",'实盘净值数据(iFinD）'!$B373=""),"",分期持仓明细!$AB$18*SUMPRODUCT(分期持仓明细!$B$18:$Y$18,'实盘净值数据(iFinD）'!$B373:$Y373/'实盘净值数据(iFinD）'!$B$20:$Y$20)*(1-实盘持仓初始配置!$Z$5)^(('实盘净值数据(iFinD）'!$A373-'实盘净值数据(iFinD）'!$A$5)/365))</f>
        <v/>
      </c>
      <c r="F373" s="16" t="str">
        <f t="shared" si="31"/>
        <v/>
      </c>
      <c r="G373" s="16" t="str">
        <f>IF(E373="","",E373/MAX(E$5:E373)-1)</f>
        <v/>
      </c>
      <c r="H373" s="13" t="str">
        <f>IF(OR('实盘净值数据(iFinD）'!$A373="",'实盘净值数据(iFinD）'!$B373=""),"",分期持仓明细!$AB$19*SUMPRODUCT(分期持仓明细!$B$19:$Y$19,'实盘净值数据(iFinD）'!$B373:$Y373/'实盘净值数据(iFinD）'!$B$20:$Y$20)*(1-实盘持仓初始配置!$Z$6)^(('实盘净值数据(iFinD）'!$A373-'实盘净值数据(iFinD）'!$A$7)/365))</f>
        <v/>
      </c>
      <c r="I373" s="16" t="str">
        <f t="shared" si="32"/>
        <v/>
      </c>
      <c r="J373" s="16" t="str">
        <f>IF(H373="","",H373/MAX(H$5:H373)-1)</f>
        <v/>
      </c>
      <c r="K373" s="13" t="str">
        <f>IF(OR('实盘净值数据(iFinD）'!$A373="",'实盘净值数据(iFinD）'!$B373="",'实盘净值数据(iFinD）'!$Z373="",'实盘净值数据(iFinD）'!$AA373=""),"",分期持仓明细!$AB$23*(SUMPRODUCT(分期持仓明细!$B$23:$Y$23,'实盘净值数据(iFinD）'!$B373:$Y373/'实盘净值数据(iFinD）'!$B$65:$Y$65)+SUMPRODUCT(分期持仓明细!$AC$23:$AD$23,'实盘净值数据(iFinD）'!$Z373:$AA373/'实盘净值数据(iFinD）'!$Z$65:$AA$65))*(1-实盘持仓初始配置!$Z$7)^(('实盘净值数据(iFinD）'!$A373-'实盘净值数据(iFinD）'!$A$8)/365))</f>
        <v/>
      </c>
      <c r="L373" s="16" t="str">
        <f t="shared" si="33"/>
        <v/>
      </c>
      <c r="M373" s="16" t="str">
        <f>IF(K373="","",K373/MAX(K$5:K373)-1)</f>
        <v/>
      </c>
      <c r="N373" s="13" t="str">
        <f>IF(OR('实盘净值数据(iFinD）'!$A373="",'实盘净值数据(iFinD）'!$B373="",'实盘净值数据(iFinD）'!$Z373="",'实盘净值数据(iFinD）'!$AA373=""),"",分期持仓明细!$AB$24*(SUMPRODUCT(分期持仓明细!$B$24:$Y$24,'实盘净值数据(iFinD）'!$B373:$Y373/'实盘净值数据(iFinD）'!$B$65:$Y$65)+SUMPRODUCT(分期持仓明细!$AC$24:$AD$24,'实盘净值数据(iFinD）'!$Z373:$AA373/'实盘净值数据(iFinD）'!$Z$65:$AA$65))*(1-实盘持仓初始配置!$Z$8)^(('实盘净值数据(iFinD）'!$A373-'实盘净值数据(iFinD）'!$A$5)/365))</f>
        <v/>
      </c>
      <c r="O373" s="16" t="str">
        <f t="shared" si="34"/>
        <v/>
      </c>
      <c r="P373" s="16" t="str">
        <f>IF(N373="","",N373/MAX(N$5:N373)-1)</f>
        <v/>
      </c>
      <c r="Q373" s="13" t="str">
        <f>IF(OR('实盘净值数据(iFinD）'!$A373="",'实盘净值数据(iFinD）'!$B373="",'实盘净值数据(iFinD）'!$Z373="",'实盘净值数据(iFinD）'!$AA373=""),"",分期持仓明细!$AB$25*(SUMPRODUCT(分期持仓明细!$B$25:$Y$25,'实盘净值数据(iFinD）'!$B373:$Y373/'实盘净值数据(iFinD）'!$B$65:$Y$65)+SUMPRODUCT(分期持仓明细!$AC$25:$AD$25,'实盘净值数据(iFinD）'!$Z373:$AA373/'实盘净值数据(iFinD）'!$Z$65:$AA$65))*(1-实盘持仓初始配置!$Z$9)^(('实盘净值数据(iFinD）'!$A373-'实盘净值数据(iFinD）'!$A$8)/365))</f>
        <v/>
      </c>
      <c r="R373" s="16" t="str">
        <f t="shared" si="35"/>
        <v/>
      </c>
      <c r="S373" s="16" t="str">
        <f>IF(Q373="","",Q373/MAX(Q$5:Q373)-1)</f>
        <v/>
      </c>
    </row>
    <row r="374" spans="1:19">
      <c r="A374" s="15" t="str">
        <f>IF('实盘净值数据(iFinD）'!A374="","",'实盘净值数据(iFinD）'!A374)</f>
        <v/>
      </c>
      <c r="B374" s="13" t="str">
        <f>IF(OR('实盘净值数据(iFinD）'!$A374="",'实盘净值数据(iFinD）'!$B374=""),"",分期持仓明细!$AB$17*SUMPRODUCT(分期持仓明细!$B$17:$Y$17,'实盘净值数据(iFinD）'!$B374:$Y374/'实盘净值数据(iFinD）'!$B$20:$Y$20)*(1-实盘持仓初始配置!$Z$4)^(('实盘净值数据(iFinD）'!$A374-'实盘净值数据(iFinD）'!$A$6)/365))</f>
        <v/>
      </c>
      <c r="C374" s="16" t="str">
        <f t="shared" si="30"/>
        <v/>
      </c>
      <c r="D374" s="16" t="str">
        <f>IF(B374="","",B374/MAX(B$5:B374)-1)</f>
        <v/>
      </c>
      <c r="E374" s="13" t="str">
        <f>IF(OR('实盘净值数据(iFinD）'!$A374="",'实盘净值数据(iFinD）'!$B374=""),"",分期持仓明细!$AB$18*SUMPRODUCT(分期持仓明细!$B$18:$Y$18,'实盘净值数据(iFinD）'!$B374:$Y374/'实盘净值数据(iFinD）'!$B$20:$Y$20)*(1-实盘持仓初始配置!$Z$5)^(('实盘净值数据(iFinD）'!$A374-'实盘净值数据(iFinD）'!$A$5)/365))</f>
        <v/>
      </c>
      <c r="F374" s="16" t="str">
        <f t="shared" si="31"/>
        <v/>
      </c>
      <c r="G374" s="16" t="str">
        <f>IF(E374="","",E374/MAX(E$5:E374)-1)</f>
        <v/>
      </c>
      <c r="H374" s="13" t="str">
        <f>IF(OR('实盘净值数据(iFinD）'!$A374="",'实盘净值数据(iFinD）'!$B374=""),"",分期持仓明细!$AB$19*SUMPRODUCT(分期持仓明细!$B$19:$Y$19,'实盘净值数据(iFinD）'!$B374:$Y374/'实盘净值数据(iFinD）'!$B$20:$Y$20)*(1-实盘持仓初始配置!$Z$6)^(('实盘净值数据(iFinD）'!$A374-'实盘净值数据(iFinD）'!$A$7)/365))</f>
        <v/>
      </c>
      <c r="I374" s="16" t="str">
        <f t="shared" si="32"/>
        <v/>
      </c>
      <c r="J374" s="16" t="str">
        <f>IF(H374="","",H374/MAX(H$5:H374)-1)</f>
        <v/>
      </c>
      <c r="K374" s="13" t="str">
        <f>IF(OR('实盘净值数据(iFinD）'!$A374="",'实盘净值数据(iFinD）'!$B374="",'实盘净值数据(iFinD）'!$Z374="",'实盘净值数据(iFinD）'!$AA374=""),"",分期持仓明细!$AB$23*(SUMPRODUCT(分期持仓明细!$B$23:$Y$23,'实盘净值数据(iFinD）'!$B374:$Y374/'实盘净值数据(iFinD）'!$B$65:$Y$65)+SUMPRODUCT(分期持仓明细!$AC$23:$AD$23,'实盘净值数据(iFinD）'!$Z374:$AA374/'实盘净值数据(iFinD）'!$Z$65:$AA$65))*(1-实盘持仓初始配置!$Z$7)^(('实盘净值数据(iFinD）'!$A374-'实盘净值数据(iFinD）'!$A$8)/365))</f>
        <v/>
      </c>
      <c r="L374" s="16" t="str">
        <f t="shared" si="33"/>
        <v/>
      </c>
      <c r="M374" s="16" t="str">
        <f>IF(K374="","",K374/MAX(K$5:K374)-1)</f>
        <v/>
      </c>
      <c r="N374" s="13" t="str">
        <f>IF(OR('实盘净值数据(iFinD）'!$A374="",'实盘净值数据(iFinD）'!$B374="",'实盘净值数据(iFinD）'!$Z374="",'实盘净值数据(iFinD）'!$AA374=""),"",分期持仓明细!$AB$24*(SUMPRODUCT(分期持仓明细!$B$24:$Y$24,'实盘净值数据(iFinD）'!$B374:$Y374/'实盘净值数据(iFinD）'!$B$65:$Y$65)+SUMPRODUCT(分期持仓明细!$AC$24:$AD$24,'实盘净值数据(iFinD）'!$Z374:$AA374/'实盘净值数据(iFinD）'!$Z$65:$AA$65))*(1-实盘持仓初始配置!$Z$8)^(('实盘净值数据(iFinD）'!$A374-'实盘净值数据(iFinD）'!$A$5)/365))</f>
        <v/>
      </c>
      <c r="O374" s="16" t="str">
        <f t="shared" si="34"/>
        <v/>
      </c>
      <c r="P374" s="16" t="str">
        <f>IF(N374="","",N374/MAX(N$5:N374)-1)</f>
        <v/>
      </c>
      <c r="Q374" s="13" t="str">
        <f>IF(OR('实盘净值数据(iFinD）'!$A374="",'实盘净值数据(iFinD）'!$B374="",'实盘净值数据(iFinD）'!$Z374="",'实盘净值数据(iFinD）'!$AA374=""),"",分期持仓明细!$AB$25*(SUMPRODUCT(分期持仓明细!$B$25:$Y$25,'实盘净值数据(iFinD）'!$B374:$Y374/'实盘净值数据(iFinD）'!$B$65:$Y$65)+SUMPRODUCT(分期持仓明细!$AC$25:$AD$25,'实盘净值数据(iFinD）'!$Z374:$AA374/'实盘净值数据(iFinD）'!$Z$65:$AA$65))*(1-实盘持仓初始配置!$Z$9)^(('实盘净值数据(iFinD）'!$A374-'实盘净值数据(iFinD）'!$A$8)/365))</f>
        <v/>
      </c>
      <c r="R374" s="16" t="str">
        <f t="shared" si="35"/>
        <v/>
      </c>
      <c r="S374" s="16" t="str">
        <f>IF(Q374="","",Q374/MAX(Q$5:Q374)-1)</f>
        <v/>
      </c>
    </row>
    <row r="375" spans="1:19">
      <c r="A375" s="15" t="str">
        <f>IF('实盘净值数据(iFinD）'!A375="","",'实盘净值数据(iFinD）'!A375)</f>
        <v/>
      </c>
      <c r="B375" s="13" t="str">
        <f>IF(OR('实盘净值数据(iFinD）'!$A375="",'实盘净值数据(iFinD）'!$B375=""),"",分期持仓明细!$AB$17*SUMPRODUCT(分期持仓明细!$B$17:$Y$17,'实盘净值数据(iFinD）'!$B375:$Y375/'实盘净值数据(iFinD）'!$B$20:$Y$20)*(1-实盘持仓初始配置!$Z$4)^(('实盘净值数据(iFinD）'!$A375-'实盘净值数据(iFinD）'!$A$6)/365))</f>
        <v/>
      </c>
      <c r="C375" s="16" t="str">
        <f t="shared" si="30"/>
        <v/>
      </c>
      <c r="D375" s="16" t="str">
        <f>IF(B375="","",B375/MAX(B$5:B375)-1)</f>
        <v/>
      </c>
      <c r="E375" s="13" t="str">
        <f>IF(OR('实盘净值数据(iFinD）'!$A375="",'实盘净值数据(iFinD）'!$B375=""),"",分期持仓明细!$AB$18*SUMPRODUCT(分期持仓明细!$B$18:$Y$18,'实盘净值数据(iFinD）'!$B375:$Y375/'实盘净值数据(iFinD）'!$B$20:$Y$20)*(1-实盘持仓初始配置!$Z$5)^(('实盘净值数据(iFinD）'!$A375-'实盘净值数据(iFinD）'!$A$5)/365))</f>
        <v/>
      </c>
      <c r="F375" s="16" t="str">
        <f t="shared" si="31"/>
        <v/>
      </c>
      <c r="G375" s="16" t="str">
        <f>IF(E375="","",E375/MAX(E$5:E375)-1)</f>
        <v/>
      </c>
      <c r="H375" s="13" t="str">
        <f>IF(OR('实盘净值数据(iFinD）'!$A375="",'实盘净值数据(iFinD）'!$B375=""),"",分期持仓明细!$AB$19*SUMPRODUCT(分期持仓明细!$B$19:$Y$19,'实盘净值数据(iFinD）'!$B375:$Y375/'实盘净值数据(iFinD）'!$B$20:$Y$20)*(1-实盘持仓初始配置!$Z$6)^(('实盘净值数据(iFinD）'!$A375-'实盘净值数据(iFinD）'!$A$7)/365))</f>
        <v/>
      </c>
      <c r="I375" s="16" t="str">
        <f t="shared" si="32"/>
        <v/>
      </c>
      <c r="J375" s="16" t="str">
        <f>IF(H375="","",H375/MAX(H$5:H375)-1)</f>
        <v/>
      </c>
      <c r="K375" s="13" t="str">
        <f>IF(OR('实盘净值数据(iFinD）'!$A375="",'实盘净值数据(iFinD）'!$B375="",'实盘净值数据(iFinD）'!$Z375="",'实盘净值数据(iFinD）'!$AA375=""),"",分期持仓明细!$AB$23*(SUMPRODUCT(分期持仓明细!$B$23:$Y$23,'实盘净值数据(iFinD）'!$B375:$Y375/'实盘净值数据(iFinD）'!$B$65:$Y$65)+SUMPRODUCT(分期持仓明细!$AC$23:$AD$23,'实盘净值数据(iFinD）'!$Z375:$AA375/'实盘净值数据(iFinD）'!$Z$65:$AA$65))*(1-实盘持仓初始配置!$Z$7)^(('实盘净值数据(iFinD）'!$A375-'实盘净值数据(iFinD）'!$A$8)/365))</f>
        <v/>
      </c>
      <c r="L375" s="16" t="str">
        <f t="shared" si="33"/>
        <v/>
      </c>
      <c r="M375" s="16" t="str">
        <f>IF(K375="","",K375/MAX(K$5:K375)-1)</f>
        <v/>
      </c>
      <c r="N375" s="13" t="str">
        <f>IF(OR('实盘净值数据(iFinD）'!$A375="",'实盘净值数据(iFinD）'!$B375="",'实盘净值数据(iFinD）'!$Z375="",'实盘净值数据(iFinD）'!$AA375=""),"",分期持仓明细!$AB$24*(SUMPRODUCT(分期持仓明细!$B$24:$Y$24,'实盘净值数据(iFinD）'!$B375:$Y375/'实盘净值数据(iFinD）'!$B$65:$Y$65)+SUMPRODUCT(分期持仓明细!$AC$24:$AD$24,'实盘净值数据(iFinD）'!$Z375:$AA375/'实盘净值数据(iFinD）'!$Z$65:$AA$65))*(1-实盘持仓初始配置!$Z$8)^(('实盘净值数据(iFinD）'!$A375-'实盘净值数据(iFinD）'!$A$5)/365))</f>
        <v/>
      </c>
      <c r="O375" s="16" t="str">
        <f t="shared" si="34"/>
        <v/>
      </c>
      <c r="P375" s="16" t="str">
        <f>IF(N375="","",N375/MAX(N$5:N375)-1)</f>
        <v/>
      </c>
      <c r="Q375" s="13" t="str">
        <f>IF(OR('实盘净值数据(iFinD）'!$A375="",'实盘净值数据(iFinD）'!$B375="",'实盘净值数据(iFinD）'!$Z375="",'实盘净值数据(iFinD）'!$AA375=""),"",分期持仓明细!$AB$25*(SUMPRODUCT(分期持仓明细!$B$25:$Y$25,'实盘净值数据(iFinD）'!$B375:$Y375/'实盘净值数据(iFinD）'!$B$65:$Y$65)+SUMPRODUCT(分期持仓明细!$AC$25:$AD$25,'实盘净值数据(iFinD）'!$Z375:$AA375/'实盘净值数据(iFinD）'!$Z$65:$AA$65))*(1-实盘持仓初始配置!$Z$9)^(('实盘净值数据(iFinD）'!$A375-'实盘净值数据(iFinD）'!$A$8)/365))</f>
        <v/>
      </c>
      <c r="R375" s="16" t="str">
        <f t="shared" si="35"/>
        <v/>
      </c>
      <c r="S375" s="16" t="str">
        <f>IF(Q375="","",Q375/MAX(Q$5:Q375)-1)</f>
        <v/>
      </c>
    </row>
    <row r="376" spans="1:19">
      <c r="A376" s="15" t="str">
        <f>IF('实盘净值数据(iFinD）'!A376="","",'实盘净值数据(iFinD）'!A376)</f>
        <v/>
      </c>
      <c r="B376" s="13" t="str">
        <f>IF(OR('实盘净值数据(iFinD）'!$A376="",'实盘净值数据(iFinD）'!$B376=""),"",分期持仓明细!$AB$17*SUMPRODUCT(分期持仓明细!$B$17:$Y$17,'实盘净值数据(iFinD）'!$B376:$Y376/'实盘净值数据(iFinD）'!$B$20:$Y$20)*(1-实盘持仓初始配置!$Z$4)^(('实盘净值数据(iFinD）'!$A376-'实盘净值数据(iFinD）'!$A$6)/365))</f>
        <v/>
      </c>
      <c r="C376" s="16" t="str">
        <f t="shared" si="30"/>
        <v/>
      </c>
      <c r="D376" s="16" t="str">
        <f>IF(B376="","",B376/MAX(B$5:B376)-1)</f>
        <v/>
      </c>
      <c r="E376" s="13" t="str">
        <f>IF(OR('实盘净值数据(iFinD）'!$A376="",'实盘净值数据(iFinD）'!$B376=""),"",分期持仓明细!$AB$18*SUMPRODUCT(分期持仓明细!$B$18:$Y$18,'实盘净值数据(iFinD）'!$B376:$Y376/'实盘净值数据(iFinD）'!$B$20:$Y$20)*(1-实盘持仓初始配置!$Z$5)^(('实盘净值数据(iFinD）'!$A376-'实盘净值数据(iFinD）'!$A$5)/365))</f>
        <v/>
      </c>
      <c r="F376" s="16" t="str">
        <f t="shared" si="31"/>
        <v/>
      </c>
      <c r="G376" s="16" t="str">
        <f>IF(E376="","",E376/MAX(E$5:E376)-1)</f>
        <v/>
      </c>
      <c r="H376" s="13" t="str">
        <f>IF(OR('实盘净值数据(iFinD）'!$A376="",'实盘净值数据(iFinD）'!$B376=""),"",分期持仓明细!$AB$19*SUMPRODUCT(分期持仓明细!$B$19:$Y$19,'实盘净值数据(iFinD）'!$B376:$Y376/'实盘净值数据(iFinD）'!$B$20:$Y$20)*(1-实盘持仓初始配置!$Z$6)^(('实盘净值数据(iFinD）'!$A376-'实盘净值数据(iFinD）'!$A$7)/365))</f>
        <v/>
      </c>
      <c r="I376" s="16" t="str">
        <f t="shared" si="32"/>
        <v/>
      </c>
      <c r="J376" s="16" t="str">
        <f>IF(H376="","",H376/MAX(H$5:H376)-1)</f>
        <v/>
      </c>
      <c r="K376" s="13" t="str">
        <f>IF(OR('实盘净值数据(iFinD）'!$A376="",'实盘净值数据(iFinD）'!$B376="",'实盘净值数据(iFinD）'!$Z376="",'实盘净值数据(iFinD）'!$AA376=""),"",分期持仓明细!$AB$23*(SUMPRODUCT(分期持仓明细!$B$23:$Y$23,'实盘净值数据(iFinD）'!$B376:$Y376/'实盘净值数据(iFinD）'!$B$65:$Y$65)+SUMPRODUCT(分期持仓明细!$AC$23:$AD$23,'实盘净值数据(iFinD）'!$Z376:$AA376/'实盘净值数据(iFinD）'!$Z$65:$AA$65))*(1-实盘持仓初始配置!$Z$7)^(('实盘净值数据(iFinD）'!$A376-'实盘净值数据(iFinD）'!$A$8)/365))</f>
        <v/>
      </c>
      <c r="L376" s="16" t="str">
        <f t="shared" si="33"/>
        <v/>
      </c>
      <c r="M376" s="16" t="str">
        <f>IF(K376="","",K376/MAX(K$5:K376)-1)</f>
        <v/>
      </c>
      <c r="N376" s="13" t="str">
        <f>IF(OR('实盘净值数据(iFinD）'!$A376="",'实盘净值数据(iFinD）'!$B376="",'实盘净值数据(iFinD）'!$Z376="",'实盘净值数据(iFinD）'!$AA376=""),"",分期持仓明细!$AB$24*(SUMPRODUCT(分期持仓明细!$B$24:$Y$24,'实盘净值数据(iFinD）'!$B376:$Y376/'实盘净值数据(iFinD）'!$B$65:$Y$65)+SUMPRODUCT(分期持仓明细!$AC$24:$AD$24,'实盘净值数据(iFinD）'!$Z376:$AA376/'实盘净值数据(iFinD）'!$Z$65:$AA$65))*(1-实盘持仓初始配置!$Z$8)^(('实盘净值数据(iFinD）'!$A376-'实盘净值数据(iFinD）'!$A$5)/365))</f>
        <v/>
      </c>
      <c r="O376" s="16" t="str">
        <f t="shared" si="34"/>
        <v/>
      </c>
      <c r="P376" s="16" t="str">
        <f>IF(N376="","",N376/MAX(N$5:N376)-1)</f>
        <v/>
      </c>
      <c r="Q376" s="13" t="str">
        <f>IF(OR('实盘净值数据(iFinD）'!$A376="",'实盘净值数据(iFinD）'!$B376="",'实盘净值数据(iFinD）'!$Z376="",'实盘净值数据(iFinD）'!$AA376=""),"",分期持仓明细!$AB$25*(SUMPRODUCT(分期持仓明细!$B$25:$Y$25,'实盘净值数据(iFinD）'!$B376:$Y376/'实盘净值数据(iFinD）'!$B$65:$Y$65)+SUMPRODUCT(分期持仓明细!$AC$25:$AD$25,'实盘净值数据(iFinD）'!$Z376:$AA376/'实盘净值数据(iFinD）'!$Z$65:$AA$65))*(1-实盘持仓初始配置!$Z$9)^(('实盘净值数据(iFinD）'!$A376-'实盘净值数据(iFinD）'!$A$8)/365))</f>
        <v/>
      </c>
      <c r="R376" s="16" t="str">
        <f t="shared" si="35"/>
        <v/>
      </c>
      <c r="S376" s="16" t="str">
        <f>IF(Q376="","",Q376/MAX(Q$5:Q376)-1)</f>
        <v/>
      </c>
    </row>
    <row r="377" spans="1:19">
      <c r="A377" s="15" t="str">
        <f>IF('实盘净值数据(iFinD）'!A377="","",'实盘净值数据(iFinD）'!A377)</f>
        <v/>
      </c>
      <c r="B377" s="13" t="str">
        <f>IF(OR('实盘净值数据(iFinD）'!$A377="",'实盘净值数据(iFinD）'!$B377=""),"",分期持仓明细!$AB$17*SUMPRODUCT(分期持仓明细!$B$17:$Y$17,'实盘净值数据(iFinD）'!$B377:$Y377/'实盘净值数据(iFinD）'!$B$20:$Y$20)*(1-实盘持仓初始配置!$Z$4)^(('实盘净值数据(iFinD）'!$A377-'实盘净值数据(iFinD）'!$A$6)/365))</f>
        <v/>
      </c>
      <c r="C377" s="16" t="str">
        <f t="shared" si="30"/>
        <v/>
      </c>
      <c r="D377" s="16" t="str">
        <f>IF(B377="","",B377/MAX(B$5:B377)-1)</f>
        <v/>
      </c>
      <c r="E377" s="13" t="str">
        <f>IF(OR('实盘净值数据(iFinD）'!$A377="",'实盘净值数据(iFinD）'!$B377=""),"",分期持仓明细!$AB$18*SUMPRODUCT(分期持仓明细!$B$18:$Y$18,'实盘净值数据(iFinD）'!$B377:$Y377/'实盘净值数据(iFinD）'!$B$20:$Y$20)*(1-实盘持仓初始配置!$Z$5)^(('实盘净值数据(iFinD）'!$A377-'实盘净值数据(iFinD）'!$A$5)/365))</f>
        <v/>
      </c>
      <c r="F377" s="16" t="str">
        <f t="shared" si="31"/>
        <v/>
      </c>
      <c r="G377" s="16" t="str">
        <f>IF(E377="","",E377/MAX(E$5:E377)-1)</f>
        <v/>
      </c>
      <c r="H377" s="13" t="str">
        <f>IF(OR('实盘净值数据(iFinD）'!$A377="",'实盘净值数据(iFinD）'!$B377=""),"",分期持仓明细!$AB$19*SUMPRODUCT(分期持仓明细!$B$19:$Y$19,'实盘净值数据(iFinD）'!$B377:$Y377/'实盘净值数据(iFinD）'!$B$20:$Y$20)*(1-实盘持仓初始配置!$Z$6)^(('实盘净值数据(iFinD）'!$A377-'实盘净值数据(iFinD）'!$A$7)/365))</f>
        <v/>
      </c>
      <c r="I377" s="16" t="str">
        <f t="shared" si="32"/>
        <v/>
      </c>
      <c r="J377" s="16" t="str">
        <f>IF(H377="","",H377/MAX(H$5:H377)-1)</f>
        <v/>
      </c>
      <c r="K377" s="13" t="str">
        <f>IF(OR('实盘净值数据(iFinD）'!$A377="",'实盘净值数据(iFinD）'!$B377="",'实盘净值数据(iFinD）'!$Z377="",'实盘净值数据(iFinD）'!$AA377=""),"",分期持仓明细!$AB$23*(SUMPRODUCT(分期持仓明细!$B$23:$Y$23,'实盘净值数据(iFinD）'!$B377:$Y377/'实盘净值数据(iFinD）'!$B$65:$Y$65)+SUMPRODUCT(分期持仓明细!$AC$23:$AD$23,'实盘净值数据(iFinD）'!$Z377:$AA377/'实盘净值数据(iFinD）'!$Z$65:$AA$65))*(1-实盘持仓初始配置!$Z$7)^(('实盘净值数据(iFinD）'!$A377-'实盘净值数据(iFinD）'!$A$8)/365))</f>
        <v/>
      </c>
      <c r="L377" s="16" t="str">
        <f t="shared" si="33"/>
        <v/>
      </c>
      <c r="M377" s="16" t="str">
        <f>IF(K377="","",K377/MAX(K$5:K377)-1)</f>
        <v/>
      </c>
      <c r="N377" s="13" t="str">
        <f>IF(OR('实盘净值数据(iFinD）'!$A377="",'实盘净值数据(iFinD）'!$B377="",'实盘净值数据(iFinD）'!$Z377="",'实盘净值数据(iFinD）'!$AA377=""),"",分期持仓明细!$AB$24*(SUMPRODUCT(分期持仓明细!$B$24:$Y$24,'实盘净值数据(iFinD）'!$B377:$Y377/'实盘净值数据(iFinD）'!$B$65:$Y$65)+SUMPRODUCT(分期持仓明细!$AC$24:$AD$24,'实盘净值数据(iFinD）'!$Z377:$AA377/'实盘净值数据(iFinD）'!$Z$65:$AA$65))*(1-实盘持仓初始配置!$Z$8)^(('实盘净值数据(iFinD）'!$A377-'实盘净值数据(iFinD）'!$A$5)/365))</f>
        <v/>
      </c>
      <c r="O377" s="16" t="str">
        <f t="shared" si="34"/>
        <v/>
      </c>
      <c r="P377" s="16" t="str">
        <f>IF(N377="","",N377/MAX(N$5:N377)-1)</f>
        <v/>
      </c>
      <c r="Q377" s="13" t="str">
        <f>IF(OR('实盘净值数据(iFinD）'!$A377="",'实盘净值数据(iFinD）'!$B377="",'实盘净值数据(iFinD）'!$Z377="",'实盘净值数据(iFinD）'!$AA377=""),"",分期持仓明细!$AB$25*(SUMPRODUCT(分期持仓明细!$B$25:$Y$25,'实盘净值数据(iFinD）'!$B377:$Y377/'实盘净值数据(iFinD）'!$B$65:$Y$65)+SUMPRODUCT(分期持仓明细!$AC$25:$AD$25,'实盘净值数据(iFinD）'!$Z377:$AA377/'实盘净值数据(iFinD）'!$Z$65:$AA$65))*(1-实盘持仓初始配置!$Z$9)^(('实盘净值数据(iFinD）'!$A377-'实盘净值数据(iFinD）'!$A$8)/365))</f>
        <v/>
      </c>
      <c r="R377" s="16" t="str">
        <f t="shared" si="35"/>
        <v/>
      </c>
      <c r="S377" s="16" t="str">
        <f>IF(Q377="","",Q377/MAX(Q$5:Q377)-1)</f>
        <v/>
      </c>
    </row>
    <row r="378" spans="1:19">
      <c r="A378" s="15" t="str">
        <f>IF('实盘净值数据(iFinD）'!A378="","",'实盘净值数据(iFinD）'!A378)</f>
        <v/>
      </c>
      <c r="B378" s="13" t="str">
        <f>IF(OR('实盘净值数据(iFinD）'!$A378="",'实盘净值数据(iFinD）'!$B378=""),"",分期持仓明细!$AB$17*SUMPRODUCT(分期持仓明细!$B$17:$Y$17,'实盘净值数据(iFinD）'!$B378:$Y378/'实盘净值数据(iFinD）'!$B$20:$Y$20)*(1-实盘持仓初始配置!$Z$4)^(('实盘净值数据(iFinD）'!$A378-'实盘净值数据(iFinD）'!$A$6)/365))</f>
        <v/>
      </c>
      <c r="C378" s="16" t="str">
        <f t="shared" si="30"/>
        <v/>
      </c>
      <c r="D378" s="16" t="str">
        <f>IF(B378="","",B378/MAX(B$5:B378)-1)</f>
        <v/>
      </c>
      <c r="E378" s="13" t="str">
        <f>IF(OR('实盘净值数据(iFinD）'!$A378="",'实盘净值数据(iFinD）'!$B378=""),"",分期持仓明细!$AB$18*SUMPRODUCT(分期持仓明细!$B$18:$Y$18,'实盘净值数据(iFinD）'!$B378:$Y378/'实盘净值数据(iFinD）'!$B$20:$Y$20)*(1-实盘持仓初始配置!$Z$5)^(('实盘净值数据(iFinD）'!$A378-'实盘净值数据(iFinD）'!$A$5)/365))</f>
        <v/>
      </c>
      <c r="F378" s="16" t="str">
        <f t="shared" si="31"/>
        <v/>
      </c>
      <c r="G378" s="16" t="str">
        <f>IF(E378="","",E378/MAX(E$5:E378)-1)</f>
        <v/>
      </c>
      <c r="H378" s="13" t="str">
        <f>IF(OR('实盘净值数据(iFinD）'!$A378="",'实盘净值数据(iFinD）'!$B378=""),"",分期持仓明细!$AB$19*SUMPRODUCT(分期持仓明细!$B$19:$Y$19,'实盘净值数据(iFinD）'!$B378:$Y378/'实盘净值数据(iFinD）'!$B$20:$Y$20)*(1-实盘持仓初始配置!$Z$6)^(('实盘净值数据(iFinD）'!$A378-'实盘净值数据(iFinD）'!$A$7)/365))</f>
        <v/>
      </c>
      <c r="I378" s="16" t="str">
        <f t="shared" si="32"/>
        <v/>
      </c>
      <c r="J378" s="16" t="str">
        <f>IF(H378="","",H378/MAX(H$5:H378)-1)</f>
        <v/>
      </c>
      <c r="K378" s="13" t="str">
        <f>IF(OR('实盘净值数据(iFinD）'!$A378="",'实盘净值数据(iFinD）'!$B378="",'实盘净值数据(iFinD）'!$Z378="",'实盘净值数据(iFinD）'!$AA378=""),"",分期持仓明细!$AB$23*(SUMPRODUCT(分期持仓明细!$B$23:$Y$23,'实盘净值数据(iFinD）'!$B378:$Y378/'实盘净值数据(iFinD）'!$B$65:$Y$65)+SUMPRODUCT(分期持仓明细!$AC$23:$AD$23,'实盘净值数据(iFinD）'!$Z378:$AA378/'实盘净值数据(iFinD）'!$Z$65:$AA$65))*(1-实盘持仓初始配置!$Z$7)^(('实盘净值数据(iFinD）'!$A378-'实盘净值数据(iFinD）'!$A$8)/365))</f>
        <v/>
      </c>
      <c r="L378" s="16" t="str">
        <f t="shared" si="33"/>
        <v/>
      </c>
      <c r="M378" s="16" t="str">
        <f>IF(K378="","",K378/MAX(K$5:K378)-1)</f>
        <v/>
      </c>
      <c r="N378" s="13" t="str">
        <f>IF(OR('实盘净值数据(iFinD）'!$A378="",'实盘净值数据(iFinD）'!$B378="",'实盘净值数据(iFinD）'!$Z378="",'实盘净值数据(iFinD）'!$AA378=""),"",分期持仓明细!$AB$24*(SUMPRODUCT(分期持仓明细!$B$24:$Y$24,'实盘净值数据(iFinD）'!$B378:$Y378/'实盘净值数据(iFinD）'!$B$65:$Y$65)+SUMPRODUCT(分期持仓明细!$AC$24:$AD$24,'实盘净值数据(iFinD）'!$Z378:$AA378/'实盘净值数据(iFinD）'!$Z$65:$AA$65))*(1-实盘持仓初始配置!$Z$8)^(('实盘净值数据(iFinD）'!$A378-'实盘净值数据(iFinD）'!$A$5)/365))</f>
        <v/>
      </c>
      <c r="O378" s="16" t="str">
        <f t="shared" si="34"/>
        <v/>
      </c>
      <c r="P378" s="16" t="str">
        <f>IF(N378="","",N378/MAX(N$5:N378)-1)</f>
        <v/>
      </c>
      <c r="Q378" s="13" t="str">
        <f>IF(OR('实盘净值数据(iFinD）'!$A378="",'实盘净值数据(iFinD）'!$B378="",'实盘净值数据(iFinD）'!$Z378="",'实盘净值数据(iFinD）'!$AA378=""),"",分期持仓明细!$AB$25*(SUMPRODUCT(分期持仓明细!$B$25:$Y$25,'实盘净值数据(iFinD）'!$B378:$Y378/'实盘净值数据(iFinD）'!$B$65:$Y$65)+SUMPRODUCT(分期持仓明细!$AC$25:$AD$25,'实盘净值数据(iFinD）'!$Z378:$AA378/'实盘净值数据(iFinD）'!$Z$65:$AA$65))*(1-实盘持仓初始配置!$Z$9)^(('实盘净值数据(iFinD）'!$A378-'实盘净值数据(iFinD）'!$A$8)/365))</f>
        <v/>
      </c>
      <c r="R378" s="16" t="str">
        <f t="shared" si="35"/>
        <v/>
      </c>
      <c r="S378" s="16" t="str">
        <f>IF(Q378="","",Q378/MAX(Q$5:Q378)-1)</f>
        <v/>
      </c>
    </row>
    <row r="379" spans="1:19">
      <c r="A379" s="15" t="str">
        <f>IF('实盘净值数据(iFinD）'!A379="","",'实盘净值数据(iFinD）'!A379)</f>
        <v/>
      </c>
      <c r="B379" s="13" t="str">
        <f>IF(OR('实盘净值数据(iFinD）'!$A379="",'实盘净值数据(iFinD）'!$B379=""),"",分期持仓明细!$AB$17*SUMPRODUCT(分期持仓明细!$B$17:$Y$17,'实盘净值数据(iFinD）'!$B379:$Y379/'实盘净值数据(iFinD）'!$B$20:$Y$20)*(1-实盘持仓初始配置!$Z$4)^(('实盘净值数据(iFinD）'!$A379-'实盘净值数据(iFinD）'!$A$6)/365))</f>
        <v/>
      </c>
      <c r="C379" s="16" t="str">
        <f t="shared" si="30"/>
        <v/>
      </c>
      <c r="D379" s="16" t="str">
        <f>IF(B379="","",B379/MAX(B$5:B379)-1)</f>
        <v/>
      </c>
      <c r="E379" s="13" t="str">
        <f>IF(OR('实盘净值数据(iFinD）'!$A379="",'实盘净值数据(iFinD）'!$B379=""),"",分期持仓明细!$AB$18*SUMPRODUCT(分期持仓明细!$B$18:$Y$18,'实盘净值数据(iFinD）'!$B379:$Y379/'实盘净值数据(iFinD）'!$B$20:$Y$20)*(1-实盘持仓初始配置!$Z$5)^(('实盘净值数据(iFinD）'!$A379-'实盘净值数据(iFinD）'!$A$5)/365))</f>
        <v/>
      </c>
      <c r="F379" s="16" t="str">
        <f t="shared" si="31"/>
        <v/>
      </c>
      <c r="G379" s="16" t="str">
        <f>IF(E379="","",E379/MAX(E$5:E379)-1)</f>
        <v/>
      </c>
      <c r="H379" s="13" t="str">
        <f>IF(OR('实盘净值数据(iFinD）'!$A379="",'实盘净值数据(iFinD）'!$B379=""),"",分期持仓明细!$AB$19*SUMPRODUCT(分期持仓明细!$B$19:$Y$19,'实盘净值数据(iFinD）'!$B379:$Y379/'实盘净值数据(iFinD）'!$B$20:$Y$20)*(1-实盘持仓初始配置!$Z$6)^(('实盘净值数据(iFinD）'!$A379-'实盘净值数据(iFinD）'!$A$7)/365))</f>
        <v/>
      </c>
      <c r="I379" s="16" t="str">
        <f t="shared" si="32"/>
        <v/>
      </c>
      <c r="J379" s="16" t="str">
        <f>IF(H379="","",H379/MAX(H$5:H379)-1)</f>
        <v/>
      </c>
      <c r="K379" s="13" t="str">
        <f>IF(OR('实盘净值数据(iFinD）'!$A379="",'实盘净值数据(iFinD）'!$B379="",'实盘净值数据(iFinD）'!$Z379="",'实盘净值数据(iFinD）'!$AA379=""),"",分期持仓明细!$AB$23*(SUMPRODUCT(分期持仓明细!$B$23:$Y$23,'实盘净值数据(iFinD）'!$B379:$Y379/'实盘净值数据(iFinD）'!$B$65:$Y$65)+SUMPRODUCT(分期持仓明细!$AC$23:$AD$23,'实盘净值数据(iFinD）'!$Z379:$AA379/'实盘净值数据(iFinD）'!$Z$65:$AA$65))*(1-实盘持仓初始配置!$Z$7)^(('实盘净值数据(iFinD）'!$A379-'实盘净值数据(iFinD）'!$A$8)/365))</f>
        <v/>
      </c>
      <c r="L379" s="16" t="str">
        <f t="shared" si="33"/>
        <v/>
      </c>
      <c r="M379" s="16" t="str">
        <f>IF(K379="","",K379/MAX(K$5:K379)-1)</f>
        <v/>
      </c>
      <c r="N379" s="13" t="str">
        <f>IF(OR('实盘净值数据(iFinD）'!$A379="",'实盘净值数据(iFinD）'!$B379="",'实盘净值数据(iFinD）'!$Z379="",'实盘净值数据(iFinD）'!$AA379=""),"",分期持仓明细!$AB$24*(SUMPRODUCT(分期持仓明细!$B$24:$Y$24,'实盘净值数据(iFinD）'!$B379:$Y379/'实盘净值数据(iFinD）'!$B$65:$Y$65)+SUMPRODUCT(分期持仓明细!$AC$24:$AD$24,'实盘净值数据(iFinD）'!$Z379:$AA379/'实盘净值数据(iFinD）'!$Z$65:$AA$65))*(1-实盘持仓初始配置!$Z$8)^(('实盘净值数据(iFinD）'!$A379-'实盘净值数据(iFinD）'!$A$5)/365))</f>
        <v/>
      </c>
      <c r="O379" s="16" t="str">
        <f t="shared" si="34"/>
        <v/>
      </c>
      <c r="P379" s="16" t="str">
        <f>IF(N379="","",N379/MAX(N$5:N379)-1)</f>
        <v/>
      </c>
      <c r="Q379" s="13" t="str">
        <f>IF(OR('实盘净值数据(iFinD）'!$A379="",'实盘净值数据(iFinD）'!$B379="",'实盘净值数据(iFinD）'!$Z379="",'实盘净值数据(iFinD）'!$AA379=""),"",分期持仓明细!$AB$25*(SUMPRODUCT(分期持仓明细!$B$25:$Y$25,'实盘净值数据(iFinD）'!$B379:$Y379/'实盘净值数据(iFinD）'!$B$65:$Y$65)+SUMPRODUCT(分期持仓明细!$AC$25:$AD$25,'实盘净值数据(iFinD）'!$Z379:$AA379/'实盘净值数据(iFinD）'!$Z$65:$AA$65))*(1-实盘持仓初始配置!$Z$9)^(('实盘净值数据(iFinD）'!$A379-'实盘净值数据(iFinD）'!$A$8)/365))</f>
        <v/>
      </c>
      <c r="R379" s="16" t="str">
        <f t="shared" si="35"/>
        <v/>
      </c>
      <c r="S379" s="16" t="str">
        <f>IF(Q379="","",Q379/MAX(Q$5:Q379)-1)</f>
        <v/>
      </c>
    </row>
    <row r="380" spans="1:19">
      <c r="A380" s="15" t="str">
        <f>IF('实盘净值数据(iFinD）'!A380="","",'实盘净值数据(iFinD）'!A380)</f>
        <v/>
      </c>
      <c r="B380" s="13" t="str">
        <f>IF(OR('实盘净值数据(iFinD）'!$A380="",'实盘净值数据(iFinD）'!$B380=""),"",分期持仓明细!$AB$17*SUMPRODUCT(分期持仓明细!$B$17:$Y$17,'实盘净值数据(iFinD）'!$B380:$Y380/'实盘净值数据(iFinD）'!$B$20:$Y$20)*(1-实盘持仓初始配置!$Z$4)^(('实盘净值数据(iFinD）'!$A380-'实盘净值数据(iFinD）'!$A$6)/365))</f>
        <v/>
      </c>
      <c r="C380" s="16" t="str">
        <f t="shared" ref="C380:C443" si="36">IF(OR(B379="",B380=""),"",B380/B379-1)</f>
        <v/>
      </c>
      <c r="D380" s="16" t="str">
        <f>IF(B380="","",B380/MAX(B$5:B380)-1)</f>
        <v/>
      </c>
      <c r="E380" s="13" t="str">
        <f>IF(OR('实盘净值数据(iFinD）'!$A380="",'实盘净值数据(iFinD）'!$B380=""),"",分期持仓明细!$AB$18*SUMPRODUCT(分期持仓明细!$B$18:$Y$18,'实盘净值数据(iFinD）'!$B380:$Y380/'实盘净值数据(iFinD）'!$B$20:$Y$20)*(1-实盘持仓初始配置!$Z$5)^(('实盘净值数据(iFinD）'!$A380-'实盘净值数据(iFinD）'!$A$5)/365))</f>
        <v/>
      </c>
      <c r="F380" s="16" t="str">
        <f t="shared" ref="F380:F443" si="37">IF(OR(E379="",E380=""),"",E380/E379-1)</f>
        <v/>
      </c>
      <c r="G380" s="16" t="str">
        <f>IF(E380="","",E380/MAX(E$5:E380)-1)</f>
        <v/>
      </c>
      <c r="H380" s="13" t="str">
        <f>IF(OR('实盘净值数据(iFinD）'!$A380="",'实盘净值数据(iFinD）'!$B380=""),"",分期持仓明细!$AB$19*SUMPRODUCT(分期持仓明细!$B$19:$Y$19,'实盘净值数据(iFinD）'!$B380:$Y380/'实盘净值数据(iFinD）'!$B$20:$Y$20)*(1-实盘持仓初始配置!$Z$6)^(('实盘净值数据(iFinD）'!$A380-'实盘净值数据(iFinD）'!$A$7)/365))</f>
        <v/>
      </c>
      <c r="I380" s="16" t="str">
        <f t="shared" ref="I380:I443" si="38">IF(OR(H379="",H380=""),"",H380/H379-1)</f>
        <v/>
      </c>
      <c r="J380" s="16" t="str">
        <f>IF(H380="","",H380/MAX(H$5:H380)-1)</f>
        <v/>
      </c>
      <c r="K380" s="13" t="str">
        <f>IF(OR('实盘净值数据(iFinD）'!$A380="",'实盘净值数据(iFinD）'!$B380="",'实盘净值数据(iFinD）'!$Z380="",'实盘净值数据(iFinD）'!$AA380=""),"",分期持仓明细!$AB$23*(SUMPRODUCT(分期持仓明细!$B$23:$Y$23,'实盘净值数据(iFinD）'!$B380:$Y380/'实盘净值数据(iFinD）'!$B$65:$Y$65)+SUMPRODUCT(分期持仓明细!$AC$23:$AD$23,'实盘净值数据(iFinD）'!$Z380:$AA380/'实盘净值数据(iFinD）'!$Z$65:$AA$65))*(1-实盘持仓初始配置!$Z$7)^(('实盘净值数据(iFinD）'!$A380-'实盘净值数据(iFinD）'!$A$8)/365))</f>
        <v/>
      </c>
      <c r="L380" s="16" t="str">
        <f t="shared" ref="L380:L443" si="39">IF(OR(K379="",K380=""),"",K380/K379-1)</f>
        <v/>
      </c>
      <c r="M380" s="16" t="str">
        <f>IF(K380="","",K380/MAX(K$5:K380)-1)</f>
        <v/>
      </c>
      <c r="N380" s="13" t="str">
        <f>IF(OR('实盘净值数据(iFinD）'!$A380="",'实盘净值数据(iFinD）'!$B380="",'实盘净值数据(iFinD）'!$Z380="",'实盘净值数据(iFinD）'!$AA380=""),"",分期持仓明细!$AB$24*(SUMPRODUCT(分期持仓明细!$B$24:$Y$24,'实盘净值数据(iFinD）'!$B380:$Y380/'实盘净值数据(iFinD）'!$B$65:$Y$65)+SUMPRODUCT(分期持仓明细!$AC$24:$AD$24,'实盘净值数据(iFinD）'!$Z380:$AA380/'实盘净值数据(iFinD）'!$Z$65:$AA$65))*(1-实盘持仓初始配置!$Z$8)^(('实盘净值数据(iFinD）'!$A380-'实盘净值数据(iFinD）'!$A$5)/365))</f>
        <v/>
      </c>
      <c r="O380" s="16" t="str">
        <f t="shared" ref="O380:O443" si="40">IF(OR(N379="",N380=""),"",N380/N379-1)</f>
        <v/>
      </c>
      <c r="P380" s="16" t="str">
        <f>IF(N380="","",N380/MAX(N$5:N380)-1)</f>
        <v/>
      </c>
      <c r="Q380" s="13" t="str">
        <f>IF(OR('实盘净值数据(iFinD）'!$A380="",'实盘净值数据(iFinD）'!$B380="",'实盘净值数据(iFinD）'!$Z380="",'实盘净值数据(iFinD）'!$AA380=""),"",分期持仓明细!$AB$25*(SUMPRODUCT(分期持仓明细!$B$25:$Y$25,'实盘净值数据(iFinD）'!$B380:$Y380/'实盘净值数据(iFinD）'!$B$65:$Y$65)+SUMPRODUCT(分期持仓明细!$AC$25:$AD$25,'实盘净值数据(iFinD）'!$Z380:$AA380/'实盘净值数据(iFinD）'!$Z$65:$AA$65))*(1-实盘持仓初始配置!$Z$9)^(('实盘净值数据(iFinD）'!$A380-'实盘净值数据(iFinD）'!$A$8)/365))</f>
        <v/>
      </c>
      <c r="R380" s="16" t="str">
        <f t="shared" ref="R380:R443" si="41">IF(OR(Q379="",Q380=""),"",Q380/Q379-1)</f>
        <v/>
      </c>
      <c r="S380" s="16" t="str">
        <f>IF(Q380="","",Q380/MAX(Q$5:Q380)-1)</f>
        <v/>
      </c>
    </row>
    <row r="381" spans="1:19">
      <c r="A381" s="15" t="str">
        <f>IF('实盘净值数据(iFinD）'!A381="","",'实盘净值数据(iFinD）'!A381)</f>
        <v/>
      </c>
      <c r="B381" s="13" t="str">
        <f>IF(OR('实盘净值数据(iFinD）'!$A381="",'实盘净值数据(iFinD）'!$B381=""),"",分期持仓明细!$AB$17*SUMPRODUCT(分期持仓明细!$B$17:$Y$17,'实盘净值数据(iFinD）'!$B381:$Y381/'实盘净值数据(iFinD）'!$B$20:$Y$20)*(1-实盘持仓初始配置!$Z$4)^(('实盘净值数据(iFinD）'!$A381-'实盘净值数据(iFinD）'!$A$6)/365))</f>
        <v/>
      </c>
      <c r="C381" s="16" t="str">
        <f t="shared" si="36"/>
        <v/>
      </c>
      <c r="D381" s="16" t="str">
        <f>IF(B381="","",B381/MAX(B$5:B381)-1)</f>
        <v/>
      </c>
      <c r="E381" s="13" t="str">
        <f>IF(OR('实盘净值数据(iFinD）'!$A381="",'实盘净值数据(iFinD）'!$B381=""),"",分期持仓明细!$AB$18*SUMPRODUCT(分期持仓明细!$B$18:$Y$18,'实盘净值数据(iFinD）'!$B381:$Y381/'实盘净值数据(iFinD）'!$B$20:$Y$20)*(1-实盘持仓初始配置!$Z$5)^(('实盘净值数据(iFinD）'!$A381-'实盘净值数据(iFinD）'!$A$5)/365))</f>
        <v/>
      </c>
      <c r="F381" s="16" t="str">
        <f t="shared" si="37"/>
        <v/>
      </c>
      <c r="G381" s="16" t="str">
        <f>IF(E381="","",E381/MAX(E$5:E381)-1)</f>
        <v/>
      </c>
      <c r="H381" s="13" t="str">
        <f>IF(OR('实盘净值数据(iFinD）'!$A381="",'实盘净值数据(iFinD）'!$B381=""),"",分期持仓明细!$AB$19*SUMPRODUCT(分期持仓明细!$B$19:$Y$19,'实盘净值数据(iFinD）'!$B381:$Y381/'实盘净值数据(iFinD）'!$B$20:$Y$20)*(1-实盘持仓初始配置!$Z$6)^(('实盘净值数据(iFinD）'!$A381-'实盘净值数据(iFinD）'!$A$7)/365))</f>
        <v/>
      </c>
      <c r="I381" s="16" t="str">
        <f t="shared" si="38"/>
        <v/>
      </c>
      <c r="J381" s="16" t="str">
        <f>IF(H381="","",H381/MAX(H$5:H381)-1)</f>
        <v/>
      </c>
      <c r="K381" s="13" t="str">
        <f>IF(OR('实盘净值数据(iFinD）'!$A381="",'实盘净值数据(iFinD）'!$B381="",'实盘净值数据(iFinD）'!$Z381="",'实盘净值数据(iFinD）'!$AA381=""),"",分期持仓明细!$AB$23*(SUMPRODUCT(分期持仓明细!$B$23:$Y$23,'实盘净值数据(iFinD）'!$B381:$Y381/'实盘净值数据(iFinD）'!$B$65:$Y$65)+SUMPRODUCT(分期持仓明细!$AC$23:$AD$23,'实盘净值数据(iFinD）'!$Z381:$AA381/'实盘净值数据(iFinD）'!$Z$65:$AA$65))*(1-实盘持仓初始配置!$Z$7)^(('实盘净值数据(iFinD）'!$A381-'实盘净值数据(iFinD）'!$A$8)/365))</f>
        <v/>
      </c>
      <c r="L381" s="16" t="str">
        <f t="shared" si="39"/>
        <v/>
      </c>
      <c r="M381" s="16" t="str">
        <f>IF(K381="","",K381/MAX(K$5:K381)-1)</f>
        <v/>
      </c>
      <c r="N381" s="13" t="str">
        <f>IF(OR('实盘净值数据(iFinD）'!$A381="",'实盘净值数据(iFinD）'!$B381="",'实盘净值数据(iFinD）'!$Z381="",'实盘净值数据(iFinD）'!$AA381=""),"",分期持仓明细!$AB$24*(SUMPRODUCT(分期持仓明细!$B$24:$Y$24,'实盘净值数据(iFinD）'!$B381:$Y381/'实盘净值数据(iFinD）'!$B$65:$Y$65)+SUMPRODUCT(分期持仓明细!$AC$24:$AD$24,'实盘净值数据(iFinD）'!$Z381:$AA381/'实盘净值数据(iFinD）'!$Z$65:$AA$65))*(1-实盘持仓初始配置!$Z$8)^(('实盘净值数据(iFinD）'!$A381-'实盘净值数据(iFinD）'!$A$5)/365))</f>
        <v/>
      </c>
      <c r="O381" s="16" t="str">
        <f t="shared" si="40"/>
        <v/>
      </c>
      <c r="P381" s="16" t="str">
        <f>IF(N381="","",N381/MAX(N$5:N381)-1)</f>
        <v/>
      </c>
      <c r="Q381" s="13" t="str">
        <f>IF(OR('实盘净值数据(iFinD）'!$A381="",'实盘净值数据(iFinD）'!$B381="",'实盘净值数据(iFinD）'!$Z381="",'实盘净值数据(iFinD）'!$AA381=""),"",分期持仓明细!$AB$25*(SUMPRODUCT(分期持仓明细!$B$25:$Y$25,'实盘净值数据(iFinD）'!$B381:$Y381/'实盘净值数据(iFinD）'!$B$65:$Y$65)+SUMPRODUCT(分期持仓明细!$AC$25:$AD$25,'实盘净值数据(iFinD）'!$Z381:$AA381/'实盘净值数据(iFinD）'!$Z$65:$AA$65))*(1-实盘持仓初始配置!$Z$9)^(('实盘净值数据(iFinD）'!$A381-'实盘净值数据(iFinD）'!$A$8)/365))</f>
        <v/>
      </c>
      <c r="R381" s="16" t="str">
        <f t="shared" si="41"/>
        <v/>
      </c>
      <c r="S381" s="16" t="str">
        <f>IF(Q381="","",Q381/MAX(Q$5:Q381)-1)</f>
        <v/>
      </c>
    </row>
    <row r="382" spans="1:19">
      <c r="A382" s="15" t="str">
        <f>IF('实盘净值数据(iFinD）'!A382="","",'实盘净值数据(iFinD）'!A382)</f>
        <v/>
      </c>
      <c r="B382" s="13" t="str">
        <f>IF(OR('实盘净值数据(iFinD）'!$A382="",'实盘净值数据(iFinD）'!$B382=""),"",分期持仓明细!$AB$17*SUMPRODUCT(分期持仓明细!$B$17:$Y$17,'实盘净值数据(iFinD）'!$B382:$Y382/'实盘净值数据(iFinD）'!$B$20:$Y$20)*(1-实盘持仓初始配置!$Z$4)^(('实盘净值数据(iFinD）'!$A382-'实盘净值数据(iFinD）'!$A$6)/365))</f>
        <v/>
      </c>
      <c r="C382" s="16" t="str">
        <f t="shared" si="36"/>
        <v/>
      </c>
      <c r="D382" s="16" t="str">
        <f>IF(B382="","",B382/MAX(B$5:B382)-1)</f>
        <v/>
      </c>
      <c r="E382" s="13" t="str">
        <f>IF(OR('实盘净值数据(iFinD）'!$A382="",'实盘净值数据(iFinD）'!$B382=""),"",分期持仓明细!$AB$18*SUMPRODUCT(分期持仓明细!$B$18:$Y$18,'实盘净值数据(iFinD）'!$B382:$Y382/'实盘净值数据(iFinD）'!$B$20:$Y$20)*(1-实盘持仓初始配置!$Z$5)^(('实盘净值数据(iFinD）'!$A382-'实盘净值数据(iFinD）'!$A$5)/365))</f>
        <v/>
      </c>
      <c r="F382" s="16" t="str">
        <f t="shared" si="37"/>
        <v/>
      </c>
      <c r="G382" s="16" t="str">
        <f>IF(E382="","",E382/MAX(E$5:E382)-1)</f>
        <v/>
      </c>
      <c r="H382" s="13" t="str">
        <f>IF(OR('实盘净值数据(iFinD）'!$A382="",'实盘净值数据(iFinD）'!$B382=""),"",分期持仓明细!$AB$19*SUMPRODUCT(分期持仓明细!$B$19:$Y$19,'实盘净值数据(iFinD）'!$B382:$Y382/'实盘净值数据(iFinD）'!$B$20:$Y$20)*(1-实盘持仓初始配置!$Z$6)^(('实盘净值数据(iFinD）'!$A382-'实盘净值数据(iFinD）'!$A$7)/365))</f>
        <v/>
      </c>
      <c r="I382" s="16" t="str">
        <f t="shared" si="38"/>
        <v/>
      </c>
      <c r="J382" s="16" t="str">
        <f>IF(H382="","",H382/MAX(H$5:H382)-1)</f>
        <v/>
      </c>
      <c r="K382" s="13" t="str">
        <f>IF(OR('实盘净值数据(iFinD）'!$A382="",'实盘净值数据(iFinD）'!$B382="",'实盘净值数据(iFinD）'!$Z382="",'实盘净值数据(iFinD）'!$AA382=""),"",分期持仓明细!$AB$23*(SUMPRODUCT(分期持仓明细!$B$23:$Y$23,'实盘净值数据(iFinD）'!$B382:$Y382/'实盘净值数据(iFinD）'!$B$65:$Y$65)+SUMPRODUCT(分期持仓明细!$AC$23:$AD$23,'实盘净值数据(iFinD）'!$Z382:$AA382/'实盘净值数据(iFinD）'!$Z$65:$AA$65))*(1-实盘持仓初始配置!$Z$7)^(('实盘净值数据(iFinD）'!$A382-'实盘净值数据(iFinD）'!$A$8)/365))</f>
        <v/>
      </c>
      <c r="L382" s="16" t="str">
        <f t="shared" si="39"/>
        <v/>
      </c>
      <c r="M382" s="16" t="str">
        <f>IF(K382="","",K382/MAX(K$5:K382)-1)</f>
        <v/>
      </c>
      <c r="N382" s="13" t="str">
        <f>IF(OR('实盘净值数据(iFinD）'!$A382="",'实盘净值数据(iFinD）'!$B382="",'实盘净值数据(iFinD）'!$Z382="",'实盘净值数据(iFinD）'!$AA382=""),"",分期持仓明细!$AB$24*(SUMPRODUCT(分期持仓明细!$B$24:$Y$24,'实盘净值数据(iFinD）'!$B382:$Y382/'实盘净值数据(iFinD）'!$B$65:$Y$65)+SUMPRODUCT(分期持仓明细!$AC$24:$AD$24,'实盘净值数据(iFinD）'!$Z382:$AA382/'实盘净值数据(iFinD）'!$Z$65:$AA$65))*(1-实盘持仓初始配置!$Z$8)^(('实盘净值数据(iFinD）'!$A382-'实盘净值数据(iFinD）'!$A$5)/365))</f>
        <v/>
      </c>
      <c r="O382" s="16" t="str">
        <f t="shared" si="40"/>
        <v/>
      </c>
      <c r="P382" s="16" t="str">
        <f>IF(N382="","",N382/MAX(N$5:N382)-1)</f>
        <v/>
      </c>
      <c r="Q382" s="13" t="str">
        <f>IF(OR('实盘净值数据(iFinD）'!$A382="",'实盘净值数据(iFinD）'!$B382="",'实盘净值数据(iFinD）'!$Z382="",'实盘净值数据(iFinD）'!$AA382=""),"",分期持仓明细!$AB$25*(SUMPRODUCT(分期持仓明细!$B$25:$Y$25,'实盘净值数据(iFinD）'!$B382:$Y382/'实盘净值数据(iFinD）'!$B$65:$Y$65)+SUMPRODUCT(分期持仓明细!$AC$25:$AD$25,'实盘净值数据(iFinD）'!$Z382:$AA382/'实盘净值数据(iFinD）'!$Z$65:$AA$65))*(1-实盘持仓初始配置!$Z$9)^(('实盘净值数据(iFinD）'!$A382-'实盘净值数据(iFinD）'!$A$8)/365))</f>
        <v/>
      </c>
      <c r="R382" s="16" t="str">
        <f t="shared" si="41"/>
        <v/>
      </c>
      <c r="S382" s="16" t="str">
        <f>IF(Q382="","",Q382/MAX(Q$5:Q382)-1)</f>
        <v/>
      </c>
    </row>
    <row r="383" spans="1:19">
      <c r="A383" s="15" t="str">
        <f>IF('实盘净值数据(iFinD）'!A383="","",'实盘净值数据(iFinD）'!A383)</f>
        <v/>
      </c>
      <c r="B383" s="13" t="str">
        <f>IF(OR('实盘净值数据(iFinD）'!$A383="",'实盘净值数据(iFinD）'!$B383=""),"",分期持仓明细!$AB$17*SUMPRODUCT(分期持仓明细!$B$17:$Y$17,'实盘净值数据(iFinD）'!$B383:$Y383/'实盘净值数据(iFinD）'!$B$20:$Y$20)*(1-实盘持仓初始配置!$Z$4)^(('实盘净值数据(iFinD）'!$A383-'实盘净值数据(iFinD）'!$A$6)/365))</f>
        <v/>
      </c>
      <c r="C383" s="16" t="str">
        <f t="shared" si="36"/>
        <v/>
      </c>
      <c r="D383" s="16" t="str">
        <f>IF(B383="","",B383/MAX(B$5:B383)-1)</f>
        <v/>
      </c>
      <c r="E383" s="13" t="str">
        <f>IF(OR('实盘净值数据(iFinD）'!$A383="",'实盘净值数据(iFinD）'!$B383=""),"",分期持仓明细!$AB$18*SUMPRODUCT(分期持仓明细!$B$18:$Y$18,'实盘净值数据(iFinD）'!$B383:$Y383/'实盘净值数据(iFinD）'!$B$20:$Y$20)*(1-实盘持仓初始配置!$Z$5)^(('实盘净值数据(iFinD）'!$A383-'实盘净值数据(iFinD）'!$A$5)/365))</f>
        <v/>
      </c>
      <c r="F383" s="16" t="str">
        <f t="shared" si="37"/>
        <v/>
      </c>
      <c r="G383" s="16" t="str">
        <f>IF(E383="","",E383/MAX(E$5:E383)-1)</f>
        <v/>
      </c>
      <c r="H383" s="13" t="str">
        <f>IF(OR('实盘净值数据(iFinD）'!$A383="",'实盘净值数据(iFinD）'!$B383=""),"",分期持仓明细!$AB$19*SUMPRODUCT(分期持仓明细!$B$19:$Y$19,'实盘净值数据(iFinD）'!$B383:$Y383/'实盘净值数据(iFinD）'!$B$20:$Y$20)*(1-实盘持仓初始配置!$Z$6)^(('实盘净值数据(iFinD）'!$A383-'实盘净值数据(iFinD）'!$A$7)/365))</f>
        <v/>
      </c>
      <c r="I383" s="16" t="str">
        <f t="shared" si="38"/>
        <v/>
      </c>
      <c r="J383" s="16" t="str">
        <f>IF(H383="","",H383/MAX(H$5:H383)-1)</f>
        <v/>
      </c>
      <c r="K383" s="13" t="str">
        <f>IF(OR('实盘净值数据(iFinD）'!$A383="",'实盘净值数据(iFinD）'!$B383="",'实盘净值数据(iFinD）'!$Z383="",'实盘净值数据(iFinD）'!$AA383=""),"",分期持仓明细!$AB$23*(SUMPRODUCT(分期持仓明细!$B$23:$Y$23,'实盘净值数据(iFinD）'!$B383:$Y383/'实盘净值数据(iFinD）'!$B$65:$Y$65)+SUMPRODUCT(分期持仓明细!$AC$23:$AD$23,'实盘净值数据(iFinD）'!$Z383:$AA383/'实盘净值数据(iFinD）'!$Z$65:$AA$65))*(1-实盘持仓初始配置!$Z$7)^(('实盘净值数据(iFinD）'!$A383-'实盘净值数据(iFinD）'!$A$8)/365))</f>
        <v/>
      </c>
      <c r="L383" s="16" t="str">
        <f t="shared" si="39"/>
        <v/>
      </c>
      <c r="M383" s="16" t="str">
        <f>IF(K383="","",K383/MAX(K$5:K383)-1)</f>
        <v/>
      </c>
      <c r="N383" s="13" t="str">
        <f>IF(OR('实盘净值数据(iFinD）'!$A383="",'实盘净值数据(iFinD）'!$B383="",'实盘净值数据(iFinD）'!$Z383="",'实盘净值数据(iFinD）'!$AA383=""),"",分期持仓明细!$AB$24*(SUMPRODUCT(分期持仓明细!$B$24:$Y$24,'实盘净值数据(iFinD）'!$B383:$Y383/'实盘净值数据(iFinD）'!$B$65:$Y$65)+SUMPRODUCT(分期持仓明细!$AC$24:$AD$24,'实盘净值数据(iFinD）'!$Z383:$AA383/'实盘净值数据(iFinD）'!$Z$65:$AA$65))*(1-实盘持仓初始配置!$Z$8)^(('实盘净值数据(iFinD）'!$A383-'实盘净值数据(iFinD）'!$A$5)/365))</f>
        <v/>
      </c>
      <c r="O383" s="16" t="str">
        <f t="shared" si="40"/>
        <v/>
      </c>
      <c r="P383" s="16" t="str">
        <f>IF(N383="","",N383/MAX(N$5:N383)-1)</f>
        <v/>
      </c>
      <c r="Q383" s="13" t="str">
        <f>IF(OR('实盘净值数据(iFinD）'!$A383="",'实盘净值数据(iFinD）'!$B383="",'实盘净值数据(iFinD）'!$Z383="",'实盘净值数据(iFinD）'!$AA383=""),"",分期持仓明细!$AB$25*(SUMPRODUCT(分期持仓明细!$B$25:$Y$25,'实盘净值数据(iFinD）'!$B383:$Y383/'实盘净值数据(iFinD）'!$B$65:$Y$65)+SUMPRODUCT(分期持仓明细!$AC$25:$AD$25,'实盘净值数据(iFinD）'!$Z383:$AA383/'实盘净值数据(iFinD）'!$Z$65:$AA$65))*(1-实盘持仓初始配置!$Z$9)^(('实盘净值数据(iFinD）'!$A383-'实盘净值数据(iFinD）'!$A$8)/365))</f>
        <v/>
      </c>
      <c r="R383" s="16" t="str">
        <f t="shared" si="41"/>
        <v/>
      </c>
      <c r="S383" s="16" t="str">
        <f>IF(Q383="","",Q383/MAX(Q$5:Q383)-1)</f>
        <v/>
      </c>
    </row>
    <row r="384" spans="1:19">
      <c r="A384" s="15" t="str">
        <f>IF('实盘净值数据(iFinD）'!A384="","",'实盘净值数据(iFinD）'!A384)</f>
        <v/>
      </c>
      <c r="B384" s="13" t="str">
        <f>IF(OR('实盘净值数据(iFinD）'!$A384="",'实盘净值数据(iFinD）'!$B384=""),"",分期持仓明细!$AB$17*SUMPRODUCT(分期持仓明细!$B$17:$Y$17,'实盘净值数据(iFinD）'!$B384:$Y384/'实盘净值数据(iFinD）'!$B$20:$Y$20)*(1-实盘持仓初始配置!$Z$4)^(('实盘净值数据(iFinD）'!$A384-'实盘净值数据(iFinD）'!$A$6)/365))</f>
        <v/>
      </c>
      <c r="C384" s="16" t="str">
        <f t="shared" si="36"/>
        <v/>
      </c>
      <c r="D384" s="16" t="str">
        <f>IF(B384="","",B384/MAX(B$5:B384)-1)</f>
        <v/>
      </c>
      <c r="E384" s="13" t="str">
        <f>IF(OR('实盘净值数据(iFinD）'!$A384="",'实盘净值数据(iFinD）'!$B384=""),"",分期持仓明细!$AB$18*SUMPRODUCT(分期持仓明细!$B$18:$Y$18,'实盘净值数据(iFinD）'!$B384:$Y384/'实盘净值数据(iFinD）'!$B$20:$Y$20)*(1-实盘持仓初始配置!$Z$5)^(('实盘净值数据(iFinD）'!$A384-'实盘净值数据(iFinD）'!$A$5)/365))</f>
        <v/>
      </c>
      <c r="F384" s="16" t="str">
        <f t="shared" si="37"/>
        <v/>
      </c>
      <c r="G384" s="16" t="str">
        <f>IF(E384="","",E384/MAX(E$5:E384)-1)</f>
        <v/>
      </c>
      <c r="H384" s="13" t="str">
        <f>IF(OR('实盘净值数据(iFinD）'!$A384="",'实盘净值数据(iFinD）'!$B384=""),"",分期持仓明细!$AB$19*SUMPRODUCT(分期持仓明细!$B$19:$Y$19,'实盘净值数据(iFinD）'!$B384:$Y384/'实盘净值数据(iFinD）'!$B$20:$Y$20)*(1-实盘持仓初始配置!$Z$6)^(('实盘净值数据(iFinD）'!$A384-'实盘净值数据(iFinD）'!$A$7)/365))</f>
        <v/>
      </c>
      <c r="I384" s="16" t="str">
        <f t="shared" si="38"/>
        <v/>
      </c>
      <c r="J384" s="16" t="str">
        <f>IF(H384="","",H384/MAX(H$5:H384)-1)</f>
        <v/>
      </c>
      <c r="K384" s="13" t="str">
        <f>IF(OR('实盘净值数据(iFinD）'!$A384="",'实盘净值数据(iFinD）'!$B384="",'实盘净值数据(iFinD）'!$Z384="",'实盘净值数据(iFinD）'!$AA384=""),"",分期持仓明细!$AB$23*(SUMPRODUCT(分期持仓明细!$B$23:$Y$23,'实盘净值数据(iFinD）'!$B384:$Y384/'实盘净值数据(iFinD）'!$B$65:$Y$65)+SUMPRODUCT(分期持仓明细!$AC$23:$AD$23,'实盘净值数据(iFinD）'!$Z384:$AA384/'实盘净值数据(iFinD）'!$Z$65:$AA$65))*(1-实盘持仓初始配置!$Z$7)^(('实盘净值数据(iFinD）'!$A384-'实盘净值数据(iFinD）'!$A$8)/365))</f>
        <v/>
      </c>
      <c r="L384" s="16" t="str">
        <f t="shared" si="39"/>
        <v/>
      </c>
      <c r="M384" s="16" t="str">
        <f>IF(K384="","",K384/MAX(K$5:K384)-1)</f>
        <v/>
      </c>
      <c r="N384" s="13" t="str">
        <f>IF(OR('实盘净值数据(iFinD）'!$A384="",'实盘净值数据(iFinD）'!$B384="",'实盘净值数据(iFinD）'!$Z384="",'实盘净值数据(iFinD）'!$AA384=""),"",分期持仓明细!$AB$24*(SUMPRODUCT(分期持仓明细!$B$24:$Y$24,'实盘净值数据(iFinD）'!$B384:$Y384/'实盘净值数据(iFinD）'!$B$65:$Y$65)+SUMPRODUCT(分期持仓明细!$AC$24:$AD$24,'实盘净值数据(iFinD）'!$Z384:$AA384/'实盘净值数据(iFinD）'!$Z$65:$AA$65))*(1-实盘持仓初始配置!$Z$8)^(('实盘净值数据(iFinD）'!$A384-'实盘净值数据(iFinD）'!$A$5)/365))</f>
        <v/>
      </c>
      <c r="O384" s="16" t="str">
        <f t="shared" si="40"/>
        <v/>
      </c>
      <c r="P384" s="16" t="str">
        <f>IF(N384="","",N384/MAX(N$5:N384)-1)</f>
        <v/>
      </c>
      <c r="Q384" s="13" t="str">
        <f>IF(OR('实盘净值数据(iFinD）'!$A384="",'实盘净值数据(iFinD）'!$B384="",'实盘净值数据(iFinD）'!$Z384="",'实盘净值数据(iFinD）'!$AA384=""),"",分期持仓明细!$AB$25*(SUMPRODUCT(分期持仓明细!$B$25:$Y$25,'实盘净值数据(iFinD）'!$B384:$Y384/'实盘净值数据(iFinD）'!$B$65:$Y$65)+SUMPRODUCT(分期持仓明细!$AC$25:$AD$25,'实盘净值数据(iFinD）'!$Z384:$AA384/'实盘净值数据(iFinD）'!$Z$65:$AA$65))*(1-实盘持仓初始配置!$Z$9)^(('实盘净值数据(iFinD）'!$A384-'实盘净值数据(iFinD）'!$A$8)/365))</f>
        <v/>
      </c>
      <c r="R384" s="16" t="str">
        <f t="shared" si="41"/>
        <v/>
      </c>
      <c r="S384" s="16" t="str">
        <f>IF(Q384="","",Q384/MAX(Q$5:Q384)-1)</f>
        <v/>
      </c>
    </row>
    <row r="385" spans="1:19">
      <c r="A385" s="15" t="str">
        <f>IF('实盘净值数据(iFinD）'!A385="","",'实盘净值数据(iFinD）'!A385)</f>
        <v/>
      </c>
      <c r="B385" s="13" t="str">
        <f>IF(OR('实盘净值数据(iFinD）'!$A385="",'实盘净值数据(iFinD）'!$B385=""),"",分期持仓明细!$AB$17*SUMPRODUCT(分期持仓明细!$B$17:$Y$17,'实盘净值数据(iFinD）'!$B385:$Y385/'实盘净值数据(iFinD）'!$B$20:$Y$20)*(1-实盘持仓初始配置!$Z$4)^(('实盘净值数据(iFinD）'!$A385-'实盘净值数据(iFinD）'!$A$6)/365))</f>
        <v/>
      </c>
      <c r="C385" s="16" t="str">
        <f t="shared" si="36"/>
        <v/>
      </c>
      <c r="D385" s="16" t="str">
        <f>IF(B385="","",B385/MAX(B$5:B385)-1)</f>
        <v/>
      </c>
      <c r="E385" s="13" t="str">
        <f>IF(OR('实盘净值数据(iFinD）'!$A385="",'实盘净值数据(iFinD）'!$B385=""),"",分期持仓明细!$AB$18*SUMPRODUCT(分期持仓明细!$B$18:$Y$18,'实盘净值数据(iFinD）'!$B385:$Y385/'实盘净值数据(iFinD）'!$B$20:$Y$20)*(1-实盘持仓初始配置!$Z$5)^(('实盘净值数据(iFinD）'!$A385-'实盘净值数据(iFinD）'!$A$5)/365))</f>
        <v/>
      </c>
      <c r="F385" s="16" t="str">
        <f t="shared" si="37"/>
        <v/>
      </c>
      <c r="G385" s="16" t="str">
        <f>IF(E385="","",E385/MAX(E$5:E385)-1)</f>
        <v/>
      </c>
      <c r="H385" s="13" t="str">
        <f>IF(OR('实盘净值数据(iFinD）'!$A385="",'实盘净值数据(iFinD）'!$B385=""),"",分期持仓明细!$AB$19*SUMPRODUCT(分期持仓明细!$B$19:$Y$19,'实盘净值数据(iFinD）'!$B385:$Y385/'实盘净值数据(iFinD）'!$B$20:$Y$20)*(1-实盘持仓初始配置!$Z$6)^(('实盘净值数据(iFinD）'!$A385-'实盘净值数据(iFinD）'!$A$7)/365))</f>
        <v/>
      </c>
      <c r="I385" s="16" t="str">
        <f t="shared" si="38"/>
        <v/>
      </c>
      <c r="J385" s="16" t="str">
        <f>IF(H385="","",H385/MAX(H$5:H385)-1)</f>
        <v/>
      </c>
      <c r="K385" s="13" t="str">
        <f>IF(OR('实盘净值数据(iFinD）'!$A385="",'实盘净值数据(iFinD）'!$B385="",'实盘净值数据(iFinD）'!$Z385="",'实盘净值数据(iFinD）'!$AA385=""),"",分期持仓明细!$AB$23*(SUMPRODUCT(分期持仓明细!$B$23:$Y$23,'实盘净值数据(iFinD）'!$B385:$Y385/'实盘净值数据(iFinD）'!$B$65:$Y$65)+SUMPRODUCT(分期持仓明细!$AC$23:$AD$23,'实盘净值数据(iFinD）'!$Z385:$AA385/'实盘净值数据(iFinD）'!$Z$65:$AA$65))*(1-实盘持仓初始配置!$Z$7)^(('实盘净值数据(iFinD）'!$A385-'实盘净值数据(iFinD）'!$A$8)/365))</f>
        <v/>
      </c>
      <c r="L385" s="16" t="str">
        <f t="shared" si="39"/>
        <v/>
      </c>
      <c r="M385" s="16" t="str">
        <f>IF(K385="","",K385/MAX(K$5:K385)-1)</f>
        <v/>
      </c>
      <c r="N385" s="13" t="str">
        <f>IF(OR('实盘净值数据(iFinD）'!$A385="",'实盘净值数据(iFinD）'!$B385="",'实盘净值数据(iFinD）'!$Z385="",'实盘净值数据(iFinD）'!$AA385=""),"",分期持仓明细!$AB$24*(SUMPRODUCT(分期持仓明细!$B$24:$Y$24,'实盘净值数据(iFinD）'!$B385:$Y385/'实盘净值数据(iFinD）'!$B$65:$Y$65)+SUMPRODUCT(分期持仓明细!$AC$24:$AD$24,'实盘净值数据(iFinD）'!$Z385:$AA385/'实盘净值数据(iFinD）'!$Z$65:$AA$65))*(1-实盘持仓初始配置!$Z$8)^(('实盘净值数据(iFinD）'!$A385-'实盘净值数据(iFinD）'!$A$5)/365))</f>
        <v/>
      </c>
      <c r="O385" s="16" t="str">
        <f t="shared" si="40"/>
        <v/>
      </c>
      <c r="P385" s="16" t="str">
        <f>IF(N385="","",N385/MAX(N$5:N385)-1)</f>
        <v/>
      </c>
      <c r="Q385" s="13" t="str">
        <f>IF(OR('实盘净值数据(iFinD）'!$A385="",'实盘净值数据(iFinD）'!$B385="",'实盘净值数据(iFinD）'!$Z385="",'实盘净值数据(iFinD）'!$AA385=""),"",分期持仓明细!$AB$25*(SUMPRODUCT(分期持仓明细!$B$25:$Y$25,'实盘净值数据(iFinD）'!$B385:$Y385/'实盘净值数据(iFinD）'!$B$65:$Y$65)+SUMPRODUCT(分期持仓明细!$AC$25:$AD$25,'实盘净值数据(iFinD）'!$Z385:$AA385/'实盘净值数据(iFinD）'!$Z$65:$AA$65))*(1-实盘持仓初始配置!$Z$9)^(('实盘净值数据(iFinD）'!$A385-'实盘净值数据(iFinD）'!$A$8)/365))</f>
        <v/>
      </c>
      <c r="R385" s="16" t="str">
        <f t="shared" si="41"/>
        <v/>
      </c>
      <c r="S385" s="16" t="str">
        <f>IF(Q385="","",Q385/MAX(Q$5:Q385)-1)</f>
        <v/>
      </c>
    </row>
    <row r="386" spans="1:19">
      <c r="A386" s="15" t="str">
        <f>IF('实盘净值数据(iFinD）'!A386="","",'实盘净值数据(iFinD）'!A386)</f>
        <v/>
      </c>
      <c r="B386" s="13" t="str">
        <f>IF(OR('实盘净值数据(iFinD）'!$A386="",'实盘净值数据(iFinD）'!$B386=""),"",分期持仓明细!$AB$17*SUMPRODUCT(分期持仓明细!$B$17:$Y$17,'实盘净值数据(iFinD）'!$B386:$Y386/'实盘净值数据(iFinD）'!$B$20:$Y$20)*(1-实盘持仓初始配置!$Z$4)^(('实盘净值数据(iFinD）'!$A386-'实盘净值数据(iFinD）'!$A$6)/365))</f>
        <v/>
      </c>
      <c r="C386" s="16" t="str">
        <f t="shared" si="36"/>
        <v/>
      </c>
      <c r="D386" s="16" t="str">
        <f>IF(B386="","",B386/MAX(B$5:B386)-1)</f>
        <v/>
      </c>
      <c r="E386" s="13" t="str">
        <f>IF(OR('实盘净值数据(iFinD）'!$A386="",'实盘净值数据(iFinD）'!$B386=""),"",分期持仓明细!$AB$18*SUMPRODUCT(分期持仓明细!$B$18:$Y$18,'实盘净值数据(iFinD）'!$B386:$Y386/'实盘净值数据(iFinD）'!$B$20:$Y$20)*(1-实盘持仓初始配置!$Z$5)^(('实盘净值数据(iFinD）'!$A386-'实盘净值数据(iFinD）'!$A$5)/365))</f>
        <v/>
      </c>
      <c r="F386" s="16" t="str">
        <f t="shared" si="37"/>
        <v/>
      </c>
      <c r="G386" s="16" t="str">
        <f>IF(E386="","",E386/MAX(E$5:E386)-1)</f>
        <v/>
      </c>
      <c r="H386" s="13" t="str">
        <f>IF(OR('实盘净值数据(iFinD）'!$A386="",'实盘净值数据(iFinD）'!$B386=""),"",分期持仓明细!$AB$19*SUMPRODUCT(分期持仓明细!$B$19:$Y$19,'实盘净值数据(iFinD）'!$B386:$Y386/'实盘净值数据(iFinD）'!$B$20:$Y$20)*(1-实盘持仓初始配置!$Z$6)^(('实盘净值数据(iFinD）'!$A386-'实盘净值数据(iFinD）'!$A$7)/365))</f>
        <v/>
      </c>
      <c r="I386" s="16" t="str">
        <f t="shared" si="38"/>
        <v/>
      </c>
      <c r="J386" s="16" t="str">
        <f>IF(H386="","",H386/MAX(H$5:H386)-1)</f>
        <v/>
      </c>
      <c r="K386" s="13" t="str">
        <f>IF(OR('实盘净值数据(iFinD）'!$A386="",'实盘净值数据(iFinD）'!$B386="",'实盘净值数据(iFinD）'!$Z386="",'实盘净值数据(iFinD）'!$AA386=""),"",分期持仓明细!$AB$23*(SUMPRODUCT(分期持仓明细!$B$23:$Y$23,'实盘净值数据(iFinD）'!$B386:$Y386/'实盘净值数据(iFinD）'!$B$65:$Y$65)+SUMPRODUCT(分期持仓明细!$AC$23:$AD$23,'实盘净值数据(iFinD）'!$Z386:$AA386/'实盘净值数据(iFinD）'!$Z$65:$AA$65))*(1-实盘持仓初始配置!$Z$7)^(('实盘净值数据(iFinD）'!$A386-'实盘净值数据(iFinD）'!$A$8)/365))</f>
        <v/>
      </c>
      <c r="L386" s="16" t="str">
        <f t="shared" si="39"/>
        <v/>
      </c>
      <c r="M386" s="16" t="str">
        <f>IF(K386="","",K386/MAX(K$5:K386)-1)</f>
        <v/>
      </c>
      <c r="N386" s="13" t="str">
        <f>IF(OR('实盘净值数据(iFinD）'!$A386="",'实盘净值数据(iFinD）'!$B386="",'实盘净值数据(iFinD）'!$Z386="",'实盘净值数据(iFinD）'!$AA386=""),"",分期持仓明细!$AB$24*(SUMPRODUCT(分期持仓明细!$B$24:$Y$24,'实盘净值数据(iFinD）'!$B386:$Y386/'实盘净值数据(iFinD）'!$B$65:$Y$65)+SUMPRODUCT(分期持仓明细!$AC$24:$AD$24,'实盘净值数据(iFinD）'!$Z386:$AA386/'实盘净值数据(iFinD）'!$Z$65:$AA$65))*(1-实盘持仓初始配置!$Z$8)^(('实盘净值数据(iFinD）'!$A386-'实盘净值数据(iFinD）'!$A$5)/365))</f>
        <v/>
      </c>
      <c r="O386" s="16" t="str">
        <f t="shared" si="40"/>
        <v/>
      </c>
      <c r="P386" s="16" t="str">
        <f>IF(N386="","",N386/MAX(N$5:N386)-1)</f>
        <v/>
      </c>
      <c r="Q386" s="13" t="str">
        <f>IF(OR('实盘净值数据(iFinD）'!$A386="",'实盘净值数据(iFinD）'!$B386="",'实盘净值数据(iFinD）'!$Z386="",'实盘净值数据(iFinD）'!$AA386=""),"",分期持仓明细!$AB$25*(SUMPRODUCT(分期持仓明细!$B$25:$Y$25,'实盘净值数据(iFinD）'!$B386:$Y386/'实盘净值数据(iFinD）'!$B$65:$Y$65)+SUMPRODUCT(分期持仓明细!$AC$25:$AD$25,'实盘净值数据(iFinD）'!$Z386:$AA386/'实盘净值数据(iFinD）'!$Z$65:$AA$65))*(1-实盘持仓初始配置!$Z$9)^(('实盘净值数据(iFinD）'!$A386-'实盘净值数据(iFinD）'!$A$8)/365))</f>
        <v/>
      </c>
      <c r="R386" s="16" t="str">
        <f t="shared" si="41"/>
        <v/>
      </c>
      <c r="S386" s="16" t="str">
        <f>IF(Q386="","",Q386/MAX(Q$5:Q386)-1)</f>
        <v/>
      </c>
    </row>
    <row r="387" spans="1:19">
      <c r="A387" s="15" t="str">
        <f>IF('实盘净值数据(iFinD）'!A387="","",'实盘净值数据(iFinD）'!A387)</f>
        <v/>
      </c>
      <c r="B387" s="13" t="str">
        <f>IF(OR('实盘净值数据(iFinD）'!$A387="",'实盘净值数据(iFinD）'!$B387=""),"",分期持仓明细!$AB$17*SUMPRODUCT(分期持仓明细!$B$17:$Y$17,'实盘净值数据(iFinD）'!$B387:$Y387/'实盘净值数据(iFinD）'!$B$20:$Y$20)*(1-实盘持仓初始配置!$Z$4)^(('实盘净值数据(iFinD）'!$A387-'实盘净值数据(iFinD）'!$A$6)/365))</f>
        <v/>
      </c>
      <c r="C387" s="16" t="str">
        <f t="shared" si="36"/>
        <v/>
      </c>
      <c r="D387" s="16" t="str">
        <f>IF(B387="","",B387/MAX(B$5:B387)-1)</f>
        <v/>
      </c>
      <c r="E387" s="13" t="str">
        <f>IF(OR('实盘净值数据(iFinD）'!$A387="",'实盘净值数据(iFinD）'!$B387=""),"",分期持仓明细!$AB$18*SUMPRODUCT(分期持仓明细!$B$18:$Y$18,'实盘净值数据(iFinD）'!$B387:$Y387/'实盘净值数据(iFinD）'!$B$20:$Y$20)*(1-实盘持仓初始配置!$Z$5)^(('实盘净值数据(iFinD）'!$A387-'实盘净值数据(iFinD）'!$A$5)/365))</f>
        <v/>
      </c>
      <c r="F387" s="16" t="str">
        <f t="shared" si="37"/>
        <v/>
      </c>
      <c r="G387" s="16" t="str">
        <f>IF(E387="","",E387/MAX(E$5:E387)-1)</f>
        <v/>
      </c>
      <c r="H387" s="13" t="str">
        <f>IF(OR('实盘净值数据(iFinD）'!$A387="",'实盘净值数据(iFinD）'!$B387=""),"",分期持仓明细!$AB$19*SUMPRODUCT(分期持仓明细!$B$19:$Y$19,'实盘净值数据(iFinD）'!$B387:$Y387/'实盘净值数据(iFinD）'!$B$20:$Y$20)*(1-实盘持仓初始配置!$Z$6)^(('实盘净值数据(iFinD）'!$A387-'实盘净值数据(iFinD）'!$A$7)/365))</f>
        <v/>
      </c>
      <c r="I387" s="16" t="str">
        <f t="shared" si="38"/>
        <v/>
      </c>
      <c r="J387" s="16" t="str">
        <f>IF(H387="","",H387/MAX(H$5:H387)-1)</f>
        <v/>
      </c>
      <c r="K387" s="13" t="str">
        <f>IF(OR('实盘净值数据(iFinD）'!$A387="",'实盘净值数据(iFinD）'!$B387="",'实盘净值数据(iFinD）'!$Z387="",'实盘净值数据(iFinD）'!$AA387=""),"",分期持仓明细!$AB$23*(SUMPRODUCT(分期持仓明细!$B$23:$Y$23,'实盘净值数据(iFinD）'!$B387:$Y387/'实盘净值数据(iFinD）'!$B$65:$Y$65)+SUMPRODUCT(分期持仓明细!$AC$23:$AD$23,'实盘净值数据(iFinD）'!$Z387:$AA387/'实盘净值数据(iFinD）'!$Z$65:$AA$65))*(1-实盘持仓初始配置!$Z$7)^(('实盘净值数据(iFinD）'!$A387-'实盘净值数据(iFinD）'!$A$8)/365))</f>
        <v/>
      </c>
      <c r="L387" s="16" t="str">
        <f t="shared" si="39"/>
        <v/>
      </c>
      <c r="M387" s="16" t="str">
        <f>IF(K387="","",K387/MAX(K$5:K387)-1)</f>
        <v/>
      </c>
      <c r="N387" s="13" t="str">
        <f>IF(OR('实盘净值数据(iFinD）'!$A387="",'实盘净值数据(iFinD）'!$B387="",'实盘净值数据(iFinD）'!$Z387="",'实盘净值数据(iFinD）'!$AA387=""),"",分期持仓明细!$AB$24*(SUMPRODUCT(分期持仓明细!$B$24:$Y$24,'实盘净值数据(iFinD）'!$B387:$Y387/'实盘净值数据(iFinD）'!$B$65:$Y$65)+SUMPRODUCT(分期持仓明细!$AC$24:$AD$24,'实盘净值数据(iFinD）'!$Z387:$AA387/'实盘净值数据(iFinD）'!$Z$65:$AA$65))*(1-实盘持仓初始配置!$Z$8)^(('实盘净值数据(iFinD）'!$A387-'实盘净值数据(iFinD）'!$A$5)/365))</f>
        <v/>
      </c>
      <c r="O387" s="16" t="str">
        <f t="shared" si="40"/>
        <v/>
      </c>
      <c r="P387" s="16" t="str">
        <f>IF(N387="","",N387/MAX(N$5:N387)-1)</f>
        <v/>
      </c>
      <c r="Q387" s="13" t="str">
        <f>IF(OR('实盘净值数据(iFinD）'!$A387="",'实盘净值数据(iFinD）'!$B387="",'实盘净值数据(iFinD）'!$Z387="",'实盘净值数据(iFinD）'!$AA387=""),"",分期持仓明细!$AB$25*(SUMPRODUCT(分期持仓明细!$B$25:$Y$25,'实盘净值数据(iFinD）'!$B387:$Y387/'实盘净值数据(iFinD）'!$B$65:$Y$65)+SUMPRODUCT(分期持仓明细!$AC$25:$AD$25,'实盘净值数据(iFinD）'!$Z387:$AA387/'实盘净值数据(iFinD）'!$Z$65:$AA$65))*(1-实盘持仓初始配置!$Z$9)^(('实盘净值数据(iFinD）'!$A387-'实盘净值数据(iFinD）'!$A$8)/365))</f>
        <v/>
      </c>
      <c r="R387" s="16" t="str">
        <f t="shared" si="41"/>
        <v/>
      </c>
      <c r="S387" s="16" t="str">
        <f>IF(Q387="","",Q387/MAX(Q$5:Q387)-1)</f>
        <v/>
      </c>
    </row>
    <row r="388" spans="1:19">
      <c r="A388" s="15" t="str">
        <f>IF('实盘净值数据(iFinD）'!A388="","",'实盘净值数据(iFinD）'!A388)</f>
        <v/>
      </c>
      <c r="B388" s="13" t="str">
        <f>IF(OR('实盘净值数据(iFinD）'!$A388="",'实盘净值数据(iFinD）'!$B388=""),"",分期持仓明细!$AB$17*SUMPRODUCT(分期持仓明细!$B$17:$Y$17,'实盘净值数据(iFinD）'!$B388:$Y388/'实盘净值数据(iFinD）'!$B$20:$Y$20)*(1-实盘持仓初始配置!$Z$4)^(('实盘净值数据(iFinD）'!$A388-'实盘净值数据(iFinD）'!$A$6)/365))</f>
        <v/>
      </c>
      <c r="C388" s="16" t="str">
        <f t="shared" si="36"/>
        <v/>
      </c>
      <c r="D388" s="16" t="str">
        <f>IF(B388="","",B388/MAX(B$5:B388)-1)</f>
        <v/>
      </c>
      <c r="E388" s="13" t="str">
        <f>IF(OR('实盘净值数据(iFinD）'!$A388="",'实盘净值数据(iFinD）'!$B388=""),"",分期持仓明细!$AB$18*SUMPRODUCT(分期持仓明细!$B$18:$Y$18,'实盘净值数据(iFinD）'!$B388:$Y388/'实盘净值数据(iFinD）'!$B$20:$Y$20)*(1-实盘持仓初始配置!$Z$5)^(('实盘净值数据(iFinD）'!$A388-'实盘净值数据(iFinD）'!$A$5)/365))</f>
        <v/>
      </c>
      <c r="F388" s="16" t="str">
        <f t="shared" si="37"/>
        <v/>
      </c>
      <c r="G388" s="16" t="str">
        <f>IF(E388="","",E388/MAX(E$5:E388)-1)</f>
        <v/>
      </c>
      <c r="H388" s="13" t="str">
        <f>IF(OR('实盘净值数据(iFinD）'!$A388="",'实盘净值数据(iFinD）'!$B388=""),"",分期持仓明细!$AB$19*SUMPRODUCT(分期持仓明细!$B$19:$Y$19,'实盘净值数据(iFinD）'!$B388:$Y388/'实盘净值数据(iFinD）'!$B$20:$Y$20)*(1-实盘持仓初始配置!$Z$6)^(('实盘净值数据(iFinD）'!$A388-'实盘净值数据(iFinD）'!$A$7)/365))</f>
        <v/>
      </c>
      <c r="I388" s="16" t="str">
        <f t="shared" si="38"/>
        <v/>
      </c>
      <c r="J388" s="16" t="str">
        <f>IF(H388="","",H388/MAX(H$5:H388)-1)</f>
        <v/>
      </c>
      <c r="K388" s="13" t="str">
        <f>IF(OR('实盘净值数据(iFinD）'!$A388="",'实盘净值数据(iFinD）'!$B388="",'实盘净值数据(iFinD）'!$Z388="",'实盘净值数据(iFinD）'!$AA388=""),"",分期持仓明细!$AB$23*(SUMPRODUCT(分期持仓明细!$B$23:$Y$23,'实盘净值数据(iFinD）'!$B388:$Y388/'实盘净值数据(iFinD）'!$B$65:$Y$65)+SUMPRODUCT(分期持仓明细!$AC$23:$AD$23,'实盘净值数据(iFinD）'!$Z388:$AA388/'实盘净值数据(iFinD）'!$Z$65:$AA$65))*(1-实盘持仓初始配置!$Z$7)^(('实盘净值数据(iFinD）'!$A388-'实盘净值数据(iFinD）'!$A$8)/365))</f>
        <v/>
      </c>
      <c r="L388" s="16" t="str">
        <f t="shared" si="39"/>
        <v/>
      </c>
      <c r="M388" s="16" t="str">
        <f>IF(K388="","",K388/MAX(K$5:K388)-1)</f>
        <v/>
      </c>
      <c r="N388" s="13" t="str">
        <f>IF(OR('实盘净值数据(iFinD）'!$A388="",'实盘净值数据(iFinD）'!$B388="",'实盘净值数据(iFinD）'!$Z388="",'实盘净值数据(iFinD）'!$AA388=""),"",分期持仓明细!$AB$24*(SUMPRODUCT(分期持仓明细!$B$24:$Y$24,'实盘净值数据(iFinD）'!$B388:$Y388/'实盘净值数据(iFinD）'!$B$65:$Y$65)+SUMPRODUCT(分期持仓明细!$AC$24:$AD$24,'实盘净值数据(iFinD）'!$Z388:$AA388/'实盘净值数据(iFinD）'!$Z$65:$AA$65))*(1-实盘持仓初始配置!$Z$8)^(('实盘净值数据(iFinD）'!$A388-'实盘净值数据(iFinD）'!$A$5)/365))</f>
        <v/>
      </c>
      <c r="O388" s="16" t="str">
        <f t="shared" si="40"/>
        <v/>
      </c>
      <c r="P388" s="16" t="str">
        <f>IF(N388="","",N388/MAX(N$5:N388)-1)</f>
        <v/>
      </c>
      <c r="Q388" s="13" t="str">
        <f>IF(OR('实盘净值数据(iFinD）'!$A388="",'实盘净值数据(iFinD）'!$B388="",'实盘净值数据(iFinD）'!$Z388="",'实盘净值数据(iFinD）'!$AA388=""),"",分期持仓明细!$AB$25*(SUMPRODUCT(分期持仓明细!$B$25:$Y$25,'实盘净值数据(iFinD）'!$B388:$Y388/'实盘净值数据(iFinD）'!$B$65:$Y$65)+SUMPRODUCT(分期持仓明细!$AC$25:$AD$25,'实盘净值数据(iFinD）'!$Z388:$AA388/'实盘净值数据(iFinD）'!$Z$65:$AA$65))*(1-实盘持仓初始配置!$Z$9)^(('实盘净值数据(iFinD）'!$A388-'实盘净值数据(iFinD）'!$A$8)/365))</f>
        <v/>
      </c>
      <c r="R388" s="16" t="str">
        <f t="shared" si="41"/>
        <v/>
      </c>
      <c r="S388" s="16" t="str">
        <f>IF(Q388="","",Q388/MAX(Q$5:Q388)-1)</f>
        <v/>
      </c>
    </row>
    <row r="389" spans="1:19">
      <c r="A389" s="15" t="str">
        <f>IF('实盘净值数据(iFinD）'!A389="","",'实盘净值数据(iFinD）'!A389)</f>
        <v/>
      </c>
      <c r="B389" s="13" t="str">
        <f>IF(OR('实盘净值数据(iFinD）'!$A389="",'实盘净值数据(iFinD）'!$B389=""),"",分期持仓明细!$AB$17*SUMPRODUCT(分期持仓明细!$B$17:$Y$17,'实盘净值数据(iFinD）'!$B389:$Y389/'实盘净值数据(iFinD）'!$B$20:$Y$20)*(1-实盘持仓初始配置!$Z$4)^(('实盘净值数据(iFinD）'!$A389-'实盘净值数据(iFinD）'!$A$6)/365))</f>
        <v/>
      </c>
      <c r="C389" s="16" t="str">
        <f t="shared" si="36"/>
        <v/>
      </c>
      <c r="D389" s="16" t="str">
        <f>IF(B389="","",B389/MAX(B$5:B389)-1)</f>
        <v/>
      </c>
      <c r="E389" s="13" t="str">
        <f>IF(OR('实盘净值数据(iFinD）'!$A389="",'实盘净值数据(iFinD）'!$B389=""),"",分期持仓明细!$AB$18*SUMPRODUCT(分期持仓明细!$B$18:$Y$18,'实盘净值数据(iFinD）'!$B389:$Y389/'实盘净值数据(iFinD）'!$B$20:$Y$20)*(1-实盘持仓初始配置!$Z$5)^(('实盘净值数据(iFinD）'!$A389-'实盘净值数据(iFinD）'!$A$5)/365))</f>
        <v/>
      </c>
      <c r="F389" s="16" t="str">
        <f t="shared" si="37"/>
        <v/>
      </c>
      <c r="G389" s="16" t="str">
        <f>IF(E389="","",E389/MAX(E$5:E389)-1)</f>
        <v/>
      </c>
      <c r="H389" s="13" t="str">
        <f>IF(OR('实盘净值数据(iFinD）'!$A389="",'实盘净值数据(iFinD）'!$B389=""),"",分期持仓明细!$AB$19*SUMPRODUCT(分期持仓明细!$B$19:$Y$19,'实盘净值数据(iFinD）'!$B389:$Y389/'实盘净值数据(iFinD）'!$B$20:$Y$20)*(1-实盘持仓初始配置!$Z$6)^(('实盘净值数据(iFinD）'!$A389-'实盘净值数据(iFinD）'!$A$7)/365))</f>
        <v/>
      </c>
      <c r="I389" s="16" t="str">
        <f t="shared" si="38"/>
        <v/>
      </c>
      <c r="J389" s="16" t="str">
        <f>IF(H389="","",H389/MAX(H$5:H389)-1)</f>
        <v/>
      </c>
      <c r="K389" s="13" t="str">
        <f>IF(OR('实盘净值数据(iFinD）'!$A389="",'实盘净值数据(iFinD）'!$B389="",'实盘净值数据(iFinD）'!$Z389="",'实盘净值数据(iFinD）'!$AA389=""),"",分期持仓明细!$AB$23*(SUMPRODUCT(分期持仓明细!$B$23:$Y$23,'实盘净值数据(iFinD）'!$B389:$Y389/'实盘净值数据(iFinD）'!$B$65:$Y$65)+SUMPRODUCT(分期持仓明细!$AC$23:$AD$23,'实盘净值数据(iFinD）'!$Z389:$AA389/'实盘净值数据(iFinD）'!$Z$65:$AA$65))*(1-实盘持仓初始配置!$Z$7)^(('实盘净值数据(iFinD）'!$A389-'实盘净值数据(iFinD）'!$A$8)/365))</f>
        <v/>
      </c>
      <c r="L389" s="16" t="str">
        <f t="shared" si="39"/>
        <v/>
      </c>
      <c r="M389" s="16" t="str">
        <f>IF(K389="","",K389/MAX(K$5:K389)-1)</f>
        <v/>
      </c>
      <c r="N389" s="13" t="str">
        <f>IF(OR('实盘净值数据(iFinD）'!$A389="",'实盘净值数据(iFinD）'!$B389="",'实盘净值数据(iFinD）'!$Z389="",'实盘净值数据(iFinD）'!$AA389=""),"",分期持仓明细!$AB$24*(SUMPRODUCT(分期持仓明细!$B$24:$Y$24,'实盘净值数据(iFinD）'!$B389:$Y389/'实盘净值数据(iFinD）'!$B$65:$Y$65)+SUMPRODUCT(分期持仓明细!$AC$24:$AD$24,'实盘净值数据(iFinD）'!$Z389:$AA389/'实盘净值数据(iFinD）'!$Z$65:$AA$65))*(1-实盘持仓初始配置!$Z$8)^(('实盘净值数据(iFinD）'!$A389-'实盘净值数据(iFinD）'!$A$5)/365))</f>
        <v/>
      </c>
      <c r="O389" s="16" t="str">
        <f t="shared" si="40"/>
        <v/>
      </c>
      <c r="P389" s="16" t="str">
        <f>IF(N389="","",N389/MAX(N$5:N389)-1)</f>
        <v/>
      </c>
      <c r="Q389" s="13" t="str">
        <f>IF(OR('实盘净值数据(iFinD）'!$A389="",'实盘净值数据(iFinD）'!$B389="",'实盘净值数据(iFinD）'!$Z389="",'实盘净值数据(iFinD）'!$AA389=""),"",分期持仓明细!$AB$25*(SUMPRODUCT(分期持仓明细!$B$25:$Y$25,'实盘净值数据(iFinD）'!$B389:$Y389/'实盘净值数据(iFinD）'!$B$65:$Y$65)+SUMPRODUCT(分期持仓明细!$AC$25:$AD$25,'实盘净值数据(iFinD）'!$Z389:$AA389/'实盘净值数据(iFinD）'!$Z$65:$AA$65))*(1-实盘持仓初始配置!$Z$9)^(('实盘净值数据(iFinD）'!$A389-'实盘净值数据(iFinD）'!$A$8)/365))</f>
        <v/>
      </c>
      <c r="R389" s="16" t="str">
        <f t="shared" si="41"/>
        <v/>
      </c>
      <c r="S389" s="16" t="str">
        <f>IF(Q389="","",Q389/MAX(Q$5:Q389)-1)</f>
        <v/>
      </c>
    </row>
    <row r="390" spans="1:19">
      <c r="A390" s="15" t="str">
        <f>IF('实盘净值数据(iFinD）'!A390="","",'实盘净值数据(iFinD）'!A390)</f>
        <v/>
      </c>
      <c r="B390" s="13" t="str">
        <f>IF(OR('实盘净值数据(iFinD）'!$A390="",'实盘净值数据(iFinD）'!$B390=""),"",分期持仓明细!$AB$17*SUMPRODUCT(分期持仓明细!$B$17:$Y$17,'实盘净值数据(iFinD）'!$B390:$Y390/'实盘净值数据(iFinD）'!$B$20:$Y$20)*(1-实盘持仓初始配置!$Z$4)^(('实盘净值数据(iFinD）'!$A390-'实盘净值数据(iFinD）'!$A$6)/365))</f>
        <v/>
      </c>
      <c r="C390" s="16" t="str">
        <f t="shared" si="36"/>
        <v/>
      </c>
      <c r="D390" s="16" t="str">
        <f>IF(B390="","",B390/MAX(B$5:B390)-1)</f>
        <v/>
      </c>
      <c r="E390" s="13" t="str">
        <f>IF(OR('实盘净值数据(iFinD）'!$A390="",'实盘净值数据(iFinD）'!$B390=""),"",分期持仓明细!$AB$18*SUMPRODUCT(分期持仓明细!$B$18:$Y$18,'实盘净值数据(iFinD）'!$B390:$Y390/'实盘净值数据(iFinD）'!$B$20:$Y$20)*(1-实盘持仓初始配置!$Z$5)^(('实盘净值数据(iFinD）'!$A390-'实盘净值数据(iFinD）'!$A$5)/365))</f>
        <v/>
      </c>
      <c r="F390" s="16" t="str">
        <f t="shared" si="37"/>
        <v/>
      </c>
      <c r="G390" s="16" t="str">
        <f>IF(E390="","",E390/MAX(E$5:E390)-1)</f>
        <v/>
      </c>
      <c r="H390" s="13" t="str">
        <f>IF(OR('实盘净值数据(iFinD）'!$A390="",'实盘净值数据(iFinD）'!$B390=""),"",分期持仓明细!$AB$19*SUMPRODUCT(分期持仓明细!$B$19:$Y$19,'实盘净值数据(iFinD）'!$B390:$Y390/'实盘净值数据(iFinD）'!$B$20:$Y$20)*(1-实盘持仓初始配置!$Z$6)^(('实盘净值数据(iFinD）'!$A390-'实盘净值数据(iFinD）'!$A$7)/365))</f>
        <v/>
      </c>
      <c r="I390" s="16" t="str">
        <f t="shared" si="38"/>
        <v/>
      </c>
      <c r="J390" s="16" t="str">
        <f>IF(H390="","",H390/MAX(H$5:H390)-1)</f>
        <v/>
      </c>
      <c r="K390" s="13" t="str">
        <f>IF(OR('实盘净值数据(iFinD）'!$A390="",'实盘净值数据(iFinD）'!$B390="",'实盘净值数据(iFinD）'!$Z390="",'实盘净值数据(iFinD）'!$AA390=""),"",分期持仓明细!$AB$23*(SUMPRODUCT(分期持仓明细!$B$23:$Y$23,'实盘净值数据(iFinD）'!$B390:$Y390/'实盘净值数据(iFinD）'!$B$65:$Y$65)+SUMPRODUCT(分期持仓明细!$AC$23:$AD$23,'实盘净值数据(iFinD）'!$Z390:$AA390/'实盘净值数据(iFinD）'!$Z$65:$AA$65))*(1-实盘持仓初始配置!$Z$7)^(('实盘净值数据(iFinD）'!$A390-'实盘净值数据(iFinD）'!$A$8)/365))</f>
        <v/>
      </c>
      <c r="L390" s="16" t="str">
        <f t="shared" si="39"/>
        <v/>
      </c>
      <c r="M390" s="16" t="str">
        <f>IF(K390="","",K390/MAX(K$5:K390)-1)</f>
        <v/>
      </c>
      <c r="N390" s="13" t="str">
        <f>IF(OR('实盘净值数据(iFinD）'!$A390="",'实盘净值数据(iFinD）'!$B390="",'实盘净值数据(iFinD）'!$Z390="",'实盘净值数据(iFinD）'!$AA390=""),"",分期持仓明细!$AB$24*(SUMPRODUCT(分期持仓明细!$B$24:$Y$24,'实盘净值数据(iFinD）'!$B390:$Y390/'实盘净值数据(iFinD）'!$B$65:$Y$65)+SUMPRODUCT(分期持仓明细!$AC$24:$AD$24,'实盘净值数据(iFinD）'!$Z390:$AA390/'实盘净值数据(iFinD）'!$Z$65:$AA$65))*(1-实盘持仓初始配置!$Z$8)^(('实盘净值数据(iFinD）'!$A390-'实盘净值数据(iFinD）'!$A$5)/365))</f>
        <v/>
      </c>
      <c r="O390" s="16" t="str">
        <f t="shared" si="40"/>
        <v/>
      </c>
      <c r="P390" s="16" t="str">
        <f>IF(N390="","",N390/MAX(N$5:N390)-1)</f>
        <v/>
      </c>
      <c r="Q390" s="13" t="str">
        <f>IF(OR('实盘净值数据(iFinD）'!$A390="",'实盘净值数据(iFinD）'!$B390="",'实盘净值数据(iFinD）'!$Z390="",'实盘净值数据(iFinD）'!$AA390=""),"",分期持仓明细!$AB$25*(SUMPRODUCT(分期持仓明细!$B$25:$Y$25,'实盘净值数据(iFinD）'!$B390:$Y390/'实盘净值数据(iFinD）'!$B$65:$Y$65)+SUMPRODUCT(分期持仓明细!$AC$25:$AD$25,'实盘净值数据(iFinD）'!$Z390:$AA390/'实盘净值数据(iFinD）'!$Z$65:$AA$65))*(1-实盘持仓初始配置!$Z$9)^(('实盘净值数据(iFinD）'!$A390-'实盘净值数据(iFinD）'!$A$8)/365))</f>
        <v/>
      </c>
      <c r="R390" s="16" t="str">
        <f t="shared" si="41"/>
        <v/>
      </c>
      <c r="S390" s="16" t="str">
        <f>IF(Q390="","",Q390/MAX(Q$5:Q390)-1)</f>
        <v/>
      </c>
    </row>
    <row r="391" spans="1:19">
      <c r="A391" s="15" t="str">
        <f>IF('实盘净值数据(iFinD）'!A391="","",'实盘净值数据(iFinD）'!A391)</f>
        <v/>
      </c>
      <c r="B391" s="13" t="str">
        <f>IF(OR('实盘净值数据(iFinD）'!$A391="",'实盘净值数据(iFinD）'!$B391=""),"",分期持仓明细!$AB$17*SUMPRODUCT(分期持仓明细!$B$17:$Y$17,'实盘净值数据(iFinD）'!$B391:$Y391/'实盘净值数据(iFinD）'!$B$20:$Y$20)*(1-实盘持仓初始配置!$Z$4)^(('实盘净值数据(iFinD）'!$A391-'实盘净值数据(iFinD）'!$A$6)/365))</f>
        <v/>
      </c>
      <c r="C391" s="16" t="str">
        <f t="shared" si="36"/>
        <v/>
      </c>
      <c r="D391" s="16" t="str">
        <f>IF(B391="","",B391/MAX(B$5:B391)-1)</f>
        <v/>
      </c>
      <c r="E391" s="13" t="str">
        <f>IF(OR('实盘净值数据(iFinD）'!$A391="",'实盘净值数据(iFinD）'!$B391=""),"",分期持仓明细!$AB$18*SUMPRODUCT(分期持仓明细!$B$18:$Y$18,'实盘净值数据(iFinD）'!$B391:$Y391/'实盘净值数据(iFinD）'!$B$20:$Y$20)*(1-实盘持仓初始配置!$Z$5)^(('实盘净值数据(iFinD）'!$A391-'实盘净值数据(iFinD）'!$A$5)/365))</f>
        <v/>
      </c>
      <c r="F391" s="16" t="str">
        <f t="shared" si="37"/>
        <v/>
      </c>
      <c r="G391" s="16" t="str">
        <f>IF(E391="","",E391/MAX(E$5:E391)-1)</f>
        <v/>
      </c>
      <c r="H391" s="13" t="str">
        <f>IF(OR('实盘净值数据(iFinD）'!$A391="",'实盘净值数据(iFinD）'!$B391=""),"",分期持仓明细!$AB$19*SUMPRODUCT(分期持仓明细!$B$19:$Y$19,'实盘净值数据(iFinD）'!$B391:$Y391/'实盘净值数据(iFinD）'!$B$20:$Y$20)*(1-实盘持仓初始配置!$Z$6)^(('实盘净值数据(iFinD）'!$A391-'实盘净值数据(iFinD）'!$A$7)/365))</f>
        <v/>
      </c>
      <c r="I391" s="16" t="str">
        <f t="shared" si="38"/>
        <v/>
      </c>
      <c r="J391" s="16" t="str">
        <f>IF(H391="","",H391/MAX(H$5:H391)-1)</f>
        <v/>
      </c>
      <c r="K391" s="13" t="str">
        <f>IF(OR('实盘净值数据(iFinD）'!$A391="",'实盘净值数据(iFinD）'!$B391="",'实盘净值数据(iFinD）'!$Z391="",'实盘净值数据(iFinD）'!$AA391=""),"",分期持仓明细!$AB$23*(SUMPRODUCT(分期持仓明细!$B$23:$Y$23,'实盘净值数据(iFinD）'!$B391:$Y391/'实盘净值数据(iFinD）'!$B$65:$Y$65)+SUMPRODUCT(分期持仓明细!$AC$23:$AD$23,'实盘净值数据(iFinD）'!$Z391:$AA391/'实盘净值数据(iFinD）'!$Z$65:$AA$65))*(1-实盘持仓初始配置!$Z$7)^(('实盘净值数据(iFinD）'!$A391-'实盘净值数据(iFinD）'!$A$8)/365))</f>
        <v/>
      </c>
      <c r="L391" s="16" t="str">
        <f t="shared" si="39"/>
        <v/>
      </c>
      <c r="M391" s="16" t="str">
        <f>IF(K391="","",K391/MAX(K$5:K391)-1)</f>
        <v/>
      </c>
      <c r="N391" s="13" t="str">
        <f>IF(OR('实盘净值数据(iFinD）'!$A391="",'实盘净值数据(iFinD）'!$B391="",'实盘净值数据(iFinD）'!$Z391="",'实盘净值数据(iFinD）'!$AA391=""),"",分期持仓明细!$AB$24*(SUMPRODUCT(分期持仓明细!$B$24:$Y$24,'实盘净值数据(iFinD）'!$B391:$Y391/'实盘净值数据(iFinD）'!$B$65:$Y$65)+SUMPRODUCT(分期持仓明细!$AC$24:$AD$24,'实盘净值数据(iFinD）'!$Z391:$AA391/'实盘净值数据(iFinD）'!$Z$65:$AA$65))*(1-实盘持仓初始配置!$Z$8)^(('实盘净值数据(iFinD）'!$A391-'实盘净值数据(iFinD）'!$A$5)/365))</f>
        <v/>
      </c>
      <c r="O391" s="16" t="str">
        <f t="shared" si="40"/>
        <v/>
      </c>
      <c r="P391" s="16" t="str">
        <f>IF(N391="","",N391/MAX(N$5:N391)-1)</f>
        <v/>
      </c>
      <c r="Q391" s="13" t="str">
        <f>IF(OR('实盘净值数据(iFinD）'!$A391="",'实盘净值数据(iFinD）'!$B391="",'实盘净值数据(iFinD）'!$Z391="",'实盘净值数据(iFinD）'!$AA391=""),"",分期持仓明细!$AB$25*(SUMPRODUCT(分期持仓明细!$B$25:$Y$25,'实盘净值数据(iFinD）'!$B391:$Y391/'实盘净值数据(iFinD）'!$B$65:$Y$65)+SUMPRODUCT(分期持仓明细!$AC$25:$AD$25,'实盘净值数据(iFinD）'!$Z391:$AA391/'实盘净值数据(iFinD）'!$Z$65:$AA$65))*(1-实盘持仓初始配置!$Z$9)^(('实盘净值数据(iFinD）'!$A391-'实盘净值数据(iFinD）'!$A$8)/365))</f>
        <v/>
      </c>
      <c r="R391" s="16" t="str">
        <f t="shared" si="41"/>
        <v/>
      </c>
      <c r="S391" s="16" t="str">
        <f>IF(Q391="","",Q391/MAX(Q$5:Q391)-1)</f>
        <v/>
      </c>
    </row>
    <row r="392" spans="1:19">
      <c r="A392" s="15" t="str">
        <f>IF('实盘净值数据(iFinD）'!A392="","",'实盘净值数据(iFinD）'!A392)</f>
        <v/>
      </c>
      <c r="B392" s="13" t="str">
        <f>IF(OR('实盘净值数据(iFinD）'!$A392="",'实盘净值数据(iFinD）'!$B392=""),"",分期持仓明细!$AB$17*SUMPRODUCT(分期持仓明细!$B$17:$Y$17,'实盘净值数据(iFinD）'!$B392:$Y392/'实盘净值数据(iFinD）'!$B$20:$Y$20)*(1-实盘持仓初始配置!$Z$4)^(('实盘净值数据(iFinD）'!$A392-'实盘净值数据(iFinD）'!$A$6)/365))</f>
        <v/>
      </c>
      <c r="C392" s="16" t="str">
        <f t="shared" si="36"/>
        <v/>
      </c>
      <c r="D392" s="16" t="str">
        <f>IF(B392="","",B392/MAX(B$5:B392)-1)</f>
        <v/>
      </c>
      <c r="E392" s="13" t="str">
        <f>IF(OR('实盘净值数据(iFinD）'!$A392="",'实盘净值数据(iFinD）'!$B392=""),"",分期持仓明细!$AB$18*SUMPRODUCT(分期持仓明细!$B$18:$Y$18,'实盘净值数据(iFinD）'!$B392:$Y392/'实盘净值数据(iFinD）'!$B$20:$Y$20)*(1-实盘持仓初始配置!$Z$5)^(('实盘净值数据(iFinD）'!$A392-'实盘净值数据(iFinD）'!$A$5)/365))</f>
        <v/>
      </c>
      <c r="F392" s="16" t="str">
        <f t="shared" si="37"/>
        <v/>
      </c>
      <c r="G392" s="16" t="str">
        <f>IF(E392="","",E392/MAX(E$5:E392)-1)</f>
        <v/>
      </c>
      <c r="H392" s="13" t="str">
        <f>IF(OR('实盘净值数据(iFinD）'!$A392="",'实盘净值数据(iFinD）'!$B392=""),"",分期持仓明细!$AB$19*SUMPRODUCT(分期持仓明细!$B$19:$Y$19,'实盘净值数据(iFinD）'!$B392:$Y392/'实盘净值数据(iFinD）'!$B$20:$Y$20)*(1-实盘持仓初始配置!$Z$6)^(('实盘净值数据(iFinD）'!$A392-'实盘净值数据(iFinD）'!$A$7)/365))</f>
        <v/>
      </c>
      <c r="I392" s="16" t="str">
        <f t="shared" si="38"/>
        <v/>
      </c>
      <c r="J392" s="16" t="str">
        <f>IF(H392="","",H392/MAX(H$5:H392)-1)</f>
        <v/>
      </c>
      <c r="K392" s="13" t="str">
        <f>IF(OR('实盘净值数据(iFinD）'!$A392="",'实盘净值数据(iFinD）'!$B392="",'实盘净值数据(iFinD）'!$Z392="",'实盘净值数据(iFinD）'!$AA392=""),"",分期持仓明细!$AB$23*(SUMPRODUCT(分期持仓明细!$B$23:$Y$23,'实盘净值数据(iFinD）'!$B392:$Y392/'实盘净值数据(iFinD）'!$B$65:$Y$65)+SUMPRODUCT(分期持仓明细!$AC$23:$AD$23,'实盘净值数据(iFinD）'!$Z392:$AA392/'实盘净值数据(iFinD）'!$Z$65:$AA$65))*(1-实盘持仓初始配置!$Z$7)^(('实盘净值数据(iFinD）'!$A392-'实盘净值数据(iFinD）'!$A$8)/365))</f>
        <v/>
      </c>
      <c r="L392" s="16" t="str">
        <f t="shared" si="39"/>
        <v/>
      </c>
      <c r="M392" s="16" t="str">
        <f>IF(K392="","",K392/MAX(K$5:K392)-1)</f>
        <v/>
      </c>
      <c r="N392" s="13" t="str">
        <f>IF(OR('实盘净值数据(iFinD）'!$A392="",'实盘净值数据(iFinD）'!$B392="",'实盘净值数据(iFinD）'!$Z392="",'实盘净值数据(iFinD）'!$AA392=""),"",分期持仓明细!$AB$24*(SUMPRODUCT(分期持仓明细!$B$24:$Y$24,'实盘净值数据(iFinD）'!$B392:$Y392/'实盘净值数据(iFinD）'!$B$65:$Y$65)+SUMPRODUCT(分期持仓明细!$AC$24:$AD$24,'实盘净值数据(iFinD）'!$Z392:$AA392/'实盘净值数据(iFinD）'!$Z$65:$AA$65))*(1-实盘持仓初始配置!$Z$8)^(('实盘净值数据(iFinD）'!$A392-'实盘净值数据(iFinD）'!$A$5)/365))</f>
        <v/>
      </c>
      <c r="O392" s="16" t="str">
        <f t="shared" si="40"/>
        <v/>
      </c>
      <c r="P392" s="16" t="str">
        <f>IF(N392="","",N392/MAX(N$5:N392)-1)</f>
        <v/>
      </c>
      <c r="Q392" s="13" t="str">
        <f>IF(OR('实盘净值数据(iFinD）'!$A392="",'实盘净值数据(iFinD）'!$B392="",'实盘净值数据(iFinD）'!$Z392="",'实盘净值数据(iFinD）'!$AA392=""),"",分期持仓明细!$AB$25*(SUMPRODUCT(分期持仓明细!$B$25:$Y$25,'实盘净值数据(iFinD）'!$B392:$Y392/'实盘净值数据(iFinD）'!$B$65:$Y$65)+SUMPRODUCT(分期持仓明细!$AC$25:$AD$25,'实盘净值数据(iFinD）'!$Z392:$AA392/'实盘净值数据(iFinD）'!$Z$65:$AA$65))*(1-实盘持仓初始配置!$Z$9)^(('实盘净值数据(iFinD）'!$A392-'实盘净值数据(iFinD）'!$A$8)/365))</f>
        <v/>
      </c>
      <c r="R392" s="16" t="str">
        <f t="shared" si="41"/>
        <v/>
      </c>
      <c r="S392" s="16" t="str">
        <f>IF(Q392="","",Q392/MAX(Q$5:Q392)-1)</f>
        <v/>
      </c>
    </row>
    <row r="393" spans="1:19">
      <c r="A393" s="15" t="str">
        <f>IF('实盘净值数据(iFinD）'!A393="","",'实盘净值数据(iFinD）'!A393)</f>
        <v/>
      </c>
      <c r="B393" s="13" t="str">
        <f>IF(OR('实盘净值数据(iFinD）'!$A393="",'实盘净值数据(iFinD）'!$B393=""),"",分期持仓明细!$AB$17*SUMPRODUCT(分期持仓明细!$B$17:$Y$17,'实盘净值数据(iFinD）'!$B393:$Y393/'实盘净值数据(iFinD）'!$B$20:$Y$20)*(1-实盘持仓初始配置!$Z$4)^(('实盘净值数据(iFinD）'!$A393-'实盘净值数据(iFinD）'!$A$6)/365))</f>
        <v/>
      </c>
      <c r="C393" s="16" t="str">
        <f t="shared" si="36"/>
        <v/>
      </c>
      <c r="D393" s="16" t="str">
        <f>IF(B393="","",B393/MAX(B$5:B393)-1)</f>
        <v/>
      </c>
      <c r="E393" s="13" t="str">
        <f>IF(OR('实盘净值数据(iFinD）'!$A393="",'实盘净值数据(iFinD）'!$B393=""),"",分期持仓明细!$AB$18*SUMPRODUCT(分期持仓明细!$B$18:$Y$18,'实盘净值数据(iFinD）'!$B393:$Y393/'实盘净值数据(iFinD）'!$B$20:$Y$20)*(1-实盘持仓初始配置!$Z$5)^(('实盘净值数据(iFinD）'!$A393-'实盘净值数据(iFinD）'!$A$5)/365))</f>
        <v/>
      </c>
      <c r="F393" s="16" t="str">
        <f t="shared" si="37"/>
        <v/>
      </c>
      <c r="G393" s="16" t="str">
        <f>IF(E393="","",E393/MAX(E$5:E393)-1)</f>
        <v/>
      </c>
      <c r="H393" s="13" t="str">
        <f>IF(OR('实盘净值数据(iFinD）'!$A393="",'实盘净值数据(iFinD）'!$B393=""),"",分期持仓明细!$AB$19*SUMPRODUCT(分期持仓明细!$B$19:$Y$19,'实盘净值数据(iFinD）'!$B393:$Y393/'实盘净值数据(iFinD）'!$B$20:$Y$20)*(1-实盘持仓初始配置!$Z$6)^(('实盘净值数据(iFinD）'!$A393-'实盘净值数据(iFinD）'!$A$7)/365))</f>
        <v/>
      </c>
      <c r="I393" s="16" t="str">
        <f t="shared" si="38"/>
        <v/>
      </c>
      <c r="J393" s="16" t="str">
        <f>IF(H393="","",H393/MAX(H$5:H393)-1)</f>
        <v/>
      </c>
      <c r="K393" s="13" t="str">
        <f>IF(OR('实盘净值数据(iFinD）'!$A393="",'实盘净值数据(iFinD）'!$B393="",'实盘净值数据(iFinD）'!$Z393="",'实盘净值数据(iFinD）'!$AA393=""),"",分期持仓明细!$AB$23*(SUMPRODUCT(分期持仓明细!$B$23:$Y$23,'实盘净值数据(iFinD）'!$B393:$Y393/'实盘净值数据(iFinD）'!$B$65:$Y$65)+SUMPRODUCT(分期持仓明细!$AC$23:$AD$23,'实盘净值数据(iFinD）'!$Z393:$AA393/'实盘净值数据(iFinD）'!$Z$65:$AA$65))*(1-实盘持仓初始配置!$Z$7)^(('实盘净值数据(iFinD）'!$A393-'实盘净值数据(iFinD）'!$A$8)/365))</f>
        <v/>
      </c>
      <c r="L393" s="16" t="str">
        <f t="shared" si="39"/>
        <v/>
      </c>
      <c r="M393" s="16" t="str">
        <f>IF(K393="","",K393/MAX(K$5:K393)-1)</f>
        <v/>
      </c>
      <c r="N393" s="13" t="str">
        <f>IF(OR('实盘净值数据(iFinD）'!$A393="",'实盘净值数据(iFinD）'!$B393="",'实盘净值数据(iFinD）'!$Z393="",'实盘净值数据(iFinD）'!$AA393=""),"",分期持仓明细!$AB$24*(SUMPRODUCT(分期持仓明细!$B$24:$Y$24,'实盘净值数据(iFinD）'!$B393:$Y393/'实盘净值数据(iFinD）'!$B$65:$Y$65)+SUMPRODUCT(分期持仓明细!$AC$24:$AD$24,'实盘净值数据(iFinD）'!$Z393:$AA393/'实盘净值数据(iFinD）'!$Z$65:$AA$65))*(1-实盘持仓初始配置!$Z$8)^(('实盘净值数据(iFinD）'!$A393-'实盘净值数据(iFinD）'!$A$5)/365))</f>
        <v/>
      </c>
      <c r="O393" s="16" t="str">
        <f t="shared" si="40"/>
        <v/>
      </c>
      <c r="P393" s="16" t="str">
        <f>IF(N393="","",N393/MAX(N$5:N393)-1)</f>
        <v/>
      </c>
      <c r="Q393" s="13" t="str">
        <f>IF(OR('实盘净值数据(iFinD）'!$A393="",'实盘净值数据(iFinD）'!$B393="",'实盘净值数据(iFinD）'!$Z393="",'实盘净值数据(iFinD）'!$AA393=""),"",分期持仓明细!$AB$25*(SUMPRODUCT(分期持仓明细!$B$25:$Y$25,'实盘净值数据(iFinD）'!$B393:$Y393/'实盘净值数据(iFinD）'!$B$65:$Y$65)+SUMPRODUCT(分期持仓明细!$AC$25:$AD$25,'实盘净值数据(iFinD）'!$Z393:$AA393/'实盘净值数据(iFinD）'!$Z$65:$AA$65))*(1-实盘持仓初始配置!$Z$9)^(('实盘净值数据(iFinD）'!$A393-'实盘净值数据(iFinD）'!$A$8)/365))</f>
        <v/>
      </c>
      <c r="R393" s="16" t="str">
        <f t="shared" si="41"/>
        <v/>
      </c>
      <c r="S393" s="16" t="str">
        <f>IF(Q393="","",Q393/MAX(Q$5:Q393)-1)</f>
        <v/>
      </c>
    </row>
    <row r="394" spans="1:19">
      <c r="A394" s="15" t="str">
        <f>IF('实盘净值数据(iFinD）'!A394="","",'实盘净值数据(iFinD）'!A394)</f>
        <v/>
      </c>
      <c r="B394" s="13" t="str">
        <f>IF(OR('实盘净值数据(iFinD）'!$A394="",'实盘净值数据(iFinD）'!$B394=""),"",分期持仓明细!$AB$17*SUMPRODUCT(分期持仓明细!$B$17:$Y$17,'实盘净值数据(iFinD）'!$B394:$Y394/'实盘净值数据(iFinD）'!$B$20:$Y$20)*(1-实盘持仓初始配置!$Z$4)^(('实盘净值数据(iFinD）'!$A394-'实盘净值数据(iFinD）'!$A$6)/365))</f>
        <v/>
      </c>
      <c r="C394" s="16" t="str">
        <f t="shared" si="36"/>
        <v/>
      </c>
      <c r="D394" s="16" t="str">
        <f>IF(B394="","",B394/MAX(B$5:B394)-1)</f>
        <v/>
      </c>
      <c r="E394" s="13" t="str">
        <f>IF(OR('实盘净值数据(iFinD）'!$A394="",'实盘净值数据(iFinD）'!$B394=""),"",分期持仓明细!$AB$18*SUMPRODUCT(分期持仓明细!$B$18:$Y$18,'实盘净值数据(iFinD）'!$B394:$Y394/'实盘净值数据(iFinD）'!$B$20:$Y$20)*(1-实盘持仓初始配置!$Z$5)^(('实盘净值数据(iFinD）'!$A394-'实盘净值数据(iFinD）'!$A$5)/365))</f>
        <v/>
      </c>
      <c r="F394" s="16" t="str">
        <f t="shared" si="37"/>
        <v/>
      </c>
      <c r="G394" s="16" t="str">
        <f>IF(E394="","",E394/MAX(E$5:E394)-1)</f>
        <v/>
      </c>
      <c r="H394" s="13" t="str">
        <f>IF(OR('实盘净值数据(iFinD）'!$A394="",'实盘净值数据(iFinD）'!$B394=""),"",分期持仓明细!$AB$19*SUMPRODUCT(分期持仓明细!$B$19:$Y$19,'实盘净值数据(iFinD）'!$B394:$Y394/'实盘净值数据(iFinD）'!$B$20:$Y$20)*(1-实盘持仓初始配置!$Z$6)^(('实盘净值数据(iFinD）'!$A394-'实盘净值数据(iFinD）'!$A$7)/365))</f>
        <v/>
      </c>
      <c r="I394" s="16" t="str">
        <f t="shared" si="38"/>
        <v/>
      </c>
      <c r="J394" s="16" t="str">
        <f>IF(H394="","",H394/MAX(H$5:H394)-1)</f>
        <v/>
      </c>
      <c r="K394" s="13" t="str">
        <f>IF(OR('实盘净值数据(iFinD）'!$A394="",'实盘净值数据(iFinD）'!$B394="",'实盘净值数据(iFinD）'!$Z394="",'实盘净值数据(iFinD）'!$AA394=""),"",分期持仓明细!$AB$23*(SUMPRODUCT(分期持仓明细!$B$23:$Y$23,'实盘净值数据(iFinD）'!$B394:$Y394/'实盘净值数据(iFinD）'!$B$65:$Y$65)+SUMPRODUCT(分期持仓明细!$AC$23:$AD$23,'实盘净值数据(iFinD）'!$Z394:$AA394/'实盘净值数据(iFinD）'!$Z$65:$AA$65))*(1-实盘持仓初始配置!$Z$7)^(('实盘净值数据(iFinD）'!$A394-'实盘净值数据(iFinD）'!$A$8)/365))</f>
        <v/>
      </c>
      <c r="L394" s="16" t="str">
        <f t="shared" si="39"/>
        <v/>
      </c>
      <c r="M394" s="16" t="str">
        <f>IF(K394="","",K394/MAX(K$5:K394)-1)</f>
        <v/>
      </c>
      <c r="N394" s="13" t="str">
        <f>IF(OR('实盘净值数据(iFinD）'!$A394="",'实盘净值数据(iFinD）'!$B394="",'实盘净值数据(iFinD）'!$Z394="",'实盘净值数据(iFinD）'!$AA394=""),"",分期持仓明细!$AB$24*(SUMPRODUCT(分期持仓明细!$B$24:$Y$24,'实盘净值数据(iFinD）'!$B394:$Y394/'实盘净值数据(iFinD）'!$B$65:$Y$65)+SUMPRODUCT(分期持仓明细!$AC$24:$AD$24,'实盘净值数据(iFinD）'!$Z394:$AA394/'实盘净值数据(iFinD）'!$Z$65:$AA$65))*(1-实盘持仓初始配置!$Z$8)^(('实盘净值数据(iFinD）'!$A394-'实盘净值数据(iFinD）'!$A$5)/365))</f>
        <v/>
      </c>
      <c r="O394" s="16" t="str">
        <f t="shared" si="40"/>
        <v/>
      </c>
      <c r="P394" s="16" t="str">
        <f>IF(N394="","",N394/MAX(N$5:N394)-1)</f>
        <v/>
      </c>
      <c r="Q394" s="13" t="str">
        <f>IF(OR('实盘净值数据(iFinD）'!$A394="",'实盘净值数据(iFinD）'!$B394="",'实盘净值数据(iFinD）'!$Z394="",'实盘净值数据(iFinD）'!$AA394=""),"",分期持仓明细!$AB$25*(SUMPRODUCT(分期持仓明细!$B$25:$Y$25,'实盘净值数据(iFinD）'!$B394:$Y394/'实盘净值数据(iFinD）'!$B$65:$Y$65)+SUMPRODUCT(分期持仓明细!$AC$25:$AD$25,'实盘净值数据(iFinD）'!$Z394:$AA394/'实盘净值数据(iFinD）'!$Z$65:$AA$65))*(1-实盘持仓初始配置!$Z$9)^(('实盘净值数据(iFinD）'!$A394-'实盘净值数据(iFinD）'!$A$8)/365))</f>
        <v/>
      </c>
      <c r="R394" s="16" t="str">
        <f t="shared" si="41"/>
        <v/>
      </c>
      <c r="S394" s="16" t="str">
        <f>IF(Q394="","",Q394/MAX(Q$5:Q394)-1)</f>
        <v/>
      </c>
    </row>
    <row r="395" spans="1:19">
      <c r="A395" s="15" t="str">
        <f>IF('实盘净值数据(iFinD）'!A395="","",'实盘净值数据(iFinD）'!A395)</f>
        <v/>
      </c>
      <c r="B395" s="13" t="str">
        <f>IF(OR('实盘净值数据(iFinD）'!$A395="",'实盘净值数据(iFinD）'!$B395=""),"",分期持仓明细!$AB$17*SUMPRODUCT(分期持仓明细!$B$17:$Y$17,'实盘净值数据(iFinD）'!$B395:$Y395/'实盘净值数据(iFinD）'!$B$20:$Y$20)*(1-实盘持仓初始配置!$Z$4)^(('实盘净值数据(iFinD）'!$A395-'实盘净值数据(iFinD）'!$A$6)/365))</f>
        <v/>
      </c>
      <c r="C395" s="16" t="str">
        <f t="shared" si="36"/>
        <v/>
      </c>
      <c r="D395" s="16" t="str">
        <f>IF(B395="","",B395/MAX(B$5:B395)-1)</f>
        <v/>
      </c>
      <c r="E395" s="13" t="str">
        <f>IF(OR('实盘净值数据(iFinD）'!$A395="",'实盘净值数据(iFinD）'!$B395=""),"",分期持仓明细!$AB$18*SUMPRODUCT(分期持仓明细!$B$18:$Y$18,'实盘净值数据(iFinD）'!$B395:$Y395/'实盘净值数据(iFinD）'!$B$20:$Y$20)*(1-实盘持仓初始配置!$Z$5)^(('实盘净值数据(iFinD）'!$A395-'实盘净值数据(iFinD）'!$A$5)/365))</f>
        <v/>
      </c>
      <c r="F395" s="16" t="str">
        <f t="shared" si="37"/>
        <v/>
      </c>
      <c r="G395" s="16" t="str">
        <f>IF(E395="","",E395/MAX(E$5:E395)-1)</f>
        <v/>
      </c>
      <c r="H395" s="13" t="str">
        <f>IF(OR('实盘净值数据(iFinD）'!$A395="",'实盘净值数据(iFinD）'!$B395=""),"",分期持仓明细!$AB$19*SUMPRODUCT(分期持仓明细!$B$19:$Y$19,'实盘净值数据(iFinD）'!$B395:$Y395/'实盘净值数据(iFinD）'!$B$20:$Y$20)*(1-实盘持仓初始配置!$Z$6)^(('实盘净值数据(iFinD）'!$A395-'实盘净值数据(iFinD）'!$A$7)/365))</f>
        <v/>
      </c>
      <c r="I395" s="16" t="str">
        <f t="shared" si="38"/>
        <v/>
      </c>
      <c r="J395" s="16" t="str">
        <f>IF(H395="","",H395/MAX(H$5:H395)-1)</f>
        <v/>
      </c>
      <c r="K395" s="13" t="str">
        <f>IF(OR('实盘净值数据(iFinD）'!$A395="",'实盘净值数据(iFinD）'!$B395="",'实盘净值数据(iFinD）'!$Z395="",'实盘净值数据(iFinD）'!$AA395=""),"",分期持仓明细!$AB$23*(SUMPRODUCT(分期持仓明细!$B$23:$Y$23,'实盘净值数据(iFinD）'!$B395:$Y395/'实盘净值数据(iFinD）'!$B$65:$Y$65)+SUMPRODUCT(分期持仓明细!$AC$23:$AD$23,'实盘净值数据(iFinD）'!$Z395:$AA395/'实盘净值数据(iFinD）'!$Z$65:$AA$65))*(1-实盘持仓初始配置!$Z$7)^(('实盘净值数据(iFinD）'!$A395-'实盘净值数据(iFinD）'!$A$8)/365))</f>
        <v/>
      </c>
      <c r="L395" s="16" t="str">
        <f t="shared" si="39"/>
        <v/>
      </c>
      <c r="M395" s="16" t="str">
        <f>IF(K395="","",K395/MAX(K$5:K395)-1)</f>
        <v/>
      </c>
      <c r="N395" s="13" t="str">
        <f>IF(OR('实盘净值数据(iFinD）'!$A395="",'实盘净值数据(iFinD）'!$B395="",'实盘净值数据(iFinD）'!$Z395="",'实盘净值数据(iFinD）'!$AA395=""),"",分期持仓明细!$AB$24*(SUMPRODUCT(分期持仓明细!$B$24:$Y$24,'实盘净值数据(iFinD）'!$B395:$Y395/'实盘净值数据(iFinD）'!$B$65:$Y$65)+SUMPRODUCT(分期持仓明细!$AC$24:$AD$24,'实盘净值数据(iFinD）'!$Z395:$AA395/'实盘净值数据(iFinD）'!$Z$65:$AA$65))*(1-实盘持仓初始配置!$Z$8)^(('实盘净值数据(iFinD）'!$A395-'实盘净值数据(iFinD）'!$A$5)/365))</f>
        <v/>
      </c>
      <c r="O395" s="16" t="str">
        <f t="shared" si="40"/>
        <v/>
      </c>
      <c r="P395" s="16" t="str">
        <f>IF(N395="","",N395/MAX(N$5:N395)-1)</f>
        <v/>
      </c>
      <c r="Q395" s="13" t="str">
        <f>IF(OR('实盘净值数据(iFinD）'!$A395="",'实盘净值数据(iFinD）'!$B395="",'实盘净值数据(iFinD）'!$Z395="",'实盘净值数据(iFinD）'!$AA395=""),"",分期持仓明细!$AB$25*(SUMPRODUCT(分期持仓明细!$B$25:$Y$25,'实盘净值数据(iFinD）'!$B395:$Y395/'实盘净值数据(iFinD）'!$B$65:$Y$65)+SUMPRODUCT(分期持仓明细!$AC$25:$AD$25,'实盘净值数据(iFinD）'!$Z395:$AA395/'实盘净值数据(iFinD）'!$Z$65:$AA$65))*(1-实盘持仓初始配置!$Z$9)^(('实盘净值数据(iFinD）'!$A395-'实盘净值数据(iFinD）'!$A$8)/365))</f>
        <v/>
      </c>
      <c r="R395" s="16" t="str">
        <f t="shared" si="41"/>
        <v/>
      </c>
      <c r="S395" s="16" t="str">
        <f>IF(Q395="","",Q395/MAX(Q$5:Q395)-1)</f>
        <v/>
      </c>
    </row>
    <row r="396" spans="1:19">
      <c r="A396" s="15" t="str">
        <f>IF('实盘净值数据(iFinD）'!A396="","",'实盘净值数据(iFinD）'!A396)</f>
        <v/>
      </c>
      <c r="B396" s="13" t="str">
        <f>IF(OR('实盘净值数据(iFinD）'!$A396="",'实盘净值数据(iFinD）'!$B396=""),"",分期持仓明细!$AB$17*SUMPRODUCT(分期持仓明细!$B$17:$Y$17,'实盘净值数据(iFinD）'!$B396:$Y396/'实盘净值数据(iFinD）'!$B$20:$Y$20)*(1-实盘持仓初始配置!$Z$4)^(('实盘净值数据(iFinD）'!$A396-'实盘净值数据(iFinD）'!$A$6)/365))</f>
        <v/>
      </c>
      <c r="C396" s="16" t="str">
        <f t="shared" si="36"/>
        <v/>
      </c>
      <c r="D396" s="16" t="str">
        <f>IF(B396="","",B396/MAX(B$5:B396)-1)</f>
        <v/>
      </c>
      <c r="E396" s="13" t="str">
        <f>IF(OR('实盘净值数据(iFinD）'!$A396="",'实盘净值数据(iFinD）'!$B396=""),"",分期持仓明细!$AB$18*SUMPRODUCT(分期持仓明细!$B$18:$Y$18,'实盘净值数据(iFinD）'!$B396:$Y396/'实盘净值数据(iFinD）'!$B$20:$Y$20)*(1-实盘持仓初始配置!$Z$5)^(('实盘净值数据(iFinD）'!$A396-'实盘净值数据(iFinD）'!$A$5)/365))</f>
        <v/>
      </c>
      <c r="F396" s="16" t="str">
        <f t="shared" si="37"/>
        <v/>
      </c>
      <c r="G396" s="16" t="str">
        <f>IF(E396="","",E396/MAX(E$5:E396)-1)</f>
        <v/>
      </c>
      <c r="H396" s="13" t="str">
        <f>IF(OR('实盘净值数据(iFinD）'!$A396="",'实盘净值数据(iFinD）'!$B396=""),"",分期持仓明细!$AB$19*SUMPRODUCT(分期持仓明细!$B$19:$Y$19,'实盘净值数据(iFinD）'!$B396:$Y396/'实盘净值数据(iFinD）'!$B$20:$Y$20)*(1-实盘持仓初始配置!$Z$6)^(('实盘净值数据(iFinD）'!$A396-'实盘净值数据(iFinD）'!$A$7)/365))</f>
        <v/>
      </c>
      <c r="I396" s="16" t="str">
        <f t="shared" si="38"/>
        <v/>
      </c>
      <c r="J396" s="16" t="str">
        <f>IF(H396="","",H396/MAX(H$5:H396)-1)</f>
        <v/>
      </c>
      <c r="K396" s="13" t="str">
        <f>IF(OR('实盘净值数据(iFinD）'!$A396="",'实盘净值数据(iFinD）'!$B396="",'实盘净值数据(iFinD）'!$Z396="",'实盘净值数据(iFinD）'!$AA396=""),"",分期持仓明细!$AB$23*(SUMPRODUCT(分期持仓明细!$B$23:$Y$23,'实盘净值数据(iFinD）'!$B396:$Y396/'实盘净值数据(iFinD）'!$B$65:$Y$65)+SUMPRODUCT(分期持仓明细!$AC$23:$AD$23,'实盘净值数据(iFinD）'!$Z396:$AA396/'实盘净值数据(iFinD）'!$Z$65:$AA$65))*(1-实盘持仓初始配置!$Z$7)^(('实盘净值数据(iFinD）'!$A396-'实盘净值数据(iFinD）'!$A$8)/365))</f>
        <v/>
      </c>
      <c r="L396" s="16" t="str">
        <f t="shared" si="39"/>
        <v/>
      </c>
      <c r="M396" s="16" t="str">
        <f>IF(K396="","",K396/MAX(K$5:K396)-1)</f>
        <v/>
      </c>
      <c r="N396" s="13" t="str">
        <f>IF(OR('实盘净值数据(iFinD）'!$A396="",'实盘净值数据(iFinD）'!$B396="",'实盘净值数据(iFinD）'!$Z396="",'实盘净值数据(iFinD）'!$AA396=""),"",分期持仓明细!$AB$24*(SUMPRODUCT(分期持仓明细!$B$24:$Y$24,'实盘净值数据(iFinD）'!$B396:$Y396/'实盘净值数据(iFinD）'!$B$65:$Y$65)+SUMPRODUCT(分期持仓明细!$AC$24:$AD$24,'实盘净值数据(iFinD）'!$Z396:$AA396/'实盘净值数据(iFinD）'!$Z$65:$AA$65))*(1-实盘持仓初始配置!$Z$8)^(('实盘净值数据(iFinD）'!$A396-'实盘净值数据(iFinD）'!$A$5)/365))</f>
        <v/>
      </c>
      <c r="O396" s="16" t="str">
        <f t="shared" si="40"/>
        <v/>
      </c>
      <c r="P396" s="16" t="str">
        <f>IF(N396="","",N396/MAX(N$5:N396)-1)</f>
        <v/>
      </c>
      <c r="Q396" s="13" t="str">
        <f>IF(OR('实盘净值数据(iFinD）'!$A396="",'实盘净值数据(iFinD）'!$B396="",'实盘净值数据(iFinD）'!$Z396="",'实盘净值数据(iFinD）'!$AA396=""),"",分期持仓明细!$AB$25*(SUMPRODUCT(分期持仓明细!$B$25:$Y$25,'实盘净值数据(iFinD）'!$B396:$Y396/'实盘净值数据(iFinD）'!$B$65:$Y$65)+SUMPRODUCT(分期持仓明细!$AC$25:$AD$25,'实盘净值数据(iFinD）'!$Z396:$AA396/'实盘净值数据(iFinD）'!$Z$65:$AA$65))*(1-实盘持仓初始配置!$Z$9)^(('实盘净值数据(iFinD）'!$A396-'实盘净值数据(iFinD）'!$A$8)/365))</f>
        <v/>
      </c>
      <c r="R396" s="16" t="str">
        <f t="shared" si="41"/>
        <v/>
      </c>
      <c r="S396" s="16" t="str">
        <f>IF(Q396="","",Q396/MAX(Q$5:Q396)-1)</f>
        <v/>
      </c>
    </row>
    <row r="397" spans="1:19">
      <c r="A397" s="15" t="str">
        <f>IF('实盘净值数据(iFinD）'!A397="","",'实盘净值数据(iFinD）'!A397)</f>
        <v/>
      </c>
      <c r="B397" s="13" t="str">
        <f>IF(OR('实盘净值数据(iFinD）'!$A397="",'实盘净值数据(iFinD）'!$B397=""),"",分期持仓明细!$AB$17*SUMPRODUCT(分期持仓明细!$B$17:$Y$17,'实盘净值数据(iFinD）'!$B397:$Y397/'实盘净值数据(iFinD）'!$B$20:$Y$20)*(1-实盘持仓初始配置!$Z$4)^(('实盘净值数据(iFinD）'!$A397-'实盘净值数据(iFinD）'!$A$6)/365))</f>
        <v/>
      </c>
      <c r="C397" s="16" t="str">
        <f t="shared" si="36"/>
        <v/>
      </c>
      <c r="D397" s="16" t="str">
        <f>IF(B397="","",B397/MAX(B$5:B397)-1)</f>
        <v/>
      </c>
      <c r="E397" s="13" t="str">
        <f>IF(OR('实盘净值数据(iFinD）'!$A397="",'实盘净值数据(iFinD）'!$B397=""),"",分期持仓明细!$AB$18*SUMPRODUCT(分期持仓明细!$B$18:$Y$18,'实盘净值数据(iFinD）'!$B397:$Y397/'实盘净值数据(iFinD）'!$B$20:$Y$20)*(1-实盘持仓初始配置!$Z$5)^(('实盘净值数据(iFinD）'!$A397-'实盘净值数据(iFinD）'!$A$5)/365))</f>
        <v/>
      </c>
      <c r="F397" s="16" t="str">
        <f t="shared" si="37"/>
        <v/>
      </c>
      <c r="G397" s="16" t="str">
        <f>IF(E397="","",E397/MAX(E$5:E397)-1)</f>
        <v/>
      </c>
      <c r="H397" s="13" t="str">
        <f>IF(OR('实盘净值数据(iFinD）'!$A397="",'实盘净值数据(iFinD）'!$B397=""),"",分期持仓明细!$AB$19*SUMPRODUCT(分期持仓明细!$B$19:$Y$19,'实盘净值数据(iFinD）'!$B397:$Y397/'实盘净值数据(iFinD）'!$B$20:$Y$20)*(1-实盘持仓初始配置!$Z$6)^(('实盘净值数据(iFinD）'!$A397-'实盘净值数据(iFinD）'!$A$7)/365))</f>
        <v/>
      </c>
      <c r="I397" s="16" t="str">
        <f t="shared" si="38"/>
        <v/>
      </c>
      <c r="J397" s="16" t="str">
        <f>IF(H397="","",H397/MAX(H$5:H397)-1)</f>
        <v/>
      </c>
      <c r="K397" s="13" t="str">
        <f>IF(OR('实盘净值数据(iFinD）'!$A397="",'实盘净值数据(iFinD）'!$B397="",'实盘净值数据(iFinD）'!$Z397="",'实盘净值数据(iFinD）'!$AA397=""),"",分期持仓明细!$AB$23*(SUMPRODUCT(分期持仓明细!$B$23:$Y$23,'实盘净值数据(iFinD）'!$B397:$Y397/'实盘净值数据(iFinD）'!$B$65:$Y$65)+SUMPRODUCT(分期持仓明细!$AC$23:$AD$23,'实盘净值数据(iFinD）'!$Z397:$AA397/'实盘净值数据(iFinD）'!$Z$65:$AA$65))*(1-实盘持仓初始配置!$Z$7)^(('实盘净值数据(iFinD）'!$A397-'实盘净值数据(iFinD）'!$A$8)/365))</f>
        <v/>
      </c>
      <c r="L397" s="16" t="str">
        <f t="shared" si="39"/>
        <v/>
      </c>
      <c r="M397" s="16" t="str">
        <f>IF(K397="","",K397/MAX(K$5:K397)-1)</f>
        <v/>
      </c>
      <c r="N397" s="13" t="str">
        <f>IF(OR('实盘净值数据(iFinD）'!$A397="",'实盘净值数据(iFinD）'!$B397="",'实盘净值数据(iFinD）'!$Z397="",'实盘净值数据(iFinD）'!$AA397=""),"",分期持仓明细!$AB$24*(SUMPRODUCT(分期持仓明细!$B$24:$Y$24,'实盘净值数据(iFinD）'!$B397:$Y397/'实盘净值数据(iFinD）'!$B$65:$Y$65)+SUMPRODUCT(分期持仓明细!$AC$24:$AD$24,'实盘净值数据(iFinD）'!$Z397:$AA397/'实盘净值数据(iFinD）'!$Z$65:$AA$65))*(1-实盘持仓初始配置!$Z$8)^(('实盘净值数据(iFinD）'!$A397-'实盘净值数据(iFinD）'!$A$5)/365))</f>
        <v/>
      </c>
      <c r="O397" s="16" t="str">
        <f t="shared" si="40"/>
        <v/>
      </c>
      <c r="P397" s="16" t="str">
        <f>IF(N397="","",N397/MAX(N$5:N397)-1)</f>
        <v/>
      </c>
      <c r="Q397" s="13" t="str">
        <f>IF(OR('实盘净值数据(iFinD）'!$A397="",'实盘净值数据(iFinD）'!$B397="",'实盘净值数据(iFinD）'!$Z397="",'实盘净值数据(iFinD）'!$AA397=""),"",分期持仓明细!$AB$25*(SUMPRODUCT(分期持仓明细!$B$25:$Y$25,'实盘净值数据(iFinD）'!$B397:$Y397/'实盘净值数据(iFinD）'!$B$65:$Y$65)+SUMPRODUCT(分期持仓明细!$AC$25:$AD$25,'实盘净值数据(iFinD）'!$Z397:$AA397/'实盘净值数据(iFinD）'!$Z$65:$AA$65))*(1-实盘持仓初始配置!$Z$9)^(('实盘净值数据(iFinD）'!$A397-'实盘净值数据(iFinD）'!$A$8)/365))</f>
        <v/>
      </c>
      <c r="R397" s="16" t="str">
        <f t="shared" si="41"/>
        <v/>
      </c>
      <c r="S397" s="16" t="str">
        <f>IF(Q397="","",Q397/MAX(Q$5:Q397)-1)</f>
        <v/>
      </c>
    </row>
    <row r="398" spans="1:19">
      <c r="A398" s="15" t="str">
        <f>IF('实盘净值数据(iFinD）'!A398="","",'实盘净值数据(iFinD）'!A398)</f>
        <v/>
      </c>
      <c r="B398" s="13" t="str">
        <f>IF(OR('实盘净值数据(iFinD）'!$A398="",'实盘净值数据(iFinD）'!$B398=""),"",分期持仓明细!$AB$17*SUMPRODUCT(分期持仓明细!$B$17:$Y$17,'实盘净值数据(iFinD）'!$B398:$Y398/'实盘净值数据(iFinD）'!$B$20:$Y$20)*(1-实盘持仓初始配置!$Z$4)^(('实盘净值数据(iFinD）'!$A398-'实盘净值数据(iFinD）'!$A$6)/365))</f>
        <v/>
      </c>
      <c r="C398" s="16" t="str">
        <f t="shared" si="36"/>
        <v/>
      </c>
      <c r="D398" s="16" t="str">
        <f>IF(B398="","",B398/MAX(B$5:B398)-1)</f>
        <v/>
      </c>
      <c r="E398" s="13" t="str">
        <f>IF(OR('实盘净值数据(iFinD）'!$A398="",'实盘净值数据(iFinD）'!$B398=""),"",分期持仓明细!$AB$18*SUMPRODUCT(分期持仓明细!$B$18:$Y$18,'实盘净值数据(iFinD）'!$B398:$Y398/'实盘净值数据(iFinD）'!$B$20:$Y$20)*(1-实盘持仓初始配置!$Z$5)^(('实盘净值数据(iFinD）'!$A398-'实盘净值数据(iFinD）'!$A$5)/365))</f>
        <v/>
      </c>
      <c r="F398" s="16" t="str">
        <f t="shared" si="37"/>
        <v/>
      </c>
      <c r="G398" s="16" t="str">
        <f>IF(E398="","",E398/MAX(E$5:E398)-1)</f>
        <v/>
      </c>
      <c r="H398" s="13" t="str">
        <f>IF(OR('实盘净值数据(iFinD）'!$A398="",'实盘净值数据(iFinD）'!$B398=""),"",分期持仓明细!$AB$19*SUMPRODUCT(分期持仓明细!$B$19:$Y$19,'实盘净值数据(iFinD）'!$B398:$Y398/'实盘净值数据(iFinD）'!$B$20:$Y$20)*(1-实盘持仓初始配置!$Z$6)^(('实盘净值数据(iFinD）'!$A398-'实盘净值数据(iFinD）'!$A$7)/365))</f>
        <v/>
      </c>
      <c r="I398" s="16" t="str">
        <f t="shared" si="38"/>
        <v/>
      </c>
      <c r="J398" s="16" t="str">
        <f>IF(H398="","",H398/MAX(H$5:H398)-1)</f>
        <v/>
      </c>
      <c r="K398" s="13" t="str">
        <f>IF(OR('实盘净值数据(iFinD）'!$A398="",'实盘净值数据(iFinD）'!$B398="",'实盘净值数据(iFinD）'!$Z398="",'实盘净值数据(iFinD）'!$AA398=""),"",分期持仓明细!$AB$23*(SUMPRODUCT(分期持仓明细!$B$23:$Y$23,'实盘净值数据(iFinD）'!$B398:$Y398/'实盘净值数据(iFinD）'!$B$65:$Y$65)+SUMPRODUCT(分期持仓明细!$AC$23:$AD$23,'实盘净值数据(iFinD）'!$Z398:$AA398/'实盘净值数据(iFinD）'!$Z$65:$AA$65))*(1-实盘持仓初始配置!$Z$7)^(('实盘净值数据(iFinD）'!$A398-'实盘净值数据(iFinD）'!$A$8)/365))</f>
        <v/>
      </c>
      <c r="L398" s="16" t="str">
        <f t="shared" si="39"/>
        <v/>
      </c>
      <c r="M398" s="16" t="str">
        <f>IF(K398="","",K398/MAX(K$5:K398)-1)</f>
        <v/>
      </c>
      <c r="N398" s="13" t="str">
        <f>IF(OR('实盘净值数据(iFinD）'!$A398="",'实盘净值数据(iFinD）'!$B398="",'实盘净值数据(iFinD）'!$Z398="",'实盘净值数据(iFinD）'!$AA398=""),"",分期持仓明细!$AB$24*(SUMPRODUCT(分期持仓明细!$B$24:$Y$24,'实盘净值数据(iFinD）'!$B398:$Y398/'实盘净值数据(iFinD）'!$B$65:$Y$65)+SUMPRODUCT(分期持仓明细!$AC$24:$AD$24,'实盘净值数据(iFinD）'!$Z398:$AA398/'实盘净值数据(iFinD）'!$Z$65:$AA$65))*(1-实盘持仓初始配置!$Z$8)^(('实盘净值数据(iFinD）'!$A398-'实盘净值数据(iFinD）'!$A$5)/365))</f>
        <v/>
      </c>
      <c r="O398" s="16" t="str">
        <f t="shared" si="40"/>
        <v/>
      </c>
      <c r="P398" s="16" t="str">
        <f>IF(N398="","",N398/MAX(N$5:N398)-1)</f>
        <v/>
      </c>
      <c r="Q398" s="13" t="str">
        <f>IF(OR('实盘净值数据(iFinD）'!$A398="",'实盘净值数据(iFinD）'!$B398="",'实盘净值数据(iFinD）'!$Z398="",'实盘净值数据(iFinD）'!$AA398=""),"",分期持仓明细!$AB$25*(SUMPRODUCT(分期持仓明细!$B$25:$Y$25,'实盘净值数据(iFinD）'!$B398:$Y398/'实盘净值数据(iFinD）'!$B$65:$Y$65)+SUMPRODUCT(分期持仓明细!$AC$25:$AD$25,'实盘净值数据(iFinD）'!$Z398:$AA398/'实盘净值数据(iFinD）'!$Z$65:$AA$65))*(1-实盘持仓初始配置!$Z$9)^(('实盘净值数据(iFinD）'!$A398-'实盘净值数据(iFinD）'!$A$8)/365))</f>
        <v/>
      </c>
      <c r="R398" s="16" t="str">
        <f t="shared" si="41"/>
        <v/>
      </c>
      <c r="S398" s="16" t="str">
        <f>IF(Q398="","",Q398/MAX(Q$5:Q398)-1)</f>
        <v/>
      </c>
    </row>
    <row r="399" spans="1:19">
      <c r="A399" s="15" t="str">
        <f>IF('实盘净值数据(iFinD）'!A399="","",'实盘净值数据(iFinD）'!A399)</f>
        <v/>
      </c>
      <c r="B399" s="13" t="str">
        <f>IF(OR('实盘净值数据(iFinD）'!$A399="",'实盘净值数据(iFinD）'!$B399=""),"",分期持仓明细!$AB$17*SUMPRODUCT(分期持仓明细!$B$17:$Y$17,'实盘净值数据(iFinD）'!$B399:$Y399/'实盘净值数据(iFinD）'!$B$20:$Y$20)*(1-实盘持仓初始配置!$Z$4)^(('实盘净值数据(iFinD）'!$A399-'实盘净值数据(iFinD）'!$A$6)/365))</f>
        <v/>
      </c>
      <c r="C399" s="16" t="str">
        <f t="shared" si="36"/>
        <v/>
      </c>
      <c r="D399" s="16" t="str">
        <f>IF(B399="","",B399/MAX(B$5:B399)-1)</f>
        <v/>
      </c>
      <c r="E399" s="13" t="str">
        <f>IF(OR('实盘净值数据(iFinD）'!$A399="",'实盘净值数据(iFinD）'!$B399=""),"",分期持仓明细!$AB$18*SUMPRODUCT(分期持仓明细!$B$18:$Y$18,'实盘净值数据(iFinD）'!$B399:$Y399/'实盘净值数据(iFinD）'!$B$20:$Y$20)*(1-实盘持仓初始配置!$Z$5)^(('实盘净值数据(iFinD）'!$A399-'实盘净值数据(iFinD）'!$A$5)/365))</f>
        <v/>
      </c>
      <c r="F399" s="16" t="str">
        <f t="shared" si="37"/>
        <v/>
      </c>
      <c r="G399" s="16" t="str">
        <f>IF(E399="","",E399/MAX(E$5:E399)-1)</f>
        <v/>
      </c>
      <c r="H399" s="13" t="str">
        <f>IF(OR('实盘净值数据(iFinD）'!$A399="",'实盘净值数据(iFinD）'!$B399=""),"",分期持仓明细!$AB$19*SUMPRODUCT(分期持仓明细!$B$19:$Y$19,'实盘净值数据(iFinD）'!$B399:$Y399/'实盘净值数据(iFinD）'!$B$20:$Y$20)*(1-实盘持仓初始配置!$Z$6)^(('实盘净值数据(iFinD）'!$A399-'实盘净值数据(iFinD）'!$A$7)/365))</f>
        <v/>
      </c>
      <c r="I399" s="16" t="str">
        <f t="shared" si="38"/>
        <v/>
      </c>
      <c r="J399" s="16" t="str">
        <f>IF(H399="","",H399/MAX(H$5:H399)-1)</f>
        <v/>
      </c>
      <c r="K399" s="13" t="str">
        <f>IF(OR('实盘净值数据(iFinD）'!$A399="",'实盘净值数据(iFinD）'!$B399="",'实盘净值数据(iFinD）'!$Z399="",'实盘净值数据(iFinD）'!$AA399=""),"",分期持仓明细!$AB$23*(SUMPRODUCT(分期持仓明细!$B$23:$Y$23,'实盘净值数据(iFinD）'!$B399:$Y399/'实盘净值数据(iFinD）'!$B$65:$Y$65)+SUMPRODUCT(分期持仓明细!$AC$23:$AD$23,'实盘净值数据(iFinD）'!$Z399:$AA399/'实盘净值数据(iFinD）'!$Z$65:$AA$65))*(1-实盘持仓初始配置!$Z$7)^(('实盘净值数据(iFinD）'!$A399-'实盘净值数据(iFinD）'!$A$8)/365))</f>
        <v/>
      </c>
      <c r="L399" s="16" t="str">
        <f t="shared" si="39"/>
        <v/>
      </c>
      <c r="M399" s="16" t="str">
        <f>IF(K399="","",K399/MAX(K$5:K399)-1)</f>
        <v/>
      </c>
      <c r="N399" s="13" t="str">
        <f>IF(OR('实盘净值数据(iFinD）'!$A399="",'实盘净值数据(iFinD）'!$B399="",'实盘净值数据(iFinD）'!$Z399="",'实盘净值数据(iFinD）'!$AA399=""),"",分期持仓明细!$AB$24*(SUMPRODUCT(分期持仓明细!$B$24:$Y$24,'实盘净值数据(iFinD）'!$B399:$Y399/'实盘净值数据(iFinD）'!$B$65:$Y$65)+SUMPRODUCT(分期持仓明细!$AC$24:$AD$24,'实盘净值数据(iFinD）'!$Z399:$AA399/'实盘净值数据(iFinD）'!$Z$65:$AA$65))*(1-实盘持仓初始配置!$Z$8)^(('实盘净值数据(iFinD）'!$A399-'实盘净值数据(iFinD）'!$A$5)/365))</f>
        <v/>
      </c>
      <c r="O399" s="16" t="str">
        <f t="shared" si="40"/>
        <v/>
      </c>
      <c r="P399" s="16" t="str">
        <f>IF(N399="","",N399/MAX(N$5:N399)-1)</f>
        <v/>
      </c>
      <c r="Q399" s="13" t="str">
        <f>IF(OR('实盘净值数据(iFinD）'!$A399="",'实盘净值数据(iFinD）'!$B399="",'实盘净值数据(iFinD）'!$Z399="",'实盘净值数据(iFinD）'!$AA399=""),"",分期持仓明细!$AB$25*(SUMPRODUCT(分期持仓明细!$B$25:$Y$25,'实盘净值数据(iFinD）'!$B399:$Y399/'实盘净值数据(iFinD）'!$B$65:$Y$65)+SUMPRODUCT(分期持仓明细!$AC$25:$AD$25,'实盘净值数据(iFinD）'!$Z399:$AA399/'实盘净值数据(iFinD）'!$Z$65:$AA$65))*(1-实盘持仓初始配置!$Z$9)^(('实盘净值数据(iFinD）'!$A399-'实盘净值数据(iFinD）'!$A$8)/365))</f>
        <v/>
      </c>
      <c r="R399" s="16" t="str">
        <f t="shared" si="41"/>
        <v/>
      </c>
      <c r="S399" s="16" t="str">
        <f>IF(Q399="","",Q399/MAX(Q$5:Q399)-1)</f>
        <v/>
      </c>
    </row>
    <row r="400" spans="1:19">
      <c r="A400" s="15" t="str">
        <f>IF('实盘净值数据(iFinD）'!A400="","",'实盘净值数据(iFinD）'!A400)</f>
        <v/>
      </c>
      <c r="B400" s="13" t="str">
        <f>IF(OR('实盘净值数据(iFinD）'!$A400="",'实盘净值数据(iFinD）'!$B400=""),"",分期持仓明细!$AB$17*SUMPRODUCT(分期持仓明细!$B$17:$Y$17,'实盘净值数据(iFinD）'!$B400:$Y400/'实盘净值数据(iFinD）'!$B$20:$Y$20)*(1-实盘持仓初始配置!$Z$4)^(('实盘净值数据(iFinD）'!$A400-'实盘净值数据(iFinD）'!$A$6)/365))</f>
        <v/>
      </c>
      <c r="C400" s="16" t="str">
        <f t="shared" si="36"/>
        <v/>
      </c>
      <c r="D400" s="16" t="str">
        <f>IF(B400="","",B400/MAX(B$5:B400)-1)</f>
        <v/>
      </c>
      <c r="E400" s="13" t="str">
        <f>IF(OR('实盘净值数据(iFinD）'!$A400="",'实盘净值数据(iFinD）'!$B400=""),"",分期持仓明细!$AB$18*SUMPRODUCT(分期持仓明细!$B$18:$Y$18,'实盘净值数据(iFinD）'!$B400:$Y400/'实盘净值数据(iFinD）'!$B$20:$Y$20)*(1-实盘持仓初始配置!$Z$5)^(('实盘净值数据(iFinD）'!$A400-'实盘净值数据(iFinD）'!$A$5)/365))</f>
        <v/>
      </c>
      <c r="F400" s="16" t="str">
        <f t="shared" si="37"/>
        <v/>
      </c>
      <c r="G400" s="16" t="str">
        <f>IF(E400="","",E400/MAX(E$5:E400)-1)</f>
        <v/>
      </c>
      <c r="H400" s="13" t="str">
        <f>IF(OR('实盘净值数据(iFinD）'!$A400="",'实盘净值数据(iFinD）'!$B400=""),"",分期持仓明细!$AB$19*SUMPRODUCT(分期持仓明细!$B$19:$Y$19,'实盘净值数据(iFinD）'!$B400:$Y400/'实盘净值数据(iFinD）'!$B$20:$Y$20)*(1-实盘持仓初始配置!$Z$6)^(('实盘净值数据(iFinD）'!$A400-'实盘净值数据(iFinD）'!$A$7)/365))</f>
        <v/>
      </c>
      <c r="I400" s="16" t="str">
        <f t="shared" si="38"/>
        <v/>
      </c>
      <c r="J400" s="16" t="str">
        <f>IF(H400="","",H400/MAX(H$5:H400)-1)</f>
        <v/>
      </c>
      <c r="K400" s="13" t="str">
        <f>IF(OR('实盘净值数据(iFinD）'!$A400="",'实盘净值数据(iFinD）'!$B400="",'实盘净值数据(iFinD）'!$Z400="",'实盘净值数据(iFinD）'!$AA400=""),"",分期持仓明细!$AB$23*(SUMPRODUCT(分期持仓明细!$B$23:$Y$23,'实盘净值数据(iFinD）'!$B400:$Y400/'实盘净值数据(iFinD）'!$B$65:$Y$65)+SUMPRODUCT(分期持仓明细!$AC$23:$AD$23,'实盘净值数据(iFinD）'!$Z400:$AA400/'实盘净值数据(iFinD）'!$Z$65:$AA$65))*(1-实盘持仓初始配置!$Z$7)^(('实盘净值数据(iFinD）'!$A400-'实盘净值数据(iFinD）'!$A$8)/365))</f>
        <v/>
      </c>
      <c r="L400" s="16" t="str">
        <f t="shared" si="39"/>
        <v/>
      </c>
      <c r="M400" s="16" t="str">
        <f>IF(K400="","",K400/MAX(K$5:K400)-1)</f>
        <v/>
      </c>
      <c r="N400" s="13" t="str">
        <f>IF(OR('实盘净值数据(iFinD）'!$A400="",'实盘净值数据(iFinD）'!$B400="",'实盘净值数据(iFinD）'!$Z400="",'实盘净值数据(iFinD）'!$AA400=""),"",分期持仓明细!$AB$24*(SUMPRODUCT(分期持仓明细!$B$24:$Y$24,'实盘净值数据(iFinD）'!$B400:$Y400/'实盘净值数据(iFinD）'!$B$65:$Y$65)+SUMPRODUCT(分期持仓明细!$AC$24:$AD$24,'实盘净值数据(iFinD）'!$Z400:$AA400/'实盘净值数据(iFinD）'!$Z$65:$AA$65))*(1-实盘持仓初始配置!$Z$8)^(('实盘净值数据(iFinD）'!$A400-'实盘净值数据(iFinD）'!$A$5)/365))</f>
        <v/>
      </c>
      <c r="O400" s="16" t="str">
        <f t="shared" si="40"/>
        <v/>
      </c>
      <c r="P400" s="16" t="str">
        <f>IF(N400="","",N400/MAX(N$5:N400)-1)</f>
        <v/>
      </c>
      <c r="Q400" s="13" t="str">
        <f>IF(OR('实盘净值数据(iFinD）'!$A400="",'实盘净值数据(iFinD）'!$B400="",'实盘净值数据(iFinD）'!$Z400="",'实盘净值数据(iFinD）'!$AA400=""),"",分期持仓明细!$AB$25*(SUMPRODUCT(分期持仓明细!$B$25:$Y$25,'实盘净值数据(iFinD）'!$B400:$Y400/'实盘净值数据(iFinD）'!$B$65:$Y$65)+SUMPRODUCT(分期持仓明细!$AC$25:$AD$25,'实盘净值数据(iFinD）'!$Z400:$AA400/'实盘净值数据(iFinD）'!$Z$65:$AA$65))*(1-实盘持仓初始配置!$Z$9)^(('实盘净值数据(iFinD）'!$A400-'实盘净值数据(iFinD）'!$A$8)/365))</f>
        <v/>
      </c>
      <c r="R400" s="16" t="str">
        <f t="shared" si="41"/>
        <v/>
      </c>
      <c r="S400" s="16" t="str">
        <f>IF(Q400="","",Q400/MAX(Q$5:Q400)-1)</f>
        <v/>
      </c>
    </row>
    <row r="401" spans="1:19">
      <c r="A401" s="15" t="str">
        <f>IF('实盘净值数据(iFinD）'!A401="","",'实盘净值数据(iFinD）'!A401)</f>
        <v/>
      </c>
      <c r="B401" s="13" t="str">
        <f>IF(OR('实盘净值数据(iFinD）'!$A401="",'实盘净值数据(iFinD）'!$B401=""),"",分期持仓明细!$AB$17*SUMPRODUCT(分期持仓明细!$B$17:$Y$17,'实盘净值数据(iFinD）'!$B401:$Y401/'实盘净值数据(iFinD）'!$B$20:$Y$20)*(1-实盘持仓初始配置!$Z$4)^(('实盘净值数据(iFinD）'!$A401-'实盘净值数据(iFinD）'!$A$6)/365))</f>
        <v/>
      </c>
      <c r="C401" s="16" t="str">
        <f t="shared" si="36"/>
        <v/>
      </c>
      <c r="D401" s="16" t="str">
        <f>IF(B401="","",B401/MAX(B$5:B401)-1)</f>
        <v/>
      </c>
      <c r="E401" s="13" t="str">
        <f>IF(OR('实盘净值数据(iFinD）'!$A401="",'实盘净值数据(iFinD）'!$B401=""),"",分期持仓明细!$AB$18*SUMPRODUCT(分期持仓明细!$B$18:$Y$18,'实盘净值数据(iFinD）'!$B401:$Y401/'实盘净值数据(iFinD）'!$B$20:$Y$20)*(1-实盘持仓初始配置!$Z$5)^(('实盘净值数据(iFinD）'!$A401-'实盘净值数据(iFinD）'!$A$5)/365))</f>
        <v/>
      </c>
      <c r="F401" s="16" t="str">
        <f t="shared" si="37"/>
        <v/>
      </c>
      <c r="G401" s="16" t="str">
        <f>IF(E401="","",E401/MAX(E$5:E401)-1)</f>
        <v/>
      </c>
      <c r="H401" s="13" t="str">
        <f>IF(OR('实盘净值数据(iFinD）'!$A401="",'实盘净值数据(iFinD）'!$B401=""),"",分期持仓明细!$AB$19*SUMPRODUCT(分期持仓明细!$B$19:$Y$19,'实盘净值数据(iFinD）'!$B401:$Y401/'实盘净值数据(iFinD）'!$B$20:$Y$20)*(1-实盘持仓初始配置!$Z$6)^(('实盘净值数据(iFinD）'!$A401-'实盘净值数据(iFinD）'!$A$7)/365))</f>
        <v/>
      </c>
      <c r="I401" s="16" t="str">
        <f t="shared" si="38"/>
        <v/>
      </c>
      <c r="J401" s="16" t="str">
        <f>IF(H401="","",H401/MAX(H$5:H401)-1)</f>
        <v/>
      </c>
      <c r="K401" s="13" t="str">
        <f>IF(OR('实盘净值数据(iFinD）'!$A401="",'实盘净值数据(iFinD）'!$B401="",'实盘净值数据(iFinD）'!$Z401="",'实盘净值数据(iFinD）'!$AA401=""),"",分期持仓明细!$AB$23*(SUMPRODUCT(分期持仓明细!$B$23:$Y$23,'实盘净值数据(iFinD）'!$B401:$Y401/'实盘净值数据(iFinD）'!$B$65:$Y$65)+SUMPRODUCT(分期持仓明细!$AC$23:$AD$23,'实盘净值数据(iFinD）'!$Z401:$AA401/'实盘净值数据(iFinD）'!$Z$65:$AA$65))*(1-实盘持仓初始配置!$Z$7)^(('实盘净值数据(iFinD）'!$A401-'实盘净值数据(iFinD）'!$A$8)/365))</f>
        <v/>
      </c>
      <c r="L401" s="16" t="str">
        <f t="shared" si="39"/>
        <v/>
      </c>
      <c r="M401" s="16" t="str">
        <f>IF(K401="","",K401/MAX(K$5:K401)-1)</f>
        <v/>
      </c>
      <c r="N401" s="13" t="str">
        <f>IF(OR('实盘净值数据(iFinD）'!$A401="",'实盘净值数据(iFinD）'!$B401="",'实盘净值数据(iFinD）'!$Z401="",'实盘净值数据(iFinD）'!$AA401=""),"",分期持仓明细!$AB$24*(SUMPRODUCT(分期持仓明细!$B$24:$Y$24,'实盘净值数据(iFinD）'!$B401:$Y401/'实盘净值数据(iFinD）'!$B$65:$Y$65)+SUMPRODUCT(分期持仓明细!$AC$24:$AD$24,'实盘净值数据(iFinD）'!$Z401:$AA401/'实盘净值数据(iFinD）'!$Z$65:$AA$65))*(1-实盘持仓初始配置!$Z$8)^(('实盘净值数据(iFinD）'!$A401-'实盘净值数据(iFinD）'!$A$5)/365))</f>
        <v/>
      </c>
      <c r="O401" s="16" t="str">
        <f t="shared" si="40"/>
        <v/>
      </c>
      <c r="P401" s="16" t="str">
        <f>IF(N401="","",N401/MAX(N$5:N401)-1)</f>
        <v/>
      </c>
      <c r="Q401" s="13" t="str">
        <f>IF(OR('实盘净值数据(iFinD）'!$A401="",'实盘净值数据(iFinD）'!$B401="",'实盘净值数据(iFinD）'!$Z401="",'实盘净值数据(iFinD）'!$AA401=""),"",分期持仓明细!$AB$25*(SUMPRODUCT(分期持仓明细!$B$25:$Y$25,'实盘净值数据(iFinD）'!$B401:$Y401/'实盘净值数据(iFinD）'!$B$65:$Y$65)+SUMPRODUCT(分期持仓明细!$AC$25:$AD$25,'实盘净值数据(iFinD）'!$Z401:$AA401/'实盘净值数据(iFinD）'!$Z$65:$AA$65))*(1-实盘持仓初始配置!$Z$9)^(('实盘净值数据(iFinD）'!$A401-'实盘净值数据(iFinD）'!$A$8)/365))</f>
        <v/>
      </c>
      <c r="R401" s="16" t="str">
        <f t="shared" si="41"/>
        <v/>
      </c>
      <c r="S401" s="16" t="str">
        <f>IF(Q401="","",Q401/MAX(Q$5:Q401)-1)</f>
        <v/>
      </c>
    </row>
    <row r="402" spans="1:19">
      <c r="A402" s="15" t="str">
        <f>IF('实盘净值数据(iFinD）'!A402="","",'实盘净值数据(iFinD）'!A402)</f>
        <v/>
      </c>
      <c r="B402" s="13" t="str">
        <f>IF(OR('实盘净值数据(iFinD）'!$A402="",'实盘净值数据(iFinD）'!$B402=""),"",分期持仓明细!$AB$17*SUMPRODUCT(分期持仓明细!$B$17:$Y$17,'实盘净值数据(iFinD）'!$B402:$Y402/'实盘净值数据(iFinD）'!$B$20:$Y$20)*(1-实盘持仓初始配置!$Z$4)^(('实盘净值数据(iFinD）'!$A402-'实盘净值数据(iFinD）'!$A$6)/365))</f>
        <v/>
      </c>
      <c r="C402" s="16" t="str">
        <f t="shared" si="36"/>
        <v/>
      </c>
      <c r="D402" s="16" t="str">
        <f>IF(B402="","",B402/MAX(B$5:B402)-1)</f>
        <v/>
      </c>
      <c r="E402" s="13" t="str">
        <f>IF(OR('实盘净值数据(iFinD）'!$A402="",'实盘净值数据(iFinD）'!$B402=""),"",分期持仓明细!$AB$18*SUMPRODUCT(分期持仓明细!$B$18:$Y$18,'实盘净值数据(iFinD）'!$B402:$Y402/'实盘净值数据(iFinD）'!$B$20:$Y$20)*(1-实盘持仓初始配置!$Z$5)^(('实盘净值数据(iFinD）'!$A402-'实盘净值数据(iFinD）'!$A$5)/365))</f>
        <v/>
      </c>
      <c r="F402" s="16" t="str">
        <f t="shared" si="37"/>
        <v/>
      </c>
      <c r="G402" s="16" t="str">
        <f>IF(E402="","",E402/MAX(E$5:E402)-1)</f>
        <v/>
      </c>
      <c r="H402" s="13" t="str">
        <f>IF(OR('实盘净值数据(iFinD）'!$A402="",'实盘净值数据(iFinD）'!$B402=""),"",分期持仓明细!$AB$19*SUMPRODUCT(分期持仓明细!$B$19:$Y$19,'实盘净值数据(iFinD）'!$B402:$Y402/'实盘净值数据(iFinD）'!$B$20:$Y$20)*(1-实盘持仓初始配置!$Z$6)^(('实盘净值数据(iFinD）'!$A402-'实盘净值数据(iFinD）'!$A$7)/365))</f>
        <v/>
      </c>
      <c r="I402" s="16" t="str">
        <f t="shared" si="38"/>
        <v/>
      </c>
      <c r="J402" s="16" t="str">
        <f>IF(H402="","",H402/MAX(H$5:H402)-1)</f>
        <v/>
      </c>
      <c r="K402" s="13" t="str">
        <f>IF(OR('实盘净值数据(iFinD）'!$A402="",'实盘净值数据(iFinD）'!$B402="",'实盘净值数据(iFinD）'!$Z402="",'实盘净值数据(iFinD）'!$AA402=""),"",分期持仓明细!$AB$23*(SUMPRODUCT(分期持仓明细!$B$23:$Y$23,'实盘净值数据(iFinD）'!$B402:$Y402/'实盘净值数据(iFinD）'!$B$65:$Y$65)+SUMPRODUCT(分期持仓明细!$AC$23:$AD$23,'实盘净值数据(iFinD）'!$Z402:$AA402/'实盘净值数据(iFinD）'!$Z$65:$AA$65))*(1-实盘持仓初始配置!$Z$7)^(('实盘净值数据(iFinD）'!$A402-'实盘净值数据(iFinD）'!$A$8)/365))</f>
        <v/>
      </c>
      <c r="L402" s="16" t="str">
        <f t="shared" si="39"/>
        <v/>
      </c>
      <c r="M402" s="16" t="str">
        <f>IF(K402="","",K402/MAX(K$5:K402)-1)</f>
        <v/>
      </c>
      <c r="N402" s="13" t="str">
        <f>IF(OR('实盘净值数据(iFinD）'!$A402="",'实盘净值数据(iFinD）'!$B402="",'实盘净值数据(iFinD）'!$Z402="",'实盘净值数据(iFinD）'!$AA402=""),"",分期持仓明细!$AB$24*(SUMPRODUCT(分期持仓明细!$B$24:$Y$24,'实盘净值数据(iFinD）'!$B402:$Y402/'实盘净值数据(iFinD）'!$B$65:$Y$65)+SUMPRODUCT(分期持仓明细!$AC$24:$AD$24,'实盘净值数据(iFinD）'!$Z402:$AA402/'实盘净值数据(iFinD）'!$Z$65:$AA$65))*(1-实盘持仓初始配置!$Z$8)^(('实盘净值数据(iFinD）'!$A402-'实盘净值数据(iFinD）'!$A$5)/365))</f>
        <v/>
      </c>
      <c r="O402" s="16" t="str">
        <f t="shared" si="40"/>
        <v/>
      </c>
      <c r="P402" s="16" t="str">
        <f>IF(N402="","",N402/MAX(N$5:N402)-1)</f>
        <v/>
      </c>
      <c r="Q402" s="13" t="str">
        <f>IF(OR('实盘净值数据(iFinD）'!$A402="",'实盘净值数据(iFinD）'!$B402="",'实盘净值数据(iFinD）'!$Z402="",'实盘净值数据(iFinD）'!$AA402=""),"",分期持仓明细!$AB$25*(SUMPRODUCT(分期持仓明细!$B$25:$Y$25,'实盘净值数据(iFinD）'!$B402:$Y402/'实盘净值数据(iFinD）'!$B$65:$Y$65)+SUMPRODUCT(分期持仓明细!$AC$25:$AD$25,'实盘净值数据(iFinD）'!$Z402:$AA402/'实盘净值数据(iFinD）'!$Z$65:$AA$65))*(1-实盘持仓初始配置!$Z$9)^(('实盘净值数据(iFinD）'!$A402-'实盘净值数据(iFinD）'!$A$8)/365))</f>
        <v/>
      </c>
      <c r="R402" s="16" t="str">
        <f t="shared" si="41"/>
        <v/>
      </c>
      <c r="S402" s="16" t="str">
        <f>IF(Q402="","",Q402/MAX(Q$5:Q402)-1)</f>
        <v/>
      </c>
    </row>
    <row r="403" spans="1:19">
      <c r="A403" s="15" t="str">
        <f>IF('实盘净值数据(iFinD）'!A403="","",'实盘净值数据(iFinD）'!A403)</f>
        <v/>
      </c>
      <c r="B403" s="13" t="str">
        <f>IF(OR('实盘净值数据(iFinD）'!$A403="",'实盘净值数据(iFinD）'!$B403=""),"",分期持仓明细!$AB$17*SUMPRODUCT(分期持仓明细!$B$17:$Y$17,'实盘净值数据(iFinD）'!$B403:$Y403/'实盘净值数据(iFinD）'!$B$20:$Y$20)*(1-实盘持仓初始配置!$Z$4)^(('实盘净值数据(iFinD）'!$A403-'实盘净值数据(iFinD）'!$A$6)/365))</f>
        <v/>
      </c>
      <c r="C403" s="16" t="str">
        <f t="shared" si="36"/>
        <v/>
      </c>
      <c r="D403" s="16" t="str">
        <f>IF(B403="","",B403/MAX(B$5:B403)-1)</f>
        <v/>
      </c>
      <c r="E403" s="13" t="str">
        <f>IF(OR('实盘净值数据(iFinD）'!$A403="",'实盘净值数据(iFinD）'!$B403=""),"",分期持仓明细!$AB$18*SUMPRODUCT(分期持仓明细!$B$18:$Y$18,'实盘净值数据(iFinD）'!$B403:$Y403/'实盘净值数据(iFinD）'!$B$20:$Y$20)*(1-实盘持仓初始配置!$Z$5)^(('实盘净值数据(iFinD）'!$A403-'实盘净值数据(iFinD）'!$A$5)/365))</f>
        <v/>
      </c>
      <c r="F403" s="16" t="str">
        <f t="shared" si="37"/>
        <v/>
      </c>
      <c r="G403" s="16" t="str">
        <f>IF(E403="","",E403/MAX(E$5:E403)-1)</f>
        <v/>
      </c>
      <c r="H403" s="13" t="str">
        <f>IF(OR('实盘净值数据(iFinD）'!$A403="",'实盘净值数据(iFinD）'!$B403=""),"",分期持仓明细!$AB$19*SUMPRODUCT(分期持仓明细!$B$19:$Y$19,'实盘净值数据(iFinD）'!$B403:$Y403/'实盘净值数据(iFinD）'!$B$20:$Y$20)*(1-实盘持仓初始配置!$Z$6)^(('实盘净值数据(iFinD）'!$A403-'实盘净值数据(iFinD）'!$A$7)/365))</f>
        <v/>
      </c>
      <c r="I403" s="16" t="str">
        <f t="shared" si="38"/>
        <v/>
      </c>
      <c r="J403" s="16" t="str">
        <f>IF(H403="","",H403/MAX(H$5:H403)-1)</f>
        <v/>
      </c>
      <c r="K403" s="13" t="str">
        <f>IF(OR('实盘净值数据(iFinD）'!$A403="",'实盘净值数据(iFinD）'!$B403="",'实盘净值数据(iFinD）'!$Z403="",'实盘净值数据(iFinD）'!$AA403=""),"",分期持仓明细!$AB$23*(SUMPRODUCT(分期持仓明细!$B$23:$Y$23,'实盘净值数据(iFinD）'!$B403:$Y403/'实盘净值数据(iFinD）'!$B$65:$Y$65)+SUMPRODUCT(分期持仓明细!$AC$23:$AD$23,'实盘净值数据(iFinD）'!$Z403:$AA403/'实盘净值数据(iFinD）'!$Z$65:$AA$65))*(1-实盘持仓初始配置!$Z$7)^(('实盘净值数据(iFinD）'!$A403-'实盘净值数据(iFinD）'!$A$8)/365))</f>
        <v/>
      </c>
      <c r="L403" s="16" t="str">
        <f t="shared" si="39"/>
        <v/>
      </c>
      <c r="M403" s="16" t="str">
        <f>IF(K403="","",K403/MAX(K$5:K403)-1)</f>
        <v/>
      </c>
      <c r="N403" s="13" t="str">
        <f>IF(OR('实盘净值数据(iFinD）'!$A403="",'实盘净值数据(iFinD）'!$B403="",'实盘净值数据(iFinD）'!$Z403="",'实盘净值数据(iFinD）'!$AA403=""),"",分期持仓明细!$AB$24*(SUMPRODUCT(分期持仓明细!$B$24:$Y$24,'实盘净值数据(iFinD）'!$B403:$Y403/'实盘净值数据(iFinD）'!$B$65:$Y$65)+SUMPRODUCT(分期持仓明细!$AC$24:$AD$24,'实盘净值数据(iFinD）'!$Z403:$AA403/'实盘净值数据(iFinD）'!$Z$65:$AA$65))*(1-实盘持仓初始配置!$Z$8)^(('实盘净值数据(iFinD）'!$A403-'实盘净值数据(iFinD）'!$A$5)/365))</f>
        <v/>
      </c>
      <c r="O403" s="16" t="str">
        <f t="shared" si="40"/>
        <v/>
      </c>
      <c r="P403" s="16" t="str">
        <f>IF(N403="","",N403/MAX(N$5:N403)-1)</f>
        <v/>
      </c>
      <c r="Q403" s="13" t="str">
        <f>IF(OR('实盘净值数据(iFinD）'!$A403="",'实盘净值数据(iFinD）'!$B403="",'实盘净值数据(iFinD）'!$Z403="",'实盘净值数据(iFinD）'!$AA403=""),"",分期持仓明细!$AB$25*(SUMPRODUCT(分期持仓明细!$B$25:$Y$25,'实盘净值数据(iFinD）'!$B403:$Y403/'实盘净值数据(iFinD）'!$B$65:$Y$65)+SUMPRODUCT(分期持仓明细!$AC$25:$AD$25,'实盘净值数据(iFinD）'!$Z403:$AA403/'实盘净值数据(iFinD）'!$Z$65:$AA$65))*(1-实盘持仓初始配置!$Z$9)^(('实盘净值数据(iFinD）'!$A403-'实盘净值数据(iFinD）'!$A$8)/365))</f>
        <v/>
      </c>
      <c r="R403" s="16" t="str">
        <f t="shared" si="41"/>
        <v/>
      </c>
      <c r="S403" s="16" t="str">
        <f>IF(Q403="","",Q403/MAX(Q$5:Q403)-1)</f>
        <v/>
      </c>
    </row>
    <row r="404" spans="1:19">
      <c r="A404" s="15" t="str">
        <f>IF('实盘净值数据(iFinD）'!A404="","",'实盘净值数据(iFinD）'!A404)</f>
        <v/>
      </c>
      <c r="B404" s="13" t="str">
        <f>IF(OR('实盘净值数据(iFinD）'!$A404="",'实盘净值数据(iFinD）'!$B404=""),"",分期持仓明细!$AB$17*SUMPRODUCT(分期持仓明细!$B$17:$Y$17,'实盘净值数据(iFinD）'!$B404:$Y404/'实盘净值数据(iFinD）'!$B$20:$Y$20)*(1-实盘持仓初始配置!$Z$4)^(('实盘净值数据(iFinD）'!$A404-'实盘净值数据(iFinD）'!$A$6)/365))</f>
        <v/>
      </c>
      <c r="C404" s="16" t="str">
        <f t="shared" si="36"/>
        <v/>
      </c>
      <c r="D404" s="16" t="str">
        <f>IF(B404="","",B404/MAX(B$5:B404)-1)</f>
        <v/>
      </c>
      <c r="E404" s="13" t="str">
        <f>IF(OR('实盘净值数据(iFinD）'!$A404="",'实盘净值数据(iFinD）'!$B404=""),"",分期持仓明细!$AB$18*SUMPRODUCT(分期持仓明细!$B$18:$Y$18,'实盘净值数据(iFinD）'!$B404:$Y404/'实盘净值数据(iFinD）'!$B$20:$Y$20)*(1-实盘持仓初始配置!$Z$5)^(('实盘净值数据(iFinD）'!$A404-'实盘净值数据(iFinD）'!$A$5)/365))</f>
        <v/>
      </c>
      <c r="F404" s="16" t="str">
        <f t="shared" si="37"/>
        <v/>
      </c>
      <c r="G404" s="16" t="str">
        <f>IF(E404="","",E404/MAX(E$5:E404)-1)</f>
        <v/>
      </c>
      <c r="H404" s="13" t="str">
        <f>IF(OR('实盘净值数据(iFinD）'!$A404="",'实盘净值数据(iFinD）'!$B404=""),"",分期持仓明细!$AB$19*SUMPRODUCT(分期持仓明细!$B$19:$Y$19,'实盘净值数据(iFinD）'!$B404:$Y404/'实盘净值数据(iFinD）'!$B$20:$Y$20)*(1-实盘持仓初始配置!$Z$6)^(('实盘净值数据(iFinD）'!$A404-'实盘净值数据(iFinD）'!$A$7)/365))</f>
        <v/>
      </c>
      <c r="I404" s="16" t="str">
        <f t="shared" si="38"/>
        <v/>
      </c>
      <c r="J404" s="16" t="str">
        <f>IF(H404="","",H404/MAX(H$5:H404)-1)</f>
        <v/>
      </c>
      <c r="K404" s="13" t="str">
        <f>IF(OR('实盘净值数据(iFinD）'!$A404="",'实盘净值数据(iFinD）'!$B404="",'实盘净值数据(iFinD）'!$Z404="",'实盘净值数据(iFinD）'!$AA404=""),"",分期持仓明细!$AB$23*(SUMPRODUCT(分期持仓明细!$B$23:$Y$23,'实盘净值数据(iFinD）'!$B404:$Y404/'实盘净值数据(iFinD）'!$B$65:$Y$65)+SUMPRODUCT(分期持仓明细!$AC$23:$AD$23,'实盘净值数据(iFinD）'!$Z404:$AA404/'实盘净值数据(iFinD）'!$Z$65:$AA$65))*(1-实盘持仓初始配置!$Z$7)^(('实盘净值数据(iFinD）'!$A404-'实盘净值数据(iFinD）'!$A$8)/365))</f>
        <v/>
      </c>
      <c r="L404" s="16" t="str">
        <f t="shared" si="39"/>
        <v/>
      </c>
      <c r="M404" s="16" t="str">
        <f>IF(K404="","",K404/MAX(K$5:K404)-1)</f>
        <v/>
      </c>
      <c r="N404" s="13" t="str">
        <f>IF(OR('实盘净值数据(iFinD）'!$A404="",'实盘净值数据(iFinD）'!$B404="",'实盘净值数据(iFinD）'!$Z404="",'实盘净值数据(iFinD）'!$AA404=""),"",分期持仓明细!$AB$24*(SUMPRODUCT(分期持仓明细!$B$24:$Y$24,'实盘净值数据(iFinD）'!$B404:$Y404/'实盘净值数据(iFinD）'!$B$65:$Y$65)+SUMPRODUCT(分期持仓明细!$AC$24:$AD$24,'实盘净值数据(iFinD）'!$Z404:$AA404/'实盘净值数据(iFinD）'!$Z$65:$AA$65))*(1-实盘持仓初始配置!$Z$8)^(('实盘净值数据(iFinD）'!$A404-'实盘净值数据(iFinD）'!$A$5)/365))</f>
        <v/>
      </c>
      <c r="O404" s="16" t="str">
        <f t="shared" si="40"/>
        <v/>
      </c>
      <c r="P404" s="16" t="str">
        <f>IF(N404="","",N404/MAX(N$5:N404)-1)</f>
        <v/>
      </c>
      <c r="Q404" s="13" t="str">
        <f>IF(OR('实盘净值数据(iFinD）'!$A404="",'实盘净值数据(iFinD）'!$B404="",'实盘净值数据(iFinD）'!$Z404="",'实盘净值数据(iFinD）'!$AA404=""),"",分期持仓明细!$AB$25*(SUMPRODUCT(分期持仓明细!$B$25:$Y$25,'实盘净值数据(iFinD）'!$B404:$Y404/'实盘净值数据(iFinD）'!$B$65:$Y$65)+SUMPRODUCT(分期持仓明细!$AC$25:$AD$25,'实盘净值数据(iFinD）'!$Z404:$AA404/'实盘净值数据(iFinD）'!$Z$65:$AA$65))*(1-实盘持仓初始配置!$Z$9)^(('实盘净值数据(iFinD）'!$A404-'实盘净值数据(iFinD）'!$A$8)/365))</f>
        <v/>
      </c>
      <c r="R404" s="16" t="str">
        <f t="shared" si="41"/>
        <v/>
      </c>
      <c r="S404" s="16" t="str">
        <f>IF(Q404="","",Q404/MAX(Q$5:Q404)-1)</f>
        <v/>
      </c>
    </row>
    <row r="405" spans="1:19">
      <c r="A405" s="15" t="str">
        <f>IF('实盘净值数据(iFinD）'!A405="","",'实盘净值数据(iFinD）'!A405)</f>
        <v/>
      </c>
      <c r="B405" s="13" t="str">
        <f>IF(OR('实盘净值数据(iFinD）'!$A405="",'实盘净值数据(iFinD）'!$B405=""),"",分期持仓明细!$AB$17*SUMPRODUCT(分期持仓明细!$B$17:$Y$17,'实盘净值数据(iFinD）'!$B405:$Y405/'实盘净值数据(iFinD）'!$B$20:$Y$20)*(1-实盘持仓初始配置!$Z$4)^(('实盘净值数据(iFinD）'!$A405-'实盘净值数据(iFinD）'!$A$6)/365))</f>
        <v/>
      </c>
      <c r="C405" s="16" t="str">
        <f t="shared" si="36"/>
        <v/>
      </c>
      <c r="D405" s="16" t="str">
        <f>IF(B405="","",B405/MAX(B$5:B405)-1)</f>
        <v/>
      </c>
      <c r="E405" s="13" t="str">
        <f>IF(OR('实盘净值数据(iFinD）'!$A405="",'实盘净值数据(iFinD）'!$B405=""),"",分期持仓明细!$AB$18*SUMPRODUCT(分期持仓明细!$B$18:$Y$18,'实盘净值数据(iFinD）'!$B405:$Y405/'实盘净值数据(iFinD）'!$B$20:$Y$20)*(1-实盘持仓初始配置!$Z$5)^(('实盘净值数据(iFinD）'!$A405-'实盘净值数据(iFinD）'!$A$5)/365))</f>
        <v/>
      </c>
      <c r="F405" s="16" t="str">
        <f t="shared" si="37"/>
        <v/>
      </c>
      <c r="G405" s="16" t="str">
        <f>IF(E405="","",E405/MAX(E$5:E405)-1)</f>
        <v/>
      </c>
      <c r="H405" s="13" t="str">
        <f>IF(OR('实盘净值数据(iFinD）'!$A405="",'实盘净值数据(iFinD）'!$B405=""),"",分期持仓明细!$AB$19*SUMPRODUCT(分期持仓明细!$B$19:$Y$19,'实盘净值数据(iFinD）'!$B405:$Y405/'实盘净值数据(iFinD）'!$B$20:$Y$20)*(1-实盘持仓初始配置!$Z$6)^(('实盘净值数据(iFinD）'!$A405-'实盘净值数据(iFinD）'!$A$7)/365))</f>
        <v/>
      </c>
      <c r="I405" s="16" t="str">
        <f t="shared" si="38"/>
        <v/>
      </c>
      <c r="J405" s="16" t="str">
        <f>IF(H405="","",H405/MAX(H$5:H405)-1)</f>
        <v/>
      </c>
      <c r="K405" s="13" t="str">
        <f>IF(OR('实盘净值数据(iFinD）'!$A405="",'实盘净值数据(iFinD）'!$B405="",'实盘净值数据(iFinD）'!$Z405="",'实盘净值数据(iFinD）'!$AA405=""),"",分期持仓明细!$AB$23*(SUMPRODUCT(分期持仓明细!$B$23:$Y$23,'实盘净值数据(iFinD）'!$B405:$Y405/'实盘净值数据(iFinD）'!$B$65:$Y$65)+SUMPRODUCT(分期持仓明细!$AC$23:$AD$23,'实盘净值数据(iFinD）'!$Z405:$AA405/'实盘净值数据(iFinD）'!$Z$65:$AA$65))*(1-实盘持仓初始配置!$Z$7)^(('实盘净值数据(iFinD）'!$A405-'实盘净值数据(iFinD）'!$A$8)/365))</f>
        <v/>
      </c>
      <c r="L405" s="16" t="str">
        <f t="shared" si="39"/>
        <v/>
      </c>
      <c r="M405" s="16" t="str">
        <f>IF(K405="","",K405/MAX(K$5:K405)-1)</f>
        <v/>
      </c>
      <c r="N405" s="13" t="str">
        <f>IF(OR('实盘净值数据(iFinD）'!$A405="",'实盘净值数据(iFinD）'!$B405="",'实盘净值数据(iFinD）'!$Z405="",'实盘净值数据(iFinD）'!$AA405=""),"",分期持仓明细!$AB$24*(SUMPRODUCT(分期持仓明细!$B$24:$Y$24,'实盘净值数据(iFinD）'!$B405:$Y405/'实盘净值数据(iFinD）'!$B$65:$Y$65)+SUMPRODUCT(分期持仓明细!$AC$24:$AD$24,'实盘净值数据(iFinD）'!$Z405:$AA405/'实盘净值数据(iFinD）'!$Z$65:$AA$65))*(1-实盘持仓初始配置!$Z$8)^(('实盘净值数据(iFinD）'!$A405-'实盘净值数据(iFinD）'!$A$5)/365))</f>
        <v/>
      </c>
      <c r="O405" s="16" t="str">
        <f t="shared" si="40"/>
        <v/>
      </c>
      <c r="P405" s="16" t="str">
        <f>IF(N405="","",N405/MAX(N$5:N405)-1)</f>
        <v/>
      </c>
      <c r="Q405" s="13" t="str">
        <f>IF(OR('实盘净值数据(iFinD）'!$A405="",'实盘净值数据(iFinD）'!$B405="",'实盘净值数据(iFinD）'!$Z405="",'实盘净值数据(iFinD）'!$AA405=""),"",分期持仓明细!$AB$25*(SUMPRODUCT(分期持仓明细!$B$25:$Y$25,'实盘净值数据(iFinD）'!$B405:$Y405/'实盘净值数据(iFinD）'!$B$65:$Y$65)+SUMPRODUCT(分期持仓明细!$AC$25:$AD$25,'实盘净值数据(iFinD）'!$Z405:$AA405/'实盘净值数据(iFinD）'!$Z$65:$AA$65))*(1-实盘持仓初始配置!$Z$9)^(('实盘净值数据(iFinD）'!$A405-'实盘净值数据(iFinD）'!$A$8)/365))</f>
        <v/>
      </c>
      <c r="R405" s="16" t="str">
        <f t="shared" si="41"/>
        <v/>
      </c>
      <c r="S405" s="16" t="str">
        <f>IF(Q405="","",Q405/MAX(Q$5:Q405)-1)</f>
        <v/>
      </c>
    </row>
    <row r="406" spans="1:19">
      <c r="A406" s="15" t="str">
        <f>IF('实盘净值数据(iFinD）'!A406="","",'实盘净值数据(iFinD）'!A406)</f>
        <v/>
      </c>
      <c r="B406" s="13" t="str">
        <f>IF(OR('实盘净值数据(iFinD）'!$A406="",'实盘净值数据(iFinD）'!$B406=""),"",分期持仓明细!$AB$17*SUMPRODUCT(分期持仓明细!$B$17:$Y$17,'实盘净值数据(iFinD）'!$B406:$Y406/'实盘净值数据(iFinD）'!$B$20:$Y$20)*(1-实盘持仓初始配置!$Z$4)^(('实盘净值数据(iFinD）'!$A406-'实盘净值数据(iFinD）'!$A$6)/365))</f>
        <v/>
      </c>
      <c r="C406" s="16" t="str">
        <f t="shared" si="36"/>
        <v/>
      </c>
      <c r="D406" s="16" t="str">
        <f>IF(B406="","",B406/MAX(B$5:B406)-1)</f>
        <v/>
      </c>
      <c r="E406" s="13" t="str">
        <f>IF(OR('实盘净值数据(iFinD）'!$A406="",'实盘净值数据(iFinD）'!$B406=""),"",分期持仓明细!$AB$18*SUMPRODUCT(分期持仓明细!$B$18:$Y$18,'实盘净值数据(iFinD）'!$B406:$Y406/'实盘净值数据(iFinD）'!$B$20:$Y$20)*(1-实盘持仓初始配置!$Z$5)^(('实盘净值数据(iFinD）'!$A406-'实盘净值数据(iFinD）'!$A$5)/365))</f>
        <v/>
      </c>
      <c r="F406" s="16" t="str">
        <f t="shared" si="37"/>
        <v/>
      </c>
      <c r="G406" s="16" t="str">
        <f>IF(E406="","",E406/MAX(E$5:E406)-1)</f>
        <v/>
      </c>
      <c r="H406" s="13" t="str">
        <f>IF(OR('实盘净值数据(iFinD）'!$A406="",'实盘净值数据(iFinD）'!$B406=""),"",分期持仓明细!$AB$19*SUMPRODUCT(分期持仓明细!$B$19:$Y$19,'实盘净值数据(iFinD）'!$B406:$Y406/'实盘净值数据(iFinD）'!$B$20:$Y$20)*(1-实盘持仓初始配置!$Z$6)^(('实盘净值数据(iFinD）'!$A406-'实盘净值数据(iFinD）'!$A$7)/365))</f>
        <v/>
      </c>
      <c r="I406" s="16" t="str">
        <f t="shared" si="38"/>
        <v/>
      </c>
      <c r="J406" s="16" t="str">
        <f>IF(H406="","",H406/MAX(H$5:H406)-1)</f>
        <v/>
      </c>
      <c r="K406" s="13" t="str">
        <f>IF(OR('实盘净值数据(iFinD）'!$A406="",'实盘净值数据(iFinD）'!$B406="",'实盘净值数据(iFinD）'!$Z406="",'实盘净值数据(iFinD）'!$AA406=""),"",分期持仓明细!$AB$23*(SUMPRODUCT(分期持仓明细!$B$23:$Y$23,'实盘净值数据(iFinD）'!$B406:$Y406/'实盘净值数据(iFinD）'!$B$65:$Y$65)+SUMPRODUCT(分期持仓明细!$AC$23:$AD$23,'实盘净值数据(iFinD）'!$Z406:$AA406/'实盘净值数据(iFinD）'!$Z$65:$AA$65))*(1-实盘持仓初始配置!$Z$7)^(('实盘净值数据(iFinD）'!$A406-'实盘净值数据(iFinD）'!$A$8)/365))</f>
        <v/>
      </c>
      <c r="L406" s="16" t="str">
        <f t="shared" si="39"/>
        <v/>
      </c>
      <c r="M406" s="16" t="str">
        <f>IF(K406="","",K406/MAX(K$5:K406)-1)</f>
        <v/>
      </c>
      <c r="N406" s="13" t="str">
        <f>IF(OR('实盘净值数据(iFinD）'!$A406="",'实盘净值数据(iFinD）'!$B406="",'实盘净值数据(iFinD）'!$Z406="",'实盘净值数据(iFinD）'!$AA406=""),"",分期持仓明细!$AB$24*(SUMPRODUCT(分期持仓明细!$B$24:$Y$24,'实盘净值数据(iFinD）'!$B406:$Y406/'实盘净值数据(iFinD）'!$B$65:$Y$65)+SUMPRODUCT(分期持仓明细!$AC$24:$AD$24,'实盘净值数据(iFinD）'!$Z406:$AA406/'实盘净值数据(iFinD）'!$Z$65:$AA$65))*(1-实盘持仓初始配置!$Z$8)^(('实盘净值数据(iFinD）'!$A406-'实盘净值数据(iFinD）'!$A$5)/365))</f>
        <v/>
      </c>
      <c r="O406" s="16" t="str">
        <f t="shared" si="40"/>
        <v/>
      </c>
      <c r="P406" s="16" t="str">
        <f>IF(N406="","",N406/MAX(N$5:N406)-1)</f>
        <v/>
      </c>
      <c r="Q406" s="13" t="str">
        <f>IF(OR('实盘净值数据(iFinD）'!$A406="",'实盘净值数据(iFinD）'!$B406="",'实盘净值数据(iFinD）'!$Z406="",'实盘净值数据(iFinD）'!$AA406=""),"",分期持仓明细!$AB$25*(SUMPRODUCT(分期持仓明细!$B$25:$Y$25,'实盘净值数据(iFinD）'!$B406:$Y406/'实盘净值数据(iFinD）'!$B$65:$Y$65)+SUMPRODUCT(分期持仓明细!$AC$25:$AD$25,'实盘净值数据(iFinD）'!$Z406:$AA406/'实盘净值数据(iFinD）'!$Z$65:$AA$65))*(1-实盘持仓初始配置!$Z$9)^(('实盘净值数据(iFinD）'!$A406-'实盘净值数据(iFinD）'!$A$8)/365))</f>
        <v/>
      </c>
      <c r="R406" s="16" t="str">
        <f t="shared" si="41"/>
        <v/>
      </c>
      <c r="S406" s="16" t="str">
        <f>IF(Q406="","",Q406/MAX(Q$5:Q406)-1)</f>
        <v/>
      </c>
    </row>
    <row r="407" spans="1:19">
      <c r="A407" s="15" t="str">
        <f>IF('实盘净值数据(iFinD）'!A407="","",'实盘净值数据(iFinD）'!A407)</f>
        <v/>
      </c>
      <c r="B407" s="13" t="str">
        <f>IF(OR('实盘净值数据(iFinD）'!$A407="",'实盘净值数据(iFinD）'!$B407=""),"",分期持仓明细!$AB$17*SUMPRODUCT(分期持仓明细!$B$17:$Y$17,'实盘净值数据(iFinD）'!$B407:$Y407/'实盘净值数据(iFinD）'!$B$20:$Y$20)*(1-实盘持仓初始配置!$Z$4)^(('实盘净值数据(iFinD）'!$A407-'实盘净值数据(iFinD）'!$A$6)/365))</f>
        <v/>
      </c>
      <c r="C407" s="16" t="str">
        <f t="shared" si="36"/>
        <v/>
      </c>
      <c r="D407" s="16" t="str">
        <f>IF(B407="","",B407/MAX(B$5:B407)-1)</f>
        <v/>
      </c>
      <c r="E407" s="13" t="str">
        <f>IF(OR('实盘净值数据(iFinD）'!$A407="",'实盘净值数据(iFinD）'!$B407=""),"",分期持仓明细!$AB$18*SUMPRODUCT(分期持仓明细!$B$18:$Y$18,'实盘净值数据(iFinD）'!$B407:$Y407/'实盘净值数据(iFinD）'!$B$20:$Y$20)*(1-实盘持仓初始配置!$Z$5)^(('实盘净值数据(iFinD）'!$A407-'实盘净值数据(iFinD）'!$A$5)/365))</f>
        <v/>
      </c>
      <c r="F407" s="16" t="str">
        <f t="shared" si="37"/>
        <v/>
      </c>
      <c r="G407" s="16" t="str">
        <f>IF(E407="","",E407/MAX(E$5:E407)-1)</f>
        <v/>
      </c>
      <c r="H407" s="13" t="str">
        <f>IF(OR('实盘净值数据(iFinD）'!$A407="",'实盘净值数据(iFinD）'!$B407=""),"",分期持仓明细!$AB$19*SUMPRODUCT(分期持仓明细!$B$19:$Y$19,'实盘净值数据(iFinD）'!$B407:$Y407/'实盘净值数据(iFinD）'!$B$20:$Y$20)*(1-实盘持仓初始配置!$Z$6)^(('实盘净值数据(iFinD）'!$A407-'实盘净值数据(iFinD）'!$A$7)/365))</f>
        <v/>
      </c>
      <c r="I407" s="16" t="str">
        <f t="shared" si="38"/>
        <v/>
      </c>
      <c r="J407" s="16" t="str">
        <f>IF(H407="","",H407/MAX(H$5:H407)-1)</f>
        <v/>
      </c>
      <c r="K407" s="13" t="str">
        <f>IF(OR('实盘净值数据(iFinD）'!$A407="",'实盘净值数据(iFinD）'!$B407="",'实盘净值数据(iFinD）'!$Z407="",'实盘净值数据(iFinD）'!$AA407=""),"",分期持仓明细!$AB$23*(SUMPRODUCT(分期持仓明细!$B$23:$Y$23,'实盘净值数据(iFinD）'!$B407:$Y407/'实盘净值数据(iFinD）'!$B$65:$Y$65)+SUMPRODUCT(分期持仓明细!$AC$23:$AD$23,'实盘净值数据(iFinD）'!$Z407:$AA407/'实盘净值数据(iFinD）'!$Z$65:$AA$65))*(1-实盘持仓初始配置!$Z$7)^(('实盘净值数据(iFinD）'!$A407-'实盘净值数据(iFinD）'!$A$8)/365))</f>
        <v/>
      </c>
      <c r="L407" s="16" t="str">
        <f t="shared" si="39"/>
        <v/>
      </c>
      <c r="M407" s="16" t="str">
        <f>IF(K407="","",K407/MAX(K$5:K407)-1)</f>
        <v/>
      </c>
      <c r="N407" s="13" t="str">
        <f>IF(OR('实盘净值数据(iFinD）'!$A407="",'实盘净值数据(iFinD）'!$B407="",'实盘净值数据(iFinD）'!$Z407="",'实盘净值数据(iFinD）'!$AA407=""),"",分期持仓明细!$AB$24*(SUMPRODUCT(分期持仓明细!$B$24:$Y$24,'实盘净值数据(iFinD）'!$B407:$Y407/'实盘净值数据(iFinD）'!$B$65:$Y$65)+SUMPRODUCT(分期持仓明细!$AC$24:$AD$24,'实盘净值数据(iFinD）'!$Z407:$AA407/'实盘净值数据(iFinD）'!$Z$65:$AA$65))*(1-实盘持仓初始配置!$Z$8)^(('实盘净值数据(iFinD）'!$A407-'实盘净值数据(iFinD）'!$A$5)/365))</f>
        <v/>
      </c>
      <c r="O407" s="16" t="str">
        <f t="shared" si="40"/>
        <v/>
      </c>
      <c r="P407" s="16" t="str">
        <f>IF(N407="","",N407/MAX(N$5:N407)-1)</f>
        <v/>
      </c>
      <c r="Q407" s="13" t="str">
        <f>IF(OR('实盘净值数据(iFinD）'!$A407="",'实盘净值数据(iFinD）'!$B407="",'实盘净值数据(iFinD）'!$Z407="",'实盘净值数据(iFinD）'!$AA407=""),"",分期持仓明细!$AB$25*(SUMPRODUCT(分期持仓明细!$B$25:$Y$25,'实盘净值数据(iFinD）'!$B407:$Y407/'实盘净值数据(iFinD）'!$B$65:$Y$65)+SUMPRODUCT(分期持仓明细!$AC$25:$AD$25,'实盘净值数据(iFinD）'!$Z407:$AA407/'实盘净值数据(iFinD）'!$Z$65:$AA$65))*(1-实盘持仓初始配置!$Z$9)^(('实盘净值数据(iFinD）'!$A407-'实盘净值数据(iFinD）'!$A$8)/365))</f>
        <v/>
      </c>
      <c r="R407" s="16" t="str">
        <f t="shared" si="41"/>
        <v/>
      </c>
      <c r="S407" s="16" t="str">
        <f>IF(Q407="","",Q407/MAX(Q$5:Q407)-1)</f>
        <v/>
      </c>
    </row>
    <row r="408" spans="1:19">
      <c r="A408" s="15" t="str">
        <f>IF('实盘净值数据(iFinD）'!A408="","",'实盘净值数据(iFinD）'!A408)</f>
        <v/>
      </c>
      <c r="B408" s="13" t="str">
        <f>IF(OR('实盘净值数据(iFinD）'!$A408="",'实盘净值数据(iFinD）'!$B408=""),"",分期持仓明细!$AB$17*SUMPRODUCT(分期持仓明细!$B$17:$Y$17,'实盘净值数据(iFinD）'!$B408:$Y408/'实盘净值数据(iFinD）'!$B$20:$Y$20)*(1-实盘持仓初始配置!$Z$4)^(('实盘净值数据(iFinD）'!$A408-'实盘净值数据(iFinD）'!$A$6)/365))</f>
        <v/>
      </c>
      <c r="C408" s="16" t="str">
        <f t="shared" si="36"/>
        <v/>
      </c>
      <c r="D408" s="16" t="str">
        <f>IF(B408="","",B408/MAX(B$5:B408)-1)</f>
        <v/>
      </c>
      <c r="E408" s="13" t="str">
        <f>IF(OR('实盘净值数据(iFinD）'!$A408="",'实盘净值数据(iFinD）'!$B408=""),"",分期持仓明细!$AB$18*SUMPRODUCT(分期持仓明细!$B$18:$Y$18,'实盘净值数据(iFinD）'!$B408:$Y408/'实盘净值数据(iFinD）'!$B$20:$Y$20)*(1-实盘持仓初始配置!$Z$5)^(('实盘净值数据(iFinD）'!$A408-'实盘净值数据(iFinD）'!$A$5)/365))</f>
        <v/>
      </c>
      <c r="F408" s="16" t="str">
        <f t="shared" si="37"/>
        <v/>
      </c>
      <c r="G408" s="16" t="str">
        <f>IF(E408="","",E408/MAX(E$5:E408)-1)</f>
        <v/>
      </c>
      <c r="H408" s="13" t="str">
        <f>IF(OR('实盘净值数据(iFinD）'!$A408="",'实盘净值数据(iFinD）'!$B408=""),"",分期持仓明细!$AB$19*SUMPRODUCT(分期持仓明细!$B$19:$Y$19,'实盘净值数据(iFinD）'!$B408:$Y408/'实盘净值数据(iFinD）'!$B$20:$Y$20)*(1-实盘持仓初始配置!$Z$6)^(('实盘净值数据(iFinD）'!$A408-'实盘净值数据(iFinD）'!$A$7)/365))</f>
        <v/>
      </c>
      <c r="I408" s="16" t="str">
        <f t="shared" si="38"/>
        <v/>
      </c>
      <c r="J408" s="16" t="str">
        <f>IF(H408="","",H408/MAX(H$5:H408)-1)</f>
        <v/>
      </c>
      <c r="K408" s="13" t="str">
        <f>IF(OR('实盘净值数据(iFinD）'!$A408="",'实盘净值数据(iFinD）'!$B408="",'实盘净值数据(iFinD）'!$Z408="",'实盘净值数据(iFinD）'!$AA408=""),"",分期持仓明细!$AB$23*(SUMPRODUCT(分期持仓明细!$B$23:$Y$23,'实盘净值数据(iFinD）'!$B408:$Y408/'实盘净值数据(iFinD）'!$B$65:$Y$65)+SUMPRODUCT(分期持仓明细!$AC$23:$AD$23,'实盘净值数据(iFinD）'!$Z408:$AA408/'实盘净值数据(iFinD）'!$Z$65:$AA$65))*(1-实盘持仓初始配置!$Z$7)^(('实盘净值数据(iFinD）'!$A408-'实盘净值数据(iFinD）'!$A$8)/365))</f>
        <v/>
      </c>
      <c r="L408" s="16" t="str">
        <f t="shared" si="39"/>
        <v/>
      </c>
      <c r="M408" s="16" t="str">
        <f>IF(K408="","",K408/MAX(K$5:K408)-1)</f>
        <v/>
      </c>
      <c r="N408" s="13" t="str">
        <f>IF(OR('实盘净值数据(iFinD）'!$A408="",'实盘净值数据(iFinD）'!$B408="",'实盘净值数据(iFinD）'!$Z408="",'实盘净值数据(iFinD）'!$AA408=""),"",分期持仓明细!$AB$24*(SUMPRODUCT(分期持仓明细!$B$24:$Y$24,'实盘净值数据(iFinD）'!$B408:$Y408/'实盘净值数据(iFinD）'!$B$65:$Y$65)+SUMPRODUCT(分期持仓明细!$AC$24:$AD$24,'实盘净值数据(iFinD）'!$Z408:$AA408/'实盘净值数据(iFinD）'!$Z$65:$AA$65))*(1-实盘持仓初始配置!$Z$8)^(('实盘净值数据(iFinD）'!$A408-'实盘净值数据(iFinD）'!$A$5)/365))</f>
        <v/>
      </c>
      <c r="O408" s="16" t="str">
        <f t="shared" si="40"/>
        <v/>
      </c>
      <c r="P408" s="16" t="str">
        <f>IF(N408="","",N408/MAX(N$5:N408)-1)</f>
        <v/>
      </c>
      <c r="Q408" s="13" t="str">
        <f>IF(OR('实盘净值数据(iFinD）'!$A408="",'实盘净值数据(iFinD）'!$B408="",'实盘净值数据(iFinD）'!$Z408="",'实盘净值数据(iFinD）'!$AA408=""),"",分期持仓明细!$AB$25*(SUMPRODUCT(分期持仓明细!$B$25:$Y$25,'实盘净值数据(iFinD）'!$B408:$Y408/'实盘净值数据(iFinD）'!$B$65:$Y$65)+SUMPRODUCT(分期持仓明细!$AC$25:$AD$25,'实盘净值数据(iFinD）'!$Z408:$AA408/'实盘净值数据(iFinD）'!$Z$65:$AA$65))*(1-实盘持仓初始配置!$Z$9)^(('实盘净值数据(iFinD）'!$A408-'实盘净值数据(iFinD）'!$A$8)/365))</f>
        <v/>
      </c>
      <c r="R408" s="16" t="str">
        <f t="shared" si="41"/>
        <v/>
      </c>
      <c r="S408" s="16" t="str">
        <f>IF(Q408="","",Q408/MAX(Q$5:Q408)-1)</f>
        <v/>
      </c>
    </row>
    <row r="409" spans="1:19">
      <c r="A409" s="15" t="str">
        <f>IF('实盘净值数据(iFinD）'!A409="","",'实盘净值数据(iFinD）'!A409)</f>
        <v/>
      </c>
      <c r="B409" s="13" t="str">
        <f>IF(OR('实盘净值数据(iFinD）'!$A409="",'实盘净值数据(iFinD）'!$B409=""),"",分期持仓明细!$AB$17*SUMPRODUCT(分期持仓明细!$B$17:$Y$17,'实盘净值数据(iFinD）'!$B409:$Y409/'实盘净值数据(iFinD）'!$B$20:$Y$20)*(1-实盘持仓初始配置!$Z$4)^(('实盘净值数据(iFinD）'!$A409-'实盘净值数据(iFinD）'!$A$6)/365))</f>
        <v/>
      </c>
      <c r="C409" s="16" t="str">
        <f t="shared" si="36"/>
        <v/>
      </c>
      <c r="D409" s="16" t="str">
        <f>IF(B409="","",B409/MAX(B$5:B409)-1)</f>
        <v/>
      </c>
      <c r="E409" s="13" t="str">
        <f>IF(OR('实盘净值数据(iFinD）'!$A409="",'实盘净值数据(iFinD）'!$B409=""),"",分期持仓明细!$AB$18*SUMPRODUCT(分期持仓明细!$B$18:$Y$18,'实盘净值数据(iFinD）'!$B409:$Y409/'实盘净值数据(iFinD）'!$B$20:$Y$20)*(1-实盘持仓初始配置!$Z$5)^(('实盘净值数据(iFinD）'!$A409-'实盘净值数据(iFinD）'!$A$5)/365))</f>
        <v/>
      </c>
      <c r="F409" s="16" t="str">
        <f t="shared" si="37"/>
        <v/>
      </c>
      <c r="G409" s="16" t="str">
        <f>IF(E409="","",E409/MAX(E$5:E409)-1)</f>
        <v/>
      </c>
      <c r="H409" s="13" t="str">
        <f>IF(OR('实盘净值数据(iFinD）'!$A409="",'实盘净值数据(iFinD）'!$B409=""),"",分期持仓明细!$AB$19*SUMPRODUCT(分期持仓明细!$B$19:$Y$19,'实盘净值数据(iFinD）'!$B409:$Y409/'实盘净值数据(iFinD）'!$B$20:$Y$20)*(1-实盘持仓初始配置!$Z$6)^(('实盘净值数据(iFinD）'!$A409-'实盘净值数据(iFinD）'!$A$7)/365))</f>
        <v/>
      </c>
      <c r="I409" s="16" t="str">
        <f t="shared" si="38"/>
        <v/>
      </c>
      <c r="J409" s="16" t="str">
        <f>IF(H409="","",H409/MAX(H$5:H409)-1)</f>
        <v/>
      </c>
      <c r="K409" s="13" t="str">
        <f>IF(OR('实盘净值数据(iFinD）'!$A409="",'实盘净值数据(iFinD）'!$B409="",'实盘净值数据(iFinD）'!$Z409="",'实盘净值数据(iFinD）'!$AA409=""),"",分期持仓明细!$AB$23*(SUMPRODUCT(分期持仓明细!$B$23:$Y$23,'实盘净值数据(iFinD）'!$B409:$Y409/'实盘净值数据(iFinD）'!$B$65:$Y$65)+SUMPRODUCT(分期持仓明细!$AC$23:$AD$23,'实盘净值数据(iFinD）'!$Z409:$AA409/'实盘净值数据(iFinD）'!$Z$65:$AA$65))*(1-实盘持仓初始配置!$Z$7)^(('实盘净值数据(iFinD）'!$A409-'实盘净值数据(iFinD）'!$A$8)/365))</f>
        <v/>
      </c>
      <c r="L409" s="16" t="str">
        <f t="shared" si="39"/>
        <v/>
      </c>
      <c r="M409" s="16" t="str">
        <f>IF(K409="","",K409/MAX(K$5:K409)-1)</f>
        <v/>
      </c>
      <c r="N409" s="13" t="str">
        <f>IF(OR('实盘净值数据(iFinD）'!$A409="",'实盘净值数据(iFinD）'!$B409="",'实盘净值数据(iFinD）'!$Z409="",'实盘净值数据(iFinD）'!$AA409=""),"",分期持仓明细!$AB$24*(SUMPRODUCT(分期持仓明细!$B$24:$Y$24,'实盘净值数据(iFinD）'!$B409:$Y409/'实盘净值数据(iFinD）'!$B$65:$Y$65)+SUMPRODUCT(分期持仓明细!$AC$24:$AD$24,'实盘净值数据(iFinD）'!$Z409:$AA409/'实盘净值数据(iFinD）'!$Z$65:$AA$65))*(1-实盘持仓初始配置!$Z$8)^(('实盘净值数据(iFinD）'!$A409-'实盘净值数据(iFinD）'!$A$5)/365))</f>
        <v/>
      </c>
      <c r="O409" s="16" t="str">
        <f t="shared" si="40"/>
        <v/>
      </c>
      <c r="P409" s="16" t="str">
        <f>IF(N409="","",N409/MAX(N$5:N409)-1)</f>
        <v/>
      </c>
      <c r="Q409" s="13" t="str">
        <f>IF(OR('实盘净值数据(iFinD）'!$A409="",'实盘净值数据(iFinD）'!$B409="",'实盘净值数据(iFinD）'!$Z409="",'实盘净值数据(iFinD）'!$AA409=""),"",分期持仓明细!$AB$25*(SUMPRODUCT(分期持仓明细!$B$25:$Y$25,'实盘净值数据(iFinD）'!$B409:$Y409/'实盘净值数据(iFinD）'!$B$65:$Y$65)+SUMPRODUCT(分期持仓明细!$AC$25:$AD$25,'实盘净值数据(iFinD）'!$Z409:$AA409/'实盘净值数据(iFinD）'!$Z$65:$AA$65))*(1-实盘持仓初始配置!$Z$9)^(('实盘净值数据(iFinD）'!$A409-'实盘净值数据(iFinD）'!$A$8)/365))</f>
        <v/>
      </c>
      <c r="R409" s="16" t="str">
        <f t="shared" si="41"/>
        <v/>
      </c>
      <c r="S409" s="16" t="str">
        <f>IF(Q409="","",Q409/MAX(Q$5:Q409)-1)</f>
        <v/>
      </c>
    </row>
    <row r="410" spans="1:19">
      <c r="A410" s="15" t="str">
        <f>IF('实盘净值数据(iFinD）'!A410="","",'实盘净值数据(iFinD）'!A410)</f>
        <v/>
      </c>
      <c r="B410" s="13" t="str">
        <f>IF(OR('实盘净值数据(iFinD）'!$A410="",'实盘净值数据(iFinD）'!$B410=""),"",分期持仓明细!$AB$17*SUMPRODUCT(分期持仓明细!$B$17:$Y$17,'实盘净值数据(iFinD）'!$B410:$Y410/'实盘净值数据(iFinD）'!$B$20:$Y$20)*(1-实盘持仓初始配置!$Z$4)^(('实盘净值数据(iFinD）'!$A410-'实盘净值数据(iFinD）'!$A$6)/365))</f>
        <v/>
      </c>
      <c r="C410" s="16" t="str">
        <f t="shared" si="36"/>
        <v/>
      </c>
      <c r="D410" s="16" t="str">
        <f>IF(B410="","",B410/MAX(B$5:B410)-1)</f>
        <v/>
      </c>
      <c r="E410" s="13" t="str">
        <f>IF(OR('实盘净值数据(iFinD）'!$A410="",'实盘净值数据(iFinD）'!$B410=""),"",分期持仓明细!$AB$18*SUMPRODUCT(分期持仓明细!$B$18:$Y$18,'实盘净值数据(iFinD）'!$B410:$Y410/'实盘净值数据(iFinD）'!$B$20:$Y$20)*(1-实盘持仓初始配置!$Z$5)^(('实盘净值数据(iFinD）'!$A410-'实盘净值数据(iFinD）'!$A$5)/365))</f>
        <v/>
      </c>
      <c r="F410" s="16" t="str">
        <f t="shared" si="37"/>
        <v/>
      </c>
      <c r="G410" s="16" t="str">
        <f>IF(E410="","",E410/MAX(E$5:E410)-1)</f>
        <v/>
      </c>
      <c r="H410" s="13" t="str">
        <f>IF(OR('实盘净值数据(iFinD）'!$A410="",'实盘净值数据(iFinD）'!$B410=""),"",分期持仓明细!$AB$19*SUMPRODUCT(分期持仓明细!$B$19:$Y$19,'实盘净值数据(iFinD）'!$B410:$Y410/'实盘净值数据(iFinD）'!$B$20:$Y$20)*(1-实盘持仓初始配置!$Z$6)^(('实盘净值数据(iFinD）'!$A410-'实盘净值数据(iFinD）'!$A$7)/365))</f>
        <v/>
      </c>
      <c r="I410" s="16" t="str">
        <f t="shared" si="38"/>
        <v/>
      </c>
      <c r="J410" s="16" t="str">
        <f>IF(H410="","",H410/MAX(H$5:H410)-1)</f>
        <v/>
      </c>
      <c r="K410" s="13" t="str">
        <f>IF(OR('实盘净值数据(iFinD）'!$A410="",'实盘净值数据(iFinD）'!$B410="",'实盘净值数据(iFinD）'!$Z410="",'实盘净值数据(iFinD）'!$AA410=""),"",分期持仓明细!$AB$23*(SUMPRODUCT(分期持仓明细!$B$23:$Y$23,'实盘净值数据(iFinD）'!$B410:$Y410/'实盘净值数据(iFinD）'!$B$65:$Y$65)+SUMPRODUCT(分期持仓明细!$AC$23:$AD$23,'实盘净值数据(iFinD）'!$Z410:$AA410/'实盘净值数据(iFinD）'!$Z$65:$AA$65))*(1-实盘持仓初始配置!$Z$7)^(('实盘净值数据(iFinD）'!$A410-'实盘净值数据(iFinD）'!$A$8)/365))</f>
        <v/>
      </c>
      <c r="L410" s="16" t="str">
        <f t="shared" si="39"/>
        <v/>
      </c>
      <c r="M410" s="16" t="str">
        <f>IF(K410="","",K410/MAX(K$5:K410)-1)</f>
        <v/>
      </c>
      <c r="N410" s="13" t="str">
        <f>IF(OR('实盘净值数据(iFinD）'!$A410="",'实盘净值数据(iFinD）'!$B410="",'实盘净值数据(iFinD）'!$Z410="",'实盘净值数据(iFinD）'!$AA410=""),"",分期持仓明细!$AB$24*(SUMPRODUCT(分期持仓明细!$B$24:$Y$24,'实盘净值数据(iFinD）'!$B410:$Y410/'实盘净值数据(iFinD）'!$B$65:$Y$65)+SUMPRODUCT(分期持仓明细!$AC$24:$AD$24,'实盘净值数据(iFinD）'!$Z410:$AA410/'实盘净值数据(iFinD）'!$Z$65:$AA$65))*(1-实盘持仓初始配置!$Z$8)^(('实盘净值数据(iFinD）'!$A410-'实盘净值数据(iFinD）'!$A$5)/365))</f>
        <v/>
      </c>
      <c r="O410" s="16" t="str">
        <f t="shared" si="40"/>
        <v/>
      </c>
      <c r="P410" s="16" t="str">
        <f>IF(N410="","",N410/MAX(N$5:N410)-1)</f>
        <v/>
      </c>
      <c r="Q410" s="13" t="str">
        <f>IF(OR('实盘净值数据(iFinD）'!$A410="",'实盘净值数据(iFinD）'!$B410="",'实盘净值数据(iFinD）'!$Z410="",'实盘净值数据(iFinD）'!$AA410=""),"",分期持仓明细!$AB$25*(SUMPRODUCT(分期持仓明细!$B$25:$Y$25,'实盘净值数据(iFinD）'!$B410:$Y410/'实盘净值数据(iFinD）'!$B$65:$Y$65)+SUMPRODUCT(分期持仓明细!$AC$25:$AD$25,'实盘净值数据(iFinD）'!$Z410:$AA410/'实盘净值数据(iFinD）'!$Z$65:$AA$65))*(1-实盘持仓初始配置!$Z$9)^(('实盘净值数据(iFinD）'!$A410-'实盘净值数据(iFinD）'!$A$8)/365))</f>
        <v/>
      </c>
      <c r="R410" s="16" t="str">
        <f t="shared" si="41"/>
        <v/>
      </c>
      <c r="S410" s="16" t="str">
        <f>IF(Q410="","",Q410/MAX(Q$5:Q410)-1)</f>
        <v/>
      </c>
    </row>
    <row r="411" spans="1:19">
      <c r="A411" s="15" t="str">
        <f>IF('实盘净值数据(iFinD）'!A411="","",'实盘净值数据(iFinD）'!A411)</f>
        <v/>
      </c>
      <c r="B411" s="13" t="str">
        <f>IF(OR('实盘净值数据(iFinD）'!$A411="",'实盘净值数据(iFinD）'!$B411=""),"",分期持仓明细!$AB$17*SUMPRODUCT(分期持仓明细!$B$17:$Y$17,'实盘净值数据(iFinD）'!$B411:$Y411/'实盘净值数据(iFinD）'!$B$20:$Y$20)*(1-实盘持仓初始配置!$Z$4)^(('实盘净值数据(iFinD）'!$A411-'实盘净值数据(iFinD）'!$A$6)/365))</f>
        <v/>
      </c>
      <c r="C411" s="16" t="str">
        <f t="shared" si="36"/>
        <v/>
      </c>
      <c r="D411" s="16" t="str">
        <f>IF(B411="","",B411/MAX(B$5:B411)-1)</f>
        <v/>
      </c>
      <c r="E411" s="13" t="str">
        <f>IF(OR('实盘净值数据(iFinD）'!$A411="",'实盘净值数据(iFinD）'!$B411=""),"",分期持仓明细!$AB$18*SUMPRODUCT(分期持仓明细!$B$18:$Y$18,'实盘净值数据(iFinD）'!$B411:$Y411/'实盘净值数据(iFinD）'!$B$20:$Y$20)*(1-实盘持仓初始配置!$Z$5)^(('实盘净值数据(iFinD）'!$A411-'实盘净值数据(iFinD）'!$A$5)/365))</f>
        <v/>
      </c>
      <c r="F411" s="16" t="str">
        <f t="shared" si="37"/>
        <v/>
      </c>
      <c r="G411" s="16" t="str">
        <f>IF(E411="","",E411/MAX(E$5:E411)-1)</f>
        <v/>
      </c>
      <c r="H411" s="13" t="str">
        <f>IF(OR('实盘净值数据(iFinD）'!$A411="",'实盘净值数据(iFinD）'!$B411=""),"",分期持仓明细!$AB$19*SUMPRODUCT(分期持仓明细!$B$19:$Y$19,'实盘净值数据(iFinD）'!$B411:$Y411/'实盘净值数据(iFinD）'!$B$20:$Y$20)*(1-实盘持仓初始配置!$Z$6)^(('实盘净值数据(iFinD）'!$A411-'实盘净值数据(iFinD）'!$A$7)/365))</f>
        <v/>
      </c>
      <c r="I411" s="16" t="str">
        <f t="shared" si="38"/>
        <v/>
      </c>
      <c r="J411" s="16" t="str">
        <f>IF(H411="","",H411/MAX(H$5:H411)-1)</f>
        <v/>
      </c>
      <c r="K411" s="13" t="str">
        <f>IF(OR('实盘净值数据(iFinD）'!$A411="",'实盘净值数据(iFinD）'!$B411="",'实盘净值数据(iFinD）'!$Z411="",'实盘净值数据(iFinD）'!$AA411=""),"",分期持仓明细!$AB$23*(SUMPRODUCT(分期持仓明细!$B$23:$Y$23,'实盘净值数据(iFinD）'!$B411:$Y411/'实盘净值数据(iFinD）'!$B$65:$Y$65)+SUMPRODUCT(分期持仓明细!$AC$23:$AD$23,'实盘净值数据(iFinD）'!$Z411:$AA411/'实盘净值数据(iFinD）'!$Z$65:$AA$65))*(1-实盘持仓初始配置!$Z$7)^(('实盘净值数据(iFinD）'!$A411-'实盘净值数据(iFinD）'!$A$8)/365))</f>
        <v/>
      </c>
      <c r="L411" s="16" t="str">
        <f t="shared" si="39"/>
        <v/>
      </c>
      <c r="M411" s="16" t="str">
        <f>IF(K411="","",K411/MAX(K$5:K411)-1)</f>
        <v/>
      </c>
      <c r="N411" s="13" t="str">
        <f>IF(OR('实盘净值数据(iFinD）'!$A411="",'实盘净值数据(iFinD）'!$B411="",'实盘净值数据(iFinD）'!$Z411="",'实盘净值数据(iFinD）'!$AA411=""),"",分期持仓明细!$AB$24*(SUMPRODUCT(分期持仓明细!$B$24:$Y$24,'实盘净值数据(iFinD）'!$B411:$Y411/'实盘净值数据(iFinD）'!$B$65:$Y$65)+SUMPRODUCT(分期持仓明细!$AC$24:$AD$24,'实盘净值数据(iFinD）'!$Z411:$AA411/'实盘净值数据(iFinD）'!$Z$65:$AA$65))*(1-实盘持仓初始配置!$Z$8)^(('实盘净值数据(iFinD）'!$A411-'实盘净值数据(iFinD）'!$A$5)/365))</f>
        <v/>
      </c>
      <c r="O411" s="16" t="str">
        <f t="shared" si="40"/>
        <v/>
      </c>
      <c r="P411" s="16" t="str">
        <f>IF(N411="","",N411/MAX(N$5:N411)-1)</f>
        <v/>
      </c>
      <c r="Q411" s="13" t="str">
        <f>IF(OR('实盘净值数据(iFinD）'!$A411="",'实盘净值数据(iFinD）'!$B411="",'实盘净值数据(iFinD）'!$Z411="",'实盘净值数据(iFinD）'!$AA411=""),"",分期持仓明细!$AB$25*(SUMPRODUCT(分期持仓明细!$B$25:$Y$25,'实盘净值数据(iFinD）'!$B411:$Y411/'实盘净值数据(iFinD）'!$B$65:$Y$65)+SUMPRODUCT(分期持仓明细!$AC$25:$AD$25,'实盘净值数据(iFinD）'!$Z411:$AA411/'实盘净值数据(iFinD）'!$Z$65:$AA$65))*(1-实盘持仓初始配置!$Z$9)^(('实盘净值数据(iFinD）'!$A411-'实盘净值数据(iFinD）'!$A$8)/365))</f>
        <v/>
      </c>
      <c r="R411" s="16" t="str">
        <f t="shared" si="41"/>
        <v/>
      </c>
      <c r="S411" s="16" t="str">
        <f>IF(Q411="","",Q411/MAX(Q$5:Q411)-1)</f>
        <v/>
      </c>
    </row>
    <row r="412" spans="1:19">
      <c r="A412" s="15" t="str">
        <f>IF('实盘净值数据(iFinD）'!A412="","",'实盘净值数据(iFinD）'!A412)</f>
        <v/>
      </c>
      <c r="B412" s="13" t="str">
        <f>IF(OR('实盘净值数据(iFinD）'!$A412="",'实盘净值数据(iFinD）'!$B412=""),"",分期持仓明细!$AB$17*SUMPRODUCT(分期持仓明细!$B$17:$Y$17,'实盘净值数据(iFinD）'!$B412:$Y412/'实盘净值数据(iFinD）'!$B$20:$Y$20)*(1-实盘持仓初始配置!$Z$4)^(('实盘净值数据(iFinD）'!$A412-'实盘净值数据(iFinD）'!$A$6)/365))</f>
        <v/>
      </c>
      <c r="C412" s="16" t="str">
        <f t="shared" si="36"/>
        <v/>
      </c>
      <c r="D412" s="16" t="str">
        <f>IF(B412="","",B412/MAX(B$5:B412)-1)</f>
        <v/>
      </c>
      <c r="E412" s="13" t="str">
        <f>IF(OR('实盘净值数据(iFinD）'!$A412="",'实盘净值数据(iFinD）'!$B412=""),"",分期持仓明细!$AB$18*SUMPRODUCT(分期持仓明细!$B$18:$Y$18,'实盘净值数据(iFinD）'!$B412:$Y412/'实盘净值数据(iFinD）'!$B$20:$Y$20)*(1-实盘持仓初始配置!$Z$5)^(('实盘净值数据(iFinD）'!$A412-'实盘净值数据(iFinD）'!$A$5)/365))</f>
        <v/>
      </c>
      <c r="F412" s="16" t="str">
        <f t="shared" si="37"/>
        <v/>
      </c>
      <c r="G412" s="16" t="str">
        <f>IF(E412="","",E412/MAX(E$5:E412)-1)</f>
        <v/>
      </c>
      <c r="H412" s="13" t="str">
        <f>IF(OR('实盘净值数据(iFinD）'!$A412="",'实盘净值数据(iFinD）'!$B412=""),"",分期持仓明细!$AB$19*SUMPRODUCT(分期持仓明细!$B$19:$Y$19,'实盘净值数据(iFinD）'!$B412:$Y412/'实盘净值数据(iFinD）'!$B$20:$Y$20)*(1-实盘持仓初始配置!$Z$6)^(('实盘净值数据(iFinD）'!$A412-'实盘净值数据(iFinD）'!$A$7)/365))</f>
        <v/>
      </c>
      <c r="I412" s="16" t="str">
        <f t="shared" si="38"/>
        <v/>
      </c>
      <c r="J412" s="16" t="str">
        <f>IF(H412="","",H412/MAX(H$5:H412)-1)</f>
        <v/>
      </c>
      <c r="K412" s="13" t="str">
        <f>IF(OR('实盘净值数据(iFinD）'!$A412="",'实盘净值数据(iFinD）'!$B412="",'实盘净值数据(iFinD）'!$Z412="",'实盘净值数据(iFinD）'!$AA412=""),"",分期持仓明细!$AB$23*(SUMPRODUCT(分期持仓明细!$B$23:$Y$23,'实盘净值数据(iFinD）'!$B412:$Y412/'实盘净值数据(iFinD）'!$B$65:$Y$65)+SUMPRODUCT(分期持仓明细!$AC$23:$AD$23,'实盘净值数据(iFinD）'!$Z412:$AA412/'实盘净值数据(iFinD）'!$Z$65:$AA$65))*(1-实盘持仓初始配置!$Z$7)^(('实盘净值数据(iFinD）'!$A412-'实盘净值数据(iFinD）'!$A$8)/365))</f>
        <v/>
      </c>
      <c r="L412" s="16" t="str">
        <f t="shared" si="39"/>
        <v/>
      </c>
      <c r="M412" s="16" t="str">
        <f>IF(K412="","",K412/MAX(K$5:K412)-1)</f>
        <v/>
      </c>
      <c r="N412" s="13" t="str">
        <f>IF(OR('实盘净值数据(iFinD）'!$A412="",'实盘净值数据(iFinD）'!$B412="",'实盘净值数据(iFinD）'!$Z412="",'实盘净值数据(iFinD）'!$AA412=""),"",分期持仓明细!$AB$24*(SUMPRODUCT(分期持仓明细!$B$24:$Y$24,'实盘净值数据(iFinD）'!$B412:$Y412/'实盘净值数据(iFinD）'!$B$65:$Y$65)+SUMPRODUCT(分期持仓明细!$AC$24:$AD$24,'实盘净值数据(iFinD）'!$Z412:$AA412/'实盘净值数据(iFinD）'!$Z$65:$AA$65))*(1-实盘持仓初始配置!$Z$8)^(('实盘净值数据(iFinD）'!$A412-'实盘净值数据(iFinD）'!$A$5)/365))</f>
        <v/>
      </c>
      <c r="O412" s="16" t="str">
        <f t="shared" si="40"/>
        <v/>
      </c>
      <c r="P412" s="16" t="str">
        <f>IF(N412="","",N412/MAX(N$5:N412)-1)</f>
        <v/>
      </c>
      <c r="Q412" s="13" t="str">
        <f>IF(OR('实盘净值数据(iFinD）'!$A412="",'实盘净值数据(iFinD）'!$B412="",'实盘净值数据(iFinD）'!$Z412="",'实盘净值数据(iFinD）'!$AA412=""),"",分期持仓明细!$AB$25*(SUMPRODUCT(分期持仓明细!$B$25:$Y$25,'实盘净值数据(iFinD）'!$B412:$Y412/'实盘净值数据(iFinD）'!$B$65:$Y$65)+SUMPRODUCT(分期持仓明细!$AC$25:$AD$25,'实盘净值数据(iFinD）'!$Z412:$AA412/'实盘净值数据(iFinD）'!$Z$65:$AA$65))*(1-实盘持仓初始配置!$Z$9)^(('实盘净值数据(iFinD）'!$A412-'实盘净值数据(iFinD）'!$A$8)/365))</f>
        <v/>
      </c>
      <c r="R412" s="16" t="str">
        <f t="shared" si="41"/>
        <v/>
      </c>
      <c r="S412" s="16" t="str">
        <f>IF(Q412="","",Q412/MAX(Q$5:Q412)-1)</f>
        <v/>
      </c>
    </row>
    <row r="413" spans="1:19">
      <c r="A413" s="15" t="str">
        <f>IF('实盘净值数据(iFinD）'!A413="","",'实盘净值数据(iFinD）'!A413)</f>
        <v/>
      </c>
      <c r="B413" s="13" t="str">
        <f>IF(OR('实盘净值数据(iFinD）'!$A413="",'实盘净值数据(iFinD）'!$B413=""),"",分期持仓明细!$AB$17*SUMPRODUCT(分期持仓明细!$B$17:$Y$17,'实盘净值数据(iFinD）'!$B413:$Y413/'实盘净值数据(iFinD）'!$B$20:$Y$20)*(1-实盘持仓初始配置!$Z$4)^(('实盘净值数据(iFinD）'!$A413-'实盘净值数据(iFinD）'!$A$6)/365))</f>
        <v/>
      </c>
      <c r="C413" s="16" t="str">
        <f t="shared" si="36"/>
        <v/>
      </c>
      <c r="D413" s="16" t="str">
        <f>IF(B413="","",B413/MAX(B$5:B413)-1)</f>
        <v/>
      </c>
      <c r="E413" s="13" t="str">
        <f>IF(OR('实盘净值数据(iFinD）'!$A413="",'实盘净值数据(iFinD）'!$B413=""),"",分期持仓明细!$AB$18*SUMPRODUCT(分期持仓明细!$B$18:$Y$18,'实盘净值数据(iFinD）'!$B413:$Y413/'实盘净值数据(iFinD）'!$B$20:$Y$20)*(1-实盘持仓初始配置!$Z$5)^(('实盘净值数据(iFinD）'!$A413-'实盘净值数据(iFinD）'!$A$5)/365))</f>
        <v/>
      </c>
      <c r="F413" s="16" t="str">
        <f t="shared" si="37"/>
        <v/>
      </c>
      <c r="G413" s="16" t="str">
        <f>IF(E413="","",E413/MAX(E$5:E413)-1)</f>
        <v/>
      </c>
      <c r="H413" s="13" t="str">
        <f>IF(OR('实盘净值数据(iFinD）'!$A413="",'实盘净值数据(iFinD）'!$B413=""),"",分期持仓明细!$AB$19*SUMPRODUCT(分期持仓明细!$B$19:$Y$19,'实盘净值数据(iFinD）'!$B413:$Y413/'实盘净值数据(iFinD）'!$B$20:$Y$20)*(1-实盘持仓初始配置!$Z$6)^(('实盘净值数据(iFinD）'!$A413-'实盘净值数据(iFinD）'!$A$7)/365))</f>
        <v/>
      </c>
      <c r="I413" s="16" t="str">
        <f t="shared" si="38"/>
        <v/>
      </c>
      <c r="J413" s="16" t="str">
        <f>IF(H413="","",H413/MAX(H$5:H413)-1)</f>
        <v/>
      </c>
      <c r="K413" s="13" t="str">
        <f>IF(OR('实盘净值数据(iFinD）'!$A413="",'实盘净值数据(iFinD）'!$B413="",'实盘净值数据(iFinD）'!$Z413="",'实盘净值数据(iFinD）'!$AA413=""),"",分期持仓明细!$AB$23*(SUMPRODUCT(分期持仓明细!$B$23:$Y$23,'实盘净值数据(iFinD）'!$B413:$Y413/'实盘净值数据(iFinD）'!$B$65:$Y$65)+SUMPRODUCT(分期持仓明细!$AC$23:$AD$23,'实盘净值数据(iFinD）'!$Z413:$AA413/'实盘净值数据(iFinD）'!$Z$65:$AA$65))*(1-实盘持仓初始配置!$Z$7)^(('实盘净值数据(iFinD）'!$A413-'实盘净值数据(iFinD）'!$A$8)/365))</f>
        <v/>
      </c>
      <c r="L413" s="16" t="str">
        <f t="shared" si="39"/>
        <v/>
      </c>
      <c r="M413" s="16" t="str">
        <f>IF(K413="","",K413/MAX(K$5:K413)-1)</f>
        <v/>
      </c>
      <c r="N413" s="13" t="str">
        <f>IF(OR('实盘净值数据(iFinD）'!$A413="",'实盘净值数据(iFinD）'!$B413="",'实盘净值数据(iFinD）'!$Z413="",'实盘净值数据(iFinD）'!$AA413=""),"",分期持仓明细!$AB$24*(SUMPRODUCT(分期持仓明细!$B$24:$Y$24,'实盘净值数据(iFinD）'!$B413:$Y413/'实盘净值数据(iFinD）'!$B$65:$Y$65)+SUMPRODUCT(分期持仓明细!$AC$24:$AD$24,'实盘净值数据(iFinD）'!$Z413:$AA413/'实盘净值数据(iFinD）'!$Z$65:$AA$65))*(1-实盘持仓初始配置!$Z$8)^(('实盘净值数据(iFinD）'!$A413-'实盘净值数据(iFinD）'!$A$5)/365))</f>
        <v/>
      </c>
      <c r="O413" s="16" t="str">
        <f t="shared" si="40"/>
        <v/>
      </c>
      <c r="P413" s="16" t="str">
        <f>IF(N413="","",N413/MAX(N$5:N413)-1)</f>
        <v/>
      </c>
      <c r="Q413" s="13" t="str">
        <f>IF(OR('实盘净值数据(iFinD）'!$A413="",'实盘净值数据(iFinD）'!$B413="",'实盘净值数据(iFinD）'!$Z413="",'实盘净值数据(iFinD）'!$AA413=""),"",分期持仓明细!$AB$25*(SUMPRODUCT(分期持仓明细!$B$25:$Y$25,'实盘净值数据(iFinD）'!$B413:$Y413/'实盘净值数据(iFinD）'!$B$65:$Y$65)+SUMPRODUCT(分期持仓明细!$AC$25:$AD$25,'实盘净值数据(iFinD）'!$Z413:$AA413/'实盘净值数据(iFinD）'!$Z$65:$AA$65))*(1-实盘持仓初始配置!$Z$9)^(('实盘净值数据(iFinD）'!$A413-'实盘净值数据(iFinD）'!$A$8)/365))</f>
        <v/>
      </c>
      <c r="R413" s="16" t="str">
        <f t="shared" si="41"/>
        <v/>
      </c>
      <c r="S413" s="16" t="str">
        <f>IF(Q413="","",Q413/MAX(Q$5:Q413)-1)</f>
        <v/>
      </c>
    </row>
    <row r="414" spans="1:19">
      <c r="A414" s="15" t="str">
        <f>IF('实盘净值数据(iFinD）'!A414="","",'实盘净值数据(iFinD）'!A414)</f>
        <v/>
      </c>
      <c r="B414" s="13" t="str">
        <f>IF(OR('实盘净值数据(iFinD）'!$A414="",'实盘净值数据(iFinD）'!$B414=""),"",分期持仓明细!$AB$17*SUMPRODUCT(分期持仓明细!$B$17:$Y$17,'实盘净值数据(iFinD）'!$B414:$Y414/'实盘净值数据(iFinD）'!$B$20:$Y$20)*(1-实盘持仓初始配置!$Z$4)^(('实盘净值数据(iFinD）'!$A414-'实盘净值数据(iFinD）'!$A$6)/365))</f>
        <v/>
      </c>
      <c r="C414" s="16" t="str">
        <f t="shared" si="36"/>
        <v/>
      </c>
      <c r="D414" s="16" t="str">
        <f>IF(B414="","",B414/MAX(B$5:B414)-1)</f>
        <v/>
      </c>
      <c r="E414" s="13" t="str">
        <f>IF(OR('实盘净值数据(iFinD）'!$A414="",'实盘净值数据(iFinD）'!$B414=""),"",分期持仓明细!$AB$18*SUMPRODUCT(分期持仓明细!$B$18:$Y$18,'实盘净值数据(iFinD）'!$B414:$Y414/'实盘净值数据(iFinD）'!$B$20:$Y$20)*(1-实盘持仓初始配置!$Z$5)^(('实盘净值数据(iFinD）'!$A414-'实盘净值数据(iFinD）'!$A$5)/365))</f>
        <v/>
      </c>
      <c r="F414" s="16" t="str">
        <f t="shared" si="37"/>
        <v/>
      </c>
      <c r="G414" s="16" t="str">
        <f>IF(E414="","",E414/MAX(E$5:E414)-1)</f>
        <v/>
      </c>
      <c r="H414" s="13" t="str">
        <f>IF(OR('实盘净值数据(iFinD）'!$A414="",'实盘净值数据(iFinD）'!$B414=""),"",分期持仓明细!$AB$19*SUMPRODUCT(分期持仓明细!$B$19:$Y$19,'实盘净值数据(iFinD）'!$B414:$Y414/'实盘净值数据(iFinD）'!$B$20:$Y$20)*(1-实盘持仓初始配置!$Z$6)^(('实盘净值数据(iFinD）'!$A414-'实盘净值数据(iFinD）'!$A$7)/365))</f>
        <v/>
      </c>
      <c r="I414" s="16" t="str">
        <f t="shared" si="38"/>
        <v/>
      </c>
      <c r="J414" s="16" t="str">
        <f>IF(H414="","",H414/MAX(H$5:H414)-1)</f>
        <v/>
      </c>
      <c r="K414" s="13" t="str">
        <f>IF(OR('实盘净值数据(iFinD）'!$A414="",'实盘净值数据(iFinD）'!$B414="",'实盘净值数据(iFinD）'!$Z414="",'实盘净值数据(iFinD）'!$AA414=""),"",分期持仓明细!$AB$23*(SUMPRODUCT(分期持仓明细!$B$23:$Y$23,'实盘净值数据(iFinD）'!$B414:$Y414/'实盘净值数据(iFinD）'!$B$65:$Y$65)+SUMPRODUCT(分期持仓明细!$AC$23:$AD$23,'实盘净值数据(iFinD）'!$Z414:$AA414/'实盘净值数据(iFinD）'!$Z$65:$AA$65))*(1-实盘持仓初始配置!$Z$7)^(('实盘净值数据(iFinD）'!$A414-'实盘净值数据(iFinD）'!$A$8)/365))</f>
        <v/>
      </c>
      <c r="L414" s="16" t="str">
        <f t="shared" si="39"/>
        <v/>
      </c>
      <c r="M414" s="16" t="str">
        <f>IF(K414="","",K414/MAX(K$5:K414)-1)</f>
        <v/>
      </c>
      <c r="N414" s="13" t="str">
        <f>IF(OR('实盘净值数据(iFinD）'!$A414="",'实盘净值数据(iFinD）'!$B414="",'实盘净值数据(iFinD）'!$Z414="",'实盘净值数据(iFinD）'!$AA414=""),"",分期持仓明细!$AB$24*(SUMPRODUCT(分期持仓明细!$B$24:$Y$24,'实盘净值数据(iFinD）'!$B414:$Y414/'实盘净值数据(iFinD）'!$B$65:$Y$65)+SUMPRODUCT(分期持仓明细!$AC$24:$AD$24,'实盘净值数据(iFinD）'!$Z414:$AA414/'实盘净值数据(iFinD）'!$Z$65:$AA$65))*(1-实盘持仓初始配置!$Z$8)^(('实盘净值数据(iFinD）'!$A414-'实盘净值数据(iFinD）'!$A$5)/365))</f>
        <v/>
      </c>
      <c r="O414" s="16" t="str">
        <f t="shared" si="40"/>
        <v/>
      </c>
      <c r="P414" s="16" t="str">
        <f>IF(N414="","",N414/MAX(N$5:N414)-1)</f>
        <v/>
      </c>
      <c r="Q414" s="13" t="str">
        <f>IF(OR('实盘净值数据(iFinD）'!$A414="",'实盘净值数据(iFinD）'!$B414="",'实盘净值数据(iFinD）'!$Z414="",'实盘净值数据(iFinD）'!$AA414=""),"",分期持仓明细!$AB$25*(SUMPRODUCT(分期持仓明细!$B$25:$Y$25,'实盘净值数据(iFinD）'!$B414:$Y414/'实盘净值数据(iFinD）'!$B$65:$Y$65)+SUMPRODUCT(分期持仓明细!$AC$25:$AD$25,'实盘净值数据(iFinD）'!$Z414:$AA414/'实盘净值数据(iFinD）'!$Z$65:$AA$65))*(1-实盘持仓初始配置!$Z$9)^(('实盘净值数据(iFinD）'!$A414-'实盘净值数据(iFinD）'!$A$8)/365))</f>
        <v/>
      </c>
      <c r="R414" s="16" t="str">
        <f t="shared" si="41"/>
        <v/>
      </c>
      <c r="S414" s="16" t="str">
        <f>IF(Q414="","",Q414/MAX(Q$5:Q414)-1)</f>
        <v/>
      </c>
    </row>
    <row r="415" spans="1:19">
      <c r="A415" s="15" t="str">
        <f>IF('实盘净值数据(iFinD）'!A415="","",'实盘净值数据(iFinD）'!A415)</f>
        <v/>
      </c>
      <c r="B415" s="13" t="str">
        <f>IF(OR('实盘净值数据(iFinD）'!$A415="",'实盘净值数据(iFinD）'!$B415=""),"",分期持仓明细!$AB$17*SUMPRODUCT(分期持仓明细!$B$17:$Y$17,'实盘净值数据(iFinD）'!$B415:$Y415/'实盘净值数据(iFinD）'!$B$20:$Y$20)*(1-实盘持仓初始配置!$Z$4)^(('实盘净值数据(iFinD）'!$A415-'实盘净值数据(iFinD）'!$A$6)/365))</f>
        <v/>
      </c>
      <c r="C415" s="16" t="str">
        <f t="shared" si="36"/>
        <v/>
      </c>
      <c r="D415" s="16" t="str">
        <f>IF(B415="","",B415/MAX(B$5:B415)-1)</f>
        <v/>
      </c>
      <c r="E415" s="13" t="str">
        <f>IF(OR('实盘净值数据(iFinD）'!$A415="",'实盘净值数据(iFinD）'!$B415=""),"",分期持仓明细!$AB$18*SUMPRODUCT(分期持仓明细!$B$18:$Y$18,'实盘净值数据(iFinD）'!$B415:$Y415/'实盘净值数据(iFinD）'!$B$20:$Y$20)*(1-实盘持仓初始配置!$Z$5)^(('实盘净值数据(iFinD）'!$A415-'实盘净值数据(iFinD）'!$A$5)/365))</f>
        <v/>
      </c>
      <c r="F415" s="16" t="str">
        <f t="shared" si="37"/>
        <v/>
      </c>
      <c r="G415" s="16" t="str">
        <f>IF(E415="","",E415/MAX(E$5:E415)-1)</f>
        <v/>
      </c>
      <c r="H415" s="13" t="str">
        <f>IF(OR('实盘净值数据(iFinD）'!$A415="",'实盘净值数据(iFinD）'!$B415=""),"",分期持仓明细!$AB$19*SUMPRODUCT(分期持仓明细!$B$19:$Y$19,'实盘净值数据(iFinD）'!$B415:$Y415/'实盘净值数据(iFinD）'!$B$20:$Y$20)*(1-实盘持仓初始配置!$Z$6)^(('实盘净值数据(iFinD）'!$A415-'实盘净值数据(iFinD）'!$A$7)/365))</f>
        <v/>
      </c>
      <c r="I415" s="16" t="str">
        <f t="shared" si="38"/>
        <v/>
      </c>
      <c r="J415" s="16" t="str">
        <f>IF(H415="","",H415/MAX(H$5:H415)-1)</f>
        <v/>
      </c>
      <c r="K415" s="13" t="str">
        <f>IF(OR('实盘净值数据(iFinD）'!$A415="",'实盘净值数据(iFinD）'!$B415="",'实盘净值数据(iFinD）'!$Z415="",'实盘净值数据(iFinD）'!$AA415=""),"",分期持仓明细!$AB$23*(SUMPRODUCT(分期持仓明细!$B$23:$Y$23,'实盘净值数据(iFinD）'!$B415:$Y415/'实盘净值数据(iFinD）'!$B$65:$Y$65)+SUMPRODUCT(分期持仓明细!$AC$23:$AD$23,'实盘净值数据(iFinD）'!$Z415:$AA415/'实盘净值数据(iFinD）'!$Z$65:$AA$65))*(1-实盘持仓初始配置!$Z$7)^(('实盘净值数据(iFinD）'!$A415-'实盘净值数据(iFinD）'!$A$8)/365))</f>
        <v/>
      </c>
      <c r="L415" s="16" t="str">
        <f t="shared" si="39"/>
        <v/>
      </c>
      <c r="M415" s="16" t="str">
        <f>IF(K415="","",K415/MAX(K$5:K415)-1)</f>
        <v/>
      </c>
      <c r="N415" s="13" t="str">
        <f>IF(OR('实盘净值数据(iFinD）'!$A415="",'实盘净值数据(iFinD）'!$B415="",'实盘净值数据(iFinD）'!$Z415="",'实盘净值数据(iFinD）'!$AA415=""),"",分期持仓明细!$AB$24*(SUMPRODUCT(分期持仓明细!$B$24:$Y$24,'实盘净值数据(iFinD）'!$B415:$Y415/'实盘净值数据(iFinD）'!$B$65:$Y$65)+SUMPRODUCT(分期持仓明细!$AC$24:$AD$24,'实盘净值数据(iFinD）'!$Z415:$AA415/'实盘净值数据(iFinD）'!$Z$65:$AA$65))*(1-实盘持仓初始配置!$Z$8)^(('实盘净值数据(iFinD）'!$A415-'实盘净值数据(iFinD）'!$A$5)/365))</f>
        <v/>
      </c>
      <c r="O415" s="16" t="str">
        <f t="shared" si="40"/>
        <v/>
      </c>
      <c r="P415" s="16" t="str">
        <f>IF(N415="","",N415/MAX(N$5:N415)-1)</f>
        <v/>
      </c>
      <c r="Q415" s="13" t="str">
        <f>IF(OR('实盘净值数据(iFinD）'!$A415="",'实盘净值数据(iFinD）'!$B415="",'实盘净值数据(iFinD）'!$Z415="",'实盘净值数据(iFinD）'!$AA415=""),"",分期持仓明细!$AB$25*(SUMPRODUCT(分期持仓明细!$B$25:$Y$25,'实盘净值数据(iFinD）'!$B415:$Y415/'实盘净值数据(iFinD）'!$B$65:$Y$65)+SUMPRODUCT(分期持仓明细!$AC$25:$AD$25,'实盘净值数据(iFinD）'!$Z415:$AA415/'实盘净值数据(iFinD）'!$Z$65:$AA$65))*(1-实盘持仓初始配置!$Z$9)^(('实盘净值数据(iFinD）'!$A415-'实盘净值数据(iFinD）'!$A$8)/365))</f>
        <v/>
      </c>
      <c r="R415" s="16" t="str">
        <f t="shared" si="41"/>
        <v/>
      </c>
      <c r="S415" s="16" t="str">
        <f>IF(Q415="","",Q415/MAX(Q$5:Q415)-1)</f>
        <v/>
      </c>
    </row>
    <row r="416" spans="1:19">
      <c r="A416" s="15" t="str">
        <f>IF('实盘净值数据(iFinD）'!A416="","",'实盘净值数据(iFinD）'!A416)</f>
        <v/>
      </c>
      <c r="B416" s="13" t="str">
        <f>IF(OR('实盘净值数据(iFinD）'!$A416="",'实盘净值数据(iFinD）'!$B416=""),"",分期持仓明细!$AB$17*SUMPRODUCT(分期持仓明细!$B$17:$Y$17,'实盘净值数据(iFinD）'!$B416:$Y416/'实盘净值数据(iFinD）'!$B$20:$Y$20)*(1-实盘持仓初始配置!$Z$4)^(('实盘净值数据(iFinD）'!$A416-'实盘净值数据(iFinD）'!$A$6)/365))</f>
        <v/>
      </c>
      <c r="C416" s="16" t="str">
        <f t="shared" si="36"/>
        <v/>
      </c>
      <c r="D416" s="16" t="str">
        <f>IF(B416="","",B416/MAX(B$5:B416)-1)</f>
        <v/>
      </c>
      <c r="E416" s="13" t="str">
        <f>IF(OR('实盘净值数据(iFinD）'!$A416="",'实盘净值数据(iFinD）'!$B416=""),"",分期持仓明细!$AB$18*SUMPRODUCT(分期持仓明细!$B$18:$Y$18,'实盘净值数据(iFinD）'!$B416:$Y416/'实盘净值数据(iFinD）'!$B$20:$Y$20)*(1-实盘持仓初始配置!$Z$5)^(('实盘净值数据(iFinD）'!$A416-'实盘净值数据(iFinD）'!$A$5)/365))</f>
        <v/>
      </c>
      <c r="F416" s="16" t="str">
        <f t="shared" si="37"/>
        <v/>
      </c>
      <c r="G416" s="16" t="str">
        <f>IF(E416="","",E416/MAX(E$5:E416)-1)</f>
        <v/>
      </c>
      <c r="H416" s="13" t="str">
        <f>IF(OR('实盘净值数据(iFinD）'!$A416="",'实盘净值数据(iFinD）'!$B416=""),"",分期持仓明细!$AB$19*SUMPRODUCT(分期持仓明细!$B$19:$Y$19,'实盘净值数据(iFinD）'!$B416:$Y416/'实盘净值数据(iFinD）'!$B$20:$Y$20)*(1-实盘持仓初始配置!$Z$6)^(('实盘净值数据(iFinD）'!$A416-'实盘净值数据(iFinD）'!$A$7)/365))</f>
        <v/>
      </c>
      <c r="I416" s="16" t="str">
        <f t="shared" si="38"/>
        <v/>
      </c>
      <c r="J416" s="16" t="str">
        <f>IF(H416="","",H416/MAX(H$5:H416)-1)</f>
        <v/>
      </c>
      <c r="K416" s="13" t="str">
        <f>IF(OR('实盘净值数据(iFinD）'!$A416="",'实盘净值数据(iFinD）'!$B416="",'实盘净值数据(iFinD）'!$Z416="",'实盘净值数据(iFinD）'!$AA416=""),"",分期持仓明细!$AB$23*(SUMPRODUCT(分期持仓明细!$B$23:$Y$23,'实盘净值数据(iFinD）'!$B416:$Y416/'实盘净值数据(iFinD）'!$B$65:$Y$65)+SUMPRODUCT(分期持仓明细!$AC$23:$AD$23,'实盘净值数据(iFinD）'!$Z416:$AA416/'实盘净值数据(iFinD）'!$Z$65:$AA$65))*(1-实盘持仓初始配置!$Z$7)^(('实盘净值数据(iFinD）'!$A416-'实盘净值数据(iFinD）'!$A$8)/365))</f>
        <v/>
      </c>
      <c r="L416" s="16" t="str">
        <f t="shared" si="39"/>
        <v/>
      </c>
      <c r="M416" s="16" t="str">
        <f>IF(K416="","",K416/MAX(K$5:K416)-1)</f>
        <v/>
      </c>
      <c r="N416" s="13" t="str">
        <f>IF(OR('实盘净值数据(iFinD）'!$A416="",'实盘净值数据(iFinD）'!$B416="",'实盘净值数据(iFinD）'!$Z416="",'实盘净值数据(iFinD）'!$AA416=""),"",分期持仓明细!$AB$24*(SUMPRODUCT(分期持仓明细!$B$24:$Y$24,'实盘净值数据(iFinD）'!$B416:$Y416/'实盘净值数据(iFinD）'!$B$65:$Y$65)+SUMPRODUCT(分期持仓明细!$AC$24:$AD$24,'实盘净值数据(iFinD）'!$Z416:$AA416/'实盘净值数据(iFinD）'!$Z$65:$AA$65))*(1-实盘持仓初始配置!$Z$8)^(('实盘净值数据(iFinD）'!$A416-'实盘净值数据(iFinD）'!$A$5)/365))</f>
        <v/>
      </c>
      <c r="O416" s="16" t="str">
        <f t="shared" si="40"/>
        <v/>
      </c>
      <c r="P416" s="16" t="str">
        <f>IF(N416="","",N416/MAX(N$5:N416)-1)</f>
        <v/>
      </c>
      <c r="Q416" s="13" t="str">
        <f>IF(OR('实盘净值数据(iFinD）'!$A416="",'实盘净值数据(iFinD）'!$B416="",'实盘净值数据(iFinD）'!$Z416="",'实盘净值数据(iFinD）'!$AA416=""),"",分期持仓明细!$AB$25*(SUMPRODUCT(分期持仓明细!$B$25:$Y$25,'实盘净值数据(iFinD）'!$B416:$Y416/'实盘净值数据(iFinD）'!$B$65:$Y$65)+SUMPRODUCT(分期持仓明细!$AC$25:$AD$25,'实盘净值数据(iFinD）'!$Z416:$AA416/'实盘净值数据(iFinD）'!$Z$65:$AA$65))*(1-实盘持仓初始配置!$Z$9)^(('实盘净值数据(iFinD）'!$A416-'实盘净值数据(iFinD）'!$A$8)/365))</f>
        <v/>
      </c>
      <c r="R416" s="16" t="str">
        <f t="shared" si="41"/>
        <v/>
      </c>
      <c r="S416" s="16" t="str">
        <f>IF(Q416="","",Q416/MAX(Q$5:Q416)-1)</f>
        <v/>
      </c>
    </row>
    <row r="417" spans="1:19">
      <c r="A417" s="15" t="str">
        <f>IF('实盘净值数据(iFinD）'!A417="","",'实盘净值数据(iFinD）'!A417)</f>
        <v/>
      </c>
      <c r="B417" s="13" t="str">
        <f>IF(OR('实盘净值数据(iFinD）'!$A417="",'实盘净值数据(iFinD）'!$B417=""),"",分期持仓明细!$AB$17*SUMPRODUCT(分期持仓明细!$B$17:$Y$17,'实盘净值数据(iFinD）'!$B417:$Y417/'实盘净值数据(iFinD）'!$B$20:$Y$20)*(1-实盘持仓初始配置!$Z$4)^(('实盘净值数据(iFinD）'!$A417-'实盘净值数据(iFinD）'!$A$6)/365))</f>
        <v/>
      </c>
      <c r="C417" s="16" t="str">
        <f t="shared" si="36"/>
        <v/>
      </c>
      <c r="D417" s="16" t="str">
        <f>IF(B417="","",B417/MAX(B$5:B417)-1)</f>
        <v/>
      </c>
      <c r="E417" s="13" t="str">
        <f>IF(OR('实盘净值数据(iFinD）'!$A417="",'实盘净值数据(iFinD）'!$B417=""),"",分期持仓明细!$AB$18*SUMPRODUCT(分期持仓明细!$B$18:$Y$18,'实盘净值数据(iFinD）'!$B417:$Y417/'实盘净值数据(iFinD）'!$B$20:$Y$20)*(1-实盘持仓初始配置!$Z$5)^(('实盘净值数据(iFinD）'!$A417-'实盘净值数据(iFinD）'!$A$5)/365))</f>
        <v/>
      </c>
      <c r="F417" s="16" t="str">
        <f t="shared" si="37"/>
        <v/>
      </c>
      <c r="G417" s="16" t="str">
        <f>IF(E417="","",E417/MAX(E$5:E417)-1)</f>
        <v/>
      </c>
      <c r="H417" s="13" t="str">
        <f>IF(OR('实盘净值数据(iFinD）'!$A417="",'实盘净值数据(iFinD）'!$B417=""),"",分期持仓明细!$AB$19*SUMPRODUCT(分期持仓明细!$B$19:$Y$19,'实盘净值数据(iFinD）'!$B417:$Y417/'实盘净值数据(iFinD）'!$B$20:$Y$20)*(1-实盘持仓初始配置!$Z$6)^(('实盘净值数据(iFinD）'!$A417-'实盘净值数据(iFinD）'!$A$7)/365))</f>
        <v/>
      </c>
      <c r="I417" s="16" t="str">
        <f t="shared" si="38"/>
        <v/>
      </c>
      <c r="J417" s="16" t="str">
        <f>IF(H417="","",H417/MAX(H$5:H417)-1)</f>
        <v/>
      </c>
      <c r="K417" s="13" t="str">
        <f>IF(OR('实盘净值数据(iFinD）'!$A417="",'实盘净值数据(iFinD）'!$B417="",'实盘净值数据(iFinD）'!$Z417="",'实盘净值数据(iFinD）'!$AA417=""),"",分期持仓明细!$AB$23*(SUMPRODUCT(分期持仓明细!$B$23:$Y$23,'实盘净值数据(iFinD）'!$B417:$Y417/'实盘净值数据(iFinD）'!$B$65:$Y$65)+SUMPRODUCT(分期持仓明细!$AC$23:$AD$23,'实盘净值数据(iFinD）'!$Z417:$AA417/'实盘净值数据(iFinD）'!$Z$65:$AA$65))*(1-实盘持仓初始配置!$Z$7)^(('实盘净值数据(iFinD）'!$A417-'实盘净值数据(iFinD）'!$A$8)/365))</f>
        <v/>
      </c>
      <c r="L417" s="16" t="str">
        <f t="shared" si="39"/>
        <v/>
      </c>
      <c r="M417" s="16" t="str">
        <f>IF(K417="","",K417/MAX(K$5:K417)-1)</f>
        <v/>
      </c>
      <c r="N417" s="13" t="str">
        <f>IF(OR('实盘净值数据(iFinD）'!$A417="",'实盘净值数据(iFinD）'!$B417="",'实盘净值数据(iFinD）'!$Z417="",'实盘净值数据(iFinD）'!$AA417=""),"",分期持仓明细!$AB$24*(SUMPRODUCT(分期持仓明细!$B$24:$Y$24,'实盘净值数据(iFinD）'!$B417:$Y417/'实盘净值数据(iFinD）'!$B$65:$Y$65)+SUMPRODUCT(分期持仓明细!$AC$24:$AD$24,'实盘净值数据(iFinD）'!$Z417:$AA417/'实盘净值数据(iFinD）'!$Z$65:$AA$65))*(1-实盘持仓初始配置!$Z$8)^(('实盘净值数据(iFinD）'!$A417-'实盘净值数据(iFinD）'!$A$5)/365))</f>
        <v/>
      </c>
      <c r="O417" s="16" t="str">
        <f t="shared" si="40"/>
        <v/>
      </c>
      <c r="P417" s="16" t="str">
        <f>IF(N417="","",N417/MAX(N$5:N417)-1)</f>
        <v/>
      </c>
      <c r="Q417" s="13" t="str">
        <f>IF(OR('实盘净值数据(iFinD）'!$A417="",'实盘净值数据(iFinD）'!$B417="",'实盘净值数据(iFinD）'!$Z417="",'实盘净值数据(iFinD）'!$AA417=""),"",分期持仓明细!$AB$25*(SUMPRODUCT(分期持仓明细!$B$25:$Y$25,'实盘净值数据(iFinD）'!$B417:$Y417/'实盘净值数据(iFinD）'!$B$65:$Y$65)+SUMPRODUCT(分期持仓明细!$AC$25:$AD$25,'实盘净值数据(iFinD）'!$Z417:$AA417/'实盘净值数据(iFinD）'!$Z$65:$AA$65))*(1-实盘持仓初始配置!$Z$9)^(('实盘净值数据(iFinD）'!$A417-'实盘净值数据(iFinD）'!$A$8)/365))</f>
        <v/>
      </c>
      <c r="R417" s="16" t="str">
        <f t="shared" si="41"/>
        <v/>
      </c>
      <c r="S417" s="16" t="str">
        <f>IF(Q417="","",Q417/MAX(Q$5:Q417)-1)</f>
        <v/>
      </c>
    </row>
    <row r="418" spans="1:19">
      <c r="A418" s="15" t="str">
        <f>IF('实盘净值数据(iFinD）'!A418="","",'实盘净值数据(iFinD）'!A418)</f>
        <v/>
      </c>
      <c r="B418" s="13" t="str">
        <f>IF(OR('实盘净值数据(iFinD）'!$A418="",'实盘净值数据(iFinD）'!$B418=""),"",分期持仓明细!$AB$17*SUMPRODUCT(分期持仓明细!$B$17:$Y$17,'实盘净值数据(iFinD）'!$B418:$Y418/'实盘净值数据(iFinD）'!$B$20:$Y$20)*(1-实盘持仓初始配置!$Z$4)^(('实盘净值数据(iFinD）'!$A418-'实盘净值数据(iFinD）'!$A$6)/365))</f>
        <v/>
      </c>
      <c r="C418" s="16" t="str">
        <f t="shared" si="36"/>
        <v/>
      </c>
      <c r="D418" s="16" t="str">
        <f>IF(B418="","",B418/MAX(B$5:B418)-1)</f>
        <v/>
      </c>
      <c r="E418" s="13" t="str">
        <f>IF(OR('实盘净值数据(iFinD）'!$A418="",'实盘净值数据(iFinD）'!$B418=""),"",分期持仓明细!$AB$18*SUMPRODUCT(分期持仓明细!$B$18:$Y$18,'实盘净值数据(iFinD）'!$B418:$Y418/'实盘净值数据(iFinD）'!$B$20:$Y$20)*(1-实盘持仓初始配置!$Z$5)^(('实盘净值数据(iFinD）'!$A418-'实盘净值数据(iFinD）'!$A$5)/365))</f>
        <v/>
      </c>
      <c r="F418" s="16" t="str">
        <f t="shared" si="37"/>
        <v/>
      </c>
      <c r="G418" s="16" t="str">
        <f>IF(E418="","",E418/MAX(E$5:E418)-1)</f>
        <v/>
      </c>
      <c r="H418" s="13" t="str">
        <f>IF(OR('实盘净值数据(iFinD）'!$A418="",'实盘净值数据(iFinD）'!$B418=""),"",分期持仓明细!$AB$19*SUMPRODUCT(分期持仓明细!$B$19:$Y$19,'实盘净值数据(iFinD）'!$B418:$Y418/'实盘净值数据(iFinD）'!$B$20:$Y$20)*(1-实盘持仓初始配置!$Z$6)^(('实盘净值数据(iFinD）'!$A418-'实盘净值数据(iFinD）'!$A$7)/365))</f>
        <v/>
      </c>
      <c r="I418" s="16" t="str">
        <f t="shared" si="38"/>
        <v/>
      </c>
      <c r="J418" s="16" t="str">
        <f>IF(H418="","",H418/MAX(H$5:H418)-1)</f>
        <v/>
      </c>
      <c r="K418" s="13" t="str">
        <f>IF(OR('实盘净值数据(iFinD）'!$A418="",'实盘净值数据(iFinD）'!$B418="",'实盘净值数据(iFinD）'!$Z418="",'实盘净值数据(iFinD）'!$AA418=""),"",分期持仓明细!$AB$23*(SUMPRODUCT(分期持仓明细!$B$23:$Y$23,'实盘净值数据(iFinD）'!$B418:$Y418/'实盘净值数据(iFinD）'!$B$65:$Y$65)+SUMPRODUCT(分期持仓明细!$AC$23:$AD$23,'实盘净值数据(iFinD）'!$Z418:$AA418/'实盘净值数据(iFinD）'!$Z$65:$AA$65))*(1-实盘持仓初始配置!$Z$7)^(('实盘净值数据(iFinD）'!$A418-'实盘净值数据(iFinD）'!$A$8)/365))</f>
        <v/>
      </c>
      <c r="L418" s="16" t="str">
        <f t="shared" si="39"/>
        <v/>
      </c>
      <c r="M418" s="16" t="str">
        <f>IF(K418="","",K418/MAX(K$5:K418)-1)</f>
        <v/>
      </c>
      <c r="N418" s="13" t="str">
        <f>IF(OR('实盘净值数据(iFinD）'!$A418="",'实盘净值数据(iFinD）'!$B418="",'实盘净值数据(iFinD）'!$Z418="",'实盘净值数据(iFinD）'!$AA418=""),"",分期持仓明细!$AB$24*(SUMPRODUCT(分期持仓明细!$B$24:$Y$24,'实盘净值数据(iFinD）'!$B418:$Y418/'实盘净值数据(iFinD）'!$B$65:$Y$65)+SUMPRODUCT(分期持仓明细!$AC$24:$AD$24,'实盘净值数据(iFinD）'!$Z418:$AA418/'实盘净值数据(iFinD）'!$Z$65:$AA$65))*(1-实盘持仓初始配置!$Z$8)^(('实盘净值数据(iFinD）'!$A418-'实盘净值数据(iFinD）'!$A$5)/365))</f>
        <v/>
      </c>
      <c r="O418" s="16" t="str">
        <f t="shared" si="40"/>
        <v/>
      </c>
      <c r="P418" s="16" t="str">
        <f>IF(N418="","",N418/MAX(N$5:N418)-1)</f>
        <v/>
      </c>
      <c r="Q418" s="13" t="str">
        <f>IF(OR('实盘净值数据(iFinD）'!$A418="",'实盘净值数据(iFinD）'!$B418="",'实盘净值数据(iFinD）'!$Z418="",'实盘净值数据(iFinD）'!$AA418=""),"",分期持仓明细!$AB$25*(SUMPRODUCT(分期持仓明细!$B$25:$Y$25,'实盘净值数据(iFinD）'!$B418:$Y418/'实盘净值数据(iFinD）'!$B$65:$Y$65)+SUMPRODUCT(分期持仓明细!$AC$25:$AD$25,'实盘净值数据(iFinD）'!$Z418:$AA418/'实盘净值数据(iFinD）'!$Z$65:$AA$65))*(1-实盘持仓初始配置!$Z$9)^(('实盘净值数据(iFinD）'!$A418-'实盘净值数据(iFinD）'!$A$8)/365))</f>
        <v/>
      </c>
      <c r="R418" s="16" t="str">
        <f t="shared" si="41"/>
        <v/>
      </c>
      <c r="S418" s="16" t="str">
        <f>IF(Q418="","",Q418/MAX(Q$5:Q418)-1)</f>
        <v/>
      </c>
    </row>
    <row r="419" spans="1:19">
      <c r="A419" s="15" t="str">
        <f>IF('实盘净值数据(iFinD）'!A419="","",'实盘净值数据(iFinD）'!A419)</f>
        <v/>
      </c>
      <c r="B419" s="13" t="str">
        <f>IF(OR('实盘净值数据(iFinD）'!$A419="",'实盘净值数据(iFinD）'!$B419=""),"",分期持仓明细!$AB$17*SUMPRODUCT(分期持仓明细!$B$17:$Y$17,'实盘净值数据(iFinD）'!$B419:$Y419/'实盘净值数据(iFinD）'!$B$20:$Y$20)*(1-实盘持仓初始配置!$Z$4)^(('实盘净值数据(iFinD）'!$A419-'实盘净值数据(iFinD）'!$A$6)/365))</f>
        <v/>
      </c>
      <c r="C419" s="16" t="str">
        <f t="shared" si="36"/>
        <v/>
      </c>
      <c r="D419" s="16" t="str">
        <f>IF(B419="","",B419/MAX(B$5:B419)-1)</f>
        <v/>
      </c>
      <c r="E419" s="13" t="str">
        <f>IF(OR('实盘净值数据(iFinD）'!$A419="",'实盘净值数据(iFinD）'!$B419=""),"",分期持仓明细!$AB$18*SUMPRODUCT(分期持仓明细!$B$18:$Y$18,'实盘净值数据(iFinD）'!$B419:$Y419/'实盘净值数据(iFinD）'!$B$20:$Y$20)*(1-实盘持仓初始配置!$Z$5)^(('实盘净值数据(iFinD）'!$A419-'实盘净值数据(iFinD）'!$A$5)/365))</f>
        <v/>
      </c>
      <c r="F419" s="16" t="str">
        <f t="shared" si="37"/>
        <v/>
      </c>
      <c r="G419" s="16" t="str">
        <f>IF(E419="","",E419/MAX(E$5:E419)-1)</f>
        <v/>
      </c>
      <c r="H419" s="13" t="str">
        <f>IF(OR('实盘净值数据(iFinD）'!$A419="",'实盘净值数据(iFinD）'!$B419=""),"",分期持仓明细!$AB$19*SUMPRODUCT(分期持仓明细!$B$19:$Y$19,'实盘净值数据(iFinD）'!$B419:$Y419/'实盘净值数据(iFinD）'!$B$20:$Y$20)*(1-实盘持仓初始配置!$Z$6)^(('实盘净值数据(iFinD）'!$A419-'实盘净值数据(iFinD）'!$A$7)/365))</f>
        <v/>
      </c>
      <c r="I419" s="16" t="str">
        <f t="shared" si="38"/>
        <v/>
      </c>
      <c r="J419" s="16" t="str">
        <f>IF(H419="","",H419/MAX(H$5:H419)-1)</f>
        <v/>
      </c>
      <c r="K419" s="13" t="str">
        <f>IF(OR('实盘净值数据(iFinD）'!$A419="",'实盘净值数据(iFinD）'!$B419="",'实盘净值数据(iFinD）'!$Z419="",'实盘净值数据(iFinD）'!$AA419=""),"",分期持仓明细!$AB$23*(SUMPRODUCT(分期持仓明细!$B$23:$Y$23,'实盘净值数据(iFinD）'!$B419:$Y419/'实盘净值数据(iFinD）'!$B$65:$Y$65)+SUMPRODUCT(分期持仓明细!$AC$23:$AD$23,'实盘净值数据(iFinD）'!$Z419:$AA419/'实盘净值数据(iFinD）'!$Z$65:$AA$65))*(1-实盘持仓初始配置!$Z$7)^(('实盘净值数据(iFinD）'!$A419-'实盘净值数据(iFinD）'!$A$8)/365))</f>
        <v/>
      </c>
      <c r="L419" s="16" t="str">
        <f t="shared" si="39"/>
        <v/>
      </c>
      <c r="M419" s="16" t="str">
        <f>IF(K419="","",K419/MAX(K$5:K419)-1)</f>
        <v/>
      </c>
      <c r="N419" s="13" t="str">
        <f>IF(OR('实盘净值数据(iFinD）'!$A419="",'实盘净值数据(iFinD）'!$B419="",'实盘净值数据(iFinD）'!$Z419="",'实盘净值数据(iFinD）'!$AA419=""),"",分期持仓明细!$AB$24*(SUMPRODUCT(分期持仓明细!$B$24:$Y$24,'实盘净值数据(iFinD）'!$B419:$Y419/'实盘净值数据(iFinD）'!$B$65:$Y$65)+SUMPRODUCT(分期持仓明细!$AC$24:$AD$24,'实盘净值数据(iFinD）'!$Z419:$AA419/'实盘净值数据(iFinD）'!$Z$65:$AA$65))*(1-实盘持仓初始配置!$Z$8)^(('实盘净值数据(iFinD）'!$A419-'实盘净值数据(iFinD）'!$A$5)/365))</f>
        <v/>
      </c>
      <c r="O419" s="16" t="str">
        <f t="shared" si="40"/>
        <v/>
      </c>
      <c r="P419" s="16" t="str">
        <f>IF(N419="","",N419/MAX(N$5:N419)-1)</f>
        <v/>
      </c>
      <c r="Q419" s="13" t="str">
        <f>IF(OR('实盘净值数据(iFinD）'!$A419="",'实盘净值数据(iFinD）'!$B419="",'实盘净值数据(iFinD）'!$Z419="",'实盘净值数据(iFinD）'!$AA419=""),"",分期持仓明细!$AB$25*(SUMPRODUCT(分期持仓明细!$B$25:$Y$25,'实盘净值数据(iFinD）'!$B419:$Y419/'实盘净值数据(iFinD）'!$B$65:$Y$65)+SUMPRODUCT(分期持仓明细!$AC$25:$AD$25,'实盘净值数据(iFinD）'!$Z419:$AA419/'实盘净值数据(iFinD）'!$Z$65:$AA$65))*(1-实盘持仓初始配置!$Z$9)^(('实盘净值数据(iFinD）'!$A419-'实盘净值数据(iFinD）'!$A$8)/365))</f>
        <v/>
      </c>
      <c r="R419" s="16" t="str">
        <f t="shared" si="41"/>
        <v/>
      </c>
      <c r="S419" s="16" t="str">
        <f>IF(Q419="","",Q419/MAX(Q$5:Q419)-1)</f>
        <v/>
      </c>
    </row>
    <row r="420" spans="1:19">
      <c r="A420" s="15" t="str">
        <f>IF('实盘净值数据(iFinD）'!A420="","",'实盘净值数据(iFinD）'!A420)</f>
        <v/>
      </c>
      <c r="B420" s="13" t="str">
        <f>IF(OR('实盘净值数据(iFinD）'!$A420="",'实盘净值数据(iFinD）'!$B420=""),"",分期持仓明细!$AB$17*SUMPRODUCT(分期持仓明细!$B$17:$Y$17,'实盘净值数据(iFinD）'!$B420:$Y420/'实盘净值数据(iFinD）'!$B$20:$Y$20)*(1-实盘持仓初始配置!$Z$4)^(('实盘净值数据(iFinD）'!$A420-'实盘净值数据(iFinD）'!$A$6)/365))</f>
        <v/>
      </c>
      <c r="C420" s="16" t="str">
        <f t="shared" si="36"/>
        <v/>
      </c>
      <c r="D420" s="16" t="str">
        <f>IF(B420="","",B420/MAX(B$5:B420)-1)</f>
        <v/>
      </c>
      <c r="E420" s="13" t="str">
        <f>IF(OR('实盘净值数据(iFinD）'!$A420="",'实盘净值数据(iFinD）'!$B420=""),"",分期持仓明细!$AB$18*SUMPRODUCT(分期持仓明细!$B$18:$Y$18,'实盘净值数据(iFinD）'!$B420:$Y420/'实盘净值数据(iFinD）'!$B$20:$Y$20)*(1-实盘持仓初始配置!$Z$5)^(('实盘净值数据(iFinD）'!$A420-'实盘净值数据(iFinD）'!$A$5)/365))</f>
        <v/>
      </c>
      <c r="F420" s="16" t="str">
        <f t="shared" si="37"/>
        <v/>
      </c>
      <c r="G420" s="16" t="str">
        <f>IF(E420="","",E420/MAX(E$5:E420)-1)</f>
        <v/>
      </c>
      <c r="H420" s="13" t="str">
        <f>IF(OR('实盘净值数据(iFinD）'!$A420="",'实盘净值数据(iFinD）'!$B420=""),"",分期持仓明细!$AB$19*SUMPRODUCT(分期持仓明细!$B$19:$Y$19,'实盘净值数据(iFinD）'!$B420:$Y420/'实盘净值数据(iFinD）'!$B$20:$Y$20)*(1-实盘持仓初始配置!$Z$6)^(('实盘净值数据(iFinD）'!$A420-'实盘净值数据(iFinD）'!$A$7)/365))</f>
        <v/>
      </c>
      <c r="I420" s="16" t="str">
        <f t="shared" si="38"/>
        <v/>
      </c>
      <c r="J420" s="16" t="str">
        <f>IF(H420="","",H420/MAX(H$5:H420)-1)</f>
        <v/>
      </c>
      <c r="K420" s="13" t="str">
        <f>IF(OR('实盘净值数据(iFinD）'!$A420="",'实盘净值数据(iFinD）'!$B420="",'实盘净值数据(iFinD）'!$Z420="",'实盘净值数据(iFinD）'!$AA420=""),"",分期持仓明细!$AB$23*(SUMPRODUCT(分期持仓明细!$B$23:$Y$23,'实盘净值数据(iFinD）'!$B420:$Y420/'实盘净值数据(iFinD）'!$B$65:$Y$65)+SUMPRODUCT(分期持仓明细!$AC$23:$AD$23,'实盘净值数据(iFinD）'!$Z420:$AA420/'实盘净值数据(iFinD）'!$Z$65:$AA$65))*(1-实盘持仓初始配置!$Z$7)^(('实盘净值数据(iFinD）'!$A420-'实盘净值数据(iFinD）'!$A$8)/365))</f>
        <v/>
      </c>
      <c r="L420" s="16" t="str">
        <f t="shared" si="39"/>
        <v/>
      </c>
      <c r="M420" s="16" t="str">
        <f>IF(K420="","",K420/MAX(K$5:K420)-1)</f>
        <v/>
      </c>
      <c r="N420" s="13" t="str">
        <f>IF(OR('实盘净值数据(iFinD）'!$A420="",'实盘净值数据(iFinD）'!$B420="",'实盘净值数据(iFinD）'!$Z420="",'实盘净值数据(iFinD）'!$AA420=""),"",分期持仓明细!$AB$24*(SUMPRODUCT(分期持仓明细!$B$24:$Y$24,'实盘净值数据(iFinD）'!$B420:$Y420/'实盘净值数据(iFinD）'!$B$65:$Y$65)+SUMPRODUCT(分期持仓明细!$AC$24:$AD$24,'实盘净值数据(iFinD）'!$Z420:$AA420/'实盘净值数据(iFinD）'!$Z$65:$AA$65))*(1-实盘持仓初始配置!$Z$8)^(('实盘净值数据(iFinD）'!$A420-'实盘净值数据(iFinD）'!$A$5)/365))</f>
        <v/>
      </c>
      <c r="O420" s="16" t="str">
        <f t="shared" si="40"/>
        <v/>
      </c>
      <c r="P420" s="16" t="str">
        <f>IF(N420="","",N420/MAX(N$5:N420)-1)</f>
        <v/>
      </c>
      <c r="Q420" s="13" t="str">
        <f>IF(OR('实盘净值数据(iFinD）'!$A420="",'实盘净值数据(iFinD）'!$B420="",'实盘净值数据(iFinD）'!$Z420="",'实盘净值数据(iFinD）'!$AA420=""),"",分期持仓明细!$AB$25*(SUMPRODUCT(分期持仓明细!$B$25:$Y$25,'实盘净值数据(iFinD）'!$B420:$Y420/'实盘净值数据(iFinD）'!$B$65:$Y$65)+SUMPRODUCT(分期持仓明细!$AC$25:$AD$25,'实盘净值数据(iFinD）'!$Z420:$AA420/'实盘净值数据(iFinD）'!$Z$65:$AA$65))*(1-实盘持仓初始配置!$Z$9)^(('实盘净值数据(iFinD）'!$A420-'实盘净值数据(iFinD）'!$A$8)/365))</f>
        <v/>
      </c>
      <c r="R420" s="16" t="str">
        <f t="shared" si="41"/>
        <v/>
      </c>
      <c r="S420" s="16" t="str">
        <f>IF(Q420="","",Q420/MAX(Q$5:Q420)-1)</f>
        <v/>
      </c>
    </row>
    <row r="421" spans="1:19">
      <c r="A421" s="15" t="str">
        <f>IF('实盘净值数据(iFinD）'!A421="","",'实盘净值数据(iFinD）'!A421)</f>
        <v/>
      </c>
      <c r="B421" s="13" t="str">
        <f>IF(OR('实盘净值数据(iFinD）'!$A421="",'实盘净值数据(iFinD）'!$B421=""),"",分期持仓明细!$AB$17*SUMPRODUCT(分期持仓明细!$B$17:$Y$17,'实盘净值数据(iFinD）'!$B421:$Y421/'实盘净值数据(iFinD）'!$B$20:$Y$20)*(1-实盘持仓初始配置!$Z$4)^(('实盘净值数据(iFinD）'!$A421-'实盘净值数据(iFinD）'!$A$6)/365))</f>
        <v/>
      </c>
      <c r="C421" s="16" t="str">
        <f t="shared" si="36"/>
        <v/>
      </c>
      <c r="D421" s="16" t="str">
        <f>IF(B421="","",B421/MAX(B$5:B421)-1)</f>
        <v/>
      </c>
      <c r="E421" s="13" t="str">
        <f>IF(OR('实盘净值数据(iFinD）'!$A421="",'实盘净值数据(iFinD）'!$B421=""),"",分期持仓明细!$AB$18*SUMPRODUCT(分期持仓明细!$B$18:$Y$18,'实盘净值数据(iFinD）'!$B421:$Y421/'实盘净值数据(iFinD）'!$B$20:$Y$20)*(1-实盘持仓初始配置!$Z$5)^(('实盘净值数据(iFinD）'!$A421-'实盘净值数据(iFinD）'!$A$5)/365))</f>
        <v/>
      </c>
      <c r="F421" s="16" t="str">
        <f t="shared" si="37"/>
        <v/>
      </c>
      <c r="G421" s="16" t="str">
        <f>IF(E421="","",E421/MAX(E$5:E421)-1)</f>
        <v/>
      </c>
      <c r="H421" s="13" t="str">
        <f>IF(OR('实盘净值数据(iFinD）'!$A421="",'实盘净值数据(iFinD）'!$B421=""),"",分期持仓明细!$AB$19*SUMPRODUCT(分期持仓明细!$B$19:$Y$19,'实盘净值数据(iFinD）'!$B421:$Y421/'实盘净值数据(iFinD）'!$B$20:$Y$20)*(1-实盘持仓初始配置!$Z$6)^(('实盘净值数据(iFinD）'!$A421-'实盘净值数据(iFinD）'!$A$7)/365))</f>
        <v/>
      </c>
      <c r="I421" s="16" t="str">
        <f t="shared" si="38"/>
        <v/>
      </c>
      <c r="J421" s="16" t="str">
        <f>IF(H421="","",H421/MAX(H$5:H421)-1)</f>
        <v/>
      </c>
      <c r="K421" s="13" t="str">
        <f>IF(OR('实盘净值数据(iFinD）'!$A421="",'实盘净值数据(iFinD）'!$B421="",'实盘净值数据(iFinD）'!$Z421="",'实盘净值数据(iFinD）'!$AA421=""),"",分期持仓明细!$AB$23*(SUMPRODUCT(分期持仓明细!$B$23:$Y$23,'实盘净值数据(iFinD）'!$B421:$Y421/'实盘净值数据(iFinD）'!$B$65:$Y$65)+SUMPRODUCT(分期持仓明细!$AC$23:$AD$23,'实盘净值数据(iFinD）'!$Z421:$AA421/'实盘净值数据(iFinD）'!$Z$65:$AA$65))*(1-实盘持仓初始配置!$Z$7)^(('实盘净值数据(iFinD）'!$A421-'实盘净值数据(iFinD）'!$A$8)/365))</f>
        <v/>
      </c>
      <c r="L421" s="16" t="str">
        <f t="shared" si="39"/>
        <v/>
      </c>
      <c r="M421" s="16" t="str">
        <f>IF(K421="","",K421/MAX(K$5:K421)-1)</f>
        <v/>
      </c>
      <c r="N421" s="13" t="str">
        <f>IF(OR('实盘净值数据(iFinD）'!$A421="",'实盘净值数据(iFinD）'!$B421="",'实盘净值数据(iFinD）'!$Z421="",'实盘净值数据(iFinD）'!$AA421=""),"",分期持仓明细!$AB$24*(SUMPRODUCT(分期持仓明细!$B$24:$Y$24,'实盘净值数据(iFinD）'!$B421:$Y421/'实盘净值数据(iFinD）'!$B$65:$Y$65)+SUMPRODUCT(分期持仓明细!$AC$24:$AD$24,'实盘净值数据(iFinD）'!$Z421:$AA421/'实盘净值数据(iFinD）'!$Z$65:$AA$65))*(1-实盘持仓初始配置!$Z$8)^(('实盘净值数据(iFinD）'!$A421-'实盘净值数据(iFinD）'!$A$5)/365))</f>
        <v/>
      </c>
      <c r="O421" s="16" t="str">
        <f t="shared" si="40"/>
        <v/>
      </c>
      <c r="P421" s="16" t="str">
        <f>IF(N421="","",N421/MAX(N$5:N421)-1)</f>
        <v/>
      </c>
      <c r="Q421" s="13" t="str">
        <f>IF(OR('实盘净值数据(iFinD）'!$A421="",'实盘净值数据(iFinD）'!$B421="",'实盘净值数据(iFinD）'!$Z421="",'实盘净值数据(iFinD）'!$AA421=""),"",分期持仓明细!$AB$25*(SUMPRODUCT(分期持仓明细!$B$25:$Y$25,'实盘净值数据(iFinD）'!$B421:$Y421/'实盘净值数据(iFinD）'!$B$65:$Y$65)+SUMPRODUCT(分期持仓明细!$AC$25:$AD$25,'实盘净值数据(iFinD）'!$Z421:$AA421/'实盘净值数据(iFinD）'!$Z$65:$AA$65))*(1-实盘持仓初始配置!$Z$9)^(('实盘净值数据(iFinD）'!$A421-'实盘净值数据(iFinD）'!$A$8)/365))</f>
        <v/>
      </c>
      <c r="R421" s="16" t="str">
        <f t="shared" si="41"/>
        <v/>
      </c>
      <c r="S421" s="16" t="str">
        <f>IF(Q421="","",Q421/MAX(Q$5:Q421)-1)</f>
        <v/>
      </c>
    </row>
    <row r="422" spans="1:19">
      <c r="A422" s="15" t="str">
        <f>IF('实盘净值数据(iFinD）'!A422="","",'实盘净值数据(iFinD）'!A422)</f>
        <v/>
      </c>
      <c r="B422" s="13" t="str">
        <f>IF(OR('实盘净值数据(iFinD）'!$A422="",'实盘净值数据(iFinD）'!$B422=""),"",分期持仓明细!$AB$17*SUMPRODUCT(分期持仓明细!$B$17:$Y$17,'实盘净值数据(iFinD）'!$B422:$Y422/'实盘净值数据(iFinD）'!$B$20:$Y$20)*(1-实盘持仓初始配置!$Z$4)^(('实盘净值数据(iFinD）'!$A422-'实盘净值数据(iFinD）'!$A$6)/365))</f>
        <v/>
      </c>
      <c r="C422" s="16" t="str">
        <f t="shared" si="36"/>
        <v/>
      </c>
      <c r="D422" s="16" t="str">
        <f>IF(B422="","",B422/MAX(B$5:B422)-1)</f>
        <v/>
      </c>
      <c r="E422" s="13" t="str">
        <f>IF(OR('实盘净值数据(iFinD）'!$A422="",'实盘净值数据(iFinD）'!$B422=""),"",分期持仓明细!$AB$18*SUMPRODUCT(分期持仓明细!$B$18:$Y$18,'实盘净值数据(iFinD）'!$B422:$Y422/'实盘净值数据(iFinD）'!$B$20:$Y$20)*(1-实盘持仓初始配置!$Z$5)^(('实盘净值数据(iFinD）'!$A422-'实盘净值数据(iFinD）'!$A$5)/365))</f>
        <v/>
      </c>
      <c r="F422" s="16" t="str">
        <f t="shared" si="37"/>
        <v/>
      </c>
      <c r="G422" s="16" t="str">
        <f>IF(E422="","",E422/MAX(E$5:E422)-1)</f>
        <v/>
      </c>
      <c r="H422" s="13" t="str">
        <f>IF(OR('实盘净值数据(iFinD）'!$A422="",'实盘净值数据(iFinD）'!$B422=""),"",分期持仓明细!$AB$19*SUMPRODUCT(分期持仓明细!$B$19:$Y$19,'实盘净值数据(iFinD）'!$B422:$Y422/'实盘净值数据(iFinD）'!$B$20:$Y$20)*(1-实盘持仓初始配置!$Z$6)^(('实盘净值数据(iFinD）'!$A422-'实盘净值数据(iFinD）'!$A$7)/365))</f>
        <v/>
      </c>
      <c r="I422" s="16" t="str">
        <f t="shared" si="38"/>
        <v/>
      </c>
      <c r="J422" s="16" t="str">
        <f>IF(H422="","",H422/MAX(H$5:H422)-1)</f>
        <v/>
      </c>
      <c r="K422" s="13" t="str">
        <f>IF(OR('实盘净值数据(iFinD）'!$A422="",'实盘净值数据(iFinD）'!$B422="",'实盘净值数据(iFinD）'!$Z422="",'实盘净值数据(iFinD）'!$AA422=""),"",分期持仓明细!$AB$23*(SUMPRODUCT(分期持仓明细!$B$23:$Y$23,'实盘净值数据(iFinD）'!$B422:$Y422/'实盘净值数据(iFinD）'!$B$65:$Y$65)+SUMPRODUCT(分期持仓明细!$AC$23:$AD$23,'实盘净值数据(iFinD）'!$Z422:$AA422/'实盘净值数据(iFinD）'!$Z$65:$AA$65))*(1-实盘持仓初始配置!$Z$7)^(('实盘净值数据(iFinD）'!$A422-'实盘净值数据(iFinD）'!$A$8)/365))</f>
        <v/>
      </c>
      <c r="L422" s="16" t="str">
        <f t="shared" si="39"/>
        <v/>
      </c>
      <c r="M422" s="16" t="str">
        <f>IF(K422="","",K422/MAX(K$5:K422)-1)</f>
        <v/>
      </c>
      <c r="N422" s="13" t="str">
        <f>IF(OR('实盘净值数据(iFinD）'!$A422="",'实盘净值数据(iFinD）'!$B422="",'实盘净值数据(iFinD）'!$Z422="",'实盘净值数据(iFinD）'!$AA422=""),"",分期持仓明细!$AB$24*(SUMPRODUCT(分期持仓明细!$B$24:$Y$24,'实盘净值数据(iFinD）'!$B422:$Y422/'实盘净值数据(iFinD）'!$B$65:$Y$65)+SUMPRODUCT(分期持仓明细!$AC$24:$AD$24,'实盘净值数据(iFinD）'!$Z422:$AA422/'实盘净值数据(iFinD）'!$Z$65:$AA$65))*(1-实盘持仓初始配置!$Z$8)^(('实盘净值数据(iFinD）'!$A422-'实盘净值数据(iFinD）'!$A$5)/365))</f>
        <v/>
      </c>
      <c r="O422" s="16" t="str">
        <f t="shared" si="40"/>
        <v/>
      </c>
      <c r="P422" s="16" t="str">
        <f>IF(N422="","",N422/MAX(N$5:N422)-1)</f>
        <v/>
      </c>
      <c r="Q422" s="13" t="str">
        <f>IF(OR('实盘净值数据(iFinD）'!$A422="",'实盘净值数据(iFinD）'!$B422="",'实盘净值数据(iFinD）'!$Z422="",'实盘净值数据(iFinD）'!$AA422=""),"",分期持仓明细!$AB$25*(SUMPRODUCT(分期持仓明细!$B$25:$Y$25,'实盘净值数据(iFinD）'!$B422:$Y422/'实盘净值数据(iFinD）'!$B$65:$Y$65)+SUMPRODUCT(分期持仓明细!$AC$25:$AD$25,'实盘净值数据(iFinD）'!$Z422:$AA422/'实盘净值数据(iFinD）'!$Z$65:$AA$65))*(1-实盘持仓初始配置!$Z$9)^(('实盘净值数据(iFinD）'!$A422-'实盘净值数据(iFinD）'!$A$8)/365))</f>
        <v/>
      </c>
      <c r="R422" s="16" t="str">
        <f t="shared" si="41"/>
        <v/>
      </c>
      <c r="S422" s="16" t="str">
        <f>IF(Q422="","",Q422/MAX(Q$5:Q422)-1)</f>
        <v/>
      </c>
    </row>
    <row r="423" spans="1:19">
      <c r="A423" s="15" t="str">
        <f>IF('实盘净值数据(iFinD）'!A423="","",'实盘净值数据(iFinD）'!A423)</f>
        <v/>
      </c>
      <c r="B423" s="13" t="str">
        <f>IF(OR('实盘净值数据(iFinD）'!$A423="",'实盘净值数据(iFinD）'!$B423=""),"",分期持仓明细!$AB$17*SUMPRODUCT(分期持仓明细!$B$17:$Y$17,'实盘净值数据(iFinD）'!$B423:$Y423/'实盘净值数据(iFinD）'!$B$20:$Y$20)*(1-实盘持仓初始配置!$Z$4)^(('实盘净值数据(iFinD）'!$A423-'实盘净值数据(iFinD）'!$A$6)/365))</f>
        <v/>
      </c>
      <c r="C423" s="16" t="str">
        <f t="shared" si="36"/>
        <v/>
      </c>
      <c r="D423" s="16" t="str">
        <f>IF(B423="","",B423/MAX(B$5:B423)-1)</f>
        <v/>
      </c>
      <c r="E423" s="13" t="str">
        <f>IF(OR('实盘净值数据(iFinD）'!$A423="",'实盘净值数据(iFinD）'!$B423=""),"",分期持仓明细!$AB$18*SUMPRODUCT(分期持仓明细!$B$18:$Y$18,'实盘净值数据(iFinD）'!$B423:$Y423/'实盘净值数据(iFinD）'!$B$20:$Y$20)*(1-实盘持仓初始配置!$Z$5)^(('实盘净值数据(iFinD）'!$A423-'实盘净值数据(iFinD）'!$A$5)/365))</f>
        <v/>
      </c>
      <c r="F423" s="16" t="str">
        <f t="shared" si="37"/>
        <v/>
      </c>
      <c r="G423" s="16" t="str">
        <f>IF(E423="","",E423/MAX(E$5:E423)-1)</f>
        <v/>
      </c>
      <c r="H423" s="13" t="str">
        <f>IF(OR('实盘净值数据(iFinD）'!$A423="",'实盘净值数据(iFinD）'!$B423=""),"",分期持仓明细!$AB$19*SUMPRODUCT(分期持仓明细!$B$19:$Y$19,'实盘净值数据(iFinD）'!$B423:$Y423/'实盘净值数据(iFinD）'!$B$20:$Y$20)*(1-实盘持仓初始配置!$Z$6)^(('实盘净值数据(iFinD）'!$A423-'实盘净值数据(iFinD）'!$A$7)/365))</f>
        <v/>
      </c>
      <c r="I423" s="16" t="str">
        <f t="shared" si="38"/>
        <v/>
      </c>
      <c r="J423" s="16" t="str">
        <f>IF(H423="","",H423/MAX(H$5:H423)-1)</f>
        <v/>
      </c>
      <c r="K423" s="13" t="str">
        <f>IF(OR('实盘净值数据(iFinD）'!$A423="",'实盘净值数据(iFinD）'!$B423="",'实盘净值数据(iFinD）'!$Z423="",'实盘净值数据(iFinD）'!$AA423=""),"",分期持仓明细!$AB$23*(SUMPRODUCT(分期持仓明细!$B$23:$Y$23,'实盘净值数据(iFinD）'!$B423:$Y423/'实盘净值数据(iFinD）'!$B$65:$Y$65)+SUMPRODUCT(分期持仓明细!$AC$23:$AD$23,'实盘净值数据(iFinD）'!$Z423:$AA423/'实盘净值数据(iFinD）'!$Z$65:$AA$65))*(1-实盘持仓初始配置!$Z$7)^(('实盘净值数据(iFinD）'!$A423-'实盘净值数据(iFinD）'!$A$8)/365))</f>
        <v/>
      </c>
      <c r="L423" s="16" t="str">
        <f t="shared" si="39"/>
        <v/>
      </c>
      <c r="M423" s="16" t="str">
        <f>IF(K423="","",K423/MAX(K$5:K423)-1)</f>
        <v/>
      </c>
      <c r="N423" s="13" t="str">
        <f>IF(OR('实盘净值数据(iFinD）'!$A423="",'实盘净值数据(iFinD）'!$B423="",'实盘净值数据(iFinD）'!$Z423="",'实盘净值数据(iFinD）'!$AA423=""),"",分期持仓明细!$AB$24*(SUMPRODUCT(分期持仓明细!$B$24:$Y$24,'实盘净值数据(iFinD）'!$B423:$Y423/'实盘净值数据(iFinD）'!$B$65:$Y$65)+SUMPRODUCT(分期持仓明细!$AC$24:$AD$24,'实盘净值数据(iFinD）'!$Z423:$AA423/'实盘净值数据(iFinD）'!$Z$65:$AA$65))*(1-实盘持仓初始配置!$Z$8)^(('实盘净值数据(iFinD）'!$A423-'实盘净值数据(iFinD）'!$A$5)/365))</f>
        <v/>
      </c>
      <c r="O423" s="16" t="str">
        <f t="shared" si="40"/>
        <v/>
      </c>
      <c r="P423" s="16" t="str">
        <f>IF(N423="","",N423/MAX(N$5:N423)-1)</f>
        <v/>
      </c>
      <c r="Q423" s="13" t="str">
        <f>IF(OR('实盘净值数据(iFinD）'!$A423="",'实盘净值数据(iFinD）'!$B423="",'实盘净值数据(iFinD）'!$Z423="",'实盘净值数据(iFinD）'!$AA423=""),"",分期持仓明细!$AB$25*(SUMPRODUCT(分期持仓明细!$B$25:$Y$25,'实盘净值数据(iFinD）'!$B423:$Y423/'实盘净值数据(iFinD）'!$B$65:$Y$65)+SUMPRODUCT(分期持仓明细!$AC$25:$AD$25,'实盘净值数据(iFinD）'!$Z423:$AA423/'实盘净值数据(iFinD）'!$Z$65:$AA$65))*(1-实盘持仓初始配置!$Z$9)^(('实盘净值数据(iFinD）'!$A423-'实盘净值数据(iFinD）'!$A$8)/365))</f>
        <v/>
      </c>
      <c r="R423" s="16" t="str">
        <f t="shared" si="41"/>
        <v/>
      </c>
      <c r="S423" s="16" t="str">
        <f>IF(Q423="","",Q423/MAX(Q$5:Q423)-1)</f>
        <v/>
      </c>
    </row>
    <row r="424" spans="1:19">
      <c r="A424" s="15" t="str">
        <f>IF('实盘净值数据(iFinD）'!A424="","",'实盘净值数据(iFinD）'!A424)</f>
        <v/>
      </c>
      <c r="B424" s="13" t="str">
        <f>IF(OR('实盘净值数据(iFinD）'!$A424="",'实盘净值数据(iFinD）'!$B424=""),"",分期持仓明细!$AB$17*SUMPRODUCT(分期持仓明细!$B$17:$Y$17,'实盘净值数据(iFinD）'!$B424:$Y424/'实盘净值数据(iFinD）'!$B$20:$Y$20)*(1-实盘持仓初始配置!$Z$4)^(('实盘净值数据(iFinD）'!$A424-'实盘净值数据(iFinD）'!$A$6)/365))</f>
        <v/>
      </c>
      <c r="C424" s="16" t="str">
        <f t="shared" si="36"/>
        <v/>
      </c>
      <c r="D424" s="16" t="str">
        <f>IF(B424="","",B424/MAX(B$5:B424)-1)</f>
        <v/>
      </c>
      <c r="E424" s="13" t="str">
        <f>IF(OR('实盘净值数据(iFinD）'!$A424="",'实盘净值数据(iFinD）'!$B424=""),"",分期持仓明细!$AB$18*SUMPRODUCT(分期持仓明细!$B$18:$Y$18,'实盘净值数据(iFinD）'!$B424:$Y424/'实盘净值数据(iFinD）'!$B$20:$Y$20)*(1-实盘持仓初始配置!$Z$5)^(('实盘净值数据(iFinD）'!$A424-'实盘净值数据(iFinD）'!$A$5)/365))</f>
        <v/>
      </c>
      <c r="F424" s="16" t="str">
        <f t="shared" si="37"/>
        <v/>
      </c>
      <c r="G424" s="16" t="str">
        <f>IF(E424="","",E424/MAX(E$5:E424)-1)</f>
        <v/>
      </c>
      <c r="H424" s="13" t="str">
        <f>IF(OR('实盘净值数据(iFinD）'!$A424="",'实盘净值数据(iFinD）'!$B424=""),"",分期持仓明细!$AB$19*SUMPRODUCT(分期持仓明细!$B$19:$Y$19,'实盘净值数据(iFinD）'!$B424:$Y424/'实盘净值数据(iFinD）'!$B$20:$Y$20)*(1-实盘持仓初始配置!$Z$6)^(('实盘净值数据(iFinD）'!$A424-'实盘净值数据(iFinD）'!$A$7)/365))</f>
        <v/>
      </c>
      <c r="I424" s="16" t="str">
        <f t="shared" si="38"/>
        <v/>
      </c>
      <c r="J424" s="16" t="str">
        <f>IF(H424="","",H424/MAX(H$5:H424)-1)</f>
        <v/>
      </c>
      <c r="K424" s="13" t="str">
        <f>IF(OR('实盘净值数据(iFinD）'!$A424="",'实盘净值数据(iFinD）'!$B424="",'实盘净值数据(iFinD）'!$Z424="",'实盘净值数据(iFinD）'!$AA424=""),"",分期持仓明细!$AB$23*(SUMPRODUCT(分期持仓明细!$B$23:$Y$23,'实盘净值数据(iFinD）'!$B424:$Y424/'实盘净值数据(iFinD）'!$B$65:$Y$65)+SUMPRODUCT(分期持仓明细!$AC$23:$AD$23,'实盘净值数据(iFinD）'!$Z424:$AA424/'实盘净值数据(iFinD）'!$Z$65:$AA$65))*(1-实盘持仓初始配置!$Z$7)^(('实盘净值数据(iFinD）'!$A424-'实盘净值数据(iFinD）'!$A$8)/365))</f>
        <v/>
      </c>
      <c r="L424" s="16" t="str">
        <f t="shared" si="39"/>
        <v/>
      </c>
      <c r="M424" s="16" t="str">
        <f>IF(K424="","",K424/MAX(K$5:K424)-1)</f>
        <v/>
      </c>
      <c r="N424" s="13" t="str">
        <f>IF(OR('实盘净值数据(iFinD）'!$A424="",'实盘净值数据(iFinD）'!$B424="",'实盘净值数据(iFinD）'!$Z424="",'实盘净值数据(iFinD）'!$AA424=""),"",分期持仓明细!$AB$24*(SUMPRODUCT(分期持仓明细!$B$24:$Y$24,'实盘净值数据(iFinD）'!$B424:$Y424/'实盘净值数据(iFinD）'!$B$65:$Y$65)+SUMPRODUCT(分期持仓明细!$AC$24:$AD$24,'实盘净值数据(iFinD）'!$Z424:$AA424/'实盘净值数据(iFinD）'!$Z$65:$AA$65))*(1-实盘持仓初始配置!$Z$8)^(('实盘净值数据(iFinD）'!$A424-'实盘净值数据(iFinD）'!$A$5)/365))</f>
        <v/>
      </c>
      <c r="O424" s="16" t="str">
        <f t="shared" si="40"/>
        <v/>
      </c>
      <c r="P424" s="16" t="str">
        <f>IF(N424="","",N424/MAX(N$5:N424)-1)</f>
        <v/>
      </c>
      <c r="Q424" s="13" t="str">
        <f>IF(OR('实盘净值数据(iFinD）'!$A424="",'实盘净值数据(iFinD）'!$B424="",'实盘净值数据(iFinD）'!$Z424="",'实盘净值数据(iFinD）'!$AA424=""),"",分期持仓明细!$AB$25*(SUMPRODUCT(分期持仓明细!$B$25:$Y$25,'实盘净值数据(iFinD）'!$B424:$Y424/'实盘净值数据(iFinD）'!$B$65:$Y$65)+SUMPRODUCT(分期持仓明细!$AC$25:$AD$25,'实盘净值数据(iFinD）'!$Z424:$AA424/'实盘净值数据(iFinD）'!$Z$65:$AA$65))*(1-实盘持仓初始配置!$Z$9)^(('实盘净值数据(iFinD）'!$A424-'实盘净值数据(iFinD）'!$A$8)/365))</f>
        <v/>
      </c>
      <c r="R424" s="16" t="str">
        <f t="shared" si="41"/>
        <v/>
      </c>
      <c r="S424" s="16" t="str">
        <f>IF(Q424="","",Q424/MAX(Q$5:Q424)-1)</f>
        <v/>
      </c>
    </row>
    <row r="425" spans="1:19">
      <c r="A425" s="15" t="str">
        <f>IF('实盘净值数据(iFinD）'!A425="","",'实盘净值数据(iFinD）'!A425)</f>
        <v/>
      </c>
      <c r="B425" s="13" t="str">
        <f>IF(OR('实盘净值数据(iFinD）'!$A425="",'实盘净值数据(iFinD）'!$B425=""),"",分期持仓明细!$AB$17*SUMPRODUCT(分期持仓明细!$B$17:$Y$17,'实盘净值数据(iFinD）'!$B425:$Y425/'实盘净值数据(iFinD）'!$B$20:$Y$20)*(1-实盘持仓初始配置!$Z$4)^(('实盘净值数据(iFinD）'!$A425-'实盘净值数据(iFinD）'!$A$6)/365))</f>
        <v/>
      </c>
      <c r="C425" s="16" t="str">
        <f t="shared" si="36"/>
        <v/>
      </c>
      <c r="D425" s="16" t="str">
        <f>IF(B425="","",B425/MAX(B$5:B425)-1)</f>
        <v/>
      </c>
      <c r="E425" s="13" t="str">
        <f>IF(OR('实盘净值数据(iFinD）'!$A425="",'实盘净值数据(iFinD）'!$B425=""),"",分期持仓明细!$AB$18*SUMPRODUCT(分期持仓明细!$B$18:$Y$18,'实盘净值数据(iFinD）'!$B425:$Y425/'实盘净值数据(iFinD）'!$B$20:$Y$20)*(1-实盘持仓初始配置!$Z$5)^(('实盘净值数据(iFinD）'!$A425-'实盘净值数据(iFinD）'!$A$5)/365))</f>
        <v/>
      </c>
      <c r="F425" s="16" t="str">
        <f t="shared" si="37"/>
        <v/>
      </c>
      <c r="G425" s="16" t="str">
        <f>IF(E425="","",E425/MAX(E$5:E425)-1)</f>
        <v/>
      </c>
      <c r="H425" s="13" t="str">
        <f>IF(OR('实盘净值数据(iFinD）'!$A425="",'实盘净值数据(iFinD）'!$B425=""),"",分期持仓明细!$AB$19*SUMPRODUCT(分期持仓明细!$B$19:$Y$19,'实盘净值数据(iFinD）'!$B425:$Y425/'实盘净值数据(iFinD）'!$B$20:$Y$20)*(1-实盘持仓初始配置!$Z$6)^(('实盘净值数据(iFinD）'!$A425-'实盘净值数据(iFinD）'!$A$7)/365))</f>
        <v/>
      </c>
      <c r="I425" s="16" t="str">
        <f t="shared" si="38"/>
        <v/>
      </c>
      <c r="J425" s="16" t="str">
        <f>IF(H425="","",H425/MAX(H$5:H425)-1)</f>
        <v/>
      </c>
      <c r="K425" s="13" t="str">
        <f>IF(OR('实盘净值数据(iFinD）'!$A425="",'实盘净值数据(iFinD）'!$B425="",'实盘净值数据(iFinD）'!$Z425="",'实盘净值数据(iFinD）'!$AA425=""),"",分期持仓明细!$AB$23*(SUMPRODUCT(分期持仓明细!$B$23:$Y$23,'实盘净值数据(iFinD）'!$B425:$Y425/'实盘净值数据(iFinD）'!$B$65:$Y$65)+SUMPRODUCT(分期持仓明细!$AC$23:$AD$23,'实盘净值数据(iFinD）'!$Z425:$AA425/'实盘净值数据(iFinD）'!$Z$65:$AA$65))*(1-实盘持仓初始配置!$Z$7)^(('实盘净值数据(iFinD）'!$A425-'实盘净值数据(iFinD）'!$A$8)/365))</f>
        <v/>
      </c>
      <c r="L425" s="16" t="str">
        <f t="shared" si="39"/>
        <v/>
      </c>
      <c r="M425" s="16" t="str">
        <f>IF(K425="","",K425/MAX(K$5:K425)-1)</f>
        <v/>
      </c>
      <c r="N425" s="13" t="str">
        <f>IF(OR('实盘净值数据(iFinD）'!$A425="",'实盘净值数据(iFinD）'!$B425="",'实盘净值数据(iFinD）'!$Z425="",'实盘净值数据(iFinD）'!$AA425=""),"",分期持仓明细!$AB$24*(SUMPRODUCT(分期持仓明细!$B$24:$Y$24,'实盘净值数据(iFinD）'!$B425:$Y425/'实盘净值数据(iFinD）'!$B$65:$Y$65)+SUMPRODUCT(分期持仓明细!$AC$24:$AD$24,'实盘净值数据(iFinD）'!$Z425:$AA425/'实盘净值数据(iFinD）'!$Z$65:$AA$65))*(1-实盘持仓初始配置!$Z$8)^(('实盘净值数据(iFinD）'!$A425-'实盘净值数据(iFinD）'!$A$5)/365))</f>
        <v/>
      </c>
      <c r="O425" s="16" t="str">
        <f t="shared" si="40"/>
        <v/>
      </c>
      <c r="P425" s="16" t="str">
        <f>IF(N425="","",N425/MAX(N$5:N425)-1)</f>
        <v/>
      </c>
      <c r="Q425" s="13" t="str">
        <f>IF(OR('实盘净值数据(iFinD）'!$A425="",'实盘净值数据(iFinD）'!$B425="",'实盘净值数据(iFinD）'!$Z425="",'实盘净值数据(iFinD）'!$AA425=""),"",分期持仓明细!$AB$25*(SUMPRODUCT(分期持仓明细!$B$25:$Y$25,'实盘净值数据(iFinD）'!$B425:$Y425/'实盘净值数据(iFinD）'!$B$65:$Y$65)+SUMPRODUCT(分期持仓明细!$AC$25:$AD$25,'实盘净值数据(iFinD）'!$Z425:$AA425/'实盘净值数据(iFinD）'!$Z$65:$AA$65))*(1-实盘持仓初始配置!$Z$9)^(('实盘净值数据(iFinD）'!$A425-'实盘净值数据(iFinD）'!$A$8)/365))</f>
        <v/>
      </c>
      <c r="R425" s="16" t="str">
        <f t="shared" si="41"/>
        <v/>
      </c>
      <c r="S425" s="16" t="str">
        <f>IF(Q425="","",Q425/MAX(Q$5:Q425)-1)</f>
        <v/>
      </c>
    </row>
    <row r="426" spans="1:19">
      <c r="A426" s="15" t="str">
        <f>IF('实盘净值数据(iFinD）'!A426="","",'实盘净值数据(iFinD）'!A426)</f>
        <v/>
      </c>
      <c r="B426" s="13" t="str">
        <f>IF(OR('实盘净值数据(iFinD）'!$A426="",'实盘净值数据(iFinD）'!$B426=""),"",分期持仓明细!$AB$17*SUMPRODUCT(分期持仓明细!$B$17:$Y$17,'实盘净值数据(iFinD）'!$B426:$Y426/'实盘净值数据(iFinD）'!$B$20:$Y$20)*(1-实盘持仓初始配置!$Z$4)^(('实盘净值数据(iFinD）'!$A426-'实盘净值数据(iFinD）'!$A$6)/365))</f>
        <v/>
      </c>
      <c r="C426" s="16" t="str">
        <f t="shared" si="36"/>
        <v/>
      </c>
      <c r="D426" s="16" t="str">
        <f>IF(B426="","",B426/MAX(B$5:B426)-1)</f>
        <v/>
      </c>
      <c r="E426" s="13" t="str">
        <f>IF(OR('实盘净值数据(iFinD）'!$A426="",'实盘净值数据(iFinD）'!$B426=""),"",分期持仓明细!$AB$18*SUMPRODUCT(分期持仓明细!$B$18:$Y$18,'实盘净值数据(iFinD）'!$B426:$Y426/'实盘净值数据(iFinD）'!$B$20:$Y$20)*(1-实盘持仓初始配置!$Z$5)^(('实盘净值数据(iFinD）'!$A426-'实盘净值数据(iFinD）'!$A$5)/365))</f>
        <v/>
      </c>
      <c r="F426" s="16" t="str">
        <f t="shared" si="37"/>
        <v/>
      </c>
      <c r="G426" s="16" t="str">
        <f>IF(E426="","",E426/MAX(E$5:E426)-1)</f>
        <v/>
      </c>
      <c r="H426" s="13" t="str">
        <f>IF(OR('实盘净值数据(iFinD）'!$A426="",'实盘净值数据(iFinD）'!$B426=""),"",分期持仓明细!$AB$19*SUMPRODUCT(分期持仓明细!$B$19:$Y$19,'实盘净值数据(iFinD）'!$B426:$Y426/'实盘净值数据(iFinD）'!$B$20:$Y$20)*(1-实盘持仓初始配置!$Z$6)^(('实盘净值数据(iFinD）'!$A426-'实盘净值数据(iFinD）'!$A$7)/365))</f>
        <v/>
      </c>
      <c r="I426" s="16" t="str">
        <f t="shared" si="38"/>
        <v/>
      </c>
      <c r="J426" s="16" t="str">
        <f>IF(H426="","",H426/MAX(H$5:H426)-1)</f>
        <v/>
      </c>
      <c r="K426" s="13" t="str">
        <f>IF(OR('实盘净值数据(iFinD）'!$A426="",'实盘净值数据(iFinD）'!$B426="",'实盘净值数据(iFinD）'!$Z426="",'实盘净值数据(iFinD）'!$AA426=""),"",分期持仓明细!$AB$23*(SUMPRODUCT(分期持仓明细!$B$23:$Y$23,'实盘净值数据(iFinD）'!$B426:$Y426/'实盘净值数据(iFinD）'!$B$65:$Y$65)+SUMPRODUCT(分期持仓明细!$AC$23:$AD$23,'实盘净值数据(iFinD）'!$Z426:$AA426/'实盘净值数据(iFinD）'!$Z$65:$AA$65))*(1-实盘持仓初始配置!$Z$7)^(('实盘净值数据(iFinD）'!$A426-'实盘净值数据(iFinD）'!$A$8)/365))</f>
        <v/>
      </c>
      <c r="L426" s="16" t="str">
        <f t="shared" si="39"/>
        <v/>
      </c>
      <c r="M426" s="16" t="str">
        <f>IF(K426="","",K426/MAX(K$5:K426)-1)</f>
        <v/>
      </c>
      <c r="N426" s="13" t="str">
        <f>IF(OR('实盘净值数据(iFinD）'!$A426="",'实盘净值数据(iFinD）'!$B426="",'实盘净值数据(iFinD）'!$Z426="",'实盘净值数据(iFinD）'!$AA426=""),"",分期持仓明细!$AB$24*(SUMPRODUCT(分期持仓明细!$B$24:$Y$24,'实盘净值数据(iFinD）'!$B426:$Y426/'实盘净值数据(iFinD）'!$B$65:$Y$65)+SUMPRODUCT(分期持仓明细!$AC$24:$AD$24,'实盘净值数据(iFinD）'!$Z426:$AA426/'实盘净值数据(iFinD）'!$Z$65:$AA$65))*(1-实盘持仓初始配置!$Z$8)^(('实盘净值数据(iFinD）'!$A426-'实盘净值数据(iFinD）'!$A$5)/365))</f>
        <v/>
      </c>
      <c r="O426" s="16" t="str">
        <f t="shared" si="40"/>
        <v/>
      </c>
      <c r="P426" s="16" t="str">
        <f>IF(N426="","",N426/MAX(N$5:N426)-1)</f>
        <v/>
      </c>
      <c r="Q426" s="13" t="str">
        <f>IF(OR('实盘净值数据(iFinD）'!$A426="",'实盘净值数据(iFinD）'!$B426="",'实盘净值数据(iFinD）'!$Z426="",'实盘净值数据(iFinD）'!$AA426=""),"",分期持仓明细!$AB$25*(SUMPRODUCT(分期持仓明细!$B$25:$Y$25,'实盘净值数据(iFinD）'!$B426:$Y426/'实盘净值数据(iFinD）'!$B$65:$Y$65)+SUMPRODUCT(分期持仓明细!$AC$25:$AD$25,'实盘净值数据(iFinD）'!$Z426:$AA426/'实盘净值数据(iFinD）'!$Z$65:$AA$65))*(1-实盘持仓初始配置!$Z$9)^(('实盘净值数据(iFinD）'!$A426-'实盘净值数据(iFinD）'!$A$8)/365))</f>
        <v/>
      </c>
      <c r="R426" s="16" t="str">
        <f t="shared" si="41"/>
        <v/>
      </c>
      <c r="S426" s="16" t="str">
        <f>IF(Q426="","",Q426/MAX(Q$5:Q426)-1)</f>
        <v/>
      </c>
    </row>
    <row r="427" spans="1:19">
      <c r="A427" s="15" t="str">
        <f>IF('实盘净值数据(iFinD）'!A427="","",'实盘净值数据(iFinD）'!A427)</f>
        <v/>
      </c>
      <c r="B427" s="13" t="str">
        <f>IF(OR('实盘净值数据(iFinD）'!$A427="",'实盘净值数据(iFinD）'!$B427=""),"",分期持仓明细!$AB$17*SUMPRODUCT(分期持仓明细!$B$17:$Y$17,'实盘净值数据(iFinD）'!$B427:$Y427/'实盘净值数据(iFinD）'!$B$20:$Y$20)*(1-实盘持仓初始配置!$Z$4)^(('实盘净值数据(iFinD）'!$A427-'实盘净值数据(iFinD）'!$A$6)/365))</f>
        <v/>
      </c>
      <c r="C427" s="16" t="str">
        <f t="shared" si="36"/>
        <v/>
      </c>
      <c r="D427" s="16" t="str">
        <f>IF(B427="","",B427/MAX(B$5:B427)-1)</f>
        <v/>
      </c>
      <c r="E427" s="13" t="str">
        <f>IF(OR('实盘净值数据(iFinD）'!$A427="",'实盘净值数据(iFinD）'!$B427=""),"",分期持仓明细!$AB$18*SUMPRODUCT(分期持仓明细!$B$18:$Y$18,'实盘净值数据(iFinD）'!$B427:$Y427/'实盘净值数据(iFinD）'!$B$20:$Y$20)*(1-实盘持仓初始配置!$Z$5)^(('实盘净值数据(iFinD）'!$A427-'实盘净值数据(iFinD）'!$A$5)/365))</f>
        <v/>
      </c>
      <c r="F427" s="16" t="str">
        <f t="shared" si="37"/>
        <v/>
      </c>
      <c r="G427" s="16" t="str">
        <f>IF(E427="","",E427/MAX(E$5:E427)-1)</f>
        <v/>
      </c>
      <c r="H427" s="13" t="str">
        <f>IF(OR('实盘净值数据(iFinD）'!$A427="",'实盘净值数据(iFinD）'!$B427=""),"",分期持仓明细!$AB$19*SUMPRODUCT(分期持仓明细!$B$19:$Y$19,'实盘净值数据(iFinD）'!$B427:$Y427/'实盘净值数据(iFinD）'!$B$20:$Y$20)*(1-实盘持仓初始配置!$Z$6)^(('实盘净值数据(iFinD）'!$A427-'实盘净值数据(iFinD）'!$A$7)/365))</f>
        <v/>
      </c>
      <c r="I427" s="16" t="str">
        <f t="shared" si="38"/>
        <v/>
      </c>
      <c r="J427" s="16" t="str">
        <f>IF(H427="","",H427/MAX(H$5:H427)-1)</f>
        <v/>
      </c>
      <c r="K427" s="13" t="str">
        <f>IF(OR('实盘净值数据(iFinD）'!$A427="",'实盘净值数据(iFinD）'!$B427="",'实盘净值数据(iFinD）'!$Z427="",'实盘净值数据(iFinD）'!$AA427=""),"",分期持仓明细!$AB$23*(SUMPRODUCT(分期持仓明细!$B$23:$Y$23,'实盘净值数据(iFinD）'!$B427:$Y427/'实盘净值数据(iFinD）'!$B$65:$Y$65)+SUMPRODUCT(分期持仓明细!$AC$23:$AD$23,'实盘净值数据(iFinD）'!$Z427:$AA427/'实盘净值数据(iFinD）'!$Z$65:$AA$65))*(1-实盘持仓初始配置!$Z$7)^(('实盘净值数据(iFinD）'!$A427-'实盘净值数据(iFinD）'!$A$8)/365))</f>
        <v/>
      </c>
      <c r="L427" s="16" t="str">
        <f t="shared" si="39"/>
        <v/>
      </c>
      <c r="M427" s="16" t="str">
        <f>IF(K427="","",K427/MAX(K$5:K427)-1)</f>
        <v/>
      </c>
      <c r="N427" s="13" t="str">
        <f>IF(OR('实盘净值数据(iFinD）'!$A427="",'实盘净值数据(iFinD）'!$B427="",'实盘净值数据(iFinD）'!$Z427="",'实盘净值数据(iFinD）'!$AA427=""),"",分期持仓明细!$AB$24*(SUMPRODUCT(分期持仓明细!$B$24:$Y$24,'实盘净值数据(iFinD）'!$B427:$Y427/'实盘净值数据(iFinD）'!$B$65:$Y$65)+SUMPRODUCT(分期持仓明细!$AC$24:$AD$24,'实盘净值数据(iFinD）'!$Z427:$AA427/'实盘净值数据(iFinD）'!$Z$65:$AA$65))*(1-实盘持仓初始配置!$Z$8)^(('实盘净值数据(iFinD）'!$A427-'实盘净值数据(iFinD）'!$A$5)/365))</f>
        <v/>
      </c>
      <c r="O427" s="16" t="str">
        <f t="shared" si="40"/>
        <v/>
      </c>
      <c r="P427" s="16" t="str">
        <f>IF(N427="","",N427/MAX(N$5:N427)-1)</f>
        <v/>
      </c>
      <c r="Q427" s="13" t="str">
        <f>IF(OR('实盘净值数据(iFinD）'!$A427="",'实盘净值数据(iFinD）'!$B427="",'实盘净值数据(iFinD）'!$Z427="",'实盘净值数据(iFinD）'!$AA427=""),"",分期持仓明细!$AB$25*(SUMPRODUCT(分期持仓明细!$B$25:$Y$25,'实盘净值数据(iFinD）'!$B427:$Y427/'实盘净值数据(iFinD）'!$B$65:$Y$65)+SUMPRODUCT(分期持仓明细!$AC$25:$AD$25,'实盘净值数据(iFinD）'!$Z427:$AA427/'实盘净值数据(iFinD）'!$Z$65:$AA$65))*(1-实盘持仓初始配置!$Z$9)^(('实盘净值数据(iFinD）'!$A427-'实盘净值数据(iFinD）'!$A$8)/365))</f>
        <v/>
      </c>
      <c r="R427" s="16" t="str">
        <f t="shared" si="41"/>
        <v/>
      </c>
      <c r="S427" s="16" t="str">
        <f>IF(Q427="","",Q427/MAX(Q$5:Q427)-1)</f>
        <v/>
      </c>
    </row>
    <row r="428" spans="1:19">
      <c r="A428" s="15" t="str">
        <f>IF('实盘净值数据(iFinD）'!A428="","",'实盘净值数据(iFinD）'!A428)</f>
        <v/>
      </c>
      <c r="B428" s="13" t="str">
        <f>IF(OR('实盘净值数据(iFinD）'!$A428="",'实盘净值数据(iFinD）'!$B428=""),"",分期持仓明细!$AB$17*SUMPRODUCT(分期持仓明细!$B$17:$Y$17,'实盘净值数据(iFinD）'!$B428:$Y428/'实盘净值数据(iFinD）'!$B$20:$Y$20)*(1-实盘持仓初始配置!$Z$4)^(('实盘净值数据(iFinD）'!$A428-'实盘净值数据(iFinD）'!$A$6)/365))</f>
        <v/>
      </c>
      <c r="C428" s="16" t="str">
        <f t="shared" si="36"/>
        <v/>
      </c>
      <c r="D428" s="16" t="str">
        <f>IF(B428="","",B428/MAX(B$5:B428)-1)</f>
        <v/>
      </c>
      <c r="E428" s="13" t="str">
        <f>IF(OR('实盘净值数据(iFinD）'!$A428="",'实盘净值数据(iFinD）'!$B428=""),"",分期持仓明细!$AB$18*SUMPRODUCT(分期持仓明细!$B$18:$Y$18,'实盘净值数据(iFinD）'!$B428:$Y428/'实盘净值数据(iFinD）'!$B$20:$Y$20)*(1-实盘持仓初始配置!$Z$5)^(('实盘净值数据(iFinD）'!$A428-'实盘净值数据(iFinD）'!$A$5)/365))</f>
        <v/>
      </c>
      <c r="F428" s="16" t="str">
        <f t="shared" si="37"/>
        <v/>
      </c>
      <c r="G428" s="16" t="str">
        <f>IF(E428="","",E428/MAX(E$5:E428)-1)</f>
        <v/>
      </c>
      <c r="H428" s="13" t="str">
        <f>IF(OR('实盘净值数据(iFinD）'!$A428="",'实盘净值数据(iFinD）'!$B428=""),"",分期持仓明细!$AB$19*SUMPRODUCT(分期持仓明细!$B$19:$Y$19,'实盘净值数据(iFinD）'!$B428:$Y428/'实盘净值数据(iFinD）'!$B$20:$Y$20)*(1-实盘持仓初始配置!$Z$6)^(('实盘净值数据(iFinD）'!$A428-'实盘净值数据(iFinD）'!$A$7)/365))</f>
        <v/>
      </c>
      <c r="I428" s="16" t="str">
        <f t="shared" si="38"/>
        <v/>
      </c>
      <c r="J428" s="16" t="str">
        <f>IF(H428="","",H428/MAX(H$5:H428)-1)</f>
        <v/>
      </c>
      <c r="K428" s="13" t="str">
        <f>IF(OR('实盘净值数据(iFinD）'!$A428="",'实盘净值数据(iFinD）'!$B428="",'实盘净值数据(iFinD）'!$Z428="",'实盘净值数据(iFinD）'!$AA428=""),"",分期持仓明细!$AB$23*(SUMPRODUCT(分期持仓明细!$B$23:$Y$23,'实盘净值数据(iFinD）'!$B428:$Y428/'实盘净值数据(iFinD）'!$B$65:$Y$65)+SUMPRODUCT(分期持仓明细!$AC$23:$AD$23,'实盘净值数据(iFinD）'!$Z428:$AA428/'实盘净值数据(iFinD）'!$Z$65:$AA$65))*(1-实盘持仓初始配置!$Z$7)^(('实盘净值数据(iFinD）'!$A428-'实盘净值数据(iFinD）'!$A$8)/365))</f>
        <v/>
      </c>
      <c r="L428" s="16" t="str">
        <f t="shared" si="39"/>
        <v/>
      </c>
      <c r="M428" s="16" t="str">
        <f>IF(K428="","",K428/MAX(K$5:K428)-1)</f>
        <v/>
      </c>
      <c r="N428" s="13" t="str">
        <f>IF(OR('实盘净值数据(iFinD）'!$A428="",'实盘净值数据(iFinD）'!$B428="",'实盘净值数据(iFinD）'!$Z428="",'实盘净值数据(iFinD）'!$AA428=""),"",分期持仓明细!$AB$24*(SUMPRODUCT(分期持仓明细!$B$24:$Y$24,'实盘净值数据(iFinD）'!$B428:$Y428/'实盘净值数据(iFinD）'!$B$65:$Y$65)+SUMPRODUCT(分期持仓明细!$AC$24:$AD$24,'实盘净值数据(iFinD）'!$Z428:$AA428/'实盘净值数据(iFinD）'!$Z$65:$AA$65))*(1-实盘持仓初始配置!$Z$8)^(('实盘净值数据(iFinD）'!$A428-'实盘净值数据(iFinD）'!$A$5)/365))</f>
        <v/>
      </c>
      <c r="O428" s="16" t="str">
        <f t="shared" si="40"/>
        <v/>
      </c>
      <c r="P428" s="16" t="str">
        <f>IF(N428="","",N428/MAX(N$5:N428)-1)</f>
        <v/>
      </c>
      <c r="Q428" s="13" t="str">
        <f>IF(OR('实盘净值数据(iFinD）'!$A428="",'实盘净值数据(iFinD）'!$B428="",'实盘净值数据(iFinD）'!$Z428="",'实盘净值数据(iFinD）'!$AA428=""),"",分期持仓明细!$AB$25*(SUMPRODUCT(分期持仓明细!$B$25:$Y$25,'实盘净值数据(iFinD）'!$B428:$Y428/'实盘净值数据(iFinD）'!$B$65:$Y$65)+SUMPRODUCT(分期持仓明细!$AC$25:$AD$25,'实盘净值数据(iFinD）'!$Z428:$AA428/'实盘净值数据(iFinD）'!$Z$65:$AA$65))*(1-实盘持仓初始配置!$Z$9)^(('实盘净值数据(iFinD）'!$A428-'实盘净值数据(iFinD）'!$A$8)/365))</f>
        <v/>
      </c>
      <c r="R428" s="16" t="str">
        <f t="shared" si="41"/>
        <v/>
      </c>
      <c r="S428" s="16" t="str">
        <f>IF(Q428="","",Q428/MAX(Q$5:Q428)-1)</f>
        <v/>
      </c>
    </row>
    <row r="429" spans="1:19">
      <c r="A429" s="15" t="str">
        <f>IF('实盘净值数据(iFinD）'!A429="","",'实盘净值数据(iFinD）'!A429)</f>
        <v/>
      </c>
      <c r="B429" s="13" t="str">
        <f>IF(OR('实盘净值数据(iFinD）'!$A429="",'实盘净值数据(iFinD）'!$B429=""),"",分期持仓明细!$AB$17*SUMPRODUCT(分期持仓明细!$B$17:$Y$17,'实盘净值数据(iFinD）'!$B429:$Y429/'实盘净值数据(iFinD）'!$B$20:$Y$20)*(1-实盘持仓初始配置!$Z$4)^(('实盘净值数据(iFinD）'!$A429-'实盘净值数据(iFinD）'!$A$6)/365))</f>
        <v/>
      </c>
      <c r="C429" s="16" t="str">
        <f t="shared" si="36"/>
        <v/>
      </c>
      <c r="D429" s="16" t="str">
        <f>IF(B429="","",B429/MAX(B$5:B429)-1)</f>
        <v/>
      </c>
      <c r="E429" s="13" t="str">
        <f>IF(OR('实盘净值数据(iFinD）'!$A429="",'实盘净值数据(iFinD）'!$B429=""),"",分期持仓明细!$AB$18*SUMPRODUCT(分期持仓明细!$B$18:$Y$18,'实盘净值数据(iFinD）'!$B429:$Y429/'实盘净值数据(iFinD）'!$B$20:$Y$20)*(1-实盘持仓初始配置!$Z$5)^(('实盘净值数据(iFinD）'!$A429-'实盘净值数据(iFinD）'!$A$5)/365))</f>
        <v/>
      </c>
      <c r="F429" s="16" t="str">
        <f t="shared" si="37"/>
        <v/>
      </c>
      <c r="G429" s="16" t="str">
        <f>IF(E429="","",E429/MAX(E$5:E429)-1)</f>
        <v/>
      </c>
      <c r="H429" s="13" t="str">
        <f>IF(OR('实盘净值数据(iFinD）'!$A429="",'实盘净值数据(iFinD）'!$B429=""),"",分期持仓明细!$AB$19*SUMPRODUCT(分期持仓明细!$B$19:$Y$19,'实盘净值数据(iFinD）'!$B429:$Y429/'实盘净值数据(iFinD）'!$B$20:$Y$20)*(1-实盘持仓初始配置!$Z$6)^(('实盘净值数据(iFinD）'!$A429-'实盘净值数据(iFinD）'!$A$7)/365))</f>
        <v/>
      </c>
      <c r="I429" s="16" t="str">
        <f t="shared" si="38"/>
        <v/>
      </c>
      <c r="J429" s="16" t="str">
        <f>IF(H429="","",H429/MAX(H$5:H429)-1)</f>
        <v/>
      </c>
      <c r="K429" s="13" t="str">
        <f>IF(OR('实盘净值数据(iFinD）'!$A429="",'实盘净值数据(iFinD）'!$B429="",'实盘净值数据(iFinD）'!$Z429="",'实盘净值数据(iFinD）'!$AA429=""),"",分期持仓明细!$AB$23*(SUMPRODUCT(分期持仓明细!$B$23:$Y$23,'实盘净值数据(iFinD）'!$B429:$Y429/'实盘净值数据(iFinD）'!$B$65:$Y$65)+SUMPRODUCT(分期持仓明细!$AC$23:$AD$23,'实盘净值数据(iFinD）'!$Z429:$AA429/'实盘净值数据(iFinD）'!$Z$65:$AA$65))*(1-实盘持仓初始配置!$Z$7)^(('实盘净值数据(iFinD）'!$A429-'实盘净值数据(iFinD）'!$A$8)/365))</f>
        <v/>
      </c>
      <c r="L429" s="16" t="str">
        <f t="shared" si="39"/>
        <v/>
      </c>
      <c r="M429" s="16" t="str">
        <f>IF(K429="","",K429/MAX(K$5:K429)-1)</f>
        <v/>
      </c>
      <c r="N429" s="13" t="str">
        <f>IF(OR('实盘净值数据(iFinD）'!$A429="",'实盘净值数据(iFinD）'!$B429="",'实盘净值数据(iFinD）'!$Z429="",'实盘净值数据(iFinD）'!$AA429=""),"",分期持仓明细!$AB$24*(SUMPRODUCT(分期持仓明细!$B$24:$Y$24,'实盘净值数据(iFinD）'!$B429:$Y429/'实盘净值数据(iFinD）'!$B$65:$Y$65)+SUMPRODUCT(分期持仓明细!$AC$24:$AD$24,'实盘净值数据(iFinD）'!$Z429:$AA429/'实盘净值数据(iFinD）'!$Z$65:$AA$65))*(1-实盘持仓初始配置!$Z$8)^(('实盘净值数据(iFinD）'!$A429-'实盘净值数据(iFinD）'!$A$5)/365))</f>
        <v/>
      </c>
      <c r="O429" s="16" t="str">
        <f t="shared" si="40"/>
        <v/>
      </c>
      <c r="P429" s="16" t="str">
        <f>IF(N429="","",N429/MAX(N$5:N429)-1)</f>
        <v/>
      </c>
      <c r="Q429" s="13" t="str">
        <f>IF(OR('实盘净值数据(iFinD）'!$A429="",'实盘净值数据(iFinD）'!$B429="",'实盘净值数据(iFinD）'!$Z429="",'实盘净值数据(iFinD）'!$AA429=""),"",分期持仓明细!$AB$25*(SUMPRODUCT(分期持仓明细!$B$25:$Y$25,'实盘净值数据(iFinD）'!$B429:$Y429/'实盘净值数据(iFinD）'!$B$65:$Y$65)+SUMPRODUCT(分期持仓明细!$AC$25:$AD$25,'实盘净值数据(iFinD）'!$Z429:$AA429/'实盘净值数据(iFinD）'!$Z$65:$AA$65))*(1-实盘持仓初始配置!$Z$9)^(('实盘净值数据(iFinD）'!$A429-'实盘净值数据(iFinD）'!$A$8)/365))</f>
        <v/>
      </c>
      <c r="R429" s="16" t="str">
        <f t="shared" si="41"/>
        <v/>
      </c>
      <c r="S429" s="16" t="str">
        <f>IF(Q429="","",Q429/MAX(Q$5:Q429)-1)</f>
        <v/>
      </c>
    </row>
    <row r="430" spans="1:19">
      <c r="A430" s="15" t="str">
        <f>IF('实盘净值数据(iFinD）'!A430="","",'实盘净值数据(iFinD）'!A430)</f>
        <v/>
      </c>
      <c r="B430" s="13" t="str">
        <f>IF(OR('实盘净值数据(iFinD）'!$A430="",'实盘净值数据(iFinD）'!$B430=""),"",分期持仓明细!$AB$17*SUMPRODUCT(分期持仓明细!$B$17:$Y$17,'实盘净值数据(iFinD）'!$B430:$Y430/'实盘净值数据(iFinD）'!$B$20:$Y$20)*(1-实盘持仓初始配置!$Z$4)^(('实盘净值数据(iFinD）'!$A430-'实盘净值数据(iFinD）'!$A$6)/365))</f>
        <v/>
      </c>
      <c r="C430" s="16" t="str">
        <f t="shared" si="36"/>
        <v/>
      </c>
      <c r="D430" s="16" t="str">
        <f>IF(B430="","",B430/MAX(B$5:B430)-1)</f>
        <v/>
      </c>
      <c r="E430" s="13" t="str">
        <f>IF(OR('实盘净值数据(iFinD）'!$A430="",'实盘净值数据(iFinD）'!$B430=""),"",分期持仓明细!$AB$18*SUMPRODUCT(分期持仓明细!$B$18:$Y$18,'实盘净值数据(iFinD）'!$B430:$Y430/'实盘净值数据(iFinD）'!$B$20:$Y$20)*(1-实盘持仓初始配置!$Z$5)^(('实盘净值数据(iFinD）'!$A430-'实盘净值数据(iFinD）'!$A$5)/365))</f>
        <v/>
      </c>
      <c r="F430" s="16" t="str">
        <f t="shared" si="37"/>
        <v/>
      </c>
      <c r="G430" s="16" t="str">
        <f>IF(E430="","",E430/MAX(E$5:E430)-1)</f>
        <v/>
      </c>
      <c r="H430" s="13" t="str">
        <f>IF(OR('实盘净值数据(iFinD）'!$A430="",'实盘净值数据(iFinD）'!$B430=""),"",分期持仓明细!$AB$19*SUMPRODUCT(分期持仓明细!$B$19:$Y$19,'实盘净值数据(iFinD）'!$B430:$Y430/'实盘净值数据(iFinD）'!$B$20:$Y$20)*(1-实盘持仓初始配置!$Z$6)^(('实盘净值数据(iFinD）'!$A430-'实盘净值数据(iFinD）'!$A$7)/365))</f>
        <v/>
      </c>
      <c r="I430" s="16" t="str">
        <f t="shared" si="38"/>
        <v/>
      </c>
      <c r="J430" s="16" t="str">
        <f>IF(H430="","",H430/MAX(H$5:H430)-1)</f>
        <v/>
      </c>
      <c r="K430" s="13" t="str">
        <f>IF(OR('实盘净值数据(iFinD）'!$A430="",'实盘净值数据(iFinD）'!$B430="",'实盘净值数据(iFinD）'!$Z430="",'实盘净值数据(iFinD）'!$AA430=""),"",分期持仓明细!$AB$23*(SUMPRODUCT(分期持仓明细!$B$23:$Y$23,'实盘净值数据(iFinD）'!$B430:$Y430/'实盘净值数据(iFinD）'!$B$65:$Y$65)+SUMPRODUCT(分期持仓明细!$AC$23:$AD$23,'实盘净值数据(iFinD）'!$Z430:$AA430/'实盘净值数据(iFinD）'!$Z$65:$AA$65))*(1-实盘持仓初始配置!$Z$7)^(('实盘净值数据(iFinD）'!$A430-'实盘净值数据(iFinD）'!$A$8)/365))</f>
        <v/>
      </c>
      <c r="L430" s="16" t="str">
        <f t="shared" si="39"/>
        <v/>
      </c>
      <c r="M430" s="16" t="str">
        <f>IF(K430="","",K430/MAX(K$5:K430)-1)</f>
        <v/>
      </c>
      <c r="N430" s="13" t="str">
        <f>IF(OR('实盘净值数据(iFinD）'!$A430="",'实盘净值数据(iFinD）'!$B430="",'实盘净值数据(iFinD）'!$Z430="",'实盘净值数据(iFinD）'!$AA430=""),"",分期持仓明细!$AB$24*(SUMPRODUCT(分期持仓明细!$B$24:$Y$24,'实盘净值数据(iFinD）'!$B430:$Y430/'实盘净值数据(iFinD）'!$B$65:$Y$65)+SUMPRODUCT(分期持仓明细!$AC$24:$AD$24,'实盘净值数据(iFinD）'!$Z430:$AA430/'实盘净值数据(iFinD）'!$Z$65:$AA$65))*(1-实盘持仓初始配置!$Z$8)^(('实盘净值数据(iFinD）'!$A430-'实盘净值数据(iFinD）'!$A$5)/365))</f>
        <v/>
      </c>
      <c r="O430" s="16" t="str">
        <f t="shared" si="40"/>
        <v/>
      </c>
      <c r="P430" s="16" t="str">
        <f>IF(N430="","",N430/MAX(N$5:N430)-1)</f>
        <v/>
      </c>
      <c r="Q430" s="13" t="str">
        <f>IF(OR('实盘净值数据(iFinD）'!$A430="",'实盘净值数据(iFinD）'!$B430="",'实盘净值数据(iFinD）'!$Z430="",'实盘净值数据(iFinD）'!$AA430=""),"",分期持仓明细!$AB$25*(SUMPRODUCT(分期持仓明细!$B$25:$Y$25,'实盘净值数据(iFinD）'!$B430:$Y430/'实盘净值数据(iFinD）'!$B$65:$Y$65)+SUMPRODUCT(分期持仓明细!$AC$25:$AD$25,'实盘净值数据(iFinD）'!$Z430:$AA430/'实盘净值数据(iFinD）'!$Z$65:$AA$65))*(1-实盘持仓初始配置!$Z$9)^(('实盘净值数据(iFinD）'!$A430-'实盘净值数据(iFinD）'!$A$8)/365))</f>
        <v/>
      </c>
      <c r="R430" s="16" t="str">
        <f t="shared" si="41"/>
        <v/>
      </c>
      <c r="S430" s="16" t="str">
        <f>IF(Q430="","",Q430/MAX(Q$5:Q430)-1)</f>
        <v/>
      </c>
    </row>
    <row r="431" spans="1:19">
      <c r="A431" s="15" t="str">
        <f>IF('实盘净值数据(iFinD）'!A431="","",'实盘净值数据(iFinD）'!A431)</f>
        <v/>
      </c>
      <c r="B431" s="13" t="str">
        <f>IF(OR('实盘净值数据(iFinD）'!$A431="",'实盘净值数据(iFinD）'!$B431=""),"",分期持仓明细!$AB$17*SUMPRODUCT(分期持仓明细!$B$17:$Y$17,'实盘净值数据(iFinD）'!$B431:$Y431/'实盘净值数据(iFinD）'!$B$20:$Y$20)*(1-实盘持仓初始配置!$Z$4)^(('实盘净值数据(iFinD）'!$A431-'实盘净值数据(iFinD）'!$A$6)/365))</f>
        <v/>
      </c>
      <c r="C431" s="16" t="str">
        <f t="shared" si="36"/>
        <v/>
      </c>
      <c r="D431" s="16" t="str">
        <f>IF(B431="","",B431/MAX(B$5:B431)-1)</f>
        <v/>
      </c>
      <c r="E431" s="13" t="str">
        <f>IF(OR('实盘净值数据(iFinD）'!$A431="",'实盘净值数据(iFinD）'!$B431=""),"",分期持仓明细!$AB$18*SUMPRODUCT(分期持仓明细!$B$18:$Y$18,'实盘净值数据(iFinD）'!$B431:$Y431/'实盘净值数据(iFinD）'!$B$20:$Y$20)*(1-实盘持仓初始配置!$Z$5)^(('实盘净值数据(iFinD）'!$A431-'实盘净值数据(iFinD）'!$A$5)/365))</f>
        <v/>
      </c>
      <c r="F431" s="16" t="str">
        <f t="shared" si="37"/>
        <v/>
      </c>
      <c r="G431" s="16" t="str">
        <f>IF(E431="","",E431/MAX(E$5:E431)-1)</f>
        <v/>
      </c>
      <c r="H431" s="13" t="str">
        <f>IF(OR('实盘净值数据(iFinD）'!$A431="",'实盘净值数据(iFinD）'!$B431=""),"",分期持仓明细!$AB$19*SUMPRODUCT(分期持仓明细!$B$19:$Y$19,'实盘净值数据(iFinD）'!$B431:$Y431/'实盘净值数据(iFinD）'!$B$20:$Y$20)*(1-实盘持仓初始配置!$Z$6)^(('实盘净值数据(iFinD）'!$A431-'实盘净值数据(iFinD）'!$A$7)/365))</f>
        <v/>
      </c>
      <c r="I431" s="16" t="str">
        <f t="shared" si="38"/>
        <v/>
      </c>
      <c r="J431" s="16" t="str">
        <f>IF(H431="","",H431/MAX(H$5:H431)-1)</f>
        <v/>
      </c>
      <c r="K431" s="13" t="str">
        <f>IF(OR('实盘净值数据(iFinD）'!$A431="",'实盘净值数据(iFinD）'!$B431="",'实盘净值数据(iFinD）'!$Z431="",'实盘净值数据(iFinD）'!$AA431=""),"",分期持仓明细!$AB$23*(SUMPRODUCT(分期持仓明细!$B$23:$Y$23,'实盘净值数据(iFinD）'!$B431:$Y431/'实盘净值数据(iFinD）'!$B$65:$Y$65)+SUMPRODUCT(分期持仓明细!$AC$23:$AD$23,'实盘净值数据(iFinD）'!$Z431:$AA431/'实盘净值数据(iFinD）'!$Z$65:$AA$65))*(1-实盘持仓初始配置!$Z$7)^(('实盘净值数据(iFinD）'!$A431-'实盘净值数据(iFinD）'!$A$8)/365))</f>
        <v/>
      </c>
      <c r="L431" s="16" t="str">
        <f t="shared" si="39"/>
        <v/>
      </c>
      <c r="M431" s="16" t="str">
        <f>IF(K431="","",K431/MAX(K$5:K431)-1)</f>
        <v/>
      </c>
      <c r="N431" s="13" t="str">
        <f>IF(OR('实盘净值数据(iFinD）'!$A431="",'实盘净值数据(iFinD）'!$B431="",'实盘净值数据(iFinD）'!$Z431="",'实盘净值数据(iFinD）'!$AA431=""),"",分期持仓明细!$AB$24*(SUMPRODUCT(分期持仓明细!$B$24:$Y$24,'实盘净值数据(iFinD）'!$B431:$Y431/'实盘净值数据(iFinD）'!$B$65:$Y$65)+SUMPRODUCT(分期持仓明细!$AC$24:$AD$24,'实盘净值数据(iFinD）'!$Z431:$AA431/'实盘净值数据(iFinD）'!$Z$65:$AA$65))*(1-实盘持仓初始配置!$Z$8)^(('实盘净值数据(iFinD）'!$A431-'实盘净值数据(iFinD）'!$A$5)/365))</f>
        <v/>
      </c>
      <c r="O431" s="16" t="str">
        <f t="shared" si="40"/>
        <v/>
      </c>
      <c r="P431" s="16" t="str">
        <f>IF(N431="","",N431/MAX(N$5:N431)-1)</f>
        <v/>
      </c>
      <c r="Q431" s="13" t="str">
        <f>IF(OR('实盘净值数据(iFinD）'!$A431="",'实盘净值数据(iFinD）'!$B431="",'实盘净值数据(iFinD）'!$Z431="",'实盘净值数据(iFinD）'!$AA431=""),"",分期持仓明细!$AB$25*(SUMPRODUCT(分期持仓明细!$B$25:$Y$25,'实盘净值数据(iFinD）'!$B431:$Y431/'实盘净值数据(iFinD）'!$B$65:$Y$65)+SUMPRODUCT(分期持仓明细!$AC$25:$AD$25,'实盘净值数据(iFinD）'!$Z431:$AA431/'实盘净值数据(iFinD）'!$Z$65:$AA$65))*(1-实盘持仓初始配置!$Z$9)^(('实盘净值数据(iFinD）'!$A431-'实盘净值数据(iFinD）'!$A$8)/365))</f>
        <v/>
      </c>
      <c r="R431" s="16" t="str">
        <f t="shared" si="41"/>
        <v/>
      </c>
      <c r="S431" s="16" t="str">
        <f>IF(Q431="","",Q431/MAX(Q$5:Q431)-1)</f>
        <v/>
      </c>
    </row>
    <row r="432" spans="1:19">
      <c r="A432" s="15" t="str">
        <f>IF('实盘净值数据(iFinD）'!A432="","",'实盘净值数据(iFinD）'!A432)</f>
        <v/>
      </c>
      <c r="B432" s="13" t="str">
        <f>IF(OR('实盘净值数据(iFinD）'!$A432="",'实盘净值数据(iFinD）'!$B432=""),"",分期持仓明细!$AB$17*SUMPRODUCT(分期持仓明细!$B$17:$Y$17,'实盘净值数据(iFinD）'!$B432:$Y432/'实盘净值数据(iFinD）'!$B$20:$Y$20)*(1-实盘持仓初始配置!$Z$4)^(('实盘净值数据(iFinD）'!$A432-'实盘净值数据(iFinD）'!$A$6)/365))</f>
        <v/>
      </c>
      <c r="C432" s="16" t="str">
        <f t="shared" si="36"/>
        <v/>
      </c>
      <c r="D432" s="16" t="str">
        <f>IF(B432="","",B432/MAX(B$5:B432)-1)</f>
        <v/>
      </c>
      <c r="E432" s="13" t="str">
        <f>IF(OR('实盘净值数据(iFinD）'!$A432="",'实盘净值数据(iFinD）'!$B432=""),"",分期持仓明细!$AB$18*SUMPRODUCT(分期持仓明细!$B$18:$Y$18,'实盘净值数据(iFinD）'!$B432:$Y432/'实盘净值数据(iFinD）'!$B$20:$Y$20)*(1-实盘持仓初始配置!$Z$5)^(('实盘净值数据(iFinD）'!$A432-'实盘净值数据(iFinD）'!$A$5)/365))</f>
        <v/>
      </c>
      <c r="F432" s="16" t="str">
        <f t="shared" si="37"/>
        <v/>
      </c>
      <c r="G432" s="16" t="str">
        <f>IF(E432="","",E432/MAX(E$5:E432)-1)</f>
        <v/>
      </c>
      <c r="H432" s="13" t="str">
        <f>IF(OR('实盘净值数据(iFinD）'!$A432="",'实盘净值数据(iFinD）'!$B432=""),"",分期持仓明细!$AB$19*SUMPRODUCT(分期持仓明细!$B$19:$Y$19,'实盘净值数据(iFinD）'!$B432:$Y432/'实盘净值数据(iFinD）'!$B$20:$Y$20)*(1-实盘持仓初始配置!$Z$6)^(('实盘净值数据(iFinD）'!$A432-'实盘净值数据(iFinD）'!$A$7)/365))</f>
        <v/>
      </c>
      <c r="I432" s="16" t="str">
        <f t="shared" si="38"/>
        <v/>
      </c>
      <c r="J432" s="16" t="str">
        <f>IF(H432="","",H432/MAX(H$5:H432)-1)</f>
        <v/>
      </c>
      <c r="K432" s="13" t="str">
        <f>IF(OR('实盘净值数据(iFinD）'!$A432="",'实盘净值数据(iFinD）'!$B432="",'实盘净值数据(iFinD）'!$Z432="",'实盘净值数据(iFinD）'!$AA432=""),"",分期持仓明细!$AB$23*(SUMPRODUCT(分期持仓明细!$B$23:$Y$23,'实盘净值数据(iFinD）'!$B432:$Y432/'实盘净值数据(iFinD）'!$B$65:$Y$65)+SUMPRODUCT(分期持仓明细!$AC$23:$AD$23,'实盘净值数据(iFinD）'!$Z432:$AA432/'实盘净值数据(iFinD）'!$Z$65:$AA$65))*(1-实盘持仓初始配置!$Z$7)^(('实盘净值数据(iFinD）'!$A432-'实盘净值数据(iFinD）'!$A$8)/365))</f>
        <v/>
      </c>
      <c r="L432" s="16" t="str">
        <f t="shared" si="39"/>
        <v/>
      </c>
      <c r="M432" s="16" t="str">
        <f>IF(K432="","",K432/MAX(K$5:K432)-1)</f>
        <v/>
      </c>
      <c r="N432" s="13" t="str">
        <f>IF(OR('实盘净值数据(iFinD）'!$A432="",'实盘净值数据(iFinD）'!$B432="",'实盘净值数据(iFinD）'!$Z432="",'实盘净值数据(iFinD）'!$AA432=""),"",分期持仓明细!$AB$24*(SUMPRODUCT(分期持仓明细!$B$24:$Y$24,'实盘净值数据(iFinD）'!$B432:$Y432/'实盘净值数据(iFinD）'!$B$65:$Y$65)+SUMPRODUCT(分期持仓明细!$AC$24:$AD$24,'实盘净值数据(iFinD）'!$Z432:$AA432/'实盘净值数据(iFinD）'!$Z$65:$AA$65))*(1-实盘持仓初始配置!$Z$8)^(('实盘净值数据(iFinD）'!$A432-'实盘净值数据(iFinD）'!$A$5)/365))</f>
        <v/>
      </c>
      <c r="O432" s="16" t="str">
        <f t="shared" si="40"/>
        <v/>
      </c>
      <c r="P432" s="16" t="str">
        <f>IF(N432="","",N432/MAX(N$5:N432)-1)</f>
        <v/>
      </c>
      <c r="Q432" s="13" t="str">
        <f>IF(OR('实盘净值数据(iFinD）'!$A432="",'实盘净值数据(iFinD）'!$B432="",'实盘净值数据(iFinD）'!$Z432="",'实盘净值数据(iFinD）'!$AA432=""),"",分期持仓明细!$AB$25*(SUMPRODUCT(分期持仓明细!$B$25:$Y$25,'实盘净值数据(iFinD）'!$B432:$Y432/'实盘净值数据(iFinD）'!$B$65:$Y$65)+SUMPRODUCT(分期持仓明细!$AC$25:$AD$25,'实盘净值数据(iFinD）'!$Z432:$AA432/'实盘净值数据(iFinD）'!$Z$65:$AA$65))*(1-实盘持仓初始配置!$Z$9)^(('实盘净值数据(iFinD）'!$A432-'实盘净值数据(iFinD）'!$A$8)/365))</f>
        <v/>
      </c>
      <c r="R432" s="16" t="str">
        <f t="shared" si="41"/>
        <v/>
      </c>
      <c r="S432" s="16" t="str">
        <f>IF(Q432="","",Q432/MAX(Q$5:Q432)-1)</f>
        <v/>
      </c>
    </row>
    <row r="433" spans="1:19">
      <c r="A433" s="15" t="str">
        <f>IF('实盘净值数据(iFinD）'!A433="","",'实盘净值数据(iFinD）'!A433)</f>
        <v/>
      </c>
      <c r="B433" s="13" t="str">
        <f>IF(OR('实盘净值数据(iFinD）'!$A433="",'实盘净值数据(iFinD）'!$B433=""),"",分期持仓明细!$AB$17*SUMPRODUCT(分期持仓明细!$B$17:$Y$17,'实盘净值数据(iFinD）'!$B433:$Y433/'实盘净值数据(iFinD）'!$B$20:$Y$20)*(1-实盘持仓初始配置!$Z$4)^(('实盘净值数据(iFinD）'!$A433-'实盘净值数据(iFinD）'!$A$6)/365))</f>
        <v/>
      </c>
      <c r="C433" s="16" t="str">
        <f t="shared" si="36"/>
        <v/>
      </c>
      <c r="D433" s="16" t="str">
        <f>IF(B433="","",B433/MAX(B$5:B433)-1)</f>
        <v/>
      </c>
      <c r="E433" s="13" t="str">
        <f>IF(OR('实盘净值数据(iFinD）'!$A433="",'实盘净值数据(iFinD）'!$B433=""),"",分期持仓明细!$AB$18*SUMPRODUCT(分期持仓明细!$B$18:$Y$18,'实盘净值数据(iFinD）'!$B433:$Y433/'实盘净值数据(iFinD）'!$B$20:$Y$20)*(1-实盘持仓初始配置!$Z$5)^(('实盘净值数据(iFinD）'!$A433-'实盘净值数据(iFinD）'!$A$5)/365))</f>
        <v/>
      </c>
      <c r="F433" s="16" t="str">
        <f t="shared" si="37"/>
        <v/>
      </c>
      <c r="G433" s="16" t="str">
        <f>IF(E433="","",E433/MAX(E$5:E433)-1)</f>
        <v/>
      </c>
      <c r="H433" s="13" t="str">
        <f>IF(OR('实盘净值数据(iFinD）'!$A433="",'实盘净值数据(iFinD）'!$B433=""),"",分期持仓明细!$AB$19*SUMPRODUCT(分期持仓明细!$B$19:$Y$19,'实盘净值数据(iFinD）'!$B433:$Y433/'实盘净值数据(iFinD）'!$B$20:$Y$20)*(1-实盘持仓初始配置!$Z$6)^(('实盘净值数据(iFinD）'!$A433-'实盘净值数据(iFinD）'!$A$7)/365))</f>
        <v/>
      </c>
      <c r="I433" s="16" t="str">
        <f t="shared" si="38"/>
        <v/>
      </c>
      <c r="J433" s="16" t="str">
        <f>IF(H433="","",H433/MAX(H$5:H433)-1)</f>
        <v/>
      </c>
      <c r="K433" s="13" t="str">
        <f>IF(OR('实盘净值数据(iFinD）'!$A433="",'实盘净值数据(iFinD）'!$B433="",'实盘净值数据(iFinD）'!$Z433="",'实盘净值数据(iFinD）'!$AA433=""),"",分期持仓明细!$AB$23*(SUMPRODUCT(分期持仓明细!$B$23:$Y$23,'实盘净值数据(iFinD）'!$B433:$Y433/'实盘净值数据(iFinD）'!$B$65:$Y$65)+SUMPRODUCT(分期持仓明细!$AC$23:$AD$23,'实盘净值数据(iFinD）'!$Z433:$AA433/'实盘净值数据(iFinD）'!$Z$65:$AA$65))*(1-实盘持仓初始配置!$Z$7)^(('实盘净值数据(iFinD）'!$A433-'实盘净值数据(iFinD）'!$A$8)/365))</f>
        <v/>
      </c>
      <c r="L433" s="16" t="str">
        <f t="shared" si="39"/>
        <v/>
      </c>
      <c r="M433" s="16" t="str">
        <f>IF(K433="","",K433/MAX(K$5:K433)-1)</f>
        <v/>
      </c>
      <c r="N433" s="13" t="str">
        <f>IF(OR('实盘净值数据(iFinD）'!$A433="",'实盘净值数据(iFinD）'!$B433="",'实盘净值数据(iFinD）'!$Z433="",'实盘净值数据(iFinD）'!$AA433=""),"",分期持仓明细!$AB$24*(SUMPRODUCT(分期持仓明细!$B$24:$Y$24,'实盘净值数据(iFinD）'!$B433:$Y433/'实盘净值数据(iFinD）'!$B$65:$Y$65)+SUMPRODUCT(分期持仓明细!$AC$24:$AD$24,'实盘净值数据(iFinD）'!$Z433:$AA433/'实盘净值数据(iFinD）'!$Z$65:$AA$65))*(1-实盘持仓初始配置!$Z$8)^(('实盘净值数据(iFinD）'!$A433-'实盘净值数据(iFinD）'!$A$5)/365))</f>
        <v/>
      </c>
      <c r="O433" s="16" t="str">
        <f t="shared" si="40"/>
        <v/>
      </c>
      <c r="P433" s="16" t="str">
        <f>IF(N433="","",N433/MAX(N$5:N433)-1)</f>
        <v/>
      </c>
      <c r="Q433" s="13" t="str">
        <f>IF(OR('实盘净值数据(iFinD）'!$A433="",'实盘净值数据(iFinD）'!$B433="",'实盘净值数据(iFinD）'!$Z433="",'实盘净值数据(iFinD）'!$AA433=""),"",分期持仓明细!$AB$25*(SUMPRODUCT(分期持仓明细!$B$25:$Y$25,'实盘净值数据(iFinD）'!$B433:$Y433/'实盘净值数据(iFinD）'!$B$65:$Y$65)+SUMPRODUCT(分期持仓明细!$AC$25:$AD$25,'实盘净值数据(iFinD）'!$Z433:$AA433/'实盘净值数据(iFinD）'!$Z$65:$AA$65))*(1-实盘持仓初始配置!$Z$9)^(('实盘净值数据(iFinD）'!$A433-'实盘净值数据(iFinD）'!$A$8)/365))</f>
        <v/>
      </c>
      <c r="R433" s="16" t="str">
        <f t="shared" si="41"/>
        <v/>
      </c>
      <c r="S433" s="16" t="str">
        <f>IF(Q433="","",Q433/MAX(Q$5:Q433)-1)</f>
        <v/>
      </c>
    </row>
    <row r="434" spans="1:19">
      <c r="A434" s="15" t="str">
        <f>IF('实盘净值数据(iFinD）'!A434="","",'实盘净值数据(iFinD）'!A434)</f>
        <v/>
      </c>
      <c r="B434" s="13" t="str">
        <f>IF(OR('实盘净值数据(iFinD）'!$A434="",'实盘净值数据(iFinD）'!$B434=""),"",分期持仓明细!$AB$17*SUMPRODUCT(分期持仓明细!$B$17:$Y$17,'实盘净值数据(iFinD）'!$B434:$Y434/'实盘净值数据(iFinD）'!$B$20:$Y$20)*(1-实盘持仓初始配置!$Z$4)^(('实盘净值数据(iFinD）'!$A434-'实盘净值数据(iFinD）'!$A$6)/365))</f>
        <v/>
      </c>
      <c r="C434" s="16" t="str">
        <f t="shared" si="36"/>
        <v/>
      </c>
      <c r="D434" s="16" t="str">
        <f>IF(B434="","",B434/MAX(B$5:B434)-1)</f>
        <v/>
      </c>
      <c r="E434" s="13" t="str">
        <f>IF(OR('实盘净值数据(iFinD）'!$A434="",'实盘净值数据(iFinD）'!$B434=""),"",分期持仓明细!$AB$18*SUMPRODUCT(分期持仓明细!$B$18:$Y$18,'实盘净值数据(iFinD）'!$B434:$Y434/'实盘净值数据(iFinD）'!$B$20:$Y$20)*(1-实盘持仓初始配置!$Z$5)^(('实盘净值数据(iFinD）'!$A434-'实盘净值数据(iFinD）'!$A$5)/365))</f>
        <v/>
      </c>
      <c r="F434" s="16" t="str">
        <f t="shared" si="37"/>
        <v/>
      </c>
      <c r="G434" s="16" t="str">
        <f>IF(E434="","",E434/MAX(E$5:E434)-1)</f>
        <v/>
      </c>
      <c r="H434" s="13" t="str">
        <f>IF(OR('实盘净值数据(iFinD）'!$A434="",'实盘净值数据(iFinD）'!$B434=""),"",分期持仓明细!$AB$19*SUMPRODUCT(分期持仓明细!$B$19:$Y$19,'实盘净值数据(iFinD）'!$B434:$Y434/'实盘净值数据(iFinD）'!$B$20:$Y$20)*(1-实盘持仓初始配置!$Z$6)^(('实盘净值数据(iFinD）'!$A434-'实盘净值数据(iFinD）'!$A$7)/365))</f>
        <v/>
      </c>
      <c r="I434" s="16" t="str">
        <f t="shared" si="38"/>
        <v/>
      </c>
      <c r="J434" s="16" t="str">
        <f>IF(H434="","",H434/MAX(H$5:H434)-1)</f>
        <v/>
      </c>
      <c r="K434" s="13" t="str">
        <f>IF(OR('实盘净值数据(iFinD）'!$A434="",'实盘净值数据(iFinD）'!$B434="",'实盘净值数据(iFinD）'!$Z434="",'实盘净值数据(iFinD）'!$AA434=""),"",分期持仓明细!$AB$23*(SUMPRODUCT(分期持仓明细!$B$23:$Y$23,'实盘净值数据(iFinD）'!$B434:$Y434/'实盘净值数据(iFinD）'!$B$65:$Y$65)+SUMPRODUCT(分期持仓明细!$AC$23:$AD$23,'实盘净值数据(iFinD）'!$Z434:$AA434/'实盘净值数据(iFinD）'!$Z$65:$AA$65))*(1-实盘持仓初始配置!$Z$7)^(('实盘净值数据(iFinD）'!$A434-'实盘净值数据(iFinD）'!$A$8)/365))</f>
        <v/>
      </c>
      <c r="L434" s="16" t="str">
        <f t="shared" si="39"/>
        <v/>
      </c>
      <c r="M434" s="16" t="str">
        <f>IF(K434="","",K434/MAX(K$5:K434)-1)</f>
        <v/>
      </c>
      <c r="N434" s="13" t="str">
        <f>IF(OR('实盘净值数据(iFinD）'!$A434="",'实盘净值数据(iFinD）'!$B434="",'实盘净值数据(iFinD）'!$Z434="",'实盘净值数据(iFinD）'!$AA434=""),"",分期持仓明细!$AB$24*(SUMPRODUCT(分期持仓明细!$B$24:$Y$24,'实盘净值数据(iFinD）'!$B434:$Y434/'实盘净值数据(iFinD）'!$B$65:$Y$65)+SUMPRODUCT(分期持仓明细!$AC$24:$AD$24,'实盘净值数据(iFinD）'!$Z434:$AA434/'实盘净值数据(iFinD）'!$Z$65:$AA$65))*(1-实盘持仓初始配置!$Z$8)^(('实盘净值数据(iFinD）'!$A434-'实盘净值数据(iFinD）'!$A$5)/365))</f>
        <v/>
      </c>
      <c r="O434" s="16" t="str">
        <f t="shared" si="40"/>
        <v/>
      </c>
      <c r="P434" s="16" t="str">
        <f>IF(N434="","",N434/MAX(N$5:N434)-1)</f>
        <v/>
      </c>
      <c r="Q434" s="13" t="str">
        <f>IF(OR('实盘净值数据(iFinD）'!$A434="",'实盘净值数据(iFinD）'!$B434="",'实盘净值数据(iFinD）'!$Z434="",'实盘净值数据(iFinD）'!$AA434=""),"",分期持仓明细!$AB$25*(SUMPRODUCT(分期持仓明细!$B$25:$Y$25,'实盘净值数据(iFinD）'!$B434:$Y434/'实盘净值数据(iFinD）'!$B$65:$Y$65)+SUMPRODUCT(分期持仓明细!$AC$25:$AD$25,'实盘净值数据(iFinD）'!$Z434:$AA434/'实盘净值数据(iFinD）'!$Z$65:$AA$65))*(1-实盘持仓初始配置!$Z$9)^(('实盘净值数据(iFinD）'!$A434-'实盘净值数据(iFinD）'!$A$8)/365))</f>
        <v/>
      </c>
      <c r="R434" s="16" t="str">
        <f t="shared" si="41"/>
        <v/>
      </c>
      <c r="S434" s="16" t="str">
        <f>IF(Q434="","",Q434/MAX(Q$5:Q434)-1)</f>
        <v/>
      </c>
    </row>
    <row r="435" spans="1:19">
      <c r="A435" s="15" t="str">
        <f>IF('实盘净值数据(iFinD）'!A435="","",'实盘净值数据(iFinD）'!A435)</f>
        <v/>
      </c>
      <c r="B435" s="13" t="str">
        <f>IF(OR('实盘净值数据(iFinD）'!$A435="",'实盘净值数据(iFinD）'!$B435=""),"",分期持仓明细!$AB$17*SUMPRODUCT(分期持仓明细!$B$17:$Y$17,'实盘净值数据(iFinD）'!$B435:$Y435/'实盘净值数据(iFinD）'!$B$20:$Y$20)*(1-实盘持仓初始配置!$Z$4)^(('实盘净值数据(iFinD）'!$A435-'实盘净值数据(iFinD）'!$A$6)/365))</f>
        <v/>
      </c>
      <c r="C435" s="16" t="str">
        <f t="shared" si="36"/>
        <v/>
      </c>
      <c r="D435" s="16" t="str">
        <f>IF(B435="","",B435/MAX(B$5:B435)-1)</f>
        <v/>
      </c>
      <c r="E435" s="13" t="str">
        <f>IF(OR('实盘净值数据(iFinD）'!$A435="",'实盘净值数据(iFinD）'!$B435=""),"",分期持仓明细!$AB$18*SUMPRODUCT(分期持仓明细!$B$18:$Y$18,'实盘净值数据(iFinD）'!$B435:$Y435/'实盘净值数据(iFinD）'!$B$20:$Y$20)*(1-实盘持仓初始配置!$Z$5)^(('实盘净值数据(iFinD）'!$A435-'实盘净值数据(iFinD）'!$A$5)/365))</f>
        <v/>
      </c>
      <c r="F435" s="16" t="str">
        <f t="shared" si="37"/>
        <v/>
      </c>
      <c r="G435" s="16" t="str">
        <f>IF(E435="","",E435/MAX(E$5:E435)-1)</f>
        <v/>
      </c>
      <c r="H435" s="13" t="str">
        <f>IF(OR('实盘净值数据(iFinD）'!$A435="",'实盘净值数据(iFinD）'!$B435=""),"",分期持仓明细!$AB$19*SUMPRODUCT(分期持仓明细!$B$19:$Y$19,'实盘净值数据(iFinD）'!$B435:$Y435/'实盘净值数据(iFinD）'!$B$20:$Y$20)*(1-实盘持仓初始配置!$Z$6)^(('实盘净值数据(iFinD）'!$A435-'实盘净值数据(iFinD）'!$A$7)/365))</f>
        <v/>
      </c>
      <c r="I435" s="16" t="str">
        <f t="shared" si="38"/>
        <v/>
      </c>
      <c r="J435" s="16" t="str">
        <f>IF(H435="","",H435/MAX(H$5:H435)-1)</f>
        <v/>
      </c>
      <c r="K435" s="13" t="str">
        <f>IF(OR('实盘净值数据(iFinD）'!$A435="",'实盘净值数据(iFinD）'!$B435="",'实盘净值数据(iFinD）'!$Z435="",'实盘净值数据(iFinD）'!$AA435=""),"",分期持仓明细!$AB$23*(SUMPRODUCT(分期持仓明细!$B$23:$Y$23,'实盘净值数据(iFinD）'!$B435:$Y435/'实盘净值数据(iFinD）'!$B$65:$Y$65)+SUMPRODUCT(分期持仓明细!$AC$23:$AD$23,'实盘净值数据(iFinD）'!$Z435:$AA435/'实盘净值数据(iFinD）'!$Z$65:$AA$65))*(1-实盘持仓初始配置!$Z$7)^(('实盘净值数据(iFinD）'!$A435-'实盘净值数据(iFinD）'!$A$8)/365))</f>
        <v/>
      </c>
      <c r="L435" s="16" t="str">
        <f t="shared" si="39"/>
        <v/>
      </c>
      <c r="M435" s="16" t="str">
        <f>IF(K435="","",K435/MAX(K$5:K435)-1)</f>
        <v/>
      </c>
      <c r="N435" s="13" t="str">
        <f>IF(OR('实盘净值数据(iFinD）'!$A435="",'实盘净值数据(iFinD）'!$B435="",'实盘净值数据(iFinD）'!$Z435="",'实盘净值数据(iFinD）'!$AA435=""),"",分期持仓明细!$AB$24*(SUMPRODUCT(分期持仓明细!$B$24:$Y$24,'实盘净值数据(iFinD）'!$B435:$Y435/'实盘净值数据(iFinD）'!$B$65:$Y$65)+SUMPRODUCT(分期持仓明细!$AC$24:$AD$24,'实盘净值数据(iFinD）'!$Z435:$AA435/'实盘净值数据(iFinD）'!$Z$65:$AA$65))*(1-实盘持仓初始配置!$Z$8)^(('实盘净值数据(iFinD）'!$A435-'实盘净值数据(iFinD）'!$A$5)/365))</f>
        <v/>
      </c>
      <c r="O435" s="16" t="str">
        <f t="shared" si="40"/>
        <v/>
      </c>
      <c r="P435" s="16" t="str">
        <f>IF(N435="","",N435/MAX(N$5:N435)-1)</f>
        <v/>
      </c>
      <c r="Q435" s="13" t="str">
        <f>IF(OR('实盘净值数据(iFinD）'!$A435="",'实盘净值数据(iFinD）'!$B435="",'实盘净值数据(iFinD）'!$Z435="",'实盘净值数据(iFinD）'!$AA435=""),"",分期持仓明细!$AB$25*(SUMPRODUCT(分期持仓明细!$B$25:$Y$25,'实盘净值数据(iFinD）'!$B435:$Y435/'实盘净值数据(iFinD）'!$B$65:$Y$65)+SUMPRODUCT(分期持仓明细!$AC$25:$AD$25,'实盘净值数据(iFinD）'!$Z435:$AA435/'实盘净值数据(iFinD）'!$Z$65:$AA$65))*(1-实盘持仓初始配置!$Z$9)^(('实盘净值数据(iFinD）'!$A435-'实盘净值数据(iFinD）'!$A$8)/365))</f>
        <v/>
      </c>
      <c r="R435" s="16" t="str">
        <f t="shared" si="41"/>
        <v/>
      </c>
      <c r="S435" s="16" t="str">
        <f>IF(Q435="","",Q435/MAX(Q$5:Q435)-1)</f>
        <v/>
      </c>
    </row>
    <row r="436" spans="1:19">
      <c r="A436" s="15" t="str">
        <f>IF('实盘净值数据(iFinD）'!A436="","",'实盘净值数据(iFinD）'!A436)</f>
        <v/>
      </c>
      <c r="B436" s="13" t="str">
        <f>IF(OR('实盘净值数据(iFinD）'!$A436="",'实盘净值数据(iFinD）'!$B436=""),"",分期持仓明细!$AB$17*SUMPRODUCT(分期持仓明细!$B$17:$Y$17,'实盘净值数据(iFinD）'!$B436:$Y436/'实盘净值数据(iFinD）'!$B$20:$Y$20)*(1-实盘持仓初始配置!$Z$4)^(('实盘净值数据(iFinD）'!$A436-'实盘净值数据(iFinD）'!$A$6)/365))</f>
        <v/>
      </c>
      <c r="C436" s="16" t="str">
        <f t="shared" si="36"/>
        <v/>
      </c>
      <c r="D436" s="16" t="str">
        <f>IF(B436="","",B436/MAX(B$5:B436)-1)</f>
        <v/>
      </c>
      <c r="E436" s="13" t="str">
        <f>IF(OR('实盘净值数据(iFinD）'!$A436="",'实盘净值数据(iFinD）'!$B436=""),"",分期持仓明细!$AB$18*SUMPRODUCT(分期持仓明细!$B$18:$Y$18,'实盘净值数据(iFinD）'!$B436:$Y436/'实盘净值数据(iFinD）'!$B$20:$Y$20)*(1-实盘持仓初始配置!$Z$5)^(('实盘净值数据(iFinD）'!$A436-'实盘净值数据(iFinD）'!$A$5)/365))</f>
        <v/>
      </c>
      <c r="F436" s="16" t="str">
        <f t="shared" si="37"/>
        <v/>
      </c>
      <c r="G436" s="16" t="str">
        <f>IF(E436="","",E436/MAX(E$5:E436)-1)</f>
        <v/>
      </c>
      <c r="H436" s="13" t="str">
        <f>IF(OR('实盘净值数据(iFinD）'!$A436="",'实盘净值数据(iFinD）'!$B436=""),"",分期持仓明细!$AB$19*SUMPRODUCT(分期持仓明细!$B$19:$Y$19,'实盘净值数据(iFinD）'!$B436:$Y436/'实盘净值数据(iFinD）'!$B$20:$Y$20)*(1-实盘持仓初始配置!$Z$6)^(('实盘净值数据(iFinD）'!$A436-'实盘净值数据(iFinD）'!$A$7)/365))</f>
        <v/>
      </c>
      <c r="I436" s="16" t="str">
        <f t="shared" si="38"/>
        <v/>
      </c>
      <c r="J436" s="16" t="str">
        <f>IF(H436="","",H436/MAX(H$5:H436)-1)</f>
        <v/>
      </c>
      <c r="K436" s="13" t="str">
        <f>IF(OR('实盘净值数据(iFinD）'!$A436="",'实盘净值数据(iFinD）'!$B436="",'实盘净值数据(iFinD）'!$Z436="",'实盘净值数据(iFinD）'!$AA436=""),"",分期持仓明细!$AB$23*(SUMPRODUCT(分期持仓明细!$B$23:$Y$23,'实盘净值数据(iFinD）'!$B436:$Y436/'实盘净值数据(iFinD）'!$B$65:$Y$65)+SUMPRODUCT(分期持仓明细!$AC$23:$AD$23,'实盘净值数据(iFinD）'!$Z436:$AA436/'实盘净值数据(iFinD）'!$Z$65:$AA$65))*(1-实盘持仓初始配置!$Z$7)^(('实盘净值数据(iFinD）'!$A436-'实盘净值数据(iFinD）'!$A$8)/365))</f>
        <v/>
      </c>
      <c r="L436" s="16" t="str">
        <f t="shared" si="39"/>
        <v/>
      </c>
      <c r="M436" s="16" t="str">
        <f>IF(K436="","",K436/MAX(K$5:K436)-1)</f>
        <v/>
      </c>
      <c r="N436" s="13" t="str">
        <f>IF(OR('实盘净值数据(iFinD）'!$A436="",'实盘净值数据(iFinD）'!$B436="",'实盘净值数据(iFinD）'!$Z436="",'实盘净值数据(iFinD）'!$AA436=""),"",分期持仓明细!$AB$24*(SUMPRODUCT(分期持仓明细!$B$24:$Y$24,'实盘净值数据(iFinD）'!$B436:$Y436/'实盘净值数据(iFinD）'!$B$65:$Y$65)+SUMPRODUCT(分期持仓明细!$AC$24:$AD$24,'实盘净值数据(iFinD）'!$Z436:$AA436/'实盘净值数据(iFinD）'!$Z$65:$AA$65))*(1-实盘持仓初始配置!$Z$8)^(('实盘净值数据(iFinD）'!$A436-'实盘净值数据(iFinD）'!$A$5)/365))</f>
        <v/>
      </c>
      <c r="O436" s="16" t="str">
        <f t="shared" si="40"/>
        <v/>
      </c>
      <c r="P436" s="16" t="str">
        <f>IF(N436="","",N436/MAX(N$5:N436)-1)</f>
        <v/>
      </c>
      <c r="Q436" s="13" t="str">
        <f>IF(OR('实盘净值数据(iFinD）'!$A436="",'实盘净值数据(iFinD）'!$B436="",'实盘净值数据(iFinD）'!$Z436="",'实盘净值数据(iFinD）'!$AA436=""),"",分期持仓明细!$AB$25*(SUMPRODUCT(分期持仓明细!$B$25:$Y$25,'实盘净值数据(iFinD）'!$B436:$Y436/'实盘净值数据(iFinD）'!$B$65:$Y$65)+SUMPRODUCT(分期持仓明细!$AC$25:$AD$25,'实盘净值数据(iFinD）'!$Z436:$AA436/'实盘净值数据(iFinD）'!$Z$65:$AA$65))*(1-实盘持仓初始配置!$Z$9)^(('实盘净值数据(iFinD）'!$A436-'实盘净值数据(iFinD）'!$A$8)/365))</f>
        <v/>
      </c>
      <c r="R436" s="16" t="str">
        <f t="shared" si="41"/>
        <v/>
      </c>
      <c r="S436" s="16" t="str">
        <f>IF(Q436="","",Q436/MAX(Q$5:Q436)-1)</f>
        <v/>
      </c>
    </row>
    <row r="437" spans="1:19">
      <c r="A437" s="15" t="str">
        <f>IF('实盘净值数据(iFinD）'!A437="","",'实盘净值数据(iFinD）'!A437)</f>
        <v/>
      </c>
      <c r="B437" s="13" t="str">
        <f>IF(OR('实盘净值数据(iFinD）'!$A437="",'实盘净值数据(iFinD）'!$B437=""),"",分期持仓明细!$AB$17*SUMPRODUCT(分期持仓明细!$B$17:$Y$17,'实盘净值数据(iFinD）'!$B437:$Y437/'实盘净值数据(iFinD）'!$B$20:$Y$20)*(1-实盘持仓初始配置!$Z$4)^(('实盘净值数据(iFinD）'!$A437-'实盘净值数据(iFinD）'!$A$6)/365))</f>
        <v/>
      </c>
      <c r="C437" s="16" t="str">
        <f t="shared" si="36"/>
        <v/>
      </c>
      <c r="D437" s="16" t="str">
        <f>IF(B437="","",B437/MAX(B$5:B437)-1)</f>
        <v/>
      </c>
      <c r="E437" s="13" t="str">
        <f>IF(OR('实盘净值数据(iFinD）'!$A437="",'实盘净值数据(iFinD）'!$B437=""),"",分期持仓明细!$AB$18*SUMPRODUCT(分期持仓明细!$B$18:$Y$18,'实盘净值数据(iFinD）'!$B437:$Y437/'实盘净值数据(iFinD）'!$B$20:$Y$20)*(1-实盘持仓初始配置!$Z$5)^(('实盘净值数据(iFinD）'!$A437-'实盘净值数据(iFinD）'!$A$5)/365))</f>
        <v/>
      </c>
      <c r="F437" s="16" t="str">
        <f t="shared" si="37"/>
        <v/>
      </c>
      <c r="G437" s="16" t="str">
        <f>IF(E437="","",E437/MAX(E$5:E437)-1)</f>
        <v/>
      </c>
      <c r="H437" s="13" t="str">
        <f>IF(OR('实盘净值数据(iFinD）'!$A437="",'实盘净值数据(iFinD）'!$B437=""),"",分期持仓明细!$AB$19*SUMPRODUCT(分期持仓明细!$B$19:$Y$19,'实盘净值数据(iFinD）'!$B437:$Y437/'实盘净值数据(iFinD）'!$B$20:$Y$20)*(1-实盘持仓初始配置!$Z$6)^(('实盘净值数据(iFinD）'!$A437-'实盘净值数据(iFinD）'!$A$7)/365))</f>
        <v/>
      </c>
      <c r="I437" s="16" t="str">
        <f t="shared" si="38"/>
        <v/>
      </c>
      <c r="J437" s="16" t="str">
        <f>IF(H437="","",H437/MAX(H$5:H437)-1)</f>
        <v/>
      </c>
      <c r="K437" s="13" t="str">
        <f>IF(OR('实盘净值数据(iFinD）'!$A437="",'实盘净值数据(iFinD）'!$B437="",'实盘净值数据(iFinD）'!$Z437="",'实盘净值数据(iFinD）'!$AA437=""),"",分期持仓明细!$AB$23*(SUMPRODUCT(分期持仓明细!$B$23:$Y$23,'实盘净值数据(iFinD）'!$B437:$Y437/'实盘净值数据(iFinD）'!$B$65:$Y$65)+SUMPRODUCT(分期持仓明细!$AC$23:$AD$23,'实盘净值数据(iFinD）'!$Z437:$AA437/'实盘净值数据(iFinD）'!$Z$65:$AA$65))*(1-实盘持仓初始配置!$Z$7)^(('实盘净值数据(iFinD）'!$A437-'实盘净值数据(iFinD）'!$A$8)/365))</f>
        <v/>
      </c>
      <c r="L437" s="16" t="str">
        <f t="shared" si="39"/>
        <v/>
      </c>
      <c r="M437" s="16" t="str">
        <f>IF(K437="","",K437/MAX(K$5:K437)-1)</f>
        <v/>
      </c>
      <c r="N437" s="13" t="str">
        <f>IF(OR('实盘净值数据(iFinD）'!$A437="",'实盘净值数据(iFinD）'!$B437="",'实盘净值数据(iFinD）'!$Z437="",'实盘净值数据(iFinD）'!$AA437=""),"",分期持仓明细!$AB$24*(SUMPRODUCT(分期持仓明细!$B$24:$Y$24,'实盘净值数据(iFinD）'!$B437:$Y437/'实盘净值数据(iFinD）'!$B$65:$Y$65)+SUMPRODUCT(分期持仓明细!$AC$24:$AD$24,'实盘净值数据(iFinD）'!$Z437:$AA437/'实盘净值数据(iFinD）'!$Z$65:$AA$65))*(1-实盘持仓初始配置!$Z$8)^(('实盘净值数据(iFinD）'!$A437-'实盘净值数据(iFinD）'!$A$5)/365))</f>
        <v/>
      </c>
      <c r="O437" s="16" t="str">
        <f t="shared" si="40"/>
        <v/>
      </c>
      <c r="P437" s="16" t="str">
        <f>IF(N437="","",N437/MAX(N$5:N437)-1)</f>
        <v/>
      </c>
      <c r="Q437" s="13" t="str">
        <f>IF(OR('实盘净值数据(iFinD）'!$A437="",'实盘净值数据(iFinD）'!$B437="",'实盘净值数据(iFinD）'!$Z437="",'实盘净值数据(iFinD）'!$AA437=""),"",分期持仓明细!$AB$25*(SUMPRODUCT(分期持仓明细!$B$25:$Y$25,'实盘净值数据(iFinD）'!$B437:$Y437/'实盘净值数据(iFinD）'!$B$65:$Y$65)+SUMPRODUCT(分期持仓明细!$AC$25:$AD$25,'实盘净值数据(iFinD）'!$Z437:$AA437/'实盘净值数据(iFinD）'!$Z$65:$AA$65))*(1-实盘持仓初始配置!$Z$9)^(('实盘净值数据(iFinD）'!$A437-'实盘净值数据(iFinD）'!$A$8)/365))</f>
        <v/>
      </c>
      <c r="R437" s="16" t="str">
        <f t="shared" si="41"/>
        <v/>
      </c>
      <c r="S437" s="16" t="str">
        <f>IF(Q437="","",Q437/MAX(Q$5:Q437)-1)</f>
        <v/>
      </c>
    </row>
    <row r="438" spans="1:19">
      <c r="A438" s="15" t="str">
        <f>IF('实盘净值数据(iFinD）'!A438="","",'实盘净值数据(iFinD）'!A438)</f>
        <v/>
      </c>
      <c r="B438" s="13" t="str">
        <f>IF(OR('实盘净值数据(iFinD）'!$A438="",'实盘净值数据(iFinD）'!$B438=""),"",分期持仓明细!$AB$17*SUMPRODUCT(分期持仓明细!$B$17:$Y$17,'实盘净值数据(iFinD）'!$B438:$Y438/'实盘净值数据(iFinD）'!$B$20:$Y$20)*(1-实盘持仓初始配置!$Z$4)^(('实盘净值数据(iFinD）'!$A438-'实盘净值数据(iFinD）'!$A$6)/365))</f>
        <v/>
      </c>
      <c r="C438" s="16" t="str">
        <f t="shared" si="36"/>
        <v/>
      </c>
      <c r="D438" s="16" t="str">
        <f>IF(B438="","",B438/MAX(B$5:B438)-1)</f>
        <v/>
      </c>
      <c r="E438" s="13" t="str">
        <f>IF(OR('实盘净值数据(iFinD）'!$A438="",'实盘净值数据(iFinD）'!$B438=""),"",分期持仓明细!$AB$18*SUMPRODUCT(分期持仓明细!$B$18:$Y$18,'实盘净值数据(iFinD）'!$B438:$Y438/'实盘净值数据(iFinD）'!$B$20:$Y$20)*(1-实盘持仓初始配置!$Z$5)^(('实盘净值数据(iFinD）'!$A438-'实盘净值数据(iFinD）'!$A$5)/365))</f>
        <v/>
      </c>
      <c r="F438" s="16" t="str">
        <f t="shared" si="37"/>
        <v/>
      </c>
      <c r="G438" s="16" t="str">
        <f>IF(E438="","",E438/MAX(E$5:E438)-1)</f>
        <v/>
      </c>
      <c r="H438" s="13" t="str">
        <f>IF(OR('实盘净值数据(iFinD）'!$A438="",'实盘净值数据(iFinD）'!$B438=""),"",分期持仓明细!$AB$19*SUMPRODUCT(分期持仓明细!$B$19:$Y$19,'实盘净值数据(iFinD）'!$B438:$Y438/'实盘净值数据(iFinD）'!$B$20:$Y$20)*(1-实盘持仓初始配置!$Z$6)^(('实盘净值数据(iFinD）'!$A438-'实盘净值数据(iFinD）'!$A$7)/365))</f>
        <v/>
      </c>
      <c r="I438" s="16" t="str">
        <f t="shared" si="38"/>
        <v/>
      </c>
      <c r="J438" s="16" t="str">
        <f>IF(H438="","",H438/MAX(H$5:H438)-1)</f>
        <v/>
      </c>
      <c r="K438" s="13" t="str">
        <f>IF(OR('实盘净值数据(iFinD）'!$A438="",'实盘净值数据(iFinD）'!$B438="",'实盘净值数据(iFinD）'!$Z438="",'实盘净值数据(iFinD）'!$AA438=""),"",分期持仓明细!$AB$23*(SUMPRODUCT(分期持仓明细!$B$23:$Y$23,'实盘净值数据(iFinD）'!$B438:$Y438/'实盘净值数据(iFinD）'!$B$65:$Y$65)+SUMPRODUCT(分期持仓明细!$AC$23:$AD$23,'实盘净值数据(iFinD）'!$Z438:$AA438/'实盘净值数据(iFinD）'!$Z$65:$AA$65))*(1-实盘持仓初始配置!$Z$7)^(('实盘净值数据(iFinD）'!$A438-'实盘净值数据(iFinD）'!$A$8)/365))</f>
        <v/>
      </c>
      <c r="L438" s="16" t="str">
        <f t="shared" si="39"/>
        <v/>
      </c>
      <c r="M438" s="16" t="str">
        <f>IF(K438="","",K438/MAX(K$5:K438)-1)</f>
        <v/>
      </c>
      <c r="N438" s="13" t="str">
        <f>IF(OR('实盘净值数据(iFinD）'!$A438="",'实盘净值数据(iFinD）'!$B438="",'实盘净值数据(iFinD）'!$Z438="",'实盘净值数据(iFinD）'!$AA438=""),"",分期持仓明细!$AB$24*(SUMPRODUCT(分期持仓明细!$B$24:$Y$24,'实盘净值数据(iFinD）'!$B438:$Y438/'实盘净值数据(iFinD）'!$B$65:$Y$65)+SUMPRODUCT(分期持仓明细!$AC$24:$AD$24,'实盘净值数据(iFinD）'!$Z438:$AA438/'实盘净值数据(iFinD）'!$Z$65:$AA$65))*(1-实盘持仓初始配置!$Z$8)^(('实盘净值数据(iFinD）'!$A438-'实盘净值数据(iFinD）'!$A$5)/365))</f>
        <v/>
      </c>
      <c r="O438" s="16" t="str">
        <f t="shared" si="40"/>
        <v/>
      </c>
      <c r="P438" s="16" t="str">
        <f>IF(N438="","",N438/MAX(N$5:N438)-1)</f>
        <v/>
      </c>
      <c r="Q438" s="13" t="str">
        <f>IF(OR('实盘净值数据(iFinD）'!$A438="",'实盘净值数据(iFinD）'!$B438="",'实盘净值数据(iFinD）'!$Z438="",'实盘净值数据(iFinD）'!$AA438=""),"",分期持仓明细!$AB$25*(SUMPRODUCT(分期持仓明细!$B$25:$Y$25,'实盘净值数据(iFinD）'!$B438:$Y438/'实盘净值数据(iFinD）'!$B$65:$Y$65)+SUMPRODUCT(分期持仓明细!$AC$25:$AD$25,'实盘净值数据(iFinD）'!$Z438:$AA438/'实盘净值数据(iFinD）'!$Z$65:$AA$65))*(1-实盘持仓初始配置!$Z$9)^(('实盘净值数据(iFinD）'!$A438-'实盘净值数据(iFinD）'!$A$8)/365))</f>
        <v/>
      </c>
      <c r="R438" s="16" t="str">
        <f t="shared" si="41"/>
        <v/>
      </c>
      <c r="S438" s="16" t="str">
        <f>IF(Q438="","",Q438/MAX(Q$5:Q438)-1)</f>
        <v/>
      </c>
    </row>
    <row r="439" spans="1:19">
      <c r="A439" s="15" t="str">
        <f>IF('实盘净值数据(iFinD）'!A439="","",'实盘净值数据(iFinD）'!A439)</f>
        <v/>
      </c>
      <c r="B439" s="13" t="str">
        <f>IF(OR('实盘净值数据(iFinD）'!$A439="",'实盘净值数据(iFinD）'!$B439=""),"",分期持仓明细!$AB$17*SUMPRODUCT(分期持仓明细!$B$17:$Y$17,'实盘净值数据(iFinD）'!$B439:$Y439/'实盘净值数据(iFinD）'!$B$20:$Y$20)*(1-实盘持仓初始配置!$Z$4)^(('实盘净值数据(iFinD）'!$A439-'实盘净值数据(iFinD）'!$A$6)/365))</f>
        <v/>
      </c>
      <c r="C439" s="16" t="str">
        <f t="shared" si="36"/>
        <v/>
      </c>
      <c r="D439" s="16" t="str">
        <f>IF(B439="","",B439/MAX(B$5:B439)-1)</f>
        <v/>
      </c>
      <c r="E439" s="13" t="str">
        <f>IF(OR('实盘净值数据(iFinD）'!$A439="",'实盘净值数据(iFinD）'!$B439=""),"",分期持仓明细!$AB$18*SUMPRODUCT(分期持仓明细!$B$18:$Y$18,'实盘净值数据(iFinD）'!$B439:$Y439/'实盘净值数据(iFinD）'!$B$20:$Y$20)*(1-实盘持仓初始配置!$Z$5)^(('实盘净值数据(iFinD）'!$A439-'实盘净值数据(iFinD）'!$A$5)/365))</f>
        <v/>
      </c>
      <c r="F439" s="16" t="str">
        <f t="shared" si="37"/>
        <v/>
      </c>
      <c r="G439" s="16" t="str">
        <f>IF(E439="","",E439/MAX(E$5:E439)-1)</f>
        <v/>
      </c>
      <c r="H439" s="13" t="str">
        <f>IF(OR('实盘净值数据(iFinD）'!$A439="",'实盘净值数据(iFinD）'!$B439=""),"",分期持仓明细!$AB$19*SUMPRODUCT(分期持仓明细!$B$19:$Y$19,'实盘净值数据(iFinD）'!$B439:$Y439/'实盘净值数据(iFinD）'!$B$20:$Y$20)*(1-实盘持仓初始配置!$Z$6)^(('实盘净值数据(iFinD）'!$A439-'实盘净值数据(iFinD）'!$A$7)/365))</f>
        <v/>
      </c>
      <c r="I439" s="16" t="str">
        <f t="shared" si="38"/>
        <v/>
      </c>
      <c r="J439" s="16" t="str">
        <f>IF(H439="","",H439/MAX(H$5:H439)-1)</f>
        <v/>
      </c>
      <c r="K439" s="13" t="str">
        <f>IF(OR('实盘净值数据(iFinD）'!$A439="",'实盘净值数据(iFinD）'!$B439="",'实盘净值数据(iFinD）'!$Z439="",'实盘净值数据(iFinD）'!$AA439=""),"",分期持仓明细!$AB$23*(SUMPRODUCT(分期持仓明细!$B$23:$Y$23,'实盘净值数据(iFinD）'!$B439:$Y439/'实盘净值数据(iFinD）'!$B$65:$Y$65)+SUMPRODUCT(分期持仓明细!$AC$23:$AD$23,'实盘净值数据(iFinD）'!$Z439:$AA439/'实盘净值数据(iFinD）'!$Z$65:$AA$65))*(1-实盘持仓初始配置!$Z$7)^(('实盘净值数据(iFinD）'!$A439-'实盘净值数据(iFinD）'!$A$8)/365))</f>
        <v/>
      </c>
      <c r="L439" s="16" t="str">
        <f t="shared" si="39"/>
        <v/>
      </c>
      <c r="M439" s="16" t="str">
        <f>IF(K439="","",K439/MAX(K$5:K439)-1)</f>
        <v/>
      </c>
      <c r="N439" s="13" t="str">
        <f>IF(OR('实盘净值数据(iFinD）'!$A439="",'实盘净值数据(iFinD）'!$B439="",'实盘净值数据(iFinD）'!$Z439="",'实盘净值数据(iFinD）'!$AA439=""),"",分期持仓明细!$AB$24*(SUMPRODUCT(分期持仓明细!$B$24:$Y$24,'实盘净值数据(iFinD）'!$B439:$Y439/'实盘净值数据(iFinD）'!$B$65:$Y$65)+SUMPRODUCT(分期持仓明细!$AC$24:$AD$24,'实盘净值数据(iFinD）'!$Z439:$AA439/'实盘净值数据(iFinD）'!$Z$65:$AA$65))*(1-实盘持仓初始配置!$Z$8)^(('实盘净值数据(iFinD）'!$A439-'实盘净值数据(iFinD）'!$A$5)/365))</f>
        <v/>
      </c>
      <c r="O439" s="16" t="str">
        <f t="shared" si="40"/>
        <v/>
      </c>
      <c r="P439" s="16" t="str">
        <f>IF(N439="","",N439/MAX(N$5:N439)-1)</f>
        <v/>
      </c>
      <c r="Q439" s="13" t="str">
        <f>IF(OR('实盘净值数据(iFinD）'!$A439="",'实盘净值数据(iFinD）'!$B439="",'实盘净值数据(iFinD）'!$Z439="",'实盘净值数据(iFinD）'!$AA439=""),"",分期持仓明细!$AB$25*(SUMPRODUCT(分期持仓明细!$B$25:$Y$25,'实盘净值数据(iFinD）'!$B439:$Y439/'实盘净值数据(iFinD）'!$B$65:$Y$65)+SUMPRODUCT(分期持仓明细!$AC$25:$AD$25,'实盘净值数据(iFinD）'!$Z439:$AA439/'实盘净值数据(iFinD）'!$Z$65:$AA$65))*(1-实盘持仓初始配置!$Z$9)^(('实盘净值数据(iFinD）'!$A439-'实盘净值数据(iFinD）'!$A$8)/365))</f>
        <v/>
      </c>
      <c r="R439" s="16" t="str">
        <f t="shared" si="41"/>
        <v/>
      </c>
      <c r="S439" s="16" t="str">
        <f>IF(Q439="","",Q439/MAX(Q$5:Q439)-1)</f>
        <v/>
      </c>
    </row>
    <row r="440" spans="1:19">
      <c r="A440" s="15" t="str">
        <f>IF('实盘净值数据(iFinD）'!A440="","",'实盘净值数据(iFinD）'!A440)</f>
        <v/>
      </c>
      <c r="B440" s="13" t="str">
        <f>IF(OR('实盘净值数据(iFinD）'!$A440="",'实盘净值数据(iFinD）'!$B440=""),"",分期持仓明细!$AB$17*SUMPRODUCT(分期持仓明细!$B$17:$Y$17,'实盘净值数据(iFinD）'!$B440:$Y440/'实盘净值数据(iFinD）'!$B$20:$Y$20)*(1-实盘持仓初始配置!$Z$4)^(('实盘净值数据(iFinD）'!$A440-'实盘净值数据(iFinD）'!$A$6)/365))</f>
        <v/>
      </c>
      <c r="C440" s="16" t="str">
        <f t="shared" si="36"/>
        <v/>
      </c>
      <c r="D440" s="16" t="str">
        <f>IF(B440="","",B440/MAX(B$5:B440)-1)</f>
        <v/>
      </c>
      <c r="E440" s="13" t="str">
        <f>IF(OR('实盘净值数据(iFinD）'!$A440="",'实盘净值数据(iFinD）'!$B440=""),"",分期持仓明细!$AB$18*SUMPRODUCT(分期持仓明细!$B$18:$Y$18,'实盘净值数据(iFinD）'!$B440:$Y440/'实盘净值数据(iFinD）'!$B$20:$Y$20)*(1-实盘持仓初始配置!$Z$5)^(('实盘净值数据(iFinD）'!$A440-'实盘净值数据(iFinD）'!$A$5)/365))</f>
        <v/>
      </c>
      <c r="F440" s="16" t="str">
        <f t="shared" si="37"/>
        <v/>
      </c>
      <c r="G440" s="16" t="str">
        <f>IF(E440="","",E440/MAX(E$5:E440)-1)</f>
        <v/>
      </c>
      <c r="H440" s="13" t="str">
        <f>IF(OR('实盘净值数据(iFinD）'!$A440="",'实盘净值数据(iFinD）'!$B440=""),"",分期持仓明细!$AB$19*SUMPRODUCT(分期持仓明细!$B$19:$Y$19,'实盘净值数据(iFinD）'!$B440:$Y440/'实盘净值数据(iFinD）'!$B$20:$Y$20)*(1-实盘持仓初始配置!$Z$6)^(('实盘净值数据(iFinD）'!$A440-'实盘净值数据(iFinD）'!$A$7)/365))</f>
        <v/>
      </c>
      <c r="I440" s="16" t="str">
        <f t="shared" si="38"/>
        <v/>
      </c>
      <c r="J440" s="16" t="str">
        <f>IF(H440="","",H440/MAX(H$5:H440)-1)</f>
        <v/>
      </c>
      <c r="K440" s="13" t="str">
        <f>IF(OR('实盘净值数据(iFinD）'!$A440="",'实盘净值数据(iFinD）'!$B440="",'实盘净值数据(iFinD）'!$Z440="",'实盘净值数据(iFinD）'!$AA440=""),"",分期持仓明细!$AB$23*(SUMPRODUCT(分期持仓明细!$B$23:$Y$23,'实盘净值数据(iFinD）'!$B440:$Y440/'实盘净值数据(iFinD）'!$B$65:$Y$65)+SUMPRODUCT(分期持仓明细!$AC$23:$AD$23,'实盘净值数据(iFinD）'!$Z440:$AA440/'实盘净值数据(iFinD）'!$Z$65:$AA$65))*(1-实盘持仓初始配置!$Z$7)^(('实盘净值数据(iFinD）'!$A440-'实盘净值数据(iFinD）'!$A$8)/365))</f>
        <v/>
      </c>
      <c r="L440" s="16" t="str">
        <f t="shared" si="39"/>
        <v/>
      </c>
      <c r="M440" s="16" t="str">
        <f>IF(K440="","",K440/MAX(K$5:K440)-1)</f>
        <v/>
      </c>
      <c r="N440" s="13" t="str">
        <f>IF(OR('实盘净值数据(iFinD）'!$A440="",'实盘净值数据(iFinD）'!$B440="",'实盘净值数据(iFinD）'!$Z440="",'实盘净值数据(iFinD）'!$AA440=""),"",分期持仓明细!$AB$24*(SUMPRODUCT(分期持仓明细!$B$24:$Y$24,'实盘净值数据(iFinD）'!$B440:$Y440/'实盘净值数据(iFinD）'!$B$65:$Y$65)+SUMPRODUCT(分期持仓明细!$AC$24:$AD$24,'实盘净值数据(iFinD）'!$Z440:$AA440/'实盘净值数据(iFinD）'!$Z$65:$AA$65))*(1-实盘持仓初始配置!$Z$8)^(('实盘净值数据(iFinD）'!$A440-'实盘净值数据(iFinD）'!$A$5)/365))</f>
        <v/>
      </c>
      <c r="O440" s="16" t="str">
        <f t="shared" si="40"/>
        <v/>
      </c>
      <c r="P440" s="16" t="str">
        <f>IF(N440="","",N440/MAX(N$5:N440)-1)</f>
        <v/>
      </c>
      <c r="Q440" s="13" t="str">
        <f>IF(OR('实盘净值数据(iFinD）'!$A440="",'实盘净值数据(iFinD）'!$B440="",'实盘净值数据(iFinD）'!$Z440="",'实盘净值数据(iFinD）'!$AA440=""),"",分期持仓明细!$AB$25*(SUMPRODUCT(分期持仓明细!$B$25:$Y$25,'实盘净值数据(iFinD）'!$B440:$Y440/'实盘净值数据(iFinD）'!$B$65:$Y$65)+SUMPRODUCT(分期持仓明细!$AC$25:$AD$25,'实盘净值数据(iFinD）'!$Z440:$AA440/'实盘净值数据(iFinD）'!$Z$65:$AA$65))*(1-实盘持仓初始配置!$Z$9)^(('实盘净值数据(iFinD）'!$A440-'实盘净值数据(iFinD）'!$A$8)/365))</f>
        <v/>
      </c>
      <c r="R440" s="16" t="str">
        <f t="shared" si="41"/>
        <v/>
      </c>
      <c r="S440" s="16" t="str">
        <f>IF(Q440="","",Q440/MAX(Q$5:Q440)-1)</f>
        <v/>
      </c>
    </row>
    <row r="441" spans="1:19">
      <c r="A441" s="15" t="str">
        <f>IF('实盘净值数据(iFinD）'!A441="","",'实盘净值数据(iFinD）'!A441)</f>
        <v/>
      </c>
      <c r="B441" s="13" t="str">
        <f>IF(OR('实盘净值数据(iFinD）'!$A441="",'实盘净值数据(iFinD）'!$B441=""),"",分期持仓明细!$AB$17*SUMPRODUCT(分期持仓明细!$B$17:$Y$17,'实盘净值数据(iFinD）'!$B441:$Y441/'实盘净值数据(iFinD）'!$B$20:$Y$20)*(1-实盘持仓初始配置!$Z$4)^(('实盘净值数据(iFinD）'!$A441-'实盘净值数据(iFinD）'!$A$6)/365))</f>
        <v/>
      </c>
      <c r="C441" s="16" t="str">
        <f t="shared" si="36"/>
        <v/>
      </c>
      <c r="D441" s="16" t="str">
        <f>IF(B441="","",B441/MAX(B$5:B441)-1)</f>
        <v/>
      </c>
      <c r="E441" s="13" t="str">
        <f>IF(OR('实盘净值数据(iFinD）'!$A441="",'实盘净值数据(iFinD）'!$B441=""),"",分期持仓明细!$AB$18*SUMPRODUCT(分期持仓明细!$B$18:$Y$18,'实盘净值数据(iFinD）'!$B441:$Y441/'实盘净值数据(iFinD）'!$B$20:$Y$20)*(1-实盘持仓初始配置!$Z$5)^(('实盘净值数据(iFinD）'!$A441-'实盘净值数据(iFinD）'!$A$5)/365))</f>
        <v/>
      </c>
      <c r="F441" s="16" t="str">
        <f t="shared" si="37"/>
        <v/>
      </c>
      <c r="G441" s="16" t="str">
        <f>IF(E441="","",E441/MAX(E$5:E441)-1)</f>
        <v/>
      </c>
      <c r="H441" s="13" t="str">
        <f>IF(OR('实盘净值数据(iFinD）'!$A441="",'实盘净值数据(iFinD）'!$B441=""),"",分期持仓明细!$AB$19*SUMPRODUCT(分期持仓明细!$B$19:$Y$19,'实盘净值数据(iFinD）'!$B441:$Y441/'实盘净值数据(iFinD）'!$B$20:$Y$20)*(1-实盘持仓初始配置!$Z$6)^(('实盘净值数据(iFinD）'!$A441-'实盘净值数据(iFinD）'!$A$7)/365))</f>
        <v/>
      </c>
      <c r="I441" s="16" t="str">
        <f t="shared" si="38"/>
        <v/>
      </c>
      <c r="J441" s="16" t="str">
        <f>IF(H441="","",H441/MAX(H$5:H441)-1)</f>
        <v/>
      </c>
      <c r="K441" s="13" t="str">
        <f>IF(OR('实盘净值数据(iFinD）'!$A441="",'实盘净值数据(iFinD）'!$B441="",'实盘净值数据(iFinD）'!$Z441="",'实盘净值数据(iFinD）'!$AA441=""),"",分期持仓明细!$AB$23*(SUMPRODUCT(分期持仓明细!$B$23:$Y$23,'实盘净值数据(iFinD）'!$B441:$Y441/'实盘净值数据(iFinD）'!$B$65:$Y$65)+SUMPRODUCT(分期持仓明细!$AC$23:$AD$23,'实盘净值数据(iFinD）'!$Z441:$AA441/'实盘净值数据(iFinD）'!$Z$65:$AA$65))*(1-实盘持仓初始配置!$Z$7)^(('实盘净值数据(iFinD）'!$A441-'实盘净值数据(iFinD）'!$A$8)/365))</f>
        <v/>
      </c>
      <c r="L441" s="16" t="str">
        <f t="shared" si="39"/>
        <v/>
      </c>
      <c r="M441" s="16" t="str">
        <f>IF(K441="","",K441/MAX(K$5:K441)-1)</f>
        <v/>
      </c>
      <c r="N441" s="13" t="str">
        <f>IF(OR('实盘净值数据(iFinD）'!$A441="",'实盘净值数据(iFinD）'!$B441="",'实盘净值数据(iFinD）'!$Z441="",'实盘净值数据(iFinD）'!$AA441=""),"",分期持仓明细!$AB$24*(SUMPRODUCT(分期持仓明细!$B$24:$Y$24,'实盘净值数据(iFinD）'!$B441:$Y441/'实盘净值数据(iFinD）'!$B$65:$Y$65)+SUMPRODUCT(分期持仓明细!$AC$24:$AD$24,'实盘净值数据(iFinD）'!$Z441:$AA441/'实盘净值数据(iFinD）'!$Z$65:$AA$65))*(1-实盘持仓初始配置!$Z$8)^(('实盘净值数据(iFinD）'!$A441-'实盘净值数据(iFinD）'!$A$5)/365))</f>
        <v/>
      </c>
      <c r="O441" s="16" t="str">
        <f t="shared" si="40"/>
        <v/>
      </c>
      <c r="P441" s="16" t="str">
        <f>IF(N441="","",N441/MAX(N$5:N441)-1)</f>
        <v/>
      </c>
      <c r="Q441" s="13" t="str">
        <f>IF(OR('实盘净值数据(iFinD）'!$A441="",'实盘净值数据(iFinD）'!$B441="",'实盘净值数据(iFinD）'!$Z441="",'实盘净值数据(iFinD）'!$AA441=""),"",分期持仓明细!$AB$25*(SUMPRODUCT(分期持仓明细!$B$25:$Y$25,'实盘净值数据(iFinD）'!$B441:$Y441/'实盘净值数据(iFinD）'!$B$65:$Y$65)+SUMPRODUCT(分期持仓明细!$AC$25:$AD$25,'实盘净值数据(iFinD）'!$Z441:$AA441/'实盘净值数据(iFinD）'!$Z$65:$AA$65))*(1-实盘持仓初始配置!$Z$9)^(('实盘净值数据(iFinD）'!$A441-'实盘净值数据(iFinD）'!$A$8)/365))</f>
        <v/>
      </c>
      <c r="R441" s="16" t="str">
        <f t="shared" si="41"/>
        <v/>
      </c>
      <c r="S441" s="16" t="str">
        <f>IF(Q441="","",Q441/MAX(Q$5:Q441)-1)</f>
        <v/>
      </c>
    </row>
    <row r="442" spans="1:19">
      <c r="A442" s="15" t="str">
        <f>IF('实盘净值数据(iFinD）'!A442="","",'实盘净值数据(iFinD）'!A442)</f>
        <v/>
      </c>
      <c r="B442" s="13" t="str">
        <f>IF(OR('实盘净值数据(iFinD）'!$A442="",'实盘净值数据(iFinD）'!$B442=""),"",分期持仓明细!$AB$17*SUMPRODUCT(分期持仓明细!$B$17:$Y$17,'实盘净值数据(iFinD）'!$B442:$Y442/'实盘净值数据(iFinD）'!$B$20:$Y$20)*(1-实盘持仓初始配置!$Z$4)^(('实盘净值数据(iFinD）'!$A442-'实盘净值数据(iFinD）'!$A$6)/365))</f>
        <v/>
      </c>
      <c r="C442" s="16" t="str">
        <f t="shared" si="36"/>
        <v/>
      </c>
      <c r="D442" s="16" t="str">
        <f>IF(B442="","",B442/MAX(B$5:B442)-1)</f>
        <v/>
      </c>
      <c r="E442" s="13" t="str">
        <f>IF(OR('实盘净值数据(iFinD）'!$A442="",'实盘净值数据(iFinD）'!$B442=""),"",分期持仓明细!$AB$18*SUMPRODUCT(分期持仓明细!$B$18:$Y$18,'实盘净值数据(iFinD）'!$B442:$Y442/'实盘净值数据(iFinD）'!$B$20:$Y$20)*(1-实盘持仓初始配置!$Z$5)^(('实盘净值数据(iFinD）'!$A442-'实盘净值数据(iFinD）'!$A$5)/365))</f>
        <v/>
      </c>
      <c r="F442" s="16" t="str">
        <f t="shared" si="37"/>
        <v/>
      </c>
      <c r="G442" s="16" t="str">
        <f>IF(E442="","",E442/MAX(E$5:E442)-1)</f>
        <v/>
      </c>
      <c r="H442" s="13" t="str">
        <f>IF(OR('实盘净值数据(iFinD）'!$A442="",'实盘净值数据(iFinD）'!$B442=""),"",分期持仓明细!$AB$19*SUMPRODUCT(分期持仓明细!$B$19:$Y$19,'实盘净值数据(iFinD）'!$B442:$Y442/'实盘净值数据(iFinD）'!$B$20:$Y$20)*(1-实盘持仓初始配置!$Z$6)^(('实盘净值数据(iFinD）'!$A442-'实盘净值数据(iFinD）'!$A$7)/365))</f>
        <v/>
      </c>
      <c r="I442" s="16" t="str">
        <f t="shared" si="38"/>
        <v/>
      </c>
      <c r="J442" s="16" t="str">
        <f>IF(H442="","",H442/MAX(H$5:H442)-1)</f>
        <v/>
      </c>
      <c r="K442" s="13" t="str">
        <f>IF(OR('实盘净值数据(iFinD）'!$A442="",'实盘净值数据(iFinD）'!$B442="",'实盘净值数据(iFinD）'!$Z442="",'实盘净值数据(iFinD）'!$AA442=""),"",分期持仓明细!$AB$23*(SUMPRODUCT(分期持仓明细!$B$23:$Y$23,'实盘净值数据(iFinD）'!$B442:$Y442/'实盘净值数据(iFinD）'!$B$65:$Y$65)+SUMPRODUCT(分期持仓明细!$AC$23:$AD$23,'实盘净值数据(iFinD）'!$Z442:$AA442/'实盘净值数据(iFinD）'!$Z$65:$AA$65))*(1-实盘持仓初始配置!$Z$7)^(('实盘净值数据(iFinD）'!$A442-'实盘净值数据(iFinD）'!$A$8)/365))</f>
        <v/>
      </c>
      <c r="L442" s="16" t="str">
        <f t="shared" si="39"/>
        <v/>
      </c>
      <c r="M442" s="16" t="str">
        <f>IF(K442="","",K442/MAX(K$5:K442)-1)</f>
        <v/>
      </c>
      <c r="N442" s="13" t="str">
        <f>IF(OR('实盘净值数据(iFinD）'!$A442="",'实盘净值数据(iFinD）'!$B442="",'实盘净值数据(iFinD）'!$Z442="",'实盘净值数据(iFinD）'!$AA442=""),"",分期持仓明细!$AB$24*(SUMPRODUCT(分期持仓明细!$B$24:$Y$24,'实盘净值数据(iFinD）'!$B442:$Y442/'实盘净值数据(iFinD）'!$B$65:$Y$65)+SUMPRODUCT(分期持仓明细!$AC$24:$AD$24,'实盘净值数据(iFinD）'!$Z442:$AA442/'实盘净值数据(iFinD）'!$Z$65:$AA$65))*(1-实盘持仓初始配置!$Z$8)^(('实盘净值数据(iFinD）'!$A442-'实盘净值数据(iFinD）'!$A$5)/365))</f>
        <v/>
      </c>
      <c r="O442" s="16" t="str">
        <f t="shared" si="40"/>
        <v/>
      </c>
      <c r="P442" s="16" t="str">
        <f>IF(N442="","",N442/MAX(N$5:N442)-1)</f>
        <v/>
      </c>
      <c r="Q442" s="13" t="str">
        <f>IF(OR('实盘净值数据(iFinD）'!$A442="",'实盘净值数据(iFinD）'!$B442="",'实盘净值数据(iFinD）'!$Z442="",'实盘净值数据(iFinD）'!$AA442=""),"",分期持仓明细!$AB$25*(SUMPRODUCT(分期持仓明细!$B$25:$Y$25,'实盘净值数据(iFinD）'!$B442:$Y442/'实盘净值数据(iFinD）'!$B$65:$Y$65)+SUMPRODUCT(分期持仓明细!$AC$25:$AD$25,'实盘净值数据(iFinD）'!$Z442:$AA442/'实盘净值数据(iFinD）'!$Z$65:$AA$65))*(1-实盘持仓初始配置!$Z$9)^(('实盘净值数据(iFinD）'!$A442-'实盘净值数据(iFinD）'!$A$8)/365))</f>
        <v/>
      </c>
      <c r="R442" s="16" t="str">
        <f t="shared" si="41"/>
        <v/>
      </c>
      <c r="S442" s="16" t="str">
        <f>IF(Q442="","",Q442/MAX(Q$5:Q442)-1)</f>
        <v/>
      </c>
    </row>
    <row r="443" spans="1:19">
      <c r="A443" s="15" t="str">
        <f>IF('实盘净值数据(iFinD）'!A443="","",'实盘净值数据(iFinD）'!A443)</f>
        <v/>
      </c>
      <c r="B443" s="13" t="str">
        <f>IF(OR('实盘净值数据(iFinD）'!$A443="",'实盘净值数据(iFinD）'!$B443=""),"",分期持仓明细!$AB$17*SUMPRODUCT(分期持仓明细!$B$17:$Y$17,'实盘净值数据(iFinD）'!$B443:$Y443/'实盘净值数据(iFinD）'!$B$20:$Y$20)*(1-实盘持仓初始配置!$Z$4)^(('实盘净值数据(iFinD）'!$A443-'实盘净值数据(iFinD）'!$A$6)/365))</f>
        <v/>
      </c>
      <c r="C443" s="16" t="str">
        <f t="shared" si="36"/>
        <v/>
      </c>
      <c r="D443" s="16" t="str">
        <f>IF(B443="","",B443/MAX(B$5:B443)-1)</f>
        <v/>
      </c>
      <c r="E443" s="13" t="str">
        <f>IF(OR('实盘净值数据(iFinD）'!$A443="",'实盘净值数据(iFinD）'!$B443=""),"",分期持仓明细!$AB$18*SUMPRODUCT(分期持仓明细!$B$18:$Y$18,'实盘净值数据(iFinD）'!$B443:$Y443/'实盘净值数据(iFinD）'!$B$20:$Y$20)*(1-实盘持仓初始配置!$Z$5)^(('实盘净值数据(iFinD）'!$A443-'实盘净值数据(iFinD）'!$A$5)/365))</f>
        <v/>
      </c>
      <c r="F443" s="16" t="str">
        <f t="shared" si="37"/>
        <v/>
      </c>
      <c r="G443" s="16" t="str">
        <f>IF(E443="","",E443/MAX(E$5:E443)-1)</f>
        <v/>
      </c>
      <c r="H443" s="13" t="str">
        <f>IF(OR('实盘净值数据(iFinD）'!$A443="",'实盘净值数据(iFinD）'!$B443=""),"",分期持仓明细!$AB$19*SUMPRODUCT(分期持仓明细!$B$19:$Y$19,'实盘净值数据(iFinD）'!$B443:$Y443/'实盘净值数据(iFinD）'!$B$20:$Y$20)*(1-实盘持仓初始配置!$Z$6)^(('实盘净值数据(iFinD）'!$A443-'实盘净值数据(iFinD）'!$A$7)/365))</f>
        <v/>
      </c>
      <c r="I443" s="16" t="str">
        <f t="shared" si="38"/>
        <v/>
      </c>
      <c r="J443" s="16" t="str">
        <f>IF(H443="","",H443/MAX(H$5:H443)-1)</f>
        <v/>
      </c>
      <c r="K443" s="13" t="str">
        <f>IF(OR('实盘净值数据(iFinD）'!$A443="",'实盘净值数据(iFinD）'!$B443="",'实盘净值数据(iFinD）'!$Z443="",'实盘净值数据(iFinD）'!$AA443=""),"",分期持仓明细!$AB$23*(SUMPRODUCT(分期持仓明细!$B$23:$Y$23,'实盘净值数据(iFinD）'!$B443:$Y443/'实盘净值数据(iFinD）'!$B$65:$Y$65)+SUMPRODUCT(分期持仓明细!$AC$23:$AD$23,'实盘净值数据(iFinD）'!$Z443:$AA443/'实盘净值数据(iFinD）'!$Z$65:$AA$65))*(1-实盘持仓初始配置!$Z$7)^(('实盘净值数据(iFinD）'!$A443-'实盘净值数据(iFinD）'!$A$8)/365))</f>
        <v/>
      </c>
      <c r="L443" s="16" t="str">
        <f t="shared" si="39"/>
        <v/>
      </c>
      <c r="M443" s="16" t="str">
        <f>IF(K443="","",K443/MAX(K$5:K443)-1)</f>
        <v/>
      </c>
      <c r="N443" s="13" t="str">
        <f>IF(OR('实盘净值数据(iFinD）'!$A443="",'实盘净值数据(iFinD）'!$B443="",'实盘净值数据(iFinD）'!$Z443="",'实盘净值数据(iFinD）'!$AA443=""),"",分期持仓明细!$AB$24*(SUMPRODUCT(分期持仓明细!$B$24:$Y$24,'实盘净值数据(iFinD）'!$B443:$Y443/'实盘净值数据(iFinD）'!$B$65:$Y$65)+SUMPRODUCT(分期持仓明细!$AC$24:$AD$24,'实盘净值数据(iFinD）'!$Z443:$AA443/'实盘净值数据(iFinD）'!$Z$65:$AA$65))*(1-实盘持仓初始配置!$Z$8)^(('实盘净值数据(iFinD）'!$A443-'实盘净值数据(iFinD）'!$A$5)/365))</f>
        <v/>
      </c>
      <c r="O443" s="16" t="str">
        <f t="shared" si="40"/>
        <v/>
      </c>
      <c r="P443" s="16" t="str">
        <f>IF(N443="","",N443/MAX(N$5:N443)-1)</f>
        <v/>
      </c>
      <c r="Q443" s="13" t="str">
        <f>IF(OR('实盘净值数据(iFinD）'!$A443="",'实盘净值数据(iFinD）'!$B443="",'实盘净值数据(iFinD）'!$Z443="",'实盘净值数据(iFinD）'!$AA443=""),"",分期持仓明细!$AB$25*(SUMPRODUCT(分期持仓明细!$B$25:$Y$25,'实盘净值数据(iFinD）'!$B443:$Y443/'实盘净值数据(iFinD）'!$B$65:$Y$65)+SUMPRODUCT(分期持仓明细!$AC$25:$AD$25,'实盘净值数据(iFinD）'!$Z443:$AA443/'实盘净值数据(iFinD）'!$Z$65:$AA$65))*(1-实盘持仓初始配置!$Z$9)^(('实盘净值数据(iFinD）'!$A443-'实盘净值数据(iFinD）'!$A$8)/365))</f>
        <v/>
      </c>
      <c r="R443" s="16" t="str">
        <f t="shared" si="41"/>
        <v/>
      </c>
      <c r="S443" s="16" t="str">
        <f>IF(Q443="","",Q443/MAX(Q$5:Q443)-1)</f>
        <v/>
      </c>
    </row>
    <row r="444" spans="1:19">
      <c r="A444" s="15" t="str">
        <f>IF('实盘净值数据(iFinD）'!A444="","",'实盘净值数据(iFinD）'!A444)</f>
        <v/>
      </c>
      <c r="B444" s="13" t="str">
        <f>IF(OR('实盘净值数据(iFinD）'!$A444="",'实盘净值数据(iFinD）'!$B444=""),"",分期持仓明细!$AB$17*SUMPRODUCT(分期持仓明细!$B$17:$Y$17,'实盘净值数据(iFinD）'!$B444:$Y444/'实盘净值数据(iFinD）'!$B$20:$Y$20)*(1-实盘持仓初始配置!$Z$4)^(('实盘净值数据(iFinD）'!$A444-'实盘净值数据(iFinD）'!$A$6)/365))</f>
        <v/>
      </c>
      <c r="C444" s="16" t="str">
        <f t="shared" ref="C444:C507" si="42">IF(OR(B443="",B444=""),"",B444/B443-1)</f>
        <v/>
      </c>
      <c r="D444" s="16" t="str">
        <f>IF(B444="","",B444/MAX(B$5:B444)-1)</f>
        <v/>
      </c>
      <c r="E444" s="13" t="str">
        <f>IF(OR('实盘净值数据(iFinD）'!$A444="",'实盘净值数据(iFinD）'!$B444=""),"",分期持仓明细!$AB$18*SUMPRODUCT(分期持仓明细!$B$18:$Y$18,'实盘净值数据(iFinD）'!$B444:$Y444/'实盘净值数据(iFinD）'!$B$20:$Y$20)*(1-实盘持仓初始配置!$Z$5)^(('实盘净值数据(iFinD）'!$A444-'实盘净值数据(iFinD）'!$A$5)/365))</f>
        <v/>
      </c>
      <c r="F444" s="16" t="str">
        <f t="shared" ref="F444:F507" si="43">IF(OR(E443="",E444=""),"",E444/E443-1)</f>
        <v/>
      </c>
      <c r="G444" s="16" t="str">
        <f>IF(E444="","",E444/MAX(E$5:E444)-1)</f>
        <v/>
      </c>
      <c r="H444" s="13" t="str">
        <f>IF(OR('实盘净值数据(iFinD）'!$A444="",'实盘净值数据(iFinD）'!$B444=""),"",分期持仓明细!$AB$19*SUMPRODUCT(分期持仓明细!$B$19:$Y$19,'实盘净值数据(iFinD）'!$B444:$Y444/'实盘净值数据(iFinD）'!$B$20:$Y$20)*(1-实盘持仓初始配置!$Z$6)^(('实盘净值数据(iFinD）'!$A444-'实盘净值数据(iFinD）'!$A$7)/365))</f>
        <v/>
      </c>
      <c r="I444" s="16" t="str">
        <f t="shared" ref="I444:I507" si="44">IF(OR(H443="",H444=""),"",H444/H443-1)</f>
        <v/>
      </c>
      <c r="J444" s="16" t="str">
        <f>IF(H444="","",H444/MAX(H$5:H444)-1)</f>
        <v/>
      </c>
      <c r="K444" s="13" t="str">
        <f>IF(OR('实盘净值数据(iFinD）'!$A444="",'实盘净值数据(iFinD）'!$B444="",'实盘净值数据(iFinD）'!$Z444="",'实盘净值数据(iFinD）'!$AA444=""),"",分期持仓明细!$AB$23*(SUMPRODUCT(分期持仓明细!$B$23:$Y$23,'实盘净值数据(iFinD）'!$B444:$Y444/'实盘净值数据(iFinD）'!$B$65:$Y$65)+SUMPRODUCT(分期持仓明细!$AC$23:$AD$23,'实盘净值数据(iFinD）'!$Z444:$AA444/'实盘净值数据(iFinD）'!$Z$65:$AA$65))*(1-实盘持仓初始配置!$Z$7)^(('实盘净值数据(iFinD）'!$A444-'实盘净值数据(iFinD）'!$A$8)/365))</f>
        <v/>
      </c>
      <c r="L444" s="16" t="str">
        <f t="shared" ref="L444:L507" si="45">IF(OR(K443="",K444=""),"",K444/K443-1)</f>
        <v/>
      </c>
      <c r="M444" s="16" t="str">
        <f>IF(K444="","",K444/MAX(K$5:K444)-1)</f>
        <v/>
      </c>
      <c r="N444" s="13" t="str">
        <f>IF(OR('实盘净值数据(iFinD）'!$A444="",'实盘净值数据(iFinD）'!$B444="",'实盘净值数据(iFinD）'!$Z444="",'实盘净值数据(iFinD）'!$AA444=""),"",分期持仓明细!$AB$24*(SUMPRODUCT(分期持仓明细!$B$24:$Y$24,'实盘净值数据(iFinD）'!$B444:$Y444/'实盘净值数据(iFinD）'!$B$65:$Y$65)+SUMPRODUCT(分期持仓明细!$AC$24:$AD$24,'实盘净值数据(iFinD）'!$Z444:$AA444/'实盘净值数据(iFinD）'!$Z$65:$AA$65))*(1-实盘持仓初始配置!$Z$8)^(('实盘净值数据(iFinD）'!$A444-'实盘净值数据(iFinD）'!$A$5)/365))</f>
        <v/>
      </c>
      <c r="O444" s="16" t="str">
        <f t="shared" ref="O444:O507" si="46">IF(OR(N443="",N444=""),"",N444/N443-1)</f>
        <v/>
      </c>
      <c r="P444" s="16" t="str">
        <f>IF(N444="","",N444/MAX(N$5:N444)-1)</f>
        <v/>
      </c>
      <c r="Q444" s="13" t="str">
        <f>IF(OR('实盘净值数据(iFinD）'!$A444="",'实盘净值数据(iFinD）'!$B444="",'实盘净值数据(iFinD）'!$Z444="",'实盘净值数据(iFinD）'!$AA444=""),"",分期持仓明细!$AB$25*(SUMPRODUCT(分期持仓明细!$B$25:$Y$25,'实盘净值数据(iFinD）'!$B444:$Y444/'实盘净值数据(iFinD）'!$B$65:$Y$65)+SUMPRODUCT(分期持仓明细!$AC$25:$AD$25,'实盘净值数据(iFinD）'!$Z444:$AA444/'实盘净值数据(iFinD）'!$Z$65:$AA$65))*(1-实盘持仓初始配置!$Z$9)^(('实盘净值数据(iFinD）'!$A444-'实盘净值数据(iFinD）'!$A$8)/365))</f>
        <v/>
      </c>
      <c r="R444" s="16" t="str">
        <f t="shared" ref="R444:R507" si="47">IF(OR(Q443="",Q444=""),"",Q444/Q443-1)</f>
        <v/>
      </c>
      <c r="S444" s="16" t="str">
        <f>IF(Q444="","",Q444/MAX(Q$5:Q444)-1)</f>
        <v/>
      </c>
    </row>
    <row r="445" spans="1:19">
      <c r="A445" s="15" t="str">
        <f>IF('实盘净值数据(iFinD）'!A445="","",'实盘净值数据(iFinD）'!A445)</f>
        <v/>
      </c>
      <c r="B445" s="13" t="str">
        <f>IF(OR('实盘净值数据(iFinD）'!$A445="",'实盘净值数据(iFinD）'!$B445=""),"",分期持仓明细!$AB$17*SUMPRODUCT(分期持仓明细!$B$17:$Y$17,'实盘净值数据(iFinD）'!$B445:$Y445/'实盘净值数据(iFinD）'!$B$20:$Y$20)*(1-实盘持仓初始配置!$Z$4)^(('实盘净值数据(iFinD）'!$A445-'实盘净值数据(iFinD）'!$A$6)/365))</f>
        <v/>
      </c>
      <c r="C445" s="16" t="str">
        <f t="shared" si="42"/>
        <v/>
      </c>
      <c r="D445" s="16" t="str">
        <f>IF(B445="","",B445/MAX(B$5:B445)-1)</f>
        <v/>
      </c>
      <c r="E445" s="13" t="str">
        <f>IF(OR('实盘净值数据(iFinD）'!$A445="",'实盘净值数据(iFinD）'!$B445=""),"",分期持仓明细!$AB$18*SUMPRODUCT(分期持仓明细!$B$18:$Y$18,'实盘净值数据(iFinD）'!$B445:$Y445/'实盘净值数据(iFinD）'!$B$20:$Y$20)*(1-实盘持仓初始配置!$Z$5)^(('实盘净值数据(iFinD）'!$A445-'实盘净值数据(iFinD）'!$A$5)/365))</f>
        <v/>
      </c>
      <c r="F445" s="16" t="str">
        <f t="shared" si="43"/>
        <v/>
      </c>
      <c r="G445" s="16" t="str">
        <f>IF(E445="","",E445/MAX(E$5:E445)-1)</f>
        <v/>
      </c>
      <c r="H445" s="13" t="str">
        <f>IF(OR('实盘净值数据(iFinD）'!$A445="",'实盘净值数据(iFinD）'!$B445=""),"",分期持仓明细!$AB$19*SUMPRODUCT(分期持仓明细!$B$19:$Y$19,'实盘净值数据(iFinD）'!$B445:$Y445/'实盘净值数据(iFinD）'!$B$20:$Y$20)*(1-实盘持仓初始配置!$Z$6)^(('实盘净值数据(iFinD）'!$A445-'实盘净值数据(iFinD）'!$A$7)/365))</f>
        <v/>
      </c>
      <c r="I445" s="16" t="str">
        <f t="shared" si="44"/>
        <v/>
      </c>
      <c r="J445" s="16" t="str">
        <f>IF(H445="","",H445/MAX(H$5:H445)-1)</f>
        <v/>
      </c>
      <c r="K445" s="13" t="str">
        <f>IF(OR('实盘净值数据(iFinD）'!$A445="",'实盘净值数据(iFinD）'!$B445="",'实盘净值数据(iFinD）'!$Z445="",'实盘净值数据(iFinD）'!$AA445=""),"",分期持仓明细!$AB$23*(SUMPRODUCT(分期持仓明细!$B$23:$Y$23,'实盘净值数据(iFinD）'!$B445:$Y445/'实盘净值数据(iFinD）'!$B$65:$Y$65)+SUMPRODUCT(分期持仓明细!$AC$23:$AD$23,'实盘净值数据(iFinD）'!$Z445:$AA445/'实盘净值数据(iFinD）'!$Z$65:$AA$65))*(1-实盘持仓初始配置!$Z$7)^(('实盘净值数据(iFinD）'!$A445-'实盘净值数据(iFinD）'!$A$8)/365))</f>
        <v/>
      </c>
      <c r="L445" s="16" t="str">
        <f t="shared" si="45"/>
        <v/>
      </c>
      <c r="M445" s="16" t="str">
        <f>IF(K445="","",K445/MAX(K$5:K445)-1)</f>
        <v/>
      </c>
      <c r="N445" s="13" t="str">
        <f>IF(OR('实盘净值数据(iFinD）'!$A445="",'实盘净值数据(iFinD）'!$B445="",'实盘净值数据(iFinD）'!$Z445="",'实盘净值数据(iFinD）'!$AA445=""),"",分期持仓明细!$AB$24*(SUMPRODUCT(分期持仓明细!$B$24:$Y$24,'实盘净值数据(iFinD）'!$B445:$Y445/'实盘净值数据(iFinD）'!$B$65:$Y$65)+SUMPRODUCT(分期持仓明细!$AC$24:$AD$24,'实盘净值数据(iFinD）'!$Z445:$AA445/'实盘净值数据(iFinD）'!$Z$65:$AA$65))*(1-实盘持仓初始配置!$Z$8)^(('实盘净值数据(iFinD）'!$A445-'实盘净值数据(iFinD）'!$A$5)/365))</f>
        <v/>
      </c>
      <c r="O445" s="16" t="str">
        <f t="shared" si="46"/>
        <v/>
      </c>
      <c r="P445" s="16" t="str">
        <f>IF(N445="","",N445/MAX(N$5:N445)-1)</f>
        <v/>
      </c>
      <c r="Q445" s="13" t="str">
        <f>IF(OR('实盘净值数据(iFinD）'!$A445="",'实盘净值数据(iFinD）'!$B445="",'实盘净值数据(iFinD）'!$Z445="",'实盘净值数据(iFinD）'!$AA445=""),"",分期持仓明细!$AB$25*(SUMPRODUCT(分期持仓明细!$B$25:$Y$25,'实盘净值数据(iFinD）'!$B445:$Y445/'实盘净值数据(iFinD）'!$B$65:$Y$65)+SUMPRODUCT(分期持仓明细!$AC$25:$AD$25,'实盘净值数据(iFinD）'!$Z445:$AA445/'实盘净值数据(iFinD）'!$Z$65:$AA$65))*(1-实盘持仓初始配置!$Z$9)^(('实盘净值数据(iFinD）'!$A445-'实盘净值数据(iFinD）'!$A$8)/365))</f>
        <v/>
      </c>
      <c r="R445" s="16" t="str">
        <f t="shared" si="47"/>
        <v/>
      </c>
      <c r="S445" s="16" t="str">
        <f>IF(Q445="","",Q445/MAX(Q$5:Q445)-1)</f>
        <v/>
      </c>
    </row>
    <row r="446" spans="1:19">
      <c r="A446" s="15" t="str">
        <f>IF('实盘净值数据(iFinD）'!A446="","",'实盘净值数据(iFinD）'!A446)</f>
        <v/>
      </c>
      <c r="B446" s="13" t="str">
        <f>IF(OR('实盘净值数据(iFinD）'!$A446="",'实盘净值数据(iFinD）'!$B446=""),"",分期持仓明细!$AB$17*SUMPRODUCT(分期持仓明细!$B$17:$Y$17,'实盘净值数据(iFinD）'!$B446:$Y446/'实盘净值数据(iFinD）'!$B$20:$Y$20)*(1-实盘持仓初始配置!$Z$4)^(('实盘净值数据(iFinD）'!$A446-'实盘净值数据(iFinD）'!$A$6)/365))</f>
        <v/>
      </c>
      <c r="C446" s="16" t="str">
        <f t="shared" si="42"/>
        <v/>
      </c>
      <c r="D446" s="16" t="str">
        <f>IF(B446="","",B446/MAX(B$5:B446)-1)</f>
        <v/>
      </c>
      <c r="E446" s="13" t="str">
        <f>IF(OR('实盘净值数据(iFinD）'!$A446="",'实盘净值数据(iFinD）'!$B446=""),"",分期持仓明细!$AB$18*SUMPRODUCT(分期持仓明细!$B$18:$Y$18,'实盘净值数据(iFinD）'!$B446:$Y446/'实盘净值数据(iFinD）'!$B$20:$Y$20)*(1-实盘持仓初始配置!$Z$5)^(('实盘净值数据(iFinD）'!$A446-'实盘净值数据(iFinD）'!$A$5)/365))</f>
        <v/>
      </c>
      <c r="F446" s="16" t="str">
        <f t="shared" si="43"/>
        <v/>
      </c>
      <c r="G446" s="16" t="str">
        <f>IF(E446="","",E446/MAX(E$5:E446)-1)</f>
        <v/>
      </c>
      <c r="H446" s="13" t="str">
        <f>IF(OR('实盘净值数据(iFinD）'!$A446="",'实盘净值数据(iFinD）'!$B446=""),"",分期持仓明细!$AB$19*SUMPRODUCT(分期持仓明细!$B$19:$Y$19,'实盘净值数据(iFinD）'!$B446:$Y446/'实盘净值数据(iFinD）'!$B$20:$Y$20)*(1-实盘持仓初始配置!$Z$6)^(('实盘净值数据(iFinD）'!$A446-'实盘净值数据(iFinD）'!$A$7)/365))</f>
        <v/>
      </c>
      <c r="I446" s="16" t="str">
        <f t="shared" si="44"/>
        <v/>
      </c>
      <c r="J446" s="16" t="str">
        <f>IF(H446="","",H446/MAX(H$5:H446)-1)</f>
        <v/>
      </c>
      <c r="K446" s="13" t="str">
        <f>IF(OR('实盘净值数据(iFinD）'!$A446="",'实盘净值数据(iFinD）'!$B446="",'实盘净值数据(iFinD）'!$Z446="",'实盘净值数据(iFinD）'!$AA446=""),"",分期持仓明细!$AB$23*(SUMPRODUCT(分期持仓明细!$B$23:$Y$23,'实盘净值数据(iFinD）'!$B446:$Y446/'实盘净值数据(iFinD）'!$B$65:$Y$65)+SUMPRODUCT(分期持仓明细!$AC$23:$AD$23,'实盘净值数据(iFinD）'!$Z446:$AA446/'实盘净值数据(iFinD）'!$Z$65:$AA$65))*(1-实盘持仓初始配置!$Z$7)^(('实盘净值数据(iFinD）'!$A446-'实盘净值数据(iFinD）'!$A$8)/365))</f>
        <v/>
      </c>
      <c r="L446" s="16" t="str">
        <f t="shared" si="45"/>
        <v/>
      </c>
      <c r="M446" s="16" t="str">
        <f>IF(K446="","",K446/MAX(K$5:K446)-1)</f>
        <v/>
      </c>
      <c r="N446" s="13" t="str">
        <f>IF(OR('实盘净值数据(iFinD）'!$A446="",'实盘净值数据(iFinD）'!$B446="",'实盘净值数据(iFinD）'!$Z446="",'实盘净值数据(iFinD）'!$AA446=""),"",分期持仓明细!$AB$24*(SUMPRODUCT(分期持仓明细!$B$24:$Y$24,'实盘净值数据(iFinD）'!$B446:$Y446/'实盘净值数据(iFinD）'!$B$65:$Y$65)+SUMPRODUCT(分期持仓明细!$AC$24:$AD$24,'实盘净值数据(iFinD）'!$Z446:$AA446/'实盘净值数据(iFinD）'!$Z$65:$AA$65))*(1-实盘持仓初始配置!$Z$8)^(('实盘净值数据(iFinD）'!$A446-'实盘净值数据(iFinD）'!$A$5)/365))</f>
        <v/>
      </c>
      <c r="O446" s="16" t="str">
        <f t="shared" si="46"/>
        <v/>
      </c>
      <c r="P446" s="16" t="str">
        <f>IF(N446="","",N446/MAX(N$5:N446)-1)</f>
        <v/>
      </c>
      <c r="Q446" s="13" t="str">
        <f>IF(OR('实盘净值数据(iFinD）'!$A446="",'实盘净值数据(iFinD）'!$B446="",'实盘净值数据(iFinD）'!$Z446="",'实盘净值数据(iFinD）'!$AA446=""),"",分期持仓明细!$AB$25*(SUMPRODUCT(分期持仓明细!$B$25:$Y$25,'实盘净值数据(iFinD）'!$B446:$Y446/'实盘净值数据(iFinD）'!$B$65:$Y$65)+SUMPRODUCT(分期持仓明细!$AC$25:$AD$25,'实盘净值数据(iFinD）'!$Z446:$AA446/'实盘净值数据(iFinD）'!$Z$65:$AA$65))*(1-实盘持仓初始配置!$Z$9)^(('实盘净值数据(iFinD）'!$A446-'实盘净值数据(iFinD）'!$A$8)/365))</f>
        <v/>
      </c>
      <c r="R446" s="16" t="str">
        <f t="shared" si="47"/>
        <v/>
      </c>
      <c r="S446" s="16" t="str">
        <f>IF(Q446="","",Q446/MAX(Q$5:Q446)-1)</f>
        <v/>
      </c>
    </row>
    <row r="447" spans="1:19">
      <c r="A447" s="15" t="str">
        <f>IF('实盘净值数据(iFinD）'!A447="","",'实盘净值数据(iFinD）'!A447)</f>
        <v/>
      </c>
      <c r="B447" s="13" t="str">
        <f>IF(OR('实盘净值数据(iFinD）'!$A447="",'实盘净值数据(iFinD）'!$B447=""),"",分期持仓明细!$AB$17*SUMPRODUCT(分期持仓明细!$B$17:$Y$17,'实盘净值数据(iFinD）'!$B447:$Y447/'实盘净值数据(iFinD）'!$B$20:$Y$20)*(1-实盘持仓初始配置!$Z$4)^(('实盘净值数据(iFinD）'!$A447-'实盘净值数据(iFinD）'!$A$6)/365))</f>
        <v/>
      </c>
      <c r="C447" s="16" t="str">
        <f t="shared" si="42"/>
        <v/>
      </c>
      <c r="D447" s="16" t="str">
        <f>IF(B447="","",B447/MAX(B$5:B447)-1)</f>
        <v/>
      </c>
      <c r="E447" s="13" t="str">
        <f>IF(OR('实盘净值数据(iFinD）'!$A447="",'实盘净值数据(iFinD）'!$B447=""),"",分期持仓明细!$AB$18*SUMPRODUCT(分期持仓明细!$B$18:$Y$18,'实盘净值数据(iFinD）'!$B447:$Y447/'实盘净值数据(iFinD）'!$B$20:$Y$20)*(1-实盘持仓初始配置!$Z$5)^(('实盘净值数据(iFinD）'!$A447-'实盘净值数据(iFinD）'!$A$5)/365))</f>
        <v/>
      </c>
      <c r="F447" s="16" t="str">
        <f t="shared" si="43"/>
        <v/>
      </c>
      <c r="G447" s="16" t="str">
        <f>IF(E447="","",E447/MAX(E$5:E447)-1)</f>
        <v/>
      </c>
      <c r="H447" s="13" t="str">
        <f>IF(OR('实盘净值数据(iFinD）'!$A447="",'实盘净值数据(iFinD）'!$B447=""),"",分期持仓明细!$AB$19*SUMPRODUCT(分期持仓明细!$B$19:$Y$19,'实盘净值数据(iFinD）'!$B447:$Y447/'实盘净值数据(iFinD）'!$B$20:$Y$20)*(1-实盘持仓初始配置!$Z$6)^(('实盘净值数据(iFinD）'!$A447-'实盘净值数据(iFinD）'!$A$7)/365))</f>
        <v/>
      </c>
      <c r="I447" s="16" t="str">
        <f t="shared" si="44"/>
        <v/>
      </c>
      <c r="J447" s="16" t="str">
        <f>IF(H447="","",H447/MAX(H$5:H447)-1)</f>
        <v/>
      </c>
      <c r="K447" s="13" t="str">
        <f>IF(OR('实盘净值数据(iFinD）'!$A447="",'实盘净值数据(iFinD）'!$B447="",'实盘净值数据(iFinD）'!$Z447="",'实盘净值数据(iFinD）'!$AA447=""),"",分期持仓明细!$AB$23*(SUMPRODUCT(分期持仓明细!$B$23:$Y$23,'实盘净值数据(iFinD）'!$B447:$Y447/'实盘净值数据(iFinD）'!$B$65:$Y$65)+SUMPRODUCT(分期持仓明细!$AC$23:$AD$23,'实盘净值数据(iFinD）'!$Z447:$AA447/'实盘净值数据(iFinD）'!$Z$65:$AA$65))*(1-实盘持仓初始配置!$Z$7)^(('实盘净值数据(iFinD）'!$A447-'实盘净值数据(iFinD）'!$A$8)/365))</f>
        <v/>
      </c>
      <c r="L447" s="16" t="str">
        <f t="shared" si="45"/>
        <v/>
      </c>
      <c r="M447" s="16" t="str">
        <f>IF(K447="","",K447/MAX(K$5:K447)-1)</f>
        <v/>
      </c>
      <c r="N447" s="13" t="str">
        <f>IF(OR('实盘净值数据(iFinD）'!$A447="",'实盘净值数据(iFinD）'!$B447="",'实盘净值数据(iFinD）'!$Z447="",'实盘净值数据(iFinD）'!$AA447=""),"",分期持仓明细!$AB$24*(SUMPRODUCT(分期持仓明细!$B$24:$Y$24,'实盘净值数据(iFinD）'!$B447:$Y447/'实盘净值数据(iFinD）'!$B$65:$Y$65)+SUMPRODUCT(分期持仓明细!$AC$24:$AD$24,'实盘净值数据(iFinD）'!$Z447:$AA447/'实盘净值数据(iFinD）'!$Z$65:$AA$65))*(1-实盘持仓初始配置!$Z$8)^(('实盘净值数据(iFinD）'!$A447-'实盘净值数据(iFinD）'!$A$5)/365))</f>
        <v/>
      </c>
      <c r="O447" s="16" t="str">
        <f t="shared" si="46"/>
        <v/>
      </c>
      <c r="P447" s="16" t="str">
        <f>IF(N447="","",N447/MAX(N$5:N447)-1)</f>
        <v/>
      </c>
      <c r="Q447" s="13" t="str">
        <f>IF(OR('实盘净值数据(iFinD）'!$A447="",'实盘净值数据(iFinD）'!$B447="",'实盘净值数据(iFinD）'!$Z447="",'实盘净值数据(iFinD）'!$AA447=""),"",分期持仓明细!$AB$25*(SUMPRODUCT(分期持仓明细!$B$25:$Y$25,'实盘净值数据(iFinD）'!$B447:$Y447/'实盘净值数据(iFinD）'!$B$65:$Y$65)+SUMPRODUCT(分期持仓明细!$AC$25:$AD$25,'实盘净值数据(iFinD）'!$Z447:$AA447/'实盘净值数据(iFinD）'!$Z$65:$AA$65))*(1-实盘持仓初始配置!$Z$9)^(('实盘净值数据(iFinD）'!$A447-'实盘净值数据(iFinD）'!$A$8)/365))</f>
        <v/>
      </c>
      <c r="R447" s="16" t="str">
        <f t="shared" si="47"/>
        <v/>
      </c>
      <c r="S447" s="16" t="str">
        <f>IF(Q447="","",Q447/MAX(Q$5:Q447)-1)</f>
        <v/>
      </c>
    </row>
    <row r="448" spans="1:19">
      <c r="A448" s="15" t="str">
        <f>IF('实盘净值数据(iFinD）'!A448="","",'实盘净值数据(iFinD）'!A448)</f>
        <v/>
      </c>
      <c r="B448" s="13" t="str">
        <f>IF(OR('实盘净值数据(iFinD）'!$A448="",'实盘净值数据(iFinD）'!$B448=""),"",分期持仓明细!$AB$17*SUMPRODUCT(分期持仓明细!$B$17:$Y$17,'实盘净值数据(iFinD）'!$B448:$Y448/'实盘净值数据(iFinD）'!$B$20:$Y$20)*(1-实盘持仓初始配置!$Z$4)^(('实盘净值数据(iFinD）'!$A448-'实盘净值数据(iFinD）'!$A$6)/365))</f>
        <v/>
      </c>
      <c r="C448" s="16" t="str">
        <f t="shared" si="42"/>
        <v/>
      </c>
      <c r="D448" s="16" t="str">
        <f>IF(B448="","",B448/MAX(B$5:B448)-1)</f>
        <v/>
      </c>
      <c r="E448" s="13" t="str">
        <f>IF(OR('实盘净值数据(iFinD）'!$A448="",'实盘净值数据(iFinD）'!$B448=""),"",分期持仓明细!$AB$18*SUMPRODUCT(分期持仓明细!$B$18:$Y$18,'实盘净值数据(iFinD）'!$B448:$Y448/'实盘净值数据(iFinD）'!$B$20:$Y$20)*(1-实盘持仓初始配置!$Z$5)^(('实盘净值数据(iFinD）'!$A448-'实盘净值数据(iFinD）'!$A$5)/365))</f>
        <v/>
      </c>
      <c r="F448" s="16" t="str">
        <f t="shared" si="43"/>
        <v/>
      </c>
      <c r="G448" s="16" t="str">
        <f>IF(E448="","",E448/MAX(E$5:E448)-1)</f>
        <v/>
      </c>
      <c r="H448" s="13" t="str">
        <f>IF(OR('实盘净值数据(iFinD）'!$A448="",'实盘净值数据(iFinD）'!$B448=""),"",分期持仓明细!$AB$19*SUMPRODUCT(分期持仓明细!$B$19:$Y$19,'实盘净值数据(iFinD）'!$B448:$Y448/'实盘净值数据(iFinD）'!$B$20:$Y$20)*(1-实盘持仓初始配置!$Z$6)^(('实盘净值数据(iFinD）'!$A448-'实盘净值数据(iFinD）'!$A$7)/365))</f>
        <v/>
      </c>
      <c r="I448" s="16" t="str">
        <f t="shared" si="44"/>
        <v/>
      </c>
      <c r="J448" s="16" t="str">
        <f>IF(H448="","",H448/MAX(H$5:H448)-1)</f>
        <v/>
      </c>
      <c r="K448" s="13" t="str">
        <f>IF(OR('实盘净值数据(iFinD）'!$A448="",'实盘净值数据(iFinD）'!$B448="",'实盘净值数据(iFinD）'!$Z448="",'实盘净值数据(iFinD）'!$AA448=""),"",分期持仓明细!$AB$23*(SUMPRODUCT(分期持仓明细!$B$23:$Y$23,'实盘净值数据(iFinD）'!$B448:$Y448/'实盘净值数据(iFinD）'!$B$65:$Y$65)+SUMPRODUCT(分期持仓明细!$AC$23:$AD$23,'实盘净值数据(iFinD）'!$Z448:$AA448/'实盘净值数据(iFinD）'!$Z$65:$AA$65))*(1-实盘持仓初始配置!$Z$7)^(('实盘净值数据(iFinD）'!$A448-'实盘净值数据(iFinD）'!$A$8)/365))</f>
        <v/>
      </c>
      <c r="L448" s="16" t="str">
        <f t="shared" si="45"/>
        <v/>
      </c>
      <c r="M448" s="16" t="str">
        <f>IF(K448="","",K448/MAX(K$5:K448)-1)</f>
        <v/>
      </c>
      <c r="N448" s="13" t="str">
        <f>IF(OR('实盘净值数据(iFinD）'!$A448="",'实盘净值数据(iFinD）'!$B448="",'实盘净值数据(iFinD）'!$Z448="",'实盘净值数据(iFinD）'!$AA448=""),"",分期持仓明细!$AB$24*(SUMPRODUCT(分期持仓明细!$B$24:$Y$24,'实盘净值数据(iFinD）'!$B448:$Y448/'实盘净值数据(iFinD）'!$B$65:$Y$65)+SUMPRODUCT(分期持仓明细!$AC$24:$AD$24,'实盘净值数据(iFinD）'!$Z448:$AA448/'实盘净值数据(iFinD）'!$Z$65:$AA$65))*(1-实盘持仓初始配置!$Z$8)^(('实盘净值数据(iFinD）'!$A448-'实盘净值数据(iFinD）'!$A$5)/365))</f>
        <v/>
      </c>
      <c r="O448" s="16" t="str">
        <f t="shared" si="46"/>
        <v/>
      </c>
      <c r="P448" s="16" t="str">
        <f>IF(N448="","",N448/MAX(N$5:N448)-1)</f>
        <v/>
      </c>
      <c r="Q448" s="13" t="str">
        <f>IF(OR('实盘净值数据(iFinD）'!$A448="",'实盘净值数据(iFinD）'!$B448="",'实盘净值数据(iFinD）'!$Z448="",'实盘净值数据(iFinD）'!$AA448=""),"",分期持仓明细!$AB$25*(SUMPRODUCT(分期持仓明细!$B$25:$Y$25,'实盘净值数据(iFinD）'!$B448:$Y448/'实盘净值数据(iFinD）'!$B$65:$Y$65)+SUMPRODUCT(分期持仓明细!$AC$25:$AD$25,'实盘净值数据(iFinD）'!$Z448:$AA448/'实盘净值数据(iFinD）'!$Z$65:$AA$65))*(1-实盘持仓初始配置!$Z$9)^(('实盘净值数据(iFinD）'!$A448-'实盘净值数据(iFinD）'!$A$8)/365))</f>
        <v/>
      </c>
      <c r="R448" s="16" t="str">
        <f t="shared" si="47"/>
        <v/>
      </c>
      <c r="S448" s="16" t="str">
        <f>IF(Q448="","",Q448/MAX(Q$5:Q448)-1)</f>
        <v/>
      </c>
    </row>
    <row r="449" spans="1:19">
      <c r="A449" s="15" t="str">
        <f>IF('实盘净值数据(iFinD）'!A449="","",'实盘净值数据(iFinD）'!A449)</f>
        <v/>
      </c>
      <c r="B449" s="13" t="str">
        <f>IF(OR('实盘净值数据(iFinD）'!$A449="",'实盘净值数据(iFinD）'!$B449=""),"",分期持仓明细!$AB$17*SUMPRODUCT(分期持仓明细!$B$17:$Y$17,'实盘净值数据(iFinD）'!$B449:$Y449/'实盘净值数据(iFinD）'!$B$20:$Y$20)*(1-实盘持仓初始配置!$Z$4)^(('实盘净值数据(iFinD）'!$A449-'实盘净值数据(iFinD）'!$A$6)/365))</f>
        <v/>
      </c>
      <c r="C449" s="16" t="str">
        <f t="shared" si="42"/>
        <v/>
      </c>
      <c r="D449" s="16" t="str">
        <f>IF(B449="","",B449/MAX(B$5:B449)-1)</f>
        <v/>
      </c>
      <c r="E449" s="13" t="str">
        <f>IF(OR('实盘净值数据(iFinD）'!$A449="",'实盘净值数据(iFinD）'!$B449=""),"",分期持仓明细!$AB$18*SUMPRODUCT(分期持仓明细!$B$18:$Y$18,'实盘净值数据(iFinD）'!$B449:$Y449/'实盘净值数据(iFinD）'!$B$20:$Y$20)*(1-实盘持仓初始配置!$Z$5)^(('实盘净值数据(iFinD）'!$A449-'实盘净值数据(iFinD）'!$A$5)/365))</f>
        <v/>
      </c>
      <c r="F449" s="16" t="str">
        <f t="shared" si="43"/>
        <v/>
      </c>
      <c r="G449" s="16" t="str">
        <f>IF(E449="","",E449/MAX(E$5:E449)-1)</f>
        <v/>
      </c>
      <c r="H449" s="13" t="str">
        <f>IF(OR('实盘净值数据(iFinD）'!$A449="",'实盘净值数据(iFinD）'!$B449=""),"",分期持仓明细!$AB$19*SUMPRODUCT(分期持仓明细!$B$19:$Y$19,'实盘净值数据(iFinD）'!$B449:$Y449/'实盘净值数据(iFinD）'!$B$20:$Y$20)*(1-实盘持仓初始配置!$Z$6)^(('实盘净值数据(iFinD）'!$A449-'实盘净值数据(iFinD）'!$A$7)/365))</f>
        <v/>
      </c>
      <c r="I449" s="16" t="str">
        <f t="shared" si="44"/>
        <v/>
      </c>
      <c r="J449" s="16" t="str">
        <f>IF(H449="","",H449/MAX(H$5:H449)-1)</f>
        <v/>
      </c>
      <c r="K449" s="13" t="str">
        <f>IF(OR('实盘净值数据(iFinD）'!$A449="",'实盘净值数据(iFinD）'!$B449="",'实盘净值数据(iFinD）'!$Z449="",'实盘净值数据(iFinD）'!$AA449=""),"",分期持仓明细!$AB$23*(SUMPRODUCT(分期持仓明细!$B$23:$Y$23,'实盘净值数据(iFinD）'!$B449:$Y449/'实盘净值数据(iFinD）'!$B$65:$Y$65)+SUMPRODUCT(分期持仓明细!$AC$23:$AD$23,'实盘净值数据(iFinD）'!$Z449:$AA449/'实盘净值数据(iFinD）'!$Z$65:$AA$65))*(1-实盘持仓初始配置!$Z$7)^(('实盘净值数据(iFinD）'!$A449-'实盘净值数据(iFinD）'!$A$8)/365))</f>
        <v/>
      </c>
      <c r="L449" s="16" t="str">
        <f t="shared" si="45"/>
        <v/>
      </c>
      <c r="M449" s="16" t="str">
        <f>IF(K449="","",K449/MAX(K$5:K449)-1)</f>
        <v/>
      </c>
      <c r="N449" s="13" t="str">
        <f>IF(OR('实盘净值数据(iFinD）'!$A449="",'实盘净值数据(iFinD）'!$B449="",'实盘净值数据(iFinD）'!$Z449="",'实盘净值数据(iFinD）'!$AA449=""),"",分期持仓明细!$AB$24*(SUMPRODUCT(分期持仓明细!$B$24:$Y$24,'实盘净值数据(iFinD）'!$B449:$Y449/'实盘净值数据(iFinD）'!$B$65:$Y$65)+SUMPRODUCT(分期持仓明细!$AC$24:$AD$24,'实盘净值数据(iFinD）'!$Z449:$AA449/'实盘净值数据(iFinD）'!$Z$65:$AA$65))*(1-实盘持仓初始配置!$Z$8)^(('实盘净值数据(iFinD）'!$A449-'实盘净值数据(iFinD）'!$A$5)/365))</f>
        <v/>
      </c>
      <c r="O449" s="16" t="str">
        <f t="shared" si="46"/>
        <v/>
      </c>
      <c r="P449" s="16" t="str">
        <f>IF(N449="","",N449/MAX(N$5:N449)-1)</f>
        <v/>
      </c>
      <c r="Q449" s="13" t="str">
        <f>IF(OR('实盘净值数据(iFinD）'!$A449="",'实盘净值数据(iFinD）'!$B449="",'实盘净值数据(iFinD）'!$Z449="",'实盘净值数据(iFinD）'!$AA449=""),"",分期持仓明细!$AB$25*(SUMPRODUCT(分期持仓明细!$B$25:$Y$25,'实盘净值数据(iFinD）'!$B449:$Y449/'实盘净值数据(iFinD）'!$B$65:$Y$65)+SUMPRODUCT(分期持仓明细!$AC$25:$AD$25,'实盘净值数据(iFinD）'!$Z449:$AA449/'实盘净值数据(iFinD）'!$Z$65:$AA$65))*(1-实盘持仓初始配置!$Z$9)^(('实盘净值数据(iFinD）'!$A449-'实盘净值数据(iFinD）'!$A$8)/365))</f>
        <v/>
      </c>
      <c r="R449" s="16" t="str">
        <f t="shared" si="47"/>
        <v/>
      </c>
      <c r="S449" s="16" t="str">
        <f>IF(Q449="","",Q449/MAX(Q$5:Q449)-1)</f>
        <v/>
      </c>
    </row>
    <row r="450" spans="1:19">
      <c r="A450" s="15" t="str">
        <f>IF('实盘净值数据(iFinD）'!A450="","",'实盘净值数据(iFinD）'!A450)</f>
        <v/>
      </c>
      <c r="B450" s="13" t="str">
        <f>IF(OR('实盘净值数据(iFinD）'!$A450="",'实盘净值数据(iFinD）'!$B450=""),"",分期持仓明细!$AB$17*SUMPRODUCT(分期持仓明细!$B$17:$Y$17,'实盘净值数据(iFinD）'!$B450:$Y450/'实盘净值数据(iFinD）'!$B$20:$Y$20)*(1-实盘持仓初始配置!$Z$4)^(('实盘净值数据(iFinD）'!$A450-'实盘净值数据(iFinD）'!$A$6)/365))</f>
        <v/>
      </c>
      <c r="C450" s="16" t="str">
        <f t="shared" si="42"/>
        <v/>
      </c>
      <c r="D450" s="16" t="str">
        <f>IF(B450="","",B450/MAX(B$5:B450)-1)</f>
        <v/>
      </c>
      <c r="E450" s="13" t="str">
        <f>IF(OR('实盘净值数据(iFinD）'!$A450="",'实盘净值数据(iFinD）'!$B450=""),"",分期持仓明细!$AB$18*SUMPRODUCT(分期持仓明细!$B$18:$Y$18,'实盘净值数据(iFinD）'!$B450:$Y450/'实盘净值数据(iFinD）'!$B$20:$Y$20)*(1-实盘持仓初始配置!$Z$5)^(('实盘净值数据(iFinD）'!$A450-'实盘净值数据(iFinD）'!$A$5)/365))</f>
        <v/>
      </c>
      <c r="F450" s="16" t="str">
        <f t="shared" si="43"/>
        <v/>
      </c>
      <c r="G450" s="16" t="str">
        <f>IF(E450="","",E450/MAX(E$5:E450)-1)</f>
        <v/>
      </c>
      <c r="H450" s="13" t="str">
        <f>IF(OR('实盘净值数据(iFinD）'!$A450="",'实盘净值数据(iFinD）'!$B450=""),"",分期持仓明细!$AB$19*SUMPRODUCT(分期持仓明细!$B$19:$Y$19,'实盘净值数据(iFinD）'!$B450:$Y450/'实盘净值数据(iFinD）'!$B$20:$Y$20)*(1-实盘持仓初始配置!$Z$6)^(('实盘净值数据(iFinD）'!$A450-'实盘净值数据(iFinD）'!$A$7)/365))</f>
        <v/>
      </c>
      <c r="I450" s="16" t="str">
        <f t="shared" si="44"/>
        <v/>
      </c>
      <c r="J450" s="16" t="str">
        <f>IF(H450="","",H450/MAX(H$5:H450)-1)</f>
        <v/>
      </c>
      <c r="K450" s="13" t="str">
        <f>IF(OR('实盘净值数据(iFinD）'!$A450="",'实盘净值数据(iFinD）'!$B450="",'实盘净值数据(iFinD）'!$Z450="",'实盘净值数据(iFinD）'!$AA450=""),"",分期持仓明细!$AB$23*(SUMPRODUCT(分期持仓明细!$B$23:$Y$23,'实盘净值数据(iFinD）'!$B450:$Y450/'实盘净值数据(iFinD）'!$B$65:$Y$65)+SUMPRODUCT(分期持仓明细!$AC$23:$AD$23,'实盘净值数据(iFinD）'!$Z450:$AA450/'实盘净值数据(iFinD）'!$Z$65:$AA$65))*(1-实盘持仓初始配置!$Z$7)^(('实盘净值数据(iFinD）'!$A450-'实盘净值数据(iFinD）'!$A$8)/365))</f>
        <v/>
      </c>
      <c r="L450" s="16" t="str">
        <f t="shared" si="45"/>
        <v/>
      </c>
      <c r="M450" s="16" t="str">
        <f>IF(K450="","",K450/MAX(K$5:K450)-1)</f>
        <v/>
      </c>
      <c r="N450" s="13" t="str">
        <f>IF(OR('实盘净值数据(iFinD）'!$A450="",'实盘净值数据(iFinD）'!$B450="",'实盘净值数据(iFinD）'!$Z450="",'实盘净值数据(iFinD）'!$AA450=""),"",分期持仓明细!$AB$24*(SUMPRODUCT(分期持仓明细!$B$24:$Y$24,'实盘净值数据(iFinD）'!$B450:$Y450/'实盘净值数据(iFinD）'!$B$65:$Y$65)+SUMPRODUCT(分期持仓明细!$AC$24:$AD$24,'实盘净值数据(iFinD）'!$Z450:$AA450/'实盘净值数据(iFinD）'!$Z$65:$AA$65))*(1-实盘持仓初始配置!$Z$8)^(('实盘净值数据(iFinD）'!$A450-'实盘净值数据(iFinD）'!$A$5)/365))</f>
        <v/>
      </c>
      <c r="O450" s="16" t="str">
        <f t="shared" si="46"/>
        <v/>
      </c>
      <c r="P450" s="16" t="str">
        <f>IF(N450="","",N450/MAX(N$5:N450)-1)</f>
        <v/>
      </c>
      <c r="Q450" s="13" t="str">
        <f>IF(OR('实盘净值数据(iFinD）'!$A450="",'实盘净值数据(iFinD）'!$B450="",'实盘净值数据(iFinD）'!$Z450="",'实盘净值数据(iFinD）'!$AA450=""),"",分期持仓明细!$AB$25*(SUMPRODUCT(分期持仓明细!$B$25:$Y$25,'实盘净值数据(iFinD）'!$B450:$Y450/'实盘净值数据(iFinD）'!$B$65:$Y$65)+SUMPRODUCT(分期持仓明细!$AC$25:$AD$25,'实盘净值数据(iFinD）'!$Z450:$AA450/'实盘净值数据(iFinD）'!$Z$65:$AA$65))*(1-实盘持仓初始配置!$Z$9)^(('实盘净值数据(iFinD）'!$A450-'实盘净值数据(iFinD）'!$A$8)/365))</f>
        <v/>
      </c>
      <c r="R450" s="16" t="str">
        <f t="shared" si="47"/>
        <v/>
      </c>
      <c r="S450" s="16" t="str">
        <f>IF(Q450="","",Q450/MAX(Q$5:Q450)-1)</f>
        <v/>
      </c>
    </row>
    <row r="451" spans="1:19">
      <c r="A451" s="15" t="str">
        <f>IF('实盘净值数据(iFinD）'!A451="","",'实盘净值数据(iFinD）'!A451)</f>
        <v/>
      </c>
      <c r="B451" s="13" t="str">
        <f>IF(OR('实盘净值数据(iFinD）'!$A451="",'实盘净值数据(iFinD）'!$B451=""),"",分期持仓明细!$AB$17*SUMPRODUCT(分期持仓明细!$B$17:$Y$17,'实盘净值数据(iFinD）'!$B451:$Y451/'实盘净值数据(iFinD）'!$B$20:$Y$20)*(1-实盘持仓初始配置!$Z$4)^(('实盘净值数据(iFinD）'!$A451-'实盘净值数据(iFinD）'!$A$6)/365))</f>
        <v/>
      </c>
      <c r="C451" s="16" t="str">
        <f t="shared" si="42"/>
        <v/>
      </c>
      <c r="D451" s="16" t="str">
        <f>IF(B451="","",B451/MAX(B$5:B451)-1)</f>
        <v/>
      </c>
      <c r="E451" s="13" t="str">
        <f>IF(OR('实盘净值数据(iFinD）'!$A451="",'实盘净值数据(iFinD）'!$B451=""),"",分期持仓明细!$AB$18*SUMPRODUCT(分期持仓明细!$B$18:$Y$18,'实盘净值数据(iFinD）'!$B451:$Y451/'实盘净值数据(iFinD）'!$B$20:$Y$20)*(1-实盘持仓初始配置!$Z$5)^(('实盘净值数据(iFinD）'!$A451-'实盘净值数据(iFinD）'!$A$5)/365))</f>
        <v/>
      </c>
      <c r="F451" s="16" t="str">
        <f t="shared" si="43"/>
        <v/>
      </c>
      <c r="G451" s="16" t="str">
        <f>IF(E451="","",E451/MAX(E$5:E451)-1)</f>
        <v/>
      </c>
      <c r="H451" s="13" t="str">
        <f>IF(OR('实盘净值数据(iFinD）'!$A451="",'实盘净值数据(iFinD）'!$B451=""),"",分期持仓明细!$AB$19*SUMPRODUCT(分期持仓明细!$B$19:$Y$19,'实盘净值数据(iFinD）'!$B451:$Y451/'实盘净值数据(iFinD）'!$B$20:$Y$20)*(1-实盘持仓初始配置!$Z$6)^(('实盘净值数据(iFinD）'!$A451-'实盘净值数据(iFinD）'!$A$7)/365))</f>
        <v/>
      </c>
      <c r="I451" s="16" t="str">
        <f t="shared" si="44"/>
        <v/>
      </c>
      <c r="J451" s="16" t="str">
        <f>IF(H451="","",H451/MAX(H$5:H451)-1)</f>
        <v/>
      </c>
      <c r="K451" s="13" t="str">
        <f>IF(OR('实盘净值数据(iFinD）'!$A451="",'实盘净值数据(iFinD）'!$B451="",'实盘净值数据(iFinD）'!$Z451="",'实盘净值数据(iFinD）'!$AA451=""),"",分期持仓明细!$AB$23*(SUMPRODUCT(分期持仓明细!$B$23:$Y$23,'实盘净值数据(iFinD）'!$B451:$Y451/'实盘净值数据(iFinD）'!$B$65:$Y$65)+SUMPRODUCT(分期持仓明细!$AC$23:$AD$23,'实盘净值数据(iFinD）'!$Z451:$AA451/'实盘净值数据(iFinD）'!$Z$65:$AA$65))*(1-实盘持仓初始配置!$Z$7)^(('实盘净值数据(iFinD）'!$A451-'实盘净值数据(iFinD）'!$A$8)/365))</f>
        <v/>
      </c>
      <c r="L451" s="16" t="str">
        <f t="shared" si="45"/>
        <v/>
      </c>
      <c r="M451" s="16" t="str">
        <f>IF(K451="","",K451/MAX(K$5:K451)-1)</f>
        <v/>
      </c>
      <c r="N451" s="13" t="str">
        <f>IF(OR('实盘净值数据(iFinD）'!$A451="",'实盘净值数据(iFinD）'!$B451="",'实盘净值数据(iFinD）'!$Z451="",'实盘净值数据(iFinD）'!$AA451=""),"",分期持仓明细!$AB$24*(SUMPRODUCT(分期持仓明细!$B$24:$Y$24,'实盘净值数据(iFinD）'!$B451:$Y451/'实盘净值数据(iFinD）'!$B$65:$Y$65)+SUMPRODUCT(分期持仓明细!$AC$24:$AD$24,'实盘净值数据(iFinD）'!$Z451:$AA451/'实盘净值数据(iFinD）'!$Z$65:$AA$65))*(1-实盘持仓初始配置!$Z$8)^(('实盘净值数据(iFinD）'!$A451-'实盘净值数据(iFinD）'!$A$5)/365))</f>
        <v/>
      </c>
      <c r="O451" s="16" t="str">
        <f t="shared" si="46"/>
        <v/>
      </c>
      <c r="P451" s="16" t="str">
        <f>IF(N451="","",N451/MAX(N$5:N451)-1)</f>
        <v/>
      </c>
      <c r="Q451" s="13" t="str">
        <f>IF(OR('实盘净值数据(iFinD）'!$A451="",'实盘净值数据(iFinD）'!$B451="",'实盘净值数据(iFinD）'!$Z451="",'实盘净值数据(iFinD）'!$AA451=""),"",分期持仓明细!$AB$25*(SUMPRODUCT(分期持仓明细!$B$25:$Y$25,'实盘净值数据(iFinD）'!$B451:$Y451/'实盘净值数据(iFinD）'!$B$65:$Y$65)+SUMPRODUCT(分期持仓明细!$AC$25:$AD$25,'实盘净值数据(iFinD）'!$Z451:$AA451/'实盘净值数据(iFinD）'!$Z$65:$AA$65))*(1-实盘持仓初始配置!$Z$9)^(('实盘净值数据(iFinD）'!$A451-'实盘净值数据(iFinD）'!$A$8)/365))</f>
        <v/>
      </c>
      <c r="R451" s="16" t="str">
        <f t="shared" si="47"/>
        <v/>
      </c>
      <c r="S451" s="16" t="str">
        <f>IF(Q451="","",Q451/MAX(Q$5:Q451)-1)</f>
        <v/>
      </c>
    </row>
    <row r="452" spans="1:19">
      <c r="A452" s="15" t="str">
        <f>IF('实盘净值数据(iFinD）'!A452="","",'实盘净值数据(iFinD）'!A452)</f>
        <v/>
      </c>
      <c r="B452" s="13" t="str">
        <f>IF(OR('实盘净值数据(iFinD）'!$A452="",'实盘净值数据(iFinD）'!$B452=""),"",分期持仓明细!$AB$17*SUMPRODUCT(分期持仓明细!$B$17:$Y$17,'实盘净值数据(iFinD）'!$B452:$Y452/'实盘净值数据(iFinD）'!$B$20:$Y$20)*(1-实盘持仓初始配置!$Z$4)^(('实盘净值数据(iFinD）'!$A452-'实盘净值数据(iFinD）'!$A$6)/365))</f>
        <v/>
      </c>
      <c r="C452" s="16" t="str">
        <f t="shared" si="42"/>
        <v/>
      </c>
      <c r="D452" s="16" t="str">
        <f>IF(B452="","",B452/MAX(B$5:B452)-1)</f>
        <v/>
      </c>
      <c r="E452" s="13" t="str">
        <f>IF(OR('实盘净值数据(iFinD）'!$A452="",'实盘净值数据(iFinD）'!$B452=""),"",分期持仓明细!$AB$18*SUMPRODUCT(分期持仓明细!$B$18:$Y$18,'实盘净值数据(iFinD）'!$B452:$Y452/'实盘净值数据(iFinD）'!$B$20:$Y$20)*(1-实盘持仓初始配置!$Z$5)^(('实盘净值数据(iFinD）'!$A452-'实盘净值数据(iFinD）'!$A$5)/365))</f>
        <v/>
      </c>
      <c r="F452" s="16" t="str">
        <f t="shared" si="43"/>
        <v/>
      </c>
      <c r="G452" s="16" t="str">
        <f>IF(E452="","",E452/MAX(E$5:E452)-1)</f>
        <v/>
      </c>
      <c r="H452" s="13" t="str">
        <f>IF(OR('实盘净值数据(iFinD）'!$A452="",'实盘净值数据(iFinD）'!$B452=""),"",分期持仓明细!$AB$19*SUMPRODUCT(分期持仓明细!$B$19:$Y$19,'实盘净值数据(iFinD）'!$B452:$Y452/'实盘净值数据(iFinD）'!$B$20:$Y$20)*(1-实盘持仓初始配置!$Z$6)^(('实盘净值数据(iFinD）'!$A452-'实盘净值数据(iFinD）'!$A$7)/365))</f>
        <v/>
      </c>
      <c r="I452" s="16" t="str">
        <f t="shared" si="44"/>
        <v/>
      </c>
      <c r="J452" s="16" t="str">
        <f>IF(H452="","",H452/MAX(H$5:H452)-1)</f>
        <v/>
      </c>
      <c r="K452" s="13" t="str">
        <f>IF(OR('实盘净值数据(iFinD）'!$A452="",'实盘净值数据(iFinD）'!$B452="",'实盘净值数据(iFinD）'!$Z452="",'实盘净值数据(iFinD）'!$AA452=""),"",分期持仓明细!$AB$23*(SUMPRODUCT(分期持仓明细!$B$23:$Y$23,'实盘净值数据(iFinD）'!$B452:$Y452/'实盘净值数据(iFinD）'!$B$65:$Y$65)+SUMPRODUCT(分期持仓明细!$AC$23:$AD$23,'实盘净值数据(iFinD）'!$Z452:$AA452/'实盘净值数据(iFinD）'!$Z$65:$AA$65))*(1-实盘持仓初始配置!$Z$7)^(('实盘净值数据(iFinD）'!$A452-'实盘净值数据(iFinD）'!$A$8)/365))</f>
        <v/>
      </c>
      <c r="L452" s="16" t="str">
        <f t="shared" si="45"/>
        <v/>
      </c>
      <c r="M452" s="16" t="str">
        <f>IF(K452="","",K452/MAX(K$5:K452)-1)</f>
        <v/>
      </c>
      <c r="N452" s="13" t="str">
        <f>IF(OR('实盘净值数据(iFinD）'!$A452="",'实盘净值数据(iFinD）'!$B452="",'实盘净值数据(iFinD）'!$Z452="",'实盘净值数据(iFinD）'!$AA452=""),"",分期持仓明细!$AB$24*(SUMPRODUCT(分期持仓明细!$B$24:$Y$24,'实盘净值数据(iFinD）'!$B452:$Y452/'实盘净值数据(iFinD）'!$B$65:$Y$65)+SUMPRODUCT(分期持仓明细!$AC$24:$AD$24,'实盘净值数据(iFinD）'!$Z452:$AA452/'实盘净值数据(iFinD）'!$Z$65:$AA$65))*(1-实盘持仓初始配置!$Z$8)^(('实盘净值数据(iFinD）'!$A452-'实盘净值数据(iFinD）'!$A$5)/365))</f>
        <v/>
      </c>
      <c r="O452" s="16" t="str">
        <f t="shared" si="46"/>
        <v/>
      </c>
      <c r="P452" s="16" t="str">
        <f>IF(N452="","",N452/MAX(N$5:N452)-1)</f>
        <v/>
      </c>
      <c r="Q452" s="13" t="str">
        <f>IF(OR('实盘净值数据(iFinD）'!$A452="",'实盘净值数据(iFinD）'!$B452="",'实盘净值数据(iFinD）'!$Z452="",'实盘净值数据(iFinD）'!$AA452=""),"",分期持仓明细!$AB$25*(SUMPRODUCT(分期持仓明细!$B$25:$Y$25,'实盘净值数据(iFinD）'!$B452:$Y452/'实盘净值数据(iFinD）'!$B$65:$Y$65)+SUMPRODUCT(分期持仓明细!$AC$25:$AD$25,'实盘净值数据(iFinD）'!$Z452:$AA452/'实盘净值数据(iFinD）'!$Z$65:$AA$65))*(1-实盘持仓初始配置!$Z$9)^(('实盘净值数据(iFinD）'!$A452-'实盘净值数据(iFinD）'!$A$8)/365))</f>
        <v/>
      </c>
      <c r="R452" s="16" t="str">
        <f t="shared" si="47"/>
        <v/>
      </c>
      <c r="S452" s="16" t="str">
        <f>IF(Q452="","",Q452/MAX(Q$5:Q452)-1)</f>
        <v/>
      </c>
    </row>
    <row r="453" spans="1:19">
      <c r="A453" s="15" t="str">
        <f>IF('实盘净值数据(iFinD）'!A453="","",'实盘净值数据(iFinD）'!A453)</f>
        <v/>
      </c>
      <c r="B453" s="13" t="str">
        <f>IF(OR('实盘净值数据(iFinD）'!$A453="",'实盘净值数据(iFinD）'!$B453=""),"",分期持仓明细!$AB$17*SUMPRODUCT(分期持仓明细!$B$17:$Y$17,'实盘净值数据(iFinD）'!$B453:$Y453/'实盘净值数据(iFinD）'!$B$20:$Y$20)*(1-实盘持仓初始配置!$Z$4)^(('实盘净值数据(iFinD）'!$A453-'实盘净值数据(iFinD）'!$A$6)/365))</f>
        <v/>
      </c>
      <c r="C453" s="16" t="str">
        <f t="shared" si="42"/>
        <v/>
      </c>
      <c r="D453" s="16" t="str">
        <f>IF(B453="","",B453/MAX(B$5:B453)-1)</f>
        <v/>
      </c>
      <c r="E453" s="13" t="str">
        <f>IF(OR('实盘净值数据(iFinD）'!$A453="",'实盘净值数据(iFinD）'!$B453=""),"",分期持仓明细!$AB$18*SUMPRODUCT(分期持仓明细!$B$18:$Y$18,'实盘净值数据(iFinD）'!$B453:$Y453/'实盘净值数据(iFinD）'!$B$20:$Y$20)*(1-实盘持仓初始配置!$Z$5)^(('实盘净值数据(iFinD）'!$A453-'实盘净值数据(iFinD）'!$A$5)/365))</f>
        <v/>
      </c>
      <c r="F453" s="16" t="str">
        <f t="shared" si="43"/>
        <v/>
      </c>
      <c r="G453" s="16" t="str">
        <f>IF(E453="","",E453/MAX(E$5:E453)-1)</f>
        <v/>
      </c>
      <c r="H453" s="13" t="str">
        <f>IF(OR('实盘净值数据(iFinD）'!$A453="",'实盘净值数据(iFinD）'!$B453=""),"",分期持仓明细!$AB$19*SUMPRODUCT(分期持仓明细!$B$19:$Y$19,'实盘净值数据(iFinD）'!$B453:$Y453/'实盘净值数据(iFinD）'!$B$20:$Y$20)*(1-实盘持仓初始配置!$Z$6)^(('实盘净值数据(iFinD）'!$A453-'实盘净值数据(iFinD）'!$A$7)/365))</f>
        <v/>
      </c>
      <c r="I453" s="16" t="str">
        <f t="shared" si="44"/>
        <v/>
      </c>
      <c r="J453" s="16" t="str">
        <f>IF(H453="","",H453/MAX(H$5:H453)-1)</f>
        <v/>
      </c>
      <c r="K453" s="13" t="str">
        <f>IF(OR('实盘净值数据(iFinD）'!$A453="",'实盘净值数据(iFinD）'!$B453="",'实盘净值数据(iFinD）'!$Z453="",'实盘净值数据(iFinD）'!$AA453=""),"",分期持仓明细!$AB$23*(SUMPRODUCT(分期持仓明细!$B$23:$Y$23,'实盘净值数据(iFinD）'!$B453:$Y453/'实盘净值数据(iFinD）'!$B$65:$Y$65)+SUMPRODUCT(分期持仓明细!$AC$23:$AD$23,'实盘净值数据(iFinD）'!$Z453:$AA453/'实盘净值数据(iFinD）'!$Z$65:$AA$65))*(1-实盘持仓初始配置!$Z$7)^(('实盘净值数据(iFinD）'!$A453-'实盘净值数据(iFinD）'!$A$8)/365))</f>
        <v/>
      </c>
      <c r="L453" s="16" t="str">
        <f t="shared" si="45"/>
        <v/>
      </c>
      <c r="M453" s="16" t="str">
        <f>IF(K453="","",K453/MAX(K$5:K453)-1)</f>
        <v/>
      </c>
      <c r="N453" s="13" t="str">
        <f>IF(OR('实盘净值数据(iFinD）'!$A453="",'实盘净值数据(iFinD）'!$B453="",'实盘净值数据(iFinD）'!$Z453="",'实盘净值数据(iFinD）'!$AA453=""),"",分期持仓明细!$AB$24*(SUMPRODUCT(分期持仓明细!$B$24:$Y$24,'实盘净值数据(iFinD）'!$B453:$Y453/'实盘净值数据(iFinD）'!$B$65:$Y$65)+SUMPRODUCT(分期持仓明细!$AC$24:$AD$24,'实盘净值数据(iFinD）'!$Z453:$AA453/'实盘净值数据(iFinD）'!$Z$65:$AA$65))*(1-实盘持仓初始配置!$Z$8)^(('实盘净值数据(iFinD）'!$A453-'实盘净值数据(iFinD）'!$A$5)/365))</f>
        <v/>
      </c>
      <c r="O453" s="16" t="str">
        <f t="shared" si="46"/>
        <v/>
      </c>
      <c r="P453" s="16" t="str">
        <f>IF(N453="","",N453/MAX(N$5:N453)-1)</f>
        <v/>
      </c>
      <c r="Q453" s="13" t="str">
        <f>IF(OR('实盘净值数据(iFinD）'!$A453="",'实盘净值数据(iFinD）'!$B453="",'实盘净值数据(iFinD）'!$Z453="",'实盘净值数据(iFinD）'!$AA453=""),"",分期持仓明细!$AB$25*(SUMPRODUCT(分期持仓明细!$B$25:$Y$25,'实盘净值数据(iFinD）'!$B453:$Y453/'实盘净值数据(iFinD）'!$B$65:$Y$65)+SUMPRODUCT(分期持仓明细!$AC$25:$AD$25,'实盘净值数据(iFinD）'!$Z453:$AA453/'实盘净值数据(iFinD）'!$Z$65:$AA$65))*(1-实盘持仓初始配置!$Z$9)^(('实盘净值数据(iFinD）'!$A453-'实盘净值数据(iFinD）'!$A$8)/365))</f>
        <v/>
      </c>
      <c r="R453" s="16" t="str">
        <f t="shared" si="47"/>
        <v/>
      </c>
      <c r="S453" s="16" t="str">
        <f>IF(Q453="","",Q453/MAX(Q$5:Q453)-1)</f>
        <v/>
      </c>
    </row>
    <row r="454" spans="1:19">
      <c r="A454" s="15" t="str">
        <f>IF('实盘净值数据(iFinD）'!A454="","",'实盘净值数据(iFinD）'!A454)</f>
        <v/>
      </c>
      <c r="B454" s="13" t="str">
        <f>IF(OR('实盘净值数据(iFinD）'!$A454="",'实盘净值数据(iFinD）'!$B454=""),"",分期持仓明细!$AB$17*SUMPRODUCT(分期持仓明细!$B$17:$Y$17,'实盘净值数据(iFinD）'!$B454:$Y454/'实盘净值数据(iFinD）'!$B$20:$Y$20)*(1-实盘持仓初始配置!$Z$4)^(('实盘净值数据(iFinD）'!$A454-'实盘净值数据(iFinD）'!$A$6)/365))</f>
        <v/>
      </c>
      <c r="C454" s="16" t="str">
        <f t="shared" si="42"/>
        <v/>
      </c>
      <c r="D454" s="16" t="str">
        <f>IF(B454="","",B454/MAX(B$5:B454)-1)</f>
        <v/>
      </c>
      <c r="E454" s="13" t="str">
        <f>IF(OR('实盘净值数据(iFinD）'!$A454="",'实盘净值数据(iFinD）'!$B454=""),"",分期持仓明细!$AB$18*SUMPRODUCT(分期持仓明细!$B$18:$Y$18,'实盘净值数据(iFinD）'!$B454:$Y454/'实盘净值数据(iFinD）'!$B$20:$Y$20)*(1-实盘持仓初始配置!$Z$5)^(('实盘净值数据(iFinD）'!$A454-'实盘净值数据(iFinD）'!$A$5)/365))</f>
        <v/>
      </c>
      <c r="F454" s="16" t="str">
        <f t="shared" si="43"/>
        <v/>
      </c>
      <c r="G454" s="16" t="str">
        <f>IF(E454="","",E454/MAX(E$5:E454)-1)</f>
        <v/>
      </c>
      <c r="H454" s="13" t="str">
        <f>IF(OR('实盘净值数据(iFinD）'!$A454="",'实盘净值数据(iFinD）'!$B454=""),"",分期持仓明细!$AB$19*SUMPRODUCT(分期持仓明细!$B$19:$Y$19,'实盘净值数据(iFinD）'!$B454:$Y454/'实盘净值数据(iFinD）'!$B$20:$Y$20)*(1-实盘持仓初始配置!$Z$6)^(('实盘净值数据(iFinD）'!$A454-'实盘净值数据(iFinD）'!$A$7)/365))</f>
        <v/>
      </c>
      <c r="I454" s="16" t="str">
        <f t="shared" si="44"/>
        <v/>
      </c>
      <c r="J454" s="16" t="str">
        <f>IF(H454="","",H454/MAX(H$5:H454)-1)</f>
        <v/>
      </c>
      <c r="K454" s="13" t="str">
        <f>IF(OR('实盘净值数据(iFinD）'!$A454="",'实盘净值数据(iFinD）'!$B454="",'实盘净值数据(iFinD）'!$Z454="",'实盘净值数据(iFinD）'!$AA454=""),"",分期持仓明细!$AB$23*(SUMPRODUCT(分期持仓明细!$B$23:$Y$23,'实盘净值数据(iFinD）'!$B454:$Y454/'实盘净值数据(iFinD）'!$B$65:$Y$65)+SUMPRODUCT(分期持仓明细!$AC$23:$AD$23,'实盘净值数据(iFinD）'!$Z454:$AA454/'实盘净值数据(iFinD）'!$Z$65:$AA$65))*(1-实盘持仓初始配置!$Z$7)^(('实盘净值数据(iFinD）'!$A454-'实盘净值数据(iFinD）'!$A$8)/365))</f>
        <v/>
      </c>
      <c r="L454" s="16" t="str">
        <f t="shared" si="45"/>
        <v/>
      </c>
      <c r="M454" s="16" t="str">
        <f>IF(K454="","",K454/MAX(K$5:K454)-1)</f>
        <v/>
      </c>
      <c r="N454" s="13" t="str">
        <f>IF(OR('实盘净值数据(iFinD）'!$A454="",'实盘净值数据(iFinD）'!$B454="",'实盘净值数据(iFinD）'!$Z454="",'实盘净值数据(iFinD）'!$AA454=""),"",分期持仓明细!$AB$24*(SUMPRODUCT(分期持仓明细!$B$24:$Y$24,'实盘净值数据(iFinD）'!$B454:$Y454/'实盘净值数据(iFinD）'!$B$65:$Y$65)+SUMPRODUCT(分期持仓明细!$AC$24:$AD$24,'实盘净值数据(iFinD）'!$Z454:$AA454/'实盘净值数据(iFinD）'!$Z$65:$AA$65))*(1-实盘持仓初始配置!$Z$8)^(('实盘净值数据(iFinD）'!$A454-'实盘净值数据(iFinD）'!$A$5)/365))</f>
        <v/>
      </c>
      <c r="O454" s="16" t="str">
        <f t="shared" si="46"/>
        <v/>
      </c>
      <c r="P454" s="16" t="str">
        <f>IF(N454="","",N454/MAX(N$5:N454)-1)</f>
        <v/>
      </c>
      <c r="Q454" s="13" t="str">
        <f>IF(OR('实盘净值数据(iFinD）'!$A454="",'实盘净值数据(iFinD）'!$B454="",'实盘净值数据(iFinD）'!$Z454="",'实盘净值数据(iFinD）'!$AA454=""),"",分期持仓明细!$AB$25*(SUMPRODUCT(分期持仓明细!$B$25:$Y$25,'实盘净值数据(iFinD）'!$B454:$Y454/'实盘净值数据(iFinD）'!$B$65:$Y$65)+SUMPRODUCT(分期持仓明细!$AC$25:$AD$25,'实盘净值数据(iFinD）'!$Z454:$AA454/'实盘净值数据(iFinD）'!$Z$65:$AA$65))*(1-实盘持仓初始配置!$Z$9)^(('实盘净值数据(iFinD）'!$A454-'实盘净值数据(iFinD）'!$A$8)/365))</f>
        <v/>
      </c>
      <c r="R454" s="16" t="str">
        <f t="shared" si="47"/>
        <v/>
      </c>
      <c r="S454" s="16" t="str">
        <f>IF(Q454="","",Q454/MAX(Q$5:Q454)-1)</f>
        <v/>
      </c>
    </row>
    <row r="455" spans="1:19">
      <c r="A455" s="15" t="str">
        <f>IF('实盘净值数据(iFinD）'!A455="","",'实盘净值数据(iFinD）'!A455)</f>
        <v/>
      </c>
      <c r="B455" s="13" t="str">
        <f>IF(OR('实盘净值数据(iFinD）'!$A455="",'实盘净值数据(iFinD）'!$B455=""),"",分期持仓明细!$AB$17*SUMPRODUCT(分期持仓明细!$B$17:$Y$17,'实盘净值数据(iFinD）'!$B455:$Y455/'实盘净值数据(iFinD）'!$B$20:$Y$20)*(1-实盘持仓初始配置!$Z$4)^(('实盘净值数据(iFinD）'!$A455-'实盘净值数据(iFinD）'!$A$6)/365))</f>
        <v/>
      </c>
      <c r="C455" s="16" t="str">
        <f t="shared" si="42"/>
        <v/>
      </c>
      <c r="D455" s="16" t="str">
        <f>IF(B455="","",B455/MAX(B$5:B455)-1)</f>
        <v/>
      </c>
      <c r="E455" s="13" t="str">
        <f>IF(OR('实盘净值数据(iFinD）'!$A455="",'实盘净值数据(iFinD）'!$B455=""),"",分期持仓明细!$AB$18*SUMPRODUCT(分期持仓明细!$B$18:$Y$18,'实盘净值数据(iFinD）'!$B455:$Y455/'实盘净值数据(iFinD）'!$B$20:$Y$20)*(1-实盘持仓初始配置!$Z$5)^(('实盘净值数据(iFinD）'!$A455-'实盘净值数据(iFinD）'!$A$5)/365))</f>
        <v/>
      </c>
      <c r="F455" s="16" t="str">
        <f t="shared" si="43"/>
        <v/>
      </c>
      <c r="G455" s="16" t="str">
        <f>IF(E455="","",E455/MAX(E$5:E455)-1)</f>
        <v/>
      </c>
      <c r="H455" s="13" t="str">
        <f>IF(OR('实盘净值数据(iFinD）'!$A455="",'实盘净值数据(iFinD）'!$B455=""),"",分期持仓明细!$AB$19*SUMPRODUCT(分期持仓明细!$B$19:$Y$19,'实盘净值数据(iFinD）'!$B455:$Y455/'实盘净值数据(iFinD）'!$B$20:$Y$20)*(1-实盘持仓初始配置!$Z$6)^(('实盘净值数据(iFinD）'!$A455-'实盘净值数据(iFinD）'!$A$7)/365))</f>
        <v/>
      </c>
      <c r="I455" s="16" t="str">
        <f t="shared" si="44"/>
        <v/>
      </c>
      <c r="J455" s="16" t="str">
        <f>IF(H455="","",H455/MAX(H$5:H455)-1)</f>
        <v/>
      </c>
      <c r="K455" s="13" t="str">
        <f>IF(OR('实盘净值数据(iFinD）'!$A455="",'实盘净值数据(iFinD）'!$B455="",'实盘净值数据(iFinD）'!$Z455="",'实盘净值数据(iFinD）'!$AA455=""),"",分期持仓明细!$AB$23*(SUMPRODUCT(分期持仓明细!$B$23:$Y$23,'实盘净值数据(iFinD）'!$B455:$Y455/'实盘净值数据(iFinD）'!$B$65:$Y$65)+SUMPRODUCT(分期持仓明细!$AC$23:$AD$23,'实盘净值数据(iFinD）'!$Z455:$AA455/'实盘净值数据(iFinD）'!$Z$65:$AA$65))*(1-实盘持仓初始配置!$Z$7)^(('实盘净值数据(iFinD）'!$A455-'实盘净值数据(iFinD）'!$A$8)/365))</f>
        <v/>
      </c>
      <c r="L455" s="16" t="str">
        <f t="shared" si="45"/>
        <v/>
      </c>
      <c r="M455" s="16" t="str">
        <f>IF(K455="","",K455/MAX(K$5:K455)-1)</f>
        <v/>
      </c>
      <c r="N455" s="13" t="str">
        <f>IF(OR('实盘净值数据(iFinD）'!$A455="",'实盘净值数据(iFinD）'!$B455="",'实盘净值数据(iFinD）'!$Z455="",'实盘净值数据(iFinD）'!$AA455=""),"",分期持仓明细!$AB$24*(SUMPRODUCT(分期持仓明细!$B$24:$Y$24,'实盘净值数据(iFinD）'!$B455:$Y455/'实盘净值数据(iFinD）'!$B$65:$Y$65)+SUMPRODUCT(分期持仓明细!$AC$24:$AD$24,'实盘净值数据(iFinD）'!$Z455:$AA455/'实盘净值数据(iFinD）'!$Z$65:$AA$65))*(1-实盘持仓初始配置!$Z$8)^(('实盘净值数据(iFinD）'!$A455-'实盘净值数据(iFinD）'!$A$5)/365))</f>
        <v/>
      </c>
      <c r="O455" s="16" t="str">
        <f t="shared" si="46"/>
        <v/>
      </c>
      <c r="P455" s="16" t="str">
        <f>IF(N455="","",N455/MAX(N$5:N455)-1)</f>
        <v/>
      </c>
      <c r="Q455" s="13" t="str">
        <f>IF(OR('实盘净值数据(iFinD）'!$A455="",'实盘净值数据(iFinD）'!$B455="",'实盘净值数据(iFinD）'!$Z455="",'实盘净值数据(iFinD）'!$AA455=""),"",分期持仓明细!$AB$25*(SUMPRODUCT(分期持仓明细!$B$25:$Y$25,'实盘净值数据(iFinD）'!$B455:$Y455/'实盘净值数据(iFinD）'!$B$65:$Y$65)+SUMPRODUCT(分期持仓明细!$AC$25:$AD$25,'实盘净值数据(iFinD）'!$Z455:$AA455/'实盘净值数据(iFinD）'!$Z$65:$AA$65))*(1-实盘持仓初始配置!$Z$9)^(('实盘净值数据(iFinD）'!$A455-'实盘净值数据(iFinD）'!$A$8)/365))</f>
        <v/>
      </c>
      <c r="R455" s="16" t="str">
        <f t="shared" si="47"/>
        <v/>
      </c>
      <c r="S455" s="16" t="str">
        <f>IF(Q455="","",Q455/MAX(Q$5:Q455)-1)</f>
        <v/>
      </c>
    </row>
    <row r="456" spans="1:19">
      <c r="A456" s="15" t="str">
        <f>IF('实盘净值数据(iFinD）'!A456="","",'实盘净值数据(iFinD）'!A456)</f>
        <v/>
      </c>
      <c r="B456" s="13" t="str">
        <f>IF(OR('实盘净值数据(iFinD）'!$A456="",'实盘净值数据(iFinD）'!$B456=""),"",分期持仓明细!$AB$17*SUMPRODUCT(分期持仓明细!$B$17:$Y$17,'实盘净值数据(iFinD）'!$B456:$Y456/'实盘净值数据(iFinD）'!$B$20:$Y$20)*(1-实盘持仓初始配置!$Z$4)^(('实盘净值数据(iFinD）'!$A456-'实盘净值数据(iFinD）'!$A$6)/365))</f>
        <v/>
      </c>
      <c r="C456" s="16" t="str">
        <f t="shared" si="42"/>
        <v/>
      </c>
      <c r="D456" s="16" t="str">
        <f>IF(B456="","",B456/MAX(B$5:B456)-1)</f>
        <v/>
      </c>
      <c r="E456" s="13" t="str">
        <f>IF(OR('实盘净值数据(iFinD）'!$A456="",'实盘净值数据(iFinD）'!$B456=""),"",分期持仓明细!$AB$18*SUMPRODUCT(分期持仓明细!$B$18:$Y$18,'实盘净值数据(iFinD）'!$B456:$Y456/'实盘净值数据(iFinD）'!$B$20:$Y$20)*(1-实盘持仓初始配置!$Z$5)^(('实盘净值数据(iFinD）'!$A456-'实盘净值数据(iFinD）'!$A$5)/365))</f>
        <v/>
      </c>
      <c r="F456" s="16" t="str">
        <f t="shared" si="43"/>
        <v/>
      </c>
      <c r="G456" s="16" t="str">
        <f>IF(E456="","",E456/MAX(E$5:E456)-1)</f>
        <v/>
      </c>
      <c r="H456" s="13" t="str">
        <f>IF(OR('实盘净值数据(iFinD）'!$A456="",'实盘净值数据(iFinD）'!$B456=""),"",分期持仓明细!$AB$19*SUMPRODUCT(分期持仓明细!$B$19:$Y$19,'实盘净值数据(iFinD）'!$B456:$Y456/'实盘净值数据(iFinD）'!$B$20:$Y$20)*(1-实盘持仓初始配置!$Z$6)^(('实盘净值数据(iFinD）'!$A456-'实盘净值数据(iFinD）'!$A$7)/365))</f>
        <v/>
      </c>
      <c r="I456" s="16" t="str">
        <f t="shared" si="44"/>
        <v/>
      </c>
      <c r="J456" s="16" t="str">
        <f>IF(H456="","",H456/MAX(H$5:H456)-1)</f>
        <v/>
      </c>
      <c r="K456" s="13" t="str">
        <f>IF(OR('实盘净值数据(iFinD）'!$A456="",'实盘净值数据(iFinD）'!$B456="",'实盘净值数据(iFinD）'!$Z456="",'实盘净值数据(iFinD）'!$AA456=""),"",分期持仓明细!$AB$23*(SUMPRODUCT(分期持仓明细!$B$23:$Y$23,'实盘净值数据(iFinD）'!$B456:$Y456/'实盘净值数据(iFinD）'!$B$65:$Y$65)+SUMPRODUCT(分期持仓明细!$AC$23:$AD$23,'实盘净值数据(iFinD）'!$Z456:$AA456/'实盘净值数据(iFinD）'!$Z$65:$AA$65))*(1-实盘持仓初始配置!$Z$7)^(('实盘净值数据(iFinD）'!$A456-'实盘净值数据(iFinD）'!$A$8)/365))</f>
        <v/>
      </c>
      <c r="L456" s="16" t="str">
        <f t="shared" si="45"/>
        <v/>
      </c>
      <c r="M456" s="16" t="str">
        <f>IF(K456="","",K456/MAX(K$5:K456)-1)</f>
        <v/>
      </c>
      <c r="N456" s="13" t="str">
        <f>IF(OR('实盘净值数据(iFinD）'!$A456="",'实盘净值数据(iFinD）'!$B456="",'实盘净值数据(iFinD）'!$Z456="",'实盘净值数据(iFinD）'!$AA456=""),"",分期持仓明细!$AB$24*(SUMPRODUCT(分期持仓明细!$B$24:$Y$24,'实盘净值数据(iFinD）'!$B456:$Y456/'实盘净值数据(iFinD）'!$B$65:$Y$65)+SUMPRODUCT(分期持仓明细!$AC$24:$AD$24,'实盘净值数据(iFinD）'!$Z456:$AA456/'实盘净值数据(iFinD）'!$Z$65:$AA$65))*(1-实盘持仓初始配置!$Z$8)^(('实盘净值数据(iFinD）'!$A456-'实盘净值数据(iFinD）'!$A$5)/365))</f>
        <v/>
      </c>
      <c r="O456" s="16" t="str">
        <f t="shared" si="46"/>
        <v/>
      </c>
      <c r="P456" s="16" t="str">
        <f>IF(N456="","",N456/MAX(N$5:N456)-1)</f>
        <v/>
      </c>
      <c r="Q456" s="13" t="str">
        <f>IF(OR('实盘净值数据(iFinD）'!$A456="",'实盘净值数据(iFinD）'!$B456="",'实盘净值数据(iFinD）'!$Z456="",'实盘净值数据(iFinD）'!$AA456=""),"",分期持仓明细!$AB$25*(SUMPRODUCT(分期持仓明细!$B$25:$Y$25,'实盘净值数据(iFinD）'!$B456:$Y456/'实盘净值数据(iFinD）'!$B$65:$Y$65)+SUMPRODUCT(分期持仓明细!$AC$25:$AD$25,'实盘净值数据(iFinD）'!$Z456:$AA456/'实盘净值数据(iFinD）'!$Z$65:$AA$65))*(1-实盘持仓初始配置!$Z$9)^(('实盘净值数据(iFinD）'!$A456-'实盘净值数据(iFinD）'!$A$8)/365))</f>
        <v/>
      </c>
      <c r="R456" s="16" t="str">
        <f t="shared" si="47"/>
        <v/>
      </c>
      <c r="S456" s="16" t="str">
        <f>IF(Q456="","",Q456/MAX(Q$5:Q456)-1)</f>
        <v/>
      </c>
    </row>
    <row r="457" spans="1:19">
      <c r="A457" s="15" t="str">
        <f>IF('实盘净值数据(iFinD）'!A457="","",'实盘净值数据(iFinD）'!A457)</f>
        <v/>
      </c>
      <c r="B457" s="13" t="str">
        <f>IF(OR('实盘净值数据(iFinD）'!$A457="",'实盘净值数据(iFinD）'!$B457=""),"",分期持仓明细!$AB$17*SUMPRODUCT(分期持仓明细!$B$17:$Y$17,'实盘净值数据(iFinD）'!$B457:$Y457/'实盘净值数据(iFinD）'!$B$20:$Y$20)*(1-实盘持仓初始配置!$Z$4)^(('实盘净值数据(iFinD）'!$A457-'实盘净值数据(iFinD）'!$A$6)/365))</f>
        <v/>
      </c>
      <c r="C457" s="16" t="str">
        <f t="shared" si="42"/>
        <v/>
      </c>
      <c r="D457" s="16" t="str">
        <f>IF(B457="","",B457/MAX(B$5:B457)-1)</f>
        <v/>
      </c>
      <c r="E457" s="13" t="str">
        <f>IF(OR('实盘净值数据(iFinD）'!$A457="",'实盘净值数据(iFinD）'!$B457=""),"",分期持仓明细!$AB$18*SUMPRODUCT(分期持仓明细!$B$18:$Y$18,'实盘净值数据(iFinD）'!$B457:$Y457/'实盘净值数据(iFinD）'!$B$20:$Y$20)*(1-实盘持仓初始配置!$Z$5)^(('实盘净值数据(iFinD）'!$A457-'实盘净值数据(iFinD）'!$A$5)/365))</f>
        <v/>
      </c>
      <c r="F457" s="16" t="str">
        <f t="shared" si="43"/>
        <v/>
      </c>
      <c r="G457" s="16" t="str">
        <f>IF(E457="","",E457/MAX(E$5:E457)-1)</f>
        <v/>
      </c>
      <c r="H457" s="13" t="str">
        <f>IF(OR('实盘净值数据(iFinD）'!$A457="",'实盘净值数据(iFinD）'!$B457=""),"",分期持仓明细!$AB$19*SUMPRODUCT(分期持仓明细!$B$19:$Y$19,'实盘净值数据(iFinD）'!$B457:$Y457/'实盘净值数据(iFinD）'!$B$20:$Y$20)*(1-实盘持仓初始配置!$Z$6)^(('实盘净值数据(iFinD）'!$A457-'实盘净值数据(iFinD）'!$A$7)/365))</f>
        <v/>
      </c>
      <c r="I457" s="16" t="str">
        <f t="shared" si="44"/>
        <v/>
      </c>
      <c r="J457" s="16" t="str">
        <f>IF(H457="","",H457/MAX(H$5:H457)-1)</f>
        <v/>
      </c>
      <c r="K457" s="13" t="str">
        <f>IF(OR('实盘净值数据(iFinD）'!$A457="",'实盘净值数据(iFinD）'!$B457="",'实盘净值数据(iFinD）'!$Z457="",'实盘净值数据(iFinD）'!$AA457=""),"",分期持仓明细!$AB$23*(SUMPRODUCT(分期持仓明细!$B$23:$Y$23,'实盘净值数据(iFinD）'!$B457:$Y457/'实盘净值数据(iFinD）'!$B$65:$Y$65)+SUMPRODUCT(分期持仓明细!$AC$23:$AD$23,'实盘净值数据(iFinD）'!$Z457:$AA457/'实盘净值数据(iFinD）'!$Z$65:$AA$65))*(1-实盘持仓初始配置!$Z$7)^(('实盘净值数据(iFinD）'!$A457-'实盘净值数据(iFinD）'!$A$8)/365))</f>
        <v/>
      </c>
      <c r="L457" s="16" t="str">
        <f t="shared" si="45"/>
        <v/>
      </c>
      <c r="M457" s="16" t="str">
        <f>IF(K457="","",K457/MAX(K$5:K457)-1)</f>
        <v/>
      </c>
      <c r="N457" s="13" t="str">
        <f>IF(OR('实盘净值数据(iFinD）'!$A457="",'实盘净值数据(iFinD）'!$B457="",'实盘净值数据(iFinD）'!$Z457="",'实盘净值数据(iFinD）'!$AA457=""),"",分期持仓明细!$AB$24*(SUMPRODUCT(分期持仓明细!$B$24:$Y$24,'实盘净值数据(iFinD）'!$B457:$Y457/'实盘净值数据(iFinD）'!$B$65:$Y$65)+SUMPRODUCT(分期持仓明细!$AC$24:$AD$24,'实盘净值数据(iFinD）'!$Z457:$AA457/'实盘净值数据(iFinD）'!$Z$65:$AA$65))*(1-实盘持仓初始配置!$Z$8)^(('实盘净值数据(iFinD）'!$A457-'实盘净值数据(iFinD）'!$A$5)/365))</f>
        <v/>
      </c>
      <c r="O457" s="16" t="str">
        <f t="shared" si="46"/>
        <v/>
      </c>
      <c r="P457" s="16" t="str">
        <f>IF(N457="","",N457/MAX(N$5:N457)-1)</f>
        <v/>
      </c>
      <c r="Q457" s="13" t="str">
        <f>IF(OR('实盘净值数据(iFinD）'!$A457="",'实盘净值数据(iFinD）'!$B457="",'实盘净值数据(iFinD）'!$Z457="",'实盘净值数据(iFinD）'!$AA457=""),"",分期持仓明细!$AB$25*(SUMPRODUCT(分期持仓明细!$B$25:$Y$25,'实盘净值数据(iFinD）'!$B457:$Y457/'实盘净值数据(iFinD）'!$B$65:$Y$65)+SUMPRODUCT(分期持仓明细!$AC$25:$AD$25,'实盘净值数据(iFinD）'!$Z457:$AA457/'实盘净值数据(iFinD）'!$Z$65:$AA$65))*(1-实盘持仓初始配置!$Z$9)^(('实盘净值数据(iFinD）'!$A457-'实盘净值数据(iFinD）'!$A$8)/365))</f>
        <v/>
      </c>
      <c r="R457" s="16" t="str">
        <f t="shared" si="47"/>
        <v/>
      </c>
      <c r="S457" s="16" t="str">
        <f>IF(Q457="","",Q457/MAX(Q$5:Q457)-1)</f>
        <v/>
      </c>
    </row>
    <row r="458" spans="1:19">
      <c r="A458" s="15" t="str">
        <f>IF('实盘净值数据(iFinD）'!A458="","",'实盘净值数据(iFinD）'!A458)</f>
        <v/>
      </c>
      <c r="B458" s="13" t="str">
        <f>IF(OR('实盘净值数据(iFinD）'!$A458="",'实盘净值数据(iFinD）'!$B458=""),"",分期持仓明细!$AB$17*SUMPRODUCT(分期持仓明细!$B$17:$Y$17,'实盘净值数据(iFinD）'!$B458:$Y458/'实盘净值数据(iFinD）'!$B$20:$Y$20)*(1-实盘持仓初始配置!$Z$4)^(('实盘净值数据(iFinD）'!$A458-'实盘净值数据(iFinD）'!$A$6)/365))</f>
        <v/>
      </c>
      <c r="C458" s="16" t="str">
        <f t="shared" si="42"/>
        <v/>
      </c>
      <c r="D458" s="16" t="str">
        <f>IF(B458="","",B458/MAX(B$5:B458)-1)</f>
        <v/>
      </c>
      <c r="E458" s="13" t="str">
        <f>IF(OR('实盘净值数据(iFinD）'!$A458="",'实盘净值数据(iFinD）'!$B458=""),"",分期持仓明细!$AB$18*SUMPRODUCT(分期持仓明细!$B$18:$Y$18,'实盘净值数据(iFinD）'!$B458:$Y458/'实盘净值数据(iFinD）'!$B$20:$Y$20)*(1-实盘持仓初始配置!$Z$5)^(('实盘净值数据(iFinD）'!$A458-'实盘净值数据(iFinD）'!$A$5)/365))</f>
        <v/>
      </c>
      <c r="F458" s="16" t="str">
        <f t="shared" si="43"/>
        <v/>
      </c>
      <c r="G458" s="16" t="str">
        <f>IF(E458="","",E458/MAX(E$5:E458)-1)</f>
        <v/>
      </c>
      <c r="H458" s="13" t="str">
        <f>IF(OR('实盘净值数据(iFinD）'!$A458="",'实盘净值数据(iFinD）'!$B458=""),"",分期持仓明细!$AB$19*SUMPRODUCT(分期持仓明细!$B$19:$Y$19,'实盘净值数据(iFinD）'!$B458:$Y458/'实盘净值数据(iFinD）'!$B$20:$Y$20)*(1-实盘持仓初始配置!$Z$6)^(('实盘净值数据(iFinD）'!$A458-'实盘净值数据(iFinD）'!$A$7)/365))</f>
        <v/>
      </c>
      <c r="I458" s="16" t="str">
        <f t="shared" si="44"/>
        <v/>
      </c>
      <c r="J458" s="16" t="str">
        <f>IF(H458="","",H458/MAX(H$5:H458)-1)</f>
        <v/>
      </c>
      <c r="K458" s="13" t="str">
        <f>IF(OR('实盘净值数据(iFinD）'!$A458="",'实盘净值数据(iFinD）'!$B458="",'实盘净值数据(iFinD）'!$Z458="",'实盘净值数据(iFinD）'!$AA458=""),"",分期持仓明细!$AB$23*(SUMPRODUCT(分期持仓明细!$B$23:$Y$23,'实盘净值数据(iFinD）'!$B458:$Y458/'实盘净值数据(iFinD）'!$B$65:$Y$65)+SUMPRODUCT(分期持仓明细!$AC$23:$AD$23,'实盘净值数据(iFinD）'!$Z458:$AA458/'实盘净值数据(iFinD）'!$Z$65:$AA$65))*(1-实盘持仓初始配置!$Z$7)^(('实盘净值数据(iFinD）'!$A458-'实盘净值数据(iFinD）'!$A$8)/365))</f>
        <v/>
      </c>
      <c r="L458" s="16" t="str">
        <f t="shared" si="45"/>
        <v/>
      </c>
      <c r="M458" s="16" t="str">
        <f>IF(K458="","",K458/MAX(K$5:K458)-1)</f>
        <v/>
      </c>
      <c r="N458" s="13" t="str">
        <f>IF(OR('实盘净值数据(iFinD）'!$A458="",'实盘净值数据(iFinD）'!$B458="",'实盘净值数据(iFinD）'!$Z458="",'实盘净值数据(iFinD）'!$AA458=""),"",分期持仓明细!$AB$24*(SUMPRODUCT(分期持仓明细!$B$24:$Y$24,'实盘净值数据(iFinD）'!$B458:$Y458/'实盘净值数据(iFinD）'!$B$65:$Y$65)+SUMPRODUCT(分期持仓明细!$AC$24:$AD$24,'实盘净值数据(iFinD）'!$Z458:$AA458/'实盘净值数据(iFinD）'!$Z$65:$AA$65))*(1-实盘持仓初始配置!$Z$8)^(('实盘净值数据(iFinD）'!$A458-'实盘净值数据(iFinD）'!$A$5)/365))</f>
        <v/>
      </c>
      <c r="O458" s="16" t="str">
        <f t="shared" si="46"/>
        <v/>
      </c>
      <c r="P458" s="16" t="str">
        <f>IF(N458="","",N458/MAX(N$5:N458)-1)</f>
        <v/>
      </c>
      <c r="Q458" s="13" t="str">
        <f>IF(OR('实盘净值数据(iFinD）'!$A458="",'实盘净值数据(iFinD）'!$B458="",'实盘净值数据(iFinD）'!$Z458="",'实盘净值数据(iFinD）'!$AA458=""),"",分期持仓明细!$AB$25*(SUMPRODUCT(分期持仓明细!$B$25:$Y$25,'实盘净值数据(iFinD）'!$B458:$Y458/'实盘净值数据(iFinD）'!$B$65:$Y$65)+SUMPRODUCT(分期持仓明细!$AC$25:$AD$25,'实盘净值数据(iFinD）'!$Z458:$AA458/'实盘净值数据(iFinD）'!$Z$65:$AA$65))*(1-实盘持仓初始配置!$Z$9)^(('实盘净值数据(iFinD）'!$A458-'实盘净值数据(iFinD）'!$A$8)/365))</f>
        <v/>
      </c>
      <c r="R458" s="16" t="str">
        <f t="shared" si="47"/>
        <v/>
      </c>
      <c r="S458" s="16" t="str">
        <f>IF(Q458="","",Q458/MAX(Q$5:Q458)-1)</f>
        <v/>
      </c>
    </row>
    <row r="459" spans="1:19">
      <c r="A459" s="15" t="str">
        <f>IF('实盘净值数据(iFinD）'!A459="","",'实盘净值数据(iFinD）'!A459)</f>
        <v/>
      </c>
      <c r="B459" s="13" t="str">
        <f>IF(OR('实盘净值数据(iFinD）'!$A459="",'实盘净值数据(iFinD）'!$B459=""),"",分期持仓明细!$AB$17*SUMPRODUCT(分期持仓明细!$B$17:$Y$17,'实盘净值数据(iFinD）'!$B459:$Y459/'实盘净值数据(iFinD）'!$B$20:$Y$20)*(1-实盘持仓初始配置!$Z$4)^(('实盘净值数据(iFinD）'!$A459-'实盘净值数据(iFinD）'!$A$6)/365))</f>
        <v/>
      </c>
      <c r="C459" s="16" t="str">
        <f t="shared" si="42"/>
        <v/>
      </c>
      <c r="D459" s="16" t="str">
        <f>IF(B459="","",B459/MAX(B$5:B459)-1)</f>
        <v/>
      </c>
      <c r="E459" s="13" t="str">
        <f>IF(OR('实盘净值数据(iFinD）'!$A459="",'实盘净值数据(iFinD）'!$B459=""),"",分期持仓明细!$AB$18*SUMPRODUCT(分期持仓明细!$B$18:$Y$18,'实盘净值数据(iFinD）'!$B459:$Y459/'实盘净值数据(iFinD）'!$B$20:$Y$20)*(1-实盘持仓初始配置!$Z$5)^(('实盘净值数据(iFinD）'!$A459-'实盘净值数据(iFinD）'!$A$5)/365))</f>
        <v/>
      </c>
      <c r="F459" s="16" t="str">
        <f t="shared" si="43"/>
        <v/>
      </c>
      <c r="G459" s="16" t="str">
        <f>IF(E459="","",E459/MAX(E$5:E459)-1)</f>
        <v/>
      </c>
      <c r="H459" s="13" t="str">
        <f>IF(OR('实盘净值数据(iFinD）'!$A459="",'实盘净值数据(iFinD）'!$B459=""),"",分期持仓明细!$AB$19*SUMPRODUCT(分期持仓明细!$B$19:$Y$19,'实盘净值数据(iFinD）'!$B459:$Y459/'实盘净值数据(iFinD）'!$B$20:$Y$20)*(1-实盘持仓初始配置!$Z$6)^(('实盘净值数据(iFinD）'!$A459-'实盘净值数据(iFinD）'!$A$7)/365))</f>
        <v/>
      </c>
      <c r="I459" s="16" t="str">
        <f t="shared" si="44"/>
        <v/>
      </c>
      <c r="J459" s="16" t="str">
        <f>IF(H459="","",H459/MAX(H$5:H459)-1)</f>
        <v/>
      </c>
      <c r="K459" s="13" t="str">
        <f>IF(OR('实盘净值数据(iFinD）'!$A459="",'实盘净值数据(iFinD）'!$B459="",'实盘净值数据(iFinD）'!$Z459="",'实盘净值数据(iFinD）'!$AA459=""),"",分期持仓明细!$AB$23*(SUMPRODUCT(分期持仓明细!$B$23:$Y$23,'实盘净值数据(iFinD）'!$B459:$Y459/'实盘净值数据(iFinD）'!$B$65:$Y$65)+SUMPRODUCT(分期持仓明细!$AC$23:$AD$23,'实盘净值数据(iFinD）'!$Z459:$AA459/'实盘净值数据(iFinD）'!$Z$65:$AA$65))*(1-实盘持仓初始配置!$Z$7)^(('实盘净值数据(iFinD）'!$A459-'实盘净值数据(iFinD）'!$A$8)/365))</f>
        <v/>
      </c>
      <c r="L459" s="16" t="str">
        <f t="shared" si="45"/>
        <v/>
      </c>
      <c r="M459" s="16" t="str">
        <f>IF(K459="","",K459/MAX(K$5:K459)-1)</f>
        <v/>
      </c>
      <c r="N459" s="13" t="str">
        <f>IF(OR('实盘净值数据(iFinD）'!$A459="",'实盘净值数据(iFinD）'!$B459="",'实盘净值数据(iFinD）'!$Z459="",'实盘净值数据(iFinD）'!$AA459=""),"",分期持仓明细!$AB$24*(SUMPRODUCT(分期持仓明细!$B$24:$Y$24,'实盘净值数据(iFinD）'!$B459:$Y459/'实盘净值数据(iFinD）'!$B$65:$Y$65)+SUMPRODUCT(分期持仓明细!$AC$24:$AD$24,'实盘净值数据(iFinD）'!$Z459:$AA459/'实盘净值数据(iFinD）'!$Z$65:$AA$65))*(1-实盘持仓初始配置!$Z$8)^(('实盘净值数据(iFinD）'!$A459-'实盘净值数据(iFinD）'!$A$5)/365))</f>
        <v/>
      </c>
      <c r="O459" s="16" t="str">
        <f t="shared" si="46"/>
        <v/>
      </c>
      <c r="P459" s="16" t="str">
        <f>IF(N459="","",N459/MAX(N$5:N459)-1)</f>
        <v/>
      </c>
      <c r="Q459" s="13" t="str">
        <f>IF(OR('实盘净值数据(iFinD）'!$A459="",'实盘净值数据(iFinD）'!$B459="",'实盘净值数据(iFinD）'!$Z459="",'实盘净值数据(iFinD）'!$AA459=""),"",分期持仓明细!$AB$25*(SUMPRODUCT(分期持仓明细!$B$25:$Y$25,'实盘净值数据(iFinD）'!$B459:$Y459/'实盘净值数据(iFinD）'!$B$65:$Y$65)+SUMPRODUCT(分期持仓明细!$AC$25:$AD$25,'实盘净值数据(iFinD）'!$Z459:$AA459/'实盘净值数据(iFinD）'!$Z$65:$AA$65))*(1-实盘持仓初始配置!$Z$9)^(('实盘净值数据(iFinD）'!$A459-'实盘净值数据(iFinD）'!$A$8)/365))</f>
        <v/>
      </c>
      <c r="R459" s="16" t="str">
        <f t="shared" si="47"/>
        <v/>
      </c>
      <c r="S459" s="16" t="str">
        <f>IF(Q459="","",Q459/MAX(Q$5:Q459)-1)</f>
        <v/>
      </c>
    </row>
    <row r="460" spans="1:19">
      <c r="A460" s="15" t="str">
        <f>IF('实盘净值数据(iFinD）'!A460="","",'实盘净值数据(iFinD）'!A460)</f>
        <v/>
      </c>
      <c r="B460" s="13" t="str">
        <f>IF(OR('实盘净值数据(iFinD）'!$A460="",'实盘净值数据(iFinD）'!$B460=""),"",分期持仓明细!$AB$17*SUMPRODUCT(分期持仓明细!$B$17:$Y$17,'实盘净值数据(iFinD）'!$B460:$Y460/'实盘净值数据(iFinD）'!$B$20:$Y$20)*(1-实盘持仓初始配置!$Z$4)^(('实盘净值数据(iFinD）'!$A460-'实盘净值数据(iFinD）'!$A$6)/365))</f>
        <v/>
      </c>
      <c r="C460" s="16" t="str">
        <f t="shared" si="42"/>
        <v/>
      </c>
      <c r="D460" s="16" t="str">
        <f>IF(B460="","",B460/MAX(B$5:B460)-1)</f>
        <v/>
      </c>
      <c r="E460" s="13" t="str">
        <f>IF(OR('实盘净值数据(iFinD）'!$A460="",'实盘净值数据(iFinD）'!$B460=""),"",分期持仓明细!$AB$18*SUMPRODUCT(分期持仓明细!$B$18:$Y$18,'实盘净值数据(iFinD）'!$B460:$Y460/'实盘净值数据(iFinD）'!$B$20:$Y$20)*(1-实盘持仓初始配置!$Z$5)^(('实盘净值数据(iFinD）'!$A460-'实盘净值数据(iFinD）'!$A$5)/365))</f>
        <v/>
      </c>
      <c r="F460" s="16" t="str">
        <f t="shared" si="43"/>
        <v/>
      </c>
      <c r="G460" s="16" t="str">
        <f>IF(E460="","",E460/MAX(E$5:E460)-1)</f>
        <v/>
      </c>
      <c r="H460" s="13" t="str">
        <f>IF(OR('实盘净值数据(iFinD）'!$A460="",'实盘净值数据(iFinD）'!$B460=""),"",分期持仓明细!$AB$19*SUMPRODUCT(分期持仓明细!$B$19:$Y$19,'实盘净值数据(iFinD）'!$B460:$Y460/'实盘净值数据(iFinD）'!$B$20:$Y$20)*(1-实盘持仓初始配置!$Z$6)^(('实盘净值数据(iFinD）'!$A460-'实盘净值数据(iFinD）'!$A$7)/365))</f>
        <v/>
      </c>
      <c r="I460" s="16" t="str">
        <f t="shared" si="44"/>
        <v/>
      </c>
      <c r="J460" s="16" t="str">
        <f>IF(H460="","",H460/MAX(H$5:H460)-1)</f>
        <v/>
      </c>
      <c r="K460" s="13" t="str">
        <f>IF(OR('实盘净值数据(iFinD）'!$A460="",'实盘净值数据(iFinD）'!$B460="",'实盘净值数据(iFinD）'!$Z460="",'实盘净值数据(iFinD）'!$AA460=""),"",分期持仓明细!$AB$23*(SUMPRODUCT(分期持仓明细!$B$23:$Y$23,'实盘净值数据(iFinD）'!$B460:$Y460/'实盘净值数据(iFinD）'!$B$65:$Y$65)+SUMPRODUCT(分期持仓明细!$AC$23:$AD$23,'实盘净值数据(iFinD）'!$Z460:$AA460/'实盘净值数据(iFinD）'!$Z$65:$AA$65))*(1-实盘持仓初始配置!$Z$7)^(('实盘净值数据(iFinD）'!$A460-'实盘净值数据(iFinD）'!$A$8)/365))</f>
        <v/>
      </c>
      <c r="L460" s="16" t="str">
        <f t="shared" si="45"/>
        <v/>
      </c>
      <c r="M460" s="16" t="str">
        <f>IF(K460="","",K460/MAX(K$5:K460)-1)</f>
        <v/>
      </c>
      <c r="N460" s="13" t="str">
        <f>IF(OR('实盘净值数据(iFinD）'!$A460="",'实盘净值数据(iFinD）'!$B460="",'实盘净值数据(iFinD）'!$Z460="",'实盘净值数据(iFinD）'!$AA460=""),"",分期持仓明细!$AB$24*(SUMPRODUCT(分期持仓明细!$B$24:$Y$24,'实盘净值数据(iFinD）'!$B460:$Y460/'实盘净值数据(iFinD）'!$B$65:$Y$65)+SUMPRODUCT(分期持仓明细!$AC$24:$AD$24,'实盘净值数据(iFinD）'!$Z460:$AA460/'实盘净值数据(iFinD）'!$Z$65:$AA$65))*(1-实盘持仓初始配置!$Z$8)^(('实盘净值数据(iFinD）'!$A460-'实盘净值数据(iFinD）'!$A$5)/365))</f>
        <v/>
      </c>
      <c r="O460" s="16" t="str">
        <f t="shared" si="46"/>
        <v/>
      </c>
      <c r="P460" s="16" t="str">
        <f>IF(N460="","",N460/MAX(N$5:N460)-1)</f>
        <v/>
      </c>
      <c r="Q460" s="13" t="str">
        <f>IF(OR('实盘净值数据(iFinD）'!$A460="",'实盘净值数据(iFinD）'!$B460="",'实盘净值数据(iFinD）'!$Z460="",'实盘净值数据(iFinD）'!$AA460=""),"",分期持仓明细!$AB$25*(SUMPRODUCT(分期持仓明细!$B$25:$Y$25,'实盘净值数据(iFinD）'!$B460:$Y460/'实盘净值数据(iFinD）'!$B$65:$Y$65)+SUMPRODUCT(分期持仓明细!$AC$25:$AD$25,'实盘净值数据(iFinD）'!$Z460:$AA460/'实盘净值数据(iFinD）'!$Z$65:$AA$65))*(1-实盘持仓初始配置!$Z$9)^(('实盘净值数据(iFinD）'!$A460-'实盘净值数据(iFinD）'!$A$8)/365))</f>
        <v/>
      </c>
      <c r="R460" s="16" t="str">
        <f t="shared" si="47"/>
        <v/>
      </c>
      <c r="S460" s="16" t="str">
        <f>IF(Q460="","",Q460/MAX(Q$5:Q460)-1)</f>
        <v/>
      </c>
    </row>
    <row r="461" spans="1:19">
      <c r="A461" s="15" t="str">
        <f>IF('实盘净值数据(iFinD）'!A461="","",'实盘净值数据(iFinD）'!A461)</f>
        <v/>
      </c>
      <c r="B461" s="13" t="str">
        <f>IF(OR('实盘净值数据(iFinD）'!$A461="",'实盘净值数据(iFinD）'!$B461=""),"",分期持仓明细!$AB$17*SUMPRODUCT(分期持仓明细!$B$17:$Y$17,'实盘净值数据(iFinD）'!$B461:$Y461/'实盘净值数据(iFinD）'!$B$20:$Y$20)*(1-实盘持仓初始配置!$Z$4)^(('实盘净值数据(iFinD）'!$A461-'实盘净值数据(iFinD）'!$A$6)/365))</f>
        <v/>
      </c>
      <c r="C461" s="16" t="str">
        <f t="shared" si="42"/>
        <v/>
      </c>
      <c r="D461" s="16" t="str">
        <f>IF(B461="","",B461/MAX(B$5:B461)-1)</f>
        <v/>
      </c>
      <c r="E461" s="13" t="str">
        <f>IF(OR('实盘净值数据(iFinD）'!$A461="",'实盘净值数据(iFinD）'!$B461=""),"",分期持仓明细!$AB$18*SUMPRODUCT(分期持仓明细!$B$18:$Y$18,'实盘净值数据(iFinD）'!$B461:$Y461/'实盘净值数据(iFinD）'!$B$20:$Y$20)*(1-实盘持仓初始配置!$Z$5)^(('实盘净值数据(iFinD）'!$A461-'实盘净值数据(iFinD）'!$A$5)/365))</f>
        <v/>
      </c>
      <c r="F461" s="16" t="str">
        <f t="shared" si="43"/>
        <v/>
      </c>
      <c r="G461" s="16" t="str">
        <f>IF(E461="","",E461/MAX(E$5:E461)-1)</f>
        <v/>
      </c>
      <c r="H461" s="13" t="str">
        <f>IF(OR('实盘净值数据(iFinD）'!$A461="",'实盘净值数据(iFinD）'!$B461=""),"",分期持仓明细!$AB$19*SUMPRODUCT(分期持仓明细!$B$19:$Y$19,'实盘净值数据(iFinD）'!$B461:$Y461/'实盘净值数据(iFinD）'!$B$20:$Y$20)*(1-实盘持仓初始配置!$Z$6)^(('实盘净值数据(iFinD）'!$A461-'实盘净值数据(iFinD）'!$A$7)/365))</f>
        <v/>
      </c>
      <c r="I461" s="16" t="str">
        <f t="shared" si="44"/>
        <v/>
      </c>
      <c r="J461" s="16" t="str">
        <f>IF(H461="","",H461/MAX(H$5:H461)-1)</f>
        <v/>
      </c>
      <c r="K461" s="13" t="str">
        <f>IF(OR('实盘净值数据(iFinD）'!$A461="",'实盘净值数据(iFinD）'!$B461="",'实盘净值数据(iFinD）'!$Z461="",'实盘净值数据(iFinD）'!$AA461=""),"",分期持仓明细!$AB$23*(SUMPRODUCT(分期持仓明细!$B$23:$Y$23,'实盘净值数据(iFinD）'!$B461:$Y461/'实盘净值数据(iFinD）'!$B$65:$Y$65)+SUMPRODUCT(分期持仓明细!$AC$23:$AD$23,'实盘净值数据(iFinD）'!$Z461:$AA461/'实盘净值数据(iFinD）'!$Z$65:$AA$65))*(1-实盘持仓初始配置!$Z$7)^(('实盘净值数据(iFinD）'!$A461-'实盘净值数据(iFinD）'!$A$8)/365))</f>
        <v/>
      </c>
      <c r="L461" s="16" t="str">
        <f t="shared" si="45"/>
        <v/>
      </c>
      <c r="M461" s="16" t="str">
        <f>IF(K461="","",K461/MAX(K$5:K461)-1)</f>
        <v/>
      </c>
      <c r="N461" s="13" t="str">
        <f>IF(OR('实盘净值数据(iFinD）'!$A461="",'实盘净值数据(iFinD）'!$B461="",'实盘净值数据(iFinD）'!$Z461="",'实盘净值数据(iFinD）'!$AA461=""),"",分期持仓明细!$AB$24*(SUMPRODUCT(分期持仓明细!$B$24:$Y$24,'实盘净值数据(iFinD）'!$B461:$Y461/'实盘净值数据(iFinD）'!$B$65:$Y$65)+SUMPRODUCT(分期持仓明细!$AC$24:$AD$24,'实盘净值数据(iFinD）'!$Z461:$AA461/'实盘净值数据(iFinD）'!$Z$65:$AA$65))*(1-实盘持仓初始配置!$Z$8)^(('实盘净值数据(iFinD）'!$A461-'实盘净值数据(iFinD）'!$A$5)/365))</f>
        <v/>
      </c>
      <c r="O461" s="16" t="str">
        <f t="shared" si="46"/>
        <v/>
      </c>
      <c r="P461" s="16" t="str">
        <f>IF(N461="","",N461/MAX(N$5:N461)-1)</f>
        <v/>
      </c>
      <c r="Q461" s="13" t="str">
        <f>IF(OR('实盘净值数据(iFinD）'!$A461="",'实盘净值数据(iFinD）'!$B461="",'实盘净值数据(iFinD）'!$Z461="",'实盘净值数据(iFinD）'!$AA461=""),"",分期持仓明细!$AB$25*(SUMPRODUCT(分期持仓明细!$B$25:$Y$25,'实盘净值数据(iFinD）'!$B461:$Y461/'实盘净值数据(iFinD）'!$B$65:$Y$65)+SUMPRODUCT(分期持仓明细!$AC$25:$AD$25,'实盘净值数据(iFinD）'!$Z461:$AA461/'实盘净值数据(iFinD）'!$Z$65:$AA$65))*(1-实盘持仓初始配置!$Z$9)^(('实盘净值数据(iFinD）'!$A461-'实盘净值数据(iFinD）'!$A$8)/365))</f>
        <v/>
      </c>
      <c r="R461" s="16" t="str">
        <f t="shared" si="47"/>
        <v/>
      </c>
      <c r="S461" s="16" t="str">
        <f>IF(Q461="","",Q461/MAX(Q$5:Q461)-1)</f>
        <v/>
      </c>
    </row>
    <row r="462" spans="1:19">
      <c r="A462" s="15" t="str">
        <f>IF('实盘净值数据(iFinD）'!A462="","",'实盘净值数据(iFinD）'!A462)</f>
        <v/>
      </c>
      <c r="B462" s="13" t="str">
        <f>IF(OR('实盘净值数据(iFinD）'!$A462="",'实盘净值数据(iFinD）'!$B462=""),"",分期持仓明细!$AB$17*SUMPRODUCT(分期持仓明细!$B$17:$Y$17,'实盘净值数据(iFinD）'!$B462:$Y462/'实盘净值数据(iFinD）'!$B$20:$Y$20)*(1-实盘持仓初始配置!$Z$4)^(('实盘净值数据(iFinD）'!$A462-'实盘净值数据(iFinD）'!$A$6)/365))</f>
        <v/>
      </c>
      <c r="C462" s="16" t="str">
        <f t="shared" si="42"/>
        <v/>
      </c>
      <c r="D462" s="16" t="str">
        <f>IF(B462="","",B462/MAX(B$5:B462)-1)</f>
        <v/>
      </c>
      <c r="E462" s="13" t="str">
        <f>IF(OR('实盘净值数据(iFinD）'!$A462="",'实盘净值数据(iFinD）'!$B462=""),"",分期持仓明细!$AB$18*SUMPRODUCT(分期持仓明细!$B$18:$Y$18,'实盘净值数据(iFinD）'!$B462:$Y462/'实盘净值数据(iFinD）'!$B$20:$Y$20)*(1-实盘持仓初始配置!$Z$5)^(('实盘净值数据(iFinD）'!$A462-'实盘净值数据(iFinD）'!$A$5)/365))</f>
        <v/>
      </c>
      <c r="F462" s="16" t="str">
        <f t="shared" si="43"/>
        <v/>
      </c>
      <c r="G462" s="16" t="str">
        <f>IF(E462="","",E462/MAX(E$5:E462)-1)</f>
        <v/>
      </c>
      <c r="H462" s="13" t="str">
        <f>IF(OR('实盘净值数据(iFinD）'!$A462="",'实盘净值数据(iFinD）'!$B462=""),"",分期持仓明细!$AB$19*SUMPRODUCT(分期持仓明细!$B$19:$Y$19,'实盘净值数据(iFinD）'!$B462:$Y462/'实盘净值数据(iFinD）'!$B$20:$Y$20)*(1-实盘持仓初始配置!$Z$6)^(('实盘净值数据(iFinD）'!$A462-'实盘净值数据(iFinD）'!$A$7)/365))</f>
        <v/>
      </c>
      <c r="I462" s="16" t="str">
        <f t="shared" si="44"/>
        <v/>
      </c>
      <c r="J462" s="16" t="str">
        <f>IF(H462="","",H462/MAX(H$5:H462)-1)</f>
        <v/>
      </c>
      <c r="K462" s="13" t="str">
        <f>IF(OR('实盘净值数据(iFinD）'!$A462="",'实盘净值数据(iFinD）'!$B462="",'实盘净值数据(iFinD）'!$Z462="",'实盘净值数据(iFinD）'!$AA462=""),"",分期持仓明细!$AB$23*(SUMPRODUCT(分期持仓明细!$B$23:$Y$23,'实盘净值数据(iFinD）'!$B462:$Y462/'实盘净值数据(iFinD）'!$B$65:$Y$65)+SUMPRODUCT(分期持仓明细!$AC$23:$AD$23,'实盘净值数据(iFinD）'!$Z462:$AA462/'实盘净值数据(iFinD）'!$Z$65:$AA$65))*(1-实盘持仓初始配置!$Z$7)^(('实盘净值数据(iFinD）'!$A462-'实盘净值数据(iFinD）'!$A$8)/365))</f>
        <v/>
      </c>
      <c r="L462" s="16" t="str">
        <f t="shared" si="45"/>
        <v/>
      </c>
      <c r="M462" s="16" t="str">
        <f>IF(K462="","",K462/MAX(K$5:K462)-1)</f>
        <v/>
      </c>
      <c r="N462" s="13" t="str">
        <f>IF(OR('实盘净值数据(iFinD）'!$A462="",'实盘净值数据(iFinD）'!$B462="",'实盘净值数据(iFinD）'!$Z462="",'实盘净值数据(iFinD）'!$AA462=""),"",分期持仓明细!$AB$24*(SUMPRODUCT(分期持仓明细!$B$24:$Y$24,'实盘净值数据(iFinD）'!$B462:$Y462/'实盘净值数据(iFinD）'!$B$65:$Y$65)+SUMPRODUCT(分期持仓明细!$AC$24:$AD$24,'实盘净值数据(iFinD）'!$Z462:$AA462/'实盘净值数据(iFinD）'!$Z$65:$AA$65))*(1-实盘持仓初始配置!$Z$8)^(('实盘净值数据(iFinD）'!$A462-'实盘净值数据(iFinD）'!$A$5)/365))</f>
        <v/>
      </c>
      <c r="O462" s="16" t="str">
        <f t="shared" si="46"/>
        <v/>
      </c>
      <c r="P462" s="16" t="str">
        <f>IF(N462="","",N462/MAX(N$5:N462)-1)</f>
        <v/>
      </c>
      <c r="Q462" s="13" t="str">
        <f>IF(OR('实盘净值数据(iFinD）'!$A462="",'实盘净值数据(iFinD）'!$B462="",'实盘净值数据(iFinD）'!$Z462="",'实盘净值数据(iFinD）'!$AA462=""),"",分期持仓明细!$AB$25*(SUMPRODUCT(分期持仓明细!$B$25:$Y$25,'实盘净值数据(iFinD）'!$B462:$Y462/'实盘净值数据(iFinD）'!$B$65:$Y$65)+SUMPRODUCT(分期持仓明细!$AC$25:$AD$25,'实盘净值数据(iFinD）'!$Z462:$AA462/'实盘净值数据(iFinD）'!$Z$65:$AA$65))*(1-实盘持仓初始配置!$Z$9)^(('实盘净值数据(iFinD）'!$A462-'实盘净值数据(iFinD）'!$A$8)/365))</f>
        <v/>
      </c>
      <c r="R462" s="16" t="str">
        <f t="shared" si="47"/>
        <v/>
      </c>
      <c r="S462" s="16" t="str">
        <f>IF(Q462="","",Q462/MAX(Q$5:Q462)-1)</f>
        <v/>
      </c>
    </row>
    <row r="463" spans="1:19">
      <c r="A463" s="15" t="str">
        <f>IF('实盘净值数据(iFinD）'!A463="","",'实盘净值数据(iFinD）'!A463)</f>
        <v/>
      </c>
      <c r="B463" s="13" t="str">
        <f>IF(OR('实盘净值数据(iFinD）'!$A463="",'实盘净值数据(iFinD）'!$B463=""),"",分期持仓明细!$AB$17*SUMPRODUCT(分期持仓明细!$B$17:$Y$17,'实盘净值数据(iFinD）'!$B463:$Y463/'实盘净值数据(iFinD）'!$B$20:$Y$20)*(1-实盘持仓初始配置!$Z$4)^(('实盘净值数据(iFinD）'!$A463-'实盘净值数据(iFinD）'!$A$6)/365))</f>
        <v/>
      </c>
      <c r="C463" s="16" t="str">
        <f t="shared" si="42"/>
        <v/>
      </c>
      <c r="D463" s="16" t="str">
        <f>IF(B463="","",B463/MAX(B$5:B463)-1)</f>
        <v/>
      </c>
      <c r="E463" s="13" t="str">
        <f>IF(OR('实盘净值数据(iFinD）'!$A463="",'实盘净值数据(iFinD）'!$B463=""),"",分期持仓明细!$AB$18*SUMPRODUCT(分期持仓明细!$B$18:$Y$18,'实盘净值数据(iFinD）'!$B463:$Y463/'实盘净值数据(iFinD）'!$B$20:$Y$20)*(1-实盘持仓初始配置!$Z$5)^(('实盘净值数据(iFinD）'!$A463-'实盘净值数据(iFinD）'!$A$5)/365))</f>
        <v/>
      </c>
      <c r="F463" s="16" t="str">
        <f t="shared" si="43"/>
        <v/>
      </c>
      <c r="G463" s="16" t="str">
        <f>IF(E463="","",E463/MAX(E$5:E463)-1)</f>
        <v/>
      </c>
      <c r="H463" s="13" t="str">
        <f>IF(OR('实盘净值数据(iFinD）'!$A463="",'实盘净值数据(iFinD）'!$B463=""),"",分期持仓明细!$AB$19*SUMPRODUCT(分期持仓明细!$B$19:$Y$19,'实盘净值数据(iFinD）'!$B463:$Y463/'实盘净值数据(iFinD）'!$B$20:$Y$20)*(1-实盘持仓初始配置!$Z$6)^(('实盘净值数据(iFinD）'!$A463-'实盘净值数据(iFinD）'!$A$7)/365))</f>
        <v/>
      </c>
      <c r="I463" s="16" t="str">
        <f t="shared" si="44"/>
        <v/>
      </c>
      <c r="J463" s="16" t="str">
        <f>IF(H463="","",H463/MAX(H$5:H463)-1)</f>
        <v/>
      </c>
      <c r="K463" s="13" t="str">
        <f>IF(OR('实盘净值数据(iFinD）'!$A463="",'实盘净值数据(iFinD）'!$B463="",'实盘净值数据(iFinD）'!$Z463="",'实盘净值数据(iFinD）'!$AA463=""),"",分期持仓明细!$AB$23*(SUMPRODUCT(分期持仓明细!$B$23:$Y$23,'实盘净值数据(iFinD）'!$B463:$Y463/'实盘净值数据(iFinD）'!$B$65:$Y$65)+SUMPRODUCT(分期持仓明细!$AC$23:$AD$23,'实盘净值数据(iFinD）'!$Z463:$AA463/'实盘净值数据(iFinD）'!$Z$65:$AA$65))*(1-实盘持仓初始配置!$Z$7)^(('实盘净值数据(iFinD）'!$A463-'实盘净值数据(iFinD）'!$A$8)/365))</f>
        <v/>
      </c>
      <c r="L463" s="16" t="str">
        <f t="shared" si="45"/>
        <v/>
      </c>
      <c r="M463" s="16" t="str">
        <f>IF(K463="","",K463/MAX(K$5:K463)-1)</f>
        <v/>
      </c>
      <c r="N463" s="13" t="str">
        <f>IF(OR('实盘净值数据(iFinD）'!$A463="",'实盘净值数据(iFinD）'!$B463="",'实盘净值数据(iFinD）'!$Z463="",'实盘净值数据(iFinD）'!$AA463=""),"",分期持仓明细!$AB$24*(SUMPRODUCT(分期持仓明细!$B$24:$Y$24,'实盘净值数据(iFinD）'!$B463:$Y463/'实盘净值数据(iFinD）'!$B$65:$Y$65)+SUMPRODUCT(分期持仓明细!$AC$24:$AD$24,'实盘净值数据(iFinD）'!$Z463:$AA463/'实盘净值数据(iFinD）'!$Z$65:$AA$65))*(1-实盘持仓初始配置!$Z$8)^(('实盘净值数据(iFinD）'!$A463-'实盘净值数据(iFinD）'!$A$5)/365))</f>
        <v/>
      </c>
      <c r="O463" s="16" t="str">
        <f t="shared" si="46"/>
        <v/>
      </c>
      <c r="P463" s="16" t="str">
        <f>IF(N463="","",N463/MAX(N$5:N463)-1)</f>
        <v/>
      </c>
      <c r="Q463" s="13" t="str">
        <f>IF(OR('实盘净值数据(iFinD）'!$A463="",'实盘净值数据(iFinD）'!$B463="",'实盘净值数据(iFinD）'!$Z463="",'实盘净值数据(iFinD）'!$AA463=""),"",分期持仓明细!$AB$25*(SUMPRODUCT(分期持仓明细!$B$25:$Y$25,'实盘净值数据(iFinD）'!$B463:$Y463/'实盘净值数据(iFinD）'!$B$65:$Y$65)+SUMPRODUCT(分期持仓明细!$AC$25:$AD$25,'实盘净值数据(iFinD）'!$Z463:$AA463/'实盘净值数据(iFinD）'!$Z$65:$AA$65))*(1-实盘持仓初始配置!$Z$9)^(('实盘净值数据(iFinD）'!$A463-'实盘净值数据(iFinD）'!$A$8)/365))</f>
        <v/>
      </c>
      <c r="R463" s="16" t="str">
        <f t="shared" si="47"/>
        <v/>
      </c>
      <c r="S463" s="16" t="str">
        <f>IF(Q463="","",Q463/MAX(Q$5:Q463)-1)</f>
        <v/>
      </c>
    </row>
    <row r="464" spans="1:19">
      <c r="A464" s="15" t="str">
        <f>IF('实盘净值数据(iFinD）'!A464="","",'实盘净值数据(iFinD）'!A464)</f>
        <v/>
      </c>
      <c r="B464" s="13" t="str">
        <f>IF(OR('实盘净值数据(iFinD）'!$A464="",'实盘净值数据(iFinD）'!$B464=""),"",分期持仓明细!$AB$17*SUMPRODUCT(分期持仓明细!$B$17:$Y$17,'实盘净值数据(iFinD）'!$B464:$Y464/'实盘净值数据(iFinD）'!$B$20:$Y$20)*(1-实盘持仓初始配置!$Z$4)^(('实盘净值数据(iFinD）'!$A464-'实盘净值数据(iFinD）'!$A$6)/365))</f>
        <v/>
      </c>
      <c r="C464" s="16" t="str">
        <f t="shared" si="42"/>
        <v/>
      </c>
      <c r="D464" s="16" t="str">
        <f>IF(B464="","",B464/MAX(B$5:B464)-1)</f>
        <v/>
      </c>
      <c r="E464" s="13" t="str">
        <f>IF(OR('实盘净值数据(iFinD）'!$A464="",'实盘净值数据(iFinD）'!$B464=""),"",分期持仓明细!$AB$18*SUMPRODUCT(分期持仓明细!$B$18:$Y$18,'实盘净值数据(iFinD）'!$B464:$Y464/'实盘净值数据(iFinD）'!$B$20:$Y$20)*(1-实盘持仓初始配置!$Z$5)^(('实盘净值数据(iFinD）'!$A464-'实盘净值数据(iFinD）'!$A$5)/365))</f>
        <v/>
      </c>
      <c r="F464" s="16" t="str">
        <f t="shared" si="43"/>
        <v/>
      </c>
      <c r="G464" s="16" t="str">
        <f>IF(E464="","",E464/MAX(E$5:E464)-1)</f>
        <v/>
      </c>
      <c r="H464" s="13" t="str">
        <f>IF(OR('实盘净值数据(iFinD）'!$A464="",'实盘净值数据(iFinD）'!$B464=""),"",分期持仓明细!$AB$19*SUMPRODUCT(分期持仓明细!$B$19:$Y$19,'实盘净值数据(iFinD）'!$B464:$Y464/'实盘净值数据(iFinD）'!$B$20:$Y$20)*(1-实盘持仓初始配置!$Z$6)^(('实盘净值数据(iFinD）'!$A464-'实盘净值数据(iFinD）'!$A$7)/365))</f>
        <v/>
      </c>
      <c r="I464" s="16" t="str">
        <f t="shared" si="44"/>
        <v/>
      </c>
      <c r="J464" s="16" t="str">
        <f>IF(H464="","",H464/MAX(H$5:H464)-1)</f>
        <v/>
      </c>
      <c r="K464" s="13" t="str">
        <f>IF(OR('实盘净值数据(iFinD）'!$A464="",'实盘净值数据(iFinD）'!$B464="",'实盘净值数据(iFinD）'!$Z464="",'实盘净值数据(iFinD）'!$AA464=""),"",分期持仓明细!$AB$23*(SUMPRODUCT(分期持仓明细!$B$23:$Y$23,'实盘净值数据(iFinD）'!$B464:$Y464/'实盘净值数据(iFinD）'!$B$65:$Y$65)+SUMPRODUCT(分期持仓明细!$AC$23:$AD$23,'实盘净值数据(iFinD）'!$Z464:$AA464/'实盘净值数据(iFinD）'!$Z$65:$AA$65))*(1-实盘持仓初始配置!$Z$7)^(('实盘净值数据(iFinD）'!$A464-'实盘净值数据(iFinD）'!$A$8)/365))</f>
        <v/>
      </c>
      <c r="L464" s="16" t="str">
        <f t="shared" si="45"/>
        <v/>
      </c>
      <c r="M464" s="16" t="str">
        <f>IF(K464="","",K464/MAX(K$5:K464)-1)</f>
        <v/>
      </c>
      <c r="N464" s="13" t="str">
        <f>IF(OR('实盘净值数据(iFinD）'!$A464="",'实盘净值数据(iFinD）'!$B464="",'实盘净值数据(iFinD）'!$Z464="",'实盘净值数据(iFinD）'!$AA464=""),"",分期持仓明细!$AB$24*(SUMPRODUCT(分期持仓明细!$B$24:$Y$24,'实盘净值数据(iFinD）'!$B464:$Y464/'实盘净值数据(iFinD）'!$B$65:$Y$65)+SUMPRODUCT(分期持仓明细!$AC$24:$AD$24,'实盘净值数据(iFinD）'!$Z464:$AA464/'实盘净值数据(iFinD）'!$Z$65:$AA$65))*(1-实盘持仓初始配置!$Z$8)^(('实盘净值数据(iFinD）'!$A464-'实盘净值数据(iFinD）'!$A$5)/365))</f>
        <v/>
      </c>
      <c r="O464" s="16" t="str">
        <f t="shared" si="46"/>
        <v/>
      </c>
      <c r="P464" s="16" t="str">
        <f>IF(N464="","",N464/MAX(N$5:N464)-1)</f>
        <v/>
      </c>
      <c r="Q464" s="13" t="str">
        <f>IF(OR('实盘净值数据(iFinD）'!$A464="",'实盘净值数据(iFinD）'!$B464="",'实盘净值数据(iFinD）'!$Z464="",'实盘净值数据(iFinD）'!$AA464=""),"",分期持仓明细!$AB$25*(SUMPRODUCT(分期持仓明细!$B$25:$Y$25,'实盘净值数据(iFinD）'!$B464:$Y464/'实盘净值数据(iFinD）'!$B$65:$Y$65)+SUMPRODUCT(分期持仓明细!$AC$25:$AD$25,'实盘净值数据(iFinD）'!$Z464:$AA464/'实盘净值数据(iFinD）'!$Z$65:$AA$65))*(1-实盘持仓初始配置!$Z$9)^(('实盘净值数据(iFinD）'!$A464-'实盘净值数据(iFinD）'!$A$8)/365))</f>
        <v/>
      </c>
      <c r="R464" s="16" t="str">
        <f t="shared" si="47"/>
        <v/>
      </c>
      <c r="S464" s="16" t="str">
        <f>IF(Q464="","",Q464/MAX(Q$5:Q464)-1)</f>
        <v/>
      </c>
    </row>
    <row r="465" spans="1:19">
      <c r="A465" s="15" t="str">
        <f>IF('实盘净值数据(iFinD）'!A465="","",'实盘净值数据(iFinD）'!A465)</f>
        <v/>
      </c>
      <c r="B465" s="13" t="str">
        <f>IF(OR('实盘净值数据(iFinD）'!$A465="",'实盘净值数据(iFinD）'!$B465=""),"",分期持仓明细!$AB$17*SUMPRODUCT(分期持仓明细!$B$17:$Y$17,'实盘净值数据(iFinD）'!$B465:$Y465/'实盘净值数据(iFinD）'!$B$20:$Y$20)*(1-实盘持仓初始配置!$Z$4)^(('实盘净值数据(iFinD）'!$A465-'实盘净值数据(iFinD）'!$A$6)/365))</f>
        <v/>
      </c>
      <c r="C465" s="16" t="str">
        <f t="shared" si="42"/>
        <v/>
      </c>
      <c r="D465" s="16" t="str">
        <f>IF(B465="","",B465/MAX(B$5:B465)-1)</f>
        <v/>
      </c>
      <c r="E465" s="13" t="str">
        <f>IF(OR('实盘净值数据(iFinD）'!$A465="",'实盘净值数据(iFinD）'!$B465=""),"",分期持仓明细!$AB$18*SUMPRODUCT(分期持仓明细!$B$18:$Y$18,'实盘净值数据(iFinD）'!$B465:$Y465/'实盘净值数据(iFinD）'!$B$20:$Y$20)*(1-实盘持仓初始配置!$Z$5)^(('实盘净值数据(iFinD）'!$A465-'实盘净值数据(iFinD）'!$A$5)/365))</f>
        <v/>
      </c>
      <c r="F465" s="16" t="str">
        <f t="shared" si="43"/>
        <v/>
      </c>
      <c r="G465" s="16" t="str">
        <f>IF(E465="","",E465/MAX(E$5:E465)-1)</f>
        <v/>
      </c>
      <c r="H465" s="13" t="str">
        <f>IF(OR('实盘净值数据(iFinD）'!$A465="",'实盘净值数据(iFinD）'!$B465=""),"",分期持仓明细!$AB$19*SUMPRODUCT(分期持仓明细!$B$19:$Y$19,'实盘净值数据(iFinD）'!$B465:$Y465/'实盘净值数据(iFinD）'!$B$20:$Y$20)*(1-实盘持仓初始配置!$Z$6)^(('实盘净值数据(iFinD）'!$A465-'实盘净值数据(iFinD）'!$A$7)/365))</f>
        <v/>
      </c>
      <c r="I465" s="16" t="str">
        <f t="shared" si="44"/>
        <v/>
      </c>
      <c r="J465" s="16" t="str">
        <f>IF(H465="","",H465/MAX(H$5:H465)-1)</f>
        <v/>
      </c>
      <c r="K465" s="13" t="str">
        <f>IF(OR('实盘净值数据(iFinD）'!$A465="",'实盘净值数据(iFinD）'!$B465="",'实盘净值数据(iFinD）'!$Z465="",'实盘净值数据(iFinD）'!$AA465=""),"",分期持仓明细!$AB$23*(SUMPRODUCT(分期持仓明细!$B$23:$Y$23,'实盘净值数据(iFinD）'!$B465:$Y465/'实盘净值数据(iFinD）'!$B$65:$Y$65)+SUMPRODUCT(分期持仓明细!$AC$23:$AD$23,'实盘净值数据(iFinD）'!$Z465:$AA465/'实盘净值数据(iFinD）'!$Z$65:$AA$65))*(1-实盘持仓初始配置!$Z$7)^(('实盘净值数据(iFinD）'!$A465-'实盘净值数据(iFinD）'!$A$8)/365))</f>
        <v/>
      </c>
      <c r="L465" s="16" t="str">
        <f t="shared" si="45"/>
        <v/>
      </c>
      <c r="M465" s="16" t="str">
        <f>IF(K465="","",K465/MAX(K$5:K465)-1)</f>
        <v/>
      </c>
      <c r="N465" s="13" t="str">
        <f>IF(OR('实盘净值数据(iFinD）'!$A465="",'实盘净值数据(iFinD）'!$B465="",'实盘净值数据(iFinD）'!$Z465="",'实盘净值数据(iFinD）'!$AA465=""),"",分期持仓明细!$AB$24*(SUMPRODUCT(分期持仓明细!$B$24:$Y$24,'实盘净值数据(iFinD）'!$B465:$Y465/'实盘净值数据(iFinD）'!$B$65:$Y$65)+SUMPRODUCT(分期持仓明细!$AC$24:$AD$24,'实盘净值数据(iFinD）'!$Z465:$AA465/'实盘净值数据(iFinD）'!$Z$65:$AA$65))*(1-实盘持仓初始配置!$Z$8)^(('实盘净值数据(iFinD）'!$A465-'实盘净值数据(iFinD）'!$A$5)/365))</f>
        <v/>
      </c>
      <c r="O465" s="16" t="str">
        <f t="shared" si="46"/>
        <v/>
      </c>
      <c r="P465" s="16" t="str">
        <f>IF(N465="","",N465/MAX(N$5:N465)-1)</f>
        <v/>
      </c>
      <c r="Q465" s="13" t="str">
        <f>IF(OR('实盘净值数据(iFinD）'!$A465="",'实盘净值数据(iFinD）'!$B465="",'实盘净值数据(iFinD）'!$Z465="",'实盘净值数据(iFinD）'!$AA465=""),"",分期持仓明细!$AB$25*(SUMPRODUCT(分期持仓明细!$B$25:$Y$25,'实盘净值数据(iFinD）'!$B465:$Y465/'实盘净值数据(iFinD）'!$B$65:$Y$65)+SUMPRODUCT(分期持仓明细!$AC$25:$AD$25,'实盘净值数据(iFinD）'!$Z465:$AA465/'实盘净值数据(iFinD）'!$Z$65:$AA$65))*(1-实盘持仓初始配置!$Z$9)^(('实盘净值数据(iFinD）'!$A465-'实盘净值数据(iFinD）'!$A$8)/365))</f>
        <v/>
      </c>
      <c r="R465" s="16" t="str">
        <f t="shared" si="47"/>
        <v/>
      </c>
      <c r="S465" s="16" t="str">
        <f>IF(Q465="","",Q465/MAX(Q$5:Q465)-1)</f>
        <v/>
      </c>
    </row>
    <row r="466" spans="1:19">
      <c r="A466" s="15" t="str">
        <f>IF('实盘净值数据(iFinD）'!A466="","",'实盘净值数据(iFinD）'!A466)</f>
        <v/>
      </c>
      <c r="B466" s="13" t="str">
        <f>IF(OR('实盘净值数据(iFinD）'!$A466="",'实盘净值数据(iFinD）'!$B466=""),"",分期持仓明细!$AB$17*SUMPRODUCT(分期持仓明细!$B$17:$Y$17,'实盘净值数据(iFinD）'!$B466:$Y466/'实盘净值数据(iFinD）'!$B$20:$Y$20)*(1-实盘持仓初始配置!$Z$4)^(('实盘净值数据(iFinD）'!$A466-'实盘净值数据(iFinD）'!$A$6)/365))</f>
        <v/>
      </c>
      <c r="C466" s="16" t="str">
        <f t="shared" si="42"/>
        <v/>
      </c>
      <c r="D466" s="16" t="str">
        <f>IF(B466="","",B466/MAX(B$5:B466)-1)</f>
        <v/>
      </c>
      <c r="E466" s="13" t="str">
        <f>IF(OR('实盘净值数据(iFinD）'!$A466="",'实盘净值数据(iFinD）'!$B466=""),"",分期持仓明细!$AB$18*SUMPRODUCT(分期持仓明细!$B$18:$Y$18,'实盘净值数据(iFinD）'!$B466:$Y466/'实盘净值数据(iFinD）'!$B$20:$Y$20)*(1-实盘持仓初始配置!$Z$5)^(('实盘净值数据(iFinD）'!$A466-'实盘净值数据(iFinD）'!$A$5)/365))</f>
        <v/>
      </c>
      <c r="F466" s="16" t="str">
        <f t="shared" si="43"/>
        <v/>
      </c>
      <c r="G466" s="16" t="str">
        <f>IF(E466="","",E466/MAX(E$5:E466)-1)</f>
        <v/>
      </c>
      <c r="H466" s="13" t="str">
        <f>IF(OR('实盘净值数据(iFinD）'!$A466="",'实盘净值数据(iFinD）'!$B466=""),"",分期持仓明细!$AB$19*SUMPRODUCT(分期持仓明细!$B$19:$Y$19,'实盘净值数据(iFinD）'!$B466:$Y466/'实盘净值数据(iFinD）'!$B$20:$Y$20)*(1-实盘持仓初始配置!$Z$6)^(('实盘净值数据(iFinD）'!$A466-'实盘净值数据(iFinD）'!$A$7)/365))</f>
        <v/>
      </c>
      <c r="I466" s="16" t="str">
        <f t="shared" si="44"/>
        <v/>
      </c>
      <c r="J466" s="16" t="str">
        <f>IF(H466="","",H466/MAX(H$5:H466)-1)</f>
        <v/>
      </c>
      <c r="K466" s="13" t="str">
        <f>IF(OR('实盘净值数据(iFinD）'!$A466="",'实盘净值数据(iFinD）'!$B466="",'实盘净值数据(iFinD）'!$Z466="",'实盘净值数据(iFinD）'!$AA466=""),"",分期持仓明细!$AB$23*(SUMPRODUCT(分期持仓明细!$B$23:$Y$23,'实盘净值数据(iFinD）'!$B466:$Y466/'实盘净值数据(iFinD）'!$B$65:$Y$65)+SUMPRODUCT(分期持仓明细!$AC$23:$AD$23,'实盘净值数据(iFinD）'!$Z466:$AA466/'实盘净值数据(iFinD）'!$Z$65:$AA$65))*(1-实盘持仓初始配置!$Z$7)^(('实盘净值数据(iFinD）'!$A466-'实盘净值数据(iFinD）'!$A$8)/365))</f>
        <v/>
      </c>
      <c r="L466" s="16" t="str">
        <f t="shared" si="45"/>
        <v/>
      </c>
      <c r="M466" s="16" t="str">
        <f>IF(K466="","",K466/MAX(K$5:K466)-1)</f>
        <v/>
      </c>
      <c r="N466" s="13" t="str">
        <f>IF(OR('实盘净值数据(iFinD）'!$A466="",'实盘净值数据(iFinD）'!$B466="",'实盘净值数据(iFinD）'!$Z466="",'实盘净值数据(iFinD）'!$AA466=""),"",分期持仓明细!$AB$24*(SUMPRODUCT(分期持仓明细!$B$24:$Y$24,'实盘净值数据(iFinD）'!$B466:$Y466/'实盘净值数据(iFinD）'!$B$65:$Y$65)+SUMPRODUCT(分期持仓明细!$AC$24:$AD$24,'实盘净值数据(iFinD）'!$Z466:$AA466/'实盘净值数据(iFinD）'!$Z$65:$AA$65))*(1-实盘持仓初始配置!$Z$8)^(('实盘净值数据(iFinD）'!$A466-'实盘净值数据(iFinD）'!$A$5)/365))</f>
        <v/>
      </c>
      <c r="O466" s="16" t="str">
        <f t="shared" si="46"/>
        <v/>
      </c>
      <c r="P466" s="16" t="str">
        <f>IF(N466="","",N466/MAX(N$5:N466)-1)</f>
        <v/>
      </c>
      <c r="Q466" s="13" t="str">
        <f>IF(OR('实盘净值数据(iFinD）'!$A466="",'实盘净值数据(iFinD）'!$B466="",'实盘净值数据(iFinD）'!$Z466="",'实盘净值数据(iFinD）'!$AA466=""),"",分期持仓明细!$AB$25*(SUMPRODUCT(分期持仓明细!$B$25:$Y$25,'实盘净值数据(iFinD）'!$B466:$Y466/'实盘净值数据(iFinD）'!$B$65:$Y$65)+SUMPRODUCT(分期持仓明细!$AC$25:$AD$25,'实盘净值数据(iFinD）'!$Z466:$AA466/'实盘净值数据(iFinD）'!$Z$65:$AA$65))*(1-实盘持仓初始配置!$Z$9)^(('实盘净值数据(iFinD）'!$A466-'实盘净值数据(iFinD）'!$A$8)/365))</f>
        <v/>
      </c>
      <c r="R466" s="16" t="str">
        <f t="shared" si="47"/>
        <v/>
      </c>
      <c r="S466" s="16" t="str">
        <f>IF(Q466="","",Q466/MAX(Q$5:Q466)-1)</f>
        <v/>
      </c>
    </row>
    <row r="467" spans="1:19">
      <c r="A467" s="15" t="str">
        <f>IF('实盘净值数据(iFinD）'!A467="","",'实盘净值数据(iFinD）'!A467)</f>
        <v/>
      </c>
      <c r="B467" s="13" t="str">
        <f>IF(OR('实盘净值数据(iFinD）'!$A467="",'实盘净值数据(iFinD）'!$B467=""),"",分期持仓明细!$AB$17*SUMPRODUCT(分期持仓明细!$B$17:$Y$17,'实盘净值数据(iFinD）'!$B467:$Y467/'实盘净值数据(iFinD）'!$B$20:$Y$20)*(1-实盘持仓初始配置!$Z$4)^(('实盘净值数据(iFinD）'!$A467-'实盘净值数据(iFinD）'!$A$6)/365))</f>
        <v/>
      </c>
      <c r="C467" s="16" t="str">
        <f t="shared" si="42"/>
        <v/>
      </c>
      <c r="D467" s="16" t="str">
        <f>IF(B467="","",B467/MAX(B$5:B467)-1)</f>
        <v/>
      </c>
      <c r="E467" s="13" t="str">
        <f>IF(OR('实盘净值数据(iFinD）'!$A467="",'实盘净值数据(iFinD）'!$B467=""),"",分期持仓明细!$AB$18*SUMPRODUCT(分期持仓明细!$B$18:$Y$18,'实盘净值数据(iFinD）'!$B467:$Y467/'实盘净值数据(iFinD）'!$B$20:$Y$20)*(1-实盘持仓初始配置!$Z$5)^(('实盘净值数据(iFinD）'!$A467-'实盘净值数据(iFinD）'!$A$5)/365))</f>
        <v/>
      </c>
      <c r="F467" s="16" t="str">
        <f t="shared" si="43"/>
        <v/>
      </c>
      <c r="G467" s="16" t="str">
        <f>IF(E467="","",E467/MAX(E$5:E467)-1)</f>
        <v/>
      </c>
      <c r="H467" s="13" t="str">
        <f>IF(OR('实盘净值数据(iFinD）'!$A467="",'实盘净值数据(iFinD）'!$B467=""),"",分期持仓明细!$AB$19*SUMPRODUCT(分期持仓明细!$B$19:$Y$19,'实盘净值数据(iFinD）'!$B467:$Y467/'实盘净值数据(iFinD）'!$B$20:$Y$20)*(1-实盘持仓初始配置!$Z$6)^(('实盘净值数据(iFinD）'!$A467-'实盘净值数据(iFinD）'!$A$7)/365))</f>
        <v/>
      </c>
      <c r="I467" s="16" t="str">
        <f t="shared" si="44"/>
        <v/>
      </c>
      <c r="J467" s="16" t="str">
        <f>IF(H467="","",H467/MAX(H$5:H467)-1)</f>
        <v/>
      </c>
      <c r="K467" s="13" t="str">
        <f>IF(OR('实盘净值数据(iFinD）'!$A467="",'实盘净值数据(iFinD）'!$B467="",'实盘净值数据(iFinD）'!$Z467="",'实盘净值数据(iFinD）'!$AA467=""),"",分期持仓明细!$AB$23*(SUMPRODUCT(分期持仓明细!$B$23:$Y$23,'实盘净值数据(iFinD）'!$B467:$Y467/'实盘净值数据(iFinD）'!$B$65:$Y$65)+SUMPRODUCT(分期持仓明细!$AC$23:$AD$23,'实盘净值数据(iFinD）'!$Z467:$AA467/'实盘净值数据(iFinD）'!$Z$65:$AA$65))*(1-实盘持仓初始配置!$Z$7)^(('实盘净值数据(iFinD）'!$A467-'实盘净值数据(iFinD）'!$A$8)/365))</f>
        <v/>
      </c>
      <c r="L467" s="16" t="str">
        <f t="shared" si="45"/>
        <v/>
      </c>
      <c r="M467" s="16" t="str">
        <f>IF(K467="","",K467/MAX(K$5:K467)-1)</f>
        <v/>
      </c>
      <c r="N467" s="13" t="str">
        <f>IF(OR('实盘净值数据(iFinD）'!$A467="",'实盘净值数据(iFinD）'!$B467="",'实盘净值数据(iFinD）'!$Z467="",'实盘净值数据(iFinD）'!$AA467=""),"",分期持仓明细!$AB$24*(SUMPRODUCT(分期持仓明细!$B$24:$Y$24,'实盘净值数据(iFinD）'!$B467:$Y467/'实盘净值数据(iFinD）'!$B$65:$Y$65)+SUMPRODUCT(分期持仓明细!$AC$24:$AD$24,'实盘净值数据(iFinD）'!$Z467:$AA467/'实盘净值数据(iFinD）'!$Z$65:$AA$65))*(1-实盘持仓初始配置!$Z$8)^(('实盘净值数据(iFinD）'!$A467-'实盘净值数据(iFinD）'!$A$5)/365))</f>
        <v/>
      </c>
      <c r="O467" s="16" t="str">
        <f t="shared" si="46"/>
        <v/>
      </c>
      <c r="P467" s="16" t="str">
        <f>IF(N467="","",N467/MAX(N$5:N467)-1)</f>
        <v/>
      </c>
      <c r="Q467" s="13" t="str">
        <f>IF(OR('实盘净值数据(iFinD）'!$A467="",'实盘净值数据(iFinD）'!$B467="",'实盘净值数据(iFinD）'!$Z467="",'实盘净值数据(iFinD）'!$AA467=""),"",分期持仓明细!$AB$25*(SUMPRODUCT(分期持仓明细!$B$25:$Y$25,'实盘净值数据(iFinD）'!$B467:$Y467/'实盘净值数据(iFinD）'!$B$65:$Y$65)+SUMPRODUCT(分期持仓明细!$AC$25:$AD$25,'实盘净值数据(iFinD）'!$Z467:$AA467/'实盘净值数据(iFinD）'!$Z$65:$AA$65))*(1-实盘持仓初始配置!$Z$9)^(('实盘净值数据(iFinD）'!$A467-'实盘净值数据(iFinD）'!$A$8)/365))</f>
        <v/>
      </c>
      <c r="R467" s="16" t="str">
        <f t="shared" si="47"/>
        <v/>
      </c>
      <c r="S467" s="16" t="str">
        <f>IF(Q467="","",Q467/MAX(Q$5:Q467)-1)</f>
        <v/>
      </c>
    </row>
    <row r="468" spans="1:19">
      <c r="A468" s="15" t="str">
        <f>IF('实盘净值数据(iFinD）'!A468="","",'实盘净值数据(iFinD）'!A468)</f>
        <v/>
      </c>
      <c r="B468" s="13" t="str">
        <f>IF(OR('实盘净值数据(iFinD）'!$A468="",'实盘净值数据(iFinD）'!$B468=""),"",分期持仓明细!$AB$17*SUMPRODUCT(分期持仓明细!$B$17:$Y$17,'实盘净值数据(iFinD）'!$B468:$Y468/'实盘净值数据(iFinD）'!$B$20:$Y$20)*(1-实盘持仓初始配置!$Z$4)^(('实盘净值数据(iFinD）'!$A468-'实盘净值数据(iFinD）'!$A$6)/365))</f>
        <v/>
      </c>
      <c r="C468" s="16" t="str">
        <f t="shared" si="42"/>
        <v/>
      </c>
      <c r="D468" s="16" t="str">
        <f>IF(B468="","",B468/MAX(B$5:B468)-1)</f>
        <v/>
      </c>
      <c r="E468" s="13" t="str">
        <f>IF(OR('实盘净值数据(iFinD）'!$A468="",'实盘净值数据(iFinD）'!$B468=""),"",分期持仓明细!$AB$18*SUMPRODUCT(分期持仓明细!$B$18:$Y$18,'实盘净值数据(iFinD）'!$B468:$Y468/'实盘净值数据(iFinD）'!$B$20:$Y$20)*(1-实盘持仓初始配置!$Z$5)^(('实盘净值数据(iFinD）'!$A468-'实盘净值数据(iFinD）'!$A$5)/365))</f>
        <v/>
      </c>
      <c r="F468" s="16" t="str">
        <f t="shared" si="43"/>
        <v/>
      </c>
      <c r="G468" s="16" t="str">
        <f>IF(E468="","",E468/MAX(E$5:E468)-1)</f>
        <v/>
      </c>
      <c r="H468" s="13" t="str">
        <f>IF(OR('实盘净值数据(iFinD）'!$A468="",'实盘净值数据(iFinD）'!$B468=""),"",分期持仓明细!$AB$19*SUMPRODUCT(分期持仓明细!$B$19:$Y$19,'实盘净值数据(iFinD）'!$B468:$Y468/'实盘净值数据(iFinD）'!$B$20:$Y$20)*(1-实盘持仓初始配置!$Z$6)^(('实盘净值数据(iFinD）'!$A468-'实盘净值数据(iFinD）'!$A$7)/365))</f>
        <v/>
      </c>
      <c r="I468" s="16" t="str">
        <f t="shared" si="44"/>
        <v/>
      </c>
      <c r="J468" s="16" t="str">
        <f>IF(H468="","",H468/MAX(H$5:H468)-1)</f>
        <v/>
      </c>
      <c r="K468" s="13" t="str">
        <f>IF(OR('实盘净值数据(iFinD）'!$A468="",'实盘净值数据(iFinD）'!$B468="",'实盘净值数据(iFinD）'!$Z468="",'实盘净值数据(iFinD）'!$AA468=""),"",分期持仓明细!$AB$23*(SUMPRODUCT(分期持仓明细!$B$23:$Y$23,'实盘净值数据(iFinD）'!$B468:$Y468/'实盘净值数据(iFinD）'!$B$65:$Y$65)+SUMPRODUCT(分期持仓明细!$AC$23:$AD$23,'实盘净值数据(iFinD）'!$Z468:$AA468/'实盘净值数据(iFinD）'!$Z$65:$AA$65))*(1-实盘持仓初始配置!$Z$7)^(('实盘净值数据(iFinD）'!$A468-'实盘净值数据(iFinD）'!$A$8)/365))</f>
        <v/>
      </c>
      <c r="L468" s="16" t="str">
        <f t="shared" si="45"/>
        <v/>
      </c>
      <c r="M468" s="16" t="str">
        <f>IF(K468="","",K468/MAX(K$5:K468)-1)</f>
        <v/>
      </c>
      <c r="N468" s="13" t="str">
        <f>IF(OR('实盘净值数据(iFinD）'!$A468="",'实盘净值数据(iFinD）'!$B468="",'实盘净值数据(iFinD）'!$Z468="",'实盘净值数据(iFinD）'!$AA468=""),"",分期持仓明细!$AB$24*(SUMPRODUCT(分期持仓明细!$B$24:$Y$24,'实盘净值数据(iFinD）'!$B468:$Y468/'实盘净值数据(iFinD）'!$B$65:$Y$65)+SUMPRODUCT(分期持仓明细!$AC$24:$AD$24,'实盘净值数据(iFinD）'!$Z468:$AA468/'实盘净值数据(iFinD）'!$Z$65:$AA$65))*(1-实盘持仓初始配置!$Z$8)^(('实盘净值数据(iFinD）'!$A468-'实盘净值数据(iFinD）'!$A$5)/365))</f>
        <v/>
      </c>
      <c r="O468" s="16" t="str">
        <f t="shared" si="46"/>
        <v/>
      </c>
      <c r="P468" s="16" t="str">
        <f>IF(N468="","",N468/MAX(N$5:N468)-1)</f>
        <v/>
      </c>
      <c r="Q468" s="13" t="str">
        <f>IF(OR('实盘净值数据(iFinD）'!$A468="",'实盘净值数据(iFinD）'!$B468="",'实盘净值数据(iFinD）'!$Z468="",'实盘净值数据(iFinD）'!$AA468=""),"",分期持仓明细!$AB$25*(SUMPRODUCT(分期持仓明细!$B$25:$Y$25,'实盘净值数据(iFinD）'!$B468:$Y468/'实盘净值数据(iFinD）'!$B$65:$Y$65)+SUMPRODUCT(分期持仓明细!$AC$25:$AD$25,'实盘净值数据(iFinD）'!$Z468:$AA468/'实盘净值数据(iFinD）'!$Z$65:$AA$65))*(1-实盘持仓初始配置!$Z$9)^(('实盘净值数据(iFinD）'!$A468-'实盘净值数据(iFinD）'!$A$8)/365))</f>
        <v/>
      </c>
      <c r="R468" s="16" t="str">
        <f t="shared" si="47"/>
        <v/>
      </c>
      <c r="S468" s="16" t="str">
        <f>IF(Q468="","",Q468/MAX(Q$5:Q468)-1)</f>
        <v/>
      </c>
    </row>
    <row r="469" spans="1:19">
      <c r="A469" s="15" t="str">
        <f>IF('实盘净值数据(iFinD）'!A469="","",'实盘净值数据(iFinD）'!A469)</f>
        <v/>
      </c>
      <c r="B469" s="13" t="str">
        <f>IF(OR('实盘净值数据(iFinD）'!$A469="",'实盘净值数据(iFinD）'!$B469=""),"",分期持仓明细!$AB$17*SUMPRODUCT(分期持仓明细!$B$17:$Y$17,'实盘净值数据(iFinD）'!$B469:$Y469/'实盘净值数据(iFinD）'!$B$20:$Y$20)*(1-实盘持仓初始配置!$Z$4)^(('实盘净值数据(iFinD）'!$A469-'实盘净值数据(iFinD）'!$A$6)/365))</f>
        <v/>
      </c>
      <c r="C469" s="16" t="str">
        <f t="shared" si="42"/>
        <v/>
      </c>
      <c r="D469" s="16" t="str">
        <f>IF(B469="","",B469/MAX(B$5:B469)-1)</f>
        <v/>
      </c>
      <c r="E469" s="13" t="str">
        <f>IF(OR('实盘净值数据(iFinD）'!$A469="",'实盘净值数据(iFinD）'!$B469=""),"",分期持仓明细!$AB$18*SUMPRODUCT(分期持仓明细!$B$18:$Y$18,'实盘净值数据(iFinD）'!$B469:$Y469/'实盘净值数据(iFinD）'!$B$20:$Y$20)*(1-实盘持仓初始配置!$Z$5)^(('实盘净值数据(iFinD）'!$A469-'实盘净值数据(iFinD）'!$A$5)/365))</f>
        <v/>
      </c>
      <c r="F469" s="16" t="str">
        <f t="shared" si="43"/>
        <v/>
      </c>
      <c r="G469" s="16" t="str">
        <f>IF(E469="","",E469/MAX(E$5:E469)-1)</f>
        <v/>
      </c>
      <c r="H469" s="13" t="str">
        <f>IF(OR('实盘净值数据(iFinD）'!$A469="",'实盘净值数据(iFinD）'!$B469=""),"",分期持仓明细!$AB$19*SUMPRODUCT(分期持仓明细!$B$19:$Y$19,'实盘净值数据(iFinD）'!$B469:$Y469/'实盘净值数据(iFinD）'!$B$20:$Y$20)*(1-实盘持仓初始配置!$Z$6)^(('实盘净值数据(iFinD）'!$A469-'实盘净值数据(iFinD）'!$A$7)/365))</f>
        <v/>
      </c>
      <c r="I469" s="16" t="str">
        <f t="shared" si="44"/>
        <v/>
      </c>
      <c r="J469" s="16" t="str">
        <f>IF(H469="","",H469/MAX(H$5:H469)-1)</f>
        <v/>
      </c>
      <c r="K469" s="13" t="str">
        <f>IF(OR('实盘净值数据(iFinD）'!$A469="",'实盘净值数据(iFinD）'!$B469="",'实盘净值数据(iFinD）'!$Z469="",'实盘净值数据(iFinD）'!$AA469=""),"",分期持仓明细!$AB$23*(SUMPRODUCT(分期持仓明细!$B$23:$Y$23,'实盘净值数据(iFinD）'!$B469:$Y469/'实盘净值数据(iFinD）'!$B$65:$Y$65)+SUMPRODUCT(分期持仓明细!$AC$23:$AD$23,'实盘净值数据(iFinD）'!$Z469:$AA469/'实盘净值数据(iFinD）'!$Z$65:$AA$65))*(1-实盘持仓初始配置!$Z$7)^(('实盘净值数据(iFinD）'!$A469-'实盘净值数据(iFinD）'!$A$8)/365))</f>
        <v/>
      </c>
      <c r="L469" s="16" t="str">
        <f t="shared" si="45"/>
        <v/>
      </c>
      <c r="M469" s="16" t="str">
        <f>IF(K469="","",K469/MAX(K$5:K469)-1)</f>
        <v/>
      </c>
      <c r="N469" s="13" t="str">
        <f>IF(OR('实盘净值数据(iFinD）'!$A469="",'实盘净值数据(iFinD）'!$B469="",'实盘净值数据(iFinD）'!$Z469="",'实盘净值数据(iFinD）'!$AA469=""),"",分期持仓明细!$AB$24*(SUMPRODUCT(分期持仓明细!$B$24:$Y$24,'实盘净值数据(iFinD）'!$B469:$Y469/'实盘净值数据(iFinD）'!$B$65:$Y$65)+SUMPRODUCT(分期持仓明细!$AC$24:$AD$24,'实盘净值数据(iFinD）'!$Z469:$AA469/'实盘净值数据(iFinD）'!$Z$65:$AA$65))*(1-实盘持仓初始配置!$Z$8)^(('实盘净值数据(iFinD）'!$A469-'实盘净值数据(iFinD）'!$A$5)/365))</f>
        <v/>
      </c>
      <c r="O469" s="16" t="str">
        <f t="shared" si="46"/>
        <v/>
      </c>
      <c r="P469" s="16" t="str">
        <f>IF(N469="","",N469/MAX(N$5:N469)-1)</f>
        <v/>
      </c>
      <c r="Q469" s="13" t="str">
        <f>IF(OR('实盘净值数据(iFinD）'!$A469="",'实盘净值数据(iFinD）'!$B469="",'实盘净值数据(iFinD）'!$Z469="",'实盘净值数据(iFinD）'!$AA469=""),"",分期持仓明细!$AB$25*(SUMPRODUCT(分期持仓明细!$B$25:$Y$25,'实盘净值数据(iFinD）'!$B469:$Y469/'实盘净值数据(iFinD）'!$B$65:$Y$65)+SUMPRODUCT(分期持仓明细!$AC$25:$AD$25,'实盘净值数据(iFinD）'!$Z469:$AA469/'实盘净值数据(iFinD）'!$Z$65:$AA$65))*(1-实盘持仓初始配置!$Z$9)^(('实盘净值数据(iFinD）'!$A469-'实盘净值数据(iFinD）'!$A$8)/365))</f>
        <v/>
      </c>
      <c r="R469" s="16" t="str">
        <f t="shared" si="47"/>
        <v/>
      </c>
      <c r="S469" s="16" t="str">
        <f>IF(Q469="","",Q469/MAX(Q$5:Q469)-1)</f>
        <v/>
      </c>
    </row>
    <row r="470" spans="1:19">
      <c r="A470" s="15" t="str">
        <f>IF('实盘净值数据(iFinD）'!A470="","",'实盘净值数据(iFinD）'!A470)</f>
        <v/>
      </c>
      <c r="B470" s="13" t="str">
        <f>IF(OR('实盘净值数据(iFinD）'!$A470="",'实盘净值数据(iFinD）'!$B470=""),"",分期持仓明细!$AB$17*SUMPRODUCT(分期持仓明细!$B$17:$Y$17,'实盘净值数据(iFinD）'!$B470:$Y470/'实盘净值数据(iFinD）'!$B$20:$Y$20)*(1-实盘持仓初始配置!$Z$4)^(('实盘净值数据(iFinD）'!$A470-'实盘净值数据(iFinD）'!$A$6)/365))</f>
        <v/>
      </c>
      <c r="C470" s="16" t="str">
        <f t="shared" si="42"/>
        <v/>
      </c>
      <c r="D470" s="16" t="str">
        <f>IF(B470="","",B470/MAX(B$5:B470)-1)</f>
        <v/>
      </c>
      <c r="E470" s="13" t="str">
        <f>IF(OR('实盘净值数据(iFinD）'!$A470="",'实盘净值数据(iFinD）'!$B470=""),"",分期持仓明细!$AB$18*SUMPRODUCT(分期持仓明细!$B$18:$Y$18,'实盘净值数据(iFinD）'!$B470:$Y470/'实盘净值数据(iFinD）'!$B$20:$Y$20)*(1-实盘持仓初始配置!$Z$5)^(('实盘净值数据(iFinD）'!$A470-'实盘净值数据(iFinD）'!$A$5)/365))</f>
        <v/>
      </c>
      <c r="F470" s="16" t="str">
        <f t="shared" si="43"/>
        <v/>
      </c>
      <c r="G470" s="16" t="str">
        <f>IF(E470="","",E470/MAX(E$5:E470)-1)</f>
        <v/>
      </c>
      <c r="H470" s="13" t="str">
        <f>IF(OR('实盘净值数据(iFinD）'!$A470="",'实盘净值数据(iFinD）'!$B470=""),"",分期持仓明细!$AB$19*SUMPRODUCT(分期持仓明细!$B$19:$Y$19,'实盘净值数据(iFinD）'!$B470:$Y470/'实盘净值数据(iFinD）'!$B$20:$Y$20)*(1-实盘持仓初始配置!$Z$6)^(('实盘净值数据(iFinD）'!$A470-'实盘净值数据(iFinD）'!$A$7)/365))</f>
        <v/>
      </c>
      <c r="I470" s="16" t="str">
        <f t="shared" si="44"/>
        <v/>
      </c>
      <c r="J470" s="16" t="str">
        <f>IF(H470="","",H470/MAX(H$5:H470)-1)</f>
        <v/>
      </c>
      <c r="K470" s="13" t="str">
        <f>IF(OR('实盘净值数据(iFinD）'!$A470="",'实盘净值数据(iFinD）'!$B470="",'实盘净值数据(iFinD）'!$Z470="",'实盘净值数据(iFinD）'!$AA470=""),"",分期持仓明细!$AB$23*(SUMPRODUCT(分期持仓明细!$B$23:$Y$23,'实盘净值数据(iFinD）'!$B470:$Y470/'实盘净值数据(iFinD）'!$B$65:$Y$65)+SUMPRODUCT(分期持仓明细!$AC$23:$AD$23,'实盘净值数据(iFinD）'!$Z470:$AA470/'实盘净值数据(iFinD）'!$Z$65:$AA$65))*(1-实盘持仓初始配置!$Z$7)^(('实盘净值数据(iFinD）'!$A470-'实盘净值数据(iFinD）'!$A$8)/365))</f>
        <v/>
      </c>
      <c r="L470" s="16" t="str">
        <f t="shared" si="45"/>
        <v/>
      </c>
      <c r="M470" s="16" t="str">
        <f>IF(K470="","",K470/MAX(K$5:K470)-1)</f>
        <v/>
      </c>
      <c r="N470" s="13" t="str">
        <f>IF(OR('实盘净值数据(iFinD）'!$A470="",'实盘净值数据(iFinD）'!$B470="",'实盘净值数据(iFinD）'!$Z470="",'实盘净值数据(iFinD）'!$AA470=""),"",分期持仓明细!$AB$24*(SUMPRODUCT(分期持仓明细!$B$24:$Y$24,'实盘净值数据(iFinD）'!$B470:$Y470/'实盘净值数据(iFinD）'!$B$65:$Y$65)+SUMPRODUCT(分期持仓明细!$AC$24:$AD$24,'实盘净值数据(iFinD）'!$Z470:$AA470/'实盘净值数据(iFinD）'!$Z$65:$AA$65))*(1-实盘持仓初始配置!$Z$8)^(('实盘净值数据(iFinD）'!$A470-'实盘净值数据(iFinD）'!$A$5)/365))</f>
        <v/>
      </c>
      <c r="O470" s="16" t="str">
        <f t="shared" si="46"/>
        <v/>
      </c>
      <c r="P470" s="16" t="str">
        <f>IF(N470="","",N470/MAX(N$5:N470)-1)</f>
        <v/>
      </c>
      <c r="Q470" s="13" t="str">
        <f>IF(OR('实盘净值数据(iFinD）'!$A470="",'实盘净值数据(iFinD）'!$B470="",'实盘净值数据(iFinD）'!$Z470="",'实盘净值数据(iFinD）'!$AA470=""),"",分期持仓明细!$AB$25*(SUMPRODUCT(分期持仓明细!$B$25:$Y$25,'实盘净值数据(iFinD）'!$B470:$Y470/'实盘净值数据(iFinD）'!$B$65:$Y$65)+SUMPRODUCT(分期持仓明细!$AC$25:$AD$25,'实盘净值数据(iFinD）'!$Z470:$AA470/'实盘净值数据(iFinD）'!$Z$65:$AA$65))*(1-实盘持仓初始配置!$Z$9)^(('实盘净值数据(iFinD）'!$A470-'实盘净值数据(iFinD）'!$A$8)/365))</f>
        <v/>
      </c>
      <c r="R470" s="16" t="str">
        <f t="shared" si="47"/>
        <v/>
      </c>
      <c r="S470" s="16" t="str">
        <f>IF(Q470="","",Q470/MAX(Q$5:Q470)-1)</f>
        <v/>
      </c>
    </row>
    <row r="471" spans="1:19">
      <c r="A471" s="15" t="str">
        <f>IF('实盘净值数据(iFinD）'!A471="","",'实盘净值数据(iFinD）'!A471)</f>
        <v/>
      </c>
      <c r="B471" s="13" t="str">
        <f>IF(OR('实盘净值数据(iFinD）'!$A471="",'实盘净值数据(iFinD）'!$B471=""),"",分期持仓明细!$AB$17*SUMPRODUCT(分期持仓明细!$B$17:$Y$17,'实盘净值数据(iFinD）'!$B471:$Y471/'实盘净值数据(iFinD）'!$B$20:$Y$20)*(1-实盘持仓初始配置!$Z$4)^(('实盘净值数据(iFinD）'!$A471-'实盘净值数据(iFinD）'!$A$6)/365))</f>
        <v/>
      </c>
      <c r="C471" s="16" t="str">
        <f t="shared" si="42"/>
        <v/>
      </c>
      <c r="D471" s="16" t="str">
        <f>IF(B471="","",B471/MAX(B$5:B471)-1)</f>
        <v/>
      </c>
      <c r="E471" s="13" t="str">
        <f>IF(OR('实盘净值数据(iFinD）'!$A471="",'实盘净值数据(iFinD）'!$B471=""),"",分期持仓明细!$AB$18*SUMPRODUCT(分期持仓明细!$B$18:$Y$18,'实盘净值数据(iFinD）'!$B471:$Y471/'实盘净值数据(iFinD）'!$B$20:$Y$20)*(1-实盘持仓初始配置!$Z$5)^(('实盘净值数据(iFinD）'!$A471-'实盘净值数据(iFinD）'!$A$5)/365))</f>
        <v/>
      </c>
      <c r="F471" s="16" t="str">
        <f t="shared" si="43"/>
        <v/>
      </c>
      <c r="G471" s="16" t="str">
        <f>IF(E471="","",E471/MAX(E$5:E471)-1)</f>
        <v/>
      </c>
      <c r="H471" s="13" t="str">
        <f>IF(OR('实盘净值数据(iFinD）'!$A471="",'实盘净值数据(iFinD）'!$B471=""),"",分期持仓明细!$AB$19*SUMPRODUCT(分期持仓明细!$B$19:$Y$19,'实盘净值数据(iFinD）'!$B471:$Y471/'实盘净值数据(iFinD）'!$B$20:$Y$20)*(1-实盘持仓初始配置!$Z$6)^(('实盘净值数据(iFinD）'!$A471-'实盘净值数据(iFinD）'!$A$7)/365))</f>
        <v/>
      </c>
      <c r="I471" s="16" t="str">
        <f t="shared" si="44"/>
        <v/>
      </c>
      <c r="J471" s="16" t="str">
        <f>IF(H471="","",H471/MAX(H$5:H471)-1)</f>
        <v/>
      </c>
      <c r="K471" s="13" t="str">
        <f>IF(OR('实盘净值数据(iFinD）'!$A471="",'实盘净值数据(iFinD）'!$B471="",'实盘净值数据(iFinD）'!$Z471="",'实盘净值数据(iFinD）'!$AA471=""),"",分期持仓明细!$AB$23*(SUMPRODUCT(分期持仓明细!$B$23:$Y$23,'实盘净值数据(iFinD）'!$B471:$Y471/'实盘净值数据(iFinD）'!$B$65:$Y$65)+SUMPRODUCT(分期持仓明细!$AC$23:$AD$23,'实盘净值数据(iFinD）'!$Z471:$AA471/'实盘净值数据(iFinD）'!$Z$65:$AA$65))*(1-实盘持仓初始配置!$Z$7)^(('实盘净值数据(iFinD）'!$A471-'实盘净值数据(iFinD）'!$A$8)/365))</f>
        <v/>
      </c>
      <c r="L471" s="16" t="str">
        <f t="shared" si="45"/>
        <v/>
      </c>
      <c r="M471" s="16" t="str">
        <f>IF(K471="","",K471/MAX(K$5:K471)-1)</f>
        <v/>
      </c>
      <c r="N471" s="13" t="str">
        <f>IF(OR('实盘净值数据(iFinD）'!$A471="",'实盘净值数据(iFinD）'!$B471="",'实盘净值数据(iFinD）'!$Z471="",'实盘净值数据(iFinD）'!$AA471=""),"",分期持仓明细!$AB$24*(SUMPRODUCT(分期持仓明细!$B$24:$Y$24,'实盘净值数据(iFinD）'!$B471:$Y471/'实盘净值数据(iFinD）'!$B$65:$Y$65)+SUMPRODUCT(分期持仓明细!$AC$24:$AD$24,'实盘净值数据(iFinD）'!$Z471:$AA471/'实盘净值数据(iFinD）'!$Z$65:$AA$65))*(1-实盘持仓初始配置!$Z$8)^(('实盘净值数据(iFinD）'!$A471-'实盘净值数据(iFinD）'!$A$5)/365))</f>
        <v/>
      </c>
      <c r="O471" s="16" t="str">
        <f t="shared" si="46"/>
        <v/>
      </c>
      <c r="P471" s="16" t="str">
        <f>IF(N471="","",N471/MAX(N$5:N471)-1)</f>
        <v/>
      </c>
      <c r="Q471" s="13" t="str">
        <f>IF(OR('实盘净值数据(iFinD）'!$A471="",'实盘净值数据(iFinD）'!$B471="",'实盘净值数据(iFinD）'!$Z471="",'实盘净值数据(iFinD）'!$AA471=""),"",分期持仓明细!$AB$25*(SUMPRODUCT(分期持仓明细!$B$25:$Y$25,'实盘净值数据(iFinD）'!$B471:$Y471/'实盘净值数据(iFinD）'!$B$65:$Y$65)+SUMPRODUCT(分期持仓明细!$AC$25:$AD$25,'实盘净值数据(iFinD）'!$Z471:$AA471/'实盘净值数据(iFinD）'!$Z$65:$AA$65))*(1-实盘持仓初始配置!$Z$9)^(('实盘净值数据(iFinD）'!$A471-'实盘净值数据(iFinD）'!$A$8)/365))</f>
        <v/>
      </c>
      <c r="R471" s="16" t="str">
        <f t="shared" si="47"/>
        <v/>
      </c>
      <c r="S471" s="16" t="str">
        <f>IF(Q471="","",Q471/MAX(Q$5:Q471)-1)</f>
        <v/>
      </c>
    </row>
    <row r="472" spans="1:19">
      <c r="A472" s="15" t="str">
        <f>IF('实盘净值数据(iFinD）'!A472="","",'实盘净值数据(iFinD）'!A472)</f>
        <v/>
      </c>
      <c r="B472" s="13" t="str">
        <f>IF(OR('实盘净值数据(iFinD）'!$A472="",'实盘净值数据(iFinD）'!$B472=""),"",分期持仓明细!$AB$17*SUMPRODUCT(分期持仓明细!$B$17:$Y$17,'实盘净值数据(iFinD）'!$B472:$Y472/'实盘净值数据(iFinD）'!$B$20:$Y$20)*(1-实盘持仓初始配置!$Z$4)^(('实盘净值数据(iFinD）'!$A472-'实盘净值数据(iFinD）'!$A$6)/365))</f>
        <v/>
      </c>
      <c r="C472" s="16" t="str">
        <f t="shared" si="42"/>
        <v/>
      </c>
      <c r="D472" s="16" t="str">
        <f>IF(B472="","",B472/MAX(B$5:B472)-1)</f>
        <v/>
      </c>
      <c r="E472" s="13" t="str">
        <f>IF(OR('实盘净值数据(iFinD）'!$A472="",'实盘净值数据(iFinD）'!$B472=""),"",分期持仓明细!$AB$18*SUMPRODUCT(分期持仓明细!$B$18:$Y$18,'实盘净值数据(iFinD）'!$B472:$Y472/'实盘净值数据(iFinD）'!$B$20:$Y$20)*(1-实盘持仓初始配置!$Z$5)^(('实盘净值数据(iFinD）'!$A472-'实盘净值数据(iFinD）'!$A$5)/365))</f>
        <v/>
      </c>
      <c r="F472" s="16" t="str">
        <f t="shared" si="43"/>
        <v/>
      </c>
      <c r="G472" s="16" t="str">
        <f>IF(E472="","",E472/MAX(E$5:E472)-1)</f>
        <v/>
      </c>
      <c r="H472" s="13" t="str">
        <f>IF(OR('实盘净值数据(iFinD）'!$A472="",'实盘净值数据(iFinD）'!$B472=""),"",分期持仓明细!$AB$19*SUMPRODUCT(分期持仓明细!$B$19:$Y$19,'实盘净值数据(iFinD）'!$B472:$Y472/'实盘净值数据(iFinD）'!$B$20:$Y$20)*(1-实盘持仓初始配置!$Z$6)^(('实盘净值数据(iFinD）'!$A472-'实盘净值数据(iFinD）'!$A$7)/365))</f>
        <v/>
      </c>
      <c r="I472" s="16" t="str">
        <f t="shared" si="44"/>
        <v/>
      </c>
      <c r="J472" s="16" t="str">
        <f>IF(H472="","",H472/MAX(H$5:H472)-1)</f>
        <v/>
      </c>
      <c r="K472" s="13" t="str">
        <f>IF(OR('实盘净值数据(iFinD）'!$A472="",'实盘净值数据(iFinD）'!$B472="",'实盘净值数据(iFinD）'!$Z472="",'实盘净值数据(iFinD）'!$AA472=""),"",分期持仓明细!$AB$23*(SUMPRODUCT(分期持仓明细!$B$23:$Y$23,'实盘净值数据(iFinD）'!$B472:$Y472/'实盘净值数据(iFinD）'!$B$65:$Y$65)+SUMPRODUCT(分期持仓明细!$AC$23:$AD$23,'实盘净值数据(iFinD）'!$Z472:$AA472/'实盘净值数据(iFinD）'!$Z$65:$AA$65))*(1-实盘持仓初始配置!$Z$7)^(('实盘净值数据(iFinD）'!$A472-'实盘净值数据(iFinD）'!$A$8)/365))</f>
        <v/>
      </c>
      <c r="L472" s="16" t="str">
        <f t="shared" si="45"/>
        <v/>
      </c>
      <c r="M472" s="16" t="str">
        <f>IF(K472="","",K472/MAX(K$5:K472)-1)</f>
        <v/>
      </c>
      <c r="N472" s="13" t="str">
        <f>IF(OR('实盘净值数据(iFinD）'!$A472="",'实盘净值数据(iFinD）'!$B472="",'实盘净值数据(iFinD）'!$Z472="",'实盘净值数据(iFinD）'!$AA472=""),"",分期持仓明细!$AB$24*(SUMPRODUCT(分期持仓明细!$B$24:$Y$24,'实盘净值数据(iFinD）'!$B472:$Y472/'实盘净值数据(iFinD）'!$B$65:$Y$65)+SUMPRODUCT(分期持仓明细!$AC$24:$AD$24,'实盘净值数据(iFinD）'!$Z472:$AA472/'实盘净值数据(iFinD）'!$Z$65:$AA$65))*(1-实盘持仓初始配置!$Z$8)^(('实盘净值数据(iFinD）'!$A472-'实盘净值数据(iFinD）'!$A$5)/365))</f>
        <v/>
      </c>
      <c r="O472" s="16" t="str">
        <f t="shared" si="46"/>
        <v/>
      </c>
      <c r="P472" s="16" t="str">
        <f>IF(N472="","",N472/MAX(N$5:N472)-1)</f>
        <v/>
      </c>
      <c r="Q472" s="13" t="str">
        <f>IF(OR('实盘净值数据(iFinD）'!$A472="",'实盘净值数据(iFinD）'!$B472="",'实盘净值数据(iFinD）'!$Z472="",'实盘净值数据(iFinD）'!$AA472=""),"",分期持仓明细!$AB$25*(SUMPRODUCT(分期持仓明细!$B$25:$Y$25,'实盘净值数据(iFinD）'!$B472:$Y472/'实盘净值数据(iFinD）'!$B$65:$Y$65)+SUMPRODUCT(分期持仓明细!$AC$25:$AD$25,'实盘净值数据(iFinD）'!$Z472:$AA472/'实盘净值数据(iFinD）'!$Z$65:$AA$65))*(1-实盘持仓初始配置!$Z$9)^(('实盘净值数据(iFinD）'!$A472-'实盘净值数据(iFinD）'!$A$8)/365))</f>
        <v/>
      </c>
      <c r="R472" s="16" t="str">
        <f t="shared" si="47"/>
        <v/>
      </c>
      <c r="S472" s="16" t="str">
        <f>IF(Q472="","",Q472/MAX(Q$5:Q472)-1)</f>
        <v/>
      </c>
    </row>
    <row r="473" spans="1:19">
      <c r="A473" s="15" t="str">
        <f>IF('实盘净值数据(iFinD）'!A473="","",'实盘净值数据(iFinD）'!A473)</f>
        <v/>
      </c>
      <c r="B473" s="13" t="str">
        <f>IF(OR('实盘净值数据(iFinD）'!$A473="",'实盘净值数据(iFinD）'!$B473=""),"",分期持仓明细!$AB$17*SUMPRODUCT(分期持仓明细!$B$17:$Y$17,'实盘净值数据(iFinD）'!$B473:$Y473/'实盘净值数据(iFinD）'!$B$20:$Y$20)*(1-实盘持仓初始配置!$Z$4)^(('实盘净值数据(iFinD）'!$A473-'实盘净值数据(iFinD）'!$A$6)/365))</f>
        <v/>
      </c>
      <c r="C473" s="16" t="str">
        <f t="shared" si="42"/>
        <v/>
      </c>
      <c r="D473" s="16" t="str">
        <f>IF(B473="","",B473/MAX(B$5:B473)-1)</f>
        <v/>
      </c>
      <c r="E473" s="13" t="str">
        <f>IF(OR('实盘净值数据(iFinD）'!$A473="",'实盘净值数据(iFinD）'!$B473=""),"",分期持仓明细!$AB$18*SUMPRODUCT(分期持仓明细!$B$18:$Y$18,'实盘净值数据(iFinD）'!$B473:$Y473/'实盘净值数据(iFinD）'!$B$20:$Y$20)*(1-实盘持仓初始配置!$Z$5)^(('实盘净值数据(iFinD）'!$A473-'实盘净值数据(iFinD）'!$A$5)/365))</f>
        <v/>
      </c>
      <c r="F473" s="16" t="str">
        <f t="shared" si="43"/>
        <v/>
      </c>
      <c r="G473" s="16" t="str">
        <f>IF(E473="","",E473/MAX(E$5:E473)-1)</f>
        <v/>
      </c>
      <c r="H473" s="13" t="str">
        <f>IF(OR('实盘净值数据(iFinD）'!$A473="",'实盘净值数据(iFinD）'!$B473=""),"",分期持仓明细!$AB$19*SUMPRODUCT(分期持仓明细!$B$19:$Y$19,'实盘净值数据(iFinD）'!$B473:$Y473/'实盘净值数据(iFinD）'!$B$20:$Y$20)*(1-实盘持仓初始配置!$Z$6)^(('实盘净值数据(iFinD）'!$A473-'实盘净值数据(iFinD）'!$A$7)/365))</f>
        <v/>
      </c>
      <c r="I473" s="16" t="str">
        <f t="shared" si="44"/>
        <v/>
      </c>
      <c r="J473" s="16" t="str">
        <f>IF(H473="","",H473/MAX(H$5:H473)-1)</f>
        <v/>
      </c>
      <c r="K473" s="13" t="str">
        <f>IF(OR('实盘净值数据(iFinD）'!$A473="",'实盘净值数据(iFinD）'!$B473="",'实盘净值数据(iFinD）'!$Z473="",'实盘净值数据(iFinD）'!$AA473=""),"",分期持仓明细!$AB$23*(SUMPRODUCT(分期持仓明细!$B$23:$Y$23,'实盘净值数据(iFinD）'!$B473:$Y473/'实盘净值数据(iFinD）'!$B$65:$Y$65)+SUMPRODUCT(分期持仓明细!$AC$23:$AD$23,'实盘净值数据(iFinD）'!$Z473:$AA473/'实盘净值数据(iFinD）'!$Z$65:$AA$65))*(1-实盘持仓初始配置!$Z$7)^(('实盘净值数据(iFinD）'!$A473-'实盘净值数据(iFinD）'!$A$8)/365))</f>
        <v/>
      </c>
      <c r="L473" s="16" t="str">
        <f t="shared" si="45"/>
        <v/>
      </c>
      <c r="M473" s="16" t="str">
        <f>IF(K473="","",K473/MAX(K$5:K473)-1)</f>
        <v/>
      </c>
      <c r="N473" s="13" t="str">
        <f>IF(OR('实盘净值数据(iFinD）'!$A473="",'实盘净值数据(iFinD）'!$B473="",'实盘净值数据(iFinD）'!$Z473="",'实盘净值数据(iFinD）'!$AA473=""),"",分期持仓明细!$AB$24*(SUMPRODUCT(分期持仓明细!$B$24:$Y$24,'实盘净值数据(iFinD）'!$B473:$Y473/'实盘净值数据(iFinD）'!$B$65:$Y$65)+SUMPRODUCT(分期持仓明细!$AC$24:$AD$24,'实盘净值数据(iFinD）'!$Z473:$AA473/'实盘净值数据(iFinD）'!$Z$65:$AA$65))*(1-实盘持仓初始配置!$Z$8)^(('实盘净值数据(iFinD）'!$A473-'实盘净值数据(iFinD）'!$A$5)/365))</f>
        <v/>
      </c>
      <c r="O473" s="16" t="str">
        <f t="shared" si="46"/>
        <v/>
      </c>
      <c r="P473" s="16" t="str">
        <f>IF(N473="","",N473/MAX(N$5:N473)-1)</f>
        <v/>
      </c>
      <c r="Q473" s="13" t="str">
        <f>IF(OR('实盘净值数据(iFinD）'!$A473="",'实盘净值数据(iFinD）'!$B473="",'实盘净值数据(iFinD）'!$Z473="",'实盘净值数据(iFinD）'!$AA473=""),"",分期持仓明细!$AB$25*(SUMPRODUCT(分期持仓明细!$B$25:$Y$25,'实盘净值数据(iFinD）'!$B473:$Y473/'实盘净值数据(iFinD）'!$B$65:$Y$65)+SUMPRODUCT(分期持仓明细!$AC$25:$AD$25,'实盘净值数据(iFinD）'!$Z473:$AA473/'实盘净值数据(iFinD）'!$Z$65:$AA$65))*(1-实盘持仓初始配置!$Z$9)^(('实盘净值数据(iFinD）'!$A473-'实盘净值数据(iFinD）'!$A$8)/365))</f>
        <v/>
      </c>
      <c r="R473" s="16" t="str">
        <f t="shared" si="47"/>
        <v/>
      </c>
      <c r="S473" s="16" t="str">
        <f>IF(Q473="","",Q473/MAX(Q$5:Q473)-1)</f>
        <v/>
      </c>
    </row>
    <row r="474" spans="1:19">
      <c r="A474" s="15" t="str">
        <f>IF('实盘净值数据(iFinD）'!A474="","",'实盘净值数据(iFinD）'!A474)</f>
        <v/>
      </c>
      <c r="B474" s="13" t="str">
        <f>IF(OR('实盘净值数据(iFinD）'!$A474="",'实盘净值数据(iFinD）'!$B474=""),"",分期持仓明细!$AB$17*SUMPRODUCT(分期持仓明细!$B$17:$Y$17,'实盘净值数据(iFinD）'!$B474:$Y474/'实盘净值数据(iFinD）'!$B$20:$Y$20)*(1-实盘持仓初始配置!$Z$4)^(('实盘净值数据(iFinD）'!$A474-'实盘净值数据(iFinD）'!$A$6)/365))</f>
        <v/>
      </c>
      <c r="C474" s="16" t="str">
        <f t="shared" si="42"/>
        <v/>
      </c>
      <c r="D474" s="16" t="str">
        <f>IF(B474="","",B474/MAX(B$5:B474)-1)</f>
        <v/>
      </c>
      <c r="E474" s="13" t="str">
        <f>IF(OR('实盘净值数据(iFinD）'!$A474="",'实盘净值数据(iFinD）'!$B474=""),"",分期持仓明细!$AB$18*SUMPRODUCT(分期持仓明细!$B$18:$Y$18,'实盘净值数据(iFinD）'!$B474:$Y474/'实盘净值数据(iFinD）'!$B$20:$Y$20)*(1-实盘持仓初始配置!$Z$5)^(('实盘净值数据(iFinD）'!$A474-'实盘净值数据(iFinD）'!$A$5)/365))</f>
        <v/>
      </c>
      <c r="F474" s="16" t="str">
        <f t="shared" si="43"/>
        <v/>
      </c>
      <c r="G474" s="16" t="str">
        <f>IF(E474="","",E474/MAX(E$5:E474)-1)</f>
        <v/>
      </c>
      <c r="H474" s="13" t="str">
        <f>IF(OR('实盘净值数据(iFinD）'!$A474="",'实盘净值数据(iFinD）'!$B474=""),"",分期持仓明细!$AB$19*SUMPRODUCT(分期持仓明细!$B$19:$Y$19,'实盘净值数据(iFinD）'!$B474:$Y474/'实盘净值数据(iFinD）'!$B$20:$Y$20)*(1-实盘持仓初始配置!$Z$6)^(('实盘净值数据(iFinD）'!$A474-'实盘净值数据(iFinD）'!$A$7)/365))</f>
        <v/>
      </c>
      <c r="I474" s="16" t="str">
        <f t="shared" si="44"/>
        <v/>
      </c>
      <c r="J474" s="16" t="str">
        <f>IF(H474="","",H474/MAX(H$5:H474)-1)</f>
        <v/>
      </c>
      <c r="K474" s="13" t="str">
        <f>IF(OR('实盘净值数据(iFinD）'!$A474="",'实盘净值数据(iFinD）'!$B474="",'实盘净值数据(iFinD）'!$Z474="",'实盘净值数据(iFinD）'!$AA474=""),"",分期持仓明细!$AB$23*(SUMPRODUCT(分期持仓明细!$B$23:$Y$23,'实盘净值数据(iFinD）'!$B474:$Y474/'实盘净值数据(iFinD）'!$B$65:$Y$65)+SUMPRODUCT(分期持仓明细!$AC$23:$AD$23,'实盘净值数据(iFinD）'!$Z474:$AA474/'实盘净值数据(iFinD）'!$Z$65:$AA$65))*(1-实盘持仓初始配置!$Z$7)^(('实盘净值数据(iFinD）'!$A474-'实盘净值数据(iFinD）'!$A$8)/365))</f>
        <v/>
      </c>
      <c r="L474" s="16" t="str">
        <f t="shared" si="45"/>
        <v/>
      </c>
      <c r="M474" s="16" t="str">
        <f>IF(K474="","",K474/MAX(K$5:K474)-1)</f>
        <v/>
      </c>
      <c r="N474" s="13" t="str">
        <f>IF(OR('实盘净值数据(iFinD）'!$A474="",'实盘净值数据(iFinD）'!$B474="",'实盘净值数据(iFinD）'!$Z474="",'实盘净值数据(iFinD）'!$AA474=""),"",分期持仓明细!$AB$24*(SUMPRODUCT(分期持仓明细!$B$24:$Y$24,'实盘净值数据(iFinD）'!$B474:$Y474/'实盘净值数据(iFinD）'!$B$65:$Y$65)+SUMPRODUCT(分期持仓明细!$AC$24:$AD$24,'实盘净值数据(iFinD）'!$Z474:$AA474/'实盘净值数据(iFinD）'!$Z$65:$AA$65))*(1-实盘持仓初始配置!$Z$8)^(('实盘净值数据(iFinD）'!$A474-'实盘净值数据(iFinD）'!$A$5)/365))</f>
        <v/>
      </c>
      <c r="O474" s="16" t="str">
        <f t="shared" si="46"/>
        <v/>
      </c>
      <c r="P474" s="16" t="str">
        <f>IF(N474="","",N474/MAX(N$5:N474)-1)</f>
        <v/>
      </c>
      <c r="Q474" s="13" t="str">
        <f>IF(OR('实盘净值数据(iFinD）'!$A474="",'实盘净值数据(iFinD）'!$B474="",'实盘净值数据(iFinD）'!$Z474="",'实盘净值数据(iFinD）'!$AA474=""),"",分期持仓明细!$AB$25*(SUMPRODUCT(分期持仓明细!$B$25:$Y$25,'实盘净值数据(iFinD）'!$B474:$Y474/'实盘净值数据(iFinD）'!$B$65:$Y$65)+SUMPRODUCT(分期持仓明细!$AC$25:$AD$25,'实盘净值数据(iFinD）'!$Z474:$AA474/'实盘净值数据(iFinD）'!$Z$65:$AA$65))*(1-实盘持仓初始配置!$Z$9)^(('实盘净值数据(iFinD）'!$A474-'实盘净值数据(iFinD）'!$A$8)/365))</f>
        <v/>
      </c>
      <c r="R474" s="16" t="str">
        <f t="shared" si="47"/>
        <v/>
      </c>
      <c r="S474" s="16" t="str">
        <f>IF(Q474="","",Q474/MAX(Q$5:Q474)-1)</f>
        <v/>
      </c>
    </row>
    <row r="475" spans="1:19">
      <c r="A475" s="15" t="str">
        <f>IF('实盘净值数据(iFinD）'!A475="","",'实盘净值数据(iFinD）'!A475)</f>
        <v/>
      </c>
      <c r="B475" s="13" t="str">
        <f>IF(OR('实盘净值数据(iFinD）'!$A475="",'实盘净值数据(iFinD）'!$B475=""),"",分期持仓明细!$AB$17*SUMPRODUCT(分期持仓明细!$B$17:$Y$17,'实盘净值数据(iFinD）'!$B475:$Y475/'实盘净值数据(iFinD）'!$B$20:$Y$20)*(1-实盘持仓初始配置!$Z$4)^(('实盘净值数据(iFinD）'!$A475-'实盘净值数据(iFinD）'!$A$6)/365))</f>
        <v/>
      </c>
      <c r="C475" s="16" t="str">
        <f t="shared" si="42"/>
        <v/>
      </c>
      <c r="D475" s="16" t="str">
        <f>IF(B475="","",B475/MAX(B$5:B475)-1)</f>
        <v/>
      </c>
      <c r="E475" s="13" t="str">
        <f>IF(OR('实盘净值数据(iFinD）'!$A475="",'实盘净值数据(iFinD）'!$B475=""),"",分期持仓明细!$AB$18*SUMPRODUCT(分期持仓明细!$B$18:$Y$18,'实盘净值数据(iFinD）'!$B475:$Y475/'实盘净值数据(iFinD）'!$B$20:$Y$20)*(1-实盘持仓初始配置!$Z$5)^(('实盘净值数据(iFinD）'!$A475-'实盘净值数据(iFinD）'!$A$5)/365))</f>
        <v/>
      </c>
      <c r="F475" s="16" t="str">
        <f t="shared" si="43"/>
        <v/>
      </c>
      <c r="G475" s="16" t="str">
        <f>IF(E475="","",E475/MAX(E$5:E475)-1)</f>
        <v/>
      </c>
      <c r="H475" s="13" t="str">
        <f>IF(OR('实盘净值数据(iFinD）'!$A475="",'实盘净值数据(iFinD）'!$B475=""),"",分期持仓明细!$AB$19*SUMPRODUCT(分期持仓明细!$B$19:$Y$19,'实盘净值数据(iFinD）'!$B475:$Y475/'实盘净值数据(iFinD）'!$B$20:$Y$20)*(1-实盘持仓初始配置!$Z$6)^(('实盘净值数据(iFinD）'!$A475-'实盘净值数据(iFinD）'!$A$7)/365))</f>
        <v/>
      </c>
      <c r="I475" s="16" t="str">
        <f t="shared" si="44"/>
        <v/>
      </c>
      <c r="J475" s="16" t="str">
        <f>IF(H475="","",H475/MAX(H$5:H475)-1)</f>
        <v/>
      </c>
      <c r="K475" s="13" t="str">
        <f>IF(OR('实盘净值数据(iFinD）'!$A475="",'实盘净值数据(iFinD）'!$B475="",'实盘净值数据(iFinD）'!$Z475="",'实盘净值数据(iFinD）'!$AA475=""),"",分期持仓明细!$AB$23*(SUMPRODUCT(分期持仓明细!$B$23:$Y$23,'实盘净值数据(iFinD）'!$B475:$Y475/'实盘净值数据(iFinD）'!$B$65:$Y$65)+SUMPRODUCT(分期持仓明细!$AC$23:$AD$23,'实盘净值数据(iFinD）'!$Z475:$AA475/'实盘净值数据(iFinD）'!$Z$65:$AA$65))*(1-实盘持仓初始配置!$Z$7)^(('实盘净值数据(iFinD）'!$A475-'实盘净值数据(iFinD）'!$A$8)/365))</f>
        <v/>
      </c>
      <c r="L475" s="16" t="str">
        <f t="shared" si="45"/>
        <v/>
      </c>
      <c r="M475" s="16" t="str">
        <f>IF(K475="","",K475/MAX(K$5:K475)-1)</f>
        <v/>
      </c>
      <c r="N475" s="13" t="str">
        <f>IF(OR('实盘净值数据(iFinD）'!$A475="",'实盘净值数据(iFinD）'!$B475="",'实盘净值数据(iFinD）'!$Z475="",'实盘净值数据(iFinD）'!$AA475=""),"",分期持仓明细!$AB$24*(SUMPRODUCT(分期持仓明细!$B$24:$Y$24,'实盘净值数据(iFinD）'!$B475:$Y475/'实盘净值数据(iFinD）'!$B$65:$Y$65)+SUMPRODUCT(分期持仓明细!$AC$24:$AD$24,'实盘净值数据(iFinD）'!$Z475:$AA475/'实盘净值数据(iFinD）'!$Z$65:$AA$65))*(1-实盘持仓初始配置!$Z$8)^(('实盘净值数据(iFinD）'!$A475-'实盘净值数据(iFinD）'!$A$5)/365))</f>
        <v/>
      </c>
      <c r="O475" s="16" t="str">
        <f t="shared" si="46"/>
        <v/>
      </c>
      <c r="P475" s="16" t="str">
        <f>IF(N475="","",N475/MAX(N$5:N475)-1)</f>
        <v/>
      </c>
      <c r="Q475" s="13" t="str">
        <f>IF(OR('实盘净值数据(iFinD）'!$A475="",'实盘净值数据(iFinD）'!$B475="",'实盘净值数据(iFinD）'!$Z475="",'实盘净值数据(iFinD）'!$AA475=""),"",分期持仓明细!$AB$25*(SUMPRODUCT(分期持仓明细!$B$25:$Y$25,'实盘净值数据(iFinD）'!$B475:$Y475/'实盘净值数据(iFinD）'!$B$65:$Y$65)+SUMPRODUCT(分期持仓明细!$AC$25:$AD$25,'实盘净值数据(iFinD）'!$Z475:$AA475/'实盘净值数据(iFinD）'!$Z$65:$AA$65))*(1-实盘持仓初始配置!$Z$9)^(('实盘净值数据(iFinD）'!$A475-'实盘净值数据(iFinD）'!$A$8)/365))</f>
        <v/>
      </c>
      <c r="R475" s="16" t="str">
        <f t="shared" si="47"/>
        <v/>
      </c>
      <c r="S475" s="16" t="str">
        <f>IF(Q475="","",Q475/MAX(Q$5:Q475)-1)</f>
        <v/>
      </c>
    </row>
    <row r="476" spans="1:19">
      <c r="A476" s="15" t="str">
        <f>IF('实盘净值数据(iFinD）'!A476="","",'实盘净值数据(iFinD）'!A476)</f>
        <v/>
      </c>
      <c r="B476" s="13" t="str">
        <f>IF(OR('实盘净值数据(iFinD）'!$A476="",'实盘净值数据(iFinD）'!$B476=""),"",分期持仓明细!$AB$17*SUMPRODUCT(分期持仓明细!$B$17:$Y$17,'实盘净值数据(iFinD）'!$B476:$Y476/'实盘净值数据(iFinD）'!$B$20:$Y$20)*(1-实盘持仓初始配置!$Z$4)^(('实盘净值数据(iFinD）'!$A476-'实盘净值数据(iFinD）'!$A$6)/365))</f>
        <v/>
      </c>
      <c r="C476" s="16" t="str">
        <f t="shared" si="42"/>
        <v/>
      </c>
      <c r="D476" s="16" t="str">
        <f>IF(B476="","",B476/MAX(B$5:B476)-1)</f>
        <v/>
      </c>
      <c r="E476" s="13" t="str">
        <f>IF(OR('实盘净值数据(iFinD）'!$A476="",'实盘净值数据(iFinD）'!$B476=""),"",分期持仓明细!$AB$18*SUMPRODUCT(分期持仓明细!$B$18:$Y$18,'实盘净值数据(iFinD）'!$B476:$Y476/'实盘净值数据(iFinD）'!$B$20:$Y$20)*(1-实盘持仓初始配置!$Z$5)^(('实盘净值数据(iFinD）'!$A476-'实盘净值数据(iFinD）'!$A$5)/365))</f>
        <v/>
      </c>
      <c r="F476" s="16" t="str">
        <f t="shared" si="43"/>
        <v/>
      </c>
      <c r="G476" s="16" t="str">
        <f>IF(E476="","",E476/MAX(E$5:E476)-1)</f>
        <v/>
      </c>
      <c r="H476" s="13" t="str">
        <f>IF(OR('实盘净值数据(iFinD）'!$A476="",'实盘净值数据(iFinD）'!$B476=""),"",分期持仓明细!$AB$19*SUMPRODUCT(分期持仓明细!$B$19:$Y$19,'实盘净值数据(iFinD）'!$B476:$Y476/'实盘净值数据(iFinD）'!$B$20:$Y$20)*(1-实盘持仓初始配置!$Z$6)^(('实盘净值数据(iFinD）'!$A476-'实盘净值数据(iFinD）'!$A$7)/365))</f>
        <v/>
      </c>
      <c r="I476" s="16" t="str">
        <f t="shared" si="44"/>
        <v/>
      </c>
      <c r="J476" s="16" t="str">
        <f>IF(H476="","",H476/MAX(H$5:H476)-1)</f>
        <v/>
      </c>
      <c r="K476" s="13" t="str">
        <f>IF(OR('实盘净值数据(iFinD）'!$A476="",'实盘净值数据(iFinD）'!$B476="",'实盘净值数据(iFinD）'!$Z476="",'实盘净值数据(iFinD）'!$AA476=""),"",分期持仓明细!$AB$23*(SUMPRODUCT(分期持仓明细!$B$23:$Y$23,'实盘净值数据(iFinD）'!$B476:$Y476/'实盘净值数据(iFinD）'!$B$65:$Y$65)+SUMPRODUCT(分期持仓明细!$AC$23:$AD$23,'实盘净值数据(iFinD）'!$Z476:$AA476/'实盘净值数据(iFinD）'!$Z$65:$AA$65))*(1-实盘持仓初始配置!$Z$7)^(('实盘净值数据(iFinD）'!$A476-'实盘净值数据(iFinD）'!$A$8)/365))</f>
        <v/>
      </c>
      <c r="L476" s="16" t="str">
        <f t="shared" si="45"/>
        <v/>
      </c>
      <c r="M476" s="16" t="str">
        <f>IF(K476="","",K476/MAX(K$5:K476)-1)</f>
        <v/>
      </c>
      <c r="N476" s="13" t="str">
        <f>IF(OR('实盘净值数据(iFinD）'!$A476="",'实盘净值数据(iFinD）'!$B476="",'实盘净值数据(iFinD）'!$Z476="",'实盘净值数据(iFinD）'!$AA476=""),"",分期持仓明细!$AB$24*(SUMPRODUCT(分期持仓明细!$B$24:$Y$24,'实盘净值数据(iFinD）'!$B476:$Y476/'实盘净值数据(iFinD）'!$B$65:$Y$65)+SUMPRODUCT(分期持仓明细!$AC$24:$AD$24,'实盘净值数据(iFinD）'!$Z476:$AA476/'实盘净值数据(iFinD）'!$Z$65:$AA$65))*(1-实盘持仓初始配置!$Z$8)^(('实盘净值数据(iFinD）'!$A476-'实盘净值数据(iFinD）'!$A$5)/365))</f>
        <v/>
      </c>
      <c r="O476" s="16" t="str">
        <f t="shared" si="46"/>
        <v/>
      </c>
      <c r="P476" s="16" t="str">
        <f>IF(N476="","",N476/MAX(N$5:N476)-1)</f>
        <v/>
      </c>
      <c r="Q476" s="13" t="str">
        <f>IF(OR('实盘净值数据(iFinD）'!$A476="",'实盘净值数据(iFinD）'!$B476="",'实盘净值数据(iFinD）'!$Z476="",'实盘净值数据(iFinD）'!$AA476=""),"",分期持仓明细!$AB$25*(SUMPRODUCT(分期持仓明细!$B$25:$Y$25,'实盘净值数据(iFinD）'!$B476:$Y476/'实盘净值数据(iFinD）'!$B$65:$Y$65)+SUMPRODUCT(分期持仓明细!$AC$25:$AD$25,'实盘净值数据(iFinD）'!$Z476:$AA476/'实盘净值数据(iFinD）'!$Z$65:$AA$65))*(1-实盘持仓初始配置!$Z$9)^(('实盘净值数据(iFinD）'!$A476-'实盘净值数据(iFinD）'!$A$8)/365))</f>
        <v/>
      </c>
      <c r="R476" s="16" t="str">
        <f t="shared" si="47"/>
        <v/>
      </c>
      <c r="S476" s="16" t="str">
        <f>IF(Q476="","",Q476/MAX(Q$5:Q476)-1)</f>
        <v/>
      </c>
    </row>
    <row r="477" spans="1:19">
      <c r="A477" s="15" t="str">
        <f>IF('实盘净值数据(iFinD）'!A477="","",'实盘净值数据(iFinD）'!A477)</f>
        <v/>
      </c>
      <c r="B477" s="13" t="str">
        <f>IF(OR('实盘净值数据(iFinD）'!$A477="",'实盘净值数据(iFinD）'!$B477=""),"",分期持仓明细!$AB$17*SUMPRODUCT(分期持仓明细!$B$17:$Y$17,'实盘净值数据(iFinD）'!$B477:$Y477/'实盘净值数据(iFinD）'!$B$20:$Y$20)*(1-实盘持仓初始配置!$Z$4)^(('实盘净值数据(iFinD）'!$A477-'实盘净值数据(iFinD）'!$A$6)/365))</f>
        <v/>
      </c>
      <c r="C477" s="16" t="str">
        <f t="shared" si="42"/>
        <v/>
      </c>
      <c r="D477" s="16" t="str">
        <f>IF(B477="","",B477/MAX(B$5:B477)-1)</f>
        <v/>
      </c>
      <c r="E477" s="13" t="str">
        <f>IF(OR('实盘净值数据(iFinD）'!$A477="",'实盘净值数据(iFinD）'!$B477=""),"",分期持仓明细!$AB$18*SUMPRODUCT(分期持仓明细!$B$18:$Y$18,'实盘净值数据(iFinD）'!$B477:$Y477/'实盘净值数据(iFinD）'!$B$20:$Y$20)*(1-实盘持仓初始配置!$Z$5)^(('实盘净值数据(iFinD）'!$A477-'实盘净值数据(iFinD）'!$A$5)/365))</f>
        <v/>
      </c>
      <c r="F477" s="16" t="str">
        <f t="shared" si="43"/>
        <v/>
      </c>
      <c r="G477" s="16" t="str">
        <f>IF(E477="","",E477/MAX(E$5:E477)-1)</f>
        <v/>
      </c>
      <c r="H477" s="13" t="str">
        <f>IF(OR('实盘净值数据(iFinD）'!$A477="",'实盘净值数据(iFinD）'!$B477=""),"",分期持仓明细!$AB$19*SUMPRODUCT(分期持仓明细!$B$19:$Y$19,'实盘净值数据(iFinD）'!$B477:$Y477/'实盘净值数据(iFinD）'!$B$20:$Y$20)*(1-实盘持仓初始配置!$Z$6)^(('实盘净值数据(iFinD）'!$A477-'实盘净值数据(iFinD）'!$A$7)/365))</f>
        <v/>
      </c>
      <c r="I477" s="16" t="str">
        <f t="shared" si="44"/>
        <v/>
      </c>
      <c r="J477" s="16" t="str">
        <f>IF(H477="","",H477/MAX(H$5:H477)-1)</f>
        <v/>
      </c>
      <c r="K477" s="13" t="str">
        <f>IF(OR('实盘净值数据(iFinD）'!$A477="",'实盘净值数据(iFinD）'!$B477="",'实盘净值数据(iFinD）'!$Z477="",'实盘净值数据(iFinD）'!$AA477=""),"",分期持仓明细!$AB$23*(SUMPRODUCT(分期持仓明细!$B$23:$Y$23,'实盘净值数据(iFinD）'!$B477:$Y477/'实盘净值数据(iFinD）'!$B$65:$Y$65)+SUMPRODUCT(分期持仓明细!$AC$23:$AD$23,'实盘净值数据(iFinD）'!$Z477:$AA477/'实盘净值数据(iFinD）'!$Z$65:$AA$65))*(1-实盘持仓初始配置!$Z$7)^(('实盘净值数据(iFinD）'!$A477-'实盘净值数据(iFinD）'!$A$8)/365))</f>
        <v/>
      </c>
      <c r="L477" s="16" t="str">
        <f t="shared" si="45"/>
        <v/>
      </c>
      <c r="M477" s="16" t="str">
        <f>IF(K477="","",K477/MAX(K$5:K477)-1)</f>
        <v/>
      </c>
      <c r="N477" s="13" t="str">
        <f>IF(OR('实盘净值数据(iFinD）'!$A477="",'实盘净值数据(iFinD）'!$B477="",'实盘净值数据(iFinD）'!$Z477="",'实盘净值数据(iFinD）'!$AA477=""),"",分期持仓明细!$AB$24*(SUMPRODUCT(分期持仓明细!$B$24:$Y$24,'实盘净值数据(iFinD）'!$B477:$Y477/'实盘净值数据(iFinD）'!$B$65:$Y$65)+SUMPRODUCT(分期持仓明细!$AC$24:$AD$24,'实盘净值数据(iFinD）'!$Z477:$AA477/'实盘净值数据(iFinD）'!$Z$65:$AA$65))*(1-实盘持仓初始配置!$Z$8)^(('实盘净值数据(iFinD）'!$A477-'实盘净值数据(iFinD）'!$A$5)/365))</f>
        <v/>
      </c>
      <c r="O477" s="16" t="str">
        <f t="shared" si="46"/>
        <v/>
      </c>
      <c r="P477" s="16" t="str">
        <f>IF(N477="","",N477/MAX(N$5:N477)-1)</f>
        <v/>
      </c>
      <c r="Q477" s="13" t="str">
        <f>IF(OR('实盘净值数据(iFinD）'!$A477="",'实盘净值数据(iFinD）'!$B477="",'实盘净值数据(iFinD）'!$Z477="",'实盘净值数据(iFinD）'!$AA477=""),"",分期持仓明细!$AB$25*(SUMPRODUCT(分期持仓明细!$B$25:$Y$25,'实盘净值数据(iFinD）'!$B477:$Y477/'实盘净值数据(iFinD）'!$B$65:$Y$65)+SUMPRODUCT(分期持仓明细!$AC$25:$AD$25,'实盘净值数据(iFinD）'!$Z477:$AA477/'实盘净值数据(iFinD）'!$Z$65:$AA$65))*(1-实盘持仓初始配置!$Z$9)^(('实盘净值数据(iFinD）'!$A477-'实盘净值数据(iFinD）'!$A$8)/365))</f>
        <v/>
      </c>
      <c r="R477" s="16" t="str">
        <f t="shared" si="47"/>
        <v/>
      </c>
      <c r="S477" s="16" t="str">
        <f>IF(Q477="","",Q477/MAX(Q$5:Q477)-1)</f>
        <v/>
      </c>
    </row>
    <row r="478" spans="1:19">
      <c r="A478" s="15" t="str">
        <f>IF('实盘净值数据(iFinD）'!A478="","",'实盘净值数据(iFinD）'!A478)</f>
        <v/>
      </c>
      <c r="B478" s="13" t="str">
        <f>IF(OR('实盘净值数据(iFinD）'!$A478="",'实盘净值数据(iFinD）'!$B478=""),"",分期持仓明细!$AB$17*SUMPRODUCT(分期持仓明细!$B$17:$Y$17,'实盘净值数据(iFinD）'!$B478:$Y478/'实盘净值数据(iFinD）'!$B$20:$Y$20)*(1-实盘持仓初始配置!$Z$4)^(('实盘净值数据(iFinD）'!$A478-'实盘净值数据(iFinD）'!$A$6)/365))</f>
        <v/>
      </c>
      <c r="C478" s="16" t="str">
        <f t="shared" si="42"/>
        <v/>
      </c>
      <c r="D478" s="16" t="str">
        <f>IF(B478="","",B478/MAX(B$5:B478)-1)</f>
        <v/>
      </c>
      <c r="E478" s="13" t="str">
        <f>IF(OR('实盘净值数据(iFinD）'!$A478="",'实盘净值数据(iFinD）'!$B478=""),"",分期持仓明细!$AB$18*SUMPRODUCT(分期持仓明细!$B$18:$Y$18,'实盘净值数据(iFinD）'!$B478:$Y478/'实盘净值数据(iFinD）'!$B$20:$Y$20)*(1-实盘持仓初始配置!$Z$5)^(('实盘净值数据(iFinD）'!$A478-'实盘净值数据(iFinD）'!$A$5)/365))</f>
        <v/>
      </c>
      <c r="F478" s="16" t="str">
        <f t="shared" si="43"/>
        <v/>
      </c>
      <c r="G478" s="16" t="str">
        <f>IF(E478="","",E478/MAX(E$5:E478)-1)</f>
        <v/>
      </c>
      <c r="H478" s="13" t="str">
        <f>IF(OR('实盘净值数据(iFinD）'!$A478="",'实盘净值数据(iFinD）'!$B478=""),"",分期持仓明细!$AB$19*SUMPRODUCT(分期持仓明细!$B$19:$Y$19,'实盘净值数据(iFinD）'!$B478:$Y478/'实盘净值数据(iFinD）'!$B$20:$Y$20)*(1-实盘持仓初始配置!$Z$6)^(('实盘净值数据(iFinD）'!$A478-'实盘净值数据(iFinD）'!$A$7)/365))</f>
        <v/>
      </c>
      <c r="I478" s="16" t="str">
        <f t="shared" si="44"/>
        <v/>
      </c>
      <c r="J478" s="16" t="str">
        <f>IF(H478="","",H478/MAX(H$5:H478)-1)</f>
        <v/>
      </c>
      <c r="K478" s="13" t="str">
        <f>IF(OR('实盘净值数据(iFinD）'!$A478="",'实盘净值数据(iFinD）'!$B478="",'实盘净值数据(iFinD）'!$Z478="",'实盘净值数据(iFinD）'!$AA478=""),"",分期持仓明细!$AB$23*(SUMPRODUCT(分期持仓明细!$B$23:$Y$23,'实盘净值数据(iFinD）'!$B478:$Y478/'实盘净值数据(iFinD）'!$B$65:$Y$65)+SUMPRODUCT(分期持仓明细!$AC$23:$AD$23,'实盘净值数据(iFinD）'!$Z478:$AA478/'实盘净值数据(iFinD）'!$Z$65:$AA$65))*(1-实盘持仓初始配置!$Z$7)^(('实盘净值数据(iFinD）'!$A478-'实盘净值数据(iFinD）'!$A$8)/365))</f>
        <v/>
      </c>
      <c r="L478" s="16" t="str">
        <f t="shared" si="45"/>
        <v/>
      </c>
      <c r="M478" s="16" t="str">
        <f>IF(K478="","",K478/MAX(K$5:K478)-1)</f>
        <v/>
      </c>
      <c r="N478" s="13" t="str">
        <f>IF(OR('实盘净值数据(iFinD）'!$A478="",'实盘净值数据(iFinD）'!$B478="",'实盘净值数据(iFinD）'!$Z478="",'实盘净值数据(iFinD）'!$AA478=""),"",分期持仓明细!$AB$24*(SUMPRODUCT(分期持仓明细!$B$24:$Y$24,'实盘净值数据(iFinD）'!$B478:$Y478/'实盘净值数据(iFinD）'!$B$65:$Y$65)+SUMPRODUCT(分期持仓明细!$AC$24:$AD$24,'实盘净值数据(iFinD）'!$Z478:$AA478/'实盘净值数据(iFinD）'!$Z$65:$AA$65))*(1-实盘持仓初始配置!$Z$8)^(('实盘净值数据(iFinD）'!$A478-'实盘净值数据(iFinD）'!$A$5)/365))</f>
        <v/>
      </c>
      <c r="O478" s="16" t="str">
        <f t="shared" si="46"/>
        <v/>
      </c>
      <c r="P478" s="16" t="str">
        <f>IF(N478="","",N478/MAX(N$5:N478)-1)</f>
        <v/>
      </c>
      <c r="Q478" s="13" t="str">
        <f>IF(OR('实盘净值数据(iFinD）'!$A478="",'实盘净值数据(iFinD）'!$B478="",'实盘净值数据(iFinD）'!$Z478="",'实盘净值数据(iFinD）'!$AA478=""),"",分期持仓明细!$AB$25*(SUMPRODUCT(分期持仓明细!$B$25:$Y$25,'实盘净值数据(iFinD）'!$B478:$Y478/'实盘净值数据(iFinD）'!$B$65:$Y$65)+SUMPRODUCT(分期持仓明细!$AC$25:$AD$25,'实盘净值数据(iFinD）'!$Z478:$AA478/'实盘净值数据(iFinD）'!$Z$65:$AA$65))*(1-实盘持仓初始配置!$Z$9)^(('实盘净值数据(iFinD）'!$A478-'实盘净值数据(iFinD）'!$A$8)/365))</f>
        <v/>
      </c>
      <c r="R478" s="16" t="str">
        <f t="shared" si="47"/>
        <v/>
      </c>
      <c r="S478" s="16" t="str">
        <f>IF(Q478="","",Q478/MAX(Q$5:Q478)-1)</f>
        <v/>
      </c>
    </row>
    <row r="479" spans="1:19">
      <c r="A479" s="15" t="str">
        <f>IF('实盘净值数据(iFinD）'!A479="","",'实盘净值数据(iFinD）'!A479)</f>
        <v/>
      </c>
      <c r="B479" s="13" t="str">
        <f>IF(OR('实盘净值数据(iFinD）'!$A479="",'实盘净值数据(iFinD）'!$B479=""),"",分期持仓明细!$AB$17*SUMPRODUCT(分期持仓明细!$B$17:$Y$17,'实盘净值数据(iFinD）'!$B479:$Y479/'实盘净值数据(iFinD）'!$B$20:$Y$20)*(1-实盘持仓初始配置!$Z$4)^(('实盘净值数据(iFinD）'!$A479-'实盘净值数据(iFinD）'!$A$6)/365))</f>
        <v/>
      </c>
      <c r="C479" s="16" t="str">
        <f t="shared" si="42"/>
        <v/>
      </c>
      <c r="D479" s="16" t="str">
        <f>IF(B479="","",B479/MAX(B$5:B479)-1)</f>
        <v/>
      </c>
      <c r="E479" s="13" t="str">
        <f>IF(OR('实盘净值数据(iFinD）'!$A479="",'实盘净值数据(iFinD）'!$B479=""),"",分期持仓明细!$AB$18*SUMPRODUCT(分期持仓明细!$B$18:$Y$18,'实盘净值数据(iFinD）'!$B479:$Y479/'实盘净值数据(iFinD）'!$B$20:$Y$20)*(1-实盘持仓初始配置!$Z$5)^(('实盘净值数据(iFinD）'!$A479-'实盘净值数据(iFinD）'!$A$5)/365))</f>
        <v/>
      </c>
      <c r="F479" s="16" t="str">
        <f t="shared" si="43"/>
        <v/>
      </c>
      <c r="G479" s="16" t="str">
        <f>IF(E479="","",E479/MAX(E$5:E479)-1)</f>
        <v/>
      </c>
      <c r="H479" s="13" t="str">
        <f>IF(OR('实盘净值数据(iFinD）'!$A479="",'实盘净值数据(iFinD）'!$B479=""),"",分期持仓明细!$AB$19*SUMPRODUCT(分期持仓明细!$B$19:$Y$19,'实盘净值数据(iFinD）'!$B479:$Y479/'实盘净值数据(iFinD）'!$B$20:$Y$20)*(1-实盘持仓初始配置!$Z$6)^(('实盘净值数据(iFinD）'!$A479-'实盘净值数据(iFinD）'!$A$7)/365))</f>
        <v/>
      </c>
      <c r="I479" s="16" t="str">
        <f t="shared" si="44"/>
        <v/>
      </c>
      <c r="J479" s="16" t="str">
        <f>IF(H479="","",H479/MAX(H$5:H479)-1)</f>
        <v/>
      </c>
      <c r="K479" s="13" t="str">
        <f>IF(OR('实盘净值数据(iFinD）'!$A479="",'实盘净值数据(iFinD）'!$B479="",'实盘净值数据(iFinD）'!$Z479="",'实盘净值数据(iFinD）'!$AA479=""),"",分期持仓明细!$AB$23*(SUMPRODUCT(分期持仓明细!$B$23:$Y$23,'实盘净值数据(iFinD）'!$B479:$Y479/'实盘净值数据(iFinD）'!$B$65:$Y$65)+SUMPRODUCT(分期持仓明细!$AC$23:$AD$23,'实盘净值数据(iFinD）'!$Z479:$AA479/'实盘净值数据(iFinD）'!$Z$65:$AA$65))*(1-实盘持仓初始配置!$Z$7)^(('实盘净值数据(iFinD）'!$A479-'实盘净值数据(iFinD）'!$A$8)/365))</f>
        <v/>
      </c>
      <c r="L479" s="16" t="str">
        <f t="shared" si="45"/>
        <v/>
      </c>
      <c r="M479" s="16" t="str">
        <f>IF(K479="","",K479/MAX(K$5:K479)-1)</f>
        <v/>
      </c>
      <c r="N479" s="13" t="str">
        <f>IF(OR('实盘净值数据(iFinD）'!$A479="",'实盘净值数据(iFinD）'!$B479="",'实盘净值数据(iFinD）'!$Z479="",'实盘净值数据(iFinD）'!$AA479=""),"",分期持仓明细!$AB$24*(SUMPRODUCT(分期持仓明细!$B$24:$Y$24,'实盘净值数据(iFinD）'!$B479:$Y479/'实盘净值数据(iFinD）'!$B$65:$Y$65)+SUMPRODUCT(分期持仓明细!$AC$24:$AD$24,'实盘净值数据(iFinD）'!$Z479:$AA479/'实盘净值数据(iFinD）'!$Z$65:$AA$65))*(1-实盘持仓初始配置!$Z$8)^(('实盘净值数据(iFinD）'!$A479-'实盘净值数据(iFinD）'!$A$5)/365))</f>
        <v/>
      </c>
      <c r="O479" s="16" t="str">
        <f t="shared" si="46"/>
        <v/>
      </c>
      <c r="P479" s="16" t="str">
        <f>IF(N479="","",N479/MAX(N$5:N479)-1)</f>
        <v/>
      </c>
      <c r="Q479" s="13" t="str">
        <f>IF(OR('实盘净值数据(iFinD）'!$A479="",'实盘净值数据(iFinD）'!$B479="",'实盘净值数据(iFinD）'!$Z479="",'实盘净值数据(iFinD）'!$AA479=""),"",分期持仓明细!$AB$25*(SUMPRODUCT(分期持仓明细!$B$25:$Y$25,'实盘净值数据(iFinD）'!$B479:$Y479/'实盘净值数据(iFinD）'!$B$65:$Y$65)+SUMPRODUCT(分期持仓明细!$AC$25:$AD$25,'实盘净值数据(iFinD）'!$Z479:$AA479/'实盘净值数据(iFinD）'!$Z$65:$AA$65))*(1-实盘持仓初始配置!$Z$9)^(('实盘净值数据(iFinD）'!$A479-'实盘净值数据(iFinD）'!$A$8)/365))</f>
        <v/>
      </c>
      <c r="R479" s="16" t="str">
        <f t="shared" si="47"/>
        <v/>
      </c>
      <c r="S479" s="16" t="str">
        <f>IF(Q479="","",Q479/MAX(Q$5:Q479)-1)</f>
        <v/>
      </c>
    </row>
    <row r="480" spans="1:19">
      <c r="A480" s="15" t="str">
        <f>IF('实盘净值数据(iFinD）'!A480="","",'实盘净值数据(iFinD）'!A480)</f>
        <v/>
      </c>
      <c r="B480" s="13" t="str">
        <f>IF(OR('实盘净值数据(iFinD）'!$A480="",'实盘净值数据(iFinD）'!$B480=""),"",分期持仓明细!$AB$17*SUMPRODUCT(分期持仓明细!$B$17:$Y$17,'实盘净值数据(iFinD）'!$B480:$Y480/'实盘净值数据(iFinD）'!$B$20:$Y$20)*(1-实盘持仓初始配置!$Z$4)^(('实盘净值数据(iFinD）'!$A480-'实盘净值数据(iFinD）'!$A$6)/365))</f>
        <v/>
      </c>
      <c r="C480" s="16" t="str">
        <f t="shared" si="42"/>
        <v/>
      </c>
      <c r="D480" s="16" t="str">
        <f>IF(B480="","",B480/MAX(B$5:B480)-1)</f>
        <v/>
      </c>
      <c r="E480" s="13" t="str">
        <f>IF(OR('实盘净值数据(iFinD）'!$A480="",'实盘净值数据(iFinD）'!$B480=""),"",分期持仓明细!$AB$18*SUMPRODUCT(分期持仓明细!$B$18:$Y$18,'实盘净值数据(iFinD）'!$B480:$Y480/'实盘净值数据(iFinD）'!$B$20:$Y$20)*(1-实盘持仓初始配置!$Z$5)^(('实盘净值数据(iFinD）'!$A480-'实盘净值数据(iFinD）'!$A$5)/365))</f>
        <v/>
      </c>
      <c r="F480" s="16" t="str">
        <f t="shared" si="43"/>
        <v/>
      </c>
      <c r="G480" s="16" t="str">
        <f>IF(E480="","",E480/MAX(E$5:E480)-1)</f>
        <v/>
      </c>
      <c r="H480" s="13" t="str">
        <f>IF(OR('实盘净值数据(iFinD）'!$A480="",'实盘净值数据(iFinD）'!$B480=""),"",分期持仓明细!$AB$19*SUMPRODUCT(分期持仓明细!$B$19:$Y$19,'实盘净值数据(iFinD）'!$B480:$Y480/'实盘净值数据(iFinD）'!$B$20:$Y$20)*(1-实盘持仓初始配置!$Z$6)^(('实盘净值数据(iFinD）'!$A480-'实盘净值数据(iFinD）'!$A$7)/365))</f>
        <v/>
      </c>
      <c r="I480" s="16" t="str">
        <f t="shared" si="44"/>
        <v/>
      </c>
      <c r="J480" s="16" t="str">
        <f>IF(H480="","",H480/MAX(H$5:H480)-1)</f>
        <v/>
      </c>
      <c r="K480" s="13" t="str">
        <f>IF(OR('实盘净值数据(iFinD）'!$A480="",'实盘净值数据(iFinD）'!$B480="",'实盘净值数据(iFinD）'!$Z480="",'实盘净值数据(iFinD）'!$AA480=""),"",分期持仓明细!$AB$23*(SUMPRODUCT(分期持仓明细!$B$23:$Y$23,'实盘净值数据(iFinD）'!$B480:$Y480/'实盘净值数据(iFinD）'!$B$65:$Y$65)+SUMPRODUCT(分期持仓明细!$AC$23:$AD$23,'实盘净值数据(iFinD）'!$Z480:$AA480/'实盘净值数据(iFinD）'!$Z$65:$AA$65))*(1-实盘持仓初始配置!$Z$7)^(('实盘净值数据(iFinD）'!$A480-'实盘净值数据(iFinD）'!$A$8)/365))</f>
        <v/>
      </c>
      <c r="L480" s="16" t="str">
        <f t="shared" si="45"/>
        <v/>
      </c>
      <c r="M480" s="16" t="str">
        <f>IF(K480="","",K480/MAX(K$5:K480)-1)</f>
        <v/>
      </c>
      <c r="N480" s="13" t="str">
        <f>IF(OR('实盘净值数据(iFinD）'!$A480="",'实盘净值数据(iFinD）'!$B480="",'实盘净值数据(iFinD）'!$Z480="",'实盘净值数据(iFinD）'!$AA480=""),"",分期持仓明细!$AB$24*(SUMPRODUCT(分期持仓明细!$B$24:$Y$24,'实盘净值数据(iFinD）'!$B480:$Y480/'实盘净值数据(iFinD）'!$B$65:$Y$65)+SUMPRODUCT(分期持仓明细!$AC$24:$AD$24,'实盘净值数据(iFinD）'!$Z480:$AA480/'实盘净值数据(iFinD）'!$Z$65:$AA$65))*(1-实盘持仓初始配置!$Z$8)^(('实盘净值数据(iFinD）'!$A480-'实盘净值数据(iFinD）'!$A$5)/365))</f>
        <v/>
      </c>
      <c r="O480" s="16" t="str">
        <f t="shared" si="46"/>
        <v/>
      </c>
      <c r="P480" s="16" t="str">
        <f>IF(N480="","",N480/MAX(N$5:N480)-1)</f>
        <v/>
      </c>
      <c r="Q480" s="13" t="str">
        <f>IF(OR('实盘净值数据(iFinD）'!$A480="",'实盘净值数据(iFinD）'!$B480="",'实盘净值数据(iFinD）'!$Z480="",'实盘净值数据(iFinD）'!$AA480=""),"",分期持仓明细!$AB$25*(SUMPRODUCT(分期持仓明细!$B$25:$Y$25,'实盘净值数据(iFinD）'!$B480:$Y480/'实盘净值数据(iFinD）'!$B$65:$Y$65)+SUMPRODUCT(分期持仓明细!$AC$25:$AD$25,'实盘净值数据(iFinD）'!$Z480:$AA480/'实盘净值数据(iFinD）'!$Z$65:$AA$65))*(1-实盘持仓初始配置!$Z$9)^(('实盘净值数据(iFinD）'!$A480-'实盘净值数据(iFinD）'!$A$8)/365))</f>
        <v/>
      </c>
      <c r="R480" s="16" t="str">
        <f t="shared" si="47"/>
        <v/>
      </c>
      <c r="S480" s="16" t="str">
        <f>IF(Q480="","",Q480/MAX(Q$5:Q480)-1)</f>
        <v/>
      </c>
    </row>
    <row r="481" spans="1:19">
      <c r="A481" s="15" t="str">
        <f>IF('实盘净值数据(iFinD）'!A481="","",'实盘净值数据(iFinD）'!A481)</f>
        <v/>
      </c>
      <c r="B481" s="13" t="str">
        <f>IF(OR('实盘净值数据(iFinD）'!$A481="",'实盘净值数据(iFinD）'!$B481=""),"",分期持仓明细!$AB$17*SUMPRODUCT(分期持仓明细!$B$17:$Y$17,'实盘净值数据(iFinD）'!$B481:$Y481/'实盘净值数据(iFinD）'!$B$20:$Y$20)*(1-实盘持仓初始配置!$Z$4)^(('实盘净值数据(iFinD）'!$A481-'实盘净值数据(iFinD）'!$A$6)/365))</f>
        <v/>
      </c>
      <c r="C481" s="16" t="str">
        <f t="shared" si="42"/>
        <v/>
      </c>
      <c r="D481" s="16" t="str">
        <f>IF(B481="","",B481/MAX(B$5:B481)-1)</f>
        <v/>
      </c>
      <c r="E481" s="13" t="str">
        <f>IF(OR('实盘净值数据(iFinD）'!$A481="",'实盘净值数据(iFinD）'!$B481=""),"",分期持仓明细!$AB$18*SUMPRODUCT(分期持仓明细!$B$18:$Y$18,'实盘净值数据(iFinD）'!$B481:$Y481/'实盘净值数据(iFinD）'!$B$20:$Y$20)*(1-实盘持仓初始配置!$Z$5)^(('实盘净值数据(iFinD）'!$A481-'实盘净值数据(iFinD）'!$A$5)/365))</f>
        <v/>
      </c>
      <c r="F481" s="16" t="str">
        <f t="shared" si="43"/>
        <v/>
      </c>
      <c r="G481" s="16" t="str">
        <f>IF(E481="","",E481/MAX(E$5:E481)-1)</f>
        <v/>
      </c>
      <c r="H481" s="13" t="str">
        <f>IF(OR('实盘净值数据(iFinD）'!$A481="",'实盘净值数据(iFinD）'!$B481=""),"",分期持仓明细!$AB$19*SUMPRODUCT(分期持仓明细!$B$19:$Y$19,'实盘净值数据(iFinD）'!$B481:$Y481/'实盘净值数据(iFinD）'!$B$20:$Y$20)*(1-实盘持仓初始配置!$Z$6)^(('实盘净值数据(iFinD）'!$A481-'实盘净值数据(iFinD）'!$A$7)/365))</f>
        <v/>
      </c>
      <c r="I481" s="16" t="str">
        <f t="shared" si="44"/>
        <v/>
      </c>
      <c r="J481" s="16" t="str">
        <f>IF(H481="","",H481/MAX(H$5:H481)-1)</f>
        <v/>
      </c>
      <c r="K481" s="13" t="str">
        <f>IF(OR('实盘净值数据(iFinD）'!$A481="",'实盘净值数据(iFinD）'!$B481="",'实盘净值数据(iFinD）'!$Z481="",'实盘净值数据(iFinD）'!$AA481=""),"",分期持仓明细!$AB$23*(SUMPRODUCT(分期持仓明细!$B$23:$Y$23,'实盘净值数据(iFinD）'!$B481:$Y481/'实盘净值数据(iFinD）'!$B$65:$Y$65)+SUMPRODUCT(分期持仓明细!$AC$23:$AD$23,'实盘净值数据(iFinD）'!$Z481:$AA481/'实盘净值数据(iFinD）'!$Z$65:$AA$65))*(1-实盘持仓初始配置!$Z$7)^(('实盘净值数据(iFinD）'!$A481-'实盘净值数据(iFinD）'!$A$8)/365))</f>
        <v/>
      </c>
      <c r="L481" s="16" t="str">
        <f t="shared" si="45"/>
        <v/>
      </c>
      <c r="M481" s="16" t="str">
        <f>IF(K481="","",K481/MAX(K$5:K481)-1)</f>
        <v/>
      </c>
      <c r="N481" s="13" t="str">
        <f>IF(OR('实盘净值数据(iFinD）'!$A481="",'实盘净值数据(iFinD）'!$B481="",'实盘净值数据(iFinD）'!$Z481="",'实盘净值数据(iFinD）'!$AA481=""),"",分期持仓明细!$AB$24*(SUMPRODUCT(分期持仓明细!$B$24:$Y$24,'实盘净值数据(iFinD）'!$B481:$Y481/'实盘净值数据(iFinD）'!$B$65:$Y$65)+SUMPRODUCT(分期持仓明细!$AC$24:$AD$24,'实盘净值数据(iFinD）'!$Z481:$AA481/'实盘净值数据(iFinD）'!$Z$65:$AA$65))*(1-实盘持仓初始配置!$Z$8)^(('实盘净值数据(iFinD）'!$A481-'实盘净值数据(iFinD）'!$A$5)/365))</f>
        <v/>
      </c>
      <c r="O481" s="16" t="str">
        <f t="shared" si="46"/>
        <v/>
      </c>
      <c r="P481" s="16" t="str">
        <f>IF(N481="","",N481/MAX(N$5:N481)-1)</f>
        <v/>
      </c>
      <c r="Q481" s="13" t="str">
        <f>IF(OR('实盘净值数据(iFinD）'!$A481="",'实盘净值数据(iFinD）'!$B481="",'实盘净值数据(iFinD）'!$Z481="",'实盘净值数据(iFinD）'!$AA481=""),"",分期持仓明细!$AB$25*(SUMPRODUCT(分期持仓明细!$B$25:$Y$25,'实盘净值数据(iFinD）'!$B481:$Y481/'实盘净值数据(iFinD）'!$B$65:$Y$65)+SUMPRODUCT(分期持仓明细!$AC$25:$AD$25,'实盘净值数据(iFinD）'!$Z481:$AA481/'实盘净值数据(iFinD）'!$Z$65:$AA$65))*(1-实盘持仓初始配置!$Z$9)^(('实盘净值数据(iFinD）'!$A481-'实盘净值数据(iFinD）'!$A$8)/365))</f>
        <v/>
      </c>
      <c r="R481" s="16" t="str">
        <f t="shared" si="47"/>
        <v/>
      </c>
      <c r="S481" s="16" t="str">
        <f>IF(Q481="","",Q481/MAX(Q$5:Q481)-1)</f>
        <v/>
      </c>
    </row>
    <row r="482" spans="1:19">
      <c r="A482" s="15" t="str">
        <f>IF('实盘净值数据(iFinD）'!A482="","",'实盘净值数据(iFinD）'!A482)</f>
        <v/>
      </c>
      <c r="B482" s="13" t="str">
        <f>IF(OR('实盘净值数据(iFinD）'!$A482="",'实盘净值数据(iFinD）'!$B482=""),"",分期持仓明细!$AB$17*SUMPRODUCT(分期持仓明细!$B$17:$Y$17,'实盘净值数据(iFinD）'!$B482:$Y482/'实盘净值数据(iFinD）'!$B$20:$Y$20)*(1-实盘持仓初始配置!$Z$4)^(('实盘净值数据(iFinD）'!$A482-'实盘净值数据(iFinD）'!$A$6)/365))</f>
        <v/>
      </c>
      <c r="C482" s="16" t="str">
        <f t="shared" si="42"/>
        <v/>
      </c>
      <c r="D482" s="16" t="str">
        <f>IF(B482="","",B482/MAX(B$5:B482)-1)</f>
        <v/>
      </c>
      <c r="E482" s="13" t="str">
        <f>IF(OR('实盘净值数据(iFinD）'!$A482="",'实盘净值数据(iFinD）'!$B482=""),"",分期持仓明细!$AB$18*SUMPRODUCT(分期持仓明细!$B$18:$Y$18,'实盘净值数据(iFinD）'!$B482:$Y482/'实盘净值数据(iFinD）'!$B$20:$Y$20)*(1-实盘持仓初始配置!$Z$5)^(('实盘净值数据(iFinD）'!$A482-'实盘净值数据(iFinD）'!$A$5)/365))</f>
        <v/>
      </c>
      <c r="F482" s="16" t="str">
        <f t="shared" si="43"/>
        <v/>
      </c>
      <c r="G482" s="16" t="str">
        <f>IF(E482="","",E482/MAX(E$5:E482)-1)</f>
        <v/>
      </c>
      <c r="H482" s="13" t="str">
        <f>IF(OR('实盘净值数据(iFinD）'!$A482="",'实盘净值数据(iFinD）'!$B482=""),"",分期持仓明细!$AB$19*SUMPRODUCT(分期持仓明细!$B$19:$Y$19,'实盘净值数据(iFinD）'!$B482:$Y482/'实盘净值数据(iFinD）'!$B$20:$Y$20)*(1-实盘持仓初始配置!$Z$6)^(('实盘净值数据(iFinD）'!$A482-'实盘净值数据(iFinD）'!$A$7)/365))</f>
        <v/>
      </c>
      <c r="I482" s="16" t="str">
        <f t="shared" si="44"/>
        <v/>
      </c>
      <c r="J482" s="16" t="str">
        <f>IF(H482="","",H482/MAX(H$5:H482)-1)</f>
        <v/>
      </c>
      <c r="K482" s="13" t="str">
        <f>IF(OR('实盘净值数据(iFinD）'!$A482="",'实盘净值数据(iFinD）'!$B482="",'实盘净值数据(iFinD）'!$Z482="",'实盘净值数据(iFinD）'!$AA482=""),"",分期持仓明细!$AB$23*(SUMPRODUCT(分期持仓明细!$B$23:$Y$23,'实盘净值数据(iFinD）'!$B482:$Y482/'实盘净值数据(iFinD）'!$B$65:$Y$65)+SUMPRODUCT(分期持仓明细!$AC$23:$AD$23,'实盘净值数据(iFinD）'!$Z482:$AA482/'实盘净值数据(iFinD）'!$Z$65:$AA$65))*(1-实盘持仓初始配置!$Z$7)^(('实盘净值数据(iFinD）'!$A482-'实盘净值数据(iFinD）'!$A$8)/365))</f>
        <v/>
      </c>
      <c r="L482" s="16" t="str">
        <f t="shared" si="45"/>
        <v/>
      </c>
      <c r="M482" s="16" t="str">
        <f>IF(K482="","",K482/MAX(K$5:K482)-1)</f>
        <v/>
      </c>
      <c r="N482" s="13" t="str">
        <f>IF(OR('实盘净值数据(iFinD）'!$A482="",'实盘净值数据(iFinD）'!$B482="",'实盘净值数据(iFinD）'!$Z482="",'实盘净值数据(iFinD）'!$AA482=""),"",分期持仓明细!$AB$24*(SUMPRODUCT(分期持仓明细!$B$24:$Y$24,'实盘净值数据(iFinD）'!$B482:$Y482/'实盘净值数据(iFinD）'!$B$65:$Y$65)+SUMPRODUCT(分期持仓明细!$AC$24:$AD$24,'实盘净值数据(iFinD）'!$Z482:$AA482/'实盘净值数据(iFinD）'!$Z$65:$AA$65))*(1-实盘持仓初始配置!$Z$8)^(('实盘净值数据(iFinD）'!$A482-'实盘净值数据(iFinD）'!$A$5)/365))</f>
        <v/>
      </c>
      <c r="O482" s="16" t="str">
        <f t="shared" si="46"/>
        <v/>
      </c>
      <c r="P482" s="16" t="str">
        <f>IF(N482="","",N482/MAX(N$5:N482)-1)</f>
        <v/>
      </c>
      <c r="Q482" s="13" t="str">
        <f>IF(OR('实盘净值数据(iFinD）'!$A482="",'实盘净值数据(iFinD）'!$B482="",'实盘净值数据(iFinD）'!$Z482="",'实盘净值数据(iFinD）'!$AA482=""),"",分期持仓明细!$AB$25*(SUMPRODUCT(分期持仓明细!$B$25:$Y$25,'实盘净值数据(iFinD）'!$B482:$Y482/'实盘净值数据(iFinD）'!$B$65:$Y$65)+SUMPRODUCT(分期持仓明细!$AC$25:$AD$25,'实盘净值数据(iFinD）'!$Z482:$AA482/'实盘净值数据(iFinD）'!$Z$65:$AA$65))*(1-实盘持仓初始配置!$Z$9)^(('实盘净值数据(iFinD）'!$A482-'实盘净值数据(iFinD）'!$A$8)/365))</f>
        <v/>
      </c>
      <c r="R482" s="16" t="str">
        <f t="shared" si="47"/>
        <v/>
      </c>
      <c r="S482" s="16" t="str">
        <f>IF(Q482="","",Q482/MAX(Q$5:Q482)-1)</f>
        <v/>
      </c>
    </row>
    <row r="483" spans="1:19">
      <c r="A483" s="15" t="str">
        <f>IF('实盘净值数据(iFinD）'!A483="","",'实盘净值数据(iFinD）'!A483)</f>
        <v/>
      </c>
      <c r="B483" s="13" t="str">
        <f>IF(OR('实盘净值数据(iFinD）'!$A483="",'实盘净值数据(iFinD）'!$B483=""),"",分期持仓明细!$AB$17*SUMPRODUCT(分期持仓明细!$B$17:$Y$17,'实盘净值数据(iFinD）'!$B483:$Y483/'实盘净值数据(iFinD）'!$B$20:$Y$20)*(1-实盘持仓初始配置!$Z$4)^(('实盘净值数据(iFinD）'!$A483-'实盘净值数据(iFinD）'!$A$6)/365))</f>
        <v/>
      </c>
      <c r="C483" s="16" t="str">
        <f t="shared" si="42"/>
        <v/>
      </c>
      <c r="D483" s="16" t="str">
        <f>IF(B483="","",B483/MAX(B$5:B483)-1)</f>
        <v/>
      </c>
      <c r="E483" s="13" t="str">
        <f>IF(OR('实盘净值数据(iFinD）'!$A483="",'实盘净值数据(iFinD）'!$B483=""),"",分期持仓明细!$AB$18*SUMPRODUCT(分期持仓明细!$B$18:$Y$18,'实盘净值数据(iFinD）'!$B483:$Y483/'实盘净值数据(iFinD）'!$B$20:$Y$20)*(1-实盘持仓初始配置!$Z$5)^(('实盘净值数据(iFinD）'!$A483-'实盘净值数据(iFinD）'!$A$5)/365))</f>
        <v/>
      </c>
      <c r="F483" s="16" t="str">
        <f t="shared" si="43"/>
        <v/>
      </c>
      <c r="G483" s="16" t="str">
        <f>IF(E483="","",E483/MAX(E$5:E483)-1)</f>
        <v/>
      </c>
      <c r="H483" s="13" t="str">
        <f>IF(OR('实盘净值数据(iFinD）'!$A483="",'实盘净值数据(iFinD）'!$B483=""),"",分期持仓明细!$AB$19*SUMPRODUCT(分期持仓明细!$B$19:$Y$19,'实盘净值数据(iFinD）'!$B483:$Y483/'实盘净值数据(iFinD）'!$B$20:$Y$20)*(1-实盘持仓初始配置!$Z$6)^(('实盘净值数据(iFinD）'!$A483-'实盘净值数据(iFinD）'!$A$7)/365))</f>
        <v/>
      </c>
      <c r="I483" s="16" t="str">
        <f t="shared" si="44"/>
        <v/>
      </c>
      <c r="J483" s="16" t="str">
        <f>IF(H483="","",H483/MAX(H$5:H483)-1)</f>
        <v/>
      </c>
      <c r="K483" s="13" t="str">
        <f>IF(OR('实盘净值数据(iFinD）'!$A483="",'实盘净值数据(iFinD）'!$B483="",'实盘净值数据(iFinD）'!$Z483="",'实盘净值数据(iFinD）'!$AA483=""),"",分期持仓明细!$AB$23*(SUMPRODUCT(分期持仓明细!$B$23:$Y$23,'实盘净值数据(iFinD）'!$B483:$Y483/'实盘净值数据(iFinD）'!$B$65:$Y$65)+SUMPRODUCT(分期持仓明细!$AC$23:$AD$23,'实盘净值数据(iFinD）'!$Z483:$AA483/'实盘净值数据(iFinD）'!$Z$65:$AA$65))*(1-实盘持仓初始配置!$Z$7)^(('实盘净值数据(iFinD）'!$A483-'实盘净值数据(iFinD）'!$A$8)/365))</f>
        <v/>
      </c>
      <c r="L483" s="16" t="str">
        <f t="shared" si="45"/>
        <v/>
      </c>
      <c r="M483" s="16" t="str">
        <f>IF(K483="","",K483/MAX(K$5:K483)-1)</f>
        <v/>
      </c>
      <c r="N483" s="13" t="str">
        <f>IF(OR('实盘净值数据(iFinD）'!$A483="",'实盘净值数据(iFinD）'!$B483="",'实盘净值数据(iFinD）'!$Z483="",'实盘净值数据(iFinD）'!$AA483=""),"",分期持仓明细!$AB$24*(SUMPRODUCT(分期持仓明细!$B$24:$Y$24,'实盘净值数据(iFinD）'!$B483:$Y483/'实盘净值数据(iFinD）'!$B$65:$Y$65)+SUMPRODUCT(分期持仓明细!$AC$24:$AD$24,'实盘净值数据(iFinD）'!$Z483:$AA483/'实盘净值数据(iFinD）'!$Z$65:$AA$65))*(1-实盘持仓初始配置!$Z$8)^(('实盘净值数据(iFinD）'!$A483-'实盘净值数据(iFinD）'!$A$5)/365))</f>
        <v/>
      </c>
      <c r="O483" s="16" t="str">
        <f t="shared" si="46"/>
        <v/>
      </c>
      <c r="P483" s="16" t="str">
        <f>IF(N483="","",N483/MAX(N$5:N483)-1)</f>
        <v/>
      </c>
      <c r="Q483" s="13" t="str">
        <f>IF(OR('实盘净值数据(iFinD）'!$A483="",'实盘净值数据(iFinD）'!$B483="",'实盘净值数据(iFinD）'!$Z483="",'实盘净值数据(iFinD）'!$AA483=""),"",分期持仓明细!$AB$25*(SUMPRODUCT(分期持仓明细!$B$25:$Y$25,'实盘净值数据(iFinD）'!$B483:$Y483/'实盘净值数据(iFinD）'!$B$65:$Y$65)+SUMPRODUCT(分期持仓明细!$AC$25:$AD$25,'实盘净值数据(iFinD）'!$Z483:$AA483/'实盘净值数据(iFinD）'!$Z$65:$AA$65))*(1-实盘持仓初始配置!$Z$9)^(('实盘净值数据(iFinD）'!$A483-'实盘净值数据(iFinD）'!$A$8)/365))</f>
        <v/>
      </c>
      <c r="R483" s="16" t="str">
        <f t="shared" si="47"/>
        <v/>
      </c>
      <c r="S483" s="16" t="str">
        <f>IF(Q483="","",Q483/MAX(Q$5:Q483)-1)</f>
        <v/>
      </c>
    </row>
    <row r="484" spans="1:19">
      <c r="A484" s="15" t="str">
        <f>IF('实盘净值数据(iFinD）'!A484="","",'实盘净值数据(iFinD）'!A484)</f>
        <v/>
      </c>
      <c r="B484" s="13" t="str">
        <f>IF(OR('实盘净值数据(iFinD）'!$A484="",'实盘净值数据(iFinD）'!$B484=""),"",分期持仓明细!$AB$17*SUMPRODUCT(分期持仓明细!$B$17:$Y$17,'实盘净值数据(iFinD）'!$B484:$Y484/'实盘净值数据(iFinD）'!$B$20:$Y$20)*(1-实盘持仓初始配置!$Z$4)^(('实盘净值数据(iFinD）'!$A484-'实盘净值数据(iFinD）'!$A$6)/365))</f>
        <v/>
      </c>
      <c r="C484" s="16" t="str">
        <f t="shared" si="42"/>
        <v/>
      </c>
      <c r="D484" s="16" t="str">
        <f>IF(B484="","",B484/MAX(B$5:B484)-1)</f>
        <v/>
      </c>
      <c r="E484" s="13" t="str">
        <f>IF(OR('实盘净值数据(iFinD）'!$A484="",'实盘净值数据(iFinD）'!$B484=""),"",分期持仓明细!$AB$18*SUMPRODUCT(分期持仓明细!$B$18:$Y$18,'实盘净值数据(iFinD）'!$B484:$Y484/'实盘净值数据(iFinD）'!$B$20:$Y$20)*(1-实盘持仓初始配置!$Z$5)^(('实盘净值数据(iFinD）'!$A484-'实盘净值数据(iFinD）'!$A$5)/365))</f>
        <v/>
      </c>
      <c r="F484" s="16" t="str">
        <f t="shared" si="43"/>
        <v/>
      </c>
      <c r="G484" s="16" t="str">
        <f>IF(E484="","",E484/MAX(E$5:E484)-1)</f>
        <v/>
      </c>
      <c r="H484" s="13" t="str">
        <f>IF(OR('实盘净值数据(iFinD）'!$A484="",'实盘净值数据(iFinD）'!$B484=""),"",分期持仓明细!$AB$19*SUMPRODUCT(分期持仓明细!$B$19:$Y$19,'实盘净值数据(iFinD）'!$B484:$Y484/'实盘净值数据(iFinD）'!$B$20:$Y$20)*(1-实盘持仓初始配置!$Z$6)^(('实盘净值数据(iFinD）'!$A484-'实盘净值数据(iFinD）'!$A$7)/365))</f>
        <v/>
      </c>
      <c r="I484" s="16" t="str">
        <f t="shared" si="44"/>
        <v/>
      </c>
      <c r="J484" s="16" t="str">
        <f>IF(H484="","",H484/MAX(H$5:H484)-1)</f>
        <v/>
      </c>
      <c r="K484" s="13" t="str">
        <f>IF(OR('实盘净值数据(iFinD）'!$A484="",'实盘净值数据(iFinD）'!$B484="",'实盘净值数据(iFinD）'!$Z484="",'实盘净值数据(iFinD）'!$AA484=""),"",分期持仓明细!$AB$23*(SUMPRODUCT(分期持仓明细!$B$23:$Y$23,'实盘净值数据(iFinD）'!$B484:$Y484/'实盘净值数据(iFinD）'!$B$65:$Y$65)+SUMPRODUCT(分期持仓明细!$AC$23:$AD$23,'实盘净值数据(iFinD）'!$Z484:$AA484/'实盘净值数据(iFinD）'!$Z$65:$AA$65))*(1-实盘持仓初始配置!$Z$7)^(('实盘净值数据(iFinD）'!$A484-'实盘净值数据(iFinD）'!$A$8)/365))</f>
        <v/>
      </c>
      <c r="L484" s="16" t="str">
        <f t="shared" si="45"/>
        <v/>
      </c>
      <c r="M484" s="16" t="str">
        <f>IF(K484="","",K484/MAX(K$5:K484)-1)</f>
        <v/>
      </c>
      <c r="N484" s="13" t="str">
        <f>IF(OR('实盘净值数据(iFinD）'!$A484="",'实盘净值数据(iFinD）'!$B484="",'实盘净值数据(iFinD）'!$Z484="",'实盘净值数据(iFinD）'!$AA484=""),"",分期持仓明细!$AB$24*(SUMPRODUCT(分期持仓明细!$B$24:$Y$24,'实盘净值数据(iFinD）'!$B484:$Y484/'实盘净值数据(iFinD）'!$B$65:$Y$65)+SUMPRODUCT(分期持仓明细!$AC$24:$AD$24,'实盘净值数据(iFinD）'!$Z484:$AA484/'实盘净值数据(iFinD）'!$Z$65:$AA$65))*(1-实盘持仓初始配置!$Z$8)^(('实盘净值数据(iFinD）'!$A484-'实盘净值数据(iFinD）'!$A$5)/365))</f>
        <v/>
      </c>
      <c r="O484" s="16" t="str">
        <f t="shared" si="46"/>
        <v/>
      </c>
      <c r="P484" s="16" t="str">
        <f>IF(N484="","",N484/MAX(N$5:N484)-1)</f>
        <v/>
      </c>
      <c r="Q484" s="13" t="str">
        <f>IF(OR('实盘净值数据(iFinD）'!$A484="",'实盘净值数据(iFinD）'!$B484="",'实盘净值数据(iFinD）'!$Z484="",'实盘净值数据(iFinD）'!$AA484=""),"",分期持仓明细!$AB$25*(SUMPRODUCT(分期持仓明细!$B$25:$Y$25,'实盘净值数据(iFinD）'!$B484:$Y484/'实盘净值数据(iFinD）'!$B$65:$Y$65)+SUMPRODUCT(分期持仓明细!$AC$25:$AD$25,'实盘净值数据(iFinD）'!$Z484:$AA484/'实盘净值数据(iFinD）'!$Z$65:$AA$65))*(1-实盘持仓初始配置!$Z$9)^(('实盘净值数据(iFinD）'!$A484-'实盘净值数据(iFinD）'!$A$8)/365))</f>
        <v/>
      </c>
      <c r="R484" s="16" t="str">
        <f t="shared" si="47"/>
        <v/>
      </c>
      <c r="S484" s="16" t="str">
        <f>IF(Q484="","",Q484/MAX(Q$5:Q484)-1)</f>
        <v/>
      </c>
    </row>
    <row r="485" spans="1:19">
      <c r="A485" s="15" t="str">
        <f>IF('实盘净值数据(iFinD）'!A485="","",'实盘净值数据(iFinD）'!A485)</f>
        <v/>
      </c>
      <c r="B485" s="13" t="str">
        <f>IF(OR('实盘净值数据(iFinD）'!$A485="",'实盘净值数据(iFinD）'!$B485=""),"",分期持仓明细!$AB$17*SUMPRODUCT(分期持仓明细!$B$17:$Y$17,'实盘净值数据(iFinD）'!$B485:$Y485/'实盘净值数据(iFinD）'!$B$20:$Y$20)*(1-实盘持仓初始配置!$Z$4)^(('实盘净值数据(iFinD）'!$A485-'实盘净值数据(iFinD）'!$A$6)/365))</f>
        <v/>
      </c>
      <c r="C485" s="16" t="str">
        <f t="shared" si="42"/>
        <v/>
      </c>
      <c r="D485" s="16" t="str">
        <f>IF(B485="","",B485/MAX(B$5:B485)-1)</f>
        <v/>
      </c>
      <c r="E485" s="13" t="str">
        <f>IF(OR('实盘净值数据(iFinD）'!$A485="",'实盘净值数据(iFinD）'!$B485=""),"",分期持仓明细!$AB$18*SUMPRODUCT(分期持仓明细!$B$18:$Y$18,'实盘净值数据(iFinD）'!$B485:$Y485/'实盘净值数据(iFinD）'!$B$20:$Y$20)*(1-实盘持仓初始配置!$Z$5)^(('实盘净值数据(iFinD）'!$A485-'实盘净值数据(iFinD）'!$A$5)/365))</f>
        <v/>
      </c>
      <c r="F485" s="16" t="str">
        <f t="shared" si="43"/>
        <v/>
      </c>
      <c r="G485" s="16" t="str">
        <f>IF(E485="","",E485/MAX(E$5:E485)-1)</f>
        <v/>
      </c>
      <c r="H485" s="13" t="str">
        <f>IF(OR('实盘净值数据(iFinD）'!$A485="",'实盘净值数据(iFinD）'!$B485=""),"",分期持仓明细!$AB$19*SUMPRODUCT(分期持仓明细!$B$19:$Y$19,'实盘净值数据(iFinD）'!$B485:$Y485/'实盘净值数据(iFinD）'!$B$20:$Y$20)*(1-实盘持仓初始配置!$Z$6)^(('实盘净值数据(iFinD）'!$A485-'实盘净值数据(iFinD）'!$A$7)/365))</f>
        <v/>
      </c>
      <c r="I485" s="16" t="str">
        <f t="shared" si="44"/>
        <v/>
      </c>
      <c r="J485" s="16" t="str">
        <f>IF(H485="","",H485/MAX(H$5:H485)-1)</f>
        <v/>
      </c>
      <c r="K485" s="13" t="str">
        <f>IF(OR('实盘净值数据(iFinD）'!$A485="",'实盘净值数据(iFinD）'!$B485="",'实盘净值数据(iFinD）'!$Z485="",'实盘净值数据(iFinD）'!$AA485=""),"",分期持仓明细!$AB$23*(SUMPRODUCT(分期持仓明细!$B$23:$Y$23,'实盘净值数据(iFinD）'!$B485:$Y485/'实盘净值数据(iFinD）'!$B$65:$Y$65)+SUMPRODUCT(分期持仓明细!$AC$23:$AD$23,'实盘净值数据(iFinD）'!$Z485:$AA485/'实盘净值数据(iFinD）'!$Z$65:$AA$65))*(1-实盘持仓初始配置!$Z$7)^(('实盘净值数据(iFinD）'!$A485-'实盘净值数据(iFinD）'!$A$8)/365))</f>
        <v/>
      </c>
      <c r="L485" s="16" t="str">
        <f t="shared" si="45"/>
        <v/>
      </c>
      <c r="M485" s="16" t="str">
        <f>IF(K485="","",K485/MAX(K$5:K485)-1)</f>
        <v/>
      </c>
      <c r="N485" s="13" t="str">
        <f>IF(OR('实盘净值数据(iFinD）'!$A485="",'实盘净值数据(iFinD）'!$B485="",'实盘净值数据(iFinD）'!$Z485="",'实盘净值数据(iFinD）'!$AA485=""),"",分期持仓明细!$AB$24*(SUMPRODUCT(分期持仓明细!$B$24:$Y$24,'实盘净值数据(iFinD）'!$B485:$Y485/'实盘净值数据(iFinD）'!$B$65:$Y$65)+SUMPRODUCT(分期持仓明细!$AC$24:$AD$24,'实盘净值数据(iFinD）'!$Z485:$AA485/'实盘净值数据(iFinD）'!$Z$65:$AA$65))*(1-实盘持仓初始配置!$Z$8)^(('实盘净值数据(iFinD）'!$A485-'实盘净值数据(iFinD）'!$A$5)/365))</f>
        <v/>
      </c>
      <c r="O485" s="16" t="str">
        <f t="shared" si="46"/>
        <v/>
      </c>
      <c r="P485" s="16" t="str">
        <f>IF(N485="","",N485/MAX(N$5:N485)-1)</f>
        <v/>
      </c>
      <c r="Q485" s="13" t="str">
        <f>IF(OR('实盘净值数据(iFinD）'!$A485="",'实盘净值数据(iFinD）'!$B485="",'实盘净值数据(iFinD）'!$Z485="",'实盘净值数据(iFinD）'!$AA485=""),"",分期持仓明细!$AB$25*(SUMPRODUCT(分期持仓明细!$B$25:$Y$25,'实盘净值数据(iFinD）'!$B485:$Y485/'实盘净值数据(iFinD）'!$B$65:$Y$65)+SUMPRODUCT(分期持仓明细!$AC$25:$AD$25,'实盘净值数据(iFinD）'!$Z485:$AA485/'实盘净值数据(iFinD）'!$Z$65:$AA$65))*(1-实盘持仓初始配置!$Z$9)^(('实盘净值数据(iFinD）'!$A485-'实盘净值数据(iFinD）'!$A$8)/365))</f>
        <v/>
      </c>
      <c r="R485" s="16" t="str">
        <f t="shared" si="47"/>
        <v/>
      </c>
      <c r="S485" s="16" t="str">
        <f>IF(Q485="","",Q485/MAX(Q$5:Q485)-1)</f>
        <v/>
      </c>
    </row>
    <row r="486" spans="1:19">
      <c r="A486" s="15" t="str">
        <f>IF('实盘净值数据(iFinD）'!A486="","",'实盘净值数据(iFinD）'!A486)</f>
        <v/>
      </c>
      <c r="B486" s="13" t="str">
        <f>IF(OR('实盘净值数据(iFinD）'!$A486="",'实盘净值数据(iFinD）'!$B486=""),"",分期持仓明细!$AB$17*SUMPRODUCT(分期持仓明细!$B$17:$Y$17,'实盘净值数据(iFinD）'!$B486:$Y486/'实盘净值数据(iFinD）'!$B$20:$Y$20)*(1-实盘持仓初始配置!$Z$4)^(('实盘净值数据(iFinD）'!$A486-'实盘净值数据(iFinD）'!$A$6)/365))</f>
        <v/>
      </c>
      <c r="C486" s="16" t="str">
        <f t="shared" si="42"/>
        <v/>
      </c>
      <c r="D486" s="16" t="str">
        <f>IF(B486="","",B486/MAX(B$5:B486)-1)</f>
        <v/>
      </c>
      <c r="E486" s="13" t="str">
        <f>IF(OR('实盘净值数据(iFinD）'!$A486="",'实盘净值数据(iFinD）'!$B486=""),"",分期持仓明细!$AB$18*SUMPRODUCT(分期持仓明细!$B$18:$Y$18,'实盘净值数据(iFinD）'!$B486:$Y486/'实盘净值数据(iFinD）'!$B$20:$Y$20)*(1-实盘持仓初始配置!$Z$5)^(('实盘净值数据(iFinD）'!$A486-'实盘净值数据(iFinD）'!$A$5)/365))</f>
        <v/>
      </c>
      <c r="F486" s="16" t="str">
        <f t="shared" si="43"/>
        <v/>
      </c>
      <c r="G486" s="16" t="str">
        <f>IF(E486="","",E486/MAX(E$5:E486)-1)</f>
        <v/>
      </c>
      <c r="H486" s="13" t="str">
        <f>IF(OR('实盘净值数据(iFinD）'!$A486="",'实盘净值数据(iFinD）'!$B486=""),"",分期持仓明细!$AB$19*SUMPRODUCT(分期持仓明细!$B$19:$Y$19,'实盘净值数据(iFinD）'!$B486:$Y486/'实盘净值数据(iFinD）'!$B$20:$Y$20)*(1-实盘持仓初始配置!$Z$6)^(('实盘净值数据(iFinD）'!$A486-'实盘净值数据(iFinD）'!$A$7)/365))</f>
        <v/>
      </c>
      <c r="I486" s="16" t="str">
        <f t="shared" si="44"/>
        <v/>
      </c>
      <c r="J486" s="16" t="str">
        <f>IF(H486="","",H486/MAX(H$5:H486)-1)</f>
        <v/>
      </c>
      <c r="K486" s="13" t="str">
        <f>IF(OR('实盘净值数据(iFinD）'!$A486="",'实盘净值数据(iFinD）'!$B486="",'实盘净值数据(iFinD）'!$Z486="",'实盘净值数据(iFinD）'!$AA486=""),"",分期持仓明细!$AB$23*(SUMPRODUCT(分期持仓明细!$B$23:$Y$23,'实盘净值数据(iFinD）'!$B486:$Y486/'实盘净值数据(iFinD）'!$B$65:$Y$65)+SUMPRODUCT(分期持仓明细!$AC$23:$AD$23,'实盘净值数据(iFinD）'!$Z486:$AA486/'实盘净值数据(iFinD）'!$Z$65:$AA$65))*(1-实盘持仓初始配置!$Z$7)^(('实盘净值数据(iFinD）'!$A486-'实盘净值数据(iFinD）'!$A$8)/365))</f>
        <v/>
      </c>
      <c r="L486" s="16" t="str">
        <f t="shared" si="45"/>
        <v/>
      </c>
      <c r="M486" s="16" t="str">
        <f>IF(K486="","",K486/MAX(K$5:K486)-1)</f>
        <v/>
      </c>
      <c r="N486" s="13" t="str">
        <f>IF(OR('实盘净值数据(iFinD）'!$A486="",'实盘净值数据(iFinD）'!$B486="",'实盘净值数据(iFinD）'!$Z486="",'实盘净值数据(iFinD）'!$AA486=""),"",分期持仓明细!$AB$24*(SUMPRODUCT(分期持仓明细!$B$24:$Y$24,'实盘净值数据(iFinD）'!$B486:$Y486/'实盘净值数据(iFinD）'!$B$65:$Y$65)+SUMPRODUCT(分期持仓明细!$AC$24:$AD$24,'实盘净值数据(iFinD）'!$Z486:$AA486/'实盘净值数据(iFinD）'!$Z$65:$AA$65))*(1-实盘持仓初始配置!$Z$8)^(('实盘净值数据(iFinD）'!$A486-'实盘净值数据(iFinD）'!$A$5)/365))</f>
        <v/>
      </c>
      <c r="O486" s="16" t="str">
        <f t="shared" si="46"/>
        <v/>
      </c>
      <c r="P486" s="16" t="str">
        <f>IF(N486="","",N486/MAX(N$5:N486)-1)</f>
        <v/>
      </c>
      <c r="Q486" s="13" t="str">
        <f>IF(OR('实盘净值数据(iFinD）'!$A486="",'实盘净值数据(iFinD）'!$B486="",'实盘净值数据(iFinD）'!$Z486="",'实盘净值数据(iFinD）'!$AA486=""),"",分期持仓明细!$AB$25*(SUMPRODUCT(分期持仓明细!$B$25:$Y$25,'实盘净值数据(iFinD）'!$B486:$Y486/'实盘净值数据(iFinD）'!$B$65:$Y$65)+SUMPRODUCT(分期持仓明细!$AC$25:$AD$25,'实盘净值数据(iFinD）'!$Z486:$AA486/'实盘净值数据(iFinD）'!$Z$65:$AA$65))*(1-实盘持仓初始配置!$Z$9)^(('实盘净值数据(iFinD）'!$A486-'实盘净值数据(iFinD）'!$A$8)/365))</f>
        <v/>
      </c>
      <c r="R486" s="16" t="str">
        <f t="shared" si="47"/>
        <v/>
      </c>
      <c r="S486" s="16" t="str">
        <f>IF(Q486="","",Q486/MAX(Q$5:Q486)-1)</f>
        <v/>
      </c>
    </row>
    <row r="487" spans="1:19">
      <c r="A487" s="15" t="str">
        <f>IF('实盘净值数据(iFinD）'!A487="","",'实盘净值数据(iFinD）'!A487)</f>
        <v/>
      </c>
      <c r="B487" s="13" t="str">
        <f>IF(OR('实盘净值数据(iFinD）'!$A487="",'实盘净值数据(iFinD）'!$B487=""),"",分期持仓明细!$AB$17*SUMPRODUCT(分期持仓明细!$B$17:$Y$17,'实盘净值数据(iFinD）'!$B487:$Y487/'实盘净值数据(iFinD）'!$B$20:$Y$20)*(1-实盘持仓初始配置!$Z$4)^(('实盘净值数据(iFinD）'!$A487-'实盘净值数据(iFinD）'!$A$6)/365))</f>
        <v/>
      </c>
      <c r="C487" s="16" t="str">
        <f t="shared" si="42"/>
        <v/>
      </c>
      <c r="D487" s="16" t="str">
        <f>IF(B487="","",B487/MAX(B$5:B487)-1)</f>
        <v/>
      </c>
      <c r="E487" s="13" t="str">
        <f>IF(OR('实盘净值数据(iFinD）'!$A487="",'实盘净值数据(iFinD）'!$B487=""),"",分期持仓明细!$AB$18*SUMPRODUCT(分期持仓明细!$B$18:$Y$18,'实盘净值数据(iFinD）'!$B487:$Y487/'实盘净值数据(iFinD）'!$B$20:$Y$20)*(1-实盘持仓初始配置!$Z$5)^(('实盘净值数据(iFinD）'!$A487-'实盘净值数据(iFinD）'!$A$5)/365))</f>
        <v/>
      </c>
      <c r="F487" s="16" t="str">
        <f t="shared" si="43"/>
        <v/>
      </c>
      <c r="G487" s="16" t="str">
        <f>IF(E487="","",E487/MAX(E$5:E487)-1)</f>
        <v/>
      </c>
      <c r="H487" s="13" t="str">
        <f>IF(OR('实盘净值数据(iFinD）'!$A487="",'实盘净值数据(iFinD）'!$B487=""),"",分期持仓明细!$AB$19*SUMPRODUCT(分期持仓明细!$B$19:$Y$19,'实盘净值数据(iFinD）'!$B487:$Y487/'实盘净值数据(iFinD）'!$B$20:$Y$20)*(1-实盘持仓初始配置!$Z$6)^(('实盘净值数据(iFinD）'!$A487-'实盘净值数据(iFinD）'!$A$7)/365))</f>
        <v/>
      </c>
      <c r="I487" s="16" t="str">
        <f t="shared" si="44"/>
        <v/>
      </c>
      <c r="J487" s="16" t="str">
        <f>IF(H487="","",H487/MAX(H$5:H487)-1)</f>
        <v/>
      </c>
      <c r="K487" s="13" t="str">
        <f>IF(OR('实盘净值数据(iFinD）'!$A487="",'实盘净值数据(iFinD）'!$B487="",'实盘净值数据(iFinD）'!$Z487="",'实盘净值数据(iFinD）'!$AA487=""),"",分期持仓明细!$AB$23*(SUMPRODUCT(分期持仓明细!$B$23:$Y$23,'实盘净值数据(iFinD）'!$B487:$Y487/'实盘净值数据(iFinD）'!$B$65:$Y$65)+SUMPRODUCT(分期持仓明细!$AC$23:$AD$23,'实盘净值数据(iFinD）'!$Z487:$AA487/'实盘净值数据(iFinD）'!$Z$65:$AA$65))*(1-实盘持仓初始配置!$Z$7)^(('实盘净值数据(iFinD）'!$A487-'实盘净值数据(iFinD）'!$A$8)/365))</f>
        <v/>
      </c>
      <c r="L487" s="16" t="str">
        <f t="shared" si="45"/>
        <v/>
      </c>
      <c r="M487" s="16" t="str">
        <f>IF(K487="","",K487/MAX(K$5:K487)-1)</f>
        <v/>
      </c>
      <c r="N487" s="13" t="str">
        <f>IF(OR('实盘净值数据(iFinD）'!$A487="",'实盘净值数据(iFinD）'!$B487="",'实盘净值数据(iFinD）'!$Z487="",'实盘净值数据(iFinD）'!$AA487=""),"",分期持仓明细!$AB$24*(SUMPRODUCT(分期持仓明细!$B$24:$Y$24,'实盘净值数据(iFinD）'!$B487:$Y487/'实盘净值数据(iFinD）'!$B$65:$Y$65)+SUMPRODUCT(分期持仓明细!$AC$24:$AD$24,'实盘净值数据(iFinD）'!$Z487:$AA487/'实盘净值数据(iFinD）'!$Z$65:$AA$65))*(1-实盘持仓初始配置!$Z$8)^(('实盘净值数据(iFinD）'!$A487-'实盘净值数据(iFinD）'!$A$5)/365))</f>
        <v/>
      </c>
      <c r="O487" s="16" t="str">
        <f t="shared" si="46"/>
        <v/>
      </c>
      <c r="P487" s="16" t="str">
        <f>IF(N487="","",N487/MAX(N$5:N487)-1)</f>
        <v/>
      </c>
      <c r="Q487" s="13" t="str">
        <f>IF(OR('实盘净值数据(iFinD）'!$A487="",'实盘净值数据(iFinD）'!$B487="",'实盘净值数据(iFinD）'!$Z487="",'实盘净值数据(iFinD）'!$AA487=""),"",分期持仓明细!$AB$25*(SUMPRODUCT(分期持仓明细!$B$25:$Y$25,'实盘净值数据(iFinD）'!$B487:$Y487/'实盘净值数据(iFinD）'!$B$65:$Y$65)+SUMPRODUCT(分期持仓明细!$AC$25:$AD$25,'实盘净值数据(iFinD）'!$Z487:$AA487/'实盘净值数据(iFinD）'!$Z$65:$AA$65))*(1-实盘持仓初始配置!$Z$9)^(('实盘净值数据(iFinD）'!$A487-'实盘净值数据(iFinD）'!$A$8)/365))</f>
        <v/>
      </c>
      <c r="R487" s="16" t="str">
        <f t="shared" si="47"/>
        <v/>
      </c>
      <c r="S487" s="16" t="str">
        <f>IF(Q487="","",Q487/MAX(Q$5:Q487)-1)</f>
        <v/>
      </c>
    </row>
    <row r="488" spans="1:19">
      <c r="A488" s="15" t="str">
        <f>IF('实盘净值数据(iFinD）'!A488="","",'实盘净值数据(iFinD）'!A488)</f>
        <v/>
      </c>
      <c r="B488" s="13" t="str">
        <f>IF(OR('实盘净值数据(iFinD）'!$A488="",'实盘净值数据(iFinD）'!$B488=""),"",分期持仓明细!$AB$17*SUMPRODUCT(分期持仓明细!$B$17:$Y$17,'实盘净值数据(iFinD）'!$B488:$Y488/'实盘净值数据(iFinD）'!$B$20:$Y$20)*(1-实盘持仓初始配置!$Z$4)^(('实盘净值数据(iFinD）'!$A488-'实盘净值数据(iFinD）'!$A$6)/365))</f>
        <v/>
      </c>
      <c r="C488" s="16" t="str">
        <f t="shared" si="42"/>
        <v/>
      </c>
      <c r="D488" s="16" t="str">
        <f>IF(B488="","",B488/MAX(B$5:B488)-1)</f>
        <v/>
      </c>
      <c r="E488" s="13" t="str">
        <f>IF(OR('实盘净值数据(iFinD）'!$A488="",'实盘净值数据(iFinD）'!$B488=""),"",分期持仓明细!$AB$18*SUMPRODUCT(分期持仓明细!$B$18:$Y$18,'实盘净值数据(iFinD）'!$B488:$Y488/'实盘净值数据(iFinD）'!$B$20:$Y$20)*(1-实盘持仓初始配置!$Z$5)^(('实盘净值数据(iFinD）'!$A488-'实盘净值数据(iFinD）'!$A$5)/365))</f>
        <v/>
      </c>
      <c r="F488" s="16" t="str">
        <f t="shared" si="43"/>
        <v/>
      </c>
      <c r="G488" s="16" t="str">
        <f>IF(E488="","",E488/MAX(E$5:E488)-1)</f>
        <v/>
      </c>
      <c r="H488" s="13" t="str">
        <f>IF(OR('实盘净值数据(iFinD）'!$A488="",'实盘净值数据(iFinD）'!$B488=""),"",分期持仓明细!$AB$19*SUMPRODUCT(分期持仓明细!$B$19:$Y$19,'实盘净值数据(iFinD）'!$B488:$Y488/'实盘净值数据(iFinD）'!$B$20:$Y$20)*(1-实盘持仓初始配置!$Z$6)^(('实盘净值数据(iFinD）'!$A488-'实盘净值数据(iFinD）'!$A$7)/365))</f>
        <v/>
      </c>
      <c r="I488" s="16" t="str">
        <f t="shared" si="44"/>
        <v/>
      </c>
      <c r="J488" s="16" t="str">
        <f>IF(H488="","",H488/MAX(H$5:H488)-1)</f>
        <v/>
      </c>
      <c r="K488" s="13" t="str">
        <f>IF(OR('实盘净值数据(iFinD）'!$A488="",'实盘净值数据(iFinD）'!$B488="",'实盘净值数据(iFinD）'!$Z488="",'实盘净值数据(iFinD）'!$AA488=""),"",分期持仓明细!$AB$23*(SUMPRODUCT(分期持仓明细!$B$23:$Y$23,'实盘净值数据(iFinD）'!$B488:$Y488/'实盘净值数据(iFinD）'!$B$65:$Y$65)+SUMPRODUCT(分期持仓明细!$AC$23:$AD$23,'实盘净值数据(iFinD）'!$Z488:$AA488/'实盘净值数据(iFinD）'!$Z$65:$AA$65))*(1-实盘持仓初始配置!$Z$7)^(('实盘净值数据(iFinD）'!$A488-'实盘净值数据(iFinD）'!$A$8)/365))</f>
        <v/>
      </c>
      <c r="L488" s="16" t="str">
        <f t="shared" si="45"/>
        <v/>
      </c>
      <c r="M488" s="16" t="str">
        <f>IF(K488="","",K488/MAX(K$5:K488)-1)</f>
        <v/>
      </c>
      <c r="N488" s="13" t="str">
        <f>IF(OR('实盘净值数据(iFinD）'!$A488="",'实盘净值数据(iFinD）'!$B488="",'实盘净值数据(iFinD）'!$Z488="",'实盘净值数据(iFinD）'!$AA488=""),"",分期持仓明细!$AB$24*(SUMPRODUCT(分期持仓明细!$B$24:$Y$24,'实盘净值数据(iFinD）'!$B488:$Y488/'实盘净值数据(iFinD）'!$B$65:$Y$65)+SUMPRODUCT(分期持仓明细!$AC$24:$AD$24,'实盘净值数据(iFinD）'!$Z488:$AA488/'实盘净值数据(iFinD）'!$Z$65:$AA$65))*(1-实盘持仓初始配置!$Z$8)^(('实盘净值数据(iFinD）'!$A488-'实盘净值数据(iFinD）'!$A$5)/365))</f>
        <v/>
      </c>
      <c r="O488" s="16" t="str">
        <f t="shared" si="46"/>
        <v/>
      </c>
      <c r="P488" s="16" t="str">
        <f>IF(N488="","",N488/MAX(N$5:N488)-1)</f>
        <v/>
      </c>
      <c r="Q488" s="13" t="str">
        <f>IF(OR('实盘净值数据(iFinD）'!$A488="",'实盘净值数据(iFinD）'!$B488="",'实盘净值数据(iFinD）'!$Z488="",'实盘净值数据(iFinD）'!$AA488=""),"",分期持仓明细!$AB$25*(SUMPRODUCT(分期持仓明细!$B$25:$Y$25,'实盘净值数据(iFinD）'!$B488:$Y488/'实盘净值数据(iFinD）'!$B$65:$Y$65)+SUMPRODUCT(分期持仓明细!$AC$25:$AD$25,'实盘净值数据(iFinD）'!$Z488:$AA488/'实盘净值数据(iFinD）'!$Z$65:$AA$65))*(1-实盘持仓初始配置!$Z$9)^(('实盘净值数据(iFinD）'!$A488-'实盘净值数据(iFinD）'!$A$8)/365))</f>
        <v/>
      </c>
      <c r="R488" s="16" t="str">
        <f t="shared" si="47"/>
        <v/>
      </c>
      <c r="S488" s="16" t="str">
        <f>IF(Q488="","",Q488/MAX(Q$5:Q488)-1)</f>
        <v/>
      </c>
    </row>
    <row r="489" spans="1:19">
      <c r="A489" s="15" t="str">
        <f>IF('实盘净值数据(iFinD）'!A489="","",'实盘净值数据(iFinD）'!A489)</f>
        <v/>
      </c>
      <c r="B489" s="13" t="str">
        <f>IF(OR('实盘净值数据(iFinD）'!$A489="",'实盘净值数据(iFinD）'!$B489=""),"",分期持仓明细!$AB$17*SUMPRODUCT(分期持仓明细!$B$17:$Y$17,'实盘净值数据(iFinD）'!$B489:$Y489/'实盘净值数据(iFinD）'!$B$20:$Y$20)*(1-实盘持仓初始配置!$Z$4)^(('实盘净值数据(iFinD）'!$A489-'实盘净值数据(iFinD）'!$A$6)/365))</f>
        <v/>
      </c>
      <c r="C489" s="16" t="str">
        <f t="shared" si="42"/>
        <v/>
      </c>
      <c r="D489" s="16" t="str">
        <f>IF(B489="","",B489/MAX(B$5:B489)-1)</f>
        <v/>
      </c>
      <c r="E489" s="13" t="str">
        <f>IF(OR('实盘净值数据(iFinD）'!$A489="",'实盘净值数据(iFinD）'!$B489=""),"",分期持仓明细!$AB$18*SUMPRODUCT(分期持仓明细!$B$18:$Y$18,'实盘净值数据(iFinD）'!$B489:$Y489/'实盘净值数据(iFinD）'!$B$20:$Y$20)*(1-实盘持仓初始配置!$Z$5)^(('实盘净值数据(iFinD）'!$A489-'实盘净值数据(iFinD）'!$A$5)/365))</f>
        <v/>
      </c>
      <c r="F489" s="16" t="str">
        <f t="shared" si="43"/>
        <v/>
      </c>
      <c r="G489" s="16" t="str">
        <f>IF(E489="","",E489/MAX(E$5:E489)-1)</f>
        <v/>
      </c>
      <c r="H489" s="13" t="str">
        <f>IF(OR('实盘净值数据(iFinD）'!$A489="",'实盘净值数据(iFinD）'!$B489=""),"",分期持仓明细!$AB$19*SUMPRODUCT(分期持仓明细!$B$19:$Y$19,'实盘净值数据(iFinD）'!$B489:$Y489/'实盘净值数据(iFinD）'!$B$20:$Y$20)*(1-实盘持仓初始配置!$Z$6)^(('实盘净值数据(iFinD）'!$A489-'实盘净值数据(iFinD）'!$A$7)/365))</f>
        <v/>
      </c>
      <c r="I489" s="16" t="str">
        <f t="shared" si="44"/>
        <v/>
      </c>
      <c r="J489" s="16" t="str">
        <f>IF(H489="","",H489/MAX(H$5:H489)-1)</f>
        <v/>
      </c>
      <c r="K489" s="13" t="str">
        <f>IF(OR('实盘净值数据(iFinD）'!$A489="",'实盘净值数据(iFinD）'!$B489="",'实盘净值数据(iFinD）'!$Z489="",'实盘净值数据(iFinD）'!$AA489=""),"",分期持仓明细!$AB$23*(SUMPRODUCT(分期持仓明细!$B$23:$Y$23,'实盘净值数据(iFinD）'!$B489:$Y489/'实盘净值数据(iFinD）'!$B$65:$Y$65)+SUMPRODUCT(分期持仓明细!$AC$23:$AD$23,'实盘净值数据(iFinD）'!$Z489:$AA489/'实盘净值数据(iFinD）'!$Z$65:$AA$65))*(1-实盘持仓初始配置!$Z$7)^(('实盘净值数据(iFinD）'!$A489-'实盘净值数据(iFinD）'!$A$8)/365))</f>
        <v/>
      </c>
      <c r="L489" s="16" t="str">
        <f t="shared" si="45"/>
        <v/>
      </c>
      <c r="M489" s="16" t="str">
        <f>IF(K489="","",K489/MAX(K$5:K489)-1)</f>
        <v/>
      </c>
      <c r="N489" s="13" t="str">
        <f>IF(OR('实盘净值数据(iFinD）'!$A489="",'实盘净值数据(iFinD）'!$B489="",'实盘净值数据(iFinD）'!$Z489="",'实盘净值数据(iFinD）'!$AA489=""),"",分期持仓明细!$AB$24*(SUMPRODUCT(分期持仓明细!$B$24:$Y$24,'实盘净值数据(iFinD）'!$B489:$Y489/'实盘净值数据(iFinD）'!$B$65:$Y$65)+SUMPRODUCT(分期持仓明细!$AC$24:$AD$24,'实盘净值数据(iFinD）'!$Z489:$AA489/'实盘净值数据(iFinD）'!$Z$65:$AA$65))*(1-实盘持仓初始配置!$Z$8)^(('实盘净值数据(iFinD）'!$A489-'实盘净值数据(iFinD）'!$A$5)/365))</f>
        <v/>
      </c>
      <c r="O489" s="16" t="str">
        <f t="shared" si="46"/>
        <v/>
      </c>
      <c r="P489" s="16" t="str">
        <f>IF(N489="","",N489/MAX(N$5:N489)-1)</f>
        <v/>
      </c>
      <c r="Q489" s="13" t="str">
        <f>IF(OR('实盘净值数据(iFinD）'!$A489="",'实盘净值数据(iFinD）'!$B489="",'实盘净值数据(iFinD）'!$Z489="",'实盘净值数据(iFinD）'!$AA489=""),"",分期持仓明细!$AB$25*(SUMPRODUCT(分期持仓明细!$B$25:$Y$25,'实盘净值数据(iFinD）'!$B489:$Y489/'实盘净值数据(iFinD）'!$B$65:$Y$65)+SUMPRODUCT(分期持仓明细!$AC$25:$AD$25,'实盘净值数据(iFinD）'!$Z489:$AA489/'实盘净值数据(iFinD）'!$Z$65:$AA$65))*(1-实盘持仓初始配置!$Z$9)^(('实盘净值数据(iFinD）'!$A489-'实盘净值数据(iFinD）'!$A$8)/365))</f>
        <v/>
      </c>
      <c r="R489" s="16" t="str">
        <f t="shared" si="47"/>
        <v/>
      </c>
      <c r="S489" s="16" t="str">
        <f>IF(Q489="","",Q489/MAX(Q$5:Q489)-1)</f>
        <v/>
      </c>
    </row>
    <row r="490" spans="1:19">
      <c r="A490" s="15" t="str">
        <f>IF('实盘净值数据(iFinD）'!A490="","",'实盘净值数据(iFinD）'!A490)</f>
        <v/>
      </c>
      <c r="B490" s="13" t="str">
        <f>IF(OR('实盘净值数据(iFinD）'!$A490="",'实盘净值数据(iFinD）'!$B490=""),"",分期持仓明细!$AB$17*SUMPRODUCT(分期持仓明细!$B$17:$Y$17,'实盘净值数据(iFinD）'!$B490:$Y490/'实盘净值数据(iFinD）'!$B$20:$Y$20)*(1-实盘持仓初始配置!$Z$4)^(('实盘净值数据(iFinD）'!$A490-'实盘净值数据(iFinD）'!$A$6)/365))</f>
        <v/>
      </c>
      <c r="C490" s="16" t="str">
        <f t="shared" si="42"/>
        <v/>
      </c>
      <c r="D490" s="16" t="str">
        <f>IF(B490="","",B490/MAX(B$5:B490)-1)</f>
        <v/>
      </c>
      <c r="E490" s="13" t="str">
        <f>IF(OR('实盘净值数据(iFinD）'!$A490="",'实盘净值数据(iFinD）'!$B490=""),"",分期持仓明细!$AB$18*SUMPRODUCT(分期持仓明细!$B$18:$Y$18,'实盘净值数据(iFinD）'!$B490:$Y490/'实盘净值数据(iFinD）'!$B$20:$Y$20)*(1-实盘持仓初始配置!$Z$5)^(('实盘净值数据(iFinD）'!$A490-'实盘净值数据(iFinD）'!$A$5)/365))</f>
        <v/>
      </c>
      <c r="F490" s="16" t="str">
        <f t="shared" si="43"/>
        <v/>
      </c>
      <c r="G490" s="16" t="str">
        <f>IF(E490="","",E490/MAX(E$5:E490)-1)</f>
        <v/>
      </c>
      <c r="H490" s="13" t="str">
        <f>IF(OR('实盘净值数据(iFinD）'!$A490="",'实盘净值数据(iFinD）'!$B490=""),"",分期持仓明细!$AB$19*SUMPRODUCT(分期持仓明细!$B$19:$Y$19,'实盘净值数据(iFinD）'!$B490:$Y490/'实盘净值数据(iFinD）'!$B$20:$Y$20)*(1-实盘持仓初始配置!$Z$6)^(('实盘净值数据(iFinD）'!$A490-'实盘净值数据(iFinD）'!$A$7)/365))</f>
        <v/>
      </c>
      <c r="I490" s="16" t="str">
        <f t="shared" si="44"/>
        <v/>
      </c>
      <c r="J490" s="16" t="str">
        <f>IF(H490="","",H490/MAX(H$5:H490)-1)</f>
        <v/>
      </c>
      <c r="K490" s="13" t="str">
        <f>IF(OR('实盘净值数据(iFinD）'!$A490="",'实盘净值数据(iFinD）'!$B490="",'实盘净值数据(iFinD）'!$Z490="",'实盘净值数据(iFinD）'!$AA490=""),"",分期持仓明细!$AB$23*(SUMPRODUCT(分期持仓明细!$B$23:$Y$23,'实盘净值数据(iFinD）'!$B490:$Y490/'实盘净值数据(iFinD）'!$B$65:$Y$65)+SUMPRODUCT(分期持仓明细!$AC$23:$AD$23,'实盘净值数据(iFinD）'!$Z490:$AA490/'实盘净值数据(iFinD）'!$Z$65:$AA$65))*(1-实盘持仓初始配置!$Z$7)^(('实盘净值数据(iFinD）'!$A490-'实盘净值数据(iFinD）'!$A$8)/365))</f>
        <v/>
      </c>
      <c r="L490" s="16" t="str">
        <f t="shared" si="45"/>
        <v/>
      </c>
      <c r="M490" s="16" t="str">
        <f>IF(K490="","",K490/MAX(K$5:K490)-1)</f>
        <v/>
      </c>
      <c r="N490" s="13" t="str">
        <f>IF(OR('实盘净值数据(iFinD）'!$A490="",'实盘净值数据(iFinD）'!$B490="",'实盘净值数据(iFinD）'!$Z490="",'实盘净值数据(iFinD）'!$AA490=""),"",分期持仓明细!$AB$24*(SUMPRODUCT(分期持仓明细!$B$24:$Y$24,'实盘净值数据(iFinD）'!$B490:$Y490/'实盘净值数据(iFinD）'!$B$65:$Y$65)+SUMPRODUCT(分期持仓明细!$AC$24:$AD$24,'实盘净值数据(iFinD）'!$Z490:$AA490/'实盘净值数据(iFinD）'!$Z$65:$AA$65))*(1-实盘持仓初始配置!$Z$8)^(('实盘净值数据(iFinD）'!$A490-'实盘净值数据(iFinD）'!$A$5)/365))</f>
        <v/>
      </c>
      <c r="O490" s="16" t="str">
        <f t="shared" si="46"/>
        <v/>
      </c>
      <c r="P490" s="16" t="str">
        <f>IF(N490="","",N490/MAX(N$5:N490)-1)</f>
        <v/>
      </c>
      <c r="Q490" s="13" t="str">
        <f>IF(OR('实盘净值数据(iFinD）'!$A490="",'实盘净值数据(iFinD）'!$B490="",'实盘净值数据(iFinD）'!$Z490="",'实盘净值数据(iFinD）'!$AA490=""),"",分期持仓明细!$AB$25*(SUMPRODUCT(分期持仓明细!$B$25:$Y$25,'实盘净值数据(iFinD）'!$B490:$Y490/'实盘净值数据(iFinD）'!$B$65:$Y$65)+SUMPRODUCT(分期持仓明细!$AC$25:$AD$25,'实盘净值数据(iFinD）'!$Z490:$AA490/'实盘净值数据(iFinD）'!$Z$65:$AA$65))*(1-实盘持仓初始配置!$Z$9)^(('实盘净值数据(iFinD）'!$A490-'实盘净值数据(iFinD）'!$A$8)/365))</f>
        <v/>
      </c>
      <c r="R490" s="16" t="str">
        <f t="shared" si="47"/>
        <v/>
      </c>
      <c r="S490" s="16" t="str">
        <f>IF(Q490="","",Q490/MAX(Q$5:Q490)-1)</f>
        <v/>
      </c>
    </row>
    <row r="491" spans="1:19">
      <c r="A491" s="15" t="str">
        <f>IF('实盘净值数据(iFinD）'!A491="","",'实盘净值数据(iFinD）'!A491)</f>
        <v/>
      </c>
      <c r="B491" s="13" t="str">
        <f>IF(OR('实盘净值数据(iFinD）'!$A491="",'实盘净值数据(iFinD）'!$B491=""),"",分期持仓明细!$AB$17*SUMPRODUCT(分期持仓明细!$B$17:$Y$17,'实盘净值数据(iFinD）'!$B491:$Y491/'实盘净值数据(iFinD）'!$B$20:$Y$20)*(1-实盘持仓初始配置!$Z$4)^(('实盘净值数据(iFinD）'!$A491-'实盘净值数据(iFinD）'!$A$6)/365))</f>
        <v/>
      </c>
      <c r="C491" s="16" t="str">
        <f t="shared" si="42"/>
        <v/>
      </c>
      <c r="D491" s="16" t="str">
        <f>IF(B491="","",B491/MAX(B$5:B491)-1)</f>
        <v/>
      </c>
      <c r="E491" s="13" t="str">
        <f>IF(OR('实盘净值数据(iFinD）'!$A491="",'实盘净值数据(iFinD）'!$B491=""),"",分期持仓明细!$AB$18*SUMPRODUCT(分期持仓明细!$B$18:$Y$18,'实盘净值数据(iFinD）'!$B491:$Y491/'实盘净值数据(iFinD）'!$B$20:$Y$20)*(1-实盘持仓初始配置!$Z$5)^(('实盘净值数据(iFinD）'!$A491-'实盘净值数据(iFinD）'!$A$5)/365))</f>
        <v/>
      </c>
      <c r="F491" s="16" t="str">
        <f t="shared" si="43"/>
        <v/>
      </c>
      <c r="G491" s="16" t="str">
        <f>IF(E491="","",E491/MAX(E$5:E491)-1)</f>
        <v/>
      </c>
      <c r="H491" s="13" t="str">
        <f>IF(OR('实盘净值数据(iFinD）'!$A491="",'实盘净值数据(iFinD）'!$B491=""),"",分期持仓明细!$AB$19*SUMPRODUCT(分期持仓明细!$B$19:$Y$19,'实盘净值数据(iFinD）'!$B491:$Y491/'实盘净值数据(iFinD）'!$B$20:$Y$20)*(1-实盘持仓初始配置!$Z$6)^(('实盘净值数据(iFinD）'!$A491-'实盘净值数据(iFinD）'!$A$7)/365))</f>
        <v/>
      </c>
      <c r="I491" s="16" t="str">
        <f t="shared" si="44"/>
        <v/>
      </c>
      <c r="J491" s="16" t="str">
        <f>IF(H491="","",H491/MAX(H$5:H491)-1)</f>
        <v/>
      </c>
      <c r="K491" s="13" t="str">
        <f>IF(OR('实盘净值数据(iFinD）'!$A491="",'实盘净值数据(iFinD）'!$B491="",'实盘净值数据(iFinD）'!$Z491="",'实盘净值数据(iFinD）'!$AA491=""),"",分期持仓明细!$AB$23*(SUMPRODUCT(分期持仓明细!$B$23:$Y$23,'实盘净值数据(iFinD）'!$B491:$Y491/'实盘净值数据(iFinD）'!$B$65:$Y$65)+SUMPRODUCT(分期持仓明细!$AC$23:$AD$23,'实盘净值数据(iFinD）'!$Z491:$AA491/'实盘净值数据(iFinD）'!$Z$65:$AA$65))*(1-实盘持仓初始配置!$Z$7)^(('实盘净值数据(iFinD）'!$A491-'实盘净值数据(iFinD）'!$A$8)/365))</f>
        <v/>
      </c>
      <c r="L491" s="16" t="str">
        <f t="shared" si="45"/>
        <v/>
      </c>
      <c r="M491" s="16" t="str">
        <f>IF(K491="","",K491/MAX(K$5:K491)-1)</f>
        <v/>
      </c>
      <c r="N491" s="13" t="str">
        <f>IF(OR('实盘净值数据(iFinD）'!$A491="",'实盘净值数据(iFinD）'!$B491="",'实盘净值数据(iFinD）'!$Z491="",'实盘净值数据(iFinD）'!$AA491=""),"",分期持仓明细!$AB$24*(SUMPRODUCT(分期持仓明细!$B$24:$Y$24,'实盘净值数据(iFinD）'!$B491:$Y491/'实盘净值数据(iFinD）'!$B$65:$Y$65)+SUMPRODUCT(分期持仓明细!$AC$24:$AD$24,'实盘净值数据(iFinD）'!$Z491:$AA491/'实盘净值数据(iFinD）'!$Z$65:$AA$65))*(1-实盘持仓初始配置!$Z$8)^(('实盘净值数据(iFinD）'!$A491-'实盘净值数据(iFinD）'!$A$5)/365))</f>
        <v/>
      </c>
      <c r="O491" s="16" t="str">
        <f t="shared" si="46"/>
        <v/>
      </c>
      <c r="P491" s="16" t="str">
        <f>IF(N491="","",N491/MAX(N$5:N491)-1)</f>
        <v/>
      </c>
      <c r="Q491" s="13" t="str">
        <f>IF(OR('实盘净值数据(iFinD）'!$A491="",'实盘净值数据(iFinD）'!$B491="",'实盘净值数据(iFinD）'!$Z491="",'实盘净值数据(iFinD）'!$AA491=""),"",分期持仓明细!$AB$25*(SUMPRODUCT(分期持仓明细!$B$25:$Y$25,'实盘净值数据(iFinD）'!$B491:$Y491/'实盘净值数据(iFinD）'!$B$65:$Y$65)+SUMPRODUCT(分期持仓明细!$AC$25:$AD$25,'实盘净值数据(iFinD）'!$Z491:$AA491/'实盘净值数据(iFinD）'!$Z$65:$AA$65))*(1-实盘持仓初始配置!$Z$9)^(('实盘净值数据(iFinD）'!$A491-'实盘净值数据(iFinD）'!$A$8)/365))</f>
        <v/>
      </c>
      <c r="R491" s="16" t="str">
        <f t="shared" si="47"/>
        <v/>
      </c>
      <c r="S491" s="16" t="str">
        <f>IF(Q491="","",Q491/MAX(Q$5:Q491)-1)</f>
        <v/>
      </c>
    </row>
    <row r="492" spans="1:19">
      <c r="A492" s="15" t="str">
        <f>IF('实盘净值数据(iFinD）'!A492="","",'实盘净值数据(iFinD）'!A492)</f>
        <v/>
      </c>
      <c r="B492" s="13" t="str">
        <f>IF(OR('实盘净值数据(iFinD）'!$A492="",'实盘净值数据(iFinD）'!$B492=""),"",分期持仓明细!$AB$17*SUMPRODUCT(分期持仓明细!$B$17:$Y$17,'实盘净值数据(iFinD）'!$B492:$Y492/'实盘净值数据(iFinD）'!$B$20:$Y$20)*(1-实盘持仓初始配置!$Z$4)^(('实盘净值数据(iFinD）'!$A492-'实盘净值数据(iFinD）'!$A$6)/365))</f>
        <v/>
      </c>
      <c r="C492" s="16" t="str">
        <f t="shared" si="42"/>
        <v/>
      </c>
      <c r="D492" s="16" t="str">
        <f>IF(B492="","",B492/MAX(B$5:B492)-1)</f>
        <v/>
      </c>
      <c r="E492" s="13" t="str">
        <f>IF(OR('实盘净值数据(iFinD）'!$A492="",'实盘净值数据(iFinD）'!$B492=""),"",分期持仓明细!$AB$18*SUMPRODUCT(分期持仓明细!$B$18:$Y$18,'实盘净值数据(iFinD）'!$B492:$Y492/'实盘净值数据(iFinD）'!$B$20:$Y$20)*(1-实盘持仓初始配置!$Z$5)^(('实盘净值数据(iFinD）'!$A492-'实盘净值数据(iFinD）'!$A$5)/365))</f>
        <v/>
      </c>
      <c r="F492" s="16" t="str">
        <f t="shared" si="43"/>
        <v/>
      </c>
      <c r="G492" s="16" t="str">
        <f>IF(E492="","",E492/MAX(E$5:E492)-1)</f>
        <v/>
      </c>
      <c r="H492" s="13" t="str">
        <f>IF(OR('实盘净值数据(iFinD）'!$A492="",'实盘净值数据(iFinD）'!$B492=""),"",分期持仓明细!$AB$19*SUMPRODUCT(分期持仓明细!$B$19:$Y$19,'实盘净值数据(iFinD）'!$B492:$Y492/'实盘净值数据(iFinD）'!$B$20:$Y$20)*(1-实盘持仓初始配置!$Z$6)^(('实盘净值数据(iFinD）'!$A492-'实盘净值数据(iFinD）'!$A$7)/365))</f>
        <v/>
      </c>
      <c r="I492" s="16" t="str">
        <f t="shared" si="44"/>
        <v/>
      </c>
      <c r="J492" s="16" t="str">
        <f>IF(H492="","",H492/MAX(H$5:H492)-1)</f>
        <v/>
      </c>
      <c r="K492" s="13" t="str">
        <f>IF(OR('实盘净值数据(iFinD）'!$A492="",'实盘净值数据(iFinD）'!$B492="",'实盘净值数据(iFinD）'!$Z492="",'实盘净值数据(iFinD）'!$AA492=""),"",分期持仓明细!$AB$23*(SUMPRODUCT(分期持仓明细!$B$23:$Y$23,'实盘净值数据(iFinD）'!$B492:$Y492/'实盘净值数据(iFinD）'!$B$65:$Y$65)+SUMPRODUCT(分期持仓明细!$AC$23:$AD$23,'实盘净值数据(iFinD）'!$Z492:$AA492/'实盘净值数据(iFinD）'!$Z$65:$AA$65))*(1-实盘持仓初始配置!$Z$7)^(('实盘净值数据(iFinD）'!$A492-'实盘净值数据(iFinD）'!$A$8)/365))</f>
        <v/>
      </c>
      <c r="L492" s="16" t="str">
        <f t="shared" si="45"/>
        <v/>
      </c>
      <c r="M492" s="16" t="str">
        <f>IF(K492="","",K492/MAX(K$5:K492)-1)</f>
        <v/>
      </c>
      <c r="N492" s="13" t="str">
        <f>IF(OR('实盘净值数据(iFinD）'!$A492="",'实盘净值数据(iFinD）'!$B492="",'实盘净值数据(iFinD）'!$Z492="",'实盘净值数据(iFinD）'!$AA492=""),"",分期持仓明细!$AB$24*(SUMPRODUCT(分期持仓明细!$B$24:$Y$24,'实盘净值数据(iFinD）'!$B492:$Y492/'实盘净值数据(iFinD）'!$B$65:$Y$65)+SUMPRODUCT(分期持仓明细!$AC$24:$AD$24,'实盘净值数据(iFinD）'!$Z492:$AA492/'实盘净值数据(iFinD）'!$Z$65:$AA$65))*(1-实盘持仓初始配置!$Z$8)^(('实盘净值数据(iFinD）'!$A492-'实盘净值数据(iFinD）'!$A$5)/365))</f>
        <v/>
      </c>
      <c r="O492" s="16" t="str">
        <f t="shared" si="46"/>
        <v/>
      </c>
      <c r="P492" s="16" t="str">
        <f>IF(N492="","",N492/MAX(N$5:N492)-1)</f>
        <v/>
      </c>
      <c r="Q492" s="13" t="str">
        <f>IF(OR('实盘净值数据(iFinD）'!$A492="",'实盘净值数据(iFinD）'!$B492="",'实盘净值数据(iFinD）'!$Z492="",'实盘净值数据(iFinD）'!$AA492=""),"",分期持仓明细!$AB$25*(SUMPRODUCT(分期持仓明细!$B$25:$Y$25,'实盘净值数据(iFinD）'!$B492:$Y492/'实盘净值数据(iFinD）'!$B$65:$Y$65)+SUMPRODUCT(分期持仓明细!$AC$25:$AD$25,'实盘净值数据(iFinD）'!$Z492:$AA492/'实盘净值数据(iFinD）'!$Z$65:$AA$65))*(1-实盘持仓初始配置!$Z$9)^(('实盘净值数据(iFinD）'!$A492-'实盘净值数据(iFinD）'!$A$8)/365))</f>
        <v/>
      </c>
      <c r="R492" s="16" t="str">
        <f t="shared" si="47"/>
        <v/>
      </c>
      <c r="S492" s="16" t="str">
        <f>IF(Q492="","",Q492/MAX(Q$5:Q492)-1)</f>
        <v/>
      </c>
    </row>
    <row r="493" spans="1:19">
      <c r="A493" s="15" t="str">
        <f>IF('实盘净值数据(iFinD）'!A493="","",'实盘净值数据(iFinD）'!A493)</f>
        <v/>
      </c>
      <c r="B493" s="13" t="str">
        <f>IF(OR('实盘净值数据(iFinD）'!$A493="",'实盘净值数据(iFinD）'!$B493=""),"",分期持仓明细!$AB$17*SUMPRODUCT(分期持仓明细!$B$17:$Y$17,'实盘净值数据(iFinD）'!$B493:$Y493/'实盘净值数据(iFinD）'!$B$20:$Y$20)*(1-实盘持仓初始配置!$Z$4)^(('实盘净值数据(iFinD）'!$A493-'实盘净值数据(iFinD）'!$A$6)/365))</f>
        <v/>
      </c>
      <c r="C493" s="16" t="str">
        <f t="shared" si="42"/>
        <v/>
      </c>
      <c r="D493" s="16" t="str">
        <f>IF(B493="","",B493/MAX(B$5:B493)-1)</f>
        <v/>
      </c>
      <c r="E493" s="13" t="str">
        <f>IF(OR('实盘净值数据(iFinD）'!$A493="",'实盘净值数据(iFinD）'!$B493=""),"",分期持仓明细!$AB$18*SUMPRODUCT(分期持仓明细!$B$18:$Y$18,'实盘净值数据(iFinD）'!$B493:$Y493/'实盘净值数据(iFinD）'!$B$20:$Y$20)*(1-实盘持仓初始配置!$Z$5)^(('实盘净值数据(iFinD）'!$A493-'实盘净值数据(iFinD）'!$A$5)/365))</f>
        <v/>
      </c>
      <c r="F493" s="16" t="str">
        <f t="shared" si="43"/>
        <v/>
      </c>
      <c r="G493" s="16" t="str">
        <f>IF(E493="","",E493/MAX(E$5:E493)-1)</f>
        <v/>
      </c>
      <c r="H493" s="13" t="str">
        <f>IF(OR('实盘净值数据(iFinD）'!$A493="",'实盘净值数据(iFinD）'!$B493=""),"",分期持仓明细!$AB$19*SUMPRODUCT(分期持仓明细!$B$19:$Y$19,'实盘净值数据(iFinD）'!$B493:$Y493/'实盘净值数据(iFinD）'!$B$20:$Y$20)*(1-实盘持仓初始配置!$Z$6)^(('实盘净值数据(iFinD）'!$A493-'实盘净值数据(iFinD）'!$A$7)/365))</f>
        <v/>
      </c>
      <c r="I493" s="16" t="str">
        <f t="shared" si="44"/>
        <v/>
      </c>
      <c r="J493" s="16" t="str">
        <f>IF(H493="","",H493/MAX(H$5:H493)-1)</f>
        <v/>
      </c>
      <c r="K493" s="13" t="str">
        <f>IF(OR('实盘净值数据(iFinD）'!$A493="",'实盘净值数据(iFinD）'!$B493="",'实盘净值数据(iFinD）'!$Z493="",'实盘净值数据(iFinD）'!$AA493=""),"",分期持仓明细!$AB$23*(SUMPRODUCT(分期持仓明细!$B$23:$Y$23,'实盘净值数据(iFinD）'!$B493:$Y493/'实盘净值数据(iFinD）'!$B$65:$Y$65)+SUMPRODUCT(分期持仓明细!$AC$23:$AD$23,'实盘净值数据(iFinD）'!$Z493:$AA493/'实盘净值数据(iFinD）'!$Z$65:$AA$65))*(1-实盘持仓初始配置!$Z$7)^(('实盘净值数据(iFinD）'!$A493-'实盘净值数据(iFinD）'!$A$8)/365))</f>
        <v/>
      </c>
      <c r="L493" s="16" t="str">
        <f t="shared" si="45"/>
        <v/>
      </c>
      <c r="M493" s="16" t="str">
        <f>IF(K493="","",K493/MAX(K$5:K493)-1)</f>
        <v/>
      </c>
      <c r="N493" s="13" t="str">
        <f>IF(OR('实盘净值数据(iFinD）'!$A493="",'实盘净值数据(iFinD）'!$B493="",'实盘净值数据(iFinD）'!$Z493="",'实盘净值数据(iFinD）'!$AA493=""),"",分期持仓明细!$AB$24*(SUMPRODUCT(分期持仓明细!$B$24:$Y$24,'实盘净值数据(iFinD）'!$B493:$Y493/'实盘净值数据(iFinD）'!$B$65:$Y$65)+SUMPRODUCT(分期持仓明细!$AC$24:$AD$24,'实盘净值数据(iFinD）'!$Z493:$AA493/'实盘净值数据(iFinD）'!$Z$65:$AA$65))*(1-实盘持仓初始配置!$Z$8)^(('实盘净值数据(iFinD）'!$A493-'实盘净值数据(iFinD）'!$A$5)/365))</f>
        <v/>
      </c>
      <c r="O493" s="16" t="str">
        <f t="shared" si="46"/>
        <v/>
      </c>
      <c r="P493" s="16" t="str">
        <f>IF(N493="","",N493/MAX(N$5:N493)-1)</f>
        <v/>
      </c>
      <c r="Q493" s="13" t="str">
        <f>IF(OR('实盘净值数据(iFinD）'!$A493="",'实盘净值数据(iFinD）'!$B493="",'实盘净值数据(iFinD）'!$Z493="",'实盘净值数据(iFinD）'!$AA493=""),"",分期持仓明细!$AB$25*(SUMPRODUCT(分期持仓明细!$B$25:$Y$25,'实盘净值数据(iFinD）'!$B493:$Y493/'实盘净值数据(iFinD）'!$B$65:$Y$65)+SUMPRODUCT(分期持仓明细!$AC$25:$AD$25,'实盘净值数据(iFinD）'!$Z493:$AA493/'实盘净值数据(iFinD）'!$Z$65:$AA$65))*(1-实盘持仓初始配置!$Z$9)^(('实盘净值数据(iFinD）'!$A493-'实盘净值数据(iFinD）'!$A$8)/365))</f>
        <v/>
      </c>
      <c r="R493" s="16" t="str">
        <f t="shared" si="47"/>
        <v/>
      </c>
      <c r="S493" s="16" t="str">
        <f>IF(Q493="","",Q493/MAX(Q$5:Q493)-1)</f>
        <v/>
      </c>
    </row>
    <row r="494" spans="1:19">
      <c r="A494" s="15" t="str">
        <f>IF('实盘净值数据(iFinD）'!A494="","",'实盘净值数据(iFinD）'!A494)</f>
        <v/>
      </c>
      <c r="B494" s="13" t="str">
        <f>IF(OR('实盘净值数据(iFinD）'!$A494="",'实盘净值数据(iFinD）'!$B494=""),"",分期持仓明细!$AB$17*SUMPRODUCT(分期持仓明细!$B$17:$Y$17,'实盘净值数据(iFinD）'!$B494:$Y494/'实盘净值数据(iFinD）'!$B$20:$Y$20)*(1-实盘持仓初始配置!$Z$4)^(('实盘净值数据(iFinD）'!$A494-'实盘净值数据(iFinD）'!$A$6)/365))</f>
        <v/>
      </c>
      <c r="C494" s="16" t="str">
        <f t="shared" si="42"/>
        <v/>
      </c>
      <c r="D494" s="16" t="str">
        <f>IF(B494="","",B494/MAX(B$5:B494)-1)</f>
        <v/>
      </c>
      <c r="E494" s="13" t="str">
        <f>IF(OR('实盘净值数据(iFinD）'!$A494="",'实盘净值数据(iFinD）'!$B494=""),"",分期持仓明细!$AB$18*SUMPRODUCT(分期持仓明细!$B$18:$Y$18,'实盘净值数据(iFinD）'!$B494:$Y494/'实盘净值数据(iFinD）'!$B$20:$Y$20)*(1-实盘持仓初始配置!$Z$5)^(('实盘净值数据(iFinD）'!$A494-'实盘净值数据(iFinD）'!$A$5)/365))</f>
        <v/>
      </c>
      <c r="F494" s="16" t="str">
        <f t="shared" si="43"/>
        <v/>
      </c>
      <c r="G494" s="16" t="str">
        <f>IF(E494="","",E494/MAX(E$5:E494)-1)</f>
        <v/>
      </c>
      <c r="H494" s="13" t="str">
        <f>IF(OR('实盘净值数据(iFinD）'!$A494="",'实盘净值数据(iFinD）'!$B494=""),"",分期持仓明细!$AB$19*SUMPRODUCT(分期持仓明细!$B$19:$Y$19,'实盘净值数据(iFinD）'!$B494:$Y494/'实盘净值数据(iFinD）'!$B$20:$Y$20)*(1-实盘持仓初始配置!$Z$6)^(('实盘净值数据(iFinD）'!$A494-'实盘净值数据(iFinD）'!$A$7)/365))</f>
        <v/>
      </c>
      <c r="I494" s="16" t="str">
        <f t="shared" si="44"/>
        <v/>
      </c>
      <c r="J494" s="16" t="str">
        <f>IF(H494="","",H494/MAX(H$5:H494)-1)</f>
        <v/>
      </c>
      <c r="K494" s="13" t="str">
        <f>IF(OR('实盘净值数据(iFinD）'!$A494="",'实盘净值数据(iFinD）'!$B494="",'实盘净值数据(iFinD）'!$Z494="",'实盘净值数据(iFinD）'!$AA494=""),"",分期持仓明细!$AB$23*(SUMPRODUCT(分期持仓明细!$B$23:$Y$23,'实盘净值数据(iFinD）'!$B494:$Y494/'实盘净值数据(iFinD）'!$B$65:$Y$65)+SUMPRODUCT(分期持仓明细!$AC$23:$AD$23,'实盘净值数据(iFinD）'!$Z494:$AA494/'实盘净值数据(iFinD）'!$Z$65:$AA$65))*(1-实盘持仓初始配置!$Z$7)^(('实盘净值数据(iFinD）'!$A494-'实盘净值数据(iFinD）'!$A$8)/365))</f>
        <v/>
      </c>
      <c r="L494" s="16" t="str">
        <f t="shared" si="45"/>
        <v/>
      </c>
      <c r="M494" s="16" t="str">
        <f>IF(K494="","",K494/MAX(K$5:K494)-1)</f>
        <v/>
      </c>
      <c r="N494" s="13" t="str">
        <f>IF(OR('实盘净值数据(iFinD）'!$A494="",'实盘净值数据(iFinD）'!$B494="",'实盘净值数据(iFinD）'!$Z494="",'实盘净值数据(iFinD）'!$AA494=""),"",分期持仓明细!$AB$24*(SUMPRODUCT(分期持仓明细!$B$24:$Y$24,'实盘净值数据(iFinD）'!$B494:$Y494/'实盘净值数据(iFinD）'!$B$65:$Y$65)+SUMPRODUCT(分期持仓明细!$AC$24:$AD$24,'实盘净值数据(iFinD）'!$Z494:$AA494/'实盘净值数据(iFinD）'!$Z$65:$AA$65))*(1-实盘持仓初始配置!$Z$8)^(('实盘净值数据(iFinD）'!$A494-'实盘净值数据(iFinD）'!$A$5)/365))</f>
        <v/>
      </c>
      <c r="O494" s="16" t="str">
        <f t="shared" si="46"/>
        <v/>
      </c>
      <c r="P494" s="16" t="str">
        <f>IF(N494="","",N494/MAX(N$5:N494)-1)</f>
        <v/>
      </c>
      <c r="Q494" s="13" t="str">
        <f>IF(OR('实盘净值数据(iFinD）'!$A494="",'实盘净值数据(iFinD）'!$B494="",'实盘净值数据(iFinD）'!$Z494="",'实盘净值数据(iFinD）'!$AA494=""),"",分期持仓明细!$AB$25*(SUMPRODUCT(分期持仓明细!$B$25:$Y$25,'实盘净值数据(iFinD）'!$B494:$Y494/'实盘净值数据(iFinD）'!$B$65:$Y$65)+SUMPRODUCT(分期持仓明细!$AC$25:$AD$25,'实盘净值数据(iFinD）'!$Z494:$AA494/'实盘净值数据(iFinD）'!$Z$65:$AA$65))*(1-实盘持仓初始配置!$Z$9)^(('实盘净值数据(iFinD）'!$A494-'实盘净值数据(iFinD）'!$A$8)/365))</f>
        <v/>
      </c>
      <c r="R494" s="16" t="str">
        <f t="shared" si="47"/>
        <v/>
      </c>
      <c r="S494" s="16" t="str">
        <f>IF(Q494="","",Q494/MAX(Q$5:Q494)-1)</f>
        <v/>
      </c>
    </row>
    <row r="495" spans="1:19">
      <c r="A495" s="15" t="str">
        <f>IF('实盘净值数据(iFinD）'!A495="","",'实盘净值数据(iFinD）'!A495)</f>
        <v/>
      </c>
      <c r="B495" s="13" t="str">
        <f>IF(OR('实盘净值数据(iFinD）'!$A495="",'实盘净值数据(iFinD）'!$B495=""),"",分期持仓明细!$AB$17*SUMPRODUCT(分期持仓明细!$B$17:$Y$17,'实盘净值数据(iFinD）'!$B495:$Y495/'实盘净值数据(iFinD）'!$B$20:$Y$20)*(1-实盘持仓初始配置!$Z$4)^(('实盘净值数据(iFinD）'!$A495-'实盘净值数据(iFinD）'!$A$6)/365))</f>
        <v/>
      </c>
      <c r="C495" s="16" t="str">
        <f t="shared" si="42"/>
        <v/>
      </c>
      <c r="D495" s="16" t="str">
        <f>IF(B495="","",B495/MAX(B$5:B495)-1)</f>
        <v/>
      </c>
      <c r="E495" s="13" t="str">
        <f>IF(OR('实盘净值数据(iFinD）'!$A495="",'实盘净值数据(iFinD）'!$B495=""),"",分期持仓明细!$AB$18*SUMPRODUCT(分期持仓明细!$B$18:$Y$18,'实盘净值数据(iFinD）'!$B495:$Y495/'实盘净值数据(iFinD）'!$B$20:$Y$20)*(1-实盘持仓初始配置!$Z$5)^(('实盘净值数据(iFinD）'!$A495-'实盘净值数据(iFinD）'!$A$5)/365))</f>
        <v/>
      </c>
      <c r="F495" s="16" t="str">
        <f t="shared" si="43"/>
        <v/>
      </c>
      <c r="G495" s="16" t="str">
        <f>IF(E495="","",E495/MAX(E$5:E495)-1)</f>
        <v/>
      </c>
      <c r="H495" s="13" t="str">
        <f>IF(OR('实盘净值数据(iFinD）'!$A495="",'实盘净值数据(iFinD）'!$B495=""),"",分期持仓明细!$AB$19*SUMPRODUCT(分期持仓明细!$B$19:$Y$19,'实盘净值数据(iFinD）'!$B495:$Y495/'实盘净值数据(iFinD）'!$B$20:$Y$20)*(1-实盘持仓初始配置!$Z$6)^(('实盘净值数据(iFinD）'!$A495-'实盘净值数据(iFinD）'!$A$7)/365))</f>
        <v/>
      </c>
      <c r="I495" s="16" t="str">
        <f t="shared" si="44"/>
        <v/>
      </c>
      <c r="J495" s="16" t="str">
        <f>IF(H495="","",H495/MAX(H$5:H495)-1)</f>
        <v/>
      </c>
      <c r="K495" s="13" t="str">
        <f>IF(OR('实盘净值数据(iFinD）'!$A495="",'实盘净值数据(iFinD）'!$B495="",'实盘净值数据(iFinD）'!$Z495="",'实盘净值数据(iFinD）'!$AA495=""),"",分期持仓明细!$AB$23*(SUMPRODUCT(分期持仓明细!$B$23:$Y$23,'实盘净值数据(iFinD）'!$B495:$Y495/'实盘净值数据(iFinD）'!$B$65:$Y$65)+SUMPRODUCT(分期持仓明细!$AC$23:$AD$23,'实盘净值数据(iFinD）'!$Z495:$AA495/'实盘净值数据(iFinD）'!$Z$65:$AA$65))*(1-实盘持仓初始配置!$Z$7)^(('实盘净值数据(iFinD）'!$A495-'实盘净值数据(iFinD）'!$A$8)/365))</f>
        <v/>
      </c>
      <c r="L495" s="16" t="str">
        <f t="shared" si="45"/>
        <v/>
      </c>
      <c r="M495" s="16" t="str">
        <f>IF(K495="","",K495/MAX(K$5:K495)-1)</f>
        <v/>
      </c>
      <c r="N495" s="13" t="str">
        <f>IF(OR('实盘净值数据(iFinD）'!$A495="",'实盘净值数据(iFinD）'!$B495="",'实盘净值数据(iFinD）'!$Z495="",'实盘净值数据(iFinD）'!$AA495=""),"",分期持仓明细!$AB$24*(SUMPRODUCT(分期持仓明细!$B$24:$Y$24,'实盘净值数据(iFinD）'!$B495:$Y495/'实盘净值数据(iFinD）'!$B$65:$Y$65)+SUMPRODUCT(分期持仓明细!$AC$24:$AD$24,'实盘净值数据(iFinD）'!$Z495:$AA495/'实盘净值数据(iFinD）'!$Z$65:$AA$65))*(1-实盘持仓初始配置!$Z$8)^(('实盘净值数据(iFinD）'!$A495-'实盘净值数据(iFinD）'!$A$5)/365))</f>
        <v/>
      </c>
      <c r="O495" s="16" t="str">
        <f t="shared" si="46"/>
        <v/>
      </c>
      <c r="P495" s="16" t="str">
        <f>IF(N495="","",N495/MAX(N$5:N495)-1)</f>
        <v/>
      </c>
      <c r="Q495" s="13" t="str">
        <f>IF(OR('实盘净值数据(iFinD）'!$A495="",'实盘净值数据(iFinD）'!$B495="",'实盘净值数据(iFinD）'!$Z495="",'实盘净值数据(iFinD）'!$AA495=""),"",分期持仓明细!$AB$25*(SUMPRODUCT(分期持仓明细!$B$25:$Y$25,'实盘净值数据(iFinD）'!$B495:$Y495/'实盘净值数据(iFinD）'!$B$65:$Y$65)+SUMPRODUCT(分期持仓明细!$AC$25:$AD$25,'实盘净值数据(iFinD）'!$Z495:$AA495/'实盘净值数据(iFinD）'!$Z$65:$AA$65))*(1-实盘持仓初始配置!$Z$9)^(('实盘净值数据(iFinD）'!$A495-'实盘净值数据(iFinD）'!$A$8)/365))</f>
        <v/>
      </c>
      <c r="R495" s="16" t="str">
        <f t="shared" si="47"/>
        <v/>
      </c>
      <c r="S495" s="16" t="str">
        <f>IF(Q495="","",Q495/MAX(Q$5:Q495)-1)</f>
        <v/>
      </c>
    </row>
    <row r="496" spans="1:19">
      <c r="A496" s="15" t="str">
        <f>IF('实盘净值数据(iFinD）'!A496="","",'实盘净值数据(iFinD）'!A496)</f>
        <v/>
      </c>
      <c r="B496" s="13" t="str">
        <f>IF(OR('实盘净值数据(iFinD）'!$A496="",'实盘净值数据(iFinD）'!$B496=""),"",分期持仓明细!$AB$17*SUMPRODUCT(分期持仓明细!$B$17:$Y$17,'实盘净值数据(iFinD）'!$B496:$Y496/'实盘净值数据(iFinD）'!$B$20:$Y$20)*(1-实盘持仓初始配置!$Z$4)^(('实盘净值数据(iFinD）'!$A496-'实盘净值数据(iFinD）'!$A$6)/365))</f>
        <v/>
      </c>
      <c r="C496" s="16" t="str">
        <f t="shared" si="42"/>
        <v/>
      </c>
      <c r="D496" s="16" t="str">
        <f>IF(B496="","",B496/MAX(B$5:B496)-1)</f>
        <v/>
      </c>
      <c r="E496" s="13" t="str">
        <f>IF(OR('实盘净值数据(iFinD）'!$A496="",'实盘净值数据(iFinD）'!$B496=""),"",分期持仓明细!$AB$18*SUMPRODUCT(分期持仓明细!$B$18:$Y$18,'实盘净值数据(iFinD）'!$B496:$Y496/'实盘净值数据(iFinD）'!$B$20:$Y$20)*(1-实盘持仓初始配置!$Z$5)^(('实盘净值数据(iFinD）'!$A496-'实盘净值数据(iFinD）'!$A$5)/365))</f>
        <v/>
      </c>
      <c r="F496" s="16" t="str">
        <f t="shared" si="43"/>
        <v/>
      </c>
      <c r="G496" s="16" t="str">
        <f>IF(E496="","",E496/MAX(E$5:E496)-1)</f>
        <v/>
      </c>
      <c r="H496" s="13" t="str">
        <f>IF(OR('实盘净值数据(iFinD）'!$A496="",'实盘净值数据(iFinD）'!$B496=""),"",分期持仓明细!$AB$19*SUMPRODUCT(分期持仓明细!$B$19:$Y$19,'实盘净值数据(iFinD）'!$B496:$Y496/'实盘净值数据(iFinD）'!$B$20:$Y$20)*(1-实盘持仓初始配置!$Z$6)^(('实盘净值数据(iFinD）'!$A496-'实盘净值数据(iFinD）'!$A$7)/365))</f>
        <v/>
      </c>
      <c r="I496" s="16" t="str">
        <f t="shared" si="44"/>
        <v/>
      </c>
      <c r="J496" s="16" t="str">
        <f>IF(H496="","",H496/MAX(H$5:H496)-1)</f>
        <v/>
      </c>
      <c r="K496" s="13" t="str">
        <f>IF(OR('实盘净值数据(iFinD）'!$A496="",'实盘净值数据(iFinD）'!$B496="",'实盘净值数据(iFinD）'!$Z496="",'实盘净值数据(iFinD）'!$AA496=""),"",分期持仓明细!$AB$23*(SUMPRODUCT(分期持仓明细!$B$23:$Y$23,'实盘净值数据(iFinD）'!$B496:$Y496/'实盘净值数据(iFinD）'!$B$65:$Y$65)+SUMPRODUCT(分期持仓明细!$AC$23:$AD$23,'实盘净值数据(iFinD）'!$Z496:$AA496/'实盘净值数据(iFinD）'!$Z$65:$AA$65))*(1-实盘持仓初始配置!$Z$7)^(('实盘净值数据(iFinD）'!$A496-'实盘净值数据(iFinD）'!$A$8)/365))</f>
        <v/>
      </c>
      <c r="L496" s="16" t="str">
        <f t="shared" si="45"/>
        <v/>
      </c>
      <c r="M496" s="16" t="str">
        <f>IF(K496="","",K496/MAX(K$5:K496)-1)</f>
        <v/>
      </c>
      <c r="N496" s="13" t="str">
        <f>IF(OR('实盘净值数据(iFinD）'!$A496="",'实盘净值数据(iFinD）'!$B496="",'实盘净值数据(iFinD）'!$Z496="",'实盘净值数据(iFinD）'!$AA496=""),"",分期持仓明细!$AB$24*(SUMPRODUCT(分期持仓明细!$B$24:$Y$24,'实盘净值数据(iFinD）'!$B496:$Y496/'实盘净值数据(iFinD）'!$B$65:$Y$65)+SUMPRODUCT(分期持仓明细!$AC$24:$AD$24,'实盘净值数据(iFinD）'!$Z496:$AA496/'实盘净值数据(iFinD）'!$Z$65:$AA$65))*(1-实盘持仓初始配置!$Z$8)^(('实盘净值数据(iFinD）'!$A496-'实盘净值数据(iFinD）'!$A$5)/365))</f>
        <v/>
      </c>
      <c r="O496" s="16" t="str">
        <f t="shared" si="46"/>
        <v/>
      </c>
      <c r="P496" s="16" t="str">
        <f>IF(N496="","",N496/MAX(N$5:N496)-1)</f>
        <v/>
      </c>
      <c r="Q496" s="13" t="str">
        <f>IF(OR('实盘净值数据(iFinD）'!$A496="",'实盘净值数据(iFinD）'!$B496="",'实盘净值数据(iFinD）'!$Z496="",'实盘净值数据(iFinD）'!$AA496=""),"",分期持仓明细!$AB$25*(SUMPRODUCT(分期持仓明细!$B$25:$Y$25,'实盘净值数据(iFinD）'!$B496:$Y496/'实盘净值数据(iFinD）'!$B$65:$Y$65)+SUMPRODUCT(分期持仓明细!$AC$25:$AD$25,'实盘净值数据(iFinD）'!$Z496:$AA496/'实盘净值数据(iFinD）'!$Z$65:$AA$65))*(1-实盘持仓初始配置!$Z$9)^(('实盘净值数据(iFinD）'!$A496-'实盘净值数据(iFinD）'!$A$8)/365))</f>
        <v/>
      </c>
      <c r="R496" s="16" t="str">
        <f t="shared" si="47"/>
        <v/>
      </c>
      <c r="S496" s="16" t="str">
        <f>IF(Q496="","",Q496/MAX(Q$5:Q496)-1)</f>
        <v/>
      </c>
    </row>
    <row r="497" spans="1:19">
      <c r="A497" s="15" t="str">
        <f>IF('实盘净值数据(iFinD）'!A497="","",'实盘净值数据(iFinD）'!A497)</f>
        <v/>
      </c>
      <c r="B497" s="13" t="str">
        <f>IF(OR('实盘净值数据(iFinD）'!$A497="",'实盘净值数据(iFinD）'!$B497=""),"",分期持仓明细!$AB$17*SUMPRODUCT(分期持仓明细!$B$17:$Y$17,'实盘净值数据(iFinD）'!$B497:$Y497/'实盘净值数据(iFinD）'!$B$20:$Y$20)*(1-实盘持仓初始配置!$Z$4)^(('实盘净值数据(iFinD）'!$A497-'实盘净值数据(iFinD）'!$A$6)/365))</f>
        <v/>
      </c>
      <c r="C497" s="16" t="str">
        <f t="shared" si="42"/>
        <v/>
      </c>
      <c r="D497" s="16" t="str">
        <f>IF(B497="","",B497/MAX(B$5:B497)-1)</f>
        <v/>
      </c>
      <c r="E497" s="13" t="str">
        <f>IF(OR('实盘净值数据(iFinD）'!$A497="",'实盘净值数据(iFinD）'!$B497=""),"",分期持仓明细!$AB$18*SUMPRODUCT(分期持仓明细!$B$18:$Y$18,'实盘净值数据(iFinD）'!$B497:$Y497/'实盘净值数据(iFinD）'!$B$20:$Y$20)*(1-实盘持仓初始配置!$Z$5)^(('实盘净值数据(iFinD）'!$A497-'实盘净值数据(iFinD）'!$A$5)/365))</f>
        <v/>
      </c>
      <c r="F497" s="16" t="str">
        <f t="shared" si="43"/>
        <v/>
      </c>
      <c r="G497" s="16" t="str">
        <f>IF(E497="","",E497/MAX(E$5:E497)-1)</f>
        <v/>
      </c>
      <c r="H497" s="13" t="str">
        <f>IF(OR('实盘净值数据(iFinD）'!$A497="",'实盘净值数据(iFinD）'!$B497=""),"",分期持仓明细!$AB$19*SUMPRODUCT(分期持仓明细!$B$19:$Y$19,'实盘净值数据(iFinD）'!$B497:$Y497/'实盘净值数据(iFinD）'!$B$20:$Y$20)*(1-实盘持仓初始配置!$Z$6)^(('实盘净值数据(iFinD）'!$A497-'实盘净值数据(iFinD）'!$A$7)/365))</f>
        <v/>
      </c>
      <c r="I497" s="16" t="str">
        <f t="shared" si="44"/>
        <v/>
      </c>
      <c r="J497" s="16" t="str">
        <f>IF(H497="","",H497/MAX(H$5:H497)-1)</f>
        <v/>
      </c>
      <c r="K497" s="13" t="str">
        <f>IF(OR('实盘净值数据(iFinD）'!$A497="",'实盘净值数据(iFinD）'!$B497="",'实盘净值数据(iFinD）'!$Z497="",'实盘净值数据(iFinD）'!$AA497=""),"",分期持仓明细!$AB$23*(SUMPRODUCT(分期持仓明细!$B$23:$Y$23,'实盘净值数据(iFinD）'!$B497:$Y497/'实盘净值数据(iFinD）'!$B$65:$Y$65)+SUMPRODUCT(分期持仓明细!$AC$23:$AD$23,'实盘净值数据(iFinD）'!$Z497:$AA497/'实盘净值数据(iFinD）'!$Z$65:$AA$65))*(1-实盘持仓初始配置!$Z$7)^(('实盘净值数据(iFinD）'!$A497-'实盘净值数据(iFinD）'!$A$8)/365))</f>
        <v/>
      </c>
      <c r="L497" s="16" t="str">
        <f t="shared" si="45"/>
        <v/>
      </c>
      <c r="M497" s="16" t="str">
        <f>IF(K497="","",K497/MAX(K$5:K497)-1)</f>
        <v/>
      </c>
      <c r="N497" s="13" t="str">
        <f>IF(OR('实盘净值数据(iFinD）'!$A497="",'实盘净值数据(iFinD）'!$B497="",'实盘净值数据(iFinD）'!$Z497="",'实盘净值数据(iFinD）'!$AA497=""),"",分期持仓明细!$AB$24*(SUMPRODUCT(分期持仓明细!$B$24:$Y$24,'实盘净值数据(iFinD）'!$B497:$Y497/'实盘净值数据(iFinD）'!$B$65:$Y$65)+SUMPRODUCT(分期持仓明细!$AC$24:$AD$24,'实盘净值数据(iFinD）'!$Z497:$AA497/'实盘净值数据(iFinD）'!$Z$65:$AA$65))*(1-实盘持仓初始配置!$Z$8)^(('实盘净值数据(iFinD）'!$A497-'实盘净值数据(iFinD）'!$A$5)/365))</f>
        <v/>
      </c>
      <c r="O497" s="16" t="str">
        <f t="shared" si="46"/>
        <v/>
      </c>
      <c r="P497" s="16" t="str">
        <f>IF(N497="","",N497/MAX(N$5:N497)-1)</f>
        <v/>
      </c>
      <c r="Q497" s="13" t="str">
        <f>IF(OR('实盘净值数据(iFinD）'!$A497="",'实盘净值数据(iFinD）'!$B497="",'实盘净值数据(iFinD）'!$Z497="",'实盘净值数据(iFinD）'!$AA497=""),"",分期持仓明细!$AB$25*(SUMPRODUCT(分期持仓明细!$B$25:$Y$25,'实盘净值数据(iFinD）'!$B497:$Y497/'实盘净值数据(iFinD）'!$B$65:$Y$65)+SUMPRODUCT(分期持仓明细!$AC$25:$AD$25,'实盘净值数据(iFinD）'!$Z497:$AA497/'实盘净值数据(iFinD）'!$Z$65:$AA$65))*(1-实盘持仓初始配置!$Z$9)^(('实盘净值数据(iFinD）'!$A497-'实盘净值数据(iFinD）'!$A$8)/365))</f>
        <v/>
      </c>
      <c r="R497" s="16" t="str">
        <f t="shared" si="47"/>
        <v/>
      </c>
      <c r="S497" s="16" t="str">
        <f>IF(Q497="","",Q497/MAX(Q$5:Q497)-1)</f>
        <v/>
      </c>
    </row>
    <row r="498" spans="1:19">
      <c r="A498" s="15" t="str">
        <f>IF('实盘净值数据(iFinD）'!A498="","",'实盘净值数据(iFinD）'!A498)</f>
        <v/>
      </c>
      <c r="B498" s="13" t="str">
        <f>IF(OR('实盘净值数据(iFinD）'!$A498="",'实盘净值数据(iFinD）'!$B498=""),"",分期持仓明细!$AB$17*SUMPRODUCT(分期持仓明细!$B$17:$Y$17,'实盘净值数据(iFinD）'!$B498:$Y498/'实盘净值数据(iFinD）'!$B$20:$Y$20)*(1-实盘持仓初始配置!$Z$4)^(('实盘净值数据(iFinD）'!$A498-'实盘净值数据(iFinD）'!$A$6)/365))</f>
        <v/>
      </c>
      <c r="C498" s="16" t="str">
        <f t="shared" si="42"/>
        <v/>
      </c>
      <c r="D498" s="16" t="str">
        <f>IF(B498="","",B498/MAX(B$5:B498)-1)</f>
        <v/>
      </c>
      <c r="E498" s="13" t="str">
        <f>IF(OR('实盘净值数据(iFinD）'!$A498="",'实盘净值数据(iFinD）'!$B498=""),"",分期持仓明细!$AB$18*SUMPRODUCT(分期持仓明细!$B$18:$Y$18,'实盘净值数据(iFinD）'!$B498:$Y498/'实盘净值数据(iFinD）'!$B$20:$Y$20)*(1-实盘持仓初始配置!$Z$5)^(('实盘净值数据(iFinD）'!$A498-'实盘净值数据(iFinD）'!$A$5)/365))</f>
        <v/>
      </c>
      <c r="F498" s="16" t="str">
        <f t="shared" si="43"/>
        <v/>
      </c>
      <c r="G498" s="16" t="str">
        <f>IF(E498="","",E498/MAX(E$5:E498)-1)</f>
        <v/>
      </c>
      <c r="H498" s="13" t="str">
        <f>IF(OR('实盘净值数据(iFinD）'!$A498="",'实盘净值数据(iFinD）'!$B498=""),"",分期持仓明细!$AB$19*SUMPRODUCT(分期持仓明细!$B$19:$Y$19,'实盘净值数据(iFinD）'!$B498:$Y498/'实盘净值数据(iFinD）'!$B$20:$Y$20)*(1-实盘持仓初始配置!$Z$6)^(('实盘净值数据(iFinD）'!$A498-'实盘净值数据(iFinD）'!$A$7)/365))</f>
        <v/>
      </c>
      <c r="I498" s="16" t="str">
        <f t="shared" si="44"/>
        <v/>
      </c>
      <c r="J498" s="16" t="str">
        <f>IF(H498="","",H498/MAX(H$5:H498)-1)</f>
        <v/>
      </c>
      <c r="K498" s="13" t="str">
        <f>IF(OR('实盘净值数据(iFinD）'!$A498="",'实盘净值数据(iFinD）'!$B498="",'实盘净值数据(iFinD）'!$Z498="",'实盘净值数据(iFinD）'!$AA498=""),"",分期持仓明细!$AB$23*(SUMPRODUCT(分期持仓明细!$B$23:$Y$23,'实盘净值数据(iFinD）'!$B498:$Y498/'实盘净值数据(iFinD）'!$B$65:$Y$65)+SUMPRODUCT(分期持仓明细!$AC$23:$AD$23,'实盘净值数据(iFinD）'!$Z498:$AA498/'实盘净值数据(iFinD）'!$Z$65:$AA$65))*(1-实盘持仓初始配置!$Z$7)^(('实盘净值数据(iFinD）'!$A498-'实盘净值数据(iFinD）'!$A$8)/365))</f>
        <v/>
      </c>
      <c r="L498" s="16" t="str">
        <f t="shared" si="45"/>
        <v/>
      </c>
      <c r="M498" s="16" t="str">
        <f>IF(K498="","",K498/MAX(K$5:K498)-1)</f>
        <v/>
      </c>
      <c r="N498" s="13" t="str">
        <f>IF(OR('实盘净值数据(iFinD）'!$A498="",'实盘净值数据(iFinD）'!$B498="",'实盘净值数据(iFinD）'!$Z498="",'实盘净值数据(iFinD）'!$AA498=""),"",分期持仓明细!$AB$24*(SUMPRODUCT(分期持仓明细!$B$24:$Y$24,'实盘净值数据(iFinD）'!$B498:$Y498/'实盘净值数据(iFinD）'!$B$65:$Y$65)+SUMPRODUCT(分期持仓明细!$AC$24:$AD$24,'实盘净值数据(iFinD）'!$Z498:$AA498/'实盘净值数据(iFinD）'!$Z$65:$AA$65))*(1-实盘持仓初始配置!$Z$8)^(('实盘净值数据(iFinD）'!$A498-'实盘净值数据(iFinD）'!$A$5)/365))</f>
        <v/>
      </c>
      <c r="O498" s="16" t="str">
        <f t="shared" si="46"/>
        <v/>
      </c>
      <c r="P498" s="16" t="str">
        <f>IF(N498="","",N498/MAX(N$5:N498)-1)</f>
        <v/>
      </c>
      <c r="Q498" s="13" t="str">
        <f>IF(OR('实盘净值数据(iFinD）'!$A498="",'实盘净值数据(iFinD）'!$B498="",'实盘净值数据(iFinD）'!$Z498="",'实盘净值数据(iFinD）'!$AA498=""),"",分期持仓明细!$AB$25*(SUMPRODUCT(分期持仓明细!$B$25:$Y$25,'实盘净值数据(iFinD）'!$B498:$Y498/'实盘净值数据(iFinD）'!$B$65:$Y$65)+SUMPRODUCT(分期持仓明细!$AC$25:$AD$25,'实盘净值数据(iFinD）'!$Z498:$AA498/'实盘净值数据(iFinD）'!$Z$65:$AA$65))*(1-实盘持仓初始配置!$Z$9)^(('实盘净值数据(iFinD）'!$A498-'实盘净值数据(iFinD）'!$A$8)/365))</f>
        <v/>
      </c>
      <c r="R498" s="16" t="str">
        <f t="shared" si="47"/>
        <v/>
      </c>
      <c r="S498" s="16" t="str">
        <f>IF(Q498="","",Q498/MAX(Q$5:Q498)-1)</f>
        <v/>
      </c>
    </row>
    <row r="499" spans="1:19">
      <c r="A499" s="15" t="str">
        <f>IF('实盘净值数据(iFinD）'!A499="","",'实盘净值数据(iFinD）'!A499)</f>
        <v/>
      </c>
      <c r="B499" s="13" t="str">
        <f>IF(OR('实盘净值数据(iFinD）'!$A499="",'实盘净值数据(iFinD）'!$B499=""),"",分期持仓明细!$AB$17*SUMPRODUCT(分期持仓明细!$B$17:$Y$17,'实盘净值数据(iFinD）'!$B499:$Y499/'实盘净值数据(iFinD）'!$B$20:$Y$20)*(1-实盘持仓初始配置!$Z$4)^(('实盘净值数据(iFinD）'!$A499-'实盘净值数据(iFinD）'!$A$6)/365))</f>
        <v/>
      </c>
      <c r="C499" s="16" t="str">
        <f t="shared" si="42"/>
        <v/>
      </c>
      <c r="D499" s="16" t="str">
        <f>IF(B499="","",B499/MAX(B$5:B499)-1)</f>
        <v/>
      </c>
      <c r="E499" s="13" t="str">
        <f>IF(OR('实盘净值数据(iFinD）'!$A499="",'实盘净值数据(iFinD）'!$B499=""),"",分期持仓明细!$AB$18*SUMPRODUCT(分期持仓明细!$B$18:$Y$18,'实盘净值数据(iFinD）'!$B499:$Y499/'实盘净值数据(iFinD）'!$B$20:$Y$20)*(1-实盘持仓初始配置!$Z$5)^(('实盘净值数据(iFinD）'!$A499-'实盘净值数据(iFinD）'!$A$5)/365))</f>
        <v/>
      </c>
      <c r="F499" s="16" t="str">
        <f t="shared" si="43"/>
        <v/>
      </c>
      <c r="G499" s="16" t="str">
        <f>IF(E499="","",E499/MAX(E$5:E499)-1)</f>
        <v/>
      </c>
      <c r="H499" s="13" t="str">
        <f>IF(OR('实盘净值数据(iFinD）'!$A499="",'实盘净值数据(iFinD）'!$B499=""),"",分期持仓明细!$AB$19*SUMPRODUCT(分期持仓明细!$B$19:$Y$19,'实盘净值数据(iFinD）'!$B499:$Y499/'实盘净值数据(iFinD）'!$B$20:$Y$20)*(1-实盘持仓初始配置!$Z$6)^(('实盘净值数据(iFinD）'!$A499-'实盘净值数据(iFinD）'!$A$7)/365))</f>
        <v/>
      </c>
      <c r="I499" s="16" t="str">
        <f t="shared" si="44"/>
        <v/>
      </c>
      <c r="J499" s="16" t="str">
        <f>IF(H499="","",H499/MAX(H$5:H499)-1)</f>
        <v/>
      </c>
      <c r="K499" s="13" t="str">
        <f>IF(OR('实盘净值数据(iFinD）'!$A499="",'实盘净值数据(iFinD）'!$B499="",'实盘净值数据(iFinD）'!$Z499="",'实盘净值数据(iFinD）'!$AA499=""),"",分期持仓明细!$AB$23*(SUMPRODUCT(分期持仓明细!$B$23:$Y$23,'实盘净值数据(iFinD）'!$B499:$Y499/'实盘净值数据(iFinD）'!$B$65:$Y$65)+SUMPRODUCT(分期持仓明细!$AC$23:$AD$23,'实盘净值数据(iFinD）'!$Z499:$AA499/'实盘净值数据(iFinD）'!$Z$65:$AA$65))*(1-实盘持仓初始配置!$Z$7)^(('实盘净值数据(iFinD）'!$A499-'实盘净值数据(iFinD）'!$A$8)/365))</f>
        <v/>
      </c>
      <c r="L499" s="16" t="str">
        <f t="shared" si="45"/>
        <v/>
      </c>
      <c r="M499" s="16" t="str">
        <f>IF(K499="","",K499/MAX(K$5:K499)-1)</f>
        <v/>
      </c>
      <c r="N499" s="13" t="str">
        <f>IF(OR('实盘净值数据(iFinD）'!$A499="",'实盘净值数据(iFinD）'!$B499="",'实盘净值数据(iFinD）'!$Z499="",'实盘净值数据(iFinD）'!$AA499=""),"",分期持仓明细!$AB$24*(SUMPRODUCT(分期持仓明细!$B$24:$Y$24,'实盘净值数据(iFinD）'!$B499:$Y499/'实盘净值数据(iFinD）'!$B$65:$Y$65)+SUMPRODUCT(分期持仓明细!$AC$24:$AD$24,'实盘净值数据(iFinD）'!$Z499:$AA499/'实盘净值数据(iFinD）'!$Z$65:$AA$65))*(1-实盘持仓初始配置!$Z$8)^(('实盘净值数据(iFinD）'!$A499-'实盘净值数据(iFinD）'!$A$5)/365))</f>
        <v/>
      </c>
      <c r="O499" s="16" t="str">
        <f t="shared" si="46"/>
        <v/>
      </c>
      <c r="P499" s="16" t="str">
        <f>IF(N499="","",N499/MAX(N$5:N499)-1)</f>
        <v/>
      </c>
      <c r="Q499" s="13" t="str">
        <f>IF(OR('实盘净值数据(iFinD）'!$A499="",'实盘净值数据(iFinD）'!$B499="",'实盘净值数据(iFinD）'!$Z499="",'实盘净值数据(iFinD）'!$AA499=""),"",分期持仓明细!$AB$25*(SUMPRODUCT(分期持仓明细!$B$25:$Y$25,'实盘净值数据(iFinD）'!$B499:$Y499/'实盘净值数据(iFinD）'!$B$65:$Y$65)+SUMPRODUCT(分期持仓明细!$AC$25:$AD$25,'实盘净值数据(iFinD）'!$Z499:$AA499/'实盘净值数据(iFinD）'!$Z$65:$AA$65))*(1-实盘持仓初始配置!$Z$9)^(('实盘净值数据(iFinD）'!$A499-'实盘净值数据(iFinD）'!$A$8)/365))</f>
        <v/>
      </c>
      <c r="R499" s="16" t="str">
        <f t="shared" si="47"/>
        <v/>
      </c>
      <c r="S499" s="16" t="str">
        <f>IF(Q499="","",Q499/MAX(Q$5:Q499)-1)</f>
        <v/>
      </c>
    </row>
    <row r="500" spans="1:19">
      <c r="A500" s="15" t="str">
        <f>IF('实盘净值数据(iFinD）'!A500="","",'实盘净值数据(iFinD）'!A500)</f>
        <v/>
      </c>
      <c r="B500" s="13" t="str">
        <f>IF(OR('实盘净值数据(iFinD）'!$A500="",'实盘净值数据(iFinD）'!$B500=""),"",分期持仓明细!$AB$17*SUMPRODUCT(分期持仓明细!$B$17:$Y$17,'实盘净值数据(iFinD）'!$B500:$Y500/'实盘净值数据(iFinD）'!$B$20:$Y$20)*(1-实盘持仓初始配置!$Z$4)^(('实盘净值数据(iFinD）'!$A500-'实盘净值数据(iFinD）'!$A$6)/365))</f>
        <v/>
      </c>
      <c r="C500" s="16" t="str">
        <f t="shared" si="42"/>
        <v/>
      </c>
      <c r="D500" s="16" t="str">
        <f>IF(B500="","",B500/MAX(B$5:B500)-1)</f>
        <v/>
      </c>
      <c r="E500" s="13" t="str">
        <f>IF(OR('实盘净值数据(iFinD）'!$A500="",'实盘净值数据(iFinD）'!$B500=""),"",分期持仓明细!$AB$18*SUMPRODUCT(分期持仓明细!$B$18:$Y$18,'实盘净值数据(iFinD）'!$B500:$Y500/'实盘净值数据(iFinD）'!$B$20:$Y$20)*(1-实盘持仓初始配置!$Z$5)^(('实盘净值数据(iFinD）'!$A500-'实盘净值数据(iFinD）'!$A$5)/365))</f>
        <v/>
      </c>
      <c r="F500" s="16" t="str">
        <f t="shared" si="43"/>
        <v/>
      </c>
      <c r="G500" s="16" t="str">
        <f>IF(E500="","",E500/MAX(E$5:E500)-1)</f>
        <v/>
      </c>
      <c r="H500" s="13" t="str">
        <f>IF(OR('实盘净值数据(iFinD）'!$A500="",'实盘净值数据(iFinD）'!$B500=""),"",分期持仓明细!$AB$19*SUMPRODUCT(分期持仓明细!$B$19:$Y$19,'实盘净值数据(iFinD）'!$B500:$Y500/'实盘净值数据(iFinD）'!$B$20:$Y$20)*(1-实盘持仓初始配置!$Z$6)^(('实盘净值数据(iFinD）'!$A500-'实盘净值数据(iFinD）'!$A$7)/365))</f>
        <v/>
      </c>
      <c r="I500" s="16" t="str">
        <f t="shared" si="44"/>
        <v/>
      </c>
      <c r="J500" s="16" t="str">
        <f>IF(H500="","",H500/MAX(H$5:H500)-1)</f>
        <v/>
      </c>
      <c r="K500" s="13" t="str">
        <f>IF(OR('实盘净值数据(iFinD）'!$A500="",'实盘净值数据(iFinD）'!$B500="",'实盘净值数据(iFinD）'!$Z500="",'实盘净值数据(iFinD）'!$AA500=""),"",分期持仓明细!$AB$23*(SUMPRODUCT(分期持仓明细!$B$23:$Y$23,'实盘净值数据(iFinD）'!$B500:$Y500/'实盘净值数据(iFinD）'!$B$65:$Y$65)+SUMPRODUCT(分期持仓明细!$AC$23:$AD$23,'实盘净值数据(iFinD）'!$Z500:$AA500/'实盘净值数据(iFinD）'!$Z$65:$AA$65))*(1-实盘持仓初始配置!$Z$7)^(('实盘净值数据(iFinD）'!$A500-'实盘净值数据(iFinD）'!$A$8)/365))</f>
        <v/>
      </c>
      <c r="L500" s="16" t="str">
        <f t="shared" si="45"/>
        <v/>
      </c>
      <c r="M500" s="16" t="str">
        <f>IF(K500="","",K500/MAX(K$5:K500)-1)</f>
        <v/>
      </c>
      <c r="N500" s="13" t="str">
        <f>IF(OR('实盘净值数据(iFinD）'!$A500="",'实盘净值数据(iFinD）'!$B500="",'实盘净值数据(iFinD）'!$Z500="",'实盘净值数据(iFinD）'!$AA500=""),"",分期持仓明细!$AB$24*(SUMPRODUCT(分期持仓明细!$B$24:$Y$24,'实盘净值数据(iFinD）'!$B500:$Y500/'实盘净值数据(iFinD）'!$B$65:$Y$65)+SUMPRODUCT(分期持仓明细!$AC$24:$AD$24,'实盘净值数据(iFinD）'!$Z500:$AA500/'实盘净值数据(iFinD）'!$Z$65:$AA$65))*(1-实盘持仓初始配置!$Z$8)^(('实盘净值数据(iFinD）'!$A500-'实盘净值数据(iFinD）'!$A$5)/365))</f>
        <v/>
      </c>
      <c r="O500" s="16" t="str">
        <f t="shared" si="46"/>
        <v/>
      </c>
      <c r="P500" s="16" t="str">
        <f>IF(N500="","",N500/MAX(N$5:N500)-1)</f>
        <v/>
      </c>
      <c r="Q500" s="13" t="str">
        <f>IF(OR('实盘净值数据(iFinD）'!$A500="",'实盘净值数据(iFinD）'!$B500="",'实盘净值数据(iFinD）'!$Z500="",'实盘净值数据(iFinD）'!$AA500=""),"",分期持仓明细!$AB$25*(SUMPRODUCT(分期持仓明细!$B$25:$Y$25,'实盘净值数据(iFinD）'!$B500:$Y500/'实盘净值数据(iFinD）'!$B$65:$Y$65)+SUMPRODUCT(分期持仓明细!$AC$25:$AD$25,'实盘净值数据(iFinD）'!$Z500:$AA500/'实盘净值数据(iFinD）'!$Z$65:$AA$65))*(1-实盘持仓初始配置!$Z$9)^(('实盘净值数据(iFinD）'!$A500-'实盘净值数据(iFinD）'!$A$8)/365))</f>
        <v/>
      </c>
      <c r="R500" s="16" t="str">
        <f t="shared" si="47"/>
        <v/>
      </c>
      <c r="S500" s="16" t="str">
        <f>IF(Q500="","",Q500/MAX(Q$5:Q500)-1)</f>
        <v/>
      </c>
    </row>
    <row r="501" spans="1:19">
      <c r="A501" s="15" t="str">
        <f>IF('实盘净值数据(iFinD）'!A501="","",'实盘净值数据(iFinD）'!A501)</f>
        <v/>
      </c>
      <c r="B501" s="13" t="str">
        <f>IF(OR('实盘净值数据(iFinD）'!$A501="",'实盘净值数据(iFinD）'!$B501=""),"",分期持仓明细!$AB$17*SUMPRODUCT(分期持仓明细!$B$17:$Y$17,'实盘净值数据(iFinD）'!$B501:$Y501/'实盘净值数据(iFinD）'!$B$20:$Y$20)*(1-实盘持仓初始配置!$Z$4)^(('实盘净值数据(iFinD）'!$A501-'实盘净值数据(iFinD）'!$A$6)/365))</f>
        <v/>
      </c>
      <c r="C501" s="16" t="str">
        <f t="shared" si="42"/>
        <v/>
      </c>
      <c r="D501" s="16" t="str">
        <f>IF(B501="","",B501/MAX(B$5:B501)-1)</f>
        <v/>
      </c>
      <c r="E501" s="13" t="str">
        <f>IF(OR('实盘净值数据(iFinD）'!$A501="",'实盘净值数据(iFinD）'!$B501=""),"",分期持仓明细!$AB$18*SUMPRODUCT(分期持仓明细!$B$18:$Y$18,'实盘净值数据(iFinD）'!$B501:$Y501/'实盘净值数据(iFinD）'!$B$20:$Y$20)*(1-实盘持仓初始配置!$Z$5)^(('实盘净值数据(iFinD）'!$A501-'实盘净值数据(iFinD）'!$A$5)/365))</f>
        <v/>
      </c>
      <c r="F501" s="16" t="str">
        <f t="shared" si="43"/>
        <v/>
      </c>
      <c r="G501" s="16" t="str">
        <f>IF(E501="","",E501/MAX(E$5:E501)-1)</f>
        <v/>
      </c>
      <c r="H501" s="13" t="str">
        <f>IF(OR('实盘净值数据(iFinD）'!$A501="",'实盘净值数据(iFinD）'!$B501=""),"",分期持仓明细!$AB$19*SUMPRODUCT(分期持仓明细!$B$19:$Y$19,'实盘净值数据(iFinD）'!$B501:$Y501/'实盘净值数据(iFinD）'!$B$20:$Y$20)*(1-实盘持仓初始配置!$Z$6)^(('实盘净值数据(iFinD）'!$A501-'实盘净值数据(iFinD）'!$A$7)/365))</f>
        <v/>
      </c>
      <c r="I501" s="16" t="str">
        <f t="shared" si="44"/>
        <v/>
      </c>
      <c r="J501" s="16" t="str">
        <f>IF(H501="","",H501/MAX(H$5:H501)-1)</f>
        <v/>
      </c>
      <c r="K501" s="13" t="str">
        <f>IF(OR('实盘净值数据(iFinD）'!$A501="",'实盘净值数据(iFinD）'!$B501="",'实盘净值数据(iFinD）'!$Z501="",'实盘净值数据(iFinD）'!$AA501=""),"",分期持仓明细!$AB$23*(SUMPRODUCT(分期持仓明细!$B$23:$Y$23,'实盘净值数据(iFinD）'!$B501:$Y501/'实盘净值数据(iFinD）'!$B$65:$Y$65)+SUMPRODUCT(分期持仓明细!$AC$23:$AD$23,'实盘净值数据(iFinD）'!$Z501:$AA501/'实盘净值数据(iFinD）'!$Z$65:$AA$65))*(1-实盘持仓初始配置!$Z$7)^(('实盘净值数据(iFinD）'!$A501-'实盘净值数据(iFinD）'!$A$8)/365))</f>
        <v/>
      </c>
      <c r="L501" s="16" t="str">
        <f t="shared" si="45"/>
        <v/>
      </c>
      <c r="M501" s="16" t="str">
        <f>IF(K501="","",K501/MAX(K$5:K501)-1)</f>
        <v/>
      </c>
      <c r="N501" s="13" t="str">
        <f>IF(OR('实盘净值数据(iFinD）'!$A501="",'实盘净值数据(iFinD）'!$B501="",'实盘净值数据(iFinD）'!$Z501="",'实盘净值数据(iFinD）'!$AA501=""),"",分期持仓明细!$AB$24*(SUMPRODUCT(分期持仓明细!$B$24:$Y$24,'实盘净值数据(iFinD）'!$B501:$Y501/'实盘净值数据(iFinD）'!$B$65:$Y$65)+SUMPRODUCT(分期持仓明细!$AC$24:$AD$24,'实盘净值数据(iFinD）'!$Z501:$AA501/'实盘净值数据(iFinD）'!$Z$65:$AA$65))*(1-实盘持仓初始配置!$Z$8)^(('实盘净值数据(iFinD）'!$A501-'实盘净值数据(iFinD）'!$A$5)/365))</f>
        <v/>
      </c>
      <c r="O501" s="16" t="str">
        <f t="shared" si="46"/>
        <v/>
      </c>
      <c r="P501" s="16" t="str">
        <f>IF(N501="","",N501/MAX(N$5:N501)-1)</f>
        <v/>
      </c>
      <c r="Q501" s="13" t="str">
        <f>IF(OR('实盘净值数据(iFinD）'!$A501="",'实盘净值数据(iFinD）'!$B501="",'实盘净值数据(iFinD）'!$Z501="",'实盘净值数据(iFinD）'!$AA501=""),"",分期持仓明细!$AB$25*(SUMPRODUCT(分期持仓明细!$B$25:$Y$25,'实盘净值数据(iFinD）'!$B501:$Y501/'实盘净值数据(iFinD）'!$B$65:$Y$65)+SUMPRODUCT(分期持仓明细!$AC$25:$AD$25,'实盘净值数据(iFinD）'!$Z501:$AA501/'实盘净值数据(iFinD）'!$Z$65:$AA$65))*(1-实盘持仓初始配置!$Z$9)^(('实盘净值数据(iFinD）'!$A501-'实盘净值数据(iFinD）'!$A$8)/365))</f>
        <v/>
      </c>
      <c r="R501" s="16" t="str">
        <f t="shared" si="47"/>
        <v/>
      </c>
      <c r="S501" s="16" t="str">
        <f>IF(Q501="","",Q501/MAX(Q$5:Q501)-1)</f>
        <v/>
      </c>
    </row>
    <row r="502" spans="1:19">
      <c r="A502" s="15" t="str">
        <f>IF('实盘净值数据(iFinD）'!A502="","",'实盘净值数据(iFinD）'!A502)</f>
        <v/>
      </c>
      <c r="B502" s="13" t="str">
        <f>IF(OR('实盘净值数据(iFinD）'!$A502="",'实盘净值数据(iFinD）'!$B502=""),"",分期持仓明细!$AB$17*SUMPRODUCT(分期持仓明细!$B$17:$Y$17,'实盘净值数据(iFinD）'!$B502:$Y502/'实盘净值数据(iFinD）'!$B$20:$Y$20)*(1-实盘持仓初始配置!$Z$4)^(('实盘净值数据(iFinD）'!$A502-'实盘净值数据(iFinD）'!$A$6)/365))</f>
        <v/>
      </c>
      <c r="C502" s="16" t="str">
        <f t="shared" si="42"/>
        <v/>
      </c>
      <c r="D502" s="16" t="str">
        <f>IF(B502="","",B502/MAX(B$5:B502)-1)</f>
        <v/>
      </c>
      <c r="E502" s="13" t="str">
        <f>IF(OR('实盘净值数据(iFinD）'!$A502="",'实盘净值数据(iFinD）'!$B502=""),"",分期持仓明细!$AB$18*SUMPRODUCT(分期持仓明细!$B$18:$Y$18,'实盘净值数据(iFinD）'!$B502:$Y502/'实盘净值数据(iFinD）'!$B$20:$Y$20)*(1-实盘持仓初始配置!$Z$5)^(('实盘净值数据(iFinD）'!$A502-'实盘净值数据(iFinD）'!$A$5)/365))</f>
        <v/>
      </c>
      <c r="F502" s="16" t="str">
        <f t="shared" si="43"/>
        <v/>
      </c>
      <c r="G502" s="16" t="str">
        <f>IF(E502="","",E502/MAX(E$5:E502)-1)</f>
        <v/>
      </c>
      <c r="H502" s="13" t="str">
        <f>IF(OR('实盘净值数据(iFinD）'!$A502="",'实盘净值数据(iFinD）'!$B502=""),"",分期持仓明细!$AB$19*SUMPRODUCT(分期持仓明细!$B$19:$Y$19,'实盘净值数据(iFinD）'!$B502:$Y502/'实盘净值数据(iFinD）'!$B$20:$Y$20)*(1-实盘持仓初始配置!$Z$6)^(('实盘净值数据(iFinD）'!$A502-'实盘净值数据(iFinD）'!$A$7)/365))</f>
        <v/>
      </c>
      <c r="I502" s="16" t="str">
        <f t="shared" si="44"/>
        <v/>
      </c>
      <c r="J502" s="16" t="str">
        <f>IF(H502="","",H502/MAX(H$5:H502)-1)</f>
        <v/>
      </c>
      <c r="K502" s="13" t="str">
        <f>IF(OR('实盘净值数据(iFinD）'!$A502="",'实盘净值数据(iFinD）'!$B502="",'实盘净值数据(iFinD）'!$Z502="",'实盘净值数据(iFinD）'!$AA502=""),"",分期持仓明细!$AB$23*(SUMPRODUCT(分期持仓明细!$B$23:$Y$23,'实盘净值数据(iFinD）'!$B502:$Y502/'实盘净值数据(iFinD）'!$B$65:$Y$65)+SUMPRODUCT(分期持仓明细!$AC$23:$AD$23,'实盘净值数据(iFinD）'!$Z502:$AA502/'实盘净值数据(iFinD）'!$Z$65:$AA$65))*(1-实盘持仓初始配置!$Z$7)^(('实盘净值数据(iFinD）'!$A502-'实盘净值数据(iFinD）'!$A$8)/365))</f>
        <v/>
      </c>
      <c r="L502" s="16" t="str">
        <f t="shared" si="45"/>
        <v/>
      </c>
      <c r="M502" s="16" t="str">
        <f>IF(K502="","",K502/MAX(K$5:K502)-1)</f>
        <v/>
      </c>
      <c r="N502" s="13" t="str">
        <f>IF(OR('实盘净值数据(iFinD）'!$A502="",'实盘净值数据(iFinD）'!$B502="",'实盘净值数据(iFinD）'!$Z502="",'实盘净值数据(iFinD）'!$AA502=""),"",分期持仓明细!$AB$24*(SUMPRODUCT(分期持仓明细!$B$24:$Y$24,'实盘净值数据(iFinD）'!$B502:$Y502/'实盘净值数据(iFinD）'!$B$65:$Y$65)+SUMPRODUCT(分期持仓明细!$AC$24:$AD$24,'实盘净值数据(iFinD）'!$Z502:$AA502/'实盘净值数据(iFinD）'!$Z$65:$AA$65))*(1-实盘持仓初始配置!$Z$8)^(('实盘净值数据(iFinD）'!$A502-'实盘净值数据(iFinD）'!$A$5)/365))</f>
        <v/>
      </c>
      <c r="O502" s="16" t="str">
        <f t="shared" si="46"/>
        <v/>
      </c>
      <c r="P502" s="16" t="str">
        <f>IF(N502="","",N502/MAX(N$5:N502)-1)</f>
        <v/>
      </c>
      <c r="Q502" s="13" t="str">
        <f>IF(OR('实盘净值数据(iFinD）'!$A502="",'实盘净值数据(iFinD）'!$B502="",'实盘净值数据(iFinD）'!$Z502="",'实盘净值数据(iFinD）'!$AA502=""),"",分期持仓明细!$AB$25*(SUMPRODUCT(分期持仓明细!$B$25:$Y$25,'实盘净值数据(iFinD）'!$B502:$Y502/'实盘净值数据(iFinD）'!$B$65:$Y$65)+SUMPRODUCT(分期持仓明细!$AC$25:$AD$25,'实盘净值数据(iFinD）'!$Z502:$AA502/'实盘净值数据(iFinD）'!$Z$65:$AA$65))*(1-实盘持仓初始配置!$Z$9)^(('实盘净值数据(iFinD）'!$A502-'实盘净值数据(iFinD）'!$A$8)/365))</f>
        <v/>
      </c>
      <c r="R502" s="16" t="str">
        <f t="shared" si="47"/>
        <v/>
      </c>
      <c r="S502" s="16" t="str">
        <f>IF(Q502="","",Q502/MAX(Q$5:Q502)-1)</f>
        <v/>
      </c>
    </row>
    <row r="503" spans="1:19">
      <c r="A503" s="15" t="str">
        <f>IF('实盘净值数据(iFinD）'!A503="","",'实盘净值数据(iFinD）'!A503)</f>
        <v/>
      </c>
      <c r="B503" s="13" t="str">
        <f>IF(OR('实盘净值数据(iFinD）'!$A503="",'实盘净值数据(iFinD）'!$B503=""),"",分期持仓明细!$AB$17*SUMPRODUCT(分期持仓明细!$B$17:$Y$17,'实盘净值数据(iFinD）'!$B503:$Y503/'实盘净值数据(iFinD）'!$B$20:$Y$20)*(1-实盘持仓初始配置!$Z$4)^(('实盘净值数据(iFinD）'!$A503-'实盘净值数据(iFinD）'!$A$6)/365))</f>
        <v/>
      </c>
      <c r="C503" s="16" t="str">
        <f t="shared" si="42"/>
        <v/>
      </c>
      <c r="D503" s="16" t="str">
        <f>IF(B503="","",B503/MAX(B$5:B503)-1)</f>
        <v/>
      </c>
      <c r="E503" s="13" t="str">
        <f>IF(OR('实盘净值数据(iFinD）'!$A503="",'实盘净值数据(iFinD）'!$B503=""),"",分期持仓明细!$AB$18*SUMPRODUCT(分期持仓明细!$B$18:$Y$18,'实盘净值数据(iFinD）'!$B503:$Y503/'实盘净值数据(iFinD）'!$B$20:$Y$20)*(1-实盘持仓初始配置!$Z$5)^(('实盘净值数据(iFinD）'!$A503-'实盘净值数据(iFinD）'!$A$5)/365))</f>
        <v/>
      </c>
      <c r="F503" s="16" t="str">
        <f t="shared" si="43"/>
        <v/>
      </c>
      <c r="G503" s="16" t="str">
        <f>IF(E503="","",E503/MAX(E$5:E503)-1)</f>
        <v/>
      </c>
      <c r="H503" s="13" t="str">
        <f>IF(OR('实盘净值数据(iFinD）'!$A503="",'实盘净值数据(iFinD）'!$B503=""),"",分期持仓明细!$AB$19*SUMPRODUCT(分期持仓明细!$B$19:$Y$19,'实盘净值数据(iFinD）'!$B503:$Y503/'实盘净值数据(iFinD）'!$B$20:$Y$20)*(1-实盘持仓初始配置!$Z$6)^(('实盘净值数据(iFinD）'!$A503-'实盘净值数据(iFinD）'!$A$7)/365))</f>
        <v/>
      </c>
      <c r="I503" s="16" t="str">
        <f t="shared" si="44"/>
        <v/>
      </c>
      <c r="J503" s="16" t="str">
        <f>IF(H503="","",H503/MAX(H$5:H503)-1)</f>
        <v/>
      </c>
      <c r="K503" s="13" t="str">
        <f>IF(OR('实盘净值数据(iFinD）'!$A503="",'实盘净值数据(iFinD）'!$B503="",'实盘净值数据(iFinD）'!$Z503="",'实盘净值数据(iFinD）'!$AA503=""),"",分期持仓明细!$AB$23*(SUMPRODUCT(分期持仓明细!$B$23:$Y$23,'实盘净值数据(iFinD）'!$B503:$Y503/'实盘净值数据(iFinD）'!$B$65:$Y$65)+SUMPRODUCT(分期持仓明细!$AC$23:$AD$23,'实盘净值数据(iFinD）'!$Z503:$AA503/'实盘净值数据(iFinD）'!$Z$65:$AA$65))*(1-实盘持仓初始配置!$Z$7)^(('实盘净值数据(iFinD）'!$A503-'实盘净值数据(iFinD）'!$A$8)/365))</f>
        <v/>
      </c>
      <c r="L503" s="16" t="str">
        <f t="shared" si="45"/>
        <v/>
      </c>
      <c r="M503" s="16" t="str">
        <f>IF(K503="","",K503/MAX(K$5:K503)-1)</f>
        <v/>
      </c>
      <c r="N503" s="13" t="str">
        <f>IF(OR('实盘净值数据(iFinD）'!$A503="",'实盘净值数据(iFinD）'!$B503="",'实盘净值数据(iFinD）'!$Z503="",'实盘净值数据(iFinD）'!$AA503=""),"",分期持仓明细!$AB$24*(SUMPRODUCT(分期持仓明细!$B$24:$Y$24,'实盘净值数据(iFinD）'!$B503:$Y503/'实盘净值数据(iFinD）'!$B$65:$Y$65)+SUMPRODUCT(分期持仓明细!$AC$24:$AD$24,'实盘净值数据(iFinD）'!$Z503:$AA503/'实盘净值数据(iFinD）'!$Z$65:$AA$65))*(1-实盘持仓初始配置!$Z$8)^(('实盘净值数据(iFinD）'!$A503-'实盘净值数据(iFinD）'!$A$5)/365))</f>
        <v/>
      </c>
      <c r="O503" s="16" t="str">
        <f t="shared" si="46"/>
        <v/>
      </c>
      <c r="P503" s="16" t="str">
        <f>IF(N503="","",N503/MAX(N$5:N503)-1)</f>
        <v/>
      </c>
      <c r="Q503" s="13" t="str">
        <f>IF(OR('实盘净值数据(iFinD）'!$A503="",'实盘净值数据(iFinD）'!$B503="",'实盘净值数据(iFinD）'!$Z503="",'实盘净值数据(iFinD）'!$AA503=""),"",分期持仓明细!$AB$25*(SUMPRODUCT(分期持仓明细!$B$25:$Y$25,'实盘净值数据(iFinD）'!$B503:$Y503/'实盘净值数据(iFinD）'!$B$65:$Y$65)+SUMPRODUCT(分期持仓明细!$AC$25:$AD$25,'实盘净值数据(iFinD）'!$Z503:$AA503/'实盘净值数据(iFinD）'!$Z$65:$AA$65))*(1-实盘持仓初始配置!$Z$9)^(('实盘净值数据(iFinD）'!$A503-'实盘净值数据(iFinD）'!$A$8)/365))</f>
        <v/>
      </c>
      <c r="R503" s="16" t="str">
        <f t="shared" si="47"/>
        <v/>
      </c>
      <c r="S503" s="16" t="str">
        <f>IF(Q503="","",Q503/MAX(Q$5:Q503)-1)</f>
        <v/>
      </c>
    </row>
    <row r="504" spans="1:19">
      <c r="A504" s="15" t="str">
        <f>IF('实盘净值数据(iFinD）'!A504="","",'实盘净值数据(iFinD）'!A504)</f>
        <v/>
      </c>
      <c r="B504" s="13" t="str">
        <f>IF(OR('实盘净值数据(iFinD）'!$A504="",'实盘净值数据(iFinD）'!$B504=""),"",分期持仓明细!$AB$17*SUMPRODUCT(分期持仓明细!$B$17:$Y$17,'实盘净值数据(iFinD）'!$B504:$Y504/'实盘净值数据(iFinD）'!$B$20:$Y$20)*(1-实盘持仓初始配置!$Z$4)^(('实盘净值数据(iFinD）'!$A504-'实盘净值数据(iFinD）'!$A$6)/365))</f>
        <v/>
      </c>
      <c r="C504" s="16" t="str">
        <f t="shared" si="42"/>
        <v/>
      </c>
      <c r="D504" s="16" t="str">
        <f>IF(B504="","",B504/MAX(B$5:B504)-1)</f>
        <v/>
      </c>
      <c r="E504" s="13" t="str">
        <f>IF(OR('实盘净值数据(iFinD）'!$A504="",'实盘净值数据(iFinD）'!$B504=""),"",分期持仓明细!$AB$18*SUMPRODUCT(分期持仓明细!$B$18:$Y$18,'实盘净值数据(iFinD）'!$B504:$Y504/'实盘净值数据(iFinD）'!$B$20:$Y$20)*(1-实盘持仓初始配置!$Z$5)^(('实盘净值数据(iFinD）'!$A504-'实盘净值数据(iFinD）'!$A$5)/365))</f>
        <v/>
      </c>
      <c r="F504" s="16" t="str">
        <f t="shared" si="43"/>
        <v/>
      </c>
      <c r="G504" s="16" t="str">
        <f>IF(E504="","",E504/MAX(E$5:E504)-1)</f>
        <v/>
      </c>
      <c r="H504" s="13" t="str">
        <f>IF(OR('实盘净值数据(iFinD）'!$A504="",'实盘净值数据(iFinD）'!$B504=""),"",分期持仓明细!$AB$19*SUMPRODUCT(分期持仓明细!$B$19:$Y$19,'实盘净值数据(iFinD）'!$B504:$Y504/'实盘净值数据(iFinD）'!$B$20:$Y$20)*(1-实盘持仓初始配置!$Z$6)^(('实盘净值数据(iFinD）'!$A504-'实盘净值数据(iFinD）'!$A$7)/365))</f>
        <v/>
      </c>
      <c r="I504" s="16" t="str">
        <f t="shared" si="44"/>
        <v/>
      </c>
      <c r="J504" s="16" t="str">
        <f>IF(H504="","",H504/MAX(H$5:H504)-1)</f>
        <v/>
      </c>
      <c r="K504" s="13" t="str">
        <f>IF(OR('实盘净值数据(iFinD）'!$A504="",'实盘净值数据(iFinD）'!$B504="",'实盘净值数据(iFinD）'!$Z504="",'实盘净值数据(iFinD）'!$AA504=""),"",分期持仓明细!$AB$23*(SUMPRODUCT(分期持仓明细!$B$23:$Y$23,'实盘净值数据(iFinD）'!$B504:$Y504/'实盘净值数据(iFinD）'!$B$65:$Y$65)+SUMPRODUCT(分期持仓明细!$AC$23:$AD$23,'实盘净值数据(iFinD）'!$Z504:$AA504/'实盘净值数据(iFinD）'!$Z$65:$AA$65))*(1-实盘持仓初始配置!$Z$7)^(('实盘净值数据(iFinD）'!$A504-'实盘净值数据(iFinD）'!$A$8)/365))</f>
        <v/>
      </c>
      <c r="L504" s="16" t="str">
        <f t="shared" si="45"/>
        <v/>
      </c>
      <c r="M504" s="16" t="str">
        <f>IF(K504="","",K504/MAX(K$5:K504)-1)</f>
        <v/>
      </c>
      <c r="N504" s="13" t="str">
        <f>IF(OR('实盘净值数据(iFinD）'!$A504="",'实盘净值数据(iFinD）'!$B504="",'实盘净值数据(iFinD）'!$Z504="",'实盘净值数据(iFinD）'!$AA504=""),"",分期持仓明细!$AB$24*(SUMPRODUCT(分期持仓明细!$B$24:$Y$24,'实盘净值数据(iFinD）'!$B504:$Y504/'实盘净值数据(iFinD）'!$B$65:$Y$65)+SUMPRODUCT(分期持仓明细!$AC$24:$AD$24,'实盘净值数据(iFinD）'!$Z504:$AA504/'实盘净值数据(iFinD）'!$Z$65:$AA$65))*(1-实盘持仓初始配置!$Z$8)^(('实盘净值数据(iFinD）'!$A504-'实盘净值数据(iFinD）'!$A$5)/365))</f>
        <v/>
      </c>
      <c r="O504" s="16" t="str">
        <f t="shared" si="46"/>
        <v/>
      </c>
      <c r="P504" s="16" t="str">
        <f>IF(N504="","",N504/MAX(N$5:N504)-1)</f>
        <v/>
      </c>
      <c r="Q504" s="13" t="str">
        <f>IF(OR('实盘净值数据(iFinD）'!$A504="",'实盘净值数据(iFinD）'!$B504="",'实盘净值数据(iFinD）'!$Z504="",'实盘净值数据(iFinD）'!$AA504=""),"",分期持仓明细!$AB$25*(SUMPRODUCT(分期持仓明细!$B$25:$Y$25,'实盘净值数据(iFinD）'!$B504:$Y504/'实盘净值数据(iFinD）'!$B$65:$Y$65)+SUMPRODUCT(分期持仓明细!$AC$25:$AD$25,'实盘净值数据(iFinD）'!$Z504:$AA504/'实盘净值数据(iFinD）'!$Z$65:$AA$65))*(1-实盘持仓初始配置!$Z$9)^(('实盘净值数据(iFinD）'!$A504-'实盘净值数据(iFinD）'!$A$8)/365))</f>
        <v/>
      </c>
      <c r="R504" s="16" t="str">
        <f t="shared" si="47"/>
        <v/>
      </c>
      <c r="S504" s="16" t="str">
        <f>IF(Q504="","",Q504/MAX(Q$5:Q504)-1)</f>
        <v/>
      </c>
    </row>
    <row r="505" spans="1:19">
      <c r="A505" s="15" t="str">
        <f>IF('实盘净值数据(iFinD）'!A505="","",'实盘净值数据(iFinD）'!A505)</f>
        <v/>
      </c>
      <c r="B505" s="13" t="str">
        <f>IF(OR('实盘净值数据(iFinD）'!$A505="",'实盘净值数据(iFinD）'!$B505=""),"",分期持仓明细!$AB$17*SUMPRODUCT(分期持仓明细!$B$17:$Y$17,'实盘净值数据(iFinD）'!$B505:$Y505/'实盘净值数据(iFinD）'!$B$20:$Y$20)*(1-实盘持仓初始配置!$Z$4)^(('实盘净值数据(iFinD）'!$A505-'实盘净值数据(iFinD）'!$A$6)/365))</f>
        <v/>
      </c>
      <c r="C505" s="16" t="str">
        <f t="shared" si="42"/>
        <v/>
      </c>
      <c r="D505" s="16" t="str">
        <f>IF(B505="","",B505/MAX(B$5:B505)-1)</f>
        <v/>
      </c>
      <c r="E505" s="13" t="str">
        <f>IF(OR('实盘净值数据(iFinD）'!$A505="",'实盘净值数据(iFinD）'!$B505=""),"",分期持仓明细!$AB$18*SUMPRODUCT(分期持仓明细!$B$18:$Y$18,'实盘净值数据(iFinD）'!$B505:$Y505/'实盘净值数据(iFinD）'!$B$20:$Y$20)*(1-实盘持仓初始配置!$Z$5)^(('实盘净值数据(iFinD）'!$A505-'实盘净值数据(iFinD）'!$A$5)/365))</f>
        <v/>
      </c>
      <c r="F505" s="16" t="str">
        <f t="shared" si="43"/>
        <v/>
      </c>
      <c r="G505" s="16" t="str">
        <f>IF(E505="","",E505/MAX(E$5:E505)-1)</f>
        <v/>
      </c>
      <c r="H505" s="13" t="str">
        <f>IF(OR('实盘净值数据(iFinD）'!$A505="",'实盘净值数据(iFinD）'!$B505=""),"",分期持仓明细!$AB$19*SUMPRODUCT(分期持仓明细!$B$19:$Y$19,'实盘净值数据(iFinD）'!$B505:$Y505/'实盘净值数据(iFinD）'!$B$20:$Y$20)*(1-实盘持仓初始配置!$Z$6)^(('实盘净值数据(iFinD）'!$A505-'实盘净值数据(iFinD）'!$A$7)/365))</f>
        <v/>
      </c>
      <c r="I505" s="16" t="str">
        <f t="shared" si="44"/>
        <v/>
      </c>
      <c r="J505" s="16" t="str">
        <f>IF(H505="","",H505/MAX(H$5:H505)-1)</f>
        <v/>
      </c>
      <c r="K505" s="13" t="str">
        <f>IF(OR('实盘净值数据(iFinD）'!$A505="",'实盘净值数据(iFinD）'!$B505="",'实盘净值数据(iFinD）'!$Z505="",'实盘净值数据(iFinD）'!$AA505=""),"",分期持仓明细!$AB$23*(SUMPRODUCT(分期持仓明细!$B$23:$Y$23,'实盘净值数据(iFinD）'!$B505:$Y505/'实盘净值数据(iFinD）'!$B$65:$Y$65)+SUMPRODUCT(分期持仓明细!$AC$23:$AD$23,'实盘净值数据(iFinD）'!$Z505:$AA505/'实盘净值数据(iFinD）'!$Z$65:$AA$65))*(1-实盘持仓初始配置!$Z$7)^(('实盘净值数据(iFinD）'!$A505-'实盘净值数据(iFinD）'!$A$8)/365))</f>
        <v/>
      </c>
      <c r="L505" s="16" t="str">
        <f t="shared" si="45"/>
        <v/>
      </c>
      <c r="M505" s="16" t="str">
        <f>IF(K505="","",K505/MAX(K$5:K505)-1)</f>
        <v/>
      </c>
      <c r="N505" s="13" t="str">
        <f>IF(OR('实盘净值数据(iFinD）'!$A505="",'实盘净值数据(iFinD）'!$B505="",'实盘净值数据(iFinD）'!$Z505="",'实盘净值数据(iFinD）'!$AA505=""),"",分期持仓明细!$AB$24*(SUMPRODUCT(分期持仓明细!$B$24:$Y$24,'实盘净值数据(iFinD）'!$B505:$Y505/'实盘净值数据(iFinD）'!$B$65:$Y$65)+SUMPRODUCT(分期持仓明细!$AC$24:$AD$24,'实盘净值数据(iFinD）'!$Z505:$AA505/'实盘净值数据(iFinD）'!$Z$65:$AA$65))*(1-实盘持仓初始配置!$Z$8)^(('实盘净值数据(iFinD）'!$A505-'实盘净值数据(iFinD）'!$A$5)/365))</f>
        <v/>
      </c>
      <c r="O505" s="16" t="str">
        <f t="shared" si="46"/>
        <v/>
      </c>
      <c r="P505" s="16" t="str">
        <f>IF(N505="","",N505/MAX(N$5:N505)-1)</f>
        <v/>
      </c>
      <c r="Q505" s="13" t="str">
        <f>IF(OR('实盘净值数据(iFinD）'!$A505="",'实盘净值数据(iFinD）'!$B505="",'实盘净值数据(iFinD）'!$Z505="",'实盘净值数据(iFinD）'!$AA505=""),"",分期持仓明细!$AB$25*(SUMPRODUCT(分期持仓明细!$B$25:$Y$25,'实盘净值数据(iFinD）'!$B505:$Y505/'实盘净值数据(iFinD）'!$B$65:$Y$65)+SUMPRODUCT(分期持仓明细!$AC$25:$AD$25,'实盘净值数据(iFinD）'!$Z505:$AA505/'实盘净值数据(iFinD）'!$Z$65:$AA$65))*(1-实盘持仓初始配置!$Z$9)^(('实盘净值数据(iFinD）'!$A505-'实盘净值数据(iFinD）'!$A$8)/365))</f>
        <v/>
      </c>
      <c r="R505" s="16" t="str">
        <f t="shared" si="47"/>
        <v/>
      </c>
      <c r="S505" s="16" t="str">
        <f>IF(Q505="","",Q505/MAX(Q$5:Q505)-1)</f>
        <v/>
      </c>
    </row>
    <row r="506" spans="1:19">
      <c r="A506" s="15" t="str">
        <f>IF('实盘净值数据(iFinD）'!A506="","",'实盘净值数据(iFinD）'!A506)</f>
        <v/>
      </c>
      <c r="B506" s="13" t="str">
        <f>IF(OR('实盘净值数据(iFinD）'!$A506="",'实盘净值数据(iFinD）'!$B506=""),"",分期持仓明细!$AB$17*SUMPRODUCT(分期持仓明细!$B$17:$Y$17,'实盘净值数据(iFinD）'!$B506:$Y506/'实盘净值数据(iFinD）'!$B$20:$Y$20)*(1-实盘持仓初始配置!$Z$4)^(('实盘净值数据(iFinD）'!$A506-'实盘净值数据(iFinD）'!$A$6)/365))</f>
        <v/>
      </c>
      <c r="C506" s="16" t="str">
        <f t="shared" si="42"/>
        <v/>
      </c>
      <c r="D506" s="16" t="str">
        <f>IF(B506="","",B506/MAX(B$5:B506)-1)</f>
        <v/>
      </c>
      <c r="E506" s="13" t="str">
        <f>IF(OR('实盘净值数据(iFinD）'!$A506="",'实盘净值数据(iFinD）'!$B506=""),"",分期持仓明细!$AB$18*SUMPRODUCT(分期持仓明细!$B$18:$Y$18,'实盘净值数据(iFinD）'!$B506:$Y506/'实盘净值数据(iFinD）'!$B$20:$Y$20)*(1-实盘持仓初始配置!$Z$5)^(('实盘净值数据(iFinD）'!$A506-'实盘净值数据(iFinD）'!$A$5)/365))</f>
        <v/>
      </c>
      <c r="F506" s="16" t="str">
        <f t="shared" si="43"/>
        <v/>
      </c>
      <c r="G506" s="16" t="str">
        <f>IF(E506="","",E506/MAX(E$5:E506)-1)</f>
        <v/>
      </c>
      <c r="H506" s="13" t="str">
        <f>IF(OR('实盘净值数据(iFinD）'!$A506="",'实盘净值数据(iFinD）'!$B506=""),"",分期持仓明细!$AB$19*SUMPRODUCT(分期持仓明细!$B$19:$Y$19,'实盘净值数据(iFinD）'!$B506:$Y506/'实盘净值数据(iFinD）'!$B$20:$Y$20)*(1-实盘持仓初始配置!$Z$6)^(('实盘净值数据(iFinD）'!$A506-'实盘净值数据(iFinD）'!$A$7)/365))</f>
        <v/>
      </c>
      <c r="I506" s="16" t="str">
        <f t="shared" si="44"/>
        <v/>
      </c>
      <c r="J506" s="16" t="str">
        <f>IF(H506="","",H506/MAX(H$5:H506)-1)</f>
        <v/>
      </c>
      <c r="K506" s="13" t="str">
        <f>IF(OR('实盘净值数据(iFinD）'!$A506="",'实盘净值数据(iFinD）'!$B506="",'实盘净值数据(iFinD）'!$Z506="",'实盘净值数据(iFinD）'!$AA506=""),"",分期持仓明细!$AB$23*(SUMPRODUCT(分期持仓明细!$B$23:$Y$23,'实盘净值数据(iFinD）'!$B506:$Y506/'实盘净值数据(iFinD）'!$B$65:$Y$65)+SUMPRODUCT(分期持仓明细!$AC$23:$AD$23,'实盘净值数据(iFinD）'!$Z506:$AA506/'实盘净值数据(iFinD）'!$Z$65:$AA$65))*(1-实盘持仓初始配置!$Z$7)^(('实盘净值数据(iFinD）'!$A506-'实盘净值数据(iFinD）'!$A$8)/365))</f>
        <v/>
      </c>
      <c r="L506" s="16" t="str">
        <f t="shared" si="45"/>
        <v/>
      </c>
      <c r="M506" s="16" t="str">
        <f>IF(K506="","",K506/MAX(K$5:K506)-1)</f>
        <v/>
      </c>
      <c r="N506" s="13" t="str">
        <f>IF(OR('实盘净值数据(iFinD）'!$A506="",'实盘净值数据(iFinD）'!$B506="",'实盘净值数据(iFinD）'!$Z506="",'实盘净值数据(iFinD）'!$AA506=""),"",分期持仓明细!$AB$24*(SUMPRODUCT(分期持仓明细!$B$24:$Y$24,'实盘净值数据(iFinD）'!$B506:$Y506/'实盘净值数据(iFinD）'!$B$65:$Y$65)+SUMPRODUCT(分期持仓明细!$AC$24:$AD$24,'实盘净值数据(iFinD）'!$Z506:$AA506/'实盘净值数据(iFinD）'!$Z$65:$AA$65))*(1-实盘持仓初始配置!$Z$8)^(('实盘净值数据(iFinD）'!$A506-'实盘净值数据(iFinD）'!$A$5)/365))</f>
        <v/>
      </c>
      <c r="O506" s="16" t="str">
        <f t="shared" si="46"/>
        <v/>
      </c>
      <c r="P506" s="16" t="str">
        <f>IF(N506="","",N506/MAX(N$5:N506)-1)</f>
        <v/>
      </c>
      <c r="Q506" s="13" t="str">
        <f>IF(OR('实盘净值数据(iFinD）'!$A506="",'实盘净值数据(iFinD）'!$B506="",'实盘净值数据(iFinD）'!$Z506="",'实盘净值数据(iFinD）'!$AA506=""),"",分期持仓明细!$AB$25*(SUMPRODUCT(分期持仓明细!$B$25:$Y$25,'实盘净值数据(iFinD）'!$B506:$Y506/'实盘净值数据(iFinD）'!$B$65:$Y$65)+SUMPRODUCT(分期持仓明细!$AC$25:$AD$25,'实盘净值数据(iFinD）'!$Z506:$AA506/'实盘净值数据(iFinD）'!$Z$65:$AA$65))*(1-实盘持仓初始配置!$Z$9)^(('实盘净值数据(iFinD）'!$A506-'实盘净值数据(iFinD）'!$A$8)/365))</f>
        <v/>
      </c>
      <c r="R506" s="16" t="str">
        <f t="shared" si="47"/>
        <v/>
      </c>
      <c r="S506" s="16" t="str">
        <f>IF(Q506="","",Q506/MAX(Q$5:Q506)-1)</f>
        <v/>
      </c>
    </row>
    <row r="507" spans="1:19">
      <c r="A507" s="15" t="str">
        <f>IF('实盘净值数据(iFinD）'!A507="","",'实盘净值数据(iFinD）'!A507)</f>
        <v/>
      </c>
      <c r="B507" s="13" t="str">
        <f>IF(OR('实盘净值数据(iFinD）'!$A507="",'实盘净值数据(iFinD）'!$B507=""),"",分期持仓明细!$AB$17*SUMPRODUCT(分期持仓明细!$B$17:$Y$17,'实盘净值数据(iFinD）'!$B507:$Y507/'实盘净值数据(iFinD）'!$B$20:$Y$20)*(1-实盘持仓初始配置!$Z$4)^(('实盘净值数据(iFinD）'!$A507-'实盘净值数据(iFinD）'!$A$6)/365))</f>
        <v/>
      </c>
      <c r="C507" s="16" t="str">
        <f t="shared" si="42"/>
        <v/>
      </c>
      <c r="D507" s="16" t="str">
        <f>IF(B507="","",B507/MAX(B$5:B507)-1)</f>
        <v/>
      </c>
      <c r="E507" s="13" t="str">
        <f>IF(OR('实盘净值数据(iFinD）'!$A507="",'实盘净值数据(iFinD）'!$B507=""),"",分期持仓明细!$AB$18*SUMPRODUCT(分期持仓明细!$B$18:$Y$18,'实盘净值数据(iFinD）'!$B507:$Y507/'实盘净值数据(iFinD）'!$B$20:$Y$20)*(1-实盘持仓初始配置!$Z$5)^(('实盘净值数据(iFinD）'!$A507-'实盘净值数据(iFinD）'!$A$5)/365))</f>
        <v/>
      </c>
      <c r="F507" s="16" t="str">
        <f t="shared" si="43"/>
        <v/>
      </c>
      <c r="G507" s="16" t="str">
        <f>IF(E507="","",E507/MAX(E$5:E507)-1)</f>
        <v/>
      </c>
      <c r="H507" s="13" t="str">
        <f>IF(OR('实盘净值数据(iFinD）'!$A507="",'实盘净值数据(iFinD）'!$B507=""),"",分期持仓明细!$AB$19*SUMPRODUCT(分期持仓明细!$B$19:$Y$19,'实盘净值数据(iFinD）'!$B507:$Y507/'实盘净值数据(iFinD）'!$B$20:$Y$20)*(1-实盘持仓初始配置!$Z$6)^(('实盘净值数据(iFinD）'!$A507-'实盘净值数据(iFinD）'!$A$7)/365))</f>
        <v/>
      </c>
      <c r="I507" s="16" t="str">
        <f t="shared" si="44"/>
        <v/>
      </c>
      <c r="J507" s="16" t="str">
        <f>IF(H507="","",H507/MAX(H$5:H507)-1)</f>
        <v/>
      </c>
      <c r="K507" s="13" t="str">
        <f>IF(OR('实盘净值数据(iFinD）'!$A507="",'实盘净值数据(iFinD）'!$B507="",'实盘净值数据(iFinD）'!$Z507="",'实盘净值数据(iFinD）'!$AA507=""),"",分期持仓明细!$AB$23*(SUMPRODUCT(分期持仓明细!$B$23:$Y$23,'实盘净值数据(iFinD）'!$B507:$Y507/'实盘净值数据(iFinD）'!$B$65:$Y$65)+SUMPRODUCT(分期持仓明细!$AC$23:$AD$23,'实盘净值数据(iFinD）'!$Z507:$AA507/'实盘净值数据(iFinD）'!$Z$65:$AA$65))*(1-实盘持仓初始配置!$Z$7)^(('实盘净值数据(iFinD）'!$A507-'实盘净值数据(iFinD）'!$A$8)/365))</f>
        <v/>
      </c>
      <c r="L507" s="16" t="str">
        <f t="shared" si="45"/>
        <v/>
      </c>
      <c r="M507" s="16" t="str">
        <f>IF(K507="","",K507/MAX(K$5:K507)-1)</f>
        <v/>
      </c>
      <c r="N507" s="13" t="str">
        <f>IF(OR('实盘净值数据(iFinD）'!$A507="",'实盘净值数据(iFinD）'!$B507="",'实盘净值数据(iFinD）'!$Z507="",'实盘净值数据(iFinD）'!$AA507=""),"",分期持仓明细!$AB$24*(SUMPRODUCT(分期持仓明细!$B$24:$Y$24,'实盘净值数据(iFinD）'!$B507:$Y507/'实盘净值数据(iFinD）'!$B$65:$Y$65)+SUMPRODUCT(分期持仓明细!$AC$24:$AD$24,'实盘净值数据(iFinD）'!$Z507:$AA507/'实盘净值数据(iFinD）'!$Z$65:$AA$65))*(1-实盘持仓初始配置!$Z$8)^(('实盘净值数据(iFinD）'!$A507-'实盘净值数据(iFinD）'!$A$5)/365))</f>
        <v/>
      </c>
      <c r="O507" s="16" t="str">
        <f t="shared" si="46"/>
        <v/>
      </c>
      <c r="P507" s="16" t="str">
        <f>IF(N507="","",N507/MAX(N$5:N507)-1)</f>
        <v/>
      </c>
      <c r="Q507" s="13" t="str">
        <f>IF(OR('实盘净值数据(iFinD）'!$A507="",'实盘净值数据(iFinD）'!$B507="",'实盘净值数据(iFinD）'!$Z507="",'实盘净值数据(iFinD）'!$AA507=""),"",分期持仓明细!$AB$25*(SUMPRODUCT(分期持仓明细!$B$25:$Y$25,'实盘净值数据(iFinD）'!$B507:$Y507/'实盘净值数据(iFinD）'!$B$65:$Y$65)+SUMPRODUCT(分期持仓明细!$AC$25:$AD$25,'实盘净值数据(iFinD）'!$Z507:$AA507/'实盘净值数据(iFinD）'!$Z$65:$AA$65))*(1-实盘持仓初始配置!$Z$9)^(('实盘净值数据(iFinD）'!$A507-'实盘净值数据(iFinD）'!$A$8)/365))</f>
        <v/>
      </c>
      <c r="R507" s="16" t="str">
        <f t="shared" si="47"/>
        <v/>
      </c>
      <c r="S507" s="16" t="str">
        <f>IF(Q507="","",Q507/MAX(Q$5:Q507)-1)</f>
        <v/>
      </c>
    </row>
    <row r="508" spans="1:19">
      <c r="A508" s="15" t="str">
        <f>IF('实盘净值数据(iFinD）'!A508="","",'实盘净值数据(iFinD）'!A508)</f>
        <v/>
      </c>
      <c r="B508" s="13" t="str">
        <f>IF(OR('实盘净值数据(iFinD）'!$A508="",'实盘净值数据(iFinD）'!$B508=""),"",分期持仓明细!$AB$17*SUMPRODUCT(分期持仓明细!$B$17:$Y$17,'实盘净值数据(iFinD）'!$B508:$Y508/'实盘净值数据(iFinD）'!$B$20:$Y$20)*(1-实盘持仓初始配置!$Z$4)^(('实盘净值数据(iFinD）'!$A508-'实盘净值数据(iFinD）'!$A$6)/365))</f>
        <v/>
      </c>
      <c r="C508" s="16" t="str">
        <f t="shared" ref="C508:C571" si="48">IF(OR(B507="",B508=""),"",B508/B507-1)</f>
        <v/>
      </c>
      <c r="D508" s="16" t="str">
        <f>IF(B508="","",B508/MAX(B$5:B508)-1)</f>
        <v/>
      </c>
      <c r="E508" s="13" t="str">
        <f>IF(OR('实盘净值数据(iFinD）'!$A508="",'实盘净值数据(iFinD）'!$B508=""),"",分期持仓明细!$AB$18*SUMPRODUCT(分期持仓明细!$B$18:$Y$18,'实盘净值数据(iFinD）'!$B508:$Y508/'实盘净值数据(iFinD）'!$B$20:$Y$20)*(1-实盘持仓初始配置!$Z$5)^(('实盘净值数据(iFinD）'!$A508-'实盘净值数据(iFinD）'!$A$5)/365))</f>
        <v/>
      </c>
      <c r="F508" s="16" t="str">
        <f t="shared" ref="F508:F571" si="49">IF(OR(E507="",E508=""),"",E508/E507-1)</f>
        <v/>
      </c>
      <c r="G508" s="16" t="str">
        <f>IF(E508="","",E508/MAX(E$5:E508)-1)</f>
        <v/>
      </c>
      <c r="H508" s="13" t="str">
        <f>IF(OR('实盘净值数据(iFinD）'!$A508="",'实盘净值数据(iFinD）'!$B508=""),"",分期持仓明细!$AB$19*SUMPRODUCT(分期持仓明细!$B$19:$Y$19,'实盘净值数据(iFinD）'!$B508:$Y508/'实盘净值数据(iFinD）'!$B$20:$Y$20)*(1-实盘持仓初始配置!$Z$6)^(('实盘净值数据(iFinD）'!$A508-'实盘净值数据(iFinD）'!$A$7)/365))</f>
        <v/>
      </c>
      <c r="I508" s="16" t="str">
        <f t="shared" ref="I508:I571" si="50">IF(OR(H507="",H508=""),"",H508/H507-1)</f>
        <v/>
      </c>
      <c r="J508" s="16" t="str">
        <f>IF(H508="","",H508/MAX(H$5:H508)-1)</f>
        <v/>
      </c>
      <c r="K508" s="13" t="str">
        <f>IF(OR('实盘净值数据(iFinD）'!$A508="",'实盘净值数据(iFinD）'!$B508="",'实盘净值数据(iFinD）'!$Z508="",'实盘净值数据(iFinD）'!$AA508=""),"",分期持仓明细!$AB$23*(SUMPRODUCT(分期持仓明细!$B$23:$Y$23,'实盘净值数据(iFinD）'!$B508:$Y508/'实盘净值数据(iFinD）'!$B$65:$Y$65)+SUMPRODUCT(分期持仓明细!$AC$23:$AD$23,'实盘净值数据(iFinD）'!$Z508:$AA508/'实盘净值数据(iFinD）'!$Z$65:$AA$65))*(1-实盘持仓初始配置!$Z$7)^(('实盘净值数据(iFinD）'!$A508-'实盘净值数据(iFinD）'!$A$8)/365))</f>
        <v/>
      </c>
      <c r="L508" s="16" t="str">
        <f t="shared" ref="L508:L571" si="51">IF(OR(K507="",K508=""),"",K508/K507-1)</f>
        <v/>
      </c>
      <c r="M508" s="16" t="str">
        <f>IF(K508="","",K508/MAX(K$5:K508)-1)</f>
        <v/>
      </c>
      <c r="N508" s="13" t="str">
        <f>IF(OR('实盘净值数据(iFinD）'!$A508="",'实盘净值数据(iFinD）'!$B508="",'实盘净值数据(iFinD）'!$Z508="",'实盘净值数据(iFinD）'!$AA508=""),"",分期持仓明细!$AB$24*(SUMPRODUCT(分期持仓明细!$B$24:$Y$24,'实盘净值数据(iFinD）'!$B508:$Y508/'实盘净值数据(iFinD）'!$B$65:$Y$65)+SUMPRODUCT(分期持仓明细!$AC$24:$AD$24,'实盘净值数据(iFinD）'!$Z508:$AA508/'实盘净值数据(iFinD）'!$Z$65:$AA$65))*(1-实盘持仓初始配置!$Z$8)^(('实盘净值数据(iFinD）'!$A508-'实盘净值数据(iFinD）'!$A$5)/365))</f>
        <v/>
      </c>
      <c r="O508" s="16" t="str">
        <f t="shared" ref="O508:O571" si="52">IF(OR(N507="",N508=""),"",N508/N507-1)</f>
        <v/>
      </c>
      <c r="P508" s="16" t="str">
        <f>IF(N508="","",N508/MAX(N$5:N508)-1)</f>
        <v/>
      </c>
      <c r="Q508" s="13" t="str">
        <f>IF(OR('实盘净值数据(iFinD）'!$A508="",'实盘净值数据(iFinD）'!$B508="",'实盘净值数据(iFinD）'!$Z508="",'实盘净值数据(iFinD）'!$AA508=""),"",分期持仓明细!$AB$25*(SUMPRODUCT(分期持仓明细!$B$25:$Y$25,'实盘净值数据(iFinD）'!$B508:$Y508/'实盘净值数据(iFinD）'!$B$65:$Y$65)+SUMPRODUCT(分期持仓明细!$AC$25:$AD$25,'实盘净值数据(iFinD）'!$Z508:$AA508/'实盘净值数据(iFinD）'!$Z$65:$AA$65))*(1-实盘持仓初始配置!$Z$9)^(('实盘净值数据(iFinD）'!$A508-'实盘净值数据(iFinD）'!$A$8)/365))</f>
        <v/>
      </c>
      <c r="R508" s="16" t="str">
        <f t="shared" ref="R508:R571" si="53">IF(OR(Q507="",Q508=""),"",Q508/Q507-1)</f>
        <v/>
      </c>
      <c r="S508" s="16" t="str">
        <f>IF(Q508="","",Q508/MAX(Q$5:Q508)-1)</f>
        <v/>
      </c>
    </row>
    <row r="509" spans="1:19">
      <c r="A509" s="15" t="str">
        <f>IF('实盘净值数据(iFinD）'!A509="","",'实盘净值数据(iFinD）'!A509)</f>
        <v/>
      </c>
      <c r="B509" s="13" t="str">
        <f>IF(OR('实盘净值数据(iFinD）'!$A509="",'实盘净值数据(iFinD）'!$B509=""),"",分期持仓明细!$AB$17*SUMPRODUCT(分期持仓明细!$B$17:$Y$17,'实盘净值数据(iFinD）'!$B509:$Y509/'实盘净值数据(iFinD）'!$B$20:$Y$20)*(1-实盘持仓初始配置!$Z$4)^(('实盘净值数据(iFinD）'!$A509-'实盘净值数据(iFinD）'!$A$6)/365))</f>
        <v/>
      </c>
      <c r="C509" s="16" t="str">
        <f t="shared" si="48"/>
        <v/>
      </c>
      <c r="D509" s="16" t="str">
        <f>IF(B509="","",B509/MAX(B$5:B509)-1)</f>
        <v/>
      </c>
      <c r="E509" s="13" t="str">
        <f>IF(OR('实盘净值数据(iFinD）'!$A509="",'实盘净值数据(iFinD）'!$B509=""),"",分期持仓明细!$AB$18*SUMPRODUCT(分期持仓明细!$B$18:$Y$18,'实盘净值数据(iFinD）'!$B509:$Y509/'实盘净值数据(iFinD）'!$B$20:$Y$20)*(1-实盘持仓初始配置!$Z$5)^(('实盘净值数据(iFinD）'!$A509-'实盘净值数据(iFinD）'!$A$5)/365))</f>
        <v/>
      </c>
      <c r="F509" s="16" t="str">
        <f t="shared" si="49"/>
        <v/>
      </c>
      <c r="G509" s="16" t="str">
        <f>IF(E509="","",E509/MAX(E$5:E509)-1)</f>
        <v/>
      </c>
      <c r="H509" s="13" t="str">
        <f>IF(OR('实盘净值数据(iFinD）'!$A509="",'实盘净值数据(iFinD）'!$B509=""),"",分期持仓明细!$AB$19*SUMPRODUCT(分期持仓明细!$B$19:$Y$19,'实盘净值数据(iFinD）'!$B509:$Y509/'实盘净值数据(iFinD）'!$B$20:$Y$20)*(1-实盘持仓初始配置!$Z$6)^(('实盘净值数据(iFinD）'!$A509-'实盘净值数据(iFinD）'!$A$7)/365))</f>
        <v/>
      </c>
      <c r="I509" s="16" t="str">
        <f t="shared" si="50"/>
        <v/>
      </c>
      <c r="J509" s="16" t="str">
        <f>IF(H509="","",H509/MAX(H$5:H509)-1)</f>
        <v/>
      </c>
      <c r="K509" s="13" t="str">
        <f>IF(OR('实盘净值数据(iFinD）'!$A509="",'实盘净值数据(iFinD）'!$B509="",'实盘净值数据(iFinD）'!$Z509="",'实盘净值数据(iFinD）'!$AA509=""),"",分期持仓明细!$AB$23*(SUMPRODUCT(分期持仓明细!$B$23:$Y$23,'实盘净值数据(iFinD）'!$B509:$Y509/'实盘净值数据(iFinD）'!$B$65:$Y$65)+SUMPRODUCT(分期持仓明细!$AC$23:$AD$23,'实盘净值数据(iFinD）'!$Z509:$AA509/'实盘净值数据(iFinD）'!$Z$65:$AA$65))*(1-实盘持仓初始配置!$Z$7)^(('实盘净值数据(iFinD）'!$A509-'实盘净值数据(iFinD）'!$A$8)/365))</f>
        <v/>
      </c>
      <c r="L509" s="16" t="str">
        <f t="shared" si="51"/>
        <v/>
      </c>
      <c r="M509" s="16" t="str">
        <f>IF(K509="","",K509/MAX(K$5:K509)-1)</f>
        <v/>
      </c>
      <c r="N509" s="13" t="str">
        <f>IF(OR('实盘净值数据(iFinD）'!$A509="",'实盘净值数据(iFinD）'!$B509="",'实盘净值数据(iFinD）'!$Z509="",'实盘净值数据(iFinD）'!$AA509=""),"",分期持仓明细!$AB$24*(SUMPRODUCT(分期持仓明细!$B$24:$Y$24,'实盘净值数据(iFinD）'!$B509:$Y509/'实盘净值数据(iFinD）'!$B$65:$Y$65)+SUMPRODUCT(分期持仓明细!$AC$24:$AD$24,'实盘净值数据(iFinD）'!$Z509:$AA509/'实盘净值数据(iFinD）'!$Z$65:$AA$65))*(1-实盘持仓初始配置!$Z$8)^(('实盘净值数据(iFinD）'!$A509-'实盘净值数据(iFinD）'!$A$5)/365))</f>
        <v/>
      </c>
      <c r="O509" s="16" t="str">
        <f t="shared" si="52"/>
        <v/>
      </c>
      <c r="P509" s="16" t="str">
        <f>IF(N509="","",N509/MAX(N$5:N509)-1)</f>
        <v/>
      </c>
      <c r="Q509" s="13" t="str">
        <f>IF(OR('实盘净值数据(iFinD）'!$A509="",'实盘净值数据(iFinD）'!$B509="",'实盘净值数据(iFinD）'!$Z509="",'实盘净值数据(iFinD）'!$AA509=""),"",分期持仓明细!$AB$25*(SUMPRODUCT(分期持仓明细!$B$25:$Y$25,'实盘净值数据(iFinD）'!$B509:$Y509/'实盘净值数据(iFinD）'!$B$65:$Y$65)+SUMPRODUCT(分期持仓明细!$AC$25:$AD$25,'实盘净值数据(iFinD）'!$Z509:$AA509/'实盘净值数据(iFinD）'!$Z$65:$AA$65))*(1-实盘持仓初始配置!$Z$9)^(('实盘净值数据(iFinD）'!$A509-'实盘净值数据(iFinD）'!$A$8)/365))</f>
        <v/>
      </c>
      <c r="R509" s="16" t="str">
        <f t="shared" si="53"/>
        <v/>
      </c>
      <c r="S509" s="16" t="str">
        <f>IF(Q509="","",Q509/MAX(Q$5:Q509)-1)</f>
        <v/>
      </c>
    </row>
    <row r="510" spans="1:19">
      <c r="A510" s="15" t="str">
        <f>IF('实盘净值数据(iFinD）'!A510="","",'实盘净值数据(iFinD）'!A510)</f>
        <v/>
      </c>
      <c r="B510" s="13" t="str">
        <f>IF(OR('实盘净值数据(iFinD）'!$A510="",'实盘净值数据(iFinD）'!$B510=""),"",分期持仓明细!$AB$17*SUMPRODUCT(分期持仓明细!$B$17:$Y$17,'实盘净值数据(iFinD）'!$B510:$Y510/'实盘净值数据(iFinD）'!$B$20:$Y$20)*(1-实盘持仓初始配置!$Z$4)^(('实盘净值数据(iFinD）'!$A510-'实盘净值数据(iFinD）'!$A$6)/365))</f>
        <v/>
      </c>
      <c r="C510" s="16" t="str">
        <f t="shared" si="48"/>
        <v/>
      </c>
      <c r="D510" s="16" t="str">
        <f>IF(B510="","",B510/MAX(B$5:B510)-1)</f>
        <v/>
      </c>
      <c r="E510" s="13" t="str">
        <f>IF(OR('实盘净值数据(iFinD）'!$A510="",'实盘净值数据(iFinD）'!$B510=""),"",分期持仓明细!$AB$18*SUMPRODUCT(分期持仓明细!$B$18:$Y$18,'实盘净值数据(iFinD）'!$B510:$Y510/'实盘净值数据(iFinD）'!$B$20:$Y$20)*(1-实盘持仓初始配置!$Z$5)^(('实盘净值数据(iFinD）'!$A510-'实盘净值数据(iFinD）'!$A$5)/365))</f>
        <v/>
      </c>
      <c r="F510" s="16" t="str">
        <f t="shared" si="49"/>
        <v/>
      </c>
      <c r="G510" s="16" t="str">
        <f>IF(E510="","",E510/MAX(E$5:E510)-1)</f>
        <v/>
      </c>
      <c r="H510" s="13" t="str">
        <f>IF(OR('实盘净值数据(iFinD）'!$A510="",'实盘净值数据(iFinD）'!$B510=""),"",分期持仓明细!$AB$19*SUMPRODUCT(分期持仓明细!$B$19:$Y$19,'实盘净值数据(iFinD）'!$B510:$Y510/'实盘净值数据(iFinD）'!$B$20:$Y$20)*(1-实盘持仓初始配置!$Z$6)^(('实盘净值数据(iFinD）'!$A510-'实盘净值数据(iFinD）'!$A$7)/365))</f>
        <v/>
      </c>
      <c r="I510" s="16" t="str">
        <f t="shared" si="50"/>
        <v/>
      </c>
      <c r="J510" s="16" t="str">
        <f>IF(H510="","",H510/MAX(H$5:H510)-1)</f>
        <v/>
      </c>
      <c r="K510" s="13" t="str">
        <f>IF(OR('实盘净值数据(iFinD）'!$A510="",'实盘净值数据(iFinD）'!$B510="",'实盘净值数据(iFinD）'!$Z510="",'实盘净值数据(iFinD）'!$AA510=""),"",分期持仓明细!$AB$23*(SUMPRODUCT(分期持仓明细!$B$23:$Y$23,'实盘净值数据(iFinD）'!$B510:$Y510/'实盘净值数据(iFinD）'!$B$65:$Y$65)+SUMPRODUCT(分期持仓明细!$AC$23:$AD$23,'实盘净值数据(iFinD）'!$Z510:$AA510/'实盘净值数据(iFinD）'!$Z$65:$AA$65))*(1-实盘持仓初始配置!$Z$7)^(('实盘净值数据(iFinD）'!$A510-'实盘净值数据(iFinD）'!$A$8)/365))</f>
        <v/>
      </c>
      <c r="L510" s="16" t="str">
        <f t="shared" si="51"/>
        <v/>
      </c>
      <c r="M510" s="16" t="str">
        <f>IF(K510="","",K510/MAX(K$5:K510)-1)</f>
        <v/>
      </c>
      <c r="N510" s="13" t="str">
        <f>IF(OR('实盘净值数据(iFinD）'!$A510="",'实盘净值数据(iFinD）'!$B510="",'实盘净值数据(iFinD）'!$Z510="",'实盘净值数据(iFinD）'!$AA510=""),"",分期持仓明细!$AB$24*(SUMPRODUCT(分期持仓明细!$B$24:$Y$24,'实盘净值数据(iFinD）'!$B510:$Y510/'实盘净值数据(iFinD）'!$B$65:$Y$65)+SUMPRODUCT(分期持仓明细!$AC$24:$AD$24,'实盘净值数据(iFinD）'!$Z510:$AA510/'实盘净值数据(iFinD）'!$Z$65:$AA$65))*(1-实盘持仓初始配置!$Z$8)^(('实盘净值数据(iFinD）'!$A510-'实盘净值数据(iFinD）'!$A$5)/365))</f>
        <v/>
      </c>
      <c r="O510" s="16" t="str">
        <f t="shared" si="52"/>
        <v/>
      </c>
      <c r="P510" s="16" t="str">
        <f>IF(N510="","",N510/MAX(N$5:N510)-1)</f>
        <v/>
      </c>
      <c r="Q510" s="13" t="str">
        <f>IF(OR('实盘净值数据(iFinD）'!$A510="",'实盘净值数据(iFinD）'!$B510="",'实盘净值数据(iFinD）'!$Z510="",'实盘净值数据(iFinD）'!$AA510=""),"",分期持仓明细!$AB$25*(SUMPRODUCT(分期持仓明细!$B$25:$Y$25,'实盘净值数据(iFinD）'!$B510:$Y510/'实盘净值数据(iFinD）'!$B$65:$Y$65)+SUMPRODUCT(分期持仓明细!$AC$25:$AD$25,'实盘净值数据(iFinD）'!$Z510:$AA510/'实盘净值数据(iFinD）'!$Z$65:$AA$65))*(1-实盘持仓初始配置!$Z$9)^(('实盘净值数据(iFinD）'!$A510-'实盘净值数据(iFinD）'!$A$8)/365))</f>
        <v/>
      </c>
      <c r="R510" s="16" t="str">
        <f t="shared" si="53"/>
        <v/>
      </c>
      <c r="S510" s="16" t="str">
        <f>IF(Q510="","",Q510/MAX(Q$5:Q510)-1)</f>
        <v/>
      </c>
    </row>
    <row r="511" spans="1:19">
      <c r="A511" s="15" t="str">
        <f>IF('实盘净值数据(iFinD）'!A511="","",'实盘净值数据(iFinD）'!A511)</f>
        <v/>
      </c>
      <c r="B511" s="13" t="str">
        <f>IF(OR('实盘净值数据(iFinD）'!$A511="",'实盘净值数据(iFinD）'!$B511=""),"",分期持仓明细!$AB$17*SUMPRODUCT(分期持仓明细!$B$17:$Y$17,'实盘净值数据(iFinD）'!$B511:$Y511/'实盘净值数据(iFinD）'!$B$20:$Y$20)*(1-实盘持仓初始配置!$Z$4)^(('实盘净值数据(iFinD）'!$A511-'实盘净值数据(iFinD）'!$A$6)/365))</f>
        <v/>
      </c>
      <c r="C511" s="16" t="str">
        <f t="shared" si="48"/>
        <v/>
      </c>
      <c r="D511" s="16" t="str">
        <f>IF(B511="","",B511/MAX(B$5:B511)-1)</f>
        <v/>
      </c>
      <c r="E511" s="13" t="str">
        <f>IF(OR('实盘净值数据(iFinD）'!$A511="",'实盘净值数据(iFinD）'!$B511=""),"",分期持仓明细!$AB$18*SUMPRODUCT(分期持仓明细!$B$18:$Y$18,'实盘净值数据(iFinD）'!$B511:$Y511/'实盘净值数据(iFinD）'!$B$20:$Y$20)*(1-实盘持仓初始配置!$Z$5)^(('实盘净值数据(iFinD）'!$A511-'实盘净值数据(iFinD）'!$A$5)/365))</f>
        <v/>
      </c>
      <c r="F511" s="16" t="str">
        <f t="shared" si="49"/>
        <v/>
      </c>
      <c r="G511" s="16" t="str">
        <f>IF(E511="","",E511/MAX(E$5:E511)-1)</f>
        <v/>
      </c>
      <c r="H511" s="13" t="str">
        <f>IF(OR('实盘净值数据(iFinD）'!$A511="",'实盘净值数据(iFinD）'!$B511=""),"",分期持仓明细!$AB$19*SUMPRODUCT(分期持仓明细!$B$19:$Y$19,'实盘净值数据(iFinD）'!$B511:$Y511/'实盘净值数据(iFinD）'!$B$20:$Y$20)*(1-实盘持仓初始配置!$Z$6)^(('实盘净值数据(iFinD）'!$A511-'实盘净值数据(iFinD）'!$A$7)/365))</f>
        <v/>
      </c>
      <c r="I511" s="16" t="str">
        <f t="shared" si="50"/>
        <v/>
      </c>
      <c r="J511" s="16" t="str">
        <f>IF(H511="","",H511/MAX(H$5:H511)-1)</f>
        <v/>
      </c>
      <c r="K511" s="13" t="str">
        <f>IF(OR('实盘净值数据(iFinD）'!$A511="",'实盘净值数据(iFinD）'!$B511="",'实盘净值数据(iFinD）'!$Z511="",'实盘净值数据(iFinD）'!$AA511=""),"",分期持仓明细!$AB$23*(SUMPRODUCT(分期持仓明细!$B$23:$Y$23,'实盘净值数据(iFinD）'!$B511:$Y511/'实盘净值数据(iFinD）'!$B$65:$Y$65)+SUMPRODUCT(分期持仓明细!$AC$23:$AD$23,'实盘净值数据(iFinD）'!$Z511:$AA511/'实盘净值数据(iFinD）'!$Z$65:$AA$65))*(1-实盘持仓初始配置!$Z$7)^(('实盘净值数据(iFinD）'!$A511-'实盘净值数据(iFinD）'!$A$8)/365))</f>
        <v/>
      </c>
      <c r="L511" s="16" t="str">
        <f t="shared" si="51"/>
        <v/>
      </c>
      <c r="M511" s="16" t="str">
        <f>IF(K511="","",K511/MAX(K$5:K511)-1)</f>
        <v/>
      </c>
      <c r="N511" s="13" t="str">
        <f>IF(OR('实盘净值数据(iFinD）'!$A511="",'实盘净值数据(iFinD）'!$B511="",'实盘净值数据(iFinD）'!$Z511="",'实盘净值数据(iFinD）'!$AA511=""),"",分期持仓明细!$AB$24*(SUMPRODUCT(分期持仓明细!$B$24:$Y$24,'实盘净值数据(iFinD）'!$B511:$Y511/'实盘净值数据(iFinD）'!$B$65:$Y$65)+SUMPRODUCT(分期持仓明细!$AC$24:$AD$24,'实盘净值数据(iFinD）'!$Z511:$AA511/'实盘净值数据(iFinD）'!$Z$65:$AA$65))*(1-实盘持仓初始配置!$Z$8)^(('实盘净值数据(iFinD）'!$A511-'实盘净值数据(iFinD）'!$A$5)/365))</f>
        <v/>
      </c>
      <c r="O511" s="16" t="str">
        <f t="shared" si="52"/>
        <v/>
      </c>
      <c r="P511" s="16" t="str">
        <f>IF(N511="","",N511/MAX(N$5:N511)-1)</f>
        <v/>
      </c>
      <c r="Q511" s="13" t="str">
        <f>IF(OR('实盘净值数据(iFinD）'!$A511="",'实盘净值数据(iFinD）'!$B511="",'实盘净值数据(iFinD）'!$Z511="",'实盘净值数据(iFinD）'!$AA511=""),"",分期持仓明细!$AB$25*(SUMPRODUCT(分期持仓明细!$B$25:$Y$25,'实盘净值数据(iFinD）'!$B511:$Y511/'实盘净值数据(iFinD）'!$B$65:$Y$65)+SUMPRODUCT(分期持仓明细!$AC$25:$AD$25,'实盘净值数据(iFinD）'!$Z511:$AA511/'实盘净值数据(iFinD）'!$Z$65:$AA$65))*(1-实盘持仓初始配置!$Z$9)^(('实盘净值数据(iFinD）'!$A511-'实盘净值数据(iFinD）'!$A$8)/365))</f>
        <v/>
      </c>
      <c r="R511" s="16" t="str">
        <f t="shared" si="53"/>
        <v/>
      </c>
      <c r="S511" s="16" t="str">
        <f>IF(Q511="","",Q511/MAX(Q$5:Q511)-1)</f>
        <v/>
      </c>
    </row>
    <row r="512" spans="1:19">
      <c r="A512" s="15" t="str">
        <f>IF('实盘净值数据(iFinD）'!A512="","",'实盘净值数据(iFinD）'!A512)</f>
        <v/>
      </c>
      <c r="B512" s="13" t="str">
        <f>IF(OR('实盘净值数据(iFinD）'!$A512="",'实盘净值数据(iFinD）'!$B512=""),"",分期持仓明细!$AB$17*SUMPRODUCT(分期持仓明细!$B$17:$Y$17,'实盘净值数据(iFinD）'!$B512:$Y512/'实盘净值数据(iFinD）'!$B$20:$Y$20)*(1-实盘持仓初始配置!$Z$4)^(('实盘净值数据(iFinD）'!$A512-'实盘净值数据(iFinD）'!$A$6)/365))</f>
        <v/>
      </c>
      <c r="C512" s="16" t="str">
        <f t="shared" si="48"/>
        <v/>
      </c>
      <c r="D512" s="16" t="str">
        <f>IF(B512="","",B512/MAX(B$5:B512)-1)</f>
        <v/>
      </c>
      <c r="E512" s="13" t="str">
        <f>IF(OR('实盘净值数据(iFinD）'!$A512="",'实盘净值数据(iFinD）'!$B512=""),"",分期持仓明细!$AB$18*SUMPRODUCT(分期持仓明细!$B$18:$Y$18,'实盘净值数据(iFinD）'!$B512:$Y512/'实盘净值数据(iFinD）'!$B$20:$Y$20)*(1-实盘持仓初始配置!$Z$5)^(('实盘净值数据(iFinD）'!$A512-'实盘净值数据(iFinD）'!$A$5)/365))</f>
        <v/>
      </c>
      <c r="F512" s="16" t="str">
        <f t="shared" si="49"/>
        <v/>
      </c>
      <c r="G512" s="16" t="str">
        <f>IF(E512="","",E512/MAX(E$5:E512)-1)</f>
        <v/>
      </c>
      <c r="H512" s="13" t="str">
        <f>IF(OR('实盘净值数据(iFinD）'!$A512="",'实盘净值数据(iFinD）'!$B512=""),"",分期持仓明细!$AB$19*SUMPRODUCT(分期持仓明细!$B$19:$Y$19,'实盘净值数据(iFinD）'!$B512:$Y512/'实盘净值数据(iFinD）'!$B$20:$Y$20)*(1-实盘持仓初始配置!$Z$6)^(('实盘净值数据(iFinD）'!$A512-'实盘净值数据(iFinD）'!$A$7)/365))</f>
        <v/>
      </c>
      <c r="I512" s="16" t="str">
        <f t="shared" si="50"/>
        <v/>
      </c>
      <c r="J512" s="16" t="str">
        <f>IF(H512="","",H512/MAX(H$5:H512)-1)</f>
        <v/>
      </c>
      <c r="K512" s="13" t="str">
        <f>IF(OR('实盘净值数据(iFinD）'!$A512="",'实盘净值数据(iFinD）'!$B512="",'实盘净值数据(iFinD）'!$Z512="",'实盘净值数据(iFinD）'!$AA512=""),"",分期持仓明细!$AB$23*(SUMPRODUCT(分期持仓明细!$B$23:$Y$23,'实盘净值数据(iFinD）'!$B512:$Y512/'实盘净值数据(iFinD）'!$B$65:$Y$65)+SUMPRODUCT(分期持仓明细!$AC$23:$AD$23,'实盘净值数据(iFinD）'!$Z512:$AA512/'实盘净值数据(iFinD）'!$Z$65:$AA$65))*(1-实盘持仓初始配置!$Z$7)^(('实盘净值数据(iFinD）'!$A512-'实盘净值数据(iFinD）'!$A$8)/365))</f>
        <v/>
      </c>
      <c r="L512" s="16" t="str">
        <f t="shared" si="51"/>
        <v/>
      </c>
      <c r="M512" s="16" t="str">
        <f>IF(K512="","",K512/MAX(K$5:K512)-1)</f>
        <v/>
      </c>
      <c r="N512" s="13" t="str">
        <f>IF(OR('实盘净值数据(iFinD）'!$A512="",'实盘净值数据(iFinD）'!$B512="",'实盘净值数据(iFinD）'!$Z512="",'实盘净值数据(iFinD）'!$AA512=""),"",分期持仓明细!$AB$24*(SUMPRODUCT(分期持仓明细!$B$24:$Y$24,'实盘净值数据(iFinD）'!$B512:$Y512/'实盘净值数据(iFinD）'!$B$65:$Y$65)+SUMPRODUCT(分期持仓明细!$AC$24:$AD$24,'实盘净值数据(iFinD）'!$Z512:$AA512/'实盘净值数据(iFinD）'!$Z$65:$AA$65))*(1-实盘持仓初始配置!$Z$8)^(('实盘净值数据(iFinD）'!$A512-'实盘净值数据(iFinD）'!$A$5)/365))</f>
        <v/>
      </c>
      <c r="O512" s="16" t="str">
        <f t="shared" si="52"/>
        <v/>
      </c>
      <c r="P512" s="16" t="str">
        <f>IF(N512="","",N512/MAX(N$5:N512)-1)</f>
        <v/>
      </c>
      <c r="Q512" s="13" t="str">
        <f>IF(OR('实盘净值数据(iFinD）'!$A512="",'实盘净值数据(iFinD）'!$B512="",'实盘净值数据(iFinD）'!$Z512="",'实盘净值数据(iFinD）'!$AA512=""),"",分期持仓明细!$AB$25*(SUMPRODUCT(分期持仓明细!$B$25:$Y$25,'实盘净值数据(iFinD）'!$B512:$Y512/'实盘净值数据(iFinD）'!$B$65:$Y$65)+SUMPRODUCT(分期持仓明细!$AC$25:$AD$25,'实盘净值数据(iFinD）'!$Z512:$AA512/'实盘净值数据(iFinD）'!$Z$65:$AA$65))*(1-实盘持仓初始配置!$Z$9)^(('实盘净值数据(iFinD）'!$A512-'实盘净值数据(iFinD）'!$A$8)/365))</f>
        <v/>
      </c>
      <c r="R512" s="16" t="str">
        <f t="shared" si="53"/>
        <v/>
      </c>
      <c r="S512" s="16" t="str">
        <f>IF(Q512="","",Q512/MAX(Q$5:Q512)-1)</f>
        <v/>
      </c>
    </row>
    <row r="513" spans="1:19">
      <c r="A513" s="15" t="str">
        <f>IF('实盘净值数据(iFinD）'!A513="","",'实盘净值数据(iFinD）'!A513)</f>
        <v/>
      </c>
      <c r="B513" s="13" t="str">
        <f>IF(OR('实盘净值数据(iFinD）'!$A513="",'实盘净值数据(iFinD）'!$B513=""),"",分期持仓明细!$AB$17*SUMPRODUCT(分期持仓明细!$B$17:$Y$17,'实盘净值数据(iFinD）'!$B513:$Y513/'实盘净值数据(iFinD）'!$B$20:$Y$20)*(1-实盘持仓初始配置!$Z$4)^(('实盘净值数据(iFinD）'!$A513-'实盘净值数据(iFinD）'!$A$6)/365))</f>
        <v/>
      </c>
      <c r="C513" s="16" t="str">
        <f t="shared" si="48"/>
        <v/>
      </c>
      <c r="D513" s="16" t="str">
        <f>IF(B513="","",B513/MAX(B$5:B513)-1)</f>
        <v/>
      </c>
      <c r="E513" s="13" t="str">
        <f>IF(OR('实盘净值数据(iFinD）'!$A513="",'实盘净值数据(iFinD）'!$B513=""),"",分期持仓明细!$AB$18*SUMPRODUCT(分期持仓明细!$B$18:$Y$18,'实盘净值数据(iFinD）'!$B513:$Y513/'实盘净值数据(iFinD）'!$B$20:$Y$20)*(1-实盘持仓初始配置!$Z$5)^(('实盘净值数据(iFinD）'!$A513-'实盘净值数据(iFinD）'!$A$5)/365))</f>
        <v/>
      </c>
      <c r="F513" s="16" t="str">
        <f t="shared" si="49"/>
        <v/>
      </c>
      <c r="G513" s="16" t="str">
        <f>IF(E513="","",E513/MAX(E$5:E513)-1)</f>
        <v/>
      </c>
      <c r="H513" s="13" t="str">
        <f>IF(OR('实盘净值数据(iFinD）'!$A513="",'实盘净值数据(iFinD）'!$B513=""),"",分期持仓明细!$AB$19*SUMPRODUCT(分期持仓明细!$B$19:$Y$19,'实盘净值数据(iFinD）'!$B513:$Y513/'实盘净值数据(iFinD）'!$B$20:$Y$20)*(1-实盘持仓初始配置!$Z$6)^(('实盘净值数据(iFinD）'!$A513-'实盘净值数据(iFinD）'!$A$7)/365))</f>
        <v/>
      </c>
      <c r="I513" s="16" t="str">
        <f t="shared" si="50"/>
        <v/>
      </c>
      <c r="J513" s="16" t="str">
        <f>IF(H513="","",H513/MAX(H$5:H513)-1)</f>
        <v/>
      </c>
      <c r="K513" s="13" t="str">
        <f>IF(OR('实盘净值数据(iFinD）'!$A513="",'实盘净值数据(iFinD）'!$B513="",'实盘净值数据(iFinD）'!$Z513="",'实盘净值数据(iFinD）'!$AA513=""),"",分期持仓明细!$AB$23*(SUMPRODUCT(分期持仓明细!$B$23:$Y$23,'实盘净值数据(iFinD）'!$B513:$Y513/'实盘净值数据(iFinD）'!$B$65:$Y$65)+SUMPRODUCT(分期持仓明细!$AC$23:$AD$23,'实盘净值数据(iFinD）'!$Z513:$AA513/'实盘净值数据(iFinD）'!$Z$65:$AA$65))*(1-实盘持仓初始配置!$Z$7)^(('实盘净值数据(iFinD）'!$A513-'实盘净值数据(iFinD）'!$A$8)/365))</f>
        <v/>
      </c>
      <c r="L513" s="16" t="str">
        <f t="shared" si="51"/>
        <v/>
      </c>
      <c r="M513" s="16" t="str">
        <f>IF(K513="","",K513/MAX(K$5:K513)-1)</f>
        <v/>
      </c>
      <c r="N513" s="13" t="str">
        <f>IF(OR('实盘净值数据(iFinD）'!$A513="",'实盘净值数据(iFinD）'!$B513="",'实盘净值数据(iFinD）'!$Z513="",'实盘净值数据(iFinD）'!$AA513=""),"",分期持仓明细!$AB$24*(SUMPRODUCT(分期持仓明细!$B$24:$Y$24,'实盘净值数据(iFinD）'!$B513:$Y513/'实盘净值数据(iFinD）'!$B$65:$Y$65)+SUMPRODUCT(分期持仓明细!$AC$24:$AD$24,'实盘净值数据(iFinD）'!$Z513:$AA513/'实盘净值数据(iFinD）'!$Z$65:$AA$65))*(1-实盘持仓初始配置!$Z$8)^(('实盘净值数据(iFinD）'!$A513-'实盘净值数据(iFinD）'!$A$5)/365))</f>
        <v/>
      </c>
      <c r="O513" s="16" t="str">
        <f t="shared" si="52"/>
        <v/>
      </c>
      <c r="P513" s="16" t="str">
        <f>IF(N513="","",N513/MAX(N$5:N513)-1)</f>
        <v/>
      </c>
      <c r="Q513" s="13" t="str">
        <f>IF(OR('实盘净值数据(iFinD）'!$A513="",'实盘净值数据(iFinD）'!$B513="",'实盘净值数据(iFinD）'!$Z513="",'实盘净值数据(iFinD）'!$AA513=""),"",分期持仓明细!$AB$25*(SUMPRODUCT(分期持仓明细!$B$25:$Y$25,'实盘净值数据(iFinD）'!$B513:$Y513/'实盘净值数据(iFinD）'!$B$65:$Y$65)+SUMPRODUCT(分期持仓明细!$AC$25:$AD$25,'实盘净值数据(iFinD）'!$Z513:$AA513/'实盘净值数据(iFinD）'!$Z$65:$AA$65))*(1-实盘持仓初始配置!$Z$9)^(('实盘净值数据(iFinD）'!$A513-'实盘净值数据(iFinD）'!$A$8)/365))</f>
        <v/>
      </c>
      <c r="R513" s="16" t="str">
        <f t="shared" si="53"/>
        <v/>
      </c>
      <c r="S513" s="16" t="str">
        <f>IF(Q513="","",Q513/MAX(Q$5:Q513)-1)</f>
        <v/>
      </c>
    </row>
    <row r="514" spans="1:19">
      <c r="A514" s="15" t="str">
        <f>IF('实盘净值数据(iFinD）'!A514="","",'实盘净值数据(iFinD）'!A514)</f>
        <v/>
      </c>
      <c r="B514" s="13" t="str">
        <f>IF(OR('实盘净值数据(iFinD）'!$A514="",'实盘净值数据(iFinD）'!$B514=""),"",分期持仓明细!$AB$17*SUMPRODUCT(分期持仓明细!$B$17:$Y$17,'实盘净值数据(iFinD）'!$B514:$Y514/'实盘净值数据(iFinD）'!$B$20:$Y$20)*(1-实盘持仓初始配置!$Z$4)^(('实盘净值数据(iFinD）'!$A514-'实盘净值数据(iFinD）'!$A$6)/365))</f>
        <v/>
      </c>
      <c r="C514" s="16" t="str">
        <f t="shared" si="48"/>
        <v/>
      </c>
      <c r="D514" s="16" t="str">
        <f>IF(B514="","",B514/MAX(B$5:B514)-1)</f>
        <v/>
      </c>
      <c r="E514" s="13" t="str">
        <f>IF(OR('实盘净值数据(iFinD）'!$A514="",'实盘净值数据(iFinD）'!$B514=""),"",分期持仓明细!$AB$18*SUMPRODUCT(分期持仓明细!$B$18:$Y$18,'实盘净值数据(iFinD）'!$B514:$Y514/'实盘净值数据(iFinD）'!$B$20:$Y$20)*(1-实盘持仓初始配置!$Z$5)^(('实盘净值数据(iFinD）'!$A514-'实盘净值数据(iFinD）'!$A$5)/365))</f>
        <v/>
      </c>
      <c r="F514" s="16" t="str">
        <f t="shared" si="49"/>
        <v/>
      </c>
      <c r="G514" s="16" t="str">
        <f>IF(E514="","",E514/MAX(E$5:E514)-1)</f>
        <v/>
      </c>
      <c r="H514" s="13" t="str">
        <f>IF(OR('实盘净值数据(iFinD）'!$A514="",'实盘净值数据(iFinD）'!$B514=""),"",分期持仓明细!$AB$19*SUMPRODUCT(分期持仓明细!$B$19:$Y$19,'实盘净值数据(iFinD）'!$B514:$Y514/'实盘净值数据(iFinD）'!$B$20:$Y$20)*(1-实盘持仓初始配置!$Z$6)^(('实盘净值数据(iFinD）'!$A514-'实盘净值数据(iFinD）'!$A$7)/365))</f>
        <v/>
      </c>
      <c r="I514" s="16" t="str">
        <f t="shared" si="50"/>
        <v/>
      </c>
      <c r="J514" s="16" t="str">
        <f>IF(H514="","",H514/MAX(H$5:H514)-1)</f>
        <v/>
      </c>
      <c r="K514" s="13" t="str">
        <f>IF(OR('实盘净值数据(iFinD）'!$A514="",'实盘净值数据(iFinD）'!$B514="",'实盘净值数据(iFinD）'!$Z514="",'实盘净值数据(iFinD）'!$AA514=""),"",分期持仓明细!$AB$23*(SUMPRODUCT(分期持仓明细!$B$23:$Y$23,'实盘净值数据(iFinD）'!$B514:$Y514/'实盘净值数据(iFinD）'!$B$65:$Y$65)+SUMPRODUCT(分期持仓明细!$AC$23:$AD$23,'实盘净值数据(iFinD）'!$Z514:$AA514/'实盘净值数据(iFinD）'!$Z$65:$AA$65))*(1-实盘持仓初始配置!$Z$7)^(('实盘净值数据(iFinD）'!$A514-'实盘净值数据(iFinD）'!$A$8)/365))</f>
        <v/>
      </c>
      <c r="L514" s="16" t="str">
        <f t="shared" si="51"/>
        <v/>
      </c>
      <c r="M514" s="16" t="str">
        <f>IF(K514="","",K514/MAX(K$5:K514)-1)</f>
        <v/>
      </c>
      <c r="N514" s="13" t="str">
        <f>IF(OR('实盘净值数据(iFinD）'!$A514="",'实盘净值数据(iFinD）'!$B514="",'实盘净值数据(iFinD）'!$Z514="",'实盘净值数据(iFinD）'!$AA514=""),"",分期持仓明细!$AB$24*(SUMPRODUCT(分期持仓明细!$B$24:$Y$24,'实盘净值数据(iFinD）'!$B514:$Y514/'实盘净值数据(iFinD）'!$B$65:$Y$65)+SUMPRODUCT(分期持仓明细!$AC$24:$AD$24,'实盘净值数据(iFinD）'!$Z514:$AA514/'实盘净值数据(iFinD）'!$Z$65:$AA$65))*(1-实盘持仓初始配置!$Z$8)^(('实盘净值数据(iFinD）'!$A514-'实盘净值数据(iFinD）'!$A$5)/365))</f>
        <v/>
      </c>
      <c r="O514" s="16" t="str">
        <f t="shared" si="52"/>
        <v/>
      </c>
      <c r="P514" s="16" t="str">
        <f>IF(N514="","",N514/MAX(N$5:N514)-1)</f>
        <v/>
      </c>
      <c r="Q514" s="13" t="str">
        <f>IF(OR('实盘净值数据(iFinD）'!$A514="",'实盘净值数据(iFinD）'!$B514="",'实盘净值数据(iFinD）'!$Z514="",'实盘净值数据(iFinD）'!$AA514=""),"",分期持仓明细!$AB$25*(SUMPRODUCT(分期持仓明细!$B$25:$Y$25,'实盘净值数据(iFinD）'!$B514:$Y514/'实盘净值数据(iFinD）'!$B$65:$Y$65)+SUMPRODUCT(分期持仓明细!$AC$25:$AD$25,'实盘净值数据(iFinD）'!$Z514:$AA514/'实盘净值数据(iFinD）'!$Z$65:$AA$65))*(1-实盘持仓初始配置!$Z$9)^(('实盘净值数据(iFinD）'!$A514-'实盘净值数据(iFinD）'!$A$8)/365))</f>
        <v/>
      </c>
      <c r="R514" s="16" t="str">
        <f t="shared" si="53"/>
        <v/>
      </c>
      <c r="S514" s="16" t="str">
        <f>IF(Q514="","",Q514/MAX(Q$5:Q514)-1)</f>
        <v/>
      </c>
    </row>
    <row r="515" spans="1:19">
      <c r="A515" s="15" t="str">
        <f>IF('实盘净值数据(iFinD）'!A515="","",'实盘净值数据(iFinD）'!A515)</f>
        <v/>
      </c>
      <c r="B515" s="13" t="str">
        <f>IF(OR('实盘净值数据(iFinD）'!$A515="",'实盘净值数据(iFinD）'!$B515=""),"",分期持仓明细!$AB$17*SUMPRODUCT(分期持仓明细!$B$17:$Y$17,'实盘净值数据(iFinD）'!$B515:$Y515/'实盘净值数据(iFinD）'!$B$20:$Y$20)*(1-实盘持仓初始配置!$Z$4)^(('实盘净值数据(iFinD）'!$A515-'实盘净值数据(iFinD）'!$A$6)/365))</f>
        <v/>
      </c>
      <c r="C515" s="16" t="str">
        <f t="shared" si="48"/>
        <v/>
      </c>
      <c r="D515" s="16" t="str">
        <f>IF(B515="","",B515/MAX(B$5:B515)-1)</f>
        <v/>
      </c>
      <c r="E515" s="13" t="str">
        <f>IF(OR('实盘净值数据(iFinD）'!$A515="",'实盘净值数据(iFinD）'!$B515=""),"",分期持仓明细!$AB$18*SUMPRODUCT(分期持仓明细!$B$18:$Y$18,'实盘净值数据(iFinD）'!$B515:$Y515/'实盘净值数据(iFinD）'!$B$20:$Y$20)*(1-实盘持仓初始配置!$Z$5)^(('实盘净值数据(iFinD）'!$A515-'实盘净值数据(iFinD）'!$A$5)/365))</f>
        <v/>
      </c>
      <c r="F515" s="16" t="str">
        <f t="shared" si="49"/>
        <v/>
      </c>
      <c r="G515" s="16" t="str">
        <f>IF(E515="","",E515/MAX(E$5:E515)-1)</f>
        <v/>
      </c>
      <c r="H515" s="13" t="str">
        <f>IF(OR('实盘净值数据(iFinD）'!$A515="",'实盘净值数据(iFinD）'!$B515=""),"",分期持仓明细!$AB$19*SUMPRODUCT(分期持仓明细!$B$19:$Y$19,'实盘净值数据(iFinD）'!$B515:$Y515/'实盘净值数据(iFinD）'!$B$20:$Y$20)*(1-实盘持仓初始配置!$Z$6)^(('实盘净值数据(iFinD）'!$A515-'实盘净值数据(iFinD）'!$A$7)/365))</f>
        <v/>
      </c>
      <c r="I515" s="16" t="str">
        <f t="shared" si="50"/>
        <v/>
      </c>
      <c r="J515" s="16" t="str">
        <f>IF(H515="","",H515/MAX(H$5:H515)-1)</f>
        <v/>
      </c>
      <c r="K515" s="13" t="str">
        <f>IF(OR('实盘净值数据(iFinD）'!$A515="",'实盘净值数据(iFinD）'!$B515="",'实盘净值数据(iFinD）'!$Z515="",'实盘净值数据(iFinD）'!$AA515=""),"",分期持仓明细!$AB$23*(SUMPRODUCT(分期持仓明细!$B$23:$Y$23,'实盘净值数据(iFinD）'!$B515:$Y515/'实盘净值数据(iFinD）'!$B$65:$Y$65)+SUMPRODUCT(分期持仓明细!$AC$23:$AD$23,'实盘净值数据(iFinD）'!$Z515:$AA515/'实盘净值数据(iFinD）'!$Z$65:$AA$65))*(1-实盘持仓初始配置!$Z$7)^(('实盘净值数据(iFinD）'!$A515-'实盘净值数据(iFinD）'!$A$8)/365))</f>
        <v/>
      </c>
      <c r="L515" s="16" t="str">
        <f t="shared" si="51"/>
        <v/>
      </c>
      <c r="M515" s="16" t="str">
        <f>IF(K515="","",K515/MAX(K$5:K515)-1)</f>
        <v/>
      </c>
      <c r="N515" s="13" t="str">
        <f>IF(OR('实盘净值数据(iFinD）'!$A515="",'实盘净值数据(iFinD）'!$B515="",'实盘净值数据(iFinD）'!$Z515="",'实盘净值数据(iFinD）'!$AA515=""),"",分期持仓明细!$AB$24*(SUMPRODUCT(分期持仓明细!$B$24:$Y$24,'实盘净值数据(iFinD）'!$B515:$Y515/'实盘净值数据(iFinD）'!$B$65:$Y$65)+SUMPRODUCT(分期持仓明细!$AC$24:$AD$24,'实盘净值数据(iFinD）'!$Z515:$AA515/'实盘净值数据(iFinD）'!$Z$65:$AA$65))*(1-实盘持仓初始配置!$Z$8)^(('实盘净值数据(iFinD）'!$A515-'实盘净值数据(iFinD）'!$A$5)/365))</f>
        <v/>
      </c>
      <c r="O515" s="16" t="str">
        <f t="shared" si="52"/>
        <v/>
      </c>
      <c r="P515" s="16" t="str">
        <f>IF(N515="","",N515/MAX(N$5:N515)-1)</f>
        <v/>
      </c>
      <c r="Q515" s="13" t="str">
        <f>IF(OR('实盘净值数据(iFinD）'!$A515="",'实盘净值数据(iFinD）'!$B515="",'实盘净值数据(iFinD）'!$Z515="",'实盘净值数据(iFinD）'!$AA515=""),"",分期持仓明细!$AB$25*(SUMPRODUCT(分期持仓明细!$B$25:$Y$25,'实盘净值数据(iFinD）'!$B515:$Y515/'实盘净值数据(iFinD）'!$B$65:$Y$65)+SUMPRODUCT(分期持仓明细!$AC$25:$AD$25,'实盘净值数据(iFinD）'!$Z515:$AA515/'实盘净值数据(iFinD）'!$Z$65:$AA$65))*(1-实盘持仓初始配置!$Z$9)^(('实盘净值数据(iFinD）'!$A515-'实盘净值数据(iFinD）'!$A$8)/365))</f>
        <v/>
      </c>
      <c r="R515" s="16" t="str">
        <f t="shared" si="53"/>
        <v/>
      </c>
      <c r="S515" s="16" t="str">
        <f>IF(Q515="","",Q515/MAX(Q$5:Q515)-1)</f>
        <v/>
      </c>
    </row>
    <row r="516" spans="1:19">
      <c r="A516" s="15" t="str">
        <f>IF('实盘净值数据(iFinD）'!A516="","",'实盘净值数据(iFinD）'!A516)</f>
        <v/>
      </c>
      <c r="B516" s="13" t="str">
        <f>IF(OR('实盘净值数据(iFinD）'!$A516="",'实盘净值数据(iFinD）'!$B516=""),"",分期持仓明细!$AB$17*SUMPRODUCT(分期持仓明细!$B$17:$Y$17,'实盘净值数据(iFinD）'!$B516:$Y516/'实盘净值数据(iFinD）'!$B$20:$Y$20)*(1-实盘持仓初始配置!$Z$4)^(('实盘净值数据(iFinD）'!$A516-'实盘净值数据(iFinD）'!$A$6)/365))</f>
        <v/>
      </c>
      <c r="C516" s="16" t="str">
        <f t="shared" si="48"/>
        <v/>
      </c>
      <c r="D516" s="16" t="str">
        <f>IF(B516="","",B516/MAX(B$5:B516)-1)</f>
        <v/>
      </c>
      <c r="E516" s="13" t="str">
        <f>IF(OR('实盘净值数据(iFinD）'!$A516="",'实盘净值数据(iFinD）'!$B516=""),"",分期持仓明细!$AB$18*SUMPRODUCT(分期持仓明细!$B$18:$Y$18,'实盘净值数据(iFinD）'!$B516:$Y516/'实盘净值数据(iFinD）'!$B$20:$Y$20)*(1-实盘持仓初始配置!$Z$5)^(('实盘净值数据(iFinD）'!$A516-'实盘净值数据(iFinD）'!$A$5)/365))</f>
        <v/>
      </c>
      <c r="F516" s="16" t="str">
        <f t="shared" si="49"/>
        <v/>
      </c>
      <c r="G516" s="16" t="str">
        <f>IF(E516="","",E516/MAX(E$5:E516)-1)</f>
        <v/>
      </c>
      <c r="H516" s="13" t="str">
        <f>IF(OR('实盘净值数据(iFinD）'!$A516="",'实盘净值数据(iFinD）'!$B516=""),"",分期持仓明细!$AB$19*SUMPRODUCT(分期持仓明细!$B$19:$Y$19,'实盘净值数据(iFinD）'!$B516:$Y516/'实盘净值数据(iFinD）'!$B$20:$Y$20)*(1-实盘持仓初始配置!$Z$6)^(('实盘净值数据(iFinD）'!$A516-'实盘净值数据(iFinD）'!$A$7)/365))</f>
        <v/>
      </c>
      <c r="I516" s="16" t="str">
        <f t="shared" si="50"/>
        <v/>
      </c>
      <c r="J516" s="16" t="str">
        <f>IF(H516="","",H516/MAX(H$5:H516)-1)</f>
        <v/>
      </c>
      <c r="K516" s="13" t="str">
        <f>IF(OR('实盘净值数据(iFinD）'!$A516="",'实盘净值数据(iFinD）'!$B516="",'实盘净值数据(iFinD）'!$Z516="",'实盘净值数据(iFinD）'!$AA516=""),"",分期持仓明细!$AB$23*(SUMPRODUCT(分期持仓明细!$B$23:$Y$23,'实盘净值数据(iFinD）'!$B516:$Y516/'实盘净值数据(iFinD）'!$B$65:$Y$65)+SUMPRODUCT(分期持仓明细!$AC$23:$AD$23,'实盘净值数据(iFinD）'!$Z516:$AA516/'实盘净值数据(iFinD）'!$Z$65:$AA$65))*(1-实盘持仓初始配置!$Z$7)^(('实盘净值数据(iFinD）'!$A516-'实盘净值数据(iFinD）'!$A$8)/365))</f>
        <v/>
      </c>
      <c r="L516" s="16" t="str">
        <f t="shared" si="51"/>
        <v/>
      </c>
      <c r="M516" s="16" t="str">
        <f>IF(K516="","",K516/MAX(K$5:K516)-1)</f>
        <v/>
      </c>
      <c r="N516" s="13" t="str">
        <f>IF(OR('实盘净值数据(iFinD）'!$A516="",'实盘净值数据(iFinD）'!$B516="",'实盘净值数据(iFinD）'!$Z516="",'实盘净值数据(iFinD）'!$AA516=""),"",分期持仓明细!$AB$24*(SUMPRODUCT(分期持仓明细!$B$24:$Y$24,'实盘净值数据(iFinD）'!$B516:$Y516/'实盘净值数据(iFinD）'!$B$65:$Y$65)+SUMPRODUCT(分期持仓明细!$AC$24:$AD$24,'实盘净值数据(iFinD）'!$Z516:$AA516/'实盘净值数据(iFinD）'!$Z$65:$AA$65))*(1-实盘持仓初始配置!$Z$8)^(('实盘净值数据(iFinD）'!$A516-'实盘净值数据(iFinD）'!$A$5)/365))</f>
        <v/>
      </c>
      <c r="O516" s="16" t="str">
        <f t="shared" si="52"/>
        <v/>
      </c>
      <c r="P516" s="16" t="str">
        <f>IF(N516="","",N516/MAX(N$5:N516)-1)</f>
        <v/>
      </c>
      <c r="Q516" s="13" t="str">
        <f>IF(OR('实盘净值数据(iFinD）'!$A516="",'实盘净值数据(iFinD）'!$B516="",'实盘净值数据(iFinD）'!$Z516="",'实盘净值数据(iFinD）'!$AA516=""),"",分期持仓明细!$AB$25*(SUMPRODUCT(分期持仓明细!$B$25:$Y$25,'实盘净值数据(iFinD）'!$B516:$Y516/'实盘净值数据(iFinD）'!$B$65:$Y$65)+SUMPRODUCT(分期持仓明细!$AC$25:$AD$25,'实盘净值数据(iFinD）'!$Z516:$AA516/'实盘净值数据(iFinD）'!$Z$65:$AA$65))*(1-实盘持仓初始配置!$Z$9)^(('实盘净值数据(iFinD）'!$A516-'实盘净值数据(iFinD）'!$A$8)/365))</f>
        <v/>
      </c>
      <c r="R516" s="16" t="str">
        <f t="shared" si="53"/>
        <v/>
      </c>
      <c r="S516" s="16" t="str">
        <f>IF(Q516="","",Q516/MAX(Q$5:Q516)-1)</f>
        <v/>
      </c>
    </row>
    <row r="517" spans="1:19">
      <c r="A517" s="15" t="str">
        <f>IF('实盘净值数据(iFinD）'!A517="","",'实盘净值数据(iFinD）'!A517)</f>
        <v/>
      </c>
      <c r="B517" s="13" t="str">
        <f>IF(OR('实盘净值数据(iFinD）'!$A517="",'实盘净值数据(iFinD）'!$B517=""),"",分期持仓明细!$AB$17*SUMPRODUCT(分期持仓明细!$B$17:$Y$17,'实盘净值数据(iFinD）'!$B517:$Y517/'实盘净值数据(iFinD）'!$B$20:$Y$20)*(1-实盘持仓初始配置!$Z$4)^(('实盘净值数据(iFinD）'!$A517-'实盘净值数据(iFinD）'!$A$6)/365))</f>
        <v/>
      </c>
      <c r="C517" s="16" t="str">
        <f t="shared" si="48"/>
        <v/>
      </c>
      <c r="D517" s="16" t="str">
        <f>IF(B517="","",B517/MAX(B$5:B517)-1)</f>
        <v/>
      </c>
      <c r="E517" s="13" t="str">
        <f>IF(OR('实盘净值数据(iFinD）'!$A517="",'实盘净值数据(iFinD）'!$B517=""),"",分期持仓明细!$AB$18*SUMPRODUCT(分期持仓明细!$B$18:$Y$18,'实盘净值数据(iFinD）'!$B517:$Y517/'实盘净值数据(iFinD）'!$B$20:$Y$20)*(1-实盘持仓初始配置!$Z$5)^(('实盘净值数据(iFinD）'!$A517-'实盘净值数据(iFinD）'!$A$5)/365))</f>
        <v/>
      </c>
      <c r="F517" s="16" t="str">
        <f t="shared" si="49"/>
        <v/>
      </c>
      <c r="G517" s="16" t="str">
        <f>IF(E517="","",E517/MAX(E$5:E517)-1)</f>
        <v/>
      </c>
      <c r="H517" s="13" t="str">
        <f>IF(OR('实盘净值数据(iFinD）'!$A517="",'实盘净值数据(iFinD）'!$B517=""),"",分期持仓明细!$AB$19*SUMPRODUCT(分期持仓明细!$B$19:$Y$19,'实盘净值数据(iFinD）'!$B517:$Y517/'实盘净值数据(iFinD）'!$B$20:$Y$20)*(1-实盘持仓初始配置!$Z$6)^(('实盘净值数据(iFinD）'!$A517-'实盘净值数据(iFinD）'!$A$7)/365))</f>
        <v/>
      </c>
      <c r="I517" s="16" t="str">
        <f t="shared" si="50"/>
        <v/>
      </c>
      <c r="J517" s="16" t="str">
        <f>IF(H517="","",H517/MAX(H$5:H517)-1)</f>
        <v/>
      </c>
      <c r="K517" s="13" t="str">
        <f>IF(OR('实盘净值数据(iFinD）'!$A517="",'实盘净值数据(iFinD）'!$B517="",'实盘净值数据(iFinD）'!$Z517="",'实盘净值数据(iFinD）'!$AA517=""),"",分期持仓明细!$AB$23*(SUMPRODUCT(分期持仓明细!$B$23:$Y$23,'实盘净值数据(iFinD）'!$B517:$Y517/'实盘净值数据(iFinD）'!$B$65:$Y$65)+SUMPRODUCT(分期持仓明细!$AC$23:$AD$23,'实盘净值数据(iFinD）'!$Z517:$AA517/'实盘净值数据(iFinD）'!$Z$65:$AA$65))*(1-实盘持仓初始配置!$Z$7)^(('实盘净值数据(iFinD）'!$A517-'实盘净值数据(iFinD）'!$A$8)/365))</f>
        <v/>
      </c>
      <c r="L517" s="16" t="str">
        <f t="shared" si="51"/>
        <v/>
      </c>
      <c r="M517" s="16" t="str">
        <f>IF(K517="","",K517/MAX(K$5:K517)-1)</f>
        <v/>
      </c>
      <c r="N517" s="13" t="str">
        <f>IF(OR('实盘净值数据(iFinD）'!$A517="",'实盘净值数据(iFinD）'!$B517="",'实盘净值数据(iFinD）'!$Z517="",'实盘净值数据(iFinD）'!$AA517=""),"",分期持仓明细!$AB$24*(SUMPRODUCT(分期持仓明细!$B$24:$Y$24,'实盘净值数据(iFinD）'!$B517:$Y517/'实盘净值数据(iFinD）'!$B$65:$Y$65)+SUMPRODUCT(分期持仓明细!$AC$24:$AD$24,'实盘净值数据(iFinD）'!$Z517:$AA517/'实盘净值数据(iFinD）'!$Z$65:$AA$65))*(1-实盘持仓初始配置!$Z$8)^(('实盘净值数据(iFinD）'!$A517-'实盘净值数据(iFinD）'!$A$5)/365))</f>
        <v/>
      </c>
      <c r="O517" s="16" t="str">
        <f t="shared" si="52"/>
        <v/>
      </c>
      <c r="P517" s="16" t="str">
        <f>IF(N517="","",N517/MAX(N$5:N517)-1)</f>
        <v/>
      </c>
      <c r="Q517" s="13" t="str">
        <f>IF(OR('实盘净值数据(iFinD）'!$A517="",'实盘净值数据(iFinD）'!$B517="",'实盘净值数据(iFinD）'!$Z517="",'实盘净值数据(iFinD）'!$AA517=""),"",分期持仓明细!$AB$25*(SUMPRODUCT(分期持仓明细!$B$25:$Y$25,'实盘净值数据(iFinD）'!$B517:$Y517/'实盘净值数据(iFinD）'!$B$65:$Y$65)+SUMPRODUCT(分期持仓明细!$AC$25:$AD$25,'实盘净值数据(iFinD）'!$Z517:$AA517/'实盘净值数据(iFinD）'!$Z$65:$AA$65))*(1-实盘持仓初始配置!$Z$9)^(('实盘净值数据(iFinD）'!$A517-'实盘净值数据(iFinD）'!$A$8)/365))</f>
        <v/>
      </c>
      <c r="R517" s="16" t="str">
        <f t="shared" si="53"/>
        <v/>
      </c>
      <c r="S517" s="16" t="str">
        <f>IF(Q517="","",Q517/MAX(Q$5:Q517)-1)</f>
        <v/>
      </c>
    </row>
    <row r="518" spans="1:19">
      <c r="A518" s="15" t="str">
        <f>IF('实盘净值数据(iFinD）'!A518="","",'实盘净值数据(iFinD）'!A518)</f>
        <v/>
      </c>
      <c r="B518" s="13" t="str">
        <f>IF(OR('实盘净值数据(iFinD）'!$A518="",'实盘净值数据(iFinD）'!$B518=""),"",分期持仓明细!$AB$17*SUMPRODUCT(分期持仓明细!$B$17:$Y$17,'实盘净值数据(iFinD）'!$B518:$Y518/'实盘净值数据(iFinD）'!$B$20:$Y$20)*(1-实盘持仓初始配置!$Z$4)^(('实盘净值数据(iFinD）'!$A518-'实盘净值数据(iFinD）'!$A$6)/365))</f>
        <v/>
      </c>
      <c r="C518" s="16" t="str">
        <f t="shared" si="48"/>
        <v/>
      </c>
      <c r="D518" s="16" t="str">
        <f>IF(B518="","",B518/MAX(B$5:B518)-1)</f>
        <v/>
      </c>
      <c r="E518" s="13" t="str">
        <f>IF(OR('实盘净值数据(iFinD）'!$A518="",'实盘净值数据(iFinD）'!$B518=""),"",分期持仓明细!$AB$18*SUMPRODUCT(分期持仓明细!$B$18:$Y$18,'实盘净值数据(iFinD）'!$B518:$Y518/'实盘净值数据(iFinD）'!$B$20:$Y$20)*(1-实盘持仓初始配置!$Z$5)^(('实盘净值数据(iFinD）'!$A518-'实盘净值数据(iFinD）'!$A$5)/365))</f>
        <v/>
      </c>
      <c r="F518" s="16" t="str">
        <f t="shared" si="49"/>
        <v/>
      </c>
      <c r="G518" s="16" t="str">
        <f>IF(E518="","",E518/MAX(E$5:E518)-1)</f>
        <v/>
      </c>
      <c r="H518" s="13" t="str">
        <f>IF(OR('实盘净值数据(iFinD）'!$A518="",'实盘净值数据(iFinD）'!$B518=""),"",分期持仓明细!$AB$19*SUMPRODUCT(分期持仓明细!$B$19:$Y$19,'实盘净值数据(iFinD）'!$B518:$Y518/'实盘净值数据(iFinD）'!$B$20:$Y$20)*(1-实盘持仓初始配置!$Z$6)^(('实盘净值数据(iFinD）'!$A518-'实盘净值数据(iFinD）'!$A$7)/365))</f>
        <v/>
      </c>
      <c r="I518" s="16" t="str">
        <f t="shared" si="50"/>
        <v/>
      </c>
      <c r="J518" s="16" t="str">
        <f>IF(H518="","",H518/MAX(H$5:H518)-1)</f>
        <v/>
      </c>
      <c r="K518" s="13" t="str">
        <f>IF(OR('实盘净值数据(iFinD）'!$A518="",'实盘净值数据(iFinD）'!$B518="",'实盘净值数据(iFinD）'!$Z518="",'实盘净值数据(iFinD）'!$AA518=""),"",分期持仓明细!$AB$23*(SUMPRODUCT(分期持仓明细!$B$23:$Y$23,'实盘净值数据(iFinD）'!$B518:$Y518/'实盘净值数据(iFinD）'!$B$65:$Y$65)+SUMPRODUCT(分期持仓明细!$AC$23:$AD$23,'实盘净值数据(iFinD）'!$Z518:$AA518/'实盘净值数据(iFinD）'!$Z$65:$AA$65))*(1-实盘持仓初始配置!$Z$7)^(('实盘净值数据(iFinD）'!$A518-'实盘净值数据(iFinD）'!$A$8)/365))</f>
        <v/>
      </c>
      <c r="L518" s="16" t="str">
        <f t="shared" si="51"/>
        <v/>
      </c>
      <c r="M518" s="16" t="str">
        <f>IF(K518="","",K518/MAX(K$5:K518)-1)</f>
        <v/>
      </c>
      <c r="N518" s="13" t="str">
        <f>IF(OR('实盘净值数据(iFinD）'!$A518="",'实盘净值数据(iFinD）'!$B518="",'实盘净值数据(iFinD）'!$Z518="",'实盘净值数据(iFinD）'!$AA518=""),"",分期持仓明细!$AB$24*(SUMPRODUCT(分期持仓明细!$B$24:$Y$24,'实盘净值数据(iFinD）'!$B518:$Y518/'实盘净值数据(iFinD）'!$B$65:$Y$65)+SUMPRODUCT(分期持仓明细!$AC$24:$AD$24,'实盘净值数据(iFinD）'!$Z518:$AA518/'实盘净值数据(iFinD）'!$Z$65:$AA$65))*(1-实盘持仓初始配置!$Z$8)^(('实盘净值数据(iFinD）'!$A518-'实盘净值数据(iFinD）'!$A$5)/365))</f>
        <v/>
      </c>
      <c r="O518" s="16" t="str">
        <f t="shared" si="52"/>
        <v/>
      </c>
      <c r="P518" s="16" t="str">
        <f>IF(N518="","",N518/MAX(N$5:N518)-1)</f>
        <v/>
      </c>
      <c r="Q518" s="13" t="str">
        <f>IF(OR('实盘净值数据(iFinD）'!$A518="",'实盘净值数据(iFinD）'!$B518="",'实盘净值数据(iFinD）'!$Z518="",'实盘净值数据(iFinD）'!$AA518=""),"",分期持仓明细!$AB$25*(SUMPRODUCT(分期持仓明细!$B$25:$Y$25,'实盘净值数据(iFinD）'!$B518:$Y518/'实盘净值数据(iFinD）'!$B$65:$Y$65)+SUMPRODUCT(分期持仓明细!$AC$25:$AD$25,'实盘净值数据(iFinD）'!$Z518:$AA518/'实盘净值数据(iFinD）'!$Z$65:$AA$65))*(1-实盘持仓初始配置!$Z$9)^(('实盘净值数据(iFinD）'!$A518-'实盘净值数据(iFinD）'!$A$8)/365))</f>
        <v/>
      </c>
      <c r="R518" s="16" t="str">
        <f t="shared" si="53"/>
        <v/>
      </c>
      <c r="S518" s="16" t="str">
        <f>IF(Q518="","",Q518/MAX(Q$5:Q518)-1)</f>
        <v/>
      </c>
    </row>
    <row r="519" spans="1:19">
      <c r="A519" s="15" t="str">
        <f>IF('实盘净值数据(iFinD）'!A519="","",'实盘净值数据(iFinD）'!A519)</f>
        <v/>
      </c>
      <c r="B519" s="13" t="str">
        <f>IF(OR('实盘净值数据(iFinD）'!$A519="",'实盘净值数据(iFinD）'!$B519=""),"",分期持仓明细!$AB$17*SUMPRODUCT(分期持仓明细!$B$17:$Y$17,'实盘净值数据(iFinD）'!$B519:$Y519/'实盘净值数据(iFinD）'!$B$20:$Y$20)*(1-实盘持仓初始配置!$Z$4)^(('实盘净值数据(iFinD）'!$A519-'实盘净值数据(iFinD）'!$A$6)/365))</f>
        <v/>
      </c>
      <c r="C519" s="16" t="str">
        <f t="shared" si="48"/>
        <v/>
      </c>
      <c r="D519" s="16" t="str">
        <f>IF(B519="","",B519/MAX(B$5:B519)-1)</f>
        <v/>
      </c>
      <c r="E519" s="13" t="str">
        <f>IF(OR('实盘净值数据(iFinD）'!$A519="",'实盘净值数据(iFinD）'!$B519=""),"",分期持仓明细!$AB$18*SUMPRODUCT(分期持仓明细!$B$18:$Y$18,'实盘净值数据(iFinD）'!$B519:$Y519/'实盘净值数据(iFinD）'!$B$20:$Y$20)*(1-实盘持仓初始配置!$Z$5)^(('实盘净值数据(iFinD）'!$A519-'实盘净值数据(iFinD）'!$A$5)/365))</f>
        <v/>
      </c>
      <c r="F519" s="16" t="str">
        <f t="shared" si="49"/>
        <v/>
      </c>
      <c r="G519" s="16" t="str">
        <f>IF(E519="","",E519/MAX(E$5:E519)-1)</f>
        <v/>
      </c>
      <c r="H519" s="13" t="str">
        <f>IF(OR('实盘净值数据(iFinD）'!$A519="",'实盘净值数据(iFinD）'!$B519=""),"",分期持仓明细!$AB$19*SUMPRODUCT(分期持仓明细!$B$19:$Y$19,'实盘净值数据(iFinD）'!$B519:$Y519/'实盘净值数据(iFinD）'!$B$20:$Y$20)*(1-实盘持仓初始配置!$Z$6)^(('实盘净值数据(iFinD）'!$A519-'实盘净值数据(iFinD）'!$A$7)/365))</f>
        <v/>
      </c>
      <c r="I519" s="16" t="str">
        <f t="shared" si="50"/>
        <v/>
      </c>
      <c r="J519" s="16" t="str">
        <f>IF(H519="","",H519/MAX(H$5:H519)-1)</f>
        <v/>
      </c>
      <c r="K519" s="13" t="str">
        <f>IF(OR('实盘净值数据(iFinD）'!$A519="",'实盘净值数据(iFinD）'!$B519="",'实盘净值数据(iFinD）'!$Z519="",'实盘净值数据(iFinD）'!$AA519=""),"",分期持仓明细!$AB$23*(SUMPRODUCT(分期持仓明细!$B$23:$Y$23,'实盘净值数据(iFinD）'!$B519:$Y519/'实盘净值数据(iFinD）'!$B$65:$Y$65)+SUMPRODUCT(分期持仓明细!$AC$23:$AD$23,'实盘净值数据(iFinD）'!$Z519:$AA519/'实盘净值数据(iFinD）'!$Z$65:$AA$65))*(1-实盘持仓初始配置!$Z$7)^(('实盘净值数据(iFinD）'!$A519-'实盘净值数据(iFinD）'!$A$8)/365))</f>
        <v/>
      </c>
      <c r="L519" s="16" t="str">
        <f t="shared" si="51"/>
        <v/>
      </c>
      <c r="M519" s="16" t="str">
        <f>IF(K519="","",K519/MAX(K$5:K519)-1)</f>
        <v/>
      </c>
      <c r="N519" s="13" t="str">
        <f>IF(OR('实盘净值数据(iFinD）'!$A519="",'实盘净值数据(iFinD）'!$B519="",'实盘净值数据(iFinD）'!$Z519="",'实盘净值数据(iFinD）'!$AA519=""),"",分期持仓明细!$AB$24*(SUMPRODUCT(分期持仓明细!$B$24:$Y$24,'实盘净值数据(iFinD）'!$B519:$Y519/'实盘净值数据(iFinD）'!$B$65:$Y$65)+SUMPRODUCT(分期持仓明细!$AC$24:$AD$24,'实盘净值数据(iFinD）'!$Z519:$AA519/'实盘净值数据(iFinD）'!$Z$65:$AA$65))*(1-实盘持仓初始配置!$Z$8)^(('实盘净值数据(iFinD）'!$A519-'实盘净值数据(iFinD）'!$A$5)/365))</f>
        <v/>
      </c>
      <c r="O519" s="16" t="str">
        <f t="shared" si="52"/>
        <v/>
      </c>
      <c r="P519" s="16" t="str">
        <f>IF(N519="","",N519/MAX(N$5:N519)-1)</f>
        <v/>
      </c>
      <c r="Q519" s="13" t="str">
        <f>IF(OR('实盘净值数据(iFinD）'!$A519="",'实盘净值数据(iFinD）'!$B519="",'实盘净值数据(iFinD）'!$Z519="",'实盘净值数据(iFinD）'!$AA519=""),"",分期持仓明细!$AB$25*(SUMPRODUCT(分期持仓明细!$B$25:$Y$25,'实盘净值数据(iFinD）'!$B519:$Y519/'实盘净值数据(iFinD）'!$B$65:$Y$65)+SUMPRODUCT(分期持仓明细!$AC$25:$AD$25,'实盘净值数据(iFinD）'!$Z519:$AA519/'实盘净值数据(iFinD）'!$Z$65:$AA$65))*(1-实盘持仓初始配置!$Z$9)^(('实盘净值数据(iFinD）'!$A519-'实盘净值数据(iFinD）'!$A$8)/365))</f>
        <v/>
      </c>
      <c r="R519" s="16" t="str">
        <f t="shared" si="53"/>
        <v/>
      </c>
      <c r="S519" s="16" t="str">
        <f>IF(Q519="","",Q519/MAX(Q$5:Q519)-1)</f>
        <v/>
      </c>
    </row>
    <row r="520" spans="1:19">
      <c r="A520" s="15" t="str">
        <f>IF('实盘净值数据(iFinD）'!A520="","",'实盘净值数据(iFinD）'!A520)</f>
        <v/>
      </c>
      <c r="B520" s="13" t="str">
        <f>IF(OR('实盘净值数据(iFinD）'!$A520="",'实盘净值数据(iFinD）'!$B520=""),"",分期持仓明细!$AB$17*SUMPRODUCT(分期持仓明细!$B$17:$Y$17,'实盘净值数据(iFinD）'!$B520:$Y520/'实盘净值数据(iFinD）'!$B$20:$Y$20)*(1-实盘持仓初始配置!$Z$4)^(('实盘净值数据(iFinD）'!$A520-'实盘净值数据(iFinD）'!$A$6)/365))</f>
        <v/>
      </c>
      <c r="C520" s="16" t="str">
        <f t="shared" si="48"/>
        <v/>
      </c>
      <c r="D520" s="16" t="str">
        <f>IF(B520="","",B520/MAX(B$5:B520)-1)</f>
        <v/>
      </c>
      <c r="E520" s="13" t="str">
        <f>IF(OR('实盘净值数据(iFinD）'!$A520="",'实盘净值数据(iFinD）'!$B520=""),"",分期持仓明细!$AB$18*SUMPRODUCT(分期持仓明细!$B$18:$Y$18,'实盘净值数据(iFinD）'!$B520:$Y520/'实盘净值数据(iFinD）'!$B$20:$Y$20)*(1-实盘持仓初始配置!$Z$5)^(('实盘净值数据(iFinD）'!$A520-'实盘净值数据(iFinD）'!$A$5)/365))</f>
        <v/>
      </c>
      <c r="F520" s="16" t="str">
        <f t="shared" si="49"/>
        <v/>
      </c>
      <c r="G520" s="16" t="str">
        <f>IF(E520="","",E520/MAX(E$5:E520)-1)</f>
        <v/>
      </c>
      <c r="H520" s="13" t="str">
        <f>IF(OR('实盘净值数据(iFinD）'!$A520="",'实盘净值数据(iFinD）'!$B520=""),"",分期持仓明细!$AB$19*SUMPRODUCT(分期持仓明细!$B$19:$Y$19,'实盘净值数据(iFinD）'!$B520:$Y520/'实盘净值数据(iFinD）'!$B$20:$Y$20)*(1-实盘持仓初始配置!$Z$6)^(('实盘净值数据(iFinD）'!$A520-'实盘净值数据(iFinD）'!$A$7)/365))</f>
        <v/>
      </c>
      <c r="I520" s="16" t="str">
        <f t="shared" si="50"/>
        <v/>
      </c>
      <c r="J520" s="16" t="str">
        <f>IF(H520="","",H520/MAX(H$5:H520)-1)</f>
        <v/>
      </c>
      <c r="K520" s="13" t="str">
        <f>IF(OR('实盘净值数据(iFinD）'!$A520="",'实盘净值数据(iFinD）'!$B520="",'实盘净值数据(iFinD）'!$Z520="",'实盘净值数据(iFinD）'!$AA520=""),"",分期持仓明细!$AB$23*(SUMPRODUCT(分期持仓明细!$B$23:$Y$23,'实盘净值数据(iFinD）'!$B520:$Y520/'实盘净值数据(iFinD）'!$B$65:$Y$65)+SUMPRODUCT(分期持仓明细!$AC$23:$AD$23,'实盘净值数据(iFinD）'!$Z520:$AA520/'实盘净值数据(iFinD）'!$Z$65:$AA$65))*(1-实盘持仓初始配置!$Z$7)^(('实盘净值数据(iFinD）'!$A520-'实盘净值数据(iFinD）'!$A$8)/365))</f>
        <v/>
      </c>
      <c r="L520" s="16" t="str">
        <f t="shared" si="51"/>
        <v/>
      </c>
      <c r="M520" s="16" t="str">
        <f>IF(K520="","",K520/MAX(K$5:K520)-1)</f>
        <v/>
      </c>
      <c r="N520" s="13" t="str">
        <f>IF(OR('实盘净值数据(iFinD）'!$A520="",'实盘净值数据(iFinD）'!$B520="",'实盘净值数据(iFinD）'!$Z520="",'实盘净值数据(iFinD）'!$AA520=""),"",分期持仓明细!$AB$24*(SUMPRODUCT(分期持仓明细!$B$24:$Y$24,'实盘净值数据(iFinD）'!$B520:$Y520/'实盘净值数据(iFinD）'!$B$65:$Y$65)+SUMPRODUCT(分期持仓明细!$AC$24:$AD$24,'实盘净值数据(iFinD）'!$Z520:$AA520/'实盘净值数据(iFinD）'!$Z$65:$AA$65))*(1-实盘持仓初始配置!$Z$8)^(('实盘净值数据(iFinD）'!$A520-'实盘净值数据(iFinD）'!$A$5)/365))</f>
        <v/>
      </c>
      <c r="O520" s="16" t="str">
        <f t="shared" si="52"/>
        <v/>
      </c>
      <c r="P520" s="16" t="str">
        <f>IF(N520="","",N520/MAX(N$5:N520)-1)</f>
        <v/>
      </c>
      <c r="Q520" s="13" t="str">
        <f>IF(OR('实盘净值数据(iFinD）'!$A520="",'实盘净值数据(iFinD）'!$B520="",'实盘净值数据(iFinD）'!$Z520="",'实盘净值数据(iFinD）'!$AA520=""),"",分期持仓明细!$AB$25*(SUMPRODUCT(分期持仓明细!$B$25:$Y$25,'实盘净值数据(iFinD）'!$B520:$Y520/'实盘净值数据(iFinD）'!$B$65:$Y$65)+SUMPRODUCT(分期持仓明细!$AC$25:$AD$25,'实盘净值数据(iFinD）'!$Z520:$AA520/'实盘净值数据(iFinD）'!$Z$65:$AA$65))*(1-实盘持仓初始配置!$Z$9)^(('实盘净值数据(iFinD）'!$A520-'实盘净值数据(iFinD）'!$A$8)/365))</f>
        <v/>
      </c>
      <c r="R520" s="16" t="str">
        <f t="shared" si="53"/>
        <v/>
      </c>
      <c r="S520" s="16" t="str">
        <f>IF(Q520="","",Q520/MAX(Q$5:Q520)-1)</f>
        <v/>
      </c>
    </row>
    <row r="521" spans="1:19">
      <c r="A521" s="15" t="str">
        <f>IF('实盘净值数据(iFinD）'!A521="","",'实盘净值数据(iFinD）'!A521)</f>
        <v/>
      </c>
      <c r="B521" s="13" t="str">
        <f>IF(OR('实盘净值数据(iFinD）'!$A521="",'实盘净值数据(iFinD）'!$B521=""),"",分期持仓明细!$AB$17*SUMPRODUCT(分期持仓明细!$B$17:$Y$17,'实盘净值数据(iFinD）'!$B521:$Y521/'实盘净值数据(iFinD）'!$B$20:$Y$20)*(1-实盘持仓初始配置!$Z$4)^(('实盘净值数据(iFinD）'!$A521-'实盘净值数据(iFinD）'!$A$6)/365))</f>
        <v/>
      </c>
      <c r="C521" s="16" t="str">
        <f t="shared" si="48"/>
        <v/>
      </c>
      <c r="D521" s="16" t="str">
        <f>IF(B521="","",B521/MAX(B$5:B521)-1)</f>
        <v/>
      </c>
      <c r="E521" s="13" t="str">
        <f>IF(OR('实盘净值数据(iFinD）'!$A521="",'实盘净值数据(iFinD）'!$B521=""),"",分期持仓明细!$AB$18*SUMPRODUCT(分期持仓明细!$B$18:$Y$18,'实盘净值数据(iFinD）'!$B521:$Y521/'实盘净值数据(iFinD）'!$B$20:$Y$20)*(1-实盘持仓初始配置!$Z$5)^(('实盘净值数据(iFinD）'!$A521-'实盘净值数据(iFinD）'!$A$5)/365))</f>
        <v/>
      </c>
      <c r="F521" s="16" t="str">
        <f t="shared" si="49"/>
        <v/>
      </c>
      <c r="G521" s="16" t="str">
        <f>IF(E521="","",E521/MAX(E$5:E521)-1)</f>
        <v/>
      </c>
      <c r="H521" s="13" t="str">
        <f>IF(OR('实盘净值数据(iFinD）'!$A521="",'实盘净值数据(iFinD）'!$B521=""),"",分期持仓明细!$AB$19*SUMPRODUCT(分期持仓明细!$B$19:$Y$19,'实盘净值数据(iFinD）'!$B521:$Y521/'实盘净值数据(iFinD）'!$B$20:$Y$20)*(1-实盘持仓初始配置!$Z$6)^(('实盘净值数据(iFinD）'!$A521-'实盘净值数据(iFinD）'!$A$7)/365))</f>
        <v/>
      </c>
      <c r="I521" s="16" t="str">
        <f t="shared" si="50"/>
        <v/>
      </c>
      <c r="J521" s="16" t="str">
        <f>IF(H521="","",H521/MAX(H$5:H521)-1)</f>
        <v/>
      </c>
      <c r="K521" s="13" t="str">
        <f>IF(OR('实盘净值数据(iFinD）'!$A521="",'实盘净值数据(iFinD）'!$B521="",'实盘净值数据(iFinD）'!$Z521="",'实盘净值数据(iFinD）'!$AA521=""),"",分期持仓明细!$AB$23*(SUMPRODUCT(分期持仓明细!$B$23:$Y$23,'实盘净值数据(iFinD）'!$B521:$Y521/'实盘净值数据(iFinD）'!$B$65:$Y$65)+SUMPRODUCT(分期持仓明细!$AC$23:$AD$23,'实盘净值数据(iFinD）'!$Z521:$AA521/'实盘净值数据(iFinD）'!$Z$65:$AA$65))*(1-实盘持仓初始配置!$Z$7)^(('实盘净值数据(iFinD）'!$A521-'实盘净值数据(iFinD）'!$A$8)/365))</f>
        <v/>
      </c>
      <c r="L521" s="16" t="str">
        <f t="shared" si="51"/>
        <v/>
      </c>
      <c r="M521" s="16" t="str">
        <f>IF(K521="","",K521/MAX(K$5:K521)-1)</f>
        <v/>
      </c>
      <c r="N521" s="13" t="str">
        <f>IF(OR('实盘净值数据(iFinD）'!$A521="",'实盘净值数据(iFinD）'!$B521="",'实盘净值数据(iFinD）'!$Z521="",'实盘净值数据(iFinD）'!$AA521=""),"",分期持仓明细!$AB$24*(SUMPRODUCT(分期持仓明细!$B$24:$Y$24,'实盘净值数据(iFinD）'!$B521:$Y521/'实盘净值数据(iFinD）'!$B$65:$Y$65)+SUMPRODUCT(分期持仓明细!$AC$24:$AD$24,'实盘净值数据(iFinD）'!$Z521:$AA521/'实盘净值数据(iFinD）'!$Z$65:$AA$65))*(1-实盘持仓初始配置!$Z$8)^(('实盘净值数据(iFinD）'!$A521-'实盘净值数据(iFinD）'!$A$5)/365))</f>
        <v/>
      </c>
      <c r="O521" s="16" t="str">
        <f t="shared" si="52"/>
        <v/>
      </c>
      <c r="P521" s="16" t="str">
        <f>IF(N521="","",N521/MAX(N$5:N521)-1)</f>
        <v/>
      </c>
      <c r="Q521" s="13" t="str">
        <f>IF(OR('实盘净值数据(iFinD）'!$A521="",'实盘净值数据(iFinD）'!$B521="",'实盘净值数据(iFinD）'!$Z521="",'实盘净值数据(iFinD）'!$AA521=""),"",分期持仓明细!$AB$25*(SUMPRODUCT(分期持仓明细!$B$25:$Y$25,'实盘净值数据(iFinD）'!$B521:$Y521/'实盘净值数据(iFinD）'!$B$65:$Y$65)+SUMPRODUCT(分期持仓明细!$AC$25:$AD$25,'实盘净值数据(iFinD）'!$Z521:$AA521/'实盘净值数据(iFinD）'!$Z$65:$AA$65))*(1-实盘持仓初始配置!$Z$9)^(('实盘净值数据(iFinD）'!$A521-'实盘净值数据(iFinD）'!$A$8)/365))</f>
        <v/>
      </c>
      <c r="R521" s="16" t="str">
        <f t="shared" si="53"/>
        <v/>
      </c>
      <c r="S521" s="16" t="str">
        <f>IF(Q521="","",Q521/MAX(Q$5:Q521)-1)</f>
        <v/>
      </c>
    </row>
    <row r="522" spans="1:19">
      <c r="A522" s="15" t="str">
        <f>IF('实盘净值数据(iFinD）'!A522="","",'实盘净值数据(iFinD）'!A522)</f>
        <v/>
      </c>
      <c r="B522" s="13" t="str">
        <f>IF(OR('实盘净值数据(iFinD）'!$A522="",'实盘净值数据(iFinD）'!$B522=""),"",分期持仓明细!$AB$17*SUMPRODUCT(分期持仓明细!$B$17:$Y$17,'实盘净值数据(iFinD）'!$B522:$Y522/'实盘净值数据(iFinD）'!$B$20:$Y$20)*(1-实盘持仓初始配置!$Z$4)^(('实盘净值数据(iFinD）'!$A522-'实盘净值数据(iFinD）'!$A$6)/365))</f>
        <v/>
      </c>
      <c r="C522" s="16" t="str">
        <f t="shared" si="48"/>
        <v/>
      </c>
      <c r="D522" s="16" t="str">
        <f>IF(B522="","",B522/MAX(B$5:B522)-1)</f>
        <v/>
      </c>
      <c r="E522" s="13" t="str">
        <f>IF(OR('实盘净值数据(iFinD）'!$A522="",'实盘净值数据(iFinD）'!$B522=""),"",分期持仓明细!$AB$18*SUMPRODUCT(分期持仓明细!$B$18:$Y$18,'实盘净值数据(iFinD）'!$B522:$Y522/'实盘净值数据(iFinD）'!$B$20:$Y$20)*(1-实盘持仓初始配置!$Z$5)^(('实盘净值数据(iFinD）'!$A522-'实盘净值数据(iFinD）'!$A$5)/365))</f>
        <v/>
      </c>
      <c r="F522" s="16" t="str">
        <f t="shared" si="49"/>
        <v/>
      </c>
      <c r="G522" s="16" t="str">
        <f>IF(E522="","",E522/MAX(E$5:E522)-1)</f>
        <v/>
      </c>
      <c r="H522" s="13" t="str">
        <f>IF(OR('实盘净值数据(iFinD）'!$A522="",'实盘净值数据(iFinD）'!$B522=""),"",分期持仓明细!$AB$19*SUMPRODUCT(分期持仓明细!$B$19:$Y$19,'实盘净值数据(iFinD）'!$B522:$Y522/'实盘净值数据(iFinD）'!$B$20:$Y$20)*(1-实盘持仓初始配置!$Z$6)^(('实盘净值数据(iFinD）'!$A522-'实盘净值数据(iFinD）'!$A$7)/365))</f>
        <v/>
      </c>
      <c r="I522" s="16" t="str">
        <f t="shared" si="50"/>
        <v/>
      </c>
      <c r="J522" s="16" t="str">
        <f>IF(H522="","",H522/MAX(H$5:H522)-1)</f>
        <v/>
      </c>
      <c r="K522" s="13" t="str">
        <f>IF(OR('实盘净值数据(iFinD）'!$A522="",'实盘净值数据(iFinD）'!$B522="",'实盘净值数据(iFinD）'!$Z522="",'实盘净值数据(iFinD）'!$AA522=""),"",分期持仓明细!$AB$23*(SUMPRODUCT(分期持仓明细!$B$23:$Y$23,'实盘净值数据(iFinD）'!$B522:$Y522/'实盘净值数据(iFinD）'!$B$65:$Y$65)+SUMPRODUCT(分期持仓明细!$AC$23:$AD$23,'实盘净值数据(iFinD）'!$Z522:$AA522/'实盘净值数据(iFinD）'!$Z$65:$AA$65))*(1-实盘持仓初始配置!$Z$7)^(('实盘净值数据(iFinD）'!$A522-'实盘净值数据(iFinD）'!$A$8)/365))</f>
        <v/>
      </c>
      <c r="L522" s="16" t="str">
        <f t="shared" si="51"/>
        <v/>
      </c>
      <c r="M522" s="16" t="str">
        <f>IF(K522="","",K522/MAX(K$5:K522)-1)</f>
        <v/>
      </c>
      <c r="N522" s="13" t="str">
        <f>IF(OR('实盘净值数据(iFinD）'!$A522="",'实盘净值数据(iFinD）'!$B522="",'实盘净值数据(iFinD）'!$Z522="",'实盘净值数据(iFinD）'!$AA522=""),"",分期持仓明细!$AB$24*(SUMPRODUCT(分期持仓明细!$B$24:$Y$24,'实盘净值数据(iFinD）'!$B522:$Y522/'实盘净值数据(iFinD）'!$B$65:$Y$65)+SUMPRODUCT(分期持仓明细!$AC$24:$AD$24,'实盘净值数据(iFinD）'!$Z522:$AA522/'实盘净值数据(iFinD）'!$Z$65:$AA$65))*(1-实盘持仓初始配置!$Z$8)^(('实盘净值数据(iFinD）'!$A522-'实盘净值数据(iFinD）'!$A$5)/365))</f>
        <v/>
      </c>
      <c r="O522" s="16" t="str">
        <f t="shared" si="52"/>
        <v/>
      </c>
      <c r="P522" s="16" t="str">
        <f>IF(N522="","",N522/MAX(N$5:N522)-1)</f>
        <v/>
      </c>
      <c r="Q522" s="13" t="str">
        <f>IF(OR('实盘净值数据(iFinD）'!$A522="",'实盘净值数据(iFinD）'!$B522="",'实盘净值数据(iFinD）'!$Z522="",'实盘净值数据(iFinD）'!$AA522=""),"",分期持仓明细!$AB$25*(SUMPRODUCT(分期持仓明细!$B$25:$Y$25,'实盘净值数据(iFinD）'!$B522:$Y522/'实盘净值数据(iFinD）'!$B$65:$Y$65)+SUMPRODUCT(分期持仓明细!$AC$25:$AD$25,'实盘净值数据(iFinD）'!$Z522:$AA522/'实盘净值数据(iFinD）'!$Z$65:$AA$65))*(1-实盘持仓初始配置!$Z$9)^(('实盘净值数据(iFinD）'!$A522-'实盘净值数据(iFinD）'!$A$8)/365))</f>
        <v/>
      </c>
      <c r="R522" s="16" t="str">
        <f t="shared" si="53"/>
        <v/>
      </c>
      <c r="S522" s="16" t="str">
        <f>IF(Q522="","",Q522/MAX(Q$5:Q522)-1)</f>
        <v/>
      </c>
    </row>
    <row r="523" spans="1:19">
      <c r="A523" s="15" t="str">
        <f>IF('实盘净值数据(iFinD）'!A523="","",'实盘净值数据(iFinD）'!A523)</f>
        <v/>
      </c>
      <c r="B523" s="13" t="str">
        <f>IF(OR('实盘净值数据(iFinD）'!$A523="",'实盘净值数据(iFinD）'!$B523=""),"",分期持仓明细!$AB$17*SUMPRODUCT(分期持仓明细!$B$17:$Y$17,'实盘净值数据(iFinD）'!$B523:$Y523/'实盘净值数据(iFinD）'!$B$20:$Y$20)*(1-实盘持仓初始配置!$Z$4)^(('实盘净值数据(iFinD）'!$A523-'实盘净值数据(iFinD）'!$A$6)/365))</f>
        <v/>
      </c>
      <c r="C523" s="16" t="str">
        <f t="shared" si="48"/>
        <v/>
      </c>
      <c r="D523" s="16" t="str">
        <f>IF(B523="","",B523/MAX(B$5:B523)-1)</f>
        <v/>
      </c>
      <c r="E523" s="13" t="str">
        <f>IF(OR('实盘净值数据(iFinD）'!$A523="",'实盘净值数据(iFinD）'!$B523=""),"",分期持仓明细!$AB$18*SUMPRODUCT(分期持仓明细!$B$18:$Y$18,'实盘净值数据(iFinD）'!$B523:$Y523/'实盘净值数据(iFinD）'!$B$20:$Y$20)*(1-实盘持仓初始配置!$Z$5)^(('实盘净值数据(iFinD）'!$A523-'实盘净值数据(iFinD）'!$A$5)/365))</f>
        <v/>
      </c>
      <c r="F523" s="16" t="str">
        <f t="shared" si="49"/>
        <v/>
      </c>
      <c r="G523" s="16" t="str">
        <f>IF(E523="","",E523/MAX(E$5:E523)-1)</f>
        <v/>
      </c>
      <c r="H523" s="13" t="str">
        <f>IF(OR('实盘净值数据(iFinD）'!$A523="",'实盘净值数据(iFinD）'!$B523=""),"",分期持仓明细!$AB$19*SUMPRODUCT(分期持仓明细!$B$19:$Y$19,'实盘净值数据(iFinD）'!$B523:$Y523/'实盘净值数据(iFinD）'!$B$20:$Y$20)*(1-实盘持仓初始配置!$Z$6)^(('实盘净值数据(iFinD）'!$A523-'实盘净值数据(iFinD）'!$A$7)/365))</f>
        <v/>
      </c>
      <c r="I523" s="16" t="str">
        <f t="shared" si="50"/>
        <v/>
      </c>
      <c r="J523" s="16" t="str">
        <f>IF(H523="","",H523/MAX(H$5:H523)-1)</f>
        <v/>
      </c>
      <c r="K523" s="13" t="str">
        <f>IF(OR('实盘净值数据(iFinD）'!$A523="",'实盘净值数据(iFinD）'!$B523="",'实盘净值数据(iFinD）'!$Z523="",'实盘净值数据(iFinD）'!$AA523=""),"",分期持仓明细!$AB$23*(SUMPRODUCT(分期持仓明细!$B$23:$Y$23,'实盘净值数据(iFinD）'!$B523:$Y523/'实盘净值数据(iFinD）'!$B$65:$Y$65)+SUMPRODUCT(分期持仓明细!$AC$23:$AD$23,'实盘净值数据(iFinD）'!$Z523:$AA523/'实盘净值数据(iFinD）'!$Z$65:$AA$65))*(1-实盘持仓初始配置!$Z$7)^(('实盘净值数据(iFinD）'!$A523-'实盘净值数据(iFinD）'!$A$8)/365))</f>
        <v/>
      </c>
      <c r="L523" s="16" t="str">
        <f t="shared" si="51"/>
        <v/>
      </c>
      <c r="M523" s="16" t="str">
        <f>IF(K523="","",K523/MAX(K$5:K523)-1)</f>
        <v/>
      </c>
      <c r="N523" s="13" t="str">
        <f>IF(OR('实盘净值数据(iFinD）'!$A523="",'实盘净值数据(iFinD）'!$B523="",'实盘净值数据(iFinD）'!$Z523="",'实盘净值数据(iFinD）'!$AA523=""),"",分期持仓明细!$AB$24*(SUMPRODUCT(分期持仓明细!$B$24:$Y$24,'实盘净值数据(iFinD）'!$B523:$Y523/'实盘净值数据(iFinD）'!$B$65:$Y$65)+SUMPRODUCT(分期持仓明细!$AC$24:$AD$24,'实盘净值数据(iFinD）'!$Z523:$AA523/'实盘净值数据(iFinD）'!$Z$65:$AA$65))*(1-实盘持仓初始配置!$Z$8)^(('实盘净值数据(iFinD）'!$A523-'实盘净值数据(iFinD）'!$A$5)/365))</f>
        <v/>
      </c>
      <c r="O523" s="16" t="str">
        <f t="shared" si="52"/>
        <v/>
      </c>
      <c r="P523" s="16" t="str">
        <f>IF(N523="","",N523/MAX(N$5:N523)-1)</f>
        <v/>
      </c>
      <c r="Q523" s="13" t="str">
        <f>IF(OR('实盘净值数据(iFinD）'!$A523="",'实盘净值数据(iFinD）'!$B523="",'实盘净值数据(iFinD）'!$Z523="",'实盘净值数据(iFinD）'!$AA523=""),"",分期持仓明细!$AB$25*(SUMPRODUCT(分期持仓明细!$B$25:$Y$25,'实盘净值数据(iFinD）'!$B523:$Y523/'实盘净值数据(iFinD）'!$B$65:$Y$65)+SUMPRODUCT(分期持仓明细!$AC$25:$AD$25,'实盘净值数据(iFinD）'!$Z523:$AA523/'实盘净值数据(iFinD）'!$Z$65:$AA$65))*(1-实盘持仓初始配置!$Z$9)^(('实盘净值数据(iFinD）'!$A523-'实盘净值数据(iFinD）'!$A$8)/365))</f>
        <v/>
      </c>
      <c r="R523" s="16" t="str">
        <f t="shared" si="53"/>
        <v/>
      </c>
      <c r="S523" s="16" t="str">
        <f>IF(Q523="","",Q523/MAX(Q$5:Q523)-1)</f>
        <v/>
      </c>
    </row>
    <row r="524" spans="1:19">
      <c r="A524" s="15" t="str">
        <f>IF('实盘净值数据(iFinD）'!A524="","",'实盘净值数据(iFinD）'!A524)</f>
        <v/>
      </c>
      <c r="B524" s="13" t="str">
        <f>IF(OR('实盘净值数据(iFinD）'!$A524="",'实盘净值数据(iFinD）'!$B524=""),"",分期持仓明细!$AB$17*SUMPRODUCT(分期持仓明细!$B$17:$Y$17,'实盘净值数据(iFinD）'!$B524:$Y524/'实盘净值数据(iFinD）'!$B$20:$Y$20)*(1-实盘持仓初始配置!$Z$4)^(('实盘净值数据(iFinD）'!$A524-'实盘净值数据(iFinD）'!$A$6)/365))</f>
        <v/>
      </c>
      <c r="C524" s="16" t="str">
        <f t="shared" si="48"/>
        <v/>
      </c>
      <c r="D524" s="16" t="str">
        <f>IF(B524="","",B524/MAX(B$5:B524)-1)</f>
        <v/>
      </c>
      <c r="E524" s="13" t="str">
        <f>IF(OR('实盘净值数据(iFinD）'!$A524="",'实盘净值数据(iFinD）'!$B524=""),"",分期持仓明细!$AB$18*SUMPRODUCT(分期持仓明细!$B$18:$Y$18,'实盘净值数据(iFinD）'!$B524:$Y524/'实盘净值数据(iFinD）'!$B$20:$Y$20)*(1-实盘持仓初始配置!$Z$5)^(('实盘净值数据(iFinD）'!$A524-'实盘净值数据(iFinD）'!$A$5)/365))</f>
        <v/>
      </c>
      <c r="F524" s="16" t="str">
        <f t="shared" si="49"/>
        <v/>
      </c>
      <c r="G524" s="16" t="str">
        <f>IF(E524="","",E524/MAX(E$5:E524)-1)</f>
        <v/>
      </c>
      <c r="H524" s="13" t="str">
        <f>IF(OR('实盘净值数据(iFinD）'!$A524="",'实盘净值数据(iFinD）'!$B524=""),"",分期持仓明细!$AB$19*SUMPRODUCT(分期持仓明细!$B$19:$Y$19,'实盘净值数据(iFinD）'!$B524:$Y524/'实盘净值数据(iFinD）'!$B$20:$Y$20)*(1-实盘持仓初始配置!$Z$6)^(('实盘净值数据(iFinD）'!$A524-'实盘净值数据(iFinD）'!$A$7)/365))</f>
        <v/>
      </c>
      <c r="I524" s="16" t="str">
        <f t="shared" si="50"/>
        <v/>
      </c>
      <c r="J524" s="16" t="str">
        <f>IF(H524="","",H524/MAX(H$5:H524)-1)</f>
        <v/>
      </c>
      <c r="K524" s="13" t="str">
        <f>IF(OR('实盘净值数据(iFinD）'!$A524="",'实盘净值数据(iFinD）'!$B524="",'实盘净值数据(iFinD）'!$Z524="",'实盘净值数据(iFinD）'!$AA524=""),"",分期持仓明细!$AB$23*(SUMPRODUCT(分期持仓明细!$B$23:$Y$23,'实盘净值数据(iFinD）'!$B524:$Y524/'实盘净值数据(iFinD）'!$B$65:$Y$65)+SUMPRODUCT(分期持仓明细!$AC$23:$AD$23,'实盘净值数据(iFinD）'!$Z524:$AA524/'实盘净值数据(iFinD）'!$Z$65:$AA$65))*(1-实盘持仓初始配置!$Z$7)^(('实盘净值数据(iFinD）'!$A524-'实盘净值数据(iFinD）'!$A$8)/365))</f>
        <v/>
      </c>
      <c r="L524" s="16" t="str">
        <f t="shared" si="51"/>
        <v/>
      </c>
      <c r="M524" s="16" t="str">
        <f>IF(K524="","",K524/MAX(K$5:K524)-1)</f>
        <v/>
      </c>
      <c r="N524" s="13" t="str">
        <f>IF(OR('实盘净值数据(iFinD）'!$A524="",'实盘净值数据(iFinD）'!$B524="",'实盘净值数据(iFinD）'!$Z524="",'实盘净值数据(iFinD）'!$AA524=""),"",分期持仓明细!$AB$24*(SUMPRODUCT(分期持仓明细!$B$24:$Y$24,'实盘净值数据(iFinD）'!$B524:$Y524/'实盘净值数据(iFinD）'!$B$65:$Y$65)+SUMPRODUCT(分期持仓明细!$AC$24:$AD$24,'实盘净值数据(iFinD）'!$Z524:$AA524/'实盘净值数据(iFinD）'!$Z$65:$AA$65))*(1-实盘持仓初始配置!$Z$8)^(('实盘净值数据(iFinD）'!$A524-'实盘净值数据(iFinD）'!$A$5)/365))</f>
        <v/>
      </c>
      <c r="O524" s="16" t="str">
        <f t="shared" si="52"/>
        <v/>
      </c>
      <c r="P524" s="16" t="str">
        <f>IF(N524="","",N524/MAX(N$5:N524)-1)</f>
        <v/>
      </c>
      <c r="Q524" s="13" t="str">
        <f>IF(OR('实盘净值数据(iFinD）'!$A524="",'实盘净值数据(iFinD）'!$B524="",'实盘净值数据(iFinD）'!$Z524="",'实盘净值数据(iFinD）'!$AA524=""),"",分期持仓明细!$AB$25*(SUMPRODUCT(分期持仓明细!$B$25:$Y$25,'实盘净值数据(iFinD）'!$B524:$Y524/'实盘净值数据(iFinD）'!$B$65:$Y$65)+SUMPRODUCT(分期持仓明细!$AC$25:$AD$25,'实盘净值数据(iFinD）'!$Z524:$AA524/'实盘净值数据(iFinD）'!$Z$65:$AA$65))*(1-实盘持仓初始配置!$Z$9)^(('实盘净值数据(iFinD）'!$A524-'实盘净值数据(iFinD）'!$A$8)/365))</f>
        <v/>
      </c>
      <c r="R524" s="16" t="str">
        <f t="shared" si="53"/>
        <v/>
      </c>
      <c r="S524" s="16" t="str">
        <f>IF(Q524="","",Q524/MAX(Q$5:Q524)-1)</f>
        <v/>
      </c>
    </row>
    <row r="525" spans="1:19">
      <c r="A525" s="15" t="str">
        <f>IF('实盘净值数据(iFinD）'!A525="","",'实盘净值数据(iFinD）'!A525)</f>
        <v/>
      </c>
      <c r="B525" s="13" t="str">
        <f>IF(OR('实盘净值数据(iFinD）'!$A525="",'实盘净值数据(iFinD）'!$B525=""),"",分期持仓明细!$AB$17*SUMPRODUCT(分期持仓明细!$B$17:$Y$17,'实盘净值数据(iFinD）'!$B525:$Y525/'实盘净值数据(iFinD）'!$B$20:$Y$20)*(1-实盘持仓初始配置!$Z$4)^(('实盘净值数据(iFinD）'!$A525-'实盘净值数据(iFinD）'!$A$6)/365))</f>
        <v/>
      </c>
      <c r="C525" s="16" t="str">
        <f t="shared" si="48"/>
        <v/>
      </c>
      <c r="D525" s="16" t="str">
        <f>IF(B525="","",B525/MAX(B$5:B525)-1)</f>
        <v/>
      </c>
      <c r="E525" s="13" t="str">
        <f>IF(OR('实盘净值数据(iFinD）'!$A525="",'实盘净值数据(iFinD）'!$B525=""),"",分期持仓明细!$AB$18*SUMPRODUCT(分期持仓明细!$B$18:$Y$18,'实盘净值数据(iFinD）'!$B525:$Y525/'实盘净值数据(iFinD）'!$B$20:$Y$20)*(1-实盘持仓初始配置!$Z$5)^(('实盘净值数据(iFinD）'!$A525-'实盘净值数据(iFinD）'!$A$5)/365))</f>
        <v/>
      </c>
      <c r="F525" s="16" t="str">
        <f t="shared" si="49"/>
        <v/>
      </c>
      <c r="G525" s="16" t="str">
        <f>IF(E525="","",E525/MAX(E$5:E525)-1)</f>
        <v/>
      </c>
      <c r="H525" s="13" t="str">
        <f>IF(OR('实盘净值数据(iFinD）'!$A525="",'实盘净值数据(iFinD）'!$B525=""),"",分期持仓明细!$AB$19*SUMPRODUCT(分期持仓明细!$B$19:$Y$19,'实盘净值数据(iFinD）'!$B525:$Y525/'实盘净值数据(iFinD）'!$B$20:$Y$20)*(1-实盘持仓初始配置!$Z$6)^(('实盘净值数据(iFinD）'!$A525-'实盘净值数据(iFinD）'!$A$7)/365))</f>
        <v/>
      </c>
      <c r="I525" s="16" t="str">
        <f t="shared" si="50"/>
        <v/>
      </c>
      <c r="J525" s="16" t="str">
        <f>IF(H525="","",H525/MAX(H$5:H525)-1)</f>
        <v/>
      </c>
      <c r="K525" s="13" t="str">
        <f>IF(OR('实盘净值数据(iFinD）'!$A525="",'实盘净值数据(iFinD）'!$B525="",'实盘净值数据(iFinD）'!$Z525="",'实盘净值数据(iFinD）'!$AA525=""),"",分期持仓明细!$AB$23*(SUMPRODUCT(分期持仓明细!$B$23:$Y$23,'实盘净值数据(iFinD）'!$B525:$Y525/'实盘净值数据(iFinD）'!$B$65:$Y$65)+SUMPRODUCT(分期持仓明细!$AC$23:$AD$23,'实盘净值数据(iFinD）'!$Z525:$AA525/'实盘净值数据(iFinD）'!$Z$65:$AA$65))*(1-实盘持仓初始配置!$Z$7)^(('实盘净值数据(iFinD）'!$A525-'实盘净值数据(iFinD）'!$A$8)/365))</f>
        <v/>
      </c>
      <c r="L525" s="16" t="str">
        <f t="shared" si="51"/>
        <v/>
      </c>
      <c r="M525" s="16" t="str">
        <f>IF(K525="","",K525/MAX(K$5:K525)-1)</f>
        <v/>
      </c>
      <c r="N525" s="13" t="str">
        <f>IF(OR('实盘净值数据(iFinD）'!$A525="",'实盘净值数据(iFinD）'!$B525="",'实盘净值数据(iFinD）'!$Z525="",'实盘净值数据(iFinD）'!$AA525=""),"",分期持仓明细!$AB$24*(SUMPRODUCT(分期持仓明细!$B$24:$Y$24,'实盘净值数据(iFinD）'!$B525:$Y525/'实盘净值数据(iFinD）'!$B$65:$Y$65)+SUMPRODUCT(分期持仓明细!$AC$24:$AD$24,'实盘净值数据(iFinD）'!$Z525:$AA525/'实盘净值数据(iFinD）'!$Z$65:$AA$65))*(1-实盘持仓初始配置!$Z$8)^(('实盘净值数据(iFinD）'!$A525-'实盘净值数据(iFinD）'!$A$5)/365))</f>
        <v/>
      </c>
      <c r="O525" s="16" t="str">
        <f t="shared" si="52"/>
        <v/>
      </c>
      <c r="P525" s="16" t="str">
        <f>IF(N525="","",N525/MAX(N$5:N525)-1)</f>
        <v/>
      </c>
      <c r="Q525" s="13" t="str">
        <f>IF(OR('实盘净值数据(iFinD）'!$A525="",'实盘净值数据(iFinD）'!$B525="",'实盘净值数据(iFinD）'!$Z525="",'实盘净值数据(iFinD）'!$AA525=""),"",分期持仓明细!$AB$25*(SUMPRODUCT(分期持仓明细!$B$25:$Y$25,'实盘净值数据(iFinD）'!$B525:$Y525/'实盘净值数据(iFinD）'!$B$65:$Y$65)+SUMPRODUCT(分期持仓明细!$AC$25:$AD$25,'实盘净值数据(iFinD）'!$Z525:$AA525/'实盘净值数据(iFinD）'!$Z$65:$AA$65))*(1-实盘持仓初始配置!$Z$9)^(('实盘净值数据(iFinD）'!$A525-'实盘净值数据(iFinD）'!$A$8)/365))</f>
        <v/>
      </c>
      <c r="R525" s="16" t="str">
        <f t="shared" si="53"/>
        <v/>
      </c>
      <c r="S525" s="16" t="str">
        <f>IF(Q525="","",Q525/MAX(Q$5:Q525)-1)</f>
        <v/>
      </c>
    </row>
    <row r="526" spans="1:19">
      <c r="A526" s="15" t="str">
        <f>IF('实盘净值数据(iFinD）'!A526="","",'实盘净值数据(iFinD）'!A526)</f>
        <v/>
      </c>
      <c r="B526" s="13" t="str">
        <f>IF(OR('实盘净值数据(iFinD）'!$A526="",'实盘净值数据(iFinD）'!$B526=""),"",分期持仓明细!$AB$17*SUMPRODUCT(分期持仓明细!$B$17:$Y$17,'实盘净值数据(iFinD）'!$B526:$Y526/'实盘净值数据(iFinD）'!$B$20:$Y$20)*(1-实盘持仓初始配置!$Z$4)^(('实盘净值数据(iFinD）'!$A526-'实盘净值数据(iFinD）'!$A$6)/365))</f>
        <v/>
      </c>
      <c r="C526" s="16" t="str">
        <f t="shared" si="48"/>
        <v/>
      </c>
      <c r="D526" s="16" t="str">
        <f>IF(B526="","",B526/MAX(B$5:B526)-1)</f>
        <v/>
      </c>
      <c r="E526" s="13" t="str">
        <f>IF(OR('实盘净值数据(iFinD）'!$A526="",'实盘净值数据(iFinD）'!$B526=""),"",分期持仓明细!$AB$18*SUMPRODUCT(分期持仓明细!$B$18:$Y$18,'实盘净值数据(iFinD）'!$B526:$Y526/'实盘净值数据(iFinD）'!$B$20:$Y$20)*(1-实盘持仓初始配置!$Z$5)^(('实盘净值数据(iFinD）'!$A526-'实盘净值数据(iFinD）'!$A$5)/365))</f>
        <v/>
      </c>
      <c r="F526" s="16" t="str">
        <f t="shared" si="49"/>
        <v/>
      </c>
      <c r="G526" s="16" t="str">
        <f>IF(E526="","",E526/MAX(E$5:E526)-1)</f>
        <v/>
      </c>
      <c r="H526" s="13" t="str">
        <f>IF(OR('实盘净值数据(iFinD）'!$A526="",'实盘净值数据(iFinD）'!$B526=""),"",分期持仓明细!$AB$19*SUMPRODUCT(分期持仓明细!$B$19:$Y$19,'实盘净值数据(iFinD）'!$B526:$Y526/'实盘净值数据(iFinD）'!$B$20:$Y$20)*(1-实盘持仓初始配置!$Z$6)^(('实盘净值数据(iFinD）'!$A526-'实盘净值数据(iFinD）'!$A$7)/365))</f>
        <v/>
      </c>
      <c r="I526" s="16" t="str">
        <f t="shared" si="50"/>
        <v/>
      </c>
      <c r="J526" s="16" t="str">
        <f>IF(H526="","",H526/MAX(H$5:H526)-1)</f>
        <v/>
      </c>
      <c r="K526" s="13" t="str">
        <f>IF(OR('实盘净值数据(iFinD）'!$A526="",'实盘净值数据(iFinD）'!$B526="",'实盘净值数据(iFinD）'!$Z526="",'实盘净值数据(iFinD）'!$AA526=""),"",分期持仓明细!$AB$23*(SUMPRODUCT(分期持仓明细!$B$23:$Y$23,'实盘净值数据(iFinD）'!$B526:$Y526/'实盘净值数据(iFinD）'!$B$65:$Y$65)+SUMPRODUCT(分期持仓明细!$AC$23:$AD$23,'实盘净值数据(iFinD）'!$Z526:$AA526/'实盘净值数据(iFinD）'!$Z$65:$AA$65))*(1-实盘持仓初始配置!$Z$7)^(('实盘净值数据(iFinD）'!$A526-'实盘净值数据(iFinD）'!$A$8)/365))</f>
        <v/>
      </c>
      <c r="L526" s="16" t="str">
        <f t="shared" si="51"/>
        <v/>
      </c>
      <c r="M526" s="16" t="str">
        <f>IF(K526="","",K526/MAX(K$5:K526)-1)</f>
        <v/>
      </c>
      <c r="N526" s="13" t="str">
        <f>IF(OR('实盘净值数据(iFinD）'!$A526="",'实盘净值数据(iFinD）'!$B526="",'实盘净值数据(iFinD）'!$Z526="",'实盘净值数据(iFinD）'!$AA526=""),"",分期持仓明细!$AB$24*(SUMPRODUCT(分期持仓明细!$B$24:$Y$24,'实盘净值数据(iFinD）'!$B526:$Y526/'实盘净值数据(iFinD）'!$B$65:$Y$65)+SUMPRODUCT(分期持仓明细!$AC$24:$AD$24,'实盘净值数据(iFinD）'!$Z526:$AA526/'实盘净值数据(iFinD）'!$Z$65:$AA$65))*(1-实盘持仓初始配置!$Z$8)^(('实盘净值数据(iFinD）'!$A526-'实盘净值数据(iFinD）'!$A$5)/365))</f>
        <v/>
      </c>
      <c r="O526" s="16" t="str">
        <f t="shared" si="52"/>
        <v/>
      </c>
      <c r="P526" s="16" t="str">
        <f>IF(N526="","",N526/MAX(N$5:N526)-1)</f>
        <v/>
      </c>
      <c r="Q526" s="13" t="str">
        <f>IF(OR('实盘净值数据(iFinD）'!$A526="",'实盘净值数据(iFinD）'!$B526="",'实盘净值数据(iFinD）'!$Z526="",'实盘净值数据(iFinD）'!$AA526=""),"",分期持仓明细!$AB$25*(SUMPRODUCT(分期持仓明细!$B$25:$Y$25,'实盘净值数据(iFinD）'!$B526:$Y526/'实盘净值数据(iFinD）'!$B$65:$Y$65)+SUMPRODUCT(分期持仓明细!$AC$25:$AD$25,'实盘净值数据(iFinD）'!$Z526:$AA526/'实盘净值数据(iFinD）'!$Z$65:$AA$65))*(1-实盘持仓初始配置!$Z$9)^(('实盘净值数据(iFinD）'!$A526-'实盘净值数据(iFinD）'!$A$8)/365))</f>
        <v/>
      </c>
      <c r="R526" s="16" t="str">
        <f t="shared" si="53"/>
        <v/>
      </c>
      <c r="S526" s="16" t="str">
        <f>IF(Q526="","",Q526/MAX(Q$5:Q526)-1)</f>
        <v/>
      </c>
    </row>
    <row r="527" spans="1:19">
      <c r="A527" s="15" t="str">
        <f>IF('实盘净值数据(iFinD）'!A527="","",'实盘净值数据(iFinD）'!A527)</f>
        <v/>
      </c>
      <c r="B527" s="13" t="str">
        <f>IF(OR('实盘净值数据(iFinD）'!$A527="",'实盘净值数据(iFinD）'!$B527=""),"",分期持仓明细!$AB$17*SUMPRODUCT(分期持仓明细!$B$17:$Y$17,'实盘净值数据(iFinD）'!$B527:$Y527/'实盘净值数据(iFinD）'!$B$20:$Y$20)*(1-实盘持仓初始配置!$Z$4)^(('实盘净值数据(iFinD）'!$A527-'实盘净值数据(iFinD）'!$A$6)/365))</f>
        <v/>
      </c>
      <c r="C527" s="16" t="str">
        <f t="shared" si="48"/>
        <v/>
      </c>
      <c r="D527" s="16" t="str">
        <f>IF(B527="","",B527/MAX(B$5:B527)-1)</f>
        <v/>
      </c>
      <c r="E527" s="13" t="str">
        <f>IF(OR('实盘净值数据(iFinD）'!$A527="",'实盘净值数据(iFinD）'!$B527=""),"",分期持仓明细!$AB$18*SUMPRODUCT(分期持仓明细!$B$18:$Y$18,'实盘净值数据(iFinD）'!$B527:$Y527/'实盘净值数据(iFinD）'!$B$20:$Y$20)*(1-实盘持仓初始配置!$Z$5)^(('实盘净值数据(iFinD）'!$A527-'实盘净值数据(iFinD）'!$A$5)/365))</f>
        <v/>
      </c>
      <c r="F527" s="16" t="str">
        <f t="shared" si="49"/>
        <v/>
      </c>
      <c r="G527" s="16" t="str">
        <f>IF(E527="","",E527/MAX(E$5:E527)-1)</f>
        <v/>
      </c>
      <c r="H527" s="13" t="str">
        <f>IF(OR('实盘净值数据(iFinD）'!$A527="",'实盘净值数据(iFinD）'!$B527=""),"",分期持仓明细!$AB$19*SUMPRODUCT(分期持仓明细!$B$19:$Y$19,'实盘净值数据(iFinD）'!$B527:$Y527/'实盘净值数据(iFinD）'!$B$20:$Y$20)*(1-实盘持仓初始配置!$Z$6)^(('实盘净值数据(iFinD）'!$A527-'实盘净值数据(iFinD）'!$A$7)/365))</f>
        <v/>
      </c>
      <c r="I527" s="16" t="str">
        <f t="shared" si="50"/>
        <v/>
      </c>
      <c r="J527" s="16" t="str">
        <f>IF(H527="","",H527/MAX(H$5:H527)-1)</f>
        <v/>
      </c>
      <c r="K527" s="13" t="str">
        <f>IF(OR('实盘净值数据(iFinD）'!$A527="",'实盘净值数据(iFinD）'!$B527="",'实盘净值数据(iFinD）'!$Z527="",'实盘净值数据(iFinD）'!$AA527=""),"",分期持仓明细!$AB$23*(SUMPRODUCT(分期持仓明细!$B$23:$Y$23,'实盘净值数据(iFinD）'!$B527:$Y527/'实盘净值数据(iFinD）'!$B$65:$Y$65)+SUMPRODUCT(分期持仓明细!$AC$23:$AD$23,'实盘净值数据(iFinD）'!$Z527:$AA527/'实盘净值数据(iFinD）'!$Z$65:$AA$65))*(1-实盘持仓初始配置!$Z$7)^(('实盘净值数据(iFinD）'!$A527-'实盘净值数据(iFinD）'!$A$8)/365))</f>
        <v/>
      </c>
      <c r="L527" s="16" t="str">
        <f t="shared" si="51"/>
        <v/>
      </c>
      <c r="M527" s="16" t="str">
        <f>IF(K527="","",K527/MAX(K$5:K527)-1)</f>
        <v/>
      </c>
      <c r="N527" s="13" t="str">
        <f>IF(OR('实盘净值数据(iFinD）'!$A527="",'实盘净值数据(iFinD）'!$B527="",'实盘净值数据(iFinD）'!$Z527="",'实盘净值数据(iFinD）'!$AA527=""),"",分期持仓明细!$AB$24*(SUMPRODUCT(分期持仓明细!$B$24:$Y$24,'实盘净值数据(iFinD）'!$B527:$Y527/'实盘净值数据(iFinD）'!$B$65:$Y$65)+SUMPRODUCT(分期持仓明细!$AC$24:$AD$24,'实盘净值数据(iFinD）'!$Z527:$AA527/'实盘净值数据(iFinD）'!$Z$65:$AA$65))*(1-实盘持仓初始配置!$Z$8)^(('实盘净值数据(iFinD）'!$A527-'实盘净值数据(iFinD）'!$A$5)/365))</f>
        <v/>
      </c>
      <c r="O527" s="16" t="str">
        <f t="shared" si="52"/>
        <v/>
      </c>
      <c r="P527" s="16" t="str">
        <f>IF(N527="","",N527/MAX(N$5:N527)-1)</f>
        <v/>
      </c>
      <c r="Q527" s="13" t="str">
        <f>IF(OR('实盘净值数据(iFinD）'!$A527="",'实盘净值数据(iFinD）'!$B527="",'实盘净值数据(iFinD）'!$Z527="",'实盘净值数据(iFinD）'!$AA527=""),"",分期持仓明细!$AB$25*(SUMPRODUCT(分期持仓明细!$B$25:$Y$25,'实盘净值数据(iFinD）'!$B527:$Y527/'实盘净值数据(iFinD）'!$B$65:$Y$65)+SUMPRODUCT(分期持仓明细!$AC$25:$AD$25,'实盘净值数据(iFinD）'!$Z527:$AA527/'实盘净值数据(iFinD）'!$Z$65:$AA$65))*(1-实盘持仓初始配置!$Z$9)^(('实盘净值数据(iFinD）'!$A527-'实盘净值数据(iFinD）'!$A$8)/365))</f>
        <v/>
      </c>
      <c r="R527" s="16" t="str">
        <f t="shared" si="53"/>
        <v/>
      </c>
      <c r="S527" s="16" t="str">
        <f>IF(Q527="","",Q527/MAX(Q$5:Q527)-1)</f>
        <v/>
      </c>
    </row>
    <row r="528" spans="1:19">
      <c r="A528" s="15" t="str">
        <f>IF('实盘净值数据(iFinD）'!A528="","",'实盘净值数据(iFinD）'!A528)</f>
        <v/>
      </c>
      <c r="B528" s="13" t="str">
        <f>IF(OR('实盘净值数据(iFinD）'!$A528="",'实盘净值数据(iFinD）'!$B528=""),"",分期持仓明细!$AB$17*SUMPRODUCT(分期持仓明细!$B$17:$Y$17,'实盘净值数据(iFinD）'!$B528:$Y528/'实盘净值数据(iFinD）'!$B$20:$Y$20)*(1-实盘持仓初始配置!$Z$4)^(('实盘净值数据(iFinD）'!$A528-'实盘净值数据(iFinD）'!$A$6)/365))</f>
        <v/>
      </c>
      <c r="C528" s="16" t="str">
        <f t="shared" si="48"/>
        <v/>
      </c>
      <c r="D528" s="16" t="str">
        <f>IF(B528="","",B528/MAX(B$5:B528)-1)</f>
        <v/>
      </c>
      <c r="E528" s="13" t="str">
        <f>IF(OR('实盘净值数据(iFinD）'!$A528="",'实盘净值数据(iFinD）'!$B528=""),"",分期持仓明细!$AB$18*SUMPRODUCT(分期持仓明细!$B$18:$Y$18,'实盘净值数据(iFinD）'!$B528:$Y528/'实盘净值数据(iFinD）'!$B$20:$Y$20)*(1-实盘持仓初始配置!$Z$5)^(('实盘净值数据(iFinD）'!$A528-'实盘净值数据(iFinD）'!$A$5)/365))</f>
        <v/>
      </c>
      <c r="F528" s="16" t="str">
        <f t="shared" si="49"/>
        <v/>
      </c>
      <c r="G528" s="16" t="str">
        <f>IF(E528="","",E528/MAX(E$5:E528)-1)</f>
        <v/>
      </c>
      <c r="H528" s="13" t="str">
        <f>IF(OR('实盘净值数据(iFinD）'!$A528="",'实盘净值数据(iFinD）'!$B528=""),"",分期持仓明细!$AB$19*SUMPRODUCT(分期持仓明细!$B$19:$Y$19,'实盘净值数据(iFinD）'!$B528:$Y528/'实盘净值数据(iFinD）'!$B$20:$Y$20)*(1-实盘持仓初始配置!$Z$6)^(('实盘净值数据(iFinD）'!$A528-'实盘净值数据(iFinD）'!$A$7)/365))</f>
        <v/>
      </c>
      <c r="I528" s="16" t="str">
        <f t="shared" si="50"/>
        <v/>
      </c>
      <c r="J528" s="16" t="str">
        <f>IF(H528="","",H528/MAX(H$5:H528)-1)</f>
        <v/>
      </c>
      <c r="K528" s="13" t="str">
        <f>IF(OR('实盘净值数据(iFinD）'!$A528="",'实盘净值数据(iFinD）'!$B528="",'实盘净值数据(iFinD）'!$Z528="",'实盘净值数据(iFinD）'!$AA528=""),"",分期持仓明细!$AB$23*(SUMPRODUCT(分期持仓明细!$B$23:$Y$23,'实盘净值数据(iFinD）'!$B528:$Y528/'实盘净值数据(iFinD）'!$B$65:$Y$65)+SUMPRODUCT(分期持仓明细!$AC$23:$AD$23,'实盘净值数据(iFinD）'!$Z528:$AA528/'实盘净值数据(iFinD）'!$Z$65:$AA$65))*(1-实盘持仓初始配置!$Z$7)^(('实盘净值数据(iFinD）'!$A528-'实盘净值数据(iFinD）'!$A$8)/365))</f>
        <v/>
      </c>
      <c r="L528" s="16" t="str">
        <f t="shared" si="51"/>
        <v/>
      </c>
      <c r="M528" s="16" t="str">
        <f>IF(K528="","",K528/MAX(K$5:K528)-1)</f>
        <v/>
      </c>
      <c r="N528" s="13" t="str">
        <f>IF(OR('实盘净值数据(iFinD）'!$A528="",'实盘净值数据(iFinD）'!$B528="",'实盘净值数据(iFinD）'!$Z528="",'实盘净值数据(iFinD）'!$AA528=""),"",分期持仓明细!$AB$24*(SUMPRODUCT(分期持仓明细!$B$24:$Y$24,'实盘净值数据(iFinD）'!$B528:$Y528/'实盘净值数据(iFinD）'!$B$65:$Y$65)+SUMPRODUCT(分期持仓明细!$AC$24:$AD$24,'实盘净值数据(iFinD）'!$Z528:$AA528/'实盘净值数据(iFinD）'!$Z$65:$AA$65))*(1-实盘持仓初始配置!$Z$8)^(('实盘净值数据(iFinD）'!$A528-'实盘净值数据(iFinD）'!$A$5)/365))</f>
        <v/>
      </c>
      <c r="O528" s="16" t="str">
        <f t="shared" si="52"/>
        <v/>
      </c>
      <c r="P528" s="16" t="str">
        <f>IF(N528="","",N528/MAX(N$5:N528)-1)</f>
        <v/>
      </c>
      <c r="Q528" s="13" t="str">
        <f>IF(OR('实盘净值数据(iFinD）'!$A528="",'实盘净值数据(iFinD）'!$B528="",'实盘净值数据(iFinD）'!$Z528="",'实盘净值数据(iFinD）'!$AA528=""),"",分期持仓明细!$AB$25*(SUMPRODUCT(分期持仓明细!$B$25:$Y$25,'实盘净值数据(iFinD）'!$B528:$Y528/'实盘净值数据(iFinD）'!$B$65:$Y$65)+SUMPRODUCT(分期持仓明细!$AC$25:$AD$25,'实盘净值数据(iFinD）'!$Z528:$AA528/'实盘净值数据(iFinD）'!$Z$65:$AA$65))*(1-实盘持仓初始配置!$Z$9)^(('实盘净值数据(iFinD）'!$A528-'实盘净值数据(iFinD）'!$A$8)/365))</f>
        <v/>
      </c>
      <c r="R528" s="16" t="str">
        <f t="shared" si="53"/>
        <v/>
      </c>
      <c r="S528" s="16" t="str">
        <f>IF(Q528="","",Q528/MAX(Q$5:Q528)-1)</f>
        <v/>
      </c>
    </row>
    <row r="529" spans="1:19">
      <c r="A529" s="15" t="str">
        <f>IF('实盘净值数据(iFinD）'!A529="","",'实盘净值数据(iFinD）'!A529)</f>
        <v/>
      </c>
      <c r="B529" s="13" t="str">
        <f>IF(OR('实盘净值数据(iFinD）'!$A529="",'实盘净值数据(iFinD）'!$B529=""),"",分期持仓明细!$AB$17*SUMPRODUCT(分期持仓明细!$B$17:$Y$17,'实盘净值数据(iFinD）'!$B529:$Y529/'实盘净值数据(iFinD）'!$B$20:$Y$20)*(1-实盘持仓初始配置!$Z$4)^(('实盘净值数据(iFinD）'!$A529-'实盘净值数据(iFinD）'!$A$6)/365))</f>
        <v/>
      </c>
      <c r="C529" s="16" t="str">
        <f t="shared" si="48"/>
        <v/>
      </c>
      <c r="D529" s="16" t="str">
        <f>IF(B529="","",B529/MAX(B$5:B529)-1)</f>
        <v/>
      </c>
      <c r="E529" s="13" t="str">
        <f>IF(OR('实盘净值数据(iFinD）'!$A529="",'实盘净值数据(iFinD）'!$B529=""),"",分期持仓明细!$AB$18*SUMPRODUCT(分期持仓明细!$B$18:$Y$18,'实盘净值数据(iFinD）'!$B529:$Y529/'实盘净值数据(iFinD）'!$B$20:$Y$20)*(1-实盘持仓初始配置!$Z$5)^(('实盘净值数据(iFinD）'!$A529-'实盘净值数据(iFinD）'!$A$5)/365))</f>
        <v/>
      </c>
      <c r="F529" s="16" t="str">
        <f t="shared" si="49"/>
        <v/>
      </c>
      <c r="G529" s="16" t="str">
        <f>IF(E529="","",E529/MAX(E$5:E529)-1)</f>
        <v/>
      </c>
      <c r="H529" s="13" t="str">
        <f>IF(OR('实盘净值数据(iFinD）'!$A529="",'实盘净值数据(iFinD）'!$B529=""),"",分期持仓明细!$AB$19*SUMPRODUCT(分期持仓明细!$B$19:$Y$19,'实盘净值数据(iFinD）'!$B529:$Y529/'实盘净值数据(iFinD）'!$B$20:$Y$20)*(1-实盘持仓初始配置!$Z$6)^(('实盘净值数据(iFinD）'!$A529-'实盘净值数据(iFinD）'!$A$7)/365))</f>
        <v/>
      </c>
      <c r="I529" s="16" t="str">
        <f t="shared" si="50"/>
        <v/>
      </c>
      <c r="J529" s="16" t="str">
        <f>IF(H529="","",H529/MAX(H$5:H529)-1)</f>
        <v/>
      </c>
      <c r="K529" s="13" t="str">
        <f>IF(OR('实盘净值数据(iFinD）'!$A529="",'实盘净值数据(iFinD）'!$B529="",'实盘净值数据(iFinD）'!$Z529="",'实盘净值数据(iFinD）'!$AA529=""),"",分期持仓明细!$AB$23*(SUMPRODUCT(分期持仓明细!$B$23:$Y$23,'实盘净值数据(iFinD）'!$B529:$Y529/'实盘净值数据(iFinD）'!$B$65:$Y$65)+SUMPRODUCT(分期持仓明细!$AC$23:$AD$23,'实盘净值数据(iFinD）'!$Z529:$AA529/'实盘净值数据(iFinD）'!$Z$65:$AA$65))*(1-实盘持仓初始配置!$Z$7)^(('实盘净值数据(iFinD）'!$A529-'实盘净值数据(iFinD）'!$A$8)/365))</f>
        <v/>
      </c>
      <c r="L529" s="16" t="str">
        <f t="shared" si="51"/>
        <v/>
      </c>
      <c r="M529" s="16" t="str">
        <f>IF(K529="","",K529/MAX(K$5:K529)-1)</f>
        <v/>
      </c>
      <c r="N529" s="13" t="str">
        <f>IF(OR('实盘净值数据(iFinD）'!$A529="",'实盘净值数据(iFinD）'!$B529="",'实盘净值数据(iFinD）'!$Z529="",'实盘净值数据(iFinD）'!$AA529=""),"",分期持仓明细!$AB$24*(SUMPRODUCT(分期持仓明细!$B$24:$Y$24,'实盘净值数据(iFinD）'!$B529:$Y529/'实盘净值数据(iFinD）'!$B$65:$Y$65)+SUMPRODUCT(分期持仓明细!$AC$24:$AD$24,'实盘净值数据(iFinD）'!$Z529:$AA529/'实盘净值数据(iFinD）'!$Z$65:$AA$65))*(1-实盘持仓初始配置!$Z$8)^(('实盘净值数据(iFinD）'!$A529-'实盘净值数据(iFinD）'!$A$5)/365))</f>
        <v/>
      </c>
      <c r="O529" s="16" t="str">
        <f t="shared" si="52"/>
        <v/>
      </c>
      <c r="P529" s="16" t="str">
        <f>IF(N529="","",N529/MAX(N$5:N529)-1)</f>
        <v/>
      </c>
      <c r="Q529" s="13" t="str">
        <f>IF(OR('实盘净值数据(iFinD）'!$A529="",'实盘净值数据(iFinD）'!$B529="",'实盘净值数据(iFinD）'!$Z529="",'实盘净值数据(iFinD）'!$AA529=""),"",分期持仓明细!$AB$25*(SUMPRODUCT(分期持仓明细!$B$25:$Y$25,'实盘净值数据(iFinD）'!$B529:$Y529/'实盘净值数据(iFinD）'!$B$65:$Y$65)+SUMPRODUCT(分期持仓明细!$AC$25:$AD$25,'实盘净值数据(iFinD）'!$Z529:$AA529/'实盘净值数据(iFinD）'!$Z$65:$AA$65))*(1-实盘持仓初始配置!$Z$9)^(('实盘净值数据(iFinD）'!$A529-'实盘净值数据(iFinD）'!$A$8)/365))</f>
        <v/>
      </c>
      <c r="R529" s="16" t="str">
        <f t="shared" si="53"/>
        <v/>
      </c>
      <c r="S529" s="16" t="str">
        <f>IF(Q529="","",Q529/MAX(Q$5:Q529)-1)</f>
        <v/>
      </c>
    </row>
    <row r="530" spans="1:19">
      <c r="A530" s="15" t="str">
        <f>IF('实盘净值数据(iFinD）'!A530="","",'实盘净值数据(iFinD）'!A530)</f>
        <v/>
      </c>
      <c r="B530" s="13" t="str">
        <f>IF(OR('实盘净值数据(iFinD）'!$A530="",'实盘净值数据(iFinD）'!$B530=""),"",分期持仓明细!$AB$17*SUMPRODUCT(分期持仓明细!$B$17:$Y$17,'实盘净值数据(iFinD）'!$B530:$Y530/'实盘净值数据(iFinD）'!$B$20:$Y$20)*(1-实盘持仓初始配置!$Z$4)^(('实盘净值数据(iFinD）'!$A530-'实盘净值数据(iFinD）'!$A$6)/365))</f>
        <v/>
      </c>
      <c r="C530" s="16" t="str">
        <f t="shared" si="48"/>
        <v/>
      </c>
      <c r="D530" s="16" t="str">
        <f>IF(B530="","",B530/MAX(B$5:B530)-1)</f>
        <v/>
      </c>
      <c r="E530" s="13" t="str">
        <f>IF(OR('实盘净值数据(iFinD）'!$A530="",'实盘净值数据(iFinD）'!$B530=""),"",分期持仓明细!$AB$18*SUMPRODUCT(分期持仓明细!$B$18:$Y$18,'实盘净值数据(iFinD）'!$B530:$Y530/'实盘净值数据(iFinD）'!$B$20:$Y$20)*(1-实盘持仓初始配置!$Z$5)^(('实盘净值数据(iFinD）'!$A530-'实盘净值数据(iFinD）'!$A$5)/365))</f>
        <v/>
      </c>
      <c r="F530" s="16" t="str">
        <f t="shared" si="49"/>
        <v/>
      </c>
      <c r="G530" s="16" t="str">
        <f>IF(E530="","",E530/MAX(E$5:E530)-1)</f>
        <v/>
      </c>
      <c r="H530" s="13" t="str">
        <f>IF(OR('实盘净值数据(iFinD）'!$A530="",'实盘净值数据(iFinD）'!$B530=""),"",分期持仓明细!$AB$19*SUMPRODUCT(分期持仓明细!$B$19:$Y$19,'实盘净值数据(iFinD）'!$B530:$Y530/'实盘净值数据(iFinD）'!$B$20:$Y$20)*(1-实盘持仓初始配置!$Z$6)^(('实盘净值数据(iFinD）'!$A530-'实盘净值数据(iFinD）'!$A$7)/365))</f>
        <v/>
      </c>
      <c r="I530" s="16" t="str">
        <f t="shared" si="50"/>
        <v/>
      </c>
      <c r="J530" s="16" t="str">
        <f>IF(H530="","",H530/MAX(H$5:H530)-1)</f>
        <v/>
      </c>
      <c r="K530" s="13" t="str">
        <f>IF(OR('实盘净值数据(iFinD）'!$A530="",'实盘净值数据(iFinD）'!$B530="",'实盘净值数据(iFinD）'!$Z530="",'实盘净值数据(iFinD）'!$AA530=""),"",分期持仓明细!$AB$23*(SUMPRODUCT(分期持仓明细!$B$23:$Y$23,'实盘净值数据(iFinD）'!$B530:$Y530/'实盘净值数据(iFinD）'!$B$65:$Y$65)+SUMPRODUCT(分期持仓明细!$AC$23:$AD$23,'实盘净值数据(iFinD）'!$Z530:$AA530/'实盘净值数据(iFinD）'!$Z$65:$AA$65))*(1-实盘持仓初始配置!$Z$7)^(('实盘净值数据(iFinD）'!$A530-'实盘净值数据(iFinD）'!$A$8)/365))</f>
        <v/>
      </c>
      <c r="L530" s="16" t="str">
        <f t="shared" si="51"/>
        <v/>
      </c>
      <c r="M530" s="16" t="str">
        <f>IF(K530="","",K530/MAX(K$5:K530)-1)</f>
        <v/>
      </c>
      <c r="N530" s="13" t="str">
        <f>IF(OR('实盘净值数据(iFinD）'!$A530="",'实盘净值数据(iFinD）'!$B530="",'实盘净值数据(iFinD）'!$Z530="",'实盘净值数据(iFinD）'!$AA530=""),"",分期持仓明细!$AB$24*(SUMPRODUCT(分期持仓明细!$B$24:$Y$24,'实盘净值数据(iFinD）'!$B530:$Y530/'实盘净值数据(iFinD）'!$B$65:$Y$65)+SUMPRODUCT(分期持仓明细!$AC$24:$AD$24,'实盘净值数据(iFinD）'!$Z530:$AA530/'实盘净值数据(iFinD）'!$Z$65:$AA$65))*(1-实盘持仓初始配置!$Z$8)^(('实盘净值数据(iFinD）'!$A530-'实盘净值数据(iFinD）'!$A$5)/365))</f>
        <v/>
      </c>
      <c r="O530" s="16" t="str">
        <f t="shared" si="52"/>
        <v/>
      </c>
      <c r="P530" s="16" t="str">
        <f>IF(N530="","",N530/MAX(N$5:N530)-1)</f>
        <v/>
      </c>
      <c r="Q530" s="13" t="str">
        <f>IF(OR('实盘净值数据(iFinD）'!$A530="",'实盘净值数据(iFinD）'!$B530="",'实盘净值数据(iFinD）'!$Z530="",'实盘净值数据(iFinD）'!$AA530=""),"",分期持仓明细!$AB$25*(SUMPRODUCT(分期持仓明细!$B$25:$Y$25,'实盘净值数据(iFinD）'!$B530:$Y530/'实盘净值数据(iFinD）'!$B$65:$Y$65)+SUMPRODUCT(分期持仓明细!$AC$25:$AD$25,'实盘净值数据(iFinD）'!$Z530:$AA530/'实盘净值数据(iFinD）'!$Z$65:$AA$65))*(1-实盘持仓初始配置!$Z$9)^(('实盘净值数据(iFinD）'!$A530-'实盘净值数据(iFinD）'!$A$8)/365))</f>
        <v/>
      </c>
      <c r="R530" s="16" t="str">
        <f t="shared" si="53"/>
        <v/>
      </c>
      <c r="S530" s="16" t="str">
        <f>IF(Q530="","",Q530/MAX(Q$5:Q530)-1)</f>
        <v/>
      </c>
    </row>
    <row r="531" spans="1:19">
      <c r="A531" s="15" t="str">
        <f>IF('实盘净值数据(iFinD）'!A531="","",'实盘净值数据(iFinD）'!A531)</f>
        <v/>
      </c>
      <c r="B531" s="13" t="str">
        <f>IF(OR('实盘净值数据(iFinD）'!$A531="",'实盘净值数据(iFinD）'!$B531=""),"",分期持仓明细!$AB$17*SUMPRODUCT(分期持仓明细!$B$17:$Y$17,'实盘净值数据(iFinD）'!$B531:$Y531/'实盘净值数据(iFinD）'!$B$20:$Y$20)*(1-实盘持仓初始配置!$Z$4)^(('实盘净值数据(iFinD）'!$A531-'实盘净值数据(iFinD）'!$A$6)/365))</f>
        <v/>
      </c>
      <c r="C531" s="16" t="str">
        <f t="shared" si="48"/>
        <v/>
      </c>
      <c r="D531" s="16" t="str">
        <f>IF(B531="","",B531/MAX(B$5:B531)-1)</f>
        <v/>
      </c>
      <c r="E531" s="13" t="str">
        <f>IF(OR('实盘净值数据(iFinD）'!$A531="",'实盘净值数据(iFinD）'!$B531=""),"",分期持仓明细!$AB$18*SUMPRODUCT(分期持仓明细!$B$18:$Y$18,'实盘净值数据(iFinD）'!$B531:$Y531/'实盘净值数据(iFinD）'!$B$20:$Y$20)*(1-实盘持仓初始配置!$Z$5)^(('实盘净值数据(iFinD）'!$A531-'实盘净值数据(iFinD）'!$A$5)/365))</f>
        <v/>
      </c>
      <c r="F531" s="16" t="str">
        <f t="shared" si="49"/>
        <v/>
      </c>
      <c r="G531" s="16" t="str">
        <f>IF(E531="","",E531/MAX(E$5:E531)-1)</f>
        <v/>
      </c>
      <c r="H531" s="13" t="str">
        <f>IF(OR('实盘净值数据(iFinD）'!$A531="",'实盘净值数据(iFinD）'!$B531=""),"",分期持仓明细!$AB$19*SUMPRODUCT(分期持仓明细!$B$19:$Y$19,'实盘净值数据(iFinD）'!$B531:$Y531/'实盘净值数据(iFinD）'!$B$20:$Y$20)*(1-实盘持仓初始配置!$Z$6)^(('实盘净值数据(iFinD）'!$A531-'实盘净值数据(iFinD）'!$A$7)/365))</f>
        <v/>
      </c>
      <c r="I531" s="16" t="str">
        <f t="shared" si="50"/>
        <v/>
      </c>
      <c r="J531" s="16" t="str">
        <f>IF(H531="","",H531/MAX(H$5:H531)-1)</f>
        <v/>
      </c>
      <c r="K531" s="13" t="str">
        <f>IF(OR('实盘净值数据(iFinD）'!$A531="",'实盘净值数据(iFinD）'!$B531="",'实盘净值数据(iFinD）'!$Z531="",'实盘净值数据(iFinD）'!$AA531=""),"",分期持仓明细!$AB$23*(SUMPRODUCT(分期持仓明细!$B$23:$Y$23,'实盘净值数据(iFinD）'!$B531:$Y531/'实盘净值数据(iFinD）'!$B$65:$Y$65)+SUMPRODUCT(分期持仓明细!$AC$23:$AD$23,'实盘净值数据(iFinD）'!$Z531:$AA531/'实盘净值数据(iFinD）'!$Z$65:$AA$65))*(1-实盘持仓初始配置!$Z$7)^(('实盘净值数据(iFinD）'!$A531-'实盘净值数据(iFinD）'!$A$8)/365))</f>
        <v/>
      </c>
      <c r="L531" s="16" t="str">
        <f t="shared" si="51"/>
        <v/>
      </c>
      <c r="M531" s="16" t="str">
        <f>IF(K531="","",K531/MAX(K$5:K531)-1)</f>
        <v/>
      </c>
      <c r="N531" s="13" t="str">
        <f>IF(OR('实盘净值数据(iFinD）'!$A531="",'实盘净值数据(iFinD）'!$B531="",'实盘净值数据(iFinD）'!$Z531="",'实盘净值数据(iFinD）'!$AA531=""),"",分期持仓明细!$AB$24*(SUMPRODUCT(分期持仓明细!$B$24:$Y$24,'实盘净值数据(iFinD）'!$B531:$Y531/'实盘净值数据(iFinD）'!$B$65:$Y$65)+SUMPRODUCT(分期持仓明细!$AC$24:$AD$24,'实盘净值数据(iFinD）'!$Z531:$AA531/'实盘净值数据(iFinD）'!$Z$65:$AA$65))*(1-实盘持仓初始配置!$Z$8)^(('实盘净值数据(iFinD）'!$A531-'实盘净值数据(iFinD）'!$A$5)/365))</f>
        <v/>
      </c>
      <c r="O531" s="16" t="str">
        <f t="shared" si="52"/>
        <v/>
      </c>
      <c r="P531" s="16" t="str">
        <f>IF(N531="","",N531/MAX(N$5:N531)-1)</f>
        <v/>
      </c>
      <c r="Q531" s="13" t="str">
        <f>IF(OR('实盘净值数据(iFinD）'!$A531="",'实盘净值数据(iFinD）'!$B531="",'实盘净值数据(iFinD）'!$Z531="",'实盘净值数据(iFinD）'!$AA531=""),"",分期持仓明细!$AB$25*(SUMPRODUCT(分期持仓明细!$B$25:$Y$25,'实盘净值数据(iFinD）'!$B531:$Y531/'实盘净值数据(iFinD）'!$B$65:$Y$65)+SUMPRODUCT(分期持仓明细!$AC$25:$AD$25,'实盘净值数据(iFinD）'!$Z531:$AA531/'实盘净值数据(iFinD）'!$Z$65:$AA$65))*(1-实盘持仓初始配置!$Z$9)^(('实盘净值数据(iFinD）'!$A531-'实盘净值数据(iFinD）'!$A$8)/365))</f>
        <v/>
      </c>
      <c r="R531" s="16" t="str">
        <f t="shared" si="53"/>
        <v/>
      </c>
      <c r="S531" s="16" t="str">
        <f>IF(Q531="","",Q531/MAX(Q$5:Q531)-1)</f>
        <v/>
      </c>
    </row>
    <row r="532" spans="1:19">
      <c r="A532" s="15" t="str">
        <f>IF('实盘净值数据(iFinD）'!A532="","",'实盘净值数据(iFinD）'!A532)</f>
        <v/>
      </c>
      <c r="B532" s="13" t="str">
        <f>IF(OR('实盘净值数据(iFinD）'!$A532="",'实盘净值数据(iFinD）'!$B532=""),"",分期持仓明细!$AB$17*SUMPRODUCT(分期持仓明细!$B$17:$Y$17,'实盘净值数据(iFinD）'!$B532:$Y532/'实盘净值数据(iFinD）'!$B$20:$Y$20)*(1-实盘持仓初始配置!$Z$4)^(('实盘净值数据(iFinD）'!$A532-'实盘净值数据(iFinD）'!$A$6)/365))</f>
        <v/>
      </c>
      <c r="C532" s="16" t="str">
        <f t="shared" si="48"/>
        <v/>
      </c>
      <c r="D532" s="16" t="str">
        <f>IF(B532="","",B532/MAX(B$5:B532)-1)</f>
        <v/>
      </c>
      <c r="E532" s="13" t="str">
        <f>IF(OR('实盘净值数据(iFinD）'!$A532="",'实盘净值数据(iFinD）'!$B532=""),"",分期持仓明细!$AB$18*SUMPRODUCT(分期持仓明细!$B$18:$Y$18,'实盘净值数据(iFinD）'!$B532:$Y532/'实盘净值数据(iFinD）'!$B$20:$Y$20)*(1-实盘持仓初始配置!$Z$5)^(('实盘净值数据(iFinD）'!$A532-'实盘净值数据(iFinD）'!$A$5)/365))</f>
        <v/>
      </c>
      <c r="F532" s="16" t="str">
        <f t="shared" si="49"/>
        <v/>
      </c>
      <c r="G532" s="16" t="str">
        <f>IF(E532="","",E532/MAX(E$5:E532)-1)</f>
        <v/>
      </c>
      <c r="H532" s="13" t="str">
        <f>IF(OR('实盘净值数据(iFinD）'!$A532="",'实盘净值数据(iFinD）'!$B532=""),"",分期持仓明细!$AB$19*SUMPRODUCT(分期持仓明细!$B$19:$Y$19,'实盘净值数据(iFinD）'!$B532:$Y532/'实盘净值数据(iFinD）'!$B$20:$Y$20)*(1-实盘持仓初始配置!$Z$6)^(('实盘净值数据(iFinD）'!$A532-'实盘净值数据(iFinD）'!$A$7)/365))</f>
        <v/>
      </c>
      <c r="I532" s="16" t="str">
        <f t="shared" si="50"/>
        <v/>
      </c>
      <c r="J532" s="16" t="str">
        <f>IF(H532="","",H532/MAX(H$5:H532)-1)</f>
        <v/>
      </c>
      <c r="K532" s="13" t="str">
        <f>IF(OR('实盘净值数据(iFinD）'!$A532="",'实盘净值数据(iFinD）'!$B532="",'实盘净值数据(iFinD）'!$Z532="",'实盘净值数据(iFinD）'!$AA532=""),"",分期持仓明细!$AB$23*(SUMPRODUCT(分期持仓明细!$B$23:$Y$23,'实盘净值数据(iFinD）'!$B532:$Y532/'实盘净值数据(iFinD）'!$B$65:$Y$65)+SUMPRODUCT(分期持仓明细!$AC$23:$AD$23,'实盘净值数据(iFinD）'!$Z532:$AA532/'实盘净值数据(iFinD）'!$Z$65:$AA$65))*(1-实盘持仓初始配置!$Z$7)^(('实盘净值数据(iFinD）'!$A532-'实盘净值数据(iFinD）'!$A$8)/365))</f>
        <v/>
      </c>
      <c r="L532" s="16" t="str">
        <f t="shared" si="51"/>
        <v/>
      </c>
      <c r="M532" s="16" t="str">
        <f>IF(K532="","",K532/MAX(K$5:K532)-1)</f>
        <v/>
      </c>
      <c r="N532" s="13" t="str">
        <f>IF(OR('实盘净值数据(iFinD）'!$A532="",'实盘净值数据(iFinD）'!$B532="",'实盘净值数据(iFinD）'!$Z532="",'实盘净值数据(iFinD）'!$AA532=""),"",分期持仓明细!$AB$24*(SUMPRODUCT(分期持仓明细!$B$24:$Y$24,'实盘净值数据(iFinD）'!$B532:$Y532/'实盘净值数据(iFinD）'!$B$65:$Y$65)+SUMPRODUCT(分期持仓明细!$AC$24:$AD$24,'实盘净值数据(iFinD）'!$Z532:$AA532/'实盘净值数据(iFinD）'!$Z$65:$AA$65))*(1-实盘持仓初始配置!$Z$8)^(('实盘净值数据(iFinD）'!$A532-'实盘净值数据(iFinD）'!$A$5)/365))</f>
        <v/>
      </c>
      <c r="O532" s="16" t="str">
        <f t="shared" si="52"/>
        <v/>
      </c>
      <c r="P532" s="16" t="str">
        <f>IF(N532="","",N532/MAX(N$5:N532)-1)</f>
        <v/>
      </c>
      <c r="Q532" s="13" t="str">
        <f>IF(OR('实盘净值数据(iFinD）'!$A532="",'实盘净值数据(iFinD）'!$B532="",'实盘净值数据(iFinD）'!$Z532="",'实盘净值数据(iFinD）'!$AA532=""),"",分期持仓明细!$AB$25*(SUMPRODUCT(分期持仓明细!$B$25:$Y$25,'实盘净值数据(iFinD）'!$B532:$Y532/'实盘净值数据(iFinD）'!$B$65:$Y$65)+SUMPRODUCT(分期持仓明细!$AC$25:$AD$25,'实盘净值数据(iFinD）'!$Z532:$AA532/'实盘净值数据(iFinD）'!$Z$65:$AA$65))*(1-实盘持仓初始配置!$Z$9)^(('实盘净值数据(iFinD）'!$A532-'实盘净值数据(iFinD）'!$A$8)/365))</f>
        <v/>
      </c>
      <c r="R532" s="16" t="str">
        <f t="shared" si="53"/>
        <v/>
      </c>
      <c r="S532" s="16" t="str">
        <f>IF(Q532="","",Q532/MAX(Q$5:Q532)-1)</f>
        <v/>
      </c>
    </row>
    <row r="533" spans="1:19">
      <c r="A533" s="15" t="str">
        <f>IF('实盘净值数据(iFinD）'!A533="","",'实盘净值数据(iFinD）'!A533)</f>
        <v/>
      </c>
      <c r="B533" s="13" t="str">
        <f>IF(OR('实盘净值数据(iFinD）'!$A533="",'实盘净值数据(iFinD）'!$B533=""),"",分期持仓明细!$AB$17*SUMPRODUCT(分期持仓明细!$B$17:$Y$17,'实盘净值数据(iFinD）'!$B533:$Y533/'实盘净值数据(iFinD）'!$B$20:$Y$20)*(1-实盘持仓初始配置!$Z$4)^(('实盘净值数据(iFinD）'!$A533-'实盘净值数据(iFinD）'!$A$6)/365))</f>
        <v/>
      </c>
      <c r="C533" s="16" t="str">
        <f t="shared" si="48"/>
        <v/>
      </c>
      <c r="D533" s="16" t="str">
        <f>IF(B533="","",B533/MAX(B$5:B533)-1)</f>
        <v/>
      </c>
      <c r="E533" s="13" t="str">
        <f>IF(OR('实盘净值数据(iFinD）'!$A533="",'实盘净值数据(iFinD）'!$B533=""),"",分期持仓明细!$AB$18*SUMPRODUCT(分期持仓明细!$B$18:$Y$18,'实盘净值数据(iFinD）'!$B533:$Y533/'实盘净值数据(iFinD）'!$B$20:$Y$20)*(1-实盘持仓初始配置!$Z$5)^(('实盘净值数据(iFinD）'!$A533-'实盘净值数据(iFinD）'!$A$5)/365))</f>
        <v/>
      </c>
      <c r="F533" s="16" t="str">
        <f t="shared" si="49"/>
        <v/>
      </c>
      <c r="G533" s="16" t="str">
        <f>IF(E533="","",E533/MAX(E$5:E533)-1)</f>
        <v/>
      </c>
      <c r="H533" s="13" t="str">
        <f>IF(OR('实盘净值数据(iFinD）'!$A533="",'实盘净值数据(iFinD）'!$B533=""),"",分期持仓明细!$AB$19*SUMPRODUCT(分期持仓明细!$B$19:$Y$19,'实盘净值数据(iFinD）'!$B533:$Y533/'实盘净值数据(iFinD）'!$B$20:$Y$20)*(1-实盘持仓初始配置!$Z$6)^(('实盘净值数据(iFinD）'!$A533-'实盘净值数据(iFinD）'!$A$7)/365))</f>
        <v/>
      </c>
      <c r="I533" s="16" t="str">
        <f t="shared" si="50"/>
        <v/>
      </c>
      <c r="J533" s="16" t="str">
        <f>IF(H533="","",H533/MAX(H$5:H533)-1)</f>
        <v/>
      </c>
      <c r="K533" s="13" t="str">
        <f>IF(OR('实盘净值数据(iFinD）'!$A533="",'实盘净值数据(iFinD）'!$B533="",'实盘净值数据(iFinD）'!$Z533="",'实盘净值数据(iFinD）'!$AA533=""),"",分期持仓明细!$AB$23*(SUMPRODUCT(分期持仓明细!$B$23:$Y$23,'实盘净值数据(iFinD）'!$B533:$Y533/'实盘净值数据(iFinD）'!$B$65:$Y$65)+SUMPRODUCT(分期持仓明细!$AC$23:$AD$23,'实盘净值数据(iFinD）'!$Z533:$AA533/'实盘净值数据(iFinD）'!$Z$65:$AA$65))*(1-实盘持仓初始配置!$Z$7)^(('实盘净值数据(iFinD）'!$A533-'实盘净值数据(iFinD）'!$A$8)/365))</f>
        <v/>
      </c>
      <c r="L533" s="16" t="str">
        <f t="shared" si="51"/>
        <v/>
      </c>
      <c r="M533" s="16" t="str">
        <f>IF(K533="","",K533/MAX(K$5:K533)-1)</f>
        <v/>
      </c>
      <c r="N533" s="13" t="str">
        <f>IF(OR('实盘净值数据(iFinD）'!$A533="",'实盘净值数据(iFinD）'!$B533="",'实盘净值数据(iFinD）'!$Z533="",'实盘净值数据(iFinD）'!$AA533=""),"",分期持仓明细!$AB$24*(SUMPRODUCT(分期持仓明细!$B$24:$Y$24,'实盘净值数据(iFinD）'!$B533:$Y533/'实盘净值数据(iFinD）'!$B$65:$Y$65)+SUMPRODUCT(分期持仓明细!$AC$24:$AD$24,'实盘净值数据(iFinD）'!$Z533:$AA533/'实盘净值数据(iFinD）'!$Z$65:$AA$65))*(1-实盘持仓初始配置!$Z$8)^(('实盘净值数据(iFinD）'!$A533-'实盘净值数据(iFinD）'!$A$5)/365))</f>
        <v/>
      </c>
      <c r="O533" s="16" t="str">
        <f t="shared" si="52"/>
        <v/>
      </c>
      <c r="P533" s="16" t="str">
        <f>IF(N533="","",N533/MAX(N$5:N533)-1)</f>
        <v/>
      </c>
      <c r="Q533" s="13" t="str">
        <f>IF(OR('实盘净值数据(iFinD）'!$A533="",'实盘净值数据(iFinD）'!$B533="",'实盘净值数据(iFinD）'!$Z533="",'实盘净值数据(iFinD）'!$AA533=""),"",分期持仓明细!$AB$25*(SUMPRODUCT(分期持仓明细!$B$25:$Y$25,'实盘净值数据(iFinD）'!$B533:$Y533/'实盘净值数据(iFinD）'!$B$65:$Y$65)+SUMPRODUCT(分期持仓明细!$AC$25:$AD$25,'实盘净值数据(iFinD）'!$Z533:$AA533/'实盘净值数据(iFinD）'!$Z$65:$AA$65))*(1-实盘持仓初始配置!$Z$9)^(('实盘净值数据(iFinD）'!$A533-'实盘净值数据(iFinD）'!$A$8)/365))</f>
        <v/>
      </c>
      <c r="R533" s="16" t="str">
        <f t="shared" si="53"/>
        <v/>
      </c>
      <c r="S533" s="16" t="str">
        <f>IF(Q533="","",Q533/MAX(Q$5:Q533)-1)</f>
        <v/>
      </c>
    </row>
    <row r="534" spans="1:19">
      <c r="A534" s="15" t="str">
        <f>IF('实盘净值数据(iFinD）'!A534="","",'实盘净值数据(iFinD）'!A534)</f>
        <v/>
      </c>
      <c r="B534" s="13" t="str">
        <f>IF(OR('实盘净值数据(iFinD）'!$A534="",'实盘净值数据(iFinD）'!$B534=""),"",分期持仓明细!$AB$17*SUMPRODUCT(分期持仓明细!$B$17:$Y$17,'实盘净值数据(iFinD）'!$B534:$Y534/'实盘净值数据(iFinD）'!$B$20:$Y$20)*(1-实盘持仓初始配置!$Z$4)^(('实盘净值数据(iFinD）'!$A534-'实盘净值数据(iFinD）'!$A$6)/365))</f>
        <v/>
      </c>
      <c r="C534" s="16" t="str">
        <f t="shared" si="48"/>
        <v/>
      </c>
      <c r="D534" s="16" t="str">
        <f>IF(B534="","",B534/MAX(B$5:B534)-1)</f>
        <v/>
      </c>
      <c r="E534" s="13" t="str">
        <f>IF(OR('实盘净值数据(iFinD）'!$A534="",'实盘净值数据(iFinD）'!$B534=""),"",分期持仓明细!$AB$18*SUMPRODUCT(分期持仓明细!$B$18:$Y$18,'实盘净值数据(iFinD）'!$B534:$Y534/'实盘净值数据(iFinD）'!$B$20:$Y$20)*(1-实盘持仓初始配置!$Z$5)^(('实盘净值数据(iFinD）'!$A534-'实盘净值数据(iFinD）'!$A$5)/365))</f>
        <v/>
      </c>
      <c r="F534" s="16" t="str">
        <f t="shared" si="49"/>
        <v/>
      </c>
      <c r="G534" s="16" t="str">
        <f>IF(E534="","",E534/MAX(E$5:E534)-1)</f>
        <v/>
      </c>
      <c r="H534" s="13" t="str">
        <f>IF(OR('实盘净值数据(iFinD）'!$A534="",'实盘净值数据(iFinD）'!$B534=""),"",分期持仓明细!$AB$19*SUMPRODUCT(分期持仓明细!$B$19:$Y$19,'实盘净值数据(iFinD）'!$B534:$Y534/'实盘净值数据(iFinD）'!$B$20:$Y$20)*(1-实盘持仓初始配置!$Z$6)^(('实盘净值数据(iFinD）'!$A534-'实盘净值数据(iFinD）'!$A$7)/365))</f>
        <v/>
      </c>
      <c r="I534" s="16" t="str">
        <f t="shared" si="50"/>
        <v/>
      </c>
      <c r="J534" s="16" t="str">
        <f>IF(H534="","",H534/MAX(H$5:H534)-1)</f>
        <v/>
      </c>
      <c r="K534" s="13" t="str">
        <f>IF(OR('实盘净值数据(iFinD）'!$A534="",'实盘净值数据(iFinD）'!$B534="",'实盘净值数据(iFinD）'!$Z534="",'实盘净值数据(iFinD）'!$AA534=""),"",分期持仓明细!$AB$23*(SUMPRODUCT(分期持仓明细!$B$23:$Y$23,'实盘净值数据(iFinD）'!$B534:$Y534/'实盘净值数据(iFinD）'!$B$65:$Y$65)+SUMPRODUCT(分期持仓明细!$AC$23:$AD$23,'实盘净值数据(iFinD）'!$Z534:$AA534/'实盘净值数据(iFinD）'!$Z$65:$AA$65))*(1-实盘持仓初始配置!$Z$7)^(('实盘净值数据(iFinD）'!$A534-'实盘净值数据(iFinD）'!$A$8)/365))</f>
        <v/>
      </c>
      <c r="L534" s="16" t="str">
        <f t="shared" si="51"/>
        <v/>
      </c>
      <c r="M534" s="16" t="str">
        <f>IF(K534="","",K534/MAX(K$5:K534)-1)</f>
        <v/>
      </c>
      <c r="N534" s="13" t="str">
        <f>IF(OR('实盘净值数据(iFinD）'!$A534="",'实盘净值数据(iFinD）'!$B534="",'实盘净值数据(iFinD）'!$Z534="",'实盘净值数据(iFinD）'!$AA534=""),"",分期持仓明细!$AB$24*(SUMPRODUCT(分期持仓明细!$B$24:$Y$24,'实盘净值数据(iFinD）'!$B534:$Y534/'实盘净值数据(iFinD）'!$B$65:$Y$65)+SUMPRODUCT(分期持仓明细!$AC$24:$AD$24,'实盘净值数据(iFinD）'!$Z534:$AA534/'实盘净值数据(iFinD）'!$Z$65:$AA$65))*(1-实盘持仓初始配置!$Z$8)^(('实盘净值数据(iFinD）'!$A534-'实盘净值数据(iFinD）'!$A$5)/365))</f>
        <v/>
      </c>
      <c r="O534" s="16" t="str">
        <f t="shared" si="52"/>
        <v/>
      </c>
      <c r="P534" s="16" t="str">
        <f>IF(N534="","",N534/MAX(N$5:N534)-1)</f>
        <v/>
      </c>
      <c r="Q534" s="13" t="str">
        <f>IF(OR('实盘净值数据(iFinD）'!$A534="",'实盘净值数据(iFinD）'!$B534="",'实盘净值数据(iFinD）'!$Z534="",'实盘净值数据(iFinD）'!$AA534=""),"",分期持仓明细!$AB$25*(SUMPRODUCT(分期持仓明细!$B$25:$Y$25,'实盘净值数据(iFinD）'!$B534:$Y534/'实盘净值数据(iFinD）'!$B$65:$Y$65)+SUMPRODUCT(分期持仓明细!$AC$25:$AD$25,'实盘净值数据(iFinD）'!$Z534:$AA534/'实盘净值数据(iFinD）'!$Z$65:$AA$65))*(1-实盘持仓初始配置!$Z$9)^(('实盘净值数据(iFinD）'!$A534-'实盘净值数据(iFinD）'!$A$8)/365))</f>
        <v/>
      </c>
      <c r="R534" s="16" t="str">
        <f t="shared" si="53"/>
        <v/>
      </c>
      <c r="S534" s="16" t="str">
        <f>IF(Q534="","",Q534/MAX(Q$5:Q534)-1)</f>
        <v/>
      </c>
    </row>
    <row r="535" spans="1:19">
      <c r="A535" s="15" t="str">
        <f>IF('实盘净值数据(iFinD）'!A535="","",'实盘净值数据(iFinD）'!A535)</f>
        <v/>
      </c>
      <c r="B535" s="13" t="str">
        <f>IF(OR('实盘净值数据(iFinD）'!$A535="",'实盘净值数据(iFinD）'!$B535=""),"",分期持仓明细!$AB$17*SUMPRODUCT(分期持仓明细!$B$17:$Y$17,'实盘净值数据(iFinD）'!$B535:$Y535/'实盘净值数据(iFinD）'!$B$20:$Y$20)*(1-实盘持仓初始配置!$Z$4)^(('实盘净值数据(iFinD）'!$A535-'实盘净值数据(iFinD）'!$A$6)/365))</f>
        <v/>
      </c>
      <c r="C535" s="16" t="str">
        <f t="shared" si="48"/>
        <v/>
      </c>
      <c r="D535" s="16" t="str">
        <f>IF(B535="","",B535/MAX(B$5:B535)-1)</f>
        <v/>
      </c>
      <c r="E535" s="13" t="str">
        <f>IF(OR('实盘净值数据(iFinD）'!$A535="",'实盘净值数据(iFinD）'!$B535=""),"",分期持仓明细!$AB$18*SUMPRODUCT(分期持仓明细!$B$18:$Y$18,'实盘净值数据(iFinD）'!$B535:$Y535/'实盘净值数据(iFinD）'!$B$20:$Y$20)*(1-实盘持仓初始配置!$Z$5)^(('实盘净值数据(iFinD）'!$A535-'实盘净值数据(iFinD）'!$A$5)/365))</f>
        <v/>
      </c>
      <c r="F535" s="16" t="str">
        <f t="shared" si="49"/>
        <v/>
      </c>
      <c r="G535" s="16" t="str">
        <f>IF(E535="","",E535/MAX(E$5:E535)-1)</f>
        <v/>
      </c>
      <c r="H535" s="13" t="str">
        <f>IF(OR('实盘净值数据(iFinD）'!$A535="",'实盘净值数据(iFinD）'!$B535=""),"",分期持仓明细!$AB$19*SUMPRODUCT(分期持仓明细!$B$19:$Y$19,'实盘净值数据(iFinD）'!$B535:$Y535/'实盘净值数据(iFinD）'!$B$20:$Y$20)*(1-实盘持仓初始配置!$Z$6)^(('实盘净值数据(iFinD）'!$A535-'实盘净值数据(iFinD）'!$A$7)/365))</f>
        <v/>
      </c>
      <c r="I535" s="16" t="str">
        <f t="shared" si="50"/>
        <v/>
      </c>
      <c r="J535" s="16" t="str">
        <f>IF(H535="","",H535/MAX(H$5:H535)-1)</f>
        <v/>
      </c>
      <c r="K535" s="13" t="str">
        <f>IF(OR('实盘净值数据(iFinD）'!$A535="",'实盘净值数据(iFinD）'!$B535="",'实盘净值数据(iFinD）'!$Z535="",'实盘净值数据(iFinD）'!$AA535=""),"",分期持仓明细!$AB$23*(SUMPRODUCT(分期持仓明细!$B$23:$Y$23,'实盘净值数据(iFinD）'!$B535:$Y535/'实盘净值数据(iFinD）'!$B$65:$Y$65)+SUMPRODUCT(分期持仓明细!$AC$23:$AD$23,'实盘净值数据(iFinD）'!$Z535:$AA535/'实盘净值数据(iFinD）'!$Z$65:$AA$65))*(1-实盘持仓初始配置!$Z$7)^(('实盘净值数据(iFinD）'!$A535-'实盘净值数据(iFinD）'!$A$8)/365))</f>
        <v/>
      </c>
      <c r="L535" s="16" t="str">
        <f t="shared" si="51"/>
        <v/>
      </c>
      <c r="M535" s="16" t="str">
        <f>IF(K535="","",K535/MAX(K$5:K535)-1)</f>
        <v/>
      </c>
      <c r="N535" s="13" t="str">
        <f>IF(OR('实盘净值数据(iFinD）'!$A535="",'实盘净值数据(iFinD）'!$B535="",'实盘净值数据(iFinD）'!$Z535="",'实盘净值数据(iFinD）'!$AA535=""),"",分期持仓明细!$AB$24*(SUMPRODUCT(分期持仓明细!$B$24:$Y$24,'实盘净值数据(iFinD）'!$B535:$Y535/'实盘净值数据(iFinD）'!$B$65:$Y$65)+SUMPRODUCT(分期持仓明细!$AC$24:$AD$24,'实盘净值数据(iFinD）'!$Z535:$AA535/'实盘净值数据(iFinD）'!$Z$65:$AA$65))*(1-实盘持仓初始配置!$Z$8)^(('实盘净值数据(iFinD）'!$A535-'实盘净值数据(iFinD）'!$A$5)/365))</f>
        <v/>
      </c>
      <c r="O535" s="16" t="str">
        <f t="shared" si="52"/>
        <v/>
      </c>
      <c r="P535" s="16" t="str">
        <f>IF(N535="","",N535/MAX(N$5:N535)-1)</f>
        <v/>
      </c>
      <c r="Q535" s="13" t="str">
        <f>IF(OR('实盘净值数据(iFinD）'!$A535="",'实盘净值数据(iFinD）'!$B535="",'实盘净值数据(iFinD）'!$Z535="",'实盘净值数据(iFinD）'!$AA535=""),"",分期持仓明细!$AB$25*(SUMPRODUCT(分期持仓明细!$B$25:$Y$25,'实盘净值数据(iFinD）'!$B535:$Y535/'实盘净值数据(iFinD）'!$B$65:$Y$65)+SUMPRODUCT(分期持仓明细!$AC$25:$AD$25,'实盘净值数据(iFinD）'!$Z535:$AA535/'实盘净值数据(iFinD）'!$Z$65:$AA$65))*(1-实盘持仓初始配置!$Z$9)^(('实盘净值数据(iFinD）'!$A535-'实盘净值数据(iFinD）'!$A$8)/365))</f>
        <v/>
      </c>
      <c r="R535" s="16" t="str">
        <f t="shared" si="53"/>
        <v/>
      </c>
      <c r="S535" s="16" t="str">
        <f>IF(Q535="","",Q535/MAX(Q$5:Q535)-1)</f>
        <v/>
      </c>
    </row>
    <row r="536" spans="1:19">
      <c r="A536" s="15" t="str">
        <f>IF('实盘净值数据(iFinD）'!A536="","",'实盘净值数据(iFinD）'!A536)</f>
        <v/>
      </c>
      <c r="B536" s="13" t="str">
        <f>IF(OR('实盘净值数据(iFinD）'!$A536="",'实盘净值数据(iFinD）'!$B536=""),"",分期持仓明细!$AB$17*SUMPRODUCT(分期持仓明细!$B$17:$Y$17,'实盘净值数据(iFinD）'!$B536:$Y536/'实盘净值数据(iFinD）'!$B$20:$Y$20)*(1-实盘持仓初始配置!$Z$4)^(('实盘净值数据(iFinD）'!$A536-'实盘净值数据(iFinD）'!$A$6)/365))</f>
        <v/>
      </c>
      <c r="C536" s="16" t="str">
        <f t="shared" si="48"/>
        <v/>
      </c>
      <c r="D536" s="16" t="str">
        <f>IF(B536="","",B536/MAX(B$5:B536)-1)</f>
        <v/>
      </c>
      <c r="E536" s="13" t="str">
        <f>IF(OR('实盘净值数据(iFinD）'!$A536="",'实盘净值数据(iFinD）'!$B536=""),"",分期持仓明细!$AB$18*SUMPRODUCT(分期持仓明细!$B$18:$Y$18,'实盘净值数据(iFinD）'!$B536:$Y536/'实盘净值数据(iFinD）'!$B$20:$Y$20)*(1-实盘持仓初始配置!$Z$5)^(('实盘净值数据(iFinD）'!$A536-'实盘净值数据(iFinD）'!$A$5)/365))</f>
        <v/>
      </c>
      <c r="F536" s="16" t="str">
        <f t="shared" si="49"/>
        <v/>
      </c>
      <c r="G536" s="16" t="str">
        <f>IF(E536="","",E536/MAX(E$5:E536)-1)</f>
        <v/>
      </c>
      <c r="H536" s="13" t="str">
        <f>IF(OR('实盘净值数据(iFinD）'!$A536="",'实盘净值数据(iFinD）'!$B536=""),"",分期持仓明细!$AB$19*SUMPRODUCT(分期持仓明细!$B$19:$Y$19,'实盘净值数据(iFinD）'!$B536:$Y536/'实盘净值数据(iFinD）'!$B$20:$Y$20)*(1-实盘持仓初始配置!$Z$6)^(('实盘净值数据(iFinD）'!$A536-'实盘净值数据(iFinD）'!$A$7)/365))</f>
        <v/>
      </c>
      <c r="I536" s="16" t="str">
        <f t="shared" si="50"/>
        <v/>
      </c>
      <c r="J536" s="16" t="str">
        <f>IF(H536="","",H536/MAX(H$5:H536)-1)</f>
        <v/>
      </c>
      <c r="K536" s="13" t="str">
        <f>IF(OR('实盘净值数据(iFinD）'!$A536="",'实盘净值数据(iFinD）'!$B536="",'实盘净值数据(iFinD）'!$Z536="",'实盘净值数据(iFinD）'!$AA536=""),"",分期持仓明细!$AB$23*(SUMPRODUCT(分期持仓明细!$B$23:$Y$23,'实盘净值数据(iFinD）'!$B536:$Y536/'实盘净值数据(iFinD）'!$B$65:$Y$65)+SUMPRODUCT(分期持仓明细!$AC$23:$AD$23,'实盘净值数据(iFinD）'!$Z536:$AA536/'实盘净值数据(iFinD）'!$Z$65:$AA$65))*(1-实盘持仓初始配置!$Z$7)^(('实盘净值数据(iFinD）'!$A536-'实盘净值数据(iFinD）'!$A$8)/365))</f>
        <v/>
      </c>
      <c r="L536" s="16" t="str">
        <f t="shared" si="51"/>
        <v/>
      </c>
      <c r="M536" s="16" t="str">
        <f>IF(K536="","",K536/MAX(K$5:K536)-1)</f>
        <v/>
      </c>
      <c r="N536" s="13" t="str">
        <f>IF(OR('实盘净值数据(iFinD）'!$A536="",'实盘净值数据(iFinD）'!$B536="",'实盘净值数据(iFinD）'!$Z536="",'实盘净值数据(iFinD）'!$AA536=""),"",分期持仓明细!$AB$24*(SUMPRODUCT(分期持仓明细!$B$24:$Y$24,'实盘净值数据(iFinD）'!$B536:$Y536/'实盘净值数据(iFinD）'!$B$65:$Y$65)+SUMPRODUCT(分期持仓明细!$AC$24:$AD$24,'实盘净值数据(iFinD）'!$Z536:$AA536/'实盘净值数据(iFinD）'!$Z$65:$AA$65))*(1-实盘持仓初始配置!$Z$8)^(('实盘净值数据(iFinD）'!$A536-'实盘净值数据(iFinD）'!$A$5)/365))</f>
        <v/>
      </c>
      <c r="O536" s="16" t="str">
        <f t="shared" si="52"/>
        <v/>
      </c>
      <c r="P536" s="16" t="str">
        <f>IF(N536="","",N536/MAX(N$5:N536)-1)</f>
        <v/>
      </c>
      <c r="Q536" s="13" t="str">
        <f>IF(OR('实盘净值数据(iFinD）'!$A536="",'实盘净值数据(iFinD）'!$B536="",'实盘净值数据(iFinD）'!$Z536="",'实盘净值数据(iFinD）'!$AA536=""),"",分期持仓明细!$AB$25*(SUMPRODUCT(分期持仓明细!$B$25:$Y$25,'实盘净值数据(iFinD）'!$B536:$Y536/'实盘净值数据(iFinD）'!$B$65:$Y$65)+SUMPRODUCT(分期持仓明细!$AC$25:$AD$25,'实盘净值数据(iFinD）'!$Z536:$AA536/'实盘净值数据(iFinD）'!$Z$65:$AA$65))*(1-实盘持仓初始配置!$Z$9)^(('实盘净值数据(iFinD）'!$A536-'实盘净值数据(iFinD）'!$A$8)/365))</f>
        <v/>
      </c>
      <c r="R536" s="16" t="str">
        <f t="shared" si="53"/>
        <v/>
      </c>
      <c r="S536" s="16" t="str">
        <f>IF(Q536="","",Q536/MAX(Q$5:Q536)-1)</f>
        <v/>
      </c>
    </row>
    <row r="537" spans="1:19">
      <c r="A537" s="15" t="str">
        <f>IF('实盘净值数据(iFinD）'!A537="","",'实盘净值数据(iFinD）'!A537)</f>
        <v/>
      </c>
      <c r="B537" s="13" t="str">
        <f>IF(OR('实盘净值数据(iFinD）'!$A537="",'实盘净值数据(iFinD）'!$B537=""),"",分期持仓明细!$AB$17*SUMPRODUCT(分期持仓明细!$B$17:$Y$17,'实盘净值数据(iFinD）'!$B537:$Y537/'实盘净值数据(iFinD）'!$B$20:$Y$20)*(1-实盘持仓初始配置!$Z$4)^(('实盘净值数据(iFinD）'!$A537-'实盘净值数据(iFinD）'!$A$6)/365))</f>
        <v/>
      </c>
      <c r="C537" s="16" t="str">
        <f t="shared" si="48"/>
        <v/>
      </c>
      <c r="D537" s="16" t="str">
        <f>IF(B537="","",B537/MAX(B$5:B537)-1)</f>
        <v/>
      </c>
      <c r="E537" s="13" t="str">
        <f>IF(OR('实盘净值数据(iFinD）'!$A537="",'实盘净值数据(iFinD）'!$B537=""),"",分期持仓明细!$AB$18*SUMPRODUCT(分期持仓明细!$B$18:$Y$18,'实盘净值数据(iFinD）'!$B537:$Y537/'实盘净值数据(iFinD）'!$B$20:$Y$20)*(1-实盘持仓初始配置!$Z$5)^(('实盘净值数据(iFinD）'!$A537-'实盘净值数据(iFinD）'!$A$5)/365))</f>
        <v/>
      </c>
      <c r="F537" s="16" t="str">
        <f t="shared" si="49"/>
        <v/>
      </c>
      <c r="G537" s="16" t="str">
        <f>IF(E537="","",E537/MAX(E$5:E537)-1)</f>
        <v/>
      </c>
      <c r="H537" s="13" t="str">
        <f>IF(OR('实盘净值数据(iFinD）'!$A537="",'实盘净值数据(iFinD）'!$B537=""),"",分期持仓明细!$AB$19*SUMPRODUCT(分期持仓明细!$B$19:$Y$19,'实盘净值数据(iFinD）'!$B537:$Y537/'实盘净值数据(iFinD）'!$B$20:$Y$20)*(1-实盘持仓初始配置!$Z$6)^(('实盘净值数据(iFinD）'!$A537-'实盘净值数据(iFinD）'!$A$7)/365))</f>
        <v/>
      </c>
      <c r="I537" s="16" t="str">
        <f t="shared" si="50"/>
        <v/>
      </c>
      <c r="J537" s="16" t="str">
        <f>IF(H537="","",H537/MAX(H$5:H537)-1)</f>
        <v/>
      </c>
      <c r="K537" s="13" t="str">
        <f>IF(OR('实盘净值数据(iFinD）'!$A537="",'实盘净值数据(iFinD）'!$B537="",'实盘净值数据(iFinD）'!$Z537="",'实盘净值数据(iFinD）'!$AA537=""),"",分期持仓明细!$AB$23*(SUMPRODUCT(分期持仓明细!$B$23:$Y$23,'实盘净值数据(iFinD）'!$B537:$Y537/'实盘净值数据(iFinD）'!$B$65:$Y$65)+SUMPRODUCT(分期持仓明细!$AC$23:$AD$23,'实盘净值数据(iFinD）'!$Z537:$AA537/'实盘净值数据(iFinD）'!$Z$65:$AA$65))*(1-实盘持仓初始配置!$Z$7)^(('实盘净值数据(iFinD）'!$A537-'实盘净值数据(iFinD）'!$A$8)/365))</f>
        <v/>
      </c>
      <c r="L537" s="16" t="str">
        <f t="shared" si="51"/>
        <v/>
      </c>
      <c r="M537" s="16" t="str">
        <f>IF(K537="","",K537/MAX(K$5:K537)-1)</f>
        <v/>
      </c>
      <c r="N537" s="13" t="str">
        <f>IF(OR('实盘净值数据(iFinD）'!$A537="",'实盘净值数据(iFinD）'!$B537="",'实盘净值数据(iFinD）'!$Z537="",'实盘净值数据(iFinD）'!$AA537=""),"",分期持仓明细!$AB$24*(SUMPRODUCT(分期持仓明细!$B$24:$Y$24,'实盘净值数据(iFinD）'!$B537:$Y537/'实盘净值数据(iFinD）'!$B$65:$Y$65)+SUMPRODUCT(分期持仓明细!$AC$24:$AD$24,'实盘净值数据(iFinD）'!$Z537:$AA537/'实盘净值数据(iFinD）'!$Z$65:$AA$65))*(1-实盘持仓初始配置!$Z$8)^(('实盘净值数据(iFinD）'!$A537-'实盘净值数据(iFinD）'!$A$5)/365))</f>
        <v/>
      </c>
      <c r="O537" s="16" t="str">
        <f t="shared" si="52"/>
        <v/>
      </c>
      <c r="P537" s="16" t="str">
        <f>IF(N537="","",N537/MAX(N$5:N537)-1)</f>
        <v/>
      </c>
      <c r="Q537" s="13" t="str">
        <f>IF(OR('实盘净值数据(iFinD）'!$A537="",'实盘净值数据(iFinD）'!$B537="",'实盘净值数据(iFinD）'!$Z537="",'实盘净值数据(iFinD）'!$AA537=""),"",分期持仓明细!$AB$25*(SUMPRODUCT(分期持仓明细!$B$25:$Y$25,'实盘净值数据(iFinD）'!$B537:$Y537/'实盘净值数据(iFinD）'!$B$65:$Y$65)+SUMPRODUCT(分期持仓明细!$AC$25:$AD$25,'实盘净值数据(iFinD）'!$Z537:$AA537/'实盘净值数据(iFinD）'!$Z$65:$AA$65))*(1-实盘持仓初始配置!$Z$9)^(('实盘净值数据(iFinD）'!$A537-'实盘净值数据(iFinD）'!$A$8)/365))</f>
        <v/>
      </c>
      <c r="R537" s="16" t="str">
        <f t="shared" si="53"/>
        <v/>
      </c>
      <c r="S537" s="16" t="str">
        <f>IF(Q537="","",Q537/MAX(Q$5:Q537)-1)</f>
        <v/>
      </c>
    </row>
    <row r="538" spans="1:19">
      <c r="A538" s="15" t="str">
        <f>IF('实盘净值数据(iFinD）'!A538="","",'实盘净值数据(iFinD）'!A538)</f>
        <v/>
      </c>
      <c r="B538" s="13" t="str">
        <f>IF(OR('实盘净值数据(iFinD）'!$A538="",'实盘净值数据(iFinD）'!$B538=""),"",分期持仓明细!$AB$17*SUMPRODUCT(分期持仓明细!$B$17:$Y$17,'实盘净值数据(iFinD）'!$B538:$Y538/'实盘净值数据(iFinD）'!$B$20:$Y$20)*(1-实盘持仓初始配置!$Z$4)^(('实盘净值数据(iFinD）'!$A538-'实盘净值数据(iFinD）'!$A$6)/365))</f>
        <v/>
      </c>
      <c r="C538" s="16" t="str">
        <f t="shared" si="48"/>
        <v/>
      </c>
      <c r="D538" s="16" t="str">
        <f>IF(B538="","",B538/MAX(B$5:B538)-1)</f>
        <v/>
      </c>
      <c r="E538" s="13" t="str">
        <f>IF(OR('实盘净值数据(iFinD）'!$A538="",'实盘净值数据(iFinD）'!$B538=""),"",分期持仓明细!$AB$18*SUMPRODUCT(分期持仓明细!$B$18:$Y$18,'实盘净值数据(iFinD）'!$B538:$Y538/'实盘净值数据(iFinD）'!$B$20:$Y$20)*(1-实盘持仓初始配置!$Z$5)^(('实盘净值数据(iFinD）'!$A538-'实盘净值数据(iFinD）'!$A$5)/365))</f>
        <v/>
      </c>
      <c r="F538" s="16" t="str">
        <f t="shared" si="49"/>
        <v/>
      </c>
      <c r="G538" s="16" t="str">
        <f>IF(E538="","",E538/MAX(E$5:E538)-1)</f>
        <v/>
      </c>
      <c r="H538" s="13" t="str">
        <f>IF(OR('实盘净值数据(iFinD）'!$A538="",'实盘净值数据(iFinD）'!$B538=""),"",分期持仓明细!$AB$19*SUMPRODUCT(分期持仓明细!$B$19:$Y$19,'实盘净值数据(iFinD）'!$B538:$Y538/'实盘净值数据(iFinD）'!$B$20:$Y$20)*(1-实盘持仓初始配置!$Z$6)^(('实盘净值数据(iFinD）'!$A538-'实盘净值数据(iFinD）'!$A$7)/365))</f>
        <v/>
      </c>
      <c r="I538" s="16" t="str">
        <f t="shared" si="50"/>
        <v/>
      </c>
      <c r="J538" s="16" t="str">
        <f>IF(H538="","",H538/MAX(H$5:H538)-1)</f>
        <v/>
      </c>
      <c r="K538" s="13" t="str">
        <f>IF(OR('实盘净值数据(iFinD）'!$A538="",'实盘净值数据(iFinD）'!$B538="",'实盘净值数据(iFinD）'!$Z538="",'实盘净值数据(iFinD）'!$AA538=""),"",分期持仓明细!$AB$23*(SUMPRODUCT(分期持仓明细!$B$23:$Y$23,'实盘净值数据(iFinD）'!$B538:$Y538/'实盘净值数据(iFinD）'!$B$65:$Y$65)+SUMPRODUCT(分期持仓明细!$AC$23:$AD$23,'实盘净值数据(iFinD）'!$Z538:$AA538/'实盘净值数据(iFinD）'!$Z$65:$AA$65))*(1-实盘持仓初始配置!$Z$7)^(('实盘净值数据(iFinD）'!$A538-'实盘净值数据(iFinD）'!$A$8)/365))</f>
        <v/>
      </c>
      <c r="L538" s="16" t="str">
        <f t="shared" si="51"/>
        <v/>
      </c>
      <c r="M538" s="16" t="str">
        <f>IF(K538="","",K538/MAX(K$5:K538)-1)</f>
        <v/>
      </c>
      <c r="N538" s="13" t="str">
        <f>IF(OR('实盘净值数据(iFinD）'!$A538="",'实盘净值数据(iFinD）'!$B538="",'实盘净值数据(iFinD）'!$Z538="",'实盘净值数据(iFinD）'!$AA538=""),"",分期持仓明细!$AB$24*(SUMPRODUCT(分期持仓明细!$B$24:$Y$24,'实盘净值数据(iFinD）'!$B538:$Y538/'实盘净值数据(iFinD）'!$B$65:$Y$65)+SUMPRODUCT(分期持仓明细!$AC$24:$AD$24,'实盘净值数据(iFinD）'!$Z538:$AA538/'实盘净值数据(iFinD）'!$Z$65:$AA$65))*(1-实盘持仓初始配置!$Z$8)^(('实盘净值数据(iFinD）'!$A538-'实盘净值数据(iFinD）'!$A$5)/365))</f>
        <v/>
      </c>
      <c r="O538" s="16" t="str">
        <f t="shared" si="52"/>
        <v/>
      </c>
      <c r="P538" s="16" t="str">
        <f>IF(N538="","",N538/MAX(N$5:N538)-1)</f>
        <v/>
      </c>
      <c r="Q538" s="13" t="str">
        <f>IF(OR('实盘净值数据(iFinD）'!$A538="",'实盘净值数据(iFinD）'!$B538="",'实盘净值数据(iFinD）'!$Z538="",'实盘净值数据(iFinD）'!$AA538=""),"",分期持仓明细!$AB$25*(SUMPRODUCT(分期持仓明细!$B$25:$Y$25,'实盘净值数据(iFinD）'!$B538:$Y538/'实盘净值数据(iFinD）'!$B$65:$Y$65)+SUMPRODUCT(分期持仓明细!$AC$25:$AD$25,'实盘净值数据(iFinD）'!$Z538:$AA538/'实盘净值数据(iFinD）'!$Z$65:$AA$65))*(1-实盘持仓初始配置!$Z$9)^(('实盘净值数据(iFinD）'!$A538-'实盘净值数据(iFinD）'!$A$8)/365))</f>
        <v/>
      </c>
      <c r="R538" s="16" t="str">
        <f t="shared" si="53"/>
        <v/>
      </c>
      <c r="S538" s="16" t="str">
        <f>IF(Q538="","",Q538/MAX(Q$5:Q538)-1)</f>
        <v/>
      </c>
    </row>
    <row r="539" spans="1:19">
      <c r="A539" s="15" t="str">
        <f>IF('实盘净值数据(iFinD）'!A539="","",'实盘净值数据(iFinD）'!A539)</f>
        <v/>
      </c>
      <c r="B539" s="13" t="str">
        <f>IF(OR('实盘净值数据(iFinD）'!$A539="",'实盘净值数据(iFinD）'!$B539=""),"",分期持仓明细!$AB$17*SUMPRODUCT(分期持仓明细!$B$17:$Y$17,'实盘净值数据(iFinD）'!$B539:$Y539/'实盘净值数据(iFinD）'!$B$20:$Y$20)*(1-实盘持仓初始配置!$Z$4)^(('实盘净值数据(iFinD）'!$A539-'实盘净值数据(iFinD）'!$A$6)/365))</f>
        <v/>
      </c>
      <c r="C539" s="16" t="str">
        <f t="shared" si="48"/>
        <v/>
      </c>
      <c r="D539" s="16" t="str">
        <f>IF(B539="","",B539/MAX(B$5:B539)-1)</f>
        <v/>
      </c>
      <c r="E539" s="13" t="str">
        <f>IF(OR('实盘净值数据(iFinD）'!$A539="",'实盘净值数据(iFinD）'!$B539=""),"",分期持仓明细!$AB$18*SUMPRODUCT(分期持仓明细!$B$18:$Y$18,'实盘净值数据(iFinD）'!$B539:$Y539/'实盘净值数据(iFinD）'!$B$20:$Y$20)*(1-实盘持仓初始配置!$Z$5)^(('实盘净值数据(iFinD）'!$A539-'实盘净值数据(iFinD）'!$A$5)/365))</f>
        <v/>
      </c>
      <c r="F539" s="16" t="str">
        <f t="shared" si="49"/>
        <v/>
      </c>
      <c r="G539" s="16" t="str">
        <f>IF(E539="","",E539/MAX(E$5:E539)-1)</f>
        <v/>
      </c>
      <c r="H539" s="13" t="str">
        <f>IF(OR('实盘净值数据(iFinD）'!$A539="",'实盘净值数据(iFinD）'!$B539=""),"",分期持仓明细!$AB$19*SUMPRODUCT(分期持仓明细!$B$19:$Y$19,'实盘净值数据(iFinD）'!$B539:$Y539/'实盘净值数据(iFinD）'!$B$20:$Y$20)*(1-实盘持仓初始配置!$Z$6)^(('实盘净值数据(iFinD）'!$A539-'实盘净值数据(iFinD）'!$A$7)/365))</f>
        <v/>
      </c>
      <c r="I539" s="16" t="str">
        <f t="shared" si="50"/>
        <v/>
      </c>
      <c r="J539" s="16" t="str">
        <f>IF(H539="","",H539/MAX(H$5:H539)-1)</f>
        <v/>
      </c>
      <c r="K539" s="13" t="str">
        <f>IF(OR('实盘净值数据(iFinD）'!$A539="",'实盘净值数据(iFinD）'!$B539="",'实盘净值数据(iFinD）'!$Z539="",'实盘净值数据(iFinD）'!$AA539=""),"",分期持仓明细!$AB$23*(SUMPRODUCT(分期持仓明细!$B$23:$Y$23,'实盘净值数据(iFinD）'!$B539:$Y539/'实盘净值数据(iFinD）'!$B$65:$Y$65)+SUMPRODUCT(分期持仓明细!$AC$23:$AD$23,'实盘净值数据(iFinD）'!$Z539:$AA539/'实盘净值数据(iFinD）'!$Z$65:$AA$65))*(1-实盘持仓初始配置!$Z$7)^(('实盘净值数据(iFinD）'!$A539-'实盘净值数据(iFinD）'!$A$8)/365))</f>
        <v/>
      </c>
      <c r="L539" s="16" t="str">
        <f t="shared" si="51"/>
        <v/>
      </c>
      <c r="M539" s="16" t="str">
        <f>IF(K539="","",K539/MAX(K$5:K539)-1)</f>
        <v/>
      </c>
      <c r="N539" s="13" t="str">
        <f>IF(OR('实盘净值数据(iFinD）'!$A539="",'实盘净值数据(iFinD）'!$B539="",'实盘净值数据(iFinD）'!$Z539="",'实盘净值数据(iFinD）'!$AA539=""),"",分期持仓明细!$AB$24*(SUMPRODUCT(分期持仓明细!$B$24:$Y$24,'实盘净值数据(iFinD）'!$B539:$Y539/'实盘净值数据(iFinD）'!$B$65:$Y$65)+SUMPRODUCT(分期持仓明细!$AC$24:$AD$24,'实盘净值数据(iFinD）'!$Z539:$AA539/'实盘净值数据(iFinD）'!$Z$65:$AA$65))*(1-实盘持仓初始配置!$Z$8)^(('实盘净值数据(iFinD）'!$A539-'实盘净值数据(iFinD）'!$A$5)/365))</f>
        <v/>
      </c>
      <c r="O539" s="16" t="str">
        <f t="shared" si="52"/>
        <v/>
      </c>
      <c r="P539" s="16" t="str">
        <f>IF(N539="","",N539/MAX(N$5:N539)-1)</f>
        <v/>
      </c>
      <c r="Q539" s="13" t="str">
        <f>IF(OR('实盘净值数据(iFinD）'!$A539="",'实盘净值数据(iFinD）'!$B539="",'实盘净值数据(iFinD）'!$Z539="",'实盘净值数据(iFinD）'!$AA539=""),"",分期持仓明细!$AB$25*(SUMPRODUCT(分期持仓明细!$B$25:$Y$25,'实盘净值数据(iFinD）'!$B539:$Y539/'实盘净值数据(iFinD）'!$B$65:$Y$65)+SUMPRODUCT(分期持仓明细!$AC$25:$AD$25,'实盘净值数据(iFinD）'!$Z539:$AA539/'实盘净值数据(iFinD）'!$Z$65:$AA$65))*(1-实盘持仓初始配置!$Z$9)^(('实盘净值数据(iFinD）'!$A539-'实盘净值数据(iFinD）'!$A$8)/365))</f>
        <v/>
      </c>
      <c r="R539" s="16" t="str">
        <f t="shared" si="53"/>
        <v/>
      </c>
      <c r="S539" s="16" t="str">
        <f>IF(Q539="","",Q539/MAX(Q$5:Q539)-1)</f>
        <v/>
      </c>
    </row>
    <row r="540" spans="1:19">
      <c r="A540" s="15" t="str">
        <f>IF('实盘净值数据(iFinD）'!A540="","",'实盘净值数据(iFinD）'!A540)</f>
        <v/>
      </c>
      <c r="B540" s="13" t="str">
        <f>IF(OR('实盘净值数据(iFinD）'!$A540="",'实盘净值数据(iFinD）'!$B540=""),"",分期持仓明细!$AB$17*SUMPRODUCT(分期持仓明细!$B$17:$Y$17,'实盘净值数据(iFinD）'!$B540:$Y540/'实盘净值数据(iFinD）'!$B$20:$Y$20)*(1-实盘持仓初始配置!$Z$4)^(('实盘净值数据(iFinD）'!$A540-'实盘净值数据(iFinD）'!$A$6)/365))</f>
        <v/>
      </c>
      <c r="C540" s="16" t="str">
        <f t="shared" si="48"/>
        <v/>
      </c>
      <c r="D540" s="16" t="str">
        <f>IF(B540="","",B540/MAX(B$5:B540)-1)</f>
        <v/>
      </c>
      <c r="E540" s="13" t="str">
        <f>IF(OR('实盘净值数据(iFinD）'!$A540="",'实盘净值数据(iFinD）'!$B540=""),"",分期持仓明细!$AB$18*SUMPRODUCT(分期持仓明细!$B$18:$Y$18,'实盘净值数据(iFinD）'!$B540:$Y540/'实盘净值数据(iFinD）'!$B$20:$Y$20)*(1-实盘持仓初始配置!$Z$5)^(('实盘净值数据(iFinD）'!$A540-'实盘净值数据(iFinD）'!$A$5)/365))</f>
        <v/>
      </c>
      <c r="F540" s="16" t="str">
        <f t="shared" si="49"/>
        <v/>
      </c>
      <c r="G540" s="16" t="str">
        <f>IF(E540="","",E540/MAX(E$5:E540)-1)</f>
        <v/>
      </c>
      <c r="H540" s="13" t="str">
        <f>IF(OR('实盘净值数据(iFinD）'!$A540="",'实盘净值数据(iFinD）'!$B540=""),"",分期持仓明细!$AB$19*SUMPRODUCT(分期持仓明细!$B$19:$Y$19,'实盘净值数据(iFinD）'!$B540:$Y540/'实盘净值数据(iFinD）'!$B$20:$Y$20)*(1-实盘持仓初始配置!$Z$6)^(('实盘净值数据(iFinD）'!$A540-'实盘净值数据(iFinD）'!$A$7)/365))</f>
        <v/>
      </c>
      <c r="I540" s="16" t="str">
        <f t="shared" si="50"/>
        <v/>
      </c>
      <c r="J540" s="16" t="str">
        <f>IF(H540="","",H540/MAX(H$5:H540)-1)</f>
        <v/>
      </c>
      <c r="K540" s="13" t="str">
        <f>IF(OR('实盘净值数据(iFinD）'!$A540="",'实盘净值数据(iFinD）'!$B540="",'实盘净值数据(iFinD）'!$Z540="",'实盘净值数据(iFinD）'!$AA540=""),"",分期持仓明细!$AB$23*(SUMPRODUCT(分期持仓明细!$B$23:$Y$23,'实盘净值数据(iFinD）'!$B540:$Y540/'实盘净值数据(iFinD）'!$B$65:$Y$65)+SUMPRODUCT(分期持仓明细!$AC$23:$AD$23,'实盘净值数据(iFinD）'!$Z540:$AA540/'实盘净值数据(iFinD）'!$Z$65:$AA$65))*(1-实盘持仓初始配置!$Z$7)^(('实盘净值数据(iFinD）'!$A540-'实盘净值数据(iFinD）'!$A$8)/365))</f>
        <v/>
      </c>
      <c r="L540" s="16" t="str">
        <f t="shared" si="51"/>
        <v/>
      </c>
      <c r="M540" s="16" t="str">
        <f>IF(K540="","",K540/MAX(K$5:K540)-1)</f>
        <v/>
      </c>
      <c r="N540" s="13" t="str">
        <f>IF(OR('实盘净值数据(iFinD）'!$A540="",'实盘净值数据(iFinD）'!$B540="",'实盘净值数据(iFinD）'!$Z540="",'实盘净值数据(iFinD）'!$AA540=""),"",分期持仓明细!$AB$24*(SUMPRODUCT(分期持仓明细!$B$24:$Y$24,'实盘净值数据(iFinD）'!$B540:$Y540/'实盘净值数据(iFinD）'!$B$65:$Y$65)+SUMPRODUCT(分期持仓明细!$AC$24:$AD$24,'实盘净值数据(iFinD）'!$Z540:$AA540/'实盘净值数据(iFinD）'!$Z$65:$AA$65))*(1-实盘持仓初始配置!$Z$8)^(('实盘净值数据(iFinD）'!$A540-'实盘净值数据(iFinD）'!$A$5)/365))</f>
        <v/>
      </c>
      <c r="O540" s="16" t="str">
        <f t="shared" si="52"/>
        <v/>
      </c>
      <c r="P540" s="16" t="str">
        <f>IF(N540="","",N540/MAX(N$5:N540)-1)</f>
        <v/>
      </c>
      <c r="Q540" s="13" t="str">
        <f>IF(OR('实盘净值数据(iFinD）'!$A540="",'实盘净值数据(iFinD）'!$B540="",'实盘净值数据(iFinD）'!$Z540="",'实盘净值数据(iFinD）'!$AA540=""),"",分期持仓明细!$AB$25*(SUMPRODUCT(分期持仓明细!$B$25:$Y$25,'实盘净值数据(iFinD）'!$B540:$Y540/'实盘净值数据(iFinD）'!$B$65:$Y$65)+SUMPRODUCT(分期持仓明细!$AC$25:$AD$25,'实盘净值数据(iFinD）'!$Z540:$AA540/'实盘净值数据(iFinD）'!$Z$65:$AA$65))*(1-实盘持仓初始配置!$Z$9)^(('实盘净值数据(iFinD）'!$A540-'实盘净值数据(iFinD）'!$A$8)/365))</f>
        <v/>
      </c>
      <c r="R540" s="16" t="str">
        <f t="shared" si="53"/>
        <v/>
      </c>
      <c r="S540" s="16" t="str">
        <f>IF(Q540="","",Q540/MAX(Q$5:Q540)-1)</f>
        <v/>
      </c>
    </row>
    <row r="541" spans="1:19">
      <c r="A541" s="15" t="str">
        <f>IF('实盘净值数据(iFinD）'!A541="","",'实盘净值数据(iFinD）'!A541)</f>
        <v/>
      </c>
      <c r="B541" s="13" t="str">
        <f>IF(OR('实盘净值数据(iFinD）'!$A541="",'实盘净值数据(iFinD）'!$B541=""),"",分期持仓明细!$AB$17*SUMPRODUCT(分期持仓明细!$B$17:$Y$17,'实盘净值数据(iFinD）'!$B541:$Y541/'实盘净值数据(iFinD）'!$B$20:$Y$20)*(1-实盘持仓初始配置!$Z$4)^(('实盘净值数据(iFinD）'!$A541-'实盘净值数据(iFinD）'!$A$6)/365))</f>
        <v/>
      </c>
      <c r="C541" s="16" t="str">
        <f t="shared" si="48"/>
        <v/>
      </c>
      <c r="D541" s="16" t="str">
        <f>IF(B541="","",B541/MAX(B$5:B541)-1)</f>
        <v/>
      </c>
      <c r="E541" s="13" t="str">
        <f>IF(OR('实盘净值数据(iFinD）'!$A541="",'实盘净值数据(iFinD）'!$B541=""),"",分期持仓明细!$AB$18*SUMPRODUCT(分期持仓明细!$B$18:$Y$18,'实盘净值数据(iFinD）'!$B541:$Y541/'实盘净值数据(iFinD）'!$B$20:$Y$20)*(1-实盘持仓初始配置!$Z$5)^(('实盘净值数据(iFinD）'!$A541-'实盘净值数据(iFinD）'!$A$5)/365))</f>
        <v/>
      </c>
      <c r="F541" s="16" t="str">
        <f t="shared" si="49"/>
        <v/>
      </c>
      <c r="G541" s="16" t="str">
        <f>IF(E541="","",E541/MAX(E$5:E541)-1)</f>
        <v/>
      </c>
      <c r="H541" s="13" t="str">
        <f>IF(OR('实盘净值数据(iFinD）'!$A541="",'实盘净值数据(iFinD）'!$B541=""),"",分期持仓明细!$AB$19*SUMPRODUCT(分期持仓明细!$B$19:$Y$19,'实盘净值数据(iFinD）'!$B541:$Y541/'实盘净值数据(iFinD）'!$B$20:$Y$20)*(1-实盘持仓初始配置!$Z$6)^(('实盘净值数据(iFinD）'!$A541-'实盘净值数据(iFinD）'!$A$7)/365))</f>
        <v/>
      </c>
      <c r="I541" s="16" t="str">
        <f t="shared" si="50"/>
        <v/>
      </c>
      <c r="J541" s="16" t="str">
        <f>IF(H541="","",H541/MAX(H$5:H541)-1)</f>
        <v/>
      </c>
      <c r="K541" s="13" t="str">
        <f>IF(OR('实盘净值数据(iFinD）'!$A541="",'实盘净值数据(iFinD）'!$B541="",'实盘净值数据(iFinD）'!$Z541="",'实盘净值数据(iFinD）'!$AA541=""),"",分期持仓明细!$AB$23*(SUMPRODUCT(分期持仓明细!$B$23:$Y$23,'实盘净值数据(iFinD）'!$B541:$Y541/'实盘净值数据(iFinD）'!$B$65:$Y$65)+SUMPRODUCT(分期持仓明细!$AC$23:$AD$23,'实盘净值数据(iFinD）'!$Z541:$AA541/'实盘净值数据(iFinD）'!$Z$65:$AA$65))*(1-实盘持仓初始配置!$Z$7)^(('实盘净值数据(iFinD）'!$A541-'实盘净值数据(iFinD）'!$A$8)/365))</f>
        <v/>
      </c>
      <c r="L541" s="16" t="str">
        <f t="shared" si="51"/>
        <v/>
      </c>
      <c r="M541" s="16" t="str">
        <f>IF(K541="","",K541/MAX(K$5:K541)-1)</f>
        <v/>
      </c>
      <c r="N541" s="13" t="str">
        <f>IF(OR('实盘净值数据(iFinD）'!$A541="",'实盘净值数据(iFinD）'!$B541="",'实盘净值数据(iFinD）'!$Z541="",'实盘净值数据(iFinD）'!$AA541=""),"",分期持仓明细!$AB$24*(SUMPRODUCT(分期持仓明细!$B$24:$Y$24,'实盘净值数据(iFinD）'!$B541:$Y541/'实盘净值数据(iFinD）'!$B$65:$Y$65)+SUMPRODUCT(分期持仓明细!$AC$24:$AD$24,'实盘净值数据(iFinD）'!$Z541:$AA541/'实盘净值数据(iFinD）'!$Z$65:$AA$65))*(1-实盘持仓初始配置!$Z$8)^(('实盘净值数据(iFinD）'!$A541-'实盘净值数据(iFinD）'!$A$5)/365))</f>
        <v/>
      </c>
      <c r="O541" s="16" t="str">
        <f t="shared" si="52"/>
        <v/>
      </c>
      <c r="P541" s="16" t="str">
        <f>IF(N541="","",N541/MAX(N$5:N541)-1)</f>
        <v/>
      </c>
      <c r="Q541" s="13" t="str">
        <f>IF(OR('实盘净值数据(iFinD）'!$A541="",'实盘净值数据(iFinD）'!$B541="",'实盘净值数据(iFinD）'!$Z541="",'实盘净值数据(iFinD）'!$AA541=""),"",分期持仓明细!$AB$25*(SUMPRODUCT(分期持仓明细!$B$25:$Y$25,'实盘净值数据(iFinD）'!$B541:$Y541/'实盘净值数据(iFinD）'!$B$65:$Y$65)+SUMPRODUCT(分期持仓明细!$AC$25:$AD$25,'实盘净值数据(iFinD）'!$Z541:$AA541/'实盘净值数据(iFinD）'!$Z$65:$AA$65))*(1-实盘持仓初始配置!$Z$9)^(('实盘净值数据(iFinD）'!$A541-'实盘净值数据(iFinD）'!$A$8)/365))</f>
        <v/>
      </c>
      <c r="R541" s="16" t="str">
        <f t="shared" si="53"/>
        <v/>
      </c>
      <c r="S541" s="16" t="str">
        <f>IF(Q541="","",Q541/MAX(Q$5:Q541)-1)</f>
        <v/>
      </c>
    </row>
    <row r="542" spans="1:19">
      <c r="A542" s="15" t="str">
        <f>IF('实盘净值数据(iFinD）'!A542="","",'实盘净值数据(iFinD）'!A542)</f>
        <v/>
      </c>
      <c r="B542" s="13" t="str">
        <f>IF(OR('实盘净值数据(iFinD）'!$A542="",'实盘净值数据(iFinD）'!$B542=""),"",分期持仓明细!$AB$17*SUMPRODUCT(分期持仓明细!$B$17:$Y$17,'实盘净值数据(iFinD）'!$B542:$Y542/'实盘净值数据(iFinD）'!$B$20:$Y$20)*(1-实盘持仓初始配置!$Z$4)^(('实盘净值数据(iFinD）'!$A542-'实盘净值数据(iFinD）'!$A$6)/365))</f>
        <v/>
      </c>
      <c r="C542" s="16" t="str">
        <f t="shared" si="48"/>
        <v/>
      </c>
      <c r="D542" s="16" t="str">
        <f>IF(B542="","",B542/MAX(B$5:B542)-1)</f>
        <v/>
      </c>
      <c r="E542" s="13" t="str">
        <f>IF(OR('实盘净值数据(iFinD）'!$A542="",'实盘净值数据(iFinD）'!$B542=""),"",分期持仓明细!$AB$18*SUMPRODUCT(分期持仓明细!$B$18:$Y$18,'实盘净值数据(iFinD）'!$B542:$Y542/'实盘净值数据(iFinD）'!$B$20:$Y$20)*(1-实盘持仓初始配置!$Z$5)^(('实盘净值数据(iFinD）'!$A542-'实盘净值数据(iFinD）'!$A$5)/365))</f>
        <v/>
      </c>
      <c r="F542" s="16" t="str">
        <f t="shared" si="49"/>
        <v/>
      </c>
      <c r="G542" s="16" t="str">
        <f>IF(E542="","",E542/MAX(E$5:E542)-1)</f>
        <v/>
      </c>
      <c r="H542" s="13" t="str">
        <f>IF(OR('实盘净值数据(iFinD）'!$A542="",'实盘净值数据(iFinD）'!$B542=""),"",分期持仓明细!$AB$19*SUMPRODUCT(分期持仓明细!$B$19:$Y$19,'实盘净值数据(iFinD）'!$B542:$Y542/'实盘净值数据(iFinD）'!$B$20:$Y$20)*(1-实盘持仓初始配置!$Z$6)^(('实盘净值数据(iFinD）'!$A542-'实盘净值数据(iFinD）'!$A$7)/365))</f>
        <v/>
      </c>
      <c r="I542" s="16" t="str">
        <f t="shared" si="50"/>
        <v/>
      </c>
      <c r="J542" s="16" t="str">
        <f>IF(H542="","",H542/MAX(H$5:H542)-1)</f>
        <v/>
      </c>
      <c r="K542" s="13" t="str">
        <f>IF(OR('实盘净值数据(iFinD）'!$A542="",'实盘净值数据(iFinD）'!$B542="",'实盘净值数据(iFinD）'!$Z542="",'实盘净值数据(iFinD）'!$AA542=""),"",分期持仓明细!$AB$23*(SUMPRODUCT(分期持仓明细!$B$23:$Y$23,'实盘净值数据(iFinD）'!$B542:$Y542/'实盘净值数据(iFinD）'!$B$65:$Y$65)+SUMPRODUCT(分期持仓明细!$AC$23:$AD$23,'实盘净值数据(iFinD）'!$Z542:$AA542/'实盘净值数据(iFinD）'!$Z$65:$AA$65))*(1-实盘持仓初始配置!$Z$7)^(('实盘净值数据(iFinD）'!$A542-'实盘净值数据(iFinD）'!$A$8)/365))</f>
        <v/>
      </c>
      <c r="L542" s="16" t="str">
        <f t="shared" si="51"/>
        <v/>
      </c>
      <c r="M542" s="16" t="str">
        <f>IF(K542="","",K542/MAX(K$5:K542)-1)</f>
        <v/>
      </c>
      <c r="N542" s="13" t="str">
        <f>IF(OR('实盘净值数据(iFinD）'!$A542="",'实盘净值数据(iFinD）'!$B542="",'实盘净值数据(iFinD）'!$Z542="",'实盘净值数据(iFinD）'!$AA542=""),"",分期持仓明细!$AB$24*(SUMPRODUCT(分期持仓明细!$B$24:$Y$24,'实盘净值数据(iFinD）'!$B542:$Y542/'实盘净值数据(iFinD）'!$B$65:$Y$65)+SUMPRODUCT(分期持仓明细!$AC$24:$AD$24,'实盘净值数据(iFinD）'!$Z542:$AA542/'实盘净值数据(iFinD）'!$Z$65:$AA$65))*(1-实盘持仓初始配置!$Z$8)^(('实盘净值数据(iFinD）'!$A542-'实盘净值数据(iFinD）'!$A$5)/365))</f>
        <v/>
      </c>
      <c r="O542" s="16" t="str">
        <f t="shared" si="52"/>
        <v/>
      </c>
      <c r="P542" s="16" t="str">
        <f>IF(N542="","",N542/MAX(N$5:N542)-1)</f>
        <v/>
      </c>
      <c r="Q542" s="13" t="str">
        <f>IF(OR('实盘净值数据(iFinD）'!$A542="",'实盘净值数据(iFinD）'!$B542="",'实盘净值数据(iFinD）'!$Z542="",'实盘净值数据(iFinD）'!$AA542=""),"",分期持仓明细!$AB$25*(SUMPRODUCT(分期持仓明细!$B$25:$Y$25,'实盘净值数据(iFinD）'!$B542:$Y542/'实盘净值数据(iFinD）'!$B$65:$Y$65)+SUMPRODUCT(分期持仓明细!$AC$25:$AD$25,'实盘净值数据(iFinD）'!$Z542:$AA542/'实盘净值数据(iFinD）'!$Z$65:$AA$65))*(1-实盘持仓初始配置!$Z$9)^(('实盘净值数据(iFinD）'!$A542-'实盘净值数据(iFinD）'!$A$8)/365))</f>
        <v/>
      </c>
      <c r="R542" s="16" t="str">
        <f t="shared" si="53"/>
        <v/>
      </c>
      <c r="S542" s="16" t="str">
        <f>IF(Q542="","",Q542/MAX(Q$5:Q542)-1)</f>
        <v/>
      </c>
    </row>
    <row r="543" spans="1:19">
      <c r="A543" s="15" t="str">
        <f>IF('实盘净值数据(iFinD）'!A543="","",'实盘净值数据(iFinD）'!A543)</f>
        <v/>
      </c>
      <c r="B543" s="13" t="str">
        <f>IF(OR('实盘净值数据(iFinD）'!$A543="",'实盘净值数据(iFinD）'!$B543=""),"",分期持仓明细!$AB$17*SUMPRODUCT(分期持仓明细!$B$17:$Y$17,'实盘净值数据(iFinD）'!$B543:$Y543/'实盘净值数据(iFinD）'!$B$20:$Y$20)*(1-实盘持仓初始配置!$Z$4)^(('实盘净值数据(iFinD）'!$A543-'实盘净值数据(iFinD）'!$A$6)/365))</f>
        <v/>
      </c>
      <c r="C543" s="16" t="str">
        <f t="shared" si="48"/>
        <v/>
      </c>
      <c r="D543" s="16" t="str">
        <f>IF(B543="","",B543/MAX(B$5:B543)-1)</f>
        <v/>
      </c>
      <c r="E543" s="13" t="str">
        <f>IF(OR('实盘净值数据(iFinD）'!$A543="",'实盘净值数据(iFinD）'!$B543=""),"",分期持仓明细!$AB$18*SUMPRODUCT(分期持仓明细!$B$18:$Y$18,'实盘净值数据(iFinD）'!$B543:$Y543/'实盘净值数据(iFinD）'!$B$20:$Y$20)*(1-实盘持仓初始配置!$Z$5)^(('实盘净值数据(iFinD）'!$A543-'实盘净值数据(iFinD）'!$A$5)/365))</f>
        <v/>
      </c>
      <c r="F543" s="16" t="str">
        <f t="shared" si="49"/>
        <v/>
      </c>
      <c r="G543" s="16" t="str">
        <f>IF(E543="","",E543/MAX(E$5:E543)-1)</f>
        <v/>
      </c>
      <c r="H543" s="13" t="str">
        <f>IF(OR('实盘净值数据(iFinD）'!$A543="",'实盘净值数据(iFinD）'!$B543=""),"",分期持仓明细!$AB$19*SUMPRODUCT(分期持仓明细!$B$19:$Y$19,'实盘净值数据(iFinD）'!$B543:$Y543/'实盘净值数据(iFinD）'!$B$20:$Y$20)*(1-实盘持仓初始配置!$Z$6)^(('实盘净值数据(iFinD）'!$A543-'实盘净值数据(iFinD）'!$A$7)/365))</f>
        <v/>
      </c>
      <c r="I543" s="16" t="str">
        <f t="shared" si="50"/>
        <v/>
      </c>
      <c r="J543" s="16" t="str">
        <f>IF(H543="","",H543/MAX(H$5:H543)-1)</f>
        <v/>
      </c>
      <c r="K543" s="13" t="str">
        <f>IF(OR('实盘净值数据(iFinD）'!$A543="",'实盘净值数据(iFinD）'!$B543="",'实盘净值数据(iFinD）'!$Z543="",'实盘净值数据(iFinD）'!$AA543=""),"",分期持仓明细!$AB$23*(SUMPRODUCT(分期持仓明细!$B$23:$Y$23,'实盘净值数据(iFinD）'!$B543:$Y543/'实盘净值数据(iFinD）'!$B$65:$Y$65)+SUMPRODUCT(分期持仓明细!$AC$23:$AD$23,'实盘净值数据(iFinD）'!$Z543:$AA543/'实盘净值数据(iFinD）'!$Z$65:$AA$65))*(1-实盘持仓初始配置!$Z$7)^(('实盘净值数据(iFinD）'!$A543-'实盘净值数据(iFinD）'!$A$8)/365))</f>
        <v/>
      </c>
      <c r="L543" s="16" t="str">
        <f t="shared" si="51"/>
        <v/>
      </c>
      <c r="M543" s="16" t="str">
        <f>IF(K543="","",K543/MAX(K$5:K543)-1)</f>
        <v/>
      </c>
      <c r="N543" s="13" t="str">
        <f>IF(OR('实盘净值数据(iFinD）'!$A543="",'实盘净值数据(iFinD）'!$B543="",'实盘净值数据(iFinD）'!$Z543="",'实盘净值数据(iFinD）'!$AA543=""),"",分期持仓明细!$AB$24*(SUMPRODUCT(分期持仓明细!$B$24:$Y$24,'实盘净值数据(iFinD）'!$B543:$Y543/'实盘净值数据(iFinD）'!$B$65:$Y$65)+SUMPRODUCT(分期持仓明细!$AC$24:$AD$24,'实盘净值数据(iFinD）'!$Z543:$AA543/'实盘净值数据(iFinD）'!$Z$65:$AA$65))*(1-实盘持仓初始配置!$Z$8)^(('实盘净值数据(iFinD）'!$A543-'实盘净值数据(iFinD）'!$A$5)/365))</f>
        <v/>
      </c>
      <c r="O543" s="16" t="str">
        <f t="shared" si="52"/>
        <v/>
      </c>
      <c r="P543" s="16" t="str">
        <f>IF(N543="","",N543/MAX(N$5:N543)-1)</f>
        <v/>
      </c>
      <c r="Q543" s="13" t="str">
        <f>IF(OR('实盘净值数据(iFinD）'!$A543="",'实盘净值数据(iFinD）'!$B543="",'实盘净值数据(iFinD）'!$Z543="",'实盘净值数据(iFinD）'!$AA543=""),"",分期持仓明细!$AB$25*(SUMPRODUCT(分期持仓明细!$B$25:$Y$25,'实盘净值数据(iFinD）'!$B543:$Y543/'实盘净值数据(iFinD）'!$B$65:$Y$65)+SUMPRODUCT(分期持仓明细!$AC$25:$AD$25,'实盘净值数据(iFinD）'!$Z543:$AA543/'实盘净值数据(iFinD）'!$Z$65:$AA$65))*(1-实盘持仓初始配置!$Z$9)^(('实盘净值数据(iFinD）'!$A543-'实盘净值数据(iFinD）'!$A$8)/365))</f>
        <v/>
      </c>
      <c r="R543" s="16" t="str">
        <f t="shared" si="53"/>
        <v/>
      </c>
      <c r="S543" s="16" t="str">
        <f>IF(Q543="","",Q543/MAX(Q$5:Q543)-1)</f>
        <v/>
      </c>
    </row>
    <row r="544" spans="1:19">
      <c r="A544" s="15" t="str">
        <f>IF('实盘净值数据(iFinD）'!A544="","",'实盘净值数据(iFinD）'!A544)</f>
        <v/>
      </c>
      <c r="B544" s="13" t="str">
        <f>IF(OR('实盘净值数据(iFinD）'!$A544="",'实盘净值数据(iFinD）'!$B544=""),"",分期持仓明细!$AB$17*SUMPRODUCT(分期持仓明细!$B$17:$Y$17,'实盘净值数据(iFinD）'!$B544:$Y544/'实盘净值数据(iFinD）'!$B$20:$Y$20)*(1-实盘持仓初始配置!$Z$4)^(('实盘净值数据(iFinD）'!$A544-'实盘净值数据(iFinD）'!$A$6)/365))</f>
        <v/>
      </c>
      <c r="C544" s="16" t="str">
        <f t="shared" si="48"/>
        <v/>
      </c>
      <c r="D544" s="16" t="str">
        <f>IF(B544="","",B544/MAX(B$5:B544)-1)</f>
        <v/>
      </c>
      <c r="E544" s="13" t="str">
        <f>IF(OR('实盘净值数据(iFinD）'!$A544="",'实盘净值数据(iFinD）'!$B544=""),"",分期持仓明细!$AB$18*SUMPRODUCT(分期持仓明细!$B$18:$Y$18,'实盘净值数据(iFinD）'!$B544:$Y544/'实盘净值数据(iFinD）'!$B$20:$Y$20)*(1-实盘持仓初始配置!$Z$5)^(('实盘净值数据(iFinD）'!$A544-'实盘净值数据(iFinD）'!$A$5)/365))</f>
        <v/>
      </c>
      <c r="F544" s="16" t="str">
        <f t="shared" si="49"/>
        <v/>
      </c>
      <c r="G544" s="16" t="str">
        <f>IF(E544="","",E544/MAX(E$5:E544)-1)</f>
        <v/>
      </c>
      <c r="H544" s="13" t="str">
        <f>IF(OR('实盘净值数据(iFinD）'!$A544="",'实盘净值数据(iFinD）'!$B544=""),"",分期持仓明细!$AB$19*SUMPRODUCT(分期持仓明细!$B$19:$Y$19,'实盘净值数据(iFinD）'!$B544:$Y544/'实盘净值数据(iFinD）'!$B$20:$Y$20)*(1-实盘持仓初始配置!$Z$6)^(('实盘净值数据(iFinD）'!$A544-'实盘净值数据(iFinD）'!$A$7)/365))</f>
        <v/>
      </c>
      <c r="I544" s="16" t="str">
        <f t="shared" si="50"/>
        <v/>
      </c>
      <c r="J544" s="16" t="str">
        <f>IF(H544="","",H544/MAX(H$5:H544)-1)</f>
        <v/>
      </c>
      <c r="K544" s="13" t="str">
        <f>IF(OR('实盘净值数据(iFinD）'!$A544="",'实盘净值数据(iFinD）'!$B544="",'实盘净值数据(iFinD）'!$Z544="",'实盘净值数据(iFinD）'!$AA544=""),"",分期持仓明细!$AB$23*(SUMPRODUCT(分期持仓明细!$B$23:$Y$23,'实盘净值数据(iFinD）'!$B544:$Y544/'实盘净值数据(iFinD）'!$B$65:$Y$65)+SUMPRODUCT(分期持仓明细!$AC$23:$AD$23,'实盘净值数据(iFinD）'!$Z544:$AA544/'实盘净值数据(iFinD）'!$Z$65:$AA$65))*(1-实盘持仓初始配置!$Z$7)^(('实盘净值数据(iFinD）'!$A544-'实盘净值数据(iFinD）'!$A$8)/365))</f>
        <v/>
      </c>
      <c r="L544" s="16" t="str">
        <f t="shared" si="51"/>
        <v/>
      </c>
      <c r="M544" s="16" t="str">
        <f>IF(K544="","",K544/MAX(K$5:K544)-1)</f>
        <v/>
      </c>
      <c r="N544" s="13" t="str">
        <f>IF(OR('实盘净值数据(iFinD）'!$A544="",'实盘净值数据(iFinD）'!$B544="",'实盘净值数据(iFinD）'!$Z544="",'实盘净值数据(iFinD）'!$AA544=""),"",分期持仓明细!$AB$24*(SUMPRODUCT(分期持仓明细!$B$24:$Y$24,'实盘净值数据(iFinD）'!$B544:$Y544/'实盘净值数据(iFinD）'!$B$65:$Y$65)+SUMPRODUCT(分期持仓明细!$AC$24:$AD$24,'实盘净值数据(iFinD）'!$Z544:$AA544/'实盘净值数据(iFinD）'!$Z$65:$AA$65))*(1-实盘持仓初始配置!$Z$8)^(('实盘净值数据(iFinD）'!$A544-'实盘净值数据(iFinD）'!$A$5)/365))</f>
        <v/>
      </c>
      <c r="O544" s="16" t="str">
        <f t="shared" si="52"/>
        <v/>
      </c>
      <c r="P544" s="16" t="str">
        <f>IF(N544="","",N544/MAX(N$5:N544)-1)</f>
        <v/>
      </c>
      <c r="Q544" s="13" t="str">
        <f>IF(OR('实盘净值数据(iFinD）'!$A544="",'实盘净值数据(iFinD）'!$B544="",'实盘净值数据(iFinD）'!$Z544="",'实盘净值数据(iFinD）'!$AA544=""),"",分期持仓明细!$AB$25*(SUMPRODUCT(分期持仓明细!$B$25:$Y$25,'实盘净值数据(iFinD）'!$B544:$Y544/'实盘净值数据(iFinD）'!$B$65:$Y$65)+SUMPRODUCT(分期持仓明细!$AC$25:$AD$25,'实盘净值数据(iFinD）'!$Z544:$AA544/'实盘净值数据(iFinD）'!$Z$65:$AA$65))*(1-实盘持仓初始配置!$Z$9)^(('实盘净值数据(iFinD）'!$A544-'实盘净值数据(iFinD）'!$A$8)/365))</f>
        <v/>
      </c>
      <c r="R544" s="16" t="str">
        <f t="shared" si="53"/>
        <v/>
      </c>
      <c r="S544" s="16" t="str">
        <f>IF(Q544="","",Q544/MAX(Q$5:Q544)-1)</f>
        <v/>
      </c>
    </row>
    <row r="545" spans="1:19">
      <c r="A545" s="15" t="str">
        <f>IF('实盘净值数据(iFinD）'!A545="","",'实盘净值数据(iFinD）'!A545)</f>
        <v/>
      </c>
      <c r="B545" s="13" t="str">
        <f>IF(OR('实盘净值数据(iFinD）'!$A545="",'实盘净值数据(iFinD）'!$B545=""),"",分期持仓明细!$AB$17*SUMPRODUCT(分期持仓明细!$B$17:$Y$17,'实盘净值数据(iFinD）'!$B545:$Y545/'实盘净值数据(iFinD）'!$B$20:$Y$20)*(1-实盘持仓初始配置!$Z$4)^(('实盘净值数据(iFinD）'!$A545-'实盘净值数据(iFinD）'!$A$6)/365))</f>
        <v/>
      </c>
      <c r="C545" s="16" t="str">
        <f t="shared" si="48"/>
        <v/>
      </c>
      <c r="D545" s="16" t="str">
        <f>IF(B545="","",B545/MAX(B$5:B545)-1)</f>
        <v/>
      </c>
      <c r="E545" s="13" t="str">
        <f>IF(OR('实盘净值数据(iFinD）'!$A545="",'实盘净值数据(iFinD）'!$B545=""),"",分期持仓明细!$AB$18*SUMPRODUCT(分期持仓明细!$B$18:$Y$18,'实盘净值数据(iFinD）'!$B545:$Y545/'实盘净值数据(iFinD）'!$B$20:$Y$20)*(1-实盘持仓初始配置!$Z$5)^(('实盘净值数据(iFinD）'!$A545-'实盘净值数据(iFinD）'!$A$5)/365))</f>
        <v/>
      </c>
      <c r="F545" s="16" t="str">
        <f t="shared" si="49"/>
        <v/>
      </c>
      <c r="G545" s="16" t="str">
        <f>IF(E545="","",E545/MAX(E$5:E545)-1)</f>
        <v/>
      </c>
      <c r="H545" s="13" t="str">
        <f>IF(OR('实盘净值数据(iFinD）'!$A545="",'实盘净值数据(iFinD）'!$B545=""),"",分期持仓明细!$AB$19*SUMPRODUCT(分期持仓明细!$B$19:$Y$19,'实盘净值数据(iFinD）'!$B545:$Y545/'实盘净值数据(iFinD）'!$B$20:$Y$20)*(1-实盘持仓初始配置!$Z$6)^(('实盘净值数据(iFinD）'!$A545-'实盘净值数据(iFinD）'!$A$7)/365))</f>
        <v/>
      </c>
      <c r="I545" s="16" t="str">
        <f t="shared" si="50"/>
        <v/>
      </c>
      <c r="J545" s="16" t="str">
        <f>IF(H545="","",H545/MAX(H$5:H545)-1)</f>
        <v/>
      </c>
      <c r="K545" s="13" t="str">
        <f>IF(OR('实盘净值数据(iFinD）'!$A545="",'实盘净值数据(iFinD）'!$B545="",'实盘净值数据(iFinD）'!$Z545="",'实盘净值数据(iFinD）'!$AA545=""),"",分期持仓明细!$AB$23*(SUMPRODUCT(分期持仓明细!$B$23:$Y$23,'实盘净值数据(iFinD）'!$B545:$Y545/'实盘净值数据(iFinD）'!$B$65:$Y$65)+SUMPRODUCT(分期持仓明细!$AC$23:$AD$23,'实盘净值数据(iFinD）'!$Z545:$AA545/'实盘净值数据(iFinD）'!$Z$65:$AA$65))*(1-实盘持仓初始配置!$Z$7)^(('实盘净值数据(iFinD）'!$A545-'实盘净值数据(iFinD）'!$A$8)/365))</f>
        <v/>
      </c>
      <c r="L545" s="16" t="str">
        <f t="shared" si="51"/>
        <v/>
      </c>
      <c r="M545" s="16" t="str">
        <f>IF(K545="","",K545/MAX(K$5:K545)-1)</f>
        <v/>
      </c>
      <c r="N545" s="13" t="str">
        <f>IF(OR('实盘净值数据(iFinD）'!$A545="",'实盘净值数据(iFinD）'!$B545="",'实盘净值数据(iFinD）'!$Z545="",'实盘净值数据(iFinD）'!$AA545=""),"",分期持仓明细!$AB$24*(SUMPRODUCT(分期持仓明细!$B$24:$Y$24,'实盘净值数据(iFinD）'!$B545:$Y545/'实盘净值数据(iFinD）'!$B$65:$Y$65)+SUMPRODUCT(分期持仓明细!$AC$24:$AD$24,'实盘净值数据(iFinD）'!$Z545:$AA545/'实盘净值数据(iFinD）'!$Z$65:$AA$65))*(1-实盘持仓初始配置!$Z$8)^(('实盘净值数据(iFinD）'!$A545-'实盘净值数据(iFinD）'!$A$5)/365))</f>
        <v/>
      </c>
      <c r="O545" s="16" t="str">
        <f t="shared" si="52"/>
        <v/>
      </c>
      <c r="P545" s="16" t="str">
        <f>IF(N545="","",N545/MAX(N$5:N545)-1)</f>
        <v/>
      </c>
      <c r="Q545" s="13" t="str">
        <f>IF(OR('实盘净值数据(iFinD）'!$A545="",'实盘净值数据(iFinD）'!$B545="",'实盘净值数据(iFinD）'!$Z545="",'实盘净值数据(iFinD）'!$AA545=""),"",分期持仓明细!$AB$25*(SUMPRODUCT(分期持仓明细!$B$25:$Y$25,'实盘净值数据(iFinD）'!$B545:$Y545/'实盘净值数据(iFinD）'!$B$65:$Y$65)+SUMPRODUCT(分期持仓明细!$AC$25:$AD$25,'实盘净值数据(iFinD）'!$Z545:$AA545/'实盘净值数据(iFinD）'!$Z$65:$AA$65))*(1-实盘持仓初始配置!$Z$9)^(('实盘净值数据(iFinD）'!$A545-'实盘净值数据(iFinD）'!$A$8)/365))</f>
        <v/>
      </c>
      <c r="R545" s="16" t="str">
        <f t="shared" si="53"/>
        <v/>
      </c>
      <c r="S545" s="16" t="str">
        <f>IF(Q545="","",Q545/MAX(Q$5:Q545)-1)</f>
        <v/>
      </c>
    </row>
    <row r="546" spans="1:19">
      <c r="A546" s="15" t="str">
        <f>IF('实盘净值数据(iFinD）'!A546="","",'实盘净值数据(iFinD）'!A546)</f>
        <v/>
      </c>
      <c r="B546" s="13" t="str">
        <f>IF(OR('实盘净值数据(iFinD）'!$A546="",'实盘净值数据(iFinD）'!$B546=""),"",分期持仓明细!$AB$17*SUMPRODUCT(分期持仓明细!$B$17:$Y$17,'实盘净值数据(iFinD）'!$B546:$Y546/'实盘净值数据(iFinD）'!$B$20:$Y$20)*(1-实盘持仓初始配置!$Z$4)^(('实盘净值数据(iFinD）'!$A546-'实盘净值数据(iFinD）'!$A$6)/365))</f>
        <v/>
      </c>
      <c r="C546" s="16" t="str">
        <f t="shared" si="48"/>
        <v/>
      </c>
      <c r="D546" s="16" t="str">
        <f>IF(B546="","",B546/MAX(B$5:B546)-1)</f>
        <v/>
      </c>
      <c r="E546" s="13" t="str">
        <f>IF(OR('实盘净值数据(iFinD）'!$A546="",'实盘净值数据(iFinD）'!$B546=""),"",分期持仓明细!$AB$18*SUMPRODUCT(分期持仓明细!$B$18:$Y$18,'实盘净值数据(iFinD）'!$B546:$Y546/'实盘净值数据(iFinD）'!$B$20:$Y$20)*(1-实盘持仓初始配置!$Z$5)^(('实盘净值数据(iFinD）'!$A546-'实盘净值数据(iFinD）'!$A$5)/365))</f>
        <v/>
      </c>
      <c r="F546" s="16" t="str">
        <f t="shared" si="49"/>
        <v/>
      </c>
      <c r="G546" s="16" t="str">
        <f>IF(E546="","",E546/MAX(E$5:E546)-1)</f>
        <v/>
      </c>
      <c r="H546" s="13" t="str">
        <f>IF(OR('实盘净值数据(iFinD）'!$A546="",'实盘净值数据(iFinD）'!$B546=""),"",分期持仓明细!$AB$19*SUMPRODUCT(分期持仓明细!$B$19:$Y$19,'实盘净值数据(iFinD）'!$B546:$Y546/'实盘净值数据(iFinD）'!$B$20:$Y$20)*(1-实盘持仓初始配置!$Z$6)^(('实盘净值数据(iFinD）'!$A546-'实盘净值数据(iFinD）'!$A$7)/365))</f>
        <v/>
      </c>
      <c r="I546" s="16" t="str">
        <f t="shared" si="50"/>
        <v/>
      </c>
      <c r="J546" s="16" t="str">
        <f>IF(H546="","",H546/MAX(H$5:H546)-1)</f>
        <v/>
      </c>
      <c r="K546" s="13" t="str">
        <f>IF(OR('实盘净值数据(iFinD）'!$A546="",'实盘净值数据(iFinD）'!$B546="",'实盘净值数据(iFinD）'!$Z546="",'实盘净值数据(iFinD）'!$AA546=""),"",分期持仓明细!$AB$23*(SUMPRODUCT(分期持仓明细!$B$23:$Y$23,'实盘净值数据(iFinD）'!$B546:$Y546/'实盘净值数据(iFinD）'!$B$65:$Y$65)+SUMPRODUCT(分期持仓明细!$AC$23:$AD$23,'实盘净值数据(iFinD）'!$Z546:$AA546/'实盘净值数据(iFinD）'!$Z$65:$AA$65))*(1-实盘持仓初始配置!$Z$7)^(('实盘净值数据(iFinD）'!$A546-'实盘净值数据(iFinD）'!$A$8)/365))</f>
        <v/>
      </c>
      <c r="L546" s="16" t="str">
        <f t="shared" si="51"/>
        <v/>
      </c>
      <c r="M546" s="16" t="str">
        <f>IF(K546="","",K546/MAX(K$5:K546)-1)</f>
        <v/>
      </c>
      <c r="N546" s="13" t="str">
        <f>IF(OR('实盘净值数据(iFinD）'!$A546="",'实盘净值数据(iFinD）'!$B546="",'实盘净值数据(iFinD）'!$Z546="",'实盘净值数据(iFinD）'!$AA546=""),"",分期持仓明细!$AB$24*(SUMPRODUCT(分期持仓明细!$B$24:$Y$24,'实盘净值数据(iFinD）'!$B546:$Y546/'实盘净值数据(iFinD）'!$B$65:$Y$65)+SUMPRODUCT(分期持仓明细!$AC$24:$AD$24,'实盘净值数据(iFinD）'!$Z546:$AA546/'实盘净值数据(iFinD）'!$Z$65:$AA$65))*(1-实盘持仓初始配置!$Z$8)^(('实盘净值数据(iFinD）'!$A546-'实盘净值数据(iFinD）'!$A$5)/365))</f>
        <v/>
      </c>
      <c r="O546" s="16" t="str">
        <f t="shared" si="52"/>
        <v/>
      </c>
      <c r="P546" s="16" t="str">
        <f>IF(N546="","",N546/MAX(N$5:N546)-1)</f>
        <v/>
      </c>
      <c r="Q546" s="13" t="str">
        <f>IF(OR('实盘净值数据(iFinD）'!$A546="",'实盘净值数据(iFinD）'!$B546="",'实盘净值数据(iFinD）'!$Z546="",'实盘净值数据(iFinD）'!$AA546=""),"",分期持仓明细!$AB$25*(SUMPRODUCT(分期持仓明细!$B$25:$Y$25,'实盘净值数据(iFinD）'!$B546:$Y546/'实盘净值数据(iFinD）'!$B$65:$Y$65)+SUMPRODUCT(分期持仓明细!$AC$25:$AD$25,'实盘净值数据(iFinD）'!$Z546:$AA546/'实盘净值数据(iFinD）'!$Z$65:$AA$65))*(1-实盘持仓初始配置!$Z$9)^(('实盘净值数据(iFinD）'!$A546-'实盘净值数据(iFinD）'!$A$8)/365))</f>
        <v/>
      </c>
      <c r="R546" s="16" t="str">
        <f t="shared" si="53"/>
        <v/>
      </c>
      <c r="S546" s="16" t="str">
        <f>IF(Q546="","",Q546/MAX(Q$5:Q546)-1)</f>
        <v/>
      </c>
    </row>
    <row r="547" spans="1:19">
      <c r="A547" s="15" t="str">
        <f>IF('实盘净值数据(iFinD）'!A547="","",'实盘净值数据(iFinD）'!A547)</f>
        <v/>
      </c>
      <c r="B547" s="13" t="str">
        <f>IF(OR('实盘净值数据(iFinD）'!$A547="",'实盘净值数据(iFinD）'!$B547=""),"",分期持仓明细!$AB$17*SUMPRODUCT(分期持仓明细!$B$17:$Y$17,'实盘净值数据(iFinD）'!$B547:$Y547/'实盘净值数据(iFinD）'!$B$20:$Y$20)*(1-实盘持仓初始配置!$Z$4)^(('实盘净值数据(iFinD）'!$A547-'实盘净值数据(iFinD）'!$A$6)/365))</f>
        <v/>
      </c>
      <c r="C547" s="16" t="str">
        <f t="shared" si="48"/>
        <v/>
      </c>
      <c r="D547" s="16" t="str">
        <f>IF(B547="","",B547/MAX(B$5:B547)-1)</f>
        <v/>
      </c>
      <c r="E547" s="13" t="str">
        <f>IF(OR('实盘净值数据(iFinD）'!$A547="",'实盘净值数据(iFinD）'!$B547=""),"",分期持仓明细!$AB$18*SUMPRODUCT(分期持仓明细!$B$18:$Y$18,'实盘净值数据(iFinD）'!$B547:$Y547/'实盘净值数据(iFinD）'!$B$20:$Y$20)*(1-实盘持仓初始配置!$Z$5)^(('实盘净值数据(iFinD）'!$A547-'实盘净值数据(iFinD）'!$A$5)/365))</f>
        <v/>
      </c>
      <c r="F547" s="16" t="str">
        <f t="shared" si="49"/>
        <v/>
      </c>
      <c r="G547" s="16" t="str">
        <f>IF(E547="","",E547/MAX(E$5:E547)-1)</f>
        <v/>
      </c>
      <c r="H547" s="13" t="str">
        <f>IF(OR('实盘净值数据(iFinD）'!$A547="",'实盘净值数据(iFinD）'!$B547=""),"",分期持仓明细!$AB$19*SUMPRODUCT(分期持仓明细!$B$19:$Y$19,'实盘净值数据(iFinD）'!$B547:$Y547/'实盘净值数据(iFinD）'!$B$20:$Y$20)*(1-实盘持仓初始配置!$Z$6)^(('实盘净值数据(iFinD）'!$A547-'实盘净值数据(iFinD）'!$A$7)/365))</f>
        <v/>
      </c>
      <c r="I547" s="16" t="str">
        <f t="shared" si="50"/>
        <v/>
      </c>
      <c r="J547" s="16" t="str">
        <f>IF(H547="","",H547/MAX(H$5:H547)-1)</f>
        <v/>
      </c>
      <c r="K547" s="13" t="str">
        <f>IF(OR('实盘净值数据(iFinD）'!$A547="",'实盘净值数据(iFinD）'!$B547="",'实盘净值数据(iFinD）'!$Z547="",'实盘净值数据(iFinD）'!$AA547=""),"",分期持仓明细!$AB$23*(SUMPRODUCT(分期持仓明细!$B$23:$Y$23,'实盘净值数据(iFinD）'!$B547:$Y547/'实盘净值数据(iFinD）'!$B$65:$Y$65)+SUMPRODUCT(分期持仓明细!$AC$23:$AD$23,'实盘净值数据(iFinD）'!$Z547:$AA547/'实盘净值数据(iFinD）'!$Z$65:$AA$65))*(1-实盘持仓初始配置!$Z$7)^(('实盘净值数据(iFinD）'!$A547-'实盘净值数据(iFinD）'!$A$8)/365))</f>
        <v/>
      </c>
      <c r="L547" s="16" t="str">
        <f t="shared" si="51"/>
        <v/>
      </c>
      <c r="M547" s="16" t="str">
        <f>IF(K547="","",K547/MAX(K$5:K547)-1)</f>
        <v/>
      </c>
      <c r="N547" s="13" t="str">
        <f>IF(OR('实盘净值数据(iFinD）'!$A547="",'实盘净值数据(iFinD）'!$B547="",'实盘净值数据(iFinD）'!$Z547="",'实盘净值数据(iFinD）'!$AA547=""),"",分期持仓明细!$AB$24*(SUMPRODUCT(分期持仓明细!$B$24:$Y$24,'实盘净值数据(iFinD）'!$B547:$Y547/'实盘净值数据(iFinD）'!$B$65:$Y$65)+SUMPRODUCT(分期持仓明细!$AC$24:$AD$24,'实盘净值数据(iFinD）'!$Z547:$AA547/'实盘净值数据(iFinD）'!$Z$65:$AA$65))*(1-实盘持仓初始配置!$Z$8)^(('实盘净值数据(iFinD）'!$A547-'实盘净值数据(iFinD）'!$A$5)/365))</f>
        <v/>
      </c>
      <c r="O547" s="16" t="str">
        <f t="shared" si="52"/>
        <v/>
      </c>
      <c r="P547" s="16" t="str">
        <f>IF(N547="","",N547/MAX(N$5:N547)-1)</f>
        <v/>
      </c>
      <c r="Q547" s="13" t="str">
        <f>IF(OR('实盘净值数据(iFinD）'!$A547="",'实盘净值数据(iFinD）'!$B547="",'实盘净值数据(iFinD）'!$Z547="",'实盘净值数据(iFinD）'!$AA547=""),"",分期持仓明细!$AB$25*(SUMPRODUCT(分期持仓明细!$B$25:$Y$25,'实盘净值数据(iFinD）'!$B547:$Y547/'实盘净值数据(iFinD）'!$B$65:$Y$65)+SUMPRODUCT(分期持仓明细!$AC$25:$AD$25,'实盘净值数据(iFinD）'!$Z547:$AA547/'实盘净值数据(iFinD）'!$Z$65:$AA$65))*(1-实盘持仓初始配置!$Z$9)^(('实盘净值数据(iFinD）'!$A547-'实盘净值数据(iFinD）'!$A$8)/365))</f>
        <v/>
      </c>
      <c r="R547" s="16" t="str">
        <f t="shared" si="53"/>
        <v/>
      </c>
      <c r="S547" s="16" t="str">
        <f>IF(Q547="","",Q547/MAX(Q$5:Q547)-1)</f>
        <v/>
      </c>
    </row>
    <row r="548" spans="1:19">
      <c r="A548" s="15" t="str">
        <f>IF('实盘净值数据(iFinD）'!A548="","",'实盘净值数据(iFinD）'!A548)</f>
        <v/>
      </c>
      <c r="B548" s="13" t="str">
        <f>IF(OR('实盘净值数据(iFinD）'!$A548="",'实盘净值数据(iFinD）'!$B548=""),"",分期持仓明细!$AB$17*SUMPRODUCT(分期持仓明细!$B$17:$Y$17,'实盘净值数据(iFinD）'!$B548:$Y548/'实盘净值数据(iFinD）'!$B$20:$Y$20)*(1-实盘持仓初始配置!$Z$4)^(('实盘净值数据(iFinD）'!$A548-'实盘净值数据(iFinD）'!$A$6)/365))</f>
        <v/>
      </c>
      <c r="C548" s="16" t="str">
        <f t="shared" si="48"/>
        <v/>
      </c>
      <c r="D548" s="16" t="str">
        <f>IF(B548="","",B548/MAX(B$5:B548)-1)</f>
        <v/>
      </c>
      <c r="E548" s="13" t="str">
        <f>IF(OR('实盘净值数据(iFinD）'!$A548="",'实盘净值数据(iFinD）'!$B548=""),"",分期持仓明细!$AB$18*SUMPRODUCT(分期持仓明细!$B$18:$Y$18,'实盘净值数据(iFinD）'!$B548:$Y548/'实盘净值数据(iFinD）'!$B$20:$Y$20)*(1-实盘持仓初始配置!$Z$5)^(('实盘净值数据(iFinD）'!$A548-'实盘净值数据(iFinD）'!$A$5)/365))</f>
        <v/>
      </c>
      <c r="F548" s="16" t="str">
        <f t="shared" si="49"/>
        <v/>
      </c>
      <c r="G548" s="16" t="str">
        <f>IF(E548="","",E548/MAX(E$5:E548)-1)</f>
        <v/>
      </c>
      <c r="H548" s="13" t="str">
        <f>IF(OR('实盘净值数据(iFinD）'!$A548="",'实盘净值数据(iFinD）'!$B548=""),"",分期持仓明细!$AB$19*SUMPRODUCT(分期持仓明细!$B$19:$Y$19,'实盘净值数据(iFinD）'!$B548:$Y548/'实盘净值数据(iFinD）'!$B$20:$Y$20)*(1-实盘持仓初始配置!$Z$6)^(('实盘净值数据(iFinD）'!$A548-'实盘净值数据(iFinD）'!$A$7)/365))</f>
        <v/>
      </c>
      <c r="I548" s="16" t="str">
        <f t="shared" si="50"/>
        <v/>
      </c>
      <c r="J548" s="16" t="str">
        <f>IF(H548="","",H548/MAX(H$5:H548)-1)</f>
        <v/>
      </c>
      <c r="K548" s="13" t="str">
        <f>IF(OR('实盘净值数据(iFinD）'!$A548="",'实盘净值数据(iFinD）'!$B548="",'实盘净值数据(iFinD）'!$Z548="",'实盘净值数据(iFinD）'!$AA548=""),"",分期持仓明细!$AB$23*(SUMPRODUCT(分期持仓明细!$B$23:$Y$23,'实盘净值数据(iFinD）'!$B548:$Y548/'实盘净值数据(iFinD）'!$B$65:$Y$65)+SUMPRODUCT(分期持仓明细!$AC$23:$AD$23,'实盘净值数据(iFinD）'!$Z548:$AA548/'实盘净值数据(iFinD）'!$Z$65:$AA$65))*(1-实盘持仓初始配置!$Z$7)^(('实盘净值数据(iFinD）'!$A548-'实盘净值数据(iFinD）'!$A$8)/365))</f>
        <v/>
      </c>
      <c r="L548" s="16" t="str">
        <f t="shared" si="51"/>
        <v/>
      </c>
      <c r="M548" s="16" t="str">
        <f>IF(K548="","",K548/MAX(K$5:K548)-1)</f>
        <v/>
      </c>
      <c r="N548" s="13" t="str">
        <f>IF(OR('实盘净值数据(iFinD）'!$A548="",'实盘净值数据(iFinD）'!$B548="",'实盘净值数据(iFinD）'!$Z548="",'实盘净值数据(iFinD）'!$AA548=""),"",分期持仓明细!$AB$24*(SUMPRODUCT(分期持仓明细!$B$24:$Y$24,'实盘净值数据(iFinD）'!$B548:$Y548/'实盘净值数据(iFinD）'!$B$65:$Y$65)+SUMPRODUCT(分期持仓明细!$AC$24:$AD$24,'实盘净值数据(iFinD）'!$Z548:$AA548/'实盘净值数据(iFinD）'!$Z$65:$AA$65))*(1-实盘持仓初始配置!$Z$8)^(('实盘净值数据(iFinD）'!$A548-'实盘净值数据(iFinD）'!$A$5)/365))</f>
        <v/>
      </c>
      <c r="O548" s="16" t="str">
        <f t="shared" si="52"/>
        <v/>
      </c>
      <c r="P548" s="16" t="str">
        <f>IF(N548="","",N548/MAX(N$5:N548)-1)</f>
        <v/>
      </c>
      <c r="Q548" s="13" t="str">
        <f>IF(OR('实盘净值数据(iFinD）'!$A548="",'实盘净值数据(iFinD）'!$B548="",'实盘净值数据(iFinD）'!$Z548="",'实盘净值数据(iFinD）'!$AA548=""),"",分期持仓明细!$AB$25*(SUMPRODUCT(分期持仓明细!$B$25:$Y$25,'实盘净值数据(iFinD）'!$B548:$Y548/'实盘净值数据(iFinD）'!$B$65:$Y$65)+SUMPRODUCT(分期持仓明细!$AC$25:$AD$25,'实盘净值数据(iFinD）'!$Z548:$AA548/'实盘净值数据(iFinD）'!$Z$65:$AA$65))*(1-实盘持仓初始配置!$Z$9)^(('实盘净值数据(iFinD）'!$A548-'实盘净值数据(iFinD）'!$A$8)/365))</f>
        <v/>
      </c>
      <c r="R548" s="16" t="str">
        <f t="shared" si="53"/>
        <v/>
      </c>
      <c r="S548" s="16" t="str">
        <f>IF(Q548="","",Q548/MAX(Q$5:Q548)-1)</f>
        <v/>
      </c>
    </row>
    <row r="549" spans="1:19">
      <c r="A549" s="15" t="str">
        <f>IF('实盘净值数据(iFinD）'!A549="","",'实盘净值数据(iFinD）'!A549)</f>
        <v/>
      </c>
      <c r="B549" s="13" t="str">
        <f>IF(OR('实盘净值数据(iFinD）'!$A549="",'实盘净值数据(iFinD）'!$B549=""),"",分期持仓明细!$AB$17*SUMPRODUCT(分期持仓明细!$B$17:$Y$17,'实盘净值数据(iFinD）'!$B549:$Y549/'实盘净值数据(iFinD）'!$B$20:$Y$20)*(1-实盘持仓初始配置!$Z$4)^(('实盘净值数据(iFinD）'!$A549-'实盘净值数据(iFinD）'!$A$6)/365))</f>
        <v/>
      </c>
      <c r="C549" s="16" t="str">
        <f t="shared" si="48"/>
        <v/>
      </c>
      <c r="D549" s="16" t="str">
        <f>IF(B549="","",B549/MAX(B$5:B549)-1)</f>
        <v/>
      </c>
      <c r="E549" s="13" t="str">
        <f>IF(OR('实盘净值数据(iFinD）'!$A549="",'实盘净值数据(iFinD）'!$B549=""),"",分期持仓明细!$AB$18*SUMPRODUCT(分期持仓明细!$B$18:$Y$18,'实盘净值数据(iFinD）'!$B549:$Y549/'实盘净值数据(iFinD）'!$B$20:$Y$20)*(1-实盘持仓初始配置!$Z$5)^(('实盘净值数据(iFinD）'!$A549-'实盘净值数据(iFinD）'!$A$5)/365))</f>
        <v/>
      </c>
      <c r="F549" s="16" t="str">
        <f t="shared" si="49"/>
        <v/>
      </c>
      <c r="G549" s="16" t="str">
        <f>IF(E549="","",E549/MAX(E$5:E549)-1)</f>
        <v/>
      </c>
      <c r="H549" s="13" t="str">
        <f>IF(OR('实盘净值数据(iFinD）'!$A549="",'实盘净值数据(iFinD）'!$B549=""),"",分期持仓明细!$AB$19*SUMPRODUCT(分期持仓明细!$B$19:$Y$19,'实盘净值数据(iFinD）'!$B549:$Y549/'实盘净值数据(iFinD）'!$B$20:$Y$20)*(1-实盘持仓初始配置!$Z$6)^(('实盘净值数据(iFinD）'!$A549-'实盘净值数据(iFinD）'!$A$7)/365))</f>
        <v/>
      </c>
      <c r="I549" s="16" t="str">
        <f t="shared" si="50"/>
        <v/>
      </c>
      <c r="J549" s="16" t="str">
        <f>IF(H549="","",H549/MAX(H$5:H549)-1)</f>
        <v/>
      </c>
      <c r="K549" s="13" t="str">
        <f>IF(OR('实盘净值数据(iFinD）'!$A549="",'实盘净值数据(iFinD）'!$B549="",'实盘净值数据(iFinD）'!$Z549="",'实盘净值数据(iFinD）'!$AA549=""),"",分期持仓明细!$AB$23*(SUMPRODUCT(分期持仓明细!$B$23:$Y$23,'实盘净值数据(iFinD）'!$B549:$Y549/'实盘净值数据(iFinD）'!$B$65:$Y$65)+SUMPRODUCT(分期持仓明细!$AC$23:$AD$23,'实盘净值数据(iFinD）'!$Z549:$AA549/'实盘净值数据(iFinD）'!$Z$65:$AA$65))*(1-实盘持仓初始配置!$Z$7)^(('实盘净值数据(iFinD）'!$A549-'实盘净值数据(iFinD）'!$A$8)/365))</f>
        <v/>
      </c>
      <c r="L549" s="16" t="str">
        <f t="shared" si="51"/>
        <v/>
      </c>
      <c r="M549" s="16" t="str">
        <f>IF(K549="","",K549/MAX(K$5:K549)-1)</f>
        <v/>
      </c>
      <c r="N549" s="13" t="str">
        <f>IF(OR('实盘净值数据(iFinD）'!$A549="",'实盘净值数据(iFinD）'!$B549="",'实盘净值数据(iFinD）'!$Z549="",'实盘净值数据(iFinD）'!$AA549=""),"",分期持仓明细!$AB$24*(SUMPRODUCT(分期持仓明细!$B$24:$Y$24,'实盘净值数据(iFinD）'!$B549:$Y549/'实盘净值数据(iFinD）'!$B$65:$Y$65)+SUMPRODUCT(分期持仓明细!$AC$24:$AD$24,'实盘净值数据(iFinD）'!$Z549:$AA549/'实盘净值数据(iFinD）'!$Z$65:$AA$65))*(1-实盘持仓初始配置!$Z$8)^(('实盘净值数据(iFinD）'!$A549-'实盘净值数据(iFinD）'!$A$5)/365))</f>
        <v/>
      </c>
      <c r="O549" s="16" t="str">
        <f t="shared" si="52"/>
        <v/>
      </c>
      <c r="P549" s="16" t="str">
        <f>IF(N549="","",N549/MAX(N$5:N549)-1)</f>
        <v/>
      </c>
      <c r="Q549" s="13" t="str">
        <f>IF(OR('实盘净值数据(iFinD）'!$A549="",'实盘净值数据(iFinD）'!$B549="",'实盘净值数据(iFinD）'!$Z549="",'实盘净值数据(iFinD）'!$AA549=""),"",分期持仓明细!$AB$25*(SUMPRODUCT(分期持仓明细!$B$25:$Y$25,'实盘净值数据(iFinD）'!$B549:$Y549/'实盘净值数据(iFinD）'!$B$65:$Y$65)+SUMPRODUCT(分期持仓明细!$AC$25:$AD$25,'实盘净值数据(iFinD）'!$Z549:$AA549/'实盘净值数据(iFinD）'!$Z$65:$AA$65))*(1-实盘持仓初始配置!$Z$9)^(('实盘净值数据(iFinD）'!$A549-'实盘净值数据(iFinD）'!$A$8)/365))</f>
        <v/>
      </c>
      <c r="R549" s="16" t="str">
        <f t="shared" si="53"/>
        <v/>
      </c>
      <c r="S549" s="16" t="str">
        <f>IF(Q549="","",Q549/MAX(Q$5:Q549)-1)</f>
        <v/>
      </c>
    </row>
    <row r="550" spans="1:19">
      <c r="A550" s="15" t="str">
        <f>IF('实盘净值数据(iFinD）'!A550="","",'实盘净值数据(iFinD）'!A550)</f>
        <v/>
      </c>
      <c r="B550" s="13" t="str">
        <f>IF(OR('实盘净值数据(iFinD）'!$A550="",'实盘净值数据(iFinD）'!$B550=""),"",分期持仓明细!$AB$17*SUMPRODUCT(分期持仓明细!$B$17:$Y$17,'实盘净值数据(iFinD）'!$B550:$Y550/'实盘净值数据(iFinD）'!$B$20:$Y$20)*(1-实盘持仓初始配置!$Z$4)^(('实盘净值数据(iFinD）'!$A550-'实盘净值数据(iFinD）'!$A$6)/365))</f>
        <v/>
      </c>
      <c r="C550" s="16" t="str">
        <f t="shared" si="48"/>
        <v/>
      </c>
      <c r="D550" s="16" t="str">
        <f>IF(B550="","",B550/MAX(B$5:B550)-1)</f>
        <v/>
      </c>
      <c r="E550" s="13" t="str">
        <f>IF(OR('实盘净值数据(iFinD）'!$A550="",'实盘净值数据(iFinD）'!$B550=""),"",分期持仓明细!$AB$18*SUMPRODUCT(分期持仓明细!$B$18:$Y$18,'实盘净值数据(iFinD）'!$B550:$Y550/'实盘净值数据(iFinD）'!$B$20:$Y$20)*(1-实盘持仓初始配置!$Z$5)^(('实盘净值数据(iFinD）'!$A550-'实盘净值数据(iFinD）'!$A$5)/365))</f>
        <v/>
      </c>
      <c r="F550" s="16" t="str">
        <f t="shared" si="49"/>
        <v/>
      </c>
      <c r="G550" s="16" t="str">
        <f>IF(E550="","",E550/MAX(E$5:E550)-1)</f>
        <v/>
      </c>
      <c r="H550" s="13" t="str">
        <f>IF(OR('实盘净值数据(iFinD）'!$A550="",'实盘净值数据(iFinD）'!$B550=""),"",分期持仓明细!$AB$19*SUMPRODUCT(分期持仓明细!$B$19:$Y$19,'实盘净值数据(iFinD）'!$B550:$Y550/'实盘净值数据(iFinD）'!$B$20:$Y$20)*(1-实盘持仓初始配置!$Z$6)^(('实盘净值数据(iFinD）'!$A550-'实盘净值数据(iFinD）'!$A$7)/365))</f>
        <v/>
      </c>
      <c r="I550" s="16" t="str">
        <f t="shared" si="50"/>
        <v/>
      </c>
      <c r="J550" s="16" t="str">
        <f>IF(H550="","",H550/MAX(H$5:H550)-1)</f>
        <v/>
      </c>
      <c r="K550" s="13" t="str">
        <f>IF(OR('实盘净值数据(iFinD）'!$A550="",'实盘净值数据(iFinD）'!$B550="",'实盘净值数据(iFinD）'!$Z550="",'实盘净值数据(iFinD）'!$AA550=""),"",分期持仓明细!$AB$23*(SUMPRODUCT(分期持仓明细!$B$23:$Y$23,'实盘净值数据(iFinD）'!$B550:$Y550/'实盘净值数据(iFinD）'!$B$65:$Y$65)+SUMPRODUCT(分期持仓明细!$AC$23:$AD$23,'实盘净值数据(iFinD）'!$Z550:$AA550/'实盘净值数据(iFinD）'!$Z$65:$AA$65))*(1-实盘持仓初始配置!$Z$7)^(('实盘净值数据(iFinD）'!$A550-'实盘净值数据(iFinD）'!$A$8)/365))</f>
        <v/>
      </c>
      <c r="L550" s="16" t="str">
        <f t="shared" si="51"/>
        <v/>
      </c>
      <c r="M550" s="16" t="str">
        <f>IF(K550="","",K550/MAX(K$5:K550)-1)</f>
        <v/>
      </c>
      <c r="N550" s="13" t="str">
        <f>IF(OR('实盘净值数据(iFinD）'!$A550="",'实盘净值数据(iFinD）'!$B550="",'实盘净值数据(iFinD）'!$Z550="",'实盘净值数据(iFinD）'!$AA550=""),"",分期持仓明细!$AB$24*(SUMPRODUCT(分期持仓明细!$B$24:$Y$24,'实盘净值数据(iFinD）'!$B550:$Y550/'实盘净值数据(iFinD）'!$B$65:$Y$65)+SUMPRODUCT(分期持仓明细!$AC$24:$AD$24,'实盘净值数据(iFinD）'!$Z550:$AA550/'实盘净值数据(iFinD）'!$Z$65:$AA$65))*(1-实盘持仓初始配置!$Z$8)^(('实盘净值数据(iFinD）'!$A550-'实盘净值数据(iFinD）'!$A$5)/365))</f>
        <v/>
      </c>
      <c r="O550" s="16" t="str">
        <f t="shared" si="52"/>
        <v/>
      </c>
      <c r="P550" s="16" t="str">
        <f>IF(N550="","",N550/MAX(N$5:N550)-1)</f>
        <v/>
      </c>
      <c r="Q550" s="13" t="str">
        <f>IF(OR('实盘净值数据(iFinD）'!$A550="",'实盘净值数据(iFinD）'!$B550="",'实盘净值数据(iFinD）'!$Z550="",'实盘净值数据(iFinD）'!$AA550=""),"",分期持仓明细!$AB$25*(SUMPRODUCT(分期持仓明细!$B$25:$Y$25,'实盘净值数据(iFinD）'!$B550:$Y550/'实盘净值数据(iFinD）'!$B$65:$Y$65)+SUMPRODUCT(分期持仓明细!$AC$25:$AD$25,'实盘净值数据(iFinD）'!$Z550:$AA550/'实盘净值数据(iFinD）'!$Z$65:$AA$65))*(1-实盘持仓初始配置!$Z$9)^(('实盘净值数据(iFinD）'!$A550-'实盘净值数据(iFinD）'!$A$8)/365))</f>
        <v/>
      </c>
      <c r="R550" s="16" t="str">
        <f t="shared" si="53"/>
        <v/>
      </c>
      <c r="S550" s="16" t="str">
        <f>IF(Q550="","",Q550/MAX(Q$5:Q550)-1)</f>
        <v/>
      </c>
    </row>
    <row r="551" spans="1:19">
      <c r="A551" s="15" t="str">
        <f>IF('实盘净值数据(iFinD）'!A551="","",'实盘净值数据(iFinD）'!A551)</f>
        <v/>
      </c>
      <c r="B551" s="13" t="str">
        <f>IF(OR('实盘净值数据(iFinD）'!$A551="",'实盘净值数据(iFinD）'!$B551=""),"",分期持仓明细!$AB$17*SUMPRODUCT(分期持仓明细!$B$17:$Y$17,'实盘净值数据(iFinD）'!$B551:$Y551/'实盘净值数据(iFinD）'!$B$20:$Y$20)*(1-实盘持仓初始配置!$Z$4)^(('实盘净值数据(iFinD）'!$A551-'实盘净值数据(iFinD）'!$A$6)/365))</f>
        <v/>
      </c>
      <c r="C551" s="16" t="str">
        <f t="shared" si="48"/>
        <v/>
      </c>
      <c r="D551" s="16" t="str">
        <f>IF(B551="","",B551/MAX(B$5:B551)-1)</f>
        <v/>
      </c>
      <c r="E551" s="13" t="str">
        <f>IF(OR('实盘净值数据(iFinD）'!$A551="",'实盘净值数据(iFinD）'!$B551=""),"",分期持仓明细!$AB$18*SUMPRODUCT(分期持仓明细!$B$18:$Y$18,'实盘净值数据(iFinD）'!$B551:$Y551/'实盘净值数据(iFinD）'!$B$20:$Y$20)*(1-实盘持仓初始配置!$Z$5)^(('实盘净值数据(iFinD）'!$A551-'实盘净值数据(iFinD）'!$A$5)/365))</f>
        <v/>
      </c>
      <c r="F551" s="16" t="str">
        <f t="shared" si="49"/>
        <v/>
      </c>
      <c r="G551" s="16" t="str">
        <f>IF(E551="","",E551/MAX(E$5:E551)-1)</f>
        <v/>
      </c>
      <c r="H551" s="13" t="str">
        <f>IF(OR('实盘净值数据(iFinD）'!$A551="",'实盘净值数据(iFinD）'!$B551=""),"",分期持仓明细!$AB$19*SUMPRODUCT(分期持仓明细!$B$19:$Y$19,'实盘净值数据(iFinD）'!$B551:$Y551/'实盘净值数据(iFinD）'!$B$20:$Y$20)*(1-实盘持仓初始配置!$Z$6)^(('实盘净值数据(iFinD）'!$A551-'实盘净值数据(iFinD）'!$A$7)/365))</f>
        <v/>
      </c>
      <c r="I551" s="16" t="str">
        <f t="shared" si="50"/>
        <v/>
      </c>
      <c r="J551" s="16" t="str">
        <f>IF(H551="","",H551/MAX(H$5:H551)-1)</f>
        <v/>
      </c>
      <c r="K551" s="13" t="str">
        <f>IF(OR('实盘净值数据(iFinD）'!$A551="",'实盘净值数据(iFinD）'!$B551="",'实盘净值数据(iFinD）'!$Z551="",'实盘净值数据(iFinD）'!$AA551=""),"",分期持仓明细!$AB$23*(SUMPRODUCT(分期持仓明细!$B$23:$Y$23,'实盘净值数据(iFinD）'!$B551:$Y551/'实盘净值数据(iFinD）'!$B$65:$Y$65)+SUMPRODUCT(分期持仓明细!$AC$23:$AD$23,'实盘净值数据(iFinD）'!$Z551:$AA551/'实盘净值数据(iFinD）'!$Z$65:$AA$65))*(1-实盘持仓初始配置!$Z$7)^(('实盘净值数据(iFinD）'!$A551-'实盘净值数据(iFinD）'!$A$8)/365))</f>
        <v/>
      </c>
      <c r="L551" s="16" t="str">
        <f t="shared" si="51"/>
        <v/>
      </c>
      <c r="M551" s="16" t="str">
        <f>IF(K551="","",K551/MAX(K$5:K551)-1)</f>
        <v/>
      </c>
      <c r="N551" s="13" t="str">
        <f>IF(OR('实盘净值数据(iFinD）'!$A551="",'实盘净值数据(iFinD）'!$B551="",'实盘净值数据(iFinD）'!$Z551="",'实盘净值数据(iFinD）'!$AA551=""),"",分期持仓明细!$AB$24*(SUMPRODUCT(分期持仓明细!$B$24:$Y$24,'实盘净值数据(iFinD）'!$B551:$Y551/'实盘净值数据(iFinD）'!$B$65:$Y$65)+SUMPRODUCT(分期持仓明细!$AC$24:$AD$24,'实盘净值数据(iFinD）'!$Z551:$AA551/'实盘净值数据(iFinD）'!$Z$65:$AA$65))*(1-实盘持仓初始配置!$Z$8)^(('实盘净值数据(iFinD）'!$A551-'实盘净值数据(iFinD）'!$A$5)/365))</f>
        <v/>
      </c>
      <c r="O551" s="16" t="str">
        <f t="shared" si="52"/>
        <v/>
      </c>
      <c r="P551" s="16" t="str">
        <f>IF(N551="","",N551/MAX(N$5:N551)-1)</f>
        <v/>
      </c>
      <c r="Q551" s="13" t="str">
        <f>IF(OR('实盘净值数据(iFinD）'!$A551="",'实盘净值数据(iFinD）'!$B551="",'实盘净值数据(iFinD）'!$Z551="",'实盘净值数据(iFinD）'!$AA551=""),"",分期持仓明细!$AB$25*(SUMPRODUCT(分期持仓明细!$B$25:$Y$25,'实盘净值数据(iFinD）'!$B551:$Y551/'实盘净值数据(iFinD）'!$B$65:$Y$65)+SUMPRODUCT(分期持仓明细!$AC$25:$AD$25,'实盘净值数据(iFinD）'!$Z551:$AA551/'实盘净值数据(iFinD）'!$Z$65:$AA$65))*(1-实盘持仓初始配置!$Z$9)^(('实盘净值数据(iFinD）'!$A551-'实盘净值数据(iFinD）'!$A$8)/365))</f>
        <v/>
      </c>
      <c r="R551" s="16" t="str">
        <f t="shared" si="53"/>
        <v/>
      </c>
      <c r="S551" s="16" t="str">
        <f>IF(Q551="","",Q551/MAX(Q$5:Q551)-1)</f>
        <v/>
      </c>
    </row>
    <row r="552" spans="1:19">
      <c r="A552" s="15" t="str">
        <f>IF('实盘净值数据(iFinD）'!A552="","",'实盘净值数据(iFinD）'!A552)</f>
        <v/>
      </c>
      <c r="B552" s="13" t="str">
        <f>IF(OR('实盘净值数据(iFinD）'!$A552="",'实盘净值数据(iFinD）'!$B552=""),"",分期持仓明细!$AB$17*SUMPRODUCT(分期持仓明细!$B$17:$Y$17,'实盘净值数据(iFinD）'!$B552:$Y552/'实盘净值数据(iFinD）'!$B$20:$Y$20)*(1-实盘持仓初始配置!$Z$4)^(('实盘净值数据(iFinD）'!$A552-'实盘净值数据(iFinD）'!$A$6)/365))</f>
        <v/>
      </c>
      <c r="C552" s="16" t="str">
        <f t="shared" si="48"/>
        <v/>
      </c>
      <c r="D552" s="16" t="str">
        <f>IF(B552="","",B552/MAX(B$5:B552)-1)</f>
        <v/>
      </c>
      <c r="E552" s="13" t="str">
        <f>IF(OR('实盘净值数据(iFinD）'!$A552="",'实盘净值数据(iFinD）'!$B552=""),"",分期持仓明细!$AB$18*SUMPRODUCT(分期持仓明细!$B$18:$Y$18,'实盘净值数据(iFinD）'!$B552:$Y552/'实盘净值数据(iFinD）'!$B$20:$Y$20)*(1-实盘持仓初始配置!$Z$5)^(('实盘净值数据(iFinD）'!$A552-'实盘净值数据(iFinD）'!$A$5)/365))</f>
        <v/>
      </c>
      <c r="F552" s="16" t="str">
        <f t="shared" si="49"/>
        <v/>
      </c>
      <c r="G552" s="16" t="str">
        <f>IF(E552="","",E552/MAX(E$5:E552)-1)</f>
        <v/>
      </c>
      <c r="H552" s="13" t="str">
        <f>IF(OR('实盘净值数据(iFinD）'!$A552="",'实盘净值数据(iFinD）'!$B552=""),"",分期持仓明细!$AB$19*SUMPRODUCT(分期持仓明细!$B$19:$Y$19,'实盘净值数据(iFinD）'!$B552:$Y552/'实盘净值数据(iFinD）'!$B$20:$Y$20)*(1-实盘持仓初始配置!$Z$6)^(('实盘净值数据(iFinD）'!$A552-'实盘净值数据(iFinD）'!$A$7)/365))</f>
        <v/>
      </c>
      <c r="I552" s="16" t="str">
        <f t="shared" si="50"/>
        <v/>
      </c>
      <c r="J552" s="16" t="str">
        <f>IF(H552="","",H552/MAX(H$5:H552)-1)</f>
        <v/>
      </c>
      <c r="K552" s="13" t="str">
        <f>IF(OR('实盘净值数据(iFinD）'!$A552="",'实盘净值数据(iFinD）'!$B552="",'实盘净值数据(iFinD）'!$Z552="",'实盘净值数据(iFinD）'!$AA552=""),"",分期持仓明细!$AB$23*(SUMPRODUCT(分期持仓明细!$B$23:$Y$23,'实盘净值数据(iFinD）'!$B552:$Y552/'实盘净值数据(iFinD）'!$B$65:$Y$65)+SUMPRODUCT(分期持仓明细!$AC$23:$AD$23,'实盘净值数据(iFinD）'!$Z552:$AA552/'实盘净值数据(iFinD）'!$Z$65:$AA$65))*(1-实盘持仓初始配置!$Z$7)^(('实盘净值数据(iFinD）'!$A552-'实盘净值数据(iFinD）'!$A$8)/365))</f>
        <v/>
      </c>
      <c r="L552" s="16" t="str">
        <f t="shared" si="51"/>
        <v/>
      </c>
      <c r="M552" s="16" t="str">
        <f>IF(K552="","",K552/MAX(K$5:K552)-1)</f>
        <v/>
      </c>
      <c r="N552" s="13" t="str">
        <f>IF(OR('实盘净值数据(iFinD）'!$A552="",'实盘净值数据(iFinD）'!$B552="",'实盘净值数据(iFinD）'!$Z552="",'实盘净值数据(iFinD）'!$AA552=""),"",分期持仓明细!$AB$24*(SUMPRODUCT(分期持仓明细!$B$24:$Y$24,'实盘净值数据(iFinD）'!$B552:$Y552/'实盘净值数据(iFinD）'!$B$65:$Y$65)+SUMPRODUCT(分期持仓明细!$AC$24:$AD$24,'实盘净值数据(iFinD）'!$Z552:$AA552/'实盘净值数据(iFinD）'!$Z$65:$AA$65))*(1-实盘持仓初始配置!$Z$8)^(('实盘净值数据(iFinD）'!$A552-'实盘净值数据(iFinD）'!$A$5)/365))</f>
        <v/>
      </c>
      <c r="O552" s="16" t="str">
        <f t="shared" si="52"/>
        <v/>
      </c>
      <c r="P552" s="16" t="str">
        <f>IF(N552="","",N552/MAX(N$5:N552)-1)</f>
        <v/>
      </c>
      <c r="Q552" s="13" t="str">
        <f>IF(OR('实盘净值数据(iFinD）'!$A552="",'实盘净值数据(iFinD）'!$B552="",'实盘净值数据(iFinD）'!$Z552="",'实盘净值数据(iFinD）'!$AA552=""),"",分期持仓明细!$AB$25*(SUMPRODUCT(分期持仓明细!$B$25:$Y$25,'实盘净值数据(iFinD）'!$B552:$Y552/'实盘净值数据(iFinD）'!$B$65:$Y$65)+SUMPRODUCT(分期持仓明细!$AC$25:$AD$25,'实盘净值数据(iFinD）'!$Z552:$AA552/'实盘净值数据(iFinD）'!$Z$65:$AA$65))*(1-实盘持仓初始配置!$Z$9)^(('实盘净值数据(iFinD）'!$A552-'实盘净值数据(iFinD）'!$A$8)/365))</f>
        <v/>
      </c>
      <c r="R552" s="16" t="str">
        <f t="shared" si="53"/>
        <v/>
      </c>
      <c r="S552" s="16" t="str">
        <f>IF(Q552="","",Q552/MAX(Q$5:Q552)-1)</f>
        <v/>
      </c>
    </row>
    <row r="553" spans="1:19">
      <c r="A553" s="15" t="str">
        <f>IF('实盘净值数据(iFinD）'!A553="","",'实盘净值数据(iFinD）'!A553)</f>
        <v/>
      </c>
      <c r="B553" s="13" t="str">
        <f>IF(OR('实盘净值数据(iFinD）'!$A553="",'实盘净值数据(iFinD）'!$B553=""),"",分期持仓明细!$AB$17*SUMPRODUCT(分期持仓明细!$B$17:$Y$17,'实盘净值数据(iFinD）'!$B553:$Y553/'实盘净值数据(iFinD）'!$B$20:$Y$20)*(1-实盘持仓初始配置!$Z$4)^(('实盘净值数据(iFinD）'!$A553-'实盘净值数据(iFinD）'!$A$6)/365))</f>
        <v/>
      </c>
      <c r="C553" s="16" t="str">
        <f t="shared" si="48"/>
        <v/>
      </c>
      <c r="D553" s="16" t="str">
        <f>IF(B553="","",B553/MAX(B$5:B553)-1)</f>
        <v/>
      </c>
      <c r="E553" s="13" t="str">
        <f>IF(OR('实盘净值数据(iFinD）'!$A553="",'实盘净值数据(iFinD）'!$B553=""),"",分期持仓明细!$AB$18*SUMPRODUCT(分期持仓明细!$B$18:$Y$18,'实盘净值数据(iFinD）'!$B553:$Y553/'实盘净值数据(iFinD）'!$B$20:$Y$20)*(1-实盘持仓初始配置!$Z$5)^(('实盘净值数据(iFinD）'!$A553-'实盘净值数据(iFinD）'!$A$5)/365))</f>
        <v/>
      </c>
      <c r="F553" s="16" t="str">
        <f t="shared" si="49"/>
        <v/>
      </c>
      <c r="G553" s="16" t="str">
        <f>IF(E553="","",E553/MAX(E$5:E553)-1)</f>
        <v/>
      </c>
      <c r="H553" s="13" t="str">
        <f>IF(OR('实盘净值数据(iFinD）'!$A553="",'实盘净值数据(iFinD）'!$B553=""),"",分期持仓明细!$AB$19*SUMPRODUCT(分期持仓明细!$B$19:$Y$19,'实盘净值数据(iFinD）'!$B553:$Y553/'实盘净值数据(iFinD）'!$B$20:$Y$20)*(1-实盘持仓初始配置!$Z$6)^(('实盘净值数据(iFinD）'!$A553-'实盘净值数据(iFinD）'!$A$7)/365))</f>
        <v/>
      </c>
      <c r="I553" s="16" t="str">
        <f t="shared" si="50"/>
        <v/>
      </c>
      <c r="J553" s="16" t="str">
        <f>IF(H553="","",H553/MAX(H$5:H553)-1)</f>
        <v/>
      </c>
      <c r="K553" s="13" t="str">
        <f>IF(OR('实盘净值数据(iFinD）'!$A553="",'实盘净值数据(iFinD）'!$B553="",'实盘净值数据(iFinD）'!$Z553="",'实盘净值数据(iFinD）'!$AA553=""),"",分期持仓明细!$AB$23*(SUMPRODUCT(分期持仓明细!$B$23:$Y$23,'实盘净值数据(iFinD）'!$B553:$Y553/'实盘净值数据(iFinD）'!$B$65:$Y$65)+SUMPRODUCT(分期持仓明细!$AC$23:$AD$23,'实盘净值数据(iFinD）'!$Z553:$AA553/'实盘净值数据(iFinD）'!$Z$65:$AA$65))*(1-实盘持仓初始配置!$Z$7)^(('实盘净值数据(iFinD）'!$A553-'实盘净值数据(iFinD）'!$A$8)/365))</f>
        <v/>
      </c>
      <c r="L553" s="16" t="str">
        <f t="shared" si="51"/>
        <v/>
      </c>
      <c r="M553" s="16" t="str">
        <f>IF(K553="","",K553/MAX(K$5:K553)-1)</f>
        <v/>
      </c>
      <c r="N553" s="13" t="str">
        <f>IF(OR('实盘净值数据(iFinD）'!$A553="",'实盘净值数据(iFinD）'!$B553="",'实盘净值数据(iFinD）'!$Z553="",'实盘净值数据(iFinD）'!$AA553=""),"",分期持仓明细!$AB$24*(SUMPRODUCT(分期持仓明细!$B$24:$Y$24,'实盘净值数据(iFinD）'!$B553:$Y553/'实盘净值数据(iFinD）'!$B$65:$Y$65)+SUMPRODUCT(分期持仓明细!$AC$24:$AD$24,'实盘净值数据(iFinD）'!$Z553:$AA553/'实盘净值数据(iFinD）'!$Z$65:$AA$65))*(1-实盘持仓初始配置!$Z$8)^(('实盘净值数据(iFinD）'!$A553-'实盘净值数据(iFinD）'!$A$5)/365))</f>
        <v/>
      </c>
      <c r="O553" s="16" t="str">
        <f t="shared" si="52"/>
        <v/>
      </c>
      <c r="P553" s="16" t="str">
        <f>IF(N553="","",N553/MAX(N$5:N553)-1)</f>
        <v/>
      </c>
      <c r="Q553" s="13" t="str">
        <f>IF(OR('实盘净值数据(iFinD）'!$A553="",'实盘净值数据(iFinD）'!$B553="",'实盘净值数据(iFinD）'!$Z553="",'实盘净值数据(iFinD）'!$AA553=""),"",分期持仓明细!$AB$25*(SUMPRODUCT(分期持仓明细!$B$25:$Y$25,'实盘净值数据(iFinD）'!$B553:$Y553/'实盘净值数据(iFinD）'!$B$65:$Y$65)+SUMPRODUCT(分期持仓明细!$AC$25:$AD$25,'实盘净值数据(iFinD）'!$Z553:$AA553/'实盘净值数据(iFinD）'!$Z$65:$AA$65))*(1-实盘持仓初始配置!$Z$9)^(('实盘净值数据(iFinD）'!$A553-'实盘净值数据(iFinD）'!$A$8)/365))</f>
        <v/>
      </c>
      <c r="R553" s="16" t="str">
        <f t="shared" si="53"/>
        <v/>
      </c>
      <c r="S553" s="16" t="str">
        <f>IF(Q553="","",Q553/MAX(Q$5:Q553)-1)</f>
        <v/>
      </c>
    </row>
    <row r="554" spans="1:19">
      <c r="A554" s="15" t="str">
        <f>IF('实盘净值数据(iFinD）'!A554="","",'实盘净值数据(iFinD）'!A554)</f>
        <v/>
      </c>
      <c r="B554" s="13" t="str">
        <f>IF(OR('实盘净值数据(iFinD）'!$A554="",'实盘净值数据(iFinD）'!$B554=""),"",分期持仓明细!$AB$17*SUMPRODUCT(分期持仓明细!$B$17:$Y$17,'实盘净值数据(iFinD）'!$B554:$Y554/'实盘净值数据(iFinD）'!$B$20:$Y$20)*(1-实盘持仓初始配置!$Z$4)^(('实盘净值数据(iFinD）'!$A554-'实盘净值数据(iFinD）'!$A$6)/365))</f>
        <v/>
      </c>
      <c r="C554" s="16" t="str">
        <f t="shared" si="48"/>
        <v/>
      </c>
      <c r="D554" s="16" t="str">
        <f>IF(B554="","",B554/MAX(B$5:B554)-1)</f>
        <v/>
      </c>
      <c r="E554" s="13" t="str">
        <f>IF(OR('实盘净值数据(iFinD）'!$A554="",'实盘净值数据(iFinD）'!$B554=""),"",分期持仓明细!$AB$18*SUMPRODUCT(分期持仓明细!$B$18:$Y$18,'实盘净值数据(iFinD）'!$B554:$Y554/'实盘净值数据(iFinD）'!$B$20:$Y$20)*(1-实盘持仓初始配置!$Z$5)^(('实盘净值数据(iFinD）'!$A554-'实盘净值数据(iFinD）'!$A$5)/365))</f>
        <v/>
      </c>
      <c r="F554" s="16" t="str">
        <f t="shared" si="49"/>
        <v/>
      </c>
      <c r="G554" s="16" t="str">
        <f>IF(E554="","",E554/MAX(E$5:E554)-1)</f>
        <v/>
      </c>
      <c r="H554" s="13" t="str">
        <f>IF(OR('实盘净值数据(iFinD）'!$A554="",'实盘净值数据(iFinD）'!$B554=""),"",分期持仓明细!$AB$19*SUMPRODUCT(分期持仓明细!$B$19:$Y$19,'实盘净值数据(iFinD）'!$B554:$Y554/'实盘净值数据(iFinD）'!$B$20:$Y$20)*(1-实盘持仓初始配置!$Z$6)^(('实盘净值数据(iFinD）'!$A554-'实盘净值数据(iFinD）'!$A$7)/365))</f>
        <v/>
      </c>
      <c r="I554" s="16" t="str">
        <f t="shared" si="50"/>
        <v/>
      </c>
      <c r="J554" s="16" t="str">
        <f>IF(H554="","",H554/MAX(H$5:H554)-1)</f>
        <v/>
      </c>
      <c r="K554" s="13" t="str">
        <f>IF(OR('实盘净值数据(iFinD）'!$A554="",'实盘净值数据(iFinD）'!$B554="",'实盘净值数据(iFinD）'!$Z554="",'实盘净值数据(iFinD）'!$AA554=""),"",分期持仓明细!$AB$23*(SUMPRODUCT(分期持仓明细!$B$23:$Y$23,'实盘净值数据(iFinD）'!$B554:$Y554/'实盘净值数据(iFinD）'!$B$65:$Y$65)+SUMPRODUCT(分期持仓明细!$AC$23:$AD$23,'实盘净值数据(iFinD）'!$Z554:$AA554/'实盘净值数据(iFinD）'!$Z$65:$AA$65))*(1-实盘持仓初始配置!$Z$7)^(('实盘净值数据(iFinD）'!$A554-'实盘净值数据(iFinD）'!$A$8)/365))</f>
        <v/>
      </c>
      <c r="L554" s="16" t="str">
        <f t="shared" si="51"/>
        <v/>
      </c>
      <c r="M554" s="16" t="str">
        <f>IF(K554="","",K554/MAX(K$5:K554)-1)</f>
        <v/>
      </c>
      <c r="N554" s="13" t="str">
        <f>IF(OR('实盘净值数据(iFinD）'!$A554="",'实盘净值数据(iFinD）'!$B554="",'实盘净值数据(iFinD）'!$Z554="",'实盘净值数据(iFinD）'!$AA554=""),"",分期持仓明细!$AB$24*(SUMPRODUCT(分期持仓明细!$B$24:$Y$24,'实盘净值数据(iFinD）'!$B554:$Y554/'实盘净值数据(iFinD）'!$B$65:$Y$65)+SUMPRODUCT(分期持仓明细!$AC$24:$AD$24,'实盘净值数据(iFinD）'!$Z554:$AA554/'实盘净值数据(iFinD）'!$Z$65:$AA$65))*(1-实盘持仓初始配置!$Z$8)^(('实盘净值数据(iFinD）'!$A554-'实盘净值数据(iFinD）'!$A$5)/365))</f>
        <v/>
      </c>
      <c r="O554" s="16" t="str">
        <f t="shared" si="52"/>
        <v/>
      </c>
      <c r="P554" s="16" t="str">
        <f>IF(N554="","",N554/MAX(N$5:N554)-1)</f>
        <v/>
      </c>
      <c r="Q554" s="13" t="str">
        <f>IF(OR('实盘净值数据(iFinD）'!$A554="",'实盘净值数据(iFinD）'!$B554="",'实盘净值数据(iFinD）'!$Z554="",'实盘净值数据(iFinD）'!$AA554=""),"",分期持仓明细!$AB$25*(SUMPRODUCT(分期持仓明细!$B$25:$Y$25,'实盘净值数据(iFinD）'!$B554:$Y554/'实盘净值数据(iFinD）'!$B$65:$Y$65)+SUMPRODUCT(分期持仓明细!$AC$25:$AD$25,'实盘净值数据(iFinD）'!$Z554:$AA554/'实盘净值数据(iFinD）'!$Z$65:$AA$65))*(1-实盘持仓初始配置!$Z$9)^(('实盘净值数据(iFinD）'!$A554-'实盘净值数据(iFinD）'!$A$8)/365))</f>
        <v/>
      </c>
      <c r="R554" s="16" t="str">
        <f t="shared" si="53"/>
        <v/>
      </c>
      <c r="S554" s="16" t="str">
        <f>IF(Q554="","",Q554/MAX(Q$5:Q554)-1)</f>
        <v/>
      </c>
    </row>
    <row r="555" spans="1:19">
      <c r="A555" s="15" t="str">
        <f>IF('实盘净值数据(iFinD）'!A555="","",'实盘净值数据(iFinD）'!A555)</f>
        <v/>
      </c>
      <c r="B555" s="13" t="str">
        <f>IF(OR('实盘净值数据(iFinD）'!$A555="",'实盘净值数据(iFinD）'!$B555=""),"",分期持仓明细!$AB$17*SUMPRODUCT(分期持仓明细!$B$17:$Y$17,'实盘净值数据(iFinD）'!$B555:$Y555/'实盘净值数据(iFinD）'!$B$20:$Y$20)*(1-实盘持仓初始配置!$Z$4)^(('实盘净值数据(iFinD）'!$A555-'实盘净值数据(iFinD）'!$A$6)/365))</f>
        <v/>
      </c>
      <c r="C555" s="16" t="str">
        <f t="shared" si="48"/>
        <v/>
      </c>
      <c r="D555" s="16" t="str">
        <f>IF(B555="","",B555/MAX(B$5:B555)-1)</f>
        <v/>
      </c>
      <c r="E555" s="13" t="str">
        <f>IF(OR('实盘净值数据(iFinD）'!$A555="",'实盘净值数据(iFinD）'!$B555=""),"",分期持仓明细!$AB$18*SUMPRODUCT(分期持仓明细!$B$18:$Y$18,'实盘净值数据(iFinD）'!$B555:$Y555/'实盘净值数据(iFinD）'!$B$20:$Y$20)*(1-实盘持仓初始配置!$Z$5)^(('实盘净值数据(iFinD）'!$A555-'实盘净值数据(iFinD）'!$A$5)/365))</f>
        <v/>
      </c>
      <c r="F555" s="16" t="str">
        <f t="shared" si="49"/>
        <v/>
      </c>
      <c r="G555" s="16" t="str">
        <f>IF(E555="","",E555/MAX(E$5:E555)-1)</f>
        <v/>
      </c>
      <c r="H555" s="13" t="str">
        <f>IF(OR('实盘净值数据(iFinD）'!$A555="",'实盘净值数据(iFinD）'!$B555=""),"",分期持仓明细!$AB$19*SUMPRODUCT(分期持仓明细!$B$19:$Y$19,'实盘净值数据(iFinD）'!$B555:$Y555/'实盘净值数据(iFinD）'!$B$20:$Y$20)*(1-实盘持仓初始配置!$Z$6)^(('实盘净值数据(iFinD）'!$A555-'实盘净值数据(iFinD）'!$A$7)/365))</f>
        <v/>
      </c>
      <c r="I555" s="16" t="str">
        <f t="shared" si="50"/>
        <v/>
      </c>
      <c r="J555" s="16" t="str">
        <f>IF(H555="","",H555/MAX(H$5:H555)-1)</f>
        <v/>
      </c>
      <c r="K555" s="13" t="str">
        <f>IF(OR('实盘净值数据(iFinD）'!$A555="",'实盘净值数据(iFinD）'!$B555="",'实盘净值数据(iFinD）'!$Z555="",'实盘净值数据(iFinD）'!$AA555=""),"",分期持仓明细!$AB$23*(SUMPRODUCT(分期持仓明细!$B$23:$Y$23,'实盘净值数据(iFinD）'!$B555:$Y555/'实盘净值数据(iFinD）'!$B$65:$Y$65)+SUMPRODUCT(分期持仓明细!$AC$23:$AD$23,'实盘净值数据(iFinD）'!$Z555:$AA555/'实盘净值数据(iFinD）'!$Z$65:$AA$65))*(1-实盘持仓初始配置!$Z$7)^(('实盘净值数据(iFinD）'!$A555-'实盘净值数据(iFinD）'!$A$8)/365))</f>
        <v/>
      </c>
      <c r="L555" s="16" t="str">
        <f t="shared" si="51"/>
        <v/>
      </c>
      <c r="M555" s="16" t="str">
        <f>IF(K555="","",K555/MAX(K$5:K555)-1)</f>
        <v/>
      </c>
      <c r="N555" s="13" t="str">
        <f>IF(OR('实盘净值数据(iFinD）'!$A555="",'实盘净值数据(iFinD）'!$B555="",'实盘净值数据(iFinD）'!$Z555="",'实盘净值数据(iFinD）'!$AA555=""),"",分期持仓明细!$AB$24*(SUMPRODUCT(分期持仓明细!$B$24:$Y$24,'实盘净值数据(iFinD）'!$B555:$Y555/'实盘净值数据(iFinD）'!$B$65:$Y$65)+SUMPRODUCT(分期持仓明细!$AC$24:$AD$24,'实盘净值数据(iFinD）'!$Z555:$AA555/'实盘净值数据(iFinD）'!$Z$65:$AA$65))*(1-实盘持仓初始配置!$Z$8)^(('实盘净值数据(iFinD）'!$A555-'实盘净值数据(iFinD）'!$A$5)/365))</f>
        <v/>
      </c>
      <c r="O555" s="16" t="str">
        <f t="shared" si="52"/>
        <v/>
      </c>
      <c r="P555" s="16" t="str">
        <f>IF(N555="","",N555/MAX(N$5:N555)-1)</f>
        <v/>
      </c>
      <c r="Q555" s="13" t="str">
        <f>IF(OR('实盘净值数据(iFinD）'!$A555="",'实盘净值数据(iFinD）'!$B555="",'实盘净值数据(iFinD）'!$Z555="",'实盘净值数据(iFinD）'!$AA555=""),"",分期持仓明细!$AB$25*(SUMPRODUCT(分期持仓明细!$B$25:$Y$25,'实盘净值数据(iFinD）'!$B555:$Y555/'实盘净值数据(iFinD）'!$B$65:$Y$65)+SUMPRODUCT(分期持仓明细!$AC$25:$AD$25,'实盘净值数据(iFinD）'!$Z555:$AA555/'实盘净值数据(iFinD）'!$Z$65:$AA$65))*(1-实盘持仓初始配置!$Z$9)^(('实盘净值数据(iFinD）'!$A555-'实盘净值数据(iFinD）'!$A$8)/365))</f>
        <v/>
      </c>
      <c r="R555" s="16" t="str">
        <f t="shared" si="53"/>
        <v/>
      </c>
      <c r="S555" s="16" t="str">
        <f>IF(Q555="","",Q555/MAX(Q$5:Q555)-1)</f>
        <v/>
      </c>
    </row>
    <row r="556" spans="1:19">
      <c r="A556" s="15" t="str">
        <f>IF('实盘净值数据(iFinD）'!A556="","",'实盘净值数据(iFinD）'!A556)</f>
        <v/>
      </c>
      <c r="B556" s="13" t="str">
        <f>IF(OR('实盘净值数据(iFinD）'!$A556="",'实盘净值数据(iFinD）'!$B556=""),"",分期持仓明细!$AB$17*SUMPRODUCT(分期持仓明细!$B$17:$Y$17,'实盘净值数据(iFinD）'!$B556:$Y556/'实盘净值数据(iFinD）'!$B$20:$Y$20)*(1-实盘持仓初始配置!$Z$4)^(('实盘净值数据(iFinD）'!$A556-'实盘净值数据(iFinD）'!$A$6)/365))</f>
        <v/>
      </c>
      <c r="C556" s="16" t="str">
        <f t="shared" si="48"/>
        <v/>
      </c>
      <c r="D556" s="16" t="str">
        <f>IF(B556="","",B556/MAX(B$5:B556)-1)</f>
        <v/>
      </c>
      <c r="E556" s="13" t="str">
        <f>IF(OR('实盘净值数据(iFinD）'!$A556="",'实盘净值数据(iFinD）'!$B556=""),"",分期持仓明细!$AB$18*SUMPRODUCT(分期持仓明细!$B$18:$Y$18,'实盘净值数据(iFinD）'!$B556:$Y556/'实盘净值数据(iFinD）'!$B$20:$Y$20)*(1-实盘持仓初始配置!$Z$5)^(('实盘净值数据(iFinD）'!$A556-'实盘净值数据(iFinD）'!$A$5)/365))</f>
        <v/>
      </c>
      <c r="F556" s="16" t="str">
        <f t="shared" si="49"/>
        <v/>
      </c>
      <c r="G556" s="16" t="str">
        <f>IF(E556="","",E556/MAX(E$5:E556)-1)</f>
        <v/>
      </c>
      <c r="H556" s="13" t="str">
        <f>IF(OR('实盘净值数据(iFinD）'!$A556="",'实盘净值数据(iFinD）'!$B556=""),"",分期持仓明细!$AB$19*SUMPRODUCT(分期持仓明细!$B$19:$Y$19,'实盘净值数据(iFinD）'!$B556:$Y556/'实盘净值数据(iFinD）'!$B$20:$Y$20)*(1-实盘持仓初始配置!$Z$6)^(('实盘净值数据(iFinD）'!$A556-'实盘净值数据(iFinD）'!$A$7)/365))</f>
        <v/>
      </c>
      <c r="I556" s="16" t="str">
        <f t="shared" si="50"/>
        <v/>
      </c>
      <c r="J556" s="16" t="str">
        <f>IF(H556="","",H556/MAX(H$5:H556)-1)</f>
        <v/>
      </c>
      <c r="K556" s="13" t="str">
        <f>IF(OR('实盘净值数据(iFinD）'!$A556="",'实盘净值数据(iFinD）'!$B556="",'实盘净值数据(iFinD）'!$Z556="",'实盘净值数据(iFinD）'!$AA556=""),"",分期持仓明细!$AB$23*(SUMPRODUCT(分期持仓明细!$B$23:$Y$23,'实盘净值数据(iFinD）'!$B556:$Y556/'实盘净值数据(iFinD）'!$B$65:$Y$65)+SUMPRODUCT(分期持仓明细!$AC$23:$AD$23,'实盘净值数据(iFinD）'!$Z556:$AA556/'实盘净值数据(iFinD）'!$Z$65:$AA$65))*(1-实盘持仓初始配置!$Z$7)^(('实盘净值数据(iFinD）'!$A556-'实盘净值数据(iFinD）'!$A$8)/365))</f>
        <v/>
      </c>
      <c r="L556" s="16" t="str">
        <f t="shared" si="51"/>
        <v/>
      </c>
      <c r="M556" s="16" t="str">
        <f>IF(K556="","",K556/MAX(K$5:K556)-1)</f>
        <v/>
      </c>
      <c r="N556" s="13" t="str">
        <f>IF(OR('实盘净值数据(iFinD）'!$A556="",'实盘净值数据(iFinD）'!$B556="",'实盘净值数据(iFinD）'!$Z556="",'实盘净值数据(iFinD）'!$AA556=""),"",分期持仓明细!$AB$24*(SUMPRODUCT(分期持仓明细!$B$24:$Y$24,'实盘净值数据(iFinD）'!$B556:$Y556/'实盘净值数据(iFinD）'!$B$65:$Y$65)+SUMPRODUCT(分期持仓明细!$AC$24:$AD$24,'实盘净值数据(iFinD）'!$Z556:$AA556/'实盘净值数据(iFinD）'!$Z$65:$AA$65))*(1-实盘持仓初始配置!$Z$8)^(('实盘净值数据(iFinD）'!$A556-'实盘净值数据(iFinD）'!$A$5)/365))</f>
        <v/>
      </c>
      <c r="O556" s="16" t="str">
        <f t="shared" si="52"/>
        <v/>
      </c>
      <c r="P556" s="16" t="str">
        <f>IF(N556="","",N556/MAX(N$5:N556)-1)</f>
        <v/>
      </c>
      <c r="Q556" s="13" t="str">
        <f>IF(OR('实盘净值数据(iFinD）'!$A556="",'实盘净值数据(iFinD）'!$B556="",'实盘净值数据(iFinD）'!$Z556="",'实盘净值数据(iFinD）'!$AA556=""),"",分期持仓明细!$AB$25*(SUMPRODUCT(分期持仓明细!$B$25:$Y$25,'实盘净值数据(iFinD）'!$B556:$Y556/'实盘净值数据(iFinD）'!$B$65:$Y$65)+SUMPRODUCT(分期持仓明细!$AC$25:$AD$25,'实盘净值数据(iFinD）'!$Z556:$AA556/'实盘净值数据(iFinD）'!$Z$65:$AA$65))*(1-实盘持仓初始配置!$Z$9)^(('实盘净值数据(iFinD）'!$A556-'实盘净值数据(iFinD）'!$A$8)/365))</f>
        <v/>
      </c>
      <c r="R556" s="16" t="str">
        <f t="shared" si="53"/>
        <v/>
      </c>
      <c r="S556" s="16" t="str">
        <f>IF(Q556="","",Q556/MAX(Q$5:Q556)-1)</f>
        <v/>
      </c>
    </row>
    <row r="557" spans="1:19">
      <c r="A557" s="15" t="str">
        <f>IF('实盘净值数据(iFinD）'!A557="","",'实盘净值数据(iFinD）'!A557)</f>
        <v/>
      </c>
      <c r="B557" s="13" t="str">
        <f>IF(OR('实盘净值数据(iFinD）'!$A557="",'实盘净值数据(iFinD）'!$B557=""),"",分期持仓明细!$AB$17*SUMPRODUCT(分期持仓明细!$B$17:$Y$17,'实盘净值数据(iFinD）'!$B557:$Y557/'实盘净值数据(iFinD）'!$B$20:$Y$20)*(1-实盘持仓初始配置!$Z$4)^(('实盘净值数据(iFinD）'!$A557-'实盘净值数据(iFinD）'!$A$6)/365))</f>
        <v/>
      </c>
      <c r="C557" s="16" t="str">
        <f t="shared" si="48"/>
        <v/>
      </c>
      <c r="D557" s="16" t="str">
        <f>IF(B557="","",B557/MAX(B$5:B557)-1)</f>
        <v/>
      </c>
      <c r="E557" s="13" t="str">
        <f>IF(OR('实盘净值数据(iFinD）'!$A557="",'实盘净值数据(iFinD）'!$B557=""),"",分期持仓明细!$AB$18*SUMPRODUCT(分期持仓明细!$B$18:$Y$18,'实盘净值数据(iFinD）'!$B557:$Y557/'实盘净值数据(iFinD）'!$B$20:$Y$20)*(1-实盘持仓初始配置!$Z$5)^(('实盘净值数据(iFinD）'!$A557-'实盘净值数据(iFinD）'!$A$5)/365))</f>
        <v/>
      </c>
      <c r="F557" s="16" t="str">
        <f t="shared" si="49"/>
        <v/>
      </c>
      <c r="G557" s="16" t="str">
        <f>IF(E557="","",E557/MAX(E$5:E557)-1)</f>
        <v/>
      </c>
      <c r="H557" s="13" t="str">
        <f>IF(OR('实盘净值数据(iFinD）'!$A557="",'实盘净值数据(iFinD）'!$B557=""),"",分期持仓明细!$AB$19*SUMPRODUCT(分期持仓明细!$B$19:$Y$19,'实盘净值数据(iFinD）'!$B557:$Y557/'实盘净值数据(iFinD）'!$B$20:$Y$20)*(1-实盘持仓初始配置!$Z$6)^(('实盘净值数据(iFinD）'!$A557-'实盘净值数据(iFinD）'!$A$7)/365))</f>
        <v/>
      </c>
      <c r="I557" s="16" t="str">
        <f t="shared" si="50"/>
        <v/>
      </c>
      <c r="J557" s="16" t="str">
        <f>IF(H557="","",H557/MAX(H$5:H557)-1)</f>
        <v/>
      </c>
      <c r="K557" s="13" t="str">
        <f>IF(OR('实盘净值数据(iFinD）'!$A557="",'实盘净值数据(iFinD）'!$B557="",'实盘净值数据(iFinD）'!$Z557="",'实盘净值数据(iFinD）'!$AA557=""),"",分期持仓明细!$AB$23*(SUMPRODUCT(分期持仓明细!$B$23:$Y$23,'实盘净值数据(iFinD）'!$B557:$Y557/'实盘净值数据(iFinD）'!$B$65:$Y$65)+SUMPRODUCT(分期持仓明细!$AC$23:$AD$23,'实盘净值数据(iFinD）'!$Z557:$AA557/'实盘净值数据(iFinD）'!$Z$65:$AA$65))*(1-实盘持仓初始配置!$Z$7)^(('实盘净值数据(iFinD）'!$A557-'实盘净值数据(iFinD）'!$A$8)/365))</f>
        <v/>
      </c>
      <c r="L557" s="16" t="str">
        <f t="shared" si="51"/>
        <v/>
      </c>
      <c r="M557" s="16" t="str">
        <f>IF(K557="","",K557/MAX(K$5:K557)-1)</f>
        <v/>
      </c>
      <c r="N557" s="13" t="str">
        <f>IF(OR('实盘净值数据(iFinD）'!$A557="",'实盘净值数据(iFinD）'!$B557="",'实盘净值数据(iFinD）'!$Z557="",'实盘净值数据(iFinD）'!$AA557=""),"",分期持仓明细!$AB$24*(SUMPRODUCT(分期持仓明细!$B$24:$Y$24,'实盘净值数据(iFinD）'!$B557:$Y557/'实盘净值数据(iFinD）'!$B$65:$Y$65)+SUMPRODUCT(分期持仓明细!$AC$24:$AD$24,'实盘净值数据(iFinD）'!$Z557:$AA557/'实盘净值数据(iFinD）'!$Z$65:$AA$65))*(1-实盘持仓初始配置!$Z$8)^(('实盘净值数据(iFinD）'!$A557-'实盘净值数据(iFinD）'!$A$5)/365))</f>
        <v/>
      </c>
      <c r="O557" s="16" t="str">
        <f t="shared" si="52"/>
        <v/>
      </c>
      <c r="P557" s="16" t="str">
        <f>IF(N557="","",N557/MAX(N$5:N557)-1)</f>
        <v/>
      </c>
      <c r="Q557" s="13" t="str">
        <f>IF(OR('实盘净值数据(iFinD）'!$A557="",'实盘净值数据(iFinD）'!$B557="",'实盘净值数据(iFinD）'!$Z557="",'实盘净值数据(iFinD）'!$AA557=""),"",分期持仓明细!$AB$25*(SUMPRODUCT(分期持仓明细!$B$25:$Y$25,'实盘净值数据(iFinD）'!$B557:$Y557/'实盘净值数据(iFinD）'!$B$65:$Y$65)+SUMPRODUCT(分期持仓明细!$AC$25:$AD$25,'实盘净值数据(iFinD）'!$Z557:$AA557/'实盘净值数据(iFinD）'!$Z$65:$AA$65))*(1-实盘持仓初始配置!$Z$9)^(('实盘净值数据(iFinD）'!$A557-'实盘净值数据(iFinD）'!$A$8)/365))</f>
        <v/>
      </c>
      <c r="R557" s="16" t="str">
        <f t="shared" si="53"/>
        <v/>
      </c>
      <c r="S557" s="16" t="str">
        <f>IF(Q557="","",Q557/MAX(Q$5:Q557)-1)</f>
        <v/>
      </c>
    </row>
    <row r="558" spans="1:19">
      <c r="A558" s="15" t="str">
        <f>IF('实盘净值数据(iFinD）'!A558="","",'实盘净值数据(iFinD）'!A558)</f>
        <v/>
      </c>
      <c r="B558" s="13" t="str">
        <f>IF(OR('实盘净值数据(iFinD）'!$A558="",'实盘净值数据(iFinD）'!$B558=""),"",分期持仓明细!$AB$17*SUMPRODUCT(分期持仓明细!$B$17:$Y$17,'实盘净值数据(iFinD）'!$B558:$Y558/'实盘净值数据(iFinD）'!$B$20:$Y$20)*(1-实盘持仓初始配置!$Z$4)^(('实盘净值数据(iFinD）'!$A558-'实盘净值数据(iFinD）'!$A$6)/365))</f>
        <v/>
      </c>
      <c r="C558" s="16" t="str">
        <f t="shared" si="48"/>
        <v/>
      </c>
      <c r="D558" s="16" t="str">
        <f>IF(B558="","",B558/MAX(B$5:B558)-1)</f>
        <v/>
      </c>
      <c r="E558" s="13" t="str">
        <f>IF(OR('实盘净值数据(iFinD）'!$A558="",'实盘净值数据(iFinD）'!$B558=""),"",分期持仓明细!$AB$18*SUMPRODUCT(分期持仓明细!$B$18:$Y$18,'实盘净值数据(iFinD）'!$B558:$Y558/'实盘净值数据(iFinD）'!$B$20:$Y$20)*(1-实盘持仓初始配置!$Z$5)^(('实盘净值数据(iFinD）'!$A558-'实盘净值数据(iFinD）'!$A$5)/365))</f>
        <v/>
      </c>
      <c r="F558" s="16" t="str">
        <f t="shared" si="49"/>
        <v/>
      </c>
      <c r="G558" s="16" t="str">
        <f>IF(E558="","",E558/MAX(E$5:E558)-1)</f>
        <v/>
      </c>
      <c r="H558" s="13" t="str">
        <f>IF(OR('实盘净值数据(iFinD）'!$A558="",'实盘净值数据(iFinD）'!$B558=""),"",分期持仓明细!$AB$19*SUMPRODUCT(分期持仓明细!$B$19:$Y$19,'实盘净值数据(iFinD）'!$B558:$Y558/'实盘净值数据(iFinD）'!$B$20:$Y$20)*(1-实盘持仓初始配置!$Z$6)^(('实盘净值数据(iFinD）'!$A558-'实盘净值数据(iFinD）'!$A$7)/365))</f>
        <v/>
      </c>
      <c r="I558" s="16" t="str">
        <f t="shared" si="50"/>
        <v/>
      </c>
      <c r="J558" s="16" t="str">
        <f>IF(H558="","",H558/MAX(H$5:H558)-1)</f>
        <v/>
      </c>
      <c r="K558" s="13" t="str">
        <f>IF(OR('实盘净值数据(iFinD）'!$A558="",'实盘净值数据(iFinD）'!$B558="",'实盘净值数据(iFinD）'!$Z558="",'实盘净值数据(iFinD）'!$AA558=""),"",分期持仓明细!$AB$23*(SUMPRODUCT(分期持仓明细!$B$23:$Y$23,'实盘净值数据(iFinD）'!$B558:$Y558/'实盘净值数据(iFinD）'!$B$65:$Y$65)+SUMPRODUCT(分期持仓明细!$AC$23:$AD$23,'实盘净值数据(iFinD）'!$Z558:$AA558/'实盘净值数据(iFinD）'!$Z$65:$AA$65))*(1-实盘持仓初始配置!$Z$7)^(('实盘净值数据(iFinD）'!$A558-'实盘净值数据(iFinD）'!$A$8)/365))</f>
        <v/>
      </c>
      <c r="L558" s="16" t="str">
        <f t="shared" si="51"/>
        <v/>
      </c>
      <c r="M558" s="16" t="str">
        <f>IF(K558="","",K558/MAX(K$5:K558)-1)</f>
        <v/>
      </c>
      <c r="N558" s="13" t="str">
        <f>IF(OR('实盘净值数据(iFinD）'!$A558="",'实盘净值数据(iFinD）'!$B558="",'实盘净值数据(iFinD）'!$Z558="",'实盘净值数据(iFinD）'!$AA558=""),"",分期持仓明细!$AB$24*(SUMPRODUCT(分期持仓明细!$B$24:$Y$24,'实盘净值数据(iFinD）'!$B558:$Y558/'实盘净值数据(iFinD）'!$B$65:$Y$65)+SUMPRODUCT(分期持仓明细!$AC$24:$AD$24,'实盘净值数据(iFinD）'!$Z558:$AA558/'实盘净值数据(iFinD）'!$Z$65:$AA$65))*(1-实盘持仓初始配置!$Z$8)^(('实盘净值数据(iFinD）'!$A558-'实盘净值数据(iFinD）'!$A$5)/365))</f>
        <v/>
      </c>
      <c r="O558" s="16" t="str">
        <f t="shared" si="52"/>
        <v/>
      </c>
      <c r="P558" s="16" t="str">
        <f>IF(N558="","",N558/MAX(N$5:N558)-1)</f>
        <v/>
      </c>
      <c r="Q558" s="13" t="str">
        <f>IF(OR('实盘净值数据(iFinD）'!$A558="",'实盘净值数据(iFinD）'!$B558="",'实盘净值数据(iFinD）'!$Z558="",'实盘净值数据(iFinD）'!$AA558=""),"",分期持仓明细!$AB$25*(SUMPRODUCT(分期持仓明细!$B$25:$Y$25,'实盘净值数据(iFinD）'!$B558:$Y558/'实盘净值数据(iFinD）'!$B$65:$Y$65)+SUMPRODUCT(分期持仓明细!$AC$25:$AD$25,'实盘净值数据(iFinD）'!$Z558:$AA558/'实盘净值数据(iFinD）'!$Z$65:$AA$65))*(1-实盘持仓初始配置!$Z$9)^(('实盘净值数据(iFinD）'!$A558-'实盘净值数据(iFinD）'!$A$8)/365))</f>
        <v/>
      </c>
      <c r="R558" s="16" t="str">
        <f t="shared" si="53"/>
        <v/>
      </c>
      <c r="S558" s="16" t="str">
        <f>IF(Q558="","",Q558/MAX(Q$5:Q558)-1)</f>
        <v/>
      </c>
    </row>
    <row r="559" spans="1:19">
      <c r="A559" s="15" t="str">
        <f>IF('实盘净值数据(iFinD）'!A559="","",'实盘净值数据(iFinD）'!A559)</f>
        <v/>
      </c>
      <c r="B559" s="13" t="str">
        <f>IF(OR('实盘净值数据(iFinD）'!$A559="",'实盘净值数据(iFinD）'!$B559=""),"",分期持仓明细!$AB$17*SUMPRODUCT(分期持仓明细!$B$17:$Y$17,'实盘净值数据(iFinD）'!$B559:$Y559/'实盘净值数据(iFinD）'!$B$20:$Y$20)*(1-实盘持仓初始配置!$Z$4)^(('实盘净值数据(iFinD）'!$A559-'实盘净值数据(iFinD）'!$A$6)/365))</f>
        <v/>
      </c>
      <c r="C559" s="16" t="str">
        <f t="shared" si="48"/>
        <v/>
      </c>
      <c r="D559" s="16" t="str">
        <f>IF(B559="","",B559/MAX(B$5:B559)-1)</f>
        <v/>
      </c>
      <c r="E559" s="13" t="str">
        <f>IF(OR('实盘净值数据(iFinD）'!$A559="",'实盘净值数据(iFinD）'!$B559=""),"",分期持仓明细!$AB$18*SUMPRODUCT(分期持仓明细!$B$18:$Y$18,'实盘净值数据(iFinD）'!$B559:$Y559/'实盘净值数据(iFinD）'!$B$20:$Y$20)*(1-实盘持仓初始配置!$Z$5)^(('实盘净值数据(iFinD）'!$A559-'实盘净值数据(iFinD）'!$A$5)/365))</f>
        <v/>
      </c>
      <c r="F559" s="16" t="str">
        <f t="shared" si="49"/>
        <v/>
      </c>
      <c r="G559" s="16" t="str">
        <f>IF(E559="","",E559/MAX(E$5:E559)-1)</f>
        <v/>
      </c>
      <c r="H559" s="13" t="str">
        <f>IF(OR('实盘净值数据(iFinD）'!$A559="",'实盘净值数据(iFinD）'!$B559=""),"",分期持仓明细!$AB$19*SUMPRODUCT(分期持仓明细!$B$19:$Y$19,'实盘净值数据(iFinD）'!$B559:$Y559/'实盘净值数据(iFinD）'!$B$20:$Y$20)*(1-实盘持仓初始配置!$Z$6)^(('实盘净值数据(iFinD）'!$A559-'实盘净值数据(iFinD）'!$A$7)/365))</f>
        <v/>
      </c>
      <c r="I559" s="16" t="str">
        <f t="shared" si="50"/>
        <v/>
      </c>
      <c r="J559" s="16" t="str">
        <f>IF(H559="","",H559/MAX(H$5:H559)-1)</f>
        <v/>
      </c>
      <c r="K559" s="13" t="str">
        <f>IF(OR('实盘净值数据(iFinD）'!$A559="",'实盘净值数据(iFinD）'!$B559="",'实盘净值数据(iFinD）'!$Z559="",'实盘净值数据(iFinD）'!$AA559=""),"",分期持仓明细!$AB$23*(SUMPRODUCT(分期持仓明细!$B$23:$Y$23,'实盘净值数据(iFinD）'!$B559:$Y559/'实盘净值数据(iFinD）'!$B$65:$Y$65)+SUMPRODUCT(分期持仓明细!$AC$23:$AD$23,'实盘净值数据(iFinD）'!$Z559:$AA559/'实盘净值数据(iFinD）'!$Z$65:$AA$65))*(1-实盘持仓初始配置!$Z$7)^(('实盘净值数据(iFinD）'!$A559-'实盘净值数据(iFinD）'!$A$8)/365))</f>
        <v/>
      </c>
      <c r="L559" s="16" t="str">
        <f t="shared" si="51"/>
        <v/>
      </c>
      <c r="M559" s="16" t="str">
        <f>IF(K559="","",K559/MAX(K$5:K559)-1)</f>
        <v/>
      </c>
      <c r="N559" s="13" t="str">
        <f>IF(OR('实盘净值数据(iFinD）'!$A559="",'实盘净值数据(iFinD）'!$B559="",'实盘净值数据(iFinD）'!$Z559="",'实盘净值数据(iFinD）'!$AA559=""),"",分期持仓明细!$AB$24*(SUMPRODUCT(分期持仓明细!$B$24:$Y$24,'实盘净值数据(iFinD）'!$B559:$Y559/'实盘净值数据(iFinD）'!$B$65:$Y$65)+SUMPRODUCT(分期持仓明细!$AC$24:$AD$24,'实盘净值数据(iFinD）'!$Z559:$AA559/'实盘净值数据(iFinD）'!$Z$65:$AA$65))*(1-实盘持仓初始配置!$Z$8)^(('实盘净值数据(iFinD）'!$A559-'实盘净值数据(iFinD）'!$A$5)/365))</f>
        <v/>
      </c>
      <c r="O559" s="16" t="str">
        <f t="shared" si="52"/>
        <v/>
      </c>
      <c r="P559" s="16" t="str">
        <f>IF(N559="","",N559/MAX(N$5:N559)-1)</f>
        <v/>
      </c>
      <c r="Q559" s="13" t="str">
        <f>IF(OR('实盘净值数据(iFinD）'!$A559="",'实盘净值数据(iFinD）'!$B559="",'实盘净值数据(iFinD）'!$Z559="",'实盘净值数据(iFinD）'!$AA559=""),"",分期持仓明细!$AB$25*(SUMPRODUCT(分期持仓明细!$B$25:$Y$25,'实盘净值数据(iFinD）'!$B559:$Y559/'实盘净值数据(iFinD）'!$B$65:$Y$65)+SUMPRODUCT(分期持仓明细!$AC$25:$AD$25,'实盘净值数据(iFinD）'!$Z559:$AA559/'实盘净值数据(iFinD）'!$Z$65:$AA$65))*(1-实盘持仓初始配置!$Z$9)^(('实盘净值数据(iFinD）'!$A559-'实盘净值数据(iFinD）'!$A$8)/365))</f>
        <v/>
      </c>
      <c r="R559" s="16" t="str">
        <f t="shared" si="53"/>
        <v/>
      </c>
      <c r="S559" s="16" t="str">
        <f>IF(Q559="","",Q559/MAX(Q$5:Q559)-1)</f>
        <v/>
      </c>
    </row>
    <row r="560" spans="1:19">
      <c r="A560" s="15" t="str">
        <f>IF('实盘净值数据(iFinD）'!A560="","",'实盘净值数据(iFinD）'!A560)</f>
        <v/>
      </c>
      <c r="B560" s="13" t="str">
        <f>IF(OR('实盘净值数据(iFinD）'!$A560="",'实盘净值数据(iFinD）'!$B560=""),"",分期持仓明细!$AB$17*SUMPRODUCT(分期持仓明细!$B$17:$Y$17,'实盘净值数据(iFinD）'!$B560:$Y560/'实盘净值数据(iFinD）'!$B$20:$Y$20)*(1-实盘持仓初始配置!$Z$4)^(('实盘净值数据(iFinD）'!$A560-'实盘净值数据(iFinD）'!$A$6)/365))</f>
        <v/>
      </c>
      <c r="C560" s="16" t="str">
        <f t="shared" si="48"/>
        <v/>
      </c>
      <c r="D560" s="16" t="str">
        <f>IF(B560="","",B560/MAX(B$5:B560)-1)</f>
        <v/>
      </c>
      <c r="E560" s="13" t="str">
        <f>IF(OR('实盘净值数据(iFinD）'!$A560="",'实盘净值数据(iFinD）'!$B560=""),"",分期持仓明细!$AB$18*SUMPRODUCT(分期持仓明细!$B$18:$Y$18,'实盘净值数据(iFinD）'!$B560:$Y560/'实盘净值数据(iFinD）'!$B$20:$Y$20)*(1-实盘持仓初始配置!$Z$5)^(('实盘净值数据(iFinD）'!$A560-'实盘净值数据(iFinD）'!$A$5)/365))</f>
        <v/>
      </c>
      <c r="F560" s="16" t="str">
        <f t="shared" si="49"/>
        <v/>
      </c>
      <c r="G560" s="16" t="str">
        <f>IF(E560="","",E560/MAX(E$5:E560)-1)</f>
        <v/>
      </c>
      <c r="H560" s="13" t="str">
        <f>IF(OR('实盘净值数据(iFinD）'!$A560="",'实盘净值数据(iFinD）'!$B560=""),"",分期持仓明细!$AB$19*SUMPRODUCT(分期持仓明细!$B$19:$Y$19,'实盘净值数据(iFinD）'!$B560:$Y560/'实盘净值数据(iFinD）'!$B$20:$Y$20)*(1-实盘持仓初始配置!$Z$6)^(('实盘净值数据(iFinD）'!$A560-'实盘净值数据(iFinD）'!$A$7)/365))</f>
        <v/>
      </c>
      <c r="I560" s="16" t="str">
        <f t="shared" si="50"/>
        <v/>
      </c>
      <c r="J560" s="16" t="str">
        <f>IF(H560="","",H560/MAX(H$5:H560)-1)</f>
        <v/>
      </c>
      <c r="K560" s="13" t="str">
        <f>IF(OR('实盘净值数据(iFinD）'!$A560="",'实盘净值数据(iFinD）'!$B560="",'实盘净值数据(iFinD）'!$Z560="",'实盘净值数据(iFinD）'!$AA560=""),"",分期持仓明细!$AB$23*(SUMPRODUCT(分期持仓明细!$B$23:$Y$23,'实盘净值数据(iFinD）'!$B560:$Y560/'实盘净值数据(iFinD）'!$B$65:$Y$65)+SUMPRODUCT(分期持仓明细!$AC$23:$AD$23,'实盘净值数据(iFinD）'!$Z560:$AA560/'实盘净值数据(iFinD）'!$Z$65:$AA$65))*(1-实盘持仓初始配置!$Z$7)^(('实盘净值数据(iFinD）'!$A560-'实盘净值数据(iFinD）'!$A$8)/365))</f>
        <v/>
      </c>
      <c r="L560" s="16" t="str">
        <f t="shared" si="51"/>
        <v/>
      </c>
      <c r="M560" s="16" t="str">
        <f>IF(K560="","",K560/MAX(K$5:K560)-1)</f>
        <v/>
      </c>
      <c r="N560" s="13" t="str">
        <f>IF(OR('实盘净值数据(iFinD）'!$A560="",'实盘净值数据(iFinD）'!$B560="",'实盘净值数据(iFinD）'!$Z560="",'实盘净值数据(iFinD）'!$AA560=""),"",分期持仓明细!$AB$24*(SUMPRODUCT(分期持仓明细!$B$24:$Y$24,'实盘净值数据(iFinD）'!$B560:$Y560/'实盘净值数据(iFinD）'!$B$65:$Y$65)+SUMPRODUCT(分期持仓明细!$AC$24:$AD$24,'实盘净值数据(iFinD）'!$Z560:$AA560/'实盘净值数据(iFinD）'!$Z$65:$AA$65))*(1-实盘持仓初始配置!$Z$8)^(('实盘净值数据(iFinD）'!$A560-'实盘净值数据(iFinD）'!$A$5)/365))</f>
        <v/>
      </c>
      <c r="O560" s="16" t="str">
        <f t="shared" si="52"/>
        <v/>
      </c>
      <c r="P560" s="16" t="str">
        <f>IF(N560="","",N560/MAX(N$5:N560)-1)</f>
        <v/>
      </c>
      <c r="Q560" s="13" t="str">
        <f>IF(OR('实盘净值数据(iFinD）'!$A560="",'实盘净值数据(iFinD）'!$B560="",'实盘净值数据(iFinD）'!$Z560="",'实盘净值数据(iFinD）'!$AA560=""),"",分期持仓明细!$AB$25*(SUMPRODUCT(分期持仓明细!$B$25:$Y$25,'实盘净值数据(iFinD）'!$B560:$Y560/'实盘净值数据(iFinD）'!$B$65:$Y$65)+SUMPRODUCT(分期持仓明细!$AC$25:$AD$25,'实盘净值数据(iFinD）'!$Z560:$AA560/'实盘净值数据(iFinD）'!$Z$65:$AA$65))*(1-实盘持仓初始配置!$Z$9)^(('实盘净值数据(iFinD）'!$A560-'实盘净值数据(iFinD）'!$A$8)/365))</f>
        <v/>
      </c>
      <c r="R560" s="16" t="str">
        <f t="shared" si="53"/>
        <v/>
      </c>
      <c r="S560" s="16" t="str">
        <f>IF(Q560="","",Q560/MAX(Q$5:Q560)-1)</f>
        <v/>
      </c>
    </row>
    <row r="561" spans="1:19">
      <c r="A561" s="15" t="str">
        <f>IF('实盘净值数据(iFinD）'!A561="","",'实盘净值数据(iFinD）'!A561)</f>
        <v/>
      </c>
      <c r="B561" s="13" t="str">
        <f>IF(OR('实盘净值数据(iFinD）'!$A561="",'实盘净值数据(iFinD）'!$B561=""),"",分期持仓明细!$AB$17*SUMPRODUCT(分期持仓明细!$B$17:$Y$17,'实盘净值数据(iFinD）'!$B561:$Y561/'实盘净值数据(iFinD）'!$B$20:$Y$20)*(1-实盘持仓初始配置!$Z$4)^(('实盘净值数据(iFinD）'!$A561-'实盘净值数据(iFinD）'!$A$6)/365))</f>
        <v/>
      </c>
      <c r="C561" s="16" t="str">
        <f t="shared" si="48"/>
        <v/>
      </c>
      <c r="D561" s="16" t="str">
        <f>IF(B561="","",B561/MAX(B$5:B561)-1)</f>
        <v/>
      </c>
      <c r="E561" s="13" t="str">
        <f>IF(OR('实盘净值数据(iFinD）'!$A561="",'实盘净值数据(iFinD）'!$B561=""),"",分期持仓明细!$AB$18*SUMPRODUCT(分期持仓明细!$B$18:$Y$18,'实盘净值数据(iFinD）'!$B561:$Y561/'实盘净值数据(iFinD）'!$B$20:$Y$20)*(1-实盘持仓初始配置!$Z$5)^(('实盘净值数据(iFinD）'!$A561-'实盘净值数据(iFinD）'!$A$5)/365))</f>
        <v/>
      </c>
      <c r="F561" s="16" t="str">
        <f t="shared" si="49"/>
        <v/>
      </c>
      <c r="G561" s="16" t="str">
        <f>IF(E561="","",E561/MAX(E$5:E561)-1)</f>
        <v/>
      </c>
      <c r="H561" s="13" t="str">
        <f>IF(OR('实盘净值数据(iFinD）'!$A561="",'实盘净值数据(iFinD）'!$B561=""),"",分期持仓明细!$AB$19*SUMPRODUCT(分期持仓明细!$B$19:$Y$19,'实盘净值数据(iFinD）'!$B561:$Y561/'实盘净值数据(iFinD）'!$B$20:$Y$20)*(1-实盘持仓初始配置!$Z$6)^(('实盘净值数据(iFinD）'!$A561-'实盘净值数据(iFinD）'!$A$7)/365))</f>
        <v/>
      </c>
      <c r="I561" s="16" t="str">
        <f t="shared" si="50"/>
        <v/>
      </c>
      <c r="J561" s="16" t="str">
        <f>IF(H561="","",H561/MAX(H$5:H561)-1)</f>
        <v/>
      </c>
      <c r="K561" s="13" t="str">
        <f>IF(OR('实盘净值数据(iFinD）'!$A561="",'实盘净值数据(iFinD）'!$B561="",'实盘净值数据(iFinD）'!$Z561="",'实盘净值数据(iFinD）'!$AA561=""),"",分期持仓明细!$AB$23*(SUMPRODUCT(分期持仓明细!$B$23:$Y$23,'实盘净值数据(iFinD）'!$B561:$Y561/'实盘净值数据(iFinD）'!$B$65:$Y$65)+SUMPRODUCT(分期持仓明细!$AC$23:$AD$23,'实盘净值数据(iFinD）'!$Z561:$AA561/'实盘净值数据(iFinD）'!$Z$65:$AA$65))*(1-实盘持仓初始配置!$Z$7)^(('实盘净值数据(iFinD）'!$A561-'实盘净值数据(iFinD）'!$A$8)/365))</f>
        <v/>
      </c>
      <c r="L561" s="16" t="str">
        <f t="shared" si="51"/>
        <v/>
      </c>
      <c r="M561" s="16" t="str">
        <f>IF(K561="","",K561/MAX(K$5:K561)-1)</f>
        <v/>
      </c>
      <c r="N561" s="13" t="str">
        <f>IF(OR('实盘净值数据(iFinD）'!$A561="",'实盘净值数据(iFinD）'!$B561="",'实盘净值数据(iFinD）'!$Z561="",'实盘净值数据(iFinD）'!$AA561=""),"",分期持仓明细!$AB$24*(SUMPRODUCT(分期持仓明细!$B$24:$Y$24,'实盘净值数据(iFinD）'!$B561:$Y561/'实盘净值数据(iFinD）'!$B$65:$Y$65)+SUMPRODUCT(分期持仓明细!$AC$24:$AD$24,'实盘净值数据(iFinD）'!$Z561:$AA561/'实盘净值数据(iFinD）'!$Z$65:$AA$65))*(1-实盘持仓初始配置!$Z$8)^(('实盘净值数据(iFinD）'!$A561-'实盘净值数据(iFinD）'!$A$5)/365))</f>
        <v/>
      </c>
      <c r="O561" s="16" t="str">
        <f t="shared" si="52"/>
        <v/>
      </c>
      <c r="P561" s="16" t="str">
        <f>IF(N561="","",N561/MAX(N$5:N561)-1)</f>
        <v/>
      </c>
      <c r="Q561" s="13" t="str">
        <f>IF(OR('实盘净值数据(iFinD）'!$A561="",'实盘净值数据(iFinD）'!$B561="",'实盘净值数据(iFinD）'!$Z561="",'实盘净值数据(iFinD）'!$AA561=""),"",分期持仓明细!$AB$25*(SUMPRODUCT(分期持仓明细!$B$25:$Y$25,'实盘净值数据(iFinD）'!$B561:$Y561/'实盘净值数据(iFinD）'!$B$65:$Y$65)+SUMPRODUCT(分期持仓明细!$AC$25:$AD$25,'实盘净值数据(iFinD）'!$Z561:$AA561/'实盘净值数据(iFinD）'!$Z$65:$AA$65))*(1-实盘持仓初始配置!$Z$9)^(('实盘净值数据(iFinD）'!$A561-'实盘净值数据(iFinD）'!$A$8)/365))</f>
        <v/>
      </c>
      <c r="R561" s="16" t="str">
        <f t="shared" si="53"/>
        <v/>
      </c>
      <c r="S561" s="16" t="str">
        <f>IF(Q561="","",Q561/MAX(Q$5:Q561)-1)</f>
        <v/>
      </c>
    </row>
    <row r="562" spans="1:19">
      <c r="A562" s="15" t="str">
        <f>IF('实盘净值数据(iFinD）'!A562="","",'实盘净值数据(iFinD）'!A562)</f>
        <v/>
      </c>
      <c r="B562" s="13" t="str">
        <f>IF(OR('实盘净值数据(iFinD）'!$A562="",'实盘净值数据(iFinD）'!$B562=""),"",分期持仓明细!$AB$17*SUMPRODUCT(分期持仓明细!$B$17:$Y$17,'实盘净值数据(iFinD）'!$B562:$Y562/'实盘净值数据(iFinD）'!$B$20:$Y$20)*(1-实盘持仓初始配置!$Z$4)^(('实盘净值数据(iFinD）'!$A562-'实盘净值数据(iFinD）'!$A$6)/365))</f>
        <v/>
      </c>
      <c r="C562" s="16" t="str">
        <f t="shared" si="48"/>
        <v/>
      </c>
      <c r="D562" s="16" t="str">
        <f>IF(B562="","",B562/MAX(B$5:B562)-1)</f>
        <v/>
      </c>
      <c r="E562" s="13" t="str">
        <f>IF(OR('实盘净值数据(iFinD）'!$A562="",'实盘净值数据(iFinD）'!$B562=""),"",分期持仓明细!$AB$18*SUMPRODUCT(分期持仓明细!$B$18:$Y$18,'实盘净值数据(iFinD）'!$B562:$Y562/'实盘净值数据(iFinD）'!$B$20:$Y$20)*(1-实盘持仓初始配置!$Z$5)^(('实盘净值数据(iFinD）'!$A562-'实盘净值数据(iFinD）'!$A$5)/365))</f>
        <v/>
      </c>
      <c r="F562" s="16" t="str">
        <f t="shared" si="49"/>
        <v/>
      </c>
      <c r="G562" s="16" t="str">
        <f>IF(E562="","",E562/MAX(E$5:E562)-1)</f>
        <v/>
      </c>
      <c r="H562" s="13" t="str">
        <f>IF(OR('实盘净值数据(iFinD）'!$A562="",'实盘净值数据(iFinD）'!$B562=""),"",分期持仓明细!$AB$19*SUMPRODUCT(分期持仓明细!$B$19:$Y$19,'实盘净值数据(iFinD）'!$B562:$Y562/'实盘净值数据(iFinD）'!$B$20:$Y$20)*(1-实盘持仓初始配置!$Z$6)^(('实盘净值数据(iFinD）'!$A562-'实盘净值数据(iFinD）'!$A$7)/365))</f>
        <v/>
      </c>
      <c r="I562" s="16" t="str">
        <f t="shared" si="50"/>
        <v/>
      </c>
      <c r="J562" s="16" t="str">
        <f>IF(H562="","",H562/MAX(H$5:H562)-1)</f>
        <v/>
      </c>
      <c r="K562" s="13" t="str">
        <f>IF(OR('实盘净值数据(iFinD）'!$A562="",'实盘净值数据(iFinD）'!$B562="",'实盘净值数据(iFinD）'!$Z562="",'实盘净值数据(iFinD）'!$AA562=""),"",分期持仓明细!$AB$23*(SUMPRODUCT(分期持仓明细!$B$23:$Y$23,'实盘净值数据(iFinD）'!$B562:$Y562/'实盘净值数据(iFinD）'!$B$65:$Y$65)+SUMPRODUCT(分期持仓明细!$AC$23:$AD$23,'实盘净值数据(iFinD）'!$Z562:$AA562/'实盘净值数据(iFinD）'!$Z$65:$AA$65))*(1-实盘持仓初始配置!$Z$7)^(('实盘净值数据(iFinD）'!$A562-'实盘净值数据(iFinD）'!$A$8)/365))</f>
        <v/>
      </c>
      <c r="L562" s="16" t="str">
        <f t="shared" si="51"/>
        <v/>
      </c>
      <c r="M562" s="16" t="str">
        <f>IF(K562="","",K562/MAX(K$5:K562)-1)</f>
        <v/>
      </c>
      <c r="N562" s="13" t="str">
        <f>IF(OR('实盘净值数据(iFinD）'!$A562="",'实盘净值数据(iFinD）'!$B562="",'实盘净值数据(iFinD）'!$Z562="",'实盘净值数据(iFinD）'!$AA562=""),"",分期持仓明细!$AB$24*(SUMPRODUCT(分期持仓明细!$B$24:$Y$24,'实盘净值数据(iFinD）'!$B562:$Y562/'实盘净值数据(iFinD）'!$B$65:$Y$65)+SUMPRODUCT(分期持仓明细!$AC$24:$AD$24,'实盘净值数据(iFinD）'!$Z562:$AA562/'实盘净值数据(iFinD）'!$Z$65:$AA$65))*(1-实盘持仓初始配置!$Z$8)^(('实盘净值数据(iFinD）'!$A562-'实盘净值数据(iFinD）'!$A$5)/365))</f>
        <v/>
      </c>
      <c r="O562" s="16" t="str">
        <f t="shared" si="52"/>
        <v/>
      </c>
      <c r="P562" s="16" t="str">
        <f>IF(N562="","",N562/MAX(N$5:N562)-1)</f>
        <v/>
      </c>
      <c r="Q562" s="13" t="str">
        <f>IF(OR('实盘净值数据(iFinD）'!$A562="",'实盘净值数据(iFinD）'!$B562="",'实盘净值数据(iFinD）'!$Z562="",'实盘净值数据(iFinD）'!$AA562=""),"",分期持仓明细!$AB$25*(SUMPRODUCT(分期持仓明细!$B$25:$Y$25,'实盘净值数据(iFinD）'!$B562:$Y562/'实盘净值数据(iFinD）'!$B$65:$Y$65)+SUMPRODUCT(分期持仓明细!$AC$25:$AD$25,'实盘净值数据(iFinD）'!$Z562:$AA562/'实盘净值数据(iFinD）'!$Z$65:$AA$65))*(1-实盘持仓初始配置!$Z$9)^(('实盘净值数据(iFinD）'!$A562-'实盘净值数据(iFinD）'!$A$8)/365))</f>
        <v/>
      </c>
      <c r="R562" s="16" t="str">
        <f t="shared" si="53"/>
        <v/>
      </c>
      <c r="S562" s="16" t="str">
        <f>IF(Q562="","",Q562/MAX(Q$5:Q562)-1)</f>
        <v/>
      </c>
    </row>
    <row r="563" spans="1:19">
      <c r="A563" s="15" t="str">
        <f>IF('实盘净值数据(iFinD）'!A563="","",'实盘净值数据(iFinD）'!A563)</f>
        <v/>
      </c>
      <c r="B563" s="13" t="str">
        <f>IF(OR('实盘净值数据(iFinD）'!$A563="",'实盘净值数据(iFinD）'!$B563=""),"",分期持仓明细!$AB$17*SUMPRODUCT(分期持仓明细!$B$17:$Y$17,'实盘净值数据(iFinD）'!$B563:$Y563/'实盘净值数据(iFinD）'!$B$20:$Y$20)*(1-实盘持仓初始配置!$Z$4)^(('实盘净值数据(iFinD）'!$A563-'实盘净值数据(iFinD）'!$A$6)/365))</f>
        <v/>
      </c>
      <c r="C563" s="16" t="str">
        <f t="shared" si="48"/>
        <v/>
      </c>
      <c r="D563" s="16" t="str">
        <f>IF(B563="","",B563/MAX(B$5:B563)-1)</f>
        <v/>
      </c>
      <c r="E563" s="13" t="str">
        <f>IF(OR('实盘净值数据(iFinD）'!$A563="",'实盘净值数据(iFinD）'!$B563=""),"",分期持仓明细!$AB$18*SUMPRODUCT(分期持仓明细!$B$18:$Y$18,'实盘净值数据(iFinD）'!$B563:$Y563/'实盘净值数据(iFinD）'!$B$20:$Y$20)*(1-实盘持仓初始配置!$Z$5)^(('实盘净值数据(iFinD）'!$A563-'实盘净值数据(iFinD）'!$A$5)/365))</f>
        <v/>
      </c>
      <c r="F563" s="16" t="str">
        <f t="shared" si="49"/>
        <v/>
      </c>
      <c r="G563" s="16" t="str">
        <f>IF(E563="","",E563/MAX(E$5:E563)-1)</f>
        <v/>
      </c>
      <c r="H563" s="13" t="str">
        <f>IF(OR('实盘净值数据(iFinD）'!$A563="",'实盘净值数据(iFinD）'!$B563=""),"",分期持仓明细!$AB$19*SUMPRODUCT(分期持仓明细!$B$19:$Y$19,'实盘净值数据(iFinD）'!$B563:$Y563/'实盘净值数据(iFinD）'!$B$20:$Y$20)*(1-实盘持仓初始配置!$Z$6)^(('实盘净值数据(iFinD）'!$A563-'实盘净值数据(iFinD）'!$A$7)/365))</f>
        <v/>
      </c>
      <c r="I563" s="16" t="str">
        <f t="shared" si="50"/>
        <v/>
      </c>
      <c r="J563" s="16" t="str">
        <f>IF(H563="","",H563/MAX(H$5:H563)-1)</f>
        <v/>
      </c>
      <c r="K563" s="13" t="str">
        <f>IF(OR('实盘净值数据(iFinD）'!$A563="",'实盘净值数据(iFinD）'!$B563="",'实盘净值数据(iFinD）'!$Z563="",'实盘净值数据(iFinD）'!$AA563=""),"",分期持仓明细!$AB$23*(SUMPRODUCT(分期持仓明细!$B$23:$Y$23,'实盘净值数据(iFinD）'!$B563:$Y563/'实盘净值数据(iFinD）'!$B$65:$Y$65)+SUMPRODUCT(分期持仓明细!$AC$23:$AD$23,'实盘净值数据(iFinD）'!$Z563:$AA563/'实盘净值数据(iFinD）'!$Z$65:$AA$65))*(1-实盘持仓初始配置!$Z$7)^(('实盘净值数据(iFinD）'!$A563-'实盘净值数据(iFinD）'!$A$8)/365))</f>
        <v/>
      </c>
      <c r="L563" s="16" t="str">
        <f t="shared" si="51"/>
        <v/>
      </c>
      <c r="M563" s="16" t="str">
        <f>IF(K563="","",K563/MAX(K$5:K563)-1)</f>
        <v/>
      </c>
      <c r="N563" s="13" t="str">
        <f>IF(OR('实盘净值数据(iFinD）'!$A563="",'实盘净值数据(iFinD）'!$B563="",'实盘净值数据(iFinD）'!$Z563="",'实盘净值数据(iFinD）'!$AA563=""),"",分期持仓明细!$AB$24*(SUMPRODUCT(分期持仓明细!$B$24:$Y$24,'实盘净值数据(iFinD）'!$B563:$Y563/'实盘净值数据(iFinD）'!$B$65:$Y$65)+SUMPRODUCT(分期持仓明细!$AC$24:$AD$24,'实盘净值数据(iFinD）'!$Z563:$AA563/'实盘净值数据(iFinD）'!$Z$65:$AA$65))*(1-实盘持仓初始配置!$Z$8)^(('实盘净值数据(iFinD）'!$A563-'实盘净值数据(iFinD）'!$A$5)/365))</f>
        <v/>
      </c>
      <c r="O563" s="16" t="str">
        <f t="shared" si="52"/>
        <v/>
      </c>
      <c r="P563" s="16" t="str">
        <f>IF(N563="","",N563/MAX(N$5:N563)-1)</f>
        <v/>
      </c>
      <c r="Q563" s="13" t="str">
        <f>IF(OR('实盘净值数据(iFinD）'!$A563="",'实盘净值数据(iFinD）'!$B563="",'实盘净值数据(iFinD）'!$Z563="",'实盘净值数据(iFinD）'!$AA563=""),"",分期持仓明细!$AB$25*(SUMPRODUCT(分期持仓明细!$B$25:$Y$25,'实盘净值数据(iFinD）'!$B563:$Y563/'实盘净值数据(iFinD）'!$B$65:$Y$65)+SUMPRODUCT(分期持仓明细!$AC$25:$AD$25,'实盘净值数据(iFinD）'!$Z563:$AA563/'实盘净值数据(iFinD）'!$Z$65:$AA$65))*(1-实盘持仓初始配置!$Z$9)^(('实盘净值数据(iFinD）'!$A563-'实盘净值数据(iFinD）'!$A$8)/365))</f>
        <v/>
      </c>
      <c r="R563" s="16" t="str">
        <f t="shared" si="53"/>
        <v/>
      </c>
      <c r="S563" s="16" t="str">
        <f>IF(Q563="","",Q563/MAX(Q$5:Q563)-1)</f>
        <v/>
      </c>
    </row>
    <row r="564" spans="1:19">
      <c r="A564" s="15" t="str">
        <f>IF('实盘净值数据(iFinD）'!A564="","",'实盘净值数据(iFinD）'!A564)</f>
        <v/>
      </c>
      <c r="B564" s="13" t="str">
        <f>IF(OR('实盘净值数据(iFinD）'!$A564="",'实盘净值数据(iFinD）'!$B564=""),"",分期持仓明细!$AB$17*SUMPRODUCT(分期持仓明细!$B$17:$Y$17,'实盘净值数据(iFinD）'!$B564:$Y564/'实盘净值数据(iFinD）'!$B$20:$Y$20)*(1-实盘持仓初始配置!$Z$4)^(('实盘净值数据(iFinD）'!$A564-'实盘净值数据(iFinD）'!$A$6)/365))</f>
        <v/>
      </c>
      <c r="C564" s="16" t="str">
        <f t="shared" si="48"/>
        <v/>
      </c>
      <c r="D564" s="16" t="str">
        <f>IF(B564="","",B564/MAX(B$5:B564)-1)</f>
        <v/>
      </c>
      <c r="E564" s="13" t="str">
        <f>IF(OR('实盘净值数据(iFinD）'!$A564="",'实盘净值数据(iFinD）'!$B564=""),"",分期持仓明细!$AB$18*SUMPRODUCT(分期持仓明细!$B$18:$Y$18,'实盘净值数据(iFinD）'!$B564:$Y564/'实盘净值数据(iFinD）'!$B$20:$Y$20)*(1-实盘持仓初始配置!$Z$5)^(('实盘净值数据(iFinD）'!$A564-'实盘净值数据(iFinD）'!$A$5)/365))</f>
        <v/>
      </c>
      <c r="F564" s="16" t="str">
        <f t="shared" si="49"/>
        <v/>
      </c>
      <c r="G564" s="16" t="str">
        <f>IF(E564="","",E564/MAX(E$5:E564)-1)</f>
        <v/>
      </c>
      <c r="H564" s="13" t="str">
        <f>IF(OR('实盘净值数据(iFinD）'!$A564="",'实盘净值数据(iFinD）'!$B564=""),"",分期持仓明细!$AB$19*SUMPRODUCT(分期持仓明细!$B$19:$Y$19,'实盘净值数据(iFinD）'!$B564:$Y564/'实盘净值数据(iFinD）'!$B$20:$Y$20)*(1-实盘持仓初始配置!$Z$6)^(('实盘净值数据(iFinD）'!$A564-'实盘净值数据(iFinD）'!$A$7)/365))</f>
        <v/>
      </c>
      <c r="I564" s="16" t="str">
        <f t="shared" si="50"/>
        <v/>
      </c>
      <c r="J564" s="16" t="str">
        <f>IF(H564="","",H564/MAX(H$5:H564)-1)</f>
        <v/>
      </c>
      <c r="K564" s="13" t="str">
        <f>IF(OR('实盘净值数据(iFinD）'!$A564="",'实盘净值数据(iFinD）'!$B564="",'实盘净值数据(iFinD）'!$Z564="",'实盘净值数据(iFinD）'!$AA564=""),"",分期持仓明细!$AB$23*(SUMPRODUCT(分期持仓明细!$B$23:$Y$23,'实盘净值数据(iFinD）'!$B564:$Y564/'实盘净值数据(iFinD）'!$B$65:$Y$65)+SUMPRODUCT(分期持仓明细!$AC$23:$AD$23,'实盘净值数据(iFinD）'!$Z564:$AA564/'实盘净值数据(iFinD）'!$Z$65:$AA$65))*(1-实盘持仓初始配置!$Z$7)^(('实盘净值数据(iFinD）'!$A564-'实盘净值数据(iFinD）'!$A$8)/365))</f>
        <v/>
      </c>
      <c r="L564" s="16" t="str">
        <f t="shared" si="51"/>
        <v/>
      </c>
      <c r="M564" s="16" t="str">
        <f>IF(K564="","",K564/MAX(K$5:K564)-1)</f>
        <v/>
      </c>
      <c r="N564" s="13" t="str">
        <f>IF(OR('实盘净值数据(iFinD）'!$A564="",'实盘净值数据(iFinD）'!$B564="",'实盘净值数据(iFinD）'!$Z564="",'实盘净值数据(iFinD）'!$AA564=""),"",分期持仓明细!$AB$24*(SUMPRODUCT(分期持仓明细!$B$24:$Y$24,'实盘净值数据(iFinD）'!$B564:$Y564/'实盘净值数据(iFinD）'!$B$65:$Y$65)+SUMPRODUCT(分期持仓明细!$AC$24:$AD$24,'实盘净值数据(iFinD）'!$Z564:$AA564/'实盘净值数据(iFinD）'!$Z$65:$AA$65))*(1-实盘持仓初始配置!$Z$8)^(('实盘净值数据(iFinD）'!$A564-'实盘净值数据(iFinD）'!$A$5)/365))</f>
        <v/>
      </c>
      <c r="O564" s="16" t="str">
        <f t="shared" si="52"/>
        <v/>
      </c>
      <c r="P564" s="16" t="str">
        <f>IF(N564="","",N564/MAX(N$5:N564)-1)</f>
        <v/>
      </c>
      <c r="Q564" s="13" t="str">
        <f>IF(OR('实盘净值数据(iFinD）'!$A564="",'实盘净值数据(iFinD）'!$B564="",'实盘净值数据(iFinD）'!$Z564="",'实盘净值数据(iFinD）'!$AA564=""),"",分期持仓明细!$AB$25*(SUMPRODUCT(分期持仓明细!$B$25:$Y$25,'实盘净值数据(iFinD）'!$B564:$Y564/'实盘净值数据(iFinD）'!$B$65:$Y$65)+SUMPRODUCT(分期持仓明细!$AC$25:$AD$25,'实盘净值数据(iFinD）'!$Z564:$AA564/'实盘净值数据(iFinD）'!$Z$65:$AA$65))*(1-实盘持仓初始配置!$Z$9)^(('实盘净值数据(iFinD）'!$A564-'实盘净值数据(iFinD）'!$A$8)/365))</f>
        <v/>
      </c>
      <c r="R564" s="16" t="str">
        <f t="shared" si="53"/>
        <v/>
      </c>
      <c r="S564" s="16" t="str">
        <f>IF(Q564="","",Q564/MAX(Q$5:Q564)-1)</f>
        <v/>
      </c>
    </row>
    <row r="565" spans="1:19">
      <c r="A565" s="15" t="str">
        <f>IF('实盘净值数据(iFinD）'!A565="","",'实盘净值数据(iFinD）'!A565)</f>
        <v/>
      </c>
      <c r="B565" s="13" t="str">
        <f>IF(OR('实盘净值数据(iFinD）'!$A565="",'实盘净值数据(iFinD）'!$B565=""),"",分期持仓明细!$AB$17*SUMPRODUCT(分期持仓明细!$B$17:$Y$17,'实盘净值数据(iFinD）'!$B565:$Y565/'实盘净值数据(iFinD）'!$B$20:$Y$20)*(1-实盘持仓初始配置!$Z$4)^(('实盘净值数据(iFinD）'!$A565-'实盘净值数据(iFinD）'!$A$6)/365))</f>
        <v/>
      </c>
      <c r="C565" s="16" t="str">
        <f t="shared" si="48"/>
        <v/>
      </c>
      <c r="D565" s="16" t="str">
        <f>IF(B565="","",B565/MAX(B$5:B565)-1)</f>
        <v/>
      </c>
      <c r="E565" s="13" t="str">
        <f>IF(OR('实盘净值数据(iFinD）'!$A565="",'实盘净值数据(iFinD）'!$B565=""),"",分期持仓明细!$AB$18*SUMPRODUCT(分期持仓明细!$B$18:$Y$18,'实盘净值数据(iFinD）'!$B565:$Y565/'实盘净值数据(iFinD）'!$B$20:$Y$20)*(1-实盘持仓初始配置!$Z$5)^(('实盘净值数据(iFinD）'!$A565-'实盘净值数据(iFinD）'!$A$5)/365))</f>
        <v/>
      </c>
      <c r="F565" s="16" t="str">
        <f t="shared" si="49"/>
        <v/>
      </c>
      <c r="G565" s="16" t="str">
        <f>IF(E565="","",E565/MAX(E$5:E565)-1)</f>
        <v/>
      </c>
      <c r="H565" s="13" t="str">
        <f>IF(OR('实盘净值数据(iFinD）'!$A565="",'实盘净值数据(iFinD）'!$B565=""),"",分期持仓明细!$AB$19*SUMPRODUCT(分期持仓明细!$B$19:$Y$19,'实盘净值数据(iFinD）'!$B565:$Y565/'实盘净值数据(iFinD）'!$B$20:$Y$20)*(1-实盘持仓初始配置!$Z$6)^(('实盘净值数据(iFinD）'!$A565-'实盘净值数据(iFinD）'!$A$7)/365))</f>
        <v/>
      </c>
      <c r="I565" s="16" t="str">
        <f t="shared" si="50"/>
        <v/>
      </c>
      <c r="J565" s="16" t="str">
        <f>IF(H565="","",H565/MAX(H$5:H565)-1)</f>
        <v/>
      </c>
      <c r="K565" s="13" t="str">
        <f>IF(OR('实盘净值数据(iFinD）'!$A565="",'实盘净值数据(iFinD）'!$B565="",'实盘净值数据(iFinD）'!$Z565="",'实盘净值数据(iFinD）'!$AA565=""),"",分期持仓明细!$AB$23*(SUMPRODUCT(分期持仓明细!$B$23:$Y$23,'实盘净值数据(iFinD）'!$B565:$Y565/'实盘净值数据(iFinD）'!$B$65:$Y$65)+SUMPRODUCT(分期持仓明细!$AC$23:$AD$23,'实盘净值数据(iFinD）'!$Z565:$AA565/'实盘净值数据(iFinD）'!$Z$65:$AA$65))*(1-实盘持仓初始配置!$Z$7)^(('实盘净值数据(iFinD）'!$A565-'实盘净值数据(iFinD）'!$A$8)/365))</f>
        <v/>
      </c>
      <c r="L565" s="16" t="str">
        <f t="shared" si="51"/>
        <v/>
      </c>
      <c r="M565" s="16" t="str">
        <f>IF(K565="","",K565/MAX(K$5:K565)-1)</f>
        <v/>
      </c>
      <c r="N565" s="13" t="str">
        <f>IF(OR('实盘净值数据(iFinD）'!$A565="",'实盘净值数据(iFinD）'!$B565="",'实盘净值数据(iFinD）'!$Z565="",'实盘净值数据(iFinD）'!$AA565=""),"",分期持仓明细!$AB$24*(SUMPRODUCT(分期持仓明细!$B$24:$Y$24,'实盘净值数据(iFinD）'!$B565:$Y565/'实盘净值数据(iFinD）'!$B$65:$Y$65)+SUMPRODUCT(分期持仓明细!$AC$24:$AD$24,'实盘净值数据(iFinD）'!$Z565:$AA565/'实盘净值数据(iFinD）'!$Z$65:$AA$65))*(1-实盘持仓初始配置!$Z$8)^(('实盘净值数据(iFinD）'!$A565-'实盘净值数据(iFinD）'!$A$5)/365))</f>
        <v/>
      </c>
      <c r="O565" s="16" t="str">
        <f t="shared" si="52"/>
        <v/>
      </c>
      <c r="P565" s="16" t="str">
        <f>IF(N565="","",N565/MAX(N$5:N565)-1)</f>
        <v/>
      </c>
      <c r="Q565" s="13" t="str">
        <f>IF(OR('实盘净值数据(iFinD）'!$A565="",'实盘净值数据(iFinD）'!$B565="",'实盘净值数据(iFinD）'!$Z565="",'实盘净值数据(iFinD）'!$AA565=""),"",分期持仓明细!$AB$25*(SUMPRODUCT(分期持仓明细!$B$25:$Y$25,'实盘净值数据(iFinD）'!$B565:$Y565/'实盘净值数据(iFinD）'!$B$65:$Y$65)+SUMPRODUCT(分期持仓明细!$AC$25:$AD$25,'实盘净值数据(iFinD）'!$Z565:$AA565/'实盘净值数据(iFinD）'!$Z$65:$AA$65))*(1-实盘持仓初始配置!$Z$9)^(('实盘净值数据(iFinD）'!$A565-'实盘净值数据(iFinD）'!$A$8)/365))</f>
        <v/>
      </c>
      <c r="R565" s="16" t="str">
        <f t="shared" si="53"/>
        <v/>
      </c>
      <c r="S565" s="16" t="str">
        <f>IF(Q565="","",Q565/MAX(Q$5:Q565)-1)</f>
        <v/>
      </c>
    </row>
    <row r="566" spans="1:19">
      <c r="A566" s="15" t="str">
        <f>IF('实盘净值数据(iFinD）'!A566="","",'实盘净值数据(iFinD）'!A566)</f>
        <v/>
      </c>
      <c r="B566" s="13" t="str">
        <f>IF(OR('实盘净值数据(iFinD）'!$A566="",'实盘净值数据(iFinD）'!$B566=""),"",分期持仓明细!$AB$17*SUMPRODUCT(分期持仓明细!$B$17:$Y$17,'实盘净值数据(iFinD）'!$B566:$Y566/'实盘净值数据(iFinD）'!$B$20:$Y$20)*(1-实盘持仓初始配置!$Z$4)^(('实盘净值数据(iFinD）'!$A566-'实盘净值数据(iFinD）'!$A$6)/365))</f>
        <v/>
      </c>
      <c r="C566" s="16" t="str">
        <f t="shared" si="48"/>
        <v/>
      </c>
      <c r="D566" s="16" t="str">
        <f>IF(B566="","",B566/MAX(B$5:B566)-1)</f>
        <v/>
      </c>
      <c r="E566" s="13" t="str">
        <f>IF(OR('实盘净值数据(iFinD）'!$A566="",'实盘净值数据(iFinD）'!$B566=""),"",分期持仓明细!$AB$18*SUMPRODUCT(分期持仓明细!$B$18:$Y$18,'实盘净值数据(iFinD）'!$B566:$Y566/'实盘净值数据(iFinD）'!$B$20:$Y$20)*(1-实盘持仓初始配置!$Z$5)^(('实盘净值数据(iFinD）'!$A566-'实盘净值数据(iFinD）'!$A$5)/365))</f>
        <v/>
      </c>
      <c r="F566" s="16" t="str">
        <f t="shared" si="49"/>
        <v/>
      </c>
      <c r="G566" s="16" t="str">
        <f>IF(E566="","",E566/MAX(E$5:E566)-1)</f>
        <v/>
      </c>
      <c r="H566" s="13" t="str">
        <f>IF(OR('实盘净值数据(iFinD）'!$A566="",'实盘净值数据(iFinD）'!$B566=""),"",分期持仓明细!$AB$19*SUMPRODUCT(分期持仓明细!$B$19:$Y$19,'实盘净值数据(iFinD）'!$B566:$Y566/'实盘净值数据(iFinD）'!$B$20:$Y$20)*(1-实盘持仓初始配置!$Z$6)^(('实盘净值数据(iFinD）'!$A566-'实盘净值数据(iFinD）'!$A$7)/365))</f>
        <v/>
      </c>
      <c r="I566" s="16" t="str">
        <f t="shared" si="50"/>
        <v/>
      </c>
      <c r="J566" s="16" t="str">
        <f>IF(H566="","",H566/MAX(H$5:H566)-1)</f>
        <v/>
      </c>
      <c r="K566" s="13" t="str">
        <f>IF(OR('实盘净值数据(iFinD）'!$A566="",'实盘净值数据(iFinD）'!$B566="",'实盘净值数据(iFinD）'!$Z566="",'实盘净值数据(iFinD）'!$AA566=""),"",分期持仓明细!$AB$23*(SUMPRODUCT(分期持仓明细!$B$23:$Y$23,'实盘净值数据(iFinD）'!$B566:$Y566/'实盘净值数据(iFinD）'!$B$65:$Y$65)+SUMPRODUCT(分期持仓明细!$AC$23:$AD$23,'实盘净值数据(iFinD）'!$Z566:$AA566/'实盘净值数据(iFinD）'!$Z$65:$AA$65))*(1-实盘持仓初始配置!$Z$7)^(('实盘净值数据(iFinD）'!$A566-'实盘净值数据(iFinD）'!$A$8)/365))</f>
        <v/>
      </c>
      <c r="L566" s="16" t="str">
        <f t="shared" si="51"/>
        <v/>
      </c>
      <c r="M566" s="16" t="str">
        <f>IF(K566="","",K566/MAX(K$5:K566)-1)</f>
        <v/>
      </c>
      <c r="N566" s="13" t="str">
        <f>IF(OR('实盘净值数据(iFinD）'!$A566="",'实盘净值数据(iFinD）'!$B566="",'实盘净值数据(iFinD）'!$Z566="",'实盘净值数据(iFinD）'!$AA566=""),"",分期持仓明细!$AB$24*(SUMPRODUCT(分期持仓明细!$B$24:$Y$24,'实盘净值数据(iFinD）'!$B566:$Y566/'实盘净值数据(iFinD）'!$B$65:$Y$65)+SUMPRODUCT(分期持仓明细!$AC$24:$AD$24,'实盘净值数据(iFinD）'!$Z566:$AA566/'实盘净值数据(iFinD）'!$Z$65:$AA$65))*(1-实盘持仓初始配置!$Z$8)^(('实盘净值数据(iFinD）'!$A566-'实盘净值数据(iFinD）'!$A$5)/365))</f>
        <v/>
      </c>
      <c r="O566" s="16" t="str">
        <f t="shared" si="52"/>
        <v/>
      </c>
      <c r="P566" s="16" t="str">
        <f>IF(N566="","",N566/MAX(N$5:N566)-1)</f>
        <v/>
      </c>
      <c r="Q566" s="13" t="str">
        <f>IF(OR('实盘净值数据(iFinD）'!$A566="",'实盘净值数据(iFinD）'!$B566="",'实盘净值数据(iFinD）'!$Z566="",'实盘净值数据(iFinD）'!$AA566=""),"",分期持仓明细!$AB$25*(SUMPRODUCT(分期持仓明细!$B$25:$Y$25,'实盘净值数据(iFinD）'!$B566:$Y566/'实盘净值数据(iFinD）'!$B$65:$Y$65)+SUMPRODUCT(分期持仓明细!$AC$25:$AD$25,'实盘净值数据(iFinD）'!$Z566:$AA566/'实盘净值数据(iFinD）'!$Z$65:$AA$65))*(1-实盘持仓初始配置!$Z$9)^(('实盘净值数据(iFinD）'!$A566-'实盘净值数据(iFinD）'!$A$8)/365))</f>
        <v/>
      </c>
      <c r="R566" s="16" t="str">
        <f t="shared" si="53"/>
        <v/>
      </c>
      <c r="S566" s="16" t="str">
        <f>IF(Q566="","",Q566/MAX(Q$5:Q566)-1)</f>
        <v/>
      </c>
    </row>
    <row r="567" spans="1:19">
      <c r="A567" s="15" t="str">
        <f>IF('实盘净值数据(iFinD）'!A567="","",'实盘净值数据(iFinD）'!A567)</f>
        <v/>
      </c>
      <c r="B567" s="13" t="str">
        <f>IF(OR('实盘净值数据(iFinD）'!$A567="",'实盘净值数据(iFinD）'!$B567=""),"",分期持仓明细!$AB$17*SUMPRODUCT(分期持仓明细!$B$17:$Y$17,'实盘净值数据(iFinD）'!$B567:$Y567/'实盘净值数据(iFinD）'!$B$20:$Y$20)*(1-实盘持仓初始配置!$Z$4)^(('实盘净值数据(iFinD）'!$A567-'实盘净值数据(iFinD）'!$A$6)/365))</f>
        <v/>
      </c>
      <c r="C567" s="16" t="str">
        <f t="shared" si="48"/>
        <v/>
      </c>
      <c r="D567" s="16" t="str">
        <f>IF(B567="","",B567/MAX(B$5:B567)-1)</f>
        <v/>
      </c>
      <c r="E567" s="13" t="str">
        <f>IF(OR('实盘净值数据(iFinD）'!$A567="",'实盘净值数据(iFinD）'!$B567=""),"",分期持仓明细!$AB$18*SUMPRODUCT(分期持仓明细!$B$18:$Y$18,'实盘净值数据(iFinD）'!$B567:$Y567/'实盘净值数据(iFinD）'!$B$20:$Y$20)*(1-实盘持仓初始配置!$Z$5)^(('实盘净值数据(iFinD）'!$A567-'实盘净值数据(iFinD）'!$A$5)/365))</f>
        <v/>
      </c>
      <c r="F567" s="16" t="str">
        <f t="shared" si="49"/>
        <v/>
      </c>
      <c r="G567" s="16" t="str">
        <f>IF(E567="","",E567/MAX(E$5:E567)-1)</f>
        <v/>
      </c>
      <c r="H567" s="13" t="str">
        <f>IF(OR('实盘净值数据(iFinD）'!$A567="",'实盘净值数据(iFinD）'!$B567=""),"",分期持仓明细!$AB$19*SUMPRODUCT(分期持仓明细!$B$19:$Y$19,'实盘净值数据(iFinD）'!$B567:$Y567/'实盘净值数据(iFinD）'!$B$20:$Y$20)*(1-实盘持仓初始配置!$Z$6)^(('实盘净值数据(iFinD）'!$A567-'实盘净值数据(iFinD）'!$A$7)/365))</f>
        <v/>
      </c>
      <c r="I567" s="16" t="str">
        <f t="shared" si="50"/>
        <v/>
      </c>
      <c r="J567" s="16" t="str">
        <f>IF(H567="","",H567/MAX(H$5:H567)-1)</f>
        <v/>
      </c>
      <c r="K567" s="13" t="str">
        <f>IF(OR('实盘净值数据(iFinD）'!$A567="",'实盘净值数据(iFinD）'!$B567="",'实盘净值数据(iFinD）'!$Z567="",'实盘净值数据(iFinD）'!$AA567=""),"",分期持仓明细!$AB$23*(SUMPRODUCT(分期持仓明细!$B$23:$Y$23,'实盘净值数据(iFinD）'!$B567:$Y567/'实盘净值数据(iFinD）'!$B$65:$Y$65)+SUMPRODUCT(分期持仓明细!$AC$23:$AD$23,'实盘净值数据(iFinD）'!$Z567:$AA567/'实盘净值数据(iFinD）'!$Z$65:$AA$65))*(1-实盘持仓初始配置!$Z$7)^(('实盘净值数据(iFinD）'!$A567-'实盘净值数据(iFinD）'!$A$8)/365))</f>
        <v/>
      </c>
      <c r="L567" s="16" t="str">
        <f t="shared" si="51"/>
        <v/>
      </c>
      <c r="M567" s="16" t="str">
        <f>IF(K567="","",K567/MAX(K$5:K567)-1)</f>
        <v/>
      </c>
      <c r="N567" s="13" t="str">
        <f>IF(OR('实盘净值数据(iFinD）'!$A567="",'实盘净值数据(iFinD）'!$B567="",'实盘净值数据(iFinD）'!$Z567="",'实盘净值数据(iFinD）'!$AA567=""),"",分期持仓明细!$AB$24*(SUMPRODUCT(分期持仓明细!$B$24:$Y$24,'实盘净值数据(iFinD）'!$B567:$Y567/'实盘净值数据(iFinD）'!$B$65:$Y$65)+SUMPRODUCT(分期持仓明细!$AC$24:$AD$24,'实盘净值数据(iFinD）'!$Z567:$AA567/'实盘净值数据(iFinD）'!$Z$65:$AA$65))*(1-实盘持仓初始配置!$Z$8)^(('实盘净值数据(iFinD）'!$A567-'实盘净值数据(iFinD）'!$A$5)/365))</f>
        <v/>
      </c>
      <c r="O567" s="16" t="str">
        <f t="shared" si="52"/>
        <v/>
      </c>
      <c r="P567" s="16" t="str">
        <f>IF(N567="","",N567/MAX(N$5:N567)-1)</f>
        <v/>
      </c>
      <c r="Q567" s="13" t="str">
        <f>IF(OR('实盘净值数据(iFinD）'!$A567="",'实盘净值数据(iFinD）'!$B567="",'实盘净值数据(iFinD）'!$Z567="",'实盘净值数据(iFinD）'!$AA567=""),"",分期持仓明细!$AB$25*(SUMPRODUCT(分期持仓明细!$B$25:$Y$25,'实盘净值数据(iFinD）'!$B567:$Y567/'实盘净值数据(iFinD）'!$B$65:$Y$65)+SUMPRODUCT(分期持仓明细!$AC$25:$AD$25,'实盘净值数据(iFinD）'!$Z567:$AA567/'实盘净值数据(iFinD）'!$Z$65:$AA$65))*(1-实盘持仓初始配置!$Z$9)^(('实盘净值数据(iFinD）'!$A567-'实盘净值数据(iFinD）'!$A$8)/365))</f>
        <v/>
      </c>
      <c r="R567" s="16" t="str">
        <f t="shared" si="53"/>
        <v/>
      </c>
      <c r="S567" s="16" t="str">
        <f>IF(Q567="","",Q567/MAX(Q$5:Q567)-1)</f>
        <v/>
      </c>
    </row>
    <row r="568" spans="1:19">
      <c r="A568" s="15" t="str">
        <f>IF('实盘净值数据(iFinD）'!A568="","",'实盘净值数据(iFinD）'!A568)</f>
        <v/>
      </c>
      <c r="B568" s="13" t="str">
        <f>IF(OR('实盘净值数据(iFinD）'!$A568="",'实盘净值数据(iFinD）'!$B568=""),"",分期持仓明细!$AB$17*SUMPRODUCT(分期持仓明细!$B$17:$Y$17,'实盘净值数据(iFinD）'!$B568:$Y568/'实盘净值数据(iFinD）'!$B$20:$Y$20)*(1-实盘持仓初始配置!$Z$4)^(('实盘净值数据(iFinD）'!$A568-'实盘净值数据(iFinD）'!$A$6)/365))</f>
        <v/>
      </c>
      <c r="C568" s="16" t="str">
        <f t="shared" si="48"/>
        <v/>
      </c>
      <c r="D568" s="16" t="str">
        <f>IF(B568="","",B568/MAX(B$5:B568)-1)</f>
        <v/>
      </c>
      <c r="E568" s="13" t="str">
        <f>IF(OR('实盘净值数据(iFinD）'!$A568="",'实盘净值数据(iFinD）'!$B568=""),"",分期持仓明细!$AB$18*SUMPRODUCT(分期持仓明细!$B$18:$Y$18,'实盘净值数据(iFinD）'!$B568:$Y568/'实盘净值数据(iFinD）'!$B$20:$Y$20)*(1-实盘持仓初始配置!$Z$5)^(('实盘净值数据(iFinD）'!$A568-'实盘净值数据(iFinD）'!$A$5)/365))</f>
        <v/>
      </c>
      <c r="F568" s="16" t="str">
        <f t="shared" si="49"/>
        <v/>
      </c>
      <c r="G568" s="16" t="str">
        <f>IF(E568="","",E568/MAX(E$5:E568)-1)</f>
        <v/>
      </c>
      <c r="H568" s="13" t="str">
        <f>IF(OR('实盘净值数据(iFinD）'!$A568="",'实盘净值数据(iFinD）'!$B568=""),"",分期持仓明细!$AB$19*SUMPRODUCT(分期持仓明细!$B$19:$Y$19,'实盘净值数据(iFinD）'!$B568:$Y568/'实盘净值数据(iFinD）'!$B$20:$Y$20)*(1-实盘持仓初始配置!$Z$6)^(('实盘净值数据(iFinD）'!$A568-'实盘净值数据(iFinD）'!$A$7)/365))</f>
        <v/>
      </c>
      <c r="I568" s="16" t="str">
        <f t="shared" si="50"/>
        <v/>
      </c>
      <c r="J568" s="16" t="str">
        <f>IF(H568="","",H568/MAX(H$5:H568)-1)</f>
        <v/>
      </c>
      <c r="K568" s="13" t="str">
        <f>IF(OR('实盘净值数据(iFinD）'!$A568="",'实盘净值数据(iFinD）'!$B568="",'实盘净值数据(iFinD）'!$Z568="",'实盘净值数据(iFinD）'!$AA568=""),"",分期持仓明细!$AB$23*(SUMPRODUCT(分期持仓明细!$B$23:$Y$23,'实盘净值数据(iFinD）'!$B568:$Y568/'实盘净值数据(iFinD）'!$B$65:$Y$65)+SUMPRODUCT(分期持仓明细!$AC$23:$AD$23,'实盘净值数据(iFinD）'!$Z568:$AA568/'实盘净值数据(iFinD）'!$Z$65:$AA$65))*(1-实盘持仓初始配置!$Z$7)^(('实盘净值数据(iFinD）'!$A568-'实盘净值数据(iFinD）'!$A$8)/365))</f>
        <v/>
      </c>
      <c r="L568" s="16" t="str">
        <f t="shared" si="51"/>
        <v/>
      </c>
      <c r="M568" s="16" t="str">
        <f>IF(K568="","",K568/MAX(K$5:K568)-1)</f>
        <v/>
      </c>
      <c r="N568" s="13" t="str">
        <f>IF(OR('实盘净值数据(iFinD）'!$A568="",'实盘净值数据(iFinD）'!$B568="",'实盘净值数据(iFinD）'!$Z568="",'实盘净值数据(iFinD）'!$AA568=""),"",分期持仓明细!$AB$24*(SUMPRODUCT(分期持仓明细!$B$24:$Y$24,'实盘净值数据(iFinD）'!$B568:$Y568/'实盘净值数据(iFinD）'!$B$65:$Y$65)+SUMPRODUCT(分期持仓明细!$AC$24:$AD$24,'实盘净值数据(iFinD）'!$Z568:$AA568/'实盘净值数据(iFinD）'!$Z$65:$AA$65))*(1-实盘持仓初始配置!$Z$8)^(('实盘净值数据(iFinD）'!$A568-'实盘净值数据(iFinD）'!$A$5)/365))</f>
        <v/>
      </c>
      <c r="O568" s="16" t="str">
        <f t="shared" si="52"/>
        <v/>
      </c>
      <c r="P568" s="16" t="str">
        <f>IF(N568="","",N568/MAX(N$5:N568)-1)</f>
        <v/>
      </c>
      <c r="Q568" s="13" t="str">
        <f>IF(OR('实盘净值数据(iFinD）'!$A568="",'实盘净值数据(iFinD）'!$B568="",'实盘净值数据(iFinD）'!$Z568="",'实盘净值数据(iFinD）'!$AA568=""),"",分期持仓明细!$AB$25*(SUMPRODUCT(分期持仓明细!$B$25:$Y$25,'实盘净值数据(iFinD）'!$B568:$Y568/'实盘净值数据(iFinD）'!$B$65:$Y$65)+SUMPRODUCT(分期持仓明细!$AC$25:$AD$25,'实盘净值数据(iFinD）'!$Z568:$AA568/'实盘净值数据(iFinD）'!$Z$65:$AA$65))*(1-实盘持仓初始配置!$Z$9)^(('实盘净值数据(iFinD）'!$A568-'实盘净值数据(iFinD）'!$A$8)/365))</f>
        <v/>
      </c>
      <c r="R568" s="16" t="str">
        <f t="shared" si="53"/>
        <v/>
      </c>
      <c r="S568" s="16" t="str">
        <f>IF(Q568="","",Q568/MAX(Q$5:Q568)-1)</f>
        <v/>
      </c>
    </row>
    <row r="569" spans="1:19">
      <c r="A569" s="15" t="str">
        <f>IF('实盘净值数据(iFinD）'!A569="","",'实盘净值数据(iFinD）'!A569)</f>
        <v/>
      </c>
      <c r="B569" s="13" t="str">
        <f>IF(OR('实盘净值数据(iFinD）'!$A569="",'实盘净值数据(iFinD）'!$B569=""),"",分期持仓明细!$AB$17*SUMPRODUCT(分期持仓明细!$B$17:$Y$17,'实盘净值数据(iFinD）'!$B569:$Y569/'实盘净值数据(iFinD）'!$B$20:$Y$20)*(1-实盘持仓初始配置!$Z$4)^(('实盘净值数据(iFinD）'!$A569-'实盘净值数据(iFinD）'!$A$6)/365))</f>
        <v/>
      </c>
      <c r="C569" s="16" t="str">
        <f t="shared" si="48"/>
        <v/>
      </c>
      <c r="D569" s="16" t="str">
        <f>IF(B569="","",B569/MAX(B$5:B569)-1)</f>
        <v/>
      </c>
      <c r="E569" s="13" t="str">
        <f>IF(OR('实盘净值数据(iFinD）'!$A569="",'实盘净值数据(iFinD）'!$B569=""),"",分期持仓明细!$AB$18*SUMPRODUCT(分期持仓明细!$B$18:$Y$18,'实盘净值数据(iFinD）'!$B569:$Y569/'实盘净值数据(iFinD）'!$B$20:$Y$20)*(1-实盘持仓初始配置!$Z$5)^(('实盘净值数据(iFinD）'!$A569-'实盘净值数据(iFinD）'!$A$5)/365))</f>
        <v/>
      </c>
      <c r="F569" s="16" t="str">
        <f t="shared" si="49"/>
        <v/>
      </c>
      <c r="G569" s="16" t="str">
        <f>IF(E569="","",E569/MAX(E$5:E569)-1)</f>
        <v/>
      </c>
      <c r="H569" s="13" t="str">
        <f>IF(OR('实盘净值数据(iFinD）'!$A569="",'实盘净值数据(iFinD）'!$B569=""),"",分期持仓明细!$AB$19*SUMPRODUCT(分期持仓明细!$B$19:$Y$19,'实盘净值数据(iFinD）'!$B569:$Y569/'实盘净值数据(iFinD）'!$B$20:$Y$20)*(1-实盘持仓初始配置!$Z$6)^(('实盘净值数据(iFinD）'!$A569-'实盘净值数据(iFinD）'!$A$7)/365))</f>
        <v/>
      </c>
      <c r="I569" s="16" t="str">
        <f t="shared" si="50"/>
        <v/>
      </c>
      <c r="J569" s="16" t="str">
        <f>IF(H569="","",H569/MAX(H$5:H569)-1)</f>
        <v/>
      </c>
      <c r="K569" s="13" t="str">
        <f>IF(OR('实盘净值数据(iFinD）'!$A569="",'实盘净值数据(iFinD）'!$B569="",'实盘净值数据(iFinD）'!$Z569="",'实盘净值数据(iFinD）'!$AA569=""),"",分期持仓明细!$AB$23*(SUMPRODUCT(分期持仓明细!$B$23:$Y$23,'实盘净值数据(iFinD）'!$B569:$Y569/'实盘净值数据(iFinD）'!$B$65:$Y$65)+SUMPRODUCT(分期持仓明细!$AC$23:$AD$23,'实盘净值数据(iFinD）'!$Z569:$AA569/'实盘净值数据(iFinD）'!$Z$65:$AA$65))*(1-实盘持仓初始配置!$Z$7)^(('实盘净值数据(iFinD）'!$A569-'实盘净值数据(iFinD）'!$A$8)/365))</f>
        <v/>
      </c>
      <c r="L569" s="16" t="str">
        <f t="shared" si="51"/>
        <v/>
      </c>
      <c r="M569" s="16" t="str">
        <f>IF(K569="","",K569/MAX(K$5:K569)-1)</f>
        <v/>
      </c>
      <c r="N569" s="13" t="str">
        <f>IF(OR('实盘净值数据(iFinD）'!$A569="",'实盘净值数据(iFinD）'!$B569="",'实盘净值数据(iFinD）'!$Z569="",'实盘净值数据(iFinD）'!$AA569=""),"",分期持仓明细!$AB$24*(SUMPRODUCT(分期持仓明细!$B$24:$Y$24,'实盘净值数据(iFinD）'!$B569:$Y569/'实盘净值数据(iFinD）'!$B$65:$Y$65)+SUMPRODUCT(分期持仓明细!$AC$24:$AD$24,'实盘净值数据(iFinD）'!$Z569:$AA569/'实盘净值数据(iFinD）'!$Z$65:$AA$65))*(1-实盘持仓初始配置!$Z$8)^(('实盘净值数据(iFinD）'!$A569-'实盘净值数据(iFinD）'!$A$5)/365))</f>
        <v/>
      </c>
      <c r="O569" s="16" t="str">
        <f t="shared" si="52"/>
        <v/>
      </c>
      <c r="P569" s="16" t="str">
        <f>IF(N569="","",N569/MAX(N$5:N569)-1)</f>
        <v/>
      </c>
      <c r="Q569" s="13" t="str">
        <f>IF(OR('实盘净值数据(iFinD）'!$A569="",'实盘净值数据(iFinD）'!$B569="",'实盘净值数据(iFinD）'!$Z569="",'实盘净值数据(iFinD）'!$AA569=""),"",分期持仓明细!$AB$25*(SUMPRODUCT(分期持仓明细!$B$25:$Y$25,'实盘净值数据(iFinD）'!$B569:$Y569/'实盘净值数据(iFinD）'!$B$65:$Y$65)+SUMPRODUCT(分期持仓明细!$AC$25:$AD$25,'实盘净值数据(iFinD）'!$Z569:$AA569/'实盘净值数据(iFinD）'!$Z$65:$AA$65))*(1-实盘持仓初始配置!$Z$9)^(('实盘净值数据(iFinD）'!$A569-'实盘净值数据(iFinD）'!$A$8)/365))</f>
        <v/>
      </c>
      <c r="R569" s="16" t="str">
        <f t="shared" si="53"/>
        <v/>
      </c>
      <c r="S569" s="16" t="str">
        <f>IF(Q569="","",Q569/MAX(Q$5:Q569)-1)</f>
        <v/>
      </c>
    </row>
    <row r="570" spans="1:19">
      <c r="A570" s="15" t="str">
        <f>IF('实盘净值数据(iFinD）'!A570="","",'实盘净值数据(iFinD）'!A570)</f>
        <v/>
      </c>
      <c r="B570" s="13" t="str">
        <f>IF(OR('实盘净值数据(iFinD）'!$A570="",'实盘净值数据(iFinD）'!$B570=""),"",分期持仓明细!$AB$17*SUMPRODUCT(分期持仓明细!$B$17:$Y$17,'实盘净值数据(iFinD）'!$B570:$Y570/'实盘净值数据(iFinD）'!$B$20:$Y$20)*(1-实盘持仓初始配置!$Z$4)^(('实盘净值数据(iFinD）'!$A570-'实盘净值数据(iFinD）'!$A$6)/365))</f>
        <v/>
      </c>
      <c r="C570" s="16" t="str">
        <f t="shared" si="48"/>
        <v/>
      </c>
      <c r="D570" s="16" t="str">
        <f>IF(B570="","",B570/MAX(B$5:B570)-1)</f>
        <v/>
      </c>
      <c r="E570" s="13" t="str">
        <f>IF(OR('实盘净值数据(iFinD）'!$A570="",'实盘净值数据(iFinD）'!$B570=""),"",分期持仓明细!$AB$18*SUMPRODUCT(分期持仓明细!$B$18:$Y$18,'实盘净值数据(iFinD）'!$B570:$Y570/'实盘净值数据(iFinD）'!$B$20:$Y$20)*(1-实盘持仓初始配置!$Z$5)^(('实盘净值数据(iFinD）'!$A570-'实盘净值数据(iFinD）'!$A$5)/365))</f>
        <v/>
      </c>
      <c r="F570" s="16" t="str">
        <f t="shared" si="49"/>
        <v/>
      </c>
      <c r="G570" s="16" t="str">
        <f>IF(E570="","",E570/MAX(E$5:E570)-1)</f>
        <v/>
      </c>
      <c r="H570" s="13" t="str">
        <f>IF(OR('实盘净值数据(iFinD）'!$A570="",'实盘净值数据(iFinD）'!$B570=""),"",分期持仓明细!$AB$19*SUMPRODUCT(分期持仓明细!$B$19:$Y$19,'实盘净值数据(iFinD）'!$B570:$Y570/'实盘净值数据(iFinD）'!$B$20:$Y$20)*(1-实盘持仓初始配置!$Z$6)^(('实盘净值数据(iFinD）'!$A570-'实盘净值数据(iFinD）'!$A$7)/365))</f>
        <v/>
      </c>
      <c r="I570" s="16" t="str">
        <f t="shared" si="50"/>
        <v/>
      </c>
      <c r="J570" s="16" t="str">
        <f>IF(H570="","",H570/MAX(H$5:H570)-1)</f>
        <v/>
      </c>
      <c r="K570" s="13" t="str">
        <f>IF(OR('实盘净值数据(iFinD）'!$A570="",'实盘净值数据(iFinD）'!$B570="",'实盘净值数据(iFinD）'!$Z570="",'实盘净值数据(iFinD）'!$AA570=""),"",分期持仓明细!$AB$23*(SUMPRODUCT(分期持仓明细!$B$23:$Y$23,'实盘净值数据(iFinD）'!$B570:$Y570/'实盘净值数据(iFinD）'!$B$65:$Y$65)+SUMPRODUCT(分期持仓明细!$AC$23:$AD$23,'实盘净值数据(iFinD）'!$Z570:$AA570/'实盘净值数据(iFinD）'!$Z$65:$AA$65))*(1-实盘持仓初始配置!$Z$7)^(('实盘净值数据(iFinD）'!$A570-'实盘净值数据(iFinD）'!$A$8)/365))</f>
        <v/>
      </c>
      <c r="L570" s="16" t="str">
        <f t="shared" si="51"/>
        <v/>
      </c>
      <c r="M570" s="16" t="str">
        <f>IF(K570="","",K570/MAX(K$5:K570)-1)</f>
        <v/>
      </c>
      <c r="N570" s="13" t="str">
        <f>IF(OR('实盘净值数据(iFinD）'!$A570="",'实盘净值数据(iFinD）'!$B570="",'实盘净值数据(iFinD）'!$Z570="",'实盘净值数据(iFinD）'!$AA570=""),"",分期持仓明细!$AB$24*(SUMPRODUCT(分期持仓明细!$B$24:$Y$24,'实盘净值数据(iFinD）'!$B570:$Y570/'实盘净值数据(iFinD）'!$B$65:$Y$65)+SUMPRODUCT(分期持仓明细!$AC$24:$AD$24,'实盘净值数据(iFinD）'!$Z570:$AA570/'实盘净值数据(iFinD）'!$Z$65:$AA$65))*(1-实盘持仓初始配置!$Z$8)^(('实盘净值数据(iFinD）'!$A570-'实盘净值数据(iFinD）'!$A$5)/365))</f>
        <v/>
      </c>
      <c r="O570" s="16" t="str">
        <f t="shared" si="52"/>
        <v/>
      </c>
      <c r="P570" s="16" t="str">
        <f>IF(N570="","",N570/MAX(N$5:N570)-1)</f>
        <v/>
      </c>
      <c r="Q570" s="13" t="str">
        <f>IF(OR('实盘净值数据(iFinD）'!$A570="",'实盘净值数据(iFinD）'!$B570="",'实盘净值数据(iFinD）'!$Z570="",'实盘净值数据(iFinD）'!$AA570=""),"",分期持仓明细!$AB$25*(SUMPRODUCT(分期持仓明细!$B$25:$Y$25,'实盘净值数据(iFinD）'!$B570:$Y570/'实盘净值数据(iFinD）'!$B$65:$Y$65)+SUMPRODUCT(分期持仓明细!$AC$25:$AD$25,'实盘净值数据(iFinD）'!$Z570:$AA570/'实盘净值数据(iFinD）'!$Z$65:$AA$65))*(1-实盘持仓初始配置!$Z$9)^(('实盘净值数据(iFinD）'!$A570-'实盘净值数据(iFinD）'!$A$8)/365))</f>
        <v/>
      </c>
      <c r="R570" s="16" t="str">
        <f t="shared" si="53"/>
        <v/>
      </c>
      <c r="S570" s="16" t="str">
        <f>IF(Q570="","",Q570/MAX(Q$5:Q570)-1)</f>
        <v/>
      </c>
    </row>
    <row r="571" spans="1:19">
      <c r="A571" s="15" t="str">
        <f>IF('实盘净值数据(iFinD）'!A571="","",'实盘净值数据(iFinD）'!A571)</f>
        <v/>
      </c>
      <c r="B571" s="13" t="str">
        <f>IF(OR('实盘净值数据(iFinD）'!$A571="",'实盘净值数据(iFinD）'!$B571=""),"",分期持仓明细!$AB$17*SUMPRODUCT(分期持仓明细!$B$17:$Y$17,'实盘净值数据(iFinD）'!$B571:$Y571/'实盘净值数据(iFinD）'!$B$20:$Y$20)*(1-实盘持仓初始配置!$Z$4)^(('实盘净值数据(iFinD）'!$A571-'实盘净值数据(iFinD）'!$A$6)/365))</f>
        <v/>
      </c>
      <c r="C571" s="16" t="str">
        <f t="shared" si="48"/>
        <v/>
      </c>
      <c r="D571" s="16" t="str">
        <f>IF(B571="","",B571/MAX(B$5:B571)-1)</f>
        <v/>
      </c>
      <c r="E571" s="13" t="str">
        <f>IF(OR('实盘净值数据(iFinD）'!$A571="",'实盘净值数据(iFinD）'!$B571=""),"",分期持仓明细!$AB$18*SUMPRODUCT(分期持仓明细!$B$18:$Y$18,'实盘净值数据(iFinD）'!$B571:$Y571/'实盘净值数据(iFinD）'!$B$20:$Y$20)*(1-实盘持仓初始配置!$Z$5)^(('实盘净值数据(iFinD）'!$A571-'实盘净值数据(iFinD）'!$A$5)/365))</f>
        <v/>
      </c>
      <c r="F571" s="16" t="str">
        <f t="shared" si="49"/>
        <v/>
      </c>
      <c r="G571" s="16" t="str">
        <f>IF(E571="","",E571/MAX(E$5:E571)-1)</f>
        <v/>
      </c>
      <c r="H571" s="13" t="str">
        <f>IF(OR('实盘净值数据(iFinD）'!$A571="",'实盘净值数据(iFinD）'!$B571=""),"",分期持仓明细!$AB$19*SUMPRODUCT(分期持仓明细!$B$19:$Y$19,'实盘净值数据(iFinD）'!$B571:$Y571/'实盘净值数据(iFinD）'!$B$20:$Y$20)*(1-实盘持仓初始配置!$Z$6)^(('实盘净值数据(iFinD）'!$A571-'实盘净值数据(iFinD）'!$A$7)/365))</f>
        <v/>
      </c>
      <c r="I571" s="16" t="str">
        <f t="shared" si="50"/>
        <v/>
      </c>
      <c r="J571" s="16" t="str">
        <f>IF(H571="","",H571/MAX(H$5:H571)-1)</f>
        <v/>
      </c>
      <c r="K571" s="13" t="str">
        <f>IF(OR('实盘净值数据(iFinD）'!$A571="",'实盘净值数据(iFinD）'!$B571="",'实盘净值数据(iFinD）'!$Z571="",'实盘净值数据(iFinD）'!$AA571=""),"",分期持仓明细!$AB$23*(SUMPRODUCT(分期持仓明细!$B$23:$Y$23,'实盘净值数据(iFinD）'!$B571:$Y571/'实盘净值数据(iFinD）'!$B$65:$Y$65)+SUMPRODUCT(分期持仓明细!$AC$23:$AD$23,'实盘净值数据(iFinD）'!$Z571:$AA571/'实盘净值数据(iFinD）'!$Z$65:$AA$65))*(1-实盘持仓初始配置!$Z$7)^(('实盘净值数据(iFinD）'!$A571-'实盘净值数据(iFinD）'!$A$8)/365))</f>
        <v/>
      </c>
      <c r="L571" s="16" t="str">
        <f t="shared" si="51"/>
        <v/>
      </c>
      <c r="M571" s="16" t="str">
        <f>IF(K571="","",K571/MAX(K$5:K571)-1)</f>
        <v/>
      </c>
      <c r="N571" s="13" t="str">
        <f>IF(OR('实盘净值数据(iFinD）'!$A571="",'实盘净值数据(iFinD）'!$B571="",'实盘净值数据(iFinD）'!$Z571="",'实盘净值数据(iFinD）'!$AA571=""),"",分期持仓明细!$AB$24*(SUMPRODUCT(分期持仓明细!$B$24:$Y$24,'实盘净值数据(iFinD）'!$B571:$Y571/'实盘净值数据(iFinD）'!$B$65:$Y$65)+SUMPRODUCT(分期持仓明细!$AC$24:$AD$24,'实盘净值数据(iFinD）'!$Z571:$AA571/'实盘净值数据(iFinD）'!$Z$65:$AA$65))*(1-实盘持仓初始配置!$Z$8)^(('实盘净值数据(iFinD）'!$A571-'实盘净值数据(iFinD）'!$A$5)/365))</f>
        <v/>
      </c>
      <c r="O571" s="16" t="str">
        <f t="shared" si="52"/>
        <v/>
      </c>
      <c r="P571" s="16" t="str">
        <f>IF(N571="","",N571/MAX(N$5:N571)-1)</f>
        <v/>
      </c>
      <c r="Q571" s="13" t="str">
        <f>IF(OR('实盘净值数据(iFinD）'!$A571="",'实盘净值数据(iFinD）'!$B571="",'实盘净值数据(iFinD）'!$Z571="",'实盘净值数据(iFinD）'!$AA571=""),"",分期持仓明细!$AB$25*(SUMPRODUCT(分期持仓明细!$B$25:$Y$25,'实盘净值数据(iFinD）'!$B571:$Y571/'实盘净值数据(iFinD）'!$B$65:$Y$65)+SUMPRODUCT(分期持仓明细!$AC$25:$AD$25,'实盘净值数据(iFinD）'!$Z571:$AA571/'实盘净值数据(iFinD）'!$Z$65:$AA$65))*(1-实盘持仓初始配置!$Z$9)^(('实盘净值数据(iFinD）'!$A571-'实盘净值数据(iFinD）'!$A$8)/365))</f>
        <v/>
      </c>
      <c r="R571" s="16" t="str">
        <f t="shared" si="53"/>
        <v/>
      </c>
      <c r="S571" s="16" t="str">
        <f>IF(Q571="","",Q571/MAX(Q$5:Q571)-1)</f>
        <v/>
      </c>
    </row>
    <row r="572" spans="1:19">
      <c r="A572" s="15" t="str">
        <f>IF('实盘净值数据(iFinD）'!A572="","",'实盘净值数据(iFinD）'!A572)</f>
        <v/>
      </c>
      <c r="B572" s="13" t="str">
        <f>IF(OR('实盘净值数据(iFinD）'!$A572="",'实盘净值数据(iFinD）'!$B572=""),"",分期持仓明细!$AB$17*SUMPRODUCT(分期持仓明细!$B$17:$Y$17,'实盘净值数据(iFinD）'!$B572:$Y572/'实盘净值数据(iFinD）'!$B$20:$Y$20)*(1-实盘持仓初始配置!$Z$4)^(('实盘净值数据(iFinD）'!$A572-'实盘净值数据(iFinD）'!$A$6)/365))</f>
        <v/>
      </c>
      <c r="C572" s="16" t="str">
        <f t="shared" ref="C572:C635" si="54">IF(OR(B571="",B572=""),"",B572/B571-1)</f>
        <v/>
      </c>
      <c r="D572" s="16" t="str">
        <f>IF(B572="","",B572/MAX(B$5:B572)-1)</f>
        <v/>
      </c>
      <c r="E572" s="13" t="str">
        <f>IF(OR('实盘净值数据(iFinD）'!$A572="",'实盘净值数据(iFinD）'!$B572=""),"",分期持仓明细!$AB$18*SUMPRODUCT(分期持仓明细!$B$18:$Y$18,'实盘净值数据(iFinD）'!$B572:$Y572/'实盘净值数据(iFinD）'!$B$20:$Y$20)*(1-实盘持仓初始配置!$Z$5)^(('实盘净值数据(iFinD）'!$A572-'实盘净值数据(iFinD）'!$A$5)/365))</f>
        <v/>
      </c>
      <c r="F572" s="16" t="str">
        <f t="shared" ref="F572:F635" si="55">IF(OR(E571="",E572=""),"",E572/E571-1)</f>
        <v/>
      </c>
      <c r="G572" s="16" t="str">
        <f>IF(E572="","",E572/MAX(E$5:E572)-1)</f>
        <v/>
      </c>
      <c r="H572" s="13" t="str">
        <f>IF(OR('实盘净值数据(iFinD）'!$A572="",'实盘净值数据(iFinD）'!$B572=""),"",分期持仓明细!$AB$19*SUMPRODUCT(分期持仓明细!$B$19:$Y$19,'实盘净值数据(iFinD）'!$B572:$Y572/'实盘净值数据(iFinD）'!$B$20:$Y$20)*(1-实盘持仓初始配置!$Z$6)^(('实盘净值数据(iFinD）'!$A572-'实盘净值数据(iFinD）'!$A$7)/365))</f>
        <v/>
      </c>
      <c r="I572" s="16" t="str">
        <f t="shared" ref="I572:I635" si="56">IF(OR(H571="",H572=""),"",H572/H571-1)</f>
        <v/>
      </c>
      <c r="J572" s="16" t="str">
        <f>IF(H572="","",H572/MAX(H$5:H572)-1)</f>
        <v/>
      </c>
      <c r="K572" s="13" t="str">
        <f>IF(OR('实盘净值数据(iFinD）'!$A572="",'实盘净值数据(iFinD）'!$B572="",'实盘净值数据(iFinD）'!$Z572="",'实盘净值数据(iFinD）'!$AA572=""),"",分期持仓明细!$AB$23*(SUMPRODUCT(分期持仓明细!$B$23:$Y$23,'实盘净值数据(iFinD）'!$B572:$Y572/'实盘净值数据(iFinD）'!$B$65:$Y$65)+SUMPRODUCT(分期持仓明细!$AC$23:$AD$23,'实盘净值数据(iFinD）'!$Z572:$AA572/'实盘净值数据(iFinD）'!$Z$65:$AA$65))*(1-实盘持仓初始配置!$Z$7)^(('实盘净值数据(iFinD）'!$A572-'实盘净值数据(iFinD）'!$A$8)/365))</f>
        <v/>
      </c>
      <c r="L572" s="16" t="str">
        <f t="shared" ref="L572:L635" si="57">IF(OR(K571="",K572=""),"",K572/K571-1)</f>
        <v/>
      </c>
      <c r="M572" s="16" t="str">
        <f>IF(K572="","",K572/MAX(K$5:K572)-1)</f>
        <v/>
      </c>
      <c r="N572" s="13" t="str">
        <f>IF(OR('实盘净值数据(iFinD）'!$A572="",'实盘净值数据(iFinD）'!$B572="",'实盘净值数据(iFinD）'!$Z572="",'实盘净值数据(iFinD）'!$AA572=""),"",分期持仓明细!$AB$24*(SUMPRODUCT(分期持仓明细!$B$24:$Y$24,'实盘净值数据(iFinD）'!$B572:$Y572/'实盘净值数据(iFinD）'!$B$65:$Y$65)+SUMPRODUCT(分期持仓明细!$AC$24:$AD$24,'实盘净值数据(iFinD）'!$Z572:$AA572/'实盘净值数据(iFinD）'!$Z$65:$AA$65))*(1-实盘持仓初始配置!$Z$8)^(('实盘净值数据(iFinD）'!$A572-'实盘净值数据(iFinD）'!$A$5)/365))</f>
        <v/>
      </c>
      <c r="O572" s="16" t="str">
        <f t="shared" ref="O572:O635" si="58">IF(OR(N571="",N572=""),"",N572/N571-1)</f>
        <v/>
      </c>
      <c r="P572" s="16" t="str">
        <f>IF(N572="","",N572/MAX(N$5:N572)-1)</f>
        <v/>
      </c>
      <c r="Q572" s="13" t="str">
        <f>IF(OR('实盘净值数据(iFinD）'!$A572="",'实盘净值数据(iFinD）'!$B572="",'实盘净值数据(iFinD）'!$Z572="",'实盘净值数据(iFinD）'!$AA572=""),"",分期持仓明细!$AB$25*(SUMPRODUCT(分期持仓明细!$B$25:$Y$25,'实盘净值数据(iFinD）'!$B572:$Y572/'实盘净值数据(iFinD）'!$B$65:$Y$65)+SUMPRODUCT(分期持仓明细!$AC$25:$AD$25,'实盘净值数据(iFinD）'!$Z572:$AA572/'实盘净值数据(iFinD）'!$Z$65:$AA$65))*(1-实盘持仓初始配置!$Z$9)^(('实盘净值数据(iFinD）'!$A572-'实盘净值数据(iFinD）'!$A$8)/365))</f>
        <v/>
      </c>
      <c r="R572" s="16" t="str">
        <f t="shared" ref="R572:R635" si="59">IF(OR(Q571="",Q572=""),"",Q572/Q571-1)</f>
        <v/>
      </c>
      <c r="S572" s="16" t="str">
        <f>IF(Q572="","",Q572/MAX(Q$5:Q572)-1)</f>
        <v/>
      </c>
    </row>
    <row r="573" spans="1:19">
      <c r="A573" s="15" t="str">
        <f>IF('实盘净值数据(iFinD）'!A573="","",'实盘净值数据(iFinD）'!A573)</f>
        <v/>
      </c>
      <c r="B573" s="13" t="str">
        <f>IF(OR('实盘净值数据(iFinD）'!$A573="",'实盘净值数据(iFinD）'!$B573=""),"",分期持仓明细!$AB$17*SUMPRODUCT(分期持仓明细!$B$17:$Y$17,'实盘净值数据(iFinD）'!$B573:$Y573/'实盘净值数据(iFinD）'!$B$20:$Y$20)*(1-实盘持仓初始配置!$Z$4)^(('实盘净值数据(iFinD）'!$A573-'实盘净值数据(iFinD）'!$A$6)/365))</f>
        <v/>
      </c>
      <c r="C573" s="16" t="str">
        <f t="shared" si="54"/>
        <v/>
      </c>
      <c r="D573" s="16" t="str">
        <f>IF(B573="","",B573/MAX(B$5:B573)-1)</f>
        <v/>
      </c>
      <c r="E573" s="13" t="str">
        <f>IF(OR('实盘净值数据(iFinD）'!$A573="",'实盘净值数据(iFinD）'!$B573=""),"",分期持仓明细!$AB$18*SUMPRODUCT(分期持仓明细!$B$18:$Y$18,'实盘净值数据(iFinD）'!$B573:$Y573/'实盘净值数据(iFinD）'!$B$20:$Y$20)*(1-实盘持仓初始配置!$Z$5)^(('实盘净值数据(iFinD）'!$A573-'实盘净值数据(iFinD）'!$A$5)/365))</f>
        <v/>
      </c>
      <c r="F573" s="16" t="str">
        <f t="shared" si="55"/>
        <v/>
      </c>
      <c r="G573" s="16" t="str">
        <f>IF(E573="","",E573/MAX(E$5:E573)-1)</f>
        <v/>
      </c>
      <c r="H573" s="13" t="str">
        <f>IF(OR('实盘净值数据(iFinD）'!$A573="",'实盘净值数据(iFinD）'!$B573=""),"",分期持仓明细!$AB$19*SUMPRODUCT(分期持仓明细!$B$19:$Y$19,'实盘净值数据(iFinD）'!$B573:$Y573/'实盘净值数据(iFinD）'!$B$20:$Y$20)*(1-实盘持仓初始配置!$Z$6)^(('实盘净值数据(iFinD）'!$A573-'实盘净值数据(iFinD）'!$A$7)/365))</f>
        <v/>
      </c>
      <c r="I573" s="16" t="str">
        <f t="shared" si="56"/>
        <v/>
      </c>
      <c r="J573" s="16" t="str">
        <f>IF(H573="","",H573/MAX(H$5:H573)-1)</f>
        <v/>
      </c>
      <c r="K573" s="13" t="str">
        <f>IF(OR('实盘净值数据(iFinD）'!$A573="",'实盘净值数据(iFinD）'!$B573="",'实盘净值数据(iFinD）'!$Z573="",'实盘净值数据(iFinD）'!$AA573=""),"",分期持仓明细!$AB$23*(SUMPRODUCT(分期持仓明细!$B$23:$Y$23,'实盘净值数据(iFinD）'!$B573:$Y573/'实盘净值数据(iFinD）'!$B$65:$Y$65)+SUMPRODUCT(分期持仓明细!$AC$23:$AD$23,'实盘净值数据(iFinD）'!$Z573:$AA573/'实盘净值数据(iFinD）'!$Z$65:$AA$65))*(1-实盘持仓初始配置!$Z$7)^(('实盘净值数据(iFinD）'!$A573-'实盘净值数据(iFinD）'!$A$8)/365))</f>
        <v/>
      </c>
      <c r="L573" s="16" t="str">
        <f t="shared" si="57"/>
        <v/>
      </c>
      <c r="M573" s="16" t="str">
        <f>IF(K573="","",K573/MAX(K$5:K573)-1)</f>
        <v/>
      </c>
      <c r="N573" s="13" t="str">
        <f>IF(OR('实盘净值数据(iFinD）'!$A573="",'实盘净值数据(iFinD）'!$B573="",'实盘净值数据(iFinD）'!$Z573="",'实盘净值数据(iFinD）'!$AA573=""),"",分期持仓明细!$AB$24*(SUMPRODUCT(分期持仓明细!$B$24:$Y$24,'实盘净值数据(iFinD）'!$B573:$Y573/'实盘净值数据(iFinD）'!$B$65:$Y$65)+SUMPRODUCT(分期持仓明细!$AC$24:$AD$24,'实盘净值数据(iFinD）'!$Z573:$AA573/'实盘净值数据(iFinD）'!$Z$65:$AA$65))*(1-实盘持仓初始配置!$Z$8)^(('实盘净值数据(iFinD）'!$A573-'实盘净值数据(iFinD）'!$A$5)/365))</f>
        <v/>
      </c>
      <c r="O573" s="16" t="str">
        <f t="shared" si="58"/>
        <v/>
      </c>
      <c r="P573" s="16" t="str">
        <f>IF(N573="","",N573/MAX(N$5:N573)-1)</f>
        <v/>
      </c>
      <c r="Q573" s="13" t="str">
        <f>IF(OR('实盘净值数据(iFinD）'!$A573="",'实盘净值数据(iFinD）'!$B573="",'实盘净值数据(iFinD）'!$Z573="",'实盘净值数据(iFinD）'!$AA573=""),"",分期持仓明细!$AB$25*(SUMPRODUCT(分期持仓明细!$B$25:$Y$25,'实盘净值数据(iFinD）'!$B573:$Y573/'实盘净值数据(iFinD）'!$B$65:$Y$65)+SUMPRODUCT(分期持仓明细!$AC$25:$AD$25,'实盘净值数据(iFinD）'!$Z573:$AA573/'实盘净值数据(iFinD）'!$Z$65:$AA$65))*(1-实盘持仓初始配置!$Z$9)^(('实盘净值数据(iFinD）'!$A573-'实盘净值数据(iFinD）'!$A$8)/365))</f>
        <v/>
      </c>
      <c r="R573" s="16" t="str">
        <f t="shared" si="59"/>
        <v/>
      </c>
      <c r="S573" s="16" t="str">
        <f>IF(Q573="","",Q573/MAX(Q$5:Q573)-1)</f>
        <v/>
      </c>
    </row>
    <row r="574" spans="1:19">
      <c r="A574" s="15" t="str">
        <f>IF('实盘净值数据(iFinD）'!A574="","",'实盘净值数据(iFinD）'!A574)</f>
        <v/>
      </c>
      <c r="B574" s="13" t="str">
        <f>IF(OR('实盘净值数据(iFinD）'!$A574="",'实盘净值数据(iFinD）'!$B574=""),"",分期持仓明细!$AB$17*SUMPRODUCT(分期持仓明细!$B$17:$Y$17,'实盘净值数据(iFinD）'!$B574:$Y574/'实盘净值数据(iFinD）'!$B$20:$Y$20)*(1-实盘持仓初始配置!$Z$4)^(('实盘净值数据(iFinD）'!$A574-'实盘净值数据(iFinD）'!$A$6)/365))</f>
        <v/>
      </c>
      <c r="C574" s="16" t="str">
        <f t="shared" si="54"/>
        <v/>
      </c>
      <c r="D574" s="16" t="str">
        <f>IF(B574="","",B574/MAX(B$5:B574)-1)</f>
        <v/>
      </c>
      <c r="E574" s="13" t="str">
        <f>IF(OR('实盘净值数据(iFinD）'!$A574="",'实盘净值数据(iFinD）'!$B574=""),"",分期持仓明细!$AB$18*SUMPRODUCT(分期持仓明细!$B$18:$Y$18,'实盘净值数据(iFinD）'!$B574:$Y574/'实盘净值数据(iFinD）'!$B$20:$Y$20)*(1-实盘持仓初始配置!$Z$5)^(('实盘净值数据(iFinD）'!$A574-'实盘净值数据(iFinD）'!$A$5)/365))</f>
        <v/>
      </c>
      <c r="F574" s="16" t="str">
        <f t="shared" si="55"/>
        <v/>
      </c>
      <c r="G574" s="16" t="str">
        <f>IF(E574="","",E574/MAX(E$5:E574)-1)</f>
        <v/>
      </c>
      <c r="H574" s="13" t="str">
        <f>IF(OR('实盘净值数据(iFinD）'!$A574="",'实盘净值数据(iFinD）'!$B574=""),"",分期持仓明细!$AB$19*SUMPRODUCT(分期持仓明细!$B$19:$Y$19,'实盘净值数据(iFinD）'!$B574:$Y574/'实盘净值数据(iFinD）'!$B$20:$Y$20)*(1-实盘持仓初始配置!$Z$6)^(('实盘净值数据(iFinD）'!$A574-'实盘净值数据(iFinD）'!$A$7)/365))</f>
        <v/>
      </c>
      <c r="I574" s="16" t="str">
        <f t="shared" si="56"/>
        <v/>
      </c>
      <c r="J574" s="16" t="str">
        <f>IF(H574="","",H574/MAX(H$5:H574)-1)</f>
        <v/>
      </c>
      <c r="K574" s="13" t="str">
        <f>IF(OR('实盘净值数据(iFinD）'!$A574="",'实盘净值数据(iFinD）'!$B574="",'实盘净值数据(iFinD）'!$Z574="",'实盘净值数据(iFinD）'!$AA574=""),"",分期持仓明细!$AB$23*(SUMPRODUCT(分期持仓明细!$B$23:$Y$23,'实盘净值数据(iFinD）'!$B574:$Y574/'实盘净值数据(iFinD）'!$B$65:$Y$65)+SUMPRODUCT(分期持仓明细!$AC$23:$AD$23,'实盘净值数据(iFinD）'!$Z574:$AA574/'实盘净值数据(iFinD）'!$Z$65:$AA$65))*(1-实盘持仓初始配置!$Z$7)^(('实盘净值数据(iFinD）'!$A574-'实盘净值数据(iFinD）'!$A$8)/365))</f>
        <v/>
      </c>
      <c r="L574" s="16" t="str">
        <f t="shared" si="57"/>
        <v/>
      </c>
      <c r="M574" s="16" t="str">
        <f>IF(K574="","",K574/MAX(K$5:K574)-1)</f>
        <v/>
      </c>
      <c r="N574" s="13" t="str">
        <f>IF(OR('实盘净值数据(iFinD）'!$A574="",'实盘净值数据(iFinD）'!$B574="",'实盘净值数据(iFinD）'!$Z574="",'实盘净值数据(iFinD）'!$AA574=""),"",分期持仓明细!$AB$24*(SUMPRODUCT(分期持仓明细!$B$24:$Y$24,'实盘净值数据(iFinD）'!$B574:$Y574/'实盘净值数据(iFinD）'!$B$65:$Y$65)+SUMPRODUCT(分期持仓明细!$AC$24:$AD$24,'实盘净值数据(iFinD）'!$Z574:$AA574/'实盘净值数据(iFinD）'!$Z$65:$AA$65))*(1-实盘持仓初始配置!$Z$8)^(('实盘净值数据(iFinD）'!$A574-'实盘净值数据(iFinD）'!$A$5)/365))</f>
        <v/>
      </c>
      <c r="O574" s="16" t="str">
        <f t="shared" si="58"/>
        <v/>
      </c>
      <c r="P574" s="16" t="str">
        <f>IF(N574="","",N574/MAX(N$5:N574)-1)</f>
        <v/>
      </c>
      <c r="Q574" s="13" t="str">
        <f>IF(OR('实盘净值数据(iFinD）'!$A574="",'实盘净值数据(iFinD）'!$B574="",'实盘净值数据(iFinD）'!$Z574="",'实盘净值数据(iFinD）'!$AA574=""),"",分期持仓明细!$AB$25*(SUMPRODUCT(分期持仓明细!$B$25:$Y$25,'实盘净值数据(iFinD）'!$B574:$Y574/'实盘净值数据(iFinD）'!$B$65:$Y$65)+SUMPRODUCT(分期持仓明细!$AC$25:$AD$25,'实盘净值数据(iFinD）'!$Z574:$AA574/'实盘净值数据(iFinD）'!$Z$65:$AA$65))*(1-实盘持仓初始配置!$Z$9)^(('实盘净值数据(iFinD）'!$A574-'实盘净值数据(iFinD）'!$A$8)/365))</f>
        <v/>
      </c>
      <c r="R574" s="16" t="str">
        <f t="shared" si="59"/>
        <v/>
      </c>
      <c r="S574" s="16" t="str">
        <f>IF(Q574="","",Q574/MAX(Q$5:Q574)-1)</f>
        <v/>
      </c>
    </row>
    <row r="575" spans="1:19">
      <c r="A575" s="15" t="str">
        <f>IF('实盘净值数据(iFinD）'!A575="","",'实盘净值数据(iFinD）'!A575)</f>
        <v/>
      </c>
      <c r="B575" s="13" t="str">
        <f>IF(OR('实盘净值数据(iFinD）'!$A575="",'实盘净值数据(iFinD）'!$B575=""),"",分期持仓明细!$AB$17*SUMPRODUCT(分期持仓明细!$B$17:$Y$17,'实盘净值数据(iFinD）'!$B575:$Y575/'实盘净值数据(iFinD）'!$B$20:$Y$20)*(1-实盘持仓初始配置!$Z$4)^(('实盘净值数据(iFinD）'!$A575-'实盘净值数据(iFinD）'!$A$6)/365))</f>
        <v/>
      </c>
      <c r="C575" s="16" t="str">
        <f t="shared" si="54"/>
        <v/>
      </c>
      <c r="D575" s="16" t="str">
        <f>IF(B575="","",B575/MAX(B$5:B575)-1)</f>
        <v/>
      </c>
      <c r="E575" s="13" t="str">
        <f>IF(OR('实盘净值数据(iFinD）'!$A575="",'实盘净值数据(iFinD）'!$B575=""),"",分期持仓明细!$AB$18*SUMPRODUCT(分期持仓明细!$B$18:$Y$18,'实盘净值数据(iFinD）'!$B575:$Y575/'实盘净值数据(iFinD）'!$B$20:$Y$20)*(1-实盘持仓初始配置!$Z$5)^(('实盘净值数据(iFinD）'!$A575-'实盘净值数据(iFinD）'!$A$5)/365))</f>
        <v/>
      </c>
      <c r="F575" s="16" t="str">
        <f t="shared" si="55"/>
        <v/>
      </c>
      <c r="G575" s="16" t="str">
        <f>IF(E575="","",E575/MAX(E$5:E575)-1)</f>
        <v/>
      </c>
      <c r="H575" s="13" t="str">
        <f>IF(OR('实盘净值数据(iFinD）'!$A575="",'实盘净值数据(iFinD）'!$B575=""),"",分期持仓明细!$AB$19*SUMPRODUCT(分期持仓明细!$B$19:$Y$19,'实盘净值数据(iFinD）'!$B575:$Y575/'实盘净值数据(iFinD）'!$B$20:$Y$20)*(1-实盘持仓初始配置!$Z$6)^(('实盘净值数据(iFinD）'!$A575-'实盘净值数据(iFinD）'!$A$7)/365))</f>
        <v/>
      </c>
      <c r="I575" s="16" t="str">
        <f t="shared" si="56"/>
        <v/>
      </c>
      <c r="J575" s="16" t="str">
        <f>IF(H575="","",H575/MAX(H$5:H575)-1)</f>
        <v/>
      </c>
      <c r="K575" s="13" t="str">
        <f>IF(OR('实盘净值数据(iFinD）'!$A575="",'实盘净值数据(iFinD）'!$B575="",'实盘净值数据(iFinD）'!$Z575="",'实盘净值数据(iFinD）'!$AA575=""),"",分期持仓明细!$AB$23*(SUMPRODUCT(分期持仓明细!$B$23:$Y$23,'实盘净值数据(iFinD）'!$B575:$Y575/'实盘净值数据(iFinD）'!$B$65:$Y$65)+SUMPRODUCT(分期持仓明细!$AC$23:$AD$23,'实盘净值数据(iFinD）'!$Z575:$AA575/'实盘净值数据(iFinD）'!$Z$65:$AA$65))*(1-实盘持仓初始配置!$Z$7)^(('实盘净值数据(iFinD）'!$A575-'实盘净值数据(iFinD）'!$A$8)/365))</f>
        <v/>
      </c>
      <c r="L575" s="16" t="str">
        <f t="shared" si="57"/>
        <v/>
      </c>
      <c r="M575" s="16" t="str">
        <f>IF(K575="","",K575/MAX(K$5:K575)-1)</f>
        <v/>
      </c>
      <c r="N575" s="13" t="str">
        <f>IF(OR('实盘净值数据(iFinD）'!$A575="",'实盘净值数据(iFinD）'!$B575="",'实盘净值数据(iFinD）'!$Z575="",'实盘净值数据(iFinD）'!$AA575=""),"",分期持仓明细!$AB$24*(SUMPRODUCT(分期持仓明细!$B$24:$Y$24,'实盘净值数据(iFinD）'!$B575:$Y575/'实盘净值数据(iFinD）'!$B$65:$Y$65)+SUMPRODUCT(分期持仓明细!$AC$24:$AD$24,'实盘净值数据(iFinD）'!$Z575:$AA575/'实盘净值数据(iFinD）'!$Z$65:$AA$65))*(1-实盘持仓初始配置!$Z$8)^(('实盘净值数据(iFinD）'!$A575-'实盘净值数据(iFinD）'!$A$5)/365))</f>
        <v/>
      </c>
      <c r="O575" s="16" t="str">
        <f t="shared" si="58"/>
        <v/>
      </c>
      <c r="P575" s="16" t="str">
        <f>IF(N575="","",N575/MAX(N$5:N575)-1)</f>
        <v/>
      </c>
      <c r="Q575" s="13" t="str">
        <f>IF(OR('实盘净值数据(iFinD）'!$A575="",'实盘净值数据(iFinD）'!$B575="",'实盘净值数据(iFinD）'!$Z575="",'实盘净值数据(iFinD）'!$AA575=""),"",分期持仓明细!$AB$25*(SUMPRODUCT(分期持仓明细!$B$25:$Y$25,'实盘净值数据(iFinD）'!$B575:$Y575/'实盘净值数据(iFinD）'!$B$65:$Y$65)+SUMPRODUCT(分期持仓明细!$AC$25:$AD$25,'实盘净值数据(iFinD）'!$Z575:$AA575/'实盘净值数据(iFinD）'!$Z$65:$AA$65))*(1-实盘持仓初始配置!$Z$9)^(('实盘净值数据(iFinD）'!$A575-'实盘净值数据(iFinD）'!$A$8)/365))</f>
        <v/>
      </c>
      <c r="R575" s="16" t="str">
        <f t="shared" si="59"/>
        <v/>
      </c>
      <c r="S575" s="16" t="str">
        <f>IF(Q575="","",Q575/MAX(Q$5:Q575)-1)</f>
        <v/>
      </c>
    </row>
    <row r="576" spans="1:19">
      <c r="A576" s="15" t="str">
        <f>IF('实盘净值数据(iFinD）'!A576="","",'实盘净值数据(iFinD）'!A576)</f>
        <v/>
      </c>
      <c r="B576" s="13" t="str">
        <f>IF(OR('实盘净值数据(iFinD）'!$A576="",'实盘净值数据(iFinD）'!$B576=""),"",分期持仓明细!$AB$17*SUMPRODUCT(分期持仓明细!$B$17:$Y$17,'实盘净值数据(iFinD）'!$B576:$Y576/'实盘净值数据(iFinD）'!$B$20:$Y$20)*(1-实盘持仓初始配置!$Z$4)^(('实盘净值数据(iFinD）'!$A576-'实盘净值数据(iFinD）'!$A$6)/365))</f>
        <v/>
      </c>
      <c r="C576" s="16" t="str">
        <f t="shared" si="54"/>
        <v/>
      </c>
      <c r="D576" s="16" t="str">
        <f>IF(B576="","",B576/MAX(B$5:B576)-1)</f>
        <v/>
      </c>
      <c r="E576" s="13" t="str">
        <f>IF(OR('实盘净值数据(iFinD）'!$A576="",'实盘净值数据(iFinD）'!$B576=""),"",分期持仓明细!$AB$18*SUMPRODUCT(分期持仓明细!$B$18:$Y$18,'实盘净值数据(iFinD）'!$B576:$Y576/'实盘净值数据(iFinD）'!$B$20:$Y$20)*(1-实盘持仓初始配置!$Z$5)^(('实盘净值数据(iFinD）'!$A576-'实盘净值数据(iFinD）'!$A$5)/365))</f>
        <v/>
      </c>
      <c r="F576" s="16" t="str">
        <f t="shared" si="55"/>
        <v/>
      </c>
      <c r="G576" s="16" t="str">
        <f>IF(E576="","",E576/MAX(E$5:E576)-1)</f>
        <v/>
      </c>
      <c r="H576" s="13" t="str">
        <f>IF(OR('实盘净值数据(iFinD）'!$A576="",'实盘净值数据(iFinD）'!$B576=""),"",分期持仓明细!$AB$19*SUMPRODUCT(分期持仓明细!$B$19:$Y$19,'实盘净值数据(iFinD）'!$B576:$Y576/'实盘净值数据(iFinD）'!$B$20:$Y$20)*(1-实盘持仓初始配置!$Z$6)^(('实盘净值数据(iFinD）'!$A576-'实盘净值数据(iFinD）'!$A$7)/365))</f>
        <v/>
      </c>
      <c r="I576" s="16" t="str">
        <f t="shared" si="56"/>
        <v/>
      </c>
      <c r="J576" s="16" t="str">
        <f>IF(H576="","",H576/MAX(H$5:H576)-1)</f>
        <v/>
      </c>
      <c r="K576" s="13" t="str">
        <f>IF(OR('实盘净值数据(iFinD）'!$A576="",'实盘净值数据(iFinD）'!$B576="",'实盘净值数据(iFinD）'!$Z576="",'实盘净值数据(iFinD）'!$AA576=""),"",分期持仓明细!$AB$23*(SUMPRODUCT(分期持仓明细!$B$23:$Y$23,'实盘净值数据(iFinD）'!$B576:$Y576/'实盘净值数据(iFinD）'!$B$65:$Y$65)+SUMPRODUCT(分期持仓明细!$AC$23:$AD$23,'实盘净值数据(iFinD）'!$Z576:$AA576/'实盘净值数据(iFinD）'!$Z$65:$AA$65))*(1-实盘持仓初始配置!$Z$7)^(('实盘净值数据(iFinD）'!$A576-'实盘净值数据(iFinD）'!$A$8)/365))</f>
        <v/>
      </c>
      <c r="L576" s="16" t="str">
        <f t="shared" si="57"/>
        <v/>
      </c>
      <c r="M576" s="16" t="str">
        <f>IF(K576="","",K576/MAX(K$5:K576)-1)</f>
        <v/>
      </c>
      <c r="N576" s="13" t="str">
        <f>IF(OR('实盘净值数据(iFinD）'!$A576="",'实盘净值数据(iFinD）'!$B576="",'实盘净值数据(iFinD）'!$Z576="",'实盘净值数据(iFinD）'!$AA576=""),"",分期持仓明细!$AB$24*(SUMPRODUCT(分期持仓明细!$B$24:$Y$24,'实盘净值数据(iFinD）'!$B576:$Y576/'实盘净值数据(iFinD）'!$B$65:$Y$65)+SUMPRODUCT(分期持仓明细!$AC$24:$AD$24,'实盘净值数据(iFinD）'!$Z576:$AA576/'实盘净值数据(iFinD）'!$Z$65:$AA$65))*(1-实盘持仓初始配置!$Z$8)^(('实盘净值数据(iFinD）'!$A576-'实盘净值数据(iFinD）'!$A$5)/365))</f>
        <v/>
      </c>
      <c r="O576" s="16" t="str">
        <f t="shared" si="58"/>
        <v/>
      </c>
      <c r="P576" s="16" t="str">
        <f>IF(N576="","",N576/MAX(N$5:N576)-1)</f>
        <v/>
      </c>
      <c r="Q576" s="13" t="str">
        <f>IF(OR('实盘净值数据(iFinD）'!$A576="",'实盘净值数据(iFinD）'!$B576="",'实盘净值数据(iFinD）'!$Z576="",'实盘净值数据(iFinD）'!$AA576=""),"",分期持仓明细!$AB$25*(SUMPRODUCT(分期持仓明细!$B$25:$Y$25,'实盘净值数据(iFinD）'!$B576:$Y576/'实盘净值数据(iFinD）'!$B$65:$Y$65)+SUMPRODUCT(分期持仓明细!$AC$25:$AD$25,'实盘净值数据(iFinD）'!$Z576:$AA576/'实盘净值数据(iFinD）'!$Z$65:$AA$65))*(1-实盘持仓初始配置!$Z$9)^(('实盘净值数据(iFinD）'!$A576-'实盘净值数据(iFinD）'!$A$8)/365))</f>
        <v/>
      </c>
      <c r="R576" s="16" t="str">
        <f t="shared" si="59"/>
        <v/>
      </c>
      <c r="S576" s="16" t="str">
        <f>IF(Q576="","",Q576/MAX(Q$5:Q576)-1)</f>
        <v/>
      </c>
    </row>
    <row r="577" spans="1:19">
      <c r="A577" s="15" t="str">
        <f>IF('实盘净值数据(iFinD）'!A577="","",'实盘净值数据(iFinD）'!A577)</f>
        <v/>
      </c>
      <c r="B577" s="13" t="str">
        <f>IF(OR('实盘净值数据(iFinD）'!$A577="",'实盘净值数据(iFinD）'!$B577=""),"",分期持仓明细!$AB$17*SUMPRODUCT(分期持仓明细!$B$17:$Y$17,'实盘净值数据(iFinD）'!$B577:$Y577/'实盘净值数据(iFinD）'!$B$20:$Y$20)*(1-实盘持仓初始配置!$Z$4)^(('实盘净值数据(iFinD）'!$A577-'实盘净值数据(iFinD）'!$A$6)/365))</f>
        <v/>
      </c>
      <c r="C577" s="16" t="str">
        <f t="shared" si="54"/>
        <v/>
      </c>
      <c r="D577" s="16" t="str">
        <f>IF(B577="","",B577/MAX(B$5:B577)-1)</f>
        <v/>
      </c>
      <c r="E577" s="13" t="str">
        <f>IF(OR('实盘净值数据(iFinD）'!$A577="",'实盘净值数据(iFinD）'!$B577=""),"",分期持仓明细!$AB$18*SUMPRODUCT(分期持仓明细!$B$18:$Y$18,'实盘净值数据(iFinD）'!$B577:$Y577/'实盘净值数据(iFinD）'!$B$20:$Y$20)*(1-实盘持仓初始配置!$Z$5)^(('实盘净值数据(iFinD）'!$A577-'实盘净值数据(iFinD）'!$A$5)/365))</f>
        <v/>
      </c>
      <c r="F577" s="16" t="str">
        <f t="shared" si="55"/>
        <v/>
      </c>
      <c r="G577" s="16" t="str">
        <f>IF(E577="","",E577/MAX(E$5:E577)-1)</f>
        <v/>
      </c>
      <c r="H577" s="13" t="str">
        <f>IF(OR('实盘净值数据(iFinD）'!$A577="",'实盘净值数据(iFinD）'!$B577=""),"",分期持仓明细!$AB$19*SUMPRODUCT(分期持仓明细!$B$19:$Y$19,'实盘净值数据(iFinD）'!$B577:$Y577/'实盘净值数据(iFinD）'!$B$20:$Y$20)*(1-实盘持仓初始配置!$Z$6)^(('实盘净值数据(iFinD）'!$A577-'实盘净值数据(iFinD）'!$A$7)/365))</f>
        <v/>
      </c>
      <c r="I577" s="16" t="str">
        <f t="shared" si="56"/>
        <v/>
      </c>
      <c r="J577" s="16" t="str">
        <f>IF(H577="","",H577/MAX(H$5:H577)-1)</f>
        <v/>
      </c>
      <c r="K577" s="13" t="str">
        <f>IF(OR('实盘净值数据(iFinD）'!$A577="",'实盘净值数据(iFinD）'!$B577="",'实盘净值数据(iFinD）'!$Z577="",'实盘净值数据(iFinD）'!$AA577=""),"",分期持仓明细!$AB$23*(SUMPRODUCT(分期持仓明细!$B$23:$Y$23,'实盘净值数据(iFinD）'!$B577:$Y577/'实盘净值数据(iFinD）'!$B$65:$Y$65)+SUMPRODUCT(分期持仓明细!$AC$23:$AD$23,'实盘净值数据(iFinD）'!$Z577:$AA577/'实盘净值数据(iFinD）'!$Z$65:$AA$65))*(1-实盘持仓初始配置!$Z$7)^(('实盘净值数据(iFinD）'!$A577-'实盘净值数据(iFinD）'!$A$8)/365))</f>
        <v/>
      </c>
      <c r="L577" s="16" t="str">
        <f t="shared" si="57"/>
        <v/>
      </c>
      <c r="M577" s="16" t="str">
        <f>IF(K577="","",K577/MAX(K$5:K577)-1)</f>
        <v/>
      </c>
      <c r="N577" s="13" t="str">
        <f>IF(OR('实盘净值数据(iFinD）'!$A577="",'实盘净值数据(iFinD）'!$B577="",'实盘净值数据(iFinD）'!$Z577="",'实盘净值数据(iFinD）'!$AA577=""),"",分期持仓明细!$AB$24*(SUMPRODUCT(分期持仓明细!$B$24:$Y$24,'实盘净值数据(iFinD）'!$B577:$Y577/'实盘净值数据(iFinD）'!$B$65:$Y$65)+SUMPRODUCT(分期持仓明细!$AC$24:$AD$24,'实盘净值数据(iFinD）'!$Z577:$AA577/'实盘净值数据(iFinD）'!$Z$65:$AA$65))*(1-实盘持仓初始配置!$Z$8)^(('实盘净值数据(iFinD）'!$A577-'实盘净值数据(iFinD）'!$A$5)/365))</f>
        <v/>
      </c>
      <c r="O577" s="16" t="str">
        <f t="shared" si="58"/>
        <v/>
      </c>
      <c r="P577" s="16" t="str">
        <f>IF(N577="","",N577/MAX(N$5:N577)-1)</f>
        <v/>
      </c>
      <c r="Q577" s="13" t="str">
        <f>IF(OR('实盘净值数据(iFinD）'!$A577="",'实盘净值数据(iFinD）'!$B577="",'实盘净值数据(iFinD）'!$Z577="",'实盘净值数据(iFinD）'!$AA577=""),"",分期持仓明细!$AB$25*(SUMPRODUCT(分期持仓明细!$B$25:$Y$25,'实盘净值数据(iFinD）'!$B577:$Y577/'实盘净值数据(iFinD）'!$B$65:$Y$65)+SUMPRODUCT(分期持仓明细!$AC$25:$AD$25,'实盘净值数据(iFinD）'!$Z577:$AA577/'实盘净值数据(iFinD）'!$Z$65:$AA$65))*(1-实盘持仓初始配置!$Z$9)^(('实盘净值数据(iFinD）'!$A577-'实盘净值数据(iFinD）'!$A$8)/365))</f>
        <v/>
      </c>
      <c r="R577" s="16" t="str">
        <f t="shared" si="59"/>
        <v/>
      </c>
      <c r="S577" s="16" t="str">
        <f>IF(Q577="","",Q577/MAX(Q$5:Q577)-1)</f>
        <v/>
      </c>
    </row>
    <row r="578" spans="1:19">
      <c r="A578" s="15" t="str">
        <f>IF('实盘净值数据(iFinD）'!A578="","",'实盘净值数据(iFinD）'!A578)</f>
        <v/>
      </c>
      <c r="B578" s="13" t="str">
        <f>IF(OR('实盘净值数据(iFinD）'!$A578="",'实盘净值数据(iFinD）'!$B578=""),"",分期持仓明细!$AB$17*SUMPRODUCT(分期持仓明细!$B$17:$Y$17,'实盘净值数据(iFinD）'!$B578:$Y578/'实盘净值数据(iFinD）'!$B$20:$Y$20)*(1-实盘持仓初始配置!$Z$4)^(('实盘净值数据(iFinD）'!$A578-'实盘净值数据(iFinD）'!$A$6)/365))</f>
        <v/>
      </c>
      <c r="C578" s="16" t="str">
        <f t="shared" si="54"/>
        <v/>
      </c>
      <c r="D578" s="16" t="str">
        <f>IF(B578="","",B578/MAX(B$5:B578)-1)</f>
        <v/>
      </c>
      <c r="E578" s="13" t="str">
        <f>IF(OR('实盘净值数据(iFinD）'!$A578="",'实盘净值数据(iFinD）'!$B578=""),"",分期持仓明细!$AB$18*SUMPRODUCT(分期持仓明细!$B$18:$Y$18,'实盘净值数据(iFinD）'!$B578:$Y578/'实盘净值数据(iFinD）'!$B$20:$Y$20)*(1-实盘持仓初始配置!$Z$5)^(('实盘净值数据(iFinD）'!$A578-'实盘净值数据(iFinD）'!$A$5)/365))</f>
        <v/>
      </c>
      <c r="F578" s="16" t="str">
        <f t="shared" si="55"/>
        <v/>
      </c>
      <c r="G578" s="16" t="str">
        <f>IF(E578="","",E578/MAX(E$5:E578)-1)</f>
        <v/>
      </c>
      <c r="H578" s="13" t="str">
        <f>IF(OR('实盘净值数据(iFinD）'!$A578="",'实盘净值数据(iFinD）'!$B578=""),"",分期持仓明细!$AB$19*SUMPRODUCT(分期持仓明细!$B$19:$Y$19,'实盘净值数据(iFinD）'!$B578:$Y578/'实盘净值数据(iFinD）'!$B$20:$Y$20)*(1-实盘持仓初始配置!$Z$6)^(('实盘净值数据(iFinD）'!$A578-'实盘净值数据(iFinD）'!$A$7)/365))</f>
        <v/>
      </c>
      <c r="I578" s="16" t="str">
        <f t="shared" si="56"/>
        <v/>
      </c>
      <c r="J578" s="16" t="str">
        <f>IF(H578="","",H578/MAX(H$5:H578)-1)</f>
        <v/>
      </c>
      <c r="K578" s="13" t="str">
        <f>IF(OR('实盘净值数据(iFinD）'!$A578="",'实盘净值数据(iFinD）'!$B578="",'实盘净值数据(iFinD）'!$Z578="",'实盘净值数据(iFinD）'!$AA578=""),"",分期持仓明细!$AB$23*(SUMPRODUCT(分期持仓明细!$B$23:$Y$23,'实盘净值数据(iFinD）'!$B578:$Y578/'实盘净值数据(iFinD）'!$B$65:$Y$65)+SUMPRODUCT(分期持仓明细!$AC$23:$AD$23,'实盘净值数据(iFinD）'!$Z578:$AA578/'实盘净值数据(iFinD）'!$Z$65:$AA$65))*(1-实盘持仓初始配置!$Z$7)^(('实盘净值数据(iFinD）'!$A578-'实盘净值数据(iFinD）'!$A$8)/365))</f>
        <v/>
      </c>
      <c r="L578" s="16" t="str">
        <f t="shared" si="57"/>
        <v/>
      </c>
      <c r="M578" s="16" t="str">
        <f>IF(K578="","",K578/MAX(K$5:K578)-1)</f>
        <v/>
      </c>
      <c r="N578" s="13" t="str">
        <f>IF(OR('实盘净值数据(iFinD）'!$A578="",'实盘净值数据(iFinD）'!$B578="",'实盘净值数据(iFinD）'!$Z578="",'实盘净值数据(iFinD）'!$AA578=""),"",分期持仓明细!$AB$24*(SUMPRODUCT(分期持仓明细!$B$24:$Y$24,'实盘净值数据(iFinD）'!$B578:$Y578/'实盘净值数据(iFinD）'!$B$65:$Y$65)+SUMPRODUCT(分期持仓明细!$AC$24:$AD$24,'实盘净值数据(iFinD）'!$Z578:$AA578/'实盘净值数据(iFinD）'!$Z$65:$AA$65))*(1-实盘持仓初始配置!$Z$8)^(('实盘净值数据(iFinD）'!$A578-'实盘净值数据(iFinD）'!$A$5)/365))</f>
        <v/>
      </c>
      <c r="O578" s="16" t="str">
        <f t="shared" si="58"/>
        <v/>
      </c>
      <c r="P578" s="16" t="str">
        <f>IF(N578="","",N578/MAX(N$5:N578)-1)</f>
        <v/>
      </c>
      <c r="Q578" s="13" t="str">
        <f>IF(OR('实盘净值数据(iFinD）'!$A578="",'实盘净值数据(iFinD）'!$B578="",'实盘净值数据(iFinD）'!$Z578="",'实盘净值数据(iFinD）'!$AA578=""),"",分期持仓明细!$AB$25*(SUMPRODUCT(分期持仓明细!$B$25:$Y$25,'实盘净值数据(iFinD）'!$B578:$Y578/'实盘净值数据(iFinD）'!$B$65:$Y$65)+SUMPRODUCT(分期持仓明细!$AC$25:$AD$25,'实盘净值数据(iFinD）'!$Z578:$AA578/'实盘净值数据(iFinD）'!$Z$65:$AA$65))*(1-实盘持仓初始配置!$Z$9)^(('实盘净值数据(iFinD）'!$A578-'实盘净值数据(iFinD）'!$A$8)/365))</f>
        <v/>
      </c>
      <c r="R578" s="16" t="str">
        <f t="shared" si="59"/>
        <v/>
      </c>
      <c r="S578" s="16" t="str">
        <f>IF(Q578="","",Q578/MAX(Q$5:Q578)-1)</f>
        <v/>
      </c>
    </row>
    <row r="579" spans="1:19">
      <c r="A579" s="15" t="str">
        <f>IF('实盘净值数据(iFinD）'!A579="","",'实盘净值数据(iFinD）'!A579)</f>
        <v/>
      </c>
      <c r="B579" s="13" t="str">
        <f>IF(OR('实盘净值数据(iFinD）'!$A579="",'实盘净值数据(iFinD）'!$B579=""),"",分期持仓明细!$AB$17*SUMPRODUCT(分期持仓明细!$B$17:$Y$17,'实盘净值数据(iFinD）'!$B579:$Y579/'实盘净值数据(iFinD）'!$B$20:$Y$20)*(1-实盘持仓初始配置!$Z$4)^(('实盘净值数据(iFinD）'!$A579-'实盘净值数据(iFinD）'!$A$6)/365))</f>
        <v/>
      </c>
      <c r="C579" s="16" t="str">
        <f t="shared" si="54"/>
        <v/>
      </c>
      <c r="D579" s="16" t="str">
        <f>IF(B579="","",B579/MAX(B$5:B579)-1)</f>
        <v/>
      </c>
      <c r="E579" s="13" t="str">
        <f>IF(OR('实盘净值数据(iFinD）'!$A579="",'实盘净值数据(iFinD）'!$B579=""),"",分期持仓明细!$AB$18*SUMPRODUCT(分期持仓明细!$B$18:$Y$18,'实盘净值数据(iFinD）'!$B579:$Y579/'实盘净值数据(iFinD）'!$B$20:$Y$20)*(1-实盘持仓初始配置!$Z$5)^(('实盘净值数据(iFinD）'!$A579-'实盘净值数据(iFinD）'!$A$5)/365))</f>
        <v/>
      </c>
      <c r="F579" s="16" t="str">
        <f t="shared" si="55"/>
        <v/>
      </c>
      <c r="G579" s="16" t="str">
        <f>IF(E579="","",E579/MAX(E$5:E579)-1)</f>
        <v/>
      </c>
      <c r="H579" s="13" t="str">
        <f>IF(OR('实盘净值数据(iFinD）'!$A579="",'实盘净值数据(iFinD）'!$B579=""),"",分期持仓明细!$AB$19*SUMPRODUCT(分期持仓明细!$B$19:$Y$19,'实盘净值数据(iFinD）'!$B579:$Y579/'实盘净值数据(iFinD）'!$B$20:$Y$20)*(1-实盘持仓初始配置!$Z$6)^(('实盘净值数据(iFinD）'!$A579-'实盘净值数据(iFinD）'!$A$7)/365))</f>
        <v/>
      </c>
      <c r="I579" s="16" t="str">
        <f t="shared" si="56"/>
        <v/>
      </c>
      <c r="J579" s="16" t="str">
        <f>IF(H579="","",H579/MAX(H$5:H579)-1)</f>
        <v/>
      </c>
      <c r="K579" s="13" t="str">
        <f>IF(OR('实盘净值数据(iFinD）'!$A579="",'实盘净值数据(iFinD）'!$B579="",'实盘净值数据(iFinD）'!$Z579="",'实盘净值数据(iFinD）'!$AA579=""),"",分期持仓明细!$AB$23*(SUMPRODUCT(分期持仓明细!$B$23:$Y$23,'实盘净值数据(iFinD）'!$B579:$Y579/'实盘净值数据(iFinD）'!$B$65:$Y$65)+SUMPRODUCT(分期持仓明细!$AC$23:$AD$23,'实盘净值数据(iFinD）'!$Z579:$AA579/'实盘净值数据(iFinD）'!$Z$65:$AA$65))*(1-实盘持仓初始配置!$Z$7)^(('实盘净值数据(iFinD）'!$A579-'实盘净值数据(iFinD）'!$A$8)/365))</f>
        <v/>
      </c>
      <c r="L579" s="16" t="str">
        <f t="shared" si="57"/>
        <v/>
      </c>
      <c r="M579" s="16" t="str">
        <f>IF(K579="","",K579/MAX(K$5:K579)-1)</f>
        <v/>
      </c>
      <c r="N579" s="13" t="str">
        <f>IF(OR('实盘净值数据(iFinD）'!$A579="",'实盘净值数据(iFinD）'!$B579="",'实盘净值数据(iFinD）'!$Z579="",'实盘净值数据(iFinD）'!$AA579=""),"",分期持仓明细!$AB$24*(SUMPRODUCT(分期持仓明细!$B$24:$Y$24,'实盘净值数据(iFinD）'!$B579:$Y579/'实盘净值数据(iFinD）'!$B$65:$Y$65)+SUMPRODUCT(分期持仓明细!$AC$24:$AD$24,'实盘净值数据(iFinD）'!$Z579:$AA579/'实盘净值数据(iFinD）'!$Z$65:$AA$65))*(1-实盘持仓初始配置!$Z$8)^(('实盘净值数据(iFinD）'!$A579-'实盘净值数据(iFinD）'!$A$5)/365))</f>
        <v/>
      </c>
      <c r="O579" s="16" t="str">
        <f t="shared" si="58"/>
        <v/>
      </c>
      <c r="P579" s="16" t="str">
        <f>IF(N579="","",N579/MAX(N$5:N579)-1)</f>
        <v/>
      </c>
      <c r="Q579" s="13" t="str">
        <f>IF(OR('实盘净值数据(iFinD）'!$A579="",'实盘净值数据(iFinD）'!$B579="",'实盘净值数据(iFinD）'!$Z579="",'实盘净值数据(iFinD）'!$AA579=""),"",分期持仓明细!$AB$25*(SUMPRODUCT(分期持仓明细!$B$25:$Y$25,'实盘净值数据(iFinD）'!$B579:$Y579/'实盘净值数据(iFinD）'!$B$65:$Y$65)+SUMPRODUCT(分期持仓明细!$AC$25:$AD$25,'实盘净值数据(iFinD）'!$Z579:$AA579/'实盘净值数据(iFinD）'!$Z$65:$AA$65))*(1-实盘持仓初始配置!$Z$9)^(('实盘净值数据(iFinD）'!$A579-'实盘净值数据(iFinD）'!$A$8)/365))</f>
        <v/>
      </c>
      <c r="R579" s="16" t="str">
        <f t="shared" si="59"/>
        <v/>
      </c>
      <c r="S579" s="16" t="str">
        <f>IF(Q579="","",Q579/MAX(Q$5:Q579)-1)</f>
        <v/>
      </c>
    </row>
    <row r="580" spans="1:19">
      <c r="A580" s="15" t="str">
        <f>IF('实盘净值数据(iFinD）'!A580="","",'实盘净值数据(iFinD）'!A580)</f>
        <v/>
      </c>
      <c r="B580" s="13" t="str">
        <f>IF(OR('实盘净值数据(iFinD）'!$A580="",'实盘净值数据(iFinD）'!$B580=""),"",分期持仓明细!$AB$17*SUMPRODUCT(分期持仓明细!$B$17:$Y$17,'实盘净值数据(iFinD）'!$B580:$Y580/'实盘净值数据(iFinD）'!$B$20:$Y$20)*(1-实盘持仓初始配置!$Z$4)^(('实盘净值数据(iFinD）'!$A580-'实盘净值数据(iFinD）'!$A$6)/365))</f>
        <v/>
      </c>
      <c r="C580" s="16" t="str">
        <f t="shared" si="54"/>
        <v/>
      </c>
      <c r="D580" s="16" t="str">
        <f>IF(B580="","",B580/MAX(B$5:B580)-1)</f>
        <v/>
      </c>
      <c r="E580" s="13" t="str">
        <f>IF(OR('实盘净值数据(iFinD）'!$A580="",'实盘净值数据(iFinD）'!$B580=""),"",分期持仓明细!$AB$18*SUMPRODUCT(分期持仓明细!$B$18:$Y$18,'实盘净值数据(iFinD）'!$B580:$Y580/'实盘净值数据(iFinD）'!$B$20:$Y$20)*(1-实盘持仓初始配置!$Z$5)^(('实盘净值数据(iFinD）'!$A580-'实盘净值数据(iFinD）'!$A$5)/365))</f>
        <v/>
      </c>
      <c r="F580" s="16" t="str">
        <f t="shared" si="55"/>
        <v/>
      </c>
      <c r="G580" s="16" t="str">
        <f>IF(E580="","",E580/MAX(E$5:E580)-1)</f>
        <v/>
      </c>
      <c r="H580" s="13" t="str">
        <f>IF(OR('实盘净值数据(iFinD）'!$A580="",'实盘净值数据(iFinD）'!$B580=""),"",分期持仓明细!$AB$19*SUMPRODUCT(分期持仓明细!$B$19:$Y$19,'实盘净值数据(iFinD）'!$B580:$Y580/'实盘净值数据(iFinD）'!$B$20:$Y$20)*(1-实盘持仓初始配置!$Z$6)^(('实盘净值数据(iFinD）'!$A580-'实盘净值数据(iFinD）'!$A$7)/365))</f>
        <v/>
      </c>
      <c r="I580" s="16" t="str">
        <f t="shared" si="56"/>
        <v/>
      </c>
      <c r="J580" s="16" t="str">
        <f>IF(H580="","",H580/MAX(H$5:H580)-1)</f>
        <v/>
      </c>
      <c r="K580" s="13" t="str">
        <f>IF(OR('实盘净值数据(iFinD）'!$A580="",'实盘净值数据(iFinD）'!$B580="",'实盘净值数据(iFinD）'!$Z580="",'实盘净值数据(iFinD）'!$AA580=""),"",分期持仓明细!$AB$23*(SUMPRODUCT(分期持仓明细!$B$23:$Y$23,'实盘净值数据(iFinD）'!$B580:$Y580/'实盘净值数据(iFinD）'!$B$65:$Y$65)+SUMPRODUCT(分期持仓明细!$AC$23:$AD$23,'实盘净值数据(iFinD）'!$Z580:$AA580/'实盘净值数据(iFinD）'!$Z$65:$AA$65))*(1-实盘持仓初始配置!$Z$7)^(('实盘净值数据(iFinD）'!$A580-'实盘净值数据(iFinD）'!$A$8)/365))</f>
        <v/>
      </c>
      <c r="L580" s="16" t="str">
        <f t="shared" si="57"/>
        <v/>
      </c>
      <c r="M580" s="16" t="str">
        <f>IF(K580="","",K580/MAX(K$5:K580)-1)</f>
        <v/>
      </c>
      <c r="N580" s="13" t="str">
        <f>IF(OR('实盘净值数据(iFinD）'!$A580="",'实盘净值数据(iFinD）'!$B580="",'实盘净值数据(iFinD）'!$Z580="",'实盘净值数据(iFinD）'!$AA580=""),"",分期持仓明细!$AB$24*(SUMPRODUCT(分期持仓明细!$B$24:$Y$24,'实盘净值数据(iFinD）'!$B580:$Y580/'实盘净值数据(iFinD）'!$B$65:$Y$65)+SUMPRODUCT(分期持仓明细!$AC$24:$AD$24,'实盘净值数据(iFinD）'!$Z580:$AA580/'实盘净值数据(iFinD）'!$Z$65:$AA$65))*(1-实盘持仓初始配置!$Z$8)^(('实盘净值数据(iFinD）'!$A580-'实盘净值数据(iFinD）'!$A$5)/365))</f>
        <v/>
      </c>
      <c r="O580" s="16" t="str">
        <f t="shared" si="58"/>
        <v/>
      </c>
      <c r="P580" s="16" t="str">
        <f>IF(N580="","",N580/MAX(N$5:N580)-1)</f>
        <v/>
      </c>
      <c r="Q580" s="13" t="str">
        <f>IF(OR('实盘净值数据(iFinD）'!$A580="",'实盘净值数据(iFinD）'!$B580="",'实盘净值数据(iFinD）'!$Z580="",'实盘净值数据(iFinD）'!$AA580=""),"",分期持仓明细!$AB$25*(SUMPRODUCT(分期持仓明细!$B$25:$Y$25,'实盘净值数据(iFinD）'!$B580:$Y580/'实盘净值数据(iFinD）'!$B$65:$Y$65)+SUMPRODUCT(分期持仓明细!$AC$25:$AD$25,'实盘净值数据(iFinD）'!$Z580:$AA580/'实盘净值数据(iFinD）'!$Z$65:$AA$65))*(1-实盘持仓初始配置!$Z$9)^(('实盘净值数据(iFinD）'!$A580-'实盘净值数据(iFinD）'!$A$8)/365))</f>
        <v/>
      </c>
      <c r="R580" s="16" t="str">
        <f t="shared" si="59"/>
        <v/>
      </c>
      <c r="S580" s="16" t="str">
        <f>IF(Q580="","",Q580/MAX(Q$5:Q580)-1)</f>
        <v/>
      </c>
    </row>
    <row r="581" spans="1:19">
      <c r="A581" s="15" t="str">
        <f>IF('实盘净值数据(iFinD）'!A581="","",'实盘净值数据(iFinD）'!A581)</f>
        <v/>
      </c>
      <c r="B581" s="13" t="str">
        <f>IF(OR('实盘净值数据(iFinD）'!$A581="",'实盘净值数据(iFinD）'!$B581=""),"",分期持仓明细!$AB$17*SUMPRODUCT(分期持仓明细!$B$17:$Y$17,'实盘净值数据(iFinD）'!$B581:$Y581/'实盘净值数据(iFinD）'!$B$20:$Y$20)*(1-实盘持仓初始配置!$Z$4)^(('实盘净值数据(iFinD）'!$A581-'实盘净值数据(iFinD）'!$A$6)/365))</f>
        <v/>
      </c>
      <c r="C581" s="16" t="str">
        <f t="shared" si="54"/>
        <v/>
      </c>
      <c r="D581" s="16" t="str">
        <f>IF(B581="","",B581/MAX(B$5:B581)-1)</f>
        <v/>
      </c>
      <c r="E581" s="13" t="str">
        <f>IF(OR('实盘净值数据(iFinD）'!$A581="",'实盘净值数据(iFinD）'!$B581=""),"",分期持仓明细!$AB$18*SUMPRODUCT(分期持仓明细!$B$18:$Y$18,'实盘净值数据(iFinD）'!$B581:$Y581/'实盘净值数据(iFinD）'!$B$20:$Y$20)*(1-实盘持仓初始配置!$Z$5)^(('实盘净值数据(iFinD）'!$A581-'实盘净值数据(iFinD）'!$A$5)/365))</f>
        <v/>
      </c>
      <c r="F581" s="16" t="str">
        <f t="shared" si="55"/>
        <v/>
      </c>
      <c r="G581" s="16" t="str">
        <f>IF(E581="","",E581/MAX(E$5:E581)-1)</f>
        <v/>
      </c>
      <c r="H581" s="13" t="str">
        <f>IF(OR('实盘净值数据(iFinD）'!$A581="",'实盘净值数据(iFinD）'!$B581=""),"",分期持仓明细!$AB$19*SUMPRODUCT(分期持仓明细!$B$19:$Y$19,'实盘净值数据(iFinD）'!$B581:$Y581/'实盘净值数据(iFinD）'!$B$20:$Y$20)*(1-实盘持仓初始配置!$Z$6)^(('实盘净值数据(iFinD）'!$A581-'实盘净值数据(iFinD）'!$A$7)/365))</f>
        <v/>
      </c>
      <c r="I581" s="16" t="str">
        <f t="shared" si="56"/>
        <v/>
      </c>
      <c r="J581" s="16" t="str">
        <f>IF(H581="","",H581/MAX(H$5:H581)-1)</f>
        <v/>
      </c>
      <c r="K581" s="13" t="str">
        <f>IF(OR('实盘净值数据(iFinD）'!$A581="",'实盘净值数据(iFinD）'!$B581="",'实盘净值数据(iFinD）'!$Z581="",'实盘净值数据(iFinD）'!$AA581=""),"",分期持仓明细!$AB$23*(SUMPRODUCT(分期持仓明细!$B$23:$Y$23,'实盘净值数据(iFinD）'!$B581:$Y581/'实盘净值数据(iFinD）'!$B$65:$Y$65)+SUMPRODUCT(分期持仓明细!$AC$23:$AD$23,'实盘净值数据(iFinD）'!$Z581:$AA581/'实盘净值数据(iFinD）'!$Z$65:$AA$65))*(1-实盘持仓初始配置!$Z$7)^(('实盘净值数据(iFinD）'!$A581-'实盘净值数据(iFinD）'!$A$8)/365))</f>
        <v/>
      </c>
      <c r="L581" s="16" t="str">
        <f t="shared" si="57"/>
        <v/>
      </c>
      <c r="M581" s="16" t="str">
        <f>IF(K581="","",K581/MAX(K$5:K581)-1)</f>
        <v/>
      </c>
      <c r="N581" s="13" t="str">
        <f>IF(OR('实盘净值数据(iFinD）'!$A581="",'实盘净值数据(iFinD）'!$B581="",'实盘净值数据(iFinD）'!$Z581="",'实盘净值数据(iFinD）'!$AA581=""),"",分期持仓明细!$AB$24*(SUMPRODUCT(分期持仓明细!$B$24:$Y$24,'实盘净值数据(iFinD）'!$B581:$Y581/'实盘净值数据(iFinD）'!$B$65:$Y$65)+SUMPRODUCT(分期持仓明细!$AC$24:$AD$24,'实盘净值数据(iFinD）'!$Z581:$AA581/'实盘净值数据(iFinD）'!$Z$65:$AA$65))*(1-实盘持仓初始配置!$Z$8)^(('实盘净值数据(iFinD）'!$A581-'实盘净值数据(iFinD）'!$A$5)/365))</f>
        <v/>
      </c>
      <c r="O581" s="16" t="str">
        <f t="shared" si="58"/>
        <v/>
      </c>
      <c r="P581" s="16" t="str">
        <f>IF(N581="","",N581/MAX(N$5:N581)-1)</f>
        <v/>
      </c>
      <c r="Q581" s="13" t="str">
        <f>IF(OR('实盘净值数据(iFinD）'!$A581="",'实盘净值数据(iFinD）'!$B581="",'实盘净值数据(iFinD）'!$Z581="",'实盘净值数据(iFinD）'!$AA581=""),"",分期持仓明细!$AB$25*(SUMPRODUCT(分期持仓明细!$B$25:$Y$25,'实盘净值数据(iFinD）'!$B581:$Y581/'实盘净值数据(iFinD）'!$B$65:$Y$65)+SUMPRODUCT(分期持仓明细!$AC$25:$AD$25,'实盘净值数据(iFinD）'!$Z581:$AA581/'实盘净值数据(iFinD）'!$Z$65:$AA$65))*(1-实盘持仓初始配置!$Z$9)^(('实盘净值数据(iFinD）'!$A581-'实盘净值数据(iFinD）'!$A$8)/365))</f>
        <v/>
      </c>
      <c r="R581" s="16" t="str">
        <f t="shared" si="59"/>
        <v/>
      </c>
      <c r="S581" s="16" t="str">
        <f>IF(Q581="","",Q581/MAX(Q$5:Q581)-1)</f>
        <v/>
      </c>
    </row>
    <row r="582" spans="1:19">
      <c r="A582" s="15" t="str">
        <f>IF('实盘净值数据(iFinD）'!A582="","",'实盘净值数据(iFinD）'!A582)</f>
        <v/>
      </c>
      <c r="B582" s="13" t="str">
        <f>IF(OR('实盘净值数据(iFinD）'!$A582="",'实盘净值数据(iFinD）'!$B582=""),"",分期持仓明细!$AB$17*SUMPRODUCT(分期持仓明细!$B$17:$Y$17,'实盘净值数据(iFinD）'!$B582:$Y582/'实盘净值数据(iFinD）'!$B$20:$Y$20)*(1-实盘持仓初始配置!$Z$4)^(('实盘净值数据(iFinD）'!$A582-'实盘净值数据(iFinD）'!$A$6)/365))</f>
        <v/>
      </c>
      <c r="C582" s="16" t="str">
        <f t="shared" si="54"/>
        <v/>
      </c>
      <c r="D582" s="16" t="str">
        <f>IF(B582="","",B582/MAX(B$5:B582)-1)</f>
        <v/>
      </c>
      <c r="E582" s="13" t="str">
        <f>IF(OR('实盘净值数据(iFinD）'!$A582="",'实盘净值数据(iFinD）'!$B582=""),"",分期持仓明细!$AB$18*SUMPRODUCT(分期持仓明细!$B$18:$Y$18,'实盘净值数据(iFinD）'!$B582:$Y582/'实盘净值数据(iFinD）'!$B$20:$Y$20)*(1-实盘持仓初始配置!$Z$5)^(('实盘净值数据(iFinD）'!$A582-'实盘净值数据(iFinD）'!$A$5)/365))</f>
        <v/>
      </c>
      <c r="F582" s="16" t="str">
        <f t="shared" si="55"/>
        <v/>
      </c>
      <c r="G582" s="16" t="str">
        <f>IF(E582="","",E582/MAX(E$5:E582)-1)</f>
        <v/>
      </c>
      <c r="H582" s="13" t="str">
        <f>IF(OR('实盘净值数据(iFinD）'!$A582="",'实盘净值数据(iFinD）'!$B582=""),"",分期持仓明细!$AB$19*SUMPRODUCT(分期持仓明细!$B$19:$Y$19,'实盘净值数据(iFinD）'!$B582:$Y582/'实盘净值数据(iFinD）'!$B$20:$Y$20)*(1-实盘持仓初始配置!$Z$6)^(('实盘净值数据(iFinD）'!$A582-'实盘净值数据(iFinD）'!$A$7)/365))</f>
        <v/>
      </c>
      <c r="I582" s="16" t="str">
        <f t="shared" si="56"/>
        <v/>
      </c>
      <c r="J582" s="16" t="str">
        <f>IF(H582="","",H582/MAX(H$5:H582)-1)</f>
        <v/>
      </c>
      <c r="K582" s="13" t="str">
        <f>IF(OR('实盘净值数据(iFinD）'!$A582="",'实盘净值数据(iFinD）'!$B582="",'实盘净值数据(iFinD）'!$Z582="",'实盘净值数据(iFinD）'!$AA582=""),"",分期持仓明细!$AB$23*(SUMPRODUCT(分期持仓明细!$B$23:$Y$23,'实盘净值数据(iFinD）'!$B582:$Y582/'实盘净值数据(iFinD）'!$B$65:$Y$65)+SUMPRODUCT(分期持仓明细!$AC$23:$AD$23,'实盘净值数据(iFinD）'!$Z582:$AA582/'实盘净值数据(iFinD）'!$Z$65:$AA$65))*(1-实盘持仓初始配置!$Z$7)^(('实盘净值数据(iFinD）'!$A582-'实盘净值数据(iFinD）'!$A$8)/365))</f>
        <v/>
      </c>
      <c r="L582" s="16" t="str">
        <f t="shared" si="57"/>
        <v/>
      </c>
      <c r="M582" s="16" t="str">
        <f>IF(K582="","",K582/MAX(K$5:K582)-1)</f>
        <v/>
      </c>
      <c r="N582" s="13" t="str">
        <f>IF(OR('实盘净值数据(iFinD）'!$A582="",'实盘净值数据(iFinD）'!$B582="",'实盘净值数据(iFinD）'!$Z582="",'实盘净值数据(iFinD）'!$AA582=""),"",分期持仓明细!$AB$24*(SUMPRODUCT(分期持仓明细!$B$24:$Y$24,'实盘净值数据(iFinD）'!$B582:$Y582/'实盘净值数据(iFinD）'!$B$65:$Y$65)+SUMPRODUCT(分期持仓明细!$AC$24:$AD$24,'实盘净值数据(iFinD）'!$Z582:$AA582/'实盘净值数据(iFinD）'!$Z$65:$AA$65))*(1-实盘持仓初始配置!$Z$8)^(('实盘净值数据(iFinD）'!$A582-'实盘净值数据(iFinD）'!$A$5)/365))</f>
        <v/>
      </c>
      <c r="O582" s="16" t="str">
        <f t="shared" si="58"/>
        <v/>
      </c>
      <c r="P582" s="16" t="str">
        <f>IF(N582="","",N582/MAX(N$5:N582)-1)</f>
        <v/>
      </c>
      <c r="Q582" s="13" t="str">
        <f>IF(OR('实盘净值数据(iFinD）'!$A582="",'实盘净值数据(iFinD）'!$B582="",'实盘净值数据(iFinD）'!$Z582="",'实盘净值数据(iFinD）'!$AA582=""),"",分期持仓明细!$AB$25*(SUMPRODUCT(分期持仓明细!$B$25:$Y$25,'实盘净值数据(iFinD）'!$B582:$Y582/'实盘净值数据(iFinD）'!$B$65:$Y$65)+SUMPRODUCT(分期持仓明细!$AC$25:$AD$25,'实盘净值数据(iFinD）'!$Z582:$AA582/'实盘净值数据(iFinD）'!$Z$65:$AA$65))*(1-实盘持仓初始配置!$Z$9)^(('实盘净值数据(iFinD）'!$A582-'实盘净值数据(iFinD）'!$A$8)/365))</f>
        <v/>
      </c>
      <c r="R582" s="16" t="str">
        <f t="shared" si="59"/>
        <v/>
      </c>
      <c r="S582" s="16" t="str">
        <f>IF(Q582="","",Q582/MAX(Q$5:Q582)-1)</f>
        <v/>
      </c>
    </row>
    <row r="583" spans="1:19">
      <c r="A583" s="15" t="str">
        <f>IF('实盘净值数据(iFinD）'!A583="","",'实盘净值数据(iFinD）'!A583)</f>
        <v/>
      </c>
      <c r="B583" s="13" t="str">
        <f>IF(OR('实盘净值数据(iFinD）'!$A583="",'实盘净值数据(iFinD）'!$B583=""),"",分期持仓明细!$AB$17*SUMPRODUCT(分期持仓明细!$B$17:$Y$17,'实盘净值数据(iFinD）'!$B583:$Y583/'实盘净值数据(iFinD）'!$B$20:$Y$20)*(1-实盘持仓初始配置!$Z$4)^(('实盘净值数据(iFinD）'!$A583-'实盘净值数据(iFinD）'!$A$6)/365))</f>
        <v/>
      </c>
      <c r="C583" s="16" t="str">
        <f t="shared" si="54"/>
        <v/>
      </c>
      <c r="D583" s="16" t="str">
        <f>IF(B583="","",B583/MAX(B$5:B583)-1)</f>
        <v/>
      </c>
      <c r="E583" s="13" t="str">
        <f>IF(OR('实盘净值数据(iFinD）'!$A583="",'实盘净值数据(iFinD）'!$B583=""),"",分期持仓明细!$AB$18*SUMPRODUCT(分期持仓明细!$B$18:$Y$18,'实盘净值数据(iFinD）'!$B583:$Y583/'实盘净值数据(iFinD）'!$B$20:$Y$20)*(1-实盘持仓初始配置!$Z$5)^(('实盘净值数据(iFinD）'!$A583-'实盘净值数据(iFinD）'!$A$5)/365))</f>
        <v/>
      </c>
      <c r="F583" s="16" t="str">
        <f t="shared" si="55"/>
        <v/>
      </c>
      <c r="G583" s="16" t="str">
        <f>IF(E583="","",E583/MAX(E$5:E583)-1)</f>
        <v/>
      </c>
      <c r="H583" s="13" t="str">
        <f>IF(OR('实盘净值数据(iFinD）'!$A583="",'实盘净值数据(iFinD）'!$B583=""),"",分期持仓明细!$AB$19*SUMPRODUCT(分期持仓明细!$B$19:$Y$19,'实盘净值数据(iFinD）'!$B583:$Y583/'实盘净值数据(iFinD）'!$B$20:$Y$20)*(1-实盘持仓初始配置!$Z$6)^(('实盘净值数据(iFinD）'!$A583-'实盘净值数据(iFinD）'!$A$7)/365))</f>
        <v/>
      </c>
      <c r="I583" s="16" t="str">
        <f t="shared" si="56"/>
        <v/>
      </c>
      <c r="J583" s="16" t="str">
        <f>IF(H583="","",H583/MAX(H$5:H583)-1)</f>
        <v/>
      </c>
      <c r="K583" s="13" t="str">
        <f>IF(OR('实盘净值数据(iFinD）'!$A583="",'实盘净值数据(iFinD）'!$B583="",'实盘净值数据(iFinD）'!$Z583="",'实盘净值数据(iFinD）'!$AA583=""),"",分期持仓明细!$AB$23*(SUMPRODUCT(分期持仓明细!$B$23:$Y$23,'实盘净值数据(iFinD）'!$B583:$Y583/'实盘净值数据(iFinD）'!$B$65:$Y$65)+SUMPRODUCT(分期持仓明细!$AC$23:$AD$23,'实盘净值数据(iFinD）'!$Z583:$AA583/'实盘净值数据(iFinD）'!$Z$65:$AA$65))*(1-实盘持仓初始配置!$Z$7)^(('实盘净值数据(iFinD）'!$A583-'实盘净值数据(iFinD）'!$A$8)/365))</f>
        <v/>
      </c>
      <c r="L583" s="16" t="str">
        <f t="shared" si="57"/>
        <v/>
      </c>
      <c r="M583" s="16" t="str">
        <f>IF(K583="","",K583/MAX(K$5:K583)-1)</f>
        <v/>
      </c>
      <c r="N583" s="13" t="str">
        <f>IF(OR('实盘净值数据(iFinD）'!$A583="",'实盘净值数据(iFinD）'!$B583="",'实盘净值数据(iFinD）'!$Z583="",'实盘净值数据(iFinD）'!$AA583=""),"",分期持仓明细!$AB$24*(SUMPRODUCT(分期持仓明细!$B$24:$Y$24,'实盘净值数据(iFinD）'!$B583:$Y583/'实盘净值数据(iFinD）'!$B$65:$Y$65)+SUMPRODUCT(分期持仓明细!$AC$24:$AD$24,'实盘净值数据(iFinD）'!$Z583:$AA583/'实盘净值数据(iFinD）'!$Z$65:$AA$65))*(1-实盘持仓初始配置!$Z$8)^(('实盘净值数据(iFinD）'!$A583-'实盘净值数据(iFinD）'!$A$5)/365))</f>
        <v/>
      </c>
      <c r="O583" s="16" t="str">
        <f t="shared" si="58"/>
        <v/>
      </c>
      <c r="P583" s="16" t="str">
        <f>IF(N583="","",N583/MAX(N$5:N583)-1)</f>
        <v/>
      </c>
      <c r="Q583" s="13" t="str">
        <f>IF(OR('实盘净值数据(iFinD）'!$A583="",'实盘净值数据(iFinD）'!$B583="",'实盘净值数据(iFinD）'!$Z583="",'实盘净值数据(iFinD）'!$AA583=""),"",分期持仓明细!$AB$25*(SUMPRODUCT(分期持仓明细!$B$25:$Y$25,'实盘净值数据(iFinD）'!$B583:$Y583/'实盘净值数据(iFinD）'!$B$65:$Y$65)+SUMPRODUCT(分期持仓明细!$AC$25:$AD$25,'实盘净值数据(iFinD）'!$Z583:$AA583/'实盘净值数据(iFinD）'!$Z$65:$AA$65))*(1-实盘持仓初始配置!$Z$9)^(('实盘净值数据(iFinD）'!$A583-'实盘净值数据(iFinD）'!$A$8)/365))</f>
        <v/>
      </c>
      <c r="R583" s="16" t="str">
        <f t="shared" si="59"/>
        <v/>
      </c>
      <c r="S583" s="16" t="str">
        <f>IF(Q583="","",Q583/MAX(Q$5:Q583)-1)</f>
        <v/>
      </c>
    </row>
    <row r="584" spans="1:19">
      <c r="A584" s="15" t="str">
        <f>IF('实盘净值数据(iFinD）'!A584="","",'实盘净值数据(iFinD）'!A584)</f>
        <v/>
      </c>
      <c r="B584" s="13" t="str">
        <f>IF(OR('实盘净值数据(iFinD）'!$A584="",'实盘净值数据(iFinD）'!$B584=""),"",分期持仓明细!$AB$17*SUMPRODUCT(分期持仓明细!$B$17:$Y$17,'实盘净值数据(iFinD）'!$B584:$Y584/'实盘净值数据(iFinD）'!$B$20:$Y$20)*(1-实盘持仓初始配置!$Z$4)^(('实盘净值数据(iFinD）'!$A584-'实盘净值数据(iFinD）'!$A$6)/365))</f>
        <v/>
      </c>
      <c r="C584" s="16" t="str">
        <f t="shared" si="54"/>
        <v/>
      </c>
      <c r="D584" s="16" t="str">
        <f>IF(B584="","",B584/MAX(B$5:B584)-1)</f>
        <v/>
      </c>
      <c r="E584" s="13" t="str">
        <f>IF(OR('实盘净值数据(iFinD）'!$A584="",'实盘净值数据(iFinD）'!$B584=""),"",分期持仓明细!$AB$18*SUMPRODUCT(分期持仓明细!$B$18:$Y$18,'实盘净值数据(iFinD）'!$B584:$Y584/'实盘净值数据(iFinD）'!$B$20:$Y$20)*(1-实盘持仓初始配置!$Z$5)^(('实盘净值数据(iFinD）'!$A584-'实盘净值数据(iFinD）'!$A$5)/365))</f>
        <v/>
      </c>
      <c r="F584" s="16" t="str">
        <f t="shared" si="55"/>
        <v/>
      </c>
      <c r="G584" s="16" t="str">
        <f>IF(E584="","",E584/MAX(E$5:E584)-1)</f>
        <v/>
      </c>
      <c r="H584" s="13" t="str">
        <f>IF(OR('实盘净值数据(iFinD）'!$A584="",'实盘净值数据(iFinD）'!$B584=""),"",分期持仓明细!$AB$19*SUMPRODUCT(分期持仓明细!$B$19:$Y$19,'实盘净值数据(iFinD）'!$B584:$Y584/'实盘净值数据(iFinD）'!$B$20:$Y$20)*(1-实盘持仓初始配置!$Z$6)^(('实盘净值数据(iFinD）'!$A584-'实盘净值数据(iFinD）'!$A$7)/365))</f>
        <v/>
      </c>
      <c r="I584" s="16" t="str">
        <f t="shared" si="56"/>
        <v/>
      </c>
      <c r="J584" s="16" t="str">
        <f>IF(H584="","",H584/MAX(H$5:H584)-1)</f>
        <v/>
      </c>
      <c r="K584" s="13" t="str">
        <f>IF(OR('实盘净值数据(iFinD）'!$A584="",'实盘净值数据(iFinD）'!$B584="",'实盘净值数据(iFinD）'!$Z584="",'实盘净值数据(iFinD）'!$AA584=""),"",分期持仓明细!$AB$23*(SUMPRODUCT(分期持仓明细!$B$23:$Y$23,'实盘净值数据(iFinD）'!$B584:$Y584/'实盘净值数据(iFinD）'!$B$65:$Y$65)+SUMPRODUCT(分期持仓明细!$AC$23:$AD$23,'实盘净值数据(iFinD）'!$Z584:$AA584/'实盘净值数据(iFinD）'!$Z$65:$AA$65))*(1-实盘持仓初始配置!$Z$7)^(('实盘净值数据(iFinD）'!$A584-'实盘净值数据(iFinD）'!$A$8)/365))</f>
        <v/>
      </c>
      <c r="L584" s="16" t="str">
        <f t="shared" si="57"/>
        <v/>
      </c>
      <c r="M584" s="16" t="str">
        <f>IF(K584="","",K584/MAX(K$5:K584)-1)</f>
        <v/>
      </c>
      <c r="N584" s="13" t="str">
        <f>IF(OR('实盘净值数据(iFinD）'!$A584="",'实盘净值数据(iFinD）'!$B584="",'实盘净值数据(iFinD）'!$Z584="",'实盘净值数据(iFinD）'!$AA584=""),"",分期持仓明细!$AB$24*(SUMPRODUCT(分期持仓明细!$B$24:$Y$24,'实盘净值数据(iFinD）'!$B584:$Y584/'实盘净值数据(iFinD）'!$B$65:$Y$65)+SUMPRODUCT(分期持仓明细!$AC$24:$AD$24,'实盘净值数据(iFinD）'!$Z584:$AA584/'实盘净值数据(iFinD）'!$Z$65:$AA$65))*(1-实盘持仓初始配置!$Z$8)^(('实盘净值数据(iFinD）'!$A584-'实盘净值数据(iFinD）'!$A$5)/365))</f>
        <v/>
      </c>
      <c r="O584" s="16" t="str">
        <f t="shared" si="58"/>
        <v/>
      </c>
      <c r="P584" s="16" t="str">
        <f>IF(N584="","",N584/MAX(N$5:N584)-1)</f>
        <v/>
      </c>
      <c r="Q584" s="13" t="str">
        <f>IF(OR('实盘净值数据(iFinD）'!$A584="",'实盘净值数据(iFinD）'!$B584="",'实盘净值数据(iFinD）'!$Z584="",'实盘净值数据(iFinD）'!$AA584=""),"",分期持仓明细!$AB$25*(SUMPRODUCT(分期持仓明细!$B$25:$Y$25,'实盘净值数据(iFinD）'!$B584:$Y584/'实盘净值数据(iFinD）'!$B$65:$Y$65)+SUMPRODUCT(分期持仓明细!$AC$25:$AD$25,'实盘净值数据(iFinD）'!$Z584:$AA584/'实盘净值数据(iFinD）'!$Z$65:$AA$65))*(1-实盘持仓初始配置!$Z$9)^(('实盘净值数据(iFinD）'!$A584-'实盘净值数据(iFinD）'!$A$8)/365))</f>
        <v/>
      </c>
      <c r="R584" s="16" t="str">
        <f t="shared" si="59"/>
        <v/>
      </c>
      <c r="S584" s="16" t="str">
        <f>IF(Q584="","",Q584/MAX(Q$5:Q584)-1)</f>
        <v/>
      </c>
    </row>
    <row r="585" spans="1:19">
      <c r="A585" s="15" t="str">
        <f>IF('实盘净值数据(iFinD）'!A585="","",'实盘净值数据(iFinD）'!A585)</f>
        <v/>
      </c>
      <c r="B585" s="13" t="str">
        <f>IF(OR('实盘净值数据(iFinD）'!$A585="",'实盘净值数据(iFinD）'!$B585=""),"",分期持仓明细!$AB$17*SUMPRODUCT(分期持仓明细!$B$17:$Y$17,'实盘净值数据(iFinD）'!$B585:$Y585/'实盘净值数据(iFinD）'!$B$20:$Y$20)*(1-实盘持仓初始配置!$Z$4)^(('实盘净值数据(iFinD）'!$A585-'实盘净值数据(iFinD）'!$A$6)/365))</f>
        <v/>
      </c>
      <c r="C585" s="16" t="str">
        <f t="shared" si="54"/>
        <v/>
      </c>
      <c r="D585" s="16" t="str">
        <f>IF(B585="","",B585/MAX(B$5:B585)-1)</f>
        <v/>
      </c>
      <c r="E585" s="13" t="str">
        <f>IF(OR('实盘净值数据(iFinD）'!$A585="",'实盘净值数据(iFinD）'!$B585=""),"",分期持仓明细!$AB$18*SUMPRODUCT(分期持仓明细!$B$18:$Y$18,'实盘净值数据(iFinD）'!$B585:$Y585/'实盘净值数据(iFinD）'!$B$20:$Y$20)*(1-实盘持仓初始配置!$Z$5)^(('实盘净值数据(iFinD）'!$A585-'实盘净值数据(iFinD）'!$A$5)/365))</f>
        <v/>
      </c>
      <c r="F585" s="16" t="str">
        <f t="shared" si="55"/>
        <v/>
      </c>
      <c r="G585" s="16" t="str">
        <f>IF(E585="","",E585/MAX(E$5:E585)-1)</f>
        <v/>
      </c>
      <c r="H585" s="13" t="str">
        <f>IF(OR('实盘净值数据(iFinD）'!$A585="",'实盘净值数据(iFinD）'!$B585=""),"",分期持仓明细!$AB$19*SUMPRODUCT(分期持仓明细!$B$19:$Y$19,'实盘净值数据(iFinD）'!$B585:$Y585/'实盘净值数据(iFinD）'!$B$20:$Y$20)*(1-实盘持仓初始配置!$Z$6)^(('实盘净值数据(iFinD）'!$A585-'实盘净值数据(iFinD）'!$A$7)/365))</f>
        <v/>
      </c>
      <c r="I585" s="16" t="str">
        <f t="shared" si="56"/>
        <v/>
      </c>
      <c r="J585" s="16" t="str">
        <f>IF(H585="","",H585/MAX(H$5:H585)-1)</f>
        <v/>
      </c>
      <c r="K585" s="13" t="str">
        <f>IF(OR('实盘净值数据(iFinD）'!$A585="",'实盘净值数据(iFinD）'!$B585="",'实盘净值数据(iFinD）'!$Z585="",'实盘净值数据(iFinD）'!$AA585=""),"",分期持仓明细!$AB$23*(SUMPRODUCT(分期持仓明细!$B$23:$Y$23,'实盘净值数据(iFinD）'!$B585:$Y585/'实盘净值数据(iFinD）'!$B$65:$Y$65)+SUMPRODUCT(分期持仓明细!$AC$23:$AD$23,'实盘净值数据(iFinD）'!$Z585:$AA585/'实盘净值数据(iFinD）'!$Z$65:$AA$65))*(1-实盘持仓初始配置!$Z$7)^(('实盘净值数据(iFinD）'!$A585-'实盘净值数据(iFinD）'!$A$8)/365))</f>
        <v/>
      </c>
      <c r="L585" s="16" t="str">
        <f t="shared" si="57"/>
        <v/>
      </c>
      <c r="M585" s="16" t="str">
        <f>IF(K585="","",K585/MAX(K$5:K585)-1)</f>
        <v/>
      </c>
      <c r="N585" s="13" t="str">
        <f>IF(OR('实盘净值数据(iFinD）'!$A585="",'实盘净值数据(iFinD）'!$B585="",'实盘净值数据(iFinD）'!$Z585="",'实盘净值数据(iFinD）'!$AA585=""),"",分期持仓明细!$AB$24*(SUMPRODUCT(分期持仓明细!$B$24:$Y$24,'实盘净值数据(iFinD）'!$B585:$Y585/'实盘净值数据(iFinD）'!$B$65:$Y$65)+SUMPRODUCT(分期持仓明细!$AC$24:$AD$24,'实盘净值数据(iFinD）'!$Z585:$AA585/'实盘净值数据(iFinD）'!$Z$65:$AA$65))*(1-实盘持仓初始配置!$Z$8)^(('实盘净值数据(iFinD）'!$A585-'实盘净值数据(iFinD）'!$A$5)/365))</f>
        <v/>
      </c>
      <c r="O585" s="16" t="str">
        <f t="shared" si="58"/>
        <v/>
      </c>
      <c r="P585" s="16" t="str">
        <f>IF(N585="","",N585/MAX(N$5:N585)-1)</f>
        <v/>
      </c>
      <c r="Q585" s="13" t="str">
        <f>IF(OR('实盘净值数据(iFinD）'!$A585="",'实盘净值数据(iFinD）'!$B585="",'实盘净值数据(iFinD）'!$Z585="",'实盘净值数据(iFinD）'!$AA585=""),"",分期持仓明细!$AB$25*(SUMPRODUCT(分期持仓明细!$B$25:$Y$25,'实盘净值数据(iFinD）'!$B585:$Y585/'实盘净值数据(iFinD）'!$B$65:$Y$65)+SUMPRODUCT(分期持仓明细!$AC$25:$AD$25,'实盘净值数据(iFinD）'!$Z585:$AA585/'实盘净值数据(iFinD）'!$Z$65:$AA$65))*(1-实盘持仓初始配置!$Z$9)^(('实盘净值数据(iFinD）'!$A585-'实盘净值数据(iFinD）'!$A$8)/365))</f>
        <v/>
      </c>
      <c r="R585" s="16" t="str">
        <f t="shared" si="59"/>
        <v/>
      </c>
      <c r="S585" s="16" t="str">
        <f>IF(Q585="","",Q585/MAX(Q$5:Q585)-1)</f>
        <v/>
      </c>
    </row>
    <row r="586" spans="1:19">
      <c r="A586" s="15" t="str">
        <f>IF('实盘净值数据(iFinD）'!A586="","",'实盘净值数据(iFinD）'!A586)</f>
        <v/>
      </c>
      <c r="B586" s="13" t="str">
        <f>IF(OR('实盘净值数据(iFinD）'!$A586="",'实盘净值数据(iFinD）'!$B586=""),"",分期持仓明细!$AB$17*SUMPRODUCT(分期持仓明细!$B$17:$Y$17,'实盘净值数据(iFinD）'!$B586:$Y586/'实盘净值数据(iFinD）'!$B$20:$Y$20)*(1-实盘持仓初始配置!$Z$4)^(('实盘净值数据(iFinD）'!$A586-'实盘净值数据(iFinD）'!$A$6)/365))</f>
        <v/>
      </c>
      <c r="C586" s="16" t="str">
        <f t="shared" si="54"/>
        <v/>
      </c>
      <c r="D586" s="16" t="str">
        <f>IF(B586="","",B586/MAX(B$5:B586)-1)</f>
        <v/>
      </c>
      <c r="E586" s="13" t="str">
        <f>IF(OR('实盘净值数据(iFinD）'!$A586="",'实盘净值数据(iFinD）'!$B586=""),"",分期持仓明细!$AB$18*SUMPRODUCT(分期持仓明细!$B$18:$Y$18,'实盘净值数据(iFinD）'!$B586:$Y586/'实盘净值数据(iFinD）'!$B$20:$Y$20)*(1-实盘持仓初始配置!$Z$5)^(('实盘净值数据(iFinD）'!$A586-'实盘净值数据(iFinD）'!$A$5)/365))</f>
        <v/>
      </c>
      <c r="F586" s="16" t="str">
        <f t="shared" si="55"/>
        <v/>
      </c>
      <c r="G586" s="16" t="str">
        <f>IF(E586="","",E586/MAX(E$5:E586)-1)</f>
        <v/>
      </c>
      <c r="H586" s="13" t="str">
        <f>IF(OR('实盘净值数据(iFinD）'!$A586="",'实盘净值数据(iFinD）'!$B586=""),"",分期持仓明细!$AB$19*SUMPRODUCT(分期持仓明细!$B$19:$Y$19,'实盘净值数据(iFinD）'!$B586:$Y586/'实盘净值数据(iFinD）'!$B$20:$Y$20)*(1-实盘持仓初始配置!$Z$6)^(('实盘净值数据(iFinD）'!$A586-'实盘净值数据(iFinD）'!$A$7)/365))</f>
        <v/>
      </c>
      <c r="I586" s="16" t="str">
        <f t="shared" si="56"/>
        <v/>
      </c>
      <c r="J586" s="16" t="str">
        <f>IF(H586="","",H586/MAX(H$5:H586)-1)</f>
        <v/>
      </c>
      <c r="K586" s="13" t="str">
        <f>IF(OR('实盘净值数据(iFinD）'!$A586="",'实盘净值数据(iFinD）'!$B586="",'实盘净值数据(iFinD）'!$Z586="",'实盘净值数据(iFinD）'!$AA586=""),"",分期持仓明细!$AB$23*(SUMPRODUCT(分期持仓明细!$B$23:$Y$23,'实盘净值数据(iFinD）'!$B586:$Y586/'实盘净值数据(iFinD）'!$B$65:$Y$65)+SUMPRODUCT(分期持仓明细!$AC$23:$AD$23,'实盘净值数据(iFinD）'!$Z586:$AA586/'实盘净值数据(iFinD）'!$Z$65:$AA$65))*(1-实盘持仓初始配置!$Z$7)^(('实盘净值数据(iFinD）'!$A586-'实盘净值数据(iFinD）'!$A$8)/365))</f>
        <v/>
      </c>
      <c r="L586" s="16" t="str">
        <f t="shared" si="57"/>
        <v/>
      </c>
      <c r="M586" s="16" t="str">
        <f>IF(K586="","",K586/MAX(K$5:K586)-1)</f>
        <v/>
      </c>
      <c r="N586" s="13" t="str">
        <f>IF(OR('实盘净值数据(iFinD）'!$A586="",'实盘净值数据(iFinD）'!$B586="",'实盘净值数据(iFinD）'!$Z586="",'实盘净值数据(iFinD）'!$AA586=""),"",分期持仓明细!$AB$24*(SUMPRODUCT(分期持仓明细!$B$24:$Y$24,'实盘净值数据(iFinD）'!$B586:$Y586/'实盘净值数据(iFinD）'!$B$65:$Y$65)+SUMPRODUCT(分期持仓明细!$AC$24:$AD$24,'实盘净值数据(iFinD）'!$Z586:$AA586/'实盘净值数据(iFinD）'!$Z$65:$AA$65))*(1-实盘持仓初始配置!$Z$8)^(('实盘净值数据(iFinD）'!$A586-'实盘净值数据(iFinD）'!$A$5)/365))</f>
        <v/>
      </c>
      <c r="O586" s="16" t="str">
        <f t="shared" si="58"/>
        <v/>
      </c>
      <c r="P586" s="16" t="str">
        <f>IF(N586="","",N586/MAX(N$5:N586)-1)</f>
        <v/>
      </c>
      <c r="Q586" s="13" t="str">
        <f>IF(OR('实盘净值数据(iFinD）'!$A586="",'实盘净值数据(iFinD）'!$B586="",'实盘净值数据(iFinD）'!$Z586="",'实盘净值数据(iFinD）'!$AA586=""),"",分期持仓明细!$AB$25*(SUMPRODUCT(分期持仓明细!$B$25:$Y$25,'实盘净值数据(iFinD）'!$B586:$Y586/'实盘净值数据(iFinD）'!$B$65:$Y$65)+SUMPRODUCT(分期持仓明细!$AC$25:$AD$25,'实盘净值数据(iFinD）'!$Z586:$AA586/'实盘净值数据(iFinD）'!$Z$65:$AA$65))*(1-实盘持仓初始配置!$Z$9)^(('实盘净值数据(iFinD）'!$A586-'实盘净值数据(iFinD）'!$A$8)/365))</f>
        <v/>
      </c>
      <c r="R586" s="16" t="str">
        <f t="shared" si="59"/>
        <v/>
      </c>
      <c r="S586" s="16" t="str">
        <f>IF(Q586="","",Q586/MAX(Q$5:Q586)-1)</f>
        <v/>
      </c>
    </row>
    <row r="587" spans="1:19">
      <c r="A587" s="15" t="str">
        <f>IF('实盘净值数据(iFinD）'!A587="","",'实盘净值数据(iFinD）'!A587)</f>
        <v/>
      </c>
      <c r="B587" s="13" t="str">
        <f>IF(OR('实盘净值数据(iFinD）'!$A587="",'实盘净值数据(iFinD）'!$B587=""),"",分期持仓明细!$AB$17*SUMPRODUCT(分期持仓明细!$B$17:$Y$17,'实盘净值数据(iFinD）'!$B587:$Y587/'实盘净值数据(iFinD）'!$B$20:$Y$20)*(1-实盘持仓初始配置!$Z$4)^(('实盘净值数据(iFinD）'!$A587-'实盘净值数据(iFinD）'!$A$6)/365))</f>
        <v/>
      </c>
      <c r="C587" s="16" t="str">
        <f t="shared" si="54"/>
        <v/>
      </c>
      <c r="D587" s="16" t="str">
        <f>IF(B587="","",B587/MAX(B$5:B587)-1)</f>
        <v/>
      </c>
      <c r="E587" s="13" t="str">
        <f>IF(OR('实盘净值数据(iFinD）'!$A587="",'实盘净值数据(iFinD）'!$B587=""),"",分期持仓明细!$AB$18*SUMPRODUCT(分期持仓明细!$B$18:$Y$18,'实盘净值数据(iFinD）'!$B587:$Y587/'实盘净值数据(iFinD）'!$B$20:$Y$20)*(1-实盘持仓初始配置!$Z$5)^(('实盘净值数据(iFinD）'!$A587-'实盘净值数据(iFinD）'!$A$5)/365))</f>
        <v/>
      </c>
      <c r="F587" s="16" t="str">
        <f t="shared" si="55"/>
        <v/>
      </c>
      <c r="G587" s="16" t="str">
        <f>IF(E587="","",E587/MAX(E$5:E587)-1)</f>
        <v/>
      </c>
      <c r="H587" s="13" t="str">
        <f>IF(OR('实盘净值数据(iFinD）'!$A587="",'实盘净值数据(iFinD）'!$B587=""),"",分期持仓明细!$AB$19*SUMPRODUCT(分期持仓明细!$B$19:$Y$19,'实盘净值数据(iFinD）'!$B587:$Y587/'实盘净值数据(iFinD）'!$B$20:$Y$20)*(1-实盘持仓初始配置!$Z$6)^(('实盘净值数据(iFinD）'!$A587-'实盘净值数据(iFinD）'!$A$7)/365))</f>
        <v/>
      </c>
      <c r="I587" s="16" t="str">
        <f t="shared" si="56"/>
        <v/>
      </c>
      <c r="J587" s="16" t="str">
        <f>IF(H587="","",H587/MAX(H$5:H587)-1)</f>
        <v/>
      </c>
      <c r="K587" s="13" t="str">
        <f>IF(OR('实盘净值数据(iFinD）'!$A587="",'实盘净值数据(iFinD）'!$B587="",'实盘净值数据(iFinD）'!$Z587="",'实盘净值数据(iFinD）'!$AA587=""),"",分期持仓明细!$AB$23*(SUMPRODUCT(分期持仓明细!$B$23:$Y$23,'实盘净值数据(iFinD）'!$B587:$Y587/'实盘净值数据(iFinD）'!$B$65:$Y$65)+SUMPRODUCT(分期持仓明细!$AC$23:$AD$23,'实盘净值数据(iFinD）'!$Z587:$AA587/'实盘净值数据(iFinD）'!$Z$65:$AA$65))*(1-实盘持仓初始配置!$Z$7)^(('实盘净值数据(iFinD）'!$A587-'实盘净值数据(iFinD）'!$A$8)/365))</f>
        <v/>
      </c>
      <c r="L587" s="16" t="str">
        <f t="shared" si="57"/>
        <v/>
      </c>
      <c r="M587" s="16" t="str">
        <f>IF(K587="","",K587/MAX(K$5:K587)-1)</f>
        <v/>
      </c>
      <c r="N587" s="13" t="str">
        <f>IF(OR('实盘净值数据(iFinD）'!$A587="",'实盘净值数据(iFinD）'!$B587="",'实盘净值数据(iFinD）'!$Z587="",'实盘净值数据(iFinD）'!$AA587=""),"",分期持仓明细!$AB$24*(SUMPRODUCT(分期持仓明细!$B$24:$Y$24,'实盘净值数据(iFinD）'!$B587:$Y587/'实盘净值数据(iFinD）'!$B$65:$Y$65)+SUMPRODUCT(分期持仓明细!$AC$24:$AD$24,'实盘净值数据(iFinD）'!$Z587:$AA587/'实盘净值数据(iFinD）'!$Z$65:$AA$65))*(1-实盘持仓初始配置!$Z$8)^(('实盘净值数据(iFinD）'!$A587-'实盘净值数据(iFinD）'!$A$5)/365))</f>
        <v/>
      </c>
      <c r="O587" s="16" t="str">
        <f t="shared" si="58"/>
        <v/>
      </c>
      <c r="P587" s="16" t="str">
        <f>IF(N587="","",N587/MAX(N$5:N587)-1)</f>
        <v/>
      </c>
      <c r="Q587" s="13" t="str">
        <f>IF(OR('实盘净值数据(iFinD）'!$A587="",'实盘净值数据(iFinD）'!$B587="",'实盘净值数据(iFinD）'!$Z587="",'实盘净值数据(iFinD）'!$AA587=""),"",分期持仓明细!$AB$25*(SUMPRODUCT(分期持仓明细!$B$25:$Y$25,'实盘净值数据(iFinD）'!$B587:$Y587/'实盘净值数据(iFinD）'!$B$65:$Y$65)+SUMPRODUCT(分期持仓明细!$AC$25:$AD$25,'实盘净值数据(iFinD）'!$Z587:$AA587/'实盘净值数据(iFinD）'!$Z$65:$AA$65))*(1-实盘持仓初始配置!$Z$9)^(('实盘净值数据(iFinD）'!$A587-'实盘净值数据(iFinD）'!$A$8)/365))</f>
        <v/>
      </c>
      <c r="R587" s="16" t="str">
        <f t="shared" si="59"/>
        <v/>
      </c>
      <c r="S587" s="16" t="str">
        <f>IF(Q587="","",Q587/MAX(Q$5:Q587)-1)</f>
        <v/>
      </c>
    </row>
    <row r="588" spans="1:19">
      <c r="A588" s="15" t="str">
        <f>IF('实盘净值数据(iFinD）'!A588="","",'实盘净值数据(iFinD）'!A588)</f>
        <v/>
      </c>
      <c r="B588" s="13" t="str">
        <f>IF(OR('实盘净值数据(iFinD）'!$A588="",'实盘净值数据(iFinD）'!$B588=""),"",分期持仓明细!$AB$17*SUMPRODUCT(分期持仓明细!$B$17:$Y$17,'实盘净值数据(iFinD）'!$B588:$Y588/'实盘净值数据(iFinD）'!$B$20:$Y$20)*(1-实盘持仓初始配置!$Z$4)^(('实盘净值数据(iFinD）'!$A588-'实盘净值数据(iFinD）'!$A$6)/365))</f>
        <v/>
      </c>
      <c r="C588" s="16" t="str">
        <f t="shared" si="54"/>
        <v/>
      </c>
      <c r="D588" s="16" t="str">
        <f>IF(B588="","",B588/MAX(B$5:B588)-1)</f>
        <v/>
      </c>
      <c r="E588" s="13" t="str">
        <f>IF(OR('实盘净值数据(iFinD）'!$A588="",'实盘净值数据(iFinD）'!$B588=""),"",分期持仓明细!$AB$18*SUMPRODUCT(分期持仓明细!$B$18:$Y$18,'实盘净值数据(iFinD）'!$B588:$Y588/'实盘净值数据(iFinD）'!$B$20:$Y$20)*(1-实盘持仓初始配置!$Z$5)^(('实盘净值数据(iFinD）'!$A588-'实盘净值数据(iFinD）'!$A$5)/365))</f>
        <v/>
      </c>
      <c r="F588" s="16" t="str">
        <f t="shared" si="55"/>
        <v/>
      </c>
      <c r="G588" s="16" t="str">
        <f>IF(E588="","",E588/MAX(E$5:E588)-1)</f>
        <v/>
      </c>
      <c r="H588" s="13" t="str">
        <f>IF(OR('实盘净值数据(iFinD）'!$A588="",'实盘净值数据(iFinD）'!$B588=""),"",分期持仓明细!$AB$19*SUMPRODUCT(分期持仓明细!$B$19:$Y$19,'实盘净值数据(iFinD）'!$B588:$Y588/'实盘净值数据(iFinD）'!$B$20:$Y$20)*(1-实盘持仓初始配置!$Z$6)^(('实盘净值数据(iFinD）'!$A588-'实盘净值数据(iFinD）'!$A$7)/365))</f>
        <v/>
      </c>
      <c r="I588" s="16" t="str">
        <f t="shared" si="56"/>
        <v/>
      </c>
      <c r="J588" s="16" t="str">
        <f>IF(H588="","",H588/MAX(H$5:H588)-1)</f>
        <v/>
      </c>
      <c r="K588" s="13" t="str">
        <f>IF(OR('实盘净值数据(iFinD）'!$A588="",'实盘净值数据(iFinD）'!$B588="",'实盘净值数据(iFinD）'!$Z588="",'实盘净值数据(iFinD）'!$AA588=""),"",分期持仓明细!$AB$23*(SUMPRODUCT(分期持仓明细!$B$23:$Y$23,'实盘净值数据(iFinD）'!$B588:$Y588/'实盘净值数据(iFinD）'!$B$65:$Y$65)+SUMPRODUCT(分期持仓明细!$AC$23:$AD$23,'实盘净值数据(iFinD）'!$Z588:$AA588/'实盘净值数据(iFinD）'!$Z$65:$AA$65))*(1-实盘持仓初始配置!$Z$7)^(('实盘净值数据(iFinD）'!$A588-'实盘净值数据(iFinD）'!$A$8)/365))</f>
        <v/>
      </c>
      <c r="L588" s="16" t="str">
        <f t="shared" si="57"/>
        <v/>
      </c>
      <c r="M588" s="16" t="str">
        <f>IF(K588="","",K588/MAX(K$5:K588)-1)</f>
        <v/>
      </c>
      <c r="N588" s="13" t="str">
        <f>IF(OR('实盘净值数据(iFinD）'!$A588="",'实盘净值数据(iFinD）'!$B588="",'实盘净值数据(iFinD）'!$Z588="",'实盘净值数据(iFinD）'!$AA588=""),"",分期持仓明细!$AB$24*(SUMPRODUCT(分期持仓明细!$B$24:$Y$24,'实盘净值数据(iFinD）'!$B588:$Y588/'实盘净值数据(iFinD）'!$B$65:$Y$65)+SUMPRODUCT(分期持仓明细!$AC$24:$AD$24,'实盘净值数据(iFinD）'!$Z588:$AA588/'实盘净值数据(iFinD）'!$Z$65:$AA$65))*(1-实盘持仓初始配置!$Z$8)^(('实盘净值数据(iFinD）'!$A588-'实盘净值数据(iFinD）'!$A$5)/365))</f>
        <v/>
      </c>
      <c r="O588" s="16" t="str">
        <f t="shared" si="58"/>
        <v/>
      </c>
      <c r="P588" s="16" t="str">
        <f>IF(N588="","",N588/MAX(N$5:N588)-1)</f>
        <v/>
      </c>
      <c r="Q588" s="13" t="str">
        <f>IF(OR('实盘净值数据(iFinD）'!$A588="",'实盘净值数据(iFinD）'!$B588="",'实盘净值数据(iFinD）'!$Z588="",'实盘净值数据(iFinD）'!$AA588=""),"",分期持仓明细!$AB$25*(SUMPRODUCT(分期持仓明细!$B$25:$Y$25,'实盘净值数据(iFinD）'!$B588:$Y588/'实盘净值数据(iFinD）'!$B$65:$Y$65)+SUMPRODUCT(分期持仓明细!$AC$25:$AD$25,'实盘净值数据(iFinD）'!$Z588:$AA588/'实盘净值数据(iFinD）'!$Z$65:$AA$65))*(1-实盘持仓初始配置!$Z$9)^(('实盘净值数据(iFinD）'!$A588-'实盘净值数据(iFinD）'!$A$8)/365))</f>
        <v/>
      </c>
      <c r="R588" s="16" t="str">
        <f t="shared" si="59"/>
        <v/>
      </c>
      <c r="S588" s="16" t="str">
        <f>IF(Q588="","",Q588/MAX(Q$5:Q588)-1)</f>
        <v/>
      </c>
    </row>
    <row r="589" spans="1:19">
      <c r="A589" s="15" t="str">
        <f>IF('实盘净值数据(iFinD）'!A589="","",'实盘净值数据(iFinD）'!A589)</f>
        <v/>
      </c>
      <c r="B589" s="13" t="str">
        <f>IF(OR('实盘净值数据(iFinD）'!$A589="",'实盘净值数据(iFinD）'!$B589=""),"",分期持仓明细!$AB$17*SUMPRODUCT(分期持仓明细!$B$17:$Y$17,'实盘净值数据(iFinD）'!$B589:$Y589/'实盘净值数据(iFinD）'!$B$20:$Y$20)*(1-实盘持仓初始配置!$Z$4)^(('实盘净值数据(iFinD）'!$A589-'实盘净值数据(iFinD）'!$A$6)/365))</f>
        <v/>
      </c>
      <c r="C589" s="16" t="str">
        <f t="shared" si="54"/>
        <v/>
      </c>
      <c r="D589" s="16" t="str">
        <f>IF(B589="","",B589/MAX(B$5:B589)-1)</f>
        <v/>
      </c>
      <c r="E589" s="13" t="str">
        <f>IF(OR('实盘净值数据(iFinD）'!$A589="",'实盘净值数据(iFinD）'!$B589=""),"",分期持仓明细!$AB$18*SUMPRODUCT(分期持仓明细!$B$18:$Y$18,'实盘净值数据(iFinD）'!$B589:$Y589/'实盘净值数据(iFinD）'!$B$20:$Y$20)*(1-实盘持仓初始配置!$Z$5)^(('实盘净值数据(iFinD）'!$A589-'实盘净值数据(iFinD）'!$A$5)/365))</f>
        <v/>
      </c>
      <c r="F589" s="16" t="str">
        <f t="shared" si="55"/>
        <v/>
      </c>
      <c r="G589" s="16" t="str">
        <f>IF(E589="","",E589/MAX(E$5:E589)-1)</f>
        <v/>
      </c>
      <c r="H589" s="13" t="str">
        <f>IF(OR('实盘净值数据(iFinD）'!$A589="",'实盘净值数据(iFinD）'!$B589=""),"",分期持仓明细!$AB$19*SUMPRODUCT(分期持仓明细!$B$19:$Y$19,'实盘净值数据(iFinD）'!$B589:$Y589/'实盘净值数据(iFinD）'!$B$20:$Y$20)*(1-实盘持仓初始配置!$Z$6)^(('实盘净值数据(iFinD）'!$A589-'实盘净值数据(iFinD）'!$A$7)/365))</f>
        <v/>
      </c>
      <c r="I589" s="16" t="str">
        <f t="shared" si="56"/>
        <v/>
      </c>
      <c r="J589" s="16" t="str">
        <f>IF(H589="","",H589/MAX(H$5:H589)-1)</f>
        <v/>
      </c>
      <c r="K589" s="13" t="str">
        <f>IF(OR('实盘净值数据(iFinD）'!$A589="",'实盘净值数据(iFinD）'!$B589="",'实盘净值数据(iFinD）'!$Z589="",'实盘净值数据(iFinD）'!$AA589=""),"",分期持仓明细!$AB$23*(SUMPRODUCT(分期持仓明细!$B$23:$Y$23,'实盘净值数据(iFinD）'!$B589:$Y589/'实盘净值数据(iFinD）'!$B$65:$Y$65)+SUMPRODUCT(分期持仓明细!$AC$23:$AD$23,'实盘净值数据(iFinD）'!$Z589:$AA589/'实盘净值数据(iFinD）'!$Z$65:$AA$65))*(1-实盘持仓初始配置!$Z$7)^(('实盘净值数据(iFinD）'!$A589-'实盘净值数据(iFinD）'!$A$8)/365))</f>
        <v/>
      </c>
      <c r="L589" s="16" t="str">
        <f t="shared" si="57"/>
        <v/>
      </c>
      <c r="M589" s="16" t="str">
        <f>IF(K589="","",K589/MAX(K$5:K589)-1)</f>
        <v/>
      </c>
      <c r="N589" s="13" t="str">
        <f>IF(OR('实盘净值数据(iFinD）'!$A589="",'实盘净值数据(iFinD）'!$B589="",'实盘净值数据(iFinD）'!$Z589="",'实盘净值数据(iFinD）'!$AA589=""),"",分期持仓明细!$AB$24*(SUMPRODUCT(分期持仓明细!$B$24:$Y$24,'实盘净值数据(iFinD）'!$B589:$Y589/'实盘净值数据(iFinD）'!$B$65:$Y$65)+SUMPRODUCT(分期持仓明细!$AC$24:$AD$24,'实盘净值数据(iFinD）'!$Z589:$AA589/'实盘净值数据(iFinD）'!$Z$65:$AA$65))*(1-实盘持仓初始配置!$Z$8)^(('实盘净值数据(iFinD）'!$A589-'实盘净值数据(iFinD）'!$A$5)/365))</f>
        <v/>
      </c>
      <c r="O589" s="16" t="str">
        <f t="shared" si="58"/>
        <v/>
      </c>
      <c r="P589" s="16" t="str">
        <f>IF(N589="","",N589/MAX(N$5:N589)-1)</f>
        <v/>
      </c>
      <c r="Q589" s="13" t="str">
        <f>IF(OR('实盘净值数据(iFinD）'!$A589="",'实盘净值数据(iFinD）'!$B589="",'实盘净值数据(iFinD）'!$Z589="",'实盘净值数据(iFinD）'!$AA589=""),"",分期持仓明细!$AB$25*(SUMPRODUCT(分期持仓明细!$B$25:$Y$25,'实盘净值数据(iFinD）'!$B589:$Y589/'实盘净值数据(iFinD）'!$B$65:$Y$65)+SUMPRODUCT(分期持仓明细!$AC$25:$AD$25,'实盘净值数据(iFinD）'!$Z589:$AA589/'实盘净值数据(iFinD）'!$Z$65:$AA$65))*(1-实盘持仓初始配置!$Z$9)^(('实盘净值数据(iFinD）'!$A589-'实盘净值数据(iFinD）'!$A$8)/365))</f>
        <v/>
      </c>
      <c r="R589" s="16" t="str">
        <f t="shared" si="59"/>
        <v/>
      </c>
      <c r="S589" s="16" t="str">
        <f>IF(Q589="","",Q589/MAX(Q$5:Q589)-1)</f>
        <v/>
      </c>
    </row>
    <row r="590" spans="1:19">
      <c r="A590" s="15" t="str">
        <f>IF('实盘净值数据(iFinD）'!A590="","",'实盘净值数据(iFinD）'!A590)</f>
        <v/>
      </c>
      <c r="B590" s="13" t="str">
        <f>IF(OR('实盘净值数据(iFinD）'!$A590="",'实盘净值数据(iFinD）'!$B590=""),"",分期持仓明细!$AB$17*SUMPRODUCT(分期持仓明细!$B$17:$Y$17,'实盘净值数据(iFinD）'!$B590:$Y590/'实盘净值数据(iFinD）'!$B$20:$Y$20)*(1-实盘持仓初始配置!$Z$4)^(('实盘净值数据(iFinD）'!$A590-'实盘净值数据(iFinD）'!$A$6)/365))</f>
        <v/>
      </c>
      <c r="C590" s="16" t="str">
        <f t="shared" si="54"/>
        <v/>
      </c>
      <c r="D590" s="16" t="str">
        <f>IF(B590="","",B590/MAX(B$5:B590)-1)</f>
        <v/>
      </c>
      <c r="E590" s="13" t="str">
        <f>IF(OR('实盘净值数据(iFinD）'!$A590="",'实盘净值数据(iFinD）'!$B590=""),"",分期持仓明细!$AB$18*SUMPRODUCT(分期持仓明细!$B$18:$Y$18,'实盘净值数据(iFinD）'!$B590:$Y590/'实盘净值数据(iFinD）'!$B$20:$Y$20)*(1-实盘持仓初始配置!$Z$5)^(('实盘净值数据(iFinD）'!$A590-'实盘净值数据(iFinD）'!$A$5)/365))</f>
        <v/>
      </c>
      <c r="F590" s="16" t="str">
        <f t="shared" si="55"/>
        <v/>
      </c>
      <c r="G590" s="16" t="str">
        <f>IF(E590="","",E590/MAX(E$5:E590)-1)</f>
        <v/>
      </c>
      <c r="H590" s="13" t="str">
        <f>IF(OR('实盘净值数据(iFinD）'!$A590="",'实盘净值数据(iFinD）'!$B590=""),"",分期持仓明细!$AB$19*SUMPRODUCT(分期持仓明细!$B$19:$Y$19,'实盘净值数据(iFinD）'!$B590:$Y590/'实盘净值数据(iFinD）'!$B$20:$Y$20)*(1-实盘持仓初始配置!$Z$6)^(('实盘净值数据(iFinD）'!$A590-'实盘净值数据(iFinD）'!$A$7)/365))</f>
        <v/>
      </c>
      <c r="I590" s="16" t="str">
        <f t="shared" si="56"/>
        <v/>
      </c>
      <c r="J590" s="16" t="str">
        <f>IF(H590="","",H590/MAX(H$5:H590)-1)</f>
        <v/>
      </c>
      <c r="K590" s="13" t="str">
        <f>IF(OR('实盘净值数据(iFinD）'!$A590="",'实盘净值数据(iFinD）'!$B590="",'实盘净值数据(iFinD）'!$Z590="",'实盘净值数据(iFinD）'!$AA590=""),"",分期持仓明细!$AB$23*(SUMPRODUCT(分期持仓明细!$B$23:$Y$23,'实盘净值数据(iFinD）'!$B590:$Y590/'实盘净值数据(iFinD）'!$B$65:$Y$65)+SUMPRODUCT(分期持仓明细!$AC$23:$AD$23,'实盘净值数据(iFinD）'!$Z590:$AA590/'实盘净值数据(iFinD）'!$Z$65:$AA$65))*(1-实盘持仓初始配置!$Z$7)^(('实盘净值数据(iFinD）'!$A590-'实盘净值数据(iFinD）'!$A$8)/365))</f>
        <v/>
      </c>
      <c r="L590" s="16" t="str">
        <f t="shared" si="57"/>
        <v/>
      </c>
      <c r="M590" s="16" t="str">
        <f>IF(K590="","",K590/MAX(K$5:K590)-1)</f>
        <v/>
      </c>
      <c r="N590" s="13" t="str">
        <f>IF(OR('实盘净值数据(iFinD）'!$A590="",'实盘净值数据(iFinD）'!$B590="",'实盘净值数据(iFinD）'!$Z590="",'实盘净值数据(iFinD）'!$AA590=""),"",分期持仓明细!$AB$24*(SUMPRODUCT(分期持仓明细!$B$24:$Y$24,'实盘净值数据(iFinD）'!$B590:$Y590/'实盘净值数据(iFinD）'!$B$65:$Y$65)+SUMPRODUCT(分期持仓明细!$AC$24:$AD$24,'实盘净值数据(iFinD）'!$Z590:$AA590/'实盘净值数据(iFinD）'!$Z$65:$AA$65))*(1-实盘持仓初始配置!$Z$8)^(('实盘净值数据(iFinD）'!$A590-'实盘净值数据(iFinD）'!$A$5)/365))</f>
        <v/>
      </c>
      <c r="O590" s="16" t="str">
        <f t="shared" si="58"/>
        <v/>
      </c>
      <c r="P590" s="16" t="str">
        <f>IF(N590="","",N590/MAX(N$5:N590)-1)</f>
        <v/>
      </c>
      <c r="Q590" s="13" t="str">
        <f>IF(OR('实盘净值数据(iFinD）'!$A590="",'实盘净值数据(iFinD）'!$B590="",'实盘净值数据(iFinD）'!$Z590="",'实盘净值数据(iFinD）'!$AA590=""),"",分期持仓明细!$AB$25*(SUMPRODUCT(分期持仓明细!$B$25:$Y$25,'实盘净值数据(iFinD）'!$B590:$Y590/'实盘净值数据(iFinD）'!$B$65:$Y$65)+SUMPRODUCT(分期持仓明细!$AC$25:$AD$25,'实盘净值数据(iFinD）'!$Z590:$AA590/'实盘净值数据(iFinD）'!$Z$65:$AA$65))*(1-实盘持仓初始配置!$Z$9)^(('实盘净值数据(iFinD）'!$A590-'实盘净值数据(iFinD）'!$A$8)/365))</f>
        <v/>
      </c>
      <c r="R590" s="16" t="str">
        <f t="shared" si="59"/>
        <v/>
      </c>
      <c r="S590" s="16" t="str">
        <f>IF(Q590="","",Q590/MAX(Q$5:Q590)-1)</f>
        <v/>
      </c>
    </row>
    <row r="591" spans="1:19">
      <c r="A591" s="15" t="str">
        <f>IF('实盘净值数据(iFinD）'!A591="","",'实盘净值数据(iFinD）'!A591)</f>
        <v/>
      </c>
      <c r="B591" s="13" t="str">
        <f>IF(OR('实盘净值数据(iFinD）'!$A591="",'实盘净值数据(iFinD）'!$B591=""),"",分期持仓明细!$AB$17*SUMPRODUCT(分期持仓明细!$B$17:$Y$17,'实盘净值数据(iFinD）'!$B591:$Y591/'实盘净值数据(iFinD）'!$B$20:$Y$20)*(1-实盘持仓初始配置!$Z$4)^(('实盘净值数据(iFinD）'!$A591-'实盘净值数据(iFinD）'!$A$6)/365))</f>
        <v/>
      </c>
      <c r="C591" s="16" t="str">
        <f t="shared" si="54"/>
        <v/>
      </c>
      <c r="D591" s="16" t="str">
        <f>IF(B591="","",B591/MAX(B$5:B591)-1)</f>
        <v/>
      </c>
      <c r="E591" s="13" t="str">
        <f>IF(OR('实盘净值数据(iFinD）'!$A591="",'实盘净值数据(iFinD）'!$B591=""),"",分期持仓明细!$AB$18*SUMPRODUCT(分期持仓明细!$B$18:$Y$18,'实盘净值数据(iFinD）'!$B591:$Y591/'实盘净值数据(iFinD）'!$B$20:$Y$20)*(1-实盘持仓初始配置!$Z$5)^(('实盘净值数据(iFinD）'!$A591-'实盘净值数据(iFinD）'!$A$5)/365))</f>
        <v/>
      </c>
      <c r="F591" s="16" t="str">
        <f t="shared" si="55"/>
        <v/>
      </c>
      <c r="G591" s="16" t="str">
        <f>IF(E591="","",E591/MAX(E$5:E591)-1)</f>
        <v/>
      </c>
      <c r="H591" s="13" t="str">
        <f>IF(OR('实盘净值数据(iFinD）'!$A591="",'实盘净值数据(iFinD）'!$B591=""),"",分期持仓明细!$AB$19*SUMPRODUCT(分期持仓明细!$B$19:$Y$19,'实盘净值数据(iFinD）'!$B591:$Y591/'实盘净值数据(iFinD）'!$B$20:$Y$20)*(1-实盘持仓初始配置!$Z$6)^(('实盘净值数据(iFinD）'!$A591-'实盘净值数据(iFinD）'!$A$7)/365))</f>
        <v/>
      </c>
      <c r="I591" s="16" t="str">
        <f t="shared" si="56"/>
        <v/>
      </c>
      <c r="J591" s="16" t="str">
        <f>IF(H591="","",H591/MAX(H$5:H591)-1)</f>
        <v/>
      </c>
      <c r="K591" s="13" t="str">
        <f>IF(OR('实盘净值数据(iFinD）'!$A591="",'实盘净值数据(iFinD）'!$B591="",'实盘净值数据(iFinD）'!$Z591="",'实盘净值数据(iFinD）'!$AA591=""),"",分期持仓明细!$AB$23*(SUMPRODUCT(分期持仓明细!$B$23:$Y$23,'实盘净值数据(iFinD）'!$B591:$Y591/'实盘净值数据(iFinD）'!$B$65:$Y$65)+SUMPRODUCT(分期持仓明细!$AC$23:$AD$23,'实盘净值数据(iFinD）'!$Z591:$AA591/'实盘净值数据(iFinD）'!$Z$65:$AA$65))*(1-实盘持仓初始配置!$Z$7)^(('实盘净值数据(iFinD）'!$A591-'实盘净值数据(iFinD）'!$A$8)/365))</f>
        <v/>
      </c>
      <c r="L591" s="16" t="str">
        <f t="shared" si="57"/>
        <v/>
      </c>
      <c r="M591" s="16" t="str">
        <f>IF(K591="","",K591/MAX(K$5:K591)-1)</f>
        <v/>
      </c>
      <c r="N591" s="13" t="str">
        <f>IF(OR('实盘净值数据(iFinD）'!$A591="",'实盘净值数据(iFinD）'!$B591="",'实盘净值数据(iFinD）'!$Z591="",'实盘净值数据(iFinD）'!$AA591=""),"",分期持仓明细!$AB$24*(SUMPRODUCT(分期持仓明细!$B$24:$Y$24,'实盘净值数据(iFinD）'!$B591:$Y591/'实盘净值数据(iFinD）'!$B$65:$Y$65)+SUMPRODUCT(分期持仓明细!$AC$24:$AD$24,'实盘净值数据(iFinD）'!$Z591:$AA591/'实盘净值数据(iFinD）'!$Z$65:$AA$65))*(1-实盘持仓初始配置!$Z$8)^(('实盘净值数据(iFinD）'!$A591-'实盘净值数据(iFinD）'!$A$5)/365))</f>
        <v/>
      </c>
      <c r="O591" s="16" t="str">
        <f t="shared" si="58"/>
        <v/>
      </c>
      <c r="P591" s="16" t="str">
        <f>IF(N591="","",N591/MAX(N$5:N591)-1)</f>
        <v/>
      </c>
      <c r="Q591" s="13" t="str">
        <f>IF(OR('实盘净值数据(iFinD）'!$A591="",'实盘净值数据(iFinD）'!$B591="",'实盘净值数据(iFinD）'!$Z591="",'实盘净值数据(iFinD）'!$AA591=""),"",分期持仓明细!$AB$25*(SUMPRODUCT(分期持仓明细!$B$25:$Y$25,'实盘净值数据(iFinD）'!$B591:$Y591/'实盘净值数据(iFinD）'!$B$65:$Y$65)+SUMPRODUCT(分期持仓明细!$AC$25:$AD$25,'实盘净值数据(iFinD）'!$Z591:$AA591/'实盘净值数据(iFinD）'!$Z$65:$AA$65))*(1-实盘持仓初始配置!$Z$9)^(('实盘净值数据(iFinD）'!$A591-'实盘净值数据(iFinD）'!$A$8)/365))</f>
        <v/>
      </c>
      <c r="R591" s="16" t="str">
        <f t="shared" si="59"/>
        <v/>
      </c>
      <c r="S591" s="16" t="str">
        <f>IF(Q591="","",Q591/MAX(Q$5:Q591)-1)</f>
        <v/>
      </c>
    </row>
    <row r="592" spans="1:19">
      <c r="A592" s="15" t="str">
        <f>IF('实盘净值数据(iFinD）'!A592="","",'实盘净值数据(iFinD）'!A592)</f>
        <v/>
      </c>
      <c r="B592" s="13" t="str">
        <f>IF(OR('实盘净值数据(iFinD）'!$A592="",'实盘净值数据(iFinD）'!$B592=""),"",分期持仓明细!$AB$17*SUMPRODUCT(分期持仓明细!$B$17:$Y$17,'实盘净值数据(iFinD）'!$B592:$Y592/'实盘净值数据(iFinD）'!$B$20:$Y$20)*(1-实盘持仓初始配置!$Z$4)^(('实盘净值数据(iFinD）'!$A592-'实盘净值数据(iFinD）'!$A$6)/365))</f>
        <v/>
      </c>
      <c r="C592" s="16" t="str">
        <f t="shared" si="54"/>
        <v/>
      </c>
      <c r="D592" s="16" t="str">
        <f>IF(B592="","",B592/MAX(B$5:B592)-1)</f>
        <v/>
      </c>
      <c r="E592" s="13" t="str">
        <f>IF(OR('实盘净值数据(iFinD）'!$A592="",'实盘净值数据(iFinD）'!$B592=""),"",分期持仓明细!$AB$18*SUMPRODUCT(分期持仓明细!$B$18:$Y$18,'实盘净值数据(iFinD）'!$B592:$Y592/'实盘净值数据(iFinD）'!$B$20:$Y$20)*(1-实盘持仓初始配置!$Z$5)^(('实盘净值数据(iFinD）'!$A592-'实盘净值数据(iFinD）'!$A$5)/365))</f>
        <v/>
      </c>
      <c r="F592" s="16" t="str">
        <f t="shared" si="55"/>
        <v/>
      </c>
      <c r="G592" s="16" t="str">
        <f>IF(E592="","",E592/MAX(E$5:E592)-1)</f>
        <v/>
      </c>
      <c r="H592" s="13" t="str">
        <f>IF(OR('实盘净值数据(iFinD）'!$A592="",'实盘净值数据(iFinD）'!$B592=""),"",分期持仓明细!$AB$19*SUMPRODUCT(分期持仓明细!$B$19:$Y$19,'实盘净值数据(iFinD）'!$B592:$Y592/'实盘净值数据(iFinD）'!$B$20:$Y$20)*(1-实盘持仓初始配置!$Z$6)^(('实盘净值数据(iFinD）'!$A592-'实盘净值数据(iFinD）'!$A$7)/365))</f>
        <v/>
      </c>
      <c r="I592" s="16" t="str">
        <f t="shared" si="56"/>
        <v/>
      </c>
      <c r="J592" s="16" t="str">
        <f>IF(H592="","",H592/MAX(H$5:H592)-1)</f>
        <v/>
      </c>
      <c r="K592" s="13" t="str">
        <f>IF(OR('实盘净值数据(iFinD）'!$A592="",'实盘净值数据(iFinD）'!$B592="",'实盘净值数据(iFinD）'!$Z592="",'实盘净值数据(iFinD）'!$AA592=""),"",分期持仓明细!$AB$23*(SUMPRODUCT(分期持仓明细!$B$23:$Y$23,'实盘净值数据(iFinD）'!$B592:$Y592/'实盘净值数据(iFinD）'!$B$65:$Y$65)+SUMPRODUCT(分期持仓明细!$AC$23:$AD$23,'实盘净值数据(iFinD）'!$Z592:$AA592/'实盘净值数据(iFinD）'!$Z$65:$AA$65))*(1-实盘持仓初始配置!$Z$7)^(('实盘净值数据(iFinD）'!$A592-'实盘净值数据(iFinD）'!$A$8)/365))</f>
        <v/>
      </c>
      <c r="L592" s="16" t="str">
        <f t="shared" si="57"/>
        <v/>
      </c>
      <c r="M592" s="16" t="str">
        <f>IF(K592="","",K592/MAX(K$5:K592)-1)</f>
        <v/>
      </c>
      <c r="N592" s="13" t="str">
        <f>IF(OR('实盘净值数据(iFinD）'!$A592="",'实盘净值数据(iFinD）'!$B592="",'实盘净值数据(iFinD）'!$Z592="",'实盘净值数据(iFinD）'!$AA592=""),"",分期持仓明细!$AB$24*(SUMPRODUCT(分期持仓明细!$B$24:$Y$24,'实盘净值数据(iFinD）'!$B592:$Y592/'实盘净值数据(iFinD）'!$B$65:$Y$65)+SUMPRODUCT(分期持仓明细!$AC$24:$AD$24,'实盘净值数据(iFinD）'!$Z592:$AA592/'实盘净值数据(iFinD）'!$Z$65:$AA$65))*(1-实盘持仓初始配置!$Z$8)^(('实盘净值数据(iFinD）'!$A592-'实盘净值数据(iFinD）'!$A$5)/365))</f>
        <v/>
      </c>
      <c r="O592" s="16" t="str">
        <f t="shared" si="58"/>
        <v/>
      </c>
      <c r="P592" s="16" t="str">
        <f>IF(N592="","",N592/MAX(N$5:N592)-1)</f>
        <v/>
      </c>
      <c r="Q592" s="13" t="str">
        <f>IF(OR('实盘净值数据(iFinD）'!$A592="",'实盘净值数据(iFinD）'!$B592="",'实盘净值数据(iFinD）'!$Z592="",'实盘净值数据(iFinD）'!$AA592=""),"",分期持仓明细!$AB$25*(SUMPRODUCT(分期持仓明细!$B$25:$Y$25,'实盘净值数据(iFinD）'!$B592:$Y592/'实盘净值数据(iFinD）'!$B$65:$Y$65)+SUMPRODUCT(分期持仓明细!$AC$25:$AD$25,'实盘净值数据(iFinD）'!$Z592:$AA592/'实盘净值数据(iFinD）'!$Z$65:$AA$65))*(1-实盘持仓初始配置!$Z$9)^(('实盘净值数据(iFinD）'!$A592-'实盘净值数据(iFinD）'!$A$8)/365))</f>
        <v/>
      </c>
      <c r="R592" s="16" t="str">
        <f t="shared" si="59"/>
        <v/>
      </c>
      <c r="S592" s="16" t="str">
        <f>IF(Q592="","",Q592/MAX(Q$5:Q592)-1)</f>
        <v/>
      </c>
    </row>
    <row r="593" spans="1:19">
      <c r="A593" s="15" t="str">
        <f>IF('实盘净值数据(iFinD）'!A593="","",'实盘净值数据(iFinD）'!A593)</f>
        <v/>
      </c>
      <c r="B593" s="13" t="str">
        <f>IF(OR('实盘净值数据(iFinD）'!$A593="",'实盘净值数据(iFinD）'!$B593=""),"",分期持仓明细!$AB$17*SUMPRODUCT(分期持仓明细!$B$17:$Y$17,'实盘净值数据(iFinD）'!$B593:$Y593/'实盘净值数据(iFinD）'!$B$20:$Y$20)*(1-实盘持仓初始配置!$Z$4)^(('实盘净值数据(iFinD）'!$A593-'实盘净值数据(iFinD）'!$A$6)/365))</f>
        <v/>
      </c>
      <c r="C593" s="16" t="str">
        <f t="shared" si="54"/>
        <v/>
      </c>
      <c r="D593" s="16" t="str">
        <f>IF(B593="","",B593/MAX(B$5:B593)-1)</f>
        <v/>
      </c>
      <c r="E593" s="13" t="str">
        <f>IF(OR('实盘净值数据(iFinD）'!$A593="",'实盘净值数据(iFinD）'!$B593=""),"",分期持仓明细!$AB$18*SUMPRODUCT(分期持仓明细!$B$18:$Y$18,'实盘净值数据(iFinD）'!$B593:$Y593/'实盘净值数据(iFinD）'!$B$20:$Y$20)*(1-实盘持仓初始配置!$Z$5)^(('实盘净值数据(iFinD）'!$A593-'实盘净值数据(iFinD）'!$A$5)/365))</f>
        <v/>
      </c>
      <c r="F593" s="16" t="str">
        <f t="shared" si="55"/>
        <v/>
      </c>
      <c r="G593" s="16" t="str">
        <f>IF(E593="","",E593/MAX(E$5:E593)-1)</f>
        <v/>
      </c>
      <c r="H593" s="13" t="str">
        <f>IF(OR('实盘净值数据(iFinD）'!$A593="",'实盘净值数据(iFinD）'!$B593=""),"",分期持仓明细!$AB$19*SUMPRODUCT(分期持仓明细!$B$19:$Y$19,'实盘净值数据(iFinD）'!$B593:$Y593/'实盘净值数据(iFinD）'!$B$20:$Y$20)*(1-实盘持仓初始配置!$Z$6)^(('实盘净值数据(iFinD）'!$A593-'实盘净值数据(iFinD）'!$A$7)/365))</f>
        <v/>
      </c>
      <c r="I593" s="16" t="str">
        <f t="shared" si="56"/>
        <v/>
      </c>
      <c r="J593" s="16" t="str">
        <f>IF(H593="","",H593/MAX(H$5:H593)-1)</f>
        <v/>
      </c>
      <c r="K593" s="13" t="str">
        <f>IF(OR('实盘净值数据(iFinD）'!$A593="",'实盘净值数据(iFinD）'!$B593="",'实盘净值数据(iFinD）'!$Z593="",'实盘净值数据(iFinD）'!$AA593=""),"",分期持仓明细!$AB$23*(SUMPRODUCT(分期持仓明细!$B$23:$Y$23,'实盘净值数据(iFinD）'!$B593:$Y593/'实盘净值数据(iFinD）'!$B$65:$Y$65)+SUMPRODUCT(分期持仓明细!$AC$23:$AD$23,'实盘净值数据(iFinD）'!$Z593:$AA593/'实盘净值数据(iFinD）'!$Z$65:$AA$65))*(1-实盘持仓初始配置!$Z$7)^(('实盘净值数据(iFinD）'!$A593-'实盘净值数据(iFinD）'!$A$8)/365))</f>
        <v/>
      </c>
      <c r="L593" s="16" t="str">
        <f t="shared" si="57"/>
        <v/>
      </c>
      <c r="M593" s="16" t="str">
        <f>IF(K593="","",K593/MAX(K$5:K593)-1)</f>
        <v/>
      </c>
      <c r="N593" s="13" t="str">
        <f>IF(OR('实盘净值数据(iFinD）'!$A593="",'实盘净值数据(iFinD）'!$B593="",'实盘净值数据(iFinD）'!$Z593="",'实盘净值数据(iFinD）'!$AA593=""),"",分期持仓明细!$AB$24*(SUMPRODUCT(分期持仓明细!$B$24:$Y$24,'实盘净值数据(iFinD）'!$B593:$Y593/'实盘净值数据(iFinD）'!$B$65:$Y$65)+SUMPRODUCT(分期持仓明细!$AC$24:$AD$24,'实盘净值数据(iFinD）'!$Z593:$AA593/'实盘净值数据(iFinD）'!$Z$65:$AA$65))*(1-实盘持仓初始配置!$Z$8)^(('实盘净值数据(iFinD）'!$A593-'实盘净值数据(iFinD）'!$A$5)/365))</f>
        <v/>
      </c>
      <c r="O593" s="16" t="str">
        <f t="shared" si="58"/>
        <v/>
      </c>
      <c r="P593" s="16" t="str">
        <f>IF(N593="","",N593/MAX(N$5:N593)-1)</f>
        <v/>
      </c>
      <c r="Q593" s="13" t="str">
        <f>IF(OR('实盘净值数据(iFinD）'!$A593="",'实盘净值数据(iFinD）'!$B593="",'实盘净值数据(iFinD）'!$Z593="",'实盘净值数据(iFinD）'!$AA593=""),"",分期持仓明细!$AB$25*(SUMPRODUCT(分期持仓明细!$B$25:$Y$25,'实盘净值数据(iFinD）'!$B593:$Y593/'实盘净值数据(iFinD）'!$B$65:$Y$65)+SUMPRODUCT(分期持仓明细!$AC$25:$AD$25,'实盘净值数据(iFinD）'!$Z593:$AA593/'实盘净值数据(iFinD）'!$Z$65:$AA$65))*(1-实盘持仓初始配置!$Z$9)^(('实盘净值数据(iFinD）'!$A593-'实盘净值数据(iFinD）'!$A$8)/365))</f>
        <v/>
      </c>
      <c r="R593" s="16" t="str">
        <f t="shared" si="59"/>
        <v/>
      </c>
      <c r="S593" s="16" t="str">
        <f>IF(Q593="","",Q593/MAX(Q$5:Q593)-1)</f>
        <v/>
      </c>
    </row>
    <row r="594" spans="1:19">
      <c r="A594" s="15" t="str">
        <f>IF('实盘净值数据(iFinD）'!A594="","",'实盘净值数据(iFinD）'!A594)</f>
        <v/>
      </c>
      <c r="B594" s="13" t="str">
        <f>IF(OR('实盘净值数据(iFinD）'!$A594="",'实盘净值数据(iFinD）'!$B594=""),"",分期持仓明细!$AB$17*SUMPRODUCT(分期持仓明细!$B$17:$Y$17,'实盘净值数据(iFinD）'!$B594:$Y594/'实盘净值数据(iFinD）'!$B$20:$Y$20)*(1-实盘持仓初始配置!$Z$4)^(('实盘净值数据(iFinD）'!$A594-'实盘净值数据(iFinD）'!$A$6)/365))</f>
        <v/>
      </c>
      <c r="C594" s="16" t="str">
        <f t="shared" si="54"/>
        <v/>
      </c>
      <c r="D594" s="16" t="str">
        <f>IF(B594="","",B594/MAX(B$5:B594)-1)</f>
        <v/>
      </c>
      <c r="E594" s="13" t="str">
        <f>IF(OR('实盘净值数据(iFinD）'!$A594="",'实盘净值数据(iFinD）'!$B594=""),"",分期持仓明细!$AB$18*SUMPRODUCT(分期持仓明细!$B$18:$Y$18,'实盘净值数据(iFinD）'!$B594:$Y594/'实盘净值数据(iFinD）'!$B$20:$Y$20)*(1-实盘持仓初始配置!$Z$5)^(('实盘净值数据(iFinD）'!$A594-'实盘净值数据(iFinD）'!$A$5)/365))</f>
        <v/>
      </c>
      <c r="F594" s="16" t="str">
        <f t="shared" si="55"/>
        <v/>
      </c>
      <c r="G594" s="16" t="str">
        <f>IF(E594="","",E594/MAX(E$5:E594)-1)</f>
        <v/>
      </c>
      <c r="H594" s="13" t="str">
        <f>IF(OR('实盘净值数据(iFinD）'!$A594="",'实盘净值数据(iFinD）'!$B594=""),"",分期持仓明细!$AB$19*SUMPRODUCT(分期持仓明细!$B$19:$Y$19,'实盘净值数据(iFinD）'!$B594:$Y594/'实盘净值数据(iFinD）'!$B$20:$Y$20)*(1-实盘持仓初始配置!$Z$6)^(('实盘净值数据(iFinD）'!$A594-'实盘净值数据(iFinD）'!$A$7)/365))</f>
        <v/>
      </c>
      <c r="I594" s="16" t="str">
        <f t="shared" si="56"/>
        <v/>
      </c>
      <c r="J594" s="16" t="str">
        <f>IF(H594="","",H594/MAX(H$5:H594)-1)</f>
        <v/>
      </c>
      <c r="K594" s="13" t="str">
        <f>IF(OR('实盘净值数据(iFinD）'!$A594="",'实盘净值数据(iFinD）'!$B594="",'实盘净值数据(iFinD）'!$Z594="",'实盘净值数据(iFinD）'!$AA594=""),"",分期持仓明细!$AB$23*(SUMPRODUCT(分期持仓明细!$B$23:$Y$23,'实盘净值数据(iFinD）'!$B594:$Y594/'实盘净值数据(iFinD）'!$B$65:$Y$65)+SUMPRODUCT(分期持仓明细!$AC$23:$AD$23,'实盘净值数据(iFinD）'!$Z594:$AA594/'实盘净值数据(iFinD）'!$Z$65:$AA$65))*(1-实盘持仓初始配置!$Z$7)^(('实盘净值数据(iFinD）'!$A594-'实盘净值数据(iFinD）'!$A$8)/365))</f>
        <v/>
      </c>
      <c r="L594" s="16" t="str">
        <f t="shared" si="57"/>
        <v/>
      </c>
      <c r="M594" s="16" t="str">
        <f>IF(K594="","",K594/MAX(K$5:K594)-1)</f>
        <v/>
      </c>
      <c r="N594" s="13" t="str">
        <f>IF(OR('实盘净值数据(iFinD）'!$A594="",'实盘净值数据(iFinD）'!$B594="",'实盘净值数据(iFinD）'!$Z594="",'实盘净值数据(iFinD）'!$AA594=""),"",分期持仓明细!$AB$24*(SUMPRODUCT(分期持仓明细!$B$24:$Y$24,'实盘净值数据(iFinD）'!$B594:$Y594/'实盘净值数据(iFinD）'!$B$65:$Y$65)+SUMPRODUCT(分期持仓明细!$AC$24:$AD$24,'实盘净值数据(iFinD）'!$Z594:$AA594/'实盘净值数据(iFinD）'!$Z$65:$AA$65))*(1-实盘持仓初始配置!$Z$8)^(('实盘净值数据(iFinD）'!$A594-'实盘净值数据(iFinD）'!$A$5)/365))</f>
        <v/>
      </c>
      <c r="O594" s="16" t="str">
        <f t="shared" si="58"/>
        <v/>
      </c>
      <c r="P594" s="16" t="str">
        <f>IF(N594="","",N594/MAX(N$5:N594)-1)</f>
        <v/>
      </c>
      <c r="Q594" s="13" t="str">
        <f>IF(OR('实盘净值数据(iFinD）'!$A594="",'实盘净值数据(iFinD）'!$B594="",'实盘净值数据(iFinD）'!$Z594="",'实盘净值数据(iFinD）'!$AA594=""),"",分期持仓明细!$AB$25*(SUMPRODUCT(分期持仓明细!$B$25:$Y$25,'实盘净值数据(iFinD）'!$B594:$Y594/'实盘净值数据(iFinD）'!$B$65:$Y$65)+SUMPRODUCT(分期持仓明细!$AC$25:$AD$25,'实盘净值数据(iFinD）'!$Z594:$AA594/'实盘净值数据(iFinD）'!$Z$65:$AA$65))*(1-实盘持仓初始配置!$Z$9)^(('实盘净值数据(iFinD）'!$A594-'实盘净值数据(iFinD）'!$A$8)/365))</f>
        <v/>
      </c>
      <c r="R594" s="16" t="str">
        <f t="shared" si="59"/>
        <v/>
      </c>
      <c r="S594" s="16" t="str">
        <f>IF(Q594="","",Q594/MAX(Q$5:Q594)-1)</f>
        <v/>
      </c>
    </row>
    <row r="595" spans="1:19">
      <c r="A595" s="15" t="str">
        <f>IF('实盘净值数据(iFinD）'!A595="","",'实盘净值数据(iFinD）'!A595)</f>
        <v/>
      </c>
      <c r="B595" s="13" t="str">
        <f>IF(OR('实盘净值数据(iFinD）'!$A595="",'实盘净值数据(iFinD）'!$B595=""),"",分期持仓明细!$AB$17*SUMPRODUCT(分期持仓明细!$B$17:$Y$17,'实盘净值数据(iFinD）'!$B595:$Y595/'实盘净值数据(iFinD）'!$B$20:$Y$20)*(1-实盘持仓初始配置!$Z$4)^(('实盘净值数据(iFinD）'!$A595-'实盘净值数据(iFinD）'!$A$6)/365))</f>
        <v/>
      </c>
      <c r="C595" s="16" t="str">
        <f t="shared" si="54"/>
        <v/>
      </c>
      <c r="D595" s="16" t="str">
        <f>IF(B595="","",B595/MAX(B$5:B595)-1)</f>
        <v/>
      </c>
      <c r="E595" s="13" t="str">
        <f>IF(OR('实盘净值数据(iFinD）'!$A595="",'实盘净值数据(iFinD）'!$B595=""),"",分期持仓明细!$AB$18*SUMPRODUCT(分期持仓明细!$B$18:$Y$18,'实盘净值数据(iFinD）'!$B595:$Y595/'实盘净值数据(iFinD）'!$B$20:$Y$20)*(1-实盘持仓初始配置!$Z$5)^(('实盘净值数据(iFinD）'!$A595-'实盘净值数据(iFinD）'!$A$5)/365))</f>
        <v/>
      </c>
      <c r="F595" s="16" t="str">
        <f t="shared" si="55"/>
        <v/>
      </c>
      <c r="G595" s="16" t="str">
        <f>IF(E595="","",E595/MAX(E$5:E595)-1)</f>
        <v/>
      </c>
      <c r="H595" s="13" t="str">
        <f>IF(OR('实盘净值数据(iFinD）'!$A595="",'实盘净值数据(iFinD）'!$B595=""),"",分期持仓明细!$AB$19*SUMPRODUCT(分期持仓明细!$B$19:$Y$19,'实盘净值数据(iFinD）'!$B595:$Y595/'实盘净值数据(iFinD）'!$B$20:$Y$20)*(1-实盘持仓初始配置!$Z$6)^(('实盘净值数据(iFinD）'!$A595-'实盘净值数据(iFinD）'!$A$7)/365))</f>
        <v/>
      </c>
      <c r="I595" s="16" t="str">
        <f t="shared" si="56"/>
        <v/>
      </c>
      <c r="J595" s="16" t="str">
        <f>IF(H595="","",H595/MAX(H$5:H595)-1)</f>
        <v/>
      </c>
      <c r="K595" s="13" t="str">
        <f>IF(OR('实盘净值数据(iFinD）'!$A595="",'实盘净值数据(iFinD）'!$B595="",'实盘净值数据(iFinD）'!$Z595="",'实盘净值数据(iFinD）'!$AA595=""),"",分期持仓明细!$AB$23*(SUMPRODUCT(分期持仓明细!$B$23:$Y$23,'实盘净值数据(iFinD）'!$B595:$Y595/'实盘净值数据(iFinD）'!$B$65:$Y$65)+SUMPRODUCT(分期持仓明细!$AC$23:$AD$23,'实盘净值数据(iFinD）'!$Z595:$AA595/'实盘净值数据(iFinD）'!$Z$65:$AA$65))*(1-实盘持仓初始配置!$Z$7)^(('实盘净值数据(iFinD）'!$A595-'实盘净值数据(iFinD）'!$A$8)/365))</f>
        <v/>
      </c>
      <c r="L595" s="16" t="str">
        <f t="shared" si="57"/>
        <v/>
      </c>
      <c r="M595" s="16" t="str">
        <f>IF(K595="","",K595/MAX(K$5:K595)-1)</f>
        <v/>
      </c>
      <c r="N595" s="13" t="str">
        <f>IF(OR('实盘净值数据(iFinD）'!$A595="",'实盘净值数据(iFinD）'!$B595="",'实盘净值数据(iFinD）'!$Z595="",'实盘净值数据(iFinD）'!$AA595=""),"",分期持仓明细!$AB$24*(SUMPRODUCT(分期持仓明细!$B$24:$Y$24,'实盘净值数据(iFinD）'!$B595:$Y595/'实盘净值数据(iFinD）'!$B$65:$Y$65)+SUMPRODUCT(分期持仓明细!$AC$24:$AD$24,'实盘净值数据(iFinD）'!$Z595:$AA595/'实盘净值数据(iFinD）'!$Z$65:$AA$65))*(1-实盘持仓初始配置!$Z$8)^(('实盘净值数据(iFinD）'!$A595-'实盘净值数据(iFinD）'!$A$5)/365))</f>
        <v/>
      </c>
      <c r="O595" s="16" t="str">
        <f t="shared" si="58"/>
        <v/>
      </c>
      <c r="P595" s="16" t="str">
        <f>IF(N595="","",N595/MAX(N$5:N595)-1)</f>
        <v/>
      </c>
      <c r="Q595" s="13" t="str">
        <f>IF(OR('实盘净值数据(iFinD）'!$A595="",'实盘净值数据(iFinD）'!$B595="",'实盘净值数据(iFinD）'!$Z595="",'实盘净值数据(iFinD）'!$AA595=""),"",分期持仓明细!$AB$25*(SUMPRODUCT(分期持仓明细!$B$25:$Y$25,'实盘净值数据(iFinD）'!$B595:$Y595/'实盘净值数据(iFinD）'!$B$65:$Y$65)+SUMPRODUCT(分期持仓明细!$AC$25:$AD$25,'实盘净值数据(iFinD）'!$Z595:$AA595/'实盘净值数据(iFinD）'!$Z$65:$AA$65))*(1-实盘持仓初始配置!$Z$9)^(('实盘净值数据(iFinD）'!$A595-'实盘净值数据(iFinD）'!$A$8)/365))</f>
        <v/>
      </c>
      <c r="R595" s="16" t="str">
        <f t="shared" si="59"/>
        <v/>
      </c>
      <c r="S595" s="16" t="str">
        <f>IF(Q595="","",Q595/MAX(Q$5:Q595)-1)</f>
        <v/>
      </c>
    </row>
    <row r="596" spans="1:19">
      <c r="A596" s="15" t="str">
        <f>IF('实盘净值数据(iFinD）'!A596="","",'实盘净值数据(iFinD）'!A596)</f>
        <v/>
      </c>
      <c r="B596" s="13" t="str">
        <f>IF(OR('实盘净值数据(iFinD）'!$A596="",'实盘净值数据(iFinD）'!$B596=""),"",分期持仓明细!$AB$17*SUMPRODUCT(分期持仓明细!$B$17:$Y$17,'实盘净值数据(iFinD）'!$B596:$Y596/'实盘净值数据(iFinD）'!$B$20:$Y$20)*(1-实盘持仓初始配置!$Z$4)^(('实盘净值数据(iFinD）'!$A596-'实盘净值数据(iFinD）'!$A$6)/365))</f>
        <v/>
      </c>
      <c r="C596" s="16" t="str">
        <f t="shared" si="54"/>
        <v/>
      </c>
      <c r="D596" s="16" t="str">
        <f>IF(B596="","",B596/MAX(B$5:B596)-1)</f>
        <v/>
      </c>
      <c r="E596" s="13" t="str">
        <f>IF(OR('实盘净值数据(iFinD）'!$A596="",'实盘净值数据(iFinD）'!$B596=""),"",分期持仓明细!$AB$18*SUMPRODUCT(分期持仓明细!$B$18:$Y$18,'实盘净值数据(iFinD）'!$B596:$Y596/'实盘净值数据(iFinD）'!$B$20:$Y$20)*(1-实盘持仓初始配置!$Z$5)^(('实盘净值数据(iFinD）'!$A596-'实盘净值数据(iFinD）'!$A$5)/365))</f>
        <v/>
      </c>
      <c r="F596" s="16" t="str">
        <f t="shared" si="55"/>
        <v/>
      </c>
      <c r="G596" s="16" t="str">
        <f>IF(E596="","",E596/MAX(E$5:E596)-1)</f>
        <v/>
      </c>
      <c r="H596" s="13" t="str">
        <f>IF(OR('实盘净值数据(iFinD）'!$A596="",'实盘净值数据(iFinD）'!$B596=""),"",分期持仓明细!$AB$19*SUMPRODUCT(分期持仓明细!$B$19:$Y$19,'实盘净值数据(iFinD）'!$B596:$Y596/'实盘净值数据(iFinD）'!$B$20:$Y$20)*(1-实盘持仓初始配置!$Z$6)^(('实盘净值数据(iFinD）'!$A596-'实盘净值数据(iFinD）'!$A$7)/365))</f>
        <v/>
      </c>
      <c r="I596" s="16" t="str">
        <f t="shared" si="56"/>
        <v/>
      </c>
      <c r="J596" s="16" t="str">
        <f>IF(H596="","",H596/MAX(H$5:H596)-1)</f>
        <v/>
      </c>
      <c r="K596" s="13" t="str">
        <f>IF(OR('实盘净值数据(iFinD）'!$A596="",'实盘净值数据(iFinD）'!$B596="",'实盘净值数据(iFinD）'!$Z596="",'实盘净值数据(iFinD）'!$AA596=""),"",分期持仓明细!$AB$23*(SUMPRODUCT(分期持仓明细!$B$23:$Y$23,'实盘净值数据(iFinD）'!$B596:$Y596/'实盘净值数据(iFinD）'!$B$65:$Y$65)+SUMPRODUCT(分期持仓明细!$AC$23:$AD$23,'实盘净值数据(iFinD）'!$Z596:$AA596/'实盘净值数据(iFinD）'!$Z$65:$AA$65))*(1-实盘持仓初始配置!$Z$7)^(('实盘净值数据(iFinD）'!$A596-'实盘净值数据(iFinD）'!$A$8)/365))</f>
        <v/>
      </c>
      <c r="L596" s="16" t="str">
        <f t="shared" si="57"/>
        <v/>
      </c>
      <c r="M596" s="16" t="str">
        <f>IF(K596="","",K596/MAX(K$5:K596)-1)</f>
        <v/>
      </c>
      <c r="N596" s="13" t="str">
        <f>IF(OR('实盘净值数据(iFinD）'!$A596="",'实盘净值数据(iFinD）'!$B596="",'实盘净值数据(iFinD）'!$Z596="",'实盘净值数据(iFinD）'!$AA596=""),"",分期持仓明细!$AB$24*(SUMPRODUCT(分期持仓明细!$B$24:$Y$24,'实盘净值数据(iFinD）'!$B596:$Y596/'实盘净值数据(iFinD）'!$B$65:$Y$65)+SUMPRODUCT(分期持仓明细!$AC$24:$AD$24,'实盘净值数据(iFinD）'!$Z596:$AA596/'实盘净值数据(iFinD）'!$Z$65:$AA$65))*(1-实盘持仓初始配置!$Z$8)^(('实盘净值数据(iFinD）'!$A596-'实盘净值数据(iFinD）'!$A$5)/365))</f>
        <v/>
      </c>
      <c r="O596" s="16" t="str">
        <f t="shared" si="58"/>
        <v/>
      </c>
      <c r="P596" s="16" t="str">
        <f>IF(N596="","",N596/MAX(N$5:N596)-1)</f>
        <v/>
      </c>
      <c r="Q596" s="13" t="str">
        <f>IF(OR('实盘净值数据(iFinD）'!$A596="",'实盘净值数据(iFinD）'!$B596="",'实盘净值数据(iFinD）'!$Z596="",'实盘净值数据(iFinD）'!$AA596=""),"",分期持仓明细!$AB$25*(SUMPRODUCT(分期持仓明细!$B$25:$Y$25,'实盘净值数据(iFinD）'!$B596:$Y596/'实盘净值数据(iFinD）'!$B$65:$Y$65)+SUMPRODUCT(分期持仓明细!$AC$25:$AD$25,'实盘净值数据(iFinD）'!$Z596:$AA596/'实盘净值数据(iFinD）'!$Z$65:$AA$65))*(1-实盘持仓初始配置!$Z$9)^(('实盘净值数据(iFinD）'!$A596-'实盘净值数据(iFinD）'!$A$8)/365))</f>
        <v/>
      </c>
      <c r="R596" s="16" t="str">
        <f t="shared" si="59"/>
        <v/>
      </c>
      <c r="S596" s="16" t="str">
        <f>IF(Q596="","",Q596/MAX(Q$5:Q596)-1)</f>
        <v/>
      </c>
    </row>
    <row r="597" spans="1:19">
      <c r="A597" s="15" t="str">
        <f>IF('实盘净值数据(iFinD）'!A597="","",'实盘净值数据(iFinD）'!A597)</f>
        <v/>
      </c>
      <c r="B597" s="13" t="str">
        <f>IF(OR('实盘净值数据(iFinD）'!$A597="",'实盘净值数据(iFinD）'!$B597=""),"",分期持仓明细!$AB$17*SUMPRODUCT(分期持仓明细!$B$17:$Y$17,'实盘净值数据(iFinD）'!$B597:$Y597/'实盘净值数据(iFinD）'!$B$20:$Y$20)*(1-实盘持仓初始配置!$Z$4)^(('实盘净值数据(iFinD）'!$A597-'实盘净值数据(iFinD）'!$A$6)/365))</f>
        <v/>
      </c>
      <c r="C597" s="16" t="str">
        <f t="shared" si="54"/>
        <v/>
      </c>
      <c r="D597" s="16" t="str">
        <f>IF(B597="","",B597/MAX(B$5:B597)-1)</f>
        <v/>
      </c>
      <c r="E597" s="13" t="str">
        <f>IF(OR('实盘净值数据(iFinD）'!$A597="",'实盘净值数据(iFinD）'!$B597=""),"",分期持仓明细!$AB$18*SUMPRODUCT(分期持仓明细!$B$18:$Y$18,'实盘净值数据(iFinD）'!$B597:$Y597/'实盘净值数据(iFinD）'!$B$20:$Y$20)*(1-实盘持仓初始配置!$Z$5)^(('实盘净值数据(iFinD）'!$A597-'实盘净值数据(iFinD）'!$A$5)/365))</f>
        <v/>
      </c>
      <c r="F597" s="16" t="str">
        <f t="shared" si="55"/>
        <v/>
      </c>
      <c r="G597" s="16" t="str">
        <f>IF(E597="","",E597/MAX(E$5:E597)-1)</f>
        <v/>
      </c>
      <c r="H597" s="13" t="str">
        <f>IF(OR('实盘净值数据(iFinD）'!$A597="",'实盘净值数据(iFinD）'!$B597=""),"",分期持仓明细!$AB$19*SUMPRODUCT(分期持仓明细!$B$19:$Y$19,'实盘净值数据(iFinD）'!$B597:$Y597/'实盘净值数据(iFinD）'!$B$20:$Y$20)*(1-实盘持仓初始配置!$Z$6)^(('实盘净值数据(iFinD）'!$A597-'实盘净值数据(iFinD）'!$A$7)/365))</f>
        <v/>
      </c>
      <c r="I597" s="16" t="str">
        <f t="shared" si="56"/>
        <v/>
      </c>
      <c r="J597" s="16" t="str">
        <f>IF(H597="","",H597/MAX(H$5:H597)-1)</f>
        <v/>
      </c>
      <c r="K597" s="13" t="str">
        <f>IF(OR('实盘净值数据(iFinD）'!$A597="",'实盘净值数据(iFinD）'!$B597="",'实盘净值数据(iFinD）'!$Z597="",'实盘净值数据(iFinD）'!$AA597=""),"",分期持仓明细!$AB$23*(SUMPRODUCT(分期持仓明细!$B$23:$Y$23,'实盘净值数据(iFinD）'!$B597:$Y597/'实盘净值数据(iFinD）'!$B$65:$Y$65)+SUMPRODUCT(分期持仓明细!$AC$23:$AD$23,'实盘净值数据(iFinD）'!$Z597:$AA597/'实盘净值数据(iFinD）'!$Z$65:$AA$65))*(1-实盘持仓初始配置!$Z$7)^(('实盘净值数据(iFinD）'!$A597-'实盘净值数据(iFinD）'!$A$8)/365))</f>
        <v/>
      </c>
      <c r="L597" s="16" t="str">
        <f t="shared" si="57"/>
        <v/>
      </c>
      <c r="M597" s="16" t="str">
        <f>IF(K597="","",K597/MAX(K$5:K597)-1)</f>
        <v/>
      </c>
      <c r="N597" s="13" t="str">
        <f>IF(OR('实盘净值数据(iFinD）'!$A597="",'实盘净值数据(iFinD）'!$B597="",'实盘净值数据(iFinD）'!$Z597="",'实盘净值数据(iFinD）'!$AA597=""),"",分期持仓明细!$AB$24*(SUMPRODUCT(分期持仓明细!$B$24:$Y$24,'实盘净值数据(iFinD）'!$B597:$Y597/'实盘净值数据(iFinD）'!$B$65:$Y$65)+SUMPRODUCT(分期持仓明细!$AC$24:$AD$24,'实盘净值数据(iFinD）'!$Z597:$AA597/'实盘净值数据(iFinD）'!$Z$65:$AA$65))*(1-实盘持仓初始配置!$Z$8)^(('实盘净值数据(iFinD）'!$A597-'实盘净值数据(iFinD）'!$A$5)/365))</f>
        <v/>
      </c>
      <c r="O597" s="16" t="str">
        <f t="shared" si="58"/>
        <v/>
      </c>
      <c r="P597" s="16" t="str">
        <f>IF(N597="","",N597/MAX(N$5:N597)-1)</f>
        <v/>
      </c>
      <c r="Q597" s="13" t="str">
        <f>IF(OR('实盘净值数据(iFinD）'!$A597="",'实盘净值数据(iFinD）'!$B597="",'实盘净值数据(iFinD）'!$Z597="",'实盘净值数据(iFinD）'!$AA597=""),"",分期持仓明细!$AB$25*(SUMPRODUCT(分期持仓明细!$B$25:$Y$25,'实盘净值数据(iFinD）'!$B597:$Y597/'实盘净值数据(iFinD）'!$B$65:$Y$65)+SUMPRODUCT(分期持仓明细!$AC$25:$AD$25,'实盘净值数据(iFinD）'!$Z597:$AA597/'实盘净值数据(iFinD）'!$Z$65:$AA$65))*(1-实盘持仓初始配置!$Z$9)^(('实盘净值数据(iFinD）'!$A597-'实盘净值数据(iFinD）'!$A$8)/365))</f>
        <v/>
      </c>
      <c r="R597" s="16" t="str">
        <f t="shared" si="59"/>
        <v/>
      </c>
      <c r="S597" s="16" t="str">
        <f>IF(Q597="","",Q597/MAX(Q$5:Q597)-1)</f>
        <v/>
      </c>
    </row>
    <row r="598" spans="1:19">
      <c r="A598" s="15" t="str">
        <f>IF('实盘净值数据(iFinD）'!A598="","",'实盘净值数据(iFinD）'!A598)</f>
        <v/>
      </c>
      <c r="B598" s="13" t="str">
        <f>IF(OR('实盘净值数据(iFinD）'!$A598="",'实盘净值数据(iFinD）'!$B598=""),"",分期持仓明细!$AB$17*SUMPRODUCT(分期持仓明细!$B$17:$Y$17,'实盘净值数据(iFinD）'!$B598:$Y598/'实盘净值数据(iFinD）'!$B$20:$Y$20)*(1-实盘持仓初始配置!$Z$4)^(('实盘净值数据(iFinD）'!$A598-'实盘净值数据(iFinD）'!$A$6)/365))</f>
        <v/>
      </c>
      <c r="C598" s="16" t="str">
        <f t="shared" si="54"/>
        <v/>
      </c>
      <c r="D598" s="16" t="str">
        <f>IF(B598="","",B598/MAX(B$5:B598)-1)</f>
        <v/>
      </c>
      <c r="E598" s="13" t="str">
        <f>IF(OR('实盘净值数据(iFinD）'!$A598="",'实盘净值数据(iFinD）'!$B598=""),"",分期持仓明细!$AB$18*SUMPRODUCT(分期持仓明细!$B$18:$Y$18,'实盘净值数据(iFinD）'!$B598:$Y598/'实盘净值数据(iFinD）'!$B$20:$Y$20)*(1-实盘持仓初始配置!$Z$5)^(('实盘净值数据(iFinD）'!$A598-'实盘净值数据(iFinD）'!$A$5)/365))</f>
        <v/>
      </c>
      <c r="F598" s="16" t="str">
        <f t="shared" si="55"/>
        <v/>
      </c>
      <c r="G598" s="16" t="str">
        <f>IF(E598="","",E598/MAX(E$5:E598)-1)</f>
        <v/>
      </c>
      <c r="H598" s="13" t="str">
        <f>IF(OR('实盘净值数据(iFinD）'!$A598="",'实盘净值数据(iFinD）'!$B598=""),"",分期持仓明细!$AB$19*SUMPRODUCT(分期持仓明细!$B$19:$Y$19,'实盘净值数据(iFinD）'!$B598:$Y598/'实盘净值数据(iFinD）'!$B$20:$Y$20)*(1-实盘持仓初始配置!$Z$6)^(('实盘净值数据(iFinD）'!$A598-'实盘净值数据(iFinD）'!$A$7)/365))</f>
        <v/>
      </c>
      <c r="I598" s="16" t="str">
        <f t="shared" si="56"/>
        <v/>
      </c>
      <c r="J598" s="16" t="str">
        <f>IF(H598="","",H598/MAX(H$5:H598)-1)</f>
        <v/>
      </c>
      <c r="K598" s="13" t="str">
        <f>IF(OR('实盘净值数据(iFinD）'!$A598="",'实盘净值数据(iFinD）'!$B598="",'实盘净值数据(iFinD）'!$Z598="",'实盘净值数据(iFinD）'!$AA598=""),"",分期持仓明细!$AB$23*(SUMPRODUCT(分期持仓明细!$B$23:$Y$23,'实盘净值数据(iFinD）'!$B598:$Y598/'实盘净值数据(iFinD）'!$B$65:$Y$65)+SUMPRODUCT(分期持仓明细!$AC$23:$AD$23,'实盘净值数据(iFinD）'!$Z598:$AA598/'实盘净值数据(iFinD）'!$Z$65:$AA$65))*(1-实盘持仓初始配置!$Z$7)^(('实盘净值数据(iFinD）'!$A598-'实盘净值数据(iFinD）'!$A$8)/365))</f>
        <v/>
      </c>
      <c r="L598" s="16" t="str">
        <f t="shared" si="57"/>
        <v/>
      </c>
      <c r="M598" s="16" t="str">
        <f>IF(K598="","",K598/MAX(K$5:K598)-1)</f>
        <v/>
      </c>
      <c r="N598" s="13" t="str">
        <f>IF(OR('实盘净值数据(iFinD）'!$A598="",'实盘净值数据(iFinD）'!$B598="",'实盘净值数据(iFinD）'!$Z598="",'实盘净值数据(iFinD）'!$AA598=""),"",分期持仓明细!$AB$24*(SUMPRODUCT(分期持仓明细!$B$24:$Y$24,'实盘净值数据(iFinD）'!$B598:$Y598/'实盘净值数据(iFinD）'!$B$65:$Y$65)+SUMPRODUCT(分期持仓明细!$AC$24:$AD$24,'实盘净值数据(iFinD）'!$Z598:$AA598/'实盘净值数据(iFinD）'!$Z$65:$AA$65))*(1-实盘持仓初始配置!$Z$8)^(('实盘净值数据(iFinD）'!$A598-'实盘净值数据(iFinD）'!$A$5)/365))</f>
        <v/>
      </c>
      <c r="O598" s="16" t="str">
        <f t="shared" si="58"/>
        <v/>
      </c>
      <c r="P598" s="16" t="str">
        <f>IF(N598="","",N598/MAX(N$5:N598)-1)</f>
        <v/>
      </c>
      <c r="Q598" s="13" t="str">
        <f>IF(OR('实盘净值数据(iFinD）'!$A598="",'实盘净值数据(iFinD）'!$B598="",'实盘净值数据(iFinD）'!$Z598="",'实盘净值数据(iFinD）'!$AA598=""),"",分期持仓明细!$AB$25*(SUMPRODUCT(分期持仓明细!$B$25:$Y$25,'实盘净值数据(iFinD）'!$B598:$Y598/'实盘净值数据(iFinD）'!$B$65:$Y$65)+SUMPRODUCT(分期持仓明细!$AC$25:$AD$25,'实盘净值数据(iFinD）'!$Z598:$AA598/'实盘净值数据(iFinD）'!$Z$65:$AA$65))*(1-实盘持仓初始配置!$Z$9)^(('实盘净值数据(iFinD）'!$A598-'实盘净值数据(iFinD）'!$A$8)/365))</f>
        <v/>
      </c>
      <c r="R598" s="16" t="str">
        <f t="shared" si="59"/>
        <v/>
      </c>
      <c r="S598" s="16" t="str">
        <f>IF(Q598="","",Q598/MAX(Q$5:Q598)-1)</f>
        <v/>
      </c>
    </row>
    <row r="599" spans="1:19">
      <c r="A599" s="15" t="str">
        <f>IF('实盘净值数据(iFinD）'!A599="","",'实盘净值数据(iFinD）'!A599)</f>
        <v/>
      </c>
      <c r="B599" s="13" t="str">
        <f>IF(OR('实盘净值数据(iFinD）'!$A599="",'实盘净值数据(iFinD）'!$B599=""),"",分期持仓明细!$AB$17*SUMPRODUCT(分期持仓明细!$B$17:$Y$17,'实盘净值数据(iFinD）'!$B599:$Y599/'实盘净值数据(iFinD）'!$B$20:$Y$20)*(1-实盘持仓初始配置!$Z$4)^(('实盘净值数据(iFinD）'!$A599-'实盘净值数据(iFinD）'!$A$6)/365))</f>
        <v/>
      </c>
      <c r="C599" s="16" t="str">
        <f t="shared" si="54"/>
        <v/>
      </c>
      <c r="D599" s="16" t="str">
        <f>IF(B599="","",B599/MAX(B$5:B599)-1)</f>
        <v/>
      </c>
      <c r="E599" s="13" t="str">
        <f>IF(OR('实盘净值数据(iFinD）'!$A599="",'实盘净值数据(iFinD）'!$B599=""),"",分期持仓明细!$AB$18*SUMPRODUCT(分期持仓明细!$B$18:$Y$18,'实盘净值数据(iFinD）'!$B599:$Y599/'实盘净值数据(iFinD）'!$B$20:$Y$20)*(1-实盘持仓初始配置!$Z$5)^(('实盘净值数据(iFinD）'!$A599-'实盘净值数据(iFinD）'!$A$5)/365))</f>
        <v/>
      </c>
      <c r="F599" s="16" t="str">
        <f t="shared" si="55"/>
        <v/>
      </c>
      <c r="G599" s="16" t="str">
        <f>IF(E599="","",E599/MAX(E$5:E599)-1)</f>
        <v/>
      </c>
      <c r="H599" s="13" t="str">
        <f>IF(OR('实盘净值数据(iFinD）'!$A599="",'实盘净值数据(iFinD）'!$B599=""),"",分期持仓明细!$AB$19*SUMPRODUCT(分期持仓明细!$B$19:$Y$19,'实盘净值数据(iFinD）'!$B599:$Y599/'实盘净值数据(iFinD）'!$B$20:$Y$20)*(1-实盘持仓初始配置!$Z$6)^(('实盘净值数据(iFinD）'!$A599-'实盘净值数据(iFinD）'!$A$7)/365))</f>
        <v/>
      </c>
      <c r="I599" s="16" t="str">
        <f t="shared" si="56"/>
        <v/>
      </c>
      <c r="J599" s="16" t="str">
        <f>IF(H599="","",H599/MAX(H$5:H599)-1)</f>
        <v/>
      </c>
      <c r="K599" s="13" t="str">
        <f>IF(OR('实盘净值数据(iFinD）'!$A599="",'实盘净值数据(iFinD）'!$B599="",'实盘净值数据(iFinD）'!$Z599="",'实盘净值数据(iFinD）'!$AA599=""),"",分期持仓明细!$AB$23*(SUMPRODUCT(分期持仓明细!$B$23:$Y$23,'实盘净值数据(iFinD）'!$B599:$Y599/'实盘净值数据(iFinD）'!$B$65:$Y$65)+SUMPRODUCT(分期持仓明细!$AC$23:$AD$23,'实盘净值数据(iFinD）'!$Z599:$AA599/'实盘净值数据(iFinD）'!$Z$65:$AA$65))*(1-实盘持仓初始配置!$Z$7)^(('实盘净值数据(iFinD）'!$A599-'实盘净值数据(iFinD）'!$A$8)/365))</f>
        <v/>
      </c>
      <c r="L599" s="16" t="str">
        <f t="shared" si="57"/>
        <v/>
      </c>
      <c r="M599" s="16" t="str">
        <f>IF(K599="","",K599/MAX(K$5:K599)-1)</f>
        <v/>
      </c>
      <c r="N599" s="13" t="str">
        <f>IF(OR('实盘净值数据(iFinD）'!$A599="",'实盘净值数据(iFinD）'!$B599="",'实盘净值数据(iFinD）'!$Z599="",'实盘净值数据(iFinD）'!$AA599=""),"",分期持仓明细!$AB$24*(SUMPRODUCT(分期持仓明细!$B$24:$Y$24,'实盘净值数据(iFinD）'!$B599:$Y599/'实盘净值数据(iFinD）'!$B$65:$Y$65)+SUMPRODUCT(分期持仓明细!$AC$24:$AD$24,'实盘净值数据(iFinD）'!$Z599:$AA599/'实盘净值数据(iFinD）'!$Z$65:$AA$65))*(1-实盘持仓初始配置!$Z$8)^(('实盘净值数据(iFinD）'!$A599-'实盘净值数据(iFinD）'!$A$5)/365))</f>
        <v/>
      </c>
      <c r="O599" s="16" t="str">
        <f t="shared" si="58"/>
        <v/>
      </c>
      <c r="P599" s="16" t="str">
        <f>IF(N599="","",N599/MAX(N$5:N599)-1)</f>
        <v/>
      </c>
      <c r="Q599" s="13" t="str">
        <f>IF(OR('实盘净值数据(iFinD）'!$A599="",'实盘净值数据(iFinD）'!$B599="",'实盘净值数据(iFinD）'!$Z599="",'实盘净值数据(iFinD）'!$AA599=""),"",分期持仓明细!$AB$25*(SUMPRODUCT(分期持仓明细!$B$25:$Y$25,'实盘净值数据(iFinD）'!$B599:$Y599/'实盘净值数据(iFinD）'!$B$65:$Y$65)+SUMPRODUCT(分期持仓明细!$AC$25:$AD$25,'实盘净值数据(iFinD）'!$Z599:$AA599/'实盘净值数据(iFinD）'!$Z$65:$AA$65))*(1-实盘持仓初始配置!$Z$9)^(('实盘净值数据(iFinD）'!$A599-'实盘净值数据(iFinD）'!$A$8)/365))</f>
        <v/>
      </c>
      <c r="R599" s="16" t="str">
        <f t="shared" si="59"/>
        <v/>
      </c>
      <c r="S599" s="16" t="str">
        <f>IF(Q599="","",Q599/MAX(Q$5:Q599)-1)</f>
        <v/>
      </c>
    </row>
    <row r="600" spans="1:19">
      <c r="A600" s="15" t="str">
        <f>IF('实盘净值数据(iFinD）'!A600="","",'实盘净值数据(iFinD）'!A600)</f>
        <v/>
      </c>
      <c r="B600" s="13" t="str">
        <f>IF(OR('实盘净值数据(iFinD）'!$A600="",'实盘净值数据(iFinD）'!$B600=""),"",分期持仓明细!$AB$17*SUMPRODUCT(分期持仓明细!$B$17:$Y$17,'实盘净值数据(iFinD）'!$B600:$Y600/'实盘净值数据(iFinD）'!$B$20:$Y$20)*(1-实盘持仓初始配置!$Z$4)^(('实盘净值数据(iFinD）'!$A600-'实盘净值数据(iFinD）'!$A$6)/365))</f>
        <v/>
      </c>
      <c r="C600" s="16" t="str">
        <f t="shared" si="54"/>
        <v/>
      </c>
      <c r="D600" s="16" t="str">
        <f>IF(B600="","",B600/MAX(B$5:B600)-1)</f>
        <v/>
      </c>
      <c r="E600" s="13" t="str">
        <f>IF(OR('实盘净值数据(iFinD）'!$A600="",'实盘净值数据(iFinD）'!$B600=""),"",分期持仓明细!$AB$18*SUMPRODUCT(分期持仓明细!$B$18:$Y$18,'实盘净值数据(iFinD）'!$B600:$Y600/'实盘净值数据(iFinD）'!$B$20:$Y$20)*(1-实盘持仓初始配置!$Z$5)^(('实盘净值数据(iFinD）'!$A600-'实盘净值数据(iFinD）'!$A$5)/365))</f>
        <v/>
      </c>
      <c r="F600" s="16" t="str">
        <f t="shared" si="55"/>
        <v/>
      </c>
      <c r="G600" s="16" t="str">
        <f>IF(E600="","",E600/MAX(E$5:E600)-1)</f>
        <v/>
      </c>
      <c r="H600" s="13" t="str">
        <f>IF(OR('实盘净值数据(iFinD）'!$A600="",'实盘净值数据(iFinD）'!$B600=""),"",分期持仓明细!$AB$19*SUMPRODUCT(分期持仓明细!$B$19:$Y$19,'实盘净值数据(iFinD）'!$B600:$Y600/'实盘净值数据(iFinD）'!$B$20:$Y$20)*(1-实盘持仓初始配置!$Z$6)^(('实盘净值数据(iFinD）'!$A600-'实盘净值数据(iFinD）'!$A$7)/365))</f>
        <v/>
      </c>
      <c r="I600" s="16" t="str">
        <f t="shared" si="56"/>
        <v/>
      </c>
      <c r="J600" s="16" t="str">
        <f>IF(H600="","",H600/MAX(H$5:H600)-1)</f>
        <v/>
      </c>
      <c r="K600" s="13" t="str">
        <f>IF(OR('实盘净值数据(iFinD）'!$A600="",'实盘净值数据(iFinD）'!$B600="",'实盘净值数据(iFinD）'!$Z600="",'实盘净值数据(iFinD）'!$AA600=""),"",分期持仓明细!$AB$23*(SUMPRODUCT(分期持仓明细!$B$23:$Y$23,'实盘净值数据(iFinD）'!$B600:$Y600/'实盘净值数据(iFinD）'!$B$65:$Y$65)+SUMPRODUCT(分期持仓明细!$AC$23:$AD$23,'实盘净值数据(iFinD）'!$Z600:$AA600/'实盘净值数据(iFinD）'!$Z$65:$AA$65))*(1-实盘持仓初始配置!$Z$7)^(('实盘净值数据(iFinD）'!$A600-'实盘净值数据(iFinD）'!$A$8)/365))</f>
        <v/>
      </c>
      <c r="L600" s="16" t="str">
        <f t="shared" si="57"/>
        <v/>
      </c>
      <c r="M600" s="16" t="str">
        <f>IF(K600="","",K600/MAX(K$5:K600)-1)</f>
        <v/>
      </c>
      <c r="N600" s="13" t="str">
        <f>IF(OR('实盘净值数据(iFinD）'!$A600="",'实盘净值数据(iFinD）'!$B600="",'实盘净值数据(iFinD）'!$Z600="",'实盘净值数据(iFinD）'!$AA600=""),"",分期持仓明细!$AB$24*(SUMPRODUCT(分期持仓明细!$B$24:$Y$24,'实盘净值数据(iFinD）'!$B600:$Y600/'实盘净值数据(iFinD）'!$B$65:$Y$65)+SUMPRODUCT(分期持仓明细!$AC$24:$AD$24,'实盘净值数据(iFinD）'!$Z600:$AA600/'实盘净值数据(iFinD）'!$Z$65:$AA$65))*(1-实盘持仓初始配置!$Z$8)^(('实盘净值数据(iFinD）'!$A600-'实盘净值数据(iFinD）'!$A$5)/365))</f>
        <v/>
      </c>
      <c r="O600" s="16" t="str">
        <f t="shared" si="58"/>
        <v/>
      </c>
      <c r="P600" s="16" t="str">
        <f>IF(N600="","",N600/MAX(N$5:N600)-1)</f>
        <v/>
      </c>
      <c r="Q600" s="13" t="str">
        <f>IF(OR('实盘净值数据(iFinD）'!$A600="",'实盘净值数据(iFinD）'!$B600="",'实盘净值数据(iFinD）'!$Z600="",'实盘净值数据(iFinD）'!$AA600=""),"",分期持仓明细!$AB$25*(SUMPRODUCT(分期持仓明细!$B$25:$Y$25,'实盘净值数据(iFinD）'!$B600:$Y600/'实盘净值数据(iFinD）'!$B$65:$Y$65)+SUMPRODUCT(分期持仓明细!$AC$25:$AD$25,'实盘净值数据(iFinD）'!$Z600:$AA600/'实盘净值数据(iFinD）'!$Z$65:$AA$65))*(1-实盘持仓初始配置!$Z$9)^(('实盘净值数据(iFinD）'!$A600-'实盘净值数据(iFinD）'!$A$8)/365))</f>
        <v/>
      </c>
      <c r="R600" s="16" t="str">
        <f t="shared" si="59"/>
        <v/>
      </c>
      <c r="S600" s="16" t="str">
        <f>IF(Q600="","",Q600/MAX(Q$5:Q600)-1)</f>
        <v/>
      </c>
    </row>
    <row r="601" spans="1:19">
      <c r="A601" s="15" t="str">
        <f>IF('实盘净值数据(iFinD）'!A601="","",'实盘净值数据(iFinD）'!A601)</f>
        <v/>
      </c>
      <c r="B601" s="13" t="str">
        <f>IF(OR('实盘净值数据(iFinD）'!$A601="",'实盘净值数据(iFinD）'!$B601=""),"",分期持仓明细!$AB$17*SUMPRODUCT(分期持仓明细!$B$17:$Y$17,'实盘净值数据(iFinD）'!$B601:$Y601/'实盘净值数据(iFinD）'!$B$20:$Y$20)*(1-实盘持仓初始配置!$Z$4)^(('实盘净值数据(iFinD）'!$A601-'实盘净值数据(iFinD）'!$A$6)/365))</f>
        <v/>
      </c>
      <c r="C601" s="16" t="str">
        <f t="shared" si="54"/>
        <v/>
      </c>
      <c r="D601" s="16" t="str">
        <f>IF(B601="","",B601/MAX(B$5:B601)-1)</f>
        <v/>
      </c>
      <c r="E601" s="13" t="str">
        <f>IF(OR('实盘净值数据(iFinD）'!$A601="",'实盘净值数据(iFinD）'!$B601=""),"",分期持仓明细!$AB$18*SUMPRODUCT(分期持仓明细!$B$18:$Y$18,'实盘净值数据(iFinD）'!$B601:$Y601/'实盘净值数据(iFinD）'!$B$20:$Y$20)*(1-实盘持仓初始配置!$Z$5)^(('实盘净值数据(iFinD）'!$A601-'实盘净值数据(iFinD）'!$A$5)/365))</f>
        <v/>
      </c>
      <c r="F601" s="16" t="str">
        <f t="shared" si="55"/>
        <v/>
      </c>
      <c r="G601" s="16" t="str">
        <f>IF(E601="","",E601/MAX(E$5:E601)-1)</f>
        <v/>
      </c>
      <c r="H601" s="13" t="str">
        <f>IF(OR('实盘净值数据(iFinD）'!$A601="",'实盘净值数据(iFinD）'!$B601=""),"",分期持仓明细!$AB$19*SUMPRODUCT(分期持仓明细!$B$19:$Y$19,'实盘净值数据(iFinD）'!$B601:$Y601/'实盘净值数据(iFinD）'!$B$20:$Y$20)*(1-实盘持仓初始配置!$Z$6)^(('实盘净值数据(iFinD）'!$A601-'实盘净值数据(iFinD）'!$A$7)/365))</f>
        <v/>
      </c>
      <c r="I601" s="16" t="str">
        <f t="shared" si="56"/>
        <v/>
      </c>
      <c r="J601" s="16" t="str">
        <f>IF(H601="","",H601/MAX(H$5:H601)-1)</f>
        <v/>
      </c>
      <c r="K601" s="13" t="str">
        <f>IF(OR('实盘净值数据(iFinD）'!$A601="",'实盘净值数据(iFinD）'!$B601="",'实盘净值数据(iFinD）'!$Z601="",'实盘净值数据(iFinD）'!$AA601=""),"",分期持仓明细!$AB$23*(SUMPRODUCT(分期持仓明细!$B$23:$Y$23,'实盘净值数据(iFinD）'!$B601:$Y601/'实盘净值数据(iFinD）'!$B$65:$Y$65)+SUMPRODUCT(分期持仓明细!$AC$23:$AD$23,'实盘净值数据(iFinD）'!$Z601:$AA601/'实盘净值数据(iFinD）'!$Z$65:$AA$65))*(1-实盘持仓初始配置!$Z$7)^(('实盘净值数据(iFinD）'!$A601-'实盘净值数据(iFinD）'!$A$8)/365))</f>
        <v/>
      </c>
      <c r="L601" s="16" t="str">
        <f t="shared" si="57"/>
        <v/>
      </c>
      <c r="M601" s="16" t="str">
        <f>IF(K601="","",K601/MAX(K$5:K601)-1)</f>
        <v/>
      </c>
      <c r="N601" s="13" t="str">
        <f>IF(OR('实盘净值数据(iFinD）'!$A601="",'实盘净值数据(iFinD）'!$B601="",'实盘净值数据(iFinD）'!$Z601="",'实盘净值数据(iFinD）'!$AA601=""),"",分期持仓明细!$AB$24*(SUMPRODUCT(分期持仓明细!$B$24:$Y$24,'实盘净值数据(iFinD）'!$B601:$Y601/'实盘净值数据(iFinD）'!$B$65:$Y$65)+SUMPRODUCT(分期持仓明细!$AC$24:$AD$24,'实盘净值数据(iFinD）'!$Z601:$AA601/'实盘净值数据(iFinD）'!$Z$65:$AA$65))*(1-实盘持仓初始配置!$Z$8)^(('实盘净值数据(iFinD）'!$A601-'实盘净值数据(iFinD）'!$A$5)/365))</f>
        <v/>
      </c>
      <c r="O601" s="16" t="str">
        <f t="shared" si="58"/>
        <v/>
      </c>
      <c r="P601" s="16" t="str">
        <f>IF(N601="","",N601/MAX(N$5:N601)-1)</f>
        <v/>
      </c>
      <c r="Q601" s="13" t="str">
        <f>IF(OR('实盘净值数据(iFinD）'!$A601="",'实盘净值数据(iFinD）'!$B601="",'实盘净值数据(iFinD）'!$Z601="",'实盘净值数据(iFinD）'!$AA601=""),"",分期持仓明细!$AB$25*(SUMPRODUCT(分期持仓明细!$B$25:$Y$25,'实盘净值数据(iFinD）'!$B601:$Y601/'实盘净值数据(iFinD）'!$B$65:$Y$65)+SUMPRODUCT(分期持仓明细!$AC$25:$AD$25,'实盘净值数据(iFinD）'!$Z601:$AA601/'实盘净值数据(iFinD）'!$Z$65:$AA$65))*(1-实盘持仓初始配置!$Z$9)^(('实盘净值数据(iFinD）'!$A601-'实盘净值数据(iFinD）'!$A$8)/365))</f>
        <v/>
      </c>
      <c r="R601" s="16" t="str">
        <f t="shared" si="59"/>
        <v/>
      </c>
      <c r="S601" s="16" t="str">
        <f>IF(Q601="","",Q601/MAX(Q$5:Q601)-1)</f>
        <v/>
      </c>
    </row>
    <row r="602" spans="1:19">
      <c r="A602" s="15" t="str">
        <f>IF('实盘净值数据(iFinD）'!A602="","",'实盘净值数据(iFinD）'!A602)</f>
        <v/>
      </c>
      <c r="B602" s="13" t="str">
        <f>IF(OR('实盘净值数据(iFinD）'!$A602="",'实盘净值数据(iFinD）'!$B602=""),"",分期持仓明细!$AB$17*SUMPRODUCT(分期持仓明细!$B$17:$Y$17,'实盘净值数据(iFinD）'!$B602:$Y602/'实盘净值数据(iFinD）'!$B$20:$Y$20)*(1-实盘持仓初始配置!$Z$4)^(('实盘净值数据(iFinD）'!$A602-'实盘净值数据(iFinD）'!$A$6)/365))</f>
        <v/>
      </c>
      <c r="C602" s="16" t="str">
        <f t="shared" si="54"/>
        <v/>
      </c>
      <c r="D602" s="16" t="str">
        <f>IF(B602="","",B602/MAX(B$5:B602)-1)</f>
        <v/>
      </c>
      <c r="E602" s="13" t="str">
        <f>IF(OR('实盘净值数据(iFinD）'!$A602="",'实盘净值数据(iFinD）'!$B602=""),"",分期持仓明细!$AB$18*SUMPRODUCT(分期持仓明细!$B$18:$Y$18,'实盘净值数据(iFinD）'!$B602:$Y602/'实盘净值数据(iFinD）'!$B$20:$Y$20)*(1-实盘持仓初始配置!$Z$5)^(('实盘净值数据(iFinD）'!$A602-'实盘净值数据(iFinD）'!$A$5)/365))</f>
        <v/>
      </c>
      <c r="F602" s="16" t="str">
        <f t="shared" si="55"/>
        <v/>
      </c>
      <c r="G602" s="16" t="str">
        <f>IF(E602="","",E602/MAX(E$5:E602)-1)</f>
        <v/>
      </c>
      <c r="H602" s="13" t="str">
        <f>IF(OR('实盘净值数据(iFinD）'!$A602="",'实盘净值数据(iFinD）'!$B602=""),"",分期持仓明细!$AB$19*SUMPRODUCT(分期持仓明细!$B$19:$Y$19,'实盘净值数据(iFinD）'!$B602:$Y602/'实盘净值数据(iFinD）'!$B$20:$Y$20)*(1-实盘持仓初始配置!$Z$6)^(('实盘净值数据(iFinD）'!$A602-'实盘净值数据(iFinD）'!$A$7)/365))</f>
        <v/>
      </c>
      <c r="I602" s="16" t="str">
        <f t="shared" si="56"/>
        <v/>
      </c>
      <c r="J602" s="16" t="str">
        <f>IF(H602="","",H602/MAX(H$5:H602)-1)</f>
        <v/>
      </c>
      <c r="K602" s="13" t="str">
        <f>IF(OR('实盘净值数据(iFinD）'!$A602="",'实盘净值数据(iFinD）'!$B602="",'实盘净值数据(iFinD）'!$Z602="",'实盘净值数据(iFinD）'!$AA602=""),"",分期持仓明细!$AB$23*(SUMPRODUCT(分期持仓明细!$B$23:$Y$23,'实盘净值数据(iFinD）'!$B602:$Y602/'实盘净值数据(iFinD）'!$B$65:$Y$65)+SUMPRODUCT(分期持仓明细!$AC$23:$AD$23,'实盘净值数据(iFinD）'!$Z602:$AA602/'实盘净值数据(iFinD）'!$Z$65:$AA$65))*(1-实盘持仓初始配置!$Z$7)^(('实盘净值数据(iFinD）'!$A602-'实盘净值数据(iFinD）'!$A$8)/365))</f>
        <v/>
      </c>
      <c r="L602" s="16" t="str">
        <f t="shared" si="57"/>
        <v/>
      </c>
      <c r="M602" s="16" t="str">
        <f>IF(K602="","",K602/MAX(K$5:K602)-1)</f>
        <v/>
      </c>
      <c r="N602" s="13" t="str">
        <f>IF(OR('实盘净值数据(iFinD）'!$A602="",'实盘净值数据(iFinD）'!$B602="",'实盘净值数据(iFinD）'!$Z602="",'实盘净值数据(iFinD）'!$AA602=""),"",分期持仓明细!$AB$24*(SUMPRODUCT(分期持仓明细!$B$24:$Y$24,'实盘净值数据(iFinD）'!$B602:$Y602/'实盘净值数据(iFinD）'!$B$65:$Y$65)+SUMPRODUCT(分期持仓明细!$AC$24:$AD$24,'实盘净值数据(iFinD）'!$Z602:$AA602/'实盘净值数据(iFinD）'!$Z$65:$AA$65))*(1-实盘持仓初始配置!$Z$8)^(('实盘净值数据(iFinD）'!$A602-'实盘净值数据(iFinD）'!$A$5)/365))</f>
        <v/>
      </c>
      <c r="O602" s="16" t="str">
        <f t="shared" si="58"/>
        <v/>
      </c>
      <c r="P602" s="16" t="str">
        <f>IF(N602="","",N602/MAX(N$5:N602)-1)</f>
        <v/>
      </c>
      <c r="Q602" s="13" t="str">
        <f>IF(OR('实盘净值数据(iFinD）'!$A602="",'实盘净值数据(iFinD）'!$B602="",'实盘净值数据(iFinD）'!$Z602="",'实盘净值数据(iFinD）'!$AA602=""),"",分期持仓明细!$AB$25*(SUMPRODUCT(分期持仓明细!$B$25:$Y$25,'实盘净值数据(iFinD）'!$B602:$Y602/'实盘净值数据(iFinD）'!$B$65:$Y$65)+SUMPRODUCT(分期持仓明细!$AC$25:$AD$25,'实盘净值数据(iFinD）'!$Z602:$AA602/'实盘净值数据(iFinD）'!$Z$65:$AA$65))*(1-实盘持仓初始配置!$Z$9)^(('实盘净值数据(iFinD）'!$A602-'实盘净值数据(iFinD）'!$A$8)/365))</f>
        <v/>
      </c>
      <c r="R602" s="16" t="str">
        <f t="shared" si="59"/>
        <v/>
      </c>
      <c r="S602" s="16" t="str">
        <f>IF(Q602="","",Q602/MAX(Q$5:Q602)-1)</f>
        <v/>
      </c>
    </row>
    <row r="603" spans="1:19">
      <c r="A603" s="15" t="str">
        <f>IF('实盘净值数据(iFinD）'!A603="","",'实盘净值数据(iFinD）'!A603)</f>
        <v/>
      </c>
      <c r="B603" s="13" t="str">
        <f>IF(OR('实盘净值数据(iFinD）'!$A603="",'实盘净值数据(iFinD）'!$B603=""),"",分期持仓明细!$AB$17*SUMPRODUCT(分期持仓明细!$B$17:$Y$17,'实盘净值数据(iFinD）'!$B603:$Y603/'实盘净值数据(iFinD）'!$B$20:$Y$20)*(1-实盘持仓初始配置!$Z$4)^(('实盘净值数据(iFinD）'!$A603-'实盘净值数据(iFinD）'!$A$6)/365))</f>
        <v/>
      </c>
      <c r="C603" s="16" t="str">
        <f t="shared" si="54"/>
        <v/>
      </c>
      <c r="D603" s="16" t="str">
        <f>IF(B603="","",B603/MAX(B$5:B603)-1)</f>
        <v/>
      </c>
      <c r="E603" s="13" t="str">
        <f>IF(OR('实盘净值数据(iFinD）'!$A603="",'实盘净值数据(iFinD）'!$B603=""),"",分期持仓明细!$AB$18*SUMPRODUCT(分期持仓明细!$B$18:$Y$18,'实盘净值数据(iFinD）'!$B603:$Y603/'实盘净值数据(iFinD）'!$B$20:$Y$20)*(1-实盘持仓初始配置!$Z$5)^(('实盘净值数据(iFinD）'!$A603-'实盘净值数据(iFinD）'!$A$5)/365))</f>
        <v/>
      </c>
      <c r="F603" s="16" t="str">
        <f t="shared" si="55"/>
        <v/>
      </c>
      <c r="G603" s="16" t="str">
        <f>IF(E603="","",E603/MAX(E$5:E603)-1)</f>
        <v/>
      </c>
      <c r="H603" s="13" t="str">
        <f>IF(OR('实盘净值数据(iFinD）'!$A603="",'实盘净值数据(iFinD）'!$B603=""),"",分期持仓明细!$AB$19*SUMPRODUCT(分期持仓明细!$B$19:$Y$19,'实盘净值数据(iFinD）'!$B603:$Y603/'实盘净值数据(iFinD）'!$B$20:$Y$20)*(1-实盘持仓初始配置!$Z$6)^(('实盘净值数据(iFinD）'!$A603-'实盘净值数据(iFinD）'!$A$7)/365))</f>
        <v/>
      </c>
      <c r="I603" s="16" t="str">
        <f t="shared" si="56"/>
        <v/>
      </c>
      <c r="J603" s="16" t="str">
        <f>IF(H603="","",H603/MAX(H$5:H603)-1)</f>
        <v/>
      </c>
      <c r="K603" s="13" t="str">
        <f>IF(OR('实盘净值数据(iFinD）'!$A603="",'实盘净值数据(iFinD）'!$B603="",'实盘净值数据(iFinD）'!$Z603="",'实盘净值数据(iFinD）'!$AA603=""),"",分期持仓明细!$AB$23*(SUMPRODUCT(分期持仓明细!$B$23:$Y$23,'实盘净值数据(iFinD）'!$B603:$Y603/'实盘净值数据(iFinD）'!$B$65:$Y$65)+SUMPRODUCT(分期持仓明细!$AC$23:$AD$23,'实盘净值数据(iFinD）'!$Z603:$AA603/'实盘净值数据(iFinD）'!$Z$65:$AA$65))*(1-实盘持仓初始配置!$Z$7)^(('实盘净值数据(iFinD）'!$A603-'实盘净值数据(iFinD）'!$A$8)/365))</f>
        <v/>
      </c>
      <c r="L603" s="16" t="str">
        <f t="shared" si="57"/>
        <v/>
      </c>
      <c r="M603" s="16" t="str">
        <f>IF(K603="","",K603/MAX(K$5:K603)-1)</f>
        <v/>
      </c>
      <c r="N603" s="13" t="str">
        <f>IF(OR('实盘净值数据(iFinD）'!$A603="",'实盘净值数据(iFinD）'!$B603="",'实盘净值数据(iFinD）'!$Z603="",'实盘净值数据(iFinD）'!$AA603=""),"",分期持仓明细!$AB$24*(SUMPRODUCT(分期持仓明细!$B$24:$Y$24,'实盘净值数据(iFinD）'!$B603:$Y603/'实盘净值数据(iFinD）'!$B$65:$Y$65)+SUMPRODUCT(分期持仓明细!$AC$24:$AD$24,'实盘净值数据(iFinD）'!$Z603:$AA603/'实盘净值数据(iFinD）'!$Z$65:$AA$65))*(1-实盘持仓初始配置!$Z$8)^(('实盘净值数据(iFinD）'!$A603-'实盘净值数据(iFinD）'!$A$5)/365))</f>
        <v/>
      </c>
      <c r="O603" s="16" t="str">
        <f t="shared" si="58"/>
        <v/>
      </c>
      <c r="P603" s="16" t="str">
        <f>IF(N603="","",N603/MAX(N$5:N603)-1)</f>
        <v/>
      </c>
      <c r="Q603" s="13" t="str">
        <f>IF(OR('实盘净值数据(iFinD）'!$A603="",'实盘净值数据(iFinD）'!$B603="",'实盘净值数据(iFinD）'!$Z603="",'实盘净值数据(iFinD）'!$AA603=""),"",分期持仓明细!$AB$25*(SUMPRODUCT(分期持仓明细!$B$25:$Y$25,'实盘净值数据(iFinD）'!$B603:$Y603/'实盘净值数据(iFinD）'!$B$65:$Y$65)+SUMPRODUCT(分期持仓明细!$AC$25:$AD$25,'实盘净值数据(iFinD）'!$Z603:$AA603/'实盘净值数据(iFinD）'!$Z$65:$AA$65))*(1-实盘持仓初始配置!$Z$9)^(('实盘净值数据(iFinD）'!$A603-'实盘净值数据(iFinD）'!$A$8)/365))</f>
        <v/>
      </c>
      <c r="R603" s="16" t="str">
        <f t="shared" si="59"/>
        <v/>
      </c>
      <c r="S603" s="16" t="str">
        <f>IF(Q603="","",Q603/MAX(Q$5:Q603)-1)</f>
        <v/>
      </c>
    </row>
    <row r="604" spans="1:19">
      <c r="A604" s="15" t="str">
        <f>IF('实盘净值数据(iFinD）'!A604="","",'实盘净值数据(iFinD）'!A604)</f>
        <v/>
      </c>
      <c r="B604" s="13" t="str">
        <f>IF(OR('实盘净值数据(iFinD）'!$A604="",'实盘净值数据(iFinD）'!$B604=""),"",分期持仓明细!$AB$17*SUMPRODUCT(分期持仓明细!$B$17:$Y$17,'实盘净值数据(iFinD）'!$B604:$Y604/'实盘净值数据(iFinD）'!$B$20:$Y$20)*(1-实盘持仓初始配置!$Z$4)^(('实盘净值数据(iFinD）'!$A604-'实盘净值数据(iFinD）'!$A$6)/365))</f>
        <v/>
      </c>
      <c r="C604" s="16" t="str">
        <f t="shared" si="54"/>
        <v/>
      </c>
      <c r="D604" s="16" t="str">
        <f>IF(B604="","",B604/MAX(B$5:B604)-1)</f>
        <v/>
      </c>
      <c r="E604" s="13" t="str">
        <f>IF(OR('实盘净值数据(iFinD）'!$A604="",'实盘净值数据(iFinD）'!$B604=""),"",分期持仓明细!$AB$18*SUMPRODUCT(分期持仓明细!$B$18:$Y$18,'实盘净值数据(iFinD）'!$B604:$Y604/'实盘净值数据(iFinD）'!$B$20:$Y$20)*(1-实盘持仓初始配置!$Z$5)^(('实盘净值数据(iFinD）'!$A604-'实盘净值数据(iFinD）'!$A$5)/365))</f>
        <v/>
      </c>
      <c r="F604" s="16" t="str">
        <f t="shared" si="55"/>
        <v/>
      </c>
      <c r="G604" s="16" t="str">
        <f>IF(E604="","",E604/MAX(E$5:E604)-1)</f>
        <v/>
      </c>
      <c r="H604" s="13" t="str">
        <f>IF(OR('实盘净值数据(iFinD）'!$A604="",'实盘净值数据(iFinD）'!$B604=""),"",分期持仓明细!$AB$19*SUMPRODUCT(分期持仓明细!$B$19:$Y$19,'实盘净值数据(iFinD）'!$B604:$Y604/'实盘净值数据(iFinD）'!$B$20:$Y$20)*(1-实盘持仓初始配置!$Z$6)^(('实盘净值数据(iFinD）'!$A604-'实盘净值数据(iFinD）'!$A$7)/365))</f>
        <v/>
      </c>
      <c r="I604" s="16" t="str">
        <f t="shared" si="56"/>
        <v/>
      </c>
      <c r="J604" s="16" t="str">
        <f>IF(H604="","",H604/MAX(H$5:H604)-1)</f>
        <v/>
      </c>
      <c r="K604" s="13" t="str">
        <f>IF(OR('实盘净值数据(iFinD）'!$A604="",'实盘净值数据(iFinD）'!$B604="",'实盘净值数据(iFinD）'!$Z604="",'实盘净值数据(iFinD）'!$AA604=""),"",分期持仓明细!$AB$23*(SUMPRODUCT(分期持仓明细!$B$23:$Y$23,'实盘净值数据(iFinD）'!$B604:$Y604/'实盘净值数据(iFinD）'!$B$65:$Y$65)+SUMPRODUCT(分期持仓明细!$AC$23:$AD$23,'实盘净值数据(iFinD）'!$Z604:$AA604/'实盘净值数据(iFinD）'!$Z$65:$AA$65))*(1-实盘持仓初始配置!$Z$7)^(('实盘净值数据(iFinD）'!$A604-'实盘净值数据(iFinD）'!$A$8)/365))</f>
        <v/>
      </c>
      <c r="L604" s="16" t="str">
        <f t="shared" si="57"/>
        <v/>
      </c>
      <c r="M604" s="16" t="str">
        <f>IF(K604="","",K604/MAX(K$5:K604)-1)</f>
        <v/>
      </c>
      <c r="N604" s="13" t="str">
        <f>IF(OR('实盘净值数据(iFinD）'!$A604="",'实盘净值数据(iFinD）'!$B604="",'实盘净值数据(iFinD）'!$Z604="",'实盘净值数据(iFinD）'!$AA604=""),"",分期持仓明细!$AB$24*(SUMPRODUCT(分期持仓明细!$B$24:$Y$24,'实盘净值数据(iFinD）'!$B604:$Y604/'实盘净值数据(iFinD）'!$B$65:$Y$65)+SUMPRODUCT(分期持仓明细!$AC$24:$AD$24,'实盘净值数据(iFinD）'!$Z604:$AA604/'实盘净值数据(iFinD）'!$Z$65:$AA$65))*(1-实盘持仓初始配置!$Z$8)^(('实盘净值数据(iFinD）'!$A604-'实盘净值数据(iFinD）'!$A$5)/365))</f>
        <v/>
      </c>
      <c r="O604" s="16" t="str">
        <f t="shared" si="58"/>
        <v/>
      </c>
      <c r="P604" s="16" t="str">
        <f>IF(N604="","",N604/MAX(N$5:N604)-1)</f>
        <v/>
      </c>
      <c r="Q604" s="13" t="str">
        <f>IF(OR('实盘净值数据(iFinD）'!$A604="",'实盘净值数据(iFinD）'!$B604="",'实盘净值数据(iFinD）'!$Z604="",'实盘净值数据(iFinD）'!$AA604=""),"",分期持仓明细!$AB$25*(SUMPRODUCT(分期持仓明细!$B$25:$Y$25,'实盘净值数据(iFinD）'!$B604:$Y604/'实盘净值数据(iFinD）'!$B$65:$Y$65)+SUMPRODUCT(分期持仓明细!$AC$25:$AD$25,'实盘净值数据(iFinD）'!$Z604:$AA604/'实盘净值数据(iFinD）'!$Z$65:$AA$65))*(1-实盘持仓初始配置!$Z$9)^(('实盘净值数据(iFinD）'!$A604-'实盘净值数据(iFinD）'!$A$8)/365))</f>
        <v/>
      </c>
      <c r="R604" s="16" t="str">
        <f t="shared" si="59"/>
        <v/>
      </c>
      <c r="S604" s="16" t="str">
        <f>IF(Q604="","",Q604/MAX(Q$5:Q604)-1)</f>
        <v/>
      </c>
    </row>
    <row r="605" spans="1:19">
      <c r="A605" s="15" t="str">
        <f>IF('实盘净值数据(iFinD）'!A605="","",'实盘净值数据(iFinD）'!A605)</f>
        <v/>
      </c>
      <c r="B605" s="13" t="str">
        <f>IF(OR('实盘净值数据(iFinD）'!$A605="",'实盘净值数据(iFinD）'!$B605=""),"",分期持仓明细!$AB$17*SUMPRODUCT(分期持仓明细!$B$17:$Y$17,'实盘净值数据(iFinD）'!$B605:$Y605/'实盘净值数据(iFinD）'!$B$20:$Y$20)*(1-实盘持仓初始配置!$Z$4)^(('实盘净值数据(iFinD）'!$A605-'实盘净值数据(iFinD）'!$A$6)/365))</f>
        <v/>
      </c>
      <c r="C605" s="16" t="str">
        <f t="shared" si="54"/>
        <v/>
      </c>
      <c r="D605" s="16" t="str">
        <f>IF(B605="","",B605/MAX(B$5:B605)-1)</f>
        <v/>
      </c>
      <c r="E605" s="13" t="str">
        <f>IF(OR('实盘净值数据(iFinD）'!$A605="",'实盘净值数据(iFinD）'!$B605=""),"",分期持仓明细!$AB$18*SUMPRODUCT(分期持仓明细!$B$18:$Y$18,'实盘净值数据(iFinD）'!$B605:$Y605/'实盘净值数据(iFinD）'!$B$20:$Y$20)*(1-实盘持仓初始配置!$Z$5)^(('实盘净值数据(iFinD）'!$A605-'实盘净值数据(iFinD）'!$A$5)/365))</f>
        <v/>
      </c>
      <c r="F605" s="16" t="str">
        <f t="shared" si="55"/>
        <v/>
      </c>
      <c r="G605" s="16" t="str">
        <f>IF(E605="","",E605/MAX(E$5:E605)-1)</f>
        <v/>
      </c>
      <c r="H605" s="13" t="str">
        <f>IF(OR('实盘净值数据(iFinD）'!$A605="",'实盘净值数据(iFinD）'!$B605=""),"",分期持仓明细!$AB$19*SUMPRODUCT(分期持仓明细!$B$19:$Y$19,'实盘净值数据(iFinD）'!$B605:$Y605/'实盘净值数据(iFinD）'!$B$20:$Y$20)*(1-实盘持仓初始配置!$Z$6)^(('实盘净值数据(iFinD）'!$A605-'实盘净值数据(iFinD）'!$A$7)/365))</f>
        <v/>
      </c>
      <c r="I605" s="16" t="str">
        <f t="shared" si="56"/>
        <v/>
      </c>
      <c r="J605" s="16" t="str">
        <f>IF(H605="","",H605/MAX(H$5:H605)-1)</f>
        <v/>
      </c>
      <c r="K605" s="13" t="str">
        <f>IF(OR('实盘净值数据(iFinD）'!$A605="",'实盘净值数据(iFinD）'!$B605="",'实盘净值数据(iFinD）'!$Z605="",'实盘净值数据(iFinD）'!$AA605=""),"",分期持仓明细!$AB$23*(SUMPRODUCT(分期持仓明细!$B$23:$Y$23,'实盘净值数据(iFinD）'!$B605:$Y605/'实盘净值数据(iFinD）'!$B$65:$Y$65)+SUMPRODUCT(分期持仓明细!$AC$23:$AD$23,'实盘净值数据(iFinD）'!$Z605:$AA605/'实盘净值数据(iFinD）'!$Z$65:$AA$65))*(1-实盘持仓初始配置!$Z$7)^(('实盘净值数据(iFinD）'!$A605-'实盘净值数据(iFinD）'!$A$8)/365))</f>
        <v/>
      </c>
      <c r="L605" s="16" t="str">
        <f t="shared" si="57"/>
        <v/>
      </c>
      <c r="M605" s="16" t="str">
        <f>IF(K605="","",K605/MAX(K$5:K605)-1)</f>
        <v/>
      </c>
      <c r="N605" s="13" t="str">
        <f>IF(OR('实盘净值数据(iFinD）'!$A605="",'实盘净值数据(iFinD）'!$B605="",'实盘净值数据(iFinD）'!$Z605="",'实盘净值数据(iFinD）'!$AA605=""),"",分期持仓明细!$AB$24*(SUMPRODUCT(分期持仓明细!$B$24:$Y$24,'实盘净值数据(iFinD）'!$B605:$Y605/'实盘净值数据(iFinD）'!$B$65:$Y$65)+SUMPRODUCT(分期持仓明细!$AC$24:$AD$24,'实盘净值数据(iFinD）'!$Z605:$AA605/'实盘净值数据(iFinD）'!$Z$65:$AA$65))*(1-实盘持仓初始配置!$Z$8)^(('实盘净值数据(iFinD）'!$A605-'实盘净值数据(iFinD）'!$A$5)/365))</f>
        <v/>
      </c>
      <c r="O605" s="16" t="str">
        <f t="shared" si="58"/>
        <v/>
      </c>
      <c r="P605" s="16" t="str">
        <f>IF(N605="","",N605/MAX(N$5:N605)-1)</f>
        <v/>
      </c>
      <c r="Q605" s="13" t="str">
        <f>IF(OR('实盘净值数据(iFinD）'!$A605="",'实盘净值数据(iFinD）'!$B605="",'实盘净值数据(iFinD）'!$Z605="",'实盘净值数据(iFinD）'!$AA605=""),"",分期持仓明细!$AB$25*(SUMPRODUCT(分期持仓明细!$B$25:$Y$25,'实盘净值数据(iFinD）'!$B605:$Y605/'实盘净值数据(iFinD）'!$B$65:$Y$65)+SUMPRODUCT(分期持仓明细!$AC$25:$AD$25,'实盘净值数据(iFinD）'!$Z605:$AA605/'实盘净值数据(iFinD）'!$Z$65:$AA$65))*(1-实盘持仓初始配置!$Z$9)^(('实盘净值数据(iFinD）'!$A605-'实盘净值数据(iFinD）'!$A$8)/365))</f>
        <v/>
      </c>
      <c r="R605" s="16" t="str">
        <f t="shared" si="59"/>
        <v/>
      </c>
      <c r="S605" s="16" t="str">
        <f>IF(Q605="","",Q605/MAX(Q$5:Q605)-1)</f>
        <v/>
      </c>
    </row>
    <row r="606" spans="1:19">
      <c r="A606" s="15" t="str">
        <f>IF('实盘净值数据(iFinD）'!A606="","",'实盘净值数据(iFinD）'!A606)</f>
        <v/>
      </c>
      <c r="B606" s="13" t="str">
        <f>IF(OR('实盘净值数据(iFinD）'!$A606="",'实盘净值数据(iFinD）'!$B606=""),"",分期持仓明细!$AB$17*SUMPRODUCT(分期持仓明细!$B$17:$Y$17,'实盘净值数据(iFinD）'!$B606:$Y606/'实盘净值数据(iFinD）'!$B$20:$Y$20)*(1-实盘持仓初始配置!$Z$4)^(('实盘净值数据(iFinD）'!$A606-'实盘净值数据(iFinD）'!$A$6)/365))</f>
        <v/>
      </c>
      <c r="C606" s="16" t="str">
        <f t="shared" si="54"/>
        <v/>
      </c>
      <c r="D606" s="16" t="str">
        <f>IF(B606="","",B606/MAX(B$5:B606)-1)</f>
        <v/>
      </c>
      <c r="E606" s="13" t="str">
        <f>IF(OR('实盘净值数据(iFinD）'!$A606="",'实盘净值数据(iFinD）'!$B606=""),"",分期持仓明细!$AB$18*SUMPRODUCT(分期持仓明细!$B$18:$Y$18,'实盘净值数据(iFinD）'!$B606:$Y606/'实盘净值数据(iFinD）'!$B$20:$Y$20)*(1-实盘持仓初始配置!$Z$5)^(('实盘净值数据(iFinD）'!$A606-'实盘净值数据(iFinD）'!$A$5)/365))</f>
        <v/>
      </c>
      <c r="F606" s="16" t="str">
        <f t="shared" si="55"/>
        <v/>
      </c>
      <c r="G606" s="16" t="str">
        <f>IF(E606="","",E606/MAX(E$5:E606)-1)</f>
        <v/>
      </c>
      <c r="H606" s="13" t="str">
        <f>IF(OR('实盘净值数据(iFinD）'!$A606="",'实盘净值数据(iFinD）'!$B606=""),"",分期持仓明细!$AB$19*SUMPRODUCT(分期持仓明细!$B$19:$Y$19,'实盘净值数据(iFinD）'!$B606:$Y606/'实盘净值数据(iFinD）'!$B$20:$Y$20)*(1-实盘持仓初始配置!$Z$6)^(('实盘净值数据(iFinD）'!$A606-'实盘净值数据(iFinD）'!$A$7)/365))</f>
        <v/>
      </c>
      <c r="I606" s="16" t="str">
        <f t="shared" si="56"/>
        <v/>
      </c>
      <c r="J606" s="16" t="str">
        <f>IF(H606="","",H606/MAX(H$5:H606)-1)</f>
        <v/>
      </c>
      <c r="K606" s="13" t="str">
        <f>IF(OR('实盘净值数据(iFinD）'!$A606="",'实盘净值数据(iFinD）'!$B606="",'实盘净值数据(iFinD）'!$Z606="",'实盘净值数据(iFinD）'!$AA606=""),"",分期持仓明细!$AB$23*(SUMPRODUCT(分期持仓明细!$B$23:$Y$23,'实盘净值数据(iFinD）'!$B606:$Y606/'实盘净值数据(iFinD）'!$B$65:$Y$65)+SUMPRODUCT(分期持仓明细!$AC$23:$AD$23,'实盘净值数据(iFinD）'!$Z606:$AA606/'实盘净值数据(iFinD）'!$Z$65:$AA$65))*(1-实盘持仓初始配置!$Z$7)^(('实盘净值数据(iFinD）'!$A606-'实盘净值数据(iFinD）'!$A$8)/365))</f>
        <v/>
      </c>
      <c r="L606" s="16" t="str">
        <f t="shared" si="57"/>
        <v/>
      </c>
      <c r="M606" s="16" t="str">
        <f>IF(K606="","",K606/MAX(K$5:K606)-1)</f>
        <v/>
      </c>
      <c r="N606" s="13" t="str">
        <f>IF(OR('实盘净值数据(iFinD）'!$A606="",'实盘净值数据(iFinD）'!$B606="",'实盘净值数据(iFinD）'!$Z606="",'实盘净值数据(iFinD）'!$AA606=""),"",分期持仓明细!$AB$24*(SUMPRODUCT(分期持仓明细!$B$24:$Y$24,'实盘净值数据(iFinD）'!$B606:$Y606/'实盘净值数据(iFinD）'!$B$65:$Y$65)+SUMPRODUCT(分期持仓明细!$AC$24:$AD$24,'实盘净值数据(iFinD）'!$Z606:$AA606/'实盘净值数据(iFinD）'!$Z$65:$AA$65))*(1-实盘持仓初始配置!$Z$8)^(('实盘净值数据(iFinD）'!$A606-'实盘净值数据(iFinD）'!$A$5)/365))</f>
        <v/>
      </c>
      <c r="O606" s="16" t="str">
        <f t="shared" si="58"/>
        <v/>
      </c>
      <c r="P606" s="16" t="str">
        <f>IF(N606="","",N606/MAX(N$5:N606)-1)</f>
        <v/>
      </c>
      <c r="Q606" s="13" t="str">
        <f>IF(OR('实盘净值数据(iFinD）'!$A606="",'实盘净值数据(iFinD）'!$B606="",'实盘净值数据(iFinD）'!$Z606="",'实盘净值数据(iFinD）'!$AA606=""),"",分期持仓明细!$AB$25*(SUMPRODUCT(分期持仓明细!$B$25:$Y$25,'实盘净值数据(iFinD）'!$B606:$Y606/'实盘净值数据(iFinD）'!$B$65:$Y$65)+SUMPRODUCT(分期持仓明细!$AC$25:$AD$25,'实盘净值数据(iFinD）'!$Z606:$AA606/'实盘净值数据(iFinD）'!$Z$65:$AA$65))*(1-实盘持仓初始配置!$Z$9)^(('实盘净值数据(iFinD）'!$A606-'实盘净值数据(iFinD）'!$A$8)/365))</f>
        <v/>
      </c>
      <c r="R606" s="16" t="str">
        <f t="shared" si="59"/>
        <v/>
      </c>
      <c r="S606" s="16" t="str">
        <f>IF(Q606="","",Q606/MAX(Q$5:Q606)-1)</f>
        <v/>
      </c>
    </row>
    <row r="607" spans="1:19">
      <c r="A607" s="15" t="str">
        <f>IF('实盘净值数据(iFinD）'!A607="","",'实盘净值数据(iFinD）'!A607)</f>
        <v/>
      </c>
      <c r="B607" s="13" t="str">
        <f>IF(OR('实盘净值数据(iFinD）'!$A607="",'实盘净值数据(iFinD）'!$B607=""),"",分期持仓明细!$AB$17*SUMPRODUCT(分期持仓明细!$B$17:$Y$17,'实盘净值数据(iFinD）'!$B607:$Y607/'实盘净值数据(iFinD）'!$B$20:$Y$20)*(1-实盘持仓初始配置!$Z$4)^(('实盘净值数据(iFinD）'!$A607-'实盘净值数据(iFinD）'!$A$6)/365))</f>
        <v/>
      </c>
      <c r="C607" s="16" t="str">
        <f t="shared" si="54"/>
        <v/>
      </c>
      <c r="D607" s="16" t="str">
        <f>IF(B607="","",B607/MAX(B$5:B607)-1)</f>
        <v/>
      </c>
      <c r="E607" s="13" t="str">
        <f>IF(OR('实盘净值数据(iFinD）'!$A607="",'实盘净值数据(iFinD）'!$B607=""),"",分期持仓明细!$AB$18*SUMPRODUCT(分期持仓明细!$B$18:$Y$18,'实盘净值数据(iFinD）'!$B607:$Y607/'实盘净值数据(iFinD）'!$B$20:$Y$20)*(1-实盘持仓初始配置!$Z$5)^(('实盘净值数据(iFinD）'!$A607-'实盘净值数据(iFinD）'!$A$5)/365))</f>
        <v/>
      </c>
      <c r="F607" s="16" t="str">
        <f t="shared" si="55"/>
        <v/>
      </c>
      <c r="G607" s="16" t="str">
        <f>IF(E607="","",E607/MAX(E$5:E607)-1)</f>
        <v/>
      </c>
      <c r="H607" s="13" t="str">
        <f>IF(OR('实盘净值数据(iFinD）'!$A607="",'实盘净值数据(iFinD）'!$B607=""),"",分期持仓明细!$AB$19*SUMPRODUCT(分期持仓明细!$B$19:$Y$19,'实盘净值数据(iFinD）'!$B607:$Y607/'实盘净值数据(iFinD）'!$B$20:$Y$20)*(1-实盘持仓初始配置!$Z$6)^(('实盘净值数据(iFinD）'!$A607-'实盘净值数据(iFinD）'!$A$7)/365))</f>
        <v/>
      </c>
      <c r="I607" s="16" t="str">
        <f t="shared" si="56"/>
        <v/>
      </c>
      <c r="J607" s="16" t="str">
        <f>IF(H607="","",H607/MAX(H$5:H607)-1)</f>
        <v/>
      </c>
      <c r="K607" s="13" t="str">
        <f>IF(OR('实盘净值数据(iFinD）'!$A607="",'实盘净值数据(iFinD）'!$B607="",'实盘净值数据(iFinD）'!$Z607="",'实盘净值数据(iFinD）'!$AA607=""),"",分期持仓明细!$AB$23*(SUMPRODUCT(分期持仓明细!$B$23:$Y$23,'实盘净值数据(iFinD）'!$B607:$Y607/'实盘净值数据(iFinD）'!$B$65:$Y$65)+SUMPRODUCT(分期持仓明细!$AC$23:$AD$23,'实盘净值数据(iFinD）'!$Z607:$AA607/'实盘净值数据(iFinD）'!$Z$65:$AA$65))*(1-实盘持仓初始配置!$Z$7)^(('实盘净值数据(iFinD）'!$A607-'实盘净值数据(iFinD）'!$A$8)/365))</f>
        <v/>
      </c>
      <c r="L607" s="16" t="str">
        <f t="shared" si="57"/>
        <v/>
      </c>
      <c r="M607" s="16" t="str">
        <f>IF(K607="","",K607/MAX(K$5:K607)-1)</f>
        <v/>
      </c>
      <c r="N607" s="13" t="str">
        <f>IF(OR('实盘净值数据(iFinD）'!$A607="",'实盘净值数据(iFinD）'!$B607="",'实盘净值数据(iFinD）'!$Z607="",'实盘净值数据(iFinD）'!$AA607=""),"",分期持仓明细!$AB$24*(SUMPRODUCT(分期持仓明细!$B$24:$Y$24,'实盘净值数据(iFinD）'!$B607:$Y607/'实盘净值数据(iFinD）'!$B$65:$Y$65)+SUMPRODUCT(分期持仓明细!$AC$24:$AD$24,'实盘净值数据(iFinD）'!$Z607:$AA607/'实盘净值数据(iFinD）'!$Z$65:$AA$65))*(1-实盘持仓初始配置!$Z$8)^(('实盘净值数据(iFinD）'!$A607-'实盘净值数据(iFinD）'!$A$5)/365))</f>
        <v/>
      </c>
      <c r="O607" s="16" t="str">
        <f t="shared" si="58"/>
        <v/>
      </c>
      <c r="P607" s="16" t="str">
        <f>IF(N607="","",N607/MAX(N$5:N607)-1)</f>
        <v/>
      </c>
      <c r="Q607" s="13" t="str">
        <f>IF(OR('实盘净值数据(iFinD）'!$A607="",'实盘净值数据(iFinD）'!$B607="",'实盘净值数据(iFinD）'!$Z607="",'实盘净值数据(iFinD）'!$AA607=""),"",分期持仓明细!$AB$25*(SUMPRODUCT(分期持仓明细!$B$25:$Y$25,'实盘净值数据(iFinD）'!$B607:$Y607/'实盘净值数据(iFinD）'!$B$65:$Y$65)+SUMPRODUCT(分期持仓明细!$AC$25:$AD$25,'实盘净值数据(iFinD）'!$Z607:$AA607/'实盘净值数据(iFinD）'!$Z$65:$AA$65))*(1-实盘持仓初始配置!$Z$9)^(('实盘净值数据(iFinD）'!$A607-'实盘净值数据(iFinD）'!$A$8)/365))</f>
        <v/>
      </c>
      <c r="R607" s="16" t="str">
        <f t="shared" si="59"/>
        <v/>
      </c>
      <c r="S607" s="16" t="str">
        <f>IF(Q607="","",Q607/MAX(Q$5:Q607)-1)</f>
        <v/>
      </c>
    </row>
    <row r="608" spans="1:19">
      <c r="A608" s="15" t="str">
        <f>IF('实盘净值数据(iFinD）'!A608="","",'实盘净值数据(iFinD）'!A608)</f>
        <v/>
      </c>
      <c r="B608" s="13" t="str">
        <f>IF(OR('实盘净值数据(iFinD）'!$A608="",'实盘净值数据(iFinD）'!$B608=""),"",分期持仓明细!$AB$17*SUMPRODUCT(分期持仓明细!$B$17:$Y$17,'实盘净值数据(iFinD）'!$B608:$Y608/'实盘净值数据(iFinD）'!$B$20:$Y$20)*(1-实盘持仓初始配置!$Z$4)^(('实盘净值数据(iFinD）'!$A608-'实盘净值数据(iFinD）'!$A$6)/365))</f>
        <v/>
      </c>
      <c r="C608" s="16" t="str">
        <f t="shared" si="54"/>
        <v/>
      </c>
      <c r="D608" s="16" t="str">
        <f>IF(B608="","",B608/MAX(B$5:B608)-1)</f>
        <v/>
      </c>
      <c r="E608" s="13" t="str">
        <f>IF(OR('实盘净值数据(iFinD）'!$A608="",'实盘净值数据(iFinD）'!$B608=""),"",分期持仓明细!$AB$18*SUMPRODUCT(分期持仓明细!$B$18:$Y$18,'实盘净值数据(iFinD）'!$B608:$Y608/'实盘净值数据(iFinD）'!$B$20:$Y$20)*(1-实盘持仓初始配置!$Z$5)^(('实盘净值数据(iFinD）'!$A608-'实盘净值数据(iFinD）'!$A$5)/365))</f>
        <v/>
      </c>
      <c r="F608" s="16" t="str">
        <f t="shared" si="55"/>
        <v/>
      </c>
      <c r="G608" s="16" t="str">
        <f>IF(E608="","",E608/MAX(E$5:E608)-1)</f>
        <v/>
      </c>
      <c r="H608" s="13" t="str">
        <f>IF(OR('实盘净值数据(iFinD）'!$A608="",'实盘净值数据(iFinD）'!$B608=""),"",分期持仓明细!$AB$19*SUMPRODUCT(分期持仓明细!$B$19:$Y$19,'实盘净值数据(iFinD）'!$B608:$Y608/'实盘净值数据(iFinD）'!$B$20:$Y$20)*(1-实盘持仓初始配置!$Z$6)^(('实盘净值数据(iFinD）'!$A608-'实盘净值数据(iFinD）'!$A$7)/365))</f>
        <v/>
      </c>
      <c r="I608" s="16" t="str">
        <f t="shared" si="56"/>
        <v/>
      </c>
      <c r="J608" s="16" t="str">
        <f>IF(H608="","",H608/MAX(H$5:H608)-1)</f>
        <v/>
      </c>
      <c r="K608" s="13" t="str">
        <f>IF(OR('实盘净值数据(iFinD）'!$A608="",'实盘净值数据(iFinD）'!$B608="",'实盘净值数据(iFinD）'!$Z608="",'实盘净值数据(iFinD）'!$AA608=""),"",分期持仓明细!$AB$23*(SUMPRODUCT(分期持仓明细!$B$23:$Y$23,'实盘净值数据(iFinD）'!$B608:$Y608/'实盘净值数据(iFinD）'!$B$65:$Y$65)+SUMPRODUCT(分期持仓明细!$AC$23:$AD$23,'实盘净值数据(iFinD）'!$Z608:$AA608/'实盘净值数据(iFinD）'!$Z$65:$AA$65))*(1-实盘持仓初始配置!$Z$7)^(('实盘净值数据(iFinD）'!$A608-'实盘净值数据(iFinD）'!$A$8)/365))</f>
        <v/>
      </c>
      <c r="L608" s="16" t="str">
        <f t="shared" si="57"/>
        <v/>
      </c>
      <c r="M608" s="16" t="str">
        <f>IF(K608="","",K608/MAX(K$5:K608)-1)</f>
        <v/>
      </c>
      <c r="N608" s="13" t="str">
        <f>IF(OR('实盘净值数据(iFinD）'!$A608="",'实盘净值数据(iFinD）'!$B608="",'实盘净值数据(iFinD）'!$Z608="",'实盘净值数据(iFinD）'!$AA608=""),"",分期持仓明细!$AB$24*(SUMPRODUCT(分期持仓明细!$B$24:$Y$24,'实盘净值数据(iFinD）'!$B608:$Y608/'实盘净值数据(iFinD）'!$B$65:$Y$65)+SUMPRODUCT(分期持仓明细!$AC$24:$AD$24,'实盘净值数据(iFinD）'!$Z608:$AA608/'实盘净值数据(iFinD）'!$Z$65:$AA$65))*(1-实盘持仓初始配置!$Z$8)^(('实盘净值数据(iFinD）'!$A608-'实盘净值数据(iFinD）'!$A$5)/365))</f>
        <v/>
      </c>
      <c r="O608" s="16" t="str">
        <f t="shared" si="58"/>
        <v/>
      </c>
      <c r="P608" s="16" t="str">
        <f>IF(N608="","",N608/MAX(N$5:N608)-1)</f>
        <v/>
      </c>
      <c r="Q608" s="13" t="str">
        <f>IF(OR('实盘净值数据(iFinD）'!$A608="",'实盘净值数据(iFinD）'!$B608="",'实盘净值数据(iFinD）'!$Z608="",'实盘净值数据(iFinD）'!$AA608=""),"",分期持仓明细!$AB$25*(SUMPRODUCT(分期持仓明细!$B$25:$Y$25,'实盘净值数据(iFinD）'!$B608:$Y608/'实盘净值数据(iFinD）'!$B$65:$Y$65)+SUMPRODUCT(分期持仓明细!$AC$25:$AD$25,'实盘净值数据(iFinD）'!$Z608:$AA608/'实盘净值数据(iFinD）'!$Z$65:$AA$65))*(1-实盘持仓初始配置!$Z$9)^(('实盘净值数据(iFinD）'!$A608-'实盘净值数据(iFinD）'!$A$8)/365))</f>
        <v/>
      </c>
      <c r="R608" s="16" t="str">
        <f t="shared" si="59"/>
        <v/>
      </c>
      <c r="S608" s="16" t="str">
        <f>IF(Q608="","",Q608/MAX(Q$5:Q608)-1)</f>
        <v/>
      </c>
    </row>
    <row r="609" spans="1:19">
      <c r="A609" s="15" t="str">
        <f>IF('实盘净值数据(iFinD）'!A609="","",'实盘净值数据(iFinD）'!A609)</f>
        <v/>
      </c>
      <c r="B609" s="13" t="str">
        <f>IF(OR('实盘净值数据(iFinD）'!$A609="",'实盘净值数据(iFinD）'!$B609=""),"",分期持仓明细!$AB$17*SUMPRODUCT(分期持仓明细!$B$17:$Y$17,'实盘净值数据(iFinD）'!$B609:$Y609/'实盘净值数据(iFinD）'!$B$20:$Y$20)*(1-实盘持仓初始配置!$Z$4)^(('实盘净值数据(iFinD）'!$A609-'实盘净值数据(iFinD）'!$A$6)/365))</f>
        <v/>
      </c>
      <c r="C609" s="16" t="str">
        <f t="shared" si="54"/>
        <v/>
      </c>
      <c r="D609" s="16" t="str">
        <f>IF(B609="","",B609/MAX(B$5:B609)-1)</f>
        <v/>
      </c>
      <c r="E609" s="13" t="str">
        <f>IF(OR('实盘净值数据(iFinD）'!$A609="",'实盘净值数据(iFinD）'!$B609=""),"",分期持仓明细!$AB$18*SUMPRODUCT(分期持仓明细!$B$18:$Y$18,'实盘净值数据(iFinD）'!$B609:$Y609/'实盘净值数据(iFinD）'!$B$20:$Y$20)*(1-实盘持仓初始配置!$Z$5)^(('实盘净值数据(iFinD）'!$A609-'实盘净值数据(iFinD）'!$A$5)/365))</f>
        <v/>
      </c>
      <c r="F609" s="16" t="str">
        <f t="shared" si="55"/>
        <v/>
      </c>
      <c r="G609" s="16" t="str">
        <f>IF(E609="","",E609/MAX(E$5:E609)-1)</f>
        <v/>
      </c>
      <c r="H609" s="13" t="str">
        <f>IF(OR('实盘净值数据(iFinD）'!$A609="",'实盘净值数据(iFinD）'!$B609=""),"",分期持仓明细!$AB$19*SUMPRODUCT(分期持仓明细!$B$19:$Y$19,'实盘净值数据(iFinD）'!$B609:$Y609/'实盘净值数据(iFinD）'!$B$20:$Y$20)*(1-实盘持仓初始配置!$Z$6)^(('实盘净值数据(iFinD）'!$A609-'实盘净值数据(iFinD）'!$A$7)/365))</f>
        <v/>
      </c>
      <c r="I609" s="16" t="str">
        <f t="shared" si="56"/>
        <v/>
      </c>
      <c r="J609" s="16" t="str">
        <f>IF(H609="","",H609/MAX(H$5:H609)-1)</f>
        <v/>
      </c>
      <c r="K609" s="13" t="str">
        <f>IF(OR('实盘净值数据(iFinD）'!$A609="",'实盘净值数据(iFinD）'!$B609="",'实盘净值数据(iFinD）'!$Z609="",'实盘净值数据(iFinD）'!$AA609=""),"",分期持仓明细!$AB$23*(SUMPRODUCT(分期持仓明细!$B$23:$Y$23,'实盘净值数据(iFinD）'!$B609:$Y609/'实盘净值数据(iFinD）'!$B$65:$Y$65)+SUMPRODUCT(分期持仓明细!$AC$23:$AD$23,'实盘净值数据(iFinD）'!$Z609:$AA609/'实盘净值数据(iFinD）'!$Z$65:$AA$65))*(1-实盘持仓初始配置!$Z$7)^(('实盘净值数据(iFinD）'!$A609-'实盘净值数据(iFinD）'!$A$8)/365))</f>
        <v/>
      </c>
      <c r="L609" s="16" t="str">
        <f t="shared" si="57"/>
        <v/>
      </c>
      <c r="M609" s="16" t="str">
        <f>IF(K609="","",K609/MAX(K$5:K609)-1)</f>
        <v/>
      </c>
      <c r="N609" s="13" t="str">
        <f>IF(OR('实盘净值数据(iFinD）'!$A609="",'实盘净值数据(iFinD）'!$B609="",'实盘净值数据(iFinD）'!$Z609="",'实盘净值数据(iFinD）'!$AA609=""),"",分期持仓明细!$AB$24*(SUMPRODUCT(分期持仓明细!$B$24:$Y$24,'实盘净值数据(iFinD）'!$B609:$Y609/'实盘净值数据(iFinD）'!$B$65:$Y$65)+SUMPRODUCT(分期持仓明细!$AC$24:$AD$24,'实盘净值数据(iFinD）'!$Z609:$AA609/'实盘净值数据(iFinD）'!$Z$65:$AA$65))*(1-实盘持仓初始配置!$Z$8)^(('实盘净值数据(iFinD）'!$A609-'实盘净值数据(iFinD）'!$A$5)/365))</f>
        <v/>
      </c>
      <c r="O609" s="16" t="str">
        <f t="shared" si="58"/>
        <v/>
      </c>
      <c r="P609" s="16" t="str">
        <f>IF(N609="","",N609/MAX(N$5:N609)-1)</f>
        <v/>
      </c>
      <c r="Q609" s="13" t="str">
        <f>IF(OR('实盘净值数据(iFinD）'!$A609="",'实盘净值数据(iFinD）'!$B609="",'实盘净值数据(iFinD）'!$Z609="",'实盘净值数据(iFinD）'!$AA609=""),"",分期持仓明细!$AB$25*(SUMPRODUCT(分期持仓明细!$B$25:$Y$25,'实盘净值数据(iFinD）'!$B609:$Y609/'实盘净值数据(iFinD）'!$B$65:$Y$65)+SUMPRODUCT(分期持仓明细!$AC$25:$AD$25,'实盘净值数据(iFinD）'!$Z609:$AA609/'实盘净值数据(iFinD）'!$Z$65:$AA$65))*(1-实盘持仓初始配置!$Z$9)^(('实盘净值数据(iFinD）'!$A609-'实盘净值数据(iFinD）'!$A$8)/365))</f>
        <v/>
      </c>
      <c r="R609" s="16" t="str">
        <f t="shared" si="59"/>
        <v/>
      </c>
      <c r="S609" s="16" t="str">
        <f>IF(Q609="","",Q609/MAX(Q$5:Q609)-1)</f>
        <v/>
      </c>
    </row>
    <row r="610" spans="1:19">
      <c r="A610" s="15" t="str">
        <f>IF('实盘净值数据(iFinD）'!A610="","",'实盘净值数据(iFinD）'!A610)</f>
        <v/>
      </c>
      <c r="B610" s="13" t="str">
        <f>IF(OR('实盘净值数据(iFinD）'!$A610="",'实盘净值数据(iFinD）'!$B610=""),"",分期持仓明细!$AB$17*SUMPRODUCT(分期持仓明细!$B$17:$Y$17,'实盘净值数据(iFinD）'!$B610:$Y610/'实盘净值数据(iFinD）'!$B$20:$Y$20)*(1-实盘持仓初始配置!$Z$4)^(('实盘净值数据(iFinD）'!$A610-'实盘净值数据(iFinD）'!$A$6)/365))</f>
        <v/>
      </c>
      <c r="C610" s="16" t="str">
        <f t="shared" si="54"/>
        <v/>
      </c>
      <c r="D610" s="16" t="str">
        <f>IF(B610="","",B610/MAX(B$5:B610)-1)</f>
        <v/>
      </c>
      <c r="E610" s="13" t="str">
        <f>IF(OR('实盘净值数据(iFinD）'!$A610="",'实盘净值数据(iFinD）'!$B610=""),"",分期持仓明细!$AB$18*SUMPRODUCT(分期持仓明细!$B$18:$Y$18,'实盘净值数据(iFinD）'!$B610:$Y610/'实盘净值数据(iFinD）'!$B$20:$Y$20)*(1-实盘持仓初始配置!$Z$5)^(('实盘净值数据(iFinD）'!$A610-'实盘净值数据(iFinD）'!$A$5)/365))</f>
        <v/>
      </c>
      <c r="F610" s="16" t="str">
        <f t="shared" si="55"/>
        <v/>
      </c>
      <c r="G610" s="16" t="str">
        <f>IF(E610="","",E610/MAX(E$5:E610)-1)</f>
        <v/>
      </c>
      <c r="H610" s="13" t="str">
        <f>IF(OR('实盘净值数据(iFinD）'!$A610="",'实盘净值数据(iFinD）'!$B610=""),"",分期持仓明细!$AB$19*SUMPRODUCT(分期持仓明细!$B$19:$Y$19,'实盘净值数据(iFinD）'!$B610:$Y610/'实盘净值数据(iFinD）'!$B$20:$Y$20)*(1-实盘持仓初始配置!$Z$6)^(('实盘净值数据(iFinD）'!$A610-'实盘净值数据(iFinD）'!$A$7)/365))</f>
        <v/>
      </c>
      <c r="I610" s="16" t="str">
        <f t="shared" si="56"/>
        <v/>
      </c>
      <c r="J610" s="16" t="str">
        <f>IF(H610="","",H610/MAX(H$5:H610)-1)</f>
        <v/>
      </c>
      <c r="K610" s="13" t="str">
        <f>IF(OR('实盘净值数据(iFinD）'!$A610="",'实盘净值数据(iFinD）'!$B610="",'实盘净值数据(iFinD）'!$Z610="",'实盘净值数据(iFinD）'!$AA610=""),"",分期持仓明细!$AB$23*(SUMPRODUCT(分期持仓明细!$B$23:$Y$23,'实盘净值数据(iFinD）'!$B610:$Y610/'实盘净值数据(iFinD）'!$B$65:$Y$65)+SUMPRODUCT(分期持仓明细!$AC$23:$AD$23,'实盘净值数据(iFinD）'!$Z610:$AA610/'实盘净值数据(iFinD）'!$Z$65:$AA$65))*(1-实盘持仓初始配置!$Z$7)^(('实盘净值数据(iFinD）'!$A610-'实盘净值数据(iFinD）'!$A$8)/365))</f>
        <v/>
      </c>
      <c r="L610" s="16" t="str">
        <f t="shared" si="57"/>
        <v/>
      </c>
      <c r="M610" s="16" t="str">
        <f>IF(K610="","",K610/MAX(K$5:K610)-1)</f>
        <v/>
      </c>
      <c r="N610" s="13" t="str">
        <f>IF(OR('实盘净值数据(iFinD）'!$A610="",'实盘净值数据(iFinD）'!$B610="",'实盘净值数据(iFinD）'!$Z610="",'实盘净值数据(iFinD）'!$AA610=""),"",分期持仓明细!$AB$24*(SUMPRODUCT(分期持仓明细!$B$24:$Y$24,'实盘净值数据(iFinD）'!$B610:$Y610/'实盘净值数据(iFinD）'!$B$65:$Y$65)+SUMPRODUCT(分期持仓明细!$AC$24:$AD$24,'实盘净值数据(iFinD）'!$Z610:$AA610/'实盘净值数据(iFinD）'!$Z$65:$AA$65))*(1-实盘持仓初始配置!$Z$8)^(('实盘净值数据(iFinD）'!$A610-'实盘净值数据(iFinD）'!$A$5)/365))</f>
        <v/>
      </c>
      <c r="O610" s="16" t="str">
        <f t="shared" si="58"/>
        <v/>
      </c>
      <c r="P610" s="16" t="str">
        <f>IF(N610="","",N610/MAX(N$5:N610)-1)</f>
        <v/>
      </c>
      <c r="Q610" s="13" t="str">
        <f>IF(OR('实盘净值数据(iFinD）'!$A610="",'实盘净值数据(iFinD）'!$B610="",'实盘净值数据(iFinD）'!$Z610="",'实盘净值数据(iFinD）'!$AA610=""),"",分期持仓明细!$AB$25*(SUMPRODUCT(分期持仓明细!$B$25:$Y$25,'实盘净值数据(iFinD）'!$B610:$Y610/'实盘净值数据(iFinD）'!$B$65:$Y$65)+SUMPRODUCT(分期持仓明细!$AC$25:$AD$25,'实盘净值数据(iFinD）'!$Z610:$AA610/'实盘净值数据(iFinD）'!$Z$65:$AA$65))*(1-实盘持仓初始配置!$Z$9)^(('实盘净值数据(iFinD）'!$A610-'实盘净值数据(iFinD）'!$A$8)/365))</f>
        <v/>
      </c>
      <c r="R610" s="16" t="str">
        <f t="shared" si="59"/>
        <v/>
      </c>
      <c r="S610" s="16" t="str">
        <f>IF(Q610="","",Q610/MAX(Q$5:Q610)-1)</f>
        <v/>
      </c>
    </row>
    <row r="611" spans="1:19">
      <c r="A611" s="15" t="str">
        <f>IF('实盘净值数据(iFinD）'!A611="","",'实盘净值数据(iFinD）'!A611)</f>
        <v/>
      </c>
      <c r="B611" s="13" t="str">
        <f>IF(OR('实盘净值数据(iFinD）'!$A611="",'实盘净值数据(iFinD）'!$B611=""),"",分期持仓明细!$AB$17*SUMPRODUCT(分期持仓明细!$B$17:$Y$17,'实盘净值数据(iFinD）'!$B611:$Y611/'实盘净值数据(iFinD）'!$B$20:$Y$20)*(1-实盘持仓初始配置!$Z$4)^(('实盘净值数据(iFinD）'!$A611-'实盘净值数据(iFinD）'!$A$6)/365))</f>
        <v/>
      </c>
      <c r="C611" s="16" t="str">
        <f t="shared" si="54"/>
        <v/>
      </c>
      <c r="D611" s="16" t="str">
        <f>IF(B611="","",B611/MAX(B$5:B611)-1)</f>
        <v/>
      </c>
      <c r="E611" s="13" t="str">
        <f>IF(OR('实盘净值数据(iFinD）'!$A611="",'实盘净值数据(iFinD）'!$B611=""),"",分期持仓明细!$AB$18*SUMPRODUCT(分期持仓明细!$B$18:$Y$18,'实盘净值数据(iFinD）'!$B611:$Y611/'实盘净值数据(iFinD）'!$B$20:$Y$20)*(1-实盘持仓初始配置!$Z$5)^(('实盘净值数据(iFinD）'!$A611-'实盘净值数据(iFinD）'!$A$5)/365))</f>
        <v/>
      </c>
      <c r="F611" s="16" t="str">
        <f t="shared" si="55"/>
        <v/>
      </c>
      <c r="G611" s="16" t="str">
        <f>IF(E611="","",E611/MAX(E$5:E611)-1)</f>
        <v/>
      </c>
      <c r="H611" s="13" t="str">
        <f>IF(OR('实盘净值数据(iFinD）'!$A611="",'实盘净值数据(iFinD）'!$B611=""),"",分期持仓明细!$AB$19*SUMPRODUCT(分期持仓明细!$B$19:$Y$19,'实盘净值数据(iFinD）'!$B611:$Y611/'实盘净值数据(iFinD）'!$B$20:$Y$20)*(1-实盘持仓初始配置!$Z$6)^(('实盘净值数据(iFinD）'!$A611-'实盘净值数据(iFinD）'!$A$7)/365))</f>
        <v/>
      </c>
      <c r="I611" s="16" t="str">
        <f t="shared" si="56"/>
        <v/>
      </c>
      <c r="J611" s="16" t="str">
        <f>IF(H611="","",H611/MAX(H$5:H611)-1)</f>
        <v/>
      </c>
      <c r="K611" s="13" t="str">
        <f>IF(OR('实盘净值数据(iFinD）'!$A611="",'实盘净值数据(iFinD）'!$B611="",'实盘净值数据(iFinD）'!$Z611="",'实盘净值数据(iFinD）'!$AA611=""),"",分期持仓明细!$AB$23*(SUMPRODUCT(分期持仓明细!$B$23:$Y$23,'实盘净值数据(iFinD）'!$B611:$Y611/'实盘净值数据(iFinD）'!$B$65:$Y$65)+SUMPRODUCT(分期持仓明细!$AC$23:$AD$23,'实盘净值数据(iFinD）'!$Z611:$AA611/'实盘净值数据(iFinD）'!$Z$65:$AA$65))*(1-实盘持仓初始配置!$Z$7)^(('实盘净值数据(iFinD）'!$A611-'实盘净值数据(iFinD）'!$A$8)/365))</f>
        <v/>
      </c>
      <c r="L611" s="16" t="str">
        <f t="shared" si="57"/>
        <v/>
      </c>
      <c r="M611" s="16" t="str">
        <f>IF(K611="","",K611/MAX(K$5:K611)-1)</f>
        <v/>
      </c>
      <c r="N611" s="13" t="str">
        <f>IF(OR('实盘净值数据(iFinD）'!$A611="",'实盘净值数据(iFinD）'!$B611="",'实盘净值数据(iFinD）'!$Z611="",'实盘净值数据(iFinD）'!$AA611=""),"",分期持仓明细!$AB$24*(SUMPRODUCT(分期持仓明细!$B$24:$Y$24,'实盘净值数据(iFinD）'!$B611:$Y611/'实盘净值数据(iFinD）'!$B$65:$Y$65)+SUMPRODUCT(分期持仓明细!$AC$24:$AD$24,'实盘净值数据(iFinD）'!$Z611:$AA611/'实盘净值数据(iFinD）'!$Z$65:$AA$65))*(1-实盘持仓初始配置!$Z$8)^(('实盘净值数据(iFinD）'!$A611-'实盘净值数据(iFinD）'!$A$5)/365))</f>
        <v/>
      </c>
      <c r="O611" s="16" t="str">
        <f t="shared" si="58"/>
        <v/>
      </c>
      <c r="P611" s="16" t="str">
        <f>IF(N611="","",N611/MAX(N$5:N611)-1)</f>
        <v/>
      </c>
      <c r="Q611" s="13" t="str">
        <f>IF(OR('实盘净值数据(iFinD）'!$A611="",'实盘净值数据(iFinD）'!$B611="",'实盘净值数据(iFinD）'!$Z611="",'实盘净值数据(iFinD）'!$AA611=""),"",分期持仓明细!$AB$25*(SUMPRODUCT(分期持仓明细!$B$25:$Y$25,'实盘净值数据(iFinD）'!$B611:$Y611/'实盘净值数据(iFinD）'!$B$65:$Y$65)+SUMPRODUCT(分期持仓明细!$AC$25:$AD$25,'实盘净值数据(iFinD）'!$Z611:$AA611/'实盘净值数据(iFinD）'!$Z$65:$AA$65))*(1-实盘持仓初始配置!$Z$9)^(('实盘净值数据(iFinD）'!$A611-'实盘净值数据(iFinD）'!$A$8)/365))</f>
        <v/>
      </c>
      <c r="R611" s="16" t="str">
        <f t="shared" si="59"/>
        <v/>
      </c>
      <c r="S611" s="16" t="str">
        <f>IF(Q611="","",Q611/MAX(Q$5:Q611)-1)</f>
        <v/>
      </c>
    </row>
    <row r="612" spans="1:19">
      <c r="A612" s="15" t="str">
        <f>IF('实盘净值数据(iFinD）'!A612="","",'实盘净值数据(iFinD）'!A612)</f>
        <v/>
      </c>
      <c r="B612" s="13" t="str">
        <f>IF(OR('实盘净值数据(iFinD）'!$A612="",'实盘净值数据(iFinD）'!$B612=""),"",分期持仓明细!$AB$17*SUMPRODUCT(分期持仓明细!$B$17:$Y$17,'实盘净值数据(iFinD）'!$B612:$Y612/'实盘净值数据(iFinD）'!$B$20:$Y$20)*(1-实盘持仓初始配置!$Z$4)^(('实盘净值数据(iFinD）'!$A612-'实盘净值数据(iFinD）'!$A$6)/365))</f>
        <v/>
      </c>
      <c r="C612" s="16" t="str">
        <f t="shared" si="54"/>
        <v/>
      </c>
      <c r="D612" s="16" t="str">
        <f>IF(B612="","",B612/MAX(B$5:B612)-1)</f>
        <v/>
      </c>
      <c r="E612" s="13" t="str">
        <f>IF(OR('实盘净值数据(iFinD）'!$A612="",'实盘净值数据(iFinD）'!$B612=""),"",分期持仓明细!$AB$18*SUMPRODUCT(分期持仓明细!$B$18:$Y$18,'实盘净值数据(iFinD）'!$B612:$Y612/'实盘净值数据(iFinD）'!$B$20:$Y$20)*(1-实盘持仓初始配置!$Z$5)^(('实盘净值数据(iFinD）'!$A612-'实盘净值数据(iFinD）'!$A$5)/365))</f>
        <v/>
      </c>
      <c r="F612" s="16" t="str">
        <f t="shared" si="55"/>
        <v/>
      </c>
      <c r="G612" s="16" t="str">
        <f>IF(E612="","",E612/MAX(E$5:E612)-1)</f>
        <v/>
      </c>
      <c r="H612" s="13" t="str">
        <f>IF(OR('实盘净值数据(iFinD）'!$A612="",'实盘净值数据(iFinD）'!$B612=""),"",分期持仓明细!$AB$19*SUMPRODUCT(分期持仓明细!$B$19:$Y$19,'实盘净值数据(iFinD）'!$B612:$Y612/'实盘净值数据(iFinD）'!$B$20:$Y$20)*(1-实盘持仓初始配置!$Z$6)^(('实盘净值数据(iFinD）'!$A612-'实盘净值数据(iFinD）'!$A$7)/365))</f>
        <v/>
      </c>
      <c r="I612" s="16" t="str">
        <f t="shared" si="56"/>
        <v/>
      </c>
      <c r="J612" s="16" t="str">
        <f>IF(H612="","",H612/MAX(H$5:H612)-1)</f>
        <v/>
      </c>
      <c r="K612" s="13" t="str">
        <f>IF(OR('实盘净值数据(iFinD）'!$A612="",'实盘净值数据(iFinD）'!$B612="",'实盘净值数据(iFinD）'!$Z612="",'实盘净值数据(iFinD）'!$AA612=""),"",分期持仓明细!$AB$23*(SUMPRODUCT(分期持仓明细!$B$23:$Y$23,'实盘净值数据(iFinD）'!$B612:$Y612/'实盘净值数据(iFinD）'!$B$65:$Y$65)+SUMPRODUCT(分期持仓明细!$AC$23:$AD$23,'实盘净值数据(iFinD）'!$Z612:$AA612/'实盘净值数据(iFinD）'!$Z$65:$AA$65))*(1-实盘持仓初始配置!$Z$7)^(('实盘净值数据(iFinD）'!$A612-'实盘净值数据(iFinD）'!$A$8)/365))</f>
        <v/>
      </c>
      <c r="L612" s="16" t="str">
        <f t="shared" si="57"/>
        <v/>
      </c>
      <c r="M612" s="16" t="str">
        <f>IF(K612="","",K612/MAX(K$5:K612)-1)</f>
        <v/>
      </c>
      <c r="N612" s="13" t="str">
        <f>IF(OR('实盘净值数据(iFinD）'!$A612="",'实盘净值数据(iFinD）'!$B612="",'实盘净值数据(iFinD）'!$Z612="",'实盘净值数据(iFinD）'!$AA612=""),"",分期持仓明细!$AB$24*(SUMPRODUCT(分期持仓明细!$B$24:$Y$24,'实盘净值数据(iFinD）'!$B612:$Y612/'实盘净值数据(iFinD）'!$B$65:$Y$65)+SUMPRODUCT(分期持仓明细!$AC$24:$AD$24,'实盘净值数据(iFinD）'!$Z612:$AA612/'实盘净值数据(iFinD）'!$Z$65:$AA$65))*(1-实盘持仓初始配置!$Z$8)^(('实盘净值数据(iFinD）'!$A612-'实盘净值数据(iFinD）'!$A$5)/365))</f>
        <v/>
      </c>
      <c r="O612" s="16" t="str">
        <f t="shared" si="58"/>
        <v/>
      </c>
      <c r="P612" s="16" t="str">
        <f>IF(N612="","",N612/MAX(N$5:N612)-1)</f>
        <v/>
      </c>
      <c r="Q612" s="13" t="str">
        <f>IF(OR('实盘净值数据(iFinD）'!$A612="",'实盘净值数据(iFinD）'!$B612="",'实盘净值数据(iFinD）'!$Z612="",'实盘净值数据(iFinD）'!$AA612=""),"",分期持仓明细!$AB$25*(SUMPRODUCT(分期持仓明细!$B$25:$Y$25,'实盘净值数据(iFinD）'!$B612:$Y612/'实盘净值数据(iFinD）'!$B$65:$Y$65)+SUMPRODUCT(分期持仓明细!$AC$25:$AD$25,'实盘净值数据(iFinD）'!$Z612:$AA612/'实盘净值数据(iFinD）'!$Z$65:$AA$65))*(1-实盘持仓初始配置!$Z$9)^(('实盘净值数据(iFinD）'!$A612-'实盘净值数据(iFinD）'!$A$8)/365))</f>
        <v/>
      </c>
      <c r="R612" s="16" t="str">
        <f t="shared" si="59"/>
        <v/>
      </c>
      <c r="S612" s="16" t="str">
        <f>IF(Q612="","",Q612/MAX(Q$5:Q612)-1)</f>
        <v/>
      </c>
    </row>
    <row r="613" spans="1:19">
      <c r="A613" s="15" t="str">
        <f>IF('实盘净值数据(iFinD）'!A613="","",'实盘净值数据(iFinD）'!A613)</f>
        <v/>
      </c>
      <c r="B613" s="13" t="str">
        <f>IF(OR('实盘净值数据(iFinD）'!$A613="",'实盘净值数据(iFinD）'!$B613=""),"",分期持仓明细!$AB$17*SUMPRODUCT(分期持仓明细!$B$17:$Y$17,'实盘净值数据(iFinD）'!$B613:$Y613/'实盘净值数据(iFinD）'!$B$20:$Y$20)*(1-实盘持仓初始配置!$Z$4)^(('实盘净值数据(iFinD）'!$A613-'实盘净值数据(iFinD）'!$A$6)/365))</f>
        <v/>
      </c>
      <c r="C613" s="16" t="str">
        <f t="shared" si="54"/>
        <v/>
      </c>
      <c r="D613" s="16" t="str">
        <f>IF(B613="","",B613/MAX(B$5:B613)-1)</f>
        <v/>
      </c>
      <c r="E613" s="13" t="str">
        <f>IF(OR('实盘净值数据(iFinD）'!$A613="",'实盘净值数据(iFinD）'!$B613=""),"",分期持仓明细!$AB$18*SUMPRODUCT(分期持仓明细!$B$18:$Y$18,'实盘净值数据(iFinD）'!$B613:$Y613/'实盘净值数据(iFinD）'!$B$20:$Y$20)*(1-实盘持仓初始配置!$Z$5)^(('实盘净值数据(iFinD）'!$A613-'实盘净值数据(iFinD）'!$A$5)/365))</f>
        <v/>
      </c>
      <c r="F613" s="16" t="str">
        <f t="shared" si="55"/>
        <v/>
      </c>
      <c r="G613" s="16" t="str">
        <f>IF(E613="","",E613/MAX(E$5:E613)-1)</f>
        <v/>
      </c>
      <c r="H613" s="13" t="str">
        <f>IF(OR('实盘净值数据(iFinD）'!$A613="",'实盘净值数据(iFinD）'!$B613=""),"",分期持仓明细!$AB$19*SUMPRODUCT(分期持仓明细!$B$19:$Y$19,'实盘净值数据(iFinD）'!$B613:$Y613/'实盘净值数据(iFinD）'!$B$20:$Y$20)*(1-实盘持仓初始配置!$Z$6)^(('实盘净值数据(iFinD）'!$A613-'实盘净值数据(iFinD）'!$A$7)/365))</f>
        <v/>
      </c>
      <c r="I613" s="16" t="str">
        <f t="shared" si="56"/>
        <v/>
      </c>
      <c r="J613" s="16" t="str">
        <f>IF(H613="","",H613/MAX(H$5:H613)-1)</f>
        <v/>
      </c>
      <c r="K613" s="13" t="str">
        <f>IF(OR('实盘净值数据(iFinD）'!$A613="",'实盘净值数据(iFinD）'!$B613="",'实盘净值数据(iFinD）'!$Z613="",'实盘净值数据(iFinD）'!$AA613=""),"",分期持仓明细!$AB$23*(SUMPRODUCT(分期持仓明细!$B$23:$Y$23,'实盘净值数据(iFinD）'!$B613:$Y613/'实盘净值数据(iFinD）'!$B$65:$Y$65)+SUMPRODUCT(分期持仓明细!$AC$23:$AD$23,'实盘净值数据(iFinD）'!$Z613:$AA613/'实盘净值数据(iFinD）'!$Z$65:$AA$65))*(1-实盘持仓初始配置!$Z$7)^(('实盘净值数据(iFinD）'!$A613-'实盘净值数据(iFinD）'!$A$8)/365))</f>
        <v/>
      </c>
      <c r="L613" s="16" t="str">
        <f t="shared" si="57"/>
        <v/>
      </c>
      <c r="M613" s="16" t="str">
        <f>IF(K613="","",K613/MAX(K$5:K613)-1)</f>
        <v/>
      </c>
      <c r="N613" s="13" t="str">
        <f>IF(OR('实盘净值数据(iFinD）'!$A613="",'实盘净值数据(iFinD）'!$B613="",'实盘净值数据(iFinD）'!$Z613="",'实盘净值数据(iFinD）'!$AA613=""),"",分期持仓明细!$AB$24*(SUMPRODUCT(分期持仓明细!$B$24:$Y$24,'实盘净值数据(iFinD）'!$B613:$Y613/'实盘净值数据(iFinD）'!$B$65:$Y$65)+SUMPRODUCT(分期持仓明细!$AC$24:$AD$24,'实盘净值数据(iFinD）'!$Z613:$AA613/'实盘净值数据(iFinD）'!$Z$65:$AA$65))*(1-实盘持仓初始配置!$Z$8)^(('实盘净值数据(iFinD）'!$A613-'实盘净值数据(iFinD）'!$A$5)/365))</f>
        <v/>
      </c>
      <c r="O613" s="16" t="str">
        <f t="shared" si="58"/>
        <v/>
      </c>
      <c r="P613" s="16" t="str">
        <f>IF(N613="","",N613/MAX(N$5:N613)-1)</f>
        <v/>
      </c>
      <c r="Q613" s="13" t="str">
        <f>IF(OR('实盘净值数据(iFinD）'!$A613="",'实盘净值数据(iFinD）'!$B613="",'实盘净值数据(iFinD）'!$Z613="",'实盘净值数据(iFinD）'!$AA613=""),"",分期持仓明细!$AB$25*(SUMPRODUCT(分期持仓明细!$B$25:$Y$25,'实盘净值数据(iFinD）'!$B613:$Y613/'实盘净值数据(iFinD）'!$B$65:$Y$65)+SUMPRODUCT(分期持仓明细!$AC$25:$AD$25,'实盘净值数据(iFinD）'!$Z613:$AA613/'实盘净值数据(iFinD）'!$Z$65:$AA$65))*(1-实盘持仓初始配置!$Z$9)^(('实盘净值数据(iFinD）'!$A613-'实盘净值数据(iFinD）'!$A$8)/365))</f>
        <v/>
      </c>
      <c r="R613" s="16" t="str">
        <f t="shared" si="59"/>
        <v/>
      </c>
      <c r="S613" s="16" t="str">
        <f>IF(Q613="","",Q613/MAX(Q$5:Q613)-1)</f>
        <v/>
      </c>
    </row>
    <row r="614" spans="1:19">
      <c r="A614" s="15" t="str">
        <f>IF('实盘净值数据(iFinD）'!A614="","",'实盘净值数据(iFinD）'!A614)</f>
        <v/>
      </c>
      <c r="B614" s="13" t="str">
        <f>IF(OR('实盘净值数据(iFinD）'!$A614="",'实盘净值数据(iFinD）'!$B614=""),"",分期持仓明细!$AB$17*SUMPRODUCT(分期持仓明细!$B$17:$Y$17,'实盘净值数据(iFinD）'!$B614:$Y614/'实盘净值数据(iFinD）'!$B$20:$Y$20)*(1-实盘持仓初始配置!$Z$4)^(('实盘净值数据(iFinD）'!$A614-'实盘净值数据(iFinD）'!$A$6)/365))</f>
        <v/>
      </c>
      <c r="C614" s="16" t="str">
        <f t="shared" si="54"/>
        <v/>
      </c>
      <c r="D614" s="16" t="str">
        <f>IF(B614="","",B614/MAX(B$5:B614)-1)</f>
        <v/>
      </c>
      <c r="E614" s="13" t="str">
        <f>IF(OR('实盘净值数据(iFinD）'!$A614="",'实盘净值数据(iFinD）'!$B614=""),"",分期持仓明细!$AB$18*SUMPRODUCT(分期持仓明细!$B$18:$Y$18,'实盘净值数据(iFinD）'!$B614:$Y614/'实盘净值数据(iFinD）'!$B$20:$Y$20)*(1-实盘持仓初始配置!$Z$5)^(('实盘净值数据(iFinD）'!$A614-'实盘净值数据(iFinD）'!$A$5)/365))</f>
        <v/>
      </c>
      <c r="F614" s="16" t="str">
        <f t="shared" si="55"/>
        <v/>
      </c>
      <c r="G614" s="16" t="str">
        <f>IF(E614="","",E614/MAX(E$5:E614)-1)</f>
        <v/>
      </c>
      <c r="H614" s="13" t="str">
        <f>IF(OR('实盘净值数据(iFinD）'!$A614="",'实盘净值数据(iFinD）'!$B614=""),"",分期持仓明细!$AB$19*SUMPRODUCT(分期持仓明细!$B$19:$Y$19,'实盘净值数据(iFinD）'!$B614:$Y614/'实盘净值数据(iFinD）'!$B$20:$Y$20)*(1-实盘持仓初始配置!$Z$6)^(('实盘净值数据(iFinD）'!$A614-'实盘净值数据(iFinD）'!$A$7)/365))</f>
        <v/>
      </c>
      <c r="I614" s="16" t="str">
        <f t="shared" si="56"/>
        <v/>
      </c>
      <c r="J614" s="16" t="str">
        <f>IF(H614="","",H614/MAX(H$5:H614)-1)</f>
        <v/>
      </c>
      <c r="K614" s="13" t="str">
        <f>IF(OR('实盘净值数据(iFinD）'!$A614="",'实盘净值数据(iFinD）'!$B614="",'实盘净值数据(iFinD）'!$Z614="",'实盘净值数据(iFinD）'!$AA614=""),"",分期持仓明细!$AB$23*(SUMPRODUCT(分期持仓明细!$B$23:$Y$23,'实盘净值数据(iFinD）'!$B614:$Y614/'实盘净值数据(iFinD）'!$B$65:$Y$65)+SUMPRODUCT(分期持仓明细!$AC$23:$AD$23,'实盘净值数据(iFinD）'!$Z614:$AA614/'实盘净值数据(iFinD）'!$Z$65:$AA$65))*(1-实盘持仓初始配置!$Z$7)^(('实盘净值数据(iFinD）'!$A614-'实盘净值数据(iFinD）'!$A$8)/365))</f>
        <v/>
      </c>
      <c r="L614" s="16" t="str">
        <f t="shared" si="57"/>
        <v/>
      </c>
      <c r="M614" s="16" t="str">
        <f>IF(K614="","",K614/MAX(K$5:K614)-1)</f>
        <v/>
      </c>
      <c r="N614" s="13" t="str">
        <f>IF(OR('实盘净值数据(iFinD）'!$A614="",'实盘净值数据(iFinD）'!$B614="",'实盘净值数据(iFinD）'!$Z614="",'实盘净值数据(iFinD）'!$AA614=""),"",分期持仓明细!$AB$24*(SUMPRODUCT(分期持仓明细!$B$24:$Y$24,'实盘净值数据(iFinD）'!$B614:$Y614/'实盘净值数据(iFinD）'!$B$65:$Y$65)+SUMPRODUCT(分期持仓明细!$AC$24:$AD$24,'实盘净值数据(iFinD）'!$Z614:$AA614/'实盘净值数据(iFinD）'!$Z$65:$AA$65))*(1-实盘持仓初始配置!$Z$8)^(('实盘净值数据(iFinD）'!$A614-'实盘净值数据(iFinD）'!$A$5)/365))</f>
        <v/>
      </c>
      <c r="O614" s="16" t="str">
        <f t="shared" si="58"/>
        <v/>
      </c>
      <c r="P614" s="16" t="str">
        <f>IF(N614="","",N614/MAX(N$5:N614)-1)</f>
        <v/>
      </c>
      <c r="Q614" s="13" t="str">
        <f>IF(OR('实盘净值数据(iFinD）'!$A614="",'实盘净值数据(iFinD）'!$B614="",'实盘净值数据(iFinD）'!$Z614="",'实盘净值数据(iFinD）'!$AA614=""),"",分期持仓明细!$AB$25*(SUMPRODUCT(分期持仓明细!$B$25:$Y$25,'实盘净值数据(iFinD）'!$B614:$Y614/'实盘净值数据(iFinD）'!$B$65:$Y$65)+SUMPRODUCT(分期持仓明细!$AC$25:$AD$25,'实盘净值数据(iFinD）'!$Z614:$AA614/'实盘净值数据(iFinD）'!$Z$65:$AA$65))*(1-实盘持仓初始配置!$Z$9)^(('实盘净值数据(iFinD）'!$A614-'实盘净值数据(iFinD）'!$A$8)/365))</f>
        <v/>
      </c>
      <c r="R614" s="16" t="str">
        <f t="shared" si="59"/>
        <v/>
      </c>
      <c r="S614" s="16" t="str">
        <f>IF(Q614="","",Q614/MAX(Q$5:Q614)-1)</f>
        <v/>
      </c>
    </row>
    <row r="615" spans="1:19">
      <c r="A615" s="15" t="str">
        <f>IF('实盘净值数据(iFinD）'!A615="","",'实盘净值数据(iFinD）'!A615)</f>
        <v/>
      </c>
      <c r="B615" s="13" t="str">
        <f>IF(OR('实盘净值数据(iFinD）'!$A615="",'实盘净值数据(iFinD）'!$B615=""),"",分期持仓明细!$AB$17*SUMPRODUCT(分期持仓明细!$B$17:$Y$17,'实盘净值数据(iFinD）'!$B615:$Y615/'实盘净值数据(iFinD）'!$B$20:$Y$20)*(1-实盘持仓初始配置!$Z$4)^(('实盘净值数据(iFinD）'!$A615-'实盘净值数据(iFinD）'!$A$6)/365))</f>
        <v/>
      </c>
      <c r="C615" s="16" t="str">
        <f t="shared" si="54"/>
        <v/>
      </c>
      <c r="D615" s="16" t="str">
        <f>IF(B615="","",B615/MAX(B$5:B615)-1)</f>
        <v/>
      </c>
      <c r="E615" s="13" t="str">
        <f>IF(OR('实盘净值数据(iFinD）'!$A615="",'实盘净值数据(iFinD）'!$B615=""),"",分期持仓明细!$AB$18*SUMPRODUCT(分期持仓明细!$B$18:$Y$18,'实盘净值数据(iFinD）'!$B615:$Y615/'实盘净值数据(iFinD）'!$B$20:$Y$20)*(1-实盘持仓初始配置!$Z$5)^(('实盘净值数据(iFinD）'!$A615-'实盘净值数据(iFinD）'!$A$5)/365))</f>
        <v/>
      </c>
      <c r="F615" s="16" t="str">
        <f t="shared" si="55"/>
        <v/>
      </c>
      <c r="G615" s="16" t="str">
        <f>IF(E615="","",E615/MAX(E$5:E615)-1)</f>
        <v/>
      </c>
      <c r="H615" s="13" t="str">
        <f>IF(OR('实盘净值数据(iFinD）'!$A615="",'实盘净值数据(iFinD）'!$B615=""),"",分期持仓明细!$AB$19*SUMPRODUCT(分期持仓明细!$B$19:$Y$19,'实盘净值数据(iFinD）'!$B615:$Y615/'实盘净值数据(iFinD）'!$B$20:$Y$20)*(1-实盘持仓初始配置!$Z$6)^(('实盘净值数据(iFinD）'!$A615-'实盘净值数据(iFinD）'!$A$7)/365))</f>
        <v/>
      </c>
      <c r="I615" s="16" t="str">
        <f t="shared" si="56"/>
        <v/>
      </c>
      <c r="J615" s="16" t="str">
        <f>IF(H615="","",H615/MAX(H$5:H615)-1)</f>
        <v/>
      </c>
      <c r="K615" s="13" t="str">
        <f>IF(OR('实盘净值数据(iFinD）'!$A615="",'实盘净值数据(iFinD）'!$B615="",'实盘净值数据(iFinD）'!$Z615="",'实盘净值数据(iFinD）'!$AA615=""),"",分期持仓明细!$AB$23*(SUMPRODUCT(分期持仓明细!$B$23:$Y$23,'实盘净值数据(iFinD）'!$B615:$Y615/'实盘净值数据(iFinD）'!$B$65:$Y$65)+SUMPRODUCT(分期持仓明细!$AC$23:$AD$23,'实盘净值数据(iFinD）'!$Z615:$AA615/'实盘净值数据(iFinD）'!$Z$65:$AA$65))*(1-实盘持仓初始配置!$Z$7)^(('实盘净值数据(iFinD）'!$A615-'实盘净值数据(iFinD）'!$A$8)/365))</f>
        <v/>
      </c>
      <c r="L615" s="16" t="str">
        <f t="shared" si="57"/>
        <v/>
      </c>
      <c r="M615" s="16" t="str">
        <f>IF(K615="","",K615/MAX(K$5:K615)-1)</f>
        <v/>
      </c>
      <c r="N615" s="13" t="str">
        <f>IF(OR('实盘净值数据(iFinD）'!$A615="",'实盘净值数据(iFinD）'!$B615="",'实盘净值数据(iFinD）'!$Z615="",'实盘净值数据(iFinD）'!$AA615=""),"",分期持仓明细!$AB$24*(SUMPRODUCT(分期持仓明细!$B$24:$Y$24,'实盘净值数据(iFinD）'!$B615:$Y615/'实盘净值数据(iFinD）'!$B$65:$Y$65)+SUMPRODUCT(分期持仓明细!$AC$24:$AD$24,'实盘净值数据(iFinD）'!$Z615:$AA615/'实盘净值数据(iFinD）'!$Z$65:$AA$65))*(1-实盘持仓初始配置!$Z$8)^(('实盘净值数据(iFinD）'!$A615-'实盘净值数据(iFinD）'!$A$5)/365))</f>
        <v/>
      </c>
      <c r="O615" s="16" t="str">
        <f t="shared" si="58"/>
        <v/>
      </c>
      <c r="P615" s="16" t="str">
        <f>IF(N615="","",N615/MAX(N$5:N615)-1)</f>
        <v/>
      </c>
      <c r="Q615" s="13" t="str">
        <f>IF(OR('实盘净值数据(iFinD）'!$A615="",'实盘净值数据(iFinD）'!$B615="",'实盘净值数据(iFinD）'!$Z615="",'实盘净值数据(iFinD）'!$AA615=""),"",分期持仓明细!$AB$25*(SUMPRODUCT(分期持仓明细!$B$25:$Y$25,'实盘净值数据(iFinD）'!$B615:$Y615/'实盘净值数据(iFinD）'!$B$65:$Y$65)+SUMPRODUCT(分期持仓明细!$AC$25:$AD$25,'实盘净值数据(iFinD）'!$Z615:$AA615/'实盘净值数据(iFinD）'!$Z$65:$AA$65))*(1-实盘持仓初始配置!$Z$9)^(('实盘净值数据(iFinD）'!$A615-'实盘净值数据(iFinD）'!$A$8)/365))</f>
        <v/>
      </c>
      <c r="R615" s="16" t="str">
        <f t="shared" si="59"/>
        <v/>
      </c>
      <c r="S615" s="16" t="str">
        <f>IF(Q615="","",Q615/MAX(Q$5:Q615)-1)</f>
        <v/>
      </c>
    </row>
    <row r="616" spans="1:19">
      <c r="A616" s="15" t="str">
        <f>IF('实盘净值数据(iFinD）'!A616="","",'实盘净值数据(iFinD）'!A616)</f>
        <v/>
      </c>
      <c r="B616" s="13" t="str">
        <f>IF(OR('实盘净值数据(iFinD）'!$A616="",'实盘净值数据(iFinD）'!$B616=""),"",分期持仓明细!$AB$17*SUMPRODUCT(分期持仓明细!$B$17:$Y$17,'实盘净值数据(iFinD）'!$B616:$Y616/'实盘净值数据(iFinD）'!$B$20:$Y$20)*(1-实盘持仓初始配置!$Z$4)^(('实盘净值数据(iFinD）'!$A616-'实盘净值数据(iFinD）'!$A$6)/365))</f>
        <v/>
      </c>
      <c r="C616" s="16" t="str">
        <f t="shared" si="54"/>
        <v/>
      </c>
      <c r="D616" s="16" t="str">
        <f>IF(B616="","",B616/MAX(B$5:B616)-1)</f>
        <v/>
      </c>
      <c r="E616" s="13" t="str">
        <f>IF(OR('实盘净值数据(iFinD）'!$A616="",'实盘净值数据(iFinD）'!$B616=""),"",分期持仓明细!$AB$18*SUMPRODUCT(分期持仓明细!$B$18:$Y$18,'实盘净值数据(iFinD）'!$B616:$Y616/'实盘净值数据(iFinD）'!$B$20:$Y$20)*(1-实盘持仓初始配置!$Z$5)^(('实盘净值数据(iFinD）'!$A616-'实盘净值数据(iFinD）'!$A$5)/365))</f>
        <v/>
      </c>
      <c r="F616" s="16" t="str">
        <f t="shared" si="55"/>
        <v/>
      </c>
      <c r="G616" s="16" t="str">
        <f>IF(E616="","",E616/MAX(E$5:E616)-1)</f>
        <v/>
      </c>
      <c r="H616" s="13" t="str">
        <f>IF(OR('实盘净值数据(iFinD）'!$A616="",'实盘净值数据(iFinD）'!$B616=""),"",分期持仓明细!$AB$19*SUMPRODUCT(分期持仓明细!$B$19:$Y$19,'实盘净值数据(iFinD）'!$B616:$Y616/'实盘净值数据(iFinD）'!$B$20:$Y$20)*(1-实盘持仓初始配置!$Z$6)^(('实盘净值数据(iFinD）'!$A616-'实盘净值数据(iFinD）'!$A$7)/365))</f>
        <v/>
      </c>
      <c r="I616" s="16" t="str">
        <f t="shared" si="56"/>
        <v/>
      </c>
      <c r="J616" s="16" t="str">
        <f>IF(H616="","",H616/MAX(H$5:H616)-1)</f>
        <v/>
      </c>
      <c r="K616" s="13" t="str">
        <f>IF(OR('实盘净值数据(iFinD）'!$A616="",'实盘净值数据(iFinD）'!$B616="",'实盘净值数据(iFinD）'!$Z616="",'实盘净值数据(iFinD）'!$AA616=""),"",分期持仓明细!$AB$23*(SUMPRODUCT(分期持仓明细!$B$23:$Y$23,'实盘净值数据(iFinD）'!$B616:$Y616/'实盘净值数据(iFinD）'!$B$65:$Y$65)+SUMPRODUCT(分期持仓明细!$AC$23:$AD$23,'实盘净值数据(iFinD）'!$Z616:$AA616/'实盘净值数据(iFinD）'!$Z$65:$AA$65))*(1-实盘持仓初始配置!$Z$7)^(('实盘净值数据(iFinD）'!$A616-'实盘净值数据(iFinD）'!$A$8)/365))</f>
        <v/>
      </c>
      <c r="L616" s="16" t="str">
        <f t="shared" si="57"/>
        <v/>
      </c>
      <c r="M616" s="16" t="str">
        <f>IF(K616="","",K616/MAX(K$5:K616)-1)</f>
        <v/>
      </c>
      <c r="N616" s="13" t="str">
        <f>IF(OR('实盘净值数据(iFinD）'!$A616="",'实盘净值数据(iFinD）'!$B616="",'实盘净值数据(iFinD）'!$Z616="",'实盘净值数据(iFinD）'!$AA616=""),"",分期持仓明细!$AB$24*(SUMPRODUCT(分期持仓明细!$B$24:$Y$24,'实盘净值数据(iFinD）'!$B616:$Y616/'实盘净值数据(iFinD）'!$B$65:$Y$65)+SUMPRODUCT(分期持仓明细!$AC$24:$AD$24,'实盘净值数据(iFinD）'!$Z616:$AA616/'实盘净值数据(iFinD）'!$Z$65:$AA$65))*(1-实盘持仓初始配置!$Z$8)^(('实盘净值数据(iFinD）'!$A616-'实盘净值数据(iFinD）'!$A$5)/365))</f>
        <v/>
      </c>
      <c r="O616" s="16" t="str">
        <f t="shared" si="58"/>
        <v/>
      </c>
      <c r="P616" s="16" t="str">
        <f>IF(N616="","",N616/MAX(N$5:N616)-1)</f>
        <v/>
      </c>
      <c r="Q616" s="13" t="str">
        <f>IF(OR('实盘净值数据(iFinD）'!$A616="",'实盘净值数据(iFinD）'!$B616="",'实盘净值数据(iFinD）'!$Z616="",'实盘净值数据(iFinD）'!$AA616=""),"",分期持仓明细!$AB$25*(SUMPRODUCT(分期持仓明细!$B$25:$Y$25,'实盘净值数据(iFinD）'!$B616:$Y616/'实盘净值数据(iFinD）'!$B$65:$Y$65)+SUMPRODUCT(分期持仓明细!$AC$25:$AD$25,'实盘净值数据(iFinD）'!$Z616:$AA616/'实盘净值数据(iFinD）'!$Z$65:$AA$65))*(1-实盘持仓初始配置!$Z$9)^(('实盘净值数据(iFinD）'!$A616-'实盘净值数据(iFinD）'!$A$8)/365))</f>
        <v/>
      </c>
      <c r="R616" s="16" t="str">
        <f t="shared" si="59"/>
        <v/>
      </c>
      <c r="S616" s="16" t="str">
        <f>IF(Q616="","",Q616/MAX(Q$5:Q616)-1)</f>
        <v/>
      </c>
    </row>
    <row r="617" spans="1:19">
      <c r="A617" s="15" t="str">
        <f>IF('实盘净值数据(iFinD）'!A617="","",'实盘净值数据(iFinD）'!A617)</f>
        <v/>
      </c>
      <c r="B617" s="13" t="str">
        <f>IF(OR('实盘净值数据(iFinD）'!$A617="",'实盘净值数据(iFinD）'!$B617=""),"",分期持仓明细!$AB$17*SUMPRODUCT(分期持仓明细!$B$17:$Y$17,'实盘净值数据(iFinD）'!$B617:$Y617/'实盘净值数据(iFinD）'!$B$20:$Y$20)*(1-实盘持仓初始配置!$Z$4)^(('实盘净值数据(iFinD）'!$A617-'实盘净值数据(iFinD）'!$A$6)/365))</f>
        <v/>
      </c>
      <c r="C617" s="16" t="str">
        <f t="shared" si="54"/>
        <v/>
      </c>
      <c r="D617" s="16" t="str">
        <f>IF(B617="","",B617/MAX(B$5:B617)-1)</f>
        <v/>
      </c>
      <c r="E617" s="13" t="str">
        <f>IF(OR('实盘净值数据(iFinD）'!$A617="",'实盘净值数据(iFinD）'!$B617=""),"",分期持仓明细!$AB$18*SUMPRODUCT(分期持仓明细!$B$18:$Y$18,'实盘净值数据(iFinD）'!$B617:$Y617/'实盘净值数据(iFinD）'!$B$20:$Y$20)*(1-实盘持仓初始配置!$Z$5)^(('实盘净值数据(iFinD）'!$A617-'实盘净值数据(iFinD）'!$A$5)/365))</f>
        <v/>
      </c>
      <c r="F617" s="16" t="str">
        <f t="shared" si="55"/>
        <v/>
      </c>
      <c r="G617" s="16" t="str">
        <f>IF(E617="","",E617/MAX(E$5:E617)-1)</f>
        <v/>
      </c>
      <c r="H617" s="13" t="str">
        <f>IF(OR('实盘净值数据(iFinD）'!$A617="",'实盘净值数据(iFinD）'!$B617=""),"",分期持仓明细!$AB$19*SUMPRODUCT(分期持仓明细!$B$19:$Y$19,'实盘净值数据(iFinD）'!$B617:$Y617/'实盘净值数据(iFinD）'!$B$20:$Y$20)*(1-实盘持仓初始配置!$Z$6)^(('实盘净值数据(iFinD）'!$A617-'实盘净值数据(iFinD）'!$A$7)/365))</f>
        <v/>
      </c>
      <c r="I617" s="16" t="str">
        <f t="shared" si="56"/>
        <v/>
      </c>
      <c r="J617" s="16" t="str">
        <f>IF(H617="","",H617/MAX(H$5:H617)-1)</f>
        <v/>
      </c>
      <c r="K617" s="13" t="str">
        <f>IF(OR('实盘净值数据(iFinD）'!$A617="",'实盘净值数据(iFinD）'!$B617="",'实盘净值数据(iFinD）'!$Z617="",'实盘净值数据(iFinD）'!$AA617=""),"",分期持仓明细!$AB$23*(SUMPRODUCT(分期持仓明细!$B$23:$Y$23,'实盘净值数据(iFinD）'!$B617:$Y617/'实盘净值数据(iFinD）'!$B$65:$Y$65)+SUMPRODUCT(分期持仓明细!$AC$23:$AD$23,'实盘净值数据(iFinD）'!$Z617:$AA617/'实盘净值数据(iFinD）'!$Z$65:$AA$65))*(1-实盘持仓初始配置!$Z$7)^(('实盘净值数据(iFinD）'!$A617-'实盘净值数据(iFinD）'!$A$8)/365))</f>
        <v/>
      </c>
      <c r="L617" s="16" t="str">
        <f t="shared" si="57"/>
        <v/>
      </c>
      <c r="M617" s="16" t="str">
        <f>IF(K617="","",K617/MAX(K$5:K617)-1)</f>
        <v/>
      </c>
      <c r="N617" s="13" t="str">
        <f>IF(OR('实盘净值数据(iFinD）'!$A617="",'实盘净值数据(iFinD）'!$B617="",'实盘净值数据(iFinD）'!$Z617="",'实盘净值数据(iFinD）'!$AA617=""),"",分期持仓明细!$AB$24*(SUMPRODUCT(分期持仓明细!$B$24:$Y$24,'实盘净值数据(iFinD）'!$B617:$Y617/'实盘净值数据(iFinD）'!$B$65:$Y$65)+SUMPRODUCT(分期持仓明细!$AC$24:$AD$24,'实盘净值数据(iFinD）'!$Z617:$AA617/'实盘净值数据(iFinD）'!$Z$65:$AA$65))*(1-实盘持仓初始配置!$Z$8)^(('实盘净值数据(iFinD）'!$A617-'实盘净值数据(iFinD）'!$A$5)/365))</f>
        <v/>
      </c>
      <c r="O617" s="16" t="str">
        <f t="shared" si="58"/>
        <v/>
      </c>
      <c r="P617" s="16" t="str">
        <f>IF(N617="","",N617/MAX(N$5:N617)-1)</f>
        <v/>
      </c>
      <c r="Q617" s="13" t="str">
        <f>IF(OR('实盘净值数据(iFinD）'!$A617="",'实盘净值数据(iFinD）'!$B617="",'实盘净值数据(iFinD）'!$Z617="",'实盘净值数据(iFinD）'!$AA617=""),"",分期持仓明细!$AB$25*(SUMPRODUCT(分期持仓明细!$B$25:$Y$25,'实盘净值数据(iFinD）'!$B617:$Y617/'实盘净值数据(iFinD）'!$B$65:$Y$65)+SUMPRODUCT(分期持仓明细!$AC$25:$AD$25,'实盘净值数据(iFinD）'!$Z617:$AA617/'实盘净值数据(iFinD）'!$Z$65:$AA$65))*(1-实盘持仓初始配置!$Z$9)^(('实盘净值数据(iFinD）'!$A617-'实盘净值数据(iFinD）'!$A$8)/365))</f>
        <v/>
      </c>
      <c r="R617" s="16" t="str">
        <f t="shared" si="59"/>
        <v/>
      </c>
      <c r="S617" s="16" t="str">
        <f>IF(Q617="","",Q617/MAX(Q$5:Q617)-1)</f>
        <v/>
      </c>
    </row>
    <row r="618" spans="1:19">
      <c r="A618" s="15" t="str">
        <f>IF('实盘净值数据(iFinD）'!A618="","",'实盘净值数据(iFinD）'!A618)</f>
        <v/>
      </c>
      <c r="B618" s="13" t="str">
        <f>IF(OR('实盘净值数据(iFinD）'!$A618="",'实盘净值数据(iFinD）'!$B618=""),"",分期持仓明细!$AB$17*SUMPRODUCT(分期持仓明细!$B$17:$Y$17,'实盘净值数据(iFinD）'!$B618:$Y618/'实盘净值数据(iFinD）'!$B$20:$Y$20)*(1-实盘持仓初始配置!$Z$4)^(('实盘净值数据(iFinD）'!$A618-'实盘净值数据(iFinD）'!$A$6)/365))</f>
        <v/>
      </c>
      <c r="C618" s="16" t="str">
        <f t="shared" si="54"/>
        <v/>
      </c>
      <c r="D618" s="16" t="str">
        <f>IF(B618="","",B618/MAX(B$5:B618)-1)</f>
        <v/>
      </c>
      <c r="E618" s="13" t="str">
        <f>IF(OR('实盘净值数据(iFinD）'!$A618="",'实盘净值数据(iFinD）'!$B618=""),"",分期持仓明细!$AB$18*SUMPRODUCT(分期持仓明细!$B$18:$Y$18,'实盘净值数据(iFinD）'!$B618:$Y618/'实盘净值数据(iFinD）'!$B$20:$Y$20)*(1-实盘持仓初始配置!$Z$5)^(('实盘净值数据(iFinD）'!$A618-'实盘净值数据(iFinD）'!$A$5)/365))</f>
        <v/>
      </c>
      <c r="F618" s="16" t="str">
        <f t="shared" si="55"/>
        <v/>
      </c>
      <c r="G618" s="16" t="str">
        <f>IF(E618="","",E618/MAX(E$5:E618)-1)</f>
        <v/>
      </c>
      <c r="H618" s="13" t="str">
        <f>IF(OR('实盘净值数据(iFinD）'!$A618="",'实盘净值数据(iFinD）'!$B618=""),"",分期持仓明细!$AB$19*SUMPRODUCT(分期持仓明细!$B$19:$Y$19,'实盘净值数据(iFinD）'!$B618:$Y618/'实盘净值数据(iFinD）'!$B$20:$Y$20)*(1-实盘持仓初始配置!$Z$6)^(('实盘净值数据(iFinD）'!$A618-'实盘净值数据(iFinD）'!$A$7)/365))</f>
        <v/>
      </c>
      <c r="I618" s="16" t="str">
        <f t="shared" si="56"/>
        <v/>
      </c>
      <c r="J618" s="16" t="str">
        <f>IF(H618="","",H618/MAX(H$5:H618)-1)</f>
        <v/>
      </c>
      <c r="K618" s="13" t="str">
        <f>IF(OR('实盘净值数据(iFinD）'!$A618="",'实盘净值数据(iFinD）'!$B618="",'实盘净值数据(iFinD）'!$Z618="",'实盘净值数据(iFinD）'!$AA618=""),"",分期持仓明细!$AB$23*(SUMPRODUCT(分期持仓明细!$B$23:$Y$23,'实盘净值数据(iFinD）'!$B618:$Y618/'实盘净值数据(iFinD）'!$B$65:$Y$65)+SUMPRODUCT(分期持仓明细!$AC$23:$AD$23,'实盘净值数据(iFinD）'!$Z618:$AA618/'实盘净值数据(iFinD）'!$Z$65:$AA$65))*(1-实盘持仓初始配置!$Z$7)^(('实盘净值数据(iFinD）'!$A618-'实盘净值数据(iFinD）'!$A$8)/365))</f>
        <v/>
      </c>
      <c r="L618" s="16" t="str">
        <f t="shared" si="57"/>
        <v/>
      </c>
      <c r="M618" s="16" t="str">
        <f>IF(K618="","",K618/MAX(K$5:K618)-1)</f>
        <v/>
      </c>
      <c r="N618" s="13" t="str">
        <f>IF(OR('实盘净值数据(iFinD）'!$A618="",'实盘净值数据(iFinD）'!$B618="",'实盘净值数据(iFinD）'!$Z618="",'实盘净值数据(iFinD）'!$AA618=""),"",分期持仓明细!$AB$24*(SUMPRODUCT(分期持仓明细!$B$24:$Y$24,'实盘净值数据(iFinD）'!$B618:$Y618/'实盘净值数据(iFinD）'!$B$65:$Y$65)+SUMPRODUCT(分期持仓明细!$AC$24:$AD$24,'实盘净值数据(iFinD）'!$Z618:$AA618/'实盘净值数据(iFinD）'!$Z$65:$AA$65))*(1-实盘持仓初始配置!$Z$8)^(('实盘净值数据(iFinD）'!$A618-'实盘净值数据(iFinD）'!$A$5)/365))</f>
        <v/>
      </c>
      <c r="O618" s="16" t="str">
        <f t="shared" si="58"/>
        <v/>
      </c>
      <c r="P618" s="16" t="str">
        <f>IF(N618="","",N618/MAX(N$5:N618)-1)</f>
        <v/>
      </c>
      <c r="Q618" s="13" t="str">
        <f>IF(OR('实盘净值数据(iFinD）'!$A618="",'实盘净值数据(iFinD）'!$B618="",'实盘净值数据(iFinD）'!$Z618="",'实盘净值数据(iFinD）'!$AA618=""),"",分期持仓明细!$AB$25*(SUMPRODUCT(分期持仓明细!$B$25:$Y$25,'实盘净值数据(iFinD）'!$B618:$Y618/'实盘净值数据(iFinD）'!$B$65:$Y$65)+SUMPRODUCT(分期持仓明细!$AC$25:$AD$25,'实盘净值数据(iFinD）'!$Z618:$AA618/'实盘净值数据(iFinD）'!$Z$65:$AA$65))*(1-实盘持仓初始配置!$Z$9)^(('实盘净值数据(iFinD）'!$A618-'实盘净值数据(iFinD）'!$A$8)/365))</f>
        <v/>
      </c>
      <c r="R618" s="16" t="str">
        <f t="shared" si="59"/>
        <v/>
      </c>
      <c r="S618" s="16" t="str">
        <f>IF(Q618="","",Q618/MAX(Q$5:Q618)-1)</f>
        <v/>
      </c>
    </row>
    <row r="619" spans="1:19">
      <c r="A619" s="15" t="str">
        <f>IF('实盘净值数据(iFinD）'!A619="","",'实盘净值数据(iFinD）'!A619)</f>
        <v/>
      </c>
      <c r="B619" s="13" t="str">
        <f>IF(OR('实盘净值数据(iFinD）'!$A619="",'实盘净值数据(iFinD）'!$B619=""),"",分期持仓明细!$AB$17*SUMPRODUCT(分期持仓明细!$B$17:$Y$17,'实盘净值数据(iFinD）'!$B619:$Y619/'实盘净值数据(iFinD）'!$B$20:$Y$20)*(1-实盘持仓初始配置!$Z$4)^(('实盘净值数据(iFinD）'!$A619-'实盘净值数据(iFinD）'!$A$6)/365))</f>
        <v/>
      </c>
      <c r="C619" s="16" t="str">
        <f t="shared" si="54"/>
        <v/>
      </c>
      <c r="D619" s="16" t="str">
        <f>IF(B619="","",B619/MAX(B$5:B619)-1)</f>
        <v/>
      </c>
      <c r="E619" s="13" t="str">
        <f>IF(OR('实盘净值数据(iFinD）'!$A619="",'实盘净值数据(iFinD）'!$B619=""),"",分期持仓明细!$AB$18*SUMPRODUCT(分期持仓明细!$B$18:$Y$18,'实盘净值数据(iFinD）'!$B619:$Y619/'实盘净值数据(iFinD）'!$B$20:$Y$20)*(1-实盘持仓初始配置!$Z$5)^(('实盘净值数据(iFinD）'!$A619-'实盘净值数据(iFinD）'!$A$5)/365))</f>
        <v/>
      </c>
      <c r="F619" s="16" t="str">
        <f t="shared" si="55"/>
        <v/>
      </c>
      <c r="G619" s="16" t="str">
        <f>IF(E619="","",E619/MAX(E$5:E619)-1)</f>
        <v/>
      </c>
      <c r="H619" s="13" t="str">
        <f>IF(OR('实盘净值数据(iFinD）'!$A619="",'实盘净值数据(iFinD）'!$B619=""),"",分期持仓明细!$AB$19*SUMPRODUCT(分期持仓明细!$B$19:$Y$19,'实盘净值数据(iFinD）'!$B619:$Y619/'实盘净值数据(iFinD）'!$B$20:$Y$20)*(1-实盘持仓初始配置!$Z$6)^(('实盘净值数据(iFinD）'!$A619-'实盘净值数据(iFinD）'!$A$7)/365))</f>
        <v/>
      </c>
      <c r="I619" s="16" t="str">
        <f t="shared" si="56"/>
        <v/>
      </c>
      <c r="J619" s="16" t="str">
        <f>IF(H619="","",H619/MAX(H$5:H619)-1)</f>
        <v/>
      </c>
      <c r="K619" s="13" t="str">
        <f>IF(OR('实盘净值数据(iFinD）'!$A619="",'实盘净值数据(iFinD）'!$B619="",'实盘净值数据(iFinD）'!$Z619="",'实盘净值数据(iFinD）'!$AA619=""),"",分期持仓明细!$AB$23*(SUMPRODUCT(分期持仓明细!$B$23:$Y$23,'实盘净值数据(iFinD）'!$B619:$Y619/'实盘净值数据(iFinD）'!$B$65:$Y$65)+SUMPRODUCT(分期持仓明细!$AC$23:$AD$23,'实盘净值数据(iFinD）'!$Z619:$AA619/'实盘净值数据(iFinD）'!$Z$65:$AA$65))*(1-实盘持仓初始配置!$Z$7)^(('实盘净值数据(iFinD）'!$A619-'实盘净值数据(iFinD）'!$A$8)/365))</f>
        <v/>
      </c>
      <c r="L619" s="16" t="str">
        <f t="shared" si="57"/>
        <v/>
      </c>
      <c r="M619" s="16" t="str">
        <f>IF(K619="","",K619/MAX(K$5:K619)-1)</f>
        <v/>
      </c>
      <c r="N619" s="13" t="str">
        <f>IF(OR('实盘净值数据(iFinD）'!$A619="",'实盘净值数据(iFinD）'!$B619="",'实盘净值数据(iFinD）'!$Z619="",'实盘净值数据(iFinD）'!$AA619=""),"",分期持仓明细!$AB$24*(SUMPRODUCT(分期持仓明细!$B$24:$Y$24,'实盘净值数据(iFinD）'!$B619:$Y619/'实盘净值数据(iFinD）'!$B$65:$Y$65)+SUMPRODUCT(分期持仓明细!$AC$24:$AD$24,'实盘净值数据(iFinD）'!$Z619:$AA619/'实盘净值数据(iFinD）'!$Z$65:$AA$65))*(1-实盘持仓初始配置!$Z$8)^(('实盘净值数据(iFinD）'!$A619-'实盘净值数据(iFinD）'!$A$5)/365))</f>
        <v/>
      </c>
      <c r="O619" s="16" t="str">
        <f t="shared" si="58"/>
        <v/>
      </c>
      <c r="P619" s="16" t="str">
        <f>IF(N619="","",N619/MAX(N$5:N619)-1)</f>
        <v/>
      </c>
      <c r="Q619" s="13" t="str">
        <f>IF(OR('实盘净值数据(iFinD）'!$A619="",'实盘净值数据(iFinD）'!$B619="",'实盘净值数据(iFinD）'!$Z619="",'实盘净值数据(iFinD）'!$AA619=""),"",分期持仓明细!$AB$25*(SUMPRODUCT(分期持仓明细!$B$25:$Y$25,'实盘净值数据(iFinD）'!$B619:$Y619/'实盘净值数据(iFinD）'!$B$65:$Y$65)+SUMPRODUCT(分期持仓明细!$AC$25:$AD$25,'实盘净值数据(iFinD）'!$Z619:$AA619/'实盘净值数据(iFinD）'!$Z$65:$AA$65))*(1-实盘持仓初始配置!$Z$9)^(('实盘净值数据(iFinD）'!$A619-'实盘净值数据(iFinD）'!$A$8)/365))</f>
        <v/>
      </c>
      <c r="R619" s="16" t="str">
        <f t="shared" si="59"/>
        <v/>
      </c>
      <c r="S619" s="16" t="str">
        <f>IF(Q619="","",Q619/MAX(Q$5:Q619)-1)</f>
        <v/>
      </c>
    </row>
    <row r="620" spans="1:19">
      <c r="A620" s="15" t="str">
        <f>IF('实盘净值数据(iFinD）'!A620="","",'实盘净值数据(iFinD）'!A620)</f>
        <v/>
      </c>
      <c r="B620" s="13" t="str">
        <f>IF(OR('实盘净值数据(iFinD）'!$A620="",'实盘净值数据(iFinD）'!$B620=""),"",分期持仓明细!$AB$17*SUMPRODUCT(分期持仓明细!$B$17:$Y$17,'实盘净值数据(iFinD）'!$B620:$Y620/'实盘净值数据(iFinD）'!$B$20:$Y$20)*(1-实盘持仓初始配置!$Z$4)^(('实盘净值数据(iFinD）'!$A620-'实盘净值数据(iFinD）'!$A$6)/365))</f>
        <v/>
      </c>
      <c r="C620" s="16" t="str">
        <f t="shared" si="54"/>
        <v/>
      </c>
      <c r="D620" s="16" t="str">
        <f>IF(B620="","",B620/MAX(B$5:B620)-1)</f>
        <v/>
      </c>
      <c r="E620" s="13" t="str">
        <f>IF(OR('实盘净值数据(iFinD）'!$A620="",'实盘净值数据(iFinD）'!$B620=""),"",分期持仓明细!$AB$18*SUMPRODUCT(分期持仓明细!$B$18:$Y$18,'实盘净值数据(iFinD）'!$B620:$Y620/'实盘净值数据(iFinD）'!$B$20:$Y$20)*(1-实盘持仓初始配置!$Z$5)^(('实盘净值数据(iFinD）'!$A620-'实盘净值数据(iFinD）'!$A$5)/365))</f>
        <v/>
      </c>
      <c r="F620" s="16" t="str">
        <f t="shared" si="55"/>
        <v/>
      </c>
      <c r="G620" s="16" t="str">
        <f>IF(E620="","",E620/MAX(E$5:E620)-1)</f>
        <v/>
      </c>
      <c r="H620" s="13" t="str">
        <f>IF(OR('实盘净值数据(iFinD）'!$A620="",'实盘净值数据(iFinD）'!$B620=""),"",分期持仓明细!$AB$19*SUMPRODUCT(分期持仓明细!$B$19:$Y$19,'实盘净值数据(iFinD）'!$B620:$Y620/'实盘净值数据(iFinD）'!$B$20:$Y$20)*(1-实盘持仓初始配置!$Z$6)^(('实盘净值数据(iFinD）'!$A620-'实盘净值数据(iFinD）'!$A$7)/365))</f>
        <v/>
      </c>
      <c r="I620" s="16" t="str">
        <f t="shared" si="56"/>
        <v/>
      </c>
      <c r="J620" s="16" t="str">
        <f>IF(H620="","",H620/MAX(H$5:H620)-1)</f>
        <v/>
      </c>
      <c r="K620" s="13" t="str">
        <f>IF(OR('实盘净值数据(iFinD）'!$A620="",'实盘净值数据(iFinD）'!$B620="",'实盘净值数据(iFinD）'!$Z620="",'实盘净值数据(iFinD）'!$AA620=""),"",分期持仓明细!$AB$23*(SUMPRODUCT(分期持仓明细!$B$23:$Y$23,'实盘净值数据(iFinD）'!$B620:$Y620/'实盘净值数据(iFinD）'!$B$65:$Y$65)+SUMPRODUCT(分期持仓明细!$AC$23:$AD$23,'实盘净值数据(iFinD）'!$Z620:$AA620/'实盘净值数据(iFinD）'!$Z$65:$AA$65))*(1-实盘持仓初始配置!$Z$7)^(('实盘净值数据(iFinD）'!$A620-'实盘净值数据(iFinD）'!$A$8)/365))</f>
        <v/>
      </c>
      <c r="L620" s="16" t="str">
        <f t="shared" si="57"/>
        <v/>
      </c>
      <c r="M620" s="16" t="str">
        <f>IF(K620="","",K620/MAX(K$5:K620)-1)</f>
        <v/>
      </c>
      <c r="N620" s="13" t="str">
        <f>IF(OR('实盘净值数据(iFinD）'!$A620="",'实盘净值数据(iFinD）'!$B620="",'实盘净值数据(iFinD）'!$Z620="",'实盘净值数据(iFinD）'!$AA620=""),"",分期持仓明细!$AB$24*(SUMPRODUCT(分期持仓明细!$B$24:$Y$24,'实盘净值数据(iFinD）'!$B620:$Y620/'实盘净值数据(iFinD）'!$B$65:$Y$65)+SUMPRODUCT(分期持仓明细!$AC$24:$AD$24,'实盘净值数据(iFinD）'!$Z620:$AA620/'实盘净值数据(iFinD）'!$Z$65:$AA$65))*(1-实盘持仓初始配置!$Z$8)^(('实盘净值数据(iFinD）'!$A620-'实盘净值数据(iFinD）'!$A$5)/365))</f>
        <v/>
      </c>
      <c r="O620" s="16" t="str">
        <f t="shared" si="58"/>
        <v/>
      </c>
      <c r="P620" s="16" t="str">
        <f>IF(N620="","",N620/MAX(N$5:N620)-1)</f>
        <v/>
      </c>
      <c r="Q620" s="13" t="str">
        <f>IF(OR('实盘净值数据(iFinD）'!$A620="",'实盘净值数据(iFinD）'!$B620="",'实盘净值数据(iFinD）'!$Z620="",'实盘净值数据(iFinD）'!$AA620=""),"",分期持仓明细!$AB$25*(SUMPRODUCT(分期持仓明细!$B$25:$Y$25,'实盘净值数据(iFinD）'!$B620:$Y620/'实盘净值数据(iFinD）'!$B$65:$Y$65)+SUMPRODUCT(分期持仓明细!$AC$25:$AD$25,'实盘净值数据(iFinD）'!$Z620:$AA620/'实盘净值数据(iFinD）'!$Z$65:$AA$65))*(1-实盘持仓初始配置!$Z$9)^(('实盘净值数据(iFinD）'!$A620-'实盘净值数据(iFinD）'!$A$8)/365))</f>
        <v/>
      </c>
      <c r="R620" s="16" t="str">
        <f t="shared" si="59"/>
        <v/>
      </c>
      <c r="S620" s="16" t="str">
        <f>IF(Q620="","",Q620/MAX(Q$5:Q620)-1)</f>
        <v/>
      </c>
    </row>
    <row r="621" spans="1:19">
      <c r="A621" s="15" t="str">
        <f>IF('实盘净值数据(iFinD）'!A621="","",'实盘净值数据(iFinD）'!A621)</f>
        <v/>
      </c>
      <c r="B621" s="13" t="str">
        <f>IF(OR('实盘净值数据(iFinD）'!$A621="",'实盘净值数据(iFinD）'!$B621=""),"",分期持仓明细!$AB$17*SUMPRODUCT(分期持仓明细!$B$17:$Y$17,'实盘净值数据(iFinD）'!$B621:$Y621/'实盘净值数据(iFinD）'!$B$20:$Y$20)*(1-实盘持仓初始配置!$Z$4)^(('实盘净值数据(iFinD）'!$A621-'实盘净值数据(iFinD）'!$A$6)/365))</f>
        <v/>
      </c>
      <c r="C621" s="16" t="str">
        <f t="shared" si="54"/>
        <v/>
      </c>
      <c r="D621" s="16" t="str">
        <f>IF(B621="","",B621/MAX(B$5:B621)-1)</f>
        <v/>
      </c>
      <c r="E621" s="13" t="str">
        <f>IF(OR('实盘净值数据(iFinD）'!$A621="",'实盘净值数据(iFinD）'!$B621=""),"",分期持仓明细!$AB$18*SUMPRODUCT(分期持仓明细!$B$18:$Y$18,'实盘净值数据(iFinD）'!$B621:$Y621/'实盘净值数据(iFinD）'!$B$20:$Y$20)*(1-实盘持仓初始配置!$Z$5)^(('实盘净值数据(iFinD）'!$A621-'实盘净值数据(iFinD）'!$A$5)/365))</f>
        <v/>
      </c>
      <c r="F621" s="16" t="str">
        <f t="shared" si="55"/>
        <v/>
      </c>
      <c r="G621" s="16" t="str">
        <f>IF(E621="","",E621/MAX(E$5:E621)-1)</f>
        <v/>
      </c>
      <c r="H621" s="13" t="str">
        <f>IF(OR('实盘净值数据(iFinD）'!$A621="",'实盘净值数据(iFinD）'!$B621=""),"",分期持仓明细!$AB$19*SUMPRODUCT(分期持仓明细!$B$19:$Y$19,'实盘净值数据(iFinD）'!$B621:$Y621/'实盘净值数据(iFinD）'!$B$20:$Y$20)*(1-实盘持仓初始配置!$Z$6)^(('实盘净值数据(iFinD）'!$A621-'实盘净值数据(iFinD）'!$A$7)/365))</f>
        <v/>
      </c>
      <c r="I621" s="16" t="str">
        <f t="shared" si="56"/>
        <v/>
      </c>
      <c r="J621" s="16" t="str">
        <f>IF(H621="","",H621/MAX(H$5:H621)-1)</f>
        <v/>
      </c>
      <c r="K621" s="13" t="str">
        <f>IF(OR('实盘净值数据(iFinD）'!$A621="",'实盘净值数据(iFinD）'!$B621="",'实盘净值数据(iFinD）'!$Z621="",'实盘净值数据(iFinD）'!$AA621=""),"",分期持仓明细!$AB$23*(SUMPRODUCT(分期持仓明细!$B$23:$Y$23,'实盘净值数据(iFinD）'!$B621:$Y621/'实盘净值数据(iFinD）'!$B$65:$Y$65)+SUMPRODUCT(分期持仓明细!$AC$23:$AD$23,'实盘净值数据(iFinD）'!$Z621:$AA621/'实盘净值数据(iFinD）'!$Z$65:$AA$65))*(1-实盘持仓初始配置!$Z$7)^(('实盘净值数据(iFinD）'!$A621-'实盘净值数据(iFinD）'!$A$8)/365))</f>
        <v/>
      </c>
      <c r="L621" s="16" t="str">
        <f t="shared" si="57"/>
        <v/>
      </c>
      <c r="M621" s="16" t="str">
        <f>IF(K621="","",K621/MAX(K$5:K621)-1)</f>
        <v/>
      </c>
      <c r="N621" s="13" t="str">
        <f>IF(OR('实盘净值数据(iFinD）'!$A621="",'实盘净值数据(iFinD）'!$B621="",'实盘净值数据(iFinD）'!$Z621="",'实盘净值数据(iFinD）'!$AA621=""),"",分期持仓明细!$AB$24*(SUMPRODUCT(分期持仓明细!$B$24:$Y$24,'实盘净值数据(iFinD）'!$B621:$Y621/'实盘净值数据(iFinD）'!$B$65:$Y$65)+SUMPRODUCT(分期持仓明细!$AC$24:$AD$24,'实盘净值数据(iFinD）'!$Z621:$AA621/'实盘净值数据(iFinD）'!$Z$65:$AA$65))*(1-实盘持仓初始配置!$Z$8)^(('实盘净值数据(iFinD）'!$A621-'实盘净值数据(iFinD）'!$A$5)/365))</f>
        <v/>
      </c>
      <c r="O621" s="16" t="str">
        <f t="shared" si="58"/>
        <v/>
      </c>
      <c r="P621" s="16" t="str">
        <f>IF(N621="","",N621/MAX(N$5:N621)-1)</f>
        <v/>
      </c>
      <c r="Q621" s="13" t="str">
        <f>IF(OR('实盘净值数据(iFinD）'!$A621="",'实盘净值数据(iFinD）'!$B621="",'实盘净值数据(iFinD）'!$Z621="",'实盘净值数据(iFinD）'!$AA621=""),"",分期持仓明细!$AB$25*(SUMPRODUCT(分期持仓明细!$B$25:$Y$25,'实盘净值数据(iFinD）'!$B621:$Y621/'实盘净值数据(iFinD）'!$B$65:$Y$65)+SUMPRODUCT(分期持仓明细!$AC$25:$AD$25,'实盘净值数据(iFinD）'!$Z621:$AA621/'实盘净值数据(iFinD）'!$Z$65:$AA$65))*(1-实盘持仓初始配置!$Z$9)^(('实盘净值数据(iFinD）'!$A621-'实盘净值数据(iFinD）'!$A$8)/365))</f>
        <v/>
      </c>
      <c r="R621" s="16" t="str">
        <f t="shared" si="59"/>
        <v/>
      </c>
      <c r="S621" s="16" t="str">
        <f>IF(Q621="","",Q621/MAX(Q$5:Q621)-1)</f>
        <v/>
      </c>
    </row>
    <row r="622" spans="1:19">
      <c r="A622" s="15" t="str">
        <f>IF('实盘净值数据(iFinD）'!A622="","",'实盘净值数据(iFinD）'!A622)</f>
        <v/>
      </c>
      <c r="B622" s="13" t="str">
        <f>IF(OR('实盘净值数据(iFinD）'!$A622="",'实盘净值数据(iFinD）'!$B622=""),"",分期持仓明细!$AB$17*SUMPRODUCT(分期持仓明细!$B$17:$Y$17,'实盘净值数据(iFinD）'!$B622:$Y622/'实盘净值数据(iFinD）'!$B$20:$Y$20)*(1-实盘持仓初始配置!$Z$4)^(('实盘净值数据(iFinD）'!$A622-'实盘净值数据(iFinD）'!$A$6)/365))</f>
        <v/>
      </c>
      <c r="C622" s="16" t="str">
        <f t="shared" si="54"/>
        <v/>
      </c>
      <c r="D622" s="16" t="str">
        <f>IF(B622="","",B622/MAX(B$5:B622)-1)</f>
        <v/>
      </c>
      <c r="E622" s="13" t="str">
        <f>IF(OR('实盘净值数据(iFinD）'!$A622="",'实盘净值数据(iFinD）'!$B622=""),"",分期持仓明细!$AB$18*SUMPRODUCT(分期持仓明细!$B$18:$Y$18,'实盘净值数据(iFinD）'!$B622:$Y622/'实盘净值数据(iFinD）'!$B$20:$Y$20)*(1-实盘持仓初始配置!$Z$5)^(('实盘净值数据(iFinD）'!$A622-'实盘净值数据(iFinD）'!$A$5)/365))</f>
        <v/>
      </c>
      <c r="F622" s="16" t="str">
        <f t="shared" si="55"/>
        <v/>
      </c>
      <c r="G622" s="16" t="str">
        <f>IF(E622="","",E622/MAX(E$5:E622)-1)</f>
        <v/>
      </c>
      <c r="H622" s="13" t="str">
        <f>IF(OR('实盘净值数据(iFinD）'!$A622="",'实盘净值数据(iFinD）'!$B622=""),"",分期持仓明细!$AB$19*SUMPRODUCT(分期持仓明细!$B$19:$Y$19,'实盘净值数据(iFinD）'!$B622:$Y622/'实盘净值数据(iFinD）'!$B$20:$Y$20)*(1-实盘持仓初始配置!$Z$6)^(('实盘净值数据(iFinD）'!$A622-'实盘净值数据(iFinD）'!$A$7)/365))</f>
        <v/>
      </c>
      <c r="I622" s="16" t="str">
        <f t="shared" si="56"/>
        <v/>
      </c>
      <c r="J622" s="16" t="str">
        <f>IF(H622="","",H622/MAX(H$5:H622)-1)</f>
        <v/>
      </c>
      <c r="K622" s="13" t="str">
        <f>IF(OR('实盘净值数据(iFinD）'!$A622="",'实盘净值数据(iFinD）'!$B622="",'实盘净值数据(iFinD）'!$Z622="",'实盘净值数据(iFinD）'!$AA622=""),"",分期持仓明细!$AB$23*(SUMPRODUCT(分期持仓明细!$B$23:$Y$23,'实盘净值数据(iFinD）'!$B622:$Y622/'实盘净值数据(iFinD）'!$B$65:$Y$65)+SUMPRODUCT(分期持仓明细!$AC$23:$AD$23,'实盘净值数据(iFinD）'!$Z622:$AA622/'实盘净值数据(iFinD）'!$Z$65:$AA$65))*(1-实盘持仓初始配置!$Z$7)^(('实盘净值数据(iFinD）'!$A622-'实盘净值数据(iFinD）'!$A$8)/365))</f>
        <v/>
      </c>
      <c r="L622" s="16" t="str">
        <f t="shared" si="57"/>
        <v/>
      </c>
      <c r="M622" s="16" t="str">
        <f>IF(K622="","",K622/MAX(K$5:K622)-1)</f>
        <v/>
      </c>
      <c r="N622" s="13" t="str">
        <f>IF(OR('实盘净值数据(iFinD）'!$A622="",'实盘净值数据(iFinD）'!$B622="",'实盘净值数据(iFinD）'!$Z622="",'实盘净值数据(iFinD）'!$AA622=""),"",分期持仓明细!$AB$24*(SUMPRODUCT(分期持仓明细!$B$24:$Y$24,'实盘净值数据(iFinD）'!$B622:$Y622/'实盘净值数据(iFinD）'!$B$65:$Y$65)+SUMPRODUCT(分期持仓明细!$AC$24:$AD$24,'实盘净值数据(iFinD）'!$Z622:$AA622/'实盘净值数据(iFinD）'!$Z$65:$AA$65))*(1-实盘持仓初始配置!$Z$8)^(('实盘净值数据(iFinD）'!$A622-'实盘净值数据(iFinD）'!$A$5)/365))</f>
        <v/>
      </c>
      <c r="O622" s="16" t="str">
        <f t="shared" si="58"/>
        <v/>
      </c>
      <c r="P622" s="16" t="str">
        <f>IF(N622="","",N622/MAX(N$5:N622)-1)</f>
        <v/>
      </c>
      <c r="Q622" s="13" t="str">
        <f>IF(OR('实盘净值数据(iFinD）'!$A622="",'实盘净值数据(iFinD）'!$B622="",'实盘净值数据(iFinD）'!$Z622="",'实盘净值数据(iFinD）'!$AA622=""),"",分期持仓明细!$AB$25*(SUMPRODUCT(分期持仓明细!$B$25:$Y$25,'实盘净值数据(iFinD）'!$B622:$Y622/'实盘净值数据(iFinD）'!$B$65:$Y$65)+SUMPRODUCT(分期持仓明细!$AC$25:$AD$25,'实盘净值数据(iFinD）'!$Z622:$AA622/'实盘净值数据(iFinD）'!$Z$65:$AA$65))*(1-实盘持仓初始配置!$Z$9)^(('实盘净值数据(iFinD）'!$A622-'实盘净值数据(iFinD）'!$A$8)/365))</f>
        <v/>
      </c>
      <c r="R622" s="16" t="str">
        <f t="shared" si="59"/>
        <v/>
      </c>
      <c r="S622" s="16" t="str">
        <f>IF(Q622="","",Q622/MAX(Q$5:Q622)-1)</f>
        <v/>
      </c>
    </row>
    <row r="623" spans="1:19">
      <c r="A623" s="15" t="str">
        <f>IF('实盘净值数据(iFinD）'!A623="","",'实盘净值数据(iFinD）'!A623)</f>
        <v/>
      </c>
      <c r="B623" s="13" t="str">
        <f>IF(OR('实盘净值数据(iFinD）'!$A623="",'实盘净值数据(iFinD）'!$B623=""),"",分期持仓明细!$AB$17*SUMPRODUCT(分期持仓明细!$B$17:$Y$17,'实盘净值数据(iFinD）'!$B623:$Y623/'实盘净值数据(iFinD）'!$B$20:$Y$20)*(1-实盘持仓初始配置!$Z$4)^(('实盘净值数据(iFinD）'!$A623-'实盘净值数据(iFinD）'!$A$6)/365))</f>
        <v/>
      </c>
      <c r="C623" s="16" t="str">
        <f t="shared" si="54"/>
        <v/>
      </c>
      <c r="D623" s="16" t="str">
        <f>IF(B623="","",B623/MAX(B$5:B623)-1)</f>
        <v/>
      </c>
      <c r="E623" s="13" t="str">
        <f>IF(OR('实盘净值数据(iFinD）'!$A623="",'实盘净值数据(iFinD）'!$B623=""),"",分期持仓明细!$AB$18*SUMPRODUCT(分期持仓明细!$B$18:$Y$18,'实盘净值数据(iFinD）'!$B623:$Y623/'实盘净值数据(iFinD）'!$B$20:$Y$20)*(1-实盘持仓初始配置!$Z$5)^(('实盘净值数据(iFinD）'!$A623-'实盘净值数据(iFinD）'!$A$5)/365))</f>
        <v/>
      </c>
      <c r="F623" s="16" t="str">
        <f t="shared" si="55"/>
        <v/>
      </c>
      <c r="G623" s="16" t="str">
        <f>IF(E623="","",E623/MAX(E$5:E623)-1)</f>
        <v/>
      </c>
      <c r="H623" s="13" t="str">
        <f>IF(OR('实盘净值数据(iFinD）'!$A623="",'实盘净值数据(iFinD）'!$B623=""),"",分期持仓明细!$AB$19*SUMPRODUCT(分期持仓明细!$B$19:$Y$19,'实盘净值数据(iFinD）'!$B623:$Y623/'实盘净值数据(iFinD）'!$B$20:$Y$20)*(1-实盘持仓初始配置!$Z$6)^(('实盘净值数据(iFinD）'!$A623-'实盘净值数据(iFinD）'!$A$7)/365))</f>
        <v/>
      </c>
      <c r="I623" s="16" t="str">
        <f t="shared" si="56"/>
        <v/>
      </c>
      <c r="J623" s="16" t="str">
        <f>IF(H623="","",H623/MAX(H$5:H623)-1)</f>
        <v/>
      </c>
      <c r="K623" s="13" t="str">
        <f>IF(OR('实盘净值数据(iFinD）'!$A623="",'实盘净值数据(iFinD）'!$B623="",'实盘净值数据(iFinD）'!$Z623="",'实盘净值数据(iFinD）'!$AA623=""),"",分期持仓明细!$AB$23*(SUMPRODUCT(分期持仓明细!$B$23:$Y$23,'实盘净值数据(iFinD）'!$B623:$Y623/'实盘净值数据(iFinD）'!$B$65:$Y$65)+SUMPRODUCT(分期持仓明细!$AC$23:$AD$23,'实盘净值数据(iFinD）'!$Z623:$AA623/'实盘净值数据(iFinD）'!$Z$65:$AA$65))*(1-实盘持仓初始配置!$Z$7)^(('实盘净值数据(iFinD）'!$A623-'实盘净值数据(iFinD）'!$A$8)/365))</f>
        <v/>
      </c>
      <c r="L623" s="16" t="str">
        <f t="shared" si="57"/>
        <v/>
      </c>
      <c r="M623" s="16" t="str">
        <f>IF(K623="","",K623/MAX(K$5:K623)-1)</f>
        <v/>
      </c>
      <c r="N623" s="13" t="str">
        <f>IF(OR('实盘净值数据(iFinD）'!$A623="",'实盘净值数据(iFinD）'!$B623="",'实盘净值数据(iFinD）'!$Z623="",'实盘净值数据(iFinD）'!$AA623=""),"",分期持仓明细!$AB$24*(SUMPRODUCT(分期持仓明细!$B$24:$Y$24,'实盘净值数据(iFinD）'!$B623:$Y623/'实盘净值数据(iFinD）'!$B$65:$Y$65)+SUMPRODUCT(分期持仓明细!$AC$24:$AD$24,'实盘净值数据(iFinD）'!$Z623:$AA623/'实盘净值数据(iFinD）'!$Z$65:$AA$65))*(1-实盘持仓初始配置!$Z$8)^(('实盘净值数据(iFinD）'!$A623-'实盘净值数据(iFinD）'!$A$5)/365))</f>
        <v/>
      </c>
      <c r="O623" s="16" t="str">
        <f t="shared" si="58"/>
        <v/>
      </c>
      <c r="P623" s="16" t="str">
        <f>IF(N623="","",N623/MAX(N$5:N623)-1)</f>
        <v/>
      </c>
      <c r="Q623" s="13" t="str">
        <f>IF(OR('实盘净值数据(iFinD）'!$A623="",'实盘净值数据(iFinD）'!$B623="",'实盘净值数据(iFinD）'!$Z623="",'实盘净值数据(iFinD）'!$AA623=""),"",分期持仓明细!$AB$25*(SUMPRODUCT(分期持仓明细!$B$25:$Y$25,'实盘净值数据(iFinD）'!$B623:$Y623/'实盘净值数据(iFinD）'!$B$65:$Y$65)+SUMPRODUCT(分期持仓明细!$AC$25:$AD$25,'实盘净值数据(iFinD）'!$Z623:$AA623/'实盘净值数据(iFinD）'!$Z$65:$AA$65))*(1-实盘持仓初始配置!$Z$9)^(('实盘净值数据(iFinD）'!$A623-'实盘净值数据(iFinD）'!$A$8)/365))</f>
        <v/>
      </c>
      <c r="R623" s="16" t="str">
        <f t="shared" si="59"/>
        <v/>
      </c>
      <c r="S623" s="16" t="str">
        <f>IF(Q623="","",Q623/MAX(Q$5:Q623)-1)</f>
        <v/>
      </c>
    </row>
    <row r="624" spans="1:19">
      <c r="A624" s="15" t="str">
        <f>IF('实盘净值数据(iFinD）'!A624="","",'实盘净值数据(iFinD）'!A624)</f>
        <v/>
      </c>
      <c r="B624" s="13" t="str">
        <f>IF(OR('实盘净值数据(iFinD）'!$A624="",'实盘净值数据(iFinD）'!$B624=""),"",分期持仓明细!$AB$17*SUMPRODUCT(分期持仓明细!$B$17:$Y$17,'实盘净值数据(iFinD）'!$B624:$Y624/'实盘净值数据(iFinD）'!$B$20:$Y$20)*(1-实盘持仓初始配置!$Z$4)^(('实盘净值数据(iFinD）'!$A624-'实盘净值数据(iFinD）'!$A$6)/365))</f>
        <v/>
      </c>
      <c r="C624" s="16" t="str">
        <f t="shared" si="54"/>
        <v/>
      </c>
      <c r="D624" s="16" t="str">
        <f>IF(B624="","",B624/MAX(B$5:B624)-1)</f>
        <v/>
      </c>
      <c r="E624" s="13" t="str">
        <f>IF(OR('实盘净值数据(iFinD）'!$A624="",'实盘净值数据(iFinD）'!$B624=""),"",分期持仓明细!$AB$18*SUMPRODUCT(分期持仓明细!$B$18:$Y$18,'实盘净值数据(iFinD）'!$B624:$Y624/'实盘净值数据(iFinD）'!$B$20:$Y$20)*(1-实盘持仓初始配置!$Z$5)^(('实盘净值数据(iFinD）'!$A624-'实盘净值数据(iFinD）'!$A$5)/365))</f>
        <v/>
      </c>
      <c r="F624" s="16" t="str">
        <f t="shared" si="55"/>
        <v/>
      </c>
      <c r="G624" s="16" t="str">
        <f>IF(E624="","",E624/MAX(E$5:E624)-1)</f>
        <v/>
      </c>
      <c r="H624" s="13" t="str">
        <f>IF(OR('实盘净值数据(iFinD）'!$A624="",'实盘净值数据(iFinD）'!$B624=""),"",分期持仓明细!$AB$19*SUMPRODUCT(分期持仓明细!$B$19:$Y$19,'实盘净值数据(iFinD）'!$B624:$Y624/'实盘净值数据(iFinD）'!$B$20:$Y$20)*(1-实盘持仓初始配置!$Z$6)^(('实盘净值数据(iFinD）'!$A624-'实盘净值数据(iFinD）'!$A$7)/365))</f>
        <v/>
      </c>
      <c r="I624" s="16" t="str">
        <f t="shared" si="56"/>
        <v/>
      </c>
      <c r="J624" s="16" t="str">
        <f>IF(H624="","",H624/MAX(H$5:H624)-1)</f>
        <v/>
      </c>
      <c r="K624" s="13" t="str">
        <f>IF(OR('实盘净值数据(iFinD）'!$A624="",'实盘净值数据(iFinD）'!$B624="",'实盘净值数据(iFinD）'!$Z624="",'实盘净值数据(iFinD）'!$AA624=""),"",分期持仓明细!$AB$23*(SUMPRODUCT(分期持仓明细!$B$23:$Y$23,'实盘净值数据(iFinD）'!$B624:$Y624/'实盘净值数据(iFinD）'!$B$65:$Y$65)+SUMPRODUCT(分期持仓明细!$AC$23:$AD$23,'实盘净值数据(iFinD）'!$Z624:$AA624/'实盘净值数据(iFinD）'!$Z$65:$AA$65))*(1-实盘持仓初始配置!$Z$7)^(('实盘净值数据(iFinD）'!$A624-'实盘净值数据(iFinD）'!$A$8)/365))</f>
        <v/>
      </c>
      <c r="L624" s="16" t="str">
        <f t="shared" si="57"/>
        <v/>
      </c>
      <c r="M624" s="16" t="str">
        <f>IF(K624="","",K624/MAX(K$5:K624)-1)</f>
        <v/>
      </c>
      <c r="N624" s="13" t="str">
        <f>IF(OR('实盘净值数据(iFinD）'!$A624="",'实盘净值数据(iFinD）'!$B624="",'实盘净值数据(iFinD）'!$Z624="",'实盘净值数据(iFinD）'!$AA624=""),"",分期持仓明细!$AB$24*(SUMPRODUCT(分期持仓明细!$B$24:$Y$24,'实盘净值数据(iFinD）'!$B624:$Y624/'实盘净值数据(iFinD）'!$B$65:$Y$65)+SUMPRODUCT(分期持仓明细!$AC$24:$AD$24,'实盘净值数据(iFinD）'!$Z624:$AA624/'实盘净值数据(iFinD）'!$Z$65:$AA$65))*(1-实盘持仓初始配置!$Z$8)^(('实盘净值数据(iFinD）'!$A624-'实盘净值数据(iFinD）'!$A$5)/365))</f>
        <v/>
      </c>
      <c r="O624" s="16" t="str">
        <f t="shared" si="58"/>
        <v/>
      </c>
      <c r="P624" s="16" t="str">
        <f>IF(N624="","",N624/MAX(N$5:N624)-1)</f>
        <v/>
      </c>
      <c r="Q624" s="13" t="str">
        <f>IF(OR('实盘净值数据(iFinD）'!$A624="",'实盘净值数据(iFinD）'!$B624="",'实盘净值数据(iFinD）'!$Z624="",'实盘净值数据(iFinD）'!$AA624=""),"",分期持仓明细!$AB$25*(SUMPRODUCT(分期持仓明细!$B$25:$Y$25,'实盘净值数据(iFinD）'!$B624:$Y624/'实盘净值数据(iFinD）'!$B$65:$Y$65)+SUMPRODUCT(分期持仓明细!$AC$25:$AD$25,'实盘净值数据(iFinD）'!$Z624:$AA624/'实盘净值数据(iFinD）'!$Z$65:$AA$65))*(1-实盘持仓初始配置!$Z$9)^(('实盘净值数据(iFinD）'!$A624-'实盘净值数据(iFinD）'!$A$8)/365))</f>
        <v/>
      </c>
      <c r="R624" s="16" t="str">
        <f t="shared" si="59"/>
        <v/>
      </c>
      <c r="S624" s="16" t="str">
        <f>IF(Q624="","",Q624/MAX(Q$5:Q624)-1)</f>
        <v/>
      </c>
    </row>
    <row r="625" spans="1:19">
      <c r="A625" s="15" t="str">
        <f>IF('实盘净值数据(iFinD）'!A625="","",'实盘净值数据(iFinD）'!A625)</f>
        <v/>
      </c>
      <c r="B625" s="13" t="str">
        <f>IF(OR('实盘净值数据(iFinD）'!$A625="",'实盘净值数据(iFinD）'!$B625=""),"",分期持仓明细!$AB$17*SUMPRODUCT(分期持仓明细!$B$17:$Y$17,'实盘净值数据(iFinD）'!$B625:$Y625/'实盘净值数据(iFinD）'!$B$20:$Y$20)*(1-实盘持仓初始配置!$Z$4)^(('实盘净值数据(iFinD）'!$A625-'实盘净值数据(iFinD）'!$A$6)/365))</f>
        <v/>
      </c>
      <c r="C625" s="16" t="str">
        <f t="shared" si="54"/>
        <v/>
      </c>
      <c r="D625" s="16" t="str">
        <f>IF(B625="","",B625/MAX(B$5:B625)-1)</f>
        <v/>
      </c>
      <c r="E625" s="13" t="str">
        <f>IF(OR('实盘净值数据(iFinD）'!$A625="",'实盘净值数据(iFinD）'!$B625=""),"",分期持仓明细!$AB$18*SUMPRODUCT(分期持仓明细!$B$18:$Y$18,'实盘净值数据(iFinD）'!$B625:$Y625/'实盘净值数据(iFinD）'!$B$20:$Y$20)*(1-实盘持仓初始配置!$Z$5)^(('实盘净值数据(iFinD）'!$A625-'实盘净值数据(iFinD）'!$A$5)/365))</f>
        <v/>
      </c>
      <c r="F625" s="16" t="str">
        <f t="shared" si="55"/>
        <v/>
      </c>
      <c r="G625" s="16" t="str">
        <f>IF(E625="","",E625/MAX(E$5:E625)-1)</f>
        <v/>
      </c>
      <c r="H625" s="13" t="str">
        <f>IF(OR('实盘净值数据(iFinD）'!$A625="",'实盘净值数据(iFinD）'!$B625=""),"",分期持仓明细!$AB$19*SUMPRODUCT(分期持仓明细!$B$19:$Y$19,'实盘净值数据(iFinD）'!$B625:$Y625/'实盘净值数据(iFinD）'!$B$20:$Y$20)*(1-实盘持仓初始配置!$Z$6)^(('实盘净值数据(iFinD）'!$A625-'实盘净值数据(iFinD）'!$A$7)/365))</f>
        <v/>
      </c>
      <c r="I625" s="16" t="str">
        <f t="shared" si="56"/>
        <v/>
      </c>
      <c r="J625" s="16" t="str">
        <f>IF(H625="","",H625/MAX(H$5:H625)-1)</f>
        <v/>
      </c>
      <c r="K625" s="13" t="str">
        <f>IF(OR('实盘净值数据(iFinD）'!$A625="",'实盘净值数据(iFinD）'!$B625="",'实盘净值数据(iFinD）'!$Z625="",'实盘净值数据(iFinD）'!$AA625=""),"",分期持仓明细!$AB$23*(SUMPRODUCT(分期持仓明细!$B$23:$Y$23,'实盘净值数据(iFinD）'!$B625:$Y625/'实盘净值数据(iFinD）'!$B$65:$Y$65)+SUMPRODUCT(分期持仓明细!$AC$23:$AD$23,'实盘净值数据(iFinD）'!$Z625:$AA625/'实盘净值数据(iFinD）'!$Z$65:$AA$65))*(1-实盘持仓初始配置!$Z$7)^(('实盘净值数据(iFinD）'!$A625-'实盘净值数据(iFinD）'!$A$8)/365))</f>
        <v/>
      </c>
      <c r="L625" s="16" t="str">
        <f t="shared" si="57"/>
        <v/>
      </c>
      <c r="M625" s="16" t="str">
        <f>IF(K625="","",K625/MAX(K$5:K625)-1)</f>
        <v/>
      </c>
      <c r="N625" s="13" t="str">
        <f>IF(OR('实盘净值数据(iFinD）'!$A625="",'实盘净值数据(iFinD）'!$B625="",'实盘净值数据(iFinD）'!$Z625="",'实盘净值数据(iFinD）'!$AA625=""),"",分期持仓明细!$AB$24*(SUMPRODUCT(分期持仓明细!$B$24:$Y$24,'实盘净值数据(iFinD）'!$B625:$Y625/'实盘净值数据(iFinD）'!$B$65:$Y$65)+SUMPRODUCT(分期持仓明细!$AC$24:$AD$24,'实盘净值数据(iFinD）'!$Z625:$AA625/'实盘净值数据(iFinD）'!$Z$65:$AA$65))*(1-实盘持仓初始配置!$Z$8)^(('实盘净值数据(iFinD）'!$A625-'实盘净值数据(iFinD）'!$A$5)/365))</f>
        <v/>
      </c>
      <c r="O625" s="16" t="str">
        <f t="shared" si="58"/>
        <v/>
      </c>
      <c r="P625" s="16" t="str">
        <f>IF(N625="","",N625/MAX(N$5:N625)-1)</f>
        <v/>
      </c>
      <c r="Q625" s="13" t="str">
        <f>IF(OR('实盘净值数据(iFinD）'!$A625="",'实盘净值数据(iFinD）'!$B625="",'实盘净值数据(iFinD）'!$Z625="",'实盘净值数据(iFinD）'!$AA625=""),"",分期持仓明细!$AB$25*(SUMPRODUCT(分期持仓明细!$B$25:$Y$25,'实盘净值数据(iFinD）'!$B625:$Y625/'实盘净值数据(iFinD）'!$B$65:$Y$65)+SUMPRODUCT(分期持仓明细!$AC$25:$AD$25,'实盘净值数据(iFinD）'!$Z625:$AA625/'实盘净值数据(iFinD）'!$Z$65:$AA$65))*(1-实盘持仓初始配置!$Z$9)^(('实盘净值数据(iFinD）'!$A625-'实盘净值数据(iFinD）'!$A$8)/365))</f>
        <v/>
      </c>
      <c r="R625" s="16" t="str">
        <f t="shared" si="59"/>
        <v/>
      </c>
      <c r="S625" s="16" t="str">
        <f>IF(Q625="","",Q625/MAX(Q$5:Q625)-1)</f>
        <v/>
      </c>
    </row>
    <row r="626" spans="1:19">
      <c r="A626" s="15" t="str">
        <f>IF('实盘净值数据(iFinD）'!A626="","",'实盘净值数据(iFinD）'!A626)</f>
        <v/>
      </c>
      <c r="B626" s="13" t="str">
        <f>IF(OR('实盘净值数据(iFinD）'!$A626="",'实盘净值数据(iFinD）'!$B626=""),"",分期持仓明细!$AB$17*SUMPRODUCT(分期持仓明细!$B$17:$Y$17,'实盘净值数据(iFinD）'!$B626:$Y626/'实盘净值数据(iFinD）'!$B$20:$Y$20)*(1-实盘持仓初始配置!$Z$4)^(('实盘净值数据(iFinD）'!$A626-'实盘净值数据(iFinD）'!$A$6)/365))</f>
        <v/>
      </c>
      <c r="C626" s="16" t="str">
        <f t="shared" si="54"/>
        <v/>
      </c>
      <c r="D626" s="16" t="str">
        <f>IF(B626="","",B626/MAX(B$5:B626)-1)</f>
        <v/>
      </c>
      <c r="E626" s="13" t="str">
        <f>IF(OR('实盘净值数据(iFinD）'!$A626="",'实盘净值数据(iFinD）'!$B626=""),"",分期持仓明细!$AB$18*SUMPRODUCT(分期持仓明细!$B$18:$Y$18,'实盘净值数据(iFinD）'!$B626:$Y626/'实盘净值数据(iFinD）'!$B$20:$Y$20)*(1-实盘持仓初始配置!$Z$5)^(('实盘净值数据(iFinD）'!$A626-'实盘净值数据(iFinD）'!$A$5)/365))</f>
        <v/>
      </c>
      <c r="F626" s="16" t="str">
        <f t="shared" si="55"/>
        <v/>
      </c>
      <c r="G626" s="16" t="str">
        <f>IF(E626="","",E626/MAX(E$5:E626)-1)</f>
        <v/>
      </c>
      <c r="H626" s="13" t="str">
        <f>IF(OR('实盘净值数据(iFinD）'!$A626="",'实盘净值数据(iFinD）'!$B626=""),"",分期持仓明细!$AB$19*SUMPRODUCT(分期持仓明细!$B$19:$Y$19,'实盘净值数据(iFinD）'!$B626:$Y626/'实盘净值数据(iFinD）'!$B$20:$Y$20)*(1-实盘持仓初始配置!$Z$6)^(('实盘净值数据(iFinD）'!$A626-'实盘净值数据(iFinD）'!$A$7)/365))</f>
        <v/>
      </c>
      <c r="I626" s="16" t="str">
        <f t="shared" si="56"/>
        <v/>
      </c>
      <c r="J626" s="16" t="str">
        <f>IF(H626="","",H626/MAX(H$5:H626)-1)</f>
        <v/>
      </c>
      <c r="K626" s="13" t="str">
        <f>IF(OR('实盘净值数据(iFinD）'!$A626="",'实盘净值数据(iFinD）'!$B626="",'实盘净值数据(iFinD）'!$Z626="",'实盘净值数据(iFinD）'!$AA626=""),"",分期持仓明细!$AB$23*(SUMPRODUCT(分期持仓明细!$B$23:$Y$23,'实盘净值数据(iFinD）'!$B626:$Y626/'实盘净值数据(iFinD）'!$B$65:$Y$65)+SUMPRODUCT(分期持仓明细!$AC$23:$AD$23,'实盘净值数据(iFinD）'!$Z626:$AA626/'实盘净值数据(iFinD）'!$Z$65:$AA$65))*(1-实盘持仓初始配置!$Z$7)^(('实盘净值数据(iFinD）'!$A626-'实盘净值数据(iFinD）'!$A$8)/365))</f>
        <v/>
      </c>
      <c r="L626" s="16" t="str">
        <f t="shared" si="57"/>
        <v/>
      </c>
      <c r="M626" s="16" t="str">
        <f>IF(K626="","",K626/MAX(K$5:K626)-1)</f>
        <v/>
      </c>
      <c r="N626" s="13" t="str">
        <f>IF(OR('实盘净值数据(iFinD）'!$A626="",'实盘净值数据(iFinD）'!$B626="",'实盘净值数据(iFinD）'!$Z626="",'实盘净值数据(iFinD）'!$AA626=""),"",分期持仓明细!$AB$24*(SUMPRODUCT(分期持仓明细!$B$24:$Y$24,'实盘净值数据(iFinD）'!$B626:$Y626/'实盘净值数据(iFinD）'!$B$65:$Y$65)+SUMPRODUCT(分期持仓明细!$AC$24:$AD$24,'实盘净值数据(iFinD）'!$Z626:$AA626/'实盘净值数据(iFinD）'!$Z$65:$AA$65))*(1-实盘持仓初始配置!$Z$8)^(('实盘净值数据(iFinD）'!$A626-'实盘净值数据(iFinD）'!$A$5)/365))</f>
        <v/>
      </c>
      <c r="O626" s="16" t="str">
        <f t="shared" si="58"/>
        <v/>
      </c>
      <c r="P626" s="16" t="str">
        <f>IF(N626="","",N626/MAX(N$5:N626)-1)</f>
        <v/>
      </c>
      <c r="Q626" s="13" t="str">
        <f>IF(OR('实盘净值数据(iFinD）'!$A626="",'实盘净值数据(iFinD）'!$B626="",'实盘净值数据(iFinD）'!$Z626="",'实盘净值数据(iFinD）'!$AA626=""),"",分期持仓明细!$AB$25*(SUMPRODUCT(分期持仓明细!$B$25:$Y$25,'实盘净值数据(iFinD）'!$B626:$Y626/'实盘净值数据(iFinD）'!$B$65:$Y$65)+SUMPRODUCT(分期持仓明细!$AC$25:$AD$25,'实盘净值数据(iFinD）'!$Z626:$AA626/'实盘净值数据(iFinD）'!$Z$65:$AA$65))*(1-实盘持仓初始配置!$Z$9)^(('实盘净值数据(iFinD）'!$A626-'实盘净值数据(iFinD）'!$A$8)/365))</f>
        <v/>
      </c>
      <c r="R626" s="16" t="str">
        <f t="shared" si="59"/>
        <v/>
      </c>
      <c r="S626" s="16" t="str">
        <f>IF(Q626="","",Q626/MAX(Q$5:Q626)-1)</f>
        <v/>
      </c>
    </row>
    <row r="627" spans="1:19">
      <c r="A627" s="15" t="str">
        <f>IF('实盘净值数据(iFinD）'!A627="","",'实盘净值数据(iFinD）'!A627)</f>
        <v/>
      </c>
      <c r="B627" s="13" t="str">
        <f>IF(OR('实盘净值数据(iFinD）'!$A627="",'实盘净值数据(iFinD）'!$B627=""),"",分期持仓明细!$AB$17*SUMPRODUCT(分期持仓明细!$B$17:$Y$17,'实盘净值数据(iFinD）'!$B627:$Y627/'实盘净值数据(iFinD）'!$B$20:$Y$20)*(1-实盘持仓初始配置!$Z$4)^(('实盘净值数据(iFinD）'!$A627-'实盘净值数据(iFinD）'!$A$6)/365))</f>
        <v/>
      </c>
      <c r="C627" s="16" t="str">
        <f t="shared" si="54"/>
        <v/>
      </c>
      <c r="D627" s="16" t="str">
        <f>IF(B627="","",B627/MAX(B$5:B627)-1)</f>
        <v/>
      </c>
      <c r="E627" s="13" t="str">
        <f>IF(OR('实盘净值数据(iFinD）'!$A627="",'实盘净值数据(iFinD）'!$B627=""),"",分期持仓明细!$AB$18*SUMPRODUCT(分期持仓明细!$B$18:$Y$18,'实盘净值数据(iFinD）'!$B627:$Y627/'实盘净值数据(iFinD）'!$B$20:$Y$20)*(1-实盘持仓初始配置!$Z$5)^(('实盘净值数据(iFinD）'!$A627-'实盘净值数据(iFinD）'!$A$5)/365))</f>
        <v/>
      </c>
      <c r="F627" s="16" t="str">
        <f t="shared" si="55"/>
        <v/>
      </c>
      <c r="G627" s="16" t="str">
        <f>IF(E627="","",E627/MAX(E$5:E627)-1)</f>
        <v/>
      </c>
      <c r="H627" s="13" t="str">
        <f>IF(OR('实盘净值数据(iFinD）'!$A627="",'实盘净值数据(iFinD）'!$B627=""),"",分期持仓明细!$AB$19*SUMPRODUCT(分期持仓明细!$B$19:$Y$19,'实盘净值数据(iFinD）'!$B627:$Y627/'实盘净值数据(iFinD）'!$B$20:$Y$20)*(1-实盘持仓初始配置!$Z$6)^(('实盘净值数据(iFinD）'!$A627-'实盘净值数据(iFinD）'!$A$7)/365))</f>
        <v/>
      </c>
      <c r="I627" s="16" t="str">
        <f t="shared" si="56"/>
        <v/>
      </c>
      <c r="J627" s="16" t="str">
        <f>IF(H627="","",H627/MAX(H$5:H627)-1)</f>
        <v/>
      </c>
      <c r="K627" s="13" t="str">
        <f>IF(OR('实盘净值数据(iFinD）'!$A627="",'实盘净值数据(iFinD）'!$B627="",'实盘净值数据(iFinD）'!$Z627="",'实盘净值数据(iFinD）'!$AA627=""),"",分期持仓明细!$AB$23*(SUMPRODUCT(分期持仓明细!$B$23:$Y$23,'实盘净值数据(iFinD）'!$B627:$Y627/'实盘净值数据(iFinD）'!$B$65:$Y$65)+SUMPRODUCT(分期持仓明细!$AC$23:$AD$23,'实盘净值数据(iFinD）'!$Z627:$AA627/'实盘净值数据(iFinD）'!$Z$65:$AA$65))*(1-实盘持仓初始配置!$Z$7)^(('实盘净值数据(iFinD）'!$A627-'实盘净值数据(iFinD）'!$A$8)/365))</f>
        <v/>
      </c>
      <c r="L627" s="16" t="str">
        <f t="shared" si="57"/>
        <v/>
      </c>
      <c r="M627" s="16" t="str">
        <f>IF(K627="","",K627/MAX(K$5:K627)-1)</f>
        <v/>
      </c>
      <c r="N627" s="13" t="str">
        <f>IF(OR('实盘净值数据(iFinD）'!$A627="",'实盘净值数据(iFinD）'!$B627="",'实盘净值数据(iFinD）'!$Z627="",'实盘净值数据(iFinD）'!$AA627=""),"",分期持仓明细!$AB$24*(SUMPRODUCT(分期持仓明细!$B$24:$Y$24,'实盘净值数据(iFinD）'!$B627:$Y627/'实盘净值数据(iFinD）'!$B$65:$Y$65)+SUMPRODUCT(分期持仓明细!$AC$24:$AD$24,'实盘净值数据(iFinD）'!$Z627:$AA627/'实盘净值数据(iFinD）'!$Z$65:$AA$65))*(1-实盘持仓初始配置!$Z$8)^(('实盘净值数据(iFinD）'!$A627-'实盘净值数据(iFinD）'!$A$5)/365))</f>
        <v/>
      </c>
      <c r="O627" s="16" t="str">
        <f t="shared" si="58"/>
        <v/>
      </c>
      <c r="P627" s="16" t="str">
        <f>IF(N627="","",N627/MAX(N$5:N627)-1)</f>
        <v/>
      </c>
      <c r="Q627" s="13" t="str">
        <f>IF(OR('实盘净值数据(iFinD）'!$A627="",'实盘净值数据(iFinD）'!$B627="",'实盘净值数据(iFinD）'!$Z627="",'实盘净值数据(iFinD）'!$AA627=""),"",分期持仓明细!$AB$25*(SUMPRODUCT(分期持仓明细!$B$25:$Y$25,'实盘净值数据(iFinD）'!$B627:$Y627/'实盘净值数据(iFinD）'!$B$65:$Y$65)+SUMPRODUCT(分期持仓明细!$AC$25:$AD$25,'实盘净值数据(iFinD）'!$Z627:$AA627/'实盘净值数据(iFinD）'!$Z$65:$AA$65))*(1-实盘持仓初始配置!$Z$9)^(('实盘净值数据(iFinD）'!$A627-'实盘净值数据(iFinD）'!$A$8)/365))</f>
        <v/>
      </c>
      <c r="R627" s="16" t="str">
        <f t="shared" si="59"/>
        <v/>
      </c>
      <c r="S627" s="16" t="str">
        <f>IF(Q627="","",Q627/MAX(Q$5:Q627)-1)</f>
        <v/>
      </c>
    </row>
    <row r="628" spans="1:19">
      <c r="A628" s="15" t="str">
        <f>IF('实盘净值数据(iFinD）'!A628="","",'实盘净值数据(iFinD）'!A628)</f>
        <v/>
      </c>
      <c r="B628" s="13" t="str">
        <f>IF(OR('实盘净值数据(iFinD）'!$A628="",'实盘净值数据(iFinD）'!$B628=""),"",分期持仓明细!$AB$17*SUMPRODUCT(分期持仓明细!$B$17:$Y$17,'实盘净值数据(iFinD）'!$B628:$Y628/'实盘净值数据(iFinD）'!$B$20:$Y$20)*(1-实盘持仓初始配置!$Z$4)^(('实盘净值数据(iFinD）'!$A628-'实盘净值数据(iFinD）'!$A$6)/365))</f>
        <v/>
      </c>
      <c r="C628" s="16" t="str">
        <f t="shared" si="54"/>
        <v/>
      </c>
      <c r="D628" s="16" t="str">
        <f>IF(B628="","",B628/MAX(B$5:B628)-1)</f>
        <v/>
      </c>
      <c r="E628" s="13" t="str">
        <f>IF(OR('实盘净值数据(iFinD）'!$A628="",'实盘净值数据(iFinD）'!$B628=""),"",分期持仓明细!$AB$18*SUMPRODUCT(分期持仓明细!$B$18:$Y$18,'实盘净值数据(iFinD）'!$B628:$Y628/'实盘净值数据(iFinD）'!$B$20:$Y$20)*(1-实盘持仓初始配置!$Z$5)^(('实盘净值数据(iFinD）'!$A628-'实盘净值数据(iFinD）'!$A$5)/365))</f>
        <v/>
      </c>
      <c r="F628" s="16" t="str">
        <f t="shared" si="55"/>
        <v/>
      </c>
      <c r="G628" s="16" t="str">
        <f>IF(E628="","",E628/MAX(E$5:E628)-1)</f>
        <v/>
      </c>
      <c r="H628" s="13" t="str">
        <f>IF(OR('实盘净值数据(iFinD）'!$A628="",'实盘净值数据(iFinD）'!$B628=""),"",分期持仓明细!$AB$19*SUMPRODUCT(分期持仓明细!$B$19:$Y$19,'实盘净值数据(iFinD）'!$B628:$Y628/'实盘净值数据(iFinD）'!$B$20:$Y$20)*(1-实盘持仓初始配置!$Z$6)^(('实盘净值数据(iFinD）'!$A628-'实盘净值数据(iFinD）'!$A$7)/365))</f>
        <v/>
      </c>
      <c r="I628" s="16" t="str">
        <f t="shared" si="56"/>
        <v/>
      </c>
      <c r="J628" s="16" t="str">
        <f>IF(H628="","",H628/MAX(H$5:H628)-1)</f>
        <v/>
      </c>
      <c r="K628" s="13" t="str">
        <f>IF(OR('实盘净值数据(iFinD）'!$A628="",'实盘净值数据(iFinD）'!$B628="",'实盘净值数据(iFinD）'!$Z628="",'实盘净值数据(iFinD）'!$AA628=""),"",分期持仓明细!$AB$23*(SUMPRODUCT(分期持仓明细!$B$23:$Y$23,'实盘净值数据(iFinD）'!$B628:$Y628/'实盘净值数据(iFinD）'!$B$65:$Y$65)+SUMPRODUCT(分期持仓明细!$AC$23:$AD$23,'实盘净值数据(iFinD）'!$Z628:$AA628/'实盘净值数据(iFinD）'!$Z$65:$AA$65))*(1-实盘持仓初始配置!$Z$7)^(('实盘净值数据(iFinD）'!$A628-'实盘净值数据(iFinD）'!$A$8)/365))</f>
        <v/>
      </c>
      <c r="L628" s="16" t="str">
        <f t="shared" si="57"/>
        <v/>
      </c>
      <c r="M628" s="16" t="str">
        <f>IF(K628="","",K628/MAX(K$5:K628)-1)</f>
        <v/>
      </c>
      <c r="N628" s="13" t="str">
        <f>IF(OR('实盘净值数据(iFinD）'!$A628="",'实盘净值数据(iFinD）'!$B628="",'实盘净值数据(iFinD）'!$Z628="",'实盘净值数据(iFinD）'!$AA628=""),"",分期持仓明细!$AB$24*(SUMPRODUCT(分期持仓明细!$B$24:$Y$24,'实盘净值数据(iFinD）'!$B628:$Y628/'实盘净值数据(iFinD）'!$B$65:$Y$65)+SUMPRODUCT(分期持仓明细!$AC$24:$AD$24,'实盘净值数据(iFinD）'!$Z628:$AA628/'实盘净值数据(iFinD）'!$Z$65:$AA$65))*(1-实盘持仓初始配置!$Z$8)^(('实盘净值数据(iFinD）'!$A628-'实盘净值数据(iFinD）'!$A$5)/365))</f>
        <v/>
      </c>
      <c r="O628" s="16" t="str">
        <f t="shared" si="58"/>
        <v/>
      </c>
      <c r="P628" s="16" t="str">
        <f>IF(N628="","",N628/MAX(N$5:N628)-1)</f>
        <v/>
      </c>
      <c r="Q628" s="13" t="str">
        <f>IF(OR('实盘净值数据(iFinD）'!$A628="",'实盘净值数据(iFinD）'!$B628="",'实盘净值数据(iFinD）'!$Z628="",'实盘净值数据(iFinD）'!$AA628=""),"",分期持仓明细!$AB$25*(SUMPRODUCT(分期持仓明细!$B$25:$Y$25,'实盘净值数据(iFinD）'!$B628:$Y628/'实盘净值数据(iFinD）'!$B$65:$Y$65)+SUMPRODUCT(分期持仓明细!$AC$25:$AD$25,'实盘净值数据(iFinD）'!$Z628:$AA628/'实盘净值数据(iFinD）'!$Z$65:$AA$65))*(1-实盘持仓初始配置!$Z$9)^(('实盘净值数据(iFinD）'!$A628-'实盘净值数据(iFinD）'!$A$8)/365))</f>
        <v/>
      </c>
      <c r="R628" s="16" t="str">
        <f t="shared" si="59"/>
        <v/>
      </c>
      <c r="S628" s="16" t="str">
        <f>IF(Q628="","",Q628/MAX(Q$5:Q628)-1)</f>
        <v/>
      </c>
    </row>
    <row r="629" spans="1:19">
      <c r="A629" s="15" t="str">
        <f>IF('实盘净值数据(iFinD）'!A629="","",'实盘净值数据(iFinD）'!A629)</f>
        <v/>
      </c>
      <c r="B629" s="13" t="str">
        <f>IF(OR('实盘净值数据(iFinD）'!$A629="",'实盘净值数据(iFinD）'!$B629=""),"",分期持仓明细!$AB$17*SUMPRODUCT(分期持仓明细!$B$17:$Y$17,'实盘净值数据(iFinD）'!$B629:$Y629/'实盘净值数据(iFinD）'!$B$20:$Y$20)*(1-实盘持仓初始配置!$Z$4)^(('实盘净值数据(iFinD）'!$A629-'实盘净值数据(iFinD）'!$A$6)/365))</f>
        <v/>
      </c>
      <c r="C629" s="16" t="str">
        <f t="shared" si="54"/>
        <v/>
      </c>
      <c r="D629" s="16" t="str">
        <f>IF(B629="","",B629/MAX(B$5:B629)-1)</f>
        <v/>
      </c>
      <c r="E629" s="13" t="str">
        <f>IF(OR('实盘净值数据(iFinD）'!$A629="",'实盘净值数据(iFinD）'!$B629=""),"",分期持仓明细!$AB$18*SUMPRODUCT(分期持仓明细!$B$18:$Y$18,'实盘净值数据(iFinD）'!$B629:$Y629/'实盘净值数据(iFinD）'!$B$20:$Y$20)*(1-实盘持仓初始配置!$Z$5)^(('实盘净值数据(iFinD）'!$A629-'实盘净值数据(iFinD）'!$A$5)/365))</f>
        <v/>
      </c>
      <c r="F629" s="16" t="str">
        <f t="shared" si="55"/>
        <v/>
      </c>
      <c r="G629" s="16" t="str">
        <f>IF(E629="","",E629/MAX(E$5:E629)-1)</f>
        <v/>
      </c>
      <c r="H629" s="13" t="str">
        <f>IF(OR('实盘净值数据(iFinD）'!$A629="",'实盘净值数据(iFinD）'!$B629=""),"",分期持仓明细!$AB$19*SUMPRODUCT(分期持仓明细!$B$19:$Y$19,'实盘净值数据(iFinD）'!$B629:$Y629/'实盘净值数据(iFinD）'!$B$20:$Y$20)*(1-实盘持仓初始配置!$Z$6)^(('实盘净值数据(iFinD）'!$A629-'实盘净值数据(iFinD）'!$A$7)/365))</f>
        <v/>
      </c>
      <c r="I629" s="16" t="str">
        <f t="shared" si="56"/>
        <v/>
      </c>
      <c r="J629" s="16" t="str">
        <f>IF(H629="","",H629/MAX(H$5:H629)-1)</f>
        <v/>
      </c>
      <c r="K629" s="13" t="str">
        <f>IF(OR('实盘净值数据(iFinD）'!$A629="",'实盘净值数据(iFinD）'!$B629="",'实盘净值数据(iFinD）'!$Z629="",'实盘净值数据(iFinD）'!$AA629=""),"",分期持仓明细!$AB$23*(SUMPRODUCT(分期持仓明细!$B$23:$Y$23,'实盘净值数据(iFinD）'!$B629:$Y629/'实盘净值数据(iFinD）'!$B$65:$Y$65)+SUMPRODUCT(分期持仓明细!$AC$23:$AD$23,'实盘净值数据(iFinD）'!$Z629:$AA629/'实盘净值数据(iFinD）'!$Z$65:$AA$65))*(1-实盘持仓初始配置!$Z$7)^(('实盘净值数据(iFinD）'!$A629-'实盘净值数据(iFinD）'!$A$8)/365))</f>
        <v/>
      </c>
      <c r="L629" s="16" t="str">
        <f t="shared" si="57"/>
        <v/>
      </c>
      <c r="M629" s="16" t="str">
        <f>IF(K629="","",K629/MAX(K$5:K629)-1)</f>
        <v/>
      </c>
      <c r="N629" s="13" t="str">
        <f>IF(OR('实盘净值数据(iFinD）'!$A629="",'实盘净值数据(iFinD）'!$B629="",'实盘净值数据(iFinD）'!$Z629="",'实盘净值数据(iFinD）'!$AA629=""),"",分期持仓明细!$AB$24*(SUMPRODUCT(分期持仓明细!$B$24:$Y$24,'实盘净值数据(iFinD）'!$B629:$Y629/'实盘净值数据(iFinD）'!$B$65:$Y$65)+SUMPRODUCT(分期持仓明细!$AC$24:$AD$24,'实盘净值数据(iFinD）'!$Z629:$AA629/'实盘净值数据(iFinD）'!$Z$65:$AA$65))*(1-实盘持仓初始配置!$Z$8)^(('实盘净值数据(iFinD）'!$A629-'实盘净值数据(iFinD）'!$A$5)/365))</f>
        <v/>
      </c>
      <c r="O629" s="16" t="str">
        <f t="shared" si="58"/>
        <v/>
      </c>
      <c r="P629" s="16" t="str">
        <f>IF(N629="","",N629/MAX(N$5:N629)-1)</f>
        <v/>
      </c>
      <c r="Q629" s="13" t="str">
        <f>IF(OR('实盘净值数据(iFinD）'!$A629="",'实盘净值数据(iFinD）'!$B629="",'实盘净值数据(iFinD）'!$Z629="",'实盘净值数据(iFinD）'!$AA629=""),"",分期持仓明细!$AB$25*(SUMPRODUCT(分期持仓明细!$B$25:$Y$25,'实盘净值数据(iFinD）'!$B629:$Y629/'实盘净值数据(iFinD）'!$B$65:$Y$65)+SUMPRODUCT(分期持仓明细!$AC$25:$AD$25,'实盘净值数据(iFinD）'!$Z629:$AA629/'实盘净值数据(iFinD）'!$Z$65:$AA$65))*(1-实盘持仓初始配置!$Z$9)^(('实盘净值数据(iFinD）'!$A629-'实盘净值数据(iFinD）'!$A$8)/365))</f>
        <v/>
      </c>
      <c r="R629" s="16" t="str">
        <f t="shared" si="59"/>
        <v/>
      </c>
      <c r="S629" s="16" t="str">
        <f>IF(Q629="","",Q629/MAX(Q$5:Q629)-1)</f>
        <v/>
      </c>
    </row>
    <row r="630" spans="1:19">
      <c r="A630" s="15" t="str">
        <f>IF('实盘净值数据(iFinD）'!A630="","",'实盘净值数据(iFinD）'!A630)</f>
        <v/>
      </c>
      <c r="B630" s="13" t="str">
        <f>IF(OR('实盘净值数据(iFinD）'!$A630="",'实盘净值数据(iFinD）'!$B630=""),"",分期持仓明细!$AB$17*SUMPRODUCT(分期持仓明细!$B$17:$Y$17,'实盘净值数据(iFinD）'!$B630:$Y630/'实盘净值数据(iFinD）'!$B$20:$Y$20)*(1-实盘持仓初始配置!$Z$4)^(('实盘净值数据(iFinD）'!$A630-'实盘净值数据(iFinD）'!$A$6)/365))</f>
        <v/>
      </c>
      <c r="C630" s="16" t="str">
        <f t="shared" si="54"/>
        <v/>
      </c>
      <c r="D630" s="16" t="str">
        <f>IF(B630="","",B630/MAX(B$5:B630)-1)</f>
        <v/>
      </c>
      <c r="E630" s="13" t="str">
        <f>IF(OR('实盘净值数据(iFinD）'!$A630="",'实盘净值数据(iFinD）'!$B630=""),"",分期持仓明细!$AB$18*SUMPRODUCT(分期持仓明细!$B$18:$Y$18,'实盘净值数据(iFinD）'!$B630:$Y630/'实盘净值数据(iFinD）'!$B$20:$Y$20)*(1-实盘持仓初始配置!$Z$5)^(('实盘净值数据(iFinD）'!$A630-'实盘净值数据(iFinD）'!$A$5)/365))</f>
        <v/>
      </c>
      <c r="F630" s="16" t="str">
        <f t="shared" si="55"/>
        <v/>
      </c>
      <c r="G630" s="16" t="str">
        <f>IF(E630="","",E630/MAX(E$5:E630)-1)</f>
        <v/>
      </c>
      <c r="H630" s="13" t="str">
        <f>IF(OR('实盘净值数据(iFinD）'!$A630="",'实盘净值数据(iFinD）'!$B630=""),"",分期持仓明细!$AB$19*SUMPRODUCT(分期持仓明细!$B$19:$Y$19,'实盘净值数据(iFinD）'!$B630:$Y630/'实盘净值数据(iFinD）'!$B$20:$Y$20)*(1-实盘持仓初始配置!$Z$6)^(('实盘净值数据(iFinD）'!$A630-'实盘净值数据(iFinD）'!$A$7)/365))</f>
        <v/>
      </c>
      <c r="I630" s="16" t="str">
        <f t="shared" si="56"/>
        <v/>
      </c>
      <c r="J630" s="16" t="str">
        <f>IF(H630="","",H630/MAX(H$5:H630)-1)</f>
        <v/>
      </c>
      <c r="K630" s="13" t="str">
        <f>IF(OR('实盘净值数据(iFinD）'!$A630="",'实盘净值数据(iFinD）'!$B630="",'实盘净值数据(iFinD）'!$Z630="",'实盘净值数据(iFinD）'!$AA630=""),"",分期持仓明细!$AB$23*(SUMPRODUCT(分期持仓明细!$B$23:$Y$23,'实盘净值数据(iFinD）'!$B630:$Y630/'实盘净值数据(iFinD）'!$B$65:$Y$65)+SUMPRODUCT(分期持仓明细!$AC$23:$AD$23,'实盘净值数据(iFinD）'!$Z630:$AA630/'实盘净值数据(iFinD）'!$Z$65:$AA$65))*(1-实盘持仓初始配置!$Z$7)^(('实盘净值数据(iFinD）'!$A630-'实盘净值数据(iFinD）'!$A$8)/365))</f>
        <v/>
      </c>
      <c r="L630" s="16" t="str">
        <f t="shared" si="57"/>
        <v/>
      </c>
      <c r="M630" s="16" t="str">
        <f>IF(K630="","",K630/MAX(K$5:K630)-1)</f>
        <v/>
      </c>
      <c r="N630" s="13" t="str">
        <f>IF(OR('实盘净值数据(iFinD）'!$A630="",'实盘净值数据(iFinD）'!$B630="",'实盘净值数据(iFinD）'!$Z630="",'实盘净值数据(iFinD）'!$AA630=""),"",分期持仓明细!$AB$24*(SUMPRODUCT(分期持仓明细!$B$24:$Y$24,'实盘净值数据(iFinD）'!$B630:$Y630/'实盘净值数据(iFinD）'!$B$65:$Y$65)+SUMPRODUCT(分期持仓明细!$AC$24:$AD$24,'实盘净值数据(iFinD）'!$Z630:$AA630/'实盘净值数据(iFinD）'!$Z$65:$AA$65))*(1-实盘持仓初始配置!$Z$8)^(('实盘净值数据(iFinD）'!$A630-'实盘净值数据(iFinD）'!$A$5)/365))</f>
        <v/>
      </c>
      <c r="O630" s="16" t="str">
        <f t="shared" si="58"/>
        <v/>
      </c>
      <c r="P630" s="16" t="str">
        <f>IF(N630="","",N630/MAX(N$5:N630)-1)</f>
        <v/>
      </c>
      <c r="Q630" s="13" t="str">
        <f>IF(OR('实盘净值数据(iFinD）'!$A630="",'实盘净值数据(iFinD）'!$B630="",'实盘净值数据(iFinD）'!$Z630="",'实盘净值数据(iFinD）'!$AA630=""),"",分期持仓明细!$AB$25*(SUMPRODUCT(分期持仓明细!$B$25:$Y$25,'实盘净值数据(iFinD）'!$B630:$Y630/'实盘净值数据(iFinD）'!$B$65:$Y$65)+SUMPRODUCT(分期持仓明细!$AC$25:$AD$25,'实盘净值数据(iFinD）'!$Z630:$AA630/'实盘净值数据(iFinD）'!$Z$65:$AA$65))*(1-实盘持仓初始配置!$Z$9)^(('实盘净值数据(iFinD）'!$A630-'实盘净值数据(iFinD）'!$A$8)/365))</f>
        <v/>
      </c>
      <c r="R630" s="16" t="str">
        <f t="shared" si="59"/>
        <v/>
      </c>
      <c r="S630" s="16" t="str">
        <f>IF(Q630="","",Q630/MAX(Q$5:Q630)-1)</f>
        <v/>
      </c>
    </row>
    <row r="631" spans="1:19">
      <c r="A631" s="15" t="str">
        <f>IF('实盘净值数据(iFinD）'!A631="","",'实盘净值数据(iFinD）'!A631)</f>
        <v/>
      </c>
      <c r="B631" s="13" t="str">
        <f>IF(OR('实盘净值数据(iFinD）'!$A631="",'实盘净值数据(iFinD）'!$B631=""),"",分期持仓明细!$AB$17*SUMPRODUCT(分期持仓明细!$B$17:$Y$17,'实盘净值数据(iFinD）'!$B631:$Y631/'实盘净值数据(iFinD）'!$B$20:$Y$20)*(1-实盘持仓初始配置!$Z$4)^(('实盘净值数据(iFinD）'!$A631-'实盘净值数据(iFinD）'!$A$6)/365))</f>
        <v/>
      </c>
      <c r="C631" s="16" t="str">
        <f t="shared" si="54"/>
        <v/>
      </c>
      <c r="D631" s="16" t="str">
        <f>IF(B631="","",B631/MAX(B$5:B631)-1)</f>
        <v/>
      </c>
      <c r="E631" s="13" t="str">
        <f>IF(OR('实盘净值数据(iFinD）'!$A631="",'实盘净值数据(iFinD）'!$B631=""),"",分期持仓明细!$AB$18*SUMPRODUCT(分期持仓明细!$B$18:$Y$18,'实盘净值数据(iFinD）'!$B631:$Y631/'实盘净值数据(iFinD）'!$B$20:$Y$20)*(1-实盘持仓初始配置!$Z$5)^(('实盘净值数据(iFinD）'!$A631-'实盘净值数据(iFinD）'!$A$5)/365))</f>
        <v/>
      </c>
      <c r="F631" s="16" t="str">
        <f t="shared" si="55"/>
        <v/>
      </c>
      <c r="G631" s="16" t="str">
        <f>IF(E631="","",E631/MAX(E$5:E631)-1)</f>
        <v/>
      </c>
      <c r="H631" s="13" t="str">
        <f>IF(OR('实盘净值数据(iFinD）'!$A631="",'实盘净值数据(iFinD）'!$B631=""),"",分期持仓明细!$AB$19*SUMPRODUCT(分期持仓明细!$B$19:$Y$19,'实盘净值数据(iFinD）'!$B631:$Y631/'实盘净值数据(iFinD）'!$B$20:$Y$20)*(1-实盘持仓初始配置!$Z$6)^(('实盘净值数据(iFinD）'!$A631-'实盘净值数据(iFinD）'!$A$7)/365))</f>
        <v/>
      </c>
      <c r="I631" s="16" t="str">
        <f t="shared" si="56"/>
        <v/>
      </c>
      <c r="J631" s="16" t="str">
        <f>IF(H631="","",H631/MAX(H$5:H631)-1)</f>
        <v/>
      </c>
      <c r="K631" s="13" t="str">
        <f>IF(OR('实盘净值数据(iFinD）'!$A631="",'实盘净值数据(iFinD）'!$B631="",'实盘净值数据(iFinD）'!$Z631="",'实盘净值数据(iFinD）'!$AA631=""),"",分期持仓明细!$AB$23*(SUMPRODUCT(分期持仓明细!$B$23:$Y$23,'实盘净值数据(iFinD）'!$B631:$Y631/'实盘净值数据(iFinD）'!$B$65:$Y$65)+SUMPRODUCT(分期持仓明细!$AC$23:$AD$23,'实盘净值数据(iFinD）'!$Z631:$AA631/'实盘净值数据(iFinD）'!$Z$65:$AA$65))*(1-实盘持仓初始配置!$Z$7)^(('实盘净值数据(iFinD）'!$A631-'实盘净值数据(iFinD）'!$A$8)/365))</f>
        <v/>
      </c>
      <c r="L631" s="16" t="str">
        <f t="shared" si="57"/>
        <v/>
      </c>
      <c r="M631" s="16" t="str">
        <f>IF(K631="","",K631/MAX(K$5:K631)-1)</f>
        <v/>
      </c>
      <c r="N631" s="13" t="str">
        <f>IF(OR('实盘净值数据(iFinD）'!$A631="",'实盘净值数据(iFinD）'!$B631="",'实盘净值数据(iFinD）'!$Z631="",'实盘净值数据(iFinD）'!$AA631=""),"",分期持仓明细!$AB$24*(SUMPRODUCT(分期持仓明细!$B$24:$Y$24,'实盘净值数据(iFinD）'!$B631:$Y631/'实盘净值数据(iFinD）'!$B$65:$Y$65)+SUMPRODUCT(分期持仓明细!$AC$24:$AD$24,'实盘净值数据(iFinD）'!$Z631:$AA631/'实盘净值数据(iFinD）'!$Z$65:$AA$65))*(1-实盘持仓初始配置!$Z$8)^(('实盘净值数据(iFinD）'!$A631-'实盘净值数据(iFinD）'!$A$5)/365))</f>
        <v/>
      </c>
      <c r="O631" s="16" t="str">
        <f t="shared" si="58"/>
        <v/>
      </c>
      <c r="P631" s="16" t="str">
        <f>IF(N631="","",N631/MAX(N$5:N631)-1)</f>
        <v/>
      </c>
      <c r="Q631" s="13" t="str">
        <f>IF(OR('实盘净值数据(iFinD）'!$A631="",'实盘净值数据(iFinD）'!$B631="",'实盘净值数据(iFinD）'!$Z631="",'实盘净值数据(iFinD）'!$AA631=""),"",分期持仓明细!$AB$25*(SUMPRODUCT(分期持仓明细!$B$25:$Y$25,'实盘净值数据(iFinD）'!$B631:$Y631/'实盘净值数据(iFinD）'!$B$65:$Y$65)+SUMPRODUCT(分期持仓明细!$AC$25:$AD$25,'实盘净值数据(iFinD）'!$Z631:$AA631/'实盘净值数据(iFinD）'!$Z$65:$AA$65))*(1-实盘持仓初始配置!$Z$9)^(('实盘净值数据(iFinD）'!$A631-'实盘净值数据(iFinD）'!$A$8)/365))</f>
        <v/>
      </c>
      <c r="R631" s="16" t="str">
        <f t="shared" si="59"/>
        <v/>
      </c>
      <c r="S631" s="16" t="str">
        <f>IF(Q631="","",Q631/MAX(Q$5:Q631)-1)</f>
        <v/>
      </c>
    </row>
    <row r="632" spans="1:19">
      <c r="A632" s="15" t="str">
        <f>IF('实盘净值数据(iFinD）'!A632="","",'实盘净值数据(iFinD）'!A632)</f>
        <v/>
      </c>
      <c r="B632" s="13" t="str">
        <f>IF(OR('实盘净值数据(iFinD）'!$A632="",'实盘净值数据(iFinD）'!$B632=""),"",分期持仓明细!$AB$17*SUMPRODUCT(分期持仓明细!$B$17:$Y$17,'实盘净值数据(iFinD）'!$B632:$Y632/'实盘净值数据(iFinD）'!$B$20:$Y$20)*(1-实盘持仓初始配置!$Z$4)^(('实盘净值数据(iFinD）'!$A632-'实盘净值数据(iFinD）'!$A$6)/365))</f>
        <v/>
      </c>
      <c r="C632" s="16" t="str">
        <f t="shared" si="54"/>
        <v/>
      </c>
      <c r="D632" s="16" t="str">
        <f>IF(B632="","",B632/MAX(B$5:B632)-1)</f>
        <v/>
      </c>
      <c r="E632" s="13" t="str">
        <f>IF(OR('实盘净值数据(iFinD）'!$A632="",'实盘净值数据(iFinD）'!$B632=""),"",分期持仓明细!$AB$18*SUMPRODUCT(分期持仓明细!$B$18:$Y$18,'实盘净值数据(iFinD）'!$B632:$Y632/'实盘净值数据(iFinD）'!$B$20:$Y$20)*(1-实盘持仓初始配置!$Z$5)^(('实盘净值数据(iFinD）'!$A632-'实盘净值数据(iFinD）'!$A$5)/365))</f>
        <v/>
      </c>
      <c r="F632" s="16" t="str">
        <f t="shared" si="55"/>
        <v/>
      </c>
      <c r="G632" s="16" t="str">
        <f>IF(E632="","",E632/MAX(E$5:E632)-1)</f>
        <v/>
      </c>
      <c r="H632" s="13" t="str">
        <f>IF(OR('实盘净值数据(iFinD）'!$A632="",'实盘净值数据(iFinD）'!$B632=""),"",分期持仓明细!$AB$19*SUMPRODUCT(分期持仓明细!$B$19:$Y$19,'实盘净值数据(iFinD）'!$B632:$Y632/'实盘净值数据(iFinD）'!$B$20:$Y$20)*(1-实盘持仓初始配置!$Z$6)^(('实盘净值数据(iFinD）'!$A632-'实盘净值数据(iFinD）'!$A$7)/365))</f>
        <v/>
      </c>
      <c r="I632" s="16" t="str">
        <f t="shared" si="56"/>
        <v/>
      </c>
      <c r="J632" s="16" t="str">
        <f>IF(H632="","",H632/MAX(H$5:H632)-1)</f>
        <v/>
      </c>
      <c r="K632" s="13" t="str">
        <f>IF(OR('实盘净值数据(iFinD）'!$A632="",'实盘净值数据(iFinD）'!$B632="",'实盘净值数据(iFinD）'!$Z632="",'实盘净值数据(iFinD）'!$AA632=""),"",分期持仓明细!$AB$23*(SUMPRODUCT(分期持仓明细!$B$23:$Y$23,'实盘净值数据(iFinD）'!$B632:$Y632/'实盘净值数据(iFinD）'!$B$65:$Y$65)+SUMPRODUCT(分期持仓明细!$AC$23:$AD$23,'实盘净值数据(iFinD）'!$Z632:$AA632/'实盘净值数据(iFinD）'!$Z$65:$AA$65))*(1-实盘持仓初始配置!$Z$7)^(('实盘净值数据(iFinD）'!$A632-'实盘净值数据(iFinD）'!$A$8)/365))</f>
        <v/>
      </c>
      <c r="L632" s="16" t="str">
        <f t="shared" si="57"/>
        <v/>
      </c>
      <c r="M632" s="16" t="str">
        <f>IF(K632="","",K632/MAX(K$5:K632)-1)</f>
        <v/>
      </c>
      <c r="N632" s="13" t="str">
        <f>IF(OR('实盘净值数据(iFinD）'!$A632="",'实盘净值数据(iFinD）'!$B632="",'实盘净值数据(iFinD）'!$Z632="",'实盘净值数据(iFinD）'!$AA632=""),"",分期持仓明细!$AB$24*(SUMPRODUCT(分期持仓明细!$B$24:$Y$24,'实盘净值数据(iFinD）'!$B632:$Y632/'实盘净值数据(iFinD）'!$B$65:$Y$65)+SUMPRODUCT(分期持仓明细!$AC$24:$AD$24,'实盘净值数据(iFinD）'!$Z632:$AA632/'实盘净值数据(iFinD）'!$Z$65:$AA$65))*(1-实盘持仓初始配置!$Z$8)^(('实盘净值数据(iFinD）'!$A632-'实盘净值数据(iFinD）'!$A$5)/365))</f>
        <v/>
      </c>
      <c r="O632" s="16" t="str">
        <f t="shared" si="58"/>
        <v/>
      </c>
      <c r="P632" s="16" t="str">
        <f>IF(N632="","",N632/MAX(N$5:N632)-1)</f>
        <v/>
      </c>
      <c r="Q632" s="13" t="str">
        <f>IF(OR('实盘净值数据(iFinD）'!$A632="",'实盘净值数据(iFinD）'!$B632="",'实盘净值数据(iFinD）'!$Z632="",'实盘净值数据(iFinD）'!$AA632=""),"",分期持仓明细!$AB$25*(SUMPRODUCT(分期持仓明细!$B$25:$Y$25,'实盘净值数据(iFinD）'!$B632:$Y632/'实盘净值数据(iFinD）'!$B$65:$Y$65)+SUMPRODUCT(分期持仓明细!$AC$25:$AD$25,'实盘净值数据(iFinD）'!$Z632:$AA632/'实盘净值数据(iFinD）'!$Z$65:$AA$65))*(1-实盘持仓初始配置!$Z$9)^(('实盘净值数据(iFinD）'!$A632-'实盘净值数据(iFinD）'!$A$8)/365))</f>
        <v/>
      </c>
      <c r="R632" s="16" t="str">
        <f t="shared" si="59"/>
        <v/>
      </c>
      <c r="S632" s="16" t="str">
        <f>IF(Q632="","",Q632/MAX(Q$5:Q632)-1)</f>
        <v/>
      </c>
    </row>
    <row r="633" spans="1:19">
      <c r="A633" s="15" t="str">
        <f>IF('实盘净值数据(iFinD）'!A633="","",'实盘净值数据(iFinD）'!A633)</f>
        <v/>
      </c>
      <c r="B633" s="13" t="str">
        <f>IF(OR('实盘净值数据(iFinD）'!$A633="",'实盘净值数据(iFinD）'!$B633=""),"",分期持仓明细!$AB$17*SUMPRODUCT(分期持仓明细!$B$17:$Y$17,'实盘净值数据(iFinD）'!$B633:$Y633/'实盘净值数据(iFinD）'!$B$20:$Y$20)*(1-实盘持仓初始配置!$Z$4)^(('实盘净值数据(iFinD）'!$A633-'实盘净值数据(iFinD）'!$A$6)/365))</f>
        <v/>
      </c>
      <c r="C633" s="16" t="str">
        <f t="shared" si="54"/>
        <v/>
      </c>
      <c r="D633" s="16" t="str">
        <f>IF(B633="","",B633/MAX(B$5:B633)-1)</f>
        <v/>
      </c>
      <c r="E633" s="13" t="str">
        <f>IF(OR('实盘净值数据(iFinD）'!$A633="",'实盘净值数据(iFinD）'!$B633=""),"",分期持仓明细!$AB$18*SUMPRODUCT(分期持仓明细!$B$18:$Y$18,'实盘净值数据(iFinD）'!$B633:$Y633/'实盘净值数据(iFinD）'!$B$20:$Y$20)*(1-实盘持仓初始配置!$Z$5)^(('实盘净值数据(iFinD）'!$A633-'实盘净值数据(iFinD）'!$A$5)/365))</f>
        <v/>
      </c>
      <c r="F633" s="16" t="str">
        <f t="shared" si="55"/>
        <v/>
      </c>
      <c r="G633" s="16" t="str">
        <f>IF(E633="","",E633/MAX(E$5:E633)-1)</f>
        <v/>
      </c>
      <c r="H633" s="13" t="str">
        <f>IF(OR('实盘净值数据(iFinD）'!$A633="",'实盘净值数据(iFinD）'!$B633=""),"",分期持仓明细!$AB$19*SUMPRODUCT(分期持仓明细!$B$19:$Y$19,'实盘净值数据(iFinD）'!$B633:$Y633/'实盘净值数据(iFinD）'!$B$20:$Y$20)*(1-实盘持仓初始配置!$Z$6)^(('实盘净值数据(iFinD）'!$A633-'实盘净值数据(iFinD）'!$A$7)/365))</f>
        <v/>
      </c>
      <c r="I633" s="16" t="str">
        <f t="shared" si="56"/>
        <v/>
      </c>
      <c r="J633" s="16" t="str">
        <f>IF(H633="","",H633/MAX(H$5:H633)-1)</f>
        <v/>
      </c>
      <c r="K633" s="13" t="str">
        <f>IF(OR('实盘净值数据(iFinD）'!$A633="",'实盘净值数据(iFinD）'!$B633="",'实盘净值数据(iFinD）'!$Z633="",'实盘净值数据(iFinD）'!$AA633=""),"",分期持仓明细!$AB$23*(SUMPRODUCT(分期持仓明细!$B$23:$Y$23,'实盘净值数据(iFinD）'!$B633:$Y633/'实盘净值数据(iFinD）'!$B$65:$Y$65)+SUMPRODUCT(分期持仓明细!$AC$23:$AD$23,'实盘净值数据(iFinD）'!$Z633:$AA633/'实盘净值数据(iFinD）'!$Z$65:$AA$65))*(1-实盘持仓初始配置!$Z$7)^(('实盘净值数据(iFinD）'!$A633-'实盘净值数据(iFinD）'!$A$8)/365))</f>
        <v/>
      </c>
      <c r="L633" s="16" t="str">
        <f t="shared" si="57"/>
        <v/>
      </c>
      <c r="M633" s="16" t="str">
        <f>IF(K633="","",K633/MAX(K$5:K633)-1)</f>
        <v/>
      </c>
      <c r="N633" s="13" t="str">
        <f>IF(OR('实盘净值数据(iFinD）'!$A633="",'实盘净值数据(iFinD）'!$B633="",'实盘净值数据(iFinD）'!$Z633="",'实盘净值数据(iFinD）'!$AA633=""),"",分期持仓明细!$AB$24*(SUMPRODUCT(分期持仓明细!$B$24:$Y$24,'实盘净值数据(iFinD）'!$B633:$Y633/'实盘净值数据(iFinD）'!$B$65:$Y$65)+SUMPRODUCT(分期持仓明细!$AC$24:$AD$24,'实盘净值数据(iFinD）'!$Z633:$AA633/'实盘净值数据(iFinD）'!$Z$65:$AA$65))*(1-实盘持仓初始配置!$Z$8)^(('实盘净值数据(iFinD）'!$A633-'实盘净值数据(iFinD）'!$A$5)/365))</f>
        <v/>
      </c>
      <c r="O633" s="16" t="str">
        <f t="shared" si="58"/>
        <v/>
      </c>
      <c r="P633" s="16" t="str">
        <f>IF(N633="","",N633/MAX(N$5:N633)-1)</f>
        <v/>
      </c>
      <c r="Q633" s="13" t="str">
        <f>IF(OR('实盘净值数据(iFinD）'!$A633="",'实盘净值数据(iFinD）'!$B633="",'实盘净值数据(iFinD）'!$Z633="",'实盘净值数据(iFinD）'!$AA633=""),"",分期持仓明细!$AB$25*(SUMPRODUCT(分期持仓明细!$B$25:$Y$25,'实盘净值数据(iFinD）'!$B633:$Y633/'实盘净值数据(iFinD）'!$B$65:$Y$65)+SUMPRODUCT(分期持仓明细!$AC$25:$AD$25,'实盘净值数据(iFinD）'!$Z633:$AA633/'实盘净值数据(iFinD）'!$Z$65:$AA$65))*(1-实盘持仓初始配置!$Z$9)^(('实盘净值数据(iFinD）'!$A633-'实盘净值数据(iFinD）'!$A$8)/365))</f>
        <v/>
      </c>
      <c r="R633" s="16" t="str">
        <f t="shared" si="59"/>
        <v/>
      </c>
      <c r="S633" s="16" t="str">
        <f>IF(Q633="","",Q633/MAX(Q$5:Q633)-1)</f>
        <v/>
      </c>
    </row>
    <row r="634" spans="1:19">
      <c r="A634" s="15" t="str">
        <f>IF('实盘净值数据(iFinD）'!A634="","",'实盘净值数据(iFinD）'!A634)</f>
        <v/>
      </c>
      <c r="B634" s="13" t="str">
        <f>IF(OR('实盘净值数据(iFinD）'!$A634="",'实盘净值数据(iFinD）'!$B634=""),"",分期持仓明细!$AB$17*SUMPRODUCT(分期持仓明细!$B$17:$Y$17,'实盘净值数据(iFinD）'!$B634:$Y634/'实盘净值数据(iFinD）'!$B$20:$Y$20)*(1-实盘持仓初始配置!$Z$4)^(('实盘净值数据(iFinD）'!$A634-'实盘净值数据(iFinD）'!$A$6)/365))</f>
        <v/>
      </c>
      <c r="C634" s="16" t="str">
        <f t="shared" si="54"/>
        <v/>
      </c>
      <c r="D634" s="16" t="str">
        <f>IF(B634="","",B634/MAX(B$5:B634)-1)</f>
        <v/>
      </c>
      <c r="E634" s="13" t="str">
        <f>IF(OR('实盘净值数据(iFinD）'!$A634="",'实盘净值数据(iFinD）'!$B634=""),"",分期持仓明细!$AB$18*SUMPRODUCT(分期持仓明细!$B$18:$Y$18,'实盘净值数据(iFinD）'!$B634:$Y634/'实盘净值数据(iFinD）'!$B$20:$Y$20)*(1-实盘持仓初始配置!$Z$5)^(('实盘净值数据(iFinD）'!$A634-'实盘净值数据(iFinD）'!$A$5)/365))</f>
        <v/>
      </c>
      <c r="F634" s="16" t="str">
        <f t="shared" si="55"/>
        <v/>
      </c>
      <c r="G634" s="16" t="str">
        <f>IF(E634="","",E634/MAX(E$5:E634)-1)</f>
        <v/>
      </c>
      <c r="H634" s="13" t="str">
        <f>IF(OR('实盘净值数据(iFinD）'!$A634="",'实盘净值数据(iFinD）'!$B634=""),"",分期持仓明细!$AB$19*SUMPRODUCT(分期持仓明细!$B$19:$Y$19,'实盘净值数据(iFinD）'!$B634:$Y634/'实盘净值数据(iFinD）'!$B$20:$Y$20)*(1-实盘持仓初始配置!$Z$6)^(('实盘净值数据(iFinD）'!$A634-'实盘净值数据(iFinD）'!$A$7)/365))</f>
        <v/>
      </c>
      <c r="I634" s="16" t="str">
        <f t="shared" si="56"/>
        <v/>
      </c>
      <c r="J634" s="16" t="str">
        <f>IF(H634="","",H634/MAX(H$5:H634)-1)</f>
        <v/>
      </c>
      <c r="K634" s="13" t="str">
        <f>IF(OR('实盘净值数据(iFinD）'!$A634="",'实盘净值数据(iFinD）'!$B634="",'实盘净值数据(iFinD）'!$Z634="",'实盘净值数据(iFinD）'!$AA634=""),"",分期持仓明细!$AB$23*(SUMPRODUCT(分期持仓明细!$B$23:$Y$23,'实盘净值数据(iFinD）'!$B634:$Y634/'实盘净值数据(iFinD）'!$B$65:$Y$65)+SUMPRODUCT(分期持仓明细!$AC$23:$AD$23,'实盘净值数据(iFinD）'!$Z634:$AA634/'实盘净值数据(iFinD）'!$Z$65:$AA$65))*(1-实盘持仓初始配置!$Z$7)^(('实盘净值数据(iFinD）'!$A634-'实盘净值数据(iFinD）'!$A$8)/365))</f>
        <v/>
      </c>
      <c r="L634" s="16" t="str">
        <f t="shared" si="57"/>
        <v/>
      </c>
      <c r="M634" s="16" t="str">
        <f>IF(K634="","",K634/MAX(K$5:K634)-1)</f>
        <v/>
      </c>
      <c r="N634" s="13" t="str">
        <f>IF(OR('实盘净值数据(iFinD）'!$A634="",'实盘净值数据(iFinD）'!$B634="",'实盘净值数据(iFinD）'!$Z634="",'实盘净值数据(iFinD）'!$AA634=""),"",分期持仓明细!$AB$24*(SUMPRODUCT(分期持仓明细!$B$24:$Y$24,'实盘净值数据(iFinD）'!$B634:$Y634/'实盘净值数据(iFinD）'!$B$65:$Y$65)+SUMPRODUCT(分期持仓明细!$AC$24:$AD$24,'实盘净值数据(iFinD）'!$Z634:$AA634/'实盘净值数据(iFinD）'!$Z$65:$AA$65))*(1-实盘持仓初始配置!$Z$8)^(('实盘净值数据(iFinD）'!$A634-'实盘净值数据(iFinD）'!$A$5)/365))</f>
        <v/>
      </c>
      <c r="O634" s="16" t="str">
        <f t="shared" si="58"/>
        <v/>
      </c>
      <c r="P634" s="16" t="str">
        <f>IF(N634="","",N634/MAX(N$5:N634)-1)</f>
        <v/>
      </c>
      <c r="Q634" s="13" t="str">
        <f>IF(OR('实盘净值数据(iFinD）'!$A634="",'实盘净值数据(iFinD）'!$B634="",'实盘净值数据(iFinD）'!$Z634="",'实盘净值数据(iFinD）'!$AA634=""),"",分期持仓明细!$AB$25*(SUMPRODUCT(分期持仓明细!$B$25:$Y$25,'实盘净值数据(iFinD）'!$B634:$Y634/'实盘净值数据(iFinD）'!$B$65:$Y$65)+SUMPRODUCT(分期持仓明细!$AC$25:$AD$25,'实盘净值数据(iFinD）'!$Z634:$AA634/'实盘净值数据(iFinD）'!$Z$65:$AA$65))*(1-实盘持仓初始配置!$Z$9)^(('实盘净值数据(iFinD）'!$A634-'实盘净值数据(iFinD）'!$A$8)/365))</f>
        <v/>
      </c>
      <c r="R634" s="16" t="str">
        <f t="shared" si="59"/>
        <v/>
      </c>
      <c r="S634" s="16" t="str">
        <f>IF(Q634="","",Q634/MAX(Q$5:Q634)-1)</f>
        <v/>
      </c>
    </row>
    <row r="635" spans="1:19">
      <c r="A635" s="15" t="str">
        <f>IF('实盘净值数据(iFinD）'!A635="","",'实盘净值数据(iFinD）'!A635)</f>
        <v/>
      </c>
      <c r="B635" s="13" t="str">
        <f>IF(OR('实盘净值数据(iFinD）'!$A635="",'实盘净值数据(iFinD）'!$B635=""),"",分期持仓明细!$AB$17*SUMPRODUCT(分期持仓明细!$B$17:$Y$17,'实盘净值数据(iFinD）'!$B635:$Y635/'实盘净值数据(iFinD）'!$B$20:$Y$20)*(1-实盘持仓初始配置!$Z$4)^(('实盘净值数据(iFinD）'!$A635-'实盘净值数据(iFinD）'!$A$6)/365))</f>
        <v/>
      </c>
      <c r="C635" s="16" t="str">
        <f t="shared" si="54"/>
        <v/>
      </c>
      <c r="D635" s="16" t="str">
        <f>IF(B635="","",B635/MAX(B$5:B635)-1)</f>
        <v/>
      </c>
      <c r="E635" s="13" t="str">
        <f>IF(OR('实盘净值数据(iFinD）'!$A635="",'实盘净值数据(iFinD）'!$B635=""),"",分期持仓明细!$AB$18*SUMPRODUCT(分期持仓明细!$B$18:$Y$18,'实盘净值数据(iFinD）'!$B635:$Y635/'实盘净值数据(iFinD）'!$B$20:$Y$20)*(1-实盘持仓初始配置!$Z$5)^(('实盘净值数据(iFinD）'!$A635-'实盘净值数据(iFinD）'!$A$5)/365))</f>
        <v/>
      </c>
      <c r="F635" s="16" t="str">
        <f t="shared" si="55"/>
        <v/>
      </c>
      <c r="G635" s="16" t="str">
        <f>IF(E635="","",E635/MAX(E$5:E635)-1)</f>
        <v/>
      </c>
      <c r="H635" s="13" t="str">
        <f>IF(OR('实盘净值数据(iFinD）'!$A635="",'实盘净值数据(iFinD）'!$B635=""),"",分期持仓明细!$AB$19*SUMPRODUCT(分期持仓明细!$B$19:$Y$19,'实盘净值数据(iFinD）'!$B635:$Y635/'实盘净值数据(iFinD）'!$B$20:$Y$20)*(1-实盘持仓初始配置!$Z$6)^(('实盘净值数据(iFinD）'!$A635-'实盘净值数据(iFinD）'!$A$7)/365))</f>
        <v/>
      </c>
      <c r="I635" s="16" t="str">
        <f t="shared" si="56"/>
        <v/>
      </c>
      <c r="J635" s="16" t="str">
        <f>IF(H635="","",H635/MAX(H$5:H635)-1)</f>
        <v/>
      </c>
      <c r="K635" s="13" t="str">
        <f>IF(OR('实盘净值数据(iFinD）'!$A635="",'实盘净值数据(iFinD）'!$B635="",'实盘净值数据(iFinD）'!$Z635="",'实盘净值数据(iFinD）'!$AA635=""),"",分期持仓明细!$AB$23*(SUMPRODUCT(分期持仓明细!$B$23:$Y$23,'实盘净值数据(iFinD）'!$B635:$Y635/'实盘净值数据(iFinD）'!$B$65:$Y$65)+SUMPRODUCT(分期持仓明细!$AC$23:$AD$23,'实盘净值数据(iFinD）'!$Z635:$AA635/'实盘净值数据(iFinD）'!$Z$65:$AA$65))*(1-实盘持仓初始配置!$Z$7)^(('实盘净值数据(iFinD）'!$A635-'实盘净值数据(iFinD）'!$A$8)/365))</f>
        <v/>
      </c>
      <c r="L635" s="16" t="str">
        <f t="shared" si="57"/>
        <v/>
      </c>
      <c r="M635" s="16" t="str">
        <f>IF(K635="","",K635/MAX(K$5:K635)-1)</f>
        <v/>
      </c>
      <c r="N635" s="13" t="str">
        <f>IF(OR('实盘净值数据(iFinD）'!$A635="",'实盘净值数据(iFinD）'!$B635="",'实盘净值数据(iFinD）'!$Z635="",'实盘净值数据(iFinD）'!$AA635=""),"",分期持仓明细!$AB$24*(SUMPRODUCT(分期持仓明细!$B$24:$Y$24,'实盘净值数据(iFinD）'!$B635:$Y635/'实盘净值数据(iFinD）'!$B$65:$Y$65)+SUMPRODUCT(分期持仓明细!$AC$24:$AD$24,'实盘净值数据(iFinD）'!$Z635:$AA635/'实盘净值数据(iFinD）'!$Z$65:$AA$65))*(1-实盘持仓初始配置!$Z$8)^(('实盘净值数据(iFinD）'!$A635-'实盘净值数据(iFinD）'!$A$5)/365))</f>
        <v/>
      </c>
      <c r="O635" s="16" t="str">
        <f t="shared" si="58"/>
        <v/>
      </c>
      <c r="P635" s="16" t="str">
        <f>IF(N635="","",N635/MAX(N$5:N635)-1)</f>
        <v/>
      </c>
      <c r="Q635" s="13" t="str">
        <f>IF(OR('实盘净值数据(iFinD）'!$A635="",'实盘净值数据(iFinD）'!$B635="",'实盘净值数据(iFinD）'!$Z635="",'实盘净值数据(iFinD）'!$AA635=""),"",分期持仓明细!$AB$25*(SUMPRODUCT(分期持仓明细!$B$25:$Y$25,'实盘净值数据(iFinD）'!$B635:$Y635/'实盘净值数据(iFinD）'!$B$65:$Y$65)+SUMPRODUCT(分期持仓明细!$AC$25:$AD$25,'实盘净值数据(iFinD）'!$Z635:$AA635/'实盘净值数据(iFinD）'!$Z$65:$AA$65))*(1-实盘持仓初始配置!$Z$9)^(('实盘净值数据(iFinD）'!$A635-'实盘净值数据(iFinD）'!$A$8)/365))</f>
        <v/>
      </c>
      <c r="R635" s="16" t="str">
        <f t="shared" si="59"/>
        <v/>
      </c>
      <c r="S635" s="16" t="str">
        <f>IF(Q635="","",Q635/MAX(Q$5:Q635)-1)</f>
        <v/>
      </c>
    </row>
    <row r="636" spans="1:19">
      <c r="A636" s="15" t="str">
        <f>IF('实盘净值数据(iFinD）'!A636="","",'实盘净值数据(iFinD）'!A636)</f>
        <v/>
      </c>
      <c r="B636" s="13" t="str">
        <f>IF(OR('实盘净值数据(iFinD）'!$A636="",'实盘净值数据(iFinD）'!$B636=""),"",分期持仓明细!$AB$17*SUMPRODUCT(分期持仓明细!$B$17:$Y$17,'实盘净值数据(iFinD）'!$B636:$Y636/'实盘净值数据(iFinD）'!$B$20:$Y$20)*(1-实盘持仓初始配置!$Z$4)^(('实盘净值数据(iFinD）'!$A636-'实盘净值数据(iFinD）'!$A$6)/365))</f>
        <v/>
      </c>
      <c r="C636" s="16" t="str">
        <f t="shared" ref="C636:C699" si="60">IF(OR(B635="",B636=""),"",B636/B635-1)</f>
        <v/>
      </c>
      <c r="D636" s="16" t="str">
        <f>IF(B636="","",B636/MAX(B$5:B636)-1)</f>
        <v/>
      </c>
      <c r="E636" s="13" t="str">
        <f>IF(OR('实盘净值数据(iFinD）'!$A636="",'实盘净值数据(iFinD）'!$B636=""),"",分期持仓明细!$AB$18*SUMPRODUCT(分期持仓明细!$B$18:$Y$18,'实盘净值数据(iFinD）'!$B636:$Y636/'实盘净值数据(iFinD）'!$B$20:$Y$20)*(1-实盘持仓初始配置!$Z$5)^(('实盘净值数据(iFinD）'!$A636-'实盘净值数据(iFinD）'!$A$5)/365))</f>
        <v/>
      </c>
      <c r="F636" s="16" t="str">
        <f t="shared" ref="F636:F699" si="61">IF(OR(E635="",E636=""),"",E636/E635-1)</f>
        <v/>
      </c>
      <c r="G636" s="16" t="str">
        <f>IF(E636="","",E636/MAX(E$5:E636)-1)</f>
        <v/>
      </c>
      <c r="H636" s="13" t="str">
        <f>IF(OR('实盘净值数据(iFinD）'!$A636="",'实盘净值数据(iFinD）'!$B636=""),"",分期持仓明细!$AB$19*SUMPRODUCT(分期持仓明细!$B$19:$Y$19,'实盘净值数据(iFinD）'!$B636:$Y636/'实盘净值数据(iFinD）'!$B$20:$Y$20)*(1-实盘持仓初始配置!$Z$6)^(('实盘净值数据(iFinD）'!$A636-'实盘净值数据(iFinD）'!$A$7)/365))</f>
        <v/>
      </c>
      <c r="I636" s="16" t="str">
        <f t="shared" ref="I636:I699" si="62">IF(OR(H635="",H636=""),"",H636/H635-1)</f>
        <v/>
      </c>
      <c r="J636" s="16" t="str">
        <f>IF(H636="","",H636/MAX(H$5:H636)-1)</f>
        <v/>
      </c>
      <c r="K636" s="13" t="str">
        <f>IF(OR('实盘净值数据(iFinD）'!$A636="",'实盘净值数据(iFinD）'!$B636="",'实盘净值数据(iFinD）'!$Z636="",'实盘净值数据(iFinD）'!$AA636=""),"",分期持仓明细!$AB$23*(SUMPRODUCT(分期持仓明细!$B$23:$Y$23,'实盘净值数据(iFinD）'!$B636:$Y636/'实盘净值数据(iFinD）'!$B$65:$Y$65)+SUMPRODUCT(分期持仓明细!$AC$23:$AD$23,'实盘净值数据(iFinD）'!$Z636:$AA636/'实盘净值数据(iFinD）'!$Z$65:$AA$65))*(1-实盘持仓初始配置!$Z$7)^(('实盘净值数据(iFinD）'!$A636-'实盘净值数据(iFinD）'!$A$8)/365))</f>
        <v/>
      </c>
      <c r="L636" s="16" t="str">
        <f t="shared" ref="L636:L699" si="63">IF(OR(K635="",K636=""),"",K636/K635-1)</f>
        <v/>
      </c>
      <c r="M636" s="16" t="str">
        <f>IF(K636="","",K636/MAX(K$5:K636)-1)</f>
        <v/>
      </c>
      <c r="N636" s="13" t="str">
        <f>IF(OR('实盘净值数据(iFinD）'!$A636="",'实盘净值数据(iFinD）'!$B636="",'实盘净值数据(iFinD）'!$Z636="",'实盘净值数据(iFinD）'!$AA636=""),"",分期持仓明细!$AB$24*(SUMPRODUCT(分期持仓明细!$B$24:$Y$24,'实盘净值数据(iFinD）'!$B636:$Y636/'实盘净值数据(iFinD）'!$B$65:$Y$65)+SUMPRODUCT(分期持仓明细!$AC$24:$AD$24,'实盘净值数据(iFinD）'!$Z636:$AA636/'实盘净值数据(iFinD）'!$Z$65:$AA$65))*(1-实盘持仓初始配置!$Z$8)^(('实盘净值数据(iFinD）'!$A636-'实盘净值数据(iFinD）'!$A$5)/365))</f>
        <v/>
      </c>
      <c r="O636" s="16" t="str">
        <f t="shared" ref="O636:O699" si="64">IF(OR(N635="",N636=""),"",N636/N635-1)</f>
        <v/>
      </c>
      <c r="P636" s="16" t="str">
        <f>IF(N636="","",N636/MAX(N$5:N636)-1)</f>
        <v/>
      </c>
      <c r="Q636" s="13" t="str">
        <f>IF(OR('实盘净值数据(iFinD）'!$A636="",'实盘净值数据(iFinD）'!$B636="",'实盘净值数据(iFinD）'!$Z636="",'实盘净值数据(iFinD）'!$AA636=""),"",分期持仓明细!$AB$25*(SUMPRODUCT(分期持仓明细!$B$25:$Y$25,'实盘净值数据(iFinD）'!$B636:$Y636/'实盘净值数据(iFinD）'!$B$65:$Y$65)+SUMPRODUCT(分期持仓明细!$AC$25:$AD$25,'实盘净值数据(iFinD）'!$Z636:$AA636/'实盘净值数据(iFinD）'!$Z$65:$AA$65))*(1-实盘持仓初始配置!$Z$9)^(('实盘净值数据(iFinD）'!$A636-'实盘净值数据(iFinD）'!$A$8)/365))</f>
        <v/>
      </c>
      <c r="R636" s="16" t="str">
        <f t="shared" ref="R636:R699" si="65">IF(OR(Q635="",Q636=""),"",Q636/Q635-1)</f>
        <v/>
      </c>
      <c r="S636" s="16" t="str">
        <f>IF(Q636="","",Q636/MAX(Q$5:Q636)-1)</f>
        <v/>
      </c>
    </row>
    <row r="637" spans="1:19">
      <c r="A637" s="15" t="str">
        <f>IF('实盘净值数据(iFinD）'!A637="","",'实盘净值数据(iFinD）'!A637)</f>
        <v/>
      </c>
      <c r="B637" s="13" t="str">
        <f>IF(OR('实盘净值数据(iFinD）'!$A637="",'实盘净值数据(iFinD）'!$B637=""),"",分期持仓明细!$AB$17*SUMPRODUCT(分期持仓明细!$B$17:$Y$17,'实盘净值数据(iFinD）'!$B637:$Y637/'实盘净值数据(iFinD）'!$B$20:$Y$20)*(1-实盘持仓初始配置!$Z$4)^(('实盘净值数据(iFinD）'!$A637-'实盘净值数据(iFinD）'!$A$6)/365))</f>
        <v/>
      </c>
      <c r="C637" s="16" t="str">
        <f t="shared" si="60"/>
        <v/>
      </c>
      <c r="D637" s="16" t="str">
        <f>IF(B637="","",B637/MAX(B$5:B637)-1)</f>
        <v/>
      </c>
      <c r="E637" s="13" t="str">
        <f>IF(OR('实盘净值数据(iFinD）'!$A637="",'实盘净值数据(iFinD）'!$B637=""),"",分期持仓明细!$AB$18*SUMPRODUCT(分期持仓明细!$B$18:$Y$18,'实盘净值数据(iFinD）'!$B637:$Y637/'实盘净值数据(iFinD）'!$B$20:$Y$20)*(1-实盘持仓初始配置!$Z$5)^(('实盘净值数据(iFinD）'!$A637-'实盘净值数据(iFinD）'!$A$5)/365))</f>
        <v/>
      </c>
      <c r="F637" s="16" t="str">
        <f t="shared" si="61"/>
        <v/>
      </c>
      <c r="G637" s="16" t="str">
        <f>IF(E637="","",E637/MAX(E$5:E637)-1)</f>
        <v/>
      </c>
      <c r="H637" s="13" t="str">
        <f>IF(OR('实盘净值数据(iFinD）'!$A637="",'实盘净值数据(iFinD）'!$B637=""),"",分期持仓明细!$AB$19*SUMPRODUCT(分期持仓明细!$B$19:$Y$19,'实盘净值数据(iFinD）'!$B637:$Y637/'实盘净值数据(iFinD）'!$B$20:$Y$20)*(1-实盘持仓初始配置!$Z$6)^(('实盘净值数据(iFinD）'!$A637-'实盘净值数据(iFinD）'!$A$7)/365))</f>
        <v/>
      </c>
      <c r="I637" s="16" t="str">
        <f t="shared" si="62"/>
        <v/>
      </c>
      <c r="J637" s="16" t="str">
        <f>IF(H637="","",H637/MAX(H$5:H637)-1)</f>
        <v/>
      </c>
      <c r="K637" s="13" t="str">
        <f>IF(OR('实盘净值数据(iFinD）'!$A637="",'实盘净值数据(iFinD）'!$B637="",'实盘净值数据(iFinD）'!$Z637="",'实盘净值数据(iFinD）'!$AA637=""),"",分期持仓明细!$AB$23*(SUMPRODUCT(分期持仓明细!$B$23:$Y$23,'实盘净值数据(iFinD）'!$B637:$Y637/'实盘净值数据(iFinD）'!$B$65:$Y$65)+SUMPRODUCT(分期持仓明细!$AC$23:$AD$23,'实盘净值数据(iFinD）'!$Z637:$AA637/'实盘净值数据(iFinD）'!$Z$65:$AA$65))*(1-实盘持仓初始配置!$Z$7)^(('实盘净值数据(iFinD）'!$A637-'实盘净值数据(iFinD）'!$A$8)/365))</f>
        <v/>
      </c>
      <c r="L637" s="16" t="str">
        <f t="shared" si="63"/>
        <v/>
      </c>
      <c r="M637" s="16" t="str">
        <f>IF(K637="","",K637/MAX(K$5:K637)-1)</f>
        <v/>
      </c>
      <c r="N637" s="13" t="str">
        <f>IF(OR('实盘净值数据(iFinD）'!$A637="",'实盘净值数据(iFinD）'!$B637="",'实盘净值数据(iFinD）'!$Z637="",'实盘净值数据(iFinD）'!$AA637=""),"",分期持仓明细!$AB$24*(SUMPRODUCT(分期持仓明细!$B$24:$Y$24,'实盘净值数据(iFinD）'!$B637:$Y637/'实盘净值数据(iFinD）'!$B$65:$Y$65)+SUMPRODUCT(分期持仓明细!$AC$24:$AD$24,'实盘净值数据(iFinD）'!$Z637:$AA637/'实盘净值数据(iFinD）'!$Z$65:$AA$65))*(1-实盘持仓初始配置!$Z$8)^(('实盘净值数据(iFinD）'!$A637-'实盘净值数据(iFinD）'!$A$5)/365))</f>
        <v/>
      </c>
      <c r="O637" s="16" t="str">
        <f t="shared" si="64"/>
        <v/>
      </c>
      <c r="P637" s="16" t="str">
        <f>IF(N637="","",N637/MAX(N$5:N637)-1)</f>
        <v/>
      </c>
      <c r="Q637" s="13" t="str">
        <f>IF(OR('实盘净值数据(iFinD）'!$A637="",'实盘净值数据(iFinD）'!$B637="",'实盘净值数据(iFinD）'!$Z637="",'实盘净值数据(iFinD）'!$AA637=""),"",分期持仓明细!$AB$25*(SUMPRODUCT(分期持仓明细!$B$25:$Y$25,'实盘净值数据(iFinD）'!$B637:$Y637/'实盘净值数据(iFinD）'!$B$65:$Y$65)+SUMPRODUCT(分期持仓明细!$AC$25:$AD$25,'实盘净值数据(iFinD）'!$Z637:$AA637/'实盘净值数据(iFinD）'!$Z$65:$AA$65))*(1-实盘持仓初始配置!$Z$9)^(('实盘净值数据(iFinD）'!$A637-'实盘净值数据(iFinD）'!$A$8)/365))</f>
        <v/>
      </c>
      <c r="R637" s="16" t="str">
        <f t="shared" si="65"/>
        <v/>
      </c>
      <c r="S637" s="16" t="str">
        <f>IF(Q637="","",Q637/MAX(Q$5:Q637)-1)</f>
        <v/>
      </c>
    </row>
    <row r="638" spans="1:19">
      <c r="A638" s="15" t="str">
        <f>IF('实盘净值数据(iFinD）'!A638="","",'实盘净值数据(iFinD）'!A638)</f>
        <v/>
      </c>
      <c r="B638" s="13" t="str">
        <f>IF(OR('实盘净值数据(iFinD）'!$A638="",'实盘净值数据(iFinD）'!$B638=""),"",分期持仓明细!$AB$17*SUMPRODUCT(分期持仓明细!$B$17:$Y$17,'实盘净值数据(iFinD）'!$B638:$Y638/'实盘净值数据(iFinD）'!$B$20:$Y$20)*(1-实盘持仓初始配置!$Z$4)^(('实盘净值数据(iFinD）'!$A638-'实盘净值数据(iFinD）'!$A$6)/365))</f>
        <v/>
      </c>
      <c r="C638" s="16" t="str">
        <f t="shared" si="60"/>
        <v/>
      </c>
      <c r="D638" s="16" t="str">
        <f>IF(B638="","",B638/MAX(B$5:B638)-1)</f>
        <v/>
      </c>
      <c r="E638" s="13" t="str">
        <f>IF(OR('实盘净值数据(iFinD）'!$A638="",'实盘净值数据(iFinD）'!$B638=""),"",分期持仓明细!$AB$18*SUMPRODUCT(分期持仓明细!$B$18:$Y$18,'实盘净值数据(iFinD）'!$B638:$Y638/'实盘净值数据(iFinD）'!$B$20:$Y$20)*(1-实盘持仓初始配置!$Z$5)^(('实盘净值数据(iFinD）'!$A638-'实盘净值数据(iFinD）'!$A$5)/365))</f>
        <v/>
      </c>
      <c r="F638" s="16" t="str">
        <f t="shared" si="61"/>
        <v/>
      </c>
      <c r="G638" s="16" t="str">
        <f>IF(E638="","",E638/MAX(E$5:E638)-1)</f>
        <v/>
      </c>
      <c r="H638" s="13" t="str">
        <f>IF(OR('实盘净值数据(iFinD）'!$A638="",'实盘净值数据(iFinD）'!$B638=""),"",分期持仓明细!$AB$19*SUMPRODUCT(分期持仓明细!$B$19:$Y$19,'实盘净值数据(iFinD）'!$B638:$Y638/'实盘净值数据(iFinD）'!$B$20:$Y$20)*(1-实盘持仓初始配置!$Z$6)^(('实盘净值数据(iFinD）'!$A638-'实盘净值数据(iFinD）'!$A$7)/365))</f>
        <v/>
      </c>
      <c r="I638" s="16" t="str">
        <f t="shared" si="62"/>
        <v/>
      </c>
      <c r="J638" s="16" t="str">
        <f>IF(H638="","",H638/MAX(H$5:H638)-1)</f>
        <v/>
      </c>
      <c r="K638" s="13" t="str">
        <f>IF(OR('实盘净值数据(iFinD）'!$A638="",'实盘净值数据(iFinD）'!$B638="",'实盘净值数据(iFinD）'!$Z638="",'实盘净值数据(iFinD）'!$AA638=""),"",分期持仓明细!$AB$23*(SUMPRODUCT(分期持仓明细!$B$23:$Y$23,'实盘净值数据(iFinD）'!$B638:$Y638/'实盘净值数据(iFinD）'!$B$65:$Y$65)+SUMPRODUCT(分期持仓明细!$AC$23:$AD$23,'实盘净值数据(iFinD）'!$Z638:$AA638/'实盘净值数据(iFinD）'!$Z$65:$AA$65))*(1-实盘持仓初始配置!$Z$7)^(('实盘净值数据(iFinD）'!$A638-'实盘净值数据(iFinD）'!$A$8)/365))</f>
        <v/>
      </c>
      <c r="L638" s="16" t="str">
        <f t="shared" si="63"/>
        <v/>
      </c>
      <c r="M638" s="16" t="str">
        <f>IF(K638="","",K638/MAX(K$5:K638)-1)</f>
        <v/>
      </c>
      <c r="N638" s="13" t="str">
        <f>IF(OR('实盘净值数据(iFinD）'!$A638="",'实盘净值数据(iFinD）'!$B638="",'实盘净值数据(iFinD）'!$Z638="",'实盘净值数据(iFinD）'!$AA638=""),"",分期持仓明细!$AB$24*(SUMPRODUCT(分期持仓明细!$B$24:$Y$24,'实盘净值数据(iFinD）'!$B638:$Y638/'实盘净值数据(iFinD）'!$B$65:$Y$65)+SUMPRODUCT(分期持仓明细!$AC$24:$AD$24,'实盘净值数据(iFinD）'!$Z638:$AA638/'实盘净值数据(iFinD）'!$Z$65:$AA$65))*(1-实盘持仓初始配置!$Z$8)^(('实盘净值数据(iFinD）'!$A638-'实盘净值数据(iFinD）'!$A$5)/365))</f>
        <v/>
      </c>
      <c r="O638" s="16" t="str">
        <f t="shared" si="64"/>
        <v/>
      </c>
      <c r="P638" s="16" t="str">
        <f>IF(N638="","",N638/MAX(N$5:N638)-1)</f>
        <v/>
      </c>
      <c r="Q638" s="13" t="str">
        <f>IF(OR('实盘净值数据(iFinD）'!$A638="",'实盘净值数据(iFinD）'!$B638="",'实盘净值数据(iFinD）'!$Z638="",'实盘净值数据(iFinD）'!$AA638=""),"",分期持仓明细!$AB$25*(SUMPRODUCT(分期持仓明细!$B$25:$Y$25,'实盘净值数据(iFinD）'!$B638:$Y638/'实盘净值数据(iFinD）'!$B$65:$Y$65)+SUMPRODUCT(分期持仓明细!$AC$25:$AD$25,'实盘净值数据(iFinD）'!$Z638:$AA638/'实盘净值数据(iFinD）'!$Z$65:$AA$65))*(1-实盘持仓初始配置!$Z$9)^(('实盘净值数据(iFinD）'!$A638-'实盘净值数据(iFinD）'!$A$8)/365))</f>
        <v/>
      </c>
      <c r="R638" s="16" t="str">
        <f t="shared" si="65"/>
        <v/>
      </c>
      <c r="S638" s="16" t="str">
        <f>IF(Q638="","",Q638/MAX(Q$5:Q638)-1)</f>
        <v/>
      </c>
    </row>
    <row r="639" spans="1:19">
      <c r="A639" s="15" t="str">
        <f>IF('实盘净值数据(iFinD）'!A639="","",'实盘净值数据(iFinD）'!A639)</f>
        <v/>
      </c>
      <c r="B639" s="13" t="str">
        <f>IF(OR('实盘净值数据(iFinD）'!$A639="",'实盘净值数据(iFinD）'!$B639=""),"",分期持仓明细!$AB$17*SUMPRODUCT(分期持仓明细!$B$17:$Y$17,'实盘净值数据(iFinD）'!$B639:$Y639/'实盘净值数据(iFinD）'!$B$20:$Y$20)*(1-实盘持仓初始配置!$Z$4)^(('实盘净值数据(iFinD）'!$A639-'实盘净值数据(iFinD）'!$A$6)/365))</f>
        <v/>
      </c>
      <c r="C639" s="16" t="str">
        <f t="shared" si="60"/>
        <v/>
      </c>
      <c r="D639" s="16" t="str">
        <f>IF(B639="","",B639/MAX(B$5:B639)-1)</f>
        <v/>
      </c>
      <c r="E639" s="13" t="str">
        <f>IF(OR('实盘净值数据(iFinD）'!$A639="",'实盘净值数据(iFinD）'!$B639=""),"",分期持仓明细!$AB$18*SUMPRODUCT(分期持仓明细!$B$18:$Y$18,'实盘净值数据(iFinD）'!$B639:$Y639/'实盘净值数据(iFinD）'!$B$20:$Y$20)*(1-实盘持仓初始配置!$Z$5)^(('实盘净值数据(iFinD）'!$A639-'实盘净值数据(iFinD）'!$A$5)/365))</f>
        <v/>
      </c>
      <c r="F639" s="16" t="str">
        <f t="shared" si="61"/>
        <v/>
      </c>
      <c r="G639" s="16" t="str">
        <f>IF(E639="","",E639/MAX(E$5:E639)-1)</f>
        <v/>
      </c>
      <c r="H639" s="13" t="str">
        <f>IF(OR('实盘净值数据(iFinD）'!$A639="",'实盘净值数据(iFinD）'!$B639=""),"",分期持仓明细!$AB$19*SUMPRODUCT(分期持仓明细!$B$19:$Y$19,'实盘净值数据(iFinD）'!$B639:$Y639/'实盘净值数据(iFinD）'!$B$20:$Y$20)*(1-实盘持仓初始配置!$Z$6)^(('实盘净值数据(iFinD）'!$A639-'实盘净值数据(iFinD）'!$A$7)/365))</f>
        <v/>
      </c>
      <c r="I639" s="16" t="str">
        <f t="shared" si="62"/>
        <v/>
      </c>
      <c r="J639" s="16" t="str">
        <f>IF(H639="","",H639/MAX(H$5:H639)-1)</f>
        <v/>
      </c>
      <c r="K639" s="13" t="str">
        <f>IF(OR('实盘净值数据(iFinD）'!$A639="",'实盘净值数据(iFinD）'!$B639="",'实盘净值数据(iFinD）'!$Z639="",'实盘净值数据(iFinD）'!$AA639=""),"",分期持仓明细!$AB$23*(SUMPRODUCT(分期持仓明细!$B$23:$Y$23,'实盘净值数据(iFinD）'!$B639:$Y639/'实盘净值数据(iFinD）'!$B$65:$Y$65)+SUMPRODUCT(分期持仓明细!$AC$23:$AD$23,'实盘净值数据(iFinD）'!$Z639:$AA639/'实盘净值数据(iFinD）'!$Z$65:$AA$65))*(1-实盘持仓初始配置!$Z$7)^(('实盘净值数据(iFinD）'!$A639-'实盘净值数据(iFinD）'!$A$8)/365))</f>
        <v/>
      </c>
      <c r="L639" s="16" t="str">
        <f t="shared" si="63"/>
        <v/>
      </c>
      <c r="M639" s="16" t="str">
        <f>IF(K639="","",K639/MAX(K$5:K639)-1)</f>
        <v/>
      </c>
      <c r="N639" s="13" t="str">
        <f>IF(OR('实盘净值数据(iFinD）'!$A639="",'实盘净值数据(iFinD）'!$B639="",'实盘净值数据(iFinD）'!$Z639="",'实盘净值数据(iFinD）'!$AA639=""),"",分期持仓明细!$AB$24*(SUMPRODUCT(分期持仓明细!$B$24:$Y$24,'实盘净值数据(iFinD）'!$B639:$Y639/'实盘净值数据(iFinD）'!$B$65:$Y$65)+SUMPRODUCT(分期持仓明细!$AC$24:$AD$24,'实盘净值数据(iFinD）'!$Z639:$AA639/'实盘净值数据(iFinD）'!$Z$65:$AA$65))*(1-实盘持仓初始配置!$Z$8)^(('实盘净值数据(iFinD）'!$A639-'实盘净值数据(iFinD）'!$A$5)/365))</f>
        <v/>
      </c>
      <c r="O639" s="16" t="str">
        <f t="shared" si="64"/>
        <v/>
      </c>
      <c r="P639" s="16" t="str">
        <f>IF(N639="","",N639/MAX(N$5:N639)-1)</f>
        <v/>
      </c>
      <c r="Q639" s="13" t="str">
        <f>IF(OR('实盘净值数据(iFinD）'!$A639="",'实盘净值数据(iFinD）'!$B639="",'实盘净值数据(iFinD）'!$Z639="",'实盘净值数据(iFinD）'!$AA639=""),"",分期持仓明细!$AB$25*(SUMPRODUCT(分期持仓明细!$B$25:$Y$25,'实盘净值数据(iFinD）'!$B639:$Y639/'实盘净值数据(iFinD）'!$B$65:$Y$65)+SUMPRODUCT(分期持仓明细!$AC$25:$AD$25,'实盘净值数据(iFinD）'!$Z639:$AA639/'实盘净值数据(iFinD）'!$Z$65:$AA$65))*(1-实盘持仓初始配置!$Z$9)^(('实盘净值数据(iFinD）'!$A639-'实盘净值数据(iFinD）'!$A$8)/365))</f>
        <v/>
      </c>
      <c r="R639" s="16" t="str">
        <f t="shared" si="65"/>
        <v/>
      </c>
      <c r="S639" s="16" t="str">
        <f>IF(Q639="","",Q639/MAX(Q$5:Q639)-1)</f>
        <v/>
      </c>
    </row>
    <row r="640" spans="1:19">
      <c r="A640" s="15" t="str">
        <f>IF('实盘净值数据(iFinD）'!A640="","",'实盘净值数据(iFinD）'!A640)</f>
        <v/>
      </c>
      <c r="B640" s="13" t="str">
        <f>IF(OR('实盘净值数据(iFinD）'!$A640="",'实盘净值数据(iFinD）'!$B640=""),"",分期持仓明细!$AB$17*SUMPRODUCT(分期持仓明细!$B$17:$Y$17,'实盘净值数据(iFinD）'!$B640:$Y640/'实盘净值数据(iFinD）'!$B$20:$Y$20)*(1-实盘持仓初始配置!$Z$4)^(('实盘净值数据(iFinD）'!$A640-'实盘净值数据(iFinD）'!$A$6)/365))</f>
        <v/>
      </c>
      <c r="C640" s="16" t="str">
        <f t="shared" si="60"/>
        <v/>
      </c>
      <c r="D640" s="16" t="str">
        <f>IF(B640="","",B640/MAX(B$5:B640)-1)</f>
        <v/>
      </c>
      <c r="E640" s="13" t="str">
        <f>IF(OR('实盘净值数据(iFinD）'!$A640="",'实盘净值数据(iFinD）'!$B640=""),"",分期持仓明细!$AB$18*SUMPRODUCT(分期持仓明细!$B$18:$Y$18,'实盘净值数据(iFinD）'!$B640:$Y640/'实盘净值数据(iFinD）'!$B$20:$Y$20)*(1-实盘持仓初始配置!$Z$5)^(('实盘净值数据(iFinD）'!$A640-'实盘净值数据(iFinD）'!$A$5)/365))</f>
        <v/>
      </c>
      <c r="F640" s="16" t="str">
        <f t="shared" si="61"/>
        <v/>
      </c>
      <c r="G640" s="16" t="str">
        <f>IF(E640="","",E640/MAX(E$5:E640)-1)</f>
        <v/>
      </c>
      <c r="H640" s="13" t="str">
        <f>IF(OR('实盘净值数据(iFinD）'!$A640="",'实盘净值数据(iFinD）'!$B640=""),"",分期持仓明细!$AB$19*SUMPRODUCT(分期持仓明细!$B$19:$Y$19,'实盘净值数据(iFinD）'!$B640:$Y640/'实盘净值数据(iFinD）'!$B$20:$Y$20)*(1-实盘持仓初始配置!$Z$6)^(('实盘净值数据(iFinD）'!$A640-'实盘净值数据(iFinD）'!$A$7)/365))</f>
        <v/>
      </c>
      <c r="I640" s="16" t="str">
        <f t="shared" si="62"/>
        <v/>
      </c>
      <c r="J640" s="16" t="str">
        <f>IF(H640="","",H640/MAX(H$5:H640)-1)</f>
        <v/>
      </c>
      <c r="K640" s="13" t="str">
        <f>IF(OR('实盘净值数据(iFinD）'!$A640="",'实盘净值数据(iFinD）'!$B640="",'实盘净值数据(iFinD）'!$Z640="",'实盘净值数据(iFinD）'!$AA640=""),"",分期持仓明细!$AB$23*(SUMPRODUCT(分期持仓明细!$B$23:$Y$23,'实盘净值数据(iFinD）'!$B640:$Y640/'实盘净值数据(iFinD）'!$B$65:$Y$65)+SUMPRODUCT(分期持仓明细!$AC$23:$AD$23,'实盘净值数据(iFinD）'!$Z640:$AA640/'实盘净值数据(iFinD）'!$Z$65:$AA$65))*(1-实盘持仓初始配置!$Z$7)^(('实盘净值数据(iFinD）'!$A640-'实盘净值数据(iFinD）'!$A$8)/365))</f>
        <v/>
      </c>
      <c r="L640" s="16" t="str">
        <f t="shared" si="63"/>
        <v/>
      </c>
      <c r="M640" s="16" t="str">
        <f>IF(K640="","",K640/MAX(K$5:K640)-1)</f>
        <v/>
      </c>
      <c r="N640" s="13" t="str">
        <f>IF(OR('实盘净值数据(iFinD）'!$A640="",'实盘净值数据(iFinD）'!$B640="",'实盘净值数据(iFinD）'!$Z640="",'实盘净值数据(iFinD）'!$AA640=""),"",分期持仓明细!$AB$24*(SUMPRODUCT(分期持仓明细!$B$24:$Y$24,'实盘净值数据(iFinD）'!$B640:$Y640/'实盘净值数据(iFinD）'!$B$65:$Y$65)+SUMPRODUCT(分期持仓明细!$AC$24:$AD$24,'实盘净值数据(iFinD）'!$Z640:$AA640/'实盘净值数据(iFinD）'!$Z$65:$AA$65))*(1-实盘持仓初始配置!$Z$8)^(('实盘净值数据(iFinD）'!$A640-'实盘净值数据(iFinD）'!$A$5)/365))</f>
        <v/>
      </c>
      <c r="O640" s="16" t="str">
        <f t="shared" si="64"/>
        <v/>
      </c>
      <c r="P640" s="16" t="str">
        <f>IF(N640="","",N640/MAX(N$5:N640)-1)</f>
        <v/>
      </c>
      <c r="Q640" s="13" t="str">
        <f>IF(OR('实盘净值数据(iFinD）'!$A640="",'实盘净值数据(iFinD）'!$B640="",'实盘净值数据(iFinD）'!$Z640="",'实盘净值数据(iFinD）'!$AA640=""),"",分期持仓明细!$AB$25*(SUMPRODUCT(分期持仓明细!$B$25:$Y$25,'实盘净值数据(iFinD）'!$B640:$Y640/'实盘净值数据(iFinD）'!$B$65:$Y$65)+SUMPRODUCT(分期持仓明细!$AC$25:$AD$25,'实盘净值数据(iFinD）'!$Z640:$AA640/'实盘净值数据(iFinD）'!$Z$65:$AA$65))*(1-实盘持仓初始配置!$Z$9)^(('实盘净值数据(iFinD）'!$A640-'实盘净值数据(iFinD）'!$A$8)/365))</f>
        <v/>
      </c>
      <c r="R640" s="16" t="str">
        <f t="shared" si="65"/>
        <v/>
      </c>
      <c r="S640" s="16" t="str">
        <f>IF(Q640="","",Q640/MAX(Q$5:Q640)-1)</f>
        <v/>
      </c>
    </row>
    <row r="641" spans="1:19">
      <c r="A641" s="15" t="str">
        <f>IF('实盘净值数据(iFinD）'!A641="","",'实盘净值数据(iFinD）'!A641)</f>
        <v/>
      </c>
      <c r="B641" s="13" t="str">
        <f>IF(OR('实盘净值数据(iFinD）'!$A641="",'实盘净值数据(iFinD）'!$B641=""),"",分期持仓明细!$AB$17*SUMPRODUCT(分期持仓明细!$B$17:$Y$17,'实盘净值数据(iFinD）'!$B641:$Y641/'实盘净值数据(iFinD）'!$B$20:$Y$20)*(1-实盘持仓初始配置!$Z$4)^(('实盘净值数据(iFinD）'!$A641-'实盘净值数据(iFinD）'!$A$6)/365))</f>
        <v/>
      </c>
      <c r="C641" s="16" t="str">
        <f t="shared" si="60"/>
        <v/>
      </c>
      <c r="D641" s="16" t="str">
        <f>IF(B641="","",B641/MAX(B$5:B641)-1)</f>
        <v/>
      </c>
      <c r="E641" s="13" t="str">
        <f>IF(OR('实盘净值数据(iFinD）'!$A641="",'实盘净值数据(iFinD）'!$B641=""),"",分期持仓明细!$AB$18*SUMPRODUCT(分期持仓明细!$B$18:$Y$18,'实盘净值数据(iFinD）'!$B641:$Y641/'实盘净值数据(iFinD）'!$B$20:$Y$20)*(1-实盘持仓初始配置!$Z$5)^(('实盘净值数据(iFinD）'!$A641-'实盘净值数据(iFinD）'!$A$5)/365))</f>
        <v/>
      </c>
      <c r="F641" s="16" t="str">
        <f t="shared" si="61"/>
        <v/>
      </c>
      <c r="G641" s="16" t="str">
        <f>IF(E641="","",E641/MAX(E$5:E641)-1)</f>
        <v/>
      </c>
      <c r="H641" s="13" t="str">
        <f>IF(OR('实盘净值数据(iFinD）'!$A641="",'实盘净值数据(iFinD）'!$B641=""),"",分期持仓明细!$AB$19*SUMPRODUCT(分期持仓明细!$B$19:$Y$19,'实盘净值数据(iFinD）'!$B641:$Y641/'实盘净值数据(iFinD）'!$B$20:$Y$20)*(1-实盘持仓初始配置!$Z$6)^(('实盘净值数据(iFinD）'!$A641-'实盘净值数据(iFinD）'!$A$7)/365))</f>
        <v/>
      </c>
      <c r="I641" s="16" t="str">
        <f t="shared" si="62"/>
        <v/>
      </c>
      <c r="J641" s="16" t="str">
        <f>IF(H641="","",H641/MAX(H$5:H641)-1)</f>
        <v/>
      </c>
      <c r="K641" s="13" t="str">
        <f>IF(OR('实盘净值数据(iFinD）'!$A641="",'实盘净值数据(iFinD）'!$B641="",'实盘净值数据(iFinD）'!$Z641="",'实盘净值数据(iFinD）'!$AA641=""),"",分期持仓明细!$AB$23*(SUMPRODUCT(分期持仓明细!$B$23:$Y$23,'实盘净值数据(iFinD）'!$B641:$Y641/'实盘净值数据(iFinD）'!$B$65:$Y$65)+SUMPRODUCT(分期持仓明细!$AC$23:$AD$23,'实盘净值数据(iFinD）'!$Z641:$AA641/'实盘净值数据(iFinD）'!$Z$65:$AA$65))*(1-实盘持仓初始配置!$Z$7)^(('实盘净值数据(iFinD）'!$A641-'实盘净值数据(iFinD）'!$A$8)/365))</f>
        <v/>
      </c>
      <c r="L641" s="16" t="str">
        <f t="shared" si="63"/>
        <v/>
      </c>
      <c r="M641" s="16" t="str">
        <f>IF(K641="","",K641/MAX(K$5:K641)-1)</f>
        <v/>
      </c>
      <c r="N641" s="13" t="str">
        <f>IF(OR('实盘净值数据(iFinD）'!$A641="",'实盘净值数据(iFinD）'!$B641="",'实盘净值数据(iFinD）'!$Z641="",'实盘净值数据(iFinD）'!$AA641=""),"",分期持仓明细!$AB$24*(SUMPRODUCT(分期持仓明细!$B$24:$Y$24,'实盘净值数据(iFinD）'!$B641:$Y641/'实盘净值数据(iFinD）'!$B$65:$Y$65)+SUMPRODUCT(分期持仓明细!$AC$24:$AD$24,'实盘净值数据(iFinD）'!$Z641:$AA641/'实盘净值数据(iFinD）'!$Z$65:$AA$65))*(1-实盘持仓初始配置!$Z$8)^(('实盘净值数据(iFinD）'!$A641-'实盘净值数据(iFinD）'!$A$5)/365))</f>
        <v/>
      </c>
      <c r="O641" s="16" t="str">
        <f t="shared" si="64"/>
        <v/>
      </c>
      <c r="P641" s="16" t="str">
        <f>IF(N641="","",N641/MAX(N$5:N641)-1)</f>
        <v/>
      </c>
      <c r="Q641" s="13" t="str">
        <f>IF(OR('实盘净值数据(iFinD）'!$A641="",'实盘净值数据(iFinD）'!$B641="",'实盘净值数据(iFinD）'!$Z641="",'实盘净值数据(iFinD）'!$AA641=""),"",分期持仓明细!$AB$25*(SUMPRODUCT(分期持仓明细!$B$25:$Y$25,'实盘净值数据(iFinD）'!$B641:$Y641/'实盘净值数据(iFinD）'!$B$65:$Y$65)+SUMPRODUCT(分期持仓明细!$AC$25:$AD$25,'实盘净值数据(iFinD）'!$Z641:$AA641/'实盘净值数据(iFinD）'!$Z$65:$AA$65))*(1-实盘持仓初始配置!$Z$9)^(('实盘净值数据(iFinD）'!$A641-'实盘净值数据(iFinD）'!$A$8)/365))</f>
        <v/>
      </c>
      <c r="R641" s="16" t="str">
        <f t="shared" si="65"/>
        <v/>
      </c>
      <c r="S641" s="16" t="str">
        <f>IF(Q641="","",Q641/MAX(Q$5:Q641)-1)</f>
        <v/>
      </c>
    </row>
    <row r="642" spans="1:19">
      <c r="A642" s="15" t="str">
        <f>IF('实盘净值数据(iFinD）'!A642="","",'实盘净值数据(iFinD）'!A642)</f>
        <v/>
      </c>
      <c r="B642" s="13" t="str">
        <f>IF(OR('实盘净值数据(iFinD）'!$A642="",'实盘净值数据(iFinD）'!$B642=""),"",分期持仓明细!$AB$17*SUMPRODUCT(分期持仓明细!$B$17:$Y$17,'实盘净值数据(iFinD）'!$B642:$Y642/'实盘净值数据(iFinD）'!$B$20:$Y$20)*(1-实盘持仓初始配置!$Z$4)^(('实盘净值数据(iFinD）'!$A642-'实盘净值数据(iFinD）'!$A$6)/365))</f>
        <v/>
      </c>
      <c r="C642" s="16" t="str">
        <f t="shared" si="60"/>
        <v/>
      </c>
      <c r="D642" s="16" t="str">
        <f>IF(B642="","",B642/MAX(B$5:B642)-1)</f>
        <v/>
      </c>
      <c r="E642" s="13" t="str">
        <f>IF(OR('实盘净值数据(iFinD）'!$A642="",'实盘净值数据(iFinD）'!$B642=""),"",分期持仓明细!$AB$18*SUMPRODUCT(分期持仓明细!$B$18:$Y$18,'实盘净值数据(iFinD）'!$B642:$Y642/'实盘净值数据(iFinD）'!$B$20:$Y$20)*(1-实盘持仓初始配置!$Z$5)^(('实盘净值数据(iFinD）'!$A642-'实盘净值数据(iFinD）'!$A$5)/365))</f>
        <v/>
      </c>
      <c r="F642" s="16" t="str">
        <f t="shared" si="61"/>
        <v/>
      </c>
      <c r="G642" s="16" t="str">
        <f>IF(E642="","",E642/MAX(E$5:E642)-1)</f>
        <v/>
      </c>
      <c r="H642" s="13" t="str">
        <f>IF(OR('实盘净值数据(iFinD）'!$A642="",'实盘净值数据(iFinD）'!$B642=""),"",分期持仓明细!$AB$19*SUMPRODUCT(分期持仓明细!$B$19:$Y$19,'实盘净值数据(iFinD）'!$B642:$Y642/'实盘净值数据(iFinD）'!$B$20:$Y$20)*(1-实盘持仓初始配置!$Z$6)^(('实盘净值数据(iFinD）'!$A642-'实盘净值数据(iFinD）'!$A$7)/365))</f>
        <v/>
      </c>
      <c r="I642" s="16" t="str">
        <f t="shared" si="62"/>
        <v/>
      </c>
      <c r="J642" s="16" t="str">
        <f>IF(H642="","",H642/MAX(H$5:H642)-1)</f>
        <v/>
      </c>
      <c r="K642" s="13" t="str">
        <f>IF(OR('实盘净值数据(iFinD）'!$A642="",'实盘净值数据(iFinD）'!$B642="",'实盘净值数据(iFinD）'!$Z642="",'实盘净值数据(iFinD）'!$AA642=""),"",分期持仓明细!$AB$23*(SUMPRODUCT(分期持仓明细!$B$23:$Y$23,'实盘净值数据(iFinD）'!$B642:$Y642/'实盘净值数据(iFinD）'!$B$65:$Y$65)+SUMPRODUCT(分期持仓明细!$AC$23:$AD$23,'实盘净值数据(iFinD）'!$Z642:$AA642/'实盘净值数据(iFinD）'!$Z$65:$AA$65))*(1-实盘持仓初始配置!$Z$7)^(('实盘净值数据(iFinD）'!$A642-'实盘净值数据(iFinD）'!$A$8)/365))</f>
        <v/>
      </c>
      <c r="L642" s="16" t="str">
        <f t="shared" si="63"/>
        <v/>
      </c>
      <c r="M642" s="16" t="str">
        <f>IF(K642="","",K642/MAX(K$5:K642)-1)</f>
        <v/>
      </c>
      <c r="N642" s="13" t="str">
        <f>IF(OR('实盘净值数据(iFinD）'!$A642="",'实盘净值数据(iFinD）'!$B642="",'实盘净值数据(iFinD）'!$Z642="",'实盘净值数据(iFinD）'!$AA642=""),"",分期持仓明细!$AB$24*(SUMPRODUCT(分期持仓明细!$B$24:$Y$24,'实盘净值数据(iFinD）'!$B642:$Y642/'实盘净值数据(iFinD）'!$B$65:$Y$65)+SUMPRODUCT(分期持仓明细!$AC$24:$AD$24,'实盘净值数据(iFinD）'!$Z642:$AA642/'实盘净值数据(iFinD）'!$Z$65:$AA$65))*(1-实盘持仓初始配置!$Z$8)^(('实盘净值数据(iFinD）'!$A642-'实盘净值数据(iFinD）'!$A$5)/365))</f>
        <v/>
      </c>
      <c r="O642" s="16" t="str">
        <f t="shared" si="64"/>
        <v/>
      </c>
      <c r="P642" s="16" t="str">
        <f>IF(N642="","",N642/MAX(N$5:N642)-1)</f>
        <v/>
      </c>
      <c r="Q642" s="13" t="str">
        <f>IF(OR('实盘净值数据(iFinD）'!$A642="",'实盘净值数据(iFinD）'!$B642="",'实盘净值数据(iFinD）'!$Z642="",'实盘净值数据(iFinD）'!$AA642=""),"",分期持仓明细!$AB$25*(SUMPRODUCT(分期持仓明细!$B$25:$Y$25,'实盘净值数据(iFinD）'!$B642:$Y642/'实盘净值数据(iFinD）'!$B$65:$Y$65)+SUMPRODUCT(分期持仓明细!$AC$25:$AD$25,'实盘净值数据(iFinD）'!$Z642:$AA642/'实盘净值数据(iFinD）'!$Z$65:$AA$65))*(1-实盘持仓初始配置!$Z$9)^(('实盘净值数据(iFinD）'!$A642-'实盘净值数据(iFinD）'!$A$8)/365))</f>
        <v/>
      </c>
      <c r="R642" s="16" t="str">
        <f t="shared" si="65"/>
        <v/>
      </c>
      <c r="S642" s="16" t="str">
        <f>IF(Q642="","",Q642/MAX(Q$5:Q642)-1)</f>
        <v/>
      </c>
    </row>
    <row r="643" spans="1:19">
      <c r="A643" s="15" t="str">
        <f>IF('实盘净值数据(iFinD）'!A643="","",'实盘净值数据(iFinD）'!A643)</f>
        <v/>
      </c>
      <c r="B643" s="13" t="str">
        <f>IF(OR('实盘净值数据(iFinD）'!$A643="",'实盘净值数据(iFinD）'!$B643=""),"",分期持仓明细!$AB$17*SUMPRODUCT(分期持仓明细!$B$17:$Y$17,'实盘净值数据(iFinD）'!$B643:$Y643/'实盘净值数据(iFinD）'!$B$20:$Y$20)*(1-实盘持仓初始配置!$Z$4)^(('实盘净值数据(iFinD）'!$A643-'实盘净值数据(iFinD）'!$A$6)/365))</f>
        <v/>
      </c>
      <c r="C643" s="16" t="str">
        <f t="shared" si="60"/>
        <v/>
      </c>
      <c r="D643" s="16" t="str">
        <f>IF(B643="","",B643/MAX(B$5:B643)-1)</f>
        <v/>
      </c>
      <c r="E643" s="13" t="str">
        <f>IF(OR('实盘净值数据(iFinD）'!$A643="",'实盘净值数据(iFinD）'!$B643=""),"",分期持仓明细!$AB$18*SUMPRODUCT(分期持仓明细!$B$18:$Y$18,'实盘净值数据(iFinD）'!$B643:$Y643/'实盘净值数据(iFinD）'!$B$20:$Y$20)*(1-实盘持仓初始配置!$Z$5)^(('实盘净值数据(iFinD）'!$A643-'实盘净值数据(iFinD）'!$A$5)/365))</f>
        <v/>
      </c>
      <c r="F643" s="16" t="str">
        <f t="shared" si="61"/>
        <v/>
      </c>
      <c r="G643" s="16" t="str">
        <f>IF(E643="","",E643/MAX(E$5:E643)-1)</f>
        <v/>
      </c>
      <c r="H643" s="13" t="str">
        <f>IF(OR('实盘净值数据(iFinD）'!$A643="",'实盘净值数据(iFinD）'!$B643=""),"",分期持仓明细!$AB$19*SUMPRODUCT(分期持仓明细!$B$19:$Y$19,'实盘净值数据(iFinD）'!$B643:$Y643/'实盘净值数据(iFinD）'!$B$20:$Y$20)*(1-实盘持仓初始配置!$Z$6)^(('实盘净值数据(iFinD）'!$A643-'实盘净值数据(iFinD）'!$A$7)/365))</f>
        <v/>
      </c>
      <c r="I643" s="16" t="str">
        <f t="shared" si="62"/>
        <v/>
      </c>
      <c r="J643" s="16" t="str">
        <f>IF(H643="","",H643/MAX(H$5:H643)-1)</f>
        <v/>
      </c>
      <c r="K643" s="13" t="str">
        <f>IF(OR('实盘净值数据(iFinD）'!$A643="",'实盘净值数据(iFinD）'!$B643="",'实盘净值数据(iFinD）'!$Z643="",'实盘净值数据(iFinD）'!$AA643=""),"",分期持仓明细!$AB$23*(SUMPRODUCT(分期持仓明细!$B$23:$Y$23,'实盘净值数据(iFinD）'!$B643:$Y643/'实盘净值数据(iFinD）'!$B$65:$Y$65)+SUMPRODUCT(分期持仓明细!$AC$23:$AD$23,'实盘净值数据(iFinD）'!$Z643:$AA643/'实盘净值数据(iFinD）'!$Z$65:$AA$65))*(1-实盘持仓初始配置!$Z$7)^(('实盘净值数据(iFinD）'!$A643-'实盘净值数据(iFinD）'!$A$8)/365))</f>
        <v/>
      </c>
      <c r="L643" s="16" t="str">
        <f t="shared" si="63"/>
        <v/>
      </c>
      <c r="M643" s="16" t="str">
        <f>IF(K643="","",K643/MAX(K$5:K643)-1)</f>
        <v/>
      </c>
      <c r="N643" s="13" t="str">
        <f>IF(OR('实盘净值数据(iFinD）'!$A643="",'实盘净值数据(iFinD）'!$B643="",'实盘净值数据(iFinD）'!$Z643="",'实盘净值数据(iFinD）'!$AA643=""),"",分期持仓明细!$AB$24*(SUMPRODUCT(分期持仓明细!$B$24:$Y$24,'实盘净值数据(iFinD）'!$B643:$Y643/'实盘净值数据(iFinD）'!$B$65:$Y$65)+SUMPRODUCT(分期持仓明细!$AC$24:$AD$24,'实盘净值数据(iFinD）'!$Z643:$AA643/'实盘净值数据(iFinD）'!$Z$65:$AA$65))*(1-实盘持仓初始配置!$Z$8)^(('实盘净值数据(iFinD）'!$A643-'实盘净值数据(iFinD）'!$A$5)/365))</f>
        <v/>
      </c>
      <c r="O643" s="16" t="str">
        <f t="shared" si="64"/>
        <v/>
      </c>
      <c r="P643" s="16" t="str">
        <f>IF(N643="","",N643/MAX(N$5:N643)-1)</f>
        <v/>
      </c>
      <c r="Q643" s="13" t="str">
        <f>IF(OR('实盘净值数据(iFinD）'!$A643="",'实盘净值数据(iFinD）'!$B643="",'实盘净值数据(iFinD）'!$Z643="",'实盘净值数据(iFinD）'!$AA643=""),"",分期持仓明细!$AB$25*(SUMPRODUCT(分期持仓明细!$B$25:$Y$25,'实盘净值数据(iFinD）'!$B643:$Y643/'实盘净值数据(iFinD）'!$B$65:$Y$65)+SUMPRODUCT(分期持仓明细!$AC$25:$AD$25,'实盘净值数据(iFinD）'!$Z643:$AA643/'实盘净值数据(iFinD）'!$Z$65:$AA$65))*(1-实盘持仓初始配置!$Z$9)^(('实盘净值数据(iFinD）'!$A643-'实盘净值数据(iFinD）'!$A$8)/365))</f>
        <v/>
      </c>
      <c r="R643" s="16" t="str">
        <f t="shared" si="65"/>
        <v/>
      </c>
      <c r="S643" s="16" t="str">
        <f>IF(Q643="","",Q643/MAX(Q$5:Q643)-1)</f>
        <v/>
      </c>
    </row>
    <row r="644" spans="1:19">
      <c r="A644" s="15" t="str">
        <f>IF('实盘净值数据(iFinD）'!A644="","",'实盘净值数据(iFinD）'!A644)</f>
        <v/>
      </c>
      <c r="B644" s="13" t="str">
        <f>IF(OR('实盘净值数据(iFinD）'!$A644="",'实盘净值数据(iFinD）'!$B644=""),"",分期持仓明细!$AB$17*SUMPRODUCT(分期持仓明细!$B$17:$Y$17,'实盘净值数据(iFinD）'!$B644:$Y644/'实盘净值数据(iFinD）'!$B$20:$Y$20)*(1-实盘持仓初始配置!$Z$4)^(('实盘净值数据(iFinD）'!$A644-'实盘净值数据(iFinD）'!$A$6)/365))</f>
        <v/>
      </c>
      <c r="C644" s="16" t="str">
        <f t="shared" si="60"/>
        <v/>
      </c>
      <c r="D644" s="16" t="str">
        <f>IF(B644="","",B644/MAX(B$5:B644)-1)</f>
        <v/>
      </c>
      <c r="E644" s="13" t="str">
        <f>IF(OR('实盘净值数据(iFinD）'!$A644="",'实盘净值数据(iFinD）'!$B644=""),"",分期持仓明细!$AB$18*SUMPRODUCT(分期持仓明细!$B$18:$Y$18,'实盘净值数据(iFinD）'!$B644:$Y644/'实盘净值数据(iFinD）'!$B$20:$Y$20)*(1-实盘持仓初始配置!$Z$5)^(('实盘净值数据(iFinD）'!$A644-'实盘净值数据(iFinD）'!$A$5)/365))</f>
        <v/>
      </c>
      <c r="F644" s="16" t="str">
        <f t="shared" si="61"/>
        <v/>
      </c>
      <c r="G644" s="16" t="str">
        <f>IF(E644="","",E644/MAX(E$5:E644)-1)</f>
        <v/>
      </c>
      <c r="H644" s="13" t="str">
        <f>IF(OR('实盘净值数据(iFinD）'!$A644="",'实盘净值数据(iFinD）'!$B644=""),"",分期持仓明细!$AB$19*SUMPRODUCT(分期持仓明细!$B$19:$Y$19,'实盘净值数据(iFinD）'!$B644:$Y644/'实盘净值数据(iFinD）'!$B$20:$Y$20)*(1-实盘持仓初始配置!$Z$6)^(('实盘净值数据(iFinD）'!$A644-'实盘净值数据(iFinD）'!$A$7)/365))</f>
        <v/>
      </c>
      <c r="I644" s="16" t="str">
        <f t="shared" si="62"/>
        <v/>
      </c>
      <c r="J644" s="16" t="str">
        <f>IF(H644="","",H644/MAX(H$5:H644)-1)</f>
        <v/>
      </c>
      <c r="K644" s="13" t="str">
        <f>IF(OR('实盘净值数据(iFinD）'!$A644="",'实盘净值数据(iFinD）'!$B644="",'实盘净值数据(iFinD）'!$Z644="",'实盘净值数据(iFinD）'!$AA644=""),"",分期持仓明细!$AB$23*(SUMPRODUCT(分期持仓明细!$B$23:$Y$23,'实盘净值数据(iFinD）'!$B644:$Y644/'实盘净值数据(iFinD）'!$B$65:$Y$65)+SUMPRODUCT(分期持仓明细!$AC$23:$AD$23,'实盘净值数据(iFinD）'!$Z644:$AA644/'实盘净值数据(iFinD）'!$Z$65:$AA$65))*(1-实盘持仓初始配置!$Z$7)^(('实盘净值数据(iFinD）'!$A644-'实盘净值数据(iFinD）'!$A$8)/365))</f>
        <v/>
      </c>
      <c r="L644" s="16" t="str">
        <f t="shared" si="63"/>
        <v/>
      </c>
      <c r="M644" s="16" t="str">
        <f>IF(K644="","",K644/MAX(K$5:K644)-1)</f>
        <v/>
      </c>
      <c r="N644" s="13" t="str">
        <f>IF(OR('实盘净值数据(iFinD）'!$A644="",'实盘净值数据(iFinD）'!$B644="",'实盘净值数据(iFinD）'!$Z644="",'实盘净值数据(iFinD）'!$AA644=""),"",分期持仓明细!$AB$24*(SUMPRODUCT(分期持仓明细!$B$24:$Y$24,'实盘净值数据(iFinD）'!$B644:$Y644/'实盘净值数据(iFinD）'!$B$65:$Y$65)+SUMPRODUCT(分期持仓明细!$AC$24:$AD$24,'实盘净值数据(iFinD）'!$Z644:$AA644/'实盘净值数据(iFinD）'!$Z$65:$AA$65))*(1-实盘持仓初始配置!$Z$8)^(('实盘净值数据(iFinD）'!$A644-'实盘净值数据(iFinD）'!$A$5)/365))</f>
        <v/>
      </c>
      <c r="O644" s="16" t="str">
        <f t="shared" si="64"/>
        <v/>
      </c>
      <c r="P644" s="16" t="str">
        <f>IF(N644="","",N644/MAX(N$5:N644)-1)</f>
        <v/>
      </c>
      <c r="Q644" s="13" t="str">
        <f>IF(OR('实盘净值数据(iFinD）'!$A644="",'实盘净值数据(iFinD）'!$B644="",'实盘净值数据(iFinD）'!$Z644="",'实盘净值数据(iFinD）'!$AA644=""),"",分期持仓明细!$AB$25*(SUMPRODUCT(分期持仓明细!$B$25:$Y$25,'实盘净值数据(iFinD）'!$B644:$Y644/'实盘净值数据(iFinD）'!$B$65:$Y$65)+SUMPRODUCT(分期持仓明细!$AC$25:$AD$25,'实盘净值数据(iFinD）'!$Z644:$AA644/'实盘净值数据(iFinD）'!$Z$65:$AA$65))*(1-实盘持仓初始配置!$Z$9)^(('实盘净值数据(iFinD）'!$A644-'实盘净值数据(iFinD）'!$A$8)/365))</f>
        <v/>
      </c>
      <c r="R644" s="16" t="str">
        <f t="shared" si="65"/>
        <v/>
      </c>
      <c r="S644" s="16" t="str">
        <f>IF(Q644="","",Q644/MAX(Q$5:Q644)-1)</f>
        <v/>
      </c>
    </row>
    <row r="645" spans="1:19">
      <c r="A645" s="15" t="str">
        <f>IF('实盘净值数据(iFinD）'!A645="","",'实盘净值数据(iFinD）'!A645)</f>
        <v/>
      </c>
      <c r="B645" s="13" t="str">
        <f>IF(OR('实盘净值数据(iFinD）'!$A645="",'实盘净值数据(iFinD）'!$B645=""),"",分期持仓明细!$AB$17*SUMPRODUCT(分期持仓明细!$B$17:$Y$17,'实盘净值数据(iFinD）'!$B645:$Y645/'实盘净值数据(iFinD）'!$B$20:$Y$20)*(1-实盘持仓初始配置!$Z$4)^(('实盘净值数据(iFinD）'!$A645-'实盘净值数据(iFinD）'!$A$6)/365))</f>
        <v/>
      </c>
      <c r="C645" s="16" t="str">
        <f t="shared" si="60"/>
        <v/>
      </c>
      <c r="D645" s="16" t="str">
        <f>IF(B645="","",B645/MAX(B$5:B645)-1)</f>
        <v/>
      </c>
      <c r="E645" s="13" t="str">
        <f>IF(OR('实盘净值数据(iFinD）'!$A645="",'实盘净值数据(iFinD）'!$B645=""),"",分期持仓明细!$AB$18*SUMPRODUCT(分期持仓明细!$B$18:$Y$18,'实盘净值数据(iFinD）'!$B645:$Y645/'实盘净值数据(iFinD）'!$B$20:$Y$20)*(1-实盘持仓初始配置!$Z$5)^(('实盘净值数据(iFinD）'!$A645-'实盘净值数据(iFinD）'!$A$5)/365))</f>
        <v/>
      </c>
      <c r="F645" s="16" t="str">
        <f t="shared" si="61"/>
        <v/>
      </c>
      <c r="G645" s="16" t="str">
        <f>IF(E645="","",E645/MAX(E$5:E645)-1)</f>
        <v/>
      </c>
      <c r="H645" s="13" t="str">
        <f>IF(OR('实盘净值数据(iFinD）'!$A645="",'实盘净值数据(iFinD）'!$B645=""),"",分期持仓明细!$AB$19*SUMPRODUCT(分期持仓明细!$B$19:$Y$19,'实盘净值数据(iFinD）'!$B645:$Y645/'实盘净值数据(iFinD）'!$B$20:$Y$20)*(1-实盘持仓初始配置!$Z$6)^(('实盘净值数据(iFinD）'!$A645-'实盘净值数据(iFinD）'!$A$7)/365))</f>
        <v/>
      </c>
      <c r="I645" s="16" t="str">
        <f t="shared" si="62"/>
        <v/>
      </c>
      <c r="J645" s="16" t="str">
        <f>IF(H645="","",H645/MAX(H$5:H645)-1)</f>
        <v/>
      </c>
      <c r="K645" s="13" t="str">
        <f>IF(OR('实盘净值数据(iFinD）'!$A645="",'实盘净值数据(iFinD）'!$B645="",'实盘净值数据(iFinD）'!$Z645="",'实盘净值数据(iFinD）'!$AA645=""),"",分期持仓明细!$AB$23*(SUMPRODUCT(分期持仓明细!$B$23:$Y$23,'实盘净值数据(iFinD）'!$B645:$Y645/'实盘净值数据(iFinD）'!$B$65:$Y$65)+SUMPRODUCT(分期持仓明细!$AC$23:$AD$23,'实盘净值数据(iFinD）'!$Z645:$AA645/'实盘净值数据(iFinD）'!$Z$65:$AA$65))*(1-实盘持仓初始配置!$Z$7)^(('实盘净值数据(iFinD）'!$A645-'实盘净值数据(iFinD）'!$A$8)/365))</f>
        <v/>
      </c>
      <c r="L645" s="16" t="str">
        <f t="shared" si="63"/>
        <v/>
      </c>
      <c r="M645" s="16" t="str">
        <f>IF(K645="","",K645/MAX(K$5:K645)-1)</f>
        <v/>
      </c>
      <c r="N645" s="13" t="str">
        <f>IF(OR('实盘净值数据(iFinD）'!$A645="",'实盘净值数据(iFinD）'!$B645="",'实盘净值数据(iFinD）'!$Z645="",'实盘净值数据(iFinD）'!$AA645=""),"",分期持仓明细!$AB$24*(SUMPRODUCT(分期持仓明细!$B$24:$Y$24,'实盘净值数据(iFinD）'!$B645:$Y645/'实盘净值数据(iFinD）'!$B$65:$Y$65)+SUMPRODUCT(分期持仓明细!$AC$24:$AD$24,'实盘净值数据(iFinD）'!$Z645:$AA645/'实盘净值数据(iFinD）'!$Z$65:$AA$65))*(1-实盘持仓初始配置!$Z$8)^(('实盘净值数据(iFinD）'!$A645-'实盘净值数据(iFinD）'!$A$5)/365))</f>
        <v/>
      </c>
      <c r="O645" s="16" t="str">
        <f t="shared" si="64"/>
        <v/>
      </c>
      <c r="P645" s="16" t="str">
        <f>IF(N645="","",N645/MAX(N$5:N645)-1)</f>
        <v/>
      </c>
      <c r="Q645" s="13" t="str">
        <f>IF(OR('实盘净值数据(iFinD）'!$A645="",'实盘净值数据(iFinD）'!$B645="",'实盘净值数据(iFinD）'!$Z645="",'实盘净值数据(iFinD）'!$AA645=""),"",分期持仓明细!$AB$25*(SUMPRODUCT(分期持仓明细!$B$25:$Y$25,'实盘净值数据(iFinD）'!$B645:$Y645/'实盘净值数据(iFinD）'!$B$65:$Y$65)+SUMPRODUCT(分期持仓明细!$AC$25:$AD$25,'实盘净值数据(iFinD）'!$Z645:$AA645/'实盘净值数据(iFinD）'!$Z$65:$AA$65))*(1-实盘持仓初始配置!$Z$9)^(('实盘净值数据(iFinD）'!$A645-'实盘净值数据(iFinD）'!$A$8)/365))</f>
        <v/>
      </c>
      <c r="R645" s="16" t="str">
        <f t="shared" si="65"/>
        <v/>
      </c>
      <c r="S645" s="16" t="str">
        <f>IF(Q645="","",Q645/MAX(Q$5:Q645)-1)</f>
        <v/>
      </c>
    </row>
    <row r="646" spans="1:19">
      <c r="A646" s="15" t="str">
        <f>IF('实盘净值数据(iFinD）'!A646="","",'实盘净值数据(iFinD）'!A646)</f>
        <v/>
      </c>
      <c r="B646" s="13" t="str">
        <f>IF(OR('实盘净值数据(iFinD）'!$A646="",'实盘净值数据(iFinD）'!$B646=""),"",分期持仓明细!$AB$17*SUMPRODUCT(分期持仓明细!$B$17:$Y$17,'实盘净值数据(iFinD）'!$B646:$Y646/'实盘净值数据(iFinD）'!$B$20:$Y$20)*(1-实盘持仓初始配置!$Z$4)^(('实盘净值数据(iFinD）'!$A646-'实盘净值数据(iFinD）'!$A$6)/365))</f>
        <v/>
      </c>
      <c r="C646" s="16" t="str">
        <f t="shared" si="60"/>
        <v/>
      </c>
      <c r="D646" s="16" t="str">
        <f>IF(B646="","",B646/MAX(B$5:B646)-1)</f>
        <v/>
      </c>
      <c r="E646" s="13" t="str">
        <f>IF(OR('实盘净值数据(iFinD）'!$A646="",'实盘净值数据(iFinD）'!$B646=""),"",分期持仓明细!$AB$18*SUMPRODUCT(分期持仓明细!$B$18:$Y$18,'实盘净值数据(iFinD）'!$B646:$Y646/'实盘净值数据(iFinD）'!$B$20:$Y$20)*(1-实盘持仓初始配置!$Z$5)^(('实盘净值数据(iFinD）'!$A646-'实盘净值数据(iFinD）'!$A$5)/365))</f>
        <v/>
      </c>
      <c r="F646" s="16" t="str">
        <f t="shared" si="61"/>
        <v/>
      </c>
      <c r="G646" s="16" t="str">
        <f>IF(E646="","",E646/MAX(E$5:E646)-1)</f>
        <v/>
      </c>
      <c r="H646" s="13" t="str">
        <f>IF(OR('实盘净值数据(iFinD）'!$A646="",'实盘净值数据(iFinD）'!$B646=""),"",分期持仓明细!$AB$19*SUMPRODUCT(分期持仓明细!$B$19:$Y$19,'实盘净值数据(iFinD）'!$B646:$Y646/'实盘净值数据(iFinD）'!$B$20:$Y$20)*(1-实盘持仓初始配置!$Z$6)^(('实盘净值数据(iFinD）'!$A646-'实盘净值数据(iFinD）'!$A$7)/365))</f>
        <v/>
      </c>
      <c r="I646" s="16" t="str">
        <f t="shared" si="62"/>
        <v/>
      </c>
      <c r="J646" s="16" t="str">
        <f>IF(H646="","",H646/MAX(H$5:H646)-1)</f>
        <v/>
      </c>
      <c r="K646" s="13" t="str">
        <f>IF(OR('实盘净值数据(iFinD）'!$A646="",'实盘净值数据(iFinD）'!$B646="",'实盘净值数据(iFinD）'!$Z646="",'实盘净值数据(iFinD）'!$AA646=""),"",分期持仓明细!$AB$23*(SUMPRODUCT(分期持仓明细!$B$23:$Y$23,'实盘净值数据(iFinD）'!$B646:$Y646/'实盘净值数据(iFinD）'!$B$65:$Y$65)+SUMPRODUCT(分期持仓明细!$AC$23:$AD$23,'实盘净值数据(iFinD）'!$Z646:$AA646/'实盘净值数据(iFinD）'!$Z$65:$AA$65))*(1-实盘持仓初始配置!$Z$7)^(('实盘净值数据(iFinD）'!$A646-'实盘净值数据(iFinD）'!$A$8)/365))</f>
        <v/>
      </c>
      <c r="L646" s="16" t="str">
        <f t="shared" si="63"/>
        <v/>
      </c>
      <c r="M646" s="16" t="str">
        <f>IF(K646="","",K646/MAX(K$5:K646)-1)</f>
        <v/>
      </c>
      <c r="N646" s="13" t="str">
        <f>IF(OR('实盘净值数据(iFinD）'!$A646="",'实盘净值数据(iFinD）'!$B646="",'实盘净值数据(iFinD）'!$Z646="",'实盘净值数据(iFinD）'!$AA646=""),"",分期持仓明细!$AB$24*(SUMPRODUCT(分期持仓明细!$B$24:$Y$24,'实盘净值数据(iFinD）'!$B646:$Y646/'实盘净值数据(iFinD）'!$B$65:$Y$65)+SUMPRODUCT(分期持仓明细!$AC$24:$AD$24,'实盘净值数据(iFinD）'!$Z646:$AA646/'实盘净值数据(iFinD）'!$Z$65:$AA$65))*(1-实盘持仓初始配置!$Z$8)^(('实盘净值数据(iFinD）'!$A646-'实盘净值数据(iFinD）'!$A$5)/365))</f>
        <v/>
      </c>
      <c r="O646" s="16" t="str">
        <f t="shared" si="64"/>
        <v/>
      </c>
      <c r="P646" s="16" t="str">
        <f>IF(N646="","",N646/MAX(N$5:N646)-1)</f>
        <v/>
      </c>
      <c r="Q646" s="13" t="str">
        <f>IF(OR('实盘净值数据(iFinD）'!$A646="",'实盘净值数据(iFinD）'!$B646="",'实盘净值数据(iFinD）'!$Z646="",'实盘净值数据(iFinD）'!$AA646=""),"",分期持仓明细!$AB$25*(SUMPRODUCT(分期持仓明细!$B$25:$Y$25,'实盘净值数据(iFinD）'!$B646:$Y646/'实盘净值数据(iFinD）'!$B$65:$Y$65)+SUMPRODUCT(分期持仓明细!$AC$25:$AD$25,'实盘净值数据(iFinD）'!$Z646:$AA646/'实盘净值数据(iFinD）'!$Z$65:$AA$65))*(1-实盘持仓初始配置!$Z$9)^(('实盘净值数据(iFinD）'!$A646-'实盘净值数据(iFinD）'!$A$8)/365))</f>
        <v/>
      </c>
      <c r="R646" s="16" t="str">
        <f t="shared" si="65"/>
        <v/>
      </c>
      <c r="S646" s="16" t="str">
        <f>IF(Q646="","",Q646/MAX(Q$5:Q646)-1)</f>
        <v/>
      </c>
    </row>
    <row r="647" spans="1:19">
      <c r="A647" s="15" t="str">
        <f>IF('实盘净值数据(iFinD）'!A647="","",'实盘净值数据(iFinD）'!A647)</f>
        <v/>
      </c>
      <c r="B647" s="13" t="str">
        <f>IF(OR('实盘净值数据(iFinD）'!$A647="",'实盘净值数据(iFinD）'!$B647=""),"",分期持仓明细!$AB$17*SUMPRODUCT(分期持仓明细!$B$17:$Y$17,'实盘净值数据(iFinD）'!$B647:$Y647/'实盘净值数据(iFinD）'!$B$20:$Y$20)*(1-实盘持仓初始配置!$Z$4)^(('实盘净值数据(iFinD）'!$A647-'实盘净值数据(iFinD）'!$A$6)/365))</f>
        <v/>
      </c>
      <c r="C647" s="16" t="str">
        <f t="shared" si="60"/>
        <v/>
      </c>
      <c r="D647" s="16" t="str">
        <f>IF(B647="","",B647/MAX(B$5:B647)-1)</f>
        <v/>
      </c>
      <c r="E647" s="13" t="str">
        <f>IF(OR('实盘净值数据(iFinD）'!$A647="",'实盘净值数据(iFinD）'!$B647=""),"",分期持仓明细!$AB$18*SUMPRODUCT(分期持仓明细!$B$18:$Y$18,'实盘净值数据(iFinD）'!$B647:$Y647/'实盘净值数据(iFinD）'!$B$20:$Y$20)*(1-实盘持仓初始配置!$Z$5)^(('实盘净值数据(iFinD）'!$A647-'实盘净值数据(iFinD）'!$A$5)/365))</f>
        <v/>
      </c>
      <c r="F647" s="16" t="str">
        <f t="shared" si="61"/>
        <v/>
      </c>
      <c r="G647" s="16" t="str">
        <f>IF(E647="","",E647/MAX(E$5:E647)-1)</f>
        <v/>
      </c>
      <c r="H647" s="13" t="str">
        <f>IF(OR('实盘净值数据(iFinD）'!$A647="",'实盘净值数据(iFinD）'!$B647=""),"",分期持仓明细!$AB$19*SUMPRODUCT(分期持仓明细!$B$19:$Y$19,'实盘净值数据(iFinD）'!$B647:$Y647/'实盘净值数据(iFinD）'!$B$20:$Y$20)*(1-实盘持仓初始配置!$Z$6)^(('实盘净值数据(iFinD）'!$A647-'实盘净值数据(iFinD）'!$A$7)/365))</f>
        <v/>
      </c>
      <c r="I647" s="16" t="str">
        <f t="shared" si="62"/>
        <v/>
      </c>
      <c r="J647" s="16" t="str">
        <f>IF(H647="","",H647/MAX(H$5:H647)-1)</f>
        <v/>
      </c>
      <c r="K647" s="13" t="str">
        <f>IF(OR('实盘净值数据(iFinD）'!$A647="",'实盘净值数据(iFinD）'!$B647="",'实盘净值数据(iFinD）'!$Z647="",'实盘净值数据(iFinD）'!$AA647=""),"",分期持仓明细!$AB$23*(SUMPRODUCT(分期持仓明细!$B$23:$Y$23,'实盘净值数据(iFinD）'!$B647:$Y647/'实盘净值数据(iFinD）'!$B$65:$Y$65)+SUMPRODUCT(分期持仓明细!$AC$23:$AD$23,'实盘净值数据(iFinD）'!$Z647:$AA647/'实盘净值数据(iFinD）'!$Z$65:$AA$65))*(1-实盘持仓初始配置!$Z$7)^(('实盘净值数据(iFinD）'!$A647-'实盘净值数据(iFinD）'!$A$8)/365))</f>
        <v/>
      </c>
      <c r="L647" s="16" t="str">
        <f t="shared" si="63"/>
        <v/>
      </c>
      <c r="M647" s="16" t="str">
        <f>IF(K647="","",K647/MAX(K$5:K647)-1)</f>
        <v/>
      </c>
      <c r="N647" s="13" t="str">
        <f>IF(OR('实盘净值数据(iFinD）'!$A647="",'实盘净值数据(iFinD）'!$B647="",'实盘净值数据(iFinD）'!$Z647="",'实盘净值数据(iFinD）'!$AA647=""),"",分期持仓明细!$AB$24*(SUMPRODUCT(分期持仓明细!$B$24:$Y$24,'实盘净值数据(iFinD）'!$B647:$Y647/'实盘净值数据(iFinD）'!$B$65:$Y$65)+SUMPRODUCT(分期持仓明细!$AC$24:$AD$24,'实盘净值数据(iFinD）'!$Z647:$AA647/'实盘净值数据(iFinD）'!$Z$65:$AA$65))*(1-实盘持仓初始配置!$Z$8)^(('实盘净值数据(iFinD）'!$A647-'实盘净值数据(iFinD）'!$A$5)/365))</f>
        <v/>
      </c>
      <c r="O647" s="16" t="str">
        <f t="shared" si="64"/>
        <v/>
      </c>
      <c r="P647" s="16" t="str">
        <f>IF(N647="","",N647/MAX(N$5:N647)-1)</f>
        <v/>
      </c>
      <c r="Q647" s="13" t="str">
        <f>IF(OR('实盘净值数据(iFinD）'!$A647="",'实盘净值数据(iFinD）'!$B647="",'实盘净值数据(iFinD）'!$Z647="",'实盘净值数据(iFinD）'!$AA647=""),"",分期持仓明细!$AB$25*(SUMPRODUCT(分期持仓明细!$B$25:$Y$25,'实盘净值数据(iFinD）'!$B647:$Y647/'实盘净值数据(iFinD）'!$B$65:$Y$65)+SUMPRODUCT(分期持仓明细!$AC$25:$AD$25,'实盘净值数据(iFinD）'!$Z647:$AA647/'实盘净值数据(iFinD）'!$Z$65:$AA$65))*(1-实盘持仓初始配置!$Z$9)^(('实盘净值数据(iFinD）'!$A647-'实盘净值数据(iFinD）'!$A$8)/365))</f>
        <v/>
      </c>
      <c r="R647" s="16" t="str">
        <f t="shared" si="65"/>
        <v/>
      </c>
      <c r="S647" s="16" t="str">
        <f>IF(Q647="","",Q647/MAX(Q$5:Q647)-1)</f>
        <v/>
      </c>
    </row>
    <row r="648" spans="1:19">
      <c r="A648" s="15" t="str">
        <f>IF('实盘净值数据(iFinD）'!A648="","",'实盘净值数据(iFinD）'!A648)</f>
        <v/>
      </c>
      <c r="B648" s="13" t="str">
        <f>IF(OR('实盘净值数据(iFinD）'!$A648="",'实盘净值数据(iFinD）'!$B648=""),"",分期持仓明细!$AB$17*SUMPRODUCT(分期持仓明细!$B$17:$Y$17,'实盘净值数据(iFinD）'!$B648:$Y648/'实盘净值数据(iFinD）'!$B$20:$Y$20)*(1-实盘持仓初始配置!$Z$4)^(('实盘净值数据(iFinD）'!$A648-'实盘净值数据(iFinD）'!$A$6)/365))</f>
        <v/>
      </c>
      <c r="C648" s="16" t="str">
        <f t="shared" si="60"/>
        <v/>
      </c>
      <c r="D648" s="16" t="str">
        <f>IF(B648="","",B648/MAX(B$5:B648)-1)</f>
        <v/>
      </c>
      <c r="E648" s="13" t="str">
        <f>IF(OR('实盘净值数据(iFinD）'!$A648="",'实盘净值数据(iFinD）'!$B648=""),"",分期持仓明细!$AB$18*SUMPRODUCT(分期持仓明细!$B$18:$Y$18,'实盘净值数据(iFinD）'!$B648:$Y648/'实盘净值数据(iFinD）'!$B$20:$Y$20)*(1-实盘持仓初始配置!$Z$5)^(('实盘净值数据(iFinD）'!$A648-'实盘净值数据(iFinD）'!$A$5)/365))</f>
        <v/>
      </c>
      <c r="F648" s="16" t="str">
        <f t="shared" si="61"/>
        <v/>
      </c>
      <c r="G648" s="16" t="str">
        <f>IF(E648="","",E648/MAX(E$5:E648)-1)</f>
        <v/>
      </c>
      <c r="H648" s="13" t="str">
        <f>IF(OR('实盘净值数据(iFinD）'!$A648="",'实盘净值数据(iFinD）'!$B648=""),"",分期持仓明细!$AB$19*SUMPRODUCT(分期持仓明细!$B$19:$Y$19,'实盘净值数据(iFinD）'!$B648:$Y648/'实盘净值数据(iFinD）'!$B$20:$Y$20)*(1-实盘持仓初始配置!$Z$6)^(('实盘净值数据(iFinD）'!$A648-'实盘净值数据(iFinD）'!$A$7)/365))</f>
        <v/>
      </c>
      <c r="I648" s="16" t="str">
        <f t="shared" si="62"/>
        <v/>
      </c>
      <c r="J648" s="16" t="str">
        <f>IF(H648="","",H648/MAX(H$5:H648)-1)</f>
        <v/>
      </c>
      <c r="K648" s="13" t="str">
        <f>IF(OR('实盘净值数据(iFinD）'!$A648="",'实盘净值数据(iFinD）'!$B648="",'实盘净值数据(iFinD）'!$Z648="",'实盘净值数据(iFinD）'!$AA648=""),"",分期持仓明细!$AB$23*(SUMPRODUCT(分期持仓明细!$B$23:$Y$23,'实盘净值数据(iFinD）'!$B648:$Y648/'实盘净值数据(iFinD）'!$B$65:$Y$65)+SUMPRODUCT(分期持仓明细!$AC$23:$AD$23,'实盘净值数据(iFinD）'!$Z648:$AA648/'实盘净值数据(iFinD）'!$Z$65:$AA$65))*(1-实盘持仓初始配置!$Z$7)^(('实盘净值数据(iFinD）'!$A648-'实盘净值数据(iFinD）'!$A$8)/365))</f>
        <v/>
      </c>
      <c r="L648" s="16" t="str">
        <f t="shared" si="63"/>
        <v/>
      </c>
      <c r="M648" s="16" t="str">
        <f>IF(K648="","",K648/MAX(K$5:K648)-1)</f>
        <v/>
      </c>
      <c r="N648" s="13" t="str">
        <f>IF(OR('实盘净值数据(iFinD）'!$A648="",'实盘净值数据(iFinD）'!$B648="",'实盘净值数据(iFinD）'!$Z648="",'实盘净值数据(iFinD）'!$AA648=""),"",分期持仓明细!$AB$24*(SUMPRODUCT(分期持仓明细!$B$24:$Y$24,'实盘净值数据(iFinD）'!$B648:$Y648/'实盘净值数据(iFinD）'!$B$65:$Y$65)+SUMPRODUCT(分期持仓明细!$AC$24:$AD$24,'实盘净值数据(iFinD）'!$Z648:$AA648/'实盘净值数据(iFinD）'!$Z$65:$AA$65))*(1-实盘持仓初始配置!$Z$8)^(('实盘净值数据(iFinD）'!$A648-'实盘净值数据(iFinD）'!$A$5)/365))</f>
        <v/>
      </c>
      <c r="O648" s="16" t="str">
        <f t="shared" si="64"/>
        <v/>
      </c>
      <c r="P648" s="16" t="str">
        <f>IF(N648="","",N648/MAX(N$5:N648)-1)</f>
        <v/>
      </c>
      <c r="Q648" s="13" t="str">
        <f>IF(OR('实盘净值数据(iFinD）'!$A648="",'实盘净值数据(iFinD）'!$B648="",'实盘净值数据(iFinD）'!$Z648="",'实盘净值数据(iFinD）'!$AA648=""),"",分期持仓明细!$AB$25*(SUMPRODUCT(分期持仓明细!$B$25:$Y$25,'实盘净值数据(iFinD）'!$B648:$Y648/'实盘净值数据(iFinD）'!$B$65:$Y$65)+SUMPRODUCT(分期持仓明细!$AC$25:$AD$25,'实盘净值数据(iFinD）'!$Z648:$AA648/'实盘净值数据(iFinD）'!$Z$65:$AA$65))*(1-实盘持仓初始配置!$Z$9)^(('实盘净值数据(iFinD）'!$A648-'实盘净值数据(iFinD）'!$A$8)/365))</f>
        <v/>
      </c>
      <c r="R648" s="16" t="str">
        <f t="shared" si="65"/>
        <v/>
      </c>
      <c r="S648" s="16" t="str">
        <f>IF(Q648="","",Q648/MAX(Q$5:Q648)-1)</f>
        <v/>
      </c>
    </row>
    <row r="649" spans="1:19">
      <c r="A649" s="15" t="str">
        <f>IF('实盘净值数据(iFinD）'!A649="","",'实盘净值数据(iFinD）'!A649)</f>
        <v/>
      </c>
      <c r="B649" s="13" t="str">
        <f>IF(OR('实盘净值数据(iFinD）'!$A649="",'实盘净值数据(iFinD）'!$B649=""),"",分期持仓明细!$AB$17*SUMPRODUCT(分期持仓明细!$B$17:$Y$17,'实盘净值数据(iFinD）'!$B649:$Y649/'实盘净值数据(iFinD）'!$B$20:$Y$20)*(1-实盘持仓初始配置!$Z$4)^(('实盘净值数据(iFinD）'!$A649-'实盘净值数据(iFinD）'!$A$6)/365))</f>
        <v/>
      </c>
      <c r="C649" s="16" t="str">
        <f t="shared" si="60"/>
        <v/>
      </c>
      <c r="D649" s="16" t="str">
        <f>IF(B649="","",B649/MAX(B$5:B649)-1)</f>
        <v/>
      </c>
      <c r="E649" s="13" t="str">
        <f>IF(OR('实盘净值数据(iFinD）'!$A649="",'实盘净值数据(iFinD）'!$B649=""),"",分期持仓明细!$AB$18*SUMPRODUCT(分期持仓明细!$B$18:$Y$18,'实盘净值数据(iFinD）'!$B649:$Y649/'实盘净值数据(iFinD）'!$B$20:$Y$20)*(1-实盘持仓初始配置!$Z$5)^(('实盘净值数据(iFinD）'!$A649-'实盘净值数据(iFinD）'!$A$5)/365))</f>
        <v/>
      </c>
      <c r="F649" s="16" t="str">
        <f t="shared" si="61"/>
        <v/>
      </c>
      <c r="G649" s="16" t="str">
        <f>IF(E649="","",E649/MAX(E$5:E649)-1)</f>
        <v/>
      </c>
      <c r="H649" s="13" t="str">
        <f>IF(OR('实盘净值数据(iFinD）'!$A649="",'实盘净值数据(iFinD）'!$B649=""),"",分期持仓明细!$AB$19*SUMPRODUCT(分期持仓明细!$B$19:$Y$19,'实盘净值数据(iFinD）'!$B649:$Y649/'实盘净值数据(iFinD）'!$B$20:$Y$20)*(1-实盘持仓初始配置!$Z$6)^(('实盘净值数据(iFinD）'!$A649-'实盘净值数据(iFinD）'!$A$7)/365))</f>
        <v/>
      </c>
      <c r="I649" s="16" t="str">
        <f t="shared" si="62"/>
        <v/>
      </c>
      <c r="J649" s="16" t="str">
        <f>IF(H649="","",H649/MAX(H$5:H649)-1)</f>
        <v/>
      </c>
      <c r="K649" s="13" t="str">
        <f>IF(OR('实盘净值数据(iFinD）'!$A649="",'实盘净值数据(iFinD）'!$B649="",'实盘净值数据(iFinD）'!$Z649="",'实盘净值数据(iFinD）'!$AA649=""),"",分期持仓明细!$AB$23*(SUMPRODUCT(分期持仓明细!$B$23:$Y$23,'实盘净值数据(iFinD）'!$B649:$Y649/'实盘净值数据(iFinD）'!$B$65:$Y$65)+SUMPRODUCT(分期持仓明细!$AC$23:$AD$23,'实盘净值数据(iFinD）'!$Z649:$AA649/'实盘净值数据(iFinD）'!$Z$65:$AA$65))*(1-实盘持仓初始配置!$Z$7)^(('实盘净值数据(iFinD）'!$A649-'实盘净值数据(iFinD）'!$A$8)/365))</f>
        <v/>
      </c>
      <c r="L649" s="16" t="str">
        <f t="shared" si="63"/>
        <v/>
      </c>
      <c r="M649" s="16" t="str">
        <f>IF(K649="","",K649/MAX(K$5:K649)-1)</f>
        <v/>
      </c>
      <c r="N649" s="13" t="str">
        <f>IF(OR('实盘净值数据(iFinD）'!$A649="",'实盘净值数据(iFinD）'!$B649="",'实盘净值数据(iFinD）'!$Z649="",'实盘净值数据(iFinD）'!$AA649=""),"",分期持仓明细!$AB$24*(SUMPRODUCT(分期持仓明细!$B$24:$Y$24,'实盘净值数据(iFinD）'!$B649:$Y649/'实盘净值数据(iFinD）'!$B$65:$Y$65)+SUMPRODUCT(分期持仓明细!$AC$24:$AD$24,'实盘净值数据(iFinD）'!$Z649:$AA649/'实盘净值数据(iFinD）'!$Z$65:$AA$65))*(1-实盘持仓初始配置!$Z$8)^(('实盘净值数据(iFinD）'!$A649-'实盘净值数据(iFinD）'!$A$5)/365))</f>
        <v/>
      </c>
      <c r="O649" s="16" t="str">
        <f t="shared" si="64"/>
        <v/>
      </c>
      <c r="P649" s="16" t="str">
        <f>IF(N649="","",N649/MAX(N$5:N649)-1)</f>
        <v/>
      </c>
      <c r="Q649" s="13" t="str">
        <f>IF(OR('实盘净值数据(iFinD）'!$A649="",'实盘净值数据(iFinD）'!$B649="",'实盘净值数据(iFinD）'!$Z649="",'实盘净值数据(iFinD）'!$AA649=""),"",分期持仓明细!$AB$25*(SUMPRODUCT(分期持仓明细!$B$25:$Y$25,'实盘净值数据(iFinD）'!$B649:$Y649/'实盘净值数据(iFinD）'!$B$65:$Y$65)+SUMPRODUCT(分期持仓明细!$AC$25:$AD$25,'实盘净值数据(iFinD）'!$Z649:$AA649/'实盘净值数据(iFinD）'!$Z$65:$AA$65))*(1-实盘持仓初始配置!$Z$9)^(('实盘净值数据(iFinD）'!$A649-'实盘净值数据(iFinD）'!$A$8)/365))</f>
        <v/>
      </c>
      <c r="R649" s="16" t="str">
        <f t="shared" si="65"/>
        <v/>
      </c>
      <c r="S649" s="16" t="str">
        <f>IF(Q649="","",Q649/MAX(Q$5:Q649)-1)</f>
        <v/>
      </c>
    </row>
    <row r="650" spans="1:19">
      <c r="A650" s="15" t="str">
        <f>IF('实盘净值数据(iFinD）'!A650="","",'实盘净值数据(iFinD）'!A650)</f>
        <v/>
      </c>
      <c r="B650" s="13" t="str">
        <f>IF(OR('实盘净值数据(iFinD）'!$A650="",'实盘净值数据(iFinD）'!$B650=""),"",分期持仓明细!$AB$17*SUMPRODUCT(分期持仓明细!$B$17:$Y$17,'实盘净值数据(iFinD）'!$B650:$Y650/'实盘净值数据(iFinD）'!$B$20:$Y$20)*(1-实盘持仓初始配置!$Z$4)^(('实盘净值数据(iFinD）'!$A650-'实盘净值数据(iFinD）'!$A$6)/365))</f>
        <v/>
      </c>
      <c r="C650" s="16" t="str">
        <f t="shared" si="60"/>
        <v/>
      </c>
      <c r="D650" s="16" t="str">
        <f>IF(B650="","",B650/MAX(B$5:B650)-1)</f>
        <v/>
      </c>
      <c r="E650" s="13" t="str">
        <f>IF(OR('实盘净值数据(iFinD）'!$A650="",'实盘净值数据(iFinD）'!$B650=""),"",分期持仓明细!$AB$18*SUMPRODUCT(分期持仓明细!$B$18:$Y$18,'实盘净值数据(iFinD）'!$B650:$Y650/'实盘净值数据(iFinD）'!$B$20:$Y$20)*(1-实盘持仓初始配置!$Z$5)^(('实盘净值数据(iFinD）'!$A650-'实盘净值数据(iFinD）'!$A$5)/365))</f>
        <v/>
      </c>
      <c r="F650" s="16" t="str">
        <f t="shared" si="61"/>
        <v/>
      </c>
      <c r="G650" s="16" t="str">
        <f>IF(E650="","",E650/MAX(E$5:E650)-1)</f>
        <v/>
      </c>
      <c r="H650" s="13" t="str">
        <f>IF(OR('实盘净值数据(iFinD）'!$A650="",'实盘净值数据(iFinD）'!$B650=""),"",分期持仓明细!$AB$19*SUMPRODUCT(分期持仓明细!$B$19:$Y$19,'实盘净值数据(iFinD）'!$B650:$Y650/'实盘净值数据(iFinD）'!$B$20:$Y$20)*(1-实盘持仓初始配置!$Z$6)^(('实盘净值数据(iFinD）'!$A650-'实盘净值数据(iFinD）'!$A$7)/365))</f>
        <v/>
      </c>
      <c r="I650" s="16" t="str">
        <f t="shared" si="62"/>
        <v/>
      </c>
      <c r="J650" s="16" t="str">
        <f>IF(H650="","",H650/MAX(H$5:H650)-1)</f>
        <v/>
      </c>
      <c r="K650" s="13" t="str">
        <f>IF(OR('实盘净值数据(iFinD）'!$A650="",'实盘净值数据(iFinD）'!$B650="",'实盘净值数据(iFinD）'!$Z650="",'实盘净值数据(iFinD）'!$AA650=""),"",分期持仓明细!$AB$23*(SUMPRODUCT(分期持仓明细!$B$23:$Y$23,'实盘净值数据(iFinD）'!$B650:$Y650/'实盘净值数据(iFinD）'!$B$65:$Y$65)+SUMPRODUCT(分期持仓明细!$AC$23:$AD$23,'实盘净值数据(iFinD）'!$Z650:$AA650/'实盘净值数据(iFinD）'!$Z$65:$AA$65))*(1-实盘持仓初始配置!$Z$7)^(('实盘净值数据(iFinD）'!$A650-'实盘净值数据(iFinD）'!$A$8)/365))</f>
        <v/>
      </c>
      <c r="L650" s="16" t="str">
        <f t="shared" si="63"/>
        <v/>
      </c>
      <c r="M650" s="16" t="str">
        <f>IF(K650="","",K650/MAX(K$5:K650)-1)</f>
        <v/>
      </c>
      <c r="N650" s="13" t="str">
        <f>IF(OR('实盘净值数据(iFinD）'!$A650="",'实盘净值数据(iFinD）'!$B650="",'实盘净值数据(iFinD）'!$Z650="",'实盘净值数据(iFinD）'!$AA650=""),"",分期持仓明细!$AB$24*(SUMPRODUCT(分期持仓明细!$B$24:$Y$24,'实盘净值数据(iFinD）'!$B650:$Y650/'实盘净值数据(iFinD）'!$B$65:$Y$65)+SUMPRODUCT(分期持仓明细!$AC$24:$AD$24,'实盘净值数据(iFinD）'!$Z650:$AA650/'实盘净值数据(iFinD）'!$Z$65:$AA$65))*(1-实盘持仓初始配置!$Z$8)^(('实盘净值数据(iFinD）'!$A650-'实盘净值数据(iFinD）'!$A$5)/365))</f>
        <v/>
      </c>
      <c r="O650" s="16" t="str">
        <f t="shared" si="64"/>
        <v/>
      </c>
      <c r="P650" s="16" t="str">
        <f>IF(N650="","",N650/MAX(N$5:N650)-1)</f>
        <v/>
      </c>
      <c r="Q650" s="13" t="str">
        <f>IF(OR('实盘净值数据(iFinD）'!$A650="",'实盘净值数据(iFinD）'!$B650="",'实盘净值数据(iFinD）'!$Z650="",'实盘净值数据(iFinD）'!$AA650=""),"",分期持仓明细!$AB$25*(SUMPRODUCT(分期持仓明细!$B$25:$Y$25,'实盘净值数据(iFinD）'!$B650:$Y650/'实盘净值数据(iFinD）'!$B$65:$Y$65)+SUMPRODUCT(分期持仓明细!$AC$25:$AD$25,'实盘净值数据(iFinD）'!$Z650:$AA650/'实盘净值数据(iFinD）'!$Z$65:$AA$65))*(1-实盘持仓初始配置!$Z$9)^(('实盘净值数据(iFinD）'!$A650-'实盘净值数据(iFinD）'!$A$8)/365))</f>
        <v/>
      </c>
      <c r="R650" s="16" t="str">
        <f t="shared" si="65"/>
        <v/>
      </c>
      <c r="S650" s="16" t="str">
        <f>IF(Q650="","",Q650/MAX(Q$5:Q650)-1)</f>
        <v/>
      </c>
    </row>
    <row r="651" spans="1:19">
      <c r="A651" s="15" t="str">
        <f>IF('实盘净值数据(iFinD）'!A651="","",'实盘净值数据(iFinD）'!A651)</f>
        <v/>
      </c>
      <c r="B651" s="13" t="str">
        <f>IF(OR('实盘净值数据(iFinD）'!$A651="",'实盘净值数据(iFinD）'!$B651=""),"",分期持仓明细!$AB$17*SUMPRODUCT(分期持仓明细!$B$17:$Y$17,'实盘净值数据(iFinD）'!$B651:$Y651/'实盘净值数据(iFinD）'!$B$20:$Y$20)*(1-实盘持仓初始配置!$Z$4)^(('实盘净值数据(iFinD）'!$A651-'实盘净值数据(iFinD）'!$A$6)/365))</f>
        <v/>
      </c>
      <c r="C651" s="16" t="str">
        <f t="shared" si="60"/>
        <v/>
      </c>
      <c r="D651" s="16" t="str">
        <f>IF(B651="","",B651/MAX(B$5:B651)-1)</f>
        <v/>
      </c>
      <c r="E651" s="13" t="str">
        <f>IF(OR('实盘净值数据(iFinD）'!$A651="",'实盘净值数据(iFinD）'!$B651=""),"",分期持仓明细!$AB$18*SUMPRODUCT(分期持仓明细!$B$18:$Y$18,'实盘净值数据(iFinD）'!$B651:$Y651/'实盘净值数据(iFinD）'!$B$20:$Y$20)*(1-实盘持仓初始配置!$Z$5)^(('实盘净值数据(iFinD）'!$A651-'实盘净值数据(iFinD）'!$A$5)/365))</f>
        <v/>
      </c>
      <c r="F651" s="16" t="str">
        <f t="shared" si="61"/>
        <v/>
      </c>
      <c r="G651" s="16" t="str">
        <f>IF(E651="","",E651/MAX(E$5:E651)-1)</f>
        <v/>
      </c>
      <c r="H651" s="13" t="str">
        <f>IF(OR('实盘净值数据(iFinD）'!$A651="",'实盘净值数据(iFinD）'!$B651=""),"",分期持仓明细!$AB$19*SUMPRODUCT(分期持仓明细!$B$19:$Y$19,'实盘净值数据(iFinD）'!$B651:$Y651/'实盘净值数据(iFinD）'!$B$20:$Y$20)*(1-实盘持仓初始配置!$Z$6)^(('实盘净值数据(iFinD）'!$A651-'实盘净值数据(iFinD）'!$A$7)/365))</f>
        <v/>
      </c>
      <c r="I651" s="16" t="str">
        <f t="shared" si="62"/>
        <v/>
      </c>
      <c r="J651" s="16" t="str">
        <f>IF(H651="","",H651/MAX(H$5:H651)-1)</f>
        <v/>
      </c>
      <c r="K651" s="13" t="str">
        <f>IF(OR('实盘净值数据(iFinD）'!$A651="",'实盘净值数据(iFinD）'!$B651="",'实盘净值数据(iFinD）'!$Z651="",'实盘净值数据(iFinD）'!$AA651=""),"",分期持仓明细!$AB$23*(SUMPRODUCT(分期持仓明细!$B$23:$Y$23,'实盘净值数据(iFinD）'!$B651:$Y651/'实盘净值数据(iFinD）'!$B$65:$Y$65)+SUMPRODUCT(分期持仓明细!$AC$23:$AD$23,'实盘净值数据(iFinD）'!$Z651:$AA651/'实盘净值数据(iFinD）'!$Z$65:$AA$65))*(1-实盘持仓初始配置!$Z$7)^(('实盘净值数据(iFinD）'!$A651-'实盘净值数据(iFinD）'!$A$8)/365))</f>
        <v/>
      </c>
      <c r="L651" s="16" t="str">
        <f t="shared" si="63"/>
        <v/>
      </c>
      <c r="M651" s="16" t="str">
        <f>IF(K651="","",K651/MAX(K$5:K651)-1)</f>
        <v/>
      </c>
      <c r="N651" s="13" t="str">
        <f>IF(OR('实盘净值数据(iFinD）'!$A651="",'实盘净值数据(iFinD）'!$B651="",'实盘净值数据(iFinD）'!$Z651="",'实盘净值数据(iFinD）'!$AA651=""),"",分期持仓明细!$AB$24*(SUMPRODUCT(分期持仓明细!$B$24:$Y$24,'实盘净值数据(iFinD）'!$B651:$Y651/'实盘净值数据(iFinD）'!$B$65:$Y$65)+SUMPRODUCT(分期持仓明细!$AC$24:$AD$24,'实盘净值数据(iFinD）'!$Z651:$AA651/'实盘净值数据(iFinD）'!$Z$65:$AA$65))*(1-实盘持仓初始配置!$Z$8)^(('实盘净值数据(iFinD）'!$A651-'实盘净值数据(iFinD）'!$A$5)/365))</f>
        <v/>
      </c>
      <c r="O651" s="16" t="str">
        <f t="shared" si="64"/>
        <v/>
      </c>
      <c r="P651" s="16" t="str">
        <f>IF(N651="","",N651/MAX(N$5:N651)-1)</f>
        <v/>
      </c>
      <c r="Q651" s="13" t="str">
        <f>IF(OR('实盘净值数据(iFinD）'!$A651="",'实盘净值数据(iFinD）'!$B651="",'实盘净值数据(iFinD）'!$Z651="",'实盘净值数据(iFinD）'!$AA651=""),"",分期持仓明细!$AB$25*(SUMPRODUCT(分期持仓明细!$B$25:$Y$25,'实盘净值数据(iFinD）'!$B651:$Y651/'实盘净值数据(iFinD）'!$B$65:$Y$65)+SUMPRODUCT(分期持仓明细!$AC$25:$AD$25,'实盘净值数据(iFinD）'!$Z651:$AA651/'实盘净值数据(iFinD）'!$Z$65:$AA$65))*(1-实盘持仓初始配置!$Z$9)^(('实盘净值数据(iFinD）'!$A651-'实盘净值数据(iFinD）'!$A$8)/365))</f>
        <v/>
      </c>
      <c r="R651" s="16" t="str">
        <f t="shared" si="65"/>
        <v/>
      </c>
      <c r="S651" s="16" t="str">
        <f>IF(Q651="","",Q651/MAX(Q$5:Q651)-1)</f>
        <v/>
      </c>
    </row>
    <row r="652" spans="1:19">
      <c r="A652" s="15" t="str">
        <f>IF('实盘净值数据(iFinD）'!A652="","",'实盘净值数据(iFinD）'!A652)</f>
        <v/>
      </c>
      <c r="B652" s="13" t="str">
        <f>IF(OR('实盘净值数据(iFinD）'!$A652="",'实盘净值数据(iFinD）'!$B652=""),"",分期持仓明细!$AB$17*SUMPRODUCT(分期持仓明细!$B$17:$Y$17,'实盘净值数据(iFinD）'!$B652:$Y652/'实盘净值数据(iFinD）'!$B$20:$Y$20)*(1-实盘持仓初始配置!$Z$4)^(('实盘净值数据(iFinD）'!$A652-'实盘净值数据(iFinD）'!$A$6)/365))</f>
        <v/>
      </c>
      <c r="C652" s="16" t="str">
        <f t="shared" si="60"/>
        <v/>
      </c>
      <c r="D652" s="16" t="str">
        <f>IF(B652="","",B652/MAX(B$5:B652)-1)</f>
        <v/>
      </c>
      <c r="E652" s="13" t="str">
        <f>IF(OR('实盘净值数据(iFinD）'!$A652="",'实盘净值数据(iFinD）'!$B652=""),"",分期持仓明细!$AB$18*SUMPRODUCT(分期持仓明细!$B$18:$Y$18,'实盘净值数据(iFinD）'!$B652:$Y652/'实盘净值数据(iFinD）'!$B$20:$Y$20)*(1-实盘持仓初始配置!$Z$5)^(('实盘净值数据(iFinD）'!$A652-'实盘净值数据(iFinD）'!$A$5)/365))</f>
        <v/>
      </c>
      <c r="F652" s="16" t="str">
        <f t="shared" si="61"/>
        <v/>
      </c>
      <c r="G652" s="16" t="str">
        <f>IF(E652="","",E652/MAX(E$5:E652)-1)</f>
        <v/>
      </c>
      <c r="H652" s="13" t="str">
        <f>IF(OR('实盘净值数据(iFinD）'!$A652="",'实盘净值数据(iFinD）'!$B652=""),"",分期持仓明细!$AB$19*SUMPRODUCT(分期持仓明细!$B$19:$Y$19,'实盘净值数据(iFinD）'!$B652:$Y652/'实盘净值数据(iFinD）'!$B$20:$Y$20)*(1-实盘持仓初始配置!$Z$6)^(('实盘净值数据(iFinD）'!$A652-'实盘净值数据(iFinD）'!$A$7)/365))</f>
        <v/>
      </c>
      <c r="I652" s="16" t="str">
        <f t="shared" si="62"/>
        <v/>
      </c>
      <c r="J652" s="16" t="str">
        <f>IF(H652="","",H652/MAX(H$5:H652)-1)</f>
        <v/>
      </c>
      <c r="K652" s="13" t="str">
        <f>IF(OR('实盘净值数据(iFinD）'!$A652="",'实盘净值数据(iFinD）'!$B652="",'实盘净值数据(iFinD）'!$Z652="",'实盘净值数据(iFinD）'!$AA652=""),"",分期持仓明细!$AB$23*(SUMPRODUCT(分期持仓明细!$B$23:$Y$23,'实盘净值数据(iFinD）'!$B652:$Y652/'实盘净值数据(iFinD）'!$B$65:$Y$65)+SUMPRODUCT(分期持仓明细!$AC$23:$AD$23,'实盘净值数据(iFinD）'!$Z652:$AA652/'实盘净值数据(iFinD）'!$Z$65:$AA$65))*(1-实盘持仓初始配置!$Z$7)^(('实盘净值数据(iFinD）'!$A652-'实盘净值数据(iFinD）'!$A$8)/365))</f>
        <v/>
      </c>
      <c r="L652" s="16" t="str">
        <f t="shared" si="63"/>
        <v/>
      </c>
      <c r="M652" s="16" t="str">
        <f>IF(K652="","",K652/MAX(K$5:K652)-1)</f>
        <v/>
      </c>
      <c r="N652" s="13" t="str">
        <f>IF(OR('实盘净值数据(iFinD）'!$A652="",'实盘净值数据(iFinD）'!$B652="",'实盘净值数据(iFinD）'!$Z652="",'实盘净值数据(iFinD）'!$AA652=""),"",分期持仓明细!$AB$24*(SUMPRODUCT(分期持仓明细!$B$24:$Y$24,'实盘净值数据(iFinD）'!$B652:$Y652/'实盘净值数据(iFinD）'!$B$65:$Y$65)+SUMPRODUCT(分期持仓明细!$AC$24:$AD$24,'实盘净值数据(iFinD）'!$Z652:$AA652/'实盘净值数据(iFinD）'!$Z$65:$AA$65))*(1-实盘持仓初始配置!$Z$8)^(('实盘净值数据(iFinD）'!$A652-'实盘净值数据(iFinD）'!$A$5)/365))</f>
        <v/>
      </c>
      <c r="O652" s="16" t="str">
        <f t="shared" si="64"/>
        <v/>
      </c>
      <c r="P652" s="16" t="str">
        <f>IF(N652="","",N652/MAX(N$5:N652)-1)</f>
        <v/>
      </c>
      <c r="Q652" s="13" t="str">
        <f>IF(OR('实盘净值数据(iFinD）'!$A652="",'实盘净值数据(iFinD）'!$B652="",'实盘净值数据(iFinD）'!$Z652="",'实盘净值数据(iFinD）'!$AA652=""),"",分期持仓明细!$AB$25*(SUMPRODUCT(分期持仓明细!$B$25:$Y$25,'实盘净值数据(iFinD）'!$B652:$Y652/'实盘净值数据(iFinD）'!$B$65:$Y$65)+SUMPRODUCT(分期持仓明细!$AC$25:$AD$25,'实盘净值数据(iFinD）'!$Z652:$AA652/'实盘净值数据(iFinD）'!$Z$65:$AA$65))*(1-实盘持仓初始配置!$Z$9)^(('实盘净值数据(iFinD）'!$A652-'实盘净值数据(iFinD）'!$A$8)/365))</f>
        <v/>
      </c>
      <c r="R652" s="16" t="str">
        <f t="shared" si="65"/>
        <v/>
      </c>
      <c r="S652" s="16" t="str">
        <f>IF(Q652="","",Q652/MAX(Q$5:Q652)-1)</f>
        <v/>
      </c>
    </row>
    <row r="653" spans="1:19">
      <c r="A653" s="15" t="str">
        <f>IF('实盘净值数据(iFinD）'!A653="","",'实盘净值数据(iFinD）'!A653)</f>
        <v/>
      </c>
      <c r="B653" s="13" t="str">
        <f>IF(OR('实盘净值数据(iFinD）'!$A653="",'实盘净值数据(iFinD）'!$B653=""),"",分期持仓明细!$AB$17*SUMPRODUCT(分期持仓明细!$B$17:$Y$17,'实盘净值数据(iFinD）'!$B653:$Y653/'实盘净值数据(iFinD）'!$B$20:$Y$20)*(1-实盘持仓初始配置!$Z$4)^(('实盘净值数据(iFinD）'!$A653-'实盘净值数据(iFinD）'!$A$6)/365))</f>
        <v/>
      </c>
      <c r="C653" s="16" t="str">
        <f t="shared" si="60"/>
        <v/>
      </c>
      <c r="D653" s="16" t="str">
        <f>IF(B653="","",B653/MAX(B$5:B653)-1)</f>
        <v/>
      </c>
      <c r="E653" s="13" t="str">
        <f>IF(OR('实盘净值数据(iFinD）'!$A653="",'实盘净值数据(iFinD）'!$B653=""),"",分期持仓明细!$AB$18*SUMPRODUCT(分期持仓明细!$B$18:$Y$18,'实盘净值数据(iFinD）'!$B653:$Y653/'实盘净值数据(iFinD）'!$B$20:$Y$20)*(1-实盘持仓初始配置!$Z$5)^(('实盘净值数据(iFinD）'!$A653-'实盘净值数据(iFinD）'!$A$5)/365))</f>
        <v/>
      </c>
      <c r="F653" s="16" t="str">
        <f t="shared" si="61"/>
        <v/>
      </c>
      <c r="G653" s="16" t="str">
        <f>IF(E653="","",E653/MAX(E$5:E653)-1)</f>
        <v/>
      </c>
      <c r="H653" s="13" t="str">
        <f>IF(OR('实盘净值数据(iFinD）'!$A653="",'实盘净值数据(iFinD）'!$B653=""),"",分期持仓明细!$AB$19*SUMPRODUCT(分期持仓明细!$B$19:$Y$19,'实盘净值数据(iFinD）'!$B653:$Y653/'实盘净值数据(iFinD）'!$B$20:$Y$20)*(1-实盘持仓初始配置!$Z$6)^(('实盘净值数据(iFinD）'!$A653-'实盘净值数据(iFinD）'!$A$7)/365))</f>
        <v/>
      </c>
      <c r="I653" s="16" t="str">
        <f t="shared" si="62"/>
        <v/>
      </c>
      <c r="J653" s="16" t="str">
        <f>IF(H653="","",H653/MAX(H$5:H653)-1)</f>
        <v/>
      </c>
      <c r="K653" s="13" t="str">
        <f>IF(OR('实盘净值数据(iFinD）'!$A653="",'实盘净值数据(iFinD）'!$B653="",'实盘净值数据(iFinD）'!$Z653="",'实盘净值数据(iFinD）'!$AA653=""),"",分期持仓明细!$AB$23*(SUMPRODUCT(分期持仓明细!$B$23:$Y$23,'实盘净值数据(iFinD）'!$B653:$Y653/'实盘净值数据(iFinD）'!$B$65:$Y$65)+SUMPRODUCT(分期持仓明细!$AC$23:$AD$23,'实盘净值数据(iFinD）'!$Z653:$AA653/'实盘净值数据(iFinD）'!$Z$65:$AA$65))*(1-实盘持仓初始配置!$Z$7)^(('实盘净值数据(iFinD）'!$A653-'实盘净值数据(iFinD）'!$A$8)/365))</f>
        <v/>
      </c>
      <c r="L653" s="16" t="str">
        <f t="shared" si="63"/>
        <v/>
      </c>
      <c r="M653" s="16" t="str">
        <f>IF(K653="","",K653/MAX(K$5:K653)-1)</f>
        <v/>
      </c>
      <c r="N653" s="13" t="str">
        <f>IF(OR('实盘净值数据(iFinD）'!$A653="",'实盘净值数据(iFinD）'!$B653="",'实盘净值数据(iFinD）'!$Z653="",'实盘净值数据(iFinD）'!$AA653=""),"",分期持仓明细!$AB$24*(SUMPRODUCT(分期持仓明细!$B$24:$Y$24,'实盘净值数据(iFinD）'!$B653:$Y653/'实盘净值数据(iFinD）'!$B$65:$Y$65)+SUMPRODUCT(分期持仓明细!$AC$24:$AD$24,'实盘净值数据(iFinD）'!$Z653:$AA653/'实盘净值数据(iFinD）'!$Z$65:$AA$65))*(1-实盘持仓初始配置!$Z$8)^(('实盘净值数据(iFinD）'!$A653-'实盘净值数据(iFinD）'!$A$5)/365))</f>
        <v/>
      </c>
      <c r="O653" s="16" t="str">
        <f t="shared" si="64"/>
        <v/>
      </c>
      <c r="P653" s="16" t="str">
        <f>IF(N653="","",N653/MAX(N$5:N653)-1)</f>
        <v/>
      </c>
      <c r="Q653" s="13" t="str">
        <f>IF(OR('实盘净值数据(iFinD）'!$A653="",'实盘净值数据(iFinD）'!$B653="",'实盘净值数据(iFinD）'!$Z653="",'实盘净值数据(iFinD）'!$AA653=""),"",分期持仓明细!$AB$25*(SUMPRODUCT(分期持仓明细!$B$25:$Y$25,'实盘净值数据(iFinD）'!$B653:$Y653/'实盘净值数据(iFinD）'!$B$65:$Y$65)+SUMPRODUCT(分期持仓明细!$AC$25:$AD$25,'实盘净值数据(iFinD）'!$Z653:$AA653/'实盘净值数据(iFinD）'!$Z$65:$AA$65))*(1-实盘持仓初始配置!$Z$9)^(('实盘净值数据(iFinD）'!$A653-'实盘净值数据(iFinD）'!$A$8)/365))</f>
        <v/>
      </c>
      <c r="R653" s="16" t="str">
        <f t="shared" si="65"/>
        <v/>
      </c>
      <c r="S653" s="16" t="str">
        <f>IF(Q653="","",Q653/MAX(Q$5:Q653)-1)</f>
        <v/>
      </c>
    </row>
    <row r="654" spans="1:19">
      <c r="A654" s="15" t="str">
        <f>IF('实盘净值数据(iFinD）'!A654="","",'实盘净值数据(iFinD）'!A654)</f>
        <v/>
      </c>
      <c r="B654" s="13" t="str">
        <f>IF(OR('实盘净值数据(iFinD）'!$A654="",'实盘净值数据(iFinD）'!$B654=""),"",分期持仓明细!$AB$17*SUMPRODUCT(分期持仓明细!$B$17:$Y$17,'实盘净值数据(iFinD）'!$B654:$Y654/'实盘净值数据(iFinD）'!$B$20:$Y$20)*(1-实盘持仓初始配置!$Z$4)^(('实盘净值数据(iFinD）'!$A654-'实盘净值数据(iFinD）'!$A$6)/365))</f>
        <v/>
      </c>
      <c r="C654" s="16" t="str">
        <f t="shared" si="60"/>
        <v/>
      </c>
      <c r="D654" s="16" t="str">
        <f>IF(B654="","",B654/MAX(B$5:B654)-1)</f>
        <v/>
      </c>
      <c r="E654" s="13" t="str">
        <f>IF(OR('实盘净值数据(iFinD）'!$A654="",'实盘净值数据(iFinD）'!$B654=""),"",分期持仓明细!$AB$18*SUMPRODUCT(分期持仓明细!$B$18:$Y$18,'实盘净值数据(iFinD）'!$B654:$Y654/'实盘净值数据(iFinD）'!$B$20:$Y$20)*(1-实盘持仓初始配置!$Z$5)^(('实盘净值数据(iFinD）'!$A654-'实盘净值数据(iFinD）'!$A$5)/365))</f>
        <v/>
      </c>
      <c r="F654" s="16" t="str">
        <f t="shared" si="61"/>
        <v/>
      </c>
      <c r="G654" s="16" t="str">
        <f>IF(E654="","",E654/MAX(E$5:E654)-1)</f>
        <v/>
      </c>
      <c r="H654" s="13" t="str">
        <f>IF(OR('实盘净值数据(iFinD）'!$A654="",'实盘净值数据(iFinD）'!$B654=""),"",分期持仓明细!$AB$19*SUMPRODUCT(分期持仓明细!$B$19:$Y$19,'实盘净值数据(iFinD）'!$B654:$Y654/'实盘净值数据(iFinD）'!$B$20:$Y$20)*(1-实盘持仓初始配置!$Z$6)^(('实盘净值数据(iFinD）'!$A654-'实盘净值数据(iFinD）'!$A$7)/365))</f>
        <v/>
      </c>
      <c r="I654" s="16" t="str">
        <f t="shared" si="62"/>
        <v/>
      </c>
      <c r="J654" s="16" t="str">
        <f>IF(H654="","",H654/MAX(H$5:H654)-1)</f>
        <v/>
      </c>
      <c r="K654" s="13" t="str">
        <f>IF(OR('实盘净值数据(iFinD）'!$A654="",'实盘净值数据(iFinD）'!$B654="",'实盘净值数据(iFinD）'!$Z654="",'实盘净值数据(iFinD）'!$AA654=""),"",分期持仓明细!$AB$23*(SUMPRODUCT(分期持仓明细!$B$23:$Y$23,'实盘净值数据(iFinD）'!$B654:$Y654/'实盘净值数据(iFinD）'!$B$65:$Y$65)+SUMPRODUCT(分期持仓明细!$AC$23:$AD$23,'实盘净值数据(iFinD）'!$Z654:$AA654/'实盘净值数据(iFinD）'!$Z$65:$AA$65))*(1-实盘持仓初始配置!$Z$7)^(('实盘净值数据(iFinD）'!$A654-'实盘净值数据(iFinD）'!$A$8)/365))</f>
        <v/>
      </c>
      <c r="L654" s="16" t="str">
        <f t="shared" si="63"/>
        <v/>
      </c>
      <c r="M654" s="16" t="str">
        <f>IF(K654="","",K654/MAX(K$5:K654)-1)</f>
        <v/>
      </c>
      <c r="N654" s="13" t="str">
        <f>IF(OR('实盘净值数据(iFinD）'!$A654="",'实盘净值数据(iFinD）'!$B654="",'实盘净值数据(iFinD）'!$Z654="",'实盘净值数据(iFinD）'!$AA654=""),"",分期持仓明细!$AB$24*(SUMPRODUCT(分期持仓明细!$B$24:$Y$24,'实盘净值数据(iFinD）'!$B654:$Y654/'实盘净值数据(iFinD）'!$B$65:$Y$65)+SUMPRODUCT(分期持仓明细!$AC$24:$AD$24,'实盘净值数据(iFinD）'!$Z654:$AA654/'实盘净值数据(iFinD）'!$Z$65:$AA$65))*(1-实盘持仓初始配置!$Z$8)^(('实盘净值数据(iFinD）'!$A654-'实盘净值数据(iFinD）'!$A$5)/365))</f>
        <v/>
      </c>
      <c r="O654" s="16" t="str">
        <f t="shared" si="64"/>
        <v/>
      </c>
      <c r="P654" s="16" t="str">
        <f>IF(N654="","",N654/MAX(N$5:N654)-1)</f>
        <v/>
      </c>
      <c r="Q654" s="13" t="str">
        <f>IF(OR('实盘净值数据(iFinD）'!$A654="",'实盘净值数据(iFinD）'!$B654="",'实盘净值数据(iFinD）'!$Z654="",'实盘净值数据(iFinD）'!$AA654=""),"",分期持仓明细!$AB$25*(SUMPRODUCT(分期持仓明细!$B$25:$Y$25,'实盘净值数据(iFinD）'!$B654:$Y654/'实盘净值数据(iFinD）'!$B$65:$Y$65)+SUMPRODUCT(分期持仓明细!$AC$25:$AD$25,'实盘净值数据(iFinD）'!$Z654:$AA654/'实盘净值数据(iFinD）'!$Z$65:$AA$65))*(1-实盘持仓初始配置!$Z$9)^(('实盘净值数据(iFinD）'!$A654-'实盘净值数据(iFinD）'!$A$8)/365))</f>
        <v/>
      </c>
      <c r="R654" s="16" t="str">
        <f t="shared" si="65"/>
        <v/>
      </c>
      <c r="S654" s="16" t="str">
        <f>IF(Q654="","",Q654/MAX(Q$5:Q654)-1)</f>
        <v/>
      </c>
    </row>
    <row r="655" spans="1:19">
      <c r="A655" s="15" t="str">
        <f>IF('实盘净值数据(iFinD）'!A655="","",'实盘净值数据(iFinD）'!A655)</f>
        <v/>
      </c>
      <c r="B655" s="13" t="str">
        <f>IF(OR('实盘净值数据(iFinD）'!$A655="",'实盘净值数据(iFinD）'!$B655=""),"",分期持仓明细!$AB$17*SUMPRODUCT(分期持仓明细!$B$17:$Y$17,'实盘净值数据(iFinD）'!$B655:$Y655/'实盘净值数据(iFinD）'!$B$20:$Y$20)*(1-实盘持仓初始配置!$Z$4)^(('实盘净值数据(iFinD）'!$A655-'实盘净值数据(iFinD）'!$A$6)/365))</f>
        <v/>
      </c>
      <c r="C655" s="16" t="str">
        <f t="shared" si="60"/>
        <v/>
      </c>
      <c r="D655" s="16" t="str">
        <f>IF(B655="","",B655/MAX(B$5:B655)-1)</f>
        <v/>
      </c>
      <c r="E655" s="13" t="str">
        <f>IF(OR('实盘净值数据(iFinD）'!$A655="",'实盘净值数据(iFinD）'!$B655=""),"",分期持仓明细!$AB$18*SUMPRODUCT(分期持仓明细!$B$18:$Y$18,'实盘净值数据(iFinD）'!$B655:$Y655/'实盘净值数据(iFinD）'!$B$20:$Y$20)*(1-实盘持仓初始配置!$Z$5)^(('实盘净值数据(iFinD）'!$A655-'实盘净值数据(iFinD）'!$A$5)/365))</f>
        <v/>
      </c>
      <c r="F655" s="16" t="str">
        <f t="shared" si="61"/>
        <v/>
      </c>
      <c r="G655" s="16" t="str">
        <f>IF(E655="","",E655/MAX(E$5:E655)-1)</f>
        <v/>
      </c>
      <c r="H655" s="13" t="str">
        <f>IF(OR('实盘净值数据(iFinD）'!$A655="",'实盘净值数据(iFinD）'!$B655=""),"",分期持仓明细!$AB$19*SUMPRODUCT(分期持仓明细!$B$19:$Y$19,'实盘净值数据(iFinD）'!$B655:$Y655/'实盘净值数据(iFinD）'!$B$20:$Y$20)*(1-实盘持仓初始配置!$Z$6)^(('实盘净值数据(iFinD）'!$A655-'实盘净值数据(iFinD）'!$A$7)/365))</f>
        <v/>
      </c>
      <c r="I655" s="16" t="str">
        <f t="shared" si="62"/>
        <v/>
      </c>
      <c r="J655" s="16" t="str">
        <f>IF(H655="","",H655/MAX(H$5:H655)-1)</f>
        <v/>
      </c>
      <c r="K655" s="13" t="str">
        <f>IF(OR('实盘净值数据(iFinD）'!$A655="",'实盘净值数据(iFinD）'!$B655="",'实盘净值数据(iFinD）'!$Z655="",'实盘净值数据(iFinD）'!$AA655=""),"",分期持仓明细!$AB$23*(SUMPRODUCT(分期持仓明细!$B$23:$Y$23,'实盘净值数据(iFinD）'!$B655:$Y655/'实盘净值数据(iFinD）'!$B$65:$Y$65)+SUMPRODUCT(分期持仓明细!$AC$23:$AD$23,'实盘净值数据(iFinD）'!$Z655:$AA655/'实盘净值数据(iFinD）'!$Z$65:$AA$65))*(1-实盘持仓初始配置!$Z$7)^(('实盘净值数据(iFinD）'!$A655-'实盘净值数据(iFinD）'!$A$8)/365))</f>
        <v/>
      </c>
      <c r="L655" s="16" t="str">
        <f t="shared" si="63"/>
        <v/>
      </c>
      <c r="M655" s="16" t="str">
        <f>IF(K655="","",K655/MAX(K$5:K655)-1)</f>
        <v/>
      </c>
      <c r="N655" s="13" t="str">
        <f>IF(OR('实盘净值数据(iFinD）'!$A655="",'实盘净值数据(iFinD）'!$B655="",'实盘净值数据(iFinD）'!$Z655="",'实盘净值数据(iFinD）'!$AA655=""),"",分期持仓明细!$AB$24*(SUMPRODUCT(分期持仓明细!$B$24:$Y$24,'实盘净值数据(iFinD）'!$B655:$Y655/'实盘净值数据(iFinD）'!$B$65:$Y$65)+SUMPRODUCT(分期持仓明细!$AC$24:$AD$24,'实盘净值数据(iFinD）'!$Z655:$AA655/'实盘净值数据(iFinD）'!$Z$65:$AA$65))*(1-实盘持仓初始配置!$Z$8)^(('实盘净值数据(iFinD）'!$A655-'实盘净值数据(iFinD）'!$A$5)/365))</f>
        <v/>
      </c>
      <c r="O655" s="16" t="str">
        <f t="shared" si="64"/>
        <v/>
      </c>
      <c r="P655" s="16" t="str">
        <f>IF(N655="","",N655/MAX(N$5:N655)-1)</f>
        <v/>
      </c>
      <c r="Q655" s="13" t="str">
        <f>IF(OR('实盘净值数据(iFinD）'!$A655="",'实盘净值数据(iFinD）'!$B655="",'实盘净值数据(iFinD）'!$Z655="",'实盘净值数据(iFinD）'!$AA655=""),"",分期持仓明细!$AB$25*(SUMPRODUCT(分期持仓明细!$B$25:$Y$25,'实盘净值数据(iFinD）'!$B655:$Y655/'实盘净值数据(iFinD）'!$B$65:$Y$65)+SUMPRODUCT(分期持仓明细!$AC$25:$AD$25,'实盘净值数据(iFinD）'!$Z655:$AA655/'实盘净值数据(iFinD）'!$Z$65:$AA$65))*(1-实盘持仓初始配置!$Z$9)^(('实盘净值数据(iFinD）'!$A655-'实盘净值数据(iFinD）'!$A$8)/365))</f>
        <v/>
      </c>
      <c r="R655" s="16" t="str">
        <f t="shared" si="65"/>
        <v/>
      </c>
      <c r="S655" s="16" t="str">
        <f>IF(Q655="","",Q655/MAX(Q$5:Q655)-1)</f>
        <v/>
      </c>
    </row>
    <row r="656" spans="1:19">
      <c r="A656" s="15" t="str">
        <f>IF('实盘净值数据(iFinD）'!A656="","",'实盘净值数据(iFinD）'!A656)</f>
        <v/>
      </c>
      <c r="B656" s="13" t="str">
        <f>IF(OR('实盘净值数据(iFinD）'!$A656="",'实盘净值数据(iFinD）'!$B656=""),"",分期持仓明细!$AB$17*SUMPRODUCT(分期持仓明细!$B$17:$Y$17,'实盘净值数据(iFinD）'!$B656:$Y656/'实盘净值数据(iFinD）'!$B$20:$Y$20)*(1-实盘持仓初始配置!$Z$4)^(('实盘净值数据(iFinD）'!$A656-'实盘净值数据(iFinD）'!$A$6)/365))</f>
        <v/>
      </c>
      <c r="C656" s="16" t="str">
        <f t="shared" si="60"/>
        <v/>
      </c>
      <c r="D656" s="16" t="str">
        <f>IF(B656="","",B656/MAX(B$5:B656)-1)</f>
        <v/>
      </c>
      <c r="E656" s="13" t="str">
        <f>IF(OR('实盘净值数据(iFinD）'!$A656="",'实盘净值数据(iFinD）'!$B656=""),"",分期持仓明细!$AB$18*SUMPRODUCT(分期持仓明细!$B$18:$Y$18,'实盘净值数据(iFinD）'!$B656:$Y656/'实盘净值数据(iFinD）'!$B$20:$Y$20)*(1-实盘持仓初始配置!$Z$5)^(('实盘净值数据(iFinD）'!$A656-'实盘净值数据(iFinD）'!$A$5)/365))</f>
        <v/>
      </c>
      <c r="F656" s="16" t="str">
        <f t="shared" si="61"/>
        <v/>
      </c>
      <c r="G656" s="16" t="str">
        <f>IF(E656="","",E656/MAX(E$5:E656)-1)</f>
        <v/>
      </c>
      <c r="H656" s="13" t="str">
        <f>IF(OR('实盘净值数据(iFinD）'!$A656="",'实盘净值数据(iFinD）'!$B656=""),"",分期持仓明细!$AB$19*SUMPRODUCT(分期持仓明细!$B$19:$Y$19,'实盘净值数据(iFinD）'!$B656:$Y656/'实盘净值数据(iFinD）'!$B$20:$Y$20)*(1-实盘持仓初始配置!$Z$6)^(('实盘净值数据(iFinD）'!$A656-'实盘净值数据(iFinD）'!$A$7)/365))</f>
        <v/>
      </c>
      <c r="I656" s="16" t="str">
        <f t="shared" si="62"/>
        <v/>
      </c>
      <c r="J656" s="16" t="str">
        <f>IF(H656="","",H656/MAX(H$5:H656)-1)</f>
        <v/>
      </c>
      <c r="K656" s="13" t="str">
        <f>IF(OR('实盘净值数据(iFinD）'!$A656="",'实盘净值数据(iFinD）'!$B656="",'实盘净值数据(iFinD）'!$Z656="",'实盘净值数据(iFinD）'!$AA656=""),"",分期持仓明细!$AB$23*(SUMPRODUCT(分期持仓明细!$B$23:$Y$23,'实盘净值数据(iFinD）'!$B656:$Y656/'实盘净值数据(iFinD）'!$B$65:$Y$65)+SUMPRODUCT(分期持仓明细!$AC$23:$AD$23,'实盘净值数据(iFinD）'!$Z656:$AA656/'实盘净值数据(iFinD）'!$Z$65:$AA$65))*(1-实盘持仓初始配置!$Z$7)^(('实盘净值数据(iFinD）'!$A656-'实盘净值数据(iFinD）'!$A$8)/365))</f>
        <v/>
      </c>
      <c r="L656" s="16" t="str">
        <f t="shared" si="63"/>
        <v/>
      </c>
      <c r="M656" s="16" t="str">
        <f>IF(K656="","",K656/MAX(K$5:K656)-1)</f>
        <v/>
      </c>
      <c r="N656" s="13" t="str">
        <f>IF(OR('实盘净值数据(iFinD）'!$A656="",'实盘净值数据(iFinD）'!$B656="",'实盘净值数据(iFinD）'!$Z656="",'实盘净值数据(iFinD）'!$AA656=""),"",分期持仓明细!$AB$24*(SUMPRODUCT(分期持仓明细!$B$24:$Y$24,'实盘净值数据(iFinD）'!$B656:$Y656/'实盘净值数据(iFinD）'!$B$65:$Y$65)+SUMPRODUCT(分期持仓明细!$AC$24:$AD$24,'实盘净值数据(iFinD）'!$Z656:$AA656/'实盘净值数据(iFinD）'!$Z$65:$AA$65))*(1-实盘持仓初始配置!$Z$8)^(('实盘净值数据(iFinD）'!$A656-'实盘净值数据(iFinD）'!$A$5)/365))</f>
        <v/>
      </c>
      <c r="O656" s="16" t="str">
        <f t="shared" si="64"/>
        <v/>
      </c>
      <c r="P656" s="16" t="str">
        <f>IF(N656="","",N656/MAX(N$5:N656)-1)</f>
        <v/>
      </c>
      <c r="Q656" s="13" t="str">
        <f>IF(OR('实盘净值数据(iFinD）'!$A656="",'实盘净值数据(iFinD）'!$B656="",'实盘净值数据(iFinD）'!$Z656="",'实盘净值数据(iFinD）'!$AA656=""),"",分期持仓明细!$AB$25*(SUMPRODUCT(分期持仓明细!$B$25:$Y$25,'实盘净值数据(iFinD）'!$B656:$Y656/'实盘净值数据(iFinD）'!$B$65:$Y$65)+SUMPRODUCT(分期持仓明细!$AC$25:$AD$25,'实盘净值数据(iFinD）'!$Z656:$AA656/'实盘净值数据(iFinD）'!$Z$65:$AA$65))*(1-实盘持仓初始配置!$Z$9)^(('实盘净值数据(iFinD）'!$A656-'实盘净值数据(iFinD）'!$A$8)/365))</f>
        <v/>
      </c>
      <c r="R656" s="16" t="str">
        <f t="shared" si="65"/>
        <v/>
      </c>
      <c r="S656" s="16" t="str">
        <f>IF(Q656="","",Q656/MAX(Q$5:Q656)-1)</f>
        <v/>
      </c>
    </row>
    <row r="657" spans="1:19">
      <c r="A657" s="15" t="str">
        <f>IF('实盘净值数据(iFinD）'!A657="","",'实盘净值数据(iFinD）'!A657)</f>
        <v/>
      </c>
      <c r="B657" s="13" t="str">
        <f>IF(OR('实盘净值数据(iFinD）'!$A657="",'实盘净值数据(iFinD）'!$B657=""),"",分期持仓明细!$AB$17*SUMPRODUCT(分期持仓明细!$B$17:$Y$17,'实盘净值数据(iFinD）'!$B657:$Y657/'实盘净值数据(iFinD）'!$B$20:$Y$20)*(1-实盘持仓初始配置!$Z$4)^(('实盘净值数据(iFinD）'!$A657-'实盘净值数据(iFinD）'!$A$6)/365))</f>
        <v/>
      </c>
      <c r="C657" s="16" t="str">
        <f t="shared" si="60"/>
        <v/>
      </c>
      <c r="D657" s="16" t="str">
        <f>IF(B657="","",B657/MAX(B$5:B657)-1)</f>
        <v/>
      </c>
      <c r="E657" s="13" t="str">
        <f>IF(OR('实盘净值数据(iFinD）'!$A657="",'实盘净值数据(iFinD）'!$B657=""),"",分期持仓明细!$AB$18*SUMPRODUCT(分期持仓明细!$B$18:$Y$18,'实盘净值数据(iFinD）'!$B657:$Y657/'实盘净值数据(iFinD）'!$B$20:$Y$20)*(1-实盘持仓初始配置!$Z$5)^(('实盘净值数据(iFinD）'!$A657-'实盘净值数据(iFinD）'!$A$5)/365))</f>
        <v/>
      </c>
      <c r="F657" s="16" t="str">
        <f t="shared" si="61"/>
        <v/>
      </c>
      <c r="G657" s="16" t="str">
        <f>IF(E657="","",E657/MAX(E$5:E657)-1)</f>
        <v/>
      </c>
      <c r="H657" s="13" t="str">
        <f>IF(OR('实盘净值数据(iFinD）'!$A657="",'实盘净值数据(iFinD）'!$B657=""),"",分期持仓明细!$AB$19*SUMPRODUCT(分期持仓明细!$B$19:$Y$19,'实盘净值数据(iFinD）'!$B657:$Y657/'实盘净值数据(iFinD）'!$B$20:$Y$20)*(1-实盘持仓初始配置!$Z$6)^(('实盘净值数据(iFinD）'!$A657-'实盘净值数据(iFinD）'!$A$7)/365))</f>
        <v/>
      </c>
      <c r="I657" s="16" t="str">
        <f t="shared" si="62"/>
        <v/>
      </c>
      <c r="J657" s="16" t="str">
        <f>IF(H657="","",H657/MAX(H$5:H657)-1)</f>
        <v/>
      </c>
      <c r="K657" s="13" t="str">
        <f>IF(OR('实盘净值数据(iFinD）'!$A657="",'实盘净值数据(iFinD）'!$B657="",'实盘净值数据(iFinD）'!$Z657="",'实盘净值数据(iFinD）'!$AA657=""),"",分期持仓明细!$AB$23*(SUMPRODUCT(分期持仓明细!$B$23:$Y$23,'实盘净值数据(iFinD）'!$B657:$Y657/'实盘净值数据(iFinD）'!$B$65:$Y$65)+SUMPRODUCT(分期持仓明细!$AC$23:$AD$23,'实盘净值数据(iFinD）'!$Z657:$AA657/'实盘净值数据(iFinD）'!$Z$65:$AA$65))*(1-实盘持仓初始配置!$Z$7)^(('实盘净值数据(iFinD）'!$A657-'实盘净值数据(iFinD）'!$A$8)/365))</f>
        <v/>
      </c>
      <c r="L657" s="16" t="str">
        <f t="shared" si="63"/>
        <v/>
      </c>
      <c r="M657" s="16" t="str">
        <f>IF(K657="","",K657/MAX(K$5:K657)-1)</f>
        <v/>
      </c>
      <c r="N657" s="13" t="str">
        <f>IF(OR('实盘净值数据(iFinD）'!$A657="",'实盘净值数据(iFinD）'!$B657="",'实盘净值数据(iFinD）'!$Z657="",'实盘净值数据(iFinD）'!$AA657=""),"",分期持仓明细!$AB$24*(SUMPRODUCT(分期持仓明细!$B$24:$Y$24,'实盘净值数据(iFinD）'!$B657:$Y657/'实盘净值数据(iFinD）'!$B$65:$Y$65)+SUMPRODUCT(分期持仓明细!$AC$24:$AD$24,'实盘净值数据(iFinD）'!$Z657:$AA657/'实盘净值数据(iFinD）'!$Z$65:$AA$65))*(1-实盘持仓初始配置!$Z$8)^(('实盘净值数据(iFinD）'!$A657-'实盘净值数据(iFinD）'!$A$5)/365))</f>
        <v/>
      </c>
      <c r="O657" s="16" t="str">
        <f t="shared" si="64"/>
        <v/>
      </c>
      <c r="P657" s="16" t="str">
        <f>IF(N657="","",N657/MAX(N$5:N657)-1)</f>
        <v/>
      </c>
      <c r="Q657" s="13" t="str">
        <f>IF(OR('实盘净值数据(iFinD）'!$A657="",'实盘净值数据(iFinD）'!$B657="",'实盘净值数据(iFinD）'!$Z657="",'实盘净值数据(iFinD）'!$AA657=""),"",分期持仓明细!$AB$25*(SUMPRODUCT(分期持仓明细!$B$25:$Y$25,'实盘净值数据(iFinD）'!$B657:$Y657/'实盘净值数据(iFinD）'!$B$65:$Y$65)+SUMPRODUCT(分期持仓明细!$AC$25:$AD$25,'实盘净值数据(iFinD）'!$Z657:$AA657/'实盘净值数据(iFinD）'!$Z$65:$AA$65))*(1-实盘持仓初始配置!$Z$9)^(('实盘净值数据(iFinD）'!$A657-'实盘净值数据(iFinD）'!$A$8)/365))</f>
        <v/>
      </c>
      <c r="R657" s="16" t="str">
        <f t="shared" si="65"/>
        <v/>
      </c>
      <c r="S657" s="16" t="str">
        <f>IF(Q657="","",Q657/MAX(Q$5:Q657)-1)</f>
        <v/>
      </c>
    </row>
    <row r="658" spans="1:19">
      <c r="A658" s="15" t="str">
        <f>IF('实盘净值数据(iFinD）'!A658="","",'实盘净值数据(iFinD）'!A658)</f>
        <v/>
      </c>
      <c r="B658" s="13" t="str">
        <f>IF(OR('实盘净值数据(iFinD）'!$A658="",'实盘净值数据(iFinD）'!$B658=""),"",分期持仓明细!$AB$17*SUMPRODUCT(分期持仓明细!$B$17:$Y$17,'实盘净值数据(iFinD）'!$B658:$Y658/'实盘净值数据(iFinD）'!$B$20:$Y$20)*(1-实盘持仓初始配置!$Z$4)^(('实盘净值数据(iFinD）'!$A658-'实盘净值数据(iFinD）'!$A$6)/365))</f>
        <v/>
      </c>
      <c r="C658" s="16" t="str">
        <f t="shared" si="60"/>
        <v/>
      </c>
      <c r="D658" s="16" t="str">
        <f>IF(B658="","",B658/MAX(B$5:B658)-1)</f>
        <v/>
      </c>
      <c r="E658" s="13" t="str">
        <f>IF(OR('实盘净值数据(iFinD）'!$A658="",'实盘净值数据(iFinD）'!$B658=""),"",分期持仓明细!$AB$18*SUMPRODUCT(分期持仓明细!$B$18:$Y$18,'实盘净值数据(iFinD）'!$B658:$Y658/'实盘净值数据(iFinD）'!$B$20:$Y$20)*(1-实盘持仓初始配置!$Z$5)^(('实盘净值数据(iFinD）'!$A658-'实盘净值数据(iFinD）'!$A$5)/365))</f>
        <v/>
      </c>
      <c r="F658" s="16" t="str">
        <f t="shared" si="61"/>
        <v/>
      </c>
      <c r="G658" s="16" t="str">
        <f>IF(E658="","",E658/MAX(E$5:E658)-1)</f>
        <v/>
      </c>
      <c r="H658" s="13" t="str">
        <f>IF(OR('实盘净值数据(iFinD）'!$A658="",'实盘净值数据(iFinD）'!$B658=""),"",分期持仓明细!$AB$19*SUMPRODUCT(分期持仓明细!$B$19:$Y$19,'实盘净值数据(iFinD）'!$B658:$Y658/'实盘净值数据(iFinD）'!$B$20:$Y$20)*(1-实盘持仓初始配置!$Z$6)^(('实盘净值数据(iFinD）'!$A658-'实盘净值数据(iFinD）'!$A$7)/365))</f>
        <v/>
      </c>
      <c r="I658" s="16" t="str">
        <f t="shared" si="62"/>
        <v/>
      </c>
      <c r="J658" s="16" t="str">
        <f>IF(H658="","",H658/MAX(H$5:H658)-1)</f>
        <v/>
      </c>
      <c r="K658" s="13" t="str">
        <f>IF(OR('实盘净值数据(iFinD）'!$A658="",'实盘净值数据(iFinD）'!$B658="",'实盘净值数据(iFinD）'!$Z658="",'实盘净值数据(iFinD）'!$AA658=""),"",分期持仓明细!$AB$23*(SUMPRODUCT(分期持仓明细!$B$23:$Y$23,'实盘净值数据(iFinD）'!$B658:$Y658/'实盘净值数据(iFinD）'!$B$65:$Y$65)+SUMPRODUCT(分期持仓明细!$AC$23:$AD$23,'实盘净值数据(iFinD）'!$Z658:$AA658/'实盘净值数据(iFinD）'!$Z$65:$AA$65))*(1-实盘持仓初始配置!$Z$7)^(('实盘净值数据(iFinD）'!$A658-'实盘净值数据(iFinD）'!$A$8)/365))</f>
        <v/>
      </c>
      <c r="L658" s="16" t="str">
        <f t="shared" si="63"/>
        <v/>
      </c>
      <c r="M658" s="16" t="str">
        <f>IF(K658="","",K658/MAX(K$5:K658)-1)</f>
        <v/>
      </c>
      <c r="N658" s="13" t="str">
        <f>IF(OR('实盘净值数据(iFinD）'!$A658="",'实盘净值数据(iFinD）'!$B658="",'实盘净值数据(iFinD）'!$Z658="",'实盘净值数据(iFinD）'!$AA658=""),"",分期持仓明细!$AB$24*(SUMPRODUCT(分期持仓明细!$B$24:$Y$24,'实盘净值数据(iFinD）'!$B658:$Y658/'实盘净值数据(iFinD）'!$B$65:$Y$65)+SUMPRODUCT(分期持仓明细!$AC$24:$AD$24,'实盘净值数据(iFinD）'!$Z658:$AA658/'实盘净值数据(iFinD）'!$Z$65:$AA$65))*(1-实盘持仓初始配置!$Z$8)^(('实盘净值数据(iFinD）'!$A658-'实盘净值数据(iFinD）'!$A$5)/365))</f>
        <v/>
      </c>
      <c r="O658" s="16" t="str">
        <f t="shared" si="64"/>
        <v/>
      </c>
      <c r="P658" s="16" t="str">
        <f>IF(N658="","",N658/MAX(N$5:N658)-1)</f>
        <v/>
      </c>
      <c r="Q658" s="13" t="str">
        <f>IF(OR('实盘净值数据(iFinD）'!$A658="",'实盘净值数据(iFinD）'!$B658="",'实盘净值数据(iFinD）'!$Z658="",'实盘净值数据(iFinD）'!$AA658=""),"",分期持仓明细!$AB$25*(SUMPRODUCT(分期持仓明细!$B$25:$Y$25,'实盘净值数据(iFinD）'!$B658:$Y658/'实盘净值数据(iFinD）'!$B$65:$Y$65)+SUMPRODUCT(分期持仓明细!$AC$25:$AD$25,'实盘净值数据(iFinD）'!$Z658:$AA658/'实盘净值数据(iFinD）'!$Z$65:$AA$65))*(1-实盘持仓初始配置!$Z$9)^(('实盘净值数据(iFinD）'!$A658-'实盘净值数据(iFinD）'!$A$8)/365))</f>
        <v/>
      </c>
      <c r="R658" s="16" t="str">
        <f t="shared" si="65"/>
        <v/>
      </c>
      <c r="S658" s="16" t="str">
        <f>IF(Q658="","",Q658/MAX(Q$5:Q658)-1)</f>
        <v/>
      </c>
    </row>
    <row r="659" spans="1:19">
      <c r="A659" s="15" t="str">
        <f>IF('实盘净值数据(iFinD）'!A659="","",'实盘净值数据(iFinD）'!A659)</f>
        <v/>
      </c>
      <c r="B659" s="13" t="str">
        <f>IF(OR('实盘净值数据(iFinD）'!$A659="",'实盘净值数据(iFinD）'!$B659=""),"",分期持仓明细!$AB$17*SUMPRODUCT(分期持仓明细!$B$17:$Y$17,'实盘净值数据(iFinD）'!$B659:$Y659/'实盘净值数据(iFinD）'!$B$20:$Y$20)*(1-实盘持仓初始配置!$Z$4)^(('实盘净值数据(iFinD）'!$A659-'实盘净值数据(iFinD）'!$A$6)/365))</f>
        <v/>
      </c>
      <c r="C659" s="16" t="str">
        <f t="shared" si="60"/>
        <v/>
      </c>
      <c r="D659" s="16" t="str">
        <f>IF(B659="","",B659/MAX(B$5:B659)-1)</f>
        <v/>
      </c>
      <c r="E659" s="13" t="str">
        <f>IF(OR('实盘净值数据(iFinD）'!$A659="",'实盘净值数据(iFinD）'!$B659=""),"",分期持仓明细!$AB$18*SUMPRODUCT(分期持仓明细!$B$18:$Y$18,'实盘净值数据(iFinD）'!$B659:$Y659/'实盘净值数据(iFinD）'!$B$20:$Y$20)*(1-实盘持仓初始配置!$Z$5)^(('实盘净值数据(iFinD）'!$A659-'实盘净值数据(iFinD）'!$A$5)/365))</f>
        <v/>
      </c>
      <c r="F659" s="16" t="str">
        <f t="shared" si="61"/>
        <v/>
      </c>
      <c r="G659" s="16" t="str">
        <f>IF(E659="","",E659/MAX(E$5:E659)-1)</f>
        <v/>
      </c>
      <c r="H659" s="13" t="str">
        <f>IF(OR('实盘净值数据(iFinD）'!$A659="",'实盘净值数据(iFinD）'!$B659=""),"",分期持仓明细!$AB$19*SUMPRODUCT(分期持仓明细!$B$19:$Y$19,'实盘净值数据(iFinD）'!$B659:$Y659/'实盘净值数据(iFinD）'!$B$20:$Y$20)*(1-实盘持仓初始配置!$Z$6)^(('实盘净值数据(iFinD）'!$A659-'实盘净值数据(iFinD）'!$A$7)/365))</f>
        <v/>
      </c>
      <c r="I659" s="16" t="str">
        <f t="shared" si="62"/>
        <v/>
      </c>
      <c r="J659" s="16" t="str">
        <f>IF(H659="","",H659/MAX(H$5:H659)-1)</f>
        <v/>
      </c>
      <c r="K659" s="13" t="str">
        <f>IF(OR('实盘净值数据(iFinD）'!$A659="",'实盘净值数据(iFinD）'!$B659="",'实盘净值数据(iFinD）'!$Z659="",'实盘净值数据(iFinD）'!$AA659=""),"",分期持仓明细!$AB$23*(SUMPRODUCT(分期持仓明细!$B$23:$Y$23,'实盘净值数据(iFinD）'!$B659:$Y659/'实盘净值数据(iFinD）'!$B$65:$Y$65)+SUMPRODUCT(分期持仓明细!$AC$23:$AD$23,'实盘净值数据(iFinD）'!$Z659:$AA659/'实盘净值数据(iFinD）'!$Z$65:$AA$65))*(1-实盘持仓初始配置!$Z$7)^(('实盘净值数据(iFinD）'!$A659-'实盘净值数据(iFinD）'!$A$8)/365))</f>
        <v/>
      </c>
      <c r="L659" s="16" t="str">
        <f t="shared" si="63"/>
        <v/>
      </c>
      <c r="M659" s="16" t="str">
        <f>IF(K659="","",K659/MAX(K$5:K659)-1)</f>
        <v/>
      </c>
      <c r="N659" s="13" t="str">
        <f>IF(OR('实盘净值数据(iFinD）'!$A659="",'实盘净值数据(iFinD）'!$B659="",'实盘净值数据(iFinD）'!$Z659="",'实盘净值数据(iFinD）'!$AA659=""),"",分期持仓明细!$AB$24*(SUMPRODUCT(分期持仓明细!$B$24:$Y$24,'实盘净值数据(iFinD）'!$B659:$Y659/'实盘净值数据(iFinD）'!$B$65:$Y$65)+SUMPRODUCT(分期持仓明细!$AC$24:$AD$24,'实盘净值数据(iFinD）'!$Z659:$AA659/'实盘净值数据(iFinD）'!$Z$65:$AA$65))*(1-实盘持仓初始配置!$Z$8)^(('实盘净值数据(iFinD）'!$A659-'实盘净值数据(iFinD）'!$A$5)/365))</f>
        <v/>
      </c>
      <c r="O659" s="16" t="str">
        <f t="shared" si="64"/>
        <v/>
      </c>
      <c r="P659" s="16" t="str">
        <f>IF(N659="","",N659/MAX(N$5:N659)-1)</f>
        <v/>
      </c>
      <c r="Q659" s="13" t="str">
        <f>IF(OR('实盘净值数据(iFinD）'!$A659="",'实盘净值数据(iFinD）'!$B659="",'实盘净值数据(iFinD）'!$Z659="",'实盘净值数据(iFinD）'!$AA659=""),"",分期持仓明细!$AB$25*(SUMPRODUCT(分期持仓明细!$B$25:$Y$25,'实盘净值数据(iFinD）'!$B659:$Y659/'实盘净值数据(iFinD）'!$B$65:$Y$65)+SUMPRODUCT(分期持仓明细!$AC$25:$AD$25,'实盘净值数据(iFinD）'!$Z659:$AA659/'实盘净值数据(iFinD）'!$Z$65:$AA$65))*(1-实盘持仓初始配置!$Z$9)^(('实盘净值数据(iFinD）'!$A659-'实盘净值数据(iFinD）'!$A$8)/365))</f>
        <v/>
      </c>
      <c r="R659" s="16" t="str">
        <f t="shared" si="65"/>
        <v/>
      </c>
      <c r="S659" s="16" t="str">
        <f>IF(Q659="","",Q659/MAX(Q$5:Q659)-1)</f>
        <v/>
      </c>
    </row>
    <row r="660" spans="1:19">
      <c r="A660" s="15" t="str">
        <f>IF('实盘净值数据(iFinD）'!A660="","",'实盘净值数据(iFinD）'!A660)</f>
        <v/>
      </c>
      <c r="B660" s="13" t="str">
        <f>IF(OR('实盘净值数据(iFinD）'!$A660="",'实盘净值数据(iFinD）'!$B660=""),"",分期持仓明细!$AB$17*SUMPRODUCT(分期持仓明细!$B$17:$Y$17,'实盘净值数据(iFinD）'!$B660:$Y660/'实盘净值数据(iFinD）'!$B$20:$Y$20)*(1-实盘持仓初始配置!$Z$4)^(('实盘净值数据(iFinD）'!$A660-'实盘净值数据(iFinD）'!$A$6)/365))</f>
        <v/>
      </c>
      <c r="C660" s="16" t="str">
        <f t="shared" si="60"/>
        <v/>
      </c>
      <c r="D660" s="16" t="str">
        <f>IF(B660="","",B660/MAX(B$5:B660)-1)</f>
        <v/>
      </c>
      <c r="E660" s="13" t="str">
        <f>IF(OR('实盘净值数据(iFinD）'!$A660="",'实盘净值数据(iFinD）'!$B660=""),"",分期持仓明细!$AB$18*SUMPRODUCT(分期持仓明细!$B$18:$Y$18,'实盘净值数据(iFinD）'!$B660:$Y660/'实盘净值数据(iFinD）'!$B$20:$Y$20)*(1-实盘持仓初始配置!$Z$5)^(('实盘净值数据(iFinD）'!$A660-'实盘净值数据(iFinD）'!$A$5)/365))</f>
        <v/>
      </c>
      <c r="F660" s="16" t="str">
        <f t="shared" si="61"/>
        <v/>
      </c>
      <c r="G660" s="16" t="str">
        <f>IF(E660="","",E660/MAX(E$5:E660)-1)</f>
        <v/>
      </c>
      <c r="H660" s="13" t="str">
        <f>IF(OR('实盘净值数据(iFinD）'!$A660="",'实盘净值数据(iFinD）'!$B660=""),"",分期持仓明细!$AB$19*SUMPRODUCT(分期持仓明细!$B$19:$Y$19,'实盘净值数据(iFinD）'!$B660:$Y660/'实盘净值数据(iFinD）'!$B$20:$Y$20)*(1-实盘持仓初始配置!$Z$6)^(('实盘净值数据(iFinD）'!$A660-'实盘净值数据(iFinD）'!$A$7)/365))</f>
        <v/>
      </c>
      <c r="I660" s="16" t="str">
        <f t="shared" si="62"/>
        <v/>
      </c>
      <c r="J660" s="16" t="str">
        <f>IF(H660="","",H660/MAX(H$5:H660)-1)</f>
        <v/>
      </c>
      <c r="K660" s="13" t="str">
        <f>IF(OR('实盘净值数据(iFinD）'!$A660="",'实盘净值数据(iFinD）'!$B660="",'实盘净值数据(iFinD）'!$Z660="",'实盘净值数据(iFinD）'!$AA660=""),"",分期持仓明细!$AB$23*(SUMPRODUCT(分期持仓明细!$B$23:$Y$23,'实盘净值数据(iFinD）'!$B660:$Y660/'实盘净值数据(iFinD）'!$B$65:$Y$65)+SUMPRODUCT(分期持仓明细!$AC$23:$AD$23,'实盘净值数据(iFinD）'!$Z660:$AA660/'实盘净值数据(iFinD）'!$Z$65:$AA$65))*(1-实盘持仓初始配置!$Z$7)^(('实盘净值数据(iFinD）'!$A660-'实盘净值数据(iFinD）'!$A$8)/365))</f>
        <v/>
      </c>
      <c r="L660" s="16" t="str">
        <f t="shared" si="63"/>
        <v/>
      </c>
      <c r="M660" s="16" t="str">
        <f>IF(K660="","",K660/MAX(K$5:K660)-1)</f>
        <v/>
      </c>
      <c r="N660" s="13" t="str">
        <f>IF(OR('实盘净值数据(iFinD）'!$A660="",'实盘净值数据(iFinD）'!$B660="",'实盘净值数据(iFinD）'!$Z660="",'实盘净值数据(iFinD）'!$AA660=""),"",分期持仓明细!$AB$24*(SUMPRODUCT(分期持仓明细!$B$24:$Y$24,'实盘净值数据(iFinD）'!$B660:$Y660/'实盘净值数据(iFinD）'!$B$65:$Y$65)+SUMPRODUCT(分期持仓明细!$AC$24:$AD$24,'实盘净值数据(iFinD）'!$Z660:$AA660/'实盘净值数据(iFinD）'!$Z$65:$AA$65))*(1-实盘持仓初始配置!$Z$8)^(('实盘净值数据(iFinD）'!$A660-'实盘净值数据(iFinD）'!$A$5)/365))</f>
        <v/>
      </c>
      <c r="O660" s="16" t="str">
        <f t="shared" si="64"/>
        <v/>
      </c>
      <c r="P660" s="16" t="str">
        <f>IF(N660="","",N660/MAX(N$5:N660)-1)</f>
        <v/>
      </c>
      <c r="Q660" s="13" t="str">
        <f>IF(OR('实盘净值数据(iFinD）'!$A660="",'实盘净值数据(iFinD）'!$B660="",'实盘净值数据(iFinD）'!$Z660="",'实盘净值数据(iFinD）'!$AA660=""),"",分期持仓明细!$AB$25*(SUMPRODUCT(分期持仓明细!$B$25:$Y$25,'实盘净值数据(iFinD）'!$B660:$Y660/'实盘净值数据(iFinD）'!$B$65:$Y$65)+SUMPRODUCT(分期持仓明细!$AC$25:$AD$25,'实盘净值数据(iFinD）'!$Z660:$AA660/'实盘净值数据(iFinD）'!$Z$65:$AA$65))*(1-实盘持仓初始配置!$Z$9)^(('实盘净值数据(iFinD）'!$A660-'实盘净值数据(iFinD）'!$A$8)/365))</f>
        <v/>
      </c>
      <c r="R660" s="16" t="str">
        <f t="shared" si="65"/>
        <v/>
      </c>
      <c r="S660" s="16" t="str">
        <f>IF(Q660="","",Q660/MAX(Q$5:Q660)-1)</f>
        <v/>
      </c>
    </row>
    <row r="661" spans="1:19">
      <c r="A661" s="15" t="str">
        <f>IF('实盘净值数据(iFinD）'!A661="","",'实盘净值数据(iFinD）'!A661)</f>
        <v/>
      </c>
      <c r="B661" s="13" t="str">
        <f>IF(OR('实盘净值数据(iFinD）'!$A661="",'实盘净值数据(iFinD）'!$B661=""),"",分期持仓明细!$AB$17*SUMPRODUCT(分期持仓明细!$B$17:$Y$17,'实盘净值数据(iFinD）'!$B661:$Y661/'实盘净值数据(iFinD）'!$B$20:$Y$20)*(1-实盘持仓初始配置!$Z$4)^(('实盘净值数据(iFinD）'!$A661-'实盘净值数据(iFinD）'!$A$6)/365))</f>
        <v/>
      </c>
      <c r="C661" s="16" t="str">
        <f t="shared" si="60"/>
        <v/>
      </c>
      <c r="D661" s="16" t="str">
        <f>IF(B661="","",B661/MAX(B$5:B661)-1)</f>
        <v/>
      </c>
      <c r="E661" s="13" t="str">
        <f>IF(OR('实盘净值数据(iFinD）'!$A661="",'实盘净值数据(iFinD）'!$B661=""),"",分期持仓明细!$AB$18*SUMPRODUCT(分期持仓明细!$B$18:$Y$18,'实盘净值数据(iFinD）'!$B661:$Y661/'实盘净值数据(iFinD）'!$B$20:$Y$20)*(1-实盘持仓初始配置!$Z$5)^(('实盘净值数据(iFinD）'!$A661-'实盘净值数据(iFinD）'!$A$5)/365))</f>
        <v/>
      </c>
      <c r="F661" s="16" t="str">
        <f t="shared" si="61"/>
        <v/>
      </c>
      <c r="G661" s="16" t="str">
        <f>IF(E661="","",E661/MAX(E$5:E661)-1)</f>
        <v/>
      </c>
      <c r="H661" s="13" t="str">
        <f>IF(OR('实盘净值数据(iFinD）'!$A661="",'实盘净值数据(iFinD）'!$B661=""),"",分期持仓明细!$AB$19*SUMPRODUCT(分期持仓明细!$B$19:$Y$19,'实盘净值数据(iFinD）'!$B661:$Y661/'实盘净值数据(iFinD）'!$B$20:$Y$20)*(1-实盘持仓初始配置!$Z$6)^(('实盘净值数据(iFinD）'!$A661-'实盘净值数据(iFinD）'!$A$7)/365))</f>
        <v/>
      </c>
      <c r="I661" s="16" t="str">
        <f t="shared" si="62"/>
        <v/>
      </c>
      <c r="J661" s="16" t="str">
        <f>IF(H661="","",H661/MAX(H$5:H661)-1)</f>
        <v/>
      </c>
      <c r="K661" s="13" t="str">
        <f>IF(OR('实盘净值数据(iFinD）'!$A661="",'实盘净值数据(iFinD）'!$B661="",'实盘净值数据(iFinD）'!$Z661="",'实盘净值数据(iFinD）'!$AA661=""),"",分期持仓明细!$AB$23*(SUMPRODUCT(分期持仓明细!$B$23:$Y$23,'实盘净值数据(iFinD）'!$B661:$Y661/'实盘净值数据(iFinD）'!$B$65:$Y$65)+SUMPRODUCT(分期持仓明细!$AC$23:$AD$23,'实盘净值数据(iFinD）'!$Z661:$AA661/'实盘净值数据(iFinD）'!$Z$65:$AA$65))*(1-实盘持仓初始配置!$Z$7)^(('实盘净值数据(iFinD）'!$A661-'实盘净值数据(iFinD）'!$A$8)/365))</f>
        <v/>
      </c>
      <c r="L661" s="16" t="str">
        <f t="shared" si="63"/>
        <v/>
      </c>
      <c r="M661" s="16" t="str">
        <f>IF(K661="","",K661/MAX(K$5:K661)-1)</f>
        <v/>
      </c>
      <c r="N661" s="13" t="str">
        <f>IF(OR('实盘净值数据(iFinD）'!$A661="",'实盘净值数据(iFinD）'!$B661="",'实盘净值数据(iFinD）'!$Z661="",'实盘净值数据(iFinD）'!$AA661=""),"",分期持仓明细!$AB$24*(SUMPRODUCT(分期持仓明细!$B$24:$Y$24,'实盘净值数据(iFinD）'!$B661:$Y661/'实盘净值数据(iFinD）'!$B$65:$Y$65)+SUMPRODUCT(分期持仓明细!$AC$24:$AD$24,'实盘净值数据(iFinD）'!$Z661:$AA661/'实盘净值数据(iFinD）'!$Z$65:$AA$65))*(1-实盘持仓初始配置!$Z$8)^(('实盘净值数据(iFinD）'!$A661-'实盘净值数据(iFinD）'!$A$5)/365))</f>
        <v/>
      </c>
      <c r="O661" s="16" t="str">
        <f t="shared" si="64"/>
        <v/>
      </c>
      <c r="P661" s="16" t="str">
        <f>IF(N661="","",N661/MAX(N$5:N661)-1)</f>
        <v/>
      </c>
      <c r="Q661" s="13" t="str">
        <f>IF(OR('实盘净值数据(iFinD）'!$A661="",'实盘净值数据(iFinD）'!$B661="",'实盘净值数据(iFinD）'!$Z661="",'实盘净值数据(iFinD）'!$AA661=""),"",分期持仓明细!$AB$25*(SUMPRODUCT(分期持仓明细!$B$25:$Y$25,'实盘净值数据(iFinD）'!$B661:$Y661/'实盘净值数据(iFinD）'!$B$65:$Y$65)+SUMPRODUCT(分期持仓明细!$AC$25:$AD$25,'实盘净值数据(iFinD）'!$Z661:$AA661/'实盘净值数据(iFinD）'!$Z$65:$AA$65))*(1-实盘持仓初始配置!$Z$9)^(('实盘净值数据(iFinD）'!$A661-'实盘净值数据(iFinD）'!$A$8)/365))</f>
        <v/>
      </c>
      <c r="R661" s="16" t="str">
        <f t="shared" si="65"/>
        <v/>
      </c>
      <c r="S661" s="16" t="str">
        <f>IF(Q661="","",Q661/MAX(Q$5:Q661)-1)</f>
        <v/>
      </c>
    </row>
    <row r="662" spans="1:19">
      <c r="A662" s="15" t="str">
        <f>IF('实盘净值数据(iFinD）'!A662="","",'实盘净值数据(iFinD）'!A662)</f>
        <v/>
      </c>
      <c r="B662" s="13" t="str">
        <f>IF(OR('实盘净值数据(iFinD）'!$A662="",'实盘净值数据(iFinD）'!$B662=""),"",分期持仓明细!$AB$17*SUMPRODUCT(分期持仓明细!$B$17:$Y$17,'实盘净值数据(iFinD）'!$B662:$Y662/'实盘净值数据(iFinD）'!$B$20:$Y$20)*(1-实盘持仓初始配置!$Z$4)^(('实盘净值数据(iFinD）'!$A662-'实盘净值数据(iFinD）'!$A$6)/365))</f>
        <v/>
      </c>
      <c r="C662" s="16" t="str">
        <f t="shared" si="60"/>
        <v/>
      </c>
      <c r="D662" s="16" t="str">
        <f>IF(B662="","",B662/MAX(B$5:B662)-1)</f>
        <v/>
      </c>
      <c r="E662" s="13" t="str">
        <f>IF(OR('实盘净值数据(iFinD）'!$A662="",'实盘净值数据(iFinD）'!$B662=""),"",分期持仓明细!$AB$18*SUMPRODUCT(分期持仓明细!$B$18:$Y$18,'实盘净值数据(iFinD）'!$B662:$Y662/'实盘净值数据(iFinD）'!$B$20:$Y$20)*(1-实盘持仓初始配置!$Z$5)^(('实盘净值数据(iFinD）'!$A662-'实盘净值数据(iFinD）'!$A$5)/365))</f>
        <v/>
      </c>
      <c r="F662" s="16" t="str">
        <f t="shared" si="61"/>
        <v/>
      </c>
      <c r="G662" s="16" t="str">
        <f>IF(E662="","",E662/MAX(E$5:E662)-1)</f>
        <v/>
      </c>
      <c r="H662" s="13" t="str">
        <f>IF(OR('实盘净值数据(iFinD）'!$A662="",'实盘净值数据(iFinD）'!$B662=""),"",分期持仓明细!$AB$19*SUMPRODUCT(分期持仓明细!$B$19:$Y$19,'实盘净值数据(iFinD）'!$B662:$Y662/'实盘净值数据(iFinD）'!$B$20:$Y$20)*(1-实盘持仓初始配置!$Z$6)^(('实盘净值数据(iFinD）'!$A662-'实盘净值数据(iFinD）'!$A$7)/365))</f>
        <v/>
      </c>
      <c r="I662" s="16" t="str">
        <f t="shared" si="62"/>
        <v/>
      </c>
      <c r="J662" s="16" t="str">
        <f>IF(H662="","",H662/MAX(H$5:H662)-1)</f>
        <v/>
      </c>
      <c r="K662" s="13" t="str">
        <f>IF(OR('实盘净值数据(iFinD）'!$A662="",'实盘净值数据(iFinD）'!$B662="",'实盘净值数据(iFinD）'!$Z662="",'实盘净值数据(iFinD）'!$AA662=""),"",分期持仓明细!$AB$23*(SUMPRODUCT(分期持仓明细!$B$23:$Y$23,'实盘净值数据(iFinD）'!$B662:$Y662/'实盘净值数据(iFinD）'!$B$65:$Y$65)+SUMPRODUCT(分期持仓明细!$AC$23:$AD$23,'实盘净值数据(iFinD）'!$Z662:$AA662/'实盘净值数据(iFinD）'!$Z$65:$AA$65))*(1-实盘持仓初始配置!$Z$7)^(('实盘净值数据(iFinD）'!$A662-'实盘净值数据(iFinD）'!$A$8)/365))</f>
        <v/>
      </c>
      <c r="L662" s="16" t="str">
        <f t="shared" si="63"/>
        <v/>
      </c>
      <c r="M662" s="16" t="str">
        <f>IF(K662="","",K662/MAX(K$5:K662)-1)</f>
        <v/>
      </c>
      <c r="N662" s="13" t="str">
        <f>IF(OR('实盘净值数据(iFinD）'!$A662="",'实盘净值数据(iFinD）'!$B662="",'实盘净值数据(iFinD）'!$Z662="",'实盘净值数据(iFinD）'!$AA662=""),"",分期持仓明细!$AB$24*(SUMPRODUCT(分期持仓明细!$B$24:$Y$24,'实盘净值数据(iFinD）'!$B662:$Y662/'实盘净值数据(iFinD）'!$B$65:$Y$65)+SUMPRODUCT(分期持仓明细!$AC$24:$AD$24,'实盘净值数据(iFinD）'!$Z662:$AA662/'实盘净值数据(iFinD）'!$Z$65:$AA$65))*(1-实盘持仓初始配置!$Z$8)^(('实盘净值数据(iFinD）'!$A662-'实盘净值数据(iFinD）'!$A$5)/365))</f>
        <v/>
      </c>
      <c r="O662" s="16" t="str">
        <f t="shared" si="64"/>
        <v/>
      </c>
      <c r="P662" s="16" t="str">
        <f>IF(N662="","",N662/MAX(N$5:N662)-1)</f>
        <v/>
      </c>
      <c r="Q662" s="13" t="str">
        <f>IF(OR('实盘净值数据(iFinD）'!$A662="",'实盘净值数据(iFinD）'!$B662="",'实盘净值数据(iFinD）'!$Z662="",'实盘净值数据(iFinD）'!$AA662=""),"",分期持仓明细!$AB$25*(SUMPRODUCT(分期持仓明细!$B$25:$Y$25,'实盘净值数据(iFinD）'!$B662:$Y662/'实盘净值数据(iFinD）'!$B$65:$Y$65)+SUMPRODUCT(分期持仓明细!$AC$25:$AD$25,'实盘净值数据(iFinD）'!$Z662:$AA662/'实盘净值数据(iFinD）'!$Z$65:$AA$65))*(1-实盘持仓初始配置!$Z$9)^(('实盘净值数据(iFinD）'!$A662-'实盘净值数据(iFinD）'!$A$8)/365))</f>
        <v/>
      </c>
      <c r="R662" s="16" t="str">
        <f t="shared" si="65"/>
        <v/>
      </c>
      <c r="S662" s="16" t="str">
        <f>IF(Q662="","",Q662/MAX(Q$5:Q662)-1)</f>
        <v/>
      </c>
    </row>
    <row r="663" spans="1:19">
      <c r="A663" s="15" t="str">
        <f>IF('实盘净值数据(iFinD）'!A663="","",'实盘净值数据(iFinD）'!A663)</f>
        <v/>
      </c>
      <c r="B663" s="13" t="str">
        <f>IF(OR('实盘净值数据(iFinD）'!$A663="",'实盘净值数据(iFinD）'!$B663=""),"",分期持仓明细!$AB$17*SUMPRODUCT(分期持仓明细!$B$17:$Y$17,'实盘净值数据(iFinD）'!$B663:$Y663/'实盘净值数据(iFinD）'!$B$20:$Y$20)*(1-实盘持仓初始配置!$Z$4)^(('实盘净值数据(iFinD）'!$A663-'实盘净值数据(iFinD）'!$A$6)/365))</f>
        <v/>
      </c>
      <c r="C663" s="16" t="str">
        <f t="shared" si="60"/>
        <v/>
      </c>
      <c r="D663" s="16" t="str">
        <f>IF(B663="","",B663/MAX(B$5:B663)-1)</f>
        <v/>
      </c>
      <c r="E663" s="13" t="str">
        <f>IF(OR('实盘净值数据(iFinD）'!$A663="",'实盘净值数据(iFinD）'!$B663=""),"",分期持仓明细!$AB$18*SUMPRODUCT(分期持仓明细!$B$18:$Y$18,'实盘净值数据(iFinD）'!$B663:$Y663/'实盘净值数据(iFinD）'!$B$20:$Y$20)*(1-实盘持仓初始配置!$Z$5)^(('实盘净值数据(iFinD）'!$A663-'实盘净值数据(iFinD）'!$A$5)/365))</f>
        <v/>
      </c>
      <c r="F663" s="16" t="str">
        <f t="shared" si="61"/>
        <v/>
      </c>
      <c r="G663" s="16" t="str">
        <f>IF(E663="","",E663/MAX(E$5:E663)-1)</f>
        <v/>
      </c>
      <c r="H663" s="13" t="str">
        <f>IF(OR('实盘净值数据(iFinD）'!$A663="",'实盘净值数据(iFinD）'!$B663=""),"",分期持仓明细!$AB$19*SUMPRODUCT(分期持仓明细!$B$19:$Y$19,'实盘净值数据(iFinD）'!$B663:$Y663/'实盘净值数据(iFinD）'!$B$20:$Y$20)*(1-实盘持仓初始配置!$Z$6)^(('实盘净值数据(iFinD）'!$A663-'实盘净值数据(iFinD）'!$A$7)/365))</f>
        <v/>
      </c>
      <c r="I663" s="16" t="str">
        <f t="shared" si="62"/>
        <v/>
      </c>
      <c r="J663" s="16" t="str">
        <f>IF(H663="","",H663/MAX(H$5:H663)-1)</f>
        <v/>
      </c>
      <c r="K663" s="13" t="str">
        <f>IF(OR('实盘净值数据(iFinD）'!$A663="",'实盘净值数据(iFinD）'!$B663="",'实盘净值数据(iFinD）'!$Z663="",'实盘净值数据(iFinD）'!$AA663=""),"",分期持仓明细!$AB$23*(SUMPRODUCT(分期持仓明细!$B$23:$Y$23,'实盘净值数据(iFinD）'!$B663:$Y663/'实盘净值数据(iFinD）'!$B$65:$Y$65)+SUMPRODUCT(分期持仓明细!$AC$23:$AD$23,'实盘净值数据(iFinD）'!$Z663:$AA663/'实盘净值数据(iFinD）'!$Z$65:$AA$65))*(1-实盘持仓初始配置!$Z$7)^(('实盘净值数据(iFinD）'!$A663-'实盘净值数据(iFinD）'!$A$8)/365))</f>
        <v/>
      </c>
      <c r="L663" s="16" t="str">
        <f t="shared" si="63"/>
        <v/>
      </c>
      <c r="M663" s="16" t="str">
        <f>IF(K663="","",K663/MAX(K$5:K663)-1)</f>
        <v/>
      </c>
      <c r="N663" s="13" t="str">
        <f>IF(OR('实盘净值数据(iFinD）'!$A663="",'实盘净值数据(iFinD）'!$B663="",'实盘净值数据(iFinD）'!$Z663="",'实盘净值数据(iFinD）'!$AA663=""),"",分期持仓明细!$AB$24*(SUMPRODUCT(分期持仓明细!$B$24:$Y$24,'实盘净值数据(iFinD）'!$B663:$Y663/'实盘净值数据(iFinD）'!$B$65:$Y$65)+SUMPRODUCT(分期持仓明细!$AC$24:$AD$24,'实盘净值数据(iFinD）'!$Z663:$AA663/'实盘净值数据(iFinD）'!$Z$65:$AA$65))*(1-实盘持仓初始配置!$Z$8)^(('实盘净值数据(iFinD）'!$A663-'实盘净值数据(iFinD）'!$A$5)/365))</f>
        <v/>
      </c>
      <c r="O663" s="16" t="str">
        <f t="shared" si="64"/>
        <v/>
      </c>
      <c r="P663" s="16" t="str">
        <f>IF(N663="","",N663/MAX(N$5:N663)-1)</f>
        <v/>
      </c>
      <c r="Q663" s="13" t="str">
        <f>IF(OR('实盘净值数据(iFinD）'!$A663="",'实盘净值数据(iFinD）'!$B663="",'实盘净值数据(iFinD）'!$Z663="",'实盘净值数据(iFinD）'!$AA663=""),"",分期持仓明细!$AB$25*(SUMPRODUCT(分期持仓明细!$B$25:$Y$25,'实盘净值数据(iFinD）'!$B663:$Y663/'实盘净值数据(iFinD）'!$B$65:$Y$65)+SUMPRODUCT(分期持仓明细!$AC$25:$AD$25,'实盘净值数据(iFinD）'!$Z663:$AA663/'实盘净值数据(iFinD）'!$Z$65:$AA$65))*(1-实盘持仓初始配置!$Z$9)^(('实盘净值数据(iFinD）'!$A663-'实盘净值数据(iFinD）'!$A$8)/365))</f>
        <v/>
      </c>
      <c r="R663" s="16" t="str">
        <f t="shared" si="65"/>
        <v/>
      </c>
      <c r="S663" s="16" t="str">
        <f>IF(Q663="","",Q663/MAX(Q$5:Q663)-1)</f>
        <v/>
      </c>
    </row>
    <row r="664" spans="1:19">
      <c r="A664" s="15" t="str">
        <f>IF('实盘净值数据(iFinD）'!A664="","",'实盘净值数据(iFinD）'!A664)</f>
        <v/>
      </c>
      <c r="B664" s="13" t="str">
        <f>IF(OR('实盘净值数据(iFinD）'!$A664="",'实盘净值数据(iFinD）'!$B664=""),"",分期持仓明细!$AB$17*SUMPRODUCT(分期持仓明细!$B$17:$Y$17,'实盘净值数据(iFinD）'!$B664:$Y664/'实盘净值数据(iFinD）'!$B$20:$Y$20)*(1-实盘持仓初始配置!$Z$4)^(('实盘净值数据(iFinD）'!$A664-'实盘净值数据(iFinD）'!$A$6)/365))</f>
        <v/>
      </c>
      <c r="C664" s="16" t="str">
        <f t="shared" si="60"/>
        <v/>
      </c>
      <c r="D664" s="16" t="str">
        <f>IF(B664="","",B664/MAX(B$5:B664)-1)</f>
        <v/>
      </c>
      <c r="E664" s="13" t="str">
        <f>IF(OR('实盘净值数据(iFinD）'!$A664="",'实盘净值数据(iFinD）'!$B664=""),"",分期持仓明细!$AB$18*SUMPRODUCT(分期持仓明细!$B$18:$Y$18,'实盘净值数据(iFinD）'!$B664:$Y664/'实盘净值数据(iFinD）'!$B$20:$Y$20)*(1-实盘持仓初始配置!$Z$5)^(('实盘净值数据(iFinD）'!$A664-'实盘净值数据(iFinD）'!$A$5)/365))</f>
        <v/>
      </c>
      <c r="F664" s="16" t="str">
        <f t="shared" si="61"/>
        <v/>
      </c>
      <c r="G664" s="16" t="str">
        <f>IF(E664="","",E664/MAX(E$5:E664)-1)</f>
        <v/>
      </c>
      <c r="H664" s="13" t="str">
        <f>IF(OR('实盘净值数据(iFinD）'!$A664="",'实盘净值数据(iFinD）'!$B664=""),"",分期持仓明细!$AB$19*SUMPRODUCT(分期持仓明细!$B$19:$Y$19,'实盘净值数据(iFinD）'!$B664:$Y664/'实盘净值数据(iFinD）'!$B$20:$Y$20)*(1-实盘持仓初始配置!$Z$6)^(('实盘净值数据(iFinD）'!$A664-'实盘净值数据(iFinD）'!$A$7)/365))</f>
        <v/>
      </c>
      <c r="I664" s="16" t="str">
        <f t="shared" si="62"/>
        <v/>
      </c>
      <c r="J664" s="16" t="str">
        <f>IF(H664="","",H664/MAX(H$5:H664)-1)</f>
        <v/>
      </c>
      <c r="K664" s="13" t="str">
        <f>IF(OR('实盘净值数据(iFinD）'!$A664="",'实盘净值数据(iFinD）'!$B664="",'实盘净值数据(iFinD）'!$Z664="",'实盘净值数据(iFinD）'!$AA664=""),"",分期持仓明细!$AB$23*(SUMPRODUCT(分期持仓明细!$B$23:$Y$23,'实盘净值数据(iFinD）'!$B664:$Y664/'实盘净值数据(iFinD）'!$B$65:$Y$65)+SUMPRODUCT(分期持仓明细!$AC$23:$AD$23,'实盘净值数据(iFinD）'!$Z664:$AA664/'实盘净值数据(iFinD）'!$Z$65:$AA$65))*(1-实盘持仓初始配置!$Z$7)^(('实盘净值数据(iFinD）'!$A664-'实盘净值数据(iFinD）'!$A$8)/365))</f>
        <v/>
      </c>
      <c r="L664" s="16" t="str">
        <f t="shared" si="63"/>
        <v/>
      </c>
      <c r="M664" s="16" t="str">
        <f>IF(K664="","",K664/MAX(K$5:K664)-1)</f>
        <v/>
      </c>
      <c r="N664" s="13" t="str">
        <f>IF(OR('实盘净值数据(iFinD）'!$A664="",'实盘净值数据(iFinD）'!$B664="",'实盘净值数据(iFinD）'!$Z664="",'实盘净值数据(iFinD）'!$AA664=""),"",分期持仓明细!$AB$24*(SUMPRODUCT(分期持仓明细!$B$24:$Y$24,'实盘净值数据(iFinD）'!$B664:$Y664/'实盘净值数据(iFinD）'!$B$65:$Y$65)+SUMPRODUCT(分期持仓明细!$AC$24:$AD$24,'实盘净值数据(iFinD）'!$Z664:$AA664/'实盘净值数据(iFinD）'!$Z$65:$AA$65))*(1-实盘持仓初始配置!$Z$8)^(('实盘净值数据(iFinD）'!$A664-'实盘净值数据(iFinD）'!$A$5)/365))</f>
        <v/>
      </c>
      <c r="O664" s="16" t="str">
        <f t="shared" si="64"/>
        <v/>
      </c>
      <c r="P664" s="16" t="str">
        <f>IF(N664="","",N664/MAX(N$5:N664)-1)</f>
        <v/>
      </c>
      <c r="Q664" s="13" t="str">
        <f>IF(OR('实盘净值数据(iFinD）'!$A664="",'实盘净值数据(iFinD）'!$B664="",'实盘净值数据(iFinD）'!$Z664="",'实盘净值数据(iFinD）'!$AA664=""),"",分期持仓明细!$AB$25*(SUMPRODUCT(分期持仓明细!$B$25:$Y$25,'实盘净值数据(iFinD）'!$B664:$Y664/'实盘净值数据(iFinD）'!$B$65:$Y$65)+SUMPRODUCT(分期持仓明细!$AC$25:$AD$25,'实盘净值数据(iFinD）'!$Z664:$AA664/'实盘净值数据(iFinD）'!$Z$65:$AA$65))*(1-实盘持仓初始配置!$Z$9)^(('实盘净值数据(iFinD）'!$A664-'实盘净值数据(iFinD）'!$A$8)/365))</f>
        <v/>
      </c>
      <c r="R664" s="16" t="str">
        <f t="shared" si="65"/>
        <v/>
      </c>
      <c r="S664" s="16" t="str">
        <f>IF(Q664="","",Q664/MAX(Q$5:Q664)-1)</f>
        <v/>
      </c>
    </row>
    <row r="665" spans="1:19">
      <c r="A665" s="15" t="str">
        <f>IF('实盘净值数据(iFinD）'!A665="","",'实盘净值数据(iFinD）'!A665)</f>
        <v/>
      </c>
      <c r="B665" s="13" t="str">
        <f>IF(OR('实盘净值数据(iFinD）'!$A665="",'实盘净值数据(iFinD）'!$B665=""),"",分期持仓明细!$AB$17*SUMPRODUCT(分期持仓明细!$B$17:$Y$17,'实盘净值数据(iFinD）'!$B665:$Y665/'实盘净值数据(iFinD）'!$B$20:$Y$20)*(1-实盘持仓初始配置!$Z$4)^(('实盘净值数据(iFinD）'!$A665-'实盘净值数据(iFinD）'!$A$6)/365))</f>
        <v/>
      </c>
      <c r="C665" s="16" t="str">
        <f t="shared" si="60"/>
        <v/>
      </c>
      <c r="D665" s="16" t="str">
        <f>IF(B665="","",B665/MAX(B$5:B665)-1)</f>
        <v/>
      </c>
      <c r="E665" s="13" t="str">
        <f>IF(OR('实盘净值数据(iFinD）'!$A665="",'实盘净值数据(iFinD）'!$B665=""),"",分期持仓明细!$AB$18*SUMPRODUCT(分期持仓明细!$B$18:$Y$18,'实盘净值数据(iFinD）'!$B665:$Y665/'实盘净值数据(iFinD）'!$B$20:$Y$20)*(1-实盘持仓初始配置!$Z$5)^(('实盘净值数据(iFinD）'!$A665-'实盘净值数据(iFinD）'!$A$5)/365))</f>
        <v/>
      </c>
      <c r="F665" s="16" t="str">
        <f t="shared" si="61"/>
        <v/>
      </c>
      <c r="G665" s="16" t="str">
        <f>IF(E665="","",E665/MAX(E$5:E665)-1)</f>
        <v/>
      </c>
      <c r="H665" s="13" t="str">
        <f>IF(OR('实盘净值数据(iFinD）'!$A665="",'实盘净值数据(iFinD）'!$B665=""),"",分期持仓明细!$AB$19*SUMPRODUCT(分期持仓明细!$B$19:$Y$19,'实盘净值数据(iFinD）'!$B665:$Y665/'实盘净值数据(iFinD）'!$B$20:$Y$20)*(1-实盘持仓初始配置!$Z$6)^(('实盘净值数据(iFinD）'!$A665-'实盘净值数据(iFinD）'!$A$7)/365))</f>
        <v/>
      </c>
      <c r="I665" s="16" t="str">
        <f t="shared" si="62"/>
        <v/>
      </c>
      <c r="J665" s="16" t="str">
        <f>IF(H665="","",H665/MAX(H$5:H665)-1)</f>
        <v/>
      </c>
      <c r="K665" s="13" t="str">
        <f>IF(OR('实盘净值数据(iFinD）'!$A665="",'实盘净值数据(iFinD）'!$B665="",'实盘净值数据(iFinD）'!$Z665="",'实盘净值数据(iFinD）'!$AA665=""),"",分期持仓明细!$AB$23*(SUMPRODUCT(分期持仓明细!$B$23:$Y$23,'实盘净值数据(iFinD）'!$B665:$Y665/'实盘净值数据(iFinD）'!$B$65:$Y$65)+SUMPRODUCT(分期持仓明细!$AC$23:$AD$23,'实盘净值数据(iFinD）'!$Z665:$AA665/'实盘净值数据(iFinD）'!$Z$65:$AA$65))*(1-实盘持仓初始配置!$Z$7)^(('实盘净值数据(iFinD）'!$A665-'实盘净值数据(iFinD）'!$A$8)/365))</f>
        <v/>
      </c>
      <c r="L665" s="16" t="str">
        <f t="shared" si="63"/>
        <v/>
      </c>
      <c r="M665" s="16" t="str">
        <f>IF(K665="","",K665/MAX(K$5:K665)-1)</f>
        <v/>
      </c>
      <c r="N665" s="13" t="str">
        <f>IF(OR('实盘净值数据(iFinD）'!$A665="",'实盘净值数据(iFinD）'!$B665="",'实盘净值数据(iFinD）'!$Z665="",'实盘净值数据(iFinD）'!$AA665=""),"",分期持仓明细!$AB$24*(SUMPRODUCT(分期持仓明细!$B$24:$Y$24,'实盘净值数据(iFinD）'!$B665:$Y665/'实盘净值数据(iFinD）'!$B$65:$Y$65)+SUMPRODUCT(分期持仓明细!$AC$24:$AD$24,'实盘净值数据(iFinD）'!$Z665:$AA665/'实盘净值数据(iFinD）'!$Z$65:$AA$65))*(1-实盘持仓初始配置!$Z$8)^(('实盘净值数据(iFinD）'!$A665-'实盘净值数据(iFinD）'!$A$5)/365))</f>
        <v/>
      </c>
      <c r="O665" s="16" t="str">
        <f t="shared" si="64"/>
        <v/>
      </c>
      <c r="P665" s="16" t="str">
        <f>IF(N665="","",N665/MAX(N$5:N665)-1)</f>
        <v/>
      </c>
      <c r="Q665" s="13" t="str">
        <f>IF(OR('实盘净值数据(iFinD）'!$A665="",'实盘净值数据(iFinD）'!$B665="",'实盘净值数据(iFinD）'!$Z665="",'实盘净值数据(iFinD）'!$AA665=""),"",分期持仓明细!$AB$25*(SUMPRODUCT(分期持仓明细!$B$25:$Y$25,'实盘净值数据(iFinD）'!$B665:$Y665/'实盘净值数据(iFinD）'!$B$65:$Y$65)+SUMPRODUCT(分期持仓明细!$AC$25:$AD$25,'实盘净值数据(iFinD）'!$Z665:$AA665/'实盘净值数据(iFinD）'!$Z$65:$AA$65))*(1-实盘持仓初始配置!$Z$9)^(('实盘净值数据(iFinD）'!$A665-'实盘净值数据(iFinD）'!$A$8)/365))</f>
        <v/>
      </c>
      <c r="R665" s="16" t="str">
        <f t="shared" si="65"/>
        <v/>
      </c>
      <c r="S665" s="16" t="str">
        <f>IF(Q665="","",Q665/MAX(Q$5:Q665)-1)</f>
        <v/>
      </c>
    </row>
    <row r="666" spans="1:19">
      <c r="A666" s="15" t="str">
        <f>IF('实盘净值数据(iFinD）'!A666="","",'实盘净值数据(iFinD）'!A666)</f>
        <v/>
      </c>
      <c r="B666" s="13" t="str">
        <f>IF(OR('实盘净值数据(iFinD）'!$A666="",'实盘净值数据(iFinD）'!$B666=""),"",分期持仓明细!$AB$17*SUMPRODUCT(分期持仓明细!$B$17:$Y$17,'实盘净值数据(iFinD）'!$B666:$Y666/'实盘净值数据(iFinD）'!$B$20:$Y$20)*(1-实盘持仓初始配置!$Z$4)^(('实盘净值数据(iFinD）'!$A666-'实盘净值数据(iFinD）'!$A$6)/365))</f>
        <v/>
      </c>
      <c r="C666" s="16" t="str">
        <f t="shared" si="60"/>
        <v/>
      </c>
      <c r="D666" s="16" t="str">
        <f>IF(B666="","",B666/MAX(B$5:B666)-1)</f>
        <v/>
      </c>
      <c r="E666" s="13" t="str">
        <f>IF(OR('实盘净值数据(iFinD）'!$A666="",'实盘净值数据(iFinD）'!$B666=""),"",分期持仓明细!$AB$18*SUMPRODUCT(分期持仓明细!$B$18:$Y$18,'实盘净值数据(iFinD）'!$B666:$Y666/'实盘净值数据(iFinD）'!$B$20:$Y$20)*(1-实盘持仓初始配置!$Z$5)^(('实盘净值数据(iFinD）'!$A666-'实盘净值数据(iFinD）'!$A$5)/365))</f>
        <v/>
      </c>
      <c r="F666" s="16" t="str">
        <f t="shared" si="61"/>
        <v/>
      </c>
      <c r="G666" s="16" t="str">
        <f>IF(E666="","",E666/MAX(E$5:E666)-1)</f>
        <v/>
      </c>
      <c r="H666" s="13" t="str">
        <f>IF(OR('实盘净值数据(iFinD）'!$A666="",'实盘净值数据(iFinD）'!$B666=""),"",分期持仓明细!$AB$19*SUMPRODUCT(分期持仓明细!$B$19:$Y$19,'实盘净值数据(iFinD）'!$B666:$Y666/'实盘净值数据(iFinD）'!$B$20:$Y$20)*(1-实盘持仓初始配置!$Z$6)^(('实盘净值数据(iFinD）'!$A666-'实盘净值数据(iFinD）'!$A$7)/365))</f>
        <v/>
      </c>
      <c r="I666" s="16" t="str">
        <f t="shared" si="62"/>
        <v/>
      </c>
      <c r="J666" s="16" t="str">
        <f>IF(H666="","",H666/MAX(H$5:H666)-1)</f>
        <v/>
      </c>
      <c r="K666" s="13" t="str">
        <f>IF(OR('实盘净值数据(iFinD）'!$A666="",'实盘净值数据(iFinD）'!$B666="",'实盘净值数据(iFinD）'!$Z666="",'实盘净值数据(iFinD）'!$AA666=""),"",分期持仓明细!$AB$23*(SUMPRODUCT(分期持仓明细!$B$23:$Y$23,'实盘净值数据(iFinD）'!$B666:$Y666/'实盘净值数据(iFinD）'!$B$65:$Y$65)+SUMPRODUCT(分期持仓明细!$AC$23:$AD$23,'实盘净值数据(iFinD）'!$Z666:$AA666/'实盘净值数据(iFinD）'!$Z$65:$AA$65))*(1-实盘持仓初始配置!$Z$7)^(('实盘净值数据(iFinD）'!$A666-'实盘净值数据(iFinD）'!$A$8)/365))</f>
        <v/>
      </c>
      <c r="L666" s="16" t="str">
        <f t="shared" si="63"/>
        <v/>
      </c>
      <c r="M666" s="16" t="str">
        <f>IF(K666="","",K666/MAX(K$5:K666)-1)</f>
        <v/>
      </c>
      <c r="N666" s="13" t="str">
        <f>IF(OR('实盘净值数据(iFinD）'!$A666="",'实盘净值数据(iFinD）'!$B666="",'实盘净值数据(iFinD）'!$Z666="",'实盘净值数据(iFinD）'!$AA666=""),"",分期持仓明细!$AB$24*(SUMPRODUCT(分期持仓明细!$B$24:$Y$24,'实盘净值数据(iFinD）'!$B666:$Y666/'实盘净值数据(iFinD）'!$B$65:$Y$65)+SUMPRODUCT(分期持仓明细!$AC$24:$AD$24,'实盘净值数据(iFinD）'!$Z666:$AA666/'实盘净值数据(iFinD）'!$Z$65:$AA$65))*(1-实盘持仓初始配置!$Z$8)^(('实盘净值数据(iFinD）'!$A666-'实盘净值数据(iFinD）'!$A$5)/365))</f>
        <v/>
      </c>
      <c r="O666" s="16" t="str">
        <f t="shared" si="64"/>
        <v/>
      </c>
      <c r="P666" s="16" t="str">
        <f>IF(N666="","",N666/MAX(N$5:N666)-1)</f>
        <v/>
      </c>
      <c r="Q666" s="13" t="str">
        <f>IF(OR('实盘净值数据(iFinD）'!$A666="",'实盘净值数据(iFinD）'!$B666="",'实盘净值数据(iFinD）'!$Z666="",'实盘净值数据(iFinD）'!$AA666=""),"",分期持仓明细!$AB$25*(SUMPRODUCT(分期持仓明细!$B$25:$Y$25,'实盘净值数据(iFinD）'!$B666:$Y666/'实盘净值数据(iFinD）'!$B$65:$Y$65)+SUMPRODUCT(分期持仓明细!$AC$25:$AD$25,'实盘净值数据(iFinD）'!$Z666:$AA666/'实盘净值数据(iFinD）'!$Z$65:$AA$65))*(1-实盘持仓初始配置!$Z$9)^(('实盘净值数据(iFinD）'!$A666-'实盘净值数据(iFinD）'!$A$8)/365))</f>
        <v/>
      </c>
      <c r="R666" s="16" t="str">
        <f t="shared" si="65"/>
        <v/>
      </c>
      <c r="S666" s="16" t="str">
        <f>IF(Q666="","",Q666/MAX(Q$5:Q666)-1)</f>
        <v/>
      </c>
    </row>
    <row r="667" spans="1:19">
      <c r="A667" s="15" t="str">
        <f>IF('实盘净值数据(iFinD）'!A667="","",'实盘净值数据(iFinD）'!A667)</f>
        <v/>
      </c>
      <c r="B667" s="13" t="str">
        <f>IF(OR('实盘净值数据(iFinD）'!$A667="",'实盘净值数据(iFinD）'!$B667=""),"",分期持仓明细!$AB$17*SUMPRODUCT(分期持仓明细!$B$17:$Y$17,'实盘净值数据(iFinD）'!$B667:$Y667/'实盘净值数据(iFinD）'!$B$20:$Y$20)*(1-实盘持仓初始配置!$Z$4)^(('实盘净值数据(iFinD）'!$A667-'实盘净值数据(iFinD）'!$A$6)/365))</f>
        <v/>
      </c>
      <c r="C667" s="16" t="str">
        <f t="shared" si="60"/>
        <v/>
      </c>
      <c r="D667" s="16" t="str">
        <f>IF(B667="","",B667/MAX(B$5:B667)-1)</f>
        <v/>
      </c>
      <c r="E667" s="13" t="str">
        <f>IF(OR('实盘净值数据(iFinD）'!$A667="",'实盘净值数据(iFinD）'!$B667=""),"",分期持仓明细!$AB$18*SUMPRODUCT(分期持仓明细!$B$18:$Y$18,'实盘净值数据(iFinD）'!$B667:$Y667/'实盘净值数据(iFinD）'!$B$20:$Y$20)*(1-实盘持仓初始配置!$Z$5)^(('实盘净值数据(iFinD）'!$A667-'实盘净值数据(iFinD）'!$A$5)/365))</f>
        <v/>
      </c>
      <c r="F667" s="16" t="str">
        <f t="shared" si="61"/>
        <v/>
      </c>
      <c r="G667" s="16" t="str">
        <f>IF(E667="","",E667/MAX(E$5:E667)-1)</f>
        <v/>
      </c>
      <c r="H667" s="13" t="str">
        <f>IF(OR('实盘净值数据(iFinD）'!$A667="",'实盘净值数据(iFinD）'!$B667=""),"",分期持仓明细!$AB$19*SUMPRODUCT(分期持仓明细!$B$19:$Y$19,'实盘净值数据(iFinD）'!$B667:$Y667/'实盘净值数据(iFinD）'!$B$20:$Y$20)*(1-实盘持仓初始配置!$Z$6)^(('实盘净值数据(iFinD）'!$A667-'实盘净值数据(iFinD）'!$A$7)/365))</f>
        <v/>
      </c>
      <c r="I667" s="16" t="str">
        <f t="shared" si="62"/>
        <v/>
      </c>
      <c r="J667" s="16" t="str">
        <f>IF(H667="","",H667/MAX(H$5:H667)-1)</f>
        <v/>
      </c>
      <c r="K667" s="13" t="str">
        <f>IF(OR('实盘净值数据(iFinD）'!$A667="",'实盘净值数据(iFinD）'!$B667="",'实盘净值数据(iFinD）'!$Z667="",'实盘净值数据(iFinD）'!$AA667=""),"",分期持仓明细!$AB$23*(SUMPRODUCT(分期持仓明细!$B$23:$Y$23,'实盘净值数据(iFinD）'!$B667:$Y667/'实盘净值数据(iFinD）'!$B$65:$Y$65)+SUMPRODUCT(分期持仓明细!$AC$23:$AD$23,'实盘净值数据(iFinD）'!$Z667:$AA667/'实盘净值数据(iFinD）'!$Z$65:$AA$65))*(1-实盘持仓初始配置!$Z$7)^(('实盘净值数据(iFinD）'!$A667-'实盘净值数据(iFinD）'!$A$8)/365))</f>
        <v/>
      </c>
      <c r="L667" s="16" t="str">
        <f t="shared" si="63"/>
        <v/>
      </c>
      <c r="M667" s="16" t="str">
        <f>IF(K667="","",K667/MAX(K$5:K667)-1)</f>
        <v/>
      </c>
      <c r="N667" s="13" t="str">
        <f>IF(OR('实盘净值数据(iFinD）'!$A667="",'实盘净值数据(iFinD）'!$B667="",'实盘净值数据(iFinD）'!$Z667="",'实盘净值数据(iFinD）'!$AA667=""),"",分期持仓明细!$AB$24*(SUMPRODUCT(分期持仓明细!$B$24:$Y$24,'实盘净值数据(iFinD）'!$B667:$Y667/'实盘净值数据(iFinD）'!$B$65:$Y$65)+SUMPRODUCT(分期持仓明细!$AC$24:$AD$24,'实盘净值数据(iFinD）'!$Z667:$AA667/'实盘净值数据(iFinD）'!$Z$65:$AA$65))*(1-实盘持仓初始配置!$Z$8)^(('实盘净值数据(iFinD）'!$A667-'实盘净值数据(iFinD）'!$A$5)/365))</f>
        <v/>
      </c>
      <c r="O667" s="16" t="str">
        <f t="shared" si="64"/>
        <v/>
      </c>
      <c r="P667" s="16" t="str">
        <f>IF(N667="","",N667/MAX(N$5:N667)-1)</f>
        <v/>
      </c>
      <c r="Q667" s="13" t="str">
        <f>IF(OR('实盘净值数据(iFinD）'!$A667="",'实盘净值数据(iFinD）'!$B667="",'实盘净值数据(iFinD）'!$Z667="",'实盘净值数据(iFinD）'!$AA667=""),"",分期持仓明细!$AB$25*(SUMPRODUCT(分期持仓明细!$B$25:$Y$25,'实盘净值数据(iFinD）'!$B667:$Y667/'实盘净值数据(iFinD）'!$B$65:$Y$65)+SUMPRODUCT(分期持仓明细!$AC$25:$AD$25,'实盘净值数据(iFinD）'!$Z667:$AA667/'实盘净值数据(iFinD）'!$Z$65:$AA$65))*(1-实盘持仓初始配置!$Z$9)^(('实盘净值数据(iFinD）'!$A667-'实盘净值数据(iFinD）'!$A$8)/365))</f>
        <v/>
      </c>
      <c r="R667" s="16" t="str">
        <f t="shared" si="65"/>
        <v/>
      </c>
      <c r="S667" s="16" t="str">
        <f>IF(Q667="","",Q667/MAX(Q$5:Q667)-1)</f>
        <v/>
      </c>
    </row>
    <row r="668" spans="1:19">
      <c r="A668" s="15" t="str">
        <f>IF('实盘净值数据(iFinD）'!A668="","",'实盘净值数据(iFinD）'!A668)</f>
        <v/>
      </c>
      <c r="B668" s="13" t="str">
        <f>IF(OR('实盘净值数据(iFinD）'!$A668="",'实盘净值数据(iFinD）'!$B668=""),"",分期持仓明细!$AB$17*SUMPRODUCT(分期持仓明细!$B$17:$Y$17,'实盘净值数据(iFinD）'!$B668:$Y668/'实盘净值数据(iFinD）'!$B$20:$Y$20)*(1-实盘持仓初始配置!$Z$4)^(('实盘净值数据(iFinD）'!$A668-'实盘净值数据(iFinD）'!$A$6)/365))</f>
        <v/>
      </c>
      <c r="C668" s="16" t="str">
        <f t="shared" si="60"/>
        <v/>
      </c>
      <c r="D668" s="16" t="str">
        <f>IF(B668="","",B668/MAX(B$5:B668)-1)</f>
        <v/>
      </c>
      <c r="E668" s="13" t="str">
        <f>IF(OR('实盘净值数据(iFinD）'!$A668="",'实盘净值数据(iFinD）'!$B668=""),"",分期持仓明细!$AB$18*SUMPRODUCT(分期持仓明细!$B$18:$Y$18,'实盘净值数据(iFinD）'!$B668:$Y668/'实盘净值数据(iFinD）'!$B$20:$Y$20)*(1-实盘持仓初始配置!$Z$5)^(('实盘净值数据(iFinD）'!$A668-'实盘净值数据(iFinD）'!$A$5)/365))</f>
        <v/>
      </c>
      <c r="F668" s="16" t="str">
        <f t="shared" si="61"/>
        <v/>
      </c>
      <c r="G668" s="16" t="str">
        <f>IF(E668="","",E668/MAX(E$5:E668)-1)</f>
        <v/>
      </c>
      <c r="H668" s="13" t="str">
        <f>IF(OR('实盘净值数据(iFinD）'!$A668="",'实盘净值数据(iFinD）'!$B668=""),"",分期持仓明细!$AB$19*SUMPRODUCT(分期持仓明细!$B$19:$Y$19,'实盘净值数据(iFinD）'!$B668:$Y668/'实盘净值数据(iFinD）'!$B$20:$Y$20)*(1-实盘持仓初始配置!$Z$6)^(('实盘净值数据(iFinD）'!$A668-'实盘净值数据(iFinD）'!$A$7)/365))</f>
        <v/>
      </c>
      <c r="I668" s="16" t="str">
        <f t="shared" si="62"/>
        <v/>
      </c>
      <c r="J668" s="16" t="str">
        <f>IF(H668="","",H668/MAX(H$5:H668)-1)</f>
        <v/>
      </c>
      <c r="K668" s="13" t="str">
        <f>IF(OR('实盘净值数据(iFinD）'!$A668="",'实盘净值数据(iFinD）'!$B668="",'实盘净值数据(iFinD）'!$Z668="",'实盘净值数据(iFinD）'!$AA668=""),"",分期持仓明细!$AB$23*(SUMPRODUCT(分期持仓明细!$B$23:$Y$23,'实盘净值数据(iFinD）'!$B668:$Y668/'实盘净值数据(iFinD）'!$B$65:$Y$65)+SUMPRODUCT(分期持仓明细!$AC$23:$AD$23,'实盘净值数据(iFinD）'!$Z668:$AA668/'实盘净值数据(iFinD）'!$Z$65:$AA$65))*(1-实盘持仓初始配置!$Z$7)^(('实盘净值数据(iFinD）'!$A668-'实盘净值数据(iFinD）'!$A$8)/365))</f>
        <v/>
      </c>
      <c r="L668" s="16" t="str">
        <f t="shared" si="63"/>
        <v/>
      </c>
      <c r="M668" s="16" t="str">
        <f>IF(K668="","",K668/MAX(K$5:K668)-1)</f>
        <v/>
      </c>
      <c r="N668" s="13" t="str">
        <f>IF(OR('实盘净值数据(iFinD）'!$A668="",'实盘净值数据(iFinD）'!$B668="",'实盘净值数据(iFinD）'!$Z668="",'实盘净值数据(iFinD）'!$AA668=""),"",分期持仓明细!$AB$24*(SUMPRODUCT(分期持仓明细!$B$24:$Y$24,'实盘净值数据(iFinD）'!$B668:$Y668/'实盘净值数据(iFinD）'!$B$65:$Y$65)+SUMPRODUCT(分期持仓明细!$AC$24:$AD$24,'实盘净值数据(iFinD）'!$Z668:$AA668/'实盘净值数据(iFinD）'!$Z$65:$AA$65))*(1-实盘持仓初始配置!$Z$8)^(('实盘净值数据(iFinD）'!$A668-'实盘净值数据(iFinD）'!$A$5)/365))</f>
        <v/>
      </c>
      <c r="O668" s="16" t="str">
        <f t="shared" si="64"/>
        <v/>
      </c>
      <c r="P668" s="16" t="str">
        <f>IF(N668="","",N668/MAX(N$5:N668)-1)</f>
        <v/>
      </c>
      <c r="Q668" s="13" t="str">
        <f>IF(OR('实盘净值数据(iFinD）'!$A668="",'实盘净值数据(iFinD）'!$B668="",'实盘净值数据(iFinD）'!$Z668="",'实盘净值数据(iFinD）'!$AA668=""),"",分期持仓明细!$AB$25*(SUMPRODUCT(分期持仓明细!$B$25:$Y$25,'实盘净值数据(iFinD）'!$B668:$Y668/'实盘净值数据(iFinD）'!$B$65:$Y$65)+SUMPRODUCT(分期持仓明细!$AC$25:$AD$25,'实盘净值数据(iFinD）'!$Z668:$AA668/'实盘净值数据(iFinD）'!$Z$65:$AA$65))*(1-实盘持仓初始配置!$Z$9)^(('实盘净值数据(iFinD）'!$A668-'实盘净值数据(iFinD）'!$A$8)/365))</f>
        <v/>
      </c>
      <c r="R668" s="16" t="str">
        <f t="shared" si="65"/>
        <v/>
      </c>
      <c r="S668" s="16" t="str">
        <f>IF(Q668="","",Q668/MAX(Q$5:Q668)-1)</f>
        <v/>
      </c>
    </row>
    <row r="669" spans="1:19">
      <c r="A669" s="15" t="str">
        <f>IF('实盘净值数据(iFinD）'!A669="","",'实盘净值数据(iFinD）'!A669)</f>
        <v/>
      </c>
      <c r="B669" s="13" t="str">
        <f>IF(OR('实盘净值数据(iFinD）'!$A669="",'实盘净值数据(iFinD）'!$B669=""),"",分期持仓明细!$AB$17*SUMPRODUCT(分期持仓明细!$B$17:$Y$17,'实盘净值数据(iFinD）'!$B669:$Y669/'实盘净值数据(iFinD）'!$B$20:$Y$20)*(1-实盘持仓初始配置!$Z$4)^(('实盘净值数据(iFinD）'!$A669-'实盘净值数据(iFinD）'!$A$6)/365))</f>
        <v/>
      </c>
      <c r="C669" s="16" t="str">
        <f t="shared" si="60"/>
        <v/>
      </c>
      <c r="D669" s="16" t="str">
        <f>IF(B669="","",B669/MAX(B$5:B669)-1)</f>
        <v/>
      </c>
      <c r="E669" s="13" t="str">
        <f>IF(OR('实盘净值数据(iFinD）'!$A669="",'实盘净值数据(iFinD）'!$B669=""),"",分期持仓明细!$AB$18*SUMPRODUCT(分期持仓明细!$B$18:$Y$18,'实盘净值数据(iFinD）'!$B669:$Y669/'实盘净值数据(iFinD）'!$B$20:$Y$20)*(1-实盘持仓初始配置!$Z$5)^(('实盘净值数据(iFinD）'!$A669-'实盘净值数据(iFinD）'!$A$5)/365))</f>
        <v/>
      </c>
      <c r="F669" s="16" t="str">
        <f t="shared" si="61"/>
        <v/>
      </c>
      <c r="G669" s="16" t="str">
        <f>IF(E669="","",E669/MAX(E$5:E669)-1)</f>
        <v/>
      </c>
      <c r="H669" s="13" t="str">
        <f>IF(OR('实盘净值数据(iFinD）'!$A669="",'实盘净值数据(iFinD）'!$B669=""),"",分期持仓明细!$AB$19*SUMPRODUCT(分期持仓明细!$B$19:$Y$19,'实盘净值数据(iFinD）'!$B669:$Y669/'实盘净值数据(iFinD）'!$B$20:$Y$20)*(1-实盘持仓初始配置!$Z$6)^(('实盘净值数据(iFinD）'!$A669-'实盘净值数据(iFinD）'!$A$7)/365))</f>
        <v/>
      </c>
      <c r="I669" s="16" t="str">
        <f t="shared" si="62"/>
        <v/>
      </c>
      <c r="J669" s="16" t="str">
        <f>IF(H669="","",H669/MAX(H$5:H669)-1)</f>
        <v/>
      </c>
      <c r="K669" s="13" t="str">
        <f>IF(OR('实盘净值数据(iFinD）'!$A669="",'实盘净值数据(iFinD）'!$B669="",'实盘净值数据(iFinD）'!$Z669="",'实盘净值数据(iFinD）'!$AA669=""),"",分期持仓明细!$AB$23*(SUMPRODUCT(分期持仓明细!$B$23:$Y$23,'实盘净值数据(iFinD）'!$B669:$Y669/'实盘净值数据(iFinD）'!$B$65:$Y$65)+SUMPRODUCT(分期持仓明细!$AC$23:$AD$23,'实盘净值数据(iFinD）'!$Z669:$AA669/'实盘净值数据(iFinD）'!$Z$65:$AA$65))*(1-实盘持仓初始配置!$Z$7)^(('实盘净值数据(iFinD）'!$A669-'实盘净值数据(iFinD）'!$A$8)/365))</f>
        <v/>
      </c>
      <c r="L669" s="16" t="str">
        <f t="shared" si="63"/>
        <v/>
      </c>
      <c r="M669" s="16" t="str">
        <f>IF(K669="","",K669/MAX(K$5:K669)-1)</f>
        <v/>
      </c>
      <c r="N669" s="13" t="str">
        <f>IF(OR('实盘净值数据(iFinD）'!$A669="",'实盘净值数据(iFinD）'!$B669="",'实盘净值数据(iFinD）'!$Z669="",'实盘净值数据(iFinD）'!$AA669=""),"",分期持仓明细!$AB$24*(SUMPRODUCT(分期持仓明细!$B$24:$Y$24,'实盘净值数据(iFinD）'!$B669:$Y669/'实盘净值数据(iFinD）'!$B$65:$Y$65)+SUMPRODUCT(分期持仓明细!$AC$24:$AD$24,'实盘净值数据(iFinD）'!$Z669:$AA669/'实盘净值数据(iFinD）'!$Z$65:$AA$65))*(1-实盘持仓初始配置!$Z$8)^(('实盘净值数据(iFinD）'!$A669-'实盘净值数据(iFinD）'!$A$5)/365))</f>
        <v/>
      </c>
      <c r="O669" s="16" t="str">
        <f t="shared" si="64"/>
        <v/>
      </c>
      <c r="P669" s="16" t="str">
        <f>IF(N669="","",N669/MAX(N$5:N669)-1)</f>
        <v/>
      </c>
      <c r="Q669" s="13" t="str">
        <f>IF(OR('实盘净值数据(iFinD）'!$A669="",'实盘净值数据(iFinD）'!$B669="",'实盘净值数据(iFinD）'!$Z669="",'实盘净值数据(iFinD）'!$AA669=""),"",分期持仓明细!$AB$25*(SUMPRODUCT(分期持仓明细!$B$25:$Y$25,'实盘净值数据(iFinD）'!$B669:$Y669/'实盘净值数据(iFinD）'!$B$65:$Y$65)+SUMPRODUCT(分期持仓明细!$AC$25:$AD$25,'实盘净值数据(iFinD）'!$Z669:$AA669/'实盘净值数据(iFinD）'!$Z$65:$AA$65))*(1-实盘持仓初始配置!$Z$9)^(('实盘净值数据(iFinD）'!$A669-'实盘净值数据(iFinD）'!$A$8)/365))</f>
        <v/>
      </c>
      <c r="R669" s="16" t="str">
        <f t="shared" si="65"/>
        <v/>
      </c>
      <c r="S669" s="16" t="str">
        <f>IF(Q669="","",Q669/MAX(Q$5:Q669)-1)</f>
        <v/>
      </c>
    </row>
    <row r="670" spans="1:19">
      <c r="A670" s="15" t="str">
        <f>IF('实盘净值数据(iFinD）'!A670="","",'实盘净值数据(iFinD）'!A670)</f>
        <v/>
      </c>
      <c r="B670" s="13" t="str">
        <f>IF(OR('实盘净值数据(iFinD）'!$A670="",'实盘净值数据(iFinD）'!$B670=""),"",分期持仓明细!$AB$17*SUMPRODUCT(分期持仓明细!$B$17:$Y$17,'实盘净值数据(iFinD）'!$B670:$Y670/'实盘净值数据(iFinD）'!$B$20:$Y$20)*(1-实盘持仓初始配置!$Z$4)^(('实盘净值数据(iFinD）'!$A670-'实盘净值数据(iFinD）'!$A$6)/365))</f>
        <v/>
      </c>
      <c r="C670" s="16" t="str">
        <f t="shared" si="60"/>
        <v/>
      </c>
      <c r="D670" s="16" t="str">
        <f>IF(B670="","",B670/MAX(B$5:B670)-1)</f>
        <v/>
      </c>
      <c r="E670" s="13" t="str">
        <f>IF(OR('实盘净值数据(iFinD）'!$A670="",'实盘净值数据(iFinD）'!$B670=""),"",分期持仓明细!$AB$18*SUMPRODUCT(分期持仓明细!$B$18:$Y$18,'实盘净值数据(iFinD）'!$B670:$Y670/'实盘净值数据(iFinD）'!$B$20:$Y$20)*(1-实盘持仓初始配置!$Z$5)^(('实盘净值数据(iFinD）'!$A670-'实盘净值数据(iFinD）'!$A$5)/365))</f>
        <v/>
      </c>
      <c r="F670" s="16" t="str">
        <f t="shared" si="61"/>
        <v/>
      </c>
      <c r="G670" s="16" t="str">
        <f>IF(E670="","",E670/MAX(E$5:E670)-1)</f>
        <v/>
      </c>
      <c r="H670" s="13" t="str">
        <f>IF(OR('实盘净值数据(iFinD）'!$A670="",'实盘净值数据(iFinD）'!$B670=""),"",分期持仓明细!$AB$19*SUMPRODUCT(分期持仓明细!$B$19:$Y$19,'实盘净值数据(iFinD）'!$B670:$Y670/'实盘净值数据(iFinD）'!$B$20:$Y$20)*(1-实盘持仓初始配置!$Z$6)^(('实盘净值数据(iFinD）'!$A670-'实盘净值数据(iFinD）'!$A$7)/365))</f>
        <v/>
      </c>
      <c r="I670" s="16" t="str">
        <f t="shared" si="62"/>
        <v/>
      </c>
      <c r="J670" s="16" t="str">
        <f>IF(H670="","",H670/MAX(H$5:H670)-1)</f>
        <v/>
      </c>
      <c r="K670" s="13" t="str">
        <f>IF(OR('实盘净值数据(iFinD）'!$A670="",'实盘净值数据(iFinD）'!$B670="",'实盘净值数据(iFinD）'!$Z670="",'实盘净值数据(iFinD）'!$AA670=""),"",分期持仓明细!$AB$23*(SUMPRODUCT(分期持仓明细!$B$23:$Y$23,'实盘净值数据(iFinD）'!$B670:$Y670/'实盘净值数据(iFinD）'!$B$65:$Y$65)+SUMPRODUCT(分期持仓明细!$AC$23:$AD$23,'实盘净值数据(iFinD）'!$Z670:$AA670/'实盘净值数据(iFinD）'!$Z$65:$AA$65))*(1-实盘持仓初始配置!$Z$7)^(('实盘净值数据(iFinD）'!$A670-'实盘净值数据(iFinD）'!$A$8)/365))</f>
        <v/>
      </c>
      <c r="L670" s="16" t="str">
        <f t="shared" si="63"/>
        <v/>
      </c>
      <c r="M670" s="16" t="str">
        <f>IF(K670="","",K670/MAX(K$5:K670)-1)</f>
        <v/>
      </c>
      <c r="N670" s="13" t="str">
        <f>IF(OR('实盘净值数据(iFinD）'!$A670="",'实盘净值数据(iFinD）'!$B670="",'实盘净值数据(iFinD）'!$Z670="",'实盘净值数据(iFinD）'!$AA670=""),"",分期持仓明细!$AB$24*(SUMPRODUCT(分期持仓明细!$B$24:$Y$24,'实盘净值数据(iFinD）'!$B670:$Y670/'实盘净值数据(iFinD）'!$B$65:$Y$65)+SUMPRODUCT(分期持仓明细!$AC$24:$AD$24,'实盘净值数据(iFinD）'!$Z670:$AA670/'实盘净值数据(iFinD）'!$Z$65:$AA$65))*(1-实盘持仓初始配置!$Z$8)^(('实盘净值数据(iFinD）'!$A670-'实盘净值数据(iFinD）'!$A$5)/365))</f>
        <v/>
      </c>
      <c r="O670" s="16" t="str">
        <f t="shared" si="64"/>
        <v/>
      </c>
      <c r="P670" s="16" t="str">
        <f>IF(N670="","",N670/MAX(N$5:N670)-1)</f>
        <v/>
      </c>
      <c r="Q670" s="13" t="str">
        <f>IF(OR('实盘净值数据(iFinD）'!$A670="",'实盘净值数据(iFinD）'!$B670="",'实盘净值数据(iFinD）'!$Z670="",'实盘净值数据(iFinD）'!$AA670=""),"",分期持仓明细!$AB$25*(SUMPRODUCT(分期持仓明细!$B$25:$Y$25,'实盘净值数据(iFinD）'!$B670:$Y670/'实盘净值数据(iFinD）'!$B$65:$Y$65)+SUMPRODUCT(分期持仓明细!$AC$25:$AD$25,'实盘净值数据(iFinD）'!$Z670:$AA670/'实盘净值数据(iFinD）'!$Z$65:$AA$65))*(1-实盘持仓初始配置!$Z$9)^(('实盘净值数据(iFinD）'!$A670-'实盘净值数据(iFinD）'!$A$8)/365))</f>
        <v/>
      </c>
      <c r="R670" s="16" t="str">
        <f t="shared" si="65"/>
        <v/>
      </c>
      <c r="S670" s="16" t="str">
        <f>IF(Q670="","",Q670/MAX(Q$5:Q670)-1)</f>
        <v/>
      </c>
    </row>
    <row r="671" spans="1:19">
      <c r="A671" s="15" t="str">
        <f>IF('实盘净值数据(iFinD）'!A671="","",'实盘净值数据(iFinD）'!A671)</f>
        <v/>
      </c>
      <c r="B671" s="13" t="str">
        <f>IF(OR('实盘净值数据(iFinD）'!$A671="",'实盘净值数据(iFinD）'!$B671=""),"",分期持仓明细!$AB$17*SUMPRODUCT(分期持仓明细!$B$17:$Y$17,'实盘净值数据(iFinD）'!$B671:$Y671/'实盘净值数据(iFinD）'!$B$20:$Y$20)*(1-实盘持仓初始配置!$Z$4)^(('实盘净值数据(iFinD）'!$A671-'实盘净值数据(iFinD）'!$A$6)/365))</f>
        <v/>
      </c>
      <c r="C671" s="16" t="str">
        <f t="shared" si="60"/>
        <v/>
      </c>
      <c r="D671" s="16" t="str">
        <f>IF(B671="","",B671/MAX(B$5:B671)-1)</f>
        <v/>
      </c>
      <c r="E671" s="13" t="str">
        <f>IF(OR('实盘净值数据(iFinD）'!$A671="",'实盘净值数据(iFinD）'!$B671=""),"",分期持仓明细!$AB$18*SUMPRODUCT(分期持仓明细!$B$18:$Y$18,'实盘净值数据(iFinD）'!$B671:$Y671/'实盘净值数据(iFinD）'!$B$20:$Y$20)*(1-实盘持仓初始配置!$Z$5)^(('实盘净值数据(iFinD）'!$A671-'实盘净值数据(iFinD）'!$A$5)/365))</f>
        <v/>
      </c>
      <c r="F671" s="16" t="str">
        <f t="shared" si="61"/>
        <v/>
      </c>
      <c r="G671" s="16" t="str">
        <f>IF(E671="","",E671/MAX(E$5:E671)-1)</f>
        <v/>
      </c>
      <c r="H671" s="13" t="str">
        <f>IF(OR('实盘净值数据(iFinD）'!$A671="",'实盘净值数据(iFinD）'!$B671=""),"",分期持仓明细!$AB$19*SUMPRODUCT(分期持仓明细!$B$19:$Y$19,'实盘净值数据(iFinD）'!$B671:$Y671/'实盘净值数据(iFinD）'!$B$20:$Y$20)*(1-实盘持仓初始配置!$Z$6)^(('实盘净值数据(iFinD）'!$A671-'实盘净值数据(iFinD）'!$A$7)/365))</f>
        <v/>
      </c>
      <c r="I671" s="16" t="str">
        <f t="shared" si="62"/>
        <v/>
      </c>
      <c r="J671" s="16" t="str">
        <f>IF(H671="","",H671/MAX(H$5:H671)-1)</f>
        <v/>
      </c>
      <c r="K671" s="13" t="str">
        <f>IF(OR('实盘净值数据(iFinD）'!$A671="",'实盘净值数据(iFinD）'!$B671="",'实盘净值数据(iFinD）'!$Z671="",'实盘净值数据(iFinD）'!$AA671=""),"",分期持仓明细!$AB$23*(SUMPRODUCT(分期持仓明细!$B$23:$Y$23,'实盘净值数据(iFinD）'!$B671:$Y671/'实盘净值数据(iFinD）'!$B$65:$Y$65)+SUMPRODUCT(分期持仓明细!$AC$23:$AD$23,'实盘净值数据(iFinD）'!$Z671:$AA671/'实盘净值数据(iFinD）'!$Z$65:$AA$65))*(1-实盘持仓初始配置!$Z$7)^(('实盘净值数据(iFinD）'!$A671-'实盘净值数据(iFinD）'!$A$8)/365))</f>
        <v/>
      </c>
      <c r="L671" s="16" t="str">
        <f t="shared" si="63"/>
        <v/>
      </c>
      <c r="M671" s="16" t="str">
        <f>IF(K671="","",K671/MAX(K$5:K671)-1)</f>
        <v/>
      </c>
      <c r="N671" s="13" t="str">
        <f>IF(OR('实盘净值数据(iFinD）'!$A671="",'实盘净值数据(iFinD）'!$B671="",'实盘净值数据(iFinD）'!$Z671="",'实盘净值数据(iFinD）'!$AA671=""),"",分期持仓明细!$AB$24*(SUMPRODUCT(分期持仓明细!$B$24:$Y$24,'实盘净值数据(iFinD）'!$B671:$Y671/'实盘净值数据(iFinD）'!$B$65:$Y$65)+SUMPRODUCT(分期持仓明细!$AC$24:$AD$24,'实盘净值数据(iFinD）'!$Z671:$AA671/'实盘净值数据(iFinD）'!$Z$65:$AA$65))*(1-实盘持仓初始配置!$Z$8)^(('实盘净值数据(iFinD）'!$A671-'实盘净值数据(iFinD）'!$A$5)/365))</f>
        <v/>
      </c>
      <c r="O671" s="16" t="str">
        <f t="shared" si="64"/>
        <v/>
      </c>
      <c r="P671" s="16" t="str">
        <f>IF(N671="","",N671/MAX(N$5:N671)-1)</f>
        <v/>
      </c>
      <c r="Q671" s="13" t="str">
        <f>IF(OR('实盘净值数据(iFinD）'!$A671="",'实盘净值数据(iFinD）'!$B671="",'实盘净值数据(iFinD）'!$Z671="",'实盘净值数据(iFinD）'!$AA671=""),"",分期持仓明细!$AB$25*(SUMPRODUCT(分期持仓明细!$B$25:$Y$25,'实盘净值数据(iFinD）'!$B671:$Y671/'实盘净值数据(iFinD）'!$B$65:$Y$65)+SUMPRODUCT(分期持仓明细!$AC$25:$AD$25,'实盘净值数据(iFinD）'!$Z671:$AA671/'实盘净值数据(iFinD）'!$Z$65:$AA$65))*(1-实盘持仓初始配置!$Z$9)^(('实盘净值数据(iFinD）'!$A671-'实盘净值数据(iFinD）'!$A$8)/365))</f>
        <v/>
      </c>
      <c r="R671" s="16" t="str">
        <f t="shared" si="65"/>
        <v/>
      </c>
      <c r="S671" s="16" t="str">
        <f>IF(Q671="","",Q671/MAX(Q$5:Q671)-1)</f>
        <v/>
      </c>
    </row>
    <row r="672" spans="1:19">
      <c r="A672" s="15" t="str">
        <f>IF('实盘净值数据(iFinD）'!A672="","",'实盘净值数据(iFinD）'!A672)</f>
        <v/>
      </c>
      <c r="B672" s="13" t="str">
        <f>IF(OR('实盘净值数据(iFinD）'!$A672="",'实盘净值数据(iFinD）'!$B672=""),"",分期持仓明细!$AB$17*SUMPRODUCT(分期持仓明细!$B$17:$Y$17,'实盘净值数据(iFinD）'!$B672:$Y672/'实盘净值数据(iFinD）'!$B$20:$Y$20)*(1-实盘持仓初始配置!$Z$4)^(('实盘净值数据(iFinD）'!$A672-'实盘净值数据(iFinD）'!$A$6)/365))</f>
        <v/>
      </c>
      <c r="C672" s="16" t="str">
        <f t="shared" si="60"/>
        <v/>
      </c>
      <c r="D672" s="16" t="str">
        <f>IF(B672="","",B672/MAX(B$5:B672)-1)</f>
        <v/>
      </c>
      <c r="E672" s="13" t="str">
        <f>IF(OR('实盘净值数据(iFinD）'!$A672="",'实盘净值数据(iFinD）'!$B672=""),"",分期持仓明细!$AB$18*SUMPRODUCT(分期持仓明细!$B$18:$Y$18,'实盘净值数据(iFinD）'!$B672:$Y672/'实盘净值数据(iFinD）'!$B$20:$Y$20)*(1-实盘持仓初始配置!$Z$5)^(('实盘净值数据(iFinD）'!$A672-'实盘净值数据(iFinD）'!$A$5)/365))</f>
        <v/>
      </c>
      <c r="F672" s="16" t="str">
        <f t="shared" si="61"/>
        <v/>
      </c>
      <c r="G672" s="16" t="str">
        <f>IF(E672="","",E672/MAX(E$5:E672)-1)</f>
        <v/>
      </c>
      <c r="H672" s="13" t="str">
        <f>IF(OR('实盘净值数据(iFinD）'!$A672="",'实盘净值数据(iFinD）'!$B672=""),"",分期持仓明细!$AB$19*SUMPRODUCT(分期持仓明细!$B$19:$Y$19,'实盘净值数据(iFinD）'!$B672:$Y672/'实盘净值数据(iFinD）'!$B$20:$Y$20)*(1-实盘持仓初始配置!$Z$6)^(('实盘净值数据(iFinD）'!$A672-'实盘净值数据(iFinD）'!$A$7)/365))</f>
        <v/>
      </c>
      <c r="I672" s="16" t="str">
        <f t="shared" si="62"/>
        <v/>
      </c>
      <c r="J672" s="16" t="str">
        <f>IF(H672="","",H672/MAX(H$5:H672)-1)</f>
        <v/>
      </c>
      <c r="K672" s="13" t="str">
        <f>IF(OR('实盘净值数据(iFinD）'!$A672="",'实盘净值数据(iFinD）'!$B672="",'实盘净值数据(iFinD）'!$Z672="",'实盘净值数据(iFinD）'!$AA672=""),"",分期持仓明细!$AB$23*(SUMPRODUCT(分期持仓明细!$B$23:$Y$23,'实盘净值数据(iFinD）'!$B672:$Y672/'实盘净值数据(iFinD）'!$B$65:$Y$65)+SUMPRODUCT(分期持仓明细!$AC$23:$AD$23,'实盘净值数据(iFinD）'!$Z672:$AA672/'实盘净值数据(iFinD）'!$Z$65:$AA$65))*(1-实盘持仓初始配置!$Z$7)^(('实盘净值数据(iFinD）'!$A672-'实盘净值数据(iFinD）'!$A$8)/365))</f>
        <v/>
      </c>
      <c r="L672" s="16" t="str">
        <f t="shared" si="63"/>
        <v/>
      </c>
      <c r="M672" s="16" t="str">
        <f>IF(K672="","",K672/MAX(K$5:K672)-1)</f>
        <v/>
      </c>
      <c r="N672" s="13" t="str">
        <f>IF(OR('实盘净值数据(iFinD）'!$A672="",'实盘净值数据(iFinD）'!$B672="",'实盘净值数据(iFinD）'!$Z672="",'实盘净值数据(iFinD）'!$AA672=""),"",分期持仓明细!$AB$24*(SUMPRODUCT(分期持仓明细!$B$24:$Y$24,'实盘净值数据(iFinD）'!$B672:$Y672/'实盘净值数据(iFinD）'!$B$65:$Y$65)+SUMPRODUCT(分期持仓明细!$AC$24:$AD$24,'实盘净值数据(iFinD）'!$Z672:$AA672/'实盘净值数据(iFinD）'!$Z$65:$AA$65))*(1-实盘持仓初始配置!$Z$8)^(('实盘净值数据(iFinD）'!$A672-'实盘净值数据(iFinD）'!$A$5)/365))</f>
        <v/>
      </c>
      <c r="O672" s="16" t="str">
        <f t="shared" si="64"/>
        <v/>
      </c>
      <c r="P672" s="16" t="str">
        <f>IF(N672="","",N672/MAX(N$5:N672)-1)</f>
        <v/>
      </c>
      <c r="Q672" s="13" t="str">
        <f>IF(OR('实盘净值数据(iFinD）'!$A672="",'实盘净值数据(iFinD）'!$B672="",'实盘净值数据(iFinD）'!$Z672="",'实盘净值数据(iFinD）'!$AA672=""),"",分期持仓明细!$AB$25*(SUMPRODUCT(分期持仓明细!$B$25:$Y$25,'实盘净值数据(iFinD）'!$B672:$Y672/'实盘净值数据(iFinD）'!$B$65:$Y$65)+SUMPRODUCT(分期持仓明细!$AC$25:$AD$25,'实盘净值数据(iFinD）'!$Z672:$AA672/'实盘净值数据(iFinD）'!$Z$65:$AA$65))*(1-实盘持仓初始配置!$Z$9)^(('实盘净值数据(iFinD）'!$A672-'实盘净值数据(iFinD）'!$A$8)/365))</f>
        <v/>
      </c>
      <c r="R672" s="16" t="str">
        <f t="shared" si="65"/>
        <v/>
      </c>
      <c r="S672" s="16" t="str">
        <f>IF(Q672="","",Q672/MAX(Q$5:Q672)-1)</f>
        <v/>
      </c>
    </row>
    <row r="673" spans="1:19">
      <c r="A673" s="15" t="str">
        <f>IF('实盘净值数据(iFinD）'!A673="","",'实盘净值数据(iFinD）'!A673)</f>
        <v/>
      </c>
      <c r="B673" s="13" t="str">
        <f>IF(OR('实盘净值数据(iFinD）'!$A673="",'实盘净值数据(iFinD）'!$B673=""),"",分期持仓明细!$AB$17*SUMPRODUCT(分期持仓明细!$B$17:$Y$17,'实盘净值数据(iFinD）'!$B673:$Y673/'实盘净值数据(iFinD）'!$B$20:$Y$20)*(1-实盘持仓初始配置!$Z$4)^(('实盘净值数据(iFinD）'!$A673-'实盘净值数据(iFinD）'!$A$6)/365))</f>
        <v/>
      </c>
      <c r="C673" s="16" t="str">
        <f t="shared" si="60"/>
        <v/>
      </c>
      <c r="D673" s="16" t="str">
        <f>IF(B673="","",B673/MAX(B$5:B673)-1)</f>
        <v/>
      </c>
      <c r="E673" s="13" t="str">
        <f>IF(OR('实盘净值数据(iFinD）'!$A673="",'实盘净值数据(iFinD）'!$B673=""),"",分期持仓明细!$AB$18*SUMPRODUCT(分期持仓明细!$B$18:$Y$18,'实盘净值数据(iFinD）'!$B673:$Y673/'实盘净值数据(iFinD）'!$B$20:$Y$20)*(1-实盘持仓初始配置!$Z$5)^(('实盘净值数据(iFinD）'!$A673-'实盘净值数据(iFinD）'!$A$5)/365))</f>
        <v/>
      </c>
      <c r="F673" s="16" t="str">
        <f t="shared" si="61"/>
        <v/>
      </c>
      <c r="G673" s="16" t="str">
        <f>IF(E673="","",E673/MAX(E$5:E673)-1)</f>
        <v/>
      </c>
      <c r="H673" s="13" t="str">
        <f>IF(OR('实盘净值数据(iFinD）'!$A673="",'实盘净值数据(iFinD）'!$B673=""),"",分期持仓明细!$AB$19*SUMPRODUCT(分期持仓明细!$B$19:$Y$19,'实盘净值数据(iFinD）'!$B673:$Y673/'实盘净值数据(iFinD）'!$B$20:$Y$20)*(1-实盘持仓初始配置!$Z$6)^(('实盘净值数据(iFinD）'!$A673-'实盘净值数据(iFinD）'!$A$7)/365))</f>
        <v/>
      </c>
      <c r="I673" s="16" t="str">
        <f t="shared" si="62"/>
        <v/>
      </c>
      <c r="J673" s="16" t="str">
        <f>IF(H673="","",H673/MAX(H$5:H673)-1)</f>
        <v/>
      </c>
      <c r="K673" s="13" t="str">
        <f>IF(OR('实盘净值数据(iFinD）'!$A673="",'实盘净值数据(iFinD）'!$B673="",'实盘净值数据(iFinD）'!$Z673="",'实盘净值数据(iFinD）'!$AA673=""),"",分期持仓明细!$AB$23*(SUMPRODUCT(分期持仓明细!$B$23:$Y$23,'实盘净值数据(iFinD）'!$B673:$Y673/'实盘净值数据(iFinD）'!$B$65:$Y$65)+SUMPRODUCT(分期持仓明细!$AC$23:$AD$23,'实盘净值数据(iFinD）'!$Z673:$AA673/'实盘净值数据(iFinD）'!$Z$65:$AA$65))*(1-实盘持仓初始配置!$Z$7)^(('实盘净值数据(iFinD）'!$A673-'实盘净值数据(iFinD）'!$A$8)/365))</f>
        <v/>
      </c>
      <c r="L673" s="16" t="str">
        <f t="shared" si="63"/>
        <v/>
      </c>
      <c r="M673" s="16" t="str">
        <f>IF(K673="","",K673/MAX(K$5:K673)-1)</f>
        <v/>
      </c>
      <c r="N673" s="13" t="str">
        <f>IF(OR('实盘净值数据(iFinD）'!$A673="",'实盘净值数据(iFinD）'!$B673="",'实盘净值数据(iFinD）'!$Z673="",'实盘净值数据(iFinD）'!$AA673=""),"",分期持仓明细!$AB$24*(SUMPRODUCT(分期持仓明细!$B$24:$Y$24,'实盘净值数据(iFinD）'!$B673:$Y673/'实盘净值数据(iFinD）'!$B$65:$Y$65)+SUMPRODUCT(分期持仓明细!$AC$24:$AD$24,'实盘净值数据(iFinD）'!$Z673:$AA673/'实盘净值数据(iFinD）'!$Z$65:$AA$65))*(1-实盘持仓初始配置!$Z$8)^(('实盘净值数据(iFinD）'!$A673-'实盘净值数据(iFinD）'!$A$5)/365))</f>
        <v/>
      </c>
      <c r="O673" s="16" t="str">
        <f t="shared" si="64"/>
        <v/>
      </c>
      <c r="P673" s="16" t="str">
        <f>IF(N673="","",N673/MAX(N$5:N673)-1)</f>
        <v/>
      </c>
      <c r="Q673" s="13" t="str">
        <f>IF(OR('实盘净值数据(iFinD）'!$A673="",'实盘净值数据(iFinD）'!$B673="",'实盘净值数据(iFinD）'!$Z673="",'实盘净值数据(iFinD）'!$AA673=""),"",分期持仓明细!$AB$25*(SUMPRODUCT(分期持仓明细!$B$25:$Y$25,'实盘净值数据(iFinD）'!$B673:$Y673/'实盘净值数据(iFinD）'!$B$65:$Y$65)+SUMPRODUCT(分期持仓明细!$AC$25:$AD$25,'实盘净值数据(iFinD）'!$Z673:$AA673/'实盘净值数据(iFinD）'!$Z$65:$AA$65))*(1-实盘持仓初始配置!$Z$9)^(('实盘净值数据(iFinD）'!$A673-'实盘净值数据(iFinD）'!$A$8)/365))</f>
        <v/>
      </c>
      <c r="R673" s="16" t="str">
        <f t="shared" si="65"/>
        <v/>
      </c>
      <c r="S673" s="16" t="str">
        <f>IF(Q673="","",Q673/MAX(Q$5:Q673)-1)</f>
        <v/>
      </c>
    </row>
    <row r="674" spans="1:19">
      <c r="A674" s="15" t="str">
        <f>IF('实盘净值数据(iFinD）'!A674="","",'实盘净值数据(iFinD）'!A674)</f>
        <v/>
      </c>
      <c r="B674" s="13" t="str">
        <f>IF(OR('实盘净值数据(iFinD）'!$A674="",'实盘净值数据(iFinD）'!$B674=""),"",分期持仓明细!$AB$17*SUMPRODUCT(分期持仓明细!$B$17:$Y$17,'实盘净值数据(iFinD）'!$B674:$Y674/'实盘净值数据(iFinD）'!$B$20:$Y$20)*(1-实盘持仓初始配置!$Z$4)^(('实盘净值数据(iFinD）'!$A674-'实盘净值数据(iFinD）'!$A$6)/365))</f>
        <v/>
      </c>
      <c r="C674" s="16" t="str">
        <f t="shared" si="60"/>
        <v/>
      </c>
      <c r="D674" s="16" t="str">
        <f>IF(B674="","",B674/MAX(B$5:B674)-1)</f>
        <v/>
      </c>
      <c r="E674" s="13" t="str">
        <f>IF(OR('实盘净值数据(iFinD）'!$A674="",'实盘净值数据(iFinD）'!$B674=""),"",分期持仓明细!$AB$18*SUMPRODUCT(分期持仓明细!$B$18:$Y$18,'实盘净值数据(iFinD）'!$B674:$Y674/'实盘净值数据(iFinD）'!$B$20:$Y$20)*(1-实盘持仓初始配置!$Z$5)^(('实盘净值数据(iFinD）'!$A674-'实盘净值数据(iFinD）'!$A$5)/365))</f>
        <v/>
      </c>
      <c r="F674" s="16" t="str">
        <f t="shared" si="61"/>
        <v/>
      </c>
      <c r="G674" s="16" t="str">
        <f>IF(E674="","",E674/MAX(E$5:E674)-1)</f>
        <v/>
      </c>
      <c r="H674" s="13" t="str">
        <f>IF(OR('实盘净值数据(iFinD）'!$A674="",'实盘净值数据(iFinD）'!$B674=""),"",分期持仓明细!$AB$19*SUMPRODUCT(分期持仓明细!$B$19:$Y$19,'实盘净值数据(iFinD）'!$B674:$Y674/'实盘净值数据(iFinD）'!$B$20:$Y$20)*(1-实盘持仓初始配置!$Z$6)^(('实盘净值数据(iFinD）'!$A674-'实盘净值数据(iFinD）'!$A$7)/365))</f>
        <v/>
      </c>
      <c r="I674" s="16" t="str">
        <f t="shared" si="62"/>
        <v/>
      </c>
      <c r="J674" s="16" t="str">
        <f>IF(H674="","",H674/MAX(H$5:H674)-1)</f>
        <v/>
      </c>
      <c r="K674" s="13" t="str">
        <f>IF(OR('实盘净值数据(iFinD）'!$A674="",'实盘净值数据(iFinD）'!$B674="",'实盘净值数据(iFinD）'!$Z674="",'实盘净值数据(iFinD）'!$AA674=""),"",分期持仓明细!$AB$23*(SUMPRODUCT(分期持仓明细!$B$23:$Y$23,'实盘净值数据(iFinD）'!$B674:$Y674/'实盘净值数据(iFinD）'!$B$65:$Y$65)+SUMPRODUCT(分期持仓明细!$AC$23:$AD$23,'实盘净值数据(iFinD）'!$Z674:$AA674/'实盘净值数据(iFinD）'!$Z$65:$AA$65))*(1-实盘持仓初始配置!$Z$7)^(('实盘净值数据(iFinD）'!$A674-'实盘净值数据(iFinD）'!$A$8)/365))</f>
        <v/>
      </c>
      <c r="L674" s="16" t="str">
        <f t="shared" si="63"/>
        <v/>
      </c>
      <c r="M674" s="16" t="str">
        <f>IF(K674="","",K674/MAX(K$5:K674)-1)</f>
        <v/>
      </c>
      <c r="N674" s="13" t="str">
        <f>IF(OR('实盘净值数据(iFinD）'!$A674="",'实盘净值数据(iFinD）'!$B674="",'实盘净值数据(iFinD）'!$Z674="",'实盘净值数据(iFinD）'!$AA674=""),"",分期持仓明细!$AB$24*(SUMPRODUCT(分期持仓明细!$B$24:$Y$24,'实盘净值数据(iFinD）'!$B674:$Y674/'实盘净值数据(iFinD）'!$B$65:$Y$65)+SUMPRODUCT(分期持仓明细!$AC$24:$AD$24,'实盘净值数据(iFinD）'!$Z674:$AA674/'实盘净值数据(iFinD）'!$Z$65:$AA$65))*(1-实盘持仓初始配置!$Z$8)^(('实盘净值数据(iFinD）'!$A674-'实盘净值数据(iFinD）'!$A$5)/365))</f>
        <v/>
      </c>
      <c r="O674" s="16" t="str">
        <f t="shared" si="64"/>
        <v/>
      </c>
      <c r="P674" s="16" t="str">
        <f>IF(N674="","",N674/MAX(N$5:N674)-1)</f>
        <v/>
      </c>
      <c r="Q674" s="13" t="str">
        <f>IF(OR('实盘净值数据(iFinD）'!$A674="",'实盘净值数据(iFinD）'!$B674="",'实盘净值数据(iFinD）'!$Z674="",'实盘净值数据(iFinD）'!$AA674=""),"",分期持仓明细!$AB$25*(SUMPRODUCT(分期持仓明细!$B$25:$Y$25,'实盘净值数据(iFinD）'!$B674:$Y674/'实盘净值数据(iFinD）'!$B$65:$Y$65)+SUMPRODUCT(分期持仓明细!$AC$25:$AD$25,'实盘净值数据(iFinD）'!$Z674:$AA674/'实盘净值数据(iFinD）'!$Z$65:$AA$65))*(1-实盘持仓初始配置!$Z$9)^(('实盘净值数据(iFinD）'!$A674-'实盘净值数据(iFinD）'!$A$8)/365))</f>
        <v/>
      </c>
      <c r="R674" s="16" t="str">
        <f t="shared" si="65"/>
        <v/>
      </c>
      <c r="S674" s="16" t="str">
        <f>IF(Q674="","",Q674/MAX(Q$5:Q674)-1)</f>
        <v/>
      </c>
    </row>
    <row r="675" spans="1:19">
      <c r="A675" s="15" t="str">
        <f>IF('实盘净值数据(iFinD）'!A675="","",'实盘净值数据(iFinD）'!A675)</f>
        <v/>
      </c>
      <c r="B675" s="13" t="str">
        <f>IF(OR('实盘净值数据(iFinD）'!$A675="",'实盘净值数据(iFinD）'!$B675=""),"",分期持仓明细!$AB$17*SUMPRODUCT(分期持仓明细!$B$17:$Y$17,'实盘净值数据(iFinD）'!$B675:$Y675/'实盘净值数据(iFinD）'!$B$20:$Y$20)*(1-实盘持仓初始配置!$Z$4)^(('实盘净值数据(iFinD）'!$A675-'实盘净值数据(iFinD）'!$A$6)/365))</f>
        <v/>
      </c>
      <c r="C675" s="16" t="str">
        <f t="shared" si="60"/>
        <v/>
      </c>
      <c r="D675" s="16" t="str">
        <f>IF(B675="","",B675/MAX(B$5:B675)-1)</f>
        <v/>
      </c>
      <c r="E675" s="13" t="str">
        <f>IF(OR('实盘净值数据(iFinD）'!$A675="",'实盘净值数据(iFinD）'!$B675=""),"",分期持仓明细!$AB$18*SUMPRODUCT(分期持仓明细!$B$18:$Y$18,'实盘净值数据(iFinD）'!$B675:$Y675/'实盘净值数据(iFinD）'!$B$20:$Y$20)*(1-实盘持仓初始配置!$Z$5)^(('实盘净值数据(iFinD）'!$A675-'实盘净值数据(iFinD）'!$A$5)/365))</f>
        <v/>
      </c>
      <c r="F675" s="16" t="str">
        <f t="shared" si="61"/>
        <v/>
      </c>
      <c r="G675" s="16" t="str">
        <f>IF(E675="","",E675/MAX(E$5:E675)-1)</f>
        <v/>
      </c>
      <c r="H675" s="13" t="str">
        <f>IF(OR('实盘净值数据(iFinD）'!$A675="",'实盘净值数据(iFinD）'!$B675=""),"",分期持仓明细!$AB$19*SUMPRODUCT(分期持仓明细!$B$19:$Y$19,'实盘净值数据(iFinD）'!$B675:$Y675/'实盘净值数据(iFinD）'!$B$20:$Y$20)*(1-实盘持仓初始配置!$Z$6)^(('实盘净值数据(iFinD）'!$A675-'实盘净值数据(iFinD）'!$A$7)/365))</f>
        <v/>
      </c>
      <c r="I675" s="16" t="str">
        <f t="shared" si="62"/>
        <v/>
      </c>
      <c r="J675" s="16" t="str">
        <f>IF(H675="","",H675/MAX(H$5:H675)-1)</f>
        <v/>
      </c>
      <c r="K675" s="13" t="str">
        <f>IF(OR('实盘净值数据(iFinD）'!$A675="",'实盘净值数据(iFinD）'!$B675="",'实盘净值数据(iFinD）'!$Z675="",'实盘净值数据(iFinD）'!$AA675=""),"",分期持仓明细!$AB$23*(SUMPRODUCT(分期持仓明细!$B$23:$Y$23,'实盘净值数据(iFinD）'!$B675:$Y675/'实盘净值数据(iFinD）'!$B$65:$Y$65)+SUMPRODUCT(分期持仓明细!$AC$23:$AD$23,'实盘净值数据(iFinD）'!$Z675:$AA675/'实盘净值数据(iFinD）'!$Z$65:$AA$65))*(1-实盘持仓初始配置!$Z$7)^(('实盘净值数据(iFinD）'!$A675-'实盘净值数据(iFinD）'!$A$8)/365))</f>
        <v/>
      </c>
      <c r="L675" s="16" t="str">
        <f t="shared" si="63"/>
        <v/>
      </c>
      <c r="M675" s="16" t="str">
        <f>IF(K675="","",K675/MAX(K$5:K675)-1)</f>
        <v/>
      </c>
      <c r="N675" s="13" t="str">
        <f>IF(OR('实盘净值数据(iFinD）'!$A675="",'实盘净值数据(iFinD）'!$B675="",'实盘净值数据(iFinD）'!$Z675="",'实盘净值数据(iFinD）'!$AA675=""),"",分期持仓明细!$AB$24*(SUMPRODUCT(分期持仓明细!$B$24:$Y$24,'实盘净值数据(iFinD）'!$B675:$Y675/'实盘净值数据(iFinD）'!$B$65:$Y$65)+SUMPRODUCT(分期持仓明细!$AC$24:$AD$24,'实盘净值数据(iFinD）'!$Z675:$AA675/'实盘净值数据(iFinD）'!$Z$65:$AA$65))*(1-实盘持仓初始配置!$Z$8)^(('实盘净值数据(iFinD）'!$A675-'实盘净值数据(iFinD）'!$A$5)/365))</f>
        <v/>
      </c>
      <c r="O675" s="16" t="str">
        <f t="shared" si="64"/>
        <v/>
      </c>
      <c r="P675" s="16" t="str">
        <f>IF(N675="","",N675/MAX(N$5:N675)-1)</f>
        <v/>
      </c>
      <c r="Q675" s="13" t="str">
        <f>IF(OR('实盘净值数据(iFinD）'!$A675="",'实盘净值数据(iFinD）'!$B675="",'实盘净值数据(iFinD）'!$Z675="",'实盘净值数据(iFinD）'!$AA675=""),"",分期持仓明细!$AB$25*(SUMPRODUCT(分期持仓明细!$B$25:$Y$25,'实盘净值数据(iFinD）'!$B675:$Y675/'实盘净值数据(iFinD）'!$B$65:$Y$65)+SUMPRODUCT(分期持仓明细!$AC$25:$AD$25,'实盘净值数据(iFinD）'!$Z675:$AA675/'实盘净值数据(iFinD）'!$Z$65:$AA$65))*(1-实盘持仓初始配置!$Z$9)^(('实盘净值数据(iFinD）'!$A675-'实盘净值数据(iFinD）'!$A$8)/365))</f>
        <v/>
      </c>
      <c r="R675" s="16" t="str">
        <f t="shared" si="65"/>
        <v/>
      </c>
      <c r="S675" s="16" t="str">
        <f>IF(Q675="","",Q675/MAX(Q$5:Q675)-1)</f>
        <v/>
      </c>
    </row>
    <row r="676" spans="1:19">
      <c r="A676" s="15" t="str">
        <f>IF('实盘净值数据(iFinD）'!A676="","",'实盘净值数据(iFinD）'!A676)</f>
        <v/>
      </c>
      <c r="B676" s="13" t="str">
        <f>IF(OR('实盘净值数据(iFinD）'!$A676="",'实盘净值数据(iFinD）'!$B676=""),"",分期持仓明细!$AB$17*SUMPRODUCT(分期持仓明细!$B$17:$Y$17,'实盘净值数据(iFinD）'!$B676:$Y676/'实盘净值数据(iFinD）'!$B$20:$Y$20)*(1-实盘持仓初始配置!$Z$4)^(('实盘净值数据(iFinD）'!$A676-'实盘净值数据(iFinD）'!$A$6)/365))</f>
        <v/>
      </c>
      <c r="C676" s="16" t="str">
        <f t="shared" si="60"/>
        <v/>
      </c>
      <c r="D676" s="16" t="str">
        <f>IF(B676="","",B676/MAX(B$5:B676)-1)</f>
        <v/>
      </c>
      <c r="E676" s="13" t="str">
        <f>IF(OR('实盘净值数据(iFinD）'!$A676="",'实盘净值数据(iFinD）'!$B676=""),"",分期持仓明细!$AB$18*SUMPRODUCT(分期持仓明细!$B$18:$Y$18,'实盘净值数据(iFinD）'!$B676:$Y676/'实盘净值数据(iFinD）'!$B$20:$Y$20)*(1-实盘持仓初始配置!$Z$5)^(('实盘净值数据(iFinD）'!$A676-'实盘净值数据(iFinD）'!$A$5)/365))</f>
        <v/>
      </c>
      <c r="F676" s="16" t="str">
        <f t="shared" si="61"/>
        <v/>
      </c>
      <c r="G676" s="16" t="str">
        <f>IF(E676="","",E676/MAX(E$5:E676)-1)</f>
        <v/>
      </c>
      <c r="H676" s="13" t="str">
        <f>IF(OR('实盘净值数据(iFinD）'!$A676="",'实盘净值数据(iFinD）'!$B676=""),"",分期持仓明细!$AB$19*SUMPRODUCT(分期持仓明细!$B$19:$Y$19,'实盘净值数据(iFinD）'!$B676:$Y676/'实盘净值数据(iFinD）'!$B$20:$Y$20)*(1-实盘持仓初始配置!$Z$6)^(('实盘净值数据(iFinD）'!$A676-'实盘净值数据(iFinD）'!$A$7)/365))</f>
        <v/>
      </c>
      <c r="I676" s="16" t="str">
        <f t="shared" si="62"/>
        <v/>
      </c>
      <c r="J676" s="16" t="str">
        <f>IF(H676="","",H676/MAX(H$5:H676)-1)</f>
        <v/>
      </c>
      <c r="K676" s="13" t="str">
        <f>IF(OR('实盘净值数据(iFinD）'!$A676="",'实盘净值数据(iFinD）'!$B676="",'实盘净值数据(iFinD）'!$Z676="",'实盘净值数据(iFinD）'!$AA676=""),"",分期持仓明细!$AB$23*(SUMPRODUCT(分期持仓明细!$B$23:$Y$23,'实盘净值数据(iFinD）'!$B676:$Y676/'实盘净值数据(iFinD）'!$B$65:$Y$65)+SUMPRODUCT(分期持仓明细!$AC$23:$AD$23,'实盘净值数据(iFinD）'!$Z676:$AA676/'实盘净值数据(iFinD）'!$Z$65:$AA$65))*(1-实盘持仓初始配置!$Z$7)^(('实盘净值数据(iFinD）'!$A676-'实盘净值数据(iFinD）'!$A$8)/365))</f>
        <v/>
      </c>
      <c r="L676" s="16" t="str">
        <f t="shared" si="63"/>
        <v/>
      </c>
      <c r="M676" s="16" t="str">
        <f>IF(K676="","",K676/MAX(K$5:K676)-1)</f>
        <v/>
      </c>
      <c r="N676" s="13" t="str">
        <f>IF(OR('实盘净值数据(iFinD）'!$A676="",'实盘净值数据(iFinD）'!$B676="",'实盘净值数据(iFinD）'!$Z676="",'实盘净值数据(iFinD）'!$AA676=""),"",分期持仓明细!$AB$24*(SUMPRODUCT(分期持仓明细!$B$24:$Y$24,'实盘净值数据(iFinD）'!$B676:$Y676/'实盘净值数据(iFinD）'!$B$65:$Y$65)+SUMPRODUCT(分期持仓明细!$AC$24:$AD$24,'实盘净值数据(iFinD）'!$Z676:$AA676/'实盘净值数据(iFinD）'!$Z$65:$AA$65))*(1-实盘持仓初始配置!$Z$8)^(('实盘净值数据(iFinD）'!$A676-'实盘净值数据(iFinD）'!$A$5)/365))</f>
        <v/>
      </c>
      <c r="O676" s="16" t="str">
        <f t="shared" si="64"/>
        <v/>
      </c>
      <c r="P676" s="16" t="str">
        <f>IF(N676="","",N676/MAX(N$5:N676)-1)</f>
        <v/>
      </c>
      <c r="Q676" s="13" t="str">
        <f>IF(OR('实盘净值数据(iFinD）'!$A676="",'实盘净值数据(iFinD）'!$B676="",'实盘净值数据(iFinD）'!$Z676="",'实盘净值数据(iFinD）'!$AA676=""),"",分期持仓明细!$AB$25*(SUMPRODUCT(分期持仓明细!$B$25:$Y$25,'实盘净值数据(iFinD）'!$B676:$Y676/'实盘净值数据(iFinD）'!$B$65:$Y$65)+SUMPRODUCT(分期持仓明细!$AC$25:$AD$25,'实盘净值数据(iFinD）'!$Z676:$AA676/'实盘净值数据(iFinD）'!$Z$65:$AA$65))*(1-实盘持仓初始配置!$Z$9)^(('实盘净值数据(iFinD）'!$A676-'实盘净值数据(iFinD）'!$A$8)/365))</f>
        <v/>
      </c>
      <c r="R676" s="16" t="str">
        <f t="shared" si="65"/>
        <v/>
      </c>
      <c r="S676" s="16" t="str">
        <f>IF(Q676="","",Q676/MAX(Q$5:Q676)-1)</f>
        <v/>
      </c>
    </row>
    <row r="677" spans="1:19">
      <c r="A677" s="15" t="str">
        <f>IF('实盘净值数据(iFinD）'!A677="","",'实盘净值数据(iFinD）'!A677)</f>
        <v/>
      </c>
      <c r="B677" s="13" t="str">
        <f>IF(OR('实盘净值数据(iFinD）'!$A677="",'实盘净值数据(iFinD）'!$B677=""),"",分期持仓明细!$AB$17*SUMPRODUCT(分期持仓明细!$B$17:$Y$17,'实盘净值数据(iFinD）'!$B677:$Y677/'实盘净值数据(iFinD）'!$B$20:$Y$20)*(1-实盘持仓初始配置!$Z$4)^(('实盘净值数据(iFinD）'!$A677-'实盘净值数据(iFinD）'!$A$6)/365))</f>
        <v/>
      </c>
      <c r="C677" s="16" t="str">
        <f t="shared" si="60"/>
        <v/>
      </c>
      <c r="D677" s="16" t="str">
        <f>IF(B677="","",B677/MAX(B$5:B677)-1)</f>
        <v/>
      </c>
      <c r="E677" s="13" t="str">
        <f>IF(OR('实盘净值数据(iFinD）'!$A677="",'实盘净值数据(iFinD）'!$B677=""),"",分期持仓明细!$AB$18*SUMPRODUCT(分期持仓明细!$B$18:$Y$18,'实盘净值数据(iFinD）'!$B677:$Y677/'实盘净值数据(iFinD）'!$B$20:$Y$20)*(1-实盘持仓初始配置!$Z$5)^(('实盘净值数据(iFinD）'!$A677-'实盘净值数据(iFinD）'!$A$5)/365))</f>
        <v/>
      </c>
      <c r="F677" s="16" t="str">
        <f t="shared" si="61"/>
        <v/>
      </c>
      <c r="G677" s="16" t="str">
        <f>IF(E677="","",E677/MAX(E$5:E677)-1)</f>
        <v/>
      </c>
      <c r="H677" s="13" t="str">
        <f>IF(OR('实盘净值数据(iFinD）'!$A677="",'实盘净值数据(iFinD）'!$B677=""),"",分期持仓明细!$AB$19*SUMPRODUCT(分期持仓明细!$B$19:$Y$19,'实盘净值数据(iFinD）'!$B677:$Y677/'实盘净值数据(iFinD）'!$B$20:$Y$20)*(1-实盘持仓初始配置!$Z$6)^(('实盘净值数据(iFinD）'!$A677-'实盘净值数据(iFinD）'!$A$7)/365))</f>
        <v/>
      </c>
      <c r="I677" s="16" t="str">
        <f t="shared" si="62"/>
        <v/>
      </c>
      <c r="J677" s="16" t="str">
        <f>IF(H677="","",H677/MAX(H$5:H677)-1)</f>
        <v/>
      </c>
      <c r="K677" s="13" t="str">
        <f>IF(OR('实盘净值数据(iFinD）'!$A677="",'实盘净值数据(iFinD）'!$B677="",'实盘净值数据(iFinD）'!$Z677="",'实盘净值数据(iFinD）'!$AA677=""),"",分期持仓明细!$AB$23*(SUMPRODUCT(分期持仓明细!$B$23:$Y$23,'实盘净值数据(iFinD）'!$B677:$Y677/'实盘净值数据(iFinD）'!$B$65:$Y$65)+SUMPRODUCT(分期持仓明细!$AC$23:$AD$23,'实盘净值数据(iFinD）'!$Z677:$AA677/'实盘净值数据(iFinD）'!$Z$65:$AA$65))*(1-实盘持仓初始配置!$Z$7)^(('实盘净值数据(iFinD）'!$A677-'实盘净值数据(iFinD）'!$A$8)/365))</f>
        <v/>
      </c>
      <c r="L677" s="16" t="str">
        <f t="shared" si="63"/>
        <v/>
      </c>
      <c r="M677" s="16" t="str">
        <f>IF(K677="","",K677/MAX(K$5:K677)-1)</f>
        <v/>
      </c>
      <c r="N677" s="13" t="str">
        <f>IF(OR('实盘净值数据(iFinD）'!$A677="",'实盘净值数据(iFinD）'!$B677="",'实盘净值数据(iFinD）'!$Z677="",'实盘净值数据(iFinD）'!$AA677=""),"",分期持仓明细!$AB$24*(SUMPRODUCT(分期持仓明细!$B$24:$Y$24,'实盘净值数据(iFinD）'!$B677:$Y677/'实盘净值数据(iFinD）'!$B$65:$Y$65)+SUMPRODUCT(分期持仓明细!$AC$24:$AD$24,'实盘净值数据(iFinD）'!$Z677:$AA677/'实盘净值数据(iFinD）'!$Z$65:$AA$65))*(1-实盘持仓初始配置!$Z$8)^(('实盘净值数据(iFinD）'!$A677-'实盘净值数据(iFinD）'!$A$5)/365))</f>
        <v/>
      </c>
      <c r="O677" s="16" t="str">
        <f t="shared" si="64"/>
        <v/>
      </c>
      <c r="P677" s="16" t="str">
        <f>IF(N677="","",N677/MAX(N$5:N677)-1)</f>
        <v/>
      </c>
      <c r="Q677" s="13" t="str">
        <f>IF(OR('实盘净值数据(iFinD）'!$A677="",'实盘净值数据(iFinD）'!$B677="",'实盘净值数据(iFinD）'!$Z677="",'实盘净值数据(iFinD）'!$AA677=""),"",分期持仓明细!$AB$25*(SUMPRODUCT(分期持仓明细!$B$25:$Y$25,'实盘净值数据(iFinD）'!$B677:$Y677/'实盘净值数据(iFinD）'!$B$65:$Y$65)+SUMPRODUCT(分期持仓明细!$AC$25:$AD$25,'实盘净值数据(iFinD）'!$Z677:$AA677/'实盘净值数据(iFinD）'!$Z$65:$AA$65))*(1-实盘持仓初始配置!$Z$9)^(('实盘净值数据(iFinD）'!$A677-'实盘净值数据(iFinD）'!$A$8)/365))</f>
        <v/>
      </c>
      <c r="R677" s="16" t="str">
        <f t="shared" si="65"/>
        <v/>
      </c>
      <c r="S677" s="16" t="str">
        <f>IF(Q677="","",Q677/MAX(Q$5:Q677)-1)</f>
        <v/>
      </c>
    </row>
    <row r="678" spans="1:19">
      <c r="A678" s="15" t="str">
        <f>IF('实盘净值数据(iFinD）'!A678="","",'实盘净值数据(iFinD）'!A678)</f>
        <v/>
      </c>
      <c r="B678" s="13" t="str">
        <f>IF(OR('实盘净值数据(iFinD）'!$A678="",'实盘净值数据(iFinD）'!$B678=""),"",分期持仓明细!$AB$17*SUMPRODUCT(分期持仓明细!$B$17:$Y$17,'实盘净值数据(iFinD）'!$B678:$Y678/'实盘净值数据(iFinD）'!$B$20:$Y$20)*(1-实盘持仓初始配置!$Z$4)^(('实盘净值数据(iFinD）'!$A678-'实盘净值数据(iFinD）'!$A$6)/365))</f>
        <v/>
      </c>
      <c r="C678" s="16" t="str">
        <f t="shared" si="60"/>
        <v/>
      </c>
      <c r="D678" s="16" t="str">
        <f>IF(B678="","",B678/MAX(B$5:B678)-1)</f>
        <v/>
      </c>
      <c r="E678" s="13" t="str">
        <f>IF(OR('实盘净值数据(iFinD）'!$A678="",'实盘净值数据(iFinD）'!$B678=""),"",分期持仓明细!$AB$18*SUMPRODUCT(分期持仓明细!$B$18:$Y$18,'实盘净值数据(iFinD）'!$B678:$Y678/'实盘净值数据(iFinD）'!$B$20:$Y$20)*(1-实盘持仓初始配置!$Z$5)^(('实盘净值数据(iFinD）'!$A678-'实盘净值数据(iFinD）'!$A$5)/365))</f>
        <v/>
      </c>
      <c r="F678" s="16" t="str">
        <f t="shared" si="61"/>
        <v/>
      </c>
      <c r="G678" s="16" t="str">
        <f>IF(E678="","",E678/MAX(E$5:E678)-1)</f>
        <v/>
      </c>
      <c r="H678" s="13" t="str">
        <f>IF(OR('实盘净值数据(iFinD）'!$A678="",'实盘净值数据(iFinD）'!$B678=""),"",分期持仓明细!$AB$19*SUMPRODUCT(分期持仓明细!$B$19:$Y$19,'实盘净值数据(iFinD）'!$B678:$Y678/'实盘净值数据(iFinD）'!$B$20:$Y$20)*(1-实盘持仓初始配置!$Z$6)^(('实盘净值数据(iFinD）'!$A678-'实盘净值数据(iFinD）'!$A$7)/365))</f>
        <v/>
      </c>
      <c r="I678" s="16" t="str">
        <f t="shared" si="62"/>
        <v/>
      </c>
      <c r="J678" s="16" t="str">
        <f>IF(H678="","",H678/MAX(H$5:H678)-1)</f>
        <v/>
      </c>
      <c r="K678" s="13" t="str">
        <f>IF(OR('实盘净值数据(iFinD）'!$A678="",'实盘净值数据(iFinD）'!$B678="",'实盘净值数据(iFinD）'!$Z678="",'实盘净值数据(iFinD）'!$AA678=""),"",分期持仓明细!$AB$23*(SUMPRODUCT(分期持仓明细!$B$23:$Y$23,'实盘净值数据(iFinD）'!$B678:$Y678/'实盘净值数据(iFinD）'!$B$65:$Y$65)+SUMPRODUCT(分期持仓明细!$AC$23:$AD$23,'实盘净值数据(iFinD）'!$Z678:$AA678/'实盘净值数据(iFinD）'!$Z$65:$AA$65))*(1-实盘持仓初始配置!$Z$7)^(('实盘净值数据(iFinD）'!$A678-'实盘净值数据(iFinD）'!$A$8)/365))</f>
        <v/>
      </c>
      <c r="L678" s="16" t="str">
        <f t="shared" si="63"/>
        <v/>
      </c>
      <c r="M678" s="16" t="str">
        <f>IF(K678="","",K678/MAX(K$5:K678)-1)</f>
        <v/>
      </c>
      <c r="N678" s="13" t="str">
        <f>IF(OR('实盘净值数据(iFinD）'!$A678="",'实盘净值数据(iFinD）'!$B678="",'实盘净值数据(iFinD）'!$Z678="",'实盘净值数据(iFinD）'!$AA678=""),"",分期持仓明细!$AB$24*(SUMPRODUCT(分期持仓明细!$B$24:$Y$24,'实盘净值数据(iFinD）'!$B678:$Y678/'实盘净值数据(iFinD）'!$B$65:$Y$65)+SUMPRODUCT(分期持仓明细!$AC$24:$AD$24,'实盘净值数据(iFinD）'!$Z678:$AA678/'实盘净值数据(iFinD）'!$Z$65:$AA$65))*(1-实盘持仓初始配置!$Z$8)^(('实盘净值数据(iFinD）'!$A678-'实盘净值数据(iFinD）'!$A$5)/365))</f>
        <v/>
      </c>
      <c r="O678" s="16" t="str">
        <f t="shared" si="64"/>
        <v/>
      </c>
      <c r="P678" s="16" t="str">
        <f>IF(N678="","",N678/MAX(N$5:N678)-1)</f>
        <v/>
      </c>
      <c r="Q678" s="13" t="str">
        <f>IF(OR('实盘净值数据(iFinD）'!$A678="",'实盘净值数据(iFinD）'!$B678="",'实盘净值数据(iFinD）'!$Z678="",'实盘净值数据(iFinD）'!$AA678=""),"",分期持仓明细!$AB$25*(SUMPRODUCT(分期持仓明细!$B$25:$Y$25,'实盘净值数据(iFinD）'!$B678:$Y678/'实盘净值数据(iFinD）'!$B$65:$Y$65)+SUMPRODUCT(分期持仓明细!$AC$25:$AD$25,'实盘净值数据(iFinD）'!$Z678:$AA678/'实盘净值数据(iFinD）'!$Z$65:$AA$65))*(1-实盘持仓初始配置!$Z$9)^(('实盘净值数据(iFinD）'!$A678-'实盘净值数据(iFinD）'!$A$8)/365))</f>
        <v/>
      </c>
      <c r="R678" s="16" t="str">
        <f t="shared" si="65"/>
        <v/>
      </c>
      <c r="S678" s="16" t="str">
        <f>IF(Q678="","",Q678/MAX(Q$5:Q678)-1)</f>
        <v/>
      </c>
    </row>
    <row r="679" spans="1:19">
      <c r="A679" s="15" t="str">
        <f>IF('实盘净值数据(iFinD）'!A679="","",'实盘净值数据(iFinD）'!A679)</f>
        <v/>
      </c>
      <c r="B679" s="13" t="str">
        <f>IF(OR('实盘净值数据(iFinD）'!$A679="",'实盘净值数据(iFinD）'!$B679=""),"",分期持仓明细!$AB$17*SUMPRODUCT(分期持仓明细!$B$17:$Y$17,'实盘净值数据(iFinD）'!$B679:$Y679/'实盘净值数据(iFinD）'!$B$20:$Y$20)*(1-实盘持仓初始配置!$Z$4)^(('实盘净值数据(iFinD）'!$A679-'实盘净值数据(iFinD）'!$A$6)/365))</f>
        <v/>
      </c>
      <c r="C679" s="16" t="str">
        <f t="shared" si="60"/>
        <v/>
      </c>
      <c r="D679" s="16" t="str">
        <f>IF(B679="","",B679/MAX(B$5:B679)-1)</f>
        <v/>
      </c>
      <c r="E679" s="13" t="str">
        <f>IF(OR('实盘净值数据(iFinD）'!$A679="",'实盘净值数据(iFinD）'!$B679=""),"",分期持仓明细!$AB$18*SUMPRODUCT(分期持仓明细!$B$18:$Y$18,'实盘净值数据(iFinD）'!$B679:$Y679/'实盘净值数据(iFinD）'!$B$20:$Y$20)*(1-实盘持仓初始配置!$Z$5)^(('实盘净值数据(iFinD）'!$A679-'实盘净值数据(iFinD）'!$A$5)/365))</f>
        <v/>
      </c>
      <c r="F679" s="16" t="str">
        <f t="shared" si="61"/>
        <v/>
      </c>
      <c r="G679" s="16" t="str">
        <f>IF(E679="","",E679/MAX(E$5:E679)-1)</f>
        <v/>
      </c>
      <c r="H679" s="13" t="str">
        <f>IF(OR('实盘净值数据(iFinD）'!$A679="",'实盘净值数据(iFinD）'!$B679=""),"",分期持仓明细!$AB$19*SUMPRODUCT(分期持仓明细!$B$19:$Y$19,'实盘净值数据(iFinD）'!$B679:$Y679/'实盘净值数据(iFinD）'!$B$20:$Y$20)*(1-实盘持仓初始配置!$Z$6)^(('实盘净值数据(iFinD）'!$A679-'实盘净值数据(iFinD）'!$A$7)/365))</f>
        <v/>
      </c>
      <c r="I679" s="16" t="str">
        <f t="shared" si="62"/>
        <v/>
      </c>
      <c r="J679" s="16" t="str">
        <f>IF(H679="","",H679/MAX(H$5:H679)-1)</f>
        <v/>
      </c>
      <c r="K679" s="13" t="str">
        <f>IF(OR('实盘净值数据(iFinD）'!$A679="",'实盘净值数据(iFinD）'!$B679="",'实盘净值数据(iFinD）'!$Z679="",'实盘净值数据(iFinD）'!$AA679=""),"",分期持仓明细!$AB$23*(SUMPRODUCT(分期持仓明细!$B$23:$Y$23,'实盘净值数据(iFinD）'!$B679:$Y679/'实盘净值数据(iFinD）'!$B$65:$Y$65)+SUMPRODUCT(分期持仓明细!$AC$23:$AD$23,'实盘净值数据(iFinD）'!$Z679:$AA679/'实盘净值数据(iFinD）'!$Z$65:$AA$65))*(1-实盘持仓初始配置!$Z$7)^(('实盘净值数据(iFinD）'!$A679-'实盘净值数据(iFinD）'!$A$8)/365))</f>
        <v/>
      </c>
      <c r="L679" s="16" t="str">
        <f t="shared" si="63"/>
        <v/>
      </c>
      <c r="M679" s="16" t="str">
        <f>IF(K679="","",K679/MAX(K$5:K679)-1)</f>
        <v/>
      </c>
      <c r="N679" s="13" t="str">
        <f>IF(OR('实盘净值数据(iFinD）'!$A679="",'实盘净值数据(iFinD）'!$B679="",'实盘净值数据(iFinD）'!$Z679="",'实盘净值数据(iFinD）'!$AA679=""),"",分期持仓明细!$AB$24*(SUMPRODUCT(分期持仓明细!$B$24:$Y$24,'实盘净值数据(iFinD）'!$B679:$Y679/'实盘净值数据(iFinD）'!$B$65:$Y$65)+SUMPRODUCT(分期持仓明细!$AC$24:$AD$24,'实盘净值数据(iFinD）'!$Z679:$AA679/'实盘净值数据(iFinD）'!$Z$65:$AA$65))*(1-实盘持仓初始配置!$Z$8)^(('实盘净值数据(iFinD）'!$A679-'实盘净值数据(iFinD）'!$A$5)/365))</f>
        <v/>
      </c>
      <c r="O679" s="16" t="str">
        <f t="shared" si="64"/>
        <v/>
      </c>
      <c r="P679" s="16" t="str">
        <f>IF(N679="","",N679/MAX(N$5:N679)-1)</f>
        <v/>
      </c>
      <c r="Q679" s="13" t="str">
        <f>IF(OR('实盘净值数据(iFinD）'!$A679="",'实盘净值数据(iFinD）'!$B679="",'实盘净值数据(iFinD）'!$Z679="",'实盘净值数据(iFinD）'!$AA679=""),"",分期持仓明细!$AB$25*(SUMPRODUCT(分期持仓明细!$B$25:$Y$25,'实盘净值数据(iFinD）'!$B679:$Y679/'实盘净值数据(iFinD）'!$B$65:$Y$65)+SUMPRODUCT(分期持仓明细!$AC$25:$AD$25,'实盘净值数据(iFinD）'!$Z679:$AA679/'实盘净值数据(iFinD）'!$Z$65:$AA$65))*(1-实盘持仓初始配置!$Z$9)^(('实盘净值数据(iFinD）'!$A679-'实盘净值数据(iFinD）'!$A$8)/365))</f>
        <v/>
      </c>
      <c r="R679" s="16" t="str">
        <f t="shared" si="65"/>
        <v/>
      </c>
      <c r="S679" s="16" t="str">
        <f>IF(Q679="","",Q679/MAX(Q$5:Q679)-1)</f>
        <v/>
      </c>
    </row>
    <row r="680" spans="1:19">
      <c r="A680" s="15" t="str">
        <f>IF('实盘净值数据(iFinD）'!A680="","",'实盘净值数据(iFinD）'!A680)</f>
        <v/>
      </c>
      <c r="B680" s="13" t="str">
        <f>IF(OR('实盘净值数据(iFinD）'!$A680="",'实盘净值数据(iFinD）'!$B680=""),"",分期持仓明细!$AB$17*SUMPRODUCT(分期持仓明细!$B$17:$Y$17,'实盘净值数据(iFinD）'!$B680:$Y680/'实盘净值数据(iFinD）'!$B$20:$Y$20)*(1-实盘持仓初始配置!$Z$4)^(('实盘净值数据(iFinD）'!$A680-'实盘净值数据(iFinD）'!$A$6)/365))</f>
        <v/>
      </c>
      <c r="C680" s="16" t="str">
        <f t="shared" si="60"/>
        <v/>
      </c>
      <c r="D680" s="16" t="str">
        <f>IF(B680="","",B680/MAX(B$5:B680)-1)</f>
        <v/>
      </c>
      <c r="E680" s="13" t="str">
        <f>IF(OR('实盘净值数据(iFinD）'!$A680="",'实盘净值数据(iFinD）'!$B680=""),"",分期持仓明细!$AB$18*SUMPRODUCT(分期持仓明细!$B$18:$Y$18,'实盘净值数据(iFinD）'!$B680:$Y680/'实盘净值数据(iFinD）'!$B$20:$Y$20)*(1-实盘持仓初始配置!$Z$5)^(('实盘净值数据(iFinD）'!$A680-'实盘净值数据(iFinD）'!$A$5)/365))</f>
        <v/>
      </c>
      <c r="F680" s="16" t="str">
        <f t="shared" si="61"/>
        <v/>
      </c>
      <c r="G680" s="16" t="str">
        <f>IF(E680="","",E680/MAX(E$5:E680)-1)</f>
        <v/>
      </c>
      <c r="H680" s="13" t="str">
        <f>IF(OR('实盘净值数据(iFinD）'!$A680="",'实盘净值数据(iFinD）'!$B680=""),"",分期持仓明细!$AB$19*SUMPRODUCT(分期持仓明细!$B$19:$Y$19,'实盘净值数据(iFinD）'!$B680:$Y680/'实盘净值数据(iFinD）'!$B$20:$Y$20)*(1-实盘持仓初始配置!$Z$6)^(('实盘净值数据(iFinD）'!$A680-'实盘净值数据(iFinD）'!$A$7)/365))</f>
        <v/>
      </c>
      <c r="I680" s="16" t="str">
        <f t="shared" si="62"/>
        <v/>
      </c>
      <c r="J680" s="16" t="str">
        <f>IF(H680="","",H680/MAX(H$5:H680)-1)</f>
        <v/>
      </c>
      <c r="K680" s="13" t="str">
        <f>IF(OR('实盘净值数据(iFinD）'!$A680="",'实盘净值数据(iFinD）'!$B680="",'实盘净值数据(iFinD）'!$Z680="",'实盘净值数据(iFinD）'!$AA680=""),"",分期持仓明细!$AB$23*(SUMPRODUCT(分期持仓明细!$B$23:$Y$23,'实盘净值数据(iFinD）'!$B680:$Y680/'实盘净值数据(iFinD）'!$B$65:$Y$65)+SUMPRODUCT(分期持仓明细!$AC$23:$AD$23,'实盘净值数据(iFinD）'!$Z680:$AA680/'实盘净值数据(iFinD）'!$Z$65:$AA$65))*(1-实盘持仓初始配置!$Z$7)^(('实盘净值数据(iFinD）'!$A680-'实盘净值数据(iFinD）'!$A$8)/365))</f>
        <v/>
      </c>
      <c r="L680" s="16" t="str">
        <f t="shared" si="63"/>
        <v/>
      </c>
      <c r="M680" s="16" t="str">
        <f>IF(K680="","",K680/MAX(K$5:K680)-1)</f>
        <v/>
      </c>
      <c r="N680" s="13" t="str">
        <f>IF(OR('实盘净值数据(iFinD）'!$A680="",'实盘净值数据(iFinD）'!$B680="",'实盘净值数据(iFinD）'!$Z680="",'实盘净值数据(iFinD）'!$AA680=""),"",分期持仓明细!$AB$24*(SUMPRODUCT(分期持仓明细!$B$24:$Y$24,'实盘净值数据(iFinD）'!$B680:$Y680/'实盘净值数据(iFinD）'!$B$65:$Y$65)+SUMPRODUCT(分期持仓明细!$AC$24:$AD$24,'实盘净值数据(iFinD）'!$Z680:$AA680/'实盘净值数据(iFinD）'!$Z$65:$AA$65))*(1-实盘持仓初始配置!$Z$8)^(('实盘净值数据(iFinD）'!$A680-'实盘净值数据(iFinD）'!$A$5)/365))</f>
        <v/>
      </c>
      <c r="O680" s="16" t="str">
        <f t="shared" si="64"/>
        <v/>
      </c>
      <c r="P680" s="16" t="str">
        <f>IF(N680="","",N680/MAX(N$5:N680)-1)</f>
        <v/>
      </c>
      <c r="Q680" s="13" t="str">
        <f>IF(OR('实盘净值数据(iFinD）'!$A680="",'实盘净值数据(iFinD）'!$B680="",'实盘净值数据(iFinD）'!$Z680="",'实盘净值数据(iFinD）'!$AA680=""),"",分期持仓明细!$AB$25*(SUMPRODUCT(分期持仓明细!$B$25:$Y$25,'实盘净值数据(iFinD）'!$B680:$Y680/'实盘净值数据(iFinD）'!$B$65:$Y$65)+SUMPRODUCT(分期持仓明细!$AC$25:$AD$25,'实盘净值数据(iFinD）'!$Z680:$AA680/'实盘净值数据(iFinD）'!$Z$65:$AA$65))*(1-实盘持仓初始配置!$Z$9)^(('实盘净值数据(iFinD）'!$A680-'实盘净值数据(iFinD）'!$A$8)/365))</f>
        <v/>
      </c>
      <c r="R680" s="16" t="str">
        <f t="shared" si="65"/>
        <v/>
      </c>
      <c r="S680" s="16" t="str">
        <f>IF(Q680="","",Q680/MAX(Q$5:Q680)-1)</f>
        <v/>
      </c>
    </row>
    <row r="681" spans="1:19">
      <c r="A681" s="15" t="str">
        <f>IF('实盘净值数据(iFinD）'!A681="","",'实盘净值数据(iFinD）'!A681)</f>
        <v/>
      </c>
      <c r="B681" s="13" t="str">
        <f>IF(OR('实盘净值数据(iFinD）'!$A681="",'实盘净值数据(iFinD）'!$B681=""),"",分期持仓明细!$AB$17*SUMPRODUCT(分期持仓明细!$B$17:$Y$17,'实盘净值数据(iFinD）'!$B681:$Y681/'实盘净值数据(iFinD）'!$B$20:$Y$20)*(1-实盘持仓初始配置!$Z$4)^(('实盘净值数据(iFinD）'!$A681-'实盘净值数据(iFinD）'!$A$6)/365))</f>
        <v/>
      </c>
      <c r="C681" s="16" t="str">
        <f t="shared" si="60"/>
        <v/>
      </c>
      <c r="D681" s="16" t="str">
        <f>IF(B681="","",B681/MAX(B$5:B681)-1)</f>
        <v/>
      </c>
      <c r="E681" s="13" t="str">
        <f>IF(OR('实盘净值数据(iFinD）'!$A681="",'实盘净值数据(iFinD）'!$B681=""),"",分期持仓明细!$AB$18*SUMPRODUCT(分期持仓明细!$B$18:$Y$18,'实盘净值数据(iFinD）'!$B681:$Y681/'实盘净值数据(iFinD）'!$B$20:$Y$20)*(1-实盘持仓初始配置!$Z$5)^(('实盘净值数据(iFinD）'!$A681-'实盘净值数据(iFinD）'!$A$5)/365))</f>
        <v/>
      </c>
      <c r="F681" s="16" t="str">
        <f t="shared" si="61"/>
        <v/>
      </c>
      <c r="G681" s="16" t="str">
        <f>IF(E681="","",E681/MAX(E$5:E681)-1)</f>
        <v/>
      </c>
      <c r="H681" s="13" t="str">
        <f>IF(OR('实盘净值数据(iFinD）'!$A681="",'实盘净值数据(iFinD）'!$B681=""),"",分期持仓明细!$AB$19*SUMPRODUCT(分期持仓明细!$B$19:$Y$19,'实盘净值数据(iFinD）'!$B681:$Y681/'实盘净值数据(iFinD）'!$B$20:$Y$20)*(1-实盘持仓初始配置!$Z$6)^(('实盘净值数据(iFinD）'!$A681-'实盘净值数据(iFinD）'!$A$7)/365))</f>
        <v/>
      </c>
      <c r="I681" s="16" t="str">
        <f t="shared" si="62"/>
        <v/>
      </c>
      <c r="J681" s="16" t="str">
        <f>IF(H681="","",H681/MAX(H$5:H681)-1)</f>
        <v/>
      </c>
      <c r="K681" s="13" t="str">
        <f>IF(OR('实盘净值数据(iFinD）'!$A681="",'实盘净值数据(iFinD）'!$B681="",'实盘净值数据(iFinD）'!$Z681="",'实盘净值数据(iFinD）'!$AA681=""),"",分期持仓明细!$AB$23*(SUMPRODUCT(分期持仓明细!$B$23:$Y$23,'实盘净值数据(iFinD）'!$B681:$Y681/'实盘净值数据(iFinD）'!$B$65:$Y$65)+SUMPRODUCT(分期持仓明细!$AC$23:$AD$23,'实盘净值数据(iFinD）'!$Z681:$AA681/'实盘净值数据(iFinD）'!$Z$65:$AA$65))*(1-实盘持仓初始配置!$Z$7)^(('实盘净值数据(iFinD）'!$A681-'实盘净值数据(iFinD）'!$A$8)/365))</f>
        <v/>
      </c>
      <c r="L681" s="16" t="str">
        <f t="shared" si="63"/>
        <v/>
      </c>
      <c r="M681" s="16" t="str">
        <f>IF(K681="","",K681/MAX(K$5:K681)-1)</f>
        <v/>
      </c>
      <c r="N681" s="13" t="str">
        <f>IF(OR('实盘净值数据(iFinD）'!$A681="",'实盘净值数据(iFinD）'!$B681="",'实盘净值数据(iFinD）'!$Z681="",'实盘净值数据(iFinD）'!$AA681=""),"",分期持仓明细!$AB$24*(SUMPRODUCT(分期持仓明细!$B$24:$Y$24,'实盘净值数据(iFinD）'!$B681:$Y681/'实盘净值数据(iFinD）'!$B$65:$Y$65)+SUMPRODUCT(分期持仓明细!$AC$24:$AD$24,'实盘净值数据(iFinD）'!$Z681:$AA681/'实盘净值数据(iFinD）'!$Z$65:$AA$65))*(1-实盘持仓初始配置!$Z$8)^(('实盘净值数据(iFinD）'!$A681-'实盘净值数据(iFinD）'!$A$5)/365))</f>
        <v/>
      </c>
      <c r="O681" s="16" t="str">
        <f t="shared" si="64"/>
        <v/>
      </c>
      <c r="P681" s="16" t="str">
        <f>IF(N681="","",N681/MAX(N$5:N681)-1)</f>
        <v/>
      </c>
      <c r="Q681" s="13" t="str">
        <f>IF(OR('实盘净值数据(iFinD）'!$A681="",'实盘净值数据(iFinD）'!$B681="",'实盘净值数据(iFinD）'!$Z681="",'实盘净值数据(iFinD）'!$AA681=""),"",分期持仓明细!$AB$25*(SUMPRODUCT(分期持仓明细!$B$25:$Y$25,'实盘净值数据(iFinD）'!$B681:$Y681/'实盘净值数据(iFinD）'!$B$65:$Y$65)+SUMPRODUCT(分期持仓明细!$AC$25:$AD$25,'实盘净值数据(iFinD）'!$Z681:$AA681/'实盘净值数据(iFinD）'!$Z$65:$AA$65))*(1-实盘持仓初始配置!$Z$9)^(('实盘净值数据(iFinD）'!$A681-'实盘净值数据(iFinD）'!$A$8)/365))</f>
        <v/>
      </c>
      <c r="R681" s="16" t="str">
        <f t="shared" si="65"/>
        <v/>
      </c>
      <c r="S681" s="16" t="str">
        <f>IF(Q681="","",Q681/MAX(Q$5:Q681)-1)</f>
        <v/>
      </c>
    </row>
    <row r="682" spans="1:19">
      <c r="A682" s="15" t="str">
        <f>IF('实盘净值数据(iFinD）'!A682="","",'实盘净值数据(iFinD）'!A682)</f>
        <v/>
      </c>
      <c r="B682" s="13" t="str">
        <f>IF(OR('实盘净值数据(iFinD）'!$A682="",'实盘净值数据(iFinD）'!$B682=""),"",分期持仓明细!$AB$17*SUMPRODUCT(分期持仓明细!$B$17:$Y$17,'实盘净值数据(iFinD）'!$B682:$Y682/'实盘净值数据(iFinD）'!$B$20:$Y$20)*(1-实盘持仓初始配置!$Z$4)^(('实盘净值数据(iFinD）'!$A682-'实盘净值数据(iFinD）'!$A$6)/365))</f>
        <v/>
      </c>
      <c r="C682" s="16" t="str">
        <f t="shared" si="60"/>
        <v/>
      </c>
      <c r="D682" s="16" t="str">
        <f>IF(B682="","",B682/MAX(B$5:B682)-1)</f>
        <v/>
      </c>
      <c r="E682" s="13" t="str">
        <f>IF(OR('实盘净值数据(iFinD）'!$A682="",'实盘净值数据(iFinD）'!$B682=""),"",分期持仓明细!$AB$18*SUMPRODUCT(分期持仓明细!$B$18:$Y$18,'实盘净值数据(iFinD）'!$B682:$Y682/'实盘净值数据(iFinD）'!$B$20:$Y$20)*(1-实盘持仓初始配置!$Z$5)^(('实盘净值数据(iFinD）'!$A682-'实盘净值数据(iFinD）'!$A$5)/365))</f>
        <v/>
      </c>
      <c r="F682" s="16" t="str">
        <f t="shared" si="61"/>
        <v/>
      </c>
      <c r="G682" s="16" t="str">
        <f>IF(E682="","",E682/MAX(E$5:E682)-1)</f>
        <v/>
      </c>
      <c r="H682" s="13" t="str">
        <f>IF(OR('实盘净值数据(iFinD）'!$A682="",'实盘净值数据(iFinD）'!$B682=""),"",分期持仓明细!$AB$19*SUMPRODUCT(分期持仓明细!$B$19:$Y$19,'实盘净值数据(iFinD）'!$B682:$Y682/'实盘净值数据(iFinD）'!$B$20:$Y$20)*(1-实盘持仓初始配置!$Z$6)^(('实盘净值数据(iFinD）'!$A682-'实盘净值数据(iFinD）'!$A$7)/365))</f>
        <v/>
      </c>
      <c r="I682" s="16" t="str">
        <f t="shared" si="62"/>
        <v/>
      </c>
      <c r="J682" s="16" t="str">
        <f>IF(H682="","",H682/MAX(H$5:H682)-1)</f>
        <v/>
      </c>
      <c r="K682" s="13" t="str">
        <f>IF(OR('实盘净值数据(iFinD）'!$A682="",'实盘净值数据(iFinD）'!$B682="",'实盘净值数据(iFinD）'!$Z682="",'实盘净值数据(iFinD）'!$AA682=""),"",分期持仓明细!$AB$23*(SUMPRODUCT(分期持仓明细!$B$23:$Y$23,'实盘净值数据(iFinD）'!$B682:$Y682/'实盘净值数据(iFinD）'!$B$65:$Y$65)+SUMPRODUCT(分期持仓明细!$AC$23:$AD$23,'实盘净值数据(iFinD）'!$Z682:$AA682/'实盘净值数据(iFinD）'!$Z$65:$AA$65))*(1-实盘持仓初始配置!$Z$7)^(('实盘净值数据(iFinD）'!$A682-'实盘净值数据(iFinD）'!$A$8)/365))</f>
        <v/>
      </c>
      <c r="L682" s="16" t="str">
        <f t="shared" si="63"/>
        <v/>
      </c>
      <c r="M682" s="16" t="str">
        <f>IF(K682="","",K682/MAX(K$5:K682)-1)</f>
        <v/>
      </c>
      <c r="N682" s="13" t="str">
        <f>IF(OR('实盘净值数据(iFinD）'!$A682="",'实盘净值数据(iFinD）'!$B682="",'实盘净值数据(iFinD）'!$Z682="",'实盘净值数据(iFinD）'!$AA682=""),"",分期持仓明细!$AB$24*(SUMPRODUCT(分期持仓明细!$B$24:$Y$24,'实盘净值数据(iFinD）'!$B682:$Y682/'实盘净值数据(iFinD）'!$B$65:$Y$65)+SUMPRODUCT(分期持仓明细!$AC$24:$AD$24,'实盘净值数据(iFinD）'!$Z682:$AA682/'实盘净值数据(iFinD）'!$Z$65:$AA$65))*(1-实盘持仓初始配置!$Z$8)^(('实盘净值数据(iFinD）'!$A682-'实盘净值数据(iFinD）'!$A$5)/365))</f>
        <v/>
      </c>
      <c r="O682" s="16" t="str">
        <f t="shared" si="64"/>
        <v/>
      </c>
      <c r="P682" s="16" t="str">
        <f>IF(N682="","",N682/MAX(N$5:N682)-1)</f>
        <v/>
      </c>
      <c r="Q682" s="13" t="str">
        <f>IF(OR('实盘净值数据(iFinD）'!$A682="",'实盘净值数据(iFinD）'!$B682="",'实盘净值数据(iFinD）'!$Z682="",'实盘净值数据(iFinD）'!$AA682=""),"",分期持仓明细!$AB$25*(SUMPRODUCT(分期持仓明细!$B$25:$Y$25,'实盘净值数据(iFinD）'!$B682:$Y682/'实盘净值数据(iFinD）'!$B$65:$Y$65)+SUMPRODUCT(分期持仓明细!$AC$25:$AD$25,'实盘净值数据(iFinD）'!$Z682:$AA682/'实盘净值数据(iFinD）'!$Z$65:$AA$65))*(1-实盘持仓初始配置!$Z$9)^(('实盘净值数据(iFinD）'!$A682-'实盘净值数据(iFinD）'!$A$8)/365))</f>
        <v/>
      </c>
      <c r="R682" s="16" t="str">
        <f t="shared" si="65"/>
        <v/>
      </c>
      <c r="S682" s="16" t="str">
        <f>IF(Q682="","",Q682/MAX(Q$5:Q682)-1)</f>
        <v/>
      </c>
    </row>
    <row r="683" spans="1:19">
      <c r="A683" s="15" t="str">
        <f>IF('实盘净值数据(iFinD）'!A683="","",'实盘净值数据(iFinD）'!A683)</f>
        <v/>
      </c>
      <c r="B683" s="13" t="str">
        <f>IF(OR('实盘净值数据(iFinD）'!$A683="",'实盘净值数据(iFinD）'!$B683=""),"",分期持仓明细!$AB$17*SUMPRODUCT(分期持仓明细!$B$17:$Y$17,'实盘净值数据(iFinD）'!$B683:$Y683/'实盘净值数据(iFinD）'!$B$20:$Y$20)*(1-实盘持仓初始配置!$Z$4)^(('实盘净值数据(iFinD）'!$A683-'实盘净值数据(iFinD）'!$A$6)/365))</f>
        <v/>
      </c>
      <c r="C683" s="16" t="str">
        <f t="shared" si="60"/>
        <v/>
      </c>
      <c r="D683" s="16" t="str">
        <f>IF(B683="","",B683/MAX(B$5:B683)-1)</f>
        <v/>
      </c>
      <c r="E683" s="13" t="str">
        <f>IF(OR('实盘净值数据(iFinD）'!$A683="",'实盘净值数据(iFinD）'!$B683=""),"",分期持仓明细!$AB$18*SUMPRODUCT(分期持仓明细!$B$18:$Y$18,'实盘净值数据(iFinD）'!$B683:$Y683/'实盘净值数据(iFinD）'!$B$20:$Y$20)*(1-实盘持仓初始配置!$Z$5)^(('实盘净值数据(iFinD）'!$A683-'实盘净值数据(iFinD）'!$A$5)/365))</f>
        <v/>
      </c>
      <c r="F683" s="16" t="str">
        <f t="shared" si="61"/>
        <v/>
      </c>
      <c r="G683" s="16" t="str">
        <f>IF(E683="","",E683/MAX(E$5:E683)-1)</f>
        <v/>
      </c>
      <c r="H683" s="13" t="str">
        <f>IF(OR('实盘净值数据(iFinD）'!$A683="",'实盘净值数据(iFinD）'!$B683=""),"",分期持仓明细!$AB$19*SUMPRODUCT(分期持仓明细!$B$19:$Y$19,'实盘净值数据(iFinD）'!$B683:$Y683/'实盘净值数据(iFinD）'!$B$20:$Y$20)*(1-实盘持仓初始配置!$Z$6)^(('实盘净值数据(iFinD）'!$A683-'实盘净值数据(iFinD）'!$A$7)/365))</f>
        <v/>
      </c>
      <c r="I683" s="16" t="str">
        <f t="shared" si="62"/>
        <v/>
      </c>
      <c r="J683" s="16" t="str">
        <f>IF(H683="","",H683/MAX(H$5:H683)-1)</f>
        <v/>
      </c>
      <c r="K683" s="13" t="str">
        <f>IF(OR('实盘净值数据(iFinD）'!$A683="",'实盘净值数据(iFinD）'!$B683="",'实盘净值数据(iFinD）'!$Z683="",'实盘净值数据(iFinD）'!$AA683=""),"",分期持仓明细!$AB$23*(SUMPRODUCT(分期持仓明细!$B$23:$Y$23,'实盘净值数据(iFinD）'!$B683:$Y683/'实盘净值数据(iFinD）'!$B$65:$Y$65)+SUMPRODUCT(分期持仓明细!$AC$23:$AD$23,'实盘净值数据(iFinD）'!$Z683:$AA683/'实盘净值数据(iFinD）'!$Z$65:$AA$65))*(1-实盘持仓初始配置!$Z$7)^(('实盘净值数据(iFinD）'!$A683-'实盘净值数据(iFinD）'!$A$8)/365))</f>
        <v/>
      </c>
      <c r="L683" s="16" t="str">
        <f t="shared" si="63"/>
        <v/>
      </c>
      <c r="M683" s="16" t="str">
        <f>IF(K683="","",K683/MAX(K$5:K683)-1)</f>
        <v/>
      </c>
      <c r="N683" s="13" t="str">
        <f>IF(OR('实盘净值数据(iFinD）'!$A683="",'实盘净值数据(iFinD）'!$B683="",'实盘净值数据(iFinD）'!$Z683="",'实盘净值数据(iFinD）'!$AA683=""),"",分期持仓明细!$AB$24*(SUMPRODUCT(分期持仓明细!$B$24:$Y$24,'实盘净值数据(iFinD）'!$B683:$Y683/'实盘净值数据(iFinD）'!$B$65:$Y$65)+SUMPRODUCT(分期持仓明细!$AC$24:$AD$24,'实盘净值数据(iFinD）'!$Z683:$AA683/'实盘净值数据(iFinD）'!$Z$65:$AA$65))*(1-实盘持仓初始配置!$Z$8)^(('实盘净值数据(iFinD）'!$A683-'实盘净值数据(iFinD）'!$A$5)/365))</f>
        <v/>
      </c>
      <c r="O683" s="16" t="str">
        <f t="shared" si="64"/>
        <v/>
      </c>
      <c r="P683" s="16" t="str">
        <f>IF(N683="","",N683/MAX(N$5:N683)-1)</f>
        <v/>
      </c>
      <c r="Q683" s="13" t="str">
        <f>IF(OR('实盘净值数据(iFinD）'!$A683="",'实盘净值数据(iFinD）'!$B683="",'实盘净值数据(iFinD）'!$Z683="",'实盘净值数据(iFinD）'!$AA683=""),"",分期持仓明细!$AB$25*(SUMPRODUCT(分期持仓明细!$B$25:$Y$25,'实盘净值数据(iFinD）'!$B683:$Y683/'实盘净值数据(iFinD）'!$B$65:$Y$65)+SUMPRODUCT(分期持仓明细!$AC$25:$AD$25,'实盘净值数据(iFinD）'!$Z683:$AA683/'实盘净值数据(iFinD）'!$Z$65:$AA$65))*(1-实盘持仓初始配置!$Z$9)^(('实盘净值数据(iFinD）'!$A683-'实盘净值数据(iFinD）'!$A$8)/365))</f>
        <v/>
      </c>
      <c r="R683" s="16" t="str">
        <f t="shared" si="65"/>
        <v/>
      </c>
      <c r="S683" s="16" t="str">
        <f>IF(Q683="","",Q683/MAX(Q$5:Q683)-1)</f>
        <v/>
      </c>
    </row>
    <row r="684" spans="1:19">
      <c r="A684" s="15" t="str">
        <f>IF('实盘净值数据(iFinD）'!A684="","",'实盘净值数据(iFinD）'!A684)</f>
        <v/>
      </c>
      <c r="B684" s="13" t="str">
        <f>IF(OR('实盘净值数据(iFinD）'!$A684="",'实盘净值数据(iFinD）'!$B684=""),"",分期持仓明细!$AB$17*SUMPRODUCT(分期持仓明细!$B$17:$Y$17,'实盘净值数据(iFinD）'!$B684:$Y684/'实盘净值数据(iFinD）'!$B$20:$Y$20)*(1-实盘持仓初始配置!$Z$4)^(('实盘净值数据(iFinD）'!$A684-'实盘净值数据(iFinD）'!$A$6)/365))</f>
        <v/>
      </c>
      <c r="C684" s="16" t="str">
        <f t="shared" si="60"/>
        <v/>
      </c>
      <c r="D684" s="16" t="str">
        <f>IF(B684="","",B684/MAX(B$5:B684)-1)</f>
        <v/>
      </c>
      <c r="E684" s="13" t="str">
        <f>IF(OR('实盘净值数据(iFinD）'!$A684="",'实盘净值数据(iFinD）'!$B684=""),"",分期持仓明细!$AB$18*SUMPRODUCT(分期持仓明细!$B$18:$Y$18,'实盘净值数据(iFinD）'!$B684:$Y684/'实盘净值数据(iFinD）'!$B$20:$Y$20)*(1-实盘持仓初始配置!$Z$5)^(('实盘净值数据(iFinD）'!$A684-'实盘净值数据(iFinD）'!$A$5)/365))</f>
        <v/>
      </c>
      <c r="F684" s="16" t="str">
        <f t="shared" si="61"/>
        <v/>
      </c>
      <c r="G684" s="16" t="str">
        <f>IF(E684="","",E684/MAX(E$5:E684)-1)</f>
        <v/>
      </c>
      <c r="H684" s="13" t="str">
        <f>IF(OR('实盘净值数据(iFinD）'!$A684="",'实盘净值数据(iFinD）'!$B684=""),"",分期持仓明细!$AB$19*SUMPRODUCT(分期持仓明细!$B$19:$Y$19,'实盘净值数据(iFinD）'!$B684:$Y684/'实盘净值数据(iFinD）'!$B$20:$Y$20)*(1-实盘持仓初始配置!$Z$6)^(('实盘净值数据(iFinD）'!$A684-'实盘净值数据(iFinD）'!$A$7)/365))</f>
        <v/>
      </c>
      <c r="I684" s="16" t="str">
        <f t="shared" si="62"/>
        <v/>
      </c>
      <c r="J684" s="16" t="str">
        <f>IF(H684="","",H684/MAX(H$5:H684)-1)</f>
        <v/>
      </c>
      <c r="K684" s="13" t="str">
        <f>IF(OR('实盘净值数据(iFinD）'!$A684="",'实盘净值数据(iFinD）'!$B684="",'实盘净值数据(iFinD）'!$Z684="",'实盘净值数据(iFinD）'!$AA684=""),"",分期持仓明细!$AB$23*(SUMPRODUCT(分期持仓明细!$B$23:$Y$23,'实盘净值数据(iFinD）'!$B684:$Y684/'实盘净值数据(iFinD）'!$B$65:$Y$65)+SUMPRODUCT(分期持仓明细!$AC$23:$AD$23,'实盘净值数据(iFinD）'!$Z684:$AA684/'实盘净值数据(iFinD）'!$Z$65:$AA$65))*(1-实盘持仓初始配置!$Z$7)^(('实盘净值数据(iFinD）'!$A684-'实盘净值数据(iFinD）'!$A$8)/365))</f>
        <v/>
      </c>
      <c r="L684" s="16" t="str">
        <f t="shared" si="63"/>
        <v/>
      </c>
      <c r="M684" s="16" t="str">
        <f>IF(K684="","",K684/MAX(K$5:K684)-1)</f>
        <v/>
      </c>
      <c r="N684" s="13" t="str">
        <f>IF(OR('实盘净值数据(iFinD）'!$A684="",'实盘净值数据(iFinD）'!$B684="",'实盘净值数据(iFinD）'!$Z684="",'实盘净值数据(iFinD）'!$AA684=""),"",分期持仓明细!$AB$24*(SUMPRODUCT(分期持仓明细!$B$24:$Y$24,'实盘净值数据(iFinD）'!$B684:$Y684/'实盘净值数据(iFinD）'!$B$65:$Y$65)+SUMPRODUCT(分期持仓明细!$AC$24:$AD$24,'实盘净值数据(iFinD）'!$Z684:$AA684/'实盘净值数据(iFinD）'!$Z$65:$AA$65))*(1-实盘持仓初始配置!$Z$8)^(('实盘净值数据(iFinD）'!$A684-'实盘净值数据(iFinD）'!$A$5)/365))</f>
        <v/>
      </c>
      <c r="O684" s="16" t="str">
        <f t="shared" si="64"/>
        <v/>
      </c>
      <c r="P684" s="16" t="str">
        <f>IF(N684="","",N684/MAX(N$5:N684)-1)</f>
        <v/>
      </c>
      <c r="Q684" s="13" t="str">
        <f>IF(OR('实盘净值数据(iFinD）'!$A684="",'实盘净值数据(iFinD）'!$B684="",'实盘净值数据(iFinD）'!$Z684="",'实盘净值数据(iFinD）'!$AA684=""),"",分期持仓明细!$AB$25*(SUMPRODUCT(分期持仓明细!$B$25:$Y$25,'实盘净值数据(iFinD）'!$B684:$Y684/'实盘净值数据(iFinD）'!$B$65:$Y$65)+SUMPRODUCT(分期持仓明细!$AC$25:$AD$25,'实盘净值数据(iFinD）'!$Z684:$AA684/'实盘净值数据(iFinD）'!$Z$65:$AA$65))*(1-实盘持仓初始配置!$Z$9)^(('实盘净值数据(iFinD）'!$A684-'实盘净值数据(iFinD）'!$A$8)/365))</f>
        <v/>
      </c>
      <c r="R684" s="16" t="str">
        <f t="shared" si="65"/>
        <v/>
      </c>
      <c r="S684" s="16" t="str">
        <f>IF(Q684="","",Q684/MAX(Q$5:Q684)-1)</f>
        <v/>
      </c>
    </row>
    <row r="685" spans="1:19">
      <c r="A685" s="15" t="str">
        <f>IF('实盘净值数据(iFinD）'!A685="","",'实盘净值数据(iFinD）'!A685)</f>
        <v/>
      </c>
      <c r="B685" s="13" t="str">
        <f>IF(OR('实盘净值数据(iFinD）'!$A685="",'实盘净值数据(iFinD）'!$B685=""),"",分期持仓明细!$AB$17*SUMPRODUCT(分期持仓明细!$B$17:$Y$17,'实盘净值数据(iFinD）'!$B685:$Y685/'实盘净值数据(iFinD）'!$B$20:$Y$20)*(1-实盘持仓初始配置!$Z$4)^(('实盘净值数据(iFinD）'!$A685-'实盘净值数据(iFinD）'!$A$6)/365))</f>
        <v/>
      </c>
      <c r="C685" s="16" t="str">
        <f t="shared" si="60"/>
        <v/>
      </c>
      <c r="D685" s="16" t="str">
        <f>IF(B685="","",B685/MAX(B$5:B685)-1)</f>
        <v/>
      </c>
      <c r="E685" s="13" t="str">
        <f>IF(OR('实盘净值数据(iFinD）'!$A685="",'实盘净值数据(iFinD）'!$B685=""),"",分期持仓明细!$AB$18*SUMPRODUCT(分期持仓明细!$B$18:$Y$18,'实盘净值数据(iFinD）'!$B685:$Y685/'实盘净值数据(iFinD）'!$B$20:$Y$20)*(1-实盘持仓初始配置!$Z$5)^(('实盘净值数据(iFinD）'!$A685-'实盘净值数据(iFinD）'!$A$5)/365))</f>
        <v/>
      </c>
      <c r="F685" s="16" t="str">
        <f t="shared" si="61"/>
        <v/>
      </c>
      <c r="G685" s="16" t="str">
        <f>IF(E685="","",E685/MAX(E$5:E685)-1)</f>
        <v/>
      </c>
      <c r="H685" s="13" t="str">
        <f>IF(OR('实盘净值数据(iFinD）'!$A685="",'实盘净值数据(iFinD）'!$B685=""),"",分期持仓明细!$AB$19*SUMPRODUCT(分期持仓明细!$B$19:$Y$19,'实盘净值数据(iFinD）'!$B685:$Y685/'实盘净值数据(iFinD）'!$B$20:$Y$20)*(1-实盘持仓初始配置!$Z$6)^(('实盘净值数据(iFinD）'!$A685-'实盘净值数据(iFinD）'!$A$7)/365))</f>
        <v/>
      </c>
      <c r="I685" s="16" t="str">
        <f t="shared" si="62"/>
        <v/>
      </c>
      <c r="J685" s="16" t="str">
        <f>IF(H685="","",H685/MAX(H$5:H685)-1)</f>
        <v/>
      </c>
      <c r="K685" s="13" t="str">
        <f>IF(OR('实盘净值数据(iFinD）'!$A685="",'实盘净值数据(iFinD）'!$B685="",'实盘净值数据(iFinD）'!$Z685="",'实盘净值数据(iFinD）'!$AA685=""),"",分期持仓明细!$AB$23*(SUMPRODUCT(分期持仓明细!$B$23:$Y$23,'实盘净值数据(iFinD）'!$B685:$Y685/'实盘净值数据(iFinD）'!$B$65:$Y$65)+SUMPRODUCT(分期持仓明细!$AC$23:$AD$23,'实盘净值数据(iFinD）'!$Z685:$AA685/'实盘净值数据(iFinD）'!$Z$65:$AA$65))*(1-实盘持仓初始配置!$Z$7)^(('实盘净值数据(iFinD）'!$A685-'实盘净值数据(iFinD）'!$A$8)/365))</f>
        <v/>
      </c>
      <c r="L685" s="16" t="str">
        <f t="shared" si="63"/>
        <v/>
      </c>
      <c r="M685" s="16" t="str">
        <f>IF(K685="","",K685/MAX(K$5:K685)-1)</f>
        <v/>
      </c>
      <c r="N685" s="13" t="str">
        <f>IF(OR('实盘净值数据(iFinD）'!$A685="",'实盘净值数据(iFinD）'!$B685="",'实盘净值数据(iFinD）'!$Z685="",'实盘净值数据(iFinD）'!$AA685=""),"",分期持仓明细!$AB$24*(SUMPRODUCT(分期持仓明细!$B$24:$Y$24,'实盘净值数据(iFinD）'!$B685:$Y685/'实盘净值数据(iFinD）'!$B$65:$Y$65)+SUMPRODUCT(分期持仓明细!$AC$24:$AD$24,'实盘净值数据(iFinD）'!$Z685:$AA685/'实盘净值数据(iFinD）'!$Z$65:$AA$65))*(1-实盘持仓初始配置!$Z$8)^(('实盘净值数据(iFinD）'!$A685-'实盘净值数据(iFinD）'!$A$5)/365))</f>
        <v/>
      </c>
      <c r="O685" s="16" t="str">
        <f t="shared" si="64"/>
        <v/>
      </c>
      <c r="P685" s="16" t="str">
        <f>IF(N685="","",N685/MAX(N$5:N685)-1)</f>
        <v/>
      </c>
      <c r="Q685" s="13" t="str">
        <f>IF(OR('实盘净值数据(iFinD）'!$A685="",'实盘净值数据(iFinD）'!$B685="",'实盘净值数据(iFinD）'!$Z685="",'实盘净值数据(iFinD）'!$AA685=""),"",分期持仓明细!$AB$25*(SUMPRODUCT(分期持仓明细!$B$25:$Y$25,'实盘净值数据(iFinD）'!$B685:$Y685/'实盘净值数据(iFinD）'!$B$65:$Y$65)+SUMPRODUCT(分期持仓明细!$AC$25:$AD$25,'实盘净值数据(iFinD）'!$Z685:$AA685/'实盘净值数据(iFinD）'!$Z$65:$AA$65))*(1-实盘持仓初始配置!$Z$9)^(('实盘净值数据(iFinD）'!$A685-'实盘净值数据(iFinD）'!$A$8)/365))</f>
        <v/>
      </c>
      <c r="R685" s="16" t="str">
        <f t="shared" si="65"/>
        <v/>
      </c>
      <c r="S685" s="16" t="str">
        <f>IF(Q685="","",Q685/MAX(Q$5:Q685)-1)</f>
        <v/>
      </c>
    </row>
    <row r="686" spans="1:19">
      <c r="A686" s="15" t="str">
        <f>IF('实盘净值数据(iFinD）'!A686="","",'实盘净值数据(iFinD）'!A686)</f>
        <v/>
      </c>
      <c r="B686" s="13" t="str">
        <f>IF(OR('实盘净值数据(iFinD）'!$A686="",'实盘净值数据(iFinD）'!$B686=""),"",分期持仓明细!$AB$17*SUMPRODUCT(分期持仓明细!$B$17:$Y$17,'实盘净值数据(iFinD）'!$B686:$Y686/'实盘净值数据(iFinD）'!$B$20:$Y$20)*(1-实盘持仓初始配置!$Z$4)^(('实盘净值数据(iFinD）'!$A686-'实盘净值数据(iFinD）'!$A$6)/365))</f>
        <v/>
      </c>
      <c r="C686" s="16" t="str">
        <f t="shared" si="60"/>
        <v/>
      </c>
      <c r="D686" s="16" t="str">
        <f>IF(B686="","",B686/MAX(B$5:B686)-1)</f>
        <v/>
      </c>
      <c r="E686" s="13" t="str">
        <f>IF(OR('实盘净值数据(iFinD）'!$A686="",'实盘净值数据(iFinD）'!$B686=""),"",分期持仓明细!$AB$18*SUMPRODUCT(分期持仓明细!$B$18:$Y$18,'实盘净值数据(iFinD）'!$B686:$Y686/'实盘净值数据(iFinD）'!$B$20:$Y$20)*(1-实盘持仓初始配置!$Z$5)^(('实盘净值数据(iFinD）'!$A686-'实盘净值数据(iFinD）'!$A$5)/365))</f>
        <v/>
      </c>
      <c r="F686" s="16" t="str">
        <f t="shared" si="61"/>
        <v/>
      </c>
      <c r="G686" s="16" t="str">
        <f>IF(E686="","",E686/MAX(E$5:E686)-1)</f>
        <v/>
      </c>
      <c r="H686" s="13" t="str">
        <f>IF(OR('实盘净值数据(iFinD）'!$A686="",'实盘净值数据(iFinD）'!$B686=""),"",分期持仓明细!$AB$19*SUMPRODUCT(分期持仓明细!$B$19:$Y$19,'实盘净值数据(iFinD）'!$B686:$Y686/'实盘净值数据(iFinD）'!$B$20:$Y$20)*(1-实盘持仓初始配置!$Z$6)^(('实盘净值数据(iFinD）'!$A686-'实盘净值数据(iFinD）'!$A$7)/365))</f>
        <v/>
      </c>
      <c r="I686" s="16" t="str">
        <f t="shared" si="62"/>
        <v/>
      </c>
      <c r="J686" s="16" t="str">
        <f>IF(H686="","",H686/MAX(H$5:H686)-1)</f>
        <v/>
      </c>
      <c r="K686" s="13" t="str">
        <f>IF(OR('实盘净值数据(iFinD）'!$A686="",'实盘净值数据(iFinD）'!$B686="",'实盘净值数据(iFinD）'!$Z686="",'实盘净值数据(iFinD）'!$AA686=""),"",分期持仓明细!$AB$23*(SUMPRODUCT(分期持仓明细!$B$23:$Y$23,'实盘净值数据(iFinD）'!$B686:$Y686/'实盘净值数据(iFinD）'!$B$65:$Y$65)+SUMPRODUCT(分期持仓明细!$AC$23:$AD$23,'实盘净值数据(iFinD）'!$Z686:$AA686/'实盘净值数据(iFinD）'!$Z$65:$AA$65))*(1-实盘持仓初始配置!$Z$7)^(('实盘净值数据(iFinD）'!$A686-'实盘净值数据(iFinD）'!$A$8)/365))</f>
        <v/>
      </c>
      <c r="L686" s="16" t="str">
        <f t="shared" si="63"/>
        <v/>
      </c>
      <c r="M686" s="16" t="str">
        <f>IF(K686="","",K686/MAX(K$5:K686)-1)</f>
        <v/>
      </c>
      <c r="N686" s="13" t="str">
        <f>IF(OR('实盘净值数据(iFinD）'!$A686="",'实盘净值数据(iFinD）'!$B686="",'实盘净值数据(iFinD）'!$Z686="",'实盘净值数据(iFinD）'!$AA686=""),"",分期持仓明细!$AB$24*(SUMPRODUCT(分期持仓明细!$B$24:$Y$24,'实盘净值数据(iFinD）'!$B686:$Y686/'实盘净值数据(iFinD）'!$B$65:$Y$65)+SUMPRODUCT(分期持仓明细!$AC$24:$AD$24,'实盘净值数据(iFinD）'!$Z686:$AA686/'实盘净值数据(iFinD）'!$Z$65:$AA$65))*(1-实盘持仓初始配置!$Z$8)^(('实盘净值数据(iFinD）'!$A686-'实盘净值数据(iFinD）'!$A$5)/365))</f>
        <v/>
      </c>
      <c r="O686" s="16" t="str">
        <f t="shared" si="64"/>
        <v/>
      </c>
      <c r="P686" s="16" t="str">
        <f>IF(N686="","",N686/MAX(N$5:N686)-1)</f>
        <v/>
      </c>
      <c r="Q686" s="13" t="str">
        <f>IF(OR('实盘净值数据(iFinD）'!$A686="",'实盘净值数据(iFinD）'!$B686="",'实盘净值数据(iFinD）'!$Z686="",'实盘净值数据(iFinD）'!$AA686=""),"",分期持仓明细!$AB$25*(SUMPRODUCT(分期持仓明细!$B$25:$Y$25,'实盘净值数据(iFinD）'!$B686:$Y686/'实盘净值数据(iFinD）'!$B$65:$Y$65)+SUMPRODUCT(分期持仓明细!$AC$25:$AD$25,'实盘净值数据(iFinD）'!$Z686:$AA686/'实盘净值数据(iFinD）'!$Z$65:$AA$65))*(1-实盘持仓初始配置!$Z$9)^(('实盘净值数据(iFinD）'!$A686-'实盘净值数据(iFinD）'!$A$8)/365))</f>
        <v/>
      </c>
      <c r="R686" s="16" t="str">
        <f t="shared" si="65"/>
        <v/>
      </c>
      <c r="S686" s="16" t="str">
        <f>IF(Q686="","",Q686/MAX(Q$5:Q686)-1)</f>
        <v/>
      </c>
    </row>
    <row r="687" spans="1:19">
      <c r="A687" s="15" t="str">
        <f>IF('实盘净值数据(iFinD）'!A687="","",'实盘净值数据(iFinD）'!A687)</f>
        <v/>
      </c>
      <c r="B687" s="13" t="str">
        <f>IF(OR('实盘净值数据(iFinD）'!$A687="",'实盘净值数据(iFinD）'!$B687=""),"",分期持仓明细!$AB$17*SUMPRODUCT(分期持仓明细!$B$17:$Y$17,'实盘净值数据(iFinD）'!$B687:$Y687/'实盘净值数据(iFinD）'!$B$20:$Y$20)*(1-实盘持仓初始配置!$Z$4)^(('实盘净值数据(iFinD）'!$A687-'实盘净值数据(iFinD）'!$A$6)/365))</f>
        <v/>
      </c>
      <c r="C687" s="16" t="str">
        <f t="shared" si="60"/>
        <v/>
      </c>
      <c r="D687" s="16" t="str">
        <f>IF(B687="","",B687/MAX(B$5:B687)-1)</f>
        <v/>
      </c>
      <c r="E687" s="13" t="str">
        <f>IF(OR('实盘净值数据(iFinD）'!$A687="",'实盘净值数据(iFinD）'!$B687=""),"",分期持仓明细!$AB$18*SUMPRODUCT(分期持仓明细!$B$18:$Y$18,'实盘净值数据(iFinD）'!$B687:$Y687/'实盘净值数据(iFinD）'!$B$20:$Y$20)*(1-实盘持仓初始配置!$Z$5)^(('实盘净值数据(iFinD）'!$A687-'实盘净值数据(iFinD）'!$A$5)/365))</f>
        <v/>
      </c>
      <c r="F687" s="16" t="str">
        <f t="shared" si="61"/>
        <v/>
      </c>
      <c r="G687" s="16" t="str">
        <f>IF(E687="","",E687/MAX(E$5:E687)-1)</f>
        <v/>
      </c>
      <c r="H687" s="13" t="str">
        <f>IF(OR('实盘净值数据(iFinD）'!$A687="",'实盘净值数据(iFinD）'!$B687=""),"",分期持仓明细!$AB$19*SUMPRODUCT(分期持仓明细!$B$19:$Y$19,'实盘净值数据(iFinD）'!$B687:$Y687/'实盘净值数据(iFinD）'!$B$20:$Y$20)*(1-实盘持仓初始配置!$Z$6)^(('实盘净值数据(iFinD）'!$A687-'实盘净值数据(iFinD）'!$A$7)/365))</f>
        <v/>
      </c>
      <c r="I687" s="16" t="str">
        <f t="shared" si="62"/>
        <v/>
      </c>
      <c r="J687" s="16" t="str">
        <f>IF(H687="","",H687/MAX(H$5:H687)-1)</f>
        <v/>
      </c>
      <c r="K687" s="13" t="str">
        <f>IF(OR('实盘净值数据(iFinD）'!$A687="",'实盘净值数据(iFinD）'!$B687="",'实盘净值数据(iFinD）'!$Z687="",'实盘净值数据(iFinD）'!$AA687=""),"",分期持仓明细!$AB$23*(SUMPRODUCT(分期持仓明细!$B$23:$Y$23,'实盘净值数据(iFinD）'!$B687:$Y687/'实盘净值数据(iFinD）'!$B$65:$Y$65)+SUMPRODUCT(分期持仓明细!$AC$23:$AD$23,'实盘净值数据(iFinD）'!$Z687:$AA687/'实盘净值数据(iFinD）'!$Z$65:$AA$65))*(1-实盘持仓初始配置!$Z$7)^(('实盘净值数据(iFinD）'!$A687-'实盘净值数据(iFinD）'!$A$8)/365))</f>
        <v/>
      </c>
      <c r="L687" s="16" t="str">
        <f t="shared" si="63"/>
        <v/>
      </c>
      <c r="M687" s="16" t="str">
        <f>IF(K687="","",K687/MAX(K$5:K687)-1)</f>
        <v/>
      </c>
      <c r="N687" s="13" t="str">
        <f>IF(OR('实盘净值数据(iFinD）'!$A687="",'实盘净值数据(iFinD）'!$B687="",'实盘净值数据(iFinD）'!$Z687="",'实盘净值数据(iFinD）'!$AA687=""),"",分期持仓明细!$AB$24*(SUMPRODUCT(分期持仓明细!$B$24:$Y$24,'实盘净值数据(iFinD）'!$B687:$Y687/'实盘净值数据(iFinD）'!$B$65:$Y$65)+SUMPRODUCT(分期持仓明细!$AC$24:$AD$24,'实盘净值数据(iFinD）'!$Z687:$AA687/'实盘净值数据(iFinD）'!$Z$65:$AA$65))*(1-实盘持仓初始配置!$Z$8)^(('实盘净值数据(iFinD）'!$A687-'实盘净值数据(iFinD）'!$A$5)/365))</f>
        <v/>
      </c>
      <c r="O687" s="16" t="str">
        <f t="shared" si="64"/>
        <v/>
      </c>
      <c r="P687" s="16" t="str">
        <f>IF(N687="","",N687/MAX(N$5:N687)-1)</f>
        <v/>
      </c>
      <c r="Q687" s="13" t="str">
        <f>IF(OR('实盘净值数据(iFinD）'!$A687="",'实盘净值数据(iFinD）'!$B687="",'实盘净值数据(iFinD）'!$Z687="",'实盘净值数据(iFinD）'!$AA687=""),"",分期持仓明细!$AB$25*(SUMPRODUCT(分期持仓明细!$B$25:$Y$25,'实盘净值数据(iFinD）'!$B687:$Y687/'实盘净值数据(iFinD）'!$B$65:$Y$65)+SUMPRODUCT(分期持仓明细!$AC$25:$AD$25,'实盘净值数据(iFinD）'!$Z687:$AA687/'实盘净值数据(iFinD）'!$Z$65:$AA$65))*(1-实盘持仓初始配置!$Z$9)^(('实盘净值数据(iFinD）'!$A687-'实盘净值数据(iFinD）'!$A$8)/365))</f>
        <v/>
      </c>
      <c r="R687" s="16" t="str">
        <f t="shared" si="65"/>
        <v/>
      </c>
      <c r="S687" s="16" t="str">
        <f>IF(Q687="","",Q687/MAX(Q$5:Q687)-1)</f>
        <v/>
      </c>
    </row>
    <row r="688" spans="1:19">
      <c r="A688" s="15" t="str">
        <f>IF('实盘净值数据(iFinD）'!A688="","",'实盘净值数据(iFinD）'!A688)</f>
        <v/>
      </c>
      <c r="B688" s="13" t="str">
        <f>IF(OR('实盘净值数据(iFinD）'!$A688="",'实盘净值数据(iFinD）'!$B688=""),"",分期持仓明细!$AB$17*SUMPRODUCT(分期持仓明细!$B$17:$Y$17,'实盘净值数据(iFinD）'!$B688:$Y688/'实盘净值数据(iFinD）'!$B$20:$Y$20)*(1-实盘持仓初始配置!$Z$4)^(('实盘净值数据(iFinD）'!$A688-'实盘净值数据(iFinD）'!$A$6)/365))</f>
        <v/>
      </c>
      <c r="C688" s="16" t="str">
        <f t="shared" si="60"/>
        <v/>
      </c>
      <c r="D688" s="16" t="str">
        <f>IF(B688="","",B688/MAX(B$5:B688)-1)</f>
        <v/>
      </c>
      <c r="E688" s="13" t="str">
        <f>IF(OR('实盘净值数据(iFinD）'!$A688="",'实盘净值数据(iFinD）'!$B688=""),"",分期持仓明细!$AB$18*SUMPRODUCT(分期持仓明细!$B$18:$Y$18,'实盘净值数据(iFinD）'!$B688:$Y688/'实盘净值数据(iFinD）'!$B$20:$Y$20)*(1-实盘持仓初始配置!$Z$5)^(('实盘净值数据(iFinD）'!$A688-'实盘净值数据(iFinD）'!$A$5)/365))</f>
        <v/>
      </c>
      <c r="F688" s="16" t="str">
        <f t="shared" si="61"/>
        <v/>
      </c>
      <c r="G688" s="16" t="str">
        <f>IF(E688="","",E688/MAX(E$5:E688)-1)</f>
        <v/>
      </c>
      <c r="H688" s="13" t="str">
        <f>IF(OR('实盘净值数据(iFinD）'!$A688="",'实盘净值数据(iFinD）'!$B688=""),"",分期持仓明细!$AB$19*SUMPRODUCT(分期持仓明细!$B$19:$Y$19,'实盘净值数据(iFinD）'!$B688:$Y688/'实盘净值数据(iFinD）'!$B$20:$Y$20)*(1-实盘持仓初始配置!$Z$6)^(('实盘净值数据(iFinD）'!$A688-'实盘净值数据(iFinD）'!$A$7)/365))</f>
        <v/>
      </c>
      <c r="I688" s="16" t="str">
        <f t="shared" si="62"/>
        <v/>
      </c>
      <c r="J688" s="16" t="str">
        <f>IF(H688="","",H688/MAX(H$5:H688)-1)</f>
        <v/>
      </c>
      <c r="K688" s="13" t="str">
        <f>IF(OR('实盘净值数据(iFinD）'!$A688="",'实盘净值数据(iFinD）'!$B688="",'实盘净值数据(iFinD）'!$Z688="",'实盘净值数据(iFinD）'!$AA688=""),"",分期持仓明细!$AB$23*(SUMPRODUCT(分期持仓明细!$B$23:$Y$23,'实盘净值数据(iFinD）'!$B688:$Y688/'实盘净值数据(iFinD）'!$B$65:$Y$65)+SUMPRODUCT(分期持仓明细!$AC$23:$AD$23,'实盘净值数据(iFinD）'!$Z688:$AA688/'实盘净值数据(iFinD）'!$Z$65:$AA$65))*(1-实盘持仓初始配置!$Z$7)^(('实盘净值数据(iFinD）'!$A688-'实盘净值数据(iFinD）'!$A$8)/365))</f>
        <v/>
      </c>
      <c r="L688" s="16" t="str">
        <f t="shared" si="63"/>
        <v/>
      </c>
      <c r="M688" s="16" t="str">
        <f>IF(K688="","",K688/MAX(K$5:K688)-1)</f>
        <v/>
      </c>
      <c r="N688" s="13" t="str">
        <f>IF(OR('实盘净值数据(iFinD）'!$A688="",'实盘净值数据(iFinD）'!$B688="",'实盘净值数据(iFinD）'!$Z688="",'实盘净值数据(iFinD）'!$AA688=""),"",分期持仓明细!$AB$24*(SUMPRODUCT(分期持仓明细!$B$24:$Y$24,'实盘净值数据(iFinD）'!$B688:$Y688/'实盘净值数据(iFinD）'!$B$65:$Y$65)+SUMPRODUCT(分期持仓明细!$AC$24:$AD$24,'实盘净值数据(iFinD）'!$Z688:$AA688/'实盘净值数据(iFinD）'!$Z$65:$AA$65))*(1-实盘持仓初始配置!$Z$8)^(('实盘净值数据(iFinD）'!$A688-'实盘净值数据(iFinD）'!$A$5)/365))</f>
        <v/>
      </c>
      <c r="O688" s="16" t="str">
        <f t="shared" si="64"/>
        <v/>
      </c>
      <c r="P688" s="16" t="str">
        <f>IF(N688="","",N688/MAX(N$5:N688)-1)</f>
        <v/>
      </c>
      <c r="Q688" s="13" t="str">
        <f>IF(OR('实盘净值数据(iFinD）'!$A688="",'实盘净值数据(iFinD）'!$B688="",'实盘净值数据(iFinD）'!$Z688="",'实盘净值数据(iFinD）'!$AA688=""),"",分期持仓明细!$AB$25*(SUMPRODUCT(分期持仓明细!$B$25:$Y$25,'实盘净值数据(iFinD）'!$B688:$Y688/'实盘净值数据(iFinD）'!$B$65:$Y$65)+SUMPRODUCT(分期持仓明细!$AC$25:$AD$25,'实盘净值数据(iFinD）'!$Z688:$AA688/'实盘净值数据(iFinD）'!$Z$65:$AA$65))*(1-实盘持仓初始配置!$Z$9)^(('实盘净值数据(iFinD）'!$A688-'实盘净值数据(iFinD）'!$A$8)/365))</f>
        <v/>
      </c>
      <c r="R688" s="16" t="str">
        <f t="shared" si="65"/>
        <v/>
      </c>
      <c r="S688" s="16" t="str">
        <f>IF(Q688="","",Q688/MAX(Q$5:Q688)-1)</f>
        <v/>
      </c>
    </row>
    <row r="689" spans="1:19">
      <c r="A689" s="15" t="str">
        <f>IF('实盘净值数据(iFinD）'!A689="","",'实盘净值数据(iFinD）'!A689)</f>
        <v/>
      </c>
      <c r="B689" s="13" t="str">
        <f>IF(OR('实盘净值数据(iFinD）'!$A689="",'实盘净值数据(iFinD）'!$B689=""),"",分期持仓明细!$AB$17*SUMPRODUCT(分期持仓明细!$B$17:$Y$17,'实盘净值数据(iFinD）'!$B689:$Y689/'实盘净值数据(iFinD）'!$B$20:$Y$20)*(1-实盘持仓初始配置!$Z$4)^(('实盘净值数据(iFinD）'!$A689-'实盘净值数据(iFinD）'!$A$6)/365))</f>
        <v/>
      </c>
      <c r="C689" s="16" t="str">
        <f t="shared" si="60"/>
        <v/>
      </c>
      <c r="D689" s="16" t="str">
        <f>IF(B689="","",B689/MAX(B$5:B689)-1)</f>
        <v/>
      </c>
      <c r="E689" s="13" t="str">
        <f>IF(OR('实盘净值数据(iFinD）'!$A689="",'实盘净值数据(iFinD）'!$B689=""),"",分期持仓明细!$AB$18*SUMPRODUCT(分期持仓明细!$B$18:$Y$18,'实盘净值数据(iFinD）'!$B689:$Y689/'实盘净值数据(iFinD）'!$B$20:$Y$20)*(1-实盘持仓初始配置!$Z$5)^(('实盘净值数据(iFinD）'!$A689-'实盘净值数据(iFinD）'!$A$5)/365))</f>
        <v/>
      </c>
      <c r="F689" s="16" t="str">
        <f t="shared" si="61"/>
        <v/>
      </c>
      <c r="G689" s="16" t="str">
        <f>IF(E689="","",E689/MAX(E$5:E689)-1)</f>
        <v/>
      </c>
      <c r="H689" s="13" t="str">
        <f>IF(OR('实盘净值数据(iFinD）'!$A689="",'实盘净值数据(iFinD）'!$B689=""),"",分期持仓明细!$AB$19*SUMPRODUCT(分期持仓明细!$B$19:$Y$19,'实盘净值数据(iFinD）'!$B689:$Y689/'实盘净值数据(iFinD）'!$B$20:$Y$20)*(1-实盘持仓初始配置!$Z$6)^(('实盘净值数据(iFinD）'!$A689-'实盘净值数据(iFinD）'!$A$7)/365))</f>
        <v/>
      </c>
      <c r="I689" s="16" t="str">
        <f t="shared" si="62"/>
        <v/>
      </c>
      <c r="J689" s="16" t="str">
        <f>IF(H689="","",H689/MAX(H$5:H689)-1)</f>
        <v/>
      </c>
      <c r="K689" s="13" t="str">
        <f>IF(OR('实盘净值数据(iFinD）'!$A689="",'实盘净值数据(iFinD）'!$B689="",'实盘净值数据(iFinD）'!$Z689="",'实盘净值数据(iFinD）'!$AA689=""),"",分期持仓明细!$AB$23*(SUMPRODUCT(分期持仓明细!$B$23:$Y$23,'实盘净值数据(iFinD）'!$B689:$Y689/'实盘净值数据(iFinD）'!$B$65:$Y$65)+SUMPRODUCT(分期持仓明细!$AC$23:$AD$23,'实盘净值数据(iFinD）'!$Z689:$AA689/'实盘净值数据(iFinD）'!$Z$65:$AA$65))*(1-实盘持仓初始配置!$Z$7)^(('实盘净值数据(iFinD）'!$A689-'实盘净值数据(iFinD）'!$A$8)/365))</f>
        <v/>
      </c>
      <c r="L689" s="16" t="str">
        <f t="shared" si="63"/>
        <v/>
      </c>
      <c r="M689" s="16" t="str">
        <f>IF(K689="","",K689/MAX(K$5:K689)-1)</f>
        <v/>
      </c>
      <c r="N689" s="13" t="str">
        <f>IF(OR('实盘净值数据(iFinD）'!$A689="",'实盘净值数据(iFinD）'!$B689="",'实盘净值数据(iFinD）'!$Z689="",'实盘净值数据(iFinD）'!$AA689=""),"",分期持仓明细!$AB$24*(SUMPRODUCT(分期持仓明细!$B$24:$Y$24,'实盘净值数据(iFinD）'!$B689:$Y689/'实盘净值数据(iFinD）'!$B$65:$Y$65)+SUMPRODUCT(分期持仓明细!$AC$24:$AD$24,'实盘净值数据(iFinD）'!$Z689:$AA689/'实盘净值数据(iFinD）'!$Z$65:$AA$65))*(1-实盘持仓初始配置!$Z$8)^(('实盘净值数据(iFinD）'!$A689-'实盘净值数据(iFinD）'!$A$5)/365))</f>
        <v/>
      </c>
      <c r="O689" s="16" t="str">
        <f t="shared" si="64"/>
        <v/>
      </c>
      <c r="P689" s="16" t="str">
        <f>IF(N689="","",N689/MAX(N$5:N689)-1)</f>
        <v/>
      </c>
      <c r="Q689" s="13" t="str">
        <f>IF(OR('实盘净值数据(iFinD）'!$A689="",'实盘净值数据(iFinD）'!$B689="",'实盘净值数据(iFinD）'!$Z689="",'实盘净值数据(iFinD）'!$AA689=""),"",分期持仓明细!$AB$25*(SUMPRODUCT(分期持仓明细!$B$25:$Y$25,'实盘净值数据(iFinD）'!$B689:$Y689/'实盘净值数据(iFinD）'!$B$65:$Y$65)+SUMPRODUCT(分期持仓明细!$AC$25:$AD$25,'实盘净值数据(iFinD）'!$Z689:$AA689/'实盘净值数据(iFinD）'!$Z$65:$AA$65))*(1-实盘持仓初始配置!$Z$9)^(('实盘净值数据(iFinD）'!$A689-'实盘净值数据(iFinD）'!$A$8)/365))</f>
        <v/>
      </c>
      <c r="R689" s="16" t="str">
        <f t="shared" si="65"/>
        <v/>
      </c>
      <c r="S689" s="16" t="str">
        <f>IF(Q689="","",Q689/MAX(Q$5:Q689)-1)</f>
        <v/>
      </c>
    </row>
    <row r="690" spans="1:19">
      <c r="A690" s="15" t="str">
        <f>IF('实盘净值数据(iFinD）'!A690="","",'实盘净值数据(iFinD）'!A690)</f>
        <v/>
      </c>
      <c r="B690" s="13" t="str">
        <f>IF(OR('实盘净值数据(iFinD）'!$A690="",'实盘净值数据(iFinD）'!$B690=""),"",分期持仓明细!$AB$17*SUMPRODUCT(分期持仓明细!$B$17:$Y$17,'实盘净值数据(iFinD）'!$B690:$Y690/'实盘净值数据(iFinD）'!$B$20:$Y$20)*(1-实盘持仓初始配置!$Z$4)^(('实盘净值数据(iFinD）'!$A690-'实盘净值数据(iFinD）'!$A$6)/365))</f>
        <v/>
      </c>
      <c r="C690" s="16" t="str">
        <f t="shared" si="60"/>
        <v/>
      </c>
      <c r="D690" s="16" t="str">
        <f>IF(B690="","",B690/MAX(B$5:B690)-1)</f>
        <v/>
      </c>
      <c r="E690" s="13" t="str">
        <f>IF(OR('实盘净值数据(iFinD）'!$A690="",'实盘净值数据(iFinD）'!$B690=""),"",分期持仓明细!$AB$18*SUMPRODUCT(分期持仓明细!$B$18:$Y$18,'实盘净值数据(iFinD）'!$B690:$Y690/'实盘净值数据(iFinD）'!$B$20:$Y$20)*(1-实盘持仓初始配置!$Z$5)^(('实盘净值数据(iFinD）'!$A690-'实盘净值数据(iFinD）'!$A$5)/365))</f>
        <v/>
      </c>
      <c r="F690" s="16" t="str">
        <f t="shared" si="61"/>
        <v/>
      </c>
      <c r="G690" s="16" t="str">
        <f>IF(E690="","",E690/MAX(E$5:E690)-1)</f>
        <v/>
      </c>
      <c r="H690" s="13" t="str">
        <f>IF(OR('实盘净值数据(iFinD）'!$A690="",'实盘净值数据(iFinD）'!$B690=""),"",分期持仓明细!$AB$19*SUMPRODUCT(分期持仓明细!$B$19:$Y$19,'实盘净值数据(iFinD）'!$B690:$Y690/'实盘净值数据(iFinD）'!$B$20:$Y$20)*(1-实盘持仓初始配置!$Z$6)^(('实盘净值数据(iFinD）'!$A690-'实盘净值数据(iFinD）'!$A$7)/365))</f>
        <v/>
      </c>
      <c r="I690" s="16" t="str">
        <f t="shared" si="62"/>
        <v/>
      </c>
      <c r="J690" s="16" t="str">
        <f>IF(H690="","",H690/MAX(H$5:H690)-1)</f>
        <v/>
      </c>
      <c r="K690" s="13" t="str">
        <f>IF(OR('实盘净值数据(iFinD）'!$A690="",'实盘净值数据(iFinD）'!$B690="",'实盘净值数据(iFinD）'!$Z690="",'实盘净值数据(iFinD）'!$AA690=""),"",分期持仓明细!$AB$23*(SUMPRODUCT(分期持仓明细!$B$23:$Y$23,'实盘净值数据(iFinD）'!$B690:$Y690/'实盘净值数据(iFinD）'!$B$65:$Y$65)+SUMPRODUCT(分期持仓明细!$AC$23:$AD$23,'实盘净值数据(iFinD）'!$Z690:$AA690/'实盘净值数据(iFinD）'!$Z$65:$AA$65))*(1-实盘持仓初始配置!$Z$7)^(('实盘净值数据(iFinD）'!$A690-'实盘净值数据(iFinD）'!$A$8)/365))</f>
        <v/>
      </c>
      <c r="L690" s="16" t="str">
        <f t="shared" si="63"/>
        <v/>
      </c>
      <c r="M690" s="16" t="str">
        <f>IF(K690="","",K690/MAX(K$5:K690)-1)</f>
        <v/>
      </c>
      <c r="N690" s="13" t="str">
        <f>IF(OR('实盘净值数据(iFinD）'!$A690="",'实盘净值数据(iFinD）'!$B690="",'实盘净值数据(iFinD）'!$Z690="",'实盘净值数据(iFinD）'!$AA690=""),"",分期持仓明细!$AB$24*(SUMPRODUCT(分期持仓明细!$B$24:$Y$24,'实盘净值数据(iFinD）'!$B690:$Y690/'实盘净值数据(iFinD）'!$B$65:$Y$65)+SUMPRODUCT(分期持仓明细!$AC$24:$AD$24,'实盘净值数据(iFinD）'!$Z690:$AA690/'实盘净值数据(iFinD）'!$Z$65:$AA$65))*(1-实盘持仓初始配置!$Z$8)^(('实盘净值数据(iFinD）'!$A690-'实盘净值数据(iFinD）'!$A$5)/365))</f>
        <v/>
      </c>
      <c r="O690" s="16" t="str">
        <f t="shared" si="64"/>
        <v/>
      </c>
      <c r="P690" s="16" t="str">
        <f>IF(N690="","",N690/MAX(N$5:N690)-1)</f>
        <v/>
      </c>
      <c r="Q690" s="13" t="str">
        <f>IF(OR('实盘净值数据(iFinD）'!$A690="",'实盘净值数据(iFinD）'!$B690="",'实盘净值数据(iFinD）'!$Z690="",'实盘净值数据(iFinD）'!$AA690=""),"",分期持仓明细!$AB$25*(SUMPRODUCT(分期持仓明细!$B$25:$Y$25,'实盘净值数据(iFinD）'!$B690:$Y690/'实盘净值数据(iFinD）'!$B$65:$Y$65)+SUMPRODUCT(分期持仓明细!$AC$25:$AD$25,'实盘净值数据(iFinD）'!$Z690:$AA690/'实盘净值数据(iFinD）'!$Z$65:$AA$65))*(1-实盘持仓初始配置!$Z$9)^(('实盘净值数据(iFinD）'!$A690-'实盘净值数据(iFinD）'!$A$8)/365))</f>
        <v/>
      </c>
      <c r="R690" s="16" t="str">
        <f t="shared" si="65"/>
        <v/>
      </c>
      <c r="S690" s="16" t="str">
        <f>IF(Q690="","",Q690/MAX(Q$5:Q690)-1)</f>
        <v/>
      </c>
    </row>
    <row r="691" spans="1:19">
      <c r="A691" s="15" t="str">
        <f>IF('实盘净值数据(iFinD）'!A691="","",'实盘净值数据(iFinD）'!A691)</f>
        <v/>
      </c>
      <c r="B691" s="13" t="str">
        <f>IF(OR('实盘净值数据(iFinD）'!$A691="",'实盘净值数据(iFinD）'!$B691=""),"",分期持仓明细!$AB$17*SUMPRODUCT(分期持仓明细!$B$17:$Y$17,'实盘净值数据(iFinD）'!$B691:$Y691/'实盘净值数据(iFinD）'!$B$20:$Y$20)*(1-实盘持仓初始配置!$Z$4)^(('实盘净值数据(iFinD）'!$A691-'实盘净值数据(iFinD）'!$A$6)/365))</f>
        <v/>
      </c>
      <c r="C691" s="16" t="str">
        <f t="shared" si="60"/>
        <v/>
      </c>
      <c r="D691" s="16" t="str">
        <f>IF(B691="","",B691/MAX(B$5:B691)-1)</f>
        <v/>
      </c>
      <c r="E691" s="13" t="str">
        <f>IF(OR('实盘净值数据(iFinD）'!$A691="",'实盘净值数据(iFinD）'!$B691=""),"",分期持仓明细!$AB$18*SUMPRODUCT(分期持仓明细!$B$18:$Y$18,'实盘净值数据(iFinD）'!$B691:$Y691/'实盘净值数据(iFinD）'!$B$20:$Y$20)*(1-实盘持仓初始配置!$Z$5)^(('实盘净值数据(iFinD）'!$A691-'实盘净值数据(iFinD）'!$A$5)/365))</f>
        <v/>
      </c>
      <c r="F691" s="16" t="str">
        <f t="shared" si="61"/>
        <v/>
      </c>
      <c r="G691" s="16" t="str">
        <f>IF(E691="","",E691/MAX(E$5:E691)-1)</f>
        <v/>
      </c>
      <c r="H691" s="13" t="str">
        <f>IF(OR('实盘净值数据(iFinD）'!$A691="",'实盘净值数据(iFinD）'!$B691=""),"",分期持仓明细!$AB$19*SUMPRODUCT(分期持仓明细!$B$19:$Y$19,'实盘净值数据(iFinD）'!$B691:$Y691/'实盘净值数据(iFinD）'!$B$20:$Y$20)*(1-实盘持仓初始配置!$Z$6)^(('实盘净值数据(iFinD）'!$A691-'实盘净值数据(iFinD）'!$A$7)/365))</f>
        <v/>
      </c>
      <c r="I691" s="16" t="str">
        <f t="shared" si="62"/>
        <v/>
      </c>
      <c r="J691" s="16" t="str">
        <f>IF(H691="","",H691/MAX(H$5:H691)-1)</f>
        <v/>
      </c>
      <c r="K691" s="13" t="str">
        <f>IF(OR('实盘净值数据(iFinD）'!$A691="",'实盘净值数据(iFinD）'!$B691="",'实盘净值数据(iFinD）'!$Z691="",'实盘净值数据(iFinD）'!$AA691=""),"",分期持仓明细!$AB$23*(SUMPRODUCT(分期持仓明细!$B$23:$Y$23,'实盘净值数据(iFinD）'!$B691:$Y691/'实盘净值数据(iFinD）'!$B$65:$Y$65)+SUMPRODUCT(分期持仓明细!$AC$23:$AD$23,'实盘净值数据(iFinD）'!$Z691:$AA691/'实盘净值数据(iFinD）'!$Z$65:$AA$65))*(1-实盘持仓初始配置!$Z$7)^(('实盘净值数据(iFinD）'!$A691-'实盘净值数据(iFinD）'!$A$8)/365))</f>
        <v/>
      </c>
      <c r="L691" s="16" t="str">
        <f t="shared" si="63"/>
        <v/>
      </c>
      <c r="M691" s="16" t="str">
        <f>IF(K691="","",K691/MAX(K$5:K691)-1)</f>
        <v/>
      </c>
      <c r="N691" s="13" t="str">
        <f>IF(OR('实盘净值数据(iFinD）'!$A691="",'实盘净值数据(iFinD）'!$B691="",'实盘净值数据(iFinD）'!$Z691="",'实盘净值数据(iFinD）'!$AA691=""),"",分期持仓明细!$AB$24*(SUMPRODUCT(分期持仓明细!$B$24:$Y$24,'实盘净值数据(iFinD）'!$B691:$Y691/'实盘净值数据(iFinD）'!$B$65:$Y$65)+SUMPRODUCT(分期持仓明细!$AC$24:$AD$24,'实盘净值数据(iFinD）'!$Z691:$AA691/'实盘净值数据(iFinD）'!$Z$65:$AA$65))*(1-实盘持仓初始配置!$Z$8)^(('实盘净值数据(iFinD）'!$A691-'实盘净值数据(iFinD）'!$A$5)/365))</f>
        <v/>
      </c>
      <c r="O691" s="16" t="str">
        <f t="shared" si="64"/>
        <v/>
      </c>
      <c r="P691" s="16" t="str">
        <f>IF(N691="","",N691/MAX(N$5:N691)-1)</f>
        <v/>
      </c>
      <c r="Q691" s="13" t="str">
        <f>IF(OR('实盘净值数据(iFinD）'!$A691="",'实盘净值数据(iFinD）'!$B691="",'实盘净值数据(iFinD）'!$Z691="",'实盘净值数据(iFinD）'!$AA691=""),"",分期持仓明细!$AB$25*(SUMPRODUCT(分期持仓明细!$B$25:$Y$25,'实盘净值数据(iFinD）'!$B691:$Y691/'实盘净值数据(iFinD）'!$B$65:$Y$65)+SUMPRODUCT(分期持仓明细!$AC$25:$AD$25,'实盘净值数据(iFinD）'!$Z691:$AA691/'实盘净值数据(iFinD）'!$Z$65:$AA$65))*(1-实盘持仓初始配置!$Z$9)^(('实盘净值数据(iFinD）'!$A691-'实盘净值数据(iFinD）'!$A$8)/365))</f>
        <v/>
      </c>
      <c r="R691" s="16" t="str">
        <f t="shared" si="65"/>
        <v/>
      </c>
      <c r="S691" s="16" t="str">
        <f>IF(Q691="","",Q691/MAX(Q$5:Q691)-1)</f>
        <v/>
      </c>
    </row>
    <row r="692" spans="1:19">
      <c r="A692" s="15" t="str">
        <f>IF('实盘净值数据(iFinD）'!A692="","",'实盘净值数据(iFinD）'!A692)</f>
        <v/>
      </c>
      <c r="B692" s="13" t="str">
        <f>IF(OR('实盘净值数据(iFinD）'!$A692="",'实盘净值数据(iFinD）'!$B692=""),"",分期持仓明细!$AB$17*SUMPRODUCT(分期持仓明细!$B$17:$Y$17,'实盘净值数据(iFinD）'!$B692:$Y692/'实盘净值数据(iFinD）'!$B$20:$Y$20)*(1-实盘持仓初始配置!$Z$4)^(('实盘净值数据(iFinD）'!$A692-'实盘净值数据(iFinD）'!$A$6)/365))</f>
        <v/>
      </c>
      <c r="C692" s="16" t="str">
        <f t="shared" si="60"/>
        <v/>
      </c>
      <c r="D692" s="16" t="str">
        <f>IF(B692="","",B692/MAX(B$5:B692)-1)</f>
        <v/>
      </c>
      <c r="E692" s="13" t="str">
        <f>IF(OR('实盘净值数据(iFinD）'!$A692="",'实盘净值数据(iFinD）'!$B692=""),"",分期持仓明细!$AB$18*SUMPRODUCT(分期持仓明细!$B$18:$Y$18,'实盘净值数据(iFinD）'!$B692:$Y692/'实盘净值数据(iFinD）'!$B$20:$Y$20)*(1-实盘持仓初始配置!$Z$5)^(('实盘净值数据(iFinD）'!$A692-'实盘净值数据(iFinD）'!$A$5)/365))</f>
        <v/>
      </c>
      <c r="F692" s="16" t="str">
        <f t="shared" si="61"/>
        <v/>
      </c>
      <c r="G692" s="16" t="str">
        <f>IF(E692="","",E692/MAX(E$5:E692)-1)</f>
        <v/>
      </c>
      <c r="H692" s="13" t="str">
        <f>IF(OR('实盘净值数据(iFinD）'!$A692="",'实盘净值数据(iFinD）'!$B692=""),"",分期持仓明细!$AB$19*SUMPRODUCT(分期持仓明细!$B$19:$Y$19,'实盘净值数据(iFinD）'!$B692:$Y692/'实盘净值数据(iFinD）'!$B$20:$Y$20)*(1-实盘持仓初始配置!$Z$6)^(('实盘净值数据(iFinD）'!$A692-'实盘净值数据(iFinD）'!$A$7)/365))</f>
        <v/>
      </c>
      <c r="I692" s="16" t="str">
        <f t="shared" si="62"/>
        <v/>
      </c>
      <c r="J692" s="16" t="str">
        <f>IF(H692="","",H692/MAX(H$5:H692)-1)</f>
        <v/>
      </c>
      <c r="K692" s="13" t="str">
        <f>IF(OR('实盘净值数据(iFinD）'!$A692="",'实盘净值数据(iFinD）'!$B692="",'实盘净值数据(iFinD）'!$Z692="",'实盘净值数据(iFinD）'!$AA692=""),"",分期持仓明细!$AB$23*(SUMPRODUCT(分期持仓明细!$B$23:$Y$23,'实盘净值数据(iFinD）'!$B692:$Y692/'实盘净值数据(iFinD）'!$B$65:$Y$65)+SUMPRODUCT(分期持仓明细!$AC$23:$AD$23,'实盘净值数据(iFinD）'!$Z692:$AA692/'实盘净值数据(iFinD）'!$Z$65:$AA$65))*(1-实盘持仓初始配置!$Z$7)^(('实盘净值数据(iFinD）'!$A692-'实盘净值数据(iFinD）'!$A$8)/365))</f>
        <v/>
      </c>
      <c r="L692" s="16" t="str">
        <f t="shared" si="63"/>
        <v/>
      </c>
      <c r="M692" s="16" t="str">
        <f>IF(K692="","",K692/MAX(K$5:K692)-1)</f>
        <v/>
      </c>
      <c r="N692" s="13" t="str">
        <f>IF(OR('实盘净值数据(iFinD）'!$A692="",'实盘净值数据(iFinD）'!$B692="",'实盘净值数据(iFinD）'!$Z692="",'实盘净值数据(iFinD）'!$AA692=""),"",分期持仓明细!$AB$24*(SUMPRODUCT(分期持仓明细!$B$24:$Y$24,'实盘净值数据(iFinD）'!$B692:$Y692/'实盘净值数据(iFinD）'!$B$65:$Y$65)+SUMPRODUCT(分期持仓明细!$AC$24:$AD$24,'实盘净值数据(iFinD）'!$Z692:$AA692/'实盘净值数据(iFinD）'!$Z$65:$AA$65))*(1-实盘持仓初始配置!$Z$8)^(('实盘净值数据(iFinD）'!$A692-'实盘净值数据(iFinD）'!$A$5)/365))</f>
        <v/>
      </c>
      <c r="O692" s="16" t="str">
        <f t="shared" si="64"/>
        <v/>
      </c>
      <c r="P692" s="16" t="str">
        <f>IF(N692="","",N692/MAX(N$5:N692)-1)</f>
        <v/>
      </c>
      <c r="Q692" s="13" t="str">
        <f>IF(OR('实盘净值数据(iFinD）'!$A692="",'实盘净值数据(iFinD）'!$B692="",'实盘净值数据(iFinD）'!$Z692="",'实盘净值数据(iFinD）'!$AA692=""),"",分期持仓明细!$AB$25*(SUMPRODUCT(分期持仓明细!$B$25:$Y$25,'实盘净值数据(iFinD）'!$B692:$Y692/'实盘净值数据(iFinD）'!$B$65:$Y$65)+SUMPRODUCT(分期持仓明细!$AC$25:$AD$25,'实盘净值数据(iFinD）'!$Z692:$AA692/'实盘净值数据(iFinD）'!$Z$65:$AA$65))*(1-实盘持仓初始配置!$Z$9)^(('实盘净值数据(iFinD）'!$A692-'实盘净值数据(iFinD）'!$A$8)/365))</f>
        <v/>
      </c>
      <c r="R692" s="16" t="str">
        <f t="shared" si="65"/>
        <v/>
      </c>
      <c r="S692" s="16" t="str">
        <f>IF(Q692="","",Q692/MAX(Q$5:Q692)-1)</f>
        <v/>
      </c>
    </row>
    <row r="693" spans="1:19">
      <c r="A693" s="15" t="str">
        <f>IF('实盘净值数据(iFinD）'!A693="","",'实盘净值数据(iFinD）'!A693)</f>
        <v/>
      </c>
      <c r="B693" s="13" t="str">
        <f>IF(OR('实盘净值数据(iFinD）'!$A693="",'实盘净值数据(iFinD）'!$B693=""),"",分期持仓明细!$AB$17*SUMPRODUCT(分期持仓明细!$B$17:$Y$17,'实盘净值数据(iFinD）'!$B693:$Y693/'实盘净值数据(iFinD）'!$B$20:$Y$20)*(1-实盘持仓初始配置!$Z$4)^(('实盘净值数据(iFinD）'!$A693-'实盘净值数据(iFinD）'!$A$6)/365))</f>
        <v/>
      </c>
      <c r="C693" s="16" t="str">
        <f t="shared" si="60"/>
        <v/>
      </c>
      <c r="D693" s="16" t="str">
        <f>IF(B693="","",B693/MAX(B$5:B693)-1)</f>
        <v/>
      </c>
      <c r="E693" s="13" t="str">
        <f>IF(OR('实盘净值数据(iFinD）'!$A693="",'实盘净值数据(iFinD）'!$B693=""),"",分期持仓明细!$AB$18*SUMPRODUCT(分期持仓明细!$B$18:$Y$18,'实盘净值数据(iFinD）'!$B693:$Y693/'实盘净值数据(iFinD）'!$B$20:$Y$20)*(1-实盘持仓初始配置!$Z$5)^(('实盘净值数据(iFinD）'!$A693-'实盘净值数据(iFinD）'!$A$5)/365))</f>
        <v/>
      </c>
      <c r="F693" s="16" t="str">
        <f t="shared" si="61"/>
        <v/>
      </c>
      <c r="G693" s="16" t="str">
        <f>IF(E693="","",E693/MAX(E$5:E693)-1)</f>
        <v/>
      </c>
      <c r="H693" s="13" t="str">
        <f>IF(OR('实盘净值数据(iFinD）'!$A693="",'实盘净值数据(iFinD）'!$B693=""),"",分期持仓明细!$AB$19*SUMPRODUCT(分期持仓明细!$B$19:$Y$19,'实盘净值数据(iFinD）'!$B693:$Y693/'实盘净值数据(iFinD）'!$B$20:$Y$20)*(1-实盘持仓初始配置!$Z$6)^(('实盘净值数据(iFinD）'!$A693-'实盘净值数据(iFinD）'!$A$7)/365))</f>
        <v/>
      </c>
      <c r="I693" s="16" t="str">
        <f t="shared" si="62"/>
        <v/>
      </c>
      <c r="J693" s="16" t="str">
        <f>IF(H693="","",H693/MAX(H$5:H693)-1)</f>
        <v/>
      </c>
      <c r="K693" s="13" t="str">
        <f>IF(OR('实盘净值数据(iFinD）'!$A693="",'实盘净值数据(iFinD）'!$B693="",'实盘净值数据(iFinD）'!$Z693="",'实盘净值数据(iFinD）'!$AA693=""),"",分期持仓明细!$AB$23*(SUMPRODUCT(分期持仓明细!$B$23:$Y$23,'实盘净值数据(iFinD）'!$B693:$Y693/'实盘净值数据(iFinD）'!$B$65:$Y$65)+SUMPRODUCT(分期持仓明细!$AC$23:$AD$23,'实盘净值数据(iFinD）'!$Z693:$AA693/'实盘净值数据(iFinD）'!$Z$65:$AA$65))*(1-实盘持仓初始配置!$Z$7)^(('实盘净值数据(iFinD）'!$A693-'实盘净值数据(iFinD）'!$A$8)/365))</f>
        <v/>
      </c>
      <c r="L693" s="16" t="str">
        <f t="shared" si="63"/>
        <v/>
      </c>
      <c r="M693" s="16" t="str">
        <f>IF(K693="","",K693/MAX(K$5:K693)-1)</f>
        <v/>
      </c>
      <c r="N693" s="13" t="str">
        <f>IF(OR('实盘净值数据(iFinD）'!$A693="",'实盘净值数据(iFinD）'!$B693="",'实盘净值数据(iFinD）'!$Z693="",'实盘净值数据(iFinD）'!$AA693=""),"",分期持仓明细!$AB$24*(SUMPRODUCT(分期持仓明细!$B$24:$Y$24,'实盘净值数据(iFinD）'!$B693:$Y693/'实盘净值数据(iFinD）'!$B$65:$Y$65)+SUMPRODUCT(分期持仓明细!$AC$24:$AD$24,'实盘净值数据(iFinD）'!$Z693:$AA693/'实盘净值数据(iFinD）'!$Z$65:$AA$65))*(1-实盘持仓初始配置!$Z$8)^(('实盘净值数据(iFinD）'!$A693-'实盘净值数据(iFinD）'!$A$5)/365))</f>
        <v/>
      </c>
      <c r="O693" s="16" t="str">
        <f t="shared" si="64"/>
        <v/>
      </c>
      <c r="P693" s="16" t="str">
        <f>IF(N693="","",N693/MAX(N$5:N693)-1)</f>
        <v/>
      </c>
      <c r="Q693" s="13" t="str">
        <f>IF(OR('实盘净值数据(iFinD）'!$A693="",'实盘净值数据(iFinD）'!$B693="",'实盘净值数据(iFinD）'!$Z693="",'实盘净值数据(iFinD）'!$AA693=""),"",分期持仓明细!$AB$25*(SUMPRODUCT(分期持仓明细!$B$25:$Y$25,'实盘净值数据(iFinD）'!$B693:$Y693/'实盘净值数据(iFinD）'!$B$65:$Y$65)+SUMPRODUCT(分期持仓明细!$AC$25:$AD$25,'实盘净值数据(iFinD）'!$Z693:$AA693/'实盘净值数据(iFinD）'!$Z$65:$AA$65))*(1-实盘持仓初始配置!$Z$9)^(('实盘净值数据(iFinD）'!$A693-'实盘净值数据(iFinD）'!$A$8)/365))</f>
        <v/>
      </c>
      <c r="R693" s="16" t="str">
        <f t="shared" si="65"/>
        <v/>
      </c>
      <c r="S693" s="16" t="str">
        <f>IF(Q693="","",Q693/MAX(Q$5:Q693)-1)</f>
        <v/>
      </c>
    </row>
    <row r="694" spans="1:19">
      <c r="A694" s="15" t="str">
        <f>IF('实盘净值数据(iFinD）'!A694="","",'实盘净值数据(iFinD）'!A694)</f>
        <v/>
      </c>
      <c r="B694" s="13" t="str">
        <f>IF(OR('实盘净值数据(iFinD）'!$A694="",'实盘净值数据(iFinD）'!$B694=""),"",分期持仓明细!$AB$17*SUMPRODUCT(分期持仓明细!$B$17:$Y$17,'实盘净值数据(iFinD）'!$B694:$Y694/'实盘净值数据(iFinD）'!$B$20:$Y$20)*(1-实盘持仓初始配置!$Z$4)^(('实盘净值数据(iFinD）'!$A694-'实盘净值数据(iFinD）'!$A$6)/365))</f>
        <v/>
      </c>
      <c r="C694" s="16" t="str">
        <f t="shared" si="60"/>
        <v/>
      </c>
      <c r="D694" s="16" t="str">
        <f>IF(B694="","",B694/MAX(B$5:B694)-1)</f>
        <v/>
      </c>
      <c r="E694" s="13" t="str">
        <f>IF(OR('实盘净值数据(iFinD）'!$A694="",'实盘净值数据(iFinD）'!$B694=""),"",分期持仓明细!$AB$18*SUMPRODUCT(分期持仓明细!$B$18:$Y$18,'实盘净值数据(iFinD）'!$B694:$Y694/'实盘净值数据(iFinD）'!$B$20:$Y$20)*(1-实盘持仓初始配置!$Z$5)^(('实盘净值数据(iFinD）'!$A694-'实盘净值数据(iFinD）'!$A$5)/365))</f>
        <v/>
      </c>
      <c r="F694" s="16" t="str">
        <f t="shared" si="61"/>
        <v/>
      </c>
      <c r="G694" s="16" t="str">
        <f>IF(E694="","",E694/MAX(E$5:E694)-1)</f>
        <v/>
      </c>
      <c r="H694" s="13" t="str">
        <f>IF(OR('实盘净值数据(iFinD）'!$A694="",'实盘净值数据(iFinD）'!$B694=""),"",分期持仓明细!$AB$19*SUMPRODUCT(分期持仓明细!$B$19:$Y$19,'实盘净值数据(iFinD）'!$B694:$Y694/'实盘净值数据(iFinD）'!$B$20:$Y$20)*(1-实盘持仓初始配置!$Z$6)^(('实盘净值数据(iFinD）'!$A694-'实盘净值数据(iFinD）'!$A$7)/365))</f>
        <v/>
      </c>
      <c r="I694" s="16" t="str">
        <f t="shared" si="62"/>
        <v/>
      </c>
      <c r="J694" s="16" t="str">
        <f>IF(H694="","",H694/MAX(H$5:H694)-1)</f>
        <v/>
      </c>
      <c r="K694" s="13" t="str">
        <f>IF(OR('实盘净值数据(iFinD）'!$A694="",'实盘净值数据(iFinD）'!$B694="",'实盘净值数据(iFinD）'!$Z694="",'实盘净值数据(iFinD）'!$AA694=""),"",分期持仓明细!$AB$23*(SUMPRODUCT(分期持仓明细!$B$23:$Y$23,'实盘净值数据(iFinD）'!$B694:$Y694/'实盘净值数据(iFinD）'!$B$65:$Y$65)+SUMPRODUCT(分期持仓明细!$AC$23:$AD$23,'实盘净值数据(iFinD）'!$Z694:$AA694/'实盘净值数据(iFinD）'!$Z$65:$AA$65))*(1-实盘持仓初始配置!$Z$7)^(('实盘净值数据(iFinD）'!$A694-'实盘净值数据(iFinD）'!$A$8)/365))</f>
        <v/>
      </c>
      <c r="L694" s="16" t="str">
        <f t="shared" si="63"/>
        <v/>
      </c>
      <c r="M694" s="16" t="str">
        <f>IF(K694="","",K694/MAX(K$5:K694)-1)</f>
        <v/>
      </c>
      <c r="N694" s="13" t="str">
        <f>IF(OR('实盘净值数据(iFinD）'!$A694="",'实盘净值数据(iFinD）'!$B694="",'实盘净值数据(iFinD）'!$Z694="",'实盘净值数据(iFinD）'!$AA694=""),"",分期持仓明细!$AB$24*(SUMPRODUCT(分期持仓明细!$B$24:$Y$24,'实盘净值数据(iFinD）'!$B694:$Y694/'实盘净值数据(iFinD）'!$B$65:$Y$65)+SUMPRODUCT(分期持仓明细!$AC$24:$AD$24,'实盘净值数据(iFinD）'!$Z694:$AA694/'实盘净值数据(iFinD）'!$Z$65:$AA$65))*(1-实盘持仓初始配置!$Z$8)^(('实盘净值数据(iFinD）'!$A694-'实盘净值数据(iFinD）'!$A$5)/365))</f>
        <v/>
      </c>
      <c r="O694" s="16" t="str">
        <f t="shared" si="64"/>
        <v/>
      </c>
      <c r="P694" s="16" t="str">
        <f>IF(N694="","",N694/MAX(N$5:N694)-1)</f>
        <v/>
      </c>
      <c r="Q694" s="13" t="str">
        <f>IF(OR('实盘净值数据(iFinD）'!$A694="",'实盘净值数据(iFinD）'!$B694="",'实盘净值数据(iFinD）'!$Z694="",'实盘净值数据(iFinD）'!$AA694=""),"",分期持仓明细!$AB$25*(SUMPRODUCT(分期持仓明细!$B$25:$Y$25,'实盘净值数据(iFinD）'!$B694:$Y694/'实盘净值数据(iFinD）'!$B$65:$Y$65)+SUMPRODUCT(分期持仓明细!$AC$25:$AD$25,'实盘净值数据(iFinD）'!$Z694:$AA694/'实盘净值数据(iFinD）'!$Z$65:$AA$65))*(1-实盘持仓初始配置!$Z$9)^(('实盘净值数据(iFinD）'!$A694-'实盘净值数据(iFinD）'!$A$8)/365))</f>
        <v/>
      </c>
      <c r="R694" s="16" t="str">
        <f t="shared" si="65"/>
        <v/>
      </c>
      <c r="S694" s="16" t="str">
        <f>IF(Q694="","",Q694/MAX(Q$5:Q694)-1)</f>
        <v/>
      </c>
    </row>
    <row r="695" spans="1:19">
      <c r="A695" s="15" t="str">
        <f>IF('实盘净值数据(iFinD）'!A695="","",'实盘净值数据(iFinD）'!A695)</f>
        <v/>
      </c>
      <c r="B695" s="13" t="str">
        <f>IF(OR('实盘净值数据(iFinD）'!$A695="",'实盘净值数据(iFinD）'!$B695=""),"",分期持仓明细!$AB$17*SUMPRODUCT(分期持仓明细!$B$17:$Y$17,'实盘净值数据(iFinD）'!$B695:$Y695/'实盘净值数据(iFinD）'!$B$20:$Y$20)*(1-实盘持仓初始配置!$Z$4)^(('实盘净值数据(iFinD）'!$A695-'实盘净值数据(iFinD）'!$A$6)/365))</f>
        <v/>
      </c>
      <c r="C695" s="16" t="str">
        <f t="shared" si="60"/>
        <v/>
      </c>
      <c r="D695" s="16" t="str">
        <f>IF(B695="","",B695/MAX(B$5:B695)-1)</f>
        <v/>
      </c>
      <c r="E695" s="13" t="str">
        <f>IF(OR('实盘净值数据(iFinD）'!$A695="",'实盘净值数据(iFinD）'!$B695=""),"",分期持仓明细!$AB$18*SUMPRODUCT(分期持仓明细!$B$18:$Y$18,'实盘净值数据(iFinD）'!$B695:$Y695/'实盘净值数据(iFinD）'!$B$20:$Y$20)*(1-实盘持仓初始配置!$Z$5)^(('实盘净值数据(iFinD）'!$A695-'实盘净值数据(iFinD）'!$A$5)/365))</f>
        <v/>
      </c>
      <c r="F695" s="16" t="str">
        <f t="shared" si="61"/>
        <v/>
      </c>
      <c r="G695" s="16" t="str">
        <f>IF(E695="","",E695/MAX(E$5:E695)-1)</f>
        <v/>
      </c>
      <c r="H695" s="13" t="str">
        <f>IF(OR('实盘净值数据(iFinD）'!$A695="",'实盘净值数据(iFinD）'!$B695=""),"",分期持仓明细!$AB$19*SUMPRODUCT(分期持仓明细!$B$19:$Y$19,'实盘净值数据(iFinD）'!$B695:$Y695/'实盘净值数据(iFinD）'!$B$20:$Y$20)*(1-实盘持仓初始配置!$Z$6)^(('实盘净值数据(iFinD）'!$A695-'实盘净值数据(iFinD）'!$A$7)/365))</f>
        <v/>
      </c>
      <c r="I695" s="16" t="str">
        <f t="shared" si="62"/>
        <v/>
      </c>
      <c r="J695" s="16" t="str">
        <f>IF(H695="","",H695/MAX(H$5:H695)-1)</f>
        <v/>
      </c>
      <c r="K695" s="13" t="str">
        <f>IF(OR('实盘净值数据(iFinD）'!$A695="",'实盘净值数据(iFinD）'!$B695="",'实盘净值数据(iFinD）'!$Z695="",'实盘净值数据(iFinD）'!$AA695=""),"",分期持仓明细!$AB$23*(SUMPRODUCT(分期持仓明细!$B$23:$Y$23,'实盘净值数据(iFinD）'!$B695:$Y695/'实盘净值数据(iFinD）'!$B$65:$Y$65)+SUMPRODUCT(分期持仓明细!$AC$23:$AD$23,'实盘净值数据(iFinD）'!$Z695:$AA695/'实盘净值数据(iFinD）'!$Z$65:$AA$65))*(1-实盘持仓初始配置!$Z$7)^(('实盘净值数据(iFinD）'!$A695-'实盘净值数据(iFinD）'!$A$8)/365))</f>
        <v/>
      </c>
      <c r="L695" s="16" t="str">
        <f t="shared" si="63"/>
        <v/>
      </c>
      <c r="M695" s="16" t="str">
        <f>IF(K695="","",K695/MAX(K$5:K695)-1)</f>
        <v/>
      </c>
      <c r="N695" s="13" t="str">
        <f>IF(OR('实盘净值数据(iFinD）'!$A695="",'实盘净值数据(iFinD）'!$B695="",'实盘净值数据(iFinD）'!$Z695="",'实盘净值数据(iFinD）'!$AA695=""),"",分期持仓明细!$AB$24*(SUMPRODUCT(分期持仓明细!$B$24:$Y$24,'实盘净值数据(iFinD）'!$B695:$Y695/'实盘净值数据(iFinD）'!$B$65:$Y$65)+SUMPRODUCT(分期持仓明细!$AC$24:$AD$24,'实盘净值数据(iFinD）'!$Z695:$AA695/'实盘净值数据(iFinD）'!$Z$65:$AA$65))*(1-实盘持仓初始配置!$Z$8)^(('实盘净值数据(iFinD）'!$A695-'实盘净值数据(iFinD）'!$A$5)/365))</f>
        <v/>
      </c>
      <c r="O695" s="16" t="str">
        <f t="shared" si="64"/>
        <v/>
      </c>
      <c r="P695" s="16" t="str">
        <f>IF(N695="","",N695/MAX(N$5:N695)-1)</f>
        <v/>
      </c>
      <c r="Q695" s="13" t="str">
        <f>IF(OR('实盘净值数据(iFinD）'!$A695="",'实盘净值数据(iFinD）'!$B695="",'实盘净值数据(iFinD）'!$Z695="",'实盘净值数据(iFinD）'!$AA695=""),"",分期持仓明细!$AB$25*(SUMPRODUCT(分期持仓明细!$B$25:$Y$25,'实盘净值数据(iFinD）'!$B695:$Y695/'实盘净值数据(iFinD）'!$B$65:$Y$65)+SUMPRODUCT(分期持仓明细!$AC$25:$AD$25,'实盘净值数据(iFinD）'!$Z695:$AA695/'实盘净值数据(iFinD）'!$Z$65:$AA$65))*(1-实盘持仓初始配置!$Z$9)^(('实盘净值数据(iFinD）'!$A695-'实盘净值数据(iFinD）'!$A$8)/365))</f>
        <v/>
      </c>
      <c r="R695" s="16" t="str">
        <f t="shared" si="65"/>
        <v/>
      </c>
      <c r="S695" s="16" t="str">
        <f>IF(Q695="","",Q695/MAX(Q$5:Q695)-1)</f>
        <v/>
      </c>
    </row>
    <row r="696" spans="1:19">
      <c r="A696" s="15" t="str">
        <f>IF('实盘净值数据(iFinD）'!A696="","",'实盘净值数据(iFinD）'!A696)</f>
        <v/>
      </c>
      <c r="B696" s="13" t="str">
        <f>IF(OR('实盘净值数据(iFinD）'!$A696="",'实盘净值数据(iFinD）'!$B696=""),"",分期持仓明细!$AB$17*SUMPRODUCT(分期持仓明细!$B$17:$Y$17,'实盘净值数据(iFinD）'!$B696:$Y696/'实盘净值数据(iFinD）'!$B$20:$Y$20)*(1-实盘持仓初始配置!$Z$4)^(('实盘净值数据(iFinD）'!$A696-'实盘净值数据(iFinD）'!$A$6)/365))</f>
        <v/>
      </c>
      <c r="C696" s="16" t="str">
        <f t="shared" si="60"/>
        <v/>
      </c>
      <c r="D696" s="16" t="str">
        <f>IF(B696="","",B696/MAX(B$5:B696)-1)</f>
        <v/>
      </c>
      <c r="E696" s="13" t="str">
        <f>IF(OR('实盘净值数据(iFinD）'!$A696="",'实盘净值数据(iFinD）'!$B696=""),"",分期持仓明细!$AB$18*SUMPRODUCT(分期持仓明细!$B$18:$Y$18,'实盘净值数据(iFinD）'!$B696:$Y696/'实盘净值数据(iFinD）'!$B$20:$Y$20)*(1-实盘持仓初始配置!$Z$5)^(('实盘净值数据(iFinD）'!$A696-'实盘净值数据(iFinD）'!$A$5)/365))</f>
        <v/>
      </c>
      <c r="F696" s="16" t="str">
        <f t="shared" si="61"/>
        <v/>
      </c>
      <c r="G696" s="16" t="str">
        <f>IF(E696="","",E696/MAX(E$5:E696)-1)</f>
        <v/>
      </c>
      <c r="H696" s="13" t="str">
        <f>IF(OR('实盘净值数据(iFinD）'!$A696="",'实盘净值数据(iFinD）'!$B696=""),"",分期持仓明细!$AB$19*SUMPRODUCT(分期持仓明细!$B$19:$Y$19,'实盘净值数据(iFinD）'!$B696:$Y696/'实盘净值数据(iFinD）'!$B$20:$Y$20)*(1-实盘持仓初始配置!$Z$6)^(('实盘净值数据(iFinD）'!$A696-'实盘净值数据(iFinD）'!$A$7)/365))</f>
        <v/>
      </c>
      <c r="I696" s="16" t="str">
        <f t="shared" si="62"/>
        <v/>
      </c>
      <c r="J696" s="16" t="str">
        <f>IF(H696="","",H696/MAX(H$5:H696)-1)</f>
        <v/>
      </c>
      <c r="K696" s="13" t="str">
        <f>IF(OR('实盘净值数据(iFinD）'!$A696="",'实盘净值数据(iFinD）'!$B696="",'实盘净值数据(iFinD）'!$Z696="",'实盘净值数据(iFinD）'!$AA696=""),"",分期持仓明细!$AB$23*(SUMPRODUCT(分期持仓明细!$B$23:$Y$23,'实盘净值数据(iFinD）'!$B696:$Y696/'实盘净值数据(iFinD）'!$B$65:$Y$65)+SUMPRODUCT(分期持仓明细!$AC$23:$AD$23,'实盘净值数据(iFinD）'!$Z696:$AA696/'实盘净值数据(iFinD）'!$Z$65:$AA$65))*(1-实盘持仓初始配置!$Z$7)^(('实盘净值数据(iFinD）'!$A696-'实盘净值数据(iFinD）'!$A$8)/365))</f>
        <v/>
      </c>
      <c r="L696" s="16" t="str">
        <f t="shared" si="63"/>
        <v/>
      </c>
      <c r="M696" s="16" t="str">
        <f>IF(K696="","",K696/MAX(K$5:K696)-1)</f>
        <v/>
      </c>
      <c r="N696" s="13" t="str">
        <f>IF(OR('实盘净值数据(iFinD）'!$A696="",'实盘净值数据(iFinD）'!$B696="",'实盘净值数据(iFinD）'!$Z696="",'实盘净值数据(iFinD）'!$AA696=""),"",分期持仓明细!$AB$24*(SUMPRODUCT(分期持仓明细!$B$24:$Y$24,'实盘净值数据(iFinD）'!$B696:$Y696/'实盘净值数据(iFinD）'!$B$65:$Y$65)+SUMPRODUCT(分期持仓明细!$AC$24:$AD$24,'实盘净值数据(iFinD）'!$Z696:$AA696/'实盘净值数据(iFinD）'!$Z$65:$AA$65))*(1-实盘持仓初始配置!$Z$8)^(('实盘净值数据(iFinD）'!$A696-'实盘净值数据(iFinD）'!$A$5)/365))</f>
        <v/>
      </c>
      <c r="O696" s="16" t="str">
        <f t="shared" si="64"/>
        <v/>
      </c>
      <c r="P696" s="16" t="str">
        <f>IF(N696="","",N696/MAX(N$5:N696)-1)</f>
        <v/>
      </c>
      <c r="Q696" s="13" t="str">
        <f>IF(OR('实盘净值数据(iFinD）'!$A696="",'实盘净值数据(iFinD）'!$B696="",'实盘净值数据(iFinD）'!$Z696="",'实盘净值数据(iFinD）'!$AA696=""),"",分期持仓明细!$AB$25*(SUMPRODUCT(分期持仓明细!$B$25:$Y$25,'实盘净值数据(iFinD）'!$B696:$Y696/'实盘净值数据(iFinD）'!$B$65:$Y$65)+SUMPRODUCT(分期持仓明细!$AC$25:$AD$25,'实盘净值数据(iFinD）'!$Z696:$AA696/'实盘净值数据(iFinD）'!$Z$65:$AA$65))*(1-实盘持仓初始配置!$Z$9)^(('实盘净值数据(iFinD）'!$A696-'实盘净值数据(iFinD）'!$A$8)/365))</f>
        <v/>
      </c>
      <c r="R696" s="16" t="str">
        <f t="shared" si="65"/>
        <v/>
      </c>
      <c r="S696" s="16" t="str">
        <f>IF(Q696="","",Q696/MAX(Q$5:Q696)-1)</f>
        <v/>
      </c>
    </row>
    <row r="697" spans="1:19">
      <c r="A697" s="15" t="str">
        <f>IF('实盘净值数据(iFinD）'!A697="","",'实盘净值数据(iFinD）'!A697)</f>
        <v/>
      </c>
      <c r="B697" s="13" t="str">
        <f>IF(OR('实盘净值数据(iFinD）'!$A697="",'实盘净值数据(iFinD）'!$B697=""),"",分期持仓明细!$AB$17*SUMPRODUCT(分期持仓明细!$B$17:$Y$17,'实盘净值数据(iFinD）'!$B697:$Y697/'实盘净值数据(iFinD）'!$B$20:$Y$20)*(1-实盘持仓初始配置!$Z$4)^(('实盘净值数据(iFinD）'!$A697-'实盘净值数据(iFinD）'!$A$6)/365))</f>
        <v/>
      </c>
      <c r="C697" s="16" t="str">
        <f t="shared" si="60"/>
        <v/>
      </c>
      <c r="D697" s="16" t="str">
        <f>IF(B697="","",B697/MAX(B$5:B697)-1)</f>
        <v/>
      </c>
      <c r="E697" s="13" t="str">
        <f>IF(OR('实盘净值数据(iFinD）'!$A697="",'实盘净值数据(iFinD）'!$B697=""),"",分期持仓明细!$AB$18*SUMPRODUCT(分期持仓明细!$B$18:$Y$18,'实盘净值数据(iFinD）'!$B697:$Y697/'实盘净值数据(iFinD）'!$B$20:$Y$20)*(1-实盘持仓初始配置!$Z$5)^(('实盘净值数据(iFinD）'!$A697-'实盘净值数据(iFinD）'!$A$5)/365))</f>
        <v/>
      </c>
      <c r="F697" s="16" t="str">
        <f t="shared" si="61"/>
        <v/>
      </c>
      <c r="G697" s="16" t="str">
        <f>IF(E697="","",E697/MAX(E$5:E697)-1)</f>
        <v/>
      </c>
      <c r="H697" s="13" t="str">
        <f>IF(OR('实盘净值数据(iFinD）'!$A697="",'实盘净值数据(iFinD）'!$B697=""),"",分期持仓明细!$AB$19*SUMPRODUCT(分期持仓明细!$B$19:$Y$19,'实盘净值数据(iFinD）'!$B697:$Y697/'实盘净值数据(iFinD）'!$B$20:$Y$20)*(1-实盘持仓初始配置!$Z$6)^(('实盘净值数据(iFinD）'!$A697-'实盘净值数据(iFinD）'!$A$7)/365))</f>
        <v/>
      </c>
      <c r="I697" s="16" t="str">
        <f t="shared" si="62"/>
        <v/>
      </c>
      <c r="J697" s="16" t="str">
        <f>IF(H697="","",H697/MAX(H$5:H697)-1)</f>
        <v/>
      </c>
      <c r="K697" s="13" t="str">
        <f>IF(OR('实盘净值数据(iFinD）'!$A697="",'实盘净值数据(iFinD）'!$B697="",'实盘净值数据(iFinD）'!$Z697="",'实盘净值数据(iFinD）'!$AA697=""),"",分期持仓明细!$AB$23*(SUMPRODUCT(分期持仓明细!$B$23:$Y$23,'实盘净值数据(iFinD）'!$B697:$Y697/'实盘净值数据(iFinD）'!$B$65:$Y$65)+SUMPRODUCT(分期持仓明细!$AC$23:$AD$23,'实盘净值数据(iFinD）'!$Z697:$AA697/'实盘净值数据(iFinD）'!$Z$65:$AA$65))*(1-实盘持仓初始配置!$Z$7)^(('实盘净值数据(iFinD）'!$A697-'实盘净值数据(iFinD）'!$A$8)/365))</f>
        <v/>
      </c>
      <c r="L697" s="16" t="str">
        <f t="shared" si="63"/>
        <v/>
      </c>
      <c r="M697" s="16" t="str">
        <f>IF(K697="","",K697/MAX(K$5:K697)-1)</f>
        <v/>
      </c>
      <c r="N697" s="13" t="str">
        <f>IF(OR('实盘净值数据(iFinD）'!$A697="",'实盘净值数据(iFinD）'!$B697="",'实盘净值数据(iFinD）'!$Z697="",'实盘净值数据(iFinD）'!$AA697=""),"",分期持仓明细!$AB$24*(SUMPRODUCT(分期持仓明细!$B$24:$Y$24,'实盘净值数据(iFinD）'!$B697:$Y697/'实盘净值数据(iFinD）'!$B$65:$Y$65)+SUMPRODUCT(分期持仓明细!$AC$24:$AD$24,'实盘净值数据(iFinD）'!$Z697:$AA697/'实盘净值数据(iFinD）'!$Z$65:$AA$65))*(1-实盘持仓初始配置!$Z$8)^(('实盘净值数据(iFinD）'!$A697-'实盘净值数据(iFinD）'!$A$5)/365))</f>
        <v/>
      </c>
      <c r="O697" s="16" t="str">
        <f t="shared" si="64"/>
        <v/>
      </c>
      <c r="P697" s="16" t="str">
        <f>IF(N697="","",N697/MAX(N$5:N697)-1)</f>
        <v/>
      </c>
      <c r="Q697" s="13" t="str">
        <f>IF(OR('实盘净值数据(iFinD）'!$A697="",'实盘净值数据(iFinD）'!$B697="",'实盘净值数据(iFinD）'!$Z697="",'实盘净值数据(iFinD）'!$AA697=""),"",分期持仓明细!$AB$25*(SUMPRODUCT(分期持仓明细!$B$25:$Y$25,'实盘净值数据(iFinD）'!$B697:$Y697/'实盘净值数据(iFinD）'!$B$65:$Y$65)+SUMPRODUCT(分期持仓明细!$AC$25:$AD$25,'实盘净值数据(iFinD）'!$Z697:$AA697/'实盘净值数据(iFinD）'!$Z$65:$AA$65))*(1-实盘持仓初始配置!$Z$9)^(('实盘净值数据(iFinD）'!$A697-'实盘净值数据(iFinD）'!$A$8)/365))</f>
        <v/>
      </c>
      <c r="R697" s="16" t="str">
        <f t="shared" si="65"/>
        <v/>
      </c>
      <c r="S697" s="16" t="str">
        <f>IF(Q697="","",Q697/MAX(Q$5:Q697)-1)</f>
        <v/>
      </c>
    </row>
    <row r="698" spans="1:19">
      <c r="A698" s="15" t="str">
        <f>IF('实盘净值数据(iFinD）'!A698="","",'实盘净值数据(iFinD）'!A698)</f>
        <v/>
      </c>
      <c r="B698" s="13" t="str">
        <f>IF(OR('实盘净值数据(iFinD）'!$A698="",'实盘净值数据(iFinD）'!$B698=""),"",分期持仓明细!$AB$17*SUMPRODUCT(分期持仓明细!$B$17:$Y$17,'实盘净值数据(iFinD）'!$B698:$Y698/'实盘净值数据(iFinD）'!$B$20:$Y$20)*(1-实盘持仓初始配置!$Z$4)^(('实盘净值数据(iFinD）'!$A698-'实盘净值数据(iFinD）'!$A$6)/365))</f>
        <v/>
      </c>
      <c r="C698" s="16" t="str">
        <f t="shared" si="60"/>
        <v/>
      </c>
      <c r="D698" s="16" t="str">
        <f>IF(B698="","",B698/MAX(B$5:B698)-1)</f>
        <v/>
      </c>
      <c r="E698" s="13" t="str">
        <f>IF(OR('实盘净值数据(iFinD）'!$A698="",'实盘净值数据(iFinD）'!$B698=""),"",分期持仓明细!$AB$18*SUMPRODUCT(分期持仓明细!$B$18:$Y$18,'实盘净值数据(iFinD）'!$B698:$Y698/'实盘净值数据(iFinD）'!$B$20:$Y$20)*(1-实盘持仓初始配置!$Z$5)^(('实盘净值数据(iFinD）'!$A698-'实盘净值数据(iFinD）'!$A$5)/365))</f>
        <v/>
      </c>
      <c r="F698" s="16" t="str">
        <f t="shared" si="61"/>
        <v/>
      </c>
      <c r="G698" s="16" t="str">
        <f>IF(E698="","",E698/MAX(E$5:E698)-1)</f>
        <v/>
      </c>
      <c r="H698" s="13" t="str">
        <f>IF(OR('实盘净值数据(iFinD）'!$A698="",'实盘净值数据(iFinD）'!$B698=""),"",分期持仓明细!$AB$19*SUMPRODUCT(分期持仓明细!$B$19:$Y$19,'实盘净值数据(iFinD）'!$B698:$Y698/'实盘净值数据(iFinD）'!$B$20:$Y$20)*(1-实盘持仓初始配置!$Z$6)^(('实盘净值数据(iFinD）'!$A698-'实盘净值数据(iFinD）'!$A$7)/365))</f>
        <v/>
      </c>
      <c r="I698" s="16" t="str">
        <f t="shared" si="62"/>
        <v/>
      </c>
      <c r="J698" s="16" t="str">
        <f>IF(H698="","",H698/MAX(H$5:H698)-1)</f>
        <v/>
      </c>
      <c r="K698" s="13" t="str">
        <f>IF(OR('实盘净值数据(iFinD）'!$A698="",'实盘净值数据(iFinD）'!$B698="",'实盘净值数据(iFinD）'!$Z698="",'实盘净值数据(iFinD）'!$AA698=""),"",分期持仓明细!$AB$23*(SUMPRODUCT(分期持仓明细!$B$23:$Y$23,'实盘净值数据(iFinD）'!$B698:$Y698/'实盘净值数据(iFinD）'!$B$65:$Y$65)+SUMPRODUCT(分期持仓明细!$AC$23:$AD$23,'实盘净值数据(iFinD）'!$Z698:$AA698/'实盘净值数据(iFinD）'!$Z$65:$AA$65))*(1-实盘持仓初始配置!$Z$7)^(('实盘净值数据(iFinD）'!$A698-'实盘净值数据(iFinD）'!$A$8)/365))</f>
        <v/>
      </c>
      <c r="L698" s="16" t="str">
        <f t="shared" si="63"/>
        <v/>
      </c>
      <c r="M698" s="16" t="str">
        <f>IF(K698="","",K698/MAX(K$5:K698)-1)</f>
        <v/>
      </c>
      <c r="N698" s="13" t="str">
        <f>IF(OR('实盘净值数据(iFinD）'!$A698="",'实盘净值数据(iFinD）'!$B698="",'实盘净值数据(iFinD）'!$Z698="",'实盘净值数据(iFinD）'!$AA698=""),"",分期持仓明细!$AB$24*(SUMPRODUCT(分期持仓明细!$B$24:$Y$24,'实盘净值数据(iFinD）'!$B698:$Y698/'实盘净值数据(iFinD）'!$B$65:$Y$65)+SUMPRODUCT(分期持仓明细!$AC$24:$AD$24,'实盘净值数据(iFinD）'!$Z698:$AA698/'实盘净值数据(iFinD）'!$Z$65:$AA$65))*(1-实盘持仓初始配置!$Z$8)^(('实盘净值数据(iFinD）'!$A698-'实盘净值数据(iFinD）'!$A$5)/365))</f>
        <v/>
      </c>
      <c r="O698" s="16" t="str">
        <f t="shared" si="64"/>
        <v/>
      </c>
      <c r="P698" s="16" t="str">
        <f>IF(N698="","",N698/MAX(N$5:N698)-1)</f>
        <v/>
      </c>
      <c r="Q698" s="13" t="str">
        <f>IF(OR('实盘净值数据(iFinD）'!$A698="",'实盘净值数据(iFinD）'!$B698="",'实盘净值数据(iFinD）'!$Z698="",'实盘净值数据(iFinD）'!$AA698=""),"",分期持仓明细!$AB$25*(SUMPRODUCT(分期持仓明细!$B$25:$Y$25,'实盘净值数据(iFinD）'!$B698:$Y698/'实盘净值数据(iFinD）'!$B$65:$Y$65)+SUMPRODUCT(分期持仓明细!$AC$25:$AD$25,'实盘净值数据(iFinD）'!$Z698:$AA698/'实盘净值数据(iFinD）'!$Z$65:$AA$65))*(1-实盘持仓初始配置!$Z$9)^(('实盘净值数据(iFinD）'!$A698-'实盘净值数据(iFinD）'!$A$8)/365))</f>
        <v/>
      </c>
      <c r="R698" s="16" t="str">
        <f t="shared" si="65"/>
        <v/>
      </c>
      <c r="S698" s="16" t="str">
        <f>IF(Q698="","",Q698/MAX(Q$5:Q698)-1)</f>
        <v/>
      </c>
    </row>
    <row r="699" spans="1:19">
      <c r="A699" s="15" t="str">
        <f>IF('实盘净值数据(iFinD）'!A699="","",'实盘净值数据(iFinD）'!A699)</f>
        <v/>
      </c>
      <c r="B699" s="13" t="str">
        <f>IF(OR('实盘净值数据(iFinD）'!$A699="",'实盘净值数据(iFinD）'!$B699=""),"",分期持仓明细!$AB$17*SUMPRODUCT(分期持仓明细!$B$17:$Y$17,'实盘净值数据(iFinD）'!$B699:$Y699/'实盘净值数据(iFinD）'!$B$20:$Y$20)*(1-实盘持仓初始配置!$Z$4)^(('实盘净值数据(iFinD）'!$A699-'实盘净值数据(iFinD）'!$A$6)/365))</f>
        <v/>
      </c>
      <c r="C699" s="16" t="str">
        <f t="shared" si="60"/>
        <v/>
      </c>
      <c r="D699" s="16" t="str">
        <f>IF(B699="","",B699/MAX(B$5:B699)-1)</f>
        <v/>
      </c>
      <c r="E699" s="13" t="str">
        <f>IF(OR('实盘净值数据(iFinD）'!$A699="",'实盘净值数据(iFinD）'!$B699=""),"",分期持仓明细!$AB$18*SUMPRODUCT(分期持仓明细!$B$18:$Y$18,'实盘净值数据(iFinD）'!$B699:$Y699/'实盘净值数据(iFinD）'!$B$20:$Y$20)*(1-实盘持仓初始配置!$Z$5)^(('实盘净值数据(iFinD）'!$A699-'实盘净值数据(iFinD）'!$A$5)/365))</f>
        <v/>
      </c>
      <c r="F699" s="16" t="str">
        <f t="shared" si="61"/>
        <v/>
      </c>
      <c r="G699" s="16" t="str">
        <f>IF(E699="","",E699/MAX(E$5:E699)-1)</f>
        <v/>
      </c>
      <c r="H699" s="13" t="str">
        <f>IF(OR('实盘净值数据(iFinD）'!$A699="",'实盘净值数据(iFinD）'!$B699=""),"",分期持仓明细!$AB$19*SUMPRODUCT(分期持仓明细!$B$19:$Y$19,'实盘净值数据(iFinD）'!$B699:$Y699/'实盘净值数据(iFinD）'!$B$20:$Y$20)*(1-实盘持仓初始配置!$Z$6)^(('实盘净值数据(iFinD）'!$A699-'实盘净值数据(iFinD）'!$A$7)/365))</f>
        <v/>
      </c>
      <c r="I699" s="16" t="str">
        <f t="shared" si="62"/>
        <v/>
      </c>
      <c r="J699" s="16" t="str">
        <f>IF(H699="","",H699/MAX(H$5:H699)-1)</f>
        <v/>
      </c>
      <c r="K699" s="13" t="str">
        <f>IF(OR('实盘净值数据(iFinD）'!$A699="",'实盘净值数据(iFinD）'!$B699="",'实盘净值数据(iFinD）'!$Z699="",'实盘净值数据(iFinD）'!$AA699=""),"",分期持仓明细!$AB$23*(SUMPRODUCT(分期持仓明细!$B$23:$Y$23,'实盘净值数据(iFinD）'!$B699:$Y699/'实盘净值数据(iFinD）'!$B$65:$Y$65)+SUMPRODUCT(分期持仓明细!$AC$23:$AD$23,'实盘净值数据(iFinD）'!$Z699:$AA699/'实盘净值数据(iFinD）'!$Z$65:$AA$65))*(1-实盘持仓初始配置!$Z$7)^(('实盘净值数据(iFinD）'!$A699-'实盘净值数据(iFinD）'!$A$8)/365))</f>
        <v/>
      </c>
      <c r="L699" s="16" t="str">
        <f t="shared" si="63"/>
        <v/>
      </c>
      <c r="M699" s="16" t="str">
        <f>IF(K699="","",K699/MAX(K$5:K699)-1)</f>
        <v/>
      </c>
      <c r="N699" s="13" t="str">
        <f>IF(OR('实盘净值数据(iFinD）'!$A699="",'实盘净值数据(iFinD）'!$B699="",'实盘净值数据(iFinD）'!$Z699="",'实盘净值数据(iFinD）'!$AA699=""),"",分期持仓明细!$AB$24*(SUMPRODUCT(分期持仓明细!$B$24:$Y$24,'实盘净值数据(iFinD）'!$B699:$Y699/'实盘净值数据(iFinD）'!$B$65:$Y$65)+SUMPRODUCT(分期持仓明细!$AC$24:$AD$24,'实盘净值数据(iFinD）'!$Z699:$AA699/'实盘净值数据(iFinD）'!$Z$65:$AA$65))*(1-实盘持仓初始配置!$Z$8)^(('实盘净值数据(iFinD）'!$A699-'实盘净值数据(iFinD）'!$A$5)/365))</f>
        <v/>
      </c>
      <c r="O699" s="16" t="str">
        <f t="shared" si="64"/>
        <v/>
      </c>
      <c r="P699" s="16" t="str">
        <f>IF(N699="","",N699/MAX(N$5:N699)-1)</f>
        <v/>
      </c>
      <c r="Q699" s="13" t="str">
        <f>IF(OR('实盘净值数据(iFinD）'!$A699="",'实盘净值数据(iFinD）'!$B699="",'实盘净值数据(iFinD）'!$Z699="",'实盘净值数据(iFinD）'!$AA699=""),"",分期持仓明细!$AB$25*(SUMPRODUCT(分期持仓明细!$B$25:$Y$25,'实盘净值数据(iFinD）'!$B699:$Y699/'实盘净值数据(iFinD）'!$B$65:$Y$65)+SUMPRODUCT(分期持仓明细!$AC$25:$AD$25,'实盘净值数据(iFinD）'!$Z699:$AA699/'实盘净值数据(iFinD）'!$Z$65:$AA$65))*(1-实盘持仓初始配置!$Z$9)^(('实盘净值数据(iFinD）'!$A699-'实盘净值数据(iFinD）'!$A$8)/365))</f>
        <v/>
      </c>
      <c r="R699" s="16" t="str">
        <f t="shared" si="65"/>
        <v/>
      </c>
      <c r="S699" s="16" t="str">
        <f>IF(Q699="","",Q699/MAX(Q$5:Q699)-1)</f>
        <v/>
      </c>
    </row>
    <row r="700" spans="1:19">
      <c r="A700" s="15" t="str">
        <f>IF('实盘净值数据(iFinD）'!A700="","",'实盘净值数据(iFinD）'!A700)</f>
        <v/>
      </c>
      <c r="B700" s="13" t="str">
        <f>IF(OR('实盘净值数据(iFinD）'!$A700="",'实盘净值数据(iFinD）'!$B700=""),"",分期持仓明细!$AB$17*SUMPRODUCT(分期持仓明细!$B$17:$Y$17,'实盘净值数据(iFinD）'!$B700:$Y700/'实盘净值数据(iFinD）'!$B$20:$Y$20)*(1-实盘持仓初始配置!$Z$4)^(('实盘净值数据(iFinD）'!$A700-'实盘净值数据(iFinD）'!$A$6)/365))</f>
        <v/>
      </c>
      <c r="C700" s="16" t="str">
        <f t="shared" ref="C700:C763" si="66">IF(OR(B699="",B700=""),"",B700/B699-1)</f>
        <v/>
      </c>
      <c r="D700" s="16" t="str">
        <f>IF(B700="","",B700/MAX(B$5:B700)-1)</f>
        <v/>
      </c>
      <c r="E700" s="13" t="str">
        <f>IF(OR('实盘净值数据(iFinD）'!$A700="",'实盘净值数据(iFinD）'!$B700=""),"",分期持仓明细!$AB$18*SUMPRODUCT(分期持仓明细!$B$18:$Y$18,'实盘净值数据(iFinD）'!$B700:$Y700/'实盘净值数据(iFinD）'!$B$20:$Y$20)*(1-实盘持仓初始配置!$Z$5)^(('实盘净值数据(iFinD）'!$A700-'实盘净值数据(iFinD）'!$A$5)/365))</f>
        <v/>
      </c>
      <c r="F700" s="16" t="str">
        <f t="shared" ref="F700:F763" si="67">IF(OR(E699="",E700=""),"",E700/E699-1)</f>
        <v/>
      </c>
      <c r="G700" s="16" t="str">
        <f>IF(E700="","",E700/MAX(E$5:E700)-1)</f>
        <v/>
      </c>
      <c r="H700" s="13" t="str">
        <f>IF(OR('实盘净值数据(iFinD）'!$A700="",'实盘净值数据(iFinD）'!$B700=""),"",分期持仓明细!$AB$19*SUMPRODUCT(分期持仓明细!$B$19:$Y$19,'实盘净值数据(iFinD）'!$B700:$Y700/'实盘净值数据(iFinD）'!$B$20:$Y$20)*(1-实盘持仓初始配置!$Z$6)^(('实盘净值数据(iFinD）'!$A700-'实盘净值数据(iFinD）'!$A$7)/365))</f>
        <v/>
      </c>
      <c r="I700" s="16" t="str">
        <f t="shared" ref="I700:I763" si="68">IF(OR(H699="",H700=""),"",H700/H699-1)</f>
        <v/>
      </c>
      <c r="J700" s="16" t="str">
        <f>IF(H700="","",H700/MAX(H$5:H700)-1)</f>
        <v/>
      </c>
      <c r="K700" s="13" t="str">
        <f>IF(OR('实盘净值数据(iFinD）'!$A700="",'实盘净值数据(iFinD）'!$B700="",'实盘净值数据(iFinD）'!$Z700="",'实盘净值数据(iFinD）'!$AA700=""),"",分期持仓明细!$AB$23*(SUMPRODUCT(分期持仓明细!$B$23:$Y$23,'实盘净值数据(iFinD）'!$B700:$Y700/'实盘净值数据(iFinD）'!$B$65:$Y$65)+SUMPRODUCT(分期持仓明细!$AC$23:$AD$23,'实盘净值数据(iFinD）'!$Z700:$AA700/'实盘净值数据(iFinD）'!$Z$65:$AA$65))*(1-实盘持仓初始配置!$Z$7)^(('实盘净值数据(iFinD）'!$A700-'实盘净值数据(iFinD）'!$A$8)/365))</f>
        <v/>
      </c>
      <c r="L700" s="16" t="str">
        <f t="shared" ref="L700:L763" si="69">IF(OR(K699="",K700=""),"",K700/K699-1)</f>
        <v/>
      </c>
      <c r="M700" s="16" t="str">
        <f>IF(K700="","",K700/MAX(K$5:K700)-1)</f>
        <v/>
      </c>
      <c r="N700" s="13" t="str">
        <f>IF(OR('实盘净值数据(iFinD）'!$A700="",'实盘净值数据(iFinD）'!$B700="",'实盘净值数据(iFinD）'!$Z700="",'实盘净值数据(iFinD）'!$AA700=""),"",分期持仓明细!$AB$24*(SUMPRODUCT(分期持仓明细!$B$24:$Y$24,'实盘净值数据(iFinD）'!$B700:$Y700/'实盘净值数据(iFinD）'!$B$65:$Y$65)+SUMPRODUCT(分期持仓明细!$AC$24:$AD$24,'实盘净值数据(iFinD）'!$Z700:$AA700/'实盘净值数据(iFinD）'!$Z$65:$AA$65))*(1-实盘持仓初始配置!$Z$8)^(('实盘净值数据(iFinD）'!$A700-'实盘净值数据(iFinD）'!$A$5)/365))</f>
        <v/>
      </c>
      <c r="O700" s="16" t="str">
        <f t="shared" ref="O700:O763" si="70">IF(OR(N699="",N700=""),"",N700/N699-1)</f>
        <v/>
      </c>
      <c r="P700" s="16" t="str">
        <f>IF(N700="","",N700/MAX(N$5:N700)-1)</f>
        <v/>
      </c>
      <c r="Q700" s="13" t="str">
        <f>IF(OR('实盘净值数据(iFinD）'!$A700="",'实盘净值数据(iFinD）'!$B700="",'实盘净值数据(iFinD）'!$Z700="",'实盘净值数据(iFinD）'!$AA700=""),"",分期持仓明细!$AB$25*(SUMPRODUCT(分期持仓明细!$B$25:$Y$25,'实盘净值数据(iFinD）'!$B700:$Y700/'实盘净值数据(iFinD）'!$B$65:$Y$65)+SUMPRODUCT(分期持仓明细!$AC$25:$AD$25,'实盘净值数据(iFinD）'!$Z700:$AA700/'实盘净值数据(iFinD）'!$Z$65:$AA$65))*(1-实盘持仓初始配置!$Z$9)^(('实盘净值数据(iFinD）'!$A700-'实盘净值数据(iFinD）'!$A$8)/365))</f>
        <v/>
      </c>
      <c r="R700" s="16" t="str">
        <f t="shared" ref="R700:R763" si="71">IF(OR(Q699="",Q700=""),"",Q700/Q699-1)</f>
        <v/>
      </c>
      <c r="S700" s="16" t="str">
        <f>IF(Q700="","",Q700/MAX(Q$5:Q700)-1)</f>
        <v/>
      </c>
    </row>
    <row r="701" spans="1:19">
      <c r="A701" s="15" t="str">
        <f>IF('实盘净值数据(iFinD）'!A701="","",'实盘净值数据(iFinD）'!A701)</f>
        <v/>
      </c>
      <c r="B701" s="13" t="str">
        <f>IF(OR('实盘净值数据(iFinD）'!$A701="",'实盘净值数据(iFinD）'!$B701=""),"",分期持仓明细!$AB$17*SUMPRODUCT(分期持仓明细!$B$17:$Y$17,'实盘净值数据(iFinD）'!$B701:$Y701/'实盘净值数据(iFinD）'!$B$20:$Y$20)*(1-实盘持仓初始配置!$Z$4)^(('实盘净值数据(iFinD）'!$A701-'实盘净值数据(iFinD）'!$A$6)/365))</f>
        <v/>
      </c>
      <c r="C701" s="16" t="str">
        <f t="shared" si="66"/>
        <v/>
      </c>
      <c r="D701" s="16" t="str">
        <f>IF(B701="","",B701/MAX(B$5:B701)-1)</f>
        <v/>
      </c>
      <c r="E701" s="13" t="str">
        <f>IF(OR('实盘净值数据(iFinD）'!$A701="",'实盘净值数据(iFinD）'!$B701=""),"",分期持仓明细!$AB$18*SUMPRODUCT(分期持仓明细!$B$18:$Y$18,'实盘净值数据(iFinD）'!$B701:$Y701/'实盘净值数据(iFinD）'!$B$20:$Y$20)*(1-实盘持仓初始配置!$Z$5)^(('实盘净值数据(iFinD）'!$A701-'实盘净值数据(iFinD）'!$A$5)/365))</f>
        <v/>
      </c>
      <c r="F701" s="16" t="str">
        <f t="shared" si="67"/>
        <v/>
      </c>
      <c r="G701" s="16" t="str">
        <f>IF(E701="","",E701/MAX(E$5:E701)-1)</f>
        <v/>
      </c>
      <c r="H701" s="13" t="str">
        <f>IF(OR('实盘净值数据(iFinD）'!$A701="",'实盘净值数据(iFinD）'!$B701=""),"",分期持仓明细!$AB$19*SUMPRODUCT(分期持仓明细!$B$19:$Y$19,'实盘净值数据(iFinD）'!$B701:$Y701/'实盘净值数据(iFinD）'!$B$20:$Y$20)*(1-实盘持仓初始配置!$Z$6)^(('实盘净值数据(iFinD）'!$A701-'实盘净值数据(iFinD）'!$A$7)/365))</f>
        <v/>
      </c>
      <c r="I701" s="16" t="str">
        <f t="shared" si="68"/>
        <v/>
      </c>
      <c r="J701" s="16" t="str">
        <f>IF(H701="","",H701/MAX(H$5:H701)-1)</f>
        <v/>
      </c>
      <c r="K701" s="13" t="str">
        <f>IF(OR('实盘净值数据(iFinD）'!$A701="",'实盘净值数据(iFinD）'!$B701="",'实盘净值数据(iFinD）'!$Z701="",'实盘净值数据(iFinD）'!$AA701=""),"",分期持仓明细!$AB$23*(SUMPRODUCT(分期持仓明细!$B$23:$Y$23,'实盘净值数据(iFinD）'!$B701:$Y701/'实盘净值数据(iFinD）'!$B$65:$Y$65)+SUMPRODUCT(分期持仓明细!$AC$23:$AD$23,'实盘净值数据(iFinD）'!$Z701:$AA701/'实盘净值数据(iFinD）'!$Z$65:$AA$65))*(1-实盘持仓初始配置!$Z$7)^(('实盘净值数据(iFinD）'!$A701-'实盘净值数据(iFinD）'!$A$8)/365))</f>
        <v/>
      </c>
      <c r="L701" s="16" t="str">
        <f t="shared" si="69"/>
        <v/>
      </c>
      <c r="M701" s="16" t="str">
        <f>IF(K701="","",K701/MAX(K$5:K701)-1)</f>
        <v/>
      </c>
      <c r="N701" s="13" t="str">
        <f>IF(OR('实盘净值数据(iFinD）'!$A701="",'实盘净值数据(iFinD）'!$B701="",'实盘净值数据(iFinD）'!$Z701="",'实盘净值数据(iFinD）'!$AA701=""),"",分期持仓明细!$AB$24*(SUMPRODUCT(分期持仓明细!$B$24:$Y$24,'实盘净值数据(iFinD）'!$B701:$Y701/'实盘净值数据(iFinD）'!$B$65:$Y$65)+SUMPRODUCT(分期持仓明细!$AC$24:$AD$24,'实盘净值数据(iFinD）'!$Z701:$AA701/'实盘净值数据(iFinD）'!$Z$65:$AA$65))*(1-实盘持仓初始配置!$Z$8)^(('实盘净值数据(iFinD）'!$A701-'实盘净值数据(iFinD）'!$A$5)/365))</f>
        <v/>
      </c>
      <c r="O701" s="16" t="str">
        <f t="shared" si="70"/>
        <v/>
      </c>
      <c r="P701" s="16" t="str">
        <f>IF(N701="","",N701/MAX(N$5:N701)-1)</f>
        <v/>
      </c>
      <c r="Q701" s="13" t="str">
        <f>IF(OR('实盘净值数据(iFinD）'!$A701="",'实盘净值数据(iFinD）'!$B701="",'实盘净值数据(iFinD）'!$Z701="",'实盘净值数据(iFinD）'!$AA701=""),"",分期持仓明细!$AB$25*(SUMPRODUCT(分期持仓明细!$B$25:$Y$25,'实盘净值数据(iFinD）'!$B701:$Y701/'实盘净值数据(iFinD）'!$B$65:$Y$65)+SUMPRODUCT(分期持仓明细!$AC$25:$AD$25,'实盘净值数据(iFinD）'!$Z701:$AA701/'实盘净值数据(iFinD）'!$Z$65:$AA$65))*(1-实盘持仓初始配置!$Z$9)^(('实盘净值数据(iFinD）'!$A701-'实盘净值数据(iFinD）'!$A$8)/365))</f>
        <v/>
      </c>
      <c r="R701" s="16" t="str">
        <f t="shared" si="71"/>
        <v/>
      </c>
      <c r="S701" s="16" t="str">
        <f>IF(Q701="","",Q701/MAX(Q$5:Q701)-1)</f>
        <v/>
      </c>
    </row>
    <row r="702" spans="1:19">
      <c r="A702" s="15" t="str">
        <f>IF('实盘净值数据(iFinD）'!A702="","",'实盘净值数据(iFinD）'!A702)</f>
        <v/>
      </c>
      <c r="B702" s="13" t="str">
        <f>IF(OR('实盘净值数据(iFinD）'!$A702="",'实盘净值数据(iFinD）'!$B702=""),"",分期持仓明细!$AB$17*SUMPRODUCT(分期持仓明细!$B$17:$Y$17,'实盘净值数据(iFinD）'!$B702:$Y702/'实盘净值数据(iFinD）'!$B$20:$Y$20)*(1-实盘持仓初始配置!$Z$4)^(('实盘净值数据(iFinD）'!$A702-'实盘净值数据(iFinD）'!$A$6)/365))</f>
        <v/>
      </c>
      <c r="C702" s="16" t="str">
        <f t="shared" si="66"/>
        <v/>
      </c>
      <c r="D702" s="16" t="str">
        <f>IF(B702="","",B702/MAX(B$5:B702)-1)</f>
        <v/>
      </c>
      <c r="E702" s="13" t="str">
        <f>IF(OR('实盘净值数据(iFinD）'!$A702="",'实盘净值数据(iFinD）'!$B702=""),"",分期持仓明细!$AB$18*SUMPRODUCT(分期持仓明细!$B$18:$Y$18,'实盘净值数据(iFinD）'!$B702:$Y702/'实盘净值数据(iFinD）'!$B$20:$Y$20)*(1-实盘持仓初始配置!$Z$5)^(('实盘净值数据(iFinD）'!$A702-'实盘净值数据(iFinD）'!$A$5)/365))</f>
        <v/>
      </c>
      <c r="F702" s="16" t="str">
        <f t="shared" si="67"/>
        <v/>
      </c>
      <c r="G702" s="16" t="str">
        <f>IF(E702="","",E702/MAX(E$5:E702)-1)</f>
        <v/>
      </c>
      <c r="H702" s="13" t="str">
        <f>IF(OR('实盘净值数据(iFinD）'!$A702="",'实盘净值数据(iFinD）'!$B702=""),"",分期持仓明细!$AB$19*SUMPRODUCT(分期持仓明细!$B$19:$Y$19,'实盘净值数据(iFinD）'!$B702:$Y702/'实盘净值数据(iFinD）'!$B$20:$Y$20)*(1-实盘持仓初始配置!$Z$6)^(('实盘净值数据(iFinD）'!$A702-'实盘净值数据(iFinD）'!$A$7)/365))</f>
        <v/>
      </c>
      <c r="I702" s="16" t="str">
        <f t="shared" si="68"/>
        <v/>
      </c>
      <c r="J702" s="16" t="str">
        <f>IF(H702="","",H702/MAX(H$5:H702)-1)</f>
        <v/>
      </c>
      <c r="K702" s="13" t="str">
        <f>IF(OR('实盘净值数据(iFinD）'!$A702="",'实盘净值数据(iFinD）'!$B702="",'实盘净值数据(iFinD）'!$Z702="",'实盘净值数据(iFinD）'!$AA702=""),"",分期持仓明细!$AB$23*(SUMPRODUCT(分期持仓明细!$B$23:$Y$23,'实盘净值数据(iFinD）'!$B702:$Y702/'实盘净值数据(iFinD）'!$B$65:$Y$65)+SUMPRODUCT(分期持仓明细!$AC$23:$AD$23,'实盘净值数据(iFinD）'!$Z702:$AA702/'实盘净值数据(iFinD）'!$Z$65:$AA$65))*(1-实盘持仓初始配置!$Z$7)^(('实盘净值数据(iFinD）'!$A702-'实盘净值数据(iFinD）'!$A$8)/365))</f>
        <v/>
      </c>
      <c r="L702" s="16" t="str">
        <f t="shared" si="69"/>
        <v/>
      </c>
      <c r="M702" s="16" t="str">
        <f>IF(K702="","",K702/MAX(K$5:K702)-1)</f>
        <v/>
      </c>
      <c r="N702" s="13" t="str">
        <f>IF(OR('实盘净值数据(iFinD）'!$A702="",'实盘净值数据(iFinD）'!$B702="",'实盘净值数据(iFinD）'!$Z702="",'实盘净值数据(iFinD）'!$AA702=""),"",分期持仓明细!$AB$24*(SUMPRODUCT(分期持仓明细!$B$24:$Y$24,'实盘净值数据(iFinD）'!$B702:$Y702/'实盘净值数据(iFinD）'!$B$65:$Y$65)+SUMPRODUCT(分期持仓明细!$AC$24:$AD$24,'实盘净值数据(iFinD）'!$Z702:$AA702/'实盘净值数据(iFinD）'!$Z$65:$AA$65))*(1-实盘持仓初始配置!$Z$8)^(('实盘净值数据(iFinD）'!$A702-'实盘净值数据(iFinD）'!$A$5)/365))</f>
        <v/>
      </c>
      <c r="O702" s="16" t="str">
        <f t="shared" si="70"/>
        <v/>
      </c>
      <c r="P702" s="16" t="str">
        <f>IF(N702="","",N702/MAX(N$5:N702)-1)</f>
        <v/>
      </c>
      <c r="Q702" s="13" t="str">
        <f>IF(OR('实盘净值数据(iFinD）'!$A702="",'实盘净值数据(iFinD）'!$B702="",'实盘净值数据(iFinD）'!$Z702="",'实盘净值数据(iFinD）'!$AA702=""),"",分期持仓明细!$AB$25*(SUMPRODUCT(分期持仓明细!$B$25:$Y$25,'实盘净值数据(iFinD）'!$B702:$Y702/'实盘净值数据(iFinD）'!$B$65:$Y$65)+SUMPRODUCT(分期持仓明细!$AC$25:$AD$25,'实盘净值数据(iFinD）'!$Z702:$AA702/'实盘净值数据(iFinD）'!$Z$65:$AA$65))*(1-实盘持仓初始配置!$Z$9)^(('实盘净值数据(iFinD）'!$A702-'实盘净值数据(iFinD）'!$A$8)/365))</f>
        <v/>
      </c>
      <c r="R702" s="16" t="str">
        <f t="shared" si="71"/>
        <v/>
      </c>
      <c r="S702" s="16" t="str">
        <f>IF(Q702="","",Q702/MAX(Q$5:Q702)-1)</f>
        <v/>
      </c>
    </row>
    <row r="703" spans="1:19">
      <c r="A703" s="15" t="str">
        <f>IF('实盘净值数据(iFinD）'!A703="","",'实盘净值数据(iFinD）'!A703)</f>
        <v/>
      </c>
      <c r="B703" s="13" t="str">
        <f>IF(OR('实盘净值数据(iFinD）'!$A703="",'实盘净值数据(iFinD）'!$B703=""),"",分期持仓明细!$AB$17*SUMPRODUCT(分期持仓明细!$B$17:$Y$17,'实盘净值数据(iFinD）'!$B703:$Y703/'实盘净值数据(iFinD）'!$B$20:$Y$20)*(1-实盘持仓初始配置!$Z$4)^(('实盘净值数据(iFinD）'!$A703-'实盘净值数据(iFinD）'!$A$6)/365))</f>
        <v/>
      </c>
      <c r="C703" s="16" t="str">
        <f t="shared" si="66"/>
        <v/>
      </c>
      <c r="D703" s="16" t="str">
        <f>IF(B703="","",B703/MAX(B$5:B703)-1)</f>
        <v/>
      </c>
      <c r="E703" s="13" t="str">
        <f>IF(OR('实盘净值数据(iFinD）'!$A703="",'实盘净值数据(iFinD）'!$B703=""),"",分期持仓明细!$AB$18*SUMPRODUCT(分期持仓明细!$B$18:$Y$18,'实盘净值数据(iFinD）'!$B703:$Y703/'实盘净值数据(iFinD）'!$B$20:$Y$20)*(1-实盘持仓初始配置!$Z$5)^(('实盘净值数据(iFinD）'!$A703-'实盘净值数据(iFinD）'!$A$5)/365))</f>
        <v/>
      </c>
      <c r="F703" s="16" t="str">
        <f t="shared" si="67"/>
        <v/>
      </c>
      <c r="G703" s="16" t="str">
        <f>IF(E703="","",E703/MAX(E$5:E703)-1)</f>
        <v/>
      </c>
      <c r="H703" s="13" t="str">
        <f>IF(OR('实盘净值数据(iFinD）'!$A703="",'实盘净值数据(iFinD）'!$B703=""),"",分期持仓明细!$AB$19*SUMPRODUCT(分期持仓明细!$B$19:$Y$19,'实盘净值数据(iFinD）'!$B703:$Y703/'实盘净值数据(iFinD）'!$B$20:$Y$20)*(1-实盘持仓初始配置!$Z$6)^(('实盘净值数据(iFinD）'!$A703-'实盘净值数据(iFinD）'!$A$7)/365))</f>
        <v/>
      </c>
      <c r="I703" s="16" t="str">
        <f t="shared" si="68"/>
        <v/>
      </c>
      <c r="J703" s="16" t="str">
        <f>IF(H703="","",H703/MAX(H$5:H703)-1)</f>
        <v/>
      </c>
      <c r="K703" s="13" t="str">
        <f>IF(OR('实盘净值数据(iFinD）'!$A703="",'实盘净值数据(iFinD）'!$B703="",'实盘净值数据(iFinD）'!$Z703="",'实盘净值数据(iFinD）'!$AA703=""),"",分期持仓明细!$AB$23*(SUMPRODUCT(分期持仓明细!$B$23:$Y$23,'实盘净值数据(iFinD）'!$B703:$Y703/'实盘净值数据(iFinD）'!$B$65:$Y$65)+SUMPRODUCT(分期持仓明细!$AC$23:$AD$23,'实盘净值数据(iFinD）'!$Z703:$AA703/'实盘净值数据(iFinD）'!$Z$65:$AA$65))*(1-实盘持仓初始配置!$Z$7)^(('实盘净值数据(iFinD）'!$A703-'实盘净值数据(iFinD）'!$A$8)/365))</f>
        <v/>
      </c>
      <c r="L703" s="16" t="str">
        <f t="shared" si="69"/>
        <v/>
      </c>
      <c r="M703" s="16" t="str">
        <f>IF(K703="","",K703/MAX(K$5:K703)-1)</f>
        <v/>
      </c>
      <c r="N703" s="13" t="str">
        <f>IF(OR('实盘净值数据(iFinD）'!$A703="",'实盘净值数据(iFinD）'!$B703="",'实盘净值数据(iFinD）'!$Z703="",'实盘净值数据(iFinD）'!$AA703=""),"",分期持仓明细!$AB$24*(SUMPRODUCT(分期持仓明细!$B$24:$Y$24,'实盘净值数据(iFinD）'!$B703:$Y703/'实盘净值数据(iFinD）'!$B$65:$Y$65)+SUMPRODUCT(分期持仓明细!$AC$24:$AD$24,'实盘净值数据(iFinD）'!$Z703:$AA703/'实盘净值数据(iFinD）'!$Z$65:$AA$65))*(1-实盘持仓初始配置!$Z$8)^(('实盘净值数据(iFinD）'!$A703-'实盘净值数据(iFinD）'!$A$5)/365))</f>
        <v/>
      </c>
      <c r="O703" s="16" t="str">
        <f t="shared" si="70"/>
        <v/>
      </c>
      <c r="P703" s="16" t="str">
        <f>IF(N703="","",N703/MAX(N$5:N703)-1)</f>
        <v/>
      </c>
      <c r="Q703" s="13" t="str">
        <f>IF(OR('实盘净值数据(iFinD）'!$A703="",'实盘净值数据(iFinD）'!$B703="",'实盘净值数据(iFinD）'!$Z703="",'实盘净值数据(iFinD）'!$AA703=""),"",分期持仓明细!$AB$25*(SUMPRODUCT(分期持仓明细!$B$25:$Y$25,'实盘净值数据(iFinD）'!$B703:$Y703/'实盘净值数据(iFinD）'!$B$65:$Y$65)+SUMPRODUCT(分期持仓明细!$AC$25:$AD$25,'实盘净值数据(iFinD）'!$Z703:$AA703/'实盘净值数据(iFinD）'!$Z$65:$AA$65))*(1-实盘持仓初始配置!$Z$9)^(('实盘净值数据(iFinD）'!$A703-'实盘净值数据(iFinD）'!$A$8)/365))</f>
        <v/>
      </c>
      <c r="R703" s="16" t="str">
        <f t="shared" si="71"/>
        <v/>
      </c>
      <c r="S703" s="16" t="str">
        <f>IF(Q703="","",Q703/MAX(Q$5:Q703)-1)</f>
        <v/>
      </c>
    </row>
    <row r="704" spans="1:19">
      <c r="A704" s="15" t="str">
        <f>IF('实盘净值数据(iFinD）'!A704="","",'实盘净值数据(iFinD）'!A704)</f>
        <v/>
      </c>
      <c r="B704" s="13" t="str">
        <f>IF(OR('实盘净值数据(iFinD）'!$A704="",'实盘净值数据(iFinD）'!$B704=""),"",分期持仓明细!$AB$17*SUMPRODUCT(分期持仓明细!$B$17:$Y$17,'实盘净值数据(iFinD）'!$B704:$Y704/'实盘净值数据(iFinD）'!$B$20:$Y$20)*(1-实盘持仓初始配置!$Z$4)^(('实盘净值数据(iFinD）'!$A704-'实盘净值数据(iFinD）'!$A$6)/365))</f>
        <v/>
      </c>
      <c r="C704" s="16" t="str">
        <f t="shared" si="66"/>
        <v/>
      </c>
      <c r="D704" s="16" t="str">
        <f>IF(B704="","",B704/MAX(B$5:B704)-1)</f>
        <v/>
      </c>
      <c r="E704" s="13" t="str">
        <f>IF(OR('实盘净值数据(iFinD）'!$A704="",'实盘净值数据(iFinD）'!$B704=""),"",分期持仓明细!$AB$18*SUMPRODUCT(分期持仓明细!$B$18:$Y$18,'实盘净值数据(iFinD）'!$B704:$Y704/'实盘净值数据(iFinD）'!$B$20:$Y$20)*(1-实盘持仓初始配置!$Z$5)^(('实盘净值数据(iFinD）'!$A704-'实盘净值数据(iFinD）'!$A$5)/365))</f>
        <v/>
      </c>
      <c r="F704" s="16" t="str">
        <f t="shared" si="67"/>
        <v/>
      </c>
      <c r="G704" s="16" t="str">
        <f>IF(E704="","",E704/MAX(E$5:E704)-1)</f>
        <v/>
      </c>
      <c r="H704" s="13" t="str">
        <f>IF(OR('实盘净值数据(iFinD）'!$A704="",'实盘净值数据(iFinD）'!$B704=""),"",分期持仓明细!$AB$19*SUMPRODUCT(分期持仓明细!$B$19:$Y$19,'实盘净值数据(iFinD）'!$B704:$Y704/'实盘净值数据(iFinD）'!$B$20:$Y$20)*(1-实盘持仓初始配置!$Z$6)^(('实盘净值数据(iFinD）'!$A704-'实盘净值数据(iFinD）'!$A$7)/365))</f>
        <v/>
      </c>
      <c r="I704" s="16" t="str">
        <f t="shared" si="68"/>
        <v/>
      </c>
      <c r="J704" s="16" t="str">
        <f>IF(H704="","",H704/MAX(H$5:H704)-1)</f>
        <v/>
      </c>
      <c r="K704" s="13" t="str">
        <f>IF(OR('实盘净值数据(iFinD）'!$A704="",'实盘净值数据(iFinD）'!$B704="",'实盘净值数据(iFinD）'!$Z704="",'实盘净值数据(iFinD）'!$AA704=""),"",分期持仓明细!$AB$23*(SUMPRODUCT(分期持仓明细!$B$23:$Y$23,'实盘净值数据(iFinD）'!$B704:$Y704/'实盘净值数据(iFinD）'!$B$65:$Y$65)+SUMPRODUCT(分期持仓明细!$AC$23:$AD$23,'实盘净值数据(iFinD）'!$Z704:$AA704/'实盘净值数据(iFinD）'!$Z$65:$AA$65))*(1-实盘持仓初始配置!$Z$7)^(('实盘净值数据(iFinD）'!$A704-'实盘净值数据(iFinD）'!$A$8)/365))</f>
        <v/>
      </c>
      <c r="L704" s="16" t="str">
        <f t="shared" si="69"/>
        <v/>
      </c>
      <c r="M704" s="16" t="str">
        <f>IF(K704="","",K704/MAX(K$5:K704)-1)</f>
        <v/>
      </c>
      <c r="N704" s="13" t="str">
        <f>IF(OR('实盘净值数据(iFinD）'!$A704="",'实盘净值数据(iFinD）'!$B704="",'实盘净值数据(iFinD）'!$Z704="",'实盘净值数据(iFinD）'!$AA704=""),"",分期持仓明细!$AB$24*(SUMPRODUCT(分期持仓明细!$B$24:$Y$24,'实盘净值数据(iFinD）'!$B704:$Y704/'实盘净值数据(iFinD）'!$B$65:$Y$65)+SUMPRODUCT(分期持仓明细!$AC$24:$AD$24,'实盘净值数据(iFinD）'!$Z704:$AA704/'实盘净值数据(iFinD）'!$Z$65:$AA$65))*(1-实盘持仓初始配置!$Z$8)^(('实盘净值数据(iFinD）'!$A704-'实盘净值数据(iFinD）'!$A$5)/365))</f>
        <v/>
      </c>
      <c r="O704" s="16" t="str">
        <f t="shared" si="70"/>
        <v/>
      </c>
      <c r="P704" s="16" t="str">
        <f>IF(N704="","",N704/MAX(N$5:N704)-1)</f>
        <v/>
      </c>
      <c r="Q704" s="13" t="str">
        <f>IF(OR('实盘净值数据(iFinD）'!$A704="",'实盘净值数据(iFinD）'!$B704="",'实盘净值数据(iFinD）'!$Z704="",'实盘净值数据(iFinD）'!$AA704=""),"",分期持仓明细!$AB$25*(SUMPRODUCT(分期持仓明细!$B$25:$Y$25,'实盘净值数据(iFinD）'!$B704:$Y704/'实盘净值数据(iFinD）'!$B$65:$Y$65)+SUMPRODUCT(分期持仓明细!$AC$25:$AD$25,'实盘净值数据(iFinD）'!$Z704:$AA704/'实盘净值数据(iFinD）'!$Z$65:$AA$65))*(1-实盘持仓初始配置!$Z$9)^(('实盘净值数据(iFinD）'!$A704-'实盘净值数据(iFinD）'!$A$8)/365))</f>
        <v/>
      </c>
      <c r="R704" s="16" t="str">
        <f t="shared" si="71"/>
        <v/>
      </c>
      <c r="S704" s="16" t="str">
        <f>IF(Q704="","",Q704/MAX(Q$5:Q704)-1)</f>
        <v/>
      </c>
    </row>
    <row r="705" spans="1:19">
      <c r="A705" s="15" t="str">
        <f>IF('实盘净值数据(iFinD）'!A705="","",'实盘净值数据(iFinD）'!A705)</f>
        <v/>
      </c>
      <c r="B705" s="13" t="str">
        <f>IF(OR('实盘净值数据(iFinD）'!$A705="",'实盘净值数据(iFinD）'!$B705=""),"",分期持仓明细!$AB$17*SUMPRODUCT(分期持仓明细!$B$17:$Y$17,'实盘净值数据(iFinD）'!$B705:$Y705/'实盘净值数据(iFinD）'!$B$20:$Y$20)*(1-实盘持仓初始配置!$Z$4)^(('实盘净值数据(iFinD）'!$A705-'实盘净值数据(iFinD）'!$A$6)/365))</f>
        <v/>
      </c>
      <c r="C705" s="16" t="str">
        <f t="shared" si="66"/>
        <v/>
      </c>
      <c r="D705" s="16" t="str">
        <f>IF(B705="","",B705/MAX(B$5:B705)-1)</f>
        <v/>
      </c>
      <c r="E705" s="13" t="str">
        <f>IF(OR('实盘净值数据(iFinD）'!$A705="",'实盘净值数据(iFinD）'!$B705=""),"",分期持仓明细!$AB$18*SUMPRODUCT(分期持仓明细!$B$18:$Y$18,'实盘净值数据(iFinD）'!$B705:$Y705/'实盘净值数据(iFinD）'!$B$20:$Y$20)*(1-实盘持仓初始配置!$Z$5)^(('实盘净值数据(iFinD）'!$A705-'实盘净值数据(iFinD）'!$A$5)/365))</f>
        <v/>
      </c>
      <c r="F705" s="16" t="str">
        <f t="shared" si="67"/>
        <v/>
      </c>
      <c r="G705" s="16" t="str">
        <f>IF(E705="","",E705/MAX(E$5:E705)-1)</f>
        <v/>
      </c>
      <c r="H705" s="13" t="str">
        <f>IF(OR('实盘净值数据(iFinD）'!$A705="",'实盘净值数据(iFinD）'!$B705=""),"",分期持仓明细!$AB$19*SUMPRODUCT(分期持仓明细!$B$19:$Y$19,'实盘净值数据(iFinD）'!$B705:$Y705/'实盘净值数据(iFinD）'!$B$20:$Y$20)*(1-实盘持仓初始配置!$Z$6)^(('实盘净值数据(iFinD）'!$A705-'实盘净值数据(iFinD）'!$A$7)/365))</f>
        <v/>
      </c>
      <c r="I705" s="16" t="str">
        <f t="shared" si="68"/>
        <v/>
      </c>
      <c r="J705" s="16" t="str">
        <f>IF(H705="","",H705/MAX(H$5:H705)-1)</f>
        <v/>
      </c>
      <c r="K705" s="13" t="str">
        <f>IF(OR('实盘净值数据(iFinD）'!$A705="",'实盘净值数据(iFinD）'!$B705="",'实盘净值数据(iFinD）'!$Z705="",'实盘净值数据(iFinD）'!$AA705=""),"",分期持仓明细!$AB$23*(SUMPRODUCT(分期持仓明细!$B$23:$Y$23,'实盘净值数据(iFinD）'!$B705:$Y705/'实盘净值数据(iFinD）'!$B$65:$Y$65)+SUMPRODUCT(分期持仓明细!$AC$23:$AD$23,'实盘净值数据(iFinD）'!$Z705:$AA705/'实盘净值数据(iFinD）'!$Z$65:$AA$65))*(1-实盘持仓初始配置!$Z$7)^(('实盘净值数据(iFinD）'!$A705-'实盘净值数据(iFinD）'!$A$8)/365))</f>
        <v/>
      </c>
      <c r="L705" s="16" t="str">
        <f t="shared" si="69"/>
        <v/>
      </c>
      <c r="M705" s="16" t="str">
        <f>IF(K705="","",K705/MAX(K$5:K705)-1)</f>
        <v/>
      </c>
      <c r="N705" s="13" t="str">
        <f>IF(OR('实盘净值数据(iFinD）'!$A705="",'实盘净值数据(iFinD）'!$B705="",'实盘净值数据(iFinD）'!$Z705="",'实盘净值数据(iFinD）'!$AA705=""),"",分期持仓明细!$AB$24*(SUMPRODUCT(分期持仓明细!$B$24:$Y$24,'实盘净值数据(iFinD）'!$B705:$Y705/'实盘净值数据(iFinD）'!$B$65:$Y$65)+SUMPRODUCT(分期持仓明细!$AC$24:$AD$24,'实盘净值数据(iFinD）'!$Z705:$AA705/'实盘净值数据(iFinD）'!$Z$65:$AA$65))*(1-实盘持仓初始配置!$Z$8)^(('实盘净值数据(iFinD）'!$A705-'实盘净值数据(iFinD）'!$A$5)/365))</f>
        <v/>
      </c>
      <c r="O705" s="16" t="str">
        <f t="shared" si="70"/>
        <v/>
      </c>
      <c r="P705" s="16" t="str">
        <f>IF(N705="","",N705/MAX(N$5:N705)-1)</f>
        <v/>
      </c>
      <c r="Q705" s="13" t="str">
        <f>IF(OR('实盘净值数据(iFinD）'!$A705="",'实盘净值数据(iFinD）'!$B705="",'实盘净值数据(iFinD）'!$Z705="",'实盘净值数据(iFinD）'!$AA705=""),"",分期持仓明细!$AB$25*(SUMPRODUCT(分期持仓明细!$B$25:$Y$25,'实盘净值数据(iFinD）'!$B705:$Y705/'实盘净值数据(iFinD）'!$B$65:$Y$65)+SUMPRODUCT(分期持仓明细!$AC$25:$AD$25,'实盘净值数据(iFinD）'!$Z705:$AA705/'实盘净值数据(iFinD）'!$Z$65:$AA$65))*(1-实盘持仓初始配置!$Z$9)^(('实盘净值数据(iFinD）'!$A705-'实盘净值数据(iFinD）'!$A$8)/365))</f>
        <v/>
      </c>
      <c r="R705" s="16" t="str">
        <f t="shared" si="71"/>
        <v/>
      </c>
      <c r="S705" s="16" t="str">
        <f>IF(Q705="","",Q705/MAX(Q$5:Q705)-1)</f>
        <v/>
      </c>
    </row>
    <row r="706" spans="1:19">
      <c r="A706" s="15" t="str">
        <f>IF('实盘净值数据(iFinD）'!A706="","",'实盘净值数据(iFinD）'!A706)</f>
        <v/>
      </c>
      <c r="B706" s="13" t="str">
        <f>IF(OR('实盘净值数据(iFinD）'!$A706="",'实盘净值数据(iFinD）'!$B706=""),"",分期持仓明细!$AB$17*SUMPRODUCT(分期持仓明细!$B$17:$Y$17,'实盘净值数据(iFinD）'!$B706:$Y706/'实盘净值数据(iFinD）'!$B$20:$Y$20)*(1-实盘持仓初始配置!$Z$4)^(('实盘净值数据(iFinD）'!$A706-'实盘净值数据(iFinD）'!$A$6)/365))</f>
        <v/>
      </c>
      <c r="C706" s="16" t="str">
        <f t="shared" si="66"/>
        <v/>
      </c>
      <c r="D706" s="16" t="str">
        <f>IF(B706="","",B706/MAX(B$5:B706)-1)</f>
        <v/>
      </c>
      <c r="E706" s="13" t="str">
        <f>IF(OR('实盘净值数据(iFinD）'!$A706="",'实盘净值数据(iFinD）'!$B706=""),"",分期持仓明细!$AB$18*SUMPRODUCT(分期持仓明细!$B$18:$Y$18,'实盘净值数据(iFinD）'!$B706:$Y706/'实盘净值数据(iFinD）'!$B$20:$Y$20)*(1-实盘持仓初始配置!$Z$5)^(('实盘净值数据(iFinD）'!$A706-'实盘净值数据(iFinD）'!$A$5)/365))</f>
        <v/>
      </c>
      <c r="F706" s="16" t="str">
        <f t="shared" si="67"/>
        <v/>
      </c>
      <c r="G706" s="16" t="str">
        <f>IF(E706="","",E706/MAX(E$5:E706)-1)</f>
        <v/>
      </c>
      <c r="H706" s="13" t="str">
        <f>IF(OR('实盘净值数据(iFinD）'!$A706="",'实盘净值数据(iFinD）'!$B706=""),"",分期持仓明细!$AB$19*SUMPRODUCT(分期持仓明细!$B$19:$Y$19,'实盘净值数据(iFinD）'!$B706:$Y706/'实盘净值数据(iFinD）'!$B$20:$Y$20)*(1-实盘持仓初始配置!$Z$6)^(('实盘净值数据(iFinD）'!$A706-'实盘净值数据(iFinD）'!$A$7)/365))</f>
        <v/>
      </c>
      <c r="I706" s="16" t="str">
        <f t="shared" si="68"/>
        <v/>
      </c>
      <c r="J706" s="16" t="str">
        <f>IF(H706="","",H706/MAX(H$5:H706)-1)</f>
        <v/>
      </c>
      <c r="K706" s="13" t="str">
        <f>IF(OR('实盘净值数据(iFinD）'!$A706="",'实盘净值数据(iFinD）'!$B706="",'实盘净值数据(iFinD）'!$Z706="",'实盘净值数据(iFinD）'!$AA706=""),"",分期持仓明细!$AB$23*(SUMPRODUCT(分期持仓明细!$B$23:$Y$23,'实盘净值数据(iFinD）'!$B706:$Y706/'实盘净值数据(iFinD）'!$B$65:$Y$65)+SUMPRODUCT(分期持仓明细!$AC$23:$AD$23,'实盘净值数据(iFinD）'!$Z706:$AA706/'实盘净值数据(iFinD）'!$Z$65:$AA$65))*(1-实盘持仓初始配置!$Z$7)^(('实盘净值数据(iFinD）'!$A706-'实盘净值数据(iFinD）'!$A$8)/365))</f>
        <v/>
      </c>
      <c r="L706" s="16" t="str">
        <f t="shared" si="69"/>
        <v/>
      </c>
      <c r="M706" s="16" t="str">
        <f>IF(K706="","",K706/MAX(K$5:K706)-1)</f>
        <v/>
      </c>
      <c r="N706" s="13" t="str">
        <f>IF(OR('实盘净值数据(iFinD）'!$A706="",'实盘净值数据(iFinD）'!$B706="",'实盘净值数据(iFinD）'!$Z706="",'实盘净值数据(iFinD）'!$AA706=""),"",分期持仓明细!$AB$24*(SUMPRODUCT(分期持仓明细!$B$24:$Y$24,'实盘净值数据(iFinD）'!$B706:$Y706/'实盘净值数据(iFinD）'!$B$65:$Y$65)+SUMPRODUCT(分期持仓明细!$AC$24:$AD$24,'实盘净值数据(iFinD）'!$Z706:$AA706/'实盘净值数据(iFinD）'!$Z$65:$AA$65))*(1-实盘持仓初始配置!$Z$8)^(('实盘净值数据(iFinD）'!$A706-'实盘净值数据(iFinD）'!$A$5)/365))</f>
        <v/>
      </c>
      <c r="O706" s="16" t="str">
        <f t="shared" si="70"/>
        <v/>
      </c>
      <c r="P706" s="16" t="str">
        <f>IF(N706="","",N706/MAX(N$5:N706)-1)</f>
        <v/>
      </c>
      <c r="Q706" s="13" t="str">
        <f>IF(OR('实盘净值数据(iFinD）'!$A706="",'实盘净值数据(iFinD）'!$B706="",'实盘净值数据(iFinD）'!$Z706="",'实盘净值数据(iFinD）'!$AA706=""),"",分期持仓明细!$AB$25*(SUMPRODUCT(分期持仓明细!$B$25:$Y$25,'实盘净值数据(iFinD）'!$B706:$Y706/'实盘净值数据(iFinD）'!$B$65:$Y$65)+SUMPRODUCT(分期持仓明细!$AC$25:$AD$25,'实盘净值数据(iFinD）'!$Z706:$AA706/'实盘净值数据(iFinD）'!$Z$65:$AA$65))*(1-实盘持仓初始配置!$Z$9)^(('实盘净值数据(iFinD）'!$A706-'实盘净值数据(iFinD）'!$A$8)/365))</f>
        <v/>
      </c>
      <c r="R706" s="16" t="str">
        <f t="shared" si="71"/>
        <v/>
      </c>
      <c r="S706" s="16" t="str">
        <f>IF(Q706="","",Q706/MAX(Q$5:Q706)-1)</f>
        <v/>
      </c>
    </row>
    <row r="707" spans="1:19">
      <c r="A707" s="15" t="str">
        <f>IF('实盘净值数据(iFinD）'!A707="","",'实盘净值数据(iFinD）'!A707)</f>
        <v/>
      </c>
      <c r="B707" s="13" t="str">
        <f>IF(OR('实盘净值数据(iFinD）'!$A707="",'实盘净值数据(iFinD）'!$B707=""),"",分期持仓明细!$AB$17*SUMPRODUCT(分期持仓明细!$B$17:$Y$17,'实盘净值数据(iFinD）'!$B707:$Y707/'实盘净值数据(iFinD）'!$B$20:$Y$20)*(1-实盘持仓初始配置!$Z$4)^(('实盘净值数据(iFinD）'!$A707-'实盘净值数据(iFinD）'!$A$6)/365))</f>
        <v/>
      </c>
      <c r="C707" s="16" t="str">
        <f t="shared" si="66"/>
        <v/>
      </c>
      <c r="D707" s="16" t="str">
        <f>IF(B707="","",B707/MAX(B$5:B707)-1)</f>
        <v/>
      </c>
      <c r="E707" s="13" t="str">
        <f>IF(OR('实盘净值数据(iFinD）'!$A707="",'实盘净值数据(iFinD）'!$B707=""),"",分期持仓明细!$AB$18*SUMPRODUCT(分期持仓明细!$B$18:$Y$18,'实盘净值数据(iFinD）'!$B707:$Y707/'实盘净值数据(iFinD）'!$B$20:$Y$20)*(1-实盘持仓初始配置!$Z$5)^(('实盘净值数据(iFinD）'!$A707-'实盘净值数据(iFinD）'!$A$5)/365))</f>
        <v/>
      </c>
      <c r="F707" s="16" t="str">
        <f t="shared" si="67"/>
        <v/>
      </c>
      <c r="G707" s="16" t="str">
        <f>IF(E707="","",E707/MAX(E$5:E707)-1)</f>
        <v/>
      </c>
      <c r="H707" s="13" t="str">
        <f>IF(OR('实盘净值数据(iFinD）'!$A707="",'实盘净值数据(iFinD）'!$B707=""),"",分期持仓明细!$AB$19*SUMPRODUCT(分期持仓明细!$B$19:$Y$19,'实盘净值数据(iFinD）'!$B707:$Y707/'实盘净值数据(iFinD）'!$B$20:$Y$20)*(1-实盘持仓初始配置!$Z$6)^(('实盘净值数据(iFinD）'!$A707-'实盘净值数据(iFinD）'!$A$7)/365))</f>
        <v/>
      </c>
      <c r="I707" s="16" t="str">
        <f t="shared" si="68"/>
        <v/>
      </c>
      <c r="J707" s="16" t="str">
        <f>IF(H707="","",H707/MAX(H$5:H707)-1)</f>
        <v/>
      </c>
      <c r="K707" s="13" t="str">
        <f>IF(OR('实盘净值数据(iFinD）'!$A707="",'实盘净值数据(iFinD）'!$B707="",'实盘净值数据(iFinD）'!$Z707="",'实盘净值数据(iFinD）'!$AA707=""),"",分期持仓明细!$AB$23*(SUMPRODUCT(分期持仓明细!$B$23:$Y$23,'实盘净值数据(iFinD）'!$B707:$Y707/'实盘净值数据(iFinD）'!$B$65:$Y$65)+SUMPRODUCT(分期持仓明细!$AC$23:$AD$23,'实盘净值数据(iFinD）'!$Z707:$AA707/'实盘净值数据(iFinD）'!$Z$65:$AA$65))*(1-实盘持仓初始配置!$Z$7)^(('实盘净值数据(iFinD）'!$A707-'实盘净值数据(iFinD）'!$A$8)/365))</f>
        <v/>
      </c>
      <c r="L707" s="16" t="str">
        <f t="shared" si="69"/>
        <v/>
      </c>
      <c r="M707" s="16" t="str">
        <f>IF(K707="","",K707/MAX(K$5:K707)-1)</f>
        <v/>
      </c>
      <c r="N707" s="13" t="str">
        <f>IF(OR('实盘净值数据(iFinD）'!$A707="",'实盘净值数据(iFinD）'!$B707="",'实盘净值数据(iFinD）'!$Z707="",'实盘净值数据(iFinD）'!$AA707=""),"",分期持仓明细!$AB$24*(SUMPRODUCT(分期持仓明细!$B$24:$Y$24,'实盘净值数据(iFinD）'!$B707:$Y707/'实盘净值数据(iFinD）'!$B$65:$Y$65)+SUMPRODUCT(分期持仓明细!$AC$24:$AD$24,'实盘净值数据(iFinD）'!$Z707:$AA707/'实盘净值数据(iFinD）'!$Z$65:$AA$65))*(1-实盘持仓初始配置!$Z$8)^(('实盘净值数据(iFinD）'!$A707-'实盘净值数据(iFinD）'!$A$5)/365))</f>
        <v/>
      </c>
      <c r="O707" s="16" t="str">
        <f t="shared" si="70"/>
        <v/>
      </c>
      <c r="P707" s="16" t="str">
        <f>IF(N707="","",N707/MAX(N$5:N707)-1)</f>
        <v/>
      </c>
      <c r="Q707" s="13" t="str">
        <f>IF(OR('实盘净值数据(iFinD）'!$A707="",'实盘净值数据(iFinD）'!$B707="",'实盘净值数据(iFinD）'!$Z707="",'实盘净值数据(iFinD）'!$AA707=""),"",分期持仓明细!$AB$25*(SUMPRODUCT(分期持仓明细!$B$25:$Y$25,'实盘净值数据(iFinD）'!$B707:$Y707/'实盘净值数据(iFinD）'!$B$65:$Y$65)+SUMPRODUCT(分期持仓明细!$AC$25:$AD$25,'实盘净值数据(iFinD）'!$Z707:$AA707/'实盘净值数据(iFinD）'!$Z$65:$AA$65))*(1-实盘持仓初始配置!$Z$9)^(('实盘净值数据(iFinD）'!$A707-'实盘净值数据(iFinD）'!$A$8)/365))</f>
        <v/>
      </c>
      <c r="R707" s="16" t="str">
        <f t="shared" si="71"/>
        <v/>
      </c>
      <c r="S707" s="16" t="str">
        <f>IF(Q707="","",Q707/MAX(Q$5:Q707)-1)</f>
        <v/>
      </c>
    </row>
    <row r="708" spans="1:19">
      <c r="A708" s="15" t="str">
        <f>IF('实盘净值数据(iFinD）'!A708="","",'实盘净值数据(iFinD）'!A708)</f>
        <v/>
      </c>
      <c r="B708" s="13" t="str">
        <f>IF(OR('实盘净值数据(iFinD）'!$A708="",'实盘净值数据(iFinD）'!$B708=""),"",分期持仓明细!$AB$17*SUMPRODUCT(分期持仓明细!$B$17:$Y$17,'实盘净值数据(iFinD）'!$B708:$Y708/'实盘净值数据(iFinD）'!$B$20:$Y$20)*(1-实盘持仓初始配置!$Z$4)^(('实盘净值数据(iFinD）'!$A708-'实盘净值数据(iFinD）'!$A$6)/365))</f>
        <v/>
      </c>
      <c r="C708" s="16" t="str">
        <f t="shared" si="66"/>
        <v/>
      </c>
      <c r="D708" s="16" t="str">
        <f>IF(B708="","",B708/MAX(B$5:B708)-1)</f>
        <v/>
      </c>
      <c r="E708" s="13" t="str">
        <f>IF(OR('实盘净值数据(iFinD）'!$A708="",'实盘净值数据(iFinD）'!$B708=""),"",分期持仓明细!$AB$18*SUMPRODUCT(分期持仓明细!$B$18:$Y$18,'实盘净值数据(iFinD）'!$B708:$Y708/'实盘净值数据(iFinD）'!$B$20:$Y$20)*(1-实盘持仓初始配置!$Z$5)^(('实盘净值数据(iFinD）'!$A708-'实盘净值数据(iFinD）'!$A$5)/365))</f>
        <v/>
      </c>
      <c r="F708" s="16" t="str">
        <f t="shared" si="67"/>
        <v/>
      </c>
      <c r="G708" s="16" t="str">
        <f>IF(E708="","",E708/MAX(E$5:E708)-1)</f>
        <v/>
      </c>
      <c r="H708" s="13" t="str">
        <f>IF(OR('实盘净值数据(iFinD）'!$A708="",'实盘净值数据(iFinD）'!$B708=""),"",分期持仓明细!$AB$19*SUMPRODUCT(分期持仓明细!$B$19:$Y$19,'实盘净值数据(iFinD）'!$B708:$Y708/'实盘净值数据(iFinD）'!$B$20:$Y$20)*(1-实盘持仓初始配置!$Z$6)^(('实盘净值数据(iFinD）'!$A708-'实盘净值数据(iFinD）'!$A$7)/365))</f>
        <v/>
      </c>
      <c r="I708" s="16" t="str">
        <f t="shared" si="68"/>
        <v/>
      </c>
      <c r="J708" s="16" t="str">
        <f>IF(H708="","",H708/MAX(H$5:H708)-1)</f>
        <v/>
      </c>
      <c r="K708" s="13" t="str">
        <f>IF(OR('实盘净值数据(iFinD）'!$A708="",'实盘净值数据(iFinD）'!$B708="",'实盘净值数据(iFinD）'!$Z708="",'实盘净值数据(iFinD）'!$AA708=""),"",分期持仓明细!$AB$23*(SUMPRODUCT(分期持仓明细!$B$23:$Y$23,'实盘净值数据(iFinD）'!$B708:$Y708/'实盘净值数据(iFinD）'!$B$65:$Y$65)+SUMPRODUCT(分期持仓明细!$AC$23:$AD$23,'实盘净值数据(iFinD）'!$Z708:$AA708/'实盘净值数据(iFinD）'!$Z$65:$AA$65))*(1-实盘持仓初始配置!$Z$7)^(('实盘净值数据(iFinD）'!$A708-'实盘净值数据(iFinD）'!$A$8)/365))</f>
        <v/>
      </c>
      <c r="L708" s="16" t="str">
        <f t="shared" si="69"/>
        <v/>
      </c>
      <c r="M708" s="16" t="str">
        <f>IF(K708="","",K708/MAX(K$5:K708)-1)</f>
        <v/>
      </c>
      <c r="N708" s="13" t="str">
        <f>IF(OR('实盘净值数据(iFinD）'!$A708="",'实盘净值数据(iFinD）'!$B708="",'实盘净值数据(iFinD）'!$Z708="",'实盘净值数据(iFinD）'!$AA708=""),"",分期持仓明细!$AB$24*(SUMPRODUCT(分期持仓明细!$B$24:$Y$24,'实盘净值数据(iFinD）'!$B708:$Y708/'实盘净值数据(iFinD）'!$B$65:$Y$65)+SUMPRODUCT(分期持仓明细!$AC$24:$AD$24,'实盘净值数据(iFinD）'!$Z708:$AA708/'实盘净值数据(iFinD）'!$Z$65:$AA$65))*(1-实盘持仓初始配置!$Z$8)^(('实盘净值数据(iFinD）'!$A708-'实盘净值数据(iFinD）'!$A$5)/365))</f>
        <v/>
      </c>
      <c r="O708" s="16" t="str">
        <f t="shared" si="70"/>
        <v/>
      </c>
      <c r="P708" s="16" t="str">
        <f>IF(N708="","",N708/MAX(N$5:N708)-1)</f>
        <v/>
      </c>
      <c r="Q708" s="13" t="str">
        <f>IF(OR('实盘净值数据(iFinD）'!$A708="",'实盘净值数据(iFinD）'!$B708="",'实盘净值数据(iFinD）'!$Z708="",'实盘净值数据(iFinD）'!$AA708=""),"",分期持仓明细!$AB$25*(SUMPRODUCT(分期持仓明细!$B$25:$Y$25,'实盘净值数据(iFinD）'!$B708:$Y708/'实盘净值数据(iFinD）'!$B$65:$Y$65)+SUMPRODUCT(分期持仓明细!$AC$25:$AD$25,'实盘净值数据(iFinD）'!$Z708:$AA708/'实盘净值数据(iFinD）'!$Z$65:$AA$65))*(1-实盘持仓初始配置!$Z$9)^(('实盘净值数据(iFinD）'!$A708-'实盘净值数据(iFinD）'!$A$8)/365))</f>
        <v/>
      </c>
      <c r="R708" s="16" t="str">
        <f t="shared" si="71"/>
        <v/>
      </c>
      <c r="S708" s="16" t="str">
        <f>IF(Q708="","",Q708/MAX(Q$5:Q708)-1)</f>
        <v/>
      </c>
    </row>
    <row r="709" spans="1:19">
      <c r="A709" s="15" t="str">
        <f>IF('实盘净值数据(iFinD）'!A709="","",'实盘净值数据(iFinD）'!A709)</f>
        <v/>
      </c>
      <c r="B709" s="13" t="str">
        <f>IF(OR('实盘净值数据(iFinD）'!$A709="",'实盘净值数据(iFinD）'!$B709=""),"",分期持仓明细!$AB$17*SUMPRODUCT(分期持仓明细!$B$17:$Y$17,'实盘净值数据(iFinD）'!$B709:$Y709/'实盘净值数据(iFinD）'!$B$20:$Y$20)*(1-实盘持仓初始配置!$Z$4)^(('实盘净值数据(iFinD）'!$A709-'实盘净值数据(iFinD）'!$A$6)/365))</f>
        <v/>
      </c>
      <c r="C709" s="16" t="str">
        <f t="shared" si="66"/>
        <v/>
      </c>
      <c r="D709" s="16" t="str">
        <f>IF(B709="","",B709/MAX(B$5:B709)-1)</f>
        <v/>
      </c>
      <c r="E709" s="13" t="str">
        <f>IF(OR('实盘净值数据(iFinD）'!$A709="",'实盘净值数据(iFinD）'!$B709=""),"",分期持仓明细!$AB$18*SUMPRODUCT(分期持仓明细!$B$18:$Y$18,'实盘净值数据(iFinD）'!$B709:$Y709/'实盘净值数据(iFinD）'!$B$20:$Y$20)*(1-实盘持仓初始配置!$Z$5)^(('实盘净值数据(iFinD）'!$A709-'实盘净值数据(iFinD）'!$A$5)/365))</f>
        <v/>
      </c>
      <c r="F709" s="16" t="str">
        <f t="shared" si="67"/>
        <v/>
      </c>
      <c r="G709" s="16" t="str">
        <f>IF(E709="","",E709/MAX(E$5:E709)-1)</f>
        <v/>
      </c>
      <c r="H709" s="13" t="str">
        <f>IF(OR('实盘净值数据(iFinD）'!$A709="",'实盘净值数据(iFinD）'!$B709=""),"",分期持仓明细!$AB$19*SUMPRODUCT(分期持仓明细!$B$19:$Y$19,'实盘净值数据(iFinD）'!$B709:$Y709/'实盘净值数据(iFinD）'!$B$20:$Y$20)*(1-实盘持仓初始配置!$Z$6)^(('实盘净值数据(iFinD）'!$A709-'实盘净值数据(iFinD）'!$A$7)/365))</f>
        <v/>
      </c>
      <c r="I709" s="16" t="str">
        <f t="shared" si="68"/>
        <v/>
      </c>
      <c r="J709" s="16" t="str">
        <f>IF(H709="","",H709/MAX(H$5:H709)-1)</f>
        <v/>
      </c>
      <c r="K709" s="13" t="str">
        <f>IF(OR('实盘净值数据(iFinD）'!$A709="",'实盘净值数据(iFinD）'!$B709="",'实盘净值数据(iFinD）'!$Z709="",'实盘净值数据(iFinD）'!$AA709=""),"",分期持仓明细!$AB$23*(SUMPRODUCT(分期持仓明细!$B$23:$Y$23,'实盘净值数据(iFinD）'!$B709:$Y709/'实盘净值数据(iFinD）'!$B$65:$Y$65)+SUMPRODUCT(分期持仓明细!$AC$23:$AD$23,'实盘净值数据(iFinD）'!$Z709:$AA709/'实盘净值数据(iFinD）'!$Z$65:$AA$65))*(1-实盘持仓初始配置!$Z$7)^(('实盘净值数据(iFinD）'!$A709-'实盘净值数据(iFinD）'!$A$8)/365))</f>
        <v/>
      </c>
      <c r="L709" s="16" t="str">
        <f t="shared" si="69"/>
        <v/>
      </c>
      <c r="M709" s="16" t="str">
        <f>IF(K709="","",K709/MAX(K$5:K709)-1)</f>
        <v/>
      </c>
      <c r="N709" s="13" t="str">
        <f>IF(OR('实盘净值数据(iFinD）'!$A709="",'实盘净值数据(iFinD）'!$B709="",'实盘净值数据(iFinD）'!$Z709="",'实盘净值数据(iFinD）'!$AA709=""),"",分期持仓明细!$AB$24*(SUMPRODUCT(分期持仓明细!$B$24:$Y$24,'实盘净值数据(iFinD）'!$B709:$Y709/'实盘净值数据(iFinD）'!$B$65:$Y$65)+SUMPRODUCT(分期持仓明细!$AC$24:$AD$24,'实盘净值数据(iFinD）'!$Z709:$AA709/'实盘净值数据(iFinD）'!$Z$65:$AA$65))*(1-实盘持仓初始配置!$Z$8)^(('实盘净值数据(iFinD）'!$A709-'实盘净值数据(iFinD）'!$A$5)/365))</f>
        <v/>
      </c>
      <c r="O709" s="16" t="str">
        <f t="shared" si="70"/>
        <v/>
      </c>
      <c r="P709" s="16" t="str">
        <f>IF(N709="","",N709/MAX(N$5:N709)-1)</f>
        <v/>
      </c>
      <c r="Q709" s="13" t="str">
        <f>IF(OR('实盘净值数据(iFinD）'!$A709="",'实盘净值数据(iFinD）'!$B709="",'实盘净值数据(iFinD）'!$Z709="",'实盘净值数据(iFinD）'!$AA709=""),"",分期持仓明细!$AB$25*(SUMPRODUCT(分期持仓明细!$B$25:$Y$25,'实盘净值数据(iFinD）'!$B709:$Y709/'实盘净值数据(iFinD）'!$B$65:$Y$65)+SUMPRODUCT(分期持仓明细!$AC$25:$AD$25,'实盘净值数据(iFinD）'!$Z709:$AA709/'实盘净值数据(iFinD）'!$Z$65:$AA$65))*(1-实盘持仓初始配置!$Z$9)^(('实盘净值数据(iFinD）'!$A709-'实盘净值数据(iFinD）'!$A$8)/365))</f>
        <v/>
      </c>
      <c r="R709" s="16" t="str">
        <f t="shared" si="71"/>
        <v/>
      </c>
      <c r="S709" s="16" t="str">
        <f>IF(Q709="","",Q709/MAX(Q$5:Q709)-1)</f>
        <v/>
      </c>
    </row>
    <row r="710" spans="1:19">
      <c r="A710" s="15" t="str">
        <f>IF('实盘净值数据(iFinD）'!A710="","",'实盘净值数据(iFinD）'!A710)</f>
        <v/>
      </c>
      <c r="B710" s="13" t="str">
        <f>IF(OR('实盘净值数据(iFinD）'!$A710="",'实盘净值数据(iFinD）'!$B710=""),"",分期持仓明细!$AB$17*SUMPRODUCT(分期持仓明细!$B$17:$Y$17,'实盘净值数据(iFinD）'!$B710:$Y710/'实盘净值数据(iFinD）'!$B$20:$Y$20)*(1-实盘持仓初始配置!$Z$4)^(('实盘净值数据(iFinD）'!$A710-'实盘净值数据(iFinD）'!$A$6)/365))</f>
        <v/>
      </c>
      <c r="C710" s="16" t="str">
        <f t="shared" si="66"/>
        <v/>
      </c>
      <c r="D710" s="16" t="str">
        <f>IF(B710="","",B710/MAX(B$5:B710)-1)</f>
        <v/>
      </c>
      <c r="E710" s="13" t="str">
        <f>IF(OR('实盘净值数据(iFinD）'!$A710="",'实盘净值数据(iFinD）'!$B710=""),"",分期持仓明细!$AB$18*SUMPRODUCT(分期持仓明细!$B$18:$Y$18,'实盘净值数据(iFinD）'!$B710:$Y710/'实盘净值数据(iFinD）'!$B$20:$Y$20)*(1-实盘持仓初始配置!$Z$5)^(('实盘净值数据(iFinD）'!$A710-'实盘净值数据(iFinD）'!$A$5)/365))</f>
        <v/>
      </c>
      <c r="F710" s="16" t="str">
        <f t="shared" si="67"/>
        <v/>
      </c>
      <c r="G710" s="16" t="str">
        <f>IF(E710="","",E710/MAX(E$5:E710)-1)</f>
        <v/>
      </c>
      <c r="H710" s="13" t="str">
        <f>IF(OR('实盘净值数据(iFinD）'!$A710="",'实盘净值数据(iFinD）'!$B710=""),"",分期持仓明细!$AB$19*SUMPRODUCT(分期持仓明细!$B$19:$Y$19,'实盘净值数据(iFinD）'!$B710:$Y710/'实盘净值数据(iFinD）'!$B$20:$Y$20)*(1-实盘持仓初始配置!$Z$6)^(('实盘净值数据(iFinD）'!$A710-'实盘净值数据(iFinD）'!$A$7)/365))</f>
        <v/>
      </c>
      <c r="I710" s="16" t="str">
        <f t="shared" si="68"/>
        <v/>
      </c>
      <c r="J710" s="16" t="str">
        <f>IF(H710="","",H710/MAX(H$5:H710)-1)</f>
        <v/>
      </c>
      <c r="K710" s="13" t="str">
        <f>IF(OR('实盘净值数据(iFinD）'!$A710="",'实盘净值数据(iFinD）'!$B710="",'实盘净值数据(iFinD）'!$Z710="",'实盘净值数据(iFinD）'!$AA710=""),"",分期持仓明细!$AB$23*(SUMPRODUCT(分期持仓明细!$B$23:$Y$23,'实盘净值数据(iFinD）'!$B710:$Y710/'实盘净值数据(iFinD）'!$B$65:$Y$65)+SUMPRODUCT(分期持仓明细!$AC$23:$AD$23,'实盘净值数据(iFinD）'!$Z710:$AA710/'实盘净值数据(iFinD）'!$Z$65:$AA$65))*(1-实盘持仓初始配置!$Z$7)^(('实盘净值数据(iFinD）'!$A710-'实盘净值数据(iFinD）'!$A$8)/365))</f>
        <v/>
      </c>
      <c r="L710" s="16" t="str">
        <f t="shared" si="69"/>
        <v/>
      </c>
      <c r="M710" s="16" t="str">
        <f>IF(K710="","",K710/MAX(K$5:K710)-1)</f>
        <v/>
      </c>
      <c r="N710" s="13" t="str">
        <f>IF(OR('实盘净值数据(iFinD）'!$A710="",'实盘净值数据(iFinD）'!$B710="",'实盘净值数据(iFinD）'!$Z710="",'实盘净值数据(iFinD）'!$AA710=""),"",分期持仓明细!$AB$24*(SUMPRODUCT(分期持仓明细!$B$24:$Y$24,'实盘净值数据(iFinD）'!$B710:$Y710/'实盘净值数据(iFinD）'!$B$65:$Y$65)+SUMPRODUCT(分期持仓明细!$AC$24:$AD$24,'实盘净值数据(iFinD）'!$Z710:$AA710/'实盘净值数据(iFinD）'!$Z$65:$AA$65))*(1-实盘持仓初始配置!$Z$8)^(('实盘净值数据(iFinD）'!$A710-'实盘净值数据(iFinD）'!$A$5)/365))</f>
        <v/>
      </c>
      <c r="O710" s="16" t="str">
        <f t="shared" si="70"/>
        <v/>
      </c>
      <c r="P710" s="16" t="str">
        <f>IF(N710="","",N710/MAX(N$5:N710)-1)</f>
        <v/>
      </c>
      <c r="Q710" s="13" t="str">
        <f>IF(OR('实盘净值数据(iFinD）'!$A710="",'实盘净值数据(iFinD）'!$B710="",'实盘净值数据(iFinD）'!$Z710="",'实盘净值数据(iFinD）'!$AA710=""),"",分期持仓明细!$AB$25*(SUMPRODUCT(分期持仓明细!$B$25:$Y$25,'实盘净值数据(iFinD）'!$B710:$Y710/'实盘净值数据(iFinD）'!$B$65:$Y$65)+SUMPRODUCT(分期持仓明细!$AC$25:$AD$25,'实盘净值数据(iFinD）'!$Z710:$AA710/'实盘净值数据(iFinD）'!$Z$65:$AA$65))*(1-实盘持仓初始配置!$Z$9)^(('实盘净值数据(iFinD）'!$A710-'实盘净值数据(iFinD）'!$A$8)/365))</f>
        <v/>
      </c>
      <c r="R710" s="16" t="str">
        <f t="shared" si="71"/>
        <v/>
      </c>
      <c r="S710" s="16" t="str">
        <f>IF(Q710="","",Q710/MAX(Q$5:Q710)-1)</f>
        <v/>
      </c>
    </row>
    <row r="711" spans="1:19">
      <c r="A711" s="15" t="str">
        <f>IF('实盘净值数据(iFinD）'!A711="","",'实盘净值数据(iFinD）'!A711)</f>
        <v/>
      </c>
      <c r="B711" s="13" t="str">
        <f>IF(OR('实盘净值数据(iFinD）'!$A711="",'实盘净值数据(iFinD）'!$B711=""),"",分期持仓明细!$AB$17*SUMPRODUCT(分期持仓明细!$B$17:$Y$17,'实盘净值数据(iFinD）'!$B711:$Y711/'实盘净值数据(iFinD）'!$B$20:$Y$20)*(1-实盘持仓初始配置!$Z$4)^(('实盘净值数据(iFinD）'!$A711-'实盘净值数据(iFinD）'!$A$6)/365))</f>
        <v/>
      </c>
      <c r="C711" s="16" t="str">
        <f t="shared" si="66"/>
        <v/>
      </c>
      <c r="D711" s="16" t="str">
        <f>IF(B711="","",B711/MAX(B$5:B711)-1)</f>
        <v/>
      </c>
      <c r="E711" s="13" t="str">
        <f>IF(OR('实盘净值数据(iFinD）'!$A711="",'实盘净值数据(iFinD）'!$B711=""),"",分期持仓明细!$AB$18*SUMPRODUCT(分期持仓明细!$B$18:$Y$18,'实盘净值数据(iFinD）'!$B711:$Y711/'实盘净值数据(iFinD）'!$B$20:$Y$20)*(1-实盘持仓初始配置!$Z$5)^(('实盘净值数据(iFinD）'!$A711-'实盘净值数据(iFinD）'!$A$5)/365))</f>
        <v/>
      </c>
      <c r="F711" s="16" t="str">
        <f t="shared" si="67"/>
        <v/>
      </c>
      <c r="G711" s="16" t="str">
        <f>IF(E711="","",E711/MAX(E$5:E711)-1)</f>
        <v/>
      </c>
      <c r="H711" s="13" t="str">
        <f>IF(OR('实盘净值数据(iFinD）'!$A711="",'实盘净值数据(iFinD）'!$B711=""),"",分期持仓明细!$AB$19*SUMPRODUCT(分期持仓明细!$B$19:$Y$19,'实盘净值数据(iFinD）'!$B711:$Y711/'实盘净值数据(iFinD）'!$B$20:$Y$20)*(1-实盘持仓初始配置!$Z$6)^(('实盘净值数据(iFinD）'!$A711-'实盘净值数据(iFinD）'!$A$7)/365))</f>
        <v/>
      </c>
      <c r="I711" s="16" t="str">
        <f t="shared" si="68"/>
        <v/>
      </c>
      <c r="J711" s="16" t="str">
        <f>IF(H711="","",H711/MAX(H$5:H711)-1)</f>
        <v/>
      </c>
      <c r="K711" s="13" t="str">
        <f>IF(OR('实盘净值数据(iFinD）'!$A711="",'实盘净值数据(iFinD）'!$B711="",'实盘净值数据(iFinD）'!$Z711="",'实盘净值数据(iFinD）'!$AA711=""),"",分期持仓明细!$AB$23*(SUMPRODUCT(分期持仓明细!$B$23:$Y$23,'实盘净值数据(iFinD）'!$B711:$Y711/'实盘净值数据(iFinD）'!$B$65:$Y$65)+SUMPRODUCT(分期持仓明细!$AC$23:$AD$23,'实盘净值数据(iFinD）'!$Z711:$AA711/'实盘净值数据(iFinD）'!$Z$65:$AA$65))*(1-实盘持仓初始配置!$Z$7)^(('实盘净值数据(iFinD）'!$A711-'实盘净值数据(iFinD）'!$A$8)/365))</f>
        <v/>
      </c>
      <c r="L711" s="16" t="str">
        <f t="shared" si="69"/>
        <v/>
      </c>
      <c r="M711" s="16" t="str">
        <f>IF(K711="","",K711/MAX(K$5:K711)-1)</f>
        <v/>
      </c>
      <c r="N711" s="13" t="str">
        <f>IF(OR('实盘净值数据(iFinD）'!$A711="",'实盘净值数据(iFinD）'!$B711="",'实盘净值数据(iFinD）'!$Z711="",'实盘净值数据(iFinD）'!$AA711=""),"",分期持仓明细!$AB$24*(SUMPRODUCT(分期持仓明细!$B$24:$Y$24,'实盘净值数据(iFinD）'!$B711:$Y711/'实盘净值数据(iFinD）'!$B$65:$Y$65)+SUMPRODUCT(分期持仓明细!$AC$24:$AD$24,'实盘净值数据(iFinD）'!$Z711:$AA711/'实盘净值数据(iFinD）'!$Z$65:$AA$65))*(1-实盘持仓初始配置!$Z$8)^(('实盘净值数据(iFinD）'!$A711-'实盘净值数据(iFinD）'!$A$5)/365))</f>
        <v/>
      </c>
      <c r="O711" s="16" t="str">
        <f t="shared" si="70"/>
        <v/>
      </c>
      <c r="P711" s="16" t="str">
        <f>IF(N711="","",N711/MAX(N$5:N711)-1)</f>
        <v/>
      </c>
      <c r="Q711" s="13" t="str">
        <f>IF(OR('实盘净值数据(iFinD）'!$A711="",'实盘净值数据(iFinD）'!$B711="",'实盘净值数据(iFinD）'!$Z711="",'实盘净值数据(iFinD）'!$AA711=""),"",分期持仓明细!$AB$25*(SUMPRODUCT(分期持仓明细!$B$25:$Y$25,'实盘净值数据(iFinD）'!$B711:$Y711/'实盘净值数据(iFinD）'!$B$65:$Y$65)+SUMPRODUCT(分期持仓明细!$AC$25:$AD$25,'实盘净值数据(iFinD）'!$Z711:$AA711/'实盘净值数据(iFinD）'!$Z$65:$AA$65))*(1-实盘持仓初始配置!$Z$9)^(('实盘净值数据(iFinD）'!$A711-'实盘净值数据(iFinD）'!$A$8)/365))</f>
        <v/>
      </c>
      <c r="R711" s="16" t="str">
        <f t="shared" si="71"/>
        <v/>
      </c>
      <c r="S711" s="16" t="str">
        <f>IF(Q711="","",Q711/MAX(Q$5:Q711)-1)</f>
        <v/>
      </c>
    </row>
    <row r="712" spans="1:19">
      <c r="A712" s="15" t="str">
        <f>IF('实盘净值数据(iFinD）'!A712="","",'实盘净值数据(iFinD）'!A712)</f>
        <v/>
      </c>
      <c r="B712" s="13" t="str">
        <f>IF(OR('实盘净值数据(iFinD）'!$A712="",'实盘净值数据(iFinD）'!$B712=""),"",分期持仓明细!$AB$17*SUMPRODUCT(分期持仓明细!$B$17:$Y$17,'实盘净值数据(iFinD）'!$B712:$Y712/'实盘净值数据(iFinD）'!$B$20:$Y$20)*(1-实盘持仓初始配置!$Z$4)^(('实盘净值数据(iFinD）'!$A712-'实盘净值数据(iFinD）'!$A$6)/365))</f>
        <v/>
      </c>
      <c r="C712" s="16" t="str">
        <f t="shared" si="66"/>
        <v/>
      </c>
      <c r="D712" s="16" t="str">
        <f>IF(B712="","",B712/MAX(B$5:B712)-1)</f>
        <v/>
      </c>
      <c r="E712" s="13" t="str">
        <f>IF(OR('实盘净值数据(iFinD）'!$A712="",'实盘净值数据(iFinD）'!$B712=""),"",分期持仓明细!$AB$18*SUMPRODUCT(分期持仓明细!$B$18:$Y$18,'实盘净值数据(iFinD）'!$B712:$Y712/'实盘净值数据(iFinD）'!$B$20:$Y$20)*(1-实盘持仓初始配置!$Z$5)^(('实盘净值数据(iFinD）'!$A712-'实盘净值数据(iFinD）'!$A$5)/365))</f>
        <v/>
      </c>
      <c r="F712" s="16" t="str">
        <f t="shared" si="67"/>
        <v/>
      </c>
      <c r="G712" s="16" t="str">
        <f>IF(E712="","",E712/MAX(E$5:E712)-1)</f>
        <v/>
      </c>
      <c r="H712" s="13" t="str">
        <f>IF(OR('实盘净值数据(iFinD）'!$A712="",'实盘净值数据(iFinD）'!$B712=""),"",分期持仓明细!$AB$19*SUMPRODUCT(分期持仓明细!$B$19:$Y$19,'实盘净值数据(iFinD）'!$B712:$Y712/'实盘净值数据(iFinD）'!$B$20:$Y$20)*(1-实盘持仓初始配置!$Z$6)^(('实盘净值数据(iFinD）'!$A712-'实盘净值数据(iFinD）'!$A$7)/365))</f>
        <v/>
      </c>
      <c r="I712" s="16" t="str">
        <f t="shared" si="68"/>
        <v/>
      </c>
      <c r="J712" s="16" t="str">
        <f>IF(H712="","",H712/MAX(H$5:H712)-1)</f>
        <v/>
      </c>
      <c r="K712" s="13" t="str">
        <f>IF(OR('实盘净值数据(iFinD）'!$A712="",'实盘净值数据(iFinD）'!$B712="",'实盘净值数据(iFinD）'!$Z712="",'实盘净值数据(iFinD）'!$AA712=""),"",分期持仓明细!$AB$23*(SUMPRODUCT(分期持仓明细!$B$23:$Y$23,'实盘净值数据(iFinD）'!$B712:$Y712/'实盘净值数据(iFinD）'!$B$65:$Y$65)+SUMPRODUCT(分期持仓明细!$AC$23:$AD$23,'实盘净值数据(iFinD）'!$Z712:$AA712/'实盘净值数据(iFinD）'!$Z$65:$AA$65))*(1-实盘持仓初始配置!$Z$7)^(('实盘净值数据(iFinD）'!$A712-'实盘净值数据(iFinD）'!$A$8)/365))</f>
        <v/>
      </c>
      <c r="L712" s="16" t="str">
        <f t="shared" si="69"/>
        <v/>
      </c>
      <c r="M712" s="16" t="str">
        <f>IF(K712="","",K712/MAX(K$5:K712)-1)</f>
        <v/>
      </c>
      <c r="N712" s="13" t="str">
        <f>IF(OR('实盘净值数据(iFinD）'!$A712="",'实盘净值数据(iFinD）'!$B712="",'实盘净值数据(iFinD）'!$Z712="",'实盘净值数据(iFinD）'!$AA712=""),"",分期持仓明细!$AB$24*(SUMPRODUCT(分期持仓明细!$B$24:$Y$24,'实盘净值数据(iFinD）'!$B712:$Y712/'实盘净值数据(iFinD）'!$B$65:$Y$65)+SUMPRODUCT(分期持仓明细!$AC$24:$AD$24,'实盘净值数据(iFinD）'!$Z712:$AA712/'实盘净值数据(iFinD）'!$Z$65:$AA$65))*(1-实盘持仓初始配置!$Z$8)^(('实盘净值数据(iFinD）'!$A712-'实盘净值数据(iFinD）'!$A$5)/365))</f>
        <v/>
      </c>
      <c r="O712" s="16" t="str">
        <f t="shared" si="70"/>
        <v/>
      </c>
      <c r="P712" s="16" t="str">
        <f>IF(N712="","",N712/MAX(N$5:N712)-1)</f>
        <v/>
      </c>
      <c r="Q712" s="13" t="str">
        <f>IF(OR('实盘净值数据(iFinD）'!$A712="",'实盘净值数据(iFinD）'!$B712="",'实盘净值数据(iFinD）'!$Z712="",'实盘净值数据(iFinD）'!$AA712=""),"",分期持仓明细!$AB$25*(SUMPRODUCT(分期持仓明细!$B$25:$Y$25,'实盘净值数据(iFinD）'!$B712:$Y712/'实盘净值数据(iFinD）'!$B$65:$Y$65)+SUMPRODUCT(分期持仓明细!$AC$25:$AD$25,'实盘净值数据(iFinD）'!$Z712:$AA712/'实盘净值数据(iFinD）'!$Z$65:$AA$65))*(1-实盘持仓初始配置!$Z$9)^(('实盘净值数据(iFinD）'!$A712-'实盘净值数据(iFinD）'!$A$8)/365))</f>
        <v/>
      </c>
      <c r="R712" s="16" t="str">
        <f t="shared" si="71"/>
        <v/>
      </c>
      <c r="S712" s="16" t="str">
        <f>IF(Q712="","",Q712/MAX(Q$5:Q712)-1)</f>
        <v/>
      </c>
    </row>
    <row r="713" spans="1:19">
      <c r="A713" s="15" t="str">
        <f>IF('实盘净值数据(iFinD）'!A713="","",'实盘净值数据(iFinD）'!A713)</f>
        <v/>
      </c>
      <c r="B713" s="13" t="str">
        <f>IF(OR('实盘净值数据(iFinD）'!$A713="",'实盘净值数据(iFinD）'!$B713=""),"",分期持仓明细!$AB$17*SUMPRODUCT(分期持仓明细!$B$17:$Y$17,'实盘净值数据(iFinD）'!$B713:$Y713/'实盘净值数据(iFinD）'!$B$20:$Y$20)*(1-实盘持仓初始配置!$Z$4)^(('实盘净值数据(iFinD）'!$A713-'实盘净值数据(iFinD）'!$A$6)/365))</f>
        <v/>
      </c>
      <c r="C713" s="16" t="str">
        <f t="shared" si="66"/>
        <v/>
      </c>
      <c r="D713" s="16" t="str">
        <f>IF(B713="","",B713/MAX(B$5:B713)-1)</f>
        <v/>
      </c>
      <c r="E713" s="13" t="str">
        <f>IF(OR('实盘净值数据(iFinD）'!$A713="",'实盘净值数据(iFinD）'!$B713=""),"",分期持仓明细!$AB$18*SUMPRODUCT(分期持仓明细!$B$18:$Y$18,'实盘净值数据(iFinD）'!$B713:$Y713/'实盘净值数据(iFinD）'!$B$20:$Y$20)*(1-实盘持仓初始配置!$Z$5)^(('实盘净值数据(iFinD）'!$A713-'实盘净值数据(iFinD）'!$A$5)/365))</f>
        <v/>
      </c>
      <c r="F713" s="16" t="str">
        <f t="shared" si="67"/>
        <v/>
      </c>
      <c r="G713" s="16" t="str">
        <f>IF(E713="","",E713/MAX(E$5:E713)-1)</f>
        <v/>
      </c>
      <c r="H713" s="13" t="str">
        <f>IF(OR('实盘净值数据(iFinD）'!$A713="",'实盘净值数据(iFinD）'!$B713=""),"",分期持仓明细!$AB$19*SUMPRODUCT(分期持仓明细!$B$19:$Y$19,'实盘净值数据(iFinD）'!$B713:$Y713/'实盘净值数据(iFinD）'!$B$20:$Y$20)*(1-实盘持仓初始配置!$Z$6)^(('实盘净值数据(iFinD）'!$A713-'实盘净值数据(iFinD）'!$A$7)/365))</f>
        <v/>
      </c>
      <c r="I713" s="16" t="str">
        <f t="shared" si="68"/>
        <v/>
      </c>
      <c r="J713" s="16" t="str">
        <f>IF(H713="","",H713/MAX(H$5:H713)-1)</f>
        <v/>
      </c>
      <c r="K713" s="13" t="str">
        <f>IF(OR('实盘净值数据(iFinD）'!$A713="",'实盘净值数据(iFinD）'!$B713="",'实盘净值数据(iFinD）'!$Z713="",'实盘净值数据(iFinD）'!$AA713=""),"",分期持仓明细!$AB$23*(SUMPRODUCT(分期持仓明细!$B$23:$Y$23,'实盘净值数据(iFinD）'!$B713:$Y713/'实盘净值数据(iFinD）'!$B$65:$Y$65)+SUMPRODUCT(分期持仓明细!$AC$23:$AD$23,'实盘净值数据(iFinD）'!$Z713:$AA713/'实盘净值数据(iFinD）'!$Z$65:$AA$65))*(1-实盘持仓初始配置!$Z$7)^(('实盘净值数据(iFinD）'!$A713-'实盘净值数据(iFinD）'!$A$8)/365))</f>
        <v/>
      </c>
      <c r="L713" s="16" t="str">
        <f t="shared" si="69"/>
        <v/>
      </c>
      <c r="M713" s="16" t="str">
        <f>IF(K713="","",K713/MAX(K$5:K713)-1)</f>
        <v/>
      </c>
      <c r="N713" s="13" t="str">
        <f>IF(OR('实盘净值数据(iFinD）'!$A713="",'实盘净值数据(iFinD）'!$B713="",'实盘净值数据(iFinD）'!$Z713="",'实盘净值数据(iFinD）'!$AA713=""),"",分期持仓明细!$AB$24*(SUMPRODUCT(分期持仓明细!$B$24:$Y$24,'实盘净值数据(iFinD）'!$B713:$Y713/'实盘净值数据(iFinD）'!$B$65:$Y$65)+SUMPRODUCT(分期持仓明细!$AC$24:$AD$24,'实盘净值数据(iFinD）'!$Z713:$AA713/'实盘净值数据(iFinD）'!$Z$65:$AA$65))*(1-实盘持仓初始配置!$Z$8)^(('实盘净值数据(iFinD）'!$A713-'实盘净值数据(iFinD）'!$A$5)/365))</f>
        <v/>
      </c>
      <c r="O713" s="16" t="str">
        <f t="shared" si="70"/>
        <v/>
      </c>
      <c r="P713" s="16" t="str">
        <f>IF(N713="","",N713/MAX(N$5:N713)-1)</f>
        <v/>
      </c>
      <c r="Q713" s="13" t="str">
        <f>IF(OR('实盘净值数据(iFinD）'!$A713="",'实盘净值数据(iFinD）'!$B713="",'实盘净值数据(iFinD）'!$Z713="",'实盘净值数据(iFinD）'!$AA713=""),"",分期持仓明细!$AB$25*(SUMPRODUCT(分期持仓明细!$B$25:$Y$25,'实盘净值数据(iFinD）'!$B713:$Y713/'实盘净值数据(iFinD）'!$B$65:$Y$65)+SUMPRODUCT(分期持仓明细!$AC$25:$AD$25,'实盘净值数据(iFinD）'!$Z713:$AA713/'实盘净值数据(iFinD）'!$Z$65:$AA$65))*(1-实盘持仓初始配置!$Z$9)^(('实盘净值数据(iFinD）'!$A713-'实盘净值数据(iFinD）'!$A$8)/365))</f>
        <v/>
      </c>
      <c r="R713" s="16" t="str">
        <f t="shared" si="71"/>
        <v/>
      </c>
      <c r="S713" s="16" t="str">
        <f>IF(Q713="","",Q713/MAX(Q$5:Q713)-1)</f>
        <v/>
      </c>
    </row>
    <row r="714" spans="1:19">
      <c r="A714" s="15" t="str">
        <f>IF('实盘净值数据(iFinD）'!A714="","",'实盘净值数据(iFinD）'!A714)</f>
        <v/>
      </c>
      <c r="B714" s="13" t="str">
        <f>IF(OR('实盘净值数据(iFinD）'!$A714="",'实盘净值数据(iFinD）'!$B714=""),"",分期持仓明细!$AB$17*SUMPRODUCT(分期持仓明细!$B$17:$Y$17,'实盘净值数据(iFinD）'!$B714:$Y714/'实盘净值数据(iFinD）'!$B$20:$Y$20)*(1-实盘持仓初始配置!$Z$4)^(('实盘净值数据(iFinD）'!$A714-'实盘净值数据(iFinD）'!$A$6)/365))</f>
        <v/>
      </c>
      <c r="C714" s="16" t="str">
        <f t="shared" si="66"/>
        <v/>
      </c>
      <c r="D714" s="16" t="str">
        <f>IF(B714="","",B714/MAX(B$5:B714)-1)</f>
        <v/>
      </c>
      <c r="E714" s="13" t="str">
        <f>IF(OR('实盘净值数据(iFinD）'!$A714="",'实盘净值数据(iFinD）'!$B714=""),"",分期持仓明细!$AB$18*SUMPRODUCT(分期持仓明细!$B$18:$Y$18,'实盘净值数据(iFinD）'!$B714:$Y714/'实盘净值数据(iFinD）'!$B$20:$Y$20)*(1-实盘持仓初始配置!$Z$5)^(('实盘净值数据(iFinD）'!$A714-'实盘净值数据(iFinD）'!$A$5)/365))</f>
        <v/>
      </c>
      <c r="F714" s="16" t="str">
        <f t="shared" si="67"/>
        <v/>
      </c>
      <c r="G714" s="16" t="str">
        <f>IF(E714="","",E714/MAX(E$5:E714)-1)</f>
        <v/>
      </c>
      <c r="H714" s="13" t="str">
        <f>IF(OR('实盘净值数据(iFinD）'!$A714="",'实盘净值数据(iFinD）'!$B714=""),"",分期持仓明细!$AB$19*SUMPRODUCT(分期持仓明细!$B$19:$Y$19,'实盘净值数据(iFinD）'!$B714:$Y714/'实盘净值数据(iFinD）'!$B$20:$Y$20)*(1-实盘持仓初始配置!$Z$6)^(('实盘净值数据(iFinD）'!$A714-'实盘净值数据(iFinD）'!$A$7)/365))</f>
        <v/>
      </c>
      <c r="I714" s="16" t="str">
        <f t="shared" si="68"/>
        <v/>
      </c>
      <c r="J714" s="16" t="str">
        <f>IF(H714="","",H714/MAX(H$5:H714)-1)</f>
        <v/>
      </c>
      <c r="K714" s="13" t="str">
        <f>IF(OR('实盘净值数据(iFinD）'!$A714="",'实盘净值数据(iFinD）'!$B714="",'实盘净值数据(iFinD）'!$Z714="",'实盘净值数据(iFinD）'!$AA714=""),"",分期持仓明细!$AB$23*(SUMPRODUCT(分期持仓明细!$B$23:$Y$23,'实盘净值数据(iFinD）'!$B714:$Y714/'实盘净值数据(iFinD）'!$B$65:$Y$65)+SUMPRODUCT(分期持仓明细!$AC$23:$AD$23,'实盘净值数据(iFinD）'!$Z714:$AA714/'实盘净值数据(iFinD）'!$Z$65:$AA$65))*(1-实盘持仓初始配置!$Z$7)^(('实盘净值数据(iFinD）'!$A714-'实盘净值数据(iFinD）'!$A$8)/365))</f>
        <v/>
      </c>
      <c r="L714" s="16" t="str">
        <f t="shared" si="69"/>
        <v/>
      </c>
      <c r="M714" s="16" t="str">
        <f>IF(K714="","",K714/MAX(K$5:K714)-1)</f>
        <v/>
      </c>
      <c r="N714" s="13" t="str">
        <f>IF(OR('实盘净值数据(iFinD）'!$A714="",'实盘净值数据(iFinD）'!$B714="",'实盘净值数据(iFinD）'!$Z714="",'实盘净值数据(iFinD）'!$AA714=""),"",分期持仓明细!$AB$24*(SUMPRODUCT(分期持仓明细!$B$24:$Y$24,'实盘净值数据(iFinD）'!$B714:$Y714/'实盘净值数据(iFinD）'!$B$65:$Y$65)+SUMPRODUCT(分期持仓明细!$AC$24:$AD$24,'实盘净值数据(iFinD）'!$Z714:$AA714/'实盘净值数据(iFinD）'!$Z$65:$AA$65))*(1-实盘持仓初始配置!$Z$8)^(('实盘净值数据(iFinD）'!$A714-'实盘净值数据(iFinD）'!$A$5)/365))</f>
        <v/>
      </c>
      <c r="O714" s="16" t="str">
        <f t="shared" si="70"/>
        <v/>
      </c>
      <c r="P714" s="16" t="str">
        <f>IF(N714="","",N714/MAX(N$5:N714)-1)</f>
        <v/>
      </c>
      <c r="Q714" s="13" t="str">
        <f>IF(OR('实盘净值数据(iFinD）'!$A714="",'实盘净值数据(iFinD）'!$B714="",'实盘净值数据(iFinD）'!$Z714="",'实盘净值数据(iFinD）'!$AA714=""),"",分期持仓明细!$AB$25*(SUMPRODUCT(分期持仓明细!$B$25:$Y$25,'实盘净值数据(iFinD）'!$B714:$Y714/'实盘净值数据(iFinD）'!$B$65:$Y$65)+SUMPRODUCT(分期持仓明细!$AC$25:$AD$25,'实盘净值数据(iFinD）'!$Z714:$AA714/'实盘净值数据(iFinD）'!$Z$65:$AA$65))*(1-实盘持仓初始配置!$Z$9)^(('实盘净值数据(iFinD）'!$A714-'实盘净值数据(iFinD）'!$A$8)/365))</f>
        <v/>
      </c>
      <c r="R714" s="16" t="str">
        <f t="shared" si="71"/>
        <v/>
      </c>
      <c r="S714" s="16" t="str">
        <f>IF(Q714="","",Q714/MAX(Q$5:Q714)-1)</f>
        <v/>
      </c>
    </row>
    <row r="715" spans="1:19">
      <c r="A715" s="15" t="str">
        <f>IF('实盘净值数据(iFinD）'!A715="","",'实盘净值数据(iFinD）'!A715)</f>
        <v/>
      </c>
      <c r="B715" s="13" t="str">
        <f>IF(OR('实盘净值数据(iFinD）'!$A715="",'实盘净值数据(iFinD）'!$B715=""),"",分期持仓明细!$AB$17*SUMPRODUCT(分期持仓明细!$B$17:$Y$17,'实盘净值数据(iFinD）'!$B715:$Y715/'实盘净值数据(iFinD）'!$B$20:$Y$20)*(1-实盘持仓初始配置!$Z$4)^(('实盘净值数据(iFinD）'!$A715-'实盘净值数据(iFinD）'!$A$6)/365))</f>
        <v/>
      </c>
      <c r="C715" s="16" t="str">
        <f t="shared" si="66"/>
        <v/>
      </c>
      <c r="D715" s="16" t="str">
        <f>IF(B715="","",B715/MAX(B$5:B715)-1)</f>
        <v/>
      </c>
      <c r="E715" s="13" t="str">
        <f>IF(OR('实盘净值数据(iFinD）'!$A715="",'实盘净值数据(iFinD）'!$B715=""),"",分期持仓明细!$AB$18*SUMPRODUCT(分期持仓明细!$B$18:$Y$18,'实盘净值数据(iFinD）'!$B715:$Y715/'实盘净值数据(iFinD）'!$B$20:$Y$20)*(1-实盘持仓初始配置!$Z$5)^(('实盘净值数据(iFinD）'!$A715-'实盘净值数据(iFinD）'!$A$5)/365))</f>
        <v/>
      </c>
      <c r="F715" s="16" t="str">
        <f t="shared" si="67"/>
        <v/>
      </c>
      <c r="G715" s="16" t="str">
        <f>IF(E715="","",E715/MAX(E$5:E715)-1)</f>
        <v/>
      </c>
      <c r="H715" s="13" t="str">
        <f>IF(OR('实盘净值数据(iFinD）'!$A715="",'实盘净值数据(iFinD）'!$B715=""),"",分期持仓明细!$AB$19*SUMPRODUCT(分期持仓明细!$B$19:$Y$19,'实盘净值数据(iFinD）'!$B715:$Y715/'实盘净值数据(iFinD）'!$B$20:$Y$20)*(1-实盘持仓初始配置!$Z$6)^(('实盘净值数据(iFinD）'!$A715-'实盘净值数据(iFinD）'!$A$7)/365))</f>
        <v/>
      </c>
      <c r="I715" s="16" t="str">
        <f t="shared" si="68"/>
        <v/>
      </c>
      <c r="J715" s="16" t="str">
        <f>IF(H715="","",H715/MAX(H$5:H715)-1)</f>
        <v/>
      </c>
      <c r="K715" s="13" t="str">
        <f>IF(OR('实盘净值数据(iFinD）'!$A715="",'实盘净值数据(iFinD）'!$B715="",'实盘净值数据(iFinD）'!$Z715="",'实盘净值数据(iFinD）'!$AA715=""),"",分期持仓明细!$AB$23*(SUMPRODUCT(分期持仓明细!$B$23:$Y$23,'实盘净值数据(iFinD）'!$B715:$Y715/'实盘净值数据(iFinD）'!$B$65:$Y$65)+SUMPRODUCT(分期持仓明细!$AC$23:$AD$23,'实盘净值数据(iFinD）'!$Z715:$AA715/'实盘净值数据(iFinD）'!$Z$65:$AA$65))*(1-实盘持仓初始配置!$Z$7)^(('实盘净值数据(iFinD）'!$A715-'实盘净值数据(iFinD）'!$A$8)/365))</f>
        <v/>
      </c>
      <c r="L715" s="16" t="str">
        <f t="shared" si="69"/>
        <v/>
      </c>
      <c r="M715" s="16" t="str">
        <f>IF(K715="","",K715/MAX(K$5:K715)-1)</f>
        <v/>
      </c>
      <c r="N715" s="13" t="str">
        <f>IF(OR('实盘净值数据(iFinD）'!$A715="",'实盘净值数据(iFinD）'!$B715="",'实盘净值数据(iFinD）'!$Z715="",'实盘净值数据(iFinD）'!$AA715=""),"",分期持仓明细!$AB$24*(SUMPRODUCT(分期持仓明细!$B$24:$Y$24,'实盘净值数据(iFinD）'!$B715:$Y715/'实盘净值数据(iFinD）'!$B$65:$Y$65)+SUMPRODUCT(分期持仓明细!$AC$24:$AD$24,'实盘净值数据(iFinD）'!$Z715:$AA715/'实盘净值数据(iFinD）'!$Z$65:$AA$65))*(1-实盘持仓初始配置!$Z$8)^(('实盘净值数据(iFinD）'!$A715-'实盘净值数据(iFinD）'!$A$5)/365))</f>
        <v/>
      </c>
      <c r="O715" s="16" t="str">
        <f t="shared" si="70"/>
        <v/>
      </c>
      <c r="P715" s="16" t="str">
        <f>IF(N715="","",N715/MAX(N$5:N715)-1)</f>
        <v/>
      </c>
      <c r="Q715" s="13" t="str">
        <f>IF(OR('实盘净值数据(iFinD）'!$A715="",'实盘净值数据(iFinD）'!$B715="",'实盘净值数据(iFinD）'!$Z715="",'实盘净值数据(iFinD）'!$AA715=""),"",分期持仓明细!$AB$25*(SUMPRODUCT(分期持仓明细!$B$25:$Y$25,'实盘净值数据(iFinD）'!$B715:$Y715/'实盘净值数据(iFinD）'!$B$65:$Y$65)+SUMPRODUCT(分期持仓明细!$AC$25:$AD$25,'实盘净值数据(iFinD）'!$Z715:$AA715/'实盘净值数据(iFinD）'!$Z$65:$AA$65))*(1-实盘持仓初始配置!$Z$9)^(('实盘净值数据(iFinD）'!$A715-'实盘净值数据(iFinD）'!$A$8)/365))</f>
        <v/>
      </c>
      <c r="R715" s="16" t="str">
        <f t="shared" si="71"/>
        <v/>
      </c>
      <c r="S715" s="16" t="str">
        <f>IF(Q715="","",Q715/MAX(Q$5:Q715)-1)</f>
        <v/>
      </c>
    </row>
    <row r="716" spans="1:19">
      <c r="A716" s="15" t="str">
        <f>IF('实盘净值数据(iFinD）'!A716="","",'实盘净值数据(iFinD）'!A716)</f>
        <v/>
      </c>
      <c r="B716" s="13" t="str">
        <f>IF(OR('实盘净值数据(iFinD）'!$A716="",'实盘净值数据(iFinD）'!$B716=""),"",分期持仓明细!$AB$17*SUMPRODUCT(分期持仓明细!$B$17:$Y$17,'实盘净值数据(iFinD）'!$B716:$Y716/'实盘净值数据(iFinD）'!$B$20:$Y$20)*(1-实盘持仓初始配置!$Z$4)^(('实盘净值数据(iFinD）'!$A716-'实盘净值数据(iFinD）'!$A$6)/365))</f>
        <v/>
      </c>
      <c r="C716" s="16" t="str">
        <f t="shared" si="66"/>
        <v/>
      </c>
      <c r="D716" s="16" t="str">
        <f>IF(B716="","",B716/MAX(B$5:B716)-1)</f>
        <v/>
      </c>
      <c r="E716" s="13" t="str">
        <f>IF(OR('实盘净值数据(iFinD）'!$A716="",'实盘净值数据(iFinD）'!$B716=""),"",分期持仓明细!$AB$18*SUMPRODUCT(分期持仓明细!$B$18:$Y$18,'实盘净值数据(iFinD）'!$B716:$Y716/'实盘净值数据(iFinD）'!$B$20:$Y$20)*(1-实盘持仓初始配置!$Z$5)^(('实盘净值数据(iFinD）'!$A716-'实盘净值数据(iFinD）'!$A$5)/365))</f>
        <v/>
      </c>
      <c r="F716" s="16" t="str">
        <f t="shared" si="67"/>
        <v/>
      </c>
      <c r="G716" s="16" t="str">
        <f>IF(E716="","",E716/MAX(E$5:E716)-1)</f>
        <v/>
      </c>
      <c r="H716" s="13" t="str">
        <f>IF(OR('实盘净值数据(iFinD）'!$A716="",'实盘净值数据(iFinD）'!$B716=""),"",分期持仓明细!$AB$19*SUMPRODUCT(分期持仓明细!$B$19:$Y$19,'实盘净值数据(iFinD）'!$B716:$Y716/'实盘净值数据(iFinD）'!$B$20:$Y$20)*(1-实盘持仓初始配置!$Z$6)^(('实盘净值数据(iFinD）'!$A716-'实盘净值数据(iFinD）'!$A$7)/365))</f>
        <v/>
      </c>
      <c r="I716" s="16" t="str">
        <f t="shared" si="68"/>
        <v/>
      </c>
      <c r="J716" s="16" t="str">
        <f>IF(H716="","",H716/MAX(H$5:H716)-1)</f>
        <v/>
      </c>
      <c r="K716" s="13" t="str">
        <f>IF(OR('实盘净值数据(iFinD）'!$A716="",'实盘净值数据(iFinD）'!$B716="",'实盘净值数据(iFinD）'!$Z716="",'实盘净值数据(iFinD）'!$AA716=""),"",分期持仓明细!$AB$23*(SUMPRODUCT(分期持仓明细!$B$23:$Y$23,'实盘净值数据(iFinD）'!$B716:$Y716/'实盘净值数据(iFinD）'!$B$65:$Y$65)+SUMPRODUCT(分期持仓明细!$AC$23:$AD$23,'实盘净值数据(iFinD）'!$Z716:$AA716/'实盘净值数据(iFinD）'!$Z$65:$AA$65))*(1-实盘持仓初始配置!$Z$7)^(('实盘净值数据(iFinD）'!$A716-'实盘净值数据(iFinD）'!$A$8)/365))</f>
        <v/>
      </c>
      <c r="L716" s="16" t="str">
        <f t="shared" si="69"/>
        <v/>
      </c>
      <c r="M716" s="16" t="str">
        <f>IF(K716="","",K716/MAX(K$5:K716)-1)</f>
        <v/>
      </c>
      <c r="N716" s="13" t="str">
        <f>IF(OR('实盘净值数据(iFinD）'!$A716="",'实盘净值数据(iFinD）'!$B716="",'实盘净值数据(iFinD）'!$Z716="",'实盘净值数据(iFinD）'!$AA716=""),"",分期持仓明细!$AB$24*(SUMPRODUCT(分期持仓明细!$B$24:$Y$24,'实盘净值数据(iFinD）'!$B716:$Y716/'实盘净值数据(iFinD）'!$B$65:$Y$65)+SUMPRODUCT(分期持仓明细!$AC$24:$AD$24,'实盘净值数据(iFinD）'!$Z716:$AA716/'实盘净值数据(iFinD）'!$Z$65:$AA$65))*(1-实盘持仓初始配置!$Z$8)^(('实盘净值数据(iFinD）'!$A716-'实盘净值数据(iFinD）'!$A$5)/365))</f>
        <v/>
      </c>
      <c r="O716" s="16" t="str">
        <f t="shared" si="70"/>
        <v/>
      </c>
      <c r="P716" s="16" t="str">
        <f>IF(N716="","",N716/MAX(N$5:N716)-1)</f>
        <v/>
      </c>
      <c r="Q716" s="13" t="str">
        <f>IF(OR('实盘净值数据(iFinD）'!$A716="",'实盘净值数据(iFinD）'!$B716="",'实盘净值数据(iFinD）'!$Z716="",'实盘净值数据(iFinD）'!$AA716=""),"",分期持仓明细!$AB$25*(SUMPRODUCT(分期持仓明细!$B$25:$Y$25,'实盘净值数据(iFinD）'!$B716:$Y716/'实盘净值数据(iFinD）'!$B$65:$Y$65)+SUMPRODUCT(分期持仓明细!$AC$25:$AD$25,'实盘净值数据(iFinD）'!$Z716:$AA716/'实盘净值数据(iFinD）'!$Z$65:$AA$65))*(1-实盘持仓初始配置!$Z$9)^(('实盘净值数据(iFinD）'!$A716-'实盘净值数据(iFinD）'!$A$8)/365))</f>
        <v/>
      </c>
      <c r="R716" s="16" t="str">
        <f t="shared" si="71"/>
        <v/>
      </c>
      <c r="S716" s="16" t="str">
        <f>IF(Q716="","",Q716/MAX(Q$5:Q716)-1)</f>
        <v/>
      </c>
    </row>
    <row r="717" spans="1:19">
      <c r="A717" s="15" t="str">
        <f>IF('实盘净值数据(iFinD）'!A717="","",'实盘净值数据(iFinD）'!A717)</f>
        <v/>
      </c>
      <c r="B717" s="13" t="str">
        <f>IF(OR('实盘净值数据(iFinD）'!$A717="",'实盘净值数据(iFinD）'!$B717=""),"",分期持仓明细!$AB$17*SUMPRODUCT(分期持仓明细!$B$17:$Y$17,'实盘净值数据(iFinD）'!$B717:$Y717/'实盘净值数据(iFinD）'!$B$20:$Y$20)*(1-实盘持仓初始配置!$Z$4)^(('实盘净值数据(iFinD）'!$A717-'实盘净值数据(iFinD）'!$A$6)/365))</f>
        <v/>
      </c>
      <c r="C717" s="16" t="str">
        <f t="shared" si="66"/>
        <v/>
      </c>
      <c r="D717" s="16" t="str">
        <f>IF(B717="","",B717/MAX(B$5:B717)-1)</f>
        <v/>
      </c>
      <c r="E717" s="13" t="str">
        <f>IF(OR('实盘净值数据(iFinD）'!$A717="",'实盘净值数据(iFinD）'!$B717=""),"",分期持仓明细!$AB$18*SUMPRODUCT(分期持仓明细!$B$18:$Y$18,'实盘净值数据(iFinD）'!$B717:$Y717/'实盘净值数据(iFinD）'!$B$20:$Y$20)*(1-实盘持仓初始配置!$Z$5)^(('实盘净值数据(iFinD）'!$A717-'实盘净值数据(iFinD）'!$A$5)/365))</f>
        <v/>
      </c>
      <c r="F717" s="16" t="str">
        <f t="shared" si="67"/>
        <v/>
      </c>
      <c r="G717" s="16" t="str">
        <f>IF(E717="","",E717/MAX(E$5:E717)-1)</f>
        <v/>
      </c>
      <c r="H717" s="13" t="str">
        <f>IF(OR('实盘净值数据(iFinD）'!$A717="",'实盘净值数据(iFinD）'!$B717=""),"",分期持仓明细!$AB$19*SUMPRODUCT(分期持仓明细!$B$19:$Y$19,'实盘净值数据(iFinD）'!$B717:$Y717/'实盘净值数据(iFinD）'!$B$20:$Y$20)*(1-实盘持仓初始配置!$Z$6)^(('实盘净值数据(iFinD）'!$A717-'实盘净值数据(iFinD）'!$A$7)/365))</f>
        <v/>
      </c>
      <c r="I717" s="16" t="str">
        <f t="shared" si="68"/>
        <v/>
      </c>
      <c r="J717" s="16" t="str">
        <f>IF(H717="","",H717/MAX(H$5:H717)-1)</f>
        <v/>
      </c>
      <c r="K717" s="13" t="str">
        <f>IF(OR('实盘净值数据(iFinD）'!$A717="",'实盘净值数据(iFinD）'!$B717="",'实盘净值数据(iFinD）'!$Z717="",'实盘净值数据(iFinD）'!$AA717=""),"",分期持仓明细!$AB$23*(SUMPRODUCT(分期持仓明细!$B$23:$Y$23,'实盘净值数据(iFinD）'!$B717:$Y717/'实盘净值数据(iFinD）'!$B$65:$Y$65)+SUMPRODUCT(分期持仓明细!$AC$23:$AD$23,'实盘净值数据(iFinD）'!$Z717:$AA717/'实盘净值数据(iFinD）'!$Z$65:$AA$65))*(1-实盘持仓初始配置!$Z$7)^(('实盘净值数据(iFinD）'!$A717-'实盘净值数据(iFinD）'!$A$8)/365))</f>
        <v/>
      </c>
      <c r="L717" s="16" t="str">
        <f t="shared" si="69"/>
        <v/>
      </c>
      <c r="M717" s="16" t="str">
        <f>IF(K717="","",K717/MAX(K$5:K717)-1)</f>
        <v/>
      </c>
      <c r="N717" s="13" t="str">
        <f>IF(OR('实盘净值数据(iFinD）'!$A717="",'实盘净值数据(iFinD）'!$B717="",'实盘净值数据(iFinD）'!$Z717="",'实盘净值数据(iFinD）'!$AA717=""),"",分期持仓明细!$AB$24*(SUMPRODUCT(分期持仓明细!$B$24:$Y$24,'实盘净值数据(iFinD）'!$B717:$Y717/'实盘净值数据(iFinD）'!$B$65:$Y$65)+SUMPRODUCT(分期持仓明细!$AC$24:$AD$24,'实盘净值数据(iFinD）'!$Z717:$AA717/'实盘净值数据(iFinD）'!$Z$65:$AA$65))*(1-实盘持仓初始配置!$Z$8)^(('实盘净值数据(iFinD）'!$A717-'实盘净值数据(iFinD）'!$A$5)/365))</f>
        <v/>
      </c>
      <c r="O717" s="16" t="str">
        <f t="shared" si="70"/>
        <v/>
      </c>
      <c r="P717" s="16" t="str">
        <f>IF(N717="","",N717/MAX(N$5:N717)-1)</f>
        <v/>
      </c>
      <c r="Q717" s="13" t="str">
        <f>IF(OR('实盘净值数据(iFinD）'!$A717="",'实盘净值数据(iFinD）'!$B717="",'实盘净值数据(iFinD）'!$Z717="",'实盘净值数据(iFinD）'!$AA717=""),"",分期持仓明细!$AB$25*(SUMPRODUCT(分期持仓明细!$B$25:$Y$25,'实盘净值数据(iFinD）'!$B717:$Y717/'实盘净值数据(iFinD）'!$B$65:$Y$65)+SUMPRODUCT(分期持仓明细!$AC$25:$AD$25,'实盘净值数据(iFinD）'!$Z717:$AA717/'实盘净值数据(iFinD）'!$Z$65:$AA$65))*(1-实盘持仓初始配置!$Z$9)^(('实盘净值数据(iFinD）'!$A717-'实盘净值数据(iFinD）'!$A$8)/365))</f>
        <v/>
      </c>
      <c r="R717" s="16" t="str">
        <f t="shared" si="71"/>
        <v/>
      </c>
      <c r="S717" s="16" t="str">
        <f>IF(Q717="","",Q717/MAX(Q$5:Q717)-1)</f>
        <v/>
      </c>
    </row>
    <row r="718" spans="1:19">
      <c r="A718" s="15" t="str">
        <f>IF('实盘净值数据(iFinD）'!A718="","",'实盘净值数据(iFinD）'!A718)</f>
        <v/>
      </c>
      <c r="B718" s="13" t="str">
        <f>IF(OR('实盘净值数据(iFinD）'!$A718="",'实盘净值数据(iFinD）'!$B718=""),"",分期持仓明细!$AB$17*SUMPRODUCT(分期持仓明细!$B$17:$Y$17,'实盘净值数据(iFinD）'!$B718:$Y718/'实盘净值数据(iFinD）'!$B$20:$Y$20)*(1-实盘持仓初始配置!$Z$4)^(('实盘净值数据(iFinD）'!$A718-'实盘净值数据(iFinD）'!$A$6)/365))</f>
        <v/>
      </c>
      <c r="C718" s="16" t="str">
        <f t="shared" si="66"/>
        <v/>
      </c>
      <c r="D718" s="16" t="str">
        <f>IF(B718="","",B718/MAX(B$5:B718)-1)</f>
        <v/>
      </c>
      <c r="E718" s="13" t="str">
        <f>IF(OR('实盘净值数据(iFinD）'!$A718="",'实盘净值数据(iFinD）'!$B718=""),"",分期持仓明细!$AB$18*SUMPRODUCT(分期持仓明细!$B$18:$Y$18,'实盘净值数据(iFinD）'!$B718:$Y718/'实盘净值数据(iFinD）'!$B$20:$Y$20)*(1-实盘持仓初始配置!$Z$5)^(('实盘净值数据(iFinD）'!$A718-'实盘净值数据(iFinD）'!$A$5)/365))</f>
        <v/>
      </c>
      <c r="F718" s="16" t="str">
        <f t="shared" si="67"/>
        <v/>
      </c>
      <c r="G718" s="16" t="str">
        <f>IF(E718="","",E718/MAX(E$5:E718)-1)</f>
        <v/>
      </c>
      <c r="H718" s="13" t="str">
        <f>IF(OR('实盘净值数据(iFinD）'!$A718="",'实盘净值数据(iFinD）'!$B718=""),"",分期持仓明细!$AB$19*SUMPRODUCT(分期持仓明细!$B$19:$Y$19,'实盘净值数据(iFinD）'!$B718:$Y718/'实盘净值数据(iFinD）'!$B$20:$Y$20)*(1-实盘持仓初始配置!$Z$6)^(('实盘净值数据(iFinD）'!$A718-'实盘净值数据(iFinD）'!$A$7)/365))</f>
        <v/>
      </c>
      <c r="I718" s="16" t="str">
        <f t="shared" si="68"/>
        <v/>
      </c>
      <c r="J718" s="16" t="str">
        <f>IF(H718="","",H718/MAX(H$5:H718)-1)</f>
        <v/>
      </c>
      <c r="K718" s="13" t="str">
        <f>IF(OR('实盘净值数据(iFinD）'!$A718="",'实盘净值数据(iFinD）'!$B718="",'实盘净值数据(iFinD）'!$Z718="",'实盘净值数据(iFinD）'!$AA718=""),"",分期持仓明细!$AB$23*(SUMPRODUCT(分期持仓明细!$B$23:$Y$23,'实盘净值数据(iFinD）'!$B718:$Y718/'实盘净值数据(iFinD）'!$B$65:$Y$65)+SUMPRODUCT(分期持仓明细!$AC$23:$AD$23,'实盘净值数据(iFinD）'!$Z718:$AA718/'实盘净值数据(iFinD）'!$Z$65:$AA$65))*(1-实盘持仓初始配置!$Z$7)^(('实盘净值数据(iFinD）'!$A718-'实盘净值数据(iFinD）'!$A$8)/365))</f>
        <v/>
      </c>
      <c r="L718" s="16" t="str">
        <f t="shared" si="69"/>
        <v/>
      </c>
      <c r="M718" s="16" t="str">
        <f>IF(K718="","",K718/MAX(K$5:K718)-1)</f>
        <v/>
      </c>
      <c r="N718" s="13" t="str">
        <f>IF(OR('实盘净值数据(iFinD）'!$A718="",'实盘净值数据(iFinD）'!$B718="",'实盘净值数据(iFinD）'!$Z718="",'实盘净值数据(iFinD）'!$AA718=""),"",分期持仓明细!$AB$24*(SUMPRODUCT(分期持仓明细!$B$24:$Y$24,'实盘净值数据(iFinD）'!$B718:$Y718/'实盘净值数据(iFinD）'!$B$65:$Y$65)+SUMPRODUCT(分期持仓明细!$AC$24:$AD$24,'实盘净值数据(iFinD）'!$Z718:$AA718/'实盘净值数据(iFinD）'!$Z$65:$AA$65))*(1-实盘持仓初始配置!$Z$8)^(('实盘净值数据(iFinD）'!$A718-'实盘净值数据(iFinD）'!$A$5)/365))</f>
        <v/>
      </c>
      <c r="O718" s="16" t="str">
        <f t="shared" si="70"/>
        <v/>
      </c>
      <c r="P718" s="16" t="str">
        <f>IF(N718="","",N718/MAX(N$5:N718)-1)</f>
        <v/>
      </c>
      <c r="Q718" s="13" t="str">
        <f>IF(OR('实盘净值数据(iFinD）'!$A718="",'实盘净值数据(iFinD）'!$B718="",'实盘净值数据(iFinD）'!$Z718="",'实盘净值数据(iFinD）'!$AA718=""),"",分期持仓明细!$AB$25*(SUMPRODUCT(分期持仓明细!$B$25:$Y$25,'实盘净值数据(iFinD）'!$B718:$Y718/'实盘净值数据(iFinD）'!$B$65:$Y$65)+SUMPRODUCT(分期持仓明细!$AC$25:$AD$25,'实盘净值数据(iFinD）'!$Z718:$AA718/'实盘净值数据(iFinD）'!$Z$65:$AA$65))*(1-实盘持仓初始配置!$Z$9)^(('实盘净值数据(iFinD）'!$A718-'实盘净值数据(iFinD）'!$A$8)/365))</f>
        <v/>
      </c>
      <c r="R718" s="16" t="str">
        <f t="shared" si="71"/>
        <v/>
      </c>
      <c r="S718" s="16" t="str">
        <f>IF(Q718="","",Q718/MAX(Q$5:Q718)-1)</f>
        <v/>
      </c>
    </row>
    <row r="719" spans="1:19">
      <c r="A719" s="15" t="str">
        <f>IF('实盘净值数据(iFinD）'!A719="","",'实盘净值数据(iFinD）'!A719)</f>
        <v/>
      </c>
      <c r="B719" s="13" t="str">
        <f>IF(OR('实盘净值数据(iFinD）'!$A719="",'实盘净值数据(iFinD）'!$B719=""),"",分期持仓明细!$AB$17*SUMPRODUCT(分期持仓明细!$B$17:$Y$17,'实盘净值数据(iFinD）'!$B719:$Y719/'实盘净值数据(iFinD）'!$B$20:$Y$20)*(1-实盘持仓初始配置!$Z$4)^(('实盘净值数据(iFinD）'!$A719-'实盘净值数据(iFinD）'!$A$6)/365))</f>
        <v/>
      </c>
      <c r="C719" s="16" t="str">
        <f t="shared" si="66"/>
        <v/>
      </c>
      <c r="D719" s="16" t="str">
        <f>IF(B719="","",B719/MAX(B$5:B719)-1)</f>
        <v/>
      </c>
      <c r="E719" s="13" t="str">
        <f>IF(OR('实盘净值数据(iFinD）'!$A719="",'实盘净值数据(iFinD）'!$B719=""),"",分期持仓明细!$AB$18*SUMPRODUCT(分期持仓明细!$B$18:$Y$18,'实盘净值数据(iFinD）'!$B719:$Y719/'实盘净值数据(iFinD）'!$B$20:$Y$20)*(1-实盘持仓初始配置!$Z$5)^(('实盘净值数据(iFinD）'!$A719-'实盘净值数据(iFinD）'!$A$5)/365))</f>
        <v/>
      </c>
      <c r="F719" s="16" t="str">
        <f t="shared" si="67"/>
        <v/>
      </c>
      <c r="G719" s="16" t="str">
        <f>IF(E719="","",E719/MAX(E$5:E719)-1)</f>
        <v/>
      </c>
      <c r="H719" s="13" t="str">
        <f>IF(OR('实盘净值数据(iFinD）'!$A719="",'实盘净值数据(iFinD）'!$B719=""),"",分期持仓明细!$AB$19*SUMPRODUCT(分期持仓明细!$B$19:$Y$19,'实盘净值数据(iFinD）'!$B719:$Y719/'实盘净值数据(iFinD）'!$B$20:$Y$20)*(1-实盘持仓初始配置!$Z$6)^(('实盘净值数据(iFinD）'!$A719-'实盘净值数据(iFinD）'!$A$7)/365))</f>
        <v/>
      </c>
      <c r="I719" s="16" t="str">
        <f t="shared" si="68"/>
        <v/>
      </c>
      <c r="J719" s="16" t="str">
        <f>IF(H719="","",H719/MAX(H$5:H719)-1)</f>
        <v/>
      </c>
      <c r="K719" s="13" t="str">
        <f>IF(OR('实盘净值数据(iFinD）'!$A719="",'实盘净值数据(iFinD）'!$B719="",'实盘净值数据(iFinD）'!$Z719="",'实盘净值数据(iFinD）'!$AA719=""),"",分期持仓明细!$AB$23*(SUMPRODUCT(分期持仓明细!$B$23:$Y$23,'实盘净值数据(iFinD）'!$B719:$Y719/'实盘净值数据(iFinD）'!$B$65:$Y$65)+SUMPRODUCT(分期持仓明细!$AC$23:$AD$23,'实盘净值数据(iFinD）'!$Z719:$AA719/'实盘净值数据(iFinD）'!$Z$65:$AA$65))*(1-实盘持仓初始配置!$Z$7)^(('实盘净值数据(iFinD）'!$A719-'实盘净值数据(iFinD）'!$A$8)/365))</f>
        <v/>
      </c>
      <c r="L719" s="16" t="str">
        <f t="shared" si="69"/>
        <v/>
      </c>
      <c r="M719" s="16" t="str">
        <f>IF(K719="","",K719/MAX(K$5:K719)-1)</f>
        <v/>
      </c>
      <c r="N719" s="13" t="str">
        <f>IF(OR('实盘净值数据(iFinD）'!$A719="",'实盘净值数据(iFinD）'!$B719="",'实盘净值数据(iFinD）'!$Z719="",'实盘净值数据(iFinD）'!$AA719=""),"",分期持仓明细!$AB$24*(SUMPRODUCT(分期持仓明细!$B$24:$Y$24,'实盘净值数据(iFinD）'!$B719:$Y719/'实盘净值数据(iFinD）'!$B$65:$Y$65)+SUMPRODUCT(分期持仓明细!$AC$24:$AD$24,'实盘净值数据(iFinD）'!$Z719:$AA719/'实盘净值数据(iFinD）'!$Z$65:$AA$65))*(1-实盘持仓初始配置!$Z$8)^(('实盘净值数据(iFinD）'!$A719-'实盘净值数据(iFinD）'!$A$5)/365))</f>
        <v/>
      </c>
      <c r="O719" s="16" t="str">
        <f t="shared" si="70"/>
        <v/>
      </c>
      <c r="P719" s="16" t="str">
        <f>IF(N719="","",N719/MAX(N$5:N719)-1)</f>
        <v/>
      </c>
      <c r="Q719" s="13" t="str">
        <f>IF(OR('实盘净值数据(iFinD）'!$A719="",'实盘净值数据(iFinD）'!$B719="",'实盘净值数据(iFinD）'!$Z719="",'实盘净值数据(iFinD）'!$AA719=""),"",分期持仓明细!$AB$25*(SUMPRODUCT(分期持仓明细!$B$25:$Y$25,'实盘净值数据(iFinD）'!$B719:$Y719/'实盘净值数据(iFinD）'!$B$65:$Y$65)+SUMPRODUCT(分期持仓明细!$AC$25:$AD$25,'实盘净值数据(iFinD）'!$Z719:$AA719/'实盘净值数据(iFinD）'!$Z$65:$AA$65))*(1-实盘持仓初始配置!$Z$9)^(('实盘净值数据(iFinD）'!$A719-'实盘净值数据(iFinD）'!$A$8)/365))</f>
        <v/>
      </c>
      <c r="R719" s="16" t="str">
        <f t="shared" si="71"/>
        <v/>
      </c>
      <c r="S719" s="16" t="str">
        <f>IF(Q719="","",Q719/MAX(Q$5:Q719)-1)</f>
        <v/>
      </c>
    </row>
    <row r="720" spans="1:19">
      <c r="A720" s="15" t="str">
        <f>IF('实盘净值数据(iFinD）'!A720="","",'实盘净值数据(iFinD）'!A720)</f>
        <v/>
      </c>
      <c r="B720" s="13" t="str">
        <f>IF(OR('实盘净值数据(iFinD）'!$A720="",'实盘净值数据(iFinD）'!$B720=""),"",分期持仓明细!$AB$17*SUMPRODUCT(分期持仓明细!$B$17:$Y$17,'实盘净值数据(iFinD）'!$B720:$Y720/'实盘净值数据(iFinD）'!$B$20:$Y$20)*(1-实盘持仓初始配置!$Z$4)^(('实盘净值数据(iFinD）'!$A720-'实盘净值数据(iFinD）'!$A$6)/365))</f>
        <v/>
      </c>
      <c r="C720" s="16" t="str">
        <f t="shared" si="66"/>
        <v/>
      </c>
      <c r="D720" s="16" t="str">
        <f>IF(B720="","",B720/MAX(B$5:B720)-1)</f>
        <v/>
      </c>
      <c r="E720" s="13" t="str">
        <f>IF(OR('实盘净值数据(iFinD）'!$A720="",'实盘净值数据(iFinD）'!$B720=""),"",分期持仓明细!$AB$18*SUMPRODUCT(分期持仓明细!$B$18:$Y$18,'实盘净值数据(iFinD）'!$B720:$Y720/'实盘净值数据(iFinD）'!$B$20:$Y$20)*(1-实盘持仓初始配置!$Z$5)^(('实盘净值数据(iFinD）'!$A720-'实盘净值数据(iFinD）'!$A$5)/365))</f>
        <v/>
      </c>
      <c r="F720" s="16" t="str">
        <f t="shared" si="67"/>
        <v/>
      </c>
      <c r="G720" s="16" t="str">
        <f>IF(E720="","",E720/MAX(E$5:E720)-1)</f>
        <v/>
      </c>
      <c r="H720" s="13" t="str">
        <f>IF(OR('实盘净值数据(iFinD）'!$A720="",'实盘净值数据(iFinD）'!$B720=""),"",分期持仓明细!$AB$19*SUMPRODUCT(分期持仓明细!$B$19:$Y$19,'实盘净值数据(iFinD）'!$B720:$Y720/'实盘净值数据(iFinD）'!$B$20:$Y$20)*(1-实盘持仓初始配置!$Z$6)^(('实盘净值数据(iFinD）'!$A720-'实盘净值数据(iFinD）'!$A$7)/365))</f>
        <v/>
      </c>
      <c r="I720" s="16" t="str">
        <f t="shared" si="68"/>
        <v/>
      </c>
      <c r="J720" s="16" t="str">
        <f>IF(H720="","",H720/MAX(H$5:H720)-1)</f>
        <v/>
      </c>
      <c r="K720" s="13" t="str">
        <f>IF(OR('实盘净值数据(iFinD）'!$A720="",'实盘净值数据(iFinD）'!$B720="",'实盘净值数据(iFinD）'!$Z720="",'实盘净值数据(iFinD）'!$AA720=""),"",分期持仓明细!$AB$23*(SUMPRODUCT(分期持仓明细!$B$23:$Y$23,'实盘净值数据(iFinD）'!$B720:$Y720/'实盘净值数据(iFinD）'!$B$65:$Y$65)+SUMPRODUCT(分期持仓明细!$AC$23:$AD$23,'实盘净值数据(iFinD）'!$Z720:$AA720/'实盘净值数据(iFinD）'!$Z$65:$AA$65))*(1-实盘持仓初始配置!$Z$7)^(('实盘净值数据(iFinD）'!$A720-'实盘净值数据(iFinD）'!$A$8)/365))</f>
        <v/>
      </c>
      <c r="L720" s="16" t="str">
        <f t="shared" si="69"/>
        <v/>
      </c>
      <c r="M720" s="16" t="str">
        <f>IF(K720="","",K720/MAX(K$5:K720)-1)</f>
        <v/>
      </c>
      <c r="N720" s="13" t="str">
        <f>IF(OR('实盘净值数据(iFinD）'!$A720="",'实盘净值数据(iFinD）'!$B720="",'实盘净值数据(iFinD）'!$Z720="",'实盘净值数据(iFinD）'!$AA720=""),"",分期持仓明细!$AB$24*(SUMPRODUCT(分期持仓明细!$B$24:$Y$24,'实盘净值数据(iFinD）'!$B720:$Y720/'实盘净值数据(iFinD）'!$B$65:$Y$65)+SUMPRODUCT(分期持仓明细!$AC$24:$AD$24,'实盘净值数据(iFinD）'!$Z720:$AA720/'实盘净值数据(iFinD）'!$Z$65:$AA$65))*(1-实盘持仓初始配置!$Z$8)^(('实盘净值数据(iFinD）'!$A720-'实盘净值数据(iFinD）'!$A$5)/365))</f>
        <v/>
      </c>
      <c r="O720" s="16" t="str">
        <f t="shared" si="70"/>
        <v/>
      </c>
      <c r="P720" s="16" t="str">
        <f>IF(N720="","",N720/MAX(N$5:N720)-1)</f>
        <v/>
      </c>
      <c r="Q720" s="13" t="str">
        <f>IF(OR('实盘净值数据(iFinD）'!$A720="",'实盘净值数据(iFinD）'!$B720="",'实盘净值数据(iFinD）'!$Z720="",'实盘净值数据(iFinD）'!$AA720=""),"",分期持仓明细!$AB$25*(SUMPRODUCT(分期持仓明细!$B$25:$Y$25,'实盘净值数据(iFinD）'!$B720:$Y720/'实盘净值数据(iFinD）'!$B$65:$Y$65)+SUMPRODUCT(分期持仓明细!$AC$25:$AD$25,'实盘净值数据(iFinD）'!$Z720:$AA720/'实盘净值数据(iFinD）'!$Z$65:$AA$65))*(1-实盘持仓初始配置!$Z$9)^(('实盘净值数据(iFinD）'!$A720-'实盘净值数据(iFinD）'!$A$8)/365))</f>
        <v/>
      </c>
      <c r="R720" s="16" t="str">
        <f t="shared" si="71"/>
        <v/>
      </c>
      <c r="S720" s="16" t="str">
        <f>IF(Q720="","",Q720/MAX(Q$5:Q720)-1)</f>
        <v/>
      </c>
    </row>
    <row r="721" spans="1:19">
      <c r="A721" s="15" t="str">
        <f>IF('实盘净值数据(iFinD）'!A721="","",'实盘净值数据(iFinD）'!A721)</f>
        <v/>
      </c>
      <c r="B721" s="13" t="str">
        <f>IF(OR('实盘净值数据(iFinD）'!$A721="",'实盘净值数据(iFinD）'!$B721=""),"",分期持仓明细!$AB$17*SUMPRODUCT(分期持仓明细!$B$17:$Y$17,'实盘净值数据(iFinD）'!$B721:$Y721/'实盘净值数据(iFinD）'!$B$20:$Y$20)*(1-实盘持仓初始配置!$Z$4)^(('实盘净值数据(iFinD）'!$A721-'实盘净值数据(iFinD）'!$A$6)/365))</f>
        <v/>
      </c>
      <c r="C721" s="16" t="str">
        <f t="shared" si="66"/>
        <v/>
      </c>
      <c r="D721" s="16" t="str">
        <f>IF(B721="","",B721/MAX(B$5:B721)-1)</f>
        <v/>
      </c>
      <c r="E721" s="13" t="str">
        <f>IF(OR('实盘净值数据(iFinD）'!$A721="",'实盘净值数据(iFinD）'!$B721=""),"",分期持仓明细!$AB$18*SUMPRODUCT(分期持仓明细!$B$18:$Y$18,'实盘净值数据(iFinD）'!$B721:$Y721/'实盘净值数据(iFinD）'!$B$20:$Y$20)*(1-实盘持仓初始配置!$Z$5)^(('实盘净值数据(iFinD）'!$A721-'实盘净值数据(iFinD）'!$A$5)/365))</f>
        <v/>
      </c>
      <c r="F721" s="16" t="str">
        <f t="shared" si="67"/>
        <v/>
      </c>
      <c r="G721" s="16" t="str">
        <f>IF(E721="","",E721/MAX(E$5:E721)-1)</f>
        <v/>
      </c>
      <c r="H721" s="13" t="str">
        <f>IF(OR('实盘净值数据(iFinD）'!$A721="",'实盘净值数据(iFinD）'!$B721=""),"",分期持仓明细!$AB$19*SUMPRODUCT(分期持仓明细!$B$19:$Y$19,'实盘净值数据(iFinD）'!$B721:$Y721/'实盘净值数据(iFinD）'!$B$20:$Y$20)*(1-实盘持仓初始配置!$Z$6)^(('实盘净值数据(iFinD）'!$A721-'实盘净值数据(iFinD）'!$A$7)/365))</f>
        <v/>
      </c>
      <c r="I721" s="16" t="str">
        <f t="shared" si="68"/>
        <v/>
      </c>
      <c r="J721" s="16" t="str">
        <f>IF(H721="","",H721/MAX(H$5:H721)-1)</f>
        <v/>
      </c>
      <c r="K721" s="13" t="str">
        <f>IF(OR('实盘净值数据(iFinD）'!$A721="",'实盘净值数据(iFinD）'!$B721="",'实盘净值数据(iFinD）'!$Z721="",'实盘净值数据(iFinD）'!$AA721=""),"",分期持仓明细!$AB$23*(SUMPRODUCT(分期持仓明细!$B$23:$Y$23,'实盘净值数据(iFinD）'!$B721:$Y721/'实盘净值数据(iFinD）'!$B$65:$Y$65)+SUMPRODUCT(分期持仓明细!$AC$23:$AD$23,'实盘净值数据(iFinD）'!$Z721:$AA721/'实盘净值数据(iFinD）'!$Z$65:$AA$65))*(1-实盘持仓初始配置!$Z$7)^(('实盘净值数据(iFinD）'!$A721-'实盘净值数据(iFinD）'!$A$8)/365))</f>
        <v/>
      </c>
      <c r="L721" s="16" t="str">
        <f t="shared" si="69"/>
        <v/>
      </c>
      <c r="M721" s="16" t="str">
        <f>IF(K721="","",K721/MAX(K$5:K721)-1)</f>
        <v/>
      </c>
      <c r="N721" s="13" t="str">
        <f>IF(OR('实盘净值数据(iFinD）'!$A721="",'实盘净值数据(iFinD）'!$B721="",'实盘净值数据(iFinD）'!$Z721="",'实盘净值数据(iFinD）'!$AA721=""),"",分期持仓明细!$AB$24*(SUMPRODUCT(分期持仓明细!$B$24:$Y$24,'实盘净值数据(iFinD）'!$B721:$Y721/'实盘净值数据(iFinD）'!$B$65:$Y$65)+SUMPRODUCT(分期持仓明细!$AC$24:$AD$24,'实盘净值数据(iFinD）'!$Z721:$AA721/'实盘净值数据(iFinD）'!$Z$65:$AA$65))*(1-实盘持仓初始配置!$Z$8)^(('实盘净值数据(iFinD）'!$A721-'实盘净值数据(iFinD）'!$A$5)/365))</f>
        <v/>
      </c>
      <c r="O721" s="16" t="str">
        <f t="shared" si="70"/>
        <v/>
      </c>
      <c r="P721" s="16" t="str">
        <f>IF(N721="","",N721/MAX(N$5:N721)-1)</f>
        <v/>
      </c>
      <c r="Q721" s="13" t="str">
        <f>IF(OR('实盘净值数据(iFinD）'!$A721="",'实盘净值数据(iFinD）'!$B721="",'实盘净值数据(iFinD）'!$Z721="",'实盘净值数据(iFinD）'!$AA721=""),"",分期持仓明细!$AB$25*(SUMPRODUCT(分期持仓明细!$B$25:$Y$25,'实盘净值数据(iFinD）'!$B721:$Y721/'实盘净值数据(iFinD）'!$B$65:$Y$65)+SUMPRODUCT(分期持仓明细!$AC$25:$AD$25,'实盘净值数据(iFinD）'!$Z721:$AA721/'实盘净值数据(iFinD）'!$Z$65:$AA$65))*(1-实盘持仓初始配置!$Z$9)^(('实盘净值数据(iFinD）'!$A721-'实盘净值数据(iFinD）'!$A$8)/365))</f>
        <v/>
      </c>
      <c r="R721" s="16" t="str">
        <f t="shared" si="71"/>
        <v/>
      </c>
      <c r="S721" s="16" t="str">
        <f>IF(Q721="","",Q721/MAX(Q$5:Q721)-1)</f>
        <v/>
      </c>
    </row>
    <row r="722" spans="1:19">
      <c r="A722" s="15" t="str">
        <f>IF('实盘净值数据(iFinD）'!A722="","",'实盘净值数据(iFinD）'!A722)</f>
        <v/>
      </c>
      <c r="B722" s="13" t="str">
        <f>IF(OR('实盘净值数据(iFinD）'!$A722="",'实盘净值数据(iFinD）'!$B722=""),"",分期持仓明细!$AB$17*SUMPRODUCT(分期持仓明细!$B$17:$Y$17,'实盘净值数据(iFinD）'!$B722:$Y722/'实盘净值数据(iFinD）'!$B$20:$Y$20)*(1-实盘持仓初始配置!$Z$4)^(('实盘净值数据(iFinD）'!$A722-'实盘净值数据(iFinD）'!$A$6)/365))</f>
        <v/>
      </c>
      <c r="C722" s="16" t="str">
        <f t="shared" si="66"/>
        <v/>
      </c>
      <c r="D722" s="16" t="str">
        <f>IF(B722="","",B722/MAX(B$5:B722)-1)</f>
        <v/>
      </c>
      <c r="E722" s="13" t="str">
        <f>IF(OR('实盘净值数据(iFinD）'!$A722="",'实盘净值数据(iFinD）'!$B722=""),"",分期持仓明细!$AB$18*SUMPRODUCT(分期持仓明细!$B$18:$Y$18,'实盘净值数据(iFinD）'!$B722:$Y722/'实盘净值数据(iFinD）'!$B$20:$Y$20)*(1-实盘持仓初始配置!$Z$5)^(('实盘净值数据(iFinD）'!$A722-'实盘净值数据(iFinD）'!$A$5)/365))</f>
        <v/>
      </c>
      <c r="F722" s="16" t="str">
        <f t="shared" si="67"/>
        <v/>
      </c>
      <c r="G722" s="16" t="str">
        <f>IF(E722="","",E722/MAX(E$5:E722)-1)</f>
        <v/>
      </c>
      <c r="H722" s="13" t="str">
        <f>IF(OR('实盘净值数据(iFinD）'!$A722="",'实盘净值数据(iFinD）'!$B722=""),"",分期持仓明细!$AB$19*SUMPRODUCT(分期持仓明细!$B$19:$Y$19,'实盘净值数据(iFinD）'!$B722:$Y722/'实盘净值数据(iFinD）'!$B$20:$Y$20)*(1-实盘持仓初始配置!$Z$6)^(('实盘净值数据(iFinD）'!$A722-'实盘净值数据(iFinD）'!$A$7)/365))</f>
        <v/>
      </c>
      <c r="I722" s="16" t="str">
        <f t="shared" si="68"/>
        <v/>
      </c>
      <c r="J722" s="16" t="str">
        <f>IF(H722="","",H722/MAX(H$5:H722)-1)</f>
        <v/>
      </c>
      <c r="K722" s="13" t="str">
        <f>IF(OR('实盘净值数据(iFinD）'!$A722="",'实盘净值数据(iFinD）'!$B722="",'实盘净值数据(iFinD）'!$Z722="",'实盘净值数据(iFinD）'!$AA722=""),"",分期持仓明细!$AB$23*(SUMPRODUCT(分期持仓明细!$B$23:$Y$23,'实盘净值数据(iFinD）'!$B722:$Y722/'实盘净值数据(iFinD）'!$B$65:$Y$65)+SUMPRODUCT(分期持仓明细!$AC$23:$AD$23,'实盘净值数据(iFinD）'!$Z722:$AA722/'实盘净值数据(iFinD）'!$Z$65:$AA$65))*(1-实盘持仓初始配置!$Z$7)^(('实盘净值数据(iFinD）'!$A722-'实盘净值数据(iFinD）'!$A$8)/365))</f>
        <v/>
      </c>
      <c r="L722" s="16" t="str">
        <f t="shared" si="69"/>
        <v/>
      </c>
      <c r="M722" s="16" t="str">
        <f>IF(K722="","",K722/MAX(K$5:K722)-1)</f>
        <v/>
      </c>
      <c r="N722" s="13" t="str">
        <f>IF(OR('实盘净值数据(iFinD）'!$A722="",'实盘净值数据(iFinD）'!$B722="",'实盘净值数据(iFinD）'!$Z722="",'实盘净值数据(iFinD）'!$AA722=""),"",分期持仓明细!$AB$24*(SUMPRODUCT(分期持仓明细!$B$24:$Y$24,'实盘净值数据(iFinD）'!$B722:$Y722/'实盘净值数据(iFinD）'!$B$65:$Y$65)+SUMPRODUCT(分期持仓明细!$AC$24:$AD$24,'实盘净值数据(iFinD）'!$Z722:$AA722/'实盘净值数据(iFinD）'!$Z$65:$AA$65))*(1-实盘持仓初始配置!$Z$8)^(('实盘净值数据(iFinD）'!$A722-'实盘净值数据(iFinD）'!$A$5)/365))</f>
        <v/>
      </c>
      <c r="O722" s="16" t="str">
        <f t="shared" si="70"/>
        <v/>
      </c>
      <c r="P722" s="16" t="str">
        <f>IF(N722="","",N722/MAX(N$5:N722)-1)</f>
        <v/>
      </c>
      <c r="Q722" s="13" t="str">
        <f>IF(OR('实盘净值数据(iFinD）'!$A722="",'实盘净值数据(iFinD）'!$B722="",'实盘净值数据(iFinD）'!$Z722="",'实盘净值数据(iFinD）'!$AA722=""),"",分期持仓明细!$AB$25*(SUMPRODUCT(分期持仓明细!$B$25:$Y$25,'实盘净值数据(iFinD）'!$B722:$Y722/'实盘净值数据(iFinD）'!$B$65:$Y$65)+SUMPRODUCT(分期持仓明细!$AC$25:$AD$25,'实盘净值数据(iFinD）'!$Z722:$AA722/'实盘净值数据(iFinD）'!$Z$65:$AA$65))*(1-实盘持仓初始配置!$Z$9)^(('实盘净值数据(iFinD）'!$A722-'实盘净值数据(iFinD）'!$A$8)/365))</f>
        <v/>
      </c>
      <c r="R722" s="16" t="str">
        <f t="shared" si="71"/>
        <v/>
      </c>
      <c r="S722" s="16" t="str">
        <f>IF(Q722="","",Q722/MAX(Q$5:Q722)-1)</f>
        <v/>
      </c>
    </row>
    <row r="723" spans="1:19">
      <c r="A723" s="15" t="str">
        <f>IF('实盘净值数据(iFinD）'!A723="","",'实盘净值数据(iFinD）'!A723)</f>
        <v/>
      </c>
      <c r="B723" s="13" t="str">
        <f>IF(OR('实盘净值数据(iFinD）'!$A723="",'实盘净值数据(iFinD）'!$B723=""),"",分期持仓明细!$AB$17*SUMPRODUCT(分期持仓明细!$B$17:$Y$17,'实盘净值数据(iFinD）'!$B723:$Y723/'实盘净值数据(iFinD）'!$B$20:$Y$20)*(1-实盘持仓初始配置!$Z$4)^(('实盘净值数据(iFinD）'!$A723-'实盘净值数据(iFinD）'!$A$6)/365))</f>
        <v/>
      </c>
      <c r="C723" s="16" t="str">
        <f t="shared" si="66"/>
        <v/>
      </c>
      <c r="D723" s="16" t="str">
        <f>IF(B723="","",B723/MAX(B$5:B723)-1)</f>
        <v/>
      </c>
      <c r="E723" s="13" t="str">
        <f>IF(OR('实盘净值数据(iFinD）'!$A723="",'实盘净值数据(iFinD）'!$B723=""),"",分期持仓明细!$AB$18*SUMPRODUCT(分期持仓明细!$B$18:$Y$18,'实盘净值数据(iFinD）'!$B723:$Y723/'实盘净值数据(iFinD）'!$B$20:$Y$20)*(1-实盘持仓初始配置!$Z$5)^(('实盘净值数据(iFinD）'!$A723-'实盘净值数据(iFinD）'!$A$5)/365))</f>
        <v/>
      </c>
      <c r="F723" s="16" t="str">
        <f t="shared" si="67"/>
        <v/>
      </c>
      <c r="G723" s="16" t="str">
        <f>IF(E723="","",E723/MAX(E$5:E723)-1)</f>
        <v/>
      </c>
      <c r="H723" s="13" t="str">
        <f>IF(OR('实盘净值数据(iFinD）'!$A723="",'实盘净值数据(iFinD）'!$B723=""),"",分期持仓明细!$AB$19*SUMPRODUCT(分期持仓明细!$B$19:$Y$19,'实盘净值数据(iFinD）'!$B723:$Y723/'实盘净值数据(iFinD）'!$B$20:$Y$20)*(1-实盘持仓初始配置!$Z$6)^(('实盘净值数据(iFinD）'!$A723-'实盘净值数据(iFinD）'!$A$7)/365))</f>
        <v/>
      </c>
      <c r="I723" s="16" t="str">
        <f t="shared" si="68"/>
        <v/>
      </c>
      <c r="J723" s="16" t="str">
        <f>IF(H723="","",H723/MAX(H$5:H723)-1)</f>
        <v/>
      </c>
      <c r="K723" s="13" t="str">
        <f>IF(OR('实盘净值数据(iFinD）'!$A723="",'实盘净值数据(iFinD）'!$B723="",'实盘净值数据(iFinD）'!$Z723="",'实盘净值数据(iFinD）'!$AA723=""),"",分期持仓明细!$AB$23*(SUMPRODUCT(分期持仓明细!$B$23:$Y$23,'实盘净值数据(iFinD）'!$B723:$Y723/'实盘净值数据(iFinD）'!$B$65:$Y$65)+SUMPRODUCT(分期持仓明细!$AC$23:$AD$23,'实盘净值数据(iFinD）'!$Z723:$AA723/'实盘净值数据(iFinD）'!$Z$65:$AA$65))*(1-实盘持仓初始配置!$Z$7)^(('实盘净值数据(iFinD）'!$A723-'实盘净值数据(iFinD）'!$A$8)/365))</f>
        <v/>
      </c>
      <c r="L723" s="16" t="str">
        <f t="shared" si="69"/>
        <v/>
      </c>
      <c r="M723" s="16" t="str">
        <f>IF(K723="","",K723/MAX(K$5:K723)-1)</f>
        <v/>
      </c>
      <c r="N723" s="13" t="str">
        <f>IF(OR('实盘净值数据(iFinD）'!$A723="",'实盘净值数据(iFinD）'!$B723="",'实盘净值数据(iFinD）'!$Z723="",'实盘净值数据(iFinD）'!$AA723=""),"",分期持仓明细!$AB$24*(SUMPRODUCT(分期持仓明细!$B$24:$Y$24,'实盘净值数据(iFinD）'!$B723:$Y723/'实盘净值数据(iFinD）'!$B$65:$Y$65)+SUMPRODUCT(分期持仓明细!$AC$24:$AD$24,'实盘净值数据(iFinD）'!$Z723:$AA723/'实盘净值数据(iFinD）'!$Z$65:$AA$65))*(1-实盘持仓初始配置!$Z$8)^(('实盘净值数据(iFinD）'!$A723-'实盘净值数据(iFinD）'!$A$5)/365))</f>
        <v/>
      </c>
      <c r="O723" s="16" t="str">
        <f t="shared" si="70"/>
        <v/>
      </c>
      <c r="P723" s="16" t="str">
        <f>IF(N723="","",N723/MAX(N$5:N723)-1)</f>
        <v/>
      </c>
      <c r="Q723" s="13" t="str">
        <f>IF(OR('实盘净值数据(iFinD）'!$A723="",'实盘净值数据(iFinD）'!$B723="",'实盘净值数据(iFinD）'!$Z723="",'实盘净值数据(iFinD）'!$AA723=""),"",分期持仓明细!$AB$25*(SUMPRODUCT(分期持仓明细!$B$25:$Y$25,'实盘净值数据(iFinD）'!$B723:$Y723/'实盘净值数据(iFinD）'!$B$65:$Y$65)+SUMPRODUCT(分期持仓明细!$AC$25:$AD$25,'实盘净值数据(iFinD）'!$Z723:$AA723/'实盘净值数据(iFinD）'!$Z$65:$AA$65))*(1-实盘持仓初始配置!$Z$9)^(('实盘净值数据(iFinD）'!$A723-'实盘净值数据(iFinD）'!$A$8)/365))</f>
        <v/>
      </c>
      <c r="R723" s="16" t="str">
        <f t="shared" si="71"/>
        <v/>
      </c>
      <c r="S723" s="16" t="str">
        <f>IF(Q723="","",Q723/MAX(Q$5:Q723)-1)</f>
        <v/>
      </c>
    </row>
    <row r="724" spans="1:19">
      <c r="A724" s="15" t="str">
        <f>IF('实盘净值数据(iFinD）'!A724="","",'实盘净值数据(iFinD）'!A724)</f>
        <v/>
      </c>
      <c r="B724" s="13" t="str">
        <f>IF(OR('实盘净值数据(iFinD）'!$A724="",'实盘净值数据(iFinD）'!$B724=""),"",分期持仓明细!$AB$17*SUMPRODUCT(分期持仓明细!$B$17:$Y$17,'实盘净值数据(iFinD）'!$B724:$Y724/'实盘净值数据(iFinD）'!$B$20:$Y$20)*(1-实盘持仓初始配置!$Z$4)^(('实盘净值数据(iFinD）'!$A724-'实盘净值数据(iFinD）'!$A$6)/365))</f>
        <v/>
      </c>
      <c r="C724" s="16" t="str">
        <f t="shared" si="66"/>
        <v/>
      </c>
      <c r="D724" s="16" t="str">
        <f>IF(B724="","",B724/MAX(B$5:B724)-1)</f>
        <v/>
      </c>
      <c r="E724" s="13" t="str">
        <f>IF(OR('实盘净值数据(iFinD）'!$A724="",'实盘净值数据(iFinD）'!$B724=""),"",分期持仓明细!$AB$18*SUMPRODUCT(分期持仓明细!$B$18:$Y$18,'实盘净值数据(iFinD）'!$B724:$Y724/'实盘净值数据(iFinD）'!$B$20:$Y$20)*(1-实盘持仓初始配置!$Z$5)^(('实盘净值数据(iFinD）'!$A724-'实盘净值数据(iFinD）'!$A$5)/365))</f>
        <v/>
      </c>
      <c r="F724" s="16" t="str">
        <f t="shared" si="67"/>
        <v/>
      </c>
      <c r="G724" s="16" t="str">
        <f>IF(E724="","",E724/MAX(E$5:E724)-1)</f>
        <v/>
      </c>
      <c r="H724" s="13" t="str">
        <f>IF(OR('实盘净值数据(iFinD）'!$A724="",'实盘净值数据(iFinD）'!$B724=""),"",分期持仓明细!$AB$19*SUMPRODUCT(分期持仓明细!$B$19:$Y$19,'实盘净值数据(iFinD）'!$B724:$Y724/'实盘净值数据(iFinD）'!$B$20:$Y$20)*(1-实盘持仓初始配置!$Z$6)^(('实盘净值数据(iFinD）'!$A724-'实盘净值数据(iFinD）'!$A$7)/365))</f>
        <v/>
      </c>
      <c r="I724" s="16" t="str">
        <f t="shared" si="68"/>
        <v/>
      </c>
      <c r="J724" s="16" t="str">
        <f>IF(H724="","",H724/MAX(H$5:H724)-1)</f>
        <v/>
      </c>
      <c r="K724" s="13" t="str">
        <f>IF(OR('实盘净值数据(iFinD）'!$A724="",'实盘净值数据(iFinD）'!$B724="",'实盘净值数据(iFinD）'!$Z724="",'实盘净值数据(iFinD）'!$AA724=""),"",分期持仓明细!$AB$23*(SUMPRODUCT(分期持仓明细!$B$23:$Y$23,'实盘净值数据(iFinD）'!$B724:$Y724/'实盘净值数据(iFinD）'!$B$65:$Y$65)+SUMPRODUCT(分期持仓明细!$AC$23:$AD$23,'实盘净值数据(iFinD）'!$Z724:$AA724/'实盘净值数据(iFinD）'!$Z$65:$AA$65))*(1-实盘持仓初始配置!$Z$7)^(('实盘净值数据(iFinD）'!$A724-'实盘净值数据(iFinD）'!$A$8)/365))</f>
        <v/>
      </c>
      <c r="L724" s="16" t="str">
        <f t="shared" si="69"/>
        <v/>
      </c>
      <c r="M724" s="16" t="str">
        <f>IF(K724="","",K724/MAX(K$5:K724)-1)</f>
        <v/>
      </c>
      <c r="N724" s="13" t="str">
        <f>IF(OR('实盘净值数据(iFinD）'!$A724="",'实盘净值数据(iFinD）'!$B724="",'实盘净值数据(iFinD）'!$Z724="",'实盘净值数据(iFinD）'!$AA724=""),"",分期持仓明细!$AB$24*(SUMPRODUCT(分期持仓明细!$B$24:$Y$24,'实盘净值数据(iFinD）'!$B724:$Y724/'实盘净值数据(iFinD）'!$B$65:$Y$65)+SUMPRODUCT(分期持仓明细!$AC$24:$AD$24,'实盘净值数据(iFinD）'!$Z724:$AA724/'实盘净值数据(iFinD）'!$Z$65:$AA$65))*(1-实盘持仓初始配置!$Z$8)^(('实盘净值数据(iFinD）'!$A724-'实盘净值数据(iFinD）'!$A$5)/365))</f>
        <v/>
      </c>
      <c r="O724" s="16" t="str">
        <f t="shared" si="70"/>
        <v/>
      </c>
      <c r="P724" s="16" t="str">
        <f>IF(N724="","",N724/MAX(N$5:N724)-1)</f>
        <v/>
      </c>
      <c r="Q724" s="13" t="str">
        <f>IF(OR('实盘净值数据(iFinD）'!$A724="",'实盘净值数据(iFinD）'!$B724="",'实盘净值数据(iFinD）'!$Z724="",'实盘净值数据(iFinD）'!$AA724=""),"",分期持仓明细!$AB$25*(SUMPRODUCT(分期持仓明细!$B$25:$Y$25,'实盘净值数据(iFinD）'!$B724:$Y724/'实盘净值数据(iFinD）'!$B$65:$Y$65)+SUMPRODUCT(分期持仓明细!$AC$25:$AD$25,'实盘净值数据(iFinD）'!$Z724:$AA724/'实盘净值数据(iFinD）'!$Z$65:$AA$65))*(1-实盘持仓初始配置!$Z$9)^(('实盘净值数据(iFinD）'!$A724-'实盘净值数据(iFinD）'!$A$8)/365))</f>
        <v/>
      </c>
      <c r="R724" s="16" t="str">
        <f t="shared" si="71"/>
        <v/>
      </c>
      <c r="S724" s="16" t="str">
        <f>IF(Q724="","",Q724/MAX(Q$5:Q724)-1)</f>
        <v/>
      </c>
    </row>
    <row r="725" spans="1:19">
      <c r="A725" s="15" t="str">
        <f>IF('实盘净值数据(iFinD）'!A725="","",'实盘净值数据(iFinD）'!A725)</f>
        <v/>
      </c>
      <c r="B725" s="13" t="str">
        <f>IF(OR('实盘净值数据(iFinD）'!$A725="",'实盘净值数据(iFinD）'!$B725=""),"",分期持仓明细!$AB$17*SUMPRODUCT(分期持仓明细!$B$17:$Y$17,'实盘净值数据(iFinD）'!$B725:$Y725/'实盘净值数据(iFinD）'!$B$20:$Y$20)*(1-实盘持仓初始配置!$Z$4)^(('实盘净值数据(iFinD）'!$A725-'实盘净值数据(iFinD）'!$A$6)/365))</f>
        <v/>
      </c>
      <c r="C725" s="16" t="str">
        <f t="shared" si="66"/>
        <v/>
      </c>
      <c r="D725" s="16" t="str">
        <f>IF(B725="","",B725/MAX(B$5:B725)-1)</f>
        <v/>
      </c>
      <c r="E725" s="13" t="str">
        <f>IF(OR('实盘净值数据(iFinD）'!$A725="",'实盘净值数据(iFinD）'!$B725=""),"",分期持仓明细!$AB$18*SUMPRODUCT(分期持仓明细!$B$18:$Y$18,'实盘净值数据(iFinD）'!$B725:$Y725/'实盘净值数据(iFinD）'!$B$20:$Y$20)*(1-实盘持仓初始配置!$Z$5)^(('实盘净值数据(iFinD）'!$A725-'实盘净值数据(iFinD）'!$A$5)/365))</f>
        <v/>
      </c>
      <c r="F725" s="16" t="str">
        <f t="shared" si="67"/>
        <v/>
      </c>
      <c r="G725" s="16" t="str">
        <f>IF(E725="","",E725/MAX(E$5:E725)-1)</f>
        <v/>
      </c>
      <c r="H725" s="13" t="str">
        <f>IF(OR('实盘净值数据(iFinD）'!$A725="",'实盘净值数据(iFinD）'!$B725=""),"",分期持仓明细!$AB$19*SUMPRODUCT(分期持仓明细!$B$19:$Y$19,'实盘净值数据(iFinD）'!$B725:$Y725/'实盘净值数据(iFinD）'!$B$20:$Y$20)*(1-实盘持仓初始配置!$Z$6)^(('实盘净值数据(iFinD）'!$A725-'实盘净值数据(iFinD）'!$A$7)/365))</f>
        <v/>
      </c>
      <c r="I725" s="16" t="str">
        <f t="shared" si="68"/>
        <v/>
      </c>
      <c r="J725" s="16" t="str">
        <f>IF(H725="","",H725/MAX(H$5:H725)-1)</f>
        <v/>
      </c>
      <c r="K725" s="13" t="str">
        <f>IF(OR('实盘净值数据(iFinD）'!$A725="",'实盘净值数据(iFinD）'!$B725="",'实盘净值数据(iFinD）'!$Z725="",'实盘净值数据(iFinD）'!$AA725=""),"",分期持仓明细!$AB$23*(SUMPRODUCT(分期持仓明细!$B$23:$Y$23,'实盘净值数据(iFinD）'!$B725:$Y725/'实盘净值数据(iFinD）'!$B$65:$Y$65)+SUMPRODUCT(分期持仓明细!$AC$23:$AD$23,'实盘净值数据(iFinD）'!$Z725:$AA725/'实盘净值数据(iFinD）'!$Z$65:$AA$65))*(1-实盘持仓初始配置!$Z$7)^(('实盘净值数据(iFinD）'!$A725-'实盘净值数据(iFinD）'!$A$8)/365))</f>
        <v/>
      </c>
      <c r="L725" s="16" t="str">
        <f t="shared" si="69"/>
        <v/>
      </c>
      <c r="M725" s="16" t="str">
        <f>IF(K725="","",K725/MAX(K$5:K725)-1)</f>
        <v/>
      </c>
      <c r="N725" s="13" t="str">
        <f>IF(OR('实盘净值数据(iFinD）'!$A725="",'实盘净值数据(iFinD）'!$B725="",'实盘净值数据(iFinD）'!$Z725="",'实盘净值数据(iFinD）'!$AA725=""),"",分期持仓明细!$AB$24*(SUMPRODUCT(分期持仓明细!$B$24:$Y$24,'实盘净值数据(iFinD）'!$B725:$Y725/'实盘净值数据(iFinD）'!$B$65:$Y$65)+SUMPRODUCT(分期持仓明细!$AC$24:$AD$24,'实盘净值数据(iFinD）'!$Z725:$AA725/'实盘净值数据(iFinD）'!$Z$65:$AA$65))*(1-实盘持仓初始配置!$Z$8)^(('实盘净值数据(iFinD）'!$A725-'实盘净值数据(iFinD）'!$A$5)/365))</f>
        <v/>
      </c>
      <c r="O725" s="16" t="str">
        <f t="shared" si="70"/>
        <v/>
      </c>
      <c r="P725" s="16" t="str">
        <f>IF(N725="","",N725/MAX(N$5:N725)-1)</f>
        <v/>
      </c>
      <c r="Q725" s="13" t="str">
        <f>IF(OR('实盘净值数据(iFinD）'!$A725="",'实盘净值数据(iFinD）'!$B725="",'实盘净值数据(iFinD）'!$Z725="",'实盘净值数据(iFinD）'!$AA725=""),"",分期持仓明细!$AB$25*(SUMPRODUCT(分期持仓明细!$B$25:$Y$25,'实盘净值数据(iFinD）'!$B725:$Y725/'实盘净值数据(iFinD）'!$B$65:$Y$65)+SUMPRODUCT(分期持仓明细!$AC$25:$AD$25,'实盘净值数据(iFinD）'!$Z725:$AA725/'实盘净值数据(iFinD）'!$Z$65:$AA$65))*(1-实盘持仓初始配置!$Z$9)^(('实盘净值数据(iFinD）'!$A725-'实盘净值数据(iFinD）'!$A$8)/365))</f>
        <v/>
      </c>
      <c r="R725" s="16" t="str">
        <f t="shared" si="71"/>
        <v/>
      </c>
      <c r="S725" s="16" t="str">
        <f>IF(Q725="","",Q725/MAX(Q$5:Q725)-1)</f>
        <v/>
      </c>
    </row>
    <row r="726" spans="1:19">
      <c r="A726" s="15" t="str">
        <f>IF('实盘净值数据(iFinD）'!A726="","",'实盘净值数据(iFinD）'!A726)</f>
        <v/>
      </c>
      <c r="B726" s="13" t="str">
        <f>IF(OR('实盘净值数据(iFinD）'!$A726="",'实盘净值数据(iFinD）'!$B726=""),"",分期持仓明细!$AB$17*SUMPRODUCT(分期持仓明细!$B$17:$Y$17,'实盘净值数据(iFinD）'!$B726:$Y726/'实盘净值数据(iFinD）'!$B$20:$Y$20)*(1-实盘持仓初始配置!$Z$4)^(('实盘净值数据(iFinD）'!$A726-'实盘净值数据(iFinD）'!$A$6)/365))</f>
        <v/>
      </c>
      <c r="C726" s="16" t="str">
        <f t="shared" si="66"/>
        <v/>
      </c>
      <c r="D726" s="16" t="str">
        <f>IF(B726="","",B726/MAX(B$5:B726)-1)</f>
        <v/>
      </c>
      <c r="E726" s="13" t="str">
        <f>IF(OR('实盘净值数据(iFinD）'!$A726="",'实盘净值数据(iFinD）'!$B726=""),"",分期持仓明细!$AB$18*SUMPRODUCT(分期持仓明细!$B$18:$Y$18,'实盘净值数据(iFinD）'!$B726:$Y726/'实盘净值数据(iFinD）'!$B$20:$Y$20)*(1-实盘持仓初始配置!$Z$5)^(('实盘净值数据(iFinD）'!$A726-'实盘净值数据(iFinD）'!$A$5)/365))</f>
        <v/>
      </c>
      <c r="F726" s="16" t="str">
        <f t="shared" si="67"/>
        <v/>
      </c>
      <c r="G726" s="16" t="str">
        <f>IF(E726="","",E726/MAX(E$5:E726)-1)</f>
        <v/>
      </c>
      <c r="H726" s="13" t="str">
        <f>IF(OR('实盘净值数据(iFinD）'!$A726="",'实盘净值数据(iFinD）'!$B726=""),"",分期持仓明细!$AB$19*SUMPRODUCT(分期持仓明细!$B$19:$Y$19,'实盘净值数据(iFinD）'!$B726:$Y726/'实盘净值数据(iFinD）'!$B$20:$Y$20)*(1-实盘持仓初始配置!$Z$6)^(('实盘净值数据(iFinD）'!$A726-'实盘净值数据(iFinD）'!$A$7)/365))</f>
        <v/>
      </c>
      <c r="I726" s="16" t="str">
        <f t="shared" si="68"/>
        <v/>
      </c>
      <c r="J726" s="16" t="str">
        <f>IF(H726="","",H726/MAX(H$5:H726)-1)</f>
        <v/>
      </c>
      <c r="K726" s="13" t="str">
        <f>IF(OR('实盘净值数据(iFinD）'!$A726="",'实盘净值数据(iFinD）'!$B726="",'实盘净值数据(iFinD）'!$Z726="",'实盘净值数据(iFinD）'!$AA726=""),"",分期持仓明细!$AB$23*(SUMPRODUCT(分期持仓明细!$B$23:$Y$23,'实盘净值数据(iFinD）'!$B726:$Y726/'实盘净值数据(iFinD）'!$B$65:$Y$65)+SUMPRODUCT(分期持仓明细!$AC$23:$AD$23,'实盘净值数据(iFinD）'!$Z726:$AA726/'实盘净值数据(iFinD）'!$Z$65:$AA$65))*(1-实盘持仓初始配置!$Z$7)^(('实盘净值数据(iFinD）'!$A726-'实盘净值数据(iFinD）'!$A$8)/365))</f>
        <v/>
      </c>
      <c r="L726" s="16" t="str">
        <f t="shared" si="69"/>
        <v/>
      </c>
      <c r="M726" s="16" t="str">
        <f>IF(K726="","",K726/MAX(K$5:K726)-1)</f>
        <v/>
      </c>
      <c r="N726" s="13" t="str">
        <f>IF(OR('实盘净值数据(iFinD）'!$A726="",'实盘净值数据(iFinD）'!$B726="",'实盘净值数据(iFinD）'!$Z726="",'实盘净值数据(iFinD）'!$AA726=""),"",分期持仓明细!$AB$24*(SUMPRODUCT(分期持仓明细!$B$24:$Y$24,'实盘净值数据(iFinD）'!$B726:$Y726/'实盘净值数据(iFinD）'!$B$65:$Y$65)+SUMPRODUCT(分期持仓明细!$AC$24:$AD$24,'实盘净值数据(iFinD）'!$Z726:$AA726/'实盘净值数据(iFinD）'!$Z$65:$AA$65))*(1-实盘持仓初始配置!$Z$8)^(('实盘净值数据(iFinD）'!$A726-'实盘净值数据(iFinD）'!$A$5)/365))</f>
        <v/>
      </c>
      <c r="O726" s="16" t="str">
        <f t="shared" si="70"/>
        <v/>
      </c>
      <c r="P726" s="16" t="str">
        <f>IF(N726="","",N726/MAX(N$5:N726)-1)</f>
        <v/>
      </c>
      <c r="Q726" s="13" t="str">
        <f>IF(OR('实盘净值数据(iFinD）'!$A726="",'实盘净值数据(iFinD）'!$B726="",'实盘净值数据(iFinD）'!$Z726="",'实盘净值数据(iFinD）'!$AA726=""),"",分期持仓明细!$AB$25*(SUMPRODUCT(分期持仓明细!$B$25:$Y$25,'实盘净值数据(iFinD）'!$B726:$Y726/'实盘净值数据(iFinD）'!$B$65:$Y$65)+SUMPRODUCT(分期持仓明细!$AC$25:$AD$25,'实盘净值数据(iFinD）'!$Z726:$AA726/'实盘净值数据(iFinD）'!$Z$65:$AA$65))*(1-实盘持仓初始配置!$Z$9)^(('实盘净值数据(iFinD）'!$A726-'实盘净值数据(iFinD）'!$A$8)/365))</f>
        <v/>
      </c>
      <c r="R726" s="16" t="str">
        <f t="shared" si="71"/>
        <v/>
      </c>
      <c r="S726" s="16" t="str">
        <f>IF(Q726="","",Q726/MAX(Q$5:Q726)-1)</f>
        <v/>
      </c>
    </row>
    <row r="727" spans="1:19">
      <c r="A727" s="15" t="str">
        <f>IF('实盘净值数据(iFinD）'!A727="","",'实盘净值数据(iFinD）'!A727)</f>
        <v/>
      </c>
      <c r="B727" s="13" t="str">
        <f>IF(OR('实盘净值数据(iFinD）'!$A727="",'实盘净值数据(iFinD）'!$B727=""),"",分期持仓明细!$AB$17*SUMPRODUCT(分期持仓明细!$B$17:$Y$17,'实盘净值数据(iFinD）'!$B727:$Y727/'实盘净值数据(iFinD）'!$B$20:$Y$20)*(1-实盘持仓初始配置!$Z$4)^(('实盘净值数据(iFinD）'!$A727-'实盘净值数据(iFinD）'!$A$6)/365))</f>
        <v/>
      </c>
      <c r="C727" s="16" t="str">
        <f t="shared" si="66"/>
        <v/>
      </c>
      <c r="D727" s="16" t="str">
        <f>IF(B727="","",B727/MAX(B$5:B727)-1)</f>
        <v/>
      </c>
      <c r="E727" s="13" t="str">
        <f>IF(OR('实盘净值数据(iFinD）'!$A727="",'实盘净值数据(iFinD）'!$B727=""),"",分期持仓明细!$AB$18*SUMPRODUCT(分期持仓明细!$B$18:$Y$18,'实盘净值数据(iFinD）'!$B727:$Y727/'实盘净值数据(iFinD）'!$B$20:$Y$20)*(1-实盘持仓初始配置!$Z$5)^(('实盘净值数据(iFinD）'!$A727-'实盘净值数据(iFinD）'!$A$5)/365))</f>
        <v/>
      </c>
      <c r="F727" s="16" t="str">
        <f t="shared" si="67"/>
        <v/>
      </c>
      <c r="G727" s="16" t="str">
        <f>IF(E727="","",E727/MAX(E$5:E727)-1)</f>
        <v/>
      </c>
      <c r="H727" s="13" t="str">
        <f>IF(OR('实盘净值数据(iFinD）'!$A727="",'实盘净值数据(iFinD）'!$B727=""),"",分期持仓明细!$AB$19*SUMPRODUCT(分期持仓明细!$B$19:$Y$19,'实盘净值数据(iFinD）'!$B727:$Y727/'实盘净值数据(iFinD）'!$B$20:$Y$20)*(1-实盘持仓初始配置!$Z$6)^(('实盘净值数据(iFinD）'!$A727-'实盘净值数据(iFinD）'!$A$7)/365))</f>
        <v/>
      </c>
      <c r="I727" s="16" t="str">
        <f t="shared" si="68"/>
        <v/>
      </c>
      <c r="J727" s="16" t="str">
        <f>IF(H727="","",H727/MAX(H$5:H727)-1)</f>
        <v/>
      </c>
      <c r="K727" s="13" t="str">
        <f>IF(OR('实盘净值数据(iFinD）'!$A727="",'实盘净值数据(iFinD）'!$B727="",'实盘净值数据(iFinD）'!$Z727="",'实盘净值数据(iFinD）'!$AA727=""),"",分期持仓明细!$AB$23*(SUMPRODUCT(分期持仓明细!$B$23:$Y$23,'实盘净值数据(iFinD）'!$B727:$Y727/'实盘净值数据(iFinD）'!$B$65:$Y$65)+SUMPRODUCT(分期持仓明细!$AC$23:$AD$23,'实盘净值数据(iFinD）'!$Z727:$AA727/'实盘净值数据(iFinD）'!$Z$65:$AA$65))*(1-实盘持仓初始配置!$Z$7)^(('实盘净值数据(iFinD）'!$A727-'实盘净值数据(iFinD）'!$A$8)/365))</f>
        <v/>
      </c>
      <c r="L727" s="16" t="str">
        <f t="shared" si="69"/>
        <v/>
      </c>
      <c r="M727" s="16" t="str">
        <f>IF(K727="","",K727/MAX(K$5:K727)-1)</f>
        <v/>
      </c>
      <c r="N727" s="13" t="str">
        <f>IF(OR('实盘净值数据(iFinD）'!$A727="",'实盘净值数据(iFinD）'!$B727="",'实盘净值数据(iFinD）'!$Z727="",'实盘净值数据(iFinD）'!$AA727=""),"",分期持仓明细!$AB$24*(SUMPRODUCT(分期持仓明细!$B$24:$Y$24,'实盘净值数据(iFinD）'!$B727:$Y727/'实盘净值数据(iFinD）'!$B$65:$Y$65)+SUMPRODUCT(分期持仓明细!$AC$24:$AD$24,'实盘净值数据(iFinD）'!$Z727:$AA727/'实盘净值数据(iFinD）'!$Z$65:$AA$65))*(1-实盘持仓初始配置!$Z$8)^(('实盘净值数据(iFinD）'!$A727-'实盘净值数据(iFinD）'!$A$5)/365))</f>
        <v/>
      </c>
      <c r="O727" s="16" t="str">
        <f t="shared" si="70"/>
        <v/>
      </c>
      <c r="P727" s="16" t="str">
        <f>IF(N727="","",N727/MAX(N$5:N727)-1)</f>
        <v/>
      </c>
      <c r="Q727" s="13" t="str">
        <f>IF(OR('实盘净值数据(iFinD）'!$A727="",'实盘净值数据(iFinD）'!$B727="",'实盘净值数据(iFinD）'!$Z727="",'实盘净值数据(iFinD）'!$AA727=""),"",分期持仓明细!$AB$25*(SUMPRODUCT(分期持仓明细!$B$25:$Y$25,'实盘净值数据(iFinD）'!$B727:$Y727/'实盘净值数据(iFinD）'!$B$65:$Y$65)+SUMPRODUCT(分期持仓明细!$AC$25:$AD$25,'实盘净值数据(iFinD）'!$Z727:$AA727/'实盘净值数据(iFinD）'!$Z$65:$AA$65))*(1-实盘持仓初始配置!$Z$9)^(('实盘净值数据(iFinD）'!$A727-'实盘净值数据(iFinD）'!$A$8)/365))</f>
        <v/>
      </c>
      <c r="R727" s="16" t="str">
        <f t="shared" si="71"/>
        <v/>
      </c>
      <c r="S727" s="16" t="str">
        <f>IF(Q727="","",Q727/MAX(Q$5:Q727)-1)</f>
        <v/>
      </c>
    </row>
    <row r="728" spans="1:19">
      <c r="A728" s="15" t="str">
        <f>IF('实盘净值数据(iFinD）'!A728="","",'实盘净值数据(iFinD）'!A728)</f>
        <v/>
      </c>
      <c r="B728" s="13" t="str">
        <f>IF(OR('实盘净值数据(iFinD）'!$A728="",'实盘净值数据(iFinD）'!$B728=""),"",分期持仓明细!$AB$17*SUMPRODUCT(分期持仓明细!$B$17:$Y$17,'实盘净值数据(iFinD）'!$B728:$Y728/'实盘净值数据(iFinD）'!$B$20:$Y$20)*(1-实盘持仓初始配置!$Z$4)^(('实盘净值数据(iFinD）'!$A728-'实盘净值数据(iFinD）'!$A$6)/365))</f>
        <v/>
      </c>
      <c r="C728" s="16" t="str">
        <f t="shared" si="66"/>
        <v/>
      </c>
      <c r="D728" s="16" t="str">
        <f>IF(B728="","",B728/MAX(B$5:B728)-1)</f>
        <v/>
      </c>
      <c r="E728" s="13" t="str">
        <f>IF(OR('实盘净值数据(iFinD）'!$A728="",'实盘净值数据(iFinD）'!$B728=""),"",分期持仓明细!$AB$18*SUMPRODUCT(分期持仓明细!$B$18:$Y$18,'实盘净值数据(iFinD）'!$B728:$Y728/'实盘净值数据(iFinD）'!$B$20:$Y$20)*(1-实盘持仓初始配置!$Z$5)^(('实盘净值数据(iFinD）'!$A728-'实盘净值数据(iFinD）'!$A$5)/365))</f>
        <v/>
      </c>
      <c r="F728" s="16" t="str">
        <f t="shared" si="67"/>
        <v/>
      </c>
      <c r="G728" s="16" t="str">
        <f>IF(E728="","",E728/MAX(E$5:E728)-1)</f>
        <v/>
      </c>
      <c r="H728" s="13" t="str">
        <f>IF(OR('实盘净值数据(iFinD）'!$A728="",'实盘净值数据(iFinD）'!$B728=""),"",分期持仓明细!$AB$19*SUMPRODUCT(分期持仓明细!$B$19:$Y$19,'实盘净值数据(iFinD）'!$B728:$Y728/'实盘净值数据(iFinD）'!$B$20:$Y$20)*(1-实盘持仓初始配置!$Z$6)^(('实盘净值数据(iFinD）'!$A728-'实盘净值数据(iFinD）'!$A$7)/365))</f>
        <v/>
      </c>
      <c r="I728" s="16" t="str">
        <f t="shared" si="68"/>
        <v/>
      </c>
      <c r="J728" s="16" t="str">
        <f>IF(H728="","",H728/MAX(H$5:H728)-1)</f>
        <v/>
      </c>
      <c r="K728" s="13" t="str">
        <f>IF(OR('实盘净值数据(iFinD）'!$A728="",'实盘净值数据(iFinD）'!$B728="",'实盘净值数据(iFinD）'!$Z728="",'实盘净值数据(iFinD）'!$AA728=""),"",分期持仓明细!$AB$23*(SUMPRODUCT(分期持仓明细!$B$23:$Y$23,'实盘净值数据(iFinD）'!$B728:$Y728/'实盘净值数据(iFinD）'!$B$65:$Y$65)+SUMPRODUCT(分期持仓明细!$AC$23:$AD$23,'实盘净值数据(iFinD）'!$Z728:$AA728/'实盘净值数据(iFinD）'!$Z$65:$AA$65))*(1-实盘持仓初始配置!$Z$7)^(('实盘净值数据(iFinD）'!$A728-'实盘净值数据(iFinD）'!$A$8)/365))</f>
        <v/>
      </c>
      <c r="L728" s="16" t="str">
        <f t="shared" si="69"/>
        <v/>
      </c>
      <c r="M728" s="16" t="str">
        <f>IF(K728="","",K728/MAX(K$5:K728)-1)</f>
        <v/>
      </c>
      <c r="N728" s="13" t="str">
        <f>IF(OR('实盘净值数据(iFinD）'!$A728="",'实盘净值数据(iFinD）'!$B728="",'实盘净值数据(iFinD）'!$Z728="",'实盘净值数据(iFinD）'!$AA728=""),"",分期持仓明细!$AB$24*(SUMPRODUCT(分期持仓明细!$B$24:$Y$24,'实盘净值数据(iFinD）'!$B728:$Y728/'实盘净值数据(iFinD）'!$B$65:$Y$65)+SUMPRODUCT(分期持仓明细!$AC$24:$AD$24,'实盘净值数据(iFinD）'!$Z728:$AA728/'实盘净值数据(iFinD）'!$Z$65:$AA$65))*(1-实盘持仓初始配置!$Z$8)^(('实盘净值数据(iFinD）'!$A728-'实盘净值数据(iFinD）'!$A$5)/365))</f>
        <v/>
      </c>
      <c r="O728" s="16" t="str">
        <f t="shared" si="70"/>
        <v/>
      </c>
      <c r="P728" s="16" t="str">
        <f>IF(N728="","",N728/MAX(N$5:N728)-1)</f>
        <v/>
      </c>
      <c r="Q728" s="13" t="str">
        <f>IF(OR('实盘净值数据(iFinD）'!$A728="",'实盘净值数据(iFinD）'!$B728="",'实盘净值数据(iFinD）'!$Z728="",'实盘净值数据(iFinD）'!$AA728=""),"",分期持仓明细!$AB$25*(SUMPRODUCT(分期持仓明细!$B$25:$Y$25,'实盘净值数据(iFinD）'!$B728:$Y728/'实盘净值数据(iFinD）'!$B$65:$Y$65)+SUMPRODUCT(分期持仓明细!$AC$25:$AD$25,'实盘净值数据(iFinD）'!$Z728:$AA728/'实盘净值数据(iFinD）'!$Z$65:$AA$65))*(1-实盘持仓初始配置!$Z$9)^(('实盘净值数据(iFinD）'!$A728-'实盘净值数据(iFinD）'!$A$8)/365))</f>
        <v/>
      </c>
      <c r="R728" s="16" t="str">
        <f t="shared" si="71"/>
        <v/>
      </c>
      <c r="S728" s="16" t="str">
        <f>IF(Q728="","",Q728/MAX(Q$5:Q728)-1)</f>
        <v/>
      </c>
    </row>
    <row r="729" spans="1:19">
      <c r="A729" s="15" t="str">
        <f>IF('实盘净值数据(iFinD）'!A729="","",'实盘净值数据(iFinD）'!A729)</f>
        <v/>
      </c>
      <c r="B729" s="13" t="str">
        <f>IF(OR('实盘净值数据(iFinD）'!$A729="",'实盘净值数据(iFinD）'!$B729=""),"",分期持仓明细!$AB$17*SUMPRODUCT(分期持仓明细!$B$17:$Y$17,'实盘净值数据(iFinD）'!$B729:$Y729/'实盘净值数据(iFinD）'!$B$20:$Y$20)*(1-实盘持仓初始配置!$Z$4)^(('实盘净值数据(iFinD）'!$A729-'实盘净值数据(iFinD）'!$A$6)/365))</f>
        <v/>
      </c>
      <c r="C729" s="16" t="str">
        <f t="shared" si="66"/>
        <v/>
      </c>
      <c r="D729" s="16" t="str">
        <f>IF(B729="","",B729/MAX(B$5:B729)-1)</f>
        <v/>
      </c>
      <c r="E729" s="13" t="str">
        <f>IF(OR('实盘净值数据(iFinD）'!$A729="",'实盘净值数据(iFinD）'!$B729=""),"",分期持仓明细!$AB$18*SUMPRODUCT(分期持仓明细!$B$18:$Y$18,'实盘净值数据(iFinD）'!$B729:$Y729/'实盘净值数据(iFinD）'!$B$20:$Y$20)*(1-实盘持仓初始配置!$Z$5)^(('实盘净值数据(iFinD）'!$A729-'实盘净值数据(iFinD）'!$A$5)/365))</f>
        <v/>
      </c>
      <c r="F729" s="16" t="str">
        <f t="shared" si="67"/>
        <v/>
      </c>
      <c r="G729" s="16" t="str">
        <f>IF(E729="","",E729/MAX(E$5:E729)-1)</f>
        <v/>
      </c>
      <c r="H729" s="13" t="str">
        <f>IF(OR('实盘净值数据(iFinD）'!$A729="",'实盘净值数据(iFinD）'!$B729=""),"",分期持仓明细!$AB$19*SUMPRODUCT(分期持仓明细!$B$19:$Y$19,'实盘净值数据(iFinD）'!$B729:$Y729/'实盘净值数据(iFinD）'!$B$20:$Y$20)*(1-实盘持仓初始配置!$Z$6)^(('实盘净值数据(iFinD）'!$A729-'实盘净值数据(iFinD）'!$A$7)/365))</f>
        <v/>
      </c>
      <c r="I729" s="16" t="str">
        <f t="shared" si="68"/>
        <v/>
      </c>
      <c r="J729" s="16" t="str">
        <f>IF(H729="","",H729/MAX(H$5:H729)-1)</f>
        <v/>
      </c>
      <c r="K729" s="13" t="str">
        <f>IF(OR('实盘净值数据(iFinD）'!$A729="",'实盘净值数据(iFinD）'!$B729="",'实盘净值数据(iFinD）'!$Z729="",'实盘净值数据(iFinD）'!$AA729=""),"",分期持仓明细!$AB$23*(SUMPRODUCT(分期持仓明细!$B$23:$Y$23,'实盘净值数据(iFinD）'!$B729:$Y729/'实盘净值数据(iFinD）'!$B$65:$Y$65)+SUMPRODUCT(分期持仓明细!$AC$23:$AD$23,'实盘净值数据(iFinD）'!$Z729:$AA729/'实盘净值数据(iFinD）'!$Z$65:$AA$65))*(1-实盘持仓初始配置!$Z$7)^(('实盘净值数据(iFinD）'!$A729-'实盘净值数据(iFinD）'!$A$8)/365))</f>
        <v/>
      </c>
      <c r="L729" s="16" t="str">
        <f t="shared" si="69"/>
        <v/>
      </c>
      <c r="M729" s="16" t="str">
        <f>IF(K729="","",K729/MAX(K$5:K729)-1)</f>
        <v/>
      </c>
      <c r="N729" s="13" t="str">
        <f>IF(OR('实盘净值数据(iFinD）'!$A729="",'实盘净值数据(iFinD）'!$B729="",'实盘净值数据(iFinD）'!$Z729="",'实盘净值数据(iFinD）'!$AA729=""),"",分期持仓明细!$AB$24*(SUMPRODUCT(分期持仓明细!$B$24:$Y$24,'实盘净值数据(iFinD）'!$B729:$Y729/'实盘净值数据(iFinD）'!$B$65:$Y$65)+SUMPRODUCT(分期持仓明细!$AC$24:$AD$24,'实盘净值数据(iFinD）'!$Z729:$AA729/'实盘净值数据(iFinD）'!$Z$65:$AA$65))*(1-实盘持仓初始配置!$Z$8)^(('实盘净值数据(iFinD）'!$A729-'实盘净值数据(iFinD）'!$A$5)/365))</f>
        <v/>
      </c>
      <c r="O729" s="16" t="str">
        <f t="shared" si="70"/>
        <v/>
      </c>
      <c r="P729" s="16" t="str">
        <f>IF(N729="","",N729/MAX(N$5:N729)-1)</f>
        <v/>
      </c>
      <c r="Q729" s="13" t="str">
        <f>IF(OR('实盘净值数据(iFinD）'!$A729="",'实盘净值数据(iFinD）'!$B729="",'实盘净值数据(iFinD）'!$Z729="",'实盘净值数据(iFinD）'!$AA729=""),"",分期持仓明细!$AB$25*(SUMPRODUCT(分期持仓明细!$B$25:$Y$25,'实盘净值数据(iFinD）'!$B729:$Y729/'实盘净值数据(iFinD）'!$B$65:$Y$65)+SUMPRODUCT(分期持仓明细!$AC$25:$AD$25,'实盘净值数据(iFinD）'!$Z729:$AA729/'实盘净值数据(iFinD）'!$Z$65:$AA$65))*(1-实盘持仓初始配置!$Z$9)^(('实盘净值数据(iFinD）'!$A729-'实盘净值数据(iFinD）'!$A$8)/365))</f>
        <v/>
      </c>
      <c r="R729" s="16" t="str">
        <f t="shared" si="71"/>
        <v/>
      </c>
      <c r="S729" s="16" t="str">
        <f>IF(Q729="","",Q729/MAX(Q$5:Q729)-1)</f>
        <v/>
      </c>
    </row>
    <row r="730" spans="1:19">
      <c r="A730" s="15" t="str">
        <f>IF('实盘净值数据(iFinD）'!A730="","",'实盘净值数据(iFinD）'!A730)</f>
        <v/>
      </c>
      <c r="B730" s="13" t="str">
        <f>IF(OR('实盘净值数据(iFinD）'!$A730="",'实盘净值数据(iFinD）'!$B730=""),"",分期持仓明细!$AB$17*SUMPRODUCT(分期持仓明细!$B$17:$Y$17,'实盘净值数据(iFinD）'!$B730:$Y730/'实盘净值数据(iFinD）'!$B$20:$Y$20)*(1-实盘持仓初始配置!$Z$4)^(('实盘净值数据(iFinD）'!$A730-'实盘净值数据(iFinD）'!$A$6)/365))</f>
        <v/>
      </c>
      <c r="C730" s="16" t="str">
        <f t="shared" si="66"/>
        <v/>
      </c>
      <c r="D730" s="16" t="str">
        <f>IF(B730="","",B730/MAX(B$5:B730)-1)</f>
        <v/>
      </c>
      <c r="E730" s="13" t="str">
        <f>IF(OR('实盘净值数据(iFinD）'!$A730="",'实盘净值数据(iFinD）'!$B730=""),"",分期持仓明细!$AB$18*SUMPRODUCT(分期持仓明细!$B$18:$Y$18,'实盘净值数据(iFinD）'!$B730:$Y730/'实盘净值数据(iFinD）'!$B$20:$Y$20)*(1-实盘持仓初始配置!$Z$5)^(('实盘净值数据(iFinD）'!$A730-'实盘净值数据(iFinD）'!$A$5)/365))</f>
        <v/>
      </c>
      <c r="F730" s="16" t="str">
        <f t="shared" si="67"/>
        <v/>
      </c>
      <c r="G730" s="16" t="str">
        <f>IF(E730="","",E730/MAX(E$5:E730)-1)</f>
        <v/>
      </c>
      <c r="H730" s="13" t="str">
        <f>IF(OR('实盘净值数据(iFinD）'!$A730="",'实盘净值数据(iFinD）'!$B730=""),"",分期持仓明细!$AB$19*SUMPRODUCT(分期持仓明细!$B$19:$Y$19,'实盘净值数据(iFinD）'!$B730:$Y730/'实盘净值数据(iFinD）'!$B$20:$Y$20)*(1-实盘持仓初始配置!$Z$6)^(('实盘净值数据(iFinD）'!$A730-'实盘净值数据(iFinD）'!$A$7)/365))</f>
        <v/>
      </c>
      <c r="I730" s="16" t="str">
        <f t="shared" si="68"/>
        <v/>
      </c>
      <c r="J730" s="16" t="str">
        <f>IF(H730="","",H730/MAX(H$5:H730)-1)</f>
        <v/>
      </c>
      <c r="K730" s="13" t="str">
        <f>IF(OR('实盘净值数据(iFinD）'!$A730="",'实盘净值数据(iFinD）'!$B730="",'实盘净值数据(iFinD）'!$Z730="",'实盘净值数据(iFinD）'!$AA730=""),"",分期持仓明细!$AB$23*(SUMPRODUCT(分期持仓明细!$B$23:$Y$23,'实盘净值数据(iFinD）'!$B730:$Y730/'实盘净值数据(iFinD）'!$B$65:$Y$65)+SUMPRODUCT(分期持仓明细!$AC$23:$AD$23,'实盘净值数据(iFinD）'!$Z730:$AA730/'实盘净值数据(iFinD）'!$Z$65:$AA$65))*(1-实盘持仓初始配置!$Z$7)^(('实盘净值数据(iFinD）'!$A730-'实盘净值数据(iFinD）'!$A$8)/365))</f>
        <v/>
      </c>
      <c r="L730" s="16" t="str">
        <f t="shared" si="69"/>
        <v/>
      </c>
      <c r="M730" s="16" t="str">
        <f>IF(K730="","",K730/MAX(K$5:K730)-1)</f>
        <v/>
      </c>
      <c r="N730" s="13" t="str">
        <f>IF(OR('实盘净值数据(iFinD）'!$A730="",'实盘净值数据(iFinD）'!$B730="",'实盘净值数据(iFinD）'!$Z730="",'实盘净值数据(iFinD）'!$AA730=""),"",分期持仓明细!$AB$24*(SUMPRODUCT(分期持仓明细!$B$24:$Y$24,'实盘净值数据(iFinD）'!$B730:$Y730/'实盘净值数据(iFinD）'!$B$65:$Y$65)+SUMPRODUCT(分期持仓明细!$AC$24:$AD$24,'实盘净值数据(iFinD）'!$Z730:$AA730/'实盘净值数据(iFinD）'!$Z$65:$AA$65))*(1-实盘持仓初始配置!$Z$8)^(('实盘净值数据(iFinD）'!$A730-'实盘净值数据(iFinD）'!$A$5)/365))</f>
        <v/>
      </c>
      <c r="O730" s="16" t="str">
        <f t="shared" si="70"/>
        <v/>
      </c>
      <c r="P730" s="16" t="str">
        <f>IF(N730="","",N730/MAX(N$5:N730)-1)</f>
        <v/>
      </c>
      <c r="Q730" s="13" t="str">
        <f>IF(OR('实盘净值数据(iFinD）'!$A730="",'实盘净值数据(iFinD）'!$B730="",'实盘净值数据(iFinD）'!$Z730="",'实盘净值数据(iFinD）'!$AA730=""),"",分期持仓明细!$AB$25*(SUMPRODUCT(分期持仓明细!$B$25:$Y$25,'实盘净值数据(iFinD）'!$B730:$Y730/'实盘净值数据(iFinD）'!$B$65:$Y$65)+SUMPRODUCT(分期持仓明细!$AC$25:$AD$25,'实盘净值数据(iFinD）'!$Z730:$AA730/'实盘净值数据(iFinD）'!$Z$65:$AA$65))*(1-实盘持仓初始配置!$Z$9)^(('实盘净值数据(iFinD）'!$A730-'实盘净值数据(iFinD）'!$A$8)/365))</f>
        <v/>
      </c>
      <c r="R730" s="16" t="str">
        <f t="shared" si="71"/>
        <v/>
      </c>
      <c r="S730" s="16" t="str">
        <f>IF(Q730="","",Q730/MAX(Q$5:Q730)-1)</f>
        <v/>
      </c>
    </row>
    <row r="731" spans="1:19">
      <c r="A731" s="15" t="str">
        <f>IF('实盘净值数据(iFinD）'!A731="","",'实盘净值数据(iFinD）'!A731)</f>
        <v/>
      </c>
      <c r="B731" s="13" t="str">
        <f>IF(OR('实盘净值数据(iFinD）'!$A731="",'实盘净值数据(iFinD）'!$B731=""),"",分期持仓明细!$AB$17*SUMPRODUCT(分期持仓明细!$B$17:$Y$17,'实盘净值数据(iFinD）'!$B731:$Y731/'实盘净值数据(iFinD）'!$B$20:$Y$20)*(1-实盘持仓初始配置!$Z$4)^(('实盘净值数据(iFinD）'!$A731-'实盘净值数据(iFinD）'!$A$6)/365))</f>
        <v/>
      </c>
      <c r="C731" s="16" t="str">
        <f t="shared" si="66"/>
        <v/>
      </c>
      <c r="D731" s="16" t="str">
        <f>IF(B731="","",B731/MAX(B$5:B731)-1)</f>
        <v/>
      </c>
      <c r="E731" s="13" t="str">
        <f>IF(OR('实盘净值数据(iFinD）'!$A731="",'实盘净值数据(iFinD）'!$B731=""),"",分期持仓明细!$AB$18*SUMPRODUCT(分期持仓明细!$B$18:$Y$18,'实盘净值数据(iFinD）'!$B731:$Y731/'实盘净值数据(iFinD）'!$B$20:$Y$20)*(1-实盘持仓初始配置!$Z$5)^(('实盘净值数据(iFinD）'!$A731-'实盘净值数据(iFinD）'!$A$5)/365))</f>
        <v/>
      </c>
      <c r="F731" s="16" t="str">
        <f t="shared" si="67"/>
        <v/>
      </c>
      <c r="G731" s="16" t="str">
        <f>IF(E731="","",E731/MAX(E$5:E731)-1)</f>
        <v/>
      </c>
      <c r="H731" s="13" t="str">
        <f>IF(OR('实盘净值数据(iFinD）'!$A731="",'实盘净值数据(iFinD）'!$B731=""),"",分期持仓明细!$AB$19*SUMPRODUCT(分期持仓明细!$B$19:$Y$19,'实盘净值数据(iFinD）'!$B731:$Y731/'实盘净值数据(iFinD）'!$B$20:$Y$20)*(1-实盘持仓初始配置!$Z$6)^(('实盘净值数据(iFinD）'!$A731-'实盘净值数据(iFinD）'!$A$7)/365))</f>
        <v/>
      </c>
      <c r="I731" s="16" t="str">
        <f t="shared" si="68"/>
        <v/>
      </c>
      <c r="J731" s="16" t="str">
        <f>IF(H731="","",H731/MAX(H$5:H731)-1)</f>
        <v/>
      </c>
      <c r="K731" s="13" t="str">
        <f>IF(OR('实盘净值数据(iFinD）'!$A731="",'实盘净值数据(iFinD）'!$B731="",'实盘净值数据(iFinD）'!$Z731="",'实盘净值数据(iFinD）'!$AA731=""),"",分期持仓明细!$AB$23*(SUMPRODUCT(分期持仓明细!$B$23:$Y$23,'实盘净值数据(iFinD）'!$B731:$Y731/'实盘净值数据(iFinD）'!$B$65:$Y$65)+SUMPRODUCT(分期持仓明细!$AC$23:$AD$23,'实盘净值数据(iFinD）'!$Z731:$AA731/'实盘净值数据(iFinD）'!$Z$65:$AA$65))*(1-实盘持仓初始配置!$Z$7)^(('实盘净值数据(iFinD）'!$A731-'实盘净值数据(iFinD）'!$A$8)/365))</f>
        <v/>
      </c>
      <c r="L731" s="16" t="str">
        <f t="shared" si="69"/>
        <v/>
      </c>
      <c r="M731" s="16" t="str">
        <f>IF(K731="","",K731/MAX(K$5:K731)-1)</f>
        <v/>
      </c>
      <c r="N731" s="13" t="str">
        <f>IF(OR('实盘净值数据(iFinD）'!$A731="",'实盘净值数据(iFinD）'!$B731="",'实盘净值数据(iFinD）'!$Z731="",'实盘净值数据(iFinD）'!$AA731=""),"",分期持仓明细!$AB$24*(SUMPRODUCT(分期持仓明细!$B$24:$Y$24,'实盘净值数据(iFinD）'!$B731:$Y731/'实盘净值数据(iFinD）'!$B$65:$Y$65)+SUMPRODUCT(分期持仓明细!$AC$24:$AD$24,'实盘净值数据(iFinD）'!$Z731:$AA731/'实盘净值数据(iFinD）'!$Z$65:$AA$65))*(1-实盘持仓初始配置!$Z$8)^(('实盘净值数据(iFinD）'!$A731-'实盘净值数据(iFinD）'!$A$5)/365))</f>
        <v/>
      </c>
      <c r="O731" s="16" t="str">
        <f t="shared" si="70"/>
        <v/>
      </c>
      <c r="P731" s="16" t="str">
        <f>IF(N731="","",N731/MAX(N$5:N731)-1)</f>
        <v/>
      </c>
      <c r="Q731" s="13" t="str">
        <f>IF(OR('实盘净值数据(iFinD）'!$A731="",'实盘净值数据(iFinD）'!$B731="",'实盘净值数据(iFinD）'!$Z731="",'实盘净值数据(iFinD）'!$AA731=""),"",分期持仓明细!$AB$25*(SUMPRODUCT(分期持仓明细!$B$25:$Y$25,'实盘净值数据(iFinD）'!$B731:$Y731/'实盘净值数据(iFinD）'!$B$65:$Y$65)+SUMPRODUCT(分期持仓明细!$AC$25:$AD$25,'实盘净值数据(iFinD）'!$Z731:$AA731/'实盘净值数据(iFinD）'!$Z$65:$AA$65))*(1-实盘持仓初始配置!$Z$9)^(('实盘净值数据(iFinD）'!$A731-'实盘净值数据(iFinD）'!$A$8)/365))</f>
        <v/>
      </c>
      <c r="R731" s="16" t="str">
        <f t="shared" si="71"/>
        <v/>
      </c>
      <c r="S731" s="16" t="str">
        <f>IF(Q731="","",Q731/MAX(Q$5:Q731)-1)</f>
        <v/>
      </c>
    </row>
    <row r="732" spans="1:19">
      <c r="A732" s="15" t="str">
        <f>IF('实盘净值数据(iFinD）'!A732="","",'实盘净值数据(iFinD）'!A732)</f>
        <v/>
      </c>
      <c r="B732" s="13" t="str">
        <f>IF(OR('实盘净值数据(iFinD）'!$A732="",'实盘净值数据(iFinD）'!$B732=""),"",分期持仓明细!$AB$17*SUMPRODUCT(分期持仓明细!$B$17:$Y$17,'实盘净值数据(iFinD）'!$B732:$Y732/'实盘净值数据(iFinD）'!$B$20:$Y$20)*(1-实盘持仓初始配置!$Z$4)^(('实盘净值数据(iFinD）'!$A732-'实盘净值数据(iFinD）'!$A$6)/365))</f>
        <v/>
      </c>
      <c r="C732" s="16" t="str">
        <f t="shared" si="66"/>
        <v/>
      </c>
      <c r="D732" s="16" t="str">
        <f>IF(B732="","",B732/MAX(B$5:B732)-1)</f>
        <v/>
      </c>
      <c r="E732" s="13" t="str">
        <f>IF(OR('实盘净值数据(iFinD）'!$A732="",'实盘净值数据(iFinD）'!$B732=""),"",分期持仓明细!$AB$18*SUMPRODUCT(分期持仓明细!$B$18:$Y$18,'实盘净值数据(iFinD）'!$B732:$Y732/'实盘净值数据(iFinD）'!$B$20:$Y$20)*(1-实盘持仓初始配置!$Z$5)^(('实盘净值数据(iFinD）'!$A732-'实盘净值数据(iFinD）'!$A$5)/365))</f>
        <v/>
      </c>
      <c r="F732" s="16" t="str">
        <f t="shared" si="67"/>
        <v/>
      </c>
      <c r="G732" s="16" t="str">
        <f>IF(E732="","",E732/MAX(E$5:E732)-1)</f>
        <v/>
      </c>
      <c r="H732" s="13" t="str">
        <f>IF(OR('实盘净值数据(iFinD）'!$A732="",'实盘净值数据(iFinD）'!$B732=""),"",分期持仓明细!$AB$19*SUMPRODUCT(分期持仓明细!$B$19:$Y$19,'实盘净值数据(iFinD）'!$B732:$Y732/'实盘净值数据(iFinD）'!$B$20:$Y$20)*(1-实盘持仓初始配置!$Z$6)^(('实盘净值数据(iFinD）'!$A732-'实盘净值数据(iFinD）'!$A$7)/365))</f>
        <v/>
      </c>
      <c r="I732" s="16" t="str">
        <f t="shared" si="68"/>
        <v/>
      </c>
      <c r="J732" s="16" t="str">
        <f>IF(H732="","",H732/MAX(H$5:H732)-1)</f>
        <v/>
      </c>
      <c r="K732" s="13" t="str">
        <f>IF(OR('实盘净值数据(iFinD）'!$A732="",'实盘净值数据(iFinD）'!$B732="",'实盘净值数据(iFinD）'!$Z732="",'实盘净值数据(iFinD）'!$AA732=""),"",分期持仓明细!$AB$23*(SUMPRODUCT(分期持仓明细!$B$23:$Y$23,'实盘净值数据(iFinD）'!$B732:$Y732/'实盘净值数据(iFinD）'!$B$65:$Y$65)+SUMPRODUCT(分期持仓明细!$AC$23:$AD$23,'实盘净值数据(iFinD）'!$Z732:$AA732/'实盘净值数据(iFinD）'!$Z$65:$AA$65))*(1-实盘持仓初始配置!$Z$7)^(('实盘净值数据(iFinD）'!$A732-'实盘净值数据(iFinD）'!$A$8)/365))</f>
        <v/>
      </c>
      <c r="L732" s="16" t="str">
        <f t="shared" si="69"/>
        <v/>
      </c>
      <c r="M732" s="16" t="str">
        <f>IF(K732="","",K732/MAX(K$5:K732)-1)</f>
        <v/>
      </c>
      <c r="N732" s="13" t="str">
        <f>IF(OR('实盘净值数据(iFinD）'!$A732="",'实盘净值数据(iFinD）'!$B732="",'实盘净值数据(iFinD）'!$Z732="",'实盘净值数据(iFinD）'!$AA732=""),"",分期持仓明细!$AB$24*(SUMPRODUCT(分期持仓明细!$B$24:$Y$24,'实盘净值数据(iFinD）'!$B732:$Y732/'实盘净值数据(iFinD）'!$B$65:$Y$65)+SUMPRODUCT(分期持仓明细!$AC$24:$AD$24,'实盘净值数据(iFinD）'!$Z732:$AA732/'实盘净值数据(iFinD）'!$Z$65:$AA$65))*(1-实盘持仓初始配置!$Z$8)^(('实盘净值数据(iFinD）'!$A732-'实盘净值数据(iFinD）'!$A$5)/365))</f>
        <v/>
      </c>
      <c r="O732" s="16" t="str">
        <f t="shared" si="70"/>
        <v/>
      </c>
      <c r="P732" s="16" t="str">
        <f>IF(N732="","",N732/MAX(N$5:N732)-1)</f>
        <v/>
      </c>
      <c r="Q732" s="13" t="str">
        <f>IF(OR('实盘净值数据(iFinD）'!$A732="",'实盘净值数据(iFinD）'!$B732="",'实盘净值数据(iFinD）'!$Z732="",'实盘净值数据(iFinD）'!$AA732=""),"",分期持仓明细!$AB$25*(SUMPRODUCT(分期持仓明细!$B$25:$Y$25,'实盘净值数据(iFinD）'!$B732:$Y732/'实盘净值数据(iFinD）'!$B$65:$Y$65)+SUMPRODUCT(分期持仓明细!$AC$25:$AD$25,'实盘净值数据(iFinD）'!$Z732:$AA732/'实盘净值数据(iFinD）'!$Z$65:$AA$65))*(1-实盘持仓初始配置!$Z$9)^(('实盘净值数据(iFinD）'!$A732-'实盘净值数据(iFinD）'!$A$8)/365))</f>
        <v/>
      </c>
      <c r="R732" s="16" t="str">
        <f t="shared" si="71"/>
        <v/>
      </c>
      <c r="S732" s="16" t="str">
        <f>IF(Q732="","",Q732/MAX(Q$5:Q732)-1)</f>
        <v/>
      </c>
    </row>
    <row r="733" spans="1:19">
      <c r="A733" s="15" t="str">
        <f>IF('实盘净值数据(iFinD）'!A733="","",'实盘净值数据(iFinD）'!A733)</f>
        <v/>
      </c>
      <c r="B733" s="13" t="str">
        <f>IF(OR('实盘净值数据(iFinD）'!$A733="",'实盘净值数据(iFinD）'!$B733=""),"",分期持仓明细!$AB$17*SUMPRODUCT(分期持仓明细!$B$17:$Y$17,'实盘净值数据(iFinD）'!$B733:$Y733/'实盘净值数据(iFinD）'!$B$20:$Y$20)*(1-实盘持仓初始配置!$Z$4)^(('实盘净值数据(iFinD）'!$A733-'实盘净值数据(iFinD）'!$A$6)/365))</f>
        <v/>
      </c>
      <c r="C733" s="16" t="str">
        <f t="shared" si="66"/>
        <v/>
      </c>
      <c r="D733" s="16" t="str">
        <f>IF(B733="","",B733/MAX(B$5:B733)-1)</f>
        <v/>
      </c>
      <c r="E733" s="13" t="str">
        <f>IF(OR('实盘净值数据(iFinD）'!$A733="",'实盘净值数据(iFinD）'!$B733=""),"",分期持仓明细!$AB$18*SUMPRODUCT(分期持仓明细!$B$18:$Y$18,'实盘净值数据(iFinD）'!$B733:$Y733/'实盘净值数据(iFinD）'!$B$20:$Y$20)*(1-实盘持仓初始配置!$Z$5)^(('实盘净值数据(iFinD）'!$A733-'实盘净值数据(iFinD）'!$A$5)/365))</f>
        <v/>
      </c>
      <c r="F733" s="16" t="str">
        <f t="shared" si="67"/>
        <v/>
      </c>
      <c r="G733" s="16" t="str">
        <f>IF(E733="","",E733/MAX(E$5:E733)-1)</f>
        <v/>
      </c>
      <c r="H733" s="13" t="str">
        <f>IF(OR('实盘净值数据(iFinD）'!$A733="",'实盘净值数据(iFinD）'!$B733=""),"",分期持仓明细!$AB$19*SUMPRODUCT(分期持仓明细!$B$19:$Y$19,'实盘净值数据(iFinD）'!$B733:$Y733/'实盘净值数据(iFinD）'!$B$20:$Y$20)*(1-实盘持仓初始配置!$Z$6)^(('实盘净值数据(iFinD）'!$A733-'实盘净值数据(iFinD）'!$A$7)/365))</f>
        <v/>
      </c>
      <c r="I733" s="16" t="str">
        <f t="shared" si="68"/>
        <v/>
      </c>
      <c r="J733" s="16" t="str">
        <f>IF(H733="","",H733/MAX(H$5:H733)-1)</f>
        <v/>
      </c>
      <c r="K733" s="13" t="str">
        <f>IF(OR('实盘净值数据(iFinD）'!$A733="",'实盘净值数据(iFinD）'!$B733="",'实盘净值数据(iFinD）'!$Z733="",'实盘净值数据(iFinD）'!$AA733=""),"",分期持仓明细!$AB$23*(SUMPRODUCT(分期持仓明细!$B$23:$Y$23,'实盘净值数据(iFinD）'!$B733:$Y733/'实盘净值数据(iFinD）'!$B$65:$Y$65)+SUMPRODUCT(分期持仓明细!$AC$23:$AD$23,'实盘净值数据(iFinD）'!$Z733:$AA733/'实盘净值数据(iFinD）'!$Z$65:$AA$65))*(1-实盘持仓初始配置!$Z$7)^(('实盘净值数据(iFinD）'!$A733-'实盘净值数据(iFinD）'!$A$8)/365))</f>
        <v/>
      </c>
      <c r="L733" s="16" t="str">
        <f t="shared" si="69"/>
        <v/>
      </c>
      <c r="M733" s="16" t="str">
        <f>IF(K733="","",K733/MAX(K$5:K733)-1)</f>
        <v/>
      </c>
      <c r="N733" s="13" t="str">
        <f>IF(OR('实盘净值数据(iFinD）'!$A733="",'实盘净值数据(iFinD）'!$B733="",'实盘净值数据(iFinD）'!$Z733="",'实盘净值数据(iFinD）'!$AA733=""),"",分期持仓明细!$AB$24*(SUMPRODUCT(分期持仓明细!$B$24:$Y$24,'实盘净值数据(iFinD）'!$B733:$Y733/'实盘净值数据(iFinD）'!$B$65:$Y$65)+SUMPRODUCT(分期持仓明细!$AC$24:$AD$24,'实盘净值数据(iFinD）'!$Z733:$AA733/'实盘净值数据(iFinD）'!$Z$65:$AA$65))*(1-实盘持仓初始配置!$Z$8)^(('实盘净值数据(iFinD）'!$A733-'实盘净值数据(iFinD）'!$A$5)/365))</f>
        <v/>
      </c>
      <c r="O733" s="16" t="str">
        <f t="shared" si="70"/>
        <v/>
      </c>
      <c r="P733" s="16" t="str">
        <f>IF(N733="","",N733/MAX(N$5:N733)-1)</f>
        <v/>
      </c>
      <c r="Q733" s="13" t="str">
        <f>IF(OR('实盘净值数据(iFinD）'!$A733="",'实盘净值数据(iFinD）'!$B733="",'实盘净值数据(iFinD）'!$Z733="",'实盘净值数据(iFinD）'!$AA733=""),"",分期持仓明细!$AB$25*(SUMPRODUCT(分期持仓明细!$B$25:$Y$25,'实盘净值数据(iFinD）'!$B733:$Y733/'实盘净值数据(iFinD）'!$B$65:$Y$65)+SUMPRODUCT(分期持仓明细!$AC$25:$AD$25,'实盘净值数据(iFinD）'!$Z733:$AA733/'实盘净值数据(iFinD）'!$Z$65:$AA$65))*(1-实盘持仓初始配置!$Z$9)^(('实盘净值数据(iFinD）'!$A733-'实盘净值数据(iFinD）'!$A$8)/365))</f>
        <v/>
      </c>
      <c r="R733" s="16" t="str">
        <f t="shared" si="71"/>
        <v/>
      </c>
      <c r="S733" s="16" t="str">
        <f>IF(Q733="","",Q733/MAX(Q$5:Q733)-1)</f>
        <v/>
      </c>
    </row>
    <row r="734" spans="1:19">
      <c r="A734" s="15" t="str">
        <f>IF('实盘净值数据(iFinD）'!A734="","",'实盘净值数据(iFinD）'!A734)</f>
        <v/>
      </c>
      <c r="B734" s="13" t="str">
        <f>IF(OR('实盘净值数据(iFinD）'!$A734="",'实盘净值数据(iFinD）'!$B734=""),"",分期持仓明细!$AB$17*SUMPRODUCT(分期持仓明细!$B$17:$Y$17,'实盘净值数据(iFinD）'!$B734:$Y734/'实盘净值数据(iFinD）'!$B$20:$Y$20)*(1-实盘持仓初始配置!$Z$4)^(('实盘净值数据(iFinD）'!$A734-'实盘净值数据(iFinD）'!$A$6)/365))</f>
        <v/>
      </c>
      <c r="C734" s="16" t="str">
        <f t="shared" si="66"/>
        <v/>
      </c>
      <c r="D734" s="16" t="str">
        <f>IF(B734="","",B734/MAX(B$5:B734)-1)</f>
        <v/>
      </c>
      <c r="E734" s="13" t="str">
        <f>IF(OR('实盘净值数据(iFinD）'!$A734="",'实盘净值数据(iFinD）'!$B734=""),"",分期持仓明细!$AB$18*SUMPRODUCT(分期持仓明细!$B$18:$Y$18,'实盘净值数据(iFinD）'!$B734:$Y734/'实盘净值数据(iFinD）'!$B$20:$Y$20)*(1-实盘持仓初始配置!$Z$5)^(('实盘净值数据(iFinD）'!$A734-'实盘净值数据(iFinD）'!$A$5)/365))</f>
        <v/>
      </c>
      <c r="F734" s="16" t="str">
        <f t="shared" si="67"/>
        <v/>
      </c>
      <c r="G734" s="16" t="str">
        <f>IF(E734="","",E734/MAX(E$5:E734)-1)</f>
        <v/>
      </c>
      <c r="H734" s="13" t="str">
        <f>IF(OR('实盘净值数据(iFinD）'!$A734="",'实盘净值数据(iFinD）'!$B734=""),"",分期持仓明细!$AB$19*SUMPRODUCT(分期持仓明细!$B$19:$Y$19,'实盘净值数据(iFinD）'!$B734:$Y734/'实盘净值数据(iFinD）'!$B$20:$Y$20)*(1-实盘持仓初始配置!$Z$6)^(('实盘净值数据(iFinD）'!$A734-'实盘净值数据(iFinD）'!$A$7)/365))</f>
        <v/>
      </c>
      <c r="I734" s="16" t="str">
        <f t="shared" si="68"/>
        <v/>
      </c>
      <c r="J734" s="16" t="str">
        <f>IF(H734="","",H734/MAX(H$5:H734)-1)</f>
        <v/>
      </c>
      <c r="K734" s="13" t="str">
        <f>IF(OR('实盘净值数据(iFinD）'!$A734="",'实盘净值数据(iFinD）'!$B734="",'实盘净值数据(iFinD）'!$Z734="",'实盘净值数据(iFinD）'!$AA734=""),"",分期持仓明细!$AB$23*(SUMPRODUCT(分期持仓明细!$B$23:$Y$23,'实盘净值数据(iFinD）'!$B734:$Y734/'实盘净值数据(iFinD）'!$B$65:$Y$65)+SUMPRODUCT(分期持仓明细!$AC$23:$AD$23,'实盘净值数据(iFinD）'!$Z734:$AA734/'实盘净值数据(iFinD）'!$Z$65:$AA$65))*(1-实盘持仓初始配置!$Z$7)^(('实盘净值数据(iFinD）'!$A734-'实盘净值数据(iFinD）'!$A$8)/365))</f>
        <v/>
      </c>
      <c r="L734" s="16" t="str">
        <f t="shared" si="69"/>
        <v/>
      </c>
      <c r="M734" s="16" t="str">
        <f>IF(K734="","",K734/MAX(K$5:K734)-1)</f>
        <v/>
      </c>
      <c r="N734" s="13" t="str">
        <f>IF(OR('实盘净值数据(iFinD）'!$A734="",'实盘净值数据(iFinD）'!$B734="",'实盘净值数据(iFinD）'!$Z734="",'实盘净值数据(iFinD）'!$AA734=""),"",分期持仓明细!$AB$24*(SUMPRODUCT(分期持仓明细!$B$24:$Y$24,'实盘净值数据(iFinD）'!$B734:$Y734/'实盘净值数据(iFinD）'!$B$65:$Y$65)+SUMPRODUCT(分期持仓明细!$AC$24:$AD$24,'实盘净值数据(iFinD）'!$Z734:$AA734/'实盘净值数据(iFinD）'!$Z$65:$AA$65))*(1-实盘持仓初始配置!$Z$8)^(('实盘净值数据(iFinD）'!$A734-'实盘净值数据(iFinD）'!$A$5)/365))</f>
        <v/>
      </c>
      <c r="O734" s="16" t="str">
        <f t="shared" si="70"/>
        <v/>
      </c>
      <c r="P734" s="16" t="str">
        <f>IF(N734="","",N734/MAX(N$5:N734)-1)</f>
        <v/>
      </c>
      <c r="Q734" s="13" t="str">
        <f>IF(OR('实盘净值数据(iFinD）'!$A734="",'实盘净值数据(iFinD）'!$B734="",'实盘净值数据(iFinD）'!$Z734="",'实盘净值数据(iFinD）'!$AA734=""),"",分期持仓明细!$AB$25*(SUMPRODUCT(分期持仓明细!$B$25:$Y$25,'实盘净值数据(iFinD）'!$B734:$Y734/'实盘净值数据(iFinD）'!$B$65:$Y$65)+SUMPRODUCT(分期持仓明细!$AC$25:$AD$25,'实盘净值数据(iFinD）'!$Z734:$AA734/'实盘净值数据(iFinD）'!$Z$65:$AA$65))*(1-实盘持仓初始配置!$Z$9)^(('实盘净值数据(iFinD）'!$A734-'实盘净值数据(iFinD）'!$A$8)/365))</f>
        <v/>
      </c>
      <c r="R734" s="16" t="str">
        <f t="shared" si="71"/>
        <v/>
      </c>
      <c r="S734" s="16" t="str">
        <f>IF(Q734="","",Q734/MAX(Q$5:Q734)-1)</f>
        <v/>
      </c>
    </row>
    <row r="735" spans="1:19">
      <c r="A735" s="15" t="str">
        <f>IF('实盘净值数据(iFinD）'!A735="","",'实盘净值数据(iFinD）'!A735)</f>
        <v/>
      </c>
      <c r="B735" s="13" t="str">
        <f>IF(OR('实盘净值数据(iFinD）'!$A735="",'实盘净值数据(iFinD）'!$B735=""),"",分期持仓明细!$AB$17*SUMPRODUCT(分期持仓明细!$B$17:$Y$17,'实盘净值数据(iFinD）'!$B735:$Y735/'实盘净值数据(iFinD）'!$B$20:$Y$20)*(1-实盘持仓初始配置!$Z$4)^(('实盘净值数据(iFinD）'!$A735-'实盘净值数据(iFinD）'!$A$6)/365))</f>
        <v/>
      </c>
      <c r="C735" s="16" t="str">
        <f t="shared" si="66"/>
        <v/>
      </c>
      <c r="D735" s="16" t="str">
        <f>IF(B735="","",B735/MAX(B$5:B735)-1)</f>
        <v/>
      </c>
      <c r="E735" s="13" t="str">
        <f>IF(OR('实盘净值数据(iFinD）'!$A735="",'实盘净值数据(iFinD）'!$B735=""),"",分期持仓明细!$AB$18*SUMPRODUCT(分期持仓明细!$B$18:$Y$18,'实盘净值数据(iFinD）'!$B735:$Y735/'实盘净值数据(iFinD）'!$B$20:$Y$20)*(1-实盘持仓初始配置!$Z$5)^(('实盘净值数据(iFinD）'!$A735-'实盘净值数据(iFinD）'!$A$5)/365))</f>
        <v/>
      </c>
      <c r="F735" s="16" t="str">
        <f t="shared" si="67"/>
        <v/>
      </c>
      <c r="G735" s="16" t="str">
        <f>IF(E735="","",E735/MAX(E$5:E735)-1)</f>
        <v/>
      </c>
      <c r="H735" s="13" t="str">
        <f>IF(OR('实盘净值数据(iFinD）'!$A735="",'实盘净值数据(iFinD）'!$B735=""),"",分期持仓明细!$AB$19*SUMPRODUCT(分期持仓明细!$B$19:$Y$19,'实盘净值数据(iFinD）'!$B735:$Y735/'实盘净值数据(iFinD）'!$B$20:$Y$20)*(1-实盘持仓初始配置!$Z$6)^(('实盘净值数据(iFinD）'!$A735-'实盘净值数据(iFinD）'!$A$7)/365))</f>
        <v/>
      </c>
      <c r="I735" s="16" t="str">
        <f t="shared" si="68"/>
        <v/>
      </c>
      <c r="J735" s="16" t="str">
        <f>IF(H735="","",H735/MAX(H$5:H735)-1)</f>
        <v/>
      </c>
      <c r="K735" s="13" t="str">
        <f>IF(OR('实盘净值数据(iFinD）'!$A735="",'实盘净值数据(iFinD）'!$B735="",'实盘净值数据(iFinD）'!$Z735="",'实盘净值数据(iFinD）'!$AA735=""),"",分期持仓明细!$AB$23*(SUMPRODUCT(分期持仓明细!$B$23:$Y$23,'实盘净值数据(iFinD）'!$B735:$Y735/'实盘净值数据(iFinD）'!$B$65:$Y$65)+SUMPRODUCT(分期持仓明细!$AC$23:$AD$23,'实盘净值数据(iFinD）'!$Z735:$AA735/'实盘净值数据(iFinD）'!$Z$65:$AA$65))*(1-实盘持仓初始配置!$Z$7)^(('实盘净值数据(iFinD）'!$A735-'实盘净值数据(iFinD）'!$A$8)/365))</f>
        <v/>
      </c>
      <c r="L735" s="16" t="str">
        <f t="shared" si="69"/>
        <v/>
      </c>
      <c r="M735" s="16" t="str">
        <f>IF(K735="","",K735/MAX(K$5:K735)-1)</f>
        <v/>
      </c>
      <c r="N735" s="13" t="str">
        <f>IF(OR('实盘净值数据(iFinD）'!$A735="",'实盘净值数据(iFinD）'!$B735="",'实盘净值数据(iFinD）'!$Z735="",'实盘净值数据(iFinD）'!$AA735=""),"",分期持仓明细!$AB$24*(SUMPRODUCT(分期持仓明细!$B$24:$Y$24,'实盘净值数据(iFinD）'!$B735:$Y735/'实盘净值数据(iFinD）'!$B$65:$Y$65)+SUMPRODUCT(分期持仓明细!$AC$24:$AD$24,'实盘净值数据(iFinD）'!$Z735:$AA735/'实盘净值数据(iFinD）'!$Z$65:$AA$65))*(1-实盘持仓初始配置!$Z$8)^(('实盘净值数据(iFinD）'!$A735-'实盘净值数据(iFinD）'!$A$5)/365))</f>
        <v/>
      </c>
      <c r="O735" s="16" t="str">
        <f t="shared" si="70"/>
        <v/>
      </c>
      <c r="P735" s="16" t="str">
        <f>IF(N735="","",N735/MAX(N$5:N735)-1)</f>
        <v/>
      </c>
      <c r="Q735" s="13" t="str">
        <f>IF(OR('实盘净值数据(iFinD）'!$A735="",'实盘净值数据(iFinD）'!$B735="",'实盘净值数据(iFinD）'!$Z735="",'实盘净值数据(iFinD）'!$AA735=""),"",分期持仓明细!$AB$25*(SUMPRODUCT(分期持仓明细!$B$25:$Y$25,'实盘净值数据(iFinD）'!$B735:$Y735/'实盘净值数据(iFinD）'!$B$65:$Y$65)+SUMPRODUCT(分期持仓明细!$AC$25:$AD$25,'实盘净值数据(iFinD）'!$Z735:$AA735/'实盘净值数据(iFinD）'!$Z$65:$AA$65))*(1-实盘持仓初始配置!$Z$9)^(('实盘净值数据(iFinD）'!$A735-'实盘净值数据(iFinD）'!$A$8)/365))</f>
        <v/>
      </c>
      <c r="R735" s="16" t="str">
        <f t="shared" si="71"/>
        <v/>
      </c>
      <c r="S735" s="16" t="str">
        <f>IF(Q735="","",Q735/MAX(Q$5:Q735)-1)</f>
        <v/>
      </c>
    </row>
    <row r="736" spans="1:19">
      <c r="A736" s="15" t="str">
        <f>IF('实盘净值数据(iFinD）'!A736="","",'实盘净值数据(iFinD）'!A736)</f>
        <v/>
      </c>
      <c r="B736" s="13" t="str">
        <f>IF(OR('实盘净值数据(iFinD）'!$A736="",'实盘净值数据(iFinD）'!$B736=""),"",分期持仓明细!$AB$17*SUMPRODUCT(分期持仓明细!$B$17:$Y$17,'实盘净值数据(iFinD）'!$B736:$Y736/'实盘净值数据(iFinD）'!$B$20:$Y$20)*(1-实盘持仓初始配置!$Z$4)^(('实盘净值数据(iFinD）'!$A736-'实盘净值数据(iFinD）'!$A$6)/365))</f>
        <v/>
      </c>
      <c r="C736" s="16" t="str">
        <f t="shared" si="66"/>
        <v/>
      </c>
      <c r="D736" s="16" t="str">
        <f>IF(B736="","",B736/MAX(B$5:B736)-1)</f>
        <v/>
      </c>
      <c r="E736" s="13" t="str">
        <f>IF(OR('实盘净值数据(iFinD）'!$A736="",'实盘净值数据(iFinD）'!$B736=""),"",分期持仓明细!$AB$18*SUMPRODUCT(分期持仓明细!$B$18:$Y$18,'实盘净值数据(iFinD）'!$B736:$Y736/'实盘净值数据(iFinD）'!$B$20:$Y$20)*(1-实盘持仓初始配置!$Z$5)^(('实盘净值数据(iFinD）'!$A736-'实盘净值数据(iFinD）'!$A$5)/365))</f>
        <v/>
      </c>
      <c r="F736" s="16" t="str">
        <f t="shared" si="67"/>
        <v/>
      </c>
      <c r="G736" s="16" t="str">
        <f>IF(E736="","",E736/MAX(E$5:E736)-1)</f>
        <v/>
      </c>
      <c r="H736" s="13" t="str">
        <f>IF(OR('实盘净值数据(iFinD）'!$A736="",'实盘净值数据(iFinD）'!$B736=""),"",分期持仓明细!$AB$19*SUMPRODUCT(分期持仓明细!$B$19:$Y$19,'实盘净值数据(iFinD）'!$B736:$Y736/'实盘净值数据(iFinD）'!$B$20:$Y$20)*(1-实盘持仓初始配置!$Z$6)^(('实盘净值数据(iFinD）'!$A736-'实盘净值数据(iFinD）'!$A$7)/365))</f>
        <v/>
      </c>
      <c r="I736" s="16" t="str">
        <f t="shared" si="68"/>
        <v/>
      </c>
      <c r="J736" s="16" t="str">
        <f>IF(H736="","",H736/MAX(H$5:H736)-1)</f>
        <v/>
      </c>
      <c r="K736" s="13" t="str">
        <f>IF(OR('实盘净值数据(iFinD）'!$A736="",'实盘净值数据(iFinD）'!$B736="",'实盘净值数据(iFinD）'!$Z736="",'实盘净值数据(iFinD）'!$AA736=""),"",分期持仓明细!$AB$23*(SUMPRODUCT(分期持仓明细!$B$23:$Y$23,'实盘净值数据(iFinD）'!$B736:$Y736/'实盘净值数据(iFinD）'!$B$65:$Y$65)+SUMPRODUCT(分期持仓明细!$AC$23:$AD$23,'实盘净值数据(iFinD）'!$Z736:$AA736/'实盘净值数据(iFinD）'!$Z$65:$AA$65))*(1-实盘持仓初始配置!$Z$7)^(('实盘净值数据(iFinD）'!$A736-'实盘净值数据(iFinD）'!$A$8)/365))</f>
        <v/>
      </c>
      <c r="L736" s="16" t="str">
        <f t="shared" si="69"/>
        <v/>
      </c>
      <c r="M736" s="16" t="str">
        <f>IF(K736="","",K736/MAX(K$5:K736)-1)</f>
        <v/>
      </c>
      <c r="N736" s="13" t="str">
        <f>IF(OR('实盘净值数据(iFinD）'!$A736="",'实盘净值数据(iFinD）'!$B736="",'实盘净值数据(iFinD）'!$Z736="",'实盘净值数据(iFinD）'!$AA736=""),"",分期持仓明细!$AB$24*(SUMPRODUCT(分期持仓明细!$B$24:$Y$24,'实盘净值数据(iFinD）'!$B736:$Y736/'实盘净值数据(iFinD）'!$B$65:$Y$65)+SUMPRODUCT(分期持仓明细!$AC$24:$AD$24,'实盘净值数据(iFinD）'!$Z736:$AA736/'实盘净值数据(iFinD）'!$Z$65:$AA$65))*(1-实盘持仓初始配置!$Z$8)^(('实盘净值数据(iFinD）'!$A736-'实盘净值数据(iFinD）'!$A$5)/365))</f>
        <v/>
      </c>
      <c r="O736" s="16" t="str">
        <f t="shared" si="70"/>
        <v/>
      </c>
      <c r="P736" s="16" t="str">
        <f>IF(N736="","",N736/MAX(N$5:N736)-1)</f>
        <v/>
      </c>
      <c r="Q736" s="13" t="str">
        <f>IF(OR('实盘净值数据(iFinD）'!$A736="",'实盘净值数据(iFinD）'!$B736="",'实盘净值数据(iFinD）'!$Z736="",'实盘净值数据(iFinD）'!$AA736=""),"",分期持仓明细!$AB$25*(SUMPRODUCT(分期持仓明细!$B$25:$Y$25,'实盘净值数据(iFinD）'!$B736:$Y736/'实盘净值数据(iFinD）'!$B$65:$Y$65)+SUMPRODUCT(分期持仓明细!$AC$25:$AD$25,'实盘净值数据(iFinD）'!$Z736:$AA736/'实盘净值数据(iFinD）'!$Z$65:$AA$65))*(1-实盘持仓初始配置!$Z$9)^(('实盘净值数据(iFinD）'!$A736-'实盘净值数据(iFinD）'!$A$8)/365))</f>
        <v/>
      </c>
      <c r="R736" s="16" t="str">
        <f t="shared" si="71"/>
        <v/>
      </c>
      <c r="S736" s="16" t="str">
        <f>IF(Q736="","",Q736/MAX(Q$5:Q736)-1)</f>
        <v/>
      </c>
    </row>
    <row r="737" spans="1:19">
      <c r="A737" s="15" t="str">
        <f>IF('实盘净值数据(iFinD）'!A737="","",'实盘净值数据(iFinD）'!A737)</f>
        <v/>
      </c>
      <c r="B737" s="13" t="str">
        <f>IF(OR('实盘净值数据(iFinD）'!$A737="",'实盘净值数据(iFinD）'!$B737=""),"",分期持仓明细!$AB$17*SUMPRODUCT(分期持仓明细!$B$17:$Y$17,'实盘净值数据(iFinD）'!$B737:$Y737/'实盘净值数据(iFinD）'!$B$20:$Y$20)*(1-实盘持仓初始配置!$Z$4)^(('实盘净值数据(iFinD）'!$A737-'实盘净值数据(iFinD）'!$A$6)/365))</f>
        <v/>
      </c>
      <c r="C737" s="16" t="str">
        <f t="shared" si="66"/>
        <v/>
      </c>
      <c r="D737" s="16" t="str">
        <f>IF(B737="","",B737/MAX(B$5:B737)-1)</f>
        <v/>
      </c>
      <c r="E737" s="13" t="str">
        <f>IF(OR('实盘净值数据(iFinD）'!$A737="",'实盘净值数据(iFinD）'!$B737=""),"",分期持仓明细!$AB$18*SUMPRODUCT(分期持仓明细!$B$18:$Y$18,'实盘净值数据(iFinD）'!$B737:$Y737/'实盘净值数据(iFinD）'!$B$20:$Y$20)*(1-实盘持仓初始配置!$Z$5)^(('实盘净值数据(iFinD）'!$A737-'实盘净值数据(iFinD）'!$A$5)/365))</f>
        <v/>
      </c>
      <c r="F737" s="16" t="str">
        <f t="shared" si="67"/>
        <v/>
      </c>
      <c r="G737" s="16" t="str">
        <f>IF(E737="","",E737/MAX(E$5:E737)-1)</f>
        <v/>
      </c>
      <c r="H737" s="13" t="str">
        <f>IF(OR('实盘净值数据(iFinD）'!$A737="",'实盘净值数据(iFinD）'!$B737=""),"",分期持仓明细!$AB$19*SUMPRODUCT(分期持仓明细!$B$19:$Y$19,'实盘净值数据(iFinD）'!$B737:$Y737/'实盘净值数据(iFinD）'!$B$20:$Y$20)*(1-实盘持仓初始配置!$Z$6)^(('实盘净值数据(iFinD）'!$A737-'实盘净值数据(iFinD）'!$A$7)/365))</f>
        <v/>
      </c>
      <c r="I737" s="16" t="str">
        <f t="shared" si="68"/>
        <v/>
      </c>
      <c r="J737" s="16" t="str">
        <f>IF(H737="","",H737/MAX(H$5:H737)-1)</f>
        <v/>
      </c>
      <c r="K737" s="13" t="str">
        <f>IF(OR('实盘净值数据(iFinD）'!$A737="",'实盘净值数据(iFinD）'!$B737="",'实盘净值数据(iFinD）'!$Z737="",'实盘净值数据(iFinD）'!$AA737=""),"",分期持仓明细!$AB$23*(SUMPRODUCT(分期持仓明细!$B$23:$Y$23,'实盘净值数据(iFinD）'!$B737:$Y737/'实盘净值数据(iFinD）'!$B$65:$Y$65)+SUMPRODUCT(分期持仓明细!$AC$23:$AD$23,'实盘净值数据(iFinD）'!$Z737:$AA737/'实盘净值数据(iFinD）'!$Z$65:$AA$65))*(1-实盘持仓初始配置!$Z$7)^(('实盘净值数据(iFinD）'!$A737-'实盘净值数据(iFinD）'!$A$8)/365))</f>
        <v/>
      </c>
      <c r="L737" s="16" t="str">
        <f t="shared" si="69"/>
        <v/>
      </c>
      <c r="M737" s="16" t="str">
        <f>IF(K737="","",K737/MAX(K$5:K737)-1)</f>
        <v/>
      </c>
      <c r="N737" s="13" t="str">
        <f>IF(OR('实盘净值数据(iFinD）'!$A737="",'实盘净值数据(iFinD）'!$B737="",'实盘净值数据(iFinD）'!$Z737="",'实盘净值数据(iFinD）'!$AA737=""),"",分期持仓明细!$AB$24*(SUMPRODUCT(分期持仓明细!$B$24:$Y$24,'实盘净值数据(iFinD）'!$B737:$Y737/'实盘净值数据(iFinD）'!$B$65:$Y$65)+SUMPRODUCT(分期持仓明细!$AC$24:$AD$24,'实盘净值数据(iFinD）'!$Z737:$AA737/'实盘净值数据(iFinD）'!$Z$65:$AA$65))*(1-实盘持仓初始配置!$Z$8)^(('实盘净值数据(iFinD）'!$A737-'实盘净值数据(iFinD）'!$A$5)/365))</f>
        <v/>
      </c>
      <c r="O737" s="16" t="str">
        <f t="shared" si="70"/>
        <v/>
      </c>
      <c r="P737" s="16" t="str">
        <f>IF(N737="","",N737/MAX(N$5:N737)-1)</f>
        <v/>
      </c>
      <c r="Q737" s="13" t="str">
        <f>IF(OR('实盘净值数据(iFinD）'!$A737="",'实盘净值数据(iFinD）'!$B737="",'实盘净值数据(iFinD）'!$Z737="",'实盘净值数据(iFinD）'!$AA737=""),"",分期持仓明细!$AB$25*(SUMPRODUCT(分期持仓明细!$B$25:$Y$25,'实盘净值数据(iFinD）'!$B737:$Y737/'实盘净值数据(iFinD）'!$B$65:$Y$65)+SUMPRODUCT(分期持仓明细!$AC$25:$AD$25,'实盘净值数据(iFinD）'!$Z737:$AA737/'实盘净值数据(iFinD）'!$Z$65:$AA$65))*(1-实盘持仓初始配置!$Z$9)^(('实盘净值数据(iFinD）'!$A737-'实盘净值数据(iFinD）'!$A$8)/365))</f>
        <v/>
      </c>
      <c r="R737" s="16" t="str">
        <f t="shared" si="71"/>
        <v/>
      </c>
      <c r="S737" s="16" t="str">
        <f>IF(Q737="","",Q737/MAX(Q$5:Q737)-1)</f>
        <v/>
      </c>
    </row>
    <row r="738" spans="1:19">
      <c r="A738" s="15" t="str">
        <f>IF('实盘净值数据(iFinD）'!A738="","",'实盘净值数据(iFinD）'!A738)</f>
        <v/>
      </c>
      <c r="B738" s="13" t="str">
        <f>IF(OR('实盘净值数据(iFinD）'!$A738="",'实盘净值数据(iFinD）'!$B738=""),"",分期持仓明细!$AB$17*SUMPRODUCT(分期持仓明细!$B$17:$Y$17,'实盘净值数据(iFinD）'!$B738:$Y738/'实盘净值数据(iFinD）'!$B$20:$Y$20)*(1-实盘持仓初始配置!$Z$4)^(('实盘净值数据(iFinD）'!$A738-'实盘净值数据(iFinD）'!$A$6)/365))</f>
        <v/>
      </c>
      <c r="C738" s="16" t="str">
        <f t="shared" si="66"/>
        <v/>
      </c>
      <c r="D738" s="16" t="str">
        <f>IF(B738="","",B738/MAX(B$5:B738)-1)</f>
        <v/>
      </c>
      <c r="E738" s="13" t="str">
        <f>IF(OR('实盘净值数据(iFinD）'!$A738="",'实盘净值数据(iFinD）'!$B738=""),"",分期持仓明细!$AB$18*SUMPRODUCT(分期持仓明细!$B$18:$Y$18,'实盘净值数据(iFinD）'!$B738:$Y738/'实盘净值数据(iFinD）'!$B$20:$Y$20)*(1-实盘持仓初始配置!$Z$5)^(('实盘净值数据(iFinD）'!$A738-'实盘净值数据(iFinD）'!$A$5)/365))</f>
        <v/>
      </c>
      <c r="F738" s="16" t="str">
        <f t="shared" si="67"/>
        <v/>
      </c>
      <c r="G738" s="16" t="str">
        <f>IF(E738="","",E738/MAX(E$5:E738)-1)</f>
        <v/>
      </c>
      <c r="H738" s="13" t="str">
        <f>IF(OR('实盘净值数据(iFinD）'!$A738="",'实盘净值数据(iFinD）'!$B738=""),"",分期持仓明细!$AB$19*SUMPRODUCT(分期持仓明细!$B$19:$Y$19,'实盘净值数据(iFinD）'!$B738:$Y738/'实盘净值数据(iFinD）'!$B$20:$Y$20)*(1-实盘持仓初始配置!$Z$6)^(('实盘净值数据(iFinD）'!$A738-'实盘净值数据(iFinD）'!$A$7)/365))</f>
        <v/>
      </c>
      <c r="I738" s="16" t="str">
        <f t="shared" si="68"/>
        <v/>
      </c>
      <c r="J738" s="16" t="str">
        <f>IF(H738="","",H738/MAX(H$5:H738)-1)</f>
        <v/>
      </c>
      <c r="K738" s="13" t="str">
        <f>IF(OR('实盘净值数据(iFinD）'!$A738="",'实盘净值数据(iFinD）'!$B738="",'实盘净值数据(iFinD）'!$Z738="",'实盘净值数据(iFinD）'!$AA738=""),"",分期持仓明细!$AB$23*(SUMPRODUCT(分期持仓明细!$B$23:$Y$23,'实盘净值数据(iFinD）'!$B738:$Y738/'实盘净值数据(iFinD）'!$B$65:$Y$65)+SUMPRODUCT(分期持仓明细!$AC$23:$AD$23,'实盘净值数据(iFinD）'!$Z738:$AA738/'实盘净值数据(iFinD）'!$Z$65:$AA$65))*(1-实盘持仓初始配置!$Z$7)^(('实盘净值数据(iFinD）'!$A738-'实盘净值数据(iFinD）'!$A$8)/365))</f>
        <v/>
      </c>
      <c r="L738" s="16" t="str">
        <f t="shared" si="69"/>
        <v/>
      </c>
      <c r="M738" s="16" t="str">
        <f>IF(K738="","",K738/MAX(K$5:K738)-1)</f>
        <v/>
      </c>
      <c r="N738" s="13" t="str">
        <f>IF(OR('实盘净值数据(iFinD）'!$A738="",'实盘净值数据(iFinD）'!$B738="",'实盘净值数据(iFinD）'!$Z738="",'实盘净值数据(iFinD）'!$AA738=""),"",分期持仓明细!$AB$24*(SUMPRODUCT(分期持仓明细!$B$24:$Y$24,'实盘净值数据(iFinD）'!$B738:$Y738/'实盘净值数据(iFinD）'!$B$65:$Y$65)+SUMPRODUCT(分期持仓明细!$AC$24:$AD$24,'实盘净值数据(iFinD）'!$Z738:$AA738/'实盘净值数据(iFinD）'!$Z$65:$AA$65))*(1-实盘持仓初始配置!$Z$8)^(('实盘净值数据(iFinD）'!$A738-'实盘净值数据(iFinD）'!$A$5)/365))</f>
        <v/>
      </c>
      <c r="O738" s="16" t="str">
        <f t="shared" si="70"/>
        <v/>
      </c>
      <c r="P738" s="16" t="str">
        <f>IF(N738="","",N738/MAX(N$5:N738)-1)</f>
        <v/>
      </c>
      <c r="Q738" s="13" t="str">
        <f>IF(OR('实盘净值数据(iFinD）'!$A738="",'实盘净值数据(iFinD）'!$B738="",'实盘净值数据(iFinD）'!$Z738="",'实盘净值数据(iFinD）'!$AA738=""),"",分期持仓明细!$AB$25*(SUMPRODUCT(分期持仓明细!$B$25:$Y$25,'实盘净值数据(iFinD）'!$B738:$Y738/'实盘净值数据(iFinD）'!$B$65:$Y$65)+SUMPRODUCT(分期持仓明细!$AC$25:$AD$25,'实盘净值数据(iFinD）'!$Z738:$AA738/'实盘净值数据(iFinD）'!$Z$65:$AA$65))*(1-实盘持仓初始配置!$Z$9)^(('实盘净值数据(iFinD）'!$A738-'实盘净值数据(iFinD）'!$A$8)/365))</f>
        <v/>
      </c>
      <c r="R738" s="16" t="str">
        <f t="shared" si="71"/>
        <v/>
      </c>
      <c r="S738" s="16" t="str">
        <f>IF(Q738="","",Q738/MAX(Q$5:Q738)-1)</f>
        <v/>
      </c>
    </row>
    <row r="739" spans="1:19">
      <c r="A739" s="15" t="str">
        <f>IF('实盘净值数据(iFinD）'!A739="","",'实盘净值数据(iFinD）'!A739)</f>
        <v/>
      </c>
      <c r="B739" s="13" t="str">
        <f>IF(OR('实盘净值数据(iFinD）'!$A739="",'实盘净值数据(iFinD）'!$B739=""),"",分期持仓明细!$AB$17*SUMPRODUCT(分期持仓明细!$B$17:$Y$17,'实盘净值数据(iFinD）'!$B739:$Y739/'实盘净值数据(iFinD）'!$B$20:$Y$20)*(1-实盘持仓初始配置!$Z$4)^(('实盘净值数据(iFinD）'!$A739-'实盘净值数据(iFinD）'!$A$6)/365))</f>
        <v/>
      </c>
      <c r="C739" s="16" t="str">
        <f t="shared" si="66"/>
        <v/>
      </c>
      <c r="D739" s="16" t="str">
        <f>IF(B739="","",B739/MAX(B$5:B739)-1)</f>
        <v/>
      </c>
      <c r="E739" s="13" t="str">
        <f>IF(OR('实盘净值数据(iFinD）'!$A739="",'实盘净值数据(iFinD）'!$B739=""),"",分期持仓明细!$AB$18*SUMPRODUCT(分期持仓明细!$B$18:$Y$18,'实盘净值数据(iFinD）'!$B739:$Y739/'实盘净值数据(iFinD）'!$B$20:$Y$20)*(1-实盘持仓初始配置!$Z$5)^(('实盘净值数据(iFinD）'!$A739-'实盘净值数据(iFinD）'!$A$5)/365))</f>
        <v/>
      </c>
      <c r="F739" s="16" t="str">
        <f t="shared" si="67"/>
        <v/>
      </c>
      <c r="G739" s="16" t="str">
        <f>IF(E739="","",E739/MAX(E$5:E739)-1)</f>
        <v/>
      </c>
      <c r="H739" s="13" t="str">
        <f>IF(OR('实盘净值数据(iFinD）'!$A739="",'实盘净值数据(iFinD）'!$B739=""),"",分期持仓明细!$AB$19*SUMPRODUCT(分期持仓明细!$B$19:$Y$19,'实盘净值数据(iFinD）'!$B739:$Y739/'实盘净值数据(iFinD）'!$B$20:$Y$20)*(1-实盘持仓初始配置!$Z$6)^(('实盘净值数据(iFinD）'!$A739-'实盘净值数据(iFinD）'!$A$7)/365))</f>
        <v/>
      </c>
      <c r="I739" s="16" t="str">
        <f t="shared" si="68"/>
        <v/>
      </c>
      <c r="J739" s="16" t="str">
        <f>IF(H739="","",H739/MAX(H$5:H739)-1)</f>
        <v/>
      </c>
      <c r="K739" s="13" t="str">
        <f>IF(OR('实盘净值数据(iFinD）'!$A739="",'实盘净值数据(iFinD）'!$B739="",'实盘净值数据(iFinD）'!$Z739="",'实盘净值数据(iFinD）'!$AA739=""),"",分期持仓明细!$AB$23*(SUMPRODUCT(分期持仓明细!$B$23:$Y$23,'实盘净值数据(iFinD）'!$B739:$Y739/'实盘净值数据(iFinD）'!$B$65:$Y$65)+SUMPRODUCT(分期持仓明细!$AC$23:$AD$23,'实盘净值数据(iFinD）'!$Z739:$AA739/'实盘净值数据(iFinD）'!$Z$65:$AA$65))*(1-实盘持仓初始配置!$Z$7)^(('实盘净值数据(iFinD）'!$A739-'实盘净值数据(iFinD）'!$A$8)/365))</f>
        <v/>
      </c>
      <c r="L739" s="16" t="str">
        <f t="shared" si="69"/>
        <v/>
      </c>
      <c r="M739" s="16" t="str">
        <f>IF(K739="","",K739/MAX(K$5:K739)-1)</f>
        <v/>
      </c>
      <c r="N739" s="13" t="str">
        <f>IF(OR('实盘净值数据(iFinD）'!$A739="",'实盘净值数据(iFinD）'!$B739="",'实盘净值数据(iFinD）'!$Z739="",'实盘净值数据(iFinD）'!$AA739=""),"",分期持仓明细!$AB$24*(SUMPRODUCT(分期持仓明细!$B$24:$Y$24,'实盘净值数据(iFinD）'!$B739:$Y739/'实盘净值数据(iFinD）'!$B$65:$Y$65)+SUMPRODUCT(分期持仓明细!$AC$24:$AD$24,'实盘净值数据(iFinD）'!$Z739:$AA739/'实盘净值数据(iFinD）'!$Z$65:$AA$65))*(1-实盘持仓初始配置!$Z$8)^(('实盘净值数据(iFinD）'!$A739-'实盘净值数据(iFinD）'!$A$5)/365))</f>
        <v/>
      </c>
      <c r="O739" s="16" t="str">
        <f t="shared" si="70"/>
        <v/>
      </c>
      <c r="P739" s="16" t="str">
        <f>IF(N739="","",N739/MAX(N$5:N739)-1)</f>
        <v/>
      </c>
      <c r="Q739" s="13" t="str">
        <f>IF(OR('实盘净值数据(iFinD）'!$A739="",'实盘净值数据(iFinD）'!$B739="",'实盘净值数据(iFinD）'!$Z739="",'实盘净值数据(iFinD）'!$AA739=""),"",分期持仓明细!$AB$25*(SUMPRODUCT(分期持仓明细!$B$25:$Y$25,'实盘净值数据(iFinD）'!$B739:$Y739/'实盘净值数据(iFinD）'!$B$65:$Y$65)+SUMPRODUCT(分期持仓明细!$AC$25:$AD$25,'实盘净值数据(iFinD）'!$Z739:$AA739/'实盘净值数据(iFinD）'!$Z$65:$AA$65))*(1-实盘持仓初始配置!$Z$9)^(('实盘净值数据(iFinD）'!$A739-'实盘净值数据(iFinD）'!$A$8)/365))</f>
        <v/>
      </c>
      <c r="R739" s="16" t="str">
        <f t="shared" si="71"/>
        <v/>
      </c>
      <c r="S739" s="16" t="str">
        <f>IF(Q739="","",Q739/MAX(Q$5:Q739)-1)</f>
        <v/>
      </c>
    </row>
    <row r="740" spans="1:19">
      <c r="A740" s="15" t="str">
        <f>IF('实盘净值数据(iFinD）'!A740="","",'实盘净值数据(iFinD）'!A740)</f>
        <v/>
      </c>
      <c r="B740" s="13" t="str">
        <f>IF(OR('实盘净值数据(iFinD）'!$A740="",'实盘净值数据(iFinD）'!$B740=""),"",分期持仓明细!$AB$17*SUMPRODUCT(分期持仓明细!$B$17:$Y$17,'实盘净值数据(iFinD）'!$B740:$Y740/'实盘净值数据(iFinD）'!$B$20:$Y$20)*(1-实盘持仓初始配置!$Z$4)^(('实盘净值数据(iFinD）'!$A740-'实盘净值数据(iFinD）'!$A$6)/365))</f>
        <v/>
      </c>
      <c r="C740" s="16" t="str">
        <f t="shared" si="66"/>
        <v/>
      </c>
      <c r="D740" s="16" t="str">
        <f>IF(B740="","",B740/MAX(B$5:B740)-1)</f>
        <v/>
      </c>
      <c r="E740" s="13" t="str">
        <f>IF(OR('实盘净值数据(iFinD）'!$A740="",'实盘净值数据(iFinD）'!$B740=""),"",分期持仓明细!$AB$18*SUMPRODUCT(分期持仓明细!$B$18:$Y$18,'实盘净值数据(iFinD）'!$B740:$Y740/'实盘净值数据(iFinD）'!$B$20:$Y$20)*(1-实盘持仓初始配置!$Z$5)^(('实盘净值数据(iFinD）'!$A740-'实盘净值数据(iFinD）'!$A$5)/365))</f>
        <v/>
      </c>
      <c r="F740" s="16" t="str">
        <f t="shared" si="67"/>
        <v/>
      </c>
      <c r="G740" s="16" t="str">
        <f>IF(E740="","",E740/MAX(E$5:E740)-1)</f>
        <v/>
      </c>
      <c r="H740" s="13" t="str">
        <f>IF(OR('实盘净值数据(iFinD）'!$A740="",'实盘净值数据(iFinD）'!$B740=""),"",分期持仓明细!$AB$19*SUMPRODUCT(分期持仓明细!$B$19:$Y$19,'实盘净值数据(iFinD）'!$B740:$Y740/'实盘净值数据(iFinD）'!$B$20:$Y$20)*(1-实盘持仓初始配置!$Z$6)^(('实盘净值数据(iFinD）'!$A740-'实盘净值数据(iFinD）'!$A$7)/365))</f>
        <v/>
      </c>
      <c r="I740" s="16" t="str">
        <f t="shared" si="68"/>
        <v/>
      </c>
      <c r="J740" s="16" t="str">
        <f>IF(H740="","",H740/MAX(H$5:H740)-1)</f>
        <v/>
      </c>
      <c r="K740" s="13" t="str">
        <f>IF(OR('实盘净值数据(iFinD）'!$A740="",'实盘净值数据(iFinD）'!$B740="",'实盘净值数据(iFinD）'!$Z740="",'实盘净值数据(iFinD）'!$AA740=""),"",分期持仓明细!$AB$23*(SUMPRODUCT(分期持仓明细!$B$23:$Y$23,'实盘净值数据(iFinD）'!$B740:$Y740/'实盘净值数据(iFinD）'!$B$65:$Y$65)+SUMPRODUCT(分期持仓明细!$AC$23:$AD$23,'实盘净值数据(iFinD）'!$Z740:$AA740/'实盘净值数据(iFinD）'!$Z$65:$AA$65))*(1-实盘持仓初始配置!$Z$7)^(('实盘净值数据(iFinD）'!$A740-'实盘净值数据(iFinD）'!$A$8)/365))</f>
        <v/>
      </c>
      <c r="L740" s="16" t="str">
        <f t="shared" si="69"/>
        <v/>
      </c>
      <c r="M740" s="16" t="str">
        <f>IF(K740="","",K740/MAX(K$5:K740)-1)</f>
        <v/>
      </c>
      <c r="N740" s="13" t="str">
        <f>IF(OR('实盘净值数据(iFinD）'!$A740="",'实盘净值数据(iFinD）'!$B740="",'实盘净值数据(iFinD）'!$Z740="",'实盘净值数据(iFinD）'!$AA740=""),"",分期持仓明细!$AB$24*(SUMPRODUCT(分期持仓明细!$B$24:$Y$24,'实盘净值数据(iFinD）'!$B740:$Y740/'实盘净值数据(iFinD）'!$B$65:$Y$65)+SUMPRODUCT(分期持仓明细!$AC$24:$AD$24,'实盘净值数据(iFinD）'!$Z740:$AA740/'实盘净值数据(iFinD）'!$Z$65:$AA$65))*(1-实盘持仓初始配置!$Z$8)^(('实盘净值数据(iFinD）'!$A740-'实盘净值数据(iFinD）'!$A$5)/365))</f>
        <v/>
      </c>
      <c r="O740" s="16" t="str">
        <f t="shared" si="70"/>
        <v/>
      </c>
      <c r="P740" s="16" t="str">
        <f>IF(N740="","",N740/MAX(N$5:N740)-1)</f>
        <v/>
      </c>
      <c r="Q740" s="13" t="str">
        <f>IF(OR('实盘净值数据(iFinD）'!$A740="",'实盘净值数据(iFinD）'!$B740="",'实盘净值数据(iFinD）'!$Z740="",'实盘净值数据(iFinD）'!$AA740=""),"",分期持仓明细!$AB$25*(SUMPRODUCT(分期持仓明细!$B$25:$Y$25,'实盘净值数据(iFinD）'!$B740:$Y740/'实盘净值数据(iFinD）'!$B$65:$Y$65)+SUMPRODUCT(分期持仓明细!$AC$25:$AD$25,'实盘净值数据(iFinD）'!$Z740:$AA740/'实盘净值数据(iFinD）'!$Z$65:$AA$65))*(1-实盘持仓初始配置!$Z$9)^(('实盘净值数据(iFinD）'!$A740-'实盘净值数据(iFinD）'!$A$8)/365))</f>
        <v/>
      </c>
      <c r="R740" s="16" t="str">
        <f t="shared" si="71"/>
        <v/>
      </c>
      <c r="S740" s="16" t="str">
        <f>IF(Q740="","",Q740/MAX(Q$5:Q740)-1)</f>
        <v/>
      </c>
    </row>
    <row r="741" spans="1:19">
      <c r="A741" s="15" t="str">
        <f>IF('实盘净值数据(iFinD）'!A741="","",'实盘净值数据(iFinD）'!A741)</f>
        <v/>
      </c>
      <c r="B741" s="13" t="str">
        <f>IF(OR('实盘净值数据(iFinD）'!$A741="",'实盘净值数据(iFinD）'!$B741=""),"",分期持仓明细!$AB$17*SUMPRODUCT(分期持仓明细!$B$17:$Y$17,'实盘净值数据(iFinD）'!$B741:$Y741/'实盘净值数据(iFinD）'!$B$20:$Y$20)*(1-实盘持仓初始配置!$Z$4)^(('实盘净值数据(iFinD）'!$A741-'实盘净值数据(iFinD）'!$A$6)/365))</f>
        <v/>
      </c>
      <c r="C741" s="16" t="str">
        <f t="shared" si="66"/>
        <v/>
      </c>
      <c r="D741" s="16" t="str">
        <f>IF(B741="","",B741/MAX(B$5:B741)-1)</f>
        <v/>
      </c>
      <c r="E741" s="13" t="str">
        <f>IF(OR('实盘净值数据(iFinD）'!$A741="",'实盘净值数据(iFinD）'!$B741=""),"",分期持仓明细!$AB$18*SUMPRODUCT(分期持仓明细!$B$18:$Y$18,'实盘净值数据(iFinD）'!$B741:$Y741/'实盘净值数据(iFinD）'!$B$20:$Y$20)*(1-实盘持仓初始配置!$Z$5)^(('实盘净值数据(iFinD）'!$A741-'实盘净值数据(iFinD）'!$A$5)/365))</f>
        <v/>
      </c>
      <c r="F741" s="16" t="str">
        <f t="shared" si="67"/>
        <v/>
      </c>
      <c r="G741" s="16" t="str">
        <f>IF(E741="","",E741/MAX(E$5:E741)-1)</f>
        <v/>
      </c>
      <c r="H741" s="13" t="str">
        <f>IF(OR('实盘净值数据(iFinD）'!$A741="",'实盘净值数据(iFinD）'!$B741=""),"",分期持仓明细!$AB$19*SUMPRODUCT(分期持仓明细!$B$19:$Y$19,'实盘净值数据(iFinD）'!$B741:$Y741/'实盘净值数据(iFinD）'!$B$20:$Y$20)*(1-实盘持仓初始配置!$Z$6)^(('实盘净值数据(iFinD）'!$A741-'实盘净值数据(iFinD）'!$A$7)/365))</f>
        <v/>
      </c>
      <c r="I741" s="16" t="str">
        <f t="shared" si="68"/>
        <v/>
      </c>
      <c r="J741" s="16" t="str">
        <f>IF(H741="","",H741/MAX(H$5:H741)-1)</f>
        <v/>
      </c>
      <c r="K741" s="13" t="str">
        <f>IF(OR('实盘净值数据(iFinD）'!$A741="",'实盘净值数据(iFinD）'!$B741="",'实盘净值数据(iFinD）'!$Z741="",'实盘净值数据(iFinD）'!$AA741=""),"",分期持仓明细!$AB$23*(SUMPRODUCT(分期持仓明细!$B$23:$Y$23,'实盘净值数据(iFinD）'!$B741:$Y741/'实盘净值数据(iFinD）'!$B$65:$Y$65)+SUMPRODUCT(分期持仓明细!$AC$23:$AD$23,'实盘净值数据(iFinD）'!$Z741:$AA741/'实盘净值数据(iFinD）'!$Z$65:$AA$65))*(1-实盘持仓初始配置!$Z$7)^(('实盘净值数据(iFinD）'!$A741-'实盘净值数据(iFinD）'!$A$8)/365))</f>
        <v/>
      </c>
      <c r="L741" s="16" t="str">
        <f t="shared" si="69"/>
        <v/>
      </c>
      <c r="M741" s="16" t="str">
        <f>IF(K741="","",K741/MAX(K$5:K741)-1)</f>
        <v/>
      </c>
      <c r="N741" s="13" t="str">
        <f>IF(OR('实盘净值数据(iFinD）'!$A741="",'实盘净值数据(iFinD）'!$B741="",'实盘净值数据(iFinD）'!$Z741="",'实盘净值数据(iFinD）'!$AA741=""),"",分期持仓明细!$AB$24*(SUMPRODUCT(分期持仓明细!$B$24:$Y$24,'实盘净值数据(iFinD）'!$B741:$Y741/'实盘净值数据(iFinD）'!$B$65:$Y$65)+SUMPRODUCT(分期持仓明细!$AC$24:$AD$24,'实盘净值数据(iFinD）'!$Z741:$AA741/'实盘净值数据(iFinD）'!$Z$65:$AA$65))*(1-实盘持仓初始配置!$Z$8)^(('实盘净值数据(iFinD）'!$A741-'实盘净值数据(iFinD）'!$A$5)/365))</f>
        <v/>
      </c>
      <c r="O741" s="16" t="str">
        <f t="shared" si="70"/>
        <v/>
      </c>
      <c r="P741" s="16" t="str">
        <f>IF(N741="","",N741/MAX(N$5:N741)-1)</f>
        <v/>
      </c>
      <c r="Q741" s="13" t="str">
        <f>IF(OR('实盘净值数据(iFinD）'!$A741="",'实盘净值数据(iFinD）'!$B741="",'实盘净值数据(iFinD）'!$Z741="",'实盘净值数据(iFinD）'!$AA741=""),"",分期持仓明细!$AB$25*(SUMPRODUCT(分期持仓明细!$B$25:$Y$25,'实盘净值数据(iFinD）'!$B741:$Y741/'实盘净值数据(iFinD）'!$B$65:$Y$65)+SUMPRODUCT(分期持仓明细!$AC$25:$AD$25,'实盘净值数据(iFinD）'!$Z741:$AA741/'实盘净值数据(iFinD）'!$Z$65:$AA$65))*(1-实盘持仓初始配置!$Z$9)^(('实盘净值数据(iFinD）'!$A741-'实盘净值数据(iFinD）'!$A$8)/365))</f>
        <v/>
      </c>
      <c r="R741" s="16" t="str">
        <f t="shared" si="71"/>
        <v/>
      </c>
      <c r="S741" s="16" t="str">
        <f>IF(Q741="","",Q741/MAX(Q$5:Q741)-1)</f>
        <v/>
      </c>
    </row>
    <row r="742" spans="1:19">
      <c r="A742" s="15" t="str">
        <f>IF('实盘净值数据(iFinD）'!A742="","",'实盘净值数据(iFinD）'!A742)</f>
        <v/>
      </c>
      <c r="B742" s="13" t="str">
        <f>IF(OR('实盘净值数据(iFinD）'!$A742="",'实盘净值数据(iFinD）'!$B742=""),"",分期持仓明细!$AB$17*SUMPRODUCT(分期持仓明细!$B$17:$Y$17,'实盘净值数据(iFinD）'!$B742:$Y742/'实盘净值数据(iFinD）'!$B$20:$Y$20)*(1-实盘持仓初始配置!$Z$4)^(('实盘净值数据(iFinD）'!$A742-'实盘净值数据(iFinD）'!$A$6)/365))</f>
        <v/>
      </c>
      <c r="C742" s="16" t="str">
        <f t="shared" si="66"/>
        <v/>
      </c>
      <c r="D742" s="16" t="str">
        <f>IF(B742="","",B742/MAX(B$5:B742)-1)</f>
        <v/>
      </c>
      <c r="E742" s="13" t="str">
        <f>IF(OR('实盘净值数据(iFinD）'!$A742="",'实盘净值数据(iFinD）'!$B742=""),"",分期持仓明细!$AB$18*SUMPRODUCT(分期持仓明细!$B$18:$Y$18,'实盘净值数据(iFinD）'!$B742:$Y742/'实盘净值数据(iFinD）'!$B$20:$Y$20)*(1-实盘持仓初始配置!$Z$5)^(('实盘净值数据(iFinD）'!$A742-'实盘净值数据(iFinD）'!$A$5)/365))</f>
        <v/>
      </c>
      <c r="F742" s="16" t="str">
        <f t="shared" si="67"/>
        <v/>
      </c>
      <c r="G742" s="16" t="str">
        <f>IF(E742="","",E742/MAX(E$5:E742)-1)</f>
        <v/>
      </c>
      <c r="H742" s="13" t="str">
        <f>IF(OR('实盘净值数据(iFinD）'!$A742="",'实盘净值数据(iFinD）'!$B742=""),"",分期持仓明细!$AB$19*SUMPRODUCT(分期持仓明细!$B$19:$Y$19,'实盘净值数据(iFinD）'!$B742:$Y742/'实盘净值数据(iFinD）'!$B$20:$Y$20)*(1-实盘持仓初始配置!$Z$6)^(('实盘净值数据(iFinD）'!$A742-'实盘净值数据(iFinD）'!$A$7)/365))</f>
        <v/>
      </c>
      <c r="I742" s="16" t="str">
        <f t="shared" si="68"/>
        <v/>
      </c>
      <c r="J742" s="16" t="str">
        <f>IF(H742="","",H742/MAX(H$5:H742)-1)</f>
        <v/>
      </c>
      <c r="K742" s="13" t="str">
        <f>IF(OR('实盘净值数据(iFinD）'!$A742="",'实盘净值数据(iFinD）'!$B742="",'实盘净值数据(iFinD）'!$Z742="",'实盘净值数据(iFinD）'!$AA742=""),"",分期持仓明细!$AB$23*(SUMPRODUCT(分期持仓明细!$B$23:$Y$23,'实盘净值数据(iFinD）'!$B742:$Y742/'实盘净值数据(iFinD）'!$B$65:$Y$65)+SUMPRODUCT(分期持仓明细!$AC$23:$AD$23,'实盘净值数据(iFinD）'!$Z742:$AA742/'实盘净值数据(iFinD）'!$Z$65:$AA$65))*(1-实盘持仓初始配置!$Z$7)^(('实盘净值数据(iFinD）'!$A742-'实盘净值数据(iFinD）'!$A$8)/365))</f>
        <v/>
      </c>
      <c r="L742" s="16" t="str">
        <f t="shared" si="69"/>
        <v/>
      </c>
      <c r="M742" s="16" t="str">
        <f>IF(K742="","",K742/MAX(K$5:K742)-1)</f>
        <v/>
      </c>
      <c r="N742" s="13" t="str">
        <f>IF(OR('实盘净值数据(iFinD）'!$A742="",'实盘净值数据(iFinD）'!$B742="",'实盘净值数据(iFinD）'!$Z742="",'实盘净值数据(iFinD）'!$AA742=""),"",分期持仓明细!$AB$24*(SUMPRODUCT(分期持仓明细!$B$24:$Y$24,'实盘净值数据(iFinD）'!$B742:$Y742/'实盘净值数据(iFinD）'!$B$65:$Y$65)+SUMPRODUCT(分期持仓明细!$AC$24:$AD$24,'实盘净值数据(iFinD）'!$Z742:$AA742/'实盘净值数据(iFinD）'!$Z$65:$AA$65))*(1-实盘持仓初始配置!$Z$8)^(('实盘净值数据(iFinD）'!$A742-'实盘净值数据(iFinD）'!$A$5)/365))</f>
        <v/>
      </c>
      <c r="O742" s="16" t="str">
        <f t="shared" si="70"/>
        <v/>
      </c>
      <c r="P742" s="16" t="str">
        <f>IF(N742="","",N742/MAX(N$5:N742)-1)</f>
        <v/>
      </c>
      <c r="Q742" s="13" t="str">
        <f>IF(OR('实盘净值数据(iFinD）'!$A742="",'实盘净值数据(iFinD）'!$B742="",'实盘净值数据(iFinD）'!$Z742="",'实盘净值数据(iFinD）'!$AA742=""),"",分期持仓明细!$AB$25*(SUMPRODUCT(分期持仓明细!$B$25:$Y$25,'实盘净值数据(iFinD）'!$B742:$Y742/'实盘净值数据(iFinD）'!$B$65:$Y$65)+SUMPRODUCT(分期持仓明细!$AC$25:$AD$25,'实盘净值数据(iFinD）'!$Z742:$AA742/'实盘净值数据(iFinD）'!$Z$65:$AA$65))*(1-实盘持仓初始配置!$Z$9)^(('实盘净值数据(iFinD）'!$A742-'实盘净值数据(iFinD）'!$A$8)/365))</f>
        <v/>
      </c>
      <c r="R742" s="16" t="str">
        <f t="shared" si="71"/>
        <v/>
      </c>
      <c r="S742" s="16" t="str">
        <f>IF(Q742="","",Q742/MAX(Q$5:Q742)-1)</f>
        <v/>
      </c>
    </row>
    <row r="743" spans="1:19">
      <c r="A743" s="15" t="str">
        <f>IF('实盘净值数据(iFinD）'!A743="","",'实盘净值数据(iFinD）'!A743)</f>
        <v/>
      </c>
      <c r="B743" s="13" t="str">
        <f>IF(OR('实盘净值数据(iFinD）'!$A743="",'实盘净值数据(iFinD）'!$B743=""),"",分期持仓明细!$AB$17*SUMPRODUCT(分期持仓明细!$B$17:$Y$17,'实盘净值数据(iFinD）'!$B743:$Y743/'实盘净值数据(iFinD）'!$B$20:$Y$20)*(1-实盘持仓初始配置!$Z$4)^(('实盘净值数据(iFinD）'!$A743-'实盘净值数据(iFinD）'!$A$6)/365))</f>
        <v/>
      </c>
      <c r="C743" s="16" t="str">
        <f t="shared" si="66"/>
        <v/>
      </c>
      <c r="D743" s="16" t="str">
        <f>IF(B743="","",B743/MAX(B$5:B743)-1)</f>
        <v/>
      </c>
      <c r="E743" s="13" t="str">
        <f>IF(OR('实盘净值数据(iFinD）'!$A743="",'实盘净值数据(iFinD）'!$B743=""),"",分期持仓明细!$AB$18*SUMPRODUCT(分期持仓明细!$B$18:$Y$18,'实盘净值数据(iFinD）'!$B743:$Y743/'实盘净值数据(iFinD）'!$B$20:$Y$20)*(1-实盘持仓初始配置!$Z$5)^(('实盘净值数据(iFinD）'!$A743-'实盘净值数据(iFinD）'!$A$5)/365))</f>
        <v/>
      </c>
      <c r="F743" s="16" t="str">
        <f t="shared" si="67"/>
        <v/>
      </c>
      <c r="G743" s="16" t="str">
        <f>IF(E743="","",E743/MAX(E$5:E743)-1)</f>
        <v/>
      </c>
      <c r="H743" s="13" t="str">
        <f>IF(OR('实盘净值数据(iFinD）'!$A743="",'实盘净值数据(iFinD）'!$B743=""),"",分期持仓明细!$AB$19*SUMPRODUCT(分期持仓明细!$B$19:$Y$19,'实盘净值数据(iFinD）'!$B743:$Y743/'实盘净值数据(iFinD）'!$B$20:$Y$20)*(1-实盘持仓初始配置!$Z$6)^(('实盘净值数据(iFinD）'!$A743-'实盘净值数据(iFinD）'!$A$7)/365))</f>
        <v/>
      </c>
      <c r="I743" s="16" t="str">
        <f t="shared" si="68"/>
        <v/>
      </c>
      <c r="J743" s="16" t="str">
        <f>IF(H743="","",H743/MAX(H$5:H743)-1)</f>
        <v/>
      </c>
      <c r="K743" s="13" t="str">
        <f>IF(OR('实盘净值数据(iFinD）'!$A743="",'实盘净值数据(iFinD）'!$B743="",'实盘净值数据(iFinD）'!$Z743="",'实盘净值数据(iFinD）'!$AA743=""),"",分期持仓明细!$AB$23*(SUMPRODUCT(分期持仓明细!$B$23:$Y$23,'实盘净值数据(iFinD）'!$B743:$Y743/'实盘净值数据(iFinD）'!$B$65:$Y$65)+SUMPRODUCT(分期持仓明细!$AC$23:$AD$23,'实盘净值数据(iFinD）'!$Z743:$AA743/'实盘净值数据(iFinD）'!$Z$65:$AA$65))*(1-实盘持仓初始配置!$Z$7)^(('实盘净值数据(iFinD）'!$A743-'实盘净值数据(iFinD）'!$A$8)/365))</f>
        <v/>
      </c>
      <c r="L743" s="16" t="str">
        <f t="shared" si="69"/>
        <v/>
      </c>
      <c r="M743" s="16" t="str">
        <f>IF(K743="","",K743/MAX(K$5:K743)-1)</f>
        <v/>
      </c>
      <c r="N743" s="13" t="str">
        <f>IF(OR('实盘净值数据(iFinD）'!$A743="",'实盘净值数据(iFinD）'!$B743="",'实盘净值数据(iFinD）'!$Z743="",'实盘净值数据(iFinD）'!$AA743=""),"",分期持仓明细!$AB$24*(SUMPRODUCT(分期持仓明细!$B$24:$Y$24,'实盘净值数据(iFinD）'!$B743:$Y743/'实盘净值数据(iFinD）'!$B$65:$Y$65)+SUMPRODUCT(分期持仓明细!$AC$24:$AD$24,'实盘净值数据(iFinD）'!$Z743:$AA743/'实盘净值数据(iFinD）'!$Z$65:$AA$65))*(1-实盘持仓初始配置!$Z$8)^(('实盘净值数据(iFinD）'!$A743-'实盘净值数据(iFinD）'!$A$5)/365))</f>
        <v/>
      </c>
      <c r="O743" s="16" t="str">
        <f t="shared" si="70"/>
        <v/>
      </c>
      <c r="P743" s="16" t="str">
        <f>IF(N743="","",N743/MAX(N$5:N743)-1)</f>
        <v/>
      </c>
      <c r="Q743" s="13" t="str">
        <f>IF(OR('实盘净值数据(iFinD）'!$A743="",'实盘净值数据(iFinD）'!$B743="",'实盘净值数据(iFinD）'!$Z743="",'实盘净值数据(iFinD）'!$AA743=""),"",分期持仓明细!$AB$25*(SUMPRODUCT(分期持仓明细!$B$25:$Y$25,'实盘净值数据(iFinD）'!$B743:$Y743/'实盘净值数据(iFinD）'!$B$65:$Y$65)+SUMPRODUCT(分期持仓明细!$AC$25:$AD$25,'实盘净值数据(iFinD）'!$Z743:$AA743/'实盘净值数据(iFinD）'!$Z$65:$AA$65))*(1-实盘持仓初始配置!$Z$9)^(('实盘净值数据(iFinD）'!$A743-'实盘净值数据(iFinD）'!$A$8)/365))</f>
        <v/>
      </c>
      <c r="R743" s="16" t="str">
        <f t="shared" si="71"/>
        <v/>
      </c>
      <c r="S743" s="16" t="str">
        <f>IF(Q743="","",Q743/MAX(Q$5:Q743)-1)</f>
        <v/>
      </c>
    </row>
    <row r="744" spans="1:19">
      <c r="A744" s="15" t="str">
        <f>IF('实盘净值数据(iFinD）'!A744="","",'实盘净值数据(iFinD）'!A744)</f>
        <v/>
      </c>
      <c r="B744" s="13" t="str">
        <f>IF(OR('实盘净值数据(iFinD）'!$A744="",'实盘净值数据(iFinD）'!$B744=""),"",分期持仓明细!$AB$17*SUMPRODUCT(分期持仓明细!$B$17:$Y$17,'实盘净值数据(iFinD）'!$B744:$Y744/'实盘净值数据(iFinD）'!$B$20:$Y$20)*(1-实盘持仓初始配置!$Z$4)^(('实盘净值数据(iFinD）'!$A744-'实盘净值数据(iFinD）'!$A$6)/365))</f>
        <v/>
      </c>
      <c r="C744" s="16" t="str">
        <f t="shared" si="66"/>
        <v/>
      </c>
      <c r="D744" s="16" t="str">
        <f>IF(B744="","",B744/MAX(B$5:B744)-1)</f>
        <v/>
      </c>
      <c r="E744" s="13" t="str">
        <f>IF(OR('实盘净值数据(iFinD）'!$A744="",'实盘净值数据(iFinD）'!$B744=""),"",分期持仓明细!$AB$18*SUMPRODUCT(分期持仓明细!$B$18:$Y$18,'实盘净值数据(iFinD）'!$B744:$Y744/'实盘净值数据(iFinD）'!$B$20:$Y$20)*(1-实盘持仓初始配置!$Z$5)^(('实盘净值数据(iFinD）'!$A744-'实盘净值数据(iFinD）'!$A$5)/365))</f>
        <v/>
      </c>
      <c r="F744" s="16" t="str">
        <f t="shared" si="67"/>
        <v/>
      </c>
      <c r="G744" s="16" t="str">
        <f>IF(E744="","",E744/MAX(E$5:E744)-1)</f>
        <v/>
      </c>
      <c r="H744" s="13" t="str">
        <f>IF(OR('实盘净值数据(iFinD）'!$A744="",'实盘净值数据(iFinD）'!$B744=""),"",分期持仓明细!$AB$19*SUMPRODUCT(分期持仓明细!$B$19:$Y$19,'实盘净值数据(iFinD）'!$B744:$Y744/'实盘净值数据(iFinD）'!$B$20:$Y$20)*(1-实盘持仓初始配置!$Z$6)^(('实盘净值数据(iFinD）'!$A744-'实盘净值数据(iFinD）'!$A$7)/365))</f>
        <v/>
      </c>
      <c r="I744" s="16" t="str">
        <f t="shared" si="68"/>
        <v/>
      </c>
      <c r="J744" s="16" t="str">
        <f>IF(H744="","",H744/MAX(H$5:H744)-1)</f>
        <v/>
      </c>
      <c r="K744" s="13" t="str">
        <f>IF(OR('实盘净值数据(iFinD）'!$A744="",'实盘净值数据(iFinD）'!$B744="",'实盘净值数据(iFinD）'!$Z744="",'实盘净值数据(iFinD）'!$AA744=""),"",分期持仓明细!$AB$23*(SUMPRODUCT(分期持仓明细!$B$23:$Y$23,'实盘净值数据(iFinD）'!$B744:$Y744/'实盘净值数据(iFinD）'!$B$65:$Y$65)+SUMPRODUCT(分期持仓明细!$AC$23:$AD$23,'实盘净值数据(iFinD）'!$Z744:$AA744/'实盘净值数据(iFinD）'!$Z$65:$AA$65))*(1-实盘持仓初始配置!$Z$7)^(('实盘净值数据(iFinD）'!$A744-'实盘净值数据(iFinD）'!$A$8)/365))</f>
        <v/>
      </c>
      <c r="L744" s="16" t="str">
        <f t="shared" si="69"/>
        <v/>
      </c>
      <c r="M744" s="16" t="str">
        <f>IF(K744="","",K744/MAX(K$5:K744)-1)</f>
        <v/>
      </c>
      <c r="N744" s="13" t="str">
        <f>IF(OR('实盘净值数据(iFinD）'!$A744="",'实盘净值数据(iFinD）'!$B744="",'实盘净值数据(iFinD）'!$Z744="",'实盘净值数据(iFinD）'!$AA744=""),"",分期持仓明细!$AB$24*(SUMPRODUCT(分期持仓明细!$B$24:$Y$24,'实盘净值数据(iFinD）'!$B744:$Y744/'实盘净值数据(iFinD）'!$B$65:$Y$65)+SUMPRODUCT(分期持仓明细!$AC$24:$AD$24,'实盘净值数据(iFinD）'!$Z744:$AA744/'实盘净值数据(iFinD）'!$Z$65:$AA$65))*(1-实盘持仓初始配置!$Z$8)^(('实盘净值数据(iFinD）'!$A744-'实盘净值数据(iFinD）'!$A$5)/365))</f>
        <v/>
      </c>
      <c r="O744" s="16" t="str">
        <f t="shared" si="70"/>
        <v/>
      </c>
      <c r="P744" s="16" t="str">
        <f>IF(N744="","",N744/MAX(N$5:N744)-1)</f>
        <v/>
      </c>
      <c r="Q744" s="13" t="str">
        <f>IF(OR('实盘净值数据(iFinD）'!$A744="",'实盘净值数据(iFinD）'!$B744="",'实盘净值数据(iFinD）'!$Z744="",'实盘净值数据(iFinD）'!$AA744=""),"",分期持仓明细!$AB$25*(SUMPRODUCT(分期持仓明细!$B$25:$Y$25,'实盘净值数据(iFinD）'!$B744:$Y744/'实盘净值数据(iFinD）'!$B$65:$Y$65)+SUMPRODUCT(分期持仓明细!$AC$25:$AD$25,'实盘净值数据(iFinD）'!$Z744:$AA744/'实盘净值数据(iFinD）'!$Z$65:$AA$65))*(1-实盘持仓初始配置!$Z$9)^(('实盘净值数据(iFinD）'!$A744-'实盘净值数据(iFinD）'!$A$8)/365))</f>
        <v/>
      </c>
      <c r="R744" s="16" t="str">
        <f t="shared" si="71"/>
        <v/>
      </c>
      <c r="S744" s="16" t="str">
        <f>IF(Q744="","",Q744/MAX(Q$5:Q744)-1)</f>
        <v/>
      </c>
    </row>
    <row r="745" spans="1:19">
      <c r="A745" s="15" t="str">
        <f>IF('实盘净值数据(iFinD）'!A745="","",'实盘净值数据(iFinD）'!A745)</f>
        <v/>
      </c>
      <c r="B745" s="13" t="str">
        <f>IF(OR('实盘净值数据(iFinD）'!$A745="",'实盘净值数据(iFinD）'!$B745=""),"",分期持仓明细!$AB$17*SUMPRODUCT(分期持仓明细!$B$17:$Y$17,'实盘净值数据(iFinD）'!$B745:$Y745/'实盘净值数据(iFinD）'!$B$20:$Y$20)*(1-实盘持仓初始配置!$Z$4)^(('实盘净值数据(iFinD）'!$A745-'实盘净值数据(iFinD）'!$A$6)/365))</f>
        <v/>
      </c>
      <c r="C745" s="16" t="str">
        <f t="shared" si="66"/>
        <v/>
      </c>
      <c r="D745" s="16" t="str">
        <f>IF(B745="","",B745/MAX(B$5:B745)-1)</f>
        <v/>
      </c>
      <c r="E745" s="13" t="str">
        <f>IF(OR('实盘净值数据(iFinD）'!$A745="",'实盘净值数据(iFinD）'!$B745=""),"",分期持仓明细!$AB$18*SUMPRODUCT(分期持仓明细!$B$18:$Y$18,'实盘净值数据(iFinD）'!$B745:$Y745/'实盘净值数据(iFinD）'!$B$20:$Y$20)*(1-实盘持仓初始配置!$Z$5)^(('实盘净值数据(iFinD）'!$A745-'实盘净值数据(iFinD）'!$A$5)/365))</f>
        <v/>
      </c>
      <c r="F745" s="16" t="str">
        <f t="shared" si="67"/>
        <v/>
      </c>
      <c r="G745" s="16" t="str">
        <f>IF(E745="","",E745/MAX(E$5:E745)-1)</f>
        <v/>
      </c>
      <c r="H745" s="13" t="str">
        <f>IF(OR('实盘净值数据(iFinD）'!$A745="",'实盘净值数据(iFinD）'!$B745=""),"",分期持仓明细!$AB$19*SUMPRODUCT(分期持仓明细!$B$19:$Y$19,'实盘净值数据(iFinD）'!$B745:$Y745/'实盘净值数据(iFinD）'!$B$20:$Y$20)*(1-实盘持仓初始配置!$Z$6)^(('实盘净值数据(iFinD）'!$A745-'实盘净值数据(iFinD）'!$A$7)/365))</f>
        <v/>
      </c>
      <c r="I745" s="16" t="str">
        <f t="shared" si="68"/>
        <v/>
      </c>
      <c r="J745" s="16" t="str">
        <f>IF(H745="","",H745/MAX(H$5:H745)-1)</f>
        <v/>
      </c>
      <c r="K745" s="13" t="str">
        <f>IF(OR('实盘净值数据(iFinD）'!$A745="",'实盘净值数据(iFinD）'!$B745="",'实盘净值数据(iFinD）'!$Z745="",'实盘净值数据(iFinD）'!$AA745=""),"",分期持仓明细!$AB$23*(SUMPRODUCT(分期持仓明细!$B$23:$Y$23,'实盘净值数据(iFinD）'!$B745:$Y745/'实盘净值数据(iFinD）'!$B$65:$Y$65)+SUMPRODUCT(分期持仓明细!$AC$23:$AD$23,'实盘净值数据(iFinD）'!$Z745:$AA745/'实盘净值数据(iFinD）'!$Z$65:$AA$65))*(1-实盘持仓初始配置!$Z$7)^(('实盘净值数据(iFinD）'!$A745-'实盘净值数据(iFinD）'!$A$8)/365))</f>
        <v/>
      </c>
      <c r="L745" s="16" t="str">
        <f t="shared" si="69"/>
        <v/>
      </c>
      <c r="M745" s="16" t="str">
        <f>IF(K745="","",K745/MAX(K$5:K745)-1)</f>
        <v/>
      </c>
      <c r="N745" s="13" t="str">
        <f>IF(OR('实盘净值数据(iFinD）'!$A745="",'实盘净值数据(iFinD）'!$B745="",'实盘净值数据(iFinD）'!$Z745="",'实盘净值数据(iFinD）'!$AA745=""),"",分期持仓明细!$AB$24*(SUMPRODUCT(分期持仓明细!$B$24:$Y$24,'实盘净值数据(iFinD）'!$B745:$Y745/'实盘净值数据(iFinD）'!$B$65:$Y$65)+SUMPRODUCT(分期持仓明细!$AC$24:$AD$24,'实盘净值数据(iFinD）'!$Z745:$AA745/'实盘净值数据(iFinD）'!$Z$65:$AA$65))*(1-实盘持仓初始配置!$Z$8)^(('实盘净值数据(iFinD）'!$A745-'实盘净值数据(iFinD）'!$A$5)/365))</f>
        <v/>
      </c>
      <c r="O745" s="16" t="str">
        <f t="shared" si="70"/>
        <v/>
      </c>
      <c r="P745" s="16" t="str">
        <f>IF(N745="","",N745/MAX(N$5:N745)-1)</f>
        <v/>
      </c>
      <c r="Q745" s="13" t="str">
        <f>IF(OR('实盘净值数据(iFinD）'!$A745="",'实盘净值数据(iFinD）'!$B745="",'实盘净值数据(iFinD）'!$Z745="",'实盘净值数据(iFinD）'!$AA745=""),"",分期持仓明细!$AB$25*(SUMPRODUCT(分期持仓明细!$B$25:$Y$25,'实盘净值数据(iFinD）'!$B745:$Y745/'实盘净值数据(iFinD）'!$B$65:$Y$65)+SUMPRODUCT(分期持仓明细!$AC$25:$AD$25,'实盘净值数据(iFinD）'!$Z745:$AA745/'实盘净值数据(iFinD）'!$Z$65:$AA$65))*(1-实盘持仓初始配置!$Z$9)^(('实盘净值数据(iFinD）'!$A745-'实盘净值数据(iFinD）'!$A$8)/365))</f>
        <v/>
      </c>
      <c r="R745" s="16" t="str">
        <f t="shared" si="71"/>
        <v/>
      </c>
      <c r="S745" s="16" t="str">
        <f>IF(Q745="","",Q745/MAX(Q$5:Q745)-1)</f>
        <v/>
      </c>
    </row>
    <row r="746" spans="1:19">
      <c r="A746" s="15" t="str">
        <f>IF('实盘净值数据(iFinD）'!A746="","",'实盘净值数据(iFinD）'!A746)</f>
        <v/>
      </c>
      <c r="B746" s="13" t="str">
        <f>IF(OR('实盘净值数据(iFinD）'!$A746="",'实盘净值数据(iFinD）'!$B746=""),"",分期持仓明细!$AB$17*SUMPRODUCT(分期持仓明细!$B$17:$Y$17,'实盘净值数据(iFinD）'!$B746:$Y746/'实盘净值数据(iFinD）'!$B$20:$Y$20)*(1-实盘持仓初始配置!$Z$4)^(('实盘净值数据(iFinD）'!$A746-'实盘净值数据(iFinD）'!$A$6)/365))</f>
        <v/>
      </c>
      <c r="C746" s="16" t="str">
        <f t="shared" si="66"/>
        <v/>
      </c>
      <c r="D746" s="16" t="str">
        <f>IF(B746="","",B746/MAX(B$5:B746)-1)</f>
        <v/>
      </c>
      <c r="E746" s="13" t="str">
        <f>IF(OR('实盘净值数据(iFinD）'!$A746="",'实盘净值数据(iFinD）'!$B746=""),"",分期持仓明细!$AB$18*SUMPRODUCT(分期持仓明细!$B$18:$Y$18,'实盘净值数据(iFinD）'!$B746:$Y746/'实盘净值数据(iFinD）'!$B$20:$Y$20)*(1-实盘持仓初始配置!$Z$5)^(('实盘净值数据(iFinD）'!$A746-'实盘净值数据(iFinD）'!$A$5)/365))</f>
        <v/>
      </c>
      <c r="F746" s="16" t="str">
        <f t="shared" si="67"/>
        <v/>
      </c>
      <c r="G746" s="16" t="str">
        <f>IF(E746="","",E746/MAX(E$5:E746)-1)</f>
        <v/>
      </c>
      <c r="H746" s="13" t="str">
        <f>IF(OR('实盘净值数据(iFinD）'!$A746="",'实盘净值数据(iFinD）'!$B746=""),"",分期持仓明细!$AB$19*SUMPRODUCT(分期持仓明细!$B$19:$Y$19,'实盘净值数据(iFinD）'!$B746:$Y746/'实盘净值数据(iFinD）'!$B$20:$Y$20)*(1-实盘持仓初始配置!$Z$6)^(('实盘净值数据(iFinD）'!$A746-'实盘净值数据(iFinD）'!$A$7)/365))</f>
        <v/>
      </c>
      <c r="I746" s="16" t="str">
        <f t="shared" si="68"/>
        <v/>
      </c>
      <c r="J746" s="16" t="str">
        <f>IF(H746="","",H746/MAX(H$5:H746)-1)</f>
        <v/>
      </c>
      <c r="K746" s="13" t="str">
        <f>IF(OR('实盘净值数据(iFinD）'!$A746="",'实盘净值数据(iFinD）'!$B746="",'实盘净值数据(iFinD）'!$Z746="",'实盘净值数据(iFinD）'!$AA746=""),"",分期持仓明细!$AB$23*(SUMPRODUCT(分期持仓明细!$B$23:$Y$23,'实盘净值数据(iFinD）'!$B746:$Y746/'实盘净值数据(iFinD）'!$B$65:$Y$65)+SUMPRODUCT(分期持仓明细!$AC$23:$AD$23,'实盘净值数据(iFinD）'!$Z746:$AA746/'实盘净值数据(iFinD）'!$Z$65:$AA$65))*(1-实盘持仓初始配置!$Z$7)^(('实盘净值数据(iFinD）'!$A746-'实盘净值数据(iFinD）'!$A$8)/365))</f>
        <v/>
      </c>
      <c r="L746" s="16" t="str">
        <f t="shared" si="69"/>
        <v/>
      </c>
      <c r="M746" s="16" t="str">
        <f>IF(K746="","",K746/MAX(K$5:K746)-1)</f>
        <v/>
      </c>
      <c r="N746" s="13" t="str">
        <f>IF(OR('实盘净值数据(iFinD）'!$A746="",'实盘净值数据(iFinD）'!$B746="",'实盘净值数据(iFinD）'!$Z746="",'实盘净值数据(iFinD）'!$AA746=""),"",分期持仓明细!$AB$24*(SUMPRODUCT(分期持仓明细!$B$24:$Y$24,'实盘净值数据(iFinD）'!$B746:$Y746/'实盘净值数据(iFinD）'!$B$65:$Y$65)+SUMPRODUCT(分期持仓明细!$AC$24:$AD$24,'实盘净值数据(iFinD）'!$Z746:$AA746/'实盘净值数据(iFinD）'!$Z$65:$AA$65))*(1-实盘持仓初始配置!$Z$8)^(('实盘净值数据(iFinD）'!$A746-'实盘净值数据(iFinD）'!$A$5)/365))</f>
        <v/>
      </c>
      <c r="O746" s="16" t="str">
        <f t="shared" si="70"/>
        <v/>
      </c>
      <c r="P746" s="16" t="str">
        <f>IF(N746="","",N746/MAX(N$5:N746)-1)</f>
        <v/>
      </c>
      <c r="Q746" s="13" t="str">
        <f>IF(OR('实盘净值数据(iFinD）'!$A746="",'实盘净值数据(iFinD）'!$B746="",'实盘净值数据(iFinD）'!$Z746="",'实盘净值数据(iFinD）'!$AA746=""),"",分期持仓明细!$AB$25*(SUMPRODUCT(分期持仓明细!$B$25:$Y$25,'实盘净值数据(iFinD）'!$B746:$Y746/'实盘净值数据(iFinD）'!$B$65:$Y$65)+SUMPRODUCT(分期持仓明细!$AC$25:$AD$25,'实盘净值数据(iFinD）'!$Z746:$AA746/'实盘净值数据(iFinD）'!$Z$65:$AA$65))*(1-实盘持仓初始配置!$Z$9)^(('实盘净值数据(iFinD）'!$A746-'实盘净值数据(iFinD）'!$A$8)/365))</f>
        <v/>
      </c>
      <c r="R746" s="16" t="str">
        <f t="shared" si="71"/>
        <v/>
      </c>
      <c r="S746" s="16" t="str">
        <f>IF(Q746="","",Q746/MAX(Q$5:Q746)-1)</f>
        <v/>
      </c>
    </row>
    <row r="747" spans="1:19">
      <c r="A747" s="15" t="str">
        <f>IF('实盘净值数据(iFinD）'!A747="","",'实盘净值数据(iFinD）'!A747)</f>
        <v/>
      </c>
      <c r="B747" s="13" t="str">
        <f>IF(OR('实盘净值数据(iFinD）'!$A747="",'实盘净值数据(iFinD）'!$B747=""),"",分期持仓明细!$AB$17*SUMPRODUCT(分期持仓明细!$B$17:$Y$17,'实盘净值数据(iFinD）'!$B747:$Y747/'实盘净值数据(iFinD）'!$B$20:$Y$20)*(1-实盘持仓初始配置!$Z$4)^(('实盘净值数据(iFinD）'!$A747-'实盘净值数据(iFinD）'!$A$6)/365))</f>
        <v/>
      </c>
      <c r="C747" s="16" t="str">
        <f t="shared" si="66"/>
        <v/>
      </c>
      <c r="D747" s="16" t="str">
        <f>IF(B747="","",B747/MAX(B$5:B747)-1)</f>
        <v/>
      </c>
      <c r="E747" s="13" t="str">
        <f>IF(OR('实盘净值数据(iFinD）'!$A747="",'实盘净值数据(iFinD）'!$B747=""),"",分期持仓明细!$AB$18*SUMPRODUCT(分期持仓明细!$B$18:$Y$18,'实盘净值数据(iFinD）'!$B747:$Y747/'实盘净值数据(iFinD）'!$B$20:$Y$20)*(1-实盘持仓初始配置!$Z$5)^(('实盘净值数据(iFinD）'!$A747-'实盘净值数据(iFinD）'!$A$5)/365))</f>
        <v/>
      </c>
      <c r="F747" s="16" t="str">
        <f t="shared" si="67"/>
        <v/>
      </c>
      <c r="G747" s="16" t="str">
        <f>IF(E747="","",E747/MAX(E$5:E747)-1)</f>
        <v/>
      </c>
      <c r="H747" s="13" t="str">
        <f>IF(OR('实盘净值数据(iFinD）'!$A747="",'实盘净值数据(iFinD）'!$B747=""),"",分期持仓明细!$AB$19*SUMPRODUCT(分期持仓明细!$B$19:$Y$19,'实盘净值数据(iFinD）'!$B747:$Y747/'实盘净值数据(iFinD）'!$B$20:$Y$20)*(1-实盘持仓初始配置!$Z$6)^(('实盘净值数据(iFinD）'!$A747-'实盘净值数据(iFinD）'!$A$7)/365))</f>
        <v/>
      </c>
      <c r="I747" s="16" t="str">
        <f t="shared" si="68"/>
        <v/>
      </c>
      <c r="J747" s="16" t="str">
        <f>IF(H747="","",H747/MAX(H$5:H747)-1)</f>
        <v/>
      </c>
      <c r="K747" s="13" t="str">
        <f>IF(OR('实盘净值数据(iFinD）'!$A747="",'实盘净值数据(iFinD）'!$B747="",'实盘净值数据(iFinD）'!$Z747="",'实盘净值数据(iFinD）'!$AA747=""),"",分期持仓明细!$AB$23*(SUMPRODUCT(分期持仓明细!$B$23:$Y$23,'实盘净值数据(iFinD）'!$B747:$Y747/'实盘净值数据(iFinD）'!$B$65:$Y$65)+SUMPRODUCT(分期持仓明细!$AC$23:$AD$23,'实盘净值数据(iFinD）'!$Z747:$AA747/'实盘净值数据(iFinD）'!$Z$65:$AA$65))*(1-实盘持仓初始配置!$Z$7)^(('实盘净值数据(iFinD）'!$A747-'实盘净值数据(iFinD）'!$A$8)/365))</f>
        <v/>
      </c>
      <c r="L747" s="16" t="str">
        <f t="shared" si="69"/>
        <v/>
      </c>
      <c r="M747" s="16" t="str">
        <f>IF(K747="","",K747/MAX(K$5:K747)-1)</f>
        <v/>
      </c>
      <c r="N747" s="13" t="str">
        <f>IF(OR('实盘净值数据(iFinD）'!$A747="",'实盘净值数据(iFinD）'!$B747="",'实盘净值数据(iFinD）'!$Z747="",'实盘净值数据(iFinD）'!$AA747=""),"",分期持仓明细!$AB$24*(SUMPRODUCT(分期持仓明细!$B$24:$Y$24,'实盘净值数据(iFinD）'!$B747:$Y747/'实盘净值数据(iFinD）'!$B$65:$Y$65)+SUMPRODUCT(分期持仓明细!$AC$24:$AD$24,'实盘净值数据(iFinD）'!$Z747:$AA747/'实盘净值数据(iFinD）'!$Z$65:$AA$65))*(1-实盘持仓初始配置!$Z$8)^(('实盘净值数据(iFinD）'!$A747-'实盘净值数据(iFinD）'!$A$5)/365))</f>
        <v/>
      </c>
      <c r="O747" s="16" t="str">
        <f t="shared" si="70"/>
        <v/>
      </c>
      <c r="P747" s="16" t="str">
        <f>IF(N747="","",N747/MAX(N$5:N747)-1)</f>
        <v/>
      </c>
      <c r="Q747" s="13" t="str">
        <f>IF(OR('实盘净值数据(iFinD）'!$A747="",'实盘净值数据(iFinD）'!$B747="",'实盘净值数据(iFinD）'!$Z747="",'实盘净值数据(iFinD）'!$AA747=""),"",分期持仓明细!$AB$25*(SUMPRODUCT(分期持仓明细!$B$25:$Y$25,'实盘净值数据(iFinD）'!$B747:$Y747/'实盘净值数据(iFinD）'!$B$65:$Y$65)+SUMPRODUCT(分期持仓明细!$AC$25:$AD$25,'实盘净值数据(iFinD）'!$Z747:$AA747/'实盘净值数据(iFinD）'!$Z$65:$AA$65))*(1-实盘持仓初始配置!$Z$9)^(('实盘净值数据(iFinD）'!$A747-'实盘净值数据(iFinD）'!$A$8)/365))</f>
        <v/>
      </c>
      <c r="R747" s="16" t="str">
        <f t="shared" si="71"/>
        <v/>
      </c>
      <c r="S747" s="16" t="str">
        <f>IF(Q747="","",Q747/MAX(Q$5:Q747)-1)</f>
        <v/>
      </c>
    </row>
    <row r="748" spans="1:19">
      <c r="A748" s="15" t="str">
        <f>IF('实盘净值数据(iFinD）'!A748="","",'实盘净值数据(iFinD）'!A748)</f>
        <v/>
      </c>
      <c r="B748" s="13" t="str">
        <f>IF(OR('实盘净值数据(iFinD）'!$A748="",'实盘净值数据(iFinD）'!$B748=""),"",分期持仓明细!$AB$17*SUMPRODUCT(分期持仓明细!$B$17:$Y$17,'实盘净值数据(iFinD）'!$B748:$Y748/'实盘净值数据(iFinD）'!$B$20:$Y$20)*(1-实盘持仓初始配置!$Z$4)^(('实盘净值数据(iFinD）'!$A748-'实盘净值数据(iFinD）'!$A$6)/365))</f>
        <v/>
      </c>
      <c r="C748" s="16" t="str">
        <f t="shared" si="66"/>
        <v/>
      </c>
      <c r="D748" s="16" t="str">
        <f>IF(B748="","",B748/MAX(B$5:B748)-1)</f>
        <v/>
      </c>
      <c r="E748" s="13" t="str">
        <f>IF(OR('实盘净值数据(iFinD）'!$A748="",'实盘净值数据(iFinD）'!$B748=""),"",分期持仓明细!$AB$18*SUMPRODUCT(分期持仓明细!$B$18:$Y$18,'实盘净值数据(iFinD）'!$B748:$Y748/'实盘净值数据(iFinD）'!$B$20:$Y$20)*(1-实盘持仓初始配置!$Z$5)^(('实盘净值数据(iFinD）'!$A748-'实盘净值数据(iFinD）'!$A$5)/365))</f>
        <v/>
      </c>
      <c r="F748" s="16" t="str">
        <f t="shared" si="67"/>
        <v/>
      </c>
      <c r="G748" s="16" t="str">
        <f>IF(E748="","",E748/MAX(E$5:E748)-1)</f>
        <v/>
      </c>
      <c r="H748" s="13" t="str">
        <f>IF(OR('实盘净值数据(iFinD）'!$A748="",'实盘净值数据(iFinD）'!$B748=""),"",分期持仓明细!$AB$19*SUMPRODUCT(分期持仓明细!$B$19:$Y$19,'实盘净值数据(iFinD）'!$B748:$Y748/'实盘净值数据(iFinD）'!$B$20:$Y$20)*(1-实盘持仓初始配置!$Z$6)^(('实盘净值数据(iFinD）'!$A748-'实盘净值数据(iFinD）'!$A$7)/365))</f>
        <v/>
      </c>
      <c r="I748" s="16" t="str">
        <f t="shared" si="68"/>
        <v/>
      </c>
      <c r="J748" s="16" t="str">
        <f>IF(H748="","",H748/MAX(H$5:H748)-1)</f>
        <v/>
      </c>
      <c r="K748" s="13" t="str">
        <f>IF(OR('实盘净值数据(iFinD）'!$A748="",'实盘净值数据(iFinD）'!$B748="",'实盘净值数据(iFinD）'!$Z748="",'实盘净值数据(iFinD）'!$AA748=""),"",分期持仓明细!$AB$23*(SUMPRODUCT(分期持仓明细!$B$23:$Y$23,'实盘净值数据(iFinD）'!$B748:$Y748/'实盘净值数据(iFinD）'!$B$65:$Y$65)+SUMPRODUCT(分期持仓明细!$AC$23:$AD$23,'实盘净值数据(iFinD）'!$Z748:$AA748/'实盘净值数据(iFinD）'!$Z$65:$AA$65))*(1-实盘持仓初始配置!$Z$7)^(('实盘净值数据(iFinD）'!$A748-'实盘净值数据(iFinD）'!$A$8)/365))</f>
        <v/>
      </c>
      <c r="L748" s="16" t="str">
        <f t="shared" si="69"/>
        <v/>
      </c>
      <c r="M748" s="16" t="str">
        <f>IF(K748="","",K748/MAX(K$5:K748)-1)</f>
        <v/>
      </c>
      <c r="N748" s="13" t="str">
        <f>IF(OR('实盘净值数据(iFinD）'!$A748="",'实盘净值数据(iFinD）'!$B748="",'实盘净值数据(iFinD）'!$Z748="",'实盘净值数据(iFinD）'!$AA748=""),"",分期持仓明细!$AB$24*(SUMPRODUCT(分期持仓明细!$B$24:$Y$24,'实盘净值数据(iFinD）'!$B748:$Y748/'实盘净值数据(iFinD）'!$B$65:$Y$65)+SUMPRODUCT(分期持仓明细!$AC$24:$AD$24,'实盘净值数据(iFinD）'!$Z748:$AA748/'实盘净值数据(iFinD）'!$Z$65:$AA$65))*(1-实盘持仓初始配置!$Z$8)^(('实盘净值数据(iFinD）'!$A748-'实盘净值数据(iFinD）'!$A$5)/365))</f>
        <v/>
      </c>
      <c r="O748" s="16" t="str">
        <f t="shared" si="70"/>
        <v/>
      </c>
      <c r="P748" s="16" t="str">
        <f>IF(N748="","",N748/MAX(N$5:N748)-1)</f>
        <v/>
      </c>
      <c r="Q748" s="13" t="str">
        <f>IF(OR('实盘净值数据(iFinD）'!$A748="",'实盘净值数据(iFinD）'!$B748="",'实盘净值数据(iFinD）'!$Z748="",'实盘净值数据(iFinD）'!$AA748=""),"",分期持仓明细!$AB$25*(SUMPRODUCT(分期持仓明细!$B$25:$Y$25,'实盘净值数据(iFinD）'!$B748:$Y748/'实盘净值数据(iFinD）'!$B$65:$Y$65)+SUMPRODUCT(分期持仓明细!$AC$25:$AD$25,'实盘净值数据(iFinD）'!$Z748:$AA748/'实盘净值数据(iFinD）'!$Z$65:$AA$65))*(1-实盘持仓初始配置!$Z$9)^(('实盘净值数据(iFinD）'!$A748-'实盘净值数据(iFinD）'!$A$8)/365))</f>
        <v/>
      </c>
      <c r="R748" s="16" t="str">
        <f t="shared" si="71"/>
        <v/>
      </c>
      <c r="S748" s="16" t="str">
        <f>IF(Q748="","",Q748/MAX(Q$5:Q748)-1)</f>
        <v/>
      </c>
    </row>
    <row r="749" spans="1:19">
      <c r="A749" s="15" t="str">
        <f>IF('实盘净值数据(iFinD）'!A749="","",'实盘净值数据(iFinD）'!A749)</f>
        <v/>
      </c>
      <c r="B749" s="13" t="str">
        <f>IF(OR('实盘净值数据(iFinD）'!$A749="",'实盘净值数据(iFinD）'!$B749=""),"",分期持仓明细!$AB$17*SUMPRODUCT(分期持仓明细!$B$17:$Y$17,'实盘净值数据(iFinD）'!$B749:$Y749/'实盘净值数据(iFinD）'!$B$20:$Y$20)*(1-实盘持仓初始配置!$Z$4)^(('实盘净值数据(iFinD）'!$A749-'实盘净值数据(iFinD）'!$A$6)/365))</f>
        <v/>
      </c>
      <c r="C749" s="16" t="str">
        <f t="shared" si="66"/>
        <v/>
      </c>
      <c r="D749" s="16" t="str">
        <f>IF(B749="","",B749/MAX(B$5:B749)-1)</f>
        <v/>
      </c>
      <c r="E749" s="13" t="str">
        <f>IF(OR('实盘净值数据(iFinD）'!$A749="",'实盘净值数据(iFinD）'!$B749=""),"",分期持仓明细!$AB$18*SUMPRODUCT(分期持仓明细!$B$18:$Y$18,'实盘净值数据(iFinD）'!$B749:$Y749/'实盘净值数据(iFinD）'!$B$20:$Y$20)*(1-实盘持仓初始配置!$Z$5)^(('实盘净值数据(iFinD）'!$A749-'实盘净值数据(iFinD）'!$A$5)/365))</f>
        <v/>
      </c>
      <c r="F749" s="16" t="str">
        <f t="shared" si="67"/>
        <v/>
      </c>
      <c r="G749" s="16" t="str">
        <f>IF(E749="","",E749/MAX(E$5:E749)-1)</f>
        <v/>
      </c>
      <c r="H749" s="13" t="str">
        <f>IF(OR('实盘净值数据(iFinD）'!$A749="",'实盘净值数据(iFinD）'!$B749=""),"",分期持仓明细!$AB$19*SUMPRODUCT(分期持仓明细!$B$19:$Y$19,'实盘净值数据(iFinD）'!$B749:$Y749/'实盘净值数据(iFinD）'!$B$20:$Y$20)*(1-实盘持仓初始配置!$Z$6)^(('实盘净值数据(iFinD）'!$A749-'实盘净值数据(iFinD）'!$A$7)/365))</f>
        <v/>
      </c>
      <c r="I749" s="16" t="str">
        <f t="shared" si="68"/>
        <v/>
      </c>
      <c r="J749" s="16" t="str">
        <f>IF(H749="","",H749/MAX(H$5:H749)-1)</f>
        <v/>
      </c>
      <c r="K749" s="13" t="str">
        <f>IF(OR('实盘净值数据(iFinD）'!$A749="",'实盘净值数据(iFinD）'!$B749="",'实盘净值数据(iFinD）'!$Z749="",'实盘净值数据(iFinD）'!$AA749=""),"",分期持仓明细!$AB$23*(SUMPRODUCT(分期持仓明细!$B$23:$Y$23,'实盘净值数据(iFinD）'!$B749:$Y749/'实盘净值数据(iFinD）'!$B$65:$Y$65)+SUMPRODUCT(分期持仓明细!$AC$23:$AD$23,'实盘净值数据(iFinD）'!$Z749:$AA749/'实盘净值数据(iFinD）'!$Z$65:$AA$65))*(1-实盘持仓初始配置!$Z$7)^(('实盘净值数据(iFinD）'!$A749-'实盘净值数据(iFinD）'!$A$8)/365))</f>
        <v/>
      </c>
      <c r="L749" s="16" t="str">
        <f t="shared" si="69"/>
        <v/>
      </c>
      <c r="M749" s="16" t="str">
        <f>IF(K749="","",K749/MAX(K$5:K749)-1)</f>
        <v/>
      </c>
      <c r="N749" s="13" t="str">
        <f>IF(OR('实盘净值数据(iFinD）'!$A749="",'实盘净值数据(iFinD）'!$B749="",'实盘净值数据(iFinD）'!$Z749="",'实盘净值数据(iFinD）'!$AA749=""),"",分期持仓明细!$AB$24*(SUMPRODUCT(分期持仓明细!$B$24:$Y$24,'实盘净值数据(iFinD）'!$B749:$Y749/'实盘净值数据(iFinD）'!$B$65:$Y$65)+SUMPRODUCT(分期持仓明细!$AC$24:$AD$24,'实盘净值数据(iFinD）'!$Z749:$AA749/'实盘净值数据(iFinD）'!$Z$65:$AA$65))*(1-实盘持仓初始配置!$Z$8)^(('实盘净值数据(iFinD）'!$A749-'实盘净值数据(iFinD）'!$A$5)/365))</f>
        <v/>
      </c>
      <c r="O749" s="16" t="str">
        <f t="shared" si="70"/>
        <v/>
      </c>
      <c r="P749" s="16" t="str">
        <f>IF(N749="","",N749/MAX(N$5:N749)-1)</f>
        <v/>
      </c>
      <c r="Q749" s="13" t="str">
        <f>IF(OR('实盘净值数据(iFinD）'!$A749="",'实盘净值数据(iFinD）'!$B749="",'实盘净值数据(iFinD）'!$Z749="",'实盘净值数据(iFinD）'!$AA749=""),"",分期持仓明细!$AB$25*(SUMPRODUCT(分期持仓明细!$B$25:$Y$25,'实盘净值数据(iFinD）'!$B749:$Y749/'实盘净值数据(iFinD）'!$B$65:$Y$65)+SUMPRODUCT(分期持仓明细!$AC$25:$AD$25,'实盘净值数据(iFinD）'!$Z749:$AA749/'实盘净值数据(iFinD）'!$Z$65:$AA$65))*(1-实盘持仓初始配置!$Z$9)^(('实盘净值数据(iFinD）'!$A749-'实盘净值数据(iFinD）'!$A$8)/365))</f>
        <v/>
      </c>
      <c r="R749" s="16" t="str">
        <f t="shared" si="71"/>
        <v/>
      </c>
      <c r="S749" s="16" t="str">
        <f>IF(Q749="","",Q749/MAX(Q$5:Q749)-1)</f>
        <v/>
      </c>
    </row>
    <row r="750" spans="1:19">
      <c r="A750" s="15" t="str">
        <f>IF('实盘净值数据(iFinD）'!A750="","",'实盘净值数据(iFinD）'!A750)</f>
        <v/>
      </c>
      <c r="B750" s="13" t="str">
        <f>IF(OR('实盘净值数据(iFinD）'!$A750="",'实盘净值数据(iFinD）'!$B750=""),"",分期持仓明细!$AB$17*SUMPRODUCT(分期持仓明细!$B$17:$Y$17,'实盘净值数据(iFinD）'!$B750:$Y750/'实盘净值数据(iFinD）'!$B$20:$Y$20)*(1-实盘持仓初始配置!$Z$4)^(('实盘净值数据(iFinD）'!$A750-'实盘净值数据(iFinD）'!$A$6)/365))</f>
        <v/>
      </c>
      <c r="C750" s="16" t="str">
        <f t="shared" si="66"/>
        <v/>
      </c>
      <c r="D750" s="16" t="str">
        <f>IF(B750="","",B750/MAX(B$5:B750)-1)</f>
        <v/>
      </c>
      <c r="E750" s="13" t="str">
        <f>IF(OR('实盘净值数据(iFinD）'!$A750="",'实盘净值数据(iFinD）'!$B750=""),"",分期持仓明细!$AB$18*SUMPRODUCT(分期持仓明细!$B$18:$Y$18,'实盘净值数据(iFinD）'!$B750:$Y750/'实盘净值数据(iFinD）'!$B$20:$Y$20)*(1-实盘持仓初始配置!$Z$5)^(('实盘净值数据(iFinD）'!$A750-'实盘净值数据(iFinD）'!$A$5)/365))</f>
        <v/>
      </c>
      <c r="F750" s="16" t="str">
        <f t="shared" si="67"/>
        <v/>
      </c>
      <c r="G750" s="16" t="str">
        <f>IF(E750="","",E750/MAX(E$5:E750)-1)</f>
        <v/>
      </c>
      <c r="H750" s="13" t="str">
        <f>IF(OR('实盘净值数据(iFinD）'!$A750="",'实盘净值数据(iFinD）'!$B750=""),"",分期持仓明细!$AB$19*SUMPRODUCT(分期持仓明细!$B$19:$Y$19,'实盘净值数据(iFinD）'!$B750:$Y750/'实盘净值数据(iFinD）'!$B$20:$Y$20)*(1-实盘持仓初始配置!$Z$6)^(('实盘净值数据(iFinD）'!$A750-'实盘净值数据(iFinD）'!$A$7)/365))</f>
        <v/>
      </c>
      <c r="I750" s="16" t="str">
        <f t="shared" si="68"/>
        <v/>
      </c>
      <c r="J750" s="16" t="str">
        <f>IF(H750="","",H750/MAX(H$5:H750)-1)</f>
        <v/>
      </c>
      <c r="K750" s="13" t="str">
        <f>IF(OR('实盘净值数据(iFinD）'!$A750="",'实盘净值数据(iFinD）'!$B750="",'实盘净值数据(iFinD）'!$Z750="",'实盘净值数据(iFinD）'!$AA750=""),"",分期持仓明细!$AB$23*(SUMPRODUCT(分期持仓明细!$B$23:$Y$23,'实盘净值数据(iFinD）'!$B750:$Y750/'实盘净值数据(iFinD）'!$B$65:$Y$65)+SUMPRODUCT(分期持仓明细!$AC$23:$AD$23,'实盘净值数据(iFinD）'!$Z750:$AA750/'实盘净值数据(iFinD）'!$Z$65:$AA$65))*(1-实盘持仓初始配置!$Z$7)^(('实盘净值数据(iFinD）'!$A750-'实盘净值数据(iFinD）'!$A$8)/365))</f>
        <v/>
      </c>
      <c r="L750" s="16" t="str">
        <f t="shared" si="69"/>
        <v/>
      </c>
      <c r="M750" s="16" t="str">
        <f>IF(K750="","",K750/MAX(K$5:K750)-1)</f>
        <v/>
      </c>
      <c r="N750" s="13" t="str">
        <f>IF(OR('实盘净值数据(iFinD）'!$A750="",'实盘净值数据(iFinD）'!$B750="",'实盘净值数据(iFinD）'!$Z750="",'实盘净值数据(iFinD）'!$AA750=""),"",分期持仓明细!$AB$24*(SUMPRODUCT(分期持仓明细!$B$24:$Y$24,'实盘净值数据(iFinD）'!$B750:$Y750/'实盘净值数据(iFinD）'!$B$65:$Y$65)+SUMPRODUCT(分期持仓明细!$AC$24:$AD$24,'实盘净值数据(iFinD）'!$Z750:$AA750/'实盘净值数据(iFinD）'!$Z$65:$AA$65))*(1-实盘持仓初始配置!$Z$8)^(('实盘净值数据(iFinD）'!$A750-'实盘净值数据(iFinD）'!$A$5)/365))</f>
        <v/>
      </c>
      <c r="O750" s="16" t="str">
        <f t="shared" si="70"/>
        <v/>
      </c>
      <c r="P750" s="16" t="str">
        <f>IF(N750="","",N750/MAX(N$5:N750)-1)</f>
        <v/>
      </c>
      <c r="Q750" s="13" t="str">
        <f>IF(OR('实盘净值数据(iFinD）'!$A750="",'实盘净值数据(iFinD）'!$B750="",'实盘净值数据(iFinD）'!$Z750="",'实盘净值数据(iFinD）'!$AA750=""),"",分期持仓明细!$AB$25*(SUMPRODUCT(分期持仓明细!$B$25:$Y$25,'实盘净值数据(iFinD）'!$B750:$Y750/'实盘净值数据(iFinD）'!$B$65:$Y$65)+SUMPRODUCT(分期持仓明细!$AC$25:$AD$25,'实盘净值数据(iFinD）'!$Z750:$AA750/'实盘净值数据(iFinD）'!$Z$65:$AA$65))*(1-实盘持仓初始配置!$Z$9)^(('实盘净值数据(iFinD）'!$A750-'实盘净值数据(iFinD）'!$A$8)/365))</f>
        <v/>
      </c>
      <c r="R750" s="16" t="str">
        <f t="shared" si="71"/>
        <v/>
      </c>
      <c r="S750" s="16" t="str">
        <f>IF(Q750="","",Q750/MAX(Q$5:Q750)-1)</f>
        <v/>
      </c>
    </row>
    <row r="751" spans="1:19">
      <c r="A751" s="15" t="str">
        <f>IF('实盘净值数据(iFinD）'!A751="","",'实盘净值数据(iFinD）'!A751)</f>
        <v/>
      </c>
      <c r="B751" s="13" t="str">
        <f>IF(OR('实盘净值数据(iFinD）'!$A751="",'实盘净值数据(iFinD）'!$B751=""),"",分期持仓明细!$AB$17*SUMPRODUCT(分期持仓明细!$B$17:$Y$17,'实盘净值数据(iFinD）'!$B751:$Y751/'实盘净值数据(iFinD）'!$B$20:$Y$20)*(1-实盘持仓初始配置!$Z$4)^(('实盘净值数据(iFinD）'!$A751-'实盘净值数据(iFinD）'!$A$6)/365))</f>
        <v/>
      </c>
      <c r="C751" s="16" t="str">
        <f t="shared" si="66"/>
        <v/>
      </c>
      <c r="D751" s="16" t="str">
        <f>IF(B751="","",B751/MAX(B$5:B751)-1)</f>
        <v/>
      </c>
      <c r="E751" s="13" t="str">
        <f>IF(OR('实盘净值数据(iFinD）'!$A751="",'实盘净值数据(iFinD）'!$B751=""),"",分期持仓明细!$AB$18*SUMPRODUCT(分期持仓明细!$B$18:$Y$18,'实盘净值数据(iFinD）'!$B751:$Y751/'实盘净值数据(iFinD）'!$B$20:$Y$20)*(1-实盘持仓初始配置!$Z$5)^(('实盘净值数据(iFinD）'!$A751-'实盘净值数据(iFinD）'!$A$5)/365))</f>
        <v/>
      </c>
      <c r="F751" s="16" t="str">
        <f t="shared" si="67"/>
        <v/>
      </c>
      <c r="G751" s="16" t="str">
        <f>IF(E751="","",E751/MAX(E$5:E751)-1)</f>
        <v/>
      </c>
      <c r="H751" s="13" t="str">
        <f>IF(OR('实盘净值数据(iFinD）'!$A751="",'实盘净值数据(iFinD）'!$B751=""),"",分期持仓明细!$AB$19*SUMPRODUCT(分期持仓明细!$B$19:$Y$19,'实盘净值数据(iFinD）'!$B751:$Y751/'实盘净值数据(iFinD）'!$B$20:$Y$20)*(1-实盘持仓初始配置!$Z$6)^(('实盘净值数据(iFinD）'!$A751-'实盘净值数据(iFinD）'!$A$7)/365))</f>
        <v/>
      </c>
      <c r="I751" s="16" t="str">
        <f t="shared" si="68"/>
        <v/>
      </c>
      <c r="J751" s="16" t="str">
        <f>IF(H751="","",H751/MAX(H$5:H751)-1)</f>
        <v/>
      </c>
      <c r="K751" s="13" t="str">
        <f>IF(OR('实盘净值数据(iFinD）'!$A751="",'实盘净值数据(iFinD）'!$B751="",'实盘净值数据(iFinD）'!$Z751="",'实盘净值数据(iFinD）'!$AA751=""),"",分期持仓明细!$AB$23*(SUMPRODUCT(分期持仓明细!$B$23:$Y$23,'实盘净值数据(iFinD）'!$B751:$Y751/'实盘净值数据(iFinD）'!$B$65:$Y$65)+SUMPRODUCT(分期持仓明细!$AC$23:$AD$23,'实盘净值数据(iFinD）'!$Z751:$AA751/'实盘净值数据(iFinD）'!$Z$65:$AA$65))*(1-实盘持仓初始配置!$Z$7)^(('实盘净值数据(iFinD）'!$A751-'实盘净值数据(iFinD）'!$A$8)/365))</f>
        <v/>
      </c>
      <c r="L751" s="16" t="str">
        <f t="shared" si="69"/>
        <v/>
      </c>
      <c r="M751" s="16" t="str">
        <f>IF(K751="","",K751/MAX(K$5:K751)-1)</f>
        <v/>
      </c>
      <c r="N751" s="13" t="str">
        <f>IF(OR('实盘净值数据(iFinD）'!$A751="",'实盘净值数据(iFinD）'!$B751="",'实盘净值数据(iFinD）'!$Z751="",'实盘净值数据(iFinD）'!$AA751=""),"",分期持仓明细!$AB$24*(SUMPRODUCT(分期持仓明细!$B$24:$Y$24,'实盘净值数据(iFinD）'!$B751:$Y751/'实盘净值数据(iFinD）'!$B$65:$Y$65)+SUMPRODUCT(分期持仓明细!$AC$24:$AD$24,'实盘净值数据(iFinD）'!$Z751:$AA751/'实盘净值数据(iFinD）'!$Z$65:$AA$65))*(1-实盘持仓初始配置!$Z$8)^(('实盘净值数据(iFinD）'!$A751-'实盘净值数据(iFinD）'!$A$5)/365))</f>
        <v/>
      </c>
      <c r="O751" s="16" t="str">
        <f t="shared" si="70"/>
        <v/>
      </c>
      <c r="P751" s="16" t="str">
        <f>IF(N751="","",N751/MAX(N$5:N751)-1)</f>
        <v/>
      </c>
      <c r="Q751" s="13" t="str">
        <f>IF(OR('实盘净值数据(iFinD）'!$A751="",'实盘净值数据(iFinD）'!$B751="",'实盘净值数据(iFinD）'!$Z751="",'实盘净值数据(iFinD）'!$AA751=""),"",分期持仓明细!$AB$25*(SUMPRODUCT(分期持仓明细!$B$25:$Y$25,'实盘净值数据(iFinD）'!$B751:$Y751/'实盘净值数据(iFinD）'!$B$65:$Y$65)+SUMPRODUCT(分期持仓明细!$AC$25:$AD$25,'实盘净值数据(iFinD）'!$Z751:$AA751/'实盘净值数据(iFinD）'!$Z$65:$AA$65))*(1-实盘持仓初始配置!$Z$9)^(('实盘净值数据(iFinD）'!$A751-'实盘净值数据(iFinD）'!$A$8)/365))</f>
        <v/>
      </c>
      <c r="R751" s="16" t="str">
        <f t="shared" si="71"/>
        <v/>
      </c>
      <c r="S751" s="16" t="str">
        <f>IF(Q751="","",Q751/MAX(Q$5:Q751)-1)</f>
        <v/>
      </c>
    </row>
    <row r="752" spans="1:19">
      <c r="A752" s="15" t="str">
        <f>IF('实盘净值数据(iFinD）'!A752="","",'实盘净值数据(iFinD）'!A752)</f>
        <v/>
      </c>
      <c r="B752" s="13" t="str">
        <f>IF(OR('实盘净值数据(iFinD）'!$A752="",'实盘净值数据(iFinD）'!$B752=""),"",分期持仓明细!$AB$17*SUMPRODUCT(分期持仓明细!$B$17:$Y$17,'实盘净值数据(iFinD）'!$B752:$Y752/'实盘净值数据(iFinD）'!$B$20:$Y$20)*(1-实盘持仓初始配置!$Z$4)^(('实盘净值数据(iFinD）'!$A752-'实盘净值数据(iFinD）'!$A$6)/365))</f>
        <v/>
      </c>
      <c r="C752" s="16" t="str">
        <f t="shared" si="66"/>
        <v/>
      </c>
      <c r="D752" s="16" t="str">
        <f>IF(B752="","",B752/MAX(B$5:B752)-1)</f>
        <v/>
      </c>
      <c r="E752" s="13" t="str">
        <f>IF(OR('实盘净值数据(iFinD）'!$A752="",'实盘净值数据(iFinD）'!$B752=""),"",分期持仓明细!$AB$18*SUMPRODUCT(分期持仓明细!$B$18:$Y$18,'实盘净值数据(iFinD）'!$B752:$Y752/'实盘净值数据(iFinD）'!$B$20:$Y$20)*(1-实盘持仓初始配置!$Z$5)^(('实盘净值数据(iFinD）'!$A752-'实盘净值数据(iFinD）'!$A$5)/365))</f>
        <v/>
      </c>
      <c r="F752" s="16" t="str">
        <f t="shared" si="67"/>
        <v/>
      </c>
      <c r="G752" s="16" t="str">
        <f>IF(E752="","",E752/MAX(E$5:E752)-1)</f>
        <v/>
      </c>
      <c r="H752" s="13" t="str">
        <f>IF(OR('实盘净值数据(iFinD）'!$A752="",'实盘净值数据(iFinD）'!$B752=""),"",分期持仓明细!$AB$19*SUMPRODUCT(分期持仓明细!$B$19:$Y$19,'实盘净值数据(iFinD）'!$B752:$Y752/'实盘净值数据(iFinD）'!$B$20:$Y$20)*(1-实盘持仓初始配置!$Z$6)^(('实盘净值数据(iFinD）'!$A752-'实盘净值数据(iFinD）'!$A$7)/365))</f>
        <v/>
      </c>
      <c r="I752" s="16" t="str">
        <f t="shared" si="68"/>
        <v/>
      </c>
      <c r="J752" s="16" t="str">
        <f>IF(H752="","",H752/MAX(H$5:H752)-1)</f>
        <v/>
      </c>
      <c r="K752" s="13" t="str">
        <f>IF(OR('实盘净值数据(iFinD）'!$A752="",'实盘净值数据(iFinD）'!$B752="",'实盘净值数据(iFinD）'!$Z752="",'实盘净值数据(iFinD）'!$AA752=""),"",分期持仓明细!$AB$23*(SUMPRODUCT(分期持仓明细!$B$23:$Y$23,'实盘净值数据(iFinD）'!$B752:$Y752/'实盘净值数据(iFinD）'!$B$65:$Y$65)+SUMPRODUCT(分期持仓明细!$AC$23:$AD$23,'实盘净值数据(iFinD）'!$Z752:$AA752/'实盘净值数据(iFinD）'!$Z$65:$AA$65))*(1-实盘持仓初始配置!$Z$7)^(('实盘净值数据(iFinD）'!$A752-'实盘净值数据(iFinD）'!$A$8)/365))</f>
        <v/>
      </c>
      <c r="L752" s="16" t="str">
        <f t="shared" si="69"/>
        <v/>
      </c>
      <c r="M752" s="16" t="str">
        <f>IF(K752="","",K752/MAX(K$5:K752)-1)</f>
        <v/>
      </c>
      <c r="N752" s="13" t="str">
        <f>IF(OR('实盘净值数据(iFinD）'!$A752="",'实盘净值数据(iFinD）'!$B752="",'实盘净值数据(iFinD）'!$Z752="",'实盘净值数据(iFinD）'!$AA752=""),"",分期持仓明细!$AB$24*(SUMPRODUCT(分期持仓明细!$B$24:$Y$24,'实盘净值数据(iFinD）'!$B752:$Y752/'实盘净值数据(iFinD）'!$B$65:$Y$65)+SUMPRODUCT(分期持仓明细!$AC$24:$AD$24,'实盘净值数据(iFinD）'!$Z752:$AA752/'实盘净值数据(iFinD）'!$Z$65:$AA$65))*(1-实盘持仓初始配置!$Z$8)^(('实盘净值数据(iFinD）'!$A752-'实盘净值数据(iFinD）'!$A$5)/365))</f>
        <v/>
      </c>
      <c r="O752" s="16" t="str">
        <f t="shared" si="70"/>
        <v/>
      </c>
      <c r="P752" s="16" t="str">
        <f>IF(N752="","",N752/MAX(N$5:N752)-1)</f>
        <v/>
      </c>
      <c r="Q752" s="13" t="str">
        <f>IF(OR('实盘净值数据(iFinD）'!$A752="",'实盘净值数据(iFinD）'!$B752="",'实盘净值数据(iFinD）'!$Z752="",'实盘净值数据(iFinD）'!$AA752=""),"",分期持仓明细!$AB$25*(SUMPRODUCT(分期持仓明细!$B$25:$Y$25,'实盘净值数据(iFinD）'!$B752:$Y752/'实盘净值数据(iFinD）'!$B$65:$Y$65)+SUMPRODUCT(分期持仓明细!$AC$25:$AD$25,'实盘净值数据(iFinD）'!$Z752:$AA752/'实盘净值数据(iFinD）'!$Z$65:$AA$65))*(1-实盘持仓初始配置!$Z$9)^(('实盘净值数据(iFinD）'!$A752-'实盘净值数据(iFinD）'!$A$8)/365))</f>
        <v/>
      </c>
      <c r="R752" s="16" t="str">
        <f t="shared" si="71"/>
        <v/>
      </c>
      <c r="S752" s="16" t="str">
        <f>IF(Q752="","",Q752/MAX(Q$5:Q752)-1)</f>
        <v/>
      </c>
    </row>
    <row r="753" spans="1:19">
      <c r="A753" s="15" t="str">
        <f>IF('实盘净值数据(iFinD）'!A753="","",'实盘净值数据(iFinD）'!A753)</f>
        <v/>
      </c>
      <c r="B753" s="13" t="str">
        <f>IF(OR('实盘净值数据(iFinD）'!$A753="",'实盘净值数据(iFinD）'!$B753=""),"",分期持仓明细!$AB$17*SUMPRODUCT(分期持仓明细!$B$17:$Y$17,'实盘净值数据(iFinD）'!$B753:$Y753/'实盘净值数据(iFinD）'!$B$20:$Y$20)*(1-实盘持仓初始配置!$Z$4)^(('实盘净值数据(iFinD）'!$A753-'实盘净值数据(iFinD）'!$A$6)/365))</f>
        <v/>
      </c>
      <c r="C753" s="16" t="str">
        <f t="shared" si="66"/>
        <v/>
      </c>
      <c r="D753" s="16" t="str">
        <f>IF(B753="","",B753/MAX(B$5:B753)-1)</f>
        <v/>
      </c>
      <c r="E753" s="13" t="str">
        <f>IF(OR('实盘净值数据(iFinD）'!$A753="",'实盘净值数据(iFinD）'!$B753=""),"",分期持仓明细!$AB$18*SUMPRODUCT(分期持仓明细!$B$18:$Y$18,'实盘净值数据(iFinD）'!$B753:$Y753/'实盘净值数据(iFinD）'!$B$20:$Y$20)*(1-实盘持仓初始配置!$Z$5)^(('实盘净值数据(iFinD）'!$A753-'实盘净值数据(iFinD）'!$A$5)/365))</f>
        <v/>
      </c>
      <c r="F753" s="16" t="str">
        <f t="shared" si="67"/>
        <v/>
      </c>
      <c r="G753" s="16" t="str">
        <f>IF(E753="","",E753/MAX(E$5:E753)-1)</f>
        <v/>
      </c>
      <c r="H753" s="13" t="str">
        <f>IF(OR('实盘净值数据(iFinD）'!$A753="",'实盘净值数据(iFinD）'!$B753=""),"",分期持仓明细!$AB$19*SUMPRODUCT(分期持仓明细!$B$19:$Y$19,'实盘净值数据(iFinD）'!$B753:$Y753/'实盘净值数据(iFinD）'!$B$20:$Y$20)*(1-实盘持仓初始配置!$Z$6)^(('实盘净值数据(iFinD）'!$A753-'实盘净值数据(iFinD）'!$A$7)/365))</f>
        <v/>
      </c>
      <c r="I753" s="16" t="str">
        <f t="shared" si="68"/>
        <v/>
      </c>
      <c r="J753" s="16" t="str">
        <f>IF(H753="","",H753/MAX(H$5:H753)-1)</f>
        <v/>
      </c>
      <c r="K753" s="13" t="str">
        <f>IF(OR('实盘净值数据(iFinD）'!$A753="",'实盘净值数据(iFinD）'!$B753="",'实盘净值数据(iFinD）'!$Z753="",'实盘净值数据(iFinD）'!$AA753=""),"",分期持仓明细!$AB$23*(SUMPRODUCT(分期持仓明细!$B$23:$Y$23,'实盘净值数据(iFinD）'!$B753:$Y753/'实盘净值数据(iFinD）'!$B$65:$Y$65)+SUMPRODUCT(分期持仓明细!$AC$23:$AD$23,'实盘净值数据(iFinD）'!$Z753:$AA753/'实盘净值数据(iFinD）'!$Z$65:$AA$65))*(1-实盘持仓初始配置!$Z$7)^(('实盘净值数据(iFinD）'!$A753-'实盘净值数据(iFinD）'!$A$8)/365))</f>
        <v/>
      </c>
      <c r="L753" s="16" t="str">
        <f t="shared" si="69"/>
        <v/>
      </c>
      <c r="M753" s="16" t="str">
        <f>IF(K753="","",K753/MAX(K$5:K753)-1)</f>
        <v/>
      </c>
      <c r="N753" s="13" t="str">
        <f>IF(OR('实盘净值数据(iFinD）'!$A753="",'实盘净值数据(iFinD）'!$B753="",'实盘净值数据(iFinD）'!$Z753="",'实盘净值数据(iFinD）'!$AA753=""),"",分期持仓明细!$AB$24*(SUMPRODUCT(分期持仓明细!$B$24:$Y$24,'实盘净值数据(iFinD）'!$B753:$Y753/'实盘净值数据(iFinD）'!$B$65:$Y$65)+SUMPRODUCT(分期持仓明细!$AC$24:$AD$24,'实盘净值数据(iFinD）'!$Z753:$AA753/'实盘净值数据(iFinD）'!$Z$65:$AA$65))*(1-实盘持仓初始配置!$Z$8)^(('实盘净值数据(iFinD）'!$A753-'实盘净值数据(iFinD）'!$A$5)/365))</f>
        <v/>
      </c>
      <c r="O753" s="16" t="str">
        <f t="shared" si="70"/>
        <v/>
      </c>
      <c r="P753" s="16" t="str">
        <f>IF(N753="","",N753/MAX(N$5:N753)-1)</f>
        <v/>
      </c>
      <c r="Q753" s="13" t="str">
        <f>IF(OR('实盘净值数据(iFinD）'!$A753="",'实盘净值数据(iFinD）'!$B753="",'实盘净值数据(iFinD）'!$Z753="",'实盘净值数据(iFinD）'!$AA753=""),"",分期持仓明细!$AB$25*(SUMPRODUCT(分期持仓明细!$B$25:$Y$25,'实盘净值数据(iFinD）'!$B753:$Y753/'实盘净值数据(iFinD）'!$B$65:$Y$65)+SUMPRODUCT(分期持仓明细!$AC$25:$AD$25,'实盘净值数据(iFinD）'!$Z753:$AA753/'实盘净值数据(iFinD）'!$Z$65:$AA$65))*(1-实盘持仓初始配置!$Z$9)^(('实盘净值数据(iFinD）'!$A753-'实盘净值数据(iFinD）'!$A$8)/365))</f>
        <v/>
      </c>
      <c r="R753" s="16" t="str">
        <f t="shared" si="71"/>
        <v/>
      </c>
      <c r="S753" s="16" t="str">
        <f>IF(Q753="","",Q753/MAX(Q$5:Q753)-1)</f>
        <v/>
      </c>
    </row>
    <row r="754" spans="1:19">
      <c r="A754" s="15" t="str">
        <f>IF('实盘净值数据(iFinD）'!A754="","",'实盘净值数据(iFinD）'!A754)</f>
        <v/>
      </c>
      <c r="B754" s="13" t="str">
        <f>IF(OR('实盘净值数据(iFinD）'!$A754="",'实盘净值数据(iFinD）'!$B754=""),"",分期持仓明细!$AB$17*SUMPRODUCT(分期持仓明细!$B$17:$Y$17,'实盘净值数据(iFinD）'!$B754:$Y754/'实盘净值数据(iFinD）'!$B$20:$Y$20)*(1-实盘持仓初始配置!$Z$4)^(('实盘净值数据(iFinD）'!$A754-'实盘净值数据(iFinD）'!$A$6)/365))</f>
        <v/>
      </c>
      <c r="C754" s="16" t="str">
        <f t="shared" si="66"/>
        <v/>
      </c>
      <c r="D754" s="16" t="str">
        <f>IF(B754="","",B754/MAX(B$5:B754)-1)</f>
        <v/>
      </c>
      <c r="E754" s="13" t="str">
        <f>IF(OR('实盘净值数据(iFinD）'!$A754="",'实盘净值数据(iFinD）'!$B754=""),"",分期持仓明细!$AB$18*SUMPRODUCT(分期持仓明细!$B$18:$Y$18,'实盘净值数据(iFinD）'!$B754:$Y754/'实盘净值数据(iFinD）'!$B$20:$Y$20)*(1-实盘持仓初始配置!$Z$5)^(('实盘净值数据(iFinD）'!$A754-'实盘净值数据(iFinD）'!$A$5)/365))</f>
        <v/>
      </c>
      <c r="F754" s="16" t="str">
        <f t="shared" si="67"/>
        <v/>
      </c>
      <c r="G754" s="16" t="str">
        <f>IF(E754="","",E754/MAX(E$5:E754)-1)</f>
        <v/>
      </c>
      <c r="H754" s="13" t="str">
        <f>IF(OR('实盘净值数据(iFinD）'!$A754="",'实盘净值数据(iFinD）'!$B754=""),"",分期持仓明细!$AB$19*SUMPRODUCT(分期持仓明细!$B$19:$Y$19,'实盘净值数据(iFinD）'!$B754:$Y754/'实盘净值数据(iFinD）'!$B$20:$Y$20)*(1-实盘持仓初始配置!$Z$6)^(('实盘净值数据(iFinD）'!$A754-'实盘净值数据(iFinD）'!$A$7)/365))</f>
        <v/>
      </c>
      <c r="I754" s="16" t="str">
        <f t="shared" si="68"/>
        <v/>
      </c>
      <c r="J754" s="16" t="str">
        <f>IF(H754="","",H754/MAX(H$5:H754)-1)</f>
        <v/>
      </c>
      <c r="K754" s="13" t="str">
        <f>IF(OR('实盘净值数据(iFinD）'!$A754="",'实盘净值数据(iFinD）'!$B754="",'实盘净值数据(iFinD）'!$Z754="",'实盘净值数据(iFinD）'!$AA754=""),"",分期持仓明细!$AB$23*(SUMPRODUCT(分期持仓明细!$B$23:$Y$23,'实盘净值数据(iFinD）'!$B754:$Y754/'实盘净值数据(iFinD）'!$B$65:$Y$65)+SUMPRODUCT(分期持仓明细!$AC$23:$AD$23,'实盘净值数据(iFinD）'!$Z754:$AA754/'实盘净值数据(iFinD）'!$Z$65:$AA$65))*(1-实盘持仓初始配置!$Z$7)^(('实盘净值数据(iFinD）'!$A754-'实盘净值数据(iFinD）'!$A$8)/365))</f>
        <v/>
      </c>
      <c r="L754" s="16" t="str">
        <f t="shared" si="69"/>
        <v/>
      </c>
      <c r="M754" s="16" t="str">
        <f>IF(K754="","",K754/MAX(K$5:K754)-1)</f>
        <v/>
      </c>
      <c r="N754" s="13" t="str">
        <f>IF(OR('实盘净值数据(iFinD）'!$A754="",'实盘净值数据(iFinD）'!$B754="",'实盘净值数据(iFinD）'!$Z754="",'实盘净值数据(iFinD）'!$AA754=""),"",分期持仓明细!$AB$24*(SUMPRODUCT(分期持仓明细!$B$24:$Y$24,'实盘净值数据(iFinD）'!$B754:$Y754/'实盘净值数据(iFinD）'!$B$65:$Y$65)+SUMPRODUCT(分期持仓明细!$AC$24:$AD$24,'实盘净值数据(iFinD）'!$Z754:$AA754/'实盘净值数据(iFinD）'!$Z$65:$AA$65))*(1-实盘持仓初始配置!$Z$8)^(('实盘净值数据(iFinD）'!$A754-'实盘净值数据(iFinD）'!$A$5)/365))</f>
        <v/>
      </c>
      <c r="O754" s="16" t="str">
        <f t="shared" si="70"/>
        <v/>
      </c>
      <c r="P754" s="16" t="str">
        <f>IF(N754="","",N754/MAX(N$5:N754)-1)</f>
        <v/>
      </c>
      <c r="Q754" s="13" t="str">
        <f>IF(OR('实盘净值数据(iFinD）'!$A754="",'实盘净值数据(iFinD）'!$B754="",'实盘净值数据(iFinD）'!$Z754="",'实盘净值数据(iFinD）'!$AA754=""),"",分期持仓明细!$AB$25*(SUMPRODUCT(分期持仓明细!$B$25:$Y$25,'实盘净值数据(iFinD）'!$B754:$Y754/'实盘净值数据(iFinD）'!$B$65:$Y$65)+SUMPRODUCT(分期持仓明细!$AC$25:$AD$25,'实盘净值数据(iFinD）'!$Z754:$AA754/'实盘净值数据(iFinD）'!$Z$65:$AA$65))*(1-实盘持仓初始配置!$Z$9)^(('实盘净值数据(iFinD）'!$A754-'实盘净值数据(iFinD）'!$A$8)/365))</f>
        <v/>
      </c>
      <c r="R754" s="16" t="str">
        <f t="shared" si="71"/>
        <v/>
      </c>
      <c r="S754" s="16" t="str">
        <f>IF(Q754="","",Q754/MAX(Q$5:Q754)-1)</f>
        <v/>
      </c>
    </row>
    <row r="755" spans="1:19">
      <c r="A755" s="15" t="str">
        <f>IF('实盘净值数据(iFinD）'!A755="","",'实盘净值数据(iFinD）'!A755)</f>
        <v/>
      </c>
      <c r="B755" s="13" t="str">
        <f>IF(OR('实盘净值数据(iFinD）'!$A755="",'实盘净值数据(iFinD）'!$B755=""),"",分期持仓明细!$AB$17*SUMPRODUCT(分期持仓明细!$B$17:$Y$17,'实盘净值数据(iFinD）'!$B755:$Y755/'实盘净值数据(iFinD）'!$B$20:$Y$20)*(1-实盘持仓初始配置!$Z$4)^(('实盘净值数据(iFinD）'!$A755-'实盘净值数据(iFinD）'!$A$6)/365))</f>
        <v/>
      </c>
      <c r="C755" s="16" t="str">
        <f t="shared" si="66"/>
        <v/>
      </c>
      <c r="D755" s="16" t="str">
        <f>IF(B755="","",B755/MAX(B$5:B755)-1)</f>
        <v/>
      </c>
      <c r="E755" s="13" t="str">
        <f>IF(OR('实盘净值数据(iFinD）'!$A755="",'实盘净值数据(iFinD）'!$B755=""),"",分期持仓明细!$AB$18*SUMPRODUCT(分期持仓明细!$B$18:$Y$18,'实盘净值数据(iFinD）'!$B755:$Y755/'实盘净值数据(iFinD）'!$B$20:$Y$20)*(1-实盘持仓初始配置!$Z$5)^(('实盘净值数据(iFinD）'!$A755-'实盘净值数据(iFinD）'!$A$5)/365))</f>
        <v/>
      </c>
      <c r="F755" s="16" t="str">
        <f t="shared" si="67"/>
        <v/>
      </c>
      <c r="G755" s="16" t="str">
        <f>IF(E755="","",E755/MAX(E$5:E755)-1)</f>
        <v/>
      </c>
      <c r="H755" s="13" t="str">
        <f>IF(OR('实盘净值数据(iFinD）'!$A755="",'实盘净值数据(iFinD）'!$B755=""),"",分期持仓明细!$AB$19*SUMPRODUCT(分期持仓明细!$B$19:$Y$19,'实盘净值数据(iFinD）'!$B755:$Y755/'实盘净值数据(iFinD）'!$B$20:$Y$20)*(1-实盘持仓初始配置!$Z$6)^(('实盘净值数据(iFinD）'!$A755-'实盘净值数据(iFinD）'!$A$7)/365))</f>
        <v/>
      </c>
      <c r="I755" s="16" t="str">
        <f t="shared" si="68"/>
        <v/>
      </c>
      <c r="J755" s="16" t="str">
        <f>IF(H755="","",H755/MAX(H$5:H755)-1)</f>
        <v/>
      </c>
      <c r="K755" s="13" t="str">
        <f>IF(OR('实盘净值数据(iFinD）'!$A755="",'实盘净值数据(iFinD）'!$B755="",'实盘净值数据(iFinD）'!$Z755="",'实盘净值数据(iFinD）'!$AA755=""),"",分期持仓明细!$AB$23*(SUMPRODUCT(分期持仓明细!$B$23:$Y$23,'实盘净值数据(iFinD）'!$B755:$Y755/'实盘净值数据(iFinD）'!$B$65:$Y$65)+SUMPRODUCT(分期持仓明细!$AC$23:$AD$23,'实盘净值数据(iFinD）'!$Z755:$AA755/'实盘净值数据(iFinD）'!$Z$65:$AA$65))*(1-实盘持仓初始配置!$Z$7)^(('实盘净值数据(iFinD）'!$A755-'实盘净值数据(iFinD）'!$A$8)/365))</f>
        <v/>
      </c>
      <c r="L755" s="16" t="str">
        <f t="shared" si="69"/>
        <v/>
      </c>
      <c r="M755" s="16" t="str">
        <f>IF(K755="","",K755/MAX(K$5:K755)-1)</f>
        <v/>
      </c>
      <c r="N755" s="13" t="str">
        <f>IF(OR('实盘净值数据(iFinD）'!$A755="",'实盘净值数据(iFinD）'!$B755="",'实盘净值数据(iFinD）'!$Z755="",'实盘净值数据(iFinD）'!$AA755=""),"",分期持仓明细!$AB$24*(SUMPRODUCT(分期持仓明细!$B$24:$Y$24,'实盘净值数据(iFinD）'!$B755:$Y755/'实盘净值数据(iFinD）'!$B$65:$Y$65)+SUMPRODUCT(分期持仓明细!$AC$24:$AD$24,'实盘净值数据(iFinD）'!$Z755:$AA755/'实盘净值数据(iFinD）'!$Z$65:$AA$65))*(1-实盘持仓初始配置!$Z$8)^(('实盘净值数据(iFinD）'!$A755-'实盘净值数据(iFinD）'!$A$5)/365))</f>
        <v/>
      </c>
      <c r="O755" s="16" t="str">
        <f t="shared" si="70"/>
        <v/>
      </c>
      <c r="P755" s="16" t="str">
        <f>IF(N755="","",N755/MAX(N$5:N755)-1)</f>
        <v/>
      </c>
      <c r="Q755" s="13" t="str">
        <f>IF(OR('实盘净值数据(iFinD）'!$A755="",'实盘净值数据(iFinD）'!$B755="",'实盘净值数据(iFinD）'!$Z755="",'实盘净值数据(iFinD）'!$AA755=""),"",分期持仓明细!$AB$25*(SUMPRODUCT(分期持仓明细!$B$25:$Y$25,'实盘净值数据(iFinD）'!$B755:$Y755/'实盘净值数据(iFinD）'!$B$65:$Y$65)+SUMPRODUCT(分期持仓明细!$AC$25:$AD$25,'实盘净值数据(iFinD）'!$Z755:$AA755/'实盘净值数据(iFinD）'!$Z$65:$AA$65))*(1-实盘持仓初始配置!$Z$9)^(('实盘净值数据(iFinD）'!$A755-'实盘净值数据(iFinD）'!$A$8)/365))</f>
        <v/>
      </c>
      <c r="R755" s="16" t="str">
        <f t="shared" si="71"/>
        <v/>
      </c>
      <c r="S755" s="16" t="str">
        <f>IF(Q755="","",Q755/MAX(Q$5:Q755)-1)</f>
        <v/>
      </c>
    </row>
    <row r="756" spans="1:19">
      <c r="A756" s="15" t="str">
        <f>IF('实盘净值数据(iFinD）'!A756="","",'实盘净值数据(iFinD）'!A756)</f>
        <v/>
      </c>
      <c r="B756" s="13" t="str">
        <f>IF(OR('实盘净值数据(iFinD）'!$A756="",'实盘净值数据(iFinD）'!$B756=""),"",分期持仓明细!$AB$17*SUMPRODUCT(分期持仓明细!$B$17:$Y$17,'实盘净值数据(iFinD）'!$B756:$Y756/'实盘净值数据(iFinD）'!$B$20:$Y$20)*(1-实盘持仓初始配置!$Z$4)^(('实盘净值数据(iFinD）'!$A756-'实盘净值数据(iFinD）'!$A$6)/365))</f>
        <v/>
      </c>
      <c r="C756" s="16" t="str">
        <f t="shared" si="66"/>
        <v/>
      </c>
      <c r="D756" s="16" t="str">
        <f>IF(B756="","",B756/MAX(B$5:B756)-1)</f>
        <v/>
      </c>
      <c r="E756" s="13" t="str">
        <f>IF(OR('实盘净值数据(iFinD）'!$A756="",'实盘净值数据(iFinD）'!$B756=""),"",分期持仓明细!$AB$18*SUMPRODUCT(分期持仓明细!$B$18:$Y$18,'实盘净值数据(iFinD）'!$B756:$Y756/'实盘净值数据(iFinD）'!$B$20:$Y$20)*(1-实盘持仓初始配置!$Z$5)^(('实盘净值数据(iFinD）'!$A756-'实盘净值数据(iFinD）'!$A$5)/365))</f>
        <v/>
      </c>
      <c r="F756" s="16" t="str">
        <f t="shared" si="67"/>
        <v/>
      </c>
      <c r="G756" s="16" t="str">
        <f>IF(E756="","",E756/MAX(E$5:E756)-1)</f>
        <v/>
      </c>
      <c r="H756" s="13" t="str">
        <f>IF(OR('实盘净值数据(iFinD）'!$A756="",'实盘净值数据(iFinD）'!$B756=""),"",分期持仓明细!$AB$19*SUMPRODUCT(分期持仓明细!$B$19:$Y$19,'实盘净值数据(iFinD）'!$B756:$Y756/'实盘净值数据(iFinD）'!$B$20:$Y$20)*(1-实盘持仓初始配置!$Z$6)^(('实盘净值数据(iFinD）'!$A756-'实盘净值数据(iFinD）'!$A$7)/365))</f>
        <v/>
      </c>
      <c r="I756" s="16" t="str">
        <f t="shared" si="68"/>
        <v/>
      </c>
      <c r="J756" s="16" t="str">
        <f>IF(H756="","",H756/MAX(H$5:H756)-1)</f>
        <v/>
      </c>
      <c r="K756" s="13" t="str">
        <f>IF(OR('实盘净值数据(iFinD）'!$A756="",'实盘净值数据(iFinD）'!$B756="",'实盘净值数据(iFinD）'!$Z756="",'实盘净值数据(iFinD）'!$AA756=""),"",分期持仓明细!$AB$23*(SUMPRODUCT(分期持仓明细!$B$23:$Y$23,'实盘净值数据(iFinD）'!$B756:$Y756/'实盘净值数据(iFinD）'!$B$65:$Y$65)+SUMPRODUCT(分期持仓明细!$AC$23:$AD$23,'实盘净值数据(iFinD）'!$Z756:$AA756/'实盘净值数据(iFinD）'!$Z$65:$AA$65))*(1-实盘持仓初始配置!$Z$7)^(('实盘净值数据(iFinD）'!$A756-'实盘净值数据(iFinD）'!$A$8)/365))</f>
        <v/>
      </c>
      <c r="L756" s="16" t="str">
        <f t="shared" si="69"/>
        <v/>
      </c>
      <c r="M756" s="16" t="str">
        <f>IF(K756="","",K756/MAX(K$5:K756)-1)</f>
        <v/>
      </c>
      <c r="N756" s="13" t="str">
        <f>IF(OR('实盘净值数据(iFinD）'!$A756="",'实盘净值数据(iFinD）'!$B756="",'实盘净值数据(iFinD）'!$Z756="",'实盘净值数据(iFinD）'!$AA756=""),"",分期持仓明细!$AB$24*(SUMPRODUCT(分期持仓明细!$B$24:$Y$24,'实盘净值数据(iFinD）'!$B756:$Y756/'实盘净值数据(iFinD）'!$B$65:$Y$65)+SUMPRODUCT(分期持仓明细!$AC$24:$AD$24,'实盘净值数据(iFinD）'!$Z756:$AA756/'实盘净值数据(iFinD）'!$Z$65:$AA$65))*(1-实盘持仓初始配置!$Z$8)^(('实盘净值数据(iFinD）'!$A756-'实盘净值数据(iFinD）'!$A$5)/365))</f>
        <v/>
      </c>
      <c r="O756" s="16" t="str">
        <f t="shared" si="70"/>
        <v/>
      </c>
      <c r="P756" s="16" t="str">
        <f>IF(N756="","",N756/MAX(N$5:N756)-1)</f>
        <v/>
      </c>
      <c r="Q756" s="13" t="str">
        <f>IF(OR('实盘净值数据(iFinD）'!$A756="",'实盘净值数据(iFinD）'!$B756="",'实盘净值数据(iFinD）'!$Z756="",'实盘净值数据(iFinD）'!$AA756=""),"",分期持仓明细!$AB$25*(SUMPRODUCT(分期持仓明细!$B$25:$Y$25,'实盘净值数据(iFinD）'!$B756:$Y756/'实盘净值数据(iFinD）'!$B$65:$Y$65)+SUMPRODUCT(分期持仓明细!$AC$25:$AD$25,'实盘净值数据(iFinD）'!$Z756:$AA756/'实盘净值数据(iFinD）'!$Z$65:$AA$65))*(1-实盘持仓初始配置!$Z$9)^(('实盘净值数据(iFinD）'!$A756-'实盘净值数据(iFinD）'!$A$8)/365))</f>
        <v/>
      </c>
      <c r="R756" s="16" t="str">
        <f t="shared" si="71"/>
        <v/>
      </c>
      <c r="S756" s="16" t="str">
        <f>IF(Q756="","",Q756/MAX(Q$5:Q756)-1)</f>
        <v/>
      </c>
    </row>
    <row r="757" spans="1:19">
      <c r="A757" s="15" t="str">
        <f>IF('实盘净值数据(iFinD）'!A757="","",'实盘净值数据(iFinD）'!A757)</f>
        <v/>
      </c>
      <c r="B757" s="13" t="str">
        <f>IF(OR('实盘净值数据(iFinD）'!$A757="",'实盘净值数据(iFinD）'!$B757=""),"",分期持仓明细!$AB$17*SUMPRODUCT(分期持仓明细!$B$17:$Y$17,'实盘净值数据(iFinD）'!$B757:$Y757/'实盘净值数据(iFinD）'!$B$20:$Y$20)*(1-实盘持仓初始配置!$Z$4)^(('实盘净值数据(iFinD）'!$A757-'实盘净值数据(iFinD）'!$A$6)/365))</f>
        <v/>
      </c>
      <c r="C757" s="16" t="str">
        <f t="shared" si="66"/>
        <v/>
      </c>
      <c r="D757" s="16" t="str">
        <f>IF(B757="","",B757/MAX(B$5:B757)-1)</f>
        <v/>
      </c>
      <c r="E757" s="13" t="str">
        <f>IF(OR('实盘净值数据(iFinD）'!$A757="",'实盘净值数据(iFinD）'!$B757=""),"",分期持仓明细!$AB$18*SUMPRODUCT(分期持仓明细!$B$18:$Y$18,'实盘净值数据(iFinD）'!$B757:$Y757/'实盘净值数据(iFinD）'!$B$20:$Y$20)*(1-实盘持仓初始配置!$Z$5)^(('实盘净值数据(iFinD）'!$A757-'实盘净值数据(iFinD）'!$A$5)/365))</f>
        <v/>
      </c>
      <c r="F757" s="16" t="str">
        <f t="shared" si="67"/>
        <v/>
      </c>
      <c r="G757" s="16" t="str">
        <f>IF(E757="","",E757/MAX(E$5:E757)-1)</f>
        <v/>
      </c>
      <c r="H757" s="13" t="str">
        <f>IF(OR('实盘净值数据(iFinD）'!$A757="",'实盘净值数据(iFinD）'!$B757=""),"",分期持仓明细!$AB$19*SUMPRODUCT(分期持仓明细!$B$19:$Y$19,'实盘净值数据(iFinD）'!$B757:$Y757/'实盘净值数据(iFinD）'!$B$20:$Y$20)*(1-实盘持仓初始配置!$Z$6)^(('实盘净值数据(iFinD）'!$A757-'实盘净值数据(iFinD）'!$A$7)/365))</f>
        <v/>
      </c>
      <c r="I757" s="16" t="str">
        <f t="shared" si="68"/>
        <v/>
      </c>
      <c r="J757" s="16" t="str">
        <f>IF(H757="","",H757/MAX(H$5:H757)-1)</f>
        <v/>
      </c>
      <c r="K757" s="13" t="str">
        <f>IF(OR('实盘净值数据(iFinD）'!$A757="",'实盘净值数据(iFinD）'!$B757="",'实盘净值数据(iFinD）'!$Z757="",'实盘净值数据(iFinD）'!$AA757=""),"",分期持仓明细!$AB$23*(SUMPRODUCT(分期持仓明细!$B$23:$Y$23,'实盘净值数据(iFinD）'!$B757:$Y757/'实盘净值数据(iFinD）'!$B$65:$Y$65)+SUMPRODUCT(分期持仓明细!$AC$23:$AD$23,'实盘净值数据(iFinD）'!$Z757:$AA757/'实盘净值数据(iFinD）'!$Z$65:$AA$65))*(1-实盘持仓初始配置!$Z$7)^(('实盘净值数据(iFinD）'!$A757-'实盘净值数据(iFinD）'!$A$8)/365))</f>
        <v/>
      </c>
      <c r="L757" s="16" t="str">
        <f t="shared" si="69"/>
        <v/>
      </c>
      <c r="M757" s="16" t="str">
        <f>IF(K757="","",K757/MAX(K$5:K757)-1)</f>
        <v/>
      </c>
      <c r="N757" s="13" t="str">
        <f>IF(OR('实盘净值数据(iFinD）'!$A757="",'实盘净值数据(iFinD）'!$B757="",'实盘净值数据(iFinD）'!$Z757="",'实盘净值数据(iFinD）'!$AA757=""),"",分期持仓明细!$AB$24*(SUMPRODUCT(分期持仓明细!$B$24:$Y$24,'实盘净值数据(iFinD）'!$B757:$Y757/'实盘净值数据(iFinD）'!$B$65:$Y$65)+SUMPRODUCT(分期持仓明细!$AC$24:$AD$24,'实盘净值数据(iFinD）'!$Z757:$AA757/'实盘净值数据(iFinD）'!$Z$65:$AA$65))*(1-实盘持仓初始配置!$Z$8)^(('实盘净值数据(iFinD）'!$A757-'实盘净值数据(iFinD）'!$A$5)/365))</f>
        <v/>
      </c>
      <c r="O757" s="16" t="str">
        <f t="shared" si="70"/>
        <v/>
      </c>
      <c r="P757" s="16" t="str">
        <f>IF(N757="","",N757/MAX(N$5:N757)-1)</f>
        <v/>
      </c>
      <c r="Q757" s="13" t="str">
        <f>IF(OR('实盘净值数据(iFinD）'!$A757="",'实盘净值数据(iFinD）'!$B757="",'实盘净值数据(iFinD）'!$Z757="",'实盘净值数据(iFinD）'!$AA757=""),"",分期持仓明细!$AB$25*(SUMPRODUCT(分期持仓明细!$B$25:$Y$25,'实盘净值数据(iFinD）'!$B757:$Y757/'实盘净值数据(iFinD）'!$B$65:$Y$65)+SUMPRODUCT(分期持仓明细!$AC$25:$AD$25,'实盘净值数据(iFinD）'!$Z757:$AA757/'实盘净值数据(iFinD）'!$Z$65:$AA$65))*(1-实盘持仓初始配置!$Z$9)^(('实盘净值数据(iFinD）'!$A757-'实盘净值数据(iFinD）'!$A$8)/365))</f>
        <v/>
      </c>
      <c r="R757" s="16" t="str">
        <f t="shared" si="71"/>
        <v/>
      </c>
      <c r="S757" s="16" t="str">
        <f>IF(Q757="","",Q757/MAX(Q$5:Q757)-1)</f>
        <v/>
      </c>
    </row>
    <row r="758" spans="1:19">
      <c r="A758" s="15" t="str">
        <f>IF('实盘净值数据(iFinD）'!A758="","",'实盘净值数据(iFinD）'!A758)</f>
        <v/>
      </c>
      <c r="B758" s="13" t="str">
        <f>IF(OR('实盘净值数据(iFinD）'!$A758="",'实盘净值数据(iFinD）'!$B758=""),"",分期持仓明细!$AB$17*SUMPRODUCT(分期持仓明细!$B$17:$Y$17,'实盘净值数据(iFinD）'!$B758:$Y758/'实盘净值数据(iFinD）'!$B$20:$Y$20)*(1-实盘持仓初始配置!$Z$4)^(('实盘净值数据(iFinD）'!$A758-'实盘净值数据(iFinD）'!$A$6)/365))</f>
        <v/>
      </c>
      <c r="C758" s="16" t="str">
        <f t="shared" si="66"/>
        <v/>
      </c>
      <c r="D758" s="16" t="str">
        <f>IF(B758="","",B758/MAX(B$5:B758)-1)</f>
        <v/>
      </c>
      <c r="E758" s="13" t="str">
        <f>IF(OR('实盘净值数据(iFinD）'!$A758="",'实盘净值数据(iFinD）'!$B758=""),"",分期持仓明细!$AB$18*SUMPRODUCT(分期持仓明细!$B$18:$Y$18,'实盘净值数据(iFinD）'!$B758:$Y758/'实盘净值数据(iFinD）'!$B$20:$Y$20)*(1-实盘持仓初始配置!$Z$5)^(('实盘净值数据(iFinD）'!$A758-'实盘净值数据(iFinD）'!$A$5)/365))</f>
        <v/>
      </c>
      <c r="F758" s="16" t="str">
        <f t="shared" si="67"/>
        <v/>
      </c>
      <c r="G758" s="16" t="str">
        <f>IF(E758="","",E758/MAX(E$5:E758)-1)</f>
        <v/>
      </c>
      <c r="H758" s="13" t="str">
        <f>IF(OR('实盘净值数据(iFinD）'!$A758="",'实盘净值数据(iFinD）'!$B758=""),"",分期持仓明细!$AB$19*SUMPRODUCT(分期持仓明细!$B$19:$Y$19,'实盘净值数据(iFinD）'!$B758:$Y758/'实盘净值数据(iFinD）'!$B$20:$Y$20)*(1-实盘持仓初始配置!$Z$6)^(('实盘净值数据(iFinD）'!$A758-'实盘净值数据(iFinD）'!$A$7)/365))</f>
        <v/>
      </c>
      <c r="I758" s="16" t="str">
        <f t="shared" si="68"/>
        <v/>
      </c>
      <c r="J758" s="16" t="str">
        <f>IF(H758="","",H758/MAX(H$5:H758)-1)</f>
        <v/>
      </c>
      <c r="K758" s="13" t="str">
        <f>IF(OR('实盘净值数据(iFinD）'!$A758="",'实盘净值数据(iFinD）'!$B758="",'实盘净值数据(iFinD）'!$Z758="",'实盘净值数据(iFinD）'!$AA758=""),"",分期持仓明细!$AB$23*(SUMPRODUCT(分期持仓明细!$B$23:$Y$23,'实盘净值数据(iFinD）'!$B758:$Y758/'实盘净值数据(iFinD）'!$B$65:$Y$65)+SUMPRODUCT(分期持仓明细!$AC$23:$AD$23,'实盘净值数据(iFinD）'!$Z758:$AA758/'实盘净值数据(iFinD）'!$Z$65:$AA$65))*(1-实盘持仓初始配置!$Z$7)^(('实盘净值数据(iFinD）'!$A758-'实盘净值数据(iFinD）'!$A$8)/365))</f>
        <v/>
      </c>
      <c r="L758" s="16" t="str">
        <f t="shared" si="69"/>
        <v/>
      </c>
      <c r="M758" s="16" t="str">
        <f>IF(K758="","",K758/MAX(K$5:K758)-1)</f>
        <v/>
      </c>
      <c r="N758" s="13" t="str">
        <f>IF(OR('实盘净值数据(iFinD）'!$A758="",'实盘净值数据(iFinD）'!$B758="",'实盘净值数据(iFinD）'!$Z758="",'实盘净值数据(iFinD）'!$AA758=""),"",分期持仓明细!$AB$24*(SUMPRODUCT(分期持仓明细!$B$24:$Y$24,'实盘净值数据(iFinD）'!$B758:$Y758/'实盘净值数据(iFinD）'!$B$65:$Y$65)+SUMPRODUCT(分期持仓明细!$AC$24:$AD$24,'实盘净值数据(iFinD）'!$Z758:$AA758/'实盘净值数据(iFinD）'!$Z$65:$AA$65))*(1-实盘持仓初始配置!$Z$8)^(('实盘净值数据(iFinD）'!$A758-'实盘净值数据(iFinD）'!$A$5)/365))</f>
        <v/>
      </c>
      <c r="O758" s="16" t="str">
        <f t="shared" si="70"/>
        <v/>
      </c>
      <c r="P758" s="16" t="str">
        <f>IF(N758="","",N758/MAX(N$5:N758)-1)</f>
        <v/>
      </c>
      <c r="Q758" s="13" t="str">
        <f>IF(OR('实盘净值数据(iFinD）'!$A758="",'实盘净值数据(iFinD）'!$B758="",'实盘净值数据(iFinD）'!$Z758="",'实盘净值数据(iFinD）'!$AA758=""),"",分期持仓明细!$AB$25*(SUMPRODUCT(分期持仓明细!$B$25:$Y$25,'实盘净值数据(iFinD）'!$B758:$Y758/'实盘净值数据(iFinD）'!$B$65:$Y$65)+SUMPRODUCT(分期持仓明细!$AC$25:$AD$25,'实盘净值数据(iFinD）'!$Z758:$AA758/'实盘净值数据(iFinD）'!$Z$65:$AA$65))*(1-实盘持仓初始配置!$Z$9)^(('实盘净值数据(iFinD）'!$A758-'实盘净值数据(iFinD）'!$A$8)/365))</f>
        <v/>
      </c>
      <c r="R758" s="16" t="str">
        <f t="shared" si="71"/>
        <v/>
      </c>
      <c r="S758" s="16" t="str">
        <f>IF(Q758="","",Q758/MAX(Q$5:Q758)-1)</f>
        <v/>
      </c>
    </row>
    <row r="759" spans="1:19">
      <c r="A759" s="15" t="str">
        <f>IF('实盘净值数据(iFinD）'!A759="","",'实盘净值数据(iFinD）'!A759)</f>
        <v/>
      </c>
      <c r="B759" s="13" t="str">
        <f>IF(OR('实盘净值数据(iFinD）'!$A759="",'实盘净值数据(iFinD）'!$B759=""),"",分期持仓明细!$AB$17*SUMPRODUCT(分期持仓明细!$B$17:$Y$17,'实盘净值数据(iFinD）'!$B759:$Y759/'实盘净值数据(iFinD）'!$B$20:$Y$20)*(1-实盘持仓初始配置!$Z$4)^(('实盘净值数据(iFinD）'!$A759-'实盘净值数据(iFinD）'!$A$6)/365))</f>
        <v/>
      </c>
      <c r="C759" s="16" t="str">
        <f t="shared" si="66"/>
        <v/>
      </c>
      <c r="D759" s="16" t="str">
        <f>IF(B759="","",B759/MAX(B$5:B759)-1)</f>
        <v/>
      </c>
      <c r="E759" s="13" t="str">
        <f>IF(OR('实盘净值数据(iFinD）'!$A759="",'实盘净值数据(iFinD）'!$B759=""),"",分期持仓明细!$AB$18*SUMPRODUCT(分期持仓明细!$B$18:$Y$18,'实盘净值数据(iFinD）'!$B759:$Y759/'实盘净值数据(iFinD）'!$B$20:$Y$20)*(1-实盘持仓初始配置!$Z$5)^(('实盘净值数据(iFinD）'!$A759-'实盘净值数据(iFinD）'!$A$5)/365))</f>
        <v/>
      </c>
      <c r="F759" s="16" t="str">
        <f t="shared" si="67"/>
        <v/>
      </c>
      <c r="G759" s="16" t="str">
        <f>IF(E759="","",E759/MAX(E$5:E759)-1)</f>
        <v/>
      </c>
      <c r="H759" s="13" t="str">
        <f>IF(OR('实盘净值数据(iFinD）'!$A759="",'实盘净值数据(iFinD）'!$B759=""),"",分期持仓明细!$AB$19*SUMPRODUCT(分期持仓明细!$B$19:$Y$19,'实盘净值数据(iFinD）'!$B759:$Y759/'实盘净值数据(iFinD）'!$B$20:$Y$20)*(1-实盘持仓初始配置!$Z$6)^(('实盘净值数据(iFinD）'!$A759-'实盘净值数据(iFinD）'!$A$7)/365))</f>
        <v/>
      </c>
      <c r="I759" s="16" t="str">
        <f t="shared" si="68"/>
        <v/>
      </c>
      <c r="J759" s="16" t="str">
        <f>IF(H759="","",H759/MAX(H$5:H759)-1)</f>
        <v/>
      </c>
      <c r="K759" s="13" t="str">
        <f>IF(OR('实盘净值数据(iFinD）'!$A759="",'实盘净值数据(iFinD）'!$B759="",'实盘净值数据(iFinD）'!$Z759="",'实盘净值数据(iFinD）'!$AA759=""),"",分期持仓明细!$AB$23*(SUMPRODUCT(分期持仓明细!$B$23:$Y$23,'实盘净值数据(iFinD）'!$B759:$Y759/'实盘净值数据(iFinD）'!$B$65:$Y$65)+SUMPRODUCT(分期持仓明细!$AC$23:$AD$23,'实盘净值数据(iFinD）'!$Z759:$AA759/'实盘净值数据(iFinD）'!$Z$65:$AA$65))*(1-实盘持仓初始配置!$Z$7)^(('实盘净值数据(iFinD）'!$A759-'实盘净值数据(iFinD）'!$A$8)/365))</f>
        <v/>
      </c>
      <c r="L759" s="16" t="str">
        <f t="shared" si="69"/>
        <v/>
      </c>
      <c r="M759" s="16" t="str">
        <f>IF(K759="","",K759/MAX(K$5:K759)-1)</f>
        <v/>
      </c>
      <c r="N759" s="13" t="str">
        <f>IF(OR('实盘净值数据(iFinD）'!$A759="",'实盘净值数据(iFinD）'!$B759="",'实盘净值数据(iFinD）'!$Z759="",'实盘净值数据(iFinD）'!$AA759=""),"",分期持仓明细!$AB$24*(SUMPRODUCT(分期持仓明细!$B$24:$Y$24,'实盘净值数据(iFinD）'!$B759:$Y759/'实盘净值数据(iFinD）'!$B$65:$Y$65)+SUMPRODUCT(分期持仓明细!$AC$24:$AD$24,'实盘净值数据(iFinD）'!$Z759:$AA759/'实盘净值数据(iFinD）'!$Z$65:$AA$65))*(1-实盘持仓初始配置!$Z$8)^(('实盘净值数据(iFinD）'!$A759-'实盘净值数据(iFinD）'!$A$5)/365))</f>
        <v/>
      </c>
      <c r="O759" s="16" t="str">
        <f t="shared" si="70"/>
        <v/>
      </c>
      <c r="P759" s="16" t="str">
        <f>IF(N759="","",N759/MAX(N$5:N759)-1)</f>
        <v/>
      </c>
      <c r="Q759" s="13" t="str">
        <f>IF(OR('实盘净值数据(iFinD）'!$A759="",'实盘净值数据(iFinD）'!$B759="",'实盘净值数据(iFinD）'!$Z759="",'实盘净值数据(iFinD）'!$AA759=""),"",分期持仓明细!$AB$25*(SUMPRODUCT(分期持仓明细!$B$25:$Y$25,'实盘净值数据(iFinD）'!$B759:$Y759/'实盘净值数据(iFinD）'!$B$65:$Y$65)+SUMPRODUCT(分期持仓明细!$AC$25:$AD$25,'实盘净值数据(iFinD）'!$Z759:$AA759/'实盘净值数据(iFinD）'!$Z$65:$AA$65))*(1-实盘持仓初始配置!$Z$9)^(('实盘净值数据(iFinD）'!$A759-'实盘净值数据(iFinD）'!$A$8)/365))</f>
        <v/>
      </c>
      <c r="R759" s="16" t="str">
        <f t="shared" si="71"/>
        <v/>
      </c>
      <c r="S759" s="16" t="str">
        <f>IF(Q759="","",Q759/MAX(Q$5:Q759)-1)</f>
        <v/>
      </c>
    </row>
    <row r="760" spans="1:19">
      <c r="A760" s="15" t="str">
        <f>IF('实盘净值数据(iFinD）'!A760="","",'实盘净值数据(iFinD）'!A760)</f>
        <v/>
      </c>
      <c r="B760" s="13" t="str">
        <f>IF(OR('实盘净值数据(iFinD）'!$A760="",'实盘净值数据(iFinD）'!$B760=""),"",分期持仓明细!$AB$17*SUMPRODUCT(分期持仓明细!$B$17:$Y$17,'实盘净值数据(iFinD）'!$B760:$Y760/'实盘净值数据(iFinD）'!$B$20:$Y$20)*(1-实盘持仓初始配置!$Z$4)^(('实盘净值数据(iFinD）'!$A760-'实盘净值数据(iFinD）'!$A$6)/365))</f>
        <v/>
      </c>
      <c r="C760" s="16" t="str">
        <f t="shared" si="66"/>
        <v/>
      </c>
      <c r="D760" s="16" t="str">
        <f>IF(B760="","",B760/MAX(B$5:B760)-1)</f>
        <v/>
      </c>
      <c r="E760" s="13" t="str">
        <f>IF(OR('实盘净值数据(iFinD）'!$A760="",'实盘净值数据(iFinD）'!$B760=""),"",分期持仓明细!$AB$18*SUMPRODUCT(分期持仓明细!$B$18:$Y$18,'实盘净值数据(iFinD）'!$B760:$Y760/'实盘净值数据(iFinD）'!$B$20:$Y$20)*(1-实盘持仓初始配置!$Z$5)^(('实盘净值数据(iFinD）'!$A760-'实盘净值数据(iFinD）'!$A$5)/365))</f>
        <v/>
      </c>
      <c r="F760" s="16" t="str">
        <f t="shared" si="67"/>
        <v/>
      </c>
      <c r="G760" s="16" t="str">
        <f>IF(E760="","",E760/MAX(E$5:E760)-1)</f>
        <v/>
      </c>
      <c r="H760" s="13" t="str">
        <f>IF(OR('实盘净值数据(iFinD）'!$A760="",'实盘净值数据(iFinD）'!$B760=""),"",分期持仓明细!$AB$19*SUMPRODUCT(分期持仓明细!$B$19:$Y$19,'实盘净值数据(iFinD）'!$B760:$Y760/'实盘净值数据(iFinD）'!$B$20:$Y$20)*(1-实盘持仓初始配置!$Z$6)^(('实盘净值数据(iFinD）'!$A760-'实盘净值数据(iFinD）'!$A$7)/365))</f>
        <v/>
      </c>
      <c r="I760" s="16" t="str">
        <f t="shared" si="68"/>
        <v/>
      </c>
      <c r="J760" s="16" t="str">
        <f>IF(H760="","",H760/MAX(H$5:H760)-1)</f>
        <v/>
      </c>
      <c r="K760" s="13" t="str">
        <f>IF(OR('实盘净值数据(iFinD）'!$A760="",'实盘净值数据(iFinD）'!$B760="",'实盘净值数据(iFinD）'!$Z760="",'实盘净值数据(iFinD）'!$AA760=""),"",分期持仓明细!$AB$23*(SUMPRODUCT(分期持仓明细!$B$23:$Y$23,'实盘净值数据(iFinD）'!$B760:$Y760/'实盘净值数据(iFinD）'!$B$65:$Y$65)+SUMPRODUCT(分期持仓明细!$AC$23:$AD$23,'实盘净值数据(iFinD）'!$Z760:$AA760/'实盘净值数据(iFinD）'!$Z$65:$AA$65))*(1-实盘持仓初始配置!$Z$7)^(('实盘净值数据(iFinD）'!$A760-'实盘净值数据(iFinD）'!$A$8)/365))</f>
        <v/>
      </c>
      <c r="L760" s="16" t="str">
        <f t="shared" si="69"/>
        <v/>
      </c>
      <c r="M760" s="16" t="str">
        <f>IF(K760="","",K760/MAX(K$5:K760)-1)</f>
        <v/>
      </c>
      <c r="N760" s="13" t="str">
        <f>IF(OR('实盘净值数据(iFinD）'!$A760="",'实盘净值数据(iFinD）'!$B760="",'实盘净值数据(iFinD）'!$Z760="",'实盘净值数据(iFinD）'!$AA760=""),"",分期持仓明细!$AB$24*(SUMPRODUCT(分期持仓明细!$B$24:$Y$24,'实盘净值数据(iFinD）'!$B760:$Y760/'实盘净值数据(iFinD）'!$B$65:$Y$65)+SUMPRODUCT(分期持仓明细!$AC$24:$AD$24,'实盘净值数据(iFinD）'!$Z760:$AA760/'实盘净值数据(iFinD）'!$Z$65:$AA$65))*(1-实盘持仓初始配置!$Z$8)^(('实盘净值数据(iFinD）'!$A760-'实盘净值数据(iFinD）'!$A$5)/365))</f>
        <v/>
      </c>
      <c r="O760" s="16" t="str">
        <f t="shared" si="70"/>
        <v/>
      </c>
      <c r="P760" s="16" t="str">
        <f>IF(N760="","",N760/MAX(N$5:N760)-1)</f>
        <v/>
      </c>
      <c r="Q760" s="13" t="str">
        <f>IF(OR('实盘净值数据(iFinD）'!$A760="",'实盘净值数据(iFinD）'!$B760="",'实盘净值数据(iFinD）'!$Z760="",'实盘净值数据(iFinD）'!$AA760=""),"",分期持仓明细!$AB$25*(SUMPRODUCT(分期持仓明细!$B$25:$Y$25,'实盘净值数据(iFinD）'!$B760:$Y760/'实盘净值数据(iFinD）'!$B$65:$Y$65)+SUMPRODUCT(分期持仓明细!$AC$25:$AD$25,'实盘净值数据(iFinD）'!$Z760:$AA760/'实盘净值数据(iFinD）'!$Z$65:$AA$65))*(1-实盘持仓初始配置!$Z$9)^(('实盘净值数据(iFinD）'!$A760-'实盘净值数据(iFinD）'!$A$8)/365))</f>
        <v/>
      </c>
      <c r="R760" s="16" t="str">
        <f t="shared" si="71"/>
        <v/>
      </c>
      <c r="S760" s="16" t="str">
        <f>IF(Q760="","",Q760/MAX(Q$5:Q760)-1)</f>
        <v/>
      </c>
    </row>
    <row r="761" spans="1:19">
      <c r="A761" s="15" t="str">
        <f>IF('实盘净值数据(iFinD）'!A761="","",'实盘净值数据(iFinD）'!A761)</f>
        <v/>
      </c>
      <c r="B761" s="13" t="str">
        <f>IF(OR('实盘净值数据(iFinD）'!$A761="",'实盘净值数据(iFinD）'!$B761=""),"",分期持仓明细!$AB$17*SUMPRODUCT(分期持仓明细!$B$17:$Y$17,'实盘净值数据(iFinD）'!$B761:$Y761/'实盘净值数据(iFinD）'!$B$20:$Y$20)*(1-实盘持仓初始配置!$Z$4)^(('实盘净值数据(iFinD）'!$A761-'实盘净值数据(iFinD）'!$A$6)/365))</f>
        <v/>
      </c>
      <c r="C761" s="16" t="str">
        <f t="shared" si="66"/>
        <v/>
      </c>
      <c r="D761" s="16" t="str">
        <f>IF(B761="","",B761/MAX(B$5:B761)-1)</f>
        <v/>
      </c>
      <c r="E761" s="13" t="str">
        <f>IF(OR('实盘净值数据(iFinD）'!$A761="",'实盘净值数据(iFinD）'!$B761=""),"",分期持仓明细!$AB$18*SUMPRODUCT(分期持仓明细!$B$18:$Y$18,'实盘净值数据(iFinD）'!$B761:$Y761/'实盘净值数据(iFinD）'!$B$20:$Y$20)*(1-实盘持仓初始配置!$Z$5)^(('实盘净值数据(iFinD）'!$A761-'实盘净值数据(iFinD）'!$A$5)/365))</f>
        <v/>
      </c>
      <c r="F761" s="16" t="str">
        <f t="shared" si="67"/>
        <v/>
      </c>
      <c r="G761" s="16" t="str">
        <f>IF(E761="","",E761/MAX(E$5:E761)-1)</f>
        <v/>
      </c>
      <c r="H761" s="13" t="str">
        <f>IF(OR('实盘净值数据(iFinD）'!$A761="",'实盘净值数据(iFinD）'!$B761=""),"",分期持仓明细!$AB$19*SUMPRODUCT(分期持仓明细!$B$19:$Y$19,'实盘净值数据(iFinD）'!$B761:$Y761/'实盘净值数据(iFinD）'!$B$20:$Y$20)*(1-实盘持仓初始配置!$Z$6)^(('实盘净值数据(iFinD）'!$A761-'实盘净值数据(iFinD）'!$A$7)/365))</f>
        <v/>
      </c>
      <c r="I761" s="16" t="str">
        <f t="shared" si="68"/>
        <v/>
      </c>
      <c r="J761" s="16" t="str">
        <f>IF(H761="","",H761/MAX(H$5:H761)-1)</f>
        <v/>
      </c>
      <c r="K761" s="13" t="str">
        <f>IF(OR('实盘净值数据(iFinD）'!$A761="",'实盘净值数据(iFinD）'!$B761="",'实盘净值数据(iFinD）'!$Z761="",'实盘净值数据(iFinD）'!$AA761=""),"",分期持仓明细!$AB$23*(SUMPRODUCT(分期持仓明细!$B$23:$Y$23,'实盘净值数据(iFinD）'!$B761:$Y761/'实盘净值数据(iFinD）'!$B$65:$Y$65)+SUMPRODUCT(分期持仓明细!$AC$23:$AD$23,'实盘净值数据(iFinD）'!$Z761:$AA761/'实盘净值数据(iFinD）'!$Z$65:$AA$65))*(1-实盘持仓初始配置!$Z$7)^(('实盘净值数据(iFinD）'!$A761-'实盘净值数据(iFinD）'!$A$8)/365))</f>
        <v/>
      </c>
      <c r="L761" s="16" t="str">
        <f t="shared" si="69"/>
        <v/>
      </c>
      <c r="M761" s="16" t="str">
        <f>IF(K761="","",K761/MAX(K$5:K761)-1)</f>
        <v/>
      </c>
      <c r="N761" s="13" t="str">
        <f>IF(OR('实盘净值数据(iFinD）'!$A761="",'实盘净值数据(iFinD）'!$B761="",'实盘净值数据(iFinD）'!$Z761="",'实盘净值数据(iFinD）'!$AA761=""),"",分期持仓明细!$AB$24*(SUMPRODUCT(分期持仓明细!$B$24:$Y$24,'实盘净值数据(iFinD）'!$B761:$Y761/'实盘净值数据(iFinD）'!$B$65:$Y$65)+SUMPRODUCT(分期持仓明细!$AC$24:$AD$24,'实盘净值数据(iFinD）'!$Z761:$AA761/'实盘净值数据(iFinD）'!$Z$65:$AA$65))*(1-实盘持仓初始配置!$Z$8)^(('实盘净值数据(iFinD）'!$A761-'实盘净值数据(iFinD）'!$A$5)/365))</f>
        <v/>
      </c>
      <c r="O761" s="16" t="str">
        <f t="shared" si="70"/>
        <v/>
      </c>
      <c r="P761" s="16" t="str">
        <f>IF(N761="","",N761/MAX(N$5:N761)-1)</f>
        <v/>
      </c>
      <c r="Q761" s="13" t="str">
        <f>IF(OR('实盘净值数据(iFinD）'!$A761="",'实盘净值数据(iFinD）'!$B761="",'实盘净值数据(iFinD）'!$Z761="",'实盘净值数据(iFinD）'!$AA761=""),"",分期持仓明细!$AB$25*(SUMPRODUCT(分期持仓明细!$B$25:$Y$25,'实盘净值数据(iFinD）'!$B761:$Y761/'实盘净值数据(iFinD）'!$B$65:$Y$65)+SUMPRODUCT(分期持仓明细!$AC$25:$AD$25,'实盘净值数据(iFinD）'!$Z761:$AA761/'实盘净值数据(iFinD）'!$Z$65:$AA$65))*(1-实盘持仓初始配置!$Z$9)^(('实盘净值数据(iFinD）'!$A761-'实盘净值数据(iFinD）'!$A$8)/365))</f>
        <v/>
      </c>
      <c r="R761" s="16" t="str">
        <f t="shared" si="71"/>
        <v/>
      </c>
      <c r="S761" s="16" t="str">
        <f>IF(Q761="","",Q761/MAX(Q$5:Q761)-1)</f>
        <v/>
      </c>
    </row>
    <row r="762" spans="1:19">
      <c r="A762" s="15" t="str">
        <f>IF('实盘净值数据(iFinD）'!A762="","",'实盘净值数据(iFinD）'!A762)</f>
        <v/>
      </c>
      <c r="B762" s="13" t="str">
        <f>IF(OR('实盘净值数据(iFinD）'!$A762="",'实盘净值数据(iFinD）'!$B762=""),"",分期持仓明细!$AB$17*SUMPRODUCT(分期持仓明细!$B$17:$Y$17,'实盘净值数据(iFinD）'!$B762:$Y762/'实盘净值数据(iFinD）'!$B$20:$Y$20)*(1-实盘持仓初始配置!$Z$4)^(('实盘净值数据(iFinD）'!$A762-'实盘净值数据(iFinD）'!$A$6)/365))</f>
        <v/>
      </c>
      <c r="C762" s="16" t="str">
        <f t="shared" si="66"/>
        <v/>
      </c>
      <c r="D762" s="16" t="str">
        <f>IF(B762="","",B762/MAX(B$5:B762)-1)</f>
        <v/>
      </c>
      <c r="E762" s="13" t="str">
        <f>IF(OR('实盘净值数据(iFinD）'!$A762="",'实盘净值数据(iFinD）'!$B762=""),"",分期持仓明细!$AB$18*SUMPRODUCT(分期持仓明细!$B$18:$Y$18,'实盘净值数据(iFinD）'!$B762:$Y762/'实盘净值数据(iFinD）'!$B$20:$Y$20)*(1-实盘持仓初始配置!$Z$5)^(('实盘净值数据(iFinD）'!$A762-'实盘净值数据(iFinD）'!$A$5)/365))</f>
        <v/>
      </c>
      <c r="F762" s="16" t="str">
        <f t="shared" si="67"/>
        <v/>
      </c>
      <c r="G762" s="16" t="str">
        <f>IF(E762="","",E762/MAX(E$5:E762)-1)</f>
        <v/>
      </c>
      <c r="H762" s="13" t="str">
        <f>IF(OR('实盘净值数据(iFinD）'!$A762="",'实盘净值数据(iFinD）'!$B762=""),"",分期持仓明细!$AB$19*SUMPRODUCT(分期持仓明细!$B$19:$Y$19,'实盘净值数据(iFinD）'!$B762:$Y762/'实盘净值数据(iFinD）'!$B$20:$Y$20)*(1-实盘持仓初始配置!$Z$6)^(('实盘净值数据(iFinD）'!$A762-'实盘净值数据(iFinD）'!$A$7)/365))</f>
        <v/>
      </c>
      <c r="I762" s="16" t="str">
        <f t="shared" si="68"/>
        <v/>
      </c>
      <c r="J762" s="16" t="str">
        <f>IF(H762="","",H762/MAX(H$5:H762)-1)</f>
        <v/>
      </c>
      <c r="K762" s="13" t="str">
        <f>IF(OR('实盘净值数据(iFinD）'!$A762="",'实盘净值数据(iFinD）'!$B762="",'实盘净值数据(iFinD）'!$Z762="",'实盘净值数据(iFinD）'!$AA762=""),"",分期持仓明细!$AB$23*(SUMPRODUCT(分期持仓明细!$B$23:$Y$23,'实盘净值数据(iFinD）'!$B762:$Y762/'实盘净值数据(iFinD）'!$B$65:$Y$65)+SUMPRODUCT(分期持仓明细!$AC$23:$AD$23,'实盘净值数据(iFinD）'!$Z762:$AA762/'实盘净值数据(iFinD）'!$Z$65:$AA$65))*(1-实盘持仓初始配置!$Z$7)^(('实盘净值数据(iFinD）'!$A762-'实盘净值数据(iFinD）'!$A$8)/365))</f>
        <v/>
      </c>
      <c r="L762" s="16" t="str">
        <f t="shared" si="69"/>
        <v/>
      </c>
      <c r="M762" s="16" t="str">
        <f>IF(K762="","",K762/MAX(K$5:K762)-1)</f>
        <v/>
      </c>
      <c r="N762" s="13" t="str">
        <f>IF(OR('实盘净值数据(iFinD）'!$A762="",'实盘净值数据(iFinD）'!$B762="",'实盘净值数据(iFinD）'!$Z762="",'实盘净值数据(iFinD）'!$AA762=""),"",分期持仓明细!$AB$24*(SUMPRODUCT(分期持仓明细!$B$24:$Y$24,'实盘净值数据(iFinD）'!$B762:$Y762/'实盘净值数据(iFinD）'!$B$65:$Y$65)+SUMPRODUCT(分期持仓明细!$AC$24:$AD$24,'实盘净值数据(iFinD）'!$Z762:$AA762/'实盘净值数据(iFinD）'!$Z$65:$AA$65))*(1-实盘持仓初始配置!$Z$8)^(('实盘净值数据(iFinD）'!$A762-'实盘净值数据(iFinD）'!$A$5)/365))</f>
        <v/>
      </c>
      <c r="O762" s="16" t="str">
        <f t="shared" si="70"/>
        <v/>
      </c>
      <c r="P762" s="16" t="str">
        <f>IF(N762="","",N762/MAX(N$5:N762)-1)</f>
        <v/>
      </c>
      <c r="Q762" s="13" t="str">
        <f>IF(OR('实盘净值数据(iFinD）'!$A762="",'实盘净值数据(iFinD）'!$B762="",'实盘净值数据(iFinD）'!$Z762="",'实盘净值数据(iFinD）'!$AA762=""),"",分期持仓明细!$AB$25*(SUMPRODUCT(分期持仓明细!$B$25:$Y$25,'实盘净值数据(iFinD）'!$B762:$Y762/'实盘净值数据(iFinD）'!$B$65:$Y$65)+SUMPRODUCT(分期持仓明细!$AC$25:$AD$25,'实盘净值数据(iFinD）'!$Z762:$AA762/'实盘净值数据(iFinD）'!$Z$65:$AA$65))*(1-实盘持仓初始配置!$Z$9)^(('实盘净值数据(iFinD）'!$A762-'实盘净值数据(iFinD）'!$A$8)/365))</f>
        <v/>
      </c>
      <c r="R762" s="16" t="str">
        <f t="shared" si="71"/>
        <v/>
      </c>
      <c r="S762" s="16" t="str">
        <f>IF(Q762="","",Q762/MAX(Q$5:Q762)-1)</f>
        <v/>
      </c>
    </row>
    <row r="763" spans="1:19">
      <c r="A763" s="15" t="str">
        <f>IF('实盘净值数据(iFinD）'!A763="","",'实盘净值数据(iFinD）'!A763)</f>
        <v/>
      </c>
      <c r="B763" s="13" t="str">
        <f>IF(OR('实盘净值数据(iFinD）'!$A763="",'实盘净值数据(iFinD）'!$B763=""),"",分期持仓明细!$AB$17*SUMPRODUCT(分期持仓明细!$B$17:$Y$17,'实盘净值数据(iFinD）'!$B763:$Y763/'实盘净值数据(iFinD）'!$B$20:$Y$20)*(1-实盘持仓初始配置!$Z$4)^(('实盘净值数据(iFinD）'!$A763-'实盘净值数据(iFinD）'!$A$6)/365))</f>
        <v/>
      </c>
      <c r="C763" s="16" t="str">
        <f t="shared" si="66"/>
        <v/>
      </c>
      <c r="D763" s="16" t="str">
        <f>IF(B763="","",B763/MAX(B$5:B763)-1)</f>
        <v/>
      </c>
      <c r="E763" s="13" t="str">
        <f>IF(OR('实盘净值数据(iFinD）'!$A763="",'实盘净值数据(iFinD）'!$B763=""),"",分期持仓明细!$AB$18*SUMPRODUCT(分期持仓明细!$B$18:$Y$18,'实盘净值数据(iFinD）'!$B763:$Y763/'实盘净值数据(iFinD）'!$B$20:$Y$20)*(1-实盘持仓初始配置!$Z$5)^(('实盘净值数据(iFinD）'!$A763-'实盘净值数据(iFinD）'!$A$5)/365))</f>
        <v/>
      </c>
      <c r="F763" s="16" t="str">
        <f t="shared" si="67"/>
        <v/>
      </c>
      <c r="G763" s="16" t="str">
        <f>IF(E763="","",E763/MAX(E$5:E763)-1)</f>
        <v/>
      </c>
      <c r="H763" s="13" t="str">
        <f>IF(OR('实盘净值数据(iFinD）'!$A763="",'实盘净值数据(iFinD）'!$B763=""),"",分期持仓明细!$AB$19*SUMPRODUCT(分期持仓明细!$B$19:$Y$19,'实盘净值数据(iFinD）'!$B763:$Y763/'实盘净值数据(iFinD）'!$B$20:$Y$20)*(1-实盘持仓初始配置!$Z$6)^(('实盘净值数据(iFinD）'!$A763-'实盘净值数据(iFinD）'!$A$7)/365))</f>
        <v/>
      </c>
      <c r="I763" s="16" t="str">
        <f t="shared" si="68"/>
        <v/>
      </c>
      <c r="J763" s="16" t="str">
        <f>IF(H763="","",H763/MAX(H$5:H763)-1)</f>
        <v/>
      </c>
      <c r="K763" s="13" t="str">
        <f>IF(OR('实盘净值数据(iFinD）'!$A763="",'实盘净值数据(iFinD）'!$B763="",'实盘净值数据(iFinD）'!$Z763="",'实盘净值数据(iFinD）'!$AA763=""),"",分期持仓明细!$AB$23*(SUMPRODUCT(分期持仓明细!$B$23:$Y$23,'实盘净值数据(iFinD）'!$B763:$Y763/'实盘净值数据(iFinD）'!$B$65:$Y$65)+SUMPRODUCT(分期持仓明细!$AC$23:$AD$23,'实盘净值数据(iFinD）'!$Z763:$AA763/'实盘净值数据(iFinD）'!$Z$65:$AA$65))*(1-实盘持仓初始配置!$Z$7)^(('实盘净值数据(iFinD）'!$A763-'实盘净值数据(iFinD）'!$A$8)/365))</f>
        <v/>
      </c>
      <c r="L763" s="16" t="str">
        <f t="shared" si="69"/>
        <v/>
      </c>
      <c r="M763" s="16" t="str">
        <f>IF(K763="","",K763/MAX(K$5:K763)-1)</f>
        <v/>
      </c>
      <c r="N763" s="13" t="str">
        <f>IF(OR('实盘净值数据(iFinD）'!$A763="",'实盘净值数据(iFinD）'!$B763="",'实盘净值数据(iFinD）'!$Z763="",'实盘净值数据(iFinD）'!$AA763=""),"",分期持仓明细!$AB$24*(SUMPRODUCT(分期持仓明细!$B$24:$Y$24,'实盘净值数据(iFinD）'!$B763:$Y763/'实盘净值数据(iFinD）'!$B$65:$Y$65)+SUMPRODUCT(分期持仓明细!$AC$24:$AD$24,'实盘净值数据(iFinD）'!$Z763:$AA763/'实盘净值数据(iFinD）'!$Z$65:$AA$65))*(1-实盘持仓初始配置!$Z$8)^(('实盘净值数据(iFinD）'!$A763-'实盘净值数据(iFinD）'!$A$5)/365))</f>
        <v/>
      </c>
      <c r="O763" s="16" t="str">
        <f t="shared" si="70"/>
        <v/>
      </c>
      <c r="P763" s="16" t="str">
        <f>IF(N763="","",N763/MAX(N$5:N763)-1)</f>
        <v/>
      </c>
      <c r="Q763" s="13" t="str">
        <f>IF(OR('实盘净值数据(iFinD）'!$A763="",'实盘净值数据(iFinD）'!$B763="",'实盘净值数据(iFinD）'!$Z763="",'实盘净值数据(iFinD）'!$AA763=""),"",分期持仓明细!$AB$25*(SUMPRODUCT(分期持仓明细!$B$25:$Y$25,'实盘净值数据(iFinD）'!$B763:$Y763/'实盘净值数据(iFinD）'!$B$65:$Y$65)+SUMPRODUCT(分期持仓明细!$AC$25:$AD$25,'实盘净值数据(iFinD）'!$Z763:$AA763/'实盘净值数据(iFinD）'!$Z$65:$AA$65))*(1-实盘持仓初始配置!$Z$9)^(('实盘净值数据(iFinD）'!$A763-'实盘净值数据(iFinD）'!$A$8)/365))</f>
        <v/>
      </c>
      <c r="R763" s="16" t="str">
        <f t="shared" si="71"/>
        <v/>
      </c>
      <c r="S763" s="16" t="str">
        <f>IF(Q763="","",Q763/MAX(Q$5:Q763)-1)</f>
        <v/>
      </c>
    </row>
    <row r="764" spans="1:19">
      <c r="A764" s="15" t="str">
        <f>IF('实盘净值数据(iFinD）'!A764="","",'实盘净值数据(iFinD）'!A764)</f>
        <v/>
      </c>
      <c r="B764" s="13" t="str">
        <f>IF(OR('实盘净值数据(iFinD）'!$A764="",'实盘净值数据(iFinD）'!$B764=""),"",分期持仓明细!$AB$17*SUMPRODUCT(分期持仓明细!$B$17:$Y$17,'实盘净值数据(iFinD）'!$B764:$Y764/'实盘净值数据(iFinD）'!$B$20:$Y$20)*(1-实盘持仓初始配置!$Z$4)^(('实盘净值数据(iFinD）'!$A764-'实盘净值数据(iFinD）'!$A$6)/365))</f>
        <v/>
      </c>
      <c r="C764" s="16" t="str">
        <f t="shared" ref="C764:C827" si="72">IF(OR(B763="",B764=""),"",B764/B763-1)</f>
        <v/>
      </c>
      <c r="D764" s="16" t="str">
        <f>IF(B764="","",B764/MAX(B$5:B764)-1)</f>
        <v/>
      </c>
      <c r="E764" s="13" t="str">
        <f>IF(OR('实盘净值数据(iFinD）'!$A764="",'实盘净值数据(iFinD）'!$B764=""),"",分期持仓明细!$AB$18*SUMPRODUCT(分期持仓明细!$B$18:$Y$18,'实盘净值数据(iFinD）'!$B764:$Y764/'实盘净值数据(iFinD）'!$B$20:$Y$20)*(1-实盘持仓初始配置!$Z$5)^(('实盘净值数据(iFinD）'!$A764-'实盘净值数据(iFinD）'!$A$5)/365))</f>
        <v/>
      </c>
      <c r="F764" s="16" t="str">
        <f t="shared" ref="F764:F827" si="73">IF(OR(E763="",E764=""),"",E764/E763-1)</f>
        <v/>
      </c>
      <c r="G764" s="16" t="str">
        <f>IF(E764="","",E764/MAX(E$5:E764)-1)</f>
        <v/>
      </c>
      <c r="H764" s="13" t="str">
        <f>IF(OR('实盘净值数据(iFinD）'!$A764="",'实盘净值数据(iFinD）'!$B764=""),"",分期持仓明细!$AB$19*SUMPRODUCT(分期持仓明细!$B$19:$Y$19,'实盘净值数据(iFinD）'!$B764:$Y764/'实盘净值数据(iFinD）'!$B$20:$Y$20)*(1-实盘持仓初始配置!$Z$6)^(('实盘净值数据(iFinD）'!$A764-'实盘净值数据(iFinD）'!$A$7)/365))</f>
        <v/>
      </c>
      <c r="I764" s="16" t="str">
        <f t="shared" ref="I764:I827" si="74">IF(OR(H763="",H764=""),"",H764/H763-1)</f>
        <v/>
      </c>
      <c r="J764" s="16" t="str">
        <f>IF(H764="","",H764/MAX(H$5:H764)-1)</f>
        <v/>
      </c>
      <c r="K764" s="13" t="str">
        <f>IF(OR('实盘净值数据(iFinD）'!$A764="",'实盘净值数据(iFinD）'!$B764="",'实盘净值数据(iFinD）'!$Z764="",'实盘净值数据(iFinD）'!$AA764=""),"",分期持仓明细!$AB$23*(SUMPRODUCT(分期持仓明细!$B$23:$Y$23,'实盘净值数据(iFinD）'!$B764:$Y764/'实盘净值数据(iFinD）'!$B$65:$Y$65)+SUMPRODUCT(分期持仓明细!$AC$23:$AD$23,'实盘净值数据(iFinD）'!$Z764:$AA764/'实盘净值数据(iFinD）'!$Z$65:$AA$65))*(1-实盘持仓初始配置!$Z$7)^(('实盘净值数据(iFinD）'!$A764-'实盘净值数据(iFinD）'!$A$8)/365))</f>
        <v/>
      </c>
      <c r="L764" s="16" t="str">
        <f t="shared" ref="L764:L827" si="75">IF(OR(K763="",K764=""),"",K764/K763-1)</f>
        <v/>
      </c>
      <c r="M764" s="16" t="str">
        <f>IF(K764="","",K764/MAX(K$5:K764)-1)</f>
        <v/>
      </c>
      <c r="N764" s="13" t="str">
        <f>IF(OR('实盘净值数据(iFinD）'!$A764="",'实盘净值数据(iFinD）'!$B764="",'实盘净值数据(iFinD）'!$Z764="",'实盘净值数据(iFinD）'!$AA764=""),"",分期持仓明细!$AB$24*(SUMPRODUCT(分期持仓明细!$B$24:$Y$24,'实盘净值数据(iFinD）'!$B764:$Y764/'实盘净值数据(iFinD）'!$B$65:$Y$65)+SUMPRODUCT(分期持仓明细!$AC$24:$AD$24,'实盘净值数据(iFinD）'!$Z764:$AA764/'实盘净值数据(iFinD）'!$Z$65:$AA$65))*(1-实盘持仓初始配置!$Z$8)^(('实盘净值数据(iFinD）'!$A764-'实盘净值数据(iFinD）'!$A$5)/365))</f>
        <v/>
      </c>
      <c r="O764" s="16" t="str">
        <f t="shared" ref="O764:O827" si="76">IF(OR(N763="",N764=""),"",N764/N763-1)</f>
        <v/>
      </c>
      <c r="P764" s="16" t="str">
        <f>IF(N764="","",N764/MAX(N$5:N764)-1)</f>
        <v/>
      </c>
      <c r="Q764" s="13" t="str">
        <f>IF(OR('实盘净值数据(iFinD）'!$A764="",'实盘净值数据(iFinD）'!$B764="",'实盘净值数据(iFinD）'!$Z764="",'实盘净值数据(iFinD）'!$AA764=""),"",分期持仓明细!$AB$25*(SUMPRODUCT(分期持仓明细!$B$25:$Y$25,'实盘净值数据(iFinD）'!$B764:$Y764/'实盘净值数据(iFinD）'!$B$65:$Y$65)+SUMPRODUCT(分期持仓明细!$AC$25:$AD$25,'实盘净值数据(iFinD）'!$Z764:$AA764/'实盘净值数据(iFinD）'!$Z$65:$AA$65))*(1-实盘持仓初始配置!$Z$9)^(('实盘净值数据(iFinD）'!$A764-'实盘净值数据(iFinD）'!$A$8)/365))</f>
        <v/>
      </c>
      <c r="R764" s="16" t="str">
        <f t="shared" ref="R764:R827" si="77">IF(OR(Q763="",Q764=""),"",Q764/Q763-1)</f>
        <v/>
      </c>
      <c r="S764" s="16" t="str">
        <f>IF(Q764="","",Q764/MAX(Q$5:Q764)-1)</f>
        <v/>
      </c>
    </row>
    <row r="765" spans="1:19">
      <c r="A765" s="15" t="str">
        <f>IF('实盘净值数据(iFinD）'!A765="","",'实盘净值数据(iFinD）'!A765)</f>
        <v/>
      </c>
      <c r="B765" s="13" t="str">
        <f>IF(OR('实盘净值数据(iFinD）'!$A765="",'实盘净值数据(iFinD）'!$B765=""),"",分期持仓明细!$AB$17*SUMPRODUCT(分期持仓明细!$B$17:$Y$17,'实盘净值数据(iFinD）'!$B765:$Y765/'实盘净值数据(iFinD）'!$B$20:$Y$20)*(1-实盘持仓初始配置!$Z$4)^(('实盘净值数据(iFinD）'!$A765-'实盘净值数据(iFinD）'!$A$6)/365))</f>
        <v/>
      </c>
      <c r="C765" s="16" t="str">
        <f t="shared" si="72"/>
        <v/>
      </c>
      <c r="D765" s="16" t="str">
        <f>IF(B765="","",B765/MAX(B$5:B765)-1)</f>
        <v/>
      </c>
      <c r="E765" s="13" t="str">
        <f>IF(OR('实盘净值数据(iFinD）'!$A765="",'实盘净值数据(iFinD）'!$B765=""),"",分期持仓明细!$AB$18*SUMPRODUCT(分期持仓明细!$B$18:$Y$18,'实盘净值数据(iFinD）'!$B765:$Y765/'实盘净值数据(iFinD）'!$B$20:$Y$20)*(1-实盘持仓初始配置!$Z$5)^(('实盘净值数据(iFinD）'!$A765-'实盘净值数据(iFinD）'!$A$5)/365))</f>
        <v/>
      </c>
      <c r="F765" s="16" t="str">
        <f t="shared" si="73"/>
        <v/>
      </c>
      <c r="G765" s="16" t="str">
        <f>IF(E765="","",E765/MAX(E$5:E765)-1)</f>
        <v/>
      </c>
      <c r="H765" s="13" t="str">
        <f>IF(OR('实盘净值数据(iFinD）'!$A765="",'实盘净值数据(iFinD）'!$B765=""),"",分期持仓明细!$AB$19*SUMPRODUCT(分期持仓明细!$B$19:$Y$19,'实盘净值数据(iFinD）'!$B765:$Y765/'实盘净值数据(iFinD）'!$B$20:$Y$20)*(1-实盘持仓初始配置!$Z$6)^(('实盘净值数据(iFinD）'!$A765-'实盘净值数据(iFinD）'!$A$7)/365))</f>
        <v/>
      </c>
      <c r="I765" s="16" t="str">
        <f t="shared" si="74"/>
        <v/>
      </c>
      <c r="J765" s="16" t="str">
        <f>IF(H765="","",H765/MAX(H$5:H765)-1)</f>
        <v/>
      </c>
      <c r="K765" s="13" t="str">
        <f>IF(OR('实盘净值数据(iFinD）'!$A765="",'实盘净值数据(iFinD）'!$B765="",'实盘净值数据(iFinD）'!$Z765="",'实盘净值数据(iFinD）'!$AA765=""),"",分期持仓明细!$AB$23*(SUMPRODUCT(分期持仓明细!$B$23:$Y$23,'实盘净值数据(iFinD）'!$B765:$Y765/'实盘净值数据(iFinD）'!$B$65:$Y$65)+SUMPRODUCT(分期持仓明细!$AC$23:$AD$23,'实盘净值数据(iFinD）'!$Z765:$AA765/'实盘净值数据(iFinD）'!$Z$65:$AA$65))*(1-实盘持仓初始配置!$Z$7)^(('实盘净值数据(iFinD）'!$A765-'实盘净值数据(iFinD）'!$A$8)/365))</f>
        <v/>
      </c>
      <c r="L765" s="16" t="str">
        <f t="shared" si="75"/>
        <v/>
      </c>
      <c r="M765" s="16" t="str">
        <f>IF(K765="","",K765/MAX(K$5:K765)-1)</f>
        <v/>
      </c>
      <c r="N765" s="13" t="str">
        <f>IF(OR('实盘净值数据(iFinD）'!$A765="",'实盘净值数据(iFinD）'!$B765="",'实盘净值数据(iFinD）'!$Z765="",'实盘净值数据(iFinD）'!$AA765=""),"",分期持仓明细!$AB$24*(SUMPRODUCT(分期持仓明细!$B$24:$Y$24,'实盘净值数据(iFinD）'!$B765:$Y765/'实盘净值数据(iFinD）'!$B$65:$Y$65)+SUMPRODUCT(分期持仓明细!$AC$24:$AD$24,'实盘净值数据(iFinD）'!$Z765:$AA765/'实盘净值数据(iFinD）'!$Z$65:$AA$65))*(1-实盘持仓初始配置!$Z$8)^(('实盘净值数据(iFinD）'!$A765-'实盘净值数据(iFinD）'!$A$5)/365))</f>
        <v/>
      </c>
      <c r="O765" s="16" t="str">
        <f t="shared" si="76"/>
        <v/>
      </c>
      <c r="P765" s="16" t="str">
        <f>IF(N765="","",N765/MAX(N$5:N765)-1)</f>
        <v/>
      </c>
      <c r="Q765" s="13" t="str">
        <f>IF(OR('实盘净值数据(iFinD）'!$A765="",'实盘净值数据(iFinD）'!$B765="",'实盘净值数据(iFinD）'!$Z765="",'实盘净值数据(iFinD）'!$AA765=""),"",分期持仓明细!$AB$25*(SUMPRODUCT(分期持仓明细!$B$25:$Y$25,'实盘净值数据(iFinD）'!$B765:$Y765/'实盘净值数据(iFinD）'!$B$65:$Y$65)+SUMPRODUCT(分期持仓明细!$AC$25:$AD$25,'实盘净值数据(iFinD）'!$Z765:$AA765/'实盘净值数据(iFinD）'!$Z$65:$AA$65))*(1-实盘持仓初始配置!$Z$9)^(('实盘净值数据(iFinD）'!$A765-'实盘净值数据(iFinD）'!$A$8)/365))</f>
        <v/>
      </c>
      <c r="R765" s="16" t="str">
        <f t="shared" si="77"/>
        <v/>
      </c>
      <c r="S765" s="16" t="str">
        <f>IF(Q765="","",Q765/MAX(Q$5:Q765)-1)</f>
        <v/>
      </c>
    </row>
    <row r="766" spans="1:19">
      <c r="A766" s="15" t="str">
        <f>IF('实盘净值数据(iFinD）'!A766="","",'实盘净值数据(iFinD）'!A766)</f>
        <v/>
      </c>
      <c r="B766" s="13" t="str">
        <f>IF(OR('实盘净值数据(iFinD）'!$A766="",'实盘净值数据(iFinD）'!$B766=""),"",分期持仓明细!$AB$17*SUMPRODUCT(分期持仓明细!$B$17:$Y$17,'实盘净值数据(iFinD）'!$B766:$Y766/'实盘净值数据(iFinD）'!$B$20:$Y$20)*(1-实盘持仓初始配置!$Z$4)^(('实盘净值数据(iFinD）'!$A766-'实盘净值数据(iFinD）'!$A$6)/365))</f>
        <v/>
      </c>
      <c r="C766" s="16" t="str">
        <f t="shared" si="72"/>
        <v/>
      </c>
      <c r="D766" s="16" t="str">
        <f>IF(B766="","",B766/MAX(B$5:B766)-1)</f>
        <v/>
      </c>
      <c r="E766" s="13" t="str">
        <f>IF(OR('实盘净值数据(iFinD）'!$A766="",'实盘净值数据(iFinD）'!$B766=""),"",分期持仓明细!$AB$18*SUMPRODUCT(分期持仓明细!$B$18:$Y$18,'实盘净值数据(iFinD）'!$B766:$Y766/'实盘净值数据(iFinD）'!$B$20:$Y$20)*(1-实盘持仓初始配置!$Z$5)^(('实盘净值数据(iFinD）'!$A766-'实盘净值数据(iFinD）'!$A$5)/365))</f>
        <v/>
      </c>
      <c r="F766" s="16" t="str">
        <f t="shared" si="73"/>
        <v/>
      </c>
      <c r="G766" s="16" t="str">
        <f>IF(E766="","",E766/MAX(E$5:E766)-1)</f>
        <v/>
      </c>
      <c r="H766" s="13" t="str">
        <f>IF(OR('实盘净值数据(iFinD）'!$A766="",'实盘净值数据(iFinD）'!$B766=""),"",分期持仓明细!$AB$19*SUMPRODUCT(分期持仓明细!$B$19:$Y$19,'实盘净值数据(iFinD）'!$B766:$Y766/'实盘净值数据(iFinD）'!$B$20:$Y$20)*(1-实盘持仓初始配置!$Z$6)^(('实盘净值数据(iFinD）'!$A766-'实盘净值数据(iFinD）'!$A$7)/365))</f>
        <v/>
      </c>
      <c r="I766" s="16" t="str">
        <f t="shared" si="74"/>
        <v/>
      </c>
      <c r="J766" s="16" t="str">
        <f>IF(H766="","",H766/MAX(H$5:H766)-1)</f>
        <v/>
      </c>
      <c r="K766" s="13" t="str">
        <f>IF(OR('实盘净值数据(iFinD）'!$A766="",'实盘净值数据(iFinD）'!$B766="",'实盘净值数据(iFinD）'!$Z766="",'实盘净值数据(iFinD）'!$AA766=""),"",分期持仓明细!$AB$23*(SUMPRODUCT(分期持仓明细!$B$23:$Y$23,'实盘净值数据(iFinD）'!$B766:$Y766/'实盘净值数据(iFinD）'!$B$65:$Y$65)+SUMPRODUCT(分期持仓明细!$AC$23:$AD$23,'实盘净值数据(iFinD）'!$Z766:$AA766/'实盘净值数据(iFinD）'!$Z$65:$AA$65))*(1-实盘持仓初始配置!$Z$7)^(('实盘净值数据(iFinD）'!$A766-'实盘净值数据(iFinD）'!$A$8)/365))</f>
        <v/>
      </c>
      <c r="L766" s="16" t="str">
        <f t="shared" si="75"/>
        <v/>
      </c>
      <c r="M766" s="16" t="str">
        <f>IF(K766="","",K766/MAX(K$5:K766)-1)</f>
        <v/>
      </c>
      <c r="N766" s="13" t="str">
        <f>IF(OR('实盘净值数据(iFinD）'!$A766="",'实盘净值数据(iFinD）'!$B766="",'实盘净值数据(iFinD）'!$Z766="",'实盘净值数据(iFinD）'!$AA766=""),"",分期持仓明细!$AB$24*(SUMPRODUCT(分期持仓明细!$B$24:$Y$24,'实盘净值数据(iFinD）'!$B766:$Y766/'实盘净值数据(iFinD）'!$B$65:$Y$65)+SUMPRODUCT(分期持仓明细!$AC$24:$AD$24,'实盘净值数据(iFinD）'!$Z766:$AA766/'实盘净值数据(iFinD）'!$Z$65:$AA$65))*(1-实盘持仓初始配置!$Z$8)^(('实盘净值数据(iFinD）'!$A766-'实盘净值数据(iFinD）'!$A$5)/365))</f>
        <v/>
      </c>
      <c r="O766" s="16" t="str">
        <f t="shared" si="76"/>
        <v/>
      </c>
      <c r="P766" s="16" t="str">
        <f>IF(N766="","",N766/MAX(N$5:N766)-1)</f>
        <v/>
      </c>
      <c r="Q766" s="13" t="str">
        <f>IF(OR('实盘净值数据(iFinD）'!$A766="",'实盘净值数据(iFinD）'!$B766="",'实盘净值数据(iFinD）'!$Z766="",'实盘净值数据(iFinD）'!$AA766=""),"",分期持仓明细!$AB$25*(SUMPRODUCT(分期持仓明细!$B$25:$Y$25,'实盘净值数据(iFinD）'!$B766:$Y766/'实盘净值数据(iFinD）'!$B$65:$Y$65)+SUMPRODUCT(分期持仓明细!$AC$25:$AD$25,'实盘净值数据(iFinD）'!$Z766:$AA766/'实盘净值数据(iFinD）'!$Z$65:$AA$65))*(1-实盘持仓初始配置!$Z$9)^(('实盘净值数据(iFinD）'!$A766-'实盘净值数据(iFinD）'!$A$8)/365))</f>
        <v/>
      </c>
      <c r="R766" s="16" t="str">
        <f t="shared" si="77"/>
        <v/>
      </c>
      <c r="S766" s="16" t="str">
        <f>IF(Q766="","",Q766/MAX(Q$5:Q766)-1)</f>
        <v/>
      </c>
    </row>
    <row r="767" spans="1:19">
      <c r="A767" s="15" t="str">
        <f>IF('实盘净值数据(iFinD）'!A767="","",'实盘净值数据(iFinD）'!A767)</f>
        <v/>
      </c>
      <c r="B767" s="13" t="str">
        <f>IF(OR('实盘净值数据(iFinD）'!$A767="",'实盘净值数据(iFinD）'!$B767=""),"",分期持仓明细!$AB$17*SUMPRODUCT(分期持仓明细!$B$17:$Y$17,'实盘净值数据(iFinD）'!$B767:$Y767/'实盘净值数据(iFinD）'!$B$20:$Y$20)*(1-实盘持仓初始配置!$Z$4)^(('实盘净值数据(iFinD）'!$A767-'实盘净值数据(iFinD）'!$A$6)/365))</f>
        <v/>
      </c>
      <c r="C767" s="16" t="str">
        <f t="shared" si="72"/>
        <v/>
      </c>
      <c r="D767" s="16" t="str">
        <f>IF(B767="","",B767/MAX(B$5:B767)-1)</f>
        <v/>
      </c>
      <c r="E767" s="13" t="str">
        <f>IF(OR('实盘净值数据(iFinD）'!$A767="",'实盘净值数据(iFinD）'!$B767=""),"",分期持仓明细!$AB$18*SUMPRODUCT(分期持仓明细!$B$18:$Y$18,'实盘净值数据(iFinD）'!$B767:$Y767/'实盘净值数据(iFinD）'!$B$20:$Y$20)*(1-实盘持仓初始配置!$Z$5)^(('实盘净值数据(iFinD）'!$A767-'实盘净值数据(iFinD）'!$A$5)/365))</f>
        <v/>
      </c>
      <c r="F767" s="16" t="str">
        <f t="shared" si="73"/>
        <v/>
      </c>
      <c r="G767" s="16" t="str">
        <f>IF(E767="","",E767/MAX(E$5:E767)-1)</f>
        <v/>
      </c>
      <c r="H767" s="13" t="str">
        <f>IF(OR('实盘净值数据(iFinD）'!$A767="",'实盘净值数据(iFinD）'!$B767=""),"",分期持仓明细!$AB$19*SUMPRODUCT(分期持仓明细!$B$19:$Y$19,'实盘净值数据(iFinD）'!$B767:$Y767/'实盘净值数据(iFinD）'!$B$20:$Y$20)*(1-实盘持仓初始配置!$Z$6)^(('实盘净值数据(iFinD）'!$A767-'实盘净值数据(iFinD）'!$A$7)/365))</f>
        <v/>
      </c>
      <c r="I767" s="16" t="str">
        <f t="shared" si="74"/>
        <v/>
      </c>
      <c r="J767" s="16" t="str">
        <f>IF(H767="","",H767/MAX(H$5:H767)-1)</f>
        <v/>
      </c>
      <c r="K767" s="13" t="str">
        <f>IF(OR('实盘净值数据(iFinD）'!$A767="",'实盘净值数据(iFinD）'!$B767="",'实盘净值数据(iFinD）'!$Z767="",'实盘净值数据(iFinD）'!$AA767=""),"",分期持仓明细!$AB$23*(SUMPRODUCT(分期持仓明细!$B$23:$Y$23,'实盘净值数据(iFinD）'!$B767:$Y767/'实盘净值数据(iFinD）'!$B$65:$Y$65)+SUMPRODUCT(分期持仓明细!$AC$23:$AD$23,'实盘净值数据(iFinD）'!$Z767:$AA767/'实盘净值数据(iFinD）'!$Z$65:$AA$65))*(1-实盘持仓初始配置!$Z$7)^(('实盘净值数据(iFinD）'!$A767-'实盘净值数据(iFinD）'!$A$8)/365))</f>
        <v/>
      </c>
      <c r="L767" s="16" t="str">
        <f t="shared" si="75"/>
        <v/>
      </c>
      <c r="M767" s="16" t="str">
        <f>IF(K767="","",K767/MAX(K$5:K767)-1)</f>
        <v/>
      </c>
      <c r="N767" s="13" t="str">
        <f>IF(OR('实盘净值数据(iFinD）'!$A767="",'实盘净值数据(iFinD）'!$B767="",'实盘净值数据(iFinD）'!$Z767="",'实盘净值数据(iFinD）'!$AA767=""),"",分期持仓明细!$AB$24*(SUMPRODUCT(分期持仓明细!$B$24:$Y$24,'实盘净值数据(iFinD）'!$B767:$Y767/'实盘净值数据(iFinD）'!$B$65:$Y$65)+SUMPRODUCT(分期持仓明细!$AC$24:$AD$24,'实盘净值数据(iFinD）'!$Z767:$AA767/'实盘净值数据(iFinD）'!$Z$65:$AA$65))*(1-实盘持仓初始配置!$Z$8)^(('实盘净值数据(iFinD）'!$A767-'实盘净值数据(iFinD）'!$A$5)/365))</f>
        <v/>
      </c>
      <c r="O767" s="16" t="str">
        <f t="shared" si="76"/>
        <v/>
      </c>
      <c r="P767" s="16" t="str">
        <f>IF(N767="","",N767/MAX(N$5:N767)-1)</f>
        <v/>
      </c>
      <c r="Q767" s="13" t="str">
        <f>IF(OR('实盘净值数据(iFinD）'!$A767="",'实盘净值数据(iFinD）'!$B767="",'实盘净值数据(iFinD）'!$Z767="",'实盘净值数据(iFinD）'!$AA767=""),"",分期持仓明细!$AB$25*(SUMPRODUCT(分期持仓明细!$B$25:$Y$25,'实盘净值数据(iFinD）'!$B767:$Y767/'实盘净值数据(iFinD）'!$B$65:$Y$65)+SUMPRODUCT(分期持仓明细!$AC$25:$AD$25,'实盘净值数据(iFinD）'!$Z767:$AA767/'实盘净值数据(iFinD）'!$Z$65:$AA$65))*(1-实盘持仓初始配置!$Z$9)^(('实盘净值数据(iFinD）'!$A767-'实盘净值数据(iFinD）'!$A$8)/365))</f>
        <v/>
      </c>
      <c r="R767" s="16" t="str">
        <f t="shared" si="77"/>
        <v/>
      </c>
      <c r="S767" s="16" t="str">
        <f>IF(Q767="","",Q767/MAX(Q$5:Q767)-1)</f>
        <v/>
      </c>
    </row>
    <row r="768" spans="1:19">
      <c r="A768" s="15" t="str">
        <f>IF('实盘净值数据(iFinD）'!A768="","",'实盘净值数据(iFinD）'!A768)</f>
        <v/>
      </c>
      <c r="B768" s="13" t="str">
        <f>IF(OR('实盘净值数据(iFinD）'!$A768="",'实盘净值数据(iFinD）'!$B768=""),"",分期持仓明细!$AB$17*SUMPRODUCT(分期持仓明细!$B$17:$Y$17,'实盘净值数据(iFinD）'!$B768:$Y768/'实盘净值数据(iFinD）'!$B$20:$Y$20)*(1-实盘持仓初始配置!$Z$4)^(('实盘净值数据(iFinD）'!$A768-'实盘净值数据(iFinD）'!$A$6)/365))</f>
        <v/>
      </c>
      <c r="C768" s="16" t="str">
        <f t="shared" si="72"/>
        <v/>
      </c>
      <c r="D768" s="16" t="str">
        <f>IF(B768="","",B768/MAX(B$5:B768)-1)</f>
        <v/>
      </c>
      <c r="E768" s="13" t="str">
        <f>IF(OR('实盘净值数据(iFinD）'!$A768="",'实盘净值数据(iFinD）'!$B768=""),"",分期持仓明细!$AB$18*SUMPRODUCT(分期持仓明细!$B$18:$Y$18,'实盘净值数据(iFinD）'!$B768:$Y768/'实盘净值数据(iFinD）'!$B$20:$Y$20)*(1-实盘持仓初始配置!$Z$5)^(('实盘净值数据(iFinD）'!$A768-'实盘净值数据(iFinD）'!$A$5)/365))</f>
        <v/>
      </c>
      <c r="F768" s="16" t="str">
        <f t="shared" si="73"/>
        <v/>
      </c>
      <c r="G768" s="16" t="str">
        <f>IF(E768="","",E768/MAX(E$5:E768)-1)</f>
        <v/>
      </c>
      <c r="H768" s="13" t="str">
        <f>IF(OR('实盘净值数据(iFinD）'!$A768="",'实盘净值数据(iFinD）'!$B768=""),"",分期持仓明细!$AB$19*SUMPRODUCT(分期持仓明细!$B$19:$Y$19,'实盘净值数据(iFinD）'!$B768:$Y768/'实盘净值数据(iFinD）'!$B$20:$Y$20)*(1-实盘持仓初始配置!$Z$6)^(('实盘净值数据(iFinD）'!$A768-'实盘净值数据(iFinD）'!$A$7)/365))</f>
        <v/>
      </c>
      <c r="I768" s="16" t="str">
        <f t="shared" si="74"/>
        <v/>
      </c>
      <c r="J768" s="16" t="str">
        <f>IF(H768="","",H768/MAX(H$5:H768)-1)</f>
        <v/>
      </c>
      <c r="K768" s="13" t="str">
        <f>IF(OR('实盘净值数据(iFinD）'!$A768="",'实盘净值数据(iFinD）'!$B768="",'实盘净值数据(iFinD）'!$Z768="",'实盘净值数据(iFinD）'!$AA768=""),"",分期持仓明细!$AB$23*(SUMPRODUCT(分期持仓明细!$B$23:$Y$23,'实盘净值数据(iFinD）'!$B768:$Y768/'实盘净值数据(iFinD）'!$B$65:$Y$65)+SUMPRODUCT(分期持仓明细!$AC$23:$AD$23,'实盘净值数据(iFinD）'!$Z768:$AA768/'实盘净值数据(iFinD）'!$Z$65:$AA$65))*(1-实盘持仓初始配置!$Z$7)^(('实盘净值数据(iFinD）'!$A768-'实盘净值数据(iFinD）'!$A$8)/365))</f>
        <v/>
      </c>
      <c r="L768" s="16" t="str">
        <f t="shared" si="75"/>
        <v/>
      </c>
      <c r="M768" s="16" t="str">
        <f>IF(K768="","",K768/MAX(K$5:K768)-1)</f>
        <v/>
      </c>
      <c r="N768" s="13" t="str">
        <f>IF(OR('实盘净值数据(iFinD）'!$A768="",'实盘净值数据(iFinD）'!$B768="",'实盘净值数据(iFinD）'!$Z768="",'实盘净值数据(iFinD）'!$AA768=""),"",分期持仓明细!$AB$24*(SUMPRODUCT(分期持仓明细!$B$24:$Y$24,'实盘净值数据(iFinD）'!$B768:$Y768/'实盘净值数据(iFinD）'!$B$65:$Y$65)+SUMPRODUCT(分期持仓明细!$AC$24:$AD$24,'实盘净值数据(iFinD）'!$Z768:$AA768/'实盘净值数据(iFinD）'!$Z$65:$AA$65))*(1-实盘持仓初始配置!$Z$8)^(('实盘净值数据(iFinD）'!$A768-'实盘净值数据(iFinD）'!$A$5)/365))</f>
        <v/>
      </c>
      <c r="O768" s="16" t="str">
        <f t="shared" si="76"/>
        <v/>
      </c>
      <c r="P768" s="16" t="str">
        <f>IF(N768="","",N768/MAX(N$5:N768)-1)</f>
        <v/>
      </c>
      <c r="Q768" s="13" t="str">
        <f>IF(OR('实盘净值数据(iFinD）'!$A768="",'实盘净值数据(iFinD）'!$B768="",'实盘净值数据(iFinD）'!$Z768="",'实盘净值数据(iFinD）'!$AA768=""),"",分期持仓明细!$AB$25*(SUMPRODUCT(分期持仓明细!$B$25:$Y$25,'实盘净值数据(iFinD）'!$B768:$Y768/'实盘净值数据(iFinD）'!$B$65:$Y$65)+SUMPRODUCT(分期持仓明细!$AC$25:$AD$25,'实盘净值数据(iFinD）'!$Z768:$AA768/'实盘净值数据(iFinD）'!$Z$65:$AA$65))*(1-实盘持仓初始配置!$Z$9)^(('实盘净值数据(iFinD）'!$A768-'实盘净值数据(iFinD）'!$A$8)/365))</f>
        <v/>
      </c>
      <c r="R768" s="16" t="str">
        <f t="shared" si="77"/>
        <v/>
      </c>
      <c r="S768" s="16" t="str">
        <f>IF(Q768="","",Q768/MAX(Q$5:Q768)-1)</f>
        <v/>
      </c>
    </row>
    <row r="769" spans="1:19">
      <c r="A769" s="15" t="str">
        <f>IF('实盘净值数据(iFinD）'!A769="","",'实盘净值数据(iFinD）'!A769)</f>
        <v/>
      </c>
      <c r="B769" s="13" t="str">
        <f>IF(OR('实盘净值数据(iFinD）'!$A769="",'实盘净值数据(iFinD）'!$B769=""),"",分期持仓明细!$AB$17*SUMPRODUCT(分期持仓明细!$B$17:$Y$17,'实盘净值数据(iFinD）'!$B769:$Y769/'实盘净值数据(iFinD）'!$B$20:$Y$20)*(1-实盘持仓初始配置!$Z$4)^(('实盘净值数据(iFinD）'!$A769-'实盘净值数据(iFinD）'!$A$6)/365))</f>
        <v/>
      </c>
      <c r="C769" s="16" t="str">
        <f t="shared" si="72"/>
        <v/>
      </c>
      <c r="D769" s="16" t="str">
        <f>IF(B769="","",B769/MAX(B$5:B769)-1)</f>
        <v/>
      </c>
      <c r="E769" s="13" t="str">
        <f>IF(OR('实盘净值数据(iFinD）'!$A769="",'实盘净值数据(iFinD）'!$B769=""),"",分期持仓明细!$AB$18*SUMPRODUCT(分期持仓明细!$B$18:$Y$18,'实盘净值数据(iFinD）'!$B769:$Y769/'实盘净值数据(iFinD）'!$B$20:$Y$20)*(1-实盘持仓初始配置!$Z$5)^(('实盘净值数据(iFinD）'!$A769-'实盘净值数据(iFinD）'!$A$5)/365))</f>
        <v/>
      </c>
      <c r="F769" s="16" t="str">
        <f t="shared" si="73"/>
        <v/>
      </c>
      <c r="G769" s="16" t="str">
        <f>IF(E769="","",E769/MAX(E$5:E769)-1)</f>
        <v/>
      </c>
      <c r="H769" s="13" t="str">
        <f>IF(OR('实盘净值数据(iFinD）'!$A769="",'实盘净值数据(iFinD）'!$B769=""),"",分期持仓明细!$AB$19*SUMPRODUCT(分期持仓明细!$B$19:$Y$19,'实盘净值数据(iFinD）'!$B769:$Y769/'实盘净值数据(iFinD）'!$B$20:$Y$20)*(1-实盘持仓初始配置!$Z$6)^(('实盘净值数据(iFinD）'!$A769-'实盘净值数据(iFinD）'!$A$7)/365))</f>
        <v/>
      </c>
      <c r="I769" s="16" t="str">
        <f t="shared" si="74"/>
        <v/>
      </c>
      <c r="J769" s="16" t="str">
        <f>IF(H769="","",H769/MAX(H$5:H769)-1)</f>
        <v/>
      </c>
      <c r="K769" s="13" t="str">
        <f>IF(OR('实盘净值数据(iFinD）'!$A769="",'实盘净值数据(iFinD）'!$B769="",'实盘净值数据(iFinD）'!$Z769="",'实盘净值数据(iFinD）'!$AA769=""),"",分期持仓明细!$AB$23*(SUMPRODUCT(分期持仓明细!$B$23:$Y$23,'实盘净值数据(iFinD）'!$B769:$Y769/'实盘净值数据(iFinD）'!$B$65:$Y$65)+SUMPRODUCT(分期持仓明细!$AC$23:$AD$23,'实盘净值数据(iFinD）'!$Z769:$AA769/'实盘净值数据(iFinD）'!$Z$65:$AA$65))*(1-实盘持仓初始配置!$Z$7)^(('实盘净值数据(iFinD）'!$A769-'实盘净值数据(iFinD）'!$A$8)/365))</f>
        <v/>
      </c>
      <c r="L769" s="16" t="str">
        <f t="shared" si="75"/>
        <v/>
      </c>
      <c r="M769" s="16" t="str">
        <f>IF(K769="","",K769/MAX(K$5:K769)-1)</f>
        <v/>
      </c>
      <c r="N769" s="13" t="str">
        <f>IF(OR('实盘净值数据(iFinD）'!$A769="",'实盘净值数据(iFinD）'!$B769="",'实盘净值数据(iFinD）'!$Z769="",'实盘净值数据(iFinD）'!$AA769=""),"",分期持仓明细!$AB$24*(SUMPRODUCT(分期持仓明细!$B$24:$Y$24,'实盘净值数据(iFinD）'!$B769:$Y769/'实盘净值数据(iFinD）'!$B$65:$Y$65)+SUMPRODUCT(分期持仓明细!$AC$24:$AD$24,'实盘净值数据(iFinD）'!$Z769:$AA769/'实盘净值数据(iFinD）'!$Z$65:$AA$65))*(1-实盘持仓初始配置!$Z$8)^(('实盘净值数据(iFinD）'!$A769-'实盘净值数据(iFinD）'!$A$5)/365))</f>
        <v/>
      </c>
      <c r="O769" s="16" t="str">
        <f t="shared" si="76"/>
        <v/>
      </c>
      <c r="P769" s="16" t="str">
        <f>IF(N769="","",N769/MAX(N$5:N769)-1)</f>
        <v/>
      </c>
      <c r="Q769" s="13" t="str">
        <f>IF(OR('实盘净值数据(iFinD）'!$A769="",'实盘净值数据(iFinD）'!$B769="",'实盘净值数据(iFinD）'!$Z769="",'实盘净值数据(iFinD）'!$AA769=""),"",分期持仓明细!$AB$25*(SUMPRODUCT(分期持仓明细!$B$25:$Y$25,'实盘净值数据(iFinD）'!$B769:$Y769/'实盘净值数据(iFinD）'!$B$65:$Y$65)+SUMPRODUCT(分期持仓明细!$AC$25:$AD$25,'实盘净值数据(iFinD）'!$Z769:$AA769/'实盘净值数据(iFinD）'!$Z$65:$AA$65))*(1-实盘持仓初始配置!$Z$9)^(('实盘净值数据(iFinD）'!$A769-'实盘净值数据(iFinD）'!$A$8)/365))</f>
        <v/>
      </c>
      <c r="R769" s="16" t="str">
        <f t="shared" si="77"/>
        <v/>
      </c>
      <c r="S769" s="16" t="str">
        <f>IF(Q769="","",Q769/MAX(Q$5:Q769)-1)</f>
        <v/>
      </c>
    </row>
    <row r="770" spans="1:19">
      <c r="A770" s="15" t="str">
        <f>IF('实盘净值数据(iFinD）'!A770="","",'实盘净值数据(iFinD）'!A770)</f>
        <v/>
      </c>
      <c r="B770" s="13" t="str">
        <f>IF(OR('实盘净值数据(iFinD）'!$A770="",'实盘净值数据(iFinD）'!$B770=""),"",分期持仓明细!$AB$17*SUMPRODUCT(分期持仓明细!$B$17:$Y$17,'实盘净值数据(iFinD）'!$B770:$Y770/'实盘净值数据(iFinD）'!$B$20:$Y$20)*(1-实盘持仓初始配置!$Z$4)^(('实盘净值数据(iFinD）'!$A770-'实盘净值数据(iFinD）'!$A$6)/365))</f>
        <v/>
      </c>
      <c r="C770" s="16" t="str">
        <f t="shared" si="72"/>
        <v/>
      </c>
      <c r="D770" s="16" t="str">
        <f>IF(B770="","",B770/MAX(B$5:B770)-1)</f>
        <v/>
      </c>
      <c r="E770" s="13" t="str">
        <f>IF(OR('实盘净值数据(iFinD）'!$A770="",'实盘净值数据(iFinD）'!$B770=""),"",分期持仓明细!$AB$18*SUMPRODUCT(分期持仓明细!$B$18:$Y$18,'实盘净值数据(iFinD）'!$B770:$Y770/'实盘净值数据(iFinD）'!$B$20:$Y$20)*(1-实盘持仓初始配置!$Z$5)^(('实盘净值数据(iFinD）'!$A770-'实盘净值数据(iFinD）'!$A$5)/365))</f>
        <v/>
      </c>
      <c r="F770" s="16" t="str">
        <f t="shared" si="73"/>
        <v/>
      </c>
      <c r="G770" s="16" t="str">
        <f>IF(E770="","",E770/MAX(E$5:E770)-1)</f>
        <v/>
      </c>
      <c r="H770" s="13" t="str">
        <f>IF(OR('实盘净值数据(iFinD）'!$A770="",'实盘净值数据(iFinD）'!$B770=""),"",分期持仓明细!$AB$19*SUMPRODUCT(分期持仓明细!$B$19:$Y$19,'实盘净值数据(iFinD）'!$B770:$Y770/'实盘净值数据(iFinD）'!$B$20:$Y$20)*(1-实盘持仓初始配置!$Z$6)^(('实盘净值数据(iFinD）'!$A770-'实盘净值数据(iFinD）'!$A$7)/365))</f>
        <v/>
      </c>
      <c r="I770" s="16" t="str">
        <f t="shared" si="74"/>
        <v/>
      </c>
      <c r="J770" s="16" t="str">
        <f>IF(H770="","",H770/MAX(H$5:H770)-1)</f>
        <v/>
      </c>
      <c r="K770" s="13" t="str">
        <f>IF(OR('实盘净值数据(iFinD）'!$A770="",'实盘净值数据(iFinD）'!$B770="",'实盘净值数据(iFinD）'!$Z770="",'实盘净值数据(iFinD）'!$AA770=""),"",分期持仓明细!$AB$23*(SUMPRODUCT(分期持仓明细!$B$23:$Y$23,'实盘净值数据(iFinD）'!$B770:$Y770/'实盘净值数据(iFinD）'!$B$65:$Y$65)+SUMPRODUCT(分期持仓明细!$AC$23:$AD$23,'实盘净值数据(iFinD）'!$Z770:$AA770/'实盘净值数据(iFinD）'!$Z$65:$AA$65))*(1-实盘持仓初始配置!$Z$7)^(('实盘净值数据(iFinD）'!$A770-'实盘净值数据(iFinD）'!$A$8)/365))</f>
        <v/>
      </c>
      <c r="L770" s="16" t="str">
        <f t="shared" si="75"/>
        <v/>
      </c>
      <c r="M770" s="16" t="str">
        <f>IF(K770="","",K770/MAX(K$5:K770)-1)</f>
        <v/>
      </c>
      <c r="N770" s="13" t="str">
        <f>IF(OR('实盘净值数据(iFinD）'!$A770="",'实盘净值数据(iFinD）'!$B770="",'实盘净值数据(iFinD）'!$Z770="",'实盘净值数据(iFinD）'!$AA770=""),"",分期持仓明细!$AB$24*(SUMPRODUCT(分期持仓明细!$B$24:$Y$24,'实盘净值数据(iFinD）'!$B770:$Y770/'实盘净值数据(iFinD）'!$B$65:$Y$65)+SUMPRODUCT(分期持仓明细!$AC$24:$AD$24,'实盘净值数据(iFinD）'!$Z770:$AA770/'实盘净值数据(iFinD）'!$Z$65:$AA$65))*(1-实盘持仓初始配置!$Z$8)^(('实盘净值数据(iFinD）'!$A770-'实盘净值数据(iFinD）'!$A$5)/365))</f>
        <v/>
      </c>
      <c r="O770" s="16" t="str">
        <f t="shared" si="76"/>
        <v/>
      </c>
      <c r="P770" s="16" t="str">
        <f>IF(N770="","",N770/MAX(N$5:N770)-1)</f>
        <v/>
      </c>
      <c r="Q770" s="13" t="str">
        <f>IF(OR('实盘净值数据(iFinD）'!$A770="",'实盘净值数据(iFinD）'!$B770="",'实盘净值数据(iFinD）'!$Z770="",'实盘净值数据(iFinD）'!$AA770=""),"",分期持仓明细!$AB$25*(SUMPRODUCT(分期持仓明细!$B$25:$Y$25,'实盘净值数据(iFinD）'!$B770:$Y770/'实盘净值数据(iFinD）'!$B$65:$Y$65)+SUMPRODUCT(分期持仓明细!$AC$25:$AD$25,'实盘净值数据(iFinD）'!$Z770:$AA770/'实盘净值数据(iFinD）'!$Z$65:$AA$65))*(1-实盘持仓初始配置!$Z$9)^(('实盘净值数据(iFinD）'!$A770-'实盘净值数据(iFinD）'!$A$8)/365))</f>
        <v/>
      </c>
      <c r="R770" s="16" t="str">
        <f t="shared" si="77"/>
        <v/>
      </c>
      <c r="S770" s="16" t="str">
        <f>IF(Q770="","",Q770/MAX(Q$5:Q770)-1)</f>
        <v/>
      </c>
    </row>
    <row r="771" spans="1:19">
      <c r="A771" s="15" t="str">
        <f>IF('实盘净值数据(iFinD）'!A771="","",'实盘净值数据(iFinD）'!A771)</f>
        <v/>
      </c>
      <c r="B771" s="13" t="str">
        <f>IF(OR('实盘净值数据(iFinD）'!$A771="",'实盘净值数据(iFinD）'!$B771=""),"",分期持仓明细!$AB$17*SUMPRODUCT(分期持仓明细!$B$17:$Y$17,'实盘净值数据(iFinD）'!$B771:$Y771/'实盘净值数据(iFinD）'!$B$20:$Y$20)*(1-实盘持仓初始配置!$Z$4)^(('实盘净值数据(iFinD）'!$A771-'实盘净值数据(iFinD）'!$A$6)/365))</f>
        <v/>
      </c>
      <c r="C771" s="16" t="str">
        <f t="shared" si="72"/>
        <v/>
      </c>
      <c r="D771" s="16" t="str">
        <f>IF(B771="","",B771/MAX(B$5:B771)-1)</f>
        <v/>
      </c>
      <c r="E771" s="13" t="str">
        <f>IF(OR('实盘净值数据(iFinD）'!$A771="",'实盘净值数据(iFinD）'!$B771=""),"",分期持仓明细!$AB$18*SUMPRODUCT(分期持仓明细!$B$18:$Y$18,'实盘净值数据(iFinD）'!$B771:$Y771/'实盘净值数据(iFinD）'!$B$20:$Y$20)*(1-实盘持仓初始配置!$Z$5)^(('实盘净值数据(iFinD）'!$A771-'实盘净值数据(iFinD）'!$A$5)/365))</f>
        <v/>
      </c>
      <c r="F771" s="16" t="str">
        <f t="shared" si="73"/>
        <v/>
      </c>
      <c r="G771" s="16" t="str">
        <f>IF(E771="","",E771/MAX(E$5:E771)-1)</f>
        <v/>
      </c>
      <c r="H771" s="13" t="str">
        <f>IF(OR('实盘净值数据(iFinD）'!$A771="",'实盘净值数据(iFinD）'!$B771=""),"",分期持仓明细!$AB$19*SUMPRODUCT(分期持仓明细!$B$19:$Y$19,'实盘净值数据(iFinD）'!$B771:$Y771/'实盘净值数据(iFinD）'!$B$20:$Y$20)*(1-实盘持仓初始配置!$Z$6)^(('实盘净值数据(iFinD）'!$A771-'实盘净值数据(iFinD）'!$A$7)/365))</f>
        <v/>
      </c>
      <c r="I771" s="16" t="str">
        <f t="shared" si="74"/>
        <v/>
      </c>
      <c r="J771" s="16" t="str">
        <f>IF(H771="","",H771/MAX(H$5:H771)-1)</f>
        <v/>
      </c>
      <c r="K771" s="13" t="str">
        <f>IF(OR('实盘净值数据(iFinD）'!$A771="",'实盘净值数据(iFinD）'!$B771="",'实盘净值数据(iFinD）'!$Z771="",'实盘净值数据(iFinD）'!$AA771=""),"",分期持仓明细!$AB$23*(SUMPRODUCT(分期持仓明细!$B$23:$Y$23,'实盘净值数据(iFinD）'!$B771:$Y771/'实盘净值数据(iFinD）'!$B$65:$Y$65)+SUMPRODUCT(分期持仓明细!$AC$23:$AD$23,'实盘净值数据(iFinD）'!$Z771:$AA771/'实盘净值数据(iFinD）'!$Z$65:$AA$65))*(1-实盘持仓初始配置!$Z$7)^(('实盘净值数据(iFinD）'!$A771-'实盘净值数据(iFinD）'!$A$8)/365))</f>
        <v/>
      </c>
      <c r="L771" s="16" t="str">
        <f t="shared" si="75"/>
        <v/>
      </c>
      <c r="M771" s="16" t="str">
        <f>IF(K771="","",K771/MAX(K$5:K771)-1)</f>
        <v/>
      </c>
      <c r="N771" s="13" t="str">
        <f>IF(OR('实盘净值数据(iFinD）'!$A771="",'实盘净值数据(iFinD）'!$B771="",'实盘净值数据(iFinD）'!$Z771="",'实盘净值数据(iFinD）'!$AA771=""),"",分期持仓明细!$AB$24*(SUMPRODUCT(分期持仓明细!$B$24:$Y$24,'实盘净值数据(iFinD）'!$B771:$Y771/'实盘净值数据(iFinD）'!$B$65:$Y$65)+SUMPRODUCT(分期持仓明细!$AC$24:$AD$24,'实盘净值数据(iFinD）'!$Z771:$AA771/'实盘净值数据(iFinD）'!$Z$65:$AA$65))*(1-实盘持仓初始配置!$Z$8)^(('实盘净值数据(iFinD）'!$A771-'实盘净值数据(iFinD）'!$A$5)/365))</f>
        <v/>
      </c>
      <c r="O771" s="16" t="str">
        <f t="shared" si="76"/>
        <v/>
      </c>
      <c r="P771" s="16" t="str">
        <f>IF(N771="","",N771/MAX(N$5:N771)-1)</f>
        <v/>
      </c>
      <c r="Q771" s="13" t="str">
        <f>IF(OR('实盘净值数据(iFinD）'!$A771="",'实盘净值数据(iFinD）'!$B771="",'实盘净值数据(iFinD）'!$Z771="",'实盘净值数据(iFinD）'!$AA771=""),"",分期持仓明细!$AB$25*(SUMPRODUCT(分期持仓明细!$B$25:$Y$25,'实盘净值数据(iFinD）'!$B771:$Y771/'实盘净值数据(iFinD）'!$B$65:$Y$65)+SUMPRODUCT(分期持仓明细!$AC$25:$AD$25,'实盘净值数据(iFinD）'!$Z771:$AA771/'实盘净值数据(iFinD）'!$Z$65:$AA$65))*(1-实盘持仓初始配置!$Z$9)^(('实盘净值数据(iFinD）'!$A771-'实盘净值数据(iFinD）'!$A$8)/365))</f>
        <v/>
      </c>
      <c r="R771" s="16" t="str">
        <f t="shared" si="77"/>
        <v/>
      </c>
      <c r="S771" s="16" t="str">
        <f>IF(Q771="","",Q771/MAX(Q$5:Q771)-1)</f>
        <v/>
      </c>
    </row>
    <row r="772" spans="1:19">
      <c r="A772" s="15" t="str">
        <f>IF('实盘净值数据(iFinD）'!A772="","",'实盘净值数据(iFinD）'!A772)</f>
        <v/>
      </c>
      <c r="B772" s="13" t="str">
        <f>IF(OR('实盘净值数据(iFinD）'!$A772="",'实盘净值数据(iFinD）'!$B772=""),"",分期持仓明细!$AB$17*SUMPRODUCT(分期持仓明细!$B$17:$Y$17,'实盘净值数据(iFinD）'!$B772:$Y772/'实盘净值数据(iFinD）'!$B$20:$Y$20)*(1-实盘持仓初始配置!$Z$4)^(('实盘净值数据(iFinD）'!$A772-'实盘净值数据(iFinD）'!$A$6)/365))</f>
        <v/>
      </c>
      <c r="C772" s="16" t="str">
        <f t="shared" si="72"/>
        <v/>
      </c>
      <c r="D772" s="16" t="str">
        <f>IF(B772="","",B772/MAX(B$5:B772)-1)</f>
        <v/>
      </c>
      <c r="E772" s="13" t="str">
        <f>IF(OR('实盘净值数据(iFinD）'!$A772="",'实盘净值数据(iFinD）'!$B772=""),"",分期持仓明细!$AB$18*SUMPRODUCT(分期持仓明细!$B$18:$Y$18,'实盘净值数据(iFinD）'!$B772:$Y772/'实盘净值数据(iFinD）'!$B$20:$Y$20)*(1-实盘持仓初始配置!$Z$5)^(('实盘净值数据(iFinD）'!$A772-'实盘净值数据(iFinD）'!$A$5)/365))</f>
        <v/>
      </c>
      <c r="F772" s="16" t="str">
        <f t="shared" si="73"/>
        <v/>
      </c>
      <c r="G772" s="16" t="str">
        <f>IF(E772="","",E772/MAX(E$5:E772)-1)</f>
        <v/>
      </c>
      <c r="H772" s="13" t="str">
        <f>IF(OR('实盘净值数据(iFinD）'!$A772="",'实盘净值数据(iFinD）'!$B772=""),"",分期持仓明细!$AB$19*SUMPRODUCT(分期持仓明细!$B$19:$Y$19,'实盘净值数据(iFinD）'!$B772:$Y772/'实盘净值数据(iFinD）'!$B$20:$Y$20)*(1-实盘持仓初始配置!$Z$6)^(('实盘净值数据(iFinD）'!$A772-'实盘净值数据(iFinD）'!$A$7)/365))</f>
        <v/>
      </c>
      <c r="I772" s="16" t="str">
        <f t="shared" si="74"/>
        <v/>
      </c>
      <c r="J772" s="16" t="str">
        <f>IF(H772="","",H772/MAX(H$5:H772)-1)</f>
        <v/>
      </c>
      <c r="K772" s="13" t="str">
        <f>IF(OR('实盘净值数据(iFinD）'!$A772="",'实盘净值数据(iFinD）'!$B772="",'实盘净值数据(iFinD）'!$Z772="",'实盘净值数据(iFinD）'!$AA772=""),"",分期持仓明细!$AB$23*(SUMPRODUCT(分期持仓明细!$B$23:$Y$23,'实盘净值数据(iFinD）'!$B772:$Y772/'实盘净值数据(iFinD）'!$B$65:$Y$65)+SUMPRODUCT(分期持仓明细!$AC$23:$AD$23,'实盘净值数据(iFinD）'!$Z772:$AA772/'实盘净值数据(iFinD）'!$Z$65:$AA$65))*(1-实盘持仓初始配置!$Z$7)^(('实盘净值数据(iFinD）'!$A772-'实盘净值数据(iFinD）'!$A$8)/365))</f>
        <v/>
      </c>
      <c r="L772" s="16" t="str">
        <f t="shared" si="75"/>
        <v/>
      </c>
      <c r="M772" s="16" t="str">
        <f>IF(K772="","",K772/MAX(K$5:K772)-1)</f>
        <v/>
      </c>
      <c r="N772" s="13" t="str">
        <f>IF(OR('实盘净值数据(iFinD）'!$A772="",'实盘净值数据(iFinD）'!$B772="",'实盘净值数据(iFinD）'!$Z772="",'实盘净值数据(iFinD）'!$AA772=""),"",分期持仓明细!$AB$24*(SUMPRODUCT(分期持仓明细!$B$24:$Y$24,'实盘净值数据(iFinD）'!$B772:$Y772/'实盘净值数据(iFinD）'!$B$65:$Y$65)+SUMPRODUCT(分期持仓明细!$AC$24:$AD$24,'实盘净值数据(iFinD）'!$Z772:$AA772/'实盘净值数据(iFinD）'!$Z$65:$AA$65))*(1-实盘持仓初始配置!$Z$8)^(('实盘净值数据(iFinD）'!$A772-'实盘净值数据(iFinD）'!$A$5)/365))</f>
        <v/>
      </c>
      <c r="O772" s="16" t="str">
        <f t="shared" si="76"/>
        <v/>
      </c>
      <c r="P772" s="16" t="str">
        <f>IF(N772="","",N772/MAX(N$5:N772)-1)</f>
        <v/>
      </c>
      <c r="Q772" s="13" t="str">
        <f>IF(OR('实盘净值数据(iFinD）'!$A772="",'实盘净值数据(iFinD）'!$B772="",'实盘净值数据(iFinD）'!$Z772="",'实盘净值数据(iFinD）'!$AA772=""),"",分期持仓明细!$AB$25*(SUMPRODUCT(分期持仓明细!$B$25:$Y$25,'实盘净值数据(iFinD）'!$B772:$Y772/'实盘净值数据(iFinD）'!$B$65:$Y$65)+SUMPRODUCT(分期持仓明细!$AC$25:$AD$25,'实盘净值数据(iFinD）'!$Z772:$AA772/'实盘净值数据(iFinD）'!$Z$65:$AA$65))*(1-实盘持仓初始配置!$Z$9)^(('实盘净值数据(iFinD）'!$A772-'实盘净值数据(iFinD）'!$A$8)/365))</f>
        <v/>
      </c>
      <c r="R772" s="16" t="str">
        <f t="shared" si="77"/>
        <v/>
      </c>
      <c r="S772" s="16" t="str">
        <f>IF(Q772="","",Q772/MAX(Q$5:Q772)-1)</f>
        <v/>
      </c>
    </row>
    <row r="773" spans="1:19">
      <c r="A773" s="15" t="str">
        <f>IF('实盘净值数据(iFinD）'!A773="","",'实盘净值数据(iFinD）'!A773)</f>
        <v/>
      </c>
      <c r="B773" s="13" t="str">
        <f>IF(OR('实盘净值数据(iFinD）'!$A773="",'实盘净值数据(iFinD）'!$B773=""),"",分期持仓明细!$AB$17*SUMPRODUCT(分期持仓明细!$B$17:$Y$17,'实盘净值数据(iFinD）'!$B773:$Y773/'实盘净值数据(iFinD）'!$B$20:$Y$20)*(1-实盘持仓初始配置!$Z$4)^(('实盘净值数据(iFinD）'!$A773-'实盘净值数据(iFinD）'!$A$6)/365))</f>
        <v/>
      </c>
      <c r="C773" s="16" t="str">
        <f t="shared" si="72"/>
        <v/>
      </c>
      <c r="D773" s="16" t="str">
        <f>IF(B773="","",B773/MAX(B$5:B773)-1)</f>
        <v/>
      </c>
      <c r="E773" s="13" t="str">
        <f>IF(OR('实盘净值数据(iFinD）'!$A773="",'实盘净值数据(iFinD）'!$B773=""),"",分期持仓明细!$AB$18*SUMPRODUCT(分期持仓明细!$B$18:$Y$18,'实盘净值数据(iFinD）'!$B773:$Y773/'实盘净值数据(iFinD）'!$B$20:$Y$20)*(1-实盘持仓初始配置!$Z$5)^(('实盘净值数据(iFinD）'!$A773-'实盘净值数据(iFinD）'!$A$5)/365))</f>
        <v/>
      </c>
      <c r="F773" s="16" t="str">
        <f t="shared" si="73"/>
        <v/>
      </c>
      <c r="G773" s="16" t="str">
        <f>IF(E773="","",E773/MAX(E$5:E773)-1)</f>
        <v/>
      </c>
      <c r="H773" s="13" t="str">
        <f>IF(OR('实盘净值数据(iFinD）'!$A773="",'实盘净值数据(iFinD）'!$B773=""),"",分期持仓明细!$AB$19*SUMPRODUCT(分期持仓明细!$B$19:$Y$19,'实盘净值数据(iFinD）'!$B773:$Y773/'实盘净值数据(iFinD）'!$B$20:$Y$20)*(1-实盘持仓初始配置!$Z$6)^(('实盘净值数据(iFinD）'!$A773-'实盘净值数据(iFinD）'!$A$7)/365))</f>
        <v/>
      </c>
      <c r="I773" s="16" t="str">
        <f t="shared" si="74"/>
        <v/>
      </c>
      <c r="J773" s="16" t="str">
        <f>IF(H773="","",H773/MAX(H$5:H773)-1)</f>
        <v/>
      </c>
      <c r="K773" s="13" t="str">
        <f>IF(OR('实盘净值数据(iFinD）'!$A773="",'实盘净值数据(iFinD）'!$B773="",'实盘净值数据(iFinD）'!$Z773="",'实盘净值数据(iFinD）'!$AA773=""),"",分期持仓明细!$AB$23*(SUMPRODUCT(分期持仓明细!$B$23:$Y$23,'实盘净值数据(iFinD）'!$B773:$Y773/'实盘净值数据(iFinD）'!$B$65:$Y$65)+SUMPRODUCT(分期持仓明细!$AC$23:$AD$23,'实盘净值数据(iFinD）'!$Z773:$AA773/'实盘净值数据(iFinD）'!$Z$65:$AA$65))*(1-实盘持仓初始配置!$Z$7)^(('实盘净值数据(iFinD）'!$A773-'实盘净值数据(iFinD）'!$A$8)/365))</f>
        <v/>
      </c>
      <c r="L773" s="16" t="str">
        <f t="shared" si="75"/>
        <v/>
      </c>
      <c r="M773" s="16" t="str">
        <f>IF(K773="","",K773/MAX(K$5:K773)-1)</f>
        <v/>
      </c>
      <c r="N773" s="13" t="str">
        <f>IF(OR('实盘净值数据(iFinD）'!$A773="",'实盘净值数据(iFinD）'!$B773="",'实盘净值数据(iFinD）'!$Z773="",'实盘净值数据(iFinD）'!$AA773=""),"",分期持仓明细!$AB$24*(SUMPRODUCT(分期持仓明细!$B$24:$Y$24,'实盘净值数据(iFinD）'!$B773:$Y773/'实盘净值数据(iFinD）'!$B$65:$Y$65)+SUMPRODUCT(分期持仓明细!$AC$24:$AD$24,'实盘净值数据(iFinD）'!$Z773:$AA773/'实盘净值数据(iFinD）'!$Z$65:$AA$65))*(1-实盘持仓初始配置!$Z$8)^(('实盘净值数据(iFinD）'!$A773-'实盘净值数据(iFinD）'!$A$5)/365))</f>
        <v/>
      </c>
      <c r="O773" s="16" t="str">
        <f t="shared" si="76"/>
        <v/>
      </c>
      <c r="P773" s="16" t="str">
        <f>IF(N773="","",N773/MAX(N$5:N773)-1)</f>
        <v/>
      </c>
      <c r="Q773" s="13" t="str">
        <f>IF(OR('实盘净值数据(iFinD）'!$A773="",'实盘净值数据(iFinD）'!$B773="",'实盘净值数据(iFinD）'!$Z773="",'实盘净值数据(iFinD）'!$AA773=""),"",分期持仓明细!$AB$25*(SUMPRODUCT(分期持仓明细!$B$25:$Y$25,'实盘净值数据(iFinD）'!$B773:$Y773/'实盘净值数据(iFinD）'!$B$65:$Y$65)+SUMPRODUCT(分期持仓明细!$AC$25:$AD$25,'实盘净值数据(iFinD）'!$Z773:$AA773/'实盘净值数据(iFinD）'!$Z$65:$AA$65))*(1-实盘持仓初始配置!$Z$9)^(('实盘净值数据(iFinD）'!$A773-'实盘净值数据(iFinD）'!$A$8)/365))</f>
        <v/>
      </c>
      <c r="R773" s="16" t="str">
        <f t="shared" si="77"/>
        <v/>
      </c>
      <c r="S773" s="16" t="str">
        <f>IF(Q773="","",Q773/MAX(Q$5:Q773)-1)</f>
        <v/>
      </c>
    </row>
    <row r="774" spans="1:19">
      <c r="A774" s="15" t="str">
        <f>IF('实盘净值数据(iFinD）'!A774="","",'实盘净值数据(iFinD）'!A774)</f>
        <v/>
      </c>
      <c r="B774" s="13" t="str">
        <f>IF(OR('实盘净值数据(iFinD）'!$A774="",'实盘净值数据(iFinD）'!$B774=""),"",分期持仓明细!$AB$17*SUMPRODUCT(分期持仓明细!$B$17:$Y$17,'实盘净值数据(iFinD）'!$B774:$Y774/'实盘净值数据(iFinD）'!$B$20:$Y$20)*(1-实盘持仓初始配置!$Z$4)^(('实盘净值数据(iFinD）'!$A774-'实盘净值数据(iFinD）'!$A$6)/365))</f>
        <v/>
      </c>
      <c r="C774" s="16" t="str">
        <f t="shared" si="72"/>
        <v/>
      </c>
      <c r="D774" s="16" t="str">
        <f>IF(B774="","",B774/MAX(B$5:B774)-1)</f>
        <v/>
      </c>
      <c r="E774" s="13" t="str">
        <f>IF(OR('实盘净值数据(iFinD）'!$A774="",'实盘净值数据(iFinD）'!$B774=""),"",分期持仓明细!$AB$18*SUMPRODUCT(分期持仓明细!$B$18:$Y$18,'实盘净值数据(iFinD）'!$B774:$Y774/'实盘净值数据(iFinD）'!$B$20:$Y$20)*(1-实盘持仓初始配置!$Z$5)^(('实盘净值数据(iFinD）'!$A774-'实盘净值数据(iFinD）'!$A$5)/365))</f>
        <v/>
      </c>
      <c r="F774" s="16" t="str">
        <f t="shared" si="73"/>
        <v/>
      </c>
      <c r="G774" s="16" t="str">
        <f>IF(E774="","",E774/MAX(E$5:E774)-1)</f>
        <v/>
      </c>
      <c r="H774" s="13" t="str">
        <f>IF(OR('实盘净值数据(iFinD）'!$A774="",'实盘净值数据(iFinD）'!$B774=""),"",分期持仓明细!$AB$19*SUMPRODUCT(分期持仓明细!$B$19:$Y$19,'实盘净值数据(iFinD）'!$B774:$Y774/'实盘净值数据(iFinD）'!$B$20:$Y$20)*(1-实盘持仓初始配置!$Z$6)^(('实盘净值数据(iFinD）'!$A774-'实盘净值数据(iFinD）'!$A$7)/365))</f>
        <v/>
      </c>
      <c r="I774" s="16" t="str">
        <f t="shared" si="74"/>
        <v/>
      </c>
      <c r="J774" s="16" t="str">
        <f>IF(H774="","",H774/MAX(H$5:H774)-1)</f>
        <v/>
      </c>
      <c r="K774" s="13" t="str">
        <f>IF(OR('实盘净值数据(iFinD）'!$A774="",'实盘净值数据(iFinD）'!$B774="",'实盘净值数据(iFinD）'!$Z774="",'实盘净值数据(iFinD）'!$AA774=""),"",分期持仓明细!$AB$23*(SUMPRODUCT(分期持仓明细!$B$23:$Y$23,'实盘净值数据(iFinD）'!$B774:$Y774/'实盘净值数据(iFinD）'!$B$65:$Y$65)+SUMPRODUCT(分期持仓明细!$AC$23:$AD$23,'实盘净值数据(iFinD）'!$Z774:$AA774/'实盘净值数据(iFinD）'!$Z$65:$AA$65))*(1-实盘持仓初始配置!$Z$7)^(('实盘净值数据(iFinD）'!$A774-'实盘净值数据(iFinD）'!$A$8)/365))</f>
        <v/>
      </c>
      <c r="L774" s="16" t="str">
        <f t="shared" si="75"/>
        <v/>
      </c>
      <c r="M774" s="16" t="str">
        <f>IF(K774="","",K774/MAX(K$5:K774)-1)</f>
        <v/>
      </c>
      <c r="N774" s="13" t="str">
        <f>IF(OR('实盘净值数据(iFinD）'!$A774="",'实盘净值数据(iFinD）'!$B774="",'实盘净值数据(iFinD）'!$Z774="",'实盘净值数据(iFinD）'!$AA774=""),"",分期持仓明细!$AB$24*(SUMPRODUCT(分期持仓明细!$B$24:$Y$24,'实盘净值数据(iFinD）'!$B774:$Y774/'实盘净值数据(iFinD）'!$B$65:$Y$65)+SUMPRODUCT(分期持仓明细!$AC$24:$AD$24,'实盘净值数据(iFinD）'!$Z774:$AA774/'实盘净值数据(iFinD）'!$Z$65:$AA$65))*(1-实盘持仓初始配置!$Z$8)^(('实盘净值数据(iFinD）'!$A774-'实盘净值数据(iFinD）'!$A$5)/365))</f>
        <v/>
      </c>
      <c r="O774" s="16" t="str">
        <f t="shared" si="76"/>
        <v/>
      </c>
      <c r="P774" s="16" t="str">
        <f>IF(N774="","",N774/MAX(N$5:N774)-1)</f>
        <v/>
      </c>
      <c r="Q774" s="13" t="str">
        <f>IF(OR('实盘净值数据(iFinD）'!$A774="",'实盘净值数据(iFinD）'!$B774="",'实盘净值数据(iFinD）'!$Z774="",'实盘净值数据(iFinD）'!$AA774=""),"",分期持仓明细!$AB$25*(SUMPRODUCT(分期持仓明细!$B$25:$Y$25,'实盘净值数据(iFinD）'!$B774:$Y774/'实盘净值数据(iFinD）'!$B$65:$Y$65)+SUMPRODUCT(分期持仓明细!$AC$25:$AD$25,'实盘净值数据(iFinD）'!$Z774:$AA774/'实盘净值数据(iFinD）'!$Z$65:$AA$65))*(1-实盘持仓初始配置!$Z$9)^(('实盘净值数据(iFinD）'!$A774-'实盘净值数据(iFinD）'!$A$8)/365))</f>
        <v/>
      </c>
      <c r="R774" s="16" t="str">
        <f t="shared" si="77"/>
        <v/>
      </c>
      <c r="S774" s="16" t="str">
        <f>IF(Q774="","",Q774/MAX(Q$5:Q774)-1)</f>
        <v/>
      </c>
    </row>
    <row r="775" spans="1:19">
      <c r="A775" s="15" t="str">
        <f>IF('实盘净值数据(iFinD）'!A775="","",'实盘净值数据(iFinD）'!A775)</f>
        <v/>
      </c>
      <c r="B775" s="13" t="str">
        <f>IF(OR('实盘净值数据(iFinD）'!$A775="",'实盘净值数据(iFinD）'!$B775=""),"",分期持仓明细!$AB$17*SUMPRODUCT(分期持仓明细!$B$17:$Y$17,'实盘净值数据(iFinD）'!$B775:$Y775/'实盘净值数据(iFinD）'!$B$20:$Y$20)*(1-实盘持仓初始配置!$Z$4)^(('实盘净值数据(iFinD）'!$A775-'实盘净值数据(iFinD）'!$A$6)/365))</f>
        <v/>
      </c>
      <c r="C775" s="16" t="str">
        <f t="shared" si="72"/>
        <v/>
      </c>
      <c r="D775" s="16" t="str">
        <f>IF(B775="","",B775/MAX(B$5:B775)-1)</f>
        <v/>
      </c>
      <c r="E775" s="13" t="str">
        <f>IF(OR('实盘净值数据(iFinD）'!$A775="",'实盘净值数据(iFinD）'!$B775=""),"",分期持仓明细!$AB$18*SUMPRODUCT(分期持仓明细!$B$18:$Y$18,'实盘净值数据(iFinD）'!$B775:$Y775/'实盘净值数据(iFinD）'!$B$20:$Y$20)*(1-实盘持仓初始配置!$Z$5)^(('实盘净值数据(iFinD）'!$A775-'实盘净值数据(iFinD）'!$A$5)/365))</f>
        <v/>
      </c>
      <c r="F775" s="16" t="str">
        <f t="shared" si="73"/>
        <v/>
      </c>
      <c r="G775" s="16" t="str">
        <f>IF(E775="","",E775/MAX(E$5:E775)-1)</f>
        <v/>
      </c>
      <c r="H775" s="13" t="str">
        <f>IF(OR('实盘净值数据(iFinD）'!$A775="",'实盘净值数据(iFinD）'!$B775=""),"",分期持仓明细!$AB$19*SUMPRODUCT(分期持仓明细!$B$19:$Y$19,'实盘净值数据(iFinD）'!$B775:$Y775/'实盘净值数据(iFinD）'!$B$20:$Y$20)*(1-实盘持仓初始配置!$Z$6)^(('实盘净值数据(iFinD）'!$A775-'实盘净值数据(iFinD）'!$A$7)/365))</f>
        <v/>
      </c>
      <c r="I775" s="16" t="str">
        <f t="shared" si="74"/>
        <v/>
      </c>
      <c r="J775" s="16" t="str">
        <f>IF(H775="","",H775/MAX(H$5:H775)-1)</f>
        <v/>
      </c>
      <c r="K775" s="13" t="str">
        <f>IF(OR('实盘净值数据(iFinD）'!$A775="",'实盘净值数据(iFinD）'!$B775="",'实盘净值数据(iFinD）'!$Z775="",'实盘净值数据(iFinD）'!$AA775=""),"",分期持仓明细!$AB$23*(SUMPRODUCT(分期持仓明细!$B$23:$Y$23,'实盘净值数据(iFinD）'!$B775:$Y775/'实盘净值数据(iFinD）'!$B$65:$Y$65)+SUMPRODUCT(分期持仓明细!$AC$23:$AD$23,'实盘净值数据(iFinD）'!$Z775:$AA775/'实盘净值数据(iFinD）'!$Z$65:$AA$65))*(1-实盘持仓初始配置!$Z$7)^(('实盘净值数据(iFinD）'!$A775-'实盘净值数据(iFinD）'!$A$8)/365))</f>
        <v/>
      </c>
      <c r="L775" s="16" t="str">
        <f t="shared" si="75"/>
        <v/>
      </c>
      <c r="M775" s="16" t="str">
        <f>IF(K775="","",K775/MAX(K$5:K775)-1)</f>
        <v/>
      </c>
      <c r="N775" s="13" t="str">
        <f>IF(OR('实盘净值数据(iFinD）'!$A775="",'实盘净值数据(iFinD）'!$B775="",'实盘净值数据(iFinD）'!$Z775="",'实盘净值数据(iFinD）'!$AA775=""),"",分期持仓明细!$AB$24*(SUMPRODUCT(分期持仓明细!$B$24:$Y$24,'实盘净值数据(iFinD）'!$B775:$Y775/'实盘净值数据(iFinD）'!$B$65:$Y$65)+SUMPRODUCT(分期持仓明细!$AC$24:$AD$24,'实盘净值数据(iFinD）'!$Z775:$AA775/'实盘净值数据(iFinD）'!$Z$65:$AA$65))*(1-实盘持仓初始配置!$Z$8)^(('实盘净值数据(iFinD）'!$A775-'实盘净值数据(iFinD）'!$A$5)/365))</f>
        <v/>
      </c>
      <c r="O775" s="16" t="str">
        <f t="shared" si="76"/>
        <v/>
      </c>
      <c r="P775" s="16" t="str">
        <f>IF(N775="","",N775/MAX(N$5:N775)-1)</f>
        <v/>
      </c>
      <c r="Q775" s="13" t="str">
        <f>IF(OR('实盘净值数据(iFinD）'!$A775="",'实盘净值数据(iFinD）'!$B775="",'实盘净值数据(iFinD）'!$Z775="",'实盘净值数据(iFinD）'!$AA775=""),"",分期持仓明细!$AB$25*(SUMPRODUCT(分期持仓明细!$B$25:$Y$25,'实盘净值数据(iFinD）'!$B775:$Y775/'实盘净值数据(iFinD）'!$B$65:$Y$65)+SUMPRODUCT(分期持仓明细!$AC$25:$AD$25,'实盘净值数据(iFinD）'!$Z775:$AA775/'实盘净值数据(iFinD）'!$Z$65:$AA$65))*(1-实盘持仓初始配置!$Z$9)^(('实盘净值数据(iFinD）'!$A775-'实盘净值数据(iFinD）'!$A$8)/365))</f>
        <v/>
      </c>
      <c r="R775" s="16" t="str">
        <f t="shared" si="77"/>
        <v/>
      </c>
      <c r="S775" s="16" t="str">
        <f>IF(Q775="","",Q775/MAX(Q$5:Q775)-1)</f>
        <v/>
      </c>
    </row>
    <row r="776" spans="1:19">
      <c r="A776" s="15" t="str">
        <f>IF('实盘净值数据(iFinD）'!A776="","",'实盘净值数据(iFinD）'!A776)</f>
        <v/>
      </c>
      <c r="B776" s="13" t="str">
        <f>IF(OR('实盘净值数据(iFinD）'!$A776="",'实盘净值数据(iFinD）'!$B776=""),"",分期持仓明细!$AB$17*SUMPRODUCT(分期持仓明细!$B$17:$Y$17,'实盘净值数据(iFinD）'!$B776:$Y776/'实盘净值数据(iFinD）'!$B$20:$Y$20)*(1-实盘持仓初始配置!$Z$4)^(('实盘净值数据(iFinD）'!$A776-'实盘净值数据(iFinD）'!$A$6)/365))</f>
        <v/>
      </c>
      <c r="C776" s="16" t="str">
        <f t="shared" si="72"/>
        <v/>
      </c>
      <c r="D776" s="16" t="str">
        <f>IF(B776="","",B776/MAX(B$5:B776)-1)</f>
        <v/>
      </c>
      <c r="E776" s="13" t="str">
        <f>IF(OR('实盘净值数据(iFinD）'!$A776="",'实盘净值数据(iFinD）'!$B776=""),"",分期持仓明细!$AB$18*SUMPRODUCT(分期持仓明细!$B$18:$Y$18,'实盘净值数据(iFinD）'!$B776:$Y776/'实盘净值数据(iFinD）'!$B$20:$Y$20)*(1-实盘持仓初始配置!$Z$5)^(('实盘净值数据(iFinD）'!$A776-'实盘净值数据(iFinD）'!$A$5)/365))</f>
        <v/>
      </c>
      <c r="F776" s="16" t="str">
        <f t="shared" si="73"/>
        <v/>
      </c>
      <c r="G776" s="16" t="str">
        <f>IF(E776="","",E776/MAX(E$5:E776)-1)</f>
        <v/>
      </c>
      <c r="H776" s="13" t="str">
        <f>IF(OR('实盘净值数据(iFinD）'!$A776="",'实盘净值数据(iFinD）'!$B776=""),"",分期持仓明细!$AB$19*SUMPRODUCT(分期持仓明细!$B$19:$Y$19,'实盘净值数据(iFinD）'!$B776:$Y776/'实盘净值数据(iFinD）'!$B$20:$Y$20)*(1-实盘持仓初始配置!$Z$6)^(('实盘净值数据(iFinD）'!$A776-'实盘净值数据(iFinD）'!$A$7)/365))</f>
        <v/>
      </c>
      <c r="I776" s="16" t="str">
        <f t="shared" si="74"/>
        <v/>
      </c>
      <c r="J776" s="16" t="str">
        <f>IF(H776="","",H776/MAX(H$5:H776)-1)</f>
        <v/>
      </c>
      <c r="K776" s="13" t="str">
        <f>IF(OR('实盘净值数据(iFinD）'!$A776="",'实盘净值数据(iFinD）'!$B776="",'实盘净值数据(iFinD）'!$Z776="",'实盘净值数据(iFinD）'!$AA776=""),"",分期持仓明细!$AB$23*(SUMPRODUCT(分期持仓明细!$B$23:$Y$23,'实盘净值数据(iFinD）'!$B776:$Y776/'实盘净值数据(iFinD）'!$B$65:$Y$65)+SUMPRODUCT(分期持仓明细!$AC$23:$AD$23,'实盘净值数据(iFinD）'!$Z776:$AA776/'实盘净值数据(iFinD）'!$Z$65:$AA$65))*(1-实盘持仓初始配置!$Z$7)^(('实盘净值数据(iFinD）'!$A776-'实盘净值数据(iFinD）'!$A$8)/365))</f>
        <v/>
      </c>
      <c r="L776" s="16" t="str">
        <f t="shared" si="75"/>
        <v/>
      </c>
      <c r="M776" s="16" t="str">
        <f>IF(K776="","",K776/MAX(K$5:K776)-1)</f>
        <v/>
      </c>
      <c r="N776" s="13" t="str">
        <f>IF(OR('实盘净值数据(iFinD）'!$A776="",'实盘净值数据(iFinD）'!$B776="",'实盘净值数据(iFinD）'!$Z776="",'实盘净值数据(iFinD）'!$AA776=""),"",分期持仓明细!$AB$24*(SUMPRODUCT(分期持仓明细!$B$24:$Y$24,'实盘净值数据(iFinD）'!$B776:$Y776/'实盘净值数据(iFinD）'!$B$65:$Y$65)+SUMPRODUCT(分期持仓明细!$AC$24:$AD$24,'实盘净值数据(iFinD）'!$Z776:$AA776/'实盘净值数据(iFinD）'!$Z$65:$AA$65))*(1-实盘持仓初始配置!$Z$8)^(('实盘净值数据(iFinD）'!$A776-'实盘净值数据(iFinD）'!$A$5)/365))</f>
        <v/>
      </c>
      <c r="O776" s="16" t="str">
        <f t="shared" si="76"/>
        <v/>
      </c>
      <c r="P776" s="16" t="str">
        <f>IF(N776="","",N776/MAX(N$5:N776)-1)</f>
        <v/>
      </c>
      <c r="Q776" s="13" t="str">
        <f>IF(OR('实盘净值数据(iFinD）'!$A776="",'实盘净值数据(iFinD）'!$B776="",'实盘净值数据(iFinD）'!$Z776="",'实盘净值数据(iFinD）'!$AA776=""),"",分期持仓明细!$AB$25*(SUMPRODUCT(分期持仓明细!$B$25:$Y$25,'实盘净值数据(iFinD）'!$B776:$Y776/'实盘净值数据(iFinD）'!$B$65:$Y$65)+SUMPRODUCT(分期持仓明细!$AC$25:$AD$25,'实盘净值数据(iFinD）'!$Z776:$AA776/'实盘净值数据(iFinD）'!$Z$65:$AA$65))*(1-实盘持仓初始配置!$Z$9)^(('实盘净值数据(iFinD）'!$A776-'实盘净值数据(iFinD）'!$A$8)/365))</f>
        <v/>
      </c>
      <c r="R776" s="16" t="str">
        <f t="shared" si="77"/>
        <v/>
      </c>
      <c r="S776" s="16" t="str">
        <f>IF(Q776="","",Q776/MAX(Q$5:Q776)-1)</f>
        <v/>
      </c>
    </row>
    <row r="777" spans="1:19">
      <c r="A777" s="15" t="str">
        <f>IF('实盘净值数据(iFinD）'!A777="","",'实盘净值数据(iFinD）'!A777)</f>
        <v/>
      </c>
      <c r="B777" s="13" t="str">
        <f>IF(OR('实盘净值数据(iFinD）'!$A777="",'实盘净值数据(iFinD）'!$B777=""),"",分期持仓明细!$AB$17*SUMPRODUCT(分期持仓明细!$B$17:$Y$17,'实盘净值数据(iFinD）'!$B777:$Y777/'实盘净值数据(iFinD）'!$B$20:$Y$20)*(1-实盘持仓初始配置!$Z$4)^(('实盘净值数据(iFinD）'!$A777-'实盘净值数据(iFinD）'!$A$6)/365))</f>
        <v/>
      </c>
      <c r="C777" s="16" t="str">
        <f t="shared" si="72"/>
        <v/>
      </c>
      <c r="D777" s="16" t="str">
        <f>IF(B777="","",B777/MAX(B$5:B777)-1)</f>
        <v/>
      </c>
      <c r="E777" s="13" t="str">
        <f>IF(OR('实盘净值数据(iFinD）'!$A777="",'实盘净值数据(iFinD）'!$B777=""),"",分期持仓明细!$AB$18*SUMPRODUCT(分期持仓明细!$B$18:$Y$18,'实盘净值数据(iFinD）'!$B777:$Y777/'实盘净值数据(iFinD）'!$B$20:$Y$20)*(1-实盘持仓初始配置!$Z$5)^(('实盘净值数据(iFinD）'!$A777-'实盘净值数据(iFinD）'!$A$5)/365))</f>
        <v/>
      </c>
      <c r="F777" s="16" t="str">
        <f t="shared" si="73"/>
        <v/>
      </c>
      <c r="G777" s="16" t="str">
        <f>IF(E777="","",E777/MAX(E$5:E777)-1)</f>
        <v/>
      </c>
      <c r="H777" s="13" t="str">
        <f>IF(OR('实盘净值数据(iFinD）'!$A777="",'实盘净值数据(iFinD）'!$B777=""),"",分期持仓明细!$AB$19*SUMPRODUCT(分期持仓明细!$B$19:$Y$19,'实盘净值数据(iFinD）'!$B777:$Y777/'实盘净值数据(iFinD）'!$B$20:$Y$20)*(1-实盘持仓初始配置!$Z$6)^(('实盘净值数据(iFinD）'!$A777-'实盘净值数据(iFinD）'!$A$7)/365))</f>
        <v/>
      </c>
      <c r="I777" s="16" t="str">
        <f t="shared" si="74"/>
        <v/>
      </c>
      <c r="J777" s="16" t="str">
        <f>IF(H777="","",H777/MAX(H$5:H777)-1)</f>
        <v/>
      </c>
      <c r="K777" s="13" t="str">
        <f>IF(OR('实盘净值数据(iFinD）'!$A777="",'实盘净值数据(iFinD）'!$B777="",'实盘净值数据(iFinD）'!$Z777="",'实盘净值数据(iFinD）'!$AA777=""),"",分期持仓明细!$AB$23*(SUMPRODUCT(分期持仓明细!$B$23:$Y$23,'实盘净值数据(iFinD）'!$B777:$Y777/'实盘净值数据(iFinD）'!$B$65:$Y$65)+SUMPRODUCT(分期持仓明细!$AC$23:$AD$23,'实盘净值数据(iFinD）'!$Z777:$AA777/'实盘净值数据(iFinD）'!$Z$65:$AA$65))*(1-实盘持仓初始配置!$Z$7)^(('实盘净值数据(iFinD）'!$A777-'实盘净值数据(iFinD）'!$A$8)/365))</f>
        <v/>
      </c>
      <c r="L777" s="16" t="str">
        <f t="shared" si="75"/>
        <v/>
      </c>
      <c r="M777" s="16" t="str">
        <f>IF(K777="","",K777/MAX(K$5:K777)-1)</f>
        <v/>
      </c>
      <c r="N777" s="13" t="str">
        <f>IF(OR('实盘净值数据(iFinD）'!$A777="",'实盘净值数据(iFinD）'!$B777="",'实盘净值数据(iFinD）'!$Z777="",'实盘净值数据(iFinD）'!$AA777=""),"",分期持仓明细!$AB$24*(SUMPRODUCT(分期持仓明细!$B$24:$Y$24,'实盘净值数据(iFinD）'!$B777:$Y777/'实盘净值数据(iFinD）'!$B$65:$Y$65)+SUMPRODUCT(分期持仓明细!$AC$24:$AD$24,'实盘净值数据(iFinD）'!$Z777:$AA777/'实盘净值数据(iFinD）'!$Z$65:$AA$65))*(1-实盘持仓初始配置!$Z$8)^(('实盘净值数据(iFinD）'!$A777-'实盘净值数据(iFinD）'!$A$5)/365))</f>
        <v/>
      </c>
      <c r="O777" s="16" t="str">
        <f t="shared" si="76"/>
        <v/>
      </c>
      <c r="P777" s="16" t="str">
        <f>IF(N777="","",N777/MAX(N$5:N777)-1)</f>
        <v/>
      </c>
      <c r="Q777" s="13" t="str">
        <f>IF(OR('实盘净值数据(iFinD）'!$A777="",'实盘净值数据(iFinD）'!$B777="",'实盘净值数据(iFinD）'!$Z777="",'实盘净值数据(iFinD）'!$AA777=""),"",分期持仓明细!$AB$25*(SUMPRODUCT(分期持仓明细!$B$25:$Y$25,'实盘净值数据(iFinD）'!$B777:$Y777/'实盘净值数据(iFinD）'!$B$65:$Y$65)+SUMPRODUCT(分期持仓明细!$AC$25:$AD$25,'实盘净值数据(iFinD）'!$Z777:$AA777/'实盘净值数据(iFinD）'!$Z$65:$AA$65))*(1-实盘持仓初始配置!$Z$9)^(('实盘净值数据(iFinD）'!$A777-'实盘净值数据(iFinD）'!$A$8)/365))</f>
        <v/>
      </c>
      <c r="R777" s="16" t="str">
        <f t="shared" si="77"/>
        <v/>
      </c>
      <c r="S777" s="16" t="str">
        <f>IF(Q777="","",Q777/MAX(Q$5:Q777)-1)</f>
        <v/>
      </c>
    </row>
    <row r="778" spans="1:19">
      <c r="A778" s="15" t="str">
        <f>IF('实盘净值数据(iFinD）'!A778="","",'实盘净值数据(iFinD）'!A778)</f>
        <v/>
      </c>
      <c r="B778" s="13" t="str">
        <f>IF(OR('实盘净值数据(iFinD）'!$A778="",'实盘净值数据(iFinD）'!$B778=""),"",分期持仓明细!$AB$17*SUMPRODUCT(分期持仓明细!$B$17:$Y$17,'实盘净值数据(iFinD）'!$B778:$Y778/'实盘净值数据(iFinD）'!$B$20:$Y$20)*(1-实盘持仓初始配置!$Z$4)^(('实盘净值数据(iFinD）'!$A778-'实盘净值数据(iFinD）'!$A$6)/365))</f>
        <v/>
      </c>
      <c r="C778" s="16" t="str">
        <f t="shared" si="72"/>
        <v/>
      </c>
      <c r="D778" s="16" t="str">
        <f>IF(B778="","",B778/MAX(B$5:B778)-1)</f>
        <v/>
      </c>
      <c r="E778" s="13" t="str">
        <f>IF(OR('实盘净值数据(iFinD）'!$A778="",'实盘净值数据(iFinD）'!$B778=""),"",分期持仓明细!$AB$18*SUMPRODUCT(分期持仓明细!$B$18:$Y$18,'实盘净值数据(iFinD）'!$B778:$Y778/'实盘净值数据(iFinD）'!$B$20:$Y$20)*(1-实盘持仓初始配置!$Z$5)^(('实盘净值数据(iFinD）'!$A778-'实盘净值数据(iFinD）'!$A$5)/365))</f>
        <v/>
      </c>
      <c r="F778" s="16" t="str">
        <f t="shared" si="73"/>
        <v/>
      </c>
      <c r="G778" s="16" t="str">
        <f>IF(E778="","",E778/MAX(E$5:E778)-1)</f>
        <v/>
      </c>
      <c r="H778" s="13" t="str">
        <f>IF(OR('实盘净值数据(iFinD）'!$A778="",'实盘净值数据(iFinD）'!$B778=""),"",分期持仓明细!$AB$19*SUMPRODUCT(分期持仓明细!$B$19:$Y$19,'实盘净值数据(iFinD）'!$B778:$Y778/'实盘净值数据(iFinD）'!$B$20:$Y$20)*(1-实盘持仓初始配置!$Z$6)^(('实盘净值数据(iFinD）'!$A778-'实盘净值数据(iFinD）'!$A$7)/365))</f>
        <v/>
      </c>
      <c r="I778" s="16" t="str">
        <f t="shared" si="74"/>
        <v/>
      </c>
      <c r="J778" s="16" t="str">
        <f>IF(H778="","",H778/MAX(H$5:H778)-1)</f>
        <v/>
      </c>
      <c r="K778" s="13" t="str">
        <f>IF(OR('实盘净值数据(iFinD）'!$A778="",'实盘净值数据(iFinD）'!$B778="",'实盘净值数据(iFinD）'!$Z778="",'实盘净值数据(iFinD）'!$AA778=""),"",分期持仓明细!$AB$23*(SUMPRODUCT(分期持仓明细!$B$23:$Y$23,'实盘净值数据(iFinD）'!$B778:$Y778/'实盘净值数据(iFinD）'!$B$65:$Y$65)+SUMPRODUCT(分期持仓明细!$AC$23:$AD$23,'实盘净值数据(iFinD）'!$Z778:$AA778/'实盘净值数据(iFinD）'!$Z$65:$AA$65))*(1-实盘持仓初始配置!$Z$7)^(('实盘净值数据(iFinD）'!$A778-'实盘净值数据(iFinD）'!$A$8)/365))</f>
        <v/>
      </c>
      <c r="L778" s="16" t="str">
        <f t="shared" si="75"/>
        <v/>
      </c>
      <c r="M778" s="16" t="str">
        <f>IF(K778="","",K778/MAX(K$5:K778)-1)</f>
        <v/>
      </c>
      <c r="N778" s="13" t="str">
        <f>IF(OR('实盘净值数据(iFinD）'!$A778="",'实盘净值数据(iFinD）'!$B778="",'实盘净值数据(iFinD）'!$Z778="",'实盘净值数据(iFinD）'!$AA778=""),"",分期持仓明细!$AB$24*(SUMPRODUCT(分期持仓明细!$B$24:$Y$24,'实盘净值数据(iFinD）'!$B778:$Y778/'实盘净值数据(iFinD）'!$B$65:$Y$65)+SUMPRODUCT(分期持仓明细!$AC$24:$AD$24,'实盘净值数据(iFinD）'!$Z778:$AA778/'实盘净值数据(iFinD）'!$Z$65:$AA$65))*(1-实盘持仓初始配置!$Z$8)^(('实盘净值数据(iFinD）'!$A778-'实盘净值数据(iFinD）'!$A$5)/365))</f>
        <v/>
      </c>
      <c r="O778" s="16" t="str">
        <f t="shared" si="76"/>
        <v/>
      </c>
      <c r="P778" s="16" t="str">
        <f>IF(N778="","",N778/MAX(N$5:N778)-1)</f>
        <v/>
      </c>
      <c r="Q778" s="13" t="str">
        <f>IF(OR('实盘净值数据(iFinD）'!$A778="",'实盘净值数据(iFinD）'!$B778="",'实盘净值数据(iFinD）'!$Z778="",'实盘净值数据(iFinD）'!$AA778=""),"",分期持仓明细!$AB$25*(SUMPRODUCT(分期持仓明细!$B$25:$Y$25,'实盘净值数据(iFinD）'!$B778:$Y778/'实盘净值数据(iFinD）'!$B$65:$Y$65)+SUMPRODUCT(分期持仓明细!$AC$25:$AD$25,'实盘净值数据(iFinD）'!$Z778:$AA778/'实盘净值数据(iFinD）'!$Z$65:$AA$65))*(1-实盘持仓初始配置!$Z$9)^(('实盘净值数据(iFinD）'!$A778-'实盘净值数据(iFinD）'!$A$8)/365))</f>
        <v/>
      </c>
      <c r="R778" s="16" t="str">
        <f t="shared" si="77"/>
        <v/>
      </c>
      <c r="S778" s="16" t="str">
        <f>IF(Q778="","",Q778/MAX(Q$5:Q778)-1)</f>
        <v/>
      </c>
    </row>
    <row r="779" spans="1:19">
      <c r="A779" s="15" t="str">
        <f>IF('实盘净值数据(iFinD）'!A779="","",'实盘净值数据(iFinD）'!A779)</f>
        <v/>
      </c>
      <c r="B779" s="13" t="str">
        <f>IF(OR('实盘净值数据(iFinD）'!$A779="",'实盘净值数据(iFinD）'!$B779=""),"",分期持仓明细!$AB$17*SUMPRODUCT(分期持仓明细!$B$17:$Y$17,'实盘净值数据(iFinD）'!$B779:$Y779/'实盘净值数据(iFinD）'!$B$20:$Y$20)*(1-实盘持仓初始配置!$Z$4)^(('实盘净值数据(iFinD）'!$A779-'实盘净值数据(iFinD）'!$A$6)/365))</f>
        <v/>
      </c>
      <c r="C779" s="16" t="str">
        <f t="shared" si="72"/>
        <v/>
      </c>
      <c r="D779" s="16" t="str">
        <f>IF(B779="","",B779/MAX(B$5:B779)-1)</f>
        <v/>
      </c>
      <c r="E779" s="13" t="str">
        <f>IF(OR('实盘净值数据(iFinD）'!$A779="",'实盘净值数据(iFinD）'!$B779=""),"",分期持仓明细!$AB$18*SUMPRODUCT(分期持仓明细!$B$18:$Y$18,'实盘净值数据(iFinD）'!$B779:$Y779/'实盘净值数据(iFinD）'!$B$20:$Y$20)*(1-实盘持仓初始配置!$Z$5)^(('实盘净值数据(iFinD）'!$A779-'实盘净值数据(iFinD）'!$A$5)/365))</f>
        <v/>
      </c>
      <c r="F779" s="16" t="str">
        <f t="shared" si="73"/>
        <v/>
      </c>
      <c r="G779" s="16" t="str">
        <f>IF(E779="","",E779/MAX(E$5:E779)-1)</f>
        <v/>
      </c>
      <c r="H779" s="13" t="str">
        <f>IF(OR('实盘净值数据(iFinD）'!$A779="",'实盘净值数据(iFinD）'!$B779=""),"",分期持仓明细!$AB$19*SUMPRODUCT(分期持仓明细!$B$19:$Y$19,'实盘净值数据(iFinD）'!$B779:$Y779/'实盘净值数据(iFinD）'!$B$20:$Y$20)*(1-实盘持仓初始配置!$Z$6)^(('实盘净值数据(iFinD）'!$A779-'实盘净值数据(iFinD）'!$A$7)/365))</f>
        <v/>
      </c>
      <c r="I779" s="16" t="str">
        <f t="shared" si="74"/>
        <v/>
      </c>
      <c r="J779" s="16" t="str">
        <f>IF(H779="","",H779/MAX(H$5:H779)-1)</f>
        <v/>
      </c>
      <c r="K779" s="13" t="str">
        <f>IF(OR('实盘净值数据(iFinD）'!$A779="",'实盘净值数据(iFinD）'!$B779="",'实盘净值数据(iFinD）'!$Z779="",'实盘净值数据(iFinD）'!$AA779=""),"",分期持仓明细!$AB$23*(SUMPRODUCT(分期持仓明细!$B$23:$Y$23,'实盘净值数据(iFinD）'!$B779:$Y779/'实盘净值数据(iFinD）'!$B$65:$Y$65)+SUMPRODUCT(分期持仓明细!$AC$23:$AD$23,'实盘净值数据(iFinD）'!$Z779:$AA779/'实盘净值数据(iFinD）'!$Z$65:$AA$65))*(1-实盘持仓初始配置!$Z$7)^(('实盘净值数据(iFinD）'!$A779-'实盘净值数据(iFinD）'!$A$8)/365))</f>
        <v/>
      </c>
      <c r="L779" s="16" t="str">
        <f t="shared" si="75"/>
        <v/>
      </c>
      <c r="M779" s="16" t="str">
        <f>IF(K779="","",K779/MAX(K$5:K779)-1)</f>
        <v/>
      </c>
      <c r="N779" s="13" t="str">
        <f>IF(OR('实盘净值数据(iFinD）'!$A779="",'实盘净值数据(iFinD）'!$B779="",'实盘净值数据(iFinD）'!$Z779="",'实盘净值数据(iFinD）'!$AA779=""),"",分期持仓明细!$AB$24*(SUMPRODUCT(分期持仓明细!$B$24:$Y$24,'实盘净值数据(iFinD）'!$B779:$Y779/'实盘净值数据(iFinD）'!$B$65:$Y$65)+SUMPRODUCT(分期持仓明细!$AC$24:$AD$24,'实盘净值数据(iFinD）'!$Z779:$AA779/'实盘净值数据(iFinD）'!$Z$65:$AA$65))*(1-实盘持仓初始配置!$Z$8)^(('实盘净值数据(iFinD）'!$A779-'实盘净值数据(iFinD）'!$A$5)/365))</f>
        <v/>
      </c>
      <c r="O779" s="16" t="str">
        <f t="shared" si="76"/>
        <v/>
      </c>
      <c r="P779" s="16" t="str">
        <f>IF(N779="","",N779/MAX(N$5:N779)-1)</f>
        <v/>
      </c>
      <c r="Q779" s="13" t="str">
        <f>IF(OR('实盘净值数据(iFinD）'!$A779="",'实盘净值数据(iFinD）'!$B779="",'实盘净值数据(iFinD）'!$Z779="",'实盘净值数据(iFinD）'!$AA779=""),"",分期持仓明细!$AB$25*(SUMPRODUCT(分期持仓明细!$B$25:$Y$25,'实盘净值数据(iFinD）'!$B779:$Y779/'实盘净值数据(iFinD）'!$B$65:$Y$65)+SUMPRODUCT(分期持仓明细!$AC$25:$AD$25,'实盘净值数据(iFinD）'!$Z779:$AA779/'实盘净值数据(iFinD）'!$Z$65:$AA$65))*(1-实盘持仓初始配置!$Z$9)^(('实盘净值数据(iFinD）'!$A779-'实盘净值数据(iFinD）'!$A$8)/365))</f>
        <v/>
      </c>
      <c r="R779" s="16" t="str">
        <f t="shared" si="77"/>
        <v/>
      </c>
      <c r="S779" s="16" t="str">
        <f>IF(Q779="","",Q779/MAX(Q$5:Q779)-1)</f>
        <v/>
      </c>
    </row>
    <row r="780" spans="1:19">
      <c r="A780" s="15" t="str">
        <f>IF('实盘净值数据(iFinD）'!A780="","",'实盘净值数据(iFinD）'!A780)</f>
        <v/>
      </c>
      <c r="B780" s="13" t="str">
        <f>IF(OR('实盘净值数据(iFinD）'!$A780="",'实盘净值数据(iFinD）'!$B780=""),"",分期持仓明细!$AB$17*SUMPRODUCT(分期持仓明细!$B$17:$Y$17,'实盘净值数据(iFinD）'!$B780:$Y780/'实盘净值数据(iFinD）'!$B$20:$Y$20)*(1-实盘持仓初始配置!$Z$4)^(('实盘净值数据(iFinD）'!$A780-'实盘净值数据(iFinD）'!$A$6)/365))</f>
        <v/>
      </c>
      <c r="C780" s="16" t="str">
        <f t="shared" si="72"/>
        <v/>
      </c>
      <c r="D780" s="16" t="str">
        <f>IF(B780="","",B780/MAX(B$5:B780)-1)</f>
        <v/>
      </c>
      <c r="E780" s="13" t="str">
        <f>IF(OR('实盘净值数据(iFinD）'!$A780="",'实盘净值数据(iFinD）'!$B780=""),"",分期持仓明细!$AB$18*SUMPRODUCT(分期持仓明细!$B$18:$Y$18,'实盘净值数据(iFinD）'!$B780:$Y780/'实盘净值数据(iFinD）'!$B$20:$Y$20)*(1-实盘持仓初始配置!$Z$5)^(('实盘净值数据(iFinD）'!$A780-'实盘净值数据(iFinD）'!$A$5)/365))</f>
        <v/>
      </c>
      <c r="F780" s="16" t="str">
        <f t="shared" si="73"/>
        <v/>
      </c>
      <c r="G780" s="16" t="str">
        <f>IF(E780="","",E780/MAX(E$5:E780)-1)</f>
        <v/>
      </c>
      <c r="H780" s="13" t="str">
        <f>IF(OR('实盘净值数据(iFinD）'!$A780="",'实盘净值数据(iFinD）'!$B780=""),"",分期持仓明细!$AB$19*SUMPRODUCT(分期持仓明细!$B$19:$Y$19,'实盘净值数据(iFinD）'!$B780:$Y780/'实盘净值数据(iFinD）'!$B$20:$Y$20)*(1-实盘持仓初始配置!$Z$6)^(('实盘净值数据(iFinD）'!$A780-'实盘净值数据(iFinD）'!$A$7)/365))</f>
        <v/>
      </c>
      <c r="I780" s="16" t="str">
        <f t="shared" si="74"/>
        <v/>
      </c>
      <c r="J780" s="16" t="str">
        <f>IF(H780="","",H780/MAX(H$5:H780)-1)</f>
        <v/>
      </c>
      <c r="K780" s="13" t="str">
        <f>IF(OR('实盘净值数据(iFinD）'!$A780="",'实盘净值数据(iFinD）'!$B780="",'实盘净值数据(iFinD）'!$Z780="",'实盘净值数据(iFinD）'!$AA780=""),"",分期持仓明细!$AB$23*(SUMPRODUCT(分期持仓明细!$B$23:$Y$23,'实盘净值数据(iFinD）'!$B780:$Y780/'实盘净值数据(iFinD）'!$B$65:$Y$65)+SUMPRODUCT(分期持仓明细!$AC$23:$AD$23,'实盘净值数据(iFinD）'!$Z780:$AA780/'实盘净值数据(iFinD）'!$Z$65:$AA$65))*(1-实盘持仓初始配置!$Z$7)^(('实盘净值数据(iFinD）'!$A780-'实盘净值数据(iFinD）'!$A$8)/365))</f>
        <v/>
      </c>
      <c r="L780" s="16" t="str">
        <f t="shared" si="75"/>
        <v/>
      </c>
      <c r="M780" s="16" t="str">
        <f>IF(K780="","",K780/MAX(K$5:K780)-1)</f>
        <v/>
      </c>
      <c r="N780" s="13" t="str">
        <f>IF(OR('实盘净值数据(iFinD）'!$A780="",'实盘净值数据(iFinD）'!$B780="",'实盘净值数据(iFinD）'!$Z780="",'实盘净值数据(iFinD）'!$AA780=""),"",分期持仓明细!$AB$24*(SUMPRODUCT(分期持仓明细!$B$24:$Y$24,'实盘净值数据(iFinD）'!$B780:$Y780/'实盘净值数据(iFinD）'!$B$65:$Y$65)+SUMPRODUCT(分期持仓明细!$AC$24:$AD$24,'实盘净值数据(iFinD）'!$Z780:$AA780/'实盘净值数据(iFinD）'!$Z$65:$AA$65))*(1-实盘持仓初始配置!$Z$8)^(('实盘净值数据(iFinD）'!$A780-'实盘净值数据(iFinD）'!$A$5)/365))</f>
        <v/>
      </c>
      <c r="O780" s="16" t="str">
        <f t="shared" si="76"/>
        <v/>
      </c>
      <c r="P780" s="16" t="str">
        <f>IF(N780="","",N780/MAX(N$5:N780)-1)</f>
        <v/>
      </c>
      <c r="Q780" s="13" t="str">
        <f>IF(OR('实盘净值数据(iFinD）'!$A780="",'实盘净值数据(iFinD）'!$B780="",'实盘净值数据(iFinD）'!$Z780="",'实盘净值数据(iFinD）'!$AA780=""),"",分期持仓明细!$AB$25*(SUMPRODUCT(分期持仓明细!$B$25:$Y$25,'实盘净值数据(iFinD）'!$B780:$Y780/'实盘净值数据(iFinD）'!$B$65:$Y$65)+SUMPRODUCT(分期持仓明细!$AC$25:$AD$25,'实盘净值数据(iFinD）'!$Z780:$AA780/'实盘净值数据(iFinD）'!$Z$65:$AA$65))*(1-实盘持仓初始配置!$Z$9)^(('实盘净值数据(iFinD）'!$A780-'实盘净值数据(iFinD）'!$A$8)/365))</f>
        <v/>
      </c>
      <c r="R780" s="16" t="str">
        <f t="shared" si="77"/>
        <v/>
      </c>
      <c r="S780" s="16" t="str">
        <f>IF(Q780="","",Q780/MAX(Q$5:Q780)-1)</f>
        <v/>
      </c>
    </row>
    <row r="781" spans="1:19">
      <c r="A781" s="15" t="str">
        <f>IF('实盘净值数据(iFinD）'!A781="","",'实盘净值数据(iFinD）'!A781)</f>
        <v/>
      </c>
      <c r="B781" s="13" t="str">
        <f>IF(OR('实盘净值数据(iFinD）'!$A781="",'实盘净值数据(iFinD）'!$B781=""),"",分期持仓明细!$AB$17*SUMPRODUCT(分期持仓明细!$B$17:$Y$17,'实盘净值数据(iFinD）'!$B781:$Y781/'实盘净值数据(iFinD）'!$B$20:$Y$20)*(1-实盘持仓初始配置!$Z$4)^(('实盘净值数据(iFinD）'!$A781-'实盘净值数据(iFinD）'!$A$6)/365))</f>
        <v/>
      </c>
      <c r="C781" s="16" t="str">
        <f t="shared" si="72"/>
        <v/>
      </c>
      <c r="D781" s="16" t="str">
        <f>IF(B781="","",B781/MAX(B$5:B781)-1)</f>
        <v/>
      </c>
      <c r="E781" s="13" t="str">
        <f>IF(OR('实盘净值数据(iFinD）'!$A781="",'实盘净值数据(iFinD）'!$B781=""),"",分期持仓明细!$AB$18*SUMPRODUCT(分期持仓明细!$B$18:$Y$18,'实盘净值数据(iFinD）'!$B781:$Y781/'实盘净值数据(iFinD）'!$B$20:$Y$20)*(1-实盘持仓初始配置!$Z$5)^(('实盘净值数据(iFinD）'!$A781-'实盘净值数据(iFinD）'!$A$5)/365))</f>
        <v/>
      </c>
      <c r="F781" s="16" t="str">
        <f t="shared" si="73"/>
        <v/>
      </c>
      <c r="G781" s="16" t="str">
        <f>IF(E781="","",E781/MAX(E$5:E781)-1)</f>
        <v/>
      </c>
      <c r="H781" s="13" t="str">
        <f>IF(OR('实盘净值数据(iFinD）'!$A781="",'实盘净值数据(iFinD）'!$B781=""),"",分期持仓明细!$AB$19*SUMPRODUCT(分期持仓明细!$B$19:$Y$19,'实盘净值数据(iFinD）'!$B781:$Y781/'实盘净值数据(iFinD）'!$B$20:$Y$20)*(1-实盘持仓初始配置!$Z$6)^(('实盘净值数据(iFinD）'!$A781-'实盘净值数据(iFinD）'!$A$7)/365))</f>
        <v/>
      </c>
      <c r="I781" s="16" t="str">
        <f t="shared" si="74"/>
        <v/>
      </c>
      <c r="J781" s="16" t="str">
        <f>IF(H781="","",H781/MAX(H$5:H781)-1)</f>
        <v/>
      </c>
      <c r="K781" s="13" t="str">
        <f>IF(OR('实盘净值数据(iFinD）'!$A781="",'实盘净值数据(iFinD）'!$B781="",'实盘净值数据(iFinD）'!$Z781="",'实盘净值数据(iFinD）'!$AA781=""),"",分期持仓明细!$AB$23*(SUMPRODUCT(分期持仓明细!$B$23:$Y$23,'实盘净值数据(iFinD）'!$B781:$Y781/'实盘净值数据(iFinD）'!$B$65:$Y$65)+SUMPRODUCT(分期持仓明细!$AC$23:$AD$23,'实盘净值数据(iFinD）'!$Z781:$AA781/'实盘净值数据(iFinD）'!$Z$65:$AA$65))*(1-实盘持仓初始配置!$Z$7)^(('实盘净值数据(iFinD）'!$A781-'实盘净值数据(iFinD）'!$A$8)/365))</f>
        <v/>
      </c>
      <c r="L781" s="16" t="str">
        <f t="shared" si="75"/>
        <v/>
      </c>
      <c r="M781" s="16" t="str">
        <f>IF(K781="","",K781/MAX(K$5:K781)-1)</f>
        <v/>
      </c>
      <c r="N781" s="13" t="str">
        <f>IF(OR('实盘净值数据(iFinD）'!$A781="",'实盘净值数据(iFinD）'!$B781="",'实盘净值数据(iFinD）'!$Z781="",'实盘净值数据(iFinD）'!$AA781=""),"",分期持仓明细!$AB$24*(SUMPRODUCT(分期持仓明细!$B$24:$Y$24,'实盘净值数据(iFinD）'!$B781:$Y781/'实盘净值数据(iFinD）'!$B$65:$Y$65)+SUMPRODUCT(分期持仓明细!$AC$24:$AD$24,'实盘净值数据(iFinD）'!$Z781:$AA781/'实盘净值数据(iFinD）'!$Z$65:$AA$65))*(1-实盘持仓初始配置!$Z$8)^(('实盘净值数据(iFinD）'!$A781-'实盘净值数据(iFinD）'!$A$5)/365))</f>
        <v/>
      </c>
      <c r="O781" s="16" t="str">
        <f t="shared" si="76"/>
        <v/>
      </c>
      <c r="P781" s="16" t="str">
        <f>IF(N781="","",N781/MAX(N$5:N781)-1)</f>
        <v/>
      </c>
      <c r="Q781" s="13" t="str">
        <f>IF(OR('实盘净值数据(iFinD）'!$A781="",'实盘净值数据(iFinD）'!$B781="",'实盘净值数据(iFinD）'!$Z781="",'实盘净值数据(iFinD）'!$AA781=""),"",分期持仓明细!$AB$25*(SUMPRODUCT(分期持仓明细!$B$25:$Y$25,'实盘净值数据(iFinD）'!$B781:$Y781/'实盘净值数据(iFinD）'!$B$65:$Y$65)+SUMPRODUCT(分期持仓明细!$AC$25:$AD$25,'实盘净值数据(iFinD）'!$Z781:$AA781/'实盘净值数据(iFinD）'!$Z$65:$AA$65))*(1-实盘持仓初始配置!$Z$9)^(('实盘净值数据(iFinD）'!$A781-'实盘净值数据(iFinD）'!$A$8)/365))</f>
        <v/>
      </c>
      <c r="R781" s="16" t="str">
        <f t="shared" si="77"/>
        <v/>
      </c>
      <c r="S781" s="16" t="str">
        <f>IF(Q781="","",Q781/MAX(Q$5:Q781)-1)</f>
        <v/>
      </c>
    </row>
    <row r="782" spans="1:19">
      <c r="A782" s="15" t="str">
        <f>IF('实盘净值数据(iFinD）'!A782="","",'实盘净值数据(iFinD）'!A782)</f>
        <v/>
      </c>
      <c r="B782" s="13" t="str">
        <f>IF(OR('实盘净值数据(iFinD）'!$A782="",'实盘净值数据(iFinD）'!$B782=""),"",分期持仓明细!$AB$17*SUMPRODUCT(分期持仓明细!$B$17:$Y$17,'实盘净值数据(iFinD）'!$B782:$Y782/'实盘净值数据(iFinD）'!$B$20:$Y$20)*(1-实盘持仓初始配置!$Z$4)^(('实盘净值数据(iFinD）'!$A782-'实盘净值数据(iFinD）'!$A$6)/365))</f>
        <v/>
      </c>
      <c r="C782" s="16" t="str">
        <f t="shared" si="72"/>
        <v/>
      </c>
      <c r="D782" s="16" t="str">
        <f>IF(B782="","",B782/MAX(B$5:B782)-1)</f>
        <v/>
      </c>
      <c r="E782" s="13" t="str">
        <f>IF(OR('实盘净值数据(iFinD）'!$A782="",'实盘净值数据(iFinD）'!$B782=""),"",分期持仓明细!$AB$18*SUMPRODUCT(分期持仓明细!$B$18:$Y$18,'实盘净值数据(iFinD）'!$B782:$Y782/'实盘净值数据(iFinD）'!$B$20:$Y$20)*(1-实盘持仓初始配置!$Z$5)^(('实盘净值数据(iFinD）'!$A782-'实盘净值数据(iFinD）'!$A$5)/365))</f>
        <v/>
      </c>
      <c r="F782" s="16" t="str">
        <f t="shared" si="73"/>
        <v/>
      </c>
      <c r="G782" s="16" t="str">
        <f>IF(E782="","",E782/MAX(E$5:E782)-1)</f>
        <v/>
      </c>
      <c r="H782" s="13" t="str">
        <f>IF(OR('实盘净值数据(iFinD）'!$A782="",'实盘净值数据(iFinD）'!$B782=""),"",分期持仓明细!$AB$19*SUMPRODUCT(分期持仓明细!$B$19:$Y$19,'实盘净值数据(iFinD）'!$B782:$Y782/'实盘净值数据(iFinD）'!$B$20:$Y$20)*(1-实盘持仓初始配置!$Z$6)^(('实盘净值数据(iFinD）'!$A782-'实盘净值数据(iFinD）'!$A$7)/365))</f>
        <v/>
      </c>
      <c r="I782" s="16" t="str">
        <f t="shared" si="74"/>
        <v/>
      </c>
      <c r="J782" s="16" t="str">
        <f>IF(H782="","",H782/MAX(H$5:H782)-1)</f>
        <v/>
      </c>
      <c r="K782" s="13" t="str">
        <f>IF(OR('实盘净值数据(iFinD）'!$A782="",'实盘净值数据(iFinD）'!$B782="",'实盘净值数据(iFinD）'!$Z782="",'实盘净值数据(iFinD）'!$AA782=""),"",分期持仓明细!$AB$23*(SUMPRODUCT(分期持仓明细!$B$23:$Y$23,'实盘净值数据(iFinD）'!$B782:$Y782/'实盘净值数据(iFinD）'!$B$65:$Y$65)+SUMPRODUCT(分期持仓明细!$AC$23:$AD$23,'实盘净值数据(iFinD）'!$Z782:$AA782/'实盘净值数据(iFinD）'!$Z$65:$AA$65))*(1-实盘持仓初始配置!$Z$7)^(('实盘净值数据(iFinD）'!$A782-'实盘净值数据(iFinD）'!$A$8)/365))</f>
        <v/>
      </c>
      <c r="L782" s="16" t="str">
        <f t="shared" si="75"/>
        <v/>
      </c>
      <c r="M782" s="16" t="str">
        <f>IF(K782="","",K782/MAX(K$5:K782)-1)</f>
        <v/>
      </c>
      <c r="N782" s="13" t="str">
        <f>IF(OR('实盘净值数据(iFinD）'!$A782="",'实盘净值数据(iFinD）'!$B782="",'实盘净值数据(iFinD）'!$Z782="",'实盘净值数据(iFinD）'!$AA782=""),"",分期持仓明细!$AB$24*(SUMPRODUCT(分期持仓明细!$B$24:$Y$24,'实盘净值数据(iFinD）'!$B782:$Y782/'实盘净值数据(iFinD）'!$B$65:$Y$65)+SUMPRODUCT(分期持仓明细!$AC$24:$AD$24,'实盘净值数据(iFinD）'!$Z782:$AA782/'实盘净值数据(iFinD）'!$Z$65:$AA$65))*(1-实盘持仓初始配置!$Z$8)^(('实盘净值数据(iFinD）'!$A782-'实盘净值数据(iFinD）'!$A$5)/365))</f>
        <v/>
      </c>
      <c r="O782" s="16" t="str">
        <f t="shared" si="76"/>
        <v/>
      </c>
      <c r="P782" s="16" t="str">
        <f>IF(N782="","",N782/MAX(N$5:N782)-1)</f>
        <v/>
      </c>
      <c r="Q782" s="13" t="str">
        <f>IF(OR('实盘净值数据(iFinD）'!$A782="",'实盘净值数据(iFinD）'!$B782="",'实盘净值数据(iFinD）'!$Z782="",'实盘净值数据(iFinD）'!$AA782=""),"",分期持仓明细!$AB$25*(SUMPRODUCT(分期持仓明细!$B$25:$Y$25,'实盘净值数据(iFinD）'!$B782:$Y782/'实盘净值数据(iFinD）'!$B$65:$Y$65)+SUMPRODUCT(分期持仓明细!$AC$25:$AD$25,'实盘净值数据(iFinD）'!$Z782:$AA782/'实盘净值数据(iFinD）'!$Z$65:$AA$65))*(1-实盘持仓初始配置!$Z$9)^(('实盘净值数据(iFinD）'!$A782-'实盘净值数据(iFinD）'!$A$8)/365))</f>
        <v/>
      </c>
      <c r="R782" s="16" t="str">
        <f t="shared" si="77"/>
        <v/>
      </c>
      <c r="S782" s="16" t="str">
        <f>IF(Q782="","",Q782/MAX(Q$5:Q782)-1)</f>
        <v/>
      </c>
    </row>
    <row r="783" spans="1:19">
      <c r="A783" s="15" t="str">
        <f>IF('实盘净值数据(iFinD）'!A783="","",'实盘净值数据(iFinD）'!A783)</f>
        <v/>
      </c>
      <c r="B783" s="13" t="str">
        <f>IF(OR('实盘净值数据(iFinD）'!$A783="",'实盘净值数据(iFinD）'!$B783=""),"",分期持仓明细!$AB$17*SUMPRODUCT(分期持仓明细!$B$17:$Y$17,'实盘净值数据(iFinD）'!$B783:$Y783/'实盘净值数据(iFinD）'!$B$20:$Y$20)*(1-实盘持仓初始配置!$Z$4)^(('实盘净值数据(iFinD）'!$A783-'实盘净值数据(iFinD）'!$A$6)/365))</f>
        <v/>
      </c>
      <c r="C783" s="16" t="str">
        <f t="shared" si="72"/>
        <v/>
      </c>
      <c r="D783" s="16" t="str">
        <f>IF(B783="","",B783/MAX(B$5:B783)-1)</f>
        <v/>
      </c>
      <c r="E783" s="13" t="str">
        <f>IF(OR('实盘净值数据(iFinD）'!$A783="",'实盘净值数据(iFinD）'!$B783=""),"",分期持仓明细!$AB$18*SUMPRODUCT(分期持仓明细!$B$18:$Y$18,'实盘净值数据(iFinD）'!$B783:$Y783/'实盘净值数据(iFinD）'!$B$20:$Y$20)*(1-实盘持仓初始配置!$Z$5)^(('实盘净值数据(iFinD）'!$A783-'实盘净值数据(iFinD）'!$A$5)/365))</f>
        <v/>
      </c>
      <c r="F783" s="16" t="str">
        <f t="shared" si="73"/>
        <v/>
      </c>
      <c r="G783" s="16" t="str">
        <f>IF(E783="","",E783/MAX(E$5:E783)-1)</f>
        <v/>
      </c>
      <c r="H783" s="13" t="str">
        <f>IF(OR('实盘净值数据(iFinD）'!$A783="",'实盘净值数据(iFinD）'!$B783=""),"",分期持仓明细!$AB$19*SUMPRODUCT(分期持仓明细!$B$19:$Y$19,'实盘净值数据(iFinD）'!$B783:$Y783/'实盘净值数据(iFinD）'!$B$20:$Y$20)*(1-实盘持仓初始配置!$Z$6)^(('实盘净值数据(iFinD）'!$A783-'实盘净值数据(iFinD）'!$A$7)/365))</f>
        <v/>
      </c>
      <c r="I783" s="16" t="str">
        <f t="shared" si="74"/>
        <v/>
      </c>
      <c r="J783" s="16" t="str">
        <f>IF(H783="","",H783/MAX(H$5:H783)-1)</f>
        <v/>
      </c>
      <c r="K783" s="13" t="str">
        <f>IF(OR('实盘净值数据(iFinD）'!$A783="",'实盘净值数据(iFinD）'!$B783="",'实盘净值数据(iFinD）'!$Z783="",'实盘净值数据(iFinD）'!$AA783=""),"",分期持仓明细!$AB$23*(SUMPRODUCT(分期持仓明细!$B$23:$Y$23,'实盘净值数据(iFinD）'!$B783:$Y783/'实盘净值数据(iFinD）'!$B$65:$Y$65)+SUMPRODUCT(分期持仓明细!$AC$23:$AD$23,'实盘净值数据(iFinD）'!$Z783:$AA783/'实盘净值数据(iFinD）'!$Z$65:$AA$65))*(1-实盘持仓初始配置!$Z$7)^(('实盘净值数据(iFinD）'!$A783-'实盘净值数据(iFinD）'!$A$8)/365))</f>
        <v/>
      </c>
      <c r="L783" s="16" t="str">
        <f t="shared" si="75"/>
        <v/>
      </c>
      <c r="M783" s="16" t="str">
        <f>IF(K783="","",K783/MAX(K$5:K783)-1)</f>
        <v/>
      </c>
      <c r="N783" s="13" t="str">
        <f>IF(OR('实盘净值数据(iFinD）'!$A783="",'实盘净值数据(iFinD）'!$B783="",'实盘净值数据(iFinD）'!$Z783="",'实盘净值数据(iFinD）'!$AA783=""),"",分期持仓明细!$AB$24*(SUMPRODUCT(分期持仓明细!$B$24:$Y$24,'实盘净值数据(iFinD）'!$B783:$Y783/'实盘净值数据(iFinD）'!$B$65:$Y$65)+SUMPRODUCT(分期持仓明细!$AC$24:$AD$24,'实盘净值数据(iFinD）'!$Z783:$AA783/'实盘净值数据(iFinD）'!$Z$65:$AA$65))*(1-实盘持仓初始配置!$Z$8)^(('实盘净值数据(iFinD）'!$A783-'实盘净值数据(iFinD）'!$A$5)/365))</f>
        <v/>
      </c>
      <c r="O783" s="16" t="str">
        <f t="shared" si="76"/>
        <v/>
      </c>
      <c r="P783" s="16" t="str">
        <f>IF(N783="","",N783/MAX(N$5:N783)-1)</f>
        <v/>
      </c>
      <c r="Q783" s="13" t="str">
        <f>IF(OR('实盘净值数据(iFinD）'!$A783="",'实盘净值数据(iFinD）'!$B783="",'实盘净值数据(iFinD）'!$Z783="",'实盘净值数据(iFinD）'!$AA783=""),"",分期持仓明细!$AB$25*(SUMPRODUCT(分期持仓明细!$B$25:$Y$25,'实盘净值数据(iFinD）'!$B783:$Y783/'实盘净值数据(iFinD）'!$B$65:$Y$65)+SUMPRODUCT(分期持仓明细!$AC$25:$AD$25,'实盘净值数据(iFinD）'!$Z783:$AA783/'实盘净值数据(iFinD）'!$Z$65:$AA$65))*(1-实盘持仓初始配置!$Z$9)^(('实盘净值数据(iFinD）'!$A783-'实盘净值数据(iFinD）'!$A$8)/365))</f>
        <v/>
      </c>
      <c r="R783" s="16" t="str">
        <f t="shared" si="77"/>
        <v/>
      </c>
      <c r="S783" s="16" t="str">
        <f>IF(Q783="","",Q783/MAX(Q$5:Q783)-1)</f>
        <v/>
      </c>
    </row>
    <row r="784" spans="1:19">
      <c r="A784" s="15" t="str">
        <f>IF('实盘净值数据(iFinD）'!A784="","",'实盘净值数据(iFinD）'!A784)</f>
        <v/>
      </c>
      <c r="B784" s="13" t="str">
        <f>IF(OR('实盘净值数据(iFinD）'!$A784="",'实盘净值数据(iFinD）'!$B784=""),"",分期持仓明细!$AB$17*SUMPRODUCT(分期持仓明细!$B$17:$Y$17,'实盘净值数据(iFinD）'!$B784:$Y784/'实盘净值数据(iFinD）'!$B$20:$Y$20)*(1-实盘持仓初始配置!$Z$4)^(('实盘净值数据(iFinD）'!$A784-'实盘净值数据(iFinD）'!$A$6)/365))</f>
        <v/>
      </c>
      <c r="C784" s="16" t="str">
        <f t="shared" si="72"/>
        <v/>
      </c>
      <c r="D784" s="16" t="str">
        <f>IF(B784="","",B784/MAX(B$5:B784)-1)</f>
        <v/>
      </c>
      <c r="E784" s="13" t="str">
        <f>IF(OR('实盘净值数据(iFinD）'!$A784="",'实盘净值数据(iFinD）'!$B784=""),"",分期持仓明细!$AB$18*SUMPRODUCT(分期持仓明细!$B$18:$Y$18,'实盘净值数据(iFinD）'!$B784:$Y784/'实盘净值数据(iFinD）'!$B$20:$Y$20)*(1-实盘持仓初始配置!$Z$5)^(('实盘净值数据(iFinD）'!$A784-'实盘净值数据(iFinD）'!$A$5)/365))</f>
        <v/>
      </c>
      <c r="F784" s="16" t="str">
        <f t="shared" si="73"/>
        <v/>
      </c>
      <c r="G784" s="16" t="str">
        <f>IF(E784="","",E784/MAX(E$5:E784)-1)</f>
        <v/>
      </c>
      <c r="H784" s="13" t="str">
        <f>IF(OR('实盘净值数据(iFinD）'!$A784="",'实盘净值数据(iFinD）'!$B784=""),"",分期持仓明细!$AB$19*SUMPRODUCT(分期持仓明细!$B$19:$Y$19,'实盘净值数据(iFinD）'!$B784:$Y784/'实盘净值数据(iFinD）'!$B$20:$Y$20)*(1-实盘持仓初始配置!$Z$6)^(('实盘净值数据(iFinD）'!$A784-'实盘净值数据(iFinD）'!$A$7)/365))</f>
        <v/>
      </c>
      <c r="I784" s="16" t="str">
        <f t="shared" si="74"/>
        <v/>
      </c>
      <c r="J784" s="16" t="str">
        <f>IF(H784="","",H784/MAX(H$5:H784)-1)</f>
        <v/>
      </c>
      <c r="K784" s="13" t="str">
        <f>IF(OR('实盘净值数据(iFinD）'!$A784="",'实盘净值数据(iFinD）'!$B784="",'实盘净值数据(iFinD）'!$Z784="",'实盘净值数据(iFinD）'!$AA784=""),"",分期持仓明细!$AB$23*(SUMPRODUCT(分期持仓明细!$B$23:$Y$23,'实盘净值数据(iFinD）'!$B784:$Y784/'实盘净值数据(iFinD）'!$B$65:$Y$65)+SUMPRODUCT(分期持仓明细!$AC$23:$AD$23,'实盘净值数据(iFinD）'!$Z784:$AA784/'实盘净值数据(iFinD）'!$Z$65:$AA$65))*(1-实盘持仓初始配置!$Z$7)^(('实盘净值数据(iFinD）'!$A784-'实盘净值数据(iFinD）'!$A$8)/365))</f>
        <v/>
      </c>
      <c r="L784" s="16" t="str">
        <f t="shared" si="75"/>
        <v/>
      </c>
      <c r="M784" s="16" t="str">
        <f>IF(K784="","",K784/MAX(K$5:K784)-1)</f>
        <v/>
      </c>
      <c r="N784" s="13" t="str">
        <f>IF(OR('实盘净值数据(iFinD）'!$A784="",'实盘净值数据(iFinD）'!$B784="",'实盘净值数据(iFinD）'!$Z784="",'实盘净值数据(iFinD）'!$AA784=""),"",分期持仓明细!$AB$24*(SUMPRODUCT(分期持仓明细!$B$24:$Y$24,'实盘净值数据(iFinD）'!$B784:$Y784/'实盘净值数据(iFinD）'!$B$65:$Y$65)+SUMPRODUCT(分期持仓明细!$AC$24:$AD$24,'实盘净值数据(iFinD）'!$Z784:$AA784/'实盘净值数据(iFinD）'!$Z$65:$AA$65))*(1-实盘持仓初始配置!$Z$8)^(('实盘净值数据(iFinD）'!$A784-'实盘净值数据(iFinD）'!$A$5)/365))</f>
        <v/>
      </c>
      <c r="O784" s="16" t="str">
        <f t="shared" si="76"/>
        <v/>
      </c>
      <c r="P784" s="16" t="str">
        <f>IF(N784="","",N784/MAX(N$5:N784)-1)</f>
        <v/>
      </c>
      <c r="Q784" s="13" t="str">
        <f>IF(OR('实盘净值数据(iFinD）'!$A784="",'实盘净值数据(iFinD）'!$B784="",'实盘净值数据(iFinD）'!$Z784="",'实盘净值数据(iFinD）'!$AA784=""),"",分期持仓明细!$AB$25*(SUMPRODUCT(分期持仓明细!$B$25:$Y$25,'实盘净值数据(iFinD）'!$B784:$Y784/'实盘净值数据(iFinD）'!$B$65:$Y$65)+SUMPRODUCT(分期持仓明细!$AC$25:$AD$25,'实盘净值数据(iFinD）'!$Z784:$AA784/'实盘净值数据(iFinD）'!$Z$65:$AA$65))*(1-实盘持仓初始配置!$Z$9)^(('实盘净值数据(iFinD）'!$A784-'实盘净值数据(iFinD）'!$A$8)/365))</f>
        <v/>
      </c>
      <c r="R784" s="16" t="str">
        <f t="shared" si="77"/>
        <v/>
      </c>
      <c r="S784" s="16" t="str">
        <f>IF(Q784="","",Q784/MAX(Q$5:Q784)-1)</f>
        <v/>
      </c>
    </row>
    <row r="785" spans="1:19">
      <c r="A785" s="15" t="str">
        <f>IF('实盘净值数据(iFinD）'!A785="","",'实盘净值数据(iFinD）'!A785)</f>
        <v/>
      </c>
      <c r="B785" s="13" t="str">
        <f>IF(OR('实盘净值数据(iFinD）'!$A785="",'实盘净值数据(iFinD）'!$B785=""),"",分期持仓明细!$AB$17*SUMPRODUCT(分期持仓明细!$B$17:$Y$17,'实盘净值数据(iFinD）'!$B785:$Y785/'实盘净值数据(iFinD）'!$B$20:$Y$20)*(1-实盘持仓初始配置!$Z$4)^(('实盘净值数据(iFinD）'!$A785-'实盘净值数据(iFinD）'!$A$6)/365))</f>
        <v/>
      </c>
      <c r="C785" s="16" t="str">
        <f t="shared" si="72"/>
        <v/>
      </c>
      <c r="D785" s="16" t="str">
        <f>IF(B785="","",B785/MAX(B$5:B785)-1)</f>
        <v/>
      </c>
      <c r="E785" s="13" t="str">
        <f>IF(OR('实盘净值数据(iFinD）'!$A785="",'实盘净值数据(iFinD）'!$B785=""),"",分期持仓明细!$AB$18*SUMPRODUCT(分期持仓明细!$B$18:$Y$18,'实盘净值数据(iFinD）'!$B785:$Y785/'实盘净值数据(iFinD）'!$B$20:$Y$20)*(1-实盘持仓初始配置!$Z$5)^(('实盘净值数据(iFinD）'!$A785-'实盘净值数据(iFinD）'!$A$5)/365))</f>
        <v/>
      </c>
      <c r="F785" s="16" t="str">
        <f t="shared" si="73"/>
        <v/>
      </c>
      <c r="G785" s="16" t="str">
        <f>IF(E785="","",E785/MAX(E$5:E785)-1)</f>
        <v/>
      </c>
      <c r="H785" s="13" t="str">
        <f>IF(OR('实盘净值数据(iFinD）'!$A785="",'实盘净值数据(iFinD）'!$B785=""),"",分期持仓明细!$AB$19*SUMPRODUCT(分期持仓明细!$B$19:$Y$19,'实盘净值数据(iFinD）'!$B785:$Y785/'实盘净值数据(iFinD）'!$B$20:$Y$20)*(1-实盘持仓初始配置!$Z$6)^(('实盘净值数据(iFinD）'!$A785-'实盘净值数据(iFinD）'!$A$7)/365))</f>
        <v/>
      </c>
      <c r="I785" s="16" t="str">
        <f t="shared" si="74"/>
        <v/>
      </c>
      <c r="J785" s="16" t="str">
        <f>IF(H785="","",H785/MAX(H$5:H785)-1)</f>
        <v/>
      </c>
      <c r="K785" s="13" t="str">
        <f>IF(OR('实盘净值数据(iFinD）'!$A785="",'实盘净值数据(iFinD）'!$B785="",'实盘净值数据(iFinD）'!$Z785="",'实盘净值数据(iFinD）'!$AA785=""),"",分期持仓明细!$AB$23*(SUMPRODUCT(分期持仓明细!$B$23:$Y$23,'实盘净值数据(iFinD）'!$B785:$Y785/'实盘净值数据(iFinD）'!$B$65:$Y$65)+SUMPRODUCT(分期持仓明细!$AC$23:$AD$23,'实盘净值数据(iFinD）'!$Z785:$AA785/'实盘净值数据(iFinD）'!$Z$65:$AA$65))*(1-实盘持仓初始配置!$Z$7)^(('实盘净值数据(iFinD）'!$A785-'实盘净值数据(iFinD）'!$A$8)/365))</f>
        <v/>
      </c>
      <c r="L785" s="16" t="str">
        <f t="shared" si="75"/>
        <v/>
      </c>
      <c r="M785" s="16" t="str">
        <f>IF(K785="","",K785/MAX(K$5:K785)-1)</f>
        <v/>
      </c>
      <c r="N785" s="13" t="str">
        <f>IF(OR('实盘净值数据(iFinD）'!$A785="",'实盘净值数据(iFinD）'!$B785="",'实盘净值数据(iFinD）'!$Z785="",'实盘净值数据(iFinD）'!$AA785=""),"",分期持仓明细!$AB$24*(SUMPRODUCT(分期持仓明细!$B$24:$Y$24,'实盘净值数据(iFinD）'!$B785:$Y785/'实盘净值数据(iFinD）'!$B$65:$Y$65)+SUMPRODUCT(分期持仓明细!$AC$24:$AD$24,'实盘净值数据(iFinD）'!$Z785:$AA785/'实盘净值数据(iFinD）'!$Z$65:$AA$65))*(1-实盘持仓初始配置!$Z$8)^(('实盘净值数据(iFinD）'!$A785-'实盘净值数据(iFinD）'!$A$5)/365))</f>
        <v/>
      </c>
      <c r="O785" s="16" t="str">
        <f t="shared" si="76"/>
        <v/>
      </c>
      <c r="P785" s="16" t="str">
        <f>IF(N785="","",N785/MAX(N$5:N785)-1)</f>
        <v/>
      </c>
      <c r="Q785" s="13" t="str">
        <f>IF(OR('实盘净值数据(iFinD）'!$A785="",'实盘净值数据(iFinD）'!$B785="",'实盘净值数据(iFinD）'!$Z785="",'实盘净值数据(iFinD）'!$AA785=""),"",分期持仓明细!$AB$25*(SUMPRODUCT(分期持仓明细!$B$25:$Y$25,'实盘净值数据(iFinD）'!$B785:$Y785/'实盘净值数据(iFinD）'!$B$65:$Y$65)+SUMPRODUCT(分期持仓明细!$AC$25:$AD$25,'实盘净值数据(iFinD）'!$Z785:$AA785/'实盘净值数据(iFinD）'!$Z$65:$AA$65))*(1-实盘持仓初始配置!$Z$9)^(('实盘净值数据(iFinD）'!$A785-'实盘净值数据(iFinD）'!$A$8)/365))</f>
        <v/>
      </c>
      <c r="R785" s="16" t="str">
        <f t="shared" si="77"/>
        <v/>
      </c>
      <c r="S785" s="16" t="str">
        <f>IF(Q785="","",Q785/MAX(Q$5:Q785)-1)</f>
        <v/>
      </c>
    </row>
    <row r="786" spans="1:19">
      <c r="A786" s="15" t="str">
        <f>IF('实盘净值数据(iFinD）'!A786="","",'实盘净值数据(iFinD）'!A786)</f>
        <v/>
      </c>
      <c r="B786" s="13" t="str">
        <f>IF(OR('实盘净值数据(iFinD）'!$A786="",'实盘净值数据(iFinD）'!$B786=""),"",分期持仓明细!$AB$17*SUMPRODUCT(分期持仓明细!$B$17:$Y$17,'实盘净值数据(iFinD）'!$B786:$Y786/'实盘净值数据(iFinD）'!$B$20:$Y$20)*(1-实盘持仓初始配置!$Z$4)^(('实盘净值数据(iFinD）'!$A786-'实盘净值数据(iFinD）'!$A$6)/365))</f>
        <v/>
      </c>
      <c r="C786" s="16" t="str">
        <f t="shared" si="72"/>
        <v/>
      </c>
      <c r="D786" s="16" t="str">
        <f>IF(B786="","",B786/MAX(B$5:B786)-1)</f>
        <v/>
      </c>
      <c r="E786" s="13" t="str">
        <f>IF(OR('实盘净值数据(iFinD）'!$A786="",'实盘净值数据(iFinD）'!$B786=""),"",分期持仓明细!$AB$18*SUMPRODUCT(分期持仓明细!$B$18:$Y$18,'实盘净值数据(iFinD）'!$B786:$Y786/'实盘净值数据(iFinD）'!$B$20:$Y$20)*(1-实盘持仓初始配置!$Z$5)^(('实盘净值数据(iFinD）'!$A786-'实盘净值数据(iFinD）'!$A$5)/365))</f>
        <v/>
      </c>
      <c r="F786" s="16" t="str">
        <f t="shared" si="73"/>
        <v/>
      </c>
      <c r="G786" s="16" t="str">
        <f>IF(E786="","",E786/MAX(E$5:E786)-1)</f>
        <v/>
      </c>
      <c r="H786" s="13" t="str">
        <f>IF(OR('实盘净值数据(iFinD）'!$A786="",'实盘净值数据(iFinD）'!$B786=""),"",分期持仓明细!$AB$19*SUMPRODUCT(分期持仓明细!$B$19:$Y$19,'实盘净值数据(iFinD）'!$B786:$Y786/'实盘净值数据(iFinD）'!$B$20:$Y$20)*(1-实盘持仓初始配置!$Z$6)^(('实盘净值数据(iFinD）'!$A786-'实盘净值数据(iFinD）'!$A$7)/365))</f>
        <v/>
      </c>
      <c r="I786" s="16" t="str">
        <f t="shared" si="74"/>
        <v/>
      </c>
      <c r="J786" s="16" t="str">
        <f>IF(H786="","",H786/MAX(H$5:H786)-1)</f>
        <v/>
      </c>
      <c r="K786" s="13" t="str">
        <f>IF(OR('实盘净值数据(iFinD）'!$A786="",'实盘净值数据(iFinD）'!$B786="",'实盘净值数据(iFinD）'!$Z786="",'实盘净值数据(iFinD）'!$AA786=""),"",分期持仓明细!$AB$23*(SUMPRODUCT(分期持仓明细!$B$23:$Y$23,'实盘净值数据(iFinD）'!$B786:$Y786/'实盘净值数据(iFinD）'!$B$65:$Y$65)+SUMPRODUCT(分期持仓明细!$AC$23:$AD$23,'实盘净值数据(iFinD）'!$Z786:$AA786/'实盘净值数据(iFinD）'!$Z$65:$AA$65))*(1-实盘持仓初始配置!$Z$7)^(('实盘净值数据(iFinD）'!$A786-'实盘净值数据(iFinD）'!$A$8)/365))</f>
        <v/>
      </c>
      <c r="L786" s="16" t="str">
        <f t="shared" si="75"/>
        <v/>
      </c>
      <c r="M786" s="16" t="str">
        <f>IF(K786="","",K786/MAX(K$5:K786)-1)</f>
        <v/>
      </c>
      <c r="N786" s="13" t="str">
        <f>IF(OR('实盘净值数据(iFinD）'!$A786="",'实盘净值数据(iFinD）'!$B786="",'实盘净值数据(iFinD）'!$Z786="",'实盘净值数据(iFinD）'!$AA786=""),"",分期持仓明细!$AB$24*(SUMPRODUCT(分期持仓明细!$B$24:$Y$24,'实盘净值数据(iFinD）'!$B786:$Y786/'实盘净值数据(iFinD）'!$B$65:$Y$65)+SUMPRODUCT(分期持仓明细!$AC$24:$AD$24,'实盘净值数据(iFinD）'!$Z786:$AA786/'实盘净值数据(iFinD）'!$Z$65:$AA$65))*(1-实盘持仓初始配置!$Z$8)^(('实盘净值数据(iFinD）'!$A786-'实盘净值数据(iFinD）'!$A$5)/365))</f>
        <v/>
      </c>
      <c r="O786" s="16" t="str">
        <f t="shared" si="76"/>
        <v/>
      </c>
      <c r="P786" s="16" t="str">
        <f>IF(N786="","",N786/MAX(N$5:N786)-1)</f>
        <v/>
      </c>
      <c r="Q786" s="13" t="str">
        <f>IF(OR('实盘净值数据(iFinD）'!$A786="",'实盘净值数据(iFinD）'!$B786="",'实盘净值数据(iFinD）'!$Z786="",'实盘净值数据(iFinD）'!$AA786=""),"",分期持仓明细!$AB$25*(SUMPRODUCT(分期持仓明细!$B$25:$Y$25,'实盘净值数据(iFinD）'!$B786:$Y786/'实盘净值数据(iFinD）'!$B$65:$Y$65)+SUMPRODUCT(分期持仓明细!$AC$25:$AD$25,'实盘净值数据(iFinD）'!$Z786:$AA786/'实盘净值数据(iFinD）'!$Z$65:$AA$65))*(1-实盘持仓初始配置!$Z$9)^(('实盘净值数据(iFinD）'!$A786-'实盘净值数据(iFinD）'!$A$8)/365))</f>
        <v/>
      </c>
      <c r="R786" s="16" t="str">
        <f t="shared" si="77"/>
        <v/>
      </c>
      <c r="S786" s="16" t="str">
        <f>IF(Q786="","",Q786/MAX(Q$5:Q786)-1)</f>
        <v/>
      </c>
    </row>
    <row r="787" spans="1:19">
      <c r="A787" s="15" t="str">
        <f>IF('实盘净值数据(iFinD）'!A787="","",'实盘净值数据(iFinD）'!A787)</f>
        <v/>
      </c>
      <c r="B787" s="13" t="str">
        <f>IF(OR('实盘净值数据(iFinD）'!$A787="",'实盘净值数据(iFinD）'!$B787=""),"",分期持仓明细!$AB$17*SUMPRODUCT(分期持仓明细!$B$17:$Y$17,'实盘净值数据(iFinD）'!$B787:$Y787/'实盘净值数据(iFinD）'!$B$20:$Y$20)*(1-实盘持仓初始配置!$Z$4)^(('实盘净值数据(iFinD）'!$A787-'实盘净值数据(iFinD）'!$A$6)/365))</f>
        <v/>
      </c>
      <c r="C787" s="16" t="str">
        <f t="shared" si="72"/>
        <v/>
      </c>
      <c r="D787" s="16" t="str">
        <f>IF(B787="","",B787/MAX(B$5:B787)-1)</f>
        <v/>
      </c>
      <c r="E787" s="13" t="str">
        <f>IF(OR('实盘净值数据(iFinD）'!$A787="",'实盘净值数据(iFinD）'!$B787=""),"",分期持仓明细!$AB$18*SUMPRODUCT(分期持仓明细!$B$18:$Y$18,'实盘净值数据(iFinD）'!$B787:$Y787/'实盘净值数据(iFinD）'!$B$20:$Y$20)*(1-实盘持仓初始配置!$Z$5)^(('实盘净值数据(iFinD）'!$A787-'实盘净值数据(iFinD）'!$A$5)/365))</f>
        <v/>
      </c>
      <c r="F787" s="16" t="str">
        <f t="shared" si="73"/>
        <v/>
      </c>
      <c r="G787" s="16" t="str">
        <f>IF(E787="","",E787/MAX(E$5:E787)-1)</f>
        <v/>
      </c>
      <c r="H787" s="13" t="str">
        <f>IF(OR('实盘净值数据(iFinD）'!$A787="",'实盘净值数据(iFinD）'!$B787=""),"",分期持仓明细!$AB$19*SUMPRODUCT(分期持仓明细!$B$19:$Y$19,'实盘净值数据(iFinD）'!$B787:$Y787/'实盘净值数据(iFinD）'!$B$20:$Y$20)*(1-实盘持仓初始配置!$Z$6)^(('实盘净值数据(iFinD）'!$A787-'实盘净值数据(iFinD）'!$A$7)/365))</f>
        <v/>
      </c>
      <c r="I787" s="16" t="str">
        <f t="shared" si="74"/>
        <v/>
      </c>
      <c r="J787" s="16" t="str">
        <f>IF(H787="","",H787/MAX(H$5:H787)-1)</f>
        <v/>
      </c>
      <c r="K787" s="13" t="str">
        <f>IF(OR('实盘净值数据(iFinD）'!$A787="",'实盘净值数据(iFinD）'!$B787="",'实盘净值数据(iFinD）'!$Z787="",'实盘净值数据(iFinD）'!$AA787=""),"",分期持仓明细!$AB$23*(SUMPRODUCT(分期持仓明细!$B$23:$Y$23,'实盘净值数据(iFinD）'!$B787:$Y787/'实盘净值数据(iFinD）'!$B$65:$Y$65)+SUMPRODUCT(分期持仓明细!$AC$23:$AD$23,'实盘净值数据(iFinD）'!$Z787:$AA787/'实盘净值数据(iFinD）'!$Z$65:$AA$65))*(1-实盘持仓初始配置!$Z$7)^(('实盘净值数据(iFinD）'!$A787-'实盘净值数据(iFinD）'!$A$8)/365))</f>
        <v/>
      </c>
      <c r="L787" s="16" t="str">
        <f t="shared" si="75"/>
        <v/>
      </c>
      <c r="M787" s="16" t="str">
        <f>IF(K787="","",K787/MAX(K$5:K787)-1)</f>
        <v/>
      </c>
      <c r="N787" s="13" t="str">
        <f>IF(OR('实盘净值数据(iFinD）'!$A787="",'实盘净值数据(iFinD）'!$B787="",'实盘净值数据(iFinD）'!$Z787="",'实盘净值数据(iFinD）'!$AA787=""),"",分期持仓明细!$AB$24*(SUMPRODUCT(分期持仓明细!$B$24:$Y$24,'实盘净值数据(iFinD）'!$B787:$Y787/'实盘净值数据(iFinD）'!$B$65:$Y$65)+SUMPRODUCT(分期持仓明细!$AC$24:$AD$24,'实盘净值数据(iFinD）'!$Z787:$AA787/'实盘净值数据(iFinD）'!$Z$65:$AA$65))*(1-实盘持仓初始配置!$Z$8)^(('实盘净值数据(iFinD）'!$A787-'实盘净值数据(iFinD）'!$A$5)/365))</f>
        <v/>
      </c>
      <c r="O787" s="16" t="str">
        <f t="shared" si="76"/>
        <v/>
      </c>
      <c r="P787" s="16" t="str">
        <f>IF(N787="","",N787/MAX(N$5:N787)-1)</f>
        <v/>
      </c>
      <c r="Q787" s="13" t="str">
        <f>IF(OR('实盘净值数据(iFinD）'!$A787="",'实盘净值数据(iFinD）'!$B787="",'实盘净值数据(iFinD）'!$Z787="",'实盘净值数据(iFinD）'!$AA787=""),"",分期持仓明细!$AB$25*(SUMPRODUCT(分期持仓明细!$B$25:$Y$25,'实盘净值数据(iFinD）'!$B787:$Y787/'实盘净值数据(iFinD）'!$B$65:$Y$65)+SUMPRODUCT(分期持仓明细!$AC$25:$AD$25,'实盘净值数据(iFinD）'!$Z787:$AA787/'实盘净值数据(iFinD）'!$Z$65:$AA$65))*(1-实盘持仓初始配置!$Z$9)^(('实盘净值数据(iFinD）'!$A787-'实盘净值数据(iFinD）'!$A$8)/365))</f>
        <v/>
      </c>
      <c r="R787" s="16" t="str">
        <f t="shared" si="77"/>
        <v/>
      </c>
      <c r="S787" s="16" t="str">
        <f>IF(Q787="","",Q787/MAX(Q$5:Q787)-1)</f>
        <v/>
      </c>
    </row>
    <row r="788" spans="1:19">
      <c r="A788" s="15" t="str">
        <f>IF('实盘净值数据(iFinD）'!A788="","",'实盘净值数据(iFinD）'!A788)</f>
        <v/>
      </c>
      <c r="B788" s="13" t="str">
        <f>IF(OR('实盘净值数据(iFinD）'!$A788="",'实盘净值数据(iFinD）'!$B788=""),"",分期持仓明细!$AB$17*SUMPRODUCT(分期持仓明细!$B$17:$Y$17,'实盘净值数据(iFinD）'!$B788:$Y788/'实盘净值数据(iFinD）'!$B$20:$Y$20)*(1-实盘持仓初始配置!$Z$4)^(('实盘净值数据(iFinD）'!$A788-'实盘净值数据(iFinD）'!$A$6)/365))</f>
        <v/>
      </c>
      <c r="C788" s="16" t="str">
        <f t="shared" si="72"/>
        <v/>
      </c>
      <c r="D788" s="16" t="str">
        <f>IF(B788="","",B788/MAX(B$5:B788)-1)</f>
        <v/>
      </c>
      <c r="E788" s="13" t="str">
        <f>IF(OR('实盘净值数据(iFinD）'!$A788="",'实盘净值数据(iFinD）'!$B788=""),"",分期持仓明细!$AB$18*SUMPRODUCT(分期持仓明细!$B$18:$Y$18,'实盘净值数据(iFinD）'!$B788:$Y788/'实盘净值数据(iFinD）'!$B$20:$Y$20)*(1-实盘持仓初始配置!$Z$5)^(('实盘净值数据(iFinD）'!$A788-'实盘净值数据(iFinD）'!$A$5)/365))</f>
        <v/>
      </c>
      <c r="F788" s="16" t="str">
        <f t="shared" si="73"/>
        <v/>
      </c>
      <c r="G788" s="16" t="str">
        <f>IF(E788="","",E788/MAX(E$5:E788)-1)</f>
        <v/>
      </c>
      <c r="H788" s="13" t="str">
        <f>IF(OR('实盘净值数据(iFinD）'!$A788="",'实盘净值数据(iFinD）'!$B788=""),"",分期持仓明细!$AB$19*SUMPRODUCT(分期持仓明细!$B$19:$Y$19,'实盘净值数据(iFinD）'!$B788:$Y788/'实盘净值数据(iFinD）'!$B$20:$Y$20)*(1-实盘持仓初始配置!$Z$6)^(('实盘净值数据(iFinD）'!$A788-'实盘净值数据(iFinD）'!$A$7)/365))</f>
        <v/>
      </c>
      <c r="I788" s="16" t="str">
        <f t="shared" si="74"/>
        <v/>
      </c>
      <c r="J788" s="16" t="str">
        <f>IF(H788="","",H788/MAX(H$5:H788)-1)</f>
        <v/>
      </c>
      <c r="K788" s="13" t="str">
        <f>IF(OR('实盘净值数据(iFinD）'!$A788="",'实盘净值数据(iFinD）'!$B788="",'实盘净值数据(iFinD）'!$Z788="",'实盘净值数据(iFinD）'!$AA788=""),"",分期持仓明细!$AB$23*(SUMPRODUCT(分期持仓明细!$B$23:$Y$23,'实盘净值数据(iFinD）'!$B788:$Y788/'实盘净值数据(iFinD）'!$B$65:$Y$65)+SUMPRODUCT(分期持仓明细!$AC$23:$AD$23,'实盘净值数据(iFinD）'!$Z788:$AA788/'实盘净值数据(iFinD）'!$Z$65:$AA$65))*(1-实盘持仓初始配置!$Z$7)^(('实盘净值数据(iFinD）'!$A788-'实盘净值数据(iFinD）'!$A$8)/365))</f>
        <v/>
      </c>
      <c r="L788" s="16" t="str">
        <f t="shared" si="75"/>
        <v/>
      </c>
      <c r="M788" s="16" t="str">
        <f>IF(K788="","",K788/MAX(K$5:K788)-1)</f>
        <v/>
      </c>
      <c r="N788" s="13" t="str">
        <f>IF(OR('实盘净值数据(iFinD）'!$A788="",'实盘净值数据(iFinD）'!$B788="",'实盘净值数据(iFinD）'!$Z788="",'实盘净值数据(iFinD）'!$AA788=""),"",分期持仓明细!$AB$24*(SUMPRODUCT(分期持仓明细!$B$24:$Y$24,'实盘净值数据(iFinD）'!$B788:$Y788/'实盘净值数据(iFinD）'!$B$65:$Y$65)+SUMPRODUCT(分期持仓明细!$AC$24:$AD$24,'实盘净值数据(iFinD）'!$Z788:$AA788/'实盘净值数据(iFinD）'!$Z$65:$AA$65))*(1-实盘持仓初始配置!$Z$8)^(('实盘净值数据(iFinD）'!$A788-'实盘净值数据(iFinD）'!$A$5)/365))</f>
        <v/>
      </c>
      <c r="O788" s="16" t="str">
        <f t="shared" si="76"/>
        <v/>
      </c>
      <c r="P788" s="16" t="str">
        <f>IF(N788="","",N788/MAX(N$5:N788)-1)</f>
        <v/>
      </c>
      <c r="Q788" s="13" t="str">
        <f>IF(OR('实盘净值数据(iFinD）'!$A788="",'实盘净值数据(iFinD）'!$B788="",'实盘净值数据(iFinD）'!$Z788="",'实盘净值数据(iFinD）'!$AA788=""),"",分期持仓明细!$AB$25*(SUMPRODUCT(分期持仓明细!$B$25:$Y$25,'实盘净值数据(iFinD）'!$B788:$Y788/'实盘净值数据(iFinD）'!$B$65:$Y$65)+SUMPRODUCT(分期持仓明细!$AC$25:$AD$25,'实盘净值数据(iFinD）'!$Z788:$AA788/'实盘净值数据(iFinD）'!$Z$65:$AA$65))*(1-实盘持仓初始配置!$Z$9)^(('实盘净值数据(iFinD）'!$A788-'实盘净值数据(iFinD）'!$A$8)/365))</f>
        <v/>
      </c>
      <c r="R788" s="16" t="str">
        <f t="shared" si="77"/>
        <v/>
      </c>
      <c r="S788" s="16" t="str">
        <f>IF(Q788="","",Q788/MAX(Q$5:Q788)-1)</f>
        <v/>
      </c>
    </row>
    <row r="789" spans="1:19">
      <c r="A789" s="15" t="str">
        <f>IF('实盘净值数据(iFinD）'!A789="","",'实盘净值数据(iFinD）'!A789)</f>
        <v/>
      </c>
      <c r="B789" s="13" t="str">
        <f>IF(OR('实盘净值数据(iFinD）'!$A789="",'实盘净值数据(iFinD）'!$B789=""),"",分期持仓明细!$AB$17*SUMPRODUCT(分期持仓明细!$B$17:$Y$17,'实盘净值数据(iFinD）'!$B789:$Y789/'实盘净值数据(iFinD）'!$B$20:$Y$20)*(1-实盘持仓初始配置!$Z$4)^(('实盘净值数据(iFinD）'!$A789-'实盘净值数据(iFinD）'!$A$6)/365))</f>
        <v/>
      </c>
      <c r="C789" s="16" t="str">
        <f t="shared" si="72"/>
        <v/>
      </c>
      <c r="D789" s="16" t="str">
        <f>IF(B789="","",B789/MAX(B$5:B789)-1)</f>
        <v/>
      </c>
      <c r="E789" s="13" t="str">
        <f>IF(OR('实盘净值数据(iFinD）'!$A789="",'实盘净值数据(iFinD）'!$B789=""),"",分期持仓明细!$AB$18*SUMPRODUCT(分期持仓明细!$B$18:$Y$18,'实盘净值数据(iFinD）'!$B789:$Y789/'实盘净值数据(iFinD）'!$B$20:$Y$20)*(1-实盘持仓初始配置!$Z$5)^(('实盘净值数据(iFinD）'!$A789-'实盘净值数据(iFinD）'!$A$5)/365))</f>
        <v/>
      </c>
      <c r="F789" s="16" t="str">
        <f t="shared" si="73"/>
        <v/>
      </c>
      <c r="G789" s="16" t="str">
        <f>IF(E789="","",E789/MAX(E$5:E789)-1)</f>
        <v/>
      </c>
      <c r="H789" s="13" t="str">
        <f>IF(OR('实盘净值数据(iFinD）'!$A789="",'实盘净值数据(iFinD）'!$B789=""),"",分期持仓明细!$AB$19*SUMPRODUCT(分期持仓明细!$B$19:$Y$19,'实盘净值数据(iFinD）'!$B789:$Y789/'实盘净值数据(iFinD）'!$B$20:$Y$20)*(1-实盘持仓初始配置!$Z$6)^(('实盘净值数据(iFinD）'!$A789-'实盘净值数据(iFinD）'!$A$7)/365))</f>
        <v/>
      </c>
      <c r="I789" s="16" t="str">
        <f t="shared" si="74"/>
        <v/>
      </c>
      <c r="J789" s="16" t="str">
        <f>IF(H789="","",H789/MAX(H$5:H789)-1)</f>
        <v/>
      </c>
      <c r="K789" s="13" t="str">
        <f>IF(OR('实盘净值数据(iFinD）'!$A789="",'实盘净值数据(iFinD）'!$B789="",'实盘净值数据(iFinD）'!$Z789="",'实盘净值数据(iFinD）'!$AA789=""),"",分期持仓明细!$AB$23*(SUMPRODUCT(分期持仓明细!$B$23:$Y$23,'实盘净值数据(iFinD）'!$B789:$Y789/'实盘净值数据(iFinD）'!$B$65:$Y$65)+SUMPRODUCT(分期持仓明细!$AC$23:$AD$23,'实盘净值数据(iFinD）'!$Z789:$AA789/'实盘净值数据(iFinD）'!$Z$65:$AA$65))*(1-实盘持仓初始配置!$Z$7)^(('实盘净值数据(iFinD）'!$A789-'实盘净值数据(iFinD）'!$A$8)/365))</f>
        <v/>
      </c>
      <c r="L789" s="16" t="str">
        <f t="shared" si="75"/>
        <v/>
      </c>
      <c r="M789" s="16" t="str">
        <f>IF(K789="","",K789/MAX(K$5:K789)-1)</f>
        <v/>
      </c>
      <c r="N789" s="13" t="str">
        <f>IF(OR('实盘净值数据(iFinD）'!$A789="",'实盘净值数据(iFinD）'!$B789="",'实盘净值数据(iFinD）'!$Z789="",'实盘净值数据(iFinD）'!$AA789=""),"",分期持仓明细!$AB$24*(SUMPRODUCT(分期持仓明细!$B$24:$Y$24,'实盘净值数据(iFinD）'!$B789:$Y789/'实盘净值数据(iFinD）'!$B$65:$Y$65)+SUMPRODUCT(分期持仓明细!$AC$24:$AD$24,'实盘净值数据(iFinD）'!$Z789:$AA789/'实盘净值数据(iFinD）'!$Z$65:$AA$65))*(1-实盘持仓初始配置!$Z$8)^(('实盘净值数据(iFinD）'!$A789-'实盘净值数据(iFinD）'!$A$5)/365))</f>
        <v/>
      </c>
      <c r="O789" s="16" t="str">
        <f t="shared" si="76"/>
        <v/>
      </c>
      <c r="P789" s="16" t="str">
        <f>IF(N789="","",N789/MAX(N$5:N789)-1)</f>
        <v/>
      </c>
      <c r="Q789" s="13" t="str">
        <f>IF(OR('实盘净值数据(iFinD）'!$A789="",'实盘净值数据(iFinD）'!$B789="",'实盘净值数据(iFinD）'!$Z789="",'实盘净值数据(iFinD）'!$AA789=""),"",分期持仓明细!$AB$25*(SUMPRODUCT(分期持仓明细!$B$25:$Y$25,'实盘净值数据(iFinD）'!$B789:$Y789/'实盘净值数据(iFinD）'!$B$65:$Y$65)+SUMPRODUCT(分期持仓明细!$AC$25:$AD$25,'实盘净值数据(iFinD）'!$Z789:$AA789/'实盘净值数据(iFinD）'!$Z$65:$AA$65))*(1-实盘持仓初始配置!$Z$9)^(('实盘净值数据(iFinD）'!$A789-'实盘净值数据(iFinD）'!$A$8)/365))</f>
        <v/>
      </c>
      <c r="R789" s="16" t="str">
        <f t="shared" si="77"/>
        <v/>
      </c>
      <c r="S789" s="16" t="str">
        <f>IF(Q789="","",Q789/MAX(Q$5:Q789)-1)</f>
        <v/>
      </c>
    </row>
    <row r="790" spans="1:19">
      <c r="A790" s="15" t="str">
        <f>IF('实盘净值数据(iFinD）'!A790="","",'实盘净值数据(iFinD）'!A790)</f>
        <v/>
      </c>
      <c r="B790" s="13" t="str">
        <f>IF(OR('实盘净值数据(iFinD）'!$A790="",'实盘净值数据(iFinD）'!$B790=""),"",分期持仓明细!$AB$17*SUMPRODUCT(分期持仓明细!$B$17:$Y$17,'实盘净值数据(iFinD）'!$B790:$Y790/'实盘净值数据(iFinD）'!$B$20:$Y$20)*(1-实盘持仓初始配置!$Z$4)^(('实盘净值数据(iFinD）'!$A790-'实盘净值数据(iFinD）'!$A$6)/365))</f>
        <v/>
      </c>
      <c r="C790" s="16" t="str">
        <f t="shared" si="72"/>
        <v/>
      </c>
      <c r="D790" s="16" t="str">
        <f>IF(B790="","",B790/MAX(B$5:B790)-1)</f>
        <v/>
      </c>
      <c r="E790" s="13" t="str">
        <f>IF(OR('实盘净值数据(iFinD）'!$A790="",'实盘净值数据(iFinD）'!$B790=""),"",分期持仓明细!$AB$18*SUMPRODUCT(分期持仓明细!$B$18:$Y$18,'实盘净值数据(iFinD）'!$B790:$Y790/'实盘净值数据(iFinD）'!$B$20:$Y$20)*(1-实盘持仓初始配置!$Z$5)^(('实盘净值数据(iFinD）'!$A790-'实盘净值数据(iFinD）'!$A$5)/365))</f>
        <v/>
      </c>
      <c r="F790" s="16" t="str">
        <f t="shared" si="73"/>
        <v/>
      </c>
      <c r="G790" s="16" t="str">
        <f>IF(E790="","",E790/MAX(E$5:E790)-1)</f>
        <v/>
      </c>
      <c r="H790" s="13" t="str">
        <f>IF(OR('实盘净值数据(iFinD）'!$A790="",'实盘净值数据(iFinD）'!$B790=""),"",分期持仓明细!$AB$19*SUMPRODUCT(分期持仓明细!$B$19:$Y$19,'实盘净值数据(iFinD）'!$B790:$Y790/'实盘净值数据(iFinD）'!$B$20:$Y$20)*(1-实盘持仓初始配置!$Z$6)^(('实盘净值数据(iFinD）'!$A790-'实盘净值数据(iFinD）'!$A$7)/365))</f>
        <v/>
      </c>
      <c r="I790" s="16" t="str">
        <f t="shared" si="74"/>
        <v/>
      </c>
      <c r="J790" s="16" t="str">
        <f>IF(H790="","",H790/MAX(H$5:H790)-1)</f>
        <v/>
      </c>
      <c r="K790" s="13" t="str">
        <f>IF(OR('实盘净值数据(iFinD）'!$A790="",'实盘净值数据(iFinD）'!$B790="",'实盘净值数据(iFinD）'!$Z790="",'实盘净值数据(iFinD）'!$AA790=""),"",分期持仓明细!$AB$23*(SUMPRODUCT(分期持仓明细!$B$23:$Y$23,'实盘净值数据(iFinD）'!$B790:$Y790/'实盘净值数据(iFinD）'!$B$65:$Y$65)+SUMPRODUCT(分期持仓明细!$AC$23:$AD$23,'实盘净值数据(iFinD）'!$Z790:$AA790/'实盘净值数据(iFinD）'!$Z$65:$AA$65))*(1-实盘持仓初始配置!$Z$7)^(('实盘净值数据(iFinD）'!$A790-'实盘净值数据(iFinD）'!$A$8)/365))</f>
        <v/>
      </c>
      <c r="L790" s="16" t="str">
        <f t="shared" si="75"/>
        <v/>
      </c>
      <c r="M790" s="16" t="str">
        <f>IF(K790="","",K790/MAX(K$5:K790)-1)</f>
        <v/>
      </c>
      <c r="N790" s="13" t="str">
        <f>IF(OR('实盘净值数据(iFinD）'!$A790="",'实盘净值数据(iFinD）'!$B790="",'实盘净值数据(iFinD）'!$Z790="",'实盘净值数据(iFinD）'!$AA790=""),"",分期持仓明细!$AB$24*(SUMPRODUCT(分期持仓明细!$B$24:$Y$24,'实盘净值数据(iFinD）'!$B790:$Y790/'实盘净值数据(iFinD）'!$B$65:$Y$65)+SUMPRODUCT(分期持仓明细!$AC$24:$AD$24,'实盘净值数据(iFinD）'!$Z790:$AA790/'实盘净值数据(iFinD）'!$Z$65:$AA$65))*(1-实盘持仓初始配置!$Z$8)^(('实盘净值数据(iFinD）'!$A790-'实盘净值数据(iFinD）'!$A$5)/365))</f>
        <v/>
      </c>
      <c r="O790" s="16" t="str">
        <f t="shared" si="76"/>
        <v/>
      </c>
      <c r="P790" s="16" t="str">
        <f>IF(N790="","",N790/MAX(N$5:N790)-1)</f>
        <v/>
      </c>
      <c r="Q790" s="13" t="str">
        <f>IF(OR('实盘净值数据(iFinD）'!$A790="",'实盘净值数据(iFinD）'!$B790="",'实盘净值数据(iFinD）'!$Z790="",'实盘净值数据(iFinD）'!$AA790=""),"",分期持仓明细!$AB$25*(SUMPRODUCT(分期持仓明细!$B$25:$Y$25,'实盘净值数据(iFinD）'!$B790:$Y790/'实盘净值数据(iFinD）'!$B$65:$Y$65)+SUMPRODUCT(分期持仓明细!$AC$25:$AD$25,'实盘净值数据(iFinD）'!$Z790:$AA790/'实盘净值数据(iFinD）'!$Z$65:$AA$65))*(1-实盘持仓初始配置!$Z$9)^(('实盘净值数据(iFinD）'!$A790-'实盘净值数据(iFinD）'!$A$8)/365))</f>
        <v/>
      </c>
      <c r="R790" s="16" t="str">
        <f t="shared" si="77"/>
        <v/>
      </c>
      <c r="S790" s="16" t="str">
        <f>IF(Q790="","",Q790/MAX(Q$5:Q790)-1)</f>
        <v/>
      </c>
    </row>
    <row r="791" spans="1:19">
      <c r="A791" s="15" t="str">
        <f>IF('实盘净值数据(iFinD）'!A791="","",'实盘净值数据(iFinD）'!A791)</f>
        <v/>
      </c>
      <c r="B791" s="13" t="str">
        <f>IF(OR('实盘净值数据(iFinD）'!$A791="",'实盘净值数据(iFinD）'!$B791=""),"",分期持仓明细!$AB$17*SUMPRODUCT(分期持仓明细!$B$17:$Y$17,'实盘净值数据(iFinD）'!$B791:$Y791/'实盘净值数据(iFinD）'!$B$20:$Y$20)*(1-实盘持仓初始配置!$Z$4)^(('实盘净值数据(iFinD）'!$A791-'实盘净值数据(iFinD）'!$A$6)/365))</f>
        <v/>
      </c>
      <c r="C791" s="16" t="str">
        <f t="shared" si="72"/>
        <v/>
      </c>
      <c r="D791" s="16" t="str">
        <f>IF(B791="","",B791/MAX(B$5:B791)-1)</f>
        <v/>
      </c>
      <c r="E791" s="13" t="str">
        <f>IF(OR('实盘净值数据(iFinD）'!$A791="",'实盘净值数据(iFinD）'!$B791=""),"",分期持仓明细!$AB$18*SUMPRODUCT(分期持仓明细!$B$18:$Y$18,'实盘净值数据(iFinD）'!$B791:$Y791/'实盘净值数据(iFinD）'!$B$20:$Y$20)*(1-实盘持仓初始配置!$Z$5)^(('实盘净值数据(iFinD）'!$A791-'实盘净值数据(iFinD）'!$A$5)/365))</f>
        <v/>
      </c>
      <c r="F791" s="16" t="str">
        <f t="shared" si="73"/>
        <v/>
      </c>
      <c r="G791" s="16" t="str">
        <f>IF(E791="","",E791/MAX(E$5:E791)-1)</f>
        <v/>
      </c>
      <c r="H791" s="13" t="str">
        <f>IF(OR('实盘净值数据(iFinD）'!$A791="",'实盘净值数据(iFinD）'!$B791=""),"",分期持仓明细!$AB$19*SUMPRODUCT(分期持仓明细!$B$19:$Y$19,'实盘净值数据(iFinD）'!$B791:$Y791/'实盘净值数据(iFinD）'!$B$20:$Y$20)*(1-实盘持仓初始配置!$Z$6)^(('实盘净值数据(iFinD）'!$A791-'实盘净值数据(iFinD）'!$A$7)/365))</f>
        <v/>
      </c>
      <c r="I791" s="16" t="str">
        <f t="shared" si="74"/>
        <v/>
      </c>
      <c r="J791" s="16" t="str">
        <f>IF(H791="","",H791/MAX(H$5:H791)-1)</f>
        <v/>
      </c>
      <c r="K791" s="13" t="str">
        <f>IF(OR('实盘净值数据(iFinD）'!$A791="",'实盘净值数据(iFinD）'!$B791="",'实盘净值数据(iFinD）'!$Z791="",'实盘净值数据(iFinD）'!$AA791=""),"",分期持仓明细!$AB$23*(SUMPRODUCT(分期持仓明细!$B$23:$Y$23,'实盘净值数据(iFinD）'!$B791:$Y791/'实盘净值数据(iFinD）'!$B$65:$Y$65)+SUMPRODUCT(分期持仓明细!$AC$23:$AD$23,'实盘净值数据(iFinD）'!$Z791:$AA791/'实盘净值数据(iFinD）'!$Z$65:$AA$65))*(1-实盘持仓初始配置!$Z$7)^(('实盘净值数据(iFinD）'!$A791-'实盘净值数据(iFinD）'!$A$8)/365))</f>
        <v/>
      </c>
      <c r="L791" s="16" t="str">
        <f t="shared" si="75"/>
        <v/>
      </c>
      <c r="M791" s="16" t="str">
        <f>IF(K791="","",K791/MAX(K$5:K791)-1)</f>
        <v/>
      </c>
      <c r="N791" s="13" t="str">
        <f>IF(OR('实盘净值数据(iFinD）'!$A791="",'实盘净值数据(iFinD）'!$B791="",'实盘净值数据(iFinD）'!$Z791="",'实盘净值数据(iFinD）'!$AA791=""),"",分期持仓明细!$AB$24*(SUMPRODUCT(分期持仓明细!$B$24:$Y$24,'实盘净值数据(iFinD）'!$B791:$Y791/'实盘净值数据(iFinD）'!$B$65:$Y$65)+SUMPRODUCT(分期持仓明细!$AC$24:$AD$24,'实盘净值数据(iFinD）'!$Z791:$AA791/'实盘净值数据(iFinD）'!$Z$65:$AA$65))*(1-实盘持仓初始配置!$Z$8)^(('实盘净值数据(iFinD）'!$A791-'实盘净值数据(iFinD）'!$A$5)/365))</f>
        <v/>
      </c>
      <c r="O791" s="16" t="str">
        <f t="shared" si="76"/>
        <v/>
      </c>
      <c r="P791" s="16" t="str">
        <f>IF(N791="","",N791/MAX(N$5:N791)-1)</f>
        <v/>
      </c>
      <c r="Q791" s="13" t="str">
        <f>IF(OR('实盘净值数据(iFinD）'!$A791="",'实盘净值数据(iFinD）'!$B791="",'实盘净值数据(iFinD）'!$Z791="",'实盘净值数据(iFinD）'!$AA791=""),"",分期持仓明细!$AB$25*(SUMPRODUCT(分期持仓明细!$B$25:$Y$25,'实盘净值数据(iFinD）'!$B791:$Y791/'实盘净值数据(iFinD）'!$B$65:$Y$65)+SUMPRODUCT(分期持仓明细!$AC$25:$AD$25,'实盘净值数据(iFinD）'!$Z791:$AA791/'实盘净值数据(iFinD）'!$Z$65:$AA$65))*(1-实盘持仓初始配置!$Z$9)^(('实盘净值数据(iFinD）'!$A791-'实盘净值数据(iFinD）'!$A$8)/365))</f>
        <v/>
      </c>
      <c r="R791" s="16" t="str">
        <f t="shared" si="77"/>
        <v/>
      </c>
      <c r="S791" s="16" t="str">
        <f>IF(Q791="","",Q791/MAX(Q$5:Q791)-1)</f>
        <v/>
      </c>
    </row>
    <row r="792" spans="1:19">
      <c r="A792" s="15" t="str">
        <f>IF('实盘净值数据(iFinD）'!A792="","",'实盘净值数据(iFinD）'!A792)</f>
        <v/>
      </c>
      <c r="B792" s="13" t="str">
        <f>IF(OR('实盘净值数据(iFinD）'!$A792="",'实盘净值数据(iFinD）'!$B792=""),"",分期持仓明细!$AB$17*SUMPRODUCT(分期持仓明细!$B$17:$Y$17,'实盘净值数据(iFinD）'!$B792:$Y792/'实盘净值数据(iFinD）'!$B$20:$Y$20)*(1-实盘持仓初始配置!$Z$4)^(('实盘净值数据(iFinD）'!$A792-'实盘净值数据(iFinD）'!$A$6)/365))</f>
        <v/>
      </c>
      <c r="C792" s="16" t="str">
        <f t="shared" si="72"/>
        <v/>
      </c>
      <c r="D792" s="16" t="str">
        <f>IF(B792="","",B792/MAX(B$5:B792)-1)</f>
        <v/>
      </c>
      <c r="E792" s="13" t="str">
        <f>IF(OR('实盘净值数据(iFinD）'!$A792="",'实盘净值数据(iFinD）'!$B792=""),"",分期持仓明细!$AB$18*SUMPRODUCT(分期持仓明细!$B$18:$Y$18,'实盘净值数据(iFinD）'!$B792:$Y792/'实盘净值数据(iFinD）'!$B$20:$Y$20)*(1-实盘持仓初始配置!$Z$5)^(('实盘净值数据(iFinD）'!$A792-'实盘净值数据(iFinD）'!$A$5)/365))</f>
        <v/>
      </c>
      <c r="F792" s="16" t="str">
        <f t="shared" si="73"/>
        <v/>
      </c>
      <c r="G792" s="16" t="str">
        <f>IF(E792="","",E792/MAX(E$5:E792)-1)</f>
        <v/>
      </c>
      <c r="H792" s="13" t="str">
        <f>IF(OR('实盘净值数据(iFinD）'!$A792="",'实盘净值数据(iFinD）'!$B792=""),"",分期持仓明细!$AB$19*SUMPRODUCT(分期持仓明细!$B$19:$Y$19,'实盘净值数据(iFinD）'!$B792:$Y792/'实盘净值数据(iFinD）'!$B$20:$Y$20)*(1-实盘持仓初始配置!$Z$6)^(('实盘净值数据(iFinD）'!$A792-'实盘净值数据(iFinD）'!$A$7)/365))</f>
        <v/>
      </c>
      <c r="I792" s="16" t="str">
        <f t="shared" si="74"/>
        <v/>
      </c>
      <c r="J792" s="16" t="str">
        <f>IF(H792="","",H792/MAX(H$5:H792)-1)</f>
        <v/>
      </c>
      <c r="K792" s="13" t="str">
        <f>IF(OR('实盘净值数据(iFinD）'!$A792="",'实盘净值数据(iFinD）'!$B792="",'实盘净值数据(iFinD）'!$Z792="",'实盘净值数据(iFinD）'!$AA792=""),"",分期持仓明细!$AB$23*(SUMPRODUCT(分期持仓明细!$B$23:$Y$23,'实盘净值数据(iFinD）'!$B792:$Y792/'实盘净值数据(iFinD）'!$B$65:$Y$65)+SUMPRODUCT(分期持仓明细!$AC$23:$AD$23,'实盘净值数据(iFinD）'!$Z792:$AA792/'实盘净值数据(iFinD）'!$Z$65:$AA$65))*(1-实盘持仓初始配置!$Z$7)^(('实盘净值数据(iFinD）'!$A792-'实盘净值数据(iFinD）'!$A$8)/365))</f>
        <v/>
      </c>
      <c r="L792" s="16" t="str">
        <f t="shared" si="75"/>
        <v/>
      </c>
      <c r="M792" s="16" t="str">
        <f>IF(K792="","",K792/MAX(K$5:K792)-1)</f>
        <v/>
      </c>
      <c r="N792" s="13" t="str">
        <f>IF(OR('实盘净值数据(iFinD）'!$A792="",'实盘净值数据(iFinD）'!$B792="",'实盘净值数据(iFinD）'!$Z792="",'实盘净值数据(iFinD）'!$AA792=""),"",分期持仓明细!$AB$24*(SUMPRODUCT(分期持仓明细!$B$24:$Y$24,'实盘净值数据(iFinD）'!$B792:$Y792/'实盘净值数据(iFinD）'!$B$65:$Y$65)+SUMPRODUCT(分期持仓明细!$AC$24:$AD$24,'实盘净值数据(iFinD）'!$Z792:$AA792/'实盘净值数据(iFinD）'!$Z$65:$AA$65))*(1-实盘持仓初始配置!$Z$8)^(('实盘净值数据(iFinD）'!$A792-'实盘净值数据(iFinD）'!$A$5)/365))</f>
        <v/>
      </c>
      <c r="O792" s="16" t="str">
        <f t="shared" si="76"/>
        <v/>
      </c>
      <c r="P792" s="16" t="str">
        <f>IF(N792="","",N792/MAX(N$5:N792)-1)</f>
        <v/>
      </c>
      <c r="Q792" s="13" t="str">
        <f>IF(OR('实盘净值数据(iFinD）'!$A792="",'实盘净值数据(iFinD）'!$B792="",'实盘净值数据(iFinD）'!$Z792="",'实盘净值数据(iFinD）'!$AA792=""),"",分期持仓明细!$AB$25*(SUMPRODUCT(分期持仓明细!$B$25:$Y$25,'实盘净值数据(iFinD）'!$B792:$Y792/'实盘净值数据(iFinD）'!$B$65:$Y$65)+SUMPRODUCT(分期持仓明细!$AC$25:$AD$25,'实盘净值数据(iFinD）'!$Z792:$AA792/'实盘净值数据(iFinD）'!$Z$65:$AA$65))*(1-实盘持仓初始配置!$Z$9)^(('实盘净值数据(iFinD）'!$A792-'实盘净值数据(iFinD）'!$A$8)/365))</f>
        <v/>
      </c>
      <c r="R792" s="16" t="str">
        <f t="shared" si="77"/>
        <v/>
      </c>
      <c r="S792" s="16" t="str">
        <f>IF(Q792="","",Q792/MAX(Q$5:Q792)-1)</f>
        <v/>
      </c>
    </row>
    <row r="793" spans="1:19">
      <c r="A793" s="15" t="str">
        <f>IF('实盘净值数据(iFinD）'!A793="","",'实盘净值数据(iFinD）'!A793)</f>
        <v/>
      </c>
      <c r="B793" s="13" t="str">
        <f>IF(OR('实盘净值数据(iFinD）'!$A793="",'实盘净值数据(iFinD）'!$B793=""),"",分期持仓明细!$AB$17*SUMPRODUCT(分期持仓明细!$B$17:$Y$17,'实盘净值数据(iFinD）'!$B793:$Y793/'实盘净值数据(iFinD）'!$B$20:$Y$20)*(1-实盘持仓初始配置!$Z$4)^(('实盘净值数据(iFinD）'!$A793-'实盘净值数据(iFinD）'!$A$6)/365))</f>
        <v/>
      </c>
      <c r="C793" s="16" t="str">
        <f t="shared" si="72"/>
        <v/>
      </c>
      <c r="D793" s="16" t="str">
        <f>IF(B793="","",B793/MAX(B$5:B793)-1)</f>
        <v/>
      </c>
      <c r="E793" s="13" t="str">
        <f>IF(OR('实盘净值数据(iFinD）'!$A793="",'实盘净值数据(iFinD）'!$B793=""),"",分期持仓明细!$AB$18*SUMPRODUCT(分期持仓明细!$B$18:$Y$18,'实盘净值数据(iFinD）'!$B793:$Y793/'实盘净值数据(iFinD）'!$B$20:$Y$20)*(1-实盘持仓初始配置!$Z$5)^(('实盘净值数据(iFinD）'!$A793-'实盘净值数据(iFinD）'!$A$5)/365))</f>
        <v/>
      </c>
      <c r="F793" s="16" t="str">
        <f t="shared" si="73"/>
        <v/>
      </c>
      <c r="G793" s="16" t="str">
        <f>IF(E793="","",E793/MAX(E$5:E793)-1)</f>
        <v/>
      </c>
      <c r="H793" s="13" t="str">
        <f>IF(OR('实盘净值数据(iFinD）'!$A793="",'实盘净值数据(iFinD）'!$B793=""),"",分期持仓明细!$AB$19*SUMPRODUCT(分期持仓明细!$B$19:$Y$19,'实盘净值数据(iFinD）'!$B793:$Y793/'实盘净值数据(iFinD）'!$B$20:$Y$20)*(1-实盘持仓初始配置!$Z$6)^(('实盘净值数据(iFinD）'!$A793-'实盘净值数据(iFinD）'!$A$7)/365))</f>
        <v/>
      </c>
      <c r="I793" s="16" t="str">
        <f t="shared" si="74"/>
        <v/>
      </c>
      <c r="J793" s="16" t="str">
        <f>IF(H793="","",H793/MAX(H$5:H793)-1)</f>
        <v/>
      </c>
      <c r="K793" s="13" t="str">
        <f>IF(OR('实盘净值数据(iFinD）'!$A793="",'实盘净值数据(iFinD）'!$B793="",'实盘净值数据(iFinD）'!$Z793="",'实盘净值数据(iFinD）'!$AA793=""),"",分期持仓明细!$AB$23*(SUMPRODUCT(分期持仓明细!$B$23:$Y$23,'实盘净值数据(iFinD）'!$B793:$Y793/'实盘净值数据(iFinD）'!$B$65:$Y$65)+SUMPRODUCT(分期持仓明细!$AC$23:$AD$23,'实盘净值数据(iFinD）'!$Z793:$AA793/'实盘净值数据(iFinD）'!$Z$65:$AA$65))*(1-实盘持仓初始配置!$Z$7)^(('实盘净值数据(iFinD）'!$A793-'实盘净值数据(iFinD）'!$A$8)/365))</f>
        <v/>
      </c>
      <c r="L793" s="16" t="str">
        <f t="shared" si="75"/>
        <v/>
      </c>
      <c r="M793" s="16" t="str">
        <f>IF(K793="","",K793/MAX(K$5:K793)-1)</f>
        <v/>
      </c>
      <c r="N793" s="13" t="str">
        <f>IF(OR('实盘净值数据(iFinD）'!$A793="",'实盘净值数据(iFinD）'!$B793="",'实盘净值数据(iFinD）'!$Z793="",'实盘净值数据(iFinD）'!$AA793=""),"",分期持仓明细!$AB$24*(SUMPRODUCT(分期持仓明细!$B$24:$Y$24,'实盘净值数据(iFinD）'!$B793:$Y793/'实盘净值数据(iFinD）'!$B$65:$Y$65)+SUMPRODUCT(分期持仓明细!$AC$24:$AD$24,'实盘净值数据(iFinD）'!$Z793:$AA793/'实盘净值数据(iFinD）'!$Z$65:$AA$65))*(1-实盘持仓初始配置!$Z$8)^(('实盘净值数据(iFinD）'!$A793-'实盘净值数据(iFinD）'!$A$5)/365))</f>
        <v/>
      </c>
      <c r="O793" s="16" t="str">
        <f t="shared" si="76"/>
        <v/>
      </c>
      <c r="P793" s="16" t="str">
        <f>IF(N793="","",N793/MAX(N$5:N793)-1)</f>
        <v/>
      </c>
      <c r="Q793" s="13" t="str">
        <f>IF(OR('实盘净值数据(iFinD）'!$A793="",'实盘净值数据(iFinD）'!$B793="",'实盘净值数据(iFinD）'!$Z793="",'实盘净值数据(iFinD）'!$AA793=""),"",分期持仓明细!$AB$25*(SUMPRODUCT(分期持仓明细!$B$25:$Y$25,'实盘净值数据(iFinD）'!$B793:$Y793/'实盘净值数据(iFinD）'!$B$65:$Y$65)+SUMPRODUCT(分期持仓明细!$AC$25:$AD$25,'实盘净值数据(iFinD）'!$Z793:$AA793/'实盘净值数据(iFinD）'!$Z$65:$AA$65))*(1-实盘持仓初始配置!$Z$9)^(('实盘净值数据(iFinD）'!$A793-'实盘净值数据(iFinD）'!$A$8)/365))</f>
        <v/>
      </c>
      <c r="R793" s="16" t="str">
        <f t="shared" si="77"/>
        <v/>
      </c>
      <c r="S793" s="16" t="str">
        <f>IF(Q793="","",Q793/MAX(Q$5:Q793)-1)</f>
        <v/>
      </c>
    </row>
    <row r="794" spans="1:19">
      <c r="A794" s="15" t="str">
        <f>IF('实盘净值数据(iFinD）'!A794="","",'实盘净值数据(iFinD）'!A794)</f>
        <v/>
      </c>
      <c r="B794" s="13" t="str">
        <f>IF(OR('实盘净值数据(iFinD）'!$A794="",'实盘净值数据(iFinD）'!$B794=""),"",分期持仓明细!$AB$17*SUMPRODUCT(分期持仓明细!$B$17:$Y$17,'实盘净值数据(iFinD）'!$B794:$Y794/'实盘净值数据(iFinD）'!$B$20:$Y$20)*(1-实盘持仓初始配置!$Z$4)^(('实盘净值数据(iFinD）'!$A794-'实盘净值数据(iFinD）'!$A$6)/365))</f>
        <v/>
      </c>
      <c r="C794" s="16" t="str">
        <f t="shared" si="72"/>
        <v/>
      </c>
      <c r="D794" s="16" t="str">
        <f>IF(B794="","",B794/MAX(B$5:B794)-1)</f>
        <v/>
      </c>
      <c r="E794" s="13" t="str">
        <f>IF(OR('实盘净值数据(iFinD）'!$A794="",'实盘净值数据(iFinD）'!$B794=""),"",分期持仓明细!$AB$18*SUMPRODUCT(分期持仓明细!$B$18:$Y$18,'实盘净值数据(iFinD）'!$B794:$Y794/'实盘净值数据(iFinD）'!$B$20:$Y$20)*(1-实盘持仓初始配置!$Z$5)^(('实盘净值数据(iFinD）'!$A794-'实盘净值数据(iFinD）'!$A$5)/365))</f>
        <v/>
      </c>
      <c r="F794" s="16" t="str">
        <f t="shared" si="73"/>
        <v/>
      </c>
      <c r="G794" s="16" t="str">
        <f>IF(E794="","",E794/MAX(E$5:E794)-1)</f>
        <v/>
      </c>
      <c r="H794" s="13" t="str">
        <f>IF(OR('实盘净值数据(iFinD）'!$A794="",'实盘净值数据(iFinD）'!$B794=""),"",分期持仓明细!$AB$19*SUMPRODUCT(分期持仓明细!$B$19:$Y$19,'实盘净值数据(iFinD）'!$B794:$Y794/'实盘净值数据(iFinD）'!$B$20:$Y$20)*(1-实盘持仓初始配置!$Z$6)^(('实盘净值数据(iFinD）'!$A794-'实盘净值数据(iFinD）'!$A$7)/365))</f>
        <v/>
      </c>
      <c r="I794" s="16" t="str">
        <f t="shared" si="74"/>
        <v/>
      </c>
      <c r="J794" s="16" t="str">
        <f>IF(H794="","",H794/MAX(H$5:H794)-1)</f>
        <v/>
      </c>
      <c r="K794" s="13" t="str">
        <f>IF(OR('实盘净值数据(iFinD）'!$A794="",'实盘净值数据(iFinD）'!$B794="",'实盘净值数据(iFinD）'!$Z794="",'实盘净值数据(iFinD）'!$AA794=""),"",分期持仓明细!$AB$23*(SUMPRODUCT(分期持仓明细!$B$23:$Y$23,'实盘净值数据(iFinD）'!$B794:$Y794/'实盘净值数据(iFinD）'!$B$65:$Y$65)+SUMPRODUCT(分期持仓明细!$AC$23:$AD$23,'实盘净值数据(iFinD）'!$Z794:$AA794/'实盘净值数据(iFinD）'!$Z$65:$AA$65))*(1-实盘持仓初始配置!$Z$7)^(('实盘净值数据(iFinD）'!$A794-'实盘净值数据(iFinD）'!$A$8)/365))</f>
        <v/>
      </c>
      <c r="L794" s="16" t="str">
        <f t="shared" si="75"/>
        <v/>
      </c>
      <c r="M794" s="16" t="str">
        <f>IF(K794="","",K794/MAX(K$5:K794)-1)</f>
        <v/>
      </c>
      <c r="N794" s="13" t="str">
        <f>IF(OR('实盘净值数据(iFinD）'!$A794="",'实盘净值数据(iFinD）'!$B794="",'实盘净值数据(iFinD）'!$Z794="",'实盘净值数据(iFinD）'!$AA794=""),"",分期持仓明细!$AB$24*(SUMPRODUCT(分期持仓明细!$B$24:$Y$24,'实盘净值数据(iFinD）'!$B794:$Y794/'实盘净值数据(iFinD）'!$B$65:$Y$65)+SUMPRODUCT(分期持仓明细!$AC$24:$AD$24,'实盘净值数据(iFinD）'!$Z794:$AA794/'实盘净值数据(iFinD）'!$Z$65:$AA$65))*(1-实盘持仓初始配置!$Z$8)^(('实盘净值数据(iFinD）'!$A794-'实盘净值数据(iFinD）'!$A$5)/365))</f>
        <v/>
      </c>
      <c r="O794" s="16" t="str">
        <f t="shared" si="76"/>
        <v/>
      </c>
      <c r="P794" s="16" t="str">
        <f>IF(N794="","",N794/MAX(N$5:N794)-1)</f>
        <v/>
      </c>
      <c r="Q794" s="13" t="str">
        <f>IF(OR('实盘净值数据(iFinD）'!$A794="",'实盘净值数据(iFinD）'!$B794="",'实盘净值数据(iFinD）'!$Z794="",'实盘净值数据(iFinD）'!$AA794=""),"",分期持仓明细!$AB$25*(SUMPRODUCT(分期持仓明细!$B$25:$Y$25,'实盘净值数据(iFinD）'!$B794:$Y794/'实盘净值数据(iFinD）'!$B$65:$Y$65)+SUMPRODUCT(分期持仓明细!$AC$25:$AD$25,'实盘净值数据(iFinD）'!$Z794:$AA794/'实盘净值数据(iFinD）'!$Z$65:$AA$65))*(1-实盘持仓初始配置!$Z$9)^(('实盘净值数据(iFinD）'!$A794-'实盘净值数据(iFinD）'!$A$8)/365))</f>
        <v/>
      </c>
      <c r="R794" s="16" t="str">
        <f t="shared" si="77"/>
        <v/>
      </c>
      <c r="S794" s="16" t="str">
        <f>IF(Q794="","",Q794/MAX(Q$5:Q794)-1)</f>
        <v/>
      </c>
    </row>
    <row r="795" spans="1:19">
      <c r="A795" s="15" t="str">
        <f>IF('实盘净值数据(iFinD）'!A795="","",'实盘净值数据(iFinD）'!A795)</f>
        <v/>
      </c>
      <c r="B795" s="13" t="str">
        <f>IF(OR('实盘净值数据(iFinD）'!$A795="",'实盘净值数据(iFinD）'!$B795=""),"",分期持仓明细!$AB$17*SUMPRODUCT(分期持仓明细!$B$17:$Y$17,'实盘净值数据(iFinD）'!$B795:$Y795/'实盘净值数据(iFinD）'!$B$20:$Y$20)*(1-实盘持仓初始配置!$Z$4)^(('实盘净值数据(iFinD）'!$A795-'实盘净值数据(iFinD）'!$A$6)/365))</f>
        <v/>
      </c>
      <c r="C795" s="16" t="str">
        <f t="shared" si="72"/>
        <v/>
      </c>
      <c r="D795" s="16" t="str">
        <f>IF(B795="","",B795/MAX(B$5:B795)-1)</f>
        <v/>
      </c>
      <c r="E795" s="13" t="str">
        <f>IF(OR('实盘净值数据(iFinD）'!$A795="",'实盘净值数据(iFinD）'!$B795=""),"",分期持仓明细!$AB$18*SUMPRODUCT(分期持仓明细!$B$18:$Y$18,'实盘净值数据(iFinD）'!$B795:$Y795/'实盘净值数据(iFinD）'!$B$20:$Y$20)*(1-实盘持仓初始配置!$Z$5)^(('实盘净值数据(iFinD）'!$A795-'实盘净值数据(iFinD）'!$A$5)/365))</f>
        <v/>
      </c>
      <c r="F795" s="16" t="str">
        <f t="shared" si="73"/>
        <v/>
      </c>
      <c r="G795" s="16" t="str">
        <f>IF(E795="","",E795/MAX(E$5:E795)-1)</f>
        <v/>
      </c>
      <c r="H795" s="13" t="str">
        <f>IF(OR('实盘净值数据(iFinD）'!$A795="",'实盘净值数据(iFinD）'!$B795=""),"",分期持仓明细!$AB$19*SUMPRODUCT(分期持仓明细!$B$19:$Y$19,'实盘净值数据(iFinD）'!$B795:$Y795/'实盘净值数据(iFinD）'!$B$20:$Y$20)*(1-实盘持仓初始配置!$Z$6)^(('实盘净值数据(iFinD）'!$A795-'实盘净值数据(iFinD）'!$A$7)/365))</f>
        <v/>
      </c>
      <c r="I795" s="16" t="str">
        <f t="shared" si="74"/>
        <v/>
      </c>
      <c r="J795" s="16" t="str">
        <f>IF(H795="","",H795/MAX(H$5:H795)-1)</f>
        <v/>
      </c>
      <c r="K795" s="13" t="str">
        <f>IF(OR('实盘净值数据(iFinD）'!$A795="",'实盘净值数据(iFinD）'!$B795="",'实盘净值数据(iFinD）'!$Z795="",'实盘净值数据(iFinD）'!$AA795=""),"",分期持仓明细!$AB$23*(SUMPRODUCT(分期持仓明细!$B$23:$Y$23,'实盘净值数据(iFinD）'!$B795:$Y795/'实盘净值数据(iFinD）'!$B$65:$Y$65)+SUMPRODUCT(分期持仓明细!$AC$23:$AD$23,'实盘净值数据(iFinD）'!$Z795:$AA795/'实盘净值数据(iFinD）'!$Z$65:$AA$65))*(1-实盘持仓初始配置!$Z$7)^(('实盘净值数据(iFinD）'!$A795-'实盘净值数据(iFinD）'!$A$8)/365))</f>
        <v/>
      </c>
      <c r="L795" s="16" t="str">
        <f t="shared" si="75"/>
        <v/>
      </c>
      <c r="M795" s="16" t="str">
        <f>IF(K795="","",K795/MAX(K$5:K795)-1)</f>
        <v/>
      </c>
      <c r="N795" s="13" t="str">
        <f>IF(OR('实盘净值数据(iFinD）'!$A795="",'实盘净值数据(iFinD）'!$B795="",'实盘净值数据(iFinD）'!$Z795="",'实盘净值数据(iFinD）'!$AA795=""),"",分期持仓明细!$AB$24*(SUMPRODUCT(分期持仓明细!$B$24:$Y$24,'实盘净值数据(iFinD）'!$B795:$Y795/'实盘净值数据(iFinD）'!$B$65:$Y$65)+SUMPRODUCT(分期持仓明细!$AC$24:$AD$24,'实盘净值数据(iFinD）'!$Z795:$AA795/'实盘净值数据(iFinD）'!$Z$65:$AA$65))*(1-实盘持仓初始配置!$Z$8)^(('实盘净值数据(iFinD）'!$A795-'实盘净值数据(iFinD）'!$A$5)/365))</f>
        <v/>
      </c>
      <c r="O795" s="16" t="str">
        <f t="shared" si="76"/>
        <v/>
      </c>
      <c r="P795" s="16" t="str">
        <f>IF(N795="","",N795/MAX(N$5:N795)-1)</f>
        <v/>
      </c>
      <c r="Q795" s="13" t="str">
        <f>IF(OR('实盘净值数据(iFinD）'!$A795="",'实盘净值数据(iFinD）'!$B795="",'实盘净值数据(iFinD）'!$Z795="",'实盘净值数据(iFinD）'!$AA795=""),"",分期持仓明细!$AB$25*(SUMPRODUCT(分期持仓明细!$B$25:$Y$25,'实盘净值数据(iFinD）'!$B795:$Y795/'实盘净值数据(iFinD）'!$B$65:$Y$65)+SUMPRODUCT(分期持仓明细!$AC$25:$AD$25,'实盘净值数据(iFinD）'!$Z795:$AA795/'实盘净值数据(iFinD）'!$Z$65:$AA$65))*(1-实盘持仓初始配置!$Z$9)^(('实盘净值数据(iFinD）'!$A795-'实盘净值数据(iFinD）'!$A$8)/365))</f>
        <v/>
      </c>
      <c r="R795" s="16" t="str">
        <f t="shared" si="77"/>
        <v/>
      </c>
      <c r="S795" s="16" t="str">
        <f>IF(Q795="","",Q795/MAX(Q$5:Q795)-1)</f>
        <v/>
      </c>
    </row>
    <row r="796" spans="1:19">
      <c r="A796" s="15" t="str">
        <f>IF('实盘净值数据(iFinD）'!A796="","",'实盘净值数据(iFinD）'!A796)</f>
        <v/>
      </c>
      <c r="B796" s="13" t="str">
        <f>IF(OR('实盘净值数据(iFinD）'!$A796="",'实盘净值数据(iFinD）'!$B796=""),"",分期持仓明细!$AB$17*SUMPRODUCT(分期持仓明细!$B$17:$Y$17,'实盘净值数据(iFinD）'!$B796:$Y796/'实盘净值数据(iFinD）'!$B$20:$Y$20)*(1-实盘持仓初始配置!$Z$4)^(('实盘净值数据(iFinD）'!$A796-'实盘净值数据(iFinD）'!$A$6)/365))</f>
        <v/>
      </c>
      <c r="C796" s="16" t="str">
        <f t="shared" si="72"/>
        <v/>
      </c>
      <c r="D796" s="16" t="str">
        <f>IF(B796="","",B796/MAX(B$5:B796)-1)</f>
        <v/>
      </c>
      <c r="E796" s="13" t="str">
        <f>IF(OR('实盘净值数据(iFinD）'!$A796="",'实盘净值数据(iFinD）'!$B796=""),"",分期持仓明细!$AB$18*SUMPRODUCT(分期持仓明细!$B$18:$Y$18,'实盘净值数据(iFinD）'!$B796:$Y796/'实盘净值数据(iFinD）'!$B$20:$Y$20)*(1-实盘持仓初始配置!$Z$5)^(('实盘净值数据(iFinD）'!$A796-'实盘净值数据(iFinD）'!$A$5)/365))</f>
        <v/>
      </c>
      <c r="F796" s="16" t="str">
        <f t="shared" si="73"/>
        <v/>
      </c>
      <c r="G796" s="16" t="str">
        <f>IF(E796="","",E796/MAX(E$5:E796)-1)</f>
        <v/>
      </c>
      <c r="H796" s="13" t="str">
        <f>IF(OR('实盘净值数据(iFinD）'!$A796="",'实盘净值数据(iFinD）'!$B796=""),"",分期持仓明细!$AB$19*SUMPRODUCT(分期持仓明细!$B$19:$Y$19,'实盘净值数据(iFinD）'!$B796:$Y796/'实盘净值数据(iFinD）'!$B$20:$Y$20)*(1-实盘持仓初始配置!$Z$6)^(('实盘净值数据(iFinD）'!$A796-'实盘净值数据(iFinD）'!$A$7)/365))</f>
        <v/>
      </c>
      <c r="I796" s="16" t="str">
        <f t="shared" si="74"/>
        <v/>
      </c>
      <c r="J796" s="16" t="str">
        <f>IF(H796="","",H796/MAX(H$5:H796)-1)</f>
        <v/>
      </c>
      <c r="K796" s="13" t="str">
        <f>IF(OR('实盘净值数据(iFinD）'!$A796="",'实盘净值数据(iFinD）'!$B796="",'实盘净值数据(iFinD）'!$Z796="",'实盘净值数据(iFinD）'!$AA796=""),"",分期持仓明细!$AB$23*(SUMPRODUCT(分期持仓明细!$B$23:$Y$23,'实盘净值数据(iFinD）'!$B796:$Y796/'实盘净值数据(iFinD）'!$B$65:$Y$65)+SUMPRODUCT(分期持仓明细!$AC$23:$AD$23,'实盘净值数据(iFinD）'!$Z796:$AA796/'实盘净值数据(iFinD）'!$Z$65:$AA$65))*(1-实盘持仓初始配置!$Z$7)^(('实盘净值数据(iFinD）'!$A796-'实盘净值数据(iFinD）'!$A$8)/365))</f>
        <v/>
      </c>
      <c r="L796" s="16" t="str">
        <f t="shared" si="75"/>
        <v/>
      </c>
      <c r="M796" s="16" t="str">
        <f>IF(K796="","",K796/MAX(K$5:K796)-1)</f>
        <v/>
      </c>
      <c r="N796" s="13" t="str">
        <f>IF(OR('实盘净值数据(iFinD）'!$A796="",'实盘净值数据(iFinD）'!$B796="",'实盘净值数据(iFinD）'!$Z796="",'实盘净值数据(iFinD）'!$AA796=""),"",分期持仓明细!$AB$24*(SUMPRODUCT(分期持仓明细!$B$24:$Y$24,'实盘净值数据(iFinD）'!$B796:$Y796/'实盘净值数据(iFinD）'!$B$65:$Y$65)+SUMPRODUCT(分期持仓明细!$AC$24:$AD$24,'实盘净值数据(iFinD）'!$Z796:$AA796/'实盘净值数据(iFinD）'!$Z$65:$AA$65))*(1-实盘持仓初始配置!$Z$8)^(('实盘净值数据(iFinD）'!$A796-'实盘净值数据(iFinD）'!$A$5)/365))</f>
        <v/>
      </c>
      <c r="O796" s="16" t="str">
        <f t="shared" si="76"/>
        <v/>
      </c>
      <c r="P796" s="16" t="str">
        <f>IF(N796="","",N796/MAX(N$5:N796)-1)</f>
        <v/>
      </c>
      <c r="Q796" s="13" t="str">
        <f>IF(OR('实盘净值数据(iFinD）'!$A796="",'实盘净值数据(iFinD）'!$B796="",'实盘净值数据(iFinD）'!$Z796="",'实盘净值数据(iFinD）'!$AA796=""),"",分期持仓明细!$AB$25*(SUMPRODUCT(分期持仓明细!$B$25:$Y$25,'实盘净值数据(iFinD）'!$B796:$Y796/'实盘净值数据(iFinD）'!$B$65:$Y$65)+SUMPRODUCT(分期持仓明细!$AC$25:$AD$25,'实盘净值数据(iFinD）'!$Z796:$AA796/'实盘净值数据(iFinD）'!$Z$65:$AA$65))*(1-实盘持仓初始配置!$Z$9)^(('实盘净值数据(iFinD）'!$A796-'实盘净值数据(iFinD）'!$A$8)/365))</f>
        <v/>
      </c>
      <c r="R796" s="16" t="str">
        <f t="shared" si="77"/>
        <v/>
      </c>
      <c r="S796" s="16" t="str">
        <f>IF(Q796="","",Q796/MAX(Q$5:Q796)-1)</f>
        <v/>
      </c>
    </row>
    <row r="797" spans="1:19">
      <c r="A797" s="15" t="str">
        <f>IF('实盘净值数据(iFinD）'!A797="","",'实盘净值数据(iFinD）'!A797)</f>
        <v/>
      </c>
      <c r="B797" s="13" t="str">
        <f>IF(OR('实盘净值数据(iFinD）'!$A797="",'实盘净值数据(iFinD）'!$B797=""),"",分期持仓明细!$AB$17*SUMPRODUCT(分期持仓明细!$B$17:$Y$17,'实盘净值数据(iFinD）'!$B797:$Y797/'实盘净值数据(iFinD）'!$B$20:$Y$20)*(1-实盘持仓初始配置!$Z$4)^(('实盘净值数据(iFinD）'!$A797-'实盘净值数据(iFinD）'!$A$6)/365))</f>
        <v/>
      </c>
      <c r="C797" s="16" t="str">
        <f t="shared" si="72"/>
        <v/>
      </c>
      <c r="D797" s="16" t="str">
        <f>IF(B797="","",B797/MAX(B$5:B797)-1)</f>
        <v/>
      </c>
      <c r="E797" s="13" t="str">
        <f>IF(OR('实盘净值数据(iFinD）'!$A797="",'实盘净值数据(iFinD）'!$B797=""),"",分期持仓明细!$AB$18*SUMPRODUCT(分期持仓明细!$B$18:$Y$18,'实盘净值数据(iFinD）'!$B797:$Y797/'实盘净值数据(iFinD）'!$B$20:$Y$20)*(1-实盘持仓初始配置!$Z$5)^(('实盘净值数据(iFinD）'!$A797-'实盘净值数据(iFinD）'!$A$5)/365))</f>
        <v/>
      </c>
      <c r="F797" s="16" t="str">
        <f t="shared" si="73"/>
        <v/>
      </c>
      <c r="G797" s="16" t="str">
        <f>IF(E797="","",E797/MAX(E$5:E797)-1)</f>
        <v/>
      </c>
      <c r="H797" s="13" t="str">
        <f>IF(OR('实盘净值数据(iFinD）'!$A797="",'实盘净值数据(iFinD）'!$B797=""),"",分期持仓明细!$AB$19*SUMPRODUCT(分期持仓明细!$B$19:$Y$19,'实盘净值数据(iFinD）'!$B797:$Y797/'实盘净值数据(iFinD）'!$B$20:$Y$20)*(1-实盘持仓初始配置!$Z$6)^(('实盘净值数据(iFinD）'!$A797-'实盘净值数据(iFinD）'!$A$7)/365))</f>
        <v/>
      </c>
      <c r="I797" s="16" t="str">
        <f t="shared" si="74"/>
        <v/>
      </c>
      <c r="J797" s="16" t="str">
        <f>IF(H797="","",H797/MAX(H$5:H797)-1)</f>
        <v/>
      </c>
      <c r="K797" s="13" t="str">
        <f>IF(OR('实盘净值数据(iFinD）'!$A797="",'实盘净值数据(iFinD）'!$B797="",'实盘净值数据(iFinD）'!$Z797="",'实盘净值数据(iFinD）'!$AA797=""),"",分期持仓明细!$AB$23*(SUMPRODUCT(分期持仓明细!$B$23:$Y$23,'实盘净值数据(iFinD）'!$B797:$Y797/'实盘净值数据(iFinD）'!$B$65:$Y$65)+SUMPRODUCT(分期持仓明细!$AC$23:$AD$23,'实盘净值数据(iFinD）'!$Z797:$AA797/'实盘净值数据(iFinD）'!$Z$65:$AA$65))*(1-实盘持仓初始配置!$Z$7)^(('实盘净值数据(iFinD）'!$A797-'实盘净值数据(iFinD）'!$A$8)/365))</f>
        <v/>
      </c>
      <c r="L797" s="16" t="str">
        <f t="shared" si="75"/>
        <v/>
      </c>
      <c r="M797" s="16" t="str">
        <f>IF(K797="","",K797/MAX(K$5:K797)-1)</f>
        <v/>
      </c>
      <c r="N797" s="13" t="str">
        <f>IF(OR('实盘净值数据(iFinD）'!$A797="",'实盘净值数据(iFinD）'!$B797="",'实盘净值数据(iFinD）'!$Z797="",'实盘净值数据(iFinD）'!$AA797=""),"",分期持仓明细!$AB$24*(SUMPRODUCT(分期持仓明细!$B$24:$Y$24,'实盘净值数据(iFinD）'!$B797:$Y797/'实盘净值数据(iFinD）'!$B$65:$Y$65)+SUMPRODUCT(分期持仓明细!$AC$24:$AD$24,'实盘净值数据(iFinD）'!$Z797:$AA797/'实盘净值数据(iFinD）'!$Z$65:$AA$65))*(1-实盘持仓初始配置!$Z$8)^(('实盘净值数据(iFinD）'!$A797-'实盘净值数据(iFinD）'!$A$5)/365))</f>
        <v/>
      </c>
      <c r="O797" s="16" t="str">
        <f t="shared" si="76"/>
        <v/>
      </c>
      <c r="P797" s="16" t="str">
        <f>IF(N797="","",N797/MAX(N$5:N797)-1)</f>
        <v/>
      </c>
      <c r="Q797" s="13" t="str">
        <f>IF(OR('实盘净值数据(iFinD）'!$A797="",'实盘净值数据(iFinD）'!$B797="",'实盘净值数据(iFinD）'!$Z797="",'实盘净值数据(iFinD）'!$AA797=""),"",分期持仓明细!$AB$25*(SUMPRODUCT(分期持仓明细!$B$25:$Y$25,'实盘净值数据(iFinD）'!$B797:$Y797/'实盘净值数据(iFinD）'!$B$65:$Y$65)+SUMPRODUCT(分期持仓明细!$AC$25:$AD$25,'实盘净值数据(iFinD）'!$Z797:$AA797/'实盘净值数据(iFinD）'!$Z$65:$AA$65))*(1-实盘持仓初始配置!$Z$9)^(('实盘净值数据(iFinD）'!$A797-'实盘净值数据(iFinD）'!$A$8)/365))</f>
        <v/>
      </c>
      <c r="R797" s="16" t="str">
        <f t="shared" si="77"/>
        <v/>
      </c>
      <c r="S797" s="16" t="str">
        <f>IF(Q797="","",Q797/MAX(Q$5:Q797)-1)</f>
        <v/>
      </c>
    </row>
    <row r="798" spans="1:19">
      <c r="A798" s="15" t="str">
        <f>IF('实盘净值数据(iFinD）'!A798="","",'实盘净值数据(iFinD）'!A798)</f>
        <v/>
      </c>
      <c r="B798" s="13" t="str">
        <f>IF(OR('实盘净值数据(iFinD）'!$A798="",'实盘净值数据(iFinD）'!$B798=""),"",分期持仓明细!$AB$17*SUMPRODUCT(分期持仓明细!$B$17:$Y$17,'实盘净值数据(iFinD）'!$B798:$Y798/'实盘净值数据(iFinD）'!$B$20:$Y$20)*(1-实盘持仓初始配置!$Z$4)^(('实盘净值数据(iFinD）'!$A798-'实盘净值数据(iFinD）'!$A$6)/365))</f>
        <v/>
      </c>
      <c r="C798" s="16" t="str">
        <f t="shared" si="72"/>
        <v/>
      </c>
      <c r="D798" s="16" t="str">
        <f>IF(B798="","",B798/MAX(B$5:B798)-1)</f>
        <v/>
      </c>
      <c r="E798" s="13" t="str">
        <f>IF(OR('实盘净值数据(iFinD）'!$A798="",'实盘净值数据(iFinD）'!$B798=""),"",分期持仓明细!$AB$18*SUMPRODUCT(分期持仓明细!$B$18:$Y$18,'实盘净值数据(iFinD）'!$B798:$Y798/'实盘净值数据(iFinD）'!$B$20:$Y$20)*(1-实盘持仓初始配置!$Z$5)^(('实盘净值数据(iFinD）'!$A798-'实盘净值数据(iFinD）'!$A$5)/365))</f>
        <v/>
      </c>
      <c r="F798" s="16" t="str">
        <f t="shared" si="73"/>
        <v/>
      </c>
      <c r="G798" s="16" t="str">
        <f>IF(E798="","",E798/MAX(E$5:E798)-1)</f>
        <v/>
      </c>
      <c r="H798" s="13" t="str">
        <f>IF(OR('实盘净值数据(iFinD）'!$A798="",'实盘净值数据(iFinD）'!$B798=""),"",分期持仓明细!$AB$19*SUMPRODUCT(分期持仓明细!$B$19:$Y$19,'实盘净值数据(iFinD）'!$B798:$Y798/'实盘净值数据(iFinD）'!$B$20:$Y$20)*(1-实盘持仓初始配置!$Z$6)^(('实盘净值数据(iFinD）'!$A798-'实盘净值数据(iFinD）'!$A$7)/365))</f>
        <v/>
      </c>
      <c r="I798" s="16" t="str">
        <f t="shared" si="74"/>
        <v/>
      </c>
      <c r="J798" s="16" t="str">
        <f>IF(H798="","",H798/MAX(H$5:H798)-1)</f>
        <v/>
      </c>
      <c r="K798" s="13" t="str">
        <f>IF(OR('实盘净值数据(iFinD）'!$A798="",'实盘净值数据(iFinD）'!$B798="",'实盘净值数据(iFinD）'!$Z798="",'实盘净值数据(iFinD）'!$AA798=""),"",分期持仓明细!$AB$23*(SUMPRODUCT(分期持仓明细!$B$23:$Y$23,'实盘净值数据(iFinD）'!$B798:$Y798/'实盘净值数据(iFinD）'!$B$65:$Y$65)+SUMPRODUCT(分期持仓明细!$AC$23:$AD$23,'实盘净值数据(iFinD）'!$Z798:$AA798/'实盘净值数据(iFinD）'!$Z$65:$AA$65))*(1-实盘持仓初始配置!$Z$7)^(('实盘净值数据(iFinD）'!$A798-'实盘净值数据(iFinD）'!$A$8)/365))</f>
        <v/>
      </c>
      <c r="L798" s="16" t="str">
        <f t="shared" si="75"/>
        <v/>
      </c>
      <c r="M798" s="16" t="str">
        <f>IF(K798="","",K798/MAX(K$5:K798)-1)</f>
        <v/>
      </c>
      <c r="N798" s="13" t="str">
        <f>IF(OR('实盘净值数据(iFinD）'!$A798="",'实盘净值数据(iFinD）'!$B798="",'实盘净值数据(iFinD）'!$Z798="",'实盘净值数据(iFinD）'!$AA798=""),"",分期持仓明细!$AB$24*(SUMPRODUCT(分期持仓明细!$B$24:$Y$24,'实盘净值数据(iFinD）'!$B798:$Y798/'实盘净值数据(iFinD）'!$B$65:$Y$65)+SUMPRODUCT(分期持仓明细!$AC$24:$AD$24,'实盘净值数据(iFinD）'!$Z798:$AA798/'实盘净值数据(iFinD）'!$Z$65:$AA$65))*(1-实盘持仓初始配置!$Z$8)^(('实盘净值数据(iFinD）'!$A798-'实盘净值数据(iFinD）'!$A$5)/365))</f>
        <v/>
      </c>
      <c r="O798" s="16" t="str">
        <f t="shared" si="76"/>
        <v/>
      </c>
      <c r="P798" s="16" t="str">
        <f>IF(N798="","",N798/MAX(N$5:N798)-1)</f>
        <v/>
      </c>
      <c r="Q798" s="13" t="str">
        <f>IF(OR('实盘净值数据(iFinD）'!$A798="",'实盘净值数据(iFinD）'!$B798="",'实盘净值数据(iFinD）'!$Z798="",'实盘净值数据(iFinD）'!$AA798=""),"",分期持仓明细!$AB$25*(SUMPRODUCT(分期持仓明细!$B$25:$Y$25,'实盘净值数据(iFinD）'!$B798:$Y798/'实盘净值数据(iFinD）'!$B$65:$Y$65)+SUMPRODUCT(分期持仓明细!$AC$25:$AD$25,'实盘净值数据(iFinD）'!$Z798:$AA798/'实盘净值数据(iFinD）'!$Z$65:$AA$65))*(1-实盘持仓初始配置!$Z$9)^(('实盘净值数据(iFinD）'!$A798-'实盘净值数据(iFinD）'!$A$8)/365))</f>
        <v/>
      </c>
      <c r="R798" s="16" t="str">
        <f t="shared" si="77"/>
        <v/>
      </c>
      <c r="S798" s="16" t="str">
        <f>IF(Q798="","",Q798/MAX(Q$5:Q798)-1)</f>
        <v/>
      </c>
    </row>
    <row r="799" spans="1:19">
      <c r="A799" s="15" t="str">
        <f>IF('实盘净值数据(iFinD）'!A799="","",'实盘净值数据(iFinD）'!A799)</f>
        <v/>
      </c>
      <c r="B799" s="13" t="str">
        <f>IF(OR('实盘净值数据(iFinD）'!$A799="",'实盘净值数据(iFinD）'!$B799=""),"",分期持仓明细!$AB$17*SUMPRODUCT(分期持仓明细!$B$17:$Y$17,'实盘净值数据(iFinD）'!$B799:$Y799/'实盘净值数据(iFinD）'!$B$20:$Y$20)*(1-实盘持仓初始配置!$Z$4)^(('实盘净值数据(iFinD）'!$A799-'实盘净值数据(iFinD）'!$A$6)/365))</f>
        <v/>
      </c>
      <c r="C799" s="16" t="str">
        <f t="shared" si="72"/>
        <v/>
      </c>
      <c r="D799" s="16" t="str">
        <f>IF(B799="","",B799/MAX(B$5:B799)-1)</f>
        <v/>
      </c>
      <c r="E799" s="13" t="str">
        <f>IF(OR('实盘净值数据(iFinD）'!$A799="",'实盘净值数据(iFinD）'!$B799=""),"",分期持仓明细!$AB$18*SUMPRODUCT(分期持仓明细!$B$18:$Y$18,'实盘净值数据(iFinD）'!$B799:$Y799/'实盘净值数据(iFinD）'!$B$20:$Y$20)*(1-实盘持仓初始配置!$Z$5)^(('实盘净值数据(iFinD）'!$A799-'实盘净值数据(iFinD）'!$A$5)/365))</f>
        <v/>
      </c>
      <c r="F799" s="16" t="str">
        <f t="shared" si="73"/>
        <v/>
      </c>
      <c r="G799" s="16" t="str">
        <f>IF(E799="","",E799/MAX(E$5:E799)-1)</f>
        <v/>
      </c>
      <c r="H799" s="13" t="str">
        <f>IF(OR('实盘净值数据(iFinD）'!$A799="",'实盘净值数据(iFinD）'!$B799=""),"",分期持仓明细!$AB$19*SUMPRODUCT(分期持仓明细!$B$19:$Y$19,'实盘净值数据(iFinD）'!$B799:$Y799/'实盘净值数据(iFinD）'!$B$20:$Y$20)*(1-实盘持仓初始配置!$Z$6)^(('实盘净值数据(iFinD）'!$A799-'实盘净值数据(iFinD）'!$A$7)/365))</f>
        <v/>
      </c>
      <c r="I799" s="16" t="str">
        <f t="shared" si="74"/>
        <v/>
      </c>
      <c r="J799" s="16" t="str">
        <f>IF(H799="","",H799/MAX(H$5:H799)-1)</f>
        <v/>
      </c>
      <c r="K799" s="13" t="str">
        <f>IF(OR('实盘净值数据(iFinD）'!$A799="",'实盘净值数据(iFinD）'!$B799="",'实盘净值数据(iFinD）'!$Z799="",'实盘净值数据(iFinD）'!$AA799=""),"",分期持仓明细!$AB$23*(SUMPRODUCT(分期持仓明细!$B$23:$Y$23,'实盘净值数据(iFinD）'!$B799:$Y799/'实盘净值数据(iFinD）'!$B$65:$Y$65)+SUMPRODUCT(分期持仓明细!$AC$23:$AD$23,'实盘净值数据(iFinD）'!$Z799:$AA799/'实盘净值数据(iFinD）'!$Z$65:$AA$65))*(1-实盘持仓初始配置!$Z$7)^(('实盘净值数据(iFinD）'!$A799-'实盘净值数据(iFinD）'!$A$8)/365))</f>
        <v/>
      </c>
      <c r="L799" s="16" t="str">
        <f t="shared" si="75"/>
        <v/>
      </c>
      <c r="M799" s="16" t="str">
        <f>IF(K799="","",K799/MAX(K$5:K799)-1)</f>
        <v/>
      </c>
      <c r="N799" s="13" t="str">
        <f>IF(OR('实盘净值数据(iFinD）'!$A799="",'实盘净值数据(iFinD）'!$B799="",'实盘净值数据(iFinD）'!$Z799="",'实盘净值数据(iFinD）'!$AA799=""),"",分期持仓明细!$AB$24*(SUMPRODUCT(分期持仓明细!$B$24:$Y$24,'实盘净值数据(iFinD）'!$B799:$Y799/'实盘净值数据(iFinD）'!$B$65:$Y$65)+SUMPRODUCT(分期持仓明细!$AC$24:$AD$24,'实盘净值数据(iFinD）'!$Z799:$AA799/'实盘净值数据(iFinD）'!$Z$65:$AA$65))*(1-实盘持仓初始配置!$Z$8)^(('实盘净值数据(iFinD）'!$A799-'实盘净值数据(iFinD）'!$A$5)/365))</f>
        <v/>
      </c>
      <c r="O799" s="16" t="str">
        <f t="shared" si="76"/>
        <v/>
      </c>
      <c r="P799" s="16" t="str">
        <f>IF(N799="","",N799/MAX(N$5:N799)-1)</f>
        <v/>
      </c>
      <c r="Q799" s="13" t="str">
        <f>IF(OR('实盘净值数据(iFinD）'!$A799="",'实盘净值数据(iFinD）'!$B799="",'实盘净值数据(iFinD）'!$Z799="",'实盘净值数据(iFinD）'!$AA799=""),"",分期持仓明细!$AB$25*(SUMPRODUCT(分期持仓明细!$B$25:$Y$25,'实盘净值数据(iFinD）'!$B799:$Y799/'实盘净值数据(iFinD）'!$B$65:$Y$65)+SUMPRODUCT(分期持仓明细!$AC$25:$AD$25,'实盘净值数据(iFinD）'!$Z799:$AA799/'实盘净值数据(iFinD）'!$Z$65:$AA$65))*(1-实盘持仓初始配置!$Z$9)^(('实盘净值数据(iFinD）'!$A799-'实盘净值数据(iFinD）'!$A$8)/365))</f>
        <v/>
      </c>
      <c r="R799" s="16" t="str">
        <f t="shared" si="77"/>
        <v/>
      </c>
      <c r="S799" s="16" t="str">
        <f>IF(Q799="","",Q799/MAX(Q$5:Q799)-1)</f>
        <v/>
      </c>
    </row>
    <row r="800" spans="1:19">
      <c r="A800" s="15" t="str">
        <f>IF('实盘净值数据(iFinD）'!A800="","",'实盘净值数据(iFinD）'!A800)</f>
        <v/>
      </c>
      <c r="B800" s="13" t="str">
        <f>IF(OR('实盘净值数据(iFinD）'!$A800="",'实盘净值数据(iFinD）'!$B800=""),"",分期持仓明细!$AB$17*SUMPRODUCT(分期持仓明细!$B$17:$Y$17,'实盘净值数据(iFinD）'!$B800:$Y800/'实盘净值数据(iFinD）'!$B$20:$Y$20)*(1-实盘持仓初始配置!$Z$4)^(('实盘净值数据(iFinD）'!$A800-'实盘净值数据(iFinD）'!$A$6)/365))</f>
        <v/>
      </c>
      <c r="C800" s="16" t="str">
        <f t="shared" si="72"/>
        <v/>
      </c>
      <c r="D800" s="16" t="str">
        <f>IF(B800="","",B800/MAX(B$5:B800)-1)</f>
        <v/>
      </c>
      <c r="E800" s="13" t="str">
        <f>IF(OR('实盘净值数据(iFinD）'!$A800="",'实盘净值数据(iFinD）'!$B800=""),"",分期持仓明细!$AB$18*SUMPRODUCT(分期持仓明细!$B$18:$Y$18,'实盘净值数据(iFinD）'!$B800:$Y800/'实盘净值数据(iFinD）'!$B$20:$Y$20)*(1-实盘持仓初始配置!$Z$5)^(('实盘净值数据(iFinD）'!$A800-'实盘净值数据(iFinD）'!$A$5)/365))</f>
        <v/>
      </c>
      <c r="F800" s="16" t="str">
        <f t="shared" si="73"/>
        <v/>
      </c>
      <c r="G800" s="16" t="str">
        <f>IF(E800="","",E800/MAX(E$5:E800)-1)</f>
        <v/>
      </c>
      <c r="H800" s="13" t="str">
        <f>IF(OR('实盘净值数据(iFinD）'!$A800="",'实盘净值数据(iFinD）'!$B800=""),"",分期持仓明细!$AB$19*SUMPRODUCT(分期持仓明细!$B$19:$Y$19,'实盘净值数据(iFinD）'!$B800:$Y800/'实盘净值数据(iFinD）'!$B$20:$Y$20)*(1-实盘持仓初始配置!$Z$6)^(('实盘净值数据(iFinD）'!$A800-'实盘净值数据(iFinD）'!$A$7)/365))</f>
        <v/>
      </c>
      <c r="I800" s="16" t="str">
        <f t="shared" si="74"/>
        <v/>
      </c>
      <c r="J800" s="16" t="str">
        <f>IF(H800="","",H800/MAX(H$5:H800)-1)</f>
        <v/>
      </c>
      <c r="K800" s="13" t="str">
        <f>IF(OR('实盘净值数据(iFinD）'!$A800="",'实盘净值数据(iFinD）'!$B800="",'实盘净值数据(iFinD）'!$Z800="",'实盘净值数据(iFinD）'!$AA800=""),"",分期持仓明细!$AB$23*(SUMPRODUCT(分期持仓明细!$B$23:$Y$23,'实盘净值数据(iFinD）'!$B800:$Y800/'实盘净值数据(iFinD）'!$B$65:$Y$65)+SUMPRODUCT(分期持仓明细!$AC$23:$AD$23,'实盘净值数据(iFinD）'!$Z800:$AA800/'实盘净值数据(iFinD）'!$Z$65:$AA$65))*(1-实盘持仓初始配置!$Z$7)^(('实盘净值数据(iFinD）'!$A800-'实盘净值数据(iFinD）'!$A$8)/365))</f>
        <v/>
      </c>
      <c r="L800" s="16" t="str">
        <f t="shared" si="75"/>
        <v/>
      </c>
      <c r="M800" s="16" t="str">
        <f>IF(K800="","",K800/MAX(K$5:K800)-1)</f>
        <v/>
      </c>
      <c r="N800" s="13" t="str">
        <f>IF(OR('实盘净值数据(iFinD）'!$A800="",'实盘净值数据(iFinD）'!$B800="",'实盘净值数据(iFinD）'!$Z800="",'实盘净值数据(iFinD）'!$AA800=""),"",分期持仓明细!$AB$24*(SUMPRODUCT(分期持仓明细!$B$24:$Y$24,'实盘净值数据(iFinD）'!$B800:$Y800/'实盘净值数据(iFinD）'!$B$65:$Y$65)+SUMPRODUCT(分期持仓明细!$AC$24:$AD$24,'实盘净值数据(iFinD）'!$Z800:$AA800/'实盘净值数据(iFinD）'!$Z$65:$AA$65))*(1-实盘持仓初始配置!$Z$8)^(('实盘净值数据(iFinD）'!$A800-'实盘净值数据(iFinD）'!$A$5)/365))</f>
        <v/>
      </c>
      <c r="O800" s="16" t="str">
        <f t="shared" si="76"/>
        <v/>
      </c>
      <c r="P800" s="16" t="str">
        <f>IF(N800="","",N800/MAX(N$5:N800)-1)</f>
        <v/>
      </c>
      <c r="Q800" s="13" t="str">
        <f>IF(OR('实盘净值数据(iFinD）'!$A800="",'实盘净值数据(iFinD）'!$B800="",'实盘净值数据(iFinD）'!$Z800="",'实盘净值数据(iFinD）'!$AA800=""),"",分期持仓明细!$AB$25*(SUMPRODUCT(分期持仓明细!$B$25:$Y$25,'实盘净值数据(iFinD）'!$B800:$Y800/'实盘净值数据(iFinD）'!$B$65:$Y$65)+SUMPRODUCT(分期持仓明细!$AC$25:$AD$25,'实盘净值数据(iFinD）'!$Z800:$AA800/'实盘净值数据(iFinD）'!$Z$65:$AA$65))*(1-实盘持仓初始配置!$Z$9)^(('实盘净值数据(iFinD）'!$A800-'实盘净值数据(iFinD）'!$A$8)/365))</f>
        <v/>
      </c>
      <c r="R800" s="16" t="str">
        <f t="shared" si="77"/>
        <v/>
      </c>
      <c r="S800" s="16" t="str">
        <f>IF(Q800="","",Q800/MAX(Q$5:Q800)-1)</f>
        <v/>
      </c>
    </row>
    <row r="801" spans="1:19">
      <c r="A801" s="15" t="str">
        <f>IF('实盘净值数据(iFinD）'!A801="","",'实盘净值数据(iFinD）'!A801)</f>
        <v/>
      </c>
      <c r="B801" s="13" t="str">
        <f>IF(OR('实盘净值数据(iFinD）'!$A801="",'实盘净值数据(iFinD）'!$B801=""),"",分期持仓明细!$AB$17*SUMPRODUCT(分期持仓明细!$B$17:$Y$17,'实盘净值数据(iFinD）'!$B801:$Y801/'实盘净值数据(iFinD）'!$B$20:$Y$20)*(1-实盘持仓初始配置!$Z$4)^(('实盘净值数据(iFinD）'!$A801-'实盘净值数据(iFinD）'!$A$6)/365))</f>
        <v/>
      </c>
      <c r="C801" s="16" t="str">
        <f t="shared" si="72"/>
        <v/>
      </c>
      <c r="D801" s="16" t="str">
        <f>IF(B801="","",B801/MAX(B$5:B801)-1)</f>
        <v/>
      </c>
      <c r="E801" s="13" t="str">
        <f>IF(OR('实盘净值数据(iFinD）'!$A801="",'实盘净值数据(iFinD）'!$B801=""),"",分期持仓明细!$AB$18*SUMPRODUCT(分期持仓明细!$B$18:$Y$18,'实盘净值数据(iFinD）'!$B801:$Y801/'实盘净值数据(iFinD）'!$B$20:$Y$20)*(1-实盘持仓初始配置!$Z$5)^(('实盘净值数据(iFinD）'!$A801-'实盘净值数据(iFinD）'!$A$5)/365))</f>
        <v/>
      </c>
      <c r="F801" s="16" t="str">
        <f t="shared" si="73"/>
        <v/>
      </c>
      <c r="G801" s="16" t="str">
        <f>IF(E801="","",E801/MAX(E$5:E801)-1)</f>
        <v/>
      </c>
      <c r="H801" s="13" t="str">
        <f>IF(OR('实盘净值数据(iFinD）'!$A801="",'实盘净值数据(iFinD）'!$B801=""),"",分期持仓明细!$AB$19*SUMPRODUCT(分期持仓明细!$B$19:$Y$19,'实盘净值数据(iFinD）'!$B801:$Y801/'实盘净值数据(iFinD）'!$B$20:$Y$20)*(1-实盘持仓初始配置!$Z$6)^(('实盘净值数据(iFinD）'!$A801-'实盘净值数据(iFinD）'!$A$7)/365))</f>
        <v/>
      </c>
      <c r="I801" s="16" t="str">
        <f t="shared" si="74"/>
        <v/>
      </c>
      <c r="J801" s="16" t="str">
        <f>IF(H801="","",H801/MAX(H$5:H801)-1)</f>
        <v/>
      </c>
      <c r="K801" s="13" t="str">
        <f>IF(OR('实盘净值数据(iFinD）'!$A801="",'实盘净值数据(iFinD）'!$B801="",'实盘净值数据(iFinD）'!$Z801="",'实盘净值数据(iFinD）'!$AA801=""),"",分期持仓明细!$AB$23*(SUMPRODUCT(分期持仓明细!$B$23:$Y$23,'实盘净值数据(iFinD）'!$B801:$Y801/'实盘净值数据(iFinD）'!$B$65:$Y$65)+SUMPRODUCT(分期持仓明细!$AC$23:$AD$23,'实盘净值数据(iFinD）'!$Z801:$AA801/'实盘净值数据(iFinD）'!$Z$65:$AA$65))*(1-实盘持仓初始配置!$Z$7)^(('实盘净值数据(iFinD）'!$A801-'实盘净值数据(iFinD）'!$A$8)/365))</f>
        <v/>
      </c>
      <c r="L801" s="16" t="str">
        <f t="shared" si="75"/>
        <v/>
      </c>
      <c r="M801" s="16" t="str">
        <f>IF(K801="","",K801/MAX(K$5:K801)-1)</f>
        <v/>
      </c>
      <c r="N801" s="13" t="str">
        <f>IF(OR('实盘净值数据(iFinD）'!$A801="",'实盘净值数据(iFinD）'!$B801="",'实盘净值数据(iFinD）'!$Z801="",'实盘净值数据(iFinD）'!$AA801=""),"",分期持仓明细!$AB$24*(SUMPRODUCT(分期持仓明细!$B$24:$Y$24,'实盘净值数据(iFinD）'!$B801:$Y801/'实盘净值数据(iFinD）'!$B$65:$Y$65)+SUMPRODUCT(分期持仓明细!$AC$24:$AD$24,'实盘净值数据(iFinD）'!$Z801:$AA801/'实盘净值数据(iFinD）'!$Z$65:$AA$65))*(1-实盘持仓初始配置!$Z$8)^(('实盘净值数据(iFinD）'!$A801-'实盘净值数据(iFinD）'!$A$5)/365))</f>
        <v/>
      </c>
      <c r="O801" s="16" t="str">
        <f t="shared" si="76"/>
        <v/>
      </c>
      <c r="P801" s="16" t="str">
        <f>IF(N801="","",N801/MAX(N$5:N801)-1)</f>
        <v/>
      </c>
      <c r="Q801" s="13" t="str">
        <f>IF(OR('实盘净值数据(iFinD）'!$A801="",'实盘净值数据(iFinD）'!$B801="",'实盘净值数据(iFinD）'!$Z801="",'实盘净值数据(iFinD）'!$AA801=""),"",分期持仓明细!$AB$25*(SUMPRODUCT(分期持仓明细!$B$25:$Y$25,'实盘净值数据(iFinD）'!$B801:$Y801/'实盘净值数据(iFinD）'!$B$65:$Y$65)+SUMPRODUCT(分期持仓明细!$AC$25:$AD$25,'实盘净值数据(iFinD）'!$Z801:$AA801/'实盘净值数据(iFinD）'!$Z$65:$AA$65))*(1-实盘持仓初始配置!$Z$9)^(('实盘净值数据(iFinD）'!$A801-'实盘净值数据(iFinD）'!$A$8)/365))</f>
        <v/>
      </c>
      <c r="R801" s="16" t="str">
        <f t="shared" si="77"/>
        <v/>
      </c>
      <c r="S801" s="16" t="str">
        <f>IF(Q801="","",Q801/MAX(Q$5:Q801)-1)</f>
        <v/>
      </c>
    </row>
    <row r="802" spans="1:19">
      <c r="A802" s="15" t="str">
        <f>IF('实盘净值数据(iFinD）'!A802="","",'实盘净值数据(iFinD）'!A802)</f>
        <v/>
      </c>
      <c r="B802" s="13" t="str">
        <f>IF(OR('实盘净值数据(iFinD）'!$A802="",'实盘净值数据(iFinD）'!$B802=""),"",分期持仓明细!$AB$17*SUMPRODUCT(分期持仓明细!$B$17:$Y$17,'实盘净值数据(iFinD）'!$B802:$Y802/'实盘净值数据(iFinD）'!$B$20:$Y$20)*(1-实盘持仓初始配置!$Z$4)^(('实盘净值数据(iFinD）'!$A802-'实盘净值数据(iFinD）'!$A$6)/365))</f>
        <v/>
      </c>
      <c r="C802" s="16" t="str">
        <f t="shared" si="72"/>
        <v/>
      </c>
      <c r="D802" s="16" t="str">
        <f>IF(B802="","",B802/MAX(B$5:B802)-1)</f>
        <v/>
      </c>
      <c r="E802" s="13" t="str">
        <f>IF(OR('实盘净值数据(iFinD）'!$A802="",'实盘净值数据(iFinD）'!$B802=""),"",分期持仓明细!$AB$18*SUMPRODUCT(分期持仓明细!$B$18:$Y$18,'实盘净值数据(iFinD）'!$B802:$Y802/'实盘净值数据(iFinD）'!$B$20:$Y$20)*(1-实盘持仓初始配置!$Z$5)^(('实盘净值数据(iFinD）'!$A802-'实盘净值数据(iFinD）'!$A$5)/365))</f>
        <v/>
      </c>
      <c r="F802" s="16" t="str">
        <f t="shared" si="73"/>
        <v/>
      </c>
      <c r="G802" s="16" t="str">
        <f>IF(E802="","",E802/MAX(E$5:E802)-1)</f>
        <v/>
      </c>
      <c r="H802" s="13" t="str">
        <f>IF(OR('实盘净值数据(iFinD）'!$A802="",'实盘净值数据(iFinD）'!$B802=""),"",分期持仓明细!$AB$19*SUMPRODUCT(分期持仓明细!$B$19:$Y$19,'实盘净值数据(iFinD）'!$B802:$Y802/'实盘净值数据(iFinD）'!$B$20:$Y$20)*(1-实盘持仓初始配置!$Z$6)^(('实盘净值数据(iFinD）'!$A802-'实盘净值数据(iFinD）'!$A$7)/365))</f>
        <v/>
      </c>
      <c r="I802" s="16" t="str">
        <f t="shared" si="74"/>
        <v/>
      </c>
      <c r="J802" s="16" t="str">
        <f>IF(H802="","",H802/MAX(H$5:H802)-1)</f>
        <v/>
      </c>
      <c r="K802" s="13" t="str">
        <f>IF(OR('实盘净值数据(iFinD）'!$A802="",'实盘净值数据(iFinD）'!$B802="",'实盘净值数据(iFinD）'!$Z802="",'实盘净值数据(iFinD）'!$AA802=""),"",分期持仓明细!$AB$23*(SUMPRODUCT(分期持仓明细!$B$23:$Y$23,'实盘净值数据(iFinD）'!$B802:$Y802/'实盘净值数据(iFinD）'!$B$65:$Y$65)+SUMPRODUCT(分期持仓明细!$AC$23:$AD$23,'实盘净值数据(iFinD）'!$Z802:$AA802/'实盘净值数据(iFinD）'!$Z$65:$AA$65))*(1-实盘持仓初始配置!$Z$7)^(('实盘净值数据(iFinD）'!$A802-'实盘净值数据(iFinD）'!$A$8)/365))</f>
        <v/>
      </c>
      <c r="L802" s="16" t="str">
        <f t="shared" si="75"/>
        <v/>
      </c>
      <c r="M802" s="16" t="str">
        <f>IF(K802="","",K802/MAX(K$5:K802)-1)</f>
        <v/>
      </c>
      <c r="N802" s="13" t="str">
        <f>IF(OR('实盘净值数据(iFinD）'!$A802="",'实盘净值数据(iFinD）'!$B802="",'实盘净值数据(iFinD）'!$Z802="",'实盘净值数据(iFinD）'!$AA802=""),"",分期持仓明细!$AB$24*(SUMPRODUCT(分期持仓明细!$B$24:$Y$24,'实盘净值数据(iFinD）'!$B802:$Y802/'实盘净值数据(iFinD）'!$B$65:$Y$65)+SUMPRODUCT(分期持仓明细!$AC$24:$AD$24,'实盘净值数据(iFinD）'!$Z802:$AA802/'实盘净值数据(iFinD）'!$Z$65:$AA$65))*(1-实盘持仓初始配置!$Z$8)^(('实盘净值数据(iFinD）'!$A802-'实盘净值数据(iFinD）'!$A$5)/365))</f>
        <v/>
      </c>
      <c r="O802" s="16" t="str">
        <f t="shared" si="76"/>
        <v/>
      </c>
      <c r="P802" s="16" t="str">
        <f>IF(N802="","",N802/MAX(N$5:N802)-1)</f>
        <v/>
      </c>
      <c r="Q802" s="13" t="str">
        <f>IF(OR('实盘净值数据(iFinD）'!$A802="",'实盘净值数据(iFinD）'!$B802="",'实盘净值数据(iFinD）'!$Z802="",'实盘净值数据(iFinD）'!$AA802=""),"",分期持仓明细!$AB$25*(SUMPRODUCT(分期持仓明细!$B$25:$Y$25,'实盘净值数据(iFinD）'!$B802:$Y802/'实盘净值数据(iFinD）'!$B$65:$Y$65)+SUMPRODUCT(分期持仓明细!$AC$25:$AD$25,'实盘净值数据(iFinD）'!$Z802:$AA802/'实盘净值数据(iFinD）'!$Z$65:$AA$65))*(1-实盘持仓初始配置!$Z$9)^(('实盘净值数据(iFinD）'!$A802-'实盘净值数据(iFinD）'!$A$8)/365))</f>
        <v/>
      </c>
      <c r="R802" s="16" t="str">
        <f t="shared" si="77"/>
        <v/>
      </c>
      <c r="S802" s="16" t="str">
        <f>IF(Q802="","",Q802/MAX(Q$5:Q802)-1)</f>
        <v/>
      </c>
    </row>
    <row r="803" spans="1:19">
      <c r="A803" s="15" t="str">
        <f>IF('实盘净值数据(iFinD）'!A803="","",'实盘净值数据(iFinD）'!A803)</f>
        <v/>
      </c>
      <c r="B803" s="13" t="str">
        <f>IF(OR('实盘净值数据(iFinD）'!$A803="",'实盘净值数据(iFinD）'!$B803=""),"",分期持仓明细!$AB$17*SUMPRODUCT(分期持仓明细!$B$17:$Y$17,'实盘净值数据(iFinD）'!$B803:$Y803/'实盘净值数据(iFinD）'!$B$20:$Y$20)*(1-实盘持仓初始配置!$Z$4)^(('实盘净值数据(iFinD）'!$A803-'实盘净值数据(iFinD）'!$A$6)/365))</f>
        <v/>
      </c>
      <c r="C803" s="16" t="str">
        <f t="shared" si="72"/>
        <v/>
      </c>
      <c r="D803" s="16" t="str">
        <f>IF(B803="","",B803/MAX(B$5:B803)-1)</f>
        <v/>
      </c>
      <c r="E803" s="13" t="str">
        <f>IF(OR('实盘净值数据(iFinD）'!$A803="",'实盘净值数据(iFinD）'!$B803=""),"",分期持仓明细!$AB$18*SUMPRODUCT(分期持仓明细!$B$18:$Y$18,'实盘净值数据(iFinD）'!$B803:$Y803/'实盘净值数据(iFinD）'!$B$20:$Y$20)*(1-实盘持仓初始配置!$Z$5)^(('实盘净值数据(iFinD）'!$A803-'实盘净值数据(iFinD）'!$A$5)/365))</f>
        <v/>
      </c>
      <c r="F803" s="16" t="str">
        <f t="shared" si="73"/>
        <v/>
      </c>
      <c r="G803" s="16" t="str">
        <f>IF(E803="","",E803/MAX(E$5:E803)-1)</f>
        <v/>
      </c>
      <c r="H803" s="13" t="str">
        <f>IF(OR('实盘净值数据(iFinD）'!$A803="",'实盘净值数据(iFinD）'!$B803=""),"",分期持仓明细!$AB$19*SUMPRODUCT(分期持仓明细!$B$19:$Y$19,'实盘净值数据(iFinD）'!$B803:$Y803/'实盘净值数据(iFinD）'!$B$20:$Y$20)*(1-实盘持仓初始配置!$Z$6)^(('实盘净值数据(iFinD）'!$A803-'实盘净值数据(iFinD）'!$A$7)/365))</f>
        <v/>
      </c>
      <c r="I803" s="16" t="str">
        <f t="shared" si="74"/>
        <v/>
      </c>
      <c r="J803" s="16" t="str">
        <f>IF(H803="","",H803/MAX(H$5:H803)-1)</f>
        <v/>
      </c>
      <c r="K803" s="13" t="str">
        <f>IF(OR('实盘净值数据(iFinD）'!$A803="",'实盘净值数据(iFinD）'!$B803="",'实盘净值数据(iFinD）'!$Z803="",'实盘净值数据(iFinD）'!$AA803=""),"",分期持仓明细!$AB$23*(SUMPRODUCT(分期持仓明细!$B$23:$Y$23,'实盘净值数据(iFinD）'!$B803:$Y803/'实盘净值数据(iFinD）'!$B$65:$Y$65)+SUMPRODUCT(分期持仓明细!$AC$23:$AD$23,'实盘净值数据(iFinD）'!$Z803:$AA803/'实盘净值数据(iFinD）'!$Z$65:$AA$65))*(1-实盘持仓初始配置!$Z$7)^(('实盘净值数据(iFinD）'!$A803-'实盘净值数据(iFinD）'!$A$8)/365))</f>
        <v/>
      </c>
      <c r="L803" s="16" t="str">
        <f t="shared" si="75"/>
        <v/>
      </c>
      <c r="M803" s="16" t="str">
        <f>IF(K803="","",K803/MAX(K$5:K803)-1)</f>
        <v/>
      </c>
      <c r="N803" s="13" t="str">
        <f>IF(OR('实盘净值数据(iFinD）'!$A803="",'实盘净值数据(iFinD）'!$B803="",'实盘净值数据(iFinD）'!$Z803="",'实盘净值数据(iFinD）'!$AA803=""),"",分期持仓明细!$AB$24*(SUMPRODUCT(分期持仓明细!$B$24:$Y$24,'实盘净值数据(iFinD）'!$B803:$Y803/'实盘净值数据(iFinD）'!$B$65:$Y$65)+SUMPRODUCT(分期持仓明细!$AC$24:$AD$24,'实盘净值数据(iFinD）'!$Z803:$AA803/'实盘净值数据(iFinD）'!$Z$65:$AA$65))*(1-实盘持仓初始配置!$Z$8)^(('实盘净值数据(iFinD）'!$A803-'实盘净值数据(iFinD）'!$A$5)/365))</f>
        <v/>
      </c>
      <c r="O803" s="16" t="str">
        <f t="shared" si="76"/>
        <v/>
      </c>
      <c r="P803" s="16" t="str">
        <f>IF(N803="","",N803/MAX(N$5:N803)-1)</f>
        <v/>
      </c>
      <c r="Q803" s="13" t="str">
        <f>IF(OR('实盘净值数据(iFinD）'!$A803="",'实盘净值数据(iFinD）'!$B803="",'实盘净值数据(iFinD）'!$Z803="",'实盘净值数据(iFinD）'!$AA803=""),"",分期持仓明细!$AB$25*(SUMPRODUCT(分期持仓明细!$B$25:$Y$25,'实盘净值数据(iFinD）'!$B803:$Y803/'实盘净值数据(iFinD）'!$B$65:$Y$65)+SUMPRODUCT(分期持仓明细!$AC$25:$AD$25,'实盘净值数据(iFinD）'!$Z803:$AA803/'实盘净值数据(iFinD）'!$Z$65:$AA$65))*(1-实盘持仓初始配置!$Z$9)^(('实盘净值数据(iFinD）'!$A803-'实盘净值数据(iFinD）'!$A$8)/365))</f>
        <v/>
      </c>
      <c r="R803" s="16" t="str">
        <f t="shared" si="77"/>
        <v/>
      </c>
      <c r="S803" s="16" t="str">
        <f>IF(Q803="","",Q803/MAX(Q$5:Q803)-1)</f>
        <v/>
      </c>
    </row>
    <row r="804" spans="1:19">
      <c r="A804" s="15" t="str">
        <f>IF('实盘净值数据(iFinD）'!A804="","",'实盘净值数据(iFinD）'!A804)</f>
        <v/>
      </c>
      <c r="B804" s="13" t="str">
        <f>IF(OR('实盘净值数据(iFinD）'!$A804="",'实盘净值数据(iFinD）'!$B804=""),"",分期持仓明细!$AB$17*SUMPRODUCT(分期持仓明细!$B$17:$Y$17,'实盘净值数据(iFinD）'!$B804:$Y804/'实盘净值数据(iFinD）'!$B$20:$Y$20)*(1-实盘持仓初始配置!$Z$4)^(('实盘净值数据(iFinD）'!$A804-'实盘净值数据(iFinD）'!$A$6)/365))</f>
        <v/>
      </c>
      <c r="C804" s="16" t="str">
        <f t="shared" si="72"/>
        <v/>
      </c>
      <c r="D804" s="16" t="str">
        <f>IF(B804="","",B804/MAX(B$5:B804)-1)</f>
        <v/>
      </c>
      <c r="E804" s="13" t="str">
        <f>IF(OR('实盘净值数据(iFinD）'!$A804="",'实盘净值数据(iFinD）'!$B804=""),"",分期持仓明细!$AB$18*SUMPRODUCT(分期持仓明细!$B$18:$Y$18,'实盘净值数据(iFinD）'!$B804:$Y804/'实盘净值数据(iFinD）'!$B$20:$Y$20)*(1-实盘持仓初始配置!$Z$5)^(('实盘净值数据(iFinD）'!$A804-'实盘净值数据(iFinD）'!$A$5)/365))</f>
        <v/>
      </c>
      <c r="F804" s="16" t="str">
        <f t="shared" si="73"/>
        <v/>
      </c>
      <c r="G804" s="16" t="str">
        <f>IF(E804="","",E804/MAX(E$5:E804)-1)</f>
        <v/>
      </c>
      <c r="H804" s="13" t="str">
        <f>IF(OR('实盘净值数据(iFinD）'!$A804="",'实盘净值数据(iFinD）'!$B804=""),"",分期持仓明细!$AB$19*SUMPRODUCT(分期持仓明细!$B$19:$Y$19,'实盘净值数据(iFinD）'!$B804:$Y804/'实盘净值数据(iFinD）'!$B$20:$Y$20)*(1-实盘持仓初始配置!$Z$6)^(('实盘净值数据(iFinD）'!$A804-'实盘净值数据(iFinD）'!$A$7)/365))</f>
        <v/>
      </c>
      <c r="I804" s="16" t="str">
        <f t="shared" si="74"/>
        <v/>
      </c>
      <c r="J804" s="16" t="str">
        <f>IF(H804="","",H804/MAX(H$5:H804)-1)</f>
        <v/>
      </c>
      <c r="K804" s="13" t="str">
        <f>IF(OR('实盘净值数据(iFinD）'!$A804="",'实盘净值数据(iFinD）'!$B804="",'实盘净值数据(iFinD）'!$Z804="",'实盘净值数据(iFinD）'!$AA804=""),"",分期持仓明细!$AB$23*(SUMPRODUCT(分期持仓明细!$B$23:$Y$23,'实盘净值数据(iFinD）'!$B804:$Y804/'实盘净值数据(iFinD）'!$B$65:$Y$65)+SUMPRODUCT(分期持仓明细!$AC$23:$AD$23,'实盘净值数据(iFinD）'!$Z804:$AA804/'实盘净值数据(iFinD）'!$Z$65:$AA$65))*(1-实盘持仓初始配置!$Z$7)^(('实盘净值数据(iFinD）'!$A804-'实盘净值数据(iFinD）'!$A$8)/365))</f>
        <v/>
      </c>
      <c r="L804" s="16" t="str">
        <f t="shared" si="75"/>
        <v/>
      </c>
      <c r="M804" s="16" t="str">
        <f>IF(K804="","",K804/MAX(K$5:K804)-1)</f>
        <v/>
      </c>
      <c r="N804" s="13" t="str">
        <f>IF(OR('实盘净值数据(iFinD）'!$A804="",'实盘净值数据(iFinD）'!$B804="",'实盘净值数据(iFinD）'!$Z804="",'实盘净值数据(iFinD）'!$AA804=""),"",分期持仓明细!$AB$24*(SUMPRODUCT(分期持仓明细!$B$24:$Y$24,'实盘净值数据(iFinD）'!$B804:$Y804/'实盘净值数据(iFinD）'!$B$65:$Y$65)+SUMPRODUCT(分期持仓明细!$AC$24:$AD$24,'实盘净值数据(iFinD）'!$Z804:$AA804/'实盘净值数据(iFinD）'!$Z$65:$AA$65))*(1-实盘持仓初始配置!$Z$8)^(('实盘净值数据(iFinD）'!$A804-'实盘净值数据(iFinD）'!$A$5)/365))</f>
        <v/>
      </c>
      <c r="O804" s="16" t="str">
        <f t="shared" si="76"/>
        <v/>
      </c>
      <c r="P804" s="16" t="str">
        <f>IF(N804="","",N804/MAX(N$5:N804)-1)</f>
        <v/>
      </c>
      <c r="Q804" s="13" t="str">
        <f>IF(OR('实盘净值数据(iFinD）'!$A804="",'实盘净值数据(iFinD）'!$B804="",'实盘净值数据(iFinD）'!$Z804="",'实盘净值数据(iFinD）'!$AA804=""),"",分期持仓明细!$AB$25*(SUMPRODUCT(分期持仓明细!$B$25:$Y$25,'实盘净值数据(iFinD）'!$B804:$Y804/'实盘净值数据(iFinD）'!$B$65:$Y$65)+SUMPRODUCT(分期持仓明细!$AC$25:$AD$25,'实盘净值数据(iFinD）'!$Z804:$AA804/'实盘净值数据(iFinD）'!$Z$65:$AA$65))*(1-实盘持仓初始配置!$Z$9)^(('实盘净值数据(iFinD）'!$A804-'实盘净值数据(iFinD）'!$A$8)/365))</f>
        <v/>
      </c>
      <c r="R804" s="16" t="str">
        <f t="shared" si="77"/>
        <v/>
      </c>
      <c r="S804" s="16" t="str">
        <f>IF(Q804="","",Q804/MAX(Q$5:Q804)-1)</f>
        <v/>
      </c>
    </row>
    <row r="805" spans="1:19">
      <c r="A805" s="15" t="str">
        <f>IF('实盘净值数据(iFinD）'!A805="","",'实盘净值数据(iFinD）'!A805)</f>
        <v/>
      </c>
      <c r="B805" s="13" t="str">
        <f>IF(OR('实盘净值数据(iFinD）'!$A805="",'实盘净值数据(iFinD）'!$B805=""),"",分期持仓明细!$AB$17*SUMPRODUCT(分期持仓明细!$B$17:$Y$17,'实盘净值数据(iFinD）'!$B805:$Y805/'实盘净值数据(iFinD）'!$B$20:$Y$20)*(1-实盘持仓初始配置!$Z$4)^(('实盘净值数据(iFinD）'!$A805-'实盘净值数据(iFinD）'!$A$6)/365))</f>
        <v/>
      </c>
      <c r="C805" s="16" t="str">
        <f t="shared" si="72"/>
        <v/>
      </c>
      <c r="D805" s="16" t="str">
        <f>IF(B805="","",B805/MAX(B$5:B805)-1)</f>
        <v/>
      </c>
      <c r="E805" s="13" t="str">
        <f>IF(OR('实盘净值数据(iFinD）'!$A805="",'实盘净值数据(iFinD）'!$B805=""),"",分期持仓明细!$AB$18*SUMPRODUCT(分期持仓明细!$B$18:$Y$18,'实盘净值数据(iFinD）'!$B805:$Y805/'实盘净值数据(iFinD）'!$B$20:$Y$20)*(1-实盘持仓初始配置!$Z$5)^(('实盘净值数据(iFinD）'!$A805-'实盘净值数据(iFinD）'!$A$5)/365))</f>
        <v/>
      </c>
      <c r="F805" s="16" t="str">
        <f t="shared" si="73"/>
        <v/>
      </c>
      <c r="G805" s="16" t="str">
        <f>IF(E805="","",E805/MAX(E$5:E805)-1)</f>
        <v/>
      </c>
      <c r="H805" s="13" t="str">
        <f>IF(OR('实盘净值数据(iFinD）'!$A805="",'实盘净值数据(iFinD）'!$B805=""),"",分期持仓明细!$AB$19*SUMPRODUCT(分期持仓明细!$B$19:$Y$19,'实盘净值数据(iFinD）'!$B805:$Y805/'实盘净值数据(iFinD）'!$B$20:$Y$20)*(1-实盘持仓初始配置!$Z$6)^(('实盘净值数据(iFinD）'!$A805-'实盘净值数据(iFinD）'!$A$7)/365))</f>
        <v/>
      </c>
      <c r="I805" s="16" t="str">
        <f t="shared" si="74"/>
        <v/>
      </c>
      <c r="J805" s="16" t="str">
        <f>IF(H805="","",H805/MAX(H$5:H805)-1)</f>
        <v/>
      </c>
      <c r="K805" s="13" t="str">
        <f>IF(OR('实盘净值数据(iFinD）'!$A805="",'实盘净值数据(iFinD）'!$B805="",'实盘净值数据(iFinD）'!$Z805="",'实盘净值数据(iFinD）'!$AA805=""),"",分期持仓明细!$AB$23*(SUMPRODUCT(分期持仓明细!$B$23:$Y$23,'实盘净值数据(iFinD）'!$B805:$Y805/'实盘净值数据(iFinD）'!$B$65:$Y$65)+SUMPRODUCT(分期持仓明细!$AC$23:$AD$23,'实盘净值数据(iFinD）'!$Z805:$AA805/'实盘净值数据(iFinD）'!$Z$65:$AA$65))*(1-实盘持仓初始配置!$Z$7)^(('实盘净值数据(iFinD）'!$A805-'实盘净值数据(iFinD）'!$A$8)/365))</f>
        <v/>
      </c>
      <c r="L805" s="16" t="str">
        <f t="shared" si="75"/>
        <v/>
      </c>
      <c r="M805" s="16" t="str">
        <f>IF(K805="","",K805/MAX(K$5:K805)-1)</f>
        <v/>
      </c>
      <c r="N805" s="13" t="str">
        <f>IF(OR('实盘净值数据(iFinD）'!$A805="",'实盘净值数据(iFinD）'!$B805="",'实盘净值数据(iFinD）'!$Z805="",'实盘净值数据(iFinD）'!$AA805=""),"",分期持仓明细!$AB$24*(SUMPRODUCT(分期持仓明细!$B$24:$Y$24,'实盘净值数据(iFinD）'!$B805:$Y805/'实盘净值数据(iFinD）'!$B$65:$Y$65)+SUMPRODUCT(分期持仓明细!$AC$24:$AD$24,'实盘净值数据(iFinD）'!$Z805:$AA805/'实盘净值数据(iFinD）'!$Z$65:$AA$65))*(1-实盘持仓初始配置!$Z$8)^(('实盘净值数据(iFinD）'!$A805-'实盘净值数据(iFinD）'!$A$5)/365))</f>
        <v/>
      </c>
      <c r="O805" s="16" t="str">
        <f t="shared" si="76"/>
        <v/>
      </c>
      <c r="P805" s="16" t="str">
        <f>IF(N805="","",N805/MAX(N$5:N805)-1)</f>
        <v/>
      </c>
      <c r="Q805" s="13" t="str">
        <f>IF(OR('实盘净值数据(iFinD）'!$A805="",'实盘净值数据(iFinD）'!$B805="",'实盘净值数据(iFinD）'!$Z805="",'实盘净值数据(iFinD）'!$AA805=""),"",分期持仓明细!$AB$25*(SUMPRODUCT(分期持仓明细!$B$25:$Y$25,'实盘净值数据(iFinD）'!$B805:$Y805/'实盘净值数据(iFinD）'!$B$65:$Y$65)+SUMPRODUCT(分期持仓明细!$AC$25:$AD$25,'实盘净值数据(iFinD）'!$Z805:$AA805/'实盘净值数据(iFinD）'!$Z$65:$AA$65))*(1-实盘持仓初始配置!$Z$9)^(('实盘净值数据(iFinD）'!$A805-'实盘净值数据(iFinD）'!$A$8)/365))</f>
        <v/>
      </c>
      <c r="R805" s="16" t="str">
        <f t="shared" si="77"/>
        <v/>
      </c>
      <c r="S805" s="16" t="str">
        <f>IF(Q805="","",Q805/MAX(Q$5:Q805)-1)</f>
        <v/>
      </c>
    </row>
    <row r="806" spans="1:19">
      <c r="A806" s="15" t="str">
        <f>IF('实盘净值数据(iFinD）'!A806="","",'实盘净值数据(iFinD）'!A806)</f>
        <v/>
      </c>
      <c r="B806" s="13" t="str">
        <f>IF(OR('实盘净值数据(iFinD）'!$A806="",'实盘净值数据(iFinD）'!$B806=""),"",分期持仓明细!$AB$17*SUMPRODUCT(分期持仓明细!$B$17:$Y$17,'实盘净值数据(iFinD）'!$B806:$Y806/'实盘净值数据(iFinD）'!$B$20:$Y$20)*(1-实盘持仓初始配置!$Z$4)^(('实盘净值数据(iFinD）'!$A806-'实盘净值数据(iFinD）'!$A$6)/365))</f>
        <v/>
      </c>
      <c r="C806" s="16" t="str">
        <f t="shared" si="72"/>
        <v/>
      </c>
      <c r="D806" s="16" t="str">
        <f>IF(B806="","",B806/MAX(B$5:B806)-1)</f>
        <v/>
      </c>
      <c r="E806" s="13" t="str">
        <f>IF(OR('实盘净值数据(iFinD）'!$A806="",'实盘净值数据(iFinD）'!$B806=""),"",分期持仓明细!$AB$18*SUMPRODUCT(分期持仓明细!$B$18:$Y$18,'实盘净值数据(iFinD）'!$B806:$Y806/'实盘净值数据(iFinD）'!$B$20:$Y$20)*(1-实盘持仓初始配置!$Z$5)^(('实盘净值数据(iFinD）'!$A806-'实盘净值数据(iFinD）'!$A$5)/365))</f>
        <v/>
      </c>
      <c r="F806" s="16" t="str">
        <f t="shared" si="73"/>
        <v/>
      </c>
      <c r="G806" s="16" t="str">
        <f>IF(E806="","",E806/MAX(E$5:E806)-1)</f>
        <v/>
      </c>
      <c r="H806" s="13" t="str">
        <f>IF(OR('实盘净值数据(iFinD）'!$A806="",'实盘净值数据(iFinD）'!$B806=""),"",分期持仓明细!$AB$19*SUMPRODUCT(分期持仓明细!$B$19:$Y$19,'实盘净值数据(iFinD）'!$B806:$Y806/'实盘净值数据(iFinD）'!$B$20:$Y$20)*(1-实盘持仓初始配置!$Z$6)^(('实盘净值数据(iFinD）'!$A806-'实盘净值数据(iFinD）'!$A$7)/365))</f>
        <v/>
      </c>
      <c r="I806" s="16" t="str">
        <f t="shared" si="74"/>
        <v/>
      </c>
      <c r="J806" s="16" t="str">
        <f>IF(H806="","",H806/MAX(H$5:H806)-1)</f>
        <v/>
      </c>
      <c r="K806" s="13" t="str">
        <f>IF(OR('实盘净值数据(iFinD）'!$A806="",'实盘净值数据(iFinD）'!$B806="",'实盘净值数据(iFinD）'!$Z806="",'实盘净值数据(iFinD）'!$AA806=""),"",分期持仓明细!$AB$23*(SUMPRODUCT(分期持仓明细!$B$23:$Y$23,'实盘净值数据(iFinD）'!$B806:$Y806/'实盘净值数据(iFinD）'!$B$65:$Y$65)+SUMPRODUCT(分期持仓明细!$AC$23:$AD$23,'实盘净值数据(iFinD）'!$Z806:$AA806/'实盘净值数据(iFinD）'!$Z$65:$AA$65))*(1-实盘持仓初始配置!$Z$7)^(('实盘净值数据(iFinD）'!$A806-'实盘净值数据(iFinD）'!$A$8)/365))</f>
        <v/>
      </c>
      <c r="L806" s="16" t="str">
        <f t="shared" si="75"/>
        <v/>
      </c>
      <c r="M806" s="16" t="str">
        <f>IF(K806="","",K806/MAX(K$5:K806)-1)</f>
        <v/>
      </c>
      <c r="N806" s="13" t="str">
        <f>IF(OR('实盘净值数据(iFinD）'!$A806="",'实盘净值数据(iFinD）'!$B806="",'实盘净值数据(iFinD）'!$Z806="",'实盘净值数据(iFinD）'!$AA806=""),"",分期持仓明细!$AB$24*(SUMPRODUCT(分期持仓明细!$B$24:$Y$24,'实盘净值数据(iFinD）'!$B806:$Y806/'实盘净值数据(iFinD）'!$B$65:$Y$65)+SUMPRODUCT(分期持仓明细!$AC$24:$AD$24,'实盘净值数据(iFinD）'!$Z806:$AA806/'实盘净值数据(iFinD）'!$Z$65:$AA$65))*(1-实盘持仓初始配置!$Z$8)^(('实盘净值数据(iFinD）'!$A806-'实盘净值数据(iFinD）'!$A$5)/365))</f>
        <v/>
      </c>
      <c r="O806" s="16" t="str">
        <f t="shared" si="76"/>
        <v/>
      </c>
      <c r="P806" s="16" t="str">
        <f>IF(N806="","",N806/MAX(N$5:N806)-1)</f>
        <v/>
      </c>
      <c r="Q806" s="13" t="str">
        <f>IF(OR('实盘净值数据(iFinD）'!$A806="",'实盘净值数据(iFinD）'!$B806="",'实盘净值数据(iFinD）'!$Z806="",'实盘净值数据(iFinD）'!$AA806=""),"",分期持仓明细!$AB$25*(SUMPRODUCT(分期持仓明细!$B$25:$Y$25,'实盘净值数据(iFinD）'!$B806:$Y806/'实盘净值数据(iFinD）'!$B$65:$Y$65)+SUMPRODUCT(分期持仓明细!$AC$25:$AD$25,'实盘净值数据(iFinD）'!$Z806:$AA806/'实盘净值数据(iFinD）'!$Z$65:$AA$65))*(1-实盘持仓初始配置!$Z$9)^(('实盘净值数据(iFinD）'!$A806-'实盘净值数据(iFinD）'!$A$8)/365))</f>
        <v/>
      </c>
      <c r="R806" s="16" t="str">
        <f t="shared" si="77"/>
        <v/>
      </c>
      <c r="S806" s="16" t="str">
        <f>IF(Q806="","",Q806/MAX(Q$5:Q806)-1)</f>
        <v/>
      </c>
    </row>
    <row r="807" spans="1:19">
      <c r="A807" s="15" t="str">
        <f>IF('实盘净值数据(iFinD）'!A807="","",'实盘净值数据(iFinD）'!A807)</f>
        <v/>
      </c>
      <c r="B807" s="13" t="str">
        <f>IF(OR('实盘净值数据(iFinD）'!$A807="",'实盘净值数据(iFinD）'!$B807=""),"",分期持仓明细!$AB$17*SUMPRODUCT(分期持仓明细!$B$17:$Y$17,'实盘净值数据(iFinD）'!$B807:$Y807/'实盘净值数据(iFinD）'!$B$20:$Y$20)*(1-实盘持仓初始配置!$Z$4)^(('实盘净值数据(iFinD）'!$A807-'实盘净值数据(iFinD）'!$A$6)/365))</f>
        <v/>
      </c>
      <c r="C807" s="16" t="str">
        <f t="shared" si="72"/>
        <v/>
      </c>
      <c r="D807" s="16" t="str">
        <f>IF(B807="","",B807/MAX(B$5:B807)-1)</f>
        <v/>
      </c>
      <c r="E807" s="13" t="str">
        <f>IF(OR('实盘净值数据(iFinD）'!$A807="",'实盘净值数据(iFinD）'!$B807=""),"",分期持仓明细!$AB$18*SUMPRODUCT(分期持仓明细!$B$18:$Y$18,'实盘净值数据(iFinD）'!$B807:$Y807/'实盘净值数据(iFinD）'!$B$20:$Y$20)*(1-实盘持仓初始配置!$Z$5)^(('实盘净值数据(iFinD）'!$A807-'实盘净值数据(iFinD）'!$A$5)/365))</f>
        <v/>
      </c>
      <c r="F807" s="16" t="str">
        <f t="shared" si="73"/>
        <v/>
      </c>
      <c r="G807" s="16" t="str">
        <f>IF(E807="","",E807/MAX(E$5:E807)-1)</f>
        <v/>
      </c>
      <c r="H807" s="13" t="str">
        <f>IF(OR('实盘净值数据(iFinD）'!$A807="",'实盘净值数据(iFinD）'!$B807=""),"",分期持仓明细!$AB$19*SUMPRODUCT(分期持仓明细!$B$19:$Y$19,'实盘净值数据(iFinD）'!$B807:$Y807/'实盘净值数据(iFinD）'!$B$20:$Y$20)*(1-实盘持仓初始配置!$Z$6)^(('实盘净值数据(iFinD）'!$A807-'实盘净值数据(iFinD）'!$A$7)/365))</f>
        <v/>
      </c>
      <c r="I807" s="16" t="str">
        <f t="shared" si="74"/>
        <v/>
      </c>
      <c r="J807" s="16" t="str">
        <f>IF(H807="","",H807/MAX(H$5:H807)-1)</f>
        <v/>
      </c>
      <c r="K807" s="13" t="str">
        <f>IF(OR('实盘净值数据(iFinD）'!$A807="",'实盘净值数据(iFinD）'!$B807="",'实盘净值数据(iFinD）'!$Z807="",'实盘净值数据(iFinD）'!$AA807=""),"",分期持仓明细!$AB$23*(SUMPRODUCT(分期持仓明细!$B$23:$Y$23,'实盘净值数据(iFinD）'!$B807:$Y807/'实盘净值数据(iFinD）'!$B$65:$Y$65)+SUMPRODUCT(分期持仓明细!$AC$23:$AD$23,'实盘净值数据(iFinD）'!$Z807:$AA807/'实盘净值数据(iFinD）'!$Z$65:$AA$65))*(1-实盘持仓初始配置!$Z$7)^(('实盘净值数据(iFinD）'!$A807-'实盘净值数据(iFinD）'!$A$8)/365))</f>
        <v/>
      </c>
      <c r="L807" s="16" t="str">
        <f t="shared" si="75"/>
        <v/>
      </c>
      <c r="M807" s="16" t="str">
        <f>IF(K807="","",K807/MAX(K$5:K807)-1)</f>
        <v/>
      </c>
      <c r="N807" s="13" t="str">
        <f>IF(OR('实盘净值数据(iFinD）'!$A807="",'实盘净值数据(iFinD）'!$B807="",'实盘净值数据(iFinD）'!$Z807="",'实盘净值数据(iFinD）'!$AA807=""),"",分期持仓明细!$AB$24*(SUMPRODUCT(分期持仓明细!$B$24:$Y$24,'实盘净值数据(iFinD）'!$B807:$Y807/'实盘净值数据(iFinD）'!$B$65:$Y$65)+SUMPRODUCT(分期持仓明细!$AC$24:$AD$24,'实盘净值数据(iFinD）'!$Z807:$AA807/'实盘净值数据(iFinD）'!$Z$65:$AA$65))*(1-实盘持仓初始配置!$Z$8)^(('实盘净值数据(iFinD）'!$A807-'实盘净值数据(iFinD）'!$A$5)/365))</f>
        <v/>
      </c>
      <c r="O807" s="16" t="str">
        <f t="shared" si="76"/>
        <v/>
      </c>
      <c r="P807" s="16" t="str">
        <f>IF(N807="","",N807/MAX(N$5:N807)-1)</f>
        <v/>
      </c>
      <c r="Q807" s="13" t="str">
        <f>IF(OR('实盘净值数据(iFinD）'!$A807="",'实盘净值数据(iFinD）'!$B807="",'实盘净值数据(iFinD）'!$Z807="",'实盘净值数据(iFinD）'!$AA807=""),"",分期持仓明细!$AB$25*(SUMPRODUCT(分期持仓明细!$B$25:$Y$25,'实盘净值数据(iFinD）'!$B807:$Y807/'实盘净值数据(iFinD）'!$B$65:$Y$65)+SUMPRODUCT(分期持仓明细!$AC$25:$AD$25,'实盘净值数据(iFinD）'!$Z807:$AA807/'实盘净值数据(iFinD）'!$Z$65:$AA$65))*(1-实盘持仓初始配置!$Z$9)^(('实盘净值数据(iFinD）'!$A807-'实盘净值数据(iFinD）'!$A$8)/365))</f>
        <v/>
      </c>
      <c r="R807" s="16" t="str">
        <f t="shared" si="77"/>
        <v/>
      </c>
      <c r="S807" s="16" t="str">
        <f>IF(Q807="","",Q807/MAX(Q$5:Q807)-1)</f>
        <v/>
      </c>
    </row>
    <row r="808" spans="1:19">
      <c r="A808" s="15" t="str">
        <f>IF('实盘净值数据(iFinD）'!A808="","",'实盘净值数据(iFinD）'!A808)</f>
        <v/>
      </c>
      <c r="B808" s="13" t="str">
        <f>IF(OR('实盘净值数据(iFinD）'!$A808="",'实盘净值数据(iFinD）'!$B808=""),"",分期持仓明细!$AB$17*SUMPRODUCT(分期持仓明细!$B$17:$Y$17,'实盘净值数据(iFinD）'!$B808:$Y808/'实盘净值数据(iFinD）'!$B$20:$Y$20)*(1-实盘持仓初始配置!$Z$4)^(('实盘净值数据(iFinD）'!$A808-'实盘净值数据(iFinD）'!$A$6)/365))</f>
        <v/>
      </c>
      <c r="C808" s="16" t="str">
        <f t="shared" si="72"/>
        <v/>
      </c>
      <c r="D808" s="16" t="str">
        <f>IF(B808="","",B808/MAX(B$5:B808)-1)</f>
        <v/>
      </c>
      <c r="E808" s="13" t="str">
        <f>IF(OR('实盘净值数据(iFinD）'!$A808="",'实盘净值数据(iFinD）'!$B808=""),"",分期持仓明细!$AB$18*SUMPRODUCT(分期持仓明细!$B$18:$Y$18,'实盘净值数据(iFinD）'!$B808:$Y808/'实盘净值数据(iFinD）'!$B$20:$Y$20)*(1-实盘持仓初始配置!$Z$5)^(('实盘净值数据(iFinD）'!$A808-'实盘净值数据(iFinD）'!$A$5)/365))</f>
        <v/>
      </c>
      <c r="F808" s="16" t="str">
        <f t="shared" si="73"/>
        <v/>
      </c>
      <c r="G808" s="16" t="str">
        <f>IF(E808="","",E808/MAX(E$5:E808)-1)</f>
        <v/>
      </c>
      <c r="H808" s="13" t="str">
        <f>IF(OR('实盘净值数据(iFinD）'!$A808="",'实盘净值数据(iFinD）'!$B808=""),"",分期持仓明细!$AB$19*SUMPRODUCT(分期持仓明细!$B$19:$Y$19,'实盘净值数据(iFinD）'!$B808:$Y808/'实盘净值数据(iFinD）'!$B$20:$Y$20)*(1-实盘持仓初始配置!$Z$6)^(('实盘净值数据(iFinD）'!$A808-'实盘净值数据(iFinD）'!$A$7)/365))</f>
        <v/>
      </c>
      <c r="I808" s="16" t="str">
        <f t="shared" si="74"/>
        <v/>
      </c>
      <c r="J808" s="16" t="str">
        <f>IF(H808="","",H808/MAX(H$5:H808)-1)</f>
        <v/>
      </c>
      <c r="K808" s="13" t="str">
        <f>IF(OR('实盘净值数据(iFinD）'!$A808="",'实盘净值数据(iFinD）'!$B808="",'实盘净值数据(iFinD）'!$Z808="",'实盘净值数据(iFinD）'!$AA808=""),"",分期持仓明细!$AB$23*(SUMPRODUCT(分期持仓明细!$B$23:$Y$23,'实盘净值数据(iFinD）'!$B808:$Y808/'实盘净值数据(iFinD）'!$B$65:$Y$65)+SUMPRODUCT(分期持仓明细!$AC$23:$AD$23,'实盘净值数据(iFinD）'!$Z808:$AA808/'实盘净值数据(iFinD）'!$Z$65:$AA$65))*(1-实盘持仓初始配置!$Z$7)^(('实盘净值数据(iFinD）'!$A808-'实盘净值数据(iFinD）'!$A$8)/365))</f>
        <v/>
      </c>
      <c r="L808" s="16" t="str">
        <f t="shared" si="75"/>
        <v/>
      </c>
      <c r="M808" s="16" t="str">
        <f>IF(K808="","",K808/MAX(K$5:K808)-1)</f>
        <v/>
      </c>
      <c r="N808" s="13" t="str">
        <f>IF(OR('实盘净值数据(iFinD）'!$A808="",'实盘净值数据(iFinD）'!$B808="",'实盘净值数据(iFinD）'!$Z808="",'实盘净值数据(iFinD）'!$AA808=""),"",分期持仓明细!$AB$24*(SUMPRODUCT(分期持仓明细!$B$24:$Y$24,'实盘净值数据(iFinD）'!$B808:$Y808/'实盘净值数据(iFinD）'!$B$65:$Y$65)+SUMPRODUCT(分期持仓明细!$AC$24:$AD$24,'实盘净值数据(iFinD）'!$Z808:$AA808/'实盘净值数据(iFinD）'!$Z$65:$AA$65))*(1-实盘持仓初始配置!$Z$8)^(('实盘净值数据(iFinD）'!$A808-'实盘净值数据(iFinD）'!$A$5)/365))</f>
        <v/>
      </c>
      <c r="O808" s="16" t="str">
        <f t="shared" si="76"/>
        <v/>
      </c>
      <c r="P808" s="16" t="str">
        <f>IF(N808="","",N808/MAX(N$5:N808)-1)</f>
        <v/>
      </c>
      <c r="Q808" s="13" t="str">
        <f>IF(OR('实盘净值数据(iFinD）'!$A808="",'实盘净值数据(iFinD）'!$B808="",'实盘净值数据(iFinD）'!$Z808="",'实盘净值数据(iFinD）'!$AA808=""),"",分期持仓明细!$AB$25*(SUMPRODUCT(分期持仓明细!$B$25:$Y$25,'实盘净值数据(iFinD）'!$B808:$Y808/'实盘净值数据(iFinD）'!$B$65:$Y$65)+SUMPRODUCT(分期持仓明细!$AC$25:$AD$25,'实盘净值数据(iFinD）'!$Z808:$AA808/'实盘净值数据(iFinD）'!$Z$65:$AA$65))*(1-实盘持仓初始配置!$Z$9)^(('实盘净值数据(iFinD）'!$A808-'实盘净值数据(iFinD）'!$A$8)/365))</f>
        <v/>
      </c>
      <c r="R808" s="16" t="str">
        <f t="shared" si="77"/>
        <v/>
      </c>
      <c r="S808" s="16" t="str">
        <f>IF(Q808="","",Q808/MAX(Q$5:Q808)-1)</f>
        <v/>
      </c>
    </row>
    <row r="809" spans="1:19">
      <c r="A809" s="15" t="str">
        <f>IF('实盘净值数据(iFinD）'!A809="","",'实盘净值数据(iFinD）'!A809)</f>
        <v/>
      </c>
      <c r="B809" s="13" t="str">
        <f>IF(OR('实盘净值数据(iFinD）'!$A809="",'实盘净值数据(iFinD）'!$B809=""),"",分期持仓明细!$AB$17*SUMPRODUCT(分期持仓明细!$B$17:$Y$17,'实盘净值数据(iFinD）'!$B809:$Y809/'实盘净值数据(iFinD）'!$B$20:$Y$20)*(1-实盘持仓初始配置!$Z$4)^(('实盘净值数据(iFinD）'!$A809-'实盘净值数据(iFinD）'!$A$6)/365))</f>
        <v/>
      </c>
      <c r="C809" s="16" t="str">
        <f t="shared" si="72"/>
        <v/>
      </c>
      <c r="D809" s="16" t="str">
        <f>IF(B809="","",B809/MAX(B$5:B809)-1)</f>
        <v/>
      </c>
      <c r="E809" s="13" t="str">
        <f>IF(OR('实盘净值数据(iFinD）'!$A809="",'实盘净值数据(iFinD）'!$B809=""),"",分期持仓明细!$AB$18*SUMPRODUCT(分期持仓明细!$B$18:$Y$18,'实盘净值数据(iFinD）'!$B809:$Y809/'实盘净值数据(iFinD）'!$B$20:$Y$20)*(1-实盘持仓初始配置!$Z$5)^(('实盘净值数据(iFinD）'!$A809-'实盘净值数据(iFinD）'!$A$5)/365))</f>
        <v/>
      </c>
      <c r="F809" s="16" t="str">
        <f t="shared" si="73"/>
        <v/>
      </c>
      <c r="G809" s="16" t="str">
        <f>IF(E809="","",E809/MAX(E$5:E809)-1)</f>
        <v/>
      </c>
      <c r="H809" s="13" t="str">
        <f>IF(OR('实盘净值数据(iFinD）'!$A809="",'实盘净值数据(iFinD）'!$B809=""),"",分期持仓明细!$AB$19*SUMPRODUCT(分期持仓明细!$B$19:$Y$19,'实盘净值数据(iFinD）'!$B809:$Y809/'实盘净值数据(iFinD）'!$B$20:$Y$20)*(1-实盘持仓初始配置!$Z$6)^(('实盘净值数据(iFinD）'!$A809-'实盘净值数据(iFinD）'!$A$7)/365))</f>
        <v/>
      </c>
      <c r="I809" s="16" t="str">
        <f t="shared" si="74"/>
        <v/>
      </c>
      <c r="J809" s="16" t="str">
        <f>IF(H809="","",H809/MAX(H$5:H809)-1)</f>
        <v/>
      </c>
      <c r="K809" s="13" t="str">
        <f>IF(OR('实盘净值数据(iFinD）'!$A809="",'实盘净值数据(iFinD）'!$B809="",'实盘净值数据(iFinD）'!$Z809="",'实盘净值数据(iFinD）'!$AA809=""),"",分期持仓明细!$AB$23*(SUMPRODUCT(分期持仓明细!$B$23:$Y$23,'实盘净值数据(iFinD）'!$B809:$Y809/'实盘净值数据(iFinD）'!$B$65:$Y$65)+SUMPRODUCT(分期持仓明细!$AC$23:$AD$23,'实盘净值数据(iFinD）'!$Z809:$AA809/'实盘净值数据(iFinD）'!$Z$65:$AA$65))*(1-实盘持仓初始配置!$Z$7)^(('实盘净值数据(iFinD）'!$A809-'实盘净值数据(iFinD）'!$A$8)/365))</f>
        <v/>
      </c>
      <c r="L809" s="16" t="str">
        <f t="shared" si="75"/>
        <v/>
      </c>
      <c r="M809" s="16" t="str">
        <f>IF(K809="","",K809/MAX(K$5:K809)-1)</f>
        <v/>
      </c>
      <c r="N809" s="13" t="str">
        <f>IF(OR('实盘净值数据(iFinD）'!$A809="",'实盘净值数据(iFinD）'!$B809="",'实盘净值数据(iFinD）'!$Z809="",'实盘净值数据(iFinD）'!$AA809=""),"",分期持仓明细!$AB$24*(SUMPRODUCT(分期持仓明细!$B$24:$Y$24,'实盘净值数据(iFinD）'!$B809:$Y809/'实盘净值数据(iFinD）'!$B$65:$Y$65)+SUMPRODUCT(分期持仓明细!$AC$24:$AD$24,'实盘净值数据(iFinD）'!$Z809:$AA809/'实盘净值数据(iFinD）'!$Z$65:$AA$65))*(1-实盘持仓初始配置!$Z$8)^(('实盘净值数据(iFinD）'!$A809-'实盘净值数据(iFinD）'!$A$5)/365))</f>
        <v/>
      </c>
      <c r="O809" s="16" t="str">
        <f t="shared" si="76"/>
        <v/>
      </c>
      <c r="P809" s="16" t="str">
        <f>IF(N809="","",N809/MAX(N$5:N809)-1)</f>
        <v/>
      </c>
      <c r="Q809" s="13" t="str">
        <f>IF(OR('实盘净值数据(iFinD）'!$A809="",'实盘净值数据(iFinD）'!$B809="",'实盘净值数据(iFinD）'!$Z809="",'实盘净值数据(iFinD）'!$AA809=""),"",分期持仓明细!$AB$25*(SUMPRODUCT(分期持仓明细!$B$25:$Y$25,'实盘净值数据(iFinD）'!$B809:$Y809/'实盘净值数据(iFinD）'!$B$65:$Y$65)+SUMPRODUCT(分期持仓明细!$AC$25:$AD$25,'实盘净值数据(iFinD）'!$Z809:$AA809/'实盘净值数据(iFinD）'!$Z$65:$AA$65))*(1-实盘持仓初始配置!$Z$9)^(('实盘净值数据(iFinD）'!$A809-'实盘净值数据(iFinD）'!$A$8)/365))</f>
        <v/>
      </c>
      <c r="R809" s="16" t="str">
        <f t="shared" si="77"/>
        <v/>
      </c>
      <c r="S809" s="16" t="str">
        <f>IF(Q809="","",Q809/MAX(Q$5:Q809)-1)</f>
        <v/>
      </c>
    </row>
    <row r="810" spans="1:19">
      <c r="A810" s="15" t="str">
        <f>IF('实盘净值数据(iFinD）'!A810="","",'实盘净值数据(iFinD）'!A810)</f>
        <v/>
      </c>
      <c r="B810" s="13" t="str">
        <f>IF(OR('实盘净值数据(iFinD）'!$A810="",'实盘净值数据(iFinD）'!$B810=""),"",分期持仓明细!$AB$17*SUMPRODUCT(分期持仓明细!$B$17:$Y$17,'实盘净值数据(iFinD）'!$B810:$Y810/'实盘净值数据(iFinD）'!$B$20:$Y$20)*(1-实盘持仓初始配置!$Z$4)^(('实盘净值数据(iFinD）'!$A810-'实盘净值数据(iFinD）'!$A$6)/365))</f>
        <v/>
      </c>
      <c r="C810" s="16" t="str">
        <f t="shared" si="72"/>
        <v/>
      </c>
      <c r="D810" s="16" t="str">
        <f>IF(B810="","",B810/MAX(B$5:B810)-1)</f>
        <v/>
      </c>
      <c r="E810" s="13" t="str">
        <f>IF(OR('实盘净值数据(iFinD）'!$A810="",'实盘净值数据(iFinD）'!$B810=""),"",分期持仓明细!$AB$18*SUMPRODUCT(分期持仓明细!$B$18:$Y$18,'实盘净值数据(iFinD）'!$B810:$Y810/'实盘净值数据(iFinD）'!$B$20:$Y$20)*(1-实盘持仓初始配置!$Z$5)^(('实盘净值数据(iFinD）'!$A810-'实盘净值数据(iFinD）'!$A$5)/365))</f>
        <v/>
      </c>
      <c r="F810" s="16" t="str">
        <f t="shared" si="73"/>
        <v/>
      </c>
      <c r="G810" s="16" t="str">
        <f>IF(E810="","",E810/MAX(E$5:E810)-1)</f>
        <v/>
      </c>
      <c r="H810" s="13" t="str">
        <f>IF(OR('实盘净值数据(iFinD）'!$A810="",'实盘净值数据(iFinD）'!$B810=""),"",分期持仓明细!$AB$19*SUMPRODUCT(分期持仓明细!$B$19:$Y$19,'实盘净值数据(iFinD）'!$B810:$Y810/'实盘净值数据(iFinD）'!$B$20:$Y$20)*(1-实盘持仓初始配置!$Z$6)^(('实盘净值数据(iFinD）'!$A810-'实盘净值数据(iFinD）'!$A$7)/365))</f>
        <v/>
      </c>
      <c r="I810" s="16" t="str">
        <f t="shared" si="74"/>
        <v/>
      </c>
      <c r="J810" s="16" t="str">
        <f>IF(H810="","",H810/MAX(H$5:H810)-1)</f>
        <v/>
      </c>
      <c r="K810" s="13" t="str">
        <f>IF(OR('实盘净值数据(iFinD）'!$A810="",'实盘净值数据(iFinD）'!$B810="",'实盘净值数据(iFinD）'!$Z810="",'实盘净值数据(iFinD）'!$AA810=""),"",分期持仓明细!$AB$23*(SUMPRODUCT(分期持仓明细!$B$23:$Y$23,'实盘净值数据(iFinD）'!$B810:$Y810/'实盘净值数据(iFinD）'!$B$65:$Y$65)+SUMPRODUCT(分期持仓明细!$AC$23:$AD$23,'实盘净值数据(iFinD）'!$Z810:$AA810/'实盘净值数据(iFinD）'!$Z$65:$AA$65))*(1-实盘持仓初始配置!$Z$7)^(('实盘净值数据(iFinD）'!$A810-'实盘净值数据(iFinD）'!$A$8)/365))</f>
        <v/>
      </c>
      <c r="L810" s="16" t="str">
        <f t="shared" si="75"/>
        <v/>
      </c>
      <c r="M810" s="16" t="str">
        <f>IF(K810="","",K810/MAX(K$5:K810)-1)</f>
        <v/>
      </c>
      <c r="N810" s="13" t="str">
        <f>IF(OR('实盘净值数据(iFinD）'!$A810="",'实盘净值数据(iFinD）'!$B810="",'实盘净值数据(iFinD）'!$Z810="",'实盘净值数据(iFinD）'!$AA810=""),"",分期持仓明细!$AB$24*(SUMPRODUCT(分期持仓明细!$B$24:$Y$24,'实盘净值数据(iFinD）'!$B810:$Y810/'实盘净值数据(iFinD）'!$B$65:$Y$65)+SUMPRODUCT(分期持仓明细!$AC$24:$AD$24,'实盘净值数据(iFinD）'!$Z810:$AA810/'实盘净值数据(iFinD）'!$Z$65:$AA$65))*(1-实盘持仓初始配置!$Z$8)^(('实盘净值数据(iFinD）'!$A810-'实盘净值数据(iFinD）'!$A$5)/365))</f>
        <v/>
      </c>
      <c r="O810" s="16" t="str">
        <f t="shared" si="76"/>
        <v/>
      </c>
      <c r="P810" s="16" t="str">
        <f>IF(N810="","",N810/MAX(N$5:N810)-1)</f>
        <v/>
      </c>
      <c r="Q810" s="13" t="str">
        <f>IF(OR('实盘净值数据(iFinD）'!$A810="",'实盘净值数据(iFinD）'!$B810="",'实盘净值数据(iFinD）'!$Z810="",'实盘净值数据(iFinD）'!$AA810=""),"",分期持仓明细!$AB$25*(SUMPRODUCT(分期持仓明细!$B$25:$Y$25,'实盘净值数据(iFinD）'!$B810:$Y810/'实盘净值数据(iFinD）'!$B$65:$Y$65)+SUMPRODUCT(分期持仓明细!$AC$25:$AD$25,'实盘净值数据(iFinD）'!$Z810:$AA810/'实盘净值数据(iFinD）'!$Z$65:$AA$65))*(1-实盘持仓初始配置!$Z$9)^(('实盘净值数据(iFinD）'!$A810-'实盘净值数据(iFinD）'!$A$8)/365))</f>
        <v/>
      </c>
      <c r="R810" s="16" t="str">
        <f t="shared" si="77"/>
        <v/>
      </c>
      <c r="S810" s="16" t="str">
        <f>IF(Q810="","",Q810/MAX(Q$5:Q810)-1)</f>
        <v/>
      </c>
    </row>
    <row r="811" spans="1:19">
      <c r="A811" s="15" t="str">
        <f>IF('实盘净值数据(iFinD）'!A811="","",'实盘净值数据(iFinD）'!A811)</f>
        <v/>
      </c>
      <c r="B811" s="13" t="str">
        <f>IF(OR('实盘净值数据(iFinD）'!$A811="",'实盘净值数据(iFinD）'!$B811=""),"",分期持仓明细!$AB$17*SUMPRODUCT(分期持仓明细!$B$17:$Y$17,'实盘净值数据(iFinD）'!$B811:$Y811/'实盘净值数据(iFinD）'!$B$20:$Y$20)*(1-实盘持仓初始配置!$Z$4)^(('实盘净值数据(iFinD）'!$A811-'实盘净值数据(iFinD）'!$A$6)/365))</f>
        <v/>
      </c>
      <c r="C811" s="16" t="str">
        <f t="shared" si="72"/>
        <v/>
      </c>
      <c r="D811" s="16" t="str">
        <f>IF(B811="","",B811/MAX(B$5:B811)-1)</f>
        <v/>
      </c>
      <c r="E811" s="13" t="str">
        <f>IF(OR('实盘净值数据(iFinD）'!$A811="",'实盘净值数据(iFinD）'!$B811=""),"",分期持仓明细!$AB$18*SUMPRODUCT(分期持仓明细!$B$18:$Y$18,'实盘净值数据(iFinD）'!$B811:$Y811/'实盘净值数据(iFinD）'!$B$20:$Y$20)*(1-实盘持仓初始配置!$Z$5)^(('实盘净值数据(iFinD）'!$A811-'实盘净值数据(iFinD）'!$A$5)/365))</f>
        <v/>
      </c>
      <c r="F811" s="16" t="str">
        <f t="shared" si="73"/>
        <v/>
      </c>
      <c r="G811" s="16" t="str">
        <f>IF(E811="","",E811/MAX(E$5:E811)-1)</f>
        <v/>
      </c>
      <c r="H811" s="13" t="str">
        <f>IF(OR('实盘净值数据(iFinD）'!$A811="",'实盘净值数据(iFinD）'!$B811=""),"",分期持仓明细!$AB$19*SUMPRODUCT(分期持仓明细!$B$19:$Y$19,'实盘净值数据(iFinD）'!$B811:$Y811/'实盘净值数据(iFinD）'!$B$20:$Y$20)*(1-实盘持仓初始配置!$Z$6)^(('实盘净值数据(iFinD）'!$A811-'实盘净值数据(iFinD）'!$A$7)/365))</f>
        <v/>
      </c>
      <c r="I811" s="16" t="str">
        <f t="shared" si="74"/>
        <v/>
      </c>
      <c r="J811" s="16" t="str">
        <f>IF(H811="","",H811/MAX(H$5:H811)-1)</f>
        <v/>
      </c>
      <c r="K811" s="13" t="str">
        <f>IF(OR('实盘净值数据(iFinD）'!$A811="",'实盘净值数据(iFinD）'!$B811="",'实盘净值数据(iFinD）'!$Z811="",'实盘净值数据(iFinD）'!$AA811=""),"",分期持仓明细!$AB$23*(SUMPRODUCT(分期持仓明细!$B$23:$Y$23,'实盘净值数据(iFinD）'!$B811:$Y811/'实盘净值数据(iFinD）'!$B$65:$Y$65)+SUMPRODUCT(分期持仓明细!$AC$23:$AD$23,'实盘净值数据(iFinD）'!$Z811:$AA811/'实盘净值数据(iFinD）'!$Z$65:$AA$65))*(1-实盘持仓初始配置!$Z$7)^(('实盘净值数据(iFinD）'!$A811-'实盘净值数据(iFinD）'!$A$8)/365))</f>
        <v/>
      </c>
      <c r="L811" s="16" t="str">
        <f t="shared" si="75"/>
        <v/>
      </c>
      <c r="M811" s="16" t="str">
        <f>IF(K811="","",K811/MAX(K$5:K811)-1)</f>
        <v/>
      </c>
      <c r="N811" s="13" t="str">
        <f>IF(OR('实盘净值数据(iFinD）'!$A811="",'实盘净值数据(iFinD）'!$B811="",'实盘净值数据(iFinD）'!$Z811="",'实盘净值数据(iFinD）'!$AA811=""),"",分期持仓明细!$AB$24*(SUMPRODUCT(分期持仓明细!$B$24:$Y$24,'实盘净值数据(iFinD）'!$B811:$Y811/'实盘净值数据(iFinD）'!$B$65:$Y$65)+SUMPRODUCT(分期持仓明细!$AC$24:$AD$24,'实盘净值数据(iFinD）'!$Z811:$AA811/'实盘净值数据(iFinD）'!$Z$65:$AA$65))*(1-实盘持仓初始配置!$Z$8)^(('实盘净值数据(iFinD）'!$A811-'实盘净值数据(iFinD）'!$A$5)/365))</f>
        <v/>
      </c>
      <c r="O811" s="16" t="str">
        <f t="shared" si="76"/>
        <v/>
      </c>
      <c r="P811" s="16" t="str">
        <f>IF(N811="","",N811/MAX(N$5:N811)-1)</f>
        <v/>
      </c>
      <c r="Q811" s="13" t="str">
        <f>IF(OR('实盘净值数据(iFinD）'!$A811="",'实盘净值数据(iFinD）'!$B811="",'实盘净值数据(iFinD）'!$Z811="",'实盘净值数据(iFinD）'!$AA811=""),"",分期持仓明细!$AB$25*(SUMPRODUCT(分期持仓明细!$B$25:$Y$25,'实盘净值数据(iFinD）'!$B811:$Y811/'实盘净值数据(iFinD）'!$B$65:$Y$65)+SUMPRODUCT(分期持仓明细!$AC$25:$AD$25,'实盘净值数据(iFinD）'!$Z811:$AA811/'实盘净值数据(iFinD）'!$Z$65:$AA$65))*(1-实盘持仓初始配置!$Z$9)^(('实盘净值数据(iFinD）'!$A811-'实盘净值数据(iFinD）'!$A$8)/365))</f>
        <v/>
      </c>
      <c r="R811" s="16" t="str">
        <f t="shared" si="77"/>
        <v/>
      </c>
      <c r="S811" s="16" t="str">
        <f>IF(Q811="","",Q811/MAX(Q$5:Q811)-1)</f>
        <v/>
      </c>
    </row>
    <row r="812" spans="1:19">
      <c r="A812" s="15" t="str">
        <f>IF('实盘净值数据(iFinD）'!A812="","",'实盘净值数据(iFinD）'!A812)</f>
        <v/>
      </c>
      <c r="B812" s="13" t="str">
        <f>IF(OR('实盘净值数据(iFinD）'!$A812="",'实盘净值数据(iFinD）'!$B812=""),"",分期持仓明细!$AB$17*SUMPRODUCT(分期持仓明细!$B$17:$Y$17,'实盘净值数据(iFinD）'!$B812:$Y812/'实盘净值数据(iFinD）'!$B$20:$Y$20)*(1-实盘持仓初始配置!$Z$4)^(('实盘净值数据(iFinD）'!$A812-'实盘净值数据(iFinD）'!$A$6)/365))</f>
        <v/>
      </c>
      <c r="C812" s="16" t="str">
        <f t="shared" si="72"/>
        <v/>
      </c>
      <c r="D812" s="16" t="str">
        <f>IF(B812="","",B812/MAX(B$5:B812)-1)</f>
        <v/>
      </c>
      <c r="E812" s="13" t="str">
        <f>IF(OR('实盘净值数据(iFinD）'!$A812="",'实盘净值数据(iFinD）'!$B812=""),"",分期持仓明细!$AB$18*SUMPRODUCT(分期持仓明细!$B$18:$Y$18,'实盘净值数据(iFinD）'!$B812:$Y812/'实盘净值数据(iFinD）'!$B$20:$Y$20)*(1-实盘持仓初始配置!$Z$5)^(('实盘净值数据(iFinD）'!$A812-'实盘净值数据(iFinD）'!$A$5)/365))</f>
        <v/>
      </c>
      <c r="F812" s="16" t="str">
        <f t="shared" si="73"/>
        <v/>
      </c>
      <c r="G812" s="16" t="str">
        <f>IF(E812="","",E812/MAX(E$5:E812)-1)</f>
        <v/>
      </c>
      <c r="H812" s="13" t="str">
        <f>IF(OR('实盘净值数据(iFinD）'!$A812="",'实盘净值数据(iFinD）'!$B812=""),"",分期持仓明细!$AB$19*SUMPRODUCT(分期持仓明细!$B$19:$Y$19,'实盘净值数据(iFinD）'!$B812:$Y812/'实盘净值数据(iFinD）'!$B$20:$Y$20)*(1-实盘持仓初始配置!$Z$6)^(('实盘净值数据(iFinD）'!$A812-'实盘净值数据(iFinD）'!$A$7)/365))</f>
        <v/>
      </c>
      <c r="I812" s="16" t="str">
        <f t="shared" si="74"/>
        <v/>
      </c>
      <c r="J812" s="16" t="str">
        <f>IF(H812="","",H812/MAX(H$5:H812)-1)</f>
        <v/>
      </c>
      <c r="K812" s="13" t="str">
        <f>IF(OR('实盘净值数据(iFinD）'!$A812="",'实盘净值数据(iFinD）'!$B812="",'实盘净值数据(iFinD）'!$Z812="",'实盘净值数据(iFinD）'!$AA812=""),"",分期持仓明细!$AB$23*(SUMPRODUCT(分期持仓明细!$B$23:$Y$23,'实盘净值数据(iFinD）'!$B812:$Y812/'实盘净值数据(iFinD）'!$B$65:$Y$65)+SUMPRODUCT(分期持仓明细!$AC$23:$AD$23,'实盘净值数据(iFinD）'!$Z812:$AA812/'实盘净值数据(iFinD）'!$Z$65:$AA$65))*(1-实盘持仓初始配置!$Z$7)^(('实盘净值数据(iFinD）'!$A812-'实盘净值数据(iFinD）'!$A$8)/365))</f>
        <v/>
      </c>
      <c r="L812" s="16" t="str">
        <f t="shared" si="75"/>
        <v/>
      </c>
      <c r="M812" s="16" t="str">
        <f>IF(K812="","",K812/MAX(K$5:K812)-1)</f>
        <v/>
      </c>
      <c r="N812" s="13" t="str">
        <f>IF(OR('实盘净值数据(iFinD）'!$A812="",'实盘净值数据(iFinD）'!$B812="",'实盘净值数据(iFinD）'!$Z812="",'实盘净值数据(iFinD）'!$AA812=""),"",分期持仓明细!$AB$24*(SUMPRODUCT(分期持仓明细!$B$24:$Y$24,'实盘净值数据(iFinD）'!$B812:$Y812/'实盘净值数据(iFinD）'!$B$65:$Y$65)+SUMPRODUCT(分期持仓明细!$AC$24:$AD$24,'实盘净值数据(iFinD）'!$Z812:$AA812/'实盘净值数据(iFinD）'!$Z$65:$AA$65))*(1-实盘持仓初始配置!$Z$8)^(('实盘净值数据(iFinD）'!$A812-'实盘净值数据(iFinD）'!$A$5)/365))</f>
        <v/>
      </c>
      <c r="O812" s="16" t="str">
        <f t="shared" si="76"/>
        <v/>
      </c>
      <c r="P812" s="16" t="str">
        <f>IF(N812="","",N812/MAX(N$5:N812)-1)</f>
        <v/>
      </c>
      <c r="Q812" s="13" t="str">
        <f>IF(OR('实盘净值数据(iFinD）'!$A812="",'实盘净值数据(iFinD）'!$B812="",'实盘净值数据(iFinD）'!$Z812="",'实盘净值数据(iFinD）'!$AA812=""),"",分期持仓明细!$AB$25*(SUMPRODUCT(分期持仓明细!$B$25:$Y$25,'实盘净值数据(iFinD）'!$B812:$Y812/'实盘净值数据(iFinD）'!$B$65:$Y$65)+SUMPRODUCT(分期持仓明细!$AC$25:$AD$25,'实盘净值数据(iFinD）'!$Z812:$AA812/'实盘净值数据(iFinD）'!$Z$65:$AA$65))*(1-实盘持仓初始配置!$Z$9)^(('实盘净值数据(iFinD）'!$A812-'实盘净值数据(iFinD）'!$A$8)/365))</f>
        <v/>
      </c>
      <c r="R812" s="16" t="str">
        <f t="shared" si="77"/>
        <v/>
      </c>
      <c r="S812" s="16" t="str">
        <f>IF(Q812="","",Q812/MAX(Q$5:Q812)-1)</f>
        <v/>
      </c>
    </row>
    <row r="813" spans="1:19">
      <c r="A813" s="15" t="str">
        <f>IF('实盘净值数据(iFinD）'!A813="","",'实盘净值数据(iFinD）'!A813)</f>
        <v/>
      </c>
      <c r="B813" s="13" t="str">
        <f>IF(OR('实盘净值数据(iFinD）'!$A813="",'实盘净值数据(iFinD）'!$B813=""),"",分期持仓明细!$AB$17*SUMPRODUCT(分期持仓明细!$B$17:$Y$17,'实盘净值数据(iFinD）'!$B813:$Y813/'实盘净值数据(iFinD）'!$B$20:$Y$20)*(1-实盘持仓初始配置!$Z$4)^(('实盘净值数据(iFinD）'!$A813-'实盘净值数据(iFinD）'!$A$6)/365))</f>
        <v/>
      </c>
      <c r="C813" s="16" t="str">
        <f t="shared" si="72"/>
        <v/>
      </c>
      <c r="D813" s="16" t="str">
        <f>IF(B813="","",B813/MAX(B$5:B813)-1)</f>
        <v/>
      </c>
      <c r="E813" s="13" t="str">
        <f>IF(OR('实盘净值数据(iFinD）'!$A813="",'实盘净值数据(iFinD）'!$B813=""),"",分期持仓明细!$AB$18*SUMPRODUCT(分期持仓明细!$B$18:$Y$18,'实盘净值数据(iFinD）'!$B813:$Y813/'实盘净值数据(iFinD）'!$B$20:$Y$20)*(1-实盘持仓初始配置!$Z$5)^(('实盘净值数据(iFinD）'!$A813-'实盘净值数据(iFinD）'!$A$5)/365))</f>
        <v/>
      </c>
      <c r="F813" s="16" t="str">
        <f t="shared" si="73"/>
        <v/>
      </c>
      <c r="G813" s="16" t="str">
        <f>IF(E813="","",E813/MAX(E$5:E813)-1)</f>
        <v/>
      </c>
      <c r="H813" s="13" t="str">
        <f>IF(OR('实盘净值数据(iFinD）'!$A813="",'实盘净值数据(iFinD）'!$B813=""),"",分期持仓明细!$AB$19*SUMPRODUCT(分期持仓明细!$B$19:$Y$19,'实盘净值数据(iFinD）'!$B813:$Y813/'实盘净值数据(iFinD）'!$B$20:$Y$20)*(1-实盘持仓初始配置!$Z$6)^(('实盘净值数据(iFinD）'!$A813-'实盘净值数据(iFinD）'!$A$7)/365))</f>
        <v/>
      </c>
      <c r="I813" s="16" t="str">
        <f t="shared" si="74"/>
        <v/>
      </c>
      <c r="J813" s="16" t="str">
        <f>IF(H813="","",H813/MAX(H$5:H813)-1)</f>
        <v/>
      </c>
      <c r="K813" s="13" t="str">
        <f>IF(OR('实盘净值数据(iFinD）'!$A813="",'实盘净值数据(iFinD）'!$B813="",'实盘净值数据(iFinD）'!$Z813="",'实盘净值数据(iFinD）'!$AA813=""),"",分期持仓明细!$AB$23*(SUMPRODUCT(分期持仓明细!$B$23:$Y$23,'实盘净值数据(iFinD）'!$B813:$Y813/'实盘净值数据(iFinD）'!$B$65:$Y$65)+SUMPRODUCT(分期持仓明细!$AC$23:$AD$23,'实盘净值数据(iFinD）'!$Z813:$AA813/'实盘净值数据(iFinD）'!$Z$65:$AA$65))*(1-实盘持仓初始配置!$Z$7)^(('实盘净值数据(iFinD）'!$A813-'实盘净值数据(iFinD）'!$A$8)/365))</f>
        <v/>
      </c>
      <c r="L813" s="16" t="str">
        <f t="shared" si="75"/>
        <v/>
      </c>
      <c r="M813" s="16" t="str">
        <f>IF(K813="","",K813/MAX(K$5:K813)-1)</f>
        <v/>
      </c>
      <c r="N813" s="13" t="str">
        <f>IF(OR('实盘净值数据(iFinD）'!$A813="",'实盘净值数据(iFinD）'!$B813="",'实盘净值数据(iFinD）'!$Z813="",'实盘净值数据(iFinD）'!$AA813=""),"",分期持仓明细!$AB$24*(SUMPRODUCT(分期持仓明细!$B$24:$Y$24,'实盘净值数据(iFinD）'!$B813:$Y813/'实盘净值数据(iFinD）'!$B$65:$Y$65)+SUMPRODUCT(分期持仓明细!$AC$24:$AD$24,'实盘净值数据(iFinD）'!$Z813:$AA813/'实盘净值数据(iFinD）'!$Z$65:$AA$65))*(1-实盘持仓初始配置!$Z$8)^(('实盘净值数据(iFinD）'!$A813-'实盘净值数据(iFinD）'!$A$5)/365))</f>
        <v/>
      </c>
      <c r="O813" s="16" t="str">
        <f t="shared" si="76"/>
        <v/>
      </c>
      <c r="P813" s="16" t="str">
        <f>IF(N813="","",N813/MAX(N$5:N813)-1)</f>
        <v/>
      </c>
      <c r="Q813" s="13" t="str">
        <f>IF(OR('实盘净值数据(iFinD）'!$A813="",'实盘净值数据(iFinD）'!$B813="",'实盘净值数据(iFinD）'!$Z813="",'实盘净值数据(iFinD）'!$AA813=""),"",分期持仓明细!$AB$25*(SUMPRODUCT(分期持仓明细!$B$25:$Y$25,'实盘净值数据(iFinD）'!$B813:$Y813/'实盘净值数据(iFinD）'!$B$65:$Y$65)+SUMPRODUCT(分期持仓明细!$AC$25:$AD$25,'实盘净值数据(iFinD）'!$Z813:$AA813/'实盘净值数据(iFinD）'!$Z$65:$AA$65))*(1-实盘持仓初始配置!$Z$9)^(('实盘净值数据(iFinD）'!$A813-'实盘净值数据(iFinD）'!$A$8)/365))</f>
        <v/>
      </c>
      <c r="R813" s="16" t="str">
        <f t="shared" si="77"/>
        <v/>
      </c>
      <c r="S813" s="16" t="str">
        <f>IF(Q813="","",Q813/MAX(Q$5:Q813)-1)</f>
        <v/>
      </c>
    </row>
    <row r="814" spans="1:19">
      <c r="A814" s="15" t="str">
        <f>IF('实盘净值数据(iFinD）'!A814="","",'实盘净值数据(iFinD）'!A814)</f>
        <v/>
      </c>
      <c r="B814" s="13" t="str">
        <f>IF(OR('实盘净值数据(iFinD）'!$A814="",'实盘净值数据(iFinD）'!$B814=""),"",分期持仓明细!$AB$17*SUMPRODUCT(分期持仓明细!$B$17:$Y$17,'实盘净值数据(iFinD）'!$B814:$Y814/'实盘净值数据(iFinD）'!$B$20:$Y$20)*(1-实盘持仓初始配置!$Z$4)^(('实盘净值数据(iFinD）'!$A814-'实盘净值数据(iFinD）'!$A$6)/365))</f>
        <v/>
      </c>
      <c r="C814" s="16" t="str">
        <f t="shared" si="72"/>
        <v/>
      </c>
      <c r="D814" s="16" t="str">
        <f>IF(B814="","",B814/MAX(B$5:B814)-1)</f>
        <v/>
      </c>
      <c r="E814" s="13" t="str">
        <f>IF(OR('实盘净值数据(iFinD）'!$A814="",'实盘净值数据(iFinD）'!$B814=""),"",分期持仓明细!$AB$18*SUMPRODUCT(分期持仓明细!$B$18:$Y$18,'实盘净值数据(iFinD）'!$B814:$Y814/'实盘净值数据(iFinD）'!$B$20:$Y$20)*(1-实盘持仓初始配置!$Z$5)^(('实盘净值数据(iFinD）'!$A814-'实盘净值数据(iFinD）'!$A$5)/365))</f>
        <v/>
      </c>
      <c r="F814" s="16" t="str">
        <f t="shared" si="73"/>
        <v/>
      </c>
      <c r="G814" s="16" t="str">
        <f>IF(E814="","",E814/MAX(E$5:E814)-1)</f>
        <v/>
      </c>
      <c r="H814" s="13" t="str">
        <f>IF(OR('实盘净值数据(iFinD）'!$A814="",'实盘净值数据(iFinD）'!$B814=""),"",分期持仓明细!$AB$19*SUMPRODUCT(分期持仓明细!$B$19:$Y$19,'实盘净值数据(iFinD）'!$B814:$Y814/'实盘净值数据(iFinD）'!$B$20:$Y$20)*(1-实盘持仓初始配置!$Z$6)^(('实盘净值数据(iFinD）'!$A814-'实盘净值数据(iFinD）'!$A$7)/365))</f>
        <v/>
      </c>
      <c r="I814" s="16" t="str">
        <f t="shared" si="74"/>
        <v/>
      </c>
      <c r="J814" s="16" t="str">
        <f>IF(H814="","",H814/MAX(H$5:H814)-1)</f>
        <v/>
      </c>
      <c r="K814" s="13" t="str">
        <f>IF(OR('实盘净值数据(iFinD）'!$A814="",'实盘净值数据(iFinD）'!$B814="",'实盘净值数据(iFinD）'!$Z814="",'实盘净值数据(iFinD）'!$AA814=""),"",分期持仓明细!$AB$23*(SUMPRODUCT(分期持仓明细!$B$23:$Y$23,'实盘净值数据(iFinD）'!$B814:$Y814/'实盘净值数据(iFinD）'!$B$65:$Y$65)+SUMPRODUCT(分期持仓明细!$AC$23:$AD$23,'实盘净值数据(iFinD）'!$Z814:$AA814/'实盘净值数据(iFinD）'!$Z$65:$AA$65))*(1-实盘持仓初始配置!$Z$7)^(('实盘净值数据(iFinD）'!$A814-'实盘净值数据(iFinD）'!$A$8)/365))</f>
        <v/>
      </c>
      <c r="L814" s="16" t="str">
        <f t="shared" si="75"/>
        <v/>
      </c>
      <c r="M814" s="16" t="str">
        <f>IF(K814="","",K814/MAX(K$5:K814)-1)</f>
        <v/>
      </c>
      <c r="N814" s="13" t="str">
        <f>IF(OR('实盘净值数据(iFinD）'!$A814="",'实盘净值数据(iFinD）'!$B814="",'实盘净值数据(iFinD）'!$Z814="",'实盘净值数据(iFinD）'!$AA814=""),"",分期持仓明细!$AB$24*(SUMPRODUCT(分期持仓明细!$B$24:$Y$24,'实盘净值数据(iFinD）'!$B814:$Y814/'实盘净值数据(iFinD）'!$B$65:$Y$65)+SUMPRODUCT(分期持仓明细!$AC$24:$AD$24,'实盘净值数据(iFinD）'!$Z814:$AA814/'实盘净值数据(iFinD）'!$Z$65:$AA$65))*(1-实盘持仓初始配置!$Z$8)^(('实盘净值数据(iFinD）'!$A814-'实盘净值数据(iFinD）'!$A$5)/365))</f>
        <v/>
      </c>
      <c r="O814" s="16" t="str">
        <f t="shared" si="76"/>
        <v/>
      </c>
      <c r="P814" s="16" t="str">
        <f>IF(N814="","",N814/MAX(N$5:N814)-1)</f>
        <v/>
      </c>
      <c r="Q814" s="13" t="str">
        <f>IF(OR('实盘净值数据(iFinD）'!$A814="",'实盘净值数据(iFinD）'!$B814="",'实盘净值数据(iFinD）'!$Z814="",'实盘净值数据(iFinD）'!$AA814=""),"",分期持仓明细!$AB$25*(SUMPRODUCT(分期持仓明细!$B$25:$Y$25,'实盘净值数据(iFinD）'!$B814:$Y814/'实盘净值数据(iFinD）'!$B$65:$Y$65)+SUMPRODUCT(分期持仓明细!$AC$25:$AD$25,'实盘净值数据(iFinD）'!$Z814:$AA814/'实盘净值数据(iFinD）'!$Z$65:$AA$65))*(1-实盘持仓初始配置!$Z$9)^(('实盘净值数据(iFinD）'!$A814-'实盘净值数据(iFinD）'!$A$8)/365))</f>
        <v/>
      </c>
      <c r="R814" s="16" t="str">
        <f t="shared" si="77"/>
        <v/>
      </c>
      <c r="S814" s="16" t="str">
        <f>IF(Q814="","",Q814/MAX(Q$5:Q814)-1)</f>
        <v/>
      </c>
    </row>
    <row r="815" spans="1:19">
      <c r="A815" s="15" t="str">
        <f>IF('实盘净值数据(iFinD）'!A815="","",'实盘净值数据(iFinD）'!A815)</f>
        <v/>
      </c>
      <c r="B815" s="13" t="str">
        <f>IF(OR('实盘净值数据(iFinD）'!$A815="",'实盘净值数据(iFinD）'!$B815=""),"",分期持仓明细!$AB$17*SUMPRODUCT(分期持仓明细!$B$17:$Y$17,'实盘净值数据(iFinD）'!$B815:$Y815/'实盘净值数据(iFinD）'!$B$20:$Y$20)*(1-实盘持仓初始配置!$Z$4)^(('实盘净值数据(iFinD）'!$A815-'实盘净值数据(iFinD）'!$A$6)/365))</f>
        <v/>
      </c>
      <c r="C815" s="16" t="str">
        <f t="shared" si="72"/>
        <v/>
      </c>
      <c r="D815" s="16" t="str">
        <f>IF(B815="","",B815/MAX(B$5:B815)-1)</f>
        <v/>
      </c>
      <c r="E815" s="13" t="str">
        <f>IF(OR('实盘净值数据(iFinD）'!$A815="",'实盘净值数据(iFinD）'!$B815=""),"",分期持仓明细!$AB$18*SUMPRODUCT(分期持仓明细!$B$18:$Y$18,'实盘净值数据(iFinD）'!$B815:$Y815/'实盘净值数据(iFinD）'!$B$20:$Y$20)*(1-实盘持仓初始配置!$Z$5)^(('实盘净值数据(iFinD）'!$A815-'实盘净值数据(iFinD）'!$A$5)/365))</f>
        <v/>
      </c>
      <c r="F815" s="16" t="str">
        <f t="shared" si="73"/>
        <v/>
      </c>
      <c r="G815" s="16" t="str">
        <f>IF(E815="","",E815/MAX(E$5:E815)-1)</f>
        <v/>
      </c>
      <c r="H815" s="13" t="str">
        <f>IF(OR('实盘净值数据(iFinD）'!$A815="",'实盘净值数据(iFinD）'!$B815=""),"",分期持仓明细!$AB$19*SUMPRODUCT(分期持仓明细!$B$19:$Y$19,'实盘净值数据(iFinD）'!$B815:$Y815/'实盘净值数据(iFinD）'!$B$20:$Y$20)*(1-实盘持仓初始配置!$Z$6)^(('实盘净值数据(iFinD）'!$A815-'实盘净值数据(iFinD）'!$A$7)/365))</f>
        <v/>
      </c>
      <c r="I815" s="16" t="str">
        <f t="shared" si="74"/>
        <v/>
      </c>
      <c r="J815" s="16" t="str">
        <f>IF(H815="","",H815/MAX(H$5:H815)-1)</f>
        <v/>
      </c>
      <c r="K815" s="13" t="str">
        <f>IF(OR('实盘净值数据(iFinD）'!$A815="",'实盘净值数据(iFinD）'!$B815="",'实盘净值数据(iFinD）'!$Z815="",'实盘净值数据(iFinD）'!$AA815=""),"",分期持仓明细!$AB$23*(SUMPRODUCT(分期持仓明细!$B$23:$Y$23,'实盘净值数据(iFinD）'!$B815:$Y815/'实盘净值数据(iFinD）'!$B$65:$Y$65)+SUMPRODUCT(分期持仓明细!$AC$23:$AD$23,'实盘净值数据(iFinD）'!$Z815:$AA815/'实盘净值数据(iFinD）'!$Z$65:$AA$65))*(1-实盘持仓初始配置!$Z$7)^(('实盘净值数据(iFinD）'!$A815-'实盘净值数据(iFinD）'!$A$8)/365))</f>
        <v/>
      </c>
      <c r="L815" s="16" t="str">
        <f t="shared" si="75"/>
        <v/>
      </c>
      <c r="M815" s="16" t="str">
        <f>IF(K815="","",K815/MAX(K$5:K815)-1)</f>
        <v/>
      </c>
      <c r="N815" s="13" t="str">
        <f>IF(OR('实盘净值数据(iFinD）'!$A815="",'实盘净值数据(iFinD）'!$B815="",'实盘净值数据(iFinD）'!$Z815="",'实盘净值数据(iFinD）'!$AA815=""),"",分期持仓明细!$AB$24*(SUMPRODUCT(分期持仓明细!$B$24:$Y$24,'实盘净值数据(iFinD）'!$B815:$Y815/'实盘净值数据(iFinD）'!$B$65:$Y$65)+SUMPRODUCT(分期持仓明细!$AC$24:$AD$24,'实盘净值数据(iFinD）'!$Z815:$AA815/'实盘净值数据(iFinD）'!$Z$65:$AA$65))*(1-实盘持仓初始配置!$Z$8)^(('实盘净值数据(iFinD）'!$A815-'实盘净值数据(iFinD）'!$A$5)/365))</f>
        <v/>
      </c>
      <c r="O815" s="16" t="str">
        <f t="shared" si="76"/>
        <v/>
      </c>
      <c r="P815" s="16" t="str">
        <f>IF(N815="","",N815/MAX(N$5:N815)-1)</f>
        <v/>
      </c>
      <c r="Q815" s="13" t="str">
        <f>IF(OR('实盘净值数据(iFinD）'!$A815="",'实盘净值数据(iFinD）'!$B815="",'实盘净值数据(iFinD）'!$Z815="",'实盘净值数据(iFinD）'!$AA815=""),"",分期持仓明细!$AB$25*(SUMPRODUCT(分期持仓明细!$B$25:$Y$25,'实盘净值数据(iFinD）'!$B815:$Y815/'实盘净值数据(iFinD）'!$B$65:$Y$65)+SUMPRODUCT(分期持仓明细!$AC$25:$AD$25,'实盘净值数据(iFinD）'!$Z815:$AA815/'实盘净值数据(iFinD）'!$Z$65:$AA$65))*(1-实盘持仓初始配置!$Z$9)^(('实盘净值数据(iFinD）'!$A815-'实盘净值数据(iFinD）'!$A$8)/365))</f>
        <v/>
      </c>
      <c r="R815" s="16" t="str">
        <f t="shared" si="77"/>
        <v/>
      </c>
      <c r="S815" s="16" t="str">
        <f>IF(Q815="","",Q815/MAX(Q$5:Q815)-1)</f>
        <v/>
      </c>
    </row>
    <row r="816" spans="1:19">
      <c r="A816" s="15" t="str">
        <f>IF('实盘净值数据(iFinD）'!A816="","",'实盘净值数据(iFinD）'!A816)</f>
        <v/>
      </c>
      <c r="B816" s="13" t="str">
        <f>IF(OR('实盘净值数据(iFinD）'!$A816="",'实盘净值数据(iFinD）'!$B816=""),"",分期持仓明细!$AB$17*SUMPRODUCT(分期持仓明细!$B$17:$Y$17,'实盘净值数据(iFinD）'!$B816:$Y816/'实盘净值数据(iFinD）'!$B$20:$Y$20)*(1-实盘持仓初始配置!$Z$4)^(('实盘净值数据(iFinD）'!$A816-'实盘净值数据(iFinD）'!$A$6)/365))</f>
        <v/>
      </c>
      <c r="C816" s="16" t="str">
        <f t="shared" si="72"/>
        <v/>
      </c>
      <c r="D816" s="16" t="str">
        <f>IF(B816="","",B816/MAX(B$5:B816)-1)</f>
        <v/>
      </c>
      <c r="E816" s="13" t="str">
        <f>IF(OR('实盘净值数据(iFinD）'!$A816="",'实盘净值数据(iFinD）'!$B816=""),"",分期持仓明细!$AB$18*SUMPRODUCT(分期持仓明细!$B$18:$Y$18,'实盘净值数据(iFinD）'!$B816:$Y816/'实盘净值数据(iFinD）'!$B$20:$Y$20)*(1-实盘持仓初始配置!$Z$5)^(('实盘净值数据(iFinD）'!$A816-'实盘净值数据(iFinD）'!$A$5)/365))</f>
        <v/>
      </c>
      <c r="F816" s="16" t="str">
        <f t="shared" si="73"/>
        <v/>
      </c>
      <c r="G816" s="16" t="str">
        <f>IF(E816="","",E816/MAX(E$5:E816)-1)</f>
        <v/>
      </c>
      <c r="H816" s="13" t="str">
        <f>IF(OR('实盘净值数据(iFinD）'!$A816="",'实盘净值数据(iFinD）'!$B816=""),"",分期持仓明细!$AB$19*SUMPRODUCT(分期持仓明细!$B$19:$Y$19,'实盘净值数据(iFinD）'!$B816:$Y816/'实盘净值数据(iFinD）'!$B$20:$Y$20)*(1-实盘持仓初始配置!$Z$6)^(('实盘净值数据(iFinD）'!$A816-'实盘净值数据(iFinD）'!$A$7)/365))</f>
        <v/>
      </c>
      <c r="I816" s="16" t="str">
        <f t="shared" si="74"/>
        <v/>
      </c>
      <c r="J816" s="16" t="str">
        <f>IF(H816="","",H816/MAX(H$5:H816)-1)</f>
        <v/>
      </c>
      <c r="K816" s="13" t="str">
        <f>IF(OR('实盘净值数据(iFinD）'!$A816="",'实盘净值数据(iFinD）'!$B816="",'实盘净值数据(iFinD）'!$Z816="",'实盘净值数据(iFinD）'!$AA816=""),"",分期持仓明细!$AB$23*(SUMPRODUCT(分期持仓明细!$B$23:$Y$23,'实盘净值数据(iFinD）'!$B816:$Y816/'实盘净值数据(iFinD）'!$B$65:$Y$65)+SUMPRODUCT(分期持仓明细!$AC$23:$AD$23,'实盘净值数据(iFinD）'!$Z816:$AA816/'实盘净值数据(iFinD）'!$Z$65:$AA$65))*(1-实盘持仓初始配置!$Z$7)^(('实盘净值数据(iFinD）'!$A816-'实盘净值数据(iFinD）'!$A$8)/365))</f>
        <v/>
      </c>
      <c r="L816" s="16" t="str">
        <f t="shared" si="75"/>
        <v/>
      </c>
      <c r="M816" s="16" t="str">
        <f>IF(K816="","",K816/MAX(K$5:K816)-1)</f>
        <v/>
      </c>
      <c r="N816" s="13" t="str">
        <f>IF(OR('实盘净值数据(iFinD）'!$A816="",'实盘净值数据(iFinD）'!$B816="",'实盘净值数据(iFinD）'!$Z816="",'实盘净值数据(iFinD）'!$AA816=""),"",分期持仓明细!$AB$24*(SUMPRODUCT(分期持仓明细!$B$24:$Y$24,'实盘净值数据(iFinD）'!$B816:$Y816/'实盘净值数据(iFinD）'!$B$65:$Y$65)+SUMPRODUCT(分期持仓明细!$AC$24:$AD$24,'实盘净值数据(iFinD）'!$Z816:$AA816/'实盘净值数据(iFinD）'!$Z$65:$AA$65))*(1-实盘持仓初始配置!$Z$8)^(('实盘净值数据(iFinD）'!$A816-'实盘净值数据(iFinD）'!$A$5)/365))</f>
        <v/>
      </c>
      <c r="O816" s="16" t="str">
        <f t="shared" si="76"/>
        <v/>
      </c>
      <c r="P816" s="16" t="str">
        <f>IF(N816="","",N816/MAX(N$5:N816)-1)</f>
        <v/>
      </c>
      <c r="Q816" s="13" t="str">
        <f>IF(OR('实盘净值数据(iFinD）'!$A816="",'实盘净值数据(iFinD）'!$B816="",'实盘净值数据(iFinD）'!$Z816="",'实盘净值数据(iFinD）'!$AA816=""),"",分期持仓明细!$AB$25*(SUMPRODUCT(分期持仓明细!$B$25:$Y$25,'实盘净值数据(iFinD）'!$B816:$Y816/'实盘净值数据(iFinD）'!$B$65:$Y$65)+SUMPRODUCT(分期持仓明细!$AC$25:$AD$25,'实盘净值数据(iFinD）'!$Z816:$AA816/'实盘净值数据(iFinD）'!$Z$65:$AA$65))*(1-实盘持仓初始配置!$Z$9)^(('实盘净值数据(iFinD）'!$A816-'实盘净值数据(iFinD）'!$A$8)/365))</f>
        <v/>
      </c>
      <c r="R816" s="16" t="str">
        <f t="shared" si="77"/>
        <v/>
      </c>
      <c r="S816" s="16" t="str">
        <f>IF(Q816="","",Q816/MAX(Q$5:Q816)-1)</f>
        <v/>
      </c>
    </row>
    <row r="817" spans="1:19">
      <c r="A817" s="15" t="str">
        <f>IF('实盘净值数据(iFinD）'!A817="","",'实盘净值数据(iFinD）'!A817)</f>
        <v/>
      </c>
      <c r="B817" s="13" t="str">
        <f>IF(OR('实盘净值数据(iFinD）'!$A817="",'实盘净值数据(iFinD）'!$B817=""),"",分期持仓明细!$AB$17*SUMPRODUCT(分期持仓明细!$B$17:$Y$17,'实盘净值数据(iFinD）'!$B817:$Y817/'实盘净值数据(iFinD）'!$B$20:$Y$20)*(1-实盘持仓初始配置!$Z$4)^(('实盘净值数据(iFinD）'!$A817-'实盘净值数据(iFinD）'!$A$6)/365))</f>
        <v/>
      </c>
      <c r="C817" s="16" t="str">
        <f t="shared" si="72"/>
        <v/>
      </c>
      <c r="D817" s="16" t="str">
        <f>IF(B817="","",B817/MAX(B$5:B817)-1)</f>
        <v/>
      </c>
      <c r="E817" s="13" t="str">
        <f>IF(OR('实盘净值数据(iFinD）'!$A817="",'实盘净值数据(iFinD）'!$B817=""),"",分期持仓明细!$AB$18*SUMPRODUCT(分期持仓明细!$B$18:$Y$18,'实盘净值数据(iFinD）'!$B817:$Y817/'实盘净值数据(iFinD）'!$B$20:$Y$20)*(1-实盘持仓初始配置!$Z$5)^(('实盘净值数据(iFinD）'!$A817-'实盘净值数据(iFinD）'!$A$5)/365))</f>
        <v/>
      </c>
      <c r="F817" s="16" t="str">
        <f t="shared" si="73"/>
        <v/>
      </c>
      <c r="G817" s="16" t="str">
        <f>IF(E817="","",E817/MAX(E$5:E817)-1)</f>
        <v/>
      </c>
      <c r="H817" s="13" t="str">
        <f>IF(OR('实盘净值数据(iFinD）'!$A817="",'实盘净值数据(iFinD）'!$B817=""),"",分期持仓明细!$AB$19*SUMPRODUCT(分期持仓明细!$B$19:$Y$19,'实盘净值数据(iFinD）'!$B817:$Y817/'实盘净值数据(iFinD）'!$B$20:$Y$20)*(1-实盘持仓初始配置!$Z$6)^(('实盘净值数据(iFinD）'!$A817-'实盘净值数据(iFinD）'!$A$7)/365))</f>
        <v/>
      </c>
      <c r="I817" s="16" t="str">
        <f t="shared" si="74"/>
        <v/>
      </c>
      <c r="J817" s="16" t="str">
        <f>IF(H817="","",H817/MAX(H$5:H817)-1)</f>
        <v/>
      </c>
      <c r="K817" s="13" t="str">
        <f>IF(OR('实盘净值数据(iFinD）'!$A817="",'实盘净值数据(iFinD）'!$B817="",'实盘净值数据(iFinD）'!$Z817="",'实盘净值数据(iFinD）'!$AA817=""),"",分期持仓明细!$AB$23*(SUMPRODUCT(分期持仓明细!$B$23:$Y$23,'实盘净值数据(iFinD）'!$B817:$Y817/'实盘净值数据(iFinD）'!$B$65:$Y$65)+SUMPRODUCT(分期持仓明细!$AC$23:$AD$23,'实盘净值数据(iFinD）'!$Z817:$AA817/'实盘净值数据(iFinD）'!$Z$65:$AA$65))*(1-实盘持仓初始配置!$Z$7)^(('实盘净值数据(iFinD）'!$A817-'实盘净值数据(iFinD）'!$A$8)/365))</f>
        <v/>
      </c>
      <c r="L817" s="16" t="str">
        <f t="shared" si="75"/>
        <v/>
      </c>
      <c r="M817" s="16" t="str">
        <f>IF(K817="","",K817/MAX(K$5:K817)-1)</f>
        <v/>
      </c>
      <c r="N817" s="13" t="str">
        <f>IF(OR('实盘净值数据(iFinD）'!$A817="",'实盘净值数据(iFinD）'!$B817="",'实盘净值数据(iFinD）'!$Z817="",'实盘净值数据(iFinD）'!$AA817=""),"",分期持仓明细!$AB$24*(SUMPRODUCT(分期持仓明细!$B$24:$Y$24,'实盘净值数据(iFinD）'!$B817:$Y817/'实盘净值数据(iFinD）'!$B$65:$Y$65)+SUMPRODUCT(分期持仓明细!$AC$24:$AD$24,'实盘净值数据(iFinD）'!$Z817:$AA817/'实盘净值数据(iFinD）'!$Z$65:$AA$65))*(1-实盘持仓初始配置!$Z$8)^(('实盘净值数据(iFinD）'!$A817-'实盘净值数据(iFinD）'!$A$5)/365))</f>
        <v/>
      </c>
      <c r="O817" s="16" t="str">
        <f t="shared" si="76"/>
        <v/>
      </c>
      <c r="P817" s="16" t="str">
        <f>IF(N817="","",N817/MAX(N$5:N817)-1)</f>
        <v/>
      </c>
      <c r="Q817" s="13" t="str">
        <f>IF(OR('实盘净值数据(iFinD）'!$A817="",'实盘净值数据(iFinD）'!$B817="",'实盘净值数据(iFinD）'!$Z817="",'实盘净值数据(iFinD）'!$AA817=""),"",分期持仓明细!$AB$25*(SUMPRODUCT(分期持仓明细!$B$25:$Y$25,'实盘净值数据(iFinD）'!$B817:$Y817/'实盘净值数据(iFinD）'!$B$65:$Y$65)+SUMPRODUCT(分期持仓明细!$AC$25:$AD$25,'实盘净值数据(iFinD）'!$Z817:$AA817/'实盘净值数据(iFinD）'!$Z$65:$AA$65))*(1-实盘持仓初始配置!$Z$9)^(('实盘净值数据(iFinD）'!$A817-'实盘净值数据(iFinD）'!$A$8)/365))</f>
        <v/>
      </c>
      <c r="R817" s="16" t="str">
        <f t="shared" si="77"/>
        <v/>
      </c>
      <c r="S817" s="16" t="str">
        <f>IF(Q817="","",Q817/MAX(Q$5:Q817)-1)</f>
        <v/>
      </c>
    </row>
    <row r="818" spans="1:19">
      <c r="A818" s="15" t="str">
        <f>IF('实盘净值数据(iFinD）'!A818="","",'实盘净值数据(iFinD）'!A818)</f>
        <v/>
      </c>
      <c r="B818" s="13" t="str">
        <f>IF(OR('实盘净值数据(iFinD）'!$A818="",'实盘净值数据(iFinD）'!$B818=""),"",分期持仓明细!$AB$17*SUMPRODUCT(分期持仓明细!$B$17:$Y$17,'实盘净值数据(iFinD）'!$B818:$Y818/'实盘净值数据(iFinD）'!$B$20:$Y$20)*(1-实盘持仓初始配置!$Z$4)^(('实盘净值数据(iFinD）'!$A818-'实盘净值数据(iFinD）'!$A$6)/365))</f>
        <v/>
      </c>
      <c r="C818" s="16" t="str">
        <f t="shared" si="72"/>
        <v/>
      </c>
      <c r="D818" s="16" t="str">
        <f>IF(B818="","",B818/MAX(B$5:B818)-1)</f>
        <v/>
      </c>
      <c r="E818" s="13" t="str">
        <f>IF(OR('实盘净值数据(iFinD）'!$A818="",'实盘净值数据(iFinD）'!$B818=""),"",分期持仓明细!$AB$18*SUMPRODUCT(分期持仓明细!$B$18:$Y$18,'实盘净值数据(iFinD）'!$B818:$Y818/'实盘净值数据(iFinD）'!$B$20:$Y$20)*(1-实盘持仓初始配置!$Z$5)^(('实盘净值数据(iFinD）'!$A818-'实盘净值数据(iFinD）'!$A$5)/365))</f>
        <v/>
      </c>
      <c r="F818" s="16" t="str">
        <f t="shared" si="73"/>
        <v/>
      </c>
      <c r="G818" s="16" t="str">
        <f>IF(E818="","",E818/MAX(E$5:E818)-1)</f>
        <v/>
      </c>
      <c r="H818" s="13" t="str">
        <f>IF(OR('实盘净值数据(iFinD）'!$A818="",'实盘净值数据(iFinD）'!$B818=""),"",分期持仓明细!$AB$19*SUMPRODUCT(分期持仓明细!$B$19:$Y$19,'实盘净值数据(iFinD）'!$B818:$Y818/'实盘净值数据(iFinD）'!$B$20:$Y$20)*(1-实盘持仓初始配置!$Z$6)^(('实盘净值数据(iFinD）'!$A818-'实盘净值数据(iFinD）'!$A$7)/365))</f>
        <v/>
      </c>
      <c r="I818" s="16" t="str">
        <f t="shared" si="74"/>
        <v/>
      </c>
      <c r="J818" s="16" t="str">
        <f>IF(H818="","",H818/MAX(H$5:H818)-1)</f>
        <v/>
      </c>
      <c r="K818" s="13" t="str">
        <f>IF(OR('实盘净值数据(iFinD）'!$A818="",'实盘净值数据(iFinD）'!$B818="",'实盘净值数据(iFinD）'!$Z818="",'实盘净值数据(iFinD）'!$AA818=""),"",分期持仓明细!$AB$23*(SUMPRODUCT(分期持仓明细!$B$23:$Y$23,'实盘净值数据(iFinD）'!$B818:$Y818/'实盘净值数据(iFinD）'!$B$65:$Y$65)+SUMPRODUCT(分期持仓明细!$AC$23:$AD$23,'实盘净值数据(iFinD）'!$Z818:$AA818/'实盘净值数据(iFinD）'!$Z$65:$AA$65))*(1-实盘持仓初始配置!$Z$7)^(('实盘净值数据(iFinD）'!$A818-'实盘净值数据(iFinD）'!$A$8)/365))</f>
        <v/>
      </c>
      <c r="L818" s="16" t="str">
        <f t="shared" si="75"/>
        <v/>
      </c>
      <c r="M818" s="16" t="str">
        <f>IF(K818="","",K818/MAX(K$5:K818)-1)</f>
        <v/>
      </c>
      <c r="N818" s="13" t="str">
        <f>IF(OR('实盘净值数据(iFinD）'!$A818="",'实盘净值数据(iFinD）'!$B818="",'实盘净值数据(iFinD）'!$Z818="",'实盘净值数据(iFinD）'!$AA818=""),"",分期持仓明细!$AB$24*(SUMPRODUCT(分期持仓明细!$B$24:$Y$24,'实盘净值数据(iFinD）'!$B818:$Y818/'实盘净值数据(iFinD）'!$B$65:$Y$65)+SUMPRODUCT(分期持仓明细!$AC$24:$AD$24,'实盘净值数据(iFinD）'!$Z818:$AA818/'实盘净值数据(iFinD）'!$Z$65:$AA$65))*(1-实盘持仓初始配置!$Z$8)^(('实盘净值数据(iFinD）'!$A818-'实盘净值数据(iFinD）'!$A$5)/365))</f>
        <v/>
      </c>
      <c r="O818" s="16" t="str">
        <f t="shared" si="76"/>
        <v/>
      </c>
      <c r="P818" s="16" t="str">
        <f>IF(N818="","",N818/MAX(N$5:N818)-1)</f>
        <v/>
      </c>
      <c r="Q818" s="13" t="str">
        <f>IF(OR('实盘净值数据(iFinD）'!$A818="",'实盘净值数据(iFinD）'!$B818="",'实盘净值数据(iFinD）'!$Z818="",'实盘净值数据(iFinD）'!$AA818=""),"",分期持仓明细!$AB$25*(SUMPRODUCT(分期持仓明细!$B$25:$Y$25,'实盘净值数据(iFinD）'!$B818:$Y818/'实盘净值数据(iFinD）'!$B$65:$Y$65)+SUMPRODUCT(分期持仓明细!$AC$25:$AD$25,'实盘净值数据(iFinD）'!$Z818:$AA818/'实盘净值数据(iFinD）'!$Z$65:$AA$65))*(1-实盘持仓初始配置!$Z$9)^(('实盘净值数据(iFinD）'!$A818-'实盘净值数据(iFinD）'!$A$8)/365))</f>
        <v/>
      </c>
      <c r="R818" s="16" t="str">
        <f t="shared" si="77"/>
        <v/>
      </c>
      <c r="S818" s="16" t="str">
        <f>IF(Q818="","",Q818/MAX(Q$5:Q818)-1)</f>
        <v/>
      </c>
    </row>
    <row r="819" spans="1:19">
      <c r="A819" s="15" t="str">
        <f>IF('实盘净值数据(iFinD）'!A819="","",'实盘净值数据(iFinD）'!A819)</f>
        <v/>
      </c>
      <c r="B819" s="13" t="str">
        <f>IF(OR('实盘净值数据(iFinD）'!$A819="",'实盘净值数据(iFinD）'!$B819=""),"",分期持仓明细!$AB$17*SUMPRODUCT(分期持仓明细!$B$17:$Y$17,'实盘净值数据(iFinD）'!$B819:$Y819/'实盘净值数据(iFinD）'!$B$20:$Y$20)*(1-实盘持仓初始配置!$Z$4)^(('实盘净值数据(iFinD）'!$A819-'实盘净值数据(iFinD）'!$A$6)/365))</f>
        <v/>
      </c>
      <c r="C819" s="16" t="str">
        <f t="shared" si="72"/>
        <v/>
      </c>
      <c r="D819" s="16" t="str">
        <f>IF(B819="","",B819/MAX(B$5:B819)-1)</f>
        <v/>
      </c>
      <c r="E819" s="13" t="str">
        <f>IF(OR('实盘净值数据(iFinD）'!$A819="",'实盘净值数据(iFinD）'!$B819=""),"",分期持仓明细!$AB$18*SUMPRODUCT(分期持仓明细!$B$18:$Y$18,'实盘净值数据(iFinD）'!$B819:$Y819/'实盘净值数据(iFinD）'!$B$20:$Y$20)*(1-实盘持仓初始配置!$Z$5)^(('实盘净值数据(iFinD）'!$A819-'实盘净值数据(iFinD）'!$A$5)/365))</f>
        <v/>
      </c>
      <c r="F819" s="16" t="str">
        <f t="shared" si="73"/>
        <v/>
      </c>
      <c r="G819" s="16" t="str">
        <f>IF(E819="","",E819/MAX(E$5:E819)-1)</f>
        <v/>
      </c>
      <c r="H819" s="13" t="str">
        <f>IF(OR('实盘净值数据(iFinD）'!$A819="",'实盘净值数据(iFinD）'!$B819=""),"",分期持仓明细!$AB$19*SUMPRODUCT(分期持仓明细!$B$19:$Y$19,'实盘净值数据(iFinD）'!$B819:$Y819/'实盘净值数据(iFinD）'!$B$20:$Y$20)*(1-实盘持仓初始配置!$Z$6)^(('实盘净值数据(iFinD）'!$A819-'实盘净值数据(iFinD）'!$A$7)/365))</f>
        <v/>
      </c>
      <c r="I819" s="16" t="str">
        <f t="shared" si="74"/>
        <v/>
      </c>
      <c r="J819" s="16" t="str">
        <f>IF(H819="","",H819/MAX(H$5:H819)-1)</f>
        <v/>
      </c>
      <c r="K819" s="13" t="str">
        <f>IF(OR('实盘净值数据(iFinD）'!$A819="",'实盘净值数据(iFinD）'!$B819="",'实盘净值数据(iFinD）'!$Z819="",'实盘净值数据(iFinD）'!$AA819=""),"",分期持仓明细!$AB$23*(SUMPRODUCT(分期持仓明细!$B$23:$Y$23,'实盘净值数据(iFinD）'!$B819:$Y819/'实盘净值数据(iFinD）'!$B$65:$Y$65)+SUMPRODUCT(分期持仓明细!$AC$23:$AD$23,'实盘净值数据(iFinD）'!$Z819:$AA819/'实盘净值数据(iFinD）'!$Z$65:$AA$65))*(1-实盘持仓初始配置!$Z$7)^(('实盘净值数据(iFinD）'!$A819-'实盘净值数据(iFinD）'!$A$8)/365))</f>
        <v/>
      </c>
      <c r="L819" s="16" t="str">
        <f t="shared" si="75"/>
        <v/>
      </c>
      <c r="M819" s="16" t="str">
        <f>IF(K819="","",K819/MAX(K$5:K819)-1)</f>
        <v/>
      </c>
      <c r="N819" s="13" t="str">
        <f>IF(OR('实盘净值数据(iFinD）'!$A819="",'实盘净值数据(iFinD）'!$B819="",'实盘净值数据(iFinD）'!$Z819="",'实盘净值数据(iFinD）'!$AA819=""),"",分期持仓明细!$AB$24*(SUMPRODUCT(分期持仓明细!$B$24:$Y$24,'实盘净值数据(iFinD）'!$B819:$Y819/'实盘净值数据(iFinD）'!$B$65:$Y$65)+SUMPRODUCT(分期持仓明细!$AC$24:$AD$24,'实盘净值数据(iFinD）'!$Z819:$AA819/'实盘净值数据(iFinD）'!$Z$65:$AA$65))*(1-实盘持仓初始配置!$Z$8)^(('实盘净值数据(iFinD）'!$A819-'实盘净值数据(iFinD）'!$A$5)/365))</f>
        <v/>
      </c>
      <c r="O819" s="16" t="str">
        <f t="shared" si="76"/>
        <v/>
      </c>
      <c r="P819" s="16" t="str">
        <f>IF(N819="","",N819/MAX(N$5:N819)-1)</f>
        <v/>
      </c>
      <c r="Q819" s="13" t="str">
        <f>IF(OR('实盘净值数据(iFinD）'!$A819="",'实盘净值数据(iFinD）'!$B819="",'实盘净值数据(iFinD）'!$Z819="",'实盘净值数据(iFinD）'!$AA819=""),"",分期持仓明细!$AB$25*(SUMPRODUCT(分期持仓明细!$B$25:$Y$25,'实盘净值数据(iFinD）'!$B819:$Y819/'实盘净值数据(iFinD）'!$B$65:$Y$65)+SUMPRODUCT(分期持仓明细!$AC$25:$AD$25,'实盘净值数据(iFinD）'!$Z819:$AA819/'实盘净值数据(iFinD）'!$Z$65:$AA$65))*(1-实盘持仓初始配置!$Z$9)^(('实盘净值数据(iFinD）'!$A819-'实盘净值数据(iFinD）'!$A$8)/365))</f>
        <v/>
      </c>
      <c r="R819" s="16" t="str">
        <f t="shared" si="77"/>
        <v/>
      </c>
      <c r="S819" s="16" t="str">
        <f>IF(Q819="","",Q819/MAX(Q$5:Q819)-1)</f>
        <v/>
      </c>
    </row>
    <row r="820" spans="1:19">
      <c r="A820" s="15" t="str">
        <f>IF('实盘净值数据(iFinD）'!A820="","",'实盘净值数据(iFinD）'!A820)</f>
        <v/>
      </c>
      <c r="B820" s="13" t="str">
        <f>IF(OR('实盘净值数据(iFinD）'!$A820="",'实盘净值数据(iFinD）'!$B820=""),"",分期持仓明细!$AB$17*SUMPRODUCT(分期持仓明细!$B$17:$Y$17,'实盘净值数据(iFinD）'!$B820:$Y820/'实盘净值数据(iFinD）'!$B$20:$Y$20)*(1-实盘持仓初始配置!$Z$4)^(('实盘净值数据(iFinD）'!$A820-'实盘净值数据(iFinD）'!$A$6)/365))</f>
        <v/>
      </c>
      <c r="C820" s="16" t="str">
        <f t="shared" si="72"/>
        <v/>
      </c>
      <c r="D820" s="16" t="str">
        <f>IF(B820="","",B820/MAX(B$5:B820)-1)</f>
        <v/>
      </c>
      <c r="E820" s="13" t="str">
        <f>IF(OR('实盘净值数据(iFinD）'!$A820="",'实盘净值数据(iFinD）'!$B820=""),"",分期持仓明细!$AB$18*SUMPRODUCT(分期持仓明细!$B$18:$Y$18,'实盘净值数据(iFinD）'!$B820:$Y820/'实盘净值数据(iFinD）'!$B$20:$Y$20)*(1-实盘持仓初始配置!$Z$5)^(('实盘净值数据(iFinD）'!$A820-'实盘净值数据(iFinD）'!$A$5)/365))</f>
        <v/>
      </c>
      <c r="F820" s="16" t="str">
        <f t="shared" si="73"/>
        <v/>
      </c>
      <c r="G820" s="16" t="str">
        <f>IF(E820="","",E820/MAX(E$5:E820)-1)</f>
        <v/>
      </c>
      <c r="H820" s="13" t="str">
        <f>IF(OR('实盘净值数据(iFinD）'!$A820="",'实盘净值数据(iFinD）'!$B820=""),"",分期持仓明细!$AB$19*SUMPRODUCT(分期持仓明细!$B$19:$Y$19,'实盘净值数据(iFinD）'!$B820:$Y820/'实盘净值数据(iFinD）'!$B$20:$Y$20)*(1-实盘持仓初始配置!$Z$6)^(('实盘净值数据(iFinD）'!$A820-'实盘净值数据(iFinD）'!$A$7)/365))</f>
        <v/>
      </c>
      <c r="I820" s="16" t="str">
        <f t="shared" si="74"/>
        <v/>
      </c>
      <c r="J820" s="16" t="str">
        <f>IF(H820="","",H820/MAX(H$5:H820)-1)</f>
        <v/>
      </c>
      <c r="K820" s="13" t="str">
        <f>IF(OR('实盘净值数据(iFinD）'!$A820="",'实盘净值数据(iFinD）'!$B820="",'实盘净值数据(iFinD）'!$Z820="",'实盘净值数据(iFinD）'!$AA820=""),"",分期持仓明细!$AB$23*(SUMPRODUCT(分期持仓明细!$B$23:$Y$23,'实盘净值数据(iFinD）'!$B820:$Y820/'实盘净值数据(iFinD）'!$B$65:$Y$65)+SUMPRODUCT(分期持仓明细!$AC$23:$AD$23,'实盘净值数据(iFinD）'!$Z820:$AA820/'实盘净值数据(iFinD）'!$Z$65:$AA$65))*(1-实盘持仓初始配置!$Z$7)^(('实盘净值数据(iFinD）'!$A820-'实盘净值数据(iFinD）'!$A$8)/365))</f>
        <v/>
      </c>
      <c r="L820" s="16" t="str">
        <f t="shared" si="75"/>
        <v/>
      </c>
      <c r="M820" s="16" t="str">
        <f>IF(K820="","",K820/MAX(K$5:K820)-1)</f>
        <v/>
      </c>
      <c r="N820" s="13" t="str">
        <f>IF(OR('实盘净值数据(iFinD）'!$A820="",'实盘净值数据(iFinD）'!$B820="",'实盘净值数据(iFinD）'!$Z820="",'实盘净值数据(iFinD）'!$AA820=""),"",分期持仓明细!$AB$24*(SUMPRODUCT(分期持仓明细!$B$24:$Y$24,'实盘净值数据(iFinD）'!$B820:$Y820/'实盘净值数据(iFinD）'!$B$65:$Y$65)+SUMPRODUCT(分期持仓明细!$AC$24:$AD$24,'实盘净值数据(iFinD）'!$Z820:$AA820/'实盘净值数据(iFinD）'!$Z$65:$AA$65))*(1-实盘持仓初始配置!$Z$8)^(('实盘净值数据(iFinD）'!$A820-'实盘净值数据(iFinD）'!$A$5)/365))</f>
        <v/>
      </c>
      <c r="O820" s="16" t="str">
        <f t="shared" si="76"/>
        <v/>
      </c>
      <c r="P820" s="16" t="str">
        <f>IF(N820="","",N820/MAX(N$5:N820)-1)</f>
        <v/>
      </c>
      <c r="Q820" s="13" t="str">
        <f>IF(OR('实盘净值数据(iFinD）'!$A820="",'实盘净值数据(iFinD）'!$B820="",'实盘净值数据(iFinD）'!$Z820="",'实盘净值数据(iFinD）'!$AA820=""),"",分期持仓明细!$AB$25*(SUMPRODUCT(分期持仓明细!$B$25:$Y$25,'实盘净值数据(iFinD）'!$B820:$Y820/'实盘净值数据(iFinD）'!$B$65:$Y$65)+SUMPRODUCT(分期持仓明细!$AC$25:$AD$25,'实盘净值数据(iFinD）'!$Z820:$AA820/'实盘净值数据(iFinD）'!$Z$65:$AA$65))*(1-实盘持仓初始配置!$Z$9)^(('实盘净值数据(iFinD）'!$A820-'实盘净值数据(iFinD）'!$A$8)/365))</f>
        <v/>
      </c>
      <c r="R820" s="16" t="str">
        <f t="shared" si="77"/>
        <v/>
      </c>
      <c r="S820" s="16" t="str">
        <f>IF(Q820="","",Q820/MAX(Q$5:Q820)-1)</f>
        <v/>
      </c>
    </row>
    <row r="821" spans="1:19">
      <c r="A821" s="15" t="str">
        <f>IF('实盘净值数据(iFinD）'!A821="","",'实盘净值数据(iFinD）'!A821)</f>
        <v/>
      </c>
      <c r="B821" s="13" t="str">
        <f>IF(OR('实盘净值数据(iFinD）'!$A821="",'实盘净值数据(iFinD）'!$B821=""),"",分期持仓明细!$AB$17*SUMPRODUCT(分期持仓明细!$B$17:$Y$17,'实盘净值数据(iFinD）'!$B821:$Y821/'实盘净值数据(iFinD）'!$B$20:$Y$20)*(1-实盘持仓初始配置!$Z$4)^(('实盘净值数据(iFinD）'!$A821-'实盘净值数据(iFinD）'!$A$6)/365))</f>
        <v/>
      </c>
      <c r="C821" s="16" t="str">
        <f t="shared" si="72"/>
        <v/>
      </c>
      <c r="D821" s="16" t="str">
        <f>IF(B821="","",B821/MAX(B$5:B821)-1)</f>
        <v/>
      </c>
      <c r="E821" s="13" t="str">
        <f>IF(OR('实盘净值数据(iFinD）'!$A821="",'实盘净值数据(iFinD）'!$B821=""),"",分期持仓明细!$AB$18*SUMPRODUCT(分期持仓明细!$B$18:$Y$18,'实盘净值数据(iFinD）'!$B821:$Y821/'实盘净值数据(iFinD）'!$B$20:$Y$20)*(1-实盘持仓初始配置!$Z$5)^(('实盘净值数据(iFinD）'!$A821-'实盘净值数据(iFinD）'!$A$5)/365))</f>
        <v/>
      </c>
      <c r="F821" s="16" t="str">
        <f t="shared" si="73"/>
        <v/>
      </c>
      <c r="G821" s="16" t="str">
        <f>IF(E821="","",E821/MAX(E$5:E821)-1)</f>
        <v/>
      </c>
      <c r="H821" s="13" t="str">
        <f>IF(OR('实盘净值数据(iFinD）'!$A821="",'实盘净值数据(iFinD）'!$B821=""),"",分期持仓明细!$AB$19*SUMPRODUCT(分期持仓明细!$B$19:$Y$19,'实盘净值数据(iFinD）'!$B821:$Y821/'实盘净值数据(iFinD）'!$B$20:$Y$20)*(1-实盘持仓初始配置!$Z$6)^(('实盘净值数据(iFinD）'!$A821-'实盘净值数据(iFinD）'!$A$7)/365))</f>
        <v/>
      </c>
      <c r="I821" s="16" t="str">
        <f t="shared" si="74"/>
        <v/>
      </c>
      <c r="J821" s="16" t="str">
        <f>IF(H821="","",H821/MAX(H$5:H821)-1)</f>
        <v/>
      </c>
      <c r="K821" s="13" t="str">
        <f>IF(OR('实盘净值数据(iFinD）'!$A821="",'实盘净值数据(iFinD）'!$B821="",'实盘净值数据(iFinD）'!$Z821="",'实盘净值数据(iFinD）'!$AA821=""),"",分期持仓明细!$AB$23*(SUMPRODUCT(分期持仓明细!$B$23:$Y$23,'实盘净值数据(iFinD）'!$B821:$Y821/'实盘净值数据(iFinD）'!$B$65:$Y$65)+SUMPRODUCT(分期持仓明细!$AC$23:$AD$23,'实盘净值数据(iFinD）'!$Z821:$AA821/'实盘净值数据(iFinD）'!$Z$65:$AA$65))*(1-实盘持仓初始配置!$Z$7)^(('实盘净值数据(iFinD）'!$A821-'实盘净值数据(iFinD）'!$A$8)/365))</f>
        <v/>
      </c>
      <c r="L821" s="16" t="str">
        <f t="shared" si="75"/>
        <v/>
      </c>
      <c r="M821" s="16" t="str">
        <f>IF(K821="","",K821/MAX(K$5:K821)-1)</f>
        <v/>
      </c>
      <c r="N821" s="13" t="str">
        <f>IF(OR('实盘净值数据(iFinD）'!$A821="",'实盘净值数据(iFinD）'!$B821="",'实盘净值数据(iFinD）'!$Z821="",'实盘净值数据(iFinD）'!$AA821=""),"",分期持仓明细!$AB$24*(SUMPRODUCT(分期持仓明细!$B$24:$Y$24,'实盘净值数据(iFinD）'!$B821:$Y821/'实盘净值数据(iFinD）'!$B$65:$Y$65)+SUMPRODUCT(分期持仓明细!$AC$24:$AD$24,'实盘净值数据(iFinD）'!$Z821:$AA821/'实盘净值数据(iFinD）'!$Z$65:$AA$65))*(1-实盘持仓初始配置!$Z$8)^(('实盘净值数据(iFinD）'!$A821-'实盘净值数据(iFinD）'!$A$5)/365))</f>
        <v/>
      </c>
      <c r="O821" s="16" t="str">
        <f t="shared" si="76"/>
        <v/>
      </c>
      <c r="P821" s="16" t="str">
        <f>IF(N821="","",N821/MAX(N$5:N821)-1)</f>
        <v/>
      </c>
      <c r="Q821" s="13" t="str">
        <f>IF(OR('实盘净值数据(iFinD）'!$A821="",'实盘净值数据(iFinD）'!$B821="",'实盘净值数据(iFinD）'!$Z821="",'实盘净值数据(iFinD）'!$AA821=""),"",分期持仓明细!$AB$25*(SUMPRODUCT(分期持仓明细!$B$25:$Y$25,'实盘净值数据(iFinD）'!$B821:$Y821/'实盘净值数据(iFinD）'!$B$65:$Y$65)+SUMPRODUCT(分期持仓明细!$AC$25:$AD$25,'实盘净值数据(iFinD）'!$Z821:$AA821/'实盘净值数据(iFinD）'!$Z$65:$AA$65))*(1-实盘持仓初始配置!$Z$9)^(('实盘净值数据(iFinD）'!$A821-'实盘净值数据(iFinD）'!$A$8)/365))</f>
        <v/>
      </c>
      <c r="R821" s="16" t="str">
        <f t="shared" si="77"/>
        <v/>
      </c>
      <c r="S821" s="16" t="str">
        <f>IF(Q821="","",Q821/MAX(Q$5:Q821)-1)</f>
        <v/>
      </c>
    </row>
    <row r="822" spans="1:19">
      <c r="A822" s="15" t="str">
        <f>IF('实盘净值数据(iFinD）'!A822="","",'实盘净值数据(iFinD）'!A822)</f>
        <v/>
      </c>
      <c r="B822" s="13" t="str">
        <f>IF(OR('实盘净值数据(iFinD）'!$A822="",'实盘净值数据(iFinD）'!$B822=""),"",分期持仓明细!$AB$17*SUMPRODUCT(分期持仓明细!$B$17:$Y$17,'实盘净值数据(iFinD）'!$B822:$Y822/'实盘净值数据(iFinD）'!$B$20:$Y$20)*(1-实盘持仓初始配置!$Z$4)^(('实盘净值数据(iFinD）'!$A822-'实盘净值数据(iFinD）'!$A$6)/365))</f>
        <v/>
      </c>
      <c r="C822" s="16" t="str">
        <f t="shared" si="72"/>
        <v/>
      </c>
      <c r="D822" s="16" t="str">
        <f>IF(B822="","",B822/MAX(B$5:B822)-1)</f>
        <v/>
      </c>
      <c r="E822" s="13" t="str">
        <f>IF(OR('实盘净值数据(iFinD）'!$A822="",'实盘净值数据(iFinD）'!$B822=""),"",分期持仓明细!$AB$18*SUMPRODUCT(分期持仓明细!$B$18:$Y$18,'实盘净值数据(iFinD）'!$B822:$Y822/'实盘净值数据(iFinD）'!$B$20:$Y$20)*(1-实盘持仓初始配置!$Z$5)^(('实盘净值数据(iFinD）'!$A822-'实盘净值数据(iFinD）'!$A$5)/365))</f>
        <v/>
      </c>
      <c r="F822" s="16" t="str">
        <f t="shared" si="73"/>
        <v/>
      </c>
      <c r="G822" s="16" t="str">
        <f>IF(E822="","",E822/MAX(E$5:E822)-1)</f>
        <v/>
      </c>
      <c r="H822" s="13" t="str">
        <f>IF(OR('实盘净值数据(iFinD）'!$A822="",'实盘净值数据(iFinD）'!$B822=""),"",分期持仓明细!$AB$19*SUMPRODUCT(分期持仓明细!$B$19:$Y$19,'实盘净值数据(iFinD）'!$B822:$Y822/'实盘净值数据(iFinD）'!$B$20:$Y$20)*(1-实盘持仓初始配置!$Z$6)^(('实盘净值数据(iFinD）'!$A822-'实盘净值数据(iFinD）'!$A$7)/365))</f>
        <v/>
      </c>
      <c r="I822" s="16" t="str">
        <f t="shared" si="74"/>
        <v/>
      </c>
      <c r="J822" s="16" t="str">
        <f>IF(H822="","",H822/MAX(H$5:H822)-1)</f>
        <v/>
      </c>
      <c r="K822" s="13" t="str">
        <f>IF(OR('实盘净值数据(iFinD）'!$A822="",'实盘净值数据(iFinD）'!$B822="",'实盘净值数据(iFinD）'!$Z822="",'实盘净值数据(iFinD）'!$AA822=""),"",分期持仓明细!$AB$23*(SUMPRODUCT(分期持仓明细!$B$23:$Y$23,'实盘净值数据(iFinD）'!$B822:$Y822/'实盘净值数据(iFinD）'!$B$65:$Y$65)+SUMPRODUCT(分期持仓明细!$AC$23:$AD$23,'实盘净值数据(iFinD）'!$Z822:$AA822/'实盘净值数据(iFinD）'!$Z$65:$AA$65))*(1-实盘持仓初始配置!$Z$7)^(('实盘净值数据(iFinD）'!$A822-'实盘净值数据(iFinD）'!$A$8)/365))</f>
        <v/>
      </c>
      <c r="L822" s="16" t="str">
        <f t="shared" si="75"/>
        <v/>
      </c>
      <c r="M822" s="16" t="str">
        <f>IF(K822="","",K822/MAX(K$5:K822)-1)</f>
        <v/>
      </c>
      <c r="N822" s="13" t="str">
        <f>IF(OR('实盘净值数据(iFinD）'!$A822="",'实盘净值数据(iFinD）'!$B822="",'实盘净值数据(iFinD）'!$Z822="",'实盘净值数据(iFinD）'!$AA822=""),"",分期持仓明细!$AB$24*(SUMPRODUCT(分期持仓明细!$B$24:$Y$24,'实盘净值数据(iFinD）'!$B822:$Y822/'实盘净值数据(iFinD）'!$B$65:$Y$65)+SUMPRODUCT(分期持仓明细!$AC$24:$AD$24,'实盘净值数据(iFinD）'!$Z822:$AA822/'实盘净值数据(iFinD）'!$Z$65:$AA$65))*(1-实盘持仓初始配置!$Z$8)^(('实盘净值数据(iFinD）'!$A822-'实盘净值数据(iFinD）'!$A$5)/365))</f>
        <v/>
      </c>
      <c r="O822" s="16" t="str">
        <f t="shared" si="76"/>
        <v/>
      </c>
      <c r="P822" s="16" t="str">
        <f>IF(N822="","",N822/MAX(N$5:N822)-1)</f>
        <v/>
      </c>
      <c r="Q822" s="13" t="str">
        <f>IF(OR('实盘净值数据(iFinD）'!$A822="",'实盘净值数据(iFinD）'!$B822="",'实盘净值数据(iFinD）'!$Z822="",'实盘净值数据(iFinD）'!$AA822=""),"",分期持仓明细!$AB$25*(SUMPRODUCT(分期持仓明细!$B$25:$Y$25,'实盘净值数据(iFinD）'!$B822:$Y822/'实盘净值数据(iFinD）'!$B$65:$Y$65)+SUMPRODUCT(分期持仓明细!$AC$25:$AD$25,'实盘净值数据(iFinD）'!$Z822:$AA822/'实盘净值数据(iFinD）'!$Z$65:$AA$65))*(1-实盘持仓初始配置!$Z$9)^(('实盘净值数据(iFinD）'!$A822-'实盘净值数据(iFinD）'!$A$8)/365))</f>
        <v/>
      </c>
      <c r="R822" s="16" t="str">
        <f t="shared" si="77"/>
        <v/>
      </c>
      <c r="S822" s="16" t="str">
        <f>IF(Q822="","",Q822/MAX(Q$5:Q822)-1)</f>
        <v/>
      </c>
    </row>
    <row r="823" spans="1:19">
      <c r="A823" s="15" t="str">
        <f>IF('实盘净值数据(iFinD）'!A823="","",'实盘净值数据(iFinD）'!A823)</f>
        <v/>
      </c>
      <c r="B823" s="13" t="str">
        <f>IF(OR('实盘净值数据(iFinD）'!$A823="",'实盘净值数据(iFinD）'!$B823=""),"",分期持仓明细!$AB$17*SUMPRODUCT(分期持仓明细!$B$17:$Y$17,'实盘净值数据(iFinD）'!$B823:$Y823/'实盘净值数据(iFinD）'!$B$20:$Y$20)*(1-实盘持仓初始配置!$Z$4)^(('实盘净值数据(iFinD）'!$A823-'实盘净值数据(iFinD）'!$A$6)/365))</f>
        <v/>
      </c>
      <c r="C823" s="16" t="str">
        <f t="shared" si="72"/>
        <v/>
      </c>
      <c r="D823" s="16" t="str">
        <f>IF(B823="","",B823/MAX(B$5:B823)-1)</f>
        <v/>
      </c>
      <c r="E823" s="13" t="str">
        <f>IF(OR('实盘净值数据(iFinD）'!$A823="",'实盘净值数据(iFinD）'!$B823=""),"",分期持仓明细!$AB$18*SUMPRODUCT(分期持仓明细!$B$18:$Y$18,'实盘净值数据(iFinD）'!$B823:$Y823/'实盘净值数据(iFinD）'!$B$20:$Y$20)*(1-实盘持仓初始配置!$Z$5)^(('实盘净值数据(iFinD）'!$A823-'实盘净值数据(iFinD）'!$A$5)/365))</f>
        <v/>
      </c>
      <c r="F823" s="16" t="str">
        <f t="shared" si="73"/>
        <v/>
      </c>
      <c r="G823" s="16" t="str">
        <f>IF(E823="","",E823/MAX(E$5:E823)-1)</f>
        <v/>
      </c>
      <c r="H823" s="13" t="str">
        <f>IF(OR('实盘净值数据(iFinD）'!$A823="",'实盘净值数据(iFinD）'!$B823=""),"",分期持仓明细!$AB$19*SUMPRODUCT(分期持仓明细!$B$19:$Y$19,'实盘净值数据(iFinD）'!$B823:$Y823/'实盘净值数据(iFinD）'!$B$20:$Y$20)*(1-实盘持仓初始配置!$Z$6)^(('实盘净值数据(iFinD）'!$A823-'实盘净值数据(iFinD）'!$A$7)/365))</f>
        <v/>
      </c>
      <c r="I823" s="16" t="str">
        <f t="shared" si="74"/>
        <v/>
      </c>
      <c r="J823" s="16" t="str">
        <f>IF(H823="","",H823/MAX(H$5:H823)-1)</f>
        <v/>
      </c>
      <c r="K823" s="13" t="str">
        <f>IF(OR('实盘净值数据(iFinD）'!$A823="",'实盘净值数据(iFinD）'!$B823="",'实盘净值数据(iFinD）'!$Z823="",'实盘净值数据(iFinD）'!$AA823=""),"",分期持仓明细!$AB$23*(SUMPRODUCT(分期持仓明细!$B$23:$Y$23,'实盘净值数据(iFinD）'!$B823:$Y823/'实盘净值数据(iFinD）'!$B$65:$Y$65)+SUMPRODUCT(分期持仓明细!$AC$23:$AD$23,'实盘净值数据(iFinD）'!$Z823:$AA823/'实盘净值数据(iFinD）'!$Z$65:$AA$65))*(1-实盘持仓初始配置!$Z$7)^(('实盘净值数据(iFinD）'!$A823-'实盘净值数据(iFinD）'!$A$8)/365))</f>
        <v/>
      </c>
      <c r="L823" s="16" t="str">
        <f t="shared" si="75"/>
        <v/>
      </c>
      <c r="M823" s="16" t="str">
        <f>IF(K823="","",K823/MAX(K$5:K823)-1)</f>
        <v/>
      </c>
      <c r="N823" s="13" t="str">
        <f>IF(OR('实盘净值数据(iFinD）'!$A823="",'实盘净值数据(iFinD）'!$B823="",'实盘净值数据(iFinD）'!$Z823="",'实盘净值数据(iFinD）'!$AA823=""),"",分期持仓明细!$AB$24*(SUMPRODUCT(分期持仓明细!$B$24:$Y$24,'实盘净值数据(iFinD）'!$B823:$Y823/'实盘净值数据(iFinD）'!$B$65:$Y$65)+SUMPRODUCT(分期持仓明细!$AC$24:$AD$24,'实盘净值数据(iFinD）'!$Z823:$AA823/'实盘净值数据(iFinD）'!$Z$65:$AA$65))*(1-实盘持仓初始配置!$Z$8)^(('实盘净值数据(iFinD）'!$A823-'实盘净值数据(iFinD）'!$A$5)/365))</f>
        <v/>
      </c>
      <c r="O823" s="16" t="str">
        <f t="shared" si="76"/>
        <v/>
      </c>
      <c r="P823" s="16" t="str">
        <f>IF(N823="","",N823/MAX(N$5:N823)-1)</f>
        <v/>
      </c>
      <c r="Q823" s="13" t="str">
        <f>IF(OR('实盘净值数据(iFinD）'!$A823="",'实盘净值数据(iFinD）'!$B823="",'实盘净值数据(iFinD）'!$Z823="",'实盘净值数据(iFinD）'!$AA823=""),"",分期持仓明细!$AB$25*(SUMPRODUCT(分期持仓明细!$B$25:$Y$25,'实盘净值数据(iFinD）'!$B823:$Y823/'实盘净值数据(iFinD）'!$B$65:$Y$65)+SUMPRODUCT(分期持仓明细!$AC$25:$AD$25,'实盘净值数据(iFinD）'!$Z823:$AA823/'实盘净值数据(iFinD）'!$Z$65:$AA$65))*(1-实盘持仓初始配置!$Z$9)^(('实盘净值数据(iFinD）'!$A823-'实盘净值数据(iFinD）'!$A$8)/365))</f>
        <v/>
      </c>
      <c r="R823" s="16" t="str">
        <f t="shared" si="77"/>
        <v/>
      </c>
      <c r="S823" s="16" t="str">
        <f>IF(Q823="","",Q823/MAX(Q$5:Q823)-1)</f>
        <v/>
      </c>
    </row>
    <row r="824" spans="1:19">
      <c r="A824" s="15" t="str">
        <f>IF('实盘净值数据(iFinD）'!A824="","",'实盘净值数据(iFinD）'!A824)</f>
        <v/>
      </c>
      <c r="B824" s="13" t="str">
        <f>IF(OR('实盘净值数据(iFinD）'!$A824="",'实盘净值数据(iFinD）'!$B824=""),"",分期持仓明细!$AB$17*SUMPRODUCT(分期持仓明细!$B$17:$Y$17,'实盘净值数据(iFinD）'!$B824:$Y824/'实盘净值数据(iFinD）'!$B$20:$Y$20)*(1-实盘持仓初始配置!$Z$4)^(('实盘净值数据(iFinD）'!$A824-'实盘净值数据(iFinD）'!$A$6)/365))</f>
        <v/>
      </c>
      <c r="C824" s="16" t="str">
        <f t="shared" si="72"/>
        <v/>
      </c>
      <c r="D824" s="16" t="str">
        <f>IF(B824="","",B824/MAX(B$5:B824)-1)</f>
        <v/>
      </c>
      <c r="E824" s="13" t="str">
        <f>IF(OR('实盘净值数据(iFinD）'!$A824="",'实盘净值数据(iFinD）'!$B824=""),"",分期持仓明细!$AB$18*SUMPRODUCT(分期持仓明细!$B$18:$Y$18,'实盘净值数据(iFinD）'!$B824:$Y824/'实盘净值数据(iFinD）'!$B$20:$Y$20)*(1-实盘持仓初始配置!$Z$5)^(('实盘净值数据(iFinD）'!$A824-'实盘净值数据(iFinD）'!$A$5)/365))</f>
        <v/>
      </c>
      <c r="F824" s="16" t="str">
        <f t="shared" si="73"/>
        <v/>
      </c>
      <c r="G824" s="16" t="str">
        <f>IF(E824="","",E824/MAX(E$5:E824)-1)</f>
        <v/>
      </c>
      <c r="H824" s="13" t="str">
        <f>IF(OR('实盘净值数据(iFinD）'!$A824="",'实盘净值数据(iFinD）'!$B824=""),"",分期持仓明细!$AB$19*SUMPRODUCT(分期持仓明细!$B$19:$Y$19,'实盘净值数据(iFinD）'!$B824:$Y824/'实盘净值数据(iFinD）'!$B$20:$Y$20)*(1-实盘持仓初始配置!$Z$6)^(('实盘净值数据(iFinD）'!$A824-'实盘净值数据(iFinD）'!$A$7)/365))</f>
        <v/>
      </c>
      <c r="I824" s="16" t="str">
        <f t="shared" si="74"/>
        <v/>
      </c>
      <c r="J824" s="16" t="str">
        <f>IF(H824="","",H824/MAX(H$5:H824)-1)</f>
        <v/>
      </c>
      <c r="K824" s="13" t="str">
        <f>IF(OR('实盘净值数据(iFinD）'!$A824="",'实盘净值数据(iFinD）'!$B824="",'实盘净值数据(iFinD）'!$Z824="",'实盘净值数据(iFinD）'!$AA824=""),"",分期持仓明细!$AB$23*(SUMPRODUCT(分期持仓明细!$B$23:$Y$23,'实盘净值数据(iFinD）'!$B824:$Y824/'实盘净值数据(iFinD）'!$B$65:$Y$65)+SUMPRODUCT(分期持仓明细!$AC$23:$AD$23,'实盘净值数据(iFinD）'!$Z824:$AA824/'实盘净值数据(iFinD）'!$Z$65:$AA$65))*(1-实盘持仓初始配置!$Z$7)^(('实盘净值数据(iFinD）'!$A824-'实盘净值数据(iFinD）'!$A$8)/365))</f>
        <v/>
      </c>
      <c r="L824" s="16" t="str">
        <f t="shared" si="75"/>
        <v/>
      </c>
      <c r="M824" s="16" t="str">
        <f>IF(K824="","",K824/MAX(K$5:K824)-1)</f>
        <v/>
      </c>
      <c r="N824" s="13" t="str">
        <f>IF(OR('实盘净值数据(iFinD）'!$A824="",'实盘净值数据(iFinD）'!$B824="",'实盘净值数据(iFinD）'!$Z824="",'实盘净值数据(iFinD）'!$AA824=""),"",分期持仓明细!$AB$24*(SUMPRODUCT(分期持仓明细!$B$24:$Y$24,'实盘净值数据(iFinD）'!$B824:$Y824/'实盘净值数据(iFinD）'!$B$65:$Y$65)+SUMPRODUCT(分期持仓明细!$AC$24:$AD$24,'实盘净值数据(iFinD）'!$Z824:$AA824/'实盘净值数据(iFinD）'!$Z$65:$AA$65))*(1-实盘持仓初始配置!$Z$8)^(('实盘净值数据(iFinD）'!$A824-'实盘净值数据(iFinD）'!$A$5)/365))</f>
        <v/>
      </c>
      <c r="O824" s="16" t="str">
        <f t="shared" si="76"/>
        <v/>
      </c>
      <c r="P824" s="16" t="str">
        <f>IF(N824="","",N824/MAX(N$5:N824)-1)</f>
        <v/>
      </c>
      <c r="Q824" s="13" t="str">
        <f>IF(OR('实盘净值数据(iFinD）'!$A824="",'实盘净值数据(iFinD）'!$B824="",'实盘净值数据(iFinD）'!$Z824="",'实盘净值数据(iFinD）'!$AA824=""),"",分期持仓明细!$AB$25*(SUMPRODUCT(分期持仓明细!$B$25:$Y$25,'实盘净值数据(iFinD）'!$B824:$Y824/'实盘净值数据(iFinD）'!$B$65:$Y$65)+SUMPRODUCT(分期持仓明细!$AC$25:$AD$25,'实盘净值数据(iFinD）'!$Z824:$AA824/'实盘净值数据(iFinD）'!$Z$65:$AA$65))*(1-实盘持仓初始配置!$Z$9)^(('实盘净值数据(iFinD）'!$A824-'实盘净值数据(iFinD）'!$A$8)/365))</f>
        <v/>
      </c>
      <c r="R824" s="16" t="str">
        <f t="shared" si="77"/>
        <v/>
      </c>
      <c r="S824" s="16" t="str">
        <f>IF(Q824="","",Q824/MAX(Q$5:Q824)-1)</f>
        <v/>
      </c>
    </row>
    <row r="825" spans="1:19">
      <c r="A825" s="15" t="str">
        <f>IF('实盘净值数据(iFinD）'!A825="","",'实盘净值数据(iFinD）'!A825)</f>
        <v/>
      </c>
      <c r="B825" s="13" t="str">
        <f>IF(OR('实盘净值数据(iFinD）'!$A825="",'实盘净值数据(iFinD）'!$B825=""),"",分期持仓明细!$AB$17*SUMPRODUCT(分期持仓明细!$B$17:$Y$17,'实盘净值数据(iFinD）'!$B825:$Y825/'实盘净值数据(iFinD）'!$B$20:$Y$20)*(1-实盘持仓初始配置!$Z$4)^(('实盘净值数据(iFinD）'!$A825-'实盘净值数据(iFinD）'!$A$6)/365))</f>
        <v/>
      </c>
      <c r="C825" s="16" t="str">
        <f t="shared" si="72"/>
        <v/>
      </c>
      <c r="D825" s="16" t="str">
        <f>IF(B825="","",B825/MAX(B$5:B825)-1)</f>
        <v/>
      </c>
      <c r="E825" s="13" t="str">
        <f>IF(OR('实盘净值数据(iFinD）'!$A825="",'实盘净值数据(iFinD）'!$B825=""),"",分期持仓明细!$AB$18*SUMPRODUCT(分期持仓明细!$B$18:$Y$18,'实盘净值数据(iFinD）'!$B825:$Y825/'实盘净值数据(iFinD）'!$B$20:$Y$20)*(1-实盘持仓初始配置!$Z$5)^(('实盘净值数据(iFinD）'!$A825-'实盘净值数据(iFinD）'!$A$5)/365))</f>
        <v/>
      </c>
      <c r="F825" s="16" t="str">
        <f t="shared" si="73"/>
        <v/>
      </c>
      <c r="G825" s="16" t="str">
        <f>IF(E825="","",E825/MAX(E$5:E825)-1)</f>
        <v/>
      </c>
      <c r="H825" s="13" t="str">
        <f>IF(OR('实盘净值数据(iFinD）'!$A825="",'实盘净值数据(iFinD）'!$B825=""),"",分期持仓明细!$AB$19*SUMPRODUCT(分期持仓明细!$B$19:$Y$19,'实盘净值数据(iFinD）'!$B825:$Y825/'实盘净值数据(iFinD）'!$B$20:$Y$20)*(1-实盘持仓初始配置!$Z$6)^(('实盘净值数据(iFinD）'!$A825-'实盘净值数据(iFinD）'!$A$7)/365))</f>
        <v/>
      </c>
      <c r="I825" s="16" t="str">
        <f t="shared" si="74"/>
        <v/>
      </c>
      <c r="J825" s="16" t="str">
        <f>IF(H825="","",H825/MAX(H$5:H825)-1)</f>
        <v/>
      </c>
      <c r="K825" s="13" t="str">
        <f>IF(OR('实盘净值数据(iFinD）'!$A825="",'实盘净值数据(iFinD）'!$B825="",'实盘净值数据(iFinD）'!$Z825="",'实盘净值数据(iFinD）'!$AA825=""),"",分期持仓明细!$AB$23*(SUMPRODUCT(分期持仓明细!$B$23:$Y$23,'实盘净值数据(iFinD）'!$B825:$Y825/'实盘净值数据(iFinD）'!$B$65:$Y$65)+SUMPRODUCT(分期持仓明细!$AC$23:$AD$23,'实盘净值数据(iFinD）'!$Z825:$AA825/'实盘净值数据(iFinD）'!$Z$65:$AA$65))*(1-实盘持仓初始配置!$Z$7)^(('实盘净值数据(iFinD）'!$A825-'实盘净值数据(iFinD）'!$A$8)/365))</f>
        <v/>
      </c>
      <c r="L825" s="16" t="str">
        <f t="shared" si="75"/>
        <v/>
      </c>
      <c r="M825" s="16" t="str">
        <f>IF(K825="","",K825/MAX(K$5:K825)-1)</f>
        <v/>
      </c>
      <c r="N825" s="13" t="str">
        <f>IF(OR('实盘净值数据(iFinD）'!$A825="",'实盘净值数据(iFinD）'!$B825="",'实盘净值数据(iFinD）'!$Z825="",'实盘净值数据(iFinD）'!$AA825=""),"",分期持仓明细!$AB$24*(SUMPRODUCT(分期持仓明细!$B$24:$Y$24,'实盘净值数据(iFinD）'!$B825:$Y825/'实盘净值数据(iFinD）'!$B$65:$Y$65)+SUMPRODUCT(分期持仓明细!$AC$24:$AD$24,'实盘净值数据(iFinD）'!$Z825:$AA825/'实盘净值数据(iFinD）'!$Z$65:$AA$65))*(1-实盘持仓初始配置!$Z$8)^(('实盘净值数据(iFinD）'!$A825-'实盘净值数据(iFinD）'!$A$5)/365))</f>
        <v/>
      </c>
      <c r="O825" s="16" t="str">
        <f t="shared" si="76"/>
        <v/>
      </c>
      <c r="P825" s="16" t="str">
        <f>IF(N825="","",N825/MAX(N$5:N825)-1)</f>
        <v/>
      </c>
      <c r="Q825" s="13" t="str">
        <f>IF(OR('实盘净值数据(iFinD）'!$A825="",'实盘净值数据(iFinD）'!$B825="",'实盘净值数据(iFinD）'!$Z825="",'实盘净值数据(iFinD）'!$AA825=""),"",分期持仓明细!$AB$25*(SUMPRODUCT(分期持仓明细!$B$25:$Y$25,'实盘净值数据(iFinD）'!$B825:$Y825/'实盘净值数据(iFinD）'!$B$65:$Y$65)+SUMPRODUCT(分期持仓明细!$AC$25:$AD$25,'实盘净值数据(iFinD）'!$Z825:$AA825/'实盘净值数据(iFinD）'!$Z$65:$AA$65))*(1-实盘持仓初始配置!$Z$9)^(('实盘净值数据(iFinD）'!$A825-'实盘净值数据(iFinD）'!$A$8)/365))</f>
        <v/>
      </c>
      <c r="R825" s="16" t="str">
        <f t="shared" si="77"/>
        <v/>
      </c>
      <c r="S825" s="16" t="str">
        <f>IF(Q825="","",Q825/MAX(Q$5:Q825)-1)</f>
        <v/>
      </c>
    </row>
    <row r="826" spans="1:19">
      <c r="A826" s="15" t="str">
        <f>IF('实盘净值数据(iFinD）'!A826="","",'实盘净值数据(iFinD）'!A826)</f>
        <v/>
      </c>
      <c r="B826" s="13" t="str">
        <f>IF(OR('实盘净值数据(iFinD）'!$A826="",'实盘净值数据(iFinD）'!$B826=""),"",分期持仓明细!$AB$17*SUMPRODUCT(分期持仓明细!$B$17:$Y$17,'实盘净值数据(iFinD）'!$B826:$Y826/'实盘净值数据(iFinD）'!$B$20:$Y$20)*(1-实盘持仓初始配置!$Z$4)^(('实盘净值数据(iFinD）'!$A826-'实盘净值数据(iFinD）'!$A$6)/365))</f>
        <v/>
      </c>
      <c r="C826" s="16" t="str">
        <f t="shared" si="72"/>
        <v/>
      </c>
      <c r="D826" s="16" t="str">
        <f>IF(B826="","",B826/MAX(B$5:B826)-1)</f>
        <v/>
      </c>
      <c r="E826" s="13" t="str">
        <f>IF(OR('实盘净值数据(iFinD）'!$A826="",'实盘净值数据(iFinD）'!$B826=""),"",分期持仓明细!$AB$18*SUMPRODUCT(分期持仓明细!$B$18:$Y$18,'实盘净值数据(iFinD）'!$B826:$Y826/'实盘净值数据(iFinD）'!$B$20:$Y$20)*(1-实盘持仓初始配置!$Z$5)^(('实盘净值数据(iFinD）'!$A826-'实盘净值数据(iFinD）'!$A$5)/365))</f>
        <v/>
      </c>
      <c r="F826" s="16" t="str">
        <f t="shared" si="73"/>
        <v/>
      </c>
      <c r="G826" s="16" t="str">
        <f>IF(E826="","",E826/MAX(E$5:E826)-1)</f>
        <v/>
      </c>
      <c r="H826" s="13" t="str">
        <f>IF(OR('实盘净值数据(iFinD）'!$A826="",'实盘净值数据(iFinD）'!$B826=""),"",分期持仓明细!$AB$19*SUMPRODUCT(分期持仓明细!$B$19:$Y$19,'实盘净值数据(iFinD）'!$B826:$Y826/'实盘净值数据(iFinD）'!$B$20:$Y$20)*(1-实盘持仓初始配置!$Z$6)^(('实盘净值数据(iFinD）'!$A826-'实盘净值数据(iFinD）'!$A$7)/365))</f>
        <v/>
      </c>
      <c r="I826" s="16" t="str">
        <f t="shared" si="74"/>
        <v/>
      </c>
      <c r="J826" s="16" t="str">
        <f>IF(H826="","",H826/MAX(H$5:H826)-1)</f>
        <v/>
      </c>
      <c r="K826" s="13" t="str">
        <f>IF(OR('实盘净值数据(iFinD）'!$A826="",'实盘净值数据(iFinD）'!$B826="",'实盘净值数据(iFinD）'!$Z826="",'实盘净值数据(iFinD）'!$AA826=""),"",分期持仓明细!$AB$23*(SUMPRODUCT(分期持仓明细!$B$23:$Y$23,'实盘净值数据(iFinD）'!$B826:$Y826/'实盘净值数据(iFinD）'!$B$65:$Y$65)+SUMPRODUCT(分期持仓明细!$AC$23:$AD$23,'实盘净值数据(iFinD）'!$Z826:$AA826/'实盘净值数据(iFinD）'!$Z$65:$AA$65))*(1-实盘持仓初始配置!$Z$7)^(('实盘净值数据(iFinD）'!$A826-'实盘净值数据(iFinD）'!$A$8)/365))</f>
        <v/>
      </c>
      <c r="L826" s="16" t="str">
        <f t="shared" si="75"/>
        <v/>
      </c>
      <c r="M826" s="16" t="str">
        <f>IF(K826="","",K826/MAX(K$5:K826)-1)</f>
        <v/>
      </c>
      <c r="N826" s="13" t="str">
        <f>IF(OR('实盘净值数据(iFinD）'!$A826="",'实盘净值数据(iFinD）'!$B826="",'实盘净值数据(iFinD）'!$Z826="",'实盘净值数据(iFinD）'!$AA826=""),"",分期持仓明细!$AB$24*(SUMPRODUCT(分期持仓明细!$B$24:$Y$24,'实盘净值数据(iFinD）'!$B826:$Y826/'实盘净值数据(iFinD）'!$B$65:$Y$65)+SUMPRODUCT(分期持仓明细!$AC$24:$AD$24,'实盘净值数据(iFinD）'!$Z826:$AA826/'实盘净值数据(iFinD）'!$Z$65:$AA$65))*(1-实盘持仓初始配置!$Z$8)^(('实盘净值数据(iFinD）'!$A826-'实盘净值数据(iFinD）'!$A$5)/365))</f>
        <v/>
      </c>
      <c r="O826" s="16" t="str">
        <f t="shared" si="76"/>
        <v/>
      </c>
      <c r="P826" s="16" t="str">
        <f>IF(N826="","",N826/MAX(N$5:N826)-1)</f>
        <v/>
      </c>
      <c r="Q826" s="13" t="str">
        <f>IF(OR('实盘净值数据(iFinD）'!$A826="",'实盘净值数据(iFinD）'!$B826="",'实盘净值数据(iFinD）'!$Z826="",'实盘净值数据(iFinD）'!$AA826=""),"",分期持仓明细!$AB$25*(SUMPRODUCT(分期持仓明细!$B$25:$Y$25,'实盘净值数据(iFinD）'!$B826:$Y826/'实盘净值数据(iFinD）'!$B$65:$Y$65)+SUMPRODUCT(分期持仓明细!$AC$25:$AD$25,'实盘净值数据(iFinD）'!$Z826:$AA826/'实盘净值数据(iFinD）'!$Z$65:$AA$65))*(1-实盘持仓初始配置!$Z$9)^(('实盘净值数据(iFinD）'!$A826-'实盘净值数据(iFinD）'!$A$8)/365))</f>
        <v/>
      </c>
      <c r="R826" s="16" t="str">
        <f t="shared" si="77"/>
        <v/>
      </c>
      <c r="S826" s="16" t="str">
        <f>IF(Q826="","",Q826/MAX(Q$5:Q826)-1)</f>
        <v/>
      </c>
    </row>
    <row r="827" spans="1:19">
      <c r="A827" s="15" t="str">
        <f>IF('实盘净值数据(iFinD）'!A827="","",'实盘净值数据(iFinD）'!A827)</f>
        <v/>
      </c>
      <c r="B827" s="13" t="str">
        <f>IF(OR('实盘净值数据(iFinD）'!$A827="",'实盘净值数据(iFinD）'!$B827=""),"",分期持仓明细!$AB$17*SUMPRODUCT(分期持仓明细!$B$17:$Y$17,'实盘净值数据(iFinD）'!$B827:$Y827/'实盘净值数据(iFinD）'!$B$20:$Y$20)*(1-实盘持仓初始配置!$Z$4)^(('实盘净值数据(iFinD）'!$A827-'实盘净值数据(iFinD）'!$A$6)/365))</f>
        <v/>
      </c>
      <c r="C827" s="16" t="str">
        <f t="shared" si="72"/>
        <v/>
      </c>
      <c r="D827" s="16" t="str">
        <f>IF(B827="","",B827/MAX(B$5:B827)-1)</f>
        <v/>
      </c>
      <c r="E827" s="13" t="str">
        <f>IF(OR('实盘净值数据(iFinD）'!$A827="",'实盘净值数据(iFinD）'!$B827=""),"",分期持仓明细!$AB$18*SUMPRODUCT(分期持仓明细!$B$18:$Y$18,'实盘净值数据(iFinD）'!$B827:$Y827/'实盘净值数据(iFinD）'!$B$20:$Y$20)*(1-实盘持仓初始配置!$Z$5)^(('实盘净值数据(iFinD）'!$A827-'实盘净值数据(iFinD）'!$A$5)/365))</f>
        <v/>
      </c>
      <c r="F827" s="16" t="str">
        <f t="shared" si="73"/>
        <v/>
      </c>
      <c r="G827" s="16" t="str">
        <f>IF(E827="","",E827/MAX(E$5:E827)-1)</f>
        <v/>
      </c>
      <c r="H827" s="13" t="str">
        <f>IF(OR('实盘净值数据(iFinD）'!$A827="",'实盘净值数据(iFinD）'!$B827=""),"",分期持仓明细!$AB$19*SUMPRODUCT(分期持仓明细!$B$19:$Y$19,'实盘净值数据(iFinD）'!$B827:$Y827/'实盘净值数据(iFinD）'!$B$20:$Y$20)*(1-实盘持仓初始配置!$Z$6)^(('实盘净值数据(iFinD）'!$A827-'实盘净值数据(iFinD）'!$A$7)/365))</f>
        <v/>
      </c>
      <c r="I827" s="16" t="str">
        <f t="shared" si="74"/>
        <v/>
      </c>
      <c r="J827" s="16" t="str">
        <f>IF(H827="","",H827/MAX(H$5:H827)-1)</f>
        <v/>
      </c>
      <c r="K827" s="13" t="str">
        <f>IF(OR('实盘净值数据(iFinD）'!$A827="",'实盘净值数据(iFinD）'!$B827="",'实盘净值数据(iFinD）'!$Z827="",'实盘净值数据(iFinD）'!$AA827=""),"",分期持仓明细!$AB$23*(SUMPRODUCT(分期持仓明细!$B$23:$Y$23,'实盘净值数据(iFinD）'!$B827:$Y827/'实盘净值数据(iFinD）'!$B$65:$Y$65)+SUMPRODUCT(分期持仓明细!$AC$23:$AD$23,'实盘净值数据(iFinD）'!$Z827:$AA827/'实盘净值数据(iFinD）'!$Z$65:$AA$65))*(1-实盘持仓初始配置!$Z$7)^(('实盘净值数据(iFinD）'!$A827-'实盘净值数据(iFinD）'!$A$8)/365))</f>
        <v/>
      </c>
      <c r="L827" s="16" t="str">
        <f t="shared" si="75"/>
        <v/>
      </c>
      <c r="M827" s="16" t="str">
        <f>IF(K827="","",K827/MAX(K$5:K827)-1)</f>
        <v/>
      </c>
      <c r="N827" s="13" t="str">
        <f>IF(OR('实盘净值数据(iFinD）'!$A827="",'实盘净值数据(iFinD）'!$B827="",'实盘净值数据(iFinD）'!$Z827="",'实盘净值数据(iFinD）'!$AA827=""),"",分期持仓明细!$AB$24*(SUMPRODUCT(分期持仓明细!$B$24:$Y$24,'实盘净值数据(iFinD）'!$B827:$Y827/'实盘净值数据(iFinD）'!$B$65:$Y$65)+SUMPRODUCT(分期持仓明细!$AC$24:$AD$24,'实盘净值数据(iFinD）'!$Z827:$AA827/'实盘净值数据(iFinD）'!$Z$65:$AA$65))*(1-实盘持仓初始配置!$Z$8)^(('实盘净值数据(iFinD）'!$A827-'实盘净值数据(iFinD）'!$A$5)/365))</f>
        <v/>
      </c>
      <c r="O827" s="16" t="str">
        <f t="shared" si="76"/>
        <v/>
      </c>
      <c r="P827" s="16" t="str">
        <f>IF(N827="","",N827/MAX(N$5:N827)-1)</f>
        <v/>
      </c>
      <c r="Q827" s="13" t="str">
        <f>IF(OR('实盘净值数据(iFinD）'!$A827="",'实盘净值数据(iFinD）'!$B827="",'实盘净值数据(iFinD）'!$Z827="",'实盘净值数据(iFinD）'!$AA827=""),"",分期持仓明细!$AB$25*(SUMPRODUCT(分期持仓明细!$B$25:$Y$25,'实盘净值数据(iFinD）'!$B827:$Y827/'实盘净值数据(iFinD）'!$B$65:$Y$65)+SUMPRODUCT(分期持仓明细!$AC$25:$AD$25,'实盘净值数据(iFinD）'!$Z827:$AA827/'实盘净值数据(iFinD）'!$Z$65:$AA$65))*(1-实盘持仓初始配置!$Z$9)^(('实盘净值数据(iFinD）'!$A827-'实盘净值数据(iFinD）'!$A$8)/365))</f>
        <v/>
      </c>
      <c r="R827" s="16" t="str">
        <f t="shared" si="77"/>
        <v/>
      </c>
      <c r="S827" s="16" t="str">
        <f>IF(Q827="","",Q827/MAX(Q$5:Q827)-1)</f>
        <v/>
      </c>
    </row>
    <row r="828" spans="1:19">
      <c r="A828" s="15" t="str">
        <f>IF('实盘净值数据(iFinD）'!A828="","",'实盘净值数据(iFinD）'!A828)</f>
        <v/>
      </c>
      <c r="B828" s="13" t="str">
        <f>IF(OR('实盘净值数据(iFinD）'!$A828="",'实盘净值数据(iFinD）'!$B828=""),"",分期持仓明细!$AB$17*SUMPRODUCT(分期持仓明细!$B$17:$Y$17,'实盘净值数据(iFinD）'!$B828:$Y828/'实盘净值数据(iFinD）'!$B$20:$Y$20)*(1-实盘持仓初始配置!$Z$4)^(('实盘净值数据(iFinD）'!$A828-'实盘净值数据(iFinD）'!$A$6)/365))</f>
        <v/>
      </c>
      <c r="C828" s="16" t="str">
        <f t="shared" ref="C828:C891" si="78">IF(OR(B827="",B828=""),"",B828/B827-1)</f>
        <v/>
      </c>
      <c r="D828" s="16" t="str">
        <f>IF(B828="","",B828/MAX(B$5:B828)-1)</f>
        <v/>
      </c>
      <c r="E828" s="13" t="str">
        <f>IF(OR('实盘净值数据(iFinD）'!$A828="",'实盘净值数据(iFinD）'!$B828=""),"",分期持仓明细!$AB$18*SUMPRODUCT(分期持仓明细!$B$18:$Y$18,'实盘净值数据(iFinD）'!$B828:$Y828/'实盘净值数据(iFinD）'!$B$20:$Y$20)*(1-实盘持仓初始配置!$Z$5)^(('实盘净值数据(iFinD）'!$A828-'实盘净值数据(iFinD）'!$A$5)/365))</f>
        <v/>
      </c>
      <c r="F828" s="16" t="str">
        <f t="shared" ref="F828:F891" si="79">IF(OR(E827="",E828=""),"",E828/E827-1)</f>
        <v/>
      </c>
      <c r="G828" s="16" t="str">
        <f>IF(E828="","",E828/MAX(E$5:E828)-1)</f>
        <v/>
      </c>
      <c r="H828" s="13" t="str">
        <f>IF(OR('实盘净值数据(iFinD）'!$A828="",'实盘净值数据(iFinD）'!$B828=""),"",分期持仓明细!$AB$19*SUMPRODUCT(分期持仓明细!$B$19:$Y$19,'实盘净值数据(iFinD）'!$B828:$Y828/'实盘净值数据(iFinD）'!$B$20:$Y$20)*(1-实盘持仓初始配置!$Z$6)^(('实盘净值数据(iFinD）'!$A828-'实盘净值数据(iFinD）'!$A$7)/365))</f>
        <v/>
      </c>
      <c r="I828" s="16" t="str">
        <f t="shared" ref="I828:I891" si="80">IF(OR(H827="",H828=""),"",H828/H827-1)</f>
        <v/>
      </c>
      <c r="J828" s="16" t="str">
        <f>IF(H828="","",H828/MAX(H$5:H828)-1)</f>
        <v/>
      </c>
      <c r="K828" s="13" t="str">
        <f>IF(OR('实盘净值数据(iFinD）'!$A828="",'实盘净值数据(iFinD）'!$B828="",'实盘净值数据(iFinD）'!$Z828="",'实盘净值数据(iFinD）'!$AA828=""),"",分期持仓明细!$AB$23*(SUMPRODUCT(分期持仓明细!$B$23:$Y$23,'实盘净值数据(iFinD）'!$B828:$Y828/'实盘净值数据(iFinD）'!$B$65:$Y$65)+SUMPRODUCT(分期持仓明细!$AC$23:$AD$23,'实盘净值数据(iFinD）'!$Z828:$AA828/'实盘净值数据(iFinD）'!$Z$65:$AA$65))*(1-实盘持仓初始配置!$Z$7)^(('实盘净值数据(iFinD）'!$A828-'实盘净值数据(iFinD）'!$A$8)/365))</f>
        <v/>
      </c>
      <c r="L828" s="16" t="str">
        <f t="shared" ref="L828:L891" si="81">IF(OR(K827="",K828=""),"",K828/K827-1)</f>
        <v/>
      </c>
      <c r="M828" s="16" t="str">
        <f>IF(K828="","",K828/MAX(K$5:K828)-1)</f>
        <v/>
      </c>
      <c r="N828" s="13" t="str">
        <f>IF(OR('实盘净值数据(iFinD）'!$A828="",'实盘净值数据(iFinD）'!$B828="",'实盘净值数据(iFinD）'!$Z828="",'实盘净值数据(iFinD）'!$AA828=""),"",分期持仓明细!$AB$24*(SUMPRODUCT(分期持仓明细!$B$24:$Y$24,'实盘净值数据(iFinD）'!$B828:$Y828/'实盘净值数据(iFinD）'!$B$65:$Y$65)+SUMPRODUCT(分期持仓明细!$AC$24:$AD$24,'实盘净值数据(iFinD）'!$Z828:$AA828/'实盘净值数据(iFinD）'!$Z$65:$AA$65))*(1-实盘持仓初始配置!$Z$8)^(('实盘净值数据(iFinD）'!$A828-'实盘净值数据(iFinD）'!$A$5)/365))</f>
        <v/>
      </c>
      <c r="O828" s="16" t="str">
        <f t="shared" ref="O828:O891" si="82">IF(OR(N827="",N828=""),"",N828/N827-1)</f>
        <v/>
      </c>
      <c r="P828" s="16" t="str">
        <f>IF(N828="","",N828/MAX(N$5:N828)-1)</f>
        <v/>
      </c>
      <c r="Q828" s="13" t="str">
        <f>IF(OR('实盘净值数据(iFinD）'!$A828="",'实盘净值数据(iFinD）'!$B828="",'实盘净值数据(iFinD）'!$Z828="",'实盘净值数据(iFinD）'!$AA828=""),"",分期持仓明细!$AB$25*(SUMPRODUCT(分期持仓明细!$B$25:$Y$25,'实盘净值数据(iFinD）'!$B828:$Y828/'实盘净值数据(iFinD）'!$B$65:$Y$65)+SUMPRODUCT(分期持仓明细!$AC$25:$AD$25,'实盘净值数据(iFinD）'!$Z828:$AA828/'实盘净值数据(iFinD）'!$Z$65:$AA$65))*(1-实盘持仓初始配置!$Z$9)^(('实盘净值数据(iFinD）'!$A828-'实盘净值数据(iFinD）'!$A$8)/365))</f>
        <v/>
      </c>
      <c r="R828" s="16" t="str">
        <f t="shared" ref="R828:R891" si="83">IF(OR(Q827="",Q828=""),"",Q828/Q827-1)</f>
        <v/>
      </c>
      <c r="S828" s="16" t="str">
        <f>IF(Q828="","",Q828/MAX(Q$5:Q828)-1)</f>
        <v/>
      </c>
    </row>
    <row r="829" spans="1:19">
      <c r="A829" s="15" t="str">
        <f>IF('实盘净值数据(iFinD）'!A829="","",'实盘净值数据(iFinD）'!A829)</f>
        <v/>
      </c>
      <c r="B829" s="13" t="str">
        <f>IF(OR('实盘净值数据(iFinD）'!$A829="",'实盘净值数据(iFinD）'!$B829=""),"",分期持仓明细!$AB$17*SUMPRODUCT(分期持仓明细!$B$17:$Y$17,'实盘净值数据(iFinD）'!$B829:$Y829/'实盘净值数据(iFinD）'!$B$20:$Y$20)*(1-实盘持仓初始配置!$Z$4)^(('实盘净值数据(iFinD）'!$A829-'实盘净值数据(iFinD）'!$A$6)/365))</f>
        <v/>
      </c>
      <c r="C829" s="16" t="str">
        <f t="shared" si="78"/>
        <v/>
      </c>
      <c r="D829" s="16" t="str">
        <f>IF(B829="","",B829/MAX(B$5:B829)-1)</f>
        <v/>
      </c>
      <c r="E829" s="13" t="str">
        <f>IF(OR('实盘净值数据(iFinD）'!$A829="",'实盘净值数据(iFinD）'!$B829=""),"",分期持仓明细!$AB$18*SUMPRODUCT(分期持仓明细!$B$18:$Y$18,'实盘净值数据(iFinD）'!$B829:$Y829/'实盘净值数据(iFinD）'!$B$20:$Y$20)*(1-实盘持仓初始配置!$Z$5)^(('实盘净值数据(iFinD）'!$A829-'实盘净值数据(iFinD）'!$A$5)/365))</f>
        <v/>
      </c>
      <c r="F829" s="16" t="str">
        <f t="shared" si="79"/>
        <v/>
      </c>
      <c r="G829" s="16" t="str">
        <f>IF(E829="","",E829/MAX(E$5:E829)-1)</f>
        <v/>
      </c>
      <c r="H829" s="13" t="str">
        <f>IF(OR('实盘净值数据(iFinD）'!$A829="",'实盘净值数据(iFinD）'!$B829=""),"",分期持仓明细!$AB$19*SUMPRODUCT(分期持仓明细!$B$19:$Y$19,'实盘净值数据(iFinD）'!$B829:$Y829/'实盘净值数据(iFinD）'!$B$20:$Y$20)*(1-实盘持仓初始配置!$Z$6)^(('实盘净值数据(iFinD）'!$A829-'实盘净值数据(iFinD）'!$A$7)/365))</f>
        <v/>
      </c>
      <c r="I829" s="16" t="str">
        <f t="shared" si="80"/>
        <v/>
      </c>
      <c r="J829" s="16" t="str">
        <f>IF(H829="","",H829/MAX(H$5:H829)-1)</f>
        <v/>
      </c>
      <c r="K829" s="13" t="str">
        <f>IF(OR('实盘净值数据(iFinD）'!$A829="",'实盘净值数据(iFinD）'!$B829="",'实盘净值数据(iFinD）'!$Z829="",'实盘净值数据(iFinD）'!$AA829=""),"",分期持仓明细!$AB$23*(SUMPRODUCT(分期持仓明细!$B$23:$Y$23,'实盘净值数据(iFinD）'!$B829:$Y829/'实盘净值数据(iFinD）'!$B$65:$Y$65)+SUMPRODUCT(分期持仓明细!$AC$23:$AD$23,'实盘净值数据(iFinD）'!$Z829:$AA829/'实盘净值数据(iFinD）'!$Z$65:$AA$65))*(1-实盘持仓初始配置!$Z$7)^(('实盘净值数据(iFinD）'!$A829-'实盘净值数据(iFinD）'!$A$8)/365))</f>
        <v/>
      </c>
      <c r="L829" s="16" t="str">
        <f t="shared" si="81"/>
        <v/>
      </c>
      <c r="M829" s="16" t="str">
        <f>IF(K829="","",K829/MAX(K$5:K829)-1)</f>
        <v/>
      </c>
      <c r="N829" s="13" t="str">
        <f>IF(OR('实盘净值数据(iFinD）'!$A829="",'实盘净值数据(iFinD）'!$B829="",'实盘净值数据(iFinD）'!$Z829="",'实盘净值数据(iFinD）'!$AA829=""),"",分期持仓明细!$AB$24*(SUMPRODUCT(分期持仓明细!$B$24:$Y$24,'实盘净值数据(iFinD）'!$B829:$Y829/'实盘净值数据(iFinD）'!$B$65:$Y$65)+SUMPRODUCT(分期持仓明细!$AC$24:$AD$24,'实盘净值数据(iFinD）'!$Z829:$AA829/'实盘净值数据(iFinD）'!$Z$65:$AA$65))*(1-实盘持仓初始配置!$Z$8)^(('实盘净值数据(iFinD）'!$A829-'实盘净值数据(iFinD）'!$A$5)/365))</f>
        <v/>
      </c>
      <c r="O829" s="16" t="str">
        <f t="shared" si="82"/>
        <v/>
      </c>
      <c r="P829" s="16" t="str">
        <f>IF(N829="","",N829/MAX(N$5:N829)-1)</f>
        <v/>
      </c>
      <c r="Q829" s="13" t="str">
        <f>IF(OR('实盘净值数据(iFinD）'!$A829="",'实盘净值数据(iFinD）'!$B829="",'实盘净值数据(iFinD）'!$Z829="",'实盘净值数据(iFinD）'!$AA829=""),"",分期持仓明细!$AB$25*(SUMPRODUCT(分期持仓明细!$B$25:$Y$25,'实盘净值数据(iFinD）'!$B829:$Y829/'实盘净值数据(iFinD）'!$B$65:$Y$65)+SUMPRODUCT(分期持仓明细!$AC$25:$AD$25,'实盘净值数据(iFinD）'!$Z829:$AA829/'实盘净值数据(iFinD）'!$Z$65:$AA$65))*(1-实盘持仓初始配置!$Z$9)^(('实盘净值数据(iFinD）'!$A829-'实盘净值数据(iFinD）'!$A$8)/365))</f>
        <v/>
      </c>
      <c r="R829" s="16" t="str">
        <f t="shared" si="83"/>
        <v/>
      </c>
      <c r="S829" s="16" t="str">
        <f>IF(Q829="","",Q829/MAX(Q$5:Q829)-1)</f>
        <v/>
      </c>
    </row>
    <row r="830" spans="1:19">
      <c r="A830" s="15" t="str">
        <f>IF('实盘净值数据(iFinD）'!A830="","",'实盘净值数据(iFinD）'!A830)</f>
        <v/>
      </c>
      <c r="B830" s="13" t="str">
        <f>IF(OR('实盘净值数据(iFinD）'!$A830="",'实盘净值数据(iFinD）'!$B830=""),"",分期持仓明细!$AB$17*SUMPRODUCT(分期持仓明细!$B$17:$Y$17,'实盘净值数据(iFinD）'!$B830:$Y830/'实盘净值数据(iFinD）'!$B$20:$Y$20)*(1-实盘持仓初始配置!$Z$4)^(('实盘净值数据(iFinD）'!$A830-'实盘净值数据(iFinD）'!$A$6)/365))</f>
        <v/>
      </c>
      <c r="C830" s="16" t="str">
        <f t="shared" si="78"/>
        <v/>
      </c>
      <c r="D830" s="16" t="str">
        <f>IF(B830="","",B830/MAX(B$5:B830)-1)</f>
        <v/>
      </c>
      <c r="E830" s="13" t="str">
        <f>IF(OR('实盘净值数据(iFinD）'!$A830="",'实盘净值数据(iFinD）'!$B830=""),"",分期持仓明细!$AB$18*SUMPRODUCT(分期持仓明细!$B$18:$Y$18,'实盘净值数据(iFinD）'!$B830:$Y830/'实盘净值数据(iFinD）'!$B$20:$Y$20)*(1-实盘持仓初始配置!$Z$5)^(('实盘净值数据(iFinD）'!$A830-'实盘净值数据(iFinD）'!$A$5)/365))</f>
        <v/>
      </c>
      <c r="F830" s="16" t="str">
        <f t="shared" si="79"/>
        <v/>
      </c>
      <c r="G830" s="16" t="str">
        <f>IF(E830="","",E830/MAX(E$5:E830)-1)</f>
        <v/>
      </c>
      <c r="H830" s="13" t="str">
        <f>IF(OR('实盘净值数据(iFinD）'!$A830="",'实盘净值数据(iFinD）'!$B830=""),"",分期持仓明细!$AB$19*SUMPRODUCT(分期持仓明细!$B$19:$Y$19,'实盘净值数据(iFinD）'!$B830:$Y830/'实盘净值数据(iFinD）'!$B$20:$Y$20)*(1-实盘持仓初始配置!$Z$6)^(('实盘净值数据(iFinD）'!$A830-'实盘净值数据(iFinD）'!$A$7)/365))</f>
        <v/>
      </c>
      <c r="I830" s="16" t="str">
        <f t="shared" si="80"/>
        <v/>
      </c>
      <c r="J830" s="16" t="str">
        <f>IF(H830="","",H830/MAX(H$5:H830)-1)</f>
        <v/>
      </c>
      <c r="K830" s="13" t="str">
        <f>IF(OR('实盘净值数据(iFinD）'!$A830="",'实盘净值数据(iFinD）'!$B830="",'实盘净值数据(iFinD）'!$Z830="",'实盘净值数据(iFinD）'!$AA830=""),"",分期持仓明细!$AB$23*(SUMPRODUCT(分期持仓明细!$B$23:$Y$23,'实盘净值数据(iFinD）'!$B830:$Y830/'实盘净值数据(iFinD）'!$B$65:$Y$65)+SUMPRODUCT(分期持仓明细!$AC$23:$AD$23,'实盘净值数据(iFinD）'!$Z830:$AA830/'实盘净值数据(iFinD）'!$Z$65:$AA$65))*(1-实盘持仓初始配置!$Z$7)^(('实盘净值数据(iFinD）'!$A830-'实盘净值数据(iFinD）'!$A$8)/365))</f>
        <v/>
      </c>
      <c r="L830" s="16" t="str">
        <f t="shared" si="81"/>
        <v/>
      </c>
      <c r="M830" s="16" t="str">
        <f>IF(K830="","",K830/MAX(K$5:K830)-1)</f>
        <v/>
      </c>
      <c r="N830" s="13" t="str">
        <f>IF(OR('实盘净值数据(iFinD）'!$A830="",'实盘净值数据(iFinD）'!$B830="",'实盘净值数据(iFinD）'!$Z830="",'实盘净值数据(iFinD）'!$AA830=""),"",分期持仓明细!$AB$24*(SUMPRODUCT(分期持仓明细!$B$24:$Y$24,'实盘净值数据(iFinD）'!$B830:$Y830/'实盘净值数据(iFinD）'!$B$65:$Y$65)+SUMPRODUCT(分期持仓明细!$AC$24:$AD$24,'实盘净值数据(iFinD）'!$Z830:$AA830/'实盘净值数据(iFinD）'!$Z$65:$AA$65))*(1-实盘持仓初始配置!$Z$8)^(('实盘净值数据(iFinD）'!$A830-'实盘净值数据(iFinD）'!$A$5)/365))</f>
        <v/>
      </c>
      <c r="O830" s="16" t="str">
        <f t="shared" si="82"/>
        <v/>
      </c>
      <c r="P830" s="16" t="str">
        <f>IF(N830="","",N830/MAX(N$5:N830)-1)</f>
        <v/>
      </c>
      <c r="Q830" s="13" t="str">
        <f>IF(OR('实盘净值数据(iFinD）'!$A830="",'实盘净值数据(iFinD）'!$B830="",'实盘净值数据(iFinD）'!$Z830="",'实盘净值数据(iFinD）'!$AA830=""),"",分期持仓明细!$AB$25*(SUMPRODUCT(分期持仓明细!$B$25:$Y$25,'实盘净值数据(iFinD）'!$B830:$Y830/'实盘净值数据(iFinD）'!$B$65:$Y$65)+SUMPRODUCT(分期持仓明细!$AC$25:$AD$25,'实盘净值数据(iFinD）'!$Z830:$AA830/'实盘净值数据(iFinD）'!$Z$65:$AA$65))*(1-实盘持仓初始配置!$Z$9)^(('实盘净值数据(iFinD）'!$A830-'实盘净值数据(iFinD）'!$A$8)/365))</f>
        <v/>
      </c>
      <c r="R830" s="16" t="str">
        <f t="shared" si="83"/>
        <v/>
      </c>
      <c r="S830" s="16" t="str">
        <f>IF(Q830="","",Q830/MAX(Q$5:Q830)-1)</f>
        <v/>
      </c>
    </row>
    <row r="831" spans="1:19">
      <c r="A831" s="15" t="str">
        <f>IF('实盘净值数据(iFinD）'!A831="","",'实盘净值数据(iFinD）'!A831)</f>
        <v/>
      </c>
      <c r="B831" s="13" t="str">
        <f>IF(OR('实盘净值数据(iFinD）'!$A831="",'实盘净值数据(iFinD）'!$B831=""),"",分期持仓明细!$AB$17*SUMPRODUCT(分期持仓明细!$B$17:$Y$17,'实盘净值数据(iFinD）'!$B831:$Y831/'实盘净值数据(iFinD）'!$B$20:$Y$20)*(1-实盘持仓初始配置!$Z$4)^(('实盘净值数据(iFinD）'!$A831-'实盘净值数据(iFinD）'!$A$6)/365))</f>
        <v/>
      </c>
      <c r="C831" s="16" t="str">
        <f t="shared" si="78"/>
        <v/>
      </c>
      <c r="D831" s="16" t="str">
        <f>IF(B831="","",B831/MAX(B$5:B831)-1)</f>
        <v/>
      </c>
      <c r="E831" s="13" t="str">
        <f>IF(OR('实盘净值数据(iFinD）'!$A831="",'实盘净值数据(iFinD）'!$B831=""),"",分期持仓明细!$AB$18*SUMPRODUCT(分期持仓明细!$B$18:$Y$18,'实盘净值数据(iFinD）'!$B831:$Y831/'实盘净值数据(iFinD）'!$B$20:$Y$20)*(1-实盘持仓初始配置!$Z$5)^(('实盘净值数据(iFinD）'!$A831-'实盘净值数据(iFinD）'!$A$5)/365))</f>
        <v/>
      </c>
      <c r="F831" s="16" t="str">
        <f t="shared" si="79"/>
        <v/>
      </c>
      <c r="G831" s="16" t="str">
        <f>IF(E831="","",E831/MAX(E$5:E831)-1)</f>
        <v/>
      </c>
      <c r="H831" s="13" t="str">
        <f>IF(OR('实盘净值数据(iFinD）'!$A831="",'实盘净值数据(iFinD）'!$B831=""),"",分期持仓明细!$AB$19*SUMPRODUCT(分期持仓明细!$B$19:$Y$19,'实盘净值数据(iFinD）'!$B831:$Y831/'实盘净值数据(iFinD）'!$B$20:$Y$20)*(1-实盘持仓初始配置!$Z$6)^(('实盘净值数据(iFinD）'!$A831-'实盘净值数据(iFinD）'!$A$7)/365))</f>
        <v/>
      </c>
      <c r="I831" s="16" t="str">
        <f t="shared" si="80"/>
        <v/>
      </c>
      <c r="J831" s="16" t="str">
        <f>IF(H831="","",H831/MAX(H$5:H831)-1)</f>
        <v/>
      </c>
      <c r="K831" s="13" t="str">
        <f>IF(OR('实盘净值数据(iFinD）'!$A831="",'实盘净值数据(iFinD）'!$B831="",'实盘净值数据(iFinD）'!$Z831="",'实盘净值数据(iFinD）'!$AA831=""),"",分期持仓明细!$AB$23*(SUMPRODUCT(分期持仓明细!$B$23:$Y$23,'实盘净值数据(iFinD）'!$B831:$Y831/'实盘净值数据(iFinD）'!$B$65:$Y$65)+SUMPRODUCT(分期持仓明细!$AC$23:$AD$23,'实盘净值数据(iFinD）'!$Z831:$AA831/'实盘净值数据(iFinD）'!$Z$65:$AA$65))*(1-实盘持仓初始配置!$Z$7)^(('实盘净值数据(iFinD）'!$A831-'实盘净值数据(iFinD）'!$A$8)/365))</f>
        <v/>
      </c>
      <c r="L831" s="16" t="str">
        <f t="shared" si="81"/>
        <v/>
      </c>
      <c r="M831" s="16" t="str">
        <f>IF(K831="","",K831/MAX(K$5:K831)-1)</f>
        <v/>
      </c>
      <c r="N831" s="13" t="str">
        <f>IF(OR('实盘净值数据(iFinD）'!$A831="",'实盘净值数据(iFinD）'!$B831="",'实盘净值数据(iFinD）'!$Z831="",'实盘净值数据(iFinD）'!$AA831=""),"",分期持仓明细!$AB$24*(SUMPRODUCT(分期持仓明细!$B$24:$Y$24,'实盘净值数据(iFinD）'!$B831:$Y831/'实盘净值数据(iFinD）'!$B$65:$Y$65)+SUMPRODUCT(分期持仓明细!$AC$24:$AD$24,'实盘净值数据(iFinD）'!$Z831:$AA831/'实盘净值数据(iFinD）'!$Z$65:$AA$65))*(1-实盘持仓初始配置!$Z$8)^(('实盘净值数据(iFinD）'!$A831-'实盘净值数据(iFinD）'!$A$5)/365))</f>
        <v/>
      </c>
      <c r="O831" s="16" t="str">
        <f t="shared" si="82"/>
        <v/>
      </c>
      <c r="P831" s="16" t="str">
        <f>IF(N831="","",N831/MAX(N$5:N831)-1)</f>
        <v/>
      </c>
      <c r="Q831" s="13" t="str">
        <f>IF(OR('实盘净值数据(iFinD）'!$A831="",'实盘净值数据(iFinD）'!$B831="",'实盘净值数据(iFinD）'!$Z831="",'实盘净值数据(iFinD）'!$AA831=""),"",分期持仓明细!$AB$25*(SUMPRODUCT(分期持仓明细!$B$25:$Y$25,'实盘净值数据(iFinD）'!$B831:$Y831/'实盘净值数据(iFinD）'!$B$65:$Y$65)+SUMPRODUCT(分期持仓明细!$AC$25:$AD$25,'实盘净值数据(iFinD）'!$Z831:$AA831/'实盘净值数据(iFinD）'!$Z$65:$AA$65))*(1-实盘持仓初始配置!$Z$9)^(('实盘净值数据(iFinD）'!$A831-'实盘净值数据(iFinD）'!$A$8)/365))</f>
        <v/>
      </c>
      <c r="R831" s="16" t="str">
        <f t="shared" si="83"/>
        <v/>
      </c>
      <c r="S831" s="16" t="str">
        <f>IF(Q831="","",Q831/MAX(Q$5:Q831)-1)</f>
        <v/>
      </c>
    </row>
    <row r="832" spans="1:19">
      <c r="A832" s="15" t="str">
        <f>IF('实盘净值数据(iFinD）'!A832="","",'实盘净值数据(iFinD）'!A832)</f>
        <v/>
      </c>
      <c r="B832" s="13" t="str">
        <f>IF(OR('实盘净值数据(iFinD）'!$A832="",'实盘净值数据(iFinD）'!$B832=""),"",分期持仓明细!$AB$17*SUMPRODUCT(分期持仓明细!$B$17:$Y$17,'实盘净值数据(iFinD）'!$B832:$Y832/'实盘净值数据(iFinD）'!$B$20:$Y$20)*(1-实盘持仓初始配置!$Z$4)^(('实盘净值数据(iFinD）'!$A832-'实盘净值数据(iFinD）'!$A$6)/365))</f>
        <v/>
      </c>
      <c r="C832" s="16" t="str">
        <f t="shared" si="78"/>
        <v/>
      </c>
      <c r="D832" s="16" t="str">
        <f>IF(B832="","",B832/MAX(B$5:B832)-1)</f>
        <v/>
      </c>
      <c r="E832" s="13" t="str">
        <f>IF(OR('实盘净值数据(iFinD）'!$A832="",'实盘净值数据(iFinD）'!$B832=""),"",分期持仓明细!$AB$18*SUMPRODUCT(分期持仓明细!$B$18:$Y$18,'实盘净值数据(iFinD）'!$B832:$Y832/'实盘净值数据(iFinD）'!$B$20:$Y$20)*(1-实盘持仓初始配置!$Z$5)^(('实盘净值数据(iFinD）'!$A832-'实盘净值数据(iFinD）'!$A$5)/365))</f>
        <v/>
      </c>
      <c r="F832" s="16" t="str">
        <f t="shared" si="79"/>
        <v/>
      </c>
      <c r="G832" s="16" t="str">
        <f>IF(E832="","",E832/MAX(E$5:E832)-1)</f>
        <v/>
      </c>
      <c r="H832" s="13" t="str">
        <f>IF(OR('实盘净值数据(iFinD）'!$A832="",'实盘净值数据(iFinD）'!$B832=""),"",分期持仓明细!$AB$19*SUMPRODUCT(分期持仓明细!$B$19:$Y$19,'实盘净值数据(iFinD）'!$B832:$Y832/'实盘净值数据(iFinD）'!$B$20:$Y$20)*(1-实盘持仓初始配置!$Z$6)^(('实盘净值数据(iFinD）'!$A832-'实盘净值数据(iFinD）'!$A$7)/365))</f>
        <v/>
      </c>
      <c r="I832" s="16" t="str">
        <f t="shared" si="80"/>
        <v/>
      </c>
      <c r="J832" s="16" t="str">
        <f>IF(H832="","",H832/MAX(H$5:H832)-1)</f>
        <v/>
      </c>
      <c r="K832" s="13" t="str">
        <f>IF(OR('实盘净值数据(iFinD）'!$A832="",'实盘净值数据(iFinD）'!$B832="",'实盘净值数据(iFinD）'!$Z832="",'实盘净值数据(iFinD）'!$AA832=""),"",分期持仓明细!$AB$23*(SUMPRODUCT(分期持仓明细!$B$23:$Y$23,'实盘净值数据(iFinD）'!$B832:$Y832/'实盘净值数据(iFinD）'!$B$65:$Y$65)+SUMPRODUCT(分期持仓明细!$AC$23:$AD$23,'实盘净值数据(iFinD）'!$Z832:$AA832/'实盘净值数据(iFinD）'!$Z$65:$AA$65))*(1-实盘持仓初始配置!$Z$7)^(('实盘净值数据(iFinD）'!$A832-'实盘净值数据(iFinD）'!$A$8)/365))</f>
        <v/>
      </c>
      <c r="L832" s="16" t="str">
        <f t="shared" si="81"/>
        <v/>
      </c>
      <c r="M832" s="16" t="str">
        <f>IF(K832="","",K832/MAX(K$5:K832)-1)</f>
        <v/>
      </c>
      <c r="N832" s="13" t="str">
        <f>IF(OR('实盘净值数据(iFinD）'!$A832="",'实盘净值数据(iFinD）'!$B832="",'实盘净值数据(iFinD）'!$Z832="",'实盘净值数据(iFinD）'!$AA832=""),"",分期持仓明细!$AB$24*(SUMPRODUCT(分期持仓明细!$B$24:$Y$24,'实盘净值数据(iFinD）'!$B832:$Y832/'实盘净值数据(iFinD）'!$B$65:$Y$65)+SUMPRODUCT(分期持仓明细!$AC$24:$AD$24,'实盘净值数据(iFinD）'!$Z832:$AA832/'实盘净值数据(iFinD）'!$Z$65:$AA$65))*(1-实盘持仓初始配置!$Z$8)^(('实盘净值数据(iFinD）'!$A832-'实盘净值数据(iFinD）'!$A$5)/365))</f>
        <v/>
      </c>
      <c r="O832" s="16" t="str">
        <f t="shared" si="82"/>
        <v/>
      </c>
      <c r="P832" s="16" t="str">
        <f>IF(N832="","",N832/MAX(N$5:N832)-1)</f>
        <v/>
      </c>
      <c r="Q832" s="13" t="str">
        <f>IF(OR('实盘净值数据(iFinD）'!$A832="",'实盘净值数据(iFinD）'!$B832="",'实盘净值数据(iFinD）'!$Z832="",'实盘净值数据(iFinD）'!$AA832=""),"",分期持仓明细!$AB$25*(SUMPRODUCT(分期持仓明细!$B$25:$Y$25,'实盘净值数据(iFinD）'!$B832:$Y832/'实盘净值数据(iFinD）'!$B$65:$Y$65)+SUMPRODUCT(分期持仓明细!$AC$25:$AD$25,'实盘净值数据(iFinD）'!$Z832:$AA832/'实盘净值数据(iFinD）'!$Z$65:$AA$65))*(1-实盘持仓初始配置!$Z$9)^(('实盘净值数据(iFinD）'!$A832-'实盘净值数据(iFinD）'!$A$8)/365))</f>
        <v/>
      </c>
      <c r="R832" s="16" t="str">
        <f t="shared" si="83"/>
        <v/>
      </c>
      <c r="S832" s="16" t="str">
        <f>IF(Q832="","",Q832/MAX(Q$5:Q832)-1)</f>
        <v/>
      </c>
    </row>
    <row r="833" spans="1:19">
      <c r="A833" s="15" t="str">
        <f>IF('实盘净值数据(iFinD）'!A833="","",'实盘净值数据(iFinD）'!A833)</f>
        <v/>
      </c>
      <c r="B833" s="13" t="str">
        <f>IF(OR('实盘净值数据(iFinD）'!$A833="",'实盘净值数据(iFinD）'!$B833=""),"",分期持仓明细!$AB$17*SUMPRODUCT(分期持仓明细!$B$17:$Y$17,'实盘净值数据(iFinD）'!$B833:$Y833/'实盘净值数据(iFinD）'!$B$20:$Y$20)*(1-实盘持仓初始配置!$Z$4)^(('实盘净值数据(iFinD）'!$A833-'实盘净值数据(iFinD）'!$A$6)/365))</f>
        <v/>
      </c>
      <c r="C833" s="16" t="str">
        <f t="shared" si="78"/>
        <v/>
      </c>
      <c r="D833" s="16" t="str">
        <f>IF(B833="","",B833/MAX(B$5:B833)-1)</f>
        <v/>
      </c>
      <c r="E833" s="13" t="str">
        <f>IF(OR('实盘净值数据(iFinD）'!$A833="",'实盘净值数据(iFinD）'!$B833=""),"",分期持仓明细!$AB$18*SUMPRODUCT(分期持仓明细!$B$18:$Y$18,'实盘净值数据(iFinD）'!$B833:$Y833/'实盘净值数据(iFinD）'!$B$20:$Y$20)*(1-实盘持仓初始配置!$Z$5)^(('实盘净值数据(iFinD）'!$A833-'实盘净值数据(iFinD）'!$A$5)/365))</f>
        <v/>
      </c>
      <c r="F833" s="16" t="str">
        <f t="shared" si="79"/>
        <v/>
      </c>
      <c r="G833" s="16" t="str">
        <f>IF(E833="","",E833/MAX(E$5:E833)-1)</f>
        <v/>
      </c>
      <c r="H833" s="13" t="str">
        <f>IF(OR('实盘净值数据(iFinD）'!$A833="",'实盘净值数据(iFinD）'!$B833=""),"",分期持仓明细!$AB$19*SUMPRODUCT(分期持仓明细!$B$19:$Y$19,'实盘净值数据(iFinD）'!$B833:$Y833/'实盘净值数据(iFinD）'!$B$20:$Y$20)*(1-实盘持仓初始配置!$Z$6)^(('实盘净值数据(iFinD）'!$A833-'实盘净值数据(iFinD）'!$A$7)/365))</f>
        <v/>
      </c>
      <c r="I833" s="16" t="str">
        <f t="shared" si="80"/>
        <v/>
      </c>
      <c r="J833" s="16" t="str">
        <f>IF(H833="","",H833/MAX(H$5:H833)-1)</f>
        <v/>
      </c>
      <c r="K833" s="13" t="str">
        <f>IF(OR('实盘净值数据(iFinD）'!$A833="",'实盘净值数据(iFinD）'!$B833="",'实盘净值数据(iFinD）'!$Z833="",'实盘净值数据(iFinD）'!$AA833=""),"",分期持仓明细!$AB$23*(SUMPRODUCT(分期持仓明细!$B$23:$Y$23,'实盘净值数据(iFinD）'!$B833:$Y833/'实盘净值数据(iFinD）'!$B$65:$Y$65)+SUMPRODUCT(分期持仓明细!$AC$23:$AD$23,'实盘净值数据(iFinD）'!$Z833:$AA833/'实盘净值数据(iFinD）'!$Z$65:$AA$65))*(1-实盘持仓初始配置!$Z$7)^(('实盘净值数据(iFinD）'!$A833-'实盘净值数据(iFinD）'!$A$8)/365))</f>
        <v/>
      </c>
      <c r="L833" s="16" t="str">
        <f t="shared" si="81"/>
        <v/>
      </c>
      <c r="M833" s="16" t="str">
        <f>IF(K833="","",K833/MAX(K$5:K833)-1)</f>
        <v/>
      </c>
      <c r="N833" s="13" t="str">
        <f>IF(OR('实盘净值数据(iFinD）'!$A833="",'实盘净值数据(iFinD）'!$B833="",'实盘净值数据(iFinD）'!$Z833="",'实盘净值数据(iFinD）'!$AA833=""),"",分期持仓明细!$AB$24*(SUMPRODUCT(分期持仓明细!$B$24:$Y$24,'实盘净值数据(iFinD）'!$B833:$Y833/'实盘净值数据(iFinD）'!$B$65:$Y$65)+SUMPRODUCT(分期持仓明细!$AC$24:$AD$24,'实盘净值数据(iFinD）'!$Z833:$AA833/'实盘净值数据(iFinD）'!$Z$65:$AA$65))*(1-实盘持仓初始配置!$Z$8)^(('实盘净值数据(iFinD）'!$A833-'实盘净值数据(iFinD）'!$A$5)/365))</f>
        <v/>
      </c>
      <c r="O833" s="16" t="str">
        <f t="shared" si="82"/>
        <v/>
      </c>
      <c r="P833" s="16" t="str">
        <f>IF(N833="","",N833/MAX(N$5:N833)-1)</f>
        <v/>
      </c>
      <c r="Q833" s="13" t="str">
        <f>IF(OR('实盘净值数据(iFinD）'!$A833="",'实盘净值数据(iFinD）'!$B833="",'实盘净值数据(iFinD）'!$Z833="",'实盘净值数据(iFinD）'!$AA833=""),"",分期持仓明细!$AB$25*(SUMPRODUCT(分期持仓明细!$B$25:$Y$25,'实盘净值数据(iFinD）'!$B833:$Y833/'实盘净值数据(iFinD）'!$B$65:$Y$65)+SUMPRODUCT(分期持仓明细!$AC$25:$AD$25,'实盘净值数据(iFinD）'!$Z833:$AA833/'实盘净值数据(iFinD）'!$Z$65:$AA$65))*(1-实盘持仓初始配置!$Z$9)^(('实盘净值数据(iFinD）'!$A833-'实盘净值数据(iFinD）'!$A$8)/365))</f>
        <v/>
      </c>
      <c r="R833" s="16" t="str">
        <f t="shared" si="83"/>
        <v/>
      </c>
      <c r="S833" s="16" t="str">
        <f>IF(Q833="","",Q833/MAX(Q$5:Q833)-1)</f>
        <v/>
      </c>
    </row>
    <row r="834" spans="1:19">
      <c r="A834" s="15" t="str">
        <f>IF('实盘净值数据(iFinD）'!A834="","",'实盘净值数据(iFinD）'!A834)</f>
        <v/>
      </c>
      <c r="B834" s="13" t="str">
        <f>IF(OR('实盘净值数据(iFinD）'!$A834="",'实盘净值数据(iFinD）'!$B834=""),"",分期持仓明细!$AB$17*SUMPRODUCT(分期持仓明细!$B$17:$Y$17,'实盘净值数据(iFinD）'!$B834:$Y834/'实盘净值数据(iFinD）'!$B$20:$Y$20)*(1-实盘持仓初始配置!$Z$4)^(('实盘净值数据(iFinD）'!$A834-'实盘净值数据(iFinD）'!$A$6)/365))</f>
        <v/>
      </c>
      <c r="C834" s="16" t="str">
        <f t="shared" si="78"/>
        <v/>
      </c>
      <c r="D834" s="16" t="str">
        <f>IF(B834="","",B834/MAX(B$5:B834)-1)</f>
        <v/>
      </c>
      <c r="E834" s="13" t="str">
        <f>IF(OR('实盘净值数据(iFinD）'!$A834="",'实盘净值数据(iFinD）'!$B834=""),"",分期持仓明细!$AB$18*SUMPRODUCT(分期持仓明细!$B$18:$Y$18,'实盘净值数据(iFinD）'!$B834:$Y834/'实盘净值数据(iFinD）'!$B$20:$Y$20)*(1-实盘持仓初始配置!$Z$5)^(('实盘净值数据(iFinD）'!$A834-'实盘净值数据(iFinD）'!$A$5)/365))</f>
        <v/>
      </c>
      <c r="F834" s="16" t="str">
        <f t="shared" si="79"/>
        <v/>
      </c>
      <c r="G834" s="16" t="str">
        <f>IF(E834="","",E834/MAX(E$5:E834)-1)</f>
        <v/>
      </c>
      <c r="H834" s="13" t="str">
        <f>IF(OR('实盘净值数据(iFinD）'!$A834="",'实盘净值数据(iFinD）'!$B834=""),"",分期持仓明细!$AB$19*SUMPRODUCT(分期持仓明细!$B$19:$Y$19,'实盘净值数据(iFinD）'!$B834:$Y834/'实盘净值数据(iFinD）'!$B$20:$Y$20)*(1-实盘持仓初始配置!$Z$6)^(('实盘净值数据(iFinD）'!$A834-'实盘净值数据(iFinD）'!$A$7)/365))</f>
        <v/>
      </c>
      <c r="I834" s="16" t="str">
        <f t="shared" si="80"/>
        <v/>
      </c>
      <c r="J834" s="16" t="str">
        <f>IF(H834="","",H834/MAX(H$5:H834)-1)</f>
        <v/>
      </c>
      <c r="K834" s="13" t="str">
        <f>IF(OR('实盘净值数据(iFinD）'!$A834="",'实盘净值数据(iFinD）'!$B834="",'实盘净值数据(iFinD）'!$Z834="",'实盘净值数据(iFinD）'!$AA834=""),"",分期持仓明细!$AB$23*(SUMPRODUCT(分期持仓明细!$B$23:$Y$23,'实盘净值数据(iFinD）'!$B834:$Y834/'实盘净值数据(iFinD）'!$B$65:$Y$65)+SUMPRODUCT(分期持仓明细!$AC$23:$AD$23,'实盘净值数据(iFinD）'!$Z834:$AA834/'实盘净值数据(iFinD）'!$Z$65:$AA$65))*(1-实盘持仓初始配置!$Z$7)^(('实盘净值数据(iFinD）'!$A834-'实盘净值数据(iFinD）'!$A$8)/365))</f>
        <v/>
      </c>
      <c r="L834" s="16" t="str">
        <f t="shared" si="81"/>
        <v/>
      </c>
      <c r="M834" s="16" t="str">
        <f>IF(K834="","",K834/MAX(K$5:K834)-1)</f>
        <v/>
      </c>
      <c r="N834" s="13" t="str">
        <f>IF(OR('实盘净值数据(iFinD）'!$A834="",'实盘净值数据(iFinD）'!$B834="",'实盘净值数据(iFinD）'!$Z834="",'实盘净值数据(iFinD）'!$AA834=""),"",分期持仓明细!$AB$24*(SUMPRODUCT(分期持仓明细!$B$24:$Y$24,'实盘净值数据(iFinD）'!$B834:$Y834/'实盘净值数据(iFinD）'!$B$65:$Y$65)+SUMPRODUCT(分期持仓明细!$AC$24:$AD$24,'实盘净值数据(iFinD）'!$Z834:$AA834/'实盘净值数据(iFinD）'!$Z$65:$AA$65))*(1-实盘持仓初始配置!$Z$8)^(('实盘净值数据(iFinD）'!$A834-'实盘净值数据(iFinD）'!$A$5)/365))</f>
        <v/>
      </c>
      <c r="O834" s="16" t="str">
        <f t="shared" si="82"/>
        <v/>
      </c>
      <c r="P834" s="16" t="str">
        <f>IF(N834="","",N834/MAX(N$5:N834)-1)</f>
        <v/>
      </c>
      <c r="Q834" s="13" t="str">
        <f>IF(OR('实盘净值数据(iFinD）'!$A834="",'实盘净值数据(iFinD）'!$B834="",'实盘净值数据(iFinD）'!$Z834="",'实盘净值数据(iFinD）'!$AA834=""),"",分期持仓明细!$AB$25*(SUMPRODUCT(分期持仓明细!$B$25:$Y$25,'实盘净值数据(iFinD）'!$B834:$Y834/'实盘净值数据(iFinD）'!$B$65:$Y$65)+SUMPRODUCT(分期持仓明细!$AC$25:$AD$25,'实盘净值数据(iFinD）'!$Z834:$AA834/'实盘净值数据(iFinD）'!$Z$65:$AA$65))*(1-实盘持仓初始配置!$Z$9)^(('实盘净值数据(iFinD）'!$A834-'实盘净值数据(iFinD）'!$A$8)/365))</f>
        <v/>
      </c>
      <c r="R834" s="16" t="str">
        <f t="shared" si="83"/>
        <v/>
      </c>
      <c r="S834" s="16" t="str">
        <f>IF(Q834="","",Q834/MAX(Q$5:Q834)-1)</f>
        <v/>
      </c>
    </row>
    <row r="835" spans="1:19">
      <c r="A835" s="15" t="str">
        <f>IF('实盘净值数据(iFinD）'!A835="","",'实盘净值数据(iFinD）'!A835)</f>
        <v/>
      </c>
      <c r="B835" s="13" t="str">
        <f>IF(OR('实盘净值数据(iFinD）'!$A835="",'实盘净值数据(iFinD）'!$B835=""),"",分期持仓明细!$AB$17*SUMPRODUCT(分期持仓明细!$B$17:$Y$17,'实盘净值数据(iFinD）'!$B835:$Y835/'实盘净值数据(iFinD）'!$B$20:$Y$20)*(1-实盘持仓初始配置!$Z$4)^(('实盘净值数据(iFinD）'!$A835-'实盘净值数据(iFinD）'!$A$6)/365))</f>
        <v/>
      </c>
      <c r="C835" s="16" t="str">
        <f t="shared" si="78"/>
        <v/>
      </c>
      <c r="D835" s="16" t="str">
        <f>IF(B835="","",B835/MAX(B$5:B835)-1)</f>
        <v/>
      </c>
      <c r="E835" s="13" t="str">
        <f>IF(OR('实盘净值数据(iFinD）'!$A835="",'实盘净值数据(iFinD）'!$B835=""),"",分期持仓明细!$AB$18*SUMPRODUCT(分期持仓明细!$B$18:$Y$18,'实盘净值数据(iFinD）'!$B835:$Y835/'实盘净值数据(iFinD）'!$B$20:$Y$20)*(1-实盘持仓初始配置!$Z$5)^(('实盘净值数据(iFinD）'!$A835-'实盘净值数据(iFinD）'!$A$5)/365))</f>
        <v/>
      </c>
      <c r="F835" s="16" t="str">
        <f t="shared" si="79"/>
        <v/>
      </c>
      <c r="G835" s="16" t="str">
        <f>IF(E835="","",E835/MAX(E$5:E835)-1)</f>
        <v/>
      </c>
      <c r="H835" s="13" t="str">
        <f>IF(OR('实盘净值数据(iFinD）'!$A835="",'实盘净值数据(iFinD）'!$B835=""),"",分期持仓明细!$AB$19*SUMPRODUCT(分期持仓明细!$B$19:$Y$19,'实盘净值数据(iFinD）'!$B835:$Y835/'实盘净值数据(iFinD）'!$B$20:$Y$20)*(1-实盘持仓初始配置!$Z$6)^(('实盘净值数据(iFinD）'!$A835-'实盘净值数据(iFinD）'!$A$7)/365))</f>
        <v/>
      </c>
      <c r="I835" s="16" t="str">
        <f t="shared" si="80"/>
        <v/>
      </c>
      <c r="J835" s="16" t="str">
        <f>IF(H835="","",H835/MAX(H$5:H835)-1)</f>
        <v/>
      </c>
      <c r="K835" s="13" t="str">
        <f>IF(OR('实盘净值数据(iFinD）'!$A835="",'实盘净值数据(iFinD）'!$B835="",'实盘净值数据(iFinD）'!$Z835="",'实盘净值数据(iFinD）'!$AA835=""),"",分期持仓明细!$AB$23*(SUMPRODUCT(分期持仓明细!$B$23:$Y$23,'实盘净值数据(iFinD）'!$B835:$Y835/'实盘净值数据(iFinD）'!$B$65:$Y$65)+SUMPRODUCT(分期持仓明细!$AC$23:$AD$23,'实盘净值数据(iFinD）'!$Z835:$AA835/'实盘净值数据(iFinD）'!$Z$65:$AA$65))*(1-实盘持仓初始配置!$Z$7)^(('实盘净值数据(iFinD）'!$A835-'实盘净值数据(iFinD）'!$A$8)/365))</f>
        <v/>
      </c>
      <c r="L835" s="16" t="str">
        <f t="shared" si="81"/>
        <v/>
      </c>
      <c r="M835" s="16" t="str">
        <f>IF(K835="","",K835/MAX(K$5:K835)-1)</f>
        <v/>
      </c>
      <c r="N835" s="13" t="str">
        <f>IF(OR('实盘净值数据(iFinD）'!$A835="",'实盘净值数据(iFinD）'!$B835="",'实盘净值数据(iFinD）'!$Z835="",'实盘净值数据(iFinD）'!$AA835=""),"",分期持仓明细!$AB$24*(SUMPRODUCT(分期持仓明细!$B$24:$Y$24,'实盘净值数据(iFinD）'!$B835:$Y835/'实盘净值数据(iFinD）'!$B$65:$Y$65)+SUMPRODUCT(分期持仓明细!$AC$24:$AD$24,'实盘净值数据(iFinD）'!$Z835:$AA835/'实盘净值数据(iFinD）'!$Z$65:$AA$65))*(1-实盘持仓初始配置!$Z$8)^(('实盘净值数据(iFinD）'!$A835-'实盘净值数据(iFinD）'!$A$5)/365))</f>
        <v/>
      </c>
      <c r="O835" s="16" t="str">
        <f t="shared" si="82"/>
        <v/>
      </c>
      <c r="P835" s="16" t="str">
        <f>IF(N835="","",N835/MAX(N$5:N835)-1)</f>
        <v/>
      </c>
      <c r="Q835" s="13" t="str">
        <f>IF(OR('实盘净值数据(iFinD）'!$A835="",'实盘净值数据(iFinD）'!$B835="",'实盘净值数据(iFinD）'!$Z835="",'实盘净值数据(iFinD）'!$AA835=""),"",分期持仓明细!$AB$25*(SUMPRODUCT(分期持仓明细!$B$25:$Y$25,'实盘净值数据(iFinD）'!$B835:$Y835/'实盘净值数据(iFinD）'!$B$65:$Y$65)+SUMPRODUCT(分期持仓明细!$AC$25:$AD$25,'实盘净值数据(iFinD）'!$Z835:$AA835/'实盘净值数据(iFinD）'!$Z$65:$AA$65))*(1-实盘持仓初始配置!$Z$9)^(('实盘净值数据(iFinD）'!$A835-'实盘净值数据(iFinD）'!$A$8)/365))</f>
        <v/>
      </c>
      <c r="R835" s="16" t="str">
        <f t="shared" si="83"/>
        <v/>
      </c>
      <c r="S835" s="16" t="str">
        <f>IF(Q835="","",Q835/MAX(Q$5:Q835)-1)</f>
        <v/>
      </c>
    </row>
    <row r="836" spans="1:19">
      <c r="A836" s="15" t="str">
        <f>IF('实盘净值数据(iFinD）'!A836="","",'实盘净值数据(iFinD）'!A836)</f>
        <v/>
      </c>
      <c r="B836" s="13" t="str">
        <f>IF(OR('实盘净值数据(iFinD）'!$A836="",'实盘净值数据(iFinD）'!$B836=""),"",分期持仓明细!$AB$17*SUMPRODUCT(分期持仓明细!$B$17:$Y$17,'实盘净值数据(iFinD）'!$B836:$Y836/'实盘净值数据(iFinD）'!$B$20:$Y$20)*(1-实盘持仓初始配置!$Z$4)^(('实盘净值数据(iFinD）'!$A836-'实盘净值数据(iFinD）'!$A$6)/365))</f>
        <v/>
      </c>
      <c r="C836" s="16" t="str">
        <f t="shared" si="78"/>
        <v/>
      </c>
      <c r="D836" s="16" t="str">
        <f>IF(B836="","",B836/MAX(B$5:B836)-1)</f>
        <v/>
      </c>
      <c r="E836" s="13" t="str">
        <f>IF(OR('实盘净值数据(iFinD）'!$A836="",'实盘净值数据(iFinD）'!$B836=""),"",分期持仓明细!$AB$18*SUMPRODUCT(分期持仓明细!$B$18:$Y$18,'实盘净值数据(iFinD）'!$B836:$Y836/'实盘净值数据(iFinD）'!$B$20:$Y$20)*(1-实盘持仓初始配置!$Z$5)^(('实盘净值数据(iFinD）'!$A836-'实盘净值数据(iFinD）'!$A$5)/365))</f>
        <v/>
      </c>
      <c r="F836" s="16" t="str">
        <f t="shared" si="79"/>
        <v/>
      </c>
      <c r="G836" s="16" t="str">
        <f>IF(E836="","",E836/MAX(E$5:E836)-1)</f>
        <v/>
      </c>
      <c r="H836" s="13" t="str">
        <f>IF(OR('实盘净值数据(iFinD）'!$A836="",'实盘净值数据(iFinD）'!$B836=""),"",分期持仓明细!$AB$19*SUMPRODUCT(分期持仓明细!$B$19:$Y$19,'实盘净值数据(iFinD）'!$B836:$Y836/'实盘净值数据(iFinD）'!$B$20:$Y$20)*(1-实盘持仓初始配置!$Z$6)^(('实盘净值数据(iFinD）'!$A836-'实盘净值数据(iFinD）'!$A$7)/365))</f>
        <v/>
      </c>
      <c r="I836" s="16" t="str">
        <f t="shared" si="80"/>
        <v/>
      </c>
      <c r="J836" s="16" t="str">
        <f>IF(H836="","",H836/MAX(H$5:H836)-1)</f>
        <v/>
      </c>
      <c r="K836" s="13" t="str">
        <f>IF(OR('实盘净值数据(iFinD）'!$A836="",'实盘净值数据(iFinD）'!$B836="",'实盘净值数据(iFinD）'!$Z836="",'实盘净值数据(iFinD）'!$AA836=""),"",分期持仓明细!$AB$23*(SUMPRODUCT(分期持仓明细!$B$23:$Y$23,'实盘净值数据(iFinD）'!$B836:$Y836/'实盘净值数据(iFinD）'!$B$65:$Y$65)+SUMPRODUCT(分期持仓明细!$AC$23:$AD$23,'实盘净值数据(iFinD）'!$Z836:$AA836/'实盘净值数据(iFinD）'!$Z$65:$AA$65))*(1-实盘持仓初始配置!$Z$7)^(('实盘净值数据(iFinD）'!$A836-'实盘净值数据(iFinD）'!$A$8)/365))</f>
        <v/>
      </c>
      <c r="L836" s="16" t="str">
        <f t="shared" si="81"/>
        <v/>
      </c>
      <c r="M836" s="16" t="str">
        <f>IF(K836="","",K836/MAX(K$5:K836)-1)</f>
        <v/>
      </c>
      <c r="N836" s="13" t="str">
        <f>IF(OR('实盘净值数据(iFinD）'!$A836="",'实盘净值数据(iFinD）'!$B836="",'实盘净值数据(iFinD）'!$Z836="",'实盘净值数据(iFinD）'!$AA836=""),"",分期持仓明细!$AB$24*(SUMPRODUCT(分期持仓明细!$B$24:$Y$24,'实盘净值数据(iFinD）'!$B836:$Y836/'实盘净值数据(iFinD）'!$B$65:$Y$65)+SUMPRODUCT(分期持仓明细!$AC$24:$AD$24,'实盘净值数据(iFinD）'!$Z836:$AA836/'实盘净值数据(iFinD）'!$Z$65:$AA$65))*(1-实盘持仓初始配置!$Z$8)^(('实盘净值数据(iFinD）'!$A836-'实盘净值数据(iFinD）'!$A$5)/365))</f>
        <v/>
      </c>
      <c r="O836" s="16" t="str">
        <f t="shared" si="82"/>
        <v/>
      </c>
      <c r="P836" s="16" t="str">
        <f>IF(N836="","",N836/MAX(N$5:N836)-1)</f>
        <v/>
      </c>
      <c r="Q836" s="13" t="str">
        <f>IF(OR('实盘净值数据(iFinD）'!$A836="",'实盘净值数据(iFinD）'!$B836="",'实盘净值数据(iFinD）'!$Z836="",'实盘净值数据(iFinD）'!$AA836=""),"",分期持仓明细!$AB$25*(SUMPRODUCT(分期持仓明细!$B$25:$Y$25,'实盘净值数据(iFinD）'!$B836:$Y836/'实盘净值数据(iFinD）'!$B$65:$Y$65)+SUMPRODUCT(分期持仓明细!$AC$25:$AD$25,'实盘净值数据(iFinD）'!$Z836:$AA836/'实盘净值数据(iFinD）'!$Z$65:$AA$65))*(1-实盘持仓初始配置!$Z$9)^(('实盘净值数据(iFinD）'!$A836-'实盘净值数据(iFinD）'!$A$8)/365))</f>
        <v/>
      </c>
      <c r="R836" s="16" t="str">
        <f t="shared" si="83"/>
        <v/>
      </c>
      <c r="S836" s="16" t="str">
        <f>IF(Q836="","",Q836/MAX(Q$5:Q836)-1)</f>
        <v/>
      </c>
    </row>
    <row r="837" spans="1:19">
      <c r="A837" s="15" t="str">
        <f>IF('实盘净值数据(iFinD）'!A837="","",'实盘净值数据(iFinD）'!A837)</f>
        <v/>
      </c>
      <c r="B837" s="13" t="str">
        <f>IF(OR('实盘净值数据(iFinD）'!$A837="",'实盘净值数据(iFinD）'!$B837=""),"",分期持仓明细!$AB$17*SUMPRODUCT(分期持仓明细!$B$17:$Y$17,'实盘净值数据(iFinD）'!$B837:$Y837/'实盘净值数据(iFinD）'!$B$20:$Y$20)*(1-实盘持仓初始配置!$Z$4)^(('实盘净值数据(iFinD）'!$A837-'实盘净值数据(iFinD）'!$A$6)/365))</f>
        <v/>
      </c>
      <c r="C837" s="16" t="str">
        <f t="shared" si="78"/>
        <v/>
      </c>
      <c r="D837" s="16" t="str">
        <f>IF(B837="","",B837/MAX(B$5:B837)-1)</f>
        <v/>
      </c>
      <c r="E837" s="13" t="str">
        <f>IF(OR('实盘净值数据(iFinD）'!$A837="",'实盘净值数据(iFinD）'!$B837=""),"",分期持仓明细!$AB$18*SUMPRODUCT(分期持仓明细!$B$18:$Y$18,'实盘净值数据(iFinD）'!$B837:$Y837/'实盘净值数据(iFinD）'!$B$20:$Y$20)*(1-实盘持仓初始配置!$Z$5)^(('实盘净值数据(iFinD）'!$A837-'实盘净值数据(iFinD）'!$A$5)/365))</f>
        <v/>
      </c>
      <c r="F837" s="16" t="str">
        <f t="shared" si="79"/>
        <v/>
      </c>
      <c r="G837" s="16" t="str">
        <f>IF(E837="","",E837/MAX(E$5:E837)-1)</f>
        <v/>
      </c>
      <c r="H837" s="13" t="str">
        <f>IF(OR('实盘净值数据(iFinD）'!$A837="",'实盘净值数据(iFinD）'!$B837=""),"",分期持仓明细!$AB$19*SUMPRODUCT(分期持仓明细!$B$19:$Y$19,'实盘净值数据(iFinD）'!$B837:$Y837/'实盘净值数据(iFinD）'!$B$20:$Y$20)*(1-实盘持仓初始配置!$Z$6)^(('实盘净值数据(iFinD）'!$A837-'实盘净值数据(iFinD）'!$A$7)/365))</f>
        <v/>
      </c>
      <c r="I837" s="16" t="str">
        <f t="shared" si="80"/>
        <v/>
      </c>
      <c r="J837" s="16" t="str">
        <f>IF(H837="","",H837/MAX(H$5:H837)-1)</f>
        <v/>
      </c>
      <c r="K837" s="13" t="str">
        <f>IF(OR('实盘净值数据(iFinD）'!$A837="",'实盘净值数据(iFinD）'!$B837="",'实盘净值数据(iFinD）'!$Z837="",'实盘净值数据(iFinD）'!$AA837=""),"",分期持仓明细!$AB$23*(SUMPRODUCT(分期持仓明细!$B$23:$Y$23,'实盘净值数据(iFinD）'!$B837:$Y837/'实盘净值数据(iFinD）'!$B$65:$Y$65)+SUMPRODUCT(分期持仓明细!$AC$23:$AD$23,'实盘净值数据(iFinD）'!$Z837:$AA837/'实盘净值数据(iFinD）'!$Z$65:$AA$65))*(1-实盘持仓初始配置!$Z$7)^(('实盘净值数据(iFinD）'!$A837-'实盘净值数据(iFinD）'!$A$8)/365))</f>
        <v/>
      </c>
      <c r="L837" s="16" t="str">
        <f t="shared" si="81"/>
        <v/>
      </c>
      <c r="M837" s="16" t="str">
        <f>IF(K837="","",K837/MAX(K$5:K837)-1)</f>
        <v/>
      </c>
      <c r="N837" s="13" t="str">
        <f>IF(OR('实盘净值数据(iFinD）'!$A837="",'实盘净值数据(iFinD）'!$B837="",'实盘净值数据(iFinD）'!$Z837="",'实盘净值数据(iFinD）'!$AA837=""),"",分期持仓明细!$AB$24*(SUMPRODUCT(分期持仓明细!$B$24:$Y$24,'实盘净值数据(iFinD）'!$B837:$Y837/'实盘净值数据(iFinD）'!$B$65:$Y$65)+SUMPRODUCT(分期持仓明细!$AC$24:$AD$24,'实盘净值数据(iFinD）'!$Z837:$AA837/'实盘净值数据(iFinD）'!$Z$65:$AA$65))*(1-实盘持仓初始配置!$Z$8)^(('实盘净值数据(iFinD）'!$A837-'实盘净值数据(iFinD）'!$A$5)/365))</f>
        <v/>
      </c>
      <c r="O837" s="16" t="str">
        <f t="shared" si="82"/>
        <v/>
      </c>
      <c r="P837" s="16" t="str">
        <f>IF(N837="","",N837/MAX(N$5:N837)-1)</f>
        <v/>
      </c>
      <c r="Q837" s="13" t="str">
        <f>IF(OR('实盘净值数据(iFinD）'!$A837="",'实盘净值数据(iFinD）'!$B837="",'实盘净值数据(iFinD）'!$Z837="",'实盘净值数据(iFinD）'!$AA837=""),"",分期持仓明细!$AB$25*(SUMPRODUCT(分期持仓明细!$B$25:$Y$25,'实盘净值数据(iFinD）'!$B837:$Y837/'实盘净值数据(iFinD）'!$B$65:$Y$65)+SUMPRODUCT(分期持仓明细!$AC$25:$AD$25,'实盘净值数据(iFinD）'!$Z837:$AA837/'实盘净值数据(iFinD）'!$Z$65:$AA$65))*(1-实盘持仓初始配置!$Z$9)^(('实盘净值数据(iFinD）'!$A837-'实盘净值数据(iFinD）'!$A$8)/365))</f>
        <v/>
      </c>
      <c r="R837" s="16" t="str">
        <f t="shared" si="83"/>
        <v/>
      </c>
      <c r="S837" s="16" t="str">
        <f>IF(Q837="","",Q837/MAX(Q$5:Q837)-1)</f>
        <v/>
      </c>
    </row>
    <row r="838" spans="1:19">
      <c r="A838" s="15" t="str">
        <f>IF('实盘净值数据(iFinD）'!A838="","",'实盘净值数据(iFinD）'!A838)</f>
        <v/>
      </c>
      <c r="B838" s="13" t="str">
        <f>IF(OR('实盘净值数据(iFinD）'!$A838="",'实盘净值数据(iFinD）'!$B838=""),"",分期持仓明细!$AB$17*SUMPRODUCT(分期持仓明细!$B$17:$Y$17,'实盘净值数据(iFinD）'!$B838:$Y838/'实盘净值数据(iFinD）'!$B$20:$Y$20)*(1-实盘持仓初始配置!$Z$4)^(('实盘净值数据(iFinD）'!$A838-'实盘净值数据(iFinD）'!$A$6)/365))</f>
        <v/>
      </c>
      <c r="C838" s="16" t="str">
        <f t="shared" si="78"/>
        <v/>
      </c>
      <c r="D838" s="16" t="str">
        <f>IF(B838="","",B838/MAX(B$5:B838)-1)</f>
        <v/>
      </c>
      <c r="E838" s="13" t="str">
        <f>IF(OR('实盘净值数据(iFinD）'!$A838="",'实盘净值数据(iFinD）'!$B838=""),"",分期持仓明细!$AB$18*SUMPRODUCT(分期持仓明细!$B$18:$Y$18,'实盘净值数据(iFinD）'!$B838:$Y838/'实盘净值数据(iFinD）'!$B$20:$Y$20)*(1-实盘持仓初始配置!$Z$5)^(('实盘净值数据(iFinD）'!$A838-'实盘净值数据(iFinD）'!$A$5)/365))</f>
        <v/>
      </c>
      <c r="F838" s="16" t="str">
        <f t="shared" si="79"/>
        <v/>
      </c>
      <c r="G838" s="16" t="str">
        <f>IF(E838="","",E838/MAX(E$5:E838)-1)</f>
        <v/>
      </c>
      <c r="H838" s="13" t="str">
        <f>IF(OR('实盘净值数据(iFinD）'!$A838="",'实盘净值数据(iFinD）'!$B838=""),"",分期持仓明细!$AB$19*SUMPRODUCT(分期持仓明细!$B$19:$Y$19,'实盘净值数据(iFinD）'!$B838:$Y838/'实盘净值数据(iFinD）'!$B$20:$Y$20)*(1-实盘持仓初始配置!$Z$6)^(('实盘净值数据(iFinD）'!$A838-'实盘净值数据(iFinD）'!$A$7)/365))</f>
        <v/>
      </c>
      <c r="I838" s="16" t="str">
        <f t="shared" si="80"/>
        <v/>
      </c>
      <c r="J838" s="16" t="str">
        <f>IF(H838="","",H838/MAX(H$5:H838)-1)</f>
        <v/>
      </c>
      <c r="K838" s="13" t="str">
        <f>IF(OR('实盘净值数据(iFinD）'!$A838="",'实盘净值数据(iFinD）'!$B838="",'实盘净值数据(iFinD）'!$Z838="",'实盘净值数据(iFinD）'!$AA838=""),"",分期持仓明细!$AB$23*(SUMPRODUCT(分期持仓明细!$B$23:$Y$23,'实盘净值数据(iFinD）'!$B838:$Y838/'实盘净值数据(iFinD）'!$B$65:$Y$65)+SUMPRODUCT(分期持仓明细!$AC$23:$AD$23,'实盘净值数据(iFinD）'!$Z838:$AA838/'实盘净值数据(iFinD）'!$Z$65:$AA$65))*(1-实盘持仓初始配置!$Z$7)^(('实盘净值数据(iFinD）'!$A838-'实盘净值数据(iFinD）'!$A$8)/365))</f>
        <v/>
      </c>
      <c r="L838" s="16" t="str">
        <f t="shared" si="81"/>
        <v/>
      </c>
      <c r="M838" s="16" t="str">
        <f>IF(K838="","",K838/MAX(K$5:K838)-1)</f>
        <v/>
      </c>
      <c r="N838" s="13" t="str">
        <f>IF(OR('实盘净值数据(iFinD）'!$A838="",'实盘净值数据(iFinD）'!$B838="",'实盘净值数据(iFinD）'!$Z838="",'实盘净值数据(iFinD）'!$AA838=""),"",分期持仓明细!$AB$24*(SUMPRODUCT(分期持仓明细!$B$24:$Y$24,'实盘净值数据(iFinD）'!$B838:$Y838/'实盘净值数据(iFinD）'!$B$65:$Y$65)+SUMPRODUCT(分期持仓明细!$AC$24:$AD$24,'实盘净值数据(iFinD）'!$Z838:$AA838/'实盘净值数据(iFinD）'!$Z$65:$AA$65))*(1-实盘持仓初始配置!$Z$8)^(('实盘净值数据(iFinD）'!$A838-'实盘净值数据(iFinD）'!$A$5)/365))</f>
        <v/>
      </c>
      <c r="O838" s="16" t="str">
        <f t="shared" si="82"/>
        <v/>
      </c>
      <c r="P838" s="16" t="str">
        <f>IF(N838="","",N838/MAX(N$5:N838)-1)</f>
        <v/>
      </c>
      <c r="Q838" s="13" t="str">
        <f>IF(OR('实盘净值数据(iFinD）'!$A838="",'实盘净值数据(iFinD）'!$B838="",'实盘净值数据(iFinD）'!$Z838="",'实盘净值数据(iFinD）'!$AA838=""),"",分期持仓明细!$AB$25*(SUMPRODUCT(分期持仓明细!$B$25:$Y$25,'实盘净值数据(iFinD）'!$B838:$Y838/'实盘净值数据(iFinD）'!$B$65:$Y$65)+SUMPRODUCT(分期持仓明细!$AC$25:$AD$25,'实盘净值数据(iFinD）'!$Z838:$AA838/'实盘净值数据(iFinD）'!$Z$65:$AA$65))*(1-实盘持仓初始配置!$Z$9)^(('实盘净值数据(iFinD）'!$A838-'实盘净值数据(iFinD）'!$A$8)/365))</f>
        <v/>
      </c>
      <c r="R838" s="16" t="str">
        <f t="shared" si="83"/>
        <v/>
      </c>
      <c r="S838" s="16" t="str">
        <f>IF(Q838="","",Q838/MAX(Q$5:Q838)-1)</f>
        <v/>
      </c>
    </row>
    <row r="839" spans="1:19">
      <c r="A839" s="15" t="str">
        <f>IF('实盘净值数据(iFinD）'!A839="","",'实盘净值数据(iFinD）'!A839)</f>
        <v/>
      </c>
      <c r="B839" s="13" t="str">
        <f>IF(OR('实盘净值数据(iFinD）'!$A839="",'实盘净值数据(iFinD）'!$B839=""),"",分期持仓明细!$AB$17*SUMPRODUCT(分期持仓明细!$B$17:$Y$17,'实盘净值数据(iFinD）'!$B839:$Y839/'实盘净值数据(iFinD）'!$B$20:$Y$20)*(1-实盘持仓初始配置!$Z$4)^(('实盘净值数据(iFinD）'!$A839-'实盘净值数据(iFinD）'!$A$6)/365))</f>
        <v/>
      </c>
      <c r="C839" s="16" t="str">
        <f t="shared" si="78"/>
        <v/>
      </c>
      <c r="D839" s="16" t="str">
        <f>IF(B839="","",B839/MAX(B$5:B839)-1)</f>
        <v/>
      </c>
      <c r="E839" s="13" t="str">
        <f>IF(OR('实盘净值数据(iFinD）'!$A839="",'实盘净值数据(iFinD）'!$B839=""),"",分期持仓明细!$AB$18*SUMPRODUCT(分期持仓明细!$B$18:$Y$18,'实盘净值数据(iFinD）'!$B839:$Y839/'实盘净值数据(iFinD）'!$B$20:$Y$20)*(1-实盘持仓初始配置!$Z$5)^(('实盘净值数据(iFinD）'!$A839-'实盘净值数据(iFinD）'!$A$5)/365))</f>
        <v/>
      </c>
      <c r="F839" s="16" t="str">
        <f t="shared" si="79"/>
        <v/>
      </c>
      <c r="G839" s="16" t="str">
        <f>IF(E839="","",E839/MAX(E$5:E839)-1)</f>
        <v/>
      </c>
      <c r="H839" s="13" t="str">
        <f>IF(OR('实盘净值数据(iFinD）'!$A839="",'实盘净值数据(iFinD）'!$B839=""),"",分期持仓明细!$AB$19*SUMPRODUCT(分期持仓明细!$B$19:$Y$19,'实盘净值数据(iFinD）'!$B839:$Y839/'实盘净值数据(iFinD）'!$B$20:$Y$20)*(1-实盘持仓初始配置!$Z$6)^(('实盘净值数据(iFinD）'!$A839-'实盘净值数据(iFinD）'!$A$7)/365))</f>
        <v/>
      </c>
      <c r="I839" s="16" t="str">
        <f t="shared" si="80"/>
        <v/>
      </c>
      <c r="J839" s="16" t="str">
        <f>IF(H839="","",H839/MAX(H$5:H839)-1)</f>
        <v/>
      </c>
      <c r="K839" s="13" t="str">
        <f>IF(OR('实盘净值数据(iFinD）'!$A839="",'实盘净值数据(iFinD）'!$B839="",'实盘净值数据(iFinD）'!$Z839="",'实盘净值数据(iFinD）'!$AA839=""),"",分期持仓明细!$AB$23*(SUMPRODUCT(分期持仓明细!$B$23:$Y$23,'实盘净值数据(iFinD）'!$B839:$Y839/'实盘净值数据(iFinD）'!$B$65:$Y$65)+SUMPRODUCT(分期持仓明细!$AC$23:$AD$23,'实盘净值数据(iFinD）'!$Z839:$AA839/'实盘净值数据(iFinD）'!$Z$65:$AA$65))*(1-实盘持仓初始配置!$Z$7)^(('实盘净值数据(iFinD）'!$A839-'实盘净值数据(iFinD）'!$A$8)/365))</f>
        <v/>
      </c>
      <c r="L839" s="16" t="str">
        <f t="shared" si="81"/>
        <v/>
      </c>
      <c r="M839" s="16" t="str">
        <f>IF(K839="","",K839/MAX(K$5:K839)-1)</f>
        <v/>
      </c>
      <c r="N839" s="13" t="str">
        <f>IF(OR('实盘净值数据(iFinD）'!$A839="",'实盘净值数据(iFinD）'!$B839="",'实盘净值数据(iFinD）'!$Z839="",'实盘净值数据(iFinD）'!$AA839=""),"",分期持仓明细!$AB$24*(SUMPRODUCT(分期持仓明细!$B$24:$Y$24,'实盘净值数据(iFinD）'!$B839:$Y839/'实盘净值数据(iFinD）'!$B$65:$Y$65)+SUMPRODUCT(分期持仓明细!$AC$24:$AD$24,'实盘净值数据(iFinD）'!$Z839:$AA839/'实盘净值数据(iFinD）'!$Z$65:$AA$65))*(1-实盘持仓初始配置!$Z$8)^(('实盘净值数据(iFinD）'!$A839-'实盘净值数据(iFinD）'!$A$5)/365))</f>
        <v/>
      </c>
      <c r="O839" s="16" t="str">
        <f t="shared" si="82"/>
        <v/>
      </c>
      <c r="P839" s="16" t="str">
        <f>IF(N839="","",N839/MAX(N$5:N839)-1)</f>
        <v/>
      </c>
      <c r="Q839" s="13" t="str">
        <f>IF(OR('实盘净值数据(iFinD）'!$A839="",'实盘净值数据(iFinD）'!$B839="",'实盘净值数据(iFinD）'!$Z839="",'实盘净值数据(iFinD）'!$AA839=""),"",分期持仓明细!$AB$25*(SUMPRODUCT(分期持仓明细!$B$25:$Y$25,'实盘净值数据(iFinD）'!$B839:$Y839/'实盘净值数据(iFinD）'!$B$65:$Y$65)+SUMPRODUCT(分期持仓明细!$AC$25:$AD$25,'实盘净值数据(iFinD）'!$Z839:$AA839/'实盘净值数据(iFinD）'!$Z$65:$AA$65))*(1-实盘持仓初始配置!$Z$9)^(('实盘净值数据(iFinD）'!$A839-'实盘净值数据(iFinD）'!$A$8)/365))</f>
        <v/>
      </c>
      <c r="R839" s="16" t="str">
        <f t="shared" si="83"/>
        <v/>
      </c>
      <c r="S839" s="16" t="str">
        <f>IF(Q839="","",Q839/MAX(Q$5:Q839)-1)</f>
        <v/>
      </c>
    </row>
    <row r="840" spans="1:19">
      <c r="A840" s="15" t="str">
        <f>IF('实盘净值数据(iFinD）'!A840="","",'实盘净值数据(iFinD）'!A840)</f>
        <v/>
      </c>
      <c r="B840" s="13" t="str">
        <f>IF(OR('实盘净值数据(iFinD）'!$A840="",'实盘净值数据(iFinD）'!$B840=""),"",分期持仓明细!$AB$17*SUMPRODUCT(分期持仓明细!$B$17:$Y$17,'实盘净值数据(iFinD）'!$B840:$Y840/'实盘净值数据(iFinD）'!$B$20:$Y$20)*(1-实盘持仓初始配置!$Z$4)^(('实盘净值数据(iFinD）'!$A840-'实盘净值数据(iFinD）'!$A$6)/365))</f>
        <v/>
      </c>
      <c r="C840" s="16" t="str">
        <f t="shared" si="78"/>
        <v/>
      </c>
      <c r="D840" s="16" t="str">
        <f>IF(B840="","",B840/MAX(B$5:B840)-1)</f>
        <v/>
      </c>
      <c r="E840" s="13" t="str">
        <f>IF(OR('实盘净值数据(iFinD）'!$A840="",'实盘净值数据(iFinD）'!$B840=""),"",分期持仓明细!$AB$18*SUMPRODUCT(分期持仓明细!$B$18:$Y$18,'实盘净值数据(iFinD）'!$B840:$Y840/'实盘净值数据(iFinD）'!$B$20:$Y$20)*(1-实盘持仓初始配置!$Z$5)^(('实盘净值数据(iFinD）'!$A840-'实盘净值数据(iFinD）'!$A$5)/365))</f>
        <v/>
      </c>
      <c r="F840" s="16" t="str">
        <f t="shared" si="79"/>
        <v/>
      </c>
      <c r="G840" s="16" t="str">
        <f>IF(E840="","",E840/MAX(E$5:E840)-1)</f>
        <v/>
      </c>
      <c r="H840" s="13" t="str">
        <f>IF(OR('实盘净值数据(iFinD）'!$A840="",'实盘净值数据(iFinD）'!$B840=""),"",分期持仓明细!$AB$19*SUMPRODUCT(分期持仓明细!$B$19:$Y$19,'实盘净值数据(iFinD）'!$B840:$Y840/'实盘净值数据(iFinD）'!$B$20:$Y$20)*(1-实盘持仓初始配置!$Z$6)^(('实盘净值数据(iFinD）'!$A840-'实盘净值数据(iFinD）'!$A$7)/365))</f>
        <v/>
      </c>
      <c r="I840" s="16" t="str">
        <f t="shared" si="80"/>
        <v/>
      </c>
      <c r="J840" s="16" t="str">
        <f>IF(H840="","",H840/MAX(H$5:H840)-1)</f>
        <v/>
      </c>
      <c r="K840" s="13" t="str">
        <f>IF(OR('实盘净值数据(iFinD）'!$A840="",'实盘净值数据(iFinD）'!$B840="",'实盘净值数据(iFinD）'!$Z840="",'实盘净值数据(iFinD）'!$AA840=""),"",分期持仓明细!$AB$23*(SUMPRODUCT(分期持仓明细!$B$23:$Y$23,'实盘净值数据(iFinD）'!$B840:$Y840/'实盘净值数据(iFinD）'!$B$65:$Y$65)+SUMPRODUCT(分期持仓明细!$AC$23:$AD$23,'实盘净值数据(iFinD）'!$Z840:$AA840/'实盘净值数据(iFinD）'!$Z$65:$AA$65))*(1-实盘持仓初始配置!$Z$7)^(('实盘净值数据(iFinD）'!$A840-'实盘净值数据(iFinD）'!$A$8)/365))</f>
        <v/>
      </c>
      <c r="L840" s="16" t="str">
        <f t="shared" si="81"/>
        <v/>
      </c>
      <c r="M840" s="16" t="str">
        <f>IF(K840="","",K840/MAX(K$5:K840)-1)</f>
        <v/>
      </c>
      <c r="N840" s="13" t="str">
        <f>IF(OR('实盘净值数据(iFinD）'!$A840="",'实盘净值数据(iFinD）'!$B840="",'实盘净值数据(iFinD）'!$Z840="",'实盘净值数据(iFinD）'!$AA840=""),"",分期持仓明细!$AB$24*(SUMPRODUCT(分期持仓明细!$B$24:$Y$24,'实盘净值数据(iFinD）'!$B840:$Y840/'实盘净值数据(iFinD）'!$B$65:$Y$65)+SUMPRODUCT(分期持仓明细!$AC$24:$AD$24,'实盘净值数据(iFinD）'!$Z840:$AA840/'实盘净值数据(iFinD）'!$Z$65:$AA$65))*(1-实盘持仓初始配置!$Z$8)^(('实盘净值数据(iFinD）'!$A840-'实盘净值数据(iFinD）'!$A$5)/365))</f>
        <v/>
      </c>
      <c r="O840" s="16" t="str">
        <f t="shared" si="82"/>
        <v/>
      </c>
      <c r="P840" s="16" t="str">
        <f>IF(N840="","",N840/MAX(N$5:N840)-1)</f>
        <v/>
      </c>
      <c r="Q840" s="13" t="str">
        <f>IF(OR('实盘净值数据(iFinD）'!$A840="",'实盘净值数据(iFinD）'!$B840="",'实盘净值数据(iFinD）'!$Z840="",'实盘净值数据(iFinD）'!$AA840=""),"",分期持仓明细!$AB$25*(SUMPRODUCT(分期持仓明细!$B$25:$Y$25,'实盘净值数据(iFinD）'!$B840:$Y840/'实盘净值数据(iFinD）'!$B$65:$Y$65)+SUMPRODUCT(分期持仓明细!$AC$25:$AD$25,'实盘净值数据(iFinD）'!$Z840:$AA840/'实盘净值数据(iFinD）'!$Z$65:$AA$65))*(1-实盘持仓初始配置!$Z$9)^(('实盘净值数据(iFinD）'!$A840-'实盘净值数据(iFinD）'!$A$8)/365))</f>
        <v/>
      </c>
      <c r="R840" s="16" t="str">
        <f t="shared" si="83"/>
        <v/>
      </c>
      <c r="S840" s="16" t="str">
        <f>IF(Q840="","",Q840/MAX(Q$5:Q840)-1)</f>
        <v/>
      </c>
    </row>
    <row r="841" spans="1:19">
      <c r="A841" s="15" t="str">
        <f>IF('实盘净值数据(iFinD）'!A841="","",'实盘净值数据(iFinD）'!A841)</f>
        <v/>
      </c>
      <c r="B841" s="13" t="str">
        <f>IF(OR('实盘净值数据(iFinD）'!$A841="",'实盘净值数据(iFinD）'!$B841=""),"",分期持仓明细!$AB$17*SUMPRODUCT(分期持仓明细!$B$17:$Y$17,'实盘净值数据(iFinD）'!$B841:$Y841/'实盘净值数据(iFinD）'!$B$20:$Y$20)*(1-实盘持仓初始配置!$Z$4)^(('实盘净值数据(iFinD）'!$A841-'实盘净值数据(iFinD）'!$A$6)/365))</f>
        <v/>
      </c>
      <c r="C841" s="16" t="str">
        <f t="shared" si="78"/>
        <v/>
      </c>
      <c r="D841" s="16" t="str">
        <f>IF(B841="","",B841/MAX(B$5:B841)-1)</f>
        <v/>
      </c>
      <c r="E841" s="13" t="str">
        <f>IF(OR('实盘净值数据(iFinD）'!$A841="",'实盘净值数据(iFinD）'!$B841=""),"",分期持仓明细!$AB$18*SUMPRODUCT(分期持仓明细!$B$18:$Y$18,'实盘净值数据(iFinD）'!$B841:$Y841/'实盘净值数据(iFinD）'!$B$20:$Y$20)*(1-实盘持仓初始配置!$Z$5)^(('实盘净值数据(iFinD）'!$A841-'实盘净值数据(iFinD）'!$A$5)/365))</f>
        <v/>
      </c>
      <c r="F841" s="16" t="str">
        <f t="shared" si="79"/>
        <v/>
      </c>
      <c r="G841" s="16" t="str">
        <f>IF(E841="","",E841/MAX(E$5:E841)-1)</f>
        <v/>
      </c>
      <c r="H841" s="13" t="str">
        <f>IF(OR('实盘净值数据(iFinD）'!$A841="",'实盘净值数据(iFinD）'!$B841=""),"",分期持仓明细!$AB$19*SUMPRODUCT(分期持仓明细!$B$19:$Y$19,'实盘净值数据(iFinD）'!$B841:$Y841/'实盘净值数据(iFinD）'!$B$20:$Y$20)*(1-实盘持仓初始配置!$Z$6)^(('实盘净值数据(iFinD）'!$A841-'实盘净值数据(iFinD）'!$A$7)/365))</f>
        <v/>
      </c>
      <c r="I841" s="16" t="str">
        <f t="shared" si="80"/>
        <v/>
      </c>
      <c r="J841" s="16" t="str">
        <f>IF(H841="","",H841/MAX(H$5:H841)-1)</f>
        <v/>
      </c>
      <c r="K841" s="13" t="str">
        <f>IF(OR('实盘净值数据(iFinD）'!$A841="",'实盘净值数据(iFinD）'!$B841="",'实盘净值数据(iFinD）'!$Z841="",'实盘净值数据(iFinD）'!$AA841=""),"",分期持仓明细!$AB$23*(SUMPRODUCT(分期持仓明细!$B$23:$Y$23,'实盘净值数据(iFinD）'!$B841:$Y841/'实盘净值数据(iFinD）'!$B$65:$Y$65)+SUMPRODUCT(分期持仓明细!$AC$23:$AD$23,'实盘净值数据(iFinD）'!$Z841:$AA841/'实盘净值数据(iFinD）'!$Z$65:$AA$65))*(1-实盘持仓初始配置!$Z$7)^(('实盘净值数据(iFinD）'!$A841-'实盘净值数据(iFinD）'!$A$8)/365))</f>
        <v/>
      </c>
      <c r="L841" s="16" t="str">
        <f t="shared" si="81"/>
        <v/>
      </c>
      <c r="M841" s="16" t="str">
        <f>IF(K841="","",K841/MAX(K$5:K841)-1)</f>
        <v/>
      </c>
      <c r="N841" s="13" t="str">
        <f>IF(OR('实盘净值数据(iFinD）'!$A841="",'实盘净值数据(iFinD）'!$B841="",'实盘净值数据(iFinD）'!$Z841="",'实盘净值数据(iFinD）'!$AA841=""),"",分期持仓明细!$AB$24*(SUMPRODUCT(分期持仓明细!$B$24:$Y$24,'实盘净值数据(iFinD）'!$B841:$Y841/'实盘净值数据(iFinD）'!$B$65:$Y$65)+SUMPRODUCT(分期持仓明细!$AC$24:$AD$24,'实盘净值数据(iFinD）'!$Z841:$AA841/'实盘净值数据(iFinD）'!$Z$65:$AA$65))*(1-实盘持仓初始配置!$Z$8)^(('实盘净值数据(iFinD）'!$A841-'实盘净值数据(iFinD）'!$A$5)/365))</f>
        <v/>
      </c>
      <c r="O841" s="16" t="str">
        <f t="shared" si="82"/>
        <v/>
      </c>
      <c r="P841" s="16" t="str">
        <f>IF(N841="","",N841/MAX(N$5:N841)-1)</f>
        <v/>
      </c>
      <c r="Q841" s="13" t="str">
        <f>IF(OR('实盘净值数据(iFinD）'!$A841="",'实盘净值数据(iFinD）'!$B841="",'实盘净值数据(iFinD）'!$Z841="",'实盘净值数据(iFinD）'!$AA841=""),"",分期持仓明细!$AB$25*(SUMPRODUCT(分期持仓明细!$B$25:$Y$25,'实盘净值数据(iFinD）'!$B841:$Y841/'实盘净值数据(iFinD）'!$B$65:$Y$65)+SUMPRODUCT(分期持仓明细!$AC$25:$AD$25,'实盘净值数据(iFinD）'!$Z841:$AA841/'实盘净值数据(iFinD）'!$Z$65:$AA$65))*(1-实盘持仓初始配置!$Z$9)^(('实盘净值数据(iFinD）'!$A841-'实盘净值数据(iFinD）'!$A$8)/365))</f>
        <v/>
      </c>
      <c r="R841" s="16" t="str">
        <f t="shared" si="83"/>
        <v/>
      </c>
      <c r="S841" s="16" t="str">
        <f>IF(Q841="","",Q841/MAX(Q$5:Q841)-1)</f>
        <v/>
      </c>
    </row>
    <row r="842" spans="1:19">
      <c r="A842" s="15" t="str">
        <f>IF('实盘净值数据(iFinD）'!A842="","",'实盘净值数据(iFinD）'!A842)</f>
        <v/>
      </c>
      <c r="B842" s="13" t="str">
        <f>IF(OR('实盘净值数据(iFinD）'!$A842="",'实盘净值数据(iFinD）'!$B842=""),"",分期持仓明细!$AB$17*SUMPRODUCT(分期持仓明细!$B$17:$Y$17,'实盘净值数据(iFinD）'!$B842:$Y842/'实盘净值数据(iFinD）'!$B$20:$Y$20)*(1-实盘持仓初始配置!$Z$4)^(('实盘净值数据(iFinD）'!$A842-'实盘净值数据(iFinD）'!$A$6)/365))</f>
        <v/>
      </c>
      <c r="C842" s="16" t="str">
        <f t="shared" si="78"/>
        <v/>
      </c>
      <c r="D842" s="16" t="str">
        <f>IF(B842="","",B842/MAX(B$5:B842)-1)</f>
        <v/>
      </c>
      <c r="E842" s="13" t="str">
        <f>IF(OR('实盘净值数据(iFinD）'!$A842="",'实盘净值数据(iFinD）'!$B842=""),"",分期持仓明细!$AB$18*SUMPRODUCT(分期持仓明细!$B$18:$Y$18,'实盘净值数据(iFinD）'!$B842:$Y842/'实盘净值数据(iFinD）'!$B$20:$Y$20)*(1-实盘持仓初始配置!$Z$5)^(('实盘净值数据(iFinD）'!$A842-'实盘净值数据(iFinD）'!$A$5)/365))</f>
        <v/>
      </c>
      <c r="F842" s="16" t="str">
        <f t="shared" si="79"/>
        <v/>
      </c>
      <c r="G842" s="16" t="str">
        <f>IF(E842="","",E842/MAX(E$5:E842)-1)</f>
        <v/>
      </c>
      <c r="H842" s="13" t="str">
        <f>IF(OR('实盘净值数据(iFinD）'!$A842="",'实盘净值数据(iFinD）'!$B842=""),"",分期持仓明细!$AB$19*SUMPRODUCT(分期持仓明细!$B$19:$Y$19,'实盘净值数据(iFinD）'!$B842:$Y842/'实盘净值数据(iFinD）'!$B$20:$Y$20)*(1-实盘持仓初始配置!$Z$6)^(('实盘净值数据(iFinD）'!$A842-'实盘净值数据(iFinD）'!$A$7)/365))</f>
        <v/>
      </c>
      <c r="I842" s="16" t="str">
        <f t="shared" si="80"/>
        <v/>
      </c>
      <c r="J842" s="16" t="str">
        <f>IF(H842="","",H842/MAX(H$5:H842)-1)</f>
        <v/>
      </c>
      <c r="K842" s="13" t="str">
        <f>IF(OR('实盘净值数据(iFinD）'!$A842="",'实盘净值数据(iFinD）'!$B842="",'实盘净值数据(iFinD）'!$Z842="",'实盘净值数据(iFinD）'!$AA842=""),"",分期持仓明细!$AB$23*(SUMPRODUCT(分期持仓明细!$B$23:$Y$23,'实盘净值数据(iFinD）'!$B842:$Y842/'实盘净值数据(iFinD）'!$B$65:$Y$65)+SUMPRODUCT(分期持仓明细!$AC$23:$AD$23,'实盘净值数据(iFinD）'!$Z842:$AA842/'实盘净值数据(iFinD）'!$Z$65:$AA$65))*(1-实盘持仓初始配置!$Z$7)^(('实盘净值数据(iFinD）'!$A842-'实盘净值数据(iFinD）'!$A$8)/365))</f>
        <v/>
      </c>
      <c r="L842" s="16" t="str">
        <f t="shared" si="81"/>
        <v/>
      </c>
      <c r="M842" s="16" t="str">
        <f>IF(K842="","",K842/MAX(K$5:K842)-1)</f>
        <v/>
      </c>
      <c r="N842" s="13" t="str">
        <f>IF(OR('实盘净值数据(iFinD）'!$A842="",'实盘净值数据(iFinD）'!$B842="",'实盘净值数据(iFinD）'!$Z842="",'实盘净值数据(iFinD）'!$AA842=""),"",分期持仓明细!$AB$24*(SUMPRODUCT(分期持仓明细!$B$24:$Y$24,'实盘净值数据(iFinD）'!$B842:$Y842/'实盘净值数据(iFinD）'!$B$65:$Y$65)+SUMPRODUCT(分期持仓明细!$AC$24:$AD$24,'实盘净值数据(iFinD）'!$Z842:$AA842/'实盘净值数据(iFinD）'!$Z$65:$AA$65))*(1-实盘持仓初始配置!$Z$8)^(('实盘净值数据(iFinD）'!$A842-'实盘净值数据(iFinD）'!$A$5)/365))</f>
        <v/>
      </c>
      <c r="O842" s="16" t="str">
        <f t="shared" si="82"/>
        <v/>
      </c>
      <c r="P842" s="16" t="str">
        <f>IF(N842="","",N842/MAX(N$5:N842)-1)</f>
        <v/>
      </c>
      <c r="Q842" s="13" t="str">
        <f>IF(OR('实盘净值数据(iFinD）'!$A842="",'实盘净值数据(iFinD）'!$B842="",'实盘净值数据(iFinD）'!$Z842="",'实盘净值数据(iFinD）'!$AA842=""),"",分期持仓明细!$AB$25*(SUMPRODUCT(分期持仓明细!$B$25:$Y$25,'实盘净值数据(iFinD）'!$B842:$Y842/'实盘净值数据(iFinD）'!$B$65:$Y$65)+SUMPRODUCT(分期持仓明细!$AC$25:$AD$25,'实盘净值数据(iFinD）'!$Z842:$AA842/'实盘净值数据(iFinD）'!$Z$65:$AA$65))*(1-实盘持仓初始配置!$Z$9)^(('实盘净值数据(iFinD）'!$A842-'实盘净值数据(iFinD）'!$A$8)/365))</f>
        <v/>
      </c>
      <c r="R842" s="16" t="str">
        <f t="shared" si="83"/>
        <v/>
      </c>
      <c r="S842" s="16" t="str">
        <f>IF(Q842="","",Q842/MAX(Q$5:Q842)-1)</f>
        <v/>
      </c>
    </row>
    <row r="843" spans="1:19">
      <c r="A843" s="15" t="str">
        <f>IF('实盘净值数据(iFinD）'!A843="","",'实盘净值数据(iFinD）'!A843)</f>
        <v/>
      </c>
      <c r="B843" s="13" t="str">
        <f>IF(OR('实盘净值数据(iFinD）'!$A843="",'实盘净值数据(iFinD）'!$B843=""),"",分期持仓明细!$AB$17*SUMPRODUCT(分期持仓明细!$B$17:$Y$17,'实盘净值数据(iFinD）'!$B843:$Y843/'实盘净值数据(iFinD）'!$B$20:$Y$20)*(1-实盘持仓初始配置!$Z$4)^(('实盘净值数据(iFinD）'!$A843-'实盘净值数据(iFinD）'!$A$6)/365))</f>
        <v/>
      </c>
      <c r="C843" s="16" t="str">
        <f t="shared" si="78"/>
        <v/>
      </c>
      <c r="D843" s="16" t="str">
        <f>IF(B843="","",B843/MAX(B$5:B843)-1)</f>
        <v/>
      </c>
      <c r="E843" s="13" t="str">
        <f>IF(OR('实盘净值数据(iFinD）'!$A843="",'实盘净值数据(iFinD）'!$B843=""),"",分期持仓明细!$AB$18*SUMPRODUCT(分期持仓明细!$B$18:$Y$18,'实盘净值数据(iFinD）'!$B843:$Y843/'实盘净值数据(iFinD）'!$B$20:$Y$20)*(1-实盘持仓初始配置!$Z$5)^(('实盘净值数据(iFinD）'!$A843-'实盘净值数据(iFinD）'!$A$5)/365))</f>
        <v/>
      </c>
      <c r="F843" s="16" t="str">
        <f t="shared" si="79"/>
        <v/>
      </c>
      <c r="G843" s="16" t="str">
        <f>IF(E843="","",E843/MAX(E$5:E843)-1)</f>
        <v/>
      </c>
      <c r="H843" s="13" t="str">
        <f>IF(OR('实盘净值数据(iFinD）'!$A843="",'实盘净值数据(iFinD）'!$B843=""),"",分期持仓明细!$AB$19*SUMPRODUCT(分期持仓明细!$B$19:$Y$19,'实盘净值数据(iFinD）'!$B843:$Y843/'实盘净值数据(iFinD）'!$B$20:$Y$20)*(1-实盘持仓初始配置!$Z$6)^(('实盘净值数据(iFinD）'!$A843-'实盘净值数据(iFinD）'!$A$7)/365))</f>
        <v/>
      </c>
      <c r="I843" s="16" t="str">
        <f t="shared" si="80"/>
        <v/>
      </c>
      <c r="J843" s="16" t="str">
        <f>IF(H843="","",H843/MAX(H$5:H843)-1)</f>
        <v/>
      </c>
      <c r="K843" s="13" t="str">
        <f>IF(OR('实盘净值数据(iFinD）'!$A843="",'实盘净值数据(iFinD）'!$B843="",'实盘净值数据(iFinD）'!$Z843="",'实盘净值数据(iFinD）'!$AA843=""),"",分期持仓明细!$AB$23*(SUMPRODUCT(分期持仓明细!$B$23:$Y$23,'实盘净值数据(iFinD）'!$B843:$Y843/'实盘净值数据(iFinD）'!$B$65:$Y$65)+SUMPRODUCT(分期持仓明细!$AC$23:$AD$23,'实盘净值数据(iFinD）'!$Z843:$AA843/'实盘净值数据(iFinD）'!$Z$65:$AA$65))*(1-实盘持仓初始配置!$Z$7)^(('实盘净值数据(iFinD）'!$A843-'实盘净值数据(iFinD）'!$A$8)/365))</f>
        <v/>
      </c>
      <c r="L843" s="16" t="str">
        <f t="shared" si="81"/>
        <v/>
      </c>
      <c r="M843" s="16" t="str">
        <f>IF(K843="","",K843/MAX(K$5:K843)-1)</f>
        <v/>
      </c>
      <c r="N843" s="13" t="str">
        <f>IF(OR('实盘净值数据(iFinD）'!$A843="",'实盘净值数据(iFinD）'!$B843="",'实盘净值数据(iFinD）'!$Z843="",'实盘净值数据(iFinD）'!$AA843=""),"",分期持仓明细!$AB$24*(SUMPRODUCT(分期持仓明细!$B$24:$Y$24,'实盘净值数据(iFinD）'!$B843:$Y843/'实盘净值数据(iFinD）'!$B$65:$Y$65)+SUMPRODUCT(分期持仓明细!$AC$24:$AD$24,'实盘净值数据(iFinD）'!$Z843:$AA843/'实盘净值数据(iFinD）'!$Z$65:$AA$65))*(1-实盘持仓初始配置!$Z$8)^(('实盘净值数据(iFinD）'!$A843-'实盘净值数据(iFinD）'!$A$5)/365))</f>
        <v/>
      </c>
      <c r="O843" s="16" t="str">
        <f t="shared" si="82"/>
        <v/>
      </c>
      <c r="P843" s="16" t="str">
        <f>IF(N843="","",N843/MAX(N$5:N843)-1)</f>
        <v/>
      </c>
      <c r="Q843" s="13" t="str">
        <f>IF(OR('实盘净值数据(iFinD）'!$A843="",'实盘净值数据(iFinD）'!$B843="",'实盘净值数据(iFinD）'!$Z843="",'实盘净值数据(iFinD）'!$AA843=""),"",分期持仓明细!$AB$25*(SUMPRODUCT(分期持仓明细!$B$25:$Y$25,'实盘净值数据(iFinD）'!$B843:$Y843/'实盘净值数据(iFinD）'!$B$65:$Y$65)+SUMPRODUCT(分期持仓明细!$AC$25:$AD$25,'实盘净值数据(iFinD）'!$Z843:$AA843/'实盘净值数据(iFinD）'!$Z$65:$AA$65))*(1-实盘持仓初始配置!$Z$9)^(('实盘净值数据(iFinD）'!$A843-'实盘净值数据(iFinD）'!$A$8)/365))</f>
        <v/>
      </c>
      <c r="R843" s="16" t="str">
        <f t="shared" si="83"/>
        <v/>
      </c>
      <c r="S843" s="16" t="str">
        <f>IF(Q843="","",Q843/MAX(Q$5:Q843)-1)</f>
        <v/>
      </c>
    </row>
    <row r="844" spans="1:19">
      <c r="A844" s="15" t="str">
        <f>IF('实盘净值数据(iFinD）'!A844="","",'实盘净值数据(iFinD）'!A844)</f>
        <v/>
      </c>
      <c r="B844" s="13" t="str">
        <f>IF(OR('实盘净值数据(iFinD）'!$A844="",'实盘净值数据(iFinD）'!$B844=""),"",分期持仓明细!$AB$17*SUMPRODUCT(分期持仓明细!$B$17:$Y$17,'实盘净值数据(iFinD）'!$B844:$Y844/'实盘净值数据(iFinD）'!$B$20:$Y$20)*(1-实盘持仓初始配置!$Z$4)^(('实盘净值数据(iFinD）'!$A844-'实盘净值数据(iFinD）'!$A$6)/365))</f>
        <v/>
      </c>
      <c r="C844" s="16" t="str">
        <f t="shared" si="78"/>
        <v/>
      </c>
      <c r="D844" s="16" t="str">
        <f>IF(B844="","",B844/MAX(B$5:B844)-1)</f>
        <v/>
      </c>
      <c r="E844" s="13" t="str">
        <f>IF(OR('实盘净值数据(iFinD）'!$A844="",'实盘净值数据(iFinD）'!$B844=""),"",分期持仓明细!$AB$18*SUMPRODUCT(分期持仓明细!$B$18:$Y$18,'实盘净值数据(iFinD）'!$B844:$Y844/'实盘净值数据(iFinD）'!$B$20:$Y$20)*(1-实盘持仓初始配置!$Z$5)^(('实盘净值数据(iFinD）'!$A844-'实盘净值数据(iFinD）'!$A$5)/365))</f>
        <v/>
      </c>
      <c r="F844" s="16" t="str">
        <f t="shared" si="79"/>
        <v/>
      </c>
      <c r="G844" s="16" t="str">
        <f>IF(E844="","",E844/MAX(E$5:E844)-1)</f>
        <v/>
      </c>
      <c r="H844" s="13" t="str">
        <f>IF(OR('实盘净值数据(iFinD）'!$A844="",'实盘净值数据(iFinD）'!$B844=""),"",分期持仓明细!$AB$19*SUMPRODUCT(分期持仓明细!$B$19:$Y$19,'实盘净值数据(iFinD）'!$B844:$Y844/'实盘净值数据(iFinD）'!$B$20:$Y$20)*(1-实盘持仓初始配置!$Z$6)^(('实盘净值数据(iFinD）'!$A844-'实盘净值数据(iFinD）'!$A$7)/365))</f>
        <v/>
      </c>
      <c r="I844" s="16" t="str">
        <f t="shared" si="80"/>
        <v/>
      </c>
      <c r="J844" s="16" t="str">
        <f>IF(H844="","",H844/MAX(H$5:H844)-1)</f>
        <v/>
      </c>
      <c r="K844" s="13" t="str">
        <f>IF(OR('实盘净值数据(iFinD）'!$A844="",'实盘净值数据(iFinD）'!$B844="",'实盘净值数据(iFinD）'!$Z844="",'实盘净值数据(iFinD）'!$AA844=""),"",分期持仓明细!$AB$23*(SUMPRODUCT(分期持仓明细!$B$23:$Y$23,'实盘净值数据(iFinD）'!$B844:$Y844/'实盘净值数据(iFinD）'!$B$65:$Y$65)+SUMPRODUCT(分期持仓明细!$AC$23:$AD$23,'实盘净值数据(iFinD）'!$Z844:$AA844/'实盘净值数据(iFinD）'!$Z$65:$AA$65))*(1-实盘持仓初始配置!$Z$7)^(('实盘净值数据(iFinD）'!$A844-'实盘净值数据(iFinD）'!$A$8)/365))</f>
        <v/>
      </c>
      <c r="L844" s="16" t="str">
        <f t="shared" si="81"/>
        <v/>
      </c>
      <c r="M844" s="16" t="str">
        <f>IF(K844="","",K844/MAX(K$5:K844)-1)</f>
        <v/>
      </c>
      <c r="N844" s="13" t="str">
        <f>IF(OR('实盘净值数据(iFinD）'!$A844="",'实盘净值数据(iFinD）'!$B844="",'实盘净值数据(iFinD）'!$Z844="",'实盘净值数据(iFinD）'!$AA844=""),"",分期持仓明细!$AB$24*(SUMPRODUCT(分期持仓明细!$B$24:$Y$24,'实盘净值数据(iFinD）'!$B844:$Y844/'实盘净值数据(iFinD）'!$B$65:$Y$65)+SUMPRODUCT(分期持仓明细!$AC$24:$AD$24,'实盘净值数据(iFinD）'!$Z844:$AA844/'实盘净值数据(iFinD）'!$Z$65:$AA$65))*(1-实盘持仓初始配置!$Z$8)^(('实盘净值数据(iFinD）'!$A844-'实盘净值数据(iFinD）'!$A$5)/365))</f>
        <v/>
      </c>
      <c r="O844" s="16" t="str">
        <f t="shared" si="82"/>
        <v/>
      </c>
      <c r="P844" s="16" t="str">
        <f>IF(N844="","",N844/MAX(N$5:N844)-1)</f>
        <v/>
      </c>
      <c r="Q844" s="13" t="str">
        <f>IF(OR('实盘净值数据(iFinD）'!$A844="",'实盘净值数据(iFinD）'!$B844="",'实盘净值数据(iFinD）'!$Z844="",'实盘净值数据(iFinD）'!$AA844=""),"",分期持仓明细!$AB$25*(SUMPRODUCT(分期持仓明细!$B$25:$Y$25,'实盘净值数据(iFinD）'!$B844:$Y844/'实盘净值数据(iFinD）'!$B$65:$Y$65)+SUMPRODUCT(分期持仓明细!$AC$25:$AD$25,'实盘净值数据(iFinD）'!$Z844:$AA844/'实盘净值数据(iFinD）'!$Z$65:$AA$65))*(1-实盘持仓初始配置!$Z$9)^(('实盘净值数据(iFinD）'!$A844-'实盘净值数据(iFinD）'!$A$8)/365))</f>
        <v/>
      </c>
      <c r="R844" s="16" t="str">
        <f t="shared" si="83"/>
        <v/>
      </c>
      <c r="S844" s="16" t="str">
        <f>IF(Q844="","",Q844/MAX(Q$5:Q844)-1)</f>
        <v/>
      </c>
    </row>
    <row r="845" spans="1:19">
      <c r="A845" s="15" t="str">
        <f>IF('实盘净值数据(iFinD）'!A845="","",'实盘净值数据(iFinD）'!A845)</f>
        <v/>
      </c>
      <c r="B845" s="13" t="str">
        <f>IF(OR('实盘净值数据(iFinD）'!$A845="",'实盘净值数据(iFinD）'!$B845=""),"",分期持仓明细!$AB$17*SUMPRODUCT(分期持仓明细!$B$17:$Y$17,'实盘净值数据(iFinD）'!$B845:$Y845/'实盘净值数据(iFinD）'!$B$20:$Y$20)*(1-实盘持仓初始配置!$Z$4)^(('实盘净值数据(iFinD）'!$A845-'实盘净值数据(iFinD）'!$A$6)/365))</f>
        <v/>
      </c>
      <c r="C845" s="16" t="str">
        <f t="shared" si="78"/>
        <v/>
      </c>
      <c r="D845" s="16" t="str">
        <f>IF(B845="","",B845/MAX(B$5:B845)-1)</f>
        <v/>
      </c>
      <c r="E845" s="13" t="str">
        <f>IF(OR('实盘净值数据(iFinD）'!$A845="",'实盘净值数据(iFinD）'!$B845=""),"",分期持仓明细!$AB$18*SUMPRODUCT(分期持仓明细!$B$18:$Y$18,'实盘净值数据(iFinD）'!$B845:$Y845/'实盘净值数据(iFinD）'!$B$20:$Y$20)*(1-实盘持仓初始配置!$Z$5)^(('实盘净值数据(iFinD）'!$A845-'实盘净值数据(iFinD）'!$A$5)/365))</f>
        <v/>
      </c>
      <c r="F845" s="16" t="str">
        <f t="shared" si="79"/>
        <v/>
      </c>
      <c r="G845" s="16" t="str">
        <f>IF(E845="","",E845/MAX(E$5:E845)-1)</f>
        <v/>
      </c>
      <c r="H845" s="13" t="str">
        <f>IF(OR('实盘净值数据(iFinD）'!$A845="",'实盘净值数据(iFinD）'!$B845=""),"",分期持仓明细!$AB$19*SUMPRODUCT(分期持仓明细!$B$19:$Y$19,'实盘净值数据(iFinD）'!$B845:$Y845/'实盘净值数据(iFinD）'!$B$20:$Y$20)*(1-实盘持仓初始配置!$Z$6)^(('实盘净值数据(iFinD）'!$A845-'实盘净值数据(iFinD）'!$A$7)/365))</f>
        <v/>
      </c>
      <c r="I845" s="16" t="str">
        <f t="shared" si="80"/>
        <v/>
      </c>
      <c r="J845" s="16" t="str">
        <f>IF(H845="","",H845/MAX(H$5:H845)-1)</f>
        <v/>
      </c>
      <c r="K845" s="13" t="str">
        <f>IF(OR('实盘净值数据(iFinD）'!$A845="",'实盘净值数据(iFinD）'!$B845="",'实盘净值数据(iFinD）'!$Z845="",'实盘净值数据(iFinD）'!$AA845=""),"",分期持仓明细!$AB$23*(SUMPRODUCT(分期持仓明细!$B$23:$Y$23,'实盘净值数据(iFinD）'!$B845:$Y845/'实盘净值数据(iFinD）'!$B$65:$Y$65)+SUMPRODUCT(分期持仓明细!$AC$23:$AD$23,'实盘净值数据(iFinD）'!$Z845:$AA845/'实盘净值数据(iFinD）'!$Z$65:$AA$65))*(1-实盘持仓初始配置!$Z$7)^(('实盘净值数据(iFinD）'!$A845-'实盘净值数据(iFinD）'!$A$8)/365))</f>
        <v/>
      </c>
      <c r="L845" s="16" t="str">
        <f t="shared" si="81"/>
        <v/>
      </c>
      <c r="M845" s="16" t="str">
        <f>IF(K845="","",K845/MAX(K$5:K845)-1)</f>
        <v/>
      </c>
      <c r="N845" s="13" t="str">
        <f>IF(OR('实盘净值数据(iFinD）'!$A845="",'实盘净值数据(iFinD）'!$B845="",'实盘净值数据(iFinD）'!$Z845="",'实盘净值数据(iFinD）'!$AA845=""),"",分期持仓明细!$AB$24*(SUMPRODUCT(分期持仓明细!$B$24:$Y$24,'实盘净值数据(iFinD）'!$B845:$Y845/'实盘净值数据(iFinD）'!$B$65:$Y$65)+SUMPRODUCT(分期持仓明细!$AC$24:$AD$24,'实盘净值数据(iFinD）'!$Z845:$AA845/'实盘净值数据(iFinD）'!$Z$65:$AA$65))*(1-实盘持仓初始配置!$Z$8)^(('实盘净值数据(iFinD）'!$A845-'实盘净值数据(iFinD）'!$A$5)/365))</f>
        <v/>
      </c>
      <c r="O845" s="16" t="str">
        <f t="shared" si="82"/>
        <v/>
      </c>
      <c r="P845" s="16" t="str">
        <f>IF(N845="","",N845/MAX(N$5:N845)-1)</f>
        <v/>
      </c>
      <c r="Q845" s="13" t="str">
        <f>IF(OR('实盘净值数据(iFinD）'!$A845="",'实盘净值数据(iFinD）'!$B845="",'实盘净值数据(iFinD）'!$Z845="",'实盘净值数据(iFinD）'!$AA845=""),"",分期持仓明细!$AB$25*(SUMPRODUCT(分期持仓明细!$B$25:$Y$25,'实盘净值数据(iFinD）'!$B845:$Y845/'实盘净值数据(iFinD）'!$B$65:$Y$65)+SUMPRODUCT(分期持仓明细!$AC$25:$AD$25,'实盘净值数据(iFinD）'!$Z845:$AA845/'实盘净值数据(iFinD）'!$Z$65:$AA$65))*(1-实盘持仓初始配置!$Z$9)^(('实盘净值数据(iFinD）'!$A845-'实盘净值数据(iFinD）'!$A$8)/365))</f>
        <v/>
      </c>
      <c r="R845" s="16" t="str">
        <f t="shared" si="83"/>
        <v/>
      </c>
      <c r="S845" s="16" t="str">
        <f>IF(Q845="","",Q845/MAX(Q$5:Q845)-1)</f>
        <v/>
      </c>
    </row>
    <row r="846" spans="1:19">
      <c r="A846" s="15" t="str">
        <f>IF('实盘净值数据(iFinD）'!A846="","",'实盘净值数据(iFinD）'!A846)</f>
        <v/>
      </c>
      <c r="B846" s="13" t="str">
        <f>IF(OR('实盘净值数据(iFinD）'!$A846="",'实盘净值数据(iFinD）'!$B846=""),"",分期持仓明细!$AB$17*SUMPRODUCT(分期持仓明细!$B$17:$Y$17,'实盘净值数据(iFinD）'!$B846:$Y846/'实盘净值数据(iFinD）'!$B$20:$Y$20)*(1-实盘持仓初始配置!$Z$4)^(('实盘净值数据(iFinD）'!$A846-'实盘净值数据(iFinD）'!$A$6)/365))</f>
        <v/>
      </c>
      <c r="C846" s="16" t="str">
        <f t="shared" si="78"/>
        <v/>
      </c>
      <c r="D846" s="16" t="str">
        <f>IF(B846="","",B846/MAX(B$5:B846)-1)</f>
        <v/>
      </c>
      <c r="E846" s="13" t="str">
        <f>IF(OR('实盘净值数据(iFinD）'!$A846="",'实盘净值数据(iFinD）'!$B846=""),"",分期持仓明细!$AB$18*SUMPRODUCT(分期持仓明细!$B$18:$Y$18,'实盘净值数据(iFinD）'!$B846:$Y846/'实盘净值数据(iFinD）'!$B$20:$Y$20)*(1-实盘持仓初始配置!$Z$5)^(('实盘净值数据(iFinD）'!$A846-'实盘净值数据(iFinD）'!$A$5)/365))</f>
        <v/>
      </c>
      <c r="F846" s="16" t="str">
        <f t="shared" si="79"/>
        <v/>
      </c>
      <c r="G846" s="16" t="str">
        <f>IF(E846="","",E846/MAX(E$5:E846)-1)</f>
        <v/>
      </c>
      <c r="H846" s="13" t="str">
        <f>IF(OR('实盘净值数据(iFinD）'!$A846="",'实盘净值数据(iFinD）'!$B846=""),"",分期持仓明细!$AB$19*SUMPRODUCT(分期持仓明细!$B$19:$Y$19,'实盘净值数据(iFinD）'!$B846:$Y846/'实盘净值数据(iFinD）'!$B$20:$Y$20)*(1-实盘持仓初始配置!$Z$6)^(('实盘净值数据(iFinD）'!$A846-'实盘净值数据(iFinD）'!$A$7)/365))</f>
        <v/>
      </c>
      <c r="I846" s="16" t="str">
        <f t="shared" si="80"/>
        <v/>
      </c>
      <c r="J846" s="16" t="str">
        <f>IF(H846="","",H846/MAX(H$5:H846)-1)</f>
        <v/>
      </c>
      <c r="K846" s="13" t="str">
        <f>IF(OR('实盘净值数据(iFinD）'!$A846="",'实盘净值数据(iFinD）'!$B846="",'实盘净值数据(iFinD）'!$Z846="",'实盘净值数据(iFinD）'!$AA846=""),"",分期持仓明细!$AB$23*(SUMPRODUCT(分期持仓明细!$B$23:$Y$23,'实盘净值数据(iFinD）'!$B846:$Y846/'实盘净值数据(iFinD）'!$B$65:$Y$65)+SUMPRODUCT(分期持仓明细!$AC$23:$AD$23,'实盘净值数据(iFinD）'!$Z846:$AA846/'实盘净值数据(iFinD）'!$Z$65:$AA$65))*(1-实盘持仓初始配置!$Z$7)^(('实盘净值数据(iFinD）'!$A846-'实盘净值数据(iFinD）'!$A$8)/365))</f>
        <v/>
      </c>
      <c r="L846" s="16" t="str">
        <f t="shared" si="81"/>
        <v/>
      </c>
      <c r="M846" s="16" t="str">
        <f>IF(K846="","",K846/MAX(K$5:K846)-1)</f>
        <v/>
      </c>
      <c r="N846" s="13" t="str">
        <f>IF(OR('实盘净值数据(iFinD）'!$A846="",'实盘净值数据(iFinD）'!$B846="",'实盘净值数据(iFinD）'!$Z846="",'实盘净值数据(iFinD）'!$AA846=""),"",分期持仓明细!$AB$24*(SUMPRODUCT(分期持仓明细!$B$24:$Y$24,'实盘净值数据(iFinD）'!$B846:$Y846/'实盘净值数据(iFinD）'!$B$65:$Y$65)+SUMPRODUCT(分期持仓明细!$AC$24:$AD$24,'实盘净值数据(iFinD）'!$Z846:$AA846/'实盘净值数据(iFinD）'!$Z$65:$AA$65))*(1-实盘持仓初始配置!$Z$8)^(('实盘净值数据(iFinD）'!$A846-'实盘净值数据(iFinD）'!$A$5)/365))</f>
        <v/>
      </c>
      <c r="O846" s="16" t="str">
        <f t="shared" si="82"/>
        <v/>
      </c>
      <c r="P846" s="16" t="str">
        <f>IF(N846="","",N846/MAX(N$5:N846)-1)</f>
        <v/>
      </c>
      <c r="Q846" s="13" t="str">
        <f>IF(OR('实盘净值数据(iFinD）'!$A846="",'实盘净值数据(iFinD）'!$B846="",'实盘净值数据(iFinD）'!$Z846="",'实盘净值数据(iFinD）'!$AA846=""),"",分期持仓明细!$AB$25*(SUMPRODUCT(分期持仓明细!$B$25:$Y$25,'实盘净值数据(iFinD）'!$B846:$Y846/'实盘净值数据(iFinD）'!$B$65:$Y$65)+SUMPRODUCT(分期持仓明细!$AC$25:$AD$25,'实盘净值数据(iFinD）'!$Z846:$AA846/'实盘净值数据(iFinD）'!$Z$65:$AA$65))*(1-实盘持仓初始配置!$Z$9)^(('实盘净值数据(iFinD）'!$A846-'实盘净值数据(iFinD）'!$A$8)/365))</f>
        <v/>
      </c>
      <c r="R846" s="16" t="str">
        <f t="shared" si="83"/>
        <v/>
      </c>
      <c r="S846" s="16" t="str">
        <f>IF(Q846="","",Q846/MAX(Q$5:Q846)-1)</f>
        <v/>
      </c>
    </row>
    <row r="847" spans="1:19">
      <c r="A847" s="15" t="str">
        <f>IF('实盘净值数据(iFinD）'!A847="","",'实盘净值数据(iFinD）'!A847)</f>
        <v/>
      </c>
      <c r="B847" s="13" t="str">
        <f>IF(OR('实盘净值数据(iFinD）'!$A847="",'实盘净值数据(iFinD）'!$B847=""),"",分期持仓明细!$AB$17*SUMPRODUCT(分期持仓明细!$B$17:$Y$17,'实盘净值数据(iFinD）'!$B847:$Y847/'实盘净值数据(iFinD）'!$B$20:$Y$20)*(1-实盘持仓初始配置!$Z$4)^(('实盘净值数据(iFinD）'!$A847-'实盘净值数据(iFinD）'!$A$6)/365))</f>
        <v/>
      </c>
      <c r="C847" s="16" t="str">
        <f t="shared" si="78"/>
        <v/>
      </c>
      <c r="D847" s="16" t="str">
        <f>IF(B847="","",B847/MAX(B$5:B847)-1)</f>
        <v/>
      </c>
      <c r="E847" s="13" t="str">
        <f>IF(OR('实盘净值数据(iFinD）'!$A847="",'实盘净值数据(iFinD）'!$B847=""),"",分期持仓明细!$AB$18*SUMPRODUCT(分期持仓明细!$B$18:$Y$18,'实盘净值数据(iFinD）'!$B847:$Y847/'实盘净值数据(iFinD）'!$B$20:$Y$20)*(1-实盘持仓初始配置!$Z$5)^(('实盘净值数据(iFinD）'!$A847-'实盘净值数据(iFinD）'!$A$5)/365))</f>
        <v/>
      </c>
      <c r="F847" s="16" t="str">
        <f t="shared" si="79"/>
        <v/>
      </c>
      <c r="G847" s="16" t="str">
        <f>IF(E847="","",E847/MAX(E$5:E847)-1)</f>
        <v/>
      </c>
      <c r="H847" s="13" t="str">
        <f>IF(OR('实盘净值数据(iFinD）'!$A847="",'实盘净值数据(iFinD）'!$B847=""),"",分期持仓明细!$AB$19*SUMPRODUCT(分期持仓明细!$B$19:$Y$19,'实盘净值数据(iFinD）'!$B847:$Y847/'实盘净值数据(iFinD）'!$B$20:$Y$20)*(1-实盘持仓初始配置!$Z$6)^(('实盘净值数据(iFinD）'!$A847-'实盘净值数据(iFinD）'!$A$7)/365))</f>
        <v/>
      </c>
      <c r="I847" s="16" t="str">
        <f t="shared" si="80"/>
        <v/>
      </c>
      <c r="J847" s="16" t="str">
        <f>IF(H847="","",H847/MAX(H$5:H847)-1)</f>
        <v/>
      </c>
      <c r="K847" s="13" t="str">
        <f>IF(OR('实盘净值数据(iFinD）'!$A847="",'实盘净值数据(iFinD）'!$B847="",'实盘净值数据(iFinD）'!$Z847="",'实盘净值数据(iFinD）'!$AA847=""),"",分期持仓明细!$AB$23*(SUMPRODUCT(分期持仓明细!$B$23:$Y$23,'实盘净值数据(iFinD）'!$B847:$Y847/'实盘净值数据(iFinD）'!$B$65:$Y$65)+SUMPRODUCT(分期持仓明细!$AC$23:$AD$23,'实盘净值数据(iFinD）'!$Z847:$AA847/'实盘净值数据(iFinD）'!$Z$65:$AA$65))*(1-实盘持仓初始配置!$Z$7)^(('实盘净值数据(iFinD）'!$A847-'实盘净值数据(iFinD）'!$A$8)/365))</f>
        <v/>
      </c>
      <c r="L847" s="16" t="str">
        <f t="shared" si="81"/>
        <v/>
      </c>
      <c r="M847" s="16" t="str">
        <f>IF(K847="","",K847/MAX(K$5:K847)-1)</f>
        <v/>
      </c>
      <c r="N847" s="13" t="str">
        <f>IF(OR('实盘净值数据(iFinD）'!$A847="",'实盘净值数据(iFinD）'!$B847="",'实盘净值数据(iFinD）'!$Z847="",'实盘净值数据(iFinD）'!$AA847=""),"",分期持仓明细!$AB$24*(SUMPRODUCT(分期持仓明细!$B$24:$Y$24,'实盘净值数据(iFinD）'!$B847:$Y847/'实盘净值数据(iFinD）'!$B$65:$Y$65)+SUMPRODUCT(分期持仓明细!$AC$24:$AD$24,'实盘净值数据(iFinD）'!$Z847:$AA847/'实盘净值数据(iFinD）'!$Z$65:$AA$65))*(1-实盘持仓初始配置!$Z$8)^(('实盘净值数据(iFinD）'!$A847-'实盘净值数据(iFinD）'!$A$5)/365))</f>
        <v/>
      </c>
      <c r="O847" s="16" t="str">
        <f t="shared" si="82"/>
        <v/>
      </c>
      <c r="P847" s="16" t="str">
        <f>IF(N847="","",N847/MAX(N$5:N847)-1)</f>
        <v/>
      </c>
      <c r="Q847" s="13" t="str">
        <f>IF(OR('实盘净值数据(iFinD）'!$A847="",'实盘净值数据(iFinD）'!$B847="",'实盘净值数据(iFinD）'!$Z847="",'实盘净值数据(iFinD）'!$AA847=""),"",分期持仓明细!$AB$25*(SUMPRODUCT(分期持仓明细!$B$25:$Y$25,'实盘净值数据(iFinD）'!$B847:$Y847/'实盘净值数据(iFinD）'!$B$65:$Y$65)+SUMPRODUCT(分期持仓明细!$AC$25:$AD$25,'实盘净值数据(iFinD）'!$Z847:$AA847/'实盘净值数据(iFinD）'!$Z$65:$AA$65))*(1-实盘持仓初始配置!$Z$9)^(('实盘净值数据(iFinD）'!$A847-'实盘净值数据(iFinD）'!$A$8)/365))</f>
        <v/>
      </c>
      <c r="R847" s="16" t="str">
        <f t="shared" si="83"/>
        <v/>
      </c>
      <c r="S847" s="16" t="str">
        <f>IF(Q847="","",Q847/MAX(Q$5:Q847)-1)</f>
        <v/>
      </c>
    </row>
    <row r="848" spans="1:19">
      <c r="A848" s="15" t="str">
        <f>IF('实盘净值数据(iFinD）'!A848="","",'实盘净值数据(iFinD）'!A848)</f>
        <v/>
      </c>
      <c r="B848" s="13" t="str">
        <f>IF(OR('实盘净值数据(iFinD）'!$A848="",'实盘净值数据(iFinD）'!$B848=""),"",分期持仓明细!$AB$17*SUMPRODUCT(分期持仓明细!$B$17:$Y$17,'实盘净值数据(iFinD）'!$B848:$Y848/'实盘净值数据(iFinD）'!$B$20:$Y$20)*(1-实盘持仓初始配置!$Z$4)^(('实盘净值数据(iFinD）'!$A848-'实盘净值数据(iFinD）'!$A$6)/365))</f>
        <v/>
      </c>
      <c r="C848" s="16" t="str">
        <f t="shared" si="78"/>
        <v/>
      </c>
      <c r="D848" s="16" t="str">
        <f>IF(B848="","",B848/MAX(B$5:B848)-1)</f>
        <v/>
      </c>
      <c r="E848" s="13" t="str">
        <f>IF(OR('实盘净值数据(iFinD）'!$A848="",'实盘净值数据(iFinD）'!$B848=""),"",分期持仓明细!$AB$18*SUMPRODUCT(分期持仓明细!$B$18:$Y$18,'实盘净值数据(iFinD）'!$B848:$Y848/'实盘净值数据(iFinD）'!$B$20:$Y$20)*(1-实盘持仓初始配置!$Z$5)^(('实盘净值数据(iFinD）'!$A848-'实盘净值数据(iFinD）'!$A$5)/365))</f>
        <v/>
      </c>
      <c r="F848" s="16" t="str">
        <f t="shared" si="79"/>
        <v/>
      </c>
      <c r="G848" s="16" t="str">
        <f>IF(E848="","",E848/MAX(E$5:E848)-1)</f>
        <v/>
      </c>
      <c r="H848" s="13" t="str">
        <f>IF(OR('实盘净值数据(iFinD）'!$A848="",'实盘净值数据(iFinD）'!$B848=""),"",分期持仓明细!$AB$19*SUMPRODUCT(分期持仓明细!$B$19:$Y$19,'实盘净值数据(iFinD）'!$B848:$Y848/'实盘净值数据(iFinD）'!$B$20:$Y$20)*(1-实盘持仓初始配置!$Z$6)^(('实盘净值数据(iFinD）'!$A848-'实盘净值数据(iFinD）'!$A$7)/365))</f>
        <v/>
      </c>
      <c r="I848" s="16" t="str">
        <f t="shared" si="80"/>
        <v/>
      </c>
      <c r="J848" s="16" t="str">
        <f>IF(H848="","",H848/MAX(H$5:H848)-1)</f>
        <v/>
      </c>
      <c r="K848" s="13" t="str">
        <f>IF(OR('实盘净值数据(iFinD）'!$A848="",'实盘净值数据(iFinD）'!$B848="",'实盘净值数据(iFinD）'!$Z848="",'实盘净值数据(iFinD）'!$AA848=""),"",分期持仓明细!$AB$23*(SUMPRODUCT(分期持仓明细!$B$23:$Y$23,'实盘净值数据(iFinD）'!$B848:$Y848/'实盘净值数据(iFinD）'!$B$65:$Y$65)+SUMPRODUCT(分期持仓明细!$AC$23:$AD$23,'实盘净值数据(iFinD）'!$Z848:$AA848/'实盘净值数据(iFinD）'!$Z$65:$AA$65))*(1-实盘持仓初始配置!$Z$7)^(('实盘净值数据(iFinD）'!$A848-'实盘净值数据(iFinD）'!$A$8)/365))</f>
        <v/>
      </c>
      <c r="L848" s="16" t="str">
        <f t="shared" si="81"/>
        <v/>
      </c>
      <c r="M848" s="16" t="str">
        <f>IF(K848="","",K848/MAX(K$5:K848)-1)</f>
        <v/>
      </c>
      <c r="N848" s="13" t="str">
        <f>IF(OR('实盘净值数据(iFinD）'!$A848="",'实盘净值数据(iFinD）'!$B848="",'实盘净值数据(iFinD）'!$Z848="",'实盘净值数据(iFinD）'!$AA848=""),"",分期持仓明细!$AB$24*(SUMPRODUCT(分期持仓明细!$B$24:$Y$24,'实盘净值数据(iFinD）'!$B848:$Y848/'实盘净值数据(iFinD）'!$B$65:$Y$65)+SUMPRODUCT(分期持仓明细!$AC$24:$AD$24,'实盘净值数据(iFinD）'!$Z848:$AA848/'实盘净值数据(iFinD）'!$Z$65:$AA$65))*(1-实盘持仓初始配置!$Z$8)^(('实盘净值数据(iFinD）'!$A848-'实盘净值数据(iFinD）'!$A$5)/365))</f>
        <v/>
      </c>
      <c r="O848" s="16" t="str">
        <f t="shared" si="82"/>
        <v/>
      </c>
      <c r="P848" s="16" t="str">
        <f>IF(N848="","",N848/MAX(N$5:N848)-1)</f>
        <v/>
      </c>
      <c r="Q848" s="13" t="str">
        <f>IF(OR('实盘净值数据(iFinD）'!$A848="",'实盘净值数据(iFinD）'!$B848="",'实盘净值数据(iFinD）'!$Z848="",'实盘净值数据(iFinD）'!$AA848=""),"",分期持仓明细!$AB$25*(SUMPRODUCT(分期持仓明细!$B$25:$Y$25,'实盘净值数据(iFinD）'!$B848:$Y848/'实盘净值数据(iFinD）'!$B$65:$Y$65)+SUMPRODUCT(分期持仓明细!$AC$25:$AD$25,'实盘净值数据(iFinD）'!$Z848:$AA848/'实盘净值数据(iFinD）'!$Z$65:$AA$65))*(1-实盘持仓初始配置!$Z$9)^(('实盘净值数据(iFinD）'!$A848-'实盘净值数据(iFinD）'!$A$8)/365))</f>
        <v/>
      </c>
      <c r="R848" s="16" t="str">
        <f t="shared" si="83"/>
        <v/>
      </c>
      <c r="S848" s="16" t="str">
        <f>IF(Q848="","",Q848/MAX(Q$5:Q848)-1)</f>
        <v/>
      </c>
    </row>
    <row r="849" spans="1:19">
      <c r="A849" s="15" t="str">
        <f>IF('实盘净值数据(iFinD）'!A849="","",'实盘净值数据(iFinD）'!A849)</f>
        <v/>
      </c>
      <c r="B849" s="13" t="str">
        <f>IF(OR('实盘净值数据(iFinD）'!$A849="",'实盘净值数据(iFinD）'!$B849=""),"",分期持仓明细!$AB$17*SUMPRODUCT(分期持仓明细!$B$17:$Y$17,'实盘净值数据(iFinD）'!$B849:$Y849/'实盘净值数据(iFinD）'!$B$20:$Y$20)*(1-实盘持仓初始配置!$Z$4)^(('实盘净值数据(iFinD）'!$A849-'实盘净值数据(iFinD）'!$A$6)/365))</f>
        <v/>
      </c>
      <c r="C849" s="16" t="str">
        <f t="shared" si="78"/>
        <v/>
      </c>
      <c r="D849" s="16" t="str">
        <f>IF(B849="","",B849/MAX(B$5:B849)-1)</f>
        <v/>
      </c>
      <c r="E849" s="13" t="str">
        <f>IF(OR('实盘净值数据(iFinD）'!$A849="",'实盘净值数据(iFinD）'!$B849=""),"",分期持仓明细!$AB$18*SUMPRODUCT(分期持仓明细!$B$18:$Y$18,'实盘净值数据(iFinD）'!$B849:$Y849/'实盘净值数据(iFinD）'!$B$20:$Y$20)*(1-实盘持仓初始配置!$Z$5)^(('实盘净值数据(iFinD）'!$A849-'实盘净值数据(iFinD）'!$A$5)/365))</f>
        <v/>
      </c>
      <c r="F849" s="16" t="str">
        <f t="shared" si="79"/>
        <v/>
      </c>
      <c r="G849" s="16" t="str">
        <f>IF(E849="","",E849/MAX(E$5:E849)-1)</f>
        <v/>
      </c>
      <c r="H849" s="13" t="str">
        <f>IF(OR('实盘净值数据(iFinD）'!$A849="",'实盘净值数据(iFinD）'!$B849=""),"",分期持仓明细!$AB$19*SUMPRODUCT(分期持仓明细!$B$19:$Y$19,'实盘净值数据(iFinD）'!$B849:$Y849/'实盘净值数据(iFinD）'!$B$20:$Y$20)*(1-实盘持仓初始配置!$Z$6)^(('实盘净值数据(iFinD）'!$A849-'实盘净值数据(iFinD）'!$A$7)/365))</f>
        <v/>
      </c>
      <c r="I849" s="16" t="str">
        <f t="shared" si="80"/>
        <v/>
      </c>
      <c r="J849" s="16" t="str">
        <f>IF(H849="","",H849/MAX(H$5:H849)-1)</f>
        <v/>
      </c>
      <c r="K849" s="13" t="str">
        <f>IF(OR('实盘净值数据(iFinD）'!$A849="",'实盘净值数据(iFinD）'!$B849="",'实盘净值数据(iFinD）'!$Z849="",'实盘净值数据(iFinD）'!$AA849=""),"",分期持仓明细!$AB$23*(SUMPRODUCT(分期持仓明细!$B$23:$Y$23,'实盘净值数据(iFinD）'!$B849:$Y849/'实盘净值数据(iFinD）'!$B$65:$Y$65)+SUMPRODUCT(分期持仓明细!$AC$23:$AD$23,'实盘净值数据(iFinD）'!$Z849:$AA849/'实盘净值数据(iFinD）'!$Z$65:$AA$65))*(1-实盘持仓初始配置!$Z$7)^(('实盘净值数据(iFinD）'!$A849-'实盘净值数据(iFinD）'!$A$8)/365))</f>
        <v/>
      </c>
      <c r="L849" s="16" t="str">
        <f t="shared" si="81"/>
        <v/>
      </c>
      <c r="M849" s="16" t="str">
        <f>IF(K849="","",K849/MAX(K$5:K849)-1)</f>
        <v/>
      </c>
      <c r="N849" s="13" t="str">
        <f>IF(OR('实盘净值数据(iFinD）'!$A849="",'实盘净值数据(iFinD）'!$B849="",'实盘净值数据(iFinD）'!$Z849="",'实盘净值数据(iFinD）'!$AA849=""),"",分期持仓明细!$AB$24*(SUMPRODUCT(分期持仓明细!$B$24:$Y$24,'实盘净值数据(iFinD）'!$B849:$Y849/'实盘净值数据(iFinD）'!$B$65:$Y$65)+SUMPRODUCT(分期持仓明细!$AC$24:$AD$24,'实盘净值数据(iFinD）'!$Z849:$AA849/'实盘净值数据(iFinD）'!$Z$65:$AA$65))*(1-实盘持仓初始配置!$Z$8)^(('实盘净值数据(iFinD）'!$A849-'实盘净值数据(iFinD）'!$A$5)/365))</f>
        <v/>
      </c>
      <c r="O849" s="16" t="str">
        <f t="shared" si="82"/>
        <v/>
      </c>
      <c r="P849" s="16" t="str">
        <f>IF(N849="","",N849/MAX(N$5:N849)-1)</f>
        <v/>
      </c>
      <c r="Q849" s="13" t="str">
        <f>IF(OR('实盘净值数据(iFinD）'!$A849="",'实盘净值数据(iFinD）'!$B849="",'实盘净值数据(iFinD）'!$Z849="",'实盘净值数据(iFinD）'!$AA849=""),"",分期持仓明细!$AB$25*(SUMPRODUCT(分期持仓明细!$B$25:$Y$25,'实盘净值数据(iFinD）'!$B849:$Y849/'实盘净值数据(iFinD）'!$B$65:$Y$65)+SUMPRODUCT(分期持仓明细!$AC$25:$AD$25,'实盘净值数据(iFinD）'!$Z849:$AA849/'实盘净值数据(iFinD）'!$Z$65:$AA$65))*(1-实盘持仓初始配置!$Z$9)^(('实盘净值数据(iFinD）'!$A849-'实盘净值数据(iFinD）'!$A$8)/365))</f>
        <v/>
      </c>
      <c r="R849" s="16" t="str">
        <f t="shared" si="83"/>
        <v/>
      </c>
      <c r="S849" s="16" t="str">
        <f>IF(Q849="","",Q849/MAX(Q$5:Q849)-1)</f>
        <v/>
      </c>
    </row>
    <row r="850" spans="1:19">
      <c r="A850" s="15" t="str">
        <f>IF('实盘净值数据(iFinD）'!A850="","",'实盘净值数据(iFinD）'!A850)</f>
        <v/>
      </c>
      <c r="B850" s="13" t="str">
        <f>IF(OR('实盘净值数据(iFinD）'!$A850="",'实盘净值数据(iFinD）'!$B850=""),"",分期持仓明细!$AB$17*SUMPRODUCT(分期持仓明细!$B$17:$Y$17,'实盘净值数据(iFinD）'!$B850:$Y850/'实盘净值数据(iFinD）'!$B$20:$Y$20)*(1-实盘持仓初始配置!$Z$4)^(('实盘净值数据(iFinD）'!$A850-'实盘净值数据(iFinD）'!$A$6)/365))</f>
        <v/>
      </c>
      <c r="C850" s="16" t="str">
        <f t="shared" si="78"/>
        <v/>
      </c>
      <c r="D850" s="16" t="str">
        <f>IF(B850="","",B850/MAX(B$5:B850)-1)</f>
        <v/>
      </c>
      <c r="E850" s="13" t="str">
        <f>IF(OR('实盘净值数据(iFinD）'!$A850="",'实盘净值数据(iFinD）'!$B850=""),"",分期持仓明细!$AB$18*SUMPRODUCT(分期持仓明细!$B$18:$Y$18,'实盘净值数据(iFinD）'!$B850:$Y850/'实盘净值数据(iFinD）'!$B$20:$Y$20)*(1-实盘持仓初始配置!$Z$5)^(('实盘净值数据(iFinD）'!$A850-'实盘净值数据(iFinD）'!$A$5)/365))</f>
        <v/>
      </c>
      <c r="F850" s="16" t="str">
        <f t="shared" si="79"/>
        <v/>
      </c>
      <c r="G850" s="16" t="str">
        <f>IF(E850="","",E850/MAX(E$5:E850)-1)</f>
        <v/>
      </c>
      <c r="H850" s="13" t="str">
        <f>IF(OR('实盘净值数据(iFinD）'!$A850="",'实盘净值数据(iFinD）'!$B850=""),"",分期持仓明细!$AB$19*SUMPRODUCT(分期持仓明细!$B$19:$Y$19,'实盘净值数据(iFinD）'!$B850:$Y850/'实盘净值数据(iFinD）'!$B$20:$Y$20)*(1-实盘持仓初始配置!$Z$6)^(('实盘净值数据(iFinD）'!$A850-'实盘净值数据(iFinD）'!$A$7)/365))</f>
        <v/>
      </c>
      <c r="I850" s="16" t="str">
        <f t="shared" si="80"/>
        <v/>
      </c>
      <c r="J850" s="16" t="str">
        <f>IF(H850="","",H850/MAX(H$5:H850)-1)</f>
        <v/>
      </c>
      <c r="K850" s="13" t="str">
        <f>IF(OR('实盘净值数据(iFinD）'!$A850="",'实盘净值数据(iFinD）'!$B850="",'实盘净值数据(iFinD）'!$Z850="",'实盘净值数据(iFinD）'!$AA850=""),"",分期持仓明细!$AB$23*(SUMPRODUCT(分期持仓明细!$B$23:$Y$23,'实盘净值数据(iFinD）'!$B850:$Y850/'实盘净值数据(iFinD）'!$B$65:$Y$65)+SUMPRODUCT(分期持仓明细!$AC$23:$AD$23,'实盘净值数据(iFinD）'!$Z850:$AA850/'实盘净值数据(iFinD）'!$Z$65:$AA$65))*(1-实盘持仓初始配置!$Z$7)^(('实盘净值数据(iFinD）'!$A850-'实盘净值数据(iFinD）'!$A$8)/365))</f>
        <v/>
      </c>
      <c r="L850" s="16" t="str">
        <f t="shared" si="81"/>
        <v/>
      </c>
      <c r="M850" s="16" t="str">
        <f>IF(K850="","",K850/MAX(K$5:K850)-1)</f>
        <v/>
      </c>
      <c r="N850" s="13" t="str">
        <f>IF(OR('实盘净值数据(iFinD）'!$A850="",'实盘净值数据(iFinD）'!$B850="",'实盘净值数据(iFinD）'!$Z850="",'实盘净值数据(iFinD）'!$AA850=""),"",分期持仓明细!$AB$24*(SUMPRODUCT(分期持仓明细!$B$24:$Y$24,'实盘净值数据(iFinD）'!$B850:$Y850/'实盘净值数据(iFinD）'!$B$65:$Y$65)+SUMPRODUCT(分期持仓明细!$AC$24:$AD$24,'实盘净值数据(iFinD）'!$Z850:$AA850/'实盘净值数据(iFinD）'!$Z$65:$AA$65))*(1-实盘持仓初始配置!$Z$8)^(('实盘净值数据(iFinD）'!$A850-'实盘净值数据(iFinD）'!$A$5)/365))</f>
        <v/>
      </c>
      <c r="O850" s="16" t="str">
        <f t="shared" si="82"/>
        <v/>
      </c>
      <c r="P850" s="16" t="str">
        <f>IF(N850="","",N850/MAX(N$5:N850)-1)</f>
        <v/>
      </c>
      <c r="Q850" s="13" t="str">
        <f>IF(OR('实盘净值数据(iFinD）'!$A850="",'实盘净值数据(iFinD）'!$B850="",'实盘净值数据(iFinD）'!$Z850="",'实盘净值数据(iFinD）'!$AA850=""),"",分期持仓明细!$AB$25*(SUMPRODUCT(分期持仓明细!$B$25:$Y$25,'实盘净值数据(iFinD）'!$B850:$Y850/'实盘净值数据(iFinD）'!$B$65:$Y$65)+SUMPRODUCT(分期持仓明细!$AC$25:$AD$25,'实盘净值数据(iFinD）'!$Z850:$AA850/'实盘净值数据(iFinD）'!$Z$65:$AA$65))*(1-实盘持仓初始配置!$Z$9)^(('实盘净值数据(iFinD）'!$A850-'实盘净值数据(iFinD）'!$A$8)/365))</f>
        <v/>
      </c>
      <c r="R850" s="16" t="str">
        <f t="shared" si="83"/>
        <v/>
      </c>
      <c r="S850" s="16" t="str">
        <f>IF(Q850="","",Q850/MAX(Q$5:Q850)-1)</f>
        <v/>
      </c>
    </row>
    <row r="851" spans="1:19">
      <c r="A851" s="15" t="str">
        <f>IF('实盘净值数据(iFinD）'!A851="","",'实盘净值数据(iFinD）'!A851)</f>
        <v/>
      </c>
      <c r="B851" s="13" t="str">
        <f>IF(OR('实盘净值数据(iFinD）'!$A851="",'实盘净值数据(iFinD）'!$B851=""),"",分期持仓明细!$AB$17*SUMPRODUCT(分期持仓明细!$B$17:$Y$17,'实盘净值数据(iFinD）'!$B851:$Y851/'实盘净值数据(iFinD）'!$B$20:$Y$20)*(1-实盘持仓初始配置!$Z$4)^(('实盘净值数据(iFinD）'!$A851-'实盘净值数据(iFinD）'!$A$6)/365))</f>
        <v/>
      </c>
      <c r="C851" s="16" t="str">
        <f t="shared" si="78"/>
        <v/>
      </c>
      <c r="D851" s="16" t="str">
        <f>IF(B851="","",B851/MAX(B$5:B851)-1)</f>
        <v/>
      </c>
      <c r="E851" s="13" t="str">
        <f>IF(OR('实盘净值数据(iFinD）'!$A851="",'实盘净值数据(iFinD）'!$B851=""),"",分期持仓明细!$AB$18*SUMPRODUCT(分期持仓明细!$B$18:$Y$18,'实盘净值数据(iFinD）'!$B851:$Y851/'实盘净值数据(iFinD）'!$B$20:$Y$20)*(1-实盘持仓初始配置!$Z$5)^(('实盘净值数据(iFinD）'!$A851-'实盘净值数据(iFinD）'!$A$5)/365))</f>
        <v/>
      </c>
      <c r="F851" s="16" t="str">
        <f t="shared" si="79"/>
        <v/>
      </c>
      <c r="G851" s="16" t="str">
        <f>IF(E851="","",E851/MAX(E$5:E851)-1)</f>
        <v/>
      </c>
      <c r="H851" s="13" t="str">
        <f>IF(OR('实盘净值数据(iFinD）'!$A851="",'实盘净值数据(iFinD）'!$B851=""),"",分期持仓明细!$AB$19*SUMPRODUCT(分期持仓明细!$B$19:$Y$19,'实盘净值数据(iFinD）'!$B851:$Y851/'实盘净值数据(iFinD）'!$B$20:$Y$20)*(1-实盘持仓初始配置!$Z$6)^(('实盘净值数据(iFinD）'!$A851-'实盘净值数据(iFinD）'!$A$7)/365))</f>
        <v/>
      </c>
      <c r="I851" s="16" t="str">
        <f t="shared" si="80"/>
        <v/>
      </c>
      <c r="J851" s="16" t="str">
        <f>IF(H851="","",H851/MAX(H$5:H851)-1)</f>
        <v/>
      </c>
      <c r="K851" s="13" t="str">
        <f>IF(OR('实盘净值数据(iFinD）'!$A851="",'实盘净值数据(iFinD）'!$B851="",'实盘净值数据(iFinD）'!$Z851="",'实盘净值数据(iFinD）'!$AA851=""),"",分期持仓明细!$AB$23*(SUMPRODUCT(分期持仓明细!$B$23:$Y$23,'实盘净值数据(iFinD）'!$B851:$Y851/'实盘净值数据(iFinD）'!$B$65:$Y$65)+SUMPRODUCT(分期持仓明细!$AC$23:$AD$23,'实盘净值数据(iFinD）'!$Z851:$AA851/'实盘净值数据(iFinD）'!$Z$65:$AA$65))*(1-实盘持仓初始配置!$Z$7)^(('实盘净值数据(iFinD）'!$A851-'实盘净值数据(iFinD）'!$A$8)/365))</f>
        <v/>
      </c>
      <c r="L851" s="16" t="str">
        <f t="shared" si="81"/>
        <v/>
      </c>
      <c r="M851" s="16" t="str">
        <f>IF(K851="","",K851/MAX(K$5:K851)-1)</f>
        <v/>
      </c>
      <c r="N851" s="13" t="str">
        <f>IF(OR('实盘净值数据(iFinD）'!$A851="",'实盘净值数据(iFinD）'!$B851="",'实盘净值数据(iFinD）'!$Z851="",'实盘净值数据(iFinD）'!$AA851=""),"",分期持仓明细!$AB$24*(SUMPRODUCT(分期持仓明细!$B$24:$Y$24,'实盘净值数据(iFinD）'!$B851:$Y851/'实盘净值数据(iFinD）'!$B$65:$Y$65)+SUMPRODUCT(分期持仓明细!$AC$24:$AD$24,'实盘净值数据(iFinD）'!$Z851:$AA851/'实盘净值数据(iFinD）'!$Z$65:$AA$65))*(1-实盘持仓初始配置!$Z$8)^(('实盘净值数据(iFinD）'!$A851-'实盘净值数据(iFinD）'!$A$5)/365))</f>
        <v/>
      </c>
      <c r="O851" s="16" t="str">
        <f t="shared" si="82"/>
        <v/>
      </c>
      <c r="P851" s="16" t="str">
        <f>IF(N851="","",N851/MAX(N$5:N851)-1)</f>
        <v/>
      </c>
      <c r="Q851" s="13" t="str">
        <f>IF(OR('实盘净值数据(iFinD）'!$A851="",'实盘净值数据(iFinD）'!$B851="",'实盘净值数据(iFinD）'!$Z851="",'实盘净值数据(iFinD）'!$AA851=""),"",分期持仓明细!$AB$25*(SUMPRODUCT(分期持仓明细!$B$25:$Y$25,'实盘净值数据(iFinD）'!$B851:$Y851/'实盘净值数据(iFinD）'!$B$65:$Y$65)+SUMPRODUCT(分期持仓明细!$AC$25:$AD$25,'实盘净值数据(iFinD）'!$Z851:$AA851/'实盘净值数据(iFinD）'!$Z$65:$AA$65))*(1-实盘持仓初始配置!$Z$9)^(('实盘净值数据(iFinD）'!$A851-'实盘净值数据(iFinD）'!$A$8)/365))</f>
        <v/>
      </c>
      <c r="R851" s="16" t="str">
        <f t="shared" si="83"/>
        <v/>
      </c>
      <c r="S851" s="16" t="str">
        <f>IF(Q851="","",Q851/MAX(Q$5:Q851)-1)</f>
        <v/>
      </c>
    </row>
    <row r="852" spans="1:19">
      <c r="A852" s="15" t="str">
        <f>IF('实盘净值数据(iFinD）'!A852="","",'实盘净值数据(iFinD）'!A852)</f>
        <v/>
      </c>
      <c r="B852" s="13" t="str">
        <f>IF(OR('实盘净值数据(iFinD）'!$A852="",'实盘净值数据(iFinD）'!$B852=""),"",分期持仓明细!$AB$17*SUMPRODUCT(分期持仓明细!$B$17:$Y$17,'实盘净值数据(iFinD）'!$B852:$Y852/'实盘净值数据(iFinD）'!$B$20:$Y$20)*(1-实盘持仓初始配置!$Z$4)^(('实盘净值数据(iFinD）'!$A852-'实盘净值数据(iFinD）'!$A$6)/365))</f>
        <v/>
      </c>
      <c r="C852" s="16" t="str">
        <f t="shared" si="78"/>
        <v/>
      </c>
      <c r="D852" s="16" t="str">
        <f>IF(B852="","",B852/MAX(B$5:B852)-1)</f>
        <v/>
      </c>
      <c r="E852" s="13" t="str">
        <f>IF(OR('实盘净值数据(iFinD）'!$A852="",'实盘净值数据(iFinD）'!$B852=""),"",分期持仓明细!$AB$18*SUMPRODUCT(分期持仓明细!$B$18:$Y$18,'实盘净值数据(iFinD）'!$B852:$Y852/'实盘净值数据(iFinD）'!$B$20:$Y$20)*(1-实盘持仓初始配置!$Z$5)^(('实盘净值数据(iFinD）'!$A852-'实盘净值数据(iFinD）'!$A$5)/365))</f>
        <v/>
      </c>
      <c r="F852" s="16" t="str">
        <f t="shared" si="79"/>
        <v/>
      </c>
      <c r="G852" s="16" t="str">
        <f>IF(E852="","",E852/MAX(E$5:E852)-1)</f>
        <v/>
      </c>
      <c r="H852" s="13" t="str">
        <f>IF(OR('实盘净值数据(iFinD）'!$A852="",'实盘净值数据(iFinD）'!$B852=""),"",分期持仓明细!$AB$19*SUMPRODUCT(分期持仓明细!$B$19:$Y$19,'实盘净值数据(iFinD）'!$B852:$Y852/'实盘净值数据(iFinD）'!$B$20:$Y$20)*(1-实盘持仓初始配置!$Z$6)^(('实盘净值数据(iFinD）'!$A852-'实盘净值数据(iFinD）'!$A$7)/365))</f>
        <v/>
      </c>
      <c r="I852" s="16" t="str">
        <f t="shared" si="80"/>
        <v/>
      </c>
      <c r="J852" s="16" t="str">
        <f>IF(H852="","",H852/MAX(H$5:H852)-1)</f>
        <v/>
      </c>
      <c r="K852" s="13" t="str">
        <f>IF(OR('实盘净值数据(iFinD）'!$A852="",'实盘净值数据(iFinD）'!$B852="",'实盘净值数据(iFinD）'!$Z852="",'实盘净值数据(iFinD）'!$AA852=""),"",分期持仓明细!$AB$23*(SUMPRODUCT(分期持仓明细!$B$23:$Y$23,'实盘净值数据(iFinD）'!$B852:$Y852/'实盘净值数据(iFinD）'!$B$65:$Y$65)+SUMPRODUCT(分期持仓明细!$AC$23:$AD$23,'实盘净值数据(iFinD）'!$Z852:$AA852/'实盘净值数据(iFinD）'!$Z$65:$AA$65))*(1-实盘持仓初始配置!$Z$7)^(('实盘净值数据(iFinD）'!$A852-'实盘净值数据(iFinD）'!$A$8)/365))</f>
        <v/>
      </c>
      <c r="L852" s="16" t="str">
        <f t="shared" si="81"/>
        <v/>
      </c>
      <c r="M852" s="16" t="str">
        <f>IF(K852="","",K852/MAX(K$5:K852)-1)</f>
        <v/>
      </c>
      <c r="N852" s="13" t="str">
        <f>IF(OR('实盘净值数据(iFinD）'!$A852="",'实盘净值数据(iFinD）'!$B852="",'实盘净值数据(iFinD）'!$Z852="",'实盘净值数据(iFinD）'!$AA852=""),"",分期持仓明细!$AB$24*(SUMPRODUCT(分期持仓明细!$B$24:$Y$24,'实盘净值数据(iFinD）'!$B852:$Y852/'实盘净值数据(iFinD）'!$B$65:$Y$65)+SUMPRODUCT(分期持仓明细!$AC$24:$AD$24,'实盘净值数据(iFinD）'!$Z852:$AA852/'实盘净值数据(iFinD）'!$Z$65:$AA$65))*(1-实盘持仓初始配置!$Z$8)^(('实盘净值数据(iFinD）'!$A852-'实盘净值数据(iFinD）'!$A$5)/365))</f>
        <v/>
      </c>
      <c r="O852" s="16" t="str">
        <f t="shared" si="82"/>
        <v/>
      </c>
      <c r="P852" s="16" t="str">
        <f>IF(N852="","",N852/MAX(N$5:N852)-1)</f>
        <v/>
      </c>
      <c r="Q852" s="13" t="str">
        <f>IF(OR('实盘净值数据(iFinD）'!$A852="",'实盘净值数据(iFinD）'!$B852="",'实盘净值数据(iFinD）'!$Z852="",'实盘净值数据(iFinD）'!$AA852=""),"",分期持仓明细!$AB$25*(SUMPRODUCT(分期持仓明细!$B$25:$Y$25,'实盘净值数据(iFinD）'!$B852:$Y852/'实盘净值数据(iFinD）'!$B$65:$Y$65)+SUMPRODUCT(分期持仓明细!$AC$25:$AD$25,'实盘净值数据(iFinD）'!$Z852:$AA852/'实盘净值数据(iFinD）'!$Z$65:$AA$65))*(1-实盘持仓初始配置!$Z$9)^(('实盘净值数据(iFinD）'!$A852-'实盘净值数据(iFinD）'!$A$8)/365))</f>
        <v/>
      </c>
      <c r="R852" s="16" t="str">
        <f t="shared" si="83"/>
        <v/>
      </c>
      <c r="S852" s="16" t="str">
        <f>IF(Q852="","",Q852/MAX(Q$5:Q852)-1)</f>
        <v/>
      </c>
    </row>
    <row r="853" spans="1:19">
      <c r="A853" s="15" t="str">
        <f>IF('实盘净值数据(iFinD）'!A853="","",'实盘净值数据(iFinD）'!A853)</f>
        <v/>
      </c>
      <c r="B853" s="13" t="str">
        <f>IF(OR('实盘净值数据(iFinD）'!$A853="",'实盘净值数据(iFinD）'!$B853=""),"",分期持仓明细!$AB$17*SUMPRODUCT(分期持仓明细!$B$17:$Y$17,'实盘净值数据(iFinD）'!$B853:$Y853/'实盘净值数据(iFinD）'!$B$20:$Y$20)*(1-实盘持仓初始配置!$Z$4)^(('实盘净值数据(iFinD）'!$A853-'实盘净值数据(iFinD）'!$A$6)/365))</f>
        <v/>
      </c>
      <c r="C853" s="16" t="str">
        <f t="shared" si="78"/>
        <v/>
      </c>
      <c r="D853" s="16" t="str">
        <f>IF(B853="","",B853/MAX(B$5:B853)-1)</f>
        <v/>
      </c>
      <c r="E853" s="13" t="str">
        <f>IF(OR('实盘净值数据(iFinD）'!$A853="",'实盘净值数据(iFinD）'!$B853=""),"",分期持仓明细!$AB$18*SUMPRODUCT(分期持仓明细!$B$18:$Y$18,'实盘净值数据(iFinD）'!$B853:$Y853/'实盘净值数据(iFinD）'!$B$20:$Y$20)*(1-实盘持仓初始配置!$Z$5)^(('实盘净值数据(iFinD）'!$A853-'实盘净值数据(iFinD）'!$A$5)/365))</f>
        <v/>
      </c>
      <c r="F853" s="16" t="str">
        <f t="shared" si="79"/>
        <v/>
      </c>
      <c r="G853" s="16" t="str">
        <f>IF(E853="","",E853/MAX(E$5:E853)-1)</f>
        <v/>
      </c>
      <c r="H853" s="13" t="str">
        <f>IF(OR('实盘净值数据(iFinD）'!$A853="",'实盘净值数据(iFinD）'!$B853=""),"",分期持仓明细!$AB$19*SUMPRODUCT(分期持仓明细!$B$19:$Y$19,'实盘净值数据(iFinD）'!$B853:$Y853/'实盘净值数据(iFinD）'!$B$20:$Y$20)*(1-实盘持仓初始配置!$Z$6)^(('实盘净值数据(iFinD）'!$A853-'实盘净值数据(iFinD）'!$A$7)/365))</f>
        <v/>
      </c>
      <c r="I853" s="16" t="str">
        <f t="shared" si="80"/>
        <v/>
      </c>
      <c r="J853" s="16" t="str">
        <f>IF(H853="","",H853/MAX(H$5:H853)-1)</f>
        <v/>
      </c>
      <c r="K853" s="13" t="str">
        <f>IF(OR('实盘净值数据(iFinD）'!$A853="",'实盘净值数据(iFinD）'!$B853="",'实盘净值数据(iFinD）'!$Z853="",'实盘净值数据(iFinD）'!$AA853=""),"",分期持仓明细!$AB$23*(SUMPRODUCT(分期持仓明细!$B$23:$Y$23,'实盘净值数据(iFinD）'!$B853:$Y853/'实盘净值数据(iFinD）'!$B$65:$Y$65)+SUMPRODUCT(分期持仓明细!$AC$23:$AD$23,'实盘净值数据(iFinD）'!$Z853:$AA853/'实盘净值数据(iFinD）'!$Z$65:$AA$65))*(1-实盘持仓初始配置!$Z$7)^(('实盘净值数据(iFinD）'!$A853-'实盘净值数据(iFinD）'!$A$8)/365))</f>
        <v/>
      </c>
      <c r="L853" s="16" t="str">
        <f t="shared" si="81"/>
        <v/>
      </c>
      <c r="M853" s="16" t="str">
        <f>IF(K853="","",K853/MAX(K$5:K853)-1)</f>
        <v/>
      </c>
      <c r="N853" s="13" t="str">
        <f>IF(OR('实盘净值数据(iFinD）'!$A853="",'实盘净值数据(iFinD）'!$B853="",'实盘净值数据(iFinD）'!$Z853="",'实盘净值数据(iFinD）'!$AA853=""),"",分期持仓明细!$AB$24*(SUMPRODUCT(分期持仓明细!$B$24:$Y$24,'实盘净值数据(iFinD）'!$B853:$Y853/'实盘净值数据(iFinD）'!$B$65:$Y$65)+SUMPRODUCT(分期持仓明细!$AC$24:$AD$24,'实盘净值数据(iFinD）'!$Z853:$AA853/'实盘净值数据(iFinD）'!$Z$65:$AA$65))*(1-实盘持仓初始配置!$Z$8)^(('实盘净值数据(iFinD）'!$A853-'实盘净值数据(iFinD）'!$A$5)/365))</f>
        <v/>
      </c>
      <c r="O853" s="16" t="str">
        <f t="shared" si="82"/>
        <v/>
      </c>
      <c r="P853" s="16" t="str">
        <f>IF(N853="","",N853/MAX(N$5:N853)-1)</f>
        <v/>
      </c>
      <c r="Q853" s="13" t="str">
        <f>IF(OR('实盘净值数据(iFinD）'!$A853="",'实盘净值数据(iFinD）'!$B853="",'实盘净值数据(iFinD）'!$Z853="",'实盘净值数据(iFinD）'!$AA853=""),"",分期持仓明细!$AB$25*(SUMPRODUCT(分期持仓明细!$B$25:$Y$25,'实盘净值数据(iFinD）'!$B853:$Y853/'实盘净值数据(iFinD）'!$B$65:$Y$65)+SUMPRODUCT(分期持仓明细!$AC$25:$AD$25,'实盘净值数据(iFinD）'!$Z853:$AA853/'实盘净值数据(iFinD）'!$Z$65:$AA$65))*(1-实盘持仓初始配置!$Z$9)^(('实盘净值数据(iFinD）'!$A853-'实盘净值数据(iFinD）'!$A$8)/365))</f>
        <v/>
      </c>
      <c r="R853" s="16" t="str">
        <f t="shared" si="83"/>
        <v/>
      </c>
      <c r="S853" s="16" t="str">
        <f>IF(Q853="","",Q853/MAX(Q$5:Q853)-1)</f>
        <v/>
      </c>
    </row>
    <row r="854" spans="1:19">
      <c r="A854" s="15" t="str">
        <f>IF('实盘净值数据(iFinD）'!A854="","",'实盘净值数据(iFinD）'!A854)</f>
        <v/>
      </c>
      <c r="B854" s="13" t="str">
        <f>IF(OR('实盘净值数据(iFinD）'!$A854="",'实盘净值数据(iFinD）'!$B854=""),"",分期持仓明细!$AB$17*SUMPRODUCT(分期持仓明细!$B$17:$Y$17,'实盘净值数据(iFinD）'!$B854:$Y854/'实盘净值数据(iFinD）'!$B$20:$Y$20)*(1-实盘持仓初始配置!$Z$4)^(('实盘净值数据(iFinD）'!$A854-'实盘净值数据(iFinD）'!$A$6)/365))</f>
        <v/>
      </c>
      <c r="C854" s="16" t="str">
        <f t="shared" si="78"/>
        <v/>
      </c>
      <c r="D854" s="16" t="str">
        <f>IF(B854="","",B854/MAX(B$5:B854)-1)</f>
        <v/>
      </c>
      <c r="E854" s="13" t="str">
        <f>IF(OR('实盘净值数据(iFinD）'!$A854="",'实盘净值数据(iFinD）'!$B854=""),"",分期持仓明细!$AB$18*SUMPRODUCT(分期持仓明细!$B$18:$Y$18,'实盘净值数据(iFinD）'!$B854:$Y854/'实盘净值数据(iFinD）'!$B$20:$Y$20)*(1-实盘持仓初始配置!$Z$5)^(('实盘净值数据(iFinD）'!$A854-'实盘净值数据(iFinD）'!$A$5)/365))</f>
        <v/>
      </c>
      <c r="F854" s="16" t="str">
        <f t="shared" si="79"/>
        <v/>
      </c>
      <c r="G854" s="16" t="str">
        <f>IF(E854="","",E854/MAX(E$5:E854)-1)</f>
        <v/>
      </c>
      <c r="H854" s="13" t="str">
        <f>IF(OR('实盘净值数据(iFinD）'!$A854="",'实盘净值数据(iFinD）'!$B854=""),"",分期持仓明细!$AB$19*SUMPRODUCT(分期持仓明细!$B$19:$Y$19,'实盘净值数据(iFinD）'!$B854:$Y854/'实盘净值数据(iFinD）'!$B$20:$Y$20)*(1-实盘持仓初始配置!$Z$6)^(('实盘净值数据(iFinD）'!$A854-'实盘净值数据(iFinD）'!$A$7)/365))</f>
        <v/>
      </c>
      <c r="I854" s="16" t="str">
        <f t="shared" si="80"/>
        <v/>
      </c>
      <c r="J854" s="16" t="str">
        <f>IF(H854="","",H854/MAX(H$5:H854)-1)</f>
        <v/>
      </c>
      <c r="K854" s="13" t="str">
        <f>IF(OR('实盘净值数据(iFinD）'!$A854="",'实盘净值数据(iFinD）'!$B854="",'实盘净值数据(iFinD）'!$Z854="",'实盘净值数据(iFinD）'!$AA854=""),"",分期持仓明细!$AB$23*(SUMPRODUCT(分期持仓明细!$B$23:$Y$23,'实盘净值数据(iFinD）'!$B854:$Y854/'实盘净值数据(iFinD）'!$B$65:$Y$65)+SUMPRODUCT(分期持仓明细!$AC$23:$AD$23,'实盘净值数据(iFinD）'!$Z854:$AA854/'实盘净值数据(iFinD）'!$Z$65:$AA$65))*(1-实盘持仓初始配置!$Z$7)^(('实盘净值数据(iFinD）'!$A854-'实盘净值数据(iFinD）'!$A$8)/365))</f>
        <v/>
      </c>
      <c r="L854" s="16" t="str">
        <f t="shared" si="81"/>
        <v/>
      </c>
      <c r="M854" s="16" t="str">
        <f>IF(K854="","",K854/MAX(K$5:K854)-1)</f>
        <v/>
      </c>
      <c r="N854" s="13" t="str">
        <f>IF(OR('实盘净值数据(iFinD）'!$A854="",'实盘净值数据(iFinD）'!$B854="",'实盘净值数据(iFinD）'!$Z854="",'实盘净值数据(iFinD）'!$AA854=""),"",分期持仓明细!$AB$24*(SUMPRODUCT(分期持仓明细!$B$24:$Y$24,'实盘净值数据(iFinD）'!$B854:$Y854/'实盘净值数据(iFinD）'!$B$65:$Y$65)+SUMPRODUCT(分期持仓明细!$AC$24:$AD$24,'实盘净值数据(iFinD）'!$Z854:$AA854/'实盘净值数据(iFinD）'!$Z$65:$AA$65))*(1-实盘持仓初始配置!$Z$8)^(('实盘净值数据(iFinD）'!$A854-'实盘净值数据(iFinD）'!$A$5)/365))</f>
        <v/>
      </c>
      <c r="O854" s="16" t="str">
        <f t="shared" si="82"/>
        <v/>
      </c>
      <c r="P854" s="16" t="str">
        <f>IF(N854="","",N854/MAX(N$5:N854)-1)</f>
        <v/>
      </c>
      <c r="Q854" s="13" t="str">
        <f>IF(OR('实盘净值数据(iFinD）'!$A854="",'实盘净值数据(iFinD）'!$B854="",'实盘净值数据(iFinD）'!$Z854="",'实盘净值数据(iFinD）'!$AA854=""),"",分期持仓明细!$AB$25*(SUMPRODUCT(分期持仓明细!$B$25:$Y$25,'实盘净值数据(iFinD）'!$B854:$Y854/'实盘净值数据(iFinD）'!$B$65:$Y$65)+SUMPRODUCT(分期持仓明细!$AC$25:$AD$25,'实盘净值数据(iFinD）'!$Z854:$AA854/'实盘净值数据(iFinD）'!$Z$65:$AA$65))*(1-实盘持仓初始配置!$Z$9)^(('实盘净值数据(iFinD）'!$A854-'实盘净值数据(iFinD）'!$A$8)/365))</f>
        <v/>
      </c>
      <c r="R854" s="16" t="str">
        <f t="shared" si="83"/>
        <v/>
      </c>
      <c r="S854" s="16" t="str">
        <f>IF(Q854="","",Q854/MAX(Q$5:Q854)-1)</f>
        <v/>
      </c>
    </row>
    <row r="855" spans="1:19">
      <c r="A855" s="15" t="str">
        <f>IF('实盘净值数据(iFinD）'!A855="","",'实盘净值数据(iFinD）'!A855)</f>
        <v/>
      </c>
      <c r="B855" s="13" t="str">
        <f>IF(OR('实盘净值数据(iFinD）'!$A855="",'实盘净值数据(iFinD）'!$B855=""),"",分期持仓明细!$AB$17*SUMPRODUCT(分期持仓明细!$B$17:$Y$17,'实盘净值数据(iFinD）'!$B855:$Y855/'实盘净值数据(iFinD）'!$B$20:$Y$20)*(1-实盘持仓初始配置!$Z$4)^(('实盘净值数据(iFinD）'!$A855-'实盘净值数据(iFinD）'!$A$6)/365))</f>
        <v/>
      </c>
      <c r="C855" s="16" t="str">
        <f t="shared" si="78"/>
        <v/>
      </c>
      <c r="D855" s="16" t="str">
        <f>IF(B855="","",B855/MAX(B$5:B855)-1)</f>
        <v/>
      </c>
      <c r="E855" s="13" t="str">
        <f>IF(OR('实盘净值数据(iFinD）'!$A855="",'实盘净值数据(iFinD）'!$B855=""),"",分期持仓明细!$AB$18*SUMPRODUCT(分期持仓明细!$B$18:$Y$18,'实盘净值数据(iFinD）'!$B855:$Y855/'实盘净值数据(iFinD）'!$B$20:$Y$20)*(1-实盘持仓初始配置!$Z$5)^(('实盘净值数据(iFinD）'!$A855-'实盘净值数据(iFinD）'!$A$5)/365))</f>
        <v/>
      </c>
      <c r="F855" s="16" t="str">
        <f t="shared" si="79"/>
        <v/>
      </c>
      <c r="G855" s="16" t="str">
        <f>IF(E855="","",E855/MAX(E$5:E855)-1)</f>
        <v/>
      </c>
      <c r="H855" s="13" t="str">
        <f>IF(OR('实盘净值数据(iFinD）'!$A855="",'实盘净值数据(iFinD）'!$B855=""),"",分期持仓明细!$AB$19*SUMPRODUCT(分期持仓明细!$B$19:$Y$19,'实盘净值数据(iFinD）'!$B855:$Y855/'实盘净值数据(iFinD）'!$B$20:$Y$20)*(1-实盘持仓初始配置!$Z$6)^(('实盘净值数据(iFinD）'!$A855-'实盘净值数据(iFinD）'!$A$7)/365))</f>
        <v/>
      </c>
      <c r="I855" s="16" t="str">
        <f t="shared" si="80"/>
        <v/>
      </c>
      <c r="J855" s="16" t="str">
        <f>IF(H855="","",H855/MAX(H$5:H855)-1)</f>
        <v/>
      </c>
      <c r="K855" s="13" t="str">
        <f>IF(OR('实盘净值数据(iFinD）'!$A855="",'实盘净值数据(iFinD）'!$B855="",'实盘净值数据(iFinD）'!$Z855="",'实盘净值数据(iFinD）'!$AA855=""),"",分期持仓明细!$AB$23*(SUMPRODUCT(分期持仓明细!$B$23:$Y$23,'实盘净值数据(iFinD）'!$B855:$Y855/'实盘净值数据(iFinD）'!$B$65:$Y$65)+SUMPRODUCT(分期持仓明细!$AC$23:$AD$23,'实盘净值数据(iFinD）'!$Z855:$AA855/'实盘净值数据(iFinD）'!$Z$65:$AA$65))*(1-实盘持仓初始配置!$Z$7)^(('实盘净值数据(iFinD）'!$A855-'实盘净值数据(iFinD）'!$A$8)/365))</f>
        <v/>
      </c>
      <c r="L855" s="16" t="str">
        <f t="shared" si="81"/>
        <v/>
      </c>
      <c r="M855" s="16" t="str">
        <f>IF(K855="","",K855/MAX(K$5:K855)-1)</f>
        <v/>
      </c>
      <c r="N855" s="13" t="str">
        <f>IF(OR('实盘净值数据(iFinD）'!$A855="",'实盘净值数据(iFinD）'!$B855="",'实盘净值数据(iFinD）'!$Z855="",'实盘净值数据(iFinD）'!$AA855=""),"",分期持仓明细!$AB$24*(SUMPRODUCT(分期持仓明细!$B$24:$Y$24,'实盘净值数据(iFinD）'!$B855:$Y855/'实盘净值数据(iFinD）'!$B$65:$Y$65)+SUMPRODUCT(分期持仓明细!$AC$24:$AD$24,'实盘净值数据(iFinD）'!$Z855:$AA855/'实盘净值数据(iFinD）'!$Z$65:$AA$65))*(1-实盘持仓初始配置!$Z$8)^(('实盘净值数据(iFinD）'!$A855-'实盘净值数据(iFinD）'!$A$5)/365))</f>
        <v/>
      </c>
      <c r="O855" s="16" t="str">
        <f t="shared" si="82"/>
        <v/>
      </c>
      <c r="P855" s="16" t="str">
        <f>IF(N855="","",N855/MAX(N$5:N855)-1)</f>
        <v/>
      </c>
      <c r="Q855" s="13" t="str">
        <f>IF(OR('实盘净值数据(iFinD）'!$A855="",'实盘净值数据(iFinD）'!$B855="",'实盘净值数据(iFinD）'!$Z855="",'实盘净值数据(iFinD）'!$AA855=""),"",分期持仓明细!$AB$25*(SUMPRODUCT(分期持仓明细!$B$25:$Y$25,'实盘净值数据(iFinD）'!$B855:$Y855/'实盘净值数据(iFinD）'!$B$65:$Y$65)+SUMPRODUCT(分期持仓明细!$AC$25:$AD$25,'实盘净值数据(iFinD）'!$Z855:$AA855/'实盘净值数据(iFinD）'!$Z$65:$AA$65))*(1-实盘持仓初始配置!$Z$9)^(('实盘净值数据(iFinD）'!$A855-'实盘净值数据(iFinD）'!$A$8)/365))</f>
        <v/>
      </c>
      <c r="R855" s="16" t="str">
        <f t="shared" si="83"/>
        <v/>
      </c>
      <c r="S855" s="16" t="str">
        <f>IF(Q855="","",Q855/MAX(Q$5:Q855)-1)</f>
        <v/>
      </c>
    </row>
    <row r="856" spans="1:19">
      <c r="A856" s="15" t="str">
        <f>IF('实盘净值数据(iFinD）'!A856="","",'实盘净值数据(iFinD）'!A856)</f>
        <v/>
      </c>
      <c r="B856" s="13" t="str">
        <f>IF(OR('实盘净值数据(iFinD）'!$A856="",'实盘净值数据(iFinD）'!$B856=""),"",分期持仓明细!$AB$17*SUMPRODUCT(分期持仓明细!$B$17:$Y$17,'实盘净值数据(iFinD）'!$B856:$Y856/'实盘净值数据(iFinD）'!$B$20:$Y$20)*(1-实盘持仓初始配置!$Z$4)^(('实盘净值数据(iFinD）'!$A856-'实盘净值数据(iFinD）'!$A$6)/365))</f>
        <v/>
      </c>
      <c r="C856" s="16" t="str">
        <f t="shared" si="78"/>
        <v/>
      </c>
      <c r="D856" s="16" t="str">
        <f>IF(B856="","",B856/MAX(B$5:B856)-1)</f>
        <v/>
      </c>
      <c r="E856" s="13" t="str">
        <f>IF(OR('实盘净值数据(iFinD）'!$A856="",'实盘净值数据(iFinD）'!$B856=""),"",分期持仓明细!$AB$18*SUMPRODUCT(分期持仓明细!$B$18:$Y$18,'实盘净值数据(iFinD）'!$B856:$Y856/'实盘净值数据(iFinD）'!$B$20:$Y$20)*(1-实盘持仓初始配置!$Z$5)^(('实盘净值数据(iFinD）'!$A856-'实盘净值数据(iFinD）'!$A$5)/365))</f>
        <v/>
      </c>
      <c r="F856" s="16" t="str">
        <f t="shared" si="79"/>
        <v/>
      </c>
      <c r="G856" s="16" t="str">
        <f>IF(E856="","",E856/MAX(E$5:E856)-1)</f>
        <v/>
      </c>
      <c r="H856" s="13" t="str">
        <f>IF(OR('实盘净值数据(iFinD）'!$A856="",'实盘净值数据(iFinD）'!$B856=""),"",分期持仓明细!$AB$19*SUMPRODUCT(分期持仓明细!$B$19:$Y$19,'实盘净值数据(iFinD）'!$B856:$Y856/'实盘净值数据(iFinD）'!$B$20:$Y$20)*(1-实盘持仓初始配置!$Z$6)^(('实盘净值数据(iFinD）'!$A856-'实盘净值数据(iFinD）'!$A$7)/365))</f>
        <v/>
      </c>
      <c r="I856" s="16" t="str">
        <f t="shared" si="80"/>
        <v/>
      </c>
      <c r="J856" s="16" t="str">
        <f>IF(H856="","",H856/MAX(H$5:H856)-1)</f>
        <v/>
      </c>
      <c r="K856" s="13" t="str">
        <f>IF(OR('实盘净值数据(iFinD）'!$A856="",'实盘净值数据(iFinD）'!$B856="",'实盘净值数据(iFinD）'!$Z856="",'实盘净值数据(iFinD）'!$AA856=""),"",分期持仓明细!$AB$23*(SUMPRODUCT(分期持仓明细!$B$23:$Y$23,'实盘净值数据(iFinD）'!$B856:$Y856/'实盘净值数据(iFinD）'!$B$65:$Y$65)+SUMPRODUCT(分期持仓明细!$AC$23:$AD$23,'实盘净值数据(iFinD）'!$Z856:$AA856/'实盘净值数据(iFinD）'!$Z$65:$AA$65))*(1-实盘持仓初始配置!$Z$7)^(('实盘净值数据(iFinD）'!$A856-'实盘净值数据(iFinD）'!$A$8)/365))</f>
        <v/>
      </c>
      <c r="L856" s="16" t="str">
        <f t="shared" si="81"/>
        <v/>
      </c>
      <c r="M856" s="16" t="str">
        <f>IF(K856="","",K856/MAX(K$5:K856)-1)</f>
        <v/>
      </c>
      <c r="N856" s="13" t="str">
        <f>IF(OR('实盘净值数据(iFinD）'!$A856="",'实盘净值数据(iFinD）'!$B856="",'实盘净值数据(iFinD）'!$Z856="",'实盘净值数据(iFinD）'!$AA856=""),"",分期持仓明细!$AB$24*(SUMPRODUCT(分期持仓明细!$B$24:$Y$24,'实盘净值数据(iFinD）'!$B856:$Y856/'实盘净值数据(iFinD）'!$B$65:$Y$65)+SUMPRODUCT(分期持仓明细!$AC$24:$AD$24,'实盘净值数据(iFinD）'!$Z856:$AA856/'实盘净值数据(iFinD）'!$Z$65:$AA$65))*(1-实盘持仓初始配置!$Z$8)^(('实盘净值数据(iFinD）'!$A856-'实盘净值数据(iFinD）'!$A$5)/365))</f>
        <v/>
      </c>
      <c r="O856" s="16" t="str">
        <f t="shared" si="82"/>
        <v/>
      </c>
      <c r="P856" s="16" t="str">
        <f>IF(N856="","",N856/MAX(N$5:N856)-1)</f>
        <v/>
      </c>
      <c r="Q856" s="13" t="str">
        <f>IF(OR('实盘净值数据(iFinD）'!$A856="",'实盘净值数据(iFinD）'!$B856="",'实盘净值数据(iFinD）'!$Z856="",'实盘净值数据(iFinD）'!$AA856=""),"",分期持仓明细!$AB$25*(SUMPRODUCT(分期持仓明细!$B$25:$Y$25,'实盘净值数据(iFinD）'!$B856:$Y856/'实盘净值数据(iFinD）'!$B$65:$Y$65)+SUMPRODUCT(分期持仓明细!$AC$25:$AD$25,'实盘净值数据(iFinD）'!$Z856:$AA856/'实盘净值数据(iFinD）'!$Z$65:$AA$65))*(1-实盘持仓初始配置!$Z$9)^(('实盘净值数据(iFinD）'!$A856-'实盘净值数据(iFinD）'!$A$8)/365))</f>
        <v/>
      </c>
      <c r="R856" s="16" t="str">
        <f t="shared" si="83"/>
        <v/>
      </c>
      <c r="S856" s="16" t="str">
        <f>IF(Q856="","",Q856/MAX(Q$5:Q856)-1)</f>
        <v/>
      </c>
    </row>
    <row r="857" spans="1:19">
      <c r="A857" s="15" t="str">
        <f>IF('实盘净值数据(iFinD）'!A857="","",'实盘净值数据(iFinD）'!A857)</f>
        <v/>
      </c>
      <c r="B857" s="13" t="str">
        <f>IF(OR('实盘净值数据(iFinD）'!$A857="",'实盘净值数据(iFinD）'!$B857=""),"",分期持仓明细!$AB$17*SUMPRODUCT(分期持仓明细!$B$17:$Y$17,'实盘净值数据(iFinD）'!$B857:$Y857/'实盘净值数据(iFinD）'!$B$20:$Y$20)*(1-实盘持仓初始配置!$Z$4)^(('实盘净值数据(iFinD）'!$A857-'实盘净值数据(iFinD）'!$A$6)/365))</f>
        <v/>
      </c>
      <c r="C857" s="16" t="str">
        <f t="shared" si="78"/>
        <v/>
      </c>
      <c r="D857" s="16" t="str">
        <f>IF(B857="","",B857/MAX(B$5:B857)-1)</f>
        <v/>
      </c>
      <c r="E857" s="13" t="str">
        <f>IF(OR('实盘净值数据(iFinD）'!$A857="",'实盘净值数据(iFinD）'!$B857=""),"",分期持仓明细!$AB$18*SUMPRODUCT(分期持仓明细!$B$18:$Y$18,'实盘净值数据(iFinD）'!$B857:$Y857/'实盘净值数据(iFinD）'!$B$20:$Y$20)*(1-实盘持仓初始配置!$Z$5)^(('实盘净值数据(iFinD）'!$A857-'实盘净值数据(iFinD）'!$A$5)/365))</f>
        <v/>
      </c>
      <c r="F857" s="16" t="str">
        <f t="shared" si="79"/>
        <v/>
      </c>
      <c r="G857" s="16" t="str">
        <f>IF(E857="","",E857/MAX(E$5:E857)-1)</f>
        <v/>
      </c>
      <c r="H857" s="13" t="str">
        <f>IF(OR('实盘净值数据(iFinD）'!$A857="",'实盘净值数据(iFinD）'!$B857=""),"",分期持仓明细!$AB$19*SUMPRODUCT(分期持仓明细!$B$19:$Y$19,'实盘净值数据(iFinD）'!$B857:$Y857/'实盘净值数据(iFinD）'!$B$20:$Y$20)*(1-实盘持仓初始配置!$Z$6)^(('实盘净值数据(iFinD）'!$A857-'实盘净值数据(iFinD）'!$A$7)/365))</f>
        <v/>
      </c>
      <c r="I857" s="16" t="str">
        <f t="shared" si="80"/>
        <v/>
      </c>
      <c r="J857" s="16" t="str">
        <f>IF(H857="","",H857/MAX(H$5:H857)-1)</f>
        <v/>
      </c>
      <c r="K857" s="13" t="str">
        <f>IF(OR('实盘净值数据(iFinD）'!$A857="",'实盘净值数据(iFinD）'!$B857="",'实盘净值数据(iFinD）'!$Z857="",'实盘净值数据(iFinD）'!$AA857=""),"",分期持仓明细!$AB$23*(SUMPRODUCT(分期持仓明细!$B$23:$Y$23,'实盘净值数据(iFinD）'!$B857:$Y857/'实盘净值数据(iFinD）'!$B$65:$Y$65)+SUMPRODUCT(分期持仓明细!$AC$23:$AD$23,'实盘净值数据(iFinD）'!$Z857:$AA857/'实盘净值数据(iFinD）'!$Z$65:$AA$65))*(1-实盘持仓初始配置!$Z$7)^(('实盘净值数据(iFinD）'!$A857-'实盘净值数据(iFinD）'!$A$8)/365))</f>
        <v/>
      </c>
      <c r="L857" s="16" t="str">
        <f t="shared" si="81"/>
        <v/>
      </c>
      <c r="M857" s="16" t="str">
        <f>IF(K857="","",K857/MAX(K$5:K857)-1)</f>
        <v/>
      </c>
      <c r="N857" s="13" t="str">
        <f>IF(OR('实盘净值数据(iFinD）'!$A857="",'实盘净值数据(iFinD）'!$B857="",'实盘净值数据(iFinD）'!$Z857="",'实盘净值数据(iFinD）'!$AA857=""),"",分期持仓明细!$AB$24*(SUMPRODUCT(分期持仓明细!$B$24:$Y$24,'实盘净值数据(iFinD）'!$B857:$Y857/'实盘净值数据(iFinD）'!$B$65:$Y$65)+SUMPRODUCT(分期持仓明细!$AC$24:$AD$24,'实盘净值数据(iFinD）'!$Z857:$AA857/'实盘净值数据(iFinD）'!$Z$65:$AA$65))*(1-实盘持仓初始配置!$Z$8)^(('实盘净值数据(iFinD）'!$A857-'实盘净值数据(iFinD）'!$A$5)/365))</f>
        <v/>
      </c>
      <c r="O857" s="16" t="str">
        <f t="shared" si="82"/>
        <v/>
      </c>
      <c r="P857" s="16" t="str">
        <f>IF(N857="","",N857/MAX(N$5:N857)-1)</f>
        <v/>
      </c>
      <c r="Q857" s="13" t="str">
        <f>IF(OR('实盘净值数据(iFinD）'!$A857="",'实盘净值数据(iFinD）'!$B857="",'实盘净值数据(iFinD）'!$Z857="",'实盘净值数据(iFinD）'!$AA857=""),"",分期持仓明细!$AB$25*(SUMPRODUCT(分期持仓明细!$B$25:$Y$25,'实盘净值数据(iFinD）'!$B857:$Y857/'实盘净值数据(iFinD）'!$B$65:$Y$65)+SUMPRODUCT(分期持仓明细!$AC$25:$AD$25,'实盘净值数据(iFinD）'!$Z857:$AA857/'实盘净值数据(iFinD）'!$Z$65:$AA$65))*(1-实盘持仓初始配置!$Z$9)^(('实盘净值数据(iFinD）'!$A857-'实盘净值数据(iFinD）'!$A$8)/365))</f>
        <v/>
      </c>
      <c r="R857" s="16" t="str">
        <f t="shared" si="83"/>
        <v/>
      </c>
      <c r="S857" s="16" t="str">
        <f>IF(Q857="","",Q857/MAX(Q$5:Q857)-1)</f>
        <v/>
      </c>
    </row>
    <row r="858" spans="1:19">
      <c r="A858" s="15" t="str">
        <f>IF('实盘净值数据(iFinD）'!A858="","",'实盘净值数据(iFinD）'!A858)</f>
        <v/>
      </c>
      <c r="B858" s="13" t="str">
        <f>IF(OR('实盘净值数据(iFinD）'!$A858="",'实盘净值数据(iFinD）'!$B858=""),"",分期持仓明细!$AB$17*SUMPRODUCT(分期持仓明细!$B$17:$Y$17,'实盘净值数据(iFinD）'!$B858:$Y858/'实盘净值数据(iFinD）'!$B$20:$Y$20)*(1-实盘持仓初始配置!$Z$4)^(('实盘净值数据(iFinD）'!$A858-'实盘净值数据(iFinD）'!$A$6)/365))</f>
        <v/>
      </c>
      <c r="C858" s="16" t="str">
        <f t="shared" si="78"/>
        <v/>
      </c>
      <c r="D858" s="16" t="str">
        <f>IF(B858="","",B858/MAX(B$5:B858)-1)</f>
        <v/>
      </c>
      <c r="E858" s="13" t="str">
        <f>IF(OR('实盘净值数据(iFinD）'!$A858="",'实盘净值数据(iFinD）'!$B858=""),"",分期持仓明细!$AB$18*SUMPRODUCT(分期持仓明细!$B$18:$Y$18,'实盘净值数据(iFinD）'!$B858:$Y858/'实盘净值数据(iFinD）'!$B$20:$Y$20)*(1-实盘持仓初始配置!$Z$5)^(('实盘净值数据(iFinD）'!$A858-'实盘净值数据(iFinD）'!$A$5)/365))</f>
        <v/>
      </c>
      <c r="F858" s="16" t="str">
        <f t="shared" si="79"/>
        <v/>
      </c>
      <c r="G858" s="16" t="str">
        <f>IF(E858="","",E858/MAX(E$5:E858)-1)</f>
        <v/>
      </c>
      <c r="H858" s="13" t="str">
        <f>IF(OR('实盘净值数据(iFinD）'!$A858="",'实盘净值数据(iFinD）'!$B858=""),"",分期持仓明细!$AB$19*SUMPRODUCT(分期持仓明细!$B$19:$Y$19,'实盘净值数据(iFinD）'!$B858:$Y858/'实盘净值数据(iFinD）'!$B$20:$Y$20)*(1-实盘持仓初始配置!$Z$6)^(('实盘净值数据(iFinD）'!$A858-'实盘净值数据(iFinD）'!$A$7)/365))</f>
        <v/>
      </c>
      <c r="I858" s="16" t="str">
        <f t="shared" si="80"/>
        <v/>
      </c>
      <c r="J858" s="16" t="str">
        <f>IF(H858="","",H858/MAX(H$5:H858)-1)</f>
        <v/>
      </c>
      <c r="K858" s="13" t="str">
        <f>IF(OR('实盘净值数据(iFinD）'!$A858="",'实盘净值数据(iFinD）'!$B858="",'实盘净值数据(iFinD）'!$Z858="",'实盘净值数据(iFinD）'!$AA858=""),"",分期持仓明细!$AB$23*(SUMPRODUCT(分期持仓明细!$B$23:$Y$23,'实盘净值数据(iFinD）'!$B858:$Y858/'实盘净值数据(iFinD）'!$B$65:$Y$65)+SUMPRODUCT(分期持仓明细!$AC$23:$AD$23,'实盘净值数据(iFinD）'!$Z858:$AA858/'实盘净值数据(iFinD）'!$Z$65:$AA$65))*(1-实盘持仓初始配置!$Z$7)^(('实盘净值数据(iFinD）'!$A858-'实盘净值数据(iFinD）'!$A$8)/365))</f>
        <v/>
      </c>
      <c r="L858" s="16" t="str">
        <f t="shared" si="81"/>
        <v/>
      </c>
      <c r="M858" s="16" t="str">
        <f>IF(K858="","",K858/MAX(K$5:K858)-1)</f>
        <v/>
      </c>
      <c r="N858" s="13" t="str">
        <f>IF(OR('实盘净值数据(iFinD）'!$A858="",'实盘净值数据(iFinD）'!$B858="",'实盘净值数据(iFinD）'!$Z858="",'实盘净值数据(iFinD）'!$AA858=""),"",分期持仓明细!$AB$24*(SUMPRODUCT(分期持仓明细!$B$24:$Y$24,'实盘净值数据(iFinD）'!$B858:$Y858/'实盘净值数据(iFinD）'!$B$65:$Y$65)+SUMPRODUCT(分期持仓明细!$AC$24:$AD$24,'实盘净值数据(iFinD）'!$Z858:$AA858/'实盘净值数据(iFinD）'!$Z$65:$AA$65))*(1-实盘持仓初始配置!$Z$8)^(('实盘净值数据(iFinD）'!$A858-'实盘净值数据(iFinD）'!$A$5)/365))</f>
        <v/>
      </c>
      <c r="O858" s="16" t="str">
        <f t="shared" si="82"/>
        <v/>
      </c>
      <c r="P858" s="16" t="str">
        <f>IF(N858="","",N858/MAX(N$5:N858)-1)</f>
        <v/>
      </c>
      <c r="Q858" s="13" t="str">
        <f>IF(OR('实盘净值数据(iFinD）'!$A858="",'实盘净值数据(iFinD）'!$B858="",'实盘净值数据(iFinD）'!$Z858="",'实盘净值数据(iFinD）'!$AA858=""),"",分期持仓明细!$AB$25*(SUMPRODUCT(分期持仓明细!$B$25:$Y$25,'实盘净值数据(iFinD）'!$B858:$Y858/'实盘净值数据(iFinD）'!$B$65:$Y$65)+SUMPRODUCT(分期持仓明细!$AC$25:$AD$25,'实盘净值数据(iFinD）'!$Z858:$AA858/'实盘净值数据(iFinD）'!$Z$65:$AA$65))*(1-实盘持仓初始配置!$Z$9)^(('实盘净值数据(iFinD）'!$A858-'实盘净值数据(iFinD）'!$A$8)/365))</f>
        <v/>
      </c>
      <c r="R858" s="16" t="str">
        <f t="shared" si="83"/>
        <v/>
      </c>
      <c r="S858" s="16" t="str">
        <f>IF(Q858="","",Q858/MAX(Q$5:Q858)-1)</f>
        <v/>
      </c>
    </row>
    <row r="859" spans="1:19">
      <c r="A859" s="15" t="str">
        <f>IF('实盘净值数据(iFinD）'!A859="","",'实盘净值数据(iFinD）'!A859)</f>
        <v/>
      </c>
      <c r="B859" s="13" t="str">
        <f>IF(OR('实盘净值数据(iFinD）'!$A859="",'实盘净值数据(iFinD）'!$B859=""),"",分期持仓明细!$AB$17*SUMPRODUCT(分期持仓明细!$B$17:$Y$17,'实盘净值数据(iFinD）'!$B859:$Y859/'实盘净值数据(iFinD）'!$B$20:$Y$20)*(1-实盘持仓初始配置!$Z$4)^(('实盘净值数据(iFinD）'!$A859-'实盘净值数据(iFinD）'!$A$6)/365))</f>
        <v/>
      </c>
      <c r="C859" s="16" t="str">
        <f t="shared" si="78"/>
        <v/>
      </c>
      <c r="D859" s="16" t="str">
        <f>IF(B859="","",B859/MAX(B$5:B859)-1)</f>
        <v/>
      </c>
      <c r="E859" s="13" t="str">
        <f>IF(OR('实盘净值数据(iFinD）'!$A859="",'实盘净值数据(iFinD）'!$B859=""),"",分期持仓明细!$AB$18*SUMPRODUCT(分期持仓明细!$B$18:$Y$18,'实盘净值数据(iFinD）'!$B859:$Y859/'实盘净值数据(iFinD）'!$B$20:$Y$20)*(1-实盘持仓初始配置!$Z$5)^(('实盘净值数据(iFinD）'!$A859-'实盘净值数据(iFinD）'!$A$5)/365))</f>
        <v/>
      </c>
      <c r="F859" s="16" t="str">
        <f t="shared" si="79"/>
        <v/>
      </c>
      <c r="G859" s="16" t="str">
        <f>IF(E859="","",E859/MAX(E$5:E859)-1)</f>
        <v/>
      </c>
      <c r="H859" s="13" t="str">
        <f>IF(OR('实盘净值数据(iFinD）'!$A859="",'实盘净值数据(iFinD）'!$B859=""),"",分期持仓明细!$AB$19*SUMPRODUCT(分期持仓明细!$B$19:$Y$19,'实盘净值数据(iFinD）'!$B859:$Y859/'实盘净值数据(iFinD）'!$B$20:$Y$20)*(1-实盘持仓初始配置!$Z$6)^(('实盘净值数据(iFinD）'!$A859-'实盘净值数据(iFinD）'!$A$7)/365))</f>
        <v/>
      </c>
      <c r="I859" s="16" t="str">
        <f t="shared" si="80"/>
        <v/>
      </c>
      <c r="J859" s="16" t="str">
        <f>IF(H859="","",H859/MAX(H$5:H859)-1)</f>
        <v/>
      </c>
      <c r="K859" s="13" t="str">
        <f>IF(OR('实盘净值数据(iFinD）'!$A859="",'实盘净值数据(iFinD）'!$B859="",'实盘净值数据(iFinD）'!$Z859="",'实盘净值数据(iFinD）'!$AA859=""),"",分期持仓明细!$AB$23*(SUMPRODUCT(分期持仓明细!$B$23:$Y$23,'实盘净值数据(iFinD）'!$B859:$Y859/'实盘净值数据(iFinD）'!$B$65:$Y$65)+SUMPRODUCT(分期持仓明细!$AC$23:$AD$23,'实盘净值数据(iFinD）'!$Z859:$AA859/'实盘净值数据(iFinD）'!$Z$65:$AA$65))*(1-实盘持仓初始配置!$Z$7)^(('实盘净值数据(iFinD）'!$A859-'实盘净值数据(iFinD）'!$A$8)/365))</f>
        <v/>
      </c>
      <c r="L859" s="16" t="str">
        <f t="shared" si="81"/>
        <v/>
      </c>
      <c r="M859" s="16" t="str">
        <f>IF(K859="","",K859/MAX(K$5:K859)-1)</f>
        <v/>
      </c>
      <c r="N859" s="13" t="str">
        <f>IF(OR('实盘净值数据(iFinD）'!$A859="",'实盘净值数据(iFinD）'!$B859="",'实盘净值数据(iFinD）'!$Z859="",'实盘净值数据(iFinD）'!$AA859=""),"",分期持仓明细!$AB$24*(SUMPRODUCT(分期持仓明细!$B$24:$Y$24,'实盘净值数据(iFinD）'!$B859:$Y859/'实盘净值数据(iFinD）'!$B$65:$Y$65)+SUMPRODUCT(分期持仓明细!$AC$24:$AD$24,'实盘净值数据(iFinD）'!$Z859:$AA859/'实盘净值数据(iFinD）'!$Z$65:$AA$65))*(1-实盘持仓初始配置!$Z$8)^(('实盘净值数据(iFinD）'!$A859-'实盘净值数据(iFinD）'!$A$5)/365))</f>
        <v/>
      </c>
      <c r="O859" s="16" t="str">
        <f t="shared" si="82"/>
        <v/>
      </c>
      <c r="P859" s="16" t="str">
        <f>IF(N859="","",N859/MAX(N$5:N859)-1)</f>
        <v/>
      </c>
      <c r="Q859" s="13" t="str">
        <f>IF(OR('实盘净值数据(iFinD）'!$A859="",'实盘净值数据(iFinD）'!$B859="",'实盘净值数据(iFinD）'!$Z859="",'实盘净值数据(iFinD）'!$AA859=""),"",分期持仓明细!$AB$25*(SUMPRODUCT(分期持仓明细!$B$25:$Y$25,'实盘净值数据(iFinD）'!$B859:$Y859/'实盘净值数据(iFinD）'!$B$65:$Y$65)+SUMPRODUCT(分期持仓明细!$AC$25:$AD$25,'实盘净值数据(iFinD）'!$Z859:$AA859/'实盘净值数据(iFinD）'!$Z$65:$AA$65))*(1-实盘持仓初始配置!$Z$9)^(('实盘净值数据(iFinD）'!$A859-'实盘净值数据(iFinD）'!$A$8)/365))</f>
        <v/>
      </c>
      <c r="R859" s="16" t="str">
        <f t="shared" si="83"/>
        <v/>
      </c>
      <c r="S859" s="16" t="str">
        <f>IF(Q859="","",Q859/MAX(Q$5:Q859)-1)</f>
        <v/>
      </c>
    </row>
    <row r="860" spans="1:19">
      <c r="A860" s="15" t="str">
        <f>IF('实盘净值数据(iFinD）'!A860="","",'实盘净值数据(iFinD）'!A860)</f>
        <v/>
      </c>
      <c r="B860" s="13" t="str">
        <f>IF(OR('实盘净值数据(iFinD）'!$A860="",'实盘净值数据(iFinD）'!$B860=""),"",分期持仓明细!$AB$17*SUMPRODUCT(分期持仓明细!$B$17:$Y$17,'实盘净值数据(iFinD）'!$B860:$Y860/'实盘净值数据(iFinD）'!$B$20:$Y$20)*(1-实盘持仓初始配置!$Z$4)^(('实盘净值数据(iFinD）'!$A860-'实盘净值数据(iFinD）'!$A$6)/365))</f>
        <v/>
      </c>
      <c r="C860" s="16" t="str">
        <f t="shared" si="78"/>
        <v/>
      </c>
      <c r="D860" s="16" t="str">
        <f>IF(B860="","",B860/MAX(B$5:B860)-1)</f>
        <v/>
      </c>
      <c r="E860" s="13" t="str">
        <f>IF(OR('实盘净值数据(iFinD）'!$A860="",'实盘净值数据(iFinD）'!$B860=""),"",分期持仓明细!$AB$18*SUMPRODUCT(分期持仓明细!$B$18:$Y$18,'实盘净值数据(iFinD）'!$B860:$Y860/'实盘净值数据(iFinD）'!$B$20:$Y$20)*(1-实盘持仓初始配置!$Z$5)^(('实盘净值数据(iFinD）'!$A860-'实盘净值数据(iFinD）'!$A$5)/365))</f>
        <v/>
      </c>
      <c r="F860" s="16" t="str">
        <f t="shared" si="79"/>
        <v/>
      </c>
      <c r="G860" s="16" t="str">
        <f>IF(E860="","",E860/MAX(E$5:E860)-1)</f>
        <v/>
      </c>
      <c r="H860" s="13" t="str">
        <f>IF(OR('实盘净值数据(iFinD）'!$A860="",'实盘净值数据(iFinD）'!$B860=""),"",分期持仓明细!$AB$19*SUMPRODUCT(分期持仓明细!$B$19:$Y$19,'实盘净值数据(iFinD）'!$B860:$Y860/'实盘净值数据(iFinD）'!$B$20:$Y$20)*(1-实盘持仓初始配置!$Z$6)^(('实盘净值数据(iFinD）'!$A860-'实盘净值数据(iFinD）'!$A$7)/365))</f>
        <v/>
      </c>
      <c r="I860" s="16" t="str">
        <f t="shared" si="80"/>
        <v/>
      </c>
      <c r="J860" s="16" t="str">
        <f>IF(H860="","",H860/MAX(H$5:H860)-1)</f>
        <v/>
      </c>
      <c r="K860" s="13" t="str">
        <f>IF(OR('实盘净值数据(iFinD）'!$A860="",'实盘净值数据(iFinD）'!$B860="",'实盘净值数据(iFinD）'!$Z860="",'实盘净值数据(iFinD）'!$AA860=""),"",分期持仓明细!$AB$23*(SUMPRODUCT(分期持仓明细!$B$23:$Y$23,'实盘净值数据(iFinD）'!$B860:$Y860/'实盘净值数据(iFinD）'!$B$65:$Y$65)+SUMPRODUCT(分期持仓明细!$AC$23:$AD$23,'实盘净值数据(iFinD）'!$Z860:$AA860/'实盘净值数据(iFinD）'!$Z$65:$AA$65))*(1-实盘持仓初始配置!$Z$7)^(('实盘净值数据(iFinD）'!$A860-'实盘净值数据(iFinD）'!$A$8)/365))</f>
        <v/>
      </c>
      <c r="L860" s="16" t="str">
        <f t="shared" si="81"/>
        <v/>
      </c>
      <c r="M860" s="16" t="str">
        <f>IF(K860="","",K860/MAX(K$5:K860)-1)</f>
        <v/>
      </c>
      <c r="N860" s="13" t="str">
        <f>IF(OR('实盘净值数据(iFinD）'!$A860="",'实盘净值数据(iFinD）'!$B860="",'实盘净值数据(iFinD）'!$Z860="",'实盘净值数据(iFinD）'!$AA860=""),"",分期持仓明细!$AB$24*(SUMPRODUCT(分期持仓明细!$B$24:$Y$24,'实盘净值数据(iFinD）'!$B860:$Y860/'实盘净值数据(iFinD）'!$B$65:$Y$65)+SUMPRODUCT(分期持仓明细!$AC$24:$AD$24,'实盘净值数据(iFinD）'!$Z860:$AA860/'实盘净值数据(iFinD）'!$Z$65:$AA$65))*(1-实盘持仓初始配置!$Z$8)^(('实盘净值数据(iFinD）'!$A860-'实盘净值数据(iFinD）'!$A$5)/365))</f>
        <v/>
      </c>
      <c r="O860" s="16" t="str">
        <f t="shared" si="82"/>
        <v/>
      </c>
      <c r="P860" s="16" t="str">
        <f>IF(N860="","",N860/MAX(N$5:N860)-1)</f>
        <v/>
      </c>
      <c r="Q860" s="13" t="str">
        <f>IF(OR('实盘净值数据(iFinD）'!$A860="",'实盘净值数据(iFinD）'!$B860="",'实盘净值数据(iFinD）'!$Z860="",'实盘净值数据(iFinD）'!$AA860=""),"",分期持仓明细!$AB$25*(SUMPRODUCT(分期持仓明细!$B$25:$Y$25,'实盘净值数据(iFinD）'!$B860:$Y860/'实盘净值数据(iFinD）'!$B$65:$Y$65)+SUMPRODUCT(分期持仓明细!$AC$25:$AD$25,'实盘净值数据(iFinD）'!$Z860:$AA860/'实盘净值数据(iFinD）'!$Z$65:$AA$65))*(1-实盘持仓初始配置!$Z$9)^(('实盘净值数据(iFinD）'!$A860-'实盘净值数据(iFinD）'!$A$8)/365))</f>
        <v/>
      </c>
      <c r="R860" s="16" t="str">
        <f t="shared" si="83"/>
        <v/>
      </c>
      <c r="S860" s="16" t="str">
        <f>IF(Q860="","",Q860/MAX(Q$5:Q860)-1)</f>
        <v/>
      </c>
    </row>
    <row r="861" spans="1:19">
      <c r="A861" s="15" t="str">
        <f>IF('实盘净值数据(iFinD）'!A861="","",'实盘净值数据(iFinD）'!A861)</f>
        <v/>
      </c>
      <c r="B861" s="13" t="str">
        <f>IF(OR('实盘净值数据(iFinD）'!$A861="",'实盘净值数据(iFinD）'!$B861=""),"",分期持仓明细!$AB$17*SUMPRODUCT(分期持仓明细!$B$17:$Y$17,'实盘净值数据(iFinD）'!$B861:$Y861/'实盘净值数据(iFinD）'!$B$20:$Y$20)*(1-实盘持仓初始配置!$Z$4)^(('实盘净值数据(iFinD）'!$A861-'实盘净值数据(iFinD）'!$A$6)/365))</f>
        <v/>
      </c>
      <c r="C861" s="16" t="str">
        <f t="shared" si="78"/>
        <v/>
      </c>
      <c r="D861" s="16" t="str">
        <f>IF(B861="","",B861/MAX(B$5:B861)-1)</f>
        <v/>
      </c>
      <c r="E861" s="13" t="str">
        <f>IF(OR('实盘净值数据(iFinD）'!$A861="",'实盘净值数据(iFinD）'!$B861=""),"",分期持仓明细!$AB$18*SUMPRODUCT(分期持仓明细!$B$18:$Y$18,'实盘净值数据(iFinD）'!$B861:$Y861/'实盘净值数据(iFinD）'!$B$20:$Y$20)*(1-实盘持仓初始配置!$Z$5)^(('实盘净值数据(iFinD）'!$A861-'实盘净值数据(iFinD）'!$A$5)/365))</f>
        <v/>
      </c>
      <c r="F861" s="16" t="str">
        <f t="shared" si="79"/>
        <v/>
      </c>
      <c r="G861" s="16" t="str">
        <f>IF(E861="","",E861/MAX(E$5:E861)-1)</f>
        <v/>
      </c>
      <c r="H861" s="13" t="str">
        <f>IF(OR('实盘净值数据(iFinD）'!$A861="",'实盘净值数据(iFinD）'!$B861=""),"",分期持仓明细!$AB$19*SUMPRODUCT(分期持仓明细!$B$19:$Y$19,'实盘净值数据(iFinD）'!$B861:$Y861/'实盘净值数据(iFinD）'!$B$20:$Y$20)*(1-实盘持仓初始配置!$Z$6)^(('实盘净值数据(iFinD）'!$A861-'实盘净值数据(iFinD）'!$A$7)/365))</f>
        <v/>
      </c>
      <c r="I861" s="16" t="str">
        <f t="shared" si="80"/>
        <v/>
      </c>
      <c r="J861" s="16" t="str">
        <f>IF(H861="","",H861/MAX(H$5:H861)-1)</f>
        <v/>
      </c>
      <c r="K861" s="13" t="str">
        <f>IF(OR('实盘净值数据(iFinD）'!$A861="",'实盘净值数据(iFinD）'!$B861="",'实盘净值数据(iFinD）'!$Z861="",'实盘净值数据(iFinD）'!$AA861=""),"",分期持仓明细!$AB$23*(SUMPRODUCT(分期持仓明细!$B$23:$Y$23,'实盘净值数据(iFinD）'!$B861:$Y861/'实盘净值数据(iFinD）'!$B$65:$Y$65)+SUMPRODUCT(分期持仓明细!$AC$23:$AD$23,'实盘净值数据(iFinD）'!$Z861:$AA861/'实盘净值数据(iFinD）'!$Z$65:$AA$65))*(1-实盘持仓初始配置!$Z$7)^(('实盘净值数据(iFinD）'!$A861-'实盘净值数据(iFinD）'!$A$8)/365))</f>
        <v/>
      </c>
      <c r="L861" s="16" t="str">
        <f t="shared" si="81"/>
        <v/>
      </c>
      <c r="M861" s="16" t="str">
        <f>IF(K861="","",K861/MAX(K$5:K861)-1)</f>
        <v/>
      </c>
      <c r="N861" s="13" t="str">
        <f>IF(OR('实盘净值数据(iFinD）'!$A861="",'实盘净值数据(iFinD）'!$B861="",'实盘净值数据(iFinD）'!$Z861="",'实盘净值数据(iFinD）'!$AA861=""),"",分期持仓明细!$AB$24*(SUMPRODUCT(分期持仓明细!$B$24:$Y$24,'实盘净值数据(iFinD）'!$B861:$Y861/'实盘净值数据(iFinD）'!$B$65:$Y$65)+SUMPRODUCT(分期持仓明细!$AC$24:$AD$24,'实盘净值数据(iFinD）'!$Z861:$AA861/'实盘净值数据(iFinD）'!$Z$65:$AA$65))*(1-实盘持仓初始配置!$Z$8)^(('实盘净值数据(iFinD）'!$A861-'实盘净值数据(iFinD）'!$A$5)/365))</f>
        <v/>
      </c>
      <c r="O861" s="16" t="str">
        <f t="shared" si="82"/>
        <v/>
      </c>
      <c r="P861" s="16" t="str">
        <f>IF(N861="","",N861/MAX(N$5:N861)-1)</f>
        <v/>
      </c>
      <c r="Q861" s="13" t="str">
        <f>IF(OR('实盘净值数据(iFinD）'!$A861="",'实盘净值数据(iFinD）'!$B861="",'实盘净值数据(iFinD）'!$Z861="",'实盘净值数据(iFinD）'!$AA861=""),"",分期持仓明细!$AB$25*(SUMPRODUCT(分期持仓明细!$B$25:$Y$25,'实盘净值数据(iFinD）'!$B861:$Y861/'实盘净值数据(iFinD）'!$B$65:$Y$65)+SUMPRODUCT(分期持仓明细!$AC$25:$AD$25,'实盘净值数据(iFinD）'!$Z861:$AA861/'实盘净值数据(iFinD）'!$Z$65:$AA$65))*(1-实盘持仓初始配置!$Z$9)^(('实盘净值数据(iFinD）'!$A861-'实盘净值数据(iFinD）'!$A$8)/365))</f>
        <v/>
      </c>
      <c r="R861" s="16" t="str">
        <f t="shared" si="83"/>
        <v/>
      </c>
      <c r="S861" s="16" t="str">
        <f>IF(Q861="","",Q861/MAX(Q$5:Q861)-1)</f>
        <v/>
      </c>
    </row>
    <row r="862" spans="1:19">
      <c r="A862" s="15" t="str">
        <f>IF('实盘净值数据(iFinD）'!A862="","",'实盘净值数据(iFinD）'!A862)</f>
        <v/>
      </c>
      <c r="B862" s="13" t="str">
        <f>IF(OR('实盘净值数据(iFinD）'!$A862="",'实盘净值数据(iFinD）'!$B862=""),"",分期持仓明细!$AB$17*SUMPRODUCT(分期持仓明细!$B$17:$Y$17,'实盘净值数据(iFinD）'!$B862:$Y862/'实盘净值数据(iFinD）'!$B$20:$Y$20)*(1-实盘持仓初始配置!$Z$4)^(('实盘净值数据(iFinD）'!$A862-'实盘净值数据(iFinD）'!$A$6)/365))</f>
        <v/>
      </c>
      <c r="C862" s="16" t="str">
        <f t="shared" si="78"/>
        <v/>
      </c>
      <c r="D862" s="16" t="str">
        <f>IF(B862="","",B862/MAX(B$5:B862)-1)</f>
        <v/>
      </c>
      <c r="E862" s="13" t="str">
        <f>IF(OR('实盘净值数据(iFinD）'!$A862="",'实盘净值数据(iFinD）'!$B862=""),"",分期持仓明细!$AB$18*SUMPRODUCT(分期持仓明细!$B$18:$Y$18,'实盘净值数据(iFinD）'!$B862:$Y862/'实盘净值数据(iFinD）'!$B$20:$Y$20)*(1-实盘持仓初始配置!$Z$5)^(('实盘净值数据(iFinD）'!$A862-'实盘净值数据(iFinD）'!$A$5)/365))</f>
        <v/>
      </c>
      <c r="F862" s="16" t="str">
        <f t="shared" si="79"/>
        <v/>
      </c>
      <c r="G862" s="16" t="str">
        <f>IF(E862="","",E862/MAX(E$5:E862)-1)</f>
        <v/>
      </c>
      <c r="H862" s="13" t="str">
        <f>IF(OR('实盘净值数据(iFinD）'!$A862="",'实盘净值数据(iFinD）'!$B862=""),"",分期持仓明细!$AB$19*SUMPRODUCT(分期持仓明细!$B$19:$Y$19,'实盘净值数据(iFinD）'!$B862:$Y862/'实盘净值数据(iFinD）'!$B$20:$Y$20)*(1-实盘持仓初始配置!$Z$6)^(('实盘净值数据(iFinD）'!$A862-'实盘净值数据(iFinD）'!$A$7)/365))</f>
        <v/>
      </c>
      <c r="I862" s="16" t="str">
        <f t="shared" si="80"/>
        <v/>
      </c>
      <c r="J862" s="16" t="str">
        <f>IF(H862="","",H862/MAX(H$5:H862)-1)</f>
        <v/>
      </c>
      <c r="K862" s="13" t="str">
        <f>IF(OR('实盘净值数据(iFinD）'!$A862="",'实盘净值数据(iFinD）'!$B862="",'实盘净值数据(iFinD）'!$Z862="",'实盘净值数据(iFinD）'!$AA862=""),"",分期持仓明细!$AB$23*(SUMPRODUCT(分期持仓明细!$B$23:$Y$23,'实盘净值数据(iFinD）'!$B862:$Y862/'实盘净值数据(iFinD）'!$B$65:$Y$65)+SUMPRODUCT(分期持仓明细!$AC$23:$AD$23,'实盘净值数据(iFinD）'!$Z862:$AA862/'实盘净值数据(iFinD）'!$Z$65:$AA$65))*(1-实盘持仓初始配置!$Z$7)^(('实盘净值数据(iFinD）'!$A862-'实盘净值数据(iFinD）'!$A$8)/365))</f>
        <v/>
      </c>
      <c r="L862" s="16" t="str">
        <f t="shared" si="81"/>
        <v/>
      </c>
      <c r="M862" s="16" t="str">
        <f>IF(K862="","",K862/MAX(K$5:K862)-1)</f>
        <v/>
      </c>
      <c r="N862" s="13" t="str">
        <f>IF(OR('实盘净值数据(iFinD）'!$A862="",'实盘净值数据(iFinD）'!$B862="",'实盘净值数据(iFinD）'!$Z862="",'实盘净值数据(iFinD）'!$AA862=""),"",分期持仓明细!$AB$24*(SUMPRODUCT(分期持仓明细!$B$24:$Y$24,'实盘净值数据(iFinD）'!$B862:$Y862/'实盘净值数据(iFinD）'!$B$65:$Y$65)+SUMPRODUCT(分期持仓明细!$AC$24:$AD$24,'实盘净值数据(iFinD）'!$Z862:$AA862/'实盘净值数据(iFinD）'!$Z$65:$AA$65))*(1-实盘持仓初始配置!$Z$8)^(('实盘净值数据(iFinD）'!$A862-'实盘净值数据(iFinD）'!$A$5)/365))</f>
        <v/>
      </c>
      <c r="O862" s="16" t="str">
        <f t="shared" si="82"/>
        <v/>
      </c>
      <c r="P862" s="16" t="str">
        <f>IF(N862="","",N862/MAX(N$5:N862)-1)</f>
        <v/>
      </c>
      <c r="Q862" s="13" t="str">
        <f>IF(OR('实盘净值数据(iFinD）'!$A862="",'实盘净值数据(iFinD）'!$B862="",'实盘净值数据(iFinD）'!$Z862="",'实盘净值数据(iFinD）'!$AA862=""),"",分期持仓明细!$AB$25*(SUMPRODUCT(分期持仓明细!$B$25:$Y$25,'实盘净值数据(iFinD）'!$B862:$Y862/'实盘净值数据(iFinD）'!$B$65:$Y$65)+SUMPRODUCT(分期持仓明细!$AC$25:$AD$25,'实盘净值数据(iFinD）'!$Z862:$AA862/'实盘净值数据(iFinD）'!$Z$65:$AA$65))*(1-实盘持仓初始配置!$Z$9)^(('实盘净值数据(iFinD）'!$A862-'实盘净值数据(iFinD）'!$A$8)/365))</f>
        <v/>
      </c>
      <c r="R862" s="16" t="str">
        <f t="shared" si="83"/>
        <v/>
      </c>
      <c r="S862" s="16" t="str">
        <f>IF(Q862="","",Q862/MAX(Q$5:Q862)-1)</f>
        <v/>
      </c>
    </row>
    <row r="863" spans="1:19">
      <c r="A863" s="15" t="str">
        <f>IF('实盘净值数据(iFinD）'!A863="","",'实盘净值数据(iFinD）'!A863)</f>
        <v/>
      </c>
      <c r="B863" s="13" t="str">
        <f>IF(OR('实盘净值数据(iFinD）'!$A863="",'实盘净值数据(iFinD）'!$B863=""),"",分期持仓明细!$AB$17*SUMPRODUCT(分期持仓明细!$B$17:$Y$17,'实盘净值数据(iFinD）'!$B863:$Y863/'实盘净值数据(iFinD）'!$B$20:$Y$20)*(1-实盘持仓初始配置!$Z$4)^(('实盘净值数据(iFinD）'!$A863-'实盘净值数据(iFinD）'!$A$6)/365))</f>
        <v/>
      </c>
      <c r="C863" s="16" t="str">
        <f t="shared" si="78"/>
        <v/>
      </c>
      <c r="D863" s="16" t="str">
        <f>IF(B863="","",B863/MAX(B$5:B863)-1)</f>
        <v/>
      </c>
      <c r="E863" s="13" t="str">
        <f>IF(OR('实盘净值数据(iFinD）'!$A863="",'实盘净值数据(iFinD）'!$B863=""),"",分期持仓明细!$AB$18*SUMPRODUCT(分期持仓明细!$B$18:$Y$18,'实盘净值数据(iFinD）'!$B863:$Y863/'实盘净值数据(iFinD）'!$B$20:$Y$20)*(1-实盘持仓初始配置!$Z$5)^(('实盘净值数据(iFinD）'!$A863-'实盘净值数据(iFinD）'!$A$5)/365))</f>
        <v/>
      </c>
      <c r="F863" s="16" t="str">
        <f t="shared" si="79"/>
        <v/>
      </c>
      <c r="G863" s="16" t="str">
        <f>IF(E863="","",E863/MAX(E$5:E863)-1)</f>
        <v/>
      </c>
      <c r="H863" s="13" t="str">
        <f>IF(OR('实盘净值数据(iFinD）'!$A863="",'实盘净值数据(iFinD）'!$B863=""),"",分期持仓明细!$AB$19*SUMPRODUCT(分期持仓明细!$B$19:$Y$19,'实盘净值数据(iFinD）'!$B863:$Y863/'实盘净值数据(iFinD）'!$B$20:$Y$20)*(1-实盘持仓初始配置!$Z$6)^(('实盘净值数据(iFinD）'!$A863-'实盘净值数据(iFinD）'!$A$7)/365))</f>
        <v/>
      </c>
      <c r="I863" s="16" t="str">
        <f t="shared" si="80"/>
        <v/>
      </c>
      <c r="J863" s="16" t="str">
        <f>IF(H863="","",H863/MAX(H$5:H863)-1)</f>
        <v/>
      </c>
      <c r="K863" s="13" t="str">
        <f>IF(OR('实盘净值数据(iFinD）'!$A863="",'实盘净值数据(iFinD）'!$B863="",'实盘净值数据(iFinD）'!$Z863="",'实盘净值数据(iFinD）'!$AA863=""),"",分期持仓明细!$AB$23*(SUMPRODUCT(分期持仓明细!$B$23:$Y$23,'实盘净值数据(iFinD）'!$B863:$Y863/'实盘净值数据(iFinD）'!$B$65:$Y$65)+SUMPRODUCT(分期持仓明细!$AC$23:$AD$23,'实盘净值数据(iFinD）'!$Z863:$AA863/'实盘净值数据(iFinD）'!$Z$65:$AA$65))*(1-实盘持仓初始配置!$Z$7)^(('实盘净值数据(iFinD）'!$A863-'实盘净值数据(iFinD）'!$A$8)/365))</f>
        <v/>
      </c>
      <c r="L863" s="16" t="str">
        <f t="shared" si="81"/>
        <v/>
      </c>
      <c r="M863" s="16" t="str">
        <f>IF(K863="","",K863/MAX(K$5:K863)-1)</f>
        <v/>
      </c>
      <c r="N863" s="13" t="str">
        <f>IF(OR('实盘净值数据(iFinD）'!$A863="",'实盘净值数据(iFinD）'!$B863="",'实盘净值数据(iFinD）'!$Z863="",'实盘净值数据(iFinD）'!$AA863=""),"",分期持仓明细!$AB$24*(SUMPRODUCT(分期持仓明细!$B$24:$Y$24,'实盘净值数据(iFinD）'!$B863:$Y863/'实盘净值数据(iFinD）'!$B$65:$Y$65)+SUMPRODUCT(分期持仓明细!$AC$24:$AD$24,'实盘净值数据(iFinD）'!$Z863:$AA863/'实盘净值数据(iFinD）'!$Z$65:$AA$65))*(1-实盘持仓初始配置!$Z$8)^(('实盘净值数据(iFinD）'!$A863-'实盘净值数据(iFinD）'!$A$5)/365))</f>
        <v/>
      </c>
      <c r="O863" s="16" t="str">
        <f t="shared" si="82"/>
        <v/>
      </c>
      <c r="P863" s="16" t="str">
        <f>IF(N863="","",N863/MAX(N$5:N863)-1)</f>
        <v/>
      </c>
      <c r="Q863" s="13" t="str">
        <f>IF(OR('实盘净值数据(iFinD）'!$A863="",'实盘净值数据(iFinD）'!$B863="",'实盘净值数据(iFinD）'!$Z863="",'实盘净值数据(iFinD）'!$AA863=""),"",分期持仓明细!$AB$25*(SUMPRODUCT(分期持仓明细!$B$25:$Y$25,'实盘净值数据(iFinD）'!$B863:$Y863/'实盘净值数据(iFinD）'!$B$65:$Y$65)+SUMPRODUCT(分期持仓明细!$AC$25:$AD$25,'实盘净值数据(iFinD）'!$Z863:$AA863/'实盘净值数据(iFinD）'!$Z$65:$AA$65))*(1-实盘持仓初始配置!$Z$9)^(('实盘净值数据(iFinD）'!$A863-'实盘净值数据(iFinD）'!$A$8)/365))</f>
        <v/>
      </c>
      <c r="R863" s="16" t="str">
        <f t="shared" si="83"/>
        <v/>
      </c>
      <c r="S863" s="16" t="str">
        <f>IF(Q863="","",Q863/MAX(Q$5:Q863)-1)</f>
        <v/>
      </c>
    </row>
    <row r="864" spans="1:19">
      <c r="A864" s="15" t="str">
        <f>IF('实盘净值数据(iFinD）'!A864="","",'实盘净值数据(iFinD）'!A864)</f>
        <v/>
      </c>
      <c r="B864" s="13" t="str">
        <f>IF(OR('实盘净值数据(iFinD）'!$A864="",'实盘净值数据(iFinD）'!$B864=""),"",分期持仓明细!$AB$17*SUMPRODUCT(分期持仓明细!$B$17:$Y$17,'实盘净值数据(iFinD）'!$B864:$Y864/'实盘净值数据(iFinD）'!$B$20:$Y$20)*(1-实盘持仓初始配置!$Z$4)^(('实盘净值数据(iFinD）'!$A864-'实盘净值数据(iFinD）'!$A$6)/365))</f>
        <v/>
      </c>
      <c r="C864" s="16" t="str">
        <f t="shared" si="78"/>
        <v/>
      </c>
      <c r="D864" s="16" t="str">
        <f>IF(B864="","",B864/MAX(B$5:B864)-1)</f>
        <v/>
      </c>
      <c r="E864" s="13" t="str">
        <f>IF(OR('实盘净值数据(iFinD）'!$A864="",'实盘净值数据(iFinD）'!$B864=""),"",分期持仓明细!$AB$18*SUMPRODUCT(分期持仓明细!$B$18:$Y$18,'实盘净值数据(iFinD）'!$B864:$Y864/'实盘净值数据(iFinD）'!$B$20:$Y$20)*(1-实盘持仓初始配置!$Z$5)^(('实盘净值数据(iFinD）'!$A864-'实盘净值数据(iFinD）'!$A$5)/365))</f>
        <v/>
      </c>
      <c r="F864" s="16" t="str">
        <f t="shared" si="79"/>
        <v/>
      </c>
      <c r="G864" s="16" t="str">
        <f>IF(E864="","",E864/MAX(E$5:E864)-1)</f>
        <v/>
      </c>
      <c r="H864" s="13" t="str">
        <f>IF(OR('实盘净值数据(iFinD）'!$A864="",'实盘净值数据(iFinD）'!$B864=""),"",分期持仓明细!$AB$19*SUMPRODUCT(分期持仓明细!$B$19:$Y$19,'实盘净值数据(iFinD）'!$B864:$Y864/'实盘净值数据(iFinD）'!$B$20:$Y$20)*(1-实盘持仓初始配置!$Z$6)^(('实盘净值数据(iFinD）'!$A864-'实盘净值数据(iFinD）'!$A$7)/365))</f>
        <v/>
      </c>
      <c r="I864" s="16" t="str">
        <f t="shared" si="80"/>
        <v/>
      </c>
      <c r="J864" s="16" t="str">
        <f>IF(H864="","",H864/MAX(H$5:H864)-1)</f>
        <v/>
      </c>
      <c r="K864" s="13" t="str">
        <f>IF(OR('实盘净值数据(iFinD）'!$A864="",'实盘净值数据(iFinD）'!$B864="",'实盘净值数据(iFinD）'!$Z864="",'实盘净值数据(iFinD）'!$AA864=""),"",分期持仓明细!$AB$23*(SUMPRODUCT(分期持仓明细!$B$23:$Y$23,'实盘净值数据(iFinD）'!$B864:$Y864/'实盘净值数据(iFinD）'!$B$65:$Y$65)+SUMPRODUCT(分期持仓明细!$AC$23:$AD$23,'实盘净值数据(iFinD）'!$Z864:$AA864/'实盘净值数据(iFinD）'!$Z$65:$AA$65))*(1-实盘持仓初始配置!$Z$7)^(('实盘净值数据(iFinD）'!$A864-'实盘净值数据(iFinD）'!$A$8)/365))</f>
        <v/>
      </c>
      <c r="L864" s="16" t="str">
        <f t="shared" si="81"/>
        <v/>
      </c>
      <c r="M864" s="16" t="str">
        <f>IF(K864="","",K864/MAX(K$5:K864)-1)</f>
        <v/>
      </c>
      <c r="N864" s="13" t="str">
        <f>IF(OR('实盘净值数据(iFinD）'!$A864="",'实盘净值数据(iFinD）'!$B864="",'实盘净值数据(iFinD）'!$Z864="",'实盘净值数据(iFinD）'!$AA864=""),"",分期持仓明细!$AB$24*(SUMPRODUCT(分期持仓明细!$B$24:$Y$24,'实盘净值数据(iFinD）'!$B864:$Y864/'实盘净值数据(iFinD）'!$B$65:$Y$65)+SUMPRODUCT(分期持仓明细!$AC$24:$AD$24,'实盘净值数据(iFinD）'!$Z864:$AA864/'实盘净值数据(iFinD）'!$Z$65:$AA$65))*(1-实盘持仓初始配置!$Z$8)^(('实盘净值数据(iFinD）'!$A864-'实盘净值数据(iFinD）'!$A$5)/365))</f>
        <v/>
      </c>
      <c r="O864" s="16" t="str">
        <f t="shared" si="82"/>
        <v/>
      </c>
      <c r="P864" s="16" t="str">
        <f>IF(N864="","",N864/MAX(N$5:N864)-1)</f>
        <v/>
      </c>
      <c r="Q864" s="13" t="str">
        <f>IF(OR('实盘净值数据(iFinD）'!$A864="",'实盘净值数据(iFinD）'!$B864="",'实盘净值数据(iFinD）'!$Z864="",'实盘净值数据(iFinD）'!$AA864=""),"",分期持仓明细!$AB$25*(SUMPRODUCT(分期持仓明细!$B$25:$Y$25,'实盘净值数据(iFinD）'!$B864:$Y864/'实盘净值数据(iFinD）'!$B$65:$Y$65)+SUMPRODUCT(分期持仓明细!$AC$25:$AD$25,'实盘净值数据(iFinD）'!$Z864:$AA864/'实盘净值数据(iFinD）'!$Z$65:$AA$65))*(1-实盘持仓初始配置!$Z$9)^(('实盘净值数据(iFinD）'!$A864-'实盘净值数据(iFinD）'!$A$8)/365))</f>
        <v/>
      </c>
      <c r="R864" s="16" t="str">
        <f t="shared" si="83"/>
        <v/>
      </c>
      <c r="S864" s="16" t="str">
        <f>IF(Q864="","",Q864/MAX(Q$5:Q864)-1)</f>
        <v/>
      </c>
    </row>
    <row r="865" spans="1:19">
      <c r="A865" s="15" t="str">
        <f>IF('实盘净值数据(iFinD）'!A865="","",'实盘净值数据(iFinD）'!A865)</f>
        <v/>
      </c>
      <c r="B865" s="13" t="str">
        <f>IF(OR('实盘净值数据(iFinD）'!$A865="",'实盘净值数据(iFinD）'!$B865=""),"",分期持仓明细!$AB$17*SUMPRODUCT(分期持仓明细!$B$17:$Y$17,'实盘净值数据(iFinD）'!$B865:$Y865/'实盘净值数据(iFinD）'!$B$20:$Y$20)*(1-实盘持仓初始配置!$Z$4)^(('实盘净值数据(iFinD）'!$A865-'实盘净值数据(iFinD）'!$A$6)/365))</f>
        <v/>
      </c>
      <c r="C865" s="16" t="str">
        <f t="shared" si="78"/>
        <v/>
      </c>
      <c r="D865" s="16" t="str">
        <f>IF(B865="","",B865/MAX(B$5:B865)-1)</f>
        <v/>
      </c>
      <c r="E865" s="13" t="str">
        <f>IF(OR('实盘净值数据(iFinD）'!$A865="",'实盘净值数据(iFinD）'!$B865=""),"",分期持仓明细!$AB$18*SUMPRODUCT(分期持仓明细!$B$18:$Y$18,'实盘净值数据(iFinD）'!$B865:$Y865/'实盘净值数据(iFinD）'!$B$20:$Y$20)*(1-实盘持仓初始配置!$Z$5)^(('实盘净值数据(iFinD）'!$A865-'实盘净值数据(iFinD）'!$A$5)/365))</f>
        <v/>
      </c>
      <c r="F865" s="16" t="str">
        <f t="shared" si="79"/>
        <v/>
      </c>
      <c r="G865" s="16" t="str">
        <f>IF(E865="","",E865/MAX(E$5:E865)-1)</f>
        <v/>
      </c>
      <c r="H865" s="13" t="str">
        <f>IF(OR('实盘净值数据(iFinD）'!$A865="",'实盘净值数据(iFinD）'!$B865=""),"",分期持仓明细!$AB$19*SUMPRODUCT(分期持仓明细!$B$19:$Y$19,'实盘净值数据(iFinD）'!$B865:$Y865/'实盘净值数据(iFinD）'!$B$20:$Y$20)*(1-实盘持仓初始配置!$Z$6)^(('实盘净值数据(iFinD）'!$A865-'实盘净值数据(iFinD）'!$A$7)/365))</f>
        <v/>
      </c>
      <c r="I865" s="16" t="str">
        <f t="shared" si="80"/>
        <v/>
      </c>
      <c r="J865" s="16" t="str">
        <f>IF(H865="","",H865/MAX(H$5:H865)-1)</f>
        <v/>
      </c>
      <c r="K865" s="13" t="str">
        <f>IF(OR('实盘净值数据(iFinD）'!$A865="",'实盘净值数据(iFinD）'!$B865="",'实盘净值数据(iFinD）'!$Z865="",'实盘净值数据(iFinD）'!$AA865=""),"",分期持仓明细!$AB$23*(SUMPRODUCT(分期持仓明细!$B$23:$Y$23,'实盘净值数据(iFinD）'!$B865:$Y865/'实盘净值数据(iFinD）'!$B$65:$Y$65)+SUMPRODUCT(分期持仓明细!$AC$23:$AD$23,'实盘净值数据(iFinD）'!$Z865:$AA865/'实盘净值数据(iFinD）'!$Z$65:$AA$65))*(1-实盘持仓初始配置!$Z$7)^(('实盘净值数据(iFinD）'!$A865-'实盘净值数据(iFinD）'!$A$8)/365))</f>
        <v/>
      </c>
      <c r="L865" s="16" t="str">
        <f t="shared" si="81"/>
        <v/>
      </c>
      <c r="M865" s="16" t="str">
        <f>IF(K865="","",K865/MAX(K$5:K865)-1)</f>
        <v/>
      </c>
      <c r="N865" s="13" t="str">
        <f>IF(OR('实盘净值数据(iFinD）'!$A865="",'实盘净值数据(iFinD）'!$B865="",'实盘净值数据(iFinD）'!$Z865="",'实盘净值数据(iFinD）'!$AA865=""),"",分期持仓明细!$AB$24*(SUMPRODUCT(分期持仓明细!$B$24:$Y$24,'实盘净值数据(iFinD）'!$B865:$Y865/'实盘净值数据(iFinD）'!$B$65:$Y$65)+SUMPRODUCT(分期持仓明细!$AC$24:$AD$24,'实盘净值数据(iFinD）'!$Z865:$AA865/'实盘净值数据(iFinD）'!$Z$65:$AA$65))*(1-实盘持仓初始配置!$Z$8)^(('实盘净值数据(iFinD）'!$A865-'实盘净值数据(iFinD）'!$A$5)/365))</f>
        <v/>
      </c>
      <c r="O865" s="16" t="str">
        <f t="shared" si="82"/>
        <v/>
      </c>
      <c r="P865" s="16" t="str">
        <f>IF(N865="","",N865/MAX(N$5:N865)-1)</f>
        <v/>
      </c>
      <c r="Q865" s="13" t="str">
        <f>IF(OR('实盘净值数据(iFinD）'!$A865="",'实盘净值数据(iFinD）'!$B865="",'实盘净值数据(iFinD）'!$Z865="",'实盘净值数据(iFinD）'!$AA865=""),"",分期持仓明细!$AB$25*(SUMPRODUCT(分期持仓明细!$B$25:$Y$25,'实盘净值数据(iFinD）'!$B865:$Y865/'实盘净值数据(iFinD）'!$B$65:$Y$65)+SUMPRODUCT(分期持仓明细!$AC$25:$AD$25,'实盘净值数据(iFinD）'!$Z865:$AA865/'实盘净值数据(iFinD）'!$Z$65:$AA$65))*(1-实盘持仓初始配置!$Z$9)^(('实盘净值数据(iFinD）'!$A865-'实盘净值数据(iFinD）'!$A$8)/365))</f>
        <v/>
      </c>
      <c r="R865" s="16" t="str">
        <f t="shared" si="83"/>
        <v/>
      </c>
      <c r="S865" s="16" t="str">
        <f>IF(Q865="","",Q865/MAX(Q$5:Q865)-1)</f>
        <v/>
      </c>
    </row>
    <row r="866" spans="1:19">
      <c r="A866" s="15" t="str">
        <f>IF('实盘净值数据(iFinD）'!A866="","",'实盘净值数据(iFinD）'!A866)</f>
        <v/>
      </c>
      <c r="B866" s="13" t="str">
        <f>IF(OR('实盘净值数据(iFinD）'!$A866="",'实盘净值数据(iFinD）'!$B866=""),"",分期持仓明细!$AB$17*SUMPRODUCT(分期持仓明细!$B$17:$Y$17,'实盘净值数据(iFinD）'!$B866:$Y866/'实盘净值数据(iFinD）'!$B$20:$Y$20)*(1-实盘持仓初始配置!$Z$4)^(('实盘净值数据(iFinD）'!$A866-'实盘净值数据(iFinD）'!$A$6)/365))</f>
        <v/>
      </c>
      <c r="C866" s="16" t="str">
        <f t="shared" si="78"/>
        <v/>
      </c>
      <c r="D866" s="16" t="str">
        <f>IF(B866="","",B866/MAX(B$5:B866)-1)</f>
        <v/>
      </c>
      <c r="E866" s="13" t="str">
        <f>IF(OR('实盘净值数据(iFinD）'!$A866="",'实盘净值数据(iFinD）'!$B866=""),"",分期持仓明细!$AB$18*SUMPRODUCT(分期持仓明细!$B$18:$Y$18,'实盘净值数据(iFinD）'!$B866:$Y866/'实盘净值数据(iFinD）'!$B$20:$Y$20)*(1-实盘持仓初始配置!$Z$5)^(('实盘净值数据(iFinD）'!$A866-'实盘净值数据(iFinD）'!$A$5)/365))</f>
        <v/>
      </c>
      <c r="F866" s="16" t="str">
        <f t="shared" si="79"/>
        <v/>
      </c>
      <c r="G866" s="16" t="str">
        <f>IF(E866="","",E866/MAX(E$5:E866)-1)</f>
        <v/>
      </c>
      <c r="H866" s="13" t="str">
        <f>IF(OR('实盘净值数据(iFinD）'!$A866="",'实盘净值数据(iFinD）'!$B866=""),"",分期持仓明细!$AB$19*SUMPRODUCT(分期持仓明细!$B$19:$Y$19,'实盘净值数据(iFinD）'!$B866:$Y866/'实盘净值数据(iFinD）'!$B$20:$Y$20)*(1-实盘持仓初始配置!$Z$6)^(('实盘净值数据(iFinD）'!$A866-'实盘净值数据(iFinD）'!$A$7)/365))</f>
        <v/>
      </c>
      <c r="I866" s="16" t="str">
        <f t="shared" si="80"/>
        <v/>
      </c>
      <c r="J866" s="16" t="str">
        <f>IF(H866="","",H866/MAX(H$5:H866)-1)</f>
        <v/>
      </c>
      <c r="K866" s="13" t="str">
        <f>IF(OR('实盘净值数据(iFinD）'!$A866="",'实盘净值数据(iFinD）'!$B866="",'实盘净值数据(iFinD）'!$Z866="",'实盘净值数据(iFinD）'!$AA866=""),"",分期持仓明细!$AB$23*(SUMPRODUCT(分期持仓明细!$B$23:$Y$23,'实盘净值数据(iFinD）'!$B866:$Y866/'实盘净值数据(iFinD）'!$B$65:$Y$65)+SUMPRODUCT(分期持仓明细!$AC$23:$AD$23,'实盘净值数据(iFinD）'!$Z866:$AA866/'实盘净值数据(iFinD）'!$Z$65:$AA$65))*(1-实盘持仓初始配置!$Z$7)^(('实盘净值数据(iFinD）'!$A866-'实盘净值数据(iFinD）'!$A$8)/365))</f>
        <v/>
      </c>
      <c r="L866" s="16" t="str">
        <f t="shared" si="81"/>
        <v/>
      </c>
      <c r="M866" s="16" t="str">
        <f>IF(K866="","",K866/MAX(K$5:K866)-1)</f>
        <v/>
      </c>
      <c r="N866" s="13" t="str">
        <f>IF(OR('实盘净值数据(iFinD）'!$A866="",'实盘净值数据(iFinD）'!$B866="",'实盘净值数据(iFinD）'!$Z866="",'实盘净值数据(iFinD）'!$AA866=""),"",分期持仓明细!$AB$24*(SUMPRODUCT(分期持仓明细!$B$24:$Y$24,'实盘净值数据(iFinD）'!$B866:$Y866/'实盘净值数据(iFinD）'!$B$65:$Y$65)+SUMPRODUCT(分期持仓明细!$AC$24:$AD$24,'实盘净值数据(iFinD）'!$Z866:$AA866/'实盘净值数据(iFinD）'!$Z$65:$AA$65))*(1-实盘持仓初始配置!$Z$8)^(('实盘净值数据(iFinD）'!$A866-'实盘净值数据(iFinD）'!$A$5)/365))</f>
        <v/>
      </c>
      <c r="O866" s="16" t="str">
        <f t="shared" si="82"/>
        <v/>
      </c>
      <c r="P866" s="16" t="str">
        <f>IF(N866="","",N866/MAX(N$5:N866)-1)</f>
        <v/>
      </c>
      <c r="Q866" s="13" t="str">
        <f>IF(OR('实盘净值数据(iFinD）'!$A866="",'实盘净值数据(iFinD）'!$B866="",'实盘净值数据(iFinD）'!$Z866="",'实盘净值数据(iFinD）'!$AA866=""),"",分期持仓明细!$AB$25*(SUMPRODUCT(分期持仓明细!$B$25:$Y$25,'实盘净值数据(iFinD）'!$B866:$Y866/'实盘净值数据(iFinD）'!$B$65:$Y$65)+SUMPRODUCT(分期持仓明细!$AC$25:$AD$25,'实盘净值数据(iFinD）'!$Z866:$AA866/'实盘净值数据(iFinD）'!$Z$65:$AA$65))*(1-实盘持仓初始配置!$Z$9)^(('实盘净值数据(iFinD）'!$A866-'实盘净值数据(iFinD）'!$A$8)/365))</f>
        <v/>
      </c>
      <c r="R866" s="16" t="str">
        <f t="shared" si="83"/>
        <v/>
      </c>
      <c r="S866" s="16" t="str">
        <f>IF(Q866="","",Q866/MAX(Q$5:Q866)-1)</f>
        <v/>
      </c>
    </row>
    <row r="867" spans="1:19">
      <c r="A867" s="15" t="str">
        <f>IF('实盘净值数据(iFinD）'!A867="","",'实盘净值数据(iFinD）'!A867)</f>
        <v/>
      </c>
      <c r="B867" s="13" t="str">
        <f>IF(OR('实盘净值数据(iFinD）'!$A867="",'实盘净值数据(iFinD）'!$B867=""),"",分期持仓明细!$AB$17*SUMPRODUCT(分期持仓明细!$B$17:$Y$17,'实盘净值数据(iFinD）'!$B867:$Y867/'实盘净值数据(iFinD）'!$B$20:$Y$20)*(1-实盘持仓初始配置!$Z$4)^(('实盘净值数据(iFinD）'!$A867-'实盘净值数据(iFinD）'!$A$6)/365))</f>
        <v/>
      </c>
      <c r="C867" s="16" t="str">
        <f t="shared" si="78"/>
        <v/>
      </c>
      <c r="D867" s="16" t="str">
        <f>IF(B867="","",B867/MAX(B$5:B867)-1)</f>
        <v/>
      </c>
      <c r="E867" s="13" t="str">
        <f>IF(OR('实盘净值数据(iFinD）'!$A867="",'实盘净值数据(iFinD）'!$B867=""),"",分期持仓明细!$AB$18*SUMPRODUCT(分期持仓明细!$B$18:$Y$18,'实盘净值数据(iFinD）'!$B867:$Y867/'实盘净值数据(iFinD）'!$B$20:$Y$20)*(1-实盘持仓初始配置!$Z$5)^(('实盘净值数据(iFinD）'!$A867-'实盘净值数据(iFinD）'!$A$5)/365))</f>
        <v/>
      </c>
      <c r="F867" s="16" t="str">
        <f t="shared" si="79"/>
        <v/>
      </c>
      <c r="G867" s="16" t="str">
        <f>IF(E867="","",E867/MAX(E$5:E867)-1)</f>
        <v/>
      </c>
      <c r="H867" s="13" t="str">
        <f>IF(OR('实盘净值数据(iFinD）'!$A867="",'实盘净值数据(iFinD）'!$B867=""),"",分期持仓明细!$AB$19*SUMPRODUCT(分期持仓明细!$B$19:$Y$19,'实盘净值数据(iFinD）'!$B867:$Y867/'实盘净值数据(iFinD）'!$B$20:$Y$20)*(1-实盘持仓初始配置!$Z$6)^(('实盘净值数据(iFinD）'!$A867-'实盘净值数据(iFinD）'!$A$7)/365))</f>
        <v/>
      </c>
      <c r="I867" s="16" t="str">
        <f t="shared" si="80"/>
        <v/>
      </c>
      <c r="J867" s="16" t="str">
        <f>IF(H867="","",H867/MAX(H$5:H867)-1)</f>
        <v/>
      </c>
      <c r="K867" s="13" t="str">
        <f>IF(OR('实盘净值数据(iFinD）'!$A867="",'实盘净值数据(iFinD）'!$B867="",'实盘净值数据(iFinD）'!$Z867="",'实盘净值数据(iFinD）'!$AA867=""),"",分期持仓明细!$AB$23*(SUMPRODUCT(分期持仓明细!$B$23:$Y$23,'实盘净值数据(iFinD）'!$B867:$Y867/'实盘净值数据(iFinD）'!$B$65:$Y$65)+SUMPRODUCT(分期持仓明细!$AC$23:$AD$23,'实盘净值数据(iFinD）'!$Z867:$AA867/'实盘净值数据(iFinD）'!$Z$65:$AA$65))*(1-实盘持仓初始配置!$Z$7)^(('实盘净值数据(iFinD）'!$A867-'实盘净值数据(iFinD）'!$A$8)/365))</f>
        <v/>
      </c>
      <c r="L867" s="16" t="str">
        <f t="shared" si="81"/>
        <v/>
      </c>
      <c r="M867" s="16" t="str">
        <f>IF(K867="","",K867/MAX(K$5:K867)-1)</f>
        <v/>
      </c>
      <c r="N867" s="13" t="str">
        <f>IF(OR('实盘净值数据(iFinD）'!$A867="",'实盘净值数据(iFinD）'!$B867="",'实盘净值数据(iFinD）'!$Z867="",'实盘净值数据(iFinD）'!$AA867=""),"",分期持仓明细!$AB$24*(SUMPRODUCT(分期持仓明细!$B$24:$Y$24,'实盘净值数据(iFinD）'!$B867:$Y867/'实盘净值数据(iFinD）'!$B$65:$Y$65)+SUMPRODUCT(分期持仓明细!$AC$24:$AD$24,'实盘净值数据(iFinD）'!$Z867:$AA867/'实盘净值数据(iFinD）'!$Z$65:$AA$65))*(1-实盘持仓初始配置!$Z$8)^(('实盘净值数据(iFinD）'!$A867-'实盘净值数据(iFinD）'!$A$5)/365))</f>
        <v/>
      </c>
      <c r="O867" s="16" t="str">
        <f t="shared" si="82"/>
        <v/>
      </c>
      <c r="P867" s="16" t="str">
        <f>IF(N867="","",N867/MAX(N$5:N867)-1)</f>
        <v/>
      </c>
      <c r="Q867" s="13" t="str">
        <f>IF(OR('实盘净值数据(iFinD）'!$A867="",'实盘净值数据(iFinD）'!$B867="",'实盘净值数据(iFinD）'!$Z867="",'实盘净值数据(iFinD）'!$AA867=""),"",分期持仓明细!$AB$25*(SUMPRODUCT(分期持仓明细!$B$25:$Y$25,'实盘净值数据(iFinD）'!$B867:$Y867/'实盘净值数据(iFinD）'!$B$65:$Y$65)+SUMPRODUCT(分期持仓明细!$AC$25:$AD$25,'实盘净值数据(iFinD）'!$Z867:$AA867/'实盘净值数据(iFinD）'!$Z$65:$AA$65))*(1-实盘持仓初始配置!$Z$9)^(('实盘净值数据(iFinD）'!$A867-'实盘净值数据(iFinD）'!$A$8)/365))</f>
        <v/>
      </c>
      <c r="R867" s="16" t="str">
        <f t="shared" si="83"/>
        <v/>
      </c>
      <c r="S867" s="16" t="str">
        <f>IF(Q867="","",Q867/MAX(Q$5:Q867)-1)</f>
        <v/>
      </c>
    </row>
    <row r="868" spans="1:19">
      <c r="A868" s="15" t="str">
        <f>IF('实盘净值数据(iFinD）'!A868="","",'实盘净值数据(iFinD）'!A868)</f>
        <v/>
      </c>
      <c r="B868" s="13" t="str">
        <f>IF(OR('实盘净值数据(iFinD）'!$A868="",'实盘净值数据(iFinD）'!$B868=""),"",分期持仓明细!$AB$17*SUMPRODUCT(分期持仓明细!$B$17:$Y$17,'实盘净值数据(iFinD）'!$B868:$Y868/'实盘净值数据(iFinD）'!$B$20:$Y$20)*(1-实盘持仓初始配置!$Z$4)^(('实盘净值数据(iFinD）'!$A868-'实盘净值数据(iFinD）'!$A$6)/365))</f>
        <v/>
      </c>
      <c r="C868" s="16" t="str">
        <f t="shared" si="78"/>
        <v/>
      </c>
      <c r="D868" s="16" t="str">
        <f>IF(B868="","",B868/MAX(B$5:B868)-1)</f>
        <v/>
      </c>
      <c r="E868" s="13" t="str">
        <f>IF(OR('实盘净值数据(iFinD）'!$A868="",'实盘净值数据(iFinD）'!$B868=""),"",分期持仓明细!$AB$18*SUMPRODUCT(分期持仓明细!$B$18:$Y$18,'实盘净值数据(iFinD）'!$B868:$Y868/'实盘净值数据(iFinD）'!$B$20:$Y$20)*(1-实盘持仓初始配置!$Z$5)^(('实盘净值数据(iFinD）'!$A868-'实盘净值数据(iFinD）'!$A$5)/365))</f>
        <v/>
      </c>
      <c r="F868" s="16" t="str">
        <f t="shared" si="79"/>
        <v/>
      </c>
      <c r="G868" s="16" t="str">
        <f>IF(E868="","",E868/MAX(E$5:E868)-1)</f>
        <v/>
      </c>
      <c r="H868" s="13" t="str">
        <f>IF(OR('实盘净值数据(iFinD）'!$A868="",'实盘净值数据(iFinD）'!$B868=""),"",分期持仓明细!$AB$19*SUMPRODUCT(分期持仓明细!$B$19:$Y$19,'实盘净值数据(iFinD）'!$B868:$Y868/'实盘净值数据(iFinD）'!$B$20:$Y$20)*(1-实盘持仓初始配置!$Z$6)^(('实盘净值数据(iFinD）'!$A868-'实盘净值数据(iFinD）'!$A$7)/365))</f>
        <v/>
      </c>
      <c r="I868" s="16" t="str">
        <f t="shared" si="80"/>
        <v/>
      </c>
      <c r="J868" s="16" t="str">
        <f>IF(H868="","",H868/MAX(H$5:H868)-1)</f>
        <v/>
      </c>
      <c r="K868" s="13" t="str">
        <f>IF(OR('实盘净值数据(iFinD）'!$A868="",'实盘净值数据(iFinD）'!$B868="",'实盘净值数据(iFinD）'!$Z868="",'实盘净值数据(iFinD）'!$AA868=""),"",分期持仓明细!$AB$23*(SUMPRODUCT(分期持仓明细!$B$23:$Y$23,'实盘净值数据(iFinD）'!$B868:$Y868/'实盘净值数据(iFinD）'!$B$65:$Y$65)+SUMPRODUCT(分期持仓明细!$AC$23:$AD$23,'实盘净值数据(iFinD）'!$Z868:$AA868/'实盘净值数据(iFinD）'!$Z$65:$AA$65))*(1-实盘持仓初始配置!$Z$7)^(('实盘净值数据(iFinD）'!$A868-'实盘净值数据(iFinD）'!$A$8)/365))</f>
        <v/>
      </c>
      <c r="L868" s="16" t="str">
        <f t="shared" si="81"/>
        <v/>
      </c>
      <c r="M868" s="16" t="str">
        <f>IF(K868="","",K868/MAX(K$5:K868)-1)</f>
        <v/>
      </c>
      <c r="N868" s="13" t="str">
        <f>IF(OR('实盘净值数据(iFinD）'!$A868="",'实盘净值数据(iFinD）'!$B868="",'实盘净值数据(iFinD）'!$Z868="",'实盘净值数据(iFinD）'!$AA868=""),"",分期持仓明细!$AB$24*(SUMPRODUCT(分期持仓明细!$B$24:$Y$24,'实盘净值数据(iFinD）'!$B868:$Y868/'实盘净值数据(iFinD）'!$B$65:$Y$65)+SUMPRODUCT(分期持仓明细!$AC$24:$AD$24,'实盘净值数据(iFinD）'!$Z868:$AA868/'实盘净值数据(iFinD）'!$Z$65:$AA$65))*(1-实盘持仓初始配置!$Z$8)^(('实盘净值数据(iFinD）'!$A868-'实盘净值数据(iFinD）'!$A$5)/365))</f>
        <v/>
      </c>
      <c r="O868" s="16" t="str">
        <f t="shared" si="82"/>
        <v/>
      </c>
      <c r="P868" s="16" t="str">
        <f>IF(N868="","",N868/MAX(N$5:N868)-1)</f>
        <v/>
      </c>
      <c r="Q868" s="13" t="str">
        <f>IF(OR('实盘净值数据(iFinD）'!$A868="",'实盘净值数据(iFinD）'!$B868="",'实盘净值数据(iFinD）'!$Z868="",'实盘净值数据(iFinD）'!$AA868=""),"",分期持仓明细!$AB$25*(SUMPRODUCT(分期持仓明细!$B$25:$Y$25,'实盘净值数据(iFinD）'!$B868:$Y868/'实盘净值数据(iFinD）'!$B$65:$Y$65)+SUMPRODUCT(分期持仓明细!$AC$25:$AD$25,'实盘净值数据(iFinD）'!$Z868:$AA868/'实盘净值数据(iFinD）'!$Z$65:$AA$65))*(1-实盘持仓初始配置!$Z$9)^(('实盘净值数据(iFinD）'!$A868-'实盘净值数据(iFinD）'!$A$8)/365))</f>
        <v/>
      </c>
      <c r="R868" s="16" t="str">
        <f t="shared" si="83"/>
        <v/>
      </c>
      <c r="S868" s="16" t="str">
        <f>IF(Q868="","",Q868/MAX(Q$5:Q868)-1)</f>
        <v/>
      </c>
    </row>
    <row r="869" spans="1:19">
      <c r="A869" s="15" t="str">
        <f>IF('实盘净值数据(iFinD）'!A869="","",'实盘净值数据(iFinD）'!A869)</f>
        <v/>
      </c>
      <c r="B869" s="13" t="str">
        <f>IF(OR('实盘净值数据(iFinD）'!$A869="",'实盘净值数据(iFinD）'!$B869=""),"",分期持仓明细!$AB$17*SUMPRODUCT(分期持仓明细!$B$17:$Y$17,'实盘净值数据(iFinD）'!$B869:$Y869/'实盘净值数据(iFinD）'!$B$20:$Y$20)*(1-实盘持仓初始配置!$Z$4)^(('实盘净值数据(iFinD）'!$A869-'实盘净值数据(iFinD）'!$A$6)/365))</f>
        <v/>
      </c>
      <c r="C869" s="16" t="str">
        <f t="shared" si="78"/>
        <v/>
      </c>
      <c r="D869" s="16" t="str">
        <f>IF(B869="","",B869/MAX(B$5:B869)-1)</f>
        <v/>
      </c>
      <c r="E869" s="13" t="str">
        <f>IF(OR('实盘净值数据(iFinD）'!$A869="",'实盘净值数据(iFinD）'!$B869=""),"",分期持仓明细!$AB$18*SUMPRODUCT(分期持仓明细!$B$18:$Y$18,'实盘净值数据(iFinD）'!$B869:$Y869/'实盘净值数据(iFinD）'!$B$20:$Y$20)*(1-实盘持仓初始配置!$Z$5)^(('实盘净值数据(iFinD）'!$A869-'实盘净值数据(iFinD）'!$A$5)/365))</f>
        <v/>
      </c>
      <c r="F869" s="16" t="str">
        <f t="shared" si="79"/>
        <v/>
      </c>
      <c r="G869" s="16" t="str">
        <f>IF(E869="","",E869/MAX(E$5:E869)-1)</f>
        <v/>
      </c>
      <c r="H869" s="13" t="str">
        <f>IF(OR('实盘净值数据(iFinD）'!$A869="",'实盘净值数据(iFinD）'!$B869=""),"",分期持仓明细!$AB$19*SUMPRODUCT(分期持仓明细!$B$19:$Y$19,'实盘净值数据(iFinD）'!$B869:$Y869/'实盘净值数据(iFinD）'!$B$20:$Y$20)*(1-实盘持仓初始配置!$Z$6)^(('实盘净值数据(iFinD）'!$A869-'实盘净值数据(iFinD）'!$A$7)/365))</f>
        <v/>
      </c>
      <c r="I869" s="16" t="str">
        <f t="shared" si="80"/>
        <v/>
      </c>
      <c r="J869" s="16" t="str">
        <f>IF(H869="","",H869/MAX(H$5:H869)-1)</f>
        <v/>
      </c>
      <c r="K869" s="13" t="str">
        <f>IF(OR('实盘净值数据(iFinD）'!$A869="",'实盘净值数据(iFinD）'!$B869="",'实盘净值数据(iFinD）'!$Z869="",'实盘净值数据(iFinD）'!$AA869=""),"",分期持仓明细!$AB$23*(SUMPRODUCT(分期持仓明细!$B$23:$Y$23,'实盘净值数据(iFinD）'!$B869:$Y869/'实盘净值数据(iFinD）'!$B$65:$Y$65)+SUMPRODUCT(分期持仓明细!$AC$23:$AD$23,'实盘净值数据(iFinD）'!$Z869:$AA869/'实盘净值数据(iFinD）'!$Z$65:$AA$65))*(1-实盘持仓初始配置!$Z$7)^(('实盘净值数据(iFinD）'!$A869-'实盘净值数据(iFinD）'!$A$8)/365))</f>
        <v/>
      </c>
      <c r="L869" s="16" t="str">
        <f t="shared" si="81"/>
        <v/>
      </c>
      <c r="M869" s="16" t="str">
        <f>IF(K869="","",K869/MAX(K$5:K869)-1)</f>
        <v/>
      </c>
      <c r="N869" s="13" t="str">
        <f>IF(OR('实盘净值数据(iFinD）'!$A869="",'实盘净值数据(iFinD）'!$B869="",'实盘净值数据(iFinD）'!$Z869="",'实盘净值数据(iFinD）'!$AA869=""),"",分期持仓明细!$AB$24*(SUMPRODUCT(分期持仓明细!$B$24:$Y$24,'实盘净值数据(iFinD）'!$B869:$Y869/'实盘净值数据(iFinD）'!$B$65:$Y$65)+SUMPRODUCT(分期持仓明细!$AC$24:$AD$24,'实盘净值数据(iFinD）'!$Z869:$AA869/'实盘净值数据(iFinD）'!$Z$65:$AA$65))*(1-实盘持仓初始配置!$Z$8)^(('实盘净值数据(iFinD）'!$A869-'实盘净值数据(iFinD）'!$A$5)/365))</f>
        <v/>
      </c>
      <c r="O869" s="16" t="str">
        <f t="shared" si="82"/>
        <v/>
      </c>
      <c r="P869" s="16" t="str">
        <f>IF(N869="","",N869/MAX(N$5:N869)-1)</f>
        <v/>
      </c>
      <c r="Q869" s="13" t="str">
        <f>IF(OR('实盘净值数据(iFinD）'!$A869="",'实盘净值数据(iFinD）'!$B869="",'实盘净值数据(iFinD）'!$Z869="",'实盘净值数据(iFinD）'!$AA869=""),"",分期持仓明细!$AB$25*(SUMPRODUCT(分期持仓明细!$B$25:$Y$25,'实盘净值数据(iFinD）'!$B869:$Y869/'实盘净值数据(iFinD）'!$B$65:$Y$65)+SUMPRODUCT(分期持仓明细!$AC$25:$AD$25,'实盘净值数据(iFinD）'!$Z869:$AA869/'实盘净值数据(iFinD）'!$Z$65:$AA$65))*(1-实盘持仓初始配置!$Z$9)^(('实盘净值数据(iFinD）'!$A869-'实盘净值数据(iFinD）'!$A$8)/365))</f>
        <v/>
      </c>
      <c r="R869" s="16" t="str">
        <f t="shared" si="83"/>
        <v/>
      </c>
      <c r="S869" s="16" t="str">
        <f>IF(Q869="","",Q869/MAX(Q$5:Q869)-1)</f>
        <v/>
      </c>
    </row>
    <row r="870" spans="1:19">
      <c r="A870" s="15" t="str">
        <f>IF('实盘净值数据(iFinD）'!A870="","",'实盘净值数据(iFinD）'!A870)</f>
        <v/>
      </c>
      <c r="B870" s="13" t="str">
        <f>IF(OR('实盘净值数据(iFinD）'!$A870="",'实盘净值数据(iFinD）'!$B870=""),"",分期持仓明细!$AB$17*SUMPRODUCT(分期持仓明细!$B$17:$Y$17,'实盘净值数据(iFinD）'!$B870:$Y870/'实盘净值数据(iFinD）'!$B$20:$Y$20)*(1-实盘持仓初始配置!$Z$4)^(('实盘净值数据(iFinD）'!$A870-'实盘净值数据(iFinD）'!$A$6)/365))</f>
        <v/>
      </c>
      <c r="C870" s="16" t="str">
        <f t="shared" si="78"/>
        <v/>
      </c>
      <c r="D870" s="16" t="str">
        <f>IF(B870="","",B870/MAX(B$5:B870)-1)</f>
        <v/>
      </c>
      <c r="E870" s="13" t="str">
        <f>IF(OR('实盘净值数据(iFinD）'!$A870="",'实盘净值数据(iFinD）'!$B870=""),"",分期持仓明细!$AB$18*SUMPRODUCT(分期持仓明细!$B$18:$Y$18,'实盘净值数据(iFinD）'!$B870:$Y870/'实盘净值数据(iFinD）'!$B$20:$Y$20)*(1-实盘持仓初始配置!$Z$5)^(('实盘净值数据(iFinD）'!$A870-'实盘净值数据(iFinD）'!$A$5)/365))</f>
        <v/>
      </c>
      <c r="F870" s="16" t="str">
        <f t="shared" si="79"/>
        <v/>
      </c>
      <c r="G870" s="16" t="str">
        <f>IF(E870="","",E870/MAX(E$5:E870)-1)</f>
        <v/>
      </c>
      <c r="H870" s="13" t="str">
        <f>IF(OR('实盘净值数据(iFinD）'!$A870="",'实盘净值数据(iFinD）'!$B870=""),"",分期持仓明细!$AB$19*SUMPRODUCT(分期持仓明细!$B$19:$Y$19,'实盘净值数据(iFinD）'!$B870:$Y870/'实盘净值数据(iFinD）'!$B$20:$Y$20)*(1-实盘持仓初始配置!$Z$6)^(('实盘净值数据(iFinD）'!$A870-'实盘净值数据(iFinD）'!$A$7)/365))</f>
        <v/>
      </c>
      <c r="I870" s="16" t="str">
        <f t="shared" si="80"/>
        <v/>
      </c>
      <c r="J870" s="16" t="str">
        <f>IF(H870="","",H870/MAX(H$5:H870)-1)</f>
        <v/>
      </c>
      <c r="K870" s="13" t="str">
        <f>IF(OR('实盘净值数据(iFinD）'!$A870="",'实盘净值数据(iFinD）'!$B870="",'实盘净值数据(iFinD）'!$Z870="",'实盘净值数据(iFinD）'!$AA870=""),"",分期持仓明细!$AB$23*(SUMPRODUCT(分期持仓明细!$B$23:$Y$23,'实盘净值数据(iFinD）'!$B870:$Y870/'实盘净值数据(iFinD）'!$B$65:$Y$65)+SUMPRODUCT(分期持仓明细!$AC$23:$AD$23,'实盘净值数据(iFinD）'!$Z870:$AA870/'实盘净值数据(iFinD）'!$Z$65:$AA$65))*(1-实盘持仓初始配置!$Z$7)^(('实盘净值数据(iFinD）'!$A870-'实盘净值数据(iFinD）'!$A$8)/365))</f>
        <v/>
      </c>
      <c r="L870" s="16" t="str">
        <f t="shared" si="81"/>
        <v/>
      </c>
      <c r="M870" s="16" t="str">
        <f>IF(K870="","",K870/MAX(K$5:K870)-1)</f>
        <v/>
      </c>
      <c r="N870" s="13" t="str">
        <f>IF(OR('实盘净值数据(iFinD）'!$A870="",'实盘净值数据(iFinD）'!$B870="",'实盘净值数据(iFinD）'!$Z870="",'实盘净值数据(iFinD）'!$AA870=""),"",分期持仓明细!$AB$24*(SUMPRODUCT(分期持仓明细!$B$24:$Y$24,'实盘净值数据(iFinD）'!$B870:$Y870/'实盘净值数据(iFinD）'!$B$65:$Y$65)+SUMPRODUCT(分期持仓明细!$AC$24:$AD$24,'实盘净值数据(iFinD）'!$Z870:$AA870/'实盘净值数据(iFinD）'!$Z$65:$AA$65))*(1-实盘持仓初始配置!$Z$8)^(('实盘净值数据(iFinD）'!$A870-'实盘净值数据(iFinD）'!$A$5)/365))</f>
        <v/>
      </c>
      <c r="O870" s="16" t="str">
        <f t="shared" si="82"/>
        <v/>
      </c>
      <c r="P870" s="16" t="str">
        <f>IF(N870="","",N870/MAX(N$5:N870)-1)</f>
        <v/>
      </c>
      <c r="Q870" s="13" t="str">
        <f>IF(OR('实盘净值数据(iFinD）'!$A870="",'实盘净值数据(iFinD）'!$B870="",'实盘净值数据(iFinD）'!$Z870="",'实盘净值数据(iFinD）'!$AA870=""),"",分期持仓明细!$AB$25*(SUMPRODUCT(分期持仓明细!$B$25:$Y$25,'实盘净值数据(iFinD）'!$B870:$Y870/'实盘净值数据(iFinD）'!$B$65:$Y$65)+SUMPRODUCT(分期持仓明细!$AC$25:$AD$25,'实盘净值数据(iFinD）'!$Z870:$AA870/'实盘净值数据(iFinD）'!$Z$65:$AA$65))*(1-实盘持仓初始配置!$Z$9)^(('实盘净值数据(iFinD）'!$A870-'实盘净值数据(iFinD）'!$A$8)/365))</f>
        <v/>
      </c>
      <c r="R870" s="16" t="str">
        <f t="shared" si="83"/>
        <v/>
      </c>
      <c r="S870" s="16" t="str">
        <f>IF(Q870="","",Q870/MAX(Q$5:Q870)-1)</f>
        <v/>
      </c>
    </row>
    <row r="871" spans="1:19">
      <c r="A871" s="15" t="str">
        <f>IF('实盘净值数据(iFinD）'!A871="","",'实盘净值数据(iFinD）'!A871)</f>
        <v/>
      </c>
      <c r="B871" s="13" t="str">
        <f>IF(OR('实盘净值数据(iFinD）'!$A871="",'实盘净值数据(iFinD）'!$B871=""),"",分期持仓明细!$AB$17*SUMPRODUCT(分期持仓明细!$B$17:$Y$17,'实盘净值数据(iFinD）'!$B871:$Y871/'实盘净值数据(iFinD）'!$B$20:$Y$20)*(1-实盘持仓初始配置!$Z$4)^(('实盘净值数据(iFinD）'!$A871-'实盘净值数据(iFinD）'!$A$6)/365))</f>
        <v/>
      </c>
      <c r="C871" s="16" t="str">
        <f t="shared" si="78"/>
        <v/>
      </c>
      <c r="D871" s="16" t="str">
        <f>IF(B871="","",B871/MAX(B$5:B871)-1)</f>
        <v/>
      </c>
      <c r="E871" s="13" t="str">
        <f>IF(OR('实盘净值数据(iFinD）'!$A871="",'实盘净值数据(iFinD）'!$B871=""),"",分期持仓明细!$AB$18*SUMPRODUCT(分期持仓明细!$B$18:$Y$18,'实盘净值数据(iFinD）'!$B871:$Y871/'实盘净值数据(iFinD）'!$B$20:$Y$20)*(1-实盘持仓初始配置!$Z$5)^(('实盘净值数据(iFinD）'!$A871-'实盘净值数据(iFinD）'!$A$5)/365))</f>
        <v/>
      </c>
      <c r="F871" s="16" t="str">
        <f t="shared" si="79"/>
        <v/>
      </c>
      <c r="G871" s="16" t="str">
        <f>IF(E871="","",E871/MAX(E$5:E871)-1)</f>
        <v/>
      </c>
      <c r="H871" s="13" t="str">
        <f>IF(OR('实盘净值数据(iFinD）'!$A871="",'实盘净值数据(iFinD）'!$B871=""),"",分期持仓明细!$AB$19*SUMPRODUCT(分期持仓明细!$B$19:$Y$19,'实盘净值数据(iFinD）'!$B871:$Y871/'实盘净值数据(iFinD）'!$B$20:$Y$20)*(1-实盘持仓初始配置!$Z$6)^(('实盘净值数据(iFinD）'!$A871-'实盘净值数据(iFinD）'!$A$7)/365))</f>
        <v/>
      </c>
      <c r="I871" s="16" t="str">
        <f t="shared" si="80"/>
        <v/>
      </c>
      <c r="J871" s="16" t="str">
        <f>IF(H871="","",H871/MAX(H$5:H871)-1)</f>
        <v/>
      </c>
      <c r="K871" s="13" t="str">
        <f>IF(OR('实盘净值数据(iFinD）'!$A871="",'实盘净值数据(iFinD）'!$B871="",'实盘净值数据(iFinD）'!$Z871="",'实盘净值数据(iFinD）'!$AA871=""),"",分期持仓明细!$AB$23*(SUMPRODUCT(分期持仓明细!$B$23:$Y$23,'实盘净值数据(iFinD）'!$B871:$Y871/'实盘净值数据(iFinD）'!$B$65:$Y$65)+SUMPRODUCT(分期持仓明细!$AC$23:$AD$23,'实盘净值数据(iFinD）'!$Z871:$AA871/'实盘净值数据(iFinD）'!$Z$65:$AA$65))*(1-实盘持仓初始配置!$Z$7)^(('实盘净值数据(iFinD）'!$A871-'实盘净值数据(iFinD）'!$A$8)/365))</f>
        <v/>
      </c>
      <c r="L871" s="16" t="str">
        <f t="shared" si="81"/>
        <v/>
      </c>
      <c r="M871" s="16" t="str">
        <f>IF(K871="","",K871/MAX(K$5:K871)-1)</f>
        <v/>
      </c>
      <c r="N871" s="13" t="str">
        <f>IF(OR('实盘净值数据(iFinD）'!$A871="",'实盘净值数据(iFinD）'!$B871="",'实盘净值数据(iFinD）'!$Z871="",'实盘净值数据(iFinD）'!$AA871=""),"",分期持仓明细!$AB$24*(SUMPRODUCT(分期持仓明细!$B$24:$Y$24,'实盘净值数据(iFinD）'!$B871:$Y871/'实盘净值数据(iFinD）'!$B$65:$Y$65)+SUMPRODUCT(分期持仓明细!$AC$24:$AD$24,'实盘净值数据(iFinD）'!$Z871:$AA871/'实盘净值数据(iFinD）'!$Z$65:$AA$65))*(1-实盘持仓初始配置!$Z$8)^(('实盘净值数据(iFinD）'!$A871-'实盘净值数据(iFinD）'!$A$5)/365))</f>
        <v/>
      </c>
      <c r="O871" s="16" t="str">
        <f t="shared" si="82"/>
        <v/>
      </c>
      <c r="P871" s="16" t="str">
        <f>IF(N871="","",N871/MAX(N$5:N871)-1)</f>
        <v/>
      </c>
      <c r="Q871" s="13" t="str">
        <f>IF(OR('实盘净值数据(iFinD）'!$A871="",'实盘净值数据(iFinD）'!$B871="",'实盘净值数据(iFinD）'!$Z871="",'实盘净值数据(iFinD）'!$AA871=""),"",分期持仓明细!$AB$25*(SUMPRODUCT(分期持仓明细!$B$25:$Y$25,'实盘净值数据(iFinD）'!$B871:$Y871/'实盘净值数据(iFinD）'!$B$65:$Y$65)+SUMPRODUCT(分期持仓明细!$AC$25:$AD$25,'实盘净值数据(iFinD）'!$Z871:$AA871/'实盘净值数据(iFinD）'!$Z$65:$AA$65))*(1-实盘持仓初始配置!$Z$9)^(('实盘净值数据(iFinD）'!$A871-'实盘净值数据(iFinD）'!$A$8)/365))</f>
        <v/>
      </c>
      <c r="R871" s="16" t="str">
        <f t="shared" si="83"/>
        <v/>
      </c>
      <c r="S871" s="16" t="str">
        <f>IF(Q871="","",Q871/MAX(Q$5:Q871)-1)</f>
        <v/>
      </c>
    </row>
    <row r="872" spans="1:19">
      <c r="A872" s="15" t="str">
        <f>IF('实盘净值数据(iFinD）'!A872="","",'实盘净值数据(iFinD）'!A872)</f>
        <v/>
      </c>
      <c r="B872" s="13" t="str">
        <f>IF(OR('实盘净值数据(iFinD）'!$A872="",'实盘净值数据(iFinD）'!$B872=""),"",分期持仓明细!$AB$17*SUMPRODUCT(分期持仓明细!$B$17:$Y$17,'实盘净值数据(iFinD）'!$B872:$Y872/'实盘净值数据(iFinD）'!$B$20:$Y$20)*(1-实盘持仓初始配置!$Z$4)^(('实盘净值数据(iFinD）'!$A872-'实盘净值数据(iFinD）'!$A$6)/365))</f>
        <v/>
      </c>
      <c r="C872" s="16" t="str">
        <f t="shared" si="78"/>
        <v/>
      </c>
      <c r="D872" s="16" t="str">
        <f>IF(B872="","",B872/MAX(B$5:B872)-1)</f>
        <v/>
      </c>
      <c r="E872" s="13" t="str">
        <f>IF(OR('实盘净值数据(iFinD）'!$A872="",'实盘净值数据(iFinD）'!$B872=""),"",分期持仓明细!$AB$18*SUMPRODUCT(分期持仓明细!$B$18:$Y$18,'实盘净值数据(iFinD）'!$B872:$Y872/'实盘净值数据(iFinD）'!$B$20:$Y$20)*(1-实盘持仓初始配置!$Z$5)^(('实盘净值数据(iFinD）'!$A872-'实盘净值数据(iFinD）'!$A$5)/365))</f>
        <v/>
      </c>
      <c r="F872" s="16" t="str">
        <f t="shared" si="79"/>
        <v/>
      </c>
      <c r="G872" s="16" t="str">
        <f>IF(E872="","",E872/MAX(E$5:E872)-1)</f>
        <v/>
      </c>
      <c r="H872" s="13" t="str">
        <f>IF(OR('实盘净值数据(iFinD）'!$A872="",'实盘净值数据(iFinD）'!$B872=""),"",分期持仓明细!$AB$19*SUMPRODUCT(分期持仓明细!$B$19:$Y$19,'实盘净值数据(iFinD）'!$B872:$Y872/'实盘净值数据(iFinD）'!$B$20:$Y$20)*(1-实盘持仓初始配置!$Z$6)^(('实盘净值数据(iFinD）'!$A872-'实盘净值数据(iFinD）'!$A$7)/365))</f>
        <v/>
      </c>
      <c r="I872" s="16" t="str">
        <f t="shared" si="80"/>
        <v/>
      </c>
      <c r="J872" s="16" t="str">
        <f>IF(H872="","",H872/MAX(H$5:H872)-1)</f>
        <v/>
      </c>
      <c r="K872" s="13" t="str">
        <f>IF(OR('实盘净值数据(iFinD）'!$A872="",'实盘净值数据(iFinD）'!$B872="",'实盘净值数据(iFinD）'!$Z872="",'实盘净值数据(iFinD）'!$AA872=""),"",分期持仓明细!$AB$23*(SUMPRODUCT(分期持仓明细!$B$23:$Y$23,'实盘净值数据(iFinD）'!$B872:$Y872/'实盘净值数据(iFinD）'!$B$65:$Y$65)+SUMPRODUCT(分期持仓明细!$AC$23:$AD$23,'实盘净值数据(iFinD）'!$Z872:$AA872/'实盘净值数据(iFinD）'!$Z$65:$AA$65))*(1-实盘持仓初始配置!$Z$7)^(('实盘净值数据(iFinD）'!$A872-'实盘净值数据(iFinD）'!$A$8)/365))</f>
        <v/>
      </c>
      <c r="L872" s="16" t="str">
        <f t="shared" si="81"/>
        <v/>
      </c>
      <c r="M872" s="16" t="str">
        <f>IF(K872="","",K872/MAX(K$5:K872)-1)</f>
        <v/>
      </c>
      <c r="N872" s="13" t="str">
        <f>IF(OR('实盘净值数据(iFinD）'!$A872="",'实盘净值数据(iFinD）'!$B872="",'实盘净值数据(iFinD）'!$Z872="",'实盘净值数据(iFinD）'!$AA872=""),"",分期持仓明细!$AB$24*(SUMPRODUCT(分期持仓明细!$B$24:$Y$24,'实盘净值数据(iFinD）'!$B872:$Y872/'实盘净值数据(iFinD）'!$B$65:$Y$65)+SUMPRODUCT(分期持仓明细!$AC$24:$AD$24,'实盘净值数据(iFinD）'!$Z872:$AA872/'实盘净值数据(iFinD）'!$Z$65:$AA$65))*(1-实盘持仓初始配置!$Z$8)^(('实盘净值数据(iFinD）'!$A872-'实盘净值数据(iFinD）'!$A$5)/365))</f>
        <v/>
      </c>
      <c r="O872" s="16" t="str">
        <f t="shared" si="82"/>
        <v/>
      </c>
      <c r="P872" s="16" t="str">
        <f>IF(N872="","",N872/MAX(N$5:N872)-1)</f>
        <v/>
      </c>
      <c r="Q872" s="13" t="str">
        <f>IF(OR('实盘净值数据(iFinD）'!$A872="",'实盘净值数据(iFinD）'!$B872="",'实盘净值数据(iFinD）'!$Z872="",'实盘净值数据(iFinD）'!$AA872=""),"",分期持仓明细!$AB$25*(SUMPRODUCT(分期持仓明细!$B$25:$Y$25,'实盘净值数据(iFinD）'!$B872:$Y872/'实盘净值数据(iFinD）'!$B$65:$Y$65)+SUMPRODUCT(分期持仓明细!$AC$25:$AD$25,'实盘净值数据(iFinD）'!$Z872:$AA872/'实盘净值数据(iFinD）'!$Z$65:$AA$65))*(1-实盘持仓初始配置!$Z$9)^(('实盘净值数据(iFinD）'!$A872-'实盘净值数据(iFinD）'!$A$8)/365))</f>
        <v/>
      </c>
      <c r="R872" s="16" t="str">
        <f t="shared" si="83"/>
        <v/>
      </c>
      <c r="S872" s="16" t="str">
        <f>IF(Q872="","",Q872/MAX(Q$5:Q872)-1)</f>
        <v/>
      </c>
    </row>
    <row r="873" spans="1:19">
      <c r="A873" s="15" t="str">
        <f>IF('实盘净值数据(iFinD）'!A873="","",'实盘净值数据(iFinD）'!A873)</f>
        <v/>
      </c>
      <c r="B873" s="13" t="str">
        <f>IF(OR('实盘净值数据(iFinD）'!$A873="",'实盘净值数据(iFinD）'!$B873=""),"",分期持仓明细!$AB$17*SUMPRODUCT(分期持仓明细!$B$17:$Y$17,'实盘净值数据(iFinD）'!$B873:$Y873/'实盘净值数据(iFinD）'!$B$20:$Y$20)*(1-实盘持仓初始配置!$Z$4)^(('实盘净值数据(iFinD）'!$A873-'实盘净值数据(iFinD）'!$A$6)/365))</f>
        <v/>
      </c>
      <c r="C873" s="16" t="str">
        <f t="shared" si="78"/>
        <v/>
      </c>
      <c r="D873" s="16" t="str">
        <f>IF(B873="","",B873/MAX(B$5:B873)-1)</f>
        <v/>
      </c>
      <c r="E873" s="13" t="str">
        <f>IF(OR('实盘净值数据(iFinD）'!$A873="",'实盘净值数据(iFinD）'!$B873=""),"",分期持仓明细!$AB$18*SUMPRODUCT(分期持仓明细!$B$18:$Y$18,'实盘净值数据(iFinD）'!$B873:$Y873/'实盘净值数据(iFinD）'!$B$20:$Y$20)*(1-实盘持仓初始配置!$Z$5)^(('实盘净值数据(iFinD）'!$A873-'实盘净值数据(iFinD）'!$A$5)/365))</f>
        <v/>
      </c>
      <c r="F873" s="16" t="str">
        <f t="shared" si="79"/>
        <v/>
      </c>
      <c r="G873" s="16" t="str">
        <f>IF(E873="","",E873/MAX(E$5:E873)-1)</f>
        <v/>
      </c>
      <c r="H873" s="13" t="str">
        <f>IF(OR('实盘净值数据(iFinD）'!$A873="",'实盘净值数据(iFinD）'!$B873=""),"",分期持仓明细!$AB$19*SUMPRODUCT(分期持仓明细!$B$19:$Y$19,'实盘净值数据(iFinD）'!$B873:$Y873/'实盘净值数据(iFinD）'!$B$20:$Y$20)*(1-实盘持仓初始配置!$Z$6)^(('实盘净值数据(iFinD）'!$A873-'实盘净值数据(iFinD）'!$A$7)/365))</f>
        <v/>
      </c>
      <c r="I873" s="16" t="str">
        <f t="shared" si="80"/>
        <v/>
      </c>
      <c r="J873" s="16" t="str">
        <f>IF(H873="","",H873/MAX(H$5:H873)-1)</f>
        <v/>
      </c>
      <c r="K873" s="13" t="str">
        <f>IF(OR('实盘净值数据(iFinD）'!$A873="",'实盘净值数据(iFinD）'!$B873="",'实盘净值数据(iFinD）'!$Z873="",'实盘净值数据(iFinD）'!$AA873=""),"",分期持仓明细!$AB$23*(SUMPRODUCT(分期持仓明细!$B$23:$Y$23,'实盘净值数据(iFinD）'!$B873:$Y873/'实盘净值数据(iFinD）'!$B$65:$Y$65)+SUMPRODUCT(分期持仓明细!$AC$23:$AD$23,'实盘净值数据(iFinD）'!$Z873:$AA873/'实盘净值数据(iFinD）'!$Z$65:$AA$65))*(1-实盘持仓初始配置!$Z$7)^(('实盘净值数据(iFinD）'!$A873-'实盘净值数据(iFinD）'!$A$8)/365))</f>
        <v/>
      </c>
      <c r="L873" s="16" t="str">
        <f t="shared" si="81"/>
        <v/>
      </c>
      <c r="M873" s="16" t="str">
        <f>IF(K873="","",K873/MAX(K$5:K873)-1)</f>
        <v/>
      </c>
      <c r="N873" s="13" t="str">
        <f>IF(OR('实盘净值数据(iFinD）'!$A873="",'实盘净值数据(iFinD）'!$B873="",'实盘净值数据(iFinD）'!$Z873="",'实盘净值数据(iFinD）'!$AA873=""),"",分期持仓明细!$AB$24*(SUMPRODUCT(分期持仓明细!$B$24:$Y$24,'实盘净值数据(iFinD）'!$B873:$Y873/'实盘净值数据(iFinD）'!$B$65:$Y$65)+SUMPRODUCT(分期持仓明细!$AC$24:$AD$24,'实盘净值数据(iFinD）'!$Z873:$AA873/'实盘净值数据(iFinD）'!$Z$65:$AA$65))*(1-实盘持仓初始配置!$Z$8)^(('实盘净值数据(iFinD）'!$A873-'实盘净值数据(iFinD）'!$A$5)/365))</f>
        <v/>
      </c>
      <c r="O873" s="16" t="str">
        <f t="shared" si="82"/>
        <v/>
      </c>
      <c r="P873" s="16" t="str">
        <f>IF(N873="","",N873/MAX(N$5:N873)-1)</f>
        <v/>
      </c>
      <c r="Q873" s="13" t="str">
        <f>IF(OR('实盘净值数据(iFinD）'!$A873="",'实盘净值数据(iFinD）'!$B873="",'实盘净值数据(iFinD）'!$Z873="",'实盘净值数据(iFinD）'!$AA873=""),"",分期持仓明细!$AB$25*(SUMPRODUCT(分期持仓明细!$B$25:$Y$25,'实盘净值数据(iFinD）'!$B873:$Y873/'实盘净值数据(iFinD）'!$B$65:$Y$65)+SUMPRODUCT(分期持仓明细!$AC$25:$AD$25,'实盘净值数据(iFinD）'!$Z873:$AA873/'实盘净值数据(iFinD）'!$Z$65:$AA$65))*(1-实盘持仓初始配置!$Z$9)^(('实盘净值数据(iFinD）'!$A873-'实盘净值数据(iFinD）'!$A$8)/365))</f>
        <v/>
      </c>
      <c r="R873" s="16" t="str">
        <f t="shared" si="83"/>
        <v/>
      </c>
      <c r="S873" s="16" t="str">
        <f>IF(Q873="","",Q873/MAX(Q$5:Q873)-1)</f>
        <v/>
      </c>
    </row>
    <row r="874" spans="1:19">
      <c r="A874" s="15" t="str">
        <f>IF('实盘净值数据(iFinD）'!A874="","",'实盘净值数据(iFinD）'!A874)</f>
        <v/>
      </c>
      <c r="B874" s="13" t="str">
        <f>IF(OR('实盘净值数据(iFinD）'!$A874="",'实盘净值数据(iFinD）'!$B874=""),"",分期持仓明细!$AB$17*SUMPRODUCT(分期持仓明细!$B$17:$Y$17,'实盘净值数据(iFinD）'!$B874:$Y874/'实盘净值数据(iFinD）'!$B$20:$Y$20)*(1-实盘持仓初始配置!$Z$4)^(('实盘净值数据(iFinD）'!$A874-'实盘净值数据(iFinD）'!$A$6)/365))</f>
        <v/>
      </c>
      <c r="C874" s="16" t="str">
        <f t="shared" si="78"/>
        <v/>
      </c>
      <c r="D874" s="16" t="str">
        <f>IF(B874="","",B874/MAX(B$5:B874)-1)</f>
        <v/>
      </c>
      <c r="E874" s="13" t="str">
        <f>IF(OR('实盘净值数据(iFinD）'!$A874="",'实盘净值数据(iFinD）'!$B874=""),"",分期持仓明细!$AB$18*SUMPRODUCT(分期持仓明细!$B$18:$Y$18,'实盘净值数据(iFinD）'!$B874:$Y874/'实盘净值数据(iFinD）'!$B$20:$Y$20)*(1-实盘持仓初始配置!$Z$5)^(('实盘净值数据(iFinD）'!$A874-'实盘净值数据(iFinD）'!$A$5)/365))</f>
        <v/>
      </c>
      <c r="F874" s="16" t="str">
        <f t="shared" si="79"/>
        <v/>
      </c>
      <c r="G874" s="16" t="str">
        <f>IF(E874="","",E874/MAX(E$5:E874)-1)</f>
        <v/>
      </c>
      <c r="H874" s="13" t="str">
        <f>IF(OR('实盘净值数据(iFinD）'!$A874="",'实盘净值数据(iFinD）'!$B874=""),"",分期持仓明细!$AB$19*SUMPRODUCT(分期持仓明细!$B$19:$Y$19,'实盘净值数据(iFinD）'!$B874:$Y874/'实盘净值数据(iFinD）'!$B$20:$Y$20)*(1-实盘持仓初始配置!$Z$6)^(('实盘净值数据(iFinD）'!$A874-'实盘净值数据(iFinD）'!$A$7)/365))</f>
        <v/>
      </c>
      <c r="I874" s="16" t="str">
        <f t="shared" si="80"/>
        <v/>
      </c>
      <c r="J874" s="16" t="str">
        <f>IF(H874="","",H874/MAX(H$5:H874)-1)</f>
        <v/>
      </c>
      <c r="K874" s="13" t="str">
        <f>IF(OR('实盘净值数据(iFinD）'!$A874="",'实盘净值数据(iFinD）'!$B874="",'实盘净值数据(iFinD）'!$Z874="",'实盘净值数据(iFinD）'!$AA874=""),"",分期持仓明细!$AB$23*(SUMPRODUCT(分期持仓明细!$B$23:$Y$23,'实盘净值数据(iFinD）'!$B874:$Y874/'实盘净值数据(iFinD）'!$B$65:$Y$65)+SUMPRODUCT(分期持仓明细!$AC$23:$AD$23,'实盘净值数据(iFinD）'!$Z874:$AA874/'实盘净值数据(iFinD）'!$Z$65:$AA$65))*(1-实盘持仓初始配置!$Z$7)^(('实盘净值数据(iFinD）'!$A874-'实盘净值数据(iFinD）'!$A$8)/365))</f>
        <v/>
      </c>
      <c r="L874" s="16" t="str">
        <f t="shared" si="81"/>
        <v/>
      </c>
      <c r="M874" s="16" t="str">
        <f>IF(K874="","",K874/MAX(K$5:K874)-1)</f>
        <v/>
      </c>
      <c r="N874" s="13" t="str">
        <f>IF(OR('实盘净值数据(iFinD）'!$A874="",'实盘净值数据(iFinD）'!$B874="",'实盘净值数据(iFinD）'!$Z874="",'实盘净值数据(iFinD）'!$AA874=""),"",分期持仓明细!$AB$24*(SUMPRODUCT(分期持仓明细!$B$24:$Y$24,'实盘净值数据(iFinD）'!$B874:$Y874/'实盘净值数据(iFinD）'!$B$65:$Y$65)+SUMPRODUCT(分期持仓明细!$AC$24:$AD$24,'实盘净值数据(iFinD）'!$Z874:$AA874/'实盘净值数据(iFinD）'!$Z$65:$AA$65))*(1-实盘持仓初始配置!$Z$8)^(('实盘净值数据(iFinD）'!$A874-'实盘净值数据(iFinD）'!$A$5)/365))</f>
        <v/>
      </c>
      <c r="O874" s="16" t="str">
        <f t="shared" si="82"/>
        <v/>
      </c>
      <c r="P874" s="16" t="str">
        <f>IF(N874="","",N874/MAX(N$5:N874)-1)</f>
        <v/>
      </c>
      <c r="Q874" s="13" t="str">
        <f>IF(OR('实盘净值数据(iFinD）'!$A874="",'实盘净值数据(iFinD）'!$B874="",'实盘净值数据(iFinD）'!$Z874="",'实盘净值数据(iFinD）'!$AA874=""),"",分期持仓明细!$AB$25*(SUMPRODUCT(分期持仓明细!$B$25:$Y$25,'实盘净值数据(iFinD）'!$B874:$Y874/'实盘净值数据(iFinD）'!$B$65:$Y$65)+SUMPRODUCT(分期持仓明细!$AC$25:$AD$25,'实盘净值数据(iFinD）'!$Z874:$AA874/'实盘净值数据(iFinD）'!$Z$65:$AA$65))*(1-实盘持仓初始配置!$Z$9)^(('实盘净值数据(iFinD）'!$A874-'实盘净值数据(iFinD）'!$A$8)/365))</f>
        <v/>
      </c>
      <c r="R874" s="16" t="str">
        <f t="shared" si="83"/>
        <v/>
      </c>
      <c r="S874" s="16" t="str">
        <f>IF(Q874="","",Q874/MAX(Q$5:Q874)-1)</f>
        <v/>
      </c>
    </row>
    <row r="875" spans="1:19">
      <c r="A875" s="15" t="str">
        <f>IF('实盘净值数据(iFinD）'!A875="","",'实盘净值数据(iFinD）'!A875)</f>
        <v/>
      </c>
      <c r="B875" s="13" t="str">
        <f>IF(OR('实盘净值数据(iFinD）'!$A875="",'实盘净值数据(iFinD）'!$B875=""),"",分期持仓明细!$AB$17*SUMPRODUCT(分期持仓明细!$B$17:$Y$17,'实盘净值数据(iFinD）'!$B875:$Y875/'实盘净值数据(iFinD）'!$B$20:$Y$20)*(1-实盘持仓初始配置!$Z$4)^(('实盘净值数据(iFinD）'!$A875-'实盘净值数据(iFinD）'!$A$6)/365))</f>
        <v/>
      </c>
      <c r="C875" s="16" t="str">
        <f t="shared" si="78"/>
        <v/>
      </c>
      <c r="D875" s="16" t="str">
        <f>IF(B875="","",B875/MAX(B$5:B875)-1)</f>
        <v/>
      </c>
      <c r="E875" s="13" t="str">
        <f>IF(OR('实盘净值数据(iFinD）'!$A875="",'实盘净值数据(iFinD）'!$B875=""),"",分期持仓明细!$AB$18*SUMPRODUCT(分期持仓明细!$B$18:$Y$18,'实盘净值数据(iFinD）'!$B875:$Y875/'实盘净值数据(iFinD）'!$B$20:$Y$20)*(1-实盘持仓初始配置!$Z$5)^(('实盘净值数据(iFinD）'!$A875-'实盘净值数据(iFinD）'!$A$5)/365))</f>
        <v/>
      </c>
      <c r="F875" s="16" t="str">
        <f t="shared" si="79"/>
        <v/>
      </c>
      <c r="G875" s="16" t="str">
        <f>IF(E875="","",E875/MAX(E$5:E875)-1)</f>
        <v/>
      </c>
      <c r="H875" s="13" t="str">
        <f>IF(OR('实盘净值数据(iFinD）'!$A875="",'实盘净值数据(iFinD）'!$B875=""),"",分期持仓明细!$AB$19*SUMPRODUCT(分期持仓明细!$B$19:$Y$19,'实盘净值数据(iFinD）'!$B875:$Y875/'实盘净值数据(iFinD）'!$B$20:$Y$20)*(1-实盘持仓初始配置!$Z$6)^(('实盘净值数据(iFinD）'!$A875-'实盘净值数据(iFinD）'!$A$7)/365))</f>
        <v/>
      </c>
      <c r="I875" s="16" t="str">
        <f t="shared" si="80"/>
        <v/>
      </c>
      <c r="J875" s="16" t="str">
        <f>IF(H875="","",H875/MAX(H$5:H875)-1)</f>
        <v/>
      </c>
      <c r="K875" s="13" t="str">
        <f>IF(OR('实盘净值数据(iFinD）'!$A875="",'实盘净值数据(iFinD）'!$B875="",'实盘净值数据(iFinD）'!$Z875="",'实盘净值数据(iFinD）'!$AA875=""),"",分期持仓明细!$AB$23*(SUMPRODUCT(分期持仓明细!$B$23:$Y$23,'实盘净值数据(iFinD）'!$B875:$Y875/'实盘净值数据(iFinD）'!$B$65:$Y$65)+SUMPRODUCT(分期持仓明细!$AC$23:$AD$23,'实盘净值数据(iFinD）'!$Z875:$AA875/'实盘净值数据(iFinD）'!$Z$65:$AA$65))*(1-实盘持仓初始配置!$Z$7)^(('实盘净值数据(iFinD）'!$A875-'实盘净值数据(iFinD）'!$A$8)/365))</f>
        <v/>
      </c>
      <c r="L875" s="16" t="str">
        <f t="shared" si="81"/>
        <v/>
      </c>
      <c r="M875" s="16" t="str">
        <f>IF(K875="","",K875/MAX(K$5:K875)-1)</f>
        <v/>
      </c>
      <c r="N875" s="13" t="str">
        <f>IF(OR('实盘净值数据(iFinD）'!$A875="",'实盘净值数据(iFinD）'!$B875="",'实盘净值数据(iFinD）'!$Z875="",'实盘净值数据(iFinD）'!$AA875=""),"",分期持仓明细!$AB$24*(SUMPRODUCT(分期持仓明细!$B$24:$Y$24,'实盘净值数据(iFinD）'!$B875:$Y875/'实盘净值数据(iFinD）'!$B$65:$Y$65)+SUMPRODUCT(分期持仓明细!$AC$24:$AD$24,'实盘净值数据(iFinD）'!$Z875:$AA875/'实盘净值数据(iFinD）'!$Z$65:$AA$65))*(1-实盘持仓初始配置!$Z$8)^(('实盘净值数据(iFinD）'!$A875-'实盘净值数据(iFinD）'!$A$5)/365))</f>
        <v/>
      </c>
      <c r="O875" s="16" t="str">
        <f t="shared" si="82"/>
        <v/>
      </c>
      <c r="P875" s="16" t="str">
        <f>IF(N875="","",N875/MAX(N$5:N875)-1)</f>
        <v/>
      </c>
      <c r="Q875" s="13" t="str">
        <f>IF(OR('实盘净值数据(iFinD）'!$A875="",'实盘净值数据(iFinD）'!$B875="",'实盘净值数据(iFinD）'!$Z875="",'实盘净值数据(iFinD）'!$AA875=""),"",分期持仓明细!$AB$25*(SUMPRODUCT(分期持仓明细!$B$25:$Y$25,'实盘净值数据(iFinD）'!$B875:$Y875/'实盘净值数据(iFinD）'!$B$65:$Y$65)+SUMPRODUCT(分期持仓明细!$AC$25:$AD$25,'实盘净值数据(iFinD）'!$Z875:$AA875/'实盘净值数据(iFinD）'!$Z$65:$AA$65))*(1-实盘持仓初始配置!$Z$9)^(('实盘净值数据(iFinD）'!$A875-'实盘净值数据(iFinD）'!$A$8)/365))</f>
        <v/>
      </c>
      <c r="R875" s="16" t="str">
        <f t="shared" si="83"/>
        <v/>
      </c>
      <c r="S875" s="16" t="str">
        <f>IF(Q875="","",Q875/MAX(Q$5:Q875)-1)</f>
        <v/>
      </c>
    </row>
    <row r="876" spans="1:19">
      <c r="A876" s="15" t="str">
        <f>IF('实盘净值数据(iFinD）'!A876="","",'实盘净值数据(iFinD）'!A876)</f>
        <v/>
      </c>
      <c r="B876" s="13" t="str">
        <f>IF(OR('实盘净值数据(iFinD）'!$A876="",'实盘净值数据(iFinD）'!$B876=""),"",分期持仓明细!$AB$17*SUMPRODUCT(分期持仓明细!$B$17:$Y$17,'实盘净值数据(iFinD）'!$B876:$Y876/'实盘净值数据(iFinD）'!$B$20:$Y$20)*(1-实盘持仓初始配置!$Z$4)^(('实盘净值数据(iFinD）'!$A876-'实盘净值数据(iFinD）'!$A$6)/365))</f>
        <v/>
      </c>
      <c r="C876" s="16" t="str">
        <f t="shared" si="78"/>
        <v/>
      </c>
      <c r="D876" s="16" t="str">
        <f>IF(B876="","",B876/MAX(B$5:B876)-1)</f>
        <v/>
      </c>
      <c r="E876" s="13" t="str">
        <f>IF(OR('实盘净值数据(iFinD）'!$A876="",'实盘净值数据(iFinD）'!$B876=""),"",分期持仓明细!$AB$18*SUMPRODUCT(分期持仓明细!$B$18:$Y$18,'实盘净值数据(iFinD）'!$B876:$Y876/'实盘净值数据(iFinD）'!$B$20:$Y$20)*(1-实盘持仓初始配置!$Z$5)^(('实盘净值数据(iFinD）'!$A876-'实盘净值数据(iFinD）'!$A$5)/365))</f>
        <v/>
      </c>
      <c r="F876" s="16" t="str">
        <f t="shared" si="79"/>
        <v/>
      </c>
      <c r="G876" s="16" t="str">
        <f>IF(E876="","",E876/MAX(E$5:E876)-1)</f>
        <v/>
      </c>
      <c r="H876" s="13" t="str">
        <f>IF(OR('实盘净值数据(iFinD）'!$A876="",'实盘净值数据(iFinD）'!$B876=""),"",分期持仓明细!$AB$19*SUMPRODUCT(分期持仓明细!$B$19:$Y$19,'实盘净值数据(iFinD）'!$B876:$Y876/'实盘净值数据(iFinD）'!$B$20:$Y$20)*(1-实盘持仓初始配置!$Z$6)^(('实盘净值数据(iFinD）'!$A876-'实盘净值数据(iFinD）'!$A$7)/365))</f>
        <v/>
      </c>
      <c r="I876" s="16" t="str">
        <f t="shared" si="80"/>
        <v/>
      </c>
      <c r="J876" s="16" t="str">
        <f>IF(H876="","",H876/MAX(H$5:H876)-1)</f>
        <v/>
      </c>
      <c r="K876" s="13" t="str">
        <f>IF(OR('实盘净值数据(iFinD）'!$A876="",'实盘净值数据(iFinD）'!$B876="",'实盘净值数据(iFinD）'!$Z876="",'实盘净值数据(iFinD）'!$AA876=""),"",分期持仓明细!$AB$23*(SUMPRODUCT(分期持仓明细!$B$23:$Y$23,'实盘净值数据(iFinD）'!$B876:$Y876/'实盘净值数据(iFinD）'!$B$65:$Y$65)+SUMPRODUCT(分期持仓明细!$AC$23:$AD$23,'实盘净值数据(iFinD）'!$Z876:$AA876/'实盘净值数据(iFinD）'!$Z$65:$AA$65))*(1-实盘持仓初始配置!$Z$7)^(('实盘净值数据(iFinD）'!$A876-'实盘净值数据(iFinD）'!$A$8)/365))</f>
        <v/>
      </c>
      <c r="L876" s="16" t="str">
        <f t="shared" si="81"/>
        <v/>
      </c>
      <c r="M876" s="16" t="str">
        <f>IF(K876="","",K876/MAX(K$5:K876)-1)</f>
        <v/>
      </c>
      <c r="N876" s="13" t="str">
        <f>IF(OR('实盘净值数据(iFinD）'!$A876="",'实盘净值数据(iFinD）'!$B876="",'实盘净值数据(iFinD）'!$Z876="",'实盘净值数据(iFinD）'!$AA876=""),"",分期持仓明细!$AB$24*(SUMPRODUCT(分期持仓明细!$B$24:$Y$24,'实盘净值数据(iFinD）'!$B876:$Y876/'实盘净值数据(iFinD）'!$B$65:$Y$65)+SUMPRODUCT(分期持仓明细!$AC$24:$AD$24,'实盘净值数据(iFinD）'!$Z876:$AA876/'实盘净值数据(iFinD）'!$Z$65:$AA$65))*(1-实盘持仓初始配置!$Z$8)^(('实盘净值数据(iFinD）'!$A876-'实盘净值数据(iFinD）'!$A$5)/365))</f>
        <v/>
      </c>
      <c r="O876" s="16" t="str">
        <f t="shared" si="82"/>
        <v/>
      </c>
      <c r="P876" s="16" t="str">
        <f>IF(N876="","",N876/MAX(N$5:N876)-1)</f>
        <v/>
      </c>
      <c r="Q876" s="13" t="str">
        <f>IF(OR('实盘净值数据(iFinD）'!$A876="",'实盘净值数据(iFinD）'!$B876="",'实盘净值数据(iFinD）'!$Z876="",'实盘净值数据(iFinD）'!$AA876=""),"",分期持仓明细!$AB$25*(SUMPRODUCT(分期持仓明细!$B$25:$Y$25,'实盘净值数据(iFinD）'!$B876:$Y876/'实盘净值数据(iFinD）'!$B$65:$Y$65)+SUMPRODUCT(分期持仓明细!$AC$25:$AD$25,'实盘净值数据(iFinD）'!$Z876:$AA876/'实盘净值数据(iFinD）'!$Z$65:$AA$65))*(1-实盘持仓初始配置!$Z$9)^(('实盘净值数据(iFinD）'!$A876-'实盘净值数据(iFinD）'!$A$8)/365))</f>
        <v/>
      </c>
      <c r="R876" s="16" t="str">
        <f t="shared" si="83"/>
        <v/>
      </c>
      <c r="S876" s="16" t="str">
        <f>IF(Q876="","",Q876/MAX(Q$5:Q876)-1)</f>
        <v/>
      </c>
    </row>
    <row r="877" spans="1:19">
      <c r="A877" s="15" t="str">
        <f>IF('实盘净值数据(iFinD）'!A877="","",'实盘净值数据(iFinD）'!A877)</f>
        <v/>
      </c>
      <c r="B877" s="13" t="str">
        <f>IF(OR('实盘净值数据(iFinD）'!$A877="",'实盘净值数据(iFinD）'!$B877=""),"",分期持仓明细!$AB$17*SUMPRODUCT(分期持仓明细!$B$17:$Y$17,'实盘净值数据(iFinD）'!$B877:$Y877/'实盘净值数据(iFinD）'!$B$20:$Y$20)*(1-实盘持仓初始配置!$Z$4)^(('实盘净值数据(iFinD）'!$A877-'实盘净值数据(iFinD）'!$A$6)/365))</f>
        <v/>
      </c>
      <c r="C877" s="16" t="str">
        <f t="shared" si="78"/>
        <v/>
      </c>
      <c r="D877" s="16" t="str">
        <f>IF(B877="","",B877/MAX(B$5:B877)-1)</f>
        <v/>
      </c>
      <c r="E877" s="13" t="str">
        <f>IF(OR('实盘净值数据(iFinD）'!$A877="",'实盘净值数据(iFinD）'!$B877=""),"",分期持仓明细!$AB$18*SUMPRODUCT(分期持仓明细!$B$18:$Y$18,'实盘净值数据(iFinD）'!$B877:$Y877/'实盘净值数据(iFinD）'!$B$20:$Y$20)*(1-实盘持仓初始配置!$Z$5)^(('实盘净值数据(iFinD）'!$A877-'实盘净值数据(iFinD）'!$A$5)/365))</f>
        <v/>
      </c>
      <c r="F877" s="16" t="str">
        <f t="shared" si="79"/>
        <v/>
      </c>
      <c r="G877" s="16" t="str">
        <f>IF(E877="","",E877/MAX(E$5:E877)-1)</f>
        <v/>
      </c>
      <c r="H877" s="13" t="str">
        <f>IF(OR('实盘净值数据(iFinD）'!$A877="",'实盘净值数据(iFinD）'!$B877=""),"",分期持仓明细!$AB$19*SUMPRODUCT(分期持仓明细!$B$19:$Y$19,'实盘净值数据(iFinD）'!$B877:$Y877/'实盘净值数据(iFinD）'!$B$20:$Y$20)*(1-实盘持仓初始配置!$Z$6)^(('实盘净值数据(iFinD）'!$A877-'实盘净值数据(iFinD）'!$A$7)/365))</f>
        <v/>
      </c>
      <c r="I877" s="16" t="str">
        <f t="shared" si="80"/>
        <v/>
      </c>
      <c r="J877" s="16" t="str">
        <f>IF(H877="","",H877/MAX(H$5:H877)-1)</f>
        <v/>
      </c>
      <c r="K877" s="13" t="str">
        <f>IF(OR('实盘净值数据(iFinD）'!$A877="",'实盘净值数据(iFinD）'!$B877="",'实盘净值数据(iFinD）'!$Z877="",'实盘净值数据(iFinD）'!$AA877=""),"",分期持仓明细!$AB$23*(SUMPRODUCT(分期持仓明细!$B$23:$Y$23,'实盘净值数据(iFinD）'!$B877:$Y877/'实盘净值数据(iFinD）'!$B$65:$Y$65)+SUMPRODUCT(分期持仓明细!$AC$23:$AD$23,'实盘净值数据(iFinD）'!$Z877:$AA877/'实盘净值数据(iFinD）'!$Z$65:$AA$65))*(1-实盘持仓初始配置!$Z$7)^(('实盘净值数据(iFinD）'!$A877-'实盘净值数据(iFinD）'!$A$8)/365))</f>
        <v/>
      </c>
      <c r="L877" s="16" t="str">
        <f t="shared" si="81"/>
        <v/>
      </c>
      <c r="M877" s="16" t="str">
        <f>IF(K877="","",K877/MAX(K$5:K877)-1)</f>
        <v/>
      </c>
      <c r="N877" s="13" t="str">
        <f>IF(OR('实盘净值数据(iFinD）'!$A877="",'实盘净值数据(iFinD）'!$B877="",'实盘净值数据(iFinD）'!$Z877="",'实盘净值数据(iFinD）'!$AA877=""),"",分期持仓明细!$AB$24*(SUMPRODUCT(分期持仓明细!$B$24:$Y$24,'实盘净值数据(iFinD）'!$B877:$Y877/'实盘净值数据(iFinD）'!$B$65:$Y$65)+SUMPRODUCT(分期持仓明细!$AC$24:$AD$24,'实盘净值数据(iFinD）'!$Z877:$AA877/'实盘净值数据(iFinD）'!$Z$65:$AA$65))*(1-实盘持仓初始配置!$Z$8)^(('实盘净值数据(iFinD）'!$A877-'实盘净值数据(iFinD）'!$A$5)/365))</f>
        <v/>
      </c>
      <c r="O877" s="16" t="str">
        <f t="shared" si="82"/>
        <v/>
      </c>
      <c r="P877" s="16" t="str">
        <f>IF(N877="","",N877/MAX(N$5:N877)-1)</f>
        <v/>
      </c>
      <c r="Q877" s="13" t="str">
        <f>IF(OR('实盘净值数据(iFinD）'!$A877="",'实盘净值数据(iFinD）'!$B877="",'实盘净值数据(iFinD）'!$Z877="",'实盘净值数据(iFinD）'!$AA877=""),"",分期持仓明细!$AB$25*(SUMPRODUCT(分期持仓明细!$B$25:$Y$25,'实盘净值数据(iFinD）'!$B877:$Y877/'实盘净值数据(iFinD）'!$B$65:$Y$65)+SUMPRODUCT(分期持仓明细!$AC$25:$AD$25,'实盘净值数据(iFinD）'!$Z877:$AA877/'实盘净值数据(iFinD）'!$Z$65:$AA$65))*(1-实盘持仓初始配置!$Z$9)^(('实盘净值数据(iFinD）'!$A877-'实盘净值数据(iFinD）'!$A$8)/365))</f>
        <v/>
      </c>
      <c r="R877" s="16" t="str">
        <f t="shared" si="83"/>
        <v/>
      </c>
      <c r="S877" s="16" t="str">
        <f>IF(Q877="","",Q877/MAX(Q$5:Q877)-1)</f>
        <v/>
      </c>
    </row>
    <row r="878" spans="1:19">
      <c r="A878" s="15" t="str">
        <f>IF('实盘净值数据(iFinD）'!A878="","",'实盘净值数据(iFinD）'!A878)</f>
        <v/>
      </c>
      <c r="B878" s="13" t="str">
        <f>IF(OR('实盘净值数据(iFinD）'!$A878="",'实盘净值数据(iFinD）'!$B878=""),"",分期持仓明细!$AB$17*SUMPRODUCT(分期持仓明细!$B$17:$Y$17,'实盘净值数据(iFinD）'!$B878:$Y878/'实盘净值数据(iFinD）'!$B$20:$Y$20)*(1-实盘持仓初始配置!$Z$4)^(('实盘净值数据(iFinD）'!$A878-'实盘净值数据(iFinD）'!$A$6)/365))</f>
        <v/>
      </c>
      <c r="C878" s="16" t="str">
        <f t="shared" si="78"/>
        <v/>
      </c>
      <c r="D878" s="16" t="str">
        <f>IF(B878="","",B878/MAX(B$5:B878)-1)</f>
        <v/>
      </c>
      <c r="E878" s="13" t="str">
        <f>IF(OR('实盘净值数据(iFinD）'!$A878="",'实盘净值数据(iFinD）'!$B878=""),"",分期持仓明细!$AB$18*SUMPRODUCT(分期持仓明细!$B$18:$Y$18,'实盘净值数据(iFinD）'!$B878:$Y878/'实盘净值数据(iFinD）'!$B$20:$Y$20)*(1-实盘持仓初始配置!$Z$5)^(('实盘净值数据(iFinD）'!$A878-'实盘净值数据(iFinD）'!$A$5)/365))</f>
        <v/>
      </c>
      <c r="F878" s="16" t="str">
        <f t="shared" si="79"/>
        <v/>
      </c>
      <c r="G878" s="16" t="str">
        <f>IF(E878="","",E878/MAX(E$5:E878)-1)</f>
        <v/>
      </c>
      <c r="H878" s="13" t="str">
        <f>IF(OR('实盘净值数据(iFinD）'!$A878="",'实盘净值数据(iFinD）'!$B878=""),"",分期持仓明细!$AB$19*SUMPRODUCT(分期持仓明细!$B$19:$Y$19,'实盘净值数据(iFinD）'!$B878:$Y878/'实盘净值数据(iFinD）'!$B$20:$Y$20)*(1-实盘持仓初始配置!$Z$6)^(('实盘净值数据(iFinD）'!$A878-'实盘净值数据(iFinD）'!$A$7)/365))</f>
        <v/>
      </c>
      <c r="I878" s="16" t="str">
        <f t="shared" si="80"/>
        <v/>
      </c>
      <c r="J878" s="16" t="str">
        <f>IF(H878="","",H878/MAX(H$5:H878)-1)</f>
        <v/>
      </c>
      <c r="K878" s="13" t="str">
        <f>IF(OR('实盘净值数据(iFinD）'!$A878="",'实盘净值数据(iFinD）'!$B878="",'实盘净值数据(iFinD）'!$Z878="",'实盘净值数据(iFinD）'!$AA878=""),"",分期持仓明细!$AB$23*(SUMPRODUCT(分期持仓明细!$B$23:$Y$23,'实盘净值数据(iFinD）'!$B878:$Y878/'实盘净值数据(iFinD）'!$B$65:$Y$65)+SUMPRODUCT(分期持仓明细!$AC$23:$AD$23,'实盘净值数据(iFinD）'!$Z878:$AA878/'实盘净值数据(iFinD）'!$Z$65:$AA$65))*(1-实盘持仓初始配置!$Z$7)^(('实盘净值数据(iFinD）'!$A878-'实盘净值数据(iFinD）'!$A$8)/365))</f>
        <v/>
      </c>
      <c r="L878" s="16" t="str">
        <f t="shared" si="81"/>
        <v/>
      </c>
      <c r="M878" s="16" t="str">
        <f>IF(K878="","",K878/MAX(K$5:K878)-1)</f>
        <v/>
      </c>
      <c r="N878" s="13" t="str">
        <f>IF(OR('实盘净值数据(iFinD）'!$A878="",'实盘净值数据(iFinD）'!$B878="",'实盘净值数据(iFinD）'!$Z878="",'实盘净值数据(iFinD）'!$AA878=""),"",分期持仓明细!$AB$24*(SUMPRODUCT(分期持仓明细!$B$24:$Y$24,'实盘净值数据(iFinD）'!$B878:$Y878/'实盘净值数据(iFinD）'!$B$65:$Y$65)+SUMPRODUCT(分期持仓明细!$AC$24:$AD$24,'实盘净值数据(iFinD）'!$Z878:$AA878/'实盘净值数据(iFinD）'!$Z$65:$AA$65))*(1-实盘持仓初始配置!$Z$8)^(('实盘净值数据(iFinD）'!$A878-'实盘净值数据(iFinD）'!$A$5)/365))</f>
        <v/>
      </c>
      <c r="O878" s="16" t="str">
        <f t="shared" si="82"/>
        <v/>
      </c>
      <c r="P878" s="16" t="str">
        <f>IF(N878="","",N878/MAX(N$5:N878)-1)</f>
        <v/>
      </c>
      <c r="Q878" s="13" t="str">
        <f>IF(OR('实盘净值数据(iFinD）'!$A878="",'实盘净值数据(iFinD）'!$B878="",'实盘净值数据(iFinD）'!$Z878="",'实盘净值数据(iFinD）'!$AA878=""),"",分期持仓明细!$AB$25*(SUMPRODUCT(分期持仓明细!$B$25:$Y$25,'实盘净值数据(iFinD）'!$B878:$Y878/'实盘净值数据(iFinD）'!$B$65:$Y$65)+SUMPRODUCT(分期持仓明细!$AC$25:$AD$25,'实盘净值数据(iFinD）'!$Z878:$AA878/'实盘净值数据(iFinD）'!$Z$65:$AA$65))*(1-实盘持仓初始配置!$Z$9)^(('实盘净值数据(iFinD）'!$A878-'实盘净值数据(iFinD）'!$A$8)/365))</f>
        <v/>
      </c>
      <c r="R878" s="16" t="str">
        <f t="shared" si="83"/>
        <v/>
      </c>
      <c r="S878" s="16" t="str">
        <f>IF(Q878="","",Q878/MAX(Q$5:Q878)-1)</f>
        <v/>
      </c>
    </row>
    <row r="879" spans="1:19">
      <c r="A879" s="15" t="str">
        <f>IF('实盘净值数据(iFinD）'!A879="","",'实盘净值数据(iFinD）'!A879)</f>
        <v/>
      </c>
      <c r="B879" s="13" t="str">
        <f>IF(OR('实盘净值数据(iFinD）'!$A879="",'实盘净值数据(iFinD）'!$B879=""),"",分期持仓明细!$AB$17*SUMPRODUCT(分期持仓明细!$B$17:$Y$17,'实盘净值数据(iFinD）'!$B879:$Y879/'实盘净值数据(iFinD）'!$B$20:$Y$20)*(1-实盘持仓初始配置!$Z$4)^(('实盘净值数据(iFinD）'!$A879-'实盘净值数据(iFinD）'!$A$6)/365))</f>
        <v/>
      </c>
      <c r="C879" s="16" t="str">
        <f t="shared" si="78"/>
        <v/>
      </c>
      <c r="D879" s="16" t="str">
        <f>IF(B879="","",B879/MAX(B$5:B879)-1)</f>
        <v/>
      </c>
      <c r="E879" s="13" t="str">
        <f>IF(OR('实盘净值数据(iFinD）'!$A879="",'实盘净值数据(iFinD）'!$B879=""),"",分期持仓明细!$AB$18*SUMPRODUCT(分期持仓明细!$B$18:$Y$18,'实盘净值数据(iFinD）'!$B879:$Y879/'实盘净值数据(iFinD）'!$B$20:$Y$20)*(1-实盘持仓初始配置!$Z$5)^(('实盘净值数据(iFinD）'!$A879-'实盘净值数据(iFinD）'!$A$5)/365))</f>
        <v/>
      </c>
      <c r="F879" s="16" t="str">
        <f t="shared" si="79"/>
        <v/>
      </c>
      <c r="G879" s="16" t="str">
        <f>IF(E879="","",E879/MAX(E$5:E879)-1)</f>
        <v/>
      </c>
      <c r="H879" s="13" t="str">
        <f>IF(OR('实盘净值数据(iFinD）'!$A879="",'实盘净值数据(iFinD）'!$B879=""),"",分期持仓明细!$AB$19*SUMPRODUCT(分期持仓明细!$B$19:$Y$19,'实盘净值数据(iFinD）'!$B879:$Y879/'实盘净值数据(iFinD）'!$B$20:$Y$20)*(1-实盘持仓初始配置!$Z$6)^(('实盘净值数据(iFinD）'!$A879-'实盘净值数据(iFinD）'!$A$7)/365))</f>
        <v/>
      </c>
      <c r="I879" s="16" t="str">
        <f t="shared" si="80"/>
        <v/>
      </c>
      <c r="J879" s="16" t="str">
        <f>IF(H879="","",H879/MAX(H$5:H879)-1)</f>
        <v/>
      </c>
      <c r="K879" s="13" t="str">
        <f>IF(OR('实盘净值数据(iFinD）'!$A879="",'实盘净值数据(iFinD）'!$B879="",'实盘净值数据(iFinD）'!$Z879="",'实盘净值数据(iFinD）'!$AA879=""),"",分期持仓明细!$AB$23*(SUMPRODUCT(分期持仓明细!$B$23:$Y$23,'实盘净值数据(iFinD）'!$B879:$Y879/'实盘净值数据(iFinD）'!$B$65:$Y$65)+SUMPRODUCT(分期持仓明细!$AC$23:$AD$23,'实盘净值数据(iFinD）'!$Z879:$AA879/'实盘净值数据(iFinD）'!$Z$65:$AA$65))*(1-实盘持仓初始配置!$Z$7)^(('实盘净值数据(iFinD）'!$A879-'实盘净值数据(iFinD）'!$A$8)/365))</f>
        <v/>
      </c>
      <c r="L879" s="16" t="str">
        <f t="shared" si="81"/>
        <v/>
      </c>
      <c r="M879" s="16" t="str">
        <f>IF(K879="","",K879/MAX(K$5:K879)-1)</f>
        <v/>
      </c>
      <c r="N879" s="13" t="str">
        <f>IF(OR('实盘净值数据(iFinD）'!$A879="",'实盘净值数据(iFinD）'!$B879="",'实盘净值数据(iFinD）'!$Z879="",'实盘净值数据(iFinD）'!$AA879=""),"",分期持仓明细!$AB$24*(SUMPRODUCT(分期持仓明细!$B$24:$Y$24,'实盘净值数据(iFinD）'!$B879:$Y879/'实盘净值数据(iFinD）'!$B$65:$Y$65)+SUMPRODUCT(分期持仓明细!$AC$24:$AD$24,'实盘净值数据(iFinD）'!$Z879:$AA879/'实盘净值数据(iFinD）'!$Z$65:$AA$65))*(1-实盘持仓初始配置!$Z$8)^(('实盘净值数据(iFinD）'!$A879-'实盘净值数据(iFinD）'!$A$5)/365))</f>
        <v/>
      </c>
      <c r="O879" s="16" t="str">
        <f t="shared" si="82"/>
        <v/>
      </c>
      <c r="P879" s="16" t="str">
        <f>IF(N879="","",N879/MAX(N$5:N879)-1)</f>
        <v/>
      </c>
      <c r="Q879" s="13" t="str">
        <f>IF(OR('实盘净值数据(iFinD）'!$A879="",'实盘净值数据(iFinD）'!$B879="",'实盘净值数据(iFinD）'!$Z879="",'实盘净值数据(iFinD）'!$AA879=""),"",分期持仓明细!$AB$25*(SUMPRODUCT(分期持仓明细!$B$25:$Y$25,'实盘净值数据(iFinD）'!$B879:$Y879/'实盘净值数据(iFinD）'!$B$65:$Y$65)+SUMPRODUCT(分期持仓明细!$AC$25:$AD$25,'实盘净值数据(iFinD）'!$Z879:$AA879/'实盘净值数据(iFinD）'!$Z$65:$AA$65))*(1-实盘持仓初始配置!$Z$9)^(('实盘净值数据(iFinD）'!$A879-'实盘净值数据(iFinD）'!$A$8)/365))</f>
        <v/>
      </c>
      <c r="R879" s="16" t="str">
        <f t="shared" si="83"/>
        <v/>
      </c>
      <c r="S879" s="16" t="str">
        <f>IF(Q879="","",Q879/MAX(Q$5:Q879)-1)</f>
        <v/>
      </c>
    </row>
    <row r="880" spans="1:19">
      <c r="A880" s="15" t="str">
        <f>IF('实盘净值数据(iFinD）'!A880="","",'实盘净值数据(iFinD）'!A880)</f>
        <v/>
      </c>
      <c r="B880" s="13" t="str">
        <f>IF(OR('实盘净值数据(iFinD）'!$A880="",'实盘净值数据(iFinD）'!$B880=""),"",分期持仓明细!$AB$17*SUMPRODUCT(分期持仓明细!$B$17:$Y$17,'实盘净值数据(iFinD）'!$B880:$Y880/'实盘净值数据(iFinD）'!$B$20:$Y$20)*(1-实盘持仓初始配置!$Z$4)^(('实盘净值数据(iFinD）'!$A880-'实盘净值数据(iFinD）'!$A$6)/365))</f>
        <v/>
      </c>
      <c r="C880" s="16" t="str">
        <f t="shared" si="78"/>
        <v/>
      </c>
      <c r="D880" s="16" t="str">
        <f>IF(B880="","",B880/MAX(B$5:B880)-1)</f>
        <v/>
      </c>
      <c r="E880" s="13" t="str">
        <f>IF(OR('实盘净值数据(iFinD）'!$A880="",'实盘净值数据(iFinD）'!$B880=""),"",分期持仓明细!$AB$18*SUMPRODUCT(分期持仓明细!$B$18:$Y$18,'实盘净值数据(iFinD）'!$B880:$Y880/'实盘净值数据(iFinD）'!$B$20:$Y$20)*(1-实盘持仓初始配置!$Z$5)^(('实盘净值数据(iFinD）'!$A880-'实盘净值数据(iFinD）'!$A$5)/365))</f>
        <v/>
      </c>
      <c r="F880" s="16" t="str">
        <f t="shared" si="79"/>
        <v/>
      </c>
      <c r="G880" s="16" t="str">
        <f>IF(E880="","",E880/MAX(E$5:E880)-1)</f>
        <v/>
      </c>
      <c r="H880" s="13" t="str">
        <f>IF(OR('实盘净值数据(iFinD）'!$A880="",'实盘净值数据(iFinD）'!$B880=""),"",分期持仓明细!$AB$19*SUMPRODUCT(分期持仓明细!$B$19:$Y$19,'实盘净值数据(iFinD）'!$B880:$Y880/'实盘净值数据(iFinD）'!$B$20:$Y$20)*(1-实盘持仓初始配置!$Z$6)^(('实盘净值数据(iFinD）'!$A880-'实盘净值数据(iFinD）'!$A$7)/365))</f>
        <v/>
      </c>
      <c r="I880" s="16" t="str">
        <f t="shared" si="80"/>
        <v/>
      </c>
      <c r="J880" s="16" t="str">
        <f>IF(H880="","",H880/MAX(H$5:H880)-1)</f>
        <v/>
      </c>
      <c r="K880" s="13" t="str">
        <f>IF(OR('实盘净值数据(iFinD）'!$A880="",'实盘净值数据(iFinD）'!$B880="",'实盘净值数据(iFinD）'!$Z880="",'实盘净值数据(iFinD）'!$AA880=""),"",分期持仓明细!$AB$23*(SUMPRODUCT(分期持仓明细!$B$23:$Y$23,'实盘净值数据(iFinD）'!$B880:$Y880/'实盘净值数据(iFinD）'!$B$65:$Y$65)+SUMPRODUCT(分期持仓明细!$AC$23:$AD$23,'实盘净值数据(iFinD）'!$Z880:$AA880/'实盘净值数据(iFinD）'!$Z$65:$AA$65))*(1-实盘持仓初始配置!$Z$7)^(('实盘净值数据(iFinD）'!$A880-'实盘净值数据(iFinD）'!$A$8)/365))</f>
        <v/>
      </c>
      <c r="L880" s="16" t="str">
        <f t="shared" si="81"/>
        <v/>
      </c>
      <c r="M880" s="16" t="str">
        <f>IF(K880="","",K880/MAX(K$5:K880)-1)</f>
        <v/>
      </c>
      <c r="N880" s="13" t="str">
        <f>IF(OR('实盘净值数据(iFinD）'!$A880="",'实盘净值数据(iFinD）'!$B880="",'实盘净值数据(iFinD）'!$Z880="",'实盘净值数据(iFinD）'!$AA880=""),"",分期持仓明细!$AB$24*(SUMPRODUCT(分期持仓明细!$B$24:$Y$24,'实盘净值数据(iFinD）'!$B880:$Y880/'实盘净值数据(iFinD）'!$B$65:$Y$65)+SUMPRODUCT(分期持仓明细!$AC$24:$AD$24,'实盘净值数据(iFinD）'!$Z880:$AA880/'实盘净值数据(iFinD）'!$Z$65:$AA$65))*(1-实盘持仓初始配置!$Z$8)^(('实盘净值数据(iFinD）'!$A880-'实盘净值数据(iFinD）'!$A$5)/365))</f>
        <v/>
      </c>
      <c r="O880" s="16" t="str">
        <f t="shared" si="82"/>
        <v/>
      </c>
      <c r="P880" s="16" t="str">
        <f>IF(N880="","",N880/MAX(N$5:N880)-1)</f>
        <v/>
      </c>
      <c r="Q880" s="13" t="str">
        <f>IF(OR('实盘净值数据(iFinD）'!$A880="",'实盘净值数据(iFinD）'!$B880="",'实盘净值数据(iFinD）'!$Z880="",'实盘净值数据(iFinD）'!$AA880=""),"",分期持仓明细!$AB$25*(SUMPRODUCT(分期持仓明细!$B$25:$Y$25,'实盘净值数据(iFinD）'!$B880:$Y880/'实盘净值数据(iFinD）'!$B$65:$Y$65)+SUMPRODUCT(分期持仓明细!$AC$25:$AD$25,'实盘净值数据(iFinD）'!$Z880:$AA880/'实盘净值数据(iFinD）'!$Z$65:$AA$65))*(1-实盘持仓初始配置!$Z$9)^(('实盘净值数据(iFinD）'!$A880-'实盘净值数据(iFinD）'!$A$8)/365))</f>
        <v/>
      </c>
      <c r="R880" s="16" t="str">
        <f t="shared" si="83"/>
        <v/>
      </c>
      <c r="S880" s="16" t="str">
        <f>IF(Q880="","",Q880/MAX(Q$5:Q880)-1)</f>
        <v/>
      </c>
    </row>
    <row r="881" spans="1:19">
      <c r="A881" s="15" t="str">
        <f>IF('实盘净值数据(iFinD）'!A881="","",'实盘净值数据(iFinD）'!A881)</f>
        <v/>
      </c>
      <c r="B881" s="13" t="str">
        <f>IF(OR('实盘净值数据(iFinD）'!$A881="",'实盘净值数据(iFinD）'!$B881=""),"",分期持仓明细!$AB$17*SUMPRODUCT(分期持仓明细!$B$17:$Y$17,'实盘净值数据(iFinD）'!$B881:$Y881/'实盘净值数据(iFinD）'!$B$20:$Y$20)*(1-实盘持仓初始配置!$Z$4)^(('实盘净值数据(iFinD）'!$A881-'实盘净值数据(iFinD）'!$A$6)/365))</f>
        <v/>
      </c>
      <c r="C881" s="16" t="str">
        <f t="shared" si="78"/>
        <v/>
      </c>
      <c r="D881" s="16" t="str">
        <f>IF(B881="","",B881/MAX(B$5:B881)-1)</f>
        <v/>
      </c>
      <c r="E881" s="13" t="str">
        <f>IF(OR('实盘净值数据(iFinD）'!$A881="",'实盘净值数据(iFinD）'!$B881=""),"",分期持仓明细!$AB$18*SUMPRODUCT(分期持仓明细!$B$18:$Y$18,'实盘净值数据(iFinD）'!$B881:$Y881/'实盘净值数据(iFinD）'!$B$20:$Y$20)*(1-实盘持仓初始配置!$Z$5)^(('实盘净值数据(iFinD）'!$A881-'实盘净值数据(iFinD）'!$A$5)/365))</f>
        <v/>
      </c>
      <c r="F881" s="16" t="str">
        <f t="shared" si="79"/>
        <v/>
      </c>
      <c r="G881" s="16" t="str">
        <f>IF(E881="","",E881/MAX(E$5:E881)-1)</f>
        <v/>
      </c>
      <c r="H881" s="13" t="str">
        <f>IF(OR('实盘净值数据(iFinD）'!$A881="",'实盘净值数据(iFinD）'!$B881=""),"",分期持仓明细!$AB$19*SUMPRODUCT(分期持仓明细!$B$19:$Y$19,'实盘净值数据(iFinD）'!$B881:$Y881/'实盘净值数据(iFinD）'!$B$20:$Y$20)*(1-实盘持仓初始配置!$Z$6)^(('实盘净值数据(iFinD）'!$A881-'实盘净值数据(iFinD）'!$A$7)/365))</f>
        <v/>
      </c>
      <c r="I881" s="16" t="str">
        <f t="shared" si="80"/>
        <v/>
      </c>
      <c r="J881" s="16" t="str">
        <f>IF(H881="","",H881/MAX(H$5:H881)-1)</f>
        <v/>
      </c>
      <c r="K881" s="13" t="str">
        <f>IF(OR('实盘净值数据(iFinD）'!$A881="",'实盘净值数据(iFinD）'!$B881="",'实盘净值数据(iFinD）'!$Z881="",'实盘净值数据(iFinD）'!$AA881=""),"",分期持仓明细!$AB$23*(SUMPRODUCT(分期持仓明细!$B$23:$Y$23,'实盘净值数据(iFinD）'!$B881:$Y881/'实盘净值数据(iFinD）'!$B$65:$Y$65)+SUMPRODUCT(分期持仓明细!$AC$23:$AD$23,'实盘净值数据(iFinD）'!$Z881:$AA881/'实盘净值数据(iFinD）'!$Z$65:$AA$65))*(1-实盘持仓初始配置!$Z$7)^(('实盘净值数据(iFinD）'!$A881-'实盘净值数据(iFinD）'!$A$8)/365))</f>
        <v/>
      </c>
      <c r="L881" s="16" t="str">
        <f t="shared" si="81"/>
        <v/>
      </c>
      <c r="M881" s="16" t="str">
        <f>IF(K881="","",K881/MAX(K$5:K881)-1)</f>
        <v/>
      </c>
      <c r="N881" s="13" t="str">
        <f>IF(OR('实盘净值数据(iFinD）'!$A881="",'实盘净值数据(iFinD）'!$B881="",'实盘净值数据(iFinD）'!$Z881="",'实盘净值数据(iFinD）'!$AA881=""),"",分期持仓明细!$AB$24*(SUMPRODUCT(分期持仓明细!$B$24:$Y$24,'实盘净值数据(iFinD）'!$B881:$Y881/'实盘净值数据(iFinD）'!$B$65:$Y$65)+SUMPRODUCT(分期持仓明细!$AC$24:$AD$24,'实盘净值数据(iFinD）'!$Z881:$AA881/'实盘净值数据(iFinD）'!$Z$65:$AA$65))*(1-实盘持仓初始配置!$Z$8)^(('实盘净值数据(iFinD）'!$A881-'实盘净值数据(iFinD）'!$A$5)/365))</f>
        <v/>
      </c>
      <c r="O881" s="16" t="str">
        <f t="shared" si="82"/>
        <v/>
      </c>
      <c r="P881" s="16" t="str">
        <f>IF(N881="","",N881/MAX(N$5:N881)-1)</f>
        <v/>
      </c>
      <c r="Q881" s="13" t="str">
        <f>IF(OR('实盘净值数据(iFinD）'!$A881="",'实盘净值数据(iFinD）'!$B881="",'实盘净值数据(iFinD）'!$Z881="",'实盘净值数据(iFinD）'!$AA881=""),"",分期持仓明细!$AB$25*(SUMPRODUCT(分期持仓明细!$B$25:$Y$25,'实盘净值数据(iFinD）'!$B881:$Y881/'实盘净值数据(iFinD）'!$B$65:$Y$65)+SUMPRODUCT(分期持仓明细!$AC$25:$AD$25,'实盘净值数据(iFinD）'!$Z881:$AA881/'实盘净值数据(iFinD）'!$Z$65:$AA$65))*(1-实盘持仓初始配置!$Z$9)^(('实盘净值数据(iFinD）'!$A881-'实盘净值数据(iFinD）'!$A$8)/365))</f>
        <v/>
      </c>
      <c r="R881" s="16" t="str">
        <f t="shared" si="83"/>
        <v/>
      </c>
      <c r="S881" s="16" t="str">
        <f>IF(Q881="","",Q881/MAX(Q$5:Q881)-1)</f>
        <v/>
      </c>
    </row>
    <row r="882" spans="1:19">
      <c r="A882" s="15" t="str">
        <f>IF('实盘净值数据(iFinD）'!A882="","",'实盘净值数据(iFinD）'!A882)</f>
        <v/>
      </c>
      <c r="B882" s="13" t="str">
        <f>IF(OR('实盘净值数据(iFinD）'!$A882="",'实盘净值数据(iFinD）'!$B882=""),"",分期持仓明细!$AB$17*SUMPRODUCT(分期持仓明细!$B$17:$Y$17,'实盘净值数据(iFinD）'!$B882:$Y882/'实盘净值数据(iFinD）'!$B$20:$Y$20)*(1-实盘持仓初始配置!$Z$4)^(('实盘净值数据(iFinD）'!$A882-'实盘净值数据(iFinD）'!$A$6)/365))</f>
        <v/>
      </c>
      <c r="C882" s="16" t="str">
        <f t="shared" si="78"/>
        <v/>
      </c>
      <c r="D882" s="16" t="str">
        <f>IF(B882="","",B882/MAX(B$5:B882)-1)</f>
        <v/>
      </c>
      <c r="E882" s="13" t="str">
        <f>IF(OR('实盘净值数据(iFinD）'!$A882="",'实盘净值数据(iFinD）'!$B882=""),"",分期持仓明细!$AB$18*SUMPRODUCT(分期持仓明细!$B$18:$Y$18,'实盘净值数据(iFinD）'!$B882:$Y882/'实盘净值数据(iFinD）'!$B$20:$Y$20)*(1-实盘持仓初始配置!$Z$5)^(('实盘净值数据(iFinD）'!$A882-'实盘净值数据(iFinD）'!$A$5)/365))</f>
        <v/>
      </c>
      <c r="F882" s="16" t="str">
        <f t="shared" si="79"/>
        <v/>
      </c>
      <c r="G882" s="16" t="str">
        <f>IF(E882="","",E882/MAX(E$5:E882)-1)</f>
        <v/>
      </c>
      <c r="H882" s="13" t="str">
        <f>IF(OR('实盘净值数据(iFinD）'!$A882="",'实盘净值数据(iFinD）'!$B882=""),"",分期持仓明细!$AB$19*SUMPRODUCT(分期持仓明细!$B$19:$Y$19,'实盘净值数据(iFinD）'!$B882:$Y882/'实盘净值数据(iFinD）'!$B$20:$Y$20)*(1-实盘持仓初始配置!$Z$6)^(('实盘净值数据(iFinD）'!$A882-'实盘净值数据(iFinD）'!$A$7)/365))</f>
        <v/>
      </c>
      <c r="I882" s="16" t="str">
        <f t="shared" si="80"/>
        <v/>
      </c>
      <c r="J882" s="16" t="str">
        <f>IF(H882="","",H882/MAX(H$5:H882)-1)</f>
        <v/>
      </c>
      <c r="K882" s="13" t="str">
        <f>IF(OR('实盘净值数据(iFinD）'!$A882="",'实盘净值数据(iFinD）'!$B882="",'实盘净值数据(iFinD）'!$Z882="",'实盘净值数据(iFinD）'!$AA882=""),"",分期持仓明细!$AB$23*(SUMPRODUCT(分期持仓明细!$B$23:$Y$23,'实盘净值数据(iFinD）'!$B882:$Y882/'实盘净值数据(iFinD）'!$B$65:$Y$65)+SUMPRODUCT(分期持仓明细!$AC$23:$AD$23,'实盘净值数据(iFinD）'!$Z882:$AA882/'实盘净值数据(iFinD）'!$Z$65:$AA$65))*(1-实盘持仓初始配置!$Z$7)^(('实盘净值数据(iFinD）'!$A882-'实盘净值数据(iFinD）'!$A$8)/365))</f>
        <v/>
      </c>
      <c r="L882" s="16" t="str">
        <f t="shared" si="81"/>
        <v/>
      </c>
      <c r="M882" s="16" t="str">
        <f>IF(K882="","",K882/MAX(K$5:K882)-1)</f>
        <v/>
      </c>
      <c r="N882" s="13" t="str">
        <f>IF(OR('实盘净值数据(iFinD）'!$A882="",'实盘净值数据(iFinD）'!$B882="",'实盘净值数据(iFinD）'!$Z882="",'实盘净值数据(iFinD）'!$AA882=""),"",分期持仓明细!$AB$24*(SUMPRODUCT(分期持仓明细!$B$24:$Y$24,'实盘净值数据(iFinD）'!$B882:$Y882/'实盘净值数据(iFinD）'!$B$65:$Y$65)+SUMPRODUCT(分期持仓明细!$AC$24:$AD$24,'实盘净值数据(iFinD）'!$Z882:$AA882/'实盘净值数据(iFinD）'!$Z$65:$AA$65))*(1-实盘持仓初始配置!$Z$8)^(('实盘净值数据(iFinD）'!$A882-'实盘净值数据(iFinD）'!$A$5)/365))</f>
        <v/>
      </c>
      <c r="O882" s="16" t="str">
        <f t="shared" si="82"/>
        <v/>
      </c>
      <c r="P882" s="16" t="str">
        <f>IF(N882="","",N882/MAX(N$5:N882)-1)</f>
        <v/>
      </c>
      <c r="Q882" s="13" t="str">
        <f>IF(OR('实盘净值数据(iFinD）'!$A882="",'实盘净值数据(iFinD）'!$B882="",'实盘净值数据(iFinD）'!$Z882="",'实盘净值数据(iFinD）'!$AA882=""),"",分期持仓明细!$AB$25*(SUMPRODUCT(分期持仓明细!$B$25:$Y$25,'实盘净值数据(iFinD）'!$B882:$Y882/'实盘净值数据(iFinD）'!$B$65:$Y$65)+SUMPRODUCT(分期持仓明细!$AC$25:$AD$25,'实盘净值数据(iFinD）'!$Z882:$AA882/'实盘净值数据(iFinD）'!$Z$65:$AA$65))*(1-实盘持仓初始配置!$Z$9)^(('实盘净值数据(iFinD）'!$A882-'实盘净值数据(iFinD）'!$A$8)/365))</f>
        <v/>
      </c>
      <c r="R882" s="16" t="str">
        <f t="shared" si="83"/>
        <v/>
      </c>
      <c r="S882" s="16" t="str">
        <f>IF(Q882="","",Q882/MAX(Q$5:Q882)-1)</f>
        <v/>
      </c>
    </row>
    <row r="883" spans="1:19">
      <c r="A883" s="15" t="str">
        <f>IF('实盘净值数据(iFinD）'!A883="","",'实盘净值数据(iFinD）'!A883)</f>
        <v/>
      </c>
      <c r="B883" s="13" t="str">
        <f>IF(OR('实盘净值数据(iFinD）'!$A883="",'实盘净值数据(iFinD）'!$B883=""),"",分期持仓明细!$AB$17*SUMPRODUCT(分期持仓明细!$B$17:$Y$17,'实盘净值数据(iFinD）'!$B883:$Y883/'实盘净值数据(iFinD）'!$B$20:$Y$20)*(1-实盘持仓初始配置!$Z$4)^(('实盘净值数据(iFinD）'!$A883-'实盘净值数据(iFinD）'!$A$6)/365))</f>
        <v/>
      </c>
      <c r="C883" s="16" t="str">
        <f t="shared" si="78"/>
        <v/>
      </c>
      <c r="D883" s="16" t="str">
        <f>IF(B883="","",B883/MAX(B$5:B883)-1)</f>
        <v/>
      </c>
      <c r="E883" s="13" t="str">
        <f>IF(OR('实盘净值数据(iFinD）'!$A883="",'实盘净值数据(iFinD）'!$B883=""),"",分期持仓明细!$AB$18*SUMPRODUCT(分期持仓明细!$B$18:$Y$18,'实盘净值数据(iFinD）'!$B883:$Y883/'实盘净值数据(iFinD）'!$B$20:$Y$20)*(1-实盘持仓初始配置!$Z$5)^(('实盘净值数据(iFinD）'!$A883-'实盘净值数据(iFinD）'!$A$5)/365))</f>
        <v/>
      </c>
      <c r="F883" s="16" t="str">
        <f t="shared" si="79"/>
        <v/>
      </c>
      <c r="G883" s="16" t="str">
        <f>IF(E883="","",E883/MAX(E$5:E883)-1)</f>
        <v/>
      </c>
      <c r="H883" s="13" t="str">
        <f>IF(OR('实盘净值数据(iFinD）'!$A883="",'实盘净值数据(iFinD）'!$B883=""),"",分期持仓明细!$AB$19*SUMPRODUCT(分期持仓明细!$B$19:$Y$19,'实盘净值数据(iFinD）'!$B883:$Y883/'实盘净值数据(iFinD）'!$B$20:$Y$20)*(1-实盘持仓初始配置!$Z$6)^(('实盘净值数据(iFinD）'!$A883-'实盘净值数据(iFinD）'!$A$7)/365))</f>
        <v/>
      </c>
      <c r="I883" s="16" t="str">
        <f t="shared" si="80"/>
        <v/>
      </c>
      <c r="J883" s="16" t="str">
        <f>IF(H883="","",H883/MAX(H$5:H883)-1)</f>
        <v/>
      </c>
      <c r="K883" s="13" t="str">
        <f>IF(OR('实盘净值数据(iFinD）'!$A883="",'实盘净值数据(iFinD）'!$B883="",'实盘净值数据(iFinD）'!$Z883="",'实盘净值数据(iFinD）'!$AA883=""),"",分期持仓明细!$AB$23*(SUMPRODUCT(分期持仓明细!$B$23:$Y$23,'实盘净值数据(iFinD）'!$B883:$Y883/'实盘净值数据(iFinD）'!$B$65:$Y$65)+SUMPRODUCT(分期持仓明细!$AC$23:$AD$23,'实盘净值数据(iFinD）'!$Z883:$AA883/'实盘净值数据(iFinD）'!$Z$65:$AA$65))*(1-实盘持仓初始配置!$Z$7)^(('实盘净值数据(iFinD）'!$A883-'实盘净值数据(iFinD）'!$A$8)/365))</f>
        <v/>
      </c>
      <c r="L883" s="16" t="str">
        <f t="shared" si="81"/>
        <v/>
      </c>
      <c r="M883" s="16" t="str">
        <f>IF(K883="","",K883/MAX(K$5:K883)-1)</f>
        <v/>
      </c>
      <c r="N883" s="13" t="str">
        <f>IF(OR('实盘净值数据(iFinD）'!$A883="",'实盘净值数据(iFinD）'!$B883="",'实盘净值数据(iFinD）'!$Z883="",'实盘净值数据(iFinD）'!$AA883=""),"",分期持仓明细!$AB$24*(SUMPRODUCT(分期持仓明细!$B$24:$Y$24,'实盘净值数据(iFinD）'!$B883:$Y883/'实盘净值数据(iFinD）'!$B$65:$Y$65)+SUMPRODUCT(分期持仓明细!$AC$24:$AD$24,'实盘净值数据(iFinD）'!$Z883:$AA883/'实盘净值数据(iFinD）'!$Z$65:$AA$65))*(1-实盘持仓初始配置!$Z$8)^(('实盘净值数据(iFinD）'!$A883-'实盘净值数据(iFinD）'!$A$5)/365))</f>
        <v/>
      </c>
      <c r="O883" s="16" t="str">
        <f t="shared" si="82"/>
        <v/>
      </c>
      <c r="P883" s="16" t="str">
        <f>IF(N883="","",N883/MAX(N$5:N883)-1)</f>
        <v/>
      </c>
      <c r="Q883" s="13" t="str">
        <f>IF(OR('实盘净值数据(iFinD）'!$A883="",'实盘净值数据(iFinD）'!$B883="",'实盘净值数据(iFinD）'!$Z883="",'实盘净值数据(iFinD）'!$AA883=""),"",分期持仓明细!$AB$25*(SUMPRODUCT(分期持仓明细!$B$25:$Y$25,'实盘净值数据(iFinD）'!$B883:$Y883/'实盘净值数据(iFinD）'!$B$65:$Y$65)+SUMPRODUCT(分期持仓明细!$AC$25:$AD$25,'实盘净值数据(iFinD）'!$Z883:$AA883/'实盘净值数据(iFinD）'!$Z$65:$AA$65))*(1-实盘持仓初始配置!$Z$9)^(('实盘净值数据(iFinD）'!$A883-'实盘净值数据(iFinD）'!$A$8)/365))</f>
        <v/>
      </c>
      <c r="R883" s="16" t="str">
        <f t="shared" si="83"/>
        <v/>
      </c>
      <c r="S883" s="16" t="str">
        <f>IF(Q883="","",Q883/MAX(Q$5:Q883)-1)</f>
        <v/>
      </c>
    </row>
    <row r="884" spans="1:19">
      <c r="A884" s="15" t="str">
        <f>IF('实盘净值数据(iFinD）'!A884="","",'实盘净值数据(iFinD）'!A884)</f>
        <v/>
      </c>
      <c r="B884" s="13" t="str">
        <f>IF(OR('实盘净值数据(iFinD）'!$A884="",'实盘净值数据(iFinD）'!$B884=""),"",分期持仓明细!$AB$17*SUMPRODUCT(分期持仓明细!$B$17:$Y$17,'实盘净值数据(iFinD）'!$B884:$Y884/'实盘净值数据(iFinD）'!$B$20:$Y$20)*(1-实盘持仓初始配置!$Z$4)^(('实盘净值数据(iFinD）'!$A884-'实盘净值数据(iFinD）'!$A$6)/365))</f>
        <v/>
      </c>
      <c r="C884" s="16" t="str">
        <f t="shared" si="78"/>
        <v/>
      </c>
      <c r="D884" s="16" t="str">
        <f>IF(B884="","",B884/MAX(B$5:B884)-1)</f>
        <v/>
      </c>
      <c r="E884" s="13" t="str">
        <f>IF(OR('实盘净值数据(iFinD）'!$A884="",'实盘净值数据(iFinD）'!$B884=""),"",分期持仓明细!$AB$18*SUMPRODUCT(分期持仓明细!$B$18:$Y$18,'实盘净值数据(iFinD）'!$B884:$Y884/'实盘净值数据(iFinD）'!$B$20:$Y$20)*(1-实盘持仓初始配置!$Z$5)^(('实盘净值数据(iFinD）'!$A884-'实盘净值数据(iFinD）'!$A$5)/365))</f>
        <v/>
      </c>
      <c r="F884" s="16" t="str">
        <f t="shared" si="79"/>
        <v/>
      </c>
      <c r="G884" s="16" t="str">
        <f>IF(E884="","",E884/MAX(E$5:E884)-1)</f>
        <v/>
      </c>
      <c r="H884" s="13" t="str">
        <f>IF(OR('实盘净值数据(iFinD）'!$A884="",'实盘净值数据(iFinD）'!$B884=""),"",分期持仓明细!$AB$19*SUMPRODUCT(分期持仓明细!$B$19:$Y$19,'实盘净值数据(iFinD）'!$B884:$Y884/'实盘净值数据(iFinD）'!$B$20:$Y$20)*(1-实盘持仓初始配置!$Z$6)^(('实盘净值数据(iFinD）'!$A884-'实盘净值数据(iFinD）'!$A$7)/365))</f>
        <v/>
      </c>
      <c r="I884" s="16" t="str">
        <f t="shared" si="80"/>
        <v/>
      </c>
      <c r="J884" s="16" t="str">
        <f>IF(H884="","",H884/MAX(H$5:H884)-1)</f>
        <v/>
      </c>
      <c r="K884" s="13" t="str">
        <f>IF(OR('实盘净值数据(iFinD）'!$A884="",'实盘净值数据(iFinD）'!$B884="",'实盘净值数据(iFinD）'!$Z884="",'实盘净值数据(iFinD）'!$AA884=""),"",分期持仓明细!$AB$23*(SUMPRODUCT(分期持仓明细!$B$23:$Y$23,'实盘净值数据(iFinD）'!$B884:$Y884/'实盘净值数据(iFinD）'!$B$65:$Y$65)+SUMPRODUCT(分期持仓明细!$AC$23:$AD$23,'实盘净值数据(iFinD）'!$Z884:$AA884/'实盘净值数据(iFinD）'!$Z$65:$AA$65))*(1-实盘持仓初始配置!$Z$7)^(('实盘净值数据(iFinD）'!$A884-'实盘净值数据(iFinD）'!$A$8)/365))</f>
        <v/>
      </c>
      <c r="L884" s="16" t="str">
        <f t="shared" si="81"/>
        <v/>
      </c>
      <c r="M884" s="16" t="str">
        <f>IF(K884="","",K884/MAX(K$5:K884)-1)</f>
        <v/>
      </c>
      <c r="N884" s="13" t="str">
        <f>IF(OR('实盘净值数据(iFinD）'!$A884="",'实盘净值数据(iFinD）'!$B884="",'实盘净值数据(iFinD）'!$Z884="",'实盘净值数据(iFinD）'!$AA884=""),"",分期持仓明细!$AB$24*(SUMPRODUCT(分期持仓明细!$B$24:$Y$24,'实盘净值数据(iFinD）'!$B884:$Y884/'实盘净值数据(iFinD）'!$B$65:$Y$65)+SUMPRODUCT(分期持仓明细!$AC$24:$AD$24,'实盘净值数据(iFinD）'!$Z884:$AA884/'实盘净值数据(iFinD）'!$Z$65:$AA$65))*(1-实盘持仓初始配置!$Z$8)^(('实盘净值数据(iFinD）'!$A884-'实盘净值数据(iFinD）'!$A$5)/365))</f>
        <v/>
      </c>
      <c r="O884" s="16" t="str">
        <f t="shared" si="82"/>
        <v/>
      </c>
      <c r="P884" s="16" t="str">
        <f>IF(N884="","",N884/MAX(N$5:N884)-1)</f>
        <v/>
      </c>
      <c r="Q884" s="13" t="str">
        <f>IF(OR('实盘净值数据(iFinD）'!$A884="",'实盘净值数据(iFinD）'!$B884="",'实盘净值数据(iFinD）'!$Z884="",'实盘净值数据(iFinD）'!$AA884=""),"",分期持仓明细!$AB$25*(SUMPRODUCT(分期持仓明细!$B$25:$Y$25,'实盘净值数据(iFinD）'!$B884:$Y884/'实盘净值数据(iFinD）'!$B$65:$Y$65)+SUMPRODUCT(分期持仓明细!$AC$25:$AD$25,'实盘净值数据(iFinD）'!$Z884:$AA884/'实盘净值数据(iFinD）'!$Z$65:$AA$65))*(1-实盘持仓初始配置!$Z$9)^(('实盘净值数据(iFinD）'!$A884-'实盘净值数据(iFinD）'!$A$8)/365))</f>
        <v/>
      </c>
      <c r="R884" s="16" t="str">
        <f t="shared" si="83"/>
        <v/>
      </c>
      <c r="S884" s="16" t="str">
        <f>IF(Q884="","",Q884/MAX(Q$5:Q884)-1)</f>
        <v/>
      </c>
    </row>
    <row r="885" spans="1:19">
      <c r="A885" s="15" t="str">
        <f>IF('实盘净值数据(iFinD）'!A885="","",'实盘净值数据(iFinD）'!A885)</f>
        <v/>
      </c>
      <c r="B885" s="13" t="str">
        <f>IF(OR('实盘净值数据(iFinD）'!$A885="",'实盘净值数据(iFinD）'!$B885=""),"",分期持仓明细!$AB$17*SUMPRODUCT(分期持仓明细!$B$17:$Y$17,'实盘净值数据(iFinD）'!$B885:$Y885/'实盘净值数据(iFinD）'!$B$20:$Y$20)*(1-实盘持仓初始配置!$Z$4)^(('实盘净值数据(iFinD）'!$A885-'实盘净值数据(iFinD）'!$A$6)/365))</f>
        <v/>
      </c>
      <c r="C885" s="16" t="str">
        <f t="shared" si="78"/>
        <v/>
      </c>
      <c r="D885" s="16" t="str">
        <f>IF(B885="","",B885/MAX(B$5:B885)-1)</f>
        <v/>
      </c>
      <c r="E885" s="13" t="str">
        <f>IF(OR('实盘净值数据(iFinD）'!$A885="",'实盘净值数据(iFinD）'!$B885=""),"",分期持仓明细!$AB$18*SUMPRODUCT(分期持仓明细!$B$18:$Y$18,'实盘净值数据(iFinD）'!$B885:$Y885/'实盘净值数据(iFinD）'!$B$20:$Y$20)*(1-实盘持仓初始配置!$Z$5)^(('实盘净值数据(iFinD）'!$A885-'实盘净值数据(iFinD）'!$A$5)/365))</f>
        <v/>
      </c>
      <c r="F885" s="16" t="str">
        <f t="shared" si="79"/>
        <v/>
      </c>
      <c r="G885" s="16" t="str">
        <f>IF(E885="","",E885/MAX(E$5:E885)-1)</f>
        <v/>
      </c>
      <c r="H885" s="13" t="str">
        <f>IF(OR('实盘净值数据(iFinD）'!$A885="",'实盘净值数据(iFinD）'!$B885=""),"",分期持仓明细!$AB$19*SUMPRODUCT(分期持仓明细!$B$19:$Y$19,'实盘净值数据(iFinD）'!$B885:$Y885/'实盘净值数据(iFinD）'!$B$20:$Y$20)*(1-实盘持仓初始配置!$Z$6)^(('实盘净值数据(iFinD）'!$A885-'实盘净值数据(iFinD）'!$A$7)/365))</f>
        <v/>
      </c>
      <c r="I885" s="16" t="str">
        <f t="shared" si="80"/>
        <v/>
      </c>
      <c r="J885" s="16" t="str">
        <f>IF(H885="","",H885/MAX(H$5:H885)-1)</f>
        <v/>
      </c>
      <c r="K885" s="13" t="str">
        <f>IF(OR('实盘净值数据(iFinD）'!$A885="",'实盘净值数据(iFinD）'!$B885="",'实盘净值数据(iFinD）'!$Z885="",'实盘净值数据(iFinD）'!$AA885=""),"",分期持仓明细!$AB$23*(SUMPRODUCT(分期持仓明细!$B$23:$Y$23,'实盘净值数据(iFinD）'!$B885:$Y885/'实盘净值数据(iFinD）'!$B$65:$Y$65)+SUMPRODUCT(分期持仓明细!$AC$23:$AD$23,'实盘净值数据(iFinD）'!$Z885:$AA885/'实盘净值数据(iFinD）'!$Z$65:$AA$65))*(1-实盘持仓初始配置!$Z$7)^(('实盘净值数据(iFinD）'!$A885-'实盘净值数据(iFinD）'!$A$8)/365))</f>
        <v/>
      </c>
      <c r="L885" s="16" t="str">
        <f t="shared" si="81"/>
        <v/>
      </c>
      <c r="M885" s="16" t="str">
        <f>IF(K885="","",K885/MAX(K$5:K885)-1)</f>
        <v/>
      </c>
      <c r="N885" s="13" t="str">
        <f>IF(OR('实盘净值数据(iFinD）'!$A885="",'实盘净值数据(iFinD）'!$B885="",'实盘净值数据(iFinD）'!$Z885="",'实盘净值数据(iFinD）'!$AA885=""),"",分期持仓明细!$AB$24*(SUMPRODUCT(分期持仓明细!$B$24:$Y$24,'实盘净值数据(iFinD）'!$B885:$Y885/'实盘净值数据(iFinD）'!$B$65:$Y$65)+SUMPRODUCT(分期持仓明细!$AC$24:$AD$24,'实盘净值数据(iFinD）'!$Z885:$AA885/'实盘净值数据(iFinD）'!$Z$65:$AA$65))*(1-实盘持仓初始配置!$Z$8)^(('实盘净值数据(iFinD）'!$A885-'实盘净值数据(iFinD）'!$A$5)/365))</f>
        <v/>
      </c>
      <c r="O885" s="16" t="str">
        <f t="shared" si="82"/>
        <v/>
      </c>
      <c r="P885" s="16" t="str">
        <f>IF(N885="","",N885/MAX(N$5:N885)-1)</f>
        <v/>
      </c>
      <c r="Q885" s="13" t="str">
        <f>IF(OR('实盘净值数据(iFinD）'!$A885="",'实盘净值数据(iFinD）'!$B885="",'实盘净值数据(iFinD）'!$Z885="",'实盘净值数据(iFinD）'!$AA885=""),"",分期持仓明细!$AB$25*(SUMPRODUCT(分期持仓明细!$B$25:$Y$25,'实盘净值数据(iFinD）'!$B885:$Y885/'实盘净值数据(iFinD）'!$B$65:$Y$65)+SUMPRODUCT(分期持仓明细!$AC$25:$AD$25,'实盘净值数据(iFinD）'!$Z885:$AA885/'实盘净值数据(iFinD）'!$Z$65:$AA$65))*(1-实盘持仓初始配置!$Z$9)^(('实盘净值数据(iFinD）'!$A885-'实盘净值数据(iFinD）'!$A$8)/365))</f>
        <v/>
      </c>
      <c r="R885" s="16" t="str">
        <f t="shared" si="83"/>
        <v/>
      </c>
      <c r="S885" s="16" t="str">
        <f>IF(Q885="","",Q885/MAX(Q$5:Q885)-1)</f>
        <v/>
      </c>
    </row>
    <row r="886" spans="1:19">
      <c r="A886" s="15" t="str">
        <f>IF('实盘净值数据(iFinD）'!A886="","",'实盘净值数据(iFinD）'!A886)</f>
        <v/>
      </c>
      <c r="B886" s="13" t="str">
        <f>IF(OR('实盘净值数据(iFinD）'!$A886="",'实盘净值数据(iFinD）'!$B886=""),"",分期持仓明细!$AB$17*SUMPRODUCT(分期持仓明细!$B$17:$Y$17,'实盘净值数据(iFinD）'!$B886:$Y886/'实盘净值数据(iFinD）'!$B$20:$Y$20)*(1-实盘持仓初始配置!$Z$4)^(('实盘净值数据(iFinD）'!$A886-'实盘净值数据(iFinD）'!$A$6)/365))</f>
        <v/>
      </c>
      <c r="C886" s="16" t="str">
        <f t="shared" si="78"/>
        <v/>
      </c>
      <c r="D886" s="16" t="str">
        <f>IF(B886="","",B886/MAX(B$5:B886)-1)</f>
        <v/>
      </c>
      <c r="E886" s="13" t="str">
        <f>IF(OR('实盘净值数据(iFinD）'!$A886="",'实盘净值数据(iFinD）'!$B886=""),"",分期持仓明细!$AB$18*SUMPRODUCT(分期持仓明细!$B$18:$Y$18,'实盘净值数据(iFinD）'!$B886:$Y886/'实盘净值数据(iFinD）'!$B$20:$Y$20)*(1-实盘持仓初始配置!$Z$5)^(('实盘净值数据(iFinD）'!$A886-'实盘净值数据(iFinD）'!$A$5)/365))</f>
        <v/>
      </c>
      <c r="F886" s="16" t="str">
        <f t="shared" si="79"/>
        <v/>
      </c>
      <c r="G886" s="16" t="str">
        <f>IF(E886="","",E886/MAX(E$5:E886)-1)</f>
        <v/>
      </c>
      <c r="H886" s="13" t="str">
        <f>IF(OR('实盘净值数据(iFinD）'!$A886="",'实盘净值数据(iFinD）'!$B886=""),"",分期持仓明细!$AB$19*SUMPRODUCT(分期持仓明细!$B$19:$Y$19,'实盘净值数据(iFinD）'!$B886:$Y886/'实盘净值数据(iFinD）'!$B$20:$Y$20)*(1-实盘持仓初始配置!$Z$6)^(('实盘净值数据(iFinD）'!$A886-'实盘净值数据(iFinD）'!$A$7)/365))</f>
        <v/>
      </c>
      <c r="I886" s="16" t="str">
        <f t="shared" si="80"/>
        <v/>
      </c>
      <c r="J886" s="16" t="str">
        <f>IF(H886="","",H886/MAX(H$5:H886)-1)</f>
        <v/>
      </c>
      <c r="K886" s="13" t="str">
        <f>IF(OR('实盘净值数据(iFinD）'!$A886="",'实盘净值数据(iFinD）'!$B886="",'实盘净值数据(iFinD）'!$Z886="",'实盘净值数据(iFinD）'!$AA886=""),"",分期持仓明细!$AB$23*(SUMPRODUCT(分期持仓明细!$B$23:$Y$23,'实盘净值数据(iFinD）'!$B886:$Y886/'实盘净值数据(iFinD）'!$B$65:$Y$65)+SUMPRODUCT(分期持仓明细!$AC$23:$AD$23,'实盘净值数据(iFinD）'!$Z886:$AA886/'实盘净值数据(iFinD）'!$Z$65:$AA$65))*(1-实盘持仓初始配置!$Z$7)^(('实盘净值数据(iFinD）'!$A886-'实盘净值数据(iFinD）'!$A$8)/365))</f>
        <v/>
      </c>
      <c r="L886" s="16" t="str">
        <f t="shared" si="81"/>
        <v/>
      </c>
      <c r="M886" s="16" t="str">
        <f>IF(K886="","",K886/MAX(K$5:K886)-1)</f>
        <v/>
      </c>
      <c r="N886" s="13" t="str">
        <f>IF(OR('实盘净值数据(iFinD）'!$A886="",'实盘净值数据(iFinD）'!$B886="",'实盘净值数据(iFinD）'!$Z886="",'实盘净值数据(iFinD）'!$AA886=""),"",分期持仓明细!$AB$24*(SUMPRODUCT(分期持仓明细!$B$24:$Y$24,'实盘净值数据(iFinD）'!$B886:$Y886/'实盘净值数据(iFinD）'!$B$65:$Y$65)+SUMPRODUCT(分期持仓明细!$AC$24:$AD$24,'实盘净值数据(iFinD）'!$Z886:$AA886/'实盘净值数据(iFinD）'!$Z$65:$AA$65))*(1-实盘持仓初始配置!$Z$8)^(('实盘净值数据(iFinD）'!$A886-'实盘净值数据(iFinD）'!$A$5)/365))</f>
        <v/>
      </c>
      <c r="O886" s="16" t="str">
        <f t="shared" si="82"/>
        <v/>
      </c>
      <c r="P886" s="16" t="str">
        <f>IF(N886="","",N886/MAX(N$5:N886)-1)</f>
        <v/>
      </c>
      <c r="Q886" s="13" t="str">
        <f>IF(OR('实盘净值数据(iFinD）'!$A886="",'实盘净值数据(iFinD）'!$B886="",'实盘净值数据(iFinD）'!$Z886="",'实盘净值数据(iFinD）'!$AA886=""),"",分期持仓明细!$AB$25*(SUMPRODUCT(分期持仓明细!$B$25:$Y$25,'实盘净值数据(iFinD）'!$B886:$Y886/'实盘净值数据(iFinD）'!$B$65:$Y$65)+SUMPRODUCT(分期持仓明细!$AC$25:$AD$25,'实盘净值数据(iFinD）'!$Z886:$AA886/'实盘净值数据(iFinD）'!$Z$65:$AA$65))*(1-实盘持仓初始配置!$Z$9)^(('实盘净值数据(iFinD）'!$A886-'实盘净值数据(iFinD）'!$A$8)/365))</f>
        <v/>
      </c>
      <c r="R886" s="16" t="str">
        <f t="shared" si="83"/>
        <v/>
      </c>
      <c r="S886" s="16" t="str">
        <f>IF(Q886="","",Q886/MAX(Q$5:Q886)-1)</f>
        <v/>
      </c>
    </row>
    <row r="887" spans="1:19">
      <c r="A887" s="15" t="str">
        <f>IF('实盘净值数据(iFinD）'!A887="","",'实盘净值数据(iFinD）'!A887)</f>
        <v/>
      </c>
      <c r="B887" s="13" t="str">
        <f>IF(OR('实盘净值数据(iFinD）'!$A887="",'实盘净值数据(iFinD）'!$B887=""),"",分期持仓明细!$AB$17*SUMPRODUCT(分期持仓明细!$B$17:$Y$17,'实盘净值数据(iFinD）'!$B887:$Y887/'实盘净值数据(iFinD）'!$B$20:$Y$20)*(1-实盘持仓初始配置!$Z$4)^(('实盘净值数据(iFinD）'!$A887-'实盘净值数据(iFinD）'!$A$6)/365))</f>
        <v/>
      </c>
      <c r="C887" s="16" t="str">
        <f t="shared" si="78"/>
        <v/>
      </c>
      <c r="D887" s="16" t="str">
        <f>IF(B887="","",B887/MAX(B$5:B887)-1)</f>
        <v/>
      </c>
      <c r="E887" s="13" t="str">
        <f>IF(OR('实盘净值数据(iFinD）'!$A887="",'实盘净值数据(iFinD）'!$B887=""),"",分期持仓明细!$AB$18*SUMPRODUCT(分期持仓明细!$B$18:$Y$18,'实盘净值数据(iFinD）'!$B887:$Y887/'实盘净值数据(iFinD）'!$B$20:$Y$20)*(1-实盘持仓初始配置!$Z$5)^(('实盘净值数据(iFinD）'!$A887-'实盘净值数据(iFinD）'!$A$5)/365))</f>
        <v/>
      </c>
      <c r="F887" s="16" t="str">
        <f t="shared" si="79"/>
        <v/>
      </c>
      <c r="G887" s="16" t="str">
        <f>IF(E887="","",E887/MAX(E$5:E887)-1)</f>
        <v/>
      </c>
      <c r="H887" s="13" t="str">
        <f>IF(OR('实盘净值数据(iFinD）'!$A887="",'实盘净值数据(iFinD）'!$B887=""),"",分期持仓明细!$AB$19*SUMPRODUCT(分期持仓明细!$B$19:$Y$19,'实盘净值数据(iFinD）'!$B887:$Y887/'实盘净值数据(iFinD）'!$B$20:$Y$20)*(1-实盘持仓初始配置!$Z$6)^(('实盘净值数据(iFinD）'!$A887-'实盘净值数据(iFinD）'!$A$7)/365))</f>
        <v/>
      </c>
      <c r="I887" s="16" t="str">
        <f t="shared" si="80"/>
        <v/>
      </c>
      <c r="J887" s="16" t="str">
        <f>IF(H887="","",H887/MAX(H$5:H887)-1)</f>
        <v/>
      </c>
      <c r="K887" s="13" t="str">
        <f>IF(OR('实盘净值数据(iFinD）'!$A887="",'实盘净值数据(iFinD）'!$B887="",'实盘净值数据(iFinD）'!$Z887="",'实盘净值数据(iFinD）'!$AA887=""),"",分期持仓明细!$AB$23*(SUMPRODUCT(分期持仓明细!$B$23:$Y$23,'实盘净值数据(iFinD）'!$B887:$Y887/'实盘净值数据(iFinD）'!$B$65:$Y$65)+SUMPRODUCT(分期持仓明细!$AC$23:$AD$23,'实盘净值数据(iFinD）'!$Z887:$AA887/'实盘净值数据(iFinD）'!$Z$65:$AA$65))*(1-实盘持仓初始配置!$Z$7)^(('实盘净值数据(iFinD）'!$A887-'实盘净值数据(iFinD）'!$A$8)/365))</f>
        <v/>
      </c>
      <c r="L887" s="16" t="str">
        <f t="shared" si="81"/>
        <v/>
      </c>
      <c r="M887" s="16" t="str">
        <f>IF(K887="","",K887/MAX(K$5:K887)-1)</f>
        <v/>
      </c>
      <c r="N887" s="13" t="str">
        <f>IF(OR('实盘净值数据(iFinD）'!$A887="",'实盘净值数据(iFinD）'!$B887="",'实盘净值数据(iFinD）'!$Z887="",'实盘净值数据(iFinD）'!$AA887=""),"",分期持仓明细!$AB$24*(SUMPRODUCT(分期持仓明细!$B$24:$Y$24,'实盘净值数据(iFinD）'!$B887:$Y887/'实盘净值数据(iFinD）'!$B$65:$Y$65)+SUMPRODUCT(分期持仓明细!$AC$24:$AD$24,'实盘净值数据(iFinD）'!$Z887:$AA887/'实盘净值数据(iFinD）'!$Z$65:$AA$65))*(1-实盘持仓初始配置!$Z$8)^(('实盘净值数据(iFinD）'!$A887-'实盘净值数据(iFinD）'!$A$5)/365))</f>
        <v/>
      </c>
      <c r="O887" s="16" t="str">
        <f t="shared" si="82"/>
        <v/>
      </c>
      <c r="P887" s="16" t="str">
        <f>IF(N887="","",N887/MAX(N$5:N887)-1)</f>
        <v/>
      </c>
      <c r="Q887" s="13" t="str">
        <f>IF(OR('实盘净值数据(iFinD）'!$A887="",'实盘净值数据(iFinD）'!$B887="",'实盘净值数据(iFinD）'!$Z887="",'实盘净值数据(iFinD）'!$AA887=""),"",分期持仓明细!$AB$25*(SUMPRODUCT(分期持仓明细!$B$25:$Y$25,'实盘净值数据(iFinD）'!$B887:$Y887/'实盘净值数据(iFinD）'!$B$65:$Y$65)+SUMPRODUCT(分期持仓明细!$AC$25:$AD$25,'实盘净值数据(iFinD）'!$Z887:$AA887/'实盘净值数据(iFinD）'!$Z$65:$AA$65))*(1-实盘持仓初始配置!$Z$9)^(('实盘净值数据(iFinD）'!$A887-'实盘净值数据(iFinD）'!$A$8)/365))</f>
        <v/>
      </c>
      <c r="R887" s="16" t="str">
        <f t="shared" si="83"/>
        <v/>
      </c>
      <c r="S887" s="16" t="str">
        <f>IF(Q887="","",Q887/MAX(Q$5:Q887)-1)</f>
        <v/>
      </c>
    </row>
    <row r="888" spans="1:19">
      <c r="A888" s="15" t="str">
        <f>IF('实盘净值数据(iFinD）'!A888="","",'实盘净值数据(iFinD）'!A888)</f>
        <v/>
      </c>
      <c r="B888" s="13" t="str">
        <f>IF(OR('实盘净值数据(iFinD）'!$A888="",'实盘净值数据(iFinD）'!$B888=""),"",分期持仓明细!$AB$17*SUMPRODUCT(分期持仓明细!$B$17:$Y$17,'实盘净值数据(iFinD）'!$B888:$Y888/'实盘净值数据(iFinD）'!$B$20:$Y$20)*(1-实盘持仓初始配置!$Z$4)^(('实盘净值数据(iFinD）'!$A888-'实盘净值数据(iFinD）'!$A$6)/365))</f>
        <v/>
      </c>
      <c r="C888" s="16" t="str">
        <f t="shared" si="78"/>
        <v/>
      </c>
      <c r="D888" s="16" t="str">
        <f>IF(B888="","",B888/MAX(B$5:B888)-1)</f>
        <v/>
      </c>
      <c r="E888" s="13" t="str">
        <f>IF(OR('实盘净值数据(iFinD）'!$A888="",'实盘净值数据(iFinD）'!$B888=""),"",分期持仓明细!$AB$18*SUMPRODUCT(分期持仓明细!$B$18:$Y$18,'实盘净值数据(iFinD）'!$B888:$Y888/'实盘净值数据(iFinD）'!$B$20:$Y$20)*(1-实盘持仓初始配置!$Z$5)^(('实盘净值数据(iFinD）'!$A888-'实盘净值数据(iFinD）'!$A$5)/365))</f>
        <v/>
      </c>
      <c r="F888" s="16" t="str">
        <f t="shared" si="79"/>
        <v/>
      </c>
      <c r="G888" s="16" t="str">
        <f>IF(E888="","",E888/MAX(E$5:E888)-1)</f>
        <v/>
      </c>
      <c r="H888" s="13" t="str">
        <f>IF(OR('实盘净值数据(iFinD）'!$A888="",'实盘净值数据(iFinD）'!$B888=""),"",分期持仓明细!$AB$19*SUMPRODUCT(分期持仓明细!$B$19:$Y$19,'实盘净值数据(iFinD）'!$B888:$Y888/'实盘净值数据(iFinD）'!$B$20:$Y$20)*(1-实盘持仓初始配置!$Z$6)^(('实盘净值数据(iFinD）'!$A888-'实盘净值数据(iFinD）'!$A$7)/365))</f>
        <v/>
      </c>
      <c r="I888" s="16" t="str">
        <f t="shared" si="80"/>
        <v/>
      </c>
      <c r="J888" s="16" t="str">
        <f>IF(H888="","",H888/MAX(H$5:H888)-1)</f>
        <v/>
      </c>
      <c r="K888" s="13" t="str">
        <f>IF(OR('实盘净值数据(iFinD）'!$A888="",'实盘净值数据(iFinD）'!$B888="",'实盘净值数据(iFinD）'!$Z888="",'实盘净值数据(iFinD）'!$AA888=""),"",分期持仓明细!$AB$23*(SUMPRODUCT(分期持仓明细!$B$23:$Y$23,'实盘净值数据(iFinD）'!$B888:$Y888/'实盘净值数据(iFinD）'!$B$65:$Y$65)+SUMPRODUCT(分期持仓明细!$AC$23:$AD$23,'实盘净值数据(iFinD）'!$Z888:$AA888/'实盘净值数据(iFinD）'!$Z$65:$AA$65))*(1-实盘持仓初始配置!$Z$7)^(('实盘净值数据(iFinD）'!$A888-'实盘净值数据(iFinD）'!$A$8)/365))</f>
        <v/>
      </c>
      <c r="L888" s="16" t="str">
        <f t="shared" si="81"/>
        <v/>
      </c>
      <c r="M888" s="16" t="str">
        <f>IF(K888="","",K888/MAX(K$5:K888)-1)</f>
        <v/>
      </c>
      <c r="N888" s="13" t="str">
        <f>IF(OR('实盘净值数据(iFinD）'!$A888="",'实盘净值数据(iFinD）'!$B888="",'实盘净值数据(iFinD）'!$Z888="",'实盘净值数据(iFinD）'!$AA888=""),"",分期持仓明细!$AB$24*(SUMPRODUCT(分期持仓明细!$B$24:$Y$24,'实盘净值数据(iFinD）'!$B888:$Y888/'实盘净值数据(iFinD）'!$B$65:$Y$65)+SUMPRODUCT(分期持仓明细!$AC$24:$AD$24,'实盘净值数据(iFinD）'!$Z888:$AA888/'实盘净值数据(iFinD）'!$Z$65:$AA$65))*(1-实盘持仓初始配置!$Z$8)^(('实盘净值数据(iFinD）'!$A888-'实盘净值数据(iFinD）'!$A$5)/365))</f>
        <v/>
      </c>
      <c r="O888" s="16" t="str">
        <f t="shared" si="82"/>
        <v/>
      </c>
      <c r="P888" s="16" t="str">
        <f>IF(N888="","",N888/MAX(N$5:N888)-1)</f>
        <v/>
      </c>
      <c r="Q888" s="13" t="str">
        <f>IF(OR('实盘净值数据(iFinD）'!$A888="",'实盘净值数据(iFinD）'!$B888="",'实盘净值数据(iFinD）'!$Z888="",'实盘净值数据(iFinD）'!$AA888=""),"",分期持仓明细!$AB$25*(SUMPRODUCT(分期持仓明细!$B$25:$Y$25,'实盘净值数据(iFinD）'!$B888:$Y888/'实盘净值数据(iFinD）'!$B$65:$Y$65)+SUMPRODUCT(分期持仓明细!$AC$25:$AD$25,'实盘净值数据(iFinD）'!$Z888:$AA888/'实盘净值数据(iFinD）'!$Z$65:$AA$65))*(1-实盘持仓初始配置!$Z$9)^(('实盘净值数据(iFinD）'!$A888-'实盘净值数据(iFinD）'!$A$8)/365))</f>
        <v/>
      </c>
      <c r="R888" s="16" t="str">
        <f t="shared" si="83"/>
        <v/>
      </c>
      <c r="S888" s="16" t="str">
        <f>IF(Q888="","",Q888/MAX(Q$5:Q888)-1)</f>
        <v/>
      </c>
    </row>
    <row r="889" spans="1:19">
      <c r="A889" s="15" t="str">
        <f>IF('实盘净值数据(iFinD）'!A889="","",'实盘净值数据(iFinD）'!A889)</f>
        <v/>
      </c>
      <c r="B889" s="13" t="str">
        <f>IF(OR('实盘净值数据(iFinD）'!$A889="",'实盘净值数据(iFinD）'!$B889=""),"",分期持仓明细!$AB$17*SUMPRODUCT(分期持仓明细!$B$17:$Y$17,'实盘净值数据(iFinD）'!$B889:$Y889/'实盘净值数据(iFinD）'!$B$20:$Y$20)*(1-实盘持仓初始配置!$Z$4)^(('实盘净值数据(iFinD）'!$A889-'实盘净值数据(iFinD）'!$A$6)/365))</f>
        <v/>
      </c>
      <c r="C889" s="16" t="str">
        <f t="shared" si="78"/>
        <v/>
      </c>
      <c r="D889" s="16" t="str">
        <f>IF(B889="","",B889/MAX(B$5:B889)-1)</f>
        <v/>
      </c>
      <c r="E889" s="13" t="str">
        <f>IF(OR('实盘净值数据(iFinD）'!$A889="",'实盘净值数据(iFinD）'!$B889=""),"",分期持仓明细!$AB$18*SUMPRODUCT(分期持仓明细!$B$18:$Y$18,'实盘净值数据(iFinD）'!$B889:$Y889/'实盘净值数据(iFinD）'!$B$20:$Y$20)*(1-实盘持仓初始配置!$Z$5)^(('实盘净值数据(iFinD）'!$A889-'实盘净值数据(iFinD）'!$A$5)/365))</f>
        <v/>
      </c>
      <c r="F889" s="16" t="str">
        <f t="shared" si="79"/>
        <v/>
      </c>
      <c r="G889" s="16" t="str">
        <f>IF(E889="","",E889/MAX(E$5:E889)-1)</f>
        <v/>
      </c>
      <c r="H889" s="13" t="str">
        <f>IF(OR('实盘净值数据(iFinD）'!$A889="",'实盘净值数据(iFinD）'!$B889=""),"",分期持仓明细!$AB$19*SUMPRODUCT(分期持仓明细!$B$19:$Y$19,'实盘净值数据(iFinD）'!$B889:$Y889/'实盘净值数据(iFinD）'!$B$20:$Y$20)*(1-实盘持仓初始配置!$Z$6)^(('实盘净值数据(iFinD）'!$A889-'实盘净值数据(iFinD）'!$A$7)/365))</f>
        <v/>
      </c>
      <c r="I889" s="16" t="str">
        <f t="shared" si="80"/>
        <v/>
      </c>
      <c r="J889" s="16" t="str">
        <f>IF(H889="","",H889/MAX(H$5:H889)-1)</f>
        <v/>
      </c>
      <c r="K889" s="13" t="str">
        <f>IF(OR('实盘净值数据(iFinD）'!$A889="",'实盘净值数据(iFinD）'!$B889="",'实盘净值数据(iFinD）'!$Z889="",'实盘净值数据(iFinD）'!$AA889=""),"",分期持仓明细!$AB$23*(SUMPRODUCT(分期持仓明细!$B$23:$Y$23,'实盘净值数据(iFinD）'!$B889:$Y889/'实盘净值数据(iFinD）'!$B$65:$Y$65)+SUMPRODUCT(分期持仓明细!$AC$23:$AD$23,'实盘净值数据(iFinD）'!$Z889:$AA889/'实盘净值数据(iFinD）'!$Z$65:$AA$65))*(1-实盘持仓初始配置!$Z$7)^(('实盘净值数据(iFinD）'!$A889-'实盘净值数据(iFinD）'!$A$8)/365))</f>
        <v/>
      </c>
      <c r="L889" s="16" t="str">
        <f t="shared" si="81"/>
        <v/>
      </c>
      <c r="M889" s="16" t="str">
        <f>IF(K889="","",K889/MAX(K$5:K889)-1)</f>
        <v/>
      </c>
      <c r="N889" s="13" t="str">
        <f>IF(OR('实盘净值数据(iFinD）'!$A889="",'实盘净值数据(iFinD）'!$B889="",'实盘净值数据(iFinD）'!$Z889="",'实盘净值数据(iFinD）'!$AA889=""),"",分期持仓明细!$AB$24*(SUMPRODUCT(分期持仓明细!$B$24:$Y$24,'实盘净值数据(iFinD）'!$B889:$Y889/'实盘净值数据(iFinD）'!$B$65:$Y$65)+SUMPRODUCT(分期持仓明细!$AC$24:$AD$24,'实盘净值数据(iFinD）'!$Z889:$AA889/'实盘净值数据(iFinD）'!$Z$65:$AA$65))*(1-实盘持仓初始配置!$Z$8)^(('实盘净值数据(iFinD）'!$A889-'实盘净值数据(iFinD）'!$A$5)/365))</f>
        <v/>
      </c>
      <c r="O889" s="16" t="str">
        <f t="shared" si="82"/>
        <v/>
      </c>
      <c r="P889" s="16" t="str">
        <f>IF(N889="","",N889/MAX(N$5:N889)-1)</f>
        <v/>
      </c>
      <c r="Q889" s="13" t="str">
        <f>IF(OR('实盘净值数据(iFinD）'!$A889="",'实盘净值数据(iFinD）'!$B889="",'实盘净值数据(iFinD）'!$Z889="",'实盘净值数据(iFinD）'!$AA889=""),"",分期持仓明细!$AB$25*(SUMPRODUCT(分期持仓明细!$B$25:$Y$25,'实盘净值数据(iFinD）'!$B889:$Y889/'实盘净值数据(iFinD）'!$B$65:$Y$65)+SUMPRODUCT(分期持仓明细!$AC$25:$AD$25,'实盘净值数据(iFinD）'!$Z889:$AA889/'实盘净值数据(iFinD）'!$Z$65:$AA$65))*(1-实盘持仓初始配置!$Z$9)^(('实盘净值数据(iFinD）'!$A889-'实盘净值数据(iFinD）'!$A$8)/365))</f>
        <v/>
      </c>
      <c r="R889" s="16" t="str">
        <f t="shared" si="83"/>
        <v/>
      </c>
      <c r="S889" s="16" t="str">
        <f>IF(Q889="","",Q889/MAX(Q$5:Q889)-1)</f>
        <v/>
      </c>
    </row>
    <row r="890" spans="1:19">
      <c r="A890" s="15" t="str">
        <f>IF('实盘净值数据(iFinD）'!A890="","",'实盘净值数据(iFinD）'!A890)</f>
        <v/>
      </c>
      <c r="B890" s="13" t="str">
        <f>IF(OR('实盘净值数据(iFinD）'!$A890="",'实盘净值数据(iFinD）'!$B890=""),"",分期持仓明细!$AB$17*SUMPRODUCT(分期持仓明细!$B$17:$Y$17,'实盘净值数据(iFinD）'!$B890:$Y890/'实盘净值数据(iFinD）'!$B$20:$Y$20)*(1-实盘持仓初始配置!$Z$4)^(('实盘净值数据(iFinD）'!$A890-'实盘净值数据(iFinD）'!$A$6)/365))</f>
        <v/>
      </c>
      <c r="C890" s="16" t="str">
        <f t="shared" si="78"/>
        <v/>
      </c>
      <c r="D890" s="16" t="str">
        <f>IF(B890="","",B890/MAX(B$5:B890)-1)</f>
        <v/>
      </c>
      <c r="E890" s="13" t="str">
        <f>IF(OR('实盘净值数据(iFinD）'!$A890="",'实盘净值数据(iFinD）'!$B890=""),"",分期持仓明细!$AB$18*SUMPRODUCT(分期持仓明细!$B$18:$Y$18,'实盘净值数据(iFinD）'!$B890:$Y890/'实盘净值数据(iFinD）'!$B$20:$Y$20)*(1-实盘持仓初始配置!$Z$5)^(('实盘净值数据(iFinD）'!$A890-'实盘净值数据(iFinD）'!$A$5)/365))</f>
        <v/>
      </c>
      <c r="F890" s="16" t="str">
        <f t="shared" si="79"/>
        <v/>
      </c>
      <c r="G890" s="16" t="str">
        <f>IF(E890="","",E890/MAX(E$5:E890)-1)</f>
        <v/>
      </c>
      <c r="H890" s="13" t="str">
        <f>IF(OR('实盘净值数据(iFinD）'!$A890="",'实盘净值数据(iFinD）'!$B890=""),"",分期持仓明细!$AB$19*SUMPRODUCT(分期持仓明细!$B$19:$Y$19,'实盘净值数据(iFinD）'!$B890:$Y890/'实盘净值数据(iFinD）'!$B$20:$Y$20)*(1-实盘持仓初始配置!$Z$6)^(('实盘净值数据(iFinD）'!$A890-'实盘净值数据(iFinD）'!$A$7)/365))</f>
        <v/>
      </c>
      <c r="I890" s="16" t="str">
        <f t="shared" si="80"/>
        <v/>
      </c>
      <c r="J890" s="16" t="str">
        <f>IF(H890="","",H890/MAX(H$5:H890)-1)</f>
        <v/>
      </c>
      <c r="K890" s="13" t="str">
        <f>IF(OR('实盘净值数据(iFinD）'!$A890="",'实盘净值数据(iFinD）'!$B890="",'实盘净值数据(iFinD）'!$Z890="",'实盘净值数据(iFinD）'!$AA890=""),"",分期持仓明细!$AB$23*(SUMPRODUCT(分期持仓明细!$B$23:$Y$23,'实盘净值数据(iFinD）'!$B890:$Y890/'实盘净值数据(iFinD）'!$B$65:$Y$65)+SUMPRODUCT(分期持仓明细!$AC$23:$AD$23,'实盘净值数据(iFinD）'!$Z890:$AA890/'实盘净值数据(iFinD）'!$Z$65:$AA$65))*(1-实盘持仓初始配置!$Z$7)^(('实盘净值数据(iFinD）'!$A890-'实盘净值数据(iFinD）'!$A$8)/365))</f>
        <v/>
      </c>
      <c r="L890" s="16" t="str">
        <f t="shared" si="81"/>
        <v/>
      </c>
      <c r="M890" s="16" t="str">
        <f>IF(K890="","",K890/MAX(K$5:K890)-1)</f>
        <v/>
      </c>
      <c r="N890" s="13" t="str">
        <f>IF(OR('实盘净值数据(iFinD）'!$A890="",'实盘净值数据(iFinD）'!$B890="",'实盘净值数据(iFinD）'!$Z890="",'实盘净值数据(iFinD）'!$AA890=""),"",分期持仓明细!$AB$24*(SUMPRODUCT(分期持仓明细!$B$24:$Y$24,'实盘净值数据(iFinD）'!$B890:$Y890/'实盘净值数据(iFinD）'!$B$65:$Y$65)+SUMPRODUCT(分期持仓明细!$AC$24:$AD$24,'实盘净值数据(iFinD）'!$Z890:$AA890/'实盘净值数据(iFinD）'!$Z$65:$AA$65))*(1-实盘持仓初始配置!$Z$8)^(('实盘净值数据(iFinD）'!$A890-'实盘净值数据(iFinD）'!$A$5)/365))</f>
        <v/>
      </c>
      <c r="O890" s="16" t="str">
        <f t="shared" si="82"/>
        <v/>
      </c>
      <c r="P890" s="16" t="str">
        <f>IF(N890="","",N890/MAX(N$5:N890)-1)</f>
        <v/>
      </c>
      <c r="Q890" s="13" t="str">
        <f>IF(OR('实盘净值数据(iFinD）'!$A890="",'实盘净值数据(iFinD）'!$B890="",'实盘净值数据(iFinD）'!$Z890="",'实盘净值数据(iFinD）'!$AA890=""),"",分期持仓明细!$AB$25*(SUMPRODUCT(分期持仓明细!$B$25:$Y$25,'实盘净值数据(iFinD）'!$B890:$Y890/'实盘净值数据(iFinD）'!$B$65:$Y$65)+SUMPRODUCT(分期持仓明细!$AC$25:$AD$25,'实盘净值数据(iFinD）'!$Z890:$AA890/'实盘净值数据(iFinD）'!$Z$65:$AA$65))*(1-实盘持仓初始配置!$Z$9)^(('实盘净值数据(iFinD）'!$A890-'实盘净值数据(iFinD）'!$A$8)/365))</f>
        <v/>
      </c>
      <c r="R890" s="16" t="str">
        <f t="shared" si="83"/>
        <v/>
      </c>
      <c r="S890" s="16" t="str">
        <f>IF(Q890="","",Q890/MAX(Q$5:Q890)-1)</f>
        <v/>
      </c>
    </row>
    <row r="891" spans="1:19">
      <c r="A891" s="15" t="str">
        <f>IF('实盘净值数据(iFinD）'!A891="","",'实盘净值数据(iFinD）'!A891)</f>
        <v/>
      </c>
      <c r="B891" s="13" t="str">
        <f>IF(OR('实盘净值数据(iFinD）'!$A891="",'实盘净值数据(iFinD）'!$B891=""),"",分期持仓明细!$AB$17*SUMPRODUCT(分期持仓明细!$B$17:$Y$17,'实盘净值数据(iFinD）'!$B891:$Y891/'实盘净值数据(iFinD）'!$B$20:$Y$20)*(1-实盘持仓初始配置!$Z$4)^(('实盘净值数据(iFinD）'!$A891-'实盘净值数据(iFinD）'!$A$6)/365))</f>
        <v/>
      </c>
      <c r="C891" s="16" t="str">
        <f t="shared" si="78"/>
        <v/>
      </c>
      <c r="D891" s="16" t="str">
        <f>IF(B891="","",B891/MAX(B$5:B891)-1)</f>
        <v/>
      </c>
      <c r="E891" s="13" t="str">
        <f>IF(OR('实盘净值数据(iFinD）'!$A891="",'实盘净值数据(iFinD）'!$B891=""),"",分期持仓明细!$AB$18*SUMPRODUCT(分期持仓明细!$B$18:$Y$18,'实盘净值数据(iFinD）'!$B891:$Y891/'实盘净值数据(iFinD）'!$B$20:$Y$20)*(1-实盘持仓初始配置!$Z$5)^(('实盘净值数据(iFinD）'!$A891-'实盘净值数据(iFinD）'!$A$5)/365))</f>
        <v/>
      </c>
      <c r="F891" s="16" t="str">
        <f t="shared" si="79"/>
        <v/>
      </c>
      <c r="G891" s="16" t="str">
        <f>IF(E891="","",E891/MAX(E$5:E891)-1)</f>
        <v/>
      </c>
      <c r="H891" s="13" t="str">
        <f>IF(OR('实盘净值数据(iFinD）'!$A891="",'实盘净值数据(iFinD）'!$B891=""),"",分期持仓明细!$AB$19*SUMPRODUCT(分期持仓明细!$B$19:$Y$19,'实盘净值数据(iFinD）'!$B891:$Y891/'实盘净值数据(iFinD）'!$B$20:$Y$20)*(1-实盘持仓初始配置!$Z$6)^(('实盘净值数据(iFinD）'!$A891-'实盘净值数据(iFinD）'!$A$7)/365))</f>
        <v/>
      </c>
      <c r="I891" s="16" t="str">
        <f t="shared" si="80"/>
        <v/>
      </c>
      <c r="J891" s="16" t="str">
        <f>IF(H891="","",H891/MAX(H$5:H891)-1)</f>
        <v/>
      </c>
      <c r="K891" s="13" t="str">
        <f>IF(OR('实盘净值数据(iFinD）'!$A891="",'实盘净值数据(iFinD）'!$B891="",'实盘净值数据(iFinD）'!$Z891="",'实盘净值数据(iFinD）'!$AA891=""),"",分期持仓明细!$AB$23*(SUMPRODUCT(分期持仓明细!$B$23:$Y$23,'实盘净值数据(iFinD）'!$B891:$Y891/'实盘净值数据(iFinD）'!$B$65:$Y$65)+SUMPRODUCT(分期持仓明细!$AC$23:$AD$23,'实盘净值数据(iFinD）'!$Z891:$AA891/'实盘净值数据(iFinD）'!$Z$65:$AA$65))*(1-实盘持仓初始配置!$Z$7)^(('实盘净值数据(iFinD）'!$A891-'实盘净值数据(iFinD）'!$A$8)/365))</f>
        <v/>
      </c>
      <c r="L891" s="16" t="str">
        <f t="shared" si="81"/>
        <v/>
      </c>
      <c r="M891" s="16" t="str">
        <f>IF(K891="","",K891/MAX(K$5:K891)-1)</f>
        <v/>
      </c>
      <c r="N891" s="13" t="str">
        <f>IF(OR('实盘净值数据(iFinD）'!$A891="",'实盘净值数据(iFinD）'!$B891="",'实盘净值数据(iFinD）'!$Z891="",'实盘净值数据(iFinD）'!$AA891=""),"",分期持仓明细!$AB$24*(SUMPRODUCT(分期持仓明细!$B$24:$Y$24,'实盘净值数据(iFinD）'!$B891:$Y891/'实盘净值数据(iFinD）'!$B$65:$Y$65)+SUMPRODUCT(分期持仓明细!$AC$24:$AD$24,'实盘净值数据(iFinD）'!$Z891:$AA891/'实盘净值数据(iFinD）'!$Z$65:$AA$65))*(1-实盘持仓初始配置!$Z$8)^(('实盘净值数据(iFinD）'!$A891-'实盘净值数据(iFinD）'!$A$5)/365))</f>
        <v/>
      </c>
      <c r="O891" s="16" t="str">
        <f t="shared" si="82"/>
        <v/>
      </c>
      <c r="P891" s="16" t="str">
        <f>IF(N891="","",N891/MAX(N$5:N891)-1)</f>
        <v/>
      </c>
      <c r="Q891" s="13" t="str">
        <f>IF(OR('实盘净值数据(iFinD）'!$A891="",'实盘净值数据(iFinD）'!$B891="",'实盘净值数据(iFinD）'!$Z891="",'实盘净值数据(iFinD）'!$AA891=""),"",分期持仓明细!$AB$25*(SUMPRODUCT(分期持仓明细!$B$25:$Y$25,'实盘净值数据(iFinD）'!$B891:$Y891/'实盘净值数据(iFinD）'!$B$65:$Y$65)+SUMPRODUCT(分期持仓明细!$AC$25:$AD$25,'实盘净值数据(iFinD）'!$Z891:$AA891/'实盘净值数据(iFinD）'!$Z$65:$AA$65))*(1-实盘持仓初始配置!$Z$9)^(('实盘净值数据(iFinD）'!$A891-'实盘净值数据(iFinD）'!$A$8)/365))</f>
        <v/>
      </c>
      <c r="R891" s="16" t="str">
        <f t="shared" si="83"/>
        <v/>
      </c>
      <c r="S891" s="16" t="str">
        <f>IF(Q891="","",Q891/MAX(Q$5:Q891)-1)</f>
        <v/>
      </c>
    </row>
    <row r="892" spans="1:19">
      <c r="A892" s="15" t="str">
        <f>IF('实盘净值数据(iFinD）'!A892="","",'实盘净值数据(iFinD）'!A892)</f>
        <v/>
      </c>
      <c r="B892" s="13" t="str">
        <f>IF(OR('实盘净值数据(iFinD）'!$A892="",'实盘净值数据(iFinD）'!$B892=""),"",分期持仓明细!$AB$17*SUMPRODUCT(分期持仓明细!$B$17:$Y$17,'实盘净值数据(iFinD）'!$B892:$Y892/'实盘净值数据(iFinD）'!$B$20:$Y$20)*(1-实盘持仓初始配置!$Z$4)^(('实盘净值数据(iFinD）'!$A892-'实盘净值数据(iFinD）'!$A$6)/365))</f>
        <v/>
      </c>
      <c r="C892" s="16" t="str">
        <f t="shared" ref="C892:C955" si="84">IF(OR(B891="",B892=""),"",B892/B891-1)</f>
        <v/>
      </c>
      <c r="D892" s="16" t="str">
        <f>IF(B892="","",B892/MAX(B$5:B892)-1)</f>
        <v/>
      </c>
      <c r="E892" s="13" t="str">
        <f>IF(OR('实盘净值数据(iFinD）'!$A892="",'实盘净值数据(iFinD）'!$B892=""),"",分期持仓明细!$AB$18*SUMPRODUCT(分期持仓明细!$B$18:$Y$18,'实盘净值数据(iFinD）'!$B892:$Y892/'实盘净值数据(iFinD）'!$B$20:$Y$20)*(1-实盘持仓初始配置!$Z$5)^(('实盘净值数据(iFinD）'!$A892-'实盘净值数据(iFinD）'!$A$5)/365))</f>
        <v/>
      </c>
      <c r="F892" s="16" t="str">
        <f t="shared" ref="F892:F955" si="85">IF(OR(E891="",E892=""),"",E892/E891-1)</f>
        <v/>
      </c>
      <c r="G892" s="16" t="str">
        <f>IF(E892="","",E892/MAX(E$5:E892)-1)</f>
        <v/>
      </c>
      <c r="H892" s="13" t="str">
        <f>IF(OR('实盘净值数据(iFinD）'!$A892="",'实盘净值数据(iFinD）'!$B892=""),"",分期持仓明细!$AB$19*SUMPRODUCT(分期持仓明细!$B$19:$Y$19,'实盘净值数据(iFinD）'!$B892:$Y892/'实盘净值数据(iFinD）'!$B$20:$Y$20)*(1-实盘持仓初始配置!$Z$6)^(('实盘净值数据(iFinD）'!$A892-'实盘净值数据(iFinD）'!$A$7)/365))</f>
        <v/>
      </c>
      <c r="I892" s="16" t="str">
        <f t="shared" ref="I892:I955" si="86">IF(OR(H891="",H892=""),"",H892/H891-1)</f>
        <v/>
      </c>
      <c r="J892" s="16" t="str">
        <f>IF(H892="","",H892/MAX(H$5:H892)-1)</f>
        <v/>
      </c>
      <c r="K892" s="13" t="str">
        <f>IF(OR('实盘净值数据(iFinD）'!$A892="",'实盘净值数据(iFinD）'!$B892="",'实盘净值数据(iFinD）'!$Z892="",'实盘净值数据(iFinD）'!$AA892=""),"",分期持仓明细!$AB$23*(SUMPRODUCT(分期持仓明细!$B$23:$Y$23,'实盘净值数据(iFinD）'!$B892:$Y892/'实盘净值数据(iFinD）'!$B$65:$Y$65)+SUMPRODUCT(分期持仓明细!$AC$23:$AD$23,'实盘净值数据(iFinD）'!$Z892:$AA892/'实盘净值数据(iFinD）'!$Z$65:$AA$65))*(1-实盘持仓初始配置!$Z$7)^(('实盘净值数据(iFinD）'!$A892-'实盘净值数据(iFinD）'!$A$8)/365))</f>
        <v/>
      </c>
      <c r="L892" s="16" t="str">
        <f t="shared" ref="L892:L955" si="87">IF(OR(K891="",K892=""),"",K892/K891-1)</f>
        <v/>
      </c>
      <c r="M892" s="16" t="str">
        <f>IF(K892="","",K892/MAX(K$5:K892)-1)</f>
        <v/>
      </c>
      <c r="N892" s="13" t="str">
        <f>IF(OR('实盘净值数据(iFinD）'!$A892="",'实盘净值数据(iFinD）'!$B892="",'实盘净值数据(iFinD）'!$Z892="",'实盘净值数据(iFinD）'!$AA892=""),"",分期持仓明细!$AB$24*(SUMPRODUCT(分期持仓明细!$B$24:$Y$24,'实盘净值数据(iFinD）'!$B892:$Y892/'实盘净值数据(iFinD）'!$B$65:$Y$65)+SUMPRODUCT(分期持仓明细!$AC$24:$AD$24,'实盘净值数据(iFinD）'!$Z892:$AA892/'实盘净值数据(iFinD）'!$Z$65:$AA$65))*(1-实盘持仓初始配置!$Z$8)^(('实盘净值数据(iFinD）'!$A892-'实盘净值数据(iFinD）'!$A$5)/365))</f>
        <v/>
      </c>
      <c r="O892" s="16" t="str">
        <f t="shared" ref="O892:O955" si="88">IF(OR(N891="",N892=""),"",N892/N891-1)</f>
        <v/>
      </c>
      <c r="P892" s="16" t="str">
        <f>IF(N892="","",N892/MAX(N$5:N892)-1)</f>
        <v/>
      </c>
      <c r="Q892" s="13" t="str">
        <f>IF(OR('实盘净值数据(iFinD）'!$A892="",'实盘净值数据(iFinD）'!$B892="",'实盘净值数据(iFinD）'!$Z892="",'实盘净值数据(iFinD）'!$AA892=""),"",分期持仓明细!$AB$25*(SUMPRODUCT(分期持仓明细!$B$25:$Y$25,'实盘净值数据(iFinD）'!$B892:$Y892/'实盘净值数据(iFinD）'!$B$65:$Y$65)+SUMPRODUCT(分期持仓明细!$AC$25:$AD$25,'实盘净值数据(iFinD）'!$Z892:$AA892/'实盘净值数据(iFinD）'!$Z$65:$AA$65))*(1-实盘持仓初始配置!$Z$9)^(('实盘净值数据(iFinD）'!$A892-'实盘净值数据(iFinD）'!$A$8)/365))</f>
        <v/>
      </c>
      <c r="R892" s="16" t="str">
        <f t="shared" ref="R892:R955" si="89">IF(OR(Q891="",Q892=""),"",Q892/Q891-1)</f>
        <v/>
      </c>
      <c r="S892" s="16" t="str">
        <f>IF(Q892="","",Q892/MAX(Q$5:Q892)-1)</f>
        <v/>
      </c>
    </row>
    <row r="893" spans="1:19">
      <c r="A893" s="15" t="str">
        <f>IF('实盘净值数据(iFinD）'!A893="","",'实盘净值数据(iFinD）'!A893)</f>
        <v/>
      </c>
      <c r="B893" s="13" t="str">
        <f>IF(OR('实盘净值数据(iFinD）'!$A893="",'实盘净值数据(iFinD）'!$B893=""),"",分期持仓明细!$AB$17*SUMPRODUCT(分期持仓明细!$B$17:$Y$17,'实盘净值数据(iFinD）'!$B893:$Y893/'实盘净值数据(iFinD）'!$B$20:$Y$20)*(1-实盘持仓初始配置!$Z$4)^(('实盘净值数据(iFinD）'!$A893-'实盘净值数据(iFinD）'!$A$6)/365))</f>
        <v/>
      </c>
      <c r="C893" s="16" t="str">
        <f t="shared" si="84"/>
        <v/>
      </c>
      <c r="D893" s="16" t="str">
        <f>IF(B893="","",B893/MAX(B$5:B893)-1)</f>
        <v/>
      </c>
      <c r="E893" s="13" t="str">
        <f>IF(OR('实盘净值数据(iFinD）'!$A893="",'实盘净值数据(iFinD）'!$B893=""),"",分期持仓明细!$AB$18*SUMPRODUCT(分期持仓明细!$B$18:$Y$18,'实盘净值数据(iFinD）'!$B893:$Y893/'实盘净值数据(iFinD）'!$B$20:$Y$20)*(1-实盘持仓初始配置!$Z$5)^(('实盘净值数据(iFinD）'!$A893-'实盘净值数据(iFinD）'!$A$5)/365))</f>
        <v/>
      </c>
      <c r="F893" s="16" t="str">
        <f t="shared" si="85"/>
        <v/>
      </c>
      <c r="G893" s="16" t="str">
        <f>IF(E893="","",E893/MAX(E$5:E893)-1)</f>
        <v/>
      </c>
      <c r="H893" s="13" t="str">
        <f>IF(OR('实盘净值数据(iFinD）'!$A893="",'实盘净值数据(iFinD）'!$B893=""),"",分期持仓明细!$AB$19*SUMPRODUCT(分期持仓明细!$B$19:$Y$19,'实盘净值数据(iFinD）'!$B893:$Y893/'实盘净值数据(iFinD）'!$B$20:$Y$20)*(1-实盘持仓初始配置!$Z$6)^(('实盘净值数据(iFinD）'!$A893-'实盘净值数据(iFinD）'!$A$7)/365))</f>
        <v/>
      </c>
      <c r="I893" s="16" t="str">
        <f t="shared" si="86"/>
        <v/>
      </c>
      <c r="J893" s="16" t="str">
        <f>IF(H893="","",H893/MAX(H$5:H893)-1)</f>
        <v/>
      </c>
      <c r="K893" s="13" t="str">
        <f>IF(OR('实盘净值数据(iFinD）'!$A893="",'实盘净值数据(iFinD）'!$B893="",'实盘净值数据(iFinD）'!$Z893="",'实盘净值数据(iFinD）'!$AA893=""),"",分期持仓明细!$AB$23*(SUMPRODUCT(分期持仓明细!$B$23:$Y$23,'实盘净值数据(iFinD）'!$B893:$Y893/'实盘净值数据(iFinD）'!$B$65:$Y$65)+SUMPRODUCT(分期持仓明细!$AC$23:$AD$23,'实盘净值数据(iFinD）'!$Z893:$AA893/'实盘净值数据(iFinD）'!$Z$65:$AA$65))*(1-实盘持仓初始配置!$Z$7)^(('实盘净值数据(iFinD）'!$A893-'实盘净值数据(iFinD）'!$A$8)/365))</f>
        <v/>
      </c>
      <c r="L893" s="16" t="str">
        <f t="shared" si="87"/>
        <v/>
      </c>
      <c r="M893" s="16" t="str">
        <f>IF(K893="","",K893/MAX(K$5:K893)-1)</f>
        <v/>
      </c>
      <c r="N893" s="13" t="str">
        <f>IF(OR('实盘净值数据(iFinD）'!$A893="",'实盘净值数据(iFinD）'!$B893="",'实盘净值数据(iFinD）'!$Z893="",'实盘净值数据(iFinD）'!$AA893=""),"",分期持仓明细!$AB$24*(SUMPRODUCT(分期持仓明细!$B$24:$Y$24,'实盘净值数据(iFinD）'!$B893:$Y893/'实盘净值数据(iFinD）'!$B$65:$Y$65)+SUMPRODUCT(分期持仓明细!$AC$24:$AD$24,'实盘净值数据(iFinD）'!$Z893:$AA893/'实盘净值数据(iFinD）'!$Z$65:$AA$65))*(1-实盘持仓初始配置!$Z$8)^(('实盘净值数据(iFinD）'!$A893-'实盘净值数据(iFinD）'!$A$5)/365))</f>
        <v/>
      </c>
      <c r="O893" s="16" t="str">
        <f t="shared" si="88"/>
        <v/>
      </c>
      <c r="P893" s="16" t="str">
        <f>IF(N893="","",N893/MAX(N$5:N893)-1)</f>
        <v/>
      </c>
      <c r="Q893" s="13" t="str">
        <f>IF(OR('实盘净值数据(iFinD）'!$A893="",'实盘净值数据(iFinD）'!$B893="",'实盘净值数据(iFinD）'!$Z893="",'实盘净值数据(iFinD）'!$AA893=""),"",分期持仓明细!$AB$25*(SUMPRODUCT(分期持仓明细!$B$25:$Y$25,'实盘净值数据(iFinD）'!$B893:$Y893/'实盘净值数据(iFinD）'!$B$65:$Y$65)+SUMPRODUCT(分期持仓明细!$AC$25:$AD$25,'实盘净值数据(iFinD）'!$Z893:$AA893/'实盘净值数据(iFinD）'!$Z$65:$AA$65))*(1-实盘持仓初始配置!$Z$9)^(('实盘净值数据(iFinD）'!$A893-'实盘净值数据(iFinD）'!$A$8)/365))</f>
        <v/>
      </c>
      <c r="R893" s="16" t="str">
        <f t="shared" si="89"/>
        <v/>
      </c>
      <c r="S893" s="16" t="str">
        <f>IF(Q893="","",Q893/MAX(Q$5:Q893)-1)</f>
        <v/>
      </c>
    </row>
    <row r="894" spans="1:19">
      <c r="A894" s="15" t="str">
        <f>IF('实盘净值数据(iFinD）'!A894="","",'实盘净值数据(iFinD）'!A894)</f>
        <v/>
      </c>
      <c r="B894" s="13" t="str">
        <f>IF(OR('实盘净值数据(iFinD）'!$A894="",'实盘净值数据(iFinD）'!$B894=""),"",分期持仓明细!$AB$17*SUMPRODUCT(分期持仓明细!$B$17:$Y$17,'实盘净值数据(iFinD）'!$B894:$Y894/'实盘净值数据(iFinD）'!$B$20:$Y$20)*(1-实盘持仓初始配置!$Z$4)^(('实盘净值数据(iFinD）'!$A894-'实盘净值数据(iFinD）'!$A$6)/365))</f>
        <v/>
      </c>
      <c r="C894" s="16" t="str">
        <f t="shared" si="84"/>
        <v/>
      </c>
      <c r="D894" s="16" t="str">
        <f>IF(B894="","",B894/MAX(B$5:B894)-1)</f>
        <v/>
      </c>
      <c r="E894" s="13" t="str">
        <f>IF(OR('实盘净值数据(iFinD）'!$A894="",'实盘净值数据(iFinD）'!$B894=""),"",分期持仓明细!$AB$18*SUMPRODUCT(分期持仓明细!$B$18:$Y$18,'实盘净值数据(iFinD）'!$B894:$Y894/'实盘净值数据(iFinD）'!$B$20:$Y$20)*(1-实盘持仓初始配置!$Z$5)^(('实盘净值数据(iFinD）'!$A894-'实盘净值数据(iFinD）'!$A$5)/365))</f>
        <v/>
      </c>
      <c r="F894" s="16" t="str">
        <f t="shared" si="85"/>
        <v/>
      </c>
      <c r="G894" s="16" t="str">
        <f>IF(E894="","",E894/MAX(E$5:E894)-1)</f>
        <v/>
      </c>
      <c r="H894" s="13" t="str">
        <f>IF(OR('实盘净值数据(iFinD）'!$A894="",'实盘净值数据(iFinD）'!$B894=""),"",分期持仓明细!$AB$19*SUMPRODUCT(分期持仓明细!$B$19:$Y$19,'实盘净值数据(iFinD）'!$B894:$Y894/'实盘净值数据(iFinD）'!$B$20:$Y$20)*(1-实盘持仓初始配置!$Z$6)^(('实盘净值数据(iFinD）'!$A894-'实盘净值数据(iFinD）'!$A$7)/365))</f>
        <v/>
      </c>
      <c r="I894" s="16" t="str">
        <f t="shared" si="86"/>
        <v/>
      </c>
      <c r="J894" s="16" t="str">
        <f>IF(H894="","",H894/MAX(H$5:H894)-1)</f>
        <v/>
      </c>
      <c r="K894" s="13" t="str">
        <f>IF(OR('实盘净值数据(iFinD）'!$A894="",'实盘净值数据(iFinD）'!$B894="",'实盘净值数据(iFinD）'!$Z894="",'实盘净值数据(iFinD）'!$AA894=""),"",分期持仓明细!$AB$23*(SUMPRODUCT(分期持仓明细!$B$23:$Y$23,'实盘净值数据(iFinD）'!$B894:$Y894/'实盘净值数据(iFinD）'!$B$65:$Y$65)+SUMPRODUCT(分期持仓明细!$AC$23:$AD$23,'实盘净值数据(iFinD）'!$Z894:$AA894/'实盘净值数据(iFinD）'!$Z$65:$AA$65))*(1-实盘持仓初始配置!$Z$7)^(('实盘净值数据(iFinD）'!$A894-'实盘净值数据(iFinD）'!$A$8)/365))</f>
        <v/>
      </c>
      <c r="L894" s="16" t="str">
        <f t="shared" si="87"/>
        <v/>
      </c>
      <c r="M894" s="16" t="str">
        <f>IF(K894="","",K894/MAX(K$5:K894)-1)</f>
        <v/>
      </c>
      <c r="N894" s="13" t="str">
        <f>IF(OR('实盘净值数据(iFinD）'!$A894="",'实盘净值数据(iFinD）'!$B894="",'实盘净值数据(iFinD）'!$Z894="",'实盘净值数据(iFinD）'!$AA894=""),"",分期持仓明细!$AB$24*(SUMPRODUCT(分期持仓明细!$B$24:$Y$24,'实盘净值数据(iFinD）'!$B894:$Y894/'实盘净值数据(iFinD）'!$B$65:$Y$65)+SUMPRODUCT(分期持仓明细!$AC$24:$AD$24,'实盘净值数据(iFinD）'!$Z894:$AA894/'实盘净值数据(iFinD）'!$Z$65:$AA$65))*(1-实盘持仓初始配置!$Z$8)^(('实盘净值数据(iFinD）'!$A894-'实盘净值数据(iFinD）'!$A$5)/365))</f>
        <v/>
      </c>
      <c r="O894" s="16" t="str">
        <f t="shared" si="88"/>
        <v/>
      </c>
      <c r="P894" s="16" t="str">
        <f>IF(N894="","",N894/MAX(N$5:N894)-1)</f>
        <v/>
      </c>
      <c r="Q894" s="13" t="str">
        <f>IF(OR('实盘净值数据(iFinD）'!$A894="",'实盘净值数据(iFinD）'!$B894="",'实盘净值数据(iFinD）'!$Z894="",'实盘净值数据(iFinD）'!$AA894=""),"",分期持仓明细!$AB$25*(SUMPRODUCT(分期持仓明细!$B$25:$Y$25,'实盘净值数据(iFinD）'!$B894:$Y894/'实盘净值数据(iFinD）'!$B$65:$Y$65)+SUMPRODUCT(分期持仓明细!$AC$25:$AD$25,'实盘净值数据(iFinD）'!$Z894:$AA894/'实盘净值数据(iFinD）'!$Z$65:$AA$65))*(1-实盘持仓初始配置!$Z$9)^(('实盘净值数据(iFinD）'!$A894-'实盘净值数据(iFinD）'!$A$8)/365))</f>
        <v/>
      </c>
      <c r="R894" s="16" t="str">
        <f t="shared" si="89"/>
        <v/>
      </c>
      <c r="S894" s="16" t="str">
        <f>IF(Q894="","",Q894/MAX(Q$5:Q894)-1)</f>
        <v/>
      </c>
    </row>
    <row r="895" spans="1:19">
      <c r="A895" s="15" t="str">
        <f>IF('实盘净值数据(iFinD）'!A895="","",'实盘净值数据(iFinD）'!A895)</f>
        <v/>
      </c>
      <c r="B895" s="13" t="str">
        <f>IF(OR('实盘净值数据(iFinD）'!$A895="",'实盘净值数据(iFinD）'!$B895=""),"",分期持仓明细!$AB$17*SUMPRODUCT(分期持仓明细!$B$17:$Y$17,'实盘净值数据(iFinD）'!$B895:$Y895/'实盘净值数据(iFinD）'!$B$20:$Y$20)*(1-实盘持仓初始配置!$Z$4)^(('实盘净值数据(iFinD）'!$A895-'实盘净值数据(iFinD）'!$A$6)/365))</f>
        <v/>
      </c>
      <c r="C895" s="16" t="str">
        <f t="shared" si="84"/>
        <v/>
      </c>
      <c r="D895" s="16" t="str">
        <f>IF(B895="","",B895/MAX(B$5:B895)-1)</f>
        <v/>
      </c>
      <c r="E895" s="13" t="str">
        <f>IF(OR('实盘净值数据(iFinD）'!$A895="",'实盘净值数据(iFinD）'!$B895=""),"",分期持仓明细!$AB$18*SUMPRODUCT(分期持仓明细!$B$18:$Y$18,'实盘净值数据(iFinD）'!$B895:$Y895/'实盘净值数据(iFinD）'!$B$20:$Y$20)*(1-实盘持仓初始配置!$Z$5)^(('实盘净值数据(iFinD）'!$A895-'实盘净值数据(iFinD）'!$A$5)/365))</f>
        <v/>
      </c>
      <c r="F895" s="16" t="str">
        <f t="shared" si="85"/>
        <v/>
      </c>
      <c r="G895" s="16" t="str">
        <f>IF(E895="","",E895/MAX(E$5:E895)-1)</f>
        <v/>
      </c>
      <c r="H895" s="13" t="str">
        <f>IF(OR('实盘净值数据(iFinD）'!$A895="",'实盘净值数据(iFinD）'!$B895=""),"",分期持仓明细!$AB$19*SUMPRODUCT(分期持仓明细!$B$19:$Y$19,'实盘净值数据(iFinD）'!$B895:$Y895/'实盘净值数据(iFinD）'!$B$20:$Y$20)*(1-实盘持仓初始配置!$Z$6)^(('实盘净值数据(iFinD）'!$A895-'实盘净值数据(iFinD）'!$A$7)/365))</f>
        <v/>
      </c>
      <c r="I895" s="16" t="str">
        <f t="shared" si="86"/>
        <v/>
      </c>
      <c r="J895" s="16" t="str">
        <f>IF(H895="","",H895/MAX(H$5:H895)-1)</f>
        <v/>
      </c>
      <c r="K895" s="13" t="str">
        <f>IF(OR('实盘净值数据(iFinD）'!$A895="",'实盘净值数据(iFinD）'!$B895="",'实盘净值数据(iFinD）'!$Z895="",'实盘净值数据(iFinD）'!$AA895=""),"",分期持仓明细!$AB$23*(SUMPRODUCT(分期持仓明细!$B$23:$Y$23,'实盘净值数据(iFinD）'!$B895:$Y895/'实盘净值数据(iFinD）'!$B$65:$Y$65)+SUMPRODUCT(分期持仓明细!$AC$23:$AD$23,'实盘净值数据(iFinD）'!$Z895:$AA895/'实盘净值数据(iFinD）'!$Z$65:$AA$65))*(1-实盘持仓初始配置!$Z$7)^(('实盘净值数据(iFinD）'!$A895-'实盘净值数据(iFinD）'!$A$8)/365))</f>
        <v/>
      </c>
      <c r="L895" s="16" t="str">
        <f t="shared" si="87"/>
        <v/>
      </c>
      <c r="M895" s="16" t="str">
        <f>IF(K895="","",K895/MAX(K$5:K895)-1)</f>
        <v/>
      </c>
      <c r="N895" s="13" t="str">
        <f>IF(OR('实盘净值数据(iFinD）'!$A895="",'实盘净值数据(iFinD）'!$B895="",'实盘净值数据(iFinD）'!$Z895="",'实盘净值数据(iFinD）'!$AA895=""),"",分期持仓明细!$AB$24*(SUMPRODUCT(分期持仓明细!$B$24:$Y$24,'实盘净值数据(iFinD）'!$B895:$Y895/'实盘净值数据(iFinD）'!$B$65:$Y$65)+SUMPRODUCT(分期持仓明细!$AC$24:$AD$24,'实盘净值数据(iFinD）'!$Z895:$AA895/'实盘净值数据(iFinD）'!$Z$65:$AA$65))*(1-实盘持仓初始配置!$Z$8)^(('实盘净值数据(iFinD）'!$A895-'实盘净值数据(iFinD）'!$A$5)/365))</f>
        <v/>
      </c>
      <c r="O895" s="16" t="str">
        <f t="shared" si="88"/>
        <v/>
      </c>
      <c r="P895" s="16" t="str">
        <f>IF(N895="","",N895/MAX(N$5:N895)-1)</f>
        <v/>
      </c>
      <c r="Q895" s="13" t="str">
        <f>IF(OR('实盘净值数据(iFinD）'!$A895="",'实盘净值数据(iFinD）'!$B895="",'实盘净值数据(iFinD）'!$Z895="",'实盘净值数据(iFinD）'!$AA895=""),"",分期持仓明细!$AB$25*(SUMPRODUCT(分期持仓明细!$B$25:$Y$25,'实盘净值数据(iFinD）'!$B895:$Y895/'实盘净值数据(iFinD）'!$B$65:$Y$65)+SUMPRODUCT(分期持仓明细!$AC$25:$AD$25,'实盘净值数据(iFinD）'!$Z895:$AA895/'实盘净值数据(iFinD）'!$Z$65:$AA$65))*(1-实盘持仓初始配置!$Z$9)^(('实盘净值数据(iFinD）'!$A895-'实盘净值数据(iFinD）'!$A$8)/365))</f>
        <v/>
      </c>
      <c r="R895" s="16" t="str">
        <f t="shared" si="89"/>
        <v/>
      </c>
      <c r="S895" s="16" t="str">
        <f>IF(Q895="","",Q895/MAX(Q$5:Q895)-1)</f>
        <v/>
      </c>
    </row>
    <row r="896" spans="1:19">
      <c r="A896" s="15" t="str">
        <f>IF('实盘净值数据(iFinD）'!A896="","",'实盘净值数据(iFinD）'!A896)</f>
        <v/>
      </c>
      <c r="B896" s="13" t="str">
        <f>IF(OR('实盘净值数据(iFinD）'!$A896="",'实盘净值数据(iFinD）'!$B896=""),"",分期持仓明细!$AB$17*SUMPRODUCT(分期持仓明细!$B$17:$Y$17,'实盘净值数据(iFinD）'!$B896:$Y896/'实盘净值数据(iFinD）'!$B$20:$Y$20)*(1-实盘持仓初始配置!$Z$4)^(('实盘净值数据(iFinD）'!$A896-'实盘净值数据(iFinD）'!$A$6)/365))</f>
        <v/>
      </c>
      <c r="C896" s="16" t="str">
        <f t="shared" si="84"/>
        <v/>
      </c>
      <c r="D896" s="16" t="str">
        <f>IF(B896="","",B896/MAX(B$5:B896)-1)</f>
        <v/>
      </c>
      <c r="E896" s="13" t="str">
        <f>IF(OR('实盘净值数据(iFinD）'!$A896="",'实盘净值数据(iFinD）'!$B896=""),"",分期持仓明细!$AB$18*SUMPRODUCT(分期持仓明细!$B$18:$Y$18,'实盘净值数据(iFinD）'!$B896:$Y896/'实盘净值数据(iFinD）'!$B$20:$Y$20)*(1-实盘持仓初始配置!$Z$5)^(('实盘净值数据(iFinD）'!$A896-'实盘净值数据(iFinD）'!$A$5)/365))</f>
        <v/>
      </c>
      <c r="F896" s="16" t="str">
        <f t="shared" si="85"/>
        <v/>
      </c>
      <c r="G896" s="16" t="str">
        <f>IF(E896="","",E896/MAX(E$5:E896)-1)</f>
        <v/>
      </c>
      <c r="H896" s="13" t="str">
        <f>IF(OR('实盘净值数据(iFinD）'!$A896="",'实盘净值数据(iFinD）'!$B896=""),"",分期持仓明细!$AB$19*SUMPRODUCT(分期持仓明细!$B$19:$Y$19,'实盘净值数据(iFinD）'!$B896:$Y896/'实盘净值数据(iFinD）'!$B$20:$Y$20)*(1-实盘持仓初始配置!$Z$6)^(('实盘净值数据(iFinD）'!$A896-'实盘净值数据(iFinD）'!$A$7)/365))</f>
        <v/>
      </c>
      <c r="I896" s="16" t="str">
        <f t="shared" si="86"/>
        <v/>
      </c>
      <c r="J896" s="16" t="str">
        <f>IF(H896="","",H896/MAX(H$5:H896)-1)</f>
        <v/>
      </c>
      <c r="K896" s="13" t="str">
        <f>IF(OR('实盘净值数据(iFinD）'!$A896="",'实盘净值数据(iFinD）'!$B896="",'实盘净值数据(iFinD）'!$Z896="",'实盘净值数据(iFinD）'!$AA896=""),"",分期持仓明细!$AB$23*(SUMPRODUCT(分期持仓明细!$B$23:$Y$23,'实盘净值数据(iFinD）'!$B896:$Y896/'实盘净值数据(iFinD）'!$B$65:$Y$65)+SUMPRODUCT(分期持仓明细!$AC$23:$AD$23,'实盘净值数据(iFinD）'!$Z896:$AA896/'实盘净值数据(iFinD）'!$Z$65:$AA$65))*(1-实盘持仓初始配置!$Z$7)^(('实盘净值数据(iFinD）'!$A896-'实盘净值数据(iFinD）'!$A$8)/365))</f>
        <v/>
      </c>
      <c r="L896" s="16" t="str">
        <f t="shared" si="87"/>
        <v/>
      </c>
      <c r="M896" s="16" t="str">
        <f>IF(K896="","",K896/MAX(K$5:K896)-1)</f>
        <v/>
      </c>
      <c r="N896" s="13" t="str">
        <f>IF(OR('实盘净值数据(iFinD）'!$A896="",'实盘净值数据(iFinD）'!$B896="",'实盘净值数据(iFinD）'!$Z896="",'实盘净值数据(iFinD）'!$AA896=""),"",分期持仓明细!$AB$24*(SUMPRODUCT(分期持仓明细!$B$24:$Y$24,'实盘净值数据(iFinD）'!$B896:$Y896/'实盘净值数据(iFinD）'!$B$65:$Y$65)+SUMPRODUCT(分期持仓明细!$AC$24:$AD$24,'实盘净值数据(iFinD）'!$Z896:$AA896/'实盘净值数据(iFinD）'!$Z$65:$AA$65))*(1-实盘持仓初始配置!$Z$8)^(('实盘净值数据(iFinD）'!$A896-'实盘净值数据(iFinD）'!$A$5)/365))</f>
        <v/>
      </c>
      <c r="O896" s="16" t="str">
        <f t="shared" si="88"/>
        <v/>
      </c>
      <c r="P896" s="16" t="str">
        <f>IF(N896="","",N896/MAX(N$5:N896)-1)</f>
        <v/>
      </c>
      <c r="Q896" s="13" t="str">
        <f>IF(OR('实盘净值数据(iFinD）'!$A896="",'实盘净值数据(iFinD）'!$B896="",'实盘净值数据(iFinD）'!$Z896="",'实盘净值数据(iFinD）'!$AA896=""),"",分期持仓明细!$AB$25*(SUMPRODUCT(分期持仓明细!$B$25:$Y$25,'实盘净值数据(iFinD）'!$B896:$Y896/'实盘净值数据(iFinD）'!$B$65:$Y$65)+SUMPRODUCT(分期持仓明细!$AC$25:$AD$25,'实盘净值数据(iFinD）'!$Z896:$AA896/'实盘净值数据(iFinD）'!$Z$65:$AA$65))*(1-实盘持仓初始配置!$Z$9)^(('实盘净值数据(iFinD）'!$A896-'实盘净值数据(iFinD）'!$A$8)/365))</f>
        <v/>
      </c>
      <c r="R896" s="16" t="str">
        <f t="shared" si="89"/>
        <v/>
      </c>
      <c r="S896" s="16" t="str">
        <f>IF(Q896="","",Q896/MAX(Q$5:Q896)-1)</f>
        <v/>
      </c>
    </row>
    <row r="897" spans="1:19">
      <c r="A897" s="15" t="str">
        <f>IF('实盘净值数据(iFinD）'!A897="","",'实盘净值数据(iFinD）'!A897)</f>
        <v/>
      </c>
      <c r="B897" s="13" t="str">
        <f>IF(OR('实盘净值数据(iFinD）'!$A897="",'实盘净值数据(iFinD）'!$B897=""),"",分期持仓明细!$AB$17*SUMPRODUCT(分期持仓明细!$B$17:$Y$17,'实盘净值数据(iFinD）'!$B897:$Y897/'实盘净值数据(iFinD）'!$B$20:$Y$20)*(1-实盘持仓初始配置!$Z$4)^(('实盘净值数据(iFinD）'!$A897-'实盘净值数据(iFinD）'!$A$6)/365))</f>
        <v/>
      </c>
      <c r="C897" s="16" t="str">
        <f t="shared" si="84"/>
        <v/>
      </c>
      <c r="D897" s="16" t="str">
        <f>IF(B897="","",B897/MAX(B$5:B897)-1)</f>
        <v/>
      </c>
      <c r="E897" s="13" t="str">
        <f>IF(OR('实盘净值数据(iFinD）'!$A897="",'实盘净值数据(iFinD）'!$B897=""),"",分期持仓明细!$AB$18*SUMPRODUCT(分期持仓明细!$B$18:$Y$18,'实盘净值数据(iFinD）'!$B897:$Y897/'实盘净值数据(iFinD）'!$B$20:$Y$20)*(1-实盘持仓初始配置!$Z$5)^(('实盘净值数据(iFinD）'!$A897-'实盘净值数据(iFinD）'!$A$5)/365))</f>
        <v/>
      </c>
      <c r="F897" s="16" t="str">
        <f t="shared" si="85"/>
        <v/>
      </c>
      <c r="G897" s="16" t="str">
        <f>IF(E897="","",E897/MAX(E$5:E897)-1)</f>
        <v/>
      </c>
      <c r="H897" s="13" t="str">
        <f>IF(OR('实盘净值数据(iFinD）'!$A897="",'实盘净值数据(iFinD）'!$B897=""),"",分期持仓明细!$AB$19*SUMPRODUCT(分期持仓明细!$B$19:$Y$19,'实盘净值数据(iFinD）'!$B897:$Y897/'实盘净值数据(iFinD）'!$B$20:$Y$20)*(1-实盘持仓初始配置!$Z$6)^(('实盘净值数据(iFinD）'!$A897-'实盘净值数据(iFinD）'!$A$7)/365))</f>
        <v/>
      </c>
      <c r="I897" s="16" t="str">
        <f t="shared" si="86"/>
        <v/>
      </c>
      <c r="J897" s="16" t="str">
        <f>IF(H897="","",H897/MAX(H$5:H897)-1)</f>
        <v/>
      </c>
      <c r="K897" s="13" t="str">
        <f>IF(OR('实盘净值数据(iFinD）'!$A897="",'实盘净值数据(iFinD）'!$B897="",'实盘净值数据(iFinD）'!$Z897="",'实盘净值数据(iFinD）'!$AA897=""),"",分期持仓明细!$AB$23*(SUMPRODUCT(分期持仓明细!$B$23:$Y$23,'实盘净值数据(iFinD）'!$B897:$Y897/'实盘净值数据(iFinD）'!$B$65:$Y$65)+SUMPRODUCT(分期持仓明细!$AC$23:$AD$23,'实盘净值数据(iFinD）'!$Z897:$AA897/'实盘净值数据(iFinD）'!$Z$65:$AA$65))*(1-实盘持仓初始配置!$Z$7)^(('实盘净值数据(iFinD）'!$A897-'实盘净值数据(iFinD）'!$A$8)/365))</f>
        <v/>
      </c>
      <c r="L897" s="16" t="str">
        <f t="shared" si="87"/>
        <v/>
      </c>
      <c r="M897" s="16" t="str">
        <f>IF(K897="","",K897/MAX(K$5:K897)-1)</f>
        <v/>
      </c>
      <c r="N897" s="13" t="str">
        <f>IF(OR('实盘净值数据(iFinD）'!$A897="",'实盘净值数据(iFinD）'!$B897="",'实盘净值数据(iFinD）'!$Z897="",'实盘净值数据(iFinD）'!$AA897=""),"",分期持仓明细!$AB$24*(SUMPRODUCT(分期持仓明细!$B$24:$Y$24,'实盘净值数据(iFinD）'!$B897:$Y897/'实盘净值数据(iFinD）'!$B$65:$Y$65)+SUMPRODUCT(分期持仓明细!$AC$24:$AD$24,'实盘净值数据(iFinD）'!$Z897:$AA897/'实盘净值数据(iFinD）'!$Z$65:$AA$65))*(1-实盘持仓初始配置!$Z$8)^(('实盘净值数据(iFinD）'!$A897-'实盘净值数据(iFinD）'!$A$5)/365))</f>
        <v/>
      </c>
      <c r="O897" s="16" t="str">
        <f t="shared" si="88"/>
        <v/>
      </c>
      <c r="P897" s="16" t="str">
        <f>IF(N897="","",N897/MAX(N$5:N897)-1)</f>
        <v/>
      </c>
      <c r="Q897" s="13" t="str">
        <f>IF(OR('实盘净值数据(iFinD）'!$A897="",'实盘净值数据(iFinD）'!$B897="",'实盘净值数据(iFinD）'!$Z897="",'实盘净值数据(iFinD）'!$AA897=""),"",分期持仓明细!$AB$25*(SUMPRODUCT(分期持仓明细!$B$25:$Y$25,'实盘净值数据(iFinD）'!$B897:$Y897/'实盘净值数据(iFinD）'!$B$65:$Y$65)+SUMPRODUCT(分期持仓明细!$AC$25:$AD$25,'实盘净值数据(iFinD）'!$Z897:$AA897/'实盘净值数据(iFinD）'!$Z$65:$AA$65))*(1-实盘持仓初始配置!$Z$9)^(('实盘净值数据(iFinD）'!$A897-'实盘净值数据(iFinD）'!$A$8)/365))</f>
        <v/>
      </c>
      <c r="R897" s="16" t="str">
        <f t="shared" si="89"/>
        <v/>
      </c>
      <c r="S897" s="16" t="str">
        <f>IF(Q897="","",Q897/MAX(Q$5:Q897)-1)</f>
        <v/>
      </c>
    </row>
    <row r="898" spans="1:19">
      <c r="A898" s="15" t="str">
        <f>IF('实盘净值数据(iFinD）'!A898="","",'实盘净值数据(iFinD）'!A898)</f>
        <v/>
      </c>
      <c r="B898" s="13" t="str">
        <f>IF(OR('实盘净值数据(iFinD）'!$A898="",'实盘净值数据(iFinD）'!$B898=""),"",分期持仓明细!$AB$17*SUMPRODUCT(分期持仓明细!$B$17:$Y$17,'实盘净值数据(iFinD）'!$B898:$Y898/'实盘净值数据(iFinD）'!$B$20:$Y$20)*(1-实盘持仓初始配置!$Z$4)^(('实盘净值数据(iFinD）'!$A898-'实盘净值数据(iFinD）'!$A$6)/365))</f>
        <v/>
      </c>
      <c r="C898" s="16" t="str">
        <f t="shared" si="84"/>
        <v/>
      </c>
      <c r="D898" s="16" t="str">
        <f>IF(B898="","",B898/MAX(B$5:B898)-1)</f>
        <v/>
      </c>
      <c r="E898" s="13" t="str">
        <f>IF(OR('实盘净值数据(iFinD）'!$A898="",'实盘净值数据(iFinD）'!$B898=""),"",分期持仓明细!$AB$18*SUMPRODUCT(分期持仓明细!$B$18:$Y$18,'实盘净值数据(iFinD）'!$B898:$Y898/'实盘净值数据(iFinD）'!$B$20:$Y$20)*(1-实盘持仓初始配置!$Z$5)^(('实盘净值数据(iFinD）'!$A898-'实盘净值数据(iFinD）'!$A$5)/365))</f>
        <v/>
      </c>
      <c r="F898" s="16" t="str">
        <f t="shared" si="85"/>
        <v/>
      </c>
      <c r="G898" s="16" t="str">
        <f>IF(E898="","",E898/MAX(E$5:E898)-1)</f>
        <v/>
      </c>
      <c r="H898" s="13" t="str">
        <f>IF(OR('实盘净值数据(iFinD）'!$A898="",'实盘净值数据(iFinD）'!$B898=""),"",分期持仓明细!$AB$19*SUMPRODUCT(分期持仓明细!$B$19:$Y$19,'实盘净值数据(iFinD）'!$B898:$Y898/'实盘净值数据(iFinD）'!$B$20:$Y$20)*(1-实盘持仓初始配置!$Z$6)^(('实盘净值数据(iFinD）'!$A898-'实盘净值数据(iFinD）'!$A$7)/365))</f>
        <v/>
      </c>
      <c r="I898" s="16" t="str">
        <f t="shared" si="86"/>
        <v/>
      </c>
      <c r="J898" s="16" t="str">
        <f>IF(H898="","",H898/MAX(H$5:H898)-1)</f>
        <v/>
      </c>
      <c r="K898" s="13" t="str">
        <f>IF(OR('实盘净值数据(iFinD）'!$A898="",'实盘净值数据(iFinD）'!$B898="",'实盘净值数据(iFinD）'!$Z898="",'实盘净值数据(iFinD）'!$AA898=""),"",分期持仓明细!$AB$23*(SUMPRODUCT(分期持仓明细!$B$23:$Y$23,'实盘净值数据(iFinD）'!$B898:$Y898/'实盘净值数据(iFinD）'!$B$65:$Y$65)+SUMPRODUCT(分期持仓明细!$AC$23:$AD$23,'实盘净值数据(iFinD）'!$Z898:$AA898/'实盘净值数据(iFinD）'!$Z$65:$AA$65))*(1-实盘持仓初始配置!$Z$7)^(('实盘净值数据(iFinD）'!$A898-'实盘净值数据(iFinD）'!$A$8)/365))</f>
        <v/>
      </c>
      <c r="L898" s="16" t="str">
        <f t="shared" si="87"/>
        <v/>
      </c>
      <c r="M898" s="16" t="str">
        <f>IF(K898="","",K898/MAX(K$5:K898)-1)</f>
        <v/>
      </c>
      <c r="N898" s="13" t="str">
        <f>IF(OR('实盘净值数据(iFinD）'!$A898="",'实盘净值数据(iFinD）'!$B898="",'实盘净值数据(iFinD）'!$Z898="",'实盘净值数据(iFinD）'!$AA898=""),"",分期持仓明细!$AB$24*(SUMPRODUCT(分期持仓明细!$B$24:$Y$24,'实盘净值数据(iFinD）'!$B898:$Y898/'实盘净值数据(iFinD）'!$B$65:$Y$65)+SUMPRODUCT(分期持仓明细!$AC$24:$AD$24,'实盘净值数据(iFinD）'!$Z898:$AA898/'实盘净值数据(iFinD）'!$Z$65:$AA$65))*(1-实盘持仓初始配置!$Z$8)^(('实盘净值数据(iFinD）'!$A898-'实盘净值数据(iFinD）'!$A$5)/365))</f>
        <v/>
      </c>
      <c r="O898" s="16" t="str">
        <f t="shared" si="88"/>
        <v/>
      </c>
      <c r="P898" s="16" t="str">
        <f>IF(N898="","",N898/MAX(N$5:N898)-1)</f>
        <v/>
      </c>
      <c r="Q898" s="13" t="str">
        <f>IF(OR('实盘净值数据(iFinD）'!$A898="",'实盘净值数据(iFinD）'!$B898="",'实盘净值数据(iFinD）'!$Z898="",'实盘净值数据(iFinD）'!$AA898=""),"",分期持仓明细!$AB$25*(SUMPRODUCT(分期持仓明细!$B$25:$Y$25,'实盘净值数据(iFinD）'!$B898:$Y898/'实盘净值数据(iFinD）'!$B$65:$Y$65)+SUMPRODUCT(分期持仓明细!$AC$25:$AD$25,'实盘净值数据(iFinD）'!$Z898:$AA898/'实盘净值数据(iFinD）'!$Z$65:$AA$65))*(1-实盘持仓初始配置!$Z$9)^(('实盘净值数据(iFinD）'!$A898-'实盘净值数据(iFinD）'!$A$8)/365))</f>
        <v/>
      </c>
      <c r="R898" s="16" t="str">
        <f t="shared" si="89"/>
        <v/>
      </c>
      <c r="S898" s="16" t="str">
        <f>IF(Q898="","",Q898/MAX(Q$5:Q898)-1)</f>
        <v/>
      </c>
    </row>
    <row r="899" spans="1:19">
      <c r="A899" s="15" t="str">
        <f>IF('实盘净值数据(iFinD）'!A899="","",'实盘净值数据(iFinD）'!A899)</f>
        <v/>
      </c>
      <c r="B899" s="13" t="str">
        <f>IF(OR('实盘净值数据(iFinD）'!$A899="",'实盘净值数据(iFinD）'!$B899=""),"",分期持仓明细!$AB$17*SUMPRODUCT(分期持仓明细!$B$17:$Y$17,'实盘净值数据(iFinD）'!$B899:$Y899/'实盘净值数据(iFinD）'!$B$20:$Y$20)*(1-实盘持仓初始配置!$Z$4)^(('实盘净值数据(iFinD）'!$A899-'实盘净值数据(iFinD）'!$A$6)/365))</f>
        <v/>
      </c>
      <c r="C899" s="16" t="str">
        <f t="shared" si="84"/>
        <v/>
      </c>
      <c r="D899" s="16" t="str">
        <f>IF(B899="","",B899/MAX(B$5:B899)-1)</f>
        <v/>
      </c>
      <c r="E899" s="13" t="str">
        <f>IF(OR('实盘净值数据(iFinD）'!$A899="",'实盘净值数据(iFinD）'!$B899=""),"",分期持仓明细!$AB$18*SUMPRODUCT(分期持仓明细!$B$18:$Y$18,'实盘净值数据(iFinD）'!$B899:$Y899/'实盘净值数据(iFinD）'!$B$20:$Y$20)*(1-实盘持仓初始配置!$Z$5)^(('实盘净值数据(iFinD）'!$A899-'实盘净值数据(iFinD）'!$A$5)/365))</f>
        <v/>
      </c>
      <c r="F899" s="16" t="str">
        <f t="shared" si="85"/>
        <v/>
      </c>
      <c r="G899" s="16" t="str">
        <f>IF(E899="","",E899/MAX(E$5:E899)-1)</f>
        <v/>
      </c>
      <c r="H899" s="13" t="str">
        <f>IF(OR('实盘净值数据(iFinD）'!$A899="",'实盘净值数据(iFinD）'!$B899=""),"",分期持仓明细!$AB$19*SUMPRODUCT(分期持仓明细!$B$19:$Y$19,'实盘净值数据(iFinD）'!$B899:$Y899/'实盘净值数据(iFinD）'!$B$20:$Y$20)*(1-实盘持仓初始配置!$Z$6)^(('实盘净值数据(iFinD）'!$A899-'实盘净值数据(iFinD）'!$A$7)/365))</f>
        <v/>
      </c>
      <c r="I899" s="16" t="str">
        <f t="shared" si="86"/>
        <v/>
      </c>
      <c r="J899" s="16" t="str">
        <f>IF(H899="","",H899/MAX(H$5:H899)-1)</f>
        <v/>
      </c>
      <c r="K899" s="13" t="str">
        <f>IF(OR('实盘净值数据(iFinD）'!$A899="",'实盘净值数据(iFinD）'!$B899="",'实盘净值数据(iFinD）'!$Z899="",'实盘净值数据(iFinD）'!$AA899=""),"",分期持仓明细!$AB$23*(SUMPRODUCT(分期持仓明细!$B$23:$Y$23,'实盘净值数据(iFinD）'!$B899:$Y899/'实盘净值数据(iFinD）'!$B$65:$Y$65)+SUMPRODUCT(分期持仓明细!$AC$23:$AD$23,'实盘净值数据(iFinD）'!$Z899:$AA899/'实盘净值数据(iFinD）'!$Z$65:$AA$65))*(1-实盘持仓初始配置!$Z$7)^(('实盘净值数据(iFinD）'!$A899-'实盘净值数据(iFinD）'!$A$8)/365))</f>
        <v/>
      </c>
      <c r="L899" s="16" t="str">
        <f t="shared" si="87"/>
        <v/>
      </c>
      <c r="M899" s="16" t="str">
        <f>IF(K899="","",K899/MAX(K$5:K899)-1)</f>
        <v/>
      </c>
      <c r="N899" s="13" t="str">
        <f>IF(OR('实盘净值数据(iFinD）'!$A899="",'实盘净值数据(iFinD）'!$B899="",'实盘净值数据(iFinD）'!$Z899="",'实盘净值数据(iFinD）'!$AA899=""),"",分期持仓明细!$AB$24*(SUMPRODUCT(分期持仓明细!$B$24:$Y$24,'实盘净值数据(iFinD）'!$B899:$Y899/'实盘净值数据(iFinD）'!$B$65:$Y$65)+SUMPRODUCT(分期持仓明细!$AC$24:$AD$24,'实盘净值数据(iFinD）'!$Z899:$AA899/'实盘净值数据(iFinD）'!$Z$65:$AA$65))*(1-实盘持仓初始配置!$Z$8)^(('实盘净值数据(iFinD）'!$A899-'实盘净值数据(iFinD）'!$A$5)/365))</f>
        <v/>
      </c>
      <c r="O899" s="16" t="str">
        <f t="shared" si="88"/>
        <v/>
      </c>
      <c r="P899" s="16" t="str">
        <f>IF(N899="","",N899/MAX(N$5:N899)-1)</f>
        <v/>
      </c>
      <c r="Q899" s="13" t="str">
        <f>IF(OR('实盘净值数据(iFinD）'!$A899="",'实盘净值数据(iFinD）'!$B899="",'实盘净值数据(iFinD）'!$Z899="",'实盘净值数据(iFinD）'!$AA899=""),"",分期持仓明细!$AB$25*(SUMPRODUCT(分期持仓明细!$B$25:$Y$25,'实盘净值数据(iFinD）'!$B899:$Y899/'实盘净值数据(iFinD）'!$B$65:$Y$65)+SUMPRODUCT(分期持仓明细!$AC$25:$AD$25,'实盘净值数据(iFinD）'!$Z899:$AA899/'实盘净值数据(iFinD）'!$Z$65:$AA$65))*(1-实盘持仓初始配置!$Z$9)^(('实盘净值数据(iFinD）'!$A899-'实盘净值数据(iFinD）'!$A$8)/365))</f>
        <v/>
      </c>
      <c r="R899" s="16" t="str">
        <f t="shared" si="89"/>
        <v/>
      </c>
      <c r="S899" s="16" t="str">
        <f>IF(Q899="","",Q899/MAX(Q$5:Q899)-1)</f>
        <v/>
      </c>
    </row>
    <row r="900" spans="1:19">
      <c r="A900" s="15" t="str">
        <f>IF('实盘净值数据(iFinD）'!A900="","",'实盘净值数据(iFinD）'!A900)</f>
        <v/>
      </c>
      <c r="B900" s="13" t="str">
        <f>IF(OR('实盘净值数据(iFinD）'!$A900="",'实盘净值数据(iFinD）'!$B900=""),"",分期持仓明细!$AB$17*SUMPRODUCT(分期持仓明细!$B$17:$Y$17,'实盘净值数据(iFinD）'!$B900:$Y900/'实盘净值数据(iFinD）'!$B$20:$Y$20)*(1-实盘持仓初始配置!$Z$4)^(('实盘净值数据(iFinD）'!$A900-'实盘净值数据(iFinD）'!$A$6)/365))</f>
        <v/>
      </c>
      <c r="C900" s="16" t="str">
        <f t="shared" si="84"/>
        <v/>
      </c>
      <c r="D900" s="16" t="str">
        <f>IF(B900="","",B900/MAX(B$5:B900)-1)</f>
        <v/>
      </c>
      <c r="E900" s="13" t="str">
        <f>IF(OR('实盘净值数据(iFinD）'!$A900="",'实盘净值数据(iFinD）'!$B900=""),"",分期持仓明细!$AB$18*SUMPRODUCT(分期持仓明细!$B$18:$Y$18,'实盘净值数据(iFinD）'!$B900:$Y900/'实盘净值数据(iFinD）'!$B$20:$Y$20)*(1-实盘持仓初始配置!$Z$5)^(('实盘净值数据(iFinD）'!$A900-'实盘净值数据(iFinD）'!$A$5)/365))</f>
        <v/>
      </c>
      <c r="F900" s="16" t="str">
        <f t="shared" si="85"/>
        <v/>
      </c>
      <c r="G900" s="16" t="str">
        <f>IF(E900="","",E900/MAX(E$5:E900)-1)</f>
        <v/>
      </c>
      <c r="H900" s="13" t="str">
        <f>IF(OR('实盘净值数据(iFinD）'!$A900="",'实盘净值数据(iFinD）'!$B900=""),"",分期持仓明细!$AB$19*SUMPRODUCT(分期持仓明细!$B$19:$Y$19,'实盘净值数据(iFinD）'!$B900:$Y900/'实盘净值数据(iFinD）'!$B$20:$Y$20)*(1-实盘持仓初始配置!$Z$6)^(('实盘净值数据(iFinD）'!$A900-'实盘净值数据(iFinD）'!$A$7)/365))</f>
        <v/>
      </c>
      <c r="I900" s="16" t="str">
        <f t="shared" si="86"/>
        <v/>
      </c>
      <c r="J900" s="16" t="str">
        <f>IF(H900="","",H900/MAX(H$5:H900)-1)</f>
        <v/>
      </c>
      <c r="K900" s="13" t="str">
        <f>IF(OR('实盘净值数据(iFinD）'!$A900="",'实盘净值数据(iFinD）'!$B900="",'实盘净值数据(iFinD）'!$Z900="",'实盘净值数据(iFinD）'!$AA900=""),"",分期持仓明细!$AB$23*(SUMPRODUCT(分期持仓明细!$B$23:$Y$23,'实盘净值数据(iFinD）'!$B900:$Y900/'实盘净值数据(iFinD）'!$B$65:$Y$65)+SUMPRODUCT(分期持仓明细!$AC$23:$AD$23,'实盘净值数据(iFinD）'!$Z900:$AA900/'实盘净值数据(iFinD）'!$Z$65:$AA$65))*(1-实盘持仓初始配置!$Z$7)^(('实盘净值数据(iFinD）'!$A900-'实盘净值数据(iFinD）'!$A$8)/365))</f>
        <v/>
      </c>
      <c r="L900" s="16" t="str">
        <f t="shared" si="87"/>
        <v/>
      </c>
      <c r="M900" s="16" t="str">
        <f>IF(K900="","",K900/MAX(K$5:K900)-1)</f>
        <v/>
      </c>
      <c r="N900" s="13" t="str">
        <f>IF(OR('实盘净值数据(iFinD）'!$A900="",'实盘净值数据(iFinD）'!$B900="",'实盘净值数据(iFinD）'!$Z900="",'实盘净值数据(iFinD）'!$AA900=""),"",分期持仓明细!$AB$24*(SUMPRODUCT(分期持仓明细!$B$24:$Y$24,'实盘净值数据(iFinD）'!$B900:$Y900/'实盘净值数据(iFinD）'!$B$65:$Y$65)+SUMPRODUCT(分期持仓明细!$AC$24:$AD$24,'实盘净值数据(iFinD）'!$Z900:$AA900/'实盘净值数据(iFinD）'!$Z$65:$AA$65))*(1-实盘持仓初始配置!$Z$8)^(('实盘净值数据(iFinD）'!$A900-'实盘净值数据(iFinD）'!$A$5)/365))</f>
        <v/>
      </c>
      <c r="O900" s="16" t="str">
        <f t="shared" si="88"/>
        <v/>
      </c>
      <c r="P900" s="16" t="str">
        <f>IF(N900="","",N900/MAX(N$5:N900)-1)</f>
        <v/>
      </c>
      <c r="Q900" s="13" t="str">
        <f>IF(OR('实盘净值数据(iFinD）'!$A900="",'实盘净值数据(iFinD）'!$B900="",'实盘净值数据(iFinD）'!$Z900="",'实盘净值数据(iFinD）'!$AA900=""),"",分期持仓明细!$AB$25*(SUMPRODUCT(分期持仓明细!$B$25:$Y$25,'实盘净值数据(iFinD）'!$B900:$Y900/'实盘净值数据(iFinD）'!$B$65:$Y$65)+SUMPRODUCT(分期持仓明细!$AC$25:$AD$25,'实盘净值数据(iFinD）'!$Z900:$AA900/'实盘净值数据(iFinD）'!$Z$65:$AA$65))*(1-实盘持仓初始配置!$Z$9)^(('实盘净值数据(iFinD）'!$A900-'实盘净值数据(iFinD）'!$A$8)/365))</f>
        <v/>
      </c>
      <c r="R900" s="16" t="str">
        <f t="shared" si="89"/>
        <v/>
      </c>
      <c r="S900" s="16" t="str">
        <f>IF(Q900="","",Q900/MAX(Q$5:Q900)-1)</f>
        <v/>
      </c>
    </row>
    <row r="901" spans="1:19">
      <c r="A901" s="15" t="str">
        <f>IF('实盘净值数据(iFinD）'!A901="","",'实盘净值数据(iFinD）'!A901)</f>
        <v/>
      </c>
      <c r="B901" s="13" t="str">
        <f>IF(OR('实盘净值数据(iFinD）'!$A901="",'实盘净值数据(iFinD）'!$B901=""),"",分期持仓明细!$AB$17*SUMPRODUCT(分期持仓明细!$B$17:$Y$17,'实盘净值数据(iFinD）'!$B901:$Y901/'实盘净值数据(iFinD）'!$B$20:$Y$20)*(1-实盘持仓初始配置!$Z$4)^(('实盘净值数据(iFinD）'!$A901-'实盘净值数据(iFinD）'!$A$6)/365))</f>
        <v/>
      </c>
      <c r="C901" s="16" t="str">
        <f t="shared" si="84"/>
        <v/>
      </c>
      <c r="D901" s="16" t="str">
        <f>IF(B901="","",B901/MAX(B$5:B901)-1)</f>
        <v/>
      </c>
      <c r="E901" s="13" t="str">
        <f>IF(OR('实盘净值数据(iFinD）'!$A901="",'实盘净值数据(iFinD）'!$B901=""),"",分期持仓明细!$AB$18*SUMPRODUCT(分期持仓明细!$B$18:$Y$18,'实盘净值数据(iFinD）'!$B901:$Y901/'实盘净值数据(iFinD）'!$B$20:$Y$20)*(1-实盘持仓初始配置!$Z$5)^(('实盘净值数据(iFinD）'!$A901-'实盘净值数据(iFinD）'!$A$5)/365))</f>
        <v/>
      </c>
      <c r="F901" s="16" t="str">
        <f t="shared" si="85"/>
        <v/>
      </c>
      <c r="G901" s="16" t="str">
        <f>IF(E901="","",E901/MAX(E$5:E901)-1)</f>
        <v/>
      </c>
      <c r="H901" s="13" t="str">
        <f>IF(OR('实盘净值数据(iFinD）'!$A901="",'实盘净值数据(iFinD）'!$B901=""),"",分期持仓明细!$AB$19*SUMPRODUCT(分期持仓明细!$B$19:$Y$19,'实盘净值数据(iFinD）'!$B901:$Y901/'实盘净值数据(iFinD）'!$B$20:$Y$20)*(1-实盘持仓初始配置!$Z$6)^(('实盘净值数据(iFinD）'!$A901-'实盘净值数据(iFinD）'!$A$7)/365))</f>
        <v/>
      </c>
      <c r="I901" s="16" t="str">
        <f t="shared" si="86"/>
        <v/>
      </c>
      <c r="J901" s="16" t="str">
        <f>IF(H901="","",H901/MAX(H$5:H901)-1)</f>
        <v/>
      </c>
      <c r="K901" s="13" t="str">
        <f>IF(OR('实盘净值数据(iFinD）'!$A901="",'实盘净值数据(iFinD）'!$B901="",'实盘净值数据(iFinD）'!$Z901="",'实盘净值数据(iFinD）'!$AA901=""),"",分期持仓明细!$AB$23*(SUMPRODUCT(分期持仓明细!$B$23:$Y$23,'实盘净值数据(iFinD）'!$B901:$Y901/'实盘净值数据(iFinD）'!$B$65:$Y$65)+SUMPRODUCT(分期持仓明细!$AC$23:$AD$23,'实盘净值数据(iFinD）'!$Z901:$AA901/'实盘净值数据(iFinD）'!$Z$65:$AA$65))*(1-实盘持仓初始配置!$Z$7)^(('实盘净值数据(iFinD）'!$A901-'实盘净值数据(iFinD）'!$A$8)/365))</f>
        <v/>
      </c>
      <c r="L901" s="16" t="str">
        <f t="shared" si="87"/>
        <v/>
      </c>
      <c r="M901" s="16" t="str">
        <f>IF(K901="","",K901/MAX(K$5:K901)-1)</f>
        <v/>
      </c>
      <c r="N901" s="13" t="str">
        <f>IF(OR('实盘净值数据(iFinD）'!$A901="",'实盘净值数据(iFinD）'!$B901="",'实盘净值数据(iFinD）'!$Z901="",'实盘净值数据(iFinD）'!$AA901=""),"",分期持仓明细!$AB$24*(SUMPRODUCT(分期持仓明细!$B$24:$Y$24,'实盘净值数据(iFinD）'!$B901:$Y901/'实盘净值数据(iFinD）'!$B$65:$Y$65)+SUMPRODUCT(分期持仓明细!$AC$24:$AD$24,'实盘净值数据(iFinD）'!$Z901:$AA901/'实盘净值数据(iFinD）'!$Z$65:$AA$65))*(1-实盘持仓初始配置!$Z$8)^(('实盘净值数据(iFinD）'!$A901-'实盘净值数据(iFinD）'!$A$5)/365))</f>
        <v/>
      </c>
      <c r="O901" s="16" t="str">
        <f t="shared" si="88"/>
        <v/>
      </c>
      <c r="P901" s="16" t="str">
        <f>IF(N901="","",N901/MAX(N$5:N901)-1)</f>
        <v/>
      </c>
      <c r="Q901" s="13" t="str">
        <f>IF(OR('实盘净值数据(iFinD）'!$A901="",'实盘净值数据(iFinD）'!$B901="",'实盘净值数据(iFinD）'!$Z901="",'实盘净值数据(iFinD）'!$AA901=""),"",分期持仓明细!$AB$25*(SUMPRODUCT(分期持仓明细!$B$25:$Y$25,'实盘净值数据(iFinD）'!$B901:$Y901/'实盘净值数据(iFinD）'!$B$65:$Y$65)+SUMPRODUCT(分期持仓明细!$AC$25:$AD$25,'实盘净值数据(iFinD）'!$Z901:$AA901/'实盘净值数据(iFinD）'!$Z$65:$AA$65))*(1-实盘持仓初始配置!$Z$9)^(('实盘净值数据(iFinD）'!$A901-'实盘净值数据(iFinD）'!$A$8)/365))</f>
        <v/>
      </c>
      <c r="R901" s="16" t="str">
        <f t="shared" si="89"/>
        <v/>
      </c>
      <c r="S901" s="16" t="str">
        <f>IF(Q901="","",Q901/MAX(Q$5:Q901)-1)</f>
        <v/>
      </c>
    </row>
    <row r="902" spans="1:19">
      <c r="A902" s="15" t="str">
        <f>IF('实盘净值数据(iFinD）'!A902="","",'实盘净值数据(iFinD）'!A902)</f>
        <v/>
      </c>
      <c r="B902" s="13" t="str">
        <f>IF(OR('实盘净值数据(iFinD）'!$A902="",'实盘净值数据(iFinD）'!$B902=""),"",分期持仓明细!$AB$17*SUMPRODUCT(分期持仓明细!$B$17:$Y$17,'实盘净值数据(iFinD）'!$B902:$Y902/'实盘净值数据(iFinD）'!$B$20:$Y$20)*(1-实盘持仓初始配置!$Z$4)^(('实盘净值数据(iFinD）'!$A902-'实盘净值数据(iFinD）'!$A$6)/365))</f>
        <v/>
      </c>
      <c r="C902" s="16" t="str">
        <f t="shared" si="84"/>
        <v/>
      </c>
      <c r="D902" s="16" t="str">
        <f>IF(B902="","",B902/MAX(B$5:B902)-1)</f>
        <v/>
      </c>
      <c r="E902" s="13" t="str">
        <f>IF(OR('实盘净值数据(iFinD）'!$A902="",'实盘净值数据(iFinD）'!$B902=""),"",分期持仓明细!$AB$18*SUMPRODUCT(分期持仓明细!$B$18:$Y$18,'实盘净值数据(iFinD）'!$B902:$Y902/'实盘净值数据(iFinD）'!$B$20:$Y$20)*(1-实盘持仓初始配置!$Z$5)^(('实盘净值数据(iFinD）'!$A902-'实盘净值数据(iFinD）'!$A$5)/365))</f>
        <v/>
      </c>
      <c r="F902" s="16" t="str">
        <f t="shared" si="85"/>
        <v/>
      </c>
      <c r="G902" s="16" t="str">
        <f>IF(E902="","",E902/MAX(E$5:E902)-1)</f>
        <v/>
      </c>
      <c r="H902" s="13" t="str">
        <f>IF(OR('实盘净值数据(iFinD）'!$A902="",'实盘净值数据(iFinD）'!$B902=""),"",分期持仓明细!$AB$19*SUMPRODUCT(分期持仓明细!$B$19:$Y$19,'实盘净值数据(iFinD）'!$B902:$Y902/'实盘净值数据(iFinD）'!$B$20:$Y$20)*(1-实盘持仓初始配置!$Z$6)^(('实盘净值数据(iFinD）'!$A902-'实盘净值数据(iFinD）'!$A$7)/365))</f>
        <v/>
      </c>
      <c r="I902" s="16" t="str">
        <f t="shared" si="86"/>
        <v/>
      </c>
      <c r="J902" s="16" t="str">
        <f>IF(H902="","",H902/MAX(H$5:H902)-1)</f>
        <v/>
      </c>
      <c r="K902" s="13" t="str">
        <f>IF(OR('实盘净值数据(iFinD）'!$A902="",'实盘净值数据(iFinD）'!$B902="",'实盘净值数据(iFinD）'!$Z902="",'实盘净值数据(iFinD）'!$AA902=""),"",分期持仓明细!$AB$23*(SUMPRODUCT(分期持仓明细!$B$23:$Y$23,'实盘净值数据(iFinD）'!$B902:$Y902/'实盘净值数据(iFinD）'!$B$65:$Y$65)+SUMPRODUCT(分期持仓明细!$AC$23:$AD$23,'实盘净值数据(iFinD）'!$Z902:$AA902/'实盘净值数据(iFinD）'!$Z$65:$AA$65))*(1-实盘持仓初始配置!$Z$7)^(('实盘净值数据(iFinD）'!$A902-'实盘净值数据(iFinD）'!$A$8)/365))</f>
        <v/>
      </c>
      <c r="L902" s="16" t="str">
        <f t="shared" si="87"/>
        <v/>
      </c>
      <c r="M902" s="16" t="str">
        <f>IF(K902="","",K902/MAX(K$5:K902)-1)</f>
        <v/>
      </c>
      <c r="N902" s="13" t="str">
        <f>IF(OR('实盘净值数据(iFinD）'!$A902="",'实盘净值数据(iFinD）'!$B902="",'实盘净值数据(iFinD）'!$Z902="",'实盘净值数据(iFinD）'!$AA902=""),"",分期持仓明细!$AB$24*(SUMPRODUCT(分期持仓明细!$B$24:$Y$24,'实盘净值数据(iFinD）'!$B902:$Y902/'实盘净值数据(iFinD）'!$B$65:$Y$65)+SUMPRODUCT(分期持仓明细!$AC$24:$AD$24,'实盘净值数据(iFinD）'!$Z902:$AA902/'实盘净值数据(iFinD）'!$Z$65:$AA$65))*(1-实盘持仓初始配置!$Z$8)^(('实盘净值数据(iFinD）'!$A902-'实盘净值数据(iFinD）'!$A$5)/365))</f>
        <v/>
      </c>
      <c r="O902" s="16" t="str">
        <f t="shared" si="88"/>
        <v/>
      </c>
      <c r="P902" s="16" t="str">
        <f>IF(N902="","",N902/MAX(N$5:N902)-1)</f>
        <v/>
      </c>
      <c r="Q902" s="13" t="str">
        <f>IF(OR('实盘净值数据(iFinD）'!$A902="",'实盘净值数据(iFinD）'!$B902="",'实盘净值数据(iFinD）'!$Z902="",'实盘净值数据(iFinD）'!$AA902=""),"",分期持仓明细!$AB$25*(SUMPRODUCT(分期持仓明细!$B$25:$Y$25,'实盘净值数据(iFinD）'!$B902:$Y902/'实盘净值数据(iFinD）'!$B$65:$Y$65)+SUMPRODUCT(分期持仓明细!$AC$25:$AD$25,'实盘净值数据(iFinD）'!$Z902:$AA902/'实盘净值数据(iFinD）'!$Z$65:$AA$65))*(1-实盘持仓初始配置!$Z$9)^(('实盘净值数据(iFinD）'!$A902-'实盘净值数据(iFinD）'!$A$8)/365))</f>
        <v/>
      </c>
      <c r="R902" s="16" t="str">
        <f t="shared" si="89"/>
        <v/>
      </c>
      <c r="S902" s="16" t="str">
        <f>IF(Q902="","",Q902/MAX(Q$5:Q902)-1)</f>
        <v/>
      </c>
    </row>
    <row r="903" spans="1:19">
      <c r="A903" s="15" t="str">
        <f>IF('实盘净值数据(iFinD）'!A903="","",'实盘净值数据(iFinD）'!A903)</f>
        <v/>
      </c>
      <c r="B903" s="13" t="str">
        <f>IF(OR('实盘净值数据(iFinD）'!$A903="",'实盘净值数据(iFinD）'!$B903=""),"",分期持仓明细!$AB$17*SUMPRODUCT(分期持仓明细!$B$17:$Y$17,'实盘净值数据(iFinD）'!$B903:$Y903/'实盘净值数据(iFinD）'!$B$20:$Y$20)*(1-实盘持仓初始配置!$Z$4)^(('实盘净值数据(iFinD）'!$A903-'实盘净值数据(iFinD）'!$A$6)/365))</f>
        <v/>
      </c>
      <c r="C903" s="16" t="str">
        <f t="shared" si="84"/>
        <v/>
      </c>
      <c r="D903" s="16" t="str">
        <f>IF(B903="","",B903/MAX(B$5:B903)-1)</f>
        <v/>
      </c>
      <c r="E903" s="13" t="str">
        <f>IF(OR('实盘净值数据(iFinD）'!$A903="",'实盘净值数据(iFinD）'!$B903=""),"",分期持仓明细!$AB$18*SUMPRODUCT(分期持仓明细!$B$18:$Y$18,'实盘净值数据(iFinD）'!$B903:$Y903/'实盘净值数据(iFinD）'!$B$20:$Y$20)*(1-实盘持仓初始配置!$Z$5)^(('实盘净值数据(iFinD）'!$A903-'实盘净值数据(iFinD）'!$A$5)/365))</f>
        <v/>
      </c>
      <c r="F903" s="16" t="str">
        <f t="shared" si="85"/>
        <v/>
      </c>
      <c r="G903" s="16" t="str">
        <f>IF(E903="","",E903/MAX(E$5:E903)-1)</f>
        <v/>
      </c>
      <c r="H903" s="13" t="str">
        <f>IF(OR('实盘净值数据(iFinD）'!$A903="",'实盘净值数据(iFinD）'!$B903=""),"",分期持仓明细!$AB$19*SUMPRODUCT(分期持仓明细!$B$19:$Y$19,'实盘净值数据(iFinD）'!$B903:$Y903/'实盘净值数据(iFinD）'!$B$20:$Y$20)*(1-实盘持仓初始配置!$Z$6)^(('实盘净值数据(iFinD）'!$A903-'实盘净值数据(iFinD）'!$A$7)/365))</f>
        <v/>
      </c>
      <c r="I903" s="16" t="str">
        <f t="shared" si="86"/>
        <v/>
      </c>
      <c r="J903" s="16" t="str">
        <f>IF(H903="","",H903/MAX(H$5:H903)-1)</f>
        <v/>
      </c>
      <c r="K903" s="13" t="str">
        <f>IF(OR('实盘净值数据(iFinD）'!$A903="",'实盘净值数据(iFinD）'!$B903="",'实盘净值数据(iFinD）'!$Z903="",'实盘净值数据(iFinD）'!$AA903=""),"",分期持仓明细!$AB$23*(SUMPRODUCT(分期持仓明细!$B$23:$Y$23,'实盘净值数据(iFinD）'!$B903:$Y903/'实盘净值数据(iFinD）'!$B$65:$Y$65)+SUMPRODUCT(分期持仓明细!$AC$23:$AD$23,'实盘净值数据(iFinD）'!$Z903:$AA903/'实盘净值数据(iFinD）'!$Z$65:$AA$65))*(1-实盘持仓初始配置!$Z$7)^(('实盘净值数据(iFinD）'!$A903-'实盘净值数据(iFinD）'!$A$8)/365))</f>
        <v/>
      </c>
      <c r="L903" s="16" t="str">
        <f t="shared" si="87"/>
        <v/>
      </c>
      <c r="M903" s="16" t="str">
        <f>IF(K903="","",K903/MAX(K$5:K903)-1)</f>
        <v/>
      </c>
      <c r="N903" s="13" t="str">
        <f>IF(OR('实盘净值数据(iFinD）'!$A903="",'实盘净值数据(iFinD）'!$B903="",'实盘净值数据(iFinD）'!$Z903="",'实盘净值数据(iFinD）'!$AA903=""),"",分期持仓明细!$AB$24*(SUMPRODUCT(分期持仓明细!$B$24:$Y$24,'实盘净值数据(iFinD）'!$B903:$Y903/'实盘净值数据(iFinD）'!$B$65:$Y$65)+SUMPRODUCT(分期持仓明细!$AC$24:$AD$24,'实盘净值数据(iFinD）'!$Z903:$AA903/'实盘净值数据(iFinD）'!$Z$65:$AA$65))*(1-实盘持仓初始配置!$Z$8)^(('实盘净值数据(iFinD）'!$A903-'实盘净值数据(iFinD）'!$A$5)/365))</f>
        <v/>
      </c>
      <c r="O903" s="16" t="str">
        <f t="shared" si="88"/>
        <v/>
      </c>
      <c r="P903" s="16" t="str">
        <f>IF(N903="","",N903/MAX(N$5:N903)-1)</f>
        <v/>
      </c>
      <c r="Q903" s="13" t="str">
        <f>IF(OR('实盘净值数据(iFinD）'!$A903="",'实盘净值数据(iFinD）'!$B903="",'实盘净值数据(iFinD）'!$Z903="",'实盘净值数据(iFinD）'!$AA903=""),"",分期持仓明细!$AB$25*(SUMPRODUCT(分期持仓明细!$B$25:$Y$25,'实盘净值数据(iFinD）'!$B903:$Y903/'实盘净值数据(iFinD）'!$B$65:$Y$65)+SUMPRODUCT(分期持仓明细!$AC$25:$AD$25,'实盘净值数据(iFinD）'!$Z903:$AA903/'实盘净值数据(iFinD）'!$Z$65:$AA$65))*(1-实盘持仓初始配置!$Z$9)^(('实盘净值数据(iFinD）'!$A903-'实盘净值数据(iFinD）'!$A$8)/365))</f>
        <v/>
      </c>
      <c r="R903" s="16" t="str">
        <f t="shared" si="89"/>
        <v/>
      </c>
      <c r="S903" s="16" t="str">
        <f>IF(Q903="","",Q903/MAX(Q$5:Q903)-1)</f>
        <v/>
      </c>
    </row>
    <row r="904" spans="1:19">
      <c r="A904" s="15" t="str">
        <f>IF('实盘净值数据(iFinD）'!A904="","",'实盘净值数据(iFinD）'!A904)</f>
        <v/>
      </c>
      <c r="B904" s="13" t="str">
        <f>IF(OR('实盘净值数据(iFinD）'!$A904="",'实盘净值数据(iFinD）'!$B904=""),"",分期持仓明细!$AB$17*SUMPRODUCT(分期持仓明细!$B$17:$Y$17,'实盘净值数据(iFinD）'!$B904:$Y904/'实盘净值数据(iFinD）'!$B$20:$Y$20)*(1-实盘持仓初始配置!$Z$4)^(('实盘净值数据(iFinD）'!$A904-'实盘净值数据(iFinD）'!$A$6)/365))</f>
        <v/>
      </c>
      <c r="C904" s="16" t="str">
        <f t="shared" si="84"/>
        <v/>
      </c>
      <c r="D904" s="16" t="str">
        <f>IF(B904="","",B904/MAX(B$5:B904)-1)</f>
        <v/>
      </c>
      <c r="E904" s="13" t="str">
        <f>IF(OR('实盘净值数据(iFinD）'!$A904="",'实盘净值数据(iFinD）'!$B904=""),"",分期持仓明细!$AB$18*SUMPRODUCT(分期持仓明细!$B$18:$Y$18,'实盘净值数据(iFinD）'!$B904:$Y904/'实盘净值数据(iFinD）'!$B$20:$Y$20)*(1-实盘持仓初始配置!$Z$5)^(('实盘净值数据(iFinD）'!$A904-'实盘净值数据(iFinD）'!$A$5)/365))</f>
        <v/>
      </c>
      <c r="F904" s="16" t="str">
        <f t="shared" si="85"/>
        <v/>
      </c>
      <c r="G904" s="16" t="str">
        <f>IF(E904="","",E904/MAX(E$5:E904)-1)</f>
        <v/>
      </c>
      <c r="H904" s="13" t="str">
        <f>IF(OR('实盘净值数据(iFinD）'!$A904="",'实盘净值数据(iFinD）'!$B904=""),"",分期持仓明细!$AB$19*SUMPRODUCT(分期持仓明细!$B$19:$Y$19,'实盘净值数据(iFinD）'!$B904:$Y904/'实盘净值数据(iFinD）'!$B$20:$Y$20)*(1-实盘持仓初始配置!$Z$6)^(('实盘净值数据(iFinD）'!$A904-'实盘净值数据(iFinD）'!$A$7)/365))</f>
        <v/>
      </c>
      <c r="I904" s="16" t="str">
        <f t="shared" si="86"/>
        <v/>
      </c>
      <c r="J904" s="16" t="str">
        <f>IF(H904="","",H904/MAX(H$5:H904)-1)</f>
        <v/>
      </c>
      <c r="K904" s="13" t="str">
        <f>IF(OR('实盘净值数据(iFinD）'!$A904="",'实盘净值数据(iFinD）'!$B904="",'实盘净值数据(iFinD）'!$Z904="",'实盘净值数据(iFinD）'!$AA904=""),"",分期持仓明细!$AB$23*(SUMPRODUCT(分期持仓明细!$B$23:$Y$23,'实盘净值数据(iFinD）'!$B904:$Y904/'实盘净值数据(iFinD）'!$B$65:$Y$65)+SUMPRODUCT(分期持仓明细!$AC$23:$AD$23,'实盘净值数据(iFinD）'!$Z904:$AA904/'实盘净值数据(iFinD）'!$Z$65:$AA$65))*(1-实盘持仓初始配置!$Z$7)^(('实盘净值数据(iFinD）'!$A904-'实盘净值数据(iFinD）'!$A$8)/365))</f>
        <v/>
      </c>
      <c r="L904" s="16" t="str">
        <f t="shared" si="87"/>
        <v/>
      </c>
      <c r="M904" s="16" t="str">
        <f>IF(K904="","",K904/MAX(K$5:K904)-1)</f>
        <v/>
      </c>
      <c r="N904" s="13" t="str">
        <f>IF(OR('实盘净值数据(iFinD）'!$A904="",'实盘净值数据(iFinD）'!$B904="",'实盘净值数据(iFinD）'!$Z904="",'实盘净值数据(iFinD）'!$AA904=""),"",分期持仓明细!$AB$24*(SUMPRODUCT(分期持仓明细!$B$24:$Y$24,'实盘净值数据(iFinD）'!$B904:$Y904/'实盘净值数据(iFinD）'!$B$65:$Y$65)+SUMPRODUCT(分期持仓明细!$AC$24:$AD$24,'实盘净值数据(iFinD）'!$Z904:$AA904/'实盘净值数据(iFinD）'!$Z$65:$AA$65))*(1-实盘持仓初始配置!$Z$8)^(('实盘净值数据(iFinD）'!$A904-'实盘净值数据(iFinD）'!$A$5)/365))</f>
        <v/>
      </c>
      <c r="O904" s="16" t="str">
        <f t="shared" si="88"/>
        <v/>
      </c>
      <c r="P904" s="16" t="str">
        <f>IF(N904="","",N904/MAX(N$5:N904)-1)</f>
        <v/>
      </c>
      <c r="Q904" s="13" t="str">
        <f>IF(OR('实盘净值数据(iFinD）'!$A904="",'实盘净值数据(iFinD）'!$B904="",'实盘净值数据(iFinD）'!$Z904="",'实盘净值数据(iFinD）'!$AA904=""),"",分期持仓明细!$AB$25*(SUMPRODUCT(分期持仓明细!$B$25:$Y$25,'实盘净值数据(iFinD）'!$B904:$Y904/'实盘净值数据(iFinD）'!$B$65:$Y$65)+SUMPRODUCT(分期持仓明细!$AC$25:$AD$25,'实盘净值数据(iFinD）'!$Z904:$AA904/'实盘净值数据(iFinD）'!$Z$65:$AA$65))*(1-实盘持仓初始配置!$Z$9)^(('实盘净值数据(iFinD）'!$A904-'实盘净值数据(iFinD）'!$A$8)/365))</f>
        <v/>
      </c>
      <c r="R904" s="16" t="str">
        <f t="shared" si="89"/>
        <v/>
      </c>
      <c r="S904" s="16" t="str">
        <f>IF(Q904="","",Q904/MAX(Q$5:Q904)-1)</f>
        <v/>
      </c>
    </row>
    <row r="905" spans="1:19">
      <c r="A905" s="15" t="str">
        <f>IF('实盘净值数据(iFinD）'!A905="","",'实盘净值数据(iFinD）'!A905)</f>
        <v/>
      </c>
      <c r="B905" s="13" t="str">
        <f>IF(OR('实盘净值数据(iFinD）'!$A905="",'实盘净值数据(iFinD）'!$B905=""),"",分期持仓明细!$AB$17*SUMPRODUCT(分期持仓明细!$B$17:$Y$17,'实盘净值数据(iFinD）'!$B905:$Y905/'实盘净值数据(iFinD）'!$B$20:$Y$20)*(1-实盘持仓初始配置!$Z$4)^(('实盘净值数据(iFinD）'!$A905-'实盘净值数据(iFinD）'!$A$6)/365))</f>
        <v/>
      </c>
      <c r="C905" s="16" t="str">
        <f t="shared" si="84"/>
        <v/>
      </c>
      <c r="D905" s="16" t="str">
        <f>IF(B905="","",B905/MAX(B$5:B905)-1)</f>
        <v/>
      </c>
      <c r="E905" s="13" t="str">
        <f>IF(OR('实盘净值数据(iFinD）'!$A905="",'实盘净值数据(iFinD）'!$B905=""),"",分期持仓明细!$AB$18*SUMPRODUCT(分期持仓明细!$B$18:$Y$18,'实盘净值数据(iFinD）'!$B905:$Y905/'实盘净值数据(iFinD）'!$B$20:$Y$20)*(1-实盘持仓初始配置!$Z$5)^(('实盘净值数据(iFinD）'!$A905-'实盘净值数据(iFinD）'!$A$5)/365))</f>
        <v/>
      </c>
      <c r="F905" s="16" t="str">
        <f t="shared" si="85"/>
        <v/>
      </c>
      <c r="G905" s="16" t="str">
        <f>IF(E905="","",E905/MAX(E$5:E905)-1)</f>
        <v/>
      </c>
      <c r="H905" s="13" t="str">
        <f>IF(OR('实盘净值数据(iFinD）'!$A905="",'实盘净值数据(iFinD）'!$B905=""),"",分期持仓明细!$AB$19*SUMPRODUCT(分期持仓明细!$B$19:$Y$19,'实盘净值数据(iFinD）'!$B905:$Y905/'实盘净值数据(iFinD）'!$B$20:$Y$20)*(1-实盘持仓初始配置!$Z$6)^(('实盘净值数据(iFinD）'!$A905-'实盘净值数据(iFinD）'!$A$7)/365))</f>
        <v/>
      </c>
      <c r="I905" s="16" t="str">
        <f t="shared" si="86"/>
        <v/>
      </c>
      <c r="J905" s="16" t="str">
        <f>IF(H905="","",H905/MAX(H$5:H905)-1)</f>
        <v/>
      </c>
      <c r="K905" s="13" t="str">
        <f>IF(OR('实盘净值数据(iFinD）'!$A905="",'实盘净值数据(iFinD）'!$B905="",'实盘净值数据(iFinD）'!$Z905="",'实盘净值数据(iFinD）'!$AA905=""),"",分期持仓明细!$AB$23*(SUMPRODUCT(分期持仓明细!$B$23:$Y$23,'实盘净值数据(iFinD）'!$B905:$Y905/'实盘净值数据(iFinD）'!$B$65:$Y$65)+SUMPRODUCT(分期持仓明细!$AC$23:$AD$23,'实盘净值数据(iFinD）'!$Z905:$AA905/'实盘净值数据(iFinD）'!$Z$65:$AA$65))*(1-实盘持仓初始配置!$Z$7)^(('实盘净值数据(iFinD）'!$A905-'实盘净值数据(iFinD）'!$A$8)/365))</f>
        <v/>
      </c>
      <c r="L905" s="16" t="str">
        <f t="shared" si="87"/>
        <v/>
      </c>
      <c r="M905" s="16" t="str">
        <f>IF(K905="","",K905/MAX(K$5:K905)-1)</f>
        <v/>
      </c>
      <c r="N905" s="13" t="str">
        <f>IF(OR('实盘净值数据(iFinD）'!$A905="",'实盘净值数据(iFinD）'!$B905="",'实盘净值数据(iFinD）'!$Z905="",'实盘净值数据(iFinD）'!$AA905=""),"",分期持仓明细!$AB$24*(SUMPRODUCT(分期持仓明细!$B$24:$Y$24,'实盘净值数据(iFinD）'!$B905:$Y905/'实盘净值数据(iFinD）'!$B$65:$Y$65)+SUMPRODUCT(分期持仓明细!$AC$24:$AD$24,'实盘净值数据(iFinD）'!$Z905:$AA905/'实盘净值数据(iFinD）'!$Z$65:$AA$65))*(1-实盘持仓初始配置!$Z$8)^(('实盘净值数据(iFinD）'!$A905-'实盘净值数据(iFinD）'!$A$5)/365))</f>
        <v/>
      </c>
      <c r="O905" s="16" t="str">
        <f t="shared" si="88"/>
        <v/>
      </c>
      <c r="P905" s="16" t="str">
        <f>IF(N905="","",N905/MAX(N$5:N905)-1)</f>
        <v/>
      </c>
      <c r="Q905" s="13" t="str">
        <f>IF(OR('实盘净值数据(iFinD）'!$A905="",'实盘净值数据(iFinD）'!$B905="",'实盘净值数据(iFinD）'!$Z905="",'实盘净值数据(iFinD）'!$AA905=""),"",分期持仓明细!$AB$25*(SUMPRODUCT(分期持仓明细!$B$25:$Y$25,'实盘净值数据(iFinD）'!$B905:$Y905/'实盘净值数据(iFinD）'!$B$65:$Y$65)+SUMPRODUCT(分期持仓明细!$AC$25:$AD$25,'实盘净值数据(iFinD）'!$Z905:$AA905/'实盘净值数据(iFinD）'!$Z$65:$AA$65))*(1-实盘持仓初始配置!$Z$9)^(('实盘净值数据(iFinD）'!$A905-'实盘净值数据(iFinD）'!$A$8)/365))</f>
        <v/>
      </c>
      <c r="R905" s="16" t="str">
        <f t="shared" si="89"/>
        <v/>
      </c>
      <c r="S905" s="16" t="str">
        <f>IF(Q905="","",Q905/MAX(Q$5:Q905)-1)</f>
        <v/>
      </c>
    </row>
    <row r="906" spans="1:19">
      <c r="A906" s="15" t="str">
        <f>IF('实盘净值数据(iFinD）'!A906="","",'实盘净值数据(iFinD）'!A906)</f>
        <v/>
      </c>
      <c r="B906" s="13" t="str">
        <f>IF(OR('实盘净值数据(iFinD）'!$A906="",'实盘净值数据(iFinD）'!$B906=""),"",分期持仓明细!$AB$17*SUMPRODUCT(分期持仓明细!$B$17:$Y$17,'实盘净值数据(iFinD）'!$B906:$Y906/'实盘净值数据(iFinD）'!$B$20:$Y$20)*(1-实盘持仓初始配置!$Z$4)^(('实盘净值数据(iFinD）'!$A906-'实盘净值数据(iFinD）'!$A$6)/365))</f>
        <v/>
      </c>
      <c r="C906" s="16" t="str">
        <f t="shared" si="84"/>
        <v/>
      </c>
      <c r="D906" s="16" t="str">
        <f>IF(B906="","",B906/MAX(B$5:B906)-1)</f>
        <v/>
      </c>
      <c r="E906" s="13" t="str">
        <f>IF(OR('实盘净值数据(iFinD）'!$A906="",'实盘净值数据(iFinD）'!$B906=""),"",分期持仓明细!$AB$18*SUMPRODUCT(分期持仓明细!$B$18:$Y$18,'实盘净值数据(iFinD）'!$B906:$Y906/'实盘净值数据(iFinD）'!$B$20:$Y$20)*(1-实盘持仓初始配置!$Z$5)^(('实盘净值数据(iFinD）'!$A906-'实盘净值数据(iFinD）'!$A$5)/365))</f>
        <v/>
      </c>
      <c r="F906" s="16" t="str">
        <f t="shared" si="85"/>
        <v/>
      </c>
      <c r="G906" s="16" t="str">
        <f>IF(E906="","",E906/MAX(E$5:E906)-1)</f>
        <v/>
      </c>
      <c r="H906" s="13" t="str">
        <f>IF(OR('实盘净值数据(iFinD）'!$A906="",'实盘净值数据(iFinD）'!$B906=""),"",分期持仓明细!$AB$19*SUMPRODUCT(分期持仓明细!$B$19:$Y$19,'实盘净值数据(iFinD）'!$B906:$Y906/'实盘净值数据(iFinD）'!$B$20:$Y$20)*(1-实盘持仓初始配置!$Z$6)^(('实盘净值数据(iFinD）'!$A906-'实盘净值数据(iFinD）'!$A$7)/365))</f>
        <v/>
      </c>
      <c r="I906" s="16" t="str">
        <f t="shared" si="86"/>
        <v/>
      </c>
      <c r="J906" s="16" t="str">
        <f>IF(H906="","",H906/MAX(H$5:H906)-1)</f>
        <v/>
      </c>
      <c r="K906" s="13" t="str">
        <f>IF(OR('实盘净值数据(iFinD）'!$A906="",'实盘净值数据(iFinD）'!$B906="",'实盘净值数据(iFinD）'!$Z906="",'实盘净值数据(iFinD）'!$AA906=""),"",分期持仓明细!$AB$23*(SUMPRODUCT(分期持仓明细!$B$23:$Y$23,'实盘净值数据(iFinD）'!$B906:$Y906/'实盘净值数据(iFinD）'!$B$65:$Y$65)+SUMPRODUCT(分期持仓明细!$AC$23:$AD$23,'实盘净值数据(iFinD）'!$Z906:$AA906/'实盘净值数据(iFinD）'!$Z$65:$AA$65))*(1-实盘持仓初始配置!$Z$7)^(('实盘净值数据(iFinD）'!$A906-'实盘净值数据(iFinD）'!$A$8)/365))</f>
        <v/>
      </c>
      <c r="L906" s="16" t="str">
        <f t="shared" si="87"/>
        <v/>
      </c>
      <c r="M906" s="16" t="str">
        <f>IF(K906="","",K906/MAX(K$5:K906)-1)</f>
        <v/>
      </c>
      <c r="N906" s="13" t="str">
        <f>IF(OR('实盘净值数据(iFinD）'!$A906="",'实盘净值数据(iFinD）'!$B906="",'实盘净值数据(iFinD）'!$Z906="",'实盘净值数据(iFinD）'!$AA906=""),"",分期持仓明细!$AB$24*(SUMPRODUCT(分期持仓明细!$B$24:$Y$24,'实盘净值数据(iFinD）'!$B906:$Y906/'实盘净值数据(iFinD）'!$B$65:$Y$65)+SUMPRODUCT(分期持仓明细!$AC$24:$AD$24,'实盘净值数据(iFinD）'!$Z906:$AA906/'实盘净值数据(iFinD）'!$Z$65:$AA$65))*(1-实盘持仓初始配置!$Z$8)^(('实盘净值数据(iFinD）'!$A906-'实盘净值数据(iFinD）'!$A$5)/365))</f>
        <v/>
      </c>
      <c r="O906" s="16" t="str">
        <f t="shared" si="88"/>
        <v/>
      </c>
      <c r="P906" s="16" t="str">
        <f>IF(N906="","",N906/MAX(N$5:N906)-1)</f>
        <v/>
      </c>
      <c r="Q906" s="13" t="str">
        <f>IF(OR('实盘净值数据(iFinD）'!$A906="",'实盘净值数据(iFinD）'!$B906="",'实盘净值数据(iFinD）'!$Z906="",'实盘净值数据(iFinD）'!$AA906=""),"",分期持仓明细!$AB$25*(SUMPRODUCT(分期持仓明细!$B$25:$Y$25,'实盘净值数据(iFinD）'!$B906:$Y906/'实盘净值数据(iFinD）'!$B$65:$Y$65)+SUMPRODUCT(分期持仓明细!$AC$25:$AD$25,'实盘净值数据(iFinD）'!$Z906:$AA906/'实盘净值数据(iFinD）'!$Z$65:$AA$65))*(1-实盘持仓初始配置!$Z$9)^(('实盘净值数据(iFinD）'!$A906-'实盘净值数据(iFinD）'!$A$8)/365))</f>
        <v/>
      </c>
      <c r="R906" s="16" t="str">
        <f t="shared" si="89"/>
        <v/>
      </c>
      <c r="S906" s="16" t="str">
        <f>IF(Q906="","",Q906/MAX(Q$5:Q906)-1)</f>
        <v/>
      </c>
    </row>
    <row r="907" spans="1:19">
      <c r="A907" s="15" t="str">
        <f>IF('实盘净值数据(iFinD）'!A907="","",'实盘净值数据(iFinD）'!A907)</f>
        <v/>
      </c>
      <c r="B907" s="13" t="str">
        <f>IF(OR('实盘净值数据(iFinD）'!$A907="",'实盘净值数据(iFinD）'!$B907=""),"",分期持仓明细!$AB$17*SUMPRODUCT(分期持仓明细!$B$17:$Y$17,'实盘净值数据(iFinD）'!$B907:$Y907/'实盘净值数据(iFinD）'!$B$20:$Y$20)*(1-实盘持仓初始配置!$Z$4)^(('实盘净值数据(iFinD）'!$A907-'实盘净值数据(iFinD）'!$A$6)/365))</f>
        <v/>
      </c>
      <c r="C907" s="16" t="str">
        <f t="shared" si="84"/>
        <v/>
      </c>
      <c r="D907" s="16" t="str">
        <f>IF(B907="","",B907/MAX(B$5:B907)-1)</f>
        <v/>
      </c>
      <c r="E907" s="13" t="str">
        <f>IF(OR('实盘净值数据(iFinD）'!$A907="",'实盘净值数据(iFinD）'!$B907=""),"",分期持仓明细!$AB$18*SUMPRODUCT(分期持仓明细!$B$18:$Y$18,'实盘净值数据(iFinD）'!$B907:$Y907/'实盘净值数据(iFinD）'!$B$20:$Y$20)*(1-实盘持仓初始配置!$Z$5)^(('实盘净值数据(iFinD）'!$A907-'实盘净值数据(iFinD）'!$A$5)/365))</f>
        <v/>
      </c>
      <c r="F907" s="16" t="str">
        <f t="shared" si="85"/>
        <v/>
      </c>
      <c r="G907" s="16" t="str">
        <f>IF(E907="","",E907/MAX(E$5:E907)-1)</f>
        <v/>
      </c>
      <c r="H907" s="13" t="str">
        <f>IF(OR('实盘净值数据(iFinD）'!$A907="",'实盘净值数据(iFinD）'!$B907=""),"",分期持仓明细!$AB$19*SUMPRODUCT(分期持仓明细!$B$19:$Y$19,'实盘净值数据(iFinD）'!$B907:$Y907/'实盘净值数据(iFinD）'!$B$20:$Y$20)*(1-实盘持仓初始配置!$Z$6)^(('实盘净值数据(iFinD）'!$A907-'实盘净值数据(iFinD）'!$A$7)/365))</f>
        <v/>
      </c>
      <c r="I907" s="16" t="str">
        <f t="shared" si="86"/>
        <v/>
      </c>
      <c r="J907" s="16" t="str">
        <f>IF(H907="","",H907/MAX(H$5:H907)-1)</f>
        <v/>
      </c>
      <c r="K907" s="13" t="str">
        <f>IF(OR('实盘净值数据(iFinD）'!$A907="",'实盘净值数据(iFinD）'!$B907="",'实盘净值数据(iFinD）'!$Z907="",'实盘净值数据(iFinD）'!$AA907=""),"",分期持仓明细!$AB$23*(SUMPRODUCT(分期持仓明细!$B$23:$Y$23,'实盘净值数据(iFinD）'!$B907:$Y907/'实盘净值数据(iFinD）'!$B$65:$Y$65)+SUMPRODUCT(分期持仓明细!$AC$23:$AD$23,'实盘净值数据(iFinD）'!$Z907:$AA907/'实盘净值数据(iFinD）'!$Z$65:$AA$65))*(1-实盘持仓初始配置!$Z$7)^(('实盘净值数据(iFinD）'!$A907-'实盘净值数据(iFinD）'!$A$8)/365))</f>
        <v/>
      </c>
      <c r="L907" s="16" t="str">
        <f t="shared" si="87"/>
        <v/>
      </c>
      <c r="M907" s="16" t="str">
        <f>IF(K907="","",K907/MAX(K$5:K907)-1)</f>
        <v/>
      </c>
      <c r="N907" s="13" t="str">
        <f>IF(OR('实盘净值数据(iFinD）'!$A907="",'实盘净值数据(iFinD）'!$B907="",'实盘净值数据(iFinD）'!$Z907="",'实盘净值数据(iFinD）'!$AA907=""),"",分期持仓明细!$AB$24*(SUMPRODUCT(分期持仓明细!$B$24:$Y$24,'实盘净值数据(iFinD）'!$B907:$Y907/'实盘净值数据(iFinD）'!$B$65:$Y$65)+SUMPRODUCT(分期持仓明细!$AC$24:$AD$24,'实盘净值数据(iFinD）'!$Z907:$AA907/'实盘净值数据(iFinD）'!$Z$65:$AA$65))*(1-实盘持仓初始配置!$Z$8)^(('实盘净值数据(iFinD）'!$A907-'实盘净值数据(iFinD）'!$A$5)/365))</f>
        <v/>
      </c>
      <c r="O907" s="16" t="str">
        <f t="shared" si="88"/>
        <v/>
      </c>
      <c r="P907" s="16" t="str">
        <f>IF(N907="","",N907/MAX(N$5:N907)-1)</f>
        <v/>
      </c>
      <c r="Q907" s="13" t="str">
        <f>IF(OR('实盘净值数据(iFinD）'!$A907="",'实盘净值数据(iFinD）'!$B907="",'实盘净值数据(iFinD）'!$Z907="",'实盘净值数据(iFinD）'!$AA907=""),"",分期持仓明细!$AB$25*(SUMPRODUCT(分期持仓明细!$B$25:$Y$25,'实盘净值数据(iFinD）'!$B907:$Y907/'实盘净值数据(iFinD）'!$B$65:$Y$65)+SUMPRODUCT(分期持仓明细!$AC$25:$AD$25,'实盘净值数据(iFinD）'!$Z907:$AA907/'实盘净值数据(iFinD）'!$Z$65:$AA$65))*(1-实盘持仓初始配置!$Z$9)^(('实盘净值数据(iFinD）'!$A907-'实盘净值数据(iFinD）'!$A$8)/365))</f>
        <v/>
      </c>
      <c r="R907" s="16" t="str">
        <f t="shared" si="89"/>
        <v/>
      </c>
      <c r="S907" s="16" t="str">
        <f>IF(Q907="","",Q907/MAX(Q$5:Q907)-1)</f>
        <v/>
      </c>
    </row>
    <row r="908" spans="1:19">
      <c r="A908" s="15" t="str">
        <f>IF('实盘净值数据(iFinD）'!A908="","",'实盘净值数据(iFinD）'!A908)</f>
        <v/>
      </c>
      <c r="B908" s="13" t="str">
        <f>IF(OR('实盘净值数据(iFinD）'!$A908="",'实盘净值数据(iFinD）'!$B908=""),"",分期持仓明细!$AB$17*SUMPRODUCT(分期持仓明细!$B$17:$Y$17,'实盘净值数据(iFinD）'!$B908:$Y908/'实盘净值数据(iFinD）'!$B$20:$Y$20)*(1-实盘持仓初始配置!$Z$4)^(('实盘净值数据(iFinD）'!$A908-'实盘净值数据(iFinD）'!$A$6)/365))</f>
        <v/>
      </c>
      <c r="C908" s="16" t="str">
        <f t="shared" si="84"/>
        <v/>
      </c>
      <c r="D908" s="16" t="str">
        <f>IF(B908="","",B908/MAX(B$5:B908)-1)</f>
        <v/>
      </c>
      <c r="E908" s="13" t="str">
        <f>IF(OR('实盘净值数据(iFinD）'!$A908="",'实盘净值数据(iFinD）'!$B908=""),"",分期持仓明细!$AB$18*SUMPRODUCT(分期持仓明细!$B$18:$Y$18,'实盘净值数据(iFinD）'!$B908:$Y908/'实盘净值数据(iFinD）'!$B$20:$Y$20)*(1-实盘持仓初始配置!$Z$5)^(('实盘净值数据(iFinD）'!$A908-'实盘净值数据(iFinD）'!$A$5)/365))</f>
        <v/>
      </c>
      <c r="F908" s="16" t="str">
        <f t="shared" si="85"/>
        <v/>
      </c>
      <c r="G908" s="16" t="str">
        <f>IF(E908="","",E908/MAX(E$5:E908)-1)</f>
        <v/>
      </c>
      <c r="H908" s="13" t="str">
        <f>IF(OR('实盘净值数据(iFinD）'!$A908="",'实盘净值数据(iFinD）'!$B908=""),"",分期持仓明细!$AB$19*SUMPRODUCT(分期持仓明细!$B$19:$Y$19,'实盘净值数据(iFinD）'!$B908:$Y908/'实盘净值数据(iFinD）'!$B$20:$Y$20)*(1-实盘持仓初始配置!$Z$6)^(('实盘净值数据(iFinD）'!$A908-'实盘净值数据(iFinD）'!$A$7)/365))</f>
        <v/>
      </c>
      <c r="I908" s="16" t="str">
        <f t="shared" si="86"/>
        <v/>
      </c>
      <c r="J908" s="16" t="str">
        <f>IF(H908="","",H908/MAX(H$5:H908)-1)</f>
        <v/>
      </c>
      <c r="K908" s="13" t="str">
        <f>IF(OR('实盘净值数据(iFinD）'!$A908="",'实盘净值数据(iFinD）'!$B908="",'实盘净值数据(iFinD）'!$Z908="",'实盘净值数据(iFinD）'!$AA908=""),"",分期持仓明细!$AB$23*(SUMPRODUCT(分期持仓明细!$B$23:$Y$23,'实盘净值数据(iFinD）'!$B908:$Y908/'实盘净值数据(iFinD）'!$B$65:$Y$65)+SUMPRODUCT(分期持仓明细!$AC$23:$AD$23,'实盘净值数据(iFinD）'!$Z908:$AA908/'实盘净值数据(iFinD）'!$Z$65:$AA$65))*(1-实盘持仓初始配置!$Z$7)^(('实盘净值数据(iFinD）'!$A908-'实盘净值数据(iFinD）'!$A$8)/365))</f>
        <v/>
      </c>
      <c r="L908" s="16" t="str">
        <f t="shared" si="87"/>
        <v/>
      </c>
      <c r="M908" s="16" t="str">
        <f>IF(K908="","",K908/MAX(K$5:K908)-1)</f>
        <v/>
      </c>
      <c r="N908" s="13" t="str">
        <f>IF(OR('实盘净值数据(iFinD）'!$A908="",'实盘净值数据(iFinD）'!$B908="",'实盘净值数据(iFinD）'!$Z908="",'实盘净值数据(iFinD）'!$AA908=""),"",分期持仓明细!$AB$24*(SUMPRODUCT(分期持仓明细!$B$24:$Y$24,'实盘净值数据(iFinD）'!$B908:$Y908/'实盘净值数据(iFinD）'!$B$65:$Y$65)+SUMPRODUCT(分期持仓明细!$AC$24:$AD$24,'实盘净值数据(iFinD）'!$Z908:$AA908/'实盘净值数据(iFinD）'!$Z$65:$AA$65))*(1-实盘持仓初始配置!$Z$8)^(('实盘净值数据(iFinD）'!$A908-'实盘净值数据(iFinD）'!$A$5)/365))</f>
        <v/>
      </c>
      <c r="O908" s="16" t="str">
        <f t="shared" si="88"/>
        <v/>
      </c>
      <c r="P908" s="16" t="str">
        <f>IF(N908="","",N908/MAX(N$5:N908)-1)</f>
        <v/>
      </c>
      <c r="Q908" s="13" t="str">
        <f>IF(OR('实盘净值数据(iFinD）'!$A908="",'实盘净值数据(iFinD）'!$B908="",'实盘净值数据(iFinD）'!$Z908="",'实盘净值数据(iFinD）'!$AA908=""),"",分期持仓明细!$AB$25*(SUMPRODUCT(分期持仓明细!$B$25:$Y$25,'实盘净值数据(iFinD）'!$B908:$Y908/'实盘净值数据(iFinD）'!$B$65:$Y$65)+SUMPRODUCT(分期持仓明细!$AC$25:$AD$25,'实盘净值数据(iFinD）'!$Z908:$AA908/'实盘净值数据(iFinD）'!$Z$65:$AA$65))*(1-实盘持仓初始配置!$Z$9)^(('实盘净值数据(iFinD）'!$A908-'实盘净值数据(iFinD）'!$A$8)/365))</f>
        <v/>
      </c>
      <c r="R908" s="16" t="str">
        <f t="shared" si="89"/>
        <v/>
      </c>
      <c r="S908" s="16" t="str">
        <f>IF(Q908="","",Q908/MAX(Q$5:Q908)-1)</f>
        <v/>
      </c>
    </row>
    <row r="909" spans="1:19">
      <c r="A909" s="15" t="str">
        <f>IF('实盘净值数据(iFinD）'!A909="","",'实盘净值数据(iFinD）'!A909)</f>
        <v/>
      </c>
      <c r="B909" s="13" t="str">
        <f>IF(OR('实盘净值数据(iFinD）'!$A909="",'实盘净值数据(iFinD）'!$B909=""),"",分期持仓明细!$AB$17*SUMPRODUCT(分期持仓明细!$B$17:$Y$17,'实盘净值数据(iFinD）'!$B909:$Y909/'实盘净值数据(iFinD）'!$B$20:$Y$20)*(1-实盘持仓初始配置!$Z$4)^(('实盘净值数据(iFinD）'!$A909-'实盘净值数据(iFinD）'!$A$6)/365))</f>
        <v/>
      </c>
      <c r="C909" s="16" t="str">
        <f t="shared" si="84"/>
        <v/>
      </c>
      <c r="D909" s="16" t="str">
        <f>IF(B909="","",B909/MAX(B$5:B909)-1)</f>
        <v/>
      </c>
      <c r="E909" s="13" t="str">
        <f>IF(OR('实盘净值数据(iFinD）'!$A909="",'实盘净值数据(iFinD）'!$B909=""),"",分期持仓明细!$AB$18*SUMPRODUCT(分期持仓明细!$B$18:$Y$18,'实盘净值数据(iFinD）'!$B909:$Y909/'实盘净值数据(iFinD）'!$B$20:$Y$20)*(1-实盘持仓初始配置!$Z$5)^(('实盘净值数据(iFinD）'!$A909-'实盘净值数据(iFinD）'!$A$5)/365))</f>
        <v/>
      </c>
      <c r="F909" s="16" t="str">
        <f t="shared" si="85"/>
        <v/>
      </c>
      <c r="G909" s="16" t="str">
        <f>IF(E909="","",E909/MAX(E$5:E909)-1)</f>
        <v/>
      </c>
      <c r="H909" s="13" t="str">
        <f>IF(OR('实盘净值数据(iFinD）'!$A909="",'实盘净值数据(iFinD）'!$B909=""),"",分期持仓明细!$AB$19*SUMPRODUCT(分期持仓明细!$B$19:$Y$19,'实盘净值数据(iFinD）'!$B909:$Y909/'实盘净值数据(iFinD）'!$B$20:$Y$20)*(1-实盘持仓初始配置!$Z$6)^(('实盘净值数据(iFinD）'!$A909-'实盘净值数据(iFinD）'!$A$7)/365))</f>
        <v/>
      </c>
      <c r="I909" s="16" t="str">
        <f t="shared" si="86"/>
        <v/>
      </c>
      <c r="J909" s="16" t="str">
        <f>IF(H909="","",H909/MAX(H$5:H909)-1)</f>
        <v/>
      </c>
      <c r="K909" s="13" t="str">
        <f>IF(OR('实盘净值数据(iFinD）'!$A909="",'实盘净值数据(iFinD）'!$B909="",'实盘净值数据(iFinD）'!$Z909="",'实盘净值数据(iFinD）'!$AA909=""),"",分期持仓明细!$AB$23*(SUMPRODUCT(分期持仓明细!$B$23:$Y$23,'实盘净值数据(iFinD）'!$B909:$Y909/'实盘净值数据(iFinD）'!$B$65:$Y$65)+SUMPRODUCT(分期持仓明细!$AC$23:$AD$23,'实盘净值数据(iFinD）'!$Z909:$AA909/'实盘净值数据(iFinD）'!$Z$65:$AA$65))*(1-实盘持仓初始配置!$Z$7)^(('实盘净值数据(iFinD）'!$A909-'实盘净值数据(iFinD）'!$A$8)/365))</f>
        <v/>
      </c>
      <c r="L909" s="16" t="str">
        <f t="shared" si="87"/>
        <v/>
      </c>
      <c r="M909" s="16" t="str">
        <f>IF(K909="","",K909/MAX(K$5:K909)-1)</f>
        <v/>
      </c>
      <c r="N909" s="13" t="str">
        <f>IF(OR('实盘净值数据(iFinD）'!$A909="",'实盘净值数据(iFinD）'!$B909="",'实盘净值数据(iFinD）'!$Z909="",'实盘净值数据(iFinD）'!$AA909=""),"",分期持仓明细!$AB$24*(SUMPRODUCT(分期持仓明细!$B$24:$Y$24,'实盘净值数据(iFinD）'!$B909:$Y909/'实盘净值数据(iFinD）'!$B$65:$Y$65)+SUMPRODUCT(分期持仓明细!$AC$24:$AD$24,'实盘净值数据(iFinD）'!$Z909:$AA909/'实盘净值数据(iFinD）'!$Z$65:$AA$65))*(1-实盘持仓初始配置!$Z$8)^(('实盘净值数据(iFinD）'!$A909-'实盘净值数据(iFinD）'!$A$5)/365))</f>
        <v/>
      </c>
      <c r="O909" s="16" t="str">
        <f t="shared" si="88"/>
        <v/>
      </c>
      <c r="P909" s="16" t="str">
        <f>IF(N909="","",N909/MAX(N$5:N909)-1)</f>
        <v/>
      </c>
      <c r="Q909" s="13" t="str">
        <f>IF(OR('实盘净值数据(iFinD）'!$A909="",'实盘净值数据(iFinD）'!$B909="",'实盘净值数据(iFinD）'!$Z909="",'实盘净值数据(iFinD）'!$AA909=""),"",分期持仓明细!$AB$25*(SUMPRODUCT(分期持仓明细!$B$25:$Y$25,'实盘净值数据(iFinD）'!$B909:$Y909/'实盘净值数据(iFinD）'!$B$65:$Y$65)+SUMPRODUCT(分期持仓明细!$AC$25:$AD$25,'实盘净值数据(iFinD）'!$Z909:$AA909/'实盘净值数据(iFinD）'!$Z$65:$AA$65))*(1-实盘持仓初始配置!$Z$9)^(('实盘净值数据(iFinD）'!$A909-'实盘净值数据(iFinD）'!$A$8)/365))</f>
        <v/>
      </c>
      <c r="R909" s="16" t="str">
        <f t="shared" si="89"/>
        <v/>
      </c>
      <c r="S909" s="16" t="str">
        <f>IF(Q909="","",Q909/MAX(Q$5:Q909)-1)</f>
        <v/>
      </c>
    </row>
    <row r="910" spans="1:19">
      <c r="A910" s="15" t="str">
        <f>IF('实盘净值数据(iFinD）'!A910="","",'实盘净值数据(iFinD）'!A910)</f>
        <v/>
      </c>
      <c r="B910" s="13" t="str">
        <f>IF(OR('实盘净值数据(iFinD）'!$A910="",'实盘净值数据(iFinD）'!$B910=""),"",分期持仓明细!$AB$17*SUMPRODUCT(分期持仓明细!$B$17:$Y$17,'实盘净值数据(iFinD）'!$B910:$Y910/'实盘净值数据(iFinD）'!$B$20:$Y$20)*(1-实盘持仓初始配置!$Z$4)^(('实盘净值数据(iFinD）'!$A910-'实盘净值数据(iFinD）'!$A$6)/365))</f>
        <v/>
      </c>
      <c r="C910" s="16" t="str">
        <f t="shared" si="84"/>
        <v/>
      </c>
      <c r="D910" s="16" t="str">
        <f>IF(B910="","",B910/MAX(B$5:B910)-1)</f>
        <v/>
      </c>
      <c r="E910" s="13" t="str">
        <f>IF(OR('实盘净值数据(iFinD）'!$A910="",'实盘净值数据(iFinD）'!$B910=""),"",分期持仓明细!$AB$18*SUMPRODUCT(分期持仓明细!$B$18:$Y$18,'实盘净值数据(iFinD）'!$B910:$Y910/'实盘净值数据(iFinD）'!$B$20:$Y$20)*(1-实盘持仓初始配置!$Z$5)^(('实盘净值数据(iFinD）'!$A910-'实盘净值数据(iFinD）'!$A$5)/365))</f>
        <v/>
      </c>
      <c r="F910" s="16" t="str">
        <f t="shared" si="85"/>
        <v/>
      </c>
      <c r="G910" s="16" t="str">
        <f>IF(E910="","",E910/MAX(E$5:E910)-1)</f>
        <v/>
      </c>
      <c r="H910" s="13" t="str">
        <f>IF(OR('实盘净值数据(iFinD）'!$A910="",'实盘净值数据(iFinD）'!$B910=""),"",分期持仓明细!$AB$19*SUMPRODUCT(分期持仓明细!$B$19:$Y$19,'实盘净值数据(iFinD）'!$B910:$Y910/'实盘净值数据(iFinD）'!$B$20:$Y$20)*(1-实盘持仓初始配置!$Z$6)^(('实盘净值数据(iFinD）'!$A910-'实盘净值数据(iFinD）'!$A$7)/365))</f>
        <v/>
      </c>
      <c r="I910" s="16" t="str">
        <f t="shared" si="86"/>
        <v/>
      </c>
      <c r="J910" s="16" t="str">
        <f>IF(H910="","",H910/MAX(H$5:H910)-1)</f>
        <v/>
      </c>
      <c r="K910" s="13" t="str">
        <f>IF(OR('实盘净值数据(iFinD）'!$A910="",'实盘净值数据(iFinD）'!$B910="",'实盘净值数据(iFinD）'!$Z910="",'实盘净值数据(iFinD）'!$AA910=""),"",分期持仓明细!$AB$23*(SUMPRODUCT(分期持仓明细!$B$23:$Y$23,'实盘净值数据(iFinD）'!$B910:$Y910/'实盘净值数据(iFinD）'!$B$65:$Y$65)+SUMPRODUCT(分期持仓明细!$AC$23:$AD$23,'实盘净值数据(iFinD）'!$Z910:$AA910/'实盘净值数据(iFinD）'!$Z$65:$AA$65))*(1-实盘持仓初始配置!$Z$7)^(('实盘净值数据(iFinD）'!$A910-'实盘净值数据(iFinD）'!$A$8)/365))</f>
        <v/>
      </c>
      <c r="L910" s="16" t="str">
        <f t="shared" si="87"/>
        <v/>
      </c>
      <c r="M910" s="16" t="str">
        <f>IF(K910="","",K910/MAX(K$5:K910)-1)</f>
        <v/>
      </c>
      <c r="N910" s="13" t="str">
        <f>IF(OR('实盘净值数据(iFinD）'!$A910="",'实盘净值数据(iFinD）'!$B910="",'实盘净值数据(iFinD）'!$Z910="",'实盘净值数据(iFinD）'!$AA910=""),"",分期持仓明细!$AB$24*(SUMPRODUCT(分期持仓明细!$B$24:$Y$24,'实盘净值数据(iFinD）'!$B910:$Y910/'实盘净值数据(iFinD）'!$B$65:$Y$65)+SUMPRODUCT(分期持仓明细!$AC$24:$AD$24,'实盘净值数据(iFinD）'!$Z910:$AA910/'实盘净值数据(iFinD）'!$Z$65:$AA$65))*(1-实盘持仓初始配置!$Z$8)^(('实盘净值数据(iFinD）'!$A910-'实盘净值数据(iFinD）'!$A$5)/365))</f>
        <v/>
      </c>
      <c r="O910" s="16" t="str">
        <f t="shared" si="88"/>
        <v/>
      </c>
      <c r="P910" s="16" t="str">
        <f>IF(N910="","",N910/MAX(N$5:N910)-1)</f>
        <v/>
      </c>
      <c r="Q910" s="13" t="str">
        <f>IF(OR('实盘净值数据(iFinD）'!$A910="",'实盘净值数据(iFinD）'!$B910="",'实盘净值数据(iFinD）'!$Z910="",'实盘净值数据(iFinD）'!$AA910=""),"",分期持仓明细!$AB$25*(SUMPRODUCT(分期持仓明细!$B$25:$Y$25,'实盘净值数据(iFinD）'!$B910:$Y910/'实盘净值数据(iFinD）'!$B$65:$Y$65)+SUMPRODUCT(分期持仓明细!$AC$25:$AD$25,'实盘净值数据(iFinD）'!$Z910:$AA910/'实盘净值数据(iFinD）'!$Z$65:$AA$65))*(1-实盘持仓初始配置!$Z$9)^(('实盘净值数据(iFinD）'!$A910-'实盘净值数据(iFinD）'!$A$8)/365))</f>
        <v/>
      </c>
      <c r="R910" s="16" t="str">
        <f t="shared" si="89"/>
        <v/>
      </c>
      <c r="S910" s="16" t="str">
        <f>IF(Q910="","",Q910/MAX(Q$5:Q910)-1)</f>
        <v/>
      </c>
    </row>
    <row r="911" spans="1:19">
      <c r="A911" s="15" t="str">
        <f>IF('实盘净值数据(iFinD）'!A911="","",'实盘净值数据(iFinD）'!A911)</f>
        <v/>
      </c>
      <c r="B911" s="13" t="str">
        <f>IF(OR('实盘净值数据(iFinD）'!$A911="",'实盘净值数据(iFinD）'!$B911=""),"",分期持仓明细!$AB$17*SUMPRODUCT(分期持仓明细!$B$17:$Y$17,'实盘净值数据(iFinD）'!$B911:$Y911/'实盘净值数据(iFinD）'!$B$20:$Y$20)*(1-实盘持仓初始配置!$Z$4)^(('实盘净值数据(iFinD）'!$A911-'实盘净值数据(iFinD）'!$A$6)/365))</f>
        <v/>
      </c>
      <c r="C911" s="16" t="str">
        <f t="shared" si="84"/>
        <v/>
      </c>
      <c r="D911" s="16" t="str">
        <f>IF(B911="","",B911/MAX(B$5:B911)-1)</f>
        <v/>
      </c>
      <c r="E911" s="13" t="str">
        <f>IF(OR('实盘净值数据(iFinD）'!$A911="",'实盘净值数据(iFinD）'!$B911=""),"",分期持仓明细!$AB$18*SUMPRODUCT(分期持仓明细!$B$18:$Y$18,'实盘净值数据(iFinD）'!$B911:$Y911/'实盘净值数据(iFinD）'!$B$20:$Y$20)*(1-实盘持仓初始配置!$Z$5)^(('实盘净值数据(iFinD）'!$A911-'实盘净值数据(iFinD）'!$A$5)/365))</f>
        <v/>
      </c>
      <c r="F911" s="16" t="str">
        <f t="shared" si="85"/>
        <v/>
      </c>
      <c r="G911" s="16" t="str">
        <f>IF(E911="","",E911/MAX(E$5:E911)-1)</f>
        <v/>
      </c>
      <c r="H911" s="13" t="str">
        <f>IF(OR('实盘净值数据(iFinD）'!$A911="",'实盘净值数据(iFinD）'!$B911=""),"",分期持仓明细!$AB$19*SUMPRODUCT(分期持仓明细!$B$19:$Y$19,'实盘净值数据(iFinD）'!$B911:$Y911/'实盘净值数据(iFinD）'!$B$20:$Y$20)*(1-实盘持仓初始配置!$Z$6)^(('实盘净值数据(iFinD）'!$A911-'实盘净值数据(iFinD）'!$A$7)/365))</f>
        <v/>
      </c>
      <c r="I911" s="16" t="str">
        <f t="shared" si="86"/>
        <v/>
      </c>
      <c r="J911" s="16" t="str">
        <f>IF(H911="","",H911/MAX(H$5:H911)-1)</f>
        <v/>
      </c>
      <c r="K911" s="13" t="str">
        <f>IF(OR('实盘净值数据(iFinD）'!$A911="",'实盘净值数据(iFinD）'!$B911="",'实盘净值数据(iFinD）'!$Z911="",'实盘净值数据(iFinD）'!$AA911=""),"",分期持仓明细!$AB$23*(SUMPRODUCT(分期持仓明细!$B$23:$Y$23,'实盘净值数据(iFinD）'!$B911:$Y911/'实盘净值数据(iFinD）'!$B$65:$Y$65)+SUMPRODUCT(分期持仓明细!$AC$23:$AD$23,'实盘净值数据(iFinD）'!$Z911:$AA911/'实盘净值数据(iFinD）'!$Z$65:$AA$65))*(1-实盘持仓初始配置!$Z$7)^(('实盘净值数据(iFinD）'!$A911-'实盘净值数据(iFinD）'!$A$8)/365))</f>
        <v/>
      </c>
      <c r="L911" s="16" t="str">
        <f t="shared" si="87"/>
        <v/>
      </c>
      <c r="M911" s="16" t="str">
        <f>IF(K911="","",K911/MAX(K$5:K911)-1)</f>
        <v/>
      </c>
      <c r="N911" s="13" t="str">
        <f>IF(OR('实盘净值数据(iFinD）'!$A911="",'实盘净值数据(iFinD）'!$B911="",'实盘净值数据(iFinD）'!$Z911="",'实盘净值数据(iFinD）'!$AA911=""),"",分期持仓明细!$AB$24*(SUMPRODUCT(分期持仓明细!$B$24:$Y$24,'实盘净值数据(iFinD）'!$B911:$Y911/'实盘净值数据(iFinD）'!$B$65:$Y$65)+SUMPRODUCT(分期持仓明细!$AC$24:$AD$24,'实盘净值数据(iFinD）'!$Z911:$AA911/'实盘净值数据(iFinD）'!$Z$65:$AA$65))*(1-实盘持仓初始配置!$Z$8)^(('实盘净值数据(iFinD）'!$A911-'实盘净值数据(iFinD）'!$A$5)/365))</f>
        <v/>
      </c>
      <c r="O911" s="16" t="str">
        <f t="shared" si="88"/>
        <v/>
      </c>
      <c r="P911" s="16" t="str">
        <f>IF(N911="","",N911/MAX(N$5:N911)-1)</f>
        <v/>
      </c>
      <c r="Q911" s="13" t="str">
        <f>IF(OR('实盘净值数据(iFinD）'!$A911="",'实盘净值数据(iFinD）'!$B911="",'实盘净值数据(iFinD）'!$Z911="",'实盘净值数据(iFinD）'!$AA911=""),"",分期持仓明细!$AB$25*(SUMPRODUCT(分期持仓明细!$B$25:$Y$25,'实盘净值数据(iFinD）'!$B911:$Y911/'实盘净值数据(iFinD）'!$B$65:$Y$65)+SUMPRODUCT(分期持仓明细!$AC$25:$AD$25,'实盘净值数据(iFinD）'!$Z911:$AA911/'实盘净值数据(iFinD）'!$Z$65:$AA$65))*(1-实盘持仓初始配置!$Z$9)^(('实盘净值数据(iFinD）'!$A911-'实盘净值数据(iFinD）'!$A$8)/365))</f>
        <v/>
      </c>
      <c r="R911" s="16" t="str">
        <f t="shared" si="89"/>
        <v/>
      </c>
      <c r="S911" s="16" t="str">
        <f>IF(Q911="","",Q911/MAX(Q$5:Q911)-1)</f>
        <v/>
      </c>
    </row>
    <row r="912" spans="1:19">
      <c r="A912" s="15" t="str">
        <f>IF('实盘净值数据(iFinD）'!A912="","",'实盘净值数据(iFinD）'!A912)</f>
        <v/>
      </c>
      <c r="B912" s="13" t="str">
        <f>IF(OR('实盘净值数据(iFinD）'!$A912="",'实盘净值数据(iFinD）'!$B912=""),"",分期持仓明细!$AB$17*SUMPRODUCT(分期持仓明细!$B$17:$Y$17,'实盘净值数据(iFinD）'!$B912:$Y912/'实盘净值数据(iFinD）'!$B$20:$Y$20)*(1-实盘持仓初始配置!$Z$4)^(('实盘净值数据(iFinD）'!$A912-'实盘净值数据(iFinD）'!$A$6)/365))</f>
        <v/>
      </c>
      <c r="C912" s="16" t="str">
        <f t="shared" si="84"/>
        <v/>
      </c>
      <c r="D912" s="16" t="str">
        <f>IF(B912="","",B912/MAX(B$5:B912)-1)</f>
        <v/>
      </c>
      <c r="E912" s="13" t="str">
        <f>IF(OR('实盘净值数据(iFinD）'!$A912="",'实盘净值数据(iFinD）'!$B912=""),"",分期持仓明细!$AB$18*SUMPRODUCT(分期持仓明细!$B$18:$Y$18,'实盘净值数据(iFinD）'!$B912:$Y912/'实盘净值数据(iFinD）'!$B$20:$Y$20)*(1-实盘持仓初始配置!$Z$5)^(('实盘净值数据(iFinD）'!$A912-'实盘净值数据(iFinD）'!$A$5)/365))</f>
        <v/>
      </c>
      <c r="F912" s="16" t="str">
        <f t="shared" si="85"/>
        <v/>
      </c>
      <c r="G912" s="16" t="str">
        <f>IF(E912="","",E912/MAX(E$5:E912)-1)</f>
        <v/>
      </c>
      <c r="H912" s="13" t="str">
        <f>IF(OR('实盘净值数据(iFinD）'!$A912="",'实盘净值数据(iFinD）'!$B912=""),"",分期持仓明细!$AB$19*SUMPRODUCT(分期持仓明细!$B$19:$Y$19,'实盘净值数据(iFinD）'!$B912:$Y912/'实盘净值数据(iFinD）'!$B$20:$Y$20)*(1-实盘持仓初始配置!$Z$6)^(('实盘净值数据(iFinD）'!$A912-'实盘净值数据(iFinD）'!$A$7)/365))</f>
        <v/>
      </c>
      <c r="I912" s="16" t="str">
        <f t="shared" si="86"/>
        <v/>
      </c>
      <c r="J912" s="16" t="str">
        <f>IF(H912="","",H912/MAX(H$5:H912)-1)</f>
        <v/>
      </c>
      <c r="K912" s="13" t="str">
        <f>IF(OR('实盘净值数据(iFinD）'!$A912="",'实盘净值数据(iFinD）'!$B912="",'实盘净值数据(iFinD）'!$Z912="",'实盘净值数据(iFinD）'!$AA912=""),"",分期持仓明细!$AB$23*(SUMPRODUCT(分期持仓明细!$B$23:$Y$23,'实盘净值数据(iFinD）'!$B912:$Y912/'实盘净值数据(iFinD）'!$B$65:$Y$65)+SUMPRODUCT(分期持仓明细!$AC$23:$AD$23,'实盘净值数据(iFinD）'!$Z912:$AA912/'实盘净值数据(iFinD）'!$Z$65:$AA$65))*(1-实盘持仓初始配置!$Z$7)^(('实盘净值数据(iFinD）'!$A912-'实盘净值数据(iFinD）'!$A$8)/365))</f>
        <v/>
      </c>
      <c r="L912" s="16" t="str">
        <f t="shared" si="87"/>
        <v/>
      </c>
      <c r="M912" s="16" t="str">
        <f>IF(K912="","",K912/MAX(K$5:K912)-1)</f>
        <v/>
      </c>
      <c r="N912" s="13" t="str">
        <f>IF(OR('实盘净值数据(iFinD）'!$A912="",'实盘净值数据(iFinD）'!$B912="",'实盘净值数据(iFinD）'!$Z912="",'实盘净值数据(iFinD）'!$AA912=""),"",分期持仓明细!$AB$24*(SUMPRODUCT(分期持仓明细!$B$24:$Y$24,'实盘净值数据(iFinD）'!$B912:$Y912/'实盘净值数据(iFinD）'!$B$65:$Y$65)+SUMPRODUCT(分期持仓明细!$AC$24:$AD$24,'实盘净值数据(iFinD）'!$Z912:$AA912/'实盘净值数据(iFinD）'!$Z$65:$AA$65))*(1-实盘持仓初始配置!$Z$8)^(('实盘净值数据(iFinD）'!$A912-'实盘净值数据(iFinD）'!$A$5)/365))</f>
        <v/>
      </c>
      <c r="O912" s="16" t="str">
        <f t="shared" si="88"/>
        <v/>
      </c>
      <c r="P912" s="16" t="str">
        <f>IF(N912="","",N912/MAX(N$5:N912)-1)</f>
        <v/>
      </c>
      <c r="Q912" s="13" t="str">
        <f>IF(OR('实盘净值数据(iFinD）'!$A912="",'实盘净值数据(iFinD）'!$B912="",'实盘净值数据(iFinD）'!$Z912="",'实盘净值数据(iFinD）'!$AA912=""),"",分期持仓明细!$AB$25*(SUMPRODUCT(分期持仓明细!$B$25:$Y$25,'实盘净值数据(iFinD）'!$B912:$Y912/'实盘净值数据(iFinD）'!$B$65:$Y$65)+SUMPRODUCT(分期持仓明细!$AC$25:$AD$25,'实盘净值数据(iFinD）'!$Z912:$AA912/'实盘净值数据(iFinD）'!$Z$65:$AA$65))*(1-实盘持仓初始配置!$Z$9)^(('实盘净值数据(iFinD）'!$A912-'实盘净值数据(iFinD）'!$A$8)/365))</f>
        <v/>
      </c>
      <c r="R912" s="16" t="str">
        <f t="shared" si="89"/>
        <v/>
      </c>
      <c r="S912" s="16" t="str">
        <f>IF(Q912="","",Q912/MAX(Q$5:Q912)-1)</f>
        <v/>
      </c>
    </row>
    <row r="913" spans="1:19">
      <c r="A913" s="15" t="str">
        <f>IF('实盘净值数据(iFinD）'!A913="","",'实盘净值数据(iFinD）'!A913)</f>
        <v/>
      </c>
      <c r="B913" s="13" t="str">
        <f>IF(OR('实盘净值数据(iFinD）'!$A913="",'实盘净值数据(iFinD）'!$B913=""),"",分期持仓明细!$AB$17*SUMPRODUCT(分期持仓明细!$B$17:$Y$17,'实盘净值数据(iFinD）'!$B913:$Y913/'实盘净值数据(iFinD）'!$B$20:$Y$20)*(1-实盘持仓初始配置!$Z$4)^(('实盘净值数据(iFinD）'!$A913-'实盘净值数据(iFinD）'!$A$6)/365))</f>
        <v/>
      </c>
      <c r="C913" s="16" t="str">
        <f t="shared" si="84"/>
        <v/>
      </c>
      <c r="D913" s="16" t="str">
        <f>IF(B913="","",B913/MAX(B$5:B913)-1)</f>
        <v/>
      </c>
      <c r="E913" s="13" t="str">
        <f>IF(OR('实盘净值数据(iFinD）'!$A913="",'实盘净值数据(iFinD）'!$B913=""),"",分期持仓明细!$AB$18*SUMPRODUCT(分期持仓明细!$B$18:$Y$18,'实盘净值数据(iFinD）'!$B913:$Y913/'实盘净值数据(iFinD）'!$B$20:$Y$20)*(1-实盘持仓初始配置!$Z$5)^(('实盘净值数据(iFinD）'!$A913-'实盘净值数据(iFinD）'!$A$5)/365))</f>
        <v/>
      </c>
      <c r="F913" s="16" t="str">
        <f t="shared" si="85"/>
        <v/>
      </c>
      <c r="G913" s="16" t="str">
        <f>IF(E913="","",E913/MAX(E$5:E913)-1)</f>
        <v/>
      </c>
      <c r="H913" s="13" t="str">
        <f>IF(OR('实盘净值数据(iFinD）'!$A913="",'实盘净值数据(iFinD）'!$B913=""),"",分期持仓明细!$AB$19*SUMPRODUCT(分期持仓明细!$B$19:$Y$19,'实盘净值数据(iFinD）'!$B913:$Y913/'实盘净值数据(iFinD）'!$B$20:$Y$20)*(1-实盘持仓初始配置!$Z$6)^(('实盘净值数据(iFinD）'!$A913-'实盘净值数据(iFinD）'!$A$7)/365))</f>
        <v/>
      </c>
      <c r="I913" s="16" t="str">
        <f t="shared" si="86"/>
        <v/>
      </c>
      <c r="J913" s="16" t="str">
        <f>IF(H913="","",H913/MAX(H$5:H913)-1)</f>
        <v/>
      </c>
      <c r="K913" s="13" t="str">
        <f>IF(OR('实盘净值数据(iFinD）'!$A913="",'实盘净值数据(iFinD）'!$B913="",'实盘净值数据(iFinD）'!$Z913="",'实盘净值数据(iFinD）'!$AA913=""),"",分期持仓明细!$AB$23*(SUMPRODUCT(分期持仓明细!$B$23:$Y$23,'实盘净值数据(iFinD）'!$B913:$Y913/'实盘净值数据(iFinD）'!$B$65:$Y$65)+SUMPRODUCT(分期持仓明细!$AC$23:$AD$23,'实盘净值数据(iFinD）'!$Z913:$AA913/'实盘净值数据(iFinD）'!$Z$65:$AA$65))*(1-实盘持仓初始配置!$Z$7)^(('实盘净值数据(iFinD）'!$A913-'实盘净值数据(iFinD）'!$A$8)/365))</f>
        <v/>
      </c>
      <c r="L913" s="16" t="str">
        <f t="shared" si="87"/>
        <v/>
      </c>
      <c r="M913" s="16" t="str">
        <f>IF(K913="","",K913/MAX(K$5:K913)-1)</f>
        <v/>
      </c>
      <c r="N913" s="13" t="str">
        <f>IF(OR('实盘净值数据(iFinD）'!$A913="",'实盘净值数据(iFinD）'!$B913="",'实盘净值数据(iFinD）'!$Z913="",'实盘净值数据(iFinD）'!$AA913=""),"",分期持仓明细!$AB$24*(SUMPRODUCT(分期持仓明细!$B$24:$Y$24,'实盘净值数据(iFinD）'!$B913:$Y913/'实盘净值数据(iFinD）'!$B$65:$Y$65)+SUMPRODUCT(分期持仓明细!$AC$24:$AD$24,'实盘净值数据(iFinD）'!$Z913:$AA913/'实盘净值数据(iFinD）'!$Z$65:$AA$65))*(1-实盘持仓初始配置!$Z$8)^(('实盘净值数据(iFinD）'!$A913-'实盘净值数据(iFinD）'!$A$5)/365))</f>
        <v/>
      </c>
      <c r="O913" s="16" t="str">
        <f t="shared" si="88"/>
        <v/>
      </c>
      <c r="P913" s="16" t="str">
        <f>IF(N913="","",N913/MAX(N$5:N913)-1)</f>
        <v/>
      </c>
      <c r="Q913" s="13" t="str">
        <f>IF(OR('实盘净值数据(iFinD）'!$A913="",'实盘净值数据(iFinD）'!$B913="",'实盘净值数据(iFinD）'!$Z913="",'实盘净值数据(iFinD）'!$AA913=""),"",分期持仓明细!$AB$25*(SUMPRODUCT(分期持仓明细!$B$25:$Y$25,'实盘净值数据(iFinD）'!$B913:$Y913/'实盘净值数据(iFinD）'!$B$65:$Y$65)+SUMPRODUCT(分期持仓明细!$AC$25:$AD$25,'实盘净值数据(iFinD）'!$Z913:$AA913/'实盘净值数据(iFinD）'!$Z$65:$AA$65))*(1-实盘持仓初始配置!$Z$9)^(('实盘净值数据(iFinD）'!$A913-'实盘净值数据(iFinD）'!$A$8)/365))</f>
        <v/>
      </c>
      <c r="R913" s="16" t="str">
        <f t="shared" si="89"/>
        <v/>
      </c>
      <c r="S913" s="16" t="str">
        <f>IF(Q913="","",Q913/MAX(Q$5:Q913)-1)</f>
        <v/>
      </c>
    </row>
    <row r="914" spans="1:19">
      <c r="A914" s="15" t="str">
        <f>IF('实盘净值数据(iFinD）'!A914="","",'实盘净值数据(iFinD）'!A914)</f>
        <v/>
      </c>
      <c r="B914" s="13" t="str">
        <f>IF(OR('实盘净值数据(iFinD）'!$A914="",'实盘净值数据(iFinD）'!$B914=""),"",分期持仓明细!$AB$17*SUMPRODUCT(分期持仓明细!$B$17:$Y$17,'实盘净值数据(iFinD）'!$B914:$Y914/'实盘净值数据(iFinD）'!$B$20:$Y$20)*(1-实盘持仓初始配置!$Z$4)^(('实盘净值数据(iFinD）'!$A914-'实盘净值数据(iFinD）'!$A$6)/365))</f>
        <v/>
      </c>
      <c r="C914" s="16" t="str">
        <f t="shared" si="84"/>
        <v/>
      </c>
      <c r="D914" s="16" t="str">
        <f>IF(B914="","",B914/MAX(B$5:B914)-1)</f>
        <v/>
      </c>
      <c r="E914" s="13" t="str">
        <f>IF(OR('实盘净值数据(iFinD）'!$A914="",'实盘净值数据(iFinD）'!$B914=""),"",分期持仓明细!$AB$18*SUMPRODUCT(分期持仓明细!$B$18:$Y$18,'实盘净值数据(iFinD）'!$B914:$Y914/'实盘净值数据(iFinD）'!$B$20:$Y$20)*(1-实盘持仓初始配置!$Z$5)^(('实盘净值数据(iFinD）'!$A914-'实盘净值数据(iFinD）'!$A$5)/365))</f>
        <v/>
      </c>
      <c r="F914" s="16" t="str">
        <f t="shared" si="85"/>
        <v/>
      </c>
      <c r="G914" s="16" t="str">
        <f>IF(E914="","",E914/MAX(E$5:E914)-1)</f>
        <v/>
      </c>
      <c r="H914" s="13" t="str">
        <f>IF(OR('实盘净值数据(iFinD）'!$A914="",'实盘净值数据(iFinD）'!$B914=""),"",分期持仓明细!$AB$19*SUMPRODUCT(分期持仓明细!$B$19:$Y$19,'实盘净值数据(iFinD）'!$B914:$Y914/'实盘净值数据(iFinD）'!$B$20:$Y$20)*(1-实盘持仓初始配置!$Z$6)^(('实盘净值数据(iFinD）'!$A914-'实盘净值数据(iFinD）'!$A$7)/365))</f>
        <v/>
      </c>
      <c r="I914" s="16" t="str">
        <f t="shared" si="86"/>
        <v/>
      </c>
      <c r="J914" s="16" t="str">
        <f>IF(H914="","",H914/MAX(H$5:H914)-1)</f>
        <v/>
      </c>
      <c r="K914" s="13" t="str">
        <f>IF(OR('实盘净值数据(iFinD）'!$A914="",'实盘净值数据(iFinD）'!$B914="",'实盘净值数据(iFinD）'!$Z914="",'实盘净值数据(iFinD）'!$AA914=""),"",分期持仓明细!$AB$23*(SUMPRODUCT(分期持仓明细!$B$23:$Y$23,'实盘净值数据(iFinD）'!$B914:$Y914/'实盘净值数据(iFinD）'!$B$65:$Y$65)+SUMPRODUCT(分期持仓明细!$AC$23:$AD$23,'实盘净值数据(iFinD）'!$Z914:$AA914/'实盘净值数据(iFinD）'!$Z$65:$AA$65))*(1-实盘持仓初始配置!$Z$7)^(('实盘净值数据(iFinD）'!$A914-'实盘净值数据(iFinD）'!$A$8)/365))</f>
        <v/>
      </c>
      <c r="L914" s="16" t="str">
        <f t="shared" si="87"/>
        <v/>
      </c>
      <c r="M914" s="16" t="str">
        <f>IF(K914="","",K914/MAX(K$5:K914)-1)</f>
        <v/>
      </c>
      <c r="N914" s="13" t="str">
        <f>IF(OR('实盘净值数据(iFinD）'!$A914="",'实盘净值数据(iFinD）'!$B914="",'实盘净值数据(iFinD）'!$Z914="",'实盘净值数据(iFinD）'!$AA914=""),"",分期持仓明细!$AB$24*(SUMPRODUCT(分期持仓明细!$B$24:$Y$24,'实盘净值数据(iFinD）'!$B914:$Y914/'实盘净值数据(iFinD）'!$B$65:$Y$65)+SUMPRODUCT(分期持仓明细!$AC$24:$AD$24,'实盘净值数据(iFinD）'!$Z914:$AA914/'实盘净值数据(iFinD）'!$Z$65:$AA$65))*(1-实盘持仓初始配置!$Z$8)^(('实盘净值数据(iFinD）'!$A914-'实盘净值数据(iFinD）'!$A$5)/365))</f>
        <v/>
      </c>
      <c r="O914" s="16" t="str">
        <f t="shared" si="88"/>
        <v/>
      </c>
      <c r="P914" s="16" t="str">
        <f>IF(N914="","",N914/MAX(N$5:N914)-1)</f>
        <v/>
      </c>
      <c r="Q914" s="13" t="str">
        <f>IF(OR('实盘净值数据(iFinD）'!$A914="",'实盘净值数据(iFinD）'!$B914="",'实盘净值数据(iFinD）'!$Z914="",'实盘净值数据(iFinD）'!$AA914=""),"",分期持仓明细!$AB$25*(SUMPRODUCT(分期持仓明细!$B$25:$Y$25,'实盘净值数据(iFinD）'!$B914:$Y914/'实盘净值数据(iFinD）'!$B$65:$Y$65)+SUMPRODUCT(分期持仓明细!$AC$25:$AD$25,'实盘净值数据(iFinD）'!$Z914:$AA914/'实盘净值数据(iFinD）'!$Z$65:$AA$65))*(1-实盘持仓初始配置!$Z$9)^(('实盘净值数据(iFinD）'!$A914-'实盘净值数据(iFinD）'!$A$8)/365))</f>
        <v/>
      </c>
      <c r="R914" s="16" t="str">
        <f t="shared" si="89"/>
        <v/>
      </c>
      <c r="S914" s="16" t="str">
        <f>IF(Q914="","",Q914/MAX(Q$5:Q914)-1)</f>
        <v/>
      </c>
    </row>
    <row r="915" spans="1:19">
      <c r="A915" s="15" t="str">
        <f>IF('实盘净值数据(iFinD）'!A915="","",'实盘净值数据(iFinD）'!A915)</f>
        <v/>
      </c>
      <c r="B915" s="13" t="str">
        <f>IF(OR('实盘净值数据(iFinD）'!$A915="",'实盘净值数据(iFinD）'!$B915=""),"",分期持仓明细!$AB$17*SUMPRODUCT(分期持仓明细!$B$17:$Y$17,'实盘净值数据(iFinD）'!$B915:$Y915/'实盘净值数据(iFinD）'!$B$20:$Y$20)*(1-实盘持仓初始配置!$Z$4)^(('实盘净值数据(iFinD）'!$A915-'实盘净值数据(iFinD）'!$A$6)/365))</f>
        <v/>
      </c>
      <c r="C915" s="16" t="str">
        <f t="shared" si="84"/>
        <v/>
      </c>
      <c r="D915" s="16" t="str">
        <f>IF(B915="","",B915/MAX(B$5:B915)-1)</f>
        <v/>
      </c>
      <c r="E915" s="13" t="str">
        <f>IF(OR('实盘净值数据(iFinD）'!$A915="",'实盘净值数据(iFinD）'!$B915=""),"",分期持仓明细!$AB$18*SUMPRODUCT(分期持仓明细!$B$18:$Y$18,'实盘净值数据(iFinD）'!$B915:$Y915/'实盘净值数据(iFinD）'!$B$20:$Y$20)*(1-实盘持仓初始配置!$Z$5)^(('实盘净值数据(iFinD）'!$A915-'实盘净值数据(iFinD）'!$A$5)/365))</f>
        <v/>
      </c>
      <c r="F915" s="16" t="str">
        <f t="shared" si="85"/>
        <v/>
      </c>
      <c r="G915" s="16" t="str">
        <f>IF(E915="","",E915/MAX(E$5:E915)-1)</f>
        <v/>
      </c>
      <c r="H915" s="13" t="str">
        <f>IF(OR('实盘净值数据(iFinD）'!$A915="",'实盘净值数据(iFinD）'!$B915=""),"",分期持仓明细!$AB$19*SUMPRODUCT(分期持仓明细!$B$19:$Y$19,'实盘净值数据(iFinD）'!$B915:$Y915/'实盘净值数据(iFinD）'!$B$20:$Y$20)*(1-实盘持仓初始配置!$Z$6)^(('实盘净值数据(iFinD）'!$A915-'实盘净值数据(iFinD）'!$A$7)/365))</f>
        <v/>
      </c>
      <c r="I915" s="16" t="str">
        <f t="shared" si="86"/>
        <v/>
      </c>
      <c r="J915" s="16" t="str">
        <f>IF(H915="","",H915/MAX(H$5:H915)-1)</f>
        <v/>
      </c>
      <c r="K915" s="13" t="str">
        <f>IF(OR('实盘净值数据(iFinD）'!$A915="",'实盘净值数据(iFinD）'!$B915="",'实盘净值数据(iFinD）'!$Z915="",'实盘净值数据(iFinD）'!$AA915=""),"",分期持仓明细!$AB$23*(SUMPRODUCT(分期持仓明细!$B$23:$Y$23,'实盘净值数据(iFinD）'!$B915:$Y915/'实盘净值数据(iFinD）'!$B$65:$Y$65)+SUMPRODUCT(分期持仓明细!$AC$23:$AD$23,'实盘净值数据(iFinD）'!$Z915:$AA915/'实盘净值数据(iFinD）'!$Z$65:$AA$65))*(1-实盘持仓初始配置!$Z$7)^(('实盘净值数据(iFinD）'!$A915-'实盘净值数据(iFinD）'!$A$8)/365))</f>
        <v/>
      </c>
      <c r="L915" s="16" t="str">
        <f t="shared" si="87"/>
        <v/>
      </c>
      <c r="M915" s="16" t="str">
        <f>IF(K915="","",K915/MAX(K$5:K915)-1)</f>
        <v/>
      </c>
      <c r="N915" s="13" t="str">
        <f>IF(OR('实盘净值数据(iFinD）'!$A915="",'实盘净值数据(iFinD）'!$B915="",'实盘净值数据(iFinD）'!$Z915="",'实盘净值数据(iFinD）'!$AA915=""),"",分期持仓明细!$AB$24*(SUMPRODUCT(分期持仓明细!$B$24:$Y$24,'实盘净值数据(iFinD）'!$B915:$Y915/'实盘净值数据(iFinD）'!$B$65:$Y$65)+SUMPRODUCT(分期持仓明细!$AC$24:$AD$24,'实盘净值数据(iFinD）'!$Z915:$AA915/'实盘净值数据(iFinD）'!$Z$65:$AA$65))*(1-实盘持仓初始配置!$Z$8)^(('实盘净值数据(iFinD）'!$A915-'实盘净值数据(iFinD）'!$A$5)/365))</f>
        <v/>
      </c>
      <c r="O915" s="16" t="str">
        <f t="shared" si="88"/>
        <v/>
      </c>
      <c r="P915" s="16" t="str">
        <f>IF(N915="","",N915/MAX(N$5:N915)-1)</f>
        <v/>
      </c>
      <c r="Q915" s="13" t="str">
        <f>IF(OR('实盘净值数据(iFinD）'!$A915="",'实盘净值数据(iFinD）'!$B915="",'实盘净值数据(iFinD）'!$Z915="",'实盘净值数据(iFinD）'!$AA915=""),"",分期持仓明细!$AB$25*(SUMPRODUCT(分期持仓明细!$B$25:$Y$25,'实盘净值数据(iFinD）'!$B915:$Y915/'实盘净值数据(iFinD）'!$B$65:$Y$65)+SUMPRODUCT(分期持仓明细!$AC$25:$AD$25,'实盘净值数据(iFinD）'!$Z915:$AA915/'实盘净值数据(iFinD）'!$Z$65:$AA$65))*(1-实盘持仓初始配置!$Z$9)^(('实盘净值数据(iFinD）'!$A915-'实盘净值数据(iFinD）'!$A$8)/365))</f>
        <v/>
      </c>
      <c r="R915" s="16" t="str">
        <f t="shared" si="89"/>
        <v/>
      </c>
      <c r="S915" s="16" t="str">
        <f>IF(Q915="","",Q915/MAX(Q$5:Q915)-1)</f>
        <v/>
      </c>
    </row>
    <row r="916" spans="1:19">
      <c r="A916" s="15" t="str">
        <f>IF('实盘净值数据(iFinD）'!A916="","",'实盘净值数据(iFinD）'!A916)</f>
        <v/>
      </c>
      <c r="B916" s="13" t="str">
        <f>IF(OR('实盘净值数据(iFinD）'!$A916="",'实盘净值数据(iFinD）'!$B916=""),"",分期持仓明细!$AB$17*SUMPRODUCT(分期持仓明细!$B$17:$Y$17,'实盘净值数据(iFinD）'!$B916:$Y916/'实盘净值数据(iFinD）'!$B$20:$Y$20)*(1-实盘持仓初始配置!$Z$4)^(('实盘净值数据(iFinD）'!$A916-'实盘净值数据(iFinD）'!$A$6)/365))</f>
        <v/>
      </c>
      <c r="C916" s="16" t="str">
        <f t="shared" si="84"/>
        <v/>
      </c>
      <c r="D916" s="16" t="str">
        <f>IF(B916="","",B916/MAX(B$5:B916)-1)</f>
        <v/>
      </c>
      <c r="E916" s="13" t="str">
        <f>IF(OR('实盘净值数据(iFinD）'!$A916="",'实盘净值数据(iFinD）'!$B916=""),"",分期持仓明细!$AB$18*SUMPRODUCT(分期持仓明细!$B$18:$Y$18,'实盘净值数据(iFinD）'!$B916:$Y916/'实盘净值数据(iFinD）'!$B$20:$Y$20)*(1-实盘持仓初始配置!$Z$5)^(('实盘净值数据(iFinD）'!$A916-'实盘净值数据(iFinD）'!$A$5)/365))</f>
        <v/>
      </c>
      <c r="F916" s="16" t="str">
        <f t="shared" si="85"/>
        <v/>
      </c>
      <c r="G916" s="16" t="str">
        <f>IF(E916="","",E916/MAX(E$5:E916)-1)</f>
        <v/>
      </c>
      <c r="H916" s="13" t="str">
        <f>IF(OR('实盘净值数据(iFinD）'!$A916="",'实盘净值数据(iFinD）'!$B916=""),"",分期持仓明细!$AB$19*SUMPRODUCT(分期持仓明细!$B$19:$Y$19,'实盘净值数据(iFinD）'!$B916:$Y916/'实盘净值数据(iFinD）'!$B$20:$Y$20)*(1-实盘持仓初始配置!$Z$6)^(('实盘净值数据(iFinD）'!$A916-'实盘净值数据(iFinD）'!$A$7)/365))</f>
        <v/>
      </c>
      <c r="I916" s="16" t="str">
        <f t="shared" si="86"/>
        <v/>
      </c>
      <c r="J916" s="16" t="str">
        <f>IF(H916="","",H916/MAX(H$5:H916)-1)</f>
        <v/>
      </c>
      <c r="K916" s="13" t="str">
        <f>IF(OR('实盘净值数据(iFinD）'!$A916="",'实盘净值数据(iFinD）'!$B916="",'实盘净值数据(iFinD）'!$Z916="",'实盘净值数据(iFinD）'!$AA916=""),"",分期持仓明细!$AB$23*(SUMPRODUCT(分期持仓明细!$B$23:$Y$23,'实盘净值数据(iFinD）'!$B916:$Y916/'实盘净值数据(iFinD）'!$B$65:$Y$65)+SUMPRODUCT(分期持仓明细!$AC$23:$AD$23,'实盘净值数据(iFinD）'!$Z916:$AA916/'实盘净值数据(iFinD）'!$Z$65:$AA$65))*(1-实盘持仓初始配置!$Z$7)^(('实盘净值数据(iFinD）'!$A916-'实盘净值数据(iFinD）'!$A$8)/365))</f>
        <v/>
      </c>
      <c r="L916" s="16" t="str">
        <f t="shared" si="87"/>
        <v/>
      </c>
      <c r="M916" s="16" t="str">
        <f>IF(K916="","",K916/MAX(K$5:K916)-1)</f>
        <v/>
      </c>
      <c r="N916" s="13" t="str">
        <f>IF(OR('实盘净值数据(iFinD）'!$A916="",'实盘净值数据(iFinD）'!$B916="",'实盘净值数据(iFinD）'!$Z916="",'实盘净值数据(iFinD）'!$AA916=""),"",分期持仓明细!$AB$24*(SUMPRODUCT(分期持仓明细!$B$24:$Y$24,'实盘净值数据(iFinD）'!$B916:$Y916/'实盘净值数据(iFinD）'!$B$65:$Y$65)+SUMPRODUCT(分期持仓明细!$AC$24:$AD$24,'实盘净值数据(iFinD）'!$Z916:$AA916/'实盘净值数据(iFinD）'!$Z$65:$AA$65))*(1-实盘持仓初始配置!$Z$8)^(('实盘净值数据(iFinD）'!$A916-'实盘净值数据(iFinD）'!$A$5)/365))</f>
        <v/>
      </c>
      <c r="O916" s="16" t="str">
        <f t="shared" si="88"/>
        <v/>
      </c>
      <c r="P916" s="16" t="str">
        <f>IF(N916="","",N916/MAX(N$5:N916)-1)</f>
        <v/>
      </c>
      <c r="Q916" s="13" t="str">
        <f>IF(OR('实盘净值数据(iFinD）'!$A916="",'实盘净值数据(iFinD）'!$B916="",'实盘净值数据(iFinD）'!$Z916="",'实盘净值数据(iFinD）'!$AA916=""),"",分期持仓明细!$AB$25*(SUMPRODUCT(分期持仓明细!$B$25:$Y$25,'实盘净值数据(iFinD）'!$B916:$Y916/'实盘净值数据(iFinD）'!$B$65:$Y$65)+SUMPRODUCT(分期持仓明细!$AC$25:$AD$25,'实盘净值数据(iFinD）'!$Z916:$AA916/'实盘净值数据(iFinD）'!$Z$65:$AA$65))*(1-实盘持仓初始配置!$Z$9)^(('实盘净值数据(iFinD）'!$A916-'实盘净值数据(iFinD）'!$A$8)/365))</f>
        <v/>
      </c>
      <c r="R916" s="16" t="str">
        <f t="shared" si="89"/>
        <v/>
      </c>
      <c r="S916" s="16" t="str">
        <f>IF(Q916="","",Q916/MAX(Q$5:Q916)-1)</f>
        <v/>
      </c>
    </row>
    <row r="917" spans="1:19">
      <c r="A917" s="15" t="str">
        <f>IF('实盘净值数据(iFinD）'!A917="","",'实盘净值数据(iFinD）'!A917)</f>
        <v/>
      </c>
      <c r="B917" s="13" t="str">
        <f>IF(OR('实盘净值数据(iFinD）'!$A917="",'实盘净值数据(iFinD）'!$B917=""),"",分期持仓明细!$AB$17*SUMPRODUCT(分期持仓明细!$B$17:$Y$17,'实盘净值数据(iFinD）'!$B917:$Y917/'实盘净值数据(iFinD）'!$B$20:$Y$20)*(1-实盘持仓初始配置!$Z$4)^(('实盘净值数据(iFinD）'!$A917-'实盘净值数据(iFinD）'!$A$6)/365))</f>
        <v/>
      </c>
      <c r="C917" s="16" t="str">
        <f t="shared" si="84"/>
        <v/>
      </c>
      <c r="D917" s="16" t="str">
        <f>IF(B917="","",B917/MAX(B$5:B917)-1)</f>
        <v/>
      </c>
      <c r="E917" s="13" t="str">
        <f>IF(OR('实盘净值数据(iFinD）'!$A917="",'实盘净值数据(iFinD）'!$B917=""),"",分期持仓明细!$AB$18*SUMPRODUCT(分期持仓明细!$B$18:$Y$18,'实盘净值数据(iFinD）'!$B917:$Y917/'实盘净值数据(iFinD）'!$B$20:$Y$20)*(1-实盘持仓初始配置!$Z$5)^(('实盘净值数据(iFinD）'!$A917-'实盘净值数据(iFinD）'!$A$5)/365))</f>
        <v/>
      </c>
      <c r="F917" s="16" t="str">
        <f t="shared" si="85"/>
        <v/>
      </c>
      <c r="G917" s="16" t="str">
        <f>IF(E917="","",E917/MAX(E$5:E917)-1)</f>
        <v/>
      </c>
      <c r="H917" s="13" t="str">
        <f>IF(OR('实盘净值数据(iFinD）'!$A917="",'实盘净值数据(iFinD）'!$B917=""),"",分期持仓明细!$AB$19*SUMPRODUCT(分期持仓明细!$B$19:$Y$19,'实盘净值数据(iFinD）'!$B917:$Y917/'实盘净值数据(iFinD）'!$B$20:$Y$20)*(1-实盘持仓初始配置!$Z$6)^(('实盘净值数据(iFinD）'!$A917-'实盘净值数据(iFinD）'!$A$7)/365))</f>
        <v/>
      </c>
      <c r="I917" s="16" t="str">
        <f t="shared" si="86"/>
        <v/>
      </c>
      <c r="J917" s="16" t="str">
        <f>IF(H917="","",H917/MAX(H$5:H917)-1)</f>
        <v/>
      </c>
      <c r="K917" s="13" t="str">
        <f>IF(OR('实盘净值数据(iFinD）'!$A917="",'实盘净值数据(iFinD）'!$B917="",'实盘净值数据(iFinD）'!$Z917="",'实盘净值数据(iFinD）'!$AA917=""),"",分期持仓明细!$AB$23*(SUMPRODUCT(分期持仓明细!$B$23:$Y$23,'实盘净值数据(iFinD）'!$B917:$Y917/'实盘净值数据(iFinD）'!$B$65:$Y$65)+SUMPRODUCT(分期持仓明细!$AC$23:$AD$23,'实盘净值数据(iFinD）'!$Z917:$AA917/'实盘净值数据(iFinD）'!$Z$65:$AA$65))*(1-实盘持仓初始配置!$Z$7)^(('实盘净值数据(iFinD）'!$A917-'实盘净值数据(iFinD）'!$A$8)/365))</f>
        <v/>
      </c>
      <c r="L917" s="16" t="str">
        <f t="shared" si="87"/>
        <v/>
      </c>
      <c r="M917" s="16" t="str">
        <f>IF(K917="","",K917/MAX(K$5:K917)-1)</f>
        <v/>
      </c>
      <c r="N917" s="13" t="str">
        <f>IF(OR('实盘净值数据(iFinD）'!$A917="",'实盘净值数据(iFinD）'!$B917="",'实盘净值数据(iFinD）'!$Z917="",'实盘净值数据(iFinD）'!$AA917=""),"",分期持仓明细!$AB$24*(SUMPRODUCT(分期持仓明细!$B$24:$Y$24,'实盘净值数据(iFinD）'!$B917:$Y917/'实盘净值数据(iFinD）'!$B$65:$Y$65)+SUMPRODUCT(分期持仓明细!$AC$24:$AD$24,'实盘净值数据(iFinD）'!$Z917:$AA917/'实盘净值数据(iFinD）'!$Z$65:$AA$65))*(1-实盘持仓初始配置!$Z$8)^(('实盘净值数据(iFinD）'!$A917-'实盘净值数据(iFinD）'!$A$5)/365))</f>
        <v/>
      </c>
      <c r="O917" s="16" t="str">
        <f t="shared" si="88"/>
        <v/>
      </c>
      <c r="P917" s="16" t="str">
        <f>IF(N917="","",N917/MAX(N$5:N917)-1)</f>
        <v/>
      </c>
      <c r="Q917" s="13" t="str">
        <f>IF(OR('实盘净值数据(iFinD）'!$A917="",'实盘净值数据(iFinD）'!$B917="",'实盘净值数据(iFinD）'!$Z917="",'实盘净值数据(iFinD）'!$AA917=""),"",分期持仓明细!$AB$25*(SUMPRODUCT(分期持仓明细!$B$25:$Y$25,'实盘净值数据(iFinD）'!$B917:$Y917/'实盘净值数据(iFinD）'!$B$65:$Y$65)+SUMPRODUCT(分期持仓明细!$AC$25:$AD$25,'实盘净值数据(iFinD）'!$Z917:$AA917/'实盘净值数据(iFinD）'!$Z$65:$AA$65))*(1-实盘持仓初始配置!$Z$9)^(('实盘净值数据(iFinD）'!$A917-'实盘净值数据(iFinD）'!$A$8)/365))</f>
        <v/>
      </c>
      <c r="R917" s="16" t="str">
        <f t="shared" si="89"/>
        <v/>
      </c>
      <c r="S917" s="16" t="str">
        <f>IF(Q917="","",Q917/MAX(Q$5:Q917)-1)</f>
        <v/>
      </c>
    </row>
    <row r="918" spans="1:19">
      <c r="A918" s="15" t="str">
        <f>IF('实盘净值数据(iFinD）'!A918="","",'实盘净值数据(iFinD）'!A918)</f>
        <v/>
      </c>
      <c r="B918" s="13" t="str">
        <f>IF(OR('实盘净值数据(iFinD）'!$A918="",'实盘净值数据(iFinD）'!$B918=""),"",分期持仓明细!$AB$17*SUMPRODUCT(分期持仓明细!$B$17:$Y$17,'实盘净值数据(iFinD）'!$B918:$Y918/'实盘净值数据(iFinD）'!$B$20:$Y$20)*(1-实盘持仓初始配置!$Z$4)^(('实盘净值数据(iFinD）'!$A918-'实盘净值数据(iFinD）'!$A$6)/365))</f>
        <v/>
      </c>
      <c r="C918" s="16" t="str">
        <f t="shared" si="84"/>
        <v/>
      </c>
      <c r="D918" s="16" t="str">
        <f>IF(B918="","",B918/MAX(B$5:B918)-1)</f>
        <v/>
      </c>
      <c r="E918" s="13" t="str">
        <f>IF(OR('实盘净值数据(iFinD）'!$A918="",'实盘净值数据(iFinD）'!$B918=""),"",分期持仓明细!$AB$18*SUMPRODUCT(分期持仓明细!$B$18:$Y$18,'实盘净值数据(iFinD）'!$B918:$Y918/'实盘净值数据(iFinD）'!$B$20:$Y$20)*(1-实盘持仓初始配置!$Z$5)^(('实盘净值数据(iFinD）'!$A918-'实盘净值数据(iFinD）'!$A$5)/365))</f>
        <v/>
      </c>
      <c r="F918" s="16" t="str">
        <f t="shared" si="85"/>
        <v/>
      </c>
      <c r="G918" s="16" t="str">
        <f>IF(E918="","",E918/MAX(E$5:E918)-1)</f>
        <v/>
      </c>
      <c r="H918" s="13" t="str">
        <f>IF(OR('实盘净值数据(iFinD）'!$A918="",'实盘净值数据(iFinD）'!$B918=""),"",分期持仓明细!$AB$19*SUMPRODUCT(分期持仓明细!$B$19:$Y$19,'实盘净值数据(iFinD）'!$B918:$Y918/'实盘净值数据(iFinD）'!$B$20:$Y$20)*(1-实盘持仓初始配置!$Z$6)^(('实盘净值数据(iFinD）'!$A918-'实盘净值数据(iFinD）'!$A$7)/365))</f>
        <v/>
      </c>
      <c r="I918" s="16" t="str">
        <f t="shared" si="86"/>
        <v/>
      </c>
      <c r="J918" s="16" t="str">
        <f>IF(H918="","",H918/MAX(H$5:H918)-1)</f>
        <v/>
      </c>
      <c r="K918" s="13" t="str">
        <f>IF(OR('实盘净值数据(iFinD）'!$A918="",'实盘净值数据(iFinD）'!$B918="",'实盘净值数据(iFinD）'!$Z918="",'实盘净值数据(iFinD）'!$AA918=""),"",分期持仓明细!$AB$23*(SUMPRODUCT(分期持仓明细!$B$23:$Y$23,'实盘净值数据(iFinD）'!$B918:$Y918/'实盘净值数据(iFinD）'!$B$65:$Y$65)+SUMPRODUCT(分期持仓明细!$AC$23:$AD$23,'实盘净值数据(iFinD）'!$Z918:$AA918/'实盘净值数据(iFinD）'!$Z$65:$AA$65))*(1-实盘持仓初始配置!$Z$7)^(('实盘净值数据(iFinD）'!$A918-'实盘净值数据(iFinD）'!$A$8)/365))</f>
        <v/>
      </c>
      <c r="L918" s="16" t="str">
        <f t="shared" si="87"/>
        <v/>
      </c>
      <c r="M918" s="16" t="str">
        <f>IF(K918="","",K918/MAX(K$5:K918)-1)</f>
        <v/>
      </c>
      <c r="N918" s="13" t="str">
        <f>IF(OR('实盘净值数据(iFinD）'!$A918="",'实盘净值数据(iFinD）'!$B918="",'实盘净值数据(iFinD）'!$Z918="",'实盘净值数据(iFinD）'!$AA918=""),"",分期持仓明细!$AB$24*(SUMPRODUCT(分期持仓明细!$B$24:$Y$24,'实盘净值数据(iFinD）'!$B918:$Y918/'实盘净值数据(iFinD）'!$B$65:$Y$65)+SUMPRODUCT(分期持仓明细!$AC$24:$AD$24,'实盘净值数据(iFinD）'!$Z918:$AA918/'实盘净值数据(iFinD）'!$Z$65:$AA$65))*(1-实盘持仓初始配置!$Z$8)^(('实盘净值数据(iFinD）'!$A918-'实盘净值数据(iFinD）'!$A$5)/365))</f>
        <v/>
      </c>
      <c r="O918" s="16" t="str">
        <f t="shared" si="88"/>
        <v/>
      </c>
      <c r="P918" s="16" t="str">
        <f>IF(N918="","",N918/MAX(N$5:N918)-1)</f>
        <v/>
      </c>
      <c r="Q918" s="13" t="str">
        <f>IF(OR('实盘净值数据(iFinD）'!$A918="",'实盘净值数据(iFinD）'!$B918="",'实盘净值数据(iFinD）'!$Z918="",'实盘净值数据(iFinD）'!$AA918=""),"",分期持仓明细!$AB$25*(SUMPRODUCT(分期持仓明细!$B$25:$Y$25,'实盘净值数据(iFinD）'!$B918:$Y918/'实盘净值数据(iFinD）'!$B$65:$Y$65)+SUMPRODUCT(分期持仓明细!$AC$25:$AD$25,'实盘净值数据(iFinD）'!$Z918:$AA918/'实盘净值数据(iFinD）'!$Z$65:$AA$65))*(1-实盘持仓初始配置!$Z$9)^(('实盘净值数据(iFinD）'!$A918-'实盘净值数据(iFinD）'!$A$8)/365))</f>
        <v/>
      </c>
      <c r="R918" s="16" t="str">
        <f t="shared" si="89"/>
        <v/>
      </c>
      <c r="S918" s="16" t="str">
        <f>IF(Q918="","",Q918/MAX(Q$5:Q918)-1)</f>
        <v/>
      </c>
    </row>
    <row r="919" spans="1:19">
      <c r="A919" s="15" t="str">
        <f>IF('实盘净值数据(iFinD）'!A919="","",'实盘净值数据(iFinD）'!A919)</f>
        <v/>
      </c>
      <c r="B919" s="13" t="str">
        <f>IF(OR('实盘净值数据(iFinD）'!$A919="",'实盘净值数据(iFinD）'!$B919=""),"",分期持仓明细!$AB$17*SUMPRODUCT(分期持仓明细!$B$17:$Y$17,'实盘净值数据(iFinD）'!$B919:$Y919/'实盘净值数据(iFinD）'!$B$20:$Y$20)*(1-实盘持仓初始配置!$Z$4)^(('实盘净值数据(iFinD）'!$A919-'实盘净值数据(iFinD）'!$A$6)/365))</f>
        <v/>
      </c>
      <c r="C919" s="16" t="str">
        <f t="shared" si="84"/>
        <v/>
      </c>
      <c r="D919" s="16" t="str">
        <f>IF(B919="","",B919/MAX(B$5:B919)-1)</f>
        <v/>
      </c>
      <c r="E919" s="13" t="str">
        <f>IF(OR('实盘净值数据(iFinD）'!$A919="",'实盘净值数据(iFinD）'!$B919=""),"",分期持仓明细!$AB$18*SUMPRODUCT(分期持仓明细!$B$18:$Y$18,'实盘净值数据(iFinD）'!$B919:$Y919/'实盘净值数据(iFinD）'!$B$20:$Y$20)*(1-实盘持仓初始配置!$Z$5)^(('实盘净值数据(iFinD）'!$A919-'实盘净值数据(iFinD）'!$A$5)/365))</f>
        <v/>
      </c>
      <c r="F919" s="16" t="str">
        <f t="shared" si="85"/>
        <v/>
      </c>
      <c r="G919" s="16" t="str">
        <f>IF(E919="","",E919/MAX(E$5:E919)-1)</f>
        <v/>
      </c>
      <c r="H919" s="13" t="str">
        <f>IF(OR('实盘净值数据(iFinD）'!$A919="",'实盘净值数据(iFinD）'!$B919=""),"",分期持仓明细!$AB$19*SUMPRODUCT(分期持仓明细!$B$19:$Y$19,'实盘净值数据(iFinD）'!$B919:$Y919/'实盘净值数据(iFinD）'!$B$20:$Y$20)*(1-实盘持仓初始配置!$Z$6)^(('实盘净值数据(iFinD）'!$A919-'实盘净值数据(iFinD）'!$A$7)/365))</f>
        <v/>
      </c>
      <c r="I919" s="16" t="str">
        <f t="shared" si="86"/>
        <v/>
      </c>
      <c r="J919" s="16" t="str">
        <f>IF(H919="","",H919/MAX(H$5:H919)-1)</f>
        <v/>
      </c>
      <c r="K919" s="13" t="str">
        <f>IF(OR('实盘净值数据(iFinD）'!$A919="",'实盘净值数据(iFinD）'!$B919="",'实盘净值数据(iFinD）'!$Z919="",'实盘净值数据(iFinD）'!$AA919=""),"",分期持仓明细!$AB$23*(SUMPRODUCT(分期持仓明细!$B$23:$Y$23,'实盘净值数据(iFinD）'!$B919:$Y919/'实盘净值数据(iFinD）'!$B$65:$Y$65)+SUMPRODUCT(分期持仓明细!$AC$23:$AD$23,'实盘净值数据(iFinD）'!$Z919:$AA919/'实盘净值数据(iFinD）'!$Z$65:$AA$65))*(1-实盘持仓初始配置!$Z$7)^(('实盘净值数据(iFinD）'!$A919-'实盘净值数据(iFinD）'!$A$8)/365))</f>
        <v/>
      </c>
      <c r="L919" s="16" t="str">
        <f t="shared" si="87"/>
        <v/>
      </c>
      <c r="M919" s="16" t="str">
        <f>IF(K919="","",K919/MAX(K$5:K919)-1)</f>
        <v/>
      </c>
      <c r="N919" s="13" t="str">
        <f>IF(OR('实盘净值数据(iFinD）'!$A919="",'实盘净值数据(iFinD）'!$B919="",'实盘净值数据(iFinD）'!$Z919="",'实盘净值数据(iFinD）'!$AA919=""),"",分期持仓明细!$AB$24*(SUMPRODUCT(分期持仓明细!$B$24:$Y$24,'实盘净值数据(iFinD）'!$B919:$Y919/'实盘净值数据(iFinD）'!$B$65:$Y$65)+SUMPRODUCT(分期持仓明细!$AC$24:$AD$24,'实盘净值数据(iFinD）'!$Z919:$AA919/'实盘净值数据(iFinD）'!$Z$65:$AA$65))*(1-实盘持仓初始配置!$Z$8)^(('实盘净值数据(iFinD）'!$A919-'实盘净值数据(iFinD）'!$A$5)/365))</f>
        <v/>
      </c>
      <c r="O919" s="16" t="str">
        <f t="shared" si="88"/>
        <v/>
      </c>
      <c r="P919" s="16" t="str">
        <f>IF(N919="","",N919/MAX(N$5:N919)-1)</f>
        <v/>
      </c>
      <c r="Q919" s="13" t="str">
        <f>IF(OR('实盘净值数据(iFinD）'!$A919="",'实盘净值数据(iFinD）'!$B919="",'实盘净值数据(iFinD）'!$Z919="",'实盘净值数据(iFinD）'!$AA919=""),"",分期持仓明细!$AB$25*(SUMPRODUCT(分期持仓明细!$B$25:$Y$25,'实盘净值数据(iFinD）'!$B919:$Y919/'实盘净值数据(iFinD）'!$B$65:$Y$65)+SUMPRODUCT(分期持仓明细!$AC$25:$AD$25,'实盘净值数据(iFinD）'!$Z919:$AA919/'实盘净值数据(iFinD）'!$Z$65:$AA$65))*(1-实盘持仓初始配置!$Z$9)^(('实盘净值数据(iFinD）'!$A919-'实盘净值数据(iFinD）'!$A$8)/365))</f>
        <v/>
      </c>
      <c r="R919" s="16" t="str">
        <f t="shared" si="89"/>
        <v/>
      </c>
      <c r="S919" s="16" t="str">
        <f>IF(Q919="","",Q919/MAX(Q$5:Q919)-1)</f>
        <v/>
      </c>
    </row>
    <row r="920" spans="1:19">
      <c r="A920" s="15" t="str">
        <f>IF('实盘净值数据(iFinD）'!A920="","",'实盘净值数据(iFinD）'!A920)</f>
        <v/>
      </c>
      <c r="B920" s="13" t="str">
        <f>IF(OR('实盘净值数据(iFinD）'!$A920="",'实盘净值数据(iFinD）'!$B920=""),"",分期持仓明细!$AB$17*SUMPRODUCT(分期持仓明细!$B$17:$Y$17,'实盘净值数据(iFinD）'!$B920:$Y920/'实盘净值数据(iFinD）'!$B$20:$Y$20)*(1-实盘持仓初始配置!$Z$4)^(('实盘净值数据(iFinD）'!$A920-'实盘净值数据(iFinD）'!$A$6)/365))</f>
        <v/>
      </c>
      <c r="C920" s="16" t="str">
        <f t="shared" si="84"/>
        <v/>
      </c>
      <c r="D920" s="16" t="str">
        <f>IF(B920="","",B920/MAX(B$5:B920)-1)</f>
        <v/>
      </c>
      <c r="E920" s="13" t="str">
        <f>IF(OR('实盘净值数据(iFinD）'!$A920="",'实盘净值数据(iFinD）'!$B920=""),"",分期持仓明细!$AB$18*SUMPRODUCT(分期持仓明细!$B$18:$Y$18,'实盘净值数据(iFinD）'!$B920:$Y920/'实盘净值数据(iFinD）'!$B$20:$Y$20)*(1-实盘持仓初始配置!$Z$5)^(('实盘净值数据(iFinD）'!$A920-'实盘净值数据(iFinD）'!$A$5)/365))</f>
        <v/>
      </c>
      <c r="F920" s="16" t="str">
        <f t="shared" si="85"/>
        <v/>
      </c>
      <c r="G920" s="16" t="str">
        <f>IF(E920="","",E920/MAX(E$5:E920)-1)</f>
        <v/>
      </c>
      <c r="H920" s="13" t="str">
        <f>IF(OR('实盘净值数据(iFinD）'!$A920="",'实盘净值数据(iFinD）'!$B920=""),"",分期持仓明细!$AB$19*SUMPRODUCT(分期持仓明细!$B$19:$Y$19,'实盘净值数据(iFinD）'!$B920:$Y920/'实盘净值数据(iFinD）'!$B$20:$Y$20)*(1-实盘持仓初始配置!$Z$6)^(('实盘净值数据(iFinD）'!$A920-'实盘净值数据(iFinD）'!$A$7)/365))</f>
        <v/>
      </c>
      <c r="I920" s="16" t="str">
        <f t="shared" si="86"/>
        <v/>
      </c>
      <c r="J920" s="16" t="str">
        <f>IF(H920="","",H920/MAX(H$5:H920)-1)</f>
        <v/>
      </c>
      <c r="K920" s="13" t="str">
        <f>IF(OR('实盘净值数据(iFinD）'!$A920="",'实盘净值数据(iFinD）'!$B920="",'实盘净值数据(iFinD）'!$Z920="",'实盘净值数据(iFinD）'!$AA920=""),"",分期持仓明细!$AB$23*(SUMPRODUCT(分期持仓明细!$B$23:$Y$23,'实盘净值数据(iFinD）'!$B920:$Y920/'实盘净值数据(iFinD）'!$B$65:$Y$65)+SUMPRODUCT(分期持仓明细!$AC$23:$AD$23,'实盘净值数据(iFinD）'!$Z920:$AA920/'实盘净值数据(iFinD）'!$Z$65:$AA$65))*(1-实盘持仓初始配置!$Z$7)^(('实盘净值数据(iFinD）'!$A920-'实盘净值数据(iFinD）'!$A$8)/365))</f>
        <v/>
      </c>
      <c r="L920" s="16" t="str">
        <f t="shared" si="87"/>
        <v/>
      </c>
      <c r="M920" s="16" t="str">
        <f>IF(K920="","",K920/MAX(K$5:K920)-1)</f>
        <v/>
      </c>
      <c r="N920" s="13" t="str">
        <f>IF(OR('实盘净值数据(iFinD）'!$A920="",'实盘净值数据(iFinD）'!$B920="",'实盘净值数据(iFinD）'!$Z920="",'实盘净值数据(iFinD）'!$AA920=""),"",分期持仓明细!$AB$24*(SUMPRODUCT(分期持仓明细!$B$24:$Y$24,'实盘净值数据(iFinD）'!$B920:$Y920/'实盘净值数据(iFinD）'!$B$65:$Y$65)+SUMPRODUCT(分期持仓明细!$AC$24:$AD$24,'实盘净值数据(iFinD）'!$Z920:$AA920/'实盘净值数据(iFinD）'!$Z$65:$AA$65))*(1-实盘持仓初始配置!$Z$8)^(('实盘净值数据(iFinD）'!$A920-'实盘净值数据(iFinD）'!$A$5)/365))</f>
        <v/>
      </c>
      <c r="O920" s="16" t="str">
        <f t="shared" si="88"/>
        <v/>
      </c>
      <c r="P920" s="16" t="str">
        <f>IF(N920="","",N920/MAX(N$5:N920)-1)</f>
        <v/>
      </c>
      <c r="Q920" s="13" t="str">
        <f>IF(OR('实盘净值数据(iFinD）'!$A920="",'实盘净值数据(iFinD）'!$B920="",'实盘净值数据(iFinD）'!$Z920="",'实盘净值数据(iFinD）'!$AA920=""),"",分期持仓明细!$AB$25*(SUMPRODUCT(分期持仓明细!$B$25:$Y$25,'实盘净值数据(iFinD）'!$B920:$Y920/'实盘净值数据(iFinD）'!$B$65:$Y$65)+SUMPRODUCT(分期持仓明细!$AC$25:$AD$25,'实盘净值数据(iFinD）'!$Z920:$AA920/'实盘净值数据(iFinD）'!$Z$65:$AA$65))*(1-实盘持仓初始配置!$Z$9)^(('实盘净值数据(iFinD）'!$A920-'实盘净值数据(iFinD）'!$A$8)/365))</f>
        <v/>
      </c>
      <c r="R920" s="16" t="str">
        <f t="shared" si="89"/>
        <v/>
      </c>
      <c r="S920" s="16" t="str">
        <f>IF(Q920="","",Q920/MAX(Q$5:Q920)-1)</f>
        <v/>
      </c>
    </row>
    <row r="921" spans="1:19">
      <c r="A921" s="15" t="str">
        <f>IF('实盘净值数据(iFinD）'!A921="","",'实盘净值数据(iFinD）'!A921)</f>
        <v/>
      </c>
      <c r="B921" s="13" t="str">
        <f>IF(OR('实盘净值数据(iFinD）'!$A921="",'实盘净值数据(iFinD）'!$B921=""),"",分期持仓明细!$AB$17*SUMPRODUCT(分期持仓明细!$B$17:$Y$17,'实盘净值数据(iFinD）'!$B921:$Y921/'实盘净值数据(iFinD）'!$B$20:$Y$20)*(1-实盘持仓初始配置!$Z$4)^(('实盘净值数据(iFinD）'!$A921-'实盘净值数据(iFinD）'!$A$6)/365))</f>
        <v/>
      </c>
      <c r="C921" s="16" t="str">
        <f t="shared" si="84"/>
        <v/>
      </c>
      <c r="D921" s="16" t="str">
        <f>IF(B921="","",B921/MAX(B$5:B921)-1)</f>
        <v/>
      </c>
      <c r="E921" s="13" t="str">
        <f>IF(OR('实盘净值数据(iFinD）'!$A921="",'实盘净值数据(iFinD）'!$B921=""),"",分期持仓明细!$AB$18*SUMPRODUCT(分期持仓明细!$B$18:$Y$18,'实盘净值数据(iFinD）'!$B921:$Y921/'实盘净值数据(iFinD）'!$B$20:$Y$20)*(1-实盘持仓初始配置!$Z$5)^(('实盘净值数据(iFinD）'!$A921-'实盘净值数据(iFinD）'!$A$5)/365))</f>
        <v/>
      </c>
      <c r="F921" s="16" t="str">
        <f t="shared" si="85"/>
        <v/>
      </c>
      <c r="G921" s="16" t="str">
        <f>IF(E921="","",E921/MAX(E$5:E921)-1)</f>
        <v/>
      </c>
      <c r="H921" s="13" t="str">
        <f>IF(OR('实盘净值数据(iFinD）'!$A921="",'实盘净值数据(iFinD）'!$B921=""),"",分期持仓明细!$AB$19*SUMPRODUCT(分期持仓明细!$B$19:$Y$19,'实盘净值数据(iFinD）'!$B921:$Y921/'实盘净值数据(iFinD）'!$B$20:$Y$20)*(1-实盘持仓初始配置!$Z$6)^(('实盘净值数据(iFinD）'!$A921-'实盘净值数据(iFinD）'!$A$7)/365))</f>
        <v/>
      </c>
      <c r="I921" s="16" t="str">
        <f t="shared" si="86"/>
        <v/>
      </c>
      <c r="J921" s="16" t="str">
        <f>IF(H921="","",H921/MAX(H$5:H921)-1)</f>
        <v/>
      </c>
      <c r="K921" s="13" t="str">
        <f>IF(OR('实盘净值数据(iFinD）'!$A921="",'实盘净值数据(iFinD）'!$B921="",'实盘净值数据(iFinD）'!$Z921="",'实盘净值数据(iFinD）'!$AA921=""),"",分期持仓明细!$AB$23*(SUMPRODUCT(分期持仓明细!$B$23:$Y$23,'实盘净值数据(iFinD）'!$B921:$Y921/'实盘净值数据(iFinD）'!$B$65:$Y$65)+SUMPRODUCT(分期持仓明细!$AC$23:$AD$23,'实盘净值数据(iFinD）'!$Z921:$AA921/'实盘净值数据(iFinD）'!$Z$65:$AA$65))*(1-实盘持仓初始配置!$Z$7)^(('实盘净值数据(iFinD）'!$A921-'实盘净值数据(iFinD）'!$A$8)/365))</f>
        <v/>
      </c>
      <c r="L921" s="16" t="str">
        <f t="shared" si="87"/>
        <v/>
      </c>
      <c r="M921" s="16" t="str">
        <f>IF(K921="","",K921/MAX(K$5:K921)-1)</f>
        <v/>
      </c>
      <c r="N921" s="13" t="str">
        <f>IF(OR('实盘净值数据(iFinD）'!$A921="",'实盘净值数据(iFinD）'!$B921="",'实盘净值数据(iFinD）'!$Z921="",'实盘净值数据(iFinD）'!$AA921=""),"",分期持仓明细!$AB$24*(SUMPRODUCT(分期持仓明细!$B$24:$Y$24,'实盘净值数据(iFinD）'!$B921:$Y921/'实盘净值数据(iFinD）'!$B$65:$Y$65)+SUMPRODUCT(分期持仓明细!$AC$24:$AD$24,'实盘净值数据(iFinD）'!$Z921:$AA921/'实盘净值数据(iFinD）'!$Z$65:$AA$65))*(1-实盘持仓初始配置!$Z$8)^(('实盘净值数据(iFinD）'!$A921-'实盘净值数据(iFinD）'!$A$5)/365))</f>
        <v/>
      </c>
      <c r="O921" s="16" t="str">
        <f t="shared" si="88"/>
        <v/>
      </c>
      <c r="P921" s="16" t="str">
        <f>IF(N921="","",N921/MAX(N$5:N921)-1)</f>
        <v/>
      </c>
      <c r="Q921" s="13" t="str">
        <f>IF(OR('实盘净值数据(iFinD）'!$A921="",'实盘净值数据(iFinD）'!$B921="",'实盘净值数据(iFinD）'!$Z921="",'实盘净值数据(iFinD）'!$AA921=""),"",分期持仓明细!$AB$25*(SUMPRODUCT(分期持仓明细!$B$25:$Y$25,'实盘净值数据(iFinD）'!$B921:$Y921/'实盘净值数据(iFinD）'!$B$65:$Y$65)+SUMPRODUCT(分期持仓明细!$AC$25:$AD$25,'实盘净值数据(iFinD）'!$Z921:$AA921/'实盘净值数据(iFinD）'!$Z$65:$AA$65))*(1-实盘持仓初始配置!$Z$9)^(('实盘净值数据(iFinD）'!$A921-'实盘净值数据(iFinD）'!$A$8)/365))</f>
        <v/>
      </c>
      <c r="R921" s="16" t="str">
        <f t="shared" si="89"/>
        <v/>
      </c>
      <c r="S921" s="16" t="str">
        <f>IF(Q921="","",Q921/MAX(Q$5:Q921)-1)</f>
        <v/>
      </c>
    </row>
    <row r="922" spans="1:19">
      <c r="A922" s="15" t="str">
        <f>IF('实盘净值数据(iFinD）'!A922="","",'实盘净值数据(iFinD）'!A922)</f>
        <v/>
      </c>
      <c r="B922" s="13" t="str">
        <f>IF(OR('实盘净值数据(iFinD）'!$A922="",'实盘净值数据(iFinD）'!$B922=""),"",分期持仓明细!$AB$17*SUMPRODUCT(分期持仓明细!$B$17:$Y$17,'实盘净值数据(iFinD）'!$B922:$Y922/'实盘净值数据(iFinD）'!$B$20:$Y$20)*(1-实盘持仓初始配置!$Z$4)^(('实盘净值数据(iFinD）'!$A922-'实盘净值数据(iFinD）'!$A$6)/365))</f>
        <v/>
      </c>
      <c r="C922" s="16" t="str">
        <f t="shared" si="84"/>
        <v/>
      </c>
      <c r="D922" s="16" t="str">
        <f>IF(B922="","",B922/MAX(B$5:B922)-1)</f>
        <v/>
      </c>
      <c r="E922" s="13" t="str">
        <f>IF(OR('实盘净值数据(iFinD）'!$A922="",'实盘净值数据(iFinD）'!$B922=""),"",分期持仓明细!$AB$18*SUMPRODUCT(分期持仓明细!$B$18:$Y$18,'实盘净值数据(iFinD）'!$B922:$Y922/'实盘净值数据(iFinD）'!$B$20:$Y$20)*(1-实盘持仓初始配置!$Z$5)^(('实盘净值数据(iFinD）'!$A922-'实盘净值数据(iFinD）'!$A$5)/365))</f>
        <v/>
      </c>
      <c r="F922" s="16" t="str">
        <f t="shared" si="85"/>
        <v/>
      </c>
      <c r="G922" s="16" t="str">
        <f>IF(E922="","",E922/MAX(E$5:E922)-1)</f>
        <v/>
      </c>
      <c r="H922" s="13" t="str">
        <f>IF(OR('实盘净值数据(iFinD）'!$A922="",'实盘净值数据(iFinD）'!$B922=""),"",分期持仓明细!$AB$19*SUMPRODUCT(分期持仓明细!$B$19:$Y$19,'实盘净值数据(iFinD）'!$B922:$Y922/'实盘净值数据(iFinD）'!$B$20:$Y$20)*(1-实盘持仓初始配置!$Z$6)^(('实盘净值数据(iFinD）'!$A922-'实盘净值数据(iFinD）'!$A$7)/365))</f>
        <v/>
      </c>
      <c r="I922" s="16" t="str">
        <f t="shared" si="86"/>
        <v/>
      </c>
      <c r="J922" s="16" t="str">
        <f>IF(H922="","",H922/MAX(H$5:H922)-1)</f>
        <v/>
      </c>
      <c r="K922" s="13" t="str">
        <f>IF(OR('实盘净值数据(iFinD）'!$A922="",'实盘净值数据(iFinD）'!$B922="",'实盘净值数据(iFinD）'!$Z922="",'实盘净值数据(iFinD）'!$AA922=""),"",分期持仓明细!$AB$23*(SUMPRODUCT(分期持仓明细!$B$23:$Y$23,'实盘净值数据(iFinD）'!$B922:$Y922/'实盘净值数据(iFinD）'!$B$65:$Y$65)+SUMPRODUCT(分期持仓明细!$AC$23:$AD$23,'实盘净值数据(iFinD）'!$Z922:$AA922/'实盘净值数据(iFinD）'!$Z$65:$AA$65))*(1-实盘持仓初始配置!$Z$7)^(('实盘净值数据(iFinD）'!$A922-'实盘净值数据(iFinD）'!$A$8)/365))</f>
        <v/>
      </c>
      <c r="L922" s="16" t="str">
        <f t="shared" si="87"/>
        <v/>
      </c>
      <c r="M922" s="16" t="str">
        <f>IF(K922="","",K922/MAX(K$5:K922)-1)</f>
        <v/>
      </c>
      <c r="N922" s="13" t="str">
        <f>IF(OR('实盘净值数据(iFinD）'!$A922="",'实盘净值数据(iFinD）'!$B922="",'实盘净值数据(iFinD）'!$Z922="",'实盘净值数据(iFinD）'!$AA922=""),"",分期持仓明细!$AB$24*(SUMPRODUCT(分期持仓明细!$B$24:$Y$24,'实盘净值数据(iFinD）'!$B922:$Y922/'实盘净值数据(iFinD）'!$B$65:$Y$65)+SUMPRODUCT(分期持仓明细!$AC$24:$AD$24,'实盘净值数据(iFinD）'!$Z922:$AA922/'实盘净值数据(iFinD）'!$Z$65:$AA$65))*(1-实盘持仓初始配置!$Z$8)^(('实盘净值数据(iFinD）'!$A922-'实盘净值数据(iFinD）'!$A$5)/365))</f>
        <v/>
      </c>
      <c r="O922" s="16" t="str">
        <f t="shared" si="88"/>
        <v/>
      </c>
      <c r="P922" s="16" t="str">
        <f>IF(N922="","",N922/MAX(N$5:N922)-1)</f>
        <v/>
      </c>
      <c r="Q922" s="13" t="str">
        <f>IF(OR('实盘净值数据(iFinD）'!$A922="",'实盘净值数据(iFinD）'!$B922="",'实盘净值数据(iFinD）'!$Z922="",'实盘净值数据(iFinD）'!$AA922=""),"",分期持仓明细!$AB$25*(SUMPRODUCT(分期持仓明细!$B$25:$Y$25,'实盘净值数据(iFinD）'!$B922:$Y922/'实盘净值数据(iFinD）'!$B$65:$Y$65)+SUMPRODUCT(分期持仓明细!$AC$25:$AD$25,'实盘净值数据(iFinD）'!$Z922:$AA922/'实盘净值数据(iFinD）'!$Z$65:$AA$65))*(1-实盘持仓初始配置!$Z$9)^(('实盘净值数据(iFinD）'!$A922-'实盘净值数据(iFinD）'!$A$8)/365))</f>
        <v/>
      </c>
      <c r="R922" s="16" t="str">
        <f t="shared" si="89"/>
        <v/>
      </c>
      <c r="S922" s="16" t="str">
        <f>IF(Q922="","",Q922/MAX(Q$5:Q922)-1)</f>
        <v/>
      </c>
    </row>
    <row r="923" spans="1:19">
      <c r="A923" s="15" t="str">
        <f>IF('实盘净值数据(iFinD）'!A923="","",'实盘净值数据(iFinD）'!A923)</f>
        <v/>
      </c>
      <c r="B923" s="13" t="str">
        <f>IF(OR('实盘净值数据(iFinD）'!$A923="",'实盘净值数据(iFinD）'!$B923=""),"",分期持仓明细!$AB$17*SUMPRODUCT(分期持仓明细!$B$17:$Y$17,'实盘净值数据(iFinD）'!$B923:$Y923/'实盘净值数据(iFinD）'!$B$20:$Y$20)*(1-实盘持仓初始配置!$Z$4)^(('实盘净值数据(iFinD）'!$A923-'实盘净值数据(iFinD）'!$A$6)/365))</f>
        <v/>
      </c>
      <c r="C923" s="16" t="str">
        <f t="shared" si="84"/>
        <v/>
      </c>
      <c r="D923" s="16" t="str">
        <f>IF(B923="","",B923/MAX(B$5:B923)-1)</f>
        <v/>
      </c>
      <c r="E923" s="13" t="str">
        <f>IF(OR('实盘净值数据(iFinD）'!$A923="",'实盘净值数据(iFinD）'!$B923=""),"",分期持仓明细!$AB$18*SUMPRODUCT(分期持仓明细!$B$18:$Y$18,'实盘净值数据(iFinD）'!$B923:$Y923/'实盘净值数据(iFinD）'!$B$20:$Y$20)*(1-实盘持仓初始配置!$Z$5)^(('实盘净值数据(iFinD）'!$A923-'实盘净值数据(iFinD）'!$A$5)/365))</f>
        <v/>
      </c>
      <c r="F923" s="16" t="str">
        <f t="shared" si="85"/>
        <v/>
      </c>
      <c r="G923" s="16" t="str">
        <f>IF(E923="","",E923/MAX(E$5:E923)-1)</f>
        <v/>
      </c>
      <c r="H923" s="13" t="str">
        <f>IF(OR('实盘净值数据(iFinD）'!$A923="",'实盘净值数据(iFinD）'!$B923=""),"",分期持仓明细!$AB$19*SUMPRODUCT(分期持仓明细!$B$19:$Y$19,'实盘净值数据(iFinD）'!$B923:$Y923/'实盘净值数据(iFinD）'!$B$20:$Y$20)*(1-实盘持仓初始配置!$Z$6)^(('实盘净值数据(iFinD）'!$A923-'实盘净值数据(iFinD）'!$A$7)/365))</f>
        <v/>
      </c>
      <c r="I923" s="16" t="str">
        <f t="shared" si="86"/>
        <v/>
      </c>
      <c r="J923" s="16" t="str">
        <f>IF(H923="","",H923/MAX(H$5:H923)-1)</f>
        <v/>
      </c>
      <c r="K923" s="13" t="str">
        <f>IF(OR('实盘净值数据(iFinD）'!$A923="",'实盘净值数据(iFinD）'!$B923="",'实盘净值数据(iFinD）'!$Z923="",'实盘净值数据(iFinD）'!$AA923=""),"",分期持仓明细!$AB$23*(SUMPRODUCT(分期持仓明细!$B$23:$Y$23,'实盘净值数据(iFinD）'!$B923:$Y923/'实盘净值数据(iFinD）'!$B$65:$Y$65)+SUMPRODUCT(分期持仓明细!$AC$23:$AD$23,'实盘净值数据(iFinD）'!$Z923:$AA923/'实盘净值数据(iFinD）'!$Z$65:$AA$65))*(1-实盘持仓初始配置!$Z$7)^(('实盘净值数据(iFinD）'!$A923-'实盘净值数据(iFinD）'!$A$8)/365))</f>
        <v/>
      </c>
      <c r="L923" s="16" t="str">
        <f t="shared" si="87"/>
        <v/>
      </c>
      <c r="M923" s="16" t="str">
        <f>IF(K923="","",K923/MAX(K$5:K923)-1)</f>
        <v/>
      </c>
      <c r="N923" s="13" t="str">
        <f>IF(OR('实盘净值数据(iFinD）'!$A923="",'实盘净值数据(iFinD）'!$B923="",'实盘净值数据(iFinD）'!$Z923="",'实盘净值数据(iFinD）'!$AA923=""),"",分期持仓明细!$AB$24*(SUMPRODUCT(分期持仓明细!$B$24:$Y$24,'实盘净值数据(iFinD）'!$B923:$Y923/'实盘净值数据(iFinD）'!$B$65:$Y$65)+SUMPRODUCT(分期持仓明细!$AC$24:$AD$24,'实盘净值数据(iFinD）'!$Z923:$AA923/'实盘净值数据(iFinD）'!$Z$65:$AA$65))*(1-实盘持仓初始配置!$Z$8)^(('实盘净值数据(iFinD）'!$A923-'实盘净值数据(iFinD）'!$A$5)/365))</f>
        <v/>
      </c>
      <c r="O923" s="16" t="str">
        <f t="shared" si="88"/>
        <v/>
      </c>
      <c r="P923" s="16" t="str">
        <f>IF(N923="","",N923/MAX(N$5:N923)-1)</f>
        <v/>
      </c>
      <c r="Q923" s="13" t="str">
        <f>IF(OR('实盘净值数据(iFinD）'!$A923="",'实盘净值数据(iFinD）'!$B923="",'实盘净值数据(iFinD）'!$Z923="",'实盘净值数据(iFinD）'!$AA923=""),"",分期持仓明细!$AB$25*(SUMPRODUCT(分期持仓明细!$B$25:$Y$25,'实盘净值数据(iFinD）'!$B923:$Y923/'实盘净值数据(iFinD）'!$B$65:$Y$65)+SUMPRODUCT(分期持仓明细!$AC$25:$AD$25,'实盘净值数据(iFinD）'!$Z923:$AA923/'实盘净值数据(iFinD）'!$Z$65:$AA$65))*(1-实盘持仓初始配置!$Z$9)^(('实盘净值数据(iFinD）'!$A923-'实盘净值数据(iFinD）'!$A$8)/365))</f>
        <v/>
      </c>
      <c r="R923" s="16" t="str">
        <f t="shared" si="89"/>
        <v/>
      </c>
      <c r="S923" s="16" t="str">
        <f>IF(Q923="","",Q923/MAX(Q$5:Q923)-1)</f>
        <v/>
      </c>
    </row>
    <row r="924" spans="1:19">
      <c r="A924" s="15" t="str">
        <f>IF('实盘净值数据(iFinD）'!A924="","",'实盘净值数据(iFinD）'!A924)</f>
        <v/>
      </c>
      <c r="B924" s="13" t="str">
        <f>IF(OR('实盘净值数据(iFinD）'!$A924="",'实盘净值数据(iFinD）'!$B924=""),"",分期持仓明细!$AB$17*SUMPRODUCT(分期持仓明细!$B$17:$Y$17,'实盘净值数据(iFinD）'!$B924:$Y924/'实盘净值数据(iFinD）'!$B$20:$Y$20)*(1-实盘持仓初始配置!$Z$4)^(('实盘净值数据(iFinD）'!$A924-'实盘净值数据(iFinD）'!$A$6)/365))</f>
        <v/>
      </c>
      <c r="C924" s="16" t="str">
        <f t="shared" si="84"/>
        <v/>
      </c>
      <c r="D924" s="16" t="str">
        <f>IF(B924="","",B924/MAX(B$5:B924)-1)</f>
        <v/>
      </c>
      <c r="E924" s="13" t="str">
        <f>IF(OR('实盘净值数据(iFinD）'!$A924="",'实盘净值数据(iFinD）'!$B924=""),"",分期持仓明细!$AB$18*SUMPRODUCT(分期持仓明细!$B$18:$Y$18,'实盘净值数据(iFinD）'!$B924:$Y924/'实盘净值数据(iFinD）'!$B$20:$Y$20)*(1-实盘持仓初始配置!$Z$5)^(('实盘净值数据(iFinD）'!$A924-'实盘净值数据(iFinD）'!$A$5)/365))</f>
        <v/>
      </c>
      <c r="F924" s="16" t="str">
        <f t="shared" si="85"/>
        <v/>
      </c>
      <c r="G924" s="16" t="str">
        <f>IF(E924="","",E924/MAX(E$5:E924)-1)</f>
        <v/>
      </c>
      <c r="H924" s="13" t="str">
        <f>IF(OR('实盘净值数据(iFinD）'!$A924="",'实盘净值数据(iFinD）'!$B924=""),"",分期持仓明细!$AB$19*SUMPRODUCT(分期持仓明细!$B$19:$Y$19,'实盘净值数据(iFinD）'!$B924:$Y924/'实盘净值数据(iFinD）'!$B$20:$Y$20)*(1-实盘持仓初始配置!$Z$6)^(('实盘净值数据(iFinD）'!$A924-'实盘净值数据(iFinD）'!$A$7)/365))</f>
        <v/>
      </c>
      <c r="I924" s="16" t="str">
        <f t="shared" si="86"/>
        <v/>
      </c>
      <c r="J924" s="16" t="str">
        <f>IF(H924="","",H924/MAX(H$5:H924)-1)</f>
        <v/>
      </c>
      <c r="K924" s="13" t="str">
        <f>IF(OR('实盘净值数据(iFinD）'!$A924="",'实盘净值数据(iFinD）'!$B924="",'实盘净值数据(iFinD）'!$Z924="",'实盘净值数据(iFinD）'!$AA924=""),"",分期持仓明细!$AB$23*(SUMPRODUCT(分期持仓明细!$B$23:$Y$23,'实盘净值数据(iFinD）'!$B924:$Y924/'实盘净值数据(iFinD）'!$B$65:$Y$65)+SUMPRODUCT(分期持仓明细!$AC$23:$AD$23,'实盘净值数据(iFinD）'!$Z924:$AA924/'实盘净值数据(iFinD）'!$Z$65:$AA$65))*(1-实盘持仓初始配置!$Z$7)^(('实盘净值数据(iFinD）'!$A924-'实盘净值数据(iFinD）'!$A$8)/365))</f>
        <v/>
      </c>
      <c r="L924" s="16" t="str">
        <f t="shared" si="87"/>
        <v/>
      </c>
      <c r="M924" s="16" t="str">
        <f>IF(K924="","",K924/MAX(K$5:K924)-1)</f>
        <v/>
      </c>
      <c r="N924" s="13" t="str">
        <f>IF(OR('实盘净值数据(iFinD）'!$A924="",'实盘净值数据(iFinD）'!$B924="",'实盘净值数据(iFinD）'!$Z924="",'实盘净值数据(iFinD）'!$AA924=""),"",分期持仓明细!$AB$24*(SUMPRODUCT(分期持仓明细!$B$24:$Y$24,'实盘净值数据(iFinD）'!$B924:$Y924/'实盘净值数据(iFinD）'!$B$65:$Y$65)+SUMPRODUCT(分期持仓明细!$AC$24:$AD$24,'实盘净值数据(iFinD）'!$Z924:$AA924/'实盘净值数据(iFinD）'!$Z$65:$AA$65))*(1-实盘持仓初始配置!$Z$8)^(('实盘净值数据(iFinD）'!$A924-'实盘净值数据(iFinD）'!$A$5)/365))</f>
        <v/>
      </c>
      <c r="O924" s="16" t="str">
        <f t="shared" si="88"/>
        <v/>
      </c>
      <c r="P924" s="16" t="str">
        <f>IF(N924="","",N924/MAX(N$5:N924)-1)</f>
        <v/>
      </c>
      <c r="Q924" s="13" t="str">
        <f>IF(OR('实盘净值数据(iFinD）'!$A924="",'实盘净值数据(iFinD）'!$B924="",'实盘净值数据(iFinD）'!$Z924="",'实盘净值数据(iFinD）'!$AA924=""),"",分期持仓明细!$AB$25*(SUMPRODUCT(分期持仓明细!$B$25:$Y$25,'实盘净值数据(iFinD）'!$B924:$Y924/'实盘净值数据(iFinD）'!$B$65:$Y$65)+SUMPRODUCT(分期持仓明细!$AC$25:$AD$25,'实盘净值数据(iFinD）'!$Z924:$AA924/'实盘净值数据(iFinD）'!$Z$65:$AA$65))*(1-实盘持仓初始配置!$Z$9)^(('实盘净值数据(iFinD）'!$A924-'实盘净值数据(iFinD）'!$A$8)/365))</f>
        <v/>
      </c>
      <c r="R924" s="16" t="str">
        <f t="shared" si="89"/>
        <v/>
      </c>
      <c r="S924" s="16" t="str">
        <f>IF(Q924="","",Q924/MAX(Q$5:Q924)-1)</f>
        <v/>
      </c>
    </row>
    <row r="925" spans="1:19">
      <c r="A925" s="15" t="str">
        <f>IF('实盘净值数据(iFinD）'!A925="","",'实盘净值数据(iFinD）'!A925)</f>
        <v/>
      </c>
      <c r="B925" s="13" t="str">
        <f>IF(OR('实盘净值数据(iFinD）'!$A925="",'实盘净值数据(iFinD）'!$B925=""),"",分期持仓明细!$AB$17*SUMPRODUCT(分期持仓明细!$B$17:$Y$17,'实盘净值数据(iFinD）'!$B925:$Y925/'实盘净值数据(iFinD）'!$B$20:$Y$20)*(1-实盘持仓初始配置!$Z$4)^(('实盘净值数据(iFinD）'!$A925-'实盘净值数据(iFinD）'!$A$6)/365))</f>
        <v/>
      </c>
      <c r="C925" s="16" t="str">
        <f t="shared" si="84"/>
        <v/>
      </c>
      <c r="D925" s="16" t="str">
        <f>IF(B925="","",B925/MAX(B$5:B925)-1)</f>
        <v/>
      </c>
      <c r="E925" s="13" t="str">
        <f>IF(OR('实盘净值数据(iFinD）'!$A925="",'实盘净值数据(iFinD）'!$B925=""),"",分期持仓明细!$AB$18*SUMPRODUCT(分期持仓明细!$B$18:$Y$18,'实盘净值数据(iFinD）'!$B925:$Y925/'实盘净值数据(iFinD）'!$B$20:$Y$20)*(1-实盘持仓初始配置!$Z$5)^(('实盘净值数据(iFinD）'!$A925-'实盘净值数据(iFinD）'!$A$5)/365))</f>
        <v/>
      </c>
      <c r="F925" s="16" t="str">
        <f t="shared" si="85"/>
        <v/>
      </c>
      <c r="G925" s="16" t="str">
        <f>IF(E925="","",E925/MAX(E$5:E925)-1)</f>
        <v/>
      </c>
      <c r="H925" s="13" t="str">
        <f>IF(OR('实盘净值数据(iFinD）'!$A925="",'实盘净值数据(iFinD）'!$B925=""),"",分期持仓明细!$AB$19*SUMPRODUCT(分期持仓明细!$B$19:$Y$19,'实盘净值数据(iFinD）'!$B925:$Y925/'实盘净值数据(iFinD）'!$B$20:$Y$20)*(1-实盘持仓初始配置!$Z$6)^(('实盘净值数据(iFinD）'!$A925-'实盘净值数据(iFinD）'!$A$7)/365))</f>
        <v/>
      </c>
      <c r="I925" s="16" t="str">
        <f t="shared" si="86"/>
        <v/>
      </c>
      <c r="J925" s="16" t="str">
        <f>IF(H925="","",H925/MAX(H$5:H925)-1)</f>
        <v/>
      </c>
      <c r="K925" s="13" t="str">
        <f>IF(OR('实盘净值数据(iFinD）'!$A925="",'实盘净值数据(iFinD）'!$B925="",'实盘净值数据(iFinD）'!$Z925="",'实盘净值数据(iFinD）'!$AA925=""),"",分期持仓明细!$AB$23*(SUMPRODUCT(分期持仓明细!$B$23:$Y$23,'实盘净值数据(iFinD）'!$B925:$Y925/'实盘净值数据(iFinD）'!$B$65:$Y$65)+SUMPRODUCT(分期持仓明细!$AC$23:$AD$23,'实盘净值数据(iFinD）'!$Z925:$AA925/'实盘净值数据(iFinD）'!$Z$65:$AA$65))*(1-实盘持仓初始配置!$Z$7)^(('实盘净值数据(iFinD）'!$A925-'实盘净值数据(iFinD）'!$A$8)/365))</f>
        <v/>
      </c>
      <c r="L925" s="16" t="str">
        <f t="shared" si="87"/>
        <v/>
      </c>
      <c r="M925" s="16" t="str">
        <f>IF(K925="","",K925/MAX(K$5:K925)-1)</f>
        <v/>
      </c>
      <c r="N925" s="13" t="str">
        <f>IF(OR('实盘净值数据(iFinD）'!$A925="",'实盘净值数据(iFinD）'!$B925="",'实盘净值数据(iFinD）'!$Z925="",'实盘净值数据(iFinD）'!$AA925=""),"",分期持仓明细!$AB$24*(SUMPRODUCT(分期持仓明细!$B$24:$Y$24,'实盘净值数据(iFinD）'!$B925:$Y925/'实盘净值数据(iFinD）'!$B$65:$Y$65)+SUMPRODUCT(分期持仓明细!$AC$24:$AD$24,'实盘净值数据(iFinD）'!$Z925:$AA925/'实盘净值数据(iFinD）'!$Z$65:$AA$65))*(1-实盘持仓初始配置!$Z$8)^(('实盘净值数据(iFinD）'!$A925-'实盘净值数据(iFinD）'!$A$5)/365))</f>
        <v/>
      </c>
      <c r="O925" s="16" t="str">
        <f t="shared" si="88"/>
        <v/>
      </c>
      <c r="P925" s="16" t="str">
        <f>IF(N925="","",N925/MAX(N$5:N925)-1)</f>
        <v/>
      </c>
      <c r="Q925" s="13" t="str">
        <f>IF(OR('实盘净值数据(iFinD）'!$A925="",'实盘净值数据(iFinD）'!$B925="",'实盘净值数据(iFinD）'!$Z925="",'实盘净值数据(iFinD）'!$AA925=""),"",分期持仓明细!$AB$25*(SUMPRODUCT(分期持仓明细!$B$25:$Y$25,'实盘净值数据(iFinD）'!$B925:$Y925/'实盘净值数据(iFinD）'!$B$65:$Y$65)+SUMPRODUCT(分期持仓明细!$AC$25:$AD$25,'实盘净值数据(iFinD）'!$Z925:$AA925/'实盘净值数据(iFinD）'!$Z$65:$AA$65))*(1-实盘持仓初始配置!$Z$9)^(('实盘净值数据(iFinD）'!$A925-'实盘净值数据(iFinD）'!$A$8)/365))</f>
        <v/>
      </c>
      <c r="R925" s="16" t="str">
        <f t="shared" si="89"/>
        <v/>
      </c>
      <c r="S925" s="16" t="str">
        <f>IF(Q925="","",Q925/MAX(Q$5:Q925)-1)</f>
        <v/>
      </c>
    </row>
    <row r="926" spans="1:19">
      <c r="A926" s="15" t="str">
        <f>IF('实盘净值数据(iFinD）'!A926="","",'实盘净值数据(iFinD）'!A926)</f>
        <v/>
      </c>
      <c r="B926" s="13" t="str">
        <f>IF(OR('实盘净值数据(iFinD）'!$A926="",'实盘净值数据(iFinD）'!$B926=""),"",分期持仓明细!$AB$17*SUMPRODUCT(分期持仓明细!$B$17:$Y$17,'实盘净值数据(iFinD）'!$B926:$Y926/'实盘净值数据(iFinD）'!$B$20:$Y$20)*(1-实盘持仓初始配置!$Z$4)^(('实盘净值数据(iFinD）'!$A926-'实盘净值数据(iFinD）'!$A$6)/365))</f>
        <v/>
      </c>
      <c r="C926" s="16" t="str">
        <f t="shared" si="84"/>
        <v/>
      </c>
      <c r="D926" s="16" t="str">
        <f>IF(B926="","",B926/MAX(B$5:B926)-1)</f>
        <v/>
      </c>
      <c r="E926" s="13" t="str">
        <f>IF(OR('实盘净值数据(iFinD）'!$A926="",'实盘净值数据(iFinD）'!$B926=""),"",分期持仓明细!$AB$18*SUMPRODUCT(分期持仓明细!$B$18:$Y$18,'实盘净值数据(iFinD）'!$B926:$Y926/'实盘净值数据(iFinD）'!$B$20:$Y$20)*(1-实盘持仓初始配置!$Z$5)^(('实盘净值数据(iFinD）'!$A926-'实盘净值数据(iFinD）'!$A$5)/365))</f>
        <v/>
      </c>
      <c r="F926" s="16" t="str">
        <f t="shared" si="85"/>
        <v/>
      </c>
      <c r="G926" s="16" t="str">
        <f>IF(E926="","",E926/MAX(E$5:E926)-1)</f>
        <v/>
      </c>
      <c r="H926" s="13" t="str">
        <f>IF(OR('实盘净值数据(iFinD）'!$A926="",'实盘净值数据(iFinD）'!$B926=""),"",分期持仓明细!$AB$19*SUMPRODUCT(分期持仓明细!$B$19:$Y$19,'实盘净值数据(iFinD）'!$B926:$Y926/'实盘净值数据(iFinD）'!$B$20:$Y$20)*(1-实盘持仓初始配置!$Z$6)^(('实盘净值数据(iFinD）'!$A926-'实盘净值数据(iFinD）'!$A$7)/365))</f>
        <v/>
      </c>
      <c r="I926" s="16" t="str">
        <f t="shared" si="86"/>
        <v/>
      </c>
      <c r="J926" s="16" t="str">
        <f>IF(H926="","",H926/MAX(H$5:H926)-1)</f>
        <v/>
      </c>
      <c r="K926" s="13" t="str">
        <f>IF(OR('实盘净值数据(iFinD）'!$A926="",'实盘净值数据(iFinD）'!$B926="",'实盘净值数据(iFinD）'!$Z926="",'实盘净值数据(iFinD）'!$AA926=""),"",分期持仓明细!$AB$23*(SUMPRODUCT(分期持仓明细!$B$23:$Y$23,'实盘净值数据(iFinD）'!$B926:$Y926/'实盘净值数据(iFinD）'!$B$65:$Y$65)+SUMPRODUCT(分期持仓明细!$AC$23:$AD$23,'实盘净值数据(iFinD）'!$Z926:$AA926/'实盘净值数据(iFinD）'!$Z$65:$AA$65))*(1-实盘持仓初始配置!$Z$7)^(('实盘净值数据(iFinD）'!$A926-'实盘净值数据(iFinD）'!$A$8)/365))</f>
        <v/>
      </c>
      <c r="L926" s="16" t="str">
        <f t="shared" si="87"/>
        <v/>
      </c>
      <c r="M926" s="16" t="str">
        <f>IF(K926="","",K926/MAX(K$5:K926)-1)</f>
        <v/>
      </c>
      <c r="N926" s="13" t="str">
        <f>IF(OR('实盘净值数据(iFinD）'!$A926="",'实盘净值数据(iFinD）'!$B926="",'实盘净值数据(iFinD）'!$Z926="",'实盘净值数据(iFinD）'!$AA926=""),"",分期持仓明细!$AB$24*(SUMPRODUCT(分期持仓明细!$B$24:$Y$24,'实盘净值数据(iFinD）'!$B926:$Y926/'实盘净值数据(iFinD）'!$B$65:$Y$65)+SUMPRODUCT(分期持仓明细!$AC$24:$AD$24,'实盘净值数据(iFinD）'!$Z926:$AA926/'实盘净值数据(iFinD）'!$Z$65:$AA$65))*(1-实盘持仓初始配置!$Z$8)^(('实盘净值数据(iFinD）'!$A926-'实盘净值数据(iFinD）'!$A$5)/365))</f>
        <v/>
      </c>
      <c r="O926" s="16" t="str">
        <f t="shared" si="88"/>
        <v/>
      </c>
      <c r="P926" s="16" t="str">
        <f>IF(N926="","",N926/MAX(N$5:N926)-1)</f>
        <v/>
      </c>
      <c r="Q926" s="13" t="str">
        <f>IF(OR('实盘净值数据(iFinD）'!$A926="",'实盘净值数据(iFinD）'!$B926="",'实盘净值数据(iFinD）'!$Z926="",'实盘净值数据(iFinD）'!$AA926=""),"",分期持仓明细!$AB$25*(SUMPRODUCT(分期持仓明细!$B$25:$Y$25,'实盘净值数据(iFinD）'!$B926:$Y926/'实盘净值数据(iFinD）'!$B$65:$Y$65)+SUMPRODUCT(分期持仓明细!$AC$25:$AD$25,'实盘净值数据(iFinD）'!$Z926:$AA926/'实盘净值数据(iFinD）'!$Z$65:$AA$65))*(1-实盘持仓初始配置!$Z$9)^(('实盘净值数据(iFinD）'!$A926-'实盘净值数据(iFinD）'!$A$8)/365))</f>
        <v/>
      </c>
      <c r="R926" s="16" t="str">
        <f t="shared" si="89"/>
        <v/>
      </c>
      <c r="S926" s="16" t="str">
        <f>IF(Q926="","",Q926/MAX(Q$5:Q926)-1)</f>
        <v/>
      </c>
    </row>
    <row r="927" spans="1:19">
      <c r="A927" s="15" t="str">
        <f>IF('实盘净值数据(iFinD）'!A927="","",'实盘净值数据(iFinD）'!A927)</f>
        <v/>
      </c>
      <c r="B927" s="13" t="str">
        <f>IF(OR('实盘净值数据(iFinD）'!$A927="",'实盘净值数据(iFinD）'!$B927=""),"",分期持仓明细!$AB$17*SUMPRODUCT(分期持仓明细!$B$17:$Y$17,'实盘净值数据(iFinD）'!$B927:$Y927/'实盘净值数据(iFinD）'!$B$20:$Y$20)*(1-实盘持仓初始配置!$Z$4)^(('实盘净值数据(iFinD）'!$A927-'实盘净值数据(iFinD）'!$A$6)/365))</f>
        <v/>
      </c>
      <c r="C927" s="16" t="str">
        <f t="shared" si="84"/>
        <v/>
      </c>
      <c r="D927" s="16" t="str">
        <f>IF(B927="","",B927/MAX(B$5:B927)-1)</f>
        <v/>
      </c>
      <c r="E927" s="13" t="str">
        <f>IF(OR('实盘净值数据(iFinD）'!$A927="",'实盘净值数据(iFinD）'!$B927=""),"",分期持仓明细!$AB$18*SUMPRODUCT(分期持仓明细!$B$18:$Y$18,'实盘净值数据(iFinD）'!$B927:$Y927/'实盘净值数据(iFinD）'!$B$20:$Y$20)*(1-实盘持仓初始配置!$Z$5)^(('实盘净值数据(iFinD）'!$A927-'实盘净值数据(iFinD）'!$A$5)/365))</f>
        <v/>
      </c>
      <c r="F927" s="16" t="str">
        <f t="shared" si="85"/>
        <v/>
      </c>
      <c r="G927" s="16" t="str">
        <f>IF(E927="","",E927/MAX(E$5:E927)-1)</f>
        <v/>
      </c>
      <c r="H927" s="13" t="str">
        <f>IF(OR('实盘净值数据(iFinD）'!$A927="",'实盘净值数据(iFinD）'!$B927=""),"",分期持仓明细!$AB$19*SUMPRODUCT(分期持仓明细!$B$19:$Y$19,'实盘净值数据(iFinD）'!$B927:$Y927/'实盘净值数据(iFinD）'!$B$20:$Y$20)*(1-实盘持仓初始配置!$Z$6)^(('实盘净值数据(iFinD）'!$A927-'实盘净值数据(iFinD）'!$A$7)/365))</f>
        <v/>
      </c>
      <c r="I927" s="16" t="str">
        <f t="shared" si="86"/>
        <v/>
      </c>
      <c r="J927" s="16" t="str">
        <f>IF(H927="","",H927/MAX(H$5:H927)-1)</f>
        <v/>
      </c>
      <c r="K927" s="13" t="str">
        <f>IF(OR('实盘净值数据(iFinD）'!$A927="",'实盘净值数据(iFinD）'!$B927="",'实盘净值数据(iFinD）'!$Z927="",'实盘净值数据(iFinD）'!$AA927=""),"",分期持仓明细!$AB$23*(SUMPRODUCT(分期持仓明细!$B$23:$Y$23,'实盘净值数据(iFinD）'!$B927:$Y927/'实盘净值数据(iFinD）'!$B$65:$Y$65)+SUMPRODUCT(分期持仓明细!$AC$23:$AD$23,'实盘净值数据(iFinD）'!$Z927:$AA927/'实盘净值数据(iFinD）'!$Z$65:$AA$65))*(1-实盘持仓初始配置!$Z$7)^(('实盘净值数据(iFinD）'!$A927-'实盘净值数据(iFinD）'!$A$8)/365))</f>
        <v/>
      </c>
      <c r="L927" s="16" t="str">
        <f t="shared" si="87"/>
        <v/>
      </c>
      <c r="M927" s="16" t="str">
        <f>IF(K927="","",K927/MAX(K$5:K927)-1)</f>
        <v/>
      </c>
      <c r="N927" s="13" t="str">
        <f>IF(OR('实盘净值数据(iFinD）'!$A927="",'实盘净值数据(iFinD）'!$B927="",'实盘净值数据(iFinD）'!$Z927="",'实盘净值数据(iFinD）'!$AA927=""),"",分期持仓明细!$AB$24*(SUMPRODUCT(分期持仓明细!$B$24:$Y$24,'实盘净值数据(iFinD）'!$B927:$Y927/'实盘净值数据(iFinD）'!$B$65:$Y$65)+SUMPRODUCT(分期持仓明细!$AC$24:$AD$24,'实盘净值数据(iFinD）'!$Z927:$AA927/'实盘净值数据(iFinD）'!$Z$65:$AA$65))*(1-实盘持仓初始配置!$Z$8)^(('实盘净值数据(iFinD）'!$A927-'实盘净值数据(iFinD）'!$A$5)/365))</f>
        <v/>
      </c>
      <c r="O927" s="16" t="str">
        <f t="shared" si="88"/>
        <v/>
      </c>
      <c r="P927" s="16" t="str">
        <f>IF(N927="","",N927/MAX(N$5:N927)-1)</f>
        <v/>
      </c>
      <c r="Q927" s="13" t="str">
        <f>IF(OR('实盘净值数据(iFinD）'!$A927="",'实盘净值数据(iFinD）'!$B927="",'实盘净值数据(iFinD）'!$Z927="",'实盘净值数据(iFinD）'!$AA927=""),"",分期持仓明细!$AB$25*(SUMPRODUCT(分期持仓明细!$B$25:$Y$25,'实盘净值数据(iFinD）'!$B927:$Y927/'实盘净值数据(iFinD）'!$B$65:$Y$65)+SUMPRODUCT(分期持仓明细!$AC$25:$AD$25,'实盘净值数据(iFinD）'!$Z927:$AA927/'实盘净值数据(iFinD）'!$Z$65:$AA$65))*(1-实盘持仓初始配置!$Z$9)^(('实盘净值数据(iFinD）'!$A927-'实盘净值数据(iFinD）'!$A$8)/365))</f>
        <v/>
      </c>
      <c r="R927" s="16" t="str">
        <f t="shared" si="89"/>
        <v/>
      </c>
      <c r="S927" s="16" t="str">
        <f>IF(Q927="","",Q927/MAX(Q$5:Q927)-1)</f>
        <v/>
      </c>
    </row>
    <row r="928" spans="1:19">
      <c r="A928" s="15" t="str">
        <f>IF('实盘净值数据(iFinD）'!A928="","",'实盘净值数据(iFinD）'!A928)</f>
        <v/>
      </c>
      <c r="B928" s="13" t="str">
        <f>IF(OR('实盘净值数据(iFinD）'!$A928="",'实盘净值数据(iFinD）'!$B928=""),"",分期持仓明细!$AB$17*SUMPRODUCT(分期持仓明细!$B$17:$Y$17,'实盘净值数据(iFinD）'!$B928:$Y928/'实盘净值数据(iFinD）'!$B$20:$Y$20)*(1-实盘持仓初始配置!$Z$4)^(('实盘净值数据(iFinD）'!$A928-'实盘净值数据(iFinD）'!$A$6)/365))</f>
        <v/>
      </c>
      <c r="C928" s="16" t="str">
        <f t="shared" si="84"/>
        <v/>
      </c>
      <c r="D928" s="16" t="str">
        <f>IF(B928="","",B928/MAX(B$5:B928)-1)</f>
        <v/>
      </c>
      <c r="E928" s="13" t="str">
        <f>IF(OR('实盘净值数据(iFinD）'!$A928="",'实盘净值数据(iFinD）'!$B928=""),"",分期持仓明细!$AB$18*SUMPRODUCT(分期持仓明细!$B$18:$Y$18,'实盘净值数据(iFinD）'!$B928:$Y928/'实盘净值数据(iFinD）'!$B$20:$Y$20)*(1-实盘持仓初始配置!$Z$5)^(('实盘净值数据(iFinD）'!$A928-'实盘净值数据(iFinD）'!$A$5)/365))</f>
        <v/>
      </c>
      <c r="F928" s="16" t="str">
        <f t="shared" si="85"/>
        <v/>
      </c>
      <c r="G928" s="16" t="str">
        <f>IF(E928="","",E928/MAX(E$5:E928)-1)</f>
        <v/>
      </c>
      <c r="H928" s="13" t="str">
        <f>IF(OR('实盘净值数据(iFinD）'!$A928="",'实盘净值数据(iFinD）'!$B928=""),"",分期持仓明细!$AB$19*SUMPRODUCT(分期持仓明细!$B$19:$Y$19,'实盘净值数据(iFinD）'!$B928:$Y928/'实盘净值数据(iFinD）'!$B$20:$Y$20)*(1-实盘持仓初始配置!$Z$6)^(('实盘净值数据(iFinD）'!$A928-'实盘净值数据(iFinD）'!$A$7)/365))</f>
        <v/>
      </c>
      <c r="I928" s="16" t="str">
        <f t="shared" si="86"/>
        <v/>
      </c>
      <c r="J928" s="16" t="str">
        <f>IF(H928="","",H928/MAX(H$5:H928)-1)</f>
        <v/>
      </c>
      <c r="K928" s="13" t="str">
        <f>IF(OR('实盘净值数据(iFinD）'!$A928="",'实盘净值数据(iFinD）'!$B928="",'实盘净值数据(iFinD）'!$Z928="",'实盘净值数据(iFinD）'!$AA928=""),"",分期持仓明细!$AB$23*(SUMPRODUCT(分期持仓明细!$B$23:$Y$23,'实盘净值数据(iFinD）'!$B928:$Y928/'实盘净值数据(iFinD）'!$B$65:$Y$65)+SUMPRODUCT(分期持仓明细!$AC$23:$AD$23,'实盘净值数据(iFinD）'!$Z928:$AA928/'实盘净值数据(iFinD）'!$Z$65:$AA$65))*(1-实盘持仓初始配置!$Z$7)^(('实盘净值数据(iFinD）'!$A928-'实盘净值数据(iFinD）'!$A$8)/365))</f>
        <v/>
      </c>
      <c r="L928" s="16" t="str">
        <f t="shared" si="87"/>
        <v/>
      </c>
      <c r="M928" s="16" t="str">
        <f>IF(K928="","",K928/MAX(K$5:K928)-1)</f>
        <v/>
      </c>
      <c r="N928" s="13" t="str">
        <f>IF(OR('实盘净值数据(iFinD）'!$A928="",'实盘净值数据(iFinD）'!$B928="",'实盘净值数据(iFinD）'!$Z928="",'实盘净值数据(iFinD）'!$AA928=""),"",分期持仓明细!$AB$24*(SUMPRODUCT(分期持仓明细!$B$24:$Y$24,'实盘净值数据(iFinD）'!$B928:$Y928/'实盘净值数据(iFinD）'!$B$65:$Y$65)+SUMPRODUCT(分期持仓明细!$AC$24:$AD$24,'实盘净值数据(iFinD）'!$Z928:$AA928/'实盘净值数据(iFinD）'!$Z$65:$AA$65))*(1-实盘持仓初始配置!$Z$8)^(('实盘净值数据(iFinD）'!$A928-'实盘净值数据(iFinD）'!$A$5)/365))</f>
        <v/>
      </c>
      <c r="O928" s="16" t="str">
        <f t="shared" si="88"/>
        <v/>
      </c>
      <c r="P928" s="16" t="str">
        <f>IF(N928="","",N928/MAX(N$5:N928)-1)</f>
        <v/>
      </c>
      <c r="Q928" s="13" t="str">
        <f>IF(OR('实盘净值数据(iFinD）'!$A928="",'实盘净值数据(iFinD）'!$B928="",'实盘净值数据(iFinD）'!$Z928="",'实盘净值数据(iFinD）'!$AA928=""),"",分期持仓明细!$AB$25*(SUMPRODUCT(分期持仓明细!$B$25:$Y$25,'实盘净值数据(iFinD）'!$B928:$Y928/'实盘净值数据(iFinD）'!$B$65:$Y$65)+SUMPRODUCT(分期持仓明细!$AC$25:$AD$25,'实盘净值数据(iFinD）'!$Z928:$AA928/'实盘净值数据(iFinD）'!$Z$65:$AA$65))*(1-实盘持仓初始配置!$Z$9)^(('实盘净值数据(iFinD）'!$A928-'实盘净值数据(iFinD）'!$A$8)/365))</f>
        <v/>
      </c>
      <c r="R928" s="16" t="str">
        <f t="shared" si="89"/>
        <v/>
      </c>
      <c r="S928" s="16" t="str">
        <f>IF(Q928="","",Q928/MAX(Q$5:Q928)-1)</f>
        <v/>
      </c>
    </row>
    <row r="929" spans="1:19">
      <c r="A929" s="15" t="str">
        <f>IF('实盘净值数据(iFinD）'!A929="","",'实盘净值数据(iFinD）'!A929)</f>
        <v/>
      </c>
      <c r="B929" s="13" t="str">
        <f>IF(OR('实盘净值数据(iFinD）'!$A929="",'实盘净值数据(iFinD）'!$B929=""),"",分期持仓明细!$AB$17*SUMPRODUCT(分期持仓明细!$B$17:$Y$17,'实盘净值数据(iFinD）'!$B929:$Y929/'实盘净值数据(iFinD）'!$B$20:$Y$20)*(1-实盘持仓初始配置!$Z$4)^(('实盘净值数据(iFinD）'!$A929-'实盘净值数据(iFinD）'!$A$6)/365))</f>
        <v/>
      </c>
      <c r="C929" s="16" t="str">
        <f t="shared" si="84"/>
        <v/>
      </c>
      <c r="D929" s="16" t="str">
        <f>IF(B929="","",B929/MAX(B$5:B929)-1)</f>
        <v/>
      </c>
      <c r="E929" s="13" t="str">
        <f>IF(OR('实盘净值数据(iFinD）'!$A929="",'实盘净值数据(iFinD）'!$B929=""),"",分期持仓明细!$AB$18*SUMPRODUCT(分期持仓明细!$B$18:$Y$18,'实盘净值数据(iFinD）'!$B929:$Y929/'实盘净值数据(iFinD）'!$B$20:$Y$20)*(1-实盘持仓初始配置!$Z$5)^(('实盘净值数据(iFinD）'!$A929-'实盘净值数据(iFinD）'!$A$5)/365))</f>
        <v/>
      </c>
      <c r="F929" s="16" t="str">
        <f t="shared" si="85"/>
        <v/>
      </c>
      <c r="G929" s="16" t="str">
        <f>IF(E929="","",E929/MAX(E$5:E929)-1)</f>
        <v/>
      </c>
      <c r="H929" s="13" t="str">
        <f>IF(OR('实盘净值数据(iFinD）'!$A929="",'实盘净值数据(iFinD）'!$B929=""),"",分期持仓明细!$AB$19*SUMPRODUCT(分期持仓明细!$B$19:$Y$19,'实盘净值数据(iFinD）'!$B929:$Y929/'实盘净值数据(iFinD）'!$B$20:$Y$20)*(1-实盘持仓初始配置!$Z$6)^(('实盘净值数据(iFinD）'!$A929-'实盘净值数据(iFinD）'!$A$7)/365))</f>
        <v/>
      </c>
      <c r="I929" s="16" t="str">
        <f t="shared" si="86"/>
        <v/>
      </c>
      <c r="J929" s="16" t="str">
        <f>IF(H929="","",H929/MAX(H$5:H929)-1)</f>
        <v/>
      </c>
      <c r="K929" s="13" t="str">
        <f>IF(OR('实盘净值数据(iFinD）'!$A929="",'实盘净值数据(iFinD）'!$B929="",'实盘净值数据(iFinD）'!$Z929="",'实盘净值数据(iFinD）'!$AA929=""),"",分期持仓明细!$AB$23*(SUMPRODUCT(分期持仓明细!$B$23:$Y$23,'实盘净值数据(iFinD）'!$B929:$Y929/'实盘净值数据(iFinD）'!$B$65:$Y$65)+SUMPRODUCT(分期持仓明细!$AC$23:$AD$23,'实盘净值数据(iFinD）'!$Z929:$AA929/'实盘净值数据(iFinD）'!$Z$65:$AA$65))*(1-实盘持仓初始配置!$Z$7)^(('实盘净值数据(iFinD）'!$A929-'实盘净值数据(iFinD）'!$A$8)/365))</f>
        <v/>
      </c>
      <c r="L929" s="16" t="str">
        <f t="shared" si="87"/>
        <v/>
      </c>
      <c r="M929" s="16" t="str">
        <f>IF(K929="","",K929/MAX(K$5:K929)-1)</f>
        <v/>
      </c>
      <c r="N929" s="13" t="str">
        <f>IF(OR('实盘净值数据(iFinD）'!$A929="",'实盘净值数据(iFinD）'!$B929="",'实盘净值数据(iFinD）'!$Z929="",'实盘净值数据(iFinD）'!$AA929=""),"",分期持仓明细!$AB$24*(SUMPRODUCT(分期持仓明细!$B$24:$Y$24,'实盘净值数据(iFinD）'!$B929:$Y929/'实盘净值数据(iFinD）'!$B$65:$Y$65)+SUMPRODUCT(分期持仓明细!$AC$24:$AD$24,'实盘净值数据(iFinD）'!$Z929:$AA929/'实盘净值数据(iFinD）'!$Z$65:$AA$65))*(1-实盘持仓初始配置!$Z$8)^(('实盘净值数据(iFinD）'!$A929-'实盘净值数据(iFinD）'!$A$5)/365))</f>
        <v/>
      </c>
      <c r="O929" s="16" t="str">
        <f t="shared" si="88"/>
        <v/>
      </c>
      <c r="P929" s="16" t="str">
        <f>IF(N929="","",N929/MAX(N$5:N929)-1)</f>
        <v/>
      </c>
      <c r="Q929" s="13" t="str">
        <f>IF(OR('实盘净值数据(iFinD）'!$A929="",'实盘净值数据(iFinD）'!$B929="",'实盘净值数据(iFinD）'!$Z929="",'实盘净值数据(iFinD）'!$AA929=""),"",分期持仓明细!$AB$25*(SUMPRODUCT(分期持仓明细!$B$25:$Y$25,'实盘净值数据(iFinD）'!$B929:$Y929/'实盘净值数据(iFinD）'!$B$65:$Y$65)+SUMPRODUCT(分期持仓明细!$AC$25:$AD$25,'实盘净值数据(iFinD）'!$Z929:$AA929/'实盘净值数据(iFinD）'!$Z$65:$AA$65))*(1-实盘持仓初始配置!$Z$9)^(('实盘净值数据(iFinD）'!$A929-'实盘净值数据(iFinD）'!$A$8)/365))</f>
        <v/>
      </c>
      <c r="R929" s="16" t="str">
        <f t="shared" si="89"/>
        <v/>
      </c>
      <c r="S929" s="16" t="str">
        <f>IF(Q929="","",Q929/MAX(Q$5:Q929)-1)</f>
        <v/>
      </c>
    </row>
    <row r="930" spans="1:19">
      <c r="A930" s="15" t="str">
        <f>IF('实盘净值数据(iFinD）'!A930="","",'实盘净值数据(iFinD）'!A930)</f>
        <v/>
      </c>
      <c r="B930" s="13" t="str">
        <f>IF(OR('实盘净值数据(iFinD）'!$A930="",'实盘净值数据(iFinD）'!$B930=""),"",分期持仓明细!$AB$17*SUMPRODUCT(分期持仓明细!$B$17:$Y$17,'实盘净值数据(iFinD）'!$B930:$Y930/'实盘净值数据(iFinD）'!$B$20:$Y$20)*(1-实盘持仓初始配置!$Z$4)^(('实盘净值数据(iFinD）'!$A930-'实盘净值数据(iFinD）'!$A$6)/365))</f>
        <v/>
      </c>
      <c r="C930" s="16" t="str">
        <f t="shared" si="84"/>
        <v/>
      </c>
      <c r="D930" s="16" t="str">
        <f>IF(B930="","",B930/MAX(B$5:B930)-1)</f>
        <v/>
      </c>
      <c r="E930" s="13" t="str">
        <f>IF(OR('实盘净值数据(iFinD）'!$A930="",'实盘净值数据(iFinD）'!$B930=""),"",分期持仓明细!$AB$18*SUMPRODUCT(分期持仓明细!$B$18:$Y$18,'实盘净值数据(iFinD）'!$B930:$Y930/'实盘净值数据(iFinD）'!$B$20:$Y$20)*(1-实盘持仓初始配置!$Z$5)^(('实盘净值数据(iFinD）'!$A930-'实盘净值数据(iFinD）'!$A$5)/365))</f>
        <v/>
      </c>
      <c r="F930" s="16" t="str">
        <f t="shared" si="85"/>
        <v/>
      </c>
      <c r="G930" s="16" t="str">
        <f>IF(E930="","",E930/MAX(E$5:E930)-1)</f>
        <v/>
      </c>
      <c r="H930" s="13" t="str">
        <f>IF(OR('实盘净值数据(iFinD）'!$A930="",'实盘净值数据(iFinD）'!$B930=""),"",分期持仓明细!$AB$19*SUMPRODUCT(分期持仓明细!$B$19:$Y$19,'实盘净值数据(iFinD）'!$B930:$Y930/'实盘净值数据(iFinD）'!$B$20:$Y$20)*(1-实盘持仓初始配置!$Z$6)^(('实盘净值数据(iFinD）'!$A930-'实盘净值数据(iFinD）'!$A$7)/365))</f>
        <v/>
      </c>
      <c r="I930" s="16" t="str">
        <f t="shared" si="86"/>
        <v/>
      </c>
      <c r="J930" s="16" t="str">
        <f>IF(H930="","",H930/MAX(H$5:H930)-1)</f>
        <v/>
      </c>
      <c r="K930" s="13" t="str">
        <f>IF(OR('实盘净值数据(iFinD）'!$A930="",'实盘净值数据(iFinD）'!$B930="",'实盘净值数据(iFinD）'!$Z930="",'实盘净值数据(iFinD）'!$AA930=""),"",分期持仓明细!$AB$23*(SUMPRODUCT(分期持仓明细!$B$23:$Y$23,'实盘净值数据(iFinD）'!$B930:$Y930/'实盘净值数据(iFinD）'!$B$65:$Y$65)+SUMPRODUCT(分期持仓明细!$AC$23:$AD$23,'实盘净值数据(iFinD）'!$Z930:$AA930/'实盘净值数据(iFinD）'!$Z$65:$AA$65))*(1-实盘持仓初始配置!$Z$7)^(('实盘净值数据(iFinD）'!$A930-'实盘净值数据(iFinD）'!$A$8)/365))</f>
        <v/>
      </c>
      <c r="L930" s="16" t="str">
        <f t="shared" si="87"/>
        <v/>
      </c>
      <c r="M930" s="16" t="str">
        <f>IF(K930="","",K930/MAX(K$5:K930)-1)</f>
        <v/>
      </c>
      <c r="N930" s="13" t="str">
        <f>IF(OR('实盘净值数据(iFinD）'!$A930="",'实盘净值数据(iFinD）'!$B930="",'实盘净值数据(iFinD）'!$Z930="",'实盘净值数据(iFinD）'!$AA930=""),"",分期持仓明细!$AB$24*(SUMPRODUCT(分期持仓明细!$B$24:$Y$24,'实盘净值数据(iFinD）'!$B930:$Y930/'实盘净值数据(iFinD）'!$B$65:$Y$65)+SUMPRODUCT(分期持仓明细!$AC$24:$AD$24,'实盘净值数据(iFinD）'!$Z930:$AA930/'实盘净值数据(iFinD）'!$Z$65:$AA$65))*(1-实盘持仓初始配置!$Z$8)^(('实盘净值数据(iFinD）'!$A930-'实盘净值数据(iFinD）'!$A$5)/365))</f>
        <v/>
      </c>
      <c r="O930" s="16" t="str">
        <f t="shared" si="88"/>
        <v/>
      </c>
      <c r="P930" s="16" t="str">
        <f>IF(N930="","",N930/MAX(N$5:N930)-1)</f>
        <v/>
      </c>
      <c r="Q930" s="13" t="str">
        <f>IF(OR('实盘净值数据(iFinD）'!$A930="",'实盘净值数据(iFinD）'!$B930="",'实盘净值数据(iFinD）'!$Z930="",'实盘净值数据(iFinD）'!$AA930=""),"",分期持仓明细!$AB$25*(SUMPRODUCT(分期持仓明细!$B$25:$Y$25,'实盘净值数据(iFinD）'!$B930:$Y930/'实盘净值数据(iFinD）'!$B$65:$Y$65)+SUMPRODUCT(分期持仓明细!$AC$25:$AD$25,'实盘净值数据(iFinD）'!$Z930:$AA930/'实盘净值数据(iFinD）'!$Z$65:$AA$65))*(1-实盘持仓初始配置!$Z$9)^(('实盘净值数据(iFinD）'!$A930-'实盘净值数据(iFinD）'!$A$8)/365))</f>
        <v/>
      </c>
      <c r="R930" s="16" t="str">
        <f t="shared" si="89"/>
        <v/>
      </c>
      <c r="S930" s="16" t="str">
        <f>IF(Q930="","",Q930/MAX(Q$5:Q930)-1)</f>
        <v/>
      </c>
    </row>
    <row r="931" spans="1:19">
      <c r="A931" s="15" t="str">
        <f>IF('实盘净值数据(iFinD）'!A931="","",'实盘净值数据(iFinD）'!A931)</f>
        <v/>
      </c>
      <c r="B931" s="13" t="str">
        <f>IF(OR('实盘净值数据(iFinD）'!$A931="",'实盘净值数据(iFinD）'!$B931=""),"",分期持仓明细!$AB$17*SUMPRODUCT(分期持仓明细!$B$17:$Y$17,'实盘净值数据(iFinD）'!$B931:$Y931/'实盘净值数据(iFinD）'!$B$20:$Y$20)*(1-实盘持仓初始配置!$Z$4)^(('实盘净值数据(iFinD）'!$A931-'实盘净值数据(iFinD）'!$A$6)/365))</f>
        <v/>
      </c>
      <c r="C931" s="16" t="str">
        <f t="shared" si="84"/>
        <v/>
      </c>
      <c r="D931" s="16" t="str">
        <f>IF(B931="","",B931/MAX(B$5:B931)-1)</f>
        <v/>
      </c>
      <c r="E931" s="13" t="str">
        <f>IF(OR('实盘净值数据(iFinD）'!$A931="",'实盘净值数据(iFinD）'!$B931=""),"",分期持仓明细!$AB$18*SUMPRODUCT(分期持仓明细!$B$18:$Y$18,'实盘净值数据(iFinD）'!$B931:$Y931/'实盘净值数据(iFinD）'!$B$20:$Y$20)*(1-实盘持仓初始配置!$Z$5)^(('实盘净值数据(iFinD）'!$A931-'实盘净值数据(iFinD）'!$A$5)/365))</f>
        <v/>
      </c>
      <c r="F931" s="16" t="str">
        <f t="shared" si="85"/>
        <v/>
      </c>
      <c r="G931" s="16" t="str">
        <f>IF(E931="","",E931/MAX(E$5:E931)-1)</f>
        <v/>
      </c>
      <c r="H931" s="13" t="str">
        <f>IF(OR('实盘净值数据(iFinD）'!$A931="",'实盘净值数据(iFinD）'!$B931=""),"",分期持仓明细!$AB$19*SUMPRODUCT(分期持仓明细!$B$19:$Y$19,'实盘净值数据(iFinD）'!$B931:$Y931/'实盘净值数据(iFinD）'!$B$20:$Y$20)*(1-实盘持仓初始配置!$Z$6)^(('实盘净值数据(iFinD）'!$A931-'实盘净值数据(iFinD）'!$A$7)/365))</f>
        <v/>
      </c>
      <c r="I931" s="16" t="str">
        <f t="shared" si="86"/>
        <v/>
      </c>
      <c r="J931" s="16" t="str">
        <f>IF(H931="","",H931/MAX(H$5:H931)-1)</f>
        <v/>
      </c>
      <c r="K931" s="13" t="str">
        <f>IF(OR('实盘净值数据(iFinD）'!$A931="",'实盘净值数据(iFinD）'!$B931="",'实盘净值数据(iFinD）'!$Z931="",'实盘净值数据(iFinD）'!$AA931=""),"",分期持仓明细!$AB$23*(SUMPRODUCT(分期持仓明细!$B$23:$Y$23,'实盘净值数据(iFinD）'!$B931:$Y931/'实盘净值数据(iFinD）'!$B$65:$Y$65)+SUMPRODUCT(分期持仓明细!$AC$23:$AD$23,'实盘净值数据(iFinD）'!$Z931:$AA931/'实盘净值数据(iFinD）'!$Z$65:$AA$65))*(1-实盘持仓初始配置!$Z$7)^(('实盘净值数据(iFinD）'!$A931-'实盘净值数据(iFinD）'!$A$8)/365))</f>
        <v/>
      </c>
      <c r="L931" s="16" t="str">
        <f t="shared" si="87"/>
        <v/>
      </c>
      <c r="M931" s="16" t="str">
        <f>IF(K931="","",K931/MAX(K$5:K931)-1)</f>
        <v/>
      </c>
      <c r="N931" s="13" t="str">
        <f>IF(OR('实盘净值数据(iFinD）'!$A931="",'实盘净值数据(iFinD）'!$B931="",'实盘净值数据(iFinD）'!$Z931="",'实盘净值数据(iFinD）'!$AA931=""),"",分期持仓明细!$AB$24*(SUMPRODUCT(分期持仓明细!$B$24:$Y$24,'实盘净值数据(iFinD）'!$B931:$Y931/'实盘净值数据(iFinD）'!$B$65:$Y$65)+SUMPRODUCT(分期持仓明细!$AC$24:$AD$24,'实盘净值数据(iFinD）'!$Z931:$AA931/'实盘净值数据(iFinD）'!$Z$65:$AA$65))*(1-实盘持仓初始配置!$Z$8)^(('实盘净值数据(iFinD）'!$A931-'实盘净值数据(iFinD）'!$A$5)/365))</f>
        <v/>
      </c>
      <c r="O931" s="16" t="str">
        <f t="shared" si="88"/>
        <v/>
      </c>
      <c r="P931" s="16" t="str">
        <f>IF(N931="","",N931/MAX(N$5:N931)-1)</f>
        <v/>
      </c>
      <c r="Q931" s="13" t="str">
        <f>IF(OR('实盘净值数据(iFinD）'!$A931="",'实盘净值数据(iFinD）'!$B931="",'实盘净值数据(iFinD）'!$Z931="",'实盘净值数据(iFinD）'!$AA931=""),"",分期持仓明细!$AB$25*(SUMPRODUCT(分期持仓明细!$B$25:$Y$25,'实盘净值数据(iFinD）'!$B931:$Y931/'实盘净值数据(iFinD）'!$B$65:$Y$65)+SUMPRODUCT(分期持仓明细!$AC$25:$AD$25,'实盘净值数据(iFinD）'!$Z931:$AA931/'实盘净值数据(iFinD）'!$Z$65:$AA$65))*(1-实盘持仓初始配置!$Z$9)^(('实盘净值数据(iFinD）'!$A931-'实盘净值数据(iFinD）'!$A$8)/365))</f>
        <v/>
      </c>
      <c r="R931" s="16" t="str">
        <f t="shared" si="89"/>
        <v/>
      </c>
      <c r="S931" s="16" t="str">
        <f>IF(Q931="","",Q931/MAX(Q$5:Q931)-1)</f>
        <v/>
      </c>
    </row>
    <row r="932" spans="1:19">
      <c r="A932" s="15" t="str">
        <f>IF('实盘净值数据(iFinD）'!A932="","",'实盘净值数据(iFinD）'!A932)</f>
        <v/>
      </c>
      <c r="B932" s="13" t="str">
        <f>IF(OR('实盘净值数据(iFinD）'!$A932="",'实盘净值数据(iFinD）'!$B932=""),"",分期持仓明细!$AB$17*SUMPRODUCT(分期持仓明细!$B$17:$Y$17,'实盘净值数据(iFinD）'!$B932:$Y932/'实盘净值数据(iFinD）'!$B$20:$Y$20)*(1-实盘持仓初始配置!$Z$4)^(('实盘净值数据(iFinD）'!$A932-'实盘净值数据(iFinD）'!$A$6)/365))</f>
        <v/>
      </c>
      <c r="C932" s="16" t="str">
        <f t="shared" si="84"/>
        <v/>
      </c>
      <c r="D932" s="16" t="str">
        <f>IF(B932="","",B932/MAX(B$5:B932)-1)</f>
        <v/>
      </c>
      <c r="E932" s="13" t="str">
        <f>IF(OR('实盘净值数据(iFinD）'!$A932="",'实盘净值数据(iFinD）'!$B932=""),"",分期持仓明细!$AB$18*SUMPRODUCT(分期持仓明细!$B$18:$Y$18,'实盘净值数据(iFinD）'!$B932:$Y932/'实盘净值数据(iFinD）'!$B$20:$Y$20)*(1-实盘持仓初始配置!$Z$5)^(('实盘净值数据(iFinD）'!$A932-'实盘净值数据(iFinD）'!$A$5)/365))</f>
        <v/>
      </c>
      <c r="F932" s="16" t="str">
        <f t="shared" si="85"/>
        <v/>
      </c>
      <c r="G932" s="16" t="str">
        <f>IF(E932="","",E932/MAX(E$5:E932)-1)</f>
        <v/>
      </c>
      <c r="H932" s="13" t="str">
        <f>IF(OR('实盘净值数据(iFinD）'!$A932="",'实盘净值数据(iFinD）'!$B932=""),"",分期持仓明细!$AB$19*SUMPRODUCT(分期持仓明细!$B$19:$Y$19,'实盘净值数据(iFinD）'!$B932:$Y932/'实盘净值数据(iFinD）'!$B$20:$Y$20)*(1-实盘持仓初始配置!$Z$6)^(('实盘净值数据(iFinD）'!$A932-'实盘净值数据(iFinD）'!$A$7)/365))</f>
        <v/>
      </c>
      <c r="I932" s="16" t="str">
        <f t="shared" si="86"/>
        <v/>
      </c>
      <c r="J932" s="16" t="str">
        <f>IF(H932="","",H932/MAX(H$5:H932)-1)</f>
        <v/>
      </c>
      <c r="K932" s="13" t="str">
        <f>IF(OR('实盘净值数据(iFinD）'!$A932="",'实盘净值数据(iFinD）'!$B932="",'实盘净值数据(iFinD）'!$Z932="",'实盘净值数据(iFinD）'!$AA932=""),"",分期持仓明细!$AB$23*(SUMPRODUCT(分期持仓明细!$B$23:$Y$23,'实盘净值数据(iFinD）'!$B932:$Y932/'实盘净值数据(iFinD）'!$B$65:$Y$65)+SUMPRODUCT(分期持仓明细!$AC$23:$AD$23,'实盘净值数据(iFinD）'!$Z932:$AA932/'实盘净值数据(iFinD）'!$Z$65:$AA$65))*(1-实盘持仓初始配置!$Z$7)^(('实盘净值数据(iFinD）'!$A932-'实盘净值数据(iFinD）'!$A$8)/365))</f>
        <v/>
      </c>
      <c r="L932" s="16" t="str">
        <f t="shared" si="87"/>
        <v/>
      </c>
      <c r="M932" s="16" t="str">
        <f>IF(K932="","",K932/MAX(K$5:K932)-1)</f>
        <v/>
      </c>
      <c r="N932" s="13" t="str">
        <f>IF(OR('实盘净值数据(iFinD）'!$A932="",'实盘净值数据(iFinD）'!$B932="",'实盘净值数据(iFinD）'!$Z932="",'实盘净值数据(iFinD）'!$AA932=""),"",分期持仓明细!$AB$24*(SUMPRODUCT(分期持仓明细!$B$24:$Y$24,'实盘净值数据(iFinD）'!$B932:$Y932/'实盘净值数据(iFinD）'!$B$65:$Y$65)+SUMPRODUCT(分期持仓明细!$AC$24:$AD$24,'实盘净值数据(iFinD）'!$Z932:$AA932/'实盘净值数据(iFinD）'!$Z$65:$AA$65))*(1-实盘持仓初始配置!$Z$8)^(('实盘净值数据(iFinD）'!$A932-'实盘净值数据(iFinD）'!$A$5)/365))</f>
        <v/>
      </c>
      <c r="O932" s="16" t="str">
        <f t="shared" si="88"/>
        <v/>
      </c>
      <c r="P932" s="16" t="str">
        <f>IF(N932="","",N932/MAX(N$5:N932)-1)</f>
        <v/>
      </c>
      <c r="Q932" s="13" t="str">
        <f>IF(OR('实盘净值数据(iFinD）'!$A932="",'实盘净值数据(iFinD）'!$B932="",'实盘净值数据(iFinD）'!$Z932="",'实盘净值数据(iFinD）'!$AA932=""),"",分期持仓明细!$AB$25*(SUMPRODUCT(分期持仓明细!$B$25:$Y$25,'实盘净值数据(iFinD）'!$B932:$Y932/'实盘净值数据(iFinD）'!$B$65:$Y$65)+SUMPRODUCT(分期持仓明细!$AC$25:$AD$25,'实盘净值数据(iFinD）'!$Z932:$AA932/'实盘净值数据(iFinD）'!$Z$65:$AA$65))*(1-实盘持仓初始配置!$Z$9)^(('实盘净值数据(iFinD）'!$A932-'实盘净值数据(iFinD）'!$A$8)/365))</f>
        <v/>
      </c>
      <c r="R932" s="16" t="str">
        <f t="shared" si="89"/>
        <v/>
      </c>
      <c r="S932" s="16" t="str">
        <f>IF(Q932="","",Q932/MAX(Q$5:Q932)-1)</f>
        <v/>
      </c>
    </row>
    <row r="933" spans="1:19">
      <c r="A933" s="15" t="str">
        <f>IF('实盘净值数据(iFinD）'!A933="","",'实盘净值数据(iFinD）'!A933)</f>
        <v/>
      </c>
      <c r="B933" s="13" t="str">
        <f>IF(OR('实盘净值数据(iFinD）'!$A933="",'实盘净值数据(iFinD）'!$B933=""),"",分期持仓明细!$AB$17*SUMPRODUCT(分期持仓明细!$B$17:$Y$17,'实盘净值数据(iFinD）'!$B933:$Y933/'实盘净值数据(iFinD）'!$B$20:$Y$20)*(1-实盘持仓初始配置!$Z$4)^(('实盘净值数据(iFinD）'!$A933-'实盘净值数据(iFinD）'!$A$6)/365))</f>
        <v/>
      </c>
      <c r="C933" s="16" t="str">
        <f t="shared" si="84"/>
        <v/>
      </c>
      <c r="D933" s="16" t="str">
        <f>IF(B933="","",B933/MAX(B$5:B933)-1)</f>
        <v/>
      </c>
      <c r="E933" s="13" t="str">
        <f>IF(OR('实盘净值数据(iFinD）'!$A933="",'实盘净值数据(iFinD）'!$B933=""),"",分期持仓明细!$AB$18*SUMPRODUCT(分期持仓明细!$B$18:$Y$18,'实盘净值数据(iFinD）'!$B933:$Y933/'实盘净值数据(iFinD）'!$B$20:$Y$20)*(1-实盘持仓初始配置!$Z$5)^(('实盘净值数据(iFinD）'!$A933-'实盘净值数据(iFinD）'!$A$5)/365))</f>
        <v/>
      </c>
      <c r="F933" s="16" t="str">
        <f t="shared" si="85"/>
        <v/>
      </c>
      <c r="G933" s="16" t="str">
        <f>IF(E933="","",E933/MAX(E$5:E933)-1)</f>
        <v/>
      </c>
      <c r="H933" s="13" t="str">
        <f>IF(OR('实盘净值数据(iFinD）'!$A933="",'实盘净值数据(iFinD）'!$B933=""),"",分期持仓明细!$AB$19*SUMPRODUCT(分期持仓明细!$B$19:$Y$19,'实盘净值数据(iFinD）'!$B933:$Y933/'实盘净值数据(iFinD）'!$B$20:$Y$20)*(1-实盘持仓初始配置!$Z$6)^(('实盘净值数据(iFinD）'!$A933-'实盘净值数据(iFinD）'!$A$7)/365))</f>
        <v/>
      </c>
      <c r="I933" s="16" t="str">
        <f t="shared" si="86"/>
        <v/>
      </c>
      <c r="J933" s="16" t="str">
        <f>IF(H933="","",H933/MAX(H$5:H933)-1)</f>
        <v/>
      </c>
      <c r="K933" s="13" t="str">
        <f>IF(OR('实盘净值数据(iFinD）'!$A933="",'实盘净值数据(iFinD）'!$B933="",'实盘净值数据(iFinD）'!$Z933="",'实盘净值数据(iFinD）'!$AA933=""),"",分期持仓明细!$AB$23*(SUMPRODUCT(分期持仓明细!$B$23:$Y$23,'实盘净值数据(iFinD）'!$B933:$Y933/'实盘净值数据(iFinD）'!$B$65:$Y$65)+SUMPRODUCT(分期持仓明细!$AC$23:$AD$23,'实盘净值数据(iFinD）'!$Z933:$AA933/'实盘净值数据(iFinD）'!$Z$65:$AA$65))*(1-实盘持仓初始配置!$Z$7)^(('实盘净值数据(iFinD）'!$A933-'实盘净值数据(iFinD）'!$A$8)/365))</f>
        <v/>
      </c>
      <c r="L933" s="16" t="str">
        <f t="shared" si="87"/>
        <v/>
      </c>
      <c r="M933" s="16" t="str">
        <f>IF(K933="","",K933/MAX(K$5:K933)-1)</f>
        <v/>
      </c>
      <c r="N933" s="13" t="str">
        <f>IF(OR('实盘净值数据(iFinD）'!$A933="",'实盘净值数据(iFinD）'!$B933="",'实盘净值数据(iFinD）'!$Z933="",'实盘净值数据(iFinD）'!$AA933=""),"",分期持仓明细!$AB$24*(SUMPRODUCT(分期持仓明细!$B$24:$Y$24,'实盘净值数据(iFinD）'!$B933:$Y933/'实盘净值数据(iFinD）'!$B$65:$Y$65)+SUMPRODUCT(分期持仓明细!$AC$24:$AD$24,'实盘净值数据(iFinD）'!$Z933:$AA933/'实盘净值数据(iFinD）'!$Z$65:$AA$65))*(1-实盘持仓初始配置!$Z$8)^(('实盘净值数据(iFinD）'!$A933-'实盘净值数据(iFinD）'!$A$5)/365))</f>
        <v/>
      </c>
      <c r="O933" s="16" t="str">
        <f t="shared" si="88"/>
        <v/>
      </c>
      <c r="P933" s="16" t="str">
        <f>IF(N933="","",N933/MAX(N$5:N933)-1)</f>
        <v/>
      </c>
      <c r="Q933" s="13" t="str">
        <f>IF(OR('实盘净值数据(iFinD）'!$A933="",'实盘净值数据(iFinD）'!$B933="",'实盘净值数据(iFinD）'!$Z933="",'实盘净值数据(iFinD）'!$AA933=""),"",分期持仓明细!$AB$25*(SUMPRODUCT(分期持仓明细!$B$25:$Y$25,'实盘净值数据(iFinD）'!$B933:$Y933/'实盘净值数据(iFinD）'!$B$65:$Y$65)+SUMPRODUCT(分期持仓明细!$AC$25:$AD$25,'实盘净值数据(iFinD）'!$Z933:$AA933/'实盘净值数据(iFinD）'!$Z$65:$AA$65))*(1-实盘持仓初始配置!$Z$9)^(('实盘净值数据(iFinD）'!$A933-'实盘净值数据(iFinD）'!$A$8)/365))</f>
        <v/>
      </c>
      <c r="R933" s="16" t="str">
        <f t="shared" si="89"/>
        <v/>
      </c>
      <c r="S933" s="16" t="str">
        <f>IF(Q933="","",Q933/MAX(Q$5:Q933)-1)</f>
        <v/>
      </c>
    </row>
    <row r="934" spans="1:19">
      <c r="A934" s="15" t="str">
        <f>IF('实盘净值数据(iFinD）'!A934="","",'实盘净值数据(iFinD）'!A934)</f>
        <v/>
      </c>
      <c r="B934" s="13" t="str">
        <f>IF(OR('实盘净值数据(iFinD）'!$A934="",'实盘净值数据(iFinD）'!$B934=""),"",分期持仓明细!$AB$17*SUMPRODUCT(分期持仓明细!$B$17:$Y$17,'实盘净值数据(iFinD）'!$B934:$Y934/'实盘净值数据(iFinD）'!$B$20:$Y$20)*(1-实盘持仓初始配置!$Z$4)^(('实盘净值数据(iFinD）'!$A934-'实盘净值数据(iFinD）'!$A$6)/365))</f>
        <v/>
      </c>
      <c r="C934" s="16" t="str">
        <f t="shared" si="84"/>
        <v/>
      </c>
      <c r="D934" s="16" t="str">
        <f>IF(B934="","",B934/MAX(B$5:B934)-1)</f>
        <v/>
      </c>
      <c r="E934" s="13" t="str">
        <f>IF(OR('实盘净值数据(iFinD）'!$A934="",'实盘净值数据(iFinD）'!$B934=""),"",分期持仓明细!$AB$18*SUMPRODUCT(分期持仓明细!$B$18:$Y$18,'实盘净值数据(iFinD）'!$B934:$Y934/'实盘净值数据(iFinD）'!$B$20:$Y$20)*(1-实盘持仓初始配置!$Z$5)^(('实盘净值数据(iFinD）'!$A934-'实盘净值数据(iFinD）'!$A$5)/365))</f>
        <v/>
      </c>
      <c r="F934" s="16" t="str">
        <f t="shared" si="85"/>
        <v/>
      </c>
      <c r="G934" s="16" t="str">
        <f>IF(E934="","",E934/MAX(E$5:E934)-1)</f>
        <v/>
      </c>
      <c r="H934" s="13" t="str">
        <f>IF(OR('实盘净值数据(iFinD）'!$A934="",'实盘净值数据(iFinD）'!$B934=""),"",分期持仓明细!$AB$19*SUMPRODUCT(分期持仓明细!$B$19:$Y$19,'实盘净值数据(iFinD）'!$B934:$Y934/'实盘净值数据(iFinD）'!$B$20:$Y$20)*(1-实盘持仓初始配置!$Z$6)^(('实盘净值数据(iFinD）'!$A934-'实盘净值数据(iFinD）'!$A$7)/365))</f>
        <v/>
      </c>
      <c r="I934" s="16" t="str">
        <f t="shared" si="86"/>
        <v/>
      </c>
      <c r="J934" s="16" t="str">
        <f>IF(H934="","",H934/MAX(H$5:H934)-1)</f>
        <v/>
      </c>
      <c r="K934" s="13" t="str">
        <f>IF(OR('实盘净值数据(iFinD）'!$A934="",'实盘净值数据(iFinD）'!$B934="",'实盘净值数据(iFinD）'!$Z934="",'实盘净值数据(iFinD）'!$AA934=""),"",分期持仓明细!$AB$23*(SUMPRODUCT(分期持仓明细!$B$23:$Y$23,'实盘净值数据(iFinD）'!$B934:$Y934/'实盘净值数据(iFinD）'!$B$65:$Y$65)+SUMPRODUCT(分期持仓明细!$AC$23:$AD$23,'实盘净值数据(iFinD）'!$Z934:$AA934/'实盘净值数据(iFinD）'!$Z$65:$AA$65))*(1-实盘持仓初始配置!$Z$7)^(('实盘净值数据(iFinD）'!$A934-'实盘净值数据(iFinD）'!$A$8)/365))</f>
        <v/>
      </c>
      <c r="L934" s="16" t="str">
        <f t="shared" si="87"/>
        <v/>
      </c>
      <c r="M934" s="16" t="str">
        <f>IF(K934="","",K934/MAX(K$5:K934)-1)</f>
        <v/>
      </c>
      <c r="N934" s="13" t="str">
        <f>IF(OR('实盘净值数据(iFinD）'!$A934="",'实盘净值数据(iFinD）'!$B934="",'实盘净值数据(iFinD）'!$Z934="",'实盘净值数据(iFinD）'!$AA934=""),"",分期持仓明细!$AB$24*(SUMPRODUCT(分期持仓明细!$B$24:$Y$24,'实盘净值数据(iFinD）'!$B934:$Y934/'实盘净值数据(iFinD）'!$B$65:$Y$65)+SUMPRODUCT(分期持仓明细!$AC$24:$AD$24,'实盘净值数据(iFinD）'!$Z934:$AA934/'实盘净值数据(iFinD）'!$Z$65:$AA$65))*(1-实盘持仓初始配置!$Z$8)^(('实盘净值数据(iFinD）'!$A934-'实盘净值数据(iFinD）'!$A$5)/365))</f>
        <v/>
      </c>
      <c r="O934" s="16" t="str">
        <f t="shared" si="88"/>
        <v/>
      </c>
      <c r="P934" s="16" t="str">
        <f>IF(N934="","",N934/MAX(N$5:N934)-1)</f>
        <v/>
      </c>
      <c r="Q934" s="13" t="str">
        <f>IF(OR('实盘净值数据(iFinD）'!$A934="",'实盘净值数据(iFinD）'!$B934="",'实盘净值数据(iFinD）'!$Z934="",'实盘净值数据(iFinD）'!$AA934=""),"",分期持仓明细!$AB$25*(SUMPRODUCT(分期持仓明细!$B$25:$Y$25,'实盘净值数据(iFinD）'!$B934:$Y934/'实盘净值数据(iFinD）'!$B$65:$Y$65)+SUMPRODUCT(分期持仓明细!$AC$25:$AD$25,'实盘净值数据(iFinD）'!$Z934:$AA934/'实盘净值数据(iFinD）'!$Z$65:$AA$65))*(1-实盘持仓初始配置!$Z$9)^(('实盘净值数据(iFinD）'!$A934-'实盘净值数据(iFinD）'!$A$8)/365))</f>
        <v/>
      </c>
      <c r="R934" s="16" t="str">
        <f t="shared" si="89"/>
        <v/>
      </c>
      <c r="S934" s="16" t="str">
        <f>IF(Q934="","",Q934/MAX(Q$5:Q934)-1)</f>
        <v/>
      </c>
    </row>
    <row r="935" spans="1:19">
      <c r="A935" s="15" t="str">
        <f>IF('实盘净值数据(iFinD）'!A935="","",'实盘净值数据(iFinD）'!A935)</f>
        <v/>
      </c>
      <c r="B935" s="13" t="str">
        <f>IF(OR('实盘净值数据(iFinD）'!$A935="",'实盘净值数据(iFinD）'!$B935=""),"",分期持仓明细!$AB$17*SUMPRODUCT(分期持仓明细!$B$17:$Y$17,'实盘净值数据(iFinD）'!$B935:$Y935/'实盘净值数据(iFinD）'!$B$20:$Y$20)*(1-实盘持仓初始配置!$Z$4)^(('实盘净值数据(iFinD）'!$A935-'实盘净值数据(iFinD）'!$A$6)/365))</f>
        <v/>
      </c>
      <c r="C935" s="16" t="str">
        <f t="shared" si="84"/>
        <v/>
      </c>
      <c r="D935" s="16" t="str">
        <f>IF(B935="","",B935/MAX(B$5:B935)-1)</f>
        <v/>
      </c>
      <c r="E935" s="13" t="str">
        <f>IF(OR('实盘净值数据(iFinD）'!$A935="",'实盘净值数据(iFinD）'!$B935=""),"",分期持仓明细!$AB$18*SUMPRODUCT(分期持仓明细!$B$18:$Y$18,'实盘净值数据(iFinD）'!$B935:$Y935/'实盘净值数据(iFinD）'!$B$20:$Y$20)*(1-实盘持仓初始配置!$Z$5)^(('实盘净值数据(iFinD）'!$A935-'实盘净值数据(iFinD）'!$A$5)/365))</f>
        <v/>
      </c>
      <c r="F935" s="16" t="str">
        <f t="shared" si="85"/>
        <v/>
      </c>
      <c r="G935" s="16" t="str">
        <f>IF(E935="","",E935/MAX(E$5:E935)-1)</f>
        <v/>
      </c>
      <c r="H935" s="13" t="str">
        <f>IF(OR('实盘净值数据(iFinD）'!$A935="",'实盘净值数据(iFinD）'!$B935=""),"",分期持仓明细!$AB$19*SUMPRODUCT(分期持仓明细!$B$19:$Y$19,'实盘净值数据(iFinD）'!$B935:$Y935/'实盘净值数据(iFinD）'!$B$20:$Y$20)*(1-实盘持仓初始配置!$Z$6)^(('实盘净值数据(iFinD）'!$A935-'实盘净值数据(iFinD）'!$A$7)/365))</f>
        <v/>
      </c>
      <c r="I935" s="16" t="str">
        <f t="shared" si="86"/>
        <v/>
      </c>
      <c r="J935" s="16" t="str">
        <f>IF(H935="","",H935/MAX(H$5:H935)-1)</f>
        <v/>
      </c>
      <c r="K935" s="13" t="str">
        <f>IF(OR('实盘净值数据(iFinD）'!$A935="",'实盘净值数据(iFinD）'!$B935="",'实盘净值数据(iFinD）'!$Z935="",'实盘净值数据(iFinD）'!$AA935=""),"",分期持仓明细!$AB$23*(SUMPRODUCT(分期持仓明细!$B$23:$Y$23,'实盘净值数据(iFinD）'!$B935:$Y935/'实盘净值数据(iFinD）'!$B$65:$Y$65)+SUMPRODUCT(分期持仓明细!$AC$23:$AD$23,'实盘净值数据(iFinD）'!$Z935:$AA935/'实盘净值数据(iFinD）'!$Z$65:$AA$65))*(1-实盘持仓初始配置!$Z$7)^(('实盘净值数据(iFinD）'!$A935-'实盘净值数据(iFinD）'!$A$8)/365))</f>
        <v/>
      </c>
      <c r="L935" s="16" t="str">
        <f t="shared" si="87"/>
        <v/>
      </c>
      <c r="M935" s="16" t="str">
        <f>IF(K935="","",K935/MAX(K$5:K935)-1)</f>
        <v/>
      </c>
      <c r="N935" s="13" t="str">
        <f>IF(OR('实盘净值数据(iFinD）'!$A935="",'实盘净值数据(iFinD）'!$B935="",'实盘净值数据(iFinD）'!$Z935="",'实盘净值数据(iFinD）'!$AA935=""),"",分期持仓明细!$AB$24*(SUMPRODUCT(分期持仓明细!$B$24:$Y$24,'实盘净值数据(iFinD）'!$B935:$Y935/'实盘净值数据(iFinD）'!$B$65:$Y$65)+SUMPRODUCT(分期持仓明细!$AC$24:$AD$24,'实盘净值数据(iFinD）'!$Z935:$AA935/'实盘净值数据(iFinD）'!$Z$65:$AA$65))*(1-实盘持仓初始配置!$Z$8)^(('实盘净值数据(iFinD）'!$A935-'实盘净值数据(iFinD）'!$A$5)/365))</f>
        <v/>
      </c>
      <c r="O935" s="16" t="str">
        <f t="shared" si="88"/>
        <v/>
      </c>
      <c r="P935" s="16" t="str">
        <f>IF(N935="","",N935/MAX(N$5:N935)-1)</f>
        <v/>
      </c>
      <c r="Q935" s="13" t="str">
        <f>IF(OR('实盘净值数据(iFinD）'!$A935="",'实盘净值数据(iFinD）'!$B935="",'实盘净值数据(iFinD）'!$Z935="",'实盘净值数据(iFinD）'!$AA935=""),"",分期持仓明细!$AB$25*(SUMPRODUCT(分期持仓明细!$B$25:$Y$25,'实盘净值数据(iFinD）'!$B935:$Y935/'实盘净值数据(iFinD）'!$B$65:$Y$65)+SUMPRODUCT(分期持仓明细!$AC$25:$AD$25,'实盘净值数据(iFinD）'!$Z935:$AA935/'实盘净值数据(iFinD）'!$Z$65:$AA$65))*(1-实盘持仓初始配置!$Z$9)^(('实盘净值数据(iFinD）'!$A935-'实盘净值数据(iFinD）'!$A$8)/365))</f>
        <v/>
      </c>
      <c r="R935" s="16" t="str">
        <f t="shared" si="89"/>
        <v/>
      </c>
      <c r="S935" s="16" t="str">
        <f>IF(Q935="","",Q935/MAX(Q$5:Q935)-1)</f>
        <v/>
      </c>
    </row>
    <row r="936" spans="1:19">
      <c r="A936" s="15" t="str">
        <f>IF('实盘净值数据(iFinD）'!A936="","",'实盘净值数据(iFinD）'!A936)</f>
        <v/>
      </c>
      <c r="B936" s="13" t="str">
        <f>IF(OR('实盘净值数据(iFinD）'!$A936="",'实盘净值数据(iFinD）'!$B936=""),"",分期持仓明细!$AB$17*SUMPRODUCT(分期持仓明细!$B$17:$Y$17,'实盘净值数据(iFinD）'!$B936:$Y936/'实盘净值数据(iFinD）'!$B$20:$Y$20)*(1-实盘持仓初始配置!$Z$4)^(('实盘净值数据(iFinD）'!$A936-'实盘净值数据(iFinD）'!$A$6)/365))</f>
        <v/>
      </c>
      <c r="C936" s="16" t="str">
        <f t="shared" si="84"/>
        <v/>
      </c>
      <c r="D936" s="16" t="str">
        <f>IF(B936="","",B936/MAX(B$5:B936)-1)</f>
        <v/>
      </c>
      <c r="E936" s="13" t="str">
        <f>IF(OR('实盘净值数据(iFinD）'!$A936="",'实盘净值数据(iFinD）'!$B936=""),"",分期持仓明细!$AB$18*SUMPRODUCT(分期持仓明细!$B$18:$Y$18,'实盘净值数据(iFinD）'!$B936:$Y936/'实盘净值数据(iFinD）'!$B$20:$Y$20)*(1-实盘持仓初始配置!$Z$5)^(('实盘净值数据(iFinD）'!$A936-'实盘净值数据(iFinD）'!$A$5)/365))</f>
        <v/>
      </c>
      <c r="F936" s="16" t="str">
        <f t="shared" si="85"/>
        <v/>
      </c>
      <c r="G936" s="16" t="str">
        <f>IF(E936="","",E936/MAX(E$5:E936)-1)</f>
        <v/>
      </c>
      <c r="H936" s="13" t="str">
        <f>IF(OR('实盘净值数据(iFinD）'!$A936="",'实盘净值数据(iFinD）'!$B936=""),"",分期持仓明细!$AB$19*SUMPRODUCT(分期持仓明细!$B$19:$Y$19,'实盘净值数据(iFinD）'!$B936:$Y936/'实盘净值数据(iFinD）'!$B$20:$Y$20)*(1-实盘持仓初始配置!$Z$6)^(('实盘净值数据(iFinD）'!$A936-'实盘净值数据(iFinD）'!$A$7)/365))</f>
        <v/>
      </c>
      <c r="I936" s="16" t="str">
        <f t="shared" si="86"/>
        <v/>
      </c>
      <c r="J936" s="16" t="str">
        <f>IF(H936="","",H936/MAX(H$5:H936)-1)</f>
        <v/>
      </c>
      <c r="K936" s="13" t="str">
        <f>IF(OR('实盘净值数据(iFinD）'!$A936="",'实盘净值数据(iFinD）'!$B936="",'实盘净值数据(iFinD）'!$Z936="",'实盘净值数据(iFinD）'!$AA936=""),"",分期持仓明细!$AB$23*(SUMPRODUCT(分期持仓明细!$B$23:$Y$23,'实盘净值数据(iFinD）'!$B936:$Y936/'实盘净值数据(iFinD）'!$B$65:$Y$65)+SUMPRODUCT(分期持仓明细!$AC$23:$AD$23,'实盘净值数据(iFinD）'!$Z936:$AA936/'实盘净值数据(iFinD）'!$Z$65:$AA$65))*(1-实盘持仓初始配置!$Z$7)^(('实盘净值数据(iFinD）'!$A936-'实盘净值数据(iFinD）'!$A$8)/365))</f>
        <v/>
      </c>
      <c r="L936" s="16" t="str">
        <f t="shared" si="87"/>
        <v/>
      </c>
      <c r="M936" s="16" t="str">
        <f>IF(K936="","",K936/MAX(K$5:K936)-1)</f>
        <v/>
      </c>
      <c r="N936" s="13" t="str">
        <f>IF(OR('实盘净值数据(iFinD）'!$A936="",'实盘净值数据(iFinD）'!$B936="",'实盘净值数据(iFinD）'!$Z936="",'实盘净值数据(iFinD）'!$AA936=""),"",分期持仓明细!$AB$24*(SUMPRODUCT(分期持仓明细!$B$24:$Y$24,'实盘净值数据(iFinD）'!$B936:$Y936/'实盘净值数据(iFinD）'!$B$65:$Y$65)+SUMPRODUCT(分期持仓明细!$AC$24:$AD$24,'实盘净值数据(iFinD）'!$Z936:$AA936/'实盘净值数据(iFinD）'!$Z$65:$AA$65))*(1-实盘持仓初始配置!$Z$8)^(('实盘净值数据(iFinD）'!$A936-'实盘净值数据(iFinD）'!$A$5)/365))</f>
        <v/>
      </c>
      <c r="O936" s="16" t="str">
        <f t="shared" si="88"/>
        <v/>
      </c>
      <c r="P936" s="16" t="str">
        <f>IF(N936="","",N936/MAX(N$5:N936)-1)</f>
        <v/>
      </c>
      <c r="Q936" s="13" t="str">
        <f>IF(OR('实盘净值数据(iFinD）'!$A936="",'实盘净值数据(iFinD）'!$B936="",'实盘净值数据(iFinD）'!$Z936="",'实盘净值数据(iFinD）'!$AA936=""),"",分期持仓明细!$AB$25*(SUMPRODUCT(分期持仓明细!$B$25:$Y$25,'实盘净值数据(iFinD）'!$B936:$Y936/'实盘净值数据(iFinD）'!$B$65:$Y$65)+SUMPRODUCT(分期持仓明细!$AC$25:$AD$25,'实盘净值数据(iFinD）'!$Z936:$AA936/'实盘净值数据(iFinD）'!$Z$65:$AA$65))*(1-实盘持仓初始配置!$Z$9)^(('实盘净值数据(iFinD）'!$A936-'实盘净值数据(iFinD）'!$A$8)/365))</f>
        <v/>
      </c>
      <c r="R936" s="16" t="str">
        <f t="shared" si="89"/>
        <v/>
      </c>
      <c r="S936" s="16" t="str">
        <f>IF(Q936="","",Q936/MAX(Q$5:Q936)-1)</f>
        <v/>
      </c>
    </row>
    <row r="937" spans="1:19">
      <c r="A937" s="15" t="str">
        <f>IF('实盘净值数据(iFinD）'!A937="","",'实盘净值数据(iFinD）'!A937)</f>
        <v/>
      </c>
      <c r="B937" s="13" t="str">
        <f>IF(OR('实盘净值数据(iFinD）'!$A937="",'实盘净值数据(iFinD）'!$B937=""),"",分期持仓明细!$AB$17*SUMPRODUCT(分期持仓明细!$B$17:$Y$17,'实盘净值数据(iFinD）'!$B937:$Y937/'实盘净值数据(iFinD）'!$B$20:$Y$20)*(1-实盘持仓初始配置!$Z$4)^(('实盘净值数据(iFinD）'!$A937-'实盘净值数据(iFinD）'!$A$6)/365))</f>
        <v/>
      </c>
      <c r="C937" s="16" t="str">
        <f t="shared" si="84"/>
        <v/>
      </c>
      <c r="D937" s="16" t="str">
        <f>IF(B937="","",B937/MAX(B$5:B937)-1)</f>
        <v/>
      </c>
      <c r="E937" s="13" t="str">
        <f>IF(OR('实盘净值数据(iFinD）'!$A937="",'实盘净值数据(iFinD）'!$B937=""),"",分期持仓明细!$AB$18*SUMPRODUCT(分期持仓明细!$B$18:$Y$18,'实盘净值数据(iFinD）'!$B937:$Y937/'实盘净值数据(iFinD）'!$B$20:$Y$20)*(1-实盘持仓初始配置!$Z$5)^(('实盘净值数据(iFinD）'!$A937-'实盘净值数据(iFinD）'!$A$5)/365))</f>
        <v/>
      </c>
      <c r="F937" s="16" t="str">
        <f t="shared" si="85"/>
        <v/>
      </c>
      <c r="G937" s="16" t="str">
        <f>IF(E937="","",E937/MAX(E$5:E937)-1)</f>
        <v/>
      </c>
      <c r="H937" s="13" t="str">
        <f>IF(OR('实盘净值数据(iFinD）'!$A937="",'实盘净值数据(iFinD）'!$B937=""),"",分期持仓明细!$AB$19*SUMPRODUCT(分期持仓明细!$B$19:$Y$19,'实盘净值数据(iFinD）'!$B937:$Y937/'实盘净值数据(iFinD）'!$B$20:$Y$20)*(1-实盘持仓初始配置!$Z$6)^(('实盘净值数据(iFinD）'!$A937-'实盘净值数据(iFinD）'!$A$7)/365))</f>
        <v/>
      </c>
      <c r="I937" s="16" t="str">
        <f t="shared" si="86"/>
        <v/>
      </c>
      <c r="J937" s="16" t="str">
        <f>IF(H937="","",H937/MAX(H$5:H937)-1)</f>
        <v/>
      </c>
      <c r="K937" s="13" t="str">
        <f>IF(OR('实盘净值数据(iFinD）'!$A937="",'实盘净值数据(iFinD）'!$B937="",'实盘净值数据(iFinD）'!$Z937="",'实盘净值数据(iFinD）'!$AA937=""),"",分期持仓明细!$AB$23*(SUMPRODUCT(分期持仓明细!$B$23:$Y$23,'实盘净值数据(iFinD）'!$B937:$Y937/'实盘净值数据(iFinD）'!$B$65:$Y$65)+SUMPRODUCT(分期持仓明细!$AC$23:$AD$23,'实盘净值数据(iFinD）'!$Z937:$AA937/'实盘净值数据(iFinD）'!$Z$65:$AA$65))*(1-实盘持仓初始配置!$Z$7)^(('实盘净值数据(iFinD）'!$A937-'实盘净值数据(iFinD）'!$A$8)/365))</f>
        <v/>
      </c>
      <c r="L937" s="16" t="str">
        <f t="shared" si="87"/>
        <v/>
      </c>
      <c r="M937" s="16" t="str">
        <f>IF(K937="","",K937/MAX(K$5:K937)-1)</f>
        <v/>
      </c>
      <c r="N937" s="13" t="str">
        <f>IF(OR('实盘净值数据(iFinD）'!$A937="",'实盘净值数据(iFinD）'!$B937="",'实盘净值数据(iFinD）'!$Z937="",'实盘净值数据(iFinD）'!$AA937=""),"",分期持仓明细!$AB$24*(SUMPRODUCT(分期持仓明细!$B$24:$Y$24,'实盘净值数据(iFinD）'!$B937:$Y937/'实盘净值数据(iFinD）'!$B$65:$Y$65)+SUMPRODUCT(分期持仓明细!$AC$24:$AD$24,'实盘净值数据(iFinD）'!$Z937:$AA937/'实盘净值数据(iFinD）'!$Z$65:$AA$65))*(1-实盘持仓初始配置!$Z$8)^(('实盘净值数据(iFinD）'!$A937-'实盘净值数据(iFinD）'!$A$5)/365))</f>
        <v/>
      </c>
      <c r="O937" s="16" t="str">
        <f t="shared" si="88"/>
        <v/>
      </c>
      <c r="P937" s="16" t="str">
        <f>IF(N937="","",N937/MAX(N$5:N937)-1)</f>
        <v/>
      </c>
      <c r="Q937" s="13" t="str">
        <f>IF(OR('实盘净值数据(iFinD）'!$A937="",'实盘净值数据(iFinD）'!$B937="",'实盘净值数据(iFinD）'!$Z937="",'实盘净值数据(iFinD）'!$AA937=""),"",分期持仓明细!$AB$25*(SUMPRODUCT(分期持仓明细!$B$25:$Y$25,'实盘净值数据(iFinD）'!$B937:$Y937/'实盘净值数据(iFinD）'!$B$65:$Y$65)+SUMPRODUCT(分期持仓明细!$AC$25:$AD$25,'实盘净值数据(iFinD）'!$Z937:$AA937/'实盘净值数据(iFinD）'!$Z$65:$AA$65))*(1-实盘持仓初始配置!$Z$9)^(('实盘净值数据(iFinD）'!$A937-'实盘净值数据(iFinD）'!$A$8)/365))</f>
        <v/>
      </c>
      <c r="R937" s="16" t="str">
        <f t="shared" si="89"/>
        <v/>
      </c>
      <c r="S937" s="16" t="str">
        <f>IF(Q937="","",Q937/MAX(Q$5:Q937)-1)</f>
        <v/>
      </c>
    </row>
    <row r="938" spans="1:19">
      <c r="A938" s="15" t="str">
        <f>IF('实盘净值数据(iFinD）'!A938="","",'实盘净值数据(iFinD）'!A938)</f>
        <v/>
      </c>
      <c r="B938" s="13" t="str">
        <f>IF(OR('实盘净值数据(iFinD）'!$A938="",'实盘净值数据(iFinD）'!$B938=""),"",分期持仓明细!$AB$17*SUMPRODUCT(分期持仓明细!$B$17:$Y$17,'实盘净值数据(iFinD）'!$B938:$Y938/'实盘净值数据(iFinD）'!$B$20:$Y$20)*(1-实盘持仓初始配置!$Z$4)^(('实盘净值数据(iFinD）'!$A938-'实盘净值数据(iFinD）'!$A$6)/365))</f>
        <v/>
      </c>
      <c r="C938" s="16" t="str">
        <f t="shared" si="84"/>
        <v/>
      </c>
      <c r="D938" s="16" t="str">
        <f>IF(B938="","",B938/MAX(B$5:B938)-1)</f>
        <v/>
      </c>
      <c r="E938" s="13" t="str">
        <f>IF(OR('实盘净值数据(iFinD）'!$A938="",'实盘净值数据(iFinD）'!$B938=""),"",分期持仓明细!$AB$18*SUMPRODUCT(分期持仓明细!$B$18:$Y$18,'实盘净值数据(iFinD）'!$B938:$Y938/'实盘净值数据(iFinD）'!$B$20:$Y$20)*(1-实盘持仓初始配置!$Z$5)^(('实盘净值数据(iFinD）'!$A938-'实盘净值数据(iFinD）'!$A$5)/365))</f>
        <v/>
      </c>
      <c r="F938" s="16" t="str">
        <f t="shared" si="85"/>
        <v/>
      </c>
      <c r="G938" s="16" t="str">
        <f>IF(E938="","",E938/MAX(E$5:E938)-1)</f>
        <v/>
      </c>
      <c r="H938" s="13" t="str">
        <f>IF(OR('实盘净值数据(iFinD）'!$A938="",'实盘净值数据(iFinD）'!$B938=""),"",分期持仓明细!$AB$19*SUMPRODUCT(分期持仓明细!$B$19:$Y$19,'实盘净值数据(iFinD）'!$B938:$Y938/'实盘净值数据(iFinD）'!$B$20:$Y$20)*(1-实盘持仓初始配置!$Z$6)^(('实盘净值数据(iFinD）'!$A938-'实盘净值数据(iFinD）'!$A$7)/365))</f>
        <v/>
      </c>
      <c r="I938" s="16" t="str">
        <f t="shared" si="86"/>
        <v/>
      </c>
      <c r="J938" s="16" t="str">
        <f>IF(H938="","",H938/MAX(H$5:H938)-1)</f>
        <v/>
      </c>
      <c r="K938" s="13" t="str">
        <f>IF(OR('实盘净值数据(iFinD）'!$A938="",'实盘净值数据(iFinD）'!$B938="",'实盘净值数据(iFinD）'!$Z938="",'实盘净值数据(iFinD）'!$AA938=""),"",分期持仓明细!$AB$23*(SUMPRODUCT(分期持仓明细!$B$23:$Y$23,'实盘净值数据(iFinD）'!$B938:$Y938/'实盘净值数据(iFinD）'!$B$65:$Y$65)+SUMPRODUCT(分期持仓明细!$AC$23:$AD$23,'实盘净值数据(iFinD）'!$Z938:$AA938/'实盘净值数据(iFinD）'!$Z$65:$AA$65))*(1-实盘持仓初始配置!$Z$7)^(('实盘净值数据(iFinD）'!$A938-'实盘净值数据(iFinD）'!$A$8)/365))</f>
        <v/>
      </c>
      <c r="L938" s="16" t="str">
        <f t="shared" si="87"/>
        <v/>
      </c>
      <c r="M938" s="16" t="str">
        <f>IF(K938="","",K938/MAX(K$5:K938)-1)</f>
        <v/>
      </c>
      <c r="N938" s="13" t="str">
        <f>IF(OR('实盘净值数据(iFinD）'!$A938="",'实盘净值数据(iFinD）'!$B938="",'实盘净值数据(iFinD）'!$Z938="",'实盘净值数据(iFinD）'!$AA938=""),"",分期持仓明细!$AB$24*(SUMPRODUCT(分期持仓明细!$B$24:$Y$24,'实盘净值数据(iFinD）'!$B938:$Y938/'实盘净值数据(iFinD）'!$B$65:$Y$65)+SUMPRODUCT(分期持仓明细!$AC$24:$AD$24,'实盘净值数据(iFinD）'!$Z938:$AA938/'实盘净值数据(iFinD）'!$Z$65:$AA$65))*(1-实盘持仓初始配置!$Z$8)^(('实盘净值数据(iFinD）'!$A938-'实盘净值数据(iFinD）'!$A$5)/365))</f>
        <v/>
      </c>
      <c r="O938" s="16" t="str">
        <f t="shared" si="88"/>
        <v/>
      </c>
      <c r="P938" s="16" t="str">
        <f>IF(N938="","",N938/MAX(N$5:N938)-1)</f>
        <v/>
      </c>
      <c r="Q938" s="13" t="str">
        <f>IF(OR('实盘净值数据(iFinD）'!$A938="",'实盘净值数据(iFinD）'!$B938="",'实盘净值数据(iFinD）'!$Z938="",'实盘净值数据(iFinD）'!$AA938=""),"",分期持仓明细!$AB$25*(SUMPRODUCT(分期持仓明细!$B$25:$Y$25,'实盘净值数据(iFinD）'!$B938:$Y938/'实盘净值数据(iFinD）'!$B$65:$Y$65)+SUMPRODUCT(分期持仓明细!$AC$25:$AD$25,'实盘净值数据(iFinD）'!$Z938:$AA938/'实盘净值数据(iFinD）'!$Z$65:$AA$65))*(1-实盘持仓初始配置!$Z$9)^(('实盘净值数据(iFinD）'!$A938-'实盘净值数据(iFinD）'!$A$8)/365))</f>
        <v/>
      </c>
      <c r="R938" s="16" t="str">
        <f t="shared" si="89"/>
        <v/>
      </c>
      <c r="S938" s="16" t="str">
        <f>IF(Q938="","",Q938/MAX(Q$5:Q938)-1)</f>
        <v/>
      </c>
    </row>
    <row r="939" spans="1:19">
      <c r="A939" s="15" t="str">
        <f>IF('实盘净值数据(iFinD）'!A939="","",'实盘净值数据(iFinD）'!A939)</f>
        <v/>
      </c>
      <c r="B939" s="13" t="str">
        <f>IF(OR('实盘净值数据(iFinD）'!$A939="",'实盘净值数据(iFinD）'!$B939=""),"",分期持仓明细!$AB$17*SUMPRODUCT(分期持仓明细!$B$17:$Y$17,'实盘净值数据(iFinD）'!$B939:$Y939/'实盘净值数据(iFinD）'!$B$20:$Y$20)*(1-实盘持仓初始配置!$Z$4)^(('实盘净值数据(iFinD）'!$A939-'实盘净值数据(iFinD）'!$A$6)/365))</f>
        <v/>
      </c>
      <c r="C939" s="16" t="str">
        <f t="shared" si="84"/>
        <v/>
      </c>
      <c r="D939" s="16" t="str">
        <f>IF(B939="","",B939/MAX(B$5:B939)-1)</f>
        <v/>
      </c>
      <c r="E939" s="13" t="str">
        <f>IF(OR('实盘净值数据(iFinD）'!$A939="",'实盘净值数据(iFinD）'!$B939=""),"",分期持仓明细!$AB$18*SUMPRODUCT(分期持仓明细!$B$18:$Y$18,'实盘净值数据(iFinD）'!$B939:$Y939/'实盘净值数据(iFinD）'!$B$20:$Y$20)*(1-实盘持仓初始配置!$Z$5)^(('实盘净值数据(iFinD）'!$A939-'实盘净值数据(iFinD）'!$A$5)/365))</f>
        <v/>
      </c>
      <c r="F939" s="16" t="str">
        <f t="shared" si="85"/>
        <v/>
      </c>
      <c r="G939" s="16" t="str">
        <f>IF(E939="","",E939/MAX(E$5:E939)-1)</f>
        <v/>
      </c>
      <c r="H939" s="13" t="str">
        <f>IF(OR('实盘净值数据(iFinD）'!$A939="",'实盘净值数据(iFinD）'!$B939=""),"",分期持仓明细!$AB$19*SUMPRODUCT(分期持仓明细!$B$19:$Y$19,'实盘净值数据(iFinD）'!$B939:$Y939/'实盘净值数据(iFinD）'!$B$20:$Y$20)*(1-实盘持仓初始配置!$Z$6)^(('实盘净值数据(iFinD）'!$A939-'实盘净值数据(iFinD）'!$A$7)/365))</f>
        <v/>
      </c>
      <c r="I939" s="16" t="str">
        <f t="shared" si="86"/>
        <v/>
      </c>
      <c r="J939" s="16" t="str">
        <f>IF(H939="","",H939/MAX(H$5:H939)-1)</f>
        <v/>
      </c>
      <c r="K939" s="13" t="str">
        <f>IF(OR('实盘净值数据(iFinD）'!$A939="",'实盘净值数据(iFinD）'!$B939="",'实盘净值数据(iFinD）'!$Z939="",'实盘净值数据(iFinD）'!$AA939=""),"",分期持仓明细!$AB$23*(SUMPRODUCT(分期持仓明细!$B$23:$Y$23,'实盘净值数据(iFinD）'!$B939:$Y939/'实盘净值数据(iFinD）'!$B$65:$Y$65)+SUMPRODUCT(分期持仓明细!$AC$23:$AD$23,'实盘净值数据(iFinD）'!$Z939:$AA939/'实盘净值数据(iFinD）'!$Z$65:$AA$65))*(1-实盘持仓初始配置!$Z$7)^(('实盘净值数据(iFinD）'!$A939-'实盘净值数据(iFinD）'!$A$8)/365))</f>
        <v/>
      </c>
      <c r="L939" s="16" t="str">
        <f t="shared" si="87"/>
        <v/>
      </c>
      <c r="M939" s="16" t="str">
        <f>IF(K939="","",K939/MAX(K$5:K939)-1)</f>
        <v/>
      </c>
      <c r="N939" s="13" t="str">
        <f>IF(OR('实盘净值数据(iFinD）'!$A939="",'实盘净值数据(iFinD）'!$B939="",'实盘净值数据(iFinD）'!$Z939="",'实盘净值数据(iFinD）'!$AA939=""),"",分期持仓明细!$AB$24*(SUMPRODUCT(分期持仓明细!$B$24:$Y$24,'实盘净值数据(iFinD）'!$B939:$Y939/'实盘净值数据(iFinD）'!$B$65:$Y$65)+SUMPRODUCT(分期持仓明细!$AC$24:$AD$24,'实盘净值数据(iFinD）'!$Z939:$AA939/'实盘净值数据(iFinD）'!$Z$65:$AA$65))*(1-实盘持仓初始配置!$Z$8)^(('实盘净值数据(iFinD）'!$A939-'实盘净值数据(iFinD）'!$A$5)/365))</f>
        <v/>
      </c>
      <c r="O939" s="16" t="str">
        <f t="shared" si="88"/>
        <v/>
      </c>
      <c r="P939" s="16" t="str">
        <f>IF(N939="","",N939/MAX(N$5:N939)-1)</f>
        <v/>
      </c>
      <c r="Q939" s="13" t="str">
        <f>IF(OR('实盘净值数据(iFinD）'!$A939="",'实盘净值数据(iFinD）'!$B939="",'实盘净值数据(iFinD）'!$Z939="",'实盘净值数据(iFinD）'!$AA939=""),"",分期持仓明细!$AB$25*(SUMPRODUCT(分期持仓明细!$B$25:$Y$25,'实盘净值数据(iFinD）'!$B939:$Y939/'实盘净值数据(iFinD）'!$B$65:$Y$65)+SUMPRODUCT(分期持仓明细!$AC$25:$AD$25,'实盘净值数据(iFinD）'!$Z939:$AA939/'实盘净值数据(iFinD）'!$Z$65:$AA$65))*(1-实盘持仓初始配置!$Z$9)^(('实盘净值数据(iFinD）'!$A939-'实盘净值数据(iFinD）'!$A$8)/365))</f>
        <v/>
      </c>
      <c r="R939" s="16" t="str">
        <f t="shared" si="89"/>
        <v/>
      </c>
      <c r="S939" s="16" t="str">
        <f>IF(Q939="","",Q939/MAX(Q$5:Q939)-1)</f>
        <v/>
      </c>
    </row>
    <row r="940" spans="1:19">
      <c r="A940" s="15" t="str">
        <f>IF('实盘净值数据(iFinD）'!A940="","",'实盘净值数据(iFinD）'!A940)</f>
        <v/>
      </c>
      <c r="B940" s="13" t="str">
        <f>IF(OR('实盘净值数据(iFinD）'!$A940="",'实盘净值数据(iFinD）'!$B940=""),"",分期持仓明细!$AB$17*SUMPRODUCT(分期持仓明细!$B$17:$Y$17,'实盘净值数据(iFinD）'!$B940:$Y940/'实盘净值数据(iFinD）'!$B$20:$Y$20)*(1-实盘持仓初始配置!$Z$4)^(('实盘净值数据(iFinD）'!$A940-'实盘净值数据(iFinD）'!$A$6)/365))</f>
        <v/>
      </c>
      <c r="C940" s="16" t="str">
        <f t="shared" si="84"/>
        <v/>
      </c>
      <c r="D940" s="16" t="str">
        <f>IF(B940="","",B940/MAX(B$5:B940)-1)</f>
        <v/>
      </c>
      <c r="E940" s="13" t="str">
        <f>IF(OR('实盘净值数据(iFinD）'!$A940="",'实盘净值数据(iFinD）'!$B940=""),"",分期持仓明细!$AB$18*SUMPRODUCT(分期持仓明细!$B$18:$Y$18,'实盘净值数据(iFinD）'!$B940:$Y940/'实盘净值数据(iFinD）'!$B$20:$Y$20)*(1-实盘持仓初始配置!$Z$5)^(('实盘净值数据(iFinD）'!$A940-'实盘净值数据(iFinD）'!$A$5)/365))</f>
        <v/>
      </c>
      <c r="F940" s="16" t="str">
        <f t="shared" si="85"/>
        <v/>
      </c>
      <c r="G940" s="16" t="str">
        <f>IF(E940="","",E940/MAX(E$5:E940)-1)</f>
        <v/>
      </c>
      <c r="H940" s="13" t="str">
        <f>IF(OR('实盘净值数据(iFinD）'!$A940="",'实盘净值数据(iFinD）'!$B940=""),"",分期持仓明细!$AB$19*SUMPRODUCT(分期持仓明细!$B$19:$Y$19,'实盘净值数据(iFinD）'!$B940:$Y940/'实盘净值数据(iFinD）'!$B$20:$Y$20)*(1-实盘持仓初始配置!$Z$6)^(('实盘净值数据(iFinD）'!$A940-'实盘净值数据(iFinD）'!$A$7)/365))</f>
        <v/>
      </c>
      <c r="I940" s="16" t="str">
        <f t="shared" si="86"/>
        <v/>
      </c>
      <c r="J940" s="16" t="str">
        <f>IF(H940="","",H940/MAX(H$5:H940)-1)</f>
        <v/>
      </c>
      <c r="K940" s="13" t="str">
        <f>IF(OR('实盘净值数据(iFinD）'!$A940="",'实盘净值数据(iFinD）'!$B940="",'实盘净值数据(iFinD）'!$Z940="",'实盘净值数据(iFinD）'!$AA940=""),"",分期持仓明细!$AB$23*(SUMPRODUCT(分期持仓明细!$B$23:$Y$23,'实盘净值数据(iFinD）'!$B940:$Y940/'实盘净值数据(iFinD）'!$B$65:$Y$65)+SUMPRODUCT(分期持仓明细!$AC$23:$AD$23,'实盘净值数据(iFinD）'!$Z940:$AA940/'实盘净值数据(iFinD）'!$Z$65:$AA$65))*(1-实盘持仓初始配置!$Z$7)^(('实盘净值数据(iFinD）'!$A940-'实盘净值数据(iFinD）'!$A$8)/365))</f>
        <v/>
      </c>
      <c r="L940" s="16" t="str">
        <f t="shared" si="87"/>
        <v/>
      </c>
      <c r="M940" s="16" t="str">
        <f>IF(K940="","",K940/MAX(K$5:K940)-1)</f>
        <v/>
      </c>
      <c r="N940" s="13" t="str">
        <f>IF(OR('实盘净值数据(iFinD）'!$A940="",'实盘净值数据(iFinD）'!$B940="",'实盘净值数据(iFinD）'!$Z940="",'实盘净值数据(iFinD）'!$AA940=""),"",分期持仓明细!$AB$24*(SUMPRODUCT(分期持仓明细!$B$24:$Y$24,'实盘净值数据(iFinD）'!$B940:$Y940/'实盘净值数据(iFinD）'!$B$65:$Y$65)+SUMPRODUCT(分期持仓明细!$AC$24:$AD$24,'实盘净值数据(iFinD）'!$Z940:$AA940/'实盘净值数据(iFinD）'!$Z$65:$AA$65))*(1-实盘持仓初始配置!$Z$8)^(('实盘净值数据(iFinD）'!$A940-'实盘净值数据(iFinD）'!$A$5)/365))</f>
        <v/>
      </c>
      <c r="O940" s="16" t="str">
        <f t="shared" si="88"/>
        <v/>
      </c>
      <c r="P940" s="16" t="str">
        <f>IF(N940="","",N940/MAX(N$5:N940)-1)</f>
        <v/>
      </c>
      <c r="Q940" s="13" t="str">
        <f>IF(OR('实盘净值数据(iFinD）'!$A940="",'实盘净值数据(iFinD）'!$B940="",'实盘净值数据(iFinD）'!$Z940="",'实盘净值数据(iFinD）'!$AA940=""),"",分期持仓明细!$AB$25*(SUMPRODUCT(分期持仓明细!$B$25:$Y$25,'实盘净值数据(iFinD）'!$B940:$Y940/'实盘净值数据(iFinD）'!$B$65:$Y$65)+SUMPRODUCT(分期持仓明细!$AC$25:$AD$25,'实盘净值数据(iFinD）'!$Z940:$AA940/'实盘净值数据(iFinD）'!$Z$65:$AA$65))*(1-实盘持仓初始配置!$Z$9)^(('实盘净值数据(iFinD）'!$A940-'实盘净值数据(iFinD）'!$A$8)/365))</f>
        <v/>
      </c>
      <c r="R940" s="16" t="str">
        <f t="shared" si="89"/>
        <v/>
      </c>
      <c r="S940" s="16" t="str">
        <f>IF(Q940="","",Q940/MAX(Q$5:Q940)-1)</f>
        <v/>
      </c>
    </row>
    <row r="941" spans="1:19">
      <c r="A941" s="15" t="str">
        <f>IF('实盘净值数据(iFinD）'!A941="","",'实盘净值数据(iFinD）'!A941)</f>
        <v/>
      </c>
      <c r="B941" s="13" t="str">
        <f>IF(OR('实盘净值数据(iFinD）'!$A941="",'实盘净值数据(iFinD）'!$B941=""),"",分期持仓明细!$AB$17*SUMPRODUCT(分期持仓明细!$B$17:$Y$17,'实盘净值数据(iFinD）'!$B941:$Y941/'实盘净值数据(iFinD）'!$B$20:$Y$20)*(1-实盘持仓初始配置!$Z$4)^(('实盘净值数据(iFinD）'!$A941-'实盘净值数据(iFinD）'!$A$6)/365))</f>
        <v/>
      </c>
      <c r="C941" s="16" t="str">
        <f t="shared" si="84"/>
        <v/>
      </c>
      <c r="D941" s="16" t="str">
        <f>IF(B941="","",B941/MAX(B$5:B941)-1)</f>
        <v/>
      </c>
      <c r="E941" s="13" t="str">
        <f>IF(OR('实盘净值数据(iFinD）'!$A941="",'实盘净值数据(iFinD）'!$B941=""),"",分期持仓明细!$AB$18*SUMPRODUCT(分期持仓明细!$B$18:$Y$18,'实盘净值数据(iFinD）'!$B941:$Y941/'实盘净值数据(iFinD）'!$B$20:$Y$20)*(1-实盘持仓初始配置!$Z$5)^(('实盘净值数据(iFinD）'!$A941-'实盘净值数据(iFinD）'!$A$5)/365))</f>
        <v/>
      </c>
      <c r="F941" s="16" t="str">
        <f t="shared" si="85"/>
        <v/>
      </c>
      <c r="G941" s="16" t="str">
        <f>IF(E941="","",E941/MAX(E$5:E941)-1)</f>
        <v/>
      </c>
      <c r="H941" s="13" t="str">
        <f>IF(OR('实盘净值数据(iFinD）'!$A941="",'实盘净值数据(iFinD）'!$B941=""),"",分期持仓明细!$AB$19*SUMPRODUCT(分期持仓明细!$B$19:$Y$19,'实盘净值数据(iFinD）'!$B941:$Y941/'实盘净值数据(iFinD）'!$B$20:$Y$20)*(1-实盘持仓初始配置!$Z$6)^(('实盘净值数据(iFinD）'!$A941-'实盘净值数据(iFinD）'!$A$7)/365))</f>
        <v/>
      </c>
      <c r="I941" s="16" t="str">
        <f t="shared" si="86"/>
        <v/>
      </c>
      <c r="J941" s="16" t="str">
        <f>IF(H941="","",H941/MAX(H$5:H941)-1)</f>
        <v/>
      </c>
      <c r="K941" s="13" t="str">
        <f>IF(OR('实盘净值数据(iFinD）'!$A941="",'实盘净值数据(iFinD）'!$B941="",'实盘净值数据(iFinD）'!$Z941="",'实盘净值数据(iFinD）'!$AA941=""),"",分期持仓明细!$AB$23*(SUMPRODUCT(分期持仓明细!$B$23:$Y$23,'实盘净值数据(iFinD）'!$B941:$Y941/'实盘净值数据(iFinD）'!$B$65:$Y$65)+SUMPRODUCT(分期持仓明细!$AC$23:$AD$23,'实盘净值数据(iFinD）'!$Z941:$AA941/'实盘净值数据(iFinD）'!$Z$65:$AA$65))*(1-实盘持仓初始配置!$Z$7)^(('实盘净值数据(iFinD）'!$A941-'实盘净值数据(iFinD）'!$A$8)/365))</f>
        <v/>
      </c>
      <c r="L941" s="16" t="str">
        <f t="shared" si="87"/>
        <v/>
      </c>
      <c r="M941" s="16" t="str">
        <f>IF(K941="","",K941/MAX(K$5:K941)-1)</f>
        <v/>
      </c>
      <c r="N941" s="13" t="str">
        <f>IF(OR('实盘净值数据(iFinD）'!$A941="",'实盘净值数据(iFinD）'!$B941="",'实盘净值数据(iFinD）'!$Z941="",'实盘净值数据(iFinD）'!$AA941=""),"",分期持仓明细!$AB$24*(SUMPRODUCT(分期持仓明细!$B$24:$Y$24,'实盘净值数据(iFinD）'!$B941:$Y941/'实盘净值数据(iFinD）'!$B$65:$Y$65)+SUMPRODUCT(分期持仓明细!$AC$24:$AD$24,'实盘净值数据(iFinD）'!$Z941:$AA941/'实盘净值数据(iFinD）'!$Z$65:$AA$65))*(1-实盘持仓初始配置!$Z$8)^(('实盘净值数据(iFinD）'!$A941-'实盘净值数据(iFinD）'!$A$5)/365))</f>
        <v/>
      </c>
      <c r="O941" s="16" t="str">
        <f t="shared" si="88"/>
        <v/>
      </c>
      <c r="P941" s="16" t="str">
        <f>IF(N941="","",N941/MAX(N$5:N941)-1)</f>
        <v/>
      </c>
      <c r="Q941" s="13" t="str">
        <f>IF(OR('实盘净值数据(iFinD）'!$A941="",'实盘净值数据(iFinD）'!$B941="",'实盘净值数据(iFinD）'!$Z941="",'实盘净值数据(iFinD）'!$AA941=""),"",分期持仓明细!$AB$25*(SUMPRODUCT(分期持仓明细!$B$25:$Y$25,'实盘净值数据(iFinD）'!$B941:$Y941/'实盘净值数据(iFinD）'!$B$65:$Y$65)+SUMPRODUCT(分期持仓明细!$AC$25:$AD$25,'实盘净值数据(iFinD）'!$Z941:$AA941/'实盘净值数据(iFinD）'!$Z$65:$AA$65))*(1-实盘持仓初始配置!$Z$9)^(('实盘净值数据(iFinD）'!$A941-'实盘净值数据(iFinD）'!$A$8)/365))</f>
        <v/>
      </c>
      <c r="R941" s="16" t="str">
        <f t="shared" si="89"/>
        <v/>
      </c>
      <c r="S941" s="16" t="str">
        <f>IF(Q941="","",Q941/MAX(Q$5:Q941)-1)</f>
        <v/>
      </c>
    </row>
    <row r="942" spans="1:19">
      <c r="A942" s="15" t="str">
        <f>IF('实盘净值数据(iFinD）'!A942="","",'实盘净值数据(iFinD）'!A942)</f>
        <v/>
      </c>
      <c r="B942" s="13" t="str">
        <f>IF(OR('实盘净值数据(iFinD）'!$A942="",'实盘净值数据(iFinD）'!$B942=""),"",分期持仓明细!$AB$17*SUMPRODUCT(分期持仓明细!$B$17:$Y$17,'实盘净值数据(iFinD）'!$B942:$Y942/'实盘净值数据(iFinD）'!$B$20:$Y$20)*(1-实盘持仓初始配置!$Z$4)^(('实盘净值数据(iFinD）'!$A942-'实盘净值数据(iFinD）'!$A$6)/365))</f>
        <v/>
      </c>
      <c r="C942" s="16" t="str">
        <f t="shared" si="84"/>
        <v/>
      </c>
      <c r="D942" s="16" t="str">
        <f>IF(B942="","",B942/MAX(B$5:B942)-1)</f>
        <v/>
      </c>
      <c r="E942" s="13" t="str">
        <f>IF(OR('实盘净值数据(iFinD）'!$A942="",'实盘净值数据(iFinD）'!$B942=""),"",分期持仓明细!$AB$18*SUMPRODUCT(分期持仓明细!$B$18:$Y$18,'实盘净值数据(iFinD）'!$B942:$Y942/'实盘净值数据(iFinD）'!$B$20:$Y$20)*(1-实盘持仓初始配置!$Z$5)^(('实盘净值数据(iFinD）'!$A942-'实盘净值数据(iFinD）'!$A$5)/365))</f>
        <v/>
      </c>
      <c r="F942" s="16" t="str">
        <f t="shared" si="85"/>
        <v/>
      </c>
      <c r="G942" s="16" t="str">
        <f>IF(E942="","",E942/MAX(E$5:E942)-1)</f>
        <v/>
      </c>
      <c r="H942" s="13" t="str">
        <f>IF(OR('实盘净值数据(iFinD）'!$A942="",'实盘净值数据(iFinD）'!$B942=""),"",分期持仓明细!$AB$19*SUMPRODUCT(分期持仓明细!$B$19:$Y$19,'实盘净值数据(iFinD）'!$B942:$Y942/'实盘净值数据(iFinD）'!$B$20:$Y$20)*(1-实盘持仓初始配置!$Z$6)^(('实盘净值数据(iFinD）'!$A942-'实盘净值数据(iFinD）'!$A$7)/365))</f>
        <v/>
      </c>
      <c r="I942" s="16" t="str">
        <f t="shared" si="86"/>
        <v/>
      </c>
      <c r="J942" s="16" t="str">
        <f>IF(H942="","",H942/MAX(H$5:H942)-1)</f>
        <v/>
      </c>
      <c r="K942" s="13" t="str">
        <f>IF(OR('实盘净值数据(iFinD）'!$A942="",'实盘净值数据(iFinD）'!$B942="",'实盘净值数据(iFinD）'!$Z942="",'实盘净值数据(iFinD）'!$AA942=""),"",分期持仓明细!$AB$23*(SUMPRODUCT(分期持仓明细!$B$23:$Y$23,'实盘净值数据(iFinD）'!$B942:$Y942/'实盘净值数据(iFinD）'!$B$65:$Y$65)+SUMPRODUCT(分期持仓明细!$AC$23:$AD$23,'实盘净值数据(iFinD）'!$Z942:$AA942/'实盘净值数据(iFinD）'!$Z$65:$AA$65))*(1-实盘持仓初始配置!$Z$7)^(('实盘净值数据(iFinD）'!$A942-'实盘净值数据(iFinD）'!$A$8)/365))</f>
        <v/>
      </c>
      <c r="L942" s="16" t="str">
        <f t="shared" si="87"/>
        <v/>
      </c>
      <c r="M942" s="16" t="str">
        <f>IF(K942="","",K942/MAX(K$5:K942)-1)</f>
        <v/>
      </c>
      <c r="N942" s="13" t="str">
        <f>IF(OR('实盘净值数据(iFinD）'!$A942="",'实盘净值数据(iFinD）'!$B942="",'实盘净值数据(iFinD）'!$Z942="",'实盘净值数据(iFinD）'!$AA942=""),"",分期持仓明细!$AB$24*(SUMPRODUCT(分期持仓明细!$B$24:$Y$24,'实盘净值数据(iFinD）'!$B942:$Y942/'实盘净值数据(iFinD）'!$B$65:$Y$65)+SUMPRODUCT(分期持仓明细!$AC$24:$AD$24,'实盘净值数据(iFinD）'!$Z942:$AA942/'实盘净值数据(iFinD）'!$Z$65:$AA$65))*(1-实盘持仓初始配置!$Z$8)^(('实盘净值数据(iFinD）'!$A942-'实盘净值数据(iFinD）'!$A$5)/365))</f>
        <v/>
      </c>
      <c r="O942" s="16" t="str">
        <f t="shared" si="88"/>
        <v/>
      </c>
      <c r="P942" s="16" t="str">
        <f>IF(N942="","",N942/MAX(N$5:N942)-1)</f>
        <v/>
      </c>
      <c r="Q942" s="13" t="str">
        <f>IF(OR('实盘净值数据(iFinD）'!$A942="",'实盘净值数据(iFinD）'!$B942="",'实盘净值数据(iFinD）'!$Z942="",'实盘净值数据(iFinD）'!$AA942=""),"",分期持仓明细!$AB$25*(SUMPRODUCT(分期持仓明细!$B$25:$Y$25,'实盘净值数据(iFinD）'!$B942:$Y942/'实盘净值数据(iFinD）'!$B$65:$Y$65)+SUMPRODUCT(分期持仓明细!$AC$25:$AD$25,'实盘净值数据(iFinD）'!$Z942:$AA942/'实盘净值数据(iFinD）'!$Z$65:$AA$65))*(1-实盘持仓初始配置!$Z$9)^(('实盘净值数据(iFinD）'!$A942-'实盘净值数据(iFinD）'!$A$8)/365))</f>
        <v/>
      </c>
      <c r="R942" s="16" t="str">
        <f t="shared" si="89"/>
        <v/>
      </c>
      <c r="S942" s="16" t="str">
        <f>IF(Q942="","",Q942/MAX(Q$5:Q942)-1)</f>
        <v/>
      </c>
    </row>
    <row r="943" spans="1:19">
      <c r="A943" s="15" t="str">
        <f>IF('实盘净值数据(iFinD）'!A943="","",'实盘净值数据(iFinD）'!A943)</f>
        <v/>
      </c>
      <c r="B943" s="13" t="str">
        <f>IF(OR('实盘净值数据(iFinD）'!$A943="",'实盘净值数据(iFinD）'!$B943=""),"",分期持仓明细!$AB$17*SUMPRODUCT(分期持仓明细!$B$17:$Y$17,'实盘净值数据(iFinD）'!$B943:$Y943/'实盘净值数据(iFinD）'!$B$20:$Y$20)*(1-实盘持仓初始配置!$Z$4)^(('实盘净值数据(iFinD）'!$A943-'实盘净值数据(iFinD）'!$A$6)/365))</f>
        <v/>
      </c>
      <c r="C943" s="16" t="str">
        <f t="shared" si="84"/>
        <v/>
      </c>
      <c r="D943" s="16" t="str">
        <f>IF(B943="","",B943/MAX(B$5:B943)-1)</f>
        <v/>
      </c>
      <c r="E943" s="13" t="str">
        <f>IF(OR('实盘净值数据(iFinD）'!$A943="",'实盘净值数据(iFinD）'!$B943=""),"",分期持仓明细!$AB$18*SUMPRODUCT(分期持仓明细!$B$18:$Y$18,'实盘净值数据(iFinD）'!$B943:$Y943/'实盘净值数据(iFinD）'!$B$20:$Y$20)*(1-实盘持仓初始配置!$Z$5)^(('实盘净值数据(iFinD）'!$A943-'实盘净值数据(iFinD）'!$A$5)/365))</f>
        <v/>
      </c>
      <c r="F943" s="16" t="str">
        <f t="shared" si="85"/>
        <v/>
      </c>
      <c r="G943" s="16" t="str">
        <f>IF(E943="","",E943/MAX(E$5:E943)-1)</f>
        <v/>
      </c>
      <c r="H943" s="13" t="str">
        <f>IF(OR('实盘净值数据(iFinD）'!$A943="",'实盘净值数据(iFinD）'!$B943=""),"",分期持仓明细!$AB$19*SUMPRODUCT(分期持仓明细!$B$19:$Y$19,'实盘净值数据(iFinD）'!$B943:$Y943/'实盘净值数据(iFinD）'!$B$20:$Y$20)*(1-实盘持仓初始配置!$Z$6)^(('实盘净值数据(iFinD）'!$A943-'实盘净值数据(iFinD）'!$A$7)/365))</f>
        <v/>
      </c>
      <c r="I943" s="16" t="str">
        <f t="shared" si="86"/>
        <v/>
      </c>
      <c r="J943" s="16" t="str">
        <f>IF(H943="","",H943/MAX(H$5:H943)-1)</f>
        <v/>
      </c>
      <c r="K943" s="13" t="str">
        <f>IF(OR('实盘净值数据(iFinD）'!$A943="",'实盘净值数据(iFinD）'!$B943="",'实盘净值数据(iFinD）'!$Z943="",'实盘净值数据(iFinD）'!$AA943=""),"",分期持仓明细!$AB$23*(SUMPRODUCT(分期持仓明细!$B$23:$Y$23,'实盘净值数据(iFinD）'!$B943:$Y943/'实盘净值数据(iFinD）'!$B$65:$Y$65)+SUMPRODUCT(分期持仓明细!$AC$23:$AD$23,'实盘净值数据(iFinD）'!$Z943:$AA943/'实盘净值数据(iFinD）'!$Z$65:$AA$65))*(1-实盘持仓初始配置!$Z$7)^(('实盘净值数据(iFinD）'!$A943-'实盘净值数据(iFinD）'!$A$8)/365))</f>
        <v/>
      </c>
      <c r="L943" s="16" t="str">
        <f t="shared" si="87"/>
        <v/>
      </c>
      <c r="M943" s="16" t="str">
        <f>IF(K943="","",K943/MAX(K$5:K943)-1)</f>
        <v/>
      </c>
      <c r="N943" s="13" t="str">
        <f>IF(OR('实盘净值数据(iFinD）'!$A943="",'实盘净值数据(iFinD）'!$B943="",'实盘净值数据(iFinD）'!$Z943="",'实盘净值数据(iFinD）'!$AA943=""),"",分期持仓明细!$AB$24*(SUMPRODUCT(分期持仓明细!$B$24:$Y$24,'实盘净值数据(iFinD）'!$B943:$Y943/'实盘净值数据(iFinD）'!$B$65:$Y$65)+SUMPRODUCT(分期持仓明细!$AC$24:$AD$24,'实盘净值数据(iFinD）'!$Z943:$AA943/'实盘净值数据(iFinD）'!$Z$65:$AA$65))*(1-实盘持仓初始配置!$Z$8)^(('实盘净值数据(iFinD）'!$A943-'实盘净值数据(iFinD）'!$A$5)/365))</f>
        <v/>
      </c>
      <c r="O943" s="16" t="str">
        <f t="shared" si="88"/>
        <v/>
      </c>
      <c r="P943" s="16" t="str">
        <f>IF(N943="","",N943/MAX(N$5:N943)-1)</f>
        <v/>
      </c>
      <c r="Q943" s="13" t="str">
        <f>IF(OR('实盘净值数据(iFinD）'!$A943="",'实盘净值数据(iFinD）'!$B943="",'实盘净值数据(iFinD）'!$Z943="",'实盘净值数据(iFinD）'!$AA943=""),"",分期持仓明细!$AB$25*(SUMPRODUCT(分期持仓明细!$B$25:$Y$25,'实盘净值数据(iFinD）'!$B943:$Y943/'实盘净值数据(iFinD）'!$B$65:$Y$65)+SUMPRODUCT(分期持仓明细!$AC$25:$AD$25,'实盘净值数据(iFinD）'!$Z943:$AA943/'实盘净值数据(iFinD）'!$Z$65:$AA$65))*(1-实盘持仓初始配置!$Z$9)^(('实盘净值数据(iFinD）'!$A943-'实盘净值数据(iFinD）'!$A$8)/365))</f>
        <v/>
      </c>
      <c r="R943" s="16" t="str">
        <f t="shared" si="89"/>
        <v/>
      </c>
      <c r="S943" s="16" t="str">
        <f>IF(Q943="","",Q943/MAX(Q$5:Q943)-1)</f>
        <v/>
      </c>
    </row>
    <row r="944" spans="1:19">
      <c r="A944" s="15" t="str">
        <f>IF('实盘净值数据(iFinD）'!A944="","",'实盘净值数据(iFinD）'!A944)</f>
        <v/>
      </c>
      <c r="B944" s="13" t="str">
        <f>IF(OR('实盘净值数据(iFinD）'!$A944="",'实盘净值数据(iFinD）'!$B944=""),"",分期持仓明细!$AB$17*SUMPRODUCT(分期持仓明细!$B$17:$Y$17,'实盘净值数据(iFinD）'!$B944:$Y944/'实盘净值数据(iFinD）'!$B$20:$Y$20)*(1-实盘持仓初始配置!$Z$4)^(('实盘净值数据(iFinD）'!$A944-'实盘净值数据(iFinD）'!$A$6)/365))</f>
        <v/>
      </c>
      <c r="C944" s="16" t="str">
        <f t="shared" si="84"/>
        <v/>
      </c>
      <c r="D944" s="16" t="str">
        <f>IF(B944="","",B944/MAX(B$5:B944)-1)</f>
        <v/>
      </c>
      <c r="E944" s="13" t="str">
        <f>IF(OR('实盘净值数据(iFinD）'!$A944="",'实盘净值数据(iFinD）'!$B944=""),"",分期持仓明细!$AB$18*SUMPRODUCT(分期持仓明细!$B$18:$Y$18,'实盘净值数据(iFinD）'!$B944:$Y944/'实盘净值数据(iFinD）'!$B$20:$Y$20)*(1-实盘持仓初始配置!$Z$5)^(('实盘净值数据(iFinD）'!$A944-'实盘净值数据(iFinD）'!$A$5)/365))</f>
        <v/>
      </c>
      <c r="F944" s="16" t="str">
        <f t="shared" si="85"/>
        <v/>
      </c>
      <c r="G944" s="16" t="str">
        <f>IF(E944="","",E944/MAX(E$5:E944)-1)</f>
        <v/>
      </c>
      <c r="H944" s="13" t="str">
        <f>IF(OR('实盘净值数据(iFinD）'!$A944="",'实盘净值数据(iFinD）'!$B944=""),"",分期持仓明细!$AB$19*SUMPRODUCT(分期持仓明细!$B$19:$Y$19,'实盘净值数据(iFinD）'!$B944:$Y944/'实盘净值数据(iFinD）'!$B$20:$Y$20)*(1-实盘持仓初始配置!$Z$6)^(('实盘净值数据(iFinD）'!$A944-'实盘净值数据(iFinD）'!$A$7)/365))</f>
        <v/>
      </c>
      <c r="I944" s="16" t="str">
        <f t="shared" si="86"/>
        <v/>
      </c>
      <c r="J944" s="16" t="str">
        <f>IF(H944="","",H944/MAX(H$5:H944)-1)</f>
        <v/>
      </c>
      <c r="K944" s="13" t="str">
        <f>IF(OR('实盘净值数据(iFinD）'!$A944="",'实盘净值数据(iFinD）'!$B944="",'实盘净值数据(iFinD）'!$Z944="",'实盘净值数据(iFinD）'!$AA944=""),"",分期持仓明细!$AB$23*(SUMPRODUCT(分期持仓明细!$B$23:$Y$23,'实盘净值数据(iFinD）'!$B944:$Y944/'实盘净值数据(iFinD）'!$B$65:$Y$65)+SUMPRODUCT(分期持仓明细!$AC$23:$AD$23,'实盘净值数据(iFinD）'!$Z944:$AA944/'实盘净值数据(iFinD）'!$Z$65:$AA$65))*(1-实盘持仓初始配置!$Z$7)^(('实盘净值数据(iFinD）'!$A944-'实盘净值数据(iFinD）'!$A$8)/365))</f>
        <v/>
      </c>
      <c r="L944" s="16" t="str">
        <f t="shared" si="87"/>
        <v/>
      </c>
      <c r="M944" s="16" t="str">
        <f>IF(K944="","",K944/MAX(K$5:K944)-1)</f>
        <v/>
      </c>
      <c r="N944" s="13" t="str">
        <f>IF(OR('实盘净值数据(iFinD）'!$A944="",'实盘净值数据(iFinD）'!$B944="",'实盘净值数据(iFinD）'!$Z944="",'实盘净值数据(iFinD）'!$AA944=""),"",分期持仓明细!$AB$24*(SUMPRODUCT(分期持仓明细!$B$24:$Y$24,'实盘净值数据(iFinD）'!$B944:$Y944/'实盘净值数据(iFinD）'!$B$65:$Y$65)+SUMPRODUCT(分期持仓明细!$AC$24:$AD$24,'实盘净值数据(iFinD）'!$Z944:$AA944/'实盘净值数据(iFinD）'!$Z$65:$AA$65))*(1-实盘持仓初始配置!$Z$8)^(('实盘净值数据(iFinD）'!$A944-'实盘净值数据(iFinD）'!$A$5)/365))</f>
        <v/>
      </c>
      <c r="O944" s="16" t="str">
        <f t="shared" si="88"/>
        <v/>
      </c>
      <c r="P944" s="16" t="str">
        <f>IF(N944="","",N944/MAX(N$5:N944)-1)</f>
        <v/>
      </c>
      <c r="Q944" s="13" t="str">
        <f>IF(OR('实盘净值数据(iFinD）'!$A944="",'实盘净值数据(iFinD）'!$B944="",'实盘净值数据(iFinD）'!$Z944="",'实盘净值数据(iFinD）'!$AA944=""),"",分期持仓明细!$AB$25*(SUMPRODUCT(分期持仓明细!$B$25:$Y$25,'实盘净值数据(iFinD）'!$B944:$Y944/'实盘净值数据(iFinD）'!$B$65:$Y$65)+SUMPRODUCT(分期持仓明细!$AC$25:$AD$25,'实盘净值数据(iFinD）'!$Z944:$AA944/'实盘净值数据(iFinD）'!$Z$65:$AA$65))*(1-实盘持仓初始配置!$Z$9)^(('实盘净值数据(iFinD）'!$A944-'实盘净值数据(iFinD）'!$A$8)/365))</f>
        <v/>
      </c>
      <c r="R944" s="16" t="str">
        <f t="shared" si="89"/>
        <v/>
      </c>
      <c r="S944" s="16" t="str">
        <f>IF(Q944="","",Q944/MAX(Q$5:Q944)-1)</f>
        <v/>
      </c>
    </row>
    <row r="945" spans="1:19">
      <c r="A945" s="15" t="str">
        <f>IF('实盘净值数据(iFinD）'!A945="","",'实盘净值数据(iFinD）'!A945)</f>
        <v/>
      </c>
      <c r="B945" s="13" t="str">
        <f>IF(OR('实盘净值数据(iFinD）'!$A945="",'实盘净值数据(iFinD）'!$B945=""),"",分期持仓明细!$AB$17*SUMPRODUCT(分期持仓明细!$B$17:$Y$17,'实盘净值数据(iFinD）'!$B945:$Y945/'实盘净值数据(iFinD）'!$B$20:$Y$20)*(1-实盘持仓初始配置!$Z$4)^(('实盘净值数据(iFinD）'!$A945-'实盘净值数据(iFinD）'!$A$6)/365))</f>
        <v/>
      </c>
      <c r="C945" s="16" t="str">
        <f t="shared" si="84"/>
        <v/>
      </c>
      <c r="D945" s="16" t="str">
        <f>IF(B945="","",B945/MAX(B$5:B945)-1)</f>
        <v/>
      </c>
      <c r="E945" s="13" t="str">
        <f>IF(OR('实盘净值数据(iFinD）'!$A945="",'实盘净值数据(iFinD）'!$B945=""),"",分期持仓明细!$AB$18*SUMPRODUCT(分期持仓明细!$B$18:$Y$18,'实盘净值数据(iFinD）'!$B945:$Y945/'实盘净值数据(iFinD）'!$B$20:$Y$20)*(1-实盘持仓初始配置!$Z$5)^(('实盘净值数据(iFinD）'!$A945-'实盘净值数据(iFinD）'!$A$5)/365))</f>
        <v/>
      </c>
      <c r="F945" s="16" t="str">
        <f t="shared" si="85"/>
        <v/>
      </c>
      <c r="G945" s="16" t="str">
        <f>IF(E945="","",E945/MAX(E$5:E945)-1)</f>
        <v/>
      </c>
      <c r="H945" s="13" t="str">
        <f>IF(OR('实盘净值数据(iFinD）'!$A945="",'实盘净值数据(iFinD）'!$B945=""),"",分期持仓明细!$AB$19*SUMPRODUCT(分期持仓明细!$B$19:$Y$19,'实盘净值数据(iFinD）'!$B945:$Y945/'实盘净值数据(iFinD）'!$B$20:$Y$20)*(1-实盘持仓初始配置!$Z$6)^(('实盘净值数据(iFinD）'!$A945-'实盘净值数据(iFinD）'!$A$7)/365))</f>
        <v/>
      </c>
      <c r="I945" s="16" t="str">
        <f t="shared" si="86"/>
        <v/>
      </c>
      <c r="J945" s="16" t="str">
        <f>IF(H945="","",H945/MAX(H$5:H945)-1)</f>
        <v/>
      </c>
      <c r="K945" s="13" t="str">
        <f>IF(OR('实盘净值数据(iFinD）'!$A945="",'实盘净值数据(iFinD）'!$B945="",'实盘净值数据(iFinD）'!$Z945="",'实盘净值数据(iFinD）'!$AA945=""),"",分期持仓明细!$AB$23*(SUMPRODUCT(分期持仓明细!$B$23:$Y$23,'实盘净值数据(iFinD）'!$B945:$Y945/'实盘净值数据(iFinD）'!$B$65:$Y$65)+SUMPRODUCT(分期持仓明细!$AC$23:$AD$23,'实盘净值数据(iFinD）'!$Z945:$AA945/'实盘净值数据(iFinD）'!$Z$65:$AA$65))*(1-实盘持仓初始配置!$Z$7)^(('实盘净值数据(iFinD）'!$A945-'实盘净值数据(iFinD）'!$A$8)/365))</f>
        <v/>
      </c>
      <c r="L945" s="16" t="str">
        <f t="shared" si="87"/>
        <v/>
      </c>
      <c r="M945" s="16" t="str">
        <f>IF(K945="","",K945/MAX(K$5:K945)-1)</f>
        <v/>
      </c>
      <c r="N945" s="13" t="str">
        <f>IF(OR('实盘净值数据(iFinD）'!$A945="",'实盘净值数据(iFinD）'!$B945="",'实盘净值数据(iFinD）'!$Z945="",'实盘净值数据(iFinD）'!$AA945=""),"",分期持仓明细!$AB$24*(SUMPRODUCT(分期持仓明细!$B$24:$Y$24,'实盘净值数据(iFinD）'!$B945:$Y945/'实盘净值数据(iFinD）'!$B$65:$Y$65)+SUMPRODUCT(分期持仓明细!$AC$24:$AD$24,'实盘净值数据(iFinD）'!$Z945:$AA945/'实盘净值数据(iFinD）'!$Z$65:$AA$65))*(1-实盘持仓初始配置!$Z$8)^(('实盘净值数据(iFinD）'!$A945-'实盘净值数据(iFinD）'!$A$5)/365))</f>
        <v/>
      </c>
      <c r="O945" s="16" t="str">
        <f t="shared" si="88"/>
        <v/>
      </c>
      <c r="P945" s="16" t="str">
        <f>IF(N945="","",N945/MAX(N$5:N945)-1)</f>
        <v/>
      </c>
      <c r="Q945" s="13" t="str">
        <f>IF(OR('实盘净值数据(iFinD）'!$A945="",'实盘净值数据(iFinD）'!$B945="",'实盘净值数据(iFinD）'!$Z945="",'实盘净值数据(iFinD）'!$AA945=""),"",分期持仓明细!$AB$25*(SUMPRODUCT(分期持仓明细!$B$25:$Y$25,'实盘净值数据(iFinD）'!$B945:$Y945/'实盘净值数据(iFinD）'!$B$65:$Y$65)+SUMPRODUCT(分期持仓明细!$AC$25:$AD$25,'实盘净值数据(iFinD）'!$Z945:$AA945/'实盘净值数据(iFinD）'!$Z$65:$AA$65))*(1-实盘持仓初始配置!$Z$9)^(('实盘净值数据(iFinD）'!$A945-'实盘净值数据(iFinD）'!$A$8)/365))</f>
        <v/>
      </c>
      <c r="R945" s="16" t="str">
        <f t="shared" si="89"/>
        <v/>
      </c>
      <c r="S945" s="16" t="str">
        <f>IF(Q945="","",Q945/MAX(Q$5:Q945)-1)</f>
        <v/>
      </c>
    </row>
    <row r="946" spans="1:19">
      <c r="A946" s="15" t="str">
        <f>IF('实盘净值数据(iFinD）'!A946="","",'实盘净值数据(iFinD）'!A946)</f>
        <v/>
      </c>
      <c r="B946" s="13" t="str">
        <f>IF(OR('实盘净值数据(iFinD）'!$A946="",'实盘净值数据(iFinD）'!$B946=""),"",分期持仓明细!$AB$17*SUMPRODUCT(分期持仓明细!$B$17:$Y$17,'实盘净值数据(iFinD）'!$B946:$Y946/'实盘净值数据(iFinD）'!$B$20:$Y$20)*(1-实盘持仓初始配置!$Z$4)^(('实盘净值数据(iFinD）'!$A946-'实盘净值数据(iFinD）'!$A$6)/365))</f>
        <v/>
      </c>
      <c r="C946" s="16" t="str">
        <f t="shared" si="84"/>
        <v/>
      </c>
      <c r="D946" s="16" t="str">
        <f>IF(B946="","",B946/MAX(B$5:B946)-1)</f>
        <v/>
      </c>
      <c r="E946" s="13" t="str">
        <f>IF(OR('实盘净值数据(iFinD）'!$A946="",'实盘净值数据(iFinD）'!$B946=""),"",分期持仓明细!$AB$18*SUMPRODUCT(分期持仓明细!$B$18:$Y$18,'实盘净值数据(iFinD）'!$B946:$Y946/'实盘净值数据(iFinD）'!$B$20:$Y$20)*(1-实盘持仓初始配置!$Z$5)^(('实盘净值数据(iFinD）'!$A946-'实盘净值数据(iFinD）'!$A$5)/365))</f>
        <v/>
      </c>
      <c r="F946" s="16" t="str">
        <f t="shared" si="85"/>
        <v/>
      </c>
      <c r="G946" s="16" t="str">
        <f>IF(E946="","",E946/MAX(E$5:E946)-1)</f>
        <v/>
      </c>
      <c r="H946" s="13" t="str">
        <f>IF(OR('实盘净值数据(iFinD）'!$A946="",'实盘净值数据(iFinD）'!$B946=""),"",分期持仓明细!$AB$19*SUMPRODUCT(分期持仓明细!$B$19:$Y$19,'实盘净值数据(iFinD）'!$B946:$Y946/'实盘净值数据(iFinD）'!$B$20:$Y$20)*(1-实盘持仓初始配置!$Z$6)^(('实盘净值数据(iFinD）'!$A946-'实盘净值数据(iFinD）'!$A$7)/365))</f>
        <v/>
      </c>
      <c r="I946" s="16" t="str">
        <f t="shared" si="86"/>
        <v/>
      </c>
      <c r="J946" s="16" t="str">
        <f>IF(H946="","",H946/MAX(H$5:H946)-1)</f>
        <v/>
      </c>
      <c r="K946" s="13" t="str">
        <f>IF(OR('实盘净值数据(iFinD）'!$A946="",'实盘净值数据(iFinD）'!$B946="",'实盘净值数据(iFinD）'!$Z946="",'实盘净值数据(iFinD）'!$AA946=""),"",分期持仓明细!$AB$23*(SUMPRODUCT(分期持仓明细!$B$23:$Y$23,'实盘净值数据(iFinD）'!$B946:$Y946/'实盘净值数据(iFinD）'!$B$65:$Y$65)+SUMPRODUCT(分期持仓明细!$AC$23:$AD$23,'实盘净值数据(iFinD）'!$Z946:$AA946/'实盘净值数据(iFinD）'!$Z$65:$AA$65))*(1-实盘持仓初始配置!$Z$7)^(('实盘净值数据(iFinD）'!$A946-'实盘净值数据(iFinD）'!$A$8)/365))</f>
        <v/>
      </c>
      <c r="L946" s="16" t="str">
        <f t="shared" si="87"/>
        <v/>
      </c>
      <c r="M946" s="16" t="str">
        <f>IF(K946="","",K946/MAX(K$5:K946)-1)</f>
        <v/>
      </c>
      <c r="N946" s="13" t="str">
        <f>IF(OR('实盘净值数据(iFinD）'!$A946="",'实盘净值数据(iFinD）'!$B946="",'实盘净值数据(iFinD）'!$Z946="",'实盘净值数据(iFinD）'!$AA946=""),"",分期持仓明细!$AB$24*(SUMPRODUCT(分期持仓明细!$B$24:$Y$24,'实盘净值数据(iFinD）'!$B946:$Y946/'实盘净值数据(iFinD）'!$B$65:$Y$65)+SUMPRODUCT(分期持仓明细!$AC$24:$AD$24,'实盘净值数据(iFinD）'!$Z946:$AA946/'实盘净值数据(iFinD）'!$Z$65:$AA$65))*(1-实盘持仓初始配置!$Z$8)^(('实盘净值数据(iFinD）'!$A946-'实盘净值数据(iFinD）'!$A$5)/365))</f>
        <v/>
      </c>
      <c r="O946" s="16" t="str">
        <f t="shared" si="88"/>
        <v/>
      </c>
      <c r="P946" s="16" t="str">
        <f>IF(N946="","",N946/MAX(N$5:N946)-1)</f>
        <v/>
      </c>
      <c r="Q946" s="13" t="str">
        <f>IF(OR('实盘净值数据(iFinD）'!$A946="",'实盘净值数据(iFinD）'!$B946="",'实盘净值数据(iFinD）'!$Z946="",'实盘净值数据(iFinD）'!$AA946=""),"",分期持仓明细!$AB$25*(SUMPRODUCT(分期持仓明细!$B$25:$Y$25,'实盘净值数据(iFinD）'!$B946:$Y946/'实盘净值数据(iFinD）'!$B$65:$Y$65)+SUMPRODUCT(分期持仓明细!$AC$25:$AD$25,'实盘净值数据(iFinD）'!$Z946:$AA946/'实盘净值数据(iFinD）'!$Z$65:$AA$65))*(1-实盘持仓初始配置!$Z$9)^(('实盘净值数据(iFinD）'!$A946-'实盘净值数据(iFinD）'!$A$8)/365))</f>
        <v/>
      </c>
      <c r="R946" s="16" t="str">
        <f t="shared" si="89"/>
        <v/>
      </c>
      <c r="S946" s="16" t="str">
        <f>IF(Q946="","",Q946/MAX(Q$5:Q946)-1)</f>
        <v/>
      </c>
    </row>
    <row r="947" spans="1:19">
      <c r="A947" s="15" t="str">
        <f>IF('实盘净值数据(iFinD）'!A947="","",'实盘净值数据(iFinD）'!A947)</f>
        <v/>
      </c>
      <c r="B947" s="13" t="str">
        <f>IF(OR('实盘净值数据(iFinD）'!$A947="",'实盘净值数据(iFinD）'!$B947=""),"",分期持仓明细!$AB$17*SUMPRODUCT(分期持仓明细!$B$17:$Y$17,'实盘净值数据(iFinD）'!$B947:$Y947/'实盘净值数据(iFinD）'!$B$20:$Y$20)*(1-实盘持仓初始配置!$Z$4)^(('实盘净值数据(iFinD）'!$A947-'实盘净值数据(iFinD）'!$A$6)/365))</f>
        <v/>
      </c>
      <c r="C947" s="16" t="str">
        <f t="shared" si="84"/>
        <v/>
      </c>
      <c r="D947" s="16" t="str">
        <f>IF(B947="","",B947/MAX(B$5:B947)-1)</f>
        <v/>
      </c>
      <c r="E947" s="13" t="str">
        <f>IF(OR('实盘净值数据(iFinD）'!$A947="",'实盘净值数据(iFinD）'!$B947=""),"",分期持仓明细!$AB$18*SUMPRODUCT(分期持仓明细!$B$18:$Y$18,'实盘净值数据(iFinD）'!$B947:$Y947/'实盘净值数据(iFinD）'!$B$20:$Y$20)*(1-实盘持仓初始配置!$Z$5)^(('实盘净值数据(iFinD）'!$A947-'实盘净值数据(iFinD）'!$A$5)/365))</f>
        <v/>
      </c>
      <c r="F947" s="16" t="str">
        <f t="shared" si="85"/>
        <v/>
      </c>
      <c r="G947" s="16" t="str">
        <f>IF(E947="","",E947/MAX(E$5:E947)-1)</f>
        <v/>
      </c>
      <c r="H947" s="13" t="str">
        <f>IF(OR('实盘净值数据(iFinD）'!$A947="",'实盘净值数据(iFinD）'!$B947=""),"",分期持仓明细!$AB$19*SUMPRODUCT(分期持仓明细!$B$19:$Y$19,'实盘净值数据(iFinD）'!$B947:$Y947/'实盘净值数据(iFinD）'!$B$20:$Y$20)*(1-实盘持仓初始配置!$Z$6)^(('实盘净值数据(iFinD）'!$A947-'实盘净值数据(iFinD）'!$A$7)/365))</f>
        <v/>
      </c>
      <c r="I947" s="16" t="str">
        <f t="shared" si="86"/>
        <v/>
      </c>
      <c r="J947" s="16" t="str">
        <f>IF(H947="","",H947/MAX(H$5:H947)-1)</f>
        <v/>
      </c>
      <c r="K947" s="13" t="str">
        <f>IF(OR('实盘净值数据(iFinD）'!$A947="",'实盘净值数据(iFinD）'!$B947="",'实盘净值数据(iFinD）'!$Z947="",'实盘净值数据(iFinD）'!$AA947=""),"",分期持仓明细!$AB$23*(SUMPRODUCT(分期持仓明细!$B$23:$Y$23,'实盘净值数据(iFinD）'!$B947:$Y947/'实盘净值数据(iFinD）'!$B$65:$Y$65)+SUMPRODUCT(分期持仓明细!$AC$23:$AD$23,'实盘净值数据(iFinD）'!$Z947:$AA947/'实盘净值数据(iFinD）'!$Z$65:$AA$65))*(1-实盘持仓初始配置!$Z$7)^(('实盘净值数据(iFinD）'!$A947-'实盘净值数据(iFinD）'!$A$8)/365))</f>
        <v/>
      </c>
      <c r="L947" s="16" t="str">
        <f t="shared" si="87"/>
        <v/>
      </c>
      <c r="M947" s="16" t="str">
        <f>IF(K947="","",K947/MAX(K$5:K947)-1)</f>
        <v/>
      </c>
      <c r="N947" s="13" t="str">
        <f>IF(OR('实盘净值数据(iFinD）'!$A947="",'实盘净值数据(iFinD）'!$B947="",'实盘净值数据(iFinD）'!$Z947="",'实盘净值数据(iFinD）'!$AA947=""),"",分期持仓明细!$AB$24*(SUMPRODUCT(分期持仓明细!$B$24:$Y$24,'实盘净值数据(iFinD）'!$B947:$Y947/'实盘净值数据(iFinD）'!$B$65:$Y$65)+SUMPRODUCT(分期持仓明细!$AC$24:$AD$24,'实盘净值数据(iFinD）'!$Z947:$AA947/'实盘净值数据(iFinD）'!$Z$65:$AA$65))*(1-实盘持仓初始配置!$Z$8)^(('实盘净值数据(iFinD）'!$A947-'实盘净值数据(iFinD）'!$A$5)/365))</f>
        <v/>
      </c>
      <c r="O947" s="16" t="str">
        <f t="shared" si="88"/>
        <v/>
      </c>
      <c r="P947" s="16" t="str">
        <f>IF(N947="","",N947/MAX(N$5:N947)-1)</f>
        <v/>
      </c>
      <c r="Q947" s="13" t="str">
        <f>IF(OR('实盘净值数据(iFinD）'!$A947="",'实盘净值数据(iFinD）'!$B947="",'实盘净值数据(iFinD）'!$Z947="",'实盘净值数据(iFinD）'!$AA947=""),"",分期持仓明细!$AB$25*(SUMPRODUCT(分期持仓明细!$B$25:$Y$25,'实盘净值数据(iFinD）'!$B947:$Y947/'实盘净值数据(iFinD）'!$B$65:$Y$65)+SUMPRODUCT(分期持仓明细!$AC$25:$AD$25,'实盘净值数据(iFinD）'!$Z947:$AA947/'实盘净值数据(iFinD）'!$Z$65:$AA$65))*(1-实盘持仓初始配置!$Z$9)^(('实盘净值数据(iFinD）'!$A947-'实盘净值数据(iFinD）'!$A$8)/365))</f>
        <v/>
      </c>
      <c r="R947" s="16" t="str">
        <f t="shared" si="89"/>
        <v/>
      </c>
      <c r="S947" s="16" t="str">
        <f>IF(Q947="","",Q947/MAX(Q$5:Q947)-1)</f>
        <v/>
      </c>
    </row>
    <row r="948" spans="1:19">
      <c r="A948" s="15" t="str">
        <f>IF('实盘净值数据(iFinD）'!A948="","",'实盘净值数据(iFinD）'!A948)</f>
        <v/>
      </c>
      <c r="B948" s="13" t="str">
        <f>IF(OR('实盘净值数据(iFinD）'!$A948="",'实盘净值数据(iFinD）'!$B948=""),"",分期持仓明细!$AB$17*SUMPRODUCT(分期持仓明细!$B$17:$Y$17,'实盘净值数据(iFinD）'!$B948:$Y948/'实盘净值数据(iFinD）'!$B$20:$Y$20)*(1-实盘持仓初始配置!$Z$4)^(('实盘净值数据(iFinD）'!$A948-'实盘净值数据(iFinD）'!$A$6)/365))</f>
        <v/>
      </c>
      <c r="C948" s="16" t="str">
        <f t="shared" si="84"/>
        <v/>
      </c>
      <c r="D948" s="16" t="str">
        <f>IF(B948="","",B948/MAX(B$5:B948)-1)</f>
        <v/>
      </c>
      <c r="E948" s="13" t="str">
        <f>IF(OR('实盘净值数据(iFinD）'!$A948="",'实盘净值数据(iFinD）'!$B948=""),"",分期持仓明细!$AB$18*SUMPRODUCT(分期持仓明细!$B$18:$Y$18,'实盘净值数据(iFinD）'!$B948:$Y948/'实盘净值数据(iFinD）'!$B$20:$Y$20)*(1-实盘持仓初始配置!$Z$5)^(('实盘净值数据(iFinD）'!$A948-'实盘净值数据(iFinD）'!$A$5)/365))</f>
        <v/>
      </c>
      <c r="F948" s="16" t="str">
        <f t="shared" si="85"/>
        <v/>
      </c>
      <c r="G948" s="16" t="str">
        <f>IF(E948="","",E948/MAX(E$5:E948)-1)</f>
        <v/>
      </c>
      <c r="H948" s="13" t="str">
        <f>IF(OR('实盘净值数据(iFinD）'!$A948="",'实盘净值数据(iFinD）'!$B948=""),"",分期持仓明细!$AB$19*SUMPRODUCT(分期持仓明细!$B$19:$Y$19,'实盘净值数据(iFinD）'!$B948:$Y948/'实盘净值数据(iFinD）'!$B$20:$Y$20)*(1-实盘持仓初始配置!$Z$6)^(('实盘净值数据(iFinD）'!$A948-'实盘净值数据(iFinD）'!$A$7)/365))</f>
        <v/>
      </c>
      <c r="I948" s="16" t="str">
        <f t="shared" si="86"/>
        <v/>
      </c>
      <c r="J948" s="16" t="str">
        <f>IF(H948="","",H948/MAX(H$5:H948)-1)</f>
        <v/>
      </c>
      <c r="K948" s="13" t="str">
        <f>IF(OR('实盘净值数据(iFinD）'!$A948="",'实盘净值数据(iFinD）'!$B948="",'实盘净值数据(iFinD）'!$Z948="",'实盘净值数据(iFinD）'!$AA948=""),"",分期持仓明细!$AB$23*(SUMPRODUCT(分期持仓明细!$B$23:$Y$23,'实盘净值数据(iFinD）'!$B948:$Y948/'实盘净值数据(iFinD）'!$B$65:$Y$65)+SUMPRODUCT(分期持仓明细!$AC$23:$AD$23,'实盘净值数据(iFinD）'!$Z948:$AA948/'实盘净值数据(iFinD）'!$Z$65:$AA$65))*(1-实盘持仓初始配置!$Z$7)^(('实盘净值数据(iFinD）'!$A948-'实盘净值数据(iFinD）'!$A$8)/365))</f>
        <v/>
      </c>
      <c r="L948" s="16" t="str">
        <f t="shared" si="87"/>
        <v/>
      </c>
      <c r="M948" s="16" t="str">
        <f>IF(K948="","",K948/MAX(K$5:K948)-1)</f>
        <v/>
      </c>
      <c r="N948" s="13" t="str">
        <f>IF(OR('实盘净值数据(iFinD）'!$A948="",'实盘净值数据(iFinD）'!$B948="",'实盘净值数据(iFinD）'!$Z948="",'实盘净值数据(iFinD）'!$AA948=""),"",分期持仓明细!$AB$24*(SUMPRODUCT(分期持仓明细!$B$24:$Y$24,'实盘净值数据(iFinD）'!$B948:$Y948/'实盘净值数据(iFinD）'!$B$65:$Y$65)+SUMPRODUCT(分期持仓明细!$AC$24:$AD$24,'实盘净值数据(iFinD）'!$Z948:$AA948/'实盘净值数据(iFinD）'!$Z$65:$AA$65))*(1-实盘持仓初始配置!$Z$8)^(('实盘净值数据(iFinD）'!$A948-'实盘净值数据(iFinD）'!$A$5)/365))</f>
        <v/>
      </c>
      <c r="O948" s="16" t="str">
        <f t="shared" si="88"/>
        <v/>
      </c>
      <c r="P948" s="16" t="str">
        <f>IF(N948="","",N948/MAX(N$5:N948)-1)</f>
        <v/>
      </c>
      <c r="Q948" s="13" t="str">
        <f>IF(OR('实盘净值数据(iFinD）'!$A948="",'实盘净值数据(iFinD）'!$B948="",'实盘净值数据(iFinD）'!$Z948="",'实盘净值数据(iFinD）'!$AA948=""),"",分期持仓明细!$AB$25*(SUMPRODUCT(分期持仓明细!$B$25:$Y$25,'实盘净值数据(iFinD）'!$B948:$Y948/'实盘净值数据(iFinD）'!$B$65:$Y$65)+SUMPRODUCT(分期持仓明细!$AC$25:$AD$25,'实盘净值数据(iFinD）'!$Z948:$AA948/'实盘净值数据(iFinD）'!$Z$65:$AA$65))*(1-实盘持仓初始配置!$Z$9)^(('实盘净值数据(iFinD）'!$A948-'实盘净值数据(iFinD）'!$A$8)/365))</f>
        <v/>
      </c>
      <c r="R948" s="16" t="str">
        <f t="shared" si="89"/>
        <v/>
      </c>
      <c r="S948" s="16" t="str">
        <f>IF(Q948="","",Q948/MAX(Q$5:Q948)-1)</f>
        <v/>
      </c>
    </row>
    <row r="949" spans="1:19">
      <c r="A949" s="15" t="str">
        <f>IF('实盘净值数据(iFinD）'!A949="","",'实盘净值数据(iFinD）'!A949)</f>
        <v/>
      </c>
      <c r="B949" s="13" t="str">
        <f>IF(OR('实盘净值数据(iFinD）'!$A949="",'实盘净值数据(iFinD）'!$B949=""),"",分期持仓明细!$AB$17*SUMPRODUCT(分期持仓明细!$B$17:$Y$17,'实盘净值数据(iFinD）'!$B949:$Y949/'实盘净值数据(iFinD）'!$B$20:$Y$20)*(1-实盘持仓初始配置!$Z$4)^(('实盘净值数据(iFinD）'!$A949-'实盘净值数据(iFinD）'!$A$6)/365))</f>
        <v/>
      </c>
      <c r="C949" s="16" t="str">
        <f t="shared" si="84"/>
        <v/>
      </c>
      <c r="D949" s="16" t="str">
        <f>IF(B949="","",B949/MAX(B$5:B949)-1)</f>
        <v/>
      </c>
      <c r="E949" s="13" t="str">
        <f>IF(OR('实盘净值数据(iFinD）'!$A949="",'实盘净值数据(iFinD）'!$B949=""),"",分期持仓明细!$AB$18*SUMPRODUCT(分期持仓明细!$B$18:$Y$18,'实盘净值数据(iFinD）'!$B949:$Y949/'实盘净值数据(iFinD）'!$B$20:$Y$20)*(1-实盘持仓初始配置!$Z$5)^(('实盘净值数据(iFinD）'!$A949-'实盘净值数据(iFinD）'!$A$5)/365))</f>
        <v/>
      </c>
      <c r="F949" s="16" t="str">
        <f t="shared" si="85"/>
        <v/>
      </c>
      <c r="G949" s="16" t="str">
        <f>IF(E949="","",E949/MAX(E$5:E949)-1)</f>
        <v/>
      </c>
      <c r="H949" s="13" t="str">
        <f>IF(OR('实盘净值数据(iFinD）'!$A949="",'实盘净值数据(iFinD）'!$B949=""),"",分期持仓明细!$AB$19*SUMPRODUCT(分期持仓明细!$B$19:$Y$19,'实盘净值数据(iFinD）'!$B949:$Y949/'实盘净值数据(iFinD）'!$B$20:$Y$20)*(1-实盘持仓初始配置!$Z$6)^(('实盘净值数据(iFinD）'!$A949-'实盘净值数据(iFinD）'!$A$7)/365))</f>
        <v/>
      </c>
      <c r="I949" s="16" t="str">
        <f t="shared" si="86"/>
        <v/>
      </c>
      <c r="J949" s="16" t="str">
        <f>IF(H949="","",H949/MAX(H$5:H949)-1)</f>
        <v/>
      </c>
      <c r="K949" s="13" t="str">
        <f>IF(OR('实盘净值数据(iFinD）'!$A949="",'实盘净值数据(iFinD）'!$B949="",'实盘净值数据(iFinD）'!$Z949="",'实盘净值数据(iFinD）'!$AA949=""),"",分期持仓明细!$AB$23*(SUMPRODUCT(分期持仓明细!$B$23:$Y$23,'实盘净值数据(iFinD）'!$B949:$Y949/'实盘净值数据(iFinD）'!$B$65:$Y$65)+SUMPRODUCT(分期持仓明细!$AC$23:$AD$23,'实盘净值数据(iFinD）'!$Z949:$AA949/'实盘净值数据(iFinD）'!$Z$65:$AA$65))*(1-实盘持仓初始配置!$Z$7)^(('实盘净值数据(iFinD）'!$A949-'实盘净值数据(iFinD）'!$A$8)/365))</f>
        <v/>
      </c>
      <c r="L949" s="16" t="str">
        <f t="shared" si="87"/>
        <v/>
      </c>
      <c r="M949" s="16" t="str">
        <f>IF(K949="","",K949/MAX(K$5:K949)-1)</f>
        <v/>
      </c>
      <c r="N949" s="13" t="str">
        <f>IF(OR('实盘净值数据(iFinD）'!$A949="",'实盘净值数据(iFinD）'!$B949="",'实盘净值数据(iFinD）'!$Z949="",'实盘净值数据(iFinD）'!$AA949=""),"",分期持仓明细!$AB$24*(SUMPRODUCT(分期持仓明细!$B$24:$Y$24,'实盘净值数据(iFinD）'!$B949:$Y949/'实盘净值数据(iFinD）'!$B$65:$Y$65)+SUMPRODUCT(分期持仓明细!$AC$24:$AD$24,'实盘净值数据(iFinD）'!$Z949:$AA949/'实盘净值数据(iFinD）'!$Z$65:$AA$65))*(1-实盘持仓初始配置!$Z$8)^(('实盘净值数据(iFinD）'!$A949-'实盘净值数据(iFinD）'!$A$5)/365))</f>
        <v/>
      </c>
      <c r="O949" s="16" t="str">
        <f t="shared" si="88"/>
        <v/>
      </c>
      <c r="P949" s="16" t="str">
        <f>IF(N949="","",N949/MAX(N$5:N949)-1)</f>
        <v/>
      </c>
      <c r="Q949" s="13" t="str">
        <f>IF(OR('实盘净值数据(iFinD）'!$A949="",'实盘净值数据(iFinD）'!$B949="",'实盘净值数据(iFinD）'!$Z949="",'实盘净值数据(iFinD）'!$AA949=""),"",分期持仓明细!$AB$25*(SUMPRODUCT(分期持仓明细!$B$25:$Y$25,'实盘净值数据(iFinD）'!$B949:$Y949/'实盘净值数据(iFinD）'!$B$65:$Y$65)+SUMPRODUCT(分期持仓明细!$AC$25:$AD$25,'实盘净值数据(iFinD）'!$Z949:$AA949/'实盘净值数据(iFinD）'!$Z$65:$AA$65))*(1-实盘持仓初始配置!$Z$9)^(('实盘净值数据(iFinD）'!$A949-'实盘净值数据(iFinD）'!$A$8)/365))</f>
        <v/>
      </c>
      <c r="R949" s="16" t="str">
        <f t="shared" si="89"/>
        <v/>
      </c>
      <c r="S949" s="16" t="str">
        <f>IF(Q949="","",Q949/MAX(Q$5:Q949)-1)</f>
        <v/>
      </c>
    </row>
    <row r="950" spans="1:19">
      <c r="A950" s="15" t="str">
        <f>IF('实盘净值数据(iFinD）'!A950="","",'实盘净值数据(iFinD）'!A950)</f>
        <v/>
      </c>
      <c r="B950" s="13" t="str">
        <f>IF(OR('实盘净值数据(iFinD）'!$A950="",'实盘净值数据(iFinD）'!$B950=""),"",分期持仓明细!$AB$17*SUMPRODUCT(分期持仓明细!$B$17:$Y$17,'实盘净值数据(iFinD）'!$B950:$Y950/'实盘净值数据(iFinD）'!$B$20:$Y$20)*(1-实盘持仓初始配置!$Z$4)^(('实盘净值数据(iFinD）'!$A950-'实盘净值数据(iFinD）'!$A$6)/365))</f>
        <v/>
      </c>
      <c r="C950" s="16" t="str">
        <f t="shared" si="84"/>
        <v/>
      </c>
      <c r="D950" s="16" t="str">
        <f>IF(B950="","",B950/MAX(B$5:B950)-1)</f>
        <v/>
      </c>
      <c r="E950" s="13" t="str">
        <f>IF(OR('实盘净值数据(iFinD）'!$A950="",'实盘净值数据(iFinD）'!$B950=""),"",分期持仓明细!$AB$18*SUMPRODUCT(分期持仓明细!$B$18:$Y$18,'实盘净值数据(iFinD）'!$B950:$Y950/'实盘净值数据(iFinD）'!$B$20:$Y$20)*(1-实盘持仓初始配置!$Z$5)^(('实盘净值数据(iFinD）'!$A950-'实盘净值数据(iFinD）'!$A$5)/365))</f>
        <v/>
      </c>
      <c r="F950" s="16" t="str">
        <f t="shared" si="85"/>
        <v/>
      </c>
      <c r="G950" s="16" t="str">
        <f>IF(E950="","",E950/MAX(E$5:E950)-1)</f>
        <v/>
      </c>
      <c r="H950" s="13" t="str">
        <f>IF(OR('实盘净值数据(iFinD）'!$A950="",'实盘净值数据(iFinD）'!$B950=""),"",分期持仓明细!$AB$19*SUMPRODUCT(分期持仓明细!$B$19:$Y$19,'实盘净值数据(iFinD）'!$B950:$Y950/'实盘净值数据(iFinD）'!$B$20:$Y$20)*(1-实盘持仓初始配置!$Z$6)^(('实盘净值数据(iFinD）'!$A950-'实盘净值数据(iFinD）'!$A$7)/365))</f>
        <v/>
      </c>
      <c r="I950" s="16" t="str">
        <f t="shared" si="86"/>
        <v/>
      </c>
      <c r="J950" s="16" t="str">
        <f>IF(H950="","",H950/MAX(H$5:H950)-1)</f>
        <v/>
      </c>
      <c r="K950" s="13" t="str">
        <f>IF(OR('实盘净值数据(iFinD）'!$A950="",'实盘净值数据(iFinD）'!$B950="",'实盘净值数据(iFinD）'!$Z950="",'实盘净值数据(iFinD）'!$AA950=""),"",分期持仓明细!$AB$23*(SUMPRODUCT(分期持仓明细!$B$23:$Y$23,'实盘净值数据(iFinD）'!$B950:$Y950/'实盘净值数据(iFinD）'!$B$65:$Y$65)+SUMPRODUCT(分期持仓明细!$AC$23:$AD$23,'实盘净值数据(iFinD）'!$Z950:$AA950/'实盘净值数据(iFinD）'!$Z$65:$AA$65))*(1-实盘持仓初始配置!$Z$7)^(('实盘净值数据(iFinD）'!$A950-'实盘净值数据(iFinD）'!$A$8)/365))</f>
        <v/>
      </c>
      <c r="L950" s="16" t="str">
        <f t="shared" si="87"/>
        <v/>
      </c>
      <c r="M950" s="16" t="str">
        <f>IF(K950="","",K950/MAX(K$5:K950)-1)</f>
        <v/>
      </c>
      <c r="N950" s="13" t="str">
        <f>IF(OR('实盘净值数据(iFinD）'!$A950="",'实盘净值数据(iFinD）'!$B950="",'实盘净值数据(iFinD）'!$Z950="",'实盘净值数据(iFinD）'!$AA950=""),"",分期持仓明细!$AB$24*(SUMPRODUCT(分期持仓明细!$B$24:$Y$24,'实盘净值数据(iFinD）'!$B950:$Y950/'实盘净值数据(iFinD）'!$B$65:$Y$65)+SUMPRODUCT(分期持仓明细!$AC$24:$AD$24,'实盘净值数据(iFinD）'!$Z950:$AA950/'实盘净值数据(iFinD）'!$Z$65:$AA$65))*(1-实盘持仓初始配置!$Z$8)^(('实盘净值数据(iFinD）'!$A950-'实盘净值数据(iFinD）'!$A$5)/365))</f>
        <v/>
      </c>
      <c r="O950" s="16" t="str">
        <f t="shared" si="88"/>
        <v/>
      </c>
      <c r="P950" s="16" t="str">
        <f>IF(N950="","",N950/MAX(N$5:N950)-1)</f>
        <v/>
      </c>
      <c r="Q950" s="13" t="str">
        <f>IF(OR('实盘净值数据(iFinD）'!$A950="",'实盘净值数据(iFinD）'!$B950="",'实盘净值数据(iFinD）'!$Z950="",'实盘净值数据(iFinD）'!$AA950=""),"",分期持仓明细!$AB$25*(SUMPRODUCT(分期持仓明细!$B$25:$Y$25,'实盘净值数据(iFinD）'!$B950:$Y950/'实盘净值数据(iFinD）'!$B$65:$Y$65)+SUMPRODUCT(分期持仓明细!$AC$25:$AD$25,'实盘净值数据(iFinD）'!$Z950:$AA950/'实盘净值数据(iFinD）'!$Z$65:$AA$65))*(1-实盘持仓初始配置!$Z$9)^(('实盘净值数据(iFinD）'!$A950-'实盘净值数据(iFinD）'!$A$8)/365))</f>
        <v/>
      </c>
      <c r="R950" s="16" t="str">
        <f t="shared" si="89"/>
        <v/>
      </c>
      <c r="S950" s="16" t="str">
        <f>IF(Q950="","",Q950/MAX(Q$5:Q950)-1)</f>
        <v/>
      </c>
    </row>
    <row r="951" spans="1:19">
      <c r="A951" s="15" t="str">
        <f>IF('实盘净值数据(iFinD）'!A951="","",'实盘净值数据(iFinD）'!A951)</f>
        <v/>
      </c>
      <c r="B951" s="13" t="str">
        <f>IF(OR('实盘净值数据(iFinD）'!$A951="",'实盘净值数据(iFinD）'!$B951=""),"",分期持仓明细!$AB$17*SUMPRODUCT(分期持仓明细!$B$17:$Y$17,'实盘净值数据(iFinD）'!$B951:$Y951/'实盘净值数据(iFinD）'!$B$20:$Y$20)*(1-实盘持仓初始配置!$Z$4)^(('实盘净值数据(iFinD）'!$A951-'实盘净值数据(iFinD）'!$A$6)/365))</f>
        <v/>
      </c>
      <c r="C951" s="16" t="str">
        <f t="shared" si="84"/>
        <v/>
      </c>
      <c r="D951" s="16" t="str">
        <f>IF(B951="","",B951/MAX(B$5:B951)-1)</f>
        <v/>
      </c>
      <c r="E951" s="13" t="str">
        <f>IF(OR('实盘净值数据(iFinD）'!$A951="",'实盘净值数据(iFinD）'!$B951=""),"",分期持仓明细!$AB$18*SUMPRODUCT(分期持仓明细!$B$18:$Y$18,'实盘净值数据(iFinD）'!$B951:$Y951/'实盘净值数据(iFinD）'!$B$20:$Y$20)*(1-实盘持仓初始配置!$Z$5)^(('实盘净值数据(iFinD）'!$A951-'实盘净值数据(iFinD）'!$A$5)/365))</f>
        <v/>
      </c>
      <c r="F951" s="16" t="str">
        <f t="shared" si="85"/>
        <v/>
      </c>
      <c r="G951" s="16" t="str">
        <f>IF(E951="","",E951/MAX(E$5:E951)-1)</f>
        <v/>
      </c>
      <c r="H951" s="13" t="str">
        <f>IF(OR('实盘净值数据(iFinD）'!$A951="",'实盘净值数据(iFinD）'!$B951=""),"",分期持仓明细!$AB$19*SUMPRODUCT(分期持仓明细!$B$19:$Y$19,'实盘净值数据(iFinD）'!$B951:$Y951/'实盘净值数据(iFinD）'!$B$20:$Y$20)*(1-实盘持仓初始配置!$Z$6)^(('实盘净值数据(iFinD）'!$A951-'实盘净值数据(iFinD）'!$A$7)/365))</f>
        <v/>
      </c>
      <c r="I951" s="16" t="str">
        <f t="shared" si="86"/>
        <v/>
      </c>
      <c r="J951" s="16" t="str">
        <f>IF(H951="","",H951/MAX(H$5:H951)-1)</f>
        <v/>
      </c>
      <c r="K951" s="13" t="str">
        <f>IF(OR('实盘净值数据(iFinD）'!$A951="",'实盘净值数据(iFinD）'!$B951="",'实盘净值数据(iFinD）'!$Z951="",'实盘净值数据(iFinD）'!$AA951=""),"",分期持仓明细!$AB$23*(SUMPRODUCT(分期持仓明细!$B$23:$Y$23,'实盘净值数据(iFinD）'!$B951:$Y951/'实盘净值数据(iFinD）'!$B$65:$Y$65)+SUMPRODUCT(分期持仓明细!$AC$23:$AD$23,'实盘净值数据(iFinD）'!$Z951:$AA951/'实盘净值数据(iFinD）'!$Z$65:$AA$65))*(1-实盘持仓初始配置!$Z$7)^(('实盘净值数据(iFinD）'!$A951-'实盘净值数据(iFinD）'!$A$8)/365))</f>
        <v/>
      </c>
      <c r="L951" s="16" t="str">
        <f t="shared" si="87"/>
        <v/>
      </c>
      <c r="M951" s="16" t="str">
        <f>IF(K951="","",K951/MAX(K$5:K951)-1)</f>
        <v/>
      </c>
      <c r="N951" s="13" t="str">
        <f>IF(OR('实盘净值数据(iFinD）'!$A951="",'实盘净值数据(iFinD）'!$B951="",'实盘净值数据(iFinD）'!$Z951="",'实盘净值数据(iFinD）'!$AA951=""),"",分期持仓明细!$AB$24*(SUMPRODUCT(分期持仓明细!$B$24:$Y$24,'实盘净值数据(iFinD）'!$B951:$Y951/'实盘净值数据(iFinD）'!$B$65:$Y$65)+SUMPRODUCT(分期持仓明细!$AC$24:$AD$24,'实盘净值数据(iFinD）'!$Z951:$AA951/'实盘净值数据(iFinD）'!$Z$65:$AA$65))*(1-实盘持仓初始配置!$Z$8)^(('实盘净值数据(iFinD）'!$A951-'实盘净值数据(iFinD）'!$A$5)/365))</f>
        <v/>
      </c>
      <c r="O951" s="16" t="str">
        <f t="shared" si="88"/>
        <v/>
      </c>
      <c r="P951" s="16" t="str">
        <f>IF(N951="","",N951/MAX(N$5:N951)-1)</f>
        <v/>
      </c>
      <c r="Q951" s="13" t="str">
        <f>IF(OR('实盘净值数据(iFinD）'!$A951="",'实盘净值数据(iFinD）'!$B951="",'实盘净值数据(iFinD）'!$Z951="",'实盘净值数据(iFinD）'!$AA951=""),"",分期持仓明细!$AB$25*(SUMPRODUCT(分期持仓明细!$B$25:$Y$25,'实盘净值数据(iFinD）'!$B951:$Y951/'实盘净值数据(iFinD）'!$B$65:$Y$65)+SUMPRODUCT(分期持仓明细!$AC$25:$AD$25,'实盘净值数据(iFinD）'!$Z951:$AA951/'实盘净值数据(iFinD）'!$Z$65:$AA$65))*(1-实盘持仓初始配置!$Z$9)^(('实盘净值数据(iFinD）'!$A951-'实盘净值数据(iFinD）'!$A$8)/365))</f>
        <v/>
      </c>
      <c r="R951" s="16" t="str">
        <f t="shared" si="89"/>
        <v/>
      </c>
      <c r="S951" s="16" t="str">
        <f>IF(Q951="","",Q951/MAX(Q$5:Q951)-1)</f>
        <v/>
      </c>
    </row>
    <row r="952" spans="1:19">
      <c r="A952" s="15" t="str">
        <f>IF('实盘净值数据(iFinD）'!A952="","",'实盘净值数据(iFinD）'!A952)</f>
        <v/>
      </c>
      <c r="B952" s="13" t="str">
        <f>IF(OR('实盘净值数据(iFinD）'!$A952="",'实盘净值数据(iFinD）'!$B952=""),"",分期持仓明细!$AB$17*SUMPRODUCT(分期持仓明细!$B$17:$Y$17,'实盘净值数据(iFinD）'!$B952:$Y952/'实盘净值数据(iFinD）'!$B$20:$Y$20)*(1-实盘持仓初始配置!$Z$4)^(('实盘净值数据(iFinD）'!$A952-'实盘净值数据(iFinD）'!$A$6)/365))</f>
        <v/>
      </c>
      <c r="C952" s="16" t="str">
        <f t="shared" si="84"/>
        <v/>
      </c>
      <c r="D952" s="16" t="str">
        <f>IF(B952="","",B952/MAX(B$5:B952)-1)</f>
        <v/>
      </c>
      <c r="E952" s="13" t="str">
        <f>IF(OR('实盘净值数据(iFinD）'!$A952="",'实盘净值数据(iFinD）'!$B952=""),"",分期持仓明细!$AB$18*SUMPRODUCT(分期持仓明细!$B$18:$Y$18,'实盘净值数据(iFinD）'!$B952:$Y952/'实盘净值数据(iFinD）'!$B$20:$Y$20)*(1-实盘持仓初始配置!$Z$5)^(('实盘净值数据(iFinD）'!$A952-'实盘净值数据(iFinD）'!$A$5)/365))</f>
        <v/>
      </c>
      <c r="F952" s="16" t="str">
        <f t="shared" si="85"/>
        <v/>
      </c>
      <c r="G952" s="16" t="str">
        <f>IF(E952="","",E952/MAX(E$5:E952)-1)</f>
        <v/>
      </c>
      <c r="H952" s="13" t="str">
        <f>IF(OR('实盘净值数据(iFinD）'!$A952="",'实盘净值数据(iFinD）'!$B952=""),"",分期持仓明细!$AB$19*SUMPRODUCT(分期持仓明细!$B$19:$Y$19,'实盘净值数据(iFinD）'!$B952:$Y952/'实盘净值数据(iFinD）'!$B$20:$Y$20)*(1-实盘持仓初始配置!$Z$6)^(('实盘净值数据(iFinD）'!$A952-'实盘净值数据(iFinD）'!$A$7)/365))</f>
        <v/>
      </c>
      <c r="I952" s="16" t="str">
        <f t="shared" si="86"/>
        <v/>
      </c>
      <c r="J952" s="16" t="str">
        <f>IF(H952="","",H952/MAX(H$5:H952)-1)</f>
        <v/>
      </c>
      <c r="K952" s="13" t="str">
        <f>IF(OR('实盘净值数据(iFinD）'!$A952="",'实盘净值数据(iFinD）'!$B952="",'实盘净值数据(iFinD）'!$Z952="",'实盘净值数据(iFinD）'!$AA952=""),"",分期持仓明细!$AB$23*(SUMPRODUCT(分期持仓明细!$B$23:$Y$23,'实盘净值数据(iFinD）'!$B952:$Y952/'实盘净值数据(iFinD）'!$B$65:$Y$65)+SUMPRODUCT(分期持仓明细!$AC$23:$AD$23,'实盘净值数据(iFinD）'!$Z952:$AA952/'实盘净值数据(iFinD）'!$Z$65:$AA$65))*(1-实盘持仓初始配置!$Z$7)^(('实盘净值数据(iFinD）'!$A952-'实盘净值数据(iFinD）'!$A$8)/365))</f>
        <v/>
      </c>
      <c r="L952" s="16" t="str">
        <f t="shared" si="87"/>
        <v/>
      </c>
      <c r="M952" s="16" t="str">
        <f>IF(K952="","",K952/MAX(K$5:K952)-1)</f>
        <v/>
      </c>
      <c r="N952" s="13" t="str">
        <f>IF(OR('实盘净值数据(iFinD）'!$A952="",'实盘净值数据(iFinD）'!$B952="",'实盘净值数据(iFinD）'!$Z952="",'实盘净值数据(iFinD）'!$AA952=""),"",分期持仓明细!$AB$24*(SUMPRODUCT(分期持仓明细!$B$24:$Y$24,'实盘净值数据(iFinD）'!$B952:$Y952/'实盘净值数据(iFinD）'!$B$65:$Y$65)+SUMPRODUCT(分期持仓明细!$AC$24:$AD$24,'实盘净值数据(iFinD）'!$Z952:$AA952/'实盘净值数据(iFinD）'!$Z$65:$AA$65))*(1-实盘持仓初始配置!$Z$8)^(('实盘净值数据(iFinD）'!$A952-'实盘净值数据(iFinD）'!$A$5)/365))</f>
        <v/>
      </c>
      <c r="O952" s="16" t="str">
        <f t="shared" si="88"/>
        <v/>
      </c>
      <c r="P952" s="16" t="str">
        <f>IF(N952="","",N952/MAX(N$5:N952)-1)</f>
        <v/>
      </c>
      <c r="Q952" s="13" t="str">
        <f>IF(OR('实盘净值数据(iFinD）'!$A952="",'实盘净值数据(iFinD）'!$B952="",'实盘净值数据(iFinD）'!$Z952="",'实盘净值数据(iFinD）'!$AA952=""),"",分期持仓明细!$AB$25*(SUMPRODUCT(分期持仓明细!$B$25:$Y$25,'实盘净值数据(iFinD）'!$B952:$Y952/'实盘净值数据(iFinD）'!$B$65:$Y$65)+SUMPRODUCT(分期持仓明细!$AC$25:$AD$25,'实盘净值数据(iFinD）'!$Z952:$AA952/'实盘净值数据(iFinD）'!$Z$65:$AA$65))*(1-实盘持仓初始配置!$Z$9)^(('实盘净值数据(iFinD）'!$A952-'实盘净值数据(iFinD）'!$A$8)/365))</f>
        <v/>
      </c>
      <c r="R952" s="16" t="str">
        <f t="shared" si="89"/>
        <v/>
      </c>
      <c r="S952" s="16" t="str">
        <f>IF(Q952="","",Q952/MAX(Q$5:Q952)-1)</f>
        <v/>
      </c>
    </row>
    <row r="953" spans="1:19">
      <c r="A953" s="15" t="str">
        <f>IF('实盘净值数据(iFinD）'!A953="","",'实盘净值数据(iFinD）'!A953)</f>
        <v/>
      </c>
      <c r="B953" s="13" t="str">
        <f>IF(OR('实盘净值数据(iFinD）'!$A953="",'实盘净值数据(iFinD）'!$B953=""),"",分期持仓明细!$AB$17*SUMPRODUCT(分期持仓明细!$B$17:$Y$17,'实盘净值数据(iFinD）'!$B953:$Y953/'实盘净值数据(iFinD）'!$B$20:$Y$20)*(1-实盘持仓初始配置!$Z$4)^(('实盘净值数据(iFinD）'!$A953-'实盘净值数据(iFinD）'!$A$6)/365))</f>
        <v/>
      </c>
      <c r="C953" s="16" t="str">
        <f t="shared" si="84"/>
        <v/>
      </c>
      <c r="D953" s="16" t="str">
        <f>IF(B953="","",B953/MAX(B$5:B953)-1)</f>
        <v/>
      </c>
      <c r="E953" s="13" t="str">
        <f>IF(OR('实盘净值数据(iFinD）'!$A953="",'实盘净值数据(iFinD）'!$B953=""),"",分期持仓明细!$AB$18*SUMPRODUCT(分期持仓明细!$B$18:$Y$18,'实盘净值数据(iFinD）'!$B953:$Y953/'实盘净值数据(iFinD）'!$B$20:$Y$20)*(1-实盘持仓初始配置!$Z$5)^(('实盘净值数据(iFinD）'!$A953-'实盘净值数据(iFinD）'!$A$5)/365))</f>
        <v/>
      </c>
      <c r="F953" s="16" t="str">
        <f t="shared" si="85"/>
        <v/>
      </c>
      <c r="G953" s="16" t="str">
        <f>IF(E953="","",E953/MAX(E$5:E953)-1)</f>
        <v/>
      </c>
      <c r="H953" s="13" t="str">
        <f>IF(OR('实盘净值数据(iFinD）'!$A953="",'实盘净值数据(iFinD）'!$B953=""),"",分期持仓明细!$AB$19*SUMPRODUCT(分期持仓明细!$B$19:$Y$19,'实盘净值数据(iFinD）'!$B953:$Y953/'实盘净值数据(iFinD）'!$B$20:$Y$20)*(1-实盘持仓初始配置!$Z$6)^(('实盘净值数据(iFinD）'!$A953-'实盘净值数据(iFinD）'!$A$7)/365))</f>
        <v/>
      </c>
      <c r="I953" s="16" t="str">
        <f t="shared" si="86"/>
        <v/>
      </c>
      <c r="J953" s="16" t="str">
        <f>IF(H953="","",H953/MAX(H$5:H953)-1)</f>
        <v/>
      </c>
      <c r="K953" s="13" t="str">
        <f>IF(OR('实盘净值数据(iFinD）'!$A953="",'实盘净值数据(iFinD）'!$B953="",'实盘净值数据(iFinD）'!$Z953="",'实盘净值数据(iFinD）'!$AA953=""),"",分期持仓明细!$AB$23*(SUMPRODUCT(分期持仓明细!$B$23:$Y$23,'实盘净值数据(iFinD）'!$B953:$Y953/'实盘净值数据(iFinD）'!$B$65:$Y$65)+SUMPRODUCT(分期持仓明细!$AC$23:$AD$23,'实盘净值数据(iFinD）'!$Z953:$AA953/'实盘净值数据(iFinD）'!$Z$65:$AA$65))*(1-实盘持仓初始配置!$Z$7)^(('实盘净值数据(iFinD）'!$A953-'实盘净值数据(iFinD）'!$A$8)/365))</f>
        <v/>
      </c>
      <c r="L953" s="16" t="str">
        <f t="shared" si="87"/>
        <v/>
      </c>
      <c r="M953" s="16" t="str">
        <f>IF(K953="","",K953/MAX(K$5:K953)-1)</f>
        <v/>
      </c>
      <c r="N953" s="13" t="str">
        <f>IF(OR('实盘净值数据(iFinD）'!$A953="",'实盘净值数据(iFinD）'!$B953="",'实盘净值数据(iFinD）'!$Z953="",'实盘净值数据(iFinD）'!$AA953=""),"",分期持仓明细!$AB$24*(SUMPRODUCT(分期持仓明细!$B$24:$Y$24,'实盘净值数据(iFinD）'!$B953:$Y953/'实盘净值数据(iFinD）'!$B$65:$Y$65)+SUMPRODUCT(分期持仓明细!$AC$24:$AD$24,'实盘净值数据(iFinD）'!$Z953:$AA953/'实盘净值数据(iFinD）'!$Z$65:$AA$65))*(1-实盘持仓初始配置!$Z$8)^(('实盘净值数据(iFinD）'!$A953-'实盘净值数据(iFinD）'!$A$5)/365))</f>
        <v/>
      </c>
      <c r="O953" s="16" t="str">
        <f t="shared" si="88"/>
        <v/>
      </c>
      <c r="P953" s="16" t="str">
        <f>IF(N953="","",N953/MAX(N$5:N953)-1)</f>
        <v/>
      </c>
      <c r="Q953" s="13" t="str">
        <f>IF(OR('实盘净值数据(iFinD）'!$A953="",'实盘净值数据(iFinD）'!$B953="",'实盘净值数据(iFinD）'!$Z953="",'实盘净值数据(iFinD）'!$AA953=""),"",分期持仓明细!$AB$25*(SUMPRODUCT(分期持仓明细!$B$25:$Y$25,'实盘净值数据(iFinD）'!$B953:$Y953/'实盘净值数据(iFinD）'!$B$65:$Y$65)+SUMPRODUCT(分期持仓明细!$AC$25:$AD$25,'实盘净值数据(iFinD）'!$Z953:$AA953/'实盘净值数据(iFinD）'!$Z$65:$AA$65))*(1-实盘持仓初始配置!$Z$9)^(('实盘净值数据(iFinD）'!$A953-'实盘净值数据(iFinD）'!$A$8)/365))</f>
        <v/>
      </c>
      <c r="R953" s="16" t="str">
        <f t="shared" si="89"/>
        <v/>
      </c>
      <c r="S953" s="16" t="str">
        <f>IF(Q953="","",Q953/MAX(Q$5:Q953)-1)</f>
        <v/>
      </c>
    </row>
    <row r="954" spans="1:19">
      <c r="A954" s="15" t="str">
        <f>IF('实盘净值数据(iFinD）'!A954="","",'实盘净值数据(iFinD）'!A954)</f>
        <v/>
      </c>
      <c r="B954" s="13" t="str">
        <f>IF(OR('实盘净值数据(iFinD）'!$A954="",'实盘净值数据(iFinD）'!$B954=""),"",分期持仓明细!$AB$17*SUMPRODUCT(分期持仓明细!$B$17:$Y$17,'实盘净值数据(iFinD）'!$B954:$Y954/'实盘净值数据(iFinD）'!$B$20:$Y$20)*(1-实盘持仓初始配置!$Z$4)^(('实盘净值数据(iFinD）'!$A954-'实盘净值数据(iFinD）'!$A$6)/365))</f>
        <v/>
      </c>
      <c r="C954" s="16" t="str">
        <f t="shared" si="84"/>
        <v/>
      </c>
      <c r="D954" s="16" t="str">
        <f>IF(B954="","",B954/MAX(B$5:B954)-1)</f>
        <v/>
      </c>
      <c r="E954" s="13" t="str">
        <f>IF(OR('实盘净值数据(iFinD）'!$A954="",'实盘净值数据(iFinD）'!$B954=""),"",分期持仓明细!$AB$18*SUMPRODUCT(分期持仓明细!$B$18:$Y$18,'实盘净值数据(iFinD）'!$B954:$Y954/'实盘净值数据(iFinD）'!$B$20:$Y$20)*(1-实盘持仓初始配置!$Z$5)^(('实盘净值数据(iFinD）'!$A954-'实盘净值数据(iFinD）'!$A$5)/365))</f>
        <v/>
      </c>
      <c r="F954" s="16" t="str">
        <f t="shared" si="85"/>
        <v/>
      </c>
      <c r="G954" s="16" t="str">
        <f>IF(E954="","",E954/MAX(E$5:E954)-1)</f>
        <v/>
      </c>
      <c r="H954" s="13" t="str">
        <f>IF(OR('实盘净值数据(iFinD）'!$A954="",'实盘净值数据(iFinD）'!$B954=""),"",分期持仓明细!$AB$19*SUMPRODUCT(分期持仓明细!$B$19:$Y$19,'实盘净值数据(iFinD）'!$B954:$Y954/'实盘净值数据(iFinD）'!$B$20:$Y$20)*(1-实盘持仓初始配置!$Z$6)^(('实盘净值数据(iFinD）'!$A954-'实盘净值数据(iFinD）'!$A$7)/365))</f>
        <v/>
      </c>
      <c r="I954" s="16" t="str">
        <f t="shared" si="86"/>
        <v/>
      </c>
      <c r="J954" s="16" t="str">
        <f>IF(H954="","",H954/MAX(H$5:H954)-1)</f>
        <v/>
      </c>
      <c r="K954" s="13" t="str">
        <f>IF(OR('实盘净值数据(iFinD）'!$A954="",'实盘净值数据(iFinD）'!$B954="",'实盘净值数据(iFinD）'!$Z954="",'实盘净值数据(iFinD）'!$AA954=""),"",分期持仓明细!$AB$23*(SUMPRODUCT(分期持仓明细!$B$23:$Y$23,'实盘净值数据(iFinD）'!$B954:$Y954/'实盘净值数据(iFinD）'!$B$65:$Y$65)+SUMPRODUCT(分期持仓明细!$AC$23:$AD$23,'实盘净值数据(iFinD）'!$Z954:$AA954/'实盘净值数据(iFinD）'!$Z$65:$AA$65))*(1-实盘持仓初始配置!$Z$7)^(('实盘净值数据(iFinD）'!$A954-'实盘净值数据(iFinD）'!$A$8)/365))</f>
        <v/>
      </c>
      <c r="L954" s="16" t="str">
        <f t="shared" si="87"/>
        <v/>
      </c>
      <c r="M954" s="16" t="str">
        <f>IF(K954="","",K954/MAX(K$5:K954)-1)</f>
        <v/>
      </c>
      <c r="N954" s="13" t="str">
        <f>IF(OR('实盘净值数据(iFinD）'!$A954="",'实盘净值数据(iFinD）'!$B954="",'实盘净值数据(iFinD）'!$Z954="",'实盘净值数据(iFinD）'!$AA954=""),"",分期持仓明细!$AB$24*(SUMPRODUCT(分期持仓明细!$B$24:$Y$24,'实盘净值数据(iFinD）'!$B954:$Y954/'实盘净值数据(iFinD）'!$B$65:$Y$65)+SUMPRODUCT(分期持仓明细!$AC$24:$AD$24,'实盘净值数据(iFinD）'!$Z954:$AA954/'实盘净值数据(iFinD）'!$Z$65:$AA$65))*(1-实盘持仓初始配置!$Z$8)^(('实盘净值数据(iFinD）'!$A954-'实盘净值数据(iFinD）'!$A$5)/365))</f>
        <v/>
      </c>
      <c r="O954" s="16" t="str">
        <f t="shared" si="88"/>
        <v/>
      </c>
      <c r="P954" s="16" t="str">
        <f>IF(N954="","",N954/MAX(N$5:N954)-1)</f>
        <v/>
      </c>
      <c r="Q954" s="13" t="str">
        <f>IF(OR('实盘净值数据(iFinD）'!$A954="",'实盘净值数据(iFinD）'!$B954="",'实盘净值数据(iFinD）'!$Z954="",'实盘净值数据(iFinD）'!$AA954=""),"",分期持仓明细!$AB$25*(SUMPRODUCT(分期持仓明细!$B$25:$Y$25,'实盘净值数据(iFinD）'!$B954:$Y954/'实盘净值数据(iFinD）'!$B$65:$Y$65)+SUMPRODUCT(分期持仓明细!$AC$25:$AD$25,'实盘净值数据(iFinD）'!$Z954:$AA954/'实盘净值数据(iFinD）'!$Z$65:$AA$65))*(1-实盘持仓初始配置!$Z$9)^(('实盘净值数据(iFinD）'!$A954-'实盘净值数据(iFinD）'!$A$8)/365))</f>
        <v/>
      </c>
      <c r="R954" s="16" t="str">
        <f t="shared" si="89"/>
        <v/>
      </c>
      <c r="S954" s="16" t="str">
        <f>IF(Q954="","",Q954/MAX(Q$5:Q954)-1)</f>
        <v/>
      </c>
    </row>
    <row r="955" spans="1:19">
      <c r="A955" s="15" t="str">
        <f>IF('实盘净值数据(iFinD）'!A955="","",'实盘净值数据(iFinD）'!A955)</f>
        <v/>
      </c>
      <c r="B955" s="13" t="str">
        <f>IF(OR('实盘净值数据(iFinD）'!$A955="",'实盘净值数据(iFinD）'!$B955=""),"",分期持仓明细!$AB$17*SUMPRODUCT(分期持仓明细!$B$17:$Y$17,'实盘净值数据(iFinD）'!$B955:$Y955/'实盘净值数据(iFinD）'!$B$20:$Y$20)*(1-实盘持仓初始配置!$Z$4)^(('实盘净值数据(iFinD）'!$A955-'实盘净值数据(iFinD）'!$A$6)/365))</f>
        <v/>
      </c>
      <c r="C955" s="16" t="str">
        <f t="shared" si="84"/>
        <v/>
      </c>
      <c r="D955" s="16" t="str">
        <f>IF(B955="","",B955/MAX(B$5:B955)-1)</f>
        <v/>
      </c>
      <c r="E955" s="13" t="str">
        <f>IF(OR('实盘净值数据(iFinD）'!$A955="",'实盘净值数据(iFinD）'!$B955=""),"",分期持仓明细!$AB$18*SUMPRODUCT(分期持仓明细!$B$18:$Y$18,'实盘净值数据(iFinD）'!$B955:$Y955/'实盘净值数据(iFinD）'!$B$20:$Y$20)*(1-实盘持仓初始配置!$Z$5)^(('实盘净值数据(iFinD）'!$A955-'实盘净值数据(iFinD）'!$A$5)/365))</f>
        <v/>
      </c>
      <c r="F955" s="16" t="str">
        <f t="shared" si="85"/>
        <v/>
      </c>
      <c r="G955" s="16" t="str">
        <f>IF(E955="","",E955/MAX(E$5:E955)-1)</f>
        <v/>
      </c>
      <c r="H955" s="13" t="str">
        <f>IF(OR('实盘净值数据(iFinD）'!$A955="",'实盘净值数据(iFinD）'!$B955=""),"",分期持仓明细!$AB$19*SUMPRODUCT(分期持仓明细!$B$19:$Y$19,'实盘净值数据(iFinD）'!$B955:$Y955/'实盘净值数据(iFinD）'!$B$20:$Y$20)*(1-实盘持仓初始配置!$Z$6)^(('实盘净值数据(iFinD）'!$A955-'实盘净值数据(iFinD）'!$A$7)/365))</f>
        <v/>
      </c>
      <c r="I955" s="16" t="str">
        <f t="shared" si="86"/>
        <v/>
      </c>
      <c r="J955" s="16" t="str">
        <f>IF(H955="","",H955/MAX(H$5:H955)-1)</f>
        <v/>
      </c>
      <c r="K955" s="13" t="str">
        <f>IF(OR('实盘净值数据(iFinD）'!$A955="",'实盘净值数据(iFinD）'!$B955="",'实盘净值数据(iFinD）'!$Z955="",'实盘净值数据(iFinD）'!$AA955=""),"",分期持仓明细!$AB$23*(SUMPRODUCT(分期持仓明细!$B$23:$Y$23,'实盘净值数据(iFinD）'!$B955:$Y955/'实盘净值数据(iFinD）'!$B$65:$Y$65)+SUMPRODUCT(分期持仓明细!$AC$23:$AD$23,'实盘净值数据(iFinD）'!$Z955:$AA955/'实盘净值数据(iFinD）'!$Z$65:$AA$65))*(1-实盘持仓初始配置!$Z$7)^(('实盘净值数据(iFinD）'!$A955-'实盘净值数据(iFinD）'!$A$8)/365))</f>
        <v/>
      </c>
      <c r="L955" s="16" t="str">
        <f t="shared" si="87"/>
        <v/>
      </c>
      <c r="M955" s="16" t="str">
        <f>IF(K955="","",K955/MAX(K$5:K955)-1)</f>
        <v/>
      </c>
      <c r="N955" s="13" t="str">
        <f>IF(OR('实盘净值数据(iFinD）'!$A955="",'实盘净值数据(iFinD）'!$B955="",'实盘净值数据(iFinD）'!$Z955="",'实盘净值数据(iFinD）'!$AA955=""),"",分期持仓明细!$AB$24*(SUMPRODUCT(分期持仓明细!$B$24:$Y$24,'实盘净值数据(iFinD）'!$B955:$Y955/'实盘净值数据(iFinD）'!$B$65:$Y$65)+SUMPRODUCT(分期持仓明细!$AC$24:$AD$24,'实盘净值数据(iFinD）'!$Z955:$AA955/'实盘净值数据(iFinD）'!$Z$65:$AA$65))*(1-实盘持仓初始配置!$Z$8)^(('实盘净值数据(iFinD）'!$A955-'实盘净值数据(iFinD）'!$A$5)/365))</f>
        <v/>
      </c>
      <c r="O955" s="16" t="str">
        <f t="shared" si="88"/>
        <v/>
      </c>
      <c r="P955" s="16" t="str">
        <f>IF(N955="","",N955/MAX(N$5:N955)-1)</f>
        <v/>
      </c>
      <c r="Q955" s="13" t="str">
        <f>IF(OR('实盘净值数据(iFinD）'!$A955="",'实盘净值数据(iFinD）'!$B955="",'实盘净值数据(iFinD）'!$Z955="",'实盘净值数据(iFinD）'!$AA955=""),"",分期持仓明细!$AB$25*(SUMPRODUCT(分期持仓明细!$B$25:$Y$25,'实盘净值数据(iFinD）'!$B955:$Y955/'实盘净值数据(iFinD）'!$B$65:$Y$65)+SUMPRODUCT(分期持仓明细!$AC$25:$AD$25,'实盘净值数据(iFinD）'!$Z955:$AA955/'实盘净值数据(iFinD）'!$Z$65:$AA$65))*(1-实盘持仓初始配置!$Z$9)^(('实盘净值数据(iFinD）'!$A955-'实盘净值数据(iFinD）'!$A$8)/365))</f>
        <v/>
      </c>
      <c r="R955" s="16" t="str">
        <f t="shared" si="89"/>
        <v/>
      </c>
      <c r="S955" s="16" t="str">
        <f>IF(Q955="","",Q955/MAX(Q$5:Q955)-1)</f>
        <v/>
      </c>
    </row>
    <row r="956" spans="1:19">
      <c r="A956" s="15" t="str">
        <f>IF('实盘净值数据(iFinD）'!A956="","",'实盘净值数据(iFinD）'!A956)</f>
        <v/>
      </c>
      <c r="B956" s="13" t="str">
        <f>IF(OR('实盘净值数据(iFinD）'!$A956="",'实盘净值数据(iFinD）'!$B956=""),"",分期持仓明细!$AB$17*SUMPRODUCT(分期持仓明细!$B$17:$Y$17,'实盘净值数据(iFinD）'!$B956:$Y956/'实盘净值数据(iFinD）'!$B$20:$Y$20)*(1-实盘持仓初始配置!$Z$4)^(('实盘净值数据(iFinD）'!$A956-'实盘净值数据(iFinD）'!$A$6)/365))</f>
        <v/>
      </c>
      <c r="C956" s="16" t="str">
        <f t="shared" ref="C956:C1000" si="90">IF(OR(B955="",B956=""),"",B956/B955-1)</f>
        <v/>
      </c>
      <c r="D956" s="16" t="str">
        <f>IF(B956="","",B956/MAX(B$5:B956)-1)</f>
        <v/>
      </c>
      <c r="E956" s="13" t="str">
        <f>IF(OR('实盘净值数据(iFinD）'!$A956="",'实盘净值数据(iFinD）'!$B956=""),"",分期持仓明细!$AB$18*SUMPRODUCT(分期持仓明细!$B$18:$Y$18,'实盘净值数据(iFinD）'!$B956:$Y956/'实盘净值数据(iFinD）'!$B$20:$Y$20)*(1-实盘持仓初始配置!$Z$5)^(('实盘净值数据(iFinD）'!$A956-'实盘净值数据(iFinD）'!$A$5)/365))</f>
        <v/>
      </c>
      <c r="F956" s="16" t="str">
        <f t="shared" ref="F956:F1000" si="91">IF(OR(E955="",E956=""),"",E956/E955-1)</f>
        <v/>
      </c>
      <c r="G956" s="16" t="str">
        <f>IF(E956="","",E956/MAX(E$5:E956)-1)</f>
        <v/>
      </c>
      <c r="H956" s="13" t="str">
        <f>IF(OR('实盘净值数据(iFinD）'!$A956="",'实盘净值数据(iFinD）'!$B956=""),"",分期持仓明细!$AB$19*SUMPRODUCT(分期持仓明细!$B$19:$Y$19,'实盘净值数据(iFinD）'!$B956:$Y956/'实盘净值数据(iFinD）'!$B$20:$Y$20)*(1-实盘持仓初始配置!$Z$6)^(('实盘净值数据(iFinD）'!$A956-'实盘净值数据(iFinD）'!$A$7)/365))</f>
        <v/>
      </c>
      <c r="I956" s="16" t="str">
        <f t="shared" ref="I956:I1000" si="92">IF(OR(H955="",H956=""),"",H956/H955-1)</f>
        <v/>
      </c>
      <c r="J956" s="16" t="str">
        <f>IF(H956="","",H956/MAX(H$5:H956)-1)</f>
        <v/>
      </c>
      <c r="K956" s="13" t="str">
        <f>IF(OR('实盘净值数据(iFinD）'!$A956="",'实盘净值数据(iFinD）'!$B956="",'实盘净值数据(iFinD）'!$Z956="",'实盘净值数据(iFinD）'!$AA956=""),"",分期持仓明细!$AB$23*(SUMPRODUCT(分期持仓明细!$B$23:$Y$23,'实盘净值数据(iFinD）'!$B956:$Y956/'实盘净值数据(iFinD）'!$B$65:$Y$65)+SUMPRODUCT(分期持仓明细!$AC$23:$AD$23,'实盘净值数据(iFinD）'!$Z956:$AA956/'实盘净值数据(iFinD）'!$Z$65:$AA$65))*(1-实盘持仓初始配置!$Z$7)^(('实盘净值数据(iFinD）'!$A956-'实盘净值数据(iFinD）'!$A$8)/365))</f>
        <v/>
      </c>
      <c r="L956" s="16" t="str">
        <f t="shared" ref="L956:L1000" si="93">IF(OR(K955="",K956=""),"",K956/K955-1)</f>
        <v/>
      </c>
      <c r="M956" s="16" t="str">
        <f>IF(K956="","",K956/MAX(K$5:K956)-1)</f>
        <v/>
      </c>
      <c r="N956" s="13" t="str">
        <f>IF(OR('实盘净值数据(iFinD）'!$A956="",'实盘净值数据(iFinD）'!$B956="",'实盘净值数据(iFinD）'!$Z956="",'实盘净值数据(iFinD）'!$AA956=""),"",分期持仓明细!$AB$24*(SUMPRODUCT(分期持仓明细!$B$24:$Y$24,'实盘净值数据(iFinD）'!$B956:$Y956/'实盘净值数据(iFinD）'!$B$65:$Y$65)+SUMPRODUCT(分期持仓明细!$AC$24:$AD$24,'实盘净值数据(iFinD）'!$Z956:$AA956/'实盘净值数据(iFinD）'!$Z$65:$AA$65))*(1-实盘持仓初始配置!$Z$8)^(('实盘净值数据(iFinD）'!$A956-'实盘净值数据(iFinD）'!$A$5)/365))</f>
        <v/>
      </c>
      <c r="O956" s="16" t="str">
        <f t="shared" ref="O956:O1000" si="94">IF(OR(N955="",N956=""),"",N956/N955-1)</f>
        <v/>
      </c>
      <c r="P956" s="16" t="str">
        <f>IF(N956="","",N956/MAX(N$5:N956)-1)</f>
        <v/>
      </c>
      <c r="Q956" s="13" t="str">
        <f>IF(OR('实盘净值数据(iFinD）'!$A956="",'实盘净值数据(iFinD）'!$B956="",'实盘净值数据(iFinD）'!$Z956="",'实盘净值数据(iFinD）'!$AA956=""),"",分期持仓明细!$AB$25*(SUMPRODUCT(分期持仓明细!$B$25:$Y$25,'实盘净值数据(iFinD）'!$B956:$Y956/'实盘净值数据(iFinD）'!$B$65:$Y$65)+SUMPRODUCT(分期持仓明细!$AC$25:$AD$25,'实盘净值数据(iFinD）'!$Z956:$AA956/'实盘净值数据(iFinD）'!$Z$65:$AA$65))*(1-实盘持仓初始配置!$Z$9)^(('实盘净值数据(iFinD）'!$A956-'实盘净值数据(iFinD）'!$A$8)/365))</f>
        <v/>
      </c>
      <c r="R956" s="16" t="str">
        <f t="shared" ref="R956:R1000" si="95">IF(OR(Q955="",Q956=""),"",Q956/Q955-1)</f>
        <v/>
      </c>
      <c r="S956" s="16" t="str">
        <f>IF(Q956="","",Q956/MAX(Q$5:Q956)-1)</f>
        <v/>
      </c>
    </row>
    <row r="957" spans="1:19">
      <c r="A957" s="15" t="str">
        <f>IF('实盘净值数据(iFinD）'!A957="","",'实盘净值数据(iFinD）'!A957)</f>
        <v/>
      </c>
      <c r="B957" s="13" t="str">
        <f>IF(OR('实盘净值数据(iFinD）'!$A957="",'实盘净值数据(iFinD）'!$B957=""),"",分期持仓明细!$AB$17*SUMPRODUCT(分期持仓明细!$B$17:$Y$17,'实盘净值数据(iFinD）'!$B957:$Y957/'实盘净值数据(iFinD）'!$B$20:$Y$20)*(1-实盘持仓初始配置!$Z$4)^(('实盘净值数据(iFinD）'!$A957-'实盘净值数据(iFinD）'!$A$6)/365))</f>
        <v/>
      </c>
      <c r="C957" s="16" t="str">
        <f t="shared" si="90"/>
        <v/>
      </c>
      <c r="D957" s="16" t="str">
        <f>IF(B957="","",B957/MAX(B$5:B957)-1)</f>
        <v/>
      </c>
      <c r="E957" s="13" t="str">
        <f>IF(OR('实盘净值数据(iFinD）'!$A957="",'实盘净值数据(iFinD）'!$B957=""),"",分期持仓明细!$AB$18*SUMPRODUCT(分期持仓明细!$B$18:$Y$18,'实盘净值数据(iFinD）'!$B957:$Y957/'实盘净值数据(iFinD）'!$B$20:$Y$20)*(1-实盘持仓初始配置!$Z$5)^(('实盘净值数据(iFinD）'!$A957-'实盘净值数据(iFinD）'!$A$5)/365))</f>
        <v/>
      </c>
      <c r="F957" s="16" t="str">
        <f t="shared" si="91"/>
        <v/>
      </c>
      <c r="G957" s="16" t="str">
        <f>IF(E957="","",E957/MAX(E$5:E957)-1)</f>
        <v/>
      </c>
      <c r="H957" s="13" t="str">
        <f>IF(OR('实盘净值数据(iFinD）'!$A957="",'实盘净值数据(iFinD）'!$B957=""),"",分期持仓明细!$AB$19*SUMPRODUCT(分期持仓明细!$B$19:$Y$19,'实盘净值数据(iFinD）'!$B957:$Y957/'实盘净值数据(iFinD）'!$B$20:$Y$20)*(1-实盘持仓初始配置!$Z$6)^(('实盘净值数据(iFinD）'!$A957-'实盘净值数据(iFinD）'!$A$7)/365))</f>
        <v/>
      </c>
      <c r="I957" s="16" t="str">
        <f t="shared" si="92"/>
        <v/>
      </c>
      <c r="J957" s="16" t="str">
        <f>IF(H957="","",H957/MAX(H$5:H957)-1)</f>
        <v/>
      </c>
      <c r="K957" s="13" t="str">
        <f>IF(OR('实盘净值数据(iFinD）'!$A957="",'实盘净值数据(iFinD）'!$B957="",'实盘净值数据(iFinD）'!$Z957="",'实盘净值数据(iFinD）'!$AA957=""),"",分期持仓明细!$AB$23*(SUMPRODUCT(分期持仓明细!$B$23:$Y$23,'实盘净值数据(iFinD）'!$B957:$Y957/'实盘净值数据(iFinD）'!$B$65:$Y$65)+SUMPRODUCT(分期持仓明细!$AC$23:$AD$23,'实盘净值数据(iFinD）'!$Z957:$AA957/'实盘净值数据(iFinD）'!$Z$65:$AA$65))*(1-实盘持仓初始配置!$Z$7)^(('实盘净值数据(iFinD）'!$A957-'实盘净值数据(iFinD）'!$A$8)/365))</f>
        <v/>
      </c>
      <c r="L957" s="16" t="str">
        <f t="shared" si="93"/>
        <v/>
      </c>
      <c r="M957" s="16" t="str">
        <f>IF(K957="","",K957/MAX(K$5:K957)-1)</f>
        <v/>
      </c>
      <c r="N957" s="13" t="str">
        <f>IF(OR('实盘净值数据(iFinD）'!$A957="",'实盘净值数据(iFinD）'!$B957="",'实盘净值数据(iFinD）'!$Z957="",'实盘净值数据(iFinD）'!$AA957=""),"",分期持仓明细!$AB$24*(SUMPRODUCT(分期持仓明细!$B$24:$Y$24,'实盘净值数据(iFinD）'!$B957:$Y957/'实盘净值数据(iFinD）'!$B$65:$Y$65)+SUMPRODUCT(分期持仓明细!$AC$24:$AD$24,'实盘净值数据(iFinD）'!$Z957:$AA957/'实盘净值数据(iFinD）'!$Z$65:$AA$65))*(1-实盘持仓初始配置!$Z$8)^(('实盘净值数据(iFinD）'!$A957-'实盘净值数据(iFinD）'!$A$5)/365))</f>
        <v/>
      </c>
      <c r="O957" s="16" t="str">
        <f t="shared" si="94"/>
        <v/>
      </c>
      <c r="P957" s="16" t="str">
        <f>IF(N957="","",N957/MAX(N$5:N957)-1)</f>
        <v/>
      </c>
      <c r="Q957" s="13" t="str">
        <f>IF(OR('实盘净值数据(iFinD）'!$A957="",'实盘净值数据(iFinD）'!$B957="",'实盘净值数据(iFinD）'!$Z957="",'实盘净值数据(iFinD）'!$AA957=""),"",分期持仓明细!$AB$25*(SUMPRODUCT(分期持仓明细!$B$25:$Y$25,'实盘净值数据(iFinD）'!$B957:$Y957/'实盘净值数据(iFinD）'!$B$65:$Y$65)+SUMPRODUCT(分期持仓明细!$AC$25:$AD$25,'实盘净值数据(iFinD）'!$Z957:$AA957/'实盘净值数据(iFinD）'!$Z$65:$AA$65))*(1-实盘持仓初始配置!$Z$9)^(('实盘净值数据(iFinD）'!$A957-'实盘净值数据(iFinD）'!$A$8)/365))</f>
        <v/>
      </c>
      <c r="R957" s="16" t="str">
        <f t="shared" si="95"/>
        <v/>
      </c>
      <c r="S957" s="16" t="str">
        <f>IF(Q957="","",Q957/MAX(Q$5:Q957)-1)</f>
        <v/>
      </c>
    </row>
    <row r="958" spans="1:19">
      <c r="A958" s="15" t="str">
        <f>IF('实盘净值数据(iFinD）'!A958="","",'实盘净值数据(iFinD）'!A958)</f>
        <v/>
      </c>
      <c r="B958" s="13" t="str">
        <f>IF(OR('实盘净值数据(iFinD）'!$A958="",'实盘净值数据(iFinD）'!$B958=""),"",分期持仓明细!$AB$17*SUMPRODUCT(分期持仓明细!$B$17:$Y$17,'实盘净值数据(iFinD）'!$B958:$Y958/'实盘净值数据(iFinD）'!$B$20:$Y$20)*(1-实盘持仓初始配置!$Z$4)^(('实盘净值数据(iFinD）'!$A958-'实盘净值数据(iFinD）'!$A$6)/365))</f>
        <v/>
      </c>
      <c r="C958" s="16" t="str">
        <f t="shared" si="90"/>
        <v/>
      </c>
      <c r="D958" s="16" t="str">
        <f>IF(B958="","",B958/MAX(B$5:B958)-1)</f>
        <v/>
      </c>
      <c r="E958" s="13" t="str">
        <f>IF(OR('实盘净值数据(iFinD）'!$A958="",'实盘净值数据(iFinD）'!$B958=""),"",分期持仓明细!$AB$18*SUMPRODUCT(分期持仓明细!$B$18:$Y$18,'实盘净值数据(iFinD）'!$B958:$Y958/'实盘净值数据(iFinD）'!$B$20:$Y$20)*(1-实盘持仓初始配置!$Z$5)^(('实盘净值数据(iFinD）'!$A958-'实盘净值数据(iFinD）'!$A$5)/365))</f>
        <v/>
      </c>
      <c r="F958" s="16" t="str">
        <f t="shared" si="91"/>
        <v/>
      </c>
      <c r="G958" s="16" t="str">
        <f>IF(E958="","",E958/MAX(E$5:E958)-1)</f>
        <v/>
      </c>
      <c r="H958" s="13" t="str">
        <f>IF(OR('实盘净值数据(iFinD）'!$A958="",'实盘净值数据(iFinD）'!$B958=""),"",分期持仓明细!$AB$19*SUMPRODUCT(分期持仓明细!$B$19:$Y$19,'实盘净值数据(iFinD）'!$B958:$Y958/'实盘净值数据(iFinD）'!$B$20:$Y$20)*(1-实盘持仓初始配置!$Z$6)^(('实盘净值数据(iFinD）'!$A958-'实盘净值数据(iFinD）'!$A$7)/365))</f>
        <v/>
      </c>
      <c r="I958" s="16" t="str">
        <f t="shared" si="92"/>
        <v/>
      </c>
      <c r="J958" s="16" t="str">
        <f>IF(H958="","",H958/MAX(H$5:H958)-1)</f>
        <v/>
      </c>
      <c r="K958" s="13" t="str">
        <f>IF(OR('实盘净值数据(iFinD）'!$A958="",'实盘净值数据(iFinD）'!$B958="",'实盘净值数据(iFinD）'!$Z958="",'实盘净值数据(iFinD）'!$AA958=""),"",分期持仓明细!$AB$23*(SUMPRODUCT(分期持仓明细!$B$23:$Y$23,'实盘净值数据(iFinD）'!$B958:$Y958/'实盘净值数据(iFinD）'!$B$65:$Y$65)+SUMPRODUCT(分期持仓明细!$AC$23:$AD$23,'实盘净值数据(iFinD）'!$Z958:$AA958/'实盘净值数据(iFinD）'!$Z$65:$AA$65))*(1-实盘持仓初始配置!$Z$7)^(('实盘净值数据(iFinD）'!$A958-'实盘净值数据(iFinD）'!$A$8)/365))</f>
        <v/>
      </c>
      <c r="L958" s="16" t="str">
        <f t="shared" si="93"/>
        <v/>
      </c>
      <c r="M958" s="16" t="str">
        <f>IF(K958="","",K958/MAX(K$5:K958)-1)</f>
        <v/>
      </c>
      <c r="N958" s="13" t="str">
        <f>IF(OR('实盘净值数据(iFinD）'!$A958="",'实盘净值数据(iFinD）'!$B958="",'实盘净值数据(iFinD）'!$Z958="",'实盘净值数据(iFinD）'!$AA958=""),"",分期持仓明细!$AB$24*(SUMPRODUCT(分期持仓明细!$B$24:$Y$24,'实盘净值数据(iFinD）'!$B958:$Y958/'实盘净值数据(iFinD）'!$B$65:$Y$65)+SUMPRODUCT(分期持仓明细!$AC$24:$AD$24,'实盘净值数据(iFinD）'!$Z958:$AA958/'实盘净值数据(iFinD）'!$Z$65:$AA$65))*(1-实盘持仓初始配置!$Z$8)^(('实盘净值数据(iFinD）'!$A958-'实盘净值数据(iFinD）'!$A$5)/365))</f>
        <v/>
      </c>
      <c r="O958" s="16" t="str">
        <f t="shared" si="94"/>
        <v/>
      </c>
      <c r="P958" s="16" t="str">
        <f>IF(N958="","",N958/MAX(N$5:N958)-1)</f>
        <v/>
      </c>
      <c r="Q958" s="13" t="str">
        <f>IF(OR('实盘净值数据(iFinD）'!$A958="",'实盘净值数据(iFinD）'!$B958="",'实盘净值数据(iFinD）'!$Z958="",'实盘净值数据(iFinD）'!$AA958=""),"",分期持仓明细!$AB$25*(SUMPRODUCT(分期持仓明细!$B$25:$Y$25,'实盘净值数据(iFinD）'!$B958:$Y958/'实盘净值数据(iFinD）'!$B$65:$Y$65)+SUMPRODUCT(分期持仓明细!$AC$25:$AD$25,'实盘净值数据(iFinD）'!$Z958:$AA958/'实盘净值数据(iFinD）'!$Z$65:$AA$65))*(1-实盘持仓初始配置!$Z$9)^(('实盘净值数据(iFinD）'!$A958-'实盘净值数据(iFinD）'!$A$8)/365))</f>
        <v/>
      </c>
      <c r="R958" s="16" t="str">
        <f t="shared" si="95"/>
        <v/>
      </c>
      <c r="S958" s="16" t="str">
        <f>IF(Q958="","",Q958/MAX(Q$5:Q958)-1)</f>
        <v/>
      </c>
    </row>
    <row r="959" spans="1:19">
      <c r="A959" s="15" t="str">
        <f>IF('实盘净值数据(iFinD）'!A959="","",'实盘净值数据(iFinD）'!A959)</f>
        <v/>
      </c>
      <c r="B959" s="13" t="str">
        <f>IF(OR('实盘净值数据(iFinD）'!$A959="",'实盘净值数据(iFinD）'!$B959=""),"",分期持仓明细!$AB$17*SUMPRODUCT(分期持仓明细!$B$17:$Y$17,'实盘净值数据(iFinD）'!$B959:$Y959/'实盘净值数据(iFinD）'!$B$20:$Y$20)*(1-实盘持仓初始配置!$Z$4)^(('实盘净值数据(iFinD）'!$A959-'实盘净值数据(iFinD）'!$A$6)/365))</f>
        <v/>
      </c>
      <c r="C959" s="16" t="str">
        <f t="shared" si="90"/>
        <v/>
      </c>
      <c r="D959" s="16" t="str">
        <f>IF(B959="","",B959/MAX(B$5:B959)-1)</f>
        <v/>
      </c>
      <c r="E959" s="13" t="str">
        <f>IF(OR('实盘净值数据(iFinD）'!$A959="",'实盘净值数据(iFinD）'!$B959=""),"",分期持仓明细!$AB$18*SUMPRODUCT(分期持仓明细!$B$18:$Y$18,'实盘净值数据(iFinD）'!$B959:$Y959/'实盘净值数据(iFinD）'!$B$20:$Y$20)*(1-实盘持仓初始配置!$Z$5)^(('实盘净值数据(iFinD）'!$A959-'实盘净值数据(iFinD）'!$A$5)/365))</f>
        <v/>
      </c>
      <c r="F959" s="16" t="str">
        <f t="shared" si="91"/>
        <v/>
      </c>
      <c r="G959" s="16" t="str">
        <f>IF(E959="","",E959/MAX(E$5:E959)-1)</f>
        <v/>
      </c>
      <c r="H959" s="13" t="str">
        <f>IF(OR('实盘净值数据(iFinD）'!$A959="",'实盘净值数据(iFinD）'!$B959=""),"",分期持仓明细!$AB$19*SUMPRODUCT(分期持仓明细!$B$19:$Y$19,'实盘净值数据(iFinD）'!$B959:$Y959/'实盘净值数据(iFinD）'!$B$20:$Y$20)*(1-实盘持仓初始配置!$Z$6)^(('实盘净值数据(iFinD）'!$A959-'实盘净值数据(iFinD）'!$A$7)/365))</f>
        <v/>
      </c>
      <c r="I959" s="16" t="str">
        <f t="shared" si="92"/>
        <v/>
      </c>
      <c r="J959" s="16" t="str">
        <f>IF(H959="","",H959/MAX(H$5:H959)-1)</f>
        <v/>
      </c>
      <c r="K959" s="13" t="str">
        <f>IF(OR('实盘净值数据(iFinD）'!$A959="",'实盘净值数据(iFinD）'!$B959="",'实盘净值数据(iFinD）'!$Z959="",'实盘净值数据(iFinD）'!$AA959=""),"",分期持仓明细!$AB$23*(SUMPRODUCT(分期持仓明细!$B$23:$Y$23,'实盘净值数据(iFinD）'!$B959:$Y959/'实盘净值数据(iFinD）'!$B$65:$Y$65)+SUMPRODUCT(分期持仓明细!$AC$23:$AD$23,'实盘净值数据(iFinD）'!$Z959:$AA959/'实盘净值数据(iFinD）'!$Z$65:$AA$65))*(1-实盘持仓初始配置!$Z$7)^(('实盘净值数据(iFinD）'!$A959-'实盘净值数据(iFinD）'!$A$8)/365))</f>
        <v/>
      </c>
      <c r="L959" s="16" t="str">
        <f t="shared" si="93"/>
        <v/>
      </c>
      <c r="M959" s="16" t="str">
        <f>IF(K959="","",K959/MAX(K$5:K959)-1)</f>
        <v/>
      </c>
      <c r="N959" s="13" t="str">
        <f>IF(OR('实盘净值数据(iFinD）'!$A959="",'实盘净值数据(iFinD）'!$B959="",'实盘净值数据(iFinD）'!$Z959="",'实盘净值数据(iFinD）'!$AA959=""),"",分期持仓明细!$AB$24*(SUMPRODUCT(分期持仓明细!$B$24:$Y$24,'实盘净值数据(iFinD）'!$B959:$Y959/'实盘净值数据(iFinD）'!$B$65:$Y$65)+SUMPRODUCT(分期持仓明细!$AC$24:$AD$24,'实盘净值数据(iFinD）'!$Z959:$AA959/'实盘净值数据(iFinD）'!$Z$65:$AA$65))*(1-实盘持仓初始配置!$Z$8)^(('实盘净值数据(iFinD）'!$A959-'实盘净值数据(iFinD）'!$A$5)/365))</f>
        <v/>
      </c>
      <c r="O959" s="16" t="str">
        <f t="shared" si="94"/>
        <v/>
      </c>
      <c r="P959" s="16" t="str">
        <f>IF(N959="","",N959/MAX(N$5:N959)-1)</f>
        <v/>
      </c>
      <c r="Q959" s="13" t="str">
        <f>IF(OR('实盘净值数据(iFinD）'!$A959="",'实盘净值数据(iFinD）'!$B959="",'实盘净值数据(iFinD）'!$Z959="",'实盘净值数据(iFinD）'!$AA959=""),"",分期持仓明细!$AB$25*(SUMPRODUCT(分期持仓明细!$B$25:$Y$25,'实盘净值数据(iFinD）'!$B959:$Y959/'实盘净值数据(iFinD）'!$B$65:$Y$65)+SUMPRODUCT(分期持仓明细!$AC$25:$AD$25,'实盘净值数据(iFinD）'!$Z959:$AA959/'实盘净值数据(iFinD）'!$Z$65:$AA$65))*(1-实盘持仓初始配置!$Z$9)^(('实盘净值数据(iFinD）'!$A959-'实盘净值数据(iFinD）'!$A$8)/365))</f>
        <v/>
      </c>
      <c r="R959" s="16" t="str">
        <f t="shared" si="95"/>
        <v/>
      </c>
      <c r="S959" s="16" t="str">
        <f>IF(Q959="","",Q959/MAX(Q$5:Q959)-1)</f>
        <v/>
      </c>
    </row>
    <row r="960" spans="1:19">
      <c r="A960" s="15" t="str">
        <f>IF('实盘净值数据(iFinD）'!A960="","",'实盘净值数据(iFinD）'!A960)</f>
        <v/>
      </c>
      <c r="B960" s="13" t="str">
        <f>IF(OR('实盘净值数据(iFinD）'!$A960="",'实盘净值数据(iFinD）'!$B960=""),"",分期持仓明细!$AB$17*SUMPRODUCT(分期持仓明细!$B$17:$Y$17,'实盘净值数据(iFinD）'!$B960:$Y960/'实盘净值数据(iFinD）'!$B$20:$Y$20)*(1-实盘持仓初始配置!$Z$4)^(('实盘净值数据(iFinD）'!$A960-'实盘净值数据(iFinD）'!$A$6)/365))</f>
        <v/>
      </c>
      <c r="C960" s="16" t="str">
        <f t="shared" si="90"/>
        <v/>
      </c>
      <c r="D960" s="16" t="str">
        <f>IF(B960="","",B960/MAX(B$5:B960)-1)</f>
        <v/>
      </c>
      <c r="E960" s="13" t="str">
        <f>IF(OR('实盘净值数据(iFinD）'!$A960="",'实盘净值数据(iFinD）'!$B960=""),"",分期持仓明细!$AB$18*SUMPRODUCT(分期持仓明细!$B$18:$Y$18,'实盘净值数据(iFinD）'!$B960:$Y960/'实盘净值数据(iFinD）'!$B$20:$Y$20)*(1-实盘持仓初始配置!$Z$5)^(('实盘净值数据(iFinD）'!$A960-'实盘净值数据(iFinD）'!$A$5)/365))</f>
        <v/>
      </c>
      <c r="F960" s="16" t="str">
        <f t="shared" si="91"/>
        <v/>
      </c>
      <c r="G960" s="16" t="str">
        <f>IF(E960="","",E960/MAX(E$5:E960)-1)</f>
        <v/>
      </c>
      <c r="H960" s="13" t="str">
        <f>IF(OR('实盘净值数据(iFinD）'!$A960="",'实盘净值数据(iFinD）'!$B960=""),"",分期持仓明细!$AB$19*SUMPRODUCT(分期持仓明细!$B$19:$Y$19,'实盘净值数据(iFinD）'!$B960:$Y960/'实盘净值数据(iFinD）'!$B$20:$Y$20)*(1-实盘持仓初始配置!$Z$6)^(('实盘净值数据(iFinD）'!$A960-'实盘净值数据(iFinD）'!$A$7)/365))</f>
        <v/>
      </c>
      <c r="I960" s="16" t="str">
        <f t="shared" si="92"/>
        <v/>
      </c>
      <c r="J960" s="16" t="str">
        <f>IF(H960="","",H960/MAX(H$5:H960)-1)</f>
        <v/>
      </c>
      <c r="K960" s="13" t="str">
        <f>IF(OR('实盘净值数据(iFinD）'!$A960="",'实盘净值数据(iFinD）'!$B960="",'实盘净值数据(iFinD）'!$Z960="",'实盘净值数据(iFinD）'!$AA960=""),"",分期持仓明细!$AB$23*(SUMPRODUCT(分期持仓明细!$B$23:$Y$23,'实盘净值数据(iFinD）'!$B960:$Y960/'实盘净值数据(iFinD）'!$B$65:$Y$65)+SUMPRODUCT(分期持仓明细!$AC$23:$AD$23,'实盘净值数据(iFinD）'!$Z960:$AA960/'实盘净值数据(iFinD）'!$Z$65:$AA$65))*(1-实盘持仓初始配置!$Z$7)^(('实盘净值数据(iFinD）'!$A960-'实盘净值数据(iFinD）'!$A$8)/365))</f>
        <v/>
      </c>
      <c r="L960" s="16" t="str">
        <f t="shared" si="93"/>
        <v/>
      </c>
      <c r="M960" s="16" t="str">
        <f>IF(K960="","",K960/MAX(K$5:K960)-1)</f>
        <v/>
      </c>
      <c r="N960" s="13" t="str">
        <f>IF(OR('实盘净值数据(iFinD）'!$A960="",'实盘净值数据(iFinD）'!$B960="",'实盘净值数据(iFinD）'!$Z960="",'实盘净值数据(iFinD）'!$AA960=""),"",分期持仓明细!$AB$24*(SUMPRODUCT(分期持仓明细!$B$24:$Y$24,'实盘净值数据(iFinD）'!$B960:$Y960/'实盘净值数据(iFinD）'!$B$65:$Y$65)+SUMPRODUCT(分期持仓明细!$AC$24:$AD$24,'实盘净值数据(iFinD）'!$Z960:$AA960/'实盘净值数据(iFinD）'!$Z$65:$AA$65))*(1-实盘持仓初始配置!$Z$8)^(('实盘净值数据(iFinD）'!$A960-'实盘净值数据(iFinD）'!$A$5)/365))</f>
        <v/>
      </c>
      <c r="O960" s="16" t="str">
        <f t="shared" si="94"/>
        <v/>
      </c>
      <c r="P960" s="16" t="str">
        <f>IF(N960="","",N960/MAX(N$5:N960)-1)</f>
        <v/>
      </c>
      <c r="Q960" s="13" t="str">
        <f>IF(OR('实盘净值数据(iFinD）'!$A960="",'实盘净值数据(iFinD）'!$B960="",'实盘净值数据(iFinD）'!$Z960="",'实盘净值数据(iFinD）'!$AA960=""),"",分期持仓明细!$AB$25*(SUMPRODUCT(分期持仓明细!$B$25:$Y$25,'实盘净值数据(iFinD）'!$B960:$Y960/'实盘净值数据(iFinD）'!$B$65:$Y$65)+SUMPRODUCT(分期持仓明细!$AC$25:$AD$25,'实盘净值数据(iFinD）'!$Z960:$AA960/'实盘净值数据(iFinD）'!$Z$65:$AA$65))*(1-实盘持仓初始配置!$Z$9)^(('实盘净值数据(iFinD）'!$A960-'实盘净值数据(iFinD）'!$A$8)/365))</f>
        <v/>
      </c>
      <c r="R960" s="16" t="str">
        <f t="shared" si="95"/>
        <v/>
      </c>
      <c r="S960" s="16" t="str">
        <f>IF(Q960="","",Q960/MAX(Q$5:Q960)-1)</f>
        <v/>
      </c>
    </row>
    <row r="961" spans="1:19">
      <c r="A961" s="15" t="str">
        <f>IF('实盘净值数据(iFinD）'!A961="","",'实盘净值数据(iFinD）'!A961)</f>
        <v/>
      </c>
      <c r="B961" s="13" t="str">
        <f>IF(OR('实盘净值数据(iFinD）'!$A961="",'实盘净值数据(iFinD）'!$B961=""),"",分期持仓明细!$AB$17*SUMPRODUCT(分期持仓明细!$B$17:$Y$17,'实盘净值数据(iFinD）'!$B961:$Y961/'实盘净值数据(iFinD）'!$B$20:$Y$20)*(1-实盘持仓初始配置!$Z$4)^(('实盘净值数据(iFinD）'!$A961-'实盘净值数据(iFinD）'!$A$6)/365))</f>
        <v/>
      </c>
      <c r="C961" s="16" t="str">
        <f t="shared" si="90"/>
        <v/>
      </c>
      <c r="D961" s="16" t="str">
        <f>IF(B961="","",B961/MAX(B$5:B961)-1)</f>
        <v/>
      </c>
      <c r="E961" s="13" t="str">
        <f>IF(OR('实盘净值数据(iFinD）'!$A961="",'实盘净值数据(iFinD）'!$B961=""),"",分期持仓明细!$AB$18*SUMPRODUCT(分期持仓明细!$B$18:$Y$18,'实盘净值数据(iFinD）'!$B961:$Y961/'实盘净值数据(iFinD）'!$B$20:$Y$20)*(1-实盘持仓初始配置!$Z$5)^(('实盘净值数据(iFinD）'!$A961-'实盘净值数据(iFinD）'!$A$5)/365))</f>
        <v/>
      </c>
      <c r="F961" s="16" t="str">
        <f t="shared" si="91"/>
        <v/>
      </c>
      <c r="G961" s="16" t="str">
        <f>IF(E961="","",E961/MAX(E$5:E961)-1)</f>
        <v/>
      </c>
      <c r="H961" s="13" t="str">
        <f>IF(OR('实盘净值数据(iFinD）'!$A961="",'实盘净值数据(iFinD）'!$B961=""),"",分期持仓明细!$AB$19*SUMPRODUCT(分期持仓明细!$B$19:$Y$19,'实盘净值数据(iFinD）'!$B961:$Y961/'实盘净值数据(iFinD）'!$B$20:$Y$20)*(1-实盘持仓初始配置!$Z$6)^(('实盘净值数据(iFinD）'!$A961-'实盘净值数据(iFinD）'!$A$7)/365))</f>
        <v/>
      </c>
      <c r="I961" s="16" t="str">
        <f t="shared" si="92"/>
        <v/>
      </c>
      <c r="J961" s="16" t="str">
        <f>IF(H961="","",H961/MAX(H$5:H961)-1)</f>
        <v/>
      </c>
      <c r="K961" s="13" t="str">
        <f>IF(OR('实盘净值数据(iFinD）'!$A961="",'实盘净值数据(iFinD）'!$B961="",'实盘净值数据(iFinD）'!$Z961="",'实盘净值数据(iFinD）'!$AA961=""),"",分期持仓明细!$AB$23*(SUMPRODUCT(分期持仓明细!$B$23:$Y$23,'实盘净值数据(iFinD）'!$B961:$Y961/'实盘净值数据(iFinD）'!$B$65:$Y$65)+SUMPRODUCT(分期持仓明细!$AC$23:$AD$23,'实盘净值数据(iFinD）'!$Z961:$AA961/'实盘净值数据(iFinD）'!$Z$65:$AA$65))*(1-实盘持仓初始配置!$Z$7)^(('实盘净值数据(iFinD）'!$A961-'实盘净值数据(iFinD）'!$A$8)/365))</f>
        <v/>
      </c>
      <c r="L961" s="16" t="str">
        <f t="shared" si="93"/>
        <v/>
      </c>
      <c r="M961" s="16" t="str">
        <f>IF(K961="","",K961/MAX(K$5:K961)-1)</f>
        <v/>
      </c>
      <c r="N961" s="13" t="str">
        <f>IF(OR('实盘净值数据(iFinD）'!$A961="",'实盘净值数据(iFinD）'!$B961="",'实盘净值数据(iFinD）'!$Z961="",'实盘净值数据(iFinD）'!$AA961=""),"",分期持仓明细!$AB$24*(SUMPRODUCT(分期持仓明细!$B$24:$Y$24,'实盘净值数据(iFinD）'!$B961:$Y961/'实盘净值数据(iFinD）'!$B$65:$Y$65)+SUMPRODUCT(分期持仓明细!$AC$24:$AD$24,'实盘净值数据(iFinD）'!$Z961:$AA961/'实盘净值数据(iFinD）'!$Z$65:$AA$65))*(1-实盘持仓初始配置!$Z$8)^(('实盘净值数据(iFinD）'!$A961-'实盘净值数据(iFinD）'!$A$5)/365))</f>
        <v/>
      </c>
      <c r="O961" s="16" t="str">
        <f t="shared" si="94"/>
        <v/>
      </c>
      <c r="P961" s="16" t="str">
        <f>IF(N961="","",N961/MAX(N$5:N961)-1)</f>
        <v/>
      </c>
      <c r="Q961" s="13" t="str">
        <f>IF(OR('实盘净值数据(iFinD）'!$A961="",'实盘净值数据(iFinD）'!$B961="",'实盘净值数据(iFinD）'!$Z961="",'实盘净值数据(iFinD）'!$AA961=""),"",分期持仓明细!$AB$25*(SUMPRODUCT(分期持仓明细!$B$25:$Y$25,'实盘净值数据(iFinD）'!$B961:$Y961/'实盘净值数据(iFinD）'!$B$65:$Y$65)+SUMPRODUCT(分期持仓明细!$AC$25:$AD$25,'实盘净值数据(iFinD）'!$Z961:$AA961/'实盘净值数据(iFinD）'!$Z$65:$AA$65))*(1-实盘持仓初始配置!$Z$9)^(('实盘净值数据(iFinD）'!$A961-'实盘净值数据(iFinD）'!$A$8)/365))</f>
        <v/>
      </c>
      <c r="R961" s="16" t="str">
        <f t="shared" si="95"/>
        <v/>
      </c>
      <c r="S961" s="16" t="str">
        <f>IF(Q961="","",Q961/MAX(Q$5:Q961)-1)</f>
        <v/>
      </c>
    </row>
    <row r="962" spans="1:19">
      <c r="A962" s="15" t="str">
        <f>IF('实盘净值数据(iFinD）'!A962="","",'实盘净值数据(iFinD）'!A962)</f>
        <v/>
      </c>
      <c r="B962" s="13" t="str">
        <f>IF(OR('实盘净值数据(iFinD）'!$A962="",'实盘净值数据(iFinD）'!$B962=""),"",分期持仓明细!$AB$17*SUMPRODUCT(分期持仓明细!$B$17:$Y$17,'实盘净值数据(iFinD）'!$B962:$Y962/'实盘净值数据(iFinD）'!$B$20:$Y$20)*(1-实盘持仓初始配置!$Z$4)^(('实盘净值数据(iFinD）'!$A962-'实盘净值数据(iFinD）'!$A$6)/365))</f>
        <v/>
      </c>
      <c r="C962" s="16" t="str">
        <f t="shared" si="90"/>
        <v/>
      </c>
      <c r="D962" s="16" t="str">
        <f>IF(B962="","",B962/MAX(B$5:B962)-1)</f>
        <v/>
      </c>
      <c r="E962" s="13" t="str">
        <f>IF(OR('实盘净值数据(iFinD）'!$A962="",'实盘净值数据(iFinD）'!$B962=""),"",分期持仓明细!$AB$18*SUMPRODUCT(分期持仓明细!$B$18:$Y$18,'实盘净值数据(iFinD）'!$B962:$Y962/'实盘净值数据(iFinD）'!$B$20:$Y$20)*(1-实盘持仓初始配置!$Z$5)^(('实盘净值数据(iFinD）'!$A962-'实盘净值数据(iFinD）'!$A$5)/365))</f>
        <v/>
      </c>
      <c r="F962" s="16" t="str">
        <f t="shared" si="91"/>
        <v/>
      </c>
      <c r="G962" s="16" t="str">
        <f>IF(E962="","",E962/MAX(E$5:E962)-1)</f>
        <v/>
      </c>
      <c r="H962" s="13" t="str">
        <f>IF(OR('实盘净值数据(iFinD）'!$A962="",'实盘净值数据(iFinD）'!$B962=""),"",分期持仓明细!$AB$19*SUMPRODUCT(分期持仓明细!$B$19:$Y$19,'实盘净值数据(iFinD）'!$B962:$Y962/'实盘净值数据(iFinD）'!$B$20:$Y$20)*(1-实盘持仓初始配置!$Z$6)^(('实盘净值数据(iFinD）'!$A962-'实盘净值数据(iFinD）'!$A$7)/365))</f>
        <v/>
      </c>
      <c r="I962" s="16" t="str">
        <f t="shared" si="92"/>
        <v/>
      </c>
      <c r="J962" s="16" t="str">
        <f>IF(H962="","",H962/MAX(H$5:H962)-1)</f>
        <v/>
      </c>
      <c r="K962" s="13" t="str">
        <f>IF(OR('实盘净值数据(iFinD）'!$A962="",'实盘净值数据(iFinD）'!$B962="",'实盘净值数据(iFinD）'!$Z962="",'实盘净值数据(iFinD）'!$AA962=""),"",分期持仓明细!$AB$23*(SUMPRODUCT(分期持仓明细!$B$23:$Y$23,'实盘净值数据(iFinD）'!$B962:$Y962/'实盘净值数据(iFinD）'!$B$65:$Y$65)+SUMPRODUCT(分期持仓明细!$AC$23:$AD$23,'实盘净值数据(iFinD）'!$Z962:$AA962/'实盘净值数据(iFinD）'!$Z$65:$AA$65))*(1-实盘持仓初始配置!$Z$7)^(('实盘净值数据(iFinD）'!$A962-'实盘净值数据(iFinD）'!$A$8)/365))</f>
        <v/>
      </c>
      <c r="L962" s="16" t="str">
        <f t="shared" si="93"/>
        <v/>
      </c>
      <c r="M962" s="16" t="str">
        <f>IF(K962="","",K962/MAX(K$5:K962)-1)</f>
        <v/>
      </c>
      <c r="N962" s="13" t="str">
        <f>IF(OR('实盘净值数据(iFinD）'!$A962="",'实盘净值数据(iFinD）'!$B962="",'实盘净值数据(iFinD）'!$Z962="",'实盘净值数据(iFinD）'!$AA962=""),"",分期持仓明细!$AB$24*(SUMPRODUCT(分期持仓明细!$B$24:$Y$24,'实盘净值数据(iFinD）'!$B962:$Y962/'实盘净值数据(iFinD）'!$B$65:$Y$65)+SUMPRODUCT(分期持仓明细!$AC$24:$AD$24,'实盘净值数据(iFinD）'!$Z962:$AA962/'实盘净值数据(iFinD）'!$Z$65:$AA$65))*(1-实盘持仓初始配置!$Z$8)^(('实盘净值数据(iFinD）'!$A962-'实盘净值数据(iFinD）'!$A$5)/365))</f>
        <v/>
      </c>
      <c r="O962" s="16" t="str">
        <f t="shared" si="94"/>
        <v/>
      </c>
      <c r="P962" s="16" t="str">
        <f>IF(N962="","",N962/MAX(N$5:N962)-1)</f>
        <v/>
      </c>
      <c r="Q962" s="13" t="str">
        <f>IF(OR('实盘净值数据(iFinD）'!$A962="",'实盘净值数据(iFinD）'!$B962="",'实盘净值数据(iFinD）'!$Z962="",'实盘净值数据(iFinD）'!$AA962=""),"",分期持仓明细!$AB$25*(SUMPRODUCT(分期持仓明细!$B$25:$Y$25,'实盘净值数据(iFinD）'!$B962:$Y962/'实盘净值数据(iFinD）'!$B$65:$Y$65)+SUMPRODUCT(分期持仓明细!$AC$25:$AD$25,'实盘净值数据(iFinD）'!$Z962:$AA962/'实盘净值数据(iFinD）'!$Z$65:$AA$65))*(1-实盘持仓初始配置!$Z$9)^(('实盘净值数据(iFinD）'!$A962-'实盘净值数据(iFinD）'!$A$8)/365))</f>
        <v/>
      </c>
      <c r="R962" s="16" t="str">
        <f t="shared" si="95"/>
        <v/>
      </c>
      <c r="S962" s="16" t="str">
        <f>IF(Q962="","",Q962/MAX(Q$5:Q962)-1)</f>
        <v/>
      </c>
    </row>
    <row r="963" spans="1:19">
      <c r="A963" s="15" t="str">
        <f>IF('实盘净值数据(iFinD）'!A963="","",'实盘净值数据(iFinD）'!A963)</f>
        <v/>
      </c>
      <c r="B963" s="13" t="str">
        <f>IF(OR('实盘净值数据(iFinD）'!$A963="",'实盘净值数据(iFinD）'!$B963=""),"",分期持仓明细!$AB$17*SUMPRODUCT(分期持仓明细!$B$17:$Y$17,'实盘净值数据(iFinD）'!$B963:$Y963/'实盘净值数据(iFinD）'!$B$20:$Y$20)*(1-实盘持仓初始配置!$Z$4)^(('实盘净值数据(iFinD）'!$A963-'实盘净值数据(iFinD）'!$A$6)/365))</f>
        <v/>
      </c>
      <c r="C963" s="16" t="str">
        <f t="shared" si="90"/>
        <v/>
      </c>
      <c r="D963" s="16" t="str">
        <f>IF(B963="","",B963/MAX(B$5:B963)-1)</f>
        <v/>
      </c>
      <c r="E963" s="13" t="str">
        <f>IF(OR('实盘净值数据(iFinD）'!$A963="",'实盘净值数据(iFinD）'!$B963=""),"",分期持仓明细!$AB$18*SUMPRODUCT(分期持仓明细!$B$18:$Y$18,'实盘净值数据(iFinD）'!$B963:$Y963/'实盘净值数据(iFinD）'!$B$20:$Y$20)*(1-实盘持仓初始配置!$Z$5)^(('实盘净值数据(iFinD）'!$A963-'实盘净值数据(iFinD）'!$A$5)/365))</f>
        <v/>
      </c>
      <c r="F963" s="16" t="str">
        <f t="shared" si="91"/>
        <v/>
      </c>
      <c r="G963" s="16" t="str">
        <f>IF(E963="","",E963/MAX(E$5:E963)-1)</f>
        <v/>
      </c>
      <c r="H963" s="13" t="str">
        <f>IF(OR('实盘净值数据(iFinD）'!$A963="",'实盘净值数据(iFinD）'!$B963=""),"",分期持仓明细!$AB$19*SUMPRODUCT(分期持仓明细!$B$19:$Y$19,'实盘净值数据(iFinD）'!$B963:$Y963/'实盘净值数据(iFinD）'!$B$20:$Y$20)*(1-实盘持仓初始配置!$Z$6)^(('实盘净值数据(iFinD）'!$A963-'实盘净值数据(iFinD）'!$A$7)/365))</f>
        <v/>
      </c>
      <c r="I963" s="16" t="str">
        <f t="shared" si="92"/>
        <v/>
      </c>
      <c r="J963" s="16" t="str">
        <f>IF(H963="","",H963/MAX(H$5:H963)-1)</f>
        <v/>
      </c>
      <c r="K963" s="13" t="str">
        <f>IF(OR('实盘净值数据(iFinD）'!$A963="",'实盘净值数据(iFinD）'!$B963="",'实盘净值数据(iFinD）'!$Z963="",'实盘净值数据(iFinD）'!$AA963=""),"",分期持仓明细!$AB$23*(SUMPRODUCT(分期持仓明细!$B$23:$Y$23,'实盘净值数据(iFinD）'!$B963:$Y963/'实盘净值数据(iFinD）'!$B$65:$Y$65)+SUMPRODUCT(分期持仓明细!$AC$23:$AD$23,'实盘净值数据(iFinD）'!$Z963:$AA963/'实盘净值数据(iFinD）'!$Z$65:$AA$65))*(1-实盘持仓初始配置!$Z$7)^(('实盘净值数据(iFinD）'!$A963-'实盘净值数据(iFinD）'!$A$8)/365))</f>
        <v/>
      </c>
      <c r="L963" s="16" t="str">
        <f t="shared" si="93"/>
        <v/>
      </c>
      <c r="M963" s="16" t="str">
        <f>IF(K963="","",K963/MAX(K$5:K963)-1)</f>
        <v/>
      </c>
      <c r="N963" s="13" t="str">
        <f>IF(OR('实盘净值数据(iFinD）'!$A963="",'实盘净值数据(iFinD）'!$B963="",'实盘净值数据(iFinD）'!$Z963="",'实盘净值数据(iFinD）'!$AA963=""),"",分期持仓明细!$AB$24*(SUMPRODUCT(分期持仓明细!$B$24:$Y$24,'实盘净值数据(iFinD）'!$B963:$Y963/'实盘净值数据(iFinD）'!$B$65:$Y$65)+SUMPRODUCT(分期持仓明细!$AC$24:$AD$24,'实盘净值数据(iFinD）'!$Z963:$AA963/'实盘净值数据(iFinD）'!$Z$65:$AA$65))*(1-实盘持仓初始配置!$Z$8)^(('实盘净值数据(iFinD）'!$A963-'实盘净值数据(iFinD）'!$A$5)/365))</f>
        <v/>
      </c>
      <c r="O963" s="16" t="str">
        <f t="shared" si="94"/>
        <v/>
      </c>
      <c r="P963" s="16" t="str">
        <f>IF(N963="","",N963/MAX(N$5:N963)-1)</f>
        <v/>
      </c>
      <c r="Q963" s="13" t="str">
        <f>IF(OR('实盘净值数据(iFinD）'!$A963="",'实盘净值数据(iFinD）'!$B963="",'实盘净值数据(iFinD）'!$Z963="",'实盘净值数据(iFinD）'!$AA963=""),"",分期持仓明细!$AB$25*(SUMPRODUCT(分期持仓明细!$B$25:$Y$25,'实盘净值数据(iFinD）'!$B963:$Y963/'实盘净值数据(iFinD）'!$B$65:$Y$65)+SUMPRODUCT(分期持仓明细!$AC$25:$AD$25,'实盘净值数据(iFinD）'!$Z963:$AA963/'实盘净值数据(iFinD）'!$Z$65:$AA$65))*(1-实盘持仓初始配置!$Z$9)^(('实盘净值数据(iFinD）'!$A963-'实盘净值数据(iFinD）'!$A$8)/365))</f>
        <v/>
      </c>
      <c r="R963" s="16" t="str">
        <f t="shared" si="95"/>
        <v/>
      </c>
      <c r="S963" s="16" t="str">
        <f>IF(Q963="","",Q963/MAX(Q$5:Q963)-1)</f>
        <v/>
      </c>
    </row>
    <row r="964" spans="1:19">
      <c r="A964" s="15" t="str">
        <f>IF('实盘净值数据(iFinD）'!A964="","",'实盘净值数据(iFinD）'!A964)</f>
        <v/>
      </c>
      <c r="B964" s="13" t="str">
        <f>IF(OR('实盘净值数据(iFinD）'!$A964="",'实盘净值数据(iFinD）'!$B964=""),"",分期持仓明细!$AB$17*SUMPRODUCT(分期持仓明细!$B$17:$Y$17,'实盘净值数据(iFinD）'!$B964:$Y964/'实盘净值数据(iFinD）'!$B$20:$Y$20)*(1-实盘持仓初始配置!$Z$4)^(('实盘净值数据(iFinD）'!$A964-'实盘净值数据(iFinD）'!$A$6)/365))</f>
        <v/>
      </c>
      <c r="C964" s="16" t="str">
        <f t="shared" si="90"/>
        <v/>
      </c>
      <c r="D964" s="16" t="str">
        <f>IF(B964="","",B964/MAX(B$5:B964)-1)</f>
        <v/>
      </c>
      <c r="E964" s="13" t="str">
        <f>IF(OR('实盘净值数据(iFinD）'!$A964="",'实盘净值数据(iFinD）'!$B964=""),"",分期持仓明细!$AB$18*SUMPRODUCT(分期持仓明细!$B$18:$Y$18,'实盘净值数据(iFinD）'!$B964:$Y964/'实盘净值数据(iFinD）'!$B$20:$Y$20)*(1-实盘持仓初始配置!$Z$5)^(('实盘净值数据(iFinD）'!$A964-'实盘净值数据(iFinD）'!$A$5)/365))</f>
        <v/>
      </c>
      <c r="F964" s="16" t="str">
        <f t="shared" si="91"/>
        <v/>
      </c>
      <c r="G964" s="16" t="str">
        <f>IF(E964="","",E964/MAX(E$5:E964)-1)</f>
        <v/>
      </c>
      <c r="H964" s="13" t="str">
        <f>IF(OR('实盘净值数据(iFinD）'!$A964="",'实盘净值数据(iFinD）'!$B964=""),"",分期持仓明细!$AB$19*SUMPRODUCT(分期持仓明细!$B$19:$Y$19,'实盘净值数据(iFinD）'!$B964:$Y964/'实盘净值数据(iFinD）'!$B$20:$Y$20)*(1-实盘持仓初始配置!$Z$6)^(('实盘净值数据(iFinD）'!$A964-'实盘净值数据(iFinD）'!$A$7)/365))</f>
        <v/>
      </c>
      <c r="I964" s="16" t="str">
        <f t="shared" si="92"/>
        <v/>
      </c>
      <c r="J964" s="16" t="str">
        <f>IF(H964="","",H964/MAX(H$5:H964)-1)</f>
        <v/>
      </c>
      <c r="K964" s="13" t="str">
        <f>IF(OR('实盘净值数据(iFinD）'!$A964="",'实盘净值数据(iFinD）'!$B964="",'实盘净值数据(iFinD）'!$Z964="",'实盘净值数据(iFinD）'!$AA964=""),"",分期持仓明细!$AB$23*(SUMPRODUCT(分期持仓明细!$B$23:$Y$23,'实盘净值数据(iFinD）'!$B964:$Y964/'实盘净值数据(iFinD）'!$B$65:$Y$65)+SUMPRODUCT(分期持仓明细!$AC$23:$AD$23,'实盘净值数据(iFinD）'!$Z964:$AA964/'实盘净值数据(iFinD）'!$Z$65:$AA$65))*(1-实盘持仓初始配置!$Z$7)^(('实盘净值数据(iFinD）'!$A964-'实盘净值数据(iFinD）'!$A$8)/365))</f>
        <v/>
      </c>
      <c r="L964" s="16" t="str">
        <f t="shared" si="93"/>
        <v/>
      </c>
      <c r="M964" s="16" t="str">
        <f>IF(K964="","",K964/MAX(K$5:K964)-1)</f>
        <v/>
      </c>
      <c r="N964" s="13" t="str">
        <f>IF(OR('实盘净值数据(iFinD）'!$A964="",'实盘净值数据(iFinD）'!$B964="",'实盘净值数据(iFinD）'!$Z964="",'实盘净值数据(iFinD）'!$AA964=""),"",分期持仓明细!$AB$24*(SUMPRODUCT(分期持仓明细!$B$24:$Y$24,'实盘净值数据(iFinD）'!$B964:$Y964/'实盘净值数据(iFinD）'!$B$65:$Y$65)+SUMPRODUCT(分期持仓明细!$AC$24:$AD$24,'实盘净值数据(iFinD）'!$Z964:$AA964/'实盘净值数据(iFinD）'!$Z$65:$AA$65))*(1-实盘持仓初始配置!$Z$8)^(('实盘净值数据(iFinD）'!$A964-'实盘净值数据(iFinD）'!$A$5)/365))</f>
        <v/>
      </c>
      <c r="O964" s="16" t="str">
        <f t="shared" si="94"/>
        <v/>
      </c>
      <c r="P964" s="16" t="str">
        <f>IF(N964="","",N964/MAX(N$5:N964)-1)</f>
        <v/>
      </c>
      <c r="Q964" s="13" t="str">
        <f>IF(OR('实盘净值数据(iFinD）'!$A964="",'实盘净值数据(iFinD）'!$B964="",'实盘净值数据(iFinD）'!$Z964="",'实盘净值数据(iFinD）'!$AA964=""),"",分期持仓明细!$AB$25*(SUMPRODUCT(分期持仓明细!$B$25:$Y$25,'实盘净值数据(iFinD）'!$B964:$Y964/'实盘净值数据(iFinD）'!$B$65:$Y$65)+SUMPRODUCT(分期持仓明细!$AC$25:$AD$25,'实盘净值数据(iFinD）'!$Z964:$AA964/'实盘净值数据(iFinD）'!$Z$65:$AA$65))*(1-实盘持仓初始配置!$Z$9)^(('实盘净值数据(iFinD）'!$A964-'实盘净值数据(iFinD）'!$A$8)/365))</f>
        <v/>
      </c>
      <c r="R964" s="16" t="str">
        <f t="shared" si="95"/>
        <v/>
      </c>
      <c r="S964" s="16" t="str">
        <f>IF(Q964="","",Q964/MAX(Q$5:Q964)-1)</f>
        <v/>
      </c>
    </row>
    <row r="965" spans="1:19">
      <c r="A965" s="15" t="str">
        <f>IF('实盘净值数据(iFinD）'!A965="","",'实盘净值数据(iFinD）'!A965)</f>
        <v/>
      </c>
      <c r="B965" s="13" t="str">
        <f>IF(OR('实盘净值数据(iFinD）'!$A965="",'实盘净值数据(iFinD）'!$B965=""),"",分期持仓明细!$AB$17*SUMPRODUCT(分期持仓明细!$B$17:$Y$17,'实盘净值数据(iFinD）'!$B965:$Y965/'实盘净值数据(iFinD）'!$B$20:$Y$20)*(1-实盘持仓初始配置!$Z$4)^(('实盘净值数据(iFinD）'!$A965-'实盘净值数据(iFinD）'!$A$6)/365))</f>
        <v/>
      </c>
      <c r="C965" s="16" t="str">
        <f t="shared" si="90"/>
        <v/>
      </c>
      <c r="D965" s="16" t="str">
        <f>IF(B965="","",B965/MAX(B$5:B965)-1)</f>
        <v/>
      </c>
      <c r="E965" s="13" t="str">
        <f>IF(OR('实盘净值数据(iFinD）'!$A965="",'实盘净值数据(iFinD）'!$B965=""),"",分期持仓明细!$AB$18*SUMPRODUCT(分期持仓明细!$B$18:$Y$18,'实盘净值数据(iFinD）'!$B965:$Y965/'实盘净值数据(iFinD）'!$B$20:$Y$20)*(1-实盘持仓初始配置!$Z$5)^(('实盘净值数据(iFinD）'!$A965-'实盘净值数据(iFinD）'!$A$5)/365))</f>
        <v/>
      </c>
      <c r="F965" s="16" t="str">
        <f t="shared" si="91"/>
        <v/>
      </c>
      <c r="G965" s="16" t="str">
        <f>IF(E965="","",E965/MAX(E$5:E965)-1)</f>
        <v/>
      </c>
      <c r="H965" s="13" t="str">
        <f>IF(OR('实盘净值数据(iFinD）'!$A965="",'实盘净值数据(iFinD）'!$B965=""),"",分期持仓明细!$AB$19*SUMPRODUCT(分期持仓明细!$B$19:$Y$19,'实盘净值数据(iFinD）'!$B965:$Y965/'实盘净值数据(iFinD）'!$B$20:$Y$20)*(1-实盘持仓初始配置!$Z$6)^(('实盘净值数据(iFinD）'!$A965-'实盘净值数据(iFinD）'!$A$7)/365))</f>
        <v/>
      </c>
      <c r="I965" s="16" t="str">
        <f t="shared" si="92"/>
        <v/>
      </c>
      <c r="J965" s="16" t="str">
        <f>IF(H965="","",H965/MAX(H$5:H965)-1)</f>
        <v/>
      </c>
      <c r="K965" s="13" t="str">
        <f>IF(OR('实盘净值数据(iFinD）'!$A965="",'实盘净值数据(iFinD）'!$B965="",'实盘净值数据(iFinD）'!$Z965="",'实盘净值数据(iFinD）'!$AA965=""),"",分期持仓明细!$AB$23*(SUMPRODUCT(分期持仓明细!$B$23:$Y$23,'实盘净值数据(iFinD）'!$B965:$Y965/'实盘净值数据(iFinD）'!$B$65:$Y$65)+SUMPRODUCT(分期持仓明细!$AC$23:$AD$23,'实盘净值数据(iFinD）'!$Z965:$AA965/'实盘净值数据(iFinD）'!$Z$65:$AA$65))*(1-实盘持仓初始配置!$Z$7)^(('实盘净值数据(iFinD）'!$A965-'实盘净值数据(iFinD）'!$A$8)/365))</f>
        <v/>
      </c>
      <c r="L965" s="16" t="str">
        <f t="shared" si="93"/>
        <v/>
      </c>
      <c r="M965" s="16" t="str">
        <f>IF(K965="","",K965/MAX(K$5:K965)-1)</f>
        <v/>
      </c>
      <c r="N965" s="13" t="str">
        <f>IF(OR('实盘净值数据(iFinD）'!$A965="",'实盘净值数据(iFinD）'!$B965="",'实盘净值数据(iFinD）'!$Z965="",'实盘净值数据(iFinD）'!$AA965=""),"",分期持仓明细!$AB$24*(SUMPRODUCT(分期持仓明细!$B$24:$Y$24,'实盘净值数据(iFinD）'!$B965:$Y965/'实盘净值数据(iFinD）'!$B$65:$Y$65)+SUMPRODUCT(分期持仓明细!$AC$24:$AD$24,'实盘净值数据(iFinD）'!$Z965:$AA965/'实盘净值数据(iFinD）'!$Z$65:$AA$65))*(1-实盘持仓初始配置!$Z$8)^(('实盘净值数据(iFinD）'!$A965-'实盘净值数据(iFinD）'!$A$5)/365))</f>
        <v/>
      </c>
      <c r="O965" s="16" t="str">
        <f t="shared" si="94"/>
        <v/>
      </c>
      <c r="P965" s="16" t="str">
        <f>IF(N965="","",N965/MAX(N$5:N965)-1)</f>
        <v/>
      </c>
      <c r="Q965" s="13" t="str">
        <f>IF(OR('实盘净值数据(iFinD）'!$A965="",'实盘净值数据(iFinD）'!$B965="",'实盘净值数据(iFinD）'!$Z965="",'实盘净值数据(iFinD）'!$AA965=""),"",分期持仓明细!$AB$25*(SUMPRODUCT(分期持仓明细!$B$25:$Y$25,'实盘净值数据(iFinD）'!$B965:$Y965/'实盘净值数据(iFinD）'!$B$65:$Y$65)+SUMPRODUCT(分期持仓明细!$AC$25:$AD$25,'实盘净值数据(iFinD）'!$Z965:$AA965/'实盘净值数据(iFinD）'!$Z$65:$AA$65))*(1-实盘持仓初始配置!$Z$9)^(('实盘净值数据(iFinD）'!$A965-'实盘净值数据(iFinD）'!$A$8)/365))</f>
        <v/>
      </c>
      <c r="R965" s="16" t="str">
        <f t="shared" si="95"/>
        <v/>
      </c>
      <c r="S965" s="16" t="str">
        <f>IF(Q965="","",Q965/MAX(Q$5:Q965)-1)</f>
        <v/>
      </c>
    </row>
    <row r="966" spans="1:19">
      <c r="A966" s="15" t="str">
        <f>IF('实盘净值数据(iFinD）'!A966="","",'实盘净值数据(iFinD）'!A966)</f>
        <v/>
      </c>
      <c r="B966" s="13" t="str">
        <f>IF(OR('实盘净值数据(iFinD）'!$A966="",'实盘净值数据(iFinD）'!$B966=""),"",分期持仓明细!$AB$17*SUMPRODUCT(分期持仓明细!$B$17:$Y$17,'实盘净值数据(iFinD）'!$B966:$Y966/'实盘净值数据(iFinD）'!$B$20:$Y$20)*(1-实盘持仓初始配置!$Z$4)^(('实盘净值数据(iFinD）'!$A966-'实盘净值数据(iFinD）'!$A$6)/365))</f>
        <v/>
      </c>
      <c r="C966" s="16" t="str">
        <f t="shared" si="90"/>
        <v/>
      </c>
      <c r="D966" s="16" t="str">
        <f>IF(B966="","",B966/MAX(B$5:B966)-1)</f>
        <v/>
      </c>
      <c r="E966" s="13" t="str">
        <f>IF(OR('实盘净值数据(iFinD）'!$A966="",'实盘净值数据(iFinD）'!$B966=""),"",分期持仓明细!$AB$18*SUMPRODUCT(分期持仓明细!$B$18:$Y$18,'实盘净值数据(iFinD）'!$B966:$Y966/'实盘净值数据(iFinD）'!$B$20:$Y$20)*(1-实盘持仓初始配置!$Z$5)^(('实盘净值数据(iFinD）'!$A966-'实盘净值数据(iFinD）'!$A$5)/365))</f>
        <v/>
      </c>
      <c r="F966" s="16" t="str">
        <f t="shared" si="91"/>
        <v/>
      </c>
      <c r="G966" s="16" t="str">
        <f>IF(E966="","",E966/MAX(E$5:E966)-1)</f>
        <v/>
      </c>
      <c r="H966" s="13" t="str">
        <f>IF(OR('实盘净值数据(iFinD）'!$A966="",'实盘净值数据(iFinD）'!$B966=""),"",分期持仓明细!$AB$19*SUMPRODUCT(分期持仓明细!$B$19:$Y$19,'实盘净值数据(iFinD）'!$B966:$Y966/'实盘净值数据(iFinD）'!$B$20:$Y$20)*(1-实盘持仓初始配置!$Z$6)^(('实盘净值数据(iFinD）'!$A966-'实盘净值数据(iFinD）'!$A$7)/365))</f>
        <v/>
      </c>
      <c r="I966" s="16" t="str">
        <f t="shared" si="92"/>
        <v/>
      </c>
      <c r="J966" s="16" t="str">
        <f>IF(H966="","",H966/MAX(H$5:H966)-1)</f>
        <v/>
      </c>
      <c r="K966" s="13" t="str">
        <f>IF(OR('实盘净值数据(iFinD）'!$A966="",'实盘净值数据(iFinD）'!$B966="",'实盘净值数据(iFinD）'!$Z966="",'实盘净值数据(iFinD）'!$AA966=""),"",分期持仓明细!$AB$23*(SUMPRODUCT(分期持仓明细!$B$23:$Y$23,'实盘净值数据(iFinD）'!$B966:$Y966/'实盘净值数据(iFinD）'!$B$65:$Y$65)+SUMPRODUCT(分期持仓明细!$AC$23:$AD$23,'实盘净值数据(iFinD）'!$Z966:$AA966/'实盘净值数据(iFinD）'!$Z$65:$AA$65))*(1-实盘持仓初始配置!$Z$7)^(('实盘净值数据(iFinD）'!$A966-'实盘净值数据(iFinD）'!$A$8)/365))</f>
        <v/>
      </c>
      <c r="L966" s="16" t="str">
        <f t="shared" si="93"/>
        <v/>
      </c>
      <c r="M966" s="16" t="str">
        <f>IF(K966="","",K966/MAX(K$5:K966)-1)</f>
        <v/>
      </c>
      <c r="N966" s="13" t="str">
        <f>IF(OR('实盘净值数据(iFinD）'!$A966="",'实盘净值数据(iFinD）'!$B966="",'实盘净值数据(iFinD）'!$Z966="",'实盘净值数据(iFinD）'!$AA966=""),"",分期持仓明细!$AB$24*(SUMPRODUCT(分期持仓明细!$B$24:$Y$24,'实盘净值数据(iFinD）'!$B966:$Y966/'实盘净值数据(iFinD）'!$B$65:$Y$65)+SUMPRODUCT(分期持仓明细!$AC$24:$AD$24,'实盘净值数据(iFinD）'!$Z966:$AA966/'实盘净值数据(iFinD）'!$Z$65:$AA$65))*(1-实盘持仓初始配置!$Z$8)^(('实盘净值数据(iFinD）'!$A966-'实盘净值数据(iFinD）'!$A$5)/365))</f>
        <v/>
      </c>
      <c r="O966" s="16" t="str">
        <f t="shared" si="94"/>
        <v/>
      </c>
      <c r="P966" s="16" t="str">
        <f>IF(N966="","",N966/MAX(N$5:N966)-1)</f>
        <v/>
      </c>
      <c r="Q966" s="13" t="str">
        <f>IF(OR('实盘净值数据(iFinD）'!$A966="",'实盘净值数据(iFinD）'!$B966="",'实盘净值数据(iFinD）'!$Z966="",'实盘净值数据(iFinD）'!$AA966=""),"",分期持仓明细!$AB$25*(SUMPRODUCT(分期持仓明细!$B$25:$Y$25,'实盘净值数据(iFinD）'!$B966:$Y966/'实盘净值数据(iFinD）'!$B$65:$Y$65)+SUMPRODUCT(分期持仓明细!$AC$25:$AD$25,'实盘净值数据(iFinD）'!$Z966:$AA966/'实盘净值数据(iFinD）'!$Z$65:$AA$65))*(1-实盘持仓初始配置!$Z$9)^(('实盘净值数据(iFinD）'!$A966-'实盘净值数据(iFinD）'!$A$8)/365))</f>
        <v/>
      </c>
      <c r="R966" s="16" t="str">
        <f t="shared" si="95"/>
        <v/>
      </c>
      <c r="S966" s="16" t="str">
        <f>IF(Q966="","",Q966/MAX(Q$5:Q966)-1)</f>
        <v/>
      </c>
    </row>
    <row r="967" spans="1:19">
      <c r="A967" s="15" t="str">
        <f>IF('实盘净值数据(iFinD）'!A967="","",'实盘净值数据(iFinD）'!A967)</f>
        <v/>
      </c>
      <c r="B967" s="13" t="str">
        <f>IF(OR('实盘净值数据(iFinD）'!$A967="",'实盘净值数据(iFinD）'!$B967=""),"",分期持仓明细!$AB$17*SUMPRODUCT(分期持仓明细!$B$17:$Y$17,'实盘净值数据(iFinD）'!$B967:$Y967/'实盘净值数据(iFinD）'!$B$20:$Y$20)*(1-实盘持仓初始配置!$Z$4)^(('实盘净值数据(iFinD）'!$A967-'实盘净值数据(iFinD）'!$A$6)/365))</f>
        <v/>
      </c>
      <c r="C967" s="16" t="str">
        <f t="shared" si="90"/>
        <v/>
      </c>
      <c r="D967" s="16" t="str">
        <f>IF(B967="","",B967/MAX(B$5:B967)-1)</f>
        <v/>
      </c>
      <c r="E967" s="13" t="str">
        <f>IF(OR('实盘净值数据(iFinD）'!$A967="",'实盘净值数据(iFinD）'!$B967=""),"",分期持仓明细!$AB$18*SUMPRODUCT(分期持仓明细!$B$18:$Y$18,'实盘净值数据(iFinD）'!$B967:$Y967/'实盘净值数据(iFinD）'!$B$20:$Y$20)*(1-实盘持仓初始配置!$Z$5)^(('实盘净值数据(iFinD）'!$A967-'实盘净值数据(iFinD）'!$A$5)/365))</f>
        <v/>
      </c>
      <c r="F967" s="16" t="str">
        <f t="shared" si="91"/>
        <v/>
      </c>
      <c r="G967" s="16" t="str">
        <f>IF(E967="","",E967/MAX(E$5:E967)-1)</f>
        <v/>
      </c>
      <c r="H967" s="13" t="str">
        <f>IF(OR('实盘净值数据(iFinD）'!$A967="",'实盘净值数据(iFinD）'!$B967=""),"",分期持仓明细!$AB$19*SUMPRODUCT(分期持仓明细!$B$19:$Y$19,'实盘净值数据(iFinD）'!$B967:$Y967/'实盘净值数据(iFinD）'!$B$20:$Y$20)*(1-实盘持仓初始配置!$Z$6)^(('实盘净值数据(iFinD）'!$A967-'实盘净值数据(iFinD）'!$A$7)/365))</f>
        <v/>
      </c>
      <c r="I967" s="16" t="str">
        <f t="shared" si="92"/>
        <v/>
      </c>
      <c r="J967" s="16" t="str">
        <f>IF(H967="","",H967/MAX(H$5:H967)-1)</f>
        <v/>
      </c>
      <c r="K967" s="13" t="str">
        <f>IF(OR('实盘净值数据(iFinD）'!$A967="",'实盘净值数据(iFinD）'!$B967="",'实盘净值数据(iFinD）'!$Z967="",'实盘净值数据(iFinD）'!$AA967=""),"",分期持仓明细!$AB$23*(SUMPRODUCT(分期持仓明细!$B$23:$Y$23,'实盘净值数据(iFinD）'!$B967:$Y967/'实盘净值数据(iFinD）'!$B$65:$Y$65)+SUMPRODUCT(分期持仓明细!$AC$23:$AD$23,'实盘净值数据(iFinD）'!$Z967:$AA967/'实盘净值数据(iFinD）'!$Z$65:$AA$65))*(1-实盘持仓初始配置!$Z$7)^(('实盘净值数据(iFinD）'!$A967-'实盘净值数据(iFinD）'!$A$8)/365))</f>
        <v/>
      </c>
      <c r="L967" s="16" t="str">
        <f t="shared" si="93"/>
        <v/>
      </c>
      <c r="M967" s="16" t="str">
        <f>IF(K967="","",K967/MAX(K$5:K967)-1)</f>
        <v/>
      </c>
      <c r="N967" s="13" t="str">
        <f>IF(OR('实盘净值数据(iFinD）'!$A967="",'实盘净值数据(iFinD）'!$B967="",'实盘净值数据(iFinD）'!$Z967="",'实盘净值数据(iFinD）'!$AA967=""),"",分期持仓明细!$AB$24*(SUMPRODUCT(分期持仓明细!$B$24:$Y$24,'实盘净值数据(iFinD）'!$B967:$Y967/'实盘净值数据(iFinD）'!$B$65:$Y$65)+SUMPRODUCT(分期持仓明细!$AC$24:$AD$24,'实盘净值数据(iFinD）'!$Z967:$AA967/'实盘净值数据(iFinD）'!$Z$65:$AA$65))*(1-实盘持仓初始配置!$Z$8)^(('实盘净值数据(iFinD）'!$A967-'实盘净值数据(iFinD）'!$A$5)/365))</f>
        <v/>
      </c>
      <c r="O967" s="16" t="str">
        <f t="shared" si="94"/>
        <v/>
      </c>
      <c r="P967" s="16" t="str">
        <f>IF(N967="","",N967/MAX(N$5:N967)-1)</f>
        <v/>
      </c>
      <c r="Q967" s="13" t="str">
        <f>IF(OR('实盘净值数据(iFinD）'!$A967="",'实盘净值数据(iFinD）'!$B967="",'实盘净值数据(iFinD）'!$Z967="",'实盘净值数据(iFinD）'!$AA967=""),"",分期持仓明细!$AB$25*(SUMPRODUCT(分期持仓明细!$B$25:$Y$25,'实盘净值数据(iFinD）'!$B967:$Y967/'实盘净值数据(iFinD）'!$B$65:$Y$65)+SUMPRODUCT(分期持仓明细!$AC$25:$AD$25,'实盘净值数据(iFinD）'!$Z967:$AA967/'实盘净值数据(iFinD）'!$Z$65:$AA$65))*(1-实盘持仓初始配置!$Z$9)^(('实盘净值数据(iFinD）'!$A967-'实盘净值数据(iFinD）'!$A$8)/365))</f>
        <v/>
      </c>
      <c r="R967" s="16" t="str">
        <f t="shared" si="95"/>
        <v/>
      </c>
      <c r="S967" s="16" t="str">
        <f>IF(Q967="","",Q967/MAX(Q$5:Q967)-1)</f>
        <v/>
      </c>
    </row>
    <row r="968" spans="1:19">
      <c r="A968" s="15" t="str">
        <f>IF('实盘净值数据(iFinD）'!A968="","",'实盘净值数据(iFinD）'!A968)</f>
        <v/>
      </c>
      <c r="B968" s="13" t="str">
        <f>IF(OR('实盘净值数据(iFinD）'!$A968="",'实盘净值数据(iFinD）'!$B968=""),"",分期持仓明细!$AB$17*SUMPRODUCT(分期持仓明细!$B$17:$Y$17,'实盘净值数据(iFinD）'!$B968:$Y968/'实盘净值数据(iFinD）'!$B$20:$Y$20)*(1-实盘持仓初始配置!$Z$4)^(('实盘净值数据(iFinD）'!$A968-'实盘净值数据(iFinD）'!$A$6)/365))</f>
        <v/>
      </c>
      <c r="C968" s="16" t="str">
        <f t="shared" si="90"/>
        <v/>
      </c>
      <c r="D968" s="16" t="str">
        <f>IF(B968="","",B968/MAX(B$5:B968)-1)</f>
        <v/>
      </c>
      <c r="E968" s="13" t="str">
        <f>IF(OR('实盘净值数据(iFinD）'!$A968="",'实盘净值数据(iFinD）'!$B968=""),"",分期持仓明细!$AB$18*SUMPRODUCT(分期持仓明细!$B$18:$Y$18,'实盘净值数据(iFinD）'!$B968:$Y968/'实盘净值数据(iFinD）'!$B$20:$Y$20)*(1-实盘持仓初始配置!$Z$5)^(('实盘净值数据(iFinD）'!$A968-'实盘净值数据(iFinD）'!$A$5)/365))</f>
        <v/>
      </c>
      <c r="F968" s="16" t="str">
        <f t="shared" si="91"/>
        <v/>
      </c>
      <c r="G968" s="16" t="str">
        <f>IF(E968="","",E968/MAX(E$5:E968)-1)</f>
        <v/>
      </c>
      <c r="H968" s="13" t="str">
        <f>IF(OR('实盘净值数据(iFinD）'!$A968="",'实盘净值数据(iFinD）'!$B968=""),"",分期持仓明细!$AB$19*SUMPRODUCT(分期持仓明细!$B$19:$Y$19,'实盘净值数据(iFinD）'!$B968:$Y968/'实盘净值数据(iFinD）'!$B$20:$Y$20)*(1-实盘持仓初始配置!$Z$6)^(('实盘净值数据(iFinD）'!$A968-'实盘净值数据(iFinD）'!$A$7)/365))</f>
        <v/>
      </c>
      <c r="I968" s="16" t="str">
        <f t="shared" si="92"/>
        <v/>
      </c>
      <c r="J968" s="16" t="str">
        <f>IF(H968="","",H968/MAX(H$5:H968)-1)</f>
        <v/>
      </c>
      <c r="K968" s="13" t="str">
        <f>IF(OR('实盘净值数据(iFinD）'!$A968="",'实盘净值数据(iFinD）'!$B968="",'实盘净值数据(iFinD）'!$Z968="",'实盘净值数据(iFinD）'!$AA968=""),"",分期持仓明细!$AB$23*(SUMPRODUCT(分期持仓明细!$B$23:$Y$23,'实盘净值数据(iFinD）'!$B968:$Y968/'实盘净值数据(iFinD）'!$B$65:$Y$65)+SUMPRODUCT(分期持仓明细!$AC$23:$AD$23,'实盘净值数据(iFinD）'!$Z968:$AA968/'实盘净值数据(iFinD）'!$Z$65:$AA$65))*(1-实盘持仓初始配置!$Z$7)^(('实盘净值数据(iFinD）'!$A968-'实盘净值数据(iFinD）'!$A$8)/365))</f>
        <v/>
      </c>
      <c r="L968" s="16" t="str">
        <f t="shared" si="93"/>
        <v/>
      </c>
      <c r="M968" s="16" t="str">
        <f>IF(K968="","",K968/MAX(K$5:K968)-1)</f>
        <v/>
      </c>
      <c r="N968" s="13" t="str">
        <f>IF(OR('实盘净值数据(iFinD）'!$A968="",'实盘净值数据(iFinD）'!$B968="",'实盘净值数据(iFinD）'!$Z968="",'实盘净值数据(iFinD）'!$AA968=""),"",分期持仓明细!$AB$24*(SUMPRODUCT(分期持仓明细!$B$24:$Y$24,'实盘净值数据(iFinD）'!$B968:$Y968/'实盘净值数据(iFinD）'!$B$65:$Y$65)+SUMPRODUCT(分期持仓明细!$AC$24:$AD$24,'实盘净值数据(iFinD）'!$Z968:$AA968/'实盘净值数据(iFinD）'!$Z$65:$AA$65))*(1-实盘持仓初始配置!$Z$8)^(('实盘净值数据(iFinD）'!$A968-'实盘净值数据(iFinD）'!$A$5)/365))</f>
        <v/>
      </c>
      <c r="O968" s="16" t="str">
        <f t="shared" si="94"/>
        <v/>
      </c>
      <c r="P968" s="16" t="str">
        <f>IF(N968="","",N968/MAX(N$5:N968)-1)</f>
        <v/>
      </c>
      <c r="Q968" s="13" t="str">
        <f>IF(OR('实盘净值数据(iFinD）'!$A968="",'实盘净值数据(iFinD）'!$B968="",'实盘净值数据(iFinD）'!$Z968="",'实盘净值数据(iFinD）'!$AA968=""),"",分期持仓明细!$AB$25*(SUMPRODUCT(分期持仓明细!$B$25:$Y$25,'实盘净值数据(iFinD）'!$B968:$Y968/'实盘净值数据(iFinD）'!$B$65:$Y$65)+SUMPRODUCT(分期持仓明细!$AC$25:$AD$25,'实盘净值数据(iFinD）'!$Z968:$AA968/'实盘净值数据(iFinD）'!$Z$65:$AA$65))*(1-实盘持仓初始配置!$Z$9)^(('实盘净值数据(iFinD）'!$A968-'实盘净值数据(iFinD）'!$A$8)/365))</f>
        <v/>
      </c>
      <c r="R968" s="16" t="str">
        <f t="shared" si="95"/>
        <v/>
      </c>
      <c r="S968" s="16" t="str">
        <f>IF(Q968="","",Q968/MAX(Q$5:Q968)-1)</f>
        <v/>
      </c>
    </row>
    <row r="969" spans="1:19">
      <c r="A969" s="15" t="str">
        <f>IF('实盘净值数据(iFinD）'!A969="","",'实盘净值数据(iFinD）'!A969)</f>
        <v/>
      </c>
      <c r="B969" s="13" t="str">
        <f>IF(OR('实盘净值数据(iFinD）'!$A969="",'实盘净值数据(iFinD）'!$B969=""),"",分期持仓明细!$AB$17*SUMPRODUCT(分期持仓明细!$B$17:$Y$17,'实盘净值数据(iFinD）'!$B969:$Y969/'实盘净值数据(iFinD）'!$B$20:$Y$20)*(1-实盘持仓初始配置!$Z$4)^(('实盘净值数据(iFinD）'!$A969-'实盘净值数据(iFinD）'!$A$6)/365))</f>
        <v/>
      </c>
      <c r="C969" s="16" t="str">
        <f t="shared" si="90"/>
        <v/>
      </c>
      <c r="D969" s="16" t="str">
        <f>IF(B969="","",B969/MAX(B$5:B969)-1)</f>
        <v/>
      </c>
      <c r="E969" s="13" t="str">
        <f>IF(OR('实盘净值数据(iFinD）'!$A969="",'实盘净值数据(iFinD）'!$B969=""),"",分期持仓明细!$AB$18*SUMPRODUCT(分期持仓明细!$B$18:$Y$18,'实盘净值数据(iFinD）'!$B969:$Y969/'实盘净值数据(iFinD）'!$B$20:$Y$20)*(1-实盘持仓初始配置!$Z$5)^(('实盘净值数据(iFinD）'!$A969-'实盘净值数据(iFinD）'!$A$5)/365))</f>
        <v/>
      </c>
      <c r="F969" s="16" t="str">
        <f t="shared" si="91"/>
        <v/>
      </c>
      <c r="G969" s="16" t="str">
        <f>IF(E969="","",E969/MAX(E$5:E969)-1)</f>
        <v/>
      </c>
      <c r="H969" s="13" t="str">
        <f>IF(OR('实盘净值数据(iFinD）'!$A969="",'实盘净值数据(iFinD）'!$B969=""),"",分期持仓明细!$AB$19*SUMPRODUCT(分期持仓明细!$B$19:$Y$19,'实盘净值数据(iFinD）'!$B969:$Y969/'实盘净值数据(iFinD）'!$B$20:$Y$20)*(1-实盘持仓初始配置!$Z$6)^(('实盘净值数据(iFinD）'!$A969-'实盘净值数据(iFinD）'!$A$7)/365))</f>
        <v/>
      </c>
      <c r="I969" s="16" t="str">
        <f t="shared" si="92"/>
        <v/>
      </c>
      <c r="J969" s="16" t="str">
        <f>IF(H969="","",H969/MAX(H$5:H969)-1)</f>
        <v/>
      </c>
      <c r="K969" s="13" t="str">
        <f>IF(OR('实盘净值数据(iFinD）'!$A969="",'实盘净值数据(iFinD）'!$B969="",'实盘净值数据(iFinD）'!$Z969="",'实盘净值数据(iFinD）'!$AA969=""),"",分期持仓明细!$AB$23*(SUMPRODUCT(分期持仓明细!$B$23:$Y$23,'实盘净值数据(iFinD）'!$B969:$Y969/'实盘净值数据(iFinD）'!$B$65:$Y$65)+SUMPRODUCT(分期持仓明细!$AC$23:$AD$23,'实盘净值数据(iFinD）'!$Z969:$AA969/'实盘净值数据(iFinD）'!$Z$65:$AA$65))*(1-实盘持仓初始配置!$Z$7)^(('实盘净值数据(iFinD）'!$A969-'实盘净值数据(iFinD）'!$A$8)/365))</f>
        <v/>
      </c>
      <c r="L969" s="16" t="str">
        <f t="shared" si="93"/>
        <v/>
      </c>
      <c r="M969" s="16" t="str">
        <f>IF(K969="","",K969/MAX(K$5:K969)-1)</f>
        <v/>
      </c>
      <c r="N969" s="13" t="str">
        <f>IF(OR('实盘净值数据(iFinD）'!$A969="",'实盘净值数据(iFinD）'!$B969="",'实盘净值数据(iFinD）'!$Z969="",'实盘净值数据(iFinD）'!$AA969=""),"",分期持仓明细!$AB$24*(SUMPRODUCT(分期持仓明细!$B$24:$Y$24,'实盘净值数据(iFinD）'!$B969:$Y969/'实盘净值数据(iFinD）'!$B$65:$Y$65)+SUMPRODUCT(分期持仓明细!$AC$24:$AD$24,'实盘净值数据(iFinD）'!$Z969:$AA969/'实盘净值数据(iFinD）'!$Z$65:$AA$65))*(1-实盘持仓初始配置!$Z$8)^(('实盘净值数据(iFinD）'!$A969-'实盘净值数据(iFinD）'!$A$5)/365))</f>
        <v/>
      </c>
      <c r="O969" s="16" t="str">
        <f t="shared" si="94"/>
        <v/>
      </c>
      <c r="P969" s="16" t="str">
        <f>IF(N969="","",N969/MAX(N$5:N969)-1)</f>
        <v/>
      </c>
      <c r="Q969" s="13" t="str">
        <f>IF(OR('实盘净值数据(iFinD）'!$A969="",'实盘净值数据(iFinD）'!$B969="",'实盘净值数据(iFinD）'!$Z969="",'实盘净值数据(iFinD）'!$AA969=""),"",分期持仓明细!$AB$25*(SUMPRODUCT(分期持仓明细!$B$25:$Y$25,'实盘净值数据(iFinD）'!$B969:$Y969/'实盘净值数据(iFinD）'!$B$65:$Y$65)+SUMPRODUCT(分期持仓明细!$AC$25:$AD$25,'实盘净值数据(iFinD）'!$Z969:$AA969/'实盘净值数据(iFinD）'!$Z$65:$AA$65))*(1-实盘持仓初始配置!$Z$9)^(('实盘净值数据(iFinD）'!$A969-'实盘净值数据(iFinD）'!$A$8)/365))</f>
        <v/>
      </c>
      <c r="R969" s="16" t="str">
        <f t="shared" si="95"/>
        <v/>
      </c>
      <c r="S969" s="16" t="str">
        <f>IF(Q969="","",Q969/MAX(Q$5:Q969)-1)</f>
        <v/>
      </c>
    </row>
    <row r="970" spans="1:19">
      <c r="A970" s="15" t="str">
        <f>IF('实盘净值数据(iFinD）'!A970="","",'实盘净值数据(iFinD）'!A970)</f>
        <v/>
      </c>
      <c r="B970" s="13" t="str">
        <f>IF(OR('实盘净值数据(iFinD）'!$A970="",'实盘净值数据(iFinD）'!$B970=""),"",分期持仓明细!$AB$17*SUMPRODUCT(分期持仓明细!$B$17:$Y$17,'实盘净值数据(iFinD）'!$B970:$Y970/'实盘净值数据(iFinD）'!$B$20:$Y$20)*(1-实盘持仓初始配置!$Z$4)^(('实盘净值数据(iFinD）'!$A970-'实盘净值数据(iFinD）'!$A$6)/365))</f>
        <v/>
      </c>
      <c r="C970" s="16" t="str">
        <f t="shared" si="90"/>
        <v/>
      </c>
      <c r="D970" s="16" t="str">
        <f>IF(B970="","",B970/MAX(B$5:B970)-1)</f>
        <v/>
      </c>
      <c r="E970" s="13" t="str">
        <f>IF(OR('实盘净值数据(iFinD）'!$A970="",'实盘净值数据(iFinD）'!$B970=""),"",分期持仓明细!$AB$18*SUMPRODUCT(分期持仓明细!$B$18:$Y$18,'实盘净值数据(iFinD）'!$B970:$Y970/'实盘净值数据(iFinD）'!$B$20:$Y$20)*(1-实盘持仓初始配置!$Z$5)^(('实盘净值数据(iFinD）'!$A970-'实盘净值数据(iFinD）'!$A$5)/365))</f>
        <v/>
      </c>
      <c r="F970" s="16" t="str">
        <f t="shared" si="91"/>
        <v/>
      </c>
      <c r="G970" s="16" t="str">
        <f>IF(E970="","",E970/MAX(E$5:E970)-1)</f>
        <v/>
      </c>
      <c r="H970" s="13" t="str">
        <f>IF(OR('实盘净值数据(iFinD）'!$A970="",'实盘净值数据(iFinD）'!$B970=""),"",分期持仓明细!$AB$19*SUMPRODUCT(分期持仓明细!$B$19:$Y$19,'实盘净值数据(iFinD）'!$B970:$Y970/'实盘净值数据(iFinD）'!$B$20:$Y$20)*(1-实盘持仓初始配置!$Z$6)^(('实盘净值数据(iFinD）'!$A970-'实盘净值数据(iFinD）'!$A$7)/365))</f>
        <v/>
      </c>
      <c r="I970" s="16" t="str">
        <f t="shared" si="92"/>
        <v/>
      </c>
      <c r="J970" s="16" t="str">
        <f>IF(H970="","",H970/MAX(H$5:H970)-1)</f>
        <v/>
      </c>
      <c r="K970" s="13" t="str">
        <f>IF(OR('实盘净值数据(iFinD）'!$A970="",'实盘净值数据(iFinD）'!$B970="",'实盘净值数据(iFinD）'!$Z970="",'实盘净值数据(iFinD）'!$AA970=""),"",分期持仓明细!$AB$23*(SUMPRODUCT(分期持仓明细!$B$23:$Y$23,'实盘净值数据(iFinD）'!$B970:$Y970/'实盘净值数据(iFinD）'!$B$65:$Y$65)+SUMPRODUCT(分期持仓明细!$AC$23:$AD$23,'实盘净值数据(iFinD）'!$Z970:$AA970/'实盘净值数据(iFinD）'!$Z$65:$AA$65))*(1-实盘持仓初始配置!$Z$7)^(('实盘净值数据(iFinD）'!$A970-'实盘净值数据(iFinD）'!$A$8)/365))</f>
        <v/>
      </c>
      <c r="L970" s="16" t="str">
        <f t="shared" si="93"/>
        <v/>
      </c>
      <c r="M970" s="16" t="str">
        <f>IF(K970="","",K970/MAX(K$5:K970)-1)</f>
        <v/>
      </c>
      <c r="N970" s="13" t="str">
        <f>IF(OR('实盘净值数据(iFinD）'!$A970="",'实盘净值数据(iFinD）'!$B970="",'实盘净值数据(iFinD）'!$Z970="",'实盘净值数据(iFinD）'!$AA970=""),"",分期持仓明细!$AB$24*(SUMPRODUCT(分期持仓明细!$B$24:$Y$24,'实盘净值数据(iFinD）'!$B970:$Y970/'实盘净值数据(iFinD）'!$B$65:$Y$65)+SUMPRODUCT(分期持仓明细!$AC$24:$AD$24,'实盘净值数据(iFinD）'!$Z970:$AA970/'实盘净值数据(iFinD）'!$Z$65:$AA$65))*(1-实盘持仓初始配置!$Z$8)^(('实盘净值数据(iFinD）'!$A970-'实盘净值数据(iFinD）'!$A$5)/365))</f>
        <v/>
      </c>
      <c r="O970" s="16" t="str">
        <f t="shared" si="94"/>
        <v/>
      </c>
      <c r="P970" s="16" t="str">
        <f>IF(N970="","",N970/MAX(N$5:N970)-1)</f>
        <v/>
      </c>
      <c r="Q970" s="13" t="str">
        <f>IF(OR('实盘净值数据(iFinD）'!$A970="",'实盘净值数据(iFinD）'!$B970="",'实盘净值数据(iFinD）'!$Z970="",'实盘净值数据(iFinD）'!$AA970=""),"",分期持仓明细!$AB$25*(SUMPRODUCT(分期持仓明细!$B$25:$Y$25,'实盘净值数据(iFinD）'!$B970:$Y970/'实盘净值数据(iFinD）'!$B$65:$Y$65)+SUMPRODUCT(分期持仓明细!$AC$25:$AD$25,'实盘净值数据(iFinD）'!$Z970:$AA970/'实盘净值数据(iFinD）'!$Z$65:$AA$65))*(1-实盘持仓初始配置!$Z$9)^(('实盘净值数据(iFinD）'!$A970-'实盘净值数据(iFinD）'!$A$8)/365))</f>
        <v/>
      </c>
      <c r="R970" s="16" t="str">
        <f t="shared" si="95"/>
        <v/>
      </c>
      <c r="S970" s="16" t="str">
        <f>IF(Q970="","",Q970/MAX(Q$5:Q970)-1)</f>
        <v/>
      </c>
    </row>
    <row r="971" spans="1:19">
      <c r="A971" s="15" t="str">
        <f>IF('实盘净值数据(iFinD）'!A971="","",'实盘净值数据(iFinD）'!A971)</f>
        <v/>
      </c>
      <c r="B971" s="13" t="str">
        <f>IF(OR('实盘净值数据(iFinD）'!$A971="",'实盘净值数据(iFinD）'!$B971=""),"",分期持仓明细!$AB$17*SUMPRODUCT(分期持仓明细!$B$17:$Y$17,'实盘净值数据(iFinD）'!$B971:$Y971/'实盘净值数据(iFinD）'!$B$20:$Y$20)*(1-实盘持仓初始配置!$Z$4)^(('实盘净值数据(iFinD）'!$A971-'实盘净值数据(iFinD）'!$A$6)/365))</f>
        <v/>
      </c>
      <c r="C971" s="16" t="str">
        <f t="shared" si="90"/>
        <v/>
      </c>
      <c r="D971" s="16" t="str">
        <f>IF(B971="","",B971/MAX(B$5:B971)-1)</f>
        <v/>
      </c>
      <c r="E971" s="13" t="str">
        <f>IF(OR('实盘净值数据(iFinD）'!$A971="",'实盘净值数据(iFinD）'!$B971=""),"",分期持仓明细!$AB$18*SUMPRODUCT(分期持仓明细!$B$18:$Y$18,'实盘净值数据(iFinD）'!$B971:$Y971/'实盘净值数据(iFinD）'!$B$20:$Y$20)*(1-实盘持仓初始配置!$Z$5)^(('实盘净值数据(iFinD）'!$A971-'实盘净值数据(iFinD）'!$A$5)/365))</f>
        <v/>
      </c>
      <c r="F971" s="16" t="str">
        <f t="shared" si="91"/>
        <v/>
      </c>
      <c r="G971" s="16" t="str">
        <f>IF(E971="","",E971/MAX(E$5:E971)-1)</f>
        <v/>
      </c>
      <c r="H971" s="13" t="str">
        <f>IF(OR('实盘净值数据(iFinD）'!$A971="",'实盘净值数据(iFinD）'!$B971=""),"",分期持仓明细!$AB$19*SUMPRODUCT(分期持仓明细!$B$19:$Y$19,'实盘净值数据(iFinD）'!$B971:$Y971/'实盘净值数据(iFinD）'!$B$20:$Y$20)*(1-实盘持仓初始配置!$Z$6)^(('实盘净值数据(iFinD）'!$A971-'实盘净值数据(iFinD）'!$A$7)/365))</f>
        <v/>
      </c>
      <c r="I971" s="16" t="str">
        <f t="shared" si="92"/>
        <v/>
      </c>
      <c r="J971" s="16" t="str">
        <f>IF(H971="","",H971/MAX(H$5:H971)-1)</f>
        <v/>
      </c>
      <c r="K971" s="13" t="str">
        <f>IF(OR('实盘净值数据(iFinD）'!$A971="",'实盘净值数据(iFinD）'!$B971="",'实盘净值数据(iFinD）'!$Z971="",'实盘净值数据(iFinD）'!$AA971=""),"",分期持仓明细!$AB$23*(SUMPRODUCT(分期持仓明细!$B$23:$Y$23,'实盘净值数据(iFinD）'!$B971:$Y971/'实盘净值数据(iFinD）'!$B$65:$Y$65)+SUMPRODUCT(分期持仓明细!$AC$23:$AD$23,'实盘净值数据(iFinD）'!$Z971:$AA971/'实盘净值数据(iFinD）'!$Z$65:$AA$65))*(1-实盘持仓初始配置!$Z$7)^(('实盘净值数据(iFinD）'!$A971-'实盘净值数据(iFinD）'!$A$8)/365))</f>
        <v/>
      </c>
      <c r="L971" s="16" t="str">
        <f t="shared" si="93"/>
        <v/>
      </c>
      <c r="M971" s="16" t="str">
        <f>IF(K971="","",K971/MAX(K$5:K971)-1)</f>
        <v/>
      </c>
      <c r="N971" s="13" t="str">
        <f>IF(OR('实盘净值数据(iFinD）'!$A971="",'实盘净值数据(iFinD）'!$B971="",'实盘净值数据(iFinD）'!$Z971="",'实盘净值数据(iFinD）'!$AA971=""),"",分期持仓明细!$AB$24*(SUMPRODUCT(分期持仓明细!$B$24:$Y$24,'实盘净值数据(iFinD）'!$B971:$Y971/'实盘净值数据(iFinD）'!$B$65:$Y$65)+SUMPRODUCT(分期持仓明细!$AC$24:$AD$24,'实盘净值数据(iFinD）'!$Z971:$AA971/'实盘净值数据(iFinD）'!$Z$65:$AA$65))*(1-实盘持仓初始配置!$Z$8)^(('实盘净值数据(iFinD）'!$A971-'实盘净值数据(iFinD）'!$A$5)/365))</f>
        <v/>
      </c>
      <c r="O971" s="16" t="str">
        <f t="shared" si="94"/>
        <v/>
      </c>
      <c r="P971" s="16" t="str">
        <f>IF(N971="","",N971/MAX(N$5:N971)-1)</f>
        <v/>
      </c>
      <c r="Q971" s="13" t="str">
        <f>IF(OR('实盘净值数据(iFinD）'!$A971="",'实盘净值数据(iFinD）'!$B971="",'实盘净值数据(iFinD）'!$Z971="",'实盘净值数据(iFinD）'!$AA971=""),"",分期持仓明细!$AB$25*(SUMPRODUCT(分期持仓明细!$B$25:$Y$25,'实盘净值数据(iFinD）'!$B971:$Y971/'实盘净值数据(iFinD）'!$B$65:$Y$65)+SUMPRODUCT(分期持仓明细!$AC$25:$AD$25,'实盘净值数据(iFinD）'!$Z971:$AA971/'实盘净值数据(iFinD）'!$Z$65:$AA$65))*(1-实盘持仓初始配置!$Z$9)^(('实盘净值数据(iFinD）'!$A971-'实盘净值数据(iFinD）'!$A$8)/365))</f>
        <v/>
      </c>
      <c r="R971" s="16" t="str">
        <f t="shared" si="95"/>
        <v/>
      </c>
      <c r="S971" s="16" t="str">
        <f>IF(Q971="","",Q971/MAX(Q$5:Q971)-1)</f>
        <v/>
      </c>
    </row>
    <row r="972" spans="1:19">
      <c r="A972" s="15" t="str">
        <f>IF('实盘净值数据(iFinD）'!A972="","",'实盘净值数据(iFinD）'!A972)</f>
        <v/>
      </c>
      <c r="B972" s="13" t="str">
        <f>IF(OR('实盘净值数据(iFinD）'!$A972="",'实盘净值数据(iFinD）'!$B972=""),"",分期持仓明细!$AB$17*SUMPRODUCT(分期持仓明细!$B$17:$Y$17,'实盘净值数据(iFinD）'!$B972:$Y972/'实盘净值数据(iFinD）'!$B$20:$Y$20)*(1-实盘持仓初始配置!$Z$4)^(('实盘净值数据(iFinD）'!$A972-'实盘净值数据(iFinD）'!$A$6)/365))</f>
        <v/>
      </c>
      <c r="C972" s="16" t="str">
        <f t="shared" si="90"/>
        <v/>
      </c>
      <c r="D972" s="16" t="str">
        <f>IF(B972="","",B972/MAX(B$5:B972)-1)</f>
        <v/>
      </c>
      <c r="E972" s="13" t="str">
        <f>IF(OR('实盘净值数据(iFinD）'!$A972="",'实盘净值数据(iFinD）'!$B972=""),"",分期持仓明细!$AB$18*SUMPRODUCT(分期持仓明细!$B$18:$Y$18,'实盘净值数据(iFinD）'!$B972:$Y972/'实盘净值数据(iFinD）'!$B$20:$Y$20)*(1-实盘持仓初始配置!$Z$5)^(('实盘净值数据(iFinD）'!$A972-'实盘净值数据(iFinD）'!$A$5)/365))</f>
        <v/>
      </c>
      <c r="F972" s="16" t="str">
        <f t="shared" si="91"/>
        <v/>
      </c>
      <c r="G972" s="16" t="str">
        <f>IF(E972="","",E972/MAX(E$5:E972)-1)</f>
        <v/>
      </c>
      <c r="H972" s="13" t="str">
        <f>IF(OR('实盘净值数据(iFinD）'!$A972="",'实盘净值数据(iFinD）'!$B972=""),"",分期持仓明细!$AB$19*SUMPRODUCT(分期持仓明细!$B$19:$Y$19,'实盘净值数据(iFinD）'!$B972:$Y972/'实盘净值数据(iFinD）'!$B$20:$Y$20)*(1-实盘持仓初始配置!$Z$6)^(('实盘净值数据(iFinD）'!$A972-'实盘净值数据(iFinD）'!$A$7)/365))</f>
        <v/>
      </c>
      <c r="I972" s="16" t="str">
        <f t="shared" si="92"/>
        <v/>
      </c>
      <c r="J972" s="16" t="str">
        <f>IF(H972="","",H972/MAX(H$5:H972)-1)</f>
        <v/>
      </c>
      <c r="K972" s="13" t="str">
        <f>IF(OR('实盘净值数据(iFinD）'!$A972="",'实盘净值数据(iFinD）'!$B972="",'实盘净值数据(iFinD）'!$Z972="",'实盘净值数据(iFinD）'!$AA972=""),"",分期持仓明细!$AB$23*(SUMPRODUCT(分期持仓明细!$B$23:$Y$23,'实盘净值数据(iFinD）'!$B972:$Y972/'实盘净值数据(iFinD）'!$B$65:$Y$65)+SUMPRODUCT(分期持仓明细!$AC$23:$AD$23,'实盘净值数据(iFinD）'!$Z972:$AA972/'实盘净值数据(iFinD）'!$Z$65:$AA$65))*(1-实盘持仓初始配置!$Z$7)^(('实盘净值数据(iFinD）'!$A972-'实盘净值数据(iFinD）'!$A$8)/365))</f>
        <v/>
      </c>
      <c r="L972" s="16" t="str">
        <f t="shared" si="93"/>
        <v/>
      </c>
      <c r="M972" s="16" t="str">
        <f>IF(K972="","",K972/MAX(K$5:K972)-1)</f>
        <v/>
      </c>
      <c r="N972" s="13" t="str">
        <f>IF(OR('实盘净值数据(iFinD）'!$A972="",'实盘净值数据(iFinD）'!$B972="",'实盘净值数据(iFinD）'!$Z972="",'实盘净值数据(iFinD）'!$AA972=""),"",分期持仓明细!$AB$24*(SUMPRODUCT(分期持仓明细!$B$24:$Y$24,'实盘净值数据(iFinD）'!$B972:$Y972/'实盘净值数据(iFinD）'!$B$65:$Y$65)+SUMPRODUCT(分期持仓明细!$AC$24:$AD$24,'实盘净值数据(iFinD）'!$Z972:$AA972/'实盘净值数据(iFinD）'!$Z$65:$AA$65))*(1-实盘持仓初始配置!$Z$8)^(('实盘净值数据(iFinD）'!$A972-'实盘净值数据(iFinD）'!$A$5)/365))</f>
        <v/>
      </c>
      <c r="O972" s="16" t="str">
        <f t="shared" si="94"/>
        <v/>
      </c>
      <c r="P972" s="16" t="str">
        <f>IF(N972="","",N972/MAX(N$5:N972)-1)</f>
        <v/>
      </c>
      <c r="Q972" s="13" t="str">
        <f>IF(OR('实盘净值数据(iFinD）'!$A972="",'实盘净值数据(iFinD）'!$B972="",'实盘净值数据(iFinD）'!$Z972="",'实盘净值数据(iFinD）'!$AA972=""),"",分期持仓明细!$AB$25*(SUMPRODUCT(分期持仓明细!$B$25:$Y$25,'实盘净值数据(iFinD）'!$B972:$Y972/'实盘净值数据(iFinD）'!$B$65:$Y$65)+SUMPRODUCT(分期持仓明细!$AC$25:$AD$25,'实盘净值数据(iFinD）'!$Z972:$AA972/'实盘净值数据(iFinD）'!$Z$65:$AA$65))*(1-实盘持仓初始配置!$Z$9)^(('实盘净值数据(iFinD）'!$A972-'实盘净值数据(iFinD）'!$A$8)/365))</f>
        <v/>
      </c>
      <c r="R972" s="16" t="str">
        <f t="shared" si="95"/>
        <v/>
      </c>
      <c r="S972" s="16" t="str">
        <f>IF(Q972="","",Q972/MAX(Q$5:Q972)-1)</f>
        <v/>
      </c>
    </row>
    <row r="973" spans="1:19">
      <c r="A973" s="15" t="str">
        <f>IF('实盘净值数据(iFinD）'!A973="","",'实盘净值数据(iFinD）'!A973)</f>
        <v/>
      </c>
      <c r="B973" s="13" t="str">
        <f>IF(OR('实盘净值数据(iFinD）'!$A973="",'实盘净值数据(iFinD）'!$B973=""),"",分期持仓明细!$AB$17*SUMPRODUCT(分期持仓明细!$B$17:$Y$17,'实盘净值数据(iFinD）'!$B973:$Y973/'实盘净值数据(iFinD）'!$B$20:$Y$20)*(1-实盘持仓初始配置!$Z$4)^(('实盘净值数据(iFinD）'!$A973-'实盘净值数据(iFinD）'!$A$6)/365))</f>
        <v/>
      </c>
      <c r="C973" s="16" t="str">
        <f t="shared" si="90"/>
        <v/>
      </c>
      <c r="D973" s="16" t="str">
        <f>IF(B973="","",B973/MAX(B$5:B973)-1)</f>
        <v/>
      </c>
      <c r="E973" s="13" t="str">
        <f>IF(OR('实盘净值数据(iFinD）'!$A973="",'实盘净值数据(iFinD）'!$B973=""),"",分期持仓明细!$AB$18*SUMPRODUCT(分期持仓明细!$B$18:$Y$18,'实盘净值数据(iFinD）'!$B973:$Y973/'实盘净值数据(iFinD）'!$B$20:$Y$20)*(1-实盘持仓初始配置!$Z$5)^(('实盘净值数据(iFinD）'!$A973-'实盘净值数据(iFinD）'!$A$5)/365))</f>
        <v/>
      </c>
      <c r="F973" s="16" t="str">
        <f t="shared" si="91"/>
        <v/>
      </c>
      <c r="G973" s="16" t="str">
        <f>IF(E973="","",E973/MAX(E$5:E973)-1)</f>
        <v/>
      </c>
      <c r="H973" s="13" t="str">
        <f>IF(OR('实盘净值数据(iFinD）'!$A973="",'实盘净值数据(iFinD）'!$B973=""),"",分期持仓明细!$AB$19*SUMPRODUCT(分期持仓明细!$B$19:$Y$19,'实盘净值数据(iFinD）'!$B973:$Y973/'实盘净值数据(iFinD）'!$B$20:$Y$20)*(1-实盘持仓初始配置!$Z$6)^(('实盘净值数据(iFinD）'!$A973-'实盘净值数据(iFinD）'!$A$7)/365))</f>
        <v/>
      </c>
      <c r="I973" s="16" t="str">
        <f t="shared" si="92"/>
        <v/>
      </c>
      <c r="J973" s="16" t="str">
        <f>IF(H973="","",H973/MAX(H$5:H973)-1)</f>
        <v/>
      </c>
      <c r="K973" s="13" t="str">
        <f>IF(OR('实盘净值数据(iFinD）'!$A973="",'实盘净值数据(iFinD）'!$B973="",'实盘净值数据(iFinD）'!$Z973="",'实盘净值数据(iFinD）'!$AA973=""),"",分期持仓明细!$AB$23*(SUMPRODUCT(分期持仓明细!$B$23:$Y$23,'实盘净值数据(iFinD）'!$B973:$Y973/'实盘净值数据(iFinD）'!$B$65:$Y$65)+SUMPRODUCT(分期持仓明细!$AC$23:$AD$23,'实盘净值数据(iFinD）'!$Z973:$AA973/'实盘净值数据(iFinD）'!$Z$65:$AA$65))*(1-实盘持仓初始配置!$Z$7)^(('实盘净值数据(iFinD）'!$A973-'实盘净值数据(iFinD）'!$A$8)/365))</f>
        <v/>
      </c>
      <c r="L973" s="16" t="str">
        <f t="shared" si="93"/>
        <v/>
      </c>
      <c r="M973" s="16" t="str">
        <f>IF(K973="","",K973/MAX(K$5:K973)-1)</f>
        <v/>
      </c>
      <c r="N973" s="13" t="str">
        <f>IF(OR('实盘净值数据(iFinD）'!$A973="",'实盘净值数据(iFinD）'!$B973="",'实盘净值数据(iFinD）'!$Z973="",'实盘净值数据(iFinD）'!$AA973=""),"",分期持仓明细!$AB$24*(SUMPRODUCT(分期持仓明细!$B$24:$Y$24,'实盘净值数据(iFinD）'!$B973:$Y973/'实盘净值数据(iFinD）'!$B$65:$Y$65)+SUMPRODUCT(分期持仓明细!$AC$24:$AD$24,'实盘净值数据(iFinD）'!$Z973:$AA973/'实盘净值数据(iFinD）'!$Z$65:$AA$65))*(1-实盘持仓初始配置!$Z$8)^(('实盘净值数据(iFinD）'!$A973-'实盘净值数据(iFinD）'!$A$5)/365))</f>
        <v/>
      </c>
      <c r="O973" s="16" t="str">
        <f t="shared" si="94"/>
        <v/>
      </c>
      <c r="P973" s="16" t="str">
        <f>IF(N973="","",N973/MAX(N$5:N973)-1)</f>
        <v/>
      </c>
      <c r="Q973" s="13" t="str">
        <f>IF(OR('实盘净值数据(iFinD）'!$A973="",'实盘净值数据(iFinD）'!$B973="",'实盘净值数据(iFinD）'!$Z973="",'实盘净值数据(iFinD）'!$AA973=""),"",分期持仓明细!$AB$25*(SUMPRODUCT(分期持仓明细!$B$25:$Y$25,'实盘净值数据(iFinD）'!$B973:$Y973/'实盘净值数据(iFinD）'!$B$65:$Y$65)+SUMPRODUCT(分期持仓明细!$AC$25:$AD$25,'实盘净值数据(iFinD）'!$Z973:$AA973/'实盘净值数据(iFinD）'!$Z$65:$AA$65))*(1-实盘持仓初始配置!$Z$9)^(('实盘净值数据(iFinD）'!$A973-'实盘净值数据(iFinD）'!$A$8)/365))</f>
        <v/>
      </c>
      <c r="R973" s="16" t="str">
        <f t="shared" si="95"/>
        <v/>
      </c>
      <c r="S973" s="16" t="str">
        <f>IF(Q973="","",Q973/MAX(Q$5:Q973)-1)</f>
        <v/>
      </c>
    </row>
    <row r="974" spans="1:19">
      <c r="A974" s="15" t="str">
        <f>IF('实盘净值数据(iFinD）'!A974="","",'实盘净值数据(iFinD）'!A974)</f>
        <v/>
      </c>
      <c r="B974" s="13" t="str">
        <f>IF(OR('实盘净值数据(iFinD）'!$A974="",'实盘净值数据(iFinD）'!$B974=""),"",分期持仓明细!$AB$17*SUMPRODUCT(分期持仓明细!$B$17:$Y$17,'实盘净值数据(iFinD）'!$B974:$Y974/'实盘净值数据(iFinD）'!$B$20:$Y$20)*(1-实盘持仓初始配置!$Z$4)^(('实盘净值数据(iFinD）'!$A974-'实盘净值数据(iFinD）'!$A$6)/365))</f>
        <v/>
      </c>
      <c r="C974" s="16" t="str">
        <f t="shared" si="90"/>
        <v/>
      </c>
      <c r="D974" s="16" t="str">
        <f>IF(B974="","",B974/MAX(B$5:B974)-1)</f>
        <v/>
      </c>
      <c r="E974" s="13" t="str">
        <f>IF(OR('实盘净值数据(iFinD）'!$A974="",'实盘净值数据(iFinD）'!$B974=""),"",分期持仓明细!$AB$18*SUMPRODUCT(分期持仓明细!$B$18:$Y$18,'实盘净值数据(iFinD）'!$B974:$Y974/'实盘净值数据(iFinD）'!$B$20:$Y$20)*(1-实盘持仓初始配置!$Z$5)^(('实盘净值数据(iFinD）'!$A974-'实盘净值数据(iFinD）'!$A$5)/365))</f>
        <v/>
      </c>
      <c r="F974" s="16" t="str">
        <f t="shared" si="91"/>
        <v/>
      </c>
      <c r="G974" s="16" t="str">
        <f>IF(E974="","",E974/MAX(E$5:E974)-1)</f>
        <v/>
      </c>
      <c r="H974" s="13" t="str">
        <f>IF(OR('实盘净值数据(iFinD）'!$A974="",'实盘净值数据(iFinD）'!$B974=""),"",分期持仓明细!$AB$19*SUMPRODUCT(分期持仓明细!$B$19:$Y$19,'实盘净值数据(iFinD）'!$B974:$Y974/'实盘净值数据(iFinD）'!$B$20:$Y$20)*(1-实盘持仓初始配置!$Z$6)^(('实盘净值数据(iFinD）'!$A974-'实盘净值数据(iFinD）'!$A$7)/365))</f>
        <v/>
      </c>
      <c r="I974" s="16" t="str">
        <f t="shared" si="92"/>
        <v/>
      </c>
      <c r="J974" s="16" t="str">
        <f>IF(H974="","",H974/MAX(H$5:H974)-1)</f>
        <v/>
      </c>
      <c r="K974" s="13" t="str">
        <f>IF(OR('实盘净值数据(iFinD）'!$A974="",'实盘净值数据(iFinD）'!$B974="",'实盘净值数据(iFinD）'!$Z974="",'实盘净值数据(iFinD）'!$AA974=""),"",分期持仓明细!$AB$23*(SUMPRODUCT(分期持仓明细!$B$23:$Y$23,'实盘净值数据(iFinD）'!$B974:$Y974/'实盘净值数据(iFinD）'!$B$65:$Y$65)+SUMPRODUCT(分期持仓明细!$AC$23:$AD$23,'实盘净值数据(iFinD）'!$Z974:$AA974/'实盘净值数据(iFinD）'!$Z$65:$AA$65))*(1-实盘持仓初始配置!$Z$7)^(('实盘净值数据(iFinD）'!$A974-'实盘净值数据(iFinD）'!$A$8)/365))</f>
        <v/>
      </c>
      <c r="L974" s="16" t="str">
        <f t="shared" si="93"/>
        <v/>
      </c>
      <c r="M974" s="16" t="str">
        <f>IF(K974="","",K974/MAX(K$5:K974)-1)</f>
        <v/>
      </c>
      <c r="N974" s="13" t="str">
        <f>IF(OR('实盘净值数据(iFinD）'!$A974="",'实盘净值数据(iFinD）'!$B974="",'实盘净值数据(iFinD）'!$Z974="",'实盘净值数据(iFinD）'!$AA974=""),"",分期持仓明细!$AB$24*(SUMPRODUCT(分期持仓明细!$B$24:$Y$24,'实盘净值数据(iFinD）'!$B974:$Y974/'实盘净值数据(iFinD）'!$B$65:$Y$65)+SUMPRODUCT(分期持仓明细!$AC$24:$AD$24,'实盘净值数据(iFinD）'!$Z974:$AA974/'实盘净值数据(iFinD）'!$Z$65:$AA$65))*(1-实盘持仓初始配置!$Z$8)^(('实盘净值数据(iFinD）'!$A974-'实盘净值数据(iFinD）'!$A$5)/365))</f>
        <v/>
      </c>
      <c r="O974" s="16" t="str">
        <f t="shared" si="94"/>
        <v/>
      </c>
      <c r="P974" s="16" t="str">
        <f>IF(N974="","",N974/MAX(N$5:N974)-1)</f>
        <v/>
      </c>
      <c r="Q974" s="13" t="str">
        <f>IF(OR('实盘净值数据(iFinD）'!$A974="",'实盘净值数据(iFinD）'!$B974="",'实盘净值数据(iFinD）'!$Z974="",'实盘净值数据(iFinD）'!$AA974=""),"",分期持仓明细!$AB$25*(SUMPRODUCT(分期持仓明细!$B$25:$Y$25,'实盘净值数据(iFinD）'!$B974:$Y974/'实盘净值数据(iFinD）'!$B$65:$Y$65)+SUMPRODUCT(分期持仓明细!$AC$25:$AD$25,'实盘净值数据(iFinD）'!$Z974:$AA974/'实盘净值数据(iFinD）'!$Z$65:$AA$65))*(1-实盘持仓初始配置!$Z$9)^(('实盘净值数据(iFinD）'!$A974-'实盘净值数据(iFinD）'!$A$8)/365))</f>
        <v/>
      </c>
      <c r="R974" s="16" t="str">
        <f t="shared" si="95"/>
        <v/>
      </c>
      <c r="S974" s="16" t="str">
        <f>IF(Q974="","",Q974/MAX(Q$5:Q974)-1)</f>
        <v/>
      </c>
    </row>
    <row r="975" spans="1:19">
      <c r="A975" s="15" t="str">
        <f>IF('实盘净值数据(iFinD）'!A975="","",'实盘净值数据(iFinD）'!A975)</f>
        <v/>
      </c>
      <c r="B975" s="13" t="str">
        <f>IF(OR('实盘净值数据(iFinD）'!$A975="",'实盘净值数据(iFinD）'!$B975=""),"",分期持仓明细!$AB$17*SUMPRODUCT(分期持仓明细!$B$17:$Y$17,'实盘净值数据(iFinD）'!$B975:$Y975/'实盘净值数据(iFinD）'!$B$20:$Y$20)*(1-实盘持仓初始配置!$Z$4)^(('实盘净值数据(iFinD）'!$A975-'实盘净值数据(iFinD）'!$A$6)/365))</f>
        <v/>
      </c>
      <c r="C975" s="16" t="str">
        <f t="shared" si="90"/>
        <v/>
      </c>
      <c r="D975" s="16" t="str">
        <f>IF(B975="","",B975/MAX(B$5:B975)-1)</f>
        <v/>
      </c>
      <c r="E975" s="13" t="str">
        <f>IF(OR('实盘净值数据(iFinD）'!$A975="",'实盘净值数据(iFinD）'!$B975=""),"",分期持仓明细!$AB$18*SUMPRODUCT(分期持仓明细!$B$18:$Y$18,'实盘净值数据(iFinD）'!$B975:$Y975/'实盘净值数据(iFinD）'!$B$20:$Y$20)*(1-实盘持仓初始配置!$Z$5)^(('实盘净值数据(iFinD）'!$A975-'实盘净值数据(iFinD）'!$A$5)/365))</f>
        <v/>
      </c>
      <c r="F975" s="16" t="str">
        <f t="shared" si="91"/>
        <v/>
      </c>
      <c r="G975" s="16" t="str">
        <f>IF(E975="","",E975/MAX(E$5:E975)-1)</f>
        <v/>
      </c>
      <c r="H975" s="13" t="str">
        <f>IF(OR('实盘净值数据(iFinD）'!$A975="",'实盘净值数据(iFinD）'!$B975=""),"",分期持仓明细!$AB$19*SUMPRODUCT(分期持仓明细!$B$19:$Y$19,'实盘净值数据(iFinD）'!$B975:$Y975/'实盘净值数据(iFinD）'!$B$20:$Y$20)*(1-实盘持仓初始配置!$Z$6)^(('实盘净值数据(iFinD）'!$A975-'实盘净值数据(iFinD）'!$A$7)/365))</f>
        <v/>
      </c>
      <c r="I975" s="16" t="str">
        <f t="shared" si="92"/>
        <v/>
      </c>
      <c r="J975" s="16" t="str">
        <f>IF(H975="","",H975/MAX(H$5:H975)-1)</f>
        <v/>
      </c>
      <c r="K975" s="13" t="str">
        <f>IF(OR('实盘净值数据(iFinD）'!$A975="",'实盘净值数据(iFinD）'!$B975="",'实盘净值数据(iFinD）'!$Z975="",'实盘净值数据(iFinD）'!$AA975=""),"",分期持仓明细!$AB$23*(SUMPRODUCT(分期持仓明细!$B$23:$Y$23,'实盘净值数据(iFinD）'!$B975:$Y975/'实盘净值数据(iFinD）'!$B$65:$Y$65)+SUMPRODUCT(分期持仓明细!$AC$23:$AD$23,'实盘净值数据(iFinD）'!$Z975:$AA975/'实盘净值数据(iFinD）'!$Z$65:$AA$65))*(1-实盘持仓初始配置!$Z$7)^(('实盘净值数据(iFinD）'!$A975-'实盘净值数据(iFinD）'!$A$8)/365))</f>
        <v/>
      </c>
      <c r="L975" s="16" t="str">
        <f t="shared" si="93"/>
        <v/>
      </c>
      <c r="M975" s="16" t="str">
        <f>IF(K975="","",K975/MAX(K$5:K975)-1)</f>
        <v/>
      </c>
      <c r="N975" s="13" t="str">
        <f>IF(OR('实盘净值数据(iFinD）'!$A975="",'实盘净值数据(iFinD）'!$B975="",'实盘净值数据(iFinD）'!$Z975="",'实盘净值数据(iFinD）'!$AA975=""),"",分期持仓明细!$AB$24*(SUMPRODUCT(分期持仓明细!$B$24:$Y$24,'实盘净值数据(iFinD）'!$B975:$Y975/'实盘净值数据(iFinD）'!$B$65:$Y$65)+SUMPRODUCT(分期持仓明细!$AC$24:$AD$24,'实盘净值数据(iFinD）'!$Z975:$AA975/'实盘净值数据(iFinD）'!$Z$65:$AA$65))*(1-实盘持仓初始配置!$Z$8)^(('实盘净值数据(iFinD）'!$A975-'实盘净值数据(iFinD）'!$A$5)/365))</f>
        <v/>
      </c>
      <c r="O975" s="16" t="str">
        <f t="shared" si="94"/>
        <v/>
      </c>
      <c r="P975" s="16" t="str">
        <f>IF(N975="","",N975/MAX(N$5:N975)-1)</f>
        <v/>
      </c>
      <c r="Q975" s="13" t="str">
        <f>IF(OR('实盘净值数据(iFinD）'!$A975="",'实盘净值数据(iFinD）'!$B975="",'实盘净值数据(iFinD）'!$Z975="",'实盘净值数据(iFinD）'!$AA975=""),"",分期持仓明细!$AB$25*(SUMPRODUCT(分期持仓明细!$B$25:$Y$25,'实盘净值数据(iFinD）'!$B975:$Y975/'实盘净值数据(iFinD）'!$B$65:$Y$65)+SUMPRODUCT(分期持仓明细!$AC$25:$AD$25,'实盘净值数据(iFinD）'!$Z975:$AA975/'实盘净值数据(iFinD）'!$Z$65:$AA$65))*(1-实盘持仓初始配置!$Z$9)^(('实盘净值数据(iFinD）'!$A975-'实盘净值数据(iFinD）'!$A$8)/365))</f>
        <v/>
      </c>
      <c r="R975" s="16" t="str">
        <f t="shared" si="95"/>
        <v/>
      </c>
      <c r="S975" s="16" t="str">
        <f>IF(Q975="","",Q975/MAX(Q$5:Q975)-1)</f>
        <v/>
      </c>
    </row>
    <row r="976" spans="1:19">
      <c r="A976" s="15" t="str">
        <f>IF('实盘净值数据(iFinD）'!A976="","",'实盘净值数据(iFinD）'!A976)</f>
        <v/>
      </c>
      <c r="B976" s="13" t="str">
        <f>IF(OR('实盘净值数据(iFinD）'!$A976="",'实盘净值数据(iFinD）'!$B976=""),"",分期持仓明细!$AB$17*SUMPRODUCT(分期持仓明细!$B$17:$Y$17,'实盘净值数据(iFinD）'!$B976:$Y976/'实盘净值数据(iFinD）'!$B$20:$Y$20)*(1-实盘持仓初始配置!$Z$4)^(('实盘净值数据(iFinD）'!$A976-'实盘净值数据(iFinD）'!$A$6)/365))</f>
        <v/>
      </c>
      <c r="C976" s="16" t="str">
        <f t="shared" si="90"/>
        <v/>
      </c>
      <c r="D976" s="16" t="str">
        <f>IF(B976="","",B976/MAX(B$5:B976)-1)</f>
        <v/>
      </c>
      <c r="E976" s="13" t="str">
        <f>IF(OR('实盘净值数据(iFinD）'!$A976="",'实盘净值数据(iFinD）'!$B976=""),"",分期持仓明细!$AB$18*SUMPRODUCT(分期持仓明细!$B$18:$Y$18,'实盘净值数据(iFinD）'!$B976:$Y976/'实盘净值数据(iFinD）'!$B$20:$Y$20)*(1-实盘持仓初始配置!$Z$5)^(('实盘净值数据(iFinD）'!$A976-'实盘净值数据(iFinD）'!$A$5)/365))</f>
        <v/>
      </c>
      <c r="F976" s="16" t="str">
        <f t="shared" si="91"/>
        <v/>
      </c>
      <c r="G976" s="16" t="str">
        <f>IF(E976="","",E976/MAX(E$5:E976)-1)</f>
        <v/>
      </c>
      <c r="H976" s="13" t="str">
        <f>IF(OR('实盘净值数据(iFinD）'!$A976="",'实盘净值数据(iFinD）'!$B976=""),"",分期持仓明细!$AB$19*SUMPRODUCT(分期持仓明细!$B$19:$Y$19,'实盘净值数据(iFinD）'!$B976:$Y976/'实盘净值数据(iFinD）'!$B$20:$Y$20)*(1-实盘持仓初始配置!$Z$6)^(('实盘净值数据(iFinD）'!$A976-'实盘净值数据(iFinD）'!$A$7)/365))</f>
        <v/>
      </c>
      <c r="I976" s="16" t="str">
        <f t="shared" si="92"/>
        <v/>
      </c>
      <c r="J976" s="16" t="str">
        <f>IF(H976="","",H976/MAX(H$5:H976)-1)</f>
        <v/>
      </c>
      <c r="K976" s="13" t="str">
        <f>IF(OR('实盘净值数据(iFinD）'!$A976="",'实盘净值数据(iFinD）'!$B976="",'实盘净值数据(iFinD）'!$Z976="",'实盘净值数据(iFinD）'!$AA976=""),"",分期持仓明细!$AB$23*(SUMPRODUCT(分期持仓明细!$B$23:$Y$23,'实盘净值数据(iFinD）'!$B976:$Y976/'实盘净值数据(iFinD）'!$B$65:$Y$65)+SUMPRODUCT(分期持仓明细!$AC$23:$AD$23,'实盘净值数据(iFinD）'!$Z976:$AA976/'实盘净值数据(iFinD）'!$Z$65:$AA$65))*(1-实盘持仓初始配置!$Z$7)^(('实盘净值数据(iFinD）'!$A976-'实盘净值数据(iFinD）'!$A$8)/365))</f>
        <v/>
      </c>
      <c r="L976" s="16" t="str">
        <f t="shared" si="93"/>
        <v/>
      </c>
      <c r="M976" s="16" t="str">
        <f>IF(K976="","",K976/MAX(K$5:K976)-1)</f>
        <v/>
      </c>
      <c r="N976" s="13" t="str">
        <f>IF(OR('实盘净值数据(iFinD）'!$A976="",'实盘净值数据(iFinD）'!$B976="",'实盘净值数据(iFinD）'!$Z976="",'实盘净值数据(iFinD）'!$AA976=""),"",分期持仓明细!$AB$24*(SUMPRODUCT(分期持仓明细!$B$24:$Y$24,'实盘净值数据(iFinD）'!$B976:$Y976/'实盘净值数据(iFinD）'!$B$65:$Y$65)+SUMPRODUCT(分期持仓明细!$AC$24:$AD$24,'实盘净值数据(iFinD）'!$Z976:$AA976/'实盘净值数据(iFinD）'!$Z$65:$AA$65))*(1-实盘持仓初始配置!$Z$8)^(('实盘净值数据(iFinD）'!$A976-'实盘净值数据(iFinD）'!$A$5)/365))</f>
        <v/>
      </c>
      <c r="O976" s="16" t="str">
        <f t="shared" si="94"/>
        <v/>
      </c>
      <c r="P976" s="16" t="str">
        <f>IF(N976="","",N976/MAX(N$5:N976)-1)</f>
        <v/>
      </c>
      <c r="Q976" s="13" t="str">
        <f>IF(OR('实盘净值数据(iFinD）'!$A976="",'实盘净值数据(iFinD）'!$B976="",'实盘净值数据(iFinD）'!$Z976="",'实盘净值数据(iFinD）'!$AA976=""),"",分期持仓明细!$AB$25*(SUMPRODUCT(分期持仓明细!$B$25:$Y$25,'实盘净值数据(iFinD）'!$B976:$Y976/'实盘净值数据(iFinD）'!$B$65:$Y$65)+SUMPRODUCT(分期持仓明细!$AC$25:$AD$25,'实盘净值数据(iFinD）'!$Z976:$AA976/'实盘净值数据(iFinD）'!$Z$65:$AA$65))*(1-实盘持仓初始配置!$Z$9)^(('实盘净值数据(iFinD）'!$A976-'实盘净值数据(iFinD）'!$A$8)/365))</f>
        <v/>
      </c>
      <c r="R976" s="16" t="str">
        <f t="shared" si="95"/>
        <v/>
      </c>
      <c r="S976" s="16" t="str">
        <f>IF(Q976="","",Q976/MAX(Q$5:Q976)-1)</f>
        <v/>
      </c>
    </row>
    <row r="977" spans="1:19">
      <c r="A977" s="15" t="str">
        <f>IF('实盘净值数据(iFinD）'!A977="","",'实盘净值数据(iFinD）'!A977)</f>
        <v/>
      </c>
      <c r="B977" s="13" t="str">
        <f>IF(OR('实盘净值数据(iFinD）'!$A977="",'实盘净值数据(iFinD）'!$B977=""),"",分期持仓明细!$AB$17*SUMPRODUCT(分期持仓明细!$B$17:$Y$17,'实盘净值数据(iFinD）'!$B977:$Y977/'实盘净值数据(iFinD）'!$B$20:$Y$20)*(1-实盘持仓初始配置!$Z$4)^(('实盘净值数据(iFinD）'!$A977-'实盘净值数据(iFinD）'!$A$6)/365))</f>
        <v/>
      </c>
      <c r="C977" s="16" t="str">
        <f t="shared" si="90"/>
        <v/>
      </c>
      <c r="D977" s="16" t="str">
        <f>IF(B977="","",B977/MAX(B$5:B977)-1)</f>
        <v/>
      </c>
      <c r="E977" s="13" t="str">
        <f>IF(OR('实盘净值数据(iFinD）'!$A977="",'实盘净值数据(iFinD）'!$B977=""),"",分期持仓明细!$AB$18*SUMPRODUCT(分期持仓明细!$B$18:$Y$18,'实盘净值数据(iFinD）'!$B977:$Y977/'实盘净值数据(iFinD）'!$B$20:$Y$20)*(1-实盘持仓初始配置!$Z$5)^(('实盘净值数据(iFinD）'!$A977-'实盘净值数据(iFinD）'!$A$5)/365))</f>
        <v/>
      </c>
      <c r="F977" s="16" t="str">
        <f t="shared" si="91"/>
        <v/>
      </c>
      <c r="G977" s="16" t="str">
        <f>IF(E977="","",E977/MAX(E$5:E977)-1)</f>
        <v/>
      </c>
      <c r="H977" s="13" t="str">
        <f>IF(OR('实盘净值数据(iFinD）'!$A977="",'实盘净值数据(iFinD）'!$B977=""),"",分期持仓明细!$AB$19*SUMPRODUCT(分期持仓明细!$B$19:$Y$19,'实盘净值数据(iFinD）'!$B977:$Y977/'实盘净值数据(iFinD）'!$B$20:$Y$20)*(1-实盘持仓初始配置!$Z$6)^(('实盘净值数据(iFinD）'!$A977-'实盘净值数据(iFinD）'!$A$7)/365))</f>
        <v/>
      </c>
      <c r="I977" s="16" t="str">
        <f t="shared" si="92"/>
        <v/>
      </c>
      <c r="J977" s="16" t="str">
        <f>IF(H977="","",H977/MAX(H$5:H977)-1)</f>
        <v/>
      </c>
      <c r="K977" s="13" t="str">
        <f>IF(OR('实盘净值数据(iFinD）'!$A977="",'实盘净值数据(iFinD）'!$B977="",'实盘净值数据(iFinD）'!$Z977="",'实盘净值数据(iFinD）'!$AA977=""),"",分期持仓明细!$AB$23*(SUMPRODUCT(分期持仓明细!$B$23:$Y$23,'实盘净值数据(iFinD）'!$B977:$Y977/'实盘净值数据(iFinD）'!$B$65:$Y$65)+SUMPRODUCT(分期持仓明细!$AC$23:$AD$23,'实盘净值数据(iFinD）'!$Z977:$AA977/'实盘净值数据(iFinD）'!$Z$65:$AA$65))*(1-实盘持仓初始配置!$Z$7)^(('实盘净值数据(iFinD）'!$A977-'实盘净值数据(iFinD）'!$A$8)/365))</f>
        <v/>
      </c>
      <c r="L977" s="16" t="str">
        <f t="shared" si="93"/>
        <v/>
      </c>
      <c r="M977" s="16" t="str">
        <f>IF(K977="","",K977/MAX(K$5:K977)-1)</f>
        <v/>
      </c>
      <c r="N977" s="13" t="str">
        <f>IF(OR('实盘净值数据(iFinD）'!$A977="",'实盘净值数据(iFinD）'!$B977="",'实盘净值数据(iFinD）'!$Z977="",'实盘净值数据(iFinD）'!$AA977=""),"",分期持仓明细!$AB$24*(SUMPRODUCT(分期持仓明细!$B$24:$Y$24,'实盘净值数据(iFinD）'!$B977:$Y977/'实盘净值数据(iFinD）'!$B$65:$Y$65)+SUMPRODUCT(分期持仓明细!$AC$24:$AD$24,'实盘净值数据(iFinD）'!$Z977:$AA977/'实盘净值数据(iFinD）'!$Z$65:$AA$65))*(1-实盘持仓初始配置!$Z$8)^(('实盘净值数据(iFinD）'!$A977-'实盘净值数据(iFinD）'!$A$5)/365))</f>
        <v/>
      </c>
      <c r="O977" s="16" t="str">
        <f t="shared" si="94"/>
        <v/>
      </c>
      <c r="P977" s="16" t="str">
        <f>IF(N977="","",N977/MAX(N$5:N977)-1)</f>
        <v/>
      </c>
      <c r="Q977" s="13" t="str">
        <f>IF(OR('实盘净值数据(iFinD）'!$A977="",'实盘净值数据(iFinD）'!$B977="",'实盘净值数据(iFinD）'!$Z977="",'实盘净值数据(iFinD）'!$AA977=""),"",分期持仓明细!$AB$25*(SUMPRODUCT(分期持仓明细!$B$25:$Y$25,'实盘净值数据(iFinD）'!$B977:$Y977/'实盘净值数据(iFinD）'!$B$65:$Y$65)+SUMPRODUCT(分期持仓明细!$AC$25:$AD$25,'实盘净值数据(iFinD）'!$Z977:$AA977/'实盘净值数据(iFinD）'!$Z$65:$AA$65))*(1-实盘持仓初始配置!$Z$9)^(('实盘净值数据(iFinD）'!$A977-'实盘净值数据(iFinD）'!$A$8)/365))</f>
        <v/>
      </c>
      <c r="R977" s="16" t="str">
        <f t="shared" si="95"/>
        <v/>
      </c>
      <c r="S977" s="16" t="str">
        <f>IF(Q977="","",Q977/MAX(Q$5:Q977)-1)</f>
        <v/>
      </c>
    </row>
    <row r="978" spans="1:19">
      <c r="A978" s="15" t="str">
        <f>IF('实盘净值数据(iFinD）'!A978="","",'实盘净值数据(iFinD）'!A978)</f>
        <v/>
      </c>
      <c r="B978" s="13" t="str">
        <f>IF(OR('实盘净值数据(iFinD）'!$A978="",'实盘净值数据(iFinD）'!$B978=""),"",分期持仓明细!$AB$17*SUMPRODUCT(分期持仓明细!$B$17:$Y$17,'实盘净值数据(iFinD）'!$B978:$Y978/'实盘净值数据(iFinD）'!$B$20:$Y$20)*(1-实盘持仓初始配置!$Z$4)^(('实盘净值数据(iFinD）'!$A978-'实盘净值数据(iFinD）'!$A$6)/365))</f>
        <v/>
      </c>
      <c r="C978" s="16" t="str">
        <f t="shared" si="90"/>
        <v/>
      </c>
      <c r="D978" s="16" t="str">
        <f>IF(B978="","",B978/MAX(B$5:B978)-1)</f>
        <v/>
      </c>
      <c r="E978" s="13" t="str">
        <f>IF(OR('实盘净值数据(iFinD）'!$A978="",'实盘净值数据(iFinD）'!$B978=""),"",分期持仓明细!$AB$18*SUMPRODUCT(分期持仓明细!$B$18:$Y$18,'实盘净值数据(iFinD）'!$B978:$Y978/'实盘净值数据(iFinD）'!$B$20:$Y$20)*(1-实盘持仓初始配置!$Z$5)^(('实盘净值数据(iFinD）'!$A978-'实盘净值数据(iFinD）'!$A$5)/365))</f>
        <v/>
      </c>
      <c r="F978" s="16" t="str">
        <f t="shared" si="91"/>
        <v/>
      </c>
      <c r="G978" s="16" t="str">
        <f>IF(E978="","",E978/MAX(E$5:E978)-1)</f>
        <v/>
      </c>
      <c r="H978" s="13" t="str">
        <f>IF(OR('实盘净值数据(iFinD）'!$A978="",'实盘净值数据(iFinD）'!$B978=""),"",分期持仓明细!$AB$19*SUMPRODUCT(分期持仓明细!$B$19:$Y$19,'实盘净值数据(iFinD）'!$B978:$Y978/'实盘净值数据(iFinD）'!$B$20:$Y$20)*(1-实盘持仓初始配置!$Z$6)^(('实盘净值数据(iFinD）'!$A978-'实盘净值数据(iFinD）'!$A$7)/365))</f>
        <v/>
      </c>
      <c r="I978" s="16" t="str">
        <f t="shared" si="92"/>
        <v/>
      </c>
      <c r="J978" s="16" t="str">
        <f>IF(H978="","",H978/MAX(H$5:H978)-1)</f>
        <v/>
      </c>
      <c r="K978" s="13" t="str">
        <f>IF(OR('实盘净值数据(iFinD）'!$A978="",'实盘净值数据(iFinD）'!$B978="",'实盘净值数据(iFinD）'!$Z978="",'实盘净值数据(iFinD）'!$AA978=""),"",分期持仓明细!$AB$23*(SUMPRODUCT(分期持仓明细!$B$23:$Y$23,'实盘净值数据(iFinD）'!$B978:$Y978/'实盘净值数据(iFinD）'!$B$65:$Y$65)+SUMPRODUCT(分期持仓明细!$AC$23:$AD$23,'实盘净值数据(iFinD）'!$Z978:$AA978/'实盘净值数据(iFinD）'!$Z$65:$AA$65))*(1-实盘持仓初始配置!$Z$7)^(('实盘净值数据(iFinD）'!$A978-'实盘净值数据(iFinD）'!$A$8)/365))</f>
        <v/>
      </c>
      <c r="L978" s="16" t="str">
        <f t="shared" si="93"/>
        <v/>
      </c>
      <c r="M978" s="16" t="str">
        <f>IF(K978="","",K978/MAX(K$5:K978)-1)</f>
        <v/>
      </c>
      <c r="N978" s="13" t="str">
        <f>IF(OR('实盘净值数据(iFinD）'!$A978="",'实盘净值数据(iFinD）'!$B978="",'实盘净值数据(iFinD）'!$Z978="",'实盘净值数据(iFinD）'!$AA978=""),"",分期持仓明细!$AB$24*(SUMPRODUCT(分期持仓明细!$B$24:$Y$24,'实盘净值数据(iFinD）'!$B978:$Y978/'实盘净值数据(iFinD）'!$B$65:$Y$65)+SUMPRODUCT(分期持仓明细!$AC$24:$AD$24,'实盘净值数据(iFinD）'!$Z978:$AA978/'实盘净值数据(iFinD）'!$Z$65:$AA$65))*(1-实盘持仓初始配置!$Z$8)^(('实盘净值数据(iFinD）'!$A978-'实盘净值数据(iFinD）'!$A$5)/365))</f>
        <v/>
      </c>
      <c r="O978" s="16" t="str">
        <f t="shared" si="94"/>
        <v/>
      </c>
      <c r="P978" s="16" t="str">
        <f>IF(N978="","",N978/MAX(N$5:N978)-1)</f>
        <v/>
      </c>
      <c r="Q978" s="13" t="str">
        <f>IF(OR('实盘净值数据(iFinD）'!$A978="",'实盘净值数据(iFinD）'!$B978="",'实盘净值数据(iFinD）'!$Z978="",'实盘净值数据(iFinD）'!$AA978=""),"",分期持仓明细!$AB$25*(SUMPRODUCT(分期持仓明细!$B$25:$Y$25,'实盘净值数据(iFinD）'!$B978:$Y978/'实盘净值数据(iFinD）'!$B$65:$Y$65)+SUMPRODUCT(分期持仓明细!$AC$25:$AD$25,'实盘净值数据(iFinD）'!$Z978:$AA978/'实盘净值数据(iFinD）'!$Z$65:$AA$65))*(1-实盘持仓初始配置!$Z$9)^(('实盘净值数据(iFinD）'!$A978-'实盘净值数据(iFinD）'!$A$8)/365))</f>
        <v/>
      </c>
      <c r="R978" s="16" t="str">
        <f t="shared" si="95"/>
        <v/>
      </c>
      <c r="S978" s="16" t="str">
        <f>IF(Q978="","",Q978/MAX(Q$5:Q978)-1)</f>
        <v/>
      </c>
    </row>
    <row r="979" spans="1:19">
      <c r="A979" s="15" t="str">
        <f>IF('实盘净值数据(iFinD）'!A979="","",'实盘净值数据(iFinD）'!A979)</f>
        <v/>
      </c>
      <c r="B979" s="13" t="str">
        <f>IF(OR('实盘净值数据(iFinD）'!$A979="",'实盘净值数据(iFinD）'!$B979=""),"",分期持仓明细!$AB$17*SUMPRODUCT(分期持仓明细!$B$17:$Y$17,'实盘净值数据(iFinD）'!$B979:$Y979/'实盘净值数据(iFinD）'!$B$20:$Y$20)*(1-实盘持仓初始配置!$Z$4)^(('实盘净值数据(iFinD）'!$A979-'实盘净值数据(iFinD）'!$A$6)/365))</f>
        <v/>
      </c>
      <c r="C979" s="16" t="str">
        <f t="shared" si="90"/>
        <v/>
      </c>
      <c r="D979" s="16" t="str">
        <f>IF(B979="","",B979/MAX(B$5:B979)-1)</f>
        <v/>
      </c>
      <c r="E979" s="13" t="str">
        <f>IF(OR('实盘净值数据(iFinD）'!$A979="",'实盘净值数据(iFinD）'!$B979=""),"",分期持仓明细!$AB$18*SUMPRODUCT(分期持仓明细!$B$18:$Y$18,'实盘净值数据(iFinD）'!$B979:$Y979/'实盘净值数据(iFinD）'!$B$20:$Y$20)*(1-实盘持仓初始配置!$Z$5)^(('实盘净值数据(iFinD）'!$A979-'实盘净值数据(iFinD）'!$A$5)/365))</f>
        <v/>
      </c>
      <c r="F979" s="16" t="str">
        <f t="shared" si="91"/>
        <v/>
      </c>
      <c r="G979" s="16" t="str">
        <f>IF(E979="","",E979/MAX(E$5:E979)-1)</f>
        <v/>
      </c>
      <c r="H979" s="13" t="str">
        <f>IF(OR('实盘净值数据(iFinD）'!$A979="",'实盘净值数据(iFinD）'!$B979=""),"",分期持仓明细!$AB$19*SUMPRODUCT(分期持仓明细!$B$19:$Y$19,'实盘净值数据(iFinD）'!$B979:$Y979/'实盘净值数据(iFinD）'!$B$20:$Y$20)*(1-实盘持仓初始配置!$Z$6)^(('实盘净值数据(iFinD）'!$A979-'实盘净值数据(iFinD）'!$A$7)/365))</f>
        <v/>
      </c>
      <c r="I979" s="16" t="str">
        <f t="shared" si="92"/>
        <v/>
      </c>
      <c r="J979" s="16" t="str">
        <f>IF(H979="","",H979/MAX(H$5:H979)-1)</f>
        <v/>
      </c>
      <c r="K979" s="13" t="str">
        <f>IF(OR('实盘净值数据(iFinD）'!$A979="",'实盘净值数据(iFinD）'!$B979="",'实盘净值数据(iFinD）'!$Z979="",'实盘净值数据(iFinD）'!$AA979=""),"",分期持仓明细!$AB$23*(SUMPRODUCT(分期持仓明细!$B$23:$Y$23,'实盘净值数据(iFinD）'!$B979:$Y979/'实盘净值数据(iFinD）'!$B$65:$Y$65)+SUMPRODUCT(分期持仓明细!$AC$23:$AD$23,'实盘净值数据(iFinD）'!$Z979:$AA979/'实盘净值数据(iFinD）'!$Z$65:$AA$65))*(1-实盘持仓初始配置!$Z$7)^(('实盘净值数据(iFinD）'!$A979-'实盘净值数据(iFinD）'!$A$8)/365))</f>
        <v/>
      </c>
      <c r="L979" s="16" t="str">
        <f t="shared" si="93"/>
        <v/>
      </c>
      <c r="M979" s="16" t="str">
        <f>IF(K979="","",K979/MAX(K$5:K979)-1)</f>
        <v/>
      </c>
      <c r="N979" s="13" t="str">
        <f>IF(OR('实盘净值数据(iFinD）'!$A979="",'实盘净值数据(iFinD）'!$B979="",'实盘净值数据(iFinD）'!$Z979="",'实盘净值数据(iFinD）'!$AA979=""),"",分期持仓明细!$AB$24*(SUMPRODUCT(分期持仓明细!$B$24:$Y$24,'实盘净值数据(iFinD）'!$B979:$Y979/'实盘净值数据(iFinD）'!$B$65:$Y$65)+SUMPRODUCT(分期持仓明细!$AC$24:$AD$24,'实盘净值数据(iFinD）'!$Z979:$AA979/'实盘净值数据(iFinD）'!$Z$65:$AA$65))*(1-实盘持仓初始配置!$Z$8)^(('实盘净值数据(iFinD）'!$A979-'实盘净值数据(iFinD）'!$A$5)/365))</f>
        <v/>
      </c>
      <c r="O979" s="16" t="str">
        <f t="shared" si="94"/>
        <v/>
      </c>
      <c r="P979" s="16" t="str">
        <f>IF(N979="","",N979/MAX(N$5:N979)-1)</f>
        <v/>
      </c>
      <c r="Q979" s="13" t="str">
        <f>IF(OR('实盘净值数据(iFinD）'!$A979="",'实盘净值数据(iFinD）'!$B979="",'实盘净值数据(iFinD）'!$Z979="",'实盘净值数据(iFinD）'!$AA979=""),"",分期持仓明细!$AB$25*(SUMPRODUCT(分期持仓明细!$B$25:$Y$25,'实盘净值数据(iFinD）'!$B979:$Y979/'实盘净值数据(iFinD）'!$B$65:$Y$65)+SUMPRODUCT(分期持仓明细!$AC$25:$AD$25,'实盘净值数据(iFinD）'!$Z979:$AA979/'实盘净值数据(iFinD）'!$Z$65:$AA$65))*(1-实盘持仓初始配置!$Z$9)^(('实盘净值数据(iFinD）'!$A979-'实盘净值数据(iFinD）'!$A$8)/365))</f>
        <v/>
      </c>
      <c r="R979" s="16" t="str">
        <f t="shared" si="95"/>
        <v/>
      </c>
      <c r="S979" s="16" t="str">
        <f>IF(Q979="","",Q979/MAX(Q$5:Q979)-1)</f>
        <v/>
      </c>
    </row>
    <row r="980" spans="1:19">
      <c r="A980" s="15" t="str">
        <f>IF('实盘净值数据(iFinD）'!A980="","",'实盘净值数据(iFinD）'!A980)</f>
        <v/>
      </c>
      <c r="B980" s="13" t="str">
        <f>IF(OR('实盘净值数据(iFinD）'!$A980="",'实盘净值数据(iFinD）'!$B980=""),"",分期持仓明细!$AB$17*SUMPRODUCT(分期持仓明细!$B$17:$Y$17,'实盘净值数据(iFinD）'!$B980:$Y980/'实盘净值数据(iFinD）'!$B$20:$Y$20)*(1-实盘持仓初始配置!$Z$4)^(('实盘净值数据(iFinD）'!$A980-'实盘净值数据(iFinD）'!$A$6)/365))</f>
        <v/>
      </c>
      <c r="C980" s="16" t="str">
        <f t="shared" si="90"/>
        <v/>
      </c>
      <c r="D980" s="16" t="str">
        <f>IF(B980="","",B980/MAX(B$5:B980)-1)</f>
        <v/>
      </c>
      <c r="E980" s="13" t="str">
        <f>IF(OR('实盘净值数据(iFinD）'!$A980="",'实盘净值数据(iFinD）'!$B980=""),"",分期持仓明细!$AB$18*SUMPRODUCT(分期持仓明细!$B$18:$Y$18,'实盘净值数据(iFinD）'!$B980:$Y980/'实盘净值数据(iFinD）'!$B$20:$Y$20)*(1-实盘持仓初始配置!$Z$5)^(('实盘净值数据(iFinD）'!$A980-'实盘净值数据(iFinD）'!$A$5)/365))</f>
        <v/>
      </c>
      <c r="F980" s="16" t="str">
        <f t="shared" si="91"/>
        <v/>
      </c>
      <c r="G980" s="16" t="str">
        <f>IF(E980="","",E980/MAX(E$5:E980)-1)</f>
        <v/>
      </c>
      <c r="H980" s="13" t="str">
        <f>IF(OR('实盘净值数据(iFinD）'!$A980="",'实盘净值数据(iFinD）'!$B980=""),"",分期持仓明细!$AB$19*SUMPRODUCT(分期持仓明细!$B$19:$Y$19,'实盘净值数据(iFinD）'!$B980:$Y980/'实盘净值数据(iFinD）'!$B$20:$Y$20)*(1-实盘持仓初始配置!$Z$6)^(('实盘净值数据(iFinD）'!$A980-'实盘净值数据(iFinD）'!$A$7)/365))</f>
        <v/>
      </c>
      <c r="I980" s="16" t="str">
        <f t="shared" si="92"/>
        <v/>
      </c>
      <c r="J980" s="16" t="str">
        <f>IF(H980="","",H980/MAX(H$5:H980)-1)</f>
        <v/>
      </c>
      <c r="K980" s="13" t="str">
        <f>IF(OR('实盘净值数据(iFinD）'!$A980="",'实盘净值数据(iFinD）'!$B980="",'实盘净值数据(iFinD）'!$Z980="",'实盘净值数据(iFinD）'!$AA980=""),"",分期持仓明细!$AB$23*(SUMPRODUCT(分期持仓明细!$B$23:$Y$23,'实盘净值数据(iFinD）'!$B980:$Y980/'实盘净值数据(iFinD）'!$B$65:$Y$65)+SUMPRODUCT(分期持仓明细!$AC$23:$AD$23,'实盘净值数据(iFinD）'!$Z980:$AA980/'实盘净值数据(iFinD）'!$Z$65:$AA$65))*(1-实盘持仓初始配置!$Z$7)^(('实盘净值数据(iFinD）'!$A980-'实盘净值数据(iFinD）'!$A$8)/365))</f>
        <v/>
      </c>
      <c r="L980" s="16" t="str">
        <f t="shared" si="93"/>
        <v/>
      </c>
      <c r="M980" s="16" t="str">
        <f>IF(K980="","",K980/MAX(K$5:K980)-1)</f>
        <v/>
      </c>
      <c r="N980" s="13" t="str">
        <f>IF(OR('实盘净值数据(iFinD）'!$A980="",'实盘净值数据(iFinD）'!$B980="",'实盘净值数据(iFinD）'!$Z980="",'实盘净值数据(iFinD）'!$AA980=""),"",分期持仓明细!$AB$24*(SUMPRODUCT(分期持仓明细!$B$24:$Y$24,'实盘净值数据(iFinD）'!$B980:$Y980/'实盘净值数据(iFinD）'!$B$65:$Y$65)+SUMPRODUCT(分期持仓明细!$AC$24:$AD$24,'实盘净值数据(iFinD）'!$Z980:$AA980/'实盘净值数据(iFinD）'!$Z$65:$AA$65))*(1-实盘持仓初始配置!$Z$8)^(('实盘净值数据(iFinD）'!$A980-'实盘净值数据(iFinD）'!$A$5)/365))</f>
        <v/>
      </c>
      <c r="O980" s="16" t="str">
        <f t="shared" si="94"/>
        <v/>
      </c>
      <c r="P980" s="16" t="str">
        <f>IF(N980="","",N980/MAX(N$5:N980)-1)</f>
        <v/>
      </c>
      <c r="Q980" s="13" t="str">
        <f>IF(OR('实盘净值数据(iFinD）'!$A980="",'实盘净值数据(iFinD）'!$B980="",'实盘净值数据(iFinD）'!$Z980="",'实盘净值数据(iFinD）'!$AA980=""),"",分期持仓明细!$AB$25*(SUMPRODUCT(分期持仓明细!$B$25:$Y$25,'实盘净值数据(iFinD）'!$B980:$Y980/'实盘净值数据(iFinD）'!$B$65:$Y$65)+SUMPRODUCT(分期持仓明细!$AC$25:$AD$25,'实盘净值数据(iFinD）'!$Z980:$AA980/'实盘净值数据(iFinD）'!$Z$65:$AA$65))*(1-实盘持仓初始配置!$Z$9)^(('实盘净值数据(iFinD）'!$A980-'实盘净值数据(iFinD）'!$A$8)/365))</f>
        <v/>
      </c>
      <c r="R980" s="16" t="str">
        <f t="shared" si="95"/>
        <v/>
      </c>
      <c r="S980" s="16" t="str">
        <f>IF(Q980="","",Q980/MAX(Q$5:Q980)-1)</f>
        <v/>
      </c>
    </row>
    <row r="981" spans="1:19">
      <c r="A981" s="15" t="str">
        <f>IF('实盘净值数据(iFinD）'!A981="","",'实盘净值数据(iFinD）'!A981)</f>
        <v/>
      </c>
      <c r="B981" s="13" t="str">
        <f>IF(OR('实盘净值数据(iFinD）'!$A981="",'实盘净值数据(iFinD）'!$B981=""),"",分期持仓明细!$AB$17*SUMPRODUCT(分期持仓明细!$B$17:$Y$17,'实盘净值数据(iFinD）'!$B981:$Y981/'实盘净值数据(iFinD）'!$B$20:$Y$20)*(1-实盘持仓初始配置!$Z$4)^(('实盘净值数据(iFinD）'!$A981-'实盘净值数据(iFinD）'!$A$6)/365))</f>
        <v/>
      </c>
      <c r="C981" s="16" t="str">
        <f t="shared" si="90"/>
        <v/>
      </c>
      <c r="D981" s="16" t="str">
        <f>IF(B981="","",B981/MAX(B$5:B981)-1)</f>
        <v/>
      </c>
      <c r="E981" s="13" t="str">
        <f>IF(OR('实盘净值数据(iFinD）'!$A981="",'实盘净值数据(iFinD）'!$B981=""),"",分期持仓明细!$AB$18*SUMPRODUCT(分期持仓明细!$B$18:$Y$18,'实盘净值数据(iFinD）'!$B981:$Y981/'实盘净值数据(iFinD）'!$B$20:$Y$20)*(1-实盘持仓初始配置!$Z$5)^(('实盘净值数据(iFinD）'!$A981-'实盘净值数据(iFinD）'!$A$5)/365))</f>
        <v/>
      </c>
      <c r="F981" s="16" t="str">
        <f t="shared" si="91"/>
        <v/>
      </c>
      <c r="G981" s="16" t="str">
        <f>IF(E981="","",E981/MAX(E$5:E981)-1)</f>
        <v/>
      </c>
      <c r="H981" s="13" t="str">
        <f>IF(OR('实盘净值数据(iFinD）'!$A981="",'实盘净值数据(iFinD）'!$B981=""),"",分期持仓明细!$AB$19*SUMPRODUCT(分期持仓明细!$B$19:$Y$19,'实盘净值数据(iFinD）'!$B981:$Y981/'实盘净值数据(iFinD）'!$B$20:$Y$20)*(1-实盘持仓初始配置!$Z$6)^(('实盘净值数据(iFinD）'!$A981-'实盘净值数据(iFinD）'!$A$7)/365))</f>
        <v/>
      </c>
      <c r="I981" s="16" t="str">
        <f t="shared" si="92"/>
        <v/>
      </c>
      <c r="J981" s="16" t="str">
        <f>IF(H981="","",H981/MAX(H$5:H981)-1)</f>
        <v/>
      </c>
      <c r="K981" s="13" t="str">
        <f>IF(OR('实盘净值数据(iFinD）'!$A981="",'实盘净值数据(iFinD）'!$B981="",'实盘净值数据(iFinD）'!$Z981="",'实盘净值数据(iFinD）'!$AA981=""),"",分期持仓明细!$AB$23*(SUMPRODUCT(分期持仓明细!$B$23:$Y$23,'实盘净值数据(iFinD）'!$B981:$Y981/'实盘净值数据(iFinD）'!$B$65:$Y$65)+SUMPRODUCT(分期持仓明细!$AC$23:$AD$23,'实盘净值数据(iFinD）'!$Z981:$AA981/'实盘净值数据(iFinD）'!$Z$65:$AA$65))*(1-实盘持仓初始配置!$Z$7)^(('实盘净值数据(iFinD）'!$A981-'实盘净值数据(iFinD）'!$A$8)/365))</f>
        <v/>
      </c>
      <c r="L981" s="16" t="str">
        <f t="shared" si="93"/>
        <v/>
      </c>
      <c r="M981" s="16" t="str">
        <f>IF(K981="","",K981/MAX(K$5:K981)-1)</f>
        <v/>
      </c>
      <c r="N981" s="13" t="str">
        <f>IF(OR('实盘净值数据(iFinD）'!$A981="",'实盘净值数据(iFinD）'!$B981="",'实盘净值数据(iFinD）'!$Z981="",'实盘净值数据(iFinD）'!$AA981=""),"",分期持仓明细!$AB$24*(SUMPRODUCT(分期持仓明细!$B$24:$Y$24,'实盘净值数据(iFinD）'!$B981:$Y981/'实盘净值数据(iFinD）'!$B$65:$Y$65)+SUMPRODUCT(分期持仓明细!$AC$24:$AD$24,'实盘净值数据(iFinD）'!$Z981:$AA981/'实盘净值数据(iFinD）'!$Z$65:$AA$65))*(1-实盘持仓初始配置!$Z$8)^(('实盘净值数据(iFinD）'!$A981-'实盘净值数据(iFinD）'!$A$5)/365))</f>
        <v/>
      </c>
      <c r="O981" s="16" t="str">
        <f t="shared" si="94"/>
        <v/>
      </c>
      <c r="P981" s="16" t="str">
        <f>IF(N981="","",N981/MAX(N$5:N981)-1)</f>
        <v/>
      </c>
      <c r="Q981" s="13" t="str">
        <f>IF(OR('实盘净值数据(iFinD）'!$A981="",'实盘净值数据(iFinD）'!$B981="",'实盘净值数据(iFinD）'!$Z981="",'实盘净值数据(iFinD）'!$AA981=""),"",分期持仓明细!$AB$25*(SUMPRODUCT(分期持仓明细!$B$25:$Y$25,'实盘净值数据(iFinD）'!$B981:$Y981/'实盘净值数据(iFinD）'!$B$65:$Y$65)+SUMPRODUCT(分期持仓明细!$AC$25:$AD$25,'实盘净值数据(iFinD）'!$Z981:$AA981/'实盘净值数据(iFinD）'!$Z$65:$AA$65))*(1-实盘持仓初始配置!$Z$9)^(('实盘净值数据(iFinD）'!$A981-'实盘净值数据(iFinD）'!$A$8)/365))</f>
        <v/>
      </c>
      <c r="R981" s="16" t="str">
        <f t="shared" si="95"/>
        <v/>
      </c>
      <c r="S981" s="16" t="str">
        <f>IF(Q981="","",Q981/MAX(Q$5:Q981)-1)</f>
        <v/>
      </c>
    </row>
    <row r="982" spans="1:19">
      <c r="A982" s="15" t="str">
        <f>IF('实盘净值数据(iFinD）'!A982="","",'实盘净值数据(iFinD）'!A982)</f>
        <v/>
      </c>
      <c r="B982" s="13" t="str">
        <f>IF(OR('实盘净值数据(iFinD）'!$A982="",'实盘净值数据(iFinD）'!$B982=""),"",分期持仓明细!$AB$17*SUMPRODUCT(分期持仓明细!$B$17:$Y$17,'实盘净值数据(iFinD）'!$B982:$Y982/'实盘净值数据(iFinD）'!$B$20:$Y$20)*(1-实盘持仓初始配置!$Z$4)^(('实盘净值数据(iFinD）'!$A982-'实盘净值数据(iFinD）'!$A$6)/365))</f>
        <v/>
      </c>
      <c r="C982" s="16" t="str">
        <f t="shared" si="90"/>
        <v/>
      </c>
      <c r="D982" s="16" t="str">
        <f>IF(B982="","",B982/MAX(B$5:B982)-1)</f>
        <v/>
      </c>
      <c r="E982" s="13" t="str">
        <f>IF(OR('实盘净值数据(iFinD）'!$A982="",'实盘净值数据(iFinD）'!$B982=""),"",分期持仓明细!$AB$18*SUMPRODUCT(分期持仓明细!$B$18:$Y$18,'实盘净值数据(iFinD）'!$B982:$Y982/'实盘净值数据(iFinD）'!$B$20:$Y$20)*(1-实盘持仓初始配置!$Z$5)^(('实盘净值数据(iFinD）'!$A982-'实盘净值数据(iFinD）'!$A$5)/365))</f>
        <v/>
      </c>
      <c r="F982" s="16" t="str">
        <f t="shared" si="91"/>
        <v/>
      </c>
      <c r="G982" s="16" t="str">
        <f>IF(E982="","",E982/MAX(E$5:E982)-1)</f>
        <v/>
      </c>
      <c r="H982" s="13" t="str">
        <f>IF(OR('实盘净值数据(iFinD）'!$A982="",'实盘净值数据(iFinD）'!$B982=""),"",分期持仓明细!$AB$19*SUMPRODUCT(分期持仓明细!$B$19:$Y$19,'实盘净值数据(iFinD）'!$B982:$Y982/'实盘净值数据(iFinD）'!$B$20:$Y$20)*(1-实盘持仓初始配置!$Z$6)^(('实盘净值数据(iFinD）'!$A982-'实盘净值数据(iFinD）'!$A$7)/365))</f>
        <v/>
      </c>
      <c r="I982" s="16" t="str">
        <f t="shared" si="92"/>
        <v/>
      </c>
      <c r="J982" s="16" t="str">
        <f>IF(H982="","",H982/MAX(H$5:H982)-1)</f>
        <v/>
      </c>
      <c r="K982" s="13" t="str">
        <f>IF(OR('实盘净值数据(iFinD）'!$A982="",'实盘净值数据(iFinD）'!$B982="",'实盘净值数据(iFinD）'!$Z982="",'实盘净值数据(iFinD）'!$AA982=""),"",分期持仓明细!$AB$23*(SUMPRODUCT(分期持仓明细!$B$23:$Y$23,'实盘净值数据(iFinD）'!$B982:$Y982/'实盘净值数据(iFinD）'!$B$65:$Y$65)+SUMPRODUCT(分期持仓明细!$AC$23:$AD$23,'实盘净值数据(iFinD）'!$Z982:$AA982/'实盘净值数据(iFinD）'!$Z$65:$AA$65))*(1-实盘持仓初始配置!$Z$7)^(('实盘净值数据(iFinD）'!$A982-'实盘净值数据(iFinD）'!$A$8)/365))</f>
        <v/>
      </c>
      <c r="L982" s="16" t="str">
        <f t="shared" si="93"/>
        <v/>
      </c>
      <c r="M982" s="16" t="str">
        <f>IF(K982="","",K982/MAX(K$5:K982)-1)</f>
        <v/>
      </c>
      <c r="N982" s="13" t="str">
        <f>IF(OR('实盘净值数据(iFinD）'!$A982="",'实盘净值数据(iFinD）'!$B982="",'实盘净值数据(iFinD）'!$Z982="",'实盘净值数据(iFinD）'!$AA982=""),"",分期持仓明细!$AB$24*(SUMPRODUCT(分期持仓明细!$B$24:$Y$24,'实盘净值数据(iFinD）'!$B982:$Y982/'实盘净值数据(iFinD）'!$B$65:$Y$65)+SUMPRODUCT(分期持仓明细!$AC$24:$AD$24,'实盘净值数据(iFinD）'!$Z982:$AA982/'实盘净值数据(iFinD）'!$Z$65:$AA$65))*(1-实盘持仓初始配置!$Z$8)^(('实盘净值数据(iFinD）'!$A982-'实盘净值数据(iFinD）'!$A$5)/365))</f>
        <v/>
      </c>
      <c r="O982" s="16" t="str">
        <f t="shared" si="94"/>
        <v/>
      </c>
      <c r="P982" s="16" t="str">
        <f>IF(N982="","",N982/MAX(N$5:N982)-1)</f>
        <v/>
      </c>
      <c r="Q982" s="13" t="str">
        <f>IF(OR('实盘净值数据(iFinD）'!$A982="",'实盘净值数据(iFinD）'!$B982="",'实盘净值数据(iFinD）'!$Z982="",'实盘净值数据(iFinD）'!$AA982=""),"",分期持仓明细!$AB$25*(SUMPRODUCT(分期持仓明细!$B$25:$Y$25,'实盘净值数据(iFinD）'!$B982:$Y982/'实盘净值数据(iFinD）'!$B$65:$Y$65)+SUMPRODUCT(分期持仓明细!$AC$25:$AD$25,'实盘净值数据(iFinD）'!$Z982:$AA982/'实盘净值数据(iFinD）'!$Z$65:$AA$65))*(1-实盘持仓初始配置!$Z$9)^(('实盘净值数据(iFinD）'!$A982-'实盘净值数据(iFinD）'!$A$8)/365))</f>
        <v/>
      </c>
      <c r="R982" s="16" t="str">
        <f t="shared" si="95"/>
        <v/>
      </c>
      <c r="S982" s="16" t="str">
        <f>IF(Q982="","",Q982/MAX(Q$5:Q982)-1)</f>
        <v/>
      </c>
    </row>
    <row r="983" spans="1:19">
      <c r="A983" s="15" t="str">
        <f>IF('实盘净值数据(iFinD）'!A983="","",'实盘净值数据(iFinD）'!A983)</f>
        <v/>
      </c>
      <c r="B983" s="13" t="str">
        <f>IF(OR('实盘净值数据(iFinD）'!$A983="",'实盘净值数据(iFinD）'!$B983=""),"",分期持仓明细!$AB$17*SUMPRODUCT(分期持仓明细!$B$17:$Y$17,'实盘净值数据(iFinD）'!$B983:$Y983/'实盘净值数据(iFinD）'!$B$20:$Y$20)*(1-实盘持仓初始配置!$Z$4)^(('实盘净值数据(iFinD）'!$A983-'实盘净值数据(iFinD）'!$A$6)/365))</f>
        <v/>
      </c>
      <c r="C983" s="16" t="str">
        <f t="shared" si="90"/>
        <v/>
      </c>
      <c r="D983" s="16" t="str">
        <f>IF(B983="","",B983/MAX(B$5:B983)-1)</f>
        <v/>
      </c>
      <c r="E983" s="13" t="str">
        <f>IF(OR('实盘净值数据(iFinD）'!$A983="",'实盘净值数据(iFinD）'!$B983=""),"",分期持仓明细!$AB$18*SUMPRODUCT(分期持仓明细!$B$18:$Y$18,'实盘净值数据(iFinD）'!$B983:$Y983/'实盘净值数据(iFinD）'!$B$20:$Y$20)*(1-实盘持仓初始配置!$Z$5)^(('实盘净值数据(iFinD）'!$A983-'实盘净值数据(iFinD）'!$A$5)/365))</f>
        <v/>
      </c>
      <c r="F983" s="16" t="str">
        <f t="shared" si="91"/>
        <v/>
      </c>
      <c r="G983" s="16" t="str">
        <f>IF(E983="","",E983/MAX(E$5:E983)-1)</f>
        <v/>
      </c>
      <c r="H983" s="13" t="str">
        <f>IF(OR('实盘净值数据(iFinD）'!$A983="",'实盘净值数据(iFinD）'!$B983=""),"",分期持仓明细!$AB$19*SUMPRODUCT(分期持仓明细!$B$19:$Y$19,'实盘净值数据(iFinD）'!$B983:$Y983/'实盘净值数据(iFinD）'!$B$20:$Y$20)*(1-实盘持仓初始配置!$Z$6)^(('实盘净值数据(iFinD）'!$A983-'实盘净值数据(iFinD）'!$A$7)/365))</f>
        <v/>
      </c>
      <c r="I983" s="16" t="str">
        <f t="shared" si="92"/>
        <v/>
      </c>
      <c r="J983" s="16" t="str">
        <f>IF(H983="","",H983/MAX(H$5:H983)-1)</f>
        <v/>
      </c>
      <c r="K983" s="13" t="str">
        <f>IF(OR('实盘净值数据(iFinD）'!$A983="",'实盘净值数据(iFinD）'!$B983="",'实盘净值数据(iFinD）'!$Z983="",'实盘净值数据(iFinD）'!$AA983=""),"",分期持仓明细!$AB$23*(SUMPRODUCT(分期持仓明细!$B$23:$Y$23,'实盘净值数据(iFinD）'!$B983:$Y983/'实盘净值数据(iFinD）'!$B$65:$Y$65)+SUMPRODUCT(分期持仓明细!$AC$23:$AD$23,'实盘净值数据(iFinD）'!$Z983:$AA983/'实盘净值数据(iFinD）'!$Z$65:$AA$65))*(1-实盘持仓初始配置!$Z$7)^(('实盘净值数据(iFinD）'!$A983-'实盘净值数据(iFinD）'!$A$8)/365))</f>
        <v/>
      </c>
      <c r="L983" s="16" t="str">
        <f t="shared" si="93"/>
        <v/>
      </c>
      <c r="M983" s="16" t="str">
        <f>IF(K983="","",K983/MAX(K$5:K983)-1)</f>
        <v/>
      </c>
      <c r="N983" s="13" t="str">
        <f>IF(OR('实盘净值数据(iFinD）'!$A983="",'实盘净值数据(iFinD）'!$B983="",'实盘净值数据(iFinD）'!$Z983="",'实盘净值数据(iFinD）'!$AA983=""),"",分期持仓明细!$AB$24*(SUMPRODUCT(分期持仓明细!$B$24:$Y$24,'实盘净值数据(iFinD）'!$B983:$Y983/'实盘净值数据(iFinD）'!$B$65:$Y$65)+SUMPRODUCT(分期持仓明细!$AC$24:$AD$24,'实盘净值数据(iFinD）'!$Z983:$AA983/'实盘净值数据(iFinD）'!$Z$65:$AA$65))*(1-实盘持仓初始配置!$Z$8)^(('实盘净值数据(iFinD）'!$A983-'实盘净值数据(iFinD）'!$A$5)/365))</f>
        <v/>
      </c>
      <c r="O983" s="16" t="str">
        <f t="shared" si="94"/>
        <v/>
      </c>
      <c r="P983" s="16" t="str">
        <f>IF(N983="","",N983/MAX(N$5:N983)-1)</f>
        <v/>
      </c>
      <c r="Q983" s="13" t="str">
        <f>IF(OR('实盘净值数据(iFinD）'!$A983="",'实盘净值数据(iFinD）'!$B983="",'实盘净值数据(iFinD）'!$Z983="",'实盘净值数据(iFinD）'!$AA983=""),"",分期持仓明细!$AB$25*(SUMPRODUCT(分期持仓明细!$B$25:$Y$25,'实盘净值数据(iFinD）'!$B983:$Y983/'实盘净值数据(iFinD）'!$B$65:$Y$65)+SUMPRODUCT(分期持仓明细!$AC$25:$AD$25,'实盘净值数据(iFinD）'!$Z983:$AA983/'实盘净值数据(iFinD）'!$Z$65:$AA$65))*(1-实盘持仓初始配置!$Z$9)^(('实盘净值数据(iFinD）'!$A983-'实盘净值数据(iFinD）'!$A$8)/365))</f>
        <v/>
      </c>
      <c r="R983" s="16" t="str">
        <f t="shared" si="95"/>
        <v/>
      </c>
      <c r="S983" s="16" t="str">
        <f>IF(Q983="","",Q983/MAX(Q$5:Q983)-1)</f>
        <v/>
      </c>
    </row>
    <row r="984" spans="1:19">
      <c r="A984" s="15" t="str">
        <f>IF('实盘净值数据(iFinD）'!A984="","",'实盘净值数据(iFinD）'!A984)</f>
        <v/>
      </c>
      <c r="B984" s="13" t="str">
        <f>IF(OR('实盘净值数据(iFinD）'!$A984="",'实盘净值数据(iFinD）'!$B984=""),"",分期持仓明细!$AB$17*SUMPRODUCT(分期持仓明细!$B$17:$Y$17,'实盘净值数据(iFinD）'!$B984:$Y984/'实盘净值数据(iFinD）'!$B$20:$Y$20)*(1-实盘持仓初始配置!$Z$4)^(('实盘净值数据(iFinD）'!$A984-'实盘净值数据(iFinD）'!$A$6)/365))</f>
        <v/>
      </c>
      <c r="C984" s="16" t="str">
        <f t="shared" si="90"/>
        <v/>
      </c>
      <c r="D984" s="16" t="str">
        <f>IF(B984="","",B984/MAX(B$5:B984)-1)</f>
        <v/>
      </c>
      <c r="E984" s="13" t="str">
        <f>IF(OR('实盘净值数据(iFinD）'!$A984="",'实盘净值数据(iFinD）'!$B984=""),"",分期持仓明细!$AB$18*SUMPRODUCT(分期持仓明细!$B$18:$Y$18,'实盘净值数据(iFinD）'!$B984:$Y984/'实盘净值数据(iFinD）'!$B$20:$Y$20)*(1-实盘持仓初始配置!$Z$5)^(('实盘净值数据(iFinD）'!$A984-'实盘净值数据(iFinD）'!$A$5)/365))</f>
        <v/>
      </c>
      <c r="F984" s="16" t="str">
        <f t="shared" si="91"/>
        <v/>
      </c>
      <c r="G984" s="16" t="str">
        <f>IF(E984="","",E984/MAX(E$5:E984)-1)</f>
        <v/>
      </c>
      <c r="H984" s="13" t="str">
        <f>IF(OR('实盘净值数据(iFinD）'!$A984="",'实盘净值数据(iFinD）'!$B984=""),"",分期持仓明细!$AB$19*SUMPRODUCT(分期持仓明细!$B$19:$Y$19,'实盘净值数据(iFinD）'!$B984:$Y984/'实盘净值数据(iFinD）'!$B$20:$Y$20)*(1-实盘持仓初始配置!$Z$6)^(('实盘净值数据(iFinD）'!$A984-'实盘净值数据(iFinD）'!$A$7)/365))</f>
        <v/>
      </c>
      <c r="I984" s="16" t="str">
        <f t="shared" si="92"/>
        <v/>
      </c>
      <c r="J984" s="16" t="str">
        <f>IF(H984="","",H984/MAX(H$5:H984)-1)</f>
        <v/>
      </c>
      <c r="K984" s="13" t="str">
        <f>IF(OR('实盘净值数据(iFinD）'!$A984="",'实盘净值数据(iFinD）'!$B984="",'实盘净值数据(iFinD）'!$Z984="",'实盘净值数据(iFinD）'!$AA984=""),"",分期持仓明细!$AB$23*(SUMPRODUCT(分期持仓明细!$B$23:$Y$23,'实盘净值数据(iFinD）'!$B984:$Y984/'实盘净值数据(iFinD）'!$B$65:$Y$65)+SUMPRODUCT(分期持仓明细!$AC$23:$AD$23,'实盘净值数据(iFinD）'!$Z984:$AA984/'实盘净值数据(iFinD）'!$Z$65:$AA$65))*(1-实盘持仓初始配置!$Z$7)^(('实盘净值数据(iFinD）'!$A984-'实盘净值数据(iFinD）'!$A$8)/365))</f>
        <v/>
      </c>
      <c r="L984" s="16" t="str">
        <f t="shared" si="93"/>
        <v/>
      </c>
      <c r="M984" s="16" t="str">
        <f>IF(K984="","",K984/MAX(K$5:K984)-1)</f>
        <v/>
      </c>
      <c r="N984" s="13" t="str">
        <f>IF(OR('实盘净值数据(iFinD）'!$A984="",'实盘净值数据(iFinD）'!$B984="",'实盘净值数据(iFinD）'!$Z984="",'实盘净值数据(iFinD）'!$AA984=""),"",分期持仓明细!$AB$24*(SUMPRODUCT(分期持仓明细!$B$24:$Y$24,'实盘净值数据(iFinD）'!$B984:$Y984/'实盘净值数据(iFinD）'!$B$65:$Y$65)+SUMPRODUCT(分期持仓明细!$AC$24:$AD$24,'实盘净值数据(iFinD）'!$Z984:$AA984/'实盘净值数据(iFinD）'!$Z$65:$AA$65))*(1-实盘持仓初始配置!$Z$8)^(('实盘净值数据(iFinD）'!$A984-'实盘净值数据(iFinD）'!$A$5)/365))</f>
        <v/>
      </c>
      <c r="O984" s="16" t="str">
        <f t="shared" si="94"/>
        <v/>
      </c>
      <c r="P984" s="16" t="str">
        <f>IF(N984="","",N984/MAX(N$5:N984)-1)</f>
        <v/>
      </c>
      <c r="Q984" s="13" t="str">
        <f>IF(OR('实盘净值数据(iFinD）'!$A984="",'实盘净值数据(iFinD）'!$B984="",'实盘净值数据(iFinD）'!$Z984="",'实盘净值数据(iFinD）'!$AA984=""),"",分期持仓明细!$AB$25*(SUMPRODUCT(分期持仓明细!$B$25:$Y$25,'实盘净值数据(iFinD）'!$B984:$Y984/'实盘净值数据(iFinD）'!$B$65:$Y$65)+SUMPRODUCT(分期持仓明细!$AC$25:$AD$25,'实盘净值数据(iFinD）'!$Z984:$AA984/'实盘净值数据(iFinD）'!$Z$65:$AA$65))*(1-实盘持仓初始配置!$Z$9)^(('实盘净值数据(iFinD）'!$A984-'实盘净值数据(iFinD）'!$A$8)/365))</f>
        <v/>
      </c>
      <c r="R984" s="16" t="str">
        <f t="shared" si="95"/>
        <v/>
      </c>
      <c r="S984" s="16" t="str">
        <f>IF(Q984="","",Q984/MAX(Q$5:Q984)-1)</f>
        <v/>
      </c>
    </row>
    <row r="985" spans="1:19">
      <c r="A985" s="15" t="str">
        <f>IF('实盘净值数据(iFinD）'!A985="","",'实盘净值数据(iFinD）'!A985)</f>
        <v/>
      </c>
      <c r="B985" s="13" t="str">
        <f>IF(OR('实盘净值数据(iFinD）'!$A985="",'实盘净值数据(iFinD）'!$B985=""),"",分期持仓明细!$AB$17*SUMPRODUCT(分期持仓明细!$B$17:$Y$17,'实盘净值数据(iFinD）'!$B985:$Y985/'实盘净值数据(iFinD）'!$B$20:$Y$20)*(1-实盘持仓初始配置!$Z$4)^(('实盘净值数据(iFinD）'!$A985-'实盘净值数据(iFinD）'!$A$6)/365))</f>
        <v/>
      </c>
      <c r="C985" s="16" t="str">
        <f t="shared" si="90"/>
        <v/>
      </c>
      <c r="D985" s="16" t="str">
        <f>IF(B985="","",B985/MAX(B$5:B985)-1)</f>
        <v/>
      </c>
      <c r="E985" s="13" t="str">
        <f>IF(OR('实盘净值数据(iFinD）'!$A985="",'实盘净值数据(iFinD）'!$B985=""),"",分期持仓明细!$AB$18*SUMPRODUCT(分期持仓明细!$B$18:$Y$18,'实盘净值数据(iFinD）'!$B985:$Y985/'实盘净值数据(iFinD）'!$B$20:$Y$20)*(1-实盘持仓初始配置!$Z$5)^(('实盘净值数据(iFinD）'!$A985-'实盘净值数据(iFinD）'!$A$5)/365))</f>
        <v/>
      </c>
      <c r="F985" s="16" t="str">
        <f t="shared" si="91"/>
        <v/>
      </c>
      <c r="G985" s="16" t="str">
        <f>IF(E985="","",E985/MAX(E$5:E985)-1)</f>
        <v/>
      </c>
      <c r="H985" s="13" t="str">
        <f>IF(OR('实盘净值数据(iFinD）'!$A985="",'实盘净值数据(iFinD）'!$B985=""),"",分期持仓明细!$AB$19*SUMPRODUCT(分期持仓明细!$B$19:$Y$19,'实盘净值数据(iFinD）'!$B985:$Y985/'实盘净值数据(iFinD）'!$B$20:$Y$20)*(1-实盘持仓初始配置!$Z$6)^(('实盘净值数据(iFinD）'!$A985-'实盘净值数据(iFinD）'!$A$7)/365))</f>
        <v/>
      </c>
      <c r="I985" s="16" t="str">
        <f t="shared" si="92"/>
        <v/>
      </c>
      <c r="J985" s="16" t="str">
        <f>IF(H985="","",H985/MAX(H$5:H985)-1)</f>
        <v/>
      </c>
      <c r="K985" s="13" t="str">
        <f>IF(OR('实盘净值数据(iFinD）'!$A985="",'实盘净值数据(iFinD）'!$B985="",'实盘净值数据(iFinD）'!$Z985="",'实盘净值数据(iFinD）'!$AA985=""),"",分期持仓明细!$AB$23*(SUMPRODUCT(分期持仓明细!$B$23:$Y$23,'实盘净值数据(iFinD）'!$B985:$Y985/'实盘净值数据(iFinD）'!$B$65:$Y$65)+SUMPRODUCT(分期持仓明细!$AC$23:$AD$23,'实盘净值数据(iFinD）'!$Z985:$AA985/'实盘净值数据(iFinD）'!$Z$65:$AA$65))*(1-实盘持仓初始配置!$Z$7)^(('实盘净值数据(iFinD）'!$A985-'实盘净值数据(iFinD）'!$A$8)/365))</f>
        <v/>
      </c>
      <c r="L985" s="16" t="str">
        <f t="shared" si="93"/>
        <v/>
      </c>
      <c r="M985" s="16" t="str">
        <f>IF(K985="","",K985/MAX(K$5:K985)-1)</f>
        <v/>
      </c>
      <c r="N985" s="13" t="str">
        <f>IF(OR('实盘净值数据(iFinD）'!$A985="",'实盘净值数据(iFinD）'!$B985="",'实盘净值数据(iFinD）'!$Z985="",'实盘净值数据(iFinD）'!$AA985=""),"",分期持仓明细!$AB$24*(SUMPRODUCT(分期持仓明细!$B$24:$Y$24,'实盘净值数据(iFinD）'!$B985:$Y985/'实盘净值数据(iFinD）'!$B$65:$Y$65)+SUMPRODUCT(分期持仓明细!$AC$24:$AD$24,'实盘净值数据(iFinD）'!$Z985:$AA985/'实盘净值数据(iFinD）'!$Z$65:$AA$65))*(1-实盘持仓初始配置!$Z$8)^(('实盘净值数据(iFinD）'!$A985-'实盘净值数据(iFinD）'!$A$5)/365))</f>
        <v/>
      </c>
      <c r="O985" s="16" t="str">
        <f t="shared" si="94"/>
        <v/>
      </c>
      <c r="P985" s="16" t="str">
        <f>IF(N985="","",N985/MAX(N$5:N985)-1)</f>
        <v/>
      </c>
      <c r="Q985" s="13" t="str">
        <f>IF(OR('实盘净值数据(iFinD）'!$A985="",'实盘净值数据(iFinD）'!$B985="",'实盘净值数据(iFinD）'!$Z985="",'实盘净值数据(iFinD）'!$AA985=""),"",分期持仓明细!$AB$25*(SUMPRODUCT(分期持仓明细!$B$25:$Y$25,'实盘净值数据(iFinD）'!$B985:$Y985/'实盘净值数据(iFinD）'!$B$65:$Y$65)+SUMPRODUCT(分期持仓明细!$AC$25:$AD$25,'实盘净值数据(iFinD）'!$Z985:$AA985/'实盘净值数据(iFinD）'!$Z$65:$AA$65))*(1-实盘持仓初始配置!$Z$9)^(('实盘净值数据(iFinD）'!$A985-'实盘净值数据(iFinD）'!$A$8)/365))</f>
        <v/>
      </c>
      <c r="R985" s="16" t="str">
        <f t="shared" si="95"/>
        <v/>
      </c>
      <c r="S985" s="16" t="str">
        <f>IF(Q985="","",Q985/MAX(Q$5:Q985)-1)</f>
        <v/>
      </c>
    </row>
    <row r="986" spans="1:19">
      <c r="A986" s="15" t="str">
        <f>IF('实盘净值数据(iFinD）'!A986="","",'实盘净值数据(iFinD）'!A986)</f>
        <v/>
      </c>
      <c r="B986" s="13" t="str">
        <f>IF(OR('实盘净值数据(iFinD）'!$A986="",'实盘净值数据(iFinD）'!$B986=""),"",分期持仓明细!$AB$17*SUMPRODUCT(分期持仓明细!$B$17:$Y$17,'实盘净值数据(iFinD）'!$B986:$Y986/'实盘净值数据(iFinD）'!$B$20:$Y$20)*(1-实盘持仓初始配置!$Z$4)^(('实盘净值数据(iFinD）'!$A986-'实盘净值数据(iFinD）'!$A$6)/365))</f>
        <v/>
      </c>
      <c r="C986" s="16" t="str">
        <f t="shared" si="90"/>
        <v/>
      </c>
      <c r="D986" s="16" t="str">
        <f>IF(B986="","",B986/MAX(B$5:B986)-1)</f>
        <v/>
      </c>
      <c r="E986" s="13" t="str">
        <f>IF(OR('实盘净值数据(iFinD）'!$A986="",'实盘净值数据(iFinD）'!$B986=""),"",分期持仓明细!$AB$18*SUMPRODUCT(分期持仓明细!$B$18:$Y$18,'实盘净值数据(iFinD）'!$B986:$Y986/'实盘净值数据(iFinD）'!$B$20:$Y$20)*(1-实盘持仓初始配置!$Z$5)^(('实盘净值数据(iFinD）'!$A986-'实盘净值数据(iFinD）'!$A$5)/365))</f>
        <v/>
      </c>
      <c r="F986" s="16" t="str">
        <f t="shared" si="91"/>
        <v/>
      </c>
      <c r="G986" s="16" t="str">
        <f>IF(E986="","",E986/MAX(E$5:E986)-1)</f>
        <v/>
      </c>
      <c r="H986" s="13" t="str">
        <f>IF(OR('实盘净值数据(iFinD）'!$A986="",'实盘净值数据(iFinD）'!$B986=""),"",分期持仓明细!$AB$19*SUMPRODUCT(分期持仓明细!$B$19:$Y$19,'实盘净值数据(iFinD）'!$B986:$Y986/'实盘净值数据(iFinD）'!$B$20:$Y$20)*(1-实盘持仓初始配置!$Z$6)^(('实盘净值数据(iFinD）'!$A986-'实盘净值数据(iFinD）'!$A$7)/365))</f>
        <v/>
      </c>
      <c r="I986" s="16" t="str">
        <f t="shared" si="92"/>
        <v/>
      </c>
      <c r="J986" s="16" t="str">
        <f>IF(H986="","",H986/MAX(H$5:H986)-1)</f>
        <v/>
      </c>
      <c r="K986" s="13" t="str">
        <f>IF(OR('实盘净值数据(iFinD）'!$A986="",'实盘净值数据(iFinD）'!$B986="",'实盘净值数据(iFinD）'!$Z986="",'实盘净值数据(iFinD）'!$AA986=""),"",分期持仓明细!$AB$23*(SUMPRODUCT(分期持仓明细!$B$23:$Y$23,'实盘净值数据(iFinD）'!$B986:$Y986/'实盘净值数据(iFinD）'!$B$65:$Y$65)+SUMPRODUCT(分期持仓明细!$AC$23:$AD$23,'实盘净值数据(iFinD）'!$Z986:$AA986/'实盘净值数据(iFinD）'!$Z$65:$AA$65))*(1-实盘持仓初始配置!$Z$7)^(('实盘净值数据(iFinD）'!$A986-'实盘净值数据(iFinD）'!$A$8)/365))</f>
        <v/>
      </c>
      <c r="L986" s="16" t="str">
        <f t="shared" si="93"/>
        <v/>
      </c>
      <c r="M986" s="16" t="str">
        <f>IF(K986="","",K986/MAX(K$5:K986)-1)</f>
        <v/>
      </c>
      <c r="N986" s="13" t="str">
        <f>IF(OR('实盘净值数据(iFinD）'!$A986="",'实盘净值数据(iFinD）'!$B986="",'实盘净值数据(iFinD）'!$Z986="",'实盘净值数据(iFinD）'!$AA986=""),"",分期持仓明细!$AB$24*(SUMPRODUCT(分期持仓明细!$B$24:$Y$24,'实盘净值数据(iFinD）'!$B986:$Y986/'实盘净值数据(iFinD）'!$B$65:$Y$65)+SUMPRODUCT(分期持仓明细!$AC$24:$AD$24,'实盘净值数据(iFinD）'!$Z986:$AA986/'实盘净值数据(iFinD）'!$Z$65:$AA$65))*(1-实盘持仓初始配置!$Z$8)^(('实盘净值数据(iFinD）'!$A986-'实盘净值数据(iFinD）'!$A$5)/365))</f>
        <v/>
      </c>
      <c r="O986" s="16" t="str">
        <f t="shared" si="94"/>
        <v/>
      </c>
      <c r="P986" s="16" t="str">
        <f>IF(N986="","",N986/MAX(N$5:N986)-1)</f>
        <v/>
      </c>
      <c r="Q986" s="13" t="str">
        <f>IF(OR('实盘净值数据(iFinD）'!$A986="",'实盘净值数据(iFinD）'!$B986="",'实盘净值数据(iFinD）'!$Z986="",'实盘净值数据(iFinD）'!$AA986=""),"",分期持仓明细!$AB$25*(SUMPRODUCT(分期持仓明细!$B$25:$Y$25,'实盘净值数据(iFinD）'!$B986:$Y986/'实盘净值数据(iFinD）'!$B$65:$Y$65)+SUMPRODUCT(分期持仓明细!$AC$25:$AD$25,'实盘净值数据(iFinD）'!$Z986:$AA986/'实盘净值数据(iFinD）'!$Z$65:$AA$65))*(1-实盘持仓初始配置!$Z$9)^(('实盘净值数据(iFinD）'!$A986-'实盘净值数据(iFinD）'!$A$8)/365))</f>
        <v/>
      </c>
      <c r="R986" s="16" t="str">
        <f t="shared" si="95"/>
        <v/>
      </c>
      <c r="S986" s="16" t="str">
        <f>IF(Q986="","",Q986/MAX(Q$5:Q986)-1)</f>
        <v/>
      </c>
    </row>
    <row r="987" spans="1:19">
      <c r="A987" s="15" t="str">
        <f>IF('实盘净值数据(iFinD）'!A987="","",'实盘净值数据(iFinD）'!A987)</f>
        <v/>
      </c>
      <c r="B987" s="13" t="str">
        <f>IF(OR('实盘净值数据(iFinD）'!$A987="",'实盘净值数据(iFinD）'!$B987=""),"",分期持仓明细!$AB$17*SUMPRODUCT(分期持仓明细!$B$17:$Y$17,'实盘净值数据(iFinD）'!$B987:$Y987/'实盘净值数据(iFinD）'!$B$20:$Y$20)*(1-实盘持仓初始配置!$Z$4)^(('实盘净值数据(iFinD）'!$A987-'实盘净值数据(iFinD）'!$A$6)/365))</f>
        <v/>
      </c>
      <c r="C987" s="16" t="str">
        <f t="shared" si="90"/>
        <v/>
      </c>
      <c r="D987" s="16" t="str">
        <f>IF(B987="","",B987/MAX(B$5:B987)-1)</f>
        <v/>
      </c>
      <c r="E987" s="13" t="str">
        <f>IF(OR('实盘净值数据(iFinD）'!$A987="",'实盘净值数据(iFinD）'!$B987=""),"",分期持仓明细!$AB$18*SUMPRODUCT(分期持仓明细!$B$18:$Y$18,'实盘净值数据(iFinD）'!$B987:$Y987/'实盘净值数据(iFinD）'!$B$20:$Y$20)*(1-实盘持仓初始配置!$Z$5)^(('实盘净值数据(iFinD）'!$A987-'实盘净值数据(iFinD）'!$A$5)/365))</f>
        <v/>
      </c>
      <c r="F987" s="16" t="str">
        <f t="shared" si="91"/>
        <v/>
      </c>
      <c r="G987" s="16" t="str">
        <f>IF(E987="","",E987/MAX(E$5:E987)-1)</f>
        <v/>
      </c>
      <c r="H987" s="13" t="str">
        <f>IF(OR('实盘净值数据(iFinD）'!$A987="",'实盘净值数据(iFinD）'!$B987=""),"",分期持仓明细!$AB$19*SUMPRODUCT(分期持仓明细!$B$19:$Y$19,'实盘净值数据(iFinD）'!$B987:$Y987/'实盘净值数据(iFinD）'!$B$20:$Y$20)*(1-实盘持仓初始配置!$Z$6)^(('实盘净值数据(iFinD）'!$A987-'实盘净值数据(iFinD）'!$A$7)/365))</f>
        <v/>
      </c>
      <c r="I987" s="16" t="str">
        <f t="shared" si="92"/>
        <v/>
      </c>
      <c r="J987" s="16" t="str">
        <f>IF(H987="","",H987/MAX(H$5:H987)-1)</f>
        <v/>
      </c>
      <c r="K987" s="13" t="str">
        <f>IF(OR('实盘净值数据(iFinD）'!$A987="",'实盘净值数据(iFinD）'!$B987="",'实盘净值数据(iFinD）'!$Z987="",'实盘净值数据(iFinD）'!$AA987=""),"",分期持仓明细!$AB$23*(SUMPRODUCT(分期持仓明细!$B$23:$Y$23,'实盘净值数据(iFinD）'!$B987:$Y987/'实盘净值数据(iFinD）'!$B$65:$Y$65)+SUMPRODUCT(分期持仓明细!$AC$23:$AD$23,'实盘净值数据(iFinD）'!$Z987:$AA987/'实盘净值数据(iFinD）'!$Z$65:$AA$65))*(1-实盘持仓初始配置!$Z$7)^(('实盘净值数据(iFinD）'!$A987-'实盘净值数据(iFinD）'!$A$8)/365))</f>
        <v/>
      </c>
      <c r="L987" s="16" t="str">
        <f t="shared" si="93"/>
        <v/>
      </c>
      <c r="M987" s="16" t="str">
        <f>IF(K987="","",K987/MAX(K$5:K987)-1)</f>
        <v/>
      </c>
      <c r="N987" s="13" t="str">
        <f>IF(OR('实盘净值数据(iFinD）'!$A987="",'实盘净值数据(iFinD）'!$B987="",'实盘净值数据(iFinD）'!$Z987="",'实盘净值数据(iFinD）'!$AA987=""),"",分期持仓明细!$AB$24*(SUMPRODUCT(分期持仓明细!$B$24:$Y$24,'实盘净值数据(iFinD）'!$B987:$Y987/'实盘净值数据(iFinD）'!$B$65:$Y$65)+SUMPRODUCT(分期持仓明细!$AC$24:$AD$24,'实盘净值数据(iFinD）'!$Z987:$AA987/'实盘净值数据(iFinD）'!$Z$65:$AA$65))*(1-实盘持仓初始配置!$Z$8)^(('实盘净值数据(iFinD）'!$A987-'实盘净值数据(iFinD）'!$A$5)/365))</f>
        <v/>
      </c>
      <c r="O987" s="16" t="str">
        <f t="shared" si="94"/>
        <v/>
      </c>
      <c r="P987" s="16" t="str">
        <f>IF(N987="","",N987/MAX(N$5:N987)-1)</f>
        <v/>
      </c>
      <c r="Q987" s="13" t="str">
        <f>IF(OR('实盘净值数据(iFinD）'!$A987="",'实盘净值数据(iFinD）'!$B987="",'实盘净值数据(iFinD）'!$Z987="",'实盘净值数据(iFinD）'!$AA987=""),"",分期持仓明细!$AB$25*(SUMPRODUCT(分期持仓明细!$B$25:$Y$25,'实盘净值数据(iFinD）'!$B987:$Y987/'实盘净值数据(iFinD）'!$B$65:$Y$65)+SUMPRODUCT(分期持仓明细!$AC$25:$AD$25,'实盘净值数据(iFinD）'!$Z987:$AA987/'实盘净值数据(iFinD）'!$Z$65:$AA$65))*(1-实盘持仓初始配置!$Z$9)^(('实盘净值数据(iFinD）'!$A987-'实盘净值数据(iFinD）'!$A$8)/365))</f>
        <v/>
      </c>
      <c r="R987" s="16" t="str">
        <f t="shared" si="95"/>
        <v/>
      </c>
      <c r="S987" s="16" t="str">
        <f>IF(Q987="","",Q987/MAX(Q$5:Q987)-1)</f>
        <v/>
      </c>
    </row>
    <row r="988" spans="1:19">
      <c r="A988" s="15" t="str">
        <f>IF('实盘净值数据(iFinD）'!A988="","",'实盘净值数据(iFinD）'!A988)</f>
        <v/>
      </c>
      <c r="B988" s="13" t="str">
        <f>IF(OR('实盘净值数据(iFinD）'!$A988="",'实盘净值数据(iFinD）'!$B988=""),"",分期持仓明细!$AB$17*SUMPRODUCT(分期持仓明细!$B$17:$Y$17,'实盘净值数据(iFinD）'!$B988:$Y988/'实盘净值数据(iFinD）'!$B$20:$Y$20)*(1-实盘持仓初始配置!$Z$4)^(('实盘净值数据(iFinD）'!$A988-'实盘净值数据(iFinD）'!$A$6)/365))</f>
        <v/>
      </c>
      <c r="C988" s="16" t="str">
        <f t="shared" si="90"/>
        <v/>
      </c>
      <c r="D988" s="16" t="str">
        <f>IF(B988="","",B988/MAX(B$5:B988)-1)</f>
        <v/>
      </c>
      <c r="E988" s="13" t="str">
        <f>IF(OR('实盘净值数据(iFinD）'!$A988="",'实盘净值数据(iFinD）'!$B988=""),"",分期持仓明细!$AB$18*SUMPRODUCT(分期持仓明细!$B$18:$Y$18,'实盘净值数据(iFinD）'!$B988:$Y988/'实盘净值数据(iFinD）'!$B$20:$Y$20)*(1-实盘持仓初始配置!$Z$5)^(('实盘净值数据(iFinD）'!$A988-'实盘净值数据(iFinD）'!$A$5)/365))</f>
        <v/>
      </c>
      <c r="F988" s="16" t="str">
        <f t="shared" si="91"/>
        <v/>
      </c>
      <c r="G988" s="16" t="str">
        <f>IF(E988="","",E988/MAX(E$5:E988)-1)</f>
        <v/>
      </c>
      <c r="H988" s="13" t="str">
        <f>IF(OR('实盘净值数据(iFinD）'!$A988="",'实盘净值数据(iFinD）'!$B988=""),"",分期持仓明细!$AB$19*SUMPRODUCT(分期持仓明细!$B$19:$Y$19,'实盘净值数据(iFinD）'!$B988:$Y988/'实盘净值数据(iFinD）'!$B$20:$Y$20)*(1-实盘持仓初始配置!$Z$6)^(('实盘净值数据(iFinD）'!$A988-'实盘净值数据(iFinD）'!$A$7)/365))</f>
        <v/>
      </c>
      <c r="I988" s="16" t="str">
        <f t="shared" si="92"/>
        <v/>
      </c>
      <c r="J988" s="16" t="str">
        <f>IF(H988="","",H988/MAX(H$5:H988)-1)</f>
        <v/>
      </c>
      <c r="K988" s="13" t="str">
        <f>IF(OR('实盘净值数据(iFinD）'!$A988="",'实盘净值数据(iFinD）'!$B988="",'实盘净值数据(iFinD）'!$Z988="",'实盘净值数据(iFinD）'!$AA988=""),"",分期持仓明细!$AB$23*(SUMPRODUCT(分期持仓明细!$B$23:$Y$23,'实盘净值数据(iFinD）'!$B988:$Y988/'实盘净值数据(iFinD）'!$B$65:$Y$65)+SUMPRODUCT(分期持仓明细!$AC$23:$AD$23,'实盘净值数据(iFinD）'!$Z988:$AA988/'实盘净值数据(iFinD）'!$Z$65:$AA$65))*(1-实盘持仓初始配置!$Z$7)^(('实盘净值数据(iFinD）'!$A988-'实盘净值数据(iFinD）'!$A$8)/365))</f>
        <v/>
      </c>
      <c r="L988" s="16" t="str">
        <f t="shared" si="93"/>
        <v/>
      </c>
      <c r="M988" s="16" t="str">
        <f>IF(K988="","",K988/MAX(K$5:K988)-1)</f>
        <v/>
      </c>
      <c r="N988" s="13" t="str">
        <f>IF(OR('实盘净值数据(iFinD）'!$A988="",'实盘净值数据(iFinD）'!$B988="",'实盘净值数据(iFinD）'!$Z988="",'实盘净值数据(iFinD）'!$AA988=""),"",分期持仓明细!$AB$24*(SUMPRODUCT(分期持仓明细!$B$24:$Y$24,'实盘净值数据(iFinD）'!$B988:$Y988/'实盘净值数据(iFinD）'!$B$65:$Y$65)+SUMPRODUCT(分期持仓明细!$AC$24:$AD$24,'实盘净值数据(iFinD）'!$Z988:$AA988/'实盘净值数据(iFinD）'!$Z$65:$AA$65))*(1-实盘持仓初始配置!$Z$8)^(('实盘净值数据(iFinD）'!$A988-'实盘净值数据(iFinD）'!$A$5)/365))</f>
        <v/>
      </c>
      <c r="O988" s="16" t="str">
        <f t="shared" si="94"/>
        <v/>
      </c>
      <c r="P988" s="16" t="str">
        <f>IF(N988="","",N988/MAX(N$5:N988)-1)</f>
        <v/>
      </c>
      <c r="Q988" s="13" t="str">
        <f>IF(OR('实盘净值数据(iFinD）'!$A988="",'实盘净值数据(iFinD）'!$B988="",'实盘净值数据(iFinD）'!$Z988="",'实盘净值数据(iFinD）'!$AA988=""),"",分期持仓明细!$AB$25*(SUMPRODUCT(分期持仓明细!$B$25:$Y$25,'实盘净值数据(iFinD）'!$B988:$Y988/'实盘净值数据(iFinD）'!$B$65:$Y$65)+SUMPRODUCT(分期持仓明细!$AC$25:$AD$25,'实盘净值数据(iFinD）'!$Z988:$AA988/'实盘净值数据(iFinD）'!$Z$65:$AA$65))*(1-实盘持仓初始配置!$Z$9)^(('实盘净值数据(iFinD）'!$A988-'实盘净值数据(iFinD）'!$A$8)/365))</f>
        <v/>
      </c>
      <c r="R988" s="16" t="str">
        <f t="shared" si="95"/>
        <v/>
      </c>
      <c r="S988" s="16" t="str">
        <f>IF(Q988="","",Q988/MAX(Q$5:Q988)-1)</f>
        <v/>
      </c>
    </row>
    <row r="989" spans="1:19">
      <c r="A989" s="15" t="str">
        <f>IF('实盘净值数据(iFinD）'!A989="","",'实盘净值数据(iFinD）'!A989)</f>
        <v/>
      </c>
      <c r="B989" s="13" t="str">
        <f>IF(OR('实盘净值数据(iFinD）'!$A989="",'实盘净值数据(iFinD）'!$B989=""),"",分期持仓明细!$AB$17*SUMPRODUCT(分期持仓明细!$B$17:$Y$17,'实盘净值数据(iFinD）'!$B989:$Y989/'实盘净值数据(iFinD）'!$B$20:$Y$20)*(1-实盘持仓初始配置!$Z$4)^(('实盘净值数据(iFinD）'!$A989-'实盘净值数据(iFinD）'!$A$6)/365))</f>
        <v/>
      </c>
      <c r="C989" s="16" t="str">
        <f t="shared" si="90"/>
        <v/>
      </c>
      <c r="D989" s="16" t="str">
        <f>IF(B989="","",B989/MAX(B$5:B989)-1)</f>
        <v/>
      </c>
      <c r="E989" s="13" t="str">
        <f>IF(OR('实盘净值数据(iFinD）'!$A989="",'实盘净值数据(iFinD）'!$B989=""),"",分期持仓明细!$AB$18*SUMPRODUCT(分期持仓明细!$B$18:$Y$18,'实盘净值数据(iFinD）'!$B989:$Y989/'实盘净值数据(iFinD）'!$B$20:$Y$20)*(1-实盘持仓初始配置!$Z$5)^(('实盘净值数据(iFinD）'!$A989-'实盘净值数据(iFinD）'!$A$5)/365))</f>
        <v/>
      </c>
      <c r="F989" s="16" t="str">
        <f t="shared" si="91"/>
        <v/>
      </c>
      <c r="G989" s="16" t="str">
        <f>IF(E989="","",E989/MAX(E$5:E989)-1)</f>
        <v/>
      </c>
      <c r="H989" s="13" t="str">
        <f>IF(OR('实盘净值数据(iFinD）'!$A989="",'实盘净值数据(iFinD）'!$B989=""),"",分期持仓明细!$AB$19*SUMPRODUCT(分期持仓明细!$B$19:$Y$19,'实盘净值数据(iFinD）'!$B989:$Y989/'实盘净值数据(iFinD）'!$B$20:$Y$20)*(1-实盘持仓初始配置!$Z$6)^(('实盘净值数据(iFinD）'!$A989-'实盘净值数据(iFinD）'!$A$7)/365))</f>
        <v/>
      </c>
      <c r="I989" s="16" t="str">
        <f t="shared" si="92"/>
        <v/>
      </c>
      <c r="J989" s="16" t="str">
        <f>IF(H989="","",H989/MAX(H$5:H989)-1)</f>
        <v/>
      </c>
      <c r="K989" s="13" t="str">
        <f>IF(OR('实盘净值数据(iFinD）'!$A989="",'实盘净值数据(iFinD）'!$B989="",'实盘净值数据(iFinD）'!$Z989="",'实盘净值数据(iFinD）'!$AA989=""),"",分期持仓明细!$AB$23*(SUMPRODUCT(分期持仓明细!$B$23:$Y$23,'实盘净值数据(iFinD）'!$B989:$Y989/'实盘净值数据(iFinD）'!$B$65:$Y$65)+SUMPRODUCT(分期持仓明细!$AC$23:$AD$23,'实盘净值数据(iFinD）'!$Z989:$AA989/'实盘净值数据(iFinD）'!$Z$65:$AA$65))*(1-实盘持仓初始配置!$Z$7)^(('实盘净值数据(iFinD）'!$A989-'实盘净值数据(iFinD）'!$A$8)/365))</f>
        <v/>
      </c>
      <c r="L989" s="16" t="str">
        <f t="shared" si="93"/>
        <v/>
      </c>
      <c r="M989" s="16" t="str">
        <f>IF(K989="","",K989/MAX(K$5:K989)-1)</f>
        <v/>
      </c>
      <c r="N989" s="13" t="str">
        <f>IF(OR('实盘净值数据(iFinD）'!$A989="",'实盘净值数据(iFinD）'!$B989="",'实盘净值数据(iFinD）'!$Z989="",'实盘净值数据(iFinD）'!$AA989=""),"",分期持仓明细!$AB$24*(SUMPRODUCT(分期持仓明细!$B$24:$Y$24,'实盘净值数据(iFinD）'!$B989:$Y989/'实盘净值数据(iFinD）'!$B$65:$Y$65)+SUMPRODUCT(分期持仓明细!$AC$24:$AD$24,'实盘净值数据(iFinD）'!$Z989:$AA989/'实盘净值数据(iFinD）'!$Z$65:$AA$65))*(1-实盘持仓初始配置!$Z$8)^(('实盘净值数据(iFinD）'!$A989-'实盘净值数据(iFinD）'!$A$5)/365))</f>
        <v/>
      </c>
      <c r="O989" s="16" t="str">
        <f t="shared" si="94"/>
        <v/>
      </c>
      <c r="P989" s="16" t="str">
        <f>IF(N989="","",N989/MAX(N$5:N989)-1)</f>
        <v/>
      </c>
      <c r="Q989" s="13" t="str">
        <f>IF(OR('实盘净值数据(iFinD）'!$A989="",'实盘净值数据(iFinD）'!$B989="",'实盘净值数据(iFinD）'!$Z989="",'实盘净值数据(iFinD）'!$AA989=""),"",分期持仓明细!$AB$25*(SUMPRODUCT(分期持仓明细!$B$25:$Y$25,'实盘净值数据(iFinD）'!$B989:$Y989/'实盘净值数据(iFinD）'!$B$65:$Y$65)+SUMPRODUCT(分期持仓明细!$AC$25:$AD$25,'实盘净值数据(iFinD）'!$Z989:$AA989/'实盘净值数据(iFinD）'!$Z$65:$AA$65))*(1-实盘持仓初始配置!$Z$9)^(('实盘净值数据(iFinD）'!$A989-'实盘净值数据(iFinD）'!$A$8)/365))</f>
        <v/>
      </c>
      <c r="R989" s="16" t="str">
        <f t="shared" si="95"/>
        <v/>
      </c>
      <c r="S989" s="16" t="str">
        <f>IF(Q989="","",Q989/MAX(Q$5:Q989)-1)</f>
        <v/>
      </c>
    </row>
    <row r="990" spans="1:19">
      <c r="A990" s="15" t="str">
        <f>IF('实盘净值数据(iFinD）'!A990="","",'实盘净值数据(iFinD）'!A990)</f>
        <v/>
      </c>
      <c r="B990" s="13" t="str">
        <f>IF(OR('实盘净值数据(iFinD）'!$A990="",'实盘净值数据(iFinD）'!$B990=""),"",分期持仓明细!$AB$17*SUMPRODUCT(分期持仓明细!$B$17:$Y$17,'实盘净值数据(iFinD）'!$B990:$Y990/'实盘净值数据(iFinD）'!$B$20:$Y$20)*(1-实盘持仓初始配置!$Z$4)^(('实盘净值数据(iFinD）'!$A990-'实盘净值数据(iFinD）'!$A$6)/365))</f>
        <v/>
      </c>
      <c r="C990" s="16" t="str">
        <f t="shared" si="90"/>
        <v/>
      </c>
      <c r="D990" s="16" t="str">
        <f>IF(B990="","",B990/MAX(B$5:B990)-1)</f>
        <v/>
      </c>
      <c r="E990" s="13" t="str">
        <f>IF(OR('实盘净值数据(iFinD）'!$A990="",'实盘净值数据(iFinD）'!$B990=""),"",分期持仓明细!$AB$18*SUMPRODUCT(分期持仓明细!$B$18:$Y$18,'实盘净值数据(iFinD）'!$B990:$Y990/'实盘净值数据(iFinD）'!$B$20:$Y$20)*(1-实盘持仓初始配置!$Z$5)^(('实盘净值数据(iFinD）'!$A990-'实盘净值数据(iFinD）'!$A$5)/365))</f>
        <v/>
      </c>
      <c r="F990" s="16" t="str">
        <f t="shared" si="91"/>
        <v/>
      </c>
      <c r="G990" s="16" t="str">
        <f>IF(E990="","",E990/MAX(E$5:E990)-1)</f>
        <v/>
      </c>
      <c r="H990" s="13" t="str">
        <f>IF(OR('实盘净值数据(iFinD）'!$A990="",'实盘净值数据(iFinD）'!$B990=""),"",分期持仓明细!$AB$19*SUMPRODUCT(分期持仓明细!$B$19:$Y$19,'实盘净值数据(iFinD）'!$B990:$Y990/'实盘净值数据(iFinD）'!$B$20:$Y$20)*(1-实盘持仓初始配置!$Z$6)^(('实盘净值数据(iFinD）'!$A990-'实盘净值数据(iFinD）'!$A$7)/365))</f>
        <v/>
      </c>
      <c r="I990" s="16" t="str">
        <f t="shared" si="92"/>
        <v/>
      </c>
      <c r="J990" s="16" t="str">
        <f>IF(H990="","",H990/MAX(H$5:H990)-1)</f>
        <v/>
      </c>
      <c r="K990" s="13" t="str">
        <f>IF(OR('实盘净值数据(iFinD）'!$A990="",'实盘净值数据(iFinD）'!$B990="",'实盘净值数据(iFinD）'!$Z990="",'实盘净值数据(iFinD）'!$AA990=""),"",分期持仓明细!$AB$23*(SUMPRODUCT(分期持仓明细!$B$23:$Y$23,'实盘净值数据(iFinD）'!$B990:$Y990/'实盘净值数据(iFinD）'!$B$65:$Y$65)+SUMPRODUCT(分期持仓明细!$AC$23:$AD$23,'实盘净值数据(iFinD）'!$Z990:$AA990/'实盘净值数据(iFinD）'!$Z$65:$AA$65))*(1-实盘持仓初始配置!$Z$7)^(('实盘净值数据(iFinD）'!$A990-'实盘净值数据(iFinD）'!$A$8)/365))</f>
        <v/>
      </c>
      <c r="L990" s="16" t="str">
        <f t="shared" si="93"/>
        <v/>
      </c>
      <c r="M990" s="16" t="str">
        <f>IF(K990="","",K990/MAX(K$5:K990)-1)</f>
        <v/>
      </c>
      <c r="N990" s="13" t="str">
        <f>IF(OR('实盘净值数据(iFinD）'!$A990="",'实盘净值数据(iFinD）'!$B990="",'实盘净值数据(iFinD）'!$Z990="",'实盘净值数据(iFinD）'!$AA990=""),"",分期持仓明细!$AB$24*(SUMPRODUCT(分期持仓明细!$B$24:$Y$24,'实盘净值数据(iFinD）'!$B990:$Y990/'实盘净值数据(iFinD）'!$B$65:$Y$65)+SUMPRODUCT(分期持仓明细!$AC$24:$AD$24,'实盘净值数据(iFinD）'!$Z990:$AA990/'实盘净值数据(iFinD）'!$Z$65:$AA$65))*(1-实盘持仓初始配置!$Z$8)^(('实盘净值数据(iFinD）'!$A990-'实盘净值数据(iFinD）'!$A$5)/365))</f>
        <v/>
      </c>
      <c r="O990" s="16" t="str">
        <f t="shared" si="94"/>
        <v/>
      </c>
      <c r="P990" s="16" t="str">
        <f>IF(N990="","",N990/MAX(N$5:N990)-1)</f>
        <v/>
      </c>
      <c r="Q990" s="13" t="str">
        <f>IF(OR('实盘净值数据(iFinD）'!$A990="",'实盘净值数据(iFinD）'!$B990="",'实盘净值数据(iFinD）'!$Z990="",'实盘净值数据(iFinD）'!$AA990=""),"",分期持仓明细!$AB$25*(SUMPRODUCT(分期持仓明细!$B$25:$Y$25,'实盘净值数据(iFinD）'!$B990:$Y990/'实盘净值数据(iFinD）'!$B$65:$Y$65)+SUMPRODUCT(分期持仓明细!$AC$25:$AD$25,'实盘净值数据(iFinD）'!$Z990:$AA990/'实盘净值数据(iFinD）'!$Z$65:$AA$65))*(1-实盘持仓初始配置!$Z$9)^(('实盘净值数据(iFinD）'!$A990-'实盘净值数据(iFinD）'!$A$8)/365))</f>
        <v/>
      </c>
      <c r="R990" s="16" t="str">
        <f t="shared" si="95"/>
        <v/>
      </c>
      <c r="S990" s="16" t="str">
        <f>IF(Q990="","",Q990/MAX(Q$5:Q990)-1)</f>
        <v/>
      </c>
    </row>
    <row r="991" spans="1:19">
      <c r="A991" s="15" t="str">
        <f>IF('实盘净值数据(iFinD）'!A991="","",'实盘净值数据(iFinD）'!A991)</f>
        <v/>
      </c>
      <c r="B991" s="13" t="str">
        <f>IF(OR('实盘净值数据(iFinD）'!$A991="",'实盘净值数据(iFinD）'!$B991=""),"",分期持仓明细!$AB$17*SUMPRODUCT(分期持仓明细!$B$17:$Y$17,'实盘净值数据(iFinD）'!$B991:$Y991/'实盘净值数据(iFinD）'!$B$20:$Y$20)*(1-实盘持仓初始配置!$Z$4)^(('实盘净值数据(iFinD）'!$A991-'实盘净值数据(iFinD）'!$A$6)/365))</f>
        <v/>
      </c>
      <c r="C991" s="16" t="str">
        <f t="shared" si="90"/>
        <v/>
      </c>
      <c r="D991" s="16" t="str">
        <f>IF(B991="","",B991/MAX(B$5:B991)-1)</f>
        <v/>
      </c>
      <c r="E991" s="13" t="str">
        <f>IF(OR('实盘净值数据(iFinD）'!$A991="",'实盘净值数据(iFinD）'!$B991=""),"",分期持仓明细!$AB$18*SUMPRODUCT(分期持仓明细!$B$18:$Y$18,'实盘净值数据(iFinD）'!$B991:$Y991/'实盘净值数据(iFinD）'!$B$20:$Y$20)*(1-实盘持仓初始配置!$Z$5)^(('实盘净值数据(iFinD）'!$A991-'实盘净值数据(iFinD）'!$A$5)/365))</f>
        <v/>
      </c>
      <c r="F991" s="16" t="str">
        <f t="shared" si="91"/>
        <v/>
      </c>
      <c r="G991" s="16" t="str">
        <f>IF(E991="","",E991/MAX(E$5:E991)-1)</f>
        <v/>
      </c>
      <c r="H991" s="13" t="str">
        <f>IF(OR('实盘净值数据(iFinD）'!$A991="",'实盘净值数据(iFinD）'!$B991=""),"",分期持仓明细!$AB$19*SUMPRODUCT(分期持仓明细!$B$19:$Y$19,'实盘净值数据(iFinD）'!$B991:$Y991/'实盘净值数据(iFinD）'!$B$20:$Y$20)*(1-实盘持仓初始配置!$Z$6)^(('实盘净值数据(iFinD）'!$A991-'实盘净值数据(iFinD）'!$A$7)/365))</f>
        <v/>
      </c>
      <c r="I991" s="16" t="str">
        <f t="shared" si="92"/>
        <v/>
      </c>
      <c r="J991" s="16" t="str">
        <f>IF(H991="","",H991/MAX(H$5:H991)-1)</f>
        <v/>
      </c>
      <c r="K991" s="13" t="str">
        <f>IF(OR('实盘净值数据(iFinD）'!$A991="",'实盘净值数据(iFinD）'!$B991="",'实盘净值数据(iFinD）'!$Z991="",'实盘净值数据(iFinD）'!$AA991=""),"",分期持仓明细!$AB$23*(SUMPRODUCT(分期持仓明细!$B$23:$Y$23,'实盘净值数据(iFinD）'!$B991:$Y991/'实盘净值数据(iFinD）'!$B$65:$Y$65)+SUMPRODUCT(分期持仓明细!$AC$23:$AD$23,'实盘净值数据(iFinD）'!$Z991:$AA991/'实盘净值数据(iFinD）'!$Z$65:$AA$65))*(1-实盘持仓初始配置!$Z$7)^(('实盘净值数据(iFinD）'!$A991-'实盘净值数据(iFinD）'!$A$8)/365))</f>
        <v/>
      </c>
      <c r="L991" s="16" t="str">
        <f t="shared" si="93"/>
        <v/>
      </c>
      <c r="M991" s="16" t="str">
        <f>IF(K991="","",K991/MAX(K$5:K991)-1)</f>
        <v/>
      </c>
      <c r="N991" s="13" t="str">
        <f>IF(OR('实盘净值数据(iFinD）'!$A991="",'实盘净值数据(iFinD）'!$B991="",'实盘净值数据(iFinD）'!$Z991="",'实盘净值数据(iFinD）'!$AA991=""),"",分期持仓明细!$AB$24*(SUMPRODUCT(分期持仓明细!$B$24:$Y$24,'实盘净值数据(iFinD）'!$B991:$Y991/'实盘净值数据(iFinD）'!$B$65:$Y$65)+SUMPRODUCT(分期持仓明细!$AC$24:$AD$24,'实盘净值数据(iFinD）'!$Z991:$AA991/'实盘净值数据(iFinD）'!$Z$65:$AA$65))*(1-实盘持仓初始配置!$Z$8)^(('实盘净值数据(iFinD）'!$A991-'实盘净值数据(iFinD）'!$A$5)/365))</f>
        <v/>
      </c>
      <c r="O991" s="16" t="str">
        <f t="shared" si="94"/>
        <v/>
      </c>
      <c r="P991" s="16" t="str">
        <f>IF(N991="","",N991/MAX(N$5:N991)-1)</f>
        <v/>
      </c>
      <c r="Q991" s="13" t="str">
        <f>IF(OR('实盘净值数据(iFinD）'!$A991="",'实盘净值数据(iFinD）'!$B991="",'实盘净值数据(iFinD）'!$Z991="",'实盘净值数据(iFinD）'!$AA991=""),"",分期持仓明细!$AB$25*(SUMPRODUCT(分期持仓明细!$B$25:$Y$25,'实盘净值数据(iFinD）'!$B991:$Y991/'实盘净值数据(iFinD）'!$B$65:$Y$65)+SUMPRODUCT(分期持仓明细!$AC$25:$AD$25,'实盘净值数据(iFinD）'!$Z991:$AA991/'实盘净值数据(iFinD）'!$Z$65:$AA$65))*(1-实盘持仓初始配置!$Z$9)^(('实盘净值数据(iFinD）'!$A991-'实盘净值数据(iFinD）'!$A$8)/365))</f>
        <v/>
      </c>
      <c r="R991" s="16" t="str">
        <f t="shared" si="95"/>
        <v/>
      </c>
      <c r="S991" s="16" t="str">
        <f>IF(Q991="","",Q991/MAX(Q$5:Q991)-1)</f>
        <v/>
      </c>
    </row>
    <row r="992" spans="1:19">
      <c r="A992" s="15" t="str">
        <f>IF('实盘净值数据(iFinD）'!A992="","",'实盘净值数据(iFinD）'!A992)</f>
        <v/>
      </c>
      <c r="B992" s="13" t="str">
        <f>IF(OR('实盘净值数据(iFinD）'!$A992="",'实盘净值数据(iFinD）'!$B992=""),"",分期持仓明细!$AB$17*SUMPRODUCT(分期持仓明细!$B$17:$Y$17,'实盘净值数据(iFinD）'!$B992:$Y992/'实盘净值数据(iFinD）'!$B$20:$Y$20)*(1-实盘持仓初始配置!$Z$4)^(('实盘净值数据(iFinD）'!$A992-'实盘净值数据(iFinD）'!$A$6)/365))</f>
        <v/>
      </c>
      <c r="C992" s="16" t="str">
        <f t="shared" si="90"/>
        <v/>
      </c>
      <c r="D992" s="16" t="str">
        <f>IF(B992="","",B992/MAX(B$5:B992)-1)</f>
        <v/>
      </c>
      <c r="E992" s="13" t="str">
        <f>IF(OR('实盘净值数据(iFinD）'!$A992="",'实盘净值数据(iFinD）'!$B992=""),"",分期持仓明细!$AB$18*SUMPRODUCT(分期持仓明细!$B$18:$Y$18,'实盘净值数据(iFinD）'!$B992:$Y992/'实盘净值数据(iFinD）'!$B$20:$Y$20)*(1-实盘持仓初始配置!$Z$5)^(('实盘净值数据(iFinD）'!$A992-'实盘净值数据(iFinD）'!$A$5)/365))</f>
        <v/>
      </c>
      <c r="F992" s="16" t="str">
        <f t="shared" si="91"/>
        <v/>
      </c>
      <c r="G992" s="16" t="str">
        <f>IF(E992="","",E992/MAX(E$5:E992)-1)</f>
        <v/>
      </c>
      <c r="H992" s="13" t="str">
        <f>IF(OR('实盘净值数据(iFinD）'!$A992="",'实盘净值数据(iFinD）'!$B992=""),"",分期持仓明细!$AB$19*SUMPRODUCT(分期持仓明细!$B$19:$Y$19,'实盘净值数据(iFinD）'!$B992:$Y992/'实盘净值数据(iFinD）'!$B$20:$Y$20)*(1-实盘持仓初始配置!$Z$6)^(('实盘净值数据(iFinD）'!$A992-'实盘净值数据(iFinD）'!$A$7)/365))</f>
        <v/>
      </c>
      <c r="I992" s="16" t="str">
        <f t="shared" si="92"/>
        <v/>
      </c>
      <c r="J992" s="16" t="str">
        <f>IF(H992="","",H992/MAX(H$5:H992)-1)</f>
        <v/>
      </c>
      <c r="K992" s="13" t="str">
        <f>IF(OR('实盘净值数据(iFinD）'!$A992="",'实盘净值数据(iFinD）'!$B992="",'实盘净值数据(iFinD）'!$Z992="",'实盘净值数据(iFinD）'!$AA992=""),"",分期持仓明细!$AB$23*(SUMPRODUCT(分期持仓明细!$B$23:$Y$23,'实盘净值数据(iFinD）'!$B992:$Y992/'实盘净值数据(iFinD）'!$B$65:$Y$65)+SUMPRODUCT(分期持仓明细!$AC$23:$AD$23,'实盘净值数据(iFinD）'!$Z992:$AA992/'实盘净值数据(iFinD）'!$Z$65:$AA$65))*(1-实盘持仓初始配置!$Z$7)^(('实盘净值数据(iFinD）'!$A992-'实盘净值数据(iFinD）'!$A$8)/365))</f>
        <v/>
      </c>
      <c r="L992" s="16" t="str">
        <f t="shared" si="93"/>
        <v/>
      </c>
      <c r="M992" s="16" t="str">
        <f>IF(K992="","",K992/MAX(K$5:K992)-1)</f>
        <v/>
      </c>
      <c r="N992" s="13" t="str">
        <f>IF(OR('实盘净值数据(iFinD）'!$A992="",'实盘净值数据(iFinD）'!$B992="",'实盘净值数据(iFinD）'!$Z992="",'实盘净值数据(iFinD）'!$AA992=""),"",分期持仓明细!$AB$24*(SUMPRODUCT(分期持仓明细!$B$24:$Y$24,'实盘净值数据(iFinD）'!$B992:$Y992/'实盘净值数据(iFinD）'!$B$65:$Y$65)+SUMPRODUCT(分期持仓明细!$AC$24:$AD$24,'实盘净值数据(iFinD）'!$Z992:$AA992/'实盘净值数据(iFinD）'!$Z$65:$AA$65))*(1-实盘持仓初始配置!$Z$8)^(('实盘净值数据(iFinD）'!$A992-'实盘净值数据(iFinD）'!$A$5)/365))</f>
        <v/>
      </c>
      <c r="O992" s="16" t="str">
        <f t="shared" si="94"/>
        <v/>
      </c>
      <c r="P992" s="16" t="str">
        <f>IF(N992="","",N992/MAX(N$5:N992)-1)</f>
        <v/>
      </c>
      <c r="Q992" s="13" t="str">
        <f>IF(OR('实盘净值数据(iFinD）'!$A992="",'实盘净值数据(iFinD）'!$B992="",'实盘净值数据(iFinD）'!$Z992="",'实盘净值数据(iFinD）'!$AA992=""),"",分期持仓明细!$AB$25*(SUMPRODUCT(分期持仓明细!$B$25:$Y$25,'实盘净值数据(iFinD）'!$B992:$Y992/'实盘净值数据(iFinD）'!$B$65:$Y$65)+SUMPRODUCT(分期持仓明细!$AC$25:$AD$25,'实盘净值数据(iFinD）'!$Z992:$AA992/'实盘净值数据(iFinD）'!$Z$65:$AA$65))*(1-实盘持仓初始配置!$Z$9)^(('实盘净值数据(iFinD）'!$A992-'实盘净值数据(iFinD）'!$A$8)/365))</f>
        <v/>
      </c>
      <c r="R992" s="16" t="str">
        <f t="shared" si="95"/>
        <v/>
      </c>
      <c r="S992" s="16" t="str">
        <f>IF(Q992="","",Q992/MAX(Q$5:Q992)-1)</f>
        <v/>
      </c>
    </row>
    <row r="993" spans="1:19">
      <c r="A993" s="15" t="str">
        <f>IF('实盘净值数据(iFinD）'!A993="","",'实盘净值数据(iFinD）'!A993)</f>
        <v/>
      </c>
      <c r="B993" s="13" t="str">
        <f>IF(OR('实盘净值数据(iFinD）'!$A993="",'实盘净值数据(iFinD）'!$B993=""),"",分期持仓明细!$AB$17*SUMPRODUCT(分期持仓明细!$B$17:$Y$17,'实盘净值数据(iFinD）'!$B993:$Y993/'实盘净值数据(iFinD）'!$B$20:$Y$20)*(1-实盘持仓初始配置!$Z$4)^(('实盘净值数据(iFinD）'!$A993-'实盘净值数据(iFinD）'!$A$6)/365))</f>
        <v/>
      </c>
      <c r="C993" s="16" t="str">
        <f t="shared" si="90"/>
        <v/>
      </c>
      <c r="D993" s="16" t="str">
        <f>IF(B993="","",B993/MAX(B$5:B993)-1)</f>
        <v/>
      </c>
      <c r="E993" s="13" t="str">
        <f>IF(OR('实盘净值数据(iFinD）'!$A993="",'实盘净值数据(iFinD）'!$B993=""),"",分期持仓明细!$AB$18*SUMPRODUCT(分期持仓明细!$B$18:$Y$18,'实盘净值数据(iFinD）'!$B993:$Y993/'实盘净值数据(iFinD）'!$B$20:$Y$20)*(1-实盘持仓初始配置!$Z$5)^(('实盘净值数据(iFinD）'!$A993-'实盘净值数据(iFinD）'!$A$5)/365))</f>
        <v/>
      </c>
      <c r="F993" s="16" t="str">
        <f t="shared" si="91"/>
        <v/>
      </c>
      <c r="G993" s="16" t="str">
        <f>IF(E993="","",E993/MAX(E$5:E993)-1)</f>
        <v/>
      </c>
      <c r="H993" s="13" t="str">
        <f>IF(OR('实盘净值数据(iFinD）'!$A993="",'实盘净值数据(iFinD）'!$B993=""),"",分期持仓明细!$AB$19*SUMPRODUCT(分期持仓明细!$B$19:$Y$19,'实盘净值数据(iFinD）'!$B993:$Y993/'实盘净值数据(iFinD）'!$B$20:$Y$20)*(1-实盘持仓初始配置!$Z$6)^(('实盘净值数据(iFinD）'!$A993-'实盘净值数据(iFinD）'!$A$7)/365))</f>
        <v/>
      </c>
      <c r="I993" s="16" t="str">
        <f t="shared" si="92"/>
        <v/>
      </c>
      <c r="J993" s="16" t="str">
        <f>IF(H993="","",H993/MAX(H$5:H993)-1)</f>
        <v/>
      </c>
      <c r="K993" s="13" t="str">
        <f>IF(OR('实盘净值数据(iFinD）'!$A993="",'实盘净值数据(iFinD）'!$B993="",'实盘净值数据(iFinD）'!$Z993="",'实盘净值数据(iFinD）'!$AA993=""),"",分期持仓明细!$AB$23*(SUMPRODUCT(分期持仓明细!$B$23:$Y$23,'实盘净值数据(iFinD）'!$B993:$Y993/'实盘净值数据(iFinD）'!$B$65:$Y$65)+SUMPRODUCT(分期持仓明细!$AC$23:$AD$23,'实盘净值数据(iFinD）'!$Z993:$AA993/'实盘净值数据(iFinD）'!$Z$65:$AA$65))*(1-实盘持仓初始配置!$Z$7)^(('实盘净值数据(iFinD）'!$A993-'实盘净值数据(iFinD）'!$A$8)/365))</f>
        <v/>
      </c>
      <c r="L993" s="16" t="str">
        <f t="shared" si="93"/>
        <v/>
      </c>
      <c r="M993" s="16" t="str">
        <f>IF(K993="","",K993/MAX(K$5:K993)-1)</f>
        <v/>
      </c>
      <c r="N993" s="13" t="str">
        <f>IF(OR('实盘净值数据(iFinD）'!$A993="",'实盘净值数据(iFinD）'!$B993="",'实盘净值数据(iFinD）'!$Z993="",'实盘净值数据(iFinD）'!$AA993=""),"",分期持仓明细!$AB$24*(SUMPRODUCT(分期持仓明细!$B$24:$Y$24,'实盘净值数据(iFinD）'!$B993:$Y993/'实盘净值数据(iFinD）'!$B$65:$Y$65)+SUMPRODUCT(分期持仓明细!$AC$24:$AD$24,'实盘净值数据(iFinD）'!$Z993:$AA993/'实盘净值数据(iFinD）'!$Z$65:$AA$65))*(1-实盘持仓初始配置!$Z$8)^(('实盘净值数据(iFinD）'!$A993-'实盘净值数据(iFinD）'!$A$5)/365))</f>
        <v/>
      </c>
      <c r="O993" s="16" t="str">
        <f t="shared" si="94"/>
        <v/>
      </c>
      <c r="P993" s="16" t="str">
        <f>IF(N993="","",N993/MAX(N$5:N993)-1)</f>
        <v/>
      </c>
      <c r="Q993" s="13" t="str">
        <f>IF(OR('实盘净值数据(iFinD）'!$A993="",'实盘净值数据(iFinD）'!$B993="",'实盘净值数据(iFinD）'!$Z993="",'实盘净值数据(iFinD）'!$AA993=""),"",分期持仓明细!$AB$25*(SUMPRODUCT(分期持仓明细!$B$25:$Y$25,'实盘净值数据(iFinD）'!$B993:$Y993/'实盘净值数据(iFinD）'!$B$65:$Y$65)+SUMPRODUCT(分期持仓明细!$AC$25:$AD$25,'实盘净值数据(iFinD）'!$Z993:$AA993/'实盘净值数据(iFinD）'!$Z$65:$AA$65))*(1-实盘持仓初始配置!$Z$9)^(('实盘净值数据(iFinD）'!$A993-'实盘净值数据(iFinD）'!$A$8)/365))</f>
        <v/>
      </c>
      <c r="R993" s="16" t="str">
        <f t="shared" si="95"/>
        <v/>
      </c>
      <c r="S993" s="16" t="str">
        <f>IF(Q993="","",Q993/MAX(Q$5:Q993)-1)</f>
        <v/>
      </c>
    </row>
    <row r="994" spans="1:19">
      <c r="A994" s="15" t="str">
        <f>IF('实盘净值数据(iFinD）'!A994="","",'实盘净值数据(iFinD）'!A994)</f>
        <v/>
      </c>
      <c r="B994" s="13" t="str">
        <f>IF(OR('实盘净值数据(iFinD）'!$A994="",'实盘净值数据(iFinD）'!$B994=""),"",分期持仓明细!$AB$17*SUMPRODUCT(分期持仓明细!$B$17:$Y$17,'实盘净值数据(iFinD）'!$B994:$Y994/'实盘净值数据(iFinD）'!$B$20:$Y$20)*(1-实盘持仓初始配置!$Z$4)^(('实盘净值数据(iFinD）'!$A994-'实盘净值数据(iFinD）'!$A$6)/365))</f>
        <v/>
      </c>
      <c r="C994" s="16" t="str">
        <f t="shared" si="90"/>
        <v/>
      </c>
      <c r="D994" s="16" t="str">
        <f>IF(B994="","",B994/MAX(B$5:B994)-1)</f>
        <v/>
      </c>
      <c r="E994" s="13" t="str">
        <f>IF(OR('实盘净值数据(iFinD）'!$A994="",'实盘净值数据(iFinD）'!$B994=""),"",分期持仓明细!$AB$18*SUMPRODUCT(分期持仓明细!$B$18:$Y$18,'实盘净值数据(iFinD）'!$B994:$Y994/'实盘净值数据(iFinD）'!$B$20:$Y$20)*(1-实盘持仓初始配置!$Z$5)^(('实盘净值数据(iFinD）'!$A994-'实盘净值数据(iFinD）'!$A$5)/365))</f>
        <v/>
      </c>
      <c r="F994" s="16" t="str">
        <f t="shared" si="91"/>
        <v/>
      </c>
      <c r="G994" s="16" t="str">
        <f>IF(E994="","",E994/MAX(E$5:E994)-1)</f>
        <v/>
      </c>
      <c r="H994" s="13" t="str">
        <f>IF(OR('实盘净值数据(iFinD）'!$A994="",'实盘净值数据(iFinD）'!$B994=""),"",分期持仓明细!$AB$19*SUMPRODUCT(分期持仓明细!$B$19:$Y$19,'实盘净值数据(iFinD）'!$B994:$Y994/'实盘净值数据(iFinD）'!$B$20:$Y$20)*(1-实盘持仓初始配置!$Z$6)^(('实盘净值数据(iFinD）'!$A994-'实盘净值数据(iFinD）'!$A$7)/365))</f>
        <v/>
      </c>
      <c r="I994" s="16" t="str">
        <f t="shared" si="92"/>
        <v/>
      </c>
      <c r="J994" s="16" t="str">
        <f>IF(H994="","",H994/MAX(H$5:H994)-1)</f>
        <v/>
      </c>
      <c r="K994" s="13" t="str">
        <f>IF(OR('实盘净值数据(iFinD）'!$A994="",'实盘净值数据(iFinD）'!$B994="",'实盘净值数据(iFinD）'!$Z994="",'实盘净值数据(iFinD）'!$AA994=""),"",分期持仓明细!$AB$23*(SUMPRODUCT(分期持仓明细!$B$23:$Y$23,'实盘净值数据(iFinD）'!$B994:$Y994/'实盘净值数据(iFinD）'!$B$65:$Y$65)+SUMPRODUCT(分期持仓明细!$AC$23:$AD$23,'实盘净值数据(iFinD）'!$Z994:$AA994/'实盘净值数据(iFinD）'!$Z$65:$AA$65))*(1-实盘持仓初始配置!$Z$7)^(('实盘净值数据(iFinD）'!$A994-'实盘净值数据(iFinD）'!$A$8)/365))</f>
        <v/>
      </c>
      <c r="L994" s="16" t="str">
        <f t="shared" si="93"/>
        <v/>
      </c>
      <c r="M994" s="16" t="str">
        <f>IF(K994="","",K994/MAX(K$5:K994)-1)</f>
        <v/>
      </c>
      <c r="N994" s="13" t="str">
        <f>IF(OR('实盘净值数据(iFinD）'!$A994="",'实盘净值数据(iFinD）'!$B994="",'实盘净值数据(iFinD）'!$Z994="",'实盘净值数据(iFinD）'!$AA994=""),"",分期持仓明细!$AB$24*(SUMPRODUCT(分期持仓明细!$B$24:$Y$24,'实盘净值数据(iFinD）'!$B994:$Y994/'实盘净值数据(iFinD）'!$B$65:$Y$65)+SUMPRODUCT(分期持仓明细!$AC$24:$AD$24,'实盘净值数据(iFinD）'!$Z994:$AA994/'实盘净值数据(iFinD）'!$Z$65:$AA$65))*(1-实盘持仓初始配置!$Z$8)^(('实盘净值数据(iFinD）'!$A994-'实盘净值数据(iFinD）'!$A$5)/365))</f>
        <v/>
      </c>
      <c r="O994" s="16" t="str">
        <f t="shared" si="94"/>
        <v/>
      </c>
      <c r="P994" s="16" t="str">
        <f>IF(N994="","",N994/MAX(N$5:N994)-1)</f>
        <v/>
      </c>
      <c r="Q994" s="13" t="str">
        <f>IF(OR('实盘净值数据(iFinD）'!$A994="",'实盘净值数据(iFinD）'!$B994="",'实盘净值数据(iFinD）'!$Z994="",'实盘净值数据(iFinD）'!$AA994=""),"",分期持仓明细!$AB$25*(SUMPRODUCT(分期持仓明细!$B$25:$Y$25,'实盘净值数据(iFinD）'!$B994:$Y994/'实盘净值数据(iFinD）'!$B$65:$Y$65)+SUMPRODUCT(分期持仓明细!$AC$25:$AD$25,'实盘净值数据(iFinD）'!$Z994:$AA994/'实盘净值数据(iFinD）'!$Z$65:$AA$65))*(1-实盘持仓初始配置!$Z$9)^(('实盘净值数据(iFinD）'!$A994-'实盘净值数据(iFinD）'!$A$8)/365))</f>
        <v/>
      </c>
      <c r="R994" s="16" t="str">
        <f t="shared" si="95"/>
        <v/>
      </c>
      <c r="S994" s="16" t="str">
        <f>IF(Q994="","",Q994/MAX(Q$5:Q994)-1)</f>
        <v/>
      </c>
    </row>
    <row r="995" spans="1:19">
      <c r="A995" s="15" t="str">
        <f>IF('实盘净值数据(iFinD）'!A995="","",'实盘净值数据(iFinD）'!A995)</f>
        <v/>
      </c>
      <c r="B995" s="13" t="str">
        <f>IF(OR('实盘净值数据(iFinD）'!$A995="",'实盘净值数据(iFinD）'!$B995=""),"",分期持仓明细!$AB$17*SUMPRODUCT(分期持仓明细!$B$17:$Y$17,'实盘净值数据(iFinD）'!$B995:$Y995/'实盘净值数据(iFinD）'!$B$20:$Y$20)*(1-实盘持仓初始配置!$Z$4)^(('实盘净值数据(iFinD）'!$A995-'实盘净值数据(iFinD）'!$A$6)/365))</f>
        <v/>
      </c>
      <c r="C995" s="16" t="str">
        <f t="shared" si="90"/>
        <v/>
      </c>
      <c r="D995" s="16" t="str">
        <f>IF(B995="","",B995/MAX(B$5:B995)-1)</f>
        <v/>
      </c>
      <c r="E995" s="13" t="str">
        <f>IF(OR('实盘净值数据(iFinD）'!$A995="",'实盘净值数据(iFinD）'!$B995=""),"",分期持仓明细!$AB$18*SUMPRODUCT(分期持仓明细!$B$18:$Y$18,'实盘净值数据(iFinD）'!$B995:$Y995/'实盘净值数据(iFinD）'!$B$20:$Y$20)*(1-实盘持仓初始配置!$Z$5)^(('实盘净值数据(iFinD）'!$A995-'实盘净值数据(iFinD）'!$A$5)/365))</f>
        <v/>
      </c>
      <c r="F995" s="16" t="str">
        <f t="shared" si="91"/>
        <v/>
      </c>
      <c r="G995" s="16" t="str">
        <f>IF(E995="","",E995/MAX(E$5:E995)-1)</f>
        <v/>
      </c>
      <c r="H995" s="13" t="str">
        <f>IF(OR('实盘净值数据(iFinD）'!$A995="",'实盘净值数据(iFinD）'!$B995=""),"",分期持仓明细!$AB$19*SUMPRODUCT(分期持仓明细!$B$19:$Y$19,'实盘净值数据(iFinD）'!$B995:$Y995/'实盘净值数据(iFinD）'!$B$20:$Y$20)*(1-实盘持仓初始配置!$Z$6)^(('实盘净值数据(iFinD）'!$A995-'实盘净值数据(iFinD）'!$A$7)/365))</f>
        <v/>
      </c>
      <c r="I995" s="16" t="str">
        <f t="shared" si="92"/>
        <v/>
      </c>
      <c r="J995" s="16" t="str">
        <f>IF(H995="","",H995/MAX(H$5:H995)-1)</f>
        <v/>
      </c>
      <c r="K995" s="13" t="str">
        <f>IF(OR('实盘净值数据(iFinD）'!$A995="",'实盘净值数据(iFinD）'!$B995="",'实盘净值数据(iFinD）'!$Z995="",'实盘净值数据(iFinD）'!$AA995=""),"",分期持仓明细!$AB$23*(SUMPRODUCT(分期持仓明细!$B$23:$Y$23,'实盘净值数据(iFinD）'!$B995:$Y995/'实盘净值数据(iFinD）'!$B$65:$Y$65)+SUMPRODUCT(分期持仓明细!$AC$23:$AD$23,'实盘净值数据(iFinD）'!$Z995:$AA995/'实盘净值数据(iFinD）'!$Z$65:$AA$65))*(1-实盘持仓初始配置!$Z$7)^(('实盘净值数据(iFinD）'!$A995-'实盘净值数据(iFinD）'!$A$8)/365))</f>
        <v/>
      </c>
      <c r="L995" s="16" t="str">
        <f t="shared" si="93"/>
        <v/>
      </c>
      <c r="M995" s="16" t="str">
        <f>IF(K995="","",K995/MAX(K$5:K995)-1)</f>
        <v/>
      </c>
      <c r="N995" s="13" t="str">
        <f>IF(OR('实盘净值数据(iFinD）'!$A995="",'实盘净值数据(iFinD）'!$B995="",'实盘净值数据(iFinD）'!$Z995="",'实盘净值数据(iFinD）'!$AA995=""),"",分期持仓明细!$AB$24*(SUMPRODUCT(分期持仓明细!$B$24:$Y$24,'实盘净值数据(iFinD）'!$B995:$Y995/'实盘净值数据(iFinD）'!$B$65:$Y$65)+SUMPRODUCT(分期持仓明细!$AC$24:$AD$24,'实盘净值数据(iFinD）'!$Z995:$AA995/'实盘净值数据(iFinD）'!$Z$65:$AA$65))*(1-实盘持仓初始配置!$Z$8)^(('实盘净值数据(iFinD）'!$A995-'实盘净值数据(iFinD）'!$A$5)/365))</f>
        <v/>
      </c>
      <c r="O995" s="16" t="str">
        <f t="shared" si="94"/>
        <v/>
      </c>
      <c r="P995" s="16" t="str">
        <f>IF(N995="","",N995/MAX(N$5:N995)-1)</f>
        <v/>
      </c>
      <c r="Q995" s="13" t="str">
        <f>IF(OR('实盘净值数据(iFinD）'!$A995="",'实盘净值数据(iFinD）'!$B995="",'实盘净值数据(iFinD）'!$Z995="",'实盘净值数据(iFinD）'!$AA995=""),"",分期持仓明细!$AB$25*(SUMPRODUCT(分期持仓明细!$B$25:$Y$25,'实盘净值数据(iFinD）'!$B995:$Y995/'实盘净值数据(iFinD）'!$B$65:$Y$65)+SUMPRODUCT(分期持仓明细!$AC$25:$AD$25,'实盘净值数据(iFinD）'!$Z995:$AA995/'实盘净值数据(iFinD）'!$Z$65:$AA$65))*(1-实盘持仓初始配置!$Z$9)^(('实盘净值数据(iFinD）'!$A995-'实盘净值数据(iFinD）'!$A$8)/365))</f>
        <v/>
      </c>
      <c r="R995" s="16" t="str">
        <f t="shared" si="95"/>
        <v/>
      </c>
      <c r="S995" s="16" t="str">
        <f>IF(Q995="","",Q995/MAX(Q$5:Q995)-1)</f>
        <v/>
      </c>
    </row>
    <row r="996" spans="1:19">
      <c r="A996" s="15" t="str">
        <f>IF('实盘净值数据(iFinD）'!A996="","",'实盘净值数据(iFinD）'!A996)</f>
        <v/>
      </c>
      <c r="B996" s="13" t="str">
        <f>IF(OR('实盘净值数据(iFinD）'!$A996="",'实盘净值数据(iFinD）'!$B996=""),"",分期持仓明细!$AB$17*SUMPRODUCT(分期持仓明细!$B$17:$Y$17,'实盘净值数据(iFinD）'!$B996:$Y996/'实盘净值数据(iFinD）'!$B$20:$Y$20)*(1-实盘持仓初始配置!$Z$4)^(('实盘净值数据(iFinD）'!$A996-'实盘净值数据(iFinD）'!$A$6)/365))</f>
        <v/>
      </c>
      <c r="C996" s="16" t="str">
        <f t="shared" si="90"/>
        <v/>
      </c>
      <c r="D996" s="16" t="str">
        <f>IF(B996="","",B996/MAX(B$5:B996)-1)</f>
        <v/>
      </c>
      <c r="E996" s="13" t="str">
        <f>IF(OR('实盘净值数据(iFinD）'!$A996="",'实盘净值数据(iFinD）'!$B996=""),"",分期持仓明细!$AB$18*SUMPRODUCT(分期持仓明细!$B$18:$Y$18,'实盘净值数据(iFinD）'!$B996:$Y996/'实盘净值数据(iFinD）'!$B$20:$Y$20)*(1-实盘持仓初始配置!$Z$5)^(('实盘净值数据(iFinD）'!$A996-'实盘净值数据(iFinD）'!$A$5)/365))</f>
        <v/>
      </c>
      <c r="F996" s="16" t="str">
        <f t="shared" si="91"/>
        <v/>
      </c>
      <c r="G996" s="16" t="str">
        <f>IF(E996="","",E996/MAX(E$5:E996)-1)</f>
        <v/>
      </c>
      <c r="H996" s="13" t="str">
        <f>IF(OR('实盘净值数据(iFinD）'!$A996="",'实盘净值数据(iFinD）'!$B996=""),"",分期持仓明细!$AB$19*SUMPRODUCT(分期持仓明细!$B$19:$Y$19,'实盘净值数据(iFinD）'!$B996:$Y996/'实盘净值数据(iFinD）'!$B$20:$Y$20)*(1-实盘持仓初始配置!$Z$6)^(('实盘净值数据(iFinD）'!$A996-'实盘净值数据(iFinD）'!$A$7)/365))</f>
        <v/>
      </c>
      <c r="I996" s="16" t="str">
        <f t="shared" si="92"/>
        <v/>
      </c>
      <c r="J996" s="16" t="str">
        <f>IF(H996="","",H996/MAX(H$5:H996)-1)</f>
        <v/>
      </c>
      <c r="K996" s="13" t="str">
        <f>IF(OR('实盘净值数据(iFinD）'!$A996="",'实盘净值数据(iFinD）'!$B996="",'实盘净值数据(iFinD）'!$Z996="",'实盘净值数据(iFinD）'!$AA996=""),"",分期持仓明细!$AB$23*(SUMPRODUCT(分期持仓明细!$B$23:$Y$23,'实盘净值数据(iFinD）'!$B996:$Y996/'实盘净值数据(iFinD）'!$B$65:$Y$65)+SUMPRODUCT(分期持仓明细!$AC$23:$AD$23,'实盘净值数据(iFinD）'!$Z996:$AA996/'实盘净值数据(iFinD）'!$Z$65:$AA$65))*(1-实盘持仓初始配置!$Z$7)^(('实盘净值数据(iFinD）'!$A996-'实盘净值数据(iFinD）'!$A$8)/365))</f>
        <v/>
      </c>
      <c r="L996" s="16" t="str">
        <f t="shared" si="93"/>
        <v/>
      </c>
      <c r="M996" s="16" t="str">
        <f>IF(K996="","",K996/MAX(K$5:K996)-1)</f>
        <v/>
      </c>
      <c r="N996" s="13" t="str">
        <f>IF(OR('实盘净值数据(iFinD）'!$A996="",'实盘净值数据(iFinD）'!$B996="",'实盘净值数据(iFinD）'!$Z996="",'实盘净值数据(iFinD）'!$AA996=""),"",分期持仓明细!$AB$24*(SUMPRODUCT(分期持仓明细!$B$24:$Y$24,'实盘净值数据(iFinD）'!$B996:$Y996/'实盘净值数据(iFinD）'!$B$65:$Y$65)+SUMPRODUCT(分期持仓明细!$AC$24:$AD$24,'实盘净值数据(iFinD）'!$Z996:$AA996/'实盘净值数据(iFinD）'!$Z$65:$AA$65))*(1-实盘持仓初始配置!$Z$8)^(('实盘净值数据(iFinD）'!$A996-'实盘净值数据(iFinD）'!$A$5)/365))</f>
        <v/>
      </c>
      <c r="O996" s="16" t="str">
        <f t="shared" si="94"/>
        <v/>
      </c>
      <c r="P996" s="16" t="str">
        <f>IF(N996="","",N996/MAX(N$5:N996)-1)</f>
        <v/>
      </c>
      <c r="Q996" s="13" t="str">
        <f>IF(OR('实盘净值数据(iFinD）'!$A996="",'实盘净值数据(iFinD）'!$B996="",'实盘净值数据(iFinD）'!$Z996="",'实盘净值数据(iFinD）'!$AA996=""),"",分期持仓明细!$AB$25*(SUMPRODUCT(分期持仓明细!$B$25:$Y$25,'实盘净值数据(iFinD）'!$B996:$Y996/'实盘净值数据(iFinD）'!$B$65:$Y$65)+SUMPRODUCT(分期持仓明细!$AC$25:$AD$25,'实盘净值数据(iFinD）'!$Z996:$AA996/'实盘净值数据(iFinD）'!$Z$65:$AA$65))*(1-实盘持仓初始配置!$Z$9)^(('实盘净值数据(iFinD）'!$A996-'实盘净值数据(iFinD）'!$A$8)/365))</f>
        <v/>
      </c>
      <c r="R996" s="16" t="str">
        <f t="shared" si="95"/>
        <v/>
      </c>
      <c r="S996" s="16" t="str">
        <f>IF(Q996="","",Q996/MAX(Q$5:Q996)-1)</f>
        <v/>
      </c>
    </row>
    <row r="997" spans="1:19">
      <c r="A997" s="15" t="str">
        <f>IF('实盘净值数据(iFinD）'!A997="","",'实盘净值数据(iFinD）'!A997)</f>
        <v/>
      </c>
      <c r="B997" s="13" t="str">
        <f>IF(OR('实盘净值数据(iFinD）'!$A997="",'实盘净值数据(iFinD）'!$B997=""),"",分期持仓明细!$AB$17*SUMPRODUCT(分期持仓明细!$B$17:$Y$17,'实盘净值数据(iFinD）'!$B997:$Y997/'实盘净值数据(iFinD）'!$B$20:$Y$20)*(1-实盘持仓初始配置!$Z$4)^(('实盘净值数据(iFinD）'!$A997-'实盘净值数据(iFinD）'!$A$6)/365))</f>
        <v/>
      </c>
      <c r="C997" s="16" t="str">
        <f t="shared" si="90"/>
        <v/>
      </c>
      <c r="D997" s="16" t="str">
        <f>IF(B997="","",B997/MAX(B$5:B997)-1)</f>
        <v/>
      </c>
      <c r="E997" s="13" t="str">
        <f>IF(OR('实盘净值数据(iFinD）'!$A997="",'实盘净值数据(iFinD）'!$B997=""),"",分期持仓明细!$AB$18*SUMPRODUCT(分期持仓明细!$B$18:$Y$18,'实盘净值数据(iFinD）'!$B997:$Y997/'实盘净值数据(iFinD）'!$B$20:$Y$20)*(1-实盘持仓初始配置!$Z$5)^(('实盘净值数据(iFinD）'!$A997-'实盘净值数据(iFinD）'!$A$5)/365))</f>
        <v/>
      </c>
      <c r="F997" s="16" t="str">
        <f t="shared" si="91"/>
        <v/>
      </c>
      <c r="G997" s="16" t="str">
        <f>IF(E997="","",E997/MAX(E$5:E997)-1)</f>
        <v/>
      </c>
      <c r="H997" s="13" t="str">
        <f>IF(OR('实盘净值数据(iFinD）'!$A997="",'实盘净值数据(iFinD）'!$B997=""),"",分期持仓明细!$AB$19*SUMPRODUCT(分期持仓明细!$B$19:$Y$19,'实盘净值数据(iFinD）'!$B997:$Y997/'实盘净值数据(iFinD）'!$B$20:$Y$20)*(1-实盘持仓初始配置!$Z$6)^(('实盘净值数据(iFinD）'!$A997-'实盘净值数据(iFinD）'!$A$7)/365))</f>
        <v/>
      </c>
      <c r="I997" s="16" t="str">
        <f t="shared" si="92"/>
        <v/>
      </c>
      <c r="J997" s="16" t="str">
        <f>IF(H997="","",H997/MAX(H$5:H997)-1)</f>
        <v/>
      </c>
      <c r="K997" s="13" t="str">
        <f>IF(OR('实盘净值数据(iFinD）'!$A997="",'实盘净值数据(iFinD）'!$B997="",'实盘净值数据(iFinD）'!$Z997="",'实盘净值数据(iFinD）'!$AA997=""),"",分期持仓明细!$AB$23*(SUMPRODUCT(分期持仓明细!$B$23:$Y$23,'实盘净值数据(iFinD）'!$B997:$Y997/'实盘净值数据(iFinD）'!$B$65:$Y$65)+SUMPRODUCT(分期持仓明细!$AC$23:$AD$23,'实盘净值数据(iFinD）'!$Z997:$AA997/'实盘净值数据(iFinD）'!$Z$65:$AA$65))*(1-实盘持仓初始配置!$Z$7)^(('实盘净值数据(iFinD）'!$A997-'实盘净值数据(iFinD）'!$A$8)/365))</f>
        <v/>
      </c>
      <c r="L997" s="16" t="str">
        <f t="shared" si="93"/>
        <v/>
      </c>
      <c r="M997" s="16" t="str">
        <f>IF(K997="","",K997/MAX(K$5:K997)-1)</f>
        <v/>
      </c>
      <c r="N997" s="13" t="str">
        <f>IF(OR('实盘净值数据(iFinD）'!$A997="",'实盘净值数据(iFinD）'!$B997="",'实盘净值数据(iFinD）'!$Z997="",'实盘净值数据(iFinD）'!$AA997=""),"",分期持仓明细!$AB$24*(SUMPRODUCT(分期持仓明细!$B$24:$Y$24,'实盘净值数据(iFinD）'!$B997:$Y997/'实盘净值数据(iFinD）'!$B$65:$Y$65)+SUMPRODUCT(分期持仓明细!$AC$24:$AD$24,'实盘净值数据(iFinD）'!$Z997:$AA997/'实盘净值数据(iFinD）'!$Z$65:$AA$65))*(1-实盘持仓初始配置!$Z$8)^(('实盘净值数据(iFinD）'!$A997-'实盘净值数据(iFinD）'!$A$5)/365))</f>
        <v/>
      </c>
      <c r="O997" s="16" t="str">
        <f t="shared" si="94"/>
        <v/>
      </c>
      <c r="P997" s="16" t="str">
        <f>IF(N997="","",N997/MAX(N$5:N997)-1)</f>
        <v/>
      </c>
      <c r="Q997" s="13" t="str">
        <f>IF(OR('实盘净值数据(iFinD）'!$A997="",'实盘净值数据(iFinD）'!$B997="",'实盘净值数据(iFinD）'!$Z997="",'实盘净值数据(iFinD）'!$AA997=""),"",分期持仓明细!$AB$25*(SUMPRODUCT(分期持仓明细!$B$25:$Y$25,'实盘净值数据(iFinD）'!$B997:$Y997/'实盘净值数据(iFinD）'!$B$65:$Y$65)+SUMPRODUCT(分期持仓明细!$AC$25:$AD$25,'实盘净值数据(iFinD）'!$Z997:$AA997/'实盘净值数据(iFinD）'!$Z$65:$AA$65))*(1-实盘持仓初始配置!$Z$9)^(('实盘净值数据(iFinD）'!$A997-'实盘净值数据(iFinD）'!$A$8)/365))</f>
        <v/>
      </c>
      <c r="R997" s="16" t="str">
        <f t="shared" si="95"/>
        <v/>
      </c>
      <c r="S997" s="16" t="str">
        <f>IF(Q997="","",Q997/MAX(Q$5:Q997)-1)</f>
        <v/>
      </c>
    </row>
    <row r="998" spans="1:19">
      <c r="A998" s="15" t="str">
        <f>IF('实盘净值数据(iFinD）'!A998="","",'实盘净值数据(iFinD）'!A998)</f>
        <v/>
      </c>
      <c r="B998" s="13" t="str">
        <f>IF(OR('实盘净值数据(iFinD）'!$A998="",'实盘净值数据(iFinD）'!$B998=""),"",分期持仓明细!$AB$17*SUMPRODUCT(分期持仓明细!$B$17:$Y$17,'实盘净值数据(iFinD）'!$B998:$Y998/'实盘净值数据(iFinD）'!$B$20:$Y$20)*(1-实盘持仓初始配置!$Z$4)^(('实盘净值数据(iFinD）'!$A998-'实盘净值数据(iFinD）'!$A$6)/365))</f>
        <v/>
      </c>
      <c r="C998" s="16" t="str">
        <f t="shared" si="90"/>
        <v/>
      </c>
      <c r="D998" s="16" t="str">
        <f>IF(B998="","",B998/MAX(B$5:B998)-1)</f>
        <v/>
      </c>
      <c r="E998" s="13" t="str">
        <f>IF(OR('实盘净值数据(iFinD）'!$A998="",'实盘净值数据(iFinD）'!$B998=""),"",分期持仓明细!$AB$18*SUMPRODUCT(分期持仓明细!$B$18:$Y$18,'实盘净值数据(iFinD）'!$B998:$Y998/'实盘净值数据(iFinD）'!$B$20:$Y$20)*(1-实盘持仓初始配置!$Z$5)^(('实盘净值数据(iFinD）'!$A998-'实盘净值数据(iFinD）'!$A$5)/365))</f>
        <v/>
      </c>
      <c r="F998" s="16" t="str">
        <f t="shared" si="91"/>
        <v/>
      </c>
      <c r="G998" s="16" t="str">
        <f>IF(E998="","",E998/MAX(E$5:E998)-1)</f>
        <v/>
      </c>
      <c r="H998" s="13" t="str">
        <f>IF(OR('实盘净值数据(iFinD）'!$A998="",'实盘净值数据(iFinD）'!$B998=""),"",分期持仓明细!$AB$19*SUMPRODUCT(分期持仓明细!$B$19:$Y$19,'实盘净值数据(iFinD）'!$B998:$Y998/'实盘净值数据(iFinD）'!$B$20:$Y$20)*(1-实盘持仓初始配置!$Z$6)^(('实盘净值数据(iFinD）'!$A998-'实盘净值数据(iFinD）'!$A$7)/365))</f>
        <v/>
      </c>
      <c r="I998" s="16" t="str">
        <f t="shared" si="92"/>
        <v/>
      </c>
      <c r="J998" s="16" t="str">
        <f>IF(H998="","",H998/MAX(H$5:H998)-1)</f>
        <v/>
      </c>
      <c r="K998" s="13" t="str">
        <f>IF(OR('实盘净值数据(iFinD）'!$A998="",'实盘净值数据(iFinD）'!$B998="",'实盘净值数据(iFinD）'!$Z998="",'实盘净值数据(iFinD）'!$AA998=""),"",分期持仓明细!$AB$23*(SUMPRODUCT(分期持仓明细!$B$23:$Y$23,'实盘净值数据(iFinD）'!$B998:$Y998/'实盘净值数据(iFinD）'!$B$65:$Y$65)+SUMPRODUCT(分期持仓明细!$AC$23:$AD$23,'实盘净值数据(iFinD）'!$Z998:$AA998/'实盘净值数据(iFinD）'!$Z$65:$AA$65))*(1-实盘持仓初始配置!$Z$7)^(('实盘净值数据(iFinD）'!$A998-'实盘净值数据(iFinD）'!$A$8)/365))</f>
        <v/>
      </c>
      <c r="L998" s="16" t="str">
        <f t="shared" si="93"/>
        <v/>
      </c>
      <c r="M998" s="16" t="str">
        <f>IF(K998="","",K998/MAX(K$5:K998)-1)</f>
        <v/>
      </c>
      <c r="N998" s="13" t="str">
        <f>IF(OR('实盘净值数据(iFinD）'!$A998="",'实盘净值数据(iFinD）'!$B998="",'实盘净值数据(iFinD）'!$Z998="",'实盘净值数据(iFinD）'!$AA998=""),"",分期持仓明细!$AB$24*(SUMPRODUCT(分期持仓明细!$B$24:$Y$24,'实盘净值数据(iFinD）'!$B998:$Y998/'实盘净值数据(iFinD）'!$B$65:$Y$65)+SUMPRODUCT(分期持仓明细!$AC$24:$AD$24,'实盘净值数据(iFinD）'!$Z998:$AA998/'实盘净值数据(iFinD）'!$Z$65:$AA$65))*(1-实盘持仓初始配置!$Z$8)^(('实盘净值数据(iFinD）'!$A998-'实盘净值数据(iFinD）'!$A$5)/365))</f>
        <v/>
      </c>
      <c r="O998" s="16" t="str">
        <f t="shared" si="94"/>
        <v/>
      </c>
      <c r="P998" s="16" t="str">
        <f>IF(N998="","",N998/MAX(N$5:N998)-1)</f>
        <v/>
      </c>
      <c r="Q998" s="13" t="str">
        <f>IF(OR('实盘净值数据(iFinD）'!$A998="",'实盘净值数据(iFinD）'!$B998="",'实盘净值数据(iFinD）'!$Z998="",'实盘净值数据(iFinD）'!$AA998=""),"",分期持仓明细!$AB$25*(SUMPRODUCT(分期持仓明细!$B$25:$Y$25,'实盘净值数据(iFinD）'!$B998:$Y998/'实盘净值数据(iFinD）'!$B$65:$Y$65)+SUMPRODUCT(分期持仓明细!$AC$25:$AD$25,'实盘净值数据(iFinD）'!$Z998:$AA998/'实盘净值数据(iFinD）'!$Z$65:$AA$65))*(1-实盘持仓初始配置!$Z$9)^(('实盘净值数据(iFinD）'!$A998-'实盘净值数据(iFinD）'!$A$8)/365))</f>
        <v/>
      </c>
      <c r="R998" s="16" t="str">
        <f t="shared" si="95"/>
        <v/>
      </c>
      <c r="S998" s="16" t="str">
        <f>IF(Q998="","",Q998/MAX(Q$5:Q998)-1)</f>
        <v/>
      </c>
    </row>
    <row r="999" spans="1:19">
      <c r="A999" s="15" t="str">
        <f>IF('实盘净值数据(iFinD）'!A999="","",'实盘净值数据(iFinD）'!A999)</f>
        <v/>
      </c>
      <c r="B999" s="13" t="str">
        <f>IF(OR('实盘净值数据(iFinD）'!$A999="",'实盘净值数据(iFinD）'!$B999=""),"",分期持仓明细!$AB$17*SUMPRODUCT(分期持仓明细!$B$17:$Y$17,'实盘净值数据(iFinD）'!$B999:$Y999/'实盘净值数据(iFinD）'!$B$20:$Y$20)*(1-实盘持仓初始配置!$Z$4)^(('实盘净值数据(iFinD）'!$A999-'实盘净值数据(iFinD）'!$A$6)/365))</f>
        <v/>
      </c>
      <c r="C999" s="16" t="str">
        <f t="shared" si="90"/>
        <v/>
      </c>
      <c r="D999" s="16" t="str">
        <f>IF(B999="","",B999/MAX(B$5:B999)-1)</f>
        <v/>
      </c>
      <c r="E999" s="13" t="str">
        <f>IF(OR('实盘净值数据(iFinD）'!$A999="",'实盘净值数据(iFinD）'!$B999=""),"",分期持仓明细!$AB$18*SUMPRODUCT(分期持仓明细!$B$18:$Y$18,'实盘净值数据(iFinD）'!$B999:$Y999/'实盘净值数据(iFinD）'!$B$20:$Y$20)*(1-实盘持仓初始配置!$Z$5)^(('实盘净值数据(iFinD）'!$A999-'实盘净值数据(iFinD）'!$A$5)/365))</f>
        <v/>
      </c>
      <c r="F999" s="16" t="str">
        <f t="shared" si="91"/>
        <v/>
      </c>
      <c r="G999" s="16" t="str">
        <f>IF(E999="","",E999/MAX(E$5:E999)-1)</f>
        <v/>
      </c>
      <c r="H999" s="13" t="str">
        <f>IF(OR('实盘净值数据(iFinD）'!$A999="",'实盘净值数据(iFinD）'!$B999=""),"",分期持仓明细!$AB$19*SUMPRODUCT(分期持仓明细!$B$19:$Y$19,'实盘净值数据(iFinD）'!$B999:$Y999/'实盘净值数据(iFinD）'!$B$20:$Y$20)*(1-实盘持仓初始配置!$Z$6)^(('实盘净值数据(iFinD）'!$A999-'实盘净值数据(iFinD）'!$A$7)/365))</f>
        <v/>
      </c>
      <c r="I999" s="16" t="str">
        <f t="shared" si="92"/>
        <v/>
      </c>
      <c r="J999" s="16" t="str">
        <f>IF(H999="","",H999/MAX(H$5:H999)-1)</f>
        <v/>
      </c>
      <c r="K999" s="13" t="str">
        <f>IF(OR('实盘净值数据(iFinD）'!$A999="",'实盘净值数据(iFinD）'!$B999="",'实盘净值数据(iFinD）'!$Z999="",'实盘净值数据(iFinD）'!$AA999=""),"",分期持仓明细!$AB$23*(SUMPRODUCT(分期持仓明细!$B$23:$Y$23,'实盘净值数据(iFinD）'!$B999:$Y999/'实盘净值数据(iFinD）'!$B$65:$Y$65)+SUMPRODUCT(分期持仓明细!$AC$23:$AD$23,'实盘净值数据(iFinD）'!$Z999:$AA999/'实盘净值数据(iFinD）'!$Z$65:$AA$65))*(1-实盘持仓初始配置!$Z$7)^(('实盘净值数据(iFinD）'!$A999-'实盘净值数据(iFinD）'!$A$8)/365))</f>
        <v/>
      </c>
      <c r="L999" s="16" t="str">
        <f t="shared" si="93"/>
        <v/>
      </c>
      <c r="M999" s="16" t="str">
        <f>IF(K999="","",K999/MAX(K$5:K999)-1)</f>
        <v/>
      </c>
      <c r="N999" s="13" t="str">
        <f>IF(OR('实盘净值数据(iFinD）'!$A999="",'实盘净值数据(iFinD）'!$B999="",'实盘净值数据(iFinD）'!$Z999="",'实盘净值数据(iFinD）'!$AA999=""),"",分期持仓明细!$AB$24*(SUMPRODUCT(分期持仓明细!$B$24:$Y$24,'实盘净值数据(iFinD）'!$B999:$Y999/'实盘净值数据(iFinD）'!$B$65:$Y$65)+SUMPRODUCT(分期持仓明细!$AC$24:$AD$24,'实盘净值数据(iFinD）'!$Z999:$AA999/'实盘净值数据(iFinD）'!$Z$65:$AA$65))*(1-实盘持仓初始配置!$Z$8)^(('实盘净值数据(iFinD）'!$A999-'实盘净值数据(iFinD）'!$A$5)/365))</f>
        <v/>
      </c>
      <c r="O999" s="16" t="str">
        <f t="shared" si="94"/>
        <v/>
      </c>
      <c r="P999" s="16" t="str">
        <f>IF(N999="","",N999/MAX(N$5:N999)-1)</f>
        <v/>
      </c>
      <c r="Q999" s="13" t="str">
        <f>IF(OR('实盘净值数据(iFinD）'!$A999="",'实盘净值数据(iFinD）'!$B999="",'实盘净值数据(iFinD）'!$Z999="",'实盘净值数据(iFinD）'!$AA999=""),"",分期持仓明细!$AB$25*(SUMPRODUCT(分期持仓明细!$B$25:$Y$25,'实盘净值数据(iFinD）'!$B999:$Y999/'实盘净值数据(iFinD）'!$B$65:$Y$65)+SUMPRODUCT(分期持仓明细!$AC$25:$AD$25,'实盘净值数据(iFinD）'!$Z999:$AA999/'实盘净值数据(iFinD）'!$Z$65:$AA$65))*(1-实盘持仓初始配置!$Z$9)^(('实盘净值数据(iFinD）'!$A999-'实盘净值数据(iFinD）'!$A$8)/365))</f>
        <v/>
      </c>
      <c r="R999" s="16" t="str">
        <f t="shared" si="95"/>
        <v/>
      </c>
      <c r="S999" s="16" t="str">
        <f>IF(Q999="","",Q999/MAX(Q$5:Q999)-1)</f>
        <v/>
      </c>
    </row>
    <row r="1000" spans="1:19">
      <c r="A1000" s="15" t="str">
        <f>IF('实盘净值数据(iFinD）'!A1000="","",'实盘净值数据(iFinD）'!A1000)</f>
        <v/>
      </c>
      <c r="B1000" s="13" t="str">
        <f>IF(OR('实盘净值数据(iFinD）'!$A1000="",'实盘净值数据(iFinD）'!$B1000=""),"",分期持仓明细!$AB$17*SUMPRODUCT(分期持仓明细!$B$17:$Y$17,'实盘净值数据(iFinD）'!$B1000:$Y1000/'实盘净值数据(iFinD）'!$B$20:$Y$20)*(1-实盘持仓初始配置!$Z$4)^(('实盘净值数据(iFinD）'!$A1000-'实盘净值数据(iFinD）'!$A$6)/365))</f>
        <v/>
      </c>
      <c r="C1000" s="16" t="str">
        <f t="shared" si="90"/>
        <v/>
      </c>
      <c r="D1000" s="16" t="str">
        <f>IF(B1000="","",B1000/MAX(B$5:B1000)-1)</f>
        <v/>
      </c>
      <c r="E1000" s="13" t="str">
        <f>IF(OR('实盘净值数据(iFinD）'!$A1000="",'实盘净值数据(iFinD）'!$B1000=""),"",分期持仓明细!$AB$18*SUMPRODUCT(分期持仓明细!$B$18:$Y$18,'实盘净值数据(iFinD）'!$B1000:$Y1000/'实盘净值数据(iFinD）'!$B$20:$Y$20)*(1-实盘持仓初始配置!$Z$5)^(('实盘净值数据(iFinD）'!$A1000-'实盘净值数据(iFinD）'!$A$5)/365))</f>
        <v/>
      </c>
      <c r="F1000" s="16" t="str">
        <f t="shared" si="91"/>
        <v/>
      </c>
      <c r="G1000" s="16" t="str">
        <f>IF(E1000="","",E1000/MAX(E$5:E1000)-1)</f>
        <v/>
      </c>
      <c r="H1000" s="13" t="str">
        <f>IF(OR('实盘净值数据(iFinD）'!$A1000="",'实盘净值数据(iFinD）'!$B1000=""),"",分期持仓明细!$AB$19*SUMPRODUCT(分期持仓明细!$B$19:$Y$19,'实盘净值数据(iFinD）'!$B1000:$Y1000/'实盘净值数据(iFinD）'!$B$20:$Y$20)*(1-实盘持仓初始配置!$Z$6)^(('实盘净值数据(iFinD）'!$A1000-'实盘净值数据(iFinD）'!$A$7)/365))</f>
        <v/>
      </c>
      <c r="I1000" s="16" t="str">
        <f t="shared" si="92"/>
        <v/>
      </c>
      <c r="J1000" s="16" t="str">
        <f>IF(H1000="","",H1000/MAX(H$5:H1000)-1)</f>
        <v/>
      </c>
      <c r="K1000" s="13" t="str">
        <f>IF(OR('实盘净值数据(iFinD）'!$A1000="",'实盘净值数据(iFinD）'!$B1000="",'实盘净值数据(iFinD）'!$Z1000="",'实盘净值数据(iFinD）'!$AA1000=""),"",分期持仓明细!$AB$23*(SUMPRODUCT(分期持仓明细!$B$23:$Y$23,'实盘净值数据(iFinD）'!$B1000:$Y1000/'实盘净值数据(iFinD）'!$B$65:$Y$65)+SUMPRODUCT(分期持仓明细!$AC$23:$AD$23,'实盘净值数据(iFinD）'!$Z1000:$AA1000/'实盘净值数据(iFinD）'!$Z$65:$AA$65))*(1-实盘持仓初始配置!$Z$7)^(('实盘净值数据(iFinD）'!$A1000-'实盘净值数据(iFinD）'!$A$8)/365))</f>
        <v/>
      </c>
      <c r="L1000" s="16" t="str">
        <f t="shared" si="93"/>
        <v/>
      </c>
      <c r="M1000" s="16" t="str">
        <f>IF(K1000="","",K1000/MAX(K$5:K1000)-1)</f>
        <v/>
      </c>
      <c r="N1000" s="13" t="str">
        <f>IF(OR('实盘净值数据(iFinD）'!$A1000="",'实盘净值数据(iFinD）'!$B1000="",'实盘净值数据(iFinD）'!$Z1000="",'实盘净值数据(iFinD）'!$AA1000=""),"",分期持仓明细!$AB$24*(SUMPRODUCT(分期持仓明细!$B$24:$Y$24,'实盘净值数据(iFinD）'!$B1000:$Y1000/'实盘净值数据(iFinD）'!$B$65:$Y$65)+SUMPRODUCT(分期持仓明细!$AC$24:$AD$24,'实盘净值数据(iFinD）'!$Z1000:$AA1000/'实盘净值数据(iFinD）'!$Z$65:$AA$65))*(1-实盘持仓初始配置!$Z$8)^(('实盘净值数据(iFinD）'!$A1000-'实盘净值数据(iFinD）'!$A$5)/365))</f>
        <v/>
      </c>
      <c r="O1000" s="16" t="str">
        <f t="shared" si="94"/>
        <v/>
      </c>
      <c r="P1000" s="16" t="str">
        <f>IF(N1000="","",N1000/MAX(N$5:N1000)-1)</f>
        <v/>
      </c>
      <c r="Q1000" s="13" t="str">
        <f>IF(OR('实盘净值数据(iFinD）'!$A1000="",'实盘净值数据(iFinD）'!$B1000="",'实盘净值数据(iFinD）'!$Z1000="",'实盘净值数据(iFinD）'!$AA1000=""),"",分期持仓明细!$AB$25*(SUMPRODUCT(分期持仓明细!$B$25:$Y$25,'实盘净值数据(iFinD）'!$B1000:$Y1000/'实盘净值数据(iFinD）'!$B$65:$Y$65)+SUMPRODUCT(分期持仓明细!$AC$25:$AD$25,'实盘净值数据(iFinD）'!$Z1000:$AA1000/'实盘净值数据(iFinD）'!$Z$65:$AA$65))*(1-实盘持仓初始配置!$Z$9)^(('实盘净值数据(iFinD）'!$A1000-'实盘净值数据(iFinD）'!$A$8)/365))</f>
        <v/>
      </c>
      <c r="R1000" s="16" t="str">
        <f t="shared" si="95"/>
        <v/>
      </c>
      <c r="S1000" s="16" t="str">
        <f>IF(Q1000="","",Q1000/MAX(Q$5:Q1000)-1)</f>
        <v/>
      </c>
    </row>
    <row r="1002" spans="1:19" ht="13">
      <c r="A1002" s="10" t="s">
        <v>472</v>
      </c>
    </row>
  </sheetData>
  <mergeCells count="1">
    <mergeCell ref="A1:J2"/>
  </mergeCells>
  <phoneticPr fontId="35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5"/>
  <sheetViews>
    <sheetView showGridLines="0" workbookViewId="0">
      <selection activeCell="A23" sqref="A23:XFD25"/>
    </sheetView>
  </sheetViews>
  <sheetFormatPr defaultColWidth="9.453125" defaultRowHeight="12.5"/>
  <cols>
    <col min="1" max="1" width="37.453125" customWidth="1"/>
    <col min="2" max="6" width="9.26953125" customWidth="1"/>
    <col min="7" max="7" width="24.26953125" customWidth="1"/>
    <col min="8" max="8" width="16.26953125" customWidth="1"/>
    <col min="9" max="25" width="9.26953125" customWidth="1"/>
    <col min="27" max="27" width="21.81640625" customWidth="1"/>
    <col min="28" max="28" width="14.26953125" customWidth="1"/>
    <col min="29" max="30" width="16.26953125" customWidth="1"/>
  </cols>
  <sheetData>
    <row r="1" spans="1:30">
      <c r="A1" t="s">
        <v>74</v>
      </c>
    </row>
    <row r="2" spans="1:30" ht="14.5">
      <c r="A2" t="s">
        <v>1</v>
      </c>
      <c r="B2" s="19" t="s">
        <v>75</v>
      </c>
      <c r="C2" s="19" t="s">
        <v>76</v>
      </c>
      <c r="D2" s="19" t="s">
        <v>77</v>
      </c>
      <c r="E2" s="19" t="s">
        <v>78</v>
      </c>
      <c r="F2" s="19" t="s">
        <v>79</v>
      </c>
      <c r="G2" s="19" t="s">
        <v>80</v>
      </c>
      <c r="H2" s="19" t="s">
        <v>81</v>
      </c>
      <c r="I2" t="s">
        <v>9</v>
      </c>
      <c r="J2" s="19" t="s">
        <v>82</v>
      </c>
      <c r="K2" s="19" t="s">
        <v>83</v>
      </c>
      <c r="L2" s="19" t="s">
        <v>84</v>
      </c>
      <c r="M2" s="19" t="s">
        <v>85</v>
      </c>
      <c r="N2" s="19" t="s">
        <v>86</v>
      </c>
      <c r="O2" s="19" t="s">
        <v>87</v>
      </c>
      <c r="P2" s="19" t="s">
        <v>88</v>
      </c>
      <c r="Q2" s="19" t="s">
        <v>89</v>
      </c>
      <c r="R2" s="19" t="s">
        <v>90</v>
      </c>
      <c r="S2" s="19" t="s">
        <v>91</v>
      </c>
      <c r="T2" s="19" t="s">
        <v>92</v>
      </c>
      <c r="U2" s="19" t="s">
        <v>93</v>
      </c>
      <c r="V2" s="19" t="s">
        <v>94</v>
      </c>
      <c r="W2" s="19" t="s">
        <v>95</v>
      </c>
      <c r="X2" s="19" t="s">
        <v>96</v>
      </c>
      <c r="Y2" t="s">
        <v>62</v>
      </c>
      <c r="Z2" t="s">
        <v>25</v>
      </c>
      <c r="AA2" t="s">
        <v>97</v>
      </c>
      <c r="AB2" s="19" t="s">
        <v>98</v>
      </c>
      <c r="AC2" t="s">
        <v>469</v>
      </c>
      <c r="AD2" t="s">
        <v>471</v>
      </c>
    </row>
    <row r="3" spans="1:30" ht="14">
      <c r="A3" t="s">
        <v>28</v>
      </c>
      <c r="B3" s="20" t="s">
        <v>99</v>
      </c>
      <c r="C3" s="20" t="s">
        <v>100</v>
      </c>
      <c r="D3" s="20" t="s">
        <v>101</v>
      </c>
      <c r="E3" s="20" t="s">
        <v>102</v>
      </c>
      <c r="F3" s="20" t="s">
        <v>103</v>
      </c>
      <c r="G3" s="20" t="s">
        <v>104</v>
      </c>
      <c r="H3" s="20" t="s">
        <v>105</v>
      </c>
      <c r="I3" s="20" t="s">
        <v>106</v>
      </c>
      <c r="J3" s="20" t="s">
        <v>107</v>
      </c>
      <c r="K3" s="20" t="s">
        <v>108</v>
      </c>
      <c r="L3" s="20" t="s">
        <v>109</v>
      </c>
      <c r="M3" s="20" t="s">
        <v>110</v>
      </c>
      <c r="N3" s="20" t="s">
        <v>111</v>
      </c>
      <c r="O3" s="20" t="s">
        <v>112</v>
      </c>
      <c r="P3" s="20" t="s">
        <v>113</v>
      </c>
      <c r="Q3" s="20" t="s">
        <v>114</v>
      </c>
      <c r="R3" s="20" t="s">
        <v>115</v>
      </c>
      <c r="S3" s="20" t="s">
        <v>116</v>
      </c>
      <c r="T3" s="20" t="s">
        <v>117</v>
      </c>
      <c r="U3" s="20" t="s">
        <v>118</v>
      </c>
      <c r="V3" s="20" t="s">
        <v>119</v>
      </c>
      <c r="W3" s="20" t="s">
        <v>120</v>
      </c>
      <c r="X3" s="20" t="s">
        <v>121</v>
      </c>
      <c r="Y3" s="20" t="s">
        <v>122</v>
      </c>
      <c r="AC3" s="20" t="s">
        <v>473</v>
      </c>
      <c r="AD3" s="20" t="s">
        <v>474</v>
      </c>
    </row>
    <row r="5" spans="1:30" ht="14.5">
      <c r="A5" s="19" t="s">
        <v>123</v>
      </c>
      <c r="B5" s="21">
        <f>实盘持仓初始配置!B4</f>
        <v>0</v>
      </c>
      <c r="C5" s="21">
        <f>实盘持仓初始配置!C4</f>
        <v>0.02</v>
      </c>
      <c r="D5" s="21">
        <f>实盘持仓初始配置!D4</f>
        <v>0.19</v>
      </c>
      <c r="E5" s="21">
        <f>实盘持仓初始配置!E4</f>
        <v>0</v>
      </c>
      <c r="F5" s="21">
        <f>实盘持仓初始配置!F4</f>
        <v>0</v>
      </c>
      <c r="G5" s="21">
        <f>实盘持仓初始配置!G4</f>
        <v>0.11</v>
      </c>
      <c r="H5" s="21">
        <f>实盘持仓初始配置!H4</f>
        <v>0</v>
      </c>
      <c r="I5" s="21">
        <f>实盘持仓初始配置!I4</f>
        <v>0</v>
      </c>
      <c r="J5" s="21">
        <f>实盘持仓初始配置!J4</f>
        <v>0.19</v>
      </c>
      <c r="K5" s="21">
        <f>实盘持仓初始配置!K4</f>
        <v>0</v>
      </c>
      <c r="L5" s="21">
        <f>实盘持仓初始配置!L4</f>
        <v>0</v>
      </c>
      <c r="M5" s="21">
        <f>实盘持仓初始配置!M4</f>
        <v>0</v>
      </c>
      <c r="N5" s="21">
        <f>实盘持仓初始配置!N4</f>
        <v>0</v>
      </c>
      <c r="O5" s="21">
        <f>实盘持仓初始配置!O4</f>
        <v>0</v>
      </c>
      <c r="P5" s="21">
        <f>实盘持仓初始配置!P4</f>
        <v>0.19</v>
      </c>
      <c r="Q5" s="21">
        <f>实盘持仓初始配置!Q4</f>
        <v>0.19</v>
      </c>
      <c r="R5" s="21">
        <f>实盘持仓初始配置!R4</f>
        <v>0</v>
      </c>
      <c r="S5" s="21">
        <f>实盘持仓初始配置!S4</f>
        <v>0</v>
      </c>
      <c r="T5" s="21">
        <f>实盘持仓初始配置!T4</f>
        <v>0.11</v>
      </c>
      <c r="U5" s="21">
        <f>实盘持仓初始配置!U4</f>
        <v>0</v>
      </c>
      <c r="V5" s="21">
        <f>实盘持仓初始配置!V4</f>
        <v>0</v>
      </c>
      <c r="W5" s="21">
        <f>实盘持仓初始配置!W4</f>
        <v>0</v>
      </c>
      <c r="X5" s="21">
        <f>实盘持仓初始配置!X4</f>
        <v>0</v>
      </c>
      <c r="Y5">
        <v>0</v>
      </c>
      <c r="Z5">
        <f t="shared" ref="Z5:Z22" si="0">SUM(B5:Y5)</f>
        <v>0.99999999999999989</v>
      </c>
      <c r="AA5" s="22">
        <v>46195</v>
      </c>
    </row>
    <row r="6" spans="1:30" ht="14.5">
      <c r="A6" s="19" t="s">
        <v>124</v>
      </c>
      <c r="B6" s="21">
        <f>实盘持仓初始配置!B5</f>
        <v>0</v>
      </c>
      <c r="C6" s="21">
        <f>实盘持仓初始配置!C5</f>
        <v>0.02</v>
      </c>
      <c r="D6" s="21">
        <f>实盘持仓初始配置!D5</f>
        <v>0.19</v>
      </c>
      <c r="E6" s="21">
        <f>实盘持仓初始配置!E5</f>
        <v>0</v>
      </c>
      <c r="F6" s="21">
        <f>实盘持仓初始配置!F5</f>
        <v>0</v>
      </c>
      <c r="G6" s="21">
        <f>实盘持仓初始配置!G5</f>
        <v>0.11</v>
      </c>
      <c r="H6" s="21">
        <f>实盘持仓初始配置!H5</f>
        <v>0</v>
      </c>
      <c r="I6" s="21">
        <f>实盘持仓初始配置!I5</f>
        <v>0</v>
      </c>
      <c r="J6" s="21">
        <f>实盘持仓初始配置!J5</f>
        <v>0.19</v>
      </c>
      <c r="K6" s="21">
        <f>实盘持仓初始配置!K5</f>
        <v>0</v>
      </c>
      <c r="L6" s="21">
        <f>实盘持仓初始配置!L5</f>
        <v>0</v>
      </c>
      <c r="M6" s="21">
        <f>实盘持仓初始配置!M5</f>
        <v>0</v>
      </c>
      <c r="N6" s="21">
        <f>实盘持仓初始配置!N5</f>
        <v>0</v>
      </c>
      <c r="O6" s="21">
        <f>实盘持仓初始配置!O5</f>
        <v>0</v>
      </c>
      <c r="P6" s="21">
        <f>实盘持仓初始配置!P5</f>
        <v>0.19</v>
      </c>
      <c r="Q6" s="21">
        <f>实盘持仓初始配置!Q5</f>
        <v>0.19</v>
      </c>
      <c r="R6" s="21">
        <f>实盘持仓初始配置!R5</f>
        <v>0</v>
      </c>
      <c r="S6" s="21">
        <f>实盘持仓初始配置!S5</f>
        <v>0</v>
      </c>
      <c r="T6" s="21">
        <f>实盘持仓初始配置!T5</f>
        <v>0.11</v>
      </c>
      <c r="U6" s="21">
        <f>实盘持仓初始配置!U5</f>
        <v>0</v>
      </c>
      <c r="V6" s="21">
        <f>实盘持仓初始配置!V5</f>
        <v>0</v>
      </c>
      <c r="W6" s="21">
        <f>实盘持仓初始配置!W5</f>
        <v>0</v>
      </c>
      <c r="X6" s="21">
        <f>实盘持仓初始配置!X5</f>
        <v>0</v>
      </c>
      <c r="Y6">
        <v>0</v>
      </c>
      <c r="Z6">
        <f t="shared" si="0"/>
        <v>0.99999999999999989</v>
      </c>
      <c r="AA6" s="22">
        <v>46191</v>
      </c>
    </row>
    <row r="7" spans="1:30" ht="14.5">
      <c r="A7" s="19" t="s">
        <v>125</v>
      </c>
      <c r="B7" s="21">
        <f>实盘持仓初始配置!B6</f>
        <v>0</v>
      </c>
      <c r="C7" s="21">
        <f>实盘持仓初始配置!C6</f>
        <v>0.02</v>
      </c>
      <c r="D7" s="21">
        <f>实盘持仓初始配置!D6</f>
        <v>0</v>
      </c>
      <c r="E7" s="21">
        <f>实盘持仓初始配置!E6</f>
        <v>0</v>
      </c>
      <c r="F7" s="21">
        <f>实盘持仓初始配置!F6</f>
        <v>0</v>
      </c>
      <c r="G7" s="21">
        <f>实盘持仓初始配置!G6</f>
        <v>0</v>
      </c>
      <c r="H7" s="21">
        <f>实盘持仓初始配置!H6</f>
        <v>0.11</v>
      </c>
      <c r="I7" s="21">
        <f>实盘持仓初始配置!I6</f>
        <v>0.19</v>
      </c>
      <c r="J7" s="21">
        <f>实盘持仓初始配置!J6</f>
        <v>0</v>
      </c>
      <c r="K7" s="21">
        <f>实盘持仓初始配置!K6</f>
        <v>0.19</v>
      </c>
      <c r="L7" s="21">
        <f>实盘持仓初始配置!L6</f>
        <v>0</v>
      </c>
      <c r="M7" s="21">
        <f>实盘持仓初始配置!M6</f>
        <v>0</v>
      </c>
      <c r="N7" s="21">
        <f>实盘持仓初始配置!N6</f>
        <v>0</v>
      </c>
      <c r="O7" s="21">
        <f>实盘持仓初始配置!O6</f>
        <v>0</v>
      </c>
      <c r="P7" s="21">
        <f>实盘持仓初始配置!P6</f>
        <v>0</v>
      </c>
      <c r="Q7" s="21">
        <f>实盘持仓初始配置!Q6</f>
        <v>0</v>
      </c>
      <c r="R7" s="21">
        <f>实盘持仓初始配置!R6</f>
        <v>0.19</v>
      </c>
      <c r="S7" s="21">
        <f>实盘持仓初始配置!S6</f>
        <v>0.19</v>
      </c>
      <c r="T7" s="21">
        <f>实盘持仓初始配置!T6</f>
        <v>0</v>
      </c>
      <c r="U7" s="21">
        <f>实盘持仓初始配置!U6</f>
        <v>0.11</v>
      </c>
      <c r="V7" s="21">
        <f>实盘持仓初始配置!V6</f>
        <v>0</v>
      </c>
      <c r="W7" s="21">
        <f>实盘持仓初始配置!W6</f>
        <v>0</v>
      </c>
      <c r="X7" s="21">
        <f>实盘持仓初始配置!X6</f>
        <v>0</v>
      </c>
      <c r="Y7">
        <v>0</v>
      </c>
      <c r="Z7">
        <f t="shared" si="0"/>
        <v>0.99999999999999989</v>
      </c>
      <c r="AA7" s="22">
        <v>46196</v>
      </c>
    </row>
    <row r="8" spans="1:30" ht="14.5">
      <c r="A8" s="23" t="s">
        <v>126</v>
      </c>
      <c r="B8" s="21">
        <f>实盘持仓初始配置!B7</f>
        <v>0.05</v>
      </c>
      <c r="C8" s="21">
        <f>实盘持仓初始配置!C7</f>
        <v>0.02</v>
      </c>
      <c r="D8" s="21">
        <f>实盘持仓初始配置!D7</f>
        <v>0</v>
      </c>
      <c r="E8" s="21">
        <f>实盘持仓初始配置!E7</f>
        <v>0</v>
      </c>
      <c r="F8" s="21">
        <f>实盘持仓初始配置!F7</f>
        <v>1.2500000000000001E-2</v>
      </c>
      <c r="G8" s="21">
        <f>实盘持仓初始配置!G7</f>
        <v>0</v>
      </c>
      <c r="H8" s="21">
        <f>实盘持仓初始配置!H7</f>
        <v>5.0000000000000001E-3</v>
      </c>
      <c r="I8" s="21">
        <f>实盘持仓初始配置!I7</f>
        <v>0.01</v>
      </c>
      <c r="J8" s="21">
        <f>实盘持仓初始配置!J7</f>
        <v>0</v>
      </c>
      <c r="K8" s="21">
        <f>实盘持仓初始配置!K7</f>
        <v>0.01</v>
      </c>
      <c r="L8" s="21">
        <f>实盘持仓初始配置!L7</f>
        <v>0</v>
      </c>
      <c r="M8" s="21">
        <f>实盘持仓初始配置!M7</f>
        <v>1.2500000000000001E-2</v>
      </c>
      <c r="N8" s="21">
        <f>实盘持仓初始配置!N7</f>
        <v>0</v>
      </c>
      <c r="O8" s="21">
        <f>实盘持仓初始配置!O7</f>
        <v>1.2500000000000001E-2</v>
      </c>
      <c r="P8" s="21">
        <f>实盘持仓初始配置!P7</f>
        <v>0</v>
      </c>
      <c r="Q8" s="21">
        <f>实盘持仓初始配置!Q7</f>
        <v>0</v>
      </c>
      <c r="R8" s="21">
        <f>实盘持仓初始配置!R7</f>
        <v>0.01</v>
      </c>
      <c r="S8" s="21">
        <f>实盘持仓初始配置!S7</f>
        <v>0.01</v>
      </c>
      <c r="T8" s="21">
        <f>实盘持仓初始配置!T7</f>
        <v>0</v>
      </c>
      <c r="U8" s="21">
        <f>实盘持仓初始配置!U7</f>
        <v>5.0000000000000001E-3</v>
      </c>
      <c r="V8" s="21">
        <f>实盘持仓初始配置!V7</f>
        <v>0</v>
      </c>
      <c r="W8" s="21">
        <f>实盘持仓初始配置!W7</f>
        <v>1.2500000000000001E-2</v>
      </c>
      <c r="X8" s="21">
        <f>实盘持仓初始配置!X7</f>
        <v>0.83</v>
      </c>
      <c r="Y8">
        <v>0</v>
      </c>
      <c r="Z8">
        <f t="shared" si="0"/>
        <v>1</v>
      </c>
      <c r="AA8" s="22">
        <v>46197</v>
      </c>
    </row>
    <row r="9" spans="1:30" ht="14.5">
      <c r="A9" s="23" t="s">
        <v>127</v>
      </c>
      <c r="B9">
        <f>B$8*'实盘净值数据(iFinD）'!B$13/'实盘净值数据(iFinD）'!B$8/$AB$9</f>
        <v>4.8527264875483138E-2</v>
      </c>
      <c r="C9">
        <f>C$8*'实盘净值数据(iFinD）'!C$13/'实盘净值数据(iFinD）'!C$8/$AB$9-0.01</f>
        <v>9.9844948172916944E-3</v>
      </c>
      <c r="D9">
        <f>D$8*'实盘净值数据(iFinD）'!D$13/'实盘净值数据(iFinD）'!D$8/$AB$9</f>
        <v>0</v>
      </c>
      <c r="E9">
        <f>E$8*'实盘净值数据(iFinD）'!E$13/'实盘净值数据(iFinD）'!E$8/$AB$9</f>
        <v>0</v>
      </c>
      <c r="F9">
        <f>F$8*'实盘净值数据(iFinD）'!F$13/'实盘净值数据(iFinD）'!F$8/$AB$9</f>
        <v>1.2500177120171801E-2</v>
      </c>
      <c r="G9">
        <f>G$8*'实盘净值数据(iFinD）'!G$13/'实盘净值数据(iFinD）'!G$8/$AB$9</f>
        <v>0</v>
      </c>
      <c r="H9">
        <f>H$8*'实盘净值数据(iFinD）'!H$13/'实盘净值数据(iFinD）'!H$8/$AB$9</f>
        <v>4.7249124324419672E-3</v>
      </c>
      <c r="I9">
        <f>I$8*'实盘净值数据(iFinD）'!I$13/'实盘净值数据(iFinD）'!I$8/$AB$9</f>
        <v>1.0428306799094495E-2</v>
      </c>
      <c r="J9">
        <f>J$8*'实盘净值数据(iFinD）'!J$13/'实盘净值数据(iFinD）'!J$8/$AB$9</f>
        <v>0</v>
      </c>
      <c r="K9">
        <f>K$8*'实盘净值数据(iFinD）'!K$13/'实盘净值数据(iFinD）'!K$8/$AB$9</f>
        <v>1.183198817847789E-2</v>
      </c>
      <c r="L9">
        <f>L$8*'实盘净值数据(iFinD）'!L$13/'实盘净值数据(iFinD）'!L$8/$AB$9</f>
        <v>0</v>
      </c>
      <c r="M9">
        <f>M$8*'实盘净值数据(iFinD）'!M$13/'实盘净值数据(iFinD）'!M$8/$AB$9</f>
        <v>1.2642409123284759E-2</v>
      </c>
      <c r="N9">
        <f>N$8*'实盘净值数据(iFinD）'!N$13/'实盘净值数据(iFinD）'!N$8/$AB$9</f>
        <v>0</v>
      </c>
      <c r="O9">
        <f>O$8*'实盘净值数据(iFinD）'!O$13/'实盘净值数据(iFinD）'!O$8/$AB$9</f>
        <v>1.25858627884919E-2</v>
      </c>
      <c r="P9">
        <f>P$8*'实盘净值数据(iFinD）'!P$13/'实盘净值数据(iFinD）'!P$8/$AB$9</f>
        <v>0</v>
      </c>
      <c r="Q9">
        <f>Q$8*'实盘净值数据(iFinD）'!Q$13/'实盘净值数据(iFinD）'!Q$8/$AB$9</f>
        <v>0</v>
      </c>
      <c r="R9">
        <f>R$8*'实盘净值数据(iFinD）'!R$13/'实盘净值数据(iFinD）'!R$8/$AB$9</f>
        <v>9.6519854495816983E-3</v>
      </c>
      <c r="S9">
        <f>S$8*'实盘净值数据(iFinD）'!S$13/'实盘净值数据(iFinD）'!S$8/$AB$9</f>
        <v>9.4400640366569671E-3</v>
      </c>
      <c r="T9">
        <f>T$8*'实盘净值数据(iFinD）'!T$13/'实盘净值数据(iFinD）'!T$8/$AB$9</f>
        <v>0</v>
      </c>
      <c r="U9">
        <f>U$8*'实盘净值数据(iFinD）'!U$13/'实盘净值数据(iFinD）'!U$8/$AB$9</f>
        <v>5.9205130087896553E-3</v>
      </c>
      <c r="V9">
        <f>V$8*'实盘净值数据(iFinD）'!V$13/'实盘净值数据(iFinD）'!V$8/$AB$9</f>
        <v>0</v>
      </c>
      <c r="W9">
        <f>W$8*'实盘净值数据(iFinD）'!W$13/'实盘净值数据(iFinD）'!W$8/$AB$9</f>
        <v>1.2467168013487956E-2</v>
      </c>
      <c r="X9">
        <f>X$8*'实盘净值数据(iFinD）'!X$13/'实盘净值数据(iFinD）'!X$8/$AB$9</f>
        <v>0.82929485335674602</v>
      </c>
      <c r="Y9">
        <f>Y$8*'实盘净值数据(iFinD）'!Y$13/'实盘净值数据(iFinD）'!Y$8/$AB$9+0.01</f>
        <v>0.01</v>
      </c>
      <c r="Z9">
        <f t="shared" si="0"/>
        <v>1</v>
      </c>
      <c r="AA9" s="22">
        <v>46204</v>
      </c>
      <c r="AB9">
        <f>SUMPRODUCT($B$8:$Y$8,'实盘净值数据(iFinD）'!$B$13:$Y$13/'实盘净值数据(iFinD）'!$B$8:$Y$8)</f>
        <v>1.0010183937865633</v>
      </c>
    </row>
    <row r="10" spans="1:30" ht="14.5">
      <c r="A10" s="23" t="s">
        <v>128</v>
      </c>
      <c r="B10" s="21">
        <f>实盘持仓初始配置!B8</f>
        <v>0.05</v>
      </c>
      <c r="C10" s="21">
        <f>实盘持仓初始配置!C8</f>
        <v>0.02</v>
      </c>
      <c r="D10" s="21">
        <f>实盘持仓初始配置!D8</f>
        <v>0.01</v>
      </c>
      <c r="E10" s="21">
        <f>实盘持仓初始配置!E8</f>
        <v>1.2500000000000001E-2</v>
      </c>
      <c r="F10" s="21">
        <f>实盘持仓初始配置!F8</f>
        <v>0</v>
      </c>
      <c r="G10" s="21">
        <f>实盘持仓初始配置!G8</f>
        <v>5.0000000000000001E-3</v>
      </c>
      <c r="H10" s="21">
        <f>实盘持仓初始配置!H8</f>
        <v>0</v>
      </c>
      <c r="I10" s="21">
        <f>实盘持仓初始配置!I8</f>
        <v>0</v>
      </c>
      <c r="J10" s="21">
        <f>实盘持仓初始配置!J8</f>
        <v>0.01</v>
      </c>
      <c r="K10" s="21">
        <f>实盘持仓初始配置!K8</f>
        <v>0</v>
      </c>
      <c r="L10" s="21">
        <f>实盘持仓初始配置!L8</f>
        <v>1.2500000000000001E-2</v>
      </c>
      <c r="M10" s="21">
        <f>实盘持仓初始配置!M8</f>
        <v>0</v>
      </c>
      <c r="N10" s="21">
        <f>实盘持仓初始配置!N8</f>
        <v>1.2500000000000001E-2</v>
      </c>
      <c r="O10" s="21">
        <f>实盘持仓初始配置!O8</f>
        <v>0</v>
      </c>
      <c r="P10" s="21">
        <f>实盘持仓初始配置!P8</f>
        <v>0.01</v>
      </c>
      <c r="Q10" s="21">
        <f>实盘持仓初始配置!Q8</f>
        <v>0.01</v>
      </c>
      <c r="R10" s="21">
        <f>实盘持仓初始配置!R8</f>
        <v>0</v>
      </c>
      <c r="S10" s="21">
        <f>实盘持仓初始配置!S8</f>
        <v>0</v>
      </c>
      <c r="T10" s="21">
        <f>实盘持仓初始配置!T8</f>
        <v>5.0000000000000001E-3</v>
      </c>
      <c r="U10" s="21">
        <f>实盘持仓初始配置!U8</f>
        <v>0</v>
      </c>
      <c r="V10" s="21">
        <f>实盘持仓初始配置!V8</f>
        <v>1.2500000000000001E-2</v>
      </c>
      <c r="W10" s="21">
        <f>实盘持仓初始配置!W8</f>
        <v>0</v>
      </c>
      <c r="X10" s="21">
        <f>实盘持仓初始配置!X8</f>
        <v>0.83</v>
      </c>
      <c r="Y10">
        <v>0</v>
      </c>
      <c r="Z10">
        <f t="shared" si="0"/>
        <v>1</v>
      </c>
      <c r="AA10" s="22">
        <v>46191</v>
      </c>
    </row>
    <row r="11" spans="1:30" ht="14.5">
      <c r="A11" s="23" t="s">
        <v>129</v>
      </c>
      <c r="B11">
        <f>B$10*'实盘净值数据(iFinD）'!B$13/'实盘净值数据(iFinD）'!B$5/$AB$11</f>
        <v>4.6387437041825713E-2</v>
      </c>
      <c r="C11">
        <f>C$10*'实盘净值数据(iFinD）'!C$13/'实盘净值数据(iFinD）'!C$5/$AB$11-0.01</f>
        <v>1.0005822166711356E-2</v>
      </c>
      <c r="D11">
        <f>D$10*'实盘净值数据(iFinD）'!D$13/'实盘净值数据(iFinD）'!D$5/$AB$11</f>
        <v>9.5283058825022231E-3</v>
      </c>
      <c r="E11">
        <f>E$10*'实盘净值数据(iFinD）'!E$13/'实盘净值数据(iFinD）'!E$5/$AB$11</f>
        <v>1.2528731661459628E-2</v>
      </c>
      <c r="F11">
        <f>F$10*'实盘净值数据(iFinD）'!F$13/'实盘净值数据(iFinD）'!F$5/$AB$11</f>
        <v>0</v>
      </c>
      <c r="G11">
        <f>G$10*'实盘净值数据(iFinD）'!G$13/'实盘净值数据(iFinD）'!G$5/$AB$11</f>
        <v>4.7431358020570934E-3</v>
      </c>
      <c r="H11">
        <f>H$10*'实盘净值数据(iFinD）'!H$13/'实盘净值数据(iFinD）'!H$5/$AB$11</f>
        <v>0</v>
      </c>
      <c r="I11">
        <f>I$10*'实盘净值数据(iFinD）'!I$13/'实盘净值数据(iFinD）'!I$5/$AB$11</f>
        <v>0</v>
      </c>
      <c r="J11">
        <f>J$10*'实盘净值数据(iFinD）'!J$13/'实盘净值数据(iFinD）'!J$5/$AB$11</f>
        <v>1.3103828369788012E-2</v>
      </c>
      <c r="K11">
        <f>K$10*'实盘净值数据(iFinD）'!K$13/'实盘净值数据(iFinD）'!K$5/$AB$11</f>
        <v>0</v>
      </c>
      <c r="L11">
        <f>L$10*'实盘净值数据(iFinD）'!L$13/'实盘净值数据(iFinD）'!L$5/$AB$11</f>
        <v>1.2802075701103068E-2</v>
      </c>
      <c r="M11">
        <f>M$10*'实盘净值数据(iFinD）'!M$13/'实盘净值数据(iFinD）'!M$5/$AB$11</f>
        <v>0</v>
      </c>
      <c r="N11">
        <f>N$10*'实盘净值数据(iFinD）'!N$13/'实盘净值数据(iFinD）'!N$5/$AB$11</f>
        <v>1.2865799586254448E-2</v>
      </c>
      <c r="O11">
        <f>O$10*'实盘净值数据(iFinD）'!O$13/'实盘净值数据(iFinD）'!O$5/$AB$11</f>
        <v>0</v>
      </c>
      <c r="P11">
        <f>P$10*'实盘净值数据(iFinD）'!P$13/'实盘净值数据(iFinD）'!P$5/$AB$11</f>
        <v>9.5849996918782945E-3</v>
      </c>
      <c r="Q11">
        <f>Q$10*'实盘净值数据(iFinD）'!Q$13/'实盘净值数据(iFinD）'!Q$5/$AB$11</f>
        <v>9.9356876028041264E-3</v>
      </c>
      <c r="R11">
        <f>R$10*'实盘净值数据(iFinD）'!R$13/'实盘净值数据(iFinD）'!R$5/$AB$11</f>
        <v>0</v>
      </c>
      <c r="S11">
        <f>S$10*'实盘净值数据(iFinD）'!S$13/'实盘净值数据(iFinD）'!S$5/$AB$11</f>
        <v>0</v>
      </c>
      <c r="T11">
        <f>T$10*'实盘净值数据(iFinD）'!T$13/'实盘净值数据(iFinD）'!T$5/$AB$11</f>
        <v>6.3991179623778833E-3</v>
      </c>
      <c r="U11">
        <f>U$10*'实盘净值数据(iFinD）'!U$13/'实盘净值数据(iFinD）'!U$5/$AB$11</f>
        <v>0</v>
      </c>
      <c r="V11">
        <f>V$10*'实盘净值数据(iFinD）'!V$13/'实盘净值数据(iFinD）'!V$5/$AB$11</f>
        <v>1.2436017636350162E-2</v>
      </c>
      <c r="W11">
        <f>W$10*'实盘净值数据(iFinD）'!W$13/'实盘净值数据(iFinD）'!W$5/$AB$11</f>
        <v>0</v>
      </c>
      <c r="X11">
        <f>X$10*'实盘净值数据(iFinD）'!X$13/'实盘净值数据(iFinD）'!X$5/$AB$11</f>
        <v>0.82967904089488786</v>
      </c>
      <c r="Y11">
        <f>Y$10*'实盘净值数据(iFinD）'!Y$13/'实盘净值数据(iFinD）'!Y$5/$AB$11+0.01</f>
        <v>0.01</v>
      </c>
      <c r="Z11">
        <f t="shared" si="0"/>
        <v>0.99999999999999989</v>
      </c>
      <c r="AA11" s="22">
        <v>46204</v>
      </c>
      <c r="AB11">
        <f>SUMPRODUCT($B$10:$Y$10,'实盘净值数据(iFinD）'!$B$13:$Y$13/'实盘净值数据(iFinD）'!$B$5:$Y$5)</f>
        <v>1.0001629093509814</v>
      </c>
    </row>
    <row r="12" spans="1:30" ht="14.5">
      <c r="A12" s="23" t="s">
        <v>130</v>
      </c>
      <c r="B12" s="21">
        <f>实盘持仓初始配置!B9</f>
        <v>0.1</v>
      </c>
      <c r="C12" s="21">
        <f>实盘持仓初始配置!C9</f>
        <v>0.02</v>
      </c>
      <c r="D12" s="21">
        <f>实盘持仓初始配置!D9</f>
        <v>0</v>
      </c>
      <c r="E12" s="21">
        <f>实盘持仓初始配置!E9</f>
        <v>0</v>
      </c>
      <c r="F12" s="21">
        <f>实盘持仓初始配置!F9</f>
        <v>3.7499999999999999E-2</v>
      </c>
      <c r="G12" s="21">
        <f>实盘持仓初始配置!G9</f>
        <v>0</v>
      </c>
      <c r="H12" s="21">
        <f>实盘持仓初始配置!H9</f>
        <v>1.4999999999999999E-2</v>
      </c>
      <c r="I12" s="21">
        <f>实盘持仓初始配置!I9</f>
        <v>0.03</v>
      </c>
      <c r="J12" s="21">
        <f>实盘持仓初始配置!J9</f>
        <v>0</v>
      </c>
      <c r="K12" s="21">
        <f>实盘持仓初始配置!K9</f>
        <v>0.03</v>
      </c>
      <c r="L12" s="21">
        <f>实盘持仓初始配置!L9</f>
        <v>0</v>
      </c>
      <c r="M12" s="21">
        <f>实盘持仓初始配置!M9</f>
        <v>3.7499999999999999E-2</v>
      </c>
      <c r="N12" s="21">
        <f>实盘持仓初始配置!N9</f>
        <v>0</v>
      </c>
      <c r="O12" s="21">
        <f>实盘持仓初始配置!O9</f>
        <v>3.7499999999999999E-2</v>
      </c>
      <c r="P12" s="21">
        <f>实盘持仓初始配置!P9</f>
        <v>0</v>
      </c>
      <c r="Q12" s="21">
        <f>实盘持仓初始配置!Q9</f>
        <v>0</v>
      </c>
      <c r="R12" s="21">
        <f>实盘持仓初始配置!R9</f>
        <v>0.03</v>
      </c>
      <c r="S12" s="21">
        <f>实盘持仓初始配置!S9</f>
        <v>0.03</v>
      </c>
      <c r="T12" s="21">
        <f>实盘持仓初始配置!T9</f>
        <v>0</v>
      </c>
      <c r="U12" s="21">
        <f>实盘持仓初始配置!U9</f>
        <v>1.4999999999999999E-2</v>
      </c>
      <c r="V12" s="21">
        <f>实盘持仓初始配置!V9</f>
        <v>0</v>
      </c>
      <c r="W12" s="21">
        <f>实盘持仓初始配置!W9</f>
        <v>3.7499999999999999E-2</v>
      </c>
      <c r="X12" s="21">
        <f>实盘持仓初始配置!X9</f>
        <v>0.57999999999999996</v>
      </c>
      <c r="Y12">
        <v>0</v>
      </c>
      <c r="Z12">
        <f t="shared" si="0"/>
        <v>0.99999999999999989</v>
      </c>
      <c r="AA12" s="22">
        <v>46197</v>
      </c>
    </row>
    <row r="13" spans="1:30" ht="14.5">
      <c r="A13" s="23" t="s">
        <v>131</v>
      </c>
      <c r="B13">
        <f>B$12*'实盘净值数据(iFinD）'!B$13/'实盘净值数据(iFinD）'!B$8/$AB$13</f>
        <v>9.6752041040539472E-2</v>
      </c>
      <c r="C13">
        <f>C$12*'实盘净值数据(iFinD）'!C$13/'实盘净值数据(iFinD）'!C$8/$AB$13-0.015</f>
        <v>4.9222093775360756E-3</v>
      </c>
      <c r="D13">
        <f>D$12*'实盘净值数据(iFinD）'!D$13/'实盘净值数据(iFinD）'!D$8/$AB$13</f>
        <v>0</v>
      </c>
      <c r="E13">
        <f>E$12*'实盘净值数据(iFinD）'!E$13/'实盘净值数据(iFinD）'!E$8/$AB$13</f>
        <v>0</v>
      </c>
      <c r="F13">
        <f>F$12*'实盘净值数据(iFinD）'!F$13/'实盘净值数据(iFinD）'!F$8/$AB$13</f>
        <v>3.7383653895850244E-2</v>
      </c>
      <c r="G13">
        <f>G$12*'实盘净值数据(iFinD）'!G$13/'实盘净值数据(iFinD）'!G$8/$AB$13</f>
        <v>0</v>
      </c>
      <c r="H13">
        <f>H$12*'实盘净值数据(iFinD）'!H$13/'实盘净值数据(iFinD）'!H$8/$AB$13</f>
        <v>1.4130559060444955E-2</v>
      </c>
      <c r="I13">
        <f>I$12*'实盘净值数据(iFinD）'!I$13/'实盘净值数据(iFinD）'!I$8/$AB$13</f>
        <v>3.1187415054142246E-2</v>
      </c>
      <c r="J13">
        <f>J$12*'实盘净值数据(iFinD）'!J$13/'实盘净值数据(iFinD）'!J$8/$AB$13</f>
        <v>0</v>
      </c>
      <c r="K13">
        <f>K$12*'实盘净值数据(iFinD）'!K$13/'实盘净值数据(iFinD）'!K$8/$AB$13</f>
        <v>3.5385334680596091E-2</v>
      </c>
      <c r="L13">
        <f>L$12*'实盘净值数据(iFinD）'!L$13/'实盘净值数据(iFinD）'!L$8/$AB$13</f>
        <v>0</v>
      </c>
      <c r="M13">
        <f>M$12*'实盘净值数据(iFinD）'!M$13/'实盘净值数据(iFinD）'!M$8/$AB$13</f>
        <v>3.7809020026759531E-2</v>
      </c>
      <c r="N13">
        <f>N$12*'实盘净值数据(iFinD）'!N$13/'实盘净值数据(iFinD）'!N$8/$AB$13</f>
        <v>0</v>
      </c>
      <c r="O13">
        <f>O$12*'实盘净值数据(iFinD）'!O$13/'实盘净值数据(iFinD）'!O$8/$AB$13</f>
        <v>3.7639909734269048E-2</v>
      </c>
      <c r="P13">
        <f>P$12*'实盘净值数据(iFinD）'!P$13/'实盘净值数据(iFinD）'!P$8/$AB$13</f>
        <v>0</v>
      </c>
      <c r="Q13">
        <f>Q$12*'实盘净值数据(iFinD）'!Q$13/'实盘净值数据(iFinD）'!Q$8/$AB$13</f>
        <v>0</v>
      </c>
      <c r="R13">
        <f>R$12*'实盘净值数据(iFinD）'!R$13/'实盘净值数据(iFinD）'!R$8/$AB$13</f>
        <v>2.8865709660439238E-2</v>
      </c>
      <c r="S13">
        <f>S$12*'实盘净值数据(iFinD）'!S$13/'实盘净值数据(iFinD）'!S$8/$AB$13</f>
        <v>2.8231926900584323E-2</v>
      </c>
      <c r="T13">
        <f>T$12*'实盘净值数据(iFinD）'!T$13/'实盘净值数据(iFinD）'!T$8/$AB$13</f>
        <v>0</v>
      </c>
      <c r="U13">
        <f>U$12*'实盘净值数据(iFinD）'!U$13/'实盘净值数据(iFinD）'!U$8/$AB$13</f>
        <v>1.7706181846760063E-2</v>
      </c>
      <c r="V13">
        <f>V$12*'实盘净值数据(iFinD）'!V$13/'实盘净值数据(iFinD）'!V$8/$AB$13</f>
        <v>0</v>
      </c>
      <c r="W13">
        <f>W$12*'实盘净值数据(iFinD）'!W$13/'实盘净值数据(iFinD）'!W$8/$AB$13</f>
        <v>3.728493521308144E-2</v>
      </c>
      <c r="X13">
        <f>X$12*'实盘净值数据(iFinD）'!X$13/'实盘净值数据(iFinD）'!X$8/$AB$13</f>
        <v>0.57770110350899728</v>
      </c>
      <c r="Y13">
        <f>Y$12*'实盘净值数据(iFinD）'!Y$13/'实盘净值数据(iFinD）'!Y$8/$AB$13+0.015</f>
        <v>1.4999999999999999E-2</v>
      </c>
      <c r="Z13">
        <f t="shared" si="0"/>
        <v>1</v>
      </c>
      <c r="AA13" s="22">
        <v>46204</v>
      </c>
      <c r="AB13">
        <f>SUMPRODUCT($B$12:$Y$12,'实盘净值数据(iFinD）'!$B$13:$Y$13/'实盘净值数据(iFinD）'!$B$8:$Y$8)</f>
        <v>1.0041480100695226</v>
      </c>
    </row>
    <row r="14" spans="1:30" ht="14.5">
      <c r="A14" s="23" t="s">
        <v>132</v>
      </c>
      <c r="B14">
        <v>5.1392931664740599E-2</v>
      </c>
      <c r="C14">
        <v>5.0001502866869302E-2</v>
      </c>
      <c r="D14">
        <v>0</v>
      </c>
      <c r="E14">
        <v>0</v>
      </c>
      <c r="F14">
        <v>1.22700167166955E-2</v>
      </c>
      <c r="G14">
        <v>0</v>
      </c>
      <c r="H14">
        <v>4.4058931492136797E-3</v>
      </c>
      <c r="I14">
        <v>9.76043516734444E-3</v>
      </c>
      <c r="J14">
        <v>0</v>
      </c>
      <c r="K14">
        <v>1.07009175985259E-2</v>
      </c>
      <c r="L14">
        <v>0</v>
      </c>
      <c r="M14">
        <v>1.2094650535350001E-2</v>
      </c>
      <c r="N14">
        <v>0</v>
      </c>
      <c r="O14">
        <v>1.2228859161548601E-2</v>
      </c>
      <c r="P14">
        <v>0</v>
      </c>
      <c r="Q14">
        <v>0</v>
      </c>
      <c r="R14">
        <v>8.9849704896460304E-3</v>
      </c>
      <c r="S14">
        <v>8.9406347696315992E-3</v>
      </c>
      <c r="T14">
        <v>0</v>
      </c>
      <c r="U14">
        <v>5.1732171227200198E-3</v>
      </c>
      <c r="V14">
        <v>0</v>
      </c>
      <c r="W14">
        <v>1.2045088401733701E-2</v>
      </c>
      <c r="X14">
        <v>0.79287068364096702</v>
      </c>
      <c r="Y14">
        <v>9.1301987150140505E-3</v>
      </c>
      <c r="Z14">
        <f t="shared" si="0"/>
        <v>1.0000000000000004</v>
      </c>
      <c r="AA14" s="22">
        <v>46210</v>
      </c>
      <c r="AB14">
        <f>$AB$9*SUMPRODUCT($B$9:$Y$9,'实盘净值数据(iFinD）'!$B$17:$Y$17/'实盘净值数据(iFinD）'!$B$13:$Y$13)</f>
        <v>0.99518059435920936</v>
      </c>
    </row>
    <row r="15" spans="1:30" ht="14.5">
      <c r="A15" s="23" t="s">
        <v>133</v>
      </c>
      <c r="B15">
        <v>4.9150896792573798E-2</v>
      </c>
      <c r="C15">
        <v>5.0001160130108802E-2</v>
      </c>
      <c r="D15">
        <v>9.0305950887984605E-3</v>
      </c>
      <c r="E15">
        <v>1.2304437502045899E-2</v>
      </c>
      <c r="F15">
        <v>0</v>
      </c>
      <c r="G15">
        <v>4.42507895785553E-3</v>
      </c>
      <c r="H15">
        <v>0</v>
      </c>
      <c r="I15">
        <v>0</v>
      </c>
      <c r="J15">
        <v>1.1856418000136201E-2</v>
      </c>
      <c r="K15">
        <v>0</v>
      </c>
      <c r="L15">
        <v>1.2254684287608401E-2</v>
      </c>
      <c r="M15">
        <v>0</v>
      </c>
      <c r="N15">
        <v>1.25057849313139E-2</v>
      </c>
      <c r="O15">
        <v>0</v>
      </c>
      <c r="P15">
        <v>8.7603815716342098E-3</v>
      </c>
      <c r="Q15">
        <v>9.2543443784100805E-3</v>
      </c>
      <c r="R15">
        <v>0</v>
      </c>
      <c r="S15">
        <v>0</v>
      </c>
      <c r="T15">
        <v>5.5938035302751897E-3</v>
      </c>
      <c r="U15">
        <v>0</v>
      </c>
      <c r="V15">
        <v>1.2021635524279701E-2</v>
      </c>
      <c r="W15">
        <v>0</v>
      </c>
      <c r="X15">
        <v>0.79370064963292497</v>
      </c>
      <c r="Y15">
        <v>9.1401296720349801E-3</v>
      </c>
      <c r="Z15">
        <f t="shared" si="0"/>
        <v>1.0000000000000002</v>
      </c>
      <c r="AA15" s="22">
        <v>46210</v>
      </c>
      <c r="AB15">
        <f>$AB$11*SUMPRODUCT($B$11:$Y$11,'实盘净值数据(iFinD）'!$B$17:$Y$17/'实盘净值数据(iFinD）'!$B$13:$Y$13)</f>
        <v>0.99376731247498307</v>
      </c>
    </row>
    <row r="16" spans="1:30" ht="14.5">
      <c r="A16" s="23" t="s">
        <v>134</v>
      </c>
      <c r="B16">
        <v>0.103481083555403</v>
      </c>
      <c r="C16">
        <v>0.10000326780346599</v>
      </c>
      <c r="D16">
        <v>0</v>
      </c>
      <c r="E16">
        <v>0</v>
      </c>
      <c r="F16">
        <v>3.7057535822370799E-2</v>
      </c>
      <c r="G16">
        <v>0</v>
      </c>
      <c r="H16">
        <v>1.3306494935067E-2</v>
      </c>
      <c r="I16">
        <v>2.94781885716324E-2</v>
      </c>
      <c r="J16">
        <v>0</v>
      </c>
      <c r="K16">
        <v>3.2319155927703999E-2</v>
      </c>
      <c r="L16">
        <v>0</v>
      </c>
      <c r="M16">
        <v>3.6532004631774098E-2</v>
      </c>
      <c r="N16">
        <v>0</v>
      </c>
      <c r="O16">
        <v>3.6934217474570798E-2</v>
      </c>
      <c r="P16">
        <v>0</v>
      </c>
      <c r="Q16">
        <v>0</v>
      </c>
      <c r="R16">
        <v>2.7137905606625799E-2</v>
      </c>
      <c r="S16">
        <v>2.70057842412821E-2</v>
      </c>
      <c r="T16">
        <v>0</v>
      </c>
      <c r="U16">
        <v>1.5624326719431999E-2</v>
      </c>
      <c r="V16">
        <v>0</v>
      </c>
      <c r="W16">
        <v>3.6380179395524299E-2</v>
      </c>
      <c r="X16">
        <v>0.49087376717201098</v>
      </c>
      <c r="Y16">
        <v>1.38660881431366E-2</v>
      </c>
      <c r="Z16">
        <f t="shared" si="0"/>
        <v>0.99999999999999989</v>
      </c>
      <c r="AA16" s="22">
        <v>46210</v>
      </c>
      <c r="AB16">
        <f>$AB$13*SUMPRODUCT($B$13:$Y$13,'实盘净值数据(iFinD）'!$B$17:$Y$17/'实盘净值数据(iFinD）'!$B$13:$Y$13)</f>
        <v>0.9844764004850477</v>
      </c>
    </row>
    <row r="17" spans="1:30" ht="14.5">
      <c r="A17" s="19" t="s">
        <v>135</v>
      </c>
      <c r="B17">
        <v>0</v>
      </c>
      <c r="C17">
        <v>4.6328032076459101E-2</v>
      </c>
      <c r="D17">
        <v>0.16457820614969301</v>
      </c>
      <c r="E17">
        <v>0</v>
      </c>
      <c r="F17">
        <v>0</v>
      </c>
      <c r="G17">
        <v>0</v>
      </c>
      <c r="H17">
        <v>0</v>
      </c>
      <c r="I17">
        <v>0</v>
      </c>
      <c r="J17">
        <v>0.24720581393205801</v>
      </c>
      <c r="K17">
        <v>0</v>
      </c>
      <c r="L17">
        <v>0</v>
      </c>
      <c r="M17">
        <v>0</v>
      </c>
      <c r="N17">
        <v>0</v>
      </c>
      <c r="O17">
        <v>0</v>
      </c>
      <c r="P17">
        <v>0.16397772588060999</v>
      </c>
      <c r="Q17">
        <v>0.17265148062140001</v>
      </c>
      <c r="R17">
        <v>0</v>
      </c>
      <c r="S17">
        <v>0</v>
      </c>
      <c r="T17">
        <v>0.13525836599697399</v>
      </c>
      <c r="U17">
        <v>0</v>
      </c>
      <c r="V17">
        <v>0</v>
      </c>
      <c r="W17">
        <v>0</v>
      </c>
      <c r="X17">
        <v>0</v>
      </c>
      <c r="Y17">
        <v>7.0000375342806606E-2</v>
      </c>
      <c r="Z17">
        <f t="shared" si="0"/>
        <v>1.0000000000000009</v>
      </c>
      <c r="AA17" s="22">
        <v>46213</v>
      </c>
      <c r="AB17">
        <f>SUMPRODUCT($B$5:$Y$5,'实盘净值数据(iFinD）'!$B$20:$Y$20/'实盘净值数据(iFinD）'!$B$6:$Y$6)</f>
        <v>0.95250384230903973</v>
      </c>
    </row>
    <row r="18" spans="1:30" ht="14.5">
      <c r="A18" s="19" t="s">
        <v>136</v>
      </c>
      <c r="B18">
        <v>0</v>
      </c>
      <c r="C18">
        <v>4.5293229219309401E-2</v>
      </c>
      <c r="D18">
        <v>0.16609479634100499</v>
      </c>
      <c r="E18">
        <v>0</v>
      </c>
      <c r="F18">
        <v>0</v>
      </c>
      <c r="G18">
        <v>0</v>
      </c>
      <c r="H18">
        <v>0</v>
      </c>
      <c r="I18">
        <v>0</v>
      </c>
      <c r="J18">
        <v>0.245429089462296</v>
      </c>
      <c r="K18">
        <v>0</v>
      </c>
      <c r="L18">
        <v>0</v>
      </c>
      <c r="M18">
        <v>0</v>
      </c>
      <c r="N18">
        <v>0</v>
      </c>
      <c r="O18">
        <v>0</v>
      </c>
      <c r="P18">
        <v>0.16384893651891699</v>
      </c>
      <c r="Q18">
        <v>0.173430567740403</v>
      </c>
      <c r="R18">
        <v>0</v>
      </c>
      <c r="S18">
        <v>0</v>
      </c>
      <c r="T18">
        <v>0.135903553227429</v>
      </c>
      <c r="U18">
        <v>0</v>
      </c>
      <c r="V18">
        <v>0</v>
      </c>
      <c r="W18">
        <v>0</v>
      </c>
      <c r="X18">
        <v>0</v>
      </c>
      <c r="Y18">
        <v>6.9999827490640307E-2</v>
      </c>
      <c r="Z18">
        <f t="shared" si="0"/>
        <v>0.99999999999999956</v>
      </c>
      <c r="AA18" s="22">
        <v>46213</v>
      </c>
      <c r="AB18">
        <f>SUMPRODUCT($B$6:$Y$6,'实盘净值数据(iFinD）'!$B$20:$Y$20/'实盘净值数据(iFinD）'!$B$5:$Y$5)</f>
        <v>0.97445109575393596</v>
      </c>
    </row>
    <row r="19" spans="1:30" ht="14.5">
      <c r="A19" s="19" t="s">
        <v>137</v>
      </c>
      <c r="B19">
        <v>0</v>
      </c>
      <c r="C19">
        <v>4.37733816458728E-2</v>
      </c>
      <c r="D19">
        <v>0</v>
      </c>
      <c r="E19">
        <v>0</v>
      </c>
      <c r="F19">
        <v>0</v>
      </c>
      <c r="G19">
        <v>0</v>
      </c>
      <c r="H19">
        <v>0</v>
      </c>
      <c r="I19">
        <v>0.189912474874215</v>
      </c>
      <c r="J19">
        <v>0</v>
      </c>
      <c r="K19">
        <v>0.23432791874005601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0.16876427007536601</v>
      </c>
      <c r="S19">
        <v>0.16403375942840701</v>
      </c>
      <c r="T19">
        <v>0</v>
      </c>
      <c r="U19">
        <v>0.12918858878158801</v>
      </c>
      <c r="V19">
        <v>0</v>
      </c>
      <c r="W19">
        <v>0</v>
      </c>
      <c r="X19">
        <v>0</v>
      </c>
      <c r="Y19">
        <v>6.9999606454495295E-2</v>
      </c>
      <c r="Z19">
        <f t="shared" si="0"/>
        <v>1.0000000000000002</v>
      </c>
      <c r="AA19" s="22">
        <v>46213</v>
      </c>
      <c r="AB19">
        <f>SUMPRODUCT($B$7:$Y$7,'实盘净值数据(iFinD）'!$B$20:$Y$20/'实盘净值数据(iFinD）'!$B$7:$Y$7)</f>
        <v>0.99413981381289751</v>
      </c>
    </row>
    <row r="20" spans="1:30" ht="14">
      <c r="A20" s="24" t="s">
        <v>138</v>
      </c>
      <c r="B20">
        <v>5.1393000000000001E-2</v>
      </c>
      <c r="C20">
        <v>4.4406000000000001E-2</v>
      </c>
      <c r="D20">
        <v>0</v>
      </c>
      <c r="E20">
        <v>0</v>
      </c>
      <c r="F20">
        <v>1.227E-2</v>
      </c>
      <c r="G20">
        <v>0</v>
      </c>
      <c r="H20">
        <v>0</v>
      </c>
      <c r="I20">
        <v>9.7599999999999996E-3</v>
      </c>
      <c r="J20">
        <v>0</v>
      </c>
      <c r="K20">
        <v>1.0701E-2</v>
      </c>
      <c r="L20">
        <v>0</v>
      </c>
      <c r="M20">
        <v>1.2095E-2</v>
      </c>
      <c r="N20">
        <v>0</v>
      </c>
      <c r="O20">
        <v>1.2229E-2</v>
      </c>
      <c r="P20">
        <v>0</v>
      </c>
      <c r="Q20">
        <v>0</v>
      </c>
      <c r="R20">
        <v>8.9849999999999999E-3</v>
      </c>
      <c r="S20">
        <v>8.9409999999999993E-3</v>
      </c>
      <c r="T20">
        <v>0</v>
      </c>
      <c r="U20">
        <v>5.1729999999999996E-3</v>
      </c>
      <c r="V20">
        <v>0</v>
      </c>
      <c r="W20">
        <v>1.2045E-2</v>
      </c>
      <c r="X20">
        <v>0.80287200000000003</v>
      </c>
      <c r="Y20">
        <v>9.1299999999999992E-3</v>
      </c>
      <c r="Z20">
        <f t="shared" si="0"/>
        <v>1</v>
      </c>
      <c r="AA20" s="25">
        <v>46220</v>
      </c>
      <c r="AB20">
        <f>$AB$14*SUMPRODUCT($B$14:$Y$14,'实盘净值数据(iFinD）'!$B$25:$Y$25/'实盘净值数据(iFinD）'!$B$17:$Y$17)</f>
        <v>0.98067586640145799</v>
      </c>
    </row>
    <row r="21" spans="1:30" ht="14">
      <c r="A21" s="24" t="s">
        <v>139</v>
      </c>
      <c r="B21">
        <v>4.9151E-2</v>
      </c>
      <c r="C21">
        <v>4.4424999999999999E-2</v>
      </c>
      <c r="D21">
        <v>9.0310000000000008E-3</v>
      </c>
      <c r="E21">
        <v>1.2304000000000001E-2</v>
      </c>
      <c r="F21">
        <v>0</v>
      </c>
      <c r="G21">
        <v>0</v>
      </c>
      <c r="H21">
        <v>0</v>
      </c>
      <c r="I21">
        <v>0</v>
      </c>
      <c r="J21">
        <v>1.1856E-2</v>
      </c>
      <c r="K21">
        <v>0</v>
      </c>
      <c r="L21">
        <v>1.2255E-2</v>
      </c>
      <c r="M21">
        <v>0</v>
      </c>
      <c r="N21">
        <v>1.2506E-2</v>
      </c>
      <c r="O21">
        <v>0</v>
      </c>
      <c r="P21">
        <v>8.7600000000000004E-3</v>
      </c>
      <c r="Q21">
        <v>9.2540000000000001E-3</v>
      </c>
      <c r="R21">
        <v>0</v>
      </c>
      <c r="S21">
        <v>0</v>
      </c>
      <c r="T21">
        <v>5.594E-3</v>
      </c>
      <c r="U21">
        <v>0</v>
      </c>
      <c r="V21">
        <v>1.2022E-2</v>
      </c>
      <c r="W21">
        <v>0</v>
      </c>
      <c r="X21">
        <v>0.80370200000000003</v>
      </c>
      <c r="Y21">
        <v>9.1400000000000006E-3</v>
      </c>
      <c r="Z21">
        <f t="shared" si="0"/>
        <v>1</v>
      </c>
      <c r="AA21" s="25">
        <v>46220</v>
      </c>
      <c r="AB21">
        <f>$AB$15*SUMPRODUCT($B$15:$Y$15,'实盘净值数据(iFinD）'!$B$25:$Y$25/'实盘净值数据(iFinD）'!$B$17:$Y$17)</f>
        <v>0.97939475400002896</v>
      </c>
    </row>
    <row r="22" spans="1:30" ht="14">
      <c r="A22" s="24" t="s">
        <v>140</v>
      </c>
      <c r="B22">
        <v>0.103481</v>
      </c>
      <c r="C22">
        <v>8.7175000000000002E-2</v>
      </c>
      <c r="D22">
        <v>0</v>
      </c>
      <c r="E22">
        <v>0</v>
      </c>
      <c r="F22">
        <v>3.7058000000000001E-2</v>
      </c>
      <c r="G22">
        <v>0</v>
      </c>
      <c r="H22">
        <v>0</v>
      </c>
      <c r="I22">
        <v>2.9478000000000001E-2</v>
      </c>
      <c r="J22">
        <v>0</v>
      </c>
      <c r="K22">
        <v>3.2319000000000001E-2</v>
      </c>
      <c r="L22">
        <v>0</v>
      </c>
      <c r="M22">
        <v>3.6532000000000002E-2</v>
      </c>
      <c r="N22">
        <v>0</v>
      </c>
      <c r="O22">
        <v>3.6934000000000002E-2</v>
      </c>
      <c r="P22">
        <v>0</v>
      </c>
      <c r="Q22">
        <v>0</v>
      </c>
      <c r="R22">
        <v>2.7137999999999999E-2</v>
      </c>
      <c r="S22">
        <v>2.7005999999999999E-2</v>
      </c>
      <c r="T22">
        <v>0</v>
      </c>
      <c r="U22">
        <v>1.5624000000000001E-2</v>
      </c>
      <c r="V22">
        <v>0</v>
      </c>
      <c r="W22">
        <v>3.6380000000000003E-2</v>
      </c>
      <c r="X22">
        <v>0.50087499999999996</v>
      </c>
      <c r="Y22">
        <v>0.03</v>
      </c>
      <c r="Z22">
        <f t="shared" si="0"/>
        <v>1</v>
      </c>
      <c r="AA22" s="25">
        <v>46220</v>
      </c>
      <c r="AB22">
        <f>$AB$16*SUMPRODUCT($B$16:$Y$16,'实盘净值数据(iFinD）'!$B$25:$Y$25/'实盘净值数据(iFinD）'!$B$17:$Y$17)</f>
        <v>0.94281725126693205</v>
      </c>
    </row>
    <row r="23" spans="1:30" ht="14">
      <c r="A23" s="24" t="s">
        <v>475</v>
      </c>
      <c r="B23" s="17">
        <v>0.05</v>
      </c>
      <c r="C23" s="17">
        <v>0.05</v>
      </c>
      <c r="D23" s="17">
        <v>0</v>
      </c>
      <c r="E23" s="17">
        <v>0</v>
      </c>
      <c r="F23" s="17">
        <v>1.2500000000000001E-2</v>
      </c>
      <c r="G23" s="17">
        <v>0</v>
      </c>
      <c r="H23" s="17">
        <v>0</v>
      </c>
      <c r="I23" s="17">
        <v>0.01</v>
      </c>
      <c r="J23" s="17">
        <v>0</v>
      </c>
      <c r="K23" s="17">
        <v>7.4999999999999997E-3</v>
      </c>
      <c r="L23" s="17">
        <v>0</v>
      </c>
      <c r="M23" s="17">
        <v>1.2500000000000001E-2</v>
      </c>
      <c r="N23" s="17">
        <v>0</v>
      </c>
      <c r="O23" s="17">
        <v>1.2500000000000001E-2</v>
      </c>
      <c r="P23" s="17">
        <v>0</v>
      </c>
      <c r="Q23" s="17">
        <v>0</v>
      </c>
      <c r="R23" s="17">
        <v>1.2500000000000001E-2</v>
      </c>
      <c r="S23" s="17">
        <v>1.2500000000000001E-2</v>
      </c>
      <c r="T23" s="17">
        <v>0</v>
      </c>
      <c r="U23" s="17">
        <v>0</v>
      </c>
      <c r="V23" s="17">
        <v>0</v>
      </c>
      <c r="W23" s="17">
        <v>1.2500000000000001E-2</v>
      </c>
      <c r="X23" s="17">
        <v>0.5</v>
      </c>
      <c r="Y23" s="17">
        <v>7.4999999999999997E-3</v>
      </c>
      <c r="Z23" s="17">
        <f>SUM(B23:Y23)+SUM(AC23:AD23)</f>
        <v>1</v>
      </c>
      <c r="AA23" s="25">
        <v>46276</v>
      </c>
      <c r="AB23">
        <f>$AB$20*SUMPRODUCT($B$20:$Y$20,'实盘净值数据(iFinD）'!$B$65:$Y$65/'实盘净值数据(iFinD）'!$B$25:$Y$25)</f>
        <v>0.99104060395575799</v>
      </c>
      <c r="AC23" s="17">
        <v>0.15</v>
      </c>
      <c r="AD23" s="17">
        <v>0.15</v>
      </c>
    </row>
    <row r="24" spans="1:30" ht="14">
      <c r="A24" s="24" t="s">
        <v>476</v>
      </c>
      <c r="B24" s="17">
        <v>0.05</v>
      </c>
      <c r="C24" s="17">
        <v>0.05</v>
      </c>
      <c r="D24" s="17">
        <v>0.01</v>
      </c>
      <c r="E24" s="17">
        <v>1.2500000000000001E-2</v>
      </c>
      <c r="F24" s="17">
        <v>0</v>
      </c>
      <c r="G24" s="17">
        <v>0</v>
      </c>
      <c r="H24" s="17">
        <v>0</v>
      </c>
      <c r="I24" s="17">
        <v>0</v>
      </c>
      <c r="J24" s="17">
        <v>0.01</v>
      </c>
      <c r="K24" s="17">
        <v>0</v>
      </c>
      <c r="L24" s="17">
        <v>1.2500000000000001E-2</v>
      </c>
      <c r="M24" s="17">
        <v>0</v>
      </c>
      <c r="N24" s="17">
        <v>1.2500000000000001E-2</v>
      </c>
      <c r="O24" s="17">
        <v>0</v>
      </c>
      <c r="P24" s="17">
        <v>0.01</v>
      </c>
      <c r="Q24" s="17">
        <v>0.01</v>
      </c>
      <c r="R24" s="17">
        <v>0</v>
      </c>
      <c r="S24" s="17">
        <v>0</v>
      </c>
      <c r="T24" s="17">
        <v>0</v>
      </c>
      <c r="U24" s="17">
        <v>0</v>
      </c>
      <c r="V24" s="17">
        <v>1.2500000000000001E-2</v>
      </c>
      <c r="W24" s="17">
        <v>0</v>
      </c>
      <c r="X24" s="17">
        <v>0.5</v>
      </c>
      <c r="Y24" s="17">
        <v>0.01</v>
      </c>
      <c r="Z24" s="17">
        <f>SUM(B24:Y24)+SUM(AC24:AD24)</f>
        <v>1</v>
      </c>
      <c r="AA24" s="25">
        <v>46276</v>
      </c>
      <c r="AB24">
        <f>$AB$21*SUMPRODUCT($B$21:$Y$21,'实盘净值数据(iFinD）'!$B$65:$Y$65/'实盘净值数据(iFinD）'!$B$25:$Y$25)</f>
        <v>0.99102891245917668</v>
      </c>
      <c r="AC24" s="17">
        <v>0.15</v>
      </c>
      <c r="AD24" s="17">
        <v>0.15</v>
      </c>
    </row>
    <row r="25" spans="1:30" ht="14">
      <c r="A25" s="24" t="s">
        <v>477</v>
      </c>
      <c r="B25" s="17">
        <v>0.1</v>
      </c>
      <c r="C25" s="17">
        <v>0.1</v>
      </c>
      <c r="D25" s="17">
        <v>0</v>
      </c>
      <c r="E25" s="17">
        <v>0</v>
      </c>
      <c r="F25" s="17">
        <v>3.7499999999999999E-2</v>
      </c>
      <c r="G25" s="17">
        <v>0</v>
      </c>
      <c r="H25" s="17">
        <v>0</v>
      </c>
      <c r="I25" s="17">
        <v>0.03</v>
      </c>
      <c r="J25" s="17">
        <v>0</v>
      </c>
      <c r="K25" s="17">
        <v>2.5000000000000001E-2</v>
      </c>
      <c r="L25" s="17">
        <v>0</v>
      </c>
      <c r="M25" s="17">
        <v>3.7499999999999999E-2</v>
      </c>
      <c r="N25" s="17">
        <v>0</v>
      </c>
      <c r="O25" s="17">
        <v>3.7499999999999999E-2</v>
      </c>
      <c r="P25" s="17">
        <v>0</v>
      </c>
      <c r="Q25" s="17">
        <v>0</v>
      </c>
      <c r="R25" s="17">
        <v>3.5000000000000003E-2</v>
      </c>
      <c r="S25" s="17">
        <v>3.5000000000000003E-2</v>
      </c>
      <c r="T25" s="17">
        <v>0</v>
      </c>
      <c r="U25" s="17">
        <v>0</v>
      </c>
      <c r="V25" s="17">
        <v>0</v>
      </c>
      <c r="W25" s="17">
        <v>3.7499999999999999E-2</v>
      </c>
      <c r="X25" s="17">
        <v>0.3</v>
      </c>
      <c r="Y25" s="17">
        <v>2.5000000000000001E-2</v>
      </c>
      <c r="Z25" s="17">
        <f>SUM(B25:Y25)+SUM(AC25:AD25)</f>
        <v>1</v>
      </c>
      <c r="AA25" s="25">
        <v>46276</v>
      </c>
      <c r="AB25">
        <f>$AB$22*SUMPRODUCT($B$22:$Y$22,'实盘净值数据(iFinD）'!$B$65:$Y$65/'实盘净值数据(iFinD）'!$B$25:$Y$25)</f>
        <v>0.95617038338718674</v>
      </c>
      <c r="AC25" s="17">
        <v>0.1</v>
      </c>
      <c r="AD25" s="17">
        <v>0.1</v>
      </c>
    </row>
  </sheetData>
  <phoneticPr fontId="3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topLeftCell="A7" workbookViewId="0">
      <selection activeCell="E35" sqref="E35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22.453125" customWidth="1"/>
    <col min="5" max="5" width="17.453125" customWidth="1"/>
    <col min="6" max="6" width="19.26953125" customWidth="1"/>
    <col min="7" max="7" width="15.453125" customWidth="1"/>
    <col min="8" max="8" width="2.1796875" customWidth="1"/>
  </cols>
  <sheetData>
    <row r="2" spans="2:7" ht="20.25" customHeight="1">
      <c r="B2" s="167" t="s">
        <v>141</v>
      </c>
      <c r="C2" s="167"/>
      <c r="D2" s="167"/>
      <c r="E2" s="167"/>
      <c r="F2" s="167"/>
      <c r="G2" s="167"/>
    </row>
    <row r="3" spans="2:7" ht="14.25" customHeight="1">
      <c r="B3" s="168" t="str">
        <f>"买入持有 · 已扣年化费率 "&amp;TEXT(实盘持仓初始配置!$Z$4,"0.0%")&amp;"（折每日计入净值）"</f>
        <v>买入持有 · 已扣年化费率 1.5%（折每日计入净值）</v>
      </c>
      <c r="C3" s="168"/>
      <c r="D3" s="168"/>
      <c r="E3" s="169" t="str">
        <f>"净值日期："&amp;TEXT(LOOKUP(2,1/(实盘组合预估净值!$B$5:$B$1000&lt;&gt;""),实盘组合预估净值!$A$5:$A$1000),"yyyy-mm-dd")</f>
        <v>净值日期：2026-09-17</v>
      </c>
      <c r="F3" s="169"/>
      <c r="G3" s="169"/>
    </row>
    <row r="5" spans="2:7" ht="14">
      <c r="B5" s="170" t="s">
        <v>142</v>
      </c>
      <c r="C5" s="170"/>
      <c r="D5" s="170"/>
      <c r="E5" s="170"/>
      <c r="F5" s="170"/>
      <c r="G5" s="170"/>
    </row>
    <row r="6" spans="2:7" ht="13">
      <c r="B6" s="26" t="s">
        <v>143</v>
      </c>
      <c r="C6" s="26" t="s">
        <v>144</v>
      </c>
      <c r="D6" s="26" t="s">
        <v>145</v>
      </c>
      <c r="E6" s="26" t="s">
        <v>146</v>
      </c>
      <c r="F6" s="26" t="s">
        <v>147</v>
      </c>
      <c r="G6" s="26" t="s">
        <v>148</v>
      </c>
    </row>
    <row r="7" spans="2:7" ht="27.75" customHeight="1">
      <c r="B7" s="27">
        <f>LOOKUP(2,1/(实盘组合预估净值!$B$5:$B$1000&lt;&gt;""),实盘组合预估净值!$B$5:$B$1000)</f>
        <v>0.83165656755046369</v>
      </c>
      <c r="C7" s="28">
        <f>(LOOKUP(2,1/(实盘组合预估净值!$B$5:$B$1000&lt;&gt;""),实盘组合预估净值!$B$5:$B$1000))/1-1</f>
        <v>-0.16834343244953631</v>
      </c>
      <c r="D7" s="28">
        <f>(LOOKUP(2,1/(实盘组合预估净值!$B$5:$B$1000&lt;&gt;""),实盘组合预估净值!$B$5:$B$1000)/1)^(说明!$C$17/MAX(COUNT(实盘组合预估净值!$C$5:$C$1000),1))-1</f>
        <v>-0.50741250321249742</v>
      </c>
      <c r="E7" s="29">
        <f>STDEV(实盘组合预估净值!$C$5:$C$1000)*SQRT(说明!$C$17)</f>
        <v>0.60002760221916374</v>
      </c>
      <c r="F7" s="28">
        <f>MIN(实盘组合预估净值!$D$5:$D$1000)</f>
        <v>-0.35221690385915061</v>
      </c>
      <c r="G7" s="30">
        <f>(((LOOKUP(2,1/(实盘组合预估净值!$B$5:$B$1000&lt;&gt;""),实盘组合预估净值!$B$5:$B$1000)/1)^(说明!$C$17/MAX(COUNT(实盘组合预估净值!$C$5:$C$1000),1))-1)-说明!$C$16)/IF((STDEV(实盘组合预估净值!$C$5:$C$1000)*SQRT(说明!$C$17))=0,"",(STDEV(实盘组合预估净值!$C$5:$C$1000)*SQRT(说明!$C$17)))</f>
        <v>-0.84564860239073125</v>
      </c>
    </row>
    <row r="9" spans="2:7" ht="14">
      <c r="B9" s="170" t="s">
        <v>149</v>
      </c>
      <c r="C9" s="170"/>
      <c r="D9" s="170"/>
      <c r="E9" s="170" t="s">
        <v>150</v>
      </c>
      <c r="F9" s="170"/>
      <c r="G9" s="170"/>
    </row>
    <row r="10" spans="2:7" ht="13.5" customHeight="1">
      <c r="B10" s="1" t="s">
        <v>151</v>
      </c>
      <c r="C10" s="1" t="s">
        <v>144</v>
      </c>
      <c r="D10" s="1" t="s">
        <v>145</v>
      </c>
      <c r="E10" s="172" t="s">
        <v>152</v>
      </c>
      <c r="F10" s="172"/>
      <c r="G10" s="1" t="s">
        <v>153</v>
      </c>
    </row>
    <row r="11" spans="2:7" ht="22.5" customHeight="1">
      <c r="B11" s="31" t="s">
        <v>154</v>
      </c>
      <c r="C11" s="32">
        <f>IFERROR((LOOKUP(2,1/(实盘组合预估净值!$B$5:$B$1000&lt;&gt;""),实盘组合预估净值!$B$5:$B$1000))/(1)-1,"")</f>
        <v>-0.16834343244953631</v>
      </c>
      <c r="D11" s="32">
        <f>IFERROR((LOOKUP(2,1/(实盘组合预估净值!$B$5:$B$1000&lt;&gt;""),实盘组合预估净值!$B$5:$B$1000)/(1))^(说明!$C$17/COUNT(实盘组合预估净值!$C$5:$C$1000))-1,"")</f>
        <v>-0.50741250321249742</v>
      </c>
      <c r="E11" s="171" t="s">
        <v>147</v>
      </c>
      <c r="F11" s="171"/>
      <c r="G11" s="32">
        <f>MIN(实盘组合预估净值!$D$5:$D$1000)</f>
        <v>-0.35221690385915061</v>
      </c>
    </row>
    <row r="12" spans="2:7" ht="22.5" customHeight="1">
      <c r="B12" s="33" t="s">
        <v>155</v>
      </c>
      <c r="C12" s="32">
        <f>IFERROR((LOOKUP(2,1/(实盘组合预估净值!$B$5:$B$1000&lt;&gt;""),实盘组合预估净值!$B$5:$B$1000))/(IFERROR(LOOKUP(DATE(2026,1,1),实盘组合预估净值!$A$5:$A$1000,实盘组合预估净值!$B$5:$B$1000),1))-1,"")</f>
        <v>-0.16834343244953631</v>
      </c>
      <c r="D12" s="32">
        <f>IFERROR((LOOKUP(2,1/(实盘组合预估净值!$B$5:$B$1000&lt;&gt;""),实盘组合预估净值!$B$5:$B$1000)/(IFERROR(LOOKUP(DATE(2026,1,1),实盘组合预估净值!$A$5:$A$1000,实盘组合预估净值!$B$5:$B$1000),1)))^(说明!$C$17/MAX(COUNTIF(实盘组合预估净值!$A$5:$A$1000,"&gt;="&amp;(DATE(2026,1,1))),1))-1,"")</f>
        <v>-0.49656264874054334</v>
      </c>
      <c r="E12" s="171" t="s">
        <v>156</v>
      </c>
      <c r="F12" s="171"/>
      <c r="G12" s="34">
        <f>IFERROR((LOOKUP(2,1/(实盘组合预估净值!$B$5:$B$1000&lt;&gt;""),ROW(实盘组合预估净值!$B$5:$B$1000)))-(LOOKUP(2,1/(实盘组合预估净值!$D$5:$D$1000=0),ROW(实盘组合预估净值!$D$5:$D$1000))),"")</f>
        <v>57</v>
      </c>
    </row>
    <row r="13" spans="2:7" ht="22.5" customHeight="1">
      <c r="B13" s="31" t="s">
        <v>157</v>
      </c>
      <c r="C13" s="32">
        <f>IFERROR((LOOKUP(2,1/(实盘组合预估净值!$B$5:$B$1000&lt;&gt;""),实盘组合预估净值!$B$5:$B$1000))/(IFERROR(LOOKUP(EDATE(LOOKUP(2,1/(实盘组合预估净值!$B$5:$B$1000&lt;&gt;""),实盘组合预估净值!$A$5:$A$1000),-3),实盘组合预估净值!$A$5:$A$1000,实盘组合预估净值!$B$5:$B$1000),1))-1,"")</f>
        <v>-0.16834343244953631</v>
      </c>
      <c r="D13" s="32">
        <f>IFERROR((LOOKUP(2,1/(实盘组合预估净值!$B$5:$B$1000&lt;&gt;""),实盘组合预估净值!$B$5:$B$1000)/(IFERROR(LOOKUP(EDATE(LOOKUP(2,1/(实盘组合预估净值!$B$5:$B$1000&lt;&gt;""),实盘组合预估净值!$A$5:$A$1000),-3),实盘组合预估净值!$A$5:$A$1000,实盘组合预估净值!$B$5:$B$1000),1)))^(说明!$C$17/MAX(COUNTIF(实盘组合预估净值!$A$5:$A$1000,"&gt;="&amp;(EDATE(LOOKUP(2,1/(实盘组合预估净值!$B$5:$B$1000&lt;&gt;""),实盘组合预估净值!$A$5:$A$1000),-3))),1))-1,"")</f>
        <v>-0.49656264874054334</v>
      </c>
      <c r="E13" s="171" t="s">
        <v>158</v>
      </c>
      <c r="F13" s="171"/>
      <c r="G13" s="35">
        <f>COUNTIF(实盘组合预估净值!$C$5:$C$1000,"&gt;0")/MAX(COUNT(实盘组合预估净值!$C$5:$C$1000),1)</f>
        <v>0.46031746031746029</v>
      </c>
    </row>
    <row r="14" spans="2:7" ht="22.5" customHeight="1">
      <c r="B14" s="31" t="s">
        <v>159</v>
      </c>
      <c r="C14" s="32">
        <f>IFERROR((LOOKUP(2,1/(实盘组合预估净值!$B$5:$B$1000&lt;&gt;""),实盘组合预估净值!$B$5:$B$1000))/(IFERROR(LOOKUP(EDATE(LOOKUP(2,1/(实盘组合预估净值!$B$5:$B$1000&lt;&gt;""),实盘组合预估净值!$A$5:$A$1000),-6),实盘组合预估净值!$A$5:$A$1000,实盘组合预估净值!$B$5:$B$1000),1))-1,"")</f>
        <v>-0.16834343244953631</v>
      </c>
      <c r="D14" s="32">
        <f>IFERROR((LOOKUP(2,1/(实盘组合预估净值!$B$5:$B$1000&lt;&gt;""),实盘组合预估净值!$B$5:$B$1000)/(IFERROR(LOOKUP(EDATE(LOOKUP(2,1/(实盘组合预估净值!$B$5:$B$1000&lt;&gt;""),实盘组合预估净值!$A$5:$A$1000),-6),实盘组合预估净值!$A$5:$A$1000,实盘组合预估净值!$B$5:$B$1000),1)))^(说明!$C$17/MAX(COUNTIF(实盘组合预估净值!$A$5:$A$1000,"&gt;="&amp;(EDATE(LOOKUP(2,1/(实盘组合预估净值!$B$5:$B$1000&lt;&gt;""),实盘组合预估净值!$A$5:$A$1000),-6))),1))-1,"")</f>
        <v>-0.49656264874054334</v>
      </c>
      <c r="E14" s="171" t="s">
        <v>146</v>
      </c>
      <c r="F14" s="171"/>
      <c r="G14" s="32">
        <f>STDEV(实盘组合预估净值!$C$5:$C$1000)*SQRT(说明!$C$17)</f>
        <v>0.60002760221916374</v>
      </c>
    </row>
    <row r="15" spans="2:7" ht="22.5" customHeight="1">
      <c r="B15" s="31" t="s">
        <v>160</v>
      </c>
      <c r="C15" s="32">
        <f>IFERROR((LOOKUP(2,1/(实盘组合预估净值!$B$5:$B$1000&lt;&gt;""),实盘组合预估净值!$B$5:$B$1000))/(IFERROR(LOOKUP(EDATE(LOOKUP(2,1/(实盘组合预估净值!$B$5:$B$1000&lt;&gt;""),实盘组合预估净值!$A$5:$A$1000),-12),实盘组合预估净值!$A$5:$A$1000,实盘组合预估净值!$B$5:$B$1000),1))-1,"")</f>
        <v>-0.16834343244953631</v>
      </c>
      <c r="D15" s="32">
        <f>IFERROR((LOOKUP(2,1/(实盘组合预估净值!$B$5:$B$1000&lt;&gt;""),实盘组合预估净值!$B$5:$B$1000)/(IFERROR(LOOKUP(EDATE(LOOKUP(2,1/(实盘组合预估净值!$B$5:$B$1000&lt;&gt;""),实盘组合预估净值!$A$5:$A$1000),-12),实盘组合预估净值!$A$5:$A$1000,实盘组合预估净值!$B$5:$B$1000),1)))^(说明!$C$17/MAX(COUNTIF(实盘组合预估净值!$A$5:$A$1000,"&gt;="&amp;(EDATE(LOOKUP(2,1/(实盘组合预估净值!$B$5:$B$1000&lt;&gt;""),实盘组合预估净值!$A$5:$A$1000),-12))),1))-1,"")</f>
        <v>-0.49656264874054334</v>
      </c>
      <c r="E15" s="171" t="s">
        <v>148</v>
      </c>
      <c r="F15" s="171"/>
      <c r="G15" s="36">
        <f>(((LOOKUP(2,1/(实盘组合预估净值!$B$5:$B$1000&lt;&gt;""),实盘组合预估净值!$B$5:$B$1000)/1)^(说明!$C$17/MAX(COUNT(实盘组合预估净值!$C$5:$C$1000),1))-1)-说明!$C$16)/IF((STDEV(实盘组合预估净值!$C$5:$C$1000)*SQRT(说明!$C$17))=0,"",(STDEV(实盘组合预估净值!$C$5:$C$1000)*SQRT(说明!$C$17)))</f>
        <v>-0.84564860239073125</v>
      </c>
    </row>
    <row r="16" spans="2:7" ht="22.5" customHeight="1">
      <c r="B16" s="37"/>
      <c r="C16" s="37"/>
      <c r="D16" s="37"/>
      <c r="E16" s="171" t="s">
        <v>161</v>
      </c>
      <c r="F16" s="171"/>
      <c r="G16" s="36">
        <f>IFERROR(((LOOKUP(2,1/(实盘组合预估净值!$B$5:$B$1000&lt;&gt;""),实盘组合预估净值!$B$5:$B$1000)/1)^(说明!$C$17/MAX(COUNT(实盘组合预估净值!$C$5:$C$1000),1))-1)/ABS(MIN(实盘组合预估净值!$D$5:$D$1000)),"")</f>
        <v>-1.4406250740748336</v>
      </c>
    </row>
    <row r="18" spans="2:7" ht="14">
      <c r="B18" s="170" t="s">
        <v>162</v>
      </c>
      <c r="C18" s="170"/>
      <c r="D18" s="170"/>
      <c r="E18" s="170"/>
      <c r="F18" s="170"/>
      <c r="G18" s="170"/>
    </row>
    <row r="35" spans="2:2" ht="14.25" customHeight="1">
      <c r="B35" s="10" t="s">
        <v>163</v>
      </c>
    </row>
  </sheetData>
  <mergeCells count="14">
    <mergeCell ref="E15:F15"/>
    <mergeCell ref="E16:F16"/>
    <mergeCell ref="B18:G18"/>
    <mergeCell ref="E10:F10"/>
    <mergeCell ref="E11:F11"/>
    <mergeCell ref="E12:F12"/>
    <mergeCell ref="E13:F13"/>
    <mergeCell ref="E14:F14"/>
    <mergeCell ref="B2:G2"/>
    <mergeCell ref="B3:D3"/>
    <mergeCell ref="E3:G3"/>
    <mergeCell ref="B5:G5"/>
    <mergeCell ref="B9:D9"/>
    <mergeCell ref="E9:G9"/>
  </mergeCells>
  <phoneticPr fontId="35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>
      <selection activeCell="L27" sqref="L27"/>
    </sheetView>
  </sheetViews>
  <sheetFormatPr defaultColWidth="9.453125" defaultRowHeight="12.5"/>
  <cols>
    <col min="1" max="1" width="2.1796875" customWidth="1"/>
    <col min="2" max="2" width="15.453125" customWidth="1"/>
    <col min="3" max="3" width="19.453125" customWidth="1"/>
    <col min="4" max="4" width="21.453125" customWidth="1"/>
    <col min="5" max="5" width="17.453125" customWidth="1"/>
    <col min="6" max="6" width="19.26953125" customWidth="1"/>
    <col min="7" max="7" width="18.26953125" customWidth="1"/>
    <col min="8" max="8" width="2.1796875" customWidth="1"/>
  </cols>
  <sheetData>
    <row r="2" spans="2:7" ht="20.25" customHeight="1">
      <c r="B2" s="167" t="s">
        <v>164</v>
      </c>
      <c r="C2" s="167"/>
      <c r="D2" s="167"/>
      <c r="E2" s="167"/>
      <c r="F2" s="167"/>
      <c r="G2" s="167"/>
    </row>
    <row r="3" spans="2:7" ht="14.25" customHeight="1">
      <c r="B3" s="168" t="str">
        <f>"买入持有 · 已扣年化费率 "&amp;TEXT(实盘持仓初始配置!$Z$5,"0.0%")&amp;"（折每日计入净值）"</f>
        <v>买入持有 · 已扣年化费率 1.2%（折每日计入净值）</v>
      </c>
      <c r="C3" s="168"/>
      <c r="D3" s="168"/>
      <c r="E3" s="169" t="str">
        <f>"净值日期："&amp;TEXT(LOOKUP(2,1/(实盘组合预估净值!$E$5:$E$1000&lt;&gt;""),实盘组合预估净值!$A$5:$A$1000),"yyyy-mm-dd")</f>
        <v>净值日期：2026-09-17</v>
      </c>
      <c r="F3" s="169"/>
      <c r="G3" s="169"/>
    </row>
    <row r="5" spans="2:7" ht="14">
      <c r="B5" s="170" t="s">
        <v>142</v>
      </c>
      <c r="C5" s="170"/>
      <c r="D5" s="170"/>
      <c r="E5" s="170"/>
      <c r="F5" s="170"/>
      <c r="G5" s="170"/>
    </row>
    <row r="6" spans="2:7" ht="13">
      <c r="B6" s="26" t="s">
        <v>143</v>
      </c>
      <c r="C6" s="26" t="s">
        <v>144</v>
      </c>
      <c r="D6" s="26" t="s">
        <v>145</v>
      </c>
      <c r="E6" s="26" t="s">
        <v>146</v>
      </c>
      <c r="F6" s="26" t="s">
        <v>147</v>
      </c>
      <c r="G6" s="26" t="s">
        <v>148</v>
      </c>
    </row>
    <row r="7" spans="2:7" ht="27.75" customHeight="1">
      <c r="B7" s="27">
        <f>LOOKUP(2,1/(实盘组合预估净值!$E$5:$E$1000&lt;&gt;""),实盘组合预估净值!$E$5:$E$1000)</f>
        <v>0.85131285130410705</v>
      </c>
      <c r="C7" s="28">
        <f>(LOOKUP(2,1/(实盘组合预估净值!$E$5:$E$1000&lt;&gt;""),实盘组合预估净值!$E$5:$E$1000))/1-1</f>
        <v>-0.14868714869589295</v>
      </c>
      <c r="D7" s="28">
        <f>(LOOKUP(2,1/(实盘组合预估净值!$E$5:$E$1000&lt;&gt;""),实盘组合预估净值!$E$5:$E$1000)/1)^(说明!$C$17/MAX(COUNT(实盘组合预估净值!$F$5:$F$1000),1))-1</f>
        <v>-0.45593630365683213</v>
      </c>
      <c r="E7" s="29">
        <f>STDEV(实盘组合预估净值!$F$5:$F$1000)*SQRT(说明!$C$17)</f>
        <v>0.59787483806831776</v>
      </c>
      <c r="F7" s="28">
        <f>MIN(实盘组合预估净值!$G$5:$G$1000)</f>
        <v>-0.35236862163912863</v>
      </c>
      <c r="G7" s="30">
        <f>(((LOOKUP(2,1/(实盘组合预估净值!$E$5:$E$1000&lt;&gt;""),实盘组合预估净值!$E$5:$E$1000)/1)^(说明!$C$17/MAX(COUNT(实盘组合预估净值!$F$5:$F$1000),1))-1)-说明!$C$16)/IF((STDEV(实盘组合预估净值!$F$5:$F$1000)*SQRT(说明!$C$17))=0,"",(STDEV(实盘组合预估净值!$F$5:$F$1000)*SQRT(说明!$C$17)))</f>
        <v>-0.76259490218709181</v>
      </c>
    </row>
    <row r="9" spans="2:7" ht="14">
      <c r="B9" s="170" t="s">
        <v>149</v>
      </c>
      <c r="C9" s="170"/>
      <c r="D9" s="170"/>
      <c r="E9" s="170" t="s">
        <v>150</v>
      </c>
      <c r="F9" s="170"/>
      <c r="G9" s="170"/>
    </row>
    <row r="10" spans="2:7" ht="13.5" customHeight="1">
      <c r="B10" s="1" t="s">
        <v>151</v>
      </c>
      <c r="C10" s="1" t="s">
        <v>144</v>
      </c>
      <c r="D10" s="1" t="s">
        <v>145</v>
      </c>
      <c r="E10" s="172" t="s">
        <v>152</v>
      </c>
      <c r="F10" s="172"/>
      <c r="G10" s="1" t="s">
        <v>153</v>
      </c>
    </row>
    <row r="11" spans="2:7" ht="22.5" customHeight="1">
      <c r="B11" s="31" t="s">
        <v>154</v>
      </c>
      <c r="C11" s="32">
        <f>IFERROR((LOOKUP(2,1/(实盘组合预估净值!$E$5:$E$1000&lt;&gt;""),实盘组合预估净值!$E$5:$E$1000))/(1)-1,"")</f>
        <v>-0.14868714869589295</v>
      </c>
      <c r="D11" s="32">
        <f>IFERROR((LOOKUP(2,1/(实盘组合预估净值!$E$5:$E$1000&lt;&gt;""),实盘组合预估净值!$E$5:$E$1000)/(1))^(说明!$C$17/COUNT(实盘组合预估净值!$F$5:$F$1000))-1,"")</f>
        <v>-0.45593630365683213</v>
      </c>
      <c r="E11" s="171" t="s">
        <v>147</v>
      </c>
      <c r="F11" s="171"/>
      <c r="G11" s="32">
        <f>MIN(实盘组合预估净值!$G$5:$G$1000)</f>
        <v>-0.35236862163912863</v>
      </c>
    </row>
    <row r="12" spans="2:7" ht="22.5" customHeight="1">
      <c r="B12" s="33" t="s">
        <v>155</v>
      </c>
      <c r="C12" s="32">
        <f>IFERROR((LOOKUP(2,1/(实盘组合预估净值!$E$5:$E$1000&lt;&gt;""),实盘组合预估净值!$E$5:$E$1000))/(IFERROR(LOOKUP(DATE(2026,1,1),实盘组合预估净值!$A$5:$A$1000,实盘组合预估净值!$E$5:$E$1000),1))-1,"")</f>
        <v>-0.14868714869589295</v>
      </c>
      <c r="D12" s="32">
        <f>IFERROR((LOOKUP(2,1/(实盘组合预估净值!$E$5:$E$1000&lt;&gt;""),实盘组合预估净值!$E$5:$E$1000)/(IFERROR(LOOKUP(DATE(2026,1,1),实盘组合预估净值!$A$5:$A$1000,实盘组合预估净值!$E$5:$E$1000),1)))^(说明!$C$17/MAX(COUNTIF(实盘组合预估净值!$A$5:$A$1000,"&gt;="&amp;(DATE(2026,1,1))),1))-1,"")</f>
        <v>-0.45081751900272227</v>
      </c>
      <c r="E12" s="171" t="s">
        <v>156</v>
      </c>
      <c r="F12" s="171"/>
      <c r="G12" s="34">
        <f>IFERROR((LOOKUP(2,1/(实盘组合预估净值!$E$5:$E$1000&lt;&gt;""),ROW(实盘组合预估净值!$E$5:$E$1000)))-(LOOKUP(2,1/(实盘组合预估净值!$G$5:$G$1000=0),ROW(实盘组合预估净值!$G$5:$G$1000))),"")</f>
        <v>57</v>
      </c>
    </row>
    <row r="13" spans="2:7" ht="22.5" customHeight="1">
      <c r="B13" s="31" t="s">
        <v>157</v>
      </c>
      <c r="C13" s="32">
        <f>IFERROR((LOOKUP(2,1/(实盘组合预估净值!$E$5:$E$1000&lt;&gt;""),实盘组合预估净值!$E$5:$E$1000))/(IFERROR(LOOKUP(EDATE(LOOKUP(2,1/(实盘组合预估净值!$E$5:$E$1000&lt;&gt;""),实盘组合预估净值!$A$5:$A$1000),-3),实盘组合预估净值!$A$5:$A$1000,实盘组合预估净值!$E$5:$E$1000),1))-1,"")</f>
        <v>-0.14868714869589295</v>
      </c>
      <c r="D13" s="32">
        <f>IFERROR((LOOKUP(2,1/(实盘组合预估净值!$E$5:$E$1000&lt;&gt;""),实盘组合预估净值!$E$5:$E$1000)/(IFERROR(LOOKUP(EDATE(LOOKUP(2,1/(实盘组合预估净值!$E$5:$E$1000&lt;&gt;""),实盘组合预估净值!$A$5:$A$1000),-3),实盘组合预估净值!$A$5:$A$1000,实盘组合预估净值!$E$5:$E$1000),1)))^(说明!$C$17/MAX(COUNTIF(实盘组合预估净值!$A$5:$A$1000,"&gt;="&amp;(EDATE(LOOKUP(2,1/(实盘组合预估净值!$E$5:$E$1000&lt;&gt;""),实盘组合预估净值!$A$5:$A$1000),-3))),1))-1,"")</f>
        <v>-0.45081751900272227</v>
      </c>
      <c r="E13" s="171" t="s">
        <v>158</v>
      </c>
      <c r="F13" s="171"/>
      <c r="G13" s="35">
        <f>COUNTIF(实盘组合预估净值!$F$5:$F$1000,"&gt;0")/MAX(COUNT(实盘组合预估净值!$F$5:$F$1000),1)</f>
        <v>0.46875</v>
      </c>
    </row>
    <row r="14" spans="2:7" ht="22.5" customHeight="1">
      <c r="B14" s="31" t="s">
        <v>159</v>
      </c>
      <c r="C14" s="32">
        <f>IFERROR((LOOKUP(2,1/(实盘组合预估净值!$E$5:$E$1000&lt;&gt;""),实盘组合预估净值!$E$5:$E$1000))/(IFERROR(LOOKUP(EDATE(LOOKUP(2,1/(实盘组合预估净值!$E$5:$E$1000&lt;&gt;""),实盘组合预估净值!$A$5:$A$1000),-6),实盘组合预估净值!$A$5:$A$1000,实盘组合预估净值!$E$5:$E$1000),1))-1,"")</f>
        <v>-0.14868714869589295</v>
      </c>
      <c r="D14" s="32">
        <f>IFERROR((LOOKUP(2,1/(实盘组合预估净值!$E$5:$E$1000&lt;&gt;""),实盘组合预估净值!$E$5:$E$1000)/(IFERROR(LOOKUP(EDATE(LOOKUP(2,1/(实盘组合预估净值!$E$5:$E$1000&lt;&gt;""),实盘组合预估净值!$A$5:$A$1000),-6),实盘组合预估净值!$A$5:$A$1000,实盘组合预估净值!$E$5:$E$1000),1)))^(说明!$C$17/MAX(COUNTIF(实盘组合预估净值!$A$5:$A$1000,"&gt;="&amp;(EDATE(LOOKUP(2,1/(实盘组合预估净值!$E$5:$E$1000&lt;&gt;""),实盘组合预估净值!$A$5:$A$1000),-6))),1))-1,"")</f>
        <v>-0.45081751900272227</v>
      </c>
      <c r="E14" s="171" t="s">
        <v>146</v>
      </c>
      <c r="F14" s="171"/>
      <c r="G14" s="32">
        <f>STDEV(实盘组合预估净值!$F$5:$F$1000)*SQRT(说明!$C$17)</f>
        <v>0.59787483806831776</v>
      </c>
    </row>
    <row r="15" spans="2:7" ht="22.5" customHeight="1">
      <c r="B15" s="31" t="s">
        <v>160</v>
      </c>
      <c r="C15" s="32">
        <f>IFERROR((LOOKUP(2,1/(实盘组合预估净值!$E$5:$E$1000&lt;&gt;""),实盘组合预估净值!$E$5:$E$1000))/(IFERROR(LOOKUP(EDATE(LOOKUP(2,1/(实盘组合预估净值!$E$5:$E$1000&lt;&gt;""),实盘组合预估净值!$A$5:$A$1000),-12),实盘组合预估净值!$A$5:$A$1000,实盘组合预估净值!$E$5:$E$1000),1))-1,"")</f>
        <v>-0.14868714869589295</v>
      </c>
      <c r="D15" s="32">
        <f>IFERROR((LOOKUP(2,1/(实盘组合预估净值!$E$5:$E$1000&lt;&gt;""),实盘组合预估净值!$E$5:$E$1000)/(IFERROR(LOOKUP(EDATE(LOOKUP(2,1/(实盘组合预估净值!$E$5:$E$1000&lt;&gt;""),实盘组合预估净值!$A$5:$A$1000),-12),实盘组合预估净值!$A$5:$A$1000,实盘组合预估净值!$E$5:$E$1000),1)))^(说明!$C$17/MAX(COUNTIF(实盘组合预估净值!$A$5:$A$1000,"&gt;="&amp;(EDATE(LOOKUP(2,1/(实盘组合预估净值!$E$5:$E$1000&lt;&gt;""),实盘组合预估净值!$A$5:$A$1000),-12))),1))-1,"")</f>
        <v>-0.45081751900272227</v>
      </c>
      <c r="E15" s="171" t="s">
        <v>148</v>
      </c>
      <c r="F15" s="171"/>
      <c r="G15" s="36">
        <f>(((LOOKUP(2,1/(实盘组合预估净值!$E$5:$E$1000&lt;&gt;""),实盘组合预估净值!$E$5:$E$1000)/1)^(说明!$C$17/MAX(COUNT(实盘组合预估净值!$F$5:$F$1000),1))-1)-说明!$C$16)/IF((STDEV(实盘组合预估净值!$F$5:$F$1000)*SQRT(说明!$C$17))=0,"",(STDEV(实盘组合预估净值!$F$5:$F$1000)*SQRT(说明!$C$17)))</f>
        <v>-0.76259490218709181</v>
      </c>
    </row>
    <row r="16" spans="2:7" ht="22.5" customHeight="1">
      <c r="B16" s="37"/>
      <c r="C16" s="37"/>
      <c r="D16" s="37"/>
      <c r="E16" s="171" t="s">
        <v>161</v>
      </c>
      <c r="F16" s="171"/>
      <c r="G16" s="36">
        <f>IFERROR(((LOOKUP(2,1/(实盘组合预估净值!$E$5:$E$1000&lt;&gt;""),实盘组合预估净值!$E$5:$E$1000)/1)^(说明!$C$17/MAX(COUNT(实盘组合预估净值!$F$5:$F$1000),1))-1)/ABS(MIN(实盘组合预估净值!$G$5:$G$1000)),"")</f>
        <v>-1.2939185717954487</v>
      </c>
    </row>
    <row r="18" spans="2:7" ht="14">
      <c r="B18" s="170" t="s">
        <v>162</v>
      </c>
      <c r="C18" s="170"/>
      <c r="D18" s="170"/>
      <c r="E18" s="170"/>
      <c r="F18" s="170"/>
      <c r="G18" s="170"/>
    </row>
    <row r="35" spans="2:2" ht="14.25" customHeight="1">
      <c r="B35" s="10" t="s">
        <v>163</v>
      </c>
    </row>
  </sheetData>
  <mergeCells count="14">
    <mergeCell ref="E15:F15"/>
    <mergeCell ref="E16:F16"/>
    <mergeCell ref="B18:G18"/>
    <mergeCell ref="E10:F10"/>
    <mergeCell ref="E11:F11"/>
    <mergeCell ref="E12:F12"/>
    <mergeCell ref="E13:F13"/>
    <mergeCell ref="E14:F14"/>
    <mergeCell ref="B2:G2"/>
    <mergeCell ref="B3:D3"/>
    <mergeCell ref="E3:G3"/>
    <mergeCell ref="B5:G5"/>
    <mergeCell ref="B9:D9"/>
    <mergeCell ref="E9:G9"/>
  </mergeCells>
  <phoneticPr fontId="35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topLeftCell="A3" workbookViewId="0">
      <selection activeCell="L25" sqref="L25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27.26953125" customWidth="1"/>
    <col min="5" max="5" width="17.453125" customWidth="1"/>
    <col min="6" max="6" width="19.26953125" customWidth="1"/>
    <col min="7" max="7" width="19.1796875" customWidth="1"/>
    <col min="8" max="8" width="2.1796875" customWidth="1"/>
  </cols>
  <sheetData>
    <row r="2" spans="2:7" ht="20.25" customHeight="1">
      <c r="B2" s="167" t="s">
        <v>165</v>
      </c>
      <c r="C2" s="167"/>
      <c r="D2" s="167"/>
      <c r="E2" s="167"/>
      <c r="F2" s="167"/>
      <c r="G2" s="167"/>
    </row>
    <row r="3" spans="2:7" ht="14.25" customHeight="1">
      <c r="B3" s="168" t="str">
        <f>"买入持有 · 已扣年化费率 "&amp;TEXT(实盘持仓初始配置!$Z$6,"0.0%")&amp;"（折每日计入净值）"</f>
        <v>买入持有 · 已扣年化费率 1.5%（折每日计入净值）</v>
      </c>
      <c r="C3" s="168"/>
      <c r="D3" s="168"/>
      <c r="E3" s="169" t="str">
        <f>"净值日期："&amp;TEXT(LOOKUP(2,1/(实盘组合预估净值!$H$5:$H$1000&lt;&gt;""),实盘组合预估净值!$A$5:$A$1000),"yyyy-mm-dd")</f>
        <v>净值日期：2026-09-17</v>
      </c>
      <c r="F3" s="169"/>
      <c r="G3" s="169"/>
    </row>
    <row r="5" spans="2:7" ht="14">
      <c r="B5" s="170" t="s">
        <v>142</v>
      </c>
      <c r="C5" s="170"/>
      <c r="D5" s="170"/>
      <c r="E5" s="170"/>
      <c r="F5" s="170"/>
      <c r="G5" s="170"/>
    </row>
    <row r="6" spans="2:7" ht="13">
      <c r="B6" s="26" t="s">
        <v>143</v>
      </c>
      <c r="C6" s="26" t="s">
        <v>144</v>
      </c>
      <c r="D6" s="26" t="s">
        <v>145</v>
      </c>
      <c r="E6" s="26" t="s">
        <v>146</v>
      </c>
      <c r="F6" s="26" t="s">
        <v>147</v>
      </c>
      <c r="G6" s="26" t="s">
        <v>148</v>
      </c>
    </row>
    <row r="7" spans="2:7" ht="27.75" customHeight="1">
      <c r="B7" s="27">
        <f>LOOKUP(2,1/(实盘组合预估净值!$H$5:$H$1000&lt;&gt;""),实盘组合预估净值!$H$5:$H$1000)</f>
        <v>0.84189855351013876</v>
      </c>
      <c r="C7" s="28">
        <f>(LOOKUP(2,1/(实盘组合预估净值!$H$5:$H$1000&lt;&gt;""),实盘组合预估净值!$H$5:$H$1000))/1-1</f>
        <v>-0.15810144648986124</v>
      </c>
      <c r="D7" s="28">
        <f>(LOOKUP(2,1/(实盘组合预估净值!$H$5:$H$1000&lt;&gt;""),实盘组合预估净值!$H$5:$H$1000)/1)^(说明!$C$17/MAX(COUNT(实盘组合预估净值!$I$5:$I$1000),1))-1</f>
        <v>-0.48917519308916479</v>
      </c>
      <c r="E7" s="29">
        <f>STDEV(实盘组合预估净值!$I$5:$I$1000)*SQRT(说明!$C$17)</f>
        <v>0.59059634366385572</v>
      </c>
      <c r="F7" s="28">
        <f>MIN(实盘组合预估净值!$J$5:$J$1000)</f>
        <v>-0.34135059378539634</v>
      </c>
      <c r="G7" s="30">
        <f>(((LOOKUP(2,1/(实盘组合预估净值!$H$5:$H$1000&lt;&gt;""),实盘组合预估净值!$H$5:$H$1000)/1)^(说明!$C$17/MAX(COUNT(实盘组合预估净值!$I$5:$I$1000),1))-1)-说明!$C$16)/IF((STDEV(实盘组合预估净值!$I$5:$I$1000)*SQRT(说明!$C$17))=0,"",(STDEV(实盘组合预估净值!$I$5:$I$1000)*SQRT(说明!$C$17)))</f>
        <v>-0.82827331787137537</v>
      </c>
    </row>
    <row r="9" spans="2:7" ht="14">
      <c r="B9" s="170" t="s">
        <v>149</v>
      </c>
      <c r="C9" s="170"/>
      <c r="D9" s="170"/>
      <c r="E9" s="170" t="s">
        <v>150</v>
      </c>
      <c r="F9" s="170"/>
      <c r="G9" s="170"/>
    </row>
    <row r="10" spans="2:7" ht="13.5" customHeight="1">
      <c r="B10" s="1" t="s">
        <v>151</v>
      </c>
      <c r="C10" s="1" t="s">
        <v>144</v>
      </c>
      <c r="D10" s="1" t="s">
        <v>145</v>
      </c>
      <c r="E10" s="172" t="s">
        <v>152</v>
      </c>
      <c r="F10" s="172"/>
      <c r="G10" s="1" t="s">
        <v>153</v>
      </c>
    </row>
    <row r="11" spans="2:7" ht="22.5" customHeight="1">
      <c r="B11" s="31" t="s">
        <v>154</v>
      </c>
      <c r="C11" s="32">
        <f>IFERROR((LOOKUP(2,1/(实盘组合预估净值!$H$5:$H$1000&lt;&gt;""),实盘组合预估净值!$H$5:$H$1000))/(1)-1,"")</f>
        <v>-0.15810144648986124</v>
      </c>
      <c r="D11" s="32">
        <f>IFERROR((LOOKUP(2,1/(实盘组合预估净值!$H$5:$H$1000&lt;&gt;""),实盘组合预估净值!$H$5:$H$1000)/(1))^(说明!$C$17/COUNT(实盘组合预估净值!$I$5:$I$1000))-1,"")</f>
        <v>-0.48917519308916479</v>
      </c>
      <c r="E11" s="171" t="s">
        <v>147</v>
      </c>
      <c r="F11" s="171"/>
      <c r="G11" s="32">
        <f>MIN(实盘组合预估净值!$J$5:$J$1000)</f>
        <v>-0.34135059378539634</v>
      </c>
    </row>
    <row r="12" spans="2:7" ht="22.5" customHeight="1">
      <c r="B12" s="33" t="s">
        <v>155</v>
      </c>
      <c r="C12" s="32">
        <f>IFERROR((LOOKUP(2,1/(实盘组合预估净值!$H$5:$H$1000&lt;&gt;""),实盘组合预估净值!$H$5:$H$1000))/(IFERROR(LOOKUP(DATE(2026,1,1),实盘组合预估净值!$A$5:$A$1000,实盘组合预估净值!$H$5:$H$1000),1))-1,"")</f>
        <v>-0.15810144648986124</v>
      </c>
      <c r="D12" s="32">
        <f>IFERROR((LOOKUP(2,1/(实盘组合预估净值!$H$5:$H$1000&lt;&gt;""),实盘组合预估净值!$H$5:$H$1000)/(IFERROR(LOOKUP(DATE(2026,1,1),实盘组合预估净值!$A$5:$A$1000,实盘组合预估净值!$H$5:$H$1000),1)))^(说明!$C$17/MAX(COUNTIF(实盘组合预估净值!$A$5:$A$1000,"&gt;="&amp;(DATE(2026,1,1))),1))-1,"")</f>
        <v>-0.4730901107107981</v>
      </c>
      <c r="E12" s="171" t="s">
        <v>156</v>
      </c>
      <c r="F12" s="171"/>
      <c r="G12" s="34">
        <f>IFERROR((LOOKUP(2,1/(实盘组合预估净值!$H$5:$H$1000&lt;&gt;""),ROW(实盘组合预估净值!$H$5:$H$1000)))-(LOOKUP(2,1/(实盘组合预估净值!$J$5:$J$1000=0),ROW(实盘组合预估净值!$J$5:$J$1000))),"")</f>
        <v>57</v>
      </c>
    </row>
    <row r="13" spans="2:7" ht="22.5" customHeight="1">
      <c r="B13" s="31" t="s">
        <v>157</v>
      </c>
      <c r="C13" s="32">
        <f>IFERROR((LOOKUP(2,1/(实盘组合预估净值!$H$5:$H$1000&lt;&gt;""),实盘组合预估净值!$H$5:$H$1000))/(IFERROR(LOOKUP(EDATE(LOOKUP(2,1/(实盘组合预估净值!$H$5:$H$1000&lt;&gt;""),实盘组合预估净值!$A$5:$A$1000),-3),实盘组合预估净值!$A$5:$A$1000,实盘组合预估净值!$H$5:$H$1000),1))-1,"")</f>
        <v>-0.15810144648986124</v>
      </c>
      <c r="D13" s="32">
        <f>IFERROR((LOOKUP(2,1/(实盘组合预估净值!$H$5:$H$1000&lt;&gt;""),实盘组合预估净值!$H$5:$H$1000)/(IFERROR(LOOKUP(EDATE(LOOKUP(2,1/(实盘组合预估净值!$H$5:$H$1000&lt;&gt;""),实盘组合预估净值!$A$5:$A$1000),-3),实盘组合预估净值!$A$5:$A$1000,实盘组合预估净值!$H$5:$H$1000),1)))^(说明!$C$17/MAX(COUNTIF(实盘组合预估净值!$A$5:$A$1000,"&gt;="&amp;(EDATE(LOOKUP(2,1/(实盘组合预估净值!$H$5:$H$1000&lt;&gt;""),实盘组合预估净值!$A$5:$A$1000),-3))),1))-1,"")</f>
        <v>-0.4730901107107981</v>
      </c>
      <c r="E13" s="171" t="s">
        <v>158</v>
      </c>
      <c r="F13" s="171"/>
      <c r="G13" s="35">
        <f>COUNTIF(实盘组合预估净值!$I$5:$I$1000,"&gt;0")/MAX(COUNT(实盘组合预估净值!$I$5:$I$1000),1)</f>
        <v>0.46774193548387094</v>
      </c>
    </row>
    <row r="14" spans="2:7" ht="22.5" customHeight="1">
      <c r="B14" s="31" t="s">
        <v>159</v>
      </c>
      <c r="C14" s="32">
        <f>IFERROR((LOOKUP(2,1/(实盘组合预估净值!$H$5:$H$1000&lt;&gt;""),实盘组合预估净值!$H$5:$H$1000))/(IFERROR(LOOKUP(EDATE(LOOKUP(2,1/(实盘组合预估净值!$H$5:$H$1000&lt;&gt;""),实盘组合预估净值!$A$5:$A$1000),-6),实盘组合预估净值!$A$5:$A$1000,实盘组合预估净值!$H$5:$H$1000),1))-1,"")</f>
        <v>-0.15810144648986124</v>
      </c>
      <c r="D14" s="32">
        <f>IFERROR((LOOKUP(2,1/(实盘组合预估净值!$H$5:$H$1000&lt;&gt;""),实盘组合预估净值!$H$5:$H$1000)/(IFERROR(LOOKUP(EDATE(LOOKUP(2,1/(实盘组合预估净值!$H$5:$H$1000&lt;&gt;""),实盘组合预估净值!$A$5:$A$1000),-6),实盘组合预估净值!$A$5:$A$1000,实盘组合预估净值!$H$5:$H$1000),1)))^(说明!$C$17/MAX(COUNTIF(实盘组合预估净值!$A$5:$A$1000,"&gt;="&amp;(EDATE(LOOKUP(2,1/(实盘组合预估净值!$H$5:$H$1000&lt;&gt;""),实盘组合预估净值!$A$5:$A$1000),-6))),1))-1,"")</f>
        <v>-0.4730901107107981</v>
      </c>
      <c r="E14" s="171" t="s">
        <v>146</v>
      </c>
      <c r="F14" s="171"/>
      <c r="G14" s="32">
        <f>STDEV(实盘组合预估净值!$I$5:$I$1000)*SQRT(说明!$C$17)</f>
        <v>0.59059634366385572</v>
      </c>
    </row>
    <row r="15" spans="2:7" ht="22.5" customHeight="1">
      <c r="B15" s="31" t="s">
        <v>160</v>
      </c>
      <c r="C15" s="32">
        <f>IFERROR((LOOKUP(2,1/(实盘组合预估净值!$H$5:$H$1000&lt;&gt;""),实盘组合预估净值!$H$5:$H$1000))/(IFERROR(LOOKUP(EDATE(LOOKUP(2,1/(实盘组合预估净值!$H$5:$H$1000&lt;&gt;""),实盘组合预估净值!$A$5:$A$1000),-12),实盘组合预估净值!$A$5:$A$1000,实盘组合预估净值!$H$5:$H$1000),1))-1,"")</f>
        <v>-0.15810144648986124</v>
      </c>
      <c r="D15" s="32">
        <f>IFERROR((LOOKUP(2,1/(实盘组合预估净值!$H$5:$H$1000&lt;&gt;""),实盘组合预估净值!$H$5:$H$1000)/(IFERROR(LOOKUP(EDATE(LOOKUP(2,1/(实盘组合预估净值!$H$5:$H$1000&lt;&gt;""),实盘组合预估净值!$A$5:$A$1000),-12),实盘组合预估净值!$A$5:$A$1000,实盘组合预估净值!$H$5:$H$1000),1)))^(说明!$C$17/MAX(COUNTIF(实盘组合预估净值!$A$5:$A$1000,"&gt;="&amp;(EDATE(LOOKUP(2,1/(实盘组合预估净值!$H$5:$H$1000&lt;&gt;""),实盘组合预估净值!$A$5:$A$1000),-12))),1))-1,"")</f>
        <v>-0.4730901107107981</v>
      </c>
      <c r="E15" s="171" t="s">
        <v>148</v>
      </c>
      <c r="F15" s="171"/>
      <c r="G15" s="36">
        <f>(((LOOKUP(2,1/(实盘组合预估净值!$H$5:$H$1000&lt;&gt;""),实盘组合预估净值!$H$5:$H$1000)/1)^(说明!$C$17/MAX(COUNT(实盘组合预估净值!$I$5:$I$1000),1))-1)-说明!$C$16)/IF((STDEV(实盘组合预估净值!$I$5:$I$1000)*SQRT(说明!$C$17))=0,"",(STDEV(实盘组合预估净值!$I$5:$I$1000)*SQRT(说明!$C$17)))</f>
        <v>-0.82827331787137537</v>
      </c>
    </row>
    <row r="16" spans="2:7" ht="22.5" customHeight="1">
      <c r="B16" s="37"/>
      <c r="C16" s="37"/>
      <c r="D16" s="37"/>
      <c r="E16" s="171" t="s">
        <v>161</v>
      </c>
      <c r="F16" s="171"/>
      <c r="G16" s="36">
        <f>IFERROR(((LOOKUP(2,1/(实盘组合预估净值!$H$5:$H$1000&lt;&gt;""),实盘组合预估净值!$H$5:$H$1000)/1)^(说明!$C$17/MAX(COUNT(实盘组合预估净值!$I$5:$I$1000),1))-1)/ABS(MIN(实盘组合预估净值!$J$5:$J$1000)),"")</f>
        <v>-1.4330579820133673</v>
      </c>
    </row>
    <row r="18" spans="2:7" ht="14">
      <c r="B18" s="170" t="s">
        <v>162</v>
      </c>
      <c r="C18" s="170"/>
      <c r="D18" s="170"/>
      <c r="E18" s="170"/>
      <c r="F18" s="170"/>
      <c r="G18" s="170"/>
    </row>
    <row r="35" spans="2:2" ht="14.25" customHeight="1">
      <c r="B35" s="10" t="s">
        <v>163</v>
      </c>
    </row>
  </sheetData>
  <mergeCells count="14">
    <mergeCell ref="E15:F15"/>
    <mergeCell ref="E16:F16"/>
    <mergeCell ref="B18:G18"/>
    <mergeCell ref="E10:F10"/>
    <mergeCell ref="E11:F11"/>
    <mergeCell ref="E12:F12"/>
    <mergeCell ref="E13:F13"/>
    <mergeCell ref="E14:F14"/>
    <mergeCell ref="B2:G2"/>
    <mergeCell ref="B3:D3"/>
    <mergeCell ref="E3:G3"/>
    <mergeCell ref="B5:G5"/>
    <mergeCell ref="B9:D9"/>
    <mergeCell ref="E9:G9"/>
  </mergeCells>
  <phoneticPr fontId="35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>
      <selection activeCell="J34" sqref="J34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18.81640625" customWidth="1"/>
    <col min="5" max="5" width="21.26953125" customWidth="1"/>
    <col min="6" max="6" width="16.453125" customWidth="1"/>
    <col min="7" max="7" width="19.453125" customWidth="1"/>
    <col min="8" max="8" width="2.1796875" customWidth="1"/>
  </cols>
  <sheetData>
    <row r="2" spans="2:7" ht="20.25" customHeight="1">
      <c r="B2" s="167" t="s">
        <v>166</v>
      </c>
      <c r="C2" s="167"/>
      <c r="D2" s="167"/>
      <c r="E2" s="167"/>
      <c r="F2" s="167"/>
      <c r="G2" s="167"/>
    </row>
    <row r="3" spans="2:7" ht="14.25" customHeight="1">
      <c r="B3" s="168" t="str">
        <f>"买入持有 · 已扣年化费率 "&amp;TEXT(实盘持仓初始配置!$Z$7,"0.0%")&amp;"（折每日计入净值）"</f>
        <v>买入持有 · 已扣年化费率 0.8%（折每日计入净值）</v>
      </c>
      <c r="C3" s="168"/>
      <c r="D3" s="168"/>
      <c r="E3" s="169" t="str">
        <f>"净值日期："&amp;TEXT(LOOKUP(2,1/(实盘组合预估净值!$K$5:$K$1000&lt;&gt;""),实盘组合预估净值!$A$5:$A$1000),"yyyy-mm-dd")</f>
        <v>净值日期：2026-09-17</v>
      </c>
      <c r="F3" s="169"/>
      <c r="G3" s="169"/>
    </row>
    <row r="5" spans="2:7" ht="14">
      <c r="B5" s="170" t="s">
        <v>142</v>
      </c>
      <c r="C5" s="170"/>
      <c r="D5" s="170"/>
      <c r="E5" s="170"/>
      <c r="F5" s="170"/>
      <c r="G5" s="170"/>
    </row>
    <row r="6" spans="2:7" ht="13">
      <c r="B6" s="26" t="s">
        <v>143</v>
      </c>
      <c r="C6" s="26" t="s">
        <v>144</v>
      </c>
      <c r="D6" s="26" t="s">
        <v>145</v>
      </c>
      <c r="E6" s="26" t="s">
        <v>146</v>
      </c>
      <c r="F6" s="26" t="s">
        <v>147</v>
      </c>
      <c r="G6" s="26" t="s">
        <v>148</v>
      </c>
    </row>
    <row r="7" spans="2:7" ht="27.75" customHeight="1">
      <c r="B7" s="27">
        <f>LOOKUP(2,1/(实盘组合预估净值!$K$5:$K$1000&lt;&gt;""),实盘组合预估净值!$K$5:$K$1000)</f>
        <v>0.99200358671375266</v>
      </c>
      <c r="C7" s="28">
        <f>(LOOKUP(2,1/(实盘组合预估净值!$K$5:$K$1000&lt;&gt;""),实盘组合预估净值!$K$5:$K$1000))/1-1</f>
        <v>-7.9964132862473392E-3</v>
      </c>
      <c r="D7" s="28">
        <f>(LOOKUP(2,1/(实盘组合预估净值!$K$5:$K$1000&lt;&gt;""),实盘组合预估净值!$K$5:$K$1000)/1)^(说明!$C$17/MAX(COUNT(实盘组合预估净值!$L$5:$L$1000),1))-1</f>
        <v>-3.1349092824148217E-2</v>
      </c>
      <c r="E7" s="29">
        <f>STDEV(实盘组合预估净值!$L$5:$L$1000)*SQRT(说明!$C$17)</f>
        <v>4.8914460316489577E-2</v>
      </c>
      <c r="F7" s="28">
        <f>MIN(实盘组合预估净值!$M$5:$M$1000)</f>
        <v>-2.7061955764950518E-2</v>
      </c>
      <c r="G7" s="30">
        <f>(((LOOKUP(2,1/(实盘组合预估净值!$K$5:$K$1000&lt;&gt;""),实盘组合预估净值!$K$5:$K$1000)/1)^(说明!$C$17/MAX(COUNT(实盘组合预估净值!$L$5:$L$1000),1))-1)-说明!$C$16)/IF((STDEV(实盘组合预估净值!$L$5:$L$1000)*SQRT(说明!$C$17))=0,"",(STDEV(实盘组合预估净值!$L$5:$L$1000)*SQRT(说明!$C$17)))</f>
        <v>-0.6408962221255482</v>
      </c>
    </row>
    <row r="9" spans="2:7" ht="14">
      <c r="B9" s="170" t="s">
        <v>149</v>
      </c>
      <c r="C9" s="170"/>
      <c r="D9" s="170"/>
      <c r="E9" s="170" t="s">
        <v>150</v>
      </c>
      <c r="F9" s="170"/>
      <c r="G9" s="170"/>
    </row>
    <row r="10" spans="2:7" ht="13.5" customHeight="1">
      <c r="B10" s="1" t="s">
        <v>151</v>
      </c>
      <c r="C10" s="1" t="s">
        <v>144</v>
      </c>
      <c r="D10" s="1" t="s">
        <v>145</v>
      </c>
      <c r="E10" s="172" t="s">
        <v>152</v>
      </c>
      <c r="F10" s="172"/>
      <c r="G10" s="1" t="s">
        <v>153</v>
      </c>
    </row>
    <row r="11" spans="2:7" ht="22.5" customHeight="1">
      <c r="B11" s="31" t="s">
        <v>154</v>
      </c>
      <c r="C11" s="32">
        <f>IFERROR((LOOKUP(2,1/(实盘组合预估净值!$K$5:$K$1000&lt;&gt;""),实盘组合预估净值!$K$5:$K$1000))/(1)-1,"")</f>
        <v>-7.9964132862473392E-3</v>
      </c>
      <c r="D11" s="32">
        <f>IFERROR((LOOKUP(2,1/(实盘组合预估净值!$K$5:$K$1000&lt;&gt;""),实盘组合预估净值!$K$5:$K$1000)/(1))^(说明!$C$17/COUNT(实盘组合预估净值!$L$5:$L$1000))-1,"")</f>
        <v>-3.1349092824148217E-2</v>
      </c>
      <c r="E11" s="171" t="s">
        <v>147</v>
      </c>
      <c r="F11" s="171"/>
      <c r="G11" s="32">
        <f>MIN(实盘组合预估净值!$M$5:$M$1000)</f>
        <v>-2.7061955764950518E-2</v>
      </c>
    </row>
    <row r="12" spans="2:7" ht="22.5" customHeight="1">
      <c r="B12" s="33" t="s">
        <v>155</v>
      </c>
      <c r="C12" s="32">
        <f>IFERROR((LOOKUP(2,1/(实盘组合预估净值!$K$5:$K$1000&lt;&gt;""),实盘组合预估净值!$K$5:$K$1000))/(IFERROR(LOOKUP(DATE(2026,1,1),实盘组合预估净值!$A$5:$A$1000,实盘组合预估净值!$K$5:$K$1000),1))-1,"")</f>
        <v>-7.9964132862473392E-3</v>
      </c>
      <c r="D12" s="32">
        <f>IFERROR((LOOKUP(2,1/(实盘组合预估净值!$K$5:$K$1000&lt;&gt;""),实盘组合预估净值!$K$5:$K$1000)/(IFERROR(LOOKUP(DATE(2026,1,1),实盘组合预估净值!$A$5:$A$1000,实盘组合预估净值!$K$5:$K$1000),1)))^(说明!$C$17/MAX(COUNTIF(实盘组合预估净值!$A$5:$A$1000,"&gt;="&amp;(DATE(2026,1,1))),1))-1,"")</f>
        <v>-2.9448615942264444E-2</v>
      </c>
      <c r="E12" s="171" t="s">
        <v>156</v>
      </c>
      <c r="F12" s="171"/>
      <c r="G12" s="34">
        <f>IFERROR((LOOKUP(2,1/(实盘组合预估净值!$K$5:$K$1000&lt;&gt;""),ROW(实盘组合预估净值!$K$5:$K$1000)))-(LOOKUP(2,1/(实盘组合预估净值!$M$5:$M$1000=0),ROW(实盘组合预估净值!$M$5:$M$1000))),"")</f>
        <v>57</v>
      </c>
    </row>
    <row r="13" spans="2:7" ht="22.5" customHeight="1">
      <c r="B13" s="31" t="s">
        <v>157</v>
      </c>
      <c r="C13" s="32">
        <f>IFERROR((LOOKUP(2,1/(实盘组合预估净值!$K$5:$K$1000&lt;&gt;""),实盘组合预估净值!$K$5:$K$1000))/(IFERROR(LOOKUP(EDATE(LOOKUP(2,1/(实盘组合预估净值!$K$5:$K$1000&lt;&gt;""),实盘组合预估净值!$A$5:$A$1000),-3),实盘组合预估净值!$A$5:$A$1000,实盘组合预估净值!$K$5:$K$1000),1))-1,"")</f>
        <v>-7.9964132862473392E-3</v>
      </c>
      <c r="D13" s="32">
        <f>IFERROR((LOOKUP(2,1/(实盘组合预估净值!$K$5:$K$1000&lt;&gt;""),实盘组合预估净值!$K$5:$K$1000)/(IFERROR(LOOKUP(EDATE(LOOKUP(2,1/(实盘组合预估净值!$K$5:$K$1000&lt;&gt;""),实盘组合预估净值!$A$5:$A$1000),-3),实盘组合预估净值!$A$5:$A$1000,实盘组合预估净值!$K$5:$K$1000),1)))^(说明!$C$17/MAX(COUNTIF(实盘组合预估净值!$A$5:$A$1000,"&gt;="&amp;(EDATE(LOOKUP(2,1/(实盘组合预估净值!$K$5:$K$1000&lt;&gt;""),实盘组合预估净值!$A$5:$A$1000),-3))),1))-1,"")</f>
        <v>-2.9448615942264444E-2</v>
      </c>
      <c r="E13" s="171" t="s">
        <v>158</v>
      </c>
      <c r="F13" s="171"/>
      <c r="G13" s="35">
        <f>COUNTIF(实盘组合预估净值!$L$5:$L$1000,"&gt;0")/MAX(COUNT(实盘组合预估净值!$L$5:$L$1000),1)</f>
        <v>0.44262295081967212</v>
      </c>
    </row>
    <row r="14" spans="2:7" ht="22.5" customHeight="1">
      <c r="B14" s="31" t="s">
        <v>159</v>
      </c>
      <c r="C14" s="32">
        <f>IFERROR((LOOKUP(2,1/(实盘组合预估净值!$K$5:$K$1000&lt;&gt;""),实盘组合预估净值!$K$5:$K$1000))/(IFERROR(LOOKUP(EDATE(LOOKUP(2,1/(实盘组合预估净值!$K$5:$K$1000&lt;&gt;""),实盘组合预估净值!$A$5:$A$1000),-6),实盘组合预估净值!$A$5:$A$1000,实盘组合预估净值!$K$5:$K$1000),1))-1,"")</f>
        <v>-7.9964132862473392E-3</v>
      </c>
      <c r="D14" s="32">
        <f>IFERROR((LOOKUP(2,1/(实盘组合预估净值!$K$5:$K$1000&lt;&gt;""),实盘组合预估净值!$K$5:$K$1000)/(IFERROR(LOOKUP(EDATE(LOOKUP(2,1/(实盘组合预估净值!$K$5:$K$1000&lt;&gt;""),实盘组合预估净值!$A$5:$A$1000),-6),实盘组合预估净值!$A$5:$A$1000,实盘组合预估净值!$K$5:$K$1000),1)))^(说明!$C$17/MAX(COUNTIF(实盘组合预估净值!$A$5:$A$1000,"&gt;="&amp;(EDATE(LOOKUP(2,1/(实盘组合预估净值!$K$5:$K$1000&lt;&gt;""),实盘组合预估净值!$A$5:$A$1000),-6))),1))-1,"")</f>
        <v>-2.9448615942264444E-2</v>
      </c>
      <c r="E14" s="171" t="s">
        <v>146</v>
      </c>
      <c r="F14" s="171"/>
      <c r="G14" s="32">
        <f>STDEV(实盘组合预估净值!$L$5:$L$1000)*SQRT(说明!$C$17)</f>
        <v>4.8914460316489577E-2</v>
      </c>
    </row>
    <row r="15" spans="2:7" ht="22.5" customHeight="1">
      <c r="B15" s="31" t="s">
        <v>160</v>
      </c>
      <c r="C15" s="32">
        <f>IFERROR((LOOKUP(2,1/(实盘组合预估净值!$K$5:$K$1000&lt;&gt;""),实盘组合预估净值!$K$5:$K$1000))/(IFERROR(LOOKUP(EDATE(LOOKUP(2,1/(实盘组合预估净值!$K$5:$K$1000&lt;&gt;""),实盘组合预估净值!$A$5:$A$1000),-12),实盘组合预估净值!$A$5:$A$1000,实盘组合预估净值!$K$5:$K$1000),1))-1,"")</f>
        <v>-7.9964132862473392E-3</v>
      </c>
      <c r="D15" s="32">
        <f>IFERROR((LOOKUP(2,1/(实盘组合预估净值!$K$5:$K$1000&lt;&gt;""),实盘组合预估净值!$K$5:$K$1000)/(IFERROR(LOOKUP(EDATE(LOOKUP(2,1/(实盘组合预估净值!$K$5:$K$1000&lt;&gt;""),实盘组合预估净值!$A$5:$A$1000),-12),实盘组合预估净值!$A$5:$A$1000,实盘组合预估净值!$K$5:$K$1000),1)))^(说明!$C$17/MAX(COUNTIF(实盘组合预估净值!$A$5:$A$1000,"&gt;="&amp;(EDATE(LOOKUP(2,1/(实盘组合预估净值!$K$5:$K$1000&lt;&gt;""),实盘组合预估净值!$A$5:$A$1000),-12))),1))-1,"")</f>
        <v>-2.9448615942264444E-2</v>
      </c>
      <c r="E15" s="171" t="s">
        <v>148</v>
      </c>
      <c r="F15" s="171"/>
      <c r="G15" s="36">
        <f>(((LOOKUP(2,1/(实盘组合预估净值!$K$5:$K$1000&lt;&gt;""),实盘组合预估净值!$K$5:$K$1000)/1)^(说明!$C$17/MAX(COUNT(实盘组合预估净值!$L$5:$L$1000),1))-1)-说明!$C$16)/IF((STDEV(实盘组合预估净值!$L$5:$L$1000)*SQRT(说明!$C$17))=0,"",(STDEV(实盘组合预估净值!$L$5:$L$1000)*SQRT(说明!$C$17)))</f>
        <v>-0.6408962221255482</v>
      </c>
    </row>
    <row r="16" spans="2:7" ht="22.5" customHeight="1">
      <c r="B16" s="37"/>
      <c r="C16" s="37"/>
      <c r="D16" s="37"/>
      <c r="E16" s="171" t="s">
        <v>161</v>
      </c>
      <c r="F16" s="171"/>
      <c r="G16" s="36">
        <f>IFERROR(((LOOKUP(2,1/(实盘组合预估净值!$K$5:$K$1000&lt;&gt;""),实盘组合预估净值!$K$5:$K$1000)/1)^(说明!$C$17/MAX(COUNT(实盘组合预估净值!$L$5:$L$1000),1))-1)/ABS(MIN(实盘组合预估净值!$M$5:$M$1000)),"")</f>
        <v>-1.1584193358541446</v>
      </c>
    </row>
    <row r="18" spans="2:7" ht="14">
      <c r="B18" s="170" t="s">
        <v>162</v>
      </c>
      <c r="C18" s="170"/>
      <c r="D18" s="170"/>
      <c r="E18" s="170"/>
      <c r="F18" s="170"/>
      <c r="G18" s="170"/>
    </row>
    <row r="35" spans="2:2" ht="14.25" customHeight="1">
      <c r="B35" s="10" t="s">
        <v>163</v>
      </c>
    </row>
  </sheetData>
  <mergeCells count="14">
    <mergeCell ref="E15:F15"/>
    <mergeCell ref="E16:F16"/>
    <mergeCell ref="B18:G18"/>
    <mergeCell ref="E10:F10"/>
    <mergeCell ref="E11:F11"/>
    <mergeCell ref="E12:F12"/>
    <mergeCell ref="E13:F13"/>
    <mergeCell ref="E14:F14"/>
    <mergeCell ref="B2:G2"/>
    <mergeCell ref="B3:D3"/>
    <mergeCell ref="E3:G3"/>
    <mergeCell ref="B5:G5"/>
    <mergeCell ref="B9:D9"/>
    <mergeCell ref="E9:G9"/>
  </mergeCells>
  <phoneticPr fontId="35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>
      <selection activeCell="M27" sqref="M27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20.1796875" customWidth="1"/>
    <col min="5" max="5" width="17.453125" customWidth="1"/>
    <col min="6" max="6" width="16.453125" customWidth="1"/>
    <col min="7" max="7" width="19.1796875" customWidth="1"/>
    <col min="8" max="8" width="2.1796875" customWidth="1"/>
  </cols>
  <sheetData>
    <row r="2" spans="2:7" ht="20.25" customHeight="1">
      <c r="B2" s="167" t="s">
        <v>167</v>
      </c>
      <c r="C2" s="167"/>
      <c r="D2" s="167"/>
      <c r="E2" s="167"/>
      <c r="F2" s="167"/>
      <c r="G2" s="167"/>
    </row>
    <row r="3" spans="2:7" ht="14.25" customHeight="1">
      <c r="B3" s="168" t="str">
        <f>"买入持有 · 已扣年化费率 "&amp;TEXT(实盘持仓初始配置!$Z$8,"0.0%")&amp;"（折每日计入净值）"</f>
        <v>买入持有 · 已扣年化费率 0.5%（折每日计入净值）</v>
      </c>
      <c r="C3" s="168"/>
      <c r="D3" s="168"/>
      <c r="E3" s="169" t="str">
        <f>"净值日期："&amp;TEXT(LOOKUP(2,1/(实盘组合预估净值!$N$5:$N$1000&lt;&gt;""),实盘组合预估净值!$A$5:$A$1000),"yyyy-mm-dd")</f>
        <v>净值日期：2026-09-17</v>
      </c>
      <c r="F3" s="169"/>
      <c r="G3" s="169"/>
    </row>
    <row r="5" spans="2:7" ht="14">
      <c r="B5" s="170" t="s">
        <v>142</v>
      </c>
      <c r="C5" s="170"/>
      <c r="D5" s="170"/>
      <c r="E5" s="170"/>
      <c r="F5" s="170"/>
      <c r="G5" s="170"/>
    </row>
    <row r="6" spans="2:7" ht="13">
      <c r="B6" s="26" t="s">
        <v>143</v>
      </c>
      <c r="C6" s="26" t="s">
        <v>144</v>
      </c>
      <c r="D6" s="26" t="s">
        <v>145</v>
      </c>
      <c r="E6" s="26" t="s">
        <v>146</v>
      </c>
      <c r="F6" s="26" t="s">
        <v>147</v>
      </c>
      <c r="G6" s="26" t="s">
        <v>148</v>
      </c>
    </row>
    <row r="7" spans="2:7" ht="27.75" customHeight="1">
      <c r="B7" s="27">
        <f>LOOKUP(2,1/(实盘组合预估净值!$N$5:$N$1000&lt;&gt;""),实盘组合预估净值!$N$5:$N$1000)</f>
        <v>0.99283751668806741</v>
      </c>
      <c r="C7" s="28">
        <f>(LOOKUP(2,1/(实盘组合预估净值!$N$5:$N$1000&lt;&gt;""),实盘组合预估净值!$N$5:$N$1000))/1-1</f>
        <v>-7.1624833119325881E-3</v>
      </c>
      <c r="D7" s="28">
        <f>(LOOKUP(2,1/(实盘组合预估净值!$N$5:$N$1000&lt;&gt;""),实盘组合预估净值!$N$5:$N$1000)/1)^(说明!$C$17/MAX(COUNT(实盘组合预估净值!$O$5:$O$1000),1))-1</f>
        <v>-2.6814528652416736E-2</v>
      </c>
      <c r="E7" s="29">
        <f>STDEV(实盘组合预估净值!$O$5:$O$1000)*SQRT(说明!$C$17)</f>
        <v>4.9577021752943665E-2</v>
      </c>
      <c r="F7" s="28">
        <f>MIN(实盘组合预估净值!$P$5:$P$1000)</f>
        <v>-2.8729069309879618E-2</v>
      </c>
      <c r="G7" s="30">
        <f>(((LOOKUP(2,1/(实盘组合预估净值!$N$5:$N$1000&lt;&gt;""),实盘组合预估净值!$N$5:$N$1000)/1)^(说明!$C$17/MAX(COUNT(实盘组合预估净值!$O$5:$O$1000),1))-1)-说明!$C$16)/IF((STDEV(实盘组合预估净值!$O$5:$O$1000)*SQRT(说明!$C$17))=0,"",(STDEV(实盘组合预估净值!$O$5:$O$1000)*SQRT(说明!$C$17)))</f>
        <v>-0.54086606464666487</v>
      </c>
    </row>
    <row r="9" spans="2:7" ht="14">
      <c r="B9" s="170" t="s">
        <v>149</v>
      </c>
      <c r="C9" s="170"/>
      <c r="D9" s="170"/>
      <c r="E9" s="170" t="s">
        <v>150</v>
      </c>
      <c r="F9" s="170"/>
      <c r="G9" s="170"/>
    </row>
    <row r="10" spans="2:7" ht="13.5" customHeight="1">
      <c r="B10" s="1" t="s">
        <v>151</v>
      </c>
      <c r="C10" s="1" t="s">
        <v>144</v>
      </c>
      <c r="D10" s="1" t="s">
        <v>145</v>
      </c>
      <c r="E10" s="172" t="s">
        <v>152</v>
      </c>
      <c r="F10" s="172"/>
      <c r="G10" s="1" t="s">
        <v>153</v>
      </c>
    </row>
    <row r="11" spans="2:7" ht="22.5" customHeight="1">
      <c r="B11" s="31" t="s">
        <v>154</v>
      </c>
      <c r="C11" s="32">
        <f>IFERROR((LOOKUP(2,1/(实盘组合预估净值!$N$5:$N$1000&lt;&gt;""),实盘组合预估净值!$N$5:$N$1000))/(1)-1,"")</f>
        <v>-7.1624833119325881E-3</v>
      </c>
      <c r="D11" s="32">
        <f>IFERROR((LOOKUP(2,1/(实盘组合预估净值!$N$5:$N$1000&lt;&gt;""),实盘组合预估净值!$N$5:$N$1000)/(1))^(说明!$C$17/COUNT(实盘组合预估净值!$O$5:$O$1000))-1,"")</f>
        <v>-2.6814528652416736E-2</v>
      </c>
      <c r="E11" s="171" t="s">
        <v>147</v>
      </c>
      <c r="F11" s="171"/>
      <c r="G11" s="32">
        <f>MIN(实盘组合预估净值!$P$5:$P$1000)</f>
        <v>-2.8729069309879618E-2</v>
      </c>
    </row>
    <row r="12" spans="2:7" ht="22.5" customHeight="1">
      <c r="B12" s="33" t="s">
        <v>155</v>
      </c>
      <c r="C12" s="32">
        <f>IFERROR((LOOKUP(2,1/(实盘组合预估净值!$N$5:$N$1000&lt;&gt;""),实盘组合预估净值!$N$5:$N$1000))/(IFERROR(LOOKUP(DATE(2026,1,1),实盘组合预估净值!$A$5:$A$1000,实盘组合预估净值!$N$5:$N$1000),1))-1,"")</f>
        <v>-7.1624833119325881E-3</v>
      </c>
      <c r="D12" s="32">
        <f>IFERROR((LOOKUP(2,1/(实盘组合预估净值!$N$5:$N$1000&lt;&gt;""),实盘组合预估净值!$N$5:$N$1000)/(IFERROR(LOOKUP(DATE(2026,1,1),实盘组合预估净值!$A$5:$A$1000,实盘组合预估净值!$N$5:$N$1000),1)))^(说明!$C$17/MAX(COUNTIF(实盘组合预估净值!$A$5:$A$1000,"&gt;="&amp;(DATE(2026,1,1))),1))-1,"")</f>
        <v>-2.6407493369689283E-2</v>
      </c>
      <c r="E12" s="171" t="s">
        <v>156</v>
      </c>
      <c r="F12" s="171"/>
      <c r="G12" s="34">
        <f>IFERROR((LOOKUP(2,1/(实盘组合预估净值!$N$5:$N$1000&lt;&gt;""),ROW(实盘组合预估净值!$N$5:$N$1000)))-(LOOKUP(2,1/(实盘组合预估净值!$P$5:$P$1000=0),ROW(实盘组合预估净值!$P$5:$P$1000))),"")</f>
        <v>57</v>
      </c>
    </row>
    <row r="13" spans="2:7" ht="22.5" customHeight="1">
      <c r="B13" s="31" t="s">
        <v>157</v>
      </c>
      <c r="C13" s="32">
        <f>IFERROR((LOOKUP(2,1/(实盘组合预估净值!$N$5:$N$1000&lt;&gt;""),实盘组合预估净值!$N$5:$N$1000))/(IFERROR(LOOKUP(EDATE(LOOKUP(2,1/(实盘组合预估净值!$N$5:$N$1000&lt;&gt;""),实盘组合预估净值!$A$5:$A$1000),-3),实盘组合预估净值!$A$5:$A$1000,实盘组合预估净值!$N$5:$N$1000),1))-1,"")</f>
        <v>-7.1624833119325881E-3</v>
      </c>
      <c r="D13" s="32">
        <f>IFERROR((LOOKUP(2,1/(实盘组合预估净值!$N$5:$N$1000&lt;&gt;""),实盘组合预估净值!$N$5:$N$1000)/(IFERROR(LOOKUP(EDATE(LOOKUP(2,1/(实盘组合预估净值!$N$5:$N$1000&lt;&gt;""),实盘组合预估净值!$A$5:$A$1000),-3),实盘组合预估净值!$A$5:$A$1000,实盘组合预估净值!$N$5:$N$1000),1)))^(说明!$C$17/MAX(COUNTIF(实盘组合预估净值!$A$5:$A$1000,"&gt;="&amp;(EDATE(LOOKUP(2,1/(实盘组合预估净值!$N$5:$N$1000&lt;&gt;""),实盘组合预估净值!$A$5:$A$1000),-3))),1))-1,"")</f>
        <v>-2.6407493369689283E-2</v>
      </c>
      <c r="E13" s="171" t="s">
        <v>158</v>
      </c>
      <c r="F13" s="171"/>
      <c r="G13" s="35">
        <f>COUNTIF(实盘组合预估净值!$O$5:$O$1000,"&gt;0")/MAX(COUNT(实盘组合预估净值!$O$5:$O$1000),1)</f>
        <v>0.46875</v>
      </c>
    </row>
    <row r="14" spans="2:7" ht="22.5" customHeight="1">
      <c r="B14" s="31" t="s">
        <v>159</v>
      </c>
      <c r="C14" s="32">
        <f>IFERROR((LOOKUP(2,1/(实盘组合预估净值!$N$5:$N$1000&lt;&gt;""),实盘组合预估净值!$N$5:$N$1000))/(IFERROR(LOOKUP(EDATE(LOOKUP(2,1/(实盘组合预估净值!$N$5:$N$1000&lt;&gt;""),实盘组合预估净值!$A$5:$A$1000),-6),实盘组合预估净值!$A$5:$A$1000,实盘组合预估净值!$N$5:$N$1000),1))-1,"")</f>
        <v>-7.1624833119325881E-3</v>
      </c>
      <c r="D14" s="32">
        <f>IFERROR((LOOKUP(2,1/(实盘组合预估净值!$N$5:$N$1000&lt;&gt;""),实盘组合预估净值!$N$5:$N$1000)/(IFERROR(LOOKUP(EDATE(LOOKUP(2,1/(实盘组合预估净值!$N$5:$N$1000&lt;&gt;""),实盘组合预估净值!$A$5:$A$1000),-6),实盘组合预估净值!$A$5:$A$1000,实盘组合预估净值!$N$5:$N$1000),1)))^(说明!$C$17/MAX(COUNTIF(实盘组合预估净值!$A$5:$A$1000,"&gt;="&amp;(EDATE(LOOKUP(2,1/(实盘组合预估净值!$N$5:$N$1000&lt;&gt;""),实盘组合预估净值!$A$5:$A$1000),-6))),1))-1,"")</f>
        <v>-2.6407493369689283E-2</v>
      </c>
      <c r="E14" s="171" t="s">
        <v>146</v>
      </c>
      <c r="F14" s="171"/>
      <c r="G14" s="32">
        <f>STDEV(实盘组合预估净值!$O$5:$O$1000)*SQRT(说明!$C$17)</f>
        <v>4.9577021752943665E-2</v>
      </c>
    </row>
    <row r="15" spans="2:7" ht="22.5" customHeight="1">
      <c r="B15" s="31" t="s">
        <v>160</v>
      </c>
      <c r="C15" s="32">
        <f>IFERROR((LOOKUP(2,1/(实盘组合预估净值!$N$5:$N$1000&lt;&gt;""),实盘组合预估净值!$N$5:$N$1000))/(IFERROR(LOOKUP(EDATE(LOOKUP(2,1/(实盘组合预估净值!$N$5:$N$1000&lt;&gt;""),实盘组合预估净值!$A$5:$A$1000),-12),实盘组合预估净值!$A$5:$A$1000,实盘组合预估净值!$N$5:$N$1000),1))-1,"")</f>
        <v>-7.1624833119325881E-3</v>
      </c>
      <c r="D15" s="32">
        <f>IFERROR((LOOKUP(2,1/(实盘组合预估净值!$N$5:$N$1000&lt;&gt;""),实盘组合预估净值!$N$5:$N$1000)/(IFERROR(LOOKUP(EDATE(LOOKUP(2,1/(实盘组合预估净值!$N$5:$N$1000&lt;&gt;""),实盘组合预估净值!$A$5:$A$1000),-12),实盘组合预估净值!$A$5:$A$1000,实盘组合预估净值!$N$5:$N$1000),1)))^(说明!$C$17/MAX(COUNTIF(实盘组合预估净值!$A$5:$A$1000,"&gt;="&amp;(EDATE(LOOKUP(2,1/(实盘组合预估净值!$N$5:$N$1000&lt;&gt;""),实盘组合预估净值!$A$5:$A$1000),-12))),1))-1,"")</f>
        <v>-2.6407493369689283E-2</v>
      </c>
      <c r="E15" s="171" t="s">
        <v>148</v>
      </c>
      <c r="F15" s="171"/>
      <c r="G15" s="36">
        <f>(((LOOKUP(2,1/(实盘组合预估净值!$N$5:$N$1000&lt;&gt;""),实盘组合预估净值!$N$5:$N$1000)/1)^(说明!$C$17/MAX(COUNT(实盘组合预估净值!$O$5:$O$1000),1))-1)-说明!$C$16)/IF((STDEV(实盘组合预估净值!$O$5:$O$1000)*SQRT(说明!$C$17))=0,"",(STDEV(实盘组合预估净值!$O$5:$O$1000)*SQRT(说明!$C$17)))</f>
        <v>-0.54086606464666487</v>
      </c>
    </row>
    <row r="16" spans="2:7" ht="22.5" customHeight="1">
      <c r="B16" s="37"/>
      <c r="C16" s="37"/>
      <c r="D16" s="37"/>
      <c r="E16" s="171" t="s">
        <v>161</v>
      </c>
      <c r="F16" s="171"/>
      <c r="G16" s="36">
        <f>IFERROR(((LOOKUP(2,1/(实盘组合预估净值!$N$5:$N$1000&lt;&gt;""),实盘组合预估净值!$N$5:$N$1000)/1)^(说明!$C$17/MAX(COUNT(实盘组合预估净值!$O$5:$O$1000),1))-1)/ABS(MIN(实盘组合预估净值!$P$5:$P$1000)),"")</f>
        <v>-0.93335876506084758</v>
      </c>
    </row>
    <row r="18" spans="2:7" ht="14">
      <c r="B18" s="170" t="s">
        <v>162</v>
      </c>
      <c r="C18" s="170"/>
      <c r="D18" s="170"/>
      <c r="E18" s="170"/>
      <c r="F18" s="170"/>
      <c r="G18" s="170"/>
    </row>
    <row r="35" spans="2:2" ht="14.25" customHeight="1">
      <c r="B35" s="10" t="s">
        <v>163</v>
      </c>
    </row>
  </sheetData>
  <mergeCells count="14">
    <mergeCell ref="E15:F15"/>
    <mergeCell ref="E16:F16"/>
    <mergeCell ref="B18:G18"/>
    <mergeCell ref="E10:F10"/>
    <mergeCell ref="E11:F11"/>
    <mergeCell ref="E12:F12"/>
    <mergeCell ref="E13:F13"/>
    <mergeCell ref="E14:F14"/>
    <mergeCell ref="B2:G2"/>
    <mergeCell ref="B3:D3"/>
    <mergeCell ref="E3:G3"/>
    <mergeCell ref="B5:G5"/>
    <mergeCell ref="B9:D9"/>
    <mergeCell ref="E9:G9"/>
  </mergeCells>
  <phoneticPr fontId="35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>
      <selection activeCell="L29" sqref="L29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19.26953125" customWidth="1"/>
    <col min="5" max="5" width="20.81640625" customWidth="1"/>
    <col min="6" max="6" width="16.453125" customWidth="1"/>
    <col min="7" max="7" width="20.26953125" customWidth="1"/>
    <col min="8" max="8" width="2.1796875" customWidth="1"/>
  </cols>
  <sheetData>
    <row r="2" spans="2:7" ht="20.25" customHeight="1">
      <c r="B2" s="167" t="s">
        <v>168</v>
      </c>
      <c r="C2" s="167"/>
      <c r="D2" s="167"/>
      <c r="E2" s="167"/>
      <c r="F2" s="167"/>
      <c r="G2" s="167"/>
    </row>
    <row r="3" spans="2:7" ht="14.25" customHeight="1">
      <c r="B3" s="168" t="str">
        <f>"买入持有 · 已扣年化费率 "&amp;TEXT(实盘持仓初始配置!$Z$9,"0.0%")&amp;"（折每日计入净值）"</f>
        <v>买入持有 · 已扣年化费率 1.2%（折每日计入净值）</v>
      </c>
      <c r="C3" s="168"/>
      <c r="D3" s="168"/>
      <c r="E3" s="169" t="str">
        <f>"净值日期："&amp;TEXT(LOOKUP(2,1/(实盘组合预估净值!$Q$5:$Q$1000&lt;&gt;""),实盘组合预估净值!$A$5:$A$1000),"yyyy-mm-dd")</f>
        <v>净值日期：2026-09-17</v>
      </c>
      <c r="F3" s="169"/>
      <c r="G3" s="169"/>
    </row>
    <row r="5" spans="2:7" ht="14">
      <c r="B5" s="170" t="s">
        <v>142</v>
      </c>
      <c r="C5" s="170"/>
      <c r="D5" s="170"/>
      <c r="E5" s="170"/>
      <c r="F5" s="170"/>
      <c r="G5" s="170"/>
    </row>
    <row r="6" spans="2:7" ht="13">
      <c r="B6" s="26" t="s">
        <v>143</v>
      </c>
      <c r="C6" s="26" t="s">
        <v>144</v>
      </c>
      <c r="D6" s="26" t="s">
        <v>145</v>
      </c>
      <c r="E6" s="26" t="s">
        <v>146</v>
      </c>
      <c r="F6" s="26" t="s">
        <v>147</v>
      </c>
      <c r="G6" s="26" t="s">
        <v>148</v>
      </c>
    </row>
    <row r="7" spans="2:7" ht="27.75" customHeight="1">
      <c r="B7" s="27">
        <f>LOOKUP(2,1/(实盘组合预估净值!$Q$5:$Q$1000&lt;&gt;""),实盘组合预估净值!$Q$5:$Q$1000)</f>
        <v>0.96085390087441869</v>
      </c>
      <c r="C7" s="28">
        <f>(LOOKUP(2,1/(实盘组合预估净值!$Q$5:$Q$1000&lt;&gt;""),实盘组合预估净值!$Q$5:$Q$1000))/1-1</f>
        <v>-3.9146099125581313E-2</v>
      </c>
      <c r="D7" s="28">
        <f>(LOOKUP(2,1/(实盘组合预估净值!$Q$5:$Q$1000&lt;&gt;""),实盘组合预估净值!$Q$5:$Q$1000)/1)^(说明!$C$17/MAX(COUNT(实盘组合预估净值!$R$5:$R$1000),1))-1</f>
        <v>-0.14651077682401681</v>
      </c>
      <c r="E7" s="29">
        <f>STDEV(实盘组合预估净值!$R$5:$R$1000)*SQRT(说明!$C$17)</f>
        <v>0.1414143375143074</v>
      </c>
      <c r="F7" s="28">
        <f>MIN(实盘组合预估净值!$S$5:$S$1000)</f>
        <v>-8.3940733765942466E-2</v>
      </c>
      <c r="G7" s="30">
        <f>(((LOOKUP(2,1/(实盘组合预估净值!$Q$5:$Q$1000&lt;&gt;""),实盘组合预估净值!$Q$5:$Q$1000)/1)^(说明!$C$17/MAX(COUNT(实盘组合预估净值!$R$5:$R$1000),1))-1)-说明!$C$16)/IF((STDEV(实盘组合预估净值!$R$5:$R$1000)*SQRT(说明!$C$17))=0,"",(STDEV(实盘组合预估净值!$R$5:$R$1000)*SQRT(说明!$C$17)))</f>
        <v>-1.0360390565715714</v>
      </c>
    </row>
    <row r="9" spans="2:7" ht="14">
      <c r="B9" s="170" t="s">
        <v>149</v>
      </c>
      <c r="C9" s="170"/>
      <c r="D9" s="170"/>
      <c r="E9" s="170" t="s">
        <v>150</v>
      </c>
      <c r="F9" s="170"/>
      <c r="G9" s="170"/>
    </row>
    <row r="10" spans="2:7" ht="13.5" customHeight="1">
      <c r="B10" s="1" t="s">
        <v>151</v>
      </c>
      <c r="C10" s="1" t="s">
        <v>144</v>
      </c>
      <c r="D10" s="1" t="s">
        <v>145</v>
      </c>
      <c r="E10" s="172" t="s">
        <v>152</v>
      </c>
      <c r="F10" s="172"/>
      <c r="G10" s="1" t="s">
        <v>153</v>
      </c>
    </row>
    <row r="11" spans="2:7" ht="22.5" customHeight="1">
      <c r="B11" s="31" t="s">
        <v>154</v>
      </c>
      <c r="C11" s="32">
        <f>IFERROR((LOOKUP(2,1/(实盘组合预估净值!$Q$5:$Q$1000&lt;&gt;""),实盘组合预估净值!$Q$5:$Q$1000))/(1)-1,"")</f>
        <v>-3.9146099125581313E-2</v>
      </c>
      <c r="D11" s="32">
        <f>IFERROR((LOOKUP(2,1/(实盘组合预估净值!$Q$5:$Q$1000&lt;&gt;""),实盘组合预估净值!$Q$5:$Q$1000)/(1))^(说明!$C$17/COUNT(实盘组合预估净值!$R$5:$R$1000))-1,"")</f>
        <v>-0.14651077682401681</v>
      </c>
      <c r="E11" s="171" t="s">
        <v>147</v>
      </c>
      <c r="F11" s="171"/>
      <c r="G11" s="32">
        <f>MIN(实盘组合预估净值!$S$5:$S$1000)</f>
        <v>-8.3940733765942466E-2</v>
      </c>
    </row>
    <row r="12" spans="2:7" ht="22.5" customHeight="1">
      <c r="B12" s="33" t="s">
        <v>155</v>
      </c>
      <c r="C12" s="32">
        <f>IFERROR((LOOKUP(2,1/(实盘组合预估净值!$Q$5:$Q$1000&lt;&gt;""),实盘组合预估净值!$Q$5:$Q$1000))/(IFERROR(LOOKUP(DATE(2026,1,1),实盘组合预估净值!$A$5:$A$1000,实盘组合预估净值!$Q$5:$Q$1000),1))-1,"")</f>
        <v>-3.9146099125581313E-2</v>
      </c>
      <c r="D12" s="32">
        <f>IFERROR((LOOKUP(2,1/(实盘组合预估净值!$Q$5:$Q$1000&lt;&gt;""),实盘组合预估净值!$Q$5:$Q$1000)/(IFERROR(LOOKUP(DATE(2026,1,1),实盘组合预估净值!$A$5:$A$1000,实盘组合预估净值!$Q$5:$Q$1000),1)))^(说明!$C$17/MAX(COUNTIF(实盘组合预估净值!$A$5:$A$1000,"&gt;="&amp;(DATE(2026,1,1))),1))-1,"")</f>
        <v>-0.13814936011924195</v>
      </c>
      <c r="E12" s="171" t="s">
        <v>156</v>
      </c>
      <c r="F12" s="171"/>
      <c r="G12" s="34">
        <f>IFERROR((LOOKUP(2,1/(实盘组合预估净值!$Q$5:$Q$1000&lt;&gt;""),ROW(实盘组合预估净值!$Q$5:$Q$1000)))-(LOOKUP(2,1/(实盘组合预估净值!$S$5:$S$1000=0),ROW(实盘组合预估净值!$S$5:$S$1000))),"")</f>
        <v>57</v>
      </c>
    </row>
    <row r="13" spans="2:7" ht="22.5" customHeight="1">
      <c r="B13" s="31" t="s">
        <v>157</v>
      </c>
      <c r="C13" s="32">
        <f>IFERROR((LOOKUP(2,1/(实盘组合预估净值!$Q$5:$Q$1000&lt;&gt;""),实盘组合预估净值!$Q$5:$Q$1000))/(IFERROR(LOOKUP(EDATE(LOOKUP(2,1/(实盘组合预估净值!$Q$5:$Q$1000&lt;&gt;""),实盘组合预估净值!$A$5:$A$1000),-3),实盘组合预估净值!$A$5:$A$1000,实盘组合预估净值!$Q$5:$Q$1000),1))-1,"")</f>
        <v>-3.9146099125581313E-2</v>
      </c>
      <c r="D13" s="32">
        <f>IFERROR((LOOKUP(2,1/(实盘组合预估净值!$Q$5:$Q$1000&lt;&gt;""),实盘组合预估净值!$Q$5:$Q$1000)/(IFERROR(LOOKUP(EDATE(LOOKUP(2,1/(实盘组合预估净值!$Q$5:$Q$1000&lt;&gt;""),实盘组合预估净值!$A$5:$A$1000),-3),实盘组合预估净值!$A$5:$A$1000,实盘组合预估净值!$Q$5:$Q$1000),1)))^(说明!$C$17/MAX(COUNTIF(实盘组合预估净值!$A$5:$A$1000,"&gt;="&amp;(EDATE(LOOKUP(2,1/(实盘组合预估净值!$Q$5:$Q$1000&lt;&gt;""),实盘组合预估净值!$A$5:$A$1000),-3))),1))-1,"")</f>
        <v>-0.13814936011924195</v>
      </c>
      <c r="E13" s="171" t="s">
        <v>158</v>
      </c>
      <c r="F13" s="171"/>
      <c r="G13" s="35">
        <f>COUNTIF(实盘组合预估净值!$R$5:$R$1000,"&gt;0")/MAX(COUNT(实盘组合预估净值!$R$5:$R$1000),1)</f>
        <v>0.42622950819672129</v>
      </c>
    </row>
    <row r="14" spans="2:7" ht="22.5" customHeight="1">
      <c r="B14" s="31" t="s">
        <v>159</v>
      </c>
      <c r="C14" s="32">
        <f>IFERROR((LOOKUP(2,1/(实盘组合预估净值!$Q$5:$Q$1000&lt;&gt;""),实盘组合预估净值!$Q$5:$Q$1000))/(IFERROR(LOOKUP(EDATE(LOOKUP(2,1/(实盘组合预估净值!$Q$5:$Q$1000&lt;&gt;""),实盘组合预估净值!$A$5:$A$1000),-6),实盘组合预估净值!$A$5:$A$1000,实盘组合预估净值!$Q$5:$Q$1000),1))-1,"")</f>
        <v>-3.9146099125581313E-2</v>
      </c>
      <c r="D14" s="32">
        <f>IFERROR((LOOKUP(2,1/(实盘组合预估净值!$Q$5:$Q$1000&lt;&gt;""),实盘组合预估净值!$Q$5:$Q$1000)/(IFERROR(LOOKUP(EDATE(LOOKUP(2,1/(实盘组合预估净值!$Q$5:$Q$1000&lt;&gt;""),实盘组合预估净值!$A$5:$A$1000),-6),实盘组合预估净值!$A$5:$A$1000,实盘组合预估净值!$Q$5:$Q$1000),1)))^(说明!$C$17/MAX(COUNTIF(实盘组合预估净值!$A$5:$A$1000,"&gt;="&amp;(EDATE(LOOKUP(2,1/(实盘组合预估净值!$Q$5:$Q$1000&lt;&gt;""),实盘组合预估净值!$A$5:$A$1000),-6))),1))-1,"")</f>
        <v>-0.13814936011924195</v>
      </c>
      <c r="E14" s="171" t="s">
        <v>146</v>
      </c>
      <c r="F14" s="171"/>
      <c r="G14" s="32">
        <f>STDEV(实盘组合预估净值!$R$5:$R$1000)*SQRT(说明!$C$17)</f>
        <v>0.1414143375143074</v>
      </c>
    </row>
    <row r="15" spans="2:7" ht="22.5" customHeight="1">
      <c r="B15" s="31" t="s">
        <v>160</v>
      </c>
      <c r="C15" s="32">
        <f>IFERROR((LOOKUP(2,1/(实盘组合预估净值!$Q$5:$Q$1000&lt;&gt;""),实盘组合预估净值!$Q$5:$Q$1000))/(IFERROR(LOOKUP(EDATE(LOOKUP(2,1/(实盘组合预估净值!$Q$5:$Q$1000&lt;&gt;""),实盘组合预估净值!$A$5:$A$1000),-12),实盘组合预估净值!$A$5:$A$1000,实盘组合预估净值!$Q$5:$Q$1000),1))-1,"")</f>
        <v>-3.9146099125581313E-2</v>
      </c>
      <c r="D15" s="32">
        <f>IFERROR((LOOKUP(2,1/(实盘组合预估净值!$Q$5:$Q$1000&lt;&gt;""),实盘组合预估净值!$Q$5:$Q$1000)/(IFERROR(LOOKUP(EDATE(LOOKUP(2,1/(实盘组合预估净值!$Q$5:$Q$1000&lt;&gt;""),实盘组合预估净值!$A$5:$A$1000),-12),实盘组合预估净值!$A$5:$A$1000,实盘组合预估净值!$Q$5:$Q$1000),1)))^(说明!$C$17/MAX(COUNTIF(实盘组合预估净值!$A$5:$A$1000,"&gt;="&amp;(EDATE(LOOKUP(2,1/(实盘组合预估净值!$Q$5:$Q$1000&lt;&gt;""),实盘组合预估净值!$A$5:$A$1000),-12))),1))-1,"")</f>
        <v>-0.13814936011924195</v>
      </c>
      <c r="E15" s="171" t="s">
        <v>148</v>
      </c>
      <c r="F15" s="171"/>
      <c r="G15" s="36">
        <f>(((LOOKUP(2,1/(实盘组合预估净值!$Q$5:$Q$1000&lt;&gt;""),实盘组合预估净值!$Q$5:$Q$1000)/1)^(说明!$C$17/MAX(COUNT(实盘组合预估净值!$R$5:$R$1000),1))-1)-说明!$C$16)/IF((STDEV(实盘组合预估净值!$R$5:$R$1000)*SQRT(说明!$C$17))=0,"",(STDEV(实盘组合预估净值!$R$5:$R$1000)*SQRT(说明!$C$17)))</f>
        <v>-1.0360390565715714</v>
      </c>
    </row>
    <row r="16" spans="2:7" ht="22.5" customHeight="1">
      <c r="B16" s="37"/>
      <c r="C16" s="37"/>
      <c r="D16" s="37"/>
      <c r="E16" s="171" t="s">
        <v>161</v>
      </c>
      <c r="F16" s="171"/>
      <c r="G16" s="36">
        <f>IFERROR(((LOOKUP(2,1/(实盘组合预估净值!$Q$5:$Q$1000&lt;&gt;""),实盘组合预估净值!$Q$5:$Q$1000)/1)^(说明!$C$17/MAX(COUNT(实盘组合预估净值!$R$5:$R$1000),1))-1)/ABS(MIN(实盘组合预估净值!$S$5:$S$1000)),"")</f>
        <v>-1.7454073874615221</v>
      </c>
    </row>
    <row r="18" spans="2:7" ht="14">
      <c r="B18" s="170" t="s">
        <v>162</v>
      </c>
      <c r="C18" s="170"/>
      <c r="D18" s="170"/>
      <c r="E18" s="170"/>
      <c r="F18" s="170"/>
      <c r="G18" s="170"/>
    </row>
    <row r="35" spans="2:2" ht="14.25" customHeight="1">
      <c r="B35" s="10" t="s">
        <v>163</v>
      </c>
    </row>
  </sheetData>
  <mergeCells count="14">
    <mergeCell ref="E15:F15"/>
    <mergeCell ref="E16:F16"/>
    <mergeCell ref="B18:G18"/>
    <mergeCell ref="E10:F10"/>
    <mergeCell ref="E11:F11"/>
    <mergeCell ref="E12:F12"/>
    <mergeCell ref="E13:F13"/>
    <mergeCell ref="E14:F14"/>
    <mergeCell ref="B2:G2"/>
    <mergeCell ref="B3:D3"/>
    <mergeCell ref="E3:G3"/>
    <mergeCell ref="B5:G5"/>
    <mergeCell ref="B9:D9"/>
    <mergeCell ref="E9:G9"/>
  </mergeCells>
  <phoneticPr fontId="35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showGridLines="0" workbookViewId="0"/>
  </sheetViews>
  <sheetFormatPr defaultColWidth="9.453125" defaultRowHeight="12.5"/>
  <cols>
    <col min="1" max="1" width="2.1796875" customWidth="1"/>
    <col min="2" max="2" width="28.453125" customWidth="1"/>
    <col min="3" max="8" width="16.453125" customWidth="1"/>
  </cols>
  <sheetData>
    <row r="2" spans="2:8" ht="22.5" customHeight="1">
      <c r="B2" s="38" t="s">
        <v>169</v>
      </c>
    </row>
    <row r="3" spans="2:8" ht="14.25" customHeight="1">
      <c r="B3" s="10" t="s">
        <v>170</v>
      </c>
    </row>
    <row r="5" spans="2:8" ht="15" customHeight="1">
      <c r="B5" s="39" t="s">
        <v>171</v>
      </c>
    </row>
    <row r="6" spans="2:8" ht="16.5" customHeight="1">
      <c r="B6" s="40" t="s">
        <v>172</v>
      </c>
      <c r="C6" s="173" t="s">
        <v>173</v>
      </c>
      <c r="D6" s="173"/>
      <c r="E6" s="173"/>
      <c r="F6" s="173"/>
      <c r="G6" s="173"/>
      <c r="H6" s="173"/>
    </row>
    <row r="7" spans="2:8" ht="25.5" customHeight="1">
      <c r="B7" s="40" t="s">
        <v>174</v>
      </c>
      <c r="C7" s="173" t="s">
        <v>175</v>
      </c>
      <c r="D7" s="173"/>
      <c r="E7" s="173"/>
      <c r="F7" s="173"/>
      <c r="G7" s="173"/>
      <c r="H7" s="173"/>
    </row>
    <row r="8" spans="2:8" ht="16.5" customHeight="1">
      <c r="B8" s="40" t="s">
        <v>176</v>
      </c>
      <c r="C8" s="173" t="s">
        <v>177</v>
      </c>
      <c r="D8" s="173"/>
      <c r="E8" s="173"/>
      <c r="F8" s="173"/>
      <c r="G8" s="173"/>
      <c r="H8" s="173"/>
    </row>
    <row r="9" spans="2:8" ht="27.75" customHeight="1">
      <c r="B9" s="40" t="s">
        <v>178</v>
      </c>
      <c r="C9" s="174" t="s">
        <v>179</v>
      </c>
      <c r="D9" s="174"/>
      <c r="E9" s="174"/>
      <c r="F9" s="174"/>
      <c r="G9" s="174"/>
      <c r="H9" s="174"/>
    </row>
    <row r="10" spans="2:8" ht="16.5" customHeight="1">
      <c r="B10" s="41"/>
      <c r="C10" s="42"/>
      <c r="D10" s="42"/>
      <c r="E10" s="42"/>
      <c r="F10" s="42"/>
      <c r="G10" s="42"/>
      <c r="H10" s="42"/>
    </row>
    <row r="11" spans="2:8" ht="16.5" customHeight="1">
      <c r="B11" s="39" t="s">
        <v>180</v>
      </c>
      <c r="C11" s="42"/>
      <c r="D11" s="42"/>
      <c r="E11" s="42"/>
      <c r="F11" s="42"/>
      <c r="G11" s="42"/>
      <c r="H11" s="42"/>
    </row>
    <row r="12" spans="2:8" ht="16.5" customHeight="1">
      <c r="B12" s="40" t="s">
        <v>181</v>
      </c>
      <c r="C12" s="173" t="s">
        <v>182</v>
      </c>
      <c r="D12" s="173"/>
      <c r="E12" s="173"/>
      <c r="F12" s="173"/>
      <c r="G12" s="173"/>
      <c r="H12" s="173"/>
    </row>
    <row r="13" spans="2:8" ht="16.5" customHeight="1">
      <c r="B13" s="43" t="s">
        <v>183</v>
      </c>
      <c r="C13" s="173" t="s">
        <v>184</v>
      </c>
      <c r="D13" s="173"/>
      <c r="E13" s="173"/>
      <c r="F13" s="173"/>
      <c r="G13" s="173"/>
      <c r="H13" s="173"/>
    </row>
    <row r="14" spans="2:8" ht="16.5" customHeight="1">
      <c r="B14" s="40" t="s">
        <v>185</v>
      </c>
      <c r="C14" s="173" t="s">
        <v>186</v>
      </c>
      <c r="D14" s="173"/>
      <c r="E14" s="173"/>
      <c r="F14" s="173"/>
      <c r="G14" s="173"/>
      <c r="H14" s="173"/>
    </row>
    <row r="15" spans="2:8" ht="14.25" customHeight="1">
      <c r="B15" s="40" t="s">
        <v>187</v>
      </c>
      <c r="C15" s="41" t="s">
        <v>188</v>
      </c>
    </row>
    <row r="16" spans="2:8" ht="13">
      <c r="B16" s="40" t="s">
        <v>189</v>
      </c>
      <c r="C16" s="44">
        <v>0</v>
      </c>
    </row>
    <row r="17" spans="2:3" ht="13">
      <c r="B17" s="40" t="s">
        <v>190</v>
      </c>
      <c r="C17" s="45">
        <v>242</v>
      </c>
    </row>
    <row r="18" spans="2:3" ht="14.25" customHeight="1">
      <c r="B18" s="40" t="s">
        <v>191</v>
      </c>
      <c r="C18" s="41" t="s">
        <v>192</v>
      </c>
    </row>
    <row r="19" spans="2:3" ht="14.25" customHeight="1">
      <c r="B19" s="10" t="s">
        <v>193</v>
      </c>
    </row>
  </sheetData>
  <mergeCells count="7">
    <mergeCell ref="C13:H13"/>
    <mergeCell ref="C14:H14"/>
    <mergeCell ref="C6:H6"/>
    <mergeCell ref="C7:H7"/>
    <mergeCell ref="C8:H8"/>
    <mergeCell ref="C9:H9"/>
    <mergeCell ref="C12:H12"/>
  </mergeCells>
  <phoneticPr fontId="3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实盘持仓初始配置</vt:lpstr>
      <vt:lpstr>偏离度监控</vt:lpstr>
      <vt:lpstr>vs固收+对比（模拟数据）</vt:lpstr>
      <vt:lpstr>vs固收+对比（恒生实盘数据） </vt:lpstr>
      <vt:lpstr>恒生净值</vt:lpstr>
      <vt:lpstr>实盘净值数据(iFinD）</vt:lpstr>
      <vt:lpstr>实盘组合预估净值</vt:lpstr>
      <vt:lpstr>分期持仓明细</vt:lpstr>
      <vt:lpstr>看板-产业趋势</vt:lpstr>
      <vt:lpstr>看板-产业趋势基石</vt:lpstr>
      <vt:lpstr>看板-产业趋势2号</vt:lpstr>
      <vt:lpstr>看板-10-90</vt:lpstr>
      <vt:lpstr>看板-10-90基石</vt:lpstr>
      <vt:lpstr>看板-30-70</vt:lpstr>
      <vt:lpstr>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2026-08-10T08:54:35Z</dcterms:created>
  <dcterms:modified xsi:type="dcterms:W3CDTF">2026-09-17T01:49:29Z</dcterms:modified>
</cp:coreProperties>
</file>