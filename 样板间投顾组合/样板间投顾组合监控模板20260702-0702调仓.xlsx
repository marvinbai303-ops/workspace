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4090" windowHeight="5890" tabRatio="745" firstSheet="0" activeTab="0" autoFilterDateGrouping="1"/>
  </bookViews>
  <sheets>
    <sheet xmlns:r="http://schemas.openxmlformats.org/officeDocument/2006/relationships" name="实盘持仓配置" sheetId="1" state="visible" r:id="rId1"/>
    <sheet xmlns:r="http://schemas.openxmlformats.org/officeDocument/2006/relationships" name="实盘净值数据(iFinD公式)" sheetId="2" state="visible" r:id="rId2"/>
    <sheet xmlns:r="http://schemas.openxmlformats.org/officeDocument/2006/relationships" name="实盘组合净值" sheetId="3" state="visible" r:id="rId3"/>
    <sheet xmlns:r="http://schemas.openxmlformats.org/officeDocument/2006/relationships" name="分期持仓明细" sheetId="4" state="visible" r:id="rId4"/>
    <sheet xmlns:r="http://schemas.openxmlformats.org/officeDocument/2006/relationships" name="看板-产业趋势" sheetId="5" state="visible" r:id="rId5"/>
    <sheet xmlns:r="http://schemas.openxmlformats.org/officeDocument/2006/relationships" name="看板-产业趋势基石" sheetId="6" state="visible" r:id="rId6"/>
    <sheet xmlns:r="http://schemas.openxmlformats.org/officeDocument/2006/relationships" name="看板-产业趋势2号" sheetId="7" state="visible" r:id="rId7"/>
    <sheet xmlns:r="http://schemas.openxmlformats.org/officeDocument/2006/relationships" name="看板-10-90" sheetId="8" state="visible" r:id="rId8"/>
    <sheet xmlns:r="http://schemas.openxmlformats.org/officeDocument/2006/relationships" name="看板-10-90基石" sheetId="9" state="visible" r:id="rId9"/>
    <sheet xmlns:r="http://schemas.openxmlformats.org/officeDocument/2006/relationships" name="看板-30-70" sheetId="10" state="visible" r:id="rId10"/>
    <sheet xmlns:r="http://schemas.openxmlformats.org/officeDocument/2006/relationships" name="说明" sheetId="11" state="visible" r:id="rId11"/>
    <sheet xmlns:r="http://schemas.openxmlformats.org/officeDocument/2006/relationships" name="持仓权重预警" sheetId="12" state="visible" r:id="rId12"/>
  </sheets>
  <externalReferences>
    <externalReference xmlns:r="http://schemas.openxmlformats.org/officeDocument/2006/relationships" r:id="rId13"/>
  </externalReferences>
  <definedNames/>
  <calcPr calcId="152511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0.0000"/>
    <numFmt numFmtId="167" formatCode="0.00000000%"/>
    <numFmt numFmtId="168" formatCode="yyyy-mm-dd h:mm:ss"/>
  </numFmts>
  <fonts count="23">
    <font>
      <name val="宋体"/>
      <family val="2"/>
      <color theme="1"/>
      <sz val="11"/>
      <scheme val="minor"/>
    </font>
    <font>
      <name val="Arial"/>
      <family val="2"/>
      <b val="1"/>
      <color rgb="FF1F3864"/>
      <sz val="18"/>
    </font>
    <font>
      <name val="Arial"/>
      <family val="2"/>
      <i val="1"/>
      <color rgb="FF595959"/>
      <sz val="9"/>
    </font>
    <font>
      <name val="Arial"/>
      <family val="2"/>
      <b val="1"/>
      <color rgb="FF1F3864"/>
      <sz val="12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5"/>
    </font>
    <font>
      <name val="Arial"/>
      <family val="2"/>
      <b val="1"/>
      <color rgb="FFFFFFFF"/>
      <sz val="10"/>
    </font>
    <font>
      <name val="Arial"/>
      <family val="2"/>
      <color rgb="FF006100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7"/>
    </font>
    <font>
      <name val="宋体"/>
      <charset val="134"/>
      <family val="3"/>
      <sz val="9"/>
      <scheme val="minor"/>
    </font>
    <font>
      <name val="Arial"/>
      <family val="2"/>
      <i val="1"/>
      <color rgb="FF595959"/>
      <sz val="9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rgb="FF000000"/>
      <sz val="16"/>
    </font>
    <font>
      <name val="微软雅黑"/>
      <charset val="134"/>
      <family val="2"/>
      <color rgb="FF000000"/>
      <sz val="16"/>
    </font>
    <font>
      <name val="微软雅黑"/>
      <charset val="134"/>
      <family val="2"/>
      <color theme="1"/>
      <sz val="16"/>
    </font>
    <font>
      <name val="微软雅黑"/>
      <charset val="134"/>
      <family val="2"/>
      <b val="1"/>
      <color rgb="FF1F3864"/>
      <sz val="20"/>
    </font>
    <font>
      <name val="微软雅黑"/>
      <charset val="134"/>
      <family val="2"/>
      <b val="1"/>
      <color rgb="FFC00000"/>
      <sz val="20"/>
    </font>
    <font>
      <name val="Arial"/>
      <family val="2"/>
      <b val="1"/>
      <color rgb="FF0000FF"/>
      <sz val="10"/>
    </font>
    <font>
      <name val="宋体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4" fontId="0" fillId="0" borderId="0" pivotButton="0" quotePrefix="0" xfId="0"/>
    <xf numFmtId="0" fontId="1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0" fontId="17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10" fontId="20" fillId="0" borderId="1" applyAlignment="1" pivotButton="0" quotePrefix="0" xfId="0">
      <alignment horizontal="center" vertical="center" wrapText="1"/>
    </xf>
    <xf numFmtId="10" fontId="19" fillId="0" borderId="1" applyAlignment="1" pivotButton="0" quotePrefix="0" xfId="0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0" fontId="6" fillId="2" borderId="1" pivotButton="0" quotePrefix="0" xfId="0"/>
    <xf numFmtId="0" fontId="14" fillId="0" borderId="0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pivotButton="0" quotePrefix="0" xfId="0"/>
    <xf numFmtId="164" fontId="4" fillId="6" borderId="1" applyAlignment="1" pivotButton="0" quotePrefix="0" xfId="0">
      <alignment horizontal="center" vertical="center" wrapText="1"/>
    </xf>
    <xf numFmtId="164" fontId="21" fillId="7" borderId="3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0" fontId="22" fillId="0" borderId="0" applyAlignment="1" pivotButton="0" quotePrefix="0" xfId="0">
      <alignment horizontal="center"/>
    </xf>
    <xf numFmtId="165" fontId="22" fillId="0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167" fontId="0" fillId="0" borderId="0" pivotButton="0" quotePrefix="0" xfId="0"/>
    <xf numFmtId="0" fontId="7" fillId="3" borderId="4" applyAlignment="1" pivotButton="0" quotePrefix="0" xfId="0">
      <alignment horizontal="center"/>
    </xf>
    <xf numFmtId="0" fontId="0" fillId="0" borderId="4" pivotButton="0" quotePrefix="0" xfId="0"/>
    <xf numFmtId="0" fontId="7" fillId="3" borderId="0" applyAlignment="1" pivotButton="0" quotePrefix="0" xfId="0">
      <alignment horizontal="center"/>
    </xf>
    <xf numFmtId="0" fontId="0" fillId="0" borderId="0" pivotButton="0" quotePrefix="0" xfId="0"/>
    <xf numFmtId="0" fontId="7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/>
    </xf>
    <xf numFmtId="0" fontId="0" fillId="0" borderId="2" pivotButton="0" quotePrefix="0" xfId="0"/>
    <xf numFmtId="0" fontId="2" fillId="0" borderId="0" pivotButton="0" quotePrefix="0" xfId="0"/>
    <xf numFmtId="0" fontId="8" fillId="4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164" fontId="4" fillId="6" borderId="1" applyAlignment="1" pivotButton="0" quotePrefix="0" xfId="0">
      <alignment horizontal="center" vertical="center" wrapText="1"/>
    </xf>
    <xf numFmtId="164" fontId="21" fillId="7" borderId="3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167" fontId="0" fillId="0" borderId="0" pivotButton="0" quotePrefix="0" xfId="0"/>
    <xf numFmtId="168" fontId="0" fillId="0" borderId="0" pivotButton="0" quotePrefix="0" xfId="0"/>
    <xf numFmtId="166" fontId="19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64" fontId="6" fillId="2" borderId="1" pivotButton="0" quotePrefix="0" xfId="0"/>
    <xf numFmtId="165" fontId="22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zh-CN" altLang="en-US"/>
              <a:t>产业趋势 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实盘组合净值!$A$6:$A$59</f>
              <strCache>
                <ptCount val="9"/>
                <pt idx="0">
                  <v>2026-06-22</v>
                </pt>
                <pt idx="1">
                  <v>2026-06-23</v>
                </pt>
                <pt idx="2">
                  <v>2026-06-24</v>
                </pt>
                <pt idx="3">
                  <v>2026-06-25</v>
                </pt>
                <pt idx="4">
                  <v>2026-06-26</v>
                </pt>
                <pt idx="5">
                  <v>2026-06-29</v>
                </pt>
                <pt idx="6">
                  <v>2026-06-30</v>
                </pt>
                <pt idx="7">
                  <v>2026-07-01</v>
                </pt>
                <pt idx="8">
                  <v>2026-07-02</v>
                </pt>
              </strCache>
            </strRef>
          </cat>
          <val>
            <numRef>
              <f>实盘组合净值!$B$6:$B$59</f>
              <numCache>
                <formatCode>0.0000</formatCode>
                <ptCount val="54"/>
                <pt idx="0">
                  <v>1</v>
                </pt>
                <pt idx="1">
                  <v>0.9804231881177369</v>
                </pt>
                <pt idx="2">
                  <v>1.016019720892274</v>
                </pt>
                <pt idx="3">
                  <v>1.04944315512461</v>
                </pt>
                <pt idx="4">
                  <v>1.019445736295865</v>
                </pt>
                <pt idx="5">
                  <v>1.029438664805656</v>
                </pt>
                <pt idx="6">
                  <v>1.074847911714511</v>
                </pt>
                <pt idx="7">
                  <v>1.041667327138773</v>
                </pt>
                <pt idx="8">
                  <v>1.041624195476415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33984"/>
        <axId val="-2068623648"/>
      </lineChart>
      <dateAx>
        <axId val="-2068633984"/>
        <scaling>
          <orientation val="minMax"/>
          <min val="46195"/>
        </scaling>
        <delete val="0"/>
        <axPos val="b"/>
        <numFmt formatCode="mm\-dd" sourceLinked="0"/>
        <majorTickMark val="out"/>
        <minorTickMark val="none"/>
        <tickLblPos val="nextTo"/>
        <crossAx val="-2068623648"/>
        <crosses val="autoZero"/>
        <lblOffset val="100"/>
        <baseTimeUnit val="days"/>
      </dateAx>
      <valAx>
        <axId val="-2068623648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33984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zh-CN" altLang="en-US"/>
              <a:t>产业趋势基石 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实盘组合净值!$A$5:$A$59</f>
              <strCache>
                <ptCount val="10"/>
                <pt idx="0">
                  <v>2026-06-18</v>
                </pt>
                <pt idx="1">
                  <v>2026-06-22</v>
                </pt>
                <pt idx="2">
                  <v>2026-06-23</v>
                </pt>
                <pt idx="3">
                  <v>2026-06-24</v>
                </pt>
                <pt idx="4">
                  <v>2026-06-25</v>
                </pt>
                <pt idx="5">
                  <v>2026-06-26</v>
                </pt>
                <pt idx="6">
                  <v>2026-06-29</v>
                </pt>
                <pt idx="7">
                  <v>2026-06-30</v>
                </pt>
                <pt idx="8">
                  <v>2026-07-01</v>
                </pt>
                <pt idx="9">
                  <v>2026-07-02</v>
                </pt>
              </strCache>
            </strRef>
          </cat>
          <val>
            <numRef>
              <f>实盘组合净值!$E$5:$E$59</f>
              <numCache>
                <formatCode>0.0000</formatCode>
                <ptCount val="55"/>
                <pt idx="0">
                  <v>1</v>
                </pt>
                <pt idx="1">
                  <v>1.023437472843239</v>
                </pt>
                <pt idx="2">
                  <v>1.003337890555695</v>
                </pt>
                <pt idx="3">
                  <v>1.039712676819197</v>
                </pt>
                <pt idx="4">
                  <v>1.073944533490131</v>
                </pt>
                <pt idx="5">
                  <v>1.043145184633274</v>
                </pt>
                <pt idx="6">
                  <v>1.053258392614387</v>
                </pt>
                <pt idx="7">
                  <v>1.099736871295893</v>
                </pt>
                <pt idx="8">
                  <v>1.065754328020187</v>
                </pt>
                <pt idx="9">
                  <v>1.065719078176567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23104"/>
        <axId val="-2068625824"/>
      </lineChart>
      <dateAx>
        <axId val="-2068623104"/>
        <scaling>
          <orientation val="minMax"/>
          <min val="46191"/>
        </scaling>
        <delete val="0"/>
        <axPos val="b"/>
        <numFmt formatCode="mm\-dd" sourceLinked="0"/>
        <majorTickMark val="out"/>
        <minorTickMark val="none"/>
        <tickLblPos val="nextTo"/>
        <crossAx val="-2068625824"/>
        <crosses val="autoZero"/>
        <lblOffset val="100"/>
        <baseTimeUnit val="days"/>
      </dateAx>
      <valAx>
        <axId val="-2068625824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23104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实盘组合净值!$A$7:$A$59</f>
              <strCache>
                <ptCount val="8"/>
                <pt idx="0">
                  <v>2026-06-23</v>
                </pt>
                <pt idx="1">
                  <v>2026-06-24</v>
                </pt>
                <pt idx="2">
                  <v>2026-06-25</v>
                </pt>
                <pt idx="3">
                  <v>2026-06-26</v>
                </pt>
                <pt idx="4">
                  <v>2026-06-29</v>
                </pt>
                <pt idx="5">
                  <v>2026-06-30</v>
                </pt>
                <pt idx="6">
                  <v>2026-07-01</v>
                </pt>
                <pt idx="7">
                  <v>2026-07-02</v>
                </pt>
              </strCache>
            </strRef>
          </cat>
          <val>
            <numRef>
              <f>实盘组合净值!$H$7:$H$59</f>
              <numCache>
                <formatCode>0.0000</formatCode>
                <ptCount val="53"/>
                <pt idx="0">
                  <v>1</v>
                </pt>
                <pt idx="1">
                  <v>1.039202963297934</v>
                </pt>
                <pt idx="2">
                  <v>1.074107644572331</v>
                </pt>
                <pt idx="3">
                  <v>1.050645670240649</v>
                </pt>
                <pt idx="4">
                  <v>1.068509876452695</v>
                </pt>
                <pt idx="5">
                  <v>1.111706695682535</v>
                </pt>
                <pt idx="6">
                  <v>1.083617488151913</v>
                </pt>
                <pt idx="7">
                  <v>1.083572619485683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33440"/>
        <axId val="-2068632352"/>
      </lineChart>
      <dateAx>
        <axId val="-2068633440"/>
        <scaling>
          <orientation val="minMax"/>
          <min val="46196"/>
        </scaling>
        <delete val="0"/>
        <axPos val="b"/>
        <numFmt formatCode="mm\-dd" sourceLinked="0"/>
        <majorTickMark val="out"/>
        <minorTickMark val="none"/>
        <tickLblPos val="nextTo"/>
        <crossAx val="-2068632352"/>
        <crosses val="autoZero"/>
        <lblOffset val="100"/>
        <baseTimeUnit val="days"/>
      </dateAx>
      <valAx>
        <axId val="-2068632352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3344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 xml:space="preserve">10-90 </a:t>
            </a:r>
            <a:r>
              <a:rPr lang="zh-CN" altLang="en-US"/>
              <a:t>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实盘组合净值!$A$8:$A$59</f>
              <strCache>
                <ptCount val="7"/>
                <pt idx="0">
                  <v>2026-06-24</v>
                </pt>
                <pt idx="1">
                  <v>2026-06-25</v>
                </pt>
                <pt idx="2">
                  <v>2026-06-26</v>
                </pt>
                <pt idx="3">
                  <v>2026-06-29</v>
                </pt>
                <pt idx="4">
                  <v>2026-06-30</v>
                </pt>
                <pt idx="5">
                  <v>2026-07-01</v>
                </pt>
                <pt idx="6">
                  <v>2026-07-02</v>
                </pt>
              </strCache>
            </strRef>
          </cat>
          <val>
            <numRef>
              <f>实盘组合净值!$K$8:$K$59</f>
              <numCache>
                <formatCode>0.0000</formatCode>
                <ptCount val="52"/>
                <pt idx="0">
                  <v>1</v>
                </pt>
                <pt idx="1">
                  <v>1.001414194610708</v>
                </pt>
                <pt idx="2">
                  <v>0.999482233533317</v>
                </pt>
                <pt idx="3">
                  <v>1.001381360351553</v>
                </pt>
                <pt idx="4">
                  <v>1.003271993631798</v>
                </pt>
                <pt idx="5">
                  <v>1.000864207138404</v>
                </pt>
                <pt idx="6">
                  <v>1.000842182413188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30720"/>
        <axId val="-2068629632"/>
      </lineChart>
      <dateAx>
        <axId val="-2068630720"/>
        <scaling>
          <orientation val="minMax"/>
          <min val="46197"/>
        </scaling>
        <delete val="0"/>
        <axPos val="b"/>
        <numFmt formatCode="mm\-dd" sourceLinked="0"/>
        <majorTickMark val="out"/>
        <minorTickMark val="none"/>
        <tickLblPos val="nextTo"/>
        <crossAx val="-2068629632"/>
        <crosses val="autoZero"/>
        <lblOffset val="100"/>
        <baseTimeUnit val="days"/>
      </dateAx>
      <valAx>
        <axId val="-2068629632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30720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实盘组合净值!$A$5:$A$59</f>
              <strCache>
                <ptCount val="10"/>
                <pt idx="0">
                  <v>2026-06-18</v>
                </pt>
                <pt idx="1">
                  <v>2026-06-22</v>
                </pt>
                <pt idx="2">
                  <v>2026-06-23</v>
                </pt>
                <pt idx="3">
                  <v>2026-06-24</v>
                </pt>
                <pt idx="4">
                  <v>2026-06-25</v>
                </pt>
                <pt idx="5">
                  <v>2026-06-26</v>
                </pt>
                <pt idx="6">
                  <v>2026-06-29</v>
                </pt>
                <pt idx="7">
                  <v>2026-06-30</v>
                </pt>
                <pt idx="8">
                  <v>2026-07-01</v>
                </pt>
                <pt idx="9">
                  <v>2026-07-02</v>
                </pt>
              </strCache>
            </strRef>
          </cat>
          <val>
            <numRef>
              <f>实盘组合净值!$N$5:$N$59</f>
              <numCache>
                <formatCode>0.0000</formatCode>
                <ptCount val="55"/>
                <pt idx="0">
                  <v>1</v>
                </pt>
                <pt idx="1">
                  <v>1.000895531640774</v>
                </pt>
                <pt idx="2">
                  <v>0.9978226384051641</v>
                </pt>
                <pt idx="3">
                  <v>0.999770568843768</v>
                </pt>
                <pt idx="4">
                  <v>1.001277982095651</v>
                </pt>
                <pt idx="5">
                  <v>0.9989298006435622</v>
                </pt>
                <pt idx="6">
                  <v>1.000521049754879</v>
                </pt>
                <pt idx="7">
                  <v>1.002710139142488</v>
                </pt>
                <pt idx="8">
                  <v>0.9999843673180198</v>
                </pt>
                <pt idx="9">
                  <v>0.9999706346357016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36160"/>
        <axId val="-2068631808"/>
      </lineChart>
      <dateAx>
        <axId val="-2068636160"/>
        <scaling>
          <orientation val="minMax"/>
          <min val="46191"/>
        </scaling>
        <delete val="0"/>
        <axPos val="b"/>
        <numFmt formatCode="mm\-dd" sourceLinked="0"/>
        <majorTickMark val="out"/>
        <minorTickMark val="none"/>
        <tickLblPos val="nextTo"/>
        <crossAx val="-2068631808"/>
        <crosses val="autoZero"/>
        <lblOffset val="100"/>
        <baseTimeUnit val="days"/>
      </dateAx>
      <valAx>
        <axId val="-2068631808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3616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altLang="zh-CN"/>
              <a:t xml:space="preserve">30-70 </a:t>
            </a:r>
            <a:r>
              <a:rPr lang="zh-CN" altLang="en-US"/>
              <a:t>组合净值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v>净值</v>
          </tx>
          <spPr>
            <a:ln xmlns:a="http://schemas.openxmlformats.org/drawingml/2006/main" w="22000">
              <a:solidFill>
                <a:srgbClr val="1F386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实盘组合净值!$A$8:$A$59</f>
              <strCache>
                <ptCount val="7"/>
                <pt idx="0">
                  <v>2026-06-24</v>
                </pt>
                <pt idx="1">
                  <v>2026-06-25</v>
                </pt>
                <pt idx="2">
                  <v>2026-06-26</v>
                </pt>
                <pt idx="3">
                  <v>2026-06-29</v>
                </pt>
                <pt idx="4">
                  <v>2026-06-30</v>
                </pt>
                <pt idx="5">
                  <v>2026-07-01</v>
                </pt>
                <pt idx="6">
                  <v>2026-07-02</v>
                </pt>
              </strCache>
            </strRef>
          </cat>
          <val>
            <numRef>
              <f>实盘组合净值!$Q$8:$Q$59</f>
              <numCache>
                <formatCode>0.0000</formatCode>
                <ptCount val="52"/>
                <pt idx="0">
                  <v>1</v>
                </pt>
                <pt idx="1">
                  <v>1.003973208229428</v>
                </pt>
                <pt idx="2">
                  <v>0.9972080430474539</v>
                </pt>
                <pt idx="3">
                  <v>1.0009806053835</v>
                </pt>
                <pt idx="4">
                  <v>1.008761871140263</v>
                </pt>
                <pt idx="5">
                  <v>1.003915547641838</v>
                </pt>
                <pt idx="6">
                  <v>1.003882343116994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-2068635616"/>
        <axId val="-2068628000"/>
      </lineChart>
      <dateAx>
        <axId val="-2068635616"/>
        <scaling>
          <orientation val="minMax"/>
          <min val="46197"/>
        </scaling>
        <delete val="0"/>
        <axPos val="b"/>
        <numFmt formatCode="mm\-dd" sourceLinked="0"/>
        <majorTickMark val="out"/>
        <minorTickMark val="none"/>
        <tickLblPos val="nextTo"/>
        <crossAx val="-2068628000"/>
        <crosses val="autoZero"/>
        <lblOffset val="100"/>
        <baseTimeUnit val="days"/>
      </dateAx>
      <valAx>
        <axId val="-2068628000"/>
        <scaling>
          <orientation val="minMax"/>
        </scaling>
        <delete val="0"/>
        <axPos val="l"/>
        <numFmt formatCode="0.0000" sourceLinked="0"/>
        <majorTickMark val="none"/>
        <minorTickMark val="none"/>
        <tickLblPos val="nextTo"/>
        <crossAx val="-206863561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18</row>
      <rowOff>0</rowOff>
    </from>
    <ext cx="68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iFinD/ThsFunc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showGridLines="0" tabSelected="1" workbookViewId="0">
      <selection activeCell="D24" sqref="D24"/>
    </sheetView>
  </sheetViews>
  <sheetFormatPr baseColWidth="8" defaultRowHeight="14"/>
  <cols>
    <col width="16" customWidth="1" style="48" min="1" max="1"/>
    <col width="11" customWidth="1" style="48" min="2" max="24"/>
    <col width="9" customWidth="1" style="48" min="25" max="26"/>
    <col width="12" customWidth="1" style="48" min="27" max="27"/>
  </cols>
  <sheetData>
    <row r="1" ht="19" customHeight="1" s="48">
      <c r="A1" s="45" t="inlineStr">
        <is>
          <t>持仓配置（实盘·初始权重）</t>
        </is>
      </c>
      <c r="B1" s="46" t="n"/>
      <c r="C1" s="46" t="n"/>
    </row>
    <row r="2" ht="39" customHeight="1" s="48">
      <c r="A2" s="25" t="inlineStr">
        <is>
          <t>基金简称</t>
        </is>
      </c>
      <c r="B2" s="2" t="inlineStr">
        <is>
          <t>华安黄金ETF联接A</t>
        </is>
      </c>
      <c r="C2" s="2" t="inlineStr">
        <is>
          <t>嘉实快线货币A</t>
        </is>
      </c>
      <c r="D2" s="2" t="inlineStr">
        <is>
          <t>宏利复兴混合A</t>
        </is>
      </c>
      <c r="E2" s="2" t="inlineStr">
        <is>
          <t>博道沪深300增强A</t>
        </is>
      </c>
      <c r="F2" s="2" t="inlineStr">
        <is>
          <t>博道沪深300指增C</t>
        </is>
      </c>
      <c r="G2" s="2" t="inlineStr">
        <is>
          <t>国泰通信设备ETF联接A</t>
        </is>
      </c>
      <c r="H2" s="2" t="inlineStr">
        <is>
          <t>国泰通信设备C</t>
        </is>
      </c>
      <c r="I2" s="2" t="inlineStr">
        <is>
          <t>嘉实前沿科技创新</t>
        </is>
      </c>
      <c r="J2" s="2" t="inlineStr">
        <is>
          <t>银华集成电路混合A</t>
        </is>
      </c>
      <c r="K2" s="2" t="inlineStr">
        <is>
          <t>银华集成电路混合C</t>
        </is>
      </c>
      <c r="L2" s="2" t="inlineStr">
        <is>
          <t>天弘中证1000指增A</t>
        </is>
      </c>
      <c r="M2" s="2" t="inlineStr">
        <is>
          <t>天弘中证1000指增C</t>
        </is>
      </c>
      <c r="N2" s="2" t="inlineStr">
        <is>
          <t>中欧中证500指增A</t>
        </is>
      </c>
      <c r="O2" s="2" t="inlineStr">
        <is>
          <t>中欧中证500指增C</t>
        </is>
      </c>
      <c r="P2" s="2" t="inlineStr">
        <is>
          <t>信澳业绩驱动A</t>
        </is>
      </c>
      <c r="Q2" s="2" t="inlineStr">
        <is>
          <t>嘉实信息产业A</t>
        </is>
      </c>
      <c r="R2" s="2" t="inlineStr">
        <is>
          <t>嘉实信息产业C</t>
        </is>
      </c>
      <c r="S2" s="2" t="inlineStr">
        <is>
          <t>宏利复兴伟业C</t>
        </is>
      </c>
      <c r="T2" s="2" t="inlineStr">
        <is>
          <t>国泰半导体材料设备ETF联接A</t>
        </is>
      </c>
      <c r="U2" s="2" t="inlineStr">
        <is>
          <t>国泰半导体材料设备C</t>
        </is>
      </c>
      <c r="V2" s="2" t="inlineStr">
        <is>
          <t>华泰柏瑞中证2000指增A</t>
        </is>
      </c>
      <c r="W2" s="2" t="inlineStr">
        <is>
          <t>华泰柏瑞中证2000指增C</t>
        </is>
      </c>
      <c r="X2" s="2" t="inlineStr">
        <is>
          <t>易方达中债新综指LOFA</t>
        </is>
      </c>
      <c r="Y2" s="25" t="inlineStr">
        <is>
          <t>合计</t>
        </is>
      </c>
      <c r="Z2" s="25" t="inlineStr">
        <is>
          <t>年化费率</t>
        </is>
      </c>
      <c r="AA2" s="25" t="inlineStr">
        <is>
          <t>净值起始日</t>
        </is>
      </c>
    </row>
    <row r="3">
      <c r="A3" s="25" t="inlineStr">
        <is>
          <t>基金代码</t>
        </is>
      </c>
      <c r="B3" s="3" t="inlineStr">
        <is>
          <t>000216.OF</t>
        </is>
      </c>
      <c r="C3" s="3" t="inlineStr">
        <is>
          <t>000917.OF</t>
        </is>
      </c>
      <c r="D3" s="3" t="inlineStr">
        <is>
          <t>001170.OF</t>
        </is>
      </c>
      <c r="E3" s="3" t="inlineStr">
        <is>
          <t>007044.OF</t>
        </is>
      </c>
      <c r="F3" s="3" t="inlineStr">
        <is>
          <t>007045.OF</t>
        </is>
      </c>
      <c r="G3" s="3" t="inlineStr">
        <is>
          <t>007817.OF</t>
        </is>
      </c>
      <c r="H3" s="3" t="inlineStr">
        <is>
          <t>007818.OF</t>
        </is>
      </c>
      <c r="I3" s="3" t="inlineStr">
        <is>
          <t>009993.OF</t>
        </is>
      </c>
      <c r="J3" s="3" t="inlineStr">
        <is>
          <t>013840.OF</t>
        </is>
      </c>
      <c r="K3" s="3" t="inlineStr">
        <is>
          <t>013841.OF</t>
        </is>
      </c>
      <c r="L3" s="3" t="inlineStr">
        <is>
          <t>014201.OF</t>
        </is>
      </c>
      <c r="M3" s="3" t="inlineStr">
        <is>
          <t>014202.OF</t>
        </is>
      </c>
      <c r="N3" s="3" t="inlineStr">
        <is>
          <t>015453.OF</t>
        </is>
      </c>
      <c r="O3" s="3" t="inlineStr">
        <is>
          <t>015454.OF</t>
        </is>
      </c>
      <c r="P3" s="3" t="inlineStr">
        <is>
          <t>016370.OF</t>
        </is>
      </c>
      <c r="Q3" s="3" t="inlineStr">
        <is>
          <t>017488.OF</t>
        </is>
      </c>
      <c r="R3" s="3" t="inlineStr">
        <is>
          <t>017489.OF</t>
        </is>
      </c>
      <c r="S3" s="3" t="inlineStr">
        <is>
          <t>017612.OF</t>
        </is>
      </c>
      <c r="T3" s="3" t="inlineStr">
        <is>
          <t>019632.OF</t>
        </is>
      </c>
      <c r="U3" s="3" t="inlineStr">
        <is>
          <t>019633.OF</t>
        </is>
      </c>
      <c r="V3" s="3" t="inlineStr">
        <is>
          <t>019923.OF</t>
        </is>
      </c>
      <c r="W3" s="3" t="inlineStr">
        <is>
          <t>019924.OF</t>
        </is>
      </c>
      <c r="X3" s="3" t="inlineStr">
        <is>
          <t>161119.OF</t>
        </is>
      </c>
      <c r="Y3" s="3" t="n"/>
      <c r="Z3" s="3" t="n"/>
      <c r="AA3" s="3" t="n"/>
    </row>
    <row r="4">
      <c r="A4" s="4" t="inlineStr">
        <is>
          <t>产业趋势 权重</t>
        </is>
      </c>
      <c r="B4" s="5" t="n">
        <v>0</v>
      </c>
      <c r="C4" s="5" t="n">
        <v>0.02</v>
      </c>
      <c r="D4" s="5" t="n">
        <v>0.19</v>
      </c>
      <c r="E4" s="5" t="n">
        <v>0</v>
      </c>
      <c r="F4" s="5" t="n">
        <v>0</v>
      </c>
      <c r="G4" s="5" t="n">
        <v>0.11</v>
      </c>
      <c r="H4" s="5" t="n">
        <v>0</v>
      </c>
      <c r="I4" s="5" t="n">
        <v>0</v>
      </c>
      <c r="J4" s="5" t="n">
        <v>0.19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0.19</v>
      </c>
      <c r="Q4" s="5" t="n">
        <v>0.19</v>
      </c>
      <c r="R4" s="5" t="n">
        <v>0</v>
      </c>
      <c r="S4" s="5" t="n">
        <v>0</v>
      </c>
      <c r="T4" s="5" t="n">
        <v>0.11</v>
      </c>
      <c r="U4" s="5" t="n">
        <v>0</v>
      </c>
      <c r="V4" s="5" t="n">
        <v>0</v>
      </c>
      <c r="W4" s="5" t="n">
        <v>0</v>
      </c>
      <c r="X4" s="5" t="n">
        <v>0</v>
      </c>
      <c r="Y4" s="58">
        <f>SUM(B4:X4)</f>
        <v/>
      </c>
      <c r="Z4" s="59" t="n">
        <v>0.015</v>
      </c>
      <c r="AA4" s="60" t="n">
        <v>46195</v>
      </c>
    </row>
    <row r="5">
      <c r="A5" s="4" t="inlineStr">
        <is>
          <t>产业趋势基石 权重</t>
        </is>
      </c>
      <c r="B5" s="5" t="n">
        <v>0</v>
      </c>
      <c r="C5" s="5" t="n">
        <v>0.02</v>
      </c>
      <c r="D5" s="5" t="n">
        <v>0.19</v>
      </c>
      <c r="E5" s="5" t="n">
        <v>0</v>
      </c>
      <c r="F5" s="5" t="n">
        <v>0</v>
      </c>
      <c r="G5" s="5" t="n">
        <v>0.11</v>
      </c>
      <c r="H5" s="5" t="n">
        <v>0</v>
      </c>
      <c r="I5" s="5" t="n">
        <v>0</v>
      </c>
      <c r="J5" s="5" t="n">
        <v>0.19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0.19</v>
      </c>
      <c r="Q5" s="5" t="n">
        <v>0.19</v>
      </c>
      <c r="R5" s="5" t="n">
        <v>0</v>
      </c>
      <c r="S5" s="5" t="n">
        <v>0</v>
      </c>
      <c r="T5" s="5" t="n">
        <v>0.11</v>
      </c>
      <c r="U5" s="5" t="n">
        <v>0</v>
      </c>
      <c r="V5" s="5" t="n">
        <v>0</v>
      </c>
      <c r="W5" s="5" t="n">
        <v>0</v>
      </c>
      <c r="X5" s="5" t="n">
        <v>0</v>
      </c>
      <c r="Y5" s="58">
        <f>SUM(B5:X5)</f>
        <v/>
      </c>
      <c r="Z5" s="59" t="n">
        <v>0.012</v>
      </c>
      <c r="AA5" s="60" t="n">
        <v>46191</v>
      </c>
    </row>
    <row r="6">
      <c r="A6" s="4" t="inlineStr">
        <is>
          <t>产业趋势2号 权重</t>
        </is>
      </c>
      <c r="B6" s="5" t="n">
        <v>0</v>
      </c>
      <c r="C6" s="5" t="n">
        <v>0.02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0.11</v>
      </c>
      <c r="I6" s="5" t="n">
        <v>0.19</v>
      </c>
      <c r="J6" s="5" t="n">
        <v>0</v>
      </c>
      <c r="K6" s="5" t="n">
        <v>0.19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0.19</v>
      </c>
      <c r="S6" s="5" t="n">
        <v>0.19</v>
      </c>
      <c r="T6" s="5" t="n">
        <v>0</v>
      </c>
      <c r="U6" s="5" t="n">
        <v>0.11</v>
      </c>
      <c r="V6" s="5" t="n">
        <v>0</v>
      </c>
      <c r="W6" s="5" t="n">
        <v>0</v>
      </c>
      <c r="X6" s="5" t="n">
        <v>0</v>
      </c>
      <c r="Y6" s="58">
        <f>SUM(B6:X6)</f>
        <v/>
      </c>
      <c r="Z6" s="59" t="n">
        <v>0.015</v>
      </c>
      <c r="AA6" s="60" t="n">
        <v>46196</v>
      </c>
    </row>
    <row r="7">
      <c r="A7" s="4" t="inlineStr">
        <is>
          <t>10-90 权重</t>
        </is>
      </c>
      <c r="B7" s="5" t="n">
        <v>0.05</v>
      </c>
      <c r="C7" s="5" t="n">
        <v>0.02</v>
      </c>
      <c r="D7" s="5" t="n">
        <v>0</v>
      </c>
      <c r="E7" s="5" t="n">
        <v>0</v>
      </c>
      <c r="F7" s="5" t="n">
        <v>0.0125</v>
      </c>
      <c r="G7" s="5" t="n">
        <v>0</v>
      </c>
      <c r="H7" s="5" t="n">
        <v>0.005</v>
      </c>
      <c r="I7" s="5" t="n">
        <v>0.01</v>
      </c>
      <c r="J7" s="5" t="n">
        <v>0</v>
      </c>
      <c r="K7" s="5" t="n">
        <v>0.01</v>
      </c>
      <c r="L7" s="5" t="n">
        <v>0</v>
      </c>
      <c r="M7" s="5" t="n">
        <v>0.0125</v>
      </c>
      <c r="N7" s="5" t="n">
        <v>0</v>
      </c>
      <c r="O7" s="5" t="n">
        <v>0.0125</v>
      </c>
      <c r="P7" s="5" t="n">
        <v>0</v>
      </c>
      <c r="Q7" s="5" t="n">
        <v>0</v>
      </c>
      <c r="R7" s="5" t="n">
        <v>0.01</v>
      </c>
      <c r="S7" s="5" t="n">
        <v>0.01</v>
      </c>
      <c r="T7" s="5" t="n">
        <v>0</v>
      </c>
      <c r="U7" s="5" t="n">
        <v>0.005</v>
      </c>
      <c r="V7" s="5" t="n">
        <v>0</v>
      </c>
      <c r="W7" s="5" t="n">
        <v>0.0125</v>
      </c>
      <c r="X7" s="5" t="n">
        <v>0.83</v>
      </c>
      <c r="Y7" s="58">
        <f>SUM(B7:X7)</f>
        <v/>
      </c>
      <c r="Z7" s="59" t="n">
        <v>0.008</v>
      </c>
      <c r="AA7" s="60" t="n">
        <v>46197</v>
      </c>
    </row>
    <row r="8">
      <c r="A8" s="4" t="inlineStr">
        <is>
          <t>10-90基石 权重</t>
        </is>
      </c>
      <c r="B8" s="5" t="n">
        <v>0.05</v>
      </c>
      <c r="C8" s="5" t="n">
        <v>0.02</v>
      </c>
      <c r="D8" s="5" t="n">
        <v>0.01</v>
      </c>
      <c r="E8" s="5" t="n">
        <v>0.0125</v>
      </c>
      <c r="F8" s="5" t="n">
        <v>0</v>
      </c>
      <c r="G8" s="5" t="n">
        <v>0.005</v>
      </c>
      <c r="H8" s="5" t="n">
        <v>0</v>
      </c>
      <c r="I8" s="5" t="n">
        <v>0</v>
      </c>
      <c r="J8" s="5" t="n">
        <v>0.01</v>
      </c>
      <c r="K8" s="5" t="n">
        <v>0</v>
      </c>
      <c r="L8" s="5" t="n">
        <v>0.0125</v>
      </c>
      <c r="M8" s="5" t="n">
        <v>0</v>
      </c>
      <c r="N8" s="5" t="n">
        <v>0.0125</v>
      </c>
      <c r="O8" s="5" t="n">
        <v>0</v>
      </c>
      <c r="P8" s="5" t="n">
        <v>0.01</v>
      </c>
      <c r="Q8" s="5" t="n">
        <v>0.01</v>
      </c>
      <c r="R8" s="5" t="n">
        <v>0</v>
      </c>
      <c r="S8" s="5" t="n">
        <v>0</v>
      </c>
      <c r="T8" s="5" t="n">
        <v>0.005</v>
      </c>
      <c r="U8" s="5" t="n">
        <v>0</v>
      </c>
      <c r="V8" s="5" t="n">
        <v>0.0125</v>
      </c>
      <c r="W8" s="5" t="n">
        <v>0</v>
      </c>
      <c r="X8" s="5" t="n">
        <v>0.83</v>
      </c>
      <c r="Y8" s="58">
        <f>SUM(B8:X8)</f>
        <v/>
      </c>
      <c r="Z8" s="59" t="n">
        <v>0.005</v>
      </c>
      <c r="AA8" s="60" t="n">
        <v>46191</v>
      </c>
    </row>
    <row r="9">
      <c r="A9" s="4" t="inlineStr">
        <is>
          <t>30-70 权重</t>
        </is>
      </c>
      <c r="B9" s="5" t="n">
        <v>0.1</v>
      </c>
      <c r="C9" s="5" t="n">
        <v>0.02</v>
      </c>
      <c r="D9" s="5" t="n">
        <v>0</v>
      </c>
      <c r="E9" s="5" t="n">
        <v>0</v>
      </c>
      <c r="F9" s="5" t="n">
        <v>0.03750000000000001</v>
      </c>
      <c r="G9" s="5" t="n">
        <v>0</v>
      </c>
      <c r="H9" s="5" t="n">
        <v>0.015</v>
      </c>
      <c r="I9" s="5" t="n">
        <v>0.03</v>
      </c>
      <c r="J9" s="5" t="n">
        <v>0</v>
      </c>
      <c r="K9" s="5" t="n">
        <v>0.03</v>
      </c>
      <c r="L9" s="5" t="n">
        <v>0</v>
      </c>
      <c r="M9" s="5" t="n">
        <v>0.03750000000000001</v>
      </c>
      <c r="N9" s="5" t="n">
        <v>0</v>
      </c>
      <c r="O9" s="5" t="n">
        <v>0.03750000000000001</v>
      </c>
      <c r="P9" s="5" t="n">
        <v>0</v>
      </c>
      <c r="Q9" s="5" t="n">
        <v>0</v>
      </c>
      <c r="R9" s="5" t="n">
        <v>0.03</v>
      </c>
      <c r="S9" s="5" t="n">
        <v>0.03</v>
      </c>
      <c r="T9" s="5" t="n">
        <v>0</v>
      </c>
      <c r="U9" s="5" t="n">
        <v>0.015</v>
      </c>
      <c r="V9" s="5" t="n">
        <v>0</v>
      </c>
      <c r="W9" s="5" t="n">
        <v>0.03750000000000001</v>
      </c>
      <c r="X9" s="5" t="n">
        <v>0.58</v>
      </c>
      <c r="Y9" s="58">
        <f>SUM(B9:X9)</f>
        <v/>
      </c>
      <c r="Z9" s="59" t="n">
        <v>0.012</v>
      </c>
      <c r="AA9" s="60" t="n">
        <v>46197</v>
      </c>
    </row>
    <row r="11" ht="14.5" customHeight="1" s="48">
      <c r="A11" s="55" t="inlineStr">
        <is>
          <t>权重蓝色输入；Z列为各组合年化费率、AA列为各组合净值起始日(当日净值=1)。新增交易日下拉填充，下游净值与看板自动重算。</t>
        </is>
      </c>
    </row>
    <row r="13"/>
    <row r="14"/>
    <row r="15"/>
    <row r="16"/>
    <row r="17"/>
    <row r="18"/>
    <row r="19"/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showGridLines="0" workbookViewId="0">
      <selection activeCell="J31" sqref="J31"/>
    </sheetView>
  </sheetViews>
  <sheetFormatPr baseColWidth="8" defaultRowHeight="14"/>
  <cols>
    <col width="12" customWidth="1" style="48" min="1" max="1"/>
  </cols>
  <sheetData>
    <row r="1" ht="19.5" customHeight="1" s="48">
      <c r="A1" s="47" t="inlineStr">
        <is>
          <t>净值数据 * 实盘</t>
        </is>
      </c>
    </row>
    <row r="2">
      <c r="A2" s="9">
        <f>TODAY()</f>
        <v/>
      </c>
    </row>
    <row r="3" ht="25" customHeight="1" s="48">
      <c r="A3" s="25" t="inlineStr">
        <is>
          <t>基金代码→</t>
        </is>
      </c>
      <c r="B3" s="6">
        <f>实盘持仓配置!B3</f>
        <v/>
      </c>
      <c r="C3" s="6">
        <f>实盘持仓配置!C3</f>
        <v/>
      </c>
      <c r="D3" s="6">
        <f>实盘持仓配置!D3</f>
        <v/>
      </c>
      <c r="E3" s="6">
        <f>实盘持仓配置!E3</f>
        <v/>
      </c>
      <c r="F3" s="6">
        <f>实盘持仓配置!F3</f>
        <v/>
      </c>
      <c r="G3" s="6">
        <f>实盘持仓配置!G3</f>
        <v/>
      </c>
      <c r="H3" s="6">
        <f>实盘持仓配置!H3</f>
        <v/>
      </c>
      <c r="I3" s="6">
        <f>实盘持仓配置!I3</f>
        <v/>
      </c>
      <c r="J3" s="6">
        <f>实盘持仓配置!J3</f>
        <v/>
      </c>
      <c r="K3" s="6">
        <f>实盘持仓配置!K3</f>
        <v/>
      </c>
      <c r="L3" s="6">
        <f>实盘持仓配置!L3</f>
        <v/>
      </c>
      <c r="M3" s="6">
        <f>实盘持仓配置!M3</f>
        <v/>
      </c>
      <c r="N3" s="6">
        <f>实盘持仓配置!N3</f>
        <v/>
      </c>
      <c r="O3" s="6">
        <f>实盘持仓配置!O3</f>
        <v/>
      </c>
      <c r="P3" s="6">
        <f>实盘持仓配置!P3</f>
        <v/>
      </c>
      <c r="Q3" s="6">
        <f>实盘持仓配置!Q3</f>
        <v/>
      </c>
      <c r="R3" s="6">
        <f>实盘持仓配置!R3</f>
        <v/>
      </c>
      <c r="S3" s="6">
        <f>实盘持仓配置!S3</f>
        <v/>
      </c>
      <c r="T3" s="6">
        <f>实盘持仓配置!T3</f>
        <v/>
      </c>
      <c r="U3" s="6">
        <f>实盘持仓配置!U3</f>
        <v/>
      </c>
      <c r="V3" s="6">
        <f>实盘持仓配置!V3</f>
        <v/>
      </c>
      <c r="W3" s="6">
        <f>实盘持仓配置!W3</f>
        <v/>
      </c>
      <c r="X3" s="6">
        <f>实盘持仓配置!X3</f>
        <v/>
      </c>
      <c r="Y3" s="6" t="inlineStr">
        <is>
          <t>162214.OF</t>
        </is>
      </c>
    </row>
    <row r="4" ht="52" customHeight="1" s="48">
      <c r="A4" s="25">
        <f>[1]!HX_AutoDate(1,"2026-06-18",A2,-1,-1,0,0,0,0,0,"SSE",10,0)</f>
        <v/>
      </c>
      <c r="B4" s="2" t="inlineStr">
        <is>
          <t>华安黄金ETF联接A</t>
        </is>
      </c>
      <c r="C4" s="2" t="inlineStr">
        <is>
          <t>嘉实快线货币A</t>
        </is>
      </c>
      <c r="D4" s="2" t="inlineStr">
        <is>
          <t>宏利复兴混合A</t>
        </is>
      </c>
      <c r="E4" s="2" t="inlineStr">
        <is>
          <t>博道沪深300增强A</t>
        </is>
      </c>
      <c r="F4" s="2" t="inlineStr">
        <is>
          <t>博道沪深300指增C</t>
        </is>
      </c>
      <c r="G4" s="2" t="inlineStr">
        <is>
          <t>国泰通信设备ETF联接A</t>
        </is>
      </c>
      <c r="H4" s="2" t="inlineStr">
        <is>
          <t>国泰通信设备C</t>
        </is>
      </c>
      <c r="I4" s="2" t="inlineStr">
        <is>
          <t>嘉实前沿科技创新</t>
        </is>
      </c>
      <c r="J4" s="2" t="inlineStr">
        <is>
          <t>银华集成电路混合A</t>
        </is>
      </c>
      <c r="K4" s="2" t="inlineStr">
        <is>
          <t>银华集成电路混合C</t>
        </is>
      </c>
      <c r="L4" s="2" t="inlineStr">
        <is>
          <t>天弘中证1000指增A</t>
        </is>
      </c>
      <c r="M4" s="2" t="inlineStr">
        <is>
          <t>天弘中证1000指增C</t>
        </is>
      </c>
      <c r="N4" s="2" t="inlineStr">
        <is>
          <t>中欧中证500指增A</t>
        </is>
      </c>
      <c r="O4" s="2" t="inlineStr">
        <is>
          <t>中欧中证500指增C</t>
        </is>
      </c>
      <c r="P4" s="2" t="inlineStr">
        <is>
          <t>信澳业绩驱动A</t>
        </is>
      </c>
      <c r="Q4" s="2" t="inlineStr">
        <is>
          <t>嘉实信息产业A</t>
        </is>
      </c>
      <c r="R4" s="2" t="inlineStr">
        <is>
          <t>嘉实信息产业C</t>
        </is>
      </c>
      <c r="S4" s="2" t="inlineStr">
        <is>
          <t>宏利复兴伟业C</t>
        </is>
      </c>
      <c r="T4" s="2" t="inlineStr">
        <is>
          <t>国泰半导体材料设备ETF联接A</t>
        </is>
      </c>
      <c r="U4" s="2" t="inlineStr">
        <is>
          <t>国泰半导体材料设备C</t>
        </is>
      </c>
      <c r="V4" s="2" t="inlineStr">
        <is>
          <t>华泰柏瑞中证2000指增A</t>
        </is>
      </c>
      <c r="W4" s="2" t="inlineStr">
        <is>
          <t>华泰柏瑞中证2000指增C</t>
        </is>
      </c>
      <c r="X4" s="2" t="inlineStr">
        <is>
          <t>易方达中债新综指LOFA</t>
        </is>
      </c>
      <c r="Y4" s="2" t="inlineStr">
        <is>
          <t>宏利领先中小盘混合</t>
        </is>
      </c>
    </row>
    <row r="5">
      <c r="A5" s="60" t="n">
        <v>46191</v>
      </c>
      <c r="B5" s="61">
        <f>IF($A5="","",[1]!thsiFinD("ths_adjustment_nv_fund",B$3,$A5))</f>
        <v/>
      </c>
      <c r="C5" s="61">
        <f>IF($A5="","",[1]!thsiFinD("ths_adjustment_nv_fund",C$3,$A5))</f>
        <v/>
      </c>
      <c r="D5" s="61">
        <f>IF($A5="","",[1]!thsiFinD("ths_adjustment_nv_fund",D$3,$A5))</f>
        <v/>
      </c>
      <c r="E5" s="61">
        <f>IF($A5="","",[1]!thsiFinD("ths_adjustment_nv_fund",E$3,$A5))</f>
        <v/>
      </c>
      <c r="F5" s="61">
        <f>IF($A5="","",[1]!thsiFinD("ths_adjustment_nv_fund",F$3,$A5))</f>
        <v/>
      </c>
      <c r="G5" s="61">
        <f>IF($A5="","",[1]!thsiFinD("ths_adjustment_nv_fund",G$3,$A5))</f>
        <v/>
      </c>
      <c r="H5" s="61">
        <f>IF($A5="","",[1]!thsiFinD("ths_adjustment_nv_fund",H$3,$A5))</f>
        <v/>
      </c>
      <c r="I5" s="61">
        <f>IF($A5="","",[1]!thsiFinD("ths_adjustment_nv_fund",I$3,$A5))</f>
        <v/>
      </c>
      <c r="J5" s="61">
        <f>IF($A5="","",[1]!thsiFinD("ths_adjustment_nv_fund",J$3,$A5))</f>
        <v/>
      </c>
      <c r="K5" s="61">
        <f>IF($A5="","",[1]!thsiFinD("ths_adjustment_nv_fund",K$3,$A5))</f>
        <v/>
      </c>
      <c r="L5" s="61">
        <f>IF($A5="","",[1]!thsiFinD("ths_adjustment_nv_fund",L$3,$A5))</f>
        <v/>
      </c>
      <c r="M5" s="61">
        <f>IF($A5="","",[1]!thsiFinD("ths_adjustment_nv_fund",M$3,$A5))</f>
        <v/>
      </c>
      <c r="N5" s="61">
        <f>IF($A5="","",[1]!thsiFinD("ths_adjustment_nv_fund",N$3,$A5))</f>
        <v/>
      </c>
      <c r="O5" s="61">
        <f>IF($A5="","",[1]!thsiFinD("ths_adjustment_nv_fund",O$3,$A5))</f>
        <v/>
      </c>
      <c r="P5" s="61">
        <f>IF($A5="","",[1]!thsiFinD("ths_adjustment_nv_fund",P$3,$A5))</f>
        <v/>
      </c>
      <c r="Q5" s="61">
        <f>IF($A5="","",[1]!thsiFinD("ths_adjustment_nv_fund",Q$3,$A5))</f>
        <v/>
      </c>
      <c r="R5" s="61">
        <f>IF($A5="","",[1]!thsiFinD("ths_adjustment_nv_fund",R$3,$A5))</f>
        <v/>
      </c>
      <c r="S5" s="61">
        <f>IF($A5="","",[1]!thsiFinD("ths_adjustment_nv_fund",S$3,$A5))</f>
        <v/>
      </c>
      <c r="T5" s="61">
        <f>IF($A5="","",[1]!thsiFinD("ths_adjustment_nv_fund",T$3,$A5))</f>
        <v/>
      </c>
      <c r="U5" s="61">
        <f>IF($A5="","",[1]!thsiFinD("ths_adjustment_nv_fund",U$3,$A5))</f>
        <v/>
      </c>
      <c r="V5" s="61">
        <f>IF($A5="","",[1]!thsiFinD("ths_adjustment_nv_fund",V$3,$A5))</f>
        <v/>
      </c>
      <c r="W5" s="61">
        <f>IF($A5="","",[1]!thsiFinD("ths_adjustment_nv_fund",W$3,$A5))</f>
        <v/>
      </c>
      <c r="X5" s="61">
        <f>IF($A5="","",[1]!thsiFinD("ths_adjustment_nv_fund",X$3,$A5))</f>
        <v/>
      </c>
      <c r="Y5" s="61">
        <f>IF($A5="","",[1]!thsiFinD("ths_adjustment_nv_fund",Y$3,$A5))</f>
        <v/>
      </c>
    </row>
    <row r="6">
      <c r="A6" s="60" t="n">
        <v>46195</v>
      </c>
      <c r="B6" s="61">
        <f>IF($A6="","",[1]!thsiFinD("ths_adjustment_nv_fund",B$3,$A6))</f>
        <v/>
      </c>
      <c r="C6" s="61">
        <f>IF($A6="","",[1]!thsiFinD("ths_adjustment_nv_fund",C$3,$A6))</f>
        <v/>
      </c>
      <c r="D6" s="61">
        <f>IF($A6="","",[1]!thsiFinD("ths_adjustment_nv_fund",D$3,$A6))</f>
        <v/>
      </c>
      <c r="E6" s="61">
        <f>IF($A6="","",[1]!thsiFinD("ths_adjustment_nv_fund",E$3,$A6))</f>
        <v/>
      </c>
      <c r="F6" s="61">
        <f>IF($A6="","",[1]!thsiFinD("ths_adjustment_nv_fund",F$3,$A6))</f>
        <v/>
      </c>
      <c r="G6" s="61">
        <f>IF($A6="","",[1]!thsiFinD("ths_adjustment_nv_fund",G$3,$A6))</f>
        <v/>
      </c>
      <c r="H6" s="61">
        <f>IF($A6="","",[1]!thsiFinD("ths_adjustment_nv_fund",H$3,$A6))</f>
        <v/>
      </c>
      <c r="I6" s="61">
        <f>IF($A6="","",[1]!thsiFinD("ths_adjustment_nv_fund",I$3,$A6))</f>
        <v/>
      </c>
      <c r="J6" s="61">
        <f>IF($A6="","",[1]!thsiFinD("ths_adjustment_nv_fund",J$3,$A6))</f>
        <v/>
      </c>
      <c r="K6" s="61">
        <f>IF($A6="","",[1]!thsiFinD("ths_adjustment_nv_fund",K$3,$A6))</f>
        <v/>
      </c>
      <c r="L6" s="61">
        <f>IF($A6="","",[1]!thsiFinD("ths_adjustment_nv_fund",L$3,$A6))</f>
        <v/>
      </c>
      <c r="M6" s="61">
        <f>IF($A6="","",[1]!thsiFinD("ths_adjustment_nv_fund",M$3,$A6))</f>
        <v/>
      </c>
      <c r="N6" s="61">
        <f>IF($A6="","",[1]!thsiFinD("ths_adjustment_nv_fund",N$3,$A6))</f>
        <v/>
      </c>
      <c r="O6" s="61">
        <f>IF($A6="","",[1]!thsiFinD("ths_adjustment_nv_fund",O$3,$A6))</f>
        <v/>
      </c>
      <c r="P6" s="61">
        <f>IF($A6="","",[1]!thsiFinD("ths_adjustment_nv_fund",P$3,$A6))</f>
        <v/>
      </c>
      <c r="Q6" s="61">
        <f>IF($A6="","",[1]!thsiFinD("ths_adjustment_nv_fund",Q$3,$A6))</f>
        <v/>
      </c>
      <c r="R6" s="61">
        <f>IF($A6="","",[1]!thsiFinD("ths_adjustment_nv_fund",R$3,$A6))</f>
        <v/>
      </c>
      <c r="S6" s="61">
        <f>IF($A6="","",[1]!thsiFinD("ths_adjustment_nv_fund",S$3,$A6))</f>
        <v/>
      </c>
      <c r="T6" s="61">
        <f>IF($A6="","",[1]!thsiFinD("ths_adjustment_nv_fund",T$3,$A6))</f>
        <v/>
      </c>
      <c r="U6" s="61">
        <f>IF($A6="","",[1]!thsiFinD("ths_adjustment_nv_fund",U$3,$A6))</f>
        <v/>
      </c>
      <c r="V6" s="61">
        <f>IF($A6="","",[1]!thsiFinD("ths_adjustment_nv_fund",V$3,$A6))</f>
        <v/>
      </c>
      <c r="W6" s="61">
        <f>IF($A6="","",[1]!thsiFinD("ths_adjustment_nv_fund",W$3,$A6))</f>
        <v/>
      </c>
      <c r="X6" s="61">
        <f>IF($A6="","",[1]!thsiFinD("ths_adjustment_nv_fund",X$3,$A6))</f>
        <v/>
      </c>
      <c r="Y6" s="61">
        <f>IF($A6="","",[1]!thsiFinD("ths_adjustment_nv_fund",Y$3,$A6))</f>
        <v/>
      </c>
    </row>
    <row r="7">
      <c r="A7" s="60" t="n">
        <v>46196</v>
      </c>
      <c r="B7" s="61">
        <f>IF($A7="","",[1]!thsiFinD("ths_adjustment_nv_fund",B$3,$A7))</f>
        <v/>
      </c>
      <c r="C7" s="61">
        <f>IF($A7="","",[1]!thsiFinD("ths_adjustment_nv_fund",C$3,$A7))</f>
        <v/>
      </c>
      <c r="D7" s="61">
        <f>IF($A7="","",[1]!thsiFinD("ths_adjustment_nv_fund",D$3,$A7))</f>
        <v/>
      </c>
      <c r="E7" s="61">
        <f>IF($A7="","",[1]!thsiFinD("ths_adjustment_nv_fund",E$3,$A7))</f>
        <v/>
      </c>
      <c r="F7" s="61">
        <f>IF($A7="","",[1]!thsiFinD("ths_adjustment_nv_fund",F$3,$A7))</f>
        <v/>
      </c>
      <c r="G7" s="61">
        <f>IF($A7="","",[1]!thsiFinD("ths_adjustment_nv_fund",G$3,$A7))</f>
        <v/>
      </c>
      <c r="H7" s="61">
        <f>IF($A7="","",[1]!thsiFinD("ths_adjustment_nv_fund",H$3,$A7))</f>
        <v/>
      </c>
      <c r="I7" s="61">
        <f>IF($A7="","",[1]!thsiFinD("ths_adjustment_nv_fund",I$3,$A7))</f>
        <v/>
      </c>
      <c r="J7" s="61">
        <f>IF($A7="","",[1]!thsiFinD("ths_adjustment_nv_fund",J$3,$A7))</f>
        <v/>
      </c>
      <c r="K7" s="61">
        <f>IF($A7="","",[1]!thsiFinD("ths_adjustment_nv_fund",K$3,$A7))</f>
        <v/>
      </c>
      <c r="L7" s="61">
        <f>IF($A7="","",[1]!thsiFinD("ths_adjustment_nv_fund",L$3,$A7))</f>
        <v/>
      </c>
      <c r="M7" s="61">
        <f>IF($A7="","",[1]!thsiFinD("ths_adjustment_nv_fund",M$3,$A7))</f>
        <v/>
      </c>
      <c r="N7" s="61">
        <f>IF($A7="","",[1]!thsiFinD("ths_adjustment_nv_fund",N$3,$A7))</f>
        <v/>
      </c>
      <c r="O7" s="61">
        <f>IF($A7="","",[1]!thsiFinD("ths_adjustment_nv_fund",O$3,$A7))</f>
        <v/>
      </c>
      <c r="P7" s="61">
        <f>IF($A7="","",[1]!thsiFinD("ths_adjustment_nv_fund",P$3,$A7))</f>
        <v/>
      </c>
      <c r="Q7" s="61">
        <f>IF($A7="","",[1]!thsiFinD("ths_adjustment_nv_fund",Q$3,$A7))</f>
        <v/>
      </c>
      <c r="R7" s="61">
        <f>IF($A7="","",[1]!thsiFinD("ths_adjustment_nv_fund",R$3,$A7))</f>
        <v/>
      </c>
      <c r="S7" s="61">
        <f>IF($A7="","",[1]!thsiFinD("ths_adjustment_nv_fund",S$3,$A7))</f>
        <v/>
      </c>
      <c r="T7" s="61">
        <f>IF($A7="","",[1]!thsiFinD("ths_adjustment_nv_fund",T$3,$A7))</f>
        <v/>
      </c>
      <c r="U7" s="61">
        <f>IF($A7="","",[1]!thsiFinD("ths_adjustment_nv_fund",U$3,$A7))</f>
        <v/>
      </c>
      <c r="V7" s="61">
        <f>IF($A7="","",[1]!thsiFinD("ths_adjustment_nv_fund",V$3,$A7))</f>
        <v/>
      </c>
      <c r="W7" s="61">
        <f>IF($A7="","",[1]!thsiFinD("ths_adjustment_nv_fund",W$3,$A7))</f>
        <v/>
      </c>
      <c r="X7" s="61">
        <f>IF($A7="","",[1]!thsiFinD("ths_adjustment_nv_fund",X$3,$A7))</f>
        <v/>
      </c>
      <c r="Y7" s="61">
        <f>IF($A7="","",[1]!thsiFinD("ths_adjustment_nv_fund",Y$3,$A7))</f>
        <v/>
      </c>
    </row>
    <row r="8">
      <c r="A8" s="60" t="n">
        <v>46197</v>
      </c>
      <c r="B8" s="61">
        <f>IF($A8="","",[1]!thsiFinD("ths_adjustment_nv_fund",B$3,$A8))</f>
        <v/>
      </c>
      <c r="C8" s="61">
        <f>IF($A8="","",[1]!thsiFinD("ths_adjustment_nv_fund",C$3,$A8))</f>
        <v/>
      </c>
      <c r="D8" s="61">
        <f>IF($A8="","",[1]!thsiFinD("ths_adjustment_nv_fund",D$3,$A8))</f>
        <v/>
      </c>
      <c r="E8" s="61">
        <f>IF($A8="","",[1]!thsiFinD("ths_adjustment_nv_fund",E$3,$A8))</f>
        <v/>
      </c>
      <c r="F8" s="61">
        <f>IF($A8="","",[1]!thsiFinD("ths_adjustment_nv_fund",F$3,$A8))</f>
        <v/>
      </c>
      <c r="G8" s="61">
        <f>IF($A8="","",[1]!thsiFinD("ths_adjustment_nv_fund",G$3,$A8))</f>
        <v/>
      </c>
      <c r="H8" s="61">
        <f>IF($A8="","",[1]!thsiFinD("ths_adjustment_nv_fund",H$3,$A8))</f>
        <v/>
      </c>
      <c r="I8" s="61">
        <f>IF($A8="","",[1]!thsiFinD("ths_adjustment_nv_fund",I$3,$A8))</f>
        <v/>
      </c>
      <c r="J8" s="61">
        <f>IF($A8="","",[1]!thsiFinD("ths_adjustment_nv_fund",J$3,$A8))</f>
        <v/>
      </c>
      <c r="K8" s="61">
        <f>IF($A8="","",[1]!thsiFinD("ths_adjustment_nv_fund",K$3,$A8))</f>
        <v/>
      </c>
      <c r="L8" s="61">
        <f>IF($A8="","",[1]!thsiFinD("ths_adjustment_nv_fund",L$3,$A8))</f>
        <v/>
      </c>
      <c r="M8" s="61">
        <f>IF($A8="","",[1]!thsiFinD("ths_adjustment_nv_fund",M$3,$A8))</f>
        <v/>
      </c>
      <c r="N8" s="61">
        <f>IF($A8="","",[1]!thsiFinD("ths_adjustment_nv_fund",N$3,$A8))</f>
        <v/>
      </c>
      <c r="O8" s="61">
        <f>IF($A8="","",[1]!thsiFinD("ths_adjustment_nv_fund",O$3,$A8))</f>
        <v/>
      </c>
      <c r="P8" s="61">
        <f>IF($A8="","",[1]!thsiFinD("ths_adjustment_nv_fund",P$3,$A8))</f>
        <v/>
      </c>
      <c r="Q8" s="61">
        <f>IF($A8="","",[1]!thsiFinD("ths_adjustment_nv_fund",Q$3,$A8))</f>
        <v/>
      </c>
      <c r="R8" s="61">
        <f>IF($A8="","",[1]!thsiFinD("ths_adjustment_nv_fund",R$3,$A8))</f>
        <v/>
      </c>
      <c r="S8" s="61">
        <f>IF($A8="","",[1]!thsiFinD("ths_adjustment_nv_fund",S$3,$A8))</f>
        <v/>
      </c>
      <c r="T8" s="61">
        <f>IF($A8="","",[1]!thsiFinD("ths_adjustment_nv_fund",T$3,$A8))</f>
        <v/>
      </c>
      <c r="U8" s="61">
        <f>IF($A8="","",[1]!thsiFinD("ths_adjustment_nv_fund",U$3,$A8))</f>
        <v/>
      </c>
      <c r="V8" s="61">
        <f>IF($A8="","",[1]!thsiFinD("ths_adjustment_nv_fund",V$3,$A8))</f>
        <v/>
      </c>
      <c r="W8" s="61">
        <f>IF($A8="","",[1]!thsiFinD("ths_adjustment_nv_fund",W$3,$A8))</f>
        <v/>
      </c>
      <c r="X8" s="61">
        <f>IF($A8="","",[1]!thsiFinD("ths_adjustment_nv_fund",X$3,$A8))</f>
        <v/>
      </c>
      <c r="Y8" s="61">
        <f>IF($A8="","",[1]!thsiFinD("ths_adjustment_nv_fund",Y$3,$A8))</f>
        <v/>
      </c>
    </row>
    <row r="9">
      <c r="A9" s="60" t="n">
        <v>46198</v>
      </c>
      <c r="B9" s="61">
        <f>IF($A9="","",[1]!thsiFinD("ths_adjustment_nv_fund",B$3,$A9))</f>
        <v/>
      </c>
      <c r="C9" s="61">
        <f>IF($A9="","",[1]!thsiFinD("ths_adjustment_nv_fund",C$3,$A9))</f>
        <v/>
      </c>
      <c r="D9" s="61">
        <f>IF($A9="","",[1]!thsiFinD("ths_adjustment_nv_fund",D$3,$A9))</f>
        <v/>
      </c>
      <c r="E9" s="61">
        <f>IF($A9="","",[1]!thsiFinD("ths_adjustment_nv_fund",E$3,$A9))</f>
        <v/>
      </c>
      <c r="F9" s="61">
        <f>IF($A9="","",[1]!thsiFinD("ths_adjustment_nv_fund",F$3,$A9))</f>
        <v/>
      </c>
      <c r="G9" s="61">
        <f>IF($A9="","",[1]!thsiFinD("ths_adjustment_nv_fund",G$3,$A9))</f>
        <v/>
      </c>
      <c r="H9" s="61">
        <f>IF($A9="","",[1]!thsiFinD("ths_adjustment_nv_fund",H$3,$A9))</f>
        <v/>
      </c>
      <c r="I9" s="61">
        <f>IF($A9="","",[1]!thsiFinD("ths_adjustment_nv_fund",I$3,$A9))</f>
        <v/>
      </c>
      <c r="J9" s="61">
        <f>IF($A9="","",[1]!thsiFinD("ths_adjustment_nv_fund",J$3,$A9))</f>
        <v/>
      </c>
      <c r="K9" s="61">
        <f>IF($A9="","",[1]!thsiFinD("ths_adjustment_nv_fund",K$3,$A9))</f>
        <v/>
      </c>
      <c r="L9" s="61">
        <f>IF($A9="","",[1]!thsiFinD("ths_adjustment_nv_fund",L$3,$A9))</f>
        <v/>
      </c>
      <c r="M9" s="61">
        <f>IF($A9="","",[1]!thsiFinD("ths_adjustment_nv_fund",M$3,$A9))</f>
        <v/>
      </c>
      <c r="N9" s="61">
        <f>IF($A9="","",[1]!thsiFinD("ths_adjustment_nv_fund",N$3,$A9))</f>
        <v/>
      </c>
      <c r="O9" s="61">
        <f>IF($A9="","",[1]!thsiFinD("ths_adjustment_nv_fund",O$3,$A9))</f>
        <v/>
      </c>
      <c r="P9" s="61">
        <f>IF($A9="","",[1]!thsiFinD("ths_adjustment_nv_fund",P$3,$A9))</f>
        <v/>
      </c>
      <c r="Q9" s="61">
        <f>IF($A9="","",[1]!thsiFinD("ths_adjustment_nv_fund",Q$3,$A9))</f>
        <v/>
      </c>
      <c r="R9" s="61">
        <f>IF($A9="","",[1]!thsiFinD("ths_adjustment_nv_fund",R$3,$A9))</f>
        <v/>
      </c>
      <c r="S9" s="61">
        <f>IF($A9="","",[1]!thsiFinD("ths_adjustment_nv_fund",S$3,$A9))</f>
        <v/>
      </c>
      <c r="T9" s="61">
        <f>IF($A9="","",[1]!thsiFinD("ths_adjustment_nv_fund",T$3,$A9))</f>
        <v/>
      </c>
      <c r="U9" s="61">
        <f>IF($A9="","",[1]!thsiFinD("ths_adjustment_nv_fund",U$3,$A9))</f>
        <v/>
      </c>
      <c r="V9" s="61">
        <f>IF($A9="","",[1]!thsiFinD("ths_adjustment_nv_fund",V$3,$A9))</f>
        <v/>
      </c>
      <c r="W9" s="61">
        <f>IF($A9="","",[1]!thsiFinD("ths_adjustment_nv_fund",W$3,$A9))</f>
        <v/>
      </c>
      <c r="X9" s="61">
        <f>IF($A9="","",[1]!thsiFinD("ths_adjustment_nv_fund",X$3,$A9))</f>
        <v/>
      </c>
      <c r="Y9" s="61">
        <f>IF($A9="","",[1]!thsiFinD("ths_adjustment_nv_fund",Y$3,$A9))</f>
        <v/>
      </c>
    </row>
    <row r="10">
      <c r="A10" s="60" t="n">
        <v>46199</v>
      </c>
      <c r="B10" s="61">
        <f>IF($A10="","",[1]!thsiFinD("ths_adjustment_nv_fund",B$3,$A10))</f>
        <v/>
      </c>
      <c r="C10" s="61">
        <f>IF($A10="","",[1]!thsiFinD("ths_adjustment_nv_fund",C$3,$A10))</f>
        <v/>
      </c>
      <c r="D10" s="61">
        <f>IF($A10="","",[1]!thsiFinD("ths_adjustment_nv_fund",D$3,$A10))</f>
        <v/>
      </c>
      <c r="E10" s="61">
        <f>IF($A10="","",[1]!thsiFinD("ths_adjustment_nv_fund",E$3,$A10))</f>
        <v/>
      </c>
      <c r="F10" s="61">
        <f>IF($A10="","",[1]!thsiFinD("ths_adjustment_nv_fund",F$3,$A10))</f>
        <v/>
      </c>
      <c r="G10" s="61">
        <f>IF($A10="","",[1]!thsiFinD("ths_adjustment_nv_fund",G$3,$A10))</f>
        <v/>
      </c>
      <c r="H10" s="61">
        <f>IF($A10="","",[1]!thsiFinD("ths_adjustment_nv_fund",H$3,$A10))</f>
        <v/>
      </c>
      <c r="I10" s="61">
        <f>IF($A10="","",[1]!thsiFinD("ths_adjustment_nv_fund",I$3,$A10))</f>
        <v/>
      </c>
      <c r="J10" s="61">
        <f>IF($A10="","",[1]!thsiFinD("ths_adjustment_nv_fund",J$3,$A10))</f>
        <v/>
      </c>
      <c r="K10" s="61">
        <f>IF($A10="","",[1]!thsiFinD("ths_adjustment_nv_fund",K$3,$A10))</f>
        <v/>
      </c>
      <c r="L10" s="61">
        <f>IF($A10="","",[1]!thsiFinD("ths_adjustment_nv_fund",L$3,$A10))</f>
        <v/>
      </c>
      <c r="M10" s="61">
        <f>IF($A10="","",[1]!thsiFinD("ths_adjustment_nv_fund",M$3,$A10))</f>
        <v/>
      </c>
      <c r="N10" s="61">
        <f>IF($A10="","",[1]!thsiFinD("ths_adjustment_nv_fund",N$3,$A10))</f>
        <v/>
      </c>
      <c r="O10" s="61">
        <f>IF($A10="","",[1]!thsiFinD("ths_adjustment_nv_fund",O$3,$A10))</f>
        <v/>
      </c>
      <c r="P10" s="61">
        <f>IF($A10="","",[1]!thsiFinD("ths_adjustment_nv_fund",P$3,$A10))</f>
        <v/>
      </c>
      <c r="Q10" s="61">
        <f>IF($A10="","",[1]!thsiFinD("ths_adjustment_nv_fund",Q$3,$A10))</f>
        <v/>
      </c>
      <c r="R10" s="61">
        <f>IF($A10="","",[1]!thsiFinD("ths_adjustment_nv_fund",R$3,$A10))</f>
        <v/>
      </c>
      <c r="S10" s="61">
        <f>IF($A10="","",[1]!thsiFinD("ths_adjustment_nv_fund",S$3,$A10))</f>
        <v/>
      </c>
      <c r="T10" s="61">
        <f>IF($A10="","",[1]!thsiFinD("ths_adjustment_nv_fund",T$3,$A10))</f>
        <v/>
      </c>
      <c r="U10" s="61">
        <f>IF($A10="","",[1]!thsiFinD("ths_adjustment_nv_fund",U$3,$A10))</f>
        <v/>
      </c>
      <c r="V10" s="61">
        <f>IF($A10="","",[1]!thsiFinD("ths_adjustment_nv_fund",V$3,$A10))</f>
        <v/>
      </c>
      <c r="W10" s="61">
        <f>IF($A10="","",[1]!thsiFinD("ths_adjustment_nv_fund",W$3,$A10))</f>
        <v/>
      </c>
      <c r="X10" s="61">
        <f>IF($A10="","",[1]!thsiFinD("ths_adjustment_nv_fund",X$3,$A10))</f>
        <v/>
      </c>
      <c r="Y10" s="61">
        <f>IF($A10="","",[1]!thsiFinD("ths_adjustment_nv_fund",Y$3,$A10))</f>
        <v/>
      </c>
    </row>
    <row r="11">
      <c r="A11" s="60" t="n">
        <v>46202</v>
      </c>
      <c r="B11" s="61">
        <f>IF($A11="","",[1]!thsiFinD("ths_adjustment_nv_fund",B$3,$A11))</f>
        <v/>
      </c>
      <c r="C11" s="61">
        <f>IF($A11="","",[1]!thsiFinD("ths_adjustment_nv_fund",C$3,$A11))</f>
        <v/>
      </c>
      <c r="D11" s="61">
        <f>IF($A11="","",[1]!thsiFinD("ths_adjustment_nv_fund",D$3,$A11))</f>
        <v/>
      </c>
      <c r="E11" s="61">
        <f>IF($A11="","",[1]!thsiFinD("ths_adjustment_nv_fund",E$3,$A11))</f>
        <v/>
      </c>
      <c r="F11" s="61">
        <f>IF($A11="","",[1]!thsiFinD("ths_adjustment_nv_fund",F$3,$A11))</f>
        <v/>
      </c>
      <c r="G11" s="61">
        <f>IF($A11="","",[1]!thsiFinD("ths_adjustment_nv_fund",G$3,$A11))</f>
        <v/>
      </c>
      <c r="H11" s="61">
        <f>IF($A11="","",[1]!thsiFinD("ths_adjustment_nv_fund",H$3,$A11))</f>
        <v/>
      </c>
      <c r="I11" s="61">
        <f>IF($A11="","",[1]!thsiFinD("ths_adjustment_nv_fund",I$3,$A11))</f>
        <v/>
      </c>
      <c r="J11" s="61">
        <f>IF($A11="","",[1]!thsiFinD("ths_adjustment_nv_fund",J$3,$A11))</f>
        <v/>
      </c>
      <c r="K11" s="61">
        <f>IF($A11="","",[1]!thsiFinD("ths_adjustment_nv_fund",K$3,$A11))</f>
        <v/>
      </c>
      <c r="L11" s="61">
        <f>IF($A11="","",[1]!thsiFinD("ths_adjustment_nv_fund",L$3,$A11))</f>
        <v/>
      </c>
      <c r="M11" s="61">
        <f>IF($A11="","",[1]!thsiFinD("ths_adjustment_nv_fund",M$3,$A11))</f>
        <v/>
      </c>
      <c r="N11" s="61">
        <f>IF($A11="","",[1]!thsiFinD("ths_adjustment_nv_fund",N$3,$A11))</f>
        <v/>
      </c>
      <c r="O11" s="61">
        <f>IF($A11="","",[1]!thsiFinD("ths_adjustment_nv_fund",O$3,$A11))</f>
        <v/>
      </c>
      <c r="P11" s="61">
        <f>IF($A11="","",[1]!thsiFinD("ths_adjustment_nv_fund",P$3,$A11))</f>
        <v/>
      </c>
      <c r="Q11" s="61">
        <f>IF($A11="","",[1]!thsiFinD("ths_adjustment_nv_fund",Q$3,$A11))</f>
        <v/>
      </c>
      <c r="R11" s="61">
        <f>IF($A11="","",[1]!thsiFinD("ths_adjustment_nv_fund",R$3,$A11))</f>
        <v/>
      </c>
      <c r="S11" s="61">
        <f>IF($A11="","",[1]!thsiFinD("ths_adjustment_nv_fund",S$3,$A11))</f>
        <v/>
      </c>
      <c r="T11" s="61">
        <f>IF($A11="","",[1]!thsiFinD("ths_adjustment_nv_fund",T$3,$A11))</f>
        <v/>
      </c>
      <c r="U11" s="61">
        <f>IF($A11="","",[1]!thsiFinD("ths_adjustment_nv_fund",U$3,$A11))</f>
        <v/>
      </c>
      <c r="V11" s="61">
        <f>IF($A11="","",[1]!thsiFinD("ths_adjustment_nv_fund",V$3,$A11))</f>
        <v/>
      </c>
      <c r="W11" s="61">
        <f>IF($A11="","",[1]!thsiFinD("ths_adjustment_nv_fund",W$3,$A11))</f>
        <v/>
      </c>
      <c r="X11" s="61">
        <f>IF($A11="","",[1]!thsiFinD("ths_adjustment_nv_fund",X$3,$A11))</f>
        <v/>
      </c>
      <c r="Y11" s="61">
        <f>IF($A11="","",[1]!thsiFinD("ths_adjustment_nv_fund",Y$3,$A11))</f>
        <v/>
      </c>
    </row>
    <row r="12">
      <c r="A12" s="60" t="n">
        <v>46203</v>
      </c>
      <c r="B12" s="61">
        <f>IF($A12="","",[1]!thsiFinD("ths_adjustment_nv_fund",B$3,$A12))</f>
        <v/>
      </c>
      <c r="C12" s="61">
        <f>IF($A12="","",[1]!thsiFinD("ths_adjustment_nv_fund",C$3,$A12))</f>
        <v/>
      </c>
      <c r="D12" s="61">
        <f>IF($A12="","",[1]!thsiFinD("ths_adjustment_nv_fund",D$3,$A12))</f>
        <v/>
      </c>
      <c r="E12" s="61">
        <f>IF($A12="","",[1]!thsiFinD("ths_adjustment_nv_fund",E$3,$A12))</f>
        <v/>
      </c>
      <c r="F12" s="61">
        <f>IF($A12="","",[1]!thsiFinD("ths_adjustment_nv_fund",F$3,$A12))</f>
        <v/>
      </c>
      <c r="G12" s="61">
        <f>IF($A12="","",[1]!thsiFinD("ths_adjustment_nv_fund",G$3,$A12))</f>
        <v/>
      </c>
      <c r="H12" s="61">
        <f>IF($A12="","",[1]!thsiFinD("ths_adjustment_nv_fund",H$3,$A12))</f>
        <v/>
      </c>
      <c r="I12" s="61">
        <f>IF($A12="","",[1]!thsiFinD("ths_adjustment_nv_fund",I$3,$A12))</f>
        <v/>
      </c>
      <c r="J12" s="61">
        <f>IF($A12="","",[1]!thsiFinD("ths_adjustment_nv_fund",J$3,$A12))</f>
        <v/>
      </c>
      <c r="K12" s="61">
        <f>IF($A12="","",[1]!thsiFinD("ths_adjustment_nv_fund",K$3,$A12))</f>
        <v/>
      </c>
      <c r="L12" s="61">
        <f>IF($A12="","",[1]!thsiFinD("ths_adjustment_nv_fund",L$3,$A12))</f>
        <v/>
      </c>
      <c r="M12" s="61">
        <f>IF($A12="","",[1]!thsiFinD("ths_adjustment_nv_fund",M$3,$A12))</f>
        <v/>
      </c>
      <c r="N12" s="61">
        <f>IF($A12="","",[1]!thsiFinD("ths_adjustment_nv_fund",N$3,$A12))</f>
        <v/>
      </c>
      <c r="O12" s="61">
        <f>IF($A12="","",[1]!thsiFinD("ths_adjustment_nv_fund",O$3,$A12))</f>
        <v/>
      </c>
      <c r="P12" s="61">
        <f>IF($A12="","",[1]!thsiFinD("ths_adjustment_nv_fund",P$3,$A12))</f>
        <v/>
      </c>
      <c r="Q12" s="61">
        <f>IF($A12="","",[1]!thsiFinD("ths_adjustment_nv_fund",Q$3,$A12))</f>
        <v/>
      </c>
      <c r="R12" s="61">
        <f>IF($A12="","",[1]!thsiFinD("ths_adjustment_nv_fund",R$3,$A12))</f>
        <v/>
      </c>
      <c r="S12" s="61">
        <f>IF($A12="","",[1]!thsiFinD("ths_adjustment_nv_fund",S$3,$A12))</f>
        <v/>
      </c>
      <c r="T12" s="61">
        <f>IF($A12="","",[1]!thsiFinD("ths_adjustment_nv_fund",T$3,$A12))</f>
        <v/>
      </c>
      <c r="U12" s="61">
        <f>IF($A12="","",[1]!thsiFinD("ths_adjustment_nv_fund",U$3,$A12))</f>
        <v/>
      </c>
      <c r="V12" s="61">
        <f>IF($A12="","",[1]!thsiFinD("ths_adjustment_nv_fund",V$3,$A12))</f>
        <v/>
      </c>
      <c r="W12" s="61">
        <f>IF($A12="","",[1]!thsiFinD("ths_adjustment_nv_fund",W$3,$A12))</f>
        <v/>
      </c>
      <c r="X12" s="61">
        <f>IF($A12="","",[1]!thsiFinD("ths_adjustment_nv_fund",X$3,$A12))</f>
        <v/>
      </c>
      <c r="Y12" s="61">
        <f>IF($A12="","",[1]!thsiFinD("ths_adjustment_nv_fund",Y$3,$A12))</f>
        <v/>
      </c>
    </row>
    <row r="13">
      <c r="A13" s="60" t="n">
        <v>46204</v>
      </c>
      <c r="B13" s="61">
        <f>IF($A13="","",[1]!thsiFinD("ths_adjustment_nv_fund",B$3,$A13))</f>
        <v/>
      </c>
      <c r="C13" s="61">
        <f>IF($A13="","",[1]!thsiFinD("ths_adjustment_nv_fund",C$3,$A13))</f>
        <v/>
      </c>
      <c r="D13" s="61">
        <f>IF($A13="","",[1]!thsiFinD("ths_adjustment_nv_fund",D$3,$A13))</f>
        <v/>
      </c>
      <c r="E13" s="61">
        <f>IF($A13="","",[1]!thsiFinD("ths_adjustment_nv_fund",E$3,$A13))</f>
        <v/>
      </c>
      <c r="F13" s="61">
        <f>IF($A13="","",[1]!thsiFinD("ths_adjustment_nv_fund",F$3,$A13))</f>
        <v/>
      </c>
      <c r="G13" s="61">
        <f>IF($A13="","",[1]!thsiFinD("ths_adjustment_nv_fund",G$3,$A13))</f>
        <v/>
      </c>
      <c r="H13" s="61">
        <f>IF($A13="","",[1]!thsiFinD("ths_adjustment_nv_fund",H$3,$A13))</f>
        <v/>
      </c>
      <c r="I13" s="61">
        <f>IF($A13="","",[1]!thsiFinD("ths_adjustment_nv_fund",I$3,$A13))</f>
        <v/>
      </c>
      <c r="J13" s="61">
        <f>IF($A13="","",[1]!thsiFinD("ths_adjustment_nv_fund",J$3,$A13))</f>
        <v/>
      </c>
      <c r="K13" s="61">
        <f>IF($A13="","",[1]!thsiFinD("ths_adjustment_nv_fund",K$3,$A13))</f>
        <v/>
      </c>
      <c r="L13" s="61">
        <f>IF($A13="","",[1]!thsiFinD("ths_adjustment_nv_fund",L$3,$A13))</f>
        <v/>
      </c>
      <c r="M13" s="61">
        <f>IF($A13="","",[1]!thsiFinD("ths_adjustment_nv_fund",M$3,$A13))</f>
        <v/>
      </c>
      <c r="N13" s="61">
        <f>IF($A13="","",[1]!thsiFinD("ths_adjustment_nv_fund",N$3,$A13))</f>
        <v/>
      </c>
      <c r="O13" s="61">
        <f>IF($A13="","",[1]!thsiFinD("ths_adjustment_nv_fund",O$3,$A13))</f>
        <v/>
      </c>
      <c r="P13" s="61">
        <f>IF($A13="","",[1]!thsiFinD("ths_adjustment_nv_fund",P$3,$A13))</f>
        <v/>
      </c>
      <c r="Q13" s="61">
        <f>IF($A13="","",[1]!thsiFinD("ths_adjustment_nv_fund",Q$3,$A13))</f>
        <v/>
      </c>
      <c r="R13" s="61">
        <f>IF($A13="","",[1]!thsiFinD("ths_adjustment_nv_fund",R$3,$A13))</f>
        <v/>
      </c>
      <c r="S13" s="61">
        <f>IF($A13="","",[1]!thsiFinD("ths_adjustment_nv_fund",S$3,$A13))</f>
        <v/>
      </c>
      <c r="T13" s="61">
        <f>IF($A13="","",[1]!thsiFinD("ths_adjustment_nv_fund",T$3,$A13))</f>
        <v/>
      </c>
      <c r="U13" s="61">
        <f>IF($A13="","",[1]!thsiFinD("ths_adjustment_nv_fund",U$3,$A13))</f>
        <v/>
      </c>
      <c r="V13" s="61">
        <f>IF($A13="","",[1]!thsiFinD("ths_adjustment_nv_fund",V$3,$A13))</f>
        <v/>
      </c>
      <c r="W13" s="61">
        <f>IF($A13="","",[1]!thsiFinD("ths_adjustment_nv_fund",W$3,$A13))</f>
        <v/>
      </c>
      <c r="X13" s="61">
        <f>IF($A13="","",[1]!thsiFinD("ths_adjustment_nv_fund",X$3,$A13))</f>
        <v/>
      </c>
      <c r="Y13" s="61">
        <f>IF($A13="","",[1]!thsiFinD("ths_adjustment_nv_fund",Y$3,$A13))</f>
        <v/>
      </c>
    </row>
    <row r="14">
      <c r="A14" s="60" t="n">
        <v>46205</v>
      </c>
      <c r="B14" s="61">
        <f>IF($A14="","",[1]!thsiFinD("ths_adjustment_nv_fund",B$3,$A14))</f>
        <v/>
      </c>
      <c r="C14" s="61">
        <f>IF($A14="","",[1]!thsiFinD("ths_adjustment_nv_fund",C$3,$A14))</f>
        <v/>
      </c>
      <c r="D14" s="61">
        <f>IF($A14="","",[1]!thsiFinD("ths_adjustment_nv_fund",D$3,$A14))</f>
        <v/>
      </c>
      <c r="E14" s="61">
        <f>IF($A14="","",[1]!thsiFinD("ths_adjustment_nv_fund",E$3,$A14))</f>
        <v/>
      </c>
      <c r="F14" s="61">
        <f>IF($A14="","",[1]!thsiFinD("ths_adjustment_nv_fund",F$3,$A14))</f>
        <v/>
      </c>
      <c r="G14" s="61">
        <f>IF($A14="","",[1]!thsiFinD("ths_adjustment_nv_fund",G$3,$A14))</f>
        <v/>
      </c>
      <c r="H14" s="61">
        <f>IF($A14="","",[1]!thsiFinD("ths_adjustment_nv_fund",H$3,$A14))</f>
        <v/>
      </c>
      <c r="I14" s="61">
        <f>IF($A14="","",[1]!thsiFinD("ths_adjustment_nv_fund",I$3,$A14))</f>
        <v/>
      </c>
      <c r="J14" s="61">
        <f>IF($A14="","",[1]!thsiFinD("ths_adjustment_nv_fund",J$3,$A14))</f>
        <v/>
      </c>
      <c r="K14" s="61">
        <f>IF($A14="","",[1]!thsiFinD("ths_adjustment_nv_fund",K$3,$A14))</f>
        <v/>
      </c>
      <c r="L14" s="61">
        <f>IF($A14="","",[1]!thsiFinD("ths_adjustment_nv_fund",L$3,$A14))</f>
        <v/>
      </c>
      <c r="M14" s="61">
        <f>IF($A14="","",[1]!thsiFinD("ths_adjustment_nv_fund",M$3,$A14))</f>
        <v/>
      </c>
      <c r="N14" s="61">
        <f>IF($A14="","",[1]!thsiFinD("ths_adjustment_nv_fund",N$3,$A14))</f>
        <v/>
      </c>
      <c r="O14" s="61">
        <f>IF($A14="","",[1]!thsiFinD("ths_adjustment_nv_fund",O$3,$A14))</f>
        <v/>
      </c>
      <c r="P14" s="61">
        <f>IF($A14="","",[1]!thsiFinD("ths_adjustment_nv_fund",P$3,$A14))</f>
        <v/>
      </c>
      <c r="Q14" s="61">
        <f>IF($A14="","",[1]!thsiFinD("ths_adjustment_nv_fund",Q$3,$A14))</f>
        <v/>
      </c>
      <c r="R14" s="61">
        <f>IF($A14="","",[1]!thsiFinD("ths_adjustment_nv_fund",R$3,$A14))</f>
        <v/>
      </c>
      <c r="S14" s="61">
        <f>IF($A14="","",[1]!thsiFinD("ths_adjustment_nv_fund",S$3,$A14))</f>
        <v/>
      </c>
      <c r="T14" s="61">
        <f>IF($A14="","",[1]!thsiFinD("ths_adjustment_nv_fund",T$3,$A14))</f>
        <v/>
      </c>
      <c r="U14" s="61">
        <f>IF($A14="","",[1]!thsiFinD("ths_adjustment_nv_fund",U$3,$A14))</f>
        <v/>
      </c>
      <c r="V14" s="61">
        <f>IF($A14="","",[1]!thsiFinD("ths_adjustment_nv_fund",V$3,$A14))</f>
        <v/>
      </c>
      <c r="W14" s="61">
        <f>IF($A14="","",[1]!thsiFinD("ths_adjustment_nv_fund",W$3,$A14))</f>
        <v/>
      </c>
      <c r="X14" s="61">
        <f>IF($A14="","",[1]!thsiFinD("ths_adjustment_nv_fund",X$3,$A14))</f>
        <v/>
      </c>
      <c r="Y14" s="61">
        <f>IF($A14="","",[1]!thsiFinD("ths_adjustment_nv_fund",Y$3,$A14))</f>
        <v/>
      </c>
    </row>
    <row r="15">
      <c r="A15" s="60" t="n"/>
      <c r="B15" s="61">
        <f>IF($A15="","",[1]!thsiFinD("ths_adjustment_nv_fund",B$3,$A15))</f>
        <v/>
      </c>
      <c r="C15" s="61">
        <f>IF($A15="","",[1]!thsiFinD("ths_adjustment_nv_fund",C$3,$A15))</f>
        <v/>
      </c>
      <c r="D15" s="61">
        <f>IF($A15="","",[1]!thsiFinD("ths_adjustment_nv_fund",D$3,$A15))</f>
        <v/>
      </c>
      <c r="E15" s="61">
        <f>IF($A15="","",[1]!thsiFinD("ths_adjustment_nv_fund",E$3,$A15))</f>
        <v/>
      </c>
      <c r="F15" s="61">
        <f>IF($A15="","",[1]!thsiFinD("ths_adjustment_nv_fund",F$3,$A15))</f>
        <v/>
      </c>
      <c r="G15" s="61">
        <f>IF($A15="","",[1]!thsiFinD("ths_adjustment_nv_fund",G$3,$A15))</f>
        <v/>
      </c>
      <c r="H15" s="61">
        <f>IF($A15="","",[1]!thsiFinD("ths_adjustment_nv_fund",H$3,$A15))</f>
        <v/>
      </c>
      <c r="I15" s="61">
        <f>IF($A15="","",[1]!thsiFinD("ths_adjustment_nv_fund",I$3,$A15))</f>
        <v/>
      </c>
      <c r="J15" s="61">
        <f>IF($A15="","",[1]!thsiFinD("ths_adjustment_nv_fund",J$3,$A15))</f>
        <v/>
      </c>
      <c r="K15" s="61">
        <f>IF($A15="","",[1]!thsiFinD("ths_adjustment_nv_fund",K$3,$A15))</f>
        <v/>
      </c>
      <c r="L15" s="61">
        <f>IF($A15="","",[1]!thsiFinD("ths_adjustment_nv_fund",L$3,$A15))</f>
        <v/>
      </c>
      <c r="M15" s="61">
        <f>IF($A15="","",[1]!thsiFinD("ths_adjustment_nv_fund",M$3,$A15))</f>
        <v/>
      </c>
      <c r="N15" s="61">
        <f>IF($A15="","",[1]!thsiFinD("ths_adjustment_nv_fund",N$3,$A15))</f>
        <v/>
      </c>
      <c r="O15" s="61">
        <f>IF($A15="","",[1]!thsiFinD("ths_adjustment_nv_fund",O$3,$A15))</f>
        <v/>
      </c>
      <c r="P15" s="61">
        <f>IF($A15="","",[1]!thsiFinD("ths_adjustment_nv_fund",P$3,$A15))</f>
        <v/>
      </c>
      <c r="Q15" s="61">
        <f>IF($A15="","",[1]!thsiFinD("ths_adjustment_nv_fund",Q$3,$A15))</f>
        <v/>
      </c>
      <c r="R15" s="61">
        <f>IF($A15="","",[1]!thsiFinD("ths_adjustment_nv_fund",R$3,$A15))</f>
        <v/>
      </c>
      <c r="S15" s="61">
        <f>IF($A15="","",[1]!thsiFinD("ths_adjustment_nv_fund",S$3,$A15))</f>
        <v/>
      </c>
      <c r="T15" s="61">
        <f>IF($A15="","",[1]!thsiFinD("ths_adjustment_nv_fund",T$3,$A15))</f>
        <v/>
      </c>
      <c r="U15" s="61">
        <f>IF($A15="","",[1]!thsiFinD("ths_adjustment_nv_fund",U$3,$A15))</f>
        <v/>
      </c>
      <c r="V15" s="61">
        <f>IF($A15="","",[1]!thsiFinD("ths_adjustment_nv_fund",V$3,$A15))</f>
        <v/>
      </c>
      <c r="W15" s="61">
        <f>IF($A15="","",[1]!thsiFinD("ths_adjustment_nv_fund",W$3,$A15))</f>
        <v/>
      </c>
      <c r="X15" s="61">
        <f>IF($A15="","",[1]!thsiFinD("ths_adjustment_nv_fund",X$3,$A15))</f>
        <v/>
      </c>
      <c r="Y15" s="61">
        <f>IF($A15="","",[1]!thsiFinD("ths_adjustment_nv_fund",Y$3,$A15))</f>
        <v/>
      </c>
    </row>
    <row r="16">
      <c r="A16" s="60" t="n"/>
      <c r="B16" s="61">
        <f>IF($A16="","",[1]!thsiFinD("ths_adjustment_nv_fund",B$3,$A16))</f>
        <v/>
      </c>
      <c r="C16" s="61">
        <f>IF($A16="","",[1]!thsiFinD("ths_adjustment_nv_fund",C$3,$A16))</f>
        <v/>
      </c>
      <c r="D16" s="61">
        <f>IF($A16="","",[1]!thsiFinD("ths_adjustment_nv_fund",D$3,$A16))</f>
        <v/>
      </c>
      <c r="E16" s="61">
        <f>IF($A16="","",[1]!thsiFinD("ths_adjustment_nv_fund",E$3,$A16))</f>
        <v/>
      </c>
      <c r="F16" s="61">
        <f>IF($A16="","",[1]!thsiFinD("ths_adjustment_nv_fund",F$3,$A16))</f>
        <v/>
      </c>
      <c r="G16" s="61">
        <f>IF($A16="","",[1]!thsiFinD("ths_adjustment_nv_fund",G$3,$A16))</f>
        <v/>
      </c>
      <c r="H16" s="61">
        <f>IF($A16="","",[1]!thsiFinD("ths_adjustment_nv_fund",H$3,$A16))</f>
        <v/>
      </c>
      <c r="I16" s="61">
        <f>IF($A16="","",[1]!thsiFinD("ths_adjustment_nv_fund",I$3,$A16))</f>
        <v/>
      </c>
      <c r="J16" s="61">
        <f>IF($A16="","",[1]!thsiFinD("ths_adjustment_nv_fund",J$3,$A16))</f>
        <v/>
      </c>
      <c r="K16" s="61">
        <f>IF($A16="","",[1]!thsiFinD("ths_adjustment_nv_fund",K$3,$A16))</f>
        <v/>
      </c>
      <c r="L16" s="61">
        <f>IF($A16="","",[1]!thsiFinD("ths_adjustment_nv_fund",L$3,$A16))</f>
        <v/>
      </c>
      <c r="M16" s="61">
        <f>IF($A16="","",[1]!thsiFinD("ths_adjustment_nv_fund",M$3,$A16))</f>
        <v/>
      </c>
      <c r="N16" s="61">
        <f>IF($A16="","",[1]!thsiFinD("ths_adjustment_nv_fund",N$3,$A16))</f>
        <v/>
      </c>
      <c r="O16" s="61">
        <f>IF($A16="","",[1]!thsiFinD("ths_adjustment_nv_fund",O$3,$A16))</f>
        <v/>
      </c>
      <c r="P16" s="61">
        <f>IF($A16="","",[1]!thsiFinD("ths_adjustment_nv_fund",P$3,$A16))</f>
        <v/>
      </c>
      <c r="Q16" s="61">
        <f>IF($A16="","",[1]!thsiFinD("ths_adjustment_nv_fund",Q$3,$A16))</f>
        <v/>
      </c>
      <c r="R16" s="61">
        <f>IF($A16="","",[1]!thsiFinD("ths_adjustment_nv_fund",R$3,$A16))</f>
        <v/>
      </c>
      <c r="S16" s="61">
        <f>IF($A16="","",[1]!thsiFinD("ths_adjustment_nv_fund",S$3,$A16))</f>
        <v/>
      </c>
      <c r="T16" s="61">
        <f>IF($A16="","",[1]!thsiFinD("ths_adjustment_nv_fund",T$3,$A16))</f>
        <v/>
      </c>
      <c r="U16" s="61">
        <f>IF($A16="","",[1]!thsiFinD("ths_adjustment_nv_fund",U$3,$A16))</f>
        <v/>
      </c>
      <c r="V16" s="61">
        <f>IF($A16="","",[1]!thsiFinD("ths_adjustment_nv_fund",V$3,$A16))</f>
        <v/>
      </c>
      <c r="W16" s="61">
        <f>IF($A16="","",[1]!thsiFinD("ths_adjustment_nv_fund",W$3,$A16))</f>
        <v/>
      </c>
      <c r="X16" s="61">
        <f>IF($A16="","",[1]!thsiFinD("ths_adjustment_nv_fund",X$3,$A16))</f>
        <v/>
      </c>
      <c r="Y16" s="61">
        <f>IF($A16="","",[1]!thsiFinD("ths_adjustment_nv_fund",Y$3,$A16))</f>
        <v/>
      </c>
    </row>
    <row r="17">
      <c r="A17" s="60" t="n"/>
      <c r="B17" s="61">
        <f>IF($A17="","",[1]!thsiFinD("ths_adjustment_nv_fund",B$3,$A17))</f>
        <v/>
      </c>
      <c r="C17" s="61">
        <f>IF($A17="","",[1]!thsiFinD("ths_adjustment_nv_fund",C$3,$A17))</f>
        <v/>
      </c>
      <c r="D17" s="61">
        <f>IF($A17="","",[1]!thsiFinD("ths_adjustment_nv_fund",D$3,$A17))</f>
        <v/>
      </c>
      <c r="E17" s="61">
        <f>IF($A17="","",[1]!thsiFinD("ths_adjustment_nv_fund",E$3,$A17))</f>
        <v/>
      </c>
      <c r="F17" s="61">
        <f>IF($A17="","",[1]!thsiFinD("ths_adjustment_nv_fund",F$3,$A17))</f>
        <v/>
      </c>
      <c r="G17" s="61">
        <f>IF($A17="","",[1]!thsiFinD("ths_adjustment_nv_fund",G$3,$A17))</f>
        <v/>
      </c>
      <c r="H17" s="61">
        <f>IF($A17="","",[1]!thsiFinD("ths_adjustment_nv_fund",H$3,$A17))</f>
        <v/>
      </c>
      <c r="I17" s="61">
        <f>IF($A17="","",[1]!thsiFinD("ths_adjustment_nv_fund",I$3,$A17))</f>
        <v/>
      </c>
      <c r="J17" s="61">
        <f>IF($A17="","",[1]!thsiFinD("ths_adjustment_nv_fund",J$3,$A17))</f>
        <v/>
      </c>
      <c r="K17" s="61">
        <f>IF($A17="","",[1]!thsiFinD("ths_adjustment_nv_fund",K$3,$A17))</f>
        <v/>
      </c>
      <c r="L17" s="61">
        <f>IF($A17="","",[1]!thsiFinD("ths_adjustment_nv_fund",L$3,$A17))</f>
        <v/>
      </c>
      <c r="M17" s="61">
        <f>IF($A17="","",[1]!thsiFinD("ths_adjustment_nv_fund",M$3,$A17))</f>
        <v/>
      </c>
      <c r="N17" s="61">
        <f>IF($A17="","",[1]!thsiFinD("ths_adjustment_nv_fund",N$3,$A17))</f>
        <v/>
      </c>
      <c r="O17" s="61">
        <f>IF($A17="","",[1]!thsiFinD("ths_adjustment_nv_fund",O$3,$A17))</f>
        <v/>
      </c>
      <c r="P17" s="61">
        <f>IF($A17="","",[1]!thsiFinD("ths_adjustment_nv_fund",P$3,$A17))</f>
        <v/>
      </c>
      <c r="Q17" s="61">
        <f>IF($A17="","",[1]!thsiFinD("ths_adjustment_nv_fund",Q$3,$A17))</f>
        <v/>
      </c>
      <c r="R17" s="61">
        <f>IF($A17="","",[1]!thsiFinD("ths_adjustment_nv_fund",R$3,$A17))</f>
        <v/>
      </c>
      <c r="S17" s="61">
        <f>IF($A17="","",[1]!thsiFinD("ths_adjustment_nv_fund",S$3,$A17))</f>
        <v/>
      </c>
      <c r="T17" s="61">
        <f>IF($A17="","",[1]!thsiFinD("ths_adjustment_nv_fund",T$3,$A17))</f>
        <v/>
      </c>
      <c r="U17" s="61">
        <f>IF($A17="","",[1]!thsiFinD("ths_adjustment_nv_fund",U$3,$A17))</f>
        <v/>
      </c>
      <c r="V17" s="61">
        <f>IF($A17="","",[1]!thsiFinD("ths_adjustment_nv_fund",V$3,$A17))</f>
        <v/>
      </c>
      <c r="W17" s="61">
        <f>IF($A17="","",[1]!thsiFinD("ths_adjustment_nv_fund",W$3,$A17))</f>
        <v/>
      </c>
      <c r="X17" s="61">
        <f>IF($A17="","",[1]!thsiFinD("ths_adjustment_nv_fund",X$3,$A17))</f>
        <v/>
      </c>
      <c r="Y17" s="61">
        <f>IF($A17="","",[1]!thsiFinD("ths_adjustment_nv_fund",Y$3,$A17))</f>
        <v/>
      </c>
    </row>
    <row r="18">
      <c r="A18" s="60" t="n"/>
      <c r="B18" s="61">
        <f>IF($A18="","",[1]!thsiFinD("ths_adjustment_nv_fund",B$3,$A18))</f>
        <v/>
      </c>
      <c r="C18" s="61">
        <f>IF($A18="","",[1]!thsiFinD("ths_adjustment_nv_fund",C$3,$A18))</f>
        <v/>
      </c>
      <c r="D18" s="61">
        <f>IF($A18="","",[1]!thsiFinD("ths_adjustment_nv_fund",D$3,$A18))</f>
        <v/>
      </c>
      <c r="E18" s="61">
        <f>IF($A18="","",[1]!thsiFinD("ths_adjustment_nv_fund",E$3,$A18))</f>
        <v/>
      </c>
      <c r="F18" s="61">
        <f>IF($A18="","",[1]!thsiFinD("ths_adjustment_nv_fund",F$3,$A18))</f>
        <v/>
      </c>
      <c r="G18" s="61">
        <f>IF($A18="","",[1]!thsiFinD("ths_adjustment_nv_fund",G$3,$A18))</f>
        <v/>
      </c>
      <c r="H18" s="61">
        <f>IF($A18="","",[1]!thsiFinD("ths_adjustment_nv_fund",H$3,$A18))</f>
        <v/>
      </c>
      <c r="I18" s="61">
        <f>IF($A18="","",[1]!thsiFinD("ths_adjustment_nv_fund",I$3,$A18))</f>
        <v/>
      </c>
      <c r="J18" s="61">
        <f>IF($A18="","",[1]!thsiFinD("ths_adjustment_nv_fund",J$3,$A18))</f>
        <v/>
      </c>
      <c r="K18" s="61">
        <f>IF($A18="","",[1]!thsiFinD("ths_adjustment_nv_fund",K$3,$A18))</f>
        <v/>
      </c>
      <c r="L18" s="61">
        <f>IF($A18="","",[1]!thsiFinD("ths_adjustment_nv_fund",L$3,$A18))</f>
        <v/>
      </c>
      <c r="M18" s="61">
        <f>IF($A18="","",[1]!thsiFinD("ths_adjustment_nv_fund",M$3,$A18))</f>
        <v/>
      </c>
      <c r="N18" s="61">
        <f>IF($A18="","",[1]!thsiFinD("ths_adjustment_nv_fund",N$3,$A18))</f>
        <v/>
      </c>
      <c r="O18" s="61">
        <f>IF($A18="","",[1]!thsiFinD("ths_adjustment_nv_fund",O$3,$A18))</f>
        <v/>
      </c>
      <c r="P18" s="61">
        <f>IF($A18="","",[1]!thsiFinD("ths_adjustment_nv_fund",P$3,$A18))</f>
        <v/>
      </c>
      <c r="Q18" s="61">
        <f>IF($A18="","",[1]!thsiFinD("ths_adjustment_nv_fund",Q$3,$A18))</f>
        <v/>
      </c>
      <c r="R18" s="61">
        <f>IF($A18="","",[1]!thsiFinD("ths_adjustment_nv_fund",R$3,$A18))</f>
        <v/>
      </c>
      <c r="S18" s="61">
        <f>IF($A18="","",[1]!thsiFinD("ths_adjustment_nv_fund",S$3,$A18))</f>
        <v/>
      </c>
      <c r="T18" s="61">
        <f>IF($A18="","",[1]!thsiFinD("ths_adjustment_nv_fund",T$3,$A18))</f>
        <v/>
      </c>
      <c r="U18" s="61">
        <f>IF($A18="","",[1]!thsiFinD("ths_adjustment_nv_fund",U$3,$A18))</f>
        <v/>
      </c>
      <c r="V18" s="61">
        <f>IF($A18="","",[1]!thsiFinD("ths_adjustment_nv_fund",V$3,$A18))</f>
        <v/>
      </c>
      <c r="W18" s="61">
        <f>IF($A18="","",[1]!thsiFinD("ths_adjustment_nv_fund",W$3,$A18))</f>
        <v/>
      </c>
      <c r="X18" s="61">
        <f>IF($A18="","",[1]!thsiFinD("ths_adjustment_nv_fund",X$3,$A18))</f>
        <v/>
      </c>
      <c r="Y18" s="61">
        <f>IF($A18="","",[1]!thsiFinD("ths_adjustment_nv_fund",Y$3,$A18))</f>
        <v/>
      </c>
    </row>
    <row r="19">
      <c r="A19" s="60" t="n"/>
      <c r="B19" s="61">
        <f>IF($A19="","",[1]!thsiFinD("ths_adjustment_nv_fund",B$3,$A19))</f>
        <v/>
      </c>
      <c r="C19" s="61">
        <f>IF($A19="","",[1]!thsiFinD("ths_adjustment_nv_fund",C$3,$A19))</f>
        <v/>
      </c>
      <c r="D19" s="61">
        <f>IF($A19="","",[1]!thsiFinD("ths_adjustment_nv_fund",D$3,$A19))</f>
        <v/>
      </c>
      <c r="E19" s="61">
        <f>IF($A19="","",[1]!thsiFinD("ths_adjustment_nv_fund",E$3,$A19))</f>
        <v/>
      </c>
      <c r="F19" s="61">
        <f>IF($A19="","",[1]!thsiFinD("ths_adjustment_nv_fund",F$3,$A19))</f>
        <v/>
      </c>
      <c r="G19" s="61">
        <f>IF($A19="","",[1]!thsiFinD("ths_adjustment_nv_fund",G$3,$A19))</f>
        <v/>
      </c>
      <c r="H19" s="61">
        <f>IF($A19="","",[1]!thsiFinD("ths_adjustment_nv_fund",H$3,$A19))</f>
        <v/>
      </c>
      <c r="I19" s="61">
        <f>IF($A19="","",[1]!thsiFinD("ths_adjustment_nv_fund",I$3,$A19))</f>
        <v/>
      </c>
      <c r="J19" s="61">
        <f>IF($A19="","",[1]!thsiFinD("ths_adjustment_nv_fund",J$3,$A19))</f>
        <v/>
      </c>
      <c r="K19" s="61">
        <f>IF($A19="","",[1]!thsiFinD("ths_adjustment_nv_fund",K$3,$A19))</f>
        <v/>
      </c>
      <c r="L19" s="61">
        <f>IF($A19="","",[1]!thsiFinD("ths_adjustment_nv_fund",L$3,$A19))</f>
        <v/>
      </c>
      <c r="M19" s="61">
        <f>IF($A19="","",[1]!thsiFinD("ths_adjustment_nv_fund",M$3,$A19))</f>
        <v/>
      </c>
      <c r="N19" s="61">
        <f>IF($A19="","",[1]!thsiFinD("ths_adjustment_nv_fund",N$3,$A19))</f>
        <v/>
      </c>
      <c r="O19" s="61">
        <f>IF($A19="","",[1]!thsiFinD("ths_adjustment_nv_fund",O$3,$A19))</f>
        <v/>
      </c>
      <c r="P19" s="61">
        <f>IF($A19="","",[1]!thsiFinD("ths_adjustment_nv_fund",P$3,$A19))</f>
        <v/>
      </c>
      <c r="Q19" s="61">
        <f>IF($A19="","",[1]!thsiFinD("ths_adjustment_nv_fund",Q$3,$A19))</f>
        <v/>
      </c>
      <c r="R19" s="61">
        <f>IF($A19="","",[1]!thsiFinD("ths_adjustment_nv_fund",R$3,$A19))</f>
        <v/>
      </c>
      <c r="S19" s="61">
        <f>IF($A19="","",[1]!thsiFinD("ths_adjustment_nv_fund",S$3,$A19))</f>
        <v/>
      </c>
      <c r="T19" s="61">
        <f>IF($A19="","",[1]!thsiFinD("ths_adjustment_nv_fund",T$3,$A19))</f>
        <v/>
      </c>
      <c r="U19" s="61">
        <f>IF($A19="","",[1]!thsiFinD("ths_adjustment_nv_fund",U$3,$A19))</f>
        <v/>
      </c>
      <c r="V19" s="61">
        <f>IF($A19="","",[1]!thsiFinD("ths_adjustment_nv_fund",V$3,$A19))</f>
        <v/>
      </c>
      <c r="W19" s="61">
        <f>IF($A19="","",[1]!thsiFinD("ths_adjustment_nv_fund",W$3,$A19))</f>
        <v/>
      </c>
      <c r="X19" s="61">
        <f>IF($A19="","",[1]!thsiFinD("ths_adjustment_nv_fund",X$3,$A19))</f>
        <v/>
      </c>
      <c r="Y19" s="61">
        <f>IF($A19="","",[1]!thsiFinD("ths_adjustment_nv_fund",Y$3,$A19))</f>
        <v/>
      </c>
    </row>
    <row r="20">
      <c r="A20" s="60" t="n"/>
      <c r="B20" s="61">
        <f>IF($A20="","",[1]!thsiFinD("ths_adjustment_nv_fund",B$3,$A20))</f>
        <v/>
      </c>
      <c r="C20" s="61">
        <f>IF($A20="","",[1]!thsiFinD("ths_adjustment_nv_fund",C$3,$A20))</f>
        <v/>
      </c>
      <c r="D20" s="61">
        <f>IF($A20="","",[1]!thsiFinD("ths_adjustment_nv_fund",D$3,$A20))</f>
        <v/>
      </c>
      <c r="E20" s="61">
        <f>IF($A20="","",[1]!thsiFinD("ths_adjustment_nv_fund",E$3,$A20))</f>
        <v/>
      </c>
      <c r="F20" s="61">
        <f>IF($A20="","",[1]!thsiFinD("ths_adjustment_nv_fund",F$3,$A20))</f>
        <v/>
      </c>
      <c r="G20" s="61">
        <f>IF($A20="","",[1]!thsiFinD("ths_adjustment_nv_fund",G$3,$A20))</f>
        <v/>
      </c>
      <c r="H20" s="61">
        <f>IF($A20="","",[1]!thsiFinD("ths_adjustment_nv_fund",H$3,$A20))</f>
        <v/>
      </c>
      <c r="I20" s="61">
        <f>IF($A20="","",[1]!thsiFinD("ths_adjustment_nv_fund",I$3,$A20))</f>
        <v/>
      </c>
      <c r="J20" s="61">
        <f>IF($A20="","",[1]!thsiFinD("ths_adjustment_nv_fund",J$3,$A20))</f>
        <v/>
      </c>
      <c r="K20" s="61">
        <f>IF($A20="","",[1]!thsiFinD("ths_adjustment_nv_fund",K$3,$A20))</f>
        <v/>
      </c>
      <c r="L20" s="61">
        <f>IF($A20="","",[1]!thsiFinD("ths_adjustment_nv_fund",L$3,$A20))</f>
        <v/>
      </c>
      <c r="M20" s="61">
        <f>IF($A20="","",[1]!thsiFinD("ths_adjustment_nv_fund",M$3,$A20))</f>
        <v/>
      </c>
      <c r="N20" s="61">
        <f>IF($A20="","",[1]!thsiFinD("ths_adjustment_nv_fund",N$3,$A20))</f>
        <v/>
      </c>
      <c r="O20" s="61">
        <f>IF($A20="","",[1]!thsiFinD("ths_adjustment_nv_fund",O$3,$A20))</f>
        <v/>
      </c>
      <c r="P20" s="61">
        <f>IF($A20="","",[1]!thsiFinD("ths_adjustment_nv_fund",P$3,$A20))</f>
        <v/>
      </c>
      <c r="Q20" s="61">
        <f>IF($A20="","",[1]!thsiFinD("ths_adjustment_nv_fund",Q$3,$A20))</f>
        <v/>
      </c>
      <c r="R20" s="61">
        <f>IF($A20="","",[1]!thsiFinD("ths_adjustment_nv_fund",R$3,$A20))</f>
        <v/>
      </c>
      <c r="S20" s="61">
        <f>IF($A20="","",[1]!thsiFinD("ths_adjustment_nv_fund",S$3,$A20))</f>
        <v/>
      </c>
      <c r="T20" s="61">
        <f>IF($A20="","",[1]!thsiFinD("ths_adjustment_nv_fund",T$3,$A20))</f>
        <v/>
      </c>
      <c r="U20" s="61">
        <f>IF($A20="","",[1]!thsiFinD("ths_adjustment_nv_fund",U$3,$A20))</f>
        <v/>
      </c>
      <c r="V20" s="61">
        <f>IF($A20="","",[1]!thsiFinD("ths_adjustment_nv_fund",V$3,$A20))</f>
        <v/>
      </c>
      <c r="W20" s="61">
        <f>IF($A20="","",[1]!thsiFinD("ths_adjustment_nv_fund",W$3,$A20))</f>
        <v/>
      </c>
      <c r="X20" s="61">
        <f>IF($A20="","",[1]!thsiFinD("ths_adjustment_nv_fund",X$3,$A20))</f>
        <v/>
      </c>
      <c r="Y20" s="61">
        <f>IF($A20="","",[1]!thsiFinD("ths_adjustment_nv_fund",Y$3,$A20))</f>
        <v/>
      </c>
    </row>
    <row r="21">
      <c r="A21" s="60" t="n"/>
      <c r="B21" s="61">
        <f>IF($A21="","",[1]!thsiFinD("ths_adjustment_nv_fund",B$3,$A21))</f>
        <v/>
      </c>
      <c r="C21" s="61">
        <f>IF($A21="","",[1]!thsiFinD("ths_adjustment_nv_fund",C$3,$A21))</f>
        <v/>
      </c>
      <c r="D21" s="61">
        <f>IF($A21="","",[1]!thsiFinD("ths_adjustment_nv_fund",D$3,$A21))</f>
        <v/>
      </c>
      <c r="E21" s="61">
        <f>IF($A21="","",[1]!thsiFinD("ths_adjustment_nv_fund",E$3,$A21))</f>
        <v/>
      </c>
      <c r="F21" s="61">
        <f>IF($A21="","",[1]!thsiFinD("ths_adjustment_nv_fund",F$3,$A21))</f>
        <v/>
      </c>
      <c r="G21" s="61">
        <f>IF($A21="","",[1]!thsiFinD("ths_adjustment_nv_fund",G$3,$A21))</f>
        <v/>
      </c>
      <c r="H21" s="61">
        <f>IF($A21="","",[1]!thsiFinD("ths_adjustment_nv_fund",H$3,$A21))</f>
        <v/>
      </c>
      <c r="I21" s="61">
        <f>IF($A21="","",[1]!thsiFinD("ths_adjustment_nv_fund",I$3,$A21))</f>
        <v/>
      </c>
      <c r="J21" s="61">
        <f>IF($A21="","",[1]!thsiFinD("ths_adjustment_nv_fund",J$3,$A21))</f>
        <v/>
      </c>
      <c r="K21" s="61">
        <f>IF($A21="","",[1]!thsiFinD("ths_adjustment_nv_fund",K$3,$A21))</f>
        <v/>
      </c>
      <c r="L21" s="61">
        <f>IF($A21="","",[1]!thsiFinD("ths_adjustment_nv_fund",L$3,$A21))</f>
        <v/>
      </c>
      <c r="M21" s="61">
        <f>IF($A21="","",[1]!thsiFinD("ths_adjustment_nv_fund",M$3,$A21))</f>
        <v/>
      </c>
      <c r="N21" s="61">
        <f>IF($A21="","",[1]!thsiFinD("ths_adjustment_nv_fund",N$3,$A21))</f>
        <v/>
      </c>
      <c r="O21" s="61">
        <f>IF($A21="","",[1]!thsiFinD("ths_adjustment_nv_fund",O$3,$A21))</f>
        <v/>
      </c>
      <c r="P21" s="61">
        <f>IF($A21="","",[1]!thsiFinD("ths_adjustment_nv_fund",P$3,$A21))</f>
        <v/>
      </c>
      <c r="Q21" s="61">
        <f>IF($A21="","",[1]!thsiFinD("ths_adjustment_nv_fund",Q$3,$A21))</f>
        <v/>
      </c>
      <c r="R21" s="61">
        <f>IF($A21="","",[1]!thsiFinD("ths_adjustment_nv_fund",R$3,$A21))</f>
        <v/>
      </c>
      <c r="S21" s="61">
        <f>IF($A21="","",[1]!thsiFinD("ths_adjustment_nv_fund",S$3,$A21))</f>
        <v/>
      </c>
      <c r="T21" s="61">
        <f>IF($A21="","",[1]!thsiFinD("ths_adjustment_nv_fund",T$3,$A21))</f>
        <v/>
      </c>
      <c r="U21" s="61">
        <f>IF($A21="","",[1]!thsiFinD("ths_adjustment_nv_fund",U$3,$A21))</f>
        <v/>
      </c>
      <c r="V21" s="61">
        <f>IF($A21="","",[1]!thsiFinD("ths_adjustment_nv_fund",V$3,$A21))</f>
        <v/>
      </c>
      <c r="W21" s="61">
        <f>IF($A21="","",[1]!thsiFinD("ths_adjustment_nv_fund",W$3,$A21))</f>
        <v/>
      </c>
      <c r="X21" s="61">
        <f>IF($A21="","",[1]!thsiFinD("ths_adjustment_nv_fund",X$3,$A21))</f>
        <v/>
      </c>
      <c r="Y21" s="61">
        <f>IF($A21="","",[1]!thsiFinD("ths_adjustment_nv_fund",Y$3,$A21))</f>
        <v/>
      </c>
    </row>
    <row r="22">
      <c r="A22" s="60" t="n"/>
      <c r="B22" s="61">
        <f>IF($A22="","",[1]!thsiFinD("ths_adjustment_nv_fund",B$3,$A22))</f>
        <v/>
      </c>
      <c r="C22" s="61">
        <f>IF($A22="","",[1]!thsiFinD("ths_adjustment_nv_fund",C$3,$A22))</f>
        <v/>
      </c>
      <c r="D22" s="61">
        <f>IF($A22="","",[1]!thsiFinD("ths_adjustment_nv_fund",D$3,$A22))</f>
        <v/>
      </c>
      <c r="E22" s="61">
        <f>IF($A22="","",[1]!thsiFinD("ths_adjustment_nv_fund",E$3,$A22))</f>
        <v/>
      </c>
      <c r="F22" s="61">
        <f>IF($A22="","",[1]!thsiFinD("ths_adjustment_nv_fund",F$3,$A22))</f>
        <v/>
      </c>
      <c r="G22" s="61">
        <f>IF($A22="","",[1]!thsiFinD("ths_adjustment_nv_fund",G$3,$A22))</f>
        <v/>
      </c>
      <c r="H22" s="61">
        <f>IF($A22="","",[1]!thsiFinD("ths_adjustment_nv_fund",H$3,$A22))</f>
        <v/>
      </c>
      <c r="I22" s="61">
        <f>IF($A22="","",[1]!thsiFinD("ths_adjustment_nv_fund",I$3,$A22))</f>
        <v/>
      </c>
      <c r="J22" s="61">
        <f>IF($A22="","",[1]!thsiFinD("ths_adjustment_nv_fund",J$3,$A22))</f>
        <v/>
      </c>
      <c r="K22" s="61">
        <f>IF($A22="","",[1]!thsiFinD("ths_adjustment_nv_fund",K$3,$A22))</f>
        <v/>
      </c>
      <c r="L22" s="61">
        <f>IF($A22="","",[1]!thsiFinD("ths_adjustment_nv_fund",L$3,$A22))</f>
        <v/>
      </c>
      <c r="M22" s="61">
        <f>IF($A22="","",[1]!thsiFinD("ths_adjustment_nv_fund",M$3,$A22))</f>
        <v/>
      </c>
      <c r="N22" s="61">
        <f>IF($A22="","",[1]!thsiFinD("ths_adjustment_nv_fund",N$3,$A22))</f>
        <v/>
      </c>
      <c r="O22" s="61">
        <f>IF($A22="","",[1]!thsiFinD("ths_adjustment_nv_fund",O$3,$A22))</f>
        <v/>
      </c>
      <c r="P22" s="61">
        <f>IF($A22="","",[1]!thsiFinD("ths_adjustment_nv_fund",P$3,$A22))</f>
        <v/>
      </c>
      <c r="Q22" s="61">
        <f>IF($A22="","",[1]!thsiFinD("ths_adjustment_nv_fund",Q$3,$A22))</f>
        <v/>
      </c>
      <c r="R22" s="61">
        <f>IF($A22="","",[1]!thsiFinD("ths_adjustment_nv_fund",R$3,$A22))</f>
        <v/>
      </c>
      <c r="S22" s="61">
        <f>IF($A22="","",[1]!thsiFinD("ths_adjustment_nv_fund",S$3,$A22))</f>
        <v/>
      </c>
      <c r="T22" s="61">
        <f>IF($A22="","",[1]!thsiFinD("ths_adjustment_nv_fund",T$3,$A22))</f>
        <v/>
      </c>
      <c r="U22" s="61">
        <f>IF($A22="","",[1]!thsiFinD("ths_adjustment_nv_fund",U$3,$A22))</f>
        <v/>
      </c>
      <c r="V22" s="61">
        <f>IF($A22="","",[1]!thsiFinD("ths_adjustment_nv_fund",V$3,$A22))</f>
        <v/>
      </c>
      <c r="W22" s="61">
        <f>IF($A22="","",[1]!thsiFinD("ths_adjustment_nv_fund",W$3,$A22))</f>
        <v/>
      </c>
      <c r="X22" s="61">
        <f>IF($A22="","",[1]!thsiFinD("ths_adjustment_nv_fund",X$3,$A22))</f>
        <v/>
      </c>
      <c r="Y22" s="61">
        <f>IF($A22="","",[1]!thsiFinD("ths_adjustment_nv_fund",Y$3,$A22))</f>
        <v/>
      </c>
    </row>
    <row r="23">
      <c r="A23" s="60" t="n"/>
      <c r="B23" s="61">
        <f>IF($A23="","",[1]!thsiFinD("ths_adjustment_nv_fund",B$3,$A23))</f>
        <v/>
      </c>
      <c r="C23" s="61">
        <f>IF($A23="","",[1]!thsiFinD("ths_adjustment_nv_fund",C$3,$A23))</f>
        <v/>
      </c>
      <c r="D23" s="61">
        <f>IF($A23="","",[1]!thsiFinD("ths_adjustment_nv_fund",D$3,$A23))</f>
        <v/>
      </c>
      <c r="E23" s="61">
        <f>IF($A23="","",[1]!thsiFinD("ths_adjustment_nv_fund",E$3,$A23))</f>
        <v/>
      </c>
      <c r="F23" s="61">
        <f>IF($A23="","",[1]!thsiFinD("ths_adjustment_nv_fund",F$3,$A23))</f>
        <v/>
      </c>
      <c r="G23" s="61">
        <f>IF($A23="","",[1]!thsiFinD("ths_adjustment_nv_fund",G$3,$A23))</f>
        <v/>
      </c>
      <c r="H23" s="61">
        <f>IF($A23="","",[1]!thsiFinD("ths_adjustment_nv_fund",H$3,$A23))</f>
        <v/>
      </c>
      <c r="I23" s="61">
        <f>IF($A23="","",[1]!thsiFinD("ths_adjustment_nv_fund",I$3,$A23))</f>
        <v/>
      </c>
      <c r="J23" s="61">
        <f>IF($A23="","",[1]!thsiFinD("ths_adjustment_nv_fund",J$3,$A23))</f>
        <v/>
      </c>
      <c r="K23" s="61">
        <f>IF($A23="","",[1]!thsiFinD("ths_adjustment_nv_fund",K$3,$A23))</f>
        <v/>
      </c>
      <c r="L23" s="61">
        <f>IF($A23="","",[1]!thsiFinD("ths_adjustment_nv_fund",L$3,$A23))</f>
        <v/>
      </c>
      <c r="M23" s="61">
        <f>IF($A23="","",[1]!thsiFinD("ths_adjustment_nv_fund",M$3,$A23))</f>
        <v/>
      </c>
      <c r="N23" s="61">
        <f>IF($A23="","",[1]!thsiFinD("ths_adjustment_nv_fund",N$3,$A23))</f>
        <v/>
      </c>
      <c r="O23" s="61">
        <f>IF($A23="","",[1]!thsiFinD("ths_adjustment_nv_fund",O$3,$A23))</f>
        <v/>
      </c>
      <c r="P23" s="61">
        <f>IF($A23="","",[1]!thsiFinD("ths_adjustment_nv_fund",P$3,$A23))</f>
        <v/>
      </c>
      <c r="Q23" s="61">
        <f>IF($A23="","",[1]!thsiFinD("ths_adjustment_nv_fund",Q$3,$A23))</f>
        <v/>
      </c>
      <c r="R23" s="61">
        <f>IF($A23="","",[1]!thsiFinD("ths_adjustment_nv_fund",R$3,$A23))</f>
        <v/>
      </c>
      <c r="S23" s="61">
        <f>IF($A23="","",[1]!thsiFinD("ths_adjustment_nv_fund",S$3,$A23))</f>
        <v/>
      </c>
      <c r="T23" s="61">
        <f>IF($A23="","",[1]!thsiFinD("ths_adjustment_nv_fund",T$3,$A23))</f>
        <v/>
      </c>
      <c r="U23" s="61">
        <f>IF($A23="","",[1]!thsiFinD("ths_adjustment_nv_fund",U$3,$A23))</f>
        <v/>
      </c>
      <c r="V23" s="61">
        <f>IF($A23="","",[1]!thsiFinD("ths_adjustment_nv_fund",V$3,$A23))</f>
        <v/>
      </c>
      <c r="W23" s="61">
        <f>IF($A23="","",[1]!thsiFinD("ths_adjustment_nv_fund",W$3,$A23))</f>
        <v/>
      </c>
      <c r="X23" s="61">
        <f>IF($A23="","",[1]!thsiFinD("ths_adjustment_nv_fund",X$3,$A23))</f>
        <v/>
      </c>
      <c r="Y23" s="61">
        <f>IF($A23="","",[1]!thsiFinD("ths_adjustment_nv_fund",Y$3,$A23))</f>
        <v/>
      </c>
    </row>
    <row r="24">
      <c r="A24" s="60" t="n"/>
      <c r="B24" s="61">
        <f>IF($A24="","",[1]!thsiFinD("ths_adjustment_nv_fund",B$3,$A24))</f>
        <v/>
      </c>
      <c r="C24" s="61">
        <f>IF($A24="","",[1]!thsiFinD("ths_adjustment_nv_fund",C$3,$A24))</f>
        <v/>
      </c>
      <c r="D24" s="61">
        <f>IF($A24="","",[1]!thsiFinD("ths_adjustment_nv_fund",D$3,$A24))</f>
        <v/>
      </c>
      <c r="E24" s="61">
        <f>IF($A24="","",[1]!thsiFinD("ths_adjustment_nv_fund",E$3,$A24))</f>
        <v/>
      </c>
      <c r="F24" s="61">
        <f>IF($A24="","",[1]!thsiFinD("ths_adjustment_nv_fund",F$3,$A24))</f>
        <v/>
      </c>
      <c r="G24" s="61">
        <f>IF($A24="","",[1]!thsiFinD("ths_adjustment_nv_fund",G$3,$A24))</f>
        <v/>
      </c>
      <c r="H24" s="61">
        <f>IF($A24="","",[1]!thsiFinD("ths_adjustment_nv_fund",H$3,$A24))</f>
        <v/>
      </c>
      <c r="I24" s="61">
        <f>IF($A24="","",[1]!thsiFinD("ths_adjustment_nv_fund",I$3,$A24))</f>
        <v/>
      </c>
      <c r="J24" s="61">
        <f>IF($A24="","",[1]!thsiFinD("ths_adjustment_nv_fund",J$3,$A24))</f>
        <v/>
      </c>
      <c r="K24" s="61">
        <f>IF($A24="","",[1]!thsiFinD("ths_adjustment_nv_fund",K$3,$A24))</f>
        <v/>
      </c>
      <c r="L24" s="61">
        <f>IF($A24="","",[1]!thsiFinD("ths_adjustment_nv_fund",L$3,$A24))</f>
        <v/>
      </c>
      <c r="M24" s="61">
        <f>IF($A24="","",[1]!thsiFinD("ths_adjustment_nv_fund",M$3,$A24))</f>
        <v/>
      </c>
      <c r="N24" s="61">
        <f>IF($A24="","",[1]!thsiFinD("ths_adjustment_nv_fund",N$3,$A24))</f>
        <v/>
      </c>
      <c r="O24" s="61">
        <f>IF($A24="","",[1]!thsiFinD("ths_adjustment_nv_fund",O$3,$A24))</f>
        <v/>
      </c>
      <c r="P24" s="61">
        <f>IF($A24="","",[1]!thsiFinD("ths_adjustment_nv_fund",P$3,$A24))</f>
        <v/>
      </c>
      <c r="Q24" s="61">
        <f>IF($A24="","",[1]!thsiFinD("ths_adjustment_nv_fund",Q$3,$A24))</f>
        <v/>
      </c>
      <c r="R24" s="61">
        <f>IF($A24="","",[1]!thsiFinD("ths_adjustment_nv_fund",R$3,$A24))</f>
        <v/>
      </c>
      <c r="S24" s="61">
        <f>IF($A24="","",[1]!thsiFinD("ths_adjustment_nv_fund",S$3,$A24))</f>
        <v/>
      </c>
      <c r="T24" s="61">
        <f>IF($A24="","",[1]!thsiFinD("ths_adjustment_nv_fund",T$3,$A24))</f>
        <v/>
      </c>
      <c r="U24" s="61">
        <f>IF($A24="","",[1]!thsiFinD("ths_adjustment_nv_fund",U$3,$A24))</f>
        <v/>
      </c>
      <c r="V24" s="61">
        <f>IF($A24="","",[1]!thsiFinD("ths_adjustment_nv_fund",V$3,$A24))</f>
        <v/>
      </c>
      <c r="W24" s="61">
        <f>IF($A24="","",[1]!thsiFinD("ths_adjustment_nv_fund",W$3,$A24))</f>
        <v/>
      </c>
      <c r="X24" s="61">
        <f>IF($A24="","",[1]!thsiFinD("ths_adjustment_nv_fund",X$3,$A24))</f>
        <v/>
      </c>
      <c r="Y24" s="61">
        <f>IF($A24="","",[1]!thsiFinD("ths_adjustment_nv_fund",Y$3,$A24))</f>
        <v/>
      </c>
    </row>
    <row r="25">
      <c r="A25" s="60" t="n"/>
      <c r="B25" s="61">
        <f>IF($A25="","",[1]!thsiFinD("ths_adjustment_nv_fund",B$3,$A25))</f>
        <v/>
      </c>
      <c r="C25" s="61">
        <f>IF($A25="","",[1]!thsiFinD("ths_adjustment_nv_fund",C$3,$A25))</f>
        <v/>
      </c>
      <c r="D25" s="61">
        <f>IF($A25="","",[1]!thsiFinD("ths_adjustment_nv_fund",D$3,$A25))</f>
        <v/>
      </c>
      <c r="E25" s="61">
        <f>IF($A25="","",[1]!thsiFinD("ths_adjustment_nv_fund",E$3,$A25))</f>
        <v/>
      </c>
      <c r="F25" s="61">
        <f>IF($A25="","",[1]!thsiFinD("ths_adjustment_nv_fund",F$3,$A25))</f>
        <v/>
      </c>
      <c r="G25" s="61">
        <f>IF($A25="","",[1]!thsiFinD("ths_adjustment_nv_fund",G$3,$A25))</f>
        <v/>
      </c>
      <c r="H25" s="61">
        <f>IF($A25="","",[1]!thsiFinD("ths_adjustment_nv_fund",H$3,$A25))</f>
        <v/>
      </c>
      <c r="I25" s="61">
        <f>IF($A25="","",[1]!thsiFinD("ths_adjustment_nv_fund",I$3,$A25))</f>
        <v/>
      </c>
      <c r="J25" s="61">
        <f>IF($A25="","",[1]!thsiFinD("ths_adjustment_nv_fund",J$3,$A25))</f>
        <v/>
      </c>
      <c r="K25" s="61">
        <f>IF($A25="","",[1]!thsiFinD("ths_adjustment_nv_fund",K$3,$A25))</f>
        <v/>
      </c>
      <c r="L25" s="61">
        <f>IF($A25="","",[1]!thsiFinD("ths_adjustment_nv_fund",L$3,$A25))</f>
        <v/>
      </c>
      <c r="M25" s="61">
        <f>IF($A25="","",[1]!thsiFinD("ths_adjustment_nv_fund",M$3,$A25))</f>
        <v/>
      </c>
      <c r="N25" s="61">
        <f>IF($A25="","",[1]!thsiFinD("ths_adjustment_nv_fund",N$3,$A25))</f>
        <v/>
      </c>
      <c r="O25" s="61">
        <f>IF($A25="","",[1]!thsiFinD("ths_adjustment_nv_fund",O$3,$A25))</f>
        <v/>
      </c>
      <c r="P25" s="61">
        <f>IF($A25="","",[1]!thsiFinD("ths_adjustment_nv_fund",P$3,$A25))</f>
        <v/>
      </c>
      <c r="Q25" s="61">
        <f>IF($A25="","",[1]!thsiFinD("ths_adjustment_nv_fund",Q$3,$A25))</f>
        <v/>
      </c>
      <c r="R25" s="61">
        <f>IF($A25="","",[1]!thsiFinD("ths_adjustment_nv_fund",R$3,$A25))</f>
        <v/>
      </c>
      <c r="S25" s="61">
        <f>IF($A25="","",[1]!thsiFinD("ths_adjustment_nv_fund",S$3,$A25))</f>
        <v/>
      </c>
      <c r="T25" s="61">
        <f>IF($A25="","",[1]!thsiFinD("ths_adjustment_nv_fund",T$3,$A25))</f>
        <v/>
      </c>
      <c r="U25" s="61">
        <f>IF($A25="","",[1]!thsiFinD("ths_adjustment_nv_fund",U$3,$A25))</f>
        <v/>
      </c>
      <c r="V25" s="61">
        <f>IF($A25="","",[1]!thsiFinD("ths_adjustment_nv_fund",V$3,$A25))</f>
        <v/>
      </c>
      <c r="W25" s="61">
        <f>IF($A25="","",[1]!thsiFinD("ths_adjustment_nv_fund",W$3,$A25))</f>
        <v/>
      </c>
      <c r="X25" s="61">
        <f>IF($A25="","",[1]!thsiFinD("ths_adjustment_nv_fund",X$3,$A25))</f>
        <v/>
      </c>
      <c r="Y25" s="61">
        <f>IF($A25="","",[1]!thsiFinD("ths_adjustment_nv_fund",Y$3,$A25))</f>
        <v/>
      </c>
    </row>
    <row r="26">
      <c r="A26" s="60" t="n"/>
      <c r="B26" s="61">
        <f>IF($A26="","",[1]!thsiFinD("ths_adjustment_nv_fund",B$3,$A26))</f>
        <v/>
      </c>
      <c r="C26" s="61">
        <f>IF($A26="","",[1]!thsiFinD("ths_adjustment_nv_fund",C$3,$A26))</f>
        <v/>
      </c>
      <c r="D26" s="61">
        <f>IF($A26="","",[1]!thsiFinD("ths_adjustment_nv_fund",D$3,$A26))</f>
        <v/>
      </c>
      <c r="E26" s="61">
        <f>IF($A26="","",[1]!thsiFinD("ths_adjustment_nv_fund",E$3,$A26))</f>
        <v/>
      </c>
      <c r="F26" s="61">
        <f>IF($A26="","",[1]!thsiFinD("ths_adjustment_nv_fund",F$3,$A26))</f>
        <v/>
      </c>
      <c r="G26" s="61">
        <f>IF($A26="","",[1]!thsiFinD("ths_adjustment_nv_fund",G$3,$A26))</f>
        <v/>
      </c>
      <c r="H26" s="61">
        <f>IF($A26="","",[1]!thsiFinD("ths_adjustment_nv_fund",H$3,$A26))</f>
        <v/>
      </c>
      <c r="I26" s="61">
        <f>IF($A26="","",[1]!thsiFinD("ths_adjustment_nv_fund",I$3,$A26))</f>
        <v/>
      </c>
      <c r="J26" s="61">
        <f>IF($A26="","",[1]!thsiFinD("ths_adjustment_nv_fund",J$3,$A26))</f>
        <v/>
      </c>
      <c r="K26" s="61">
        <f>IF($A26="","",[1]!thsiFinD("ths_adjustment_nv_fund",K$3,$A26))</f>
        <v/>
      </c>
      <c r="L26" s="61">
        <f>IF($A26="","",[1]!thsiFinD("ths_adjustment_nv_fund",L$3,$A26))</f>
        <v/>
      </c>
      <c r="M26" s="61">
        <f>IF($A26="","",[1]!thsiFinD("ths_adjustment_nv_fund",M$3,$A26))</f>
        <v/>
      </c>
      <c r="N26" s="61">
        <f>IF($A26="","",[1]!thsiFinD("ths_adjustment_nv_fund",N$3,$A26))</f>
        <v/>
      </c>
      <c r="O26" s="61">
        <f>IF($A26="","",[1]!thsiFinD("ths_adjustment_nv_fund",O$3,$A26))</f>
        <v/>
      </c>
      <c r="P26" s="61">
        <f>IF($A26="","",[1]!thsiFinD("ths_adjustment_nv_fund",P$3,$A26))</f>
        <v/>
      </c>
      <c r="Q26" s="61">
        <f>IF($A26="","",[1]!thsiFinD("ths_adjustment_nv_fund",Q$3,$A26))</f>
        <v/>
      </c>
      <c r="R26" s="61">
        <f>IF($A26="","",[1]!thsiFinD("ths_adjustment_nv_fund",R$3,$A26))</f>
        <v/>
      </c>
      <c r="S26" s="61">
        <f>IF($A26="","",[1]!thsiFinD("ths_adjustment_nv_fund",S$3,$A26))</f>
        <v/>
      </c>
      <c r="T26" s="61">
        <f>IF($A26="","",[1]!thsiFinD("ths_adjustment_nv_fund",T$3,$A26))</f>
        <v/>
      </c>
      <c r="U26" s="61">
        <f>IF($A26="","",[1]!thsiFinD("ths_adjustment_nv_fund",U$3,$A26))</f>
        <v/>
      </c>
      <c r="V26" s="61">
        <f>IF($A26="","",[1]!thsiFinD("ths_adjustment_nv_fund",V$3,$A26))</f>
        <v/>
      </c>
      <c r="W26" s="61">
        <f>IF($A26="","",[1]!thsiFinD("ths_adjustment_nv_fund",W$3,$A26))</f>
        <v/>
      </c>
      <c r="X26" s="61">
        <f>IF($A26="","",[1]!thsiFinD("ths_adjustment_nv_fund",X$3,$A26))</f>
        <v/>
      </c>
      <c r="Y26" s="61">
        <f>IF($A26="","",[1]!thsiFinD("ths_adjustment_nv_fund",Y$3,$A26))</f>
        <v/>
      </c>
    </row>
    <row r="27">
      <c r="A27" s="60" t="n"/>
      <c r="B27" s="61">
        <f>IF($A27="","",[1]!thsiFinD("ths_adjustment_nv_fund",B$3,$A27))</f>
        <v/>
      </c>
      <c r="C27" s="61">
        <f>IF($A27="","",[1]!thsiFinD("ths_adjustment_nv_fund",C$3,$A27))</f>
        <v/>
      </c>
      <c r="D27" s="61">
        <f>IF($A27="","",[1]!thsiFinD("ths_adjustment_nv_fund",D$3,$A27))</f>
        <v/>
      </c>
      <c r="E27" s="61">
        <f>IF($A27="","",[1]!thsiFinD("ths_adjustment_nv_fund",E$3,$A27))</f>
        <v/>
      </c>
      <c r="F27" s="61">
        <f>IF($A27="","",[1]!thsiFinD("ths_adjustment_nv_fund",F$3,$A27))</f>
        <v/>
      </c>
      <c r="G27" s="61">
        <f>IF($A27="","",[1]!thsiFinD("ths_adjustment_nv_fund",G$3,$A27))</f>
        <v/>
      </c>
      <c r="H27" s="61">
        <f>IF($A27="","",[1]!thsiFinD("ths_adjustment_nv_fund",H$3,$A27))</f>
        <v/>
      </c>
      <c r="I27" s="61">
        <f>IF($A27="","",[1]!thsiFinD("ths_adjustment_nv_fund",I$3,$A27))</f>
        <v/>
      </c>
      <c r="J27" s="61">
        <f>IF($A27="","",[1]!thsiFinD("ths_adjustment_nv_fund",J$3,$A27))</f>
        <v/>
      </c>
      <c r="K27" s="61">
        <f>IF($A27="","",[1]!thsiFinD("ths_adjustment_nv_fund",K$3,$A27))</f>
        <v/>
      </c>
      <c r="L27" s="61">
        <f>IF($A27="","",[1]!thsiFinD("ths_adjustment_nv_fund",L$3,$A27))</f>
        <v/>
      </c>
      <c r="M27" s="61">
        <f>IF($A27="","",[1]!thsiFinD("ths_adjustment_nv_fund",M$3,$A27))</f>
        <v/>
      </c>
      <c r="N27" s="61">
        <f>IF($A27="","",[1]!thsiFinD("ths_adjustment_nv_fund",N$3,$A27))</f>
        <v/>
      </c>
      <c r="O27" s="61">
        <f>IF($A27="","",[1]!thsiFinD("ths_adjustment_nv_fund",O$3,$A27))</f>
        <v/>
      </c>
      <c r="P27" s="61">
        <f>IF($A27="","",[1]!thsiFinD("ths_adjustment_nv_fund",P$3,$A27))</f>
        <v/>
      </c>
      <c r="Q27" s="61">
        <f>IF($A27="","",[1]!thsiFinD("ths_adjustment_nv_fund",Q$3,$A27))</f>
        <v/>
      </c>
      <c r="R27" s="61">
        <f>IF($A27="","",[1]!thsiFinD("ths_adjustment_nv_fund",R$3,$A27))</f>
        <v/>
      </c>
      <c r="S27" s="61">
        <f>IF($A27="","",[1]!thsiFinD("ths_adjustment_nv_fund",S$3,$A27))</f>
        <v/>
      </c>
      <c r="T27" s="61">
        <f>IF($A27="","",[1]!thsiFinD("ths_adjustment_nv_fund",T$3,$A27))</f>
        <v/>
      </c>
      <c r="U27" s="61">
        <f>IF($A27="","",[1]!thsiFinD("ths_adjustment_nv_fund",U$3,$A27))</f>
        <v/>
      </c>
      <c r="V27" s="61">
        <f>IF($A27="","",[1]!thsiFinD("ths_adjustment_nv_fund",V$3,$A27))</f>
        <v/>
      </c>
      <c r="W27" s="61">
        <f>IF($A27="","",[1]!thsiFinD("ths_adjustment_nv_fund",W$3,$A27))</f>
        <v/>
      </c>
      <c r="X27" s="61">
        <f>IF($A27="","",[1]!thsiFinD("ths_adjustment_nv_fund",X$3,$A27))</f>
        <v/>
      </c>
      <c r="Y27" s="61">
        <f>IF($A27="","",[1]!thsiFinD("ths_adjustment_nv_fund",Y$3,$A27))</f>
        <v/>
      </c>
    </row>
    <row r="28">
      <c r="A28" s="60" t="n"/>
      <c r="B28" s="61">
        <f>IF($A28="","",[1]!thsiFinD("ths_adjustment_nv_fund",B$3,$A28))</f>
        <v/>
      </c>
      <c r="C28" s="61">
        <f>IF($A28="","",[1]!thsiFinD("ths_adjustment_nv_fund",C$3,$A28))</f>
        <v/>
      </c>
      <c r="D28" s="61">
        <f>IF($A28="","",[1]!thsiFinD("ths_adjustment_nv_fund",D$3,$A28))</f>
        <v/>
      </c>
      <c r="E28" s="61">
        <f>IF($A28="","",[1]!thsiFinD("ths_adjustment_nv_fund",E$3,$A28))</f>
        <v/>
      </c>
      <c r="F28" s="61">
        <f>IF($A28="","",[1]!thsiFinD("ths_adjustment_nv_fund",F$3,$A28))</f>
        <v/>
      </c>
      <c r="G28" s="61">
        <f>IF($A28="","",[1]!thsiFinD("ths_adjustment_nv_fund",G$3,$A28))</f>
        <v/>
      </c>
      <c r="H28" s="61">
        <f>IF($A28="","",[1]!thsiFinD("ths_adjustment_nv_fund",H$3,$A28))</f>
        <v/>
      </c>
      <c r="I28" s="61">
        <f>IF($A28="","",[1]!thsiFinD("ths_adjustment_nv_fund",I$3,$A28))</f>
        <v/>
      </c>
      <c r="J28" s="61">
        <f>IF($A28="","",[1]!thsiFinD("ths_adjustment_nv_fund",J$3,$A28))</f>
        <v/>
      </c>
      <c r="K28" s="61">
        <f>IF($A28="","",[1]!thsiFinD("ths_adjustment_nv_fund",K$3,$A28))</f>
        <v/>
      </c>
      <c r="L28" s="61">
        <f>IF($A28="","",[1]!thsiFinD("ths_adjustment_nv_fund",L$3,$A28))</f>
        <v/>
      </c>
      <c r="M28" s="61">
        <f>IF($A28="","",[1]!thsiFinD("ths_adjustment_nv_fund",M$3,$A28))</f>
        <v/>
      </c>
      <c r="N28" s="61">
        <f>IF($A28="","",[1]!thsiFinD("ths_adjustment_nv_fund",N$3,$A28))</f>
        <v/>
      </c>
      <c r="O28" s="61">
        <f>IF($A28="","",[1]!thsiFinD("ths_adjustment_nv_fund",O$3,$A28))</f>
        <v/>
      </c>
      <c r="P28" s="61">
        <f>IF($A28="","",[1]!thsiFinD("ths_adjustment_nv_fund",P$3,$A28))</f>
        <v/>
      </c>
      <c r="Q28" s="61">
        <f>IF($A28="","",[1]!thsiFinD("ths_adjustment_nv_fund",Q$3,$A28))</f>
        <v/>
      </c>
      <c r="R28" s="61">
        <f>IF($A28="","",[1]!thsiFinD("ths_adjustment_nv_fund",R$3,$A28))</f>
        <v/>
      </c>
      <c r="S28" s="61">
        <f>IF($A28="","",[1]!thsiFinD("ths_adjustment_nv_fund",S$3,$A28))</f>
        <v/>
      </c>
      <c r="T28" s="61">
        <f>IF($A28="","",[1]!thsiFinD("ths_adjustment_nv_fund",T$3,$A28))</f>
        <v/>
      </c>
      <c r="U28" s="61">
        <f>IF($A28="","",[1]!thsiFinD("ths_adjustment_nv_fund",U$3,$A28))</f>
        <v/>
      </c>
      <c r="V28" s="61">
        <f>IF($A28="","",[1]!thsiFinD("ths_adjustment_nv_fund",V$3,$A28))</f>
        <v/>
      </c>
      <c r="W28" s="61">
        <f>IF($A28="","",[1]!thsiFinD("ths_adjustment_nv_fund",W$3,$A28))</f>
        <v/>
      </c>
      <c r="X28" s="61">
        <f>IF($A28="","",[1]!thsiFinD("ths_adjustment_nv_fund",X$3,$A28))</f>
        <v/>
      </c>
      <c r="Y28" s="61">
        <f>IF($A28="","",[1]!thsiFinD("ths_adjustment_nv_fund",Y$3,$A28))</f>
        <v/>
      </c>
    </row>
    <row r="29">
      <c r="A29" s="60" t="n"/>
      <c r="B29" s="61">
        <f>IF($A29="","",[1]!thsiFinD("ths_adjustment_nv_fund",B$3,$A29))</f>
        <v/>
      </c>
      <c r="C29" s="61">
        <f>IF($A29="","",[1]!thsiFinD("ths_adjustment_nv_fund",C$3,$A29))</f>
        <v/>
      </c>
      <c r="D29" s="61">
        <f>IF($A29="","",[1]!thsiFinD("ths_adjustment_nv_fund",D$3,$A29))</f>
        <v/>
      </c>
      <c r="E29" s="61">
        <f>IF($A29="","",[1]!thsiFinD("ths_adjustment_nv_fund",E$3,$A29))</f>
        <v/>
      </c>
      <c r="F29" s="61">
        <f>IF($A29="","",[1]!thsiFinD("ths_adjustment_nv_fund",F$3,$A29))</f>
        <v/>
      </c>
      <c r="G29" s="61">
        <f>IF($A29="","",[1]!thsiFinD("ths_adjustment_nv_fund",G$3,$A29))</f>
        <v/>
      </c>
      <c r="H29" s="61">
        <f>IF($A29="","",[1]!thsiFinD("ths_adjustment_nv_fund",H$3,$A29))</f>
        <v/>
      </c>
      <c r="I29" s="61">
        <f>IF($A29="","",[1]!thsiFinD("ths_adjustment_nv_fund",I$3,$A29))</f>
        <v/>
      </c>
      <c r="J29" s="61">
        <f>IF($A29="","",[1]!thsiFinD("ths_adjustment_nv_fund",J$3,$A29))</f>
        <v/>
      </c>
      <c r="K29" s="61">
        <f>IF($A29="","",[1]!thsiFinD("ths_adjustment_nv_fund",K$3,$A29))</f>
        <v/>
      </c>
      <c r="L29" s="61">
        <f>IF($A29="","",[1]!thsiFinD("ths_adjustment_nv_fund",L$3,$A29))</f>
        <v/>
      </c>
      <c r="M29" s="61">
        <f>IF($A29="","",[1]!thsiFinD("ths_adjustment_nv_fund",M$3,$A29))</f>
        <v/>
      </c>
      <c r="N29" s="61">
        <f>IF($A29="","",[1]!thsiFinD("ths_adjustment_nv_fund",N$3,$A29))</f>
        <v/>
      </c>
      <c r="O29" s="61">
        <f>IF($A29="","",[1]!thsiFinD("ths_adjustment_nv_fund",O$3,$A29))</f>
        <v/>
      </c>
      <c r="P29" s="61">
        <f>IF($A29="","",[1]!thsiFinD("ths_adjustment_nv_fund",P$3,$A29))</f>
        <v/>
      </c>
      <c r="Q29" s="61">
        <f>IF($A29="","",[1]!thsiFinD("ths_adjustment_nv_fund",Q$3,$A29))</f>
        <v/>
      </c>
      <c r="R29" s="61">
        <f>IF($A29="","",[1]!thsiFinD("ths_adjustment_nv_fund",R$3,$A29))</f>
        <v/>
      </c>
      <c r="S29" s="61">
        <f>IF($A29="","",[1]!thsiFinD("ths_adjustment_nv_fund",S$3,$A29))</f>
        <v/>
      </c>
      <c r="T29" s="61">
        <f>IF($A29="","",[1]!thsiFinD("ths_adjustment_nv_fund",T$3,$A29))</f>
        <v/>
      </c>
      <c r="U29" s="61">
        <f>IF($A29="","",[1]!thsiFinD("ths_adjustment_nv_fund",U$3,$A29))</f>
        <v/>
      </c>
      <c r="V29" s="61">
        <f>IF($A29="","",[1]!thsiFinD("ths_adjustment_nv_fund",V$3,$A29))</f>
        <v/>
      </c>
      <c r="W29" s="61">
        <f>IF($A29="","",[1]!thsiFinD("ths_adjustment_nv_fund",W$3,$A29))</f>
        <v/>
      </c>
      <c r="X29" s="61">
        <f>IF($A29="","",[1]!thsiFinD("ths_adjustment_nv_fund",X$3,$A29))</f>
        <v/>
      </c>
      <c r="Y29" s="61">
        <f>IF($A29="","",[1]!thsiFinD("ths_adjustment_nv_fund",Y$3,$A29))</f>
        <v/>
      </c>
    </row>
    <row r="30">
      <c r="A30" s="60" t="n"/>
      <c r="B30" s="61">
        <f>IF($A30="","",[1]!thsiFinD("ths_adjustment_nv_fund",B$3,$A30))</f>
        <v/>
      </c>
      <c r="C30" s="61">
        <f>IF($A30="","",[1]!thsiFinD("ths_adjustment_nv_fund",C$3,$A30))</f>
        <v/>
      </c>
      <c r="D30" s="61">
        <f>IF($A30="","",[1]!thsiFinD("ths_adjustment_nv_fund",D$3,$A30))</f>
        <v/>
      </c>
      <c r="E30" s="61">
        <f>IF($A30="","",[1]!thsiFinD("ths_adjustment_nv_fund",E$3,$A30))</f>
        <v/>
      </c>
      <c r="F30" s="61">
        <f>IF($A30="","",[1]!thsiFinD("ths_adjustment_nv_fund",F$3,$A30))</f>
        <v/>
      </c>
      <c r="G30" s="61">
        <f>IF($A30="","",[1]!thsiFinD("ths_adjustment_nv_fund",G$3,$A30))</f>
        <v/>
      </c>
      <c r="H30" s="61">
        <f>IF($A30="","",[1]!thsiFinD("ths_adjustment_nv_fund",H$3,$A30))</f>
        <v/>
      </c>
      <c r="I30" s="61">
        <f>IF($A30="","",[1]!thsiFinD("ths_adjustment_nv_fund",I$3,$A30))</f>
        <v/>
      </c>
      <c r="J30" s="61">
        <f>IF($A30="","",[1]!thsiFinD("ths_adjustment_nv_fund",J$3,$A30))</f>
        <v/>
      </c>
      <c r="K30" s="61">
        <f>IF($A30="","",[1]!thsiFinD("ths_adjustment_nv_fund",K$3,$A30))</f>
        <v/>
      </c>
      <c r="L30" s="61">
        <f>IF($A30="","",[1]!thsiFinD("ths_adjustment_nv_fund",L$3,$A30))</f>
        <v/>
      </c>
      <c r="M30" s="61">
        <f>IF($A30="","",[1]!thsiFinD("ths_adjustment_nv_fund",M$3,$A30))</f>
        <v/>
      </c>
      <c r="N30" s="61">
        <f>IF($A30="","",[1]!thsiFinD("ths_adjustment_nv_fund",N$3,$A30))</f>
        <v/>
      </c>
      <c r="O30" s="61">
        <f>IF($A30="","",[1]!thsiFinD("ths_adjustment_nv_fund",O$3,$A30))</f>
        <v/>
      </c>
      <c r="P30" s="61">
        <f>IF($A30="","",[1]!thsiFinD("ths_adjustment_nv_fund",P$3,$A30))</f>
        <v/>
      </c>
      <c r="Q30" s="61">
        <f>IF($A30="","",[1]!thsiFinD("ths_adjustment_nv_fund",Q$3,$A30))</f>
        <v/>
      </c>
      <c r="R30" s="61">
        <f>IF($A30="","",[1]!thsiFinD("ths_adjustment_nv_fund",R$3,$A30))</f>
        <v/>
      </c>
      <c r="S30" s="61">
        <f>IF($A30="","",[1]!thsiFinD("ths_adjustment_nv_fund",S$3,$A30))</f>
        <v/>
      </c>
      <c r="T30" s="61">
        <f>IF($A30="","",[1]!thsiFinD("ths_adjustment_nv_fund",T$3,$A30))</f>
        <v/>
      </c>
      <c r="U30" s="61">
        <f>IF($A30="","",[1]!thsiFinD("ths_adjustment_nv_fund",U$3,$A30))</f>
        <v/>
      </c>
      <c r="V30" s="61">
        <f>IF($A30="","",[1]!thsiFinD("ths_adjustment_nv_fund",V$3,$A30))</f>
        <v/>
      </c>
      <c r="W30" s="61">
        <f>IF($A30="","",[1]!thsiFinD("ths_adjustment_nv_fund",W$3,$A30))</f>
        <v/>
      </c>
      <c r="X30" s="61">
        <f>IF($A30="","",[1]!thsiFinD("ths_adjustment_nv_fund",X$3,$A30))</f>
        <v/>
      </c>
      <c r="Y30" s="61">
        <f>IF($A30="","",[1]!thsiFinD("ths_adjustment_nv_fund",Y$3,$A30))</f>
        <v/>
      </c>
    </row>
    <row r="31">
      <c r="A31" s="60" t="n"/>
      <c r="B31" s="61">
        <f>IF($A31="","",[1]!thsiFinD("ths_adjustment_nv_fund",B$3,$A31))</f>
        <v/>
      </c>
      <c r="C31" s="61">
        <f>IF($A31="","",[1]!thsiFinD("ths_adjustment_nv_fund",C$3,$A31))</f>
        <v/>
      </c>
      <c r="D31" s="61">
        <f>IF($A31="","",[1]!thsiFinD("ths_adjustment_nv_fund",D$3,$A31))</f>
        <v/>
      </c>
      <c r="E31" s="61">
        <f>IF($A31="","",[1]!thsiFinD("ths_adjustment_nv_fund",E$3,$A31))</f>
        <v/>
      </c>
      <c r="F31" s="61">
        <f>IF($A31="","",[1]!thsiFinD("ths_adjustment_nv_fund",F$3,$A31))</f>
        <v/>
      </c>
      <c r="G31" s="61">
        <f>IF($A31="","",[1]!thsiFinD("ths_adjustment_nv_fund",G$3,$A31))</f>
        <v/>
      </c>
      <c r="H31" s="61">
        <f>IF($A31="","",[1]!thsiFinD("ths_adjustment_nv_fund",H$3,$A31))</f>
        <v/>
      </c>
      <c r="I31" s="61">
        <f>IF($A31="","",[1]!thsiFinD("ths_adjustment_nv_fund",I$3,$A31))</f>
        <v/>
      </c>
      <c r="J31" s="61">
        <f>IF($A31="","",[1]!thsiFinD("ths_adjustment_nv_fund",J$3,$A31))</f>
        <v/>
      </c>
      <c r="K31" s="61">
        <f>IF($A31="","",[1]!thsiFinD("ths_adjustment_nv_fund",K$3,$A31))</f>
        <v/>
      </c>
      <c r="L31" s="61">
        <f>IF($A31="","",[1]!thsiFinD("ths_adjustment_nv_fund",L$3,$A31))</f>
        <v/>
      </c>
      <c r="M31" s="61">
        <f>IF($A31="","",[1]!thsiFinD("ths_adjustment_nv_fund",M$3,$A31))</f>
        <v/>
      </c>
      <c r="N31" s="61">
        <f>IF($A31="","",[1]!thsiFinD("ths_adjustment_nv_fund",N$3,$A31))</f>
        <v/>
      </c>
      <c r="O31" s="61">
        <f>IF($A31="","",[1]!thsiFinD("ths_adjustment_nv_fund",O$3,$A31))</f>
        <v/>
      </c>
      <c r="P31" s="61">
        <f>IF($A31="","",[1]!thsiFinD("ths_adjustment_nv_fund",P$3,$A31))</f>
        <v/>
      </c>
      <c r="Q31" s="61">
        <f>IF($A31="","",[1]!thsiFinD("ths_adjustment_nv_fund",Q$3,$A31))</f>
        <v/>
      </c>
      <c r="R31" s="61">
        <f>IF($A31="","",[1]!thsiFinD("ths_adjustment_nv_fund",R$3,$A31))</f>
        <v/>
      </c>
      <c r="S31" s="61">
        <f>IF($A31="","",[1]!thsiFinD("ths_adjustment_nv_fund",S$3,$A31))</f>
        <v/>
      </c>
      <c r="T31" s="61">
        <f>IF($A31="","",[1]!thsiFinD("ths_adjustment_nv_fund",T$3,$A31))</f>
        <v/>
      </c>
      <c r="U31" s="61">
        <f>IF($A31="","",[1]!thsiFinD("ths_adjustment_nv_fund",U$3,$A31))</f>
        <v/>
      </c>
      <c r="V31" s="61">
        <f>IF($A31="","",[1]!thsiFinD("ths_adjustment_nv_fund",V$3,$A31))</f>
        <v/>
      </c>
      <c r="W31" s="61">
        <f>IF($A31="","",[1]!thsiFinD("ths_adjustment_nv_fund",W$3,$A31))</f>
        <v/>
      </c>
      <c r="X31" s="61">
        <f>IF($A31="","",[1]!thsiFinD("ths_adjustment_nv_fund",X$3,$A31))</f>
        <v/>
      </c>
      <c r="Y31" s="61">
        <f>IF($A31="","",[1]!thsiFinD("ths_adjustment_nv_fund",Y$3,$A31))</f>
        <v/>
      </c>
    </row>
    <row r="32">
      <c r="A32" s="60" t="n"/>
      <c r="B32" s="61">
        <f>IF($A32="","",[1]!thsiFinD("ths_adjustment_nv_fund",B$3,$A32))</f>
        <v/>
      </c>
      <c r="C32" s="61">
        <f>IF($A32="","",[1]!thsiFinD("ths_adjustment_nv_fund",C$3,$A32))</f>
        <v/>
      </c>
      <c r="D32" s="61">
        <f>IF($A32="","",[1]!thsiFinD("ths_adjustment_nv_fund",D$3,$A32))</f>
        <v/>
      </c>
      <c r="E32" s="61">
        <f>IF($A32="","",[1]!thsiFinD("ths_adjustment_nv_fund",E$3,$A32))</f>
        <v/>
      </c>
      <c r="F32" s="61">
        <f>IF($A32="","",[1]!thsiFinD("ths_adjustment_nv_fund",F$3,$A32))</f>
        <v/>
      </c>
      <c r="G32" s="61">
        <f>IF($A32="","",[1]!thsiFinD("ths_adjustment_nv_fund",G$3,$A32))</f>
        <v/>
      </c>
      <c r="H32" s="61">
        <f>IF($A32="","",[1]!thsiFinD("ths_adjustment_nv_fund",H$3,$A32))</f>
        <v/>
      </c>
      <c r="I32" s="61">
        <f>IF($A32="","",[1]!thsiFinD("ths_adjustment_nv_fund",I$3,$A32))</f>
        <v/>
      </c>
      <c r="J32" s="61">
        <f>IF($A32="","",[1]!thsiFinD("ths_adjustment_nv_fund",J$3,$A32))</f>
        <v/>
      </c>
      <c r="K32" s="61">
        <f>IF($A32="","",[1]!thsiFinD("ths_adjustment_nv_fund",K$3,$A32))</f>
        <v/>
      </c>
      <c r="L32" s="61">
        <f>IF($A32="","",[1]!thsiFinD("ths_adjustment_nv_fund",L$3,$A32))</f>
        <v/>
      </c>
      <c r="M32" s="61">
        <f>IF($A32="","",[1]!thsiFinD("ths_adjustment_nv_fund",M$3,$A32))</f>
        <v/>
      </c>
      <c r="N32" s="61">
        <f>IF($A32="","",[1]!thsiFinD("ths_adjustment_nv_fund",N$3,$A32))</f>
        <v/>
      </c>
      <c r="O32" s="61">
        <f>IF($A32="","",[1]!thsiFinD("ths_adjustment_nv_fund",O$3,$A32))</f>
        <v/>
      </c>
      <c r="P32" s="61">
        <f>IF($A32="","",[1]!thsiFinD("ths_adjustment_nv_fund",P$3,$A32))</f>
        <v/>
      </c>
      <c r="Q32" s="61">
        <f>IF($A32="","",[1]!thsiFinD("ths_adjustment_nv_fund",Q$3,$A32))</f>
        <v/>
      </c>
      <c r="R32" s="61">
        <f>IF($A32="","",[1]!thsiFinD("ths_adjustment_nv_fund",R$3,$A32))</f>
        <v/>
      </c>
      <c r="S32" s="61">
        <f>IF($A32="","",[1]!thsiFinD("ths_adjustment_nv_fund",S$3,$A32))</f>
        <v/>
      </c>
      <c r="T32" s="61">
        <f>IF($A32="","",[1]!thsiFinD("ths_adjustment_nv_fund",T$3,$A32))</f>
        <v/>
      </c>
      <c r="U32" s="61">
        <f>IF($A32="","",[1]!thsiFinD("ths_adjustment_nv_fund",U$3,$A32))</f>
        <v/>
      </c>
      <c r="V32" s="61">
        <f>IF($A32="","",[1]!thsiFinD("ths_adjustment_nv_fund",V$3,$A32))</f>
        <v/>
      </c>
      <c r="W32" s="61">
        <f>IF($A32="","",[1]!thsiFinD("ths_adjustment_nv_fund",W$3,$A32))</f>
        <v/>
      </c>
      <c r="X32" s="61">
        <f>IF($A32="","",[1]!thsiFinD("ths_adjustment_nv_fund",X$3,$A32))</f>
        <v/>
      </c>
      <c r="Y32" s="61">
        <f>IF($A32="","",[1]!thsiFinD("ths_adjustment_nv_fund",Y$3,$A32))</f>
        <v/>
      </c>
    </row>
    <row r="33">
      <c r="A33" s="60" t="n"/>
      <c r="B33" s="61">
        <f>IF($A33="","",[1]!thsiFinD("ths_adjustment_nv_fund",B$3,$A33))</f>
        <v/>
      </c>
      <c r="C33" s="61">
        <f>IF($A33="","",[1]!thsiFinD("ths_adjustment_nv_fund",C$3,$A33))</f>
        <v/>
      </c>
      <c r="D33" s="61">
        <f>IF($A33="","",[1]!thsiFinD("ths_adjustment_nv_fund",D$3,$A33))</f>
        <v/>
      </c>
      <c r="E33" s="61">
        <f>IF($A33="","",[1]!thsiFinD("ths_adjustment_nv_fund",E$3,$A33))</f>
        <v/>
      </c>
      <c r="F33" s="61">
        <f>IF($A33="","",[1]!thsiFinD("ths_adjustment_nv_fund",F$3,$A33))</f>
        <v/>
      </c>
      <c r="G33" s="61">
        <f>IF($A33="","",[1]!thsiFinD("ths_adjustment_nv_fund",G$3,$A33))</f>
        <v/>
      </c>
      <c r="H33" s="61">
        <f>IF($A33="","",[1]!thsiFinD("ths_adjustment_nv_fund",H$3,$A33))</f>
        <v/>
      </c>
      <c r="I33" s="61">
        <f>IF($A33="","",[1]!thsiFinD("ths_adjustment_nv_fund",I$3,$A33))</f>
        <v/>
      </c>
      <c r="J33" s="61">
        <f>IF($A33="","",[1]!thsiFinD("ths_adjustment_nv_fund",J$3,$A33))</f>
        <v/>
      </c>
      <c r="K33" s="61">
        <f>IF($A33="","",[1]!thsiFinD("ths_adjustment_nv_fund",K$3,$A33))</f>
        <v/>
      </c>
      <c r="L33" s="61">
        <f>IF($A33="","",[1]!thsiFinD("ths_adjustment_nv_fund",L$3,$A33))</f>
        <v/>
      </c>
      <c r="M33" s="61">
        <f>IF($A33="","",[1]!thsiFinD("ths_adjustment_nv_fund",M$3,$A33))</f>
        <v/>
      </c>
      <c r="N33" s="61">
        <f>IF($A33="","",[1]!thsiFinD("ths_adjustment_nv_fund",N$3,$A33))</f>
        <v/>
      </c>
      <c r="O33" s="61">
        <f>IF($A33="","",[1]!thsiFinD("ths_adjustment_nv_fund",O$3,$A33))</f>
        <v/>
      </c>
      <c r="P33" s="61">
        <f>IF($A33="","",[1]!thsiFinD("ths_adjustment_nv_fund",P$3,$A33))</f>
        <v/>
      </c>
      <c r="Q33" s="61">
        <f>IF($A33="","",[1]!thsiFinD("ths_adjustment_nv_fund",Q$3,$A33))</f>
        <v/>
      </c>
      <c r="R33" s="61">
        <f>IF($A33="","",[1]!thsiFinD("ths_adjustment_nv_fund",R$3,$A33))</f>
        <v/>
      </c>
      <c r="S33" s="61">
        <f>IF($A33="","",[1]!thsiFinD("ths_adjustment_nv_fund",S$3,$A33))</f>
        <v/>
      </c>
      <c r="T33" s="61">
        <f>IF($A33="","",[1]!thsiFinD("ths_adjustment_nv_fund",T$3,$A33))</f>
        <v/>
      </c>
      <c r="U33" s="61">
        <f>IF($A33="","",[1]!thsiFinD("ths_adjustment_nv_fund",U$3,$A33))</f>
        <v/>
      </c>
      <c r="V33" s="61">
        <f>IF($A33="","",[1]!thsiFinD("ths_adjustment_nv_fund",V$3,$A33))</f>
        <v/>
      </c>
      <c r="W33" s="61">
        <f>IF($A33="","",[1]!thsiFinD("ths_adjustment_nv_fund",W$3,$A33))</f>
        <v/>
      </c>
      <c r="X33" s="61">
        <f>IF($A33="","",[1]!thsiFinD("ths_adjustment_nv_fund",X$3,$A33))</f>
        <v/>
      </c>
      <c r="Y33" s="61">
        <f>IF($A33="","",[1]!thsiFinD("ths_adjustment_nv_fund",Y$3,$A33))</f>
        <v/>
      </c>
    </row>
    <row r="34">
      <c r="A34" s="60" t="n"/>
      <c r="B34" s="61">
        <f>IF($A34="","",[1]!thsiFinD("ths_adjustment_nv_fund",B$3,$A34))</f>
        <v/>
      </c>
      <c r="C34" s="61">
        <f>IF($A34="","",[1]!thsiFinD("ths_adjustment_nv_fund",C$3,$A34))</f>
        <v/>
      </c>
      <c r="D34" s="61">
        <f>IF($A34="","",[1]!thsiFinD("ths_adjustment_nv_fund",D$3,$A34))</f>
        <v/>
      </c>
      <c r="E34" s="61">
        <f>IF($A34="","",[1]!thsiFinD("ths_adjustment_nv_fund",E$3,$A34))</f>
        <v/>
      </c>
      <c r="F34" s="61">
        <f>IF($A34="","",[1]!thsiFinD("ths_adjustment_nv_fund",F$3,$A34))</f>
        <v/>
      </c>
      <c r="G34" s="61">
        <f>IF($A34="","",[1]!thsiFinD("ths_adjustment_nv_fund",G$3,$A34))</f>
        <v/>
      </c>
      <c r="H34" s="61">
        <f>IF($A34="","",[1]!thsiFinD("ths_adjustment_nv_fund",H$3,$A34))</f>
        <v/>
      </c>
      <c r="I34" s="61">
        <f>IF($A34="","",[1]!thsiFinD("ths_adjustment_nv_fund",I$3,$A34))</f>
        <v/>
      </c>
      <c r="J34" s="61">
        <f>IF($A34="","",[1]!thsiFinD("ths_adjustment_nv_fund",J$3,$A34))</f>
        <v/>
      </c>
      <c r="K34" s="61">
        <f>IF($A34="","",[1]!thsiFinD("ths_adjustment_nv_fund",K$3,$A34))</f>
        <v/>
      </c>
      <c r="L34" s="61">
        <f>IF($A34="","",[1]!thsiFinD("ths_adjustment_nv_fund",L$3,$A34))</f>
        <v/>
      </c>
      <c r="M34" s="61">
        <f>IF($A34="","",[1]!thsiFinD("ths_adjustment_nv_fund",M$3,$A34))</f>
        <v/>
      </c>
      <c r="N34" s="61">
        <f>IF($A34="","",[1]!thsiFinD("ths_adjustment_nv_fund",N$3,$A34))</f>
        <v/>
      </c>
      <c r="O34" s="61">
        <f>IF($A34="","",[1]!thsiFinD("ths_adjustment_nv_fund",O$3,$A34))</f>
        <v/>
      </c>
      <c r="P34" s="61">
        <f>IF($A34="","",[1]!thsiFinD("ths_adjustment_nv_fund",P$3,$A34))</f>
        <v/>
      </c>
      <c r="Q34" s="61">
        <f>IF($A34="","",[1]!thsiFinD("ths_adjustment_nv_fund",Q$3,$A34))</f>
        <v/>
      </c>
      <c r="R34" s="61">
        <f>IF($A34="","",[1]!thsiFinD("ths_adjustment_nv_fund",R$3,$A34))</f>
        <v/>
      </c>
      <c r="S34" s="61">
        <f>IF($A34="","",[1]!thsiFinD("ths_adjustment_nv_fund",S$3,$A34))</f>
        <v/>
      </c>
      <c r="T34" s="61">
        <f>IF($A34="","",[1]!thsiFinD("ths_adjustment_nv_fund",T$3,$A34))</f>
        <v/>
      </c>
      <c r="U34" s="61">
        <f>IF($A34="","",[1]!thsiFinD("ths_adjustment_nv_fund",U$3,$A34))</f>
        <v/>
      </c>
      <c r="V34" s="61">
        <f>IF($A34="","",[1]!thsiFinD("ths_adjustment_nv_fund",V$3,$A34))</f>
        <v/>
      </c>
      <c r="W34" s="61">
        <f>IF($A34="","",[1]!thsiFinD("ths_adjustment_nv_fund",W$3,$A34))</f>
        <v/>
      </c>
      <c r="X34" s="61">
        <f>IF($A34="","",[1]!thsiFinD("ths_adjustment_nv_fund",X$3,$A34))</f>
        <v/>
      </c>
      <c r="Y34" s="61">
        <f>IF($A34="","",[1]!thsiFinD("ths_adjustment_nv_fund",Y$3,$A34))</f>
        <v/>
      </c>
    </row>
    <row r="35">
      <c r="A35" s="60" t="n"/>
      <c r="B35" s="61">
        <f>IF($A35="","",[1]!thsiFinD("ths_adjustment_nv_fund",B$3,$A35))</f>
        <v/>
      </c>
      <c r="C35" s="61">
        <f>IF($A35="","",[1]!thsiFinD("ths_adjustment_nv_fund",C$3,$A35))</f>
        <v/>
      </c>
      <c r="D35" s="61">
        <f>IF($A35="","",[1]!thsiFinD("ths_adjustment_nv_fund",D$3,$A35))</f>
        <v/>
      </c>
      <c r="E35" s="61">
        <f>IF($A35="","",[1]!thsiFinD("ths_adjustment_nv_fund",E$3,$A35))</f>
        <v/>
      </c>
      <c r="F35" s="61">
        <f>IF($A35="","",[1]!thsiFinD("ths_adjustment_nv_fund",F$3,$A35))</f>
        <v/>
      </c>
      <c r="G35" s="61">
        <f>IF($A35="","",[1]!thsiFinD("ths_adjustment_nv_fund",G$3,$A35))</f>
        <v/>
      </c>
      <c r="H35" s="61">
        <f>IF($A35="","",[1]!thsiFinD("ths_adjustment_nv_fund",H$3,$A35))</f>
        <v/>
      </c>
      <c r="I35" s="61">
        <f>IF($A35="","",[1]!thsiFinD("ths_adjustment_nv_fund",I$3,$A35))</f>
        <v/>
      </c>
      <c r="J35" s="61">
        <f>IF($A35="","",[1]!thsiFinD("ths_adjustment_nv_fund",J$3,$A35))</f>
        <v/>
      </c>
      <c r="K35" s="61">
        <f>IF($A35="","",[1]!thsiFinD("ths_adjustment_nv_fund",K$3,$A35))</f>
        <v/>
      </c>
      <c r="L35" s="61">
        <f>IF($A35="","",[1]!thsiFinD("ths_adjustment_nv_fund",L$3,$A35))</f>
        <v/>
      </c>
      <c r="M35" s="61">
        <f>IF($A35="","",[1]!thsiFinD("ths_adjustment_nv_fund",M$3,$A35))</f>
        <v/>
      </c>
      <c r="N35" s="61">
        <f>IF($A35="","",[1]!thsiFinD("ths_adjustment_nv_fund",N$3,$A35))</f>
        <v/>
      </c>
      <c r="O35" s="61">
        <f>IF($A35="","",[1]!thsiFinD("ths_adjustment_nv_fund",O$3,$A35))</f>
        <v/>
      </c>
      <c r="P35" s="61">
        <f>IF($A35="","",[1]!thsiFinD("ths_adjustment_nv_fund",P$3,$A35))</f>
        <v/>
      </c>
      <c r="Q35" s="61">
        <f>IF($A35="","",[1]!thsiFinD("ths_adjustment_nv_fund",Q$3,$A35))</f>
        <v/>
      </c>
      <c r="R35" s="61">
        <f>IF($A35="","",[1]!thsiFinD("ths_adjustment_nv_fund",R$3,$A35))</f>
        <v/>
      </c>
      <c r="S35" s="61">
        <f>IF($A35="","",[1]!thsiFinD("ths_adjustment_nv_fund",S$3,$A35))</f>
        <v/>
      </c>
      <c r="T35" s="61">
        <f>IF($A35="","",[1]!thsiFinD("ths_adjustment_nv_fund",T$3,$A35))</f>
        <v/>
      </c>
      <c r="U35" s="61">
        <f>IF($A35="","",[1]!thsiFinD("ths_adjustment_nv_fund",U$3,$A35))</f>
        <v/>
      </c>
      <c r="V35" s="61">
        <f>IF($A35="","",[1]!thsiFinD("ths_adjustment_nv_fund",V$3,$A35))</f>
        <v/>
      </c>
      <c r="W35" s="61">
        <f>IF($A35="","",[1]!thsiFinD("ths_adjustment_nv_fund",W$3,$A35))</f>
        <v/>
      </c>
      <c r="X35" s="61">
        <f>IF($A35="","",[1]!thsiFinD("ths_adjustment_nv_fund",X$3,$A35))</f>
        <v/>
      </c>
      <c r="Y35" s="61">
        <f>IF($A35="","",[1]!thsiFinD("ths_adjustment_nv_fund",Y$3,$A35))</f>
        <v/>
      </c>
    </row>
    <row r="36">
      <c r="A36" s="60" t="n"/>
      <c r="B36" s="61">
        <f>IF($A36="","",[1]!thsiFinD("ths_adjustment_nv_fund",B$3,$A36))</f>
        <v/>
      </c>
      <c r="C36" s="61">
        <f>IF($A36="","",[1]!thsiFinD("ths_adjustment_nv_fund",C$3,$A36))</f>
        <v/>
      </c>
      <c r="D36" s="61">
        <f>IF($A36="","",[1]!thsiFinD("ths_adjustment_nv_fund",D$3,$A36))</f>
        <v/>
      </c>
      <c r="E36" s="61">
        <f>IF($A36="","",[1]!thsiFinD("ths_adjustment_nv_fund",E$3,$A36))</f>
        <v/>
      </c>
      <c r="F36" s="61">
        <f>IF($A36="","",[1]!thsiFinD("ths_adjustment_nv_fund",F$3,$A36))</f>
        <v/>
      </c>
      <c r="G36" s="61">
        <f>IF($A36="","",[1]!thsiFinD("ths_adjustment_nv_fund",G$3,$A36))</f>
        <v/>
      </c>
      <c r="H36" s="61">
        <f>IF($A36="","",[1]!thsiFinD("ths_adjustment_nv_fund",H$3,$A36))</f>
        <v/>
      </c>
      <c r="I36" s="61">
        <f>IF($A36="","",[1]!thsiFinD("ths_adjustment_nv_fund",I$3,$A36))</f>
        <v/>
      </c>
      <c r="J36" s="61">
        <f>IF($A36="","",[1]!thsiFinD("ths_adjustment_nv_fund",J$3,$A36))</f>
        <v/>
      </c>
      <c r="K36" s="61">
        <f>IF($A36="","",[1]!thsiFinD("ths_adjustment_nv_fund",K$3,$A36))</f>
        <v/>
      </c>
      <c r="L36" s="61">
        <f>IF($A36="","",[1]!thsiFinD("ths_adjustment_nv_fund",L$3,$A36))</f>
        <v/>
      </c>
      <c r="M36" s="61">
        <f>IF($A36="","",[1]!thsiFinD("ths_adjustment_nv_fund",M$3,$A36))</f>
        <v/>
      </c>
      <c r="N36" s="61">
        <f>IF($A36="","",[1]!thsiFinD("ths_adjustment_nv_fund",N$3,$A36))</f>
        <v/>
      </c>
      <c r="O36" s="61">
        <f>IF($A36="","",[1]!thsiFinD("ths_adjustment_nv_fund",O$3,$A36))</f>
        <v/>
      </c>
      <c r="P36" s="61">
        <f>IF($A36="","",[1]!thsiFinD("ths_adjustment_nv_fund",P$3,$A36))</f>
        <v/>
      </c>
      <c r="Q36" s="61">
        <f>IF($A36="","",[1]!thsiFinD("ths_adjustment_nv_fund",Q$3,$A36))</f>
        <v/>
      </c>
      <c r="R36" s="61">
        <f>IF($A36="","",[1]!thsiFinD("ths_adjustment_nv_fund",R$3,$A36))</f>
        <v/>
      </c>
      <c r="S36" s="61">
        <f>IF($A36="","",[1]!thsiFinD("ths_adjustment_nv_fund",S$3,$A36))</f>
        <v/>
      </c>
      <c r="T36" s="61">
        <f>IF($A36="","",[1]!thsiFinD("ths_adjustment_nv_fund",T$3,$A36))</f>
        <v/>
      </c>
      <c r="U36" s="61">
        <f>IF($A36="","",[1]!thsiFinD("ths_adjustment_nv_fund",U$3,$A36))</f>
        <v/>
      </c>
      <c r="V36" s="61">
        <f>IF($A36="","",[1]!thsiFinD("ths_adjustment_nv_fund",V$3,$A36))</f>
        <v/>
      </c>
      <c r="W36" s="61">
        <f>IF($A36="","",[1]!thsiFinD("ths_adjustment_nv_fund",W$3,$A36))</f>
        <v/>
      </c>
      <c r="X36" s="61">
        <f>IF($A36="","",[1]!thsiFinD("ths_adjustment_nv_fund",X$3,$A36))</f>
        <v/>
      </c>
      <c r="Y36" s="61">
        <f>IF($A36="","",[1]!thsiFinD("ths_adjustment_nv_fund",Y$3,$A36))</f>
        <v/>
      </c>
    </row>
    <row r="37">
      <c r="A37" s="60" t="n"/>
      <c r="B37" s="61">
        <f>IF($A37="","",[1]!thsiFinD("ths_adjustment_nv_fund",B$3,$A37))</f>
        <v/>
      </c>
      <c r="C37" s="61">
        <f>IF($A37="","",[1]!thsiFinD("ths_adjustment_nv_fund",C$3,$A37))</f>
        <v/>
      </c>
      <c r="D37" s="61">
        <f>IF($A37="","",[1]!thsiFinD("ths_adjustment_nv_fund",D$3,$A37))</f>
        <v/>
      </c>
      <c r="E37" s="61">
        <f>IF($A37="","",[1]!thsiFinD("ths_adjustment_nv_fund",E$3,$A37))</f>
        <v/>
      </c>
      <c r="F37" s="61">
        <f>IF($A37="","",[1]!thsiFinD("ths_adjustment_nv_fund",F$3,$A37))</f>
        <v/>
      </c>
      <c r="G37" s="61">
        <f>IF($A37="","",[1]!thsiFinD("ths_adjustment_nv_fund",G$3,$A37))</f>
        <v/>
      </c>
      <c r="H37" s="61">
        <f>IF($A37="","",[1]!thsiFinD("ths_adjustment_nv_fund",H$3,$A37))</f>
        <v/>
      </c>
      <c r="I37" s="61">
        <f>IF($A37="","",[1]!thsiFinD("ths_adjustment_nv_fund",I$3,$A37))</f>
        <v/>
      </c>
      <c r="J37" s="61">
        <f>IF($A37="","",[1]!thsiFinD("ths_adjustment_nv_fund",J$3,$A37))</f>
        <v/>
      </c>
      <c r="K37" s="61">
        <f>IF($A37="","",[1]!thsiFinD("ths_adjustment_nv_fund",K$3,$A37))</f>
        <v/>
      </c>
      <c r="L37" s="61">
        <f>IF($A37="","",[1]!thsiFinD("ths_adjustment_nv_fund",L$3,$A37))</f>
        <v/>
      </c>
      <c r="M37" s="61">
        <f>IF($A37="","",[1]!thsiFinD("ths_adjustment_nv_fund",M$3,$A37))</f>
        <v/>
      </c>
      <c r="N37" s="61">
        <f>IF($A37="","",[1]!thsiFinD("ths_adjustment_nv_fund",N$3,$A37))</f>
        <v/>
      </c>
      <c r="O37" s="61">
        <f>IF($A37="","",[1]!thsiFinD("ths_adjustment_nv_fund",O$3,$A37))</f>
        <v/>
      </c>
      <c r="P37" s="61">
        <f>IF($A37="","",[1]!thsiFinD("ths_adjustment_nv_fund",P$3,$A37))</f>
        <v/>
      </c>
      <c r="Q37" s="61">
        <f>IF($A37="","",[1]!thsiFinD("ths_adjustment_nv_fund",Q$3,$A37))</f>
        <v/>
      </c>
      <c r="R37" s="61">
        <f>IF($A37="","",[1]!thsiFinD("ths_adjustment_nv_fund",R$3,$A37))</f>
        <v/>
      </c>
      <c r="S37" s="61">
        <f>IF($A37="","",[1]!thsiFinD("ths_adjustment_nv_fund",S$3,$A37))</f>
        <v/>
      </c>
      <c r="T37" s="61">
        <f>IF($A37="","",[1]!thsiFinD("ths_adjustment_nv_fund",T$3,$A37))</f>
        <v/>
      </c>
      <c r="U37" s="61">
        <f>IF($A37="","",[1]!thsiFinD("ths_adjustment_nv_fund",U$3,$A37))</f>
        <v/>
      </c>
      <c r="V37" s="61">
        <f>IF($A37="","",[1]!thsiFinD("ths_adjustment_nv_fund",V$3,$A37))</f>
        <v/>
      </c>
      <c r="W37" s="61">
        <f>IF($A37="","",[1]!thsiFinD("ths_adjustment_nv_fund",W$3,$A37))</f>
        <v/>
      </c>
      <c r="X37" s="61">
        <f>IF($A37="","",[1]!thsiFinD("ths_adjustment_nv_fund",X$3,$A37))</f>
        <v/>
      </c>
      <c r="Y37" s="61">
        <f>IF($A37="","",[1]!thsiFinD("ths_adjustment_nv_fund",Y$3,$A37))</f>
        <v/>
      </c>
    </row>
    <row r="38">
      <c r="A38" s="60" t="n"/>
      <c r="B38" s="61">
        <f>IF($A38="","",[1]!thsiFinD("ths_adjustment_nv_fund",B$3,$A38))</f>
        <v/>
      </c>
      <c r="C38" s="61">
        <f>IF($A38="","",[1]!thsiFinD("ths_adjustment_nv_fund",C$3,$A38))</f>
        <v/>
      </c>
      <c r="D38" s="61">
        <f>IF($A38="","",[1]!thsiFinD("ths_adjustment_nv_fund",D$3,$A38))</f>
        <v/>
      </c>
      <c r="E38" s="61">
        <f>IF($A38="","",[1]!thsiFinD("ths_adjustment_nv_fund",E$3,$A38))</f>
        <v/>
      </c>
      <c r="F38" s="61">
        <f>IF($A38="","",[1]!thsiFinD("ths_adjustment_nv_fund",F$3,$A38))</f>
        <v/>
      </c>
      <c r="G38" s="61">
        <f>IF($A38="","",[1]!thsiFinD("ths_adjustment_nv_fund",G$3,$A38))</f>
        <v/>
      </c>
      <c r="H38" s="61">
        <f>IF($A38="","",[1]!thsiFinD("ths_adjustment_nv_fund",H$3,$A38))</f>
        <v/>
      </c>
      <c r="I38" s="61">
        <f>IF($A38="","",[1]!thsiFinD("ths_adjustment_nv_fund",I$3,$A38))</f>
        <v/>
      </c>
      <c r="J38" s="61">
        <f>IF($A38="","",[1]!thsiFinD("ths_adjustment_nv_fund",J$3,$A38))</f>
        <v/>
      </c>
      <c r="K38" s="61">
        <f>IF($A38="","",[1]!thsiFinD("ths_adjustment_nv_fund",K$3,$A38))</f>
        <v/>
      </c>
      <c r="L38" s="61">
        <f>IF($A38="","",[1]!thsiFinD("ths_adjustment_nv_fund",L$3,$A38))</f>
        <v/>
      </c>
      <c r="M38" s="61">
        <f>IF($A38="","",[1]!thsiFinD("ths_adjustment_nv_fund",M$3,$A38))</f>
        <v/>
      </c>
      <c r="N38" s="61">
        <f>IF($A38="","",[1]!thsiFinD("ths_adjustment_nv_fund",N$3,$A38))</f>
        <v/>
      </c>
      <c r="O38" s="61">
        <f>IF($A38="","",[1]!thsiFinD("ths_adjustment_nv_fund",O$3,$A38))</f>
        <v/>
      </c>
      <c r="P38" s="61">
        <f>IF($A38="","",[1]!thsiFinD("ths_adjustment_nv_fund",P$3,$A38))</f>
        <v/>
      </c>
      <c r="Q38" s="61">
        <f>IF($A38="","",[1]!thsiFinD("ths_adjustment_nv_fund",Q$3,$A38))</f>
        <v/>
      </c>
      <c r="R38" s="61">
        <f>IF($A38="","",[1]!thsiFinD("ths_adjustment_nv_fund",R$3,$A38))</f>
        <v/>
      </c>
      <c r="S38" s="61">
        <f>IF($A38="","",[1]!thsiFinD("ths_adjustment_nv_fund",S$3,$A38))</f>
        <v/>
      </c>
      <c r="T38" s="61">
        <f>IF($A38="","",[1]!thsiFinD("ths_adjustment_nv_fund",T$3,$A38))</f>
        <v/>
      </c>
      <c r="U38" s="61">
        <f>IF($A38="","",[1]!thsiFinD("ths_adjustment_nv_fund",U$3,$A38))</f>
        <v/>
      </c>
      <c r="V38" s="61">
        <f>IF($A38="","",[1]!thsiFinD("ths_adjustment_nv_fund",V$3,$A38))</f>
        <v/>
      </c>
      <c r="W38" s="61">
        <f>IF($A38="","",[1]!thsiFinD("ths_adjustment_nv_fund",W$3,$A38))</f>
        <v/>
      </c>
      <c r="X38" s="61">
        <f>IF($A38="","",[1]!thsiFinD("ths_adjustment_nv_fund",X$3,$A38))</f>
        <v/>
      </c>
      <c r="Y38" s="61">
        <f>IF($A38="","",[1]!thsiFinD("ths_adjustment_nv_fund",Y$3,$A38))</f>
        <v/>
      </c>
    </row>
    <row r="39">
      <c r="A39" s="60" t="n"/>
      <c r="B39" s="61">
        <f>IF($A39="","",[1]!thsiFinD("ths_adjustment_nv_fund",B$3,$A39))</f>
        <v/>
      </c>
      <c r="C39" s="61">
        <f>IF($A39="","",[1]!thsiFinD("ths_adjustment_nv_fund",C$3,$A39))</f>
        <v/>
      </c>
      <c r="D39" s="61">
        <f>IF($A39="","",[1]!thsiFinD("ths_adjustment_nv_fund",D$3,$A39))</f>
        <v/>
      </c>
      <c r="E39" s="61">
        <f>IF($A39="","",[1]!thsiFinD("ths_adjustment_nv_fund",E$3,$A39))</f>
        <v/>
      </c>
      <c r="F39" s="61">
        <f>IF($A39="","",[1]!thsiFinD("ths_adjustment_nv_fund",F$3,$A39))</f>
        <v/>
      </c>
      <c r="G39" s="61">
        <f>IF($A39="","",[1]!thsiFinD("ths_adjustment_nv_fund",G$3,$A39))</f>
        <v/>
      </c>
      <c r="H39" s="61">
        <f>IF($A39="","",[1]!thsiFinD("ths_adjustment_nv_fund",H$3,$A39))</f>
        <v/>
      </c>
      <c r="I39" s="61">
        <f>IF($A39="","",[1]!thsiFinD("ths_adjustment_nv_fund",I$3,$A39))</f>
        <v/>
      </c>
      <c r="J39" s="61">
        <f>IF($A39="","",[1]!thsiFinD("ths_adjustment_nv_fund",J$3,$A39))</f>
        <v/>
      </c>
      <c r="K39" s="61">
        <f>IF($A39="","",[1]!thsiFinD("ths_adjustment_nv_fund",K$3,$A39))</f>
        <v/>
      </c>
      <c r="L39" s="61">
        <f>IF($A39="","",[1]!thsiFinD("ths_adjustment_nv_fund",L$3,$A39))</f>
        <v/>
      </c>
      <c r="M39" s="61">
        <f>IF($A39="","",[1]!thsiFinD("ths_adjustment_nv_fund",M$3,$A39))</f>
        <v/>
      </c>
      <c r="N39" s="61">
        <f>IF($A39="","",[1]!thsiFinD("ths_adjustment_nv_fund",N$3,$A39))</f>
        <v/>
      </c>
      <c r="O39" s="61">
        <f>IF($A39="","",[1]!thsiFinD("ths_adjustment_nv_fund",O$3,$A39))</f>
        <v/>
      </c>
      <c r="P39" s="61">
        <f>IF($A39="","",[1]!thsiFinD("ths_adjustment_nv_fund",P$3,$A39))</f>
        <v/>
      </c>
      <c r="Q39" s="61">
        <f>IF($A39="","",[1]!thsiFinD("ths_adjustment_nv_fund",Q$3,$A39))</f>
        <v/>
      </c>
      <c r="R39" s="61">
        <f>IF($A39="","",[1]!thsiFinD("ths_adjustment_nv_fund",R$3,$A39))</f>
        <v/>
      </c>
      <c r="S39" s="61">
        <f>IF($A39="","",[1]!thsiFinD("ths_adjustment_nv_fund",S$3,$A39))</f>
        <v/>
      </c>
      <c r="T39" s="61">
        <f>IF($A39="","",[1]!thsiFinD("ths_adjustment_nv_fund",T$3,$A39))</f>
        <v/>
      </c>
      <c r="U39" s="61">
        <f>IF($A39="","",[1]!thsiFinD("ths_adjustment_nv_fund",U$3,$A39))</f>
        <v/>
      </c>
      <c r="V39" s="61">
        <f>IF($A39="","",[1]!thsiFinD("ths_adjustment_nv_fund",V$3,$A39))</f>
        <v/>
      </c>
      <c r="W39" s="61">
        <f>IF($A39="","",[1]!thsiFinD("ths_adjustment_nv_fund",W$3,$A39))</f>
        <v/>
      </c>
      <c r="X39" s="61">
        <f>IF($A39="","",[1]!thsiFinD("ths_adjustment_nv_fund",X$3,$A39))</f>
        <v/>
      </c>
      <c r="Y39" s="61">
        <f>IF($A39="","",[1]!thsiFinD("ths_adjustment_nv_fund",Y$3,$A39))</f>
        <v/>
      </c>
    </row>
    <row r="40">
      <c r="A40" s="60" t="n"/>
      <c r="B40" s="61">
        <f>IF($A40="","",[1]!thsiFinD("ths_adjustment_nv_fund",B$3,$A40))</f>
        <v/>
      </c>
      <c r="C40" s="61">
        <f>IF($A40="","",[1]!thsiFinD("ths_adjustment_nv_fund",C$3,$A40))</f>
        <v/>
      </c>
      <c r="D40" s="61">
        <f>IF($A40="","",[1]!thsiFinD("ths_adjustment_nv_fund",D$3,$A40))</f>
        <v/>
      </c>
      <c r="E40" s="61">
        <f>IF($A40="","",[1]!thsiFinD("ths_adjustment_nv_fund",E$3,$A40))</f>
        <v/>
      </c>
      <c r="F40" s="61">
        <f>IF($A40="","",[1]!thsiFinD("ths_adjustment_nv_fund",F$3,$A40))</f>
        <v/>
      </c>
      <c r="G40" s="61">
        <f>IF($A40="","",[1]!thsiFinD("ths_adjustment_nv_fund",G$3,$A40))</f>
        <v/>
      </c>
      <c r="H40" s="61">
        <f>IF($A40="","",[1]!thsiFinD("ths_adjustment_nv_fund",H$3,$A40))</f>
        <v/>
      </c>
      <c r="I40" s="61">
        <f>IF($A40="","",[1]!thsiFinD("ths_adjustment_nv_fund",I$3,$A40))</f>
        <v/>
      </c>
      <c r="J40" s="61">
        <f>IF($A40="","",[1]!thsiFinD("ths_adjustment_nv_fund",J$3,$A40))</f>
        <v/>
      </c>
      <c r="K40" s="61">
        <f>IF($A40="","",[1]!thsiFinD("ths_adjustment_nv_fund",K$3,$A40))</f>
        <v/>
      </c>
      <c r="L40" s="61">
        <f>IF($A40="","",[1]!thsiFinD("ths_adjustment_nv_fund",L$3,$A40))</f>
        <v/>
      </c>
      <c r="M40" s="61">
        <f>IF($A40="","",[1]!thsiFinD("ths_adjustment_nv_fund",M$3,$A40))</f>
        <v/>
      </c>
      <c r="N40" s="61">
        <f>IF($A40="","",[1]!thsiFinD("ths_adjustment_nv_fund",N$3,$A40))</f>
        <v/>
      </c>
      <c r="O40" s="61">
        <f>IF($A40="","",[1]!thsiFinD("ths_adjustment_nv_fund",O$3,$A40))</f>
        <v/>
      </c>
      <c r="P40" s="61">
        <f>IF($A40="","",[1]!thsiFinD("ths_adjustment_nv_fund",P$3,$A40))</f>
        <v/>
      </c>
      <c r="Q40" s="61">
        <f>IF($A40="","",[1]!thsiFinD("ths_adjustment_nv_fund",Q$3,$A40))</f>
        <v/>
      </c>
      <c r="R40" s="61">
        <f>IF($A40="","",[1]!thsiFinD("ths_adjustment_nv_fund",R$3,$A40))</f>
        <v/>
      </c>
      <c r="S40" s="61">
        <f>IF($A40="","",[1]!thsiFinD("ths_adjustment_nv_fund",S$3,$A40))</f>
        <v/>
      </c>
      <c r="T40" s="61">
        <f>IF($A40="","",[1]!thsiFinD("ths_adjustment_nv_fund",T$3,$A40))</f>
        <v/>
      </c>
      <c r="U40" s="61">
        <f>IF($A40="","",[1]!thsiFinD("ths_adjustment_nv_fund",U$3,$A40))</f>
        <v/>
      </c>
      <c r="V40" s="61">
        <f>IF($A40="","",[1]!thsiFinD("ths_adjustment_nv_fund",V$3,$A40))</f>
        <v/>
      </c>
      <c r="W40" s="61">
        <f>IF($A40="","",[1]!thsiFinD("ths_adjustment_nv_fund",W$3,$A40))</f>
        <v/>
      </c>
      <c r="X40" s="61">
        <f>IF($A40="","",[1]!thsiFinD("ths_adjustment_nv_fund",X$3,$A40))</f>
        <v/>
      </c>
      <c r="Y40" s="61">
        <f>IF($A40="","",[1]!thsiFinD("ths_adjustment_nv_fund",Y$3,$A40))</f>
        <v/>
      </c>
    </row>
    <row r="41">
      <c r="A41" s="60" t="n"/>
      <c r="B41" s="61">
        <f>IF($A41="","",[1]!thsiFinD("ths_adjustment_nv_fund",B$3,$A41))</f>
        <v/>
      </c>
      <c r="C41" s="61">
        <f>IF($A41="","",[1]!thsiFinD("ths_adjustment_nv_fund",C$3,$A41))</f>
        <v/>
      </c>
      <c r="D41" s="61">
        <f>IF($A41="","",[1]!thsiFinD("ths_adjustment_nv_fund",D$3,$A41))</f>
        <v/>
      </c>
      <c r="E41" s="61">
        <f>IF($A41="","",[1]!thsiFinD("ths_adjustment_nv_fund",E$3,$A41))</f>
        <v/>
      </c>
      <c r="F41" s="61">
        <f>IF($A41="","",[1]!thsiFinD("ths_adjustment_nv_fund",F$3,$A41))</f>
        <v/>
      </c>
      <c r="G41" s="61">
        <f>IF($A41="","",[1]!thsiFinD("ths_adjustment_nv_fund",G$3,$A41))</f>
        <v/>
      </c>
      <c r="H41" s="61">
        <f>IF($A41="","",[1]!thsiFinD("ths_adjustment_nv_fund",H$3,$A41))</f>
        <v/>
      </c>
      <c r="I41" s="61">
        <f>IF($A41="","",[1]!thsiFinD("ths_adjustment_nv_fund",I$3,$A41))</f>
        <v/>
      </c>
      <c r="J41" s="61">
        <f>IF($A41="","",[1]!thsiFinD("ths_adjustment_nv_fund",J$3,$A41))</f>
        <v/>
      </c>
      <c r="K41" s="61">
        <f>IF($A41="","",[1]!thsiFinD("ths_adjustment_nv_fund",K$3,$A41))</f>
        <v/>
      </c>
      <c r="L41" s="61">
        <f>IF($A41="","",[1]!thsiFinD("ths_adjustment_nv_fund",L$3,$A41))</f>
        <v/>
      </c>
      <c r="M41" s="61">
        <f>IF($A41="","",[1]!thsiFinD("ths_adjustment_nv_fund",M$3,$A41))</f>
        <v/>
      </c>
      <c r="N41" s="61">
        <f>IF($A41="","",[1]!thsiFinD("ths_adjustment_nv_fund",N$3,$A41))</f>
        <v/>
      </c>
      <c r="O41" s="61">
        <f>IF($A41="","",[1]!thsiFinD("ths_adjustment_nv_fund",O$3,$A41))</f>
        <v/>
      </c>
      <c r="P41" s="61">
        <f>IF($A41="","",[1]!thsiFinD("ths_adjustment_nv_fund",P$3,$A41))</f>
        <v/>
      </c>
      <c r="Q41" s="61">
        <f>IF($A41="","",[1]!thsiFinD("ths_adjustment_nv_fund",Q$3,$A41))</f>
        <v/>
      </c>
      <c r="R41" s="61">
        <f>IF($A41="","",[1]!thsiFinD("ths_adjustment_nv_fund",R$3,$A41))</f>
        <v/>
      </c>
      <c r="S41" s="61">
        <f>IF($A41="","",[1]!thsiFinD("ths_adjustment_nv_fund",S$3,$A41))</f>
        <v/>
      </c>
      <c r="T41" s="61">
        <f>IF($A41="","",[1]!thsiFinD("ths_adjustment_nv_fund",T$3,$A41))</f>
        <v/>
      </c>
      <c r="U41" s="61">
        <f>IF($A41="","",[1]!thsiFinD("ths_adjustment_nv_fund",U$3,$A41))</f>
        <v/>
      </c>
      <c r="V41" s="61">
        <f>IF($A41="","",[1]!thsiFinD("ths_adjustment_nv_fund",V$3,$A41))</f>
        <v/>
      </c>
      <c r="W41" s="61">
        <f>IF($A41="","",[1]!thsiFinD("ths_adjustment_nv_fund",W$3,$A41))</f>
        <v/>
      </c>
      <c r="X41" s="61">
        <f>IF($A41="","",[1]!thsiFinD("ths_adjustment_nv_fund",X$3,$A41))</f>
        <v/>
      </c>
      <c r="Y41" s="61">
        <f>IF($A41="","",[1]!thsiFinD("ths_adjustment_nv_fund",Y$3,$A41))</f>
        <v/>
      </c>
    </row>
    <row r="42">
      <c r="A42" s="60" t="n"/>
      <c r="B42" s="61">
        <f>IF($A42="","",[1]!thsiFinD("ths_adjustment_nv_fund",B$3,$A42))</f>
        <v/>
      </c>
      <c r="C42" s="61">
        <f>IF($A42="","",[1]!thsiFinD("ths_adjustment_nv_fund",C$3,$A42))</f>
        <v/>
      </c>
      <c r="D42" s="61">
        <f>IF($A42="","",[1]!thsiFinD("ths_adjustment_nv_fund",D$3,$A42))</f>
        <v/>
      </c>
      <c r="E42" s="61">
        <f>IF($A42="","",[1]!thsiFinD("ths_adjustment_nv_fund",E$3,$A42))</f>
        <v/>
      </c>
      <c r="F42" s="61">
        <f>IF($A42="","",[1]!thsiFinD("ths_adjustment_nv_fund",F$3,$A42))</f>
        <v/>
      </c>
      <c r="G42" s="61">
        <f>IF($A42="","",[1]!thsiFinD("ths_adjustment_nv_fund",G$3,$A42))</f>
        <v/>
      </c>
      <c r="H42" s="61">
        <f>IF($A42="","",[1]!thsiFinD("ths_adjustment_nv_fund",H$3,$A42))</f>
        <v/>
      </c>
      <c r="I42" s="61">
        <f>IF($A42="","",[1]!thsiFinD("ths_adjustment_nv_fund",I$3,$A42))</f>
        <v/>
      </c>
      <c r="J42" s="61">
        <f>IF($A42="","",[1]!thsiFinD("ths_adjustment_nv_fund",J$3,$A42))</f>
        <v/>
      </c>
      <c r="K42" s="61">
        <f>IF($A42="","",[1]!thsiFinD("ths_adjustment_nv_fund",K$3,$A42))</f>
        <v/>
      </c>
      <c r="L42" s="61">
        <f>IF($A42="","",[1]!thsiFinD("ths_adjustment_nv_fund",L$3,$A42))</f>
        <v/>
      </c>
      <c r="M42" s="61">
        <f>IF($A42="","",[1]!thsiFinD("ths_adjustment_nv_fund",M$3,$A42))</f>
        <v/>
      </c>
      <c r="N42" s="61">
        <f>IF($A42="","",[1]!thsiFinD("ths_adjustment_nv_fund",N$3,$A42))</f>
        <v/>
      </c>
      <c r="O42" s="61">
        <f>IF($A42="","",[1]!thsiFinD("ths_adjustment_nv_fund",O$3,$A42))</f>
        <v/>
      </c>
      <c r="P42" s="61">
        <f>IF($A42="","",[1]!thsiFinD("ths_adjustment_nv_fund",P$3,$A42))</f>
        <v/>
      </c>
      <c r="Q42" s="61">
        <f>IF($A42="","",[1]!thsiFinD("ths_adjustment_nv_fund",Q$3,$A42))</f>
        <v/>
      </c>
      <c r="R42" s="61">
        <f>IF($A42="","",[1]!thsiFinD("ths_adjustment_nv_fund",R$3,$A42))</f>
        <v/>
      </c>
      <c r="S42" s="61">
        <f>IF($A42="","",[1]!thsiFinD("ths_adjustment_nv_fund",S$3,$A42))</f>
        <v/>
      </c>
      <c r="T42" s="61">
        <f>IF($A42="","",[1]!thsiFinD("ths_adjustment_nv_fund",T$3,$A42))</f>
        <v/>
      </c>
      <c r="U42" s="61">
        <f>IF($A42="","",[1]!thsiFinD("ths_adjustment_nv_fund",U$3,$A42))</f>
        <v/>
      </c>
      <c r="V42" s="61">
        <f>IF($A42="","",[1]!thsiFinD("ths_adjustment_nv_fund",V$3,$A42))</f>
        <v/>
      </c>
      <c r="W42" s="61">
        <f>IF($A42="","",[1]!thsiFinD("ths_adjustment_nv_fund",W$3,$A42))</f>
        <v/>
      </c>
      <c r="X42" s="61">
        <f>IF($A42="","",[1]!thsiFinD("ths_adjustment_nv_fund",X$3,$A42))</f>
        <v/>
      </c>
      <c r="Y42" s="61">
        <f>IF($A42="","",[1]!thsiFinD("ths_adjustment_nv_fund",Y$3,$A42))</f>
        <v/>
      </c>
    </row>
    <row r="43">
      <c r="A43" s="60" t="n"/>
      <c r="B43" s="61">
        <f>IF($A43="","",[1]!thsiFinD("ths_adjustment_nv_fund",B$3,$A43))</f>
        <v/>
      </c>
      <c r="C43" s="61">
        <f>IF($A43="","",[1]!thsiFinD("ths_adjustment_nv_fund",C$3,$A43))</f>
        <v/>
      </c>
      <c r="D43" s="61">
        <f>IF($A43="","",[1]!thsiFinD("ths_adjustment_nv_fund",D$3,$A43))</f>
        <v/>
      </c>
      <c r="E43" s="61">
        <f>IF($A43="","",[1]!thsiFinD("ths_adjustment_nv_fund",E$3,$A43))</f>
        <v/>
      </c>
      <c r="F43" s="61">
        <f>IF($A43="","",[1]!thsiFinD("ths_adjustment_nv_fund",F$3,$A43))</f>
        <v/>
      </c>
      <c r="G43" s="61">
        <f>IF($A43="","",[1]!thsiFinD("ths_adjustment_nv_fund",G$3,$A43))</f>
        <v/>
      </c>
      <c r="H43" s="61">
        <f>IF($A43="","",[1]!thsiFinD("ths_adjustment_nv_fund",H$3,$A43))</f>
        <v/>
      </c>
      <c r="I43" s="61">
        <f>IF($A43="","",[1]!thsiFinD("ths_adjustment_nv_fund",I$3,$A43))</f>
        <v/>
      </c>
      <c r="J43" s="61">
        <f>IF($A43="","",[1]!thsiFinD("ths_adjustment_nv_fund",J$3,$A43))</f>
        <v/>
      </c>
      <c r="K43" s="61">
        <f>IF($A43="","",[1]!thsiFinD("ths_adjustment_nv_fund",K$3,$A43))</f>
        <v/>
      </c>
      <c r="L43" s="61">
        <f>IF($A43="","",[1]!thsiFinD("ths_adjustment_nv_fund",L$3,$A43))</f>
        <v/>
      </c>
      <c r="M43" s="61">
        <f>IF($A43="","",[1]!thsiFinD("ths_adjustment_nv_fund",M$3,$A43))</f>
        <v/>
      </c>
      <c r="N43" s="61">
        <f>IF($A43="","",[1]!thsiFinD("ths_adjustment_nv_fund",N$3,$A43))</f>
        <v/>
      </c>
      <c r="O43" s="61">
        <f>IF($A43="","",[1]!thsiFinD("ths_adjustment_nv_fund",O$3,$A43))</f>
        <v/>
      </c>
      <c r="P43" s="61">
        <f>IF($A43="","",[1]!thsiFinD("ths_adjustment_nv_fund",P$3,$A43))</f>
        <v/>
      </c>
      <c r="Q43" s="61">
        <f>IF($A43="","",[1]!thsiFinD("ths_adjustment_nv_fund",Q$3,$A43))</f>
        <v/>
      </c>
      <c r="R43" s="61">
        <f>IF($A43="","",[1]!thsiFinD("ths_adjustment_nv_fund",R$3,$A43))</f>
        <v/>
      </c>
      <c r="S43" s="61">
        <f>IF($A43="","",[1]!thsiFinD("ths_adjustment_nv_fund",S$3,$A43))</f>
        <v/>
      </c>
      <c r="T43" s="61">
        <f>IF($A43="","",[1]!thsiFinD("ths_adjustment_nv_fund",T$3,$A43))</f>
        <v/>
      </c>
      <c r="U43" s="61">
        <f>IF($A43="","",[1]!thsiFinD("ths_adjustment_nv_fund",U$3,$A43))</f>
        <v/>
      </c>
      <c r="V43" s="61">
        <f>IF($A43="","",[1]!thsiFinD("ths_adjustment_nv_fund",V$3,$A43))</f>
        <v/>
      </c>
      <c r="W43" s="61">
        <f>IF($A43="","",[1]!thsiFinD("ths_adjustment_nv_fund",W$3,$A43))</f>
        <v/>
      </c>
      <c r="X43" s="61">
        <f>IF($A43="","",[1]!thsiFinD("ths_adjustment_nv_fund",X$3,$A43))</f>
        <v/>
      </c>
      <c r="Y43" s="61">
        <f>IF($A43="","",[1]!thsiFinD("ths_adjustment_nv_fund",Y$3,$A43))</f>
        <v/>
      </c>
    </row>
    <row r="44">
      <c r="A44" s="60" t="n"/>
      <c r="B44" s="61">
        <f>IF($A44="","",[1]!thsiFinD("ths_adjustment_nv_fund",B$3,$A44))</f>
        <v/>
      </c>
      <c r="C44" s="61">
        <f>IF($A44="","",[1]!thsiFinD("ths_adjustment_nv_fund",C$3,$A44))</f>
        <v/>
      </c>
      <c r="D44" s="61">
        <f>IF($A44="","",[1]!thsiFinD("ths_adjustment_nv_fund",D$3,$A44))</f>
        <v/>
      </c>
      <c r="E44" s="61">
        <f>IF($A44="","",[1]!thsiFinD("ths_adjustment_nv_fund",E$3,$A44))</f>
        <v/>
      </c>
      <c r="F44" s="61">
        <f>IF($A44="","",[1]!thsiFinD("ths_adjustment_nv_fund",F$3,$A44))</f>
        <v/>
      </c>
      <c r="G44" s="61">
        <f>IF($A44="","",[1]!thsiFinD("ths_adjustment_nv_fund",G$3,$A44))</f>
        <v/>
      </c>
      <c r="H44" s="61">
        <f>IF($A44="","",[1]!thsiFinD("ths_adjustment_nv_fund",H$3,$A44))</f>
        <v/>
      </c>
      <c r="I44" s="61">
        <f>IF($A44="","",[1]!thsiFinD("ths_adjustment_nv_fund",I$3,$A44))</f>
        <v/>
      </c>
      <c r="J44" s="61">
        <f>IF($A44="","",[1]!thsiFinD("ths_adjustment_nv_fund",J$3,$A44))</f>
        <v/>
      </c>
      <c r="K44" s="61">
        <f>IF($A44="","",[1]!thsiFinD("ths_adjustment_nv_fund",K$3,$A44))</f>
        <v/>
      </c>
      <c r="L44" s="61">
        <f>IF($A44="","",[1]!thsiFinD("ths_adjustment_nv_fund",L$3,$A44))</f>
        <v/>
      </c>
      <c r="M44" s="61">
        <f>IF($A44="","",[1]!thsiFinD("ths_adjustment_nv_fund",M$3,$A44))</f>
        <v/>
      </c>
      <c r="N44" s="61">
        <f>IF($A44="","",[1]!thsiFinD("ths_adjustment_nv_fund",N$3,$A44))</f>
        <v/>
      </c>
      <c r="O44" s="61">
        <f>IF($A44="","",[1]!thsiFinD("ths_adjustment_nv_fund",O$3,$A44))</f>
        <v/>
      </c>
      <c r="P44" s="61">
        <f>IF($A44="","",[1]!thsiFinD("ths_adjustment_nv_fund",P$3,$A44))</f>
        <v/>
      </c>
      <c r="Q44" s="61">
        <f>IF($A44="","",[1]!thsiFinD("ths_adjustment_nv_fund",Q$3,$A44))</f>
        <v/>
      </c>
      <c r="R44" s="61">
        <f>IF($A44="","",[1]!thsiFinD("ths_adjustment_nv_fund",R$3,$A44))</f>
        <v/>
      </c>
      <c r="S44" s="61">
        <f>IF($A44="","",[1]!thsiFinD("ths_adjustment_nv_fund",S$3,$A44))</f>
        <v/>
      </c>
      <c r="T44" s="61">
        <f>IF($A44="","",[1]!thsiFinD("ths_adjustment_nv_fund",T$3,$A44))</f>
        <v/>
      </c>
      <c r="U44" s="61">
        <f>IF($A44="","",[1]!thsiFinD("ths_adjustment_nv_fund",U$3,$A44))</f>
        <v/>
      </c>
      <c r="V44" s="61">
        <f>IF($A44="","",[1]!thsiFinD("ths_adjustment_nv_fund",V$3,$A44))</f>
        <v/>
      </c>
      <c r="W44" s="61">
        <f>IF($A44="","",[1]!thsiFinD("ths_adjustment_nv_fund",W$3,$A44))</f>
        <v/>
      </c>
      <c r="X44" s="61">
        <f>IF($A44="","",[1]!thsiFinD("ths_adjustment_nv_fund",X$3,$A44))</f>
        <v/>
      </c>
      <c r="Y44" s="61">
        <f>IF($A44="","",[1]!thsiFinD("ths_adjustment_nv_fund",Y$3,$A44))</f>
        <v/>
      </c>
    </row>
    <row r="45">
      <c r="A45" s="60" t="n"/>
      <c r="B45" s="61">
        <f>IF($A45="","",[1]!thsiFinD("ths_adjustment_nv_fund",B$3,$A45))</f>
        <v/>
      </c>
      <c r="C45" s="61">
        <f>IF($A45="","",[1]!thsiFinD("ths_adjustment_nv_fund",C$3,$A45))</f>
        <v/>
      </c>
      <c r="D45" s="61">
        <f>IF($A45="","",[1]!thsiFinD("ths_adjustment_nv_fund",D$3,$A45))</f>
        <v/>
      </c>
      <c r="E45" s="61">
        <f>IF($A45="","",[1]!thsiFinD("ths_adjustment_nv_fund",E$3,$A45))</f>
        <v/>
      </c>
      <c r="F45" s="61">
        <f>IF($A45="","",[1]!thsiFinD("ths_adjustment_nv_fund",F$3,$A45))</f>
        <v/>
      </c>
      <c r="G45" s="61">
        <f>IF($A45="","",[1]!thsiFinD("ths_adjustment_nv_fund",G$3,$A45))</f>
        <v/>
      </c>
      <c r="H45" s="61">
        <f>IF($A45="","",[1]!thsiFinD("ths_adjustment_nv_fund",H$3,$A45))</f>
        <v/>
      </c>
      <c r="I45" s="61">
        <f>IF($A45="","",[1]!thsiFinD("ths_adjustment_nv_fund",I$3,$A45))</f>
        <v/>
      </c>
      <c r="J45" s="61">
        <f>IF($A45="","",[1]!thsiFinD("ths_adjustment_nv_fund",J$3,$A45))</f>
        <v/>
      </c>
      <c r="K45" s="61">
        <f>IF($A45="","",[1]!thsiFinD("ths_adjustment_nv_fund",K$3,$A45))</f>
        <v/>
      </c>
      <c r="L45" s="61">
        <f>IF($A45="","",[1]!thsiFinD("ths_adjustment_nv_fund",L$3,$A45))</f>
        <v/>
      </c>
      <c r="M45" s="61">
        <f>IF($A45="","",[1]!thsiFinD("ths_adjustment_nv_fund",M$3,$A45))</f>
        <v/>
      </c>
      <c r="N45" s="61">
        <f>IF($A45="","",[1]!thsiFinD("ths_adjustment_nv_fund",N$3,$A45))</f>
        <v/>
      </c>
      <c r="O45" s="61">
        <f>IF($A45="","",[1]!thsiFinD("ths_adjustment_nv_fund",O$3,$A45))</f>
        <v/>
      </c>
      <c r="P45" s="61">
        <f>IF($A45="","",[1]!thsiFinD("ths_adjustment_nv_fund",P$3,$A45))</f>
        <v/>
      </c>
      <c r="Q45" s="61">
        <f>IF($A45="","",[1]!thsiFinD("ths_adjustment_nv_fund",Q$3,$A45))</f>
        <v/>
      </c>
      <c r="R45" s="61">
        <f>IF($A45="","",[1]!thsiFinD("ths_adjustment_nv_fund",R$3,$A45))</f>
        <v/>
      </c>
      <c r="S45" s="61">
        <f>IF($A45="","",[1]!thsiFinD("ths_adjustment_nv_fund",S$3,$A45))</f>
        <v/>
      </c>
      <c r="T45" s="61">
        <f>IF($A45="","",[1]!thsiFinD("ths_adjustment_nv_fund",T$3,$A45))</f>
        <v/>
      </c>
      <c r="U45" s="61">
        <f>IF($A45="","",[1]!thsiFinD("ths_adjustment_nv_fund",U$3,$A45))</f>
        <v/>
      </c>
      <c r="V45" s="61">
        <f>IF($A45="","",[1]!thsiFinD("ths_adjustment_nv_fund",V$3,$A45))</f>
        <v/>
      </c>
      <c r="W45" s="61">
        <f>IF($A45="","",[1]!thsiFinD("ths_adjustment_nv_fund",W$3,$A45))</f>
        <v/>
      </c>
      <c r="X45" s="61">
        <f>IF($A45="","",[1]!thsiFinD("ths_adjustment_nv_fund",X$3,$A45))</f>
        <v/>
      </c>
      <c r="Y45" s="61">
        <f>IF($A45="","",[1]!thsiFinD("ths_adjustment_nv_fund",Y$3,$A45))</f>
        <v/>
      </c>
    </row>
    <row r="46">
      <c r="A46" s="60" t="n"/>
      <c r="B46" s="61">
        <f>IF($A46="","",[1]!thsiFinD("ths_adjustment_nv_fund",B$3,$A46))</f>
        <v/>
      </c>
      <c r="C46" s="61">
        <f>IF($A46="","",[1]!thsiFinD("ths_adjustment_nv_fund",C$3,$A46))</f>
        <v/>
      </c>
      <c r="D46" s="61">
        <f>IF($A46="","",[1]!thsiFinD("ths_adjustment_nv_fund",D$3,$A46))</f>
        <v/>
      </c>
      <c r="E46" s="61">
        <f>IF($A46="","",[1]!thsiFinD("ths_adjustment_nv_fund",E$3,$A46))</f>
        <v/>
      </c>
      <c r="F46" s="61">
        <f>IF($A46="","",[1]!thsiFinD("ths_adjustment_nv_fund",F$3,$A46))</f>
        <v/>
      </c>
      <c r="G46" s="61">
        <f>IF($A46="","",[1]!thsiFinD("ths_adjustment_nv_fund",G$3,$A46))</f>
        <v/>
      </c>
      <c r="H46" s="61">
        <f>IF($A46="","",[1]!thsiFinD("ths_adjustment_nv_fund",H$3,$A46))</f>
        <v/>
      </c>
      <c r="I46" s="61">
        <f>IF($A46="","",[1]!thsiFinD("ths_adjustment_nv_fund",I$3,$A46))</f>
        <v/>
      </c>
      <c r="J46" s="61">
        <f>IF($A46="","",[1]!thsiFinD("ths_adjustment_nv_fund",J$3,$A46))</f>
        <v/>
      </c>
      <c r="K46" s="61">
        <f>IF($A46="","",[1]!thsiFinD("ths_adjustment_nv_fund",K$3,$A46))</f>
        <v/>
      </c>
      <c r="L46" s="61">
        <f>IF($A46="","",[1]!thsiFinD("ths_adjustment_nv_fund",L$3,$A46))</f>
        <v/>
      </c>
      <c r="M46" s="61">
        <f>IF($A46="","",[1]!thsiFinD("ths_adjustment_nv_fund",M$3,$A46))</f>
        <v/>
      </c>
      <c r="N46" s="61">
        <f>IF($A46="","",[1]!thsiFinD("ths_adjustment_nv_fund",N$3,$A46))</f>
        <v/>
      </c>
      <c r="O46" s="61">
        <f>IF($A46="","",[1]!thsiFinD("ths_adjustment_nv_fund",O$3,$A46))</f>
        <v/>
      </c>
      <c r="P46" s="61">
        <f>IF($A46="","",[1]!thsiFinD("ths_adjustment_nv_fund",P$3,$A46))</f>
        <v/>
      </c>
      <c r="Q46" s="61">
        <f>IF($A46="","",[1]!thsiFinD("ths_adjustment_nv_fund",Q$3,$A46))</f>
        <v/>
      </c>
      <c r="R46" s="61">
        <f>IF($A46="","",[1]!thsiFinD("ths_adjustment_nv_fund",R$3,$A46))</f>
        <v/>
      </c>
      <c r="S46" s="61">
        <f>IF($A46="","",[1]!thsiFinD("ths_adjustment_nv_fund",S$3,$A46))</f>
        <v/>
      </c>
      <c r="T46" s="61">
        <f>IF($A46="","",[1]!thsiFinD("ths_adjustment_nv_fund",T$3,$A46))</f>
        <v/>
      </c>
      <c r="U46" s="61">
        <f>IF($A46="","",[1]!thsiFinD("ths_adjustment_nv_fund",U$3,$A46))</f>
        <v/>
      </c>
      <c r="V46" s="61">
        <f>IF($A46="","",[1]!thsiFinD("ths_adjustment_nv_fund",V$3,$A46))</f>
        <v/>
      </c>
      <c r="W46" s="61">
        <f>IF($A46="","",[1]!thsiFinD("ths_adjustment_nv_fund",W$3,$A46))</f>
        <v/>
      </c>
      <c r="X46" s="61">
        <f>IF($A46="","",[1]!thsiFinD("ths_adjustment_nv_fund",X$3,$A46))</f>
        <v/>
      </c>
      <c r="Y46" s="61">
        <f>IF($A46="","",[1]!thsiFinD("ths_adjustment_nv_fund",Y$3,$A46))</f>
        <v/>
      </c>
    </row>
    <row r="47">
      <c r="A47" s="60" t="n"/>
      <c r="B47" s="61">
        <f>IF($A47="","",[1]!thsiFinD("ths_adjustment_nv_fund",B$3,$A47))</f>
        <v/>
      </c>
      <c r="C47" s="61">
        <f>IF($A47="","",[1]!thsiFinD("ths_adjustment_nv_fund",C$3,$A47))</f>
        <v/>
      </c>
      <c r="D47" s="61">
        <f>IF($A47="","",[1]!thsiFinD("ths_adjustment_nv_fund",D$3,$A47))</f>
        <v/>
      </c>
      <c r="E47" s="61">
        <f>IF($A47="","",[1]!thsiFinD("ths_adjustment_nv_fund",E$3,$A47))</f>
        <v/>
      </c>
      <c r="F47" s="61">
        <f>IF($A47="","",[1]!thsiFinD("ths_adjustment_nv_fund",F$3,$A47))</f>
        <v/>
      </c>
      <c r="G47" s="61">
        <f>IF($A47="","",[1]!thsiFinD("ths_adjustment_nv_fund",G$3,$A47))</f>
        <v/>
      </c>
      <c r="H47" s="61">
        <f>IF($A47="","",[1]!thsiFinD("ths_adjustment_nv_fund",H$3,$A47))</f>
        <v/>
      </c>
      <c r="I47" s="61">
        <f>IF($A47="","",[1]!thsiFinD("ths_adjustment_nv_fund",I$3,$A47))</f>
        <v/>
      </c>
      <c r="J47" s="61">
        <f>IF($A47="","",[1]!thsiFinD("ths_adjustment_nv_fund",J$3,$A47))</f>
        <v/>
      </c>
      <c r="K47" s="61">
        <f>IF($A47="","",[1]!thsiFinD("ths_adjustment_nv_fund",K$3,$A47))</f>
        <v/>
      </c>
      <c r="L47" s="61">
        <f>IF($A47="","",[1]!thsiFinD("ths_adjustment_nv_fund",L$3,$A47))</f>
        <v/>
      </c>
      <c r="M47" s="61">
        <f>IF($A47="","",[1]!thsiFinD("ths_adjustment_nv_fund",M$3,$A47))</f>
        <v/>
      </c>
      <c r="N47" s="61">
        <f>IF($A47="","",[1]!thsiFinD("ths_adjustment_nv_fund",N$3,$A47))</f>
        <v/>
      </c>
      <c r="O47" s="61">
        <f>IF($A47="","",[1]!thsiFinD("ths_adjustment_nv_fund",O$3,$A47))</f>
        <v/>
      </c>
      <c r="P47" s="61">
        <f>IF($A47="","",[1]!thsiFinD("ths_adjustment_nv_fund",P$3,$A47))</f>
        <v/>
      </c>
      <c r="Q47" s="61">
        <f>IF($A47="","",[1]!thsiFinD("ths_adjustment_nv_fund",Q$3,$A47))</f>
        <v/>
      </c>
      <c r="R47" s="61">
        <f>IF($A47="","",[1]!thsiFinD("ths_adjustment_nv_fund",R$3,$A47))</f>
        <v/>
      </c>
      <c r="S47" s="61">
        <f>IF($A47="","",[1]!thsiFinD("ths_adjustment_nv_fund",S$3,$A47))</f>
        <v/>
      </c>
      <c r="T47" s="61">
        <f>IF($A47="","",[1]!thsiFinD("ths_adjustment_nv_fund",T$3,$A47))</f>
        <v/>
      </c>
      <c r="U47" s="61">
        <f>IF($A47="","",[1]!thsiFinD("ths_adjustment_nv_fund",U$3,$A47))</f>
        <v/>
      </c>
      <c r="V47" s="61">
        <f>IF($A47="","",[1]!thsiFinD("ths_adjustment_nv_fund",V$3,$A47))</f>
        <v/>
      </c>
      <c r="W47" s="61">
        <f>IF($A47="","",[1]!thsiFinD("ths_adjustment_nv_fund",W$3,$A47))</f>
        <v/>
      </c>
      <c r="X47" s="61">
        <f>IF($A47="","",[1]!thsiFinD("ths_adjustment_nv_fund",X$3,$A47))</f>
        <v/>
      </c>
      <c r="Y47" s="61">
        <f>IF($A47="","",[1]!thsiFinD("ths_adjustment_nv_fund",Y$3,$A47))</f>
        <v/>
      </c>
    </row>
    <row r="48">
      <c r="A48" s="60" t="n"/>
      <c r="B48" s="61">
        <f>IF($A48="","",[1]!thsiFinD("ths_adjustment_nv_fund",B$3,$A48))</f>
        <v/>
      </c>
      <c r="C48" s="61">
        <f>IF($A48="","",[1]!thsiFinD("ths_adjustment_nv_fund",C$3,$A48))</f>
        <v/>
      </c>
      <c r="D48" s="61">
        <f>IF($A48="","",[1]!thsiFinD("ths_adjustment_nv_fund",D$3,$A48))</f>
        <v/>
      </c>
      <c r="E48" s="61">
        <f>IF($A48="","",[1]!thsiFinD("ths_adjustment_nv_fund",E$3,$A48))</f>
        <v/>
      </c>
      <c r="F48" s="61">
        <f>IF($A48="","",[1]!thsiFinD("ths_adjustment_nv_fund",F$3,$A48))</f>
        <v/>
      </c>
      <c r="G48" s="61">
        <f>IF($A48="","",[1]!thsiFinD("ths_adjustment_nv_fund",G$3,$A48))</f>
        <v/>
      </c>
      <c r="H48" s="61">
        <f>IF($A48="","",[1]!thsiFinD("ths_adjustment_nv_fund",H$3,$A48))</f>
        <v/>
      </c>
      <c r="I48" s="61">
        <f>IF($A48="","",[1]!thsiFinD("ths_adjustment_nv_fund",I$3,$A48))</f>
        <v/>
      </c>
      <c r="J48" s="61">
        <f>IF($A48="","",[1]!thsiFinD("ths_adjustment_nv_fund",J$3,$A48))</f>
        <v/>
      </c>
      <c r="K48" s="61">
        <f>IF($A48="","",[1]!thsiFinD("ths_adjustment_nv_fund",K$3,$A48))</f>
        <v/>
      </c>
      <c r="L48" s="61">
        <f>IF($A48="","",[1]!thsiFinD("ths_adjustment_nv_fund",L$3,$A48))</f>
        <v/>
      </c>
      <c r="M48" s="61">
        <f>IF($A48="","",[1]!thsiFinD("ths_adjustment_nv_fund",M$3,$A48))</f>
        <v/>
      </c>
      <c r="N48" s="61">
        <f>IF($A48="","",[1]!thsiFinD("ths_adjustment_nv_fund",N$3,$A48))</f>
        <v/>
      </c>
      <c r="O48" s="61">
        <f>IF($A48="","",[1]!thsiFinD("ths_adjustment_nv_fund",O$3,$A48))</f>
        <v/>
      </c>
      <c r="P48" s="61">
        <f>IF($A48="","",[1]!thsiFinD("ths_adjustment_nv_fund",P$3,$A48))</f>
        <v/>
      </c>
      <c r="Q48" s="61">
        <f>IF($A48="","",[1]!thsiFinD("ths_adjustment_nv_fund",Q$3,$A48))</f>
        <v/>
      </c>
      <c r="R48" s="61">
        <f>IF($A48="","",[1]!thsiFinD("ths_adjustment_nv_fund",R$3,$A48))</f>
        <v/>
      </c>
      <c r="S48" s="61">
        <f>IF($A48="","",[1]!thsiFinD("ths_adjustment_nv_fund",S$3,$A48))</f>
        <v/>
      </c>
      <c r="T48" s="61">
        <f>IF($A48="","",[1]!thsiFinD("ths_adjustment_nv_fund",T$3,$A48))</f>
        <v/>
      </c>
      <c r="U48" s="61">
        <f>IF($A48="","",[1]!thsiFinD("ths_adjustment_nv_fund",U$3,$A48))</f>
        <v/>
      </c>
      <c r="V48" s="61">
        <f>IF($A48="","",[1]!thsiFinD("ths_adjustment_nv_fund",V$3,$A48))</f>
        <v/>
      </c>
      <c r="W48" s="61">
        <f>IF($A48="","",[1]!thsiFinD("ths_adjustment_nv_fund",W$3,$A48))</f>
        <v/>
      </c>
      <c r="X48" s="61">
        <f>IF($A48="","",[1]!thsiFinD("ths_adjustment_nv_fund",X$3,$A48))</f>
        <v/>
      </c>
      <c r="Y48" s="61">
        <f>IF($A48="","",[1]!thsiFinD("ths_adjustment_nv_fund",Y$3,$A48))</f>
        <v/>
      </c>
    </row>
    <row r="49">
      <c r="A49" s="60" t="n"/>
      <c r="B49" s="61">
        <f>IF($A49="","",[1]!thsiFinD("ths_adjustment_nv_fund",B$3,$A49))</f>
        <v/>
      </c>
      <c r="C49" s="61">
        <f>IF($A49="","",[1]!thsiFinD("ths_adjustment_nv_fund",C$3,$A49))</f>
        <v/>
      </c>
      <c r="D49" s="61">
        <f>IF($A49="","",[1]!thsiFinD("ths_adjustment_nv_fund",D$3,$A49))</f>
        <v/>
      </c>
      <c r="E49" s="61">
        <f>IF($A49="","",[1]!thsiFinD("ths_adjustment_nv_fund",E$3,$A49))</f>
        <v/>
      </c>
      <c r="F49" s="61">
        <f>IF($A49="","",[1]!thsiFinD("ths_adjustment_nv_fund",F$3,$A49))</f>
        <v/>
      </c>
      <c r="G49" s="61">
        <f>IF($A49="","",[1]!thsiFinD("ths_adjustment_nv_fund",G$3,$A49))</f>
        <v/>
      </c>
      <c r="H49" s="61">
        <f>IF($A49="","",[1]!thsiFinD("ths_adjustment_nv_fund",H$3,$A49))</f>
        <v/>
      </c>
      <c r="I49" s="61">
        <f>IF($A49="","",[1]!thsiFinD("ths_adjustment_nv_fund",I$3,$A49))</f>
        <v/>
      </c>
      <c r="J49" s="61">
        <f>IF($A49="","",[1]!thsiFinD("ths_adjustment_nv_fund",J$3,$A49))</f>
        <v/>
      </c>
      <c r="K49" s="61">
        <f>IF($A49="","",[1]!thsiFinD("ths_adjustment_nv_fund",K$3,$A49))</f>
        <v/>
      </c>
      <c r="L49" s="61">
        <f>IF($A49="","",[1]!thsiFinD("ths_adjustment_nv_fund",L$3,$A49))</f>
        <v/>
      </c>
      <c r="M49" s="61">
        <f>IF($A49="","",[1]!thsiFinD("ths_adjustment_nv_fund",M$3,$A49))</f>
        <v/>
      </c>
      <c r="N49" s="61">
        <f>IF($A49="","",[1]!thsiFinD("ths_adjustment_nv_fund",N$3,$A49))</f>
        <v/>
      </c>
      <c r="O49" s="61">
        <f>IF($A49="","",[1]!thsiFinD("ths_adjustment_nv_fund",O$3,$A49))</f>
        <v/>
      </c>
      <c r="P49" s="61">
        <f>IF($A49="","",[1]!thsiFinD("ths_adjustment_nv_fund",P$3,$A49))</f>
        <v/>
      </c>
      <c r="Q49" s="61">
        <f>IF($A49="","",[1]!thsiFinD("ths_adjustment_nv_fund",Q$3,$A49))</f>
        <v/>
      </c>
      <c r="R49" s="61">
        <f>IF($A49="","",[1]!thsiFinD("ths_adjustment_nv_fund",R$3,$A49))</f>
        <v/>
      </c>
      <c r="S49" s="61">
        <f>IF($A49="","",[1]!thsiFinD("ths_adjustment_nv_fund",S$3,$A49))</f>
        <v/>
      </c>
      <c r="T49" s="61">
        <f>IF($A49="","",[1]!thsiFinD("ths_adjustment_nv_fund",T$3,$A49))</f>
        <v/>
      </c>
      <c r="U49" s="61">
        <f>IF($A49="","",[1]!thsiFinD("ths_adjustment_nv_fund",U$3,$A49))</f>
        <v/>
      </c>
      <c r="V49" s="61">
        <f>IF($A49="","",[1]!thsiFinD("ths_adjustment_nv_fund",V$3,$A49))</f>
        <v/>
      </c>
      <c r="W49" s="61">
        <f>IF($A49="","",[1]!thsiFinD("ths_adjustment_nv_fund",W$3,$A49))</f>
        <v/>
      </c>
      <c r="X49" s="61">
        <f>IF($A49="","",[1]!thsiFinD("ths_adjustment_nv_fund",X$3,$A49))</f>
        <v/>
      </c>
      <c r="Y49" s="61">
        <f>IF($A49="","",[1]!thsiFinD("ths_adjustment_nv_fund",Y$3,$A49))</f>
        <v/>
      </c>
    </row>
    <row r="50">
      <c r="A50" s="60" t="n"/>
      <c r="B50" s="61">
        <f>IF($A50="","",[1]!thsiFinD("ths_adjustment_nv_fund",B$3,$A50))</f>
        <v/>
      </c>
      <c r="C50" s="61">
        <f>IF($A50="","",[1]!thsiFinD("ths_adjustment_nv_fund",C$3,$A50))</f>
        <v/>
      </c>
      <c r="D50" s="61">
        <f>IF($A50="","",[1]!thsiFinD("ths_adjustment_nv_fund",D$3,$A50))</f>
        <v/>
      </c>
      <c r="E50" s="61">
        <f>IF($A50="","",[1]!thsiFinD("ths_adjustment_nv_fund",E$3,$A50))</f>
        <v/>
      </c>
      <c r="F50" s="61">
        <f>IF($A50="","",[1]!thsiFinD("ths_adjustment_nv_fund",F$3,$A50))</f>
        <v/>
      </c>
      <c r="G50" s="61">
        <f>IF($A50="","",[1]!thsiFinD("ths_adjustment_nv_fund",G$3,$A50))</f>
        <v/>
      </c>
      <c r="H50" s="61">
        <f>IF($A50="","",[1]!thsiFinD("ths_adjustment_nv_fund",H$3,$A50))</f>
        <v/>
      </c>
      <c r="I50" s="61">
        <f>IF($A50="","",[1]!thsiFinD("ths_adjustment_nv_fund",I$3,$A50))</f>
        <v/>
      </c>
      <c r="J50" s="61">
        <f>IF($A50="","",[1]!thsiFinD("ths_adjustment_nv_fund",J$3,$A50))</f>
        <v/>
      </c>
      <c r="K50" s="61">
        <f>IF($A50="","",[1]!thsiFinD("ths_adjustment_nv_fund",K$3,$A50))</f>
        <v/>
      </c>
      <c r="L50" s="61">
        <f>IF($A50="","",[1]!thsiFinD("ths_adjustment_nv_fund",L$3,$A50))</f>
        <v/>
      </c>
      <c r="M50" s="61">
        <f>IF($A50="","",[1]!thsiFinD("ths_adjustment_nv_fund",M$3,$A50))</f>
        <v/>
      </c>
      <c r="N50" s="61">
        <f>IF($A50="","",[1]!thsiFinD("ths_adjustment_nv_fund",N$3,$A50))</f>
        <v/>
      </c>
      <c r="O50" s="61">
        <f>IF($A50="","",[1]!thsiFinD("ths_adjustment_nv_fund",O$3,$A50))</f>
        <v/>
      </c>
      <c r="P50" s="61">
        <f>IF($A50="","",[1]!thsiFinD("ths_adjustment_nv_fund",P$3,$A50))</f>
        <v/>
      </c>
      <c r="Q50" s="61">
        <f>IF($A50="","",[1]!thsiFinD("ths_adjustment_nv_fund",Q$3,$A50))</f>
        <v/>
      </c>
      <c r="R50" s="61">
        <f>IF($A50="","",[1]!thsiFinD("ths_adjustment_nv_fund",R$3,$A50))</f>
        <v/>
      </c>
      <c r="S50" s="61">
        <f>IF($A50="","",[1]!thsiFinD("ths_adjustment_nv_fund",S$3,$A50))</f>
        <v/>
      </c>
      <c r="T50" s="61">
        <f>IF($A50="","",[1]!thsiFinD("ths_adjustment_nv_fund",T$3,$A50))</f>
        <v/>
      </c>
      <c r="U50" s="61">
        <f>IF($A50="","",[1]!thsiFinD("ths_adjustment_nv_fund",U$3,$A50))</f>
        <v/>
      </c>
      <c r="V50" s="61">
        <f>IF($A50="","",[1]!thsiFinD("ths_adjustment_nv_fund",V$3,$A50))</f>
        <v/>
      </c>
      <c r="W50" s="61">
        <f>IF($A50="","",[1]!thsiFinD("ths_adjustment_nv_fund",W$3,$A50))</f>
        <v/>
      </c>
      <c r="X50" s="61">
        <f>IF($A50="","",[1]!thsiFinD("ths_adjustment_nv_fund",X$3,$A50))</f>
        <v/>
      </c>
      <c r="Y50" s="61">
        <f>IF($A50="","",[1]!thsiFinD("ths_adjustment_nv_fund",Y$3,$A50))</f>
        <v/>
      </c>
    </row>
    <row r="51">
      <c r="A51" s="60" t="n"/>
      <c r="B51" s="61">
        <f>IF($A51="","",[1]!thsiFinD("ths_adjustment_nv_fund",B$3,$A51))</f>
        <v/>
      </c>
      <c r="C51" s="61">
        <f>IF($A51="","",[1]!thsiFinD("ths_adjustment_nv_fund",C$3,$A51))</f>
        <v/>
      </c>
      <c r="D51" s="61">
        <f>IF($A51="","",[1]!thsiFinD("ths_adjustment_nv_fund",D$3,$A51))</f>
        <v/>
      </c>
      <c r="E51" s="61">
        <f>IF($A51="","",[1]!thsiFinD("ths_adjustment_nv_fund",E$3,$A51))</f>
        <v/>
      </c>
      <c r="F51" s="61">
        <f>IF($A51="","",[1]!thsiFinD("ths_adjustment_nv_fund",F$3,$A51))</f>
        <v/>
      </c>
      <c r="G51" s="61">
        <f>IF($A51="","",[1]!thsiFinD("ths_adjustment_nv_fund",G$3,$A51))</f>
        <v/>
      </c>
      <c r="H51" s="61">
        <f>IF($A51="","",[1]!thsiFinD("ths_adjustment_nv_fund",H$3,$A51))</f>
        <v/>
      </c>
      <c r="I51" s="61">
        <f>IF($A51="","",[1]!thsiFinD("ths_adjustment_nv_fund",I$3,$A51))</f>
        <v/>
      </c>
      <c r="J51" s="61">
        <f>IF($A51="","",[1]!thsiFinD("ths_adjustment_nv_fund",J$3,$A51))</f>
        <v/>
      </c>
      <c r="K51" s="61">
        <f>IF($A51="","",[1]!thsiFinD("ths_adjustment_nv_fund",K$3,$A51))</f>
        <v/>
      </c>
      <c r="L51" s="61">
        <f>IF($A51="","",[1]!thsiFinD("ths_adjustment_nv_fund",L$3,$A51))</f>
        <v/>
      </c>
      <c r="M51" s="61">
        <f>IF($A51="","",[1]!thsiFinD("ths_adjustment_nv_fund",M$3,$A51))</f>
        <v/>
      </c>
      <c r="N51" s="61">
        <f>IF($A51="","",[1]!thsiFinD("ths_adjustment_nv_fund",N$3,$A51))</f>
        <v/>
      </c>
      <c r="O51" s="61">
        <f>IF($A51="","",[1]!thsiFinD("ths_adjustment_nv_fund",O$3,$A51))</f>
        <v/>
      </c>
      <c r="P51" s="61">
        <f>IF($A51="","",[1]!thsiFinD("ths_adjustment_nv_fund",P$3,$A51))</f>
        <v/>
      </c>
      <c r="Q51" s="61">
        <f>IF($A51="","",[1]!thsiFinD("ths_adjustment_nv_fund",Q$3,$A51))</f>
        <v/>
      </c>
      <c r="R51" s="61">
        <f>IF($A51="","",[1]!thsiFinD("ths_adjustment_nv_fund",R$3,$A51))</f>
        <v/>
      </c>
      <c r="S51" s="61">
        <f>IF($A51="","",[1]!thsiFinD("ths_adjustment_nv_fund",S$3,$A51))</f>
        <v/>
      </c>
      <c r="T51" s="61">
        <f>IF($A51="","",[1]!thsiFinD("ths_adjustment_nv_fund",T$3,$A51))</f>
        <v/>
      </c>
      <c r="U51" s="61">
        <f>IF($A51="","",[1]!thsiFinD("ths_adjustment_nv_fund",U$3,$A51))</f>
        <v/>
      </c>
      <c r="V51" s="61">
        <f>IF($A51="","",[1]!thsiFinD("ths_adjustment_nv_fund",V$3,$A51))</f>
        <v/>
      </c>
      <c r="W51" s="61">
        <f>IF($A51="","",[1]!thsiFinD("ths_adjustment_nv_fund",W$3,$A51))</f>
        <v/>
      </c>
      <c r="X51" s="61">
        <f>IF($A51="","",[1]!thsiFinD("ths_adjustment_nv_fund",X$3,$A51))</f>
        <v/>
      </c>
      <c r="Y51" s="61">
        <f>IF($A51="","",[1]!thsiFinD("ths_adjustment_nv_fund",Y$3,$A51))</f>
        <v/>
      </c>
    </row>
    <row r="52">
      <c r="A52" s="60" t="n"/>
      <c r="B52" s="61">
        <f>IF($A52="","",[1]!thsiFinD("ths_adjustment_nv_fund",B$3,$A52))</f>
        <v/>
      </c>
      <c r="C52" s="61">
        <f>IF($A52="","",[1]!thsiFinD("ths_adjustment_nv_fund",C$3,$A52))</f>
        <v/>
      </c>
      <c r="D52" s="61">
        <f>IF($A52="","",[1]!thsiFinD("ths_adjustment_nv_fund",D$3,$A52))</f>
        <v/>
      </c>
      <c r="E52" s="61">
        <f>IF($A52="","",[1]!thsiFinD("ths_adjustment_nv_fund",E$3,$A52))</f>
        <v/>
      </c>
      <c r="F52" s="61">
        <f>IF($A52="","",[1]!thsiFinD("ths_adjustment_nv_fund",F$3,$A52))</f>
        <v/>
      </c>
      <c r="G52" s="61">
        <f>IF($A52="","",[1]!thsiFinD("ths_adjustment_nv_fund",G$3,$A52))</f>
        <v/>
      </c>
      <c r="H52" s="61">
        <f>IF($A52="","",[1]!thsiFinD("ths_adjustment_nv_fund",H$3,$A52))</f>
        <v/>
      </c>
      <c r="I52" s="61">
        <f>IF($A52="","",[1]!thsiFinD("ths_adjustment_nv_fund",I$3,$A52))</f>
        <v/>
      </c>
      <c r="J52" s="61">
        <f>IF($A52="","",[1]!thsiFinD("ths_adjustment_nv_fund",J$3,$A52))</f>
        <v/>
      </c>
      <c r="K52" s="61">
        <f>IF($A52="","",[1]!thsiFinD("ths_adjustment_nv_fund",K$3,$A52))</f>
        <v/>
      </c>
      <c r="L52" s="61">
        <f>IF($A52="","",[1]!thsiFinD("ths_adjustment_nv_fund",L$3,$A52))</f>
        <v/>
      </c>
      <c r="M52" s="61">
        <f>IF($A52="","",[1]!thsiFinD("ths_adjustment_nv_fund",M$3,$A52))</f>
        <v/>
      </c>
      <c r="N52" s="61">
        <f>IF($A52="","",[1]!thsiFinD("ths_adjustment_nv_fund",N$3,$A52))</f>
        <v/>
      </c>
      <c r="O52" s="61">
        <f>IF($A52="","",[1]!thsiFinD("ths_adjustment_nv_fund",O$3,$A52))</f>
        <v/>
      </c>
      <c r="P52" s="61">
        <f>IF($A52="","",[1]!thsiFinD("ths_adjustment_nv_fund",P$3,$A52))</f>
        <v/>
      </c>
      <c r="Q52" s="61">
        <f>IF($A52="","",[1]!thsiFinD("ths_adjustment_nv_fund",Q$3,$A52))</f>
        <v/>
      </c>
      <c r="R52" s="61">
        <f>IF($A52="","",[1]!thsiFinD("ths_adjustment_nv_fund",R$3,$A52))</f>
        <v/>
      </c>
      <c r="S52" s="61">
        <f>IF($A52="","",[1]!thsiFinD("ths_adjustment_nv_fund",S$3,$A52))</f>
        <v/>
      </c>
      <c r="T52" s="61">
        <f>IF($A52="","",[1]!thsiFinD("ths_adjustment_nv_fund",T$3,$A52))</f>
        <v/>
      </c>
      <c r="U52" s="61">
        <f>IF($A52="","",[1]!thsiFinD("ths_adjustment_nv_fund",U$3,$A52))</f>
        <v/>
      </c>
      <c r="V52" s="61">
        <f>IF($A52="","",[1]!thsiFinD("ths_adjustment_nv_fund",V$3,$A52))</f>
        <v/>
      </c>
      <c r="W52" s="61">
        <f>IF($A52="","",[1]!thsiFinD("ths_adjustment_nv_fund",W$3,$A52))</f>
        <v/>
      </c>
      <c r="X52" s="61">
        <f>IF($A52="","",[1]!thsiFinD("ths_adjustment_nv_fund",X$3,$A52))</f>
        <v/>
      </c>
      <c r="Y52" s="61">
        <f>IF($A52="","",[1]!thsiFinD("ths_adjustment_nv_fund",Y$3,$A52))</f>
        <v/>
      </c>
    </row>
    <row r="53">
      <c r="A53" s="60" t="n"/>
      <c r="B53" s="61">
        <f>IF($A53="","",[1]!thsiFinD("ths_adjustment_nv_fund",B$3,$A53))</f>
        <v/>
      </c>
      <c r="C53" s="61">
        <f>IF($A53="","",[1]!thsiFinD("ths_adjustment_nv_fund",C$3,$A53))</f>
        <v/>
      </c>
      <c r="D53" s="61">
        <f>IF($A53="","",[1]!thsiFinD("ths_adjustment_nv_fund",D$3,$A53))</f>
        <v/>
      </c>
      <c r="E53" s="61">
        <f>IF($A53="","",[1]!thsiFinD("ths_adjustment_nv_fund",E$3,$A53))</f>
        <v/>
      </c>
      <c r="F53" s="61">
        <f>IF($A53="","",[1]!thsiFinD("ths_adjustment_nv_fund",F$3,$A53))</f>
        <v/>
      </c>
      <c r="G53" s="61">
        <f>IF($A53="","",[1]!thsiFinD("ths_adjustment_nv_fund",G$3,$A53))</f>
        <v/>
      </c>
      <c r="H53" s="61">
        <f>IF($A53="","",[1]!thsiFinD("ths_adjustment_nv_fund",H$3,$A53))</f>
        <v/>
      </c>
      <c r="I53" s="61">
        <f>IF($A53="","",[1]!thsiFinD("ths_adjustment_nv_fund",I$3,$A53))</f>
        <v/>
      </c>
      <c r="J53" s="61">
        <f>IF($A53="","",[1]!thsiFinD("ths_adjustment_nv_fund",J$3,$A53))</f>
        <v/>
      </c>
      <c r="K53" s="61">
        <f>IF($A53="","",[1]!thsiFinD("ths_adjustment_nv_fund",K$3,$A53))</f>
        <v/>
      </c>
      <c r="L53" s="61">
        <f>IF($A53="","",[1]!thsiFinD("ths_adjustment_nv_fund",L$3,$A53))</f>
        <v/>
      </c>
      <c r="M53" s="61">
        <f>IF($A53="","",[1]!thsiFinD("ths_adjustment_nv_fund",M$3,$A53))</f>
        <v/>
      </c>
      <c r="N53" s="61">
        <f>IF($A53="","",[1]!thsiFinD("ths_adjustment_nv_fund",N$3,$A53))</f>
        <v/>
      </c>
      <c r="O53" s="61">
        <f>IF($A53="","",[1]!thsiFinD("ths_adjustment_nv_fund",O$3,$A53))</f>
        <v/>
      </c>
      <c r="P53" s="61">
        <f>IF($A53="","",[1]!thsiFinD("ths_adjustment_nv_fund",P$3,$A53))</f>
        <v/>
      </c>
      <c r="Q53" s="61">
        <f>IF($A53="","",[1]!thsiFinD("ths_adjustment_nv_fund",Q$3,$A53))</f>
        <v/>
      </c>
      <c r="R53" s="61">
        <f>IF($A53="","",[1]!thsiFinD("ths_adjustment_nv_fund",R$3,$A53))</f>
        <v/>
      </c>
      <c r="S53" s="61">
        <f>IF($A53="","",[1]!thsiFinD("ths_adjustment_nv_fund",S$3,$A53))</f>
        <v/>
      </c>
      <c r="T53" s="61">
        <f>IF($A53="","",[1]!thsiFinD("ths_adjustment_nv_fund",T$3,$A53))</f>
        <v/>
      </c>
      <c r="U53" s="61">
        <f>IF($A53="","",[1]!thsiFinD("ths_adjustment_nv_fund",U$3,$A53))</f>
        <v/>
      </c>
      <c r="V53" s="61">
        <f>IF($A53="","",[1]!thsiFinD("ths_adjustment_nv_fund",V$3,$A53))</f>
        <v/>
      </c>
      <c r="W53" s="61">
        <f>IF($A53="","",[1]!thsiFinD("ths_adjustment_nv_fund",W$3,$A53))</f>
        <v/>
      </c>
      <c r="X53" s="61">
        <f>IF($A53="","",[1]!thsiFinD("ths_adjustment_nv_fund",X$3,$A53))</f>
        <v/>
      </c>
      <c r="Y53" s="61">
        <f>IF($A53="","",[1]!thsiFinD("ths_adjustment_nv_fund",Y$3,$A53))</f>
        <v/>
      </c>
    </row>
    <row r="54">
      <c r="A54" s="60" t="n"/>
      <c r="B54" s="61">
        <f>IF($A54="","",[1]!thsiFinD("ths_adjustment_nv_fund",B$3,$A54))</f>
        <v/>
      </c>
      <c r="C54" s="61">
        <f>IF($A54="","",[1]!thsiFinD("ths_adjustment_nv_fund",C$3,$A54))</f>
        <v/>
      </c>
      <c r="D54" s="61">
        <f>IF($A54="","",[1]!thsiFinD("ths_adjustment_nv_fund",D$3,$A54))</f>
        <v/>
      </c>
      <c r="E54" s="61">
        <f>IF($A54="","",[1]!thsiFinD("ths_adjustment_nv_fund",E$3,$A54))</f>
        <v/>
      </c>
      <c r="F54" s="61">
        <f>IF($A54="","",[1]!thsiFinD("ths_adjustment_nv_fund",F$3,$A54))</f>
        <v/>
      </c>
      <c r="G54" s="61">
        <f>IF($A54="","",[1]!thsiFinD("ths_adjustment_nv_fund",G$3,$A54))</f>
        <v/>
      </c>
      <c r="H54" s="61">
        <f>IF($A54="","",[1]!thsiFinD("ths_adjustment_nv_fund",H$3,$A54))</f>
        <v/>
      </c>
      <c r="I54" s="61">
        <f>IF($A54="","",[1]!thsiFinD("ths_adjustment_nv_fund",I$3,$A54))</f>
        <v/>
      </c>
      <c r="J54" s="61">
        <f>IF($A54="","",[1]!thsiFinD("ths_adjustment_nv_fund",J$3,$A54))</f>
        <v/>
      </c>
      <c r="K54" s="61">
        <f>IF($A54="","",[1]!thsiFinD("ths_adjustment_nv_fund",K$3,$A54))</f>
        <v/>
      </c>
      <c r="L54" s="61">
        <f>IF($A54="","",[1]!thsiFinD("ths_adjustment_nv_fund",L$3,$A54))</f>
        <v/>
      </c>
      <c r="M54" s="61">
        <f>IF($A54="","",[1]!thsiFinD("ths_adjustment_nv_fund",M$3,$A54))</f>
        <v/>
      </c>
      <c r="N54" s="61">
        <f>IF($A54="","",[1]!thsiFinD("ths_adjustment_nv_fund",N$3,$A54))</f>
        <v/>
      </c>
      <c r="O54" s="61">
        <f>IF($A54="","",[1]!thsiFinD("ths_adjustment_nv_fund",O$3,$A54))</f>
        <v/>
      </c>
      <c r="P54" s="61">
        <f>IF($A54="","",[1]!thsiFinD("ths_adjustment_nv_fund",P$3,$A54))</f>
        <v/>
      </c>
      <c r="Q54" s="61">
        <f>IF($A54="","",[1]!thsiFinD("ths_adjustment_nv_fund",Q$3,$A54))</f>
        <v/>
      </c>
      <c r="R54" s="61">
        <f>IF($A54="","",[1]!thsiFinD("ths_adjustment_nv_fund",R$3,$A54))</f>
        <v/>
      </c>
      <c r="S54" s="61">
        <f>IF($A54="","",[1]!thsiFinD("ths_adjustment_nv_fund",S$3,$A54))</f>
        <v/>
      </c>
      <c r="T54" s="61">
        <f>IF($A54="","",[1]!thsiFinD("ths_adjustment_nv_fund",T$3,$A54))</f>
        <v/>
      </c>
      <c r="U54" s="61">
        <f>IF($A54="","",[1]!thsiFinD("ths_adjustment_nv_fund",U$3,$A54))</f>
        <v/>
      </c>
      <c r="V54" s="61">
        <f>IF($A54="","",[1]!thsiFinD("ths_adjustment_nv_fund",V$3,$A54))</f>
        <v/>
      </c>
      <c r="W54" s="61">
        <f>IF($A54="","",[1]!thsiFinD("ths_adjustment_nv_fund",W$3,$A54))</f>
        <v/>
      </c>
      <c r="X54" s="61">
        <f>IF($A54="","",[1]!thsiFinD("ths_adjustment_nv_fund",X$3,$A54))</f>
        <v/>
      </c>
      <c r="Y54" s="61">
        <f>IF($A54="","",[1]!thsiFinD("ths_adjustment_nv_fund",Y$3,$A54))</f>
        <v/>
      </c>
    </row>
    <row r="55">
      <c r="A55" s="60" t="n"/>
      <c r="B55" s="61">
        <f>IF($A55="","",[1]!thsiFinD("ths_adjustment_nv_fund",B$3,$A55))</f>
        <v/>
      </c>
      <c r="C55" s="61">
        <f>IF($A55="","",[1]!thsiFinD("ths_adjustment_nv_fund",C$3,$A55))</f>
        <v/>
      </c>
      <c r="D55" s="61">
        <f>IF($A55="","",[1]!thsiFinD("ths_adjustment_nv_fund",D$3,$A55))</f>
        <v/>
      </c>
      <c r="E55" s="61">
        <f>IF($A55="","",[1]!thsiFinD("ths_adjustment_nv_fund",E$3,$A55))</f>
        <v/>
      </c>
      <c r="F55" s="61">
        <f>IF($A55="","",[1]!thsiFinD("ths_adjustment_nv_fund",F$3,$A55))</f>
        <v/>
      </c>
      <c r="G55" s="61">
        <f>IF($A55="","",[1]!thsiFinD("ths_adjustment_nv_fund",G$3,$A55))</f>
        <v/>
      </c>
      <c r="H55" s="61">
        <f>IF($A55="","",[1]!thsiFinD("ths_adjustment_nv_fund",H$3,$A55))</f>
        <v/>
      </c>
      <c r="I55" s="61">
        <f>IF($A55="","",[1]!thsiFinD("ths_adjustment_nv_fund",I$3,$A55))</f>
        <v/>
      </c>
      <c r="J55" s="61">
        <f>IF($A55="","",[1]!thsiFinD("ths_adjustment_nv_fund",J$3,$A55))</f>
        <v/>
      </c>
      <c r="K55" s="61">
        <f>IF($A55="","",[1]!thsiFinD("ths_adjustment_nv_fund",K$3,$A55))</f>
        <v/>
      </c>
      <c r="L55" s="61">
        <f>IF($A55="","",[1]!thsiFinD("ths_adjustment_nv_fund",L$3,$A55))</f>
        <v/>
      </c>
      <c r="M55" s="61">
        <f>IF($A55="","",[1]!thsiFinD("ths_adjustment_nv_fund",M$3,$A55))</f>
        <v/>
      </c>
      <c r="N55" s="61">
        <f>IF($A55="","",[1]!thsiFinD("ths_adjustment_nv_fund",N$3,$A55))</f>
        <v/>
      </c>
      <c r="O55" s="61">
        <f>IF($A55="","",[1]!thsiFinD("ths_adjustment_nv_fund",O$3,$A55))</f>
        <v/>
      </c>
      <c r="P55" s="61">
        <f>IF($A55="","",[1]!thsiFinD("ths_adjustment_nv_fund",P$3,$A55))</f>
        <v/>
      </c>
      <c r="Q55" s="61">
        <f>IF($A55="","",[1]!thsiFinD("ths_adjustment_nv_fund",Q$3,$A55))</f>
        <v/>
      </c>
      <c r="R55" s="61">
        <f>IF($A55="","",[1]!thsiFinD("ths_adjustment_nv_fund",R$3,$A55))</f>
        <v/>
      </c>
      <c r="S55" s="61">
        <f>IF($A55="","",[1]!thsiFinD("ths_adjustment_nv_fund",S$3,$A55))</f>
        <v/>
      </c>
      <c r="T55" s="61">
        <f>IF($A55="","",[1]!thsiFinD("ths_adjustment_nv_fund",T$3,$A55))</f>
        <v/>
      </c>
      <c r="U55" s="61">
        <f>IF($A55="","",[1]!thsiFinD("ths_adjustment_nv_fund",U$3,$A55))</f>
        <v/>
      </c>
      <c r="V55" s="61">
        <f>IF($A55="","",[1]!thsiFinD("ths_adjustment_nv_fund",V$3,$A55))</f>
        <v/>
      </c>
      <c r="W55" s="61">
        <f>IF($A55="","",[1]!thsiFinD("ths_adjustment_nv_fund",W$3,$A55))</f>
        <v/>
      </c>
      <c r="X55" s="61">
        <f>IF($A55="","",[1]!thsiFinD("ths_adjustment_nv_fund",X$3,$A55))</f>
        <v/>
      </c>
      <c r="Y55" s="61">
        <f>IF($A55="","",[1]!thsiFinD("ths_adjustment_nv_fund",Y$3,$A55))</f>
        <v/>
      </c>
    </row>
    <row r="56">
      <c r="A56" s="60" t="n"/>
      <c r="B56" s="61">
        <f>IF($A56="","",[1]!thsiFinD("ths_adjustment_nv_fund",B$3,$A56))</f>
        <v/>
      </c>
      <c r="C56" s="61">
        <f>IF($A56="","",[1]!thsiFinD("ths_adjustment_nv_fund",C$3,$A56))</f>
        <v/>
      </c>
      <c r="D56" s="61">
        <f>IF($A56="","",[1]!thsiFinD("ths_adjustment_nv_fund",D$3,$A56))</f>
        <v/>
      </c>
      <c r="E56" s="61">
        <f>IF($A56="","",[1]!thsiFinD("ths_adjustment_nv_fund",E$3,$A56))</f>
        <v/>
      </c>
      <c r="F56" s="61">
        <f>IF($A56="","",[1]!thsiFinD("ths_adjustment_nv_fund",F$3,$A56))</f>
        <v/>
      </c>
      <c r="G56" s="61">
        <f>IF($A56="","",[1]!thsiFinD("ths_adjustment_nv_fund",G$3,$A56))</f>
        <v/>
      </c>
      <c r="H56" s="61">
        <f>IF($A56="","",[1]!thsiFinD("ths_adjustment_nv_fund",H$3,$A56))</f>
        <v/>
      </c>
      <c r="I56" s="61">
        <f>IF($A56="","",[1]!thsiFinD("ths_adjustment_nv_fund",I$3,$A56))</f>
        <v/>
      </c>
      <c r="J56" s="61">
        <f>IF($A56="","",[1]!thsiFinD("ths_adjustment_nv_fund",J$3,$A56))</f>
        <v/>
      </c>
      <c r="K56" s="61">
        <f>IF($A56="","",[1]!thsiFinD("ths_adjustment_nv_fund",K$3,$A56))</f>
        <v/>
      </c>
      <c r="L56" s="61">
        <f>IF($A56="","",[1]!thsiFinD("ths_adjustment_nv_fund",L$3,$A56))</f>
        <v/>
      </c>
      <c r="M56" s="61">
        <f>IF($A56="","",[1]!thsiFinD("ths_adjustment_nv_fund",M$3,$A56))</f>
        <v/>
      </c>
      <c r="N56" s="61">
        <f>IF($A56="","",[1]!thsiFinD("ths_adjustment_nv_fund",N$3,$A56))</f>
        <v/>
      </c>
      <c r="O56" s="61">
        <f>IF($A56="","",[1]!thsiFinD("ths_adjustment_nv_fund",O$3,$A56))</f>
        <v/>
      </c>
      <c r="P56" s="61">
        <f>IF($A56="","",[1]!thsiFinD("ths_adjustment_nv_fund",P$3,$A56))</f>
        <v/>
      </c>
      <c r="Q56" s="61">
        <f>IF($A56="","",[1]!thsiFinD("ths_adjustment_nv_fund",Q$3,$A56))</f>
        <v/>
      </c>
      <c r="R56" s="61">
        <f>IF($A56="","",[1]!thsiFinD("ths_adjustment_nv_fund",R$3,$A56))</f>
        <v/>
      </c>
      <c r="S56" s="61">
        <f>IF($A56="","",[1]!thsiFinD("ths_adjustment_nv_fund",S$3,$A56))</f>
        <v/>
      </c>
      <c r="T56" s="61">
        <f>IF($A56="","",[1]!thsiFinD("ths_adjustment_nv_fund",T$3,$A56))</f>
        <v/>
      </c>
      <c r="U56" s="61">
        <f>IF($A56="","",[1]!thsiFinD("ths_adjustment_nv_fund",U$3,$A56))</f>
        <v/>
      </c>
      <c r="V56" s="61">
        <f>IF($A56="","",[1]!thsiFinD("ths_adjustment_nv_fund",V$3,$A56))</f>
        <v/>
      </c>
      <c r="W56" s="61">
        <f>IF($A56="","",[1]!thsiFinD("ths_adjustment_nv_fund",W$3,$A56))</f>
        <v/>
      </c>
      <c r="X56" s="61">
        <f>IF($A56="","",[1]!thsiFinD("ths_adjustment_nv_fund",X$3,$A56))</f>
        <v/>
      </c>
      <c r="Y56" s="61">
        <f>IF($A56="","",[1]!thsiFinD("ths_adjustment_nv_fund",Y$3,$A56))</f>
        <v/>
      </c>
    </row>
    <row r="57">
      <c r="A57" s="60" t="n"/>
      <c r="B57" s="61">
        <f>IF($A57="","",[1]!thsiFinD("ths_adjustment_nv_fund",B$3,$A57))</f>
        <v/>
      </c>
      <c r="C57" s="61">
        <f>IF($A57="","",[1]!thsiFinD("ths_adjustment_nv_fund",C$3,$A57))</f>
        <v/>
      </c>
      <c r="D57" s="61">
        <f>IF($A57="","",[1]!thsiFinD("ths_adjustment_nv_fund",D$3,$A57))</f>
        <v/>
      </c>
      <c r="E57" s="61">
        <f>IF($A57="","",[1]!thsiFinD("ths_adjustment_nv_fund",E$3,$A57))</f>
        <v/>
      </c>
      <c r="F57" s="61">
        <f>IF($A57="","",[1]!thsiFinD("ths_adjustment_nv_fund",F$3,$A57))</f>
        <v/>
      </c>
      <c r="G57" s="61">
        <f>IF($A57="","",[1]!thsiFinD("ths_adjustment_nv_fund",G$3,$A57))</f>
        <v/>
      </c>
      <c r="H57" s="61">
        <f>IF($A57="","",[1]!thsiFinD("ths_adjustment_nv_fund",H$3,$A57))</f>
        <v/>
      </c>
      <c r="I57" s="61">
        <f>IF($A57="","",[1]!thsiFinD("ths_adjustment_nv_fund",I$3,$A57))</f>
        <v/>
      </c>
      <c r="J57" s="61">
        <f>IF($A57="","",[1]!thsiFinD("ths_adjustment_nv_fund",J$3,$A57))</f>
        <v/>
      </c>
      <c r="K57" s="61">
        <f>IF($A57="","",[1]!thsiFinD("ths_adjustment_nv_fund",K$3,$A57))</f>
        <v/>
      </c>
      <c r="L57" s="61">
        <f>IF($A57="","",[1]!thsiFinD("ths_adjustment_nv_fund",L$3,$A57))</f>
        <v/>
      </c>
      <c r="M57" s="61">
        <f>IF($A57="","",[1]!thsiFinD("ths_adjustment_nv_fund",M$3,$A57))</f>
        <v/>
      </c>
      <c r="N57" s="61">
        <f>IF($A57="","",[1]!thsiFinD("ths_adjustment_nv_fund",N$3,$A57))</f>
        <v/>
      </c>
      <c r="O57" s="61">
        <f>IF($A57="","",[1]!thsiFinD("ths_adjustment_nv_fund",O$3,$A57))</f>
        <v/>
      </c>
      <c r="P57" s="61">
        <f>IF($A57="","",[1]!thsiFinD("ths_adjustment_nv_fund",P$3,$A57))</f>
        <v/>
      </c>
      <c r="Q57" s="61">
        <f>IF($A57="","",[1]!thsiFinD("ths_adjustment_nv_fund",Q$3,$A57))</f>
        <v/>
      </c>
      <c r="R57" s="61">
        <f>IF($A57="","",[1]!thsiFinD("ths_adjustment_nv_fund",R$3,$A57))</f>
        <v/>
      </c>
      <c r="S57" s="61">
        <f>IF($A57="","",[1]!thsiFinD("ths_adjustment_nv_fund",S$3,$A57))</f>
        <v/>
      </c>
      <c r="T57" s="61">
        <f>IF($A57="","",[1]!thsiFinD("ths_adjustment_nv_fund",T$3,$A57))</f>
        <v/>
      </c>
      <c r="U57" s="61">
        <f>IF($A57="","",[1]!thsiFinD("ths_adjustment_nv_fund",U$3,$A57))</f>
        <v/>
      </c>
      <c r="V57" s="61">
        <f>IF($A57="","",[1]!thsiFinD("ths_adjustment_nv_fund",V$3,$A57))</f>
        <v/>
      </c>
      <c r="W57" s="61">
        <f>IF($A57="","",[1]!thsiFinD("ths_adjustment_nv_fund",W$3,$A57))</f>
        <v/>
      </c>
      <c r="X57" s="61">
        <f>IF($A57="","",[1]!thsiFinD("ths_adjustment_nv_fund",X$3,$A57))</f>
        <v/>
      </c>
      <c r="Y57" s="61">
        <f>IF($A57="","",[1]!thsiFinD("ths_adjustment_nv_fund",Y$3,$A57))</f>
        <v/>
      </c>
    </row>
    <row r="58">
      <c r="A58" s="60" t="n"/>
      <c r="B58" s="61">
        <f>IF($A58="","",[1]!thsiFinD("ths_adjustment_nv_fund",B$3,$A58))</f>
        <v/>
      </c>
      <c r="C58" s="61">
        <f>IF($A58="","",[1]!thsiFinD("ths_adjustment_nv_fund",C$3,$A58))</f>
        <v/>
      </c>
      <c r="D58" s="61">
        <f>IF($A58="","",[1]!thsiFinD("ths_adjustment_nv_fund",D$3,$A58))</f>
        <v/>
      </c>
      <c r="E58" s="61">
        <f>IF($A58="","",[1]!thsiFinD("ths_adjustment_nv_fund",E$3,$A58))</f>
        <v/>
      </c>
      <c r="F58" s="61">
        <f>IF($A58="","",[1]!thsiFinD("ths_adjustment_nv_fund",F$3,$A58))</f>
        <v/>
      </c>
      <c r="G58" s="61">
        <f>IF($A58="","",[1]!thsiFinD("ths_adjustment_nv_fund",G$3,$A58))</f>
        <v/>
      </c>
      <c r="H58" s="61">
        <f>IF($A58="","",[1]!thsiFinD("ths_adjustment_nv_fund",H$3,$A58))</f>
        <v/>
      </c>
      <c r="I58" s="61">
        <f>IF($A58="","",[1]!thsiFinD("ths_adjustment_nv_fund",I$3,$A58))</f>
        <v/>
      </c>
      <c r="J58" s="61">
        <f>IF($A58="","",[1]!thsiFinD("ths_adjustment_nv_fund",J$3,$A58))</f>
        <v/>
      </c>
      <c r="K58" s="61">
        <f>IF($A58="","",[1]!thsiFinD("ths_adjustment_nv_fund",K$3,$A58))</f>
        <v/>
      </c>
      <c r="L58" s="61">
        <f>IF($A58="","",[1]!thsiFinD("ths_adjustment_nv_fund",L$3,$A58))</f>
        <v/>
      </c>
      <c r="M58" s="61">
        <f>IF($A58="","",[1]!thsiFinD("ths_adjustment_nv_fund",M$3,$A58))</f>
        <v/>
      </c>
      <c r="N58" s="61">
        <f>IF($A58="","",[1]!thsiFinD("ths_adjustment_nv_fund",N$3,$A58))</f>
        <v/>
      </c>
      <c r="O58" s="61">
        <f>IF($A58="","",[1]!thsiFinD("ths_adjustment_nv_fund",O$3,$A58))</f>
        <v/>
      </c>
      <c r="P58" s="61">
        <f>IF($A58="","",[1]!thsiFinD("ths_adjustment_nv_fund",P$3,$A58))</f>
        <v/>
      </c>
      <c r="Q58" s="61">
        <f>IF($A58="","",[1]!thsiFinD("ths_adjustment_nv_fund",Q$3,$A58))</f>
        <v/>
      </c>
      <c r="R58" s="61">
        <f>IF($A58="","",[1]!thsiFinD("ths_adjustment_nv_fund",R$3,$A58))</f>
        <v/>
      </c>
      <c r="S58" s="61">
        <f>IF($A58="","",[1]!thsiFinD("ths_adjustment_nv_fund",S$3,$A58))</f>
        <v/>
      </c>
      <c r="T58" s="61">
        <f>IF($A58="","",[1]!thsiFinD("ths_adjustment_nv_fund",T$3,$A58))</f>
        <v/>
      </c>
      <c r="U58" s="61">
        <f>IF($A58="","",[1]!thsiFinD("ths_adjustment_nv_fund",U$3,$A58))</f>
        <v/>
      </c>
      <c r="V58" s="61">
        <f>IF($A58="","",[1]!thsiFinD("ths_adjustment_nv_fund",V$3,$A58))</f>
        <v/>
      </c>
      <c r="W58" s="61">
        <f>IF($A58="","",[1]!thsiFinD("ths_adjustment_nv_fund",W$3,$A58))</f>
        <v/>
      </c>
      <c r="X58" s="61">
        <f>IF($A58="","",[1]!thsiFinD("ths_adjustment_nv_fund",X$3,$A58))</f>
        <v/>
      </c>
      <c r="Y58" s="61">
        <f>IF($A58="","",[1]!thsiFinD("ths_adjustment_nv_fund",Y$3,$A58))</f>
        <v/>
      </c>
    </row>
    <row r="59">
      <c r="A59" s="60" t="n"/>
      <c r="B59" s="61">
        <f>IF($A59="","",[1]!thsiFinD("ths_adjustment_nv_fund",B$3,$A59))</f>
        <v/>
      </c>
      <c r="C59" s="61">
        <f>IF($A59="","",[1]!thsiFinD("ths_adjustment_nv_fund",C$3,$A59))</f>
        <v/>
      </c>
      <c r="D59" s="61">
        <f>IF($A59="","",[1]!thsiFinD("ths_adjustment_nv_fund",D$3,$A59))</f>
        <v/>
      </c>
      <c r="E59" s="61">
        <f>IF($A59="","",[1]!thsiFinD("ths_adjustment_nv_fund",E$3,$A59))</f>
        <v/>
      </c>
      <c r="F59" s="61">
        <f>IF($A59="","",[1]!thsiFinD("ths_adjustment_nv_fund",F$3,$A59))</f>
        <v/>
      </c>
      <c r="G59" s="61">
        <f>IF($A59="","",[1]!thsiFinD("ths_adjustment_nv_fund",G$3,$A59))</f>
        <v/>
      </c>
      <c r="H59" s="61">
        <f>IF($A59="","",[1]!thsiFinD("ths_adjustment_nv_fund",H$3,$A59))</f>
        <v/>
      </c>
      <c r="I59" s="61">
        <f>IF($A59="","",[1]!thsiFinD("ths_adjustment_nv_fund",I$3,$A59))</f>
        <v/>
      </c>
      <c r="J59" s="61">
        <f>IF($A59="","",[1]!thsiFinD("ths_adjustment_nv_fund",J$3,$A59))</f>
        <v/>
      </c>
      <c r="K59" s="61">
        <f>IF($A59="","",[1]!thsiFinD("ths_adjustment_nv_fund",K$3,$A59))</f>
        <v/>
      </c>
      <c r="L59" s="61">
        <f>IF($A59="","",[1]!thsiFinD("ths_adjustment_nv_fund",L$3,$A59))</f>
        <v/>
      </c>
      <c r="M59" s="61">
        <f>IF($A59="","",[1]!thsiFinD("ths_adjustment_nv_fund",M$3,$A59))</f>
        <v/>
      </c>
      <c r="N59" s="61">
        <f>IF($A59="","",[1]!thsiFinD("ths_adjustment_nv_fund",N$3,$A59))</f>
        <v/>
      </c>
      <c r="O59" s="61">
        <f>IF($A59="","",[1]!thsiFinD("ths_adjustment_nv_fund",O$3,$A59))</f>
        <v/>
      </c>
      <c r="P59" s="61">
        <f>IF($A59="","",[1]!thsiFinD("ths_adjustment_nv_fund",P$3,$A59))</f>
        <v/>
      </c>
      <c r="Q59" s="61">
        <f>IF($A59="","",[1]!thsiFinD("ths_adjustment_nv_fund",Q$3,$A59))</f>
        <v/>
      </c>
      <c r="R59" s="61">
        <f>IF($A59="","",[1]!thsiFinD("ths_adjustment_nv_fund",R$3,$A59))</f>
        <v/>
      </c>
      <c r="S59" s="61">
        <f>IF($A59="","",[1]!thsiFinD("ths_adjustment_nv_fund",S$3,$A59))</f>
        <v/>
      </c>
      <c r="T59" s="61">
        <f>IF($A59="","",[1]!thsiFinD("ths_adjustment_nv_fund",T$3,$A59))</f>
        <v/>
      </c>
      <c r="U59" s="61">
        <f>IF($A59="","",[1]!thsiFinD("ths_adjustment_nv_fund",U$3,$A59))</f>
        <v/>
      </c>
      <c r="V59" s="61">
        <f>IF($A59="","",[1]!thsiFinD("ths_adjustment_nv_fund",V$3,$A59))</f>
        <v/>
      </c>
      <c r="W59" s="61">
        <f>IF($A59="","",[1]!thsiFinD("ths_adjustment_nv_fund",W$3,$A59))</f>
        <v/>
      </c>
      <c r="X59" s="61">
        <f>IF($A59="","",[1]!thsiFinD("ths_adjustment_nv_fund",X$3,$A59))</f>
        <v/>
      </c>
      <c r="Y59" s="61">
        <f>IF($A59="","",[1]!thsiFinD("ths_adjustment_nv_fund",Y$3,$A59))</f>
        <v/>
      </c>
    </row>
    <row r="60">
      <c r="A60" s="60" t="n"/>
      <c r="B60" s="61">
        <f>IF($A60="","",[1]!thsiFinD("ths_adjustment_nv_fund",B$3,$A60))</f>
        <v/>
      </c>
      <c r="C60" s="61">
        <f>IF($A60="","",[1]!thsiFinD("ths_adjustment_nv_fund",C$3,$A60))</f>
        <v/>
      </c>
      <c r="D60" s="61">
        <f>IF($A60="","",[1]!thsiFinD("ths_adjustment_nv_fund",D$3,$A60))</f>
        <v/>
      </c>
      <c r="E60" s="61">
        <f>IF($A60="","",[1]!thsiFinD("ths_adjustment_nv_fund",E$3,$A60))</f>
        <v/>
      </c>
      <c r="F60" s="61">
        <f>IF($A60="","",[1]!thsiFinD("ths_adjustment_nv_fund",F$3,$A60))</f>
        <v/>
      </c>
      <c r="G60" s="61">
        <f>IF($A60="","",[1]!thsiFinD("ths_adjustment_nv_fund",G$3,$A60))</f>
        <v/>
      </c>
      <c r="H60" s="61">
        <f>IF($A60="","",[1]!thsiFinD("ths_adjustment_nv_fund",H$3,$A60))</f>
        <v/>
      </c>
      <c r="I60" s="61">
        <f>IF($A60="","",[1]!thsiFinD("ths_adjustment_nv_fund",I$3,$A60))</f>
        <v/>
      </c>
      <c r="J60" s="61">
        <f>IF($A60="","",[1]!thsiFinD("ths_adjustment_nv_fund",J$3,$A60))</f>
        <v/>
      </c>
      <c r="K60" s="61">
        <f>IF($A60="","",[1]!thsiFinD("ths_adjustment_nv_fund",K$3,$A60))</f>
        <v/>
      </c>
      <c r="L60" s="61">
        <f>IF($A60="","",[1]!thsiFinD("ths_adjustment_nv_fund",L$3,$A60))</f>
        <v/>
      </c>
      <c r="M60" s="61">
        <f>IF($A60="","",[1]!thsiFinD("ths_adjustment_nv_fund",M$3,$A60))</f>
        <v/>
      </c>
      <c r="N60" s="61">
        <f>IF($A60="","",[1]!thsiFinD("ths_adjustment_nv_fund",N$3,$A60))</f>
        <v/>
      </c>
      <c r="O60" s="61">
        <f>IF($A60="","",[1]!thsiFinD("ths_adjustment_nv_fund",O$3,$A60))</f>
        <v/>
      </c>
      <c r="P60" s="61">
        <f>IF($A60="","",[1]!thsiFinD("ths_adjustment_nv_fund",P$3,$A60))</f>
        <v/>
      </c>
      <c r="Q60" s="61">
        <f>IF($A60="","",[1]!thsiFinD("ths_adjustment_nv_fund",Q$3,$A60))</f>
        <v/>
      </c>
      <c r="R60" s="61">
        <f>IF($A60="","",[1]!thsiFinD("ths_adjustment_nv_fund",R$3,$A60))</f>
        <v/>
      </c>
      <c r="S60" s="61">
        <f>IF($A60="","",[1]!thsiFinD("ths_adjustment_nv_fund",S$3,$A60))</f>
        <v/>
      </c>
      <c r="T60" s="61">
        <f>IF($A60="","",[1]!thsiFinD("ths_adjustment_nv_fund",T$3,$A60))</f>
        <v/>
      </c>
      <c r="U60" s="61">
        <f>IF($A60="","",[1]!thsiFinD("ths_adjustment_nv_fund",U$3,$A60))</f>
        <v/>
      </c>
      <c r="V60" s="61">
        <f>IF($A60="","",[1]!thsiFinD("ths_adjustment_nv_fund",V$3,$A60))</f>
        <v/>
      </c>
      <c r="W60" s="61">
        <f>IF($A60="","",[1]!thsiFinD("ths_adjustment_nv_fund",W$3,$A60))</f>
        <v/>
      </c>
      <c r="X60" s="61">
        <f>IF($A60="","",[1]!thsiFinD("ths_adjustment_nv_fund",X$3,$A60))</f>
        <v/>
      </c>
    </row>
  </sheetData>
  <mergeCells count="1">
    <mergeCell ref="A1:D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5"/>
  <sheetViews>
    <sheetView showGridLines="0" workbookViewId="0">
      <selection activeCell="J31" sqref="J31"/>
    </sheetView>
  </sheetViews>
  <sheetFormatPr baseColWidth="8" defaultRowHeight="14"/>
  <cols>
    <col width="12" customWidth="1" style="48" min="1" max="1"/>
    <col width="13.54296875" bestFit="1" customWidth="1" style="48" min="22" max="22"/>
  </cols>
  <sheetData>
    <row r="1" ht="19" customHeight="1" s="48">
      <c r="A1" s="49" t="inlineStr">
        <is>
          <t>组合净值（实盘）· 各组合自起始日买入持有逐日计算</t>
        </is>
      </c>
    </row>
    <row r="2" ht="14" customHeight="1" s="48"/>
    <row r="3" ht="42" customHeight="1" s="48">
      <c r="B3" s="26" t="inlineStr">
        <is>
          <t>组合 产业趋势</t>
        </is>
      </c>
      <c r="E3" s="26" t="inlineStr">
        <is>
          <t>组合 产业趋势基石</t>
        </is>
      </c>
      <c r="H3" s="26" t="inlineStr">
        <is>
          <t>组合 产业趋势2号</t>
        </is>
      </c>
      <c r="K3" s="26" t="inlineStr">
        <is>
          <t>组合 10-90</t>
        </is>
      </c>
      <c r="N3" s="26" t="inlineStr">
        <is>
          <t>组合 10-90基石</t>
        </is>
      </c>
      <c r="Q3" s="26" t="inlineStr">
        <is>
          <t>组合 30-70</t>
        </is>
      </c>
    </row>
    <row r="4">
      <c r="A4" s="25" t="inlineStr">
        <is>
          <t>日期</t>
        </is>
      </c>
      <c r="B4" s="25" t="inlineStr">
        <is>
          <t>净值</t>
        </is>
      </c>
      <c r="C4" s="25" t="inlineStr">
        <is>
          <t>日收益</t>
        </is>
      </c>
      <c r="D4" s="25" t="inlineStr">
        <is>
          <t>回撤</t>
        </is>
      </c>
      <c r="E4" s="25" t="inlineStr">
        <is>
          <t>净值</t>
        </is>
      </c>
      <c r="F4" s="25" t="inlineStr">
        <is>
          <t>日收益</t>
        </is>
      </c>
      <c r="G4" s="25" t="inlineStr">
        <is>
          <t>回撤</t>
        </is>
      </c>
      <c r="H4" s="25" t="inlineStr">
        <is>
          <t>净值</t>
        </is>
      </c>
      <c r="I4" s="25" t="inlineStr">
        <is>
          <t>日收益</t>
        </is>
      </c>
      <c r="J4" s="25" t="inlineStr">
        <is>
          <t>回撤</t>
        </is>
      </c>
      <c r="K4" s="25" t="inlineStr">
        <is>
          <t>净值</t>
        </is>
      </c>
      <c r="L4" s="25" t="inlineStr">
        <is>
          <t>日收益</t>
        </is>
      </c>
      <c r="M4" s="25" t="inlineStr">
        <is>
          <t>回撤</t>
        </is>
      </c>
      <c r="N4" s="25" t="inlineStr">
        <is>
          <t>净值</t>
        </is>
      </c>
      <c r="O4" s="25" t="inlineStr">
        <is>
          <t>日收益</t>
        </is>
      </c>
      <c r="P4" s="25" t="inlineStr">
        <is>
          <t>回撤</t>
        </is>
      </c>
      <c r="Q4" s="25" t="inlineStr">
        <is>
          <t>净值</t>
        </is>
      </c>
      <c r="R4" s="25" t="inlineStr">
        <is>
          <t>日收益</t>
        </is>
      </c>
      <c r="S4" s="25" t="inlineStr">
        <is>
          <t>回撤</t>
        </is>
      </c>
    </row>
    <row r="5">
      <c r="A5" s="62">
        <f>IF('实盘净值数据(iFinD公式)'!A5="","",'实盘净值数据(iFinD公式)'!A5)</f>
        <v/>
      </c>
      <c r="B5" s="61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 t="n"/>
      <c r="D5" s="7">
        <f>IF(B5="","",B5/MAX(B$5:B5)-1)</f>
        <v/>
      </c>
      <c r="E5" s="61" t="n">
        <v>1</v>
      </c>
      <c r="F5" s="7" t="n"/>
      <c r="G5" s="7">
        <f>IF(E5="","",E5/MAX(E$5:E5)-1)</f>
        <v/>
      </c>
      <c r="H5" s="61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 t="n"/>
      <c r="J5" s="7">
        <f>IF(H5="","",H5/MAX(H$5:H5)-1)</f>
        <v/>
      </c>
      <c r="K5" s="61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 t="n"/>
      <c r="M5" s="7">
        <f>IF(K5="","",K5/MAX(K$5:K5)-1)</f>
        <v/>
      </c>
      <c r="N5" s="61" t="n">
        <v>1</v>
      </c>
      <c r="O5" s="7" t="n"/>
      <c r="P5" s="7">
        <f>IF(N5="","",N5/MAX(N$5:N5)-1)</f>
        <v/>
      </c>
      <c r="Q5" s="61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 t="n"/>
      <c r="S5" s="7">
        <f>IF(Q5="","",Q5/MAX(Q$5:Q5)-1)</f>
        <v/>
      </c>
      <c r="U5" s="43" t="n"/>
    </row>
    <row r="6">
      <c r="A6" s="62">
        <f>IF('实盘净值数据(iFinD公式)'!A6="","",'实盘净值数据(iFinD公式)'!A6)</f>
        <v/>
      </c>
      <c r="B6" s="61" t="n">
        <v>1</v>
      </c>
      <c r="C6" s="7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/>
      </c>
      <c r="E6" s="61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/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/>
      </c>
      <c r="G6" s="7">
        <f>IF(E6="","",E6/MAX(E$5:E6)-1)</f>
        <v/>
      </c>
      <c r="H6" s="61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>
        <f>IF(H6="","",H6/MAX(H$5:H6)-1)</f>
        <v/>
      </c>
      <c r="K6" s="61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>
        <f>IF(K6="","",K6/MAX(K$5:K6)-1)</f>
        <v/>
      </c>
      <c r="N6" s="61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/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/>
      </c>
      <c r="P6" s="7">
        <f>IF(N6="","",N6/MAX(N$5:N6)-1)</f>
        <v/>
      </c>
      <c r="Q6" s="61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>
        <f>IF(Q6="","",Q6/MAX(Q$5:Q6)-1)</f>
        <v/>
      </c>
      <c r="U6" s="43" t="n"/>
      <c r="V6" s="63" t="n"/>
    </row>
    <row r="7">
      <c r="A7" s="62">
        <f>IF('实盘净值数据(iFinD公式)'!A7="","",'实盘净值数据(iFinD公式)'!A7)</f>
        <v/>
      </c>
      <c r="B7" s="61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/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/>
      </c>
      <c r="D7" s="7">
        <f>IF(B7="","",B7/MAX(B$5:B7)-1)</f>
        <v/>
      </c>
      <c r="E7" s="61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/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/>
      </c>
      <c r="G7" s="7">
        <f>IF(E7="","",E7/MAX(E$5:E7)-1)</f>
        <v/>
      </c>
      <c r="H7" s="61" t="n">
        <v>1</v>
      </c>
      <c r="I7" s="7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/>
      </c>
      <c r="K7" s="61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>
        <f>IF(K7="","",K7/MAX(K$5:K7)-1)</f>
        <v/>
      </c>
      <c r="N7" s="61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/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/>
      </c>
      <c r="P7" s="7">
        <f>IF(N7="","",N7/MAX(N$5:N7)-1)</f>
        <v/>
      </c>
      <c r="Q7" s="61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>
        <f>IF(Q7="","",Q7/MAX(Q$5:Q7)-1)</f>
        <v/>
      </c>
      <c r="U7" s="43" t="n"/>
      <c r="V7" s="63" t="n"/>
    </row>
    <row r="8">
      <c r="A8" s="62">
        <f>IF('实盘净值数据(iFinD公式)'!A8="","",'实盘净值数据(iFinD公式)'!A8)</f>
        <v/>
      </c>
      <c r="B8" s="61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/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/>
      </c>
      <c r="D8" s="7">
        <f>IF(B8="","",B8/MAX(B$5:B8)-1)</f>
        <v/>
      </c>
      <c r="E8" s="61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/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/>
      </c>
      <c r="G8" s="7">
        <f>IF(E8="","",E8/MAX(E$5:E8)-1)</f>
        <v/>
      </c>
      <c r="H8" s="61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/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/>
      </c>
      <c r="J8" s="7">
        <f>IF(H8="","",H8/MAX(H$5:H8)-1)</f>
        <v/>
      </c>
      <c r="K8" s="61" t="n">
        <v>1</v>
      </c>
      <c r="L8" s="7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/>
      </c>
      <c r="N8" s="61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/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/>
      </c>
      <c r="P8" s="7">
        <f>IF(N8="","",N8/MAX(N$5:N8)-1)</f>
        <v/>
      </c>
      <c r="Q8" s="61" t="n">
        <v>1</v>
      </c>
      <c r="R8" s="7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/>
      </c>
      <c r="U8" s="43" t="n"/>
      <c r="V8" s="63" t="n"/>
    </row>
    <row r="9">
      <c r="A9" s="62">
        <f>IF('实盘净值数据(iFinD公式)'!A9="","",'实盘净值数据(iFinD公式)'!A9)</f>
        <v/>
      </c>
      <c r="B9" s="61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/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/>
      </c>
      <c r="D9" s="7">
        <f>IF(B9="","",B9/MAX(B$5:B9)-1)</f>
        <v/>
      </c>
      <c r="E9" s="61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/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/>
      </c>
      <c r="G9" s="7">
        <f>IF(E9="","",E9/MAX(E$5:E9)-1)</f>
        <v/>
      </c>
      <c r="H9" s="61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/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/>
      </c>
      <c r="J9" s="7">
        <f>IF(H9="","",H9/MAX(H$5:H9)-1)</f>
        <v/>
      </c>
      <c r="K9" s="61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/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/>
      </c>
      <c r="M9" s="7">
        <f>IF(K9="","",K9/MAX(K$5:K9)-1)</f>
        <v/>
      </c>
      <c r="N9" s="61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/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/>
      </c>
      <c r="P9" s="7">
        <f>IF(N9="","",N9/MAX(N$5:N9)-1)</f>
        <v/>
      </c>
      <c r="Q9" s="61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/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/>
      </c>
      <c r="S9" s="7">
        <f>IF(Q9="","",Q9/MAX(Q$5:Q9)-1)</f>
        <v/>
      </c>
      <c r="U9" s="43" t="n"/>
      <c r="V9" s="63" t="n"/>
    </row>
    <row r="10">
      <c r="A10" s="62">
        <f>IF('实盘净值数据(iFinD公式)'!A10="","",'实盘净值数据(iFinD公式)'!A10)</f>
        <v/>
      </c>
      <c r="B10" s="61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/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/>
      </c>
      <c r="D10" s="7">
        <f>IF(B10="","",B10/MAX(B$5:B10)-1)</f>
        <v/>
      </c>
      <c r="E10" s="61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/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/>
      </c>
      <c r="G10" s="7">
        <f>IF(E10="","",E10/MAX(E$5:E10)-1)</f>
        <v/>
      </c>
      <c r="H10" s="61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/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/>
      </c>
      <c r="J10" s="7">
        <f>IF(H10="","",H10/MAX(H$5:H10)-1)</f>
        <v/>
      </c>
      <c r="K10" s="61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/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/>
      </c>
      <c r="M10" s="7">
        <f>IF(K10="","",K10/MAX(K$5:K10)-1)</f>
        <v/>
      </c>
      <c r="N10" s="61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/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/>
      </c>
      <c r="P10" s="7">
        <f>IF(N10="","",N10/MAX(N$5:N10)-1)</f>
        <v/>
      </c>
      <c r="Q10" s="61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/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/>
      </c>
      <c r="S10" s="7">
        <f>IF(Q10="","",Q10/MAX(Q$5:Q10)-1)</f>
        <v/>
      </c>
      <c r="U10" s="43" t="n"/>
      <c r="V10" s="63" t="n"/>
    </row>
    <row r="11">
      <c r="A11" s="62">
        <f>IF('实盘净值数据(iFinD公式)'!A11="","",'实盘净值数据(iFinD公式)'!A11)</f>
        <v/>
      </c>
      <c r="B11" s="61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/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/>
      </c>
      <c r="D11" s="7">
        <f>IF(B11="","",B11/MAX(B$5:B11)-1)</f>
        <v/>
      </c>
      <c r="E11" s="61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/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/>
      </c>
      <c r="G11" s="7">
        <f>IF(E11="","",E11/MAX(E$5:E11)-1)</f>
        <v/>
      </c>
      <c r="H11" s="61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/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/>
      </c>
      <c r="J11" s="7">
        <f>IF(H11="","",H11/MAX(H$5:H11)-1)</f>
        <v/>
      </c>
      <c r="K11" s="61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/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/>
      </c>
      <c r="M11" s="7">
        <f>IF(K11="","",K11/MAX(K$5:K11)-1)</f>
        <v/>
      </c>
      <c r="N11" s="61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/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/>
      </c>
      <c r="P11" s="7">
        <f>IF(N11="","",N11/MAX(N$5:N11)-1)</f>
        <v/>
      </c>
      <c r="Q11" s="61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/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/>
      </c>
      <c r="S11" s="7">
        <f>IF(Q11="","",Q11/MAX(Q$5:Q11)-1)</f>
        <v/>
      </c>
      <c r="U11" s="43" t="n"/>
      <c r="V11" s="63" t="n"/>
    </row>
    <row r="12">
      <c r="A12" s="62">
        <f>IF('实盘净值数据(iFinD公式)'!A12="","",'实盘净值数据(iFinD公式)'!A12)</f>
        <v/>
      </c>
      <c r="B12" s="61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/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/>
      </c>
      <c r="D12" s="7">
        <f>IF(B12="","",B12/MAX(B$5:B12)-1)</f>
        <v/>
      </c>
      <c r="E12" s="61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/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/>
      </c>
      <c r="G12" s="7">
        <f>IF(E12="","",E12/MAX(E$5:E12)-1)</f>
        <v/>
      </c>
      <c r="H12" s="61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/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/>
      </c>
      <c r="J12" s="7">
        <f>IF(H12="","",H12/MAX(H$5:H12)-1)</f>
        <v/>
      </c>
      <c r="K12" s="61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/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/>
      </c>
      <c r="M12" s="7">
        <f>IF(K12="","",K12/MAX(K$5:K12)-1)</f>
        <v/>
      </c>
      <c r="N12" s="61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/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/>
      </c>
      <c r="P12" s="7">
        <f>IF(N12="","",N12/MAX(N$5:N12)-1)</f>
        <v/>
      </c>
      <c r="Q12" s="61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/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/>
      </c>
      <c r="S12" s="7">
        <f>IF(Q12="","",Q12/MAX(Q$5:Q12)-1)</f>
        <v/>
      </c>
    </row>
    <row r="13">
      <c r="A13" s="62">
        <f>IF('实盘净值数据(iFinD公式)'!A13="","",'实盘净值数据(iFinD公式)'!A13)</f>
        <v/>
      </c>
      <c r="B13" s="61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/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/>
      </c>
      <c r="D13" s="7">
        <f>IF(B13="","",B13/MAX(B$5:B13)-1)</f>
        <v/>
      </c>
      <c r="E13" s="61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/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/>
      </c>
      <c r="G13" s="7">
        <f>IF(E13="","",E13/MAX(E$5:E13)-1)</f>
        <v/>
      </c>
      <c r="H13" s="61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/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/>
      </c>
      <c r="J13" s="7">
        <f>IF(H13="","",H13/MAX(H$5:H13)-1)</f>
        <v/>
      </c>
      <c r="K13" s="61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/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/>
      </c>
      <c r="M13" s="7">
        <f>IF(K13="","",K13/MAX(K$5:K13)-1)</f>
        <v/>
      </c>
      <c r="N13" s="61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/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/>
      </c>
      <c r="P13" s="7">
        <f>IF(N13="","",N13/MAX(N$5:N13)-1)</f>
        <v/>
      </c>
      <c r="Q13" s="61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/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/>
      </c>
      <c r="S13" s="7">
        <f>IF(Q13="","",Q13/MAX(Q$5:Q13)-1)</f>
        <v/>
      </c>
    </row>
    <row r="14">
      <c r="A14" s="62">
        <f>IF('实盘净值数据(iFinD公式)'!A14="","",'实盘净值数据(iFinD公式)'!A14)</f>
        <v/>
      </c>
      <c r="B14" s="61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/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/>
      </c>
      <c r="D14" s="7">
        <f>IF(B14="","",B14/MAX(B$5:B14)-1)</f>
        <v/>
      </c>
      <c r="E14" s="61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/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/>
      </c>
      <c r="G14" s="7">
        <f>IF(E14="","",E14/MAX(E$5:E14)-1)</f>
        <v/>
      </c>
      <c r="H14" s="61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/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/>
      </c>
      <c r="J14" s="7">
        <f>IF(H14="","",H14/MAX(H$5:H14)-1)</f>
        <v/>
      </c>
      <c r="K14" s="61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/>
      </c>
      <c r="L14" s="7">
        <f>IF(OR(K13="",K14=""),"",K14/K13-1)</f>
        <v/>
      </c>
      <c r="M14" s="7">
        <f>IF(K14="","",K14/MAX(K$5:K14)-1)</f>
        <v/>
      </c>
      <c r="N14" s="61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/>
      </c>
      <c r="O14" s="7">
        <f>IF(OR(N13="",N14=""),"",N14/N13-1)</f>
        <v/>
      </c>
      <c r="P14" s="7">
        <f>IF(N14="","",N14/MAX(N$5:N14)-1)</f>
        <v/>
      </c>
      <c r="Q14" s="61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/>
      </c>
      <c r="R14" s="7">
        <f>IF(OR(Q13="",Q14=""),"",Q14/Q13-1)</f>
        <v/>
      </c>
      <c r="S14" s="7">
        <f>IF(Q14="","",Q14/MAX(Q$5:Q14)-1)</f>
        <v/>
      </c>
    </row>
    <row r="15">
      <c r="A15" s="62">
        <f>IF('实盘净值数据(iFinD公式)'!A15="","",'实盘净值数据(iFinD公式)'!A15)</f>
        <v/>
      </c>
      <c r="B15" s="61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/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/>
      </c>
      <c r="D15" s="7">
        <f>IF(B15="","",B15/MAX(B$5:B15)-1)</f>
        <v/>
      </c>
      <c r="E15" s="61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/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/>
      </c>
      <c r="G15" s="7">
        <f>IF(E15="","",E15/MAX(E$5:E15)-1)</f>
        <v/>
      </c>
      <c r="H15" s="61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/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/>
      </c>
      <c r="J15" s="7">
        <f>IF(H15="","",H15/MAX(H$5:H15)-1)</f>
        <v/>
      </c>
      <c r="K15" s="61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/>
      </c>
      <c r="L15" s="7">
        <f>IF(OR(K14="",K15=""),"",K15/K14-1)</f>
        <v/>
      </c>
      <c r="M15" s="7">
        <f>IF(K15="","",K15/MAX(K$5:K15)-1)</f>
        <v/>
      </c>
      <c r="N15" s="61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/>
      </c>
      <c r="O15" s="7">
        <f>IF(OR(N14="",N15=""),"",N15/N14-1)</f>
        <v/>
      </c>
      <c r="P15" s="7">
        <f>IF(N15="","",N15/MAX(N$5:N15)-1)</f>
        <v/>
      </c>
      <c r="Q15" s="61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/>
      </c>
      <c r="R15" s="7">
        <f>IF(OR(Q14="",Q15=""),"",Q15/Q14-1)</f>
        <v/>
      </c>
      <c r="S15" s="7">
        <f>IF(Q15="","",Q15/MAX(Q$5:Q15)-1)</f>
        <v/>
      </c>
    </row>
    <row r="16">
      <c r="A16" s="62">
        <f>IF('实盘净值数据(iFinD公式)'!A16="","",'实盘净值数据(iFinD公式)'!A16)</f>
        <v/>
      </c>
      <c r="B16" s="61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/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/>
      </c>
      <c r="D16" s="7">
        <f>IF(B16="","",B16/MAX(B$5:B16)-1)</f>
        <v/>
      </c>
      <c r="E16" s="61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/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/>
      </c>
      <c r="G16" s="7">
        <f>IF(E16="","",E16/MAX(E$5:E16)-1)</f>
        <v/>
      </c>
      <c r="H16" s="61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/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/>
      </c>
      <c r="J16" s="7">
        <f>IF(H16="","",H16/MAX(H$5:H16)-1)</f>
        <v/>
      </c>
      <c r="K16" s="61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/>
      </c>
      <c r="L16" s="7">
        <f>IF(OR(K15="",K16=""),"",K16/K15-1)</f>
        <v/>
      </c>
      <c r="M16" s="7">
        <f>IF(K16="","",K16/MAX(K$5:K16)-1)</f>
        <v/>
      </c>
      <c r="N16" s="61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/>
      </c>
      <c r="O16" s="7">
        <f>IF(OR(N15="",N16=""),"",N16/N15-1)</f>
        <v/>
      </c>
      <c r="P16" s="7">
        <f>IF(N16="","",N16/MAX(N$5:N16)-1)</f>
        <v/>
      </c>
      <c r="Q16" s="61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/>
      </c>
      <c r="R16" s="7">
        <f>IF(OR(Q15="",Q16=""),"",Q16/Q15-1)</f>
        <v/>
      </c>
      <c r="S16" s="7">
        <f>IF(Q16="","",Q16/MAX(Q$5:Q16)-1)</f>
        <v/>
      </c>
    </row>
    <row r="17">
      <c r="A17" s="62">
        <f>IF('实盘净值数据(iFinD公式)'!A17="","",'实盘净值数据(iFinD公式)'!A17)</f>
        <v/>
      </c>
      <c r="B17" s="61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/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/>
      </c>
      <c r="D17" s="7">
        <f>IF(B17="","",B17/MAX(B$5:B17)-1)</f>
        <v/>
      </c>
      <c r="E17" s="61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/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/>
      </c>
      <c r="G17" s="7">
        <f>IF(E17="","",E17/MAX(E$5:E17)-1)</f>
        <v/>
      </c>
      <c r="H17" s="61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/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/>
      </c>
      <c r="J17" s="7">
        <f>IF(H17="","",H17/MAX(H$5:H17)-1)</f>
        <v/>
      </c>
      <c r="K17" s="61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/>
      </c>
      <c r="L17" s="7">
        <f>IF(OR(K16="",K17=""),"",K17/K16-1)</f>
        <v/>
      </c>
      <c r="M17" s="7">
        <f>IF(K17="","",K17/MAX(K$5:K17)-1)</f>
        <v/>
      </c>
      <c r="N17" s="61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/>
      </c>
      <c r="O17" s="7">
        <f>IF(OR(N16="",N17=""),"",N17/N16-1)</f>
        <v/>
      </c>
      <c r="P17" s="7">
        <f>IF(N17="","",N17/MAX(N$5:N17)-1)</f>
        <v/>
      </c>
      <c r="Q17" s="61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/>
      </c>
      <c r="R17" s="7">
        <f>IF(OR(Q16="",Q17=""),"",Q17/Q16-1)</f>
        <v/>
      </c>
      <c r="S17" s="7">
        <f>IF(Q17="","",Q17/MAX(Q$5:Q17)-1)</f>
        <v/>
      </c>
    </row>
    <row r="18">
      <c r="A18" s="62">
        <f>IF('实盘净值数据(iFinD公式)'!A18="","",'实盘净值数据(iFinD公式)'!A18)</f>
        <v/>
      </c>
      <c r="B18" s="61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/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/>
      </c>
      <c r="D18" s="7">
        <f>IF(B18="","",B18/MAX(B$5:B18)-1)</f>
        <v/>
      </c>
      <c r="E18" s="61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/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/>
      </c>
      <c r="G18" s="7">
        <f>IF(E18="","",E18/MAX(E$5:E18)-1)</f>
        <v/>
      </c>
      <c r="H18" s="61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/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/>
      </c>
      <c r="J18" s="7">
        <f>IF(H18="","",H18/MAX(H$5:H18)-1)</f>
        <v/>
      </c>
      <c r="K18" s="61">
        <f>IF(OR('实盘净值数据(iFinD公式)'!$A18="",'实盘净值数据(iFinD公式)'!$B18=""),"",分期持仓明细!$AB$9*SUMPRODUCT(分期持仓明细!$B$9:$Y$9,'实盘净值数据(iFinD公式)'!$B18:$Y18/'实盘净值数据(iFinD公式)'!$B$13:$Y$13)*(1-实盘持仓配置!$Z$7)^(('实盘净值数据(iFinD公式)'!$A18-'实盘净值数据(iFinD公式)'!$A$8)/365))</f>
        <v/>
      </c>
      <c r="L18" s="7">
        <f>IF(OR(K17="",K18=""),"",K18/K17-1)</f>
        <v/>
      </c>
      <c r="M18" s="7">
        <f>IF(K18="","",K18/MAX(K$5:K18)-1)</f>
        <v/>
      </c>
      <c r="N18" s="61">
        <f>IF(OR('实盘净值数据(iFinD公式)'!$A18="",'实盘净值数据(iFinD公式)'!$B18=""),"",分期持仓明细!$AB$11*SUMPRODUCT(分期持仓明细!$B$11:$Y$11,'实盘净值数据(iFinD公式)'!$B18:$Y18/'实盘净值数据(iFinD公式)'!$B$13:$Y$13)*(1-实盘持仓配置!$Z$8)^(('实盘净值数据(iFinD公式)'!$A18-'实盘净值数据(iFinD公式)'!$A$5)/365))</f>
        <v/>
      </c>
      <c r="O18" s="7">
        <f>IF(OR(N17="",N18=""),"",N18/N17-1)</f>
        <v/>
      </c>
      <c r="P18" s="7">
        <f>IF(N18="","",N18/MAX(N$5:N18)-1)</f>
        <v/>
      </c>
      <c r="Q18" s="61">
        <f>IF(OR('实盘净值数据(iFinD公式)'!$A18="",'实盘净值数据(iFinD公式)'!$B18=""),"",分期持仓明细!$AB$13*SUMPRODUCT(分期持仓明细!$B$13:$Y$13,'实盘净值数据(iFinD公式)'!$B18:$Y18/'实盘净值数据(iFinD公式)'!$B$13:$Y$13)*(1-实盘持仓配置!$Z$9)^(('实盘净值数据(iFinD公式)'!$A18-'实盘净值数据(iFinD公式)'!$A$8)/365))</f>
        <v/>
      </c>
      <c r="R18" s="7">
        <f>IF(OR(Q17="",Q18=""),"",Q18/Q17-1)</f>
        <v/>
      </c>
      <c r="S18" s="7">
        <f>IF(Q18="","",Q18/MAX(Q$5:Q18)-1)</f>
        <v/>
      </c>
    </row>
    <row r="19">
      <c r="A19" s="62">
        <f>IF('实盘净值数据(iFinD公式)'!A19="","",'实盘净值数据(iFinD公式)'!A19)</f>
        <v/>
      </c>
      <c r="B19" s="61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/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/>
      </c>
      <c r="D19" s="7">
        <f>IF(B19="","",B19/MAX(B$5:B19)-1)</f>
        <v/>
      </c>
      <c r="E19" s="61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/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/>
      </c>
      <c r="G19" s="7">
        <f>IF(E19="","",E19/MAX(E$5:E19)-1)</f>
        <v/>
      </c>
      <c r="H19" s="61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/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/>
      </c>
      <c r="J19" s="7">
        <f>IF(H19="","",H19/MAX(H$5:H19)-1)</f>
        <v/>
      </c>
      <c r="K19" s="61">
        <f>IF(OR('实盘净值数据(iFinD公式)'!$A19="",'实盘净值数据(iFinD公式)'!$B19=""),"",分期持仓明细!$AB$9*SUMPRODUCT(分期持仓明细!$B$9:$Y$9,'实盘净值数据(iFinD公式)'!$B19:$Y19/'实盘净值数据(iFinD公式)'!$B$13:$Y$13)*(1-实盘持仓配置!$Z$7)^(('实盘净值数据(iFinD公式)'!$A19-'实盘净值数据(iFinD公式)'!$A$8)/365))</f>
        <v/>
      </c>
      <c r="L19" s="7">
        <f>IF(OR(K18="",K19=""),"",K19/K18-1)</f>
        <v/>
      </c>
      <c r="M19" s="7">
        <f>IF(K19="","",K19/MAX(K$5:K19)-1)</f>
        <v/>
      </c>
      <c r="N19" s="61">
        <f>IF(OR('实盘净值数据(iFinD公式)'!$A19="",'实盘净值数据(iFinD公式)'!$B19=""),"",分期持仓明细!$AB$11*SUMPRODUCT(分期持仓明细!$B$11:$Y$11,'实盘净值数据(iFinD公式)'!$B19:$Y19/'实盘净值数据(iFinD公式)'!$B$13:$Y$13)*(1-实盘持仓配置!$Z$8)^(('实盘净值数据(iFinD公式)'!$A19-'实盘净值数据(iFinD公式)'!$A$5)/365))</f>
        <v/>
      </c>
      <c r="O19" s="7">
        <f>IF(OR(N18="",N19=""),"",N19/N18-1)</f>
        <v/>
      </c>
      <c r="P19" s="7">
        <f>IF(N19="","",N19/MAX(N$5:N19)-1)</f>
        <v/>
      </c>
      <c r="Q19" s="61">
        <f>IF(OR('实盘净值数据(iFinD公式)'!$A19="",'实盘净值数据(iFinD公式)'!$B19=""),"",分期持仓明细!$AB$13*SUMPRODUCT(分期持仓明细!$B$13:$Y$13,'实盘净值数据(iFinD公式)'!$B19:$Y19/'实盘净值数据(iFinD公式)'!$B$13:$Y$13)*(1-实盘持仓配置!$Z$9)^(('实盘净值数据(iFinD公式)'!$A19-'实盘净值数据(iFinD公式)'!$A$8)/365))</f>
        <v/>
      </c>
      <c r="R19" s="7">
        <f>IF(OR(Q18="",Q19=""),"",Q19/Q18-1)</f>
        <v/>
      </c>
      <c r="S19" s="7">
        <f>IF(Q19="","",Q19/MAX(Q$5:Q19)-1)</f>
        <v/>
      </c>
    </row>
    <row r="20">
      <c r="A20" s="62">
        <f>IF('实盘净值数据(iFinD公式)'!A20="","",'实盘净值数据(iFinD公式)'!A20)</f>
        <v/>
      </c>
      <c r="B20" s="61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/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/>
      </c>
      <c r="D20" s="7">
        <f>IF(B20="","",B20/MAX(B$5:B20)-1)</f>
        <v/>
      </c>
      <c r="E20" s="61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/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/>
      </c>
      <c r="G20" s="7">
        <f>IF(E20="","",E20/MAX(E$5:E20)-1)</f>
        <v/>
      </c>
      <c r="H20" s="61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/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/>
      </c>
      <c r="J20" s="7">
        <f>IF(H20="","",H20/MAX(H$5:H20)-1)</f>
        <v/>
      </c>
      <c r="K20" s="61">
        <f>IF(OR('实盘净值数据(iFinD公式)'!$A20="",'实盘净值数据(iFinD公式)'!$B20=""),"",分期持仓明细!$AB$9*SUMPRODUCT(分期持仓明细!$B$9:$Y$9,'实盘净值数据(iFinD公式)'!$B20:$Y20/'实盘净值数据(iFinD公式)'!$B$13:$Y$13)*(1-实盘持仓配置!$Z$7)^(('实盘净值数据(iFinD公式)'!$A20-'实盘净值数据(iFinD公式)'!$A$8)/365))</f>
        <v/>
      </c>
      <c r="L20" s="7">
        <f>IF(OR(K19="",K20=""),"",K20/K19-1)</f>
        <v/>
      </c>
      <c r="M20" s="7">
        <f>IF(K20="","",K20/MAX(K$5:K20)-1)</f>
        <v/>
      </c>
      <c r="N20" s="61">
        <f>IF(OR('实盘净值数据(iFinD公式)'!$A20="",'实盘净值数据(iFinD公式)'!$B20=""),"",分期持仓明细!$AB$11*SUMPRODUCT(分期持仓明细!$B$11:$Y$11,'实盘净值数据(iFinD公式)'!$B20:$Y20/'实盘净值数据(iFinD公式)'!$B$13:$Y$13)*(1-实盘持仓配置!$Z$8)^(('实盘净值数据(iFinD公式)'!$A20-'实盘净值数据(iFinD公式)'!$A$5)/365))</f>
        <v/>
      </c>
      <c r="O20" s="7">
        <f>IF(OR(N19="",N20=""),"",N20/N19-1)</f>
        <v/>
      </c>
      <c r="P20" s="7">
        <f>IF(N20="","",N20/MAX(N$5:N20)-1)</f>
        <v/>
      </c>
      <c r="Q20" s="61">
        <f>IF(OR('实盘净值数据(iFinD公式)'!$A20="",'实盘净值数据(iFinD公式)'!$B20=""),"",分期持仓明细!$AB$13*SUMPRODUCT(分期持仓明细!$B$13:$Y$13,'实盘净值数据(iFinD公式)'!$B20:$Y20/'实盘净值数据(iFinD公式)'!$B$13:$Y$13)*(1-实盘持仓配置!$Z$9)^(('实盘净值数据(iFinD公式)'!$A20-'实盘净值数据(iFinD公式)'!$A$8)/365))</f>
        <v/>
      </c>
      <c r="R20" s="7">
        <f>IF(OR(Q19="",Q20=""),"",Q20/Q19-1)</f>
        <v/>
      </c>
      <c r="S20" s="7">
        <f>IF(Q20="","",Q20/MAX(Q$5:Q20)-1)</f>
        <v/>
      </c>
    </row>
    <row r="21">
      <c r="A21" s="62">
        <f>IF('实盘净值数据(iFinD公式)'!A21="","",'实盘净值数据(iFinD公式)'!A21)</f>
        <v/>
      </c>
      <c r="B21" s="61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/>
      </c>
      <c r="C21" s="7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/>
      </c>
      <c r="D21" s="7">
        <f>IF(B21="","",B21/MAX(B$5:B21)-1)</f>
        <v/>
      </c>
      <c r="E21" s="61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/>
      </c>
      <c r="F21" s="7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/>
      </c>
      <c r="G21" s="7">
        <f>IF(E21="","",E21/MAX(E$5:E21)-1)</f>
        <v/>
      </c>
      <c r="H21" s="61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/>
      </c>
      <c r="I21" s="7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/>
      </c>
      <c r="J21" s="7">
        <f>IF(H21="","",H21/MAX(H$5:H21)-1)</f>
        <v/>
      </c>
      <c r="K21" s="61">
        <f>IF(OR('实盘净值数据(iFinD公式)'!$A21="",'实盘净值数据(iFinD公式)'!$B21=""),"",分期持仓明细!$AB$9*SUMPRODUCT(分期持仓明细!$B$9:$Y$9,'实盘净值数据(iFinD公式)'!$B21:$Y21/'实盘净值数据(iFinD公式)'!$B$13:$Y$13)*(1-实盘持仓配置!$Z$7)^(('实盘净值数据(iFinD公式)'!$A21-'实盘净值数据(iFinD公式)'!$A$8)/365))</f>
        <v/>
      </c>
      <c r="L21" s="7">
        <f>IF(OR(K20="",K21=""),"",K21/K20-1)</f>
        <v/>
      </c>
      <c r="M21" s="7">
        <f>IF(K21="","",K21/MAX(K$5:K21)-1)</f>
        <v/>
      </c>
      <c r="N21" s="61">
        <f>IF(OR('实盘净值数据(iFinD公式)'!$A21="",'实盘净值数据(iFinD公式)'!$B21=""),"",分期持仓明细!$AB$11*SUMPRODUCT(分期持仓明细!$B$11:$Y$11,'实盘净值数据(iFinD公式)'!$B21:$Y21/'实盘净值数据(iFinD公式)'!$B$13:$Y$13)*(1-实盘持仓配置!$Z$8)^(('实盘净值数据(iFinD公式)'!$A21-'实盘净值数据(iFinD公式)'!$A$5)/365))</f>
        <v/>
      </c>
      <c r="O21" s="7">
        <f>IF(OR(N20="",N21=""),"",N21/N20-1)</f>
        <v/>
      </c>
      <c r="P21" s="7">
        <f>IF(N21="","",N21/MAX(N$5:N21)-1)</f>
        <v/>
      </c>
      <c r="Q21" s="61">
        <f>IF(OR('实盘净值数据(iFinD公式)'!$A21="",'实盘净值数据(iFinD公式)'!$B21=""),"",分期持仓明细!$AB$13*SUMPRODUCT(分期持仓明细!$B$13:$Y$13,'实盘净值数据(iFinD公式)'!$B21:$Y21/'实盘净值数据(iFinD公式)'!$B$13:$Y$13)*(1-实盘持仓配置!$Z$9)^(('实盘净值数据(iFinD公式)'!$A21-'实盘净值数据(iFinD公式)'!$A$8)/365))</f>
        <v/>
      </c>
      <c r="R21" s="7">
        <f>IF(OR(Q20="",Q21=""),"",Q21/Q20-1)</f>
        <v/>
      </c>
      <c r="S21" s="7">
        <f>IF(Q21="","",Q21/MAX(Q$5:Q21)-1)</f>
        <v/>
      </c>
    </row>
    <row r="22">
      <c r="A22" s="62">
        <f>IF('实盘净值数据(iFinD公式)'!A22="","",'实盘净值数据(iFinD公式)'!A22)</f>
        <v/>
      </c>
      <c r="B22" s="61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/>
      </c>
      <c r="C22" s="7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/>
      </c>
      <c r="D22" s="7">
        <f>IF(B22="","",B22/MAX(B$5:B22)-1)</f>
        <v/>
      </c>
      <c r="E22" s="61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/>
      </c>
      <c r="F22" s="7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/>
      </c>
      <c r="G22" s="7">
        <f>IF(E22="","",E22/MAX(E$5:E22)-1)</f>
        <v/>
      </c>
      <c r="H22" s="61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/>
      </c>
      <c r="I22" s="7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/>
      </c>
      <c r="J22" s="7">
        <f>IF(H22="","",H22/MAX(H$5:H22)-1)</f>
        <v/>
      </c>
      <c r="K22" s="61">
        <f>IF(OR('实盘净值数据(iFinD公式)'!$A22="",'实盘净值数据(iFinD公式)'!$B22=""),"",分期持仓明细!$AB$9*SUMPRODUCT(分期持仓明细!$B$9:$Y$9,'实盘净值数据(iFinD公式)'!$B22:$Y22/'实盘净值数据(iFinD公式)'!$B$13:$Y$13)*(1-实盘持仓配置!$Z$7)^(('实盘净值数据(iFinD公式)'!$A22-'实盘净值数据(iFinD公式)'!$A$8)/365))</f>
        <v/>
      </c>
      <c r="L22" s="7">
        <f>IF(OR(K21="",K22=""),"",K22/K21-1)</f>
        <v/>
      </c>
      <c r="M22" s="7">
        <f>IF(K22="","",K22/MAX(K$5:K22)-1)</f>
        <v/>
      </c>
      <c r="N22" s="61">
        <f>IF(OR('实盘净值数据(iFinD公式)'!$A22="",'实盘净值数据(iFinD公式)'!$B22=""),"",分期持仓明细!$AB$11*SUMPRODUCT(分期持仓明细!$B$11:$Y$11,'实盘净值数据(iFinD公式)'!$B22:$Y22/'实盘净值数据(iFinD公式)'!$B$13:$Y$13)*(1-实盘持仓配置!$Z$8)^(('实盘净值数据(iFinD公式)'!$A22-'实盘净值数据(iFinD公式)'!$A$5)/365))</f>
        <v/>
      </c>
      <c r="O22" s="7">
        <f>IF(OR(N21="",N22=""),"",N22/N21-1)</f>
        <v/>
      </c>
      <c r="P22" s="7">
        <f>IF(N22="","",N22/MAX(N$5:N22)-1)</f>
        <v/>
      </c>
      <c r="Q22" s="61">
        <f>IF(OR('实盘净值数据(iFinD公式)'!$A22="",'实盘净值数据(iFinD公式)'!$B22=""),"",分期持仓明细!$AB$13*SUMPRODUCT(分期持仓明细!$B$13:$Y$13,'实盘净值数据(iFinD公式)'!$B22:$Y22/'实盘净值数据(iFinD公式)'!$B$13:$Y$13)*(1-实盘持仓配置!$Z$9)^(('实盘净值数据(iFinD公式)'!$A22-'实盘净值数据(iFinD公式)'!$A$8)/365))</f>
        <v/>
      </c>
      <c r="R22" s="7">
        <f>IF(OR(Q21="",Q22=""),"",Q22/Q21-1)</f>
        <v/>
      </c>
      <c r="S22" s="7">
        <f>IF(Q22="","",Q22/MAX(Q$5:Q22)-1)</f>
        <v/>
      </c>
    </row>
    <row r="23">
      <c r="A23" s="62">
        <f>IF('实盘净值数据(iFinD公式)'!A23="","",'实盘净值数据(iFinD公式)'!A23)</f>
        <v/>
      </c>
      <c r="B23" s="61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/>
      </c>
      <c r="C23" s="7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/>
      </c>
      <c r="D23" s="7">
        <f>IF(B23="","",B23/MAX(B$5:B23)-1)</f>
        <v/>
      </c>
      <c r="E23" s="61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/>
      </c>
      <c r="F23" s="7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/>
      </c>
      <c r="G23" s="7">
        <f>IF(E23="","",E23/MAX(E$5:E23)-1)</f>
        <v/>
      </c>
      <c r="H23" s="61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/>
      </c>
      <c r="I23" s="7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/>
      </c>
      <c r="J23" s="7">
        <f>IF(H23="","",H23/MAX(H$5:H23)-1)</f>
        <v/>
      </c>
      <c r="K23" s="61">
        <f>IF(OR('实盘净值数据(iFinD公式)'!$A23="",'实盘净值数据(iFinD公式)'!$B23=""),"",分期持仓明细!$AB$9*SUMPRODUCT(分期持仓明细!$B$9:$Y$9,'实盘净值数据(iFinD公式)'!$B23:$Y23/'实盘净值数据(iFinD公式)'!$B$13:$Y$13)*(1-实盘持仓配置!$Z$7)^(('实盘净值数据(iFinD公式)'!$A23-'实盘净值数据(iFinD公式)'!$A$8)/365))</f>
        <v/>
      </c>
      <c r="L23" s="7">
        <f>IF(OR(K22="",K23=""),"",K23/K22-1)</f>
        <v/>
      </c>
      <c r="M23" s="7">
        <f>IF(K23="","",K23/MAX(K$5:K23)-1)</f>
        <v/>
      </c>
      <c r="N23" s="61">
        <f>IF(OR('实盘净值数据(iFinD公式)'!$A23="",'实盘净值数据(iFinD公式)'!$B23=""),"",分期持仓明细!$AB$11*SUMPRODUCT(分期持仓明细!$B$11:$Y$11,'实盘净值数据(iFinD公式)'!$B23:$Y23/'实盘净值数据(iFinD公式)'!$B$13:$Y$13)*(1-实盘持仓配置!$Z$8)^(('实盘净值数据(iFinD公式)'!$A23-'实盘净值数据(iFinD公式)'!$A$5)/365))</f>
        <v/>
      </c>
      <c r="O23" s="7">
        <f>IF(OR(N22="",N23=""),"",N23/N22-1)</f>
        <v/>
      </c>
      <c r="P23" s="7">
        <f>IF(N23="","",N23/MAX(N$5:N23)-1)</f>
        <v/>
      </c>
      <c r="Q23" s="61">
        <f>IF(OR('实盘净值数据(iFinD公式)'!$A23="",'实盘净值数据(iFinD公式)'!$B23=""),"",分期持仓明细!$AB$13*SUMPRODUCT(分期持仓明细!$B$13:$Y$13,'实盘净值数据(iFinD公式)'!$B23:$Y23/'实盘净值数据(iFinD公式)'!$B$13:$Y$13)*(1-实盘持仓配置!$Z$9)^(('实盘净值数据(iFinD公式)'!$A23-'实盘净值数据(iFinD公式)'!$A$8)/365))</f>
        <v/>
      </c>
      <c r="R23" s="7">
        <f>IF(OR(Q22="",Q23=""),"",Q23/Q22-1)</f>
        <v/>
      </c>
      <c r="S23" s="7">
        <f>IF(Q23="","",Q23/MAX(Q$5:Q23)-1)</f>
        <v/>
      </c>
    </row>
    <row r="24">
      <c r="A24" s="62">
        <f>IF('实盘净值数据(iFinD公式)'!A24="","",'实盘净值数据(iFinD公式)'!A24)</f>
        <v/>
      </c>
      <c r="B24" s="61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/>
      </c>
      <c r="C24" s="7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/>
      </c>
      <c r="D24" s="7">
        <f>IF(B24="","",B24/MAX(B$5:B24)-1)</f>
        <v/>
      </c>
      <c r="E24" s="61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/>
      </c>
      <c r="F24" s="7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/>
      </c>
      <c r="G24" s="7">
        <f>IF(E24="","",E24/MAX(E$5:E24)-1)</f>
        <v/>
      </c>
      <c r="H24" s="61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/>
      </c>
      <c r="I24" s="7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/>
      </c>
      <c r="J24" s="7">
        <f>IF(H24="","",H24/MAX(H$5:H24)-1)</f>
        <v/>
      </c>
      <c r="K24" s="61">
        <f>IF(OR('实盘净值数据(iFinD公式)'!$A24="",'实盘净值数据(iFinD公式)'!$B24=""),"",分期持仓明细!$AB$9*SUMPRODUCT(分期持仓明细!$B$9:$Y$9,'实盘净值数据(iFinD公式)'!$B24:$Y24/'实盘净值数据(iFinD公式)'!$B$13:$Y$13)*(1-实盘持仓配置!$Z$7)^(('实盘净值数据(iFinD公式)'!$A24-'实盘净值数据(iFinD公式)'!$A$8)/365))</f>
        <v/>
      </c>
      <c r="L24" s="7">
        <f>IF(OR(K23="",K24=""),"",K24/K23-1)</f>
        <v/>
      </c>
      <c r="M24" s="7">
        <f>IF(K24="","",K24/MAX(K$5:K24)-1)</f>
        <v/>
      </c>
      <c r="N24" s="61">
        <f>IF(OR('实盘净值数据(iFinD公式)'!$A24="",'实盘净值数据(iFinD公式)'!$B24=""),"",分期持仓明细!$AB$11*SUMPRODUCT(分期持仓明细!$B$11:$Y$11,'实盘净值数据(iFinD公式)'!$B24:$Y24/'实盘净值数据(iFinD公式)'!$B$13:$Y$13)*(1-实盘持仓配置!$Z$8)^(('实盘净值数据(iFinD公式)'!$A24-'实盘净值数据(iFinD公式)'!$A$5)/365))</f>
        <v/>
      </c>
      <c r="O24" s="7">
        <f>IF(OR(N23="",N24=""),"",N24/N23-1)</f>
        <v/>
      </c>
      <c r="P24" s="7">
        <f>IF(N24="","",N24/MAX(N$5:N24)-1)</f>
        <v/>
      </c>
      <c r="Q24" s="61">
        <f>IF(OR('实盘净值数据(iFinD公式)'!$A24="",'实盘净值数据(iFinD公式)'!$B24=""),"",分期持仓明细!$AB$13*SUMPRODUCT(分期持仓明细!$B$13:$Y$13,'实盘净值数据(iFinD公式)'!$B24:$Y24/'实盘净值数据(iFinD公式)'!$B$13:$Y$13)*(1-实盘持仓配置!$Z$9)^(('实盘净值数据(iFinD公式)'!$A24-'实盘净值数据(iFinD公式)'!$A$8)/365))</f>
        <v/>
      </c>
      <c r="R24" s="7">
        <f>IF(OR(Q23="",Q24=""),"",Q24/Q23-1)</f>
        <v/>
      </c>
      <c r="S24" s="7">
        <f>IF(Q24="","",Q24/MAX(Q$5:Q24)-1)</f>
        <v/>
      </c>
    </row>
    <row r="25">
      <c r="A25" s="62">
        <f>IF('实盘净值数据(iFinD公式)'!A25="","",'实盘净值数据(iFinD公式)'!A25)</f>
        <v/>
      </c>
      <c r="B25" s="61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/>
      </c>
      <c r="C25" s="7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/>
      </c>
      <c r="D25" s="7">
        <f>IF(B25="","",B25/MAX(B$5:B25)-1)</f>
        <v/>
      </c>
      <c r="E25" s="61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/>
      </c>
      <c r="F25" s="7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/>
      </c>
      <c r="G25" s="7">
        <f>IF(E25="","",E25/MAX(E$5:E25)-1)</f>
        <v/>
      </c>
      <c r="H25" s="61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/>
      </c>
      <c r="I25" s="7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/>
      </c>
      <c r="J25" s="7">
        <f>IF(H25="","",H25/MAX(H$5:H25)-1)</f>
        <v/>
      </c>
      <c r="K25" s="61">
        <f>IF(OR('实盘净值数据(iFinD公式)'!$A25="",'实盘净值数据(iFinD公式)'!$B25=""),"",分期持仓明细!$AB$9*SUMPRODUCT(分期持仓明细!$B$9:$Y$9,'实盘净值数据(iFinD公式)'!$B25:$Y25/'实盘净值数据(iFinD公式)'!$B$13:$Y$13)*(1-实盘持仓配置!$Z$7)^(('实盘净值数据(iFinD公式)'!$A25-'实盘净值数据(iFinD公式)'!$A$8)/365))</f>
        <v/>
      </c>
      <c r="L25" s="7">
        <f>IF(OR(K24="",K25=""),"",K25/K24-1)</f>
        <v/>
      </c>
      <c r="M25" s="7">
        <f>IF(K25="","",K25/MAX(K$5:K25)-1)</f>
        <v/>
      </c>
      <c r="N25" s="61">
        <f>IF(OR('实盘净值数据(iFinD公式)'!$A25="",'实盘净值数据(iFinD公式)'!$B25=""),"",分期持仓明细!$AB$11*SUMPRODUCT(分期持仓明细!$B$11:$Y$11,'实盘净值数据(iFinD公式)'!$B25:$Y25/'实盘净值数据(iFinD公式)'!$B$13:$Y$13)*(1-实盘持仓配置!$Z$8)^(('实盘净值数据(iFinD公式)'!$A25-'实盘净值数据(iFinD公式)'!$A$5)/365))</f>
        <v/>
      </c>
      <c r="O25" s="7">
        <f>IF(OR(N24="",N25=""),"",N25/N24-1)</f>
        <v/>
      </c>
      <c r="P25" s="7">
        <f>IF(N25="","",N25/MAX(N$5:N25)-1)</f>
        <v/>
      </c>
      <c r="Q25" s="61">
        <f>IF(OR('实盘净值数据(iFinD公式)'!$A25="",'实盘净值数据(iFinD公式)'!$B25=""),"",分期持仓明细!$AB$13*SUMPRODUCT(分期持仓明细!$B$13:$Y$13,'实盘净值数据(iFinD公式)'!$B25:$Y25/'实盘净值数据(iFinD公式)'!$B$13:$Y$13)*(1-实盘持仓配置!$Z$9)^(('实盘净值数据(iFinD公式)'!$A25-'实盘净值数据(iFinD公式)'!$A$8)/365))</f>
        <v/>
      </c>
      <c r="R25" s="7">
        <f>IF(OR(Q24="",Q25=""),"",Q25/Q24-1)</f>
        <v/>
      </c>
      <c r="S25" s="7">
        <f>IF(Q25="","",Q25/MAX(Q$5:Q25)-1)</f>
        <v/>
      </c>
    </row>
    <row r="26">
      <c r="A26" s="62">
        <f>IF('实盘净值数据(iFinD公式)'!A26="","",'实盘净值数据(iFinD公式)'!A26)</f>
        <v/>
      </c>
      <c r="B26" s="61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/>
      </c>
      <c r="C26" s="7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/>
      </c>
      <c r="D26" s="7">
        <f>IF(B26="","",B26/MAX(B$5:B26)-1)</f>
        <v/>
      </c>
      <c r="E26" s="61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/>
      </c>
      <c r="F26" s="7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/>
      </c>
      <c r="G26" s="7">
        <f>IF(E26="","",E26/MAX(E$5:E26)-1)</f>
        <v/>
      </c>
      <c r="H26" s="61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/>
      </c>
      <c r="I26" s="7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/>
      </c>
      <c r="J26" s="7">
        <f>IF(H26="","",H26/MAX(H$5:H26)-1)</f>
        <v/>
      </c>
      <c r="K26" s="61">
        <f>IF(OR('实盘净值数据(iFinD公式)'!$A26="",'实盘净值数据(iFinD公式)'!$B26=""),"",分期持仓明细!$AB$9*SUMPRODUCT(分期持仓明细!$B$9:$Y$9,'实盘净值数据(iFinD公式)'!$B26:$Y26/'实盘净值数据(iFinD公式)'!$B$13:$Y$13)*(1-实盘持仓配置!$Z$7)^(('实盘净值数据(iFinD公式)'!$A26-'实盘净值数据(iFinD公式)'!$A$8)/365))</f>
        <v/>
      </c>
      <c r="L26" s="7">
        <f>IF(OR(K25="",K26=""),"",K26/K25-1)</f>
        <v/>
      </c>
      <c r="M26" s="7">
        <f>IF(K26="","",K26/MAX(K$5:K26)-1)</f>
        <v/>
      </c>
      <c r="N26" s="61">
        <f>IF(OR('实盘净值数据(iFinD公式)'!$A26="",'实盘净值数据(iFinD公式)'!$B26=""),"",分期持仓明细!$AB$11*SUMPRODUCT(分期持仓明细!$B$11:$Y$11,'实盘净值数据(iFinD公式)'!$B26:$Y26/'实盘净值数据(iFinD公式)'!$B$13:$Y$13)*(1-实盘持仓配置!$Z$8)^(('实盘净值数据(iFinD公式)'!$A26-'实盘净值数据(iFinD公式)'!$A$5)/365))</f>
        <v/>
      </c>
      <c r="O26" s="7">
        <f>IF(OR(N25="",N26=""),"",N26/N25-1)</f>
        <v/>
      </c>
      <c r="P26" s="7">
        <f>IF(N26="","",N26/MAX(N$5:N26)-1)</f>
        <v/>
      </c>
      <c r="Q26" s="61">
        <f>IF(OR('实盘净值数据(iFinD公式)'!$A26="",'实盘净值数据(iFinD公式)'!$B26=""),"",分期持仓明细!$AB$13*SUMPRODUCT(分期持仓明细!$B$13:$Y$13,'实盘净值数据(iFinD公式)'!$B26:$Y26/'实盘净值数据(iFinD公式)'!$B$13:$Y$13)*(1-实盘持仓配置!$Z$9)^(('实盘净值数据(iFinD公式)'!$A26-'实盘净值数据(iFinD公式)'!$A$8)/365))</f>
        <v/>
      </c>
      <c r="R26" s="7">
        <f>IF(OR(Q25="",Q26=""),"",Q26/Q25-1)</f>
        <v/>
      </c>
      <c r="S26" s="7">
        <f>IF(Q26="","",Q26/MAX(Q$5:Q26)-1)</f>
        <v/>
      </c>
    </row>
    <row r="27">
      <c r="A27" s="62">
        <f>IF('实盘净值数据(iFinD公式)'!A27="","",'实盘净值数据(iFinD公式)'!A27)</f>
        <v/>
      </c>
      <c r="B27" s="61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/>
      </c>
      <c r="C27" s="7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/>
      </c>
      <c r="D27" s="7">
        <f>IF(B27="","",B27/MAX(B$5:B27)-1)</f>
        <v/>
      </c>
      <c r="E27" s="61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/>
      </c>
      <c r="F27" s="7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/>
      </c>
      <c r="G27" s="7">
        <f>IF(E27="","",E27/MAX(E$5:E27)-1)</f>
        <v/>
      </c>
      <c r="H27" s="61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/>
      </c>
      <c r="I27" s="7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/>
      </c>
      <c r="J27" s="7">
        <f>IF(H27="","",H27/MAX(H$5:H27)-1)</f>
        <v/>
      </c>
      <c r="K27" s="61">
        <f>IF(OR('实盘净值数据(iFinD公式)'!$A27="",'实盘净值数据(iFinD公式)'!$B27=""),"",分期持仓明细!$AB$9*SUMPRODUCT(分期持仓明细!$B$9:$Y$9,'实盘净值数据(iFinD公式)'!$B27:$Y27/'实盘净值数据(iFinD公式)'!$B$13:$Y$13)*(1-实盘持仓配置!$Z$7)^(('实盘净值数据(iFinD公式)'!$A27-'实盘净值数据(iFinD公式)'!$A$8)/365))</f>
        <v/>
      </c>
      <c r="L27" s="7">
        <f>IF(OR(K26="",K27=""),"",K27/K26-1)</f>
        <v/>
      </c>
      <c r="M27" s="7">
        <f>IF(K27="","",K27/MAX(K$5:K27)-1)</f>
        <v/>
      </c>
      <c r="N27" s="61">
        <f>IF(OR('实盘净值数据(iFinD公式)'!$A27="",'实盘净值数据(iFinD公式)'!$B27=""),"",分期持仓明细!$AB$11*SUMPRODUCT(分期持仓明细!$B$11:$Y$11,'实盘净值数据(iFinD公式)'!$B27:$Y27/'实盘净值数据(iFinD公式)'!$B$13:$Y$13)*(1-实盘持仓配置!$Z$8)^(('实盘净值数据(iFinD公式)'!$A27-'实盘净值数据(iFinD公式)'!$A$5)/365))</f>
        <v/>
      </c>
      <c r="O27" s="7">
        <f>IF(OR(N26="",N27=""),"",N27/N26-1)</f>
        <v/>
      </c>
      <c r="P27" s="7">
        <f>IF(N27="","",N27/MAX(N$5:N27)-1)</f>
        <v/>
      </c>
      <c r="Q27" s="61">
        <f>IF(OR('实盘净值数据(iFinD公式)'!$A27="",'实盘净值数据(iFinD公式)'!$B27=""),"",分期持仓明细!$AB$13*SUMPRODUCT(分期持仓明细!$B$13:$Y$13,'实盘净值数据(iFinD公式)'!$B27:$Y27/'实盘净值数据(iFinD公式)'!$B$13:$Y$13)*(1-实盘持仓配置!$Z$9)^(('实盘净值数据(iFinD公式)'!$A27-'实盘净值数据(iFinD公式)'!$A$8)/365))</f>
        <v/>
      </c>
      <c r="R27" s="7">
        <f>IF(OR(Q26="",Q27=""),"",Q27/Q26-1)</f>
        <v/>
      </c>
      <c r="S27" s="7">
        <f>IF(Q27="","",Q27/MAX(Q$5:Q27)-1)</f>
        <v/>
      </c>
    </row>
    <row r="28">
      <c r="A28" s="62">
        <f>IF('实盘净值数据(iFinD公式)'!A28="","",'实盘净值数据(iFinD公式)'!A28)</f>
        <v/>
      </c>
      <c r="B28" s="61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/>
      </c>
      <c r="C28" s="7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/>
      </c>
      <c r="D28" s="7">
        <f>IF(B28="","",B28/MAX(B$5:B28)-1)</f>
        <v/>
      </c>
      <c r="E28" s="61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/>
      </c>
      <c r="F28" s="7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/>
      </c>
      <c r="G28" s="7">
        <f>IF(E28="","",E28/MAX(E$5:E28)-1)</f>
        <v/>
      </c>
      <c r="H28" s="61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/>
      </c>
      <c r="I28" s="7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/>
      </c>
      <c r="J28" s="7">
        <f>IF(H28="","",H28/MAX(H$5:H28)-1)</f>
        <v/>
      </c>
      <c r="K28" s="61">
        <f>IF(OR('实盘净值数据(iFinD公式)'!$A28="",'实盘净值数据(iFinD公式)'!$B28=""),"",分期持仓明细!$AB$9*SUMPRODUCT(分期持仓明细!$B$9:$Y$9,'实盘净值数据(iFinD公式)'!$B28:$Y28/'实盘净值数据(iFinD公式)'!$B$13:$Y$13)*(1-实盘持仓配置!$Z$7)^(('实盘净值数据(iFinD公式)'!$A28-'实盘净值数据(iFinD公式)'!$A$8)/365))</f>
        <v/>
      </c>
      <c r="L28" s="7">
        <f>IF(OR(K27="",K28=""),"",K28/K27-1)</f>
        <v/>
      </c>
      <c r="M28" s="7">
        <f>IF(K28="","",K28/MAX(K$5:K28)-1)</f>
        <v/>
      </c>
      <c r="N28" s="61">
        <f>IF(OR('实盘净值数据(iFinD公式)'!$A28="",'实盘净值数据(iFinD公式)'!$B28=""),"",分期持仓明细!$AB$11*SUMPRODUCT(分期持仓明细!$B$11:$Y$11,'实盘净值数据(iFinD公式)'!$B28:$Y28/'实盘净值数据(iFinD公式)'!$B$13:$Y$13)*(1-实盘持仓配置!$Z$8)^(('实盘净值数据(iFinD公式)'!$A28-'实盘净值数据(iFinD公式)'!$A$5)/365))</f>
        <v/>
      </c>
      <c r="O28" s="7">
        <f>IF(OR(N27="",N28=""),"",N28/N27-1)</f>
        <v/>
      </c>
      <c r="P28" s="7">
        <f>IF(N28="","",N28/MAX(N$5:N28)-1)</f>
        <v/>
      </c>
      <c r="Q28" s="61">
        <f>IF(OR('实盘净值数据(iFinD公式)'!$A28="",'实盘净值数据(iFinD公式)'!$B28=""),"",分期持仓明细!$AB$13*SUMPRODUCT(分期持仓明细!$B$13:$Y$13,'实盘净值数据(iFinD公式)'!$B28:$Y28/'实盘净值数据(iFinD公式)'!$B$13:$Y$13)*(1-实盘持仓配置!$Z$9)^(('实盘净值数据(iFinD公式)'!$A28-'实盘净值数据(iFinD公式)'!$A$8)/365))</f>
        <v/>
      </c>
      <c r="R28" s="7">
        <f>IF(OR(Q27="",Q28=""),"",Q28/Q27-1)</f>
        <v/>
      </c>
      <c r="S28" s="7">
        <f>IF(Q28="","",Q28/MAX(Q$5:Q28)-1)</f>
        <v/>
      </c>
    </row>
    <row r="29">
      <c r="A29" s="62">
        <f>IF('实盘净值数据(iFinD公式)'!A29="","",'实盘净值数据(iFinD公式)'!A29)</f>
        <v/>
      </c>
      <c r="B29" s="61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/>
      </c>
      <c r="C29" s="7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/>
      </c>
      <c r="D29" s="7">
        <f>IF(B29="","",B29/MAX(B$5:B29)-1)</f>
        <v/>
      </c>
      <c r="E29" s="61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/>
      </c>
      <c r="F29" s="7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/>
      </c>
      <c r="G29" s="7">
        <f>IF(E29="","",E29/MAX(E$5:E29)-1)</f>
        <v/>
      </c>
      <c r="H29" s="61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/>
      </c>
      <c r="I29" s="7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/>
      </c>
      <c r="J29" s="7">
        <f>IF(H29="","",H29/MAX(H$5:H29)-1)</f>
        <v/>
      </c>
      <c r="K29" s="61">
        <f>IF(OR('实盘净值数据(iFinD公式)'!$A29="",'实盘净值数据(iFinD公式)'!$B29=""),"",分期持仓明细!$AB$9*SUMPRODUCT(分期持仓明细!$B$9:$Y$9,'实盘净值数据(iFinD公式)'!$B29:$Y29/'实盘净值数据(iFinD公式)'!$B$13:$Y$13)*(1-实盘持仓配置!$Z$7)^(('实盘净值数据(iFinD公式)'!$A29-'实盘净值数据(iFinD公式)'!$A$8)/365))</f>
        <v/>
      </c>
      <c r="L29" s="7">
        <f>IF(OR(K28="",K29=""),"",K29/K28-1)</f>
        <v/>
      </c>
      <c r="M29" s="7">
        <f>IF(K29="","",K29/MAX(K$5:K29)-1)</f>
        <v/>
      </c>
      <c r="N29" s="61">
        <f>IF(OR('实盘净值数据(iFinD公式)'!$A29="",'实盘净值数据(iFinD公式)'!$B29=""),"",分期持仓明细!$AB$11*SUMPRODUCT(分期持仓明细!$B$11:$Y$11,'实盘净值数据(iFinD公式)'!$B29:$Y29/'实盘净值数据(iFinD公式)'!$B$13:$Y$13)*(1-实盘持仓配置!$Z$8)^(('实盘净值数据(iFinD公式)'!$A29-'实盘净值数据(iFinD公式)'!$A$5)/365))</f>
        <v/>
      </c>
      <c r="O29" s="7">
        <f>IF(OR(N28="",N29=""),"",N29/N28-1)</f>
        <v/>
      </c>
      <c r="P29" s="7">
        <f>IF(N29="","",N29/MAX(N$5:N29)-1)</f>
        <v/>
      </c>
      <c r="Q29" s="61">
        <f>IF(OR('实盘净值数据(iFinD公式)'!$A29="",'实盘净值数据(iFinD公式)'!$B29=""),"",分期持仓明细!$AB$13*SUMPRODUCT(分期持仓明细!$B$13:$Y$13,'实盘净值数据(iFinD公式)'!$B29:$Y29/'实盘净值数据(iFinD公式)'!$B$13:$Y$13)*(1-实盘持仓配置!$Z$9)^(('实盘净值数据(iFinD公式)'!$A29-'实盘净值数据(iFinD公式)'!$A$8)/365))</f>
        <v/>
      </c>
      <c r="R29" s="7">
        <f>IF(OR(Q28="",Q29=""),"",Q29/Q28-1)</f>
        <v/>
      </c>
      <c r="S29" s="7">
        <f>IF(Q29="","",Q29/MAX(Q$5:Q29)-1)</f>
        <v/>
      </c>
    </row>
    <row r="30">
      <c r="A30" s="62">
        <f>IF('实盘净值数据(iFinD公式)'!A30="","",'实盘净值数据(iFinD公式)'!A30)</f>
        <v/>
      </c>
      <c r="B30" s="61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/>
      </c>
      <c r="C30" s="7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/>
      </c>
      <c r="D30" s="7">
        <f>IF(B30="","",B30/MAX(B$5:B30)-1)</f>
        <v/>
      </c>
      <c r="E30" s="61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/>
      </c>
      <c r="F30" s="7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/>
      </c>
      <c r="G30" s="7">
        <f>IF(E30="","",E30/MAX(E$5:E30)-1)</f>
        <v/>
      </c>
      <c r="H30" s="61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/>
      </c>
      <c r="I30" s="7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/>
      </c>
      <c r="J30" s="7">
        <f>IF(H30="","",H30/MAX(H$5:H30)-1)</f>
        <v/>
      </c>
      <c r="K30" s="61">
        <f>IF(OR('实盘净值数据(iFinD公式)'!$A30="",'实盘净值数据(iFinD公式)'!$B30=""),"",分期持仓明细!$AB$9*SUMPRODUCT(分期持仓明细!$B$9:$Y$9,'实盘净值数据(iFinD公式)'!$B30:$Y30/'实盘净值数据(iFinD公式)'!$B$13:$Y$13)*(1-实盘持仓配置!$Z$7)^(('实盘净值数据(iFinD公式)'!$A30-'实盘净值数据(iFinD公式)'!$A$8)/365))</f>
        <v/>
      </c>
      <c r="L30" s="7">
        <f>IF(OR(K29="",K30=""),"",K30/K29-1)</f>
        <v/>
      </c>
      <c r="M30" s="7">
        <f>IF(K30="","",K30/MAX(K$5:K30)-1)</f>
        <v/>
      </c>
      <c r="N30" s="61">
        <f>IF(OR('实盘净值数据(iFinD公式)'!$A30="",'实盘净值数据(iFinD公式)'!$B30=""),"",分期持仓明细!$AB$11*SUMPRODUCT(分期持仓明细!$B$11:$Y$11,'实盘净值数据(iFinD公式)'!$B30:$Y30/'实盘净值数据(iFinD公式)'!$B$13:$Y$13)*(1-实盘持仓配置!$Z$8)^(('实盘净值数据(iFinD公式)'!$A30-'实盘净值数据(iFinD公式)'!$A$5)/365))</f>
        <v/>
      </c>
      <c r="O30" s="7">
        <f>IF(OR(N29="",N30=""),"",N30/N29-1)</f>
        <v/>
      </c>
      <c r="P30" s="7">
        <f>IF(N30="","",N30/MAX(N$5:N30)-1)</f>
        <v/>
      </c>
      <c r="Q30" s="61">
        <f>IF(OR('实盘净值数据(iFinD公式)'!$A30="",'实盘净值数据(iFinD公式)'!$B30=""),"",分期持仓明细!$AB$13*SUMPRODUCT(分期持仓明细!$B$13:$Y$13,'实盘净值数据(iFinD公式)'!$B30:$Y30/'实盘净值数据(iFinD公式)'!$B$13:$Y$13)*(1-实盘持仓配置!$Z$9)^(('实盘净值数据(iFinD公式)'!$A30-'实盘净值数据(iFinD公式)'!$A$8)/365))</f>
        <v/>
      </c>
      <c r="R30" s="7">
        <f>IF(OR(Q29="",Q30=""),"",Q30/Q29-1)</f>
        <v/>
      </c>
      <c r="S30" s="7">
        <f>IF(Q30="","",Q30/MAX(Q$5:Q30)-1)</f>
        <v/>
      </c>
    </row>
    <row r="31">
      <c r="A31" s="62">
        <f>IF('实盘净值数据(iFinD公式)'!A31="","",'实盘净值数据(iFinD公式)'!A31)</f>
        <v/>
      </c>
      <c r="B31" s="61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/>
      </c>
      <c r="C31" s="7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/>
      </c>
      <c r="D31" s="7">
        <f>IF(B31="","",B31/MAX(B$5:B31)-1)</f>
        <v/>
      </c>
      <c r="E31" s="61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/>
      </c>
      <c r="F31" s="7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/>
      </c>
      <c r="G31" s="7">
        <f>IF(E31="","",E31/MAX(E$5:E31)-1)</f>
        <v/>
      </c>
      <c r="H31" s="61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/>
      </c>
      <c r="I31" s="7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/>
      </c>
      <c r="J31" s="7">
        <f>IF(H31="","",H31/MAX(H$5:H31)-1)</f>
        <v/>
      </c>
      <c r="K31" s="61">
        <f>IF(OR('实盘净值数据(iFinD公式)'!$A31="",'实盘净值数据(iFinD公式)'!$B31=""),"",分期持仓明细!$AB$9*SUMPRODUCT(分期持仓明细!$B$9:$Y$9,'实盘净值数据(iFinD公式)'!$B31:$Y31/'实盘净值数据(iFinD公式)'!$B$13:$Y$13)*(1-实盘持仓配置!$Z$7)^(('实盘净值数据(iFinD公式)'!$A31-'实盘净值数据(iFinD公式)'!$A$8)/365))</f>
        <v/>
      </c>
      <c r="L31" s="7">
        <f>IF(OR(K30="",K31=""),"",K31/K30-1)</f>
        <v/>
      </c>
      <c r="M31" s="7">
        <f>IF(K31="","",K31/MAX(K$5:K31)-1)</f>
        <v/>
      </c>
      <c r="N31" s="61">
        <f>IF(OR('实盘净值数据(iFinD公式)'!$A31="",'实盘净值数据(iFinD公式)'!$B31=""),"",分期持仓明细!$AB$11*SUMPRODUCT(分期持仓明细!$B$11:$Y$11,'实盘净值数据(iFinD公式)'!$B31:$Y31/'实盘净值数据(iFinD公式)'!$B$13:$Y$13)*(1-实盘持仓配置!$Z$8)^(('实盘净值数据(iFinD公式)'!$A31-'实盘净值数据(iFinD公式)'!$A$5)/365))</f>
        <v/>
      </c>
      <c r="O31" s="7">
        <f>IF(OR(N30="",N31=""),"",N31/N30-1)</f>
        <v/>
      </c>
      <c r="P31" s="7">
        <f>IF(N31="","",N31/MAX(N$5:N31)-1)</f>
        <v/>
      </c>
      <c r="Q31" s="61">
        <f>IF(OR('实盘净值数据(iFinD公式)'!$A31="",'实盘净值数据(iFinD公式)'!$B31=""),"",分期持仓明细!$AB$13*SUMPRODUCT(分期持仓明细!$B$13:$Y$13,'实盘净值数据(iFinD公式)'!$B31:$Y31/'实盘净值数据(iFinD公式)'!$B$13:$Y$13)*(1-实盘持仓配置!$Z$9)^(('实盘净值数据(iFinD公式)'!$A31-'实盘净值数据(iFinD公式)'!$A$8)/365))</f>
        <v/>
      </c>
      <c r="R31" s="7">
        <f>IF(OR(Q30="",Q31=""),"",Q31/Q30-1)</f>
        <v/>
      </c>
      <c r="S31" s="7">
        <f>IF(Q31="","",Q31/MAX(Q$5:Q31)-1)</f>
        <v/>
      </c>
    </row>
    <row r="32">
      <c r="A32" s="62">
        <f>IF('实盘净值数据(iFinD公式)'!A32="","",'实盘净值数据(iFinD公式)'!A32)</f>
        <v/>
      </c>
      <c r="B32" s="61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/>
      </c>
      <c r="C32" s="7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/>
      </c>
      <c r="D32" s="7">
        <f>IF(B32="","",B32/MAX(B$5:B32)-1)</f>
        <v/>
      </c>
      <c r="E32" s="61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/>
      </c>
      <c r="F32" s="7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/>
      </c>
      <c r="G32" s="7">
        <f>IF(E32="","",E32/MAX(E$5:E32)-1)</f>
        <v/>
      </c>
      <c r="H32" s="61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/>
      </c>
      <c r="I32" s="7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/>
      </c>
      <c r="J32" s="7">
        <f>IF(H32="","",H32/MAX(H$5:H32)-1)</f>
        <v/>
      </c>
      <c r="K32" s="61">
        <f>IF(OR('实盘净值数据(iFinD公式)'!$A32="",'实盘净值数据(iFinD公式)'!$B32=""),"",分期持仓明细!$AB$9*SUMPRODUCT(分期持仓明细!$B$9:$Y$9,'实盘净值数据(iFinD公式)'!$B32:$Y32/'实盘净值数据(iFinD公式)'!$B$13:$Y$13)*(1-实盘持仓配置!$Z$7)^(('实盘净值数据(iFinD公式)'!$A32-'实盘净值数据(iFinD公式)'!$A$8)/365))</f>
        <v/>
      </c>
      <c r="L32" s="7">
        <f>IF(OR(K31="",K32=""),"",K32/K31-1)</f>
        <v/>
      </c>
      <c r="M32" s="7">
        <f>IF(K32="","",K32/MAX(K$5:K32)-1)</f>
        <v/>
      </c>
      <c r="N32" s="61">
        <f>IF(OR('实盘净值数据(iFinD公式)'!$A32="",'实盘净值数据(iFinD公式)'!$B32=""),"",分期持仓明细!$AB$11*SUMPRODUCT(分期持仓明细!$B$11:$Y$11,'实盘净值数据(iFinD公式)'!$B32:$Y32/'实盘净值数据(iFinD公式)'!$B$13:$Y$13)*(1-实盘持仓配置!$Z$8)^(('实盘净值数据(iFinD公式)'!$A32-'实盘净值数据(iFinD公式)'!$A$5)/365))</f>
        <v/>
      </c>
      <c r="O32" s="7">
        <f>IF(OR(N31="",N32=""),"",N32/N31-1)</f>
        <v/>
      </c>
      <c r="P32" s="7">
        <f>IF(N32="","",N32/MAX(N$5:N32)-1)</f>
        <v/>
      </c>
      <c r="Q32" s="61">
        <f>IF(OR('实盘净值数据(iFinD公式)'!$A32="",'实盘净值数据(iFinD公式)'!$B32=""),"",分期持仓明细!$AB$13*SUMPRODUCT(分期持仓明细!$B$13:$Y$13,'实盘净值数据(iFinD公式)'!$B32:$Y32/'实盘净值数据(iFinD公式)'!$B$13:$Y$13)*(1-实盘持仓配置!$Z$9)^(('实盘净值数据(iFinD公式)'!$A32-'实盘净值数据(iFinD公式)'!$A$8)/365))</f>
        <v/>
      </c>
      <c r="R32" s="7">
        <f>IF(OR(Q31="",Q32=""),"",Q32/Q31-1)</f>
        <v/>
      </c>
      <c r="S32" s="7">
        <f>IF(Q32="","",Q32/MAX(Q$5:Q32)-1)</f>
        <v/>
      </c>
    </row>
    <row r="33">
      <c r="A33" s="62">
        <f>IF('实盘净值数据(iFinD公式)'!A33="","",'实盘净值数据(iFinD公式)'!A33)</f>
        <v/>
      </c>
      <c r="B33" s="61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/>
      </c>
      <c r="C33" s="7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/>
      </c>
      <c r="D33" s="7">
        <f>IF(B33="","",B33/MAX(B$5:B33)-1)</f>
        <v/>
      </c>
      <c r="E33" s="61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/>
      </c>
      <c r="F33" s="7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/>
      </c>
      <c r="G33" s="7">
        <f>IF(E33="","",E33/MAX(E$5:E33)-1)</f>
        <v/>
      </c>
      <c r="H33" s="61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/>
      </c>
      <c r="I33" s="7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/>
      </c>
      <c r="J33" s="7">
        <f>IF(H33="","",H33/MAX(H$5:H33)-1)</f>
        <v/>
      </c>
      <c r="K33" s="61">
        <f>IF(OR('实盘净值数据(iFinD公式)'!$A33="",'实盘净值数据(iFinD公式)'!$B33=""),"",分期持仓明细!$AB$9*SUMPRODUCT(分期持仓明细!$B$9:$Y$9,'实盘净值数据(iFinD公式)'!$B33:$Y33/'实盘净值数据(iFinD公式)'!$B$13:$Y$13)*(1-实盘持仓配置!$Z$7)^(('实盘净值数据(iFinD公式)'!$A33-'实盘净值数据(iFinD公式)'!$A$8)/365))</f>
        <v/>
      </c>
      <c r="L33" s="7">
        <f>IF(OR(K32="",K33=""),"",K33/K32-1)</f>
        <v/>
      </c>
      <c r="M33" s="7">
        <f>IF(K33="","",K33/MAX(K$5:K33)-1)</f>
        <v/>
      </c>
      <c r="N33" s="61">
        <f>IF(OR('实盘净值数据(iFinD公式)'!$A33="",'实盘净值数据(iFinD公式)'!$B33=""),"",分期持仓明细!$AB$11*SUMPRODUCT(分期持仓明细!$B$11:$Y$11,'实盘净值数据(iFinD公式)'!$B33:$Y33/'实盘净值数据(iFinD公式)'!$B$13:$Y$13)*(1-实盘持仓配置!$Z$8)^(('实盘净值数据(iFinD公式)'!$A33-'实盘净值数据(iFinD公式)'!$A$5)/365))</f>
        <v/>
      </c>
      <c r="O33" s="7">
        <f>IF(OR(N32="",N33=""),"",N33/N32-1)</f>
        <v/>
      </c>
      <c r="P33" s="7">
        <f>IF(N33="","",N33/MAX(N$5:N33)-1)</f>
        <v/>
      </c>
      <c r="Q33" s="61">
        <f>IF(OR('实盘净值数据(iFinD公式)'!$A33="",'实盘净值数据(iFinD公式)'!$B33=""),"",分期持仓明细!$AB$13*SUMPRODUCT(分期持仓明细!$B$13:$Y$13,'实盘净值数据(iFinD公式)'!$B33:$Y33/'实盘净值数据(iFinD公式)'!$B$13:$Y$13)*(1-实盘持仓配置!$Z$9)^(('实盘净值数据(iFinD公式)'!$A33-'实盘净值数据(iFinD公式)'!$A$8)/365))</f>
        <v/>
      </c>
      <c r="R33" s="7">
        <f>IF(OR(Q32="",Q33=""),"",Q33/Q32-1)</f>
        <v/>
      </c>
      <c r="S33" s="7">
        <f>IF(Q33="","",Q33/MAX(Q$5:Q33)-1)</f>
        <v/>
      </c>
    </row>
    <row r="34">
      <c r="A34" s="62">
        <f>IF('实盘净值数据(iFinD公式)'!A34="","",'实盘净值数据(iFinD公式)'!A34)</f>
        <v/>
      </c>
      <c r="B34" s="61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/>
      </c>
      <c r="C34" s="7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/>
      </c>
      <c r="D34" s="7">
        <f>IF(B34="","",B34/MAX(B$5:B34)-1)</f>
        <v/>
      </c>
      <c r="E34" s="61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/>
      </c>
      <c r="F34" s="7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/>
      </c>
      <c r="G34" s="7">
        <f>IF(E34="","",E34/MAX(E$5:E34)-1)</f>
        <v/>
      </c>
      <c r="H34" s="61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/>
      </c>
      <c r="I34" s="7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/>
      </c>
      <c r="J34" s="7">
        <f>IF(H34="","",H34/MAX(H$5:H34)-1)</f>
        <v/>
      </c>
      <c r="K34" s="61">
        <f>IF(OR('实盘净值数据(iFinD公式)'!$A34="",'实盘净值数据(iFinD公式)'!$B34=""),"",分期持仓明细!$AB$9*SUMPRODUCT(分期持仓明细!$B$9:$Y$9,'实盘净值数据(iFinD公式)'!$B34:$Y34/'实盘净值数据(iFinD公式)'!$B$13:$Y$13)*(1-实盘持仓配置!$Z$7)^(('实盘净值数据(iFinD公式)'!$A34-'实盘净值数据(iFinD公式)'!$A$8)/365))</f>
        <v/>
      </c>
      <c r="L34" s="7">
        <f>IF(OR(K33="",K34=""),"",K34/K33-1)</f>
        <v/>
      </c>
      <c r="M34" s="7">
        <f>IF(K34="","",K34/MAX(K$5:K34)-1)</f>
        <v/>
      </c>
      <c r="N34" s="61">
        <f>IF(OR('实盘净值数据(iFinD公式)'!$A34="",'实盘净值数据(iFinD公式)'!$B34=""),"",分期持仓明细!$AB$11*SUMPRODUCT(分期持仓明细!$B$11:$Y$11,'实盘净值数据(iFinD公式)'!$B34:$Y34/'实盘净值数据(iFinD公式)'!$B$13:$Y$13)*(1-实盘持仓配置!$Z$8)^(('实盘净值数据(iFinD公式)'!$A34-'实盘净值数据(iFinD公式)'!$A$5)/365))</f>
        <v/>
      </c>
      <c r="O34" s="7">
        <f>IF(OR(N33="",N34=""),"",N34/N33-1)</f>
        <v/>
      </c>
      <c r="P34" s="7">
        <f>IF(N34="","",N34/MAX(N$5:N34)-1)</f>
        <v/>
      </c>
      <c r="Q34" s="61">
        <f>IF(OR('实盘净值数据(iFinD公式)'!$A34="",'实盘净值数据(iFinD公式)'!$B34=""),"",分期持仓明细!$AB$13*SUMPRODUCT(分期持仓明细!$B$13:$Y$13,'实盘净值数据(iFinD公式)'!$B34:$Y34/'实盘净值数据(iFinD公式)'!$B$13:$Y$13)*(1-实盘持仓配置!$Z$9)^(('实盘净值数据(iFinD公式)'!$A34-'实盘净值数据(iFinD公式)'!$A$8)/365))</f>
        <v/>
      </c>
      <c r="R34" s="7">
        <f>IF(OR(Q33="",Q34=""),"",Q34/Q33-1)</f>
        <v/>
      </c>
      <c r="S34" s="7">
        <f>IF(Q34="","",Q34/MAX(Q$5:Q34)-1)</f>
        <v/>
      </c>
    </row>
    <row r="35">
      <c r="A35" s="62">
        <f>IF('实盘净值数据(iFinD公式)'!A35="","",'实盘净值数据(iFinD公式)'!A35)</f>
        <v/>
      </c>
      <c r="B35" s="61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/>
      </c>
      <c r="C35" s="7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/>
      </c>
      <c r="D35" s="7">
        <f>IF(B35="","",B35/MAX(B$5:B35)-1)</f>
        <v/>
      </c>
      <c r="E35" s="61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/>
      </c>
      <c r="F35" s="7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/>
      </c>
      <c r="G35" s="7">
        <f>IF(E35="","",E35/MAX(E$5:E35)-1)</f>
        <v/>
      </c>
      <c r="H35" s="61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/>
      </c>
      <c r="I35" s="7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/>
      </c>
      <c r="J35" s="7">
        <f>IF(H35="","",H35/MAX(H$5:H35)-1)</f>
        <v/>
      </c>
      <c r="K35" s="61">
        <f>IF(OR('实盘净值数据(iFinD公式)'!$A35="",'实盘净值数据(iFinD公式)'!$B35=""),"",分期持仓明细!$AB$9*SUMPRODUCT(分期持仓明细!$B$9:$Y$9,'实盘净值数据(iFinD公式)'!$B35:$Y35/'实盘净值数据(iFinD公式)'!$B$13:$Y$13)*(1-实盘持仓配置!$Z$7)^(('实盘净值数据(iFinD公式)'!$A35-'实盘净值数据(iFinD公式)'!$A$8)/365))</f>
        <v/>
      </c>
      <c r="L35" s="7">
        <f>IF(OR(K34="",K35=""),"",K35/K34-1)</f>
        <v/>
      </c>
      <c r="M35" s="7">
        <f>IF(K35="","",K35/MAX(K$5:K35)-1)</f>
        <v/>
      </c>
      <c r="N35" s="61">
        <f>IF(OR('实盘净值数据(iFinD公式)'!$A35="",'实盘净值数据(iFinD公式)'!$B35=""),"",分期持仓明细!$AB$11*SUMPRODUCT(分期持仓明细!$B$11:$Y$11,'实盘净值数据(iFinD公式)'!$B35:$Y35/'实盘净值数据(iFinD公式)'!$B$13:$Y$13)*(1-实盘持仓配置!$Z$8)^(('实盘净值数据(iFinD公式)'!$A35-'实盘净值数据(iFinD公式)'!$A$5)/365))</f>
        <v/>
      </c>
      <c r="O35" s="7">
        <f>IF(OR(N34="",N35=""),"",N35/N34-1)</f>
        <v/>
      </c>
      <c r="P35" s="7">
        <f>IF(N35="","",N35/MAX(N$5:N35)-1)</f>
        <v/>
      </c>
      <c r="Q35" s="61">
        <f>IF(OR('实盘净值数据(iFinD公式)'!$A35="",'实盘净值数据(iFinD公式)'!$B35=""),"",分期持仓明细!$AB$13*SUMPRODUCT(分期持仓明细!$B$13:$Y$13,'实盘净值数据(iFinD公式)'!$B35:$Y35/'实盘净值数据(iFinD公式)'!$B$13:$Y$13)*(1-实盘持仓配置!$Z$9)^(('实盘净值数据(iFinD公式)'!$A35-'实盘净值数据(iFinD公式)'!$A$8)/365))</f>
        <v/>
      </c>
      <c r="R35" s="7">
        <f>IF(OR(Q34="",Q35=""),"",Q35/Q34-1)</f>
        <v/>
      </c>
      <c r="S35" s="7">
        <f>IF(Q35="","",Q35/MAX(Q$5:Q35)-1)</f>
        <v/>
      </c>
    </row>
    <row r="36">
      <c r="A36" s="62">
        <f>IF('实盘净值数据(iFinD公式)'!A36="","",'实盘净值数据(iFinD公式)'!A36)</f>
        <v/>
      </c>
      <c r="B36" s="61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/>
      </c>
      <c r="C36" s="7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/>
      </c>
      <c r="D36" s="7">
        <f>IF(B36="","",B36/MAX(B$5:B36)-1)</f>
        <v/>
      </c>
      <c r="E36" s="61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/>
      </c>
      <c r="F36" s="7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/>
      </c>
      <c r="G36" s="7">
        <f>IF(E36="","",E36/MAX(E$5:E36)-1)</f>
        <v/>
      </c>
      <c r="H36" s="61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/>
      </c>
      <c r="I36" s="7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/>
      </c>
      <c r="J36" s="7">
        <f>IF(H36="","",H36/MAX(H$5:H36)-1)</f>
        <v/>
      </c>
      <c r="K36" s="61">
        <f>IF(OR('实盘净值数据(iFinD公式)'!$A36="",'实盘净值数据(iFinD公式)'!$B36=""),"",分期持仓明细!$AB$9*SUMPRODUCT(分期持仓明细!$B$9:$Y$9,'实盘净值数据(iFinD公式)'!$B36:$Y36/'实盘净值数据(iFinD公式)'!$B$13:$Y$13)*(1-实盘持仓配置!$Z$7)^(('实盘净值数据(iFinD公式)'!$A36-'实盘净值数据(iFinD公式)'!$A$8)/365))</f>
        <v/>
      </c>
      <c r="L36" s="7">
        <f>IF(OR(K35="",K36=""),"",K36/K35-1)</f>
        <v/>
      </c>
      <c r="M36" s="7">
        <f>IF(K36="","",K36/MAX(K$5:K36)-1)</f>
        <v/>
      </c>
      <c r="N36" s="61">
        <f>IF(OR('实盘净值数据(iFinD公式)'!$A36="",'实盘净值数据(iFinD公式)'!$B36=""),"",分期持仓明细!$AB$11*SUMPRODUCT(分期持仓明细!$B$11:$Y$11,'实盘净值数据(iFinD公式)'!$B36:$Y36/'实盘净值数据(iFinD公式)'!$B$13:$Y$13)*(1-实盘持仓配置!$Z$8)^(('实盘净值数据(iFinD公式)'!$A36-'实盘净值数据(iFinD公式)'!$A$5)/365))</f>
        <v/>
      </c>
      <c r="O36" s="7">
        <f>IF(OR(N35="",N36=""),"",N36/N35-1)</f>
        <v/>
      </c>
      <c r="P36" s="7">
        <f>IF(N36="","",N36/MAX(N$5:N36)-1)</f>
        <v/>
      </c>
      <c r="Q36" s="61">
        <f>IF(OR('实盘净值数据(iFinD公式)'!$A36="",'实盘净值数据(iFinD公式)'!$B36=""),"",分期持仓明细!$AB$13*SUMPRODUCT(分期持仓明细!$B$13:$Y$13,'实盘净值数据(iFinD公式)'!$B36:$Y36/'实盘净值数据(iFinD公式)'!$B$13:$Y$13)*(1-实盘持仓配置!$Z$9)^(('实盘净值数据(iFinD公式)'!$A36-'实盘净值数据(iFinD公式)'!$A$8)/365))</f>
        <v/>
      </c>
      <c r="R36" s="7">
        <f>IF(OR(Q35="",Q36=""),"",Q36/Q35-1)</f>
        <v/>
      </c>
      <c r="S36" s="7">
        <f>IF(Q36="","",Q36/MAX(Q$5:Q36)-1)</f>
        <v/>
      </c>
    </row>
    <row r="37">
      <c r="A37" s="62">
        <f>IF('实盘净值数据(iFinD公式)'!A37="","",'实盘净值数据(iFinD公式)'!A37)</f>
        <v/>
      </c>
      <c r="B37" s="61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/>
      </c>
      <c r="C37" s="7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/>
      </c>
      <c r="D37" s="7">
        <f>IF(B37="","",B37/MAX(B$5:B37)-1)</f>
        <v/>
      </c>
      <c r="E37" s="61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/>
      </c>
      <c r="F37" s="7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/>
      </c>
      <c r="G37" s="7">
        <f>IF(E37="","",E37/MAX(E$5:E37)-1)</f>
        <v/>
      </c>
      <c r="H37" s="61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/>
      </c>
      <c r="I37" s="7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/>
      </c>
      <c r="J37" s="7">
        <f>IF(H37="","",H37/MAX(H$5:H37)-1)</f>
        <v/>
      </c>
      <c r="K37" s="61">
        <f>IF(OR('实盘净值数据(iFinD公式)'!$A37="",'实盘净值数据(iFinD公式)'!$B37=""),"",分期持仓明细!$AB$9*SUMPRODUCT(分期持仓明细!$B$9:$Y$9,'实盘净值数据(iFinD公式)'!$B37:$Y37/'实盘净值数据(iFinD公式)'!$B$13:$Y$13)*(1-实盘持仓配置!$Z$7)^(('实盘净值数据(iFinD公式)'!$A37-'实盘净值数据(iFinD公式)'!$A$8)/365))</f>
        <v/>
      </c>
      <c r="L37" s="7">
        <f>IF(OR(K36="",K37=""),"",K37/K36-1)</f>
        <v/>
      </c>
      <c r="M37" s="7">
        <f>IF(K37="","",K37/MAX(K$5:K37)-1)</f>
        <v/>
      </c>
      <c r="N37" s="61">
        <f>IF(OR('实盘净值数据(iFinD公式)'!$A37="",'实盘净值数据(iFinD公式)'!$B37=""),"",分期持仓明细!$AB$11*SUMPRODUCT(分期持仓明细!$B$11:$Y$11,'实盘净值数据(iFinD公式)'!$B37:$Y37/'实盘净值数据(iFinD公式)'!$B$13:$Y$13)*(1-实盘持仓配置!$Z$8)^(('实盘净值数据(iFinD公式)'!$A37-'实盘净值数据(iFinD公式)'!$A$5)/365))</f>
        <v/>
      </c>
      <c r="O37" s="7">
        <f>IF(OR(N36="",N37=""),"",N37/N36-1)</f>
        <v/>
      </c>
      <c r="P37" s="7">
        <f>IF(N37="","",N37/MAX(N$5:N37)-1)</f>
        <v/>
      </c>
      <c r="Q37" s="61">
        <f>IF(OR('实盘净值数据(iFinD公式)'!$A37="",'实盘净值数据(iFinD公式)'!$B37=""),"",分期持仓明细!$AB$13*SUMPRODUCT(分期持仓明细!$B$13:$Y$13,'实盘净值数据(iFinD公式)'!$B37:$Y37/'实盘净值数据(iFinD公式)'!$B$13:$Y$13)*(1-实盘持仓配置!$Z$9)^(('实盘净值数据(iFinD公式)'!$A37-'实盘净值数据(iFinD公式)'!$A$8)/365))</f>
        <v/>
      </c>
      <c r="R37" s="7">
        <f>IF(OR(Q36="",Q37=""),"",Q37/Q36-1)</f>
        <v/>
      </c>
      <c r="S37" s="7">
        <f>IF(Q37="","",Q37/MAX(Q$5:Q37)-1)</f>
        <v/>
      </c>
    </row>
    <row r="38">
      <c r="A38" s="62">
        <f>IF('实盘净值数据(iFinD公式)'!A38="","",'实盘净值数据(iFinD公式)'!A38)</f>
        <v/>
      </c>
      <c r="B38" s="61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/>
      </c>
      <c r="C38" s="7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/>
      </c>
      <c r="D38" s="7">
        <f>IF(B38="","",B38/MAX(B$5:B38)-1)</f>
        <v/>
      </c>
      <c r="E38" s="61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/>
      </c>
      <c r="F38" s="7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/>
      </c>
      <c r="G38" s="7">
        <f>IF(E38="","",E38/MAX(E$5:E38)-1)</f>
        <v/>
      </c>
      <c r="H38" s="61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/>
      </c>
      <c r="I38" s="7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/>
      </c>
      <c r="J38" s="7">
        <f>IF(H38="","",H38/MAX(H$5:H38)-1)</f>
        <v/>
      </c>
      <c r="K38" s="61">
        <f>IF(OR('实盘净值数据(iFinD公式)'!$A38="",'实盘净值数据(iFinD公式)'!$B38=""),"",分期持仓明细!$AB$9*SUMPRODUCT(分期持仓明细!$B$9:$Y$9,'实盘净值数据(iFinD公式)'!$B38:$Y38/'实盘净值数据(iFinD公式)'!$B$13:$Y$13)*(1-实盘持仓配置!$Z$7)^(('实盘净值数据(iFinD公式)'!$A38-'实盘净值数据(iFinD公式)'!$A$8)/365))</f>
        <v/>
      </c>
      <c r="L38" s="7">
        <f>IF(OR(K37="",K38=""),"",K38/K37-1)</f>
        <v/>
      </c>
      <c r="M38" s="7">
        <f>IF(K38="","",K38/MAX(K$5:K38)-1)</f>
        <v/>
      </c>
      <c r="N38" s="61">
        <f>IF(OR('实盘净值数据(iFinD公式)'!$A38="",'实盘净值数据(iFinD公式)'!$B38=""),"",分期持仓明细!$AB$11*SUMPRODUCT(分期持仓明细!$B$11:$Y$11,'实盘净值数据(iFinD公式)'!$B38:$Y38/'实盘净值数据(iFinD公式)'!$B$13:$Y$13)*(1-实盘持仓配置!$Z$8)^(('实盘净值数据(iFinD公式)'!$A38-'实盘净值数据(iFinD公式)'!$A$5)/365))</f>
        <v/>
      </c>
      <c r="O38" s="7">
        <f>IF(OR(N37="",N38=""),"",N38/N37-1)</f>
        <v/>
      </c>
      <c r="P38" s="7">
        <f>IF(N38="","",N38/MAX(N$5:N38)-1)</f>
        <v/>
      </c>
      <c r="Q38" s="61">
        <f>IF(OR('实盘净值数据(iFinD公式)'!$A38="",'实盘净值数据(iFinD公式)'!$B38=""),"",分期持仓明细!$AB$13*SUMPRODUCT(分期持仓明细!$B$13:$Y$13,'实盘净值数据(iFinD公式)'!$B38:$Y38/'实盘净值数据(iFinD公式)'!$B$13:$Y$13)*(1-实盘持仓配置!$Z$9)^(('实盘净值数据(iFinD公式)'!$A38-'实盘净值数据(iFinD公式)'!$A$8)/365))</f>
        <v/>
      </c>
      <c r="R38" s="7">
        <f>IF(OR(Q37="",Q38=""),"",Q38/Q37-1)</f>
        <v/>
      </c>
      <c r="S38" s="7">
        <f>IF(Q38="","",Q38/MAX(Q$5:Q38)-1)</f>
        <v/>
      </c>
    </row>
    <row r="39">
      <c r="A39" s="62">
        <f>IF('实盘净值数据(iFinD公式)'!A39="","",'实盘净值数据(iFinD公式)'!A39)</f>
        <v/>
      </c>
      <c r="B39" s="61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/>
      </c>
      <c r="C39" s="7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/>
      </c>
      <c r="D39" s="7">
        <f>IF(B39="","",B39/MAX(B$5:B39)-1)</f>
        <v/>
      </c>
      <c r="E39" s="61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/>
      </c>
      <c r="F39" s="7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/>
      </c>
      <c r="G39" s="7">
        <f>IF(E39="","",E39/MAX(E$5:E39)-1)</f>
        <v/>
      </c>
      <c r="H39" s="61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/>
      </c>
      <c r="I39" s="7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/>
      </c>
      <c r="J39" s="7">
        <f>IF(H39="","",H39/MAX(H$5:H39)-1)</f>
        <v/>
      </c>
      <c r="K39" s="61">
        <f>IF(OR('实盘净值数据(iFinD公式)'!$A39="",'实盘净值数据(iFinD公式)'!$B39=""),"",分期持仓明细!$AB$9*SUMPRODUCT(分期持仓明细!$B$9:$Y$9,'实盘净值数据(iFinD公式)'!$B39:$Y39/'实盘净值数据(iFinD公式)'!$B$13:$Y$13)*(1-实盘持仓配置!$Z$7)^(('实盘净值数据(iFinD公式)'!$A39-'实盘净值数据(iFinD公式)'!$A$8)/365))</f>
        <v/>
      </c>
      <c r="L39" s="7">
        <f>IF(OR(K38="",K39=""),"",K39/K38-1)</f>
        <v/>
      </c>
      <c r="M39" s="7">
        <f>IF(K39="","",K39/MAX(K$5:K39)-1)</f>
        <v/>
      </c>
      <c r="N39" s="61">
        <f>IF(OR('实盘净值数据(iFinD公式)'!$A39="",'实盘净值数据(iFinD公式)'!$B39=""),"",分期持仓明细!$AB$11*SUMPRODUCT(分期持仓明细!$B$11:$Y$11,'实盘净值数据(iFinD公式)'!$B39:$Y39/'实盘净值数据(iFinD公式)'!$B$13:$Y$13)*(1-实盘持仓配置!$Z$8)^(('实盘净值数据(iFinD公式)'!$A39-'实盘净值数据(iFinD公式)'!$A$5)/365))</f>
        <v/>
      </c>
      <c r="O39" s="7">
        <f>IF(OR(N38="",N39=""),"",N39/N38-1)</f>
        <v/>
      </c>
      <c r="P39" s="7">
        <f>IF(N39="","",N39/MAX(N$5:N39)-1)</f>
        <v/>
      </c>
      <c r="Q39" s="61">
        <f>IF(OR('实盘净值数据(iFinD公式)'!$A39="",'实盘净值数据(iFinD公式)'!$B39=""),"",分期持仓明细!$AB$13*SUMPRODUCT(分期持仓明细!$B$13:$Y$13,'实盘净值数据(iFinD公式)'!$B39:$Y39/'实盘净值数据(iFinD公式)'!$B$13:$Y$13)*(1-实盘持仓配置!$Z$9)^(('实盘净值数据(iFinD公式)'!$A39-'实盘净值数据(iFinD公式)'!$A$8)/365))</f>
        <v/>
      </c>
      <c r="R39" s="7">
        <f>IF(OR(Q38="",Q39=""),"",Q39/Q38-1)</f>
        <v/>
      </c>
      <c r="S39" s="7">
        <f>IF(Q39="","",Q39/MAX(Q$5:Q39)-1)</f>
        <v/>
      </c>
    </row>
    <row r="40">
      <c r="A40" s="62">
        <f>IF('实盘净值数据(iFinD公式)'!A40="","",'实盘净值数据(iFinD公式)'!A40)</f>
        <v/>
      </c>
      <c r="B40" s="61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/>
      </c>
      <c r="C40" s="7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/>
      </c>
      <c r="D40" s="7">
        <f>IF(B40="","",B40/MAX(B$5:B40)-1)</f>
        <v/>
      </c>
      <c r="E40" s="61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/>
      </c>
      <c r="F40" s="7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/>
      </c>
      <c r="G40" s="7">
        <f>IF(E40="","",E40/MAX(E$5:E40)-1)</f>
        <v/>
      </c>
      <c r="H40" s="61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/>
      </c>
      <c r="I40" s="7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/>
      </c>
      <c r="J40" s="7">
        <f>IF(H40="","",H40/MAX(H$5:H40)-1)</f>
        <v/>
      </c>
      <c r="K40" s="61">
        <f>IF(OR('实盘净值数据(iFinD公式)'!$A40="",'实盘净值数据(iFinD公式)'!$B40=""),"",分期持仓明细!$AB$9*SUMPRODUCT(分期持仓明细!$B$9:$Y$9,'实盘净值数据(iFinD公式)'!$B40:$Y40/'实盘净值数据(iFinD公式)'!$B$13:$Y$13)*(1-实盘持仓配置!$Z$7)^(('实盘净值数据(iFinD公式)'!$A40-'实盘净值数据(iFinD公式)'!$A$8)/365))</f>
        <v/>
      </c>
      <c r="L40" s="7">
        <f>IF(OR(K39="",K40=""),"",K40/K39-1)</f>
        <v/>
      </c>
      <c r="M40" s="7">
        <f>IF(K40="","",K40/MAX(K$5:K40)-1)</f>
        <v/>
      </c>
      <c r="N40" s="61">
        <f>IF(OR('实盘净值数据(iFinD公式)'!$A40="",'实盘净值数据(iFinD公式)'!$B40=""),"",分期持仓明细!$AB$11*SUMPRODUCT(分期持仓明细!$B$11:$Y$11,'实盘净值数据(iFinD公式)'!$B40:$Y40/'实盘净值数据(iFinD公式)'!$B$13:$Y$13)*(1-实盘持仓配置!$Z$8)^(('实盘净值数据(iFinD公式)'!$A40-'实盘净值数据(iFinD公式)'!$A$5)/365))</f>
        <v/>
      </c>
      <c r="O40" s="7">
        <f>IF(OR(N39="",N40=""),"",N40/N39-1)</f>
        <v/>
      </c>
      <c r="P40" s="7">
        <f>IF(N40="","",N40/MAX(N$5:N40)-1)</f>
        <v/>
      </c>
      <c r="Q40" s="61">
        <f>IF(OR('实盘净值数据(iFinD公式)'!$A40="",'实盘净值数据(iFinD公式)'!$B40=""),"",分期持仓明细!$AB$13*SUMPRODUCT(分期持仓明细!$B$13:$Y$13,'实盘净值数据(iFinD公式)'!$B40:$Y40/'实盘净值数据(iFinD公式)'!$B$13:$Y$13)*(1-实盘持仓配置!$Z$9)^(('实盘净值数据(iFinD公式)'!$A40-'实盘净值数据(iFinD公式)'!$A$8)/365))</f>
        <v/>
      </c>
      <c r="R40" s="7">
        <f>IF(OR(Q39="",Q40=""),"",Q40/Q39-1)</f>
        <v/>
      </c>
      <c r="S40" s="7">
        <f>IF(Q40="","",Q40/MAX(Q$5:Q40)-1)</f>
        <v/>
      </c>
    </row>
    <row r="41">
      <c r="A41" s="62">
        <f>IF('实盘净值数据(iFinD公式)'!A41="","",'实盘净值数据(iFinD公式)'!A41)</f>
        <v/>
      </c>
      <c r="B41" s="61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/>
      </c>
      <c r="C41" s="7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/>
      </c>
      <c r="D41" s="7">
        <f>IF(B41="","",B41/MAX(B$5:B41)-1)</f>
        <v/>
      </c>
      <c r="E41" s="61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/>
      </c>
      <c r="F41" s="7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/>
      </c>
      <c r="G41" s="7">
        <f>IF(E41="","",E41/MAX(E$5:E41)-1)</f>
        <v/>
      </c>
      <c r="H41" s="61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/>
      </c>
      <c r="I41" s="7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/>
      </c>
      <c r="J41" s="7">
        <f>IF(H41="","",H41/MAX(H$5:H41)-1)</f>
        <v/>
      </c>
      <c r="K41" s="61">
        <f>IF(OR('实盘净值数据(iFinD公式)'!$A41="",'实盘净值数据(iFinD公式)'!$B41=""),"",分期持仓明细!$AB$9*SUMPRODUCT(分期持仓明细!$B$9:$Y$9,'实盘净值数据(iFinD公式)'!$B41:$Y41/'实盘净值数据(iFinD公式)'!$B$13:$Y$13)*(1-实盘持仓配置!$Z$7)^(('实盘净值数据(iFinD公式)'!$A41-'实盘净值数据(iFinD公式)'!$A$8)/365))</f>
        <v/>
      </c>
      <c r="L41" s="7">
        <f>IF(OR(K40="",K41=""),"",K41/K40-1)</f>
        <v/>
      </c>
      <c r="M41" s="7">
        <f>IF(K41="","",K41/MAX(K$5:K41)-1)</f>
        <v/>
      </c>
      <c r="N41" s="61">
        <f>IF(OR('实盘净值数据(iFinD公式)'!$A41="",'实盘净值数据(iFinD公式)'!$B41=""),"",分期持仓明细!$AB$11*SUMPRODUCT(分期持仓明细!$B$11:$Y$11,'实盘净值数据(iFinD公式)'!$B41:$Y41/'实盘净值数据(iFinD公式)'!$B$13:$Y$13)*(1-实盘持仓配置!$Z$8)^(('实盘净值数据(iFinD公式)'!$A41-'实盘净值数据(iFinD公式)'!$A$5)/365))</f>
        <v/>
      </c>
      <c r="O41" s="7">
        <f>IF(OR(N40="",N41=""),"",N41/N40-1)</f>
        <v/>
      </c>
      <c r="P41" s="7">
        <f>IF(N41="","",N41/MAX(N$5:N41)-1)</f>
        <v/>
      </c>
      <c r="Q41" s="61">
        <f>IF(OR('实盘净值数据(iFinD公式)'!$A41="",'实盘净值数据(iFinD公式)'!$B41=""),"",分期持仓明细!$AB$13*SUMPRODUCT(分期持仓明细!$B$13:$Y$13,'实盘净值数据(iFinD公式)'!$B41:$Y41/'实盘净值数据(iFinD公式)'!$B$13:$Y$13)*(1-实盘持仓配置!$Z$9)^(('实盘净值数据(iFinD公式)'!$A41-'实盘净值数据(iFinD公式)'!$A$8)/365))</f>
        <v/>
      </c>
      <c r="R41" s="7">
        <f>IF(OR(Q40="",Q41=""),"",Q41/Q40-1)</f>
        <v/>
      </c>
      <c r="S41" s="7">
        <f>IF(Q41="","",Q41/MAX(Q$5:Q41)-1)</f>
        <v/>
      </c>
    </row>
    <row r="42">
      <c r="A42" s="62">
        <f>IF('实盘净值数据(iFinD公式)'!A42="","",'实盘净值数据(iFinD公式)'!A42)</f>
        <v/>
      </c>
      <c r="B42" s="61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/>
      </c>
      <c r="C42" s="7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/>
      </c>
      <c r="D42" s="7">
        <f>IF(B42="","",B42/MAX(B$5:B42)-1)</f>
        <v/>
      </c>
      <c r="E42" s="61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/>
      </c>
      <c r="F42" s="7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/>
      </c>
      <c r="G42" s="7">
        <f>IF(E42="","",E42/MAX(E$5:E42)-1)</f>
        <v/>
      </c>
      <c r="H42" s="61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/>
      </c>
      <c r="I42" s="7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/>
      </c>
      <c r="J42" s="7">
        <f>IF(H42="","",H42/MAX(H$5:H42)-1)</f>
        <v/>
      </c>
      <c r="K42" s="61">
        <f>IF(OR('实盘净值数据(iFinD公式)'!$A42="",'实盘净值数据(iFinD公式)'!$B42=""),"",分期持仓明细!$AB$9*SUMPRODUCT(分期持仓明细!$B$9:$Y$9,'实盘净值数据(iFinD公式)'!$B42:$Y42/'实盘净值数据(iFinD公式)'!$B$13:$Y$13)*(1-实盘持仓配置!$Z$7)^(('实盘净值数据(iFinD公式)'!$A42-'实盘净值数据(iFinD公式)'!$A$8)/365))</f>
        <v/>
      </c>
      <c r="L42" s="7">
        <f>IF(OR(K41="",K42=""),"",K42/K41-1)</f>
        <v/>
      </c>
      <c r="M42" s="7">
        <f>IF(K42="","",K42/MAX(K$5:K42)-1)</f>
        <v/>
      </c>
      <c r="N42" s="61">
        <f>IF(OR('实盘净值数据(iFinD公式)'!$A42="",'实盘净值数据(iFinD公式)'!$B42=""),"",分期持仓明细!$AB$11*SUMPRODUCT(分期持仓明细!$B$11:$Y$11,'实盘净值数据(iFinD公式)'!$B42:$Y42/'实盘净值数据(iFinD公式)'!$B$13:$Y$13)*(1-实盘持仓配置!$Z$8)^(('实盘净值数据(iFinD公式)'!$A42-'实盘净值数据(iFinD公式)'!$A$5)/365))</f>
        <v/>
      </c>
      <c r="O42" s="7">
        <f>IF(OR(N41="",N42=""),"",N42/N41-1)</f>
        <v/>
      </c>
      <c r="P42" s="7">
        <f>IF(N42="","",N42/MAX(N$5:N42)-1)</f>
        <v/>
      </c>
      <c r="Q42" s="61">
        <f>IF(OR('实盘净值数据(iFinD公式)'!$A42="",'实盘净值数据(iFinD公式)'!$B42=""),"",分期持仓明细!$AB$13*SUMPRODUCT(分期持仓明细!$B$13:$Y$13,'实盘净值数据(iFinD公式)'!$B42:$Y42/'实盘净值数据(iFinD公式)'!$B$13:$Y$13)*(1-实盘持仓配置!$Z$9)^(('实盘净值数据(iFinD公式)'!$A42-'实盘净值数据(iFinD公式)'!$A$8)/365))</f>
        <v/>
      </c>
      <c r="R42" s="7">
        <f>IF(OR(Q41="",Q42=""),"",Q42/Q41-1)</f>
        <v/>
      </c>
      <c r="S42" s="7">
        <f>IF(Q42="","",Q42/MAX(Q$5:Q42)-1)</f>
        <v/>
      </c>
    </row>
    <row r="43">
      <c r="A43" s="62">
        <f>IF('实盘净值数据(iFinD公式)'!A43="","",'实盘净值数据(iFinD公式)'!A43)</f>
        <v/>
      </c>
      <c r="B43" s="61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7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7">
        <f>IF(B43="","",B43/MAX(B$5:B43)-1)</f>
        <v/>
      </c>
      <c r="E43" s="61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7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7">
        <f>IF(E43="","",E43/MAX(E$5:E43)-1)</f>
        <v/>
      </c>
      <c r="H43" s="61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7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7">
        <f>IF(H43="","",H43/MAX(H$5:H43)-1)</f>
        <v/>
      </c>
      <c r="K43" s="61">
        <f>IF(OR('实盘净值数据(iFinD公式)'!$A43="",'实盘净值数据(iFinD公式)'!$B43=""),"",分期持仓明细!$AB$9*SUMPRODUCT(分期持仓明细!$B$9:$Y$9,'实盘净值数据(iFinD公式)'!$B43:$Y43/'实盘净值数据(iFinD公式)'!$B$13:$Y$13)*(1-实盘持仓配置!$Z$7)^(('实盘净值数据(iFinD公式)'!$A43-'实盘净值数据(iFinD公式)'!$A$8)/365))</f>
        <v/>
      </c>
      <c r="L43" s="7">
        <f>IF(OR(K42="",K43=""),"",K43/K42-1)</f>
        <v/>
      </c>
      <c r="M43" s="7">
        <f>IF(K43="","",K43/MAX(K$5:K43)-1)</f>
        <v/>
      </c>
      <c r="N43" s="61">
        <f>IF(OR('实盘净值数据(iFinD公式)'!$A43="",'实盘净值数据(iFinD公式)'!$B43=""),"",分期持仓明细!$AB$11*SUMPRODUCT(分期持仓明细!$B$11:$Y$11,'实盘净值数据(iFinD公式)'!$B43:$Y43/'实盘净值数据(iFinD公式)'!$B$13:$Y$13)*(1-实盘持仓配置!$Z$8)^(('实盘净值数据(iFinD公式)'!$A43-'实盘净值数据(iFinD公式)'!$A$5)/365))</f>
        <v/>
      </c>
      <c r="O43" s="7">
        <f>IF(OR(N42="",N43=""),"",N43/N42-1)</f>
        <v/>
      </c>
      <c r="P43" s="7">
        <f>IF(N43="","",N43/MAX(N$5:N43)-1)</f>
        <v/>
      </c>
      <c r="Q43" s="61">
        <f>IF(OR('实盘净值数据(iFinD公式)'!$A43="",'实盘净值数据(iFinD公式)'!$B43=""),"",分期持仓明细!$AB$13*SUMPRODUCT(分期持仓明细!$B$13:$Y$13,'实盘净值数据(iFinD公式)'!$B43:$Y43/'实盘净值数据(iFinD公式)'!$B$13:$Y$13)*(1-实盘持仓配置!$Z$9)^(('实盘净值数据(iFinD公式)'!$A43-'实盘净值数据(iFinD公式)'!$A$8)/365))</f>
        <v/>
      </c>
      <c r="R43" s="7">
        <f>IF(OR(Q42="",Q43=""),"",Q43/Q42-1)</f>
        <v/>
      </c>
      <c r="S43" s="7">
        <f>IF(Q43="","",Q43/MAX(Q$5:Q43)-1)</f>
        <v/>
      </c>
    </row>
    <row r="44">
      <c r="A44" s="62">
        <f>IF('实盘净值数据(iFinD公式)'!A44="","",'实盘净值数据(iFinD公式)'!A44)</f>
        <v/>
      </c>
      <c r="B44" s="61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7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7">
        <f>IF(B44="","",B44/MAX(B$5:B44)-1)</f>
        <v/>
      </c>
      <c r="E44" s="61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7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7">
        <f>IF(E44="","",E44/MAX(E$5:E44)-1)</f>
        <v/>
      </c>
      <c r="H44" s="61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7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7">
        <f>IF(H44="","",H44/MAX(H$5:H44)-1)</f>
        <v/>
      </c>
      <c r="K44" s="61">
        <f>IF(OR('实盘净值数据(iFinD公式)'!$A44="",'实盘净值数据(iFinD公式)'!$B44=""),"",分期持仓明细!$AB$9*SUMPRODUCT(分期持仓明细!$B$9:$Y$9,'实盘净值数据(iFinD公式)'!$B44:$Y44/'实盘净值数据(iFinD公式)'!$B$13:$Y$13)*(1-实盘持仓配置!$Z$7)^(('实盘净值数据(iFinD公式)'!$A44-'实盘净值数据(iFinD公式)'!$A$8)/365))</f>
        <v/>
      </c>
      <c r="L44" s="7">
        <f>IF(OR(K43="",K44=""),"",K44/K43-1)</f>
        <v/>
      </c>
      <c r="M44" s="7">
        <f>IF(K44="","",K44/MAX(K$5:K44)-1)</f>
        <v/>
      </c>
      <c r="N44" s="61">
        <f>IF(OR('实盘净值数据(iFinD公式)'!$A44="",'实盘净值数据(iFinD公式)'!$B44=""),"",分期持仓明细!$AB$11*SUMPRODUCT(分期持仓明细!$B$11:$Y$11,'实盘净值数据(iFinD公式)'!$B44:$Y44/'实盘净值数据(iFinD公式)'!$B$13:$Y$13)*(1-实盘持仓配置!$Z$8)^(('实盘净值数据(iFinD公式)'!$A44-'实盘净值数据(iFinD公式)'!$A$5)/365))</f>
        <v/>
      </c>
      <c r="O44" s="7">
        <f>IF(OR(N43="",N44=""),"",N44/N43-1)</f>
        <v/>
      </c>
      <c r="P44" s="7">
        <f>IF(N44="","",N44/MAX(N$5:N44)-1)</f>
        <v/>
      </c>
      <c r="Q44" s="61">
        <f>IF(OR('实盘净值数据(iFinD公式)'!$A44="",'实盘净值数据(iFinD公式)'!$B44=""),"",分期持仓明细!$AB$13*SUMPRODUCT(分期持仓明细!$B$13:$Y$13,'实盘净值数据(iFinD公式)'!$B44:$Y44/'实盘净值数据(iFinD公式)'!$B$13:$Y$13)*(1-实盘持仓配置!$Z$9)^(('实盘净值数据(iFinD公式)'!$A44-'实盘净值数据(iFinD公式)'!$A$8)/365))</f>
        <v/>
      </c>
      <c r="R44" s="7">
        <f>IF(OR(Q43="",Q44=""),"",Q44/Q43-1)</f>
        <v/>
      </c>
      <c r="S44" s="7">
        <f>IF(Q44="","",Q44/MAX(Q$5:Q44)-1)</f>
        <v/>
      </c>
    </row>
    <row r="45">
      <c r="A45" s="62">
        <f>IF('实盘净值数据(iFinD公式)'!A45="","",'实盘净值数据(iFinD公式)'!A45)</f>
        <v/>
      </c>
      <c r="B45" s="61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7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7">
        <f>IF(B45="","",B45/MAX(B$5:B45)-1)</f>
        <v/>
      </c>
      <c r="E45" s="61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7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7">
        <f>IF(E45="","",E45/MAX(E$5:E45)-1)</f>
        <v/>
      </c>
      <c r="H45" s="61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7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7">
        <f>IF(H45="","",H45/MAX(H$5:H45)-1)</f>
        <v/>
      </c>
      <c r="K45" s="61">
        <f>IF(OR('实盘净值数据(iFinD公式)'!$A45="",'实盘净值数据(iFinD公式)'!$B45=""),"",分期持仓明细!$AB$9*SUMPRODUCT(分期持仓明细!$B$9:$Y$9,'实盘净值数据(iFinD公式)'!$B45:$Y45/'实盘净值数据(iFinD公式)'!$B$13:$Y$13)*(1-实盘持仓配置!$Z$7)^(('实盘净值数据(iFinD公式)'!$A45-'实盘净值数据(iFinD公式)'!$A$8)/365))</f>
        <v/>
      </c>
      <c r="L45" s="7">
        <f>IF(OR(K44="",K45=""),"",K45/K44-1)</f>
        <v/>
      </c>
      <c r="M45" s="7">
        <f>IF(K45="","",K45/MAX(K$5:K45)-1)</f>
        <v/>
      </c>
      <c r="N45" s="61">
        <f>IF(OR('实盘净值数据(iFinD公式)'!$A45="",'实盘净值数据(iFinD公式)'!$B45=""),"",分期持仓明细!$AB$11*SUMPRODUCT(分期持仓明细!$B$11:$Y$11,'实盘净值数据(iFinD公式)'!$B45:$Y45/'实盘净值数据(iFinD公式)'!$B$13:$Y$13)*(1-实盘持仓配置!$Z$8)^(('实盘净值数据(iFinD公式)'!$A45-'实盘净值数据(iFinD公式)'!$A$5)/365))</f>
        <v/>
      </c>
      <c r="O45" s="7">
        <f>IF(OR(N44="",N45=""),"",N45/N44-1)</f>
        <v/>
      </c>
      <c r="P45" s="7">
        <f>IF(N45="","",N45/MAX(N$5:N45)-1)</f>
        <v/>
      </c>
      <c r="Q45" s="61">
        <f>IF(OR('实盘净值数据(iFinD公式)'!$A45="",'实盘净值数据(iFinD公式)'!$B45=""),"",分期持仓明细!$AB$13*SUMPRODUCT(分期持仓明细!$B$13:$Y$13,'实盘净值数据(iFinD公式)'!$B45:$Y45/'实盘净值数据(iFinD公式)'!$B$13:$Y$13)*(1-实盘持仓配置!$Z$9)^(('实盘净值数据(iFinD公式)'!$A45-'实盘净值数据(iFinD公式)'!$A$8)/365))</f>
        <v/>
      </c>
      <c r="R45" s="7">
        <f>IF(OR(Q44="",Q45=""),"",Q45/Q44-1)</f>
        <v/>
      </c>
      <c r="S45" s="7">
        <f>IF(Q45="","",Q45/MAX(Q$5:Q45)-1)</f>
        <v/>
      </c>
    </row>
    <row r="46">
      <c r="A46" s="62">
        <f>IF('实盘净值数据(iFinD公式)'!A46="","",'实盘净值数据(iFinD公式)'!A46)</f>
        <v/>
      </c>
      <c r="B46" s="61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7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7">
        <f>IF(B46="","",B46/MAX(B$5:B46)-1)</f>
        <v/>
      </c>
      <c r="E46" s="61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7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7">
        <f>IF(E46="","",E46/MAX(E$5:E46)-1)</f>
        <v/>
      </c>
      <c r="H46" s="61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7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7">
        <f>IF(H46="","",H46/MAX(H$5:H46)-1)</f>
        <v/>
      </c>
      <c r="K46" s="61">
        <f>IF(OR('实盘净值数据(iFinD公式)'!$A46="",'实盘净值数据(iFinD公式)'!$B46=""),"",分期持仓明细!$AB$9*SUMPRODUCT(分期持仓明细!$B$9:$Y$9,'实盘净值数据(iFinD公式)'!$B46:$Y46/'实盘净值数据(iFinD公式)'!$B$13:$Y$13)*(1-实盘持仓配置!$Z$7)^(('实盘净值数据(iFinD公式)'!$A46-'实盘净值数据(iFinD公式)'!$A$8)/365))</f>
        <v/>
      </c>
      <c r="L46" s="7">
        <f>IF(OR(K45="",K46=""),"",K46/K45-1)</f>
        <v/>
      </c>
      <c r="M46" s="7">
        <f>IF(K46="","",K46/MAX(K$5:K46)-1)</f>
        <v/>
      </c>
      <c r="N46" s="61">
        <f>IF(OR('实盘净值数据(iFinD公式)'!$A46="",'实盘净值数据(iFinD公式)'!$B46=""),"",分期持仓明细!$AB$11*SUMPRODUCT(分期持仓明细!$B$11:$Y$11,'实盘净值数据(iFinD公式)'!$B46:$Y46/'实盘净值数据(iFinD公式)'!$B$13:$Y$13)*(1-实盘持仓配置!$Z$8)^(('实盘净值数据(iFinD公式)'!$A46-'实盘净值数据(iFinD公式)'!$A$5)/365))</f>
        <v/>
      </c>
      <c r="O46" s="7">
        <f>IF(OR(N45="",N46=""),"",N46/N45-1)</f>
        <v/>
      </c>
      <c r="P46" s="7">
        <f>IF(N46="","",N46/MAX(N$5:N46)-1)</f>
        <v/>
      </c>
      <c r="Q46" s="61">
        <f>IF(OR('实盘净值数据(iFinD公式)'!$A46="",'实盘净值数据(iFinD公式)'!$B46=""),"",分期持仓明细!$AB$13*SUMPRODUCT(分期持仓明细!$B$13:$Y$13,'实盘净值数据(iFinD公式)'!$B46:$Y46/'实盘净值数据(iFinD公式)'!$B$13:$Y$13)*(1-实盘持仓配置!$Z$9)^(('实盘净值数据(iFinD公式)'!$A46-'实盘净值数据(iFinD公式)'!$A$8)/365))</f>
        <v/>
      </c>
      <c r="R46" s="7">
        <f>IF(OR(Q45="",Q46=""),"",Q46/Q45-1)</f>
        <v/>
      </c>
      <c r="S46" s="7">
        <f>IF(Q46="","",Q46/MAX(Q$5:Q46)-1)</f>
        <v/>
      </c>
    </row>
    <row r="47">
      <c r="A47" s="62">
        <f>IF('实盘净值数据(iFinD公式)'!A47="","",'实盘净值数据(iFinD公式)'!A47)</f>
        <v/>
      </c>
      <c r="B47" s="61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7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7">
        <f>IF(B47="","",B47/MAX(B$5:B47)-1)</f>
        <v/>
      </c>
      <c r="E47" s="61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7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7">
        <f>IF(E47="","",E47/MAX(E$5:E47)-1)</f>
        <v/>
      </c>
      <c r="H47" s="61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7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7">
        <f>IF(H47="","",H47/MAX(H$5:H47)-1)</f>
        <v/>
      </c>
      <c r="K47" s="61">
        <f>IF(OR('实盘净值数据(iFinD公式)'!$A47="",'实盘净值数据(iFinD公式)'!$B47=""),"",分期持仓明细!$AB$9*SUMPRODUCT(分期持仓明细!$B$9:$Y$9,'实盘净值数据(iFinD公式)'!$B47:$Y47/'实盘净值数据(iFinD公式)'!$B$13:$Y$13)*(1-实盘持仓配置!$Z$7)^(('实盘净值数据(iFinD公式)'!$A47-'实盘净值数据(iFinD公式)'!$A$8)/365))</f>
        <v/>
      </c>
      <c r="L47" s="7">
        <f>IF(OR(K46="",K47=""),"",K47/K46-1)</f>
        <v/>
      </c>
      <c r="M47" s="7">
        <f>IF(K47="","",K47/MAX(K$5:K47)-1)</f>
        <v/>
      </c>
      <c r="N47" s="61">
        <f>IF(OR('实盘净值数据(iFinD公式)'!$A47="",'实盘净值数据(iFinD公式)'!$B47=""),"",分期持仓明细!$AB$11*SUMPRODUCT(分期持仓明细!$B$11:$Y$11,'实盘净值数据(iFinD公式)'!$B47:$Y47/'实盘净值数据(iFinD公式)'!$B$13:$Y$13)*(1-实盘持仓配置!$Z$8)^(('实盘净值数据(iFinD公式)'!$A47-'实盘净值数据(iFinD公式)'!$A$5)/365))</f>
        <v/>
      </c>
      <c r="O47" s="7">
        <f>IF(OR(N46="",N47=""),"",N47/N46-1)</f>
        <v/>
      </c>
      <c r="P47" s="7">
        <f>IF(N47="","",N47/MAX(N$5:N47)-1)</f>
        <v/>
      </c>
      <c r="Q47" s="61">
        <f>IF(OR('实盘净值数据(iFinD公式)'!$A47="",'实盘净值数据(iFinD公式)'!$B47=""),"",分期持仓明细!$AB$13*SUMPRODUCT(分期持仓明细!$B$13:$Y$13,'实盘净值数据(iFinD公式)'!$B47:$Y47/'实盘净值数据(iFinD公式)'!$B$13:$Y$13)*(1-实盘持仓配置!$Z$9)^(('实盘净值数据(iFinD公式)'!$A47-'实盘净值数据(iFinD公式)'!$A$8)/365))</f>
        <v/>
      </c>
      <c r="R47" s="7">
        <f>IF(OR(Q46="",Q47=""),"",Q47/Q46-1)</f>
        <v/>
      </c>
      <c r="S47" s="7">
        <f>IF(Q47="","",Q47/MAX(Q$5:Q47)-1)</f>
        <v/>
      </c>
    </row>
    <row r="48">
      <c r="A48" s="62">
        <f>IF('实盘净值数据(iFinD公式)'!A48="","",'实盘净值数据(iFinD公式)'!A48)</f>
        <v/>
      </c>
      <c r="B48" s="61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7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7">
        <f>IF(B48="","",B48/MAX(B$5:B48)-1)</f>
        <v/>
      </c>
      <c r="E48" s="61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7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7">
        <f>IF(E48="","",E48/MAX(E$5:E48)-1)</f>
        <v/>
      </c>
      <c r="H48" s="61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7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7">
        <f>IF(H48="","",H48/MAX(H$5:H48)-1)</f>
        <v/>
      </c>
      <c r="K48" s="61">
        <f>IF(OR('实盘净值数据(iFinD公式)'!$A48="",'实盘净值数据(iFinD公式)'!$B48=""),"",分期持仓明细!$AB$9*SUMPRODUCT(分期持仓明细!$B$9:$Y$9,'实盘净值数据(iFinD公式)'!$B48:$Y48/'实盘净值数据(iFinD公式)'!$B$13:$Y$13)*(1-实盘持仓配置!$Z$7)^(('实盘净值数据(iFinD公式)'!$A48-'实盘净值数据(iFinD公式)'!$A$8)/365))</f>
        <v/>
      </c>
      <c r="L48" s="7">
        <f>IF(OR(K47="",K48=""),"",K48/K47-1)</f>
        <v/>
      </c>
      <c r="M48" s="7">
        <f>IF(K48="","",K48/MAX(K$5:K48)-1)</f>
        <v/>
      </c>
      <c r="N48" s="61">
        <f>IF(OR('实盘净值数据(iFinD公式)'!$A48="",'实盘净值数据(iFinD公式)'!$B48=""),"",分期持仓明细!$AB$11*SUMPRODUCT(分期持仓明细!$B$11:$Y$11,'实盘净值数据(iFinD公式)'!$B48:$Y48/'实盘净值数据(iFinD公式)'!$B$13:$Y$13)*(1-实盘持仓配置!$Z$8)^(('实盘净值数据(iFinD公式)'!$A48-'实盘净值数据(iFinD公式)'!$A$5)/365))</f>
        <v/>
      </c>
      <c r="O48" s="7">
        <f>IF(OR(N47="",N48=""),"",N48/N47-1)</f>
        <v/>
      </c>
      <c r="P48" s="7">
        <f>IF(N48="","",N48/MAX(N$5:N48)-1)</f>
        <v/>
      </c>
      <c r="Q48" s="61">
        <f>IF(OR('实盘净值数据(iFinD公式)'!$A48="",'实盘净值数据(iFinD公式)'!$B48=""),"",分期持仓明细!$AB$13*SUMPRODUCT(分期持仓明细!$B$13:$Y$13,'实盘净值数据(iFinD公式)'!$B48:$Y48/'实盘净值数据(iFinD公式)'!$B$13:$Y$13)*(1-实盘持仓配置!$Z$9)^(('实盘净值数据(iFinD公式)'!$A48-'实盘净值数据(iFinD公式)'!$A$8)/365))</f>
        <v/>
      </c>
      <c r="R48" s="7">
        <f>IF(OR(Q47="",Q48=""),"",Q48/Q47-1)</f>
        <v/>
      </c>
      <c r="S48" s="7">
        <f>IF(Q48="","",Q48/MAX(Q$5:Q48)-1)</f>
        <v/>
      </c>
    </row>
    <row r="49">
      <c r="A49" s="62">
        <f>IF('实盘净值数据(iFinD公式)'!A49="","",'实盘净值数据(iFinD公式)'!A49)</f>
        <v/>
      </c>
      <c r="B49" s="61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7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7">
        <f>IF(B49="","",B49/MAX(B$5:B49)-1)</f>
        <v/>
      </c>
      <c r="E49" s="61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7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7">
        <f>IF(E49="","",E49/MAX(E$5:E49)-1)</f>
        <v/>
      </c>
      <c r="H49" s="61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7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7">
        <f>IF(H49="","",H49/MAX(H$5:H49)-1)</f>
        <v/>
      </c>
      <c r="K49" s="61">
        <f>IF(OR('实盘净值数据(iFinD公式)'!$A49="",'实盘净值数据(iFinD公式)'!$B49=""),"",分期持仓明细!$AB$9*SUMPRODUCT(分期持仓明细!$B$9:$Y$9,'实盘净值数据(iFinD公式)'!$B49:$Y49/'实盘净值数据(iFinD公式)'!$B$13:$Y$13)*(1-实盘持仓配置!$Z$7)^(('实盘净值数据(iFinD公式)'!$A49-'实盘净值数据(iFinD公式)'!$A$8)/365))</f>
        <v/>
      </c>
      <c r="L49" s="7">
        <f>IF(OR(K48="",K49=""),"",K49/K48-1)</f>
        <v/>
      </c>
      <c r="M49" s="7">
        <f>IF(K49="","",K49/MAX(K$5:K49)-1)</f>
        <v/>
      </c>
      <c r="N49" s="61">
        <f>IF(OR('实盘净值数据(iFinD公式)'!$A49="",'实盘净值数据(iFinD公式)'!$B49=""),"",分期持仓明细!$AB$11*SUMPRODUCT(分期持仓明细!$B$11:$Y$11,'实盘净值数据(iFinD公式)'!$B49:$Y49/'实盘净值数据(iFinD公式)'!$B$13:$Y$13)*(1-实盘持仓配置!$Z$8)^(('实盘净值数据(iFinD公式)'!$A49-'实盘净值数据(iFinD公式)'!$A$5)/365))</f>
        <v/>
      </c>
      <c r="O49" s="7">
        <f>IF(OR(N48="",N49=""),"",N49/N48-1)</f>
        <v/>
      </c>
      <c r="P49" s="7">
        <f>IF(N49="","",N49/MAX(N$5:N49)-1)</f>
        <v/>
      </c>
      <c r="Q49" s="61">
        <f>IF(OR('实盘净值数据(iFinD公式)'!$A49="",'实盘净值数据(iFinD公式)'!$B49=""),"",分期持仓明细!$AB$13*SUMPRODUCT(分期持仓明细!$B$13:$Y$13,'实盘净值数据(iFinD公式)'!$B49:$Y49/'实盘净值数据(iFinD公式)'!$B$13:$Y$13)*(1-实盘持仓配置!$Z$9)^(('实盘净值数据(iFinD公式)'!$A49-'实盘净值数据(iFinD公式)'!$A$8)/365))</f>
        <v/>
      </c>
      <c r="R49" s="7">
        <f>IF(OR(Q48="",Q49=""),"",Q49/Q48-1)</f>
        <v/>
      </c>
      <c r="S49" s="7">
        <f>IF(Q49="","",Q49/MAX(Q$5:Q49)-1)</f>
        <v/>
      </c>
    </row>
    <row r="50">
      <c r="A50" s="62">
        <f>IF('实盘净值数据(iFinD公式)'!A50="","",'实盘净值数据(iFinD公式)'!A50)</f>
        <v/>
      </c>
      <c r="B50" s="61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7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7">
        <f>IF(B50="","",B50/MAX(B$5:B50)-1)</f>
        <v/>
      </c>
      <c r="E50" s="61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7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7">
        <f>IF(E50="","",E50/MAX(E$5:E50)-1)</f>
        <v/>
      </c>
      <c r="H50" s="61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7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7">
        <f>IF(H50="","",H50/MAX(H$5:H50)-1)</f>
        <v/>
      </c>
      <c r="K50" s="61">
        <f>IF(OR('实盘净值数据(iFinD公式)'!$A50="",'实盘净值数据(iFinD公式)'!$B50=""),"",分期持仓明细!$AB$9*SUMPRODUCT(分期持仓明细!$B$9:$Y$9,'实盘净值数据(iFinD公式)'!$B50:$Y50/'实盘净值数据(iFinD公式)'!$B$13:$Y$13)*(1-实盘持仓配置!$Z$7)^(('实盘净值数据(iFinD公式)'!$A50-'实盘净值数据(iFinD公式)'!$A$8)/365))</f>
        <v/>
      </c>
      <c r="L50" s="7">
        <f>IF(OR(K49="",K50=""),"",K50/K49-1)</f>
        <v/>
      </c>
      <c r="M50" s="7">
        <f>IF(K50="","",K50/MAX(K$5:K50)-1)</f>
        <v/>
      </c>
      <c r="N50" s="61">
        <f>IF(OR('实盘净值数据(iFinD公式)'!$A50="",'实盘净值数据(iFinD公式)'!$B50=""),"",分期持仓明细!$AB$11*SUMPRODUCT(分期持仓明细!$B$11:$Y$11,'实盘净值数据(iFinD公式)'!$B50:$Y50/'实盘净值数据(iFinD公式)'!$B$13:$Y$13)*(1-实盘持仓配置!$Z$8)^(('实盘净值数据(iFinD公式)'!$A50-'实盘净值数据(iFinD公式)'!$A$5)/365))</f>
        <v/>
      </c>
      <c r="O50" s="7">
        <f>IF(OR(N49="",N50=""),"",N50/N49-1)</f>
        <v/>
      </c>
      <c r="P50" s="7">
        <f>IF(N50="","",N50/MAX(N$5:N50)-1)</f>
        <v/>
      </c>
      <c r="Q50" s="61">
        <f>IF(OR('实盘净值数据(iFinD公式)'!$A50="",'实盘净值数据(iFinD公式)'!$B50=""),"",分期持仓明细!$AB$13*SUMPRODUCT(分期持仓明细!$B$13:$Y$13,'实盘净值数据(iFinD公式)'!$B50:$Y50/'实盘净值数据(iFinD公式)'!$B$13:$Y$13)*(1-实盘持仓配置!$Z$9)^(('实盘净值数据(iFinD公式)'!$A50-'实盘净值数据(iFinD公式)'!$A$8)/365))</f>
        <v/>
      </c>
      <c r="R50" s="7">
        <f>IF(OR(Q49="",Q50=""),"",Q50/Q49-1)</f>
        <v/>
      </c>
      <c r="S50" s="7">
        <f>IF(Q50="","",Q50/MAX(Q$5:Q50)-1)</f>
        <v/>
      </c>
    </row>
    <row r="51">
      <c r="A51" s="62">
        <f>IF('实盘净值数据(iFinD公式)'!A51="","",'实盘净值数据(iFinD公式)'!A51)</f>
        <v/>
      </c>
      <c r="B51" s="61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7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7">
        <f>IF(B51="","",B51/MAX(B$5:B51)-1)</f>
        <v/>
      </c>
      <c r="E51" s="61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7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7">
        <f>IF(E51="","",E51/MAX(E$5:E51)-1)</f>
        <v/>
      </c>
      <c r="H51" s="61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7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7">
        <f>IF(H51="","",H51/MAX(H$5:H51)-1)</f>
        <v/>
      </c>
      <c r="K51" s="61">
        <f>IF(OR('实盘净值数据(iFinD公式)'!$A51="",'实盘净值数据(iFinD公式)'!$B51=""),"",分期持仓明细!$AB$9*SUMPRODUCT(分期持仓明细!$B$9:$Y$9,'实盘净值数据(iFinD公式)'!$B51:$Y51/'实盘净值数据(iFinD公式)'!$B$13:$Y$13)*(1-实盘持仓配置!$Z$7)^(('实盘净值数据(iFinD公式)'!$A51-'实盘净值数据(iFinD公式)'!$A$8)/365))</f>
        <v/>
      </c>
      <c r="L51" s="7">
        <f>IF(OR(K50="",K51=""),"",K51/K50-1)</f>
        <v/>
      </c>
      <c r="M51" s="7">
        <f>IF(K51="","",K51/MAX(K$5:K51)-1)</f>
        <v/>
      </c>
      <c r="N51" s="61">
        <f>IF(OR('实盘净值数据(iFinD公式)'!$A51="",'实盘净值数据(iFinD公式)'!$B51=""),"",分期持仓明细!$AB$11*SUMPRODUCT(分期持仓明细!$B$11:$Y$11,'实盘净值数据(iFinD公式)'!$B51:$Y51/'实盘净值数据(iFinD公式)'!$B$13:$Y$13)*(1-实盘持仓配置!$Z$8)^(('实盘净值数据(iFinD公式)'!$A51-'实盘净值数据(iFinD公式)'!$A$5)/365))</f>
        <v/>
      </c>
      <c r="O51" s="7">
        <f>IF(OR(N50="",N51=""),"",N51/N50-1)</f>
        <v/>
      </c>
      <c r="P51" s="7">
        <f>IF(N51="","",N51/MAX(N$5:N51)-1)</f>
        <v/>
      </c>
      <c r="Q51" s="61">
        <f>IF(OR('实盘净值数据(iFinD公式)'!$A51="",'实盘净值数据(iFinD公式)'!$B51=""),"",分期持仓明细!$AB$13*SUMPRODUCT(分期持仓明细!$B$13:$Y$13,'实盘净值数据(iFinD公式)'!$B51:$Y51/'实盘净值数据(iFinD公式)'!$B$13:$Y$13)*(1-实盘持仓配置!$Z$9)^(('实盘净值数据(iFinD公式)'!$A51-'实盘净值数据(iFinD公式)'!$A$8)/365))</f>
        <v/>
      </c>
      <c r="R51" s="7">
        <f>IF(OR(Q50="",Q51=""),"",Q51/Q50-1)</f>
        <v/>
      </c>
      <c r="S51" s="7">
        <f>IF(Q51="","",Q51/MAX(Q$5:Q51)-1)</f>
        <v/>
      </c>
    </row>
    <row r="52">
      <c r="A52" s="62">
        <f>IF('实盘净值数据(iFinD公式)'!A52="","",'实盘净值数据(iFinD公式)'!A52)</f>
        <v/>
      </c>
      <c r="B52" s="61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7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7">
        <f>IF(B52="","",B52/MAX(B$5:B52)-1)</f>
        <v/>
      </c>
      <c r="E52" s="61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7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7">
        <f>IF(E52="","",E52/MAX(E$5:E52)-1)</f>
        <v/>
      </c>
      <c r="H52" s="61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7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7">
        <f>IF(H52="","",H52/MAX(H$5:H52)-1)</f>
        <v/>
      </c>
      <c r="K52" s="61">
        <f>IF(OR('实盘净值数据(iFinD公式)'!$A52="",'实盘净值数据(iFinD公式)'!$B52=""),"",分期持仓明细!$AB$9*SUMPRODUCT(分期持仓明细!$B$9:$Y$9,'实盘净值数据(iFinD公式)'!$B52:$Y52/'实盘净值数据(iFinD公式)'!$B$13:$Y$13)*(1-实盘持仓配置!$Z$7)^(('实盘净值数据(iFinD公式)'!$A52-'实盘净值数据(iFinD公式)'!$A$8)/365))</f>
        <v/>
      </c>
      <c r="L52" s="7">
        <f>IF(OR(K51="",K52=""),"",K52/K51-1)</f>
        <v/>
      </c>
      <c r="M52" s="7">
        <f>IF(K52="","",K52/MAX(K$5:K52)-1)</f>
        <v/>
      </c>
      <c r="N52" s="61">
        <f>IF(OR('实盘净值数据(iFinD公式)'!$A52="",'实盘净值数据(iFinD公式)'!$B52=""),"",分期持仓明细!$AB$11*SUMPRODUCT(分期持仓明细!$B$11:$Y$11,'实盘净值数据(iFinD公式)'!$B52:$Y52/'实盘净值数据(iFinD公式)'!$B$13:$Y$13)*(1-实盘持仓配置!$Z$8)^(('实盘净值数据(iFinD公式)'!$A52-'实盘净值数据(iFinD公式)'!$A$5)/365))</f>
        <v/>
      </c>
      <c r="O52" s="7">
        <f>IF(OR(N51="",N52=""),"",N52/N51-1)</f>
        <v/>
      </c>
      <c r="P52" s="7">
        <f>IF(N52="","",N52/MAX(N$5:N52)-1)</f>
        <v/>
      </c>
      <c r="Q52" s="61">
        <f>IF(OR('实盘净值数据(iFinD公式)'!$A52="",'实盘净值数据(iFinD公式)'!$B52=""),"",分期持仓明细!$AB$13*SUMPRODUCT(分期持仓明细!$B$13:$Y$13,'实盘净值数据(iFinD公式)'!$B52:$Y52/'实盘净值数据(iFinD公式)'!$B$13:$Y$13)*(1-实盘持仓配置!$Z$9)^(('实盘净值数据(iFinD公式)'!$A52-'实盘净值数据(iFinD公式)'!$A$8)/365))</f>
        <v/>
      </c>
      <c r="R52" s="7">
        <f>IF(OR(Q51="",Q52=""),"",Q52/Q51-1)</f>
        <v/>
      </c>
      <c r="S52" s="7">
        <f>IF(Q52="","",Q52/MAX(Q$5:Q52)-1)</f>
        <v/>
      </c>
    </row>
    <row r="53">
      <c r="A53" s="62">
        <f>IF('实盘净值数据(iFinD公式)'!A53="","",'实盘净值数据(iFinD公式)'!A53)</f>
        <v/>
      </c>
      <c r="B53" s="61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7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7">
        <f>IF(B53="","",B53/MAX(B$5:B53)-1)</f>
        <v/>
      </c>
      <c r="E53" s="61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7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7">
        <f>IF(E53="","",E53/MAX(E$5:E53)-1)</f>
        <v/>
      </c>
      <c r="H53" s="61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7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7">
        <f>IF(H53="","",H53/MAX(H$5:H53)-1)</f>
        <v/>
      </c>
      <c r="K53" s="61">
        <f>IF(OR('实盘净值数据(iFinD公式)'!$A53="",'实盘净值数据(iFinD公式)'!$B53=""),"",分期持仓明细!$AB$9*SUMPRODUCT(分期持仓明细!$B$9:$Y$9,'实盘净值数据(iFinD公式)'!$B53:$Y53/'实盘净值数据(iFinD公式)'!$B$13:$Y$13)*(1-实盘持仓配置!$Z$7)^(('实盘净值数据(iFinD公式)'!$A53-'实盘净值数据(iFinD公式)'!$A$8)/365))</f>
        <v/>
      </c>
      <c r="L53" s="7">
        <f>IF(OR(K52="",K53=""),"",K53/K52-1)</f>
        <v/>
      </c>
      <c r="M53" s="7">
        <f>IF(K53="","",K53/MAX(K$5:K53)-1)</f>
        <v/>
      </c>
      <c r="N53" s="61">
        <f>IF(OR('实盘净值数据(iFinD公式)'!$A53="",'实盘净值数据(iFinD公式)'!$B53=""),"",分期持仓明细!$AB$11*SUMPRODUCT(分期持仓明细!$B$11:$Y$11,'实盘净值数据(iFinD公式)'!$B53:$Y53/'实盘净值数据(iFinD公式)'!$B$13:$Y$13)*(1-实盘持仓配置!$Z$8)^(('实盘净值数据(iFinD公式)'!$A53-'实盘净值数据(iFinD公式)'!$A$5)/365))</f>
        <v/>
      </c>
      <c r="O53" s="7">
        <f>IF(OR(N52="",N53=""),"",N53/N52-1)</f>
        <v/>
      </c>
      <c r="P53" s="7">
        <f>IF(N53="","",N53/MAX(N$5:N53)-1)</f>
        <v/>
      </c>
      <c r="Q53" s="61">
        <f>IF(OR('实盘净值数据(iFinD公式)'!$A53="",'实盘净值数据(iFinD公式)'!$B53=""),"",分期持仓明细!$AB$13*SUMPRODUCT(分期持仓明细!$B$13:$Y$13,'实盘净值数据(iFinD公式)'!$B53:$Y53/'实盘净值数据(iFinD公式)'!$B$13:$Y$13)*(1-实盘持仓配置!$Z$9)^(('实盘净值数据(iFinD公式)'!$A53-'实盘净值数据(iFinD公式)'!$A$8)/365))</f>
        <v/>
      </c>
      <c r="R53" s="7">
        <f>IF(OR(Q52="",Q53=""),"",Q53/Q52-1)</f>
        <v/>
      </c>
      <c r="S53" s="7">
        <f>IF(Q53="","",Q53/MAX(Q$5:Q53)-1)</f>
        <v/>
      </c>
    </row>
    <row r="54">
      <c r="A54" s="62">
        <f>IF('实盘净值数据(iFinD公式)'!A54="","",'实盘净值数据(iFinD公式)'!A54)</f>
        <v/>
      </c>
      <c r="B54" s="61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7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7">
        <f>IF(B54="","",B54/MAX(B$5:B54)-1)</f>
        <v/>
      </c>
      <c r="E54" s="61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7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7">
        <f>IF(E54="","",E54/MAX(E$5:E54)-1)</f>
        <v/>
      </c>
      <c r="H54" s="61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7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7">
        <f>IF(H54="","",H54/MAX(H$5:H54)-1)</f>
        <v/>
      </c>
      <c r="K54" s="61">
        <f>IF(OR('实盘净值数据(iFinD公式)'!$A54="",'实盘净值数据(iFinD公式)'!$B54=""),"",分期持仓明细!$AB$9*SUMPRODUCT(分期持仓明细!$B$9:$Y$9,'实盘净值数据(iFinD公式)'!$B54:$Y54/'实盘净值数据(iFinD公式)'!$B$13:$Y$13)*(1-实盘持仓配置!$Z$7)^(('实盘净值数据(iFinD公式)'!$A54-'实盘净值数据(iFinD公式)'!$A$8)/365))</f>
        <v/>
      </c>
      <c r="L54" s="7">
        <f>IF(OR(K53="",K54=""),"",K54/K53-1)</f>
        <v/>
      </c>
      <c r="M54" s="7">
        <f>IF(K54="","",K54/MAX(K$5:K54)-1)</f>
        <v/>
      </c>
      <c r="N54" s="61">
        <f>IF(OR('实盘净值数据(iFinD公式)'!$A54="",'实盘净值数据(iFinD公式)'!$B54=""),"",分期持仓明细!$AB$11*SUMPRODUCT(分期持仓明细!$B$11:$Y$11,'实盘净值数据(iFinD公式)'!$B54:$Y54/'实盘净值数据(iFinD公式)'!$B$13:$Y$13)*(1-实盘持仓配置!$Z$8)^(('实盘净值数据(iFinD公式)'!$A54-'实盘净值数据(iFinD公式)'!$A$5)/365))</f>
        <v/>
      </c>
      <c r="O54" s="7">
        <f>IF(OR(N53="",N54=""),"",N54/N53-1)</f>
        <v/>
      </c>
      <c r="P54" s="7">
        <f>IF(N54="","",N54/MAX(N$5:N54)-1)</f>
        <v/>
      </c>
      <c r="Q54" s="61">
        <f>IF(OR('实盘净值数据(iFinD公式)'!$A54="",'实盘净值数据(iFinD公式)'!$B54=""),"",分期持仓明细!$AB$13*SUMPRODUCT(分期持仓明细!$B$13:$Y$13,'实盘净值数据(iFinD公式)'!$B54:$Y54/'实盘净值数据(iFinD公式)'!$B$13:$Y$13)*(1-实盘持仓配置!$Z$9)^(('实盘净值数据(iFinD公式)'!$A54-'实盘净值数据(iFinD公式)'!$A$8)/365))</f>
        <v/>
      </c>
      <c r="R54" s="7">
        <f>IF(OR(Q53="",Q54=""),"",Q54/Q53-1)</f>
        <v/>
      </c>
      <c r="S54" s="7">
        <f>IF(Q54="","",Q54/MAX(Q$5:Q54)-1)</f>
        <v/>
      </c>
    </row>
    <row r="55">
      <c r="A55" s="62">
        <f>IF('实盘净值数据(iFinD公式)'!A55="","",'实盘净值数据(iFinD公式)'!A55)</f>
        <v/>
      </c>
      <c r="B55" s="61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7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7">
        <f>IF(B55="","",B55/MAX(B$5:B55)-1)</f>
        <v/>
      </c>
      <c r="E55" s="61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7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7">
        <f>IF(E55="","",E55/MAX(E$5:E55)-1)</f>
        <v/>
      </c>
      <c r="H55" s="61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7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7">
        <f>IF(H55="","",H55/MAX(H$5:H55)-1)</f>
        <v/>
      </c>
      <c r="K55" s="61">
        <f>IF(OR('实盘净值数据(iFinD公式)'!$A55="",'实盘净值数据(iFinD公式)'!$B55=""),"",分期持仓明细!$AB$9*SUMPRODUCT(分期持仓明细!$B$9:$Y$9,'实盘净值数据(iFinD公式)'!$B55:$Y55/'实盘净值数据(iFinD公式)'!$B$13:$Y$13)*(1-实盘持仓配置!$Z$7)^(('实盘净值数据(iFinD公式)'!$A55-'实盘净值数据(iFinD公式)'!$A$8)/365))</f>
        <v/>
      </c>
      <c r="L55" s="7">
        <f>IF(OR(K54="",K55=""),"",K55/K54-1)</f>
        <v/>
      </c>
      <c r="M55" s="7">
        <f>IF(K55="","",K55/MAX(K$5:K55)-1)</f>
        <v/>
      </c>
      <c r="N55" s="61">
        <f>IF(OR('实盘净值数据(iFinD公式)'!$A55="",'实盘净值数据(iFinD公式)'!$B55=""),"",分期持仓明细!$AB$11*SUMPRODUCT(分期持仓明细!$B$11:$Y$11,'实盘净值数据(iFinD公式)'!$B55:$Y55/'实盘净值数据(iFinD公式)'!$B$13:$Y$13)*(1-实盘持仓配置!$Z$8)^(('实盘净值数据(iFinD公式)'!$A55-'实盘净值数据(iFinD公式)'!$A$5)/365))</f>
        <v/>
      </c>
      <c r="O55" s="7">
        <f>IF(OR(N54="",N55=""),"",N55/N54-1)</f>
        <v/>
      </c>
      <c r="P55" s="7">
        <f>IF(N55="","",N55/MAX(N$5:N55)-1)</f>
        <v/>
      </c>
      <c r="Q55" s="61">
        <f>IF(OR('实盘净值数据(iFinD公式)'!$A55="",'实盘净值数据(iFinD公式)'!$B55=""),"",分期持仓明细!$AB$13*SUMPRODUCT(分期持仓明细!$B$13:$Y$13,'实盘净值数据(iFinD公式)'!$B55:$Y55/'实盘净值数据(iFinD公式)'!$B$13:$Y$13)*(1-实盘持仓配置!$Z$9)^(('实盘净值数据(iFinD公式)'!$A55-'实盘净值数据(iFinD公式)'!$A$8)/365))</f>
        <v/>
      </c>
      <c r="R55" s="7">
        <f>IF(OR(Q54="",Q55=""),"",Q55/Q54-1)</f>
        <v/>
      </c>
      <c r="S55" s="7">
        <f>IF(Q55="","",Q55/MAX(Q$5:Q55)-1)</f>
        <v/>
      </c>
    </row>
    <row r="56">
      <c r="A56" s="62">
        <f>IF('实盘净值数据(iFinD公式)'!A56="","",'实盘净值数据(iFinD公式)'!A56)</f>
        <v/>
      </c>
      <c r="B56" s="61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7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7">
        <f>IF(B56="","",B56/MAX(B$5:B56)-1)</f>
        <v/>
      </c>
      <c r="E56" s="61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7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7">
        <f>IF(E56="","",E56/MAX(E$5:E56)-1)</f>
        <v/>
      </c>
      <c r="H56" s="61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7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7">
        <f>IF(H56="","",H56/MAX(H$5:H56)-1)</f>
        <v/>
      </c>
      <c r="K56" s="61">
        <f>IF(OR('实盘净值数据(iFinD公式)'!$A56="",'实盘净值数据(iFinD公式)'!$B56=""),"",分期持仓明细!$AB$9*SUMPRODUCT(分期持仓明细!$B$9:$Y$9,'实盘净值数据(iFinD公式)'!$B56:$Y56/'实盘净值数据(iFinD公式)'!$B$13:$Y$13)*(1-实盘持仓配置!$Z$7)^(('实盘净值数据(iFinD公式)'!$A56-'实盘净值数据(iFinD公式)'!$A$8)/365))</f>
        <v/>
      </c>
      <c r="L56" s="7">
        <f>IF(OR(K55="",K56=""),"",K56/K55-1)</f>
        <v/>
      </c>
      <c r="M56" s="7">
        <f>IF(K56="","",K56/MAX(K$5:K56)-1)</f>
        <v/>
      </c>
      <c r="N56" s="61">
        <f>IF(OR('实盘净值数据(iFinD公式)'!$A56="",'实盘净值数据(iFinD公式)'!$B56=""),"",分期持仓明细!$AB$11*SUMPRODUCT(分期持仓明细!$B$11:$Y$11,'实盘净值数据(iFinD公式)'!$B56:$Y56/'实盘净值数据(iFinD公式)'!$B$13:$Y$13)*(1-实盘持仓配置!$Z$8)^(('实盘净值数据(iFinD公式)'!$A56-'实盘净值数据(iFinD公式)'!$A$5)/365))</f>
        <v/>
      </c>
      <c r="O56" s="7">
        <f>IF(OR(N55="",N56=""),"",N56/N55-1)</f>
        <v/>
      </c>
      <c r="P56" s="7">
        <f>IF(N56="","",N56/MAX(N$5:N56)-1)</f>
        <v/>
      </c>
      <c r="Q56" s="61">
        <f>IF(OR('实盘净值数据(iFinD公式)'!$A56="",'实盘净值数据(iFinD公式)'!$B56=""),"",分期持仓明细!$AB$13*SUMPRODUCT(分期持仓明细!$B$13:$Y$13,'实盘净值数据(iFinD公式)'!$B56:$Y56/'实盘净值数据(iFinD公式)'!$B$13:$Y$13)*(1-实盘持仓配置!$Z$9)^(('实盘净值数据(iFinD公式)'!$A56-'实盘净值数据(iFinD公式)'!$A$8)/365))</f>
        <v/>
      </c>
      <c r="R56" s="7">
        <f>IF(OR(Q55="",Q56=""),"",Q56/Q55-1)</f>
        <v/>
      </c>
      <c r="S56" s="7">
        <f>IF(Q56="","",Q56/MAX(Q$5:Q56)-1)</f>
        <v/>
      </c>
    </row>
    <row r="57">
      <c r="A57" s="62">
        <f>IF('实盘净值数据(iFinD公式)'!A57="","",'实盘净值数据(iFinD公式)'!A57)</f>
        <v/>
      </c>
      <c r="B57" s="61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7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7">
        <f>IF(B57="","",B57/MAX(B$5:B57)-1)</f>
        <v/>
      </c>
      <c r="E57" s="61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7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7">
        <f>IF(E57="","",E57/MAX(E$5:E57)-1)</f>
        <v/>
      </c>
      <c r="H57" s="61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7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7">
        <f>IF(H57="","",H57/MAX(H$5:H57)-1)</f>
        <v/>
      </c>
      <c r="K57" s="61">
        <f>IF(OR('实盘净值数据(iFinD公式)'!$A57="",'实盘净值数据(iFinD公式)'!$B57=""),"",分期持仓明细!$AB$9*SUMPRODUCT(分期持仓明细!$B$9:$Y$9,'实盘净值数据(iFinD公式)'!$B57:$Y57/'实盘净值数据(iFinD公式)'!$B$13:$Y$13)*(1-实盘持仓配置!$Z$7)^(('实盘净值数据(iFinD公式)'!$A57-'实盘净值数据(iFinD公式)'!$A$8)/365))</f>
        <v/>
      </c>
      <c r="L57" s="7">
        <f>IF(OR(K56="",K57=""),"",K57/K56-1)</f>
        <v/>
      </c>
      <c r="M57" s="7">
        <f>IF(K57="","",K57/MAX(K$5:K57)-1)</f>
        <v/>
      </c>
      <c r="N57" s="61">
        <f>IF(OR('实盘净值数据(iFinD公式)'!$A57="",'实盘净值数据(iFinD公式)'!$B57=""),"",分期持仓明细!$AB$11*SUMPRODUCT(分期持仓明细!$B$11:$Y$11,'实盘净值数据(iFinD公式)'!$B57:$Y57/'实盘净值数据(iFinD公式)'!$B$13:$Y$13)*(1-实盘持仓配置!$Z$8)^(('实盘净值数据(iFinD公式)'!$A57-'实盘净值数据(iFinD公式)'!$A$5)/365))</f>
        <v/>
      </c>
      <c r="O57" s="7">
        <f>IF(OR(N56="",N57=""),"",N57/N56-1)</f>
        <v/>
      </c>
      <c r="P57" s="7">
        <f>IF(N57="","",N57/MAX(N$5:N57)-1)</f>
        <v/>
      </c>
      <c r="Q57" s="61">
        <f>IF(OR('实盘净值数据(iFinD公式)'!$A57="",'实盘净值数据(iFinD公式)'!$B57=""),"",分期持仓明细!$AB$13*SUMPRODUCT(分期持仓明细!$B$13:$Y$13,'实盘净值数据(iFinD公式)'!$B57:$Y57/'实盘净值数据(iFinD公式)'!$B$13:$Y$13)*(1-实盘持仓配置!$Z$9)^(('实盘净值数据(iFinD公式)'!$A57-'实盘净值数据(iFinD公式)'!$A$8)/365))</f>
        <v/>
      </c>
      <c r="R57" s="7">
        <f>IF(OR(Q56="",Q57=""),"",Q57/Q56-1)</f>
        <v/>
      </c>
      <c r="S57" s="7">
        <f>IF(Q57="","",Q57/MAX(Q$5:Q57)-1)</f>
        <v/>
      </c>
    </row>
    <row r="58">
      <c r="A58" s="62">
        <f>IF('实盘净值数据(iFinD公式)'!A58="","",'实盘净值数据(iFinD公式)'!A58)</f>
        <v/>
      </c>
      <c r="B58" s="61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7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7">
        <f>IF(B58="","",B58/MAX(B$5:B58)-1)</f>
        <v/>
      </c>
      <c r="E58" s="61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7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7">
        <f>IF(E58="","",E58/MAX(E$5:E58)-1)</f>
        <v/>
      </c>
      <c r="H58" s="61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7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7">
        <f>IF(H58="","",H58/MAX(H$5:H58)-1)</f>
        <v/>
      </c>
      <c r="K58" s="61">
        <f>IF(OR('实盘净值数据(iFinD公式)'!$A58="",'实盘净值数据(iFinD公式)'!$B58=""),"",分期持仓明细!$AB$9*SUMPRODUCT(分期持仓明细!$B$9:$Y$9,'实盘净值数据(iFinD公式)'!$B58:$Y58/'实盘净值数据(iFinD公式)'!$B$13:$Y$13)*(1-实盘持仓配置!$Z$7)^(('实盘净值数据(iFinD公式)'!$A58-'实盘净值数据(iFinD公式)'!$A$8)/365))</f>
        <v/>
      </c>
      <c r="L58" s="7">
        <f>IF(OR(K57="",K58=""),"",K58/K57-1)</f>
        <v/>
      </c>
      <c r="M58" s="7">
        <f>IF(K58="","",K58/MAX(K$5:K58)-1)</f>
        <v/>
      </c>
      <c r="N58" s="61">
        <f>IF(OR('实盘净值数据(iFinD公式)'!$A58="",'实盘净值数据(iFinD公式)'!$B58=""),"",分期持仓明细!$AB$11*SUMPRODUCT(分期持仓明细!$B$11:$Y$11,'实盘净值数据(iFinD公式)'!$B58:$Y58/'实盘净值数据(iFinD公式)'!$B$13:$Y$13)*(1-实盘持仓配置!$Z$8)^(('实盘净值数据(iFinD公式)'!$A58-'实盘净值数据(iFinD公式)'!$A$5)/365))</f>
        <v/>
      </c>
      <c r="O58" s="7">
        <f>IF(OR(N57="",N58=""),"",N58/N57-1)</f>
        <v/>
      </c>
      <c r="P58" s="7">
        <f>IF(N58="","",N58/MAX(N$5:N58)-1)</f>
        <v/>
      </c>
      <c r="Q58" s="61">
        <f>IF(OR('实盘净值数据(iFinD公式)'!$A58="",'实盘净值数据(iFinD公式)'!$B58=""),"",分期持仓明细!$AB$13*SUMPRODUCT(分期持仓明细!$B$13:$Y$13,'实盘净值数据(iFinD公式)'!$B58:$Y58/'实盘净值数据(iFinD公式)'!$B$13:$Y$13)*(1-实盘持仓配置!$Z$9)^(('实盘净值数据(iFinD公式)'!$A58-'实盘净值数据(iFinD公式)'!$A$8)/365))</f>
        <v/>
      </c>
      <c r="R58" s="7">
        <f>IF(OR(Q57="",Q58=""),"",Q58/Q57-1)</f>
        <v/>
      </c>
      <c r="S58" s="7">
        <f>IF(Q58="","",Q58/MAX(Q$5:Q58)-1)</f>
        <v/>
      </c>
    </row>
    <row r="59">
      <c r="A59" s="62">
        <f>IF('实盘净值数据(iFinD公式)'!A59="","",'实盘净值数据(iFinD公式)'!A59)</f>
        <v/>
      </c>
      <c r="B59" s="61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7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7">
        <f>IF(B59="","",B59/MAX(B$5:B59)-1)</f>
        <v/>
      </c>
      <c r="E59" s="61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7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7">
        <f>IF(E59="","",E59/MAX(E$5:E59)-1)</f>
        <v/>
      </c>
      <c r="H59" s="61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7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7">
        <f>IF(H59="","",H59/MAX(H$5:H59)-1)</f>
        <v/>
      </c>
      <c r="K59" s="61">
        <f>IF(OR('实盘净值数据(iFinD公式)'!$A59="",'实盘净值数据(iFinD公式)'!$B59=""),"",分期持仓明细!$AB$9*SUMPRODUCT(分期持仓明细!$B$9:$Y$9,'实盘净值数据(iFinD公式)'!$B59:$Y59/'实盘净值数据(iFinD公式)'!$B$13:$Y$13)*(1-实盘持仓配置!$Z$7)^(('实盘净值数据(iFinD公式)'!$A59-'实盘净值数据(iFinD公式)'!$A$8)/365))</f>
        <v/>
      </c>
      <c r="L59" s="7">
        <f>IF(OR(K58="",K59=""),"",K59/K58-1)</f>
        <v/>
      </c>
      <c r="M59" s="7">
        <f>IF(K59="","",K59/MAX(K$5:K59)-1)</f>
        <v/>
      </c>
      <c r="N59" s="61">
        <f>IF(OR('实盘净值数据(iFinD公式)'!$A59="",'实盘净值数据(iFinD公式)'!$B59=""),"",分期持仓明细!$AB$11*SUMPRODUCT(分期持仓明细!$B$11:$Y$11,'实盘净值数据(iFinD公式)'!$B59:$Y59/'实盘净值数据(iFinD公式)'!$B$13:$Y$13)*(1-实盘持仓配置!$Z$8)^(('实盘净值数据(iFinD公式)'!$A59-'实盘净值数据(iFinD公式)'!$A$5)/365))</f>
        <v/>
      </c>
      <c r="O59" s="7">
        <f>IF(OR(N58="",N59=""),"",N59/N58-1)</f>
        <v/>
      </c>
      <c r="P59" s="7">
        <f>IF(N59="","",N59/MAX(N$5:N59)-1)</f>
        <v/>
      </c>
      <c r="Q59" s="61">
        <f>IF(OR('实盘净值数据(iFinD公式)'!$A59="",'实盘净值数据(iFinD公式)'!$B59=""),"",分期持仓明细!$AB$13*SUMPRODUCT(分期持仓明细!$B$13:$Y$13,'实盘净值数据(iFinD公式)'!$B59:$Y59/'实盘净值数据(iFinD公式)'!$B$13:$Y$13)*(1-实盘持仓配置!$Z$9)^(('实盘净值数据(iFinD公式)'!$A59-'实盘净值数据(iFinD公式)'!$A$8)/365))</f>
        <v/>
      </c>
      <c r="R59" s="7">
        <f>IF(OR(Q58="",Q59=""),"",Q59/Q58-1)</f>
        <v/>
      </c>
      <c r="S59" s="7">
        <f>IF(Q59="","",Q59/MAX(Q$5:Q59)-1)</f>
        <v/>
      </c>
    </row>
    <row r="61" ht="14.5" customHeight="1" s="48">
      <c r="A61" s="55" t="inlineStr">
        <is>
          <t>各组合自其净值起始日起=1.0000；买入持有，权重随涨跌漂移；净值已按各自年化费率折每日扣费。新增日期下拉填充。</t>
        </is>
      </c>
    </row>
    <row r="64"/>
    <row r="65"/>
    <row r="66"/>
    <row r="67"/>
    <row r="68"/>
    <row r="69"/>
    <row r="70"/>
    <row r="71"/>
    <row r="72"/>
    <row r="73"/>
    <row r="74"/>
    <row r="75"/>
  </sheetData>
  <mergeCells count="1">
    <mergeCell ref="A1:J2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22" customWidth="1" style="48" min="1" max="1"/>
    <col width="8.5" customWidth="1" style="48" min="2" max="2"/>
    <col width="8.5" customWidth="1" style="48" min="3" max="3"/>
    <col width="8.5" customWidth="1" style="48" min="4" max="4"/>
    <col width="8.5" customWidth="1" style="48" min="5" max="5"/>
    <col width="8.5" customWidth="1" style="48" min="6" max="6"/>
    <col width="8.5" customWidth="1" style="48" min="7" max="7"/>
    <col width="8.5" customWidth="1" style="48" min="8" max="8"/>
    <col width="8.5" customWidth="1" style="48" min="9" max="9"/>
    <col width="8.5" customWidth="1" style="48" min="10" max="10"/>
    <col width="8.5" customWidth="1" style="48" min="11" max="11"/>
    <col width="8.5" customWidth="1" style="48" min="12" max="12"/>
    <col width="8.5" customWidth="1" style="48" min="13" max="13"/>
    <col width="8.5" customWidth="1" style="48" min="14" max="14"/>
    <col width="8.5" customWidth="1" style="48" min="15" max="15"/>
    <col width="8.5" customWidth="1" style="48" min="16" max="16"/>
    <col width="8.5" customWidth="1" style="48" min="17" max="17"/>
    <col width="8.5" customWidth="1" style="48" min="18" max="18"/>
    <col width="8.5" customWidth="1" style="48" min="19" max="19"/>
    <col width="8.5" customWidth="1" style="48" min="20" max="20"/>
    <col width="8.5" customWidth="1" style="48" min="21" max="21"/>
    <col width="8.5" customWidth="1" style="48" min="22" max="22"/>
    <col width="8.5" customWidth="1" style="48" min="23" max="23"/>
    <col width="8.5" customWidth="1" style="48" min="24" max="24"/>
    <col width="8.5" customWidth="1" style="48" min="25" max="25"/>
    <col width="12" customWidth="1" style="48" min="27" max="27"/>
    <col width="13" customWidth="1" style="48" min="28" max="28"/>
  </cols>
  <sheetData>
    <row r="1">
      <c r="A1" t="inlineStr">
        <is>
          <t>分期持仓明细（每次调仓后的组合权重；P0=初始建仓，P1=7/1调仓后…）</t>
        </is>
      </c>
    </row>
    <row r="2">
      <c r="A2" t="inlineStr">
        <is>
          <t>基金简称</t>
        </is>
      </c>
      <c r="B2" t="inlineStr">
        <is>
          <t>华安黄金ETF联接A</t>
        </is>
      </c>
      <c r="C2" t="inlineStr">
        <is>
          <t>嘉实快线货币A</t>
        </is>
      </c>
      <c r="D2" t="inlineStr">
        <is>
          <t>宏利复兴混合A</t>
        </is>
      </c>
      <c r="E2" t="inlineStr">
        <is>
          <t>博道沪深300增强A</t>
        </is>
      </c>
      <c r="F2" t="inlineStr">
        <is>
          <t>博道沪深300指增C</t>
        </is>
      </c>
      <c r="G2" t="inlineStr">
        <is>
          <t>国泰通信设备ETF联接A</t>
        </is>
      </c>
      <c r="H2" t="inlineStr">
        <is>
          <t>国泰通信设备C</t>
        </is>
      </c>
      <c r="I2" t="inlineStr">
        <is>
          <t>嘉实前沿科技创新</t>
        </is>
      </c>
      <c r="J2" t="inlineStr">
        <is>
          <t>银华集成电路混合A</t>
        </is>
      </c>
      <c r="K2" t="inlineStr">
        <is>
          <t>银华集成电路混合C</t>
        </is>
      </c>
      <c r="L2" t="inlineStr">
        <is>
          <t>天弘中证1000指增A</t>
        </is>
      </c>
      <c r="M2" t="inlineStr">
        <is>
          <t>天弘中证1000指增C</t>
        </is>
      </c>
      <c r="N2" t="inlineStr">
        <is>
          <t>中欧中证500指增A</t>
        </is>
      </c>
      <c r="O2" t="inlineStr">
        <is>
          <t>中欧中证500指增C</t>
        </is>
      </c>
      <c r="P2" t="inlineStr">
        <is>
          <t>信澳业绩驱动A</t>
        </is>
      </c>
      <c r="Q2" t="inlineStr">
        <is>
          <t>嘉实信息产业A</t>
        </is>
      </c>
      <c r="R2" t="inlineStr">
        <is>
          <t>嘉实信息产业C</t>
        </is>
      </c>
      <c r="S2" t="inlineStr">
        <is>
          <t>宏利复兴伟业C</t>
        </is>
      </c>
      <c r="T2" t="inlineStr">
        <is>
          <t>国泰半导体材料设备ETF联接A</t>
        </is>
      </c>
      <c r="U2" t="inlineStr">
        <is>
          <t>国泰半导体材料设备C</t>
        </is>
      </c>
      <c r="V2" t="inlineStr">
        <is>
          <t>华泰柏瑞中证2000指增A</t>
        </is>
      </c>
      <c r="W2" t="inlineStr">
        <is>
          <t>华泰柏瑞中证2000指增C</t>
        </is>
      </c>
      <c r="X2" t="inlineStr">
        <is>
          <t>易方达中债新综指LOFA</t>
        </is>
      </c>
      <c r="Y2" t="inlineStr">
        <is>
          <t>宏利领先中小盘混合</t>
        </is>
      </c>
      <c r="Z2" t="inlineStr">
        <is>
          <t>合计</t>
        </is>
      </c>
      <c r="AA2" t="inlineStr">
        <is>
          <t>生效日</t>
        </is>
      </c>
      <c r="AB2" t="inlineStr">
        <is>
          <t>累计因子(自动)</t>
        </is>
      </c>
    </row>
    <row r="3">
      <c r="A3" t="inlineStr">
        <is>
          <t>基金代码</t>
        </is>
      </c>
      <c r="B3" t="inlineStr">
        <is>
          <t>000216</t>
        </is>
      </c>
      <c r="C3" t="inlineStr">
        <is>
          <t>000917</t>
        </is>
      </c>
      <c r="D3" t="inlineStr">
        <is>
          <t>001170</t>
        </is>
      </c>
      <c r="E3" t="inlineStr">
        <is>
          <t>007044</t>
        </is>
      </c>
      <c r="F3" t="inlineStr">
        <is>
          <t>007045</t>
        </is>
      </c>
      <c r="G3" t="inlineStr">
        <is>
          <t>007817</t>
        </is>
      </c>
      <c r="H3" t="inlineStr">
        <is>
          <t>007818</t>
        </is>
      </c>
      <c r="I3" t="inlineStr">
        <is>
          <t>009993</t>
        </is>
      </c>
      <c r="J3" t="inlineStr">
        <is>
          <t>013840</t>
        </is>
      </c>
      <c r="K3" t="inlineStr">
        <is>
          <t>013841</t>
        </is>
      </c>
      <c r="L3" t="inlineStr">
        <is>
          <t>014201</t>
        </is>
      </c>
      <c r="M3" t="inlineStr">
        <is>
          <t>014202</t>
        </is>
      </c>
      <c r="N3" t="inlineStr">
        <is>
          <t>015453</t>
        </is>
      </c>
      <c r="O3" t="inlineStr">
        <is>
          <t>015454</t>
        </is>
      </c>
      <c r="P3" t="inlineStr">
        <is>
          <t>016370</t>
        </is>
      </c>
      <c r="Q3" t="inlineStr">
        <is>
          <t>017488</t>
        </is>
      </c>
      <c r="R3" t="inlineStr">
        <is>
          <t>017489</t>
        </is>
      </c>
      <c r="S3" t="inlineStr">
        <is>
          <t>017612</t>
        </is>
      </c>
      <c r="T3" t="inlineStr">
        <is>
          <t>019632</t>
        </is>
      </c>
      <c r="U3" t="inlineStr">
        <is>
          <t>019633</t>
        </is>
      </c>
      <c r="V3" t="inlineStr">
        <is>
          <t>019923</t>
        </is>
      </c>
      <c r="W3" t="inlineStr">
        <is>
          <t>019924</t>
        </is>
      </c>
      <c r="X3" t="inlineStr">
        <is>
          <t>161119</t>
        </is>
      </c>
      <c r="Y3" t="inlineStr">
        <is>
          <t>162214</t>
        </is>
      </c>
    </row>
    <row r="5">
      <c r="A5" t="inlineStr">
        <is>
          <t>产业趋势 · P0初始</t>
        </is>
      </c>
      <c r="B5">
        <f>实盘持仓配置!B4</f>
        <v/>
      </c>
      <c r="C5">
        <f>实盘持仓配置!C4</f>
        <v/>
      </c>
      <c r="D5">
        <f>实盘持仓配置!D4</f>
        <v/>
      </c>
      <c r="E5">
        <f>实盘持仓配置!E4</f>
        <v/>
      </c>
      <c r="F5">
        <f>实盘持仓配置!F4</f>
        <v/>
      </c>
      <c r="G5">
        <f>实盘持仓配置!G4</f>
        <v/>
      </c>
      <c r="H5">
        <f>实盘持仓配置!H4</f>
        <v/>
      </c>
      <c r="I5">
        <f>实盘持仓配置!I4</f>
        <v/>
      </c>
      <c r="J5">
        <f>实盘持仓配置!J4</f>
        <v/>
      </c>
      <c r="K5">
        <f>实盘持仓配置!K4</f>
        <v/>
      </c>
      <c r="L5">
        <f>实盘持仓配置!L4</f>
        <v/>
      </c>
      <c r="M5">
        <f>实盘持仓配置!M4</f>
        <v/>
      </c>
      <c r="N5">
        <f>实盘持仓配置!N4</f>
        <v/>
      </c>
      <c r="O5">
        <f>实盘持仓配置!O4</f>
        <v/>
      </c>
      <c r="P5">
        <f>实盘持仓配置!P4</f>
        <v/>
      </c>
      <c r="Q5">
        <f>实盘持仓配置!Q4</f>
        <v/>
      </c>
      <c r="R5">
        <f>实盘持仓配置!R4</f>
        <v/>
      </c>
      <c r="S5">
        <f>实盘持仓配置!S4</f>
        <v/>
      </c>
      <c r="T5">
        <f>实盘持仓配置!T4</f>
        <v/>
      </c>
      <c r="U5">
        <f>实盘持仓配置!U4</f>
        <v/>
      </c>
      <c r="V5">
        <f>实盘持仓配置!V4</f>
        <v/>
      </c>
      <c r="W5">
        <f>实盘持仓配置!W4</f>
        <v/>
      </c>
      <c r="X5">
        <f>实盘持仓配置!X4</f>
        <v/>
      </c>
      <c r="Y5" t="n">
        <v>0</v>
      </c>
      <c r="Z5">
        <f>SUM(B5:Y5)</f>
        <v/>
      </c>
      <c r="AA5" s="64" t="n">
        <v>46195</v>
      </c>
    </row>
    <row r="6">
      <c r="A6" t="inlineStr">
        <is>
          <t>产业趋势基石 · P0初始</t>
        </is>
      </c>
      <c r="B6">
        <f>实盘持仓配置!B5</f>
        <v/>
      </c>
      <c r="C6">
        <f>实盘持仓配置!C5</f>
        <v/>
      </c>
      <c r="D6">
        <f>实盘持仓配置!D5</f>
        <v/>
      </c>
      <c r="E6">
        <f>实盘持仓配置!E5</f>
        <v/>
      </c>
      <c r="F6">
        <f>实盘持仓配置!F5</f>
        <v/>
      </c>
      <c r="G6">
        <f>实盘持仓配置!G5</f>
        <v/>
      </c>
      <c r="H6">
        <f>实盘持仓配置!H5</f>
        <v/>
      </c>
      <c r="I6">
        <f>实盘持仓配置!I5</f>
        <v/>
      </c>
      <c r="J6">
        <f>实盘持仓配置!J5</f>
        <v/>
      </c>
      <c r="K6">
        <f>实盘持仓配置!K5</f>
        <v/>
      </c>
      <c r="L6">
        <f>实盘持仓配置!L5</f>
        <v/>
      </c>
      <c r="M6">
        <f>实盘持仓配置!M5</f>
        <v/>
      </c>
      <c r="N6">
        <f>实盘持仓配置!N5</f>
        <v/>
      </c>
      <c r="O6">
        <f>实盘持仓配置!O5</f>
        <v/>
      </c>
      <c r="P6">
        <f>实盘持仓配置!P5</f>
        <v/>
      </c>
      <c r="Q6">
        <f>实盘持仓配置!Q5</f>
        <v/>
      </c>
      <c r="R6">
        <f>实盘持仓配置!R5</f>
        <v/>
      </c>
      <c r="S6">
        <f>实盘持仓配置!S5</f>
        <v/>
      </c>
      <c r="T6">
        <f>实盘持仓配置!T5</f>
        <v/>
      </c>
      <c r="U6">
        <f>实盘持仓配置!U5</f>
        <v/>
      </c>
      <c r="V6">
        <f>实盘持仓配置!V5</f>
        <v/>
      </c>
      <c r="W6">
        <f>实盘持仓配置!W5</f>
        <v/>
      </c>
      <c r="X6">
        <f>实盘持仓配置!X5</f>
        <v/>
      </c>
      <c r="Y6" t="n">
        <v>0</v>
      </c>
      <c r="Z6">
        <f>SUM(B6:Y6)</f>
        <v/>
      </c>
      <c r="AA6" s="64" t="n">
        <v>46191</v>
      </c>
    </row>
    <row r="7">
      <c r="A7" t="inlineStr">
        <is>
          <t>产业趋势2号 · P0初始</t>
        </is>
      </c>
      <c r="B7">
        <f>实盘持仓配置!B6</f>
        <v/>
      </c>
      <c r="C7">
        <f>实盘持仓配置!C6</f>
        <v/>
      </c>
      <c r="D7">
        <f>实盘持仓配置!D6</f>
        <v/>
      </c>
      <c r="E7">
        <f>实盘持仓配置!E6</f>
        <v/>
      </c>
      <c r="F7">
        <f>实盘持仓配置!F6</f>
        <v/>
      </c>
      <c r="G7">
        <f>实盘持仓配置!G6</f>
        <v/>
      </c>
      <c r="H7">
        <f>实盘持仓配置!H6</f>
        <v/>
      </c>
      <c r="I7">
        <f>实盘持仓配置!I6</f>
        <v/>
      </c>
      <c r="J7">
        <f>实盘持仓配置!J6</f>
        <v/>
      </c>
      <c r="K7">
        <f>实盘持仓配置!K6</f>
        <v/>
      </c>
      <c r="L7">
        <f>实盘持仓配置!L6</f>
        <v/>
      </c>
      <c r="M7">
        <f>实盘持仓配置!M6</f>
        <v/>
      </c>
      <c r="N7">
        <f>实盘持仓配置!N6</f>
        <v/>
      </c>
      <c r="O7">
        <f>实盘持仓配置!O6</f>
        <v/>
      </c>
      <c r="P7">
        <f>实盘持仓配置!P6</f>
        <v/>
      </c>
      <c r="Q7">
        <f>实盘持仓配置!Q6</f>
        <v/>
      </c>
      <c r="R7">
        <f>实盘持仓配置!R6</f>
        <v/>
      </c>
      <c r="S7">
        <f>实盘持仓配置!S6</f>
        <v/>
      </c>
      <c r="T7">
        <f>实盘持仓配置!T6</f>
        <v/>
      </c>
      <c r="U7">
        <f>实盘持仓配置!U6</f>
        <v/>
      </c>
      <c r="V7">
        <f>实盘持仓配置!V6</f>
        <v/>
      </c>
      <c r="W7">
        <f>实盘持仓配置!W6</f>
        <v/>
      </c>
      <c r="X7">
        <f>实盘持仓配置!X6</f>
        <v/>
      </c>
      <c r="Y7" t="n">
        <v>0</v>
      </c>
      <c r="Z7">
        <f>SUM(B7:Y7)</f>
        <v/>
      </c>
      <c r="AA7" s="64" t="n">
        <v>46196</v>
      </c>
    </row>
    <row r="8">
      <c r="A8" t="inlineStr">
        <is>
          <t>10-90 · P0初始</t>
        </is>
      </c>
      <c r="B8">
        <f>实盘持仓配置!B7</f>
        <v/>
      </c>
      <c r="C8">
        <f>实盘持仓配置!C7</f>
        <v/>
      </c>
      <c r="D8">
        <f>实盘持仓配置!D7</f>
        <v/>
      </c>
      <c r="E8">
        <f>实盘持仓配置!E7</f>
        <v/>
      </c>
      <c r="F8">
        <f>实盘持仓配置!F7</f>
        <v/>
      </c>
      <c r="G8">
        <f>实盘持仓配置!G7</f>
        <v/>
      </c>
      <c r="H8">
        <f>实盘持仓配置!H7</f>
        <v/>
      </c>
      <c r="I8">
        <f>实盘持仓配置!I7</f>
        <v/>
      </c>
      <c r="J8">
        <f>实盘持仓配置!J7</f>
        <v/>
      </c>
      <c r="K8">
        <f>实盘持仓配置!K7</f>
        <v/>
      </c>
      <c r="L8">
        <f>实盘持仓配置!L7</f>
        <v/>
      </c>
      <c r="M8">
        <f>实盘持仓配置!M7</f>
        <v/>
      </c>
      <c r="N8">
        <f>实盘持仓配置!N7</f>
        <v/>
      </c>
      <c r="O8">
        <f>实盘持仓配置!O7</f>
        <v/>
      </c>
      <c r="P8">
        <f>实盘持仓配置!P7</f>
        <v/>
      </c>
      <c r="Q8">
        <f>实盘持仓配置!Q7</f>
        <v/>
      </c>
      <c r="R8">
        <f>实盘持仓配置!R7</f>
        <v/>
      </c>
      <c r="S8">
        <f>实盘持仓配置!S7</f>
        <v/>
      </c>
      <c r="T8">
        <f>实盘持仓配置!T7</f>
        <v/>
      </c>
      <c r="U8">
        <f>实盘持仓配置!U7</f>
        <v/>
      </c>
      <c r="V8">
        <f>实盘持仓配置!V7</f>
        <v/>
      </c>
      <c r="W8">
        <f>实盘持仓配置!W7</f>
        <v/>
      </c>
      <c r="X8">
        <f>实盘持仓配置!X7</f>
        <v/>
      </c>
      <c r="Y8" t="n">
        <v>0</v>
      </c>
      <c r="Z8">
        <f>SUM(B8:Y8)</f>
        <v/>
      </c>
      <c r="AA8" s="64" t="n">
        <v>46197</v>
      </c>
    </row>
    <row r="9">
      <c r="A9" t="inlineStr">
        <is>
          <t>10-90 · P1(7/1调仓后)</t>
        </is>
      </c>
      <c r="B9">
        <f>B$8*'实盘净值数据(iFinD公式)'!B$13/'实盘净值数据(iFinD公式)'!B$8/$AB$9</f>
        <v/>
      </c>
      <c r="C9">
        <f>C$8*'实盘净值数据(iFinD公式)'!C$13/'实盘净值数据(iFinD公式)'!C$8/$AB$9-0.01</f>
        <v/>
      </c>
      <c r="D9">
        <f>D$8*'实盘净值数据(iFinD公式)'!D$13/'实盘净值数据(iFinD公式)'!D$8/$AB$9</f>
        <v/>
      </c>
      <c r="E9">
        <f>E$8*'实盘净值数据(iFinD公式)'!E$13/'实盘净值数据(iFinD公式)'!E$8/$AB$9</f>
        <v/>
      </c>
      <c r="F9">
        <f>F$8*'实盘净值数据(iFinD公式)'!F$13/'实盘净值数据(iFinD公式)'!F$8/$AB$9</f>
        <v/>
      </c>
      <c r="G9">
        <f>G$8*'实盘净值数据(iFinD公式)'!G$13/'实盘净值数据(iFinD公式)'!G$8/$AB$9</f>
        <v/>
      </c>
      <c r="H9">
        <f>H$8*'实盘净值数据(iFinD公式)'!H$13/'实盘净值数据(iFinD公式)'!H$8/$AB$9</f>
        <v/>
      </c>
      <c r="I9">
        <f>I$8*'实盘净值数据(iFinD公式)'!I$13/'实盘净值数据(iFinD公式)'!I$8/$AB$9</f>
        <v/>
      </c>
      <c r="J9">
        <f>J$8*'实盘净值数据(iFinD公式)'!J$13/'实盘净值数据(iFinD公式)'!J$8/$AB$9</f>
        <v/>
      </c>
      <c r="K9">
        <f>K$8*'实盘净值数据(iFinD公式)'!K$13/'实盘净值数据(iFinD公式)'!K$8/$AB$9</f>
        <v/>
      </c>
      <c r="L9">
        <f>L$8*'实盘净值数据(iFinD公式)'!L$13/'实盘净值数据(iFinD公式)'!L$8/$AB$9</f>
        <v/>
      </c>
      <c r="M9">
        <f>M$8*'实盘净值数据(iFinD公式)'!M$13/'实盘净值数据(iFinD公式)'!M$8/$AB$9</f>
        <v/>
      </c>
      <c r="N9">
        <f>N$8*'实盘净值数据(iFinD公式)'!N$13/'实盘净值数据(iFinD公式)'!N$8/$AB$9</f>
        <v/>
      </c>
      <c r="O9">
        <f>O$8*'实盘净值数据(iFinD公式)'!O$13/'实盘净值数据(iFinD公式)'!O$8/$AB$9</f>
        <v/>
      </c>
      <c r="P9">
        <f>P$8*'实盘净值数据(iFinD公式)'!P$13/'实盘净值数据(iFinD公式)'!P$8/$AB$9</f>
        <v/>
      </c>
      <c r="Q9">
        <f>Q$8*'实盘净值数据(iFinD公式)'!Q$13/'实盘净值数据(iFinD公式)'!Q$8/$AB$9</f>
        <v/>
      </c>
      <c r="R9">
        <f>R$8*'实盘净值数据(iFinD公式)'!R$13/'实盘净值数据(iFinD公式)'!R$8/$AB$9</f>
        <v/>
      </c>
      <c r="S9">
        <f>S$8*'实盘净值数据(iFinD公式)'!S$13/'实盘净值数据(iFinD公式)'!S$8/$AB$9</f>
        <v/>
      </c>
      <c r="T9">
        <f>T$8*'实盘净值数据(iFinD公式)'!T$13/'实盘净值数据(iFinD公式)'!T$8/$AB$9</f>
        <v/>
      </c>
      <c r="U9">
        <f>U$8*'实盘净值数据(iFinD公式)'!U$13/'实盘净值数据(iFinD公式)'!U$8/$AB$9</f>
        <v/>
      </c>
      <c r="V9">
        <f>V$8*'实盘净值数据(iFinD公式)'!V$13/'实盘净值数据(iFinD公式)'!V$8/$AB$9</f>
        <v/>
      </c>
      <c r="W9">
        <f>W$8*'实盘净值数据(iFinD公式)'!W$13/'实盘净值数据(iFinD公式)'!W$8/$AB$9</f>
        <v/>
      </c>
      <c r="X9">
        <f>X$8*'实盘净值数据(iFinD公式)'!X$13/'实盘净值数据(iFinD公式)'!X$8/$AB$9</f>
        <v/>
      </c>
      <c r="Y9">
        <f>Y$8*'实盘净值数据(iFinD公式)'!Y$13/'实盘净值数据(iFinD公式)'!Y$8/$AB$9+0.01</f>
        <v/>
      </c>
      <c r="Z9">
        <f>SUM(B9:Y9)</f>
        <v/>
      </c>
      <c r="AA9" s="64" t="n">
        <v>46204</v>
      </c>
      <c r="AB9">
        <f>SUMPRODUCT($B$8:$Y$8,'实盘净值数据(iFinD公式)'!$B$13:$Y$13/'实盘净值数据(iFinD公式)'!$B$8:$Y$8)</f>
        <v/>
      </c>
    </row>
    <row r="10">
      <c r="A10" t="inlineStr">
        <is>
          <t>10-90基石 · P0初始</t>
        </is>
      </c>
      <c r="B10">
        <f>实盘持仓配置!B8</f>
        <v/>
      </c>
      <c r="C10">
        <f>实盘持仓配置!C8</f>
        <v/>
      </c>
      <c r="D10">
        <f>实盘持仓配置!D8</f>
        <v/>
      </c>
      <c r="E10">
        <f>实盘持仓配置!E8</f>
        <v/>
      </c>
      <c r="F10">
        <f>实盘持仓配置!F8</f>
        <v/>
      </c>
      <c r="G10">
        <f>实盘持仓配置!G8</f>
        <v/>
      </c>
      <c r="H10">
        <f>实盘持仓配置!H8</f>
        <v/>
      </c>
      <c r="I10">
        <f>实盘持仓配置!I8</f>
        <v/>
      </c>
      <c r="J10">
        <f>实盘持仓配置!J8</f>
        <v/>
      </c>
      <c r="K10">
        <f>实盘持仓配置!K8</f>
        <v/>
      </c>
      <c r="L10">
        <f>实盘持仓配置!L8</f>
        <v/>
      </c>
      <c r="M10">
        <f>实盘持仓配置!M8</f>
        <v/>
      </c>
      <c r="N10">
        <f>实盘持仓配置!N8</f>
        <v/>
      </c>
      <c r="O10">
        <f>实盘持仓配置!O8</f>
        <v/>
      </c>
      <c r="P10">
        <f>实盘持仓配置!P8</f>
        <v/>
      </c>
      <c r="Q10">
        <f>实盘持仓配置!Q8</f>
        <v/>
      </c>
      <c r="R10">
        <f>实盘持仓配置!R8</f>
        <v/>
      </c>
      <c r="S10">
        <f>实盘持仓配置!S8</f>
        <v/>
      </c>
      <c r="T10">
        <f>实盘持仓配置!T8</f>
        <v/>
      </c>
      <c r="U10">
        <f>实盘持仓配置!U8</f>
        <v/>
      </c>
      <c r="V10">
        <f>实盘持仓配置!V8</f>
        <v/>
      </c>
      <c r="W10">
        <f>实盘持仓配置!W8</f>
        <v/>
      </c>
      <c r="X10">
        <f>实盘持仓配置!X8</f>
        <v/>
      </c>
      <c r="Y10" t="n">
        <v>0</v>
      </c>
      <c r="Z10">
        <f>SUM(B10:Y10)</f>
        <v/>
      </c>
      <c r="AA10" s="64" t="n">
        <v>46191</v>
      </c>
    </row>
    <row r="11">
      <c r="A11" t="inlineStr">
        <is>
          <t>10-90基石 · P1(7/1调仓后)</t>
        </is>
      </c>
      <c r="B11">
        <f>B$10*'实盘净值数据(iFinD公式)'!B$13/'实盘净值数据(iFinD公式)'!B$5/$AB$11</f>
        <v/>
      </c>
      <c r="C11">
        <f>C$10*'实盘净值数据(iFinD公式)'!C$13/'实盘净值数据(iFinD公式)'!C$5/$AB$11-0.01</f>
        <v/>
      </c>
      <c r="D11">
        <f>D$10*'实盘净值数据(iFinD公式)'!D$13/'实盘净值数据(iFinD公式)'!D$5/$AB$11</f>
        <v/>
      </c>
      <c r="E11">
        <f>E$10*'实盘净值数据(iFinD公式)'!E$13/'实盘净值数据(iFinD公式)'!E$5/$AB$11</f>
        <v/>
      </c>
      <c r="F11">
        <f>F$10*'实盘净值数据(iFinD公式)'!F$13/'实盘净值数据(iFinD公式)'!F$5/$AB$11</f>
        <v/>
      </c>
      <c r="G11">
        <f>G$10*'实盘净值数据(iFinD公式)'!G$13/'实盘净值数据(iFinD公式)'!G$5/$AB$11</f>
        <v/>
      </c>
      <c r="H11">
        <f>H$10*'实盘净值数据(iFinD公式)'!H$13/'实盘净值数据(iFinD公式)'!H$5/$AB$11</f>
        <v/>
      </c>
      <c r="I11">
        <f>I$10*'实盘净值数据(iFinD公式)'!I$13/'实盘净值数据(iFinD公式)'!I$5/$AB$11</f>
        <v/>
      </c>
      <c r="J11">
        <f>J$10*'实盘净值数据(iFinD公式)'!J$13/'实盘净值数据(iFinD公式)'!J$5/$AB$11</f>
        <v/>
      </c>
      <c r="K11">
        <f>K$10*'实盘净值数据(iFinD公式)'!K$13/'实盘净值数据(iFinD公式)'!K$5/$AB$11</f>
        <v/>
      </c>
      <c r="L11">
        <f>L$10*'实盘净值数据(iFinD公式)'!L$13/'实盘净值数据(iFinD公式)'!L$5/$AB$11</f>
        <v/>
      </c>
      <c r="M11">
        <f>M$10*'实盘净值数据(iFinD公式)'!M$13/'实盘净值数据(iFinD公式)'!M$5/$AB$11</f>
        <v/>
      </c>
      <c r="N11">
        <f>N$10*'实盘净值数据(iFinD公式)'!N$13/'实盘净值数据(iFinD公式)'!N$5/$AB$11</f>
        <v/>
      </c>
      <c r="O11">
        <f>O$10*'实盘净值数据(iFinD公式)'!O$13/'实盘净值数据(iFinD公式)'!O$5/$AB$11</f>
        <v/>
      </c>
      <c r="P11">
        <f>P$10*'实盘净值数据(iFinD公式)'!P$13/'实盘净值数据(iFinD公式)'!P$5/$AB$11</f>
        <v/>
      </c>
      <c r="Q11">
        <f>Q$10*'实盘净值数据(iFinD公式)'!Q$13/'实盘净值数据(iFinD公式)'!Q$5/$AB$11</f>
        <v/>
      </c>
      <c r="R11">
        <f>R$10*'实盘净值数据(iFinD公式)'!R$13/'实盘净值数据(iFinD公式)'!R$5/$AB$11</f>
        <v/>
      </c>
      <c r="S11">
        <f>S$10*'实盘净值数据(iFinD公式)'!S$13/'实盘净值数据(iFinD公式)'!S$5/$AB$11</f>
        <v/>
      </c>
      <c r="T11">
        <f>T$10*'实盘净值数据(iFinD公式)'!T$13/'实盘净值数据(iFinD公式)'!T$5/$AB$11</f>
        <v/>
      </c>
      <c r="U11">
        <f>U$10*'实盘净值数据(iFinD公式)'!U$13/'实盘净值数据(iFinD公式)'!U$5/$AB$11</f>
        <v/>
      </c>
      <c r="V11">
        <f>V$10*'实盘净值数据(iFinD公式)'!V$13/'实盘净值数据(iFinD公式)'!V$5/$AB$11</f>
        <v/>
      </c>
      <c r="W11">
        <f>W$10*'实盘净值数据(iFinD公式)'!W$13/'实盘净值数据(iFinD公式)'!W$5/$AB$11</f>
        <v/>
      </c>
      <c r="X11">
        <f>X$10*'实盘净值数据(iFinD公式)'!X$13/'实盘净值数据(iFinD公式)'!X$5/$AB$11</f>
        <v/>
      </c>
      <c r="Y11">
        <f>Y$10*'实盘净值数据(iFinD公式)'!Y$13/'实盘净值数据(iFinD公式)'!Y$5/$AB$11+0.01</f>
        <v/>
      </c>
      <c r="Z11">
        <f>SUM(B11:Y11)</f>
        <v/>
      </c>
      <c r="AA11" s="64" t="n">
        <v>46204</v>
      </c>
      <c r="AB11">
        <f>SUMPRODUCT($B$10:$Y$10,'实盘净值数据(iFinD公式)'!$B$13:$Y$13/'实盘净值数据(iFinD公式)'!$B$5:$Y$5)</f>
        <v/>
      </c>
    </row>
    <row r="12">
      <c r="A12" t="inlineStr">
        <is>
          <t>30-70 · P0初始</t>
        </is>
      </c>
      <c r="B12">
        <f>实盘持仓配置!B9</f>
        <v/>
      </c>
      <c r="C12">
        <f>实盘持仓配置!C9</f>
        <v/>
      </c>
      <c r="D12">
        <f>实盘持仓配置!D9</f>
        <v/>
      </c>
      <c r="E12">
        <f>实盘持仓配置!E9</f>
        <v/>
      </c>
      <c r="F12">
        <f>实盘持仓配置!F9</f>
        <v/>
      </c>
      <c r="G12">
        <f>实盘持仓配置!G9</f>
        <v/>
      </c>
      <c r="H12">
        <f>实盘持仓配置!H9</f>
        <v/>
      </c>
      <c r="I12">
        <f>实盘持仓配置!I9</f>
        <v/>
      </c>
      <c r="J12">
        <f>实盘持仓配置!J9</f>
        <v/>
      </c>
      <c r="K12">
        <f>实盘持仓配置!K9</f>
        <v/>
      </c>
      <c r="L12">
        <f>实盘持仓配置!L9</f>
        <v/>
      </c>
      <c r="M12">
        <f>实盘持仓配置!M9</f>
        <v/>
      </c>
      <c r="N12">
        <f>实盘持仓配置!N9</f>
        <v/>
      </c>
      <c r="O12">
        <f>实盘持仓配置!O9</f>
        <v/>
      </c>
      <c r="P12">
        <f>实盘持仓配置!P9</f>
        <v/>
      </c>
      <c r="Q12">
        <f>实盘持仓配置!Q9</f>
        <v/>
      </c>
      <c r="R12">
        <f>实盘持仓配置!R9</f>
        <v/>
      </c>
      <c r="S12">
        <f>实盘持仓配置!S9</f>
        <v/>
      </c>
      <c r="T12">
        <f>实盘持仓配置!T9</f>
        <v/>
      </c>
      <c r="U12">
        <f>实盘持仓配置!U9</f>
        <v/>
      </c>
      <c r="V12">
        <f>实盘持仓配置!V9</f>
        <v/>
      </c>
      <c r="W12">
        <f>实盘持仓配置!W9</f>
        <v/>
      </c>
      <c r="X12">
        <f>实盘持仓配置!X9</f>
        <v/>
      </c>
      <c r="Y12" t="n">
        <v>0</v>
      </c>
      <c r="Z12">
        <f>SUM(B12:Y12)</f>
        <v/>
      </c>
      <c r="AA12" s="64" t="n">
        <v>46197</v>
      </c>
    </row>
    <row r="13">
      <c r="A13" t="inlineStr">
        <is>
          <t>30-70 · P1(7/1调仓后)</t>
        </is>
      </c>
      <c r="B13">
        <f>B$12*'实盘净值数据(iFinD公式)'!B$13/'实盘净值数据(iFinD公式)'!B$8/$AB$13</f>
        <v/>
      </c>
      <c r="C13">
        <f>C$12*'实盘净值数据(iFinD公式)'!C$13/'实盘净值数据(iFinD公式)'!C$8/$AB$13-0.015</f>
        <v/>
      </c>
      <c r="D13">
        <f>D$12*'实盘净值数据(iFinD公式)'!D$13/'实盘净值数据(iFinD公式)'!D$8/$AB$13</f>
        <v/>
      </c>
      <c r="E13">
        <f>E$12*'实盘净值数据(iFinD公式)'!E$13/'实盘净值数据(iFinD公式)'!E$8/$AB$13</f>
        <v/>
      </c>
      <c r="F13">
        <f>F$12*'实盘净值数据(iFinD公式)'!F$13/'实盘净值数据(iFinD公式)'!F$8/$AB$13</f>
        <v/>
      </c>
      <c r="G13">
        <f>G$12*'实盘净值数据(iFinD公式)'!G$13/'实盘净值数据(iFinD公式)'!G$8/$AB$13</f>
        <v/>
      </c>
      <c r="H13">
        <f>H$12*'实盘净值数据(iFinD公式)'!H$13/'实盘净值数据(iFinD公式)'!H$8/$AB$13</f>
        <v/>
      </c>
      <c r="I13">
        <f>I$12*'实盘净值数据(iFinD公式)'!I$13/'实盘净值数据(iFinD公式)'!I$8/$AB$13</f>
        <v/>
      </c>
      <c r="J13">
        <f>J$12*'实盘净值数据(iFinD公式)'!J$13/'实盘净值数据(iFinD公式)'!J$8/$AB$13</f>
        <v/>
      </c>
      <c r="K13">
        <f>K$12*'实盘净值数据(iFinD公式)'!K$13/'实盘净值数据(iFinD公式)'!K$8/$AB$13</f>
        <v/>
      </c>
      <c r="L13">
        <f>L$12*'实盘净值数据(iFinD公式)'!L$13/'实盘净值数据(iFinD公式)'!L$8/$AB$13</f>
        <v/>
      </c>
      <c r="M13">
        <f>M$12*'实盘净值数据(iFinD公式)'!M$13/'实盘净值数据(iFinD公式)'!M$8/$AB$13</f>
        <v/>
      </c>
      <c r="N13">
        <f>N$12*'实盘净值数据(iFinD公式)'!N$13/'实盘净值数据(iFinD公式)'!N$8/$AB$13</f>
        <v/>
      </c>
      <c r="O13">
        <f>O$12*'实盘净值数据(iFinD公式)'!O$13/'实盘净值数据(iFinD公式)'!O$8/$AB$13</f>
        <v/>
      </c>
      <c r="P13">
        <f>P$12*'实盘净值数据(iFinD公式)'!P$13/'实盘净值数据(iFinD公式)'!P$8/$AB$13</f>
        <v/>
      </c>
      <c r="Q13">
        <f>Q$12*'实盘净值数据(iFinD公式)'!Q$13/'实盘净值数据(iFinD公式)'!Q$8/$AB$13</f>
        <v/>
      </c>
      <c r="R13">
        <f>R$12*'实盘净值数据(iFinD公式)'!R$13/'实盘净值数据(iFinD公式)'!R$8/$AB$13</f>
        <v/>
      </c>
      <c r="S13">
        <f>S$12*'实盘净值数据(iFinD公式)'!S$13/'实盘净值数据(iFinD公式)'!S$8/$AB$13</f>
        <v/>
      </c>
      <c r="T13">
        <f>T$12*'实盘净值数据(iFinD公式)'!T$13/'实盘净值数据(iFinD公式)'!T$8/$AB$13</f>
        <v/>
      </c>
      <c r="U13">
        <f>U$12*'实盘净值数据(iFinD公式)'!U$13/'实盘净值数据(iFinD公式)'!U$8/$AB$13</f>
        <v/>
      </c>
      <c r="V13">
        <f>V$12*'实盘净值数据(iFinD公式)'!V$13/'实盘净值数据(iFinD公式)'!V$8/$AB$13</f>
        <v/>
      </c>
      <c r="W13">
        <f>W$12*'实盘净值数据(iFinD公式)'!W$13/'实盘净值数据(iFinD公式)'!W$8/$AB$13</f>
        <v/>
      </c>
      <c r="X13">
        <f>X$12*'实盘净值数据(iFinD公式)'!X$13/'实盘净值数据(iFinD公式)'!X$8/$AB$13</f>
        <v/>
      </c>
      <c r="Y13">
        <f>Y$12*'实盘净值数据(iFinD公式)'!Y$13/'实盘净值数据(iFinD公式)'!Y$8/$AB$13+0.015</f>
        <v/>
      </c>
      <c r="Z13">
        <f>SUM(B13:Y13)</f>
        <v/>
      </c>
      <c r="AA13" s="64" t="n">
        <v>46204</v>
      </c>
      <c r="AB13">
        <f>SUMPRODUCT($B$12:$Y$12,'实盘净值数据(iFinD公式)'!$B$13:$Y$13/'实盘净值数据(iFinD公式)'!$B$8:$Y$8)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K12" sqref="K12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20.453125" customWidth="1" style="48" min="4" max="4"/>
    <col width="15.81640625" customWidth="1" style="48" min="5" max="5"/>
    <col width="15.08984375" customWidth="1" style="48" min="6" max="6"/>
    <col width="14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样板间组合走势看板（产业趋势组合）</t>
        </is>
      </c>
    </row>
    <row r="3" ht="14.5" customHeight="1" s="48">
      <c r="B3" s="55">
        <f>"买入持有 · 已扣年化费率 "&amp;TEXT(实盘持仓配置!$Z$4,"0.0%")&amp;"（折每日计入净值）"</f>
        <v/>
      </c>
      <c r="E3" s="51">
        <f>"净值日期："&amp;TEXT(LOOKUP(2,1/(实盘组合净值!$B$5:$B$59&lt;&gt;""),实盘组合净值!$A$5:$A$59),"yyyy-mm-dd")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LOOKUP(2,1/(实盘组合净值!$B$5:$B$59&lt;&gt;""),实盘组合净值!$B$5:$B$59)</f>
        <v/>
      </c>
      <c r="C7" s="19">
        <f>(LOOKUP(2,1/(实盘组合净值!$B$5:$B$59&lt;&gt;""),实盘组合净值!$B$5:$B$59))/1-1</f>
        <v/>
      </c>
      <c r="D7" s="19">
        <f>(LOOKUP(2,1/(实盘组合净值!$B$5:$B$59&lt;&gt;""),实盘组合净值!$B$5:$B$59)/1)^(说明!$C$17/MAX(COUNT(实盘组合净值!$C$5:$C$59),1))-1</f>
        <v/>
      </c>
      <c r="E7" s="20">
        <f>STDEV(实盘组合净值!$C$5:$C$59)*SQRT(说明!$C$17)</f>
        <v/>
      </c>
      <c r="F7" s="19">
        <f>MIN(实盘组合净值!$D$5:$D$59)</f>
        <v/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IFERROR((LOOKUP(2,1/(实盘组合净值!$B$5:$B$59&lt;&gt;""),实盘组合净值!$B$5:$B$59))/(1)-1,"")</f>
        <v/>
      </c>
      <c r="D11" s="15">
        <f>IFERROR((LOOKUP(2,1/(实盘组合净值!$B$5:$B$59&lt;&gt;""),实盘组合净值!$B$5:$B$59)/(1))^(说明!$C$17/COUNT(实盘组合净值!$C$5:$C$59))-1,"")</f>
        <v/>
      </c>
      <c r="E11" s="53" t="inlineStr">
        <is>
          <t>最大回撤</t>
        </is>
      </c>
      <c r="F11" s="54" t="n"/>
      <c r="G11" s="15">
        <f>MIN(实盘组合净值!$D$5:$D$59)</f>
        <v/>
      </c>
    </row>
    <row r="12" ht="22.5" customHeight="1" s="48">
      <c r="B12" s="24" t="inlineStr">
        <is>
          <t>2026YTD</t>
        </is>
      </c>
      <c r="C12" s="15">
        <f>IFERROR((LOOKUP(2,1/(实盘组合净值!$B$5:$B$59&lt;&gt;""),实盘组合净值!$B$5:$B$59))/(IFERROR(LOOKUP(DATE(2026,1,1),实盘组合净值!$A$5:$A$59,实盘组合净值!$B$5:$B$59),1))-1,"")</f>
        <v/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IFERROR((LOOKUP(2,1/(实盘组合净值!$B$5:$B$59&lt;&gt;""),ROW(实盘组合净值!$B$5:$B$59)))-(LOOKUP(2,1/(实盘组合净值!$D$5:$D$59=0),ROW(实盘组合净值!$D$5:$D$59))),"")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/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COUNTIF(实盘组合净值!$C$5:$C$59,"&gt;0")/MAX(COUNT(实盘组合净值!$C$5:$C$59),1)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/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STDEV(实盘组合净值!$C$5:$C$59)*SQRT(说明!$C$17)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/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IFERROR(((LOOKUP(2,1/(实盘组合净值!$B$5:$B$59&lt;&gt;""),实盘组合净值!$B$5:$B$59)/1)^(说明!$C$17/MAX(COUNT(实盘组合净值!$C$5:$C$59),1))-1)/ABS(MIN(实盘组合净值!$D$5:$D$59)),"")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J22" sqref="J22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9.54296875" customWidth="1" style="48" min="4" max="4"/>
    <col width="15.81640625" customWidth="1" style="48" min="5" max="5"/>
    <col width="15.08984375" customWidth="1" style="48" min="6" max="6"/>
    <col width="16.6328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样板间组合走势看板（产业趋势基石组合）</t>
        </is>
      </c>
    </row>
    <row r="3" ht="14.5" customHeight="1" s="48">
      <c r="B3" s="55">
        <f>"买入持有 · 已扣年化费率 "&amp;TEXT(实盘持仓配置!$Z$5,"0.0%")&amp;"（折每日计入净值）"</f>
        <v/>
      </c>
      <c r="E3" s="51">
        <f>"净值日期："&amp;TEXT(LOOKUP(2,1/(实盘组合净值!$E$5:$E$59&lt;&gt;""),实盘组合净值!$A$5:$A$59),"yyyy-mm-dd")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LOOKUP(2,1/(实盘组合净值!$E$5:$E$59&lt;&gt;""),实盘组合净值!$E$5:$E$59)</f>
        <v/>
      </c>
      <c r="C7" s="19">
        <f>(LOOKUP(2,1/(实盘组合净值!$E$5:$E$59&lt;&gt;""),实盘组合净值!$E$5:$E$59))/1-1</f>
        <v/>
      </c>
      <c r="D7" s="19">
        <f>(LOOKUP(2,1/(实盘组合净值!$E$5:$E$59&lt;&gt;""),实盘组合净值!$E$5:$E$59)/1)^(说明!$C$17/MAX(COUNT(实盘组合净值!$F$5:$F$59),1))-1</f>
        <v/>
      </c>
      <c r="E7" s="20">
        <f>STDEV(实盘组合净值!$F$5:$F$59)*SQRT(说明!$C$17)</f>
        <v/>
      </c>
      <c r="F7" s="19">
        <f>MIN(实盘组合净值!$G$5:$G$59)</f>
        <v/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IFERROR((LOOKUP(2,1/(实盘组合净值!$E$5:$E$59&lt;&gt;""),实盘组合净值!$E$5:$E$59))/(1)-1,"")</f>
        <v/>
      </c>
      <c r="D11" s="15">
        <f>IFERROR((LOOKUP(2,1/(实盘组合净值!$E$5:$E$59&lt;&gt;""),实盘组合净值!$E$5:$E$59)/(1))^(说明!$C$17/COUNT(实盘组合净值!$F$5:$F$59))-1,"")</f>
        <v/>
      </c>
      <c r="E11" s="53" t="inlineStr">
        <is>
          <t>最大回撤</t>
        </is>
      </c>
      <c r="F11" s="54" t="n"/>
      <c r="G11" s="15">
        <f>MIN(实盘组合净值!$G$5:$G$59)</f>
        <v/>
      </c>
    </row>
    <row r="12" ht="22.5" customHeight="1" s="48">
      <c r="B12" s="24" t="inlineStr">
        <is>
          <t>2026YTD</t>
        </is>
      </c>
      <c r="C12" s="15">
        <f>IFERROR((LOOKUP(2,1/(实盘组合净值!$E$5:$E$59&lt;&gt;""),实盘组合净值!$E$5:$E$59))/(IFERROR(LOOKUP(DATE(2026,1,1),实盘组合净值!$A$5:$A$59,实盘组合净值!$E$5:$E$59),1))-1,"")</f>
        <v/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IFERROR((LOOKUP(2,1/(实盘组合净值!$E$5:$E$59&lt;&gt;""),ROW(实盘组合净值!$E$5:$E$59)))-(LOOKUP(2,1/(实盘组合净值!$G$5:$G$59=0),ROW(实盘组合净值!$G$5:$G$59))),"")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/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COUNTIF(实盘组合净值!$F$5:$F$59,"&gt;0")/MAX(COUNT(实盘组合净值!$F$5:$F$59),1)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/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STDEV(实盘组合净值!$F$5:$F$59)*SQRT(说明!$C$17)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/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IFERROR(((LOOKUP(2,1/(实盘组合净值!$E$5:$E$59&lt;&gt;""),实盘组合净值!$E$5:$E$59)/1)^(说明!$C$17/MAX(COUNT(实盘组合净值!$F$5:$F$59),1))-1)/ABS(MIN(实盘组合净值!$G$5:$G$59)),"")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L19" sqref="L19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24.90625" customWidth="1" style="48" min="4" max="4"/>
    <col width="15.81640625" customWidth="1" style="48" min="5" max="5"/>
    <col width="15.08984375" customWidth="1" style="48" min="6" max="6"/>
    <col width="17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样板间组合走势看板（产业趋势2号组合）</t>
        </is>
      </c>
    </row>
    <row r="3" ht="14.5" customHeight="1" s="48">
      <c r="B3" s="55">
        <f>"买入持有 · 已扣年化费率 "&amp;TEXT(实盘持仓配置!$Z$6,"0.0%")&amp;"（折每日计入净值）"</f>
        <v/>
      </c>
      <c r="E3" s="51">
        <f>"净值日期："&amp;TEXT(LOOKUP(2,1/(实盘组合净值!$H$5:$H$59&lt;&gt;""),实盘组合净值!$A$5:$A$59),"yyyy-mm-dd")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LOOKUP(2,1/(实盘组合净值!$H$5:$H$59&lt;&gt;""),实盘组合净值!$H$5:$H$59)</f>
        <v/>
      </c>
      <c r="C7" s="19">
        <f>(LOOKUP(2,1/(实盘组合净值!$H$5:$H$59&lt;&gt;""),实盘组合净值!$H$5:$H$59))/1-1</f>
        <v/>
      </c>
      <c r="D7" s="19">
        <f>(LOOKUP(2,1/(实盘组合净值!$H$5:$H$59&lt;&gt;""),实盘组合净值!$H$5:$H$59)/1)^(说明!$C$17/MAX(COUNT(实盘组合净值!$I$5:$I$59),1))-1</f>
        <v/>
      </c>
      <c r="E7" s="20">
        <f>STDEV(实盘组合净值!$I$5:$I$59)*SQRT(说明!$C$17)</f>
        <v/>
      </c>
      <c r="F7" s="19">
        <f>MIN(实盘组合净值!$J$5:$J$59)</f>
        <v/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IFERROR((LOOKUP(2,1/(实盘组合净值!$H$5:$H$59&lt;&gt;""),实盘组合净值!$H$5:$H$59))/(1)-1,"")</f>
        <v/>
      </c>
      <c r="D11" s="15">
        <f>IFERROR((LOOKUP(2,1/(实盘组合净值!$H$5:$H$59&lt;&gt;""),实盘组合净值!$H$5:$H$59)/(1))^(说明!$C$17/COUNT(实盘组合净值!$I$5:$I$59))-1,"")</f>
        <v/>
      </c>
      <c r="E11" s="53" t="inlineStr">
        <is>
          <t>最大回撤</t>
        </is>
      </c>
      <c r="F11" s="54" t="n"/>
      <c r="G11" s="15">
        <f>MIN(实盘组合净值!$J$5:$J$59)</f>
        <v/>
      </c>
    </row>
    <row r="12" ht="22.5" customHeight="1" s="48">
      <c r="B12" s="24" t="inlineStr">
        <is>
          <t>2026YTD</t>
        </is>
      </c>
      <c r="C12" s="15">
        <f>IFERROR((LOOKUP(2,1/(实盘组合净值!$H$5:$H$59&lt;&gt;""),实盘组合净值!$H$5:$H$59))/(IFERROR(LOOKUP(DATE(2026,1,1),实盘组合净值!$A$5:$A$59,实盘组合净值!$H$5:$H$59),1))-1,"")</f>
        <v/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IFERROR((LOOKUP(2,1/(实盘组合净值!$H$5:$H$59&lt;&gt;""),ROW(实盘组合净值!$H$5:$H$59)))-(LOOKUP(2,1/(实盘组合净值!$J$5:$J$59=0),ROW(实盘组合净值!$J$5:$J$59))),"")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/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COUNTIF(实盘组合净值!$I$5:$I$59,"&gt;0")/MAX(COUNT(实盘组合净值!$I$5:$I$59),1)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/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STDEV(实盘组合净值!$I$5:$I$59)*SQRT(说明!$C$17)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/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IFERROR(((LOOKUP(2,1/(实盘组合净值!$H$5:$H$59&lt;&gt;""),实盘组合净值!$H$5:$H$59)/1)^(说明!$C$17/MAX(COUNT(实盘组合净值!$I$5:$I$59),1))-1)/ABS(MIN(实盘组合净值!$J$5:$J$59)),"")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topLeftCell="A4" workbookViewId="0">
      <selection activeCell="L28" sqref="L28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7.26953125" customWidth="1" style="48" min="4" max="4"/>
    <col width="19.36328125" customWidth="1" style="48" min="5" max="5"/>
    <col width="15.08984375" customWidth="1" style="48" min="6" max="6"/>
    <col width="17.816406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样板间组合走势看板（10-90组合）</t>
        </is>
      </c>
    </row>
    <row r="3" ht="14.5" customHeight="1" s="48">
      <c r="B3" s="55">
        <f>"买入持有 · 已扣年化费率 "&amp;TEXT(实盘持仓配置!$Z$7,"0.0%")&amp;"（折每日计入净值）"</f>
        <v/>
      </c>
      <c r="E3" s="51">
        <f>"净值日期："&amp;TEXT(LOOKUP(2,1/(实盘组合净值!$K$5:$K$59&lt;&gt;""),实盘组合净值!$A$5:$A$59),"yyyy-mm-dd")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LOOKUP(2,1/(实盘组合净值!$K$5:$K$59&lt;&gt;""),实盘组合净值!$K$5:$K$59)</f>
        <v/>
      </c>
      <c r="C7" s="19">
        <f>(LOOKUP(2,1/(实盘组合净值!$K$5:$K$59&lt;&gt;""),实盘组合净值!$K$5:$K$59))/1-1</f>
        <v/>
      </c>
      <c r="D7" s="19">
        <f>(LOOKUP(2,1/(实盘组合净值!$K$5:$K$59&lt;&gt;""),实盘组合净值!$K$5:$K$59)/1)^(说明!$C$17/MAX(COUNT(实盘组合净值!$L$5:$L$59),1))-1</f>
        <v/>
      </c>
      <c r="E7" s="20">
        <f>STDEV(实盘组合净值!$L$5:$L$59)*SQRT(说明!$C$17)</f>
        <v/>
      </c>
      <c r="F7" s="19">
        <f>MIN(实盘组合净值!$M$5:$M$59)</f>
        <v/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IFERROR((LOOKUP(2,1/(实盘组合净值!$K$5:$K$59&lt;&gt;""),实盘组合净值!$K$5:$K$59))/(1)-1,"")</f>
        <v/>
      </c>
      <c r="D11" s="15">
        <f>IFERROR((LOOKUP(2,1/(实盘组合净值!$K$5:$K$59&lt;&gt;""),实盘组合净值!$K$5:$K$59)/(1))^(说明!$C$17/COUNT(实盘组合净值!$L$5:$L$59))-1,"")</f>
        <v/>
      </c>
      <c r="E11" s="53" t="inlineStr">
        <is>
          <t>最大回撤</t>
        </is>
      </c>
      <c r="F11" s="54" t="n"/>
      <c r="G11" s="15">
        <f>MIN(实盘组合净值!$M$5:$M$59)</f>
        <v/>
      </c>
    </row>
    <row r="12" ht="22.5" customHeight="1" s="48">
      <c r="B12" s="24" t="inlineStr">
        <is>
          <t>2026YTD</t>
        </is>
      </c>
      <c r="C12" s="15">
        <f>IFERROR((LOOKUP(2,1/(实盘组合净值!$K$5:$K$59&lt;&gt;""),实盘组合净值!$K$5:$K$59))/(IFERROR(LOOKUP(DATE(2026,1,1),实盘组合净值!$A$5:$A$59,实盘组合净值!$K$5:$K$59),1))-1,"")</f>
        <v/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IFERROR((LOOKUP(2,1/(实盘组合净值!$K$5:$K$59&lt;&gt;""),ROW(实盘组合净值!$K$5:$K$59)))-(LOOKUP(2,1/(实盘组合净值!$M$5:$M$59=0),ROW(实盘组合净值!$M$5:$M$59))),"")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/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COUNTIF(实盘组合净值!$L$5:$L$59,"&gt;0")/MAX(COUNT(实盘组合净值!$L$5:$L$59),1)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/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STDEV(实盘组合净值!$L$5:$L$59)*SQRT(说明!$C$17)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/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IFERROR(((LOOKUP(2,1/(实盘组合净值!$K$5:$K$59&lt;&gt;""),实盘组合净值!$K$5:$K$59)/1)^(说明!$C$17/MAX(COUNT(实盘组合净值!$L$5:$L$59),1))-1)/ABS(MIN(实盘组合净值!$M$5:$M$59)),"")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M21" sqref="M21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8.36328125" customWidth="1" style="48" min="4" max="4"/>
    <col width="15.81640625" customWidth="1" style="48" min="5" max="5"/>
    <col width="15.08984375" customWidth="1" style="48" min="6" max="6"/>
    <col width="17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样板间组合走势看板（10-90基石组合）</t>
        </is>
      </c>
    </row>
    <row r="3" ht="14.5" customHeight="1" s="48">
      <c r="B3" s="55">
        <f>"买入持有 · 已扣年化费率 "&amp;TEXT(实盘持仓配置!$Z$8,"0.0%")&amp;"（折每日计入净值）"</f>
        <v/>
      </c>
      <c r="E3" s="51">
        <f>"净值日期："&amp;TEXT(LOOKUP(2,1/(实盘组合净值!$N$5:$N$59&lt;&gt;""),实盘组合净值!$A$5:$A$59),"yyyy-mm-dd")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LOOKUP(2,1/(实盘组合净值!$N$5:$N$59&lt;&gt;""),实盘组合净值!$N$5:$N$59)</f>
        <v/>
      </c>
      <c r="C7" s="19">
        <f>(LOOKUP(2,1/(实盘组合净值!$N$5:$N$59&lt;&gt;""),实盘组合净值!$N$5:$N$59))/1-1</f>
        <v/>
      </c>
      <c r="D7" s="19">
        <f>(LOOKUP(2,1/(实盘组合净值!$N$5:$N$59&lt;&gt;""),实盘组合净值!$N$5:$N$59)/1)^(说明!$C$17/MAX(COUNT(实盘组合净值!$O$5:$O$59),1))-1</f>
        <v/>
      </c>
      <c r="E7" s="20">
        <f>STDEV(实盘组合净值!$O$5:$O$59)*SQRT(说明!$C$17)</f>
        <v/>
      </c>
      <c r="F7" s="19">
        <f>MIN(实盘组合净值!$P$5:$P$59)</f>
        <v/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IFERROR((LOOKUP(2,1/(实盘组合净值!$N$5:$N$59&lt;&gt;""),实盘组合净值!$N$5:$N$59))/(1)-1,"")</f>
        <v/>
      </c>
      <c r="D11" s="15">
        <f>IFERROR((LOOKUP(2,1/(实盘组合净值!$N$5:$N$59&lt;&gt;""),实盘组合净值!$N$5:$N$59)/(1))^(说明!$C$17/COUNT(实盘组合净值!$O$5:$O$59))-1,"")</f>
        <v/>
      </c>
      <c r="E11" s="53" t="inlineStr">
        <is>
          <t>最大回撤</t>
        </is>
      </c>
      <c r="F11" s="54" t="n"/>
      <c r="G11" s="15">
        <f>MIN(实盘组合净值!$P$5:$P$59)</f>
        <v/>
      </c>
    </row>
    <row r="12" ht="22.5" customHeight="1" s="48">
      <c r="B12" s="24" t="inlineStr">
        <is>
          <t>2026YTD</t>
        </is>
      </c>
      <c r="C12" s="15">
        <f>IFERROR((LOOKUP(2,1/(实盘组合净值!$N$5:$N$59&lt;&gt;""),实盘组合净值!$N$5:$N$59))/(IFERROR(LOOKUP(DATE(2026,1,1),实盘组合净值!$A$5:$A$59,实盘组合净值!$N$5:$N$59),1))-1,"")</f>
        <v/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IFERROR((LOOKUP(2,1/(实盘组合净值!$N$5:$N$59&lt;&gt;""),ROW(实盘组合净值!$N$5:$N$59)))-(LOOKUP(2,1/(实盘组合净值!$P$5:$P$59=0),ROW(实盘组合净值!$P$5:$P$59))),"")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/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COUNTIF(实盘组合净值!$O$5:$O$59,"&gt;0")/MAX(COUNT(实盘组合净值!$O$5:$O$59),1)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/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STDEV(实盘组合净值!$O$5:$O$59)*SQRT(说明!$C$17)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/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IFERROR(((LOOKUP(2,1/(实盘组合净值!$N$5:$N$59&lt;&gt;""),实盘组合净值!$N$5:$N$59)/1)^(说明!$C$17/MAX(COUNT(实盘组合净值!$O$5:$O$59),1))-1)/ABS(MIN(实盘组合净值!$P$5:$P$59)),"")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selection activeCell="J17" sqref="J17"/>
    </sheetView>
  </sheetViews>
  <sheetFormatPr baseColWidth="8" defaultRowHeight="14"/>
  <cols>
    <col width="2" customWidth="1" style="48" min="1" max="1"/>
    <col width="14" customWidth="1" style="48" min="2" max="2"/>
    <col width="15.08984375" customWidth="1" style="48" min="3" max="3"/>
    <col width="17.54296875" customWidth="1" style="48" min="4" max="4"/>
    <col width="19" customWidth="1" style="48" min="5" max="5"/>
    <col width="15.08984375" customWidth="1" style="48" min="6" max="6"/>
    <col width="18.453125" customWidth="1" style="48" min="7" max="7"/>
    <col width="2" customWidth="1" style="48" min="8" max="8"/>
  </cols>
  <sheetData>
    <row r="2" ht="20.5" customHeight="1" s="48">
      <c r="B2" s="52" t="inlineStr">
        <is>
          <t>样板间组合走势看板（30-70组合）</t>
        </is>
      </c>
    </row>
    <row r="3" ht="14.5" customHeight="1" s="48">
      <c r="B3" s="55">
        <f>"买入持有 · 已扣年化费率 "&amp;TEXT(实盘持仓配置!$Z$9,"0.0%")&amp;"（折每日计入净值）"</f>
        <v/>
      </c>
      <c r="E3" s="51">
        <f>"净值日期："&amp;TEXT(LOOKUP(2,1/(实盘组合净值!$Q$5:$Q$59&lt;&gt;""),实盘组合净值!$A$5:$A$59),"yyyy-mm-dd")</f>
        <v/>
      </c>
    </row>
    <row r="5">
      <c r="B5" s="50" t="inlineStr">
        <is>
          <t>产品业绩表现（历史表现不代表未来收益承诺）</t>
        </is>
      </c>
    </row>
    <row r="6">
      <c r="B6" s="8" t="inlineStr">
        <is>
          <t>最新净值</t>
        </is>
      </c>
      <c r="C6" s="8" t="inlineStr">
        <is>
          <t>累计收益</t>
        </is>
      </c>
      <c r="D6" s="8" t="inlineStr">
        <is>
          <t>年化收益</t>
        </is>
      </c>
      <c r="E6" s="8" t="inlineStr">
        <is>
          <t>年化波动率</t>
        </is>
      </c>
      <c r="F6" s="8" t="inlineStr">
        <is>
          <t>最大回撤</t>
        </is>
      </c>
      <c r="G6" s="8" t="inlineStr">
        <is>
          <t>夏普比率</t>
        </is>
      </c>
    </row>
    <row r="7" ht="28" customHeight="1" s="48">
      <c r="B7" s="65">
        <f>LOOKUP(2,1/(实盘组合净值!$Q$5:$Q$59&lt;&gt;""),实盘组合净值!$Q$5:$Q$59)</f>
        <v/>
      </c>
      <c r="C7" s="19">
        <f>(LOOKUP(2,1/(实盘组合净值!$Q$5:$Q$59&lt;&gt;""),实盘组合净值!$Q$5:$Q$59))/1-1</f>
        <v/>
      </c>
      <c r="D7" s="19">
        <f>(LOOKUP(2,1/(实盘组合净值!$Q$5:$Q$59&lt;&gt;""),实盘组合净值!$Q$5:$Q$59)/1)^(说明!$C$17/MAX(COUNT(实盘组合净值!$R$5:$R$59),1))-1</f>
        <v/>
      </c>
      <c r="E7" s="20">
        <f>STDEV(实盘组合净值!$R$5:$R$59)*SQRT(说明!$C$17)</f>
        <v/>
      </c>
      <c r="F7" s="19">
        <f>MIN(实盘组合净值!$S$5:$S$59)</f>
        <v/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/>
      </c>
    </row>
    <row r="9">
      <c r="B9" s="50" t="inlineStr">
        <is>
          <t>收益表现</t>
        </is>
      </c>
      <c r="E9" s="50" t="inlineStr">
        <is>
          <t>风险特征</t>
        </is>
      </c>
    </row>
    <row r="10">
      <c r="B10" s="25" t="inlineStr">
        <is>
          <t>区间</t>
        </is>
      </c>
      <c r="C10" s="25" t="inlineStr">
        <is>
          <t>累计收益</t>
        </is>
      </c>
      <c r="D10" s="25" t="inlineStr">
        <is>
          <t>年化收益</t>
        </is>
      </c>
      <c r="E10" s="56" t="inlineStr">
        <is>
          <t>指标</t>
        </is>
      </c>
      <c r="F10" s="54" t="n"/>
      <c r="G10" s="25" t="inlineStr">
        <is>
          <t>数值</t>
        </is>
      </c>
    </row>
    <row r="11" ht="22.5" customHeight="1" s="48">
      <c r="B11" s="24" t="inlineStr">
        <is>
          <t>起始以来</t>
        </is>
      </c>
      <c r="C11" s="15">
        <f>IFERROR((LOOKUP(2,1/(实盘组合净值!$Q$5:$Q$59&lt;&gt;""),实盘组合净值!$Q$5:$Q$59))/(1)-1,"")</f>
        <v/>
      </c>
      <c r="D11" s="15">
        <f>IFERROR((LOOKUP(2,1/(实盘组合净值!$Q$5:$Q$59&lt;&gt;""),实盘组合净值!$Q$5:$Q$59)/(1))^(说明!$C$17/COUNT(实盘组合净值!$R$5:$R$59))-1,"")</f>
        <v/>
      </c>
      <c r="E11" s="53" t="inlineStr">
        <is>
          <t>最大回撤</t>
        </is>
      </c>
      <c r="F11" s="54" t="n"/>
      <c r="G11" s="15">
        <f>MIN(实盘组合净值!$S$5:$S$59)</f>
        <v/>
      </c>
    </row>
    <row r="12" ht="22.5" customHeight="1" s="48">
      <c r="B12" s="24" t="inlineStr">
        <is>
          <t>2026YTD</t>
        </is>
      </c>
      <c r="C12" s="15">
        <f>IFERROR((LOOKUP(2,1/(实盘组合净值!$Q$5:$Q$59&lt;&gt;""),实盘组合净值!$Q$5:$Q$59))/(IFERROR(LOOKUP(DATE(2026,1,1),实盘组合净值!$A$5:$A$59,实盘组合净值!$Q$5:$Q$59),1))-1,"")</f>
        <v/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/>
      </c>
      <c r="E12" s="53" t="inlineStr">
        <is>
          <t>回撤修复天数(未创新高)</t>
        </is>
      </c>
      <c r="F12" s="54" t="n"/>
      <c r="G12" s="16">
        <f>IFERROR((LOOKUP(2,1/(实盘组合净值!$Q$5:$Q$59&lt;&gt;""),ROW(实盘组合净值!$Q$5:$Q$59)))-(LOOKUP(2,1/(实盘组合净值!$S$5:$S$59=0),ROW(实盘组合净值!$S$5:$S$59))),"")</f>
        <v/>
      </c>
    </row>
    <row r="13" ht="22.5" customHeight="1" s="48">
      <c r="B13" s="24" t="inlineStr">
        <is>
          <t>近3个月</t>
        </is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/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/>
      </c>
      <c r="E13" s="53" t="inlineStr">
        <is>
          <t>正收益占比</t>
        </is>
      </c>
      <c r="F13" s="54" t="n"/>
      <c r="G13" s="66">
        <f>COUNTIF(实盘组合净值!$R$5:$R$59,"&gt;0")/MAX(COUNT(实盘组合净值!$R$5:$R$59),1)</f>
        <v/>
      </c>
    </row>
    <row r="14" ht="22.5" customHeight="1" s="48">
      <c r="B14" s="24" t="inlineStr">
        <is>
          <t>近6个月</t>
        </is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/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/>
      </c>
      <c r="E14" s="53" t="inlineStr">
        <is>
          <t>年化波动率</t>
        </is>
      </c>
      <c r="F14" s="54" t="n"/>
      <c r="G14" s="15">
        <f>STDEV(实盘组合净值!$R$5:$R$59)*SQRT(说明!$C$17)</f>
        <v/>
      </c>
    </row>
    <row r="15" ht="22.5" customHeight="1" s="48">
      <c r="B15" s="24" t="inlineStr">
        <is>
          <t>近1年</t>
        </is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/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/>
      </c>
      <c r="E15" s="53" t="inlineStr">
        <is>
          <t>夏普比率</t>
        </is>
      </c>
      <c r="F15" s="54" t="n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/>
      </c>
    </row>
    <row r="16" ht="22.5" customHeight="1" s="48">
      <c r="B16" s="18" t="n"/>
      <c r="C16" s="18" t="n"/>
      <c r="D16" s="18" t="n"/>
      <c r="E16" s="53" t="inlineStr">
        <is>
          <t>卡玛比率</t>
        </is>
      </c>
      <c r="F16" s="54" t="n"/>
      <c r="G16" s="17">
        <f>IFERROR(((LOOKUP(2,1/(实盘组合净值!$Q$5:$Q$59&lt;&gt;""),实盘组合净值!$Q$5:$Q$59)/1)^(说明!$C$17/MAX(COUNT(实盘组合净值!$R$5:$R$59),1))-1)/ABS(MIN(实盘组合净值!$S$5:$S$59)),"")</f>
        <v/>
      </c>
    </row>
    <row r="18">
      <c r="B18" s="50" t="inlineStr">
        <is>
          <t>产品运作情况 · 组合净值曲线</t>
        </is>
      </c>
    </row>
    <row r="35" ht="14.5" customHeight="1" s="48">
      <c r="B35" s="55" t="inlineStr">
        <is>
          <t>统计区间自2026/6/1起；运作初期样本少，年化类指标仅供参考。新增交易日后请同步扩展本图数据区。</t>
        </is>
      </c>
    </row>
  </sheetData>
  <mergeCells count="14"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B18:G18"/>
    <mergeCell ref="E3:G3"/>
    <mergeCell ref="E14:F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B30" sqref="B30"/>
    </sheetView>
  </sheetViews>
  <sheetFormatPr baseColWidth="8" defaultRowHeight="14"/>
  <cols>
    <col width="2" customWidth="1" style="48" min="1" max="1"/>
    <col width="26" customWidth="1" style="48" min="2" max="2"/>
    <col width="15" customWidth="1" style="48" min="3" max="8"/>
  </cols>
  <sheetData>
    <row r="2" ht="23" customHeight="1" s="48">
      <c r="B2" s="1" t="inlineStr">
        <is>
          <t>样板间投顾组合 · 净值监控模板</t>
        </is>
      </c>
    </row>
    <row r="3" ht="14.5" customHeight="1" s="48">
      <c r="B3" s="55" t="inlineStr">
        <is>
          <t>运作起始日（实盘）：产业趋势基石/10-90基石 2026/6/18 · 产业趋势 6/22 · 产业趋势2号 6/23 · 10-90/30-70 6/24 ｜ 净值口径：复权单位净值(iFinD) ｜ 买入持有(权重漂移)，各组合自其起始日净值=1</t>
        </is>
      </c>
    </row>
    <row r="5" ht="15.5" customHeight="1" s="48">
      <c r="B5" s="11" t="inlineStr">
        <is>
          <t>一、模板结构</t>
        </is>
      </c>
    </row>
    <row r="6" ht="16.5" customHeight="1" s="48">
      <c r="B6" s="12" t="inlineStr">
        <is>
          <t>持仓配置</t>
        </is>
      </c>
      <c r="C6" s="57" t="inlineStr">
        <is>
          <t>实盘6组合(产业趋势/产业趋势基石/产业趋势2号/10-90/10-90基石/30-70)成份基金、代码、初始权重、年化费率、净值起始日，可直接编辑。</t>
        </is>
      </c>
    </row>
    <row r="7" ht="25.5" customHeight="1" s="48">
      <c r="B7" s="12" t="inlineStr">
        <is>
          <t>净值数据(iFinD公式)</t>
        </is>
      </c>
      <c r="C7" s="57" t="inlineStr">
        <is>
          <t>同花顺公式拉取复权单位净值</t>
        </is>
      </c>
    </row>
    <row r="8" ht="16.5" customHeight="1" s="48">
      <c r="B8" s="12" t="inlineStr">
        <is>
          <t>组合净值</t>
        </is>
      </c>
      <c r="C8" s="57" t="inlineStr">
        <is>
          <t>按买入持有逐日计算四组合净值、日收益与回撤；净值已按年化费率折每日扣费(扣费后口径)。</t>
        </is>
      </c>
    </row>
    <row r="9" ht="28" customHeight="1" s="48">
      <c r="B9" s="12" t="inlineStr">
        <is>
          <t>看板-10/20/30/增值</t>
        </is>
      </c>
      <c r="C9" s="57" t="inlineStr">
        <is>
          <t>6个组合各一页：业绩KPI＋收益表现＋风险特征＋净值曲线。</t>
        </is>
      </c>
    </row>
    <row r="10" ht="16.5" customHeight="1" s="48">
      <c r="B10" s="13" t="n"/>
      <c r="C10" s="14" t="n"/>
      <c r="D10" s="14" t="n"/>
      <c r="E10" s="14" t="n"/>
      <c r="F10" s="14" t="n"/>
      <c r="G10" s="14" t="n"/>
      <c r="H10" s="14" t="n"/>
    </row>
    <row r="11" ht="16.5" customHeight="1" s="48">
      <c r="B11" s="11" t="inlineStr">
        <is>
          <t>二、使用说明</t>
        </is>
      </c>
      <c r="C11" s="14" t="n"/>
      <c r="D11" s="14" t="n"/>
      <c r="E11" s="14" t="n"/>
      <c r="F11" s="14" t="n"/>
      <c r="G11" s="14" t="n"/>
      <c r="H11" s="14" t="n"/>
    </row>
    <row r="12" ht="16.5" customHeight="1" s="48">
      <c r="B12" s="12" t="inlineStr">
        <is>
          <t>每日更新</t>
        </is>
      </c>
      <c r="C12" s="57" t="inlineStr">
        <is>
          <t>在『净值数据』『组合净值』底部按日期顺序新增一行(公式可下拉)，看板自动刷新。</t>
        </is>
      </c>
    </row>
    <row r="13" ht="16.5" customHeight="1" s="48">
      <c r="B13" s="12" t="inlineStr">
        <is>
          <t>iFinD指标</t>
        </is>
      </c>
      <c r="C13" s="57" t="inlineStr">
        <is>
          <t>复权净值指标代码集中在『净值数据』B2，与本地版本不符时只改此处。</t>
        </is>
      </c>
    </row>
    <row r="14" ht="16.5" customHeight="1" s="48">
      <c r="B14" s="12" t="inlineStr">
        <is>
          <t>买入持有口径</t>
        </is>
      </c>
      <c r="C14" s="57" t="inlineStr">
        <is>
          <t>起始日按初始权重买入后持有，权重随涨跌漂移；组合起始净值=1.0000。</t>
        </is>
      </c>
    </row>
    <row r="15" ht="14.5" customHeight="1" s="48">
      <c r="B15" s="12" t="inlineStr">
        <is>
          <t>扣费方式</t>
        </is>
      </c>
      <c r="C15" s="23" t="inlineStr">
        <is>
          <t>各组合年化费率见『实盘持仓配置』Z列；按 净值×(1-费率)^(已运作交易日数/年化交易日数) 折每日计入，看板均为扣费后口径。</t>
        </is>
      </c>
    </row>
    <row r="16">
      <c r="B16" s="12" t="inlineStr">
        <is>
          <t>参数：无风险利率(年化)</t>
        </is>
      </c>
      <c r="C16" s="67" t="n">
        <v>0</v>
      </c>
    </row>
    <row r="17">
      <c r="B17" s="12" t="inlineStr">
        <is>
          <t>参数：年化交易日数</t>
        </is>
      </c>
      <c r="C17" s="22" t="n">
        <v>242</v>
      </c>
    </row>
    <row r="18" ht="14.5" customHeight="1" s="48">
      <c r="B18" s="12" t="inlineStr">
        <is>
          <t>净值曲线</t>
        </is>
      </c>
      <c r="C18" s="23" t="inlineStr">
        <is>
          <t>净值曲线改用日期轴+直接区域引用，横轴自起始日起、自动延伸到最新交易日，无需手改图表数据区。</t>
        </is>
      </c>
    </row>
    <row r="19" ht="14.5" customHeight="1" s="48">
      <c r="B19" s="10" t="inlineStr">
        <is>
          <t>数据来源：同花顺 iFinD(复权单位净值)</t>
        </is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G17" sqref="G17"/>
    </sheetView>
  </sheetViews>
  <sheetFormatPr baseColWidth="8" defaultRowHeight="14"/>
  <cols>
    <col width="22" customWidth="1" style="48" min="1" max="1"/>
    <col width="13" customWidth="1" style="48" min="2" max="2"/>
    <col width="17" customWidth="1" style="48" min="3" max="4"/>
    <col width="16" customWidth="1" style="48" min="6" max="6"/>
    <col width="12" customWidth="1" style="48" min="7" max="7"/>
  </cols>
  <sheetData>
    <row r="1">
      <c r="A1" s="37" t="inlineStr">
        <is>
          <t>三个产业趋势组合 · 动态持仓权重监控（单只权重超过20%自动标红预警）</t>
        </is>
      </c>
      <c r="F1" s="42" t="inlineStr">
        <is>
          <t>末行序号(自动)</t>
        </is>
      </c>
      <c r="G1">
        <f>COUNT('实盘净值数据(iFinD公式)'!$B$5:$B$60)</f>
        <v/>
      </c>
    </row>
    <row r="2">
      <c r="A2" s="37" t="inlineStr">
        <is>
          <t>截止净值日期：</t>
        </is>
      </c>
      <c r="B2" s="68">
        <f>INDEX('实盘净值数据(iFinD公式)'!$A$5:$A$60,$G$1)</f>
        <v/>
      </c>
      <c r="F2" s="42" t="inlineStr">
        <is>
          <t>产业趋势毛净值</t>
        </is>
      </c>
      <c r="G2">
        <f>SUMPRODUCT(实盘持仓配置!$B$4:$X$4,INDEX('实盘净值数据(iFinD公式)'!$B$5:$X$60,$G$1,0)/'实盘净值数据(iFinD公式)'!$B$6:$X$6)</f>
        <v/>
      </c>
    </row>
    <row r="3">
      <c r="F3" s="42" t="inlineStr">
        <is>
          <t>基石毛净值</t>
        </is>
      </c>
      <c r="G3">
        <f>SUMPRODUCT(实盘持仓配置!$B$5:$X$5,INDEX('实盘净值数据(iFinD公式)'!$B$5:$X$60,$G$1,0)/'实盘净值数据(iFinD公式)'!$B$5:$X$5)</f>
        <v/>
      </c>
    </row>
    <row r="4">
      <c r="F4" s="42" t="inlineStr">
        <is>
          <t>2号毛净值</t>
        </is>
      </c>
      <c r="G4">
        <f>SUMPRODUCT(实盘持仓配置!$B$6:$X$6,INDEX('实盘净值数据(iFinD公式)'!$B$5:$X$60,$G$1,0)/'实盘净值数据(iFinD公式)'!$B$7:$X$7)</f>
        <v/>
      </c>
    </row>
    <row r="5">
      <c r="A5" s="38" t="inlineStr">
        <is>
          <t>基金简称</t>
        </is>
      </c>
      <c r="B5" s="38" t="inlineStr">
        <is>
          <t>基金代码</t>
        </is>
      </c>
      <c r="C5" s="38" t="inlineStr">
        <is>
          <t>初始权重</t>
        </is>
      </c>
      <c r="D5" s="38" t="inlineStr">
        <is>
          <t>动态权重(截止前一交易日)</t>
        </is>
      </c>
    </row>
    <row r="6">
      <c r="A6" t="inlineStr">
        <is>
          <t>国泰半导体ETF联接A</t>
        </is>
      </c>
      <c r="B6" s="42" t="inlineStr">
        <is>
          <t>019632.OF</t>
        </is>
      </c>
      <c r="C6" s="39">
        <f>实盘持仓配置!T$4</f>
        <v/>
      </c>
      <c r="D6" s="39">
        <f>实盘持仓配置!T$4*INDEX('实盘净值数据(iFinD公式)'!T$5:T$60,$G$1)/'实盘净值数据(iFinD公式)'!T$6/$G$2</f>
        <v/>
      </c>
    </row>
    <row r="7">
      <c r="A7" t="inlineStr">
        <is>
          <t>国泰通信ETF联接A</t>
        </is>
      </c>
      <c r="B7" s="42" t="inlineStr">
        <is>
          <t>007817.OF</t>
        </is>
      </c>
      <c r="C7" s="39">
        <f>实盘持仓配置!G$4</f>
        <v/>
      </c>
      <c r="D7" s="39">
        <f>实盘持仓配置!G$4*INDEX('实盘净值数据(iFinD公式)'!G$5:G$60,$G$1)/'实盘净值数据(iFinD公式)'!G$6/$G$2</f>
        <v/>
      </c>
    </row>
    <row r="8">
      <c r="A8" t="inlineStr">
        <is>
          <t>宏利复兴混合A</t>
        </is>
      </c>
      <c r="B8" s="42" t="inlineStr">
        <is>
          <t>001170.OF</t>
        </is>
      </c>
      <c r="C8" s="39">
        <f>实盘持仓配置!D$4</f>
        <v/>
      </c>
      <c r="D8" s="39">
        <f>实盘持仓配置!D$4*INDEX('实盘净值数据(iFinD公式)'!D$5:D$60,$G$1)/'实盘净值数据(iFinD公式)'!D$6/$G$2</f>
        <v/>
      </c>
    </row>
    <row r="9">
      <c r="A9" t="inlineStr">
        <is>
          <t>嘉实信息产业A</t>
        </is>
      </c>
      <c r="B9" s="42" t="inlineStr">
        <is>
          <t>017488.OF</t>
        </is>
      </c>
      <c r="C9" s="39">
        <f>实盘持仓配置!Q$4</f>
        <v/>
      </c>
      <c r="D9" s="39">
        <f>实盘持仓配置!Q$4*INDEX('实盘净值数据(iFinD公式)'!Q$5:Q$60,$G$1)/'实盘净值数据(iFinD公式)'!Q$6/$G$2</f>
        <v/>
      </c>
    </row>
    <row r="10">
      <c r="A10" t="inlineStr">
        <is>
          <t>信澳业绩驱动A</t>
        </is>
      </c>
      <c r="B10" s="42" t="inlineStr">
        <is>
          <t>016370.OF</t>
        </is>
      </c>
      <c r="C10" s="39">
        <f>实盘持仓配置!P$4</f>
        <v/>
      </c>
      <c r="D10" s="39">
        <f>实盘持仓配置!P$4*INDEX('实盘净值数据(iFinD公式)'!P$5:P$60,$G$1)/'实盘净值数据(iFinD公式)'!P$6/$G$2</f>
        <v/>
      </c>
    </row>
    <row r="11">
      <c r="A11" t="inlineStr">
        <is>
          <t>银华集成电路混合A</t>
        </is>
      </c>
      <c r="B11" s="42" t="inlineStr">
        <is>
          <t>013840.OF</t>
        </is>
      </c>
      <c r="C11" s="39">
        <f>实盘持仓配置!J$4</f>
        <v/>
      </c>
      <c r="D11" s="39">
        <f>实盘持仓配置!J$4*INDEX('实盘净值数据(iFinD公式)'!J$5:J$60,$G$1)/'实盘净值数据(iFinD公式)'!J$6/$G$2</f>
        <v/>
      </c>
    </row>
    <row r="12">
      <c r="A12" t="inlineStr">
        <is>
          <t>嘉实快线货币A</t>
        </is>
      </c>
      <c r="B12" s="42" t="inlineStr">
        <is>
          <t>000917.OF</t>
        </is>
      </c>
      <c r="C12" s="39">
        <f>实盘持仓配置!C$4</f>
        <v/>
      </c>
      <c r="D12" s="39">
        <f>实盘持仓配置!C$4*INDEX('实盘净值数据(iFinD公式)'!C$5:C$60,$G$1)/'实盘净值数据(iFinD公式)'!C$6/$G$2</f>
        <v/>
      </c>
    </row>
    <row r="13">
      <c r="A13" s="37" t="inlineStr">
        <is>
          <t>合计</t>
        </is>
      </c>
      <c r="C13" s="40">
        <f>SUM(C6:C12)</f>
        <v/>
      </c>
      <c r="D13" s="40">
        <f>SUM(D6:D12)</f>
        <v/>
      </c>
    </row>
    <row r="15">
      <c r="A15" s="37" t="inlineStr">
        <is>
          <t>产业趋势基石组合（起始日 2026-06-18）</t>
        </is>
      </c>
    </row>
    <row r="16">
      <c r="A16" s="38" t="inlineStr">
        <is>
          <t>基金简称</t>
        </is>
      </c>
      <c r="B16" s="38" t="inlineStr">
        <is>
          <t>基金代码</t>
        </is>
      </c>
      <c r="C16" s="38" t="inlineStr">
        <is>
          <t>初始权重</t>
        </is>
      </c>
      <c r="D16" s="38" t="inlineStr">
        <is>
          <t>动态权重(截止前一交易日)</t>
        </is>
      </c>
    </row>
    <row r="17">
      <c r="A17" t="inlineStr">
        <is>
          <t>国泰半导体ETF联接A</t>
        </is>
      </c>
      <c r="B17" s="42" t="inlineStr">
        <is>
          <t>019632.OF</t>
        </is>
      </c>
      <c r="C17" s="39">
        <f>实盘持仓配置!T$5</f>
        <v/>
      </c>
      <c r="D17" s="39">
        <f>实盘持仓配置!T$5*INDEX('实盘净值数据(iFinD公式)'!T$5:T$60,$G$1)/'实盘净值数据(iFinD公式)'!T$5/$G$3</f>
        <v/>
      </c>
    </row>
    <row r="18">
      <c r="A18" t="inlineStr">
        <is>
          <t>国泰通信ETF联接A</t>
        </is>
      </c>
      <c r="B18" s="42" t="inlineStr">
        <is>
          <t>007817.OF</t>
        </is>
      </c>
      <c r="C18" s="39">
        <f>实盘持仓配置!G$5</f>
        <v/>
      </c>
      <c r="D18" s="39">
        <f>实盘持仓配置!G$5*INDEX('实盘净值数据(iFinD公式)'!G$5:G$60,$G$1)/'实盘净值数据(iFinD公式)'!G$5/$G$3</f>
        <v/>
      </c>
    </row>
    <row r="19">
      <c r="A19" t="inlineStr">
        <is>
          <t>宏利复兴混合A</t>
        </is>
      </c>
      <c r="B19" s="42" t="inlineStr">
        <is>
          <t>001170.OF</t>
        </is>
      </c>
      <c r="C19" s="39">
        <f>实盘持仓配置!D$5</f>
        <v/>
      </c>
      <c r="D19" s="39">
        <f>实盘持仓配置!D$5*INDEX('实盘净值数据(iFinD公式)'!D$5:D$60,$G$1)/'实盘净值数据(iFinD公式)'!D$5/$G$3</f>
        <v/>
      </c>
    </row>
    <row r="20">
      <c r="A20" t="inlineStr">
        <is>
          <t>嘉实信息产业A</t>
        </is>
      </c>
      <c r="B20" s="42" t="inlineStr">
        <is>
          <t>017488.OF</t>
        </is>
      </c>
      <c r="C20" s="39">
        <f>实盘持仓配置!Q$5</f>
        <v/>
      </c>
      <c r="D20" s="39">
        <f>实盘持仓配置!Q$5*INDEX('实盘净值数据(iFinD公式)'!Q$5:Q$60,$G$1)/'实盘净值数据(iFinD公式)'!Q$5/$G$3</f>
        <v/>
      </c>
    </row>
    <row r="21">
      <c r="A21" t="inlineStr">
        <is>
          <t>信澳业绩驱动A</t>
        </is>
      </c>
      <c r="B21" s="42" t="inlineStr">
        <is>
          <t>016370.OF</t>
        </is>
      </c>
      <c r="C21" s="39">
        <f>实盘持仓配置!P$5</f>
        <v/>
      </c>
      <c r="D21" s="39">
        <f>实盘持仓配置!P$5*INDEX('实盘净值数据(iFinD公式)'!P$5:P$60,$G$1)/'实盘净值数据(iFinD公式)'!P$5/$G$3</f>
        <v/>
      </c>
    </row>
    <row r="22">
      <c r="A22" t="inlineStr">
        <is>
          <t>银华集成电路混合A</t>
        </is>
      </c>
      <c r="B22" s="42" t="inlineStr">
        <is>
          <t>013840.OF</t>
        </is>
      </c>
      <c r="C22" s="39">
        <f>实盘持仓配置!J$5</f>
        <v/>
      </c>
      <c r="D22" s="39">
        <f>实盘持仓配置!J$5*INDEX('实盘净值数据(iFinD公式)'!J$5:J$60,$G$1)/'实盘净值数据(iFinD公式)'!J$5/$G$3</f>
        <v/>
      </c>
    </row>
    <row r="23">
      <c r="A23" t="inlineStr">
        <is>
          <t>嘉实快线货币A</t>
        </is>
      </c>
      <c r="B23" s="42" t="inlineStr">
        <is>
          <t>000917.OF</t>
        </is>
      </c>
      <c r="C23" s="39">
        <f>实盘持仓配置!C$5</f>
        <v/>
      </c>
      <c r="D23" s="39">
        <f>实盘持仓配置!C$5*INDEX('实盘净值数据(iFinD公式)'!C$5:C$60,$G$1)/'实盘净值数据(iFinD公式)'!C$5/$G$3</f>
        <v/>
      </c>
    </row>
    <row r="24">
      <c r="A24" s="37" t="inlineStr">
        <is>
          <t>合计</t>
        </is>
      </c>
      <c r="C24" s="40">
        <f>SUM(C17:C23)</f>
        <v/>
      </c>
      <c r="D24" s="40">
        <f>SUM(D17:D23)</f>
        <v/>
      </c>
    </row>
    <row r="26">
      <c r="A26" s="37" t="inlineStr">
        <is>
          <t>产业趋势2号组合（起始日 2026-06-23）</t>
        </is>
      </c>
    </row>
    <row r="27">
      <c r="A27" s="38" t="inlineStr">
        <is>
          <t>基金简称</t>
        </is>
      </c>
      <c r="B27" s="38" t="inlineStr">
        <is>
          <t>基金代码</t>
        </is>
      </c>
      <c r="C27" s="38" t="inlineStr">
        <is>
          <t>初始权重</t>
        </is>
      </c>
      <c r="D27" s="38" t="inlineStr">
        <is>
          <t>动态权重(截止前一交易日)</t>
        </is>
      </c>
    </row>
    <row r="28">
      <c r="A28" t="inlineStr">
        <is>
          <t>国泰半导体C</t>
        </is>
      </c>
      <c r="B28" s="42" t="inlineStr">
        <is>
          <t>019633.OF</t>
        </is>
      </c>
      <c r="C28" s="39">
        <f>实盘持仓配置!U$6</f>
        <v/>
      </c>
      <c r="D28" s="39">
        <f>实盘持仓配置!U$6*INDEX('实盘净值数据(iFinD公式)'!U$5:U$60,$G$1)/'实盘净值数据(iFinD公式)'!U$7/$G$4</f>
        <v/>
      </c>
    </row>
    <row r="29">
      <c r="A29" t="inlineStr">
        <is>
          <t>国泰通信设备C</t>
        </is>
      </c>
      <c r="B29" s="42" t="inlineStr">
        <is>
          <t>007818.OF</t>
        </is>
      </c>
      <c r="C29" s="39">
        <f>实盘持仓配置!H$6</f>
        <v/>
      </c>
      <c r="D29" s="39">
        <f>实盘持仓配置!H$6*INDEX('实盘净值数据(iFinD公式)'!H$5:H$60,$G$1)/'实盘净值数据(iFinD公式)'!H$7/$G$4</f>
        <v/>
      </c>
    </row>
    <row r="30">
      <c r="A30" t="inlineStr">
        <is>
          <t>宏利复兴伟业C</t>
        </is>
      </c>
      <c r="B30" s="42" t="inlineStr">
        <is>
          <t>017612.OF</t>
        </is>
      </c>
      <c r="C30" s="39">
        <f>实盘持仓配置!S$6</f>
        <v/>
      </c>
      <c r="D30" s="39">
        <f>实盘持仓配置!S$6*INDEX('实盘净值数据(iFinD公式)'!S$5:S$60,$G$1)/'实盘净值数据(iFinD公式)'!S$7/$G$4</f>
        <v/>
      </c>
    </row>
    <row r="31">
      <c r="A31" t="inlineStr">
        <is>
          <t>嘉实信息产业C</t>
        </is>
      </c>
      <c r="B31" s="42" t="inlineStr">
        <is>
          <t>017489.OF</t>
        </is>
      </c>
      <c r="C31" s="39">
        <f>实盘持仓配置!R$6</f>
        <v/>
      </c>
      <c r="D31" s="39">
        <f>实盘持仓配置!R$6*INDEX('实盘净值数据(iFinD公式)'!R$5:R$60,$G$1)/'实盘净值数据(iFinD公式)'!R$7/$G$4</f>
        <v/>
      </c>
    </row>
    <row r="32">
      <c r="A32" t="inlineStr">
        <is>
          <t>嘉实前沿科技创新</t>
        </is>
      </c>
      <c r="B32" s="42" t="inlineStr">
        <is>
          <t>009993.OF</t>
        </is>
      </c>
      <c r="C32" s="39">
        <f>实盘持仓配置!I$6</f>
        <v/>
      </c>
      <c r="D32" s="39">
        <f>实盘持仓配置!I$6*INDEX('实盘净值数据(iFinD公式)'!I$5:I$60,$G$1)/'实盘净值数据(iFinD公式)'!I$7/$G$4</f>
        <v/>
      </c>
    </row>
    <row r="33">
      <c r="A33" t="inlineStr">
        <is>
          <t>银华集成电路混合C</t>
        </is>
      </c>
      <c r="B33" s="42" t="inlineStr">
        <is>
          <t>013841.OF</t>
        </is>
      </c>
      <c r="C33" s="39">
        <f>实盘持仓配置!K$6</f>
        <v/>
      </c>
      <c r="D33" s="39">
        <f>实盘持仓配置!K$6*INDEX('实盘净值数据(iFinD公式)'!K$5:K$60,$G$1)/'实盘净值数据(iFinD公式)'!K$7/$G$4</f>
        <v/>
      </c>
    </row>
    <row r="34">
      <c r="A34" t="inlineStr">
        <is>
          <t>嘉实快线货币A</t>
        </is>
      </c>
      <c r="B34" s="42" t="inlineStr">
        <is>
          <t>000917.OF</t>
        </is>
      </c>
      <c r="C34" s="39">
        <f>实盘持仓配置!C$6</f>
        <v/>
      </c>
      <c r="D34" s="39">
        <f>实盘持仓配置!C$6*INDEX('实盘净值数据(iFinD公式)'!C$5:C$60,$G$1)/'实盘净值数据(iFinD公式)'!C$7/$G$4</f>
        <v/>
      </c>
    </row>
    <row r="35">
      <c r="A35" s="37" t="inlineStr">
        <is>
          <t>合计</t>
        </is>
      </c>
      <c r="C35" s="40">
        <f>SUM(C28:C34)</f>
        <v/>
      </c>
      <c r="D35" s="40">
        <f>SUM(D28:D34)</f>
        <v/>
      </c>
    </row>
  </sheetData>
  <conditionalFormatting sqref="D6:D12 D17:D23 D28:D34">
    <cfRule type="cellIs" priority="1" operator="greaterThan" dxfId="0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白昕</dc:creator>
  <dcterms:created xmlns:dcterms="http://purl.org/dc/terms/" xmlns:xsi="http://www.w3.org/2001/XMLSchema-instance" xsi:type="dcterms:W3CDTF">2026-06-08T07:39:45Z</dcterms:created>
  <dcterms:modified xmlns:dcterms="http://purl.org/dc/terms/" xmlns:xsi="http://www.w3.org/2001/XMLSchema-instance" xsi:type="dcterms:W3CDTF">2026-07-02T09:00:22Z</dcterms:modified>
  <cp:lastModifiedBy>白昕</cp:lastModifiedBy>
</cp:coreProperties>
</file>